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dce232efb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36146288e1a648e6"/>
    <x:sheet xmlns:r="http://schemas.openxmlformats.org/officeDocument/2006/relationships" name="Policy timing" sheetId="2" r:id="R3c534d6822c84864"/>
    <x:sheet xmlns:r="http://schemas.openxmlformats.org/officeDocument/2006/relationships" name="Scores" sheetId="3" r:id="Rd7474243e8e94abd"/>
    <x:sheet xmlns:r="http://schemas.openxmlformats.org/officeDocument/2006/relationships" name="Forecasts" sheetId="4" r:id="Rc5630aa0fc904d75"/>
    <x:sheet xmlns:r="http://schemas.openxmlformats.org/officeDocument/2006/relationships" name="Model fits" sheetId="5" r:id="R6a6991370f844685"/>
    <x:sheet xmlns:r="http://schemas.openxmlformats.org/officeDocument/2006/relationships" name="PG facts" sheetId="6" r:id="R77deea5c3c98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"/>
    <x:numFmt numFmtId="201" formatCode="0.00;[Red](0.00);0.00"/>
    <x:numFmt numFmtId="202" formatCode="&quot;$&quot;#,##0.00;[Red](&quot;$&quot;#,##0.00);&quot;$&quot;0.00"/>
    <x:numFmt numFmtId="203" formatCode="0.0%"/>
  </x:numFmts>
  <x:fonts count="6">
    <x:font>
      <x:sz val="11"/>
      <x:name val="Carlito"/>
    </x:font>
    <x:font>
      <x:sz val="12"/>
      <x:color rgb="FF17324F"/>
      <x:name val="Arial"/>
    </x:font>
    <x:font>
      <x:b/>
      <x:sz val="19"/>
      <x:color rgb="FF17324F"/>
      <x:name val="Arial"/>
    </x:font>
    <x:font>
      <x:b/>
      <x:sz val="12"/>
      <x:color rgb="FFFFFFFF"/>
      <x:name val="Arial"/>
    </x:font>
    <x:font>
      <x:b/>
      <x:sz val="12"/>
      <x:color rgb="FFC62828"/>
      <x:name val="Arial"/>
    </x:font>
    <x:font>
      <x:sz val="12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F"/>
      </x:patternFill>
    </x:fill>
  </x:fills>
  <x:borders count="10">
    <x:border/>
    <x:border>
      <x:left style="medium">
        <x:color rgb="FFC62828"/>
      </x:left>
      <x:top style="medium">
        <x:color rgb="FFC62828"/>
      </x:top>
    </x:border>
    <x:border>
      <x:top style="medium">
        <x:color rgb="FFC62828"/>
      </x:top>
    </x:border>
    <x:border>
      <x:right style="medium">
        <x:color rgb="FFC62828"/>
      </x:right>
      <x:top style="medium">
        <x:color rgb="FFC62828"/>
      </x:top>
    </x:border>
    <x:border>
      <x:left style="medium">
        <x:color rgb="FFC62828"/>
      </x:left>
      <x:bottom style="medium">
        <x:color rgb="FFC62828"/>
      </x:bottom>
    </x:border>
    <x:border>
      <x:bottom style="medium">
        <x:color rgb="FFC62828"/>
      </x:bottom>
    </x:border>
    <x:border>
      <x:right style="medium">
        <x:color rgb="FFC62828"/>
      </x:right>
      <x:bottom style="medium">
        <x:color rgb="FFC62828"/>
      </x:bottom>
    </x:border>
    <x:border>
      <x:left style="medium">
        <x:color rgb="FFC62828"/>
      </x:left>
      <x:right style="medium">
        <x:color rgb="FFC62828"/>
      </x:right>
      <x:top style="medium">
        <x:color rgb="FFC62828"/>
      </x:top>
    </x:border>
    <x:border>
      <x:left style="medium">
        <x:color rgb="FFC62828"/>
      </x:left>
      <x:right style="medium">
        <x:color rgb="FFC62828"/>
      </x:right>
    </x:border>
    <x:border>
      <x:left style="medium">
        <x:color rgb="FFC62828"/>
      </x:left>
      <x:right style="medium">
        <x:color rgb="FFC62828"/>
      </x:right>
      <x:bottom style="medium">
        <x:color rgb="FFC6282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1e180d9864282" /><Relationship Type="http://schemas.openxmlformats.org/officeDocument/2006/relationships/theme" Target="/xl/theme/theme1.xml" Id="R487407602e9e4daf" /><Relationship Type="http://schemas.openxmlformats.org/officeDocument/2006/relationships/sharedStrings" Target="/xl/sharedStrings.xml" Id="R994ba997b13e4db5" /><Relationship Type="http://schemas.openxmlformats.org/officeDocument/2006/relationships/worksheet" Target="/xl/worksheets/sheet1.xml" Id="R36146288e1a648e6" /><Relationship Type="http://schemas.openxmlformats.org/officeDocument/2006/relationships/worksheet" Target="/xl/worksheets/sheet2.xml" Id="R3c534d6822c84864" /><Relationship Type="http://schemas.openxmlformats.org/officeDocument/2006/relationships/worksheet" Target="/xl/worksheets/sheet3.xml" Id="Rd7474243e8e94abd" /><Relationship Type="http://schemas.openxmlformats.org/officeDocument/2006/relationships/worksheet" Target="/xl/worksheets/sheet4.xml" Id="Rc5630aa0fc904d75" /><Relationship Type="http://schemas.openxmlformats.org/officeDocument/2006/relationships/worksheet" Target="/xl/worksheets/sheet5.xml" Id="R6a6991370f844685" /><Relationship Type="http://schemas.openxmlformats.org/officeDocument/2006/relationships/worksheet" Target="/xl/worksheets/sheet6.xml" Id="R77deea5c3c984c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2"/>
      <x:c r="B2" s="3" t="str">
        <x:v>P&amp;G | Which model changes helped?</x:v>
      </x:c>
      <x:c r="C2" s="2"/>
      <x:c r="D2" s="2"/>
      <x:c r="E2" s="2"/>
      <x:c r="F2" s="2"/>
    </x:row>
    <x:row r="3" ht="26" customHeight="1">
      <x:c r="A3" s="2"/>
      <x:c r="B3" s="2" t="str">
        <x:v>21 company quarters · 12 test quarters · 3 forecast checkpoints per quarter</x:v>
      </x:c>
      <x:c r="C3" s="2"/>
      <x:c r="D3" s="2"/>
      <x:c r="E3" s="2"/>
      <x:c r="F3" s="2"/>
    </x:row>
    <x:row r="4" ht="26" customHeight="1">
      <x:c r="A4" s="2"/>
      <x:c r="B4" s="2"/>
      <x:c r="C4" s="2"/>
      <x:c r="D4" s="2"/>
      <x:c r="E4" s="2"/>
      <x:c r="F4" s="2"/>
    </x:row>
    <x:row r="5" ht="48" customHeight="1">
      <x:c r="A5" s="2"/>
      <x:c r="B5" s="6" t="str">
        <x:v>Pricing contribution</x:v>
      </x:c>
      <x:c r="C5" s="6" t="str">
        <x:v>Broad model</x:v>
      </x:c>
      <x:c r="D5" s="6" t="str">
        <x:v>Bias corrected</x:v>
      </x:c>
      <x:c r="E5" s="6" t="str">
        <x:v>Last 8 training qtrs</x:v>
      </x:c>
      <x:c r="F5" s="6" t="str">
        <x:v>Last actual</x:v>
      </x:c>
    </x:row>
    <x:row r="6" ht="26" customHeight="1">
      <x:c r="A6" s="2"/>
      <x:c r="B6" s="2" t="str">
        <x:v>Beauty</x:v>
      </x:c>
      <x:c r="C6" s="10" t="n">
        <x:f>Scores!G235</x:f>
        <x:v>1.4328893937375322</x:v>
      </x:c>
      <x:c r="D6" s="11" t="n">
        <x:f>Scores!G231</x:f>
        <x:v>1.1077563865846038</x:v>
      </x:c>
      <x:c r="E6" s="12" t="n">
        <x:f>Scores!G237</x:f>
        <x:v>1.0381247141201768</x:v>
      </x:c>
      <x:c r="F6" s="8" t="n">
        <x:f>Scores!G243</x:f>
        <x:v>1.2747548783981961</x:v>
      </x:c>
    </x:row>
    <x:row r="7" ht="26" customHeight="1">
      <x:c r="A7" s="2"/>
      <x:c r="B7" s="2" t="str">
        <x:v>Grooming</x:v>
      </x:c>
      <x:c r="C7" s="13" t="n">
        <x:f>Scores!G425</x:f>
        <x:v>1.6395863992192254</x:v>
      </x:c>
      <x:c r="D7" s="14" t="n">
        <x:f>Scores!G421</x:f>
        <x:v>2.0114944141840683</x:v>
      </x:c>
      <x:c r="E7" s="15" t="n">
        <x:f>Scores!G427</x:f>
        <x:v>2.005603891246648</x:v>
      </x:c>
      <x:c r="F7" s="8" t="n">
        <x:f>Scores!G433</x:f>
        <x:v>2.5248762345905194</x:v>
      </x:c>
    </x:row>
    <x:row r="8" ht="26" customHeight="1">
      <x:c r="A8" s="2"/>
      <x:c r="B8" s="2"/>
      <x:c r="C8" s="2"/>
      <x:c r="D8" s="2"/>
      <x:c r="E8" s="2"/>
      <x:c r="F8" s="2"/>
    </x:row>
    <x:row r="9" ht="26" customHeight="1">
      <x:c r="A9" s="2"/>
      <x:c r="B9" s="2" t="str">
        <x:v>RMSE in percentage points. Lower is better. Same eight quarters: Apr 2024–Mar 2026.</x:v>
      </x:c>
      <x:c r="C9" s="2"/>
      <x:c r="D9" s="2"/>
      <x:c r="E9" s="2"/>
      <x:c r="F9" s="2"/>
    </x:row>
    <x:row r="10" ht="26" customHeight="1">
      <x:c r="A10" s="2"/>
      <x:c r="B10" s="2"/>
      <x:c r="C10" s="2"/>
      <x:c r="D10" s="2"/>
      <x:c r="E10" s="2"/>
      <x:c r="F10" s="2"/>
    </x:row>
    <x:row r="11" ht="26" customHeight="1">
      <x:c r="A11" s="2"/>
      <x:c r="B11" s="2" t="str">
        <x:v>Beauty: correction helped; a shorter training window helped more in this sample.</x:v>
      </x:c>
      <x:c r="C11" s="2"/>
      <x:c r="D11" s="2"/>
      <x:c r="E11" s="2"/>
      <x:c r="F11" s="2"/>
    </x:row>
    <x:row r="12" ht="26" customHeight="1">
      <x:c r="A12" s="2"/>
      <x:c r="B12" s="2" t="str">
        <x:v>Grooming: both changes worsened the broad model.</x:v>
      </x:c>
      <x:c r="C12" s="2"/>
      <x:c r="D12" s="2"/>
      <x:c r="E12" s="2"/>
      <x:c r="F12" s="2"/>
    </x:row>
    <x:row r="13" ht="26" customHeight="1">
      <x:c r="A13" s="2"/>
      <x:c r="B13" s="2"/>
      <x:c r="C13" s="2"/>
      <x:c r="D13" s="2"/>
      <x:c r="E13" s="2"/>
      <x:c r="F13" s="2"/>
    </x:row>
    <x:row r="14" ht="26" customHeight="1">
      <x:c r="A14" s="2"/>
      <x:c r="B14" s="2" t="str">
        <x:v>A finer product index did not improve Beauty: 1.79pp versus 1.43pp.</x:v>
      </x:c>
      <x:c r="C14" s="2"/>
      <x:c r="D14" s="2"/>
      <x:c r="E14" s="2"/>
      <x:c r="F14" s="2"/>
    </x:row>
    <x:row r="15" ht="26" customHeight="1">
      <x:c r="A15" s="2"/>
      <x:c r="B15" s="2" t="str">
        <x:v>One-quarter lags also worsened both pricing models on the same seven quarters.</x:v>
      </x:c>
      <x:c r="C15" s="2"/>
      <x:c r="D15" s="2"/>
      <x:c r="E15" s="2"/>
      <x:c r="F15" s="2"/>
    </x:row>
    <x:row r="16" ht="26" customHeight="1">
      <x:c r="A16" s="2"/>
      <x:c r="B16" s="2"/>
      <x:c r="C16" s="2"/>
      <x:c r="D16" s="2"/>
      <x:c r="E16" s="2"/>
      <x:c r="F16" s="2"/>
    </x:row>
    <x:row r="17" ht="26" customHeight="1">
      <x:c r="A17" s="2"/>
      <x:c r="B17" s="2" t="str">
        <x:v>Retrospective development: these results do not establish future accuracy.</x:v>
      </x:c>
      <x:c r="C17" s="2"/>
      <x:c r="D17" s="2"/>
      <x:c r="E17" s="2"/>
      <x:c r="F17" s="2"/>
    </x:row>
    <x:row r="18" ht="26" customHeight="1">
      <x:c r="A18" s="2"/>
      <x:c r="B18" s="2" t="str">
        <x:v>Policy timing is a cost sensitivity, not a fitted sales coefficient.</x:v>
      </x:c>
      <x:c r="C18" s="2"/>
      <x:c r="D18" s="2"/>
      <x:c r="E18" s="2"/>
      <x:c r="F18" s="2"/>
    </x:row>
    <x:row r="19" ht="26" customHeight="1">
      <x:c r="A19" s="2"/>
      <x:c r="B19" s="2"/>
      <x:c r="C19" s="2"/>
      <x:c r="D19" s="2"/>
      <x:c r="E19" s="2"/>
      <x:c r="F19" s="2"/>
    </x:row>
    <x:row r="20" ht="26" customHeight="1">
      <x:c r="A20" s="2"/>
      <x:c r="B20" s="2"/>
      <x:c r="C20" s="2"/>
      <x:c r="D20" s="2"/>
      <x:c r="E20" s="2"/>
      <x:c r="F20" s="2"/>
    </x:row>
    <x:row r="21" ht="48" customHeight="1">
      <x:c r="A21" s="2"/>
      <x:c r="B21" s="6" t="str">
        <x:v>Scope</x:v>
      </x:c>
      <x:c r="C21" s="6" t="str">
        <x:v>Included</x:v>
      </x:c>
      <x:c r="D21" s="6" t="str">
        <x:v>Decision</x:v>
      </x:c>
      <x:c r="E21" s="2"/>
      <x:c r="F21" s="2"/>
    </x:row>
    <x:row r="22" ht="45" customHeight="1">
      <x:c r="A22" s="2"/>
      <x:c r="B22" s="16" t="str">
        <x:v>Product price</x:v>
      </x:c>
      <x:c r="C22" s="16" t="str">
        <x:v>US cosmetics CPI</x:v>
      </x:c>
      <x:c r="D22" s="16" t="str">
        <x:v>Tested; not selected</x:v>
      </x:c>
      <x:c r="E22" s="2"/>
      <x:c r="F22" s="2"/>
    </x:row>
    <x:row r="23" ht="45" customHeight="1">
      <x:c r="A23" s="2"/>
      <x:c r="B23" s="16" t="str">
        <x:v>Company history</x:v>
      </x:c>
      <x:c r="C23" s="16" t="str">
        <x:v>Own lagged result</x:v>
      </x:c>
      <x:c r="D23" s="16" t="str">
        <x:v>Tested as challenger</x:v>
      </x:c>
      <x:c r="E23" s="2"/>
      <x:c r="F23" s="2"/>
    </x:row>
    <x:row r="24" ht="45" customHeight="1">
      <x:c r="A24" s="2"/>
      <x:c r="B24" s="16" t="str">
        <x:v>Policy / tariffs</x:v>
      </x:c>
      <x:c r="C24" s="16" t="str">
        <x:v>Timing + cost lag</x:v>
      </x:c>
      <x:c r="D24" s="16" t="str">
        <x:v>Separate cost build</x:v>
      </x:c>
      <x:c r="E24" s="2"/>
      <x:c r="F24" s="2"/>
    </x:row>
    <x:row r="25" ht="45" customHeight="1">
      <x:c r="A25" s="2"/>
      <x:c r="B25" s="16" t="str">
        <x:v>FX / input costs</x:v>
      </x:c>
      <x:c r="C25" s="16" t="str">
        <x:v>No matched exposure</x:v>
      </x:c>
      <x:c r="D25" s="16" t="str">
        <x:v>Keep as research inputs</x:v>
      </x:c>
      <x:c r="E25" s="2"/>
      <x:c r="F25" s="2"/>
    </x:row>
    <x:row r="26" ht="26" customHeight="1">
      <x:c r="A26" s="2"/>
      <x:c r="B26" s="2"/>
      <x:c r="C26" s="2"/>
      <x:c r="D26" s="2"/>
      <x:c r="E26" s="2"/>
      <x:c r="F26" s="2"/>
    </x:row>
    <x:row r="27" ht="26" customHeight="1">
      <x:c r="A27" s="2"/>
      <x:c r="B27" s="2"/>
      <x:c r="C27" s="2"/>
      <x:c r="D27" s="2"/>
      <x:c r="E27" s="2"/>
      <x:c r="F27" s="2"/>
    </x:row>
    <x:row r="28" ht="26" customHeight="1">
      <x:c r="A28" s="2"/>
      <x:c r="B28" s="2"/>
      <x:c r="C28" s="2"/>
      <x:c r="D28" s="2"/>
      <x:c r="E28" s="2"/>
      <x:c r="F28" s="2"/>
    </x:row>
    <x:row r="29" ht="26" customHeight="1">
      <x:c r="A29" s="2"/>
      <x:c r="B29" s="2"/>
      <x:c r="C29" s="2"/>
      <x:c r="D29" s="2"/>
      <x:c r="E29" s="2"/>
      <x:c r="F29" s="2"/>
    </x:row>
    <x:row r="30" ht="26" customHeight="1">
      <x:c r="A30" s="2"/>
      <x:c r="B30" s="2"/>
      <x:c r="C30" s="2"/>
      <x:c r="D30" s="2"/>
      <x:c r="E30" s="2"/>
      <x:c r="F30" s="2"/>
    </x:row>
    <x:row r="31" ht="26" customHeight="1">
      <x:c r="A31" s="2"/>
      <x:c r="B31" s="2"/>
      <x:c r="C31" s="2"/>
      <x:c r="D31" s="2"/>
      <x:c r="E31" s="2"/>
      <x:c r="F31" s="2"/>
    </x:row>
    <x:row r="32" ht="26" customHeight="1">
      <x:c r="A32" s="2"/>
      <x:c r="B32" s="2"/>
      <x:c r="C32" s="2"/>
      <x:c r="D32" s="2"/>
      <x:c r="E32" s="2"/>
      <x:c r="F32" s="2"/>
    </x:row>
    <x:row r="33" ht="26" customHeight="1">
      <x:c r="A33" s="2"/>
      <x:c r="B33" s="2"/>
      <x:c r="C33" s="2"/>
      <x:c r="D33" s="2"/>
      <x:c r="E33" s="2"/>
      <x:c r="F33" s="2"/>
    </x:row>
    <x:row r="34" ht="26" customHeight="1">
      <x:c r="A34" s="2"/>
      <x:c r="B34" s="2"/>
      <x:c r="C34" s="2"/>
      <x:c r="D34" s="2"/>
      <x:c r="E34" s="2"/>
      <x:c r="F34" s="2"/>
    </x:row>
    <x:row r="35" ht="26" customHeight="1">
      <x:c r="A35" s="2"/>
      <x:c r="B35" s="2"/>
      <x:c r="C35" s="2"/>
      <x:c r="D35" s="2"/>
      <x:c r="E35" s="2"/>
      <x:c r="F35" s="2"/>
    </x:row>
    <x:row r="36" ht="26" customHeight="1">
      <x:c r="A36" s="2"/>
      <x:c r="B36" s="2"/>
      <x:c r="C36" s="2"/>
      <x:c r="D36" s="2"/>
      <x:c r="E36" s="2"/>
      <x:c r="F3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22" hidden="0" customWidth="1"/>
    <x:col min="4" max="4" width="42" hidden="0" customWidth="1"/>
    <x:col min="5" max="5" width="23" hidden="0" customWidth="1"/>
    <x:col min="6" max="6" width="25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2"/>
      <x:c r="B2" s="3" t="str">
        <x:v>Tariffs | Timing changes the quarterly cost</x:v>
      </x:c>
      <x:c r="C2" s="2"/>
      <x:c r="D2" s="2"/>
      <x:c r="E2" s="2"/>
      <x:c r="F2" s="2"/>
    </x:row>
    <x:row r="3" ht="26" customHeight="1">
      <x:c r="A3" s="2"/>
      <x:c r="B3" s="2" t="str">
        <x:v>Illustration only: $100m eligible imports and a 10pp incremental duty are NOT P&amp;G facts.</x:v>
      </x:c>
      <x:c r="C3" s="2"/>
      <x:c r="D3" s="2"/>
      <x:c r="E3" s="2"/>
      <x:c r="F3" s="2"/>
    </x:row>
    <x:row r="4" ht="26" customHeight="1">
      <x:c r="A4" s="2"/>
      <x:c r="B4" s="2"/>
      <x:c r="C4" s="2"/>
      <x:c r="D4" s="2"/>
      <x:c r="E4" s="2"/>
      <x:c r="F4" s="2"/>
    </x:row>
    <x:row r="5" ht="48" customHeight="1">
      <x:c r="A5" s="2"/>
      <x:c r="B5" s="6" t="str">
        <x:v>Editable assumptions</x:v>
      </x:c>
      <x:c r="C5" s="6" t="str">
        <x:v>Value</x:v>
      </x:c>
      <x:c r="D5" s="6" t="str">
        <x:v>Definition</x:v>
      </x:c>
      <x:c r="E5" s="2"/>
      <x:c r="F5" s="2"/>
    </x:row>
    <x:row r="6" ht="34" customHeight="1">
      <x:c r="A6" s="2"/>
      <x:c r="B6" s="2" t="str">
        <x:v>Quarter start</x:v>
      </x:c>
      <x:c r="C6" s="18" t="n">
        <x:v>46113</x:v>
      </x:c>
      <x:c r="D6" s="16" t="str">
        <x:v>Forecast quarter</x:v>
      </x:c>
      <x:c r="E6" s="2"/>
      <x:c r="F6" s="2"/>
    </x:row>
    <x:row r="7" ht="34" customHeight="1">
      <x:c r="A7" s="2"/>
      <x:c r="B7" s="2" t="str">
        <x:v>Quarter end</x:v>
      </x:c>
      <x:c r="C7" s="18" t="n">
        <x:v>46203</x:v>
      </x:c>
      <x:c r="D7" s="16" t="str">
        <x:v>Forecast quarter</x:v>
      </x:c>
      <x:c r="E7" s="2"/>
      <x:c r="F7" s="2"/>
    </x:row>
    <x:row r="8" ht="34" customHeight="1">
      <x:c r="A8" s="2"/>
      <x:c r="B8" s="2" t="str">
        <x:v>Information cutoff</x:v>
      </x:c>
      <x:c r="C8" s="18" t="n">
        <x:v>46157</x:v>
      </x:c>
      <x:c r="D8" s="16" t="str">
        <x:v>Exclude later announcements</x:v>
      </x:c>
      <x:c r="E8" s="2"/>
      <x:c r="F8" s="2"/>
    </x:row>
    <x:row r="9" ht="34" customHeight="1">
      <x:c r="A9" s="2"/>
      <x:c r="B9" s="2" t="str">
        <x:v>Announcement date</x:v>
      </x:c>
      <x:c r="C9" s="18" t="n">
        <x:v>46113</x:v>
      </x:c>
      <x:c r="D9" s="16" t="str">
        <x:v>Hypothetical, known at cutoff</x:v>
      </x:c>
      <x:c r="E9" s="2"/>
      <x:c r="F9" s="2"/>
    </x:row>
    <x:row r="10" ht="34" customHeight="1">
      <x:c r="A10" s="2"/>
      <x:c r="B10" s="2" t="str">
        <x:v>Effective date</x:v>
      </x:c>
      <x:c r="C10" s="18" t="n">
        <x:v>46140</x:v>
      </x:c>
      <x:c r="D10" s="16" t="str">
        <x:v>Edit to test earlier / later</x:v>
      </x:c>
      <x:c r="E10" s="2"/>
      <x:c r="F10" s="2"/>
    </x:row>
    <x:row r="11" ht="34" customHeight="1">
      <x:c r="A11" s="2"/>
      <x:c r="B11" s="2" t="str">
        <x:v>Quarter eligible imports ($m)</x:v>
      </x:c>
      <x:c r="C11" s="19" t="n">
        <x:v>100</x:v>
      </x:c>
      <x:c r="D11" s="16" t="str">
        <x:v>Assumed uniform daily imports</x:v>
      </x:c>
      <x:c r="E11" s="2"/>
      <x:c r="F11" s="2"/>
    </x:row>
    <x:row r="12" ht="34" customHeight="1">
      <x:c r="A12" s="2"/>
      <x:c r="B12" s="2" t="str">
        <x:v>Incremental duty rate</x:v>
      </x:c>
      <x:c r="C12" s="20" t="n">
        <x:v>0.1</x:v>
      </x:c>
      <x:c r="D12" s="16" t="str">
        <x:v>Change versus embedded baseline</x:v>
      </x:c>
      <x:c r="E12" s="2"/>
      <x:c r="F12" s="2"/>
    </x:row>
    <x:row r="13" ht="34" customHeight="1">
      <x:c r="A13" s="2"/>
      <x:c r="B13" s="2" t="str">
        <x:v>Inventory / COGS lag (days)</x:v>
      </x:c>
      <x:c r="C13" s="17" t="n">
        <x:v>30</x:v>
      </x:c>
      <x:c r="D13" s="16" t="str">
        <x:v>Fixed assumed recognition lag</x:v>
      </x:c>
      <x:c r="E13" s="2"/>
      <x:c r="F13" s="2"/>
    </x:row>
    <x:row r="14" ht="26" customHeight="1">
      <x:c r="A14" s="2"/>
      <x:c r="B14" s="2"/>
      <x:c r="C14" s="2"/>
      <x:c r="D14" s="2"/>
      <x:c r="E14" s="2"/>
      <x:c r="F14" s="2"/>
    </x:row>
    <x:row r="15" ht="26" customHeight="1">
      <x:c r="A15" s="2"/>
      <x:c r="B15" s="2"/>
      <x:c r="C15" s="2"/>
      <x:c r="D15" s="2"/>
      <x:c r="E15" s="2"/>
      <x:c r="F15" s="2"/>
    </x:row>
    <x:row r="16" ht="48" customHeight="1">
      <x:c r="A16" s="2"/>
      <x:c r="B16" s="6" t="str">
        <x:v>Calculation</x:v>
      </x:c>
      <x:c r="C16" s="6" t="str">
        <x:v>Result</x:v>
      </x:c>
      <x:c r="D16" s="6" t="str">
        <x:v>How it works</x:v>
      </x:c>
      <x:c r="E16" s="2"/>
      <x:c r="F16" s="2"/>
    </x:row>
    <x:row r="17" ht="26" customHeight="1">
      <x:c r="A17" s="2"/>
      <x:c r="B17" s="2" t="str">
        <x:v>Quarter days</x:v>
      </x:c>
      <x:c r="C17" s="2" t="n">
        <x:f>C7-C6+1</x:f>
        <x:v>91</x:v>
      </x:c>
      <x:c r="D17" s="2"/>
      <x:c r="E17" s="2"/>
      <x:c r="F17" s="2"/>
    </x:row>
    <x:row r="18" ht="26" customHeight="1">
      <x:c r="A18" s="2"/>
      <x:c r="B18" s="2" t="str">
        <x:v>Policy known by cutoff?</x:v>
      </x:c>
      <x:c r="C18" s="2" t="str">
        <x:f>IF(C9&lt;=C8,"Yes","No")</x:f>
        <x:v>Yes</x:v>
      </x:c>
      <x:c r="D18" s="2"/>
      <x:c r="E18" s="2"/>
      <x:c r="F18" s="2"/>
    </x:row>
    <x:row r="19" ht="26" customHeight="1">
      <x:c r="A19" s="2"/>
      <x:c r="B19" s="2" t="str">
        <x:v>Days with incremental duty</x:v>
      </x:c>
      <x:c r="C19" s="24" t="n">
        <x:f>IF(C18="Yes",MAX(0,C7-MAX(C6,C10)+1),0)</x:f>
        <x:v>64</x:v>
      </x:c>
      <x:c r="D19" s="2"/>
      <x:c r="E19" s="2"/>
      <x:c r="F19" s="2"/>
    </x:row>
    <x:row r="20" ht="26" customHeight="1">
      <x:c r="A20" s="2"/>
      <x:c r="B20" s="2" t="str">
        <x:v>Days reaching COGS this quarter</x:v>
      </x:c>
      <x:c r="C20" s="25" t="n">
        <x:f>IF(C18="Yes",MAX(0,C7-MAX(C6,C10)-C13+1),0)</x:f>
        <x:v>34</x:v>
      </x:c>
      <x:c r="D20" s="2"/>
      <x:c r="E20" s="2"/>
      <x:c r="F20" s="2"/>
    </x:row>
    <x:row r="21" ht="26" customHeight="1">
      <x:c r="A21" s="2"/>
      <x:c r="B21" s="2" t="str">
        <x:v>Additional import duty ($m)</x:v>
      </x:c>
      <x:c r="C21" s="26" t="n">
        <x:f>IF(COUNT(C11:C13)&lt;3,"Missing input",IF(C18="Yes",C11*C12*C19/C17,"Not known at cutoff"))</x:f>
        <x:v>7.032967032967033</x:v>
      </x:c>
      <x:c r="D21" s="2" t="str">
        <x:v>Imports × incremental rate × day share</x:v>
      </x:c>
      <x:c r="E21" s="2"/>
      <x:c r="F21" s="2"/>
    </x:row>
    <x:row r="22" ht="26" customHeight="1">
      <x:c r="A22" s="2"/>
      <x:c r="B22" s="2" t="str">
        <x:v>Additional COGS ($m)</x:v>
      </x:c>
      <x:c r="C22" s="26" t="n">
        <x:f>IF(COUNT(C11:C13)&lt;3,"Missing input",IF(C18="Yes",C11*C12*C20/C17,"Not known at cutoff"))</x:f>
        <x:v>3.7362637362637363</x:v>
      </x:c>
      <x:c r="D22" s="2" t="str">
        <x:v>Same build, after inventory lag</x:v>
      </x:c>
      <x:c r="E22" s="2"/>
      <x:c r="F22" s="2"/>
    </x:row>
    <x:row r="23" ht="26" customHeight="1">
      <x:c r="A23" s="2"/>
      <x:c r="B23" s="2" t="str">
        <x:v>Pre-tax profit change ($m)</x:v>
      </x:c>
      <x:c r="C23" s="27" t="n">
        <x:f>IF(ISNUMBER(C22),-C22,C22)</x:f>
        <x:v>-3.7362637362637363</x:v>
      </x:c>
      <x:c r="D23" s="2" t="str">
        <x:v>Before pricing or other offsets</x:v>
      </x:c>
      <x:c r="E23" s="2"/>
      <x:c r="F23" s="2"/>
    </x:row>
    <x:row r="24" ht="26" customHeight="1">
      <x:c r="A24" s="2"/>
      <x:c r="B24" s="2"/>
      <x:c r="C24" s="2"/>
      <x:c r="D24" s="2"/>
      <x:c r="E24" s="2"/>
      <x:c r="F24" s="2"/>
    </x:row>
    <x:row r="25" ht="26" customHeight="1">
      <x:c r="A25" s="2"/>
      <x:c r="B25" s="2"/>
      <x:c r="C25" s="2"/>
      <x:c r="D25" s="2"/>
      <x:c r="E25" s="2"/>
      <x:c r="F25" s="2"/>
    </x:row>
    <x:row r="26" ht="26" customHeight="1">
      <x:c r="A26" s="2"/>
      <x:c r="B26" s="2" t="str">
        <x:v>Timing alone does not identify P&amp;G exposure, exemptions, or inventory turnover.</x:v>
      </x:c>
      <x:c r="C26" s="2"/>
      <x:c r="D26" s="2"/>
      <x:c r="E26" s="2"/>
      <x:c r="F26" s="2"/>
    </x:row>
    <x:row r="27" ht="26" customHeight="1">
      <x:c r="A27" s="2"/>
      <x:c r="B27" s="2" t="str">
        <x:v>Cash duties and COGS differ. This model has no pre-quarter inventory carry-in.</x:v>
      </x:c>
      <x:c r="C27" s="2"/>
      <x:c r="D27" s="2"/>
      <x:c r="E27" s="2"/>
      <x:c r="F27" s="2"/>
    </x:row>
    <x:row r="28" ht="26" customHeight="1">
      <x:c r="A28" s="2"/>
      <x:c r="B28" s="2"/>
      <x:c r="C28" s="2"/>
      <x:c r="D28" s="2"/>
      <x:c r="E28" s="2"/>
      <x:c r="F28" s="2"/>
    </x:row>
    <x:row r="29" ht="26" customHeight="1">
      <x:c r="A29" s="2"/>
      <x:c r="B29" s="2"/>
      <x:c r="C29" s="2"/>
      <x:c r="D29" s="2"/>
      <x:c r="E29" s="2"/>
      <x:c r="F29" s="2"/>
    </x:row>
    <x:row r="30" ht="48" customHeight="1">
      <x:c r="A30" s="2"/>
      <x:c r="B30" s="6" t="str">
        <x:v>Published P&amp;G evidence</x:v>
      </x:c>
      <x:c r="C30" s="6" t="str">
        <x:v>Value</x:v>
      </x:c>
      <x:c r="D30" s="6" t="str">
        <x:v>Treatment</x:v>
      </x:c>
      <x:c r="E30" s="2"/>
      <x:c r="F30" s="2"/>
    </x:row>
    <x:row r="31" ht="42" customHeight="1">
      <x:c r="A31" s="2"/>
      <x:c r="B31" s="2" t="str">
        <x:v>FY2026 tariff cost ($m, after tax)</x:v>
      </x:c>
      <x:c r="C31" s="28" t="n">
        <x:v>400</x:v>
      </x:c>
      <x:c r="D31" s="16" t="str">
        <x:v>Already in company guidance</x:v>
      </x:c>
      <x:c r="E31" s="2"/>
      <x:c r="F31" s="2"/>
    </x:row>
    <x:row r="32" ht="42" customHeight="1">
      <x:c r="A32" s="2"/>
      <x:c r="B32" s="2" t="str">
        <x:v>Jan–Mar gross-margin drag (bps)</x:v>
      </x:c>
      <x:c r="C32" s="25" t="n">
        <x:v>50</x:v>
      </x:c>
      <x:c r="D32" s="16" t="str">
        <x:v>Actual quarter; not a future rate</x:v>
      </x:c>
      <x:c r="E32" s="2"/>
      <x:c r="F32" s="2"/>
    </x:row>
    <x:row r="33" ht="42" customHeight="1">
      <x:c r="A33" s="2"/>
      <x:c r="B33" s="2" t="str">
        <x:v>Potential IEEPA recovery ($m)</x:v>
      </x:c>
      <x:c r="C33" s="27" t="n">
        <x:v>200</x:v>
      </x:c>
      <x:c r="D33" s="16" t="str">
        <x:v>No recovery recognized at 31 March</x:v>
      </x:c>
      <x:c r="E33" s="2"/>
      <x:c r="F33" s="2"/>
    </x:row>
    <x:row r="34" ht="26" customHeight="1">
      <x:c r="A34" s="2"/>
      <x:c r="B34" s="2"/>
      <x:c r="C34" s="2"/>
      <x:c r="D34" s="2"/>
      <x:c r="E34" s="2"/>
      <x:c r="F34" s="2"/>
    </x:row>
    <x:row r="35" ht="26" customHeight="1">
      <x:c r="A35" s="2"/>
      <x:c r="B35" s="2" t="str">
        <x:v>Do not subtract the $400m again. Do not divide it by four without support.</x:v>
      </x:c>
      <x:c r="C35" s="2"/>
      <x:c r="D35" s="2"/>
      <x:c r="E35" s="2"/>
      <x:c r="F35" s="2"/>
    </x:row>
    <x:row r="36" ht="26" customHeight="1">
      <x:c r="A36" s="2"/>
      <x:c r="B36" s="2" t="str">
        <x:v>A possible refund is not booked profit or cash received.</x:v>
      </x:c>
      <x:c r="C36" s="2"/>
      <x:c r="D36" s="2"/>
      <x:c r="E36" s="2"/>
      <x:c r="F36" s="2"/>
    </x:row>
    <x:row r="37" ht="26" customHeight="1">
      <x:c r="A37" s="2"/>
      <x:c r="B37" s="2"/>
      <x:c r="C37" s="2"/>
      <x:c r="D37" s="2"/>
      <x:c r="E37" s="2"/>
      <x:c r="F37" s="2"/>
    </x:row>
    <x:row r="38" ht="26" customHeight="1">
      <x:c r="A38" s="2"/>
      <x:c r="B38" s="2"/>
      <x:c r="C38" s="2"/>
      <x:c r="D38" s="2"/>
      <x:c r="E38" s="2"/>
      <x:c r="F38" s="2"/>
    </x:row>
    <x:row r="39" ht="26" customHeight="1">
      <x:c r="A39" s="2"/>
      <x:c r="B39" s="2" t="str">
        <x:v>Sources / assumptions</x:v>
      </x:c>
      <x:c r="C39" s="2"/>
      <x:c r="D39" s="2"/>
      <x:c r="E39" s="2"/>
      <x:c r="F39" s="2"/>
    </x:row>
    <x:row r="40" ht="26" customHeight="1">
      <x:c r="A40" s="2"/>
      <x:c r="B40" s="2" t="str">
        <x:v>P&amp;G 24-Apr-2026 release: outlook and January–March margin discussion</x:v>
      </x:c>
      <x:c r="C40" s="2"/>
      <x:c r="D40" s="2"/>
      <x:c r="E40" s="2"/>
      <x:c r="F40" s="2"/>
    </x:row>
    <x:row r="41" ht="26" customHeight="1">
      <x:c r="A41" s="2"/>
      <x:c r="B41" s="2" t="str">
        <x:v>https://www.sec.gov/Archives/edgar/data/80424/000008042426000056/fy2526q3jfm8-kexhibit991.htm</x:v>
      </x:c>
      <x:c r="C41" s="2"/>
      <x:c r="D41" s="2"/>
      <x:c r="E41" s="2"/>
      <x:c r="F41" s="2"/>
    </x:row>
    <x:row r="42" ht="26" customHeight="1">
      <x:c r="A42" s="2"/>
      <x:c r="B42" s="2"/>
      <x:c r="C42" s="2"/>
      <x:c r="D42" s="2"/>
      <x:c r="E42" s="2"/>
      <x:c r="F42" s="2"/>
    </x:row>
    <x:row r="43" ht="26" customHeight="1">
      <x:c r="A43" s="2"/>
      <x:c r="B43" s="2" t="str">
        <x:v>P&amp;G March 2026 10-Q: US Tariffs note; approximately $200m potential recovery</x:v>
      </x:c>
      <x:c r="C43" s="2"/>
      <x:c r="D43" s="2"/>
      <x:c r="E43" s="2"/>
      <x:c r="F43" s="2"/>
    </x:row>
    <x:row r="44" ht="26" customHeight="1">
      <x:c r="A44" s="2"/>
      <x:c r="B44" s="2" t="str">
        <x:v>https://www.sec.gov/Archives/edgar/data/80424/000008042426000060/pg-20260331.htm</x:v>
      </x:c>
      <x:c r="C44" s="2"/>
      <x:c r="D44" s="2"/>
      <x:c r="E44" s="2"/>
      <x:c r="F44" s="2"/>
    </x:row>
    <x:row r="45" ht="26" customHeight="1">
      <x:c r="A45" s="2"/>
      <x:c r="B45" s="2"/>
      <x:c r="C45" s="2"/>
      <x:c r="D45" s="2"/>
      <x:c r="E45" s="2"/>
      <x:c r="F45" s="2"/>
    </x:row>
    <x:row r="46" ht="26" customHeight="1">
      <x:c r="A46" s="2"/>
      <x:c r="B46" s="2" t="str">
        <x:v>Timing example: 12-May-2025 announcement, 14-May effective. Historical rule only.</x:v>
      </x:c>
      <x:c r="C46" s="2"/>
      <x:c r="D46" s="2"/>
      <x:c r="E46" s="2"/>
      <x:c r="F46" s="2"/>
    </x:row>
    <x:row r="47" ht="26" customHeight="1">
      <x:c r="A47" s="2"/>
      <x:c r="B47" s="2" t="str">
        <x:v>https://www.whitehouse.gov/presidential-actions/2025/05/modifying-reciprocal-tariff-rates-to-reflect-discussions-with-the-peoples-republic-of-china/</x:v>
      </x:c>
      <x:c r="C47" s="2"/>
      <x:c r="D47" s="2"/>
      <x:c r="E47" s="2"/>
      <x:c r="F47" s="2"/>
    </x:row>
    <x:row r="48" ht="26" customHeight="1">
      <x:c r="A48" s="2"/>
      <x:c r="B48" s="2"/>
      <x:c r="C48" s="2"/>
      <x:c r="D48" s="2"/>
      <x:c r="E48" s="2"/>
      <x:c r="F48" s="2"/>
    </x:row>
    <x:row r="49" ht="26" customHeight="1">
      <x:c r="A49" s="2"/>
      <x:c r="B49" s="2" t="str">
        <x:v>Rows 6–13: analyst assumptions. Incremental rate is relative to the baseline already modelled.</x:v>
      </x:c>
      <x:c r="C49" s="2"/>
      <x:c r="D49" s="2"/>
      <x:c r="E49" s="2"/>
      <x:c r="F49" s="2"/>
    </x:row>
    <x:row r="50" ht="26" customHeight="1">
      <x:c r="A50" s="2"/>
      <x:c r="B50" s="2"/>
      <x:c r="C50" s="2"/>
      <x:c r="D50" s="2"/>
      <x:c r="E50" s="2"/>
      <x:c r="F50" s="2"/>
    </x:row>
    <x:row r="51" ht="26" customHeight="1">
      <x:c r="A51" s="2"/>
      <x:c r="B51" s="2"/>
      <x:c r="C51" s="2"/>
      <x:c r="D51" s="2"/>
      <x:c r="E51" s="2"/>
      <x:c r="F51" s="2"/>
    </x:row>
    <x:row r="52" ht="26" customHeight="1">
      <x:c r="A52" s="2"/>
      <x:c r="B52" s="2"/>
      <x:c r="C52" s="2"/>
      <x:c r="D52" s="2"/>
      <x:c r="E52" s="2"/>
      <x:c r="F52" s="2"/>
    </x:row>
    <x:row r="53" ht="26" customHeight="1">
      <x:c r="A53" s="2"/>
      <x:c r="B53" s="2"/>
      <x:c r="C53" s="2"/>
      <x:c r="D53" s="2"/>
      <x:c r="E53" s="2"/>
      <x:c r="F53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56" hidden="0" customWidth="1"/>
    <x:col min="3" max="3" width="20" hidden="0" customWidth="1"/>
    <x:col min="4" max="4" width="23" hidden="0" customWidth="1"/>
    <x:col min="5" max="5" width="19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6" customHeight="1">
      <x:c r="A2" s="2"/>
      <x:c r="B2" s="3" t="str">
        <x:v>Compare methods on identical target quarters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8" customHeight="1">
      <x:c r="A5" s="2"/>
      <x:c r="B5" s="6" t="str">
        <x:v>P&amp;G measure</x:v>
      </x:c>
      <x:c r="C5" s="6" t="str">
        <x:v>Stage</x:v>
      </x:c>
      <x:c r="D5" s="6" t="str">
        <x:v>Model</x:v>
      </x:c>
      <x:c r="E5" s="6" t="str">
        <x:v>Sample</x:v>
      </x:c>
      <x:c r="F5" s="6" t="str">
        <x:v>Quarters</x:v>
      </x:c>
      <x:c r="G5" s="6" t="str">
        <x:v>RMSE pp</x:v>
      </x:c>
      <x:c r="H5" s="6" t="str">
        <x:v>MAE pp</x:v>
      </x:c>
      <x:c r="I5" s="6" t="str">
        <x:v>Bias pp</x:v>
      </x:c>
      <x:c r="J5" s="6" t="str">
        <x:v>Last actual RMSE</x:v>
      </x:c>
      <x:c r="K5" s="6" t="str">
        <x:v>Broad market RMSE</x:v>
      </x:c>
    </x:row>
    <x:row r="6" ht="26" customHeight="1">
      <x:c r="A6" s="2"/>
      <x:c r="B6" s="2" t="str">
        <x:v>Baby, Feminine &amp; Family Care / organic_volume_growth</x:v>
      </x:c>
      <x:c r="C6" s="2" t="str">
        <x:v>Origin</x:v>
      </x:c>
      <x:c r="D6" s="2" t="str">
        <x:v>Bias correction</x:v>
      </x:c>
      <x:c r="E6" s="2" t="str">
        <x:v>All available</x:v>
      </x:c>
      <x:c r="F6" s="2" t="n">
        <x:v>7</x:v>
      </x:c>
      <x:c r="G6" s="8" t="n">
        <x:f>SQRT(AVERAGE(Forecasts!N2864,Forecasts!N2870,Forecasts!N2876,Forecasts!N2882,Forecasts!N2888,Forecasts!N2894,Forecasts!N2900))</x:f>
        <x:v>3.312080020706751</x:v>
      </x:c>
      <x:c r="H6" s="8" t="n">
        <x:f>AVERAGE(Forecasts!O2864,Forecasts!O2870,Forecasts!O2876,Forecasts!O2882,Forecasts!O2888,Forecasts!O2894,Forecasts!O2900)</x:f>
        <x:v>2.321694510072452</x:v>
      </x:c>
      <x:c r="I6" s="8" t="n">
        <x:f>AVERAGE(Forecasts!M2864,Forecasts!M2870,Forecasts!M2876,Forecasts!M2882,Forecasts!M2888,Forecasts!M2894,Forecasts!M2900)</x:f>
        <x:v>-0.36028250526905964</x:v>
      </x:c>
      <x:c r="J6" s="8" t="n">
        <x:f>SQRT(AVERAGE(Forecasts!N1933,Forecasts!N1950,Forecasts!N1966,Forecasts!N1982,Forecasts!N1998,Forecasts!N2014,Forecasts!N2030))</x:f>
        <x:v>3.4641016151377544</x:v>
      </x:c>
      <x:c r="K6" s="8" t="n">
        <x:f>SQRT(AVERAGE(Forecasts!N1935,Forecasts!N1952,Forecasts!N1968,Forecasts!N1984,Forecasts!N2000,Forecasts!N2016,Forecasts!N2032))</x:f>
        <x:v>3.1907722569529775</x:v>
      </x:c>
    </x:row>
    <x:row r="7" ht="26" customHeight="1">
      <x:c r="A7" s="2"/>
      <x:c r="B7" s="2" t="str">
        <x:v>Baby, Feminine &amp; Family Care / organic_volume_growth</x:v>
      </x:c>
      <x:c r="C7" s="2" t="str">
        <x:v>Origin</x:v>
      </x:c>
      <x:c r="D7" s="2" t="str">
        <x:v>Bias correction</x:v>
      </x:c>
      <x:c r="E7" s="2" t="str">
        <x:v>Recent eight</x:v>
      </x:c>
      <x:c r="F7" s="2" t="n">
        <x:v>7</x:v>
      </x:c>
      <x:c r="G7" s="8" t="n">
        <x:f>SQRT(AVERAGE(Forecasts!N2864,Forecasts!N2870,Forecasts!N2876,Forecasts!N2882,Forecasts!N2888,Forecasts!N2894,Forecasts!N2900))</x:f>
        <x:v>3.312080020706751</x:v>
      </x:c>
      <x:c r="H7" s="8" t="n">
        <x:f>AVERAGE(Forecasts!O2864,Forecasts!O2870,Forecasts!O2876,Forecasts!O2882,Forecasts!O2888,Forecasts!O2894,Forecasts!O2900)</x:f>
        <x:v>2.321694510072452</x:v>
      </x:c>
      <x:c r="I7" s="8" t="n">
        <x:f>AVERAGE(Forecasts!M2864,Forecasts!M2870,Forecasts!M2876,Forecasts!M2882,Forecasts!M2888,Forecasts!M2894,Forecasts!M2900)</x:f>
        <x:v>-0.36028250526905964</x:v>
      </x:c>
      <x:c r="J7" s="8" t="n">
        <x:f>SQRT(AVERAGE(Forecasts!N1933,Forecasts!N1950,Forecasts!N1966,Forecasts!N1982,Forecasts!N1998,Forecasts!N2014,Forecasts!N2030))</x:f>
        <x:v>3.4641016151377544</x:v>
      </x:c>
      <x:c r="K7" s="8" t="n">
        <x:f>SQRT(AVERAGE(Forecasts!N1935,Forecasts!N1952,Forecasts!N1968,Forecasts!N1984,Forecasts!N2000,Forecasts!N2016,Forecasts!N2032))</x:f>
        <x:v>3.1907722569529775</x:v>
      </x:c>
    </x:row>
    <x:row r="8" ht="26" customHeight="1">
      <x:c r="A8" s="2"/>
      <x:c r="B8" s="2" t="str">
        <x:v>Baby, Feminine &amp; Family Care / organic_volume_growth</x:v>
      </x:c>
      <x:c r="C8" s="2" t="str">
        <x:v>Origin</x:v>
      </x:c>
      <x:c r="D8" s="2" t="str">
        <x:v>Broad market</x:v>
      </x:c>
      <x:c r="E8" s="2" t="str">
        <x:v>All available</x:v>
      </x:c>
      <x:c r="F8" s="2" t="n">
        <x:v>12</x:v>
      </x:c>
      <x:c r="G8" s="8" t="n">
        <x:f>SQRT(AVERAGE(Forecasts!N1856,Forecasts!N1871,Forecasts!N1887,Forecasts!N1903,Forecasts!N1919,Forecasts!N1935,Forecasts!N1952,Forecasts!N1968,Forecasts!N1984,Forecasts!N2000,Forecasts!N2016,Forecasts!N2032))</x:f>
        <x:v>2.5355906223569042</x:v>
      </x:c>
      <x:c r="H8" s="8" t="n">
        <x:f>AVERAGE(Forecasts!O1856,Forecasts!O1871,Forecasts!O1887,Forecasts!O1903,Forecasts!O1919,Forecasts!O1935,Forecasts!O1952,Forecasts!O1968,Forecasts!O1984,Forecasts!O2000,Forecasts!O2016,Forecasts!O2032)</x:f>
        <x:v>1.8874829434556126</x:v>
      </x:c>
      <x:c r="I8" s="8" t="n">
        <x:f>AVERAGE(Forecasts!M1856,Forecasts!M1871,Forecasts!M1887,Forecasts!M1903,Forecasts!M1919,Forecasts!M1935,Forecasts!M1952,Forecasts!M1968,Forecasts!M1984,Forecasts!M2000,Forecasts!M2016,Forecasts!M2032)</x:f>
        <x:v>-0.887228193372056</x:v>
      </x:c>
      <x:c r="J8" s="8" t="n">
        <x:f>SQRT(AVERAGE(Forecasts!N1854,Forecasts!N1869,Forecasts!N1885,Forecasts!N1901,Forecasts!N1917,Forecasts!N1933,Forecasts!N1950,Forecasts!N1966,Forecasts!N1982,Forecasts!N1998,Forecasts!N2014,Forecasts!N2030))</x:f>
        <x:v>3.24037034920393</x:v>
      </x:c>
      <x:c r="K8" s="8" t="n">
        <x:f>SQRT(AVERAGE(Forecasts!N1856,Forecasts!N1871,Forecasts!N1887,Forecasts!N1903,Forecasts!N1919,Forecasts!N1935,Forecasts!N1952,Forecasts!N1968,Forecasts!N1984,Forecasts!N2000,Forecasts!N2016,Forecasts!N2032))</x:f>
        <x:v>2.5355906223569042</x:v>
      </x:c>
    </x:row>
    <x:row r="9" ht="26" customHeight="1">
      <x:c r="A9" s="2"/>
      <x:c r="B9" s="2" t="str">
        <x:v>Baby, Feminine &amp; Family Care / organic_volume_growth</x:v>
      </x:c>
      <x:c r="C9" s="2" t="str">
        <x:v>Origin</x:v>
      </x:c>
      <x:c r="D9" s="2" t="str">
        <x:v>Broad market</x:v>
      </x:c>
      <x:c r="E9" s="2" t="str">
        <x:v>Recent eight</x:v>
      </x:c>
      <x:c r="F9" s="2" t="n">
        <x:v>8</x:v>
      </x:c>
      <x:c r="G9" s="8" t="n">
        <x:f>SQRT(AVERAGE(Forecasts!N1919,Forecasts!N1935,Forecasts!N1952,Forecasts!N1968,Forecasts!N1984,Forecasts!N2000,Forecasts!N2016,Forecasts!N2032))</x:f>
        <x:v>3.0027284149320517</x:v>
      </x:c>
      <x:c r="H9" s="8" t="n">
        <x:f>AVERAGE(Forecasts!O1919,Forecasts!O1935,Forecasts!O1952,Forecasts!O1968,Forecasts!O1984,Forecasts!O2000,Forecasts!O2016,Forecasts!O2032)</x:f>
        <x:v>2.3492753494732215</x:v>
      </x:c>
      <x:c r="I9" s="8" t="n">
        <x:f>AVERAGE(Forecasts!M1919,Forecasts!M1935,Forecasts!M1952,Forecasts!M1968,Forecasts!M1984,Forecasts!M2000,Forecasts!M2016,Forecasts!M2032)</x:f>
        <x:v>-1.3727275755592692</x:v>
      </x:c>
      <x:c r="J9" s="8" t="n">
        <x:f>SQRT(AVERAGE(Forecasts!N1917,Forecasts!N1933,Forecasts!N1950,Forecasts!N1966,Forecasts!N1982,Forecasts!N1998,Forecasts!N2014,Forecasts!N2030))</x:f>
        <x:v>3.2596012026013246</x:v>
      </x:c>
      <x:c r="K9" s="8" t="n">
        <x:f>SQRT(AVERAGE(Forecasts!N1919,Forecasts!N1935,Forecasts!N1952,Forecasts!N1968,Forecasts!N1984,Forecasts!N2000,Forecasts!N2016,Forecasts!N2032))</x:f>
        <x:v>3.0027284149320517</x:v>
      </x:c>
    </x:row>
    <x:row r="10" ht="26" customHeight="1">
      <x:c r="A10" s="2"/>
      <x:c r="B10" s="2" t="str">
        <x:v>Baby, Feminine &amp; Family Care / organic_volume_growth</x:v>
      </x:c>
      <x:c r="C10" s="2" t="str">
        <x:v>Origin</x:v>
      </x:c>
      <x:c r="D10" s="2" t="str">
        <x:v>Broad rolling 8</x:v>
      </x:c>
      <x:c r="E10" s="2" t="str">
        <x:v>All available</x:v>
      </x:c>
      <x:c r="F10" s="2" t="n">
        <x:v>12</x:v>
      </x:c>
      <x:c r="G10" s="8" t="n">
        <x:f>SQRT(AVERAGE(Forecasts!N1857,Forecasts!N1872,Forecasts!N1888,Forecasts!N1904,Forecasts!N1920,Forecasts!N1936,Forecasts!N1953,Forecasts!N1969,Forecasts!N1985,Forecasts!N2001,Forecasts!N2017,Forecasts!N2033))</x:f>
        <x:v>2.4994886641299665</x:v>
      </x:c>
      <x:c r="H10" s="8" t="n">
        <x:f>AVERAGE(Forecasts!O1857,Forecasts!O1872,Forecasts!O1888,Forecasts!O1904,Forecasts!O1920,Forecasts!O1936,Forecasts!O1953,Forecasts!O1969,Forecasts!O1985,Forecasts!O2001,Forecasts!O2017,Forecasts!O2033)</x:f>
        <x:v>1.7732418544833557</x:v>
      </x:c>
      <x:c r="I10" s="8" t="n">
        <x:f>AVERAGE(Forecasts!M1857,Forecasts!M1872,Forecasts!M1888,Forecasts!M1904,Forecasts!M1920,Forecasts!M1936,Forecasts!M1953,Forecasts!M1969,Forecasts!M1985,Forecasts!M2001,Forecasts!M2017,Forecasts!M2033)</x:f>
        <x:v>-0.34614324944647823</x:v>
      </x:c>
      <x:c r="J10" s="8" t="n">
        <x:f>SQRT(AVERAGE(Forecasts!N1854,Forecasts!N1869,Forecasts!N1885,Forecasts!N1901,Forecasts!N1917,Forecasts!N1933,Forecasts!N1950,Forecasts!N1966,Forecasts!N1982,Forecasts!N1998,Forecasts!N2014,Forecasts!N2030))</x:f>
        <x:v>3.24037034920393</x:v>
      </x:c>
      <x:c r="K10" s="8" t="n">
        <x:f>SQRT(AVERAGE(Forecasts!N1856,Forecasts!N1871,Forecasts!N1887,Forecasts!N1903,Forecasts!N1919,Forecasts!N1935,Forecasts!N1952,Forecasts!N1968,Forecasts!N1984,Forecasts!N2000,Forecasts!N2016,Forecasts!N2032))</x:f>
        <x:v>2.5355906223569042</x:v>
      </x:c>
    </x:row>
    <x:row r="11" ht="26" customHeight="1">
      <x:c r="A11" s="2"/>
      <x:c r="B11" s="2" t="str">
        <x:v>Baby, Feminine &amp; Family Care / organic_volume_growth</x:v>
      </x:c>
      <x:c r="C11" s="2" t="str">
        <x:v>Origin</x:v>
      </x:c>
      <x:c r="D11" s="2" t="str">
        <x:v>Broad rolling 8</x:v>
      </x:c>
      <x:c r="E11" s="2" t="str">
        <x:v>Recent eight</x:v>
      </x:c>
      <x:c r="F11" s="2" t="n">
        <x:v>8</x:v>
      </x:c>
      <x:c r="G11" s="8" t="n">
        <x:f>SQRT(AVERAGE(Forecasts!N1920,Forecasts!N1936,Forecasts!N1953,Forecasts!N1969,Forecasts!N1985,Forecasts!N2001,Forecasts!N2017,Forecasts!N2033))</x:f>
        <x:v>2.929033002331796</x:v>
      </x:c>
      <x:c r="H11" s="8" t="n">
        <x:f>AVERAGE(Forecasts!O1920,Forecasts!O1936,Forecasts!O1953,Forecasts!O1969,Forecasts!O1985,Forecasts!O2001,Forecasts!O2017,Forecasts!O2033)</x:f>
        <x:v>2.0908880131334815</x:v>
      </x:c>
      <x:c r="I11" s="8" t="n">
        <x:f>AVERAGE(Forecasts!M1920,Forecasts!M1936,Forecasts!M1953,Forecasts!M1969,Forecasts!M1985,Forecasts!M2001,Forecasts!M2017,Forecasts!M2033)</x:f>
        <x:v>-0.6481258625522568</x:v>
      </x:c>
      <x:c r="J11" s="8" t="n">
        <x:f>SQRT(AVERAGE(Forecasts!N1917,Forecasts!N1933,Forecasts!N1950,Forecasts!N1966,Forecasts!N1982,Forecasts!N1998,Forecasts!N2014,Forecasts!N2030))</x:f>
        <x:v>3.2596012026013246</x:v>
      </x:c>
      <x:c r="K11" s="8" t="n">
        <x:f>SQRT(AVERAGE(Forecasts!N1919,Forecasts!N1935,Forecasts!N1952,Forecasts!N1968,Forecasts!N1984,Forecasts!N2000,Forecasts!N2016,Forecasts!N2032))</x:f>
        <x:v>3.0027284149320517</x:v>
      </x:c>
    </x:row>
    <x:row r="12" ht="26" customHeight="1">
      <x:c r="A12" s="2"/>
      <x:c r="B12" s="2" t="str">
        <x:v>Baby, Feminine &amp; Family Care / organic_volume_growth</x:v>
      </x:c>
      <x:c r="C12" s="2" t="str">
        <x:v>Origin</x:v>
      </x:c>
      <x:c r="D12" s="2" t="str">
        <x:v>Four-quarter mean</x:v>
      </x:c>
      <x:c r="E12" s="2" t="str">
        <x:v>All available</x:v>
      </x:c>
      <x:c r="F12" s="2" t="n">
        <x:v>12</x:v>
      </x:c>
      <x:c r="G12" s="8" t="n">
        <x:f>SQRT(AVERAGE(Forecasts!N1855,Forecasts!N1870,Forecasts!N1886,Forecasts!N1902,Forecasts!N1918,Forecasts!N1934,Forecasts!N1951,Forecasts!N1967,Forecasts!N1983,Forecasts!N1999,Forecasts!N2015,Forecasts!N2031))</x:f>
        <x:v>2.587026929379231</x:v>
      </x:c>
      <x:c r="H12" s="8" t="n">
        <x:f>AVERAGE(Forecasts!O1855,Forecasts!O1870,Forecasts!O1886,Forecasts!O1902,Forecasts!O1918,Forecasts!O1934,Forecasts!O1951,Forecasts!O1967,Forecasts!O1983,Forecasts!O1999,Forecasts!O2015,Forecasts!O2031)</x:f>
        <x:v>1.6875</x:v>
      </x:c>
      <x:c r="I12" s="8" t="n">
        <x:f>AVERAGE(Forecasts!M1855,Forecasts!M1870,Forecasts!M1886,Forecasts!M1902,Forecasts!M1918,Forecasts!M1934,Forecasts!M1951,Forecasts!M1967,Forecasts!M1983,Forecasts!M1999,Forecasts!M2015,Forecasts!M2031)</x:f>
        <x:v>-0.7708333333333334</x:v>
      </x:c>
      <x:c r="J12" s="8" t="n">
        <x:f>SQRT(AVERAGE(Forecasts!N1854,Forecasts!N1869,Forecasts!N1885,Forecasts!N1901,Forecasts!N1917,Forecasts!N1933,Forecasts!N1950,Forecasts!N1966,Forecasts!N1982,Forecasts!N1998,Forecasts!N2014,Forecasts!N2030))</x:f>
        <x:v>3.24037034920393</x:v>
      </x:c>
      <x:c r="K12" s="8" t="n">
        <x:f>SQRT(AVERAGE(Forecasts!N1856,Forecasts!N1871,Forecasts!N1887,Forecasts!N1903,Forecasts!N1919,Forecasts!N1935,Forecasts!N1952,Forecasts!N1968,Forecasts!N1984,Forecasts!N2000,Forecasts!N2016,Forecasts!N2032))</x:f>
        <x:v>2.5355906223569042</x:v>
      </x:c>
    </x:row>
    <x:row r="13" ht="26" customHeight="1">
      <x:c r="A13" s="2"/>
      <x:c r="B13" s="2" t="str">
        <x:v>Baby, Feminine &amp; Family Care / organic_volume_growth</x:v>
      </x:c>
      <x:c r="C13" s="2" t="str">
        <x:v>Origin</x:v>
      </x:c>
      <x:c r="D13" s="2" t="str">
        <x:v>Four-quarter mean</x:v>
      </x:c>
      <x:c r="E13" s="2" t="str">
        <x:v>Recent eight</x:v>
      </x:c>
      <x:c r="F13" s="2" t="n">
        <x:v>8</x:v>
      </x:c>
      <x:c r="G13" s="8" t="n">
        <x:f>SQRT(AVERAGE(Forecasts!N1918,Forecasts!N1934,Forecasts!N1951,Forecasts!N1967,Forecasts!N1983,Forecasts!N1999,Forecasts!N2015,Forecasts!N2031))</x:f>
        <x:v>3.073322713286062</x:v>
      </x:c>
      <x:c r="H13" s="8" t="n">
        <x:f>AVERAGE(Forecasts!O1918,Forecasts!O1934,Forecasts!O1951,Forecasts!O1967,Forecasts!O1983,Forecasts!O1999,Forecasts!O2015,Forecasts!O2031)</x:f>
        <x:v>2.09375</x:v>
      </x:c>
      <x:c r="I13" s="8" t="n">
        <x:f>AVERAGE(Forecasts!M1918,Forecasts!M1934,Forecasts!M1951,Forecasts!M1967,Forecasts!M1983,Forecasts!M1999,Forecasts!M2015,Forecasts!M2031)</x:f>
        <x:v>-0.71875</x:v>
      </x:c>
      <x:c r="J13" s="8" t="n">
        <x:f>SQRT(AVERAGE(Forecasts!N1917,Forecasts!N1933,Forecasts!N1950,Forecasts!N1966,Forecasts!N1982,Forecasts!N1998,Forecasts!N2014,Forecasts!N2030))</x:f>
        <x:v>3.2596012026013246</x:v>
      </x:c>
      <x:c r="K13" s="8" t="n">
        <x:f>SQRT(AVERAGE(Forecasts!N1919,Forecasts!N1935,Forecasts!N1952,Forecasts!N1968,Forecasts!N1984,Forecasts!N2000,Forecasts!N2016,Forecasts!N2032))</x:f>
        <x:v>3.0027284149320517</x:v>
      </x:c>
    </x:row>
    <x:row r="14" ht="26" customHeight="1">
      <x:c r="A14" s="2"/>
      <x:c r="B14" s="2" t="str">
        <x:v>Baby, Feminine &amp; Family Care / organic_volume_growth</x:v>
      </x:c>
      <x:c r="C14" s="2" t="str">
        <x:v>Origin</x:v>
      </x:c>
      <x:c r="D14" s="2" t="str">
        <x:v>Half correction</x:v>
      </x:c>
      <x:c r="E14" s="2" t="str">
        <x:v>All available</x:v>
      </x:c>
      <x:c r="F14" s="2" t="n">
        <x:v>7</x:v>
      </x:c>
      <x:c r="G14" s="8" t="n">
        <x:f>SQRT(AVERAGE(Forecasts!N2865,Forecasts!N2871,Forecasts!N2877,Forecasts!N2883,Forecasts!N2889,Forecasts!N2895,Forecasts!N2901))</x:f>
        <x:v>3.1677604434481736</x:v>
      </x:c>
      <x:c r="H14" s="8" t="n">
        <x:f>AVERAGE(Forecasts!O2865,Forecasts!O2871,Forecasts!O2877,Forecasts!O2883,Forecasts!O2889,Forecasts!O2895,Forecasts!O2901)</x:f>
        <x:v>2.3286042751744804</x:v>
      </x:c>
      <x:c r="I14" s="8" t="n">
        <x:f>AVERAGE(Forecasts!M2865,Forecasts!M2871,Forecasts!M2877,Forecasts!M2883,Forecasts!M2889,Forecasts!M2895,Forecasts!M2901)</x:f>
        <x:v>-0.8981695304662392</x:v>
      </x:c>
      <x:c r="J14" s="8" t="n">
        <x:f>SQRT(AVERAGE(Forecasts!N1933,Forecasts!N1950,Forecasts!N1966,Forecasts!N1982,Forecasts!N1998,Forecasts!N2014,Forecasts!N2030))</x:f>
        <x:v>3.4641016151377544</x:v>
      </x:c>
      <x:c r="K14" s="8" t="n">
        <x:f>SQRT(AVERAGE(Forecasts!N1935,Forecasts!N1952,Forecasts!N1968,Forecasts!N1984,Forecasts!N2000,Forecasts!N2016,Forecasts!N2032))</x:f>
        <x:v>3.1907722569529775</x:v>
      </x:c>
    </x:row>
    <x:row r="15" ht="26" customHeight="1">
      <x:c r="A15" s="2"/>
      <x:c r="B15" s="2" t="str">
        <x:v>Baby, Feminine &amp; Family Care / organic_volume_growth</x:v>
      </x:c>
      <x:c r="C15" s="2" t="str">
        <x:v>Origin</x:v>
      </x:c>
      <x:c r="D15" s="2" t="str">
        <x:v>Half correction</x:v>
      </x:c>
      <x:c r="E15" s="2" t="str">
        <x:v>Recent eight</x:v>
      </x:c>
      <x:c r="F15" s="2" t="n">
        <x:v>7</x:v>
      </x:c>
      <x:c r="G15" s="8" t="n">
        <x:f>SQRT(AVERAGE(Forecasts!N2865,Forecasts!N2871,Forecasts!N2877,Forecasts!N2883,Forecasts!N2889,Forecasts!N2895,Forecasts!N2901))</x:f>
        <x:v>3.1677604434481736</x:v>
      </x:c>
      <x:c r="H15" s="8" t="n">
        <x:f>AVERAGE(Forecasts!O2865,Forecasts!O2871,Forecasts!O2877,Forecasts!O2883,Forecasts!O2889,Forecasts!O2895,Forecasts!O2901)</x:f>
        <x:v>2.3286042751744804</x:v>
      </x:c>
      <x:c r="I15" s="8" t="n">
        <x:f>AVERAGE(Forecasts!M2865,Forecasts!M2871,Forecasts!M2877,Forecasts!M2883,Forecasts!M2889,Forecasts!M2895,Forecasts!M2901)</x:f>
        <x:v>-0.8981695304662392</x:v>
      </x:c>
      <x:c r="J15" s="8" t="n">
        <x:f>SQRT(AVERAGE(Forecasts!N1933,Forecasts!N1950,Forecasts!N1966,Forecasts!N1982,Forecasts!N1998,Forecasts!N2014,Forecasts!N2030))</x:f>
        <x:v>3.4641016151377544</x:v>
      </x:c>
      <x:c r="K15" s="8" t="n">
        <x:f>SQRT(AVERAGE(Forecasts!N1935,Forecasts!N1952,Forecasts!N1968,Forecasts!N1984,Forecasts!N2000,Forecasts!N2016,Forecasts!N2032))</x:f>
        <x:v>3.1907722569529775</x:v>
      </x:c>
    </x:row>
    <x:row r="16" ht="26" customHeight="1">
      <x:c r="A16" s="2"/>
      <x:c r="B16" s="2" t="str">
        <x:v>Baby, Feminine &amp; Family Care / organic_volume_growth</x:v>
      </x:c>
      <x:c r="C16" s="2" t="str">
        <x:v>Origin</x:v>
      </x:c>
      <x:c r="D16" s="2" t="str">
        <x:v>Last actual</x:v>
      </x:c>
      <x:c r="E16" s="2" t="str">
        <x:v>All available</x:v>
      </x:c>
      <x:c r="F16" s="2" t="n">
        <x:v>12</x:v>
      </x:c>
      <x:c r="G16" s="8" t="n">
        <x:f>SQRT(AVERAGE(Forecasts!N1854,Forecasts!N1869,Forecasts!N1885,Forecasts!N1901,Forecasts!N1917,Forecasts!N1933,Forecasts!N1950,Forecasts!N1966,Forecasts!N1982,Forecasts!N1998,Forecasts!N2014,Forecasts!N2030))</x:f>
        <x:v>3.24037034920393</x:v>
      </x:c>
      <x:c r="H16" s="8" t="n">
        <x:f>AVERAGE(Forecasts!O1854,Forecasts!O1869,Forecasts!O1885,Forecasts!O1901,Forecasts!O1917,Forecasts!O1933,Forecasts!O1950,Forecasts!O1966,Forecasts!O1982,Forecasts!O1998,Forecasts!O2014,Forecasts!O2030)</x:f>
        <x:v>2.6666666666666665</x:v>
      </x:c>
      <x:c r="I16" s="8" t="n">
        <x:f>AVERAGE(Forecasts!M1854,Forecasts!M1869,Forecasts!M1885,Forecasts!M1901,Forecasts!M1917,Forecasts!M1933,Forecasts!M1950,Forecasts!M1966,Forecasts!M1982,Forecasts!M1998,Forecasts!M2014,Forecasts!M2030)</x:f>
        <x:v>-0.6666666666666666</x:v>
      </x:c>
      <x:c r="J16" s="8" t="n">
        <x:f>SQRT(AVERAGE(Forecasts!N1854,Forecasts!N1869,Forecasts!N1885,Forecasts!N1901,Forecasts!N1917,Forecasts!N1933,Forecasts!N1950,Forecasts!N1966,Forecasts!N1982,Forecasts!N1998,Forecasts!N2014,Forecasts!N2030))</x:f>
        <x:v>3.24037034920393</x:v>
      </x:c>
      <x:c r="K16" s="8" t="n">
        <x:f>SQRT(AVERAGE(Forecasts!N1856,Forecasts!N1871,Forecasts!N1887,Forecasts!N1903,Forecasts!N1919,Forecasts!N1935,Forecasts!N1952,Forecasts!N1968,Forecasts!N1984,Forecasts!N2000,Forecasts!N2016,Forecasts!N2032))</x:f>
        <x:v>2.5355906223569042</x:v>
      </x:c>
    </x:row>
    <x:row r="17" ht="26" customHeight="1">
      <x:c r="A17" s="2"/>
      <x:c r="B17" s="2" t="str">
        <x:v>Baby, Feminine &amp; Family Care / organic_volume_growth</x:v>
      </x:c>
      <x:c r="C17" s="2" t="str">
        <x:v>Origin</x:v>
      </x:c>
      <x:c r="D17" s="2" t="str">
        <x:v>Last actual</x:v>
      </x:c>
      <x:c r="E17" s="2" t="str">
        <x:v>Recent eight</x:v>
      </x:c>
      <x:c r="F17" s="2" t="n">
        <x:v>8</x:v>
      </x:c>
      <x:c r="G17" s="8" t="n">
        <x:f>SQRT(AVERAGE(Forecasts!N1917,Forecasts!N1933,Forecasts!N1950,Forecasts!N1966,Forecasts!N1982,Forecasts!N1998,Forecasts!N2014,Forecasts!N2030))</x:f>
        <x:v>3.2596012026013246</x:v>
      </x:c>
      <x:c r="H17" s="8" t="n">
        <x:f>AVERAGE(Forecasts!O1917,Forecasts!O1933,Forecasts!O1950,Forecasts!O1966,Forecasts!O1982,Forecasts!O1998,Forecasts!O2014,Forecasts!O2030)</x:f>
        <x:v>2.875</x:v>
      </x:c>
      <x:c r="I17" s="8" t="n">
        <x:f>AVERAGE(Forecasts!M1917,Forecasts!M1933,Forecasts!M1950,Forecasts!M1966,Forecasts!M1982,Forecasts!M1998,Forecasts!M2014,Forecasts!M2030)</x:f>
        <x:v>-0.375</x:v>
      </x:c>
      <x:c r="J17" s="8" t="n">
        <x:f>SQRT(AVERAGE(Forecasts!N1917,Forecasts!N1933,Forecasts!N1950,Forecasts!N1966,Forecasts!N1982,Forecasts!N1998,Forecasts!N2014,Forecasts!N2030))</x:f>
        <x:v>3.2596012026013246</x:v>
      </x:c>
      <x:c r="K17" s="8" t="n">
        <x:f>SQRT(AVERAGE(Forecasts!N1919,Forecasts!N1935,Forecasts!N1952,Forecasts!N1968,Forecasts!N1984,Forecasts!N2000,Forecasts!N2016,Forecasts!N2032))</x:f>
        <x:v>3.0027284149320517</x:v>
      </x:c>
    </x:row>
    <x:row r="18" ht="26" customHeight="1">
      <x:c r="A18" s="2"/>
      <x:c r="B18" s="2" t="str">
        <x:v>Baby, Feminine &amp; Family Care / organic_volume_growth</x:v>
      </x:c>
      <x:c r="C18" s="2" t="str">
        <x:v>Origin</x:v>
      </x:c>
      <x:c r="D18" s="2" t="str">
        <x:v>Own history</x:v>
      </x:c>
      <x:c r="E18" s="2" t="str">
        <x:v>All available</x:v>
      </x:c>
      <x:c r="F18" s="2" t="n">
        <x:v>10</x:v>
      </x:c>
      <x:c r="G18" s="8" t="n">
        <x:f>SQRT(AVERAGE(Forecasts!N1889,Forecasts!N1905,Forecasts!N1921,Forecasts!N1937,Forecasts!N1954,Forecasts!N1970,Forecasts!N1986,Forecasts!N2002,Forecasts!N2018,Forecasts!N2034))</x:f>
        <x:v>2.645927088015719</x:v>
      </x:c>
      <x:c r="H18" s="8" t="n">
        <x:f>AVERAGE(Forecasts!O1889,Forecasts!O1905,Forecasts!O1921,Forecasts!O1937,Forecasts!O1954,Forecasts!O1970,Forecasts!O1986,Forecasts!O2002,Forecasts!O2018,Forecasts!O2034)</x:f>
        <x:v>1.9597752687042536</x:v>
      </x:c>
      <x:c r="I18" s="8" t="n">
        <x:f>AVERAGE(Forecasts!M1889,Forecasts!M1905,Forecasts!M1921,Forecasts!M1937,Forecasts!M1954,Forecasts!M1970,Forecasts!M1986,Forecasts!M2002,Forecasts!M2018,Forecasts!M2034)</x:f>
        <x:v>-0.6040744636428638</x:v>
      </x:c>
      <x:c r="J18" s="8" t="n">
        <x:f>SQRT(AVERAGE(Forecasts!N1885,Forecasts!N1901,Forecasts!N1917,Forecasts!N1933,Forecasts!N1950,Forecasts!N1966,Forecasts!N1982,Forecasts!N1998,Forecasts!N2014,Forecasts!N2030))</x:f>
        <x:v>2.9832867780352594</x:v>
      </x:c>
      <x:c r="K18" s="8" t="n">
        <x:f>SQRT(AVERAGE(Forecasts!N1887,Forecasts!N1903,Forecasts!N1919,Forecasts!N1935,Forecasts!N1952,Forecasts!N1968,Forecasts!N1984,Forecasts!N2000,Forecasts!N2016,Forecasts!N2032))</x:f>
        <x:v>2.7066874214422434</x:v>
      </x:c>
    </x:row>
    <x:row r="19" ht="26" customHeight="1">
      <x:c r="A19" s="2"/>
      <x:c r="B19" s="2" t="str">
        <x:v>Baby, Feminine &amp; Family Care / organic_volume_growth</x:v>
      </x:c>
      <x:c r="C19" s="2" t="str">
        <x:v>Origin</x:v>
      </x:c>
      <x:c r="D19" s="2" t="str">
        <x:v>Own history</x:v>
      </x:c>
      <x:c r="E19" s="2" t="str">
        <x:v>Recent eight</x:v>
      </x:c>
      <x:c r="F19" s="2" t="n">
        <x:v>8</x:v>
      </x:c>
      <x:c r="G19" s="8" t="n">
        <x:f>SQRT(AVERAGE(Forecasts!N1921,Forecasts!N1937,Forecasts!N1954,Forecasts!N1970,Forecasts!N1986,Forecasts!N2002,Forecasts!N2018,Forecasts!N2034))</x:f>
        <x:v>2.8802615787802934</x:v>
      </x:c>
      <x:c r="H19" s="8" t="n">
        <x:f>AVERAGE(Forecasts!O1921,Forecasts!O1937,Forecasts!O1954,Forecasts!O1970,Forecasts!O1986,Forecasts!O2002,Forecasts!O2018,Forecasts!O2034)</x:f>
        <x:v>2.152388184023553</x:v>
      </x:c>
      <x:c r="I19" s="8" t="n">
        <x:f>AVERAGE(Forecasts!M1921,Forecasts!M1937,Forecasts!M1954,Forecasts!M1970,Forecasts!M1986,Forecasts!M2002,Forecasts!M2018,Forecasts!M2034)</x:f>
        <x:v>-1.0524239814103438</x:v>
      </x:c>
      <x:c r="J19" s="8" t="n">
        <x:f>SQRT(AVERAGE(Forecasts!N1917,Forecasts!N1933,Forecasts!N1950,Forecasts!N1966,Forecasts!N1982,Forecasts!N1998,Forecasts!N2014,Forecasts!N2030))</x:f>
        <x:v>3.2596012026013246</x:v>
      </x:c>
      <x:c r="K19" s="8" t="n">
        <x:f>SQRT(AVERAGE(Forecasts!N1919,Forecasts!N1935,Forecasts!N1952,Forecasts!N1968,Forecasts!N1984,Forecasts!N2000,Forecasts!N2016,Forecasts!N2032))</x:f>
        <x:v>3.0027284149320517</x:v>
      </x:c>
    </x:row>
    <x:row r="20" ht="26" customHeight="1">
      <x:c r="A20" s="2"/>
      <x:c r="B20" s="2" t="str">
        <x:v>Baby, Feminine &amp; Family Care / organic_volume_growth</x:v>
      </x:c>
      <x:c r="C20" s="2" t="str">
        <x:v>Prior report</x:v>
      </x:c>
      <x:c r="D20" s="2" t="str">
        <x:v>Bias correction</x:v>
      </x:c>
      <x:c r="E20" s="2" t="str">
        <x:v>All available</x:v>
      </x:c>
      <x:c r="F20" s="2" t="n">
        <x:v>8</x:v>
      </x:c>
      <x:c r="G20" s="8" t="n">
        <x:f>SQRT(AVERAGE(Forecasts!N2860,Forecasts!N2866,Forecasts!N2872,Forecasts!N2878,Forecasts!N2884,Forecasts!N2890,Forecasts!N2896,Forecasts!N2902))</x:f>
        <x:v>3.4299791513881654</x:v>
      </x:c>
      <x:c r="H20" s="8" t="n">
        <x:f>AVERAGE(Forecasts!O2860,Forecasts!O2866,Forecasts!O2872,Forecasts!O2878,Forecasts!O2884,Forecasts!O2890,Forecasts!O2896,Forecasts!O2902)</x:f>
        <x:v>2.6750293665556053</x:v>
      </x:c>
      <x:c r="I20" s="8" t="n">
        <x:f>AVERAGE(Forecasts!M2860,Forecasts!M2866,Forecasts!M2872,Forecasts!M2878,Forecasts!M2884,Forecasts!M2890,Forecasts!M2896,Forecasts!M2902)</x:f>
        <x:v>-0.48817901529583285</x:v>
      </x:c>
      <x:c r="J20" s="8" t="n">
        <x:f>SQRT(AVERAGE(Forecasts!N1922,Forecasts!N1938,Forecasts!N1955,Forecasts!N1971,Forecasts!N1987,Forecasts!N2003,Forecasts!N2019,Forecasts!N2035))</x:f>
        <x:v>4.444097208657794</x:v>
      </x:c>
      <x:c r="K20" s="8" t="n">
        <x:f>SQRT(AVERAGE(Forecasts!N1924,Forecasts!N1940,Forecasts!N1957,Forecasts!N1973,Forecasts!N1989,Forecasts!N2005,Forecasts!N2021,Forecasts!N2037))</x:f>
        <x:v>3.0053830527362826</x:v>
      </x:c>
    </x:row>
    <x:row r="21" ht="26" customHeight="1">
      <x:c r="A21" s="2"/>
      <x:c r="B21" s="2" t="str">
        <x:v>Baby, Feminine &amp; Family Care / organic_volume_growth</x:v>
      </x:c>
      <x:c r="C21" s="2" t="str">
        <x:v>Prior report</x:v>
      </x:c>
      <x:c r="D21" s="2" t="str">
        <x:v>Bias correction</x:v>
      </x:c>
      <x:c r="E21" s="2" t="str">
        <x:v>Recent eight</x:v>
      </x:c>
      <x:c r="F21" s="2" t="n">
        <x:v>8</x:v>
      </x:c>
      <x:c r="G21" s="8" t="n">
        <x:f>SQRT(AVERAGE(Forecasts!N2860,Forecasts!N2866,Forecasts!N2872,Forecasts!N2878,Forecasts!N2884,Forecasts!N2890,Forecasts!N2896,Forecasts!N2902))</x:f>
        <x:v>3.4299791513881654</x:v>
      </x:c>
      <x:c r="H21" s="8" t="n">
        <x:f>AVERAGE(Forecasts!O2860,Forecasts!O2866,Forecasts!O2872,Forecasts!O2878,Forecasts!O2884,Forecasts!O2890,Forecasts!O2896,Forecasts!O2902)</x:f>
        <x:v>2.6750293665556053</x:v>
      </x:c>
      <x:c r="I21" s="8" t="n">
        <x:f>AVERAGE(Forecasts!M2860,Forecasts!M2866,Forecasts!M2872,Forecasts!M2878,Forecasts!M2884,Forecasts!M2890,Forecasts!M2896,Forecasts!M2902)</x:f>
        <x:v>-0.48817901529583285</x:v>
      </x:c>
      <x:c r="J21" s="8" t="n">
        <x:f>SQRT(AVERAGE(Forecasts!N1922,Forecasts!N1938,Forecasts!N1955,Forecasts!N1971,Forecasts!N1987,Forecasts!N2003,Forecasts!N2019,Forecasts!N2035))</x:f>
        <x:v>4.444097208657794</x:v>
      </x:c>
      <x:c r="K21" s="8" t="n">
        <x:f>SQRT(AVERAGE(Forecasts!N1924,Forecasts!N1940,Forecasts!N1957,Forecasts!N1973,Forecasts!N1989,Forecasts!N2005,Forecasts!N2021,Forecasts!N2037))</x:f>
        <x:v>3.0053830527362826</x:v>
      </x:c>
    </x:row>
    <x:row r="22" ht="26" customHeight="1">
      <x:c r="A22" s="2"/>
      <x:c r="B22" s="2" t="str">
        <x:v>Baby, Feminine &amp; Family Care / organic_volume_growth</x:v>
      </x:c>
      <x:c r="C22" s="2" t="str">
        <x:v>Prior report</x:v>
      </x:c>
      <x:c r="D22" s="2" t="str">
        <x:v>Broad lag 1</x:v>
      </x:c>
      <x:c r="E22" s="2" t="str">
        <x:v>All available</x:v>
      </x:c>
      <x:c r="F22" s="2" t="n">
        <x:v>2</x:v>
      </x:c>
      <x:c r="G22" s="8" t="n">
        <x:f>SQRT(AVERAGE(Forecasts!N1876,Forecasts!N1941))</x:f>
        <x:v>0.91792838385996</x:v>
      </x:c>
      <x:c r="H22" s="8" t="n">
        <x:f>AVERAGE(Forecasts!O1876,Forecasts!O1941)</x:f>
        <x:v>0.8840906487396618</x:v>
      </x:c>
      <x:c r="I22" s="8" t="n">
        <x:f>AVERAGE(Forecasts!M1876,Forecasts!M1941)</x:f>
        <x:v>-0.24693368078664757</x:v>
      </x:c>
      <x:c r="J22" s="8" t="n">
        <x:f>SQRT(AVERAGE(Forecasts!N1873,Forecasts!N1938))</x:f>
        <x:v>2.1213203435596424</x:v>
      </x:c>
      <x:c r="K22" s="8" t="n">
        <x:f>SQRT(AVERAGE(Forecasts!N1875,Forecasts!N1940))</x:f>
        <x:v>1.0718028705379048</x:v>
      </x:c>
    </x:row>
    <x:row r="23" ht="26" customHeight="1">
      <x:c r="A23" s="2"/>
      <x:c r="B23" s="2" t="str">
        <x:v>Baby, Feminine &amp; Family Care / organic_volume_growth</x:v>
      </x:c>
      <x:c r="C23" s="2" t="str">
        <x:v>Prior report</x:v>
      </x:c>
      <x:c r="D23" s="2" t="str">
        <x:v>Broad lag 1</x:v>
      </x:c>
      <x:c r="E23" s="2" t="str">
        <x:v>Recent eight</x:v>
      </x:c>
      <x:c r="F23" s="2" t="n">
        <x:v>1</x:v>
      </x:c>
      <x:c r="G23" s="8" t="n">
        <x:f>SQRT(AVERAGE(Forecasts!N1941))</x:f>
        <x:v>1.1310243295263094</x:v>
      </x:c>
      <x:c r="H23" s="8" t="n">
        <x:f>AVERAGE(Forecasts!O1941)</x:f>
        <x:v>1.1310243295263094</x:v>
      </x:c>
      <x:c r="I23" s="8" t="n">
        <x:f>AVERAGE(Forecasts!M1941)</x:f>
        <x:v>-1.1310243295263094</x:v>
      </x:c>
      <x:c r="J23" s="8" t="n">
        <x:f>SQRT(AVERAGE(Forecasts!N1938))</x:f>
        <x:v>0</x:v>
      </x:c>
      <x:c r="K23" s="8" t="n">
        <x:f>SQRT(AVERAGE(Forecasts!N1940))</x:f>
        <x:v>0.9335751121489584</x:v>
      </x:c>
    </x:row>
    <x:row r="24" ht="26" customHeight="1">
      <x:c r="A24" s="2"/>
      <x:c r="B24" s="2" t="str">
        <x:v>Baby, Feminine &amp; Family Care / organic_volume_growth</x:v>
      </x:c>
      <x:c r="C24" s="2" t="str">
        <x:v>Prior report</x:v>
      </x:c>
      <x:c r="D24" s="2" t="str">
        <x:v>Broad market</x:v>
      </x:c>
      <x:c r="E24" s="2" t="str">
        <x:v>All available</x:v>
      </x:c>
      <x:c r="F24" s="2" t="n">
        <x:v>12</x:v>
      </x:c>
      <x:c r="G24" s="8" t="n">
        <x:f>SQRT(AVERAGE(Forecasts!N1860,Forecasts!N1875,Forecasts!N1892,Forecasts!N1908,Forecasts!N1924,Forecasts!N1940,Forecasts!N1957,Forecasts!N1973,Forecasts!N1989,Forecasts!N2005,Forecasts!N2021,Forecasts!N2037))</x:f>
        <x:v>2.548097676692713</x:v>
      </x:c>
      <x:c r="H24" s="8" t="n">
        <x:f>AVERAGE(Forecasts!O1860,Forecasts!O1875,Forecasts!O1892,Forecasts!O1908,Forecasts!O1924,Forecasts!O1940,Forecasts!O1957,Forecasts!O1973,Forecasts!O1989,Forecasts!O2005,Forecasts!O2021,Forecasts!O2037)</x:f>
        <x:v>1.9093942878129526</x:v>
      </x:c>
      <x:c r="I24" s="8" t="n">
        <x:f>AVERAGE(Forecasts!M1860,Forecasts!M1875,Forecasts!M1892,Forecasts!M1908,Forecasts!M1924,Forecasts!M1940,Forecasts!M1957,Forecasts!M1973,Forecasts!M1989,Forecasts!M2005,Forecasts!M2021,Forecasts!M2037)</x:f>
        <x:v>-0.8583070595447736</x:v>
      </x:c>
      <x:c r="J24" s="8" t="n">
        <x:f>SQRT(AVERAGE(Forecasts!N1858,Forecasts!N1873,Forecasts!N1890,Forecasts!N1906,Forecasts!N1922,Forecasts!N1938,Forecasts!N1955,Forecasts!N1971,Forecasts!N1987,Forecasts!N2003,Forecasts!N2019,Forecasts!N2035))</x:f>
        <x:v>3.926406329796582</x:v>
      </x:c>
      <x:c r="K24" s="8" t="n">
        <x:f>SQRT(AVERAGE(Forecasts!N1860,Forecasts!N1875,Forecasts!N1892,Forecasts!N1908,Forecasts!N1924,Forecasts!N1940,Forecasts!N1957,Forecasts!N1973,Forecasts!N1989,Forecasts!N2005,Forecasts!N2021,Forecasts!N2037))</x:f>
        <x:v>2.548097676692713</x:v>
      </x:c>
    </x:row>
    <x:row r="25" ht="26" customHeight="1">
      <x:c r="A25" s="2"/>
      <x:c r="B25" s="2" t="str">
        <x:v>Baby, Feminine &amp; Family Care / organic_volume_growth</x:v>
      </x:c>
      <x:c r="C25" s="2" t="str">
        <x:v>Prior report</x:v>
      </x:c>
      <x:c r="D25" s="2" t="str">
        <x:v>Broad market</x:v>
      </x:c>
      <x:c r="E25" s="2" t="str">
        <x:v>Recent eight</x:v>
      </x:c>
      <x:c r="F25" s="2" t="n">
        <x:v>8</x:v>
      </x:c>
      <x:c r="G25" s="8" t="n">
        <x:f>SQRT(AVERAGE(Forecasts!N1924,Forecasts!N1940,Forecasts!N1957,Forecasts!N1973,Forecasts!N1989,Forecasts!N2005,Forecasts!N2021,Forecasts!N2037))</x:f>
        <x:v>3.0053830527362826</x:v>
      </x:c>
      <x:c r="H25" s="8" t="n">
        <x:f>AVERAGE(Forecasts!O1924,Forecasts!O1940,Forecasts!O1957,Forecasts!O1973,Forecasts!O1989,Forecasts!O2005,Forecasts!O2021,Forecasts!O2037)</x:f>
        <x:v>2.3440180073707646</x:v>
      </x:c>
      <x:c r="I25" s="8" t="n">
        <x:f>AVERAGE(Forecasts!M1924,Forecasts!M1940,Forecasts!M1957,Forecasts!M1973,Forecasts!M1989,Forecasts!M2005,Forecasts!M2021,Forecasts!M2037)</x:f>
        <x:v>-1.367470233456812</x:v>
      </x:c>
      <x:c r="J25" s="8" t="n">
        <x:f>SQRT(AVERAGE(Forecasts!N1922,Forecasts!N1938,Forecasts!N1955,Forecasts!N1971,Forecasts!N1987,Forecasts!N2003,Forecasts!N2019,Forecasts!N2035))</x:f>
        <x:v>4.444097208657794</x:v>
      </x:c>
      <x:c r="K25" s="8" t="n">
        <x:f>SQRT(AVERAGE(Forecasts!N1924,Forecasts!N1940,Forecasts!N1957,Forecasts!N1973,Forecasts!N1989,Forecasts!N2005,Forecasts!N2021,Forecasts!N2037))</x:f>
        <x:v>3.0053830527362826</x:v>
      </x:c>
    </x:row>
    <x:row r="26" ht="26" customHeight="1">
      <x:c r="A26" s="2"/>
      <x:c r="B26" s="2" t="str">
        <x:v>Baby, Feminine &amp; Family Care / organic_volume_growth</x:v>
      </x:c>
      <x:c r="C26" s="2" t="str">
        <x:v>Prior report</x:v>
      </x:c>
      <x:c r="D26" s="2" t="str">
        <x:v>Broad rolling 8</x:v>
      </x:c>
      <x:c r="E26" s="2" t="str">
        <x:v>All available</x:v>
      </x:c>
      <x:c r="F26" s="2" t="n">
        <x:v>12</x:v>
      </x:c>
      <x:c r="G26" s="8" t="n">
        <x:f>SQRT(AVERAGE(Forecasts!N1861,Forecasts!N1877,Forecasts!N1893,Forecasts!N1909,Forecasts!N1925,Forecasts!N1942,Forecasts!N1958,Forecasts!N1974,Forecasts!N1990,Forecasts!N2006,Forecasts!N2022,Forecasts!N2038))</x:f>
        <x:v>2.5398352064615675</x:v>
      </x:c>
      <x:c r="H26" s="8" t="n">
        <x:f>AVERAGE(Forecasts!O1861,Forecasts!O1877,Forecasts!O1893,Forecasts!O1909,Forecasts!O1925,Forecasts!O1942,Forecasts!O1958,Forecasts!O1974,Forecasts!O1990,Forecasts!O2006,Forecasts!O2022,Forecasts!O2038)</x:f>
        <x:v>1.815886006443467</x:v>
      </x:c>
      <x:c r="I26" s="8" t="n">
        <x:f>AVERAGE(Forecasts!M1861,Forecasts!M1877,Forecasts!M1893,Forecasts!M1909,Forecasts!M1925,Forecasts!M1942,Forecasts!M1958,Forecasts!M1974,Forecasts!M1990,Forecasts!M2006,Forecasts!M2022,Forecasts!M2038)</x:f>
        <x:v>-0.3511934033245157</x:v>
      </x:c>
      <x:c r="J26" s="8" t="n">
        <x:f>SQRT(AVERAGE(Forecasts!N1858,Forecasts!N1873,Forecasts!N1890,Forecasts!N1906,Forecasts!N1922,Forecasts!N1938,Forecasts!N1955,Forecasts!N1971,Forecasts!N1987,Forecasts!N2003,Forecasts!N2019,Forecasts!N2035))</x:f>
        <x:v>3.926406329796582</x:v>
      </x:c>
      <x:c r="K26" s="8" t="n">
        <x:f>SQRT(AVERAGE(Forecasts!N1860,Forecasts!N1875,Forecasts!N1892,Forecasts!N1908,Forecasts!N1924,Forecasts!N1940,Forecasts!N1957,Forecasts!N1973,Forecasts!N1989,Forecasts!N2005,Forecasts!N2021,Forecasts!N2037))</x:f>
        <x:v>2.548097676692713</x:v>
      </x:c>
    </x:row>
    <x:row r="27" ht="26" customHeight="1">
      <x:c r="A27" s="2"/>
      <x:c r="B27" s="2" t="str">
        <x:v>Baby, Feminine &amp; Family Care / organic_volume_growth</x:v>
      </x:c>
      <x:c r="C27" s="2" t="str">
        <x:v>Prior report</x:v>
      </x:c>
      <x:c r="D27" s="2" t="str">
        <x:v>Broad rolling 8</x:v>
      </x:c>
      <x:c r="E27" s="2" t="str">
        <x:v>Recent eight</x:v>
      </x:c>
      <x:c r="F27" s="2" t="n">
        <x:v>8</x:v>
      </x:c>
      <x:c r="G27" s="8" t="n">
        <x:f>SQRT(AVERAGE(Forecasts!N1925,Forecasts!N1942,Forecasts!N1958,Forecasts!N1974,Forecasts!N1990,Forecasts!N2006,Forecasts!N2022,Forecasts!N2038))</x:f>
        <x:v>2.969217848680702</x:v>
      </x:c>
      <x:c r="H27" s="8" t="n">
        <x:f>AVERAGE(Forecasts!O1925,Forecasts!O1942,Forecasts!O1958,Forecasts!O1974,Forecasts!O1990,Forecasts!O2006,Forecasts!O2022,Forecasts!O2038)</x:f>
        <x:v>2.126658742512093</x:v>
      </x:c>
      <x:c r="I27" s="8" t="n">
        <x:f>AVERAGE(Forecasts!M1925,Forecasts!M1942,Forecasts!M1958,Forecasts!M1974,Forecasts!M1990,Forecasts!M2006,Forecasts!M2022,Forecasts!M2038)</x:f>
        <x:v>-0.6838965919308682</x:v>
      </x:c>
      <x:c r="J27" s="8" t="n">
        <x:f>SQRT(AVERAGE(Forecasts!N1922,Forecasts!N1938,Forecasts!N1955,Forecasts!N1971,Forecasts!N1987,Forecasts!N2003,Forecasts!N2019,Forecasts!N2035))</x:f>
        <x:v>4.444097208657794</x:v>
      </x:c>
      <x:c r="K27" s="8" t="n">
        <x:f>SQRT(AVERAGE(Forecasts!N1924,Forecasts!N1940,Forecasts!N1957,Forecasts!N1973,Forecasts!N1989,Forecasts!N2005,Forecasts!N2021,Forecasts!N2037))</x:f>
        <x:v>3.0053830527362826</x:v>
      </x:c>
    </x:row>
    <x:row r="28" ht="26" customHeight="1">
      <x:c r="A28" s="2"/>
      <x:c r="B28" s="2" t="str">
        <x:v>Baby, Feminine &amp; Family Care / organic_volume_growth</x:v>
      </x:c>
      <x:c r="C28" s="2" t="str">
        <x:v>Prior report</x:v>
      </x:c>
      <x:c r="D28" s="2" t="str">
        <x:v>Four-quarter mean</x:v>
      </x:c>
      <x:c r="E28" s="2" t="str">
        <x:v>All available</x:v>
      </x:c>
      <x:c r="F28" s="2" t="n">
        <x:v>12</x:v>
      </x:c>
      <x:c r="G28" s="8" t="n">
        <x:f>SQRT(AVERAGE(Forecasts!N1859,Forecasts!N1874,Forecasts!N1891,Forecasts!N1907,Forecasts!N1923,Forecasts!N1939,Forecasts!N1956,Forecasts!N1972,Forecasts!N1988,Forecasts!N2004,Forecasts!N2020,Forecasts!N2036))</x:f>
        <x:v>2.9483399283890814</x:v>
      </x:c>
      <x:c r="H28" s="8" t="n">
        <x:f>AVERAGE(Forecasts!O1859,Forecasts!O1874,Forecasts!O1891,Forecasts!O1907,Forecasts!O1923,Forecasts!O1939,Forecasts!O1956,Forecasts!O1972,Forecasts!O1988,Forecasts!O2004,Forecasts!O2020,Forecasts!O2036)</x:f>
        <x:v>2.1458333333333335</x:v>
      </x:c>
      <x:c r="I28" s="8" t="n">
        <x:f>AVERAGE(Forecasts!M1859,Forecasts!M1874,Forecasts!M1891,Forecasts!M1907,Forecasts!M1923,Forecasts!M1939,Forecasts!M1956,Forecasts!M1972,Forecasts!M1988,Forecasts!M2004,Forecasts!M2020,Forecasts!M2036)</x:f>
        <x:v>-0.7708333333333334</x:v>
      </x:c>
      <x:c r="J28" s="8" t="n">
        <x:f>SQRT(AVERAGE(Forecasts!N1858,Forecasts!N1873,Forecasts!N1890,Forecasts!N1906,Forecasts!N1922,Forecasts!N1938,Forecasts!N1955,Forecasts!N1971,Forecasts!N1987,Forecasts!N2003,Forecasts!N2019,Forecasts!N2035))</x:f>
        <x:v>3.926406329796582</x:v>
      </x:c>
      <x:c r="K28" s="8" t="n">
        <x:f>SQRT(AVERAGE(Forecasts!N1860,Forecasts!N1875,Forecasts!N1892,Forecasts!N1908,Forecasts!N1924,Forecasts!N1940,Forecasts!N1957,Forecasts!N1973,Forecasts!N1989,Forecasts!N2005,Forecasts!N2021,Forecasts!N2037))</x:f>
        <x:v>2.548097676692713</x:v>
      </x:c>
    </x:row>
    <x:row r="29" ht="26" customHeight="1">
      <x:c r="A29" s="2"/>
      <x:c r="B29" s="2" t="str">
        <x:v>Baby, Feminine &amp; Family Care / organic_volume_growth</x:v>
      </x:c>
      <x:c r="C29" s="2" t="str">
        <x:v>Prior report</x:v>
      </x:c>
      <x:c r="D29" s="2" t="str">
        <x:v>Four-quarter mean</x:v>
      </x:c>
      <x:c r="E29" s="2" t="str">
        <x:v>Recent eight</x:v>
      </x:c>
      <x:c r="F29" s="2" t="n">
        <x:v>8</x:v>
      </x:c>
      <x:c r="G29" s="8" t="n">
        <x:f>SQRT(AVERAGE(Forecasts!N1923,Forecasts!N1939,Forecasts!N1956,Forecasts!N1972,Forecasts!N1988,Forecasts!N2004,Forecasts!N2020,Forecasts!N2036))</x:f>
        <x:v>3.3830921506810894</x:v>
      </x:c>
      <x:c r="H29" s="8" t="n">
        <x:f>AVERAGE(Forecasts!O1923,Forecasts!O1939,Forecasts!O1956,Forecasts!O1972,Forecasts!O1988,Forecasts!O2004,Forecasts!O2020,Forecasts!O2036)</x:f>
        <x:v>2.53125</x:v>
      </x:c>
      <x:c r="I29" s="8" t="n">
        <x:f>AVERAGE(Forecasts!M1923,Forecasts!M1939,Forecasts!M1956,Forecasts!M1972,Forecasts!M1988,Forecasts!M2004,Forecasts!M2020,Forecasts!M2036)</x:f>
        <x:v>-0.65625</x:v>
      </x:c>
      <x:c r="J29" s="8" t="n">
        <x:f>SQRT(AVERAGE(Forecasts!N1922,Forecasts!N1938,Forecasts!N1955,Forecasts!N1971,Forecasts!N1987,Forecasts!N2003,Forecasts!N2019,Forecasts!N2035))</x:f>
        <x:v>4.444097208657794</x:v>
      </x:c>
      <x:c r="K29" s="8" t="n">
        <x:f>SQRT(AVERAGE(Forecasts!N1924,Forecasts!N1940,Forecasts!N1957,Forecasts!N1973,Forecasts!N1989,Forecasts!N2005,Forecasts!N2021,Forecasts!N2037))</x:f>
        <x:v>3.0053830527362826</x:v>
      </x:c>
    </x:row>
    <x:row r="30" ht="26" customHeight="1">
      <x:c r="A30" s="2"/>
      <x:c r="B30" s="2" t="str">
        <x:v>Baby, Feminine &amp; Family Care / organic_volume_growth</x:v>
      </x:c>
      <x:c r="C30" s="2" t="str">
        <x:v>Prior report</x:v>
      </x:c>
      <x:c r="D30" s="2" t="str">
        <x:v>Half correction</x:v>
      </x:c>
      <x:c r="E30" s="2" t="str">
        <x:v>All available</x:v>
      </x:c>
      <x:c r="F30" s="2" t="n">
        <x:v>8</x:v>
      </x:c>
      <x:c r="G30" s="8" t="n">
        <x:f>SQRT(AVERAGE(Forecasts!N2861,Forecasts!N2867,Forecasts!N2873,Forecasts!N2879,Forecasts!N2885,Forecasts!N2891,Forecasts!N2897,Forecasts!N2903))</x:f>
        <x:v>3.1508063915660256</x:v>
      </x:c>
      <x:c r="H30" s="8" t="n">
        <x:f>AVERAGE(Forecasts!O2861,Forecasts!O2867,Forecasts!O2873,Forecasts!O2879,Forecasts!O2885,Forecasts!O2891,Forecasts!O2897,Forecasts!O2903)</x:f>
        <x:v>2.377961090675207</x:v>
      </x:c>
      <x:c r="I30" s="8" t="n">
        <x:f>AVERAGE(Forecasts!M2861,Forecasts!M2867,Forecasts!M2873,Forecasts!M2879,Forecasts!M2885,Forecasts!M2891,Forecasts!M2897,Forecasts!M2903)</x:f>
        <x:v>-0.9278246243763224</x:v>
      </x:c>
      <x:c r="J30" s="8" t="n">
        <x:f>SQRT(AVERAGE(Forecasts!N1922,Forecasts!N1938,Forecasts!N1955,Forecasts!N1971,Forecasts!N1987,Forecasts!N2003,Forecasts!N2019,Forecasts!N2035))</x:f>
        <x:v>4.444097208657794</x:v>
      </x:c>
      <x:c r="K30" s="8" t="n">
        <x:f>SQRT(AVERAGE(Forecasts!N1924,Forecasts!N1940,Forecasts!N1957,Forecasts!N1973,Forecasts!N1989,Forecasts!N2005,Forecasts!N2021,Forecasts!N2037))</x:f>
        <x:v>3.0053830527362826</x:v>
      </x:c>
    </x:row>
    <x:row r="31" ht="26" customHeight="1">
      <x:c r="A31" s="2"/>
      <x:c r="B31" s="2" t="str">
        <x:v>Baby, Feminine &amp; Family Care / organic_volume_growth</x:v>
      </x:c>
      <x:c r="C31" s="2" t="str">
        <x:v>Prior report</x:v>
      </x:c>
      <x:c r="D31" s="2" t="str">
        <x:v>Half correction</x:v>
      </x:c>
      <x:c r="E31" s="2" t="str">
        <x:v>Recent eight</x:v>
      </x:c>
      <x:c r="F31" s="2" t="n">
        <x:v>8</x:v>
      </x:c>
      <x:c r="G31" s="8" t="n">
        <x:f>SQRT(AVERAGE(Forecasts!N2861,Forecasts!N2867,Forecasts!N2873,Forecasts!N2879,Forecasts!N2885,Forecasts!N2891,Forecasts!N2897,Forecasts!N2903))</x:f>
        <x:v>3.1508063915660256</x:v>
      </x:c>
      <x:c r="H31" s="8" t="n">
        <x:f>AVERAGE(Forecasts!O2861,Forecasts!O2867,Forecasts!O2873,Forecasts!O2879,Forecasts!O2885,Forecasts!O2891,Forecasts!O2897,Forecasts!O2903)</x:f>
        <x:v>2.377961090675207</x:v>
      </x:c>
      <x:c r="I31" s="8" t="n">
        <x:f>AVERAGE(Forecasts!M2861,Forecasts!M2867,Forecasts!M2873,Forecasts!M2879,Forecasts!M2885,Forecasts!M2891,Forecasts!M2897,Forecasts!M2903)</x:f>
        <x:v>-0.9278246243763224</x:v>
      </x:c>
      <x:c r="J31" s="8" t="n">
        <x:f>SQRT(AVERAGE(Forecasts!N1922,Forecasts!N1938,Forecasts!N1955,Forecasts!N1971,Forecasts!N1987,Forecasts!N2003,Forecasts!N2019,Forecasts!N2035))</x:f>
        <x:v>4.444097208657794</x:v>
      </x:c>
      <x:c r="K31" s="8" t="n">
        <x:f>SQRT(AVERAGE(Forecasts!N1924,Forecasts!N1940,Forecasts!N1957,Forecasts!N1973,Forecasts!N1989,Forecasts!N2005,Forecasts!N2021,Forecasts!N2037))</x:f>
        <x:v>3.0053830527362826</x:v>
      </x:c>
    </x:row>
    <x:row r="32" ht="26" customHeight="1">
      <x:c r="A32" s="2"/>
      <x:c r="B32" s="2" t="str">
        <x:v>Baby, Feminine &amp; Family Care / organic_volume_growth</x:v>
      </x:c>
      <x:c r="C32" s="2" t="str">
        <x:v>Prior report</x:v>
      </x:c>
      <x:c r="D32" s="2" t="str">
        <x:v>Last actual</x:v>
      </x:c>
      <x:c r="E32" s="2" t="str">
        <x:v>All available</x:v>
      </x:c>
      <x:c r="F32" s="2" t="n">
        <x:v>12</x:v>
      </x:c>
      <x:c r="G32" s="8" t="n">
        <x:f>SQRT(AVERAGE(Forecasts!N1858,Forecasts!N1873,Forecasts!N1890,Forecasts!N1906,Forecasts!N1922,Forecasts!N1938,Forecasts!N1955,Forecasts!N1971,Forecasts!N1987,Forecasts!N2003,Forecasts!N2019,Forecasts!N2035))</x:f>
        <x:v>3.926406329796582</x:v>
      </x:c>
      <x:c r="H32" s="8" t="n">
        <x:f>AVERAGE(Forecasts!O1858,Forecasts!O1873,Forecasts!O1890,Forecasts!O1906,Forecasts!O1922,Forecasts!O1938,Forecasts!O1955,Forecasts!O1971,Forecasts!O1987,Forecasts!O2003,Forecasts!O2019,Forecasts!O2035)</x:f>
        <x:v>3.0833333333333335</x:v>
      </x:c>
      <x:c r="I32" s="8" t="n">
        <x:f>AVERAGE(Forecasts!M1858,Forecasts!M1873,Forecasts!M1890,Forecasts!M1906,Forecasts!M1922,Forecasts!M1938,Forecasts!M1955,Forecasts!M1971,Forecasts!M1987,Forecasts!M2003,Forecasts!M2019,Forecasts!M2035)</x:f>
        <x:v>-0.5833333333333334</x:v>
      </x:c>
      <x:c r="J32" s="8" t="n">
        <x:f>SQRT(AVERAGE(Forecasts!N1858,Forecasts!N1873,Forecasts!N1890,Forecasts!N1906,Forecasts!N1922,Forecasts!N1938,Forecasts!N1955,Forecasts!N1971,Forecasts!N1987,Forecasts!N2003,Forecasts!N2019,Forecasts!N2035))</x:f>
        <x:v>3.926406329796582</x:v>
      </x:c>
      <x:c r="K32" s="8" t="n">
        <x:f>SQRT(AVERAGE(Forecasts!N1860,Forecasts!N1875,Forecasts!N1892,Forecasts!N1908,Forecasts!N1924,Forecasts!N1940,Forecasts!N1957,Forecasts!N1973,Forecasts!N1989,Forecasts!N2005,Forecasts!N2021,Forecasts!N2037))</x:f>
        <x:v>2.548097676692713</x:v>
      </x:c>
    </x:row>
    <x:row r="33" ht="26" customHeight="1">
      <x:c r="A33" s="2"/>
      <x:c r="B33" s="2" t="str">
        <x:v>Baby, Feminine &amp; Family Care / organic_volume_growth</x:v>
      </x:c>
      <x:c r="C33" s="2" t="str">
        <x:v>Prior report</x:v>
      </x:c>
      <x:c r="D33" s="2" t="str">
        <x:v>Last actual</x:v>
      </x:c>
      <x:c r="E33" s="2" t="str">
        <x:v>Recent eight</x:v>
      </x:c>
      <x:c r="F33" s="2" t="n">
        <x:v>8</x:v>
      </x:c>
      <x:c r="G33" s="8" t="n">
        <x:f>SQRT(AVERAGE(Forecasts!N1922,Forecasts!N1938,Forecasts!N1955,Forecasts!N1971,Forecasts!N1987,Forecasts!N2003,Forecasts!N2019,Forecasts!N2035))</x:f>
        <x:v>4.444097208657794</x:v>
      </x:c>
      <x:c r="H33" s="8" t="n">
        <x:f>AVERAGE(Forecasts!O1922,Forecasts!O1938,Forecasts!O1955,Forecasts!O1971,Forecasts!O1987,Forecasts!O2003,Forecasts!O2019,Forecasts!O2035)</x:f>
        <x:v>3.5</x:v>
      </x:c>
      <x:c r="I33" s="8" t="n">
        <x:f>AVERAGE(Forecasts!M1922,Forecasts!M1938,Forecasts!M1955,Forecasts!M1971,Forecasts!M1987,Forecasts!M2003,Forecasts!M2019,Forecasts!M2035)</x:f>
        <x:v>-0.75</x:v>
      </x:c>
      <x:c r="J33" s="8" t="n">
        <x:f>SQRT(AVERAGE(Forecasts!N1922,Forecasts!N1938,Forecasts!N1955,Forecasts!N1971,Forecasts!N1987,Forecasts!N2003,Forecasts!N2019,Forecasts!N2035))</x:f>
        <x:v>4.444097208657794</x:v>
      </x:c>
      <x:c r="K33" s="8" t="n">
        <x:f>SQRT(AVERAGE(Forecasts!N1924,Forecasts!N1940,Forecasts!N1957,Forecasts!N1973,Forecasts!N1989,Forecasts!N2005,Forecasts!N2021,Forecasts!N2037))</x:f>
        <x:v>3.0053830527362826</x:v>
      </x:c>
    </x:row>
    <x:row r="34" ht="26" customHeight="1">
      <x:c r="A34" s="2"/>
      <x:c r="B34" s="2" t="str">
        <x:v>Baby, Feminine &amp; Family Care / organic_volume_growth</x:v>
      </x:c>
      <x:c r="C34" s="2" t="str">
        <x:v>Prior report</x:v>
      </x:c>
      <x:c r="D34" s="2" t="str">
        <x:v>Own history</x:v>
      </x:c>
      <x:c r="E34" s="2" t="str">
        <x:v>All available</x:v>
      </x:c>
      <x:c r="F34" s="2" t="n">
        <x:v>12</x:v>
      </x:c>
      <x:c r="G34" s="8" t="n">
        <x:f>SQRT(AVERAGE(Forecasts!N1862,Forecasts!N1878,Forecasts!N1894,Forecasts!N1910,Forecasts!N1926,Forecasts!N1943,Forecasts!N1959,Forecasts!N1975,Forecasts!N1991,Forecasts!N2007,Forecasts!N2023,Forecasts!N2039))</x:f>
        <x:v>3.0050013280147616</x:v>
      </x:c>
      <x:c r="H34" s="8" t="n">
        <x:f>AVERAGE(Forecasts!O1862,Forecasts!O1878,Forecasts!O1894,Forecasts!O1910,Forecasts!O1926,Forecasts!O1943,Forecasts!O1959,Forecasts!O1975,Forecasts!O1991,Forecasts!O2007,Forecasts!O2023,Forecasts!O2039)</x:f>
        <x:v>2.43029837345184</x:v>
      </x:c>
      <x:c r="I34" s="8" t="n">
        <x:f>AVERAGE(Forecasts!M1862,Forecasts!M1878,Forecasts!M1894,Forecasts!M1910,Forecasts!M1926,Forecasts!M1943,Forecasts!M1959,Forecasts!M1975,Forecasts!M1991,Forecasts!M2007,Forecasts!M2023,Forecasts!M2039)</x:f>
        <x:v>-0.4609984024676587</x:v>
      </x:c>
      <x:c r="J34" s="8" t="n">
        <x:f>SQRT(AVERAGE(Forecasts!N1858,Forecasts!N1873,Forecasts!N1890,Forecasts!N1906,Forecasts!N1922,Forecasts!N1938,Forecasts!N1955,Forecasts!N1971,Forecasts!N1987,Forecasts!N2003,Forecasts!N2019,Forecasts!N2035))</x:f>
        <x:v>3.926406329796582</x:v>
      </x:c>
      <x:c r="K34" s="8" t="n">
        <x:f>SQRT(AVERAGE(Forecasts!N1860,Forecasts!N1875,Forecasts!N1892,Forecasts!N1908,Forecasts!N1924,Forecasts!N1940,Forecasts!N1957,Forecasts!N1973,Forecasts!N1989,Forecasts!N2005,Forecasts!N2021,Forecasts!N2037))</x:f>
        <x:v>2.548097676692713</x:v>
      </x:c>
    </x:row>
    <x:row r="35" ht="26" customHeight="1">
      <x:c r="A35" s="2"/>
      <x:c r="B35" s="2" t="str">
        <x:v>Baby, Feminine &amp; Family Care / organic_volume_growth</x:v>
      </x:c>
      <x:c r="C35" s="2" t="str">
        <x:v>Prior report</x:v>
      </x:c>
      <x:c r="D35" s="2" t="str">
        <x:v>Own history</x:v>
      </x:c>
      <x:c r="E35" s="2" t="str">
        <x:v>Recent eight</x:v>
      </x:c>
      <x:c r="F35" s="2" t="n">
        <x:v>8</x:v>
      </x:c>
      <x:c r="G35" s="8" t="n">
        <x:f>SQRT(AVERAGE(Forecasts!N1926,Forecasts!N1943,Forecasts!N1959,Forecasts!N1975,Forecasts!N1991,Forecasts!N2007,Forecasts!N2023,Forecasts!N2039))</x:f>
        <x:v>3.365208428139465</x:v>
      </x:c>
      <x:c r="H35" s="8" t="n">
        <x:f>AVERAGE(Forecasts!O1926,Forecasts!O1943,Forecasts!O1959,Forecasts!O1975,Forecasts!O1991,Forecasts!O2007,Forecasts!O2023,Forecasts!O2039)</x:f>
        <x:v>2.7583633303236925</x:v>
      </x:c>
      <x:c r="I35" s="8" t="n">
        <x:f>AVERAGE(Forecasts!M1926,Forecasts!M1943,Forecasts!M1959,Forecasts!M1975,Forecasts!M1991,Forecasts!M2007,Forecasts!M2023,Forecasts!M2039)</x:f>
        <x:v>-0.7825182689523155</x:v>
      </x:c>
      <x:c r="J35" s="8" t="n">
        <x:f>SQRT(AVERAGE(Forecasts!N1922,Forecasts!N1938,Forecasts!N1955,Forecasts!N1971,Forecasts!N1987,Forecasts!N2003,Forecasts!N2019,Forecasts!N2035))</x:f>
        <x:v>4.444097208657794</x:v>
      </x:c>
      <x:c r="K35" s="8" t="n">
        <x:f>SQRT(AVERAGE(Forecasts!N1924,Forecasts!N1940,Forecasts!N1957,Forecasts!N1973,Forecasts!N1989,Forecasts!N2005,Forecasts!N2021,Forecasts!N2037))</x:f>
        <x:v>3.0053830527362826</x:v>
      </x:c>
    </x:row>
    <x:row r="36" ht="26" customHeight="1">
      <x:c r="A36" s="2"/>
      <x:c r="B36" s="2" t="str">
        <x:v>Baby, Feminine &amp; Family Care / organic_volume_growth</x:v>
      </x:c>
      <x:c r="C36" s="2" t="str">
        <x:v>Pre-earnings</x:v>
      </x:c>
      <x:c r="D36" s="2" t="str">
        <x:v>Bias correction</x:v>
      </x:c>
      <x:c r="E36" s="2" t="str">
        <x:v>All available</x:v>
      </x:c>
      <x:c r="F36" s="2" t="n">
        <x:v>8</x:v>
      </x:c>
      <x:c r="G36" s="8" t="n">
        <x:f>SQRT(AVERAGE(Forecasts!N2862,Forecasts!N2868,Forecasts!N2874,Forecasts!N2880,Forecasts!N2886,Forecasts!N2892,Forecasts!N2898,Forecasts!N2904))</x:f>
        <x:v>3.494061369485365</x:v>
      </x:c>
      <x:c r="H36" s="8" t="n">
        <x:f>AVERAGE(Forecasts!O2862,Forecasts!O2868,Forecasts!O2874,Forecasts!O2880,Forecasts!O2886,Forecasts!O2892,Forecasts!O2898,Forecasts!O2904)</x:f>
        <x:v>2.7241112556287046</x:v>
      </x:c>
      <x:c r="I36" s="8" t="n">
        <x:f>AVERAGE(Forecasts!M2862,Forecasts!M2868,Forecasts!M2874,Forecasts!M2880,Forecasts!M2886,Forecasts!M2892,Forecasts!M2898,Forecasts!M2904)</x:f>
        <x:v>-0.5017755357438494</x:v>
      </x:c>
      <x:c r="J36" s="8" t="n">
        <x:f>SQRT(AVERAGE(Forecasts!N1927,Forecasts!N1944,Forecasts!N1960,Forecasts!N1976,Forecasts!N1992,Forecasts!N2008,Forecasts!N2024,Forecasts!N2040))</x:f>
        <x:v>4.444097208657794</x:v>
      </x:c>
      <x:c r="K36" s="8" t="n">
        <x:f>SQRT(AVERAGE(Forecasts!N1929,Forecasts!N1946,Forecasts!N1962,Forecasts!N1978,Forecasts!N1994,Forecasts!N2010,Forecasts!N2026,Forecasts!N2042))</x:f>
        <x:v>3.0630708576100596</x:v>
      </x:c>
    </x:row>
    <x:row r="37" ht="26" customHeight="1">
      <x:c r="A37" s="2"/>
      <x:c r="B37" s="2" t="str">
        <x:v>Baby, Feminine &amp; Family Care / organic_volume_growth</x:v>
      </x:c>
      <x:c r="C37" s="2" t="str">
        <x:v>Pre-earnings</x:v>
      </x:c>
      <x:c r="D37" s="2" t="str">
        <x:v>Bias correction</x:v>
      </x:c>
      <x:c r="E37" s="2" t="str">
        <x:v>Recent eight</x:v>
      </x:c>
      <x:c r="F37" s="2" t="n">
        <x:v>8</x:v>
      </x:c>
      <x:c r="G37" s="8" t="n">
        <x:f>SQRT(AVERAGE(Forecasts!N2862,Forecasts!N2868,Forecasts!N2874,Forecasts!N2880,Forecasts!N2886,Forecasts!N2892,Forecasts!N2898,Forecasts!N2904))</x:f>
        <x:v>3.494061369485365</x:v>
      </x:c>
      <x:c r="H37" s="8" t="n">
        <x:f>AVERAGE(Forecasts!O2862,Forecasts!O2868,Forecasts!O2874,Forecasts!O2880,Forecasts!O2886,Forecasts!O2892,Forecasts!O2898,Forecasts!O2904)</x:f>
        <x:v>2.7241112556287046</x:v>
      </x:c>
      <x:c r="I37" s="8" t="n">
        <x:f>AVERAGE(Forecasts!M2862,Forecasts!M2868,Forecasts!M2874,Forecasts!M2880,Forecasts!M2886,Forecasts!M2892,Forecasts!M2898,Forecasts!M2904)</x:f>
        <x:v>-0.5017755357438494</x:v>
      </x:c>
      <x:c r="J37" s="8" t="n">
        <x:f>SQRT(AVERAGE(Forecasts!N1927,Forecasts!N1944,Forecasts!N1960,Forecasts!N1976,Forecasts!N1992,Forecasts!N2008,Forecasts!N2024,Forecasts!N2040))</x:f>
        <x:v>4.444097208657794</x:v>
      </x:c>
      <x:c r="K37" s="8" t="n">
        <x:f>SQRT(AVERAGE(Forecasts!N1929,Forecasts!N1946,Forecasts!N1962,Forecasts!N1978,Forecasts!N1994,Forecasts!N2010,Forecasts!N2026,Forecasts!N2042))</x:f>
        <x:v>3.0630708576100596</x:v>
      </x:c>
    </x:row>
    <x:row r="38" ht="26" customHeight="1">
      <x:c r="A38" s="2"/>
      <x:c r="B38" s="2" t="str">
        <x:v>Baby, Feminine &amp; Family Care / organic_volume_growth</x:v>
      </x:c>
      <x:c r="C38" s="2" t="str">
        <x:v>Pre-earnings</x:v>
      </x:c>
      <x:c r="D38" s="2" t="str">
        <x:v>Broad lag 1</x:v>
      </x:c>
      <x:c r="E38" s="2" t="str">
        <x:v>All available</x:v>
      </x:c>
      <x:c r="F38" s="2" t="n">
        <x:v>12</x:v>
      </x:c>
      <x:c r="G38" s="8" t="n">
        <x:f>SQRT(AVERAGE(Forecasts!N1866,Forecasts!N1882,Forecasts!N1898,Forecasts!N1914,Forecasts!N1930,Forecasts!N1947,Forecasts!N1963,Forecasts!N1979,Forecasts!N1995,Forecasts!N2011,Forecasts!N2027,Forecasts!N2043))</x:f>
        <x:v>2.693823819242756</x:v>
      </x:c>
      <x:c r="H38" s="8" t="n">
        <x:f>AVERAGE(Forecasts!O1866,Forecasts!O1882,Forecasts!O1898,Forecasts!O1914,Forecasts!O1930,Forecasts!O1947,Forecasts!O1963,Forecasts!O1979,Forecasts!O1995,Forecasts!O2011,Forecasts!O2027,Forecasts!O2043)</x:f>
        <x:v>2.0151908237852156</x:v>
      </x:c>
      <x:c r="I38" s="8" t="n">
        <x:f>AVERAGE(Forecasts!M1866,Forecasts!M1882,Forecasts!M1898,Forecasts!M1914,Forecasts!M1930,Forecasts!M1947,Forecasts!M1963,Forecasts!M1979,Forecasts!M1995,Forecasts!M2011,Forecasts!M2027,Forecasts!M2043)</x:f>
        <x:v>-1.0781049171179025</x:v>
      </x:c>
      <x:c r="J38" s="8" t="n">
        <x:f>SQRT(AVERAGE(Forecasts!N1863,Forecasts!N1879,Forecasts!N1895,Forecasts!N1911,Forecasts!N1927,Forecasts!N1944,Forecasts!N1960,Forecasts!N1976,Forecasts!N1992,Forecasts!N2008,Forecasts!N2024,Forecasts!N2040))</x:f>
        <x:v>3.926406329796582</x:v>
      </x:c>
      <x:c r="K38" s="8" t="n">
        <x:f>SQRT(AVERAGE(Forecasts!N1865,Forecasts!N1881,Forecasts!N1897,Forecasts!N1913,Forecasts!N1929,Forecasts!N1946,Forecasts!N1962,Forecasts!N1978,Forecasts!N1994,Forecasts!N2010,Forecasts!N2026,Forecasts!N2042))</x:f>
        <x:v>2.612655274477987</x:v>
      </x:c>
    </x:row>
    <x:row r="39" ht="26" customHeight="1">
      <x:c r="A39" s="2"/>
      <x:c r="B39" s="2" t="str">
        <x:v>Baby, Feminine &amp; Family Care / organic_volume_growth</x:v>
      </x:c>
      <x:c r="C39" s="2" t="str">
        <x:v>Pre-earnings</x:v>
      </x:c>
      <x:c r="D39" s="2" t="str">
        <x:v>Broad lag 1</x:v>
      </x:c>
      <x:c r="E39" s="2" t="str">
        <x:v>Recent eight</x:v>
      </x:c>
      <x:c r="F39" s="2" t="n">
        <x:v>8</x:v>
      </x:c>
      <x:c r="G39" s="8" t="n">
        <x:f>SQRT(AVERAGE(Forecasts!N1930,Forecasts!N1947,Forecasts!N1963,Forecasts!N1979,Forecasts!N1995,Forecasts!N2011,Forecasts!N2027,Forecasts!N2043))</x:f>
        <x:v>3.0774668029813115</x:v>
      </x:c>
      <x:c r="H39" s="8" t="n">
        <x:f>AVERAGE(Forecasts!O1930,Forecasts!O1947,Forecasts!O1963,Forecasts!O1979,Forecasts!O1995,Forecasts!O2011,Forecasts!O2027,Forecasts!O2043)</x:f>
        <x:v>2.435706474003294</x:v>
      </x:c>
      <x:c r="I39" s="8" t="n">
        <x:f>AVERAGE(Forecasts!M1930,Forecasts!M1947,Forecasts!M1963,Forecasts!M1979,Forecasts!M1995,Forecasts!M2011,Forecasts!M2027,Forecasts!M2043)</x:f>
        <x:v>-1.328221184404461</x:v>
      </x:c>
      <x:c r="J39" s="8" t="n">
        <x:f>SQRT(AVERAGE(Forecasts!N1927,Forecasts!N1944,Forecasts!N1960,Forecasts!N1976,Forecasts!N1992,Forecasts!N2008,Forecasts!N2024,Forecasts!N2040))</x:f>
        <x:v>4.444097208657794</x:v>
      </x:c>
      <x:c r="K39" s="8" t="n">
        <x:f>SQRT(AVERAGE(Forecasts!N1929,Forecasts!N1946,Forecasts!N1962,Forecasts!N1978,Forecasts!N1994,Forecasts!N2010,Forecasts!N2026,Forecasts!N2042))</x:f>
        <x:v>3.0630708576100596</x:v>
      </x:c>
    </x:row>
    <x:row r="40" ht="26" customHeight="1">
      <x:c r="A40" s="2"/>
      <x:c r="B40" s="2" t="str">
        <x:v>Baby, Feminine &amp; Family Care / organic_volume_growth</x:v>
      </x:c>
      <x:c r="C40" s="2" t="str">
        <x:v>Pre-earnings</x:v>
      </x:c>
      <x:c r="D40" s="2" t="str">
        <x:v>Broad market</x:v>
      </x:c>
      <x:c r="E40" s="2" t="str">
        <x:v>All available</x:v>
      </x:c>
      <x:c r="F40" s="2" t="n">
        <x:v>12</x:v>
      </x:c>
      <x:c r="G40" s="8" t="n">
        <x:f>SQRT(AVERAGE(Forecasts!N1865,Forecasts!N1881,Forecasts!N1897,Forecasts!N1913,Forecasts!N1929,Forecasts!N1946,Forecasts!N1962,Forecasts!N1978,Forecasts!N1994,Forecasts!N2010,Forecasts!N2026,Forecasts!N2042))</x:f>
        <x:v>2.612655274477987</x:v>
      </x:c>
      <x:c r="H40" s="8" t="n">
        <x:f>AVERAGE(Forecasts!O1865,Forecasts!O1881,Forecasts!O1897,Forecasts!O1913,Forecasts!O1929,Forecasts!O1946,Forecasts!O1962,Forecasts!O1978,Forecasts!O1994,Forecasts!O2010,Forecasts!O2026,Forecasts!O2042)</x:f>
        <x:v>1.9788728524362629</x:v>
      </x:c>
      <x:c r="I40" s="8" t="n">
        <x:f>AVERAGE(Forecasts!M1865,Forecasts!M1881,Forecasts!M1897,Forecasts!M1913,Forecasts!M1929,Forecasts!M1946,Forecasts!M1962,Forecasts!M1978,Forecasts!M1994,Forecasts!M2010,Forecasts!M2026,Forecasts!M2042)</x:f>
        <x:v>-0.8787436754253566</x:v>
      </x:c>
      <x:c r="J40" s="8" t="n">
        <x:f>SQRT(AVERAGE(Forecasts!N1863,Forecasts!N1879,Forecasts!N1895,Forecasts!N1911,Forecasts!N1927,Forecasts!N1944,Forecasts!N1960,Forecasts!N1976,Forecasts!N1992,Forecasts!N2008,Forecasts!N2024,Forecasts!N2040))</x:f>
        <x:v>3.926406329796582</x:v>
      </x:c>
      <x:c r="K40" s="8" t="n">
        <x:f>SQRT(AVERAGE(Forecasts!N1865,Forecasts!N1881,Forecasts!N1897,Forecasts!N1913,Forecasts!N1929,Forecasts!N1946,Forecasts!N1962,Forecasts!N1978,Forecasts!N1994,Forecasts!N2010,Forecasts!N2026,Forecasts!N2042))</x:f>
        <x:v>2.612655274477987</x:v>
      </x:c>
    </x:row>
    <x:row r="41" ht="26" customHeight="1">
      <x:c r="A41" s="2"/>
      <x:c r="B41" s="2" t="str">
        <x:v>Baby, Feminine &amp; Family Care / organic_volume_growth</x:v>
      </x:c>
      <x:c r="C41" s="2" t="str">
        <x:v>Pre-earnings</x:v>
      </x:c>
      <x:c r="D41" s="2" t="str">
        <x:v>Broad market</x:v>
      </x:c>
      <x:c r="E41" s="2" t="str">
        <x:v>Recent eight</x:v>
      </x:c>
      <x:c r="F41" s="2" t="n">
        <x:v>8</x:v>
      </x:c>
      <x:c r="G41" s="8" t="n">
        <x:f>SQRT(AVERAGE(Forecasts!N1929,Forecasts!N1946,Forecasts!N1962,Forecasts!N1978,Forecasts!N1994,Forecasts!N2010,Forecasts!N2026,Forecasts!N2042))</x:f>
        <x:v>3.0630708576100596</x:v>
      </x:c>
      <x:c r="H41" s="8" t="n">
        <x:f>AVERAGE(Forecasts!O1929,Forecasts!O1946,Forecasts!O1962,Forecasts!O1978,Forecasts!O1994,Forecasts!O2010,Forecasts!O2026,Forecasts!O2042)</x:f>
        <x:v>2.4219169558664193</x:v>
      </x:c>
      <x:c r="I41" s="8" t="n">
        <x:f>AVERAGE(Forecasts!M1929,Forecasts!M1946,Forecasts!M1962,Forecasts!M1978,Forecasts!M1994,Forecasts!M2010,Forecasts!M2026,Forecasts!M2042)</x:f>
        <x:v>-1.3407030231430723</x:v>
      </x:c>
      <x:c r="J41" s="8" t="n">
        <x:f>SQRT(AVERAGE(Forecasts!N1927,Forecasts!N1944,Forecasts!N1960,Forecasts!N1976,Forecasts!N1992,Forecasts!N2008,Forecasts!N2024,Forecasts!N2040))</x:f>
        <x:v>4.444097208657794</x:v>
      </x:c>
      <x:c r="K41" s="8" t="n">
        <x:f>SQRT(AVERAGE(Forecasts!N1929,Forecasts!N1946,Forecasts!N1962,Forecasts!N1978,Forecasts!N1994,Forecasts!N2010,Forecasts!N2026,Forecasts!N2042))</x:f>
        <x:v>3.0630708576100596</x:v>
      </x:c>
    </x:row>
    <x:row r="42" ht="26" customHeight="1">
      <x:c r="A42" s="2"/>
      <x:c r="B42" s="2" t="str">
        <x:v>Baby, Feminine &amp; Family Care / organic_volume_growth</x:v>
      </x:c>
      <x:c r="C42" s="2" t="str">
        <x:v>Pre-earnings</x:v>
      </x:c>
      <x:c r="D42" s="2" t="str">
        <x:v>Broad rolling 8</x:v>
      </x:c>
      <x:c r="E42" s="2" t="str">
        <x:v>All available</x:v>
      </x:c>
      <x:c r="F42" s="2" t="n">
        <x:v>12</x:v>
      </x:c>
      <x:c r="G42" s="8" t="n">
        <x:f>SQRT(AVERAGE(Forecasts!N1867,Forecasts!N1883,Forecasts!N1899,Forecasts!N1915,Forecasts!N1931,Forecasts!N1948,Forecasts!N1964,Forecasts!N1980,Forecasts!N1996,Forecasts!N2012,Forecasts!N2028,Forecasts!N2044))</x:f>
        <x:v>2.8673250976983393</x:v>
      </x:c>
      <x:c r="H42" s="8" t="n">
        <x:f>AVERAGE(Forecasts!O1867,Forecasts!O1883,Forecasts!O1899,Forecasts!O1915,Forecasts!O1931,Forecasts!O1948,Forecasts!O1964,Forecasts!O1980,Forecasts!O1996,Forecasts!O2012,Forecasts!O2028,Forecasts!O2044)</x:f>
        <x:v>2.1339608268809105</x:v>
      </x:c>
      <x:c r="I42" s="8" t="n">
        <x:f>AVERAGE(Forecasts!M1867,Forecasts!M1883,Forecasts!M1899,Forecasts!M1915,Forecasts!M1931,Forecasts!M1948,Forecasts!M1964,Forecasts!M1980,Forecasts!M1996,Forecasts!M2012,Forecasts!M2028,Forecasts!M2044)</x:f>
        <x:v>-0.46044599542983383</x:v>
      </x:c>
      <x:c r="J42" s="8" t="n">
        <x:f>SQRT(AVERAGE(Forecasts!N1863,Forecasts!N1879,Forecasts!N1895,Forecasts!N1911,Forecasts!N1927,Forecasts!N1944,Forecasts!N1960,Forecasts!N1976,Forecasts!N1992,Forecasts!N2008,Forecasts!N2024,Forecasts!N2040))</x:f>
        <x:v>3.926406329796582</x:v>
      </x:c>
      <x:c r="K42" s="8" t="n">
        <x:f>SQRT(AVERAGE(Forecasts!N1865,Forecasts!N1881,Forecasts!N1897,Forecasts!N1913,Forecasts!N1929,Forecasts!N1946,Forecasts!N1962,Forecasts!N1978,Forecasts!N1994,Forecasts!N2010,Forecasts!N2026,Forecasts!N2042))</x:f>
        <x:v>2.612655274477987</x:v>
      </x:c>
    </x:row>
    <x:row r="43" ht="26" customHeight="1">
      <x:c r="A43" s="2"/>
      <x:c r="B43" s="2" t="str">
        <x:v>Baby, Feminine &amp; Family Care / organic_volume_growth</x:v>
      </x:c>
      <x:c r="C43" s="2" t="str">
        <x:v>Pre-earnings</x:v>
      </x:c>
      <x:c r="D43" s="2" t="str">
        <x:v>Broad rolling 8</x:v>
      </x:c>
      <x:c r="E43" s="2" t="str">
        <x:v>Recent eight</x:v>
      </x:c>
      <x:c r="F43" s="2" t="n">
        <x:v>8</x:v>
      </x:c>
      <x:c r="G43" s="8" t="n">
        <x:f>SQRT(AVERAGE(Forecasts!N1931,Forecasts!N1948,Forecasts!N1964,Forecasts!N1980,Forecasts!N1996,Forecasts!N2012,Forecasts!N2028,Forecasts!N2044))</x:f>
        <x:v>3.353328509858597</x:v>
      </x:c>
      <x:c r="H43" s="8" t="n">
        <x:f>AVERAGE(Forecasts!O1931,Forecasts!O1948,Forecasts!O1964,Forecasts!O1980,Forecasts!O1996,Forecasts!O2012,Forecasts!O2028,Forecasts!O2044)</x:f>
        <x:v>2.515843526471606</x:v>
      </x:c>
      <x:c r="I43" s="8" t="n">
        <x:f>AVERAGE(Forecasts!M1931,Forecasts!M1948,Forecasts!M1964,Forecasts!M1980,Forecasts!M1996,Forecasts!M2012,Forecasts!M2028,Forecasts!M2044)</x:f>
        <x:v>-0.9041972523141639</x:v>
      </x:c>
      <x:c r="J43" s="8" t="n">
        <x:f>SQRT(AVERAGE(Forecasts!N1927,Forecasts!N1944,Forecasts!N1960,Forecasts!N1976,Forecasts!N1992,Forecasts!N2008,Forecasts!N2024,Forecasts!N2040))</x:f>
        <x:v>4.444097208657794</x:v>
      </x:c>
      <x:c r="K43" s="8" t="n">
        <x:f>SQRT(AVERAGE(Forecasts!N1929,Forecasts!N1946,Forecasts!N1962,Forecasts!N1978,Forecasts!N1994,Forecasts!N2010,Forecasts!N2026,Forecasts!N2042))</x:f>
        <x:v>3.0630708576100596</x:v>
      </x:c>
    </x:row>
    <x:row r="44" ht="26" customHeight="1">
      <x:c r="A44" s="2"/>
      <x:c r="B44" s="2" t="str">
        <x:v>Baby, Feminine &amp; Family Care / organic_volume_growth</x:v>
      </x:c>
      <x:c r="C44" s="2" t="str">
        <x:v>Pre-earnings</x:v>
      </x:c>
      <x:c r="D44" s="2" t="str">
        <x:v>Four-quarter mean</x:v>
      </x:c>
      <x:c r="E44" s="2" t="str">
        <x:v>All available</x:v>
      </x:c>
      <x:c r="F44" s="2" t="n">
        <x:v>12</x:v>
      </x:c>
      <x:c r="G44" s="8" t="n">
        <x:f>SQRT(AVERAGE(Forecasts!N1864,Forecasts!N1880,Forecasts!N1896,Forecasts!N1912,Forecasts!N1928,Forecasts!N1945,Forecasts!N1961,Forecasts!N1977,Forecasts!N1993,Forecasts!N2009,Forecasts!N2025,Forecasts!N2041))</x:f>
        <x:v>2.9483399283890814</x:v>
      </x:c>
      <x:c r="H44" s="8" t="n">
        <x:f>AVERAGE(Forecasts!O1864,Forecasts!O1880,Forecasts!O1896,Forecasts!O1912,Forecasts!O1928,Forecasts!O1945,Forecasts!O1961,Forecasts!O1977,Forecasts!O1993,Forecasts!O2009,Forecasts!O2025,Forecasts!O2041)</x:f>
        <x:v>2.1458333333333335</x:v>
      </x:c>
      <x:c r="I44" s="8" t="n">
        <x:f>AVERAGE(Forecasts!M1864,Forecasts!M1880,Forecasts!M1896,Forecasts!M1912,Forecasts!M1928,Forecasts!M1945,Forecasts!M1961,Forecasts!M1977,Forecasts!M1993,Forecasts!M2009,Forecasts!M2025,Forecasts!M2041)</x:f>
        <x:v>-0.7708333333333334</x:v>
      </x:c>
      <x:c r="J44" s="8" t="n">
        <x:f>SQRT(AVERAGE(Forecasts!N1863,Forecasts!N1879,Forecasts!N1895,Forecasts!N1911,Forecasts!N1927,Forecasts!N1944,Forecasts!N1960,Forecasts!N1976,Forecasts!N1992,Forecasts!N2008,Forecasts!N2024,Forecasts!N2040))</x:f>
        <x:v>3.926406329796582</x:v>
      </x:c>
      <x:c r="K44" s="8" t="n">
        <x:f>SQRT(AVERAGE(Forecasts!N1865,Forecasts!N1881,Forecasts!N1897,Forecasts!N1913,Forecasts!N1929,Forecasts!N1946,Forecasts!N1962,Forecasts!N1978,Forecasts!N1994,Forecasts!N2010,Forecasts!N2026,Forecasts!N2042))</x:f>
        <x:v>2.612655274477987</x:v>
      </x:c>
    </x:row>
    <x:row r="45" ht="26" customHeight="1">
      <x:c r="A45" s="2"/>
      <x:c r="B45" s="2" t="str">
        <x:v>Baby, Feminine &amp; Family Care / organic_volume_growth</x:v>
      </x:c>
      <x:c r="C45" s="2" t="str">
        <x:v>Pre-earnings</x:v>
      </x:c>
      <x:c r="D45" s="2" t="str">
        <x:v>Four-quarter mean</x:v>
      </x:c>
      <x:c r="E45" s="2" t="str">
        <x:v>Recent eight</x:v>
      </x:c>
      <x:c r="F45" s="2" t="n">
        <x:v>8</x:v>
      </x:c>
      <x:c r="G45" s="8" t="n">
        <x:f>SQRT(AVERAGE(Forecasts!N1928,Forecasts!N1945,Forecasts!N1961,Forecasts!N1977,Forecasts!N1993,Forecasts!N2009,Forecasts!N2025,Forecasts!N2041))</x:f>
        <x:v>3.3830921506810894</x:v>
      </x:c>
      <x:c r="H45" s="8" t="n">
        <x:f>AVERAGE(Forecasts!O1928,Forecasts!O1945,Forecasts!O1961,Forecasts!O1977,Forecasts!O1993,Forecasts!O2009,Forecasts!O2025,Forecasts!O2041)</x:f>
        <x:v>2.53125</x:v>
      </x:c>
      <x:c r="I45" s="8" t="n">
        <x:f>AVERAGE(Forecasts!M1928,Forecasts!M1945,Forecasts!M1961,Forecasts!M1977,Forecasts!M1993,Forecasts!M2009,Forecasts!M2025,Forecasts!M2041)</x:f>
        <x:v>-0.65625</x:v>
      </x:c>
      <x:c r="J45" s="8" t="n">
        <x:f>SQRT(AVERAGE(Forecasts!N1927,Forecasts!N1944,Forecasts!N1960,Forecasts!N1976,Forecasts!N1992,Forecasts!N2008,Forecasts!N2024,Forecasts!N2040))</x:f>
        <x:v>4.444097208657794</x:v>
      </x:c>
      <x:c r="K45" s="8" t="n">
        <x:f>SQRT(AVERAGE(Forecasts!N1929,Forecasts!N1946,Forecasts!N1962,Forecasts!N1978,Forecasts!N1994,Forecasts!N2010,Forecasts!N2026,Forecasts!N2042))</x:f>
        <x:v>3.0630708576100596</x:v>
      </x:c>
    </x:row>
    <x:row r="46" ht="26" customHeight="1">
      <x:c r="A46" s="2"/>
      <x:c r="B46" s="2" t="str">
        <x:v>Baby, Feminine &amp; Family Care / organic_volume_growth</x:v>
      </x:c>
      <x:c r="C46" s="2" t="str">
        <x:v>Pre-earnings</x:v>
      </x:c>
      <x:c r="D46" s="2" t="str">
        <x:v>Half correction</x:v>
      </x:c>
      <x:c r="E46" s="2" t="str">
        <x:v>All available</x:v>
      </x:c>
      <x:c r="F46" s="2" t="n">
        <x:v>8</x:v>
      </x:c>
      <x:c r="G46" s="8" t="n">
        <x:f>SQRT(AVERAGE(Forecasts!N2863,Forecasts!N2869,Forecasts!N2875,Forecasts!N2881,Forecasts!N2887,Forecasts!N2893,Forecasts!N2899,Forecasts!N2905))</x:f>
        <x:v>3.220277720425417</x:v>
      </x:c>
      <x:c r="H46" s="8" t="n">
        <x:f>AVERAGE(Forecasts!O2863,Forecasts!O2869,Forecasts!O2875,Forecasts!O2881,Forecasts!O2887,Forecasts!O2893,Forecasts!O2899,Forecasts!O2905)</x:f>
        <x:v>2.457483734565236</x:v>
      </x:c>
      <x:c r="I46" s="8" t="n">
        <x:f>AVERAGE(Forecasts!M2863,Forecasts!M2869,Forecasts!M2875,Forecasts!M2881,Forecasts!M2887,Forecasts!M2893,Forecasts!M2899,Forecasts!M2905)</x:f>
        <x:v>-0.9212392794434607</x:v>
      </x:c>
      <x:c r="J46" s="8" t="n">
        <x:f>SQRT(AVERAGE(Forecasts!N1927,Forecasts!N1944,Forecasts!N1960,Forecasts!N1976,Forecasts!N1992,Forecasts!N2008,Forecasts!N2024,Forecasts!N2040))</x:f>
        <x:v>4.444097208657794</x:v>
      </x:c>
      <x:c r="K46" s="8" t="n">
        <x:f>SQRT(AVERAGE(Forecasts!N1929,Forecasts!N1946,Forecasts!N1962,Forecasts!N1978,Forecasts!N1994,Forecasts!N2010,Forecasts!N2026,Forecasts!N2042))</x:f>
        <x:v>3.0630708576100596</x:v>
      </x:c>
    </x:row>
    <x:row r="47" ht="26" customHeight="1">
      <x:c r="A47" s="2"/>
      <x:c r="B47" s="2" t="str">
        <x:v>Baby, Feminine &amp; Family Care / organic_volume_growth</x:v>
      </x:c>
      <x:c r="C47" s="2" t="str">
        <x:v>Pre-earnings</x:v>
      </x:c>
      <x:c r="D47" s="2" t="str">
        <x:v>Half correction</x:v>
      </x:c>
      <x:c r="E47" s="2" t="str">
        <x:v>Recent eight</x:v>
      </x:c>
      <x:c r="F47" s="2" t="n">
        <x:v>8</x:v>
      </x:c>
      <x:c r="G47" s="8" t="n">
        <x:f>SQRT(AVERAGE(Forecasts!N2863,Forecasts!N2869,Forecasts!N2875,Forecasts!N2881,Forecasts!N2887,Forecasts!N2893,Forecasts!N2899,Forecasts!N2905))</x:f>
        <x:v>3.220277720425417</x:v>
      </x:c>
      <x:c r="H47" s="8" t="n">
        <x:f>AVERAGE(Forecasts!O2863,Forecasts!O2869,Forecasts!O2875,Forecasts!O2881,Forecasts!O2887,Forecasts!O2893,Forecasts!O2899,Forecasts!O2905)</x:f>
        <x:v>2.457483734565236</x:v>
      </x:c>
      <x:c r="I47" s="8" t="n">
        <x:f>AVERAGE(Forecasts!M2863,Forecasts!M2869,Forecasts!M2875,Forecasts!M2881,Forecasts!M2887,Forecasts!M2893,Forecasts!M2899,Forecasts!M2905)</x:f>
        <x:v>-0.9212392794434607</x:v>
      </x:c>
      <x:c r="J47" s="8" t="n">
        <x:f>SQRT(AVERAGE(Forecasts!N1927,Forecasts!N1944,Forecasts!N1960,Forecasts!N1976,Forecasts!N1992,Forecasts!N2008,Forecasts!N2024,Forecasts!N2040))</x:f>
        <x:v>4.444097208657794</x:v>
      </x:c>
      <x:c r="K47" s="8" t="n">
        <x:f>SQRT(AVERAGE(Forecasts!N1929,Forecasts!N1946,Forecasts!N1962,Forecasts!N1978,Forecasts!N1994,Forecasts!N2010,Forecasts!N2026,Forecasts!N2042))</x:f>
        <x:v>3.0630708576100596</x:v>
      </x:c>
    </x:row>
    <x:row r="48" ht="26" customHeight="1">
      <x:c r="A48" s="2"/>
      <x:c r="B48" s="2" t="str">
        <x:v>Baby, Feminine &amp; Family Care / organic_volume_growth</x:v>
      </x:c>
      <x:c r="C48" s="2" t="str">
        <x:v>Pre-earnings</x:v>
      </x:c>
      <x:c r="D48" s="2" t="str">
        <x:v>Last actual</x:v>
      </x:c>
      <x:c r="E48" s="2" t="str">
        <x:v>All available</x:v>
      </x:c>
      <x:c r="F48" s="2" t="n">
        <x:v>12</x:v>
      </x:c>
      <x:c r="G48" s="8" t="n">
        <x:f>SQRT(AVERAGE(Forecasts!N1863,Forecasts!N1879,Forecasts!N1895,Forecasts!N1911,Forecasts!N1927,Forecasts!N1944,Forecasts!N1960,Forecasts!N1976,Forecasts!N1992,Forecasts!N2008,Forecasts!N2024,Forecasts!N2040))</x:f>
        <x:v>3.926406329796582</x:v>
      </x:c>
      <x:c r="H48" s="8" t="n">
        <x:f>AVERAGE(Forecasts!O1863,Forecasts!O1879,Forecasts!O1895,Forecasts!O1911,Forecasts!O1927,Forecasts!O1944,Forecasts!O1960,Forecasts!O1976,Forecasts!O1992,Forecasts!O2008,Forecasts!O2024,Forecasts!O2040)</x:f>
        <x:v>3.0833333333333335</x:v>
      </x:c>
      <x:c r="I48" s="8" t="n">
        <x:f>AVERAGE(Forecasts!M1863,Forecasts!M1879,Forecasts!M1895,Forecasts!M1911,Forecasts!M1927,Forecasts!M1944,Forecasts!M1960,Forecasts!M1976,Forecasts!M1992,Forecasts!M2008,Forecasts!M2024,Forecasts!M2040)</x:f>
        <x:v>-0.5833333333333334</x:v>
      </x:c>
      <x:c r="J48" s="8" t="n">
        <x:f>SQRT(AVERAGE(Forecasts!N1863,Forecasts!N1879,Forecasts!N1895,Forecasts!N1911,Forecasts!N1927,Forecasts!N1944,Forecasts!N1960,Forecasts!N1976,Forecasts!N1992,Forecasts!N2008,Forecasts!N2024,Forecasts!N2040))</x:f>
        <x:v>3.926406329796582</x:v>
      </x:c>
      <x:c r="K48" s="8" t="n">
        <x:f>SQRT(AVERAGE(Forecasts!N1865,Forecasts!N1881,Forecasts!N1897,Forecasts!N1913,Forecasts!N1929,Forecasts!N1946,Forecasts!N1962,Forecasts!N1978,Forecasts!N1994,Forecasts!N2010,Forecasts!N2026,Forecasts!N2042))</x:f>
        <x:v>2.612655274477987</x:v>
      </x:c>
    </x:row>
    <x:row r="49" ht="26" customHeight="1">
      <x:c r="A49" s="2"/>
      <x:c r="B49" s="2" t="str">
        <x:v>Baby, Feminine &amp; Family Care / organic_volume_growth</x:v>
      </x:c>
      <x:c r="C49" s="2" t="str">
        <x:v>Pre-earnings</x:v>
      </x:c>
      <x:c r="D49" s="2" t="str">
        <x:v>Last actual</x:v>
      </x:c>
      <x:c r="E49" s="2" t="str">
        <x:v>Recent eight</x:v>
      </x:c>
      <x:c r="F49" s="2" t="n">
        <x:v>8</x:v>
      </x:c>
      <x:c r="G49" s="8" t="n">
        <x:f>SQRT(AVERAGE(Forecasts!N1927,Forecasts!N1944,Forecasts!N1960,Forecasts!N1976,Forecasts!N1992,Forecasts!N2008,Forecasts!N2024,Forecasts!N2040))</x:f>
        <x:v>4.444097208657794</x:v>
      </x:c>
      <x:c r="H49" s="8" t="n">
        <x:f>AVERAGE(Forecasts!O1927,Forecasts!O1944,Forecasts!O1960,Forecasts!O1976,Forecasts!O1992,Forecasts!O2008,Forecasts!O2024,Forecasts!O2040)</x:f>
        <x:v>3.5</x:v>
      </x:c>
      <x:c r="I49" s="8" t="n">
        <x:f>AVERAGE(Forecasts!M1927,Forecasts!M1944,Forecasts!M1960,Forecasts!M1976,Forecasts!M1992,Forecasts!M2008,Forecasts!M2024,Forecasts!M2040)</x:f>
        <x:v>-0.75</x:v>
      </x:c>
      <x:c r="J49" s="8" t="n">
        <x:f>SQRT(AVERAGE(Forecasts!N1927,Forecasts!N1944,Forecasts!N1960,Forecasts!N1976,Forecasts!N1992,Forecasts!N2008,Forecasts!N2024,Forecasts!N2040))</x:f>
        <x:v>4.444097208657794</x:v>
      </x:c>
      <x:c r="K49" s="8" t="n">
        <x:f>SQRT(AVERAGE(Forecasts!N1929,Forecasts!N1946,Forecasts!N1962,Forecasts!N1978,Forecasts!N1994,Forecasts!N2010,Forecasts!N2026,Forecasts!N2042))</x:f>
        <x:v>3.0630708576100596</x:v>
      </x:c>
    </x:row>
    <x:row r="50" ht="26" customHeight="1">
      <x:c r="A50" s="2"/>
      <x:c r="B50" s="2" t="str">
        <x:v>Baby, Feminine &amp; Family Care / organic_volume_growth</x:v>
      </x:c>
      <x:c r="C50" s="2" t="str">
        <x:v>Pre-earnings</x:v>
      </x:c>
      <x:c r="D50" s="2" t="str">
        <x:v>Own history</x:v>
      </x:c>
      <x:c r="E50" s="2" t="str">
        <x:v>All available</x:v>
      </x:c>
      <x:c r="F50" s="2" t="n">
        <x:v>12</x:v>
      </x:c>
      <x:c r="G50" s="8" t="n">
        <x:f>SQRT(AVERAGE(Forecasts!N1868,Forecasts!N1884,Forecasts!N1900,Forecasts!N1916,Forecasts!N1932,Forecasts!N1949,Forecasts!N1965,Forecasts!N1981,Forecasts!N1997,Forecasts!N2013,Forecasts!N2029,Forecasts!N2045))</x:f>
        <x:v>3.0050013280147616</x:v>
      </x:c>
      <x:c r="H50" s="8" t="n">
        <x:f>AVERAGE(Forecasts!O1868,Forecasts!O1884,Forecasts!O1900,Forecasts!O1916,Forecasts!O1932,Forecasts!O1949,Forecasts!O1965,Forecasts!O1981,Forecasts!O1997,Forecasts!O2013,Forecasts!O2029,Forecasts!O2045)</x:f>
        <x:v>2.43029837345184</x:v>
      </x:c>
      <x:c r="I50" s="8" t="n">
        <x:f>AVERAGE(Forecasts!M1868,Forecasts!M1884,Forecasts!M1900,Forecasts!M1916,Forecasts!M1932,Forecasts!M1949,Forecasts!M1965,Forecasts!M1981,Forecasts!M1997,Forecasts!M2013,Forecasts!M2029,Forecasts!M2045)</x:f>
        <x:v>-0.4609984024676587</x:v>
      </x:c>
      <x:c r="J50" s="8" t="n">
        <x:f>SQRT(AVERAGE(Forecasts!N1863,Forecasts!N1879,Forecasts!N1895,Forecasts!N1911,Forecasts!N1927,Forecasts!N1944,Forecasts!N1960,Forecasts!N1976,Forecasts!N1992,Forecasts!N2008,Forecasts!N2024,Forecasts!N2040))</x:f>
        <x:v>3.926406329796582</x:v>
      </x:c>
      <x:c r="K50" s="8" t="n">
        <x:f>SQRT(AVERAGE(Forecasts!N1865,Forecasts!N1881,Forecasts!N1897,Forecasts!N1913,Forecasts!N1929,Forecasts!N1946,Forecasts!N1962,Forecasts!N1978,Forecasts!N1994,Forecasts!N2010,Forecasts!N2026,Forecasts!N2042))</x:f>
        <x:v>2.612655274477987</x:v>
      </x:c>
    </x:row>
    <x:row r="51" ht="26" customHeight="1">
      <x:c r="A51" s="2"/>
      <x:c r="B51" s="2" t="str">
        <x:v>Baby, Feminine &amp; Family Care / organic_volume_growth</x:v>
      </x:c>
      <x:c r="C51" s="2" t="str">
        <x:v>Pre-earnings</x:v>
      </x:c>
      <x:c r="D51" s="2" t="str">
        <x:v>Own history</x:v>
      </x:c>
      <x:c r="E51" s="2" t="str">
        <x:v>Recent eight</x:v>
      </x:c>
      <x:c r="F51" s="2" t="n">
        <x:v>8</x:v>
      </x:c>
      <x:c r="G51" s="8" t="n">
        <x:f>SQRT(AVERAGE(Forecasts!N1932,Forecasts!N1949,Forecasts!N1965,Forecasts!N1981,Forecasts!N1997,Forecasts!N2013,Forecasts!N2029,Forecasts!N2045))</x:f>
        <x:v>3.365208428139465</x:v>
      </x:c>
      <x:c r="H51" s="8" t="n">
        <x:f>AVERAGE(Forecasts!O1932,Forecasts!O1949,Forecasts!O1965,Forecasts!O1981,Forecasts!O1997,Forecasts!O2013,Forecasts!O2029,Forecasts!O2045)</x:f>
        <x:v>2.7583633303236925</x:v>
      </x:c>
      <x:c r="I51" s="8" t="n">
        <x:f>AVERAGE(Forecasts!M1932,Forecasts!M1949,Forecasts!M1965,Forecasts!M1981,Forecasts!M1997,Forecasts!M2013,Forecasts!M2029,Forecasts!M2045)</x:f>
        <x:v>-0.7825182689523155</x:v>
      </x:c>
      <x:c r="J51" s="8" t="n">
        <x:f>SQRT(AVERAGE(Forecasts!N1927,Forecasts!N1944,Forecasts!N1960,Forecasts!N1976,Forecasts!N1992,Forecasts!N2008,Forecasts!N2024,Forecasts!N2040))</x:f>
        <x:v>4.444097208657794</x:v>
      </x:c>
      <x:c r="K51" s="8" t="n">
        <x:f>SQRT(AVERAGE(Forecasts!N1929,Forecasts!N1946,Forecasts!N1962,Forecasts!N1978,Forecasts!N1994,Forecasts!N2010,Forecasts!N2026,Forecasts!N2042))</x:f>
        <x:v>3.0630708576100596</x:v>
      </x:c>
    </x:row>
    <x:row r="52" ht="26" customHeight="1">
      <x:c r="A52" s="2"/>
      <x:c r="B52" s="2" t="str">
        <x:v>Baby, Feminine &amp; Family Care / price_contribution</x:v>
      </x:c>
      <x:c r="C52" s="2" t="str">
        <x:v>Origin</x:v>
      </x:c>
      <x:c r="D52" s="2" t="str">
        <x:v>Bias correction</x:v>
      </x:c>
      <x:c r="E52" s="2" t="str">
        <x:v>All available</x:v>
      </x:c>
      <x:c r="F52" s="2" t="n">
        <x:v>7</x:v>
      </x:c>
      <x:c r="G52" s="8" t="n">
        <x:f>SQRT(AVERAGE(Forecasts!N2634,Forecasts!N2640,Forecasts!N2646,Forecasts!N2652,Forecasts!N2658,Forecasts!N2664,Forecasts!N2670))</x:f>
        <x:v>2.1828552730596287</x:v>
      </x:c>
      <x:c r="H52" s="8" t="n">
        <x:f>AVERAGE(Forecasts!O2634,Forecasts!O2640,Forecasts!O2646,Forecasts!O2652,Forecasts!O2658,Forecasts!O2664,Forecasts!O2670)</x:f>
        <x:v>1.7678932714607498</x:v>
      </x:c>
      <x:c r="I52" s="8" t="n">
        <x:f>AVERAGE(Forecasts!M2634,Forecasts!M2640,Forecasts!M2646,Forecasts!M2652,Forecasts!M2658,Forecasts!M2664,Forecasts!M2670)</x:f>
        <x:v>-1.2295595555403291</x:v>
      </x:c>
      <x:c r="J52" s="8" t="n">
        <x:f>SQRT(AVERAGE(Forecasts!N969,Forecasts!N986,Forecasts!N1003,Forecasts!N1020,Forecasts!N1037,Forecasts!N1054,Forecasts!N1071))</x:f>
        <x:v>1.1952286093343936</x:v>
      </x:c>
      <x:c r="K52" s="8" t="n">
        <x:f>SQRT(AVERAGE(Forecasts!N971,Forecasts!N988,Forecasts!N1005,Forecasts!N1022,Forecasts!N1039,Forecasts!N1056,Forecasts!N1073))</x:f>
        <x:v>2.1714879950954202</x:v>
      </x:c>
    </x:row>
    <x:row r="53" ht="26" customHeight="1">
      <x:c r="A53" s="2"/>
      <x:c r="B53" s="2" t="str">
        <x:v>Baby, Feminine &amp; Family Care / price_contribution</x:v>
      </x:c>
      <x:c r="C53" s="2" t="str">
        <x:v>Origin</x:v>
      </x:c>
      <x:c r="D53" s="2" t="str">
        <x:v>Bias correction</x:v>
      </x:c>
      <x:c r="E53" s="2" t="str">
        <x:v>Recent eight</x:v>
      </x:c>
      <x:c r="F53" s="2" t="n">
        <x:v>7</x:v>
      </x:c>
      <x:c r="G53" s="8" t="n">
        <x:f>SQRT(AVERAGE(Forecasts!N2634,Forecasts!N2640,Forecasts!N2646,Forecasts!N2652,Forecasts!N2658,Forecasts!N2664,Forecasts!N2670))</x:f>
        <x:v>2.1828552730596287</x:v>
      </x:c>
      <x:c r="H53" s="8" t="n">
        <x:f>AVERAGE(Forecasts!O2634,Forecasts!O2640,Forecasts!O2646,Forecasts!O2652,Forecasts!O2658,Forecasts!O2664,Forecasts!O2670)</x:f>
        <x:v>1.7678932714607498</x:v>
      </x:c>
      <x:c r="I53" s="8" t="n">
        <x:f>AVERAGE(Forecasts!M2634,Forecasts!M2640,Forecasts!M2646,Forecasts!M2652,Forecasts!M2658,Forecasts!M2664,Forecasts!M2670)</x:f>
        <x:v>-1.2295595555403291</x:v>
      </x:c>
      <x:c r="J53" s="8" t="n">
        <x:f>SQRT(AVERAGE(Forecasts!N969,Forecasts!N986,Forecasts!N1003,Forecasts!N1020,Forecasts!N1037,Forecasts!N1054,Forecasts!N1071))</x:f>
        <x:v>1.1952286093343936</x:v>
      </x:c>
      <x:c r="K53" s="8" t="n">
        <x:f>SQRT(AVERAGE(Forecasts!N971,Forecasts!N988,Forecasts!N1005,Forecasts!N1022,Forecasts!N1039,Forecasts!N1056,Forecasts!N1073))</x:f>
        <x:v>2.1714879950954202</x:v>
      </x:c>
    </x:row>
    <x:row r="54" ht="26" customHeight="1">
      <x:c r="A54" s="2"/>
      <x:c r="B54" s="2" t="str">
        <x:v>Baby, Feminine &amp; Family Care / price_contribution</x:v>
      </x:c>
      <x:c r="C54" s="2" t="str">
        <x:v>Origin</x:v>
      </x:c>
      <x:c r="D54" s="2" t="str">
        <x:v>Broad market</x:v>
      </x:c>
      <x:c r="E54" s="2" t="str">
        <x:v>All available</x:v>
      </x:c>
      <x:c r="F54" s="2" t="n">
        <x:v>12</x:v>
      </x:c>
      <x:c r="G54" s="8" t="n">
        <x:f>SQRT(AVERAGE(Forecasts!N888,Forecasts!N904,Forecasts!N920,Forecasts!N937,Forecasts!N954,Forecasts!N971,Forecasts!N988,Forecasts!N1005,Forecasts!N1022,Forecasts!N1039,Forecasts!N1056,Forecasts!N1073))</x:f>
        <x:v>2.83142107529849</x:v>
      </x:c>
      <x:c r="H54" s="8" t="n">
        <x:f>AVERAGE(Forecasts!O888,Forecasts!O904,Forecasts!O920,Forecasts!O937,Forecasts!O954,Forecasts!O971,Forecasts!O988,Forecasts!O1005,Forecasts!O1022,Forecasts!O1039,Forecasts!O1056,Forecasts!O1073)</x:f>
        <x:v>2.3215456096148155</x:v>
      </x:c>
      <x:c r="I54" s="8" t="n">
        <x:f>AVERAGE(Forecasts!M888,Forecasts!M904,Forecasts!M920,Forecasts!M937,Forecasts!M954,Forecasts!M971,Forecasts!M988,Forecasts!M1005,Forecasts!M1022,Forecasts!M1039,Forecasts!M1056,Forecasts!M1073)</x:f>
        <x:v>2.3215456096148155</x:v>
      </x:c>
      <x:c r="J54" s="8" t="n">
        <x:f>SQRT(AVERAGE(Forecasts!N886,Forecasts!N902,Forecasts!N918,Forecasts!N935,Forecasts!N952,Forecasts!N969,Forecasts!N986,Forecasts!N1003,Forecasts!N1020,Forecasts!N1037,Forecasts!N1054,Forecasts!N1071))</x:f>
        <x:v>2.5495097567963922</x:v>
      </x:c>
      <x:c r="K54" s="8" t="n">
        <x:f>SQRT(AVERAGE(Forecasts!N888,Forecasts!N904,Forecasts!N920,Forecasts!N937,Forecasts!N954,Forecasts!N971,Forecasts!N988,Forecasts!N1005,Forecasts!N1022,Forecasts!N1039,Forecasts!N1056,Forecasts!N1073))</x:f>
        <x:v>2.83142107529849</x:v>
      </x:c>
    </x:row>
    <x:row r="55" ht="26" customHeight="1">
      <x:c r="A55" s="2"/>
      <x:c r="B55" s="2" t="str">
        <x:v>Baby, Feminine &amp; Family Care / price_contribution</x:v>
      </x:c>
      <x:c r="C55" s="2" t="str">
        <x:v>Origin</x:v>
      </x:c>
      <x:c r="D55" s="2" t="str">
        <x:v>Broad market</x:v>
      </x:c>
      <x:c r="E55" s="2" t="str">
        <x:v>Recent eight</x:v>
      </x:c>
      <x:c r="F55" s="2" t="n">
        <x:v>8</x:v>
      </x:c>
      <x:c r="G55" s="8" t="n">
        <x:f>SQRT(AVERAGE(Forecasts!N954,Forecasts!N971,Forecasts!N988,Forecasts!N1005,Forecasts!N1022,Forecasts!N1039,Forecasts!N1056,Forecasts!N1073))</x:f>
        <x:v>2.7531520220071646</x:v>
      </x:c>
      <x:c r="H55" s="8" t="n">
        <x:f>AVERAGE(Forecasts!O954,Forecasts!O971,Forecasts!O988,Forecasts!O1005,Forecasts!O1022,Forecasts!O1039,Forecasts!O1056,Forecasts!O1073)</x:f>
        <x:v>2.2642650721527935</x:v>
      </x:c>
      <x:c r="I55" s="8" t="n">
        <x:f>AVERAGE(Forecasts!M954,Forecasts!M971,Forecasts!M988,Forecasts!M1005,Forecasts!M1022,Forecasts!M1039,Forecasts!M1056,Forecasts!M1073)</x:f>
        <x:v>2.2642650721527935</x:v>
      </x:c>
      <x:c r="J55" s="8" t="n">
        <x:f>SQRT(AVERAGE(Forecasts!N952,Forecasts!N969,Forecasts!N986,Forecasts!N1003,Forecasts!N1020,Forecasts!N1037,Forecasts!N1054,Forecasts!N1071))</x:f>
        <x:v>1.8027756377319946</x:v>
      </x:c>
      <x:c r="K55" s="8" t="n">
        <x:f>SQRT(AVERAGE(Forecasts!N954,Forecasts!N971,Forecasts!N988,Forecasts!N1005,Forecasts!N1022,Forecasts!N1039,Forecasts!N1056,Forecasts!N1073))</x:f>
        <x:v>2.7531520220071646</x:v>
      </x:c>
    </x:row>
    <x:row r="56" ht="26" customHeight="1">
      <x:c r="A56" s="2"/>
      <x:c r="B56" s="2" t="str">
        <x:v>Baby, Feminine &amp; Family Care / price_contribution</x:v>
      </x:c>
      <x:c r="C56" s="2" t="str">
        <x:v>Origin</x:v>
      </x:c>
      <x:c r="D56" s="2" t="str">
        <x:v>Broad rolling 8</x:v>
      </x:c>
      <x:c r="E56" s="2" t="str">
        <x:v>All available</x:v>
      </x:c>
      <x:c r="F56" s="2" t="n">
        <x:v>12</x:v>
      </x:c>
      <x:c r="G56" s="8" t="n">
        <x:f>SQRT(AVERAGE(Forecasts!N889,Forecasts!N905,Forecasts!N921,Forecasts!N938,Forecasts!N955,Forecasts!N972,Forecasts!N989,Forecasts!N1006,Forecasts!N1023,Forecasts!N1040,Forecasts!N1057,Forecasts!N1074))</x:f>
        <x:v>2.7804053069527987</x:v>
      </x:c>
      <x:c r="H56" s="8" t="n">
        <x:f>AVERAGE(Forecasts!O889,Forecasts!O905,Forecasts!O921,Forecasts!O938,Forecasts!O955,Forecasts!O972,Forecasts!O989,Forecasts!O1006,Forecasts!O1023,Forecasts!O1040,Forecasts!O1057,Forecasts!O1074)</x:f>
        <x:v>2.0397927957155524</x:v>
      </x:c>
      <x:c r="I56" s="8" t="n">
        <x:f>AVERAGE(Forecasts!M889,Forecasts!M905,Forecasts!M921,Forecasts!M938,Forecasts!M955,Forecasts!M972,Forecasts!M989,Forecasts!M1006,Forecasts!M1023,Forecasts!M1040,Forecasts!M1057,Forecasts!M1074)</x:f>
        <x:v>1.2795071246699012</x:v>
      </x:c>
      <x:c r="J56" s="8" t="n">
        <x:f>SQRT(AVERAGE(Forecasts!N886,Forecasts!N902,Forecasts!N918,Forecasts!N935,Forecasts!N952,Forecasts!N969,Forecasts!N986,Forecasts!N1003,Forecasts!N1020,Forecasts!N1037,Forecasts!N1054,Forecasts!N1071))</x:f>
        <x:v>2.5495097567963922</x:v>
      </x:c>
      <x:c r="K56" s="8" t="n">
        <x:f>SQRT(AVERAGE(Forecasts!N888,Forecasts!N904,Forecasts!N920,Forecasts!N937,Forecasts!N954,Forecasts!N971,Forecasts!N988,Forecasts!N1005,Forecasts!N1022,Forecasts!N1039,Forecasts!N1056,Forecasts!N1073))</x:f>
        <x:v>2.83142107529849</x:v>
      </x:c>
    </x:row>
    <x:row r="57" ht="26" customHeight="1">
      <x:c r="A57" s="2"/>
      <x:c r="B57" s="2" t="str">
        <x:v>Baby, Feminine &amp; Family Care / price_contribution</x:v>
      </x:c>
      <x:c r="C57" s="2" t="str">
        <x:v>Origin</x:v>
      </x:c>
      <x:c r="D57" s="2" t="str">
        <x:v>Broad rolling 8</x:v>
      </x:c>
      <x:c r="E57" s="2" t="str">
        <x:v>Recent eight</x:v>
      </x:c>
      <x:c r="F57" s="2" t="n">
        <x:v>8</x:v>
      </x:c>
      <x:c r="G57" s="8" t="n">
        <x:f>SQRT(AVERAGE(Forecasts!N955,Forecasts!N972,Forecasts!N989,Forecasts!N1006,Forecasts!N1023,Forecasts!N1040,Forecasts!N1057,Forecasts!N1074))</x:f>
        <x:v>2.5958875820072707</x:v>
      </x:c>
      <x:c r="H57" s="8" t="n">
        <x:f>AVERAGE(Forecasts!O955,Forecasts!O972,Forecasts!O989,Forecasts!O1006,Forecasts!O1023,Forecasts!O1040,Forecasts!O1057,Forecasts!O1074)</x:f>
        <x:v>1.7966718809101736</x:v>
      </x:c>
      <x:c r="I57" s="8" t="n">
        <x:f>AVERAGE(Forecasts!M955,Forecasts!M972,Forecasts!M989,Forecasts!M1006,Forecasts!M1023,Forecasts!M1040,Forecasts!M1057,Forecasts!M1074)</x:f>
        <x:v>0.6562433743416972</x:v>
      </x:c>
      <x:c r="J57" s="8" t="n">
        <x:f>SQRT(AVERAGE(Forecasts!N952,Forecasts!N969,Forecasts!N986,Forecasts!N1003,Forecasts!N1020,Forecasts!N1037,Forecasts!N1054,Forecasts!N1071))</x:f>
        <x:v>1.8027756377319946</x:v>
      </x:c>
      <x:c r="K57" s="8" t="n">
        <x:f>SQRT(AVERAGE(Forecasts!N954,Forecasts!N971,Forecasts!N988,Forecasts!N1005,Forecasts!N1022,Forecasts!N1039,Forecasts!N1056,Forecasts!N1073))</x:f>
        <x:v>2.7531520220071646</x:v>
      </x:c>
    </x:row>
    <x:row r="58" ht="26" customHeight="1">
      <x:c r="A58" s="2"/>
      <x:c r="B58" s="2" t="str">
        <x:v>Baby, Feminine &amp; Family Care / price_contribution</x:v>
      </x:c>
      <x:c r="C58" s="2" t="str">
        <x:v>Origin</x:v>
      </x:c>
      <x:c r="D58" s="2" t="str">
        <x:v>Four-quarter mean</x:v>
      </x:c>
      <x:c r="E58" s="2" t="str">
        <x:v>All available</x:v>
      </x:c>
      <x:c r="F58" s="2" t="n">
        <x:v>12</x:v>
      </x:c>
      <x:c r="G58" s="8" t="n">
        <x:f>SQRT(AVERAGE(Forecasts!N887,Forecasts!N903,Forecasts!N919,Forecasts!N936,Forecasts!N953,Forecasts!N970,Forecasts!N987,Forecasts!N1004,Forecasts!N1021,Forecasts!N1038,Forecasts!N1055,Forecasts!N1072))</x:f>
        <x:v>3.607717422415453</x:v>
      </x:c>
      <x:c r="H58" s="8" t="n">
        <x:f>AVERAGE(Forecasts!O887,Forecasts!O903,Forecasts!O919,Forecasts!O936,Forecasts!O953,Forecasts!O970,Forecasts!O987,Forecasts!O1004,Forecasts!O1021,Forecasts!O1038,Forecasts!O1055,Forecasts!O1072)</x:f>
        <x:v>2.6041666666666665</x:v>
      </x:c>
      <x:c r="I58" s="8" t="n">
        <x:f>AVERAGE(Forecasts!M887,Forecasts!M903,Forecasts!M919,Forecasts!M936,Forecasts!M953,Forecasts!M970,Forecasts!M987,Forecasts!M1004,Forecasts!M1021,Forecasts!M1038,Forecasts!M1055,Forecasts!M1072)</x:f>
        <x:v>2.1458333333333335</x:v>
      </x:c>
      <x:c r="J58" s="8" t="n">
        <x:f>SQRT(AVERAGE(Forecasts!N886,Forecasts!N902,Forecasts!N918,Forecasts!N935,Forecasts!N952,Forecasts!N969,Forecasts!N986,Forecasts!N1003,Forecasts!N1020,Forecasts!N1037,Forecasts!N1054,Forecasts!N1071))</x:f>
        <x:v>2.5495097567963922</x:v>
      </x:c>
      <x:c r="K58" s="8" t="n">
        <x:f>SQRT(AVERAGE(Forecasts!N888,Forecasts!N904,Forecasts!N920,Forecasts!N937,Forecasts!N954,Forecasts!N971,Forecasts!N988,Forecasts!N1005,Forecasts!N1022,Forecasts!N1039,Forecasts!N1056,Forecasts!N1073))</x:f>
        <x:v>2.83142107529849</x:v>
      </x:c>
    </x:row>
    <x:row r="59" ht="26" customHeight="1">
      <x:c r="A59" s="2"/>
      <x:c r="B59" s="2" t="str">
        <x:v>Baby, Feminine &amp; Family Care / price_contribution</x:v>
      </x:c>
      <x:c r="C59" s="2" t="str">
        <x:v>Origin</x:v>
      </x:c>
      <x:c r="D59" s="2" t="str">
        <x:v>Four-quarter mean</x:v>
      </x:c>
      <x:c r="E59" s="2" t="str">
        <x:v>Recent eight</x:v>
      </x:c>
      <x:c r="F59" s="2" t="n">
        <x:v>8</x:v>
      </x:c>
      <x:c r="G59" s="8" t="n">
        <x:f>SQRT(AVERAGE(Forecasts!N953,Forecasts!N970,Forecasts!N987,Forecasts!N1004,Forecasts!N1021,Forecasts!N1038,Forecasts!N1055,Forecasts!N1072))</x:f>
        <x:v>3.5772720053135463</x:v>
      </x:c>
      <x:c r="H59" s="8" t="n">
        <x:f>AVERAGE(Forecasts!O953,Forecasts!O970,Forecasts!O987,Forecasts!O1004,Forecasts!O1021,Forecasts!O1038,Forecasts!O1055,Forecasts!O1072)</x:f>
        <x:v>2.4375</x:v>
      </x:c>
      <x:c r="I59" s="8" t="n">
        <x:f>AVERAGE(Forecasts!M953,Forecasts!M970,Forecasts!M987,Forecasts!M1004,Forecasts!M1021,Forecasts!M1038,Forecasts!M1055,Forecasts!M1072)</x:f>
        <x:v>2.1875</x:v>
      </x:c>
      <x:c r="J59" s="8" t="n">
        <x:f>SQRT(AVERAGE(Forecasts!N952,Forecasts!N969,Forecasts!N986,Forecasts!N1003,Forecasts!N1020,Forecasts!N1037,Forecasts!N1054,Forecasts!N1071))</x:f>
        <x:v>1.8027756377319946</x:v>
      </x:c>
      <x:c r="K59" s="8" t="n">
        <x:f>SQRT(AVERAGE(Forecasts!N954,Forecasts!N971,Forecasts!N988,Forecasts!N1005,Forecasts!N1022,Forecasts!N1039,Forecasts!N1056,Forecasts!N1073))</x:f>
        <x:v>2.7531520220071646</x:v>
      </x:c>
    </x:row>
    <x:row r="60" ht="26" customHeight="1">
      <x:c r="A60" s="2"/>
      <x:c r="B60" s="2" t="str">
        <x:v>Baby, Feminine &amp; Family Care / price_contribution</x:v>
      </x:c>
      <x:c r="C60" s="2" t="str">
        <x:v>Origin</x:v>
      </x:c>
      <x:c r="D60" s="2" t="str">
        <x:v>Half correction</x:v>
      </x:c>
      <x:c r="E60" s="2" t="str">
        <x:v>All available</x:v>
      </x:c>
      <x:c r="F60" s="2" t="n">
        <x:v>7</x:v>
      </x:c>
      <x:c r="G60" s="8" t="n">
        <x:f>SQRT(AVERAGE(Forecasts!N2635,Forecasts!N2641,Forecasts!N2647,Forecasts!N2653,Forecasts!N2659,Forecasts!N2665,Forecasts!N2671))</x:f>
        <x:v>1.4595329095510479</x:v>
      </x:c>
      <x:c r="H60" s="8" t="n">
        <x:f>AVERAGE(Forecasts!O2635,Forecasts!O2641,Forecasts!O2647,Forecasts!O2653,Forecasts!O2659,Forecasts!O2665,Forecasts!O2671)</x:f>
        <x:v>1.2560177208217438</x:v>
      </x:c>
      <x:c r="I60" s="8" t="n">
        <x:f>AVERAGE(Forecasts!M2635,Forecasts!M2641,Forecasts!M2647,Forecasts!M2653,Forecasts!M2659,Forecasts!M2665,Forecasts!M2671)</x:f>
        <x:v>0.30361859784548556</x:v>
      </x:c>
      <x:c r="J60" s="8" t="n">
        <x:f>SQRT(AVERAGE(Forecasts!N969,Forecasts!N986,Forecasts!N1003,Forecasts!N1020,Forecasts!N1037,Forecasts!N1054,Forecasts!N1071))</x:f>
        <x:v>1.1952286093343936</x:v>
      </x:c>
      <x:c r="K60" s="8" t="n">
        <x:f>SQRT(AVERAGE(Forecasts!N971,Forecasts!N988,Forecasts!N1005,Forecasts!N1022,Forecasts!N1039,Forecasts!N1056,Forecasts!N1073))</x:f>
        <x:v>2.1714879950954202</x:v>
      </x:c>
    </x:row>
    <x:row r="61" ht="26" customHeight="1">
      <x:c r="A61" s="2"/>
      <x:c r="B61" s="2" t="str">
        <x:v>Baby, Feminine &amp; Family Care / price_contribution</x:v>
      </x:c>
      <x:c r="C61" s="2" t="str">
        <x:v>Origin</x:v>
      </x:c>
      <x:c r="D61" s="2" t="str">
        <x:v>Half correction</x:v>
      </x:c>
      <x:c r="E61" s="2" t="str">
        <x:v>Recent eight</x:v>
      </x:c>
      <x:c r="F61" s="2" t="n">
        <x:v>7</x:v>
      </x:c>
      <x:c r="G61" s="8" t="n">
        <x:f>SQRT(AVERAGE(Forecasts!N2635,Forecasts!N2641,Forecasts!N2647,Forecasts!N2653,Forecasts!N2659,Forecasts!N2665,Forecasts!N2671))</x:f>
        <x:v>1.4595329095510479</x:v>
      </x:c>
      <x:c r="H61" s="8" t="n">
        <x:f>AVERAGE(Forecasts!O2635,Forecasts!O2641,Forecasts!O2647,Forecasts!O2653,Forecasts!O2659,Forecasts!O2665,Forecasts!O2671)</x:f>
        <x:v>1.2560177208217438</x:v>
      </x:c>
      <x:c r="I61" s="8" t="n">
        <x:f>AVERAGE(Forecasts!M2635,Forecasts!M2641,Forecasts!M2647,Forecasts!M2653,Forecasts!M2659,Forecasts!M2665,Forecasts!M2671)</x:f>
        <x:v>0.30361859784548556</x:v>
      </x:c>
      <x:c r="J61" s="8" t="n">
        <x:f>SQRT(AVERAGE(Forecasts!N969,Forecasts!N986,Forecasts!N1003,Forecasts!N1020,Forecasts!N1037,Forecasts!N1054,Forecasts!N1071))</x:f>
        <x:v>1.1952286093343936</x:v>
      </x:c>
      <x:c r="K61" s="8" t="n">
        <x:f>SQRT(AVERAGE(Forecasts!N971,Forecasts!N988,Forecasts!N1005,Forecasts!N1022,Forecasts!N1039,Forecasts!N1056,Forecasts!N1073))</x:f>
        <x:v>2.1714879950954202</x:v>
      </x:c>
    </x:row>
    <x:row r="62" ht="26" customHeight="1">
      <x:c r="A62" s="2"/>
      <x:c r="B62" s="2" t="str">
        <x:v>Baby, Feminine &amp; Family Care / price_contribution</x:v>
      </x:c>
      <x:c r="C62" s="2" t="str">
        <x:v>Origin</x:v>
      </x:c>
      <x:c r="D62" s="2" t="str">
        <x:v>Last actual</x:v>
      </x:c>
      <x:c r="E62" s="2" t="str">
        <x:v>All available</x:v>
      </x:c>
      <x:c r="F62" s="2" t="n">
        <x:v>12</x:v>
      </x:c>
      <x:c r="G62" s="8" t="n">
        <x:f>SQRT(AVERAGE(Forecasts!N886,Forecasts!N902,Forecasts!N918,Forecasts!N935,Forecasts!N952,Forecasts!N969,Forecasts!N986,Forecasts!N1003,Forecasts!N1020,Forecasts!N1037,Forecasts!N1054,Forecasts!N1071))</x:f>
        <x:v>2.5495097567963922</x:v>
      </x:c>
      <x:c r="H62" s="8" t="n">
        <x:f>AVERAGE(Forecasts!O886,Forecasts!O902,Forecasts!O918,Forecasts!O935,Forecasts!O952,Forecasts!O969,Forecasts!O986,Forecasts!O1003,Forecasts!O1020,Forecasts!O1037,Forecasts!O1054,Forecasts!O1071)</x:f>
        <x:v>1.6666666666666667</x:v>
      </x:c>
      <x:c r="I62" s="8" t="n">
        <x:f>AVERAGE(Forecasts!M886,Forecasts!M902,Forecasts!M918,Forecasts!M935,Forecasts!M952,Forecasts!M969,Forecasts!M986,Forecasts!M1003,Forecasts!M1020,Forecasts!M1037,Forecasts!M1054,Forecasts!M1071)</x:f>
        <x:v>1.3333333333333333</x:v>
      </x:c>
      <x:c r="J62" s="8" t="n">
        <x:f>SQRT(AVERAGE(Forecasts!N886,Forecasts!N902,Forecasts!N918,Forecasts!N935,Forecasts!N952,Forecasts!N969,Forecasts!N986,Forecasts!N1003,Forecasts!N1020,Forecasts!N1037,Forecasts!N1054,Forecasts!N1071))</x:f>
        <x:v>2.5495097567963922</x:v>
      </x:c>
      <x:c r="K62" s="8" t="n">
        <x:f>SQRT(AVERAGE(Forecasts!N888,Forecasts!N904,Forecasts!N920,Forecasts!N937,Forecasts!N954,Forecasts!N971,Forecasts!N988,Forecasts!N1005,Forecasts!N1022,Forecasts!N1039,Forecasts!N1056,Forecasts!N1073))</x:f>
        <x:v>2.83142107529849</x:v>
      </x:c>
    </x:row>
    <x:row r="63" ht="26" customHeight="1">
      <x:c r="A63" s="2"/>
      <x:c r="B63" s="2" t="str">
        <x:v>Baby, Feminine &amp; Family Care / price_contribution</x:v>
      </x:c>
      <x:c r="C63" s="2" t="str">
        <x:v>Origin</x:v>
      </x:c>
      <x:c r="D63" s="2" t="str">
        <x:v>Last actual</x:v>
      </x:c>
      <x:c r="E63" s="2" t="str">
        <x:v>Recent eight</x:v>
      </x:c>
      <x:c r="F63" s="2" t="n">
        <x:v>8</x:v>
      </x:c>
      <x:c r="G63" s="8" t="n">
        <x:f>SQRT(AVERAGE(Forecasts!N952,Forecasts!N969,Forecasts!N986,Forecasts!N1003,Forecasts!N1020,Forecasts!N1037,Forecasts!N1054,Forecasts!N1071))</x:f>
        <x:v>1.8027756377319946</x:v>
      </x:c>
      <x:c r="H63" s="8" t="n">
        <x:f>AVERAGE(Forecasts!O952,Forecasts!O969,Forecasts!O986,Forecasts!O1003,Forecasts!O1020,Forecasts!O1037,Forecasts!O1054,Forecasts!O1071)</x:f>
        <x:v>1.25</x:v>
      </x:c>
      <x:c r="I63" s="8" t="n">
        <x:f>AVERAGE(Forecasts!M952,Forecasts!M969,Forecasts!M986,Forecasts!M1003,Forecasts!M1020,Forecasts!M1037,Forecasts!M1054,Forecasts!M1071)</x:f>
        <x:v>0.75</x:v>
      </x:c>
      <x:c r="J63" s="8" t="n">
        <x:f>SQRT(AVERAGE(Forecasts!N952,Forecasts!N969,Forecasts!N986,Forecasts!N1003,Forecasts!N1020,Forecasts!N1037,Forecasts!N1054,Forecasts!N1071))</x:f>
        <x:v>1.8027756377319946</x:v>
      </x:c>
      <x:c r="K63" s="8" t="n">
        <x:f>SQRT(AVERAGE(Forecasts!N954,Forecasts!N971,Forecasts!N988,Forecasts!N1005,Forecasts!N1022,Forecasts!N1039,Forecasts!N1056,Forecasts!N1073))</x:f>
        <x:v>2.7531520220071646</x:v>
      </x:c>
    </x:row>
    <x:row r="64" ht="26" customHeight="1">
      <x:c r="A64" s="2"/>
      <x:c r="B64" s="2" t="str">
        <x:v>Baby, Feminine &amp; Family Care / price_contribution</x:v>
      </x:c>
      <x:c r="C64" s="2" t="str">
        <x:v>Origin</x:v>
      </x:c>
      <x:c r="D64" s="2" t="str">
        <x:v>Own history</x:v>
      </x:c>
      <x:c r="E64" s="2" t="str">
        <x:v>All available</x:v>
      </x:c>
      <x:c r="F64" s="2" t="n">
        <x:v>10</x:v>
      </x:c>
      <x:c r="G64" s="8" t="n">
        <x:f>SQRT(AVERAGE(Forecasts!N922,Forecasts!N939,Forecasts!N956,Forecasts!N973,Forecasts!N990,Forecasts!N1007,Forecasts!N1024,Forecasts!N1041,Forecasts!N1058,Forecasts!N1075))</x:f>
        <x:v>3.5732733081380053</x:v>
      </x:c>
      <x:c r="H64" s="8" t="n">
        <x:f>AVERAGE(Forecasts!O922,Forecasts!O939,Forecasts!O956,Forecasts!O973,Forecasts!O990,Forecasts!O1007,Forecasts!O1024,Forecasts!O1041,Forecasts!O1058,Forecasts!O1075)</x:f>
        <x:v>3.0285514384097474</x:v>
      </x:c>
      <x:c r="I64" s="8" t="n">
        <x:f>AVERAGE(Forecasts!M922,Forecasts!M939,Forecasts!M956,Forecasts!M973,Forecasts!M990,Forecasts!M1007,Forecasts!M1024,Forecasts!M1041,Forecasts!M1058,Forecasts!M1075)</x:f>
        <x:v>3.0035009333592426</x:v>
      </x:c>
      <x:c r="J64" s="8" t="n">
        <x:f>SQRT(AVERAGE(Forecasts!N918,Forecasts!N935,Forecasts!N952,Forecasts!N969,Forecasts!N986,Forecasts!N1003,Forecasts!N1020,Forecasts!N1037,Forecasts!N1054,Forecasts!N1071))</x:f>
        <x:v>2.792848008753788</x:v>
      </x:c>
      <x:c r="K64" s="8" t="n">
        <x:f>SQRT(AVERAGE(Forecasts!N920,Forecasts!N937,Forecasts!N954,Forecasts!N971,Forecasts!N988,Forecasts!N1005,Forecasts!N1022,Forecasts!N1039,Forecasts!N1056,Forecasts!N1073))</x:f>
        <x:v>3.081896449674483</x:v>
      </x:c>
    </x:row>
    <x:row r="65" ht="26" customHeight="1">
      <x:c r="A65" s="2"/>
      <x:c r="B65" s="2" t="str">
        <x:v>Baby, Feminine &amp; Family Care / price_contribution</x:v>
      </x:c>
      <x:c r="C65" s="2" t="str">
        <x:v>Origin</x:v>
      </x:c>
      <x:c r="D65" s="2" t="str">
        <x:v>Own history</x:v>
      </x:c>
      <x:c r="E65" s="2" t="str">
        <x:v>Recent eight</x:v>
      </x:c>
      <x:c r="F65" s="2" t="n">
        <x:v>8</x:v>
      </x:c>
      <x:c r="G65" s="8" t="n">
        <x:f>SQRT(AVERAGE(Forecasts!N956,Forecasts!N973,Forecasts!N990,Forecasts!N1007,Forecasts!N1024,Forecasts!N1041,Forecasts!N1058,Forecasts!N1075))</x:f>
        <x:v>2.983748248410275</x:v>
      </x:c>
      <x:c r="H65" s="8" t="n">
        <x:f>AVERAGE(Forecasts!O956,Forecasts!O973,Forecasts!O990,Forecasts!O1007,Forecasts!O1024,Forecasts!O1041,Forecasts!O1058,Forecasts!O1075)</x:f>
        <x:v>2.4796021512660085</x:v>
      </x:c>
      <x:c r="I65" s="8" t="n">
        <x:f>AVERAGE(Forecasts!M956,Forecasts!M973,Forecasts!M990,Forecasts!M1007,Forecasts!M1024,Forecasts!M1041,Forecasts!M1058,Forecasts!M1075)</x:f>
        <x:v>2.448289019952877</x:v>
      </x:c>
      <x:c r="J65" s="8" t="n">
        <x:f>SQRT(AVERAGE(Forecasts!N952,Forecasts!N969,Forecasts!N986,Forecasts!N1003,Forecasts!N1020,Forecasts!N1037,Forecasts!N1054,Forecasts!N1071))</x:f>
        <x:v>1.8027756377319946</x:v>
      </x:c>
      <x:c r="K65" s="8" t="n">
        <x:f>SQRT(AVERAGE(Forecasts!N954,Forecasts!N971,Forecasts!N988,Forecasts!N1005,Forecasts!N1022,Forecasts!N1039,Forecasts!N1056,Forecasts!N1073))</x:f>
        <x:v>2.7531520220071646</x:v>
      </x:c>
    </x:row>
    <x:row r="66" ht="26" customHeight="1">
      <x:c r="A66" s="2"/>
      <x:c r="B66" s="2" t="str">
        <x:v>Baby, Feminine &amp; Family Care / price_contribution</x:v>
      </x:c>
      <x:c r="C66" s="2" t="str">
        <x:v>Prior report</x:v>
      </x:c>
      <x:c r="D66" s="2" t="str">
        <x:v>Bias correction</x:v>
      </x:c>
      <x:c r="E66" s="2" t="str">
        <x:v>All available</x:v>
      </x:c>
      <x:c r="F66" s="2" t="n">
        <x:v>8</x:v>
      </x:c>
      <x:c r="G66" s="8" t="n">
        <x:f>SQRT(AVERAGE(Forecasts!N2630,Forecasts!N2636,Forecasts!N2642,Forecasts!N2648,Forecasts!N2654,Forecasts!N2660,Forecasts!N2666,Forecasts!N2672))</x:f>
        <x:v>1.8190820634495883</x:v>
      </x:c>
      <x:c r="H66" s="8" t="n">
        <x:f>AVERAGE(Forecasts!O2630,Forecasts!O2636,Forecasts!O2642,Forecasts!O2648,Forecasts!O2654,Forecasts!O2660,Forecasts!O2666,Forecasts!O2672)</x:f>
        <x:v>1.447276769334032</x:v>
      </x:c>
      <x:c r="I66" s="8" t="n">
        <x:f>AVERAGE(Forecasts!M2630,Forecasts!M2636,Forecasts!M2642,Forecasts!M2648,Forecasts!M2654,Forecasts!M2660,Forecasts!M2666,Forecasts!M2672)</x:f>
        <x:v>-0.3553637983129139</x:v>
      </x:c>
      <x:c r="J66" s="8" t="n">
        <x:f>SQRT(AVERAGE(Forecasts!N957,Forecasts!N974,Forecasts!N991,Forecasts!N1008,Forecasts!N1025,Forecasts!N1042,Forecasts!N1059,Forecasts!N1076))</x:f>
        <x:v>1</x:v>
      </x:c>
      <x:c r="K66" s="8" t="n">
        <x:f>SQRT(AVERAGE(Forecasts!N959,Forecasts!N976,Forecasts!N993,Forecasts!N1010,Forecasts!N1027,Forecasts!N1044,Forecasts!N1061,Forecasts!N1078))</x:f>
        <x:v>2.492983433433519</x:v>
      </x:c>
    </x:row>
    <x:row r="67" ht="26" customHeight="1">
      <x:c r="A67" s="2"/>
      <x:c r="B67" s="2" t="str">
        <x:v>Baby, Feminine &amp; Family Care / price_contribution</x:v>
      </x:c>
      <x:c r="C67" s="2" t="str">
        <x:v>Prior report</x:v>
      </x:c>
      <x:c r="D67" s="2" t="str">
        <x:v>Bias correction</x:v>
      </x:c>
      <x:c r="E67" s="2" t="str">
        <x:v>Recent eight</x:v>
      </x:c>
      <x:c r="F67" s="2" t="n">
        <x:v>8</x:v>
      </x:c>
      <x:c r="G67" s="8" t="n">
        <x:f>SQRT(AVERAGE(Forecasts!N2630,Forecasts!N2636,Forecasts!N2642,Forecasts!N2648,Forecasts!N2654,Forecasts!N2660,Forecasts!N2666,Forecasts!N2672))</x:f>
        <x:v>1.8190820634495883</x:v>
      </x:c>
      <x:c r="H67" s="8" t="n">
        <x:f>AVERAGE(Forecasts!O2630,Forecasts!O2636,Forecasts!O2642,Forecasts!O2648,Forecasts!O2654,Forecasts!O2660,Forecasts!O2666,Forecasts!O2672)</x:f>
        <x:v>1.447276769334032</x:v>
      </x:c>
      <x:c r="I67" s="8" t="n">
        <x:f>AVERAGE(Forecasts!M2630,Forecasts!M2636,Forecasts!M2642,Forecasts!M2648,Forecasts!M2654,Forecasts!M2660,Forecasts!M2666,Forecasts!M2672)</x:f>
        <x:v>-0.3553637983129139</x:v>
      </x:c>
      <x:c r="J67" s="8" t="n">
        <x:f>SQRT(AVERAGE(Forecasts!N957,Forecasts!N974,Forecasts!N991,Forecasts!N1008,Forecasts!N1025,Forecasts!N1042,Forecasts!N1059,Forecasts!N1076))</x:f>
        <x:v>1</x:v>
      </x:c>
      <x:c r="K67" s="8" t="n">
        <x:f>SQRT(AVERAGE(Forecasts!N959,Forecasts!N976,Forecasts!N993,Forecasts!N1010,Forecasts!N1027,Forecasts!N1044,Forecasts!N1061,Forecasts!N1078))</x:f>
        <x:v>2.492983433433519</x:v>
      </x:c>
    </x:row>
    <x:row r="68" ht="26" customHeight="1">
      <x:c r="A68" s="2"/>
      <x:c r="B68" s="2" t="str">
        <x:v>Baby, Feminine &amp; Family Care / price_contribution</x:v>
      </x:c>
      <x:c r="C68" s="2" t="str">
        <x:v>Prior report</x:v>
      </x:c>
      <x:c r="D68" s="2" t="str">
        <x:v>Broad lag 1</x:v>
      </x:c>
      <x:c r="E68" s="2" t="str">
        <x:v>All available</x:v>
      </x:c>
      <x:c r="F68" s="2" t="n">
        <x:v>11</x:v>
      </x:c>
      <x:c r="G68" s="8" t="n">
        <x:f>SQRT(AVERAGE(Forecasts!N893,Forecasts!N909,Forecasts!N926,Forecasts!N943,Forecasts!N960,Forecasts!N977,Forecasts!N994,Forecasts!N1011,Forecasts!N1028,Forecasts!N1045,Forecasts!N1062))</x:f>
        <x:v>2.842655722135047</x:v>
      </x:c>
      <x:c r="H68" s="8" t="n">
        <x:f>AVERAGE(Forecasts!O893,Forecasts!O909,Forecasts!O926,Forecasts!O943,Forecasts!O960,Forecasts!O977,Forecasts!O994,Forecasts!O1011,Forecasts!O1028,Forecasts!O1045,Forecasts!O1062)</x:f>
        <x:v>2.45728533136668</x:v>
      </x:c>
      <x:c r="I68" s="8" t="n">
        <x:f>AVERAGE(Forecasts!M893,Forecasts!M909,Forecasts!M926,Forecasts!M943,Forecasts!M960,Forecasts!M977,Forecasts!M994,Forecasts!M1011,Forecasts!M1028,Forecasts!M1045,Forecasts!M1062)</x:f>
        <x:v>2.45728533136668</x:v>
      </x:c>
      <x:c r="J68" s="8" t="n">
        <x:f>SQRT(AVERAGE(Forecasts!N890,Forecasts!N906,Forecasts!N923,Forecasts!N940,Forecasts!N957,Forecasts!N974,Forecasts!N991,Forecasts!N1008,Forecasts!N1025,Forecasts!N1042,Forecasts!N1059))</x:f>
        <x:v>1.5954480704349312</x:v>
      </x:c>
      <x:c r="K68" s="8" t="n">
        <x:f>SQRT(AVERAGE(Forecasts!N892,Forecasts!N908,Forecasts!N925,Forecasts!N942,Forecasts!N959,Forecasts!N976,Forecasts!N993,Forecasts!N1010,Forecasts!N1027,Forecasts!N1044,Forecasts!N1061))</x:f>
        <x:v>2.5493496760478105</x:v>
      </x:c>
    </x:row>
    <x:row r="69" ht="26" customHeight="1">
      <x:c r="A69" s="2"/>
      <x:c r="B69" s="2" t="str">
        <x:v>Baby, Feminine &amp; Family Care / price_contribution</x:v>
      </x:c>
      <x:c r="C69" s="2" t="str">
        <x:v>Prior report</x:v>
      </x:c>
      <x:c r="D69" s="2" t="str">
        <x:v>Broad lag 1</x:v>
      </x:c>
      <x:c r="E69" s="2" t="str">
        <x:v>Recent eight</x:v>
      </x:c>
      <x:c r="F69" s="2" t="n">
        <x:v>7</x:v>
      </x:c>
      <x:c r="G69" s="8" t="n">
        <x:f>SQRT(AVERAGE(Forecasts!N960,Forecasts!N977,Forecasts!N994,Forecasts!N1011,Forecasts!N1028,Forecasts!N1045,Forecasts!N1062))</x:f>
        <x:v>2.9215292049777113</x:v>
      </x:c>
      <x:c r="H69" s="8" t="n">
        <x:f>AVERAGE(Forecasts!O960,Forecasts!O977,Forecasts!O994,Forecasts!O1011,Forecasts!O1028,Forecasts!O1045,Forecasts!O1062)</x:f>
        <x:v>2.54520795409587</x:v>
      </x:c>
      <x:c r="I69" s="8" t="n">
        <x:f>AVERAGE(Forecasts!M960,Forecasts!M977,Forecasts!M994,Forecasts!M1011,Forecasts!M1028,Forecasts!M1045,Forecasts!M1062)</x:f>
        <x:v>2.54520795409587</x:v>
      </x:c>
      <x:c r="J69" s="8" t="n">
        <x:f>SQRT(AVERAGE(Forecasts!N957,Forecasts!N974,Forecasts!N991,Forecasts!N1008,Forecasts!N1025,Forecasts!N1042,Forecasts!N1059))</x:f>
        <x:v>1.0690449676496976</x:v>
      </x:c>
      <x:c r="K69" s="8" t="n">
        <x:f>SQRT(AVERAGE(Forecasts!N959,Forecasts!N976,Forecasts!N993,Forecasts!N1010,Forecasts!N1027,Forecasts!N1044,Forecasts!N1061))</x:f>
        <x:v>2.565729783340866</x:v>
      </x:c>
    </x:row>
    <x:row r="70" ht="26" customHeight="1">
      <x:c r="A70" s="2"/>
      <x:c r="B70" s="2" t="str">
        <x:v>Baby, Feminine &amp; Family Care / price_contribution</x:v>
      </x:c>
      <x:c r="C70" s="2" t="str">
        <x:v>Prior report</x:v>
      </x:c>
      <x:c r="D70" s="2" t="str">
        <x:v>Broad market</x:v>
      </x:c>
      <x:c r="E70" s="2" t="str">
        <x:v>All available</x:v>
      </x:c>
      <x:c r="F70" s="2" t="n">
        <x:v>12</x:v>
      </x:c>
      <x:c r="G70" s="8" t="n">
        <x:f>SQRT(AVERAGE(Forecasts!N892,Forecasts!N908,Forecasts!N925,Forecasts!N942,Forecasts!N959,Forecasts!N976,Forecasts!N993,Forecasts!N1010,Forecasts!N1027,Forecasts!N1044,Forecasts!N1061,Forecasts!N1078))</x:f>
        <x:v>2.5021651861529692</x:v>
      </x:c>
      <x:c r="H70" s="8" t="n">
        <x:f>AVERAGE(Forecasts!O892,Forecasts!O908,Forecasts!O925,Forecasts!O942,Forecasts!O959,Forecasts!O976,Forecasts!O993,Forecasts!O1010,Forecasts!O1027,Forecasts!O1044,Forecasts!O1061,Forecasts!O1078)</x:f>
        <x:v>2.0403625685614357</x:v>
      </x:c>
      <x:c r="I70" s="8" t="n">
        <x:f>AVERAGE(Forecasts!M892,Forecasts!M908,Forecasts!M925,Forecasts!M942,Forecasts!M959,Forecasts!M976,Forecasts!M993,Forecasts!M1010,Forecasts!M1027,Forecasts!M1044,Forecasts!M1061,Forecasts!M1078)</x:f>
        <x:v>2.0356977725547356</x:v>
      </x:c>
      <x:c r="J70" s="8" t="n">
        <x:f>SQRT(AVERAGE(Forecasts!N890,Forecasts!N906,Forecasts!N923,Forecasts!N940,Forecasts!N957,Forecasts!N974,Forecasts!N991,Forecasts!N1008,Forecasts!N1025,Forecasts!N1042,Forecasts!N1059,Forecasts!N1076))</x:f>
        <x:v>1.5275252316519468</x:v>
      </x:c>
      <x:c r="K70" s="8" t="n">
        <x:f>SQRT(AVERAGE(Forecasts!N892,Forecasts!N908,Forecasts!N925,Forecasts!N942,Forecasts!N959,Forecasts!N976,Forecasts!N993,Forecasts!N1010,Forecasts!N1027,Forecasts!N1044,Forecasts!N1061,Forecasts!N1078))</x:f>
        <x:v>2.5021651861529692</x:v>
      </x:c>
    </x:row>
    <x:row r="71" ht="26" customHeight="1">
      <x:c r="A71" s="2"/>
      <x:c r="B71" s="2" t="str">
        <x:v>Baby, Feminine &amp; Family Care / price_contribution</x:v>
      </x:c>
      <x:c r="C71" s="2" t="str">
        <x:v>Prior report</x:v>
      </x:c>
      <x:c r="D71" s="2" t="str">
        <x:v>Broad market</x:v>
      </x:c>
      <x:c r="E71" s="2" t="str">
        <x:v>Recent eight</x:v>
      </x:c>
      <x:c r="F71" s="2" t="n">
        <x:v>8</x:v>
      </x:c>
      <x:c r="G71" s="8" t="n">
        <x:f>SQRT(AVERAGE(Forecasts!N959,Forecasts!N976,Forecasts!N993,Forecasts!N1010,Forecasts!N1027,Forecasts!N1044,Forecasts!N1061,Forecasts!N1078))</x:f>
        <x:v>2.492983433433519</x:v>
      </x:c>
      <x:c r="H71" s="8" t="n">
        <x:f>AVERAGE(Forecasts!O959,Forecasts!O976,Forecasts!O993,Forecasts!O1010,Forecasts!O1027,Forecasts!O1044,Forecasts!O1061,Forecasts!O1078)</x:f>
        <x:v>2.0639833546016764</x:v>
      </x:c>
      <x:c r="I71" s="8" t="n">
        <x:f>AVERAGE(Forecasts!M959,Forecasts!M976,Forecasts!M993,Forecasts!M1010,Forecasts!M1027,Forecasts!M1044,Forecasts!M1061,Forecasts!M1078)</x:f>
        <x:v>2.056986160591627</x:v>
      </x:c>
      <x:c r="J71" s="8" t="n">
        <x:f>SQRT(AVERAGE(Forecasts!N957,Forecasts!N974,Forecasts!N991,Forecasts!N1008,Forecasts!N1025,Forecasts!N1042,Forecasts!N1059,Forecasts!N1076))</x:f>
        <x:v>1</x:v>
      </x:c>
      <x:c r="K71" s="8" t="n">
        <x:f>SQRT(AVERAGE(Forecasts!N959,Forecasts!N976,Forecasts!N993,Forecasts!N1010,Forecasts!N1027,Forecasts!N1044,Forecasts!N1061,Forecasts!N1078))</x:f>
        <x:v>2.492983433433519</x:v>
      </x:c>
    </x:row>
    <x:row r="72" ht="26" customHeight="1">
      <x:c r="A72" s="2"/>
      <x:c r="B72" s="2" t="str">
        <x:v>Baby, Feminine &amp; Family Care / price_contribution</x:v>
      </x:c>
      <x:c r="C72" s="2" t="str">
        <x:v>Prior report</x:v>
      </x:c>
      <x:c r="D72" s="2" t="str">
        <x:v>Broad rolling 8</x:v>
      </x:c>
      <x:c r="E72" s="2" t="str">
        <x:v>All available</x:v>
      </x:c>
      <x:c r="F72" s="2" t="n">
        <x:v>12</x:v>
      </x:c>
      <x:c r="G72" s="8" t="n">
        <x:f>SQRT(AVERAGE(Forecasts!N894,Forecasts!N910,Forecasts!N927,Forecasts!N944,Forecasts!N961,Forecasts!N978,Forecasts!N995,Forecasts!N1012,Forecasts!N1029,Forecasts!N1046,Forecasts!N1063,Forecasts!N1079))</x:f>
        <x:v>2.1865645538651197</x:v>
      </x:c>
      <x:c r="H72" s="8" t="n">
        <x:f>AVERAGE(Forecasts!O894,Forecasts!O910,Forecasts!O927,Forecasts!O944,Forecasts!O961,Forecasts!O978,Forecasts!O995,Forecasts!O1012,Forecasts!O1029,Forecasts!O1046,Forecasts!O1063,Forecasts!O1079)</x:f>
        <x:v>1.449244341045107</x:v>
      </x:c>
      <x:c r="I72" s="8" t="n">
        <x:f>AVERAGE(Forecasts!M894,Forecasts!M910,Forecasts!M927,Forecasts!M944,Forecasts!M961,Forecasts!M978,Forecasts!M995,Forecasts!M1012,Forecasts!M1029,Forecasts!M1046,Forecasts!M1063,Forecasts!M1079)</x:f>
        <x:v>0.9109465969398376</x:v>
      </x:c>
      <x:c r="J72" s="8" t="n">
        <x:f>SQRT(AVERAGE(Forecasts!N890,Forecasts!N906,Forecasts!N923,Forecasts!N940,Forecasts!N957,Forecasts!N974,Forecasts!N991,Forecasts!N1008,Forecasts!N1025,Forecasts!N1042,Forecasts!N1059,Forecasts!N1076))</x:f>
        <x:v>1.5275252316519468</x:v>
      </x:c>
      <x:c r="K72" s="8" t="n">
        <x:f>SQRT(AVERAGE(Forecasts!N892,Forecasts!N908,Forecasts!N925,Forecasts!N942,Forecasts!N959,Forecasts!N976,Forecasts!N993,Forecasts!N1010,Forecasts!N1027,Forecasts!N1044,Forecasts!N1061,Forecasts!N1078))</x:f>
        <x:v>2.5021651861529692</x:v>
      </x:c>
    </x:row>
    <x:row r="73" ht="26" customHeight="1">
      <x:c r="A73" s="2"/>
      <x:c r="B73" s="2" t="str">
        <x:v>Baby, Feminine &amp; Family Care / price_contribution</x:v>
      </x:c>
      <x:c r="C73" s="2" t="str">
        <x:v>Prior report</x:v>
      </x:c>
      <x:c r="D73" s="2" t="str">
        <x:v>Broad rolling 8</x:v>
      </x:c>
      <x:c r="E73" s="2" t="str">
        <x:v>Recent eight</x:v>
      </x:c>
      <x:c r="F73" s="2" t="n">
        <x:v>8</x:v>
      </x:c>
      <x:c r="G73" s="8" t="n">
        <x:f>SQRT(AVERAGE(Forecasts!N961,Forecasts!N978,Forecasts!N995,Forecasts!N1012,Forecasts!N1029,Forecasts!N1046,Forecasts!N1063,Forecasts!N1079))</x:f>
        <x:v>1.8211337834627446</x:v>
      </x:c>
      <x:c r="H73" s="8" t="n">
        <x:f>AVERAGE(Forecasts!O961,Forecasts!O978,Forecasts!O995,Forecasts!O1012,Forecasts!O1029,Forecasts!O1046,Forecasts!O1063,Forecasts!O1079)</x:f>
        <x:v>1.0923720045133147</x:v>
      </x:c>
      <x:c r="I73" s="8" t="n">
        <x:f>AVERAGE(Forecasts!M961,Forecasts!M978,Forecasts!M995,Forecasts!M1012,Forecasts!M1029,Forecasts!M1046,Forecasts!M1063,Forecasts!M1079)</x:f>
        <x:v>0.28492538835541026</x:v>
      </x:c>
      <x:c r="J73" s="8" t="n">
        <x:f>SQRT(AVERAGE(Forecasts!N957,Forecasts!N974,Forecasts!N991,Forecasts!N1008,Forecasts!N1025,Forecasts!N1042,Forecasts!N1059,Forecasts!N1076))</x:f>
        <x:v>1</x:v>
      </x:c>
      <x:c r="K73" s="8" t="n">
        <x:f>SQRT(AVERAGE(Forecasts!N959,Forecasts!N976,Forecasts!N993,Forecasts!N1010,Forecasts!N1027,Forecasts!N1044,Forecasts!N1061,Forecasts!N1078))</x:f>
        <x:v>2.492983433433519</x:v>
      </x:c>
    </x:row>
    <x:row r="74" ht="26" customHeight="1">
      <x:c r="A74" s="2"/>
      <x:c r="B74" s="2" t="str">
        <x:v>Baby, Feminine &amp; Family Care / price_contribution</x:v>
      </x:c>
      <x:c r="C74" s="2" t="str">
        <x:v>Prior report</x:v>
      </x:c>
      <x:c r="D74" s="2" t="str">
        <x:v>Four-quarter mean</x:v>
      </x:c>
      <x:c r="E74" s="2" t="str">
        <x:v>All available</x:v>
      </x:c>
      <x:c r="F74" s="2" t="n">
        <x:v>12</x:v>
      </x:c>
      <x:c r="G74" s="8" t="n">
        <x:f>SQRT(AVERAGE(Forecasts!N891,Forecasts!N907,Forecasts!N924,Forecasts!N941,Forecasts!N958,Forecasts!N975,Forecasts!N992,Forecasts!N1009,Forecasts!N1026,Forecasts!N1043,Forecasts!N1060,Forecasts!N1077))</x:f>
        <x:v>2.7641680484369977</x:v>
      </x:c>
      <x:c r="H74" s="8" t="n">
        <x:f>AVERAGE(Forecasts!O891,Forecasts!O907,Forecasts!O924,Forecasts!O941,Forecasts!O958,Forecasts!O975,Forecasts!O992,Forecasts!O1009,Forecasts!O1026,Forecasts!O1043,Forecasts!O1060,Forecasts!O1077)</x:f>
        <x:v>1.8958333333333333</x:v>
      </x:c>
      <x:c r="I74" s="8" t="n">
        <x:f>AVERAGE(Forecasts!M891,Forecasts!M907,Forecasts!M924,Forecasts!M941,Forecasts!M958,Forecasts!M975,Forecasts!M992,Forecasts!M1009,Forecasts!M1026,Forecasts!M1043,Forecasts!M1060,Forecasts!M1077)</x:f>
        <x:v>1.6041666666666667</x:v>
      </x:c>
      <x:c r="J74" s="8" t="n">
        <x:f>SQRT(AVERAGE(Forecasts!N890,Forecasts!N906,Forecasts!N923,Forecasts!N940,Forecasts!N957,Forecasts!N974,Forecasts!N991,Forecasts!N1008,Forecasts!N1025,Forecasts!N1042,Forecasts!N1059,Forecasts!N1076))</x:f>
        <x:v>1.5275252316519468</x:v>
      </x:c>
      <x:c r="K74" s="8" t="n">
        <x:f>SQRT(AVERAGE(Forecasts!N892,Forecasts!N908,Forecasts!N925,Forecasts!N942,Forecasts!N959,Forecasts!N976,Forecasts!N993,Forecasts!N1010,Forecasts!N1027,Forecasts!N1044,Forecasts!N1061,Forecasts!N1078))</x:f>
        <x:v>2.5021651861529692</x:v>
      </x:c>
    </x:row>
    <x:row r="75" ht="26" customHeight="1">
      <x:c r="A75" s="2"/>
      <x:c r="B75" s="2" t="str">
        <x:v>Baby, Feminine &amp; Family Care / price_contribution</x:v>
      </x:c>
      <x:c r="C75" s="2" t="str">
        <x:v>Prior report</x:v>
      </x:c>
      <x:c r="D75" s="2" t="str">
        <x:v>Four-quarter mean</x:v>
      </x:c>
      <x:c r="E75" s="2" t="str">
        <x:v>Recent eight</x:v>
      </x:c>
      <x:c r="F75" s="2" t="n">
        <x:v>8</x:v>
      </x:c>
      <x:c r="G75" s="8" t="n">
        <x:f>SQRT(AVERAGE(Forecasts!N958,Forecasts!N975,Forecasts!N992,Forecasts!N1009,Forecasts!N1026,Forecasts!N1043,Forecasts!N1060,Forecasts!N1077))</x:f>
        <x:v>2.510913678325083</x:v>
      </x:c>
      <x:c r="H75" s="8" t="n">
        <x:f>AVERAGE(Forecasts!O958,Forecasts!O975,Forecasts!O992,Forecasts!O1009,Forecasts!O1026,Forecasts!O1043,Forecasts!O1060,Forecasts!O1077)</x:f>
        <x:v>1.65625</x:v>
      </x:c>
      <x:c r="I75" s="8" t="n">
        <x:f>AVERAGE(Forecasts!M958,Forecasts!M975,Forecasts!M992,Forecasts!M1009,Forecasts!M1026,Forecasts!M1043,Forecasts!M1060,Forecasts!M1077)</x:f>
        <x:v>1.34375</x:v>
      </x:c>
      <x:c r="J75" s="8" t="n">
        <x:f>SQRT(AVERAGE(Forecasts!N957,Forecasts!N974,Forecasts!N991,Forecasts!N1008,Forecasts!N1025,Forecasts!N1042,Forecasts!N1059,Forecasts!N1076))</x:f>
        <x:v>1</x:v>
      </x:c>
      <x:c r="K75" s="8" t="n">
        <x:f>SQRT(AVERAGE(Forecasts!N959,Forecasts!N976,Forecasts!N993,Forecasts!N1010,Forecasts!N1027,Forecasts!N1044,Forecasts!N1061,Forecasts!N1078))</x:f>
        <x:v>2.492983433433519</x:v>
      </x:c>
    </x:row>
    <x:row r="76" ht="26" customHeight="1">
      <x:c r="A76" s="2"/>
      <x:c r="B76" s="2" t="str">
        <x:v>Baby, Feminine &amp; Family Care / price_contribution</x:v>
      </x:c>
      <x:c r="C76" s="2" t="str">
        <x:v>Prior report</x:v>
      </x:c>
      <x:c r="D76" s="2" t="str">
        <x:v>Half correction</x:v>
      </x:c>
      <x:c r="E76" s="2" t="str">
        <x:v>All available</x:v>
      </x:c>
      <x:c r="F76" s="2" t="n">
        <x:v>8</x:v>
      </x:c>
      <x:c r="G76" s="8" t="n">
        <x:f>SQRT(AVERAGE(Forecasts!N2631,Forecasts!N2637,Forecasts!N2643,Forecasts!N2649,Forecasts!N2655,Forecasts!N2661,Forecasts!N2667,Forecasts!N2673))</x:f>
        <x:v>1.7476552291979681</x:v>
      </x:c>
      <x:c r="H76" s="8" t="n">
        <x:f>AVERAGE(Forecasts!O2631,Forecasts!O2637,Forecasts!O2643,Forecasts!O2649,Forecasts!O2655,Forecasts!O2661,Forecasts!O2667,Forecasts!O2673)</x:f>
        <x:v>1.3719195690927426</x:v>
      </x:c>
      <x:c r="I76" s="8" t="n">
        <x:f>AVERAGE(Forecasts!M2631,Forecasts!M2637,Forecasts!M2643,Forecasts!M2649,Forecasts!M2655,Forecasts!M2661,Forecasts!M2667,Forecasts!M2673)</x:f>
        <x:v>0.8508111811393566</x:v>
      </x:c>
      <x:c r="J76" s="8" t="n">
        <x:f>SQRT(AVERAGE(Forecasts!N957,Forecasts!N974,Forecasts!N991,Forecasts!N1008,Forecasts!N1025,Forecasts!N1042,Forecasts!N1059,Forecasts!N1076))</x:f>
        <x:v>1</x:v>
      </x:c>
      <x:c r="K76" s="8" t="n">
        <x:f>SQRT(AVERAGE(Forecasts!N959,Forecasts!N976,Forecasts!N993,Forecasts!N1010,Forecasts!N1027,Forecasts!N1044,Forecasts!N1061,Forecasts!N1078))</x:f>
        <x:v>2.492983433433519</x:v>
      </x:c>
    </x:row>
    <x:row r="77" ht="26" customHeight="1">
      <x:c r="A77" s="2"/>
      <x:c r="B77" s="2" t="str">
        <x:v>Baby, Feminine &amp; Family Care / price_contribution</x:v>
      </x:c>
      <x:c r="C77" s="2" t="str">
        <x:v>Prior report</x:v>
      </x:c>
      <x:c r="D77" s="2" t="str">
        <x:v>Half correction</x:v>
      </x:c>
      <x:c r="E77" s="2" t="str">
        <x:v>Recent eight</x:v>
      </x:c>
      <x:c r="F77" s="2" t="n">
        <x:v>8</x:v>
      </x:c>
      <x:c r="G77" s="8" t="n">
        <x:f>SQRT(AVERAGE(Forecasts!N2631,Forecasts!N2637,Forecasts!N2643,Forecasts!N2649,Forecasts!N2655,Forecasts!N2661,Forecasts!N2667,Forecasts!N2673))</x:f>
        <x:v>1.7476552291979681</x:v>
      </x:c>
      <x:c r="H77" s="8" t="n">
        <x:f>AVERAGE(Forecasts!O2631,Forecasts!O2637,Forecasts!O2643,Forecasts!O2649,Forecasts!O2655,Forecasts!O2661,Forecasts!O2667,Forecasts!O2673)</x:f>
        <x:v>1.3719195690927426</x:v>
      </x:c>
      <x:c r="I77" s="8" t="n">
        <x:f>AVERAGE(Forecasts!M2631,Forecasts!M2637,Forecasts!M2643,Forecasts!M2649,Forecasts!M2655,Forecasts!M2661,Forecasts!M2667,Forecasts!M2673)</x:f>
        <x:v>0.8508111811393566</x:v>
      </x:c>
      <x:c r="J77" s="8" t="n">
        <x:f>SQRT(AVERAGE(Forecasts!N957,Forecasts!N974,Forecasts!N991,Forecasts!N1008,Forecasts!N1025,Forecasts!N1042,Forecasts!N1059,Forecasts!N1076))</x:f>
        <x:v>1</x:v>
      </x:c>
      <x:c r="K77" s="8" t="n">
        <x:f>SQRT(AVERAGE(Forecasts!N959,Forecasts!N976,Forecasts!N993,Forecasts!N1010,Forecasts!N1027,Forecasts!N1044,Forecasts!N1061,Forecasts!N1078))</x:f>
        <x:v>2.492983433433519</x:v>
      </x:c>
    </x:row>
    <x:row r="78" ht="26" customHeight="1">
      <x:c r="A78" s="2"/>
      <x:c r="B78" s="2" t="str">
        <x:v>Baby, Feminine &amp; Family Care / price_contribution</x:v>
      </x:c>
      <x:c r="C78" s="2" t="str">
        <x:v>Prior report</x:v>
      </x:c>
      <x:c r="D78" s="2" t="str">
        <x:v>Last actual</x:v>
      </x:c>
      <x:c r="E78" s="2" t="str">
        <x:v>All available</x:v>
      </x:c>
      <x:c r="F78" s="2" t="n">
        <x:v>12</x:v>
      </x:c>
      <x:c r="G78" s="8" t="n">
        <x:f>SQRT(AVERAGE(Forecasts!N890,Forecasts!N906,Forecasts!N923,Forecasts!N940,Forecasts!N957,Forecasts!N974,Forecasts!N991,Forecasts!N1008,Forecasts!N1025,Forecasts!N1042,Forecasts!N1059,Forecasts!N1076))</x:f>
        <x:v>1.5275252316519468</x:v>
      </x:c>
      <x:c r="H78" s="8" t="n">
        <x:f>AVERAGE(Forecasts!O890,Forecasts!O906,Forecasts!O923,Forecasts!O940,Forecasts!O957,Forecasts!O974,Forecasts!O991,Forecasts!O1008,Forecasts!O1025,Forecasts!O1042,Forecasts!O1059,Forecasts!O1076)</x:f>
        <x:v>1</x:v>
      </x:c>
      <x:c r="I78" s="8" t="n">
        <x:f>AVERAGE(Forecasts!M890,Forecasts!M906,Forecasts!M923,Forecasts!M940,Forecasts!M957,Forecasts!M974,Forecasts!M991,Forecasts!M1008,Forecasts!M1025,Forecasts!M1042,Forecasts!M1059,Forecasts!M1076)</x:f>
        <x:v>0.6666666666666666</x:v>
      </x:c>
      <x:c r="J78" s="8" t="n">
        <x:f>SQRT(AVERAGE(Forecasts!N890,Forecasts!N906,Forecasts!N923,Forecasts!N940,Forecasts!N957,Forecasts!N974,Forecasts!N991,Forecasts!N1008,Forecasts!N1025,Forecasts!N1042,Forecasts!N1059,Forecasts!N1076))</x:f>
        <x:v>1.5275252316519468</x:v>
      </x:c>
      <x:c r="K78" s="8" t="n">
        <x:f>SQRT(AVERAGE(Forecasts!N892,Forecasts!N908,Forecasts!N925,Forecasts!N942,Forecasts!N959,Forecasts!N976,Forecasts!N993,Forecasts!N1010,Forecasts!N1027,Forecasts!N1044,Forecasts!N1061,Forecasts!N1078))</x:f>
        <x:v>2.5021651861529692</x:v>
      </x:c>
    </x:row>
    <x:row r="79" ht="26" customHeight="1">
      <x:c r="A79" s="2"/>
      <x:c r="B79" s="2" t="str">
        <x:v>Baby, Feminine &amp; Family Care / price_contribution</x:v>
      </x:c>
      <x:c r="C79" s="2" t="str">
        <x:v>Prior report</x:v>
      </x:c>
      <x:c r="D79" s="2" t="str">
        <x:v>Last actual</x:v>
      </x:c>
      <x:c r="E79" s="2" t="str">
        <x:v>Recent eight</x:v>
      </x:c>
      <x:c r="F79" s="2" t="n">
        <x:v>8</x:v>
      </x:c>
      <x:c r="G79" s="8" t="n">
        <x:f>SQRT(AVERAGE(Forecasts!N957,Forecasts!N974,Forecasts!N991,Forecasts!N1008,Forecasts!N1025,Forecasts!N1042,Forecasts!N1059,Forecasts!N1076))</x:f>
        <x:v>1</x:v>
      </x:c>
      <x:c r="H79" s="8" t="n">
        <x:f>AVERAGE(Forecasts!O957,Forecasts!O974,Forecasts!O991,Forecasts!O1008,Forecasts!O1025,Forecasts!O1042,Forecasts!O1059,Forecasts!O1076)</x:f>
        <x:v>0.75</x:v>
      </x:c>
      <x:c r="I79" s="8" t="n">
        <x:f>AVERAGE(Forecasts!M957,Forecasts!M974,Forecasts!M991,Forecasts!M1008,Forecasts!M1025,Forecasts!M1042,Forecasts!M1059,Forecasts!M1076)</x:f>
        <x:v>0.25</x:v>
      </x:c>
      <x:c r="J79" s="8" t="n">
        <x:f>SQRT(AVERAGE(Forecasts!N957,Forecasts!N974,Forecasts!N991,Forecasts!N1008,Forecasts!N1025,Forecasts!N1042,Forecasts!N1059,Forecasts!N1076))</x:f>
        <x:v>1</x:v>
      </x:c>
      <x:c r="K79" s="8" t="n">
        <x:f>SQRT(AVERAGE(Forecasts!N959,Forecasts!N976,Forecasts!N993,Forecasts!N1010,Forecasts!N1027,Forecasts!N1044,Forecasts!N1061,Forecasts!N1078))</x:f>
        <x:v>2.492983433433519</x:v>
      </x:c>
    </x:row>
    <x:row r="80" ht="26" customHeight="1">
      <x:c r="A80" s="2"/>
      <x:c r="B80" s="2" t="str">
        <x:v>Baby, Feminine &amp; Family Care / price_contribution</x:v>
      </x:c>
      <x:c r="C80" s="2" t="str">
        <x:v>Prior report</x:v>
      </x:c>
      <x:c r="D80" s="2" t="str">
        <x:v>Own history</x:v>
      </x:c>
      <x:c r="E80" s="2" t="str">
        <x:v>All available</x:v>
      </x:c>
      <x:c r="F80" s="2" t="n">
        <x:v>12</x:v>
      </x:c>
      <x:c r="G80" s="8" t="n">
        <x:f>SQRT(AVERAGE(Forecasts!N895,Forecasts!N911,Forecasts!N928,Forecasts!N945,Forecasts!N962,Forecasts!N979,Forecasts!N996,Forecasts!N1013,Forecasts!N1030,Forecasts!N1047,Forecasts!N1064,Forecasts!N1080))</x:f>
        <x:v>1.729280160061181</x:v>
      </x:c>
      <x:c r="H80" s="8" t="n">
        <x:f>AVERAGE(Forecasts!O895,Forecasts!O911,Forecasts!O928,Forecasts!O945,Forecasts!O962,Forecasts!O979,Forecasts!O996,Forecasts!O1013,Forecasts!O1030,Forecasts!O1047,Forecasts!O1064,Forecasts!O1080)</x:f>
        <x:v>1.2540224863483107</x:v>
      </x:c>
      <x:c r="I80" s="8" t="n">
        <x:f>AVERAGE(Forecasts!M895,Forecasts!M911,Forecasts!M928,Forecasts!M945,Forecasts!M962,Forecasts!M979,Forecasts!M996,Forecasts!M1013,Forecasts!M1030,Forecasts!M1047,Forecasts!M1064,Forecasts!M1080)</x:f>
        <x:v>1.0325200132894625</x:v>
      </x:c>
      <x:c r="J80" s="8" t="n">
        <x:f>SQRT(AVERAGE(Forecasts!N890,Forecasts!N906,Forecasts!N923,Forecasts!N940,Forecasts!N957,Forecasts!N974,Forecasts!N991,Forecasts!N1008,Forecasts!N1025,Forecasts!N1042,Forecasts!N1059,Forecasts!N1076))</x:f>
        <x:v>1.5275252316519468</x:v>
      </x:c>
      <x:c r="K80" s="8" t="n">
        <x:f>SQRT(AVERAGE(Forecasts!N892,Forecasts!N908,Forecasts!N925,Forecasts!N942,Forecasts!N959,Forecasts!N976,Forecasts!N993,Forecasts!N1010,Forecasts!N1027,Forecasts!N1044,Forecasts!N1061,Forecasts!N1078))</x:f>
        <x:v>2.5021651861529692</x:v>
      </x:c>
    </x:row>
    <x:row r="81" ht="26" customHeight="1">
      <x:c r="A81" s="2"/>
      <x:c r="B81" s="2" t="str">
        <x:v>Baby, Feminine &amp; Family Care / price_contribution</x:v>
      </x:c>
      <x:c r="C81" s="2" t="str">
        <x:v>Prior report</x:v>
      </x:c>
      <x:c r="D81" s="2" t="str">
        <x:v>Own history</x:v>
      </x:c>
      <x:c r="E81" s="2" t="str">
        <x:v>Recent eight</x:v>
      </x:c>
      <x:c r="F81" s="2" t="n">
        <x:v>8</x:v>
      </x:c>
      <x:c r="G81" s="8" t="n">
        <x:f>SQRT(AVERAGE(Forecasts!N962,Forecasts!N979,Forecasts!N996,Forecasts!N1013,Forecasts!N1030,Forecasts!N1047,Forecasts!N1064,Forecasts!N1080))</x:f>
        <x:v>1.2458481491725673</x:v>
      </x:c>
      <x:c r="H81" s="8" t="n">
        <x:f>AVERAGE(Forecasts!O962,Forecasts!O979,Forecasts!O996,Forecasts!O1013,Forecasts!O1030,Forecasts!O1047,Forecasts!O1064,Forecasts!O1080)</x:f>
        <x:v>0.9938153545505489</x:v>
      </x:c>
      <x:c r="I81" s="8" t="n">
        <x:f>AVERAGE(Forecasts!M962,Forecasts!M979,Forecasts!M996,Forecasts!M1013,Forecasts!M1030,Forecasts!M1047,Forecasts!M1064,Forecasts!M1080)</x:f>
        <x:v>0.6615616449622768</x:v>
      </x:c>
      <x:c r="J81" s="8" t="n">
        <x:f>SQRT(AVERAGE(Forecasts!N957,Forecasts!N974,Forecasts!N991,Forecasts!N1008,Forecasts!N1025,Forecasts!N1042,Forecasts!N1059,Forecasts!N1076))</x:f>
        <x:v>1</x:v>
      </x:c>
      <x:c r="K81" s="8" t="n">
        <x:f>SQRT(AVERAGE(Forecasts!N959,Forecasts!N976,Forecasts!N993,Forecasts!N1010,Forecasts!N1027,Forecasts!N1044,Forecasts!N1061,Forecasts!N1078))</x:f>
        <x:v>2.492983433433519</x:v>
      </x:c>
    </x:row>
    <x:row r="82" ht="26" customHeight="1">
      <x:c r="A82" s="2"/>
      <x:c r="B82" s="2" t="str">
        <x:v>Baby, Feminine &amp; Family Care / price_contribution</x:v>
      </x:c>
      <x:c r="C82" s="2" t="str">
        <x:v>Pre-earnings</x:v>
      </x:c>
      <x:c r="D82" s="2" t="str">
        <x:v>Bias correction</x:v>
      </x:c>
      <x:c r="E82" s="2" t="str">
        <x:v>All available</x:v>
      </x:c>
      <x:c r="F82" s="2" t="n">
        <x:v>8</x:v>
      </x:c>
      <x:c r="G82" s="8" t="n">
        <x:f>SQRT(AVERAGE(Forecasts!N2632,Forecasts!N2638,Forecasts!N2644,Forecasts!N2650,Forecasts!N2656,Forecasts!N2662,Forecasts!N2668,Forecasts!N2674))</x:f>
        <x:v>1.2513999375287528</x:v>
      </x:c>
      <x:c r="H82" s="8" t="n">
        <x:f>AVERAGE(Forecasts!O2632,Forecasts!O2638,Forecasts!O2644,Forecasts!O2650,Forecasts!O2656,Forecasts!O2662,Forecasts!O2668,Forecasts!O2674)</x:f>
        <x:v>0.9803015332657814</x:v>
      </x:c>
      <x:c r="I82" s="8" t="n">
        <x:f>AVERAGE(Forecasts!M2632,Forecasts!M2638,Forecasts!M2644,Forecasts!M2650,Forecasts!M2656,Forecasts!M2662,Forecasts!M2668,Forecasts!M2674)</x:f>
        <x:v>0.04083589204702254</x:v>
      </x:c>
      <x:c r="J82" s="8" t="n">
        <x:f>SQRT(AVERAGE(Forecasts!N963,Forecasts!N980,Forecasts!N997,Forecasts!N1014,Forecasts!N1031,Forecasts!N1048,Forecasts!N1065,Forecasts!N1081))</x:f>
        <x:v>1</x:v>
      </x:c>
      <x:c r="K82" s="8" t="n">
        <x:f>SQRT(AVERAGE(Forecasts!N965,Forecasts!N982,Forecasts!N999,Forecasts!N1016,Forecasts!N1033,Forecasts!N1050,Forecasts!N1067,Forecasts!N1083))</x:f>
        <x:v>2.047521678125081</x:v>
      </x:c>
    </x:row>
    <x:row r="83" ht="26" customHeight="1">
      <x:c r="A83" s="2"/>
      <x:c r="B83" s="2" t="str">
        <x:v>Baby, Feminine &amp; Family Care / price_contribution</x:v>
      </x:c>
      <x:c r="C83" s="2" t="str">
        <x:v>Pre-earnings</x:v>
      </x:c>
      <x:c r="D83" s="2" t="str">
        <x:v>Bias correction</x:v>
      </x:c>
      <x:c r="E83" s="2" t="str">
        <x:v>Recent eight</x:v>
      </x:c>
      <x:c r="F83" s="2" t="n">
        <x:v>8</x:v>
      </x:c>
      <x:c r="G83" s="8" t="n">
        <x:f>SQRT(AVERAGE(Forecasts!N2632,Forecasts!N2638,Forecasts!N2644,Forecasts!N2650,Forecasts!N2656,Forecasts!N2662,Forecasts!N2668,Forecasts!N2674))</x:f>
        <x:v>1.2513999375287528</x:v>
      </x:c>
      <x:c r="H83" s="8" t="n">
        <x:f>AVERAGE(Forecasts!O2632,Forecasts!O2638,Forecasts!O2644,Forecasts!O2650,Forecasts!O2656,Forecasts!O2662,Forecasts!O2668,Forecasts!O2674)</x:f>
        <x:v>0.9803015332657814</x:v>
      </x:c>
      <x:c r="I83" s="8" t="n">
        <x:f>AVERAGE(Forecasts!M2632,Forecasts!M2638,Forecasts!M2644,Forecasts!M2650,Forecasts!M2656,Forecasts!M2662,Forecasts!M2668,Forecasts!M2674)</x:f>
        <x:v>0.04083589204702254</x:v>
      </x:c>
      <x:c r="J83" s="8" t="n">
        <x:f>SQRT(AVERAGE(Forecasts!N963,Forecasts!N980,Forecasts!N997,Forecasts!N1014,Forecasts!N1031,Forecasts!N1048,Forecasts!N1065,Forecasts!N1081))</x:f>
        <x:v>1</x:v>
      </x:c>
      <x:c r="K83" s="8" t="n">
        <x:f>SQRT(AVERAGE(Forecasts!N965,Forecasts!N982,Forecasts!N999,Forecasts!N1016,Forecasts!N1033,Forecasts!N1050,Forecasts!N1067,Forecasts!N1083))</x:f>
        <x:v>2.047521678125081</x:v>
      </x:c>
    </x:row>
    <x:row r="84" ht="26" customHeight="1">
      <x:c r="A84" s="2"/>
      <x:c r="B84" s="2" t="str">
        <x:v>Baby, Feminine &amp; Family Care / price_contribution</x:v>
      </x:c>
      <x:c r="C84" s="2" t="str">
        <x:v>Pre-earnings</x:v>
      </x:c>
      <x:c r="D84" s="2" t="str">
        <x:v>Broad lag 1</x:v>
      </x:c>
      <x:c r="E84" s="2" t="str">
        <x:v>All available</x:v>
      </x:c>
      <x:c r="F84" s="2" t="n">
        <x:v>11</x:v>
      </x:c>
      <x:c r="G84" s="8" t="n">
        <x:f>SQRT(AVERAGE(Forecasts!N899,Forecasts!N915,Forecasts!N932,Forecasts!N949,Forecasts!N966,Forecasts!N983,Forecasts!N1000,Forecasts!N1017,Forecasts!N1034,Forecasts!N1051,Forecasts!N1068))</x:f>
        <x:v>2.842655722135047</x:v>
      </x:c>
      <x:c r="H84" s="8" t="n">
        <x:f>AVERAGE(Forecasts!O899,Forecasts!O915,Forecasts!O932,Forecasts!O949,Forecasts!O966,Forecasts!O983,Forecasts!O1000,Forecasts!O1017,Forecasts!O1034,Forecasts!O1051,Forecasts!O1068)</x:f>
        <x:v>2.45728533136668</x:v>
      </x:c>
      <x:c r="I84" s="8" t="n">
        <x:f>AVERAGE(Forecasts!M899,Forecasts!M915,Forecasts!M932,Forecasts!M949,Forecasts!M966,Forecasts!M983,Forecasts!M1000,Forecasts!M1017,Forecasts!M1034,Forecasts!M1051,Forecasts!M1068)</x:f>
        <x:v>2.45728533136668</x:v>
      </x:c>
      <x:c r="J84" s="8" t="n">
        <x:f>SQRT(AVERAGE(Forecasts!N896,Forecasts!N912,Forecasts!N929,Forecasts!N946,Forecasts!N963,Forecasts!N980,Forecasts!N997,Forecasts!N1014,Forecasts!N1031,Forecasts!N1048,Forecasts!N1065))</x:f>
        <x:v>1.5954480704349312</x:v>
      </x:c>
      <x:c r="K84" s="8" t="n">
        <x:f>SQRT(AVERAGE(Forecasts!N898,Forecasts!N914,Forecasts!N931,Forecasts!N948,Forecasts!N965,Forecasts!N982,Forecasts!N999,Forecasts!N1016,Forecasts!N1033,Forecasts!N1050,Forecasts!N1067))</x:f>
        <x:v>1.9697839570403652</x:v>
      </x:c>
    </x:row>
    <x:row r="85" ht="26" customHeight="1">
      <x:c r="A85" s="2"/>
      <x:c r="B85" s="2" t="str">
        <x:v>Baby, Feminine &amp; Family Care / price_contribution</x:v>
      </x:c>
      <x:c r="C85" s="2" t="str">
        <x:v>Pre-earnings</x:v>
      </x:c>
      <x:c r="D85" s="2" t="str">
        <x:v>Broad lag 1</x:v>
      </x:c>
      <x:c r="E85" s="2" t="str">
        <x:v>Recent eight</x:v>
      </x:c>
      <x:c r="F85" s="2" t="n">
        <x:v>7</x:v>
      </x:c>
      <x:c r="G85" s="8" t="n">
        <x:f>SQRT(AVERAGE(Forecasts!N966,Forecasts!N983,Forecasts!N1000,Forecasts!N1017,Forecasts!N1034,Forecasts!N1051,Forecasts!N1068))</x:f>
        <x:v>2.9215292049777113</x:v>
      </x:c>
      <x:c r="H85" s="8" t="n">
        <x:f>AVERAGE(Forecasts!O966,Forecasts!O983,Forecasts!O1000,Forecasts!O1017,Forecasts!O1034,Forecasts!O1051,Forecasts!O1068)</x:f>
        <x:v>2.54520795409587</x:v>
      </x:c>
      <x:c r="I85" s="8" t="n">
        <x:f>AVERAGE(Forecasts!M966,Forecasts!M983,Forecasts!M1000,Forecasts!M1017,Forecasts!M1034,Forecasts!M1051,Forecasts!M1068)</x:f>
        <x:v>2.54520795409587</x:v>
      </x:c>
      <x:c r="J85" s="8" t="n">
        <x:f>SQRT(AVERAGE(Forecasts!N963,Forecasts!N980,Forecasts!N997,Forecasts!N1014,Forecasts!N1031,Forecasts!N1048,Forecasts!N1065))</x:f>
        <x:v>1.0690449676496976</x:v>
      </x:c>
      <x:c r="K85" s="8" t="n">
        <x:f>SQRT(AVERAGE(Forecasts!N965,Forecasts!N982,Forecasts!N999,Forecasts!N1016,Forecasts!N1033,Forecasts!N1050,Forecasts!N1067))</x:f>
        <x:v>1.942689388642594</x:v>
      </x:c>
    </x:row>
    <x:row r="86" ht="26" customHeight="1">
      <x:c r="A86" s="2"/>
      <x:c r="B86" s="2" t="str">
        <x:v>Baby, Feminine &amp; Family Care / price_contribution</x:v>
      </x:c>
      <x:c r="C86" s="2" t="str">
        <x:v>Pre-earnings</x:v>
      </x:c>
      <x:c r="D86" s="2" t="str">
        <x:v>Broad market</x:v>
      </x:c>
      <x:c r="E86" s="2" t="str">
        <x:v>All available</x:v>
      </x:c>
      <x:c r="F86" s="2" t="n">
        <x:v>12</x:v>
      </x:c>
      <x:c r="G86" s="8" t="n">
        <x:f>SQRT(AVERAGE(Forecasts!N898,Forecasts!N914,Forecasts!N931,Forecasts!N948,Forecasts!N965,Forecasts!N982,Forecasts!N999,Forecasts!N1016,Forecasts!N1033,Forecasts!N1050,Forecasts!N1067,Forecasts!N1083))</x:f>
        <x:v>2.0371753926592215</x:v>
      </x:c>
      <x:c r="H86" s="8" t="n">
        <x:f>AVERAGE(Forecasts!O898,Forecasts!O914,Forecasts!O931,Forecasts!O948,Forecasts!O965,Forecasts!O982,Forecasts!O999,Forecasts!O1016,Forecasts!O1033,Forecasts!O1050,Forecasts!O1067,Forecasts!O1083)</x:f>
        <x:v>1.8077710628773922</x:v>
      </x:c>
      <x:c r="I86" s="8" t="n">
        <x:f>AVERAGE(Forecasts!M898,Forecasts!M914,Forecasts!M931,Forecasts!M948,Forecasts!M965,Forecasts!M982,Forecasts!M999,Forecasts!M1016,Forecasts!M1033,Forecasts!M1050,Forecasts!M1067,Forecasts!M1083)</x:f>
        <x:v>1.6543817100353533</x:v>
      </x:c>
      <x:c r="J86" s="8" t="n">
        <x:f>SQRT(AVERAGE(Forecasts!N896,Forecasts!N912,Forecasts!N929,Forecasts!N946,Forecasts!N963,Forecasts!N980,Forecasts!N997,Forecasts!N1014,Forecasts!N1031,Forecasts!N1048,Forecasts!N1065,Forecasts!N1081))</x:f>
        <x:v>1.5275252316519468</x:v>
      </x:c>
      <x:c r="K86" s="8" t="n">
        <x:f>SQRT(AVERAGE(Forecasts!N898,Forecasts!N914,Forecasts!N931,Forecasts!N948,Forecasts!N965,Forecasts!N982,Forecasts!N999,Forecasts!N1016,Forecasts!N1033,Forecasts!N1050,Forecasts!N1067,Forecasts!N1083))</x:f>
        <x:v>2.0371753926592215</x:v>
      </x:c>
    </x:row>
    <x:row r="87" ht="26" customHeight="1">
      <x:c r="A87" s="2"/>
      <x:c r="B87" s="2" t="str">
        <x:v>Baby, Feminine &amp; Family Care / price_contribution</x:v>
      </x:c>
      <x:c r="C87" s="2" t="str">
        <x:v>Pre-earnings</x:v>
      </x:c>
      <x:c r="D87" s="2" t="str">
        <x:v>Broad market</x:v>
      </x:c>
      <x:c r="E87" s="2" t="str">
        <x:v>Recent eight</x:v>
      </x:c>
      <x:c r="F87" s="2" t="n">
        <x:v>8</x:v>
      </x:c>
      <x:c r="G87" s="8" t="n">
        <x:f>SQRT(AVERAGE(Forecasts!N965,Forecasts!N982,Forecasts!N999,Forecasts!N1016,Forecasts!N1033,Forecasts!N1050,Forecasts!N1067,Forecasts!N1083))</x:f>
        <x:v>2.047521678125081</x:v>
      </x:c>
      <x:c r="H87" s="8" t="n">
        <x:f>AVERAGE(Forecasts!O965,Forecasts!O982,Forecasts!O999,Forecasts!O1016,Forecasts!O1033,Forecasts!O1050,Forecasts!O1067,Forecasts!O1083)</x:f>
        <x:v>1.8463966580049163</x:v>
      </x:c>
      <x:c r="I87" s="8" t="n">
        <x:f>AVERAGE(Forecasts!M965,Forecasts!M982,Forecasts!M999,Forecasts!M1016,Forecasts!M1033,Forecasts!M1050,Forecasts!M1067,Forecasts!M1083)</x:f>
        <x:v>1.8463966580049163</x:v>
      </x:c>
      <x:c r="J87" s="8" t="n">
        <x:f>SQRT(AVERAGE(Forecasts!N963,Forecasts!N980,Forecasts!N997,Forecasts!N1014,Forecasts!N1031,Forecasts!N1048,Forecasts!N1065,Forecasts!N1081))</x:f>
        <x:v>1</x:v>
      </x:c>
      <x:c r="K87" s="8" t="n">
        <x:f>SQRT(AVERAGE(Forecasts!N965,Forecasts!N982,Forecasts!N999,Forecasts!N1016,Forecasts!N1033,Forecasts!N1050,Forecasts!N1067,Forecasts!N1083))</x:f>
        <x:v>2.047521678125081</x:v>
      </x:c>
    </x:row>
    <x:row r="88" ht="26" customHeight="1">
      <x:c r="A88" s="2"/>
      <x:c r="B88" s="2" t="str">
        <x:v>Baby, Feminine &amp; Family Care / price_contribution</x:v>
      </x:c>
      <x:c r="C88" s="2" t="str">
        <x:v>Pre-earnings</x:v>
      </x:c>
      <x:c r="D88" s="2" t="str">
        <x:v>Broad rolling 8</x:v>
      </x:c>
      <x:c r="E88" s="2" t="str">
        <x:v>All available</x:v>
      </x:c>
      <x:c r="F88" s="2" t="n">
        <x:v>12</x:v>
      </x:c>
      <x:c r="G88" s="8" t="n">
        <x:f>SQRT(AVERAGE(Forecasts!N900,Forecasts!N916,Forecasts!N933,Forecasts!N950,Forecasts!N967,Forecasts!N984,Forecasts!N1001,Forecasts!N1018,Forecasts!N1035,Forecasts!N1052,Forecasts!N1069,Forecasts!N1084))</x:f>
        <x:v>1.819454169960011</x:v>
      </x:c>
      <x:c r="H88" s="8" t="n">
        <x:f>AVERAGE(Forecasts!O900,Forecasts!O916,Forecasts!O933,Forecasts!O950,Forecasts!O967,Forecasts!O984,Forecasts!O1001,Forecasts!O1018,Forecasts!O1035,Forecasts!O1052,Forecasts!O1069,Forecasts!O1084)</x:f>
        <x:v>1.4319964260057534</x:v>
      </x:c>
      <x:c r="I88" s="8" t="n">
        <x:f>AVERAGE(Forecasts!M900,Forecasts!M916,Forecasts!M933,Forecasts!M950,Forecasts!M967,Forecasts!M984,Forecasts!M1001,Forecasts!M1018,Forecasts!M1035,Forecasts!M1052,Forecasts!M1069,Forecasts!M1084)</x:f>
        <x:v>0.4778877448382978</x:v>
      </x:c>
      <x:c r="J88" s="8" t="n">
        <x:f>SQRT(AVERAGE(Forecasts!N896,Forecasts!N912,Forecasts!N929,Forecasts!N946,Forecasts!N963,Forecasts!N980,Forecasts!N997,Forecasts!N1014,Forecasts!N1031,Forecasts!N1048,Forecasts!N1065,Forecasts!N1081))</x:f>
        <x:v>1.5275252316519468</x:v>
      </x:c>
      <x:c r="K88" s="8" t="n">
        <x:f>SQRT(AVERAGE(Forecasts!N898,Forecasts!N914,Forecasts!N931,Forecasts!N948,Forecasts!N965,Forecasts!N982,Forecasts!N999,Forecasts!N1016,Forecasts!N1033,Forecasts!N1050,Forecasts!N1067,Forecasts!N1083))</x:f>
        <x:v>2.0371753926592215</x:v>
      </x:c>
    </x:row>
    <x:row r="89" ht="26" customHeight="1">
      <x:c r="A89" s="2"/>
      <x:c r="B89" s="2" t="str">
        <x:v>Baby, Feminine &amp; Family Care / price_contribution</x:v>
      </x:c>
      <x:c r="C89" s="2" t="str">
        <x:v>Pre-earnings</x:v>
      </x:c>
      <x:c r="D89" s="2" t="str">
        <x:v>Broad rolling 8</x:v>
      </x:c>
      <x:c r="E89" s="2" t="str">
        <x:v>Recent eight</x:v>
      </x:c>
      <x:c r="F89" s="2" t="n">
        <x:v>8</x:v>
      </x:c>
      <x:c r="G89" s="8" t="n">
        <x:f>SQRT(AVERAGE(Forecasts!N967,Forecasts!N984,Forecasts!N1001,Forecasts!N1018,Forecasts!N1035,Forecasts!N1052,Forecasts!N1069,Forecasts!N1084))</x:f>
        <x:v>1.4007709840993918</x:v>
      </x:c>
      <x:c r="H89" s="8" t="n">
        <x:f>AVERAGE(Forecasts!O967,Forecasts!O984,Forecasts!O1001,Forecasts!O1018,Forecasts!O1035,Forecasts!O1052,Forecasts!O1069,Forecasts!O1084)</x:f>
        <x:v>1.1259830612478898</x:v>
      </x:c>
      <x:c r="I89" s="8" t="n">
        <x:f>AVERAGE(Forecasts!M967,Forecasts!M984,Forecasts!M1001,Forecasts!M1018,Forecasts!M1035,Forecasts!M1052,Forecasts!M1069,Forecasts!M1084)</x:f>
        <x:v>-0.08048210922687943</x:v>
      </x:c>
      <x:c r="J89" s="8" t="n">
        <x:f>SQRT(AVERAGE(Forecasts!N963,Forecasts!N980,Forecasts!N997,Forecasts!N1014,Forecasts!N1031,Forecasts!N1048,Forecasts!N1065,Forecasts!N1081))</x:f>
        <x:v>1</x:v>
      </x:c>
      <x:c r="K89" s="8" t="n">
        <x:f>SQRT(AVERAGE(Forecasts!N965,Forecasts!N982,Forecasts!N999,Forecasts!N1016,Forecasts!N1033,Forecasts!N1050,Forecasts!N1067,Forecasts!N1083))</x:f>
        <x:v>2.047521678125081</x:v>
      </x:c>
    </x:row>
    <x:row r="90" ht="26" customHeight="1">
      <x:c r="A90" s="2"/>
      <x:c r="B90" s="2" t="str">
        <x:v>Baby, Feminine &amp; Family Care / price_contribution</x:v>
      </x:c>
      <x:c r="C90" s="2" t="str">
        <x:v>Pre-earnings</x:v>
      </x:c>
      <x:c r="D90" s="2" t="str">
        <x:v>Four-quarter mean</x:v>
      </x:c>
      <x:c r="E90" s="2" t="str">
        <x:v>All available</x:v>
      </x:c>
      <x:c r="F90" s="2" t="n">
        <x:v>12</x:v>
      </x:c>
      <x:c r="G90" s="8" t="n">
        <x:f>SQRT(AVERAGE(Forecasts!N897,Forecasts!N913,Forecasts!N930,Forecasts!N947,Forecasts!N964,Forecasts!N981,Forecasts!N998,Forecasts!N1015,Forecasts!N1032,Forecasts!N1049,Forecasts!N1066,Forecasts!N1082))</x:f>
        <x:v>2.7641680484369977</x:v>
      </x:c>
      <x:c r="H90" s="8" t="n">
        <x:f>AVERAGE(Forecasts!O897,Forecasts!O913,Forecasts!O930,Forecasts!O947,Forecasts!O964,Forecasts!O981,Forecasts!O998,Forecasts!O1015,Forecasts!O1032,Forecasts!O1049,Forecasts!O1066,Forecasts!O1082)</x:f>
        <x:v>1.8958333333333333</x:v>
      </x:c>
      <x:c r="I90" s="8" t="n">
        <x:f>AVERAGE(Forecasts!M897,Forecasts!M913,Forecasts!M930,Forecasts!M947,Forecasts!M964,Forecasts!M981,Forecasts!M998,Forecasts!M1015,Forecasts!M1032,Forecasts!M1049,Forecasts!M1066,Forecasts!M1082)</x:f>
        <x:v>1.6041666666666667</x:v>
      </x:c>
      <x:c r="J90" s="8" t="n">
        <x:f>SQRT(AVERAGE(Forecasts!N896,Forecasts!N912,Forecasts!N929,Forecasts!N946,Forecasts!N963,Forecasts!N980,Forecasts!N997,Forecasts!N1014,Forecasts!N1031,Forecasts!N1048,Forecasts!N1065,Forecasts!N1081))</x:f>
        <x:v>1.5275252316519468</x:v>
      </x:c>
      <x:c r="K90" s="8" t="n">
        <x:f>SQRT(AVERAGE(Forecasts!N898,Forecasts!N914,Forecasts!N931,Forecasts!N948,Forecasts!N965,Forecasts!N982,Forecasts!N999,Forecasts!N1016,Forecasts!N1033,Forecasts!N1050,Forecasts!N1067,Forecasts!N1083))</x:f>
        <x:v>2.0371753926592215</x:v>
      </x:c>
    </x:row>
    <x:row r="91" ht="26" customHeight="1">
      <x:c r="A91" s="2"/>
      <x:c r="B91" s="2" t="str">
        <x:v>Baby, Feminine &amp; Family Care / price_contribution</x:v>
      </x:c>
      <x:c r="C91" s="2" t="str">
        <x:v>Pre-earnings</x:v>
      </x:c>
      <x:c r="D91" s="2" t="str">
        <x:v>Four-quarter mean</x:v>
      </x:c>
      <x:c r="E91" s="2" t="str">
        <x:v>Recent eight</x:v>
      </x:c>
      <x:c r="F91" s="2" t="n">
        <x:v>8</x:v>
      </x:c>
      <x:c r="G91" s="8" t="n">
        <x:f>SQRT(AVERAGE(Forecasts!N964,Forecasts!N981,Forecasts!N998,Forecasts!N1015,Forecasts!N1032,Forecasts!N1049,Forecasts!N1066,Forecasts!N1082))</x:f>
        <x:v>2.510913678325083</x:v>
      </x:c>
      <x:c r="H91" s="8" t="n">
        <x:f>AVERAGE(Forecasts!O964,Forecasts!O981,Forecasts!O998,Forecasts!O1015,Forecasts!O1032,Forecasts!O1049,Forecasts!O1066,Forecasts!O1082)</x:f>
        <x:v>1.65625</x:v>
      </x:c>
      <x:c r="I91" s="8" t="n">
        <x:f>AVERAGE(Forecasts!M964,Forecasts!M981,Forecasts!M998,Forecasts!M1015,Forecasts!M1032,Forecasts!M1049,Forecasts!M1066,Forecasts!M1082)</x:f>
        <x:v>1.34375</x:v>
      </x:c>
      <x:c r="J91" s="8" t="n">
        <x:f>SQRT(AVERAGE(Forecasts!N963,Forecasts!N980,Forecasts!N997,Forecasts!N1014,Forecasts!N1031,Forecasts!N1048,Forecasts!N1065,Forecasts!N1081))</x:f>
        <x:v>1</x:v>
      </x:c>
      <x:c r="K91" s="8" t="n">
        <x:f>SQRT(AVERAGE(Forecasts!N965,Forecasts!N982,Forecasts!N999,Forecasts!N1016,Forecasts!N1033,Forecasts!N1050,Forecasts!N1067,Forecasts!N1083))</x:f>
        <x:v>2.047521678125081</x:v>
      </x:c>
    </x:row>
    <x:row r="92" ht="26" customHeight="1">
      <x:c r="A92" s="2"/>
      <x:c r="B92" s="2" t="str">
        <x:v>Baby, Feminine &amp; Family Care / price_contribution</x:v>
      </x:c>
      <x:c r="C92" s="2" t="str">
        <x:v>Pre-earnings</x:v>
      </x:c>
      <x:c r="D92" s="2" t="str">
        <x:v>Half correction</x:v>
      </x:c>
      <x:c r="E92" s="2" t="str">
        <x:v>All available</x:v>
      </x:c>
      <x:c r="F92" s="2" t="n">
        <x:v>8</x:v>
      </x:c>
      <x:c r="G92" s="8" t="n">
        <x:f>SQRT(AVERAGE(Forecasts!N2633,Forecasts!N2639,Forecasts!N2645,Forecasts!N2651,Forecasts!N2657,Forecasts!N2663,Forecasts!N2669,Forecasts!N2675))</x:f>
        <x:v>1.408441240851</x:v>
      </x:c>
      <x:c r="H92" s="8" t="n">
        <x:f>AVERAGE(Forecasts!O2633,Forecasts!O2639,Forecasts!O2645,Forecasts!O2651,Forecasts!O2657,Forecasts!O2663,Forecasts!O2669,Forecasts!O2675)</x:f>
        <x:v>1.210038572786269</x:v>
      </x:c>
      <x:c r="I92" s="8" t="n">
        <x:f>AVERAGE(Forecasts!M2633,Forecasts!M2639,Forecasts!M2645,Forecasts!M2651,Forecasts!M2657,Forecasts!M2663,Forecasts!M2669,Forecasts!M2675)</x:f>
        <x:v>0.9436162750259693</x:v>
      </x:c>
      <x:c r="J92" s="8" t="n">
        <x:f>SQRT(AVERAGE(Forecasts!N963,Forecasts!N980,Forecasts!N997,Forecasts!N1014,Forecasts!N1031,Forecasts!N1048,Forecasts!N1065,Forecasts!N1081))</x:f>
        <x:v>1</x:v>
      </x:c>
      <x:c r="K92" s="8" t="n">
        <x:f>SQRT(AVERAGE(Forecasts!N965,Forecasts!N982,Forecasts!N999,Forecasts!N1016,Forecasts!N1033,Forecasts!N1050,Forecasts!N1067,Forecasts!N1083))</x:f>
        <x:v>2.047521678125081</x:v>
      </x:c>
    </x:row>
    <x:row r="93" ht="26" customHeight="1">
      <x:c r="A93" s="2"/>
      <x:c r="B93" s="2" t="str">
        <x:v>Baby, Feminine &amp; Family Care / price_contribution</x:v>
      </x:c>
      <x:c r="C93" s="2" t="str">
        <x:v>Pre-earnings</x:v>
      </x:c>
      <x:c r="D93" s="2" t="str">
        <x:v>Half correction</x:v>
      </x:c>
      <x:c r="E93" s="2" t="str">
        <x:v>Recent eight</x:v>
      </x:c>
      <x:c r="F93" s="2" t="n">
        <x:v>8</x:v>
      </x:c>
      <x:c r="G93" s="8" t="n">
        <x:f>SQRT(AVERAGE(Forecasts!N2633,Forecasts!N2639,Forecasts!N2645,Forecasts!N2651,Forecasts!N2657,Forecasts!N2663,Forecasts!N2669,Forecasts!N2675))</x:f>
        <x:v>1.408441240851</x:v>
      </x:c>
      <x:c r="H93" s="8" t="n">
        <x:f>AVERAGE(Forecasts!O2633,Forecasts!O2639,Forecasts!O2645,Forecasts!O2651,Forecasts!O2657,Forecasts!O2663,Forecasts!O2669,Forecasts!O2675)</x:f>
        <x:v>1.210038572786269</x:v>
      </x:c>
      <x:c r="I93" s="8" t="n">
        <x:f>AVERAGE(Forecasts!M2633,Forecasts!M2639,Forecasts!M2645,Forecasts!M2651,Forecasts!M2657,Forecasts!M2663,Forecasts!M2669,Forecasts!M2675)</x:f>
        <x:v>0.9436162750259693</x:v>
      </x:c>
      <x:c r="J93" s="8" t="n">
        <x:f>SQRT(AVERAGE(Forecasts!N963,Forecasts!N980,Forecasts!N997,Forecasts!N1014,Forecasts!N1031,Forecasts!N1048,Forecasts!N1065,Forecasts!N1081))</x:f>
        <x:v>1</x:v>
      </x:c>
      <x:c r="K93" s="8" t="n">
        <x:f>SQRT(AVERAGE(Forecasts!N965,Forecasts!N982,Forecasts!N999,Forecasts!N1016,Forecasts!N1033,Forecasts!N1050,Forecasts!N1067,Forecasts!N1083))</x:f>
        <x:v>2.047521678125081</x:v>
      </x:c>
    </x:row>
    <x:row r="94" ht="26" customHeight="1">
      <x:c r="A94" s="2"/>
      <x:c r="B94" s="2" t="str">
        <x:v>Baby, Feminine &amp; Family Care / price_contribution</x:v>
      </x:c>
      <x:c r="C94" s="2" t="str">
        <x:v>Pre-earnings</x:v>
      </x:c>
      <x:c r="D94" s="2" t="str">
        <x:v>Last actual</x:v>
      </x:c>
      <x:c r="E94" s="2" t="str">
        <x:v>All available</x:v>
      </x:c>
      <x:c r="F94" s="2" t="n">
        <x:v>12</x:v>
      </x:c>
      <x:c r="G94" s="8" t="n">
        <x:f>SQRT(AVERAGE(Forecasts!N896,Forecasts!N912,Forecasts!N929,Forecasts!N946,Forecasts!N963,Forecasts!N980,Forecasts!N997,Forecasts!N1014,Forecasts!N1031,Forecasts!N1048,Forecasts!N1065,Forecasts!N1081))</x:f>
        <x:v>1.5275252316519468</x:v>
      </x:c>
      <x:c r="H94" s="8" t="n">
        <x:f>AVERAGE(Forecasts!O896,Forecasts!O912,Forecasts!O929,Forecasts!O946,Forecasts!O963,Forecasts!O980,Forecasts!O997,Forecasts!O1014,Forecasts!O1031,Forecasts!O1048,Forecasts!O1065,Forecasts!O1081)</x:f>
        <x:v>1</x:v>
      </x:c>
      <x:c r="I94" s="8" t="n">
        <x:f>AVERAGE(Forecasts!M896,Forecasts!M912,Forecasts!M929,Forecasts!M946,Forecasts!M963,Forecasts!M980,Forecasts!M997,Forecasts!M1014,Forecasts!M1031,Forecasts!M1048,Forecasts!M1065,Forecasts!M1081)</x:f>
        <x:v>0.6666666666666666</x:v>
      </x:c>
      <x:c r="J94" s="8" t="n">
        <x:f>SQRT(AVERAGE(Forecasts!N896,Forecasts!N912,Forecasts!N929,Forecasts!N946,Forecasts!N963,Forecasts!N980,Forecasts!N997,Forecasts!N1014,Forecasts!N1031,Forecasts!N1048,Forecasts!N1065,Forecasts!N1081))</x:f>
        <x:v>1.5275252316519468</x:v>
      </x:c>
      <x:c r="K94" s="8" t="n">
        <x:f>SQRT(AVERAGE(Forecasts!N898,Forecasts!N914,Forecasts!N931,Forecasts!N948,Forecasts!N965,Forecasts!N982,Forecasts!N999,Forecasts!N1016,Forecasts!N1033,Forecasts!N1050,Forecasts!N1067,Forecasts!N1083))</x:f>
        <x:v>2.0371753926592215</x:v>
      </x:c>
    </x:row>
    <x:row r="95" ht="26" customHeight="1">
      <x:c r="A95" s="2"/>
      <x:c r="B95" s="2" t="str">
        <x:v>Baby, Feminine &amp; Family Care / price_contribution</x:v>
      </x:c>
      <x:c r="C95" s="2" t="str">
        <x:v>Pre-earnings</x:v>
      </x:c>
      <x:c r="D95" s="2" t="str">
        <x:v>Last actual</x:v>
      </x:c>
      <x:c r="E95" s="2" t="str">
        <x:v>Recent eight</x:v>
      </x:c>
      <x:c r="F95" s="2" t="n">
        <x:v>8</x:v>
      </x:c>
      <x:c r="G95" s="8" t="n">
        <x:f>SQRT(AVERAGE(Forecasts!N963,Forecasts!N980,Forecasts!N997,Forecasts!N1014,Forecasts!N1031,Forecasts!N1048,Forecasts!N1065,Forecasts!N1081))</x:f>
        <x:v>1</x:v>
      </x:c>
      <x:c r="H95" s="8" t="n">
        <x:f>AVERAGE(Forecasts!O963,Forecasts!O980,Forecasts!O997,Forecasts!O1014,Forecasts!O1031,Forecasts!O1048,Forecasts!O1065,Forecasts!O1081)</x:f>
        <x:v>0.75</x:v>
      </x:c>
      <x:c r="I95" s="8" t="n">
        <x:f>AVERAGE(Forecasts!M963,Forecasts!M980,Forecasts!M997,Forecasts!M1014,Forecasts!M1031,Forecasts!M1048,Forecasts!M1065,Forecasts!M1081)</x:f>
        <x:v>0.25</x:v>
      </x:c>
      <x:c r="J95" s="8" t="n">
        <x:f>SQRT(AVERAGE(Forecasts!N963,Forecasts!N980,Forecasts!N997,Forecasts!N1014,Forecasts!N1031,Forecasts!N1048,Forecasts!N1065,Forecasts!N1081))</x:f>
        <x:v>1</x:v>
      </x:c>
      <x:c r="K95" s="8" t="n">
        <x:f>SQRT(AVERAGE(Forecasts!N965,Forecasts!N982,Forecasts!N999,Forecasts!N1016,Forecasts!N1033,Forecasts!N1050,Forecasts!N1067,Forecasts!N1083))</x:f>
        <x:v>2.047521678125081</x:v>
      </x:c>
    </x:row>
    <x:row r="96" ht="26" customHeight="1">
      <x:c r="A96" s="2"/>
      <x:c r="B96" s="2" t="str">
        <x:v>Baby, Feminine &amp; Family Care / price_contribution</x:v>
      </x:c>
      <x:c r="C96" s="2" t="str">
        <x:v>Pre-earnings</x:v>
      </x:c>
      <x:c r="D96" s="2" t="str">
        <x:v>Own history</x:v>
      </x:c>
      <x:c r="E96" s="2" t="str">
        <x:v>All available</x:v>
      </x:c>
      <x:c r="F96" s="2" t="n">
        <x:v>12</x:v>
      </x:c>
      <x:c r="G96" s="8" t="n">
        <x:f>SQRT(AVERAGE(Forecasts!N901,Forecasts!N917,Forecasts!N934,Forecasts!N951,Forecasts!N968,Forecasts!N985,Forecasts!N1002,Forecasts!N1019,Forecasts!N1036,Forecasts!N1053,Forecasts!N1070,Forecasts!N1085))</x:f>
        <x:v>1.729280160061181</x:v>
      </x:c>
      <x:c r="H96" s="8" t="n">
        <x:f>AVERAGE(Forecasts!O901,Forecasts!O917,Forecasts!O934,Forecasts!O951,Forecasts!O968,Forecasts!O985,Forecasts!O1002,Forecasts!O1019,Forecasts!O1036,Forecasts!O1053,Forecasts!O1070,Forecasts!O1085)</x:f>
        <x:v>1.2540224863483107</x:v>
      </x:c>
      <x:c r="I96" s="8" t="n">
        <x:f>AVERAGE(Forecasts!M901,Forecasts!M917,Forecasts!M934,Forecasts!M951,Forecasts!M968,Forecasts!M985,Forecasts!M1002,Forecasts!M1019,Forecasts!M1036,Forecasts!M1053,Forecasts!M1070,Forecasts!M1085)</x:f>
        <x:v>1.0325200132894625</x:v>
      </x:c>
      <x:c r="J96" s="8" t="n">
        <x:f>SQRT(AVERAGE(Forecasts!N896,Forecasts!N912,Forecasts!N929,Forecasts!N946,Forecasts!N963,Forecasts!N980,Forecasts!N997,Forecasts!N1014,Forecasts!N1031,Forecasts!N1048,Forecasts!N1065,Forecasts!N1081))</x:f>
        <x:v>1.5275252316519468</x:v>
      </x:c>
      <x:c r="K96" s="8" t="n">
        <x:f>SQRT(AVERAGE(Forecasts!N898,Forecasts!N914,Forecasts!N931,Forecasts!N948,Forecasts!N965,Forecasts!N982,Forecasts!N999,Forecasts!N1016,Forecasts!N1033,Forecasts!N1050,Forecasts!N1067,Forecasts!N1083))</x:f>
        <x:v>2.0371753926592215</x:v>
      </x:c>
    </x:row>
    <x:row r="97" ht="26" customHeight="1">
      <x:c r="A97" s="2"/>
      <x:c r="B97" s="2" t="str">
        <x:v>Baby, Feminine &amp; Family Care / price_contribution</x:v>
      </x:c>
      <x:c r="C97" s="2" t="str">
        <x:v>Pre-earnings</x:v>
      </x:c>
      <x:c r="D97" s="2" t="str">
        <x:v>Own history</x:v>
      </x:c>
      <x:c r="E97" s="2" t="str">
        <x:v>Recent eight</x:v>
      </x:c>
      <x:c r="F97" s="2" t="n">
        <x:v>8</x:v>
      </x:c>
      <x:c r="G97" s="8" t="n">
        <x:f>SQRT(AVERAGE(Forecasts!N968,Forecasts!N985,Forecasts!N1002,Forecasts!N1019,Forecasts!N1036,Forecasts!N1053,Forecasts!N1070,Forecasts!N1085))</x:f>
        <x:v>1.2458481491725673</x:v>
      </x:c>
      <x:c r="H97" s="8" t="n">
        <x:f>AVERAGE(Forecasts!O968,Forecasts!O985,Forecasts!O1002,Forecasts!O1019,Forecasts!O1036,Forecasts!O1053,Forecasts!O1070,Forecasts!O1085)</x:f>
        <x:v>0.9938153545505489</x:v>
      </x:c>
      <x:c r="I97" s="8" t="n">
        <x:f>AVERAGE(Forecasts!M968,Forecasts!M985,Forecasts!M1002,Forecasts!M1019,Forecasts!M1036,Forecasts!M1053,Forecasts!M1070,Forecasts!M1085)</x:f>
        <x:v>0.6615616449622768</x:v>
      </x:c>
      <x:c r="J97" s="8" t="n">
        <x:f>SQRT(AVERAGE(Forecasts!N963,Forecasts!N980,Forecasts!N997,Forecasts!N1014,Forecasts!N1031,Forecasts!N1048,Forecasts!N1065,Forecasts!N1081))</x:f>
        <x:v>1</x:v>
      </x:c>
      <x:c r="K97" s="8" t="n">
        <x:f>SQRT(AVERAGE(Forecasts!N965,Forecasts!N982,Forecasts!N999,Forecasts!N1016,Forecasts!N1033,Forecasts!N1050,Forecasts!N1067,Forecasts!N1083))</x:f>
        <x:v>2.047521678125081</x:v>
      </x:c>
    </x:row>
    <x:row r="98" ht="26" customHeight="1">
      <x:c r="A98" s="2"/>
      <x:c r="B98" s="2" t="str">
        <x:v>Beauty / organic_sales_growth</x:v>
      </x:c>
      <x:c r="C98" s="2" t="str">
        <x:v>Origin</x:v>
      </x:c>
      <x:c r="D98" s="2" t="str">
        <x:v>Bias correction</x:v>
      </x:c>
      <x:c r="E98" s="2" t="str">
        <x:v>All available</x:v>
      </x:c>
      <x:c r="F98" s="2" t="n">
        <x:v>7</x:v>
      </x:c>
      <x:c r="G98" s="8" t="n">
        <x:f>SQRT(AVERAGE(Forecasts!N2910,Forecasts!N2916,Forecasts!N2922,Forecasts!N2928,Forecasts!N2934,Forecasts!N2940,Forecasts!N2946))</x:f>
        <x:v>3.4786920261496412</x:v>
      </x:c>
      <x:c r="H98" s="8" t="n">
        <x:f>AVERAGE(Forecasts!O2910,Forecasts!O2916,Forecasts!O2922,Forecasts!O2928,Forecasts!O2934,Forecasts!O2940,Forecasts!O2946)</x:f>
        <x:v>2.8230133648864864</x:v>
      </x:c>
      <x:c r="I98" s="8" t="n">
        <x:f>AVERAGE(Forecasts!M2910,Forecasts!M2916,Forecasts!M2922,Forecasts!M2928,Forecasts!M2934,Forecasts!M2940,Forecasts!M2946)</x:f>
        <x:v>-1.1529327011815238</x:v>
      </x:c>
      <x:c r="J98" s="8" t="n">
        <x:f>SQRT(AVERAGE(Forecasts!N2129,Forecasts!N2146,Forecasts!N2163,Forecasts!N2180,Forecasts!N2197,Forecasts!N2214,Forecasts!N2230))</x:f>
        <x:v>3.1396087108337016</x:v>
      </x:c>
      <x:c r="K98" s="8" t="n">
        <x:f>SQRT(AVERAGE(Forecasts!N2131,Forecasts!N2148,Forecasts!N2165,Forecasts!N2182,Forecasts!N2199,Forecasts!N2216,Forecasts!N2232))</x:f>
        <x:v>2.756425020124301</x:v>
      </x:c>
    </x:row>
    <x:row r="99" ht="26" customHeight="1">
      <x:c r="A99" s="2"/>
      <x:c r="B99" s="2" t="str">
        <x:v>Beauty / organic_sales_growth</x:v>
      </x:c>
      <x:c r="C99" s="2" t="str">
        <x:v>Origin</x:v>
      </x:c>
      <x:c r="D99" s="2" t="str">
        <x:v>Bias correction</x:v>
      </x:c>
      <x:c r="E99" s="2" t="str">
        <x:v>Recent eight</x:v>
      </x:c>
      <x:c r="F99" s="2" t="n">
        <x:v>7</x:v>
      </x:c>
      <x:c r="G99" s="8" t="n">
        <x:f>SQRT(AVERAGE(Forecasts!N2910,Forecasts!N2916,Forecasts!N2922,Forecasts!N2928,Forecasts!N2934,Forecasts!N2940,Forecasts!N2946))</x:f>
        <x:v>3.4786920261496412</x:v>
      </x:c>
      <x:c r="H99" s="8" t="n">
        <x:f>AVERAGE(Forecasts!O2910,Forecasts!O2916,Forecasts!O2922,Forecasts!O2928,Forecasts!O2934,Forecasts!O2940,Forecasts!O2946)</x:f>
        <x:v>2.8230133648864864</x:v>
      </x:c>
      <x:c r="I99" s="8" t="n">
        <x:f>AVERAGE(Forecasts!M2910,Forecasts!M2916,Forecasts!M2922,Forecasts!M2928,Forecasts!M2934,Forecasts!M2940,Forecasts!M2946)</x:f>
        <x:v>-1.1529327011815238</x:v>
      </x:c>
      <x:c r="J99" s="8" t="n">
        <x:f>SQRT(AVERAGE(Forecasts!N2129,Forecasts!N2146,Forecasts!N2163,Forecasts!N2180,Forecasts!N2197,Forecasts!N2214,Forecasts!N2230))</x:f>
        <x:v>3.1396087108337016</x:v>
      </x:c>
      <x:c r="K99" s="8" t="n">
        <x:f>SQRT(AVERAGE(Forecasts!N2131,Forecasts!N2148,Forecasts!N2165,Forecasts!N2182,Forecasts!N2199,Forecasts!N2216,Forecasts!N2232))</x:f>
        <x:v>2.756425020124301</x:v>
      </x:c>
    </x:row>
    <x:row r="100" ht="26" customHeight="1">
      <x:c r="A100" s="2"/>
      <x:c r="B100" s="2" t="str">
        <x:v>Beauty / organic_sales_growth</x:v>
      </x:c>
      <x:c r="C100" s="2" t="str">
        <x:v>Origin</x:v>
      </x:c>
      <x:c r="D100" s="2" t="str">
        <x:v>Broad market</x:v>
      </x:c>
      <x:c r="E100" s="2" t="str">
        <x:v>All available</x:v>
      </x:c>
      <x:c r="F100" s="2" t="n">
        <x:v>12</x:v>
      </x:c>
      <x:c r="G100" s="8" t="n">
        <x:f>SQRT(AVERAGE(Forecasts!N2048,Forecasts!N2064,Forecasts!N2080,Forecasts!N2097,Forecasts!N2114,Forecasts!N2131,Forecasts!N2148,Forecasts!N2165,Forecasts!N2182,Forecasts!N2199,Forecasts!N2216,Forecasts!N2232))</x:f>
        <x:v>3.3807910883262933</x:v>
      </x:c>
      <x:c r="H100" s="8" t="n">
        <x:f>AVERAGE(Forecasts!O2048,Forecasts!O2064,Forecasts!O2080,Forecasts!O2097,Forecasts!O2114,Forecasts!O2131,Forecasts!O2148,Forecasts!O2165,Forecasts!O2182,Forecasts!O2199,Forecasts!O2216,Forecasts!O2232)</x:f>
        <x:v>2.6943865886592793</x:v>
      </x:c>
      <x:c r="I100" s="8" t="n">
        <x:f>AVERAGE(Forecasts!M2048,Forecasts!M2064,Forecasts!M2080,Forecasts!M2097,Forecasts!M2114,Forecasts!M2131,Forecasts!M2148,Forecasts!M2165,Forecasts!M2182,Forecasts!M2199,Forecasts!M2216,Forecasts!M2232)</x:f>
        <x:v>0.16167852268176586</x:v>
      </x:c>
      <x:c r="J100" s="8" t="n">
        <x:f>SQRT(AVERAGE(Forecasts!N2046,Forecasts!N2062,Forecasts!N2078,Forecasts!N2095,Forecasts!N2112,Forecasts!N2129,Forecasts!N2146,Forecasts!N2163,Forecasts!N2180,Forecasts!N2197,Forecasts!N2214,Forecasts!N2230))</x:f>
        <x:v>4.51848057057532</x:v>
      </x:c>
      <x:c r="K100" s="8" t="n">
        <x:f>SQRT(AVERAGE(Forecasts!N2048,Forecasts!N2064,Forecasts!N2080,Forecasts!N2097,Forecasts!N2114,Forecasts!N2131,Forecasts!N2148,Forecasts!N2165,Forecasts!N2182,Forecasts!N2199,Forecasts!N2216,Forecasts!N2232))</x:f>
        <x:v>3.3807910883262933</x:v>
      </x:c>
    </x:row>
    <x:row r="101" ht="26" customHeight="1">
      <x:c r="A101" s="2"/>
      <x:c r="B101" s="2" t="str">
        <x:v>Beauty / organic_sales_growth</x:v>
      </x:c>
      <x:c r="C101" s="2" t="str">
        <x:v>Origin</x:v>
      </x:c>
      <x:c r="D101" s="2" t="str">
        <x:v>Broad market</x:v>
      </x:c>
      <x:c r="E101" s="2" t="str">
        <x:v>Recent eight</x:v>
      </x:c>
      <x:c r="F101" s="2" t="n">
        <x:v>8</x:v>
      </x:c>
      <x:c r="G101" s="8" t="n">
        <x:f>SQRT(AVERAGE(Forecasts!N2114,Forecasts!N2131,Forecasts!N2148,Forecasts!N2165,Forecasts!N2182,Forecasts!N2199,Forecasts!N2216,Forecasts!N2232))</x:f>
        <x:v>2.6010010817253684</x:v>
      </x:c>
      <x:c r="H101" s="8" t="n">
        <x:f>AVERAGE(Forecasts!O2114,Forecasts!O2131,Forecasts!O2148,Forecasts!O2165,Forecasts!O2182,Forecasts!O2199,Forecasts!O2216,Forecasts!O2232)</x:f>
        <x:v>2.1666225669982384</x:v>
      </x:c>
      <x:c r="I101" s="8" t="n">
        <x:f>AVERAGE(Forecasts!M2114,Forecasts!M2131,Forecasts!M2148,Forecasts!M2165,Forecasts!M2182,Forecasts!M2199,Forecasts!M2216,Forecasts!M2232)</x:f>
        <x:v>0.5837541027028145</x:v>
      </x:c>
      <x:c r="J101" s="8" t="n">
        <x:f>SQRT(AVERAGE(Forecasts!N2112,Forecasts!N2129,Forecasts!N2146,Forecasts!N2163,Forecasts!N2180,Forecasts!N2197,Forecasts!N2214,Forecasts!N2230))</x:f>
        <x:v>3.020761493398643</x:v>
      </x:c>
      <x:c r="K101" s="8" t="n">
        <x:f>SQRT(AVERAGE(Forecasts!N2114,Forecasts!N2131,Forecasts!N2148,Forecasts!N2165,Forecasts!N2182,Forecasts!N2199,Forecasts!N2216,Forecasts!N2232))</x:f>
        <x:v>2.6010010817253684</x:v>
      </x:c>
    </x:row>
    <x:row r="102" ht="26" customHeight="1">
      <x:c r="A102" s="2"/>
      <x:c r="B102" s="2" t="str">
        <x:v>Beauty / organic_sales_growth</x:v>
      </x:c>
      <x:c r="C102" s="2" t="str">
        <x:v>Origin</x:v>
      </x:c>
      <x:c r="D102" s="2" t="str">
        <x:v>Broad rolling 8</x:v>
      </x:c>
      <x:c r="E102" s="2" t="str">
        <x:v>All available</x:v>
      </x:c>
      <x:c r="F102" s="2" t="n">
        <x:v>12</x:v>
      </x:c>
      <x:c r="G102" s="8" t="n">
        <x:f>SQRT(AVERAGE(Forecasts!N2049,Forecasts!N2065,Forecasts!N2081,Forecasts!N2098,Forecasts!N2115,Forecasts!N2132,Forecasts!N2149,Forecasts!N2166,Forecasts!N2183,Forecasts!N2200,Forecasts!N2217,Forecasts!N2233))</x:f>
        <x:v>3.7558477015087846</x:v>
      </x:c>
      <x:c r="H102" s="8" t="n">
        <x:f>AVERAGE(Forecasts!O2049,Forecasts!O2065,Forecasts!O2081,Forecasts!O2098,Forecasts!O2115,Forecasts!O2132,Forecasts!O2149,Forecasts!O2166,Forecasts!O2183,Forecasts!O2200,Forecasts!O2217,Forecasts!O2233)</x:f>
        <x:v>3.1630064719686946</x:v>
      </x:c>
      <x:c r="I102" s="8" t="n">
        <x:f>AVERAGE(Forecasts!M2049,Forecasts!M2065,Forecasts!M2081,Forecasts!M2098,Forecasts!M2115,Forecasts!M2132,Forecasts!M2149,Forecasts!M2166,Forecasts!M2183,Forecasts!M2200,Forecasts!M2217,Forecasts!M2233)</x:f>
        <x:v>0.019081791820960186</x:v>
      </x:c>
      <x:c r="J102" s="8" t="n">
        <x:f>SQRT(AVERAGE(Forecasts!N2046,Forecasts!N2062,Forecasts!N2078,Forecasts!N2095,Forecasts!N2112,Forecasts!N2129,Forecasts!N2146,Forecasts!N2163,Forecasts!N2180,Forecasts!N2197,Forecasts!N2214,Forecasts!N2230))</x:f>
        <x:v>4.51848057057532</x:v>
      </x:c>
      <x:c r="K102" s="8" t="n">
        <x:f>SQRT(AVERAGE(Forecasts!N2048,Forecasts!N2064,Forecasts!N2080,Forecasts!N2097,Forecasts!N2114,Forecasts!N2131,Forecasts!N2148,Forecasts!N2165,Forecasts!N2182,Forecasts!N2199,Forecasts!N2216,Forecasts!N2232))</x:f>
        <x:v>3.3807910883262933</x:v>
      </x:c>
    </x:row>
    <x:row r="103" ht="26" customHeight="1">
      <x:c r="A103" s="2"/>
      <x:c r="B103" s="2" t="str">
        <x:v>Beauty / organic_sales_growth</x:v>
      </x:c>
      <x:c r="C103" s="2" t="str">
        <x:v>Origin</x:v>
      </x:c>
      <x:c r="D103" s="2" t="str">
        <x:v>Broad rolling 8</x:v>
      </x:c>
      <x:c r="E103" s="2" t="str">
        <x:v>Recent eight</x:v>
      </x:c>
      <x:c r="F103" s="2" t="n">
        <x:v>8</x:v>
      </x:c>
      <x:c r="G103" s="8" t="n">
        <x:f>SQRT(AVERAGE(Forecasts!N2115,Forecasts!N2132,Forecasts!N2149,Forecasts!N2166,Forecasts!N2183,Forecasts!N2200,Forecasts!N2217,Forecasts!N2233))</x:f>
        <x:v>2.716096897016926</x:v>
      </x:c>
      <x:c r="H103" s="8" t="n">
        <x:f>AVERAGE(Forecasts!O2115,Forecasts!O2132,Forecasts!O2149,Forecasts!O2166,Forecasts!O2183,Forecasts!O2200,Forecasts!O2217,Forecasts!O2233)</x:f>
        <x:v>2.3876094902914073</x:v>
      </x:c>
      <x:c r="I103" s="8" t="n">
        <x:f>AVERAGE(Forecasts!M2115,Forecasts!M2132,Forecasts!M2149,Forecasts!M2166,Forecasts!M2183,Forecasts!M2200,Forecasts!M2217,Forecasts!M2233)</x:f>
        <x:v>-0.013273028544727672</x:v>
      </x:c>
      <x:c r="J103" s="8" t="n">
        <x:f>SQRT(AVERAGE(Forecasts!N2112,Forecasts!N2129,Forecasts!N2146,Forecasts!N2163,Forecasts!N2180,Forecasts!N2197,Forecasts!N2214,Forecasts!N2230))</x:f>
        <x:v>3.020761493398643</x:v>
      </x:c>
      <x:c r="K103" s="8" t="n">
        <x:f>SQRT(AVERAGE(Forecasts!N2114,Forecasts!N2131,Forecasts!N2148,Forecasts!N2165,Forecasts!N2182,Forecasts!N2199,Forecasts!N2216,Forecasts!N2232))</x:f>
        <x:v>2.6010010817253684</x:v>
      </x:c>
    </x:row>
    <x:row r="104" ht="26" customHeight="1">
      <x:c r="A104" s="2"/>
      <x:c r="B104" s="2" t="str">
        <x:v>Beauty / organic_sales_growth</x:v>
      </x:c>
      <x:c r="C104" s="2" t="str">
        <x:v>Origin</x:v>
      </x:c>
      <x:c r="D104" s="2" t="str">
        <x:v>Four-quarter mean</x:v>
      </x:c>
      <x:c r="E104" s="2" t="str">
        <x:v>All available</x:v>
      </x:c>
      <x:c r="F104" s="2" t="n">
        <x:v>12</x:v>
      </x:c>
      <x:c r="G104" s="8" t="n">
        <x:f>SQRT(AVERAGE(Forecasts!N2047,Forecasts!N2063,Forecasts!N2079,Forecasts!N2096,Forecasts!N2113,Forecasts!N2130,Forecasts!N2147,Forecasts!N2164,Forecasts!N2181,Forecasts!N2198,Forecasts!N2215,Forecasts!N2231))</x:f>
        <x:v>4.333133008190109</x:v>
      </x:c>
      <x:c r="H104" s="8" t="n">
        <x:f>AVERAGE(Forecasts!O2047,Forecasts!O2063,Forecasts!O2079,Forecasts!O2096,Forecasts!O2113,Forecasts!O2130,Forecasts!O2147,Forecasts!O2164,Forecasts!O2181,Forecasts!O2198,Forecasts!O2215,Forecasts!O2231)</x:f>
        <x:v>3.6041666666666665</x:v>
      </x:c>
      <x:c r="I104" s="8" t="n">
        <x:f>AVERAGE(Forecasts!M2047,Forecasts!M2063,Forecasts!M2079,Forecasts!M2096,Forecasts!M2113,Forecasts!M2130,Forecasts!M2147,Forecasts!M2164,Forecasts!M2181,Forecasts!M2198,Forecasts!M2215,Forecasts!M2231)</x:f>
        <x:v>-0.22916666666666666</x:v>
      </x:c>
      <x:c r="J104" s="8" t="n">
        <x:f>SQRT(AVERAGE(Forecasts!N2046,Forecasts!N2062,Forecasts!N2078,Forecasts!N2095,Forecasts!N2112,Forecasts!N2129,Forecasts!N2146,Forecasts!N2163,Forecasts!N2180,Forecasts!N2197,Forecasts!N2214,Forecasts!N2230))</x:f>
        <x:v>4.51848057057532</x:v>
      </x:c>
      <x:c r="K104" s="8" t="n">
        <x:f>SQRT(AVERAGE(Forecasts!N2048,Forecasts!N2064,Forecasts!N2080,Forecasts!N2097,Forecasts!N2114,Forecasts!N2131,Forecasts!N2148,Forecasts!N2165,Forecasts!N2182,Forecasts!N2199,Forecasts!N2216,Forecasts!N2232))</x:f>
        <x:v>3.3807910883262933</x:v>
      </x:c>
    </x:row>
    <x:row r="105" ht="26" customHeight="1">
      <x:c r="A105" s="2"/>
      <x:c r="B105" s="2" t="str">
        <x:v>Beauty / organic_sales_growth</x:v>
      </x:c>
      <x:c r="C105" s="2" t="str">
        <x:v>Origin</x:v>
      </x:c>
      <x:c r="D105" s="2" t="str">
        <x:v>Four-quarter mean</x:v>
      </x:c>
      <x:c r="E105" s="2" t="str">
        <x:v>Recent eight</x:v>
      </x:c>
      <x:c r="F105" s="2" t="n">
        <x:v>8</x:v>
      </x:c>
      <x:c r="G105" s="8" t="n">
        <x:f>SQRT(AVERAGE(Forecasts!N2113,Forecasts!N2130,Forecasts!N2147,Forecasts!N2164,Forecasts!N2181,Forecasts!N2198,Forecasts!N2215,Forecasts!N2231))</x:f>
        <x:v>3.724916106437835</x:v>
      </x:c>
      <x:c r="H105" s="8" t="n">
        <x:f>AVERAGE(Forecasts!O2113,Forecasts!O2130,Forecasts!O2147,Forecasts!O2164,Forecasts!O2181,Forecasts!O2198,Forecasts!O2215,Forecasts!O2231)</x:f>
        <x:v>3.0625</x:v>
      </x:c>
      <x:c r="I105" s="8" t="n">
        <x:f>AVERAGE(Forecasts!M2113,Forecasts!M2130,Forecasts!M2147,Forecasts!M2164,Forecasts!M2181,Forecasts!M2198,Forecasts!M2215,Forecasts!M2231)</x:f>
        <x:v>-0.1875</x:v>
      </x:c>
      <x:c r="J105" s="8" t="n">
        <x:f>SQRT(AVERAGE(Forecasts!N2112,Forecasts!N2129,Forecasts!N2146,Forecasts!N2163,Forecasts!N2180,Forecasts!N2197,Forecasts!N2214,Forecasts!N2230))</x:f>
        <x:v>3.020761493398643</x:v>
      </x:c>
      <x:c r="K105" s="8" t="n">
        <x:f>SQRT(AVERAGE(Forecasts!N2114,Forecasts!N2131,Forecasts!N2148,Forecasts!N2165,Forecasts!N2182,Forecasts!N2199,Forecasts!N2216,Forecasts!N2232))</x:f>
        <x:v>2.6010010817253684</x:v>
      </x:c>
    </x:row>
    <x:row r="106" ht="26" customHeight="1">
      <x:c r="A106" s="2"/>
      <x:c r="B106" s="2" t="str">
        <x:v>Beauty / organic_sales_growth</x:v>
      </x:c>
      <x:c r="C106" s="2" t="str">
        <x:v>Origin</x:v>
      </x:c>
      <x:c r="D106" s="2" t="str">
        <x:v>Half correction</x:v>
      </x:c>
      <x:c r="E106" s="2" t="str">
        <x:v>All available</x:v>
      </x:c>
      <x:c r="F106" s="2" t="n">
        <x:v>7</x:v>
      </x:c>
      <x:c r="G106" s="8" t="n">
        <x:f>SQRT(AVERAGE(Forecasts!N2911,Forecasts!N2917,Forecasts!N2923,Forecasts!N2929,Forecasts!N2935,Forecasts!N2941,Forecasts!N2947))</x:f>
        <x:v>2.963495781751303</x:v>
      </x:c>
      <x:c r="H106" s="8" t="n">
        <x:f>AVERAGE(Forecasts!O2911,Forecasts!O2917,Forecasts!O2923,Forecasts!O2929,Forecasts!O2935,Forecasts!O2941,Forecasts!O2947)</x:f>
        <x:v>2.423555646862421</x:v>
      </x:c>
      <x:c r="I106" s="8" t="n">
        <x:f>AVERAGE(Forecasts!M2911,Forecasts!M2917,Forecasts!M2923,Forecasts!M2929,Forecasts!M2935,Forecasts!M2941,Forecasts!M2947)</x:f>
        <x:v>-0.3120161277601579</x:v>
      </x:c>
      <x:c r="J106" s="8" t="n">
        <x:f>SQRT(AVERAGE(Forecasts!N2129,Forecasts!N2146,Forecasts!N2163,Forecasts!N2180,Forecasts!N2197,Forecasts!N2214,Forecasts!N2230))</x:f>
        <x:v>3.1396087108337016</x:v>
      </x:c>
      <x:c r="K106" s="8" t="n">
        <x:f>SQRT(AVERAGE(Forecasts!N2131,Forecasts!N2148,Forecasts!N2165,Forecasts!N2182,Forecasts!N2199,Forecasts!N2216,Forecasts!N2232))</x:f>
        <x:v>2.756425020124301</x:v>
      </x:c>
    </x:row>
    <x:row r="107" ht="26" customHeight="1">
      <x:c r="A107" s="2"/>
      <x:c r="B107" s="2" t="str">
        <x:v>Beauty / organic_sales_growth</x:v>
      </x:c>
      <x:c r="C107" s="2" t="str">
        <x:v>Origin</x:v>
      </x:c>
      <x:c r="D107" s="2" t="str">
        <x:v>Half correction</x:v>
      </x:c>
      <x:c r="E107" s="2" t="str">
        <x:v>Recent eight</x:v>
      </x:c>
      <x:c r="F107" s="2" t="n">
        <x:v>7</x:v>
      </x:c>
      <x:c r="G107" s="8" t="n">
        <x:f>SQRT(AVERAGE(Forecasts!N2911,Forecasts!N2917,Forecasts!N2923,Forecasts!N2929,Forecasts!N2935,Forecasts!N2941,Forecasts!N2947))</x:f>
        <x:v>2.963495781751303</x:v>
      </x:c>
      <x:c r="H107" s="8" t="n">
        <x:f>AVERAGE(Forecasts!O2911,Forecasts!O2917,Forecasts!O2923,Forecasts!O2929,Forecasts!O2935,Forecasts!O2941,Forecasts!O2947)</x:f>
        <x:v>2.423555646862421</x:v>
      </x:c>
      <x:c r="I107" s="8" t="n">
        <x:f>AVERAGE(Forecasts!M2911,Forecasts!M2917,Forecasts!M2923,Forecasts!M2929,Forecasts!M2935,Forecasts!M2941,Forecasts!M2947)</x:f>
        <x:v>-0.3120161277601579</x:v>
      </x:c>
      <x:c r="J107" s="8" t="n">
        <x:f>SQRT(AVERAGE(Forecasts!N2129,Forecasts!N2146,Forecasts!N2163,Forecasts!N2180,Forecasts!N2197,Forecasts!N2214,Forecasts!N2230))</x:f>
        <x:v>3.1396087108337016</x:v>
      </x:c>
      <x:c r="K107" s="8" t="n">
        <x:f>SQRT(AVERAGE(Forecasts!N2131,Forecasts!N2148,Forecasts!N2165,Forecasts!N2182,Forecasts!N2199,Forecasts!N2216,Forecasts!N2232))</x:f>
        <x:v>2.756425020124301</x:v>
      </x:c>
    </x:row>
    <x:row r="108" ht="26" customHeight="1">
      <x:c r="A108" s="2"/>
      <x:c r="B108" s="2" t="str">
        <x:v>Beauty / organic_sales_growth</x:v>
      </x:c>
      <x:c r="C108" s="2" t="str">
        <x:v>Origin</x:v>
      </x:c>
      <x:c r="D108" s="2" t="str">
        <x:v>Last actual</x:v>
      </x:c>
      <x:c r="E108" s="2" t="str">
        <x:v>All available</x:v>
      </x:c>
      <x:c r="F108" s="2" t="n">
        <x:v>12</x:v>
      </x:c>
      <x:c r="G108" s="8" t="n">
        <x:f>SQRT(AVERAGE(Forecasts!N2046,Forecasts!N2062,Forecasts!N2078,Forecasts!N2095,Forecasts!N2112,Forecasts!N2129,Forecasts!N2146,Forecasts!N2163,Forecasts!N2180,Forecasts!N2197,Forecasts!N2214,Forecasts!N2230))</x:f>
        <x:v>4.51848057057532</x:v>
      </x:c>
      <x:c r="H108" s="8" t="n">
        <x:f>AVERAGE(Forecasts!O2046,Forecasts!O2062,Forecasts!O2078,Forecasts!O2095,Forecasts!O2112,Forecasts!O2129,Forecasts!O2146,Forecasts!O2163,Forecasts!O2180,Forecasts!O2197,Forecasts!O2214,Forecasts!O2230)</x:f>
        <x:v>3.5833333333333335</x:v>
      </x:c>
      <x:c r="I108" s="8" t="n">
        <x:f>AVERAGE(Forecasts!M2046,Forecasts!M2062,Forecasts!M2078,Forecasts!M2095,Forecasts!M2112,Forecasts!M2129,Forecasts!M2146,Forecasts!M2163,Forecasts!M2180,Forecasts!M2197,Forecasts!M2214,Forecasts!M2230)</x:f>
        <x:v>-0.08333333333333333</x:v>
      </x:c>
      <x:c r="J108" s="8" t="n">
        <x:f>SQRT(AVERAGE(Forecasts!N2046,Forecasts!N2062,Forecasts!N2078,Forecasts!N2095,Forecasts!N2112,Forecasts!N2129,Forecasts!N2146,Forecasts!N2163,Forecasts!N2180,Forecasts!N2197,Forecasts!N2214,Forecasts!N2230))</x:f>
        <x:v>4.51848057057532</x:v>
      </x:c>
      <x:c r="K108" s="8" t="n">
        <x:f>SQRT(AVERAGE(Forecasts!N2048,Forecasts!N2064,Forecasts!N2080,Forecasts!N2097,Forecasts!N2114,Forecasts!N2131,Forecasts!N2148,Forecasts!N2165,Forecasts!N2182,Forecasts!N2199,Forecasts!N2216,Forecasts!N2232))</x:f>
        <x:v>3.3807910883262933</x:v>
      </x:c>
    </x:row>
    <x:row r="109" ht="26" customHeight="1">
      <x:c r="A109" s="2"/>
      <x:c r="B109" s="2" t="str">
        <x:v>Beauty / organic_sales_growth</x:v>
      </x:c>
      <x:c r="C109" s="2" t="str">
        <x:v>Origin</x:v>
      </x:c>
      <x:c r="D109" s="2" t="str">
        <x:v>Last actual</x:v>
      </x:c>
      <x:c r="E109" s="2" t="str">
        <x:v>Recent eight</x:v>
      </x:c>
      <x:c r="F109" s="2" t="n">
        <x:v>8</x:v>
      </x:c>
      <x:c r="G109" s="8" t="n">
        <x:f>SQRT(AVERAGE(Forecasts!N2112,Forecasts!N2129,Forecasts!N2146,Forecasts!N2163,Forecasts!N2180,Forecasts!N2197,Forecasts!N2214,Forecasts!N2230))</x:f>
        <x:v>3.020761493398643</x:v>
      </x:c>
      <x:c r="H109" s="8" t="n">
        <x:f>AVERAGE(Forecasts!O2112,Forecasts!O2129,Forecasts!O2146,Forecasts!O2163,Forecasts!O2180,Forecasts!O2197,Forecasts!O2214,Forecasts!O2230)</x:f>
        <x:v>2.625</x:v>
      </x:c>
      <x:c r="I109" s="8" t="n">
        <x:f>AVERAGE(Forecasts!M2112,Forecasts!M2129,Forecasts!M2146,Forecasts!M2163,Forecasts!M2180,Forecasts!M2197,Forecasts!M2214,Forecasts!M2230)</x:f>
        <x:v>-0.875</x:v>
      </x:c>
      <x:c r="J109" s="8" t="n">
        <x:f>SQRT(AVERAGE(Forecasts!N2112,Forecasts!N2129,Forecasts!N2146,Forecasts!N2163,Forecasts!N2180,Forecasts!N2197,Forecasts!N2214,Forecasts!N2230))</x:f>
        <x:v>3.020761493398643</x:v>
      </x:c>
      <x:c r="K109" s="8" t="n">
        <x:f>SQRT(AVERAGE(Forecasts!N2114,Forecasts!N2131,Forecasts!N2148,Forecasts!N2165,Forecasts!N2182,Forecasts!N2199,Forecasts!N2216,Forecasts!N2232))</x:f>
        <x:v>2.6010010817253684</x:v>
      </x:c>
    </x:row>
    <x:row r="110" ht="26" customHeight="1">
      <x:c r="A110" s="2"/>
      <x:c r="B110" s="2" t="str">
        <x:v>Beauty / organic_sales_growth</x:v>
      </x:c>
      <x:c r="C110" s="2" t="str">
        <x:v>Origin</x:v>
      </x:c>
      <x:c r="D110" s="2" t="str">
        <x:v>Own history</x:v>
      </x:c>
      <x:c r="E110" s="2" t="str">
        <x:v>All available</x:v>
      </x:c>
      <x:c r="F110" s="2" t="n">
        <x:v>10</x:v>
      </x:c>
      <x:c r="G110" s="8" t="n">
        <x:f>SQRT(AVERAGE(Forecasts!N2082,Forecasts!N2099,Forecasts!N2116,Forecasts!N2133,Forecasts!N2150,Forecasts!N2167,Forecasts!N2184,Forecasts!N2201,Forecasts!N2218,Forecasts!N2234))</x:f>
        <x:v>2.892452714045914</x:v>
      </x:c>
      <x:c r="H110" s="8" t="n">
        <x:f>AVERAGE(Forecasts!O2082,Forecasts!O2099,Forecasts!O2116,Forecasts!O2133,Forecasts!O2150,Forecasts!O2167,Forecasts!O2184,Forecasts!O2201,Forecasts!O2218,Forecasts!O2234)</x:f>
        <x:v>2.5091499159737918</x:v>
      </x:c>
      <x:c r="I110" s="8" t="n">
        <x:f>AVERAGE(Forecasts!M2082,Forecasts!M2099,Forecasts!M2116,Forecasts!M2133,Forecasts!M2150,Forecasts!M2167,Forecasts!M2184,Forecasts!M2201,Forecasts!M2218,Forecasts!M2234)</x:f>
        <x:v>0.9267134503263309</x:v>
      </x:c>
      <x:c r="J110" s="8" t="n">
        <x:f>SQRT(AVERAGE(Forecasts!N2078,Forecasts!N2095,Forecasts!N2112,Forecasts!N2129,Forecasts!N2146,Forecasts!N2163,Forecasts!N2180,Forecasts!N2197,Forecasts!N2214,Forecasts!N2230))</x:f>
        <x:v>4.207136793592526</x:v>
      </x:c>
      <x:c r="K110" s="8" t="n">
        <x:f>SQRT(AVERAGE(Forecasts!N2080,Forecasts!N2097,Forecasts!N2114,Forecasts!N2131,Forecasts!N2148,Forecasts!N2165,Forecasts!N2182,Forecasts!N2199,Forecasts!N2216,Forecasts!N2232))</x:f>
        <x:v>2.7189033366051274</x:v>
      </x:c>
    </x:row>
    <x:row r="111" ht="26" customHeight="1">
      <x:c r="A111" s="2"/>
      <x:c r="B111" s="2" t="str">
        <x:v>Beauty / organic_sales_growth</x:v>
      </x:c>
      <x:c r="C111" s="2" t="str">
        <x:v>Origin</x:v>
      </x:c>
      <x:c r="D111" s="2" t="str">
        <x:v>Own history</x:v>
      </x:c>
      <x:c r="E111" s="2" t="str">
        <x:v>Recent eight</x:v>
      </x:c>
      <x:c r="F111" s="2" t="n">
        <x:v>8</x:v>
      </x:c>
      <x:c r="G111" s="8" t="n">
        <x:f>SQRT(AVERAGE(Forecasts!N2116,Forecasts!N2133,Forecasts!N2150,Forecasts!N2167,Forecasts!N2184,Forecasts!N2201,Forecasts!N2218,Forecasts!N2234))</x:f>
        <x:v>3.0990874826501273</x:v>
      </x:c>
      <x:c r="H111" s="8" t="n">
        <x:f>AVERAGE(Forecasts!O2116,Forecasts!O2133,Forecasts!O2150,Forecasts!O2167,Forecasts!O2184,Forecasts!O2201,Forecasts!O2218,Forecasts!O2234)</x:f>
        <x:v>2.7015384239815354</x:v>
      </x:c>
      <x:c r="I111" s="8" t="n">
        <x:f>AVERAGE(Forecasts!M2116,Forecasts!M2133,Forecasts!M2150,Forecasts!M2167,Forecasts!M2184,Forecasts!M2201,Forecasts!M2218,Forecasts!M2234)</x:f>
        <x:v>0.7234928419222091</x:v>
      </x:c>
      <x:c r="J111" s="8" t="n">
        <x:f>SQRT(AVERAGE(Forecasts!N2112,Forecasts!N2129,Forecasts!N2146,Forecasts!N2163,Forecasts!N2180,Forecasts!N2197,Forecasts!N2214,Forecasts!N2230))</x:f>
        <x:v>3.020761493398643</x:v>
      </x:c>
      <x:c r="K111" s="8" t="n">
        <x:f>SQRT(AVERAGE(Forecasts!N2114,Forecasts!N2131,Forecasts!N2148,Forecasts!N2165,Forecasts!N2182,Forecasts!N2199,Forecasts!N2216,Forecasts!N2232))</x:f>
        <x:v>2.6010010817253684</x:v>
      </x:c>
    </x:row>
    <x:row r="112" ht="26" customHeight="1">
      <x:c r="A112" s="2"/>
      <x:c r="B112" s="2" t="str">
        <x:v>Beauty / organic_sales_growth</x:v>
      </x:c>
      <x:c r="C112" s="2" t="str">
        <x:v>Prior report</x:v>
      </x:c>
      <x:c r="D112" s="2" t="str">
        <x:v>Bias correction</x:v>
      </x:c>
      <x:c r="E112" s="2" t="str">
        <x:v>All available</x:v>
      </x:c>
      <x:c r="F112" s="2" t="n">
        <x:v>8</x:v>
      </x:c>
      <x:c r="G112" s="8" t="n">
        <x:f>SQRT(AVERAGE(Forecasts!N2906,Forecasts!N2912,Forecasts!N2918,Forecasts!N2924,Forecasts!N2930,Forecasts!N2936,Forecasts!N2942,Forecasts!N2948))</x:f>
        <x:v>2.633045954626534</x:v>
      </x:c>
      <x:c r="H112" s="8" t="n">
        <x:f>AVERAGE(Forecasts!O2906,Forecasts!O2912,Forecasts!O2918,Forecasts!O2924,Forecasts!O2930,Forecasts!O2936,Forecasts!O2942,Forecasts!O2948)</x:f>
        <x:v>2.1856386416733384</x:v>
      </x:c>
      <x:c r="I112" s="8" t="n">
        <x:f>AVERAGE(Forecasts!M2906,Forecasts!M2912,Forecasts!M2918,Forecasts!M2924,Forecasts!M2930,Forecasts!M2936,Forecasts!M2942,Forecasts!M2948)</x:f>
        <x:v>-0.9183966695730248</x:v>
      </x:c>
      <x:c r="J112" s="8" t="n">
        <x:f>SQRT(AVERAGE(Forecasts!N2117,Forecasts!N2134,Forecasts!N2151,Forecasts!N2168,Forecasts!N2185,Forecasts!N2202,Forecasts!N2219,Forecasts!N2235))</x:f>
        <x:v>3.1622776601683795</x:v>
      </x:c>
      <x:c r="K112" s="8" t="n">
        <x:f>SQRT(AVERAGE(Forecasts!N2119,Forecasts!N2136,Forecasts!N2153,Forecasts!N2170,Forecasts!N2187,Forecasts!N2204,Forecasts!N2221,Forecasts!N2237))</x:f>
        <x:v>2.5663451389306893</x:v>
      </x:c>
    </x:row>
    <x:row r="113" ht="26" customHeight="1">
      <x:c r="A113" s="2"/>
      <x:c r="B113" s="2" t="str">
        <x:v>Beauty / organic_sales_growth</x:v>
      </x:c>
      <x:c r="C113" s="2" t="str">
        <x:v>Prior report</x:v>
      </x:c>
      <x:c r="D113" s="2" t="str">
        <x:v>Bias correction</x:v>
      </x:c>
      <x:c r="E113" s="2" t="str">
        <x:v>Recent eight</x:v>
      </x:c>
      <x:c r="F113" s="2" t="n">
        <x:v>8</x:v>
      </x:c>
      <x:c r="G113" s="8" t="n">
        <x:f>SQRT(AVERAGE(Forecasts!N2906,Forecasts!N2912,Forecasts!N2918,Forecasts!N2924,Forecasts!N2930,Forecasts!N2936,Forecasts!N2942,Forecasts!N2948))</x:f>
        <x:v>2.633045954626534</x:v>
      </x:c>
      <x:c r="H113" s="8" t="n">
        <x:f>AVERAGE(Forecasts!O2906,Forecasts!O2912,Forecasts!O2918,Forecasts!O2924,Forecasts!O2930,Forecasts!O2936,Forecasts!O2942,Forecasts!O2948)</x:f>
        <x:v>2.1856386416733384</x:v>
      </x:c>
      <x:c r="I113" s="8" t="n">
        <x:f>AVERAGE(Forecasts!M2906,Forecasts!M2912,Forecasts!M2918,Forecasts!M2924,Forecasts!M2930,Forecasts!M2936,Forecasts!M2942,Forecasts!M2948)</x:f>
        <x:v>-0.9183966695730248</x:v>
      </x:c>
      <x:c r="J113" s="8" t="n">
        <x:f>SQRT(AVERAGE(Forecasts!N2117,Forecasts!N2134,Forecasts!N2151,Forecasts!N2168,Forecasts!N2185,Forecasts!N2202,Forecasts!N2219,Forecasts!N2235))</x:f>
        <x:v>3.1622776601683795</x:v>
      </x:c>
      <x:c r="K113" s="8" t="n">
        <x:f>SQRT(AVERAGE(Forecasts!N2119,Forecasts!N2136,Forecasts!N2153,Forecasts!N2170,Forecasts!N2187,Forecasts!N2204,Forecasts!N2221,Forecasts!N2237))</x:f>
        <x:v>2.5663451389306893</x:v>
      </x:c>
    </x:row>
    <x:row r="114" ht="26" customHeight="1">
      <x:c r="A114" s="2"/>
      <x:c r="B114" s="2" t="str">
        <x:v>Beauty / organic_sales_growth</x:v>
      </x:c>
      <x:c r="C114" s="2" t="str">
        <x:v>Prior report</x:v>
      </x:c>
      <x:c r="D114" s="2" t="str">
        <x:v>Broad lag 1</x:v>
      </x:c>
      <x:c r="E114" s="2" t="str">
        <x:v>All available</x:v>
      </x:c>
      <x:c r="F114" s="2" t="n">
        <x:v>10</x:v>
      </x:c>
      <x:c r="G114" s="8" t="n">
        <x:f>SQRT(AVERAGE(Forecasts!N2053,Forecasts!N2069,Forecasts!N2086,Forecasts!N2103,Forecasts!N2120,Forecasts!N2137,Forecasts!N2154,Forecasts!N2171,Forecasts!N2188,Forecasts!N2205))</x:f>
        <x:v>3.681765350708393</x:v>
      </x:c>
      <x:c r="H114" s="8" t="n">
        <x:f>AVERAGE(Forecasts!O2053,Forecasts!O2069,Forecasts!O2086,Forecasts!O2103,Forecasts!O2120,Forecasts!O2137,Forecasts!O2154,Forecasts!O2171,Forecasts!O2188,Forecasts!O2205)</x:f>
        <x:v>2.834320119669669</x:v>
      </x:c>
      <x:c r="I114" s="8" t="n">
        <x:f>AVERAGE(Forecasts!M2053,Forecasts!M2069,Forecasts!M2086,Forecasts!M2103,Forecasts!M2120,Forecasts!M2137,Forecasts!M2154,Forecasts!M2171,Forecasts!M2188,Forecasts!M2205)</x:f>
        <x:v>0.5551126907548556</x:v>
      </x:c>
      <x:c r="J114" s="8" t="n">
        <x:f>SQRT(AVERAGE(Forecasts!N2050,Forecasts!N2066,Forecasts!N2083,Forecasts!N2100,Forecasts!N2117,Forecasts!N2134,Forecasts!N2151,Forecasts!N2168,Forecasts!N2185,Forecasts!N2202))</x:f>
        <x:v>3.7282703764614498</x:v>
      </x:c>
      <x:c r="K114" s="8" t="n">
        <x:f>SQRT(AVERAGE(Forecasts!N2052,Forecasts!N2068,Forecasts!N2085,Forecasts!N2102,Forecasts!N2119,Forecasts!N2136,Forecasts!N2153,Forecasts!N2170,Forecasts!N2187,Forecasts!N2204))</x:f>
        <x:v>3.3239828414987356</x:v>
      </x:c>
    </x:row>
    <x:row r="115" ht="26" customHeight="1">
      <x:c r="A115" s="2"/>
      <x:c r="B115" s="2" t="str">
        <x:v>Beauty / organic_sales_growth</x:v>
      </x:c>
      <x:c r="C115" s="2" t="str">
        <x:v>Prior report</x:v>
      </x:c>
      <x:c r="D115" s="2" t="str">
        <x:v>Broad lag 1</x:v>
      </x:c>
      <x:c r="E115" s="2" t="str">
        <x:v>Recent eight</x:v>
      </x:c>
      <x:c r="F115" s="2" t="n">
        <x:v>6</x:v>
      </x:c>
      <x:c r="G115" s="8" t="n">
        <x:f>SQRT(AVERAGE(Forecasts!N2120,Forecasts!N2137,Forecasts!N2154,Forecasts!N2171,Forecasts!N2188,Forecasts!N2205))</x:f>
        <x:v>3.3480685765822153</x:v>
      </x:c>
      <x:c r="H115" s="8" t="n">
        <x:f>AVERAGE(Forecasts!O2120,Forecasts!O2137,Forecasts!O2154,Forecasts!O2171,Forecasts!O2188,Forecasts!O2205)</x:f>
        <x:v>2.7133851214867772</x:v>
      </x:c>
      <x:c r="I115" s="8" t="n">
        <x:f>AVERAGE(Forecasts!M2120,Forecasts!M2137,Forecasts!M2154,Forecasts!M2171,Forecasts!M2188,Forecasts!M2205)</x:f>
        <x:v>1.7599378669356378</x:v>
      </x:c>
      <x:c r="J115" s="8" t="n">
        <x:f>SQRT(AVERAGE(Forecasts!N2117,Forecasts!N2134,Forecasts!N2151,Forecasts!N2168,Forecasts!N2185,Forecasts!N2202))</x:f>
        <x:v>3.3416562759605704</x:v>
      </x:c>
      <x:c r="K115" s="8" t="n">
        <x:f>SQRT(AVERAGE(Forecasts!N2119,Forecasts!N2136,Forecasts!N2153,Forecasts!N2170,Forecasts!N2187,Forecasts!N2204))</x:f>
        <x:v>2.5727365978364003</x:v>
      </x:c>
    </x:row>
    <x:row r="116" ht="26" customHeight="1">
      <x:c r="A116" s="2"/>
      <x:c r="B116" s="2" t="str">
        <x:v>Beauty / organic_sales_growth</x:v>
      </x:c>
      <x:c r="C116" s="2" t="str">
        <x:v>Prior report</x:v>
      </x:c>
      <x:c r="D116" s="2" t="str">
        <x:v>Broad market</x:v>
      </x:c>
      <x:c r="E116" s="2" t="str">
        <x:v>All available</x:v>
      </x:c>
      <x:c r="F116" s="2" t="n">
        <x:v>12</x:v>
      </x:c>
      <x:c r="G116" s="8" t="n">
        <x:f>SQRT(AVERAGE(Forecasts!N2052,Forecasts!N2068,Forecasts!N2085,Forecasts!N2102,Forecasts!N2119,Forecasts!N2136,Forecasts!N2153,Forecasts!N2170,Forecasts!N2187,Forecasts!N2204,Forecasts!N2221,Forecasts!N2237))</x:f>
        <x:v>3.207592511936907</x:v>
      </x:c>
      <x:c r="H116" s="8" t="n">
        <x:f>AVERAGE(Forecasts!O2052,Forecasts!O2068,Forecasts!O2085,Forecasts!O2102,Forecasts!O2119,Forecasts!O2136,Forecasts!O2153,Forecasts!O2170,Forecasts!O2187,Forecasts!O2204,Forecasts!O2221,Forecasts!O2237)</x:f>
        <x:v>2.4719977454695674</x:v>
      </x:c>
      <x:c r="I116" s="8" t="n">
        <x:f>AVERAGE(Forecasts!M2052,Forecasts!M2068,Forecasts!M2085,Forecasts!M2102,Forecasts!M2119,Forecasts!M2136,Forecasts!M2153,Forecasts!M2170,Forecasts!M2187,Forecasts!M2204,Forecasts!M2221,Forecasts!M2237)</x:f>
        <x:v>0.12741669208505138</x:v>
      </x:c>
      <x:c r="J116" s="8" t="n">
        <x:f>SQRT(AVERAGE(Forecasts!N2050,Forecasts!N2066,Forecasts!N2083,Forecasts!N2100,Forecasts!N2117,Forecasts!N2134,Forecasts!N2151,Forecasts!N2168,Forecasts!N2185,Forecasts!N2202,Forecasts!N2219,Forecasts!N2235))</x:f>
        <x:v>3.559026084010437</x:v>
      </x:c>
      <x:c r="K116" s="8" t="n">
        <x:f>SQRT(AVERAGE(Forecasts!N2052,Forecasts!N2068,Forecasts!N2085,Forecasts!N2102,Forecasts!N2119,Forecasts!N2136,Forecasts!N2153,Forecasts!N2170,Forecasts!N2187,Forecasts!N2204,Forecasts!N2221,Forecasts!N2237))</x:f>
        <x:v>3.207592511936907</x:v>
      </x:c>
    </x:row>
    <x:row r="117" ht="26" customHeight="1">
      <x:c r="A117" s="2"/>
      <x:c r="B117" s="2" t="str">
        <x:v>Beauty / organic_sales_growth</x:v>
      </x:c>
      <x:c r="C117" s="2" t="str">
        <x:v>Prior report</x:v>
      </x:c>
      <x:c r="D117" s="2" t="str">
        <x:v>Broad market</x:v>
      </x:c>
      <x:c r="E117" s="2" t="str">
        <x:v>Recent eight</x:v>
      </x:c>
      <x:c r="F117" s="2" t="n">
        <x:v>8</x:v>
      </x:c>
      <x:c r="G117" s="8" t="n">
        <x:f>SQRT(AVERAGE(Forecasts!N2119,Forecasts!N2136,Forecasts!N2153,Forecasts!N2170,Forecasts!N2187,Forecasts!N2204,Forecasts!N2221,Forecasts!N2237))</x:f>
        <x:v>2.5663451389306893</x:v>
      </x:c>
      <x:c r="H117" s="8" t="n">
        <x:f>AVERAGE(Forecasts!O2119,Forecasts!O2136,Forecasts!O2153,Forecasts!O2170,Forecasts!O2187,Forecasts!O2204,Forecasts!O2221,Forecasts!O2237)</x:f>
        <x:v>2.057707178591073</x:v>
      </x:c>
      <x:c r="I117" s="8" t="n">
        <x:f>AVERAGE(Forecasts!M2119,Forecasts!M2136,Forecasts!M2153,Forecasts!M2170,Forecasts!M2187,Forecasts!M2204,Forecasts!M2221,Forecasts!M2237)</x:f>
        <x:v>0.4215709276217541</x:v>
      </x:c>
      <x:c r="J117" s="8" t="n">
        <x:f>SQRT(AVERAGE(Forecasts!N2117,Forecasts!N2134,Forecasts!N2151,Forecasts!N2168,Forecasts!N2185,Forecasts!N2202,Forecasts!N2219,Forecasts!N2235))</x:f>
        <x:v>3.1622776601683795</x:v>
      </x:c>
      <x:c r="K117" s="8" t="n">
        <x:f>SQRT(AVERAGE(Forecasts!N2119,Forecasts!N2136,Forecasts!N2153,Forecasts!N2170,Forecasts!N2187,Forecasts!N2204,Forecasts!N2221,Forecasts!N2237))</x:f>
        <x:v>2.5663451389306893</x:v>
      </x:c>
    </x:row>
    <x:row r="118" ht="26" customHeight="1">
      <x:c r="A118" s="2"/>
      <x:c r="B118" s="2" t="str">
        <x:v>Beauty / organic_sales_growth</x:v>
      </x:c>
      <x:c r="C118" s="2" t="str">
        <x:v>Prior report</x:v>
      </x:c>
      <x:c r="D118" s="2" t="str">
        <x:v>Broad rolling 8</x:v>
      </x:c>
      <x:c r="E118" s="2" t="str">
        <x:v>All available</x:v>
      </x:c>
      <x:c r="F118" s="2" t="n">
        <x:v>12</x:v>
      </x:c>
      <x:c r="G118" s="8" t="n">
        <x:f>SQRT(AVERAGE(Forecasts!N2054,Forecasts!N2070,Forecasts!N2087,Forecasts!N2104,Forecasts!N2121,Forecasts!N2138,Forecasts!N2155,Forecasts!N2172,Forecasts!N2189,Forecasts!N2206,Forecasts!N2222,Forecasts!N2238))</x:f>
        <x:v>3.9019099267732242</x:v>
      </x:c>
      <x:c r="H118" s="8" t="n">
        <x:f>AVERAGE(Forecasts!O2054,Forecasts!O2070,Forecasts!O2087,Forecasts!O2104,Forecasts!O2121,Forecasts!O2138,Forecasts!O2155,Forecasts!O2172,Forecasts!O2189,Forecasts!O2206,Forecasts!O2222,Forecasts!O2238)</x:f>
        <x:v>3.1411211458786963</x:v>
      </x:c>
      <x:c r="I118" s="8" t="n">
        <x:f>AVERAGE(Forecasts!M2054,Forecasts!M2070,Forecasts!M2087,Forecasts!M2104,Forecasts!M2121,Forecasts!M2138,Forecasts!M2155,Forecasts!M2172,Forecasts!M2189,Forecasts!M2206,Forecasts!M2222,Forecasts!M2238)</x:f>
        <x:v>-0.1557929475105154</x:v>
      </x:c>
      <x:c r="J118" s="8" t="n">
        <x:f>SQRT(AVERAGE(Forecasts!N2050,Forecasts!N2066,Forecasts!N2083,Forecasts!N2100,Forecasts!N2117,Forecasts!N2134,Forecasts!N2151,Forecasts!N2168,Forecasts!N2185,Forecasts!N2202,Forecasts!N2219,Forecasts!N2235))</x:f>
        <x:v>3.559026084010437</x:v>
      </x:c>
      <x:c r="K118" s="8" t="n">
        <x:f>SQRT(AVERAGE(Forecasts!N2052,Forecasts!N2068,Forecasts!N2085,Forecasts!N2102,Forecasts!N2119,Forecasts!N2136,Forecasts!N2153,Forecasts!N2170,Forecasts!N2187,Forecasts!N2204,Forecasts!N2221,Forecasts!N2237))</x:f>
        <x:v>3.207592511936907</x:v>
      </x:c>
    </x:row>
    <x:row r="119" ht="26" customHeight="1">
      <x:c r="A119" s="2"/>
      <x:c r="B119" s="2" t="str">
        <x:v>Beauty / organic_sales_growth</x:v>
      </x:c>
      <x:c r="C119" s="2" t="str">
        <x:v>Prior report</x:v>
      </x:c>
      <x:c r="D119" s="2" t="str">
        <x:v>Broad rolling 8</x:v>
      </x:c>
      <x:c r="E119" s="2" t="str">
        <x:v>Recent eight</x:v>
      </x:c>
      <x:c r="F119" s="2" t="n">
        <x:v>8</x:v>
      </x:c>
      <x:c r="G119" s="8" t="n">
        <x:f>SQRT(AVERAGE(Forecasts!N2121,Forecasts!N2138,Forecasts!N2155,Forecasts!N2172,Forecasts!N2189,Forecasts!N2206,Forecasts!N2222,Forecasts!N2238))</x:f>
        <x:v>3.224195980479592</x:v>
      </x:c>
      <x:c r="H119" s="8" t="n">
        <x:f>AVERAGE(Forecasts!O2121,Forecasts!O2138,Forecasts!O2155,Forecasts!O2172,Forecasts!O2189,Forecasts!O2206,Forecasts!O2222,Forecasts!O2238)</x:f>
        <x:v>2.617106755585824</x:v>
      </x:c>
      <x:c r="I119" s="8" t="n">
        <x:f>AVERAGE(Forecasts!M2121,Forecasts!M2138,Forecasts!M2155,Forecasts!M2172,Forecasts!M2189,Forecasts!M2206,Forecasts!M2222,Forecasts!M2238)</x:f>
        <x:v>-0.3925568065211845</x:v>
      </x:c>
      <x:c r="J119" s="8" t="n">
        <x:f>SQRT(AVERAGE(Forecasts!N2117,Forecasts!N2134,Forecasts!N2151,Forecasts!N2168,Forecasts!N2185,Forecasts!N2202,Forecasts!N2219,Forecasts!N2235))</x:f>
        <x:v>3.1622776601683795</x:v>
      </x:c>
      <x:c r="K119" s="8" t="n">
        <x:f>SQRT(AVERAGE(Forecasts!N2119,Forecasts!N2136,Forecasts!N2153,Forecasts!N2170,Forecasts!N2187,Forecasts!N2204,Forecasts!N2221,Forecasts!N2237))</x:f>
        <x:v>2.5663451389306893</x:v>
      </x:c>
    </x:row>
    <x:row r="120" ht="26" customHeight="1">
      <x:c r="A120" s="2"/>
      <x:c r="B120" s="2" t="str">
        <x:v>Beauty / organic_sales_growth</x:v>
      </x:c>
      <x:c r="C120" s="2" t="str">
        <x:v>Prior report</x:v>
      </x:c>
      <x:c r="D120" s="2" t="str">
        <x:v>Four-quarter mean</x:v>
      </x:c>
      <x:c r="E120" s="2" t="str">
        <x:v>All available</x:v>
      </x:c>
      <x:c r="F120" s="2" t="n">
        <x:v>12</x:v>
      </x:c>
      <x:c r="G120" s="8" t="n">
        <x:f>SQRT(AVERAGE(Forecasts!N2051,Forecasts!N2067,Forecasts!N2084,Forecasts!N2101,Forecasts!N2118,Forecasts!N2135,Forecasts!N2152,Forecasts!N2169,Forecasts!N2186,Forecasts!N2203,Forecasts!N2220,Forecasts!N2236))</x:f>
        <x:v>3.7652467825274525</x:v>
      </x:c>
      <x:c r="H120" s="8" t="n">
        <x:f>AVERAGE(Forecasts!O2051,Forecasts!O2067,Forecasts!O2084,Forecasts!O2101,Forecasts!O2118,Forecasts!O2135,Forecasts!O2152,Forecasts!O2169,Forecasts!O2186,Forecasts!O2203,Forecasts!O2220,Forecasts!O2236)</x:f>
        <x:v>3</x:v>
      </x:c>
      <x:c r="I120" s="8" t="n">
        <x:f>AVERAGE(Forecasts!M2051,Forecasts!M2067,Forecasts!M2084,Forecasts!M2101,Forecasts!M2118,Forecasts!M2135,Forecasts!M2152,Forecasts!M2169,Forecasts!M2186,Forecasts!M2203,Forecasts!M2220,Forecasts!M2236)</x:f>
        <x:v>-0.16666666666666666</x:v>
      </x:c>
      <x:c r="J120" s="8" t="n">
        <x:f>SQRT(AVERAGE(Forecasts!N2050,Forecasts!N2066,Forecasts!N2083,Forecasts!N2100,Forecasts!N2117,Forecasts!N2134,Forecasts!N2151,Forecasts!N2168,Forecasts!N2185,Forecasts!N2202,Forecasts!N2219,Forecasts!N2235))</x:f>
        <x:v>3.559026084010437</x:v>
      </x:c>
      <x:c r="K120" s="8" t="n">
        <x:f>SQRT(AVERAGE(Forecasts!N2052,Forecasts!N2068,Forecasts!N2085,Forecasts!N2102,Forecasts!N2119,Forecasts!N2136,Forecasts!N2153,Forecasts!N2170,Forecasts!N2187,Forecasts!N2204,Forecasts!N2221,Forecasts!N2237))</x:f>
        <x:v>3.207592511936907</x:v>
      </x:c>
    </x:row>
    <x:row r="121" ht="26" customHeight="1">
      <x:c r="A121" s="2"/>
      <x:c r="B121" s="2" t="str">
        <x:v>Beauty / organic_sales_growth</x:v>
      </x:c>
      <x:c r="C121" s="2" t="str">
        <x:v>Prior report</x:v>
      </x:c>
      <x:c r="D121" s="2" t="str">
        <x:v>Four-quarter mean</x:v>
      </x:c>
      <x:c r="E121" s="2" t="str">
        <x:v>Recent eight</x:v>
      </x:c>
      <x:c r="F121" s="2" t="n">
        <x:v>8</x:v>
      </x:c>
      <x:c r="G121" s="8" t="n">
        <x:f>SQRT(AVERAGE(Forecasts!N2118,Forecasts!N2135,Forecasts!N2152,Forecasts!N2169,Forecasts!N2186,Forecasts!N2203,Forecasts!N2220,Forecasts!N2236))</x:f>
        <x:v>3.0220543509341455</x:v>
      </x:c>
      <x:c r="H121" s="8" t="n">
        <x:f>AVERAGE(Forecasts!O2118,Forecasts!O2135,Forecasts!O2152,Forecasts!O2169,Forecasts!O2186,Forecasts!O2203,Forecasts!O2220,Forecasts!O2236)</x:f>
        <x:v>2.34375</x:v>
      </x:c>
      <x:c r="I121" s="8" t="n">
        <x:f>AVERAGE(Forecasts!M2118,Forecasts!M2135,Forecasts!M2152,Forecasts!M2169,Forecasts!M2186,Forecasts!M2203,Forecasts!M2220,Forecasts!M2236)</x:f>
        <x:v>-0.53125</x:v>
      </x:c>
      <x:c r="J121" s="8" t="n">
        <x:f>SQRT(AVERAGE(Forecasts!N2117,Forecasts!N2134,Forecasts!N2151,Forecasts!N2168,Forecasts!N2185,Forecasts!N2202,Forecasts!N2219,Forecasts!N2235))</x:f>
        <x:v>3.1622776601683795</x:v>
      </x:c>
      <x:c r="K121" s="8" t="n">
        <x:f>SQRT(AVERAGE(Forecasts!N2119,Forecasts!N2136,Forecasts!N2153,Forecasts!N2170,Forecasts!N2187,Forecasts!N2204,Forecasts!N2221,Forecasts!N2237))</x:f>
        <x:v>2.5663451389306893</x:v>
      </x:c>
    </x:row>
    <x:row r="122" ht="26" customHeight="1">
      <x:c r="A122" s="2"/>
      <x:c r="B122" s="2" t="str">
        <x:v>Beauty / organic_sales_growth</x:v>
      </x:c>
      <x:c r="C122" s="2" t="str">
        <x:v>Prior report</x:v>
      </x:c>
      <x:c r="D122" s="2" t="str">
        <x:v>Half correction</x:v>
      </x:c>
      <x:c r="E122" s="2" t="str">
        <x:v>All available</x:v>
      </x:c>
      <x:c r="F122" s="2" t="n">
        <x:v>8</x:v>
      </x:c>
      <x:c r="G122" s="8" t="n">
        <x:f>SQRT(AVERAGE(Forecasts!N2907,Forecasts!N2913,Forecasts!N2919,Forecasts!N2925,Forecasts!N2931,Forecasts!N2937,Forecasts!N2943,Forecasts!N2949))</x:f>
        <x:v>2.4510991019983437</x:v>
      </x:c>
      <x:c r="H122" s="8" t="n">
        <x:f>AVERAGE(Forecasts!O2907,Forecasts!O2913,Forecasts!O2919,Forecasts!O2925,Forecasts!O2931,Forecasts!O2937,Forecasts!O2943,Forecasts!O2949)</x:f>
        <x:v>1.872782967942312</x:v>
      </x:c>
      <x:c r="I122" s="8" t="n">
        <x:f>AVERAGE(Forecasts!M2907,Forecasts!M2913,Forecasts!M2919,Forecasts!M2925,Forecasts!M2931,Forecasts!M2937,Forecasts!M2943,Forecasts!M2949)</x:f>
        <x:v>-0.2484128709756354</x:v>
      </x:c>
      <x:c r="J122" s="8" t="n">
        <x:f>SQRT(AVERAGE(Forecasts!N2117,Forecasts!N2134,Forecasts!N2151,Forecasts!N2168,Forecasts!N2185,Forecasts!N2202,Forecasts!N2219,Forecasts!N2235))</x:f>
        <x:v>3.1622776601683795</x:v>
      </x:c>
      <x:c r="K122" s="8" t="n">
        <x:f>SQRT(AVERAGE(Forecasts!N2119,Forecasts!N2136,Forecasts!N2153,Forecasts!N2170,Forecasts!N2187,Forecasts!N2204,Forecasts!N2221,Forecasts!N2237))</x:f>
        <x:v>2.5663451389306893</x:v>
      </x:c>
    </x:row>
    <x:row r="123" ht="26" customHeight="1">
      <x:c r="A123" s="2"/>
      <x:c r="B123" s="2" t="str">
        <x:v>Beauty / organic_sales_growth</x:v>
      </x:c>
      <x:c r="C123" s="2" t="str">
        <x:v>Prior report</x:v>
      </x:c>
      <x:c r="D123" s="2" t="str">
        <x:v>Half correction</x:v>
      </x:c>
      <x:c r="E123" s="2" t="str">
        <x:v>Recent eight</x:v>
      </x:c>
      <x:c r="F123" s="2" t="n">
        <x:v>8</x:v>
      </x:c>
      <x:c r="G123" s="8" t="n">
        <x:f>SQRT(AVERAGE(Forecasts!N2907,Forecasts!N2913,Forecasts!N2919,Forecasts!N2925,Forecasts!N2931,Forecasts!N2937,Forecasts!N2943,Forecasts!N2949))</x:f>
        <x:v>2.4510991019983437</x:v>
      </x:c>
      <x:c r="H123" s="8" t="n">
        <x:f>AVERAGE(Forecasts!O2907,Forecasts!O2913,Forecasts!O2919,Forecasts!O2925,Forecasts!O2931,Forecasts!O2937,Forecasts!O2943,Forecasts!O2949)</x:f>
        <x:v>1.872782967942312</x:v>
      </x:c>
      <x:c r="I123" s="8" t="n">
        <x:f>AVERAGE(Forecasts!M2907,Forecasts!M2913,Forecasts!M2919,Forecasts!M2925,Forecasts!M2931,Forecasts!M2937,Forecasts!M2943,Forecasts!M2949)</x:f>
        <x:v>-0.2484128709756354</x:v>
      </x:c>
      <x:c r="J123" s="8" t="n">
        <x:f>SQRT(AVERAGE(Forecasts!N2117,Forecasts!N2134,Forecasts!N2151,Forecasts!N2168,Forecasts!N2185,Forecasts!N2202,Forecasts!N2219,Forecasts!N2235))</x:f>
        <x:v>3.1622776601683795</x:v>
      </x:c>
      <x:c r="K123" s="8" t="n">
        <x:f>SQRT(AVERAGE(Forecasts!N2119,Forecasts!N2136,Forecasts!N2153,Forecasts!N2170,Forecasts!N2187,Forecasts!N2204,Forecasts!N2221,Forecasts!N2237))</x:f>
        <x:v>2.5663451389306893</x:v>
      </x:c>
    </x:row>
    <x:row r="124" ht="26" customHeight="1">
      <x:c r="A124" s="2"/>
      <x:c r="B124" s="2" t="str">
        <x:v>Beauty / organic_sales_growth</x:v>
      </x:c>
      <x:c r="C124" s="2" t="str">
        <x:v>Prior report</x:v>
      </x:c>
      <x:c r="D124" s="2" t="str">
        <x:v>Last actual</x:v>
      </x:c>
      <x:c r="E124" s="2" t="str">
        <x:v>All available</x:v>
      </x:c>
      <x:c r="F124" s="2" t="n">
        <x:v>12</x:v>
      </x:c>
      <x:c r="G124" s="8" t="n">
        <x:f>SQRT(AVERAGE(Forecasts!N2050,Forecasts!N2066,Forecasts!N2083,Forecasts!N2100,Forecasts!N2117,Forecasts!N2134,Forecasts!N2151,Forecasts!N2168,Forecasts!N2185,Forecasts!N2202,Forecasts!N2219,Forecasts!N2235))</x:f>
        <x:v>3.559026084010437</x:v>
      </x:c>
      <x:c r="H124" s="8" t="n">
        <x:f>AVERAGE(Forecasts!O2050,Forecasts!O2066,Forecasts!O2083,Forecasts!O2100,Forecasts!O2117,Forecasts!O2134,Forecasts!O2151,Forecasts!O2168,Forecasts!O2185,Forecasts!O2202,Forecasts!O2219,Forecasts!O2235)</x:f>
        <x:v>3</x:v>
      </x:c>
      <x:c r="I124" s="8" t="n">
        <x:f>AVERAGE(Forecasts!M2050,Forecasts!M2066,Forecasts!M2083,Forecasts!M2100,Forecasts!M2117,Forecasts!M2134,Forecasts!M2151,Forecasts!M2168,Forecasts!M2185,Forecasts!M2202,Forecasts!M2219,Forecasts!M2235)</x:f>
        <x:v>0</x:v>
      </x:c>
      <x:c r="J124" s="8" t="n">
        <x:f>SQRT(AVERAGE(Forecasts!N2050,Forecasts!N2066,Forecasts!N2083,Forecasts!N2100,Forecasts!N2117,Forecasts!N2134,Forecasts!N2151,Forecasts!N2168,Forecasts!N2185,Forecasts!N2202,Forecasts!N2219,Forecasts!N2235))</x:f>
        <x:v>3.559026084010437</x:v>
      </x:c>
      <x:c r="K124" s="8" t="n">
        <x:f>SQRT(AVERAGE(Forecasts!N2052,Forecasts!N2068,Forecasts!N2085,Forecasts!N2102,Forecasts!N2119,Forecasts!N2136,Forecasts!N2153,Forecasts!N2170,Forecasts!N2187,Forecasts!N2204,Forecasts!N2221,Forecasts!N2237))</x:f>
        <x:v>3.207592511936907</x:v>
      </x:c>
    </x:row>
    <x:row r="125" ht="26" customHeight="1">
      <x:c r="A125" s="2"/>
      <x:c r="B125" s="2" t="str">
        <x:v>Beauty / organic_sales_growth</x:v>
      </x:c>
      <x:c r="C125" s="2" t="str">
        <x:v>Prior report</x:v>
      </x:c>
      <x:c r="D125" s="2" t="str">
        <x:v>Last actual</x:v>
      </x:c>
      <x:c r="E125" s="2" t="str">
        <x:v>Recent eight</x:v>
      </x:c>
      <x:c r="F125" s="2" t="n">
        <x:v>8</x:v>
      </x:c>
      <x:c r="G125" s="8" t="n">
        <x:f>SQRT(AVERAGE(Forecasts!N2117,Forecasts!N2134,Forecasts!N2151,Forecasts!N2168,Forecasts!N2185,Forecasts!N2202,Forecasts!N2219,Forecasts!N2235))</x:f>
        <x:v>3.1622776601683795</x:v>
      </x:c>
      <x:c r="H125" s="8" t="n">
        <x:f>AVERAGE(Forecasts!O2117,Forecasts!O2134,Forecasts!O2151,Forecasts!O2168,Forecasts!O2185,Forecasts!O2202,Forecasts!O2219,Forecasts!O2235)</x:f>
        <x:v>2.5</x:v>
      </x:c>
      <x:c r="I125" s="8" t="n">
        <x:f>AVERAGE(Forecasts!M2117,Forecasts!M2134,Forecasts!M2151,Forecasts!M2168,Forecasts!M2185,Forecasts!M2202,Forecasts!M2219,Forecasts!M2235)</x:f>
        <x:v>-0.5</x:v>
      </x:c>
      <x:c r="J125" s="8" t="n">
        <x:f>SQRT(AVERAGE(Forecasts!N2117,Forecasts!N2134,Forecasts!N2151,Forecasts!N2168,Forecasts!N2185,Forecasts!N2202,Forecasts!N2219,Forecasts!N2235))</x:f>
        <x:v>3.1622776601683795</x:v>
      </x:c>
      <x:c r="K125" s="8" t="n">
        <x:f>SQRT(AVERAGE(Forecasts!N2119,Forecasts!N2136,Forecasts!N2153,Forecasts!N2170,Forecasts!N2187,Forecasts!N2204,Forecasts!N2221,Forecasts!N2237))</x:f>
        <x:v>2.5663451389306893</x:v>
      </x:c>
    </x:row>
    <x:row r="126" ht="26" customHeight="1">
      <x:c r="A126" s="2"/>
      <x:c r="B126" s="2" t="str">
        <x:v>Beauty / organic_sales_growth</x:v>
      </x:c>
      <x:c r="C126" s="2" t="str">
        <x:v>Prior report</x:v>
      </x:c>
      <x:c r="D126" s="2" t="str">
        <x:v>Own history</x:v>
      </x:c>
      <x:c r="E126" s="2" t="str">
        <x:v>All available</x:v>
      </x:c>
      <x:c r="F126" s="2" t="n">
        <x:v>12</x:v>
      </x:c>
      <x:c r="G126" s="8" t="n">
        <x:f>SQRT(AVERAGE(Forecasts!N2055,Forecasts!N2071,Forecasts!N2088,Forecasts!N2105,Forecasts!N2122,Forecasts!N2139,Forecasts!N2156,Forecasts!N2173,Forecasts!N2190,Forecasts!N2207,Forecasts!N2223,Forecasts!N2239))</x:f>
        <x:v>3.3889440731047102</x:v>
      </x:c>
      <x:c r="H126" s="8" t="n">
        <x:f>AVERAGE(Forecasts!O2055,Forecasts!O2071,Forecasts!O2088,Forecasts!O2105,Forecasts!O2122,Forecasts!O2139,Forecasts!O2156,Forecasts!O2173,Forecasts!O2190,Forecasts!O2207,Forecasts!O2223,Forecasts!O2239)</x:f>
        <x:v>2.626581599682592</x:v>
      </x:c>
      <x:c r="I126" s="8" t="n">
        <x:f>AVERAGE(Forecasts!M2055,Forecasts!M2071,Forecasts!M2088,Forecasts!M2105,Forecasts!M2122,Forecasts!M2139,Forecasts!M2156,Forecasts!M2173,Forecasts!M2190,Forecasts!M2207,Forecasts!M2223,Forecasts!M2239)</x:f>
        <x:v>0.006614933819297009</x:v>
      </x:c>
      <x:c r="J126" s="8" t="n">
        <x:f>SQRT(AVERAGE(Forecasts!N2050,Forecasts!N2066,Forecasts!N2083,Forecasts!N2100,Forecasts!N2117,Forecasts!N2134,Forecasts!N2151,Forecasts!N2168,Forecasts!N2185,Forecasts!N2202,Forecasts!N2219,Forecasts!N2235))</x:f>
        <x:v>3.559026084010437</x:v>
      </x:c>
      <x:c r="K126" s="8" t="n">
        <x:f>SQRT(AVERAGE(Forecasts!N2052,Forecasts!N2068,Forecasts!N2085,Forecasts!N2102,Forecasts!N2119,Forecasts!N2136,Forecasts!N2153,Forecasts!N2170,Forecasts!N2187,Forecasts!N2204,Forecasts!N2221,Forecasts!N2237))</x:f>
        <x:v>3.207592511936907</x:v>
      </x:c>
    </x:row>
    <x:row r="127" ht="26" customHeight="1">
      <x:c r="A127" s="2"/>
      <x:c r="B127" s="2" t="str">
        <x:v>Beauty / organic_sales_growth</x:v>
      </x:c>
      <x:c r="C127" s="2" t="str">
        <x:v>Prior report</x:v>
      </x:c>
      <x:c r="D127" s="2" t="str">
        <x:v>Own history</x:v>
      </x:c>
      <x:c r="E127" s="2" t="str">
        <x:v>Recent eight</x:v>
      </x:c>
      <x:c r="F127" s="2" t="n">
        <x:v>8</x:v>
      </x:c>
      <x:c r="G127" s="8" t="n">
        <x:f>SQRT(AVERAGE(Forecasts!N2122,Forecasts!N2139,Forecasts!N2156,Forecasts!N2173,Forecasts!N2190,Forecasts!N2207,Forecasts!N2223,Forecasts!N2239))</x:f>
        <x:v>2.7692488368135746</x:v>
      </x:c>
      <x:c r="H127" s="8" t="n">
        <x:f>AVERAGE(Forecasts!O2122,Forecasts!O2139,Forecasts!O2156,Forecasts!O2173,Forecasts!O2190,Forecasts!O2207,Forecasts!O2223,Forecasts!O2239)</x:f>
        <x:v>2.1101803059637767</x:v>
      </x:c>
      <x:c r="I127" s="8" t="n">
        <x:f>AVERAGE(Forecasts!M2122,Forecasts!M2139,Forecasts!M2156,Forecasts!M2173,Forecasts!M2190,Forecasts!M2207,Forecasts!M2223,Forecasts!M2239)</x:f>
        <x:v>0.006208224200542067</x:v>
      </x:c>
      <x:c r="J127" s="8" t="n">
        <x:f>SQRT(AVERAGE(Forecasts!N2117,Forecasts!N2134,Forecasts!N2151,Forecasts!N2168,Forecasts!N2185,Forecasts!N2202,Forecasts!N2219,Forecasts!N2235))</x:f>
        <x:v>3.1622776601683795</x:v>
      </x:c>
      <x:c r="K127" s="8" t="n">
        <x:f>SQRT(AVERAGE(Forecasts!N2119,Forecasts!N2136,Forecasts!N2153,Forecasts!N2170,Forecasts!N2187,Forecasts!N2204,Forecasts!N2221,Forecasts!N2237))</x:f>
        <x:v>2.5663451389306893</x:v>
      </x:c>
    </x:row>
    <x:row r="128" ht="26" customHeight="1">
      <x:c r="A128" s="2"/>
      <x:c r="B128" s="2" t="str">
        <x:v>Beauty / organic_sales_growth</x:v>
      </x:c>
      <x:c r="C128" s="2" t="str">
        <x:v>Pre-earnings</x:v>
      </x:c>
      <x:c r="D128" s="2" t="str">
        <x:v>Bias correction</x:v>
      </x:c>
      <x:c r="E128" s="2" t="str">
        <x:v>All available</x:v>
      </x:c>
      <x:c r="F128" s="2" t="n">
        <x:v>8</x:v>
      </x:c>
      <x:c r="G128" s="8" t="n">
        <x:f>SQRT(AVERAGE(Forecasts!N2908,Forecasts!N2914,Forecasts!N2920,Forecasts!N2926,Forecasts!N2932,Forecasts!N2938,Forecasts!N2944,Forecasts!N2950))</x:f>
        <x:v>3.0660015430319363</x:v>
      </x:c>
      <x:c r="H128" s="8" t="n">
        <x:f>AVERAGE(Forecasts!O2908,Forecasts!O2914,Forecasts!O2920,Forecasts!O2926,Forecasts!O2932,Forecasts!O2938,Forecasts!O2944,Forecasts!O2950)</x:f>
        <x:v>2.3761893352528896</x:v>
      </x:c>
      <x:c r="I128" s="8" t="n">
        <x:f>AVERAGE(Forecasts!M2908,Forecasts!M2914,Forecasts!M2920,Forecasts!M2926,Forecasts!M2932,Forecasts!M2938,Forecasts!M2944,Forecasts!M2950)</x:f>
        <x:v>-0.8896574404855344</x:v>
      </x:c>
      <x:c r="J128" s="8" t="n">
        <x:f>SQRT(AVERAGE(Forecasts!N2123,Forecasts!N2140,Forecasts!N2157,Forecasts!N2174,Forecasts!N2191,Forecasts!N2208,Forecasts!N2224,Forecasts!N2240))</x:f>
        <x:v>3.1622776601683795</x:v>
      </x:c>
      <x:c r="K128" s="8" t="n">
        <x:f>SQRT(AVERAGE(Forecasts!N2125,Forecasts!N2142,Forecasts!N2159,Forecasts!N2176,Forecasts!N2193,Forecasts!N2210,Forecasts!N2226,Forecasts!N2242))</x:f>
        <x:v>2.923776404872274</x:v>
      </x:c>
    </x:row>
    <x:row r="129" ht="26" customHeight="1">
      <x:c r="A129" s="2"/>
      <x:c r="B129" s="2" t="str">
        <x:v>Beauty / organic_sales_growth</x:v>
      </x:c>
      <x:c r="C129" s="2" t="str">
        <x:v>Pre-earnings</x:v>
      </x:c>
      <x:c r="D129" s="2" t="str">
        <x:v>Bias correction</x:v>
      </x:c>
      <x:c r="E129" s="2" t="str">
        <x:v>Recent eight</x:v>
      </x:c>
      <x:c r="F129" s="2" t="n">
        <x:v>8</x:v>
      </x:c>
      <x:c r="G129" s="8" t="n">
        <x:f>SQRT(AVERAGE(Forecasts!N2908,Forecasts!N2914,Forecasts!N2920,Forecasts!N2926,Forecasts!N2932,Forecasts!N2938,Forecasts!N2944,Forecasts!N2950))</x:f>
        <x:v>3.0660015430319363</x:v>
      </x:c>
      <x:c r="H129" s="8" t="n">
        <x:f>AVERAGE(Forecasts!O2908,Forecasts!O2914,Forecasts!O2920,Forecasts!O2926,Forecasts!O2932,Forecasts!O2938,Forecasts!O2944,Forecasts!O2950)</x:f>
        <x:v>2.3761893352528896</x:v>
      </x:c>
      <x:c r="I129" s="8" t="n">
        <x:f>AVERAGE(Forecasts!M2908,Forecasts!M2914,Forecasts!M2920,Forecasts!M2926,Forecasts!M2932,Forecasts!M2938,Forecasts!M2944,Forecasts!M2950)</x:f>
        <x:v>-0.8896574404855344</x:v>
      </x:c>
      <x:c r="J129" s="8" t="n">
        <x:f>SQRT(AVERAGE(Forecasts!N2123,Forecasts!N2140,Forecasts!N2157,Forecasts!N2174,Forecasts!N2191,Forecasts!N2208,Forecasts!N2224,Forecasts!N2240))</x:f>
        <x:v>3.1622776601683795</x:v>
      </x:c>
      <x:c r="K129" s="8" t="n">
        <x:f>SQRT(AVERAGE(Forecasts!N2125,Forecasts!N2142,Forecasts!N2159,Forecasts!N2176,Forecasts!N2193,Forecasts!N2210,Forecasts!N2226,Forecasts!N2242))</x:f>
        <x:v>2.923776404872274</x:v>
      </x:c>
    </x:row>
    <x:row r="130" ht="26" customHeight="1">
      <x:c r="A130" s="2"/>
      <x:c r="B130" s="2" t="str">
        <x:v>Beauty / organic_sales_growth</x:v>
      </x:c>
      <x:c r="C130" s="2" t="str">
        <x:v>Pre-earnings</x:v>
      </x:c>
      <x:c r="D130" s="2" t="str">
        <x:v>Broad lag 1</x:v>
      </x:c>
      <x:c r="E130" s="2" t="str">
        <x:v>All available</x:v>
      </x:c>
      <x:c r="F130" s="2" t="n">
        <x:v>12</x:v>
      </x:c>
      <x:c r="G130" s="8" t="n">
        <x:f>SQRT(AVERAGE(Forecasts!N2059,Forecasts!N2075,Forecasts!N2092,Forecasts!N2109,Forecasts!N2126,Forecasts!N2143,Forecasts!N2160,Forecasts!N2177,Forecasts!N2194,Forecasts!N2211,Forecasts!N2227,Forecasts!N2243))</x:f>
        <x:v>3.5711757663256023</x:v>
      </x:c>
      <x:c r="H130" s="8" t="n">
        <x:f>AVERAGE(Forecasts!O2059,Forecasts!O2075,Forecasts!O2092,Forecasts!O2109,Forecasts!O2126,Forecasts!O2143,Forecasts!O2160,Forecasts!O2177,Forecasts!O2194,Forecasts!O2211,Forecasts!O2227,Forecasts!O2243)</x:f>
        <x:v>2.7875004099849137</x:v>
      </x:c>
      <x:c r="I130" s="8" t="n">
        <x:f>AVERAGE(Forecasts!M2059,Forecasts!M2075,Forecasts!M2092,Forecasts!M2109,Forecasts!M2126,Forecasts!M2143,Forecasts!M2160,Forecasts!M2177,Forecasts!M2194,Forecasts!M2211,Forecasts!M2227,Forecasts!M2243)</x:f>
        <x:v>0.09272529221793176</x:v>
      </x:c>
      <x:c r="J130" s="8" t="n">
        <x:f>SQRT(AVERAGE(Forecasts!N2056,Forecasts!N2072,Forecasts!N2089,Forecasts!N2106,Forecasts!N2123,Forecasts!N2140,Forecasts!N2157,Forecasts!N2174,Forecasts!N2191,Forecasts!N2208,Forecasts!N2224,Forecasts!N2240))</x:f>
        <x:v>3.559026084010437</x:v>
      </x:c>
      <x:c r="K130" s="8" t="n">
        <x:f>SQRT(AVERAGE(Forecasts!N2058,Forecasts!N2074,Forecasts!N2091,Forecasts!N2108,Forecasts!N2125,Forecasts!N2142,Forecasts!N2159,Forecasts!N2176,Forecasts!N2193,Forecasts!N2210,Forecasts!N2226,Forecasts!N2242))</x:f>
        <x:v>3.381410278488883</x:v>
      </x:c>
    </x:row>
    <x:row r="131" ht="26" customHeight="1">
      <x:c r="A131" s="2"/>
      <x:c r="B131" s="2" t="str">
        <x:v>Beauty / organic_sales_growth</x:v>
      </x:c>
      <x:c r="C131" s="2" t="str">
        <x:v>Pre-earnings</x:v>
      </x:c>
      <x:c r="D131" s="2" t="str">
        <x:v>Broad lag 1</x:v>
      </x:c>
      <x:c r="E131" s="2" t="str">
        <x:v>Recent eight</x:v>
      </x:c>
      <x:c r="F131" s="2" t="n">
        <x:v>8</x:v>
      </x:c>
      <x:c r="G131" s="8" t="n">
        <x:f>SQRT(AVERAGE(Forecasts!N2126,Forecasts!N2143,Forecasts!N2160,Forecasts!N2177,Forecasts!N2194,Forecasts!N2211,Forecasts!N2227,Forecasts!N2243))</x:f>
        <x:v>3.180979606807599</x:v>
      </x:c>
      <x:c r="H131" s="8" t="n">
        <x:f>AVERAGE(Forecasts!O2126,Forecasts!O2143,Forecasts!O2160,Forecasts!O2177,Forecasts!O2194,Forecasts!O2211,Forecasts!O2227,Forecasts!O2243)</x:f>
        <x:v>2.6230617542597847</x:v>
      </x:c>
      <x:c r="I131" s="8" t="n">
        <x:f>AVERAGE(Forecasts!M2126,Forecasts!M2143,Forecasts!M2160,Forecasts!M2177,Forecasts!M2194,Forecasts!M2211,Forecasts!M2227,Forecasts!M2243)</x:f>
        <x:v>0.8046092385139354</x:v>
      </x:c>
      <x:c r="J131" s="8" t="n">
        <x:f>SQRT(AVERAGE(Forecasts!N2123,Forecasts!N2140,Forecasts!N2157,Forecasts!N2174,Forecasts!N2191,Forecasts!N2208,Forecasts!N2224,Forecasts!N2240))</x:f>
        <x:v>3.1622776601683795</x:v>
      </x:c>
      <x:c r="K131" s="8" t="n">
        <x:f>SQRT(AVERAGE(Forecasts!N2125,Forecasts!N2142,Forecasts!N2159,Forecasts!N2176,Forecasts!N2193,Forecasts!N2210,Forecasts!N2226,Forecasts!N2242))</x:f>
        <x:v>2.923776404872274</x:v>
      </x:c>
    </x:row>
    <x:row r="132" ht="26" customHeight="1">
      <x:c r="A132" s="2"/>
      <x:c r="B132" s="2" t="str">
        <x:v>Beauty / organic_sales_growth</x:v>
      </x:c>
      <x:c r="C132" s="2" t="str">
        <x:v>Pre-earnings</x:v>
      </x:c>
      <x:c r="D132" s="2" t="str">
        <x:v>Broad market</x:v>
      </x:c>
      <x:c r="E132" s="2" t="str">
        <x:v>All available</x:v>
      </x:c>
      <x:c r="F132" s="2" t="n">
        <x:v>12</x:v>
      </x:c>
      <x:c r="G132" s="8" t="n">
        <x:f>SQRT(AVERAGE(Forecasts!N2058,Forecasts!N2074,Forecasts!N2091,Forecasts!N2108,Forecasts!N2125,Forecasts!N2142,Forecasts!N2159,Forecasts!N2176,Forecasts!N2193,Forecasts!N2210,Forecasts!N2226,Forecasts!N2242))</x:f>
        <x:v>3.381410278488883</x:v>
      </x:c>
      <x:c r="H132" s="8" t="n">
        <x:f>AVERAGE(Forecasts!O2058,Forecasts!O2074,Forecasts!O2091,Forecasts!O2108,Forecasts!O2125,Forecasts!O2142,Forecasts!O2159,Forecasts!O2176,Forecasts!O2193,Forecasts!O2210,Forecasts!O2226,Forecasts!O2242)</x:f>
        <x:v>2.534774109398572</x:v>
      </x:c>
      <x:c r="I132" s="8" t="n">
        <x:f>AVERAGE(Forecasts!M2058,Forecasts!M2074,Forecasts!M2091,Forecasts!M2108,Forecasts!M2125,Forecasts!M2142,Forecasts!M2159,Forecasts!M2176,Forecasts!M2193,Forecasts!M2210,Forecasts!M2226,Forecasts!M2242)</x:f>
        <x:v>0.10963599456428508</x:v>
      </x:c>
      <x:c r="J132" s="8" t="n">
        <x:f>SQRT(AVERAGE(Forecasts!N2056,Forecasts!N2072,Forecasts!N2089,Forecasts!N2106,Forecasts!N2123,Forecasts!N2140,Forecasts!N2157,Forecasts!N2174,Forecasts!N2191,Forecasts!N2208,Forecasts!N2224,Forecasts!N2240))</x:f>
        <x:v>3.559026084010437</x:v>
      </x:c>
      <x:c r="K132" s="8" t="n">
        <x:f>SQRT(AVERAGE(Forecasts!N2058,Forecasts!N2074,Forecasts!N2091,Forecasts!N2108,Forecasts!N2125,Forecasts!N2142,Forecasts!N2159,Forecasts!N2176,Forecasts!N2193,Forecasts!N2210,Forecasts!N2226,Forecasts!N2242))</x:f>
        <x:v>3.381410278488883</x:v>
      </x:c>
    </x:row>
    <x:row r="133" ht="26" customHeight="1">
      <x:c r="A133" s="2"/>
      <x:c r="B133" s="2" t="str">
        <x:v>Beauty / organic_sales_growth</x:v>
      </x:c>
      <x:c r="C133" s="2" t="str">
        <x:v>Pre-earnings</x:v>
      </x:c>
      <x:c r="D133" s="2" t="str">
        <x:v>Broad market</x:v>
      </x:c>
      <x:c r="E133" s="2" t="str">
        <x:v>Recent eight</x:v>
      </x:c>
      <x:c r="F133" s="2" t="n">
        <x:v>8</x:v>
      </x:c>
      <x:c r="G133" s="8" t="n">
        <x:f>SQRT(AVERAGE(Forecasts!N2125,Forecasts!N2142,Forecasts!N2159,Forecasts!N2176,Forecasts!N2193,Forecasts!N2210,Forecasts!N2226,Forecasts!N2242))</x:f>
        <x:v>2.923776404872274</x:v>
      </x:c>
      <x:c r="H133" s="8" t="n">
        <x:f>AVERAGE(Forecasts!O2125,Forecasts!O2142,Forecasts!O2159,Forecasts!O2176,Forecasts!O2193,Forecasts!O2210,Forecasts!O2226,Forecasts!O2242)</x:f>
        <x:v>2.2994342759331374</x:v>
      </x:c>
      <x:c r="I133" s="8" t="n">
        <x:f>AVERAGE(Forecasts!M2125,Forecasts!M2142,Forecasts!M2159,Forecasts!M2176,Forecasts!M2193,Forecasts!M2210,Forecasts!M2226,Forecasts!M2242)</x:f>
        <x:v>0.45240877479768304</x:v>
      </x:c>
      <x:c r="J133" s="8" t="n">
        <x:f>SQRT(AVERAGE(Forecasts!N2123,Forecasts!N2140,Forecasts!N2157,Forecasts!N2174,Forecasts!N2191,Forecasts!N2208,Forecasts!N2224,Forecasts!N2240))</x:f>
        <x:v>3.1622776601683795</x:v>
      </x:c>
      <x:c r="K133" s="8" t="n">
        <x:f>SQRT(AVERAGE(Forecasts!N2125,Forecasts!N2142,Forecasts!N2159,Forecasts!N2176,Forecasts!N2193,Forecasts!N2210,Forecasts!N2226,Forecasts!N2242))</x:f>
        <x:v>2.923776404872274</x:v>
      </x:c>
    </x:row>
    <x:row r="134" ht="26" customHeight="1">
      <x:c r="A134" s="2"/>
      <x:c r="B134" s="2" t="str">
        <x:v>Beauty / organic_sales_growth</x:v>
      </x:c>
      <x:c r="C134" s="2" t="str">
        <x:v>Pre-earnings</x:v>
      </x:c>
      <x:c r="D134" s="2" t="str">
        <x:v>Broad rolling 8</x:v>
      </x:c>
      <x:c r="E134" s="2" t="str">
        <x:v>All available</x:v>
      </x:c>
      <x:c r="F134" s="2" t="n">
        <x:v>12</x:v>
      </x:c>
      <x:c r="G134" s="8" t="n">
        <x:f>SQRT(AVERAGE(Forecasts!N2060,Forecasts!N2076,Forecasts!N2093,Forecasts!N2110,Forecasts!N2127,Forecasts!N2144,Forecasts!N2161,Forecasts!N2178,Forecasts!N2195,Forecasts!N2212,Forecasts!N2228,Forecasts!N2244))</x:f>
        <x:v>4.090994284039971</x:v>
      </x:c>
      <x:c r="H134" s="8" t="n">
        <x:f>AVERAGE(Forecasts!O2060,Forecasts!O2076,Forecasts!O2093,Forecasts!O2110,Forecasts!O2127,Forecasts!O2144,Forecasts!O2161,Forecasts!O2178,Forecasts!O2195,Forecasts!O2212,Forecasts!O2228,Forecasts!O2244)</x:f>
        <x:v>3.293539249990788</x:v>
      </x:c>
      <x:c r="I134" s="8" t="n">
        <x:f>AVERAGE(Forecasts!M2060,Forecasts!M2076,Forecasts!M2093,Forecasts!M2110,Forecasts!M2127,Forecasts!M2144,Forecasts!M2161,Forecasts!M2178,Forecasts!M2195,Forecasts!M2212,Forecasts!M2228,Forecasts!M2244)</x:f>
        <x:v>-0.06503831330435779</x:v>
      </x:c>
      <x:c r="J134" s="8" t="n">
        <x:f>SQRT(AVERAGE(Forecasts!N2056,Forecasts!N2072,Forecasts!N2089,Forecasts!N2106,Forecasts!N2123,Forecasts!N2140,Forecasts!N2157,Forecasts!N2174,Forecasts!N2191,Forecasts!N2208,Forecasts!N2224,Forecasts!N2240))</x:f>
        <x:v>3.559026084010437</x:v>
      </x:c>
      <x:c r="K134" s="8" t="n">
        <x:f>SQRT(AVERAGE(Forecasts!N2058,Forecasts!N2074,Forecasts!N2091,Forecasts!N2108,Forecasts!N2125,Forecasts!N2142,Forecasts!N2159,Forecasts!N2176,Forecasts!N2193,Forecasts!N2210,Forecasts!N2226,Forecasts!N2242))</x:f>
        <x:v>3.381410278488883</x:v>
      </x:c>
    </x:row>
    <x:row r="135" ht="26" customHeight="1">
      <x:c r="A135" s="2"/>
      <x:c r="B135" s="2" t="str">
        <x:v>Beauty / organic_sales_growth</x:v>
      </x:c>
      <x:c r="C135" s="2" t="str">
        <x:v>Pre-earnings</x:v>
      </x:c>
      <x:c r="D135" s="2" t="str">
        <x:v>Broad rolling 8</x:v>
      </x:c>
      <x:c r="E135" s="2" t="str">
        <x:v>Recent eight</x:v>
      </x:c>
      <x:c r="F135" s="2" t="n">
        <x:v>8</x:v>
      </x:c>
      <x:c r="G135" s="8" t="n">
        <x:f>SQRT(AVERAGE(Forecasts!N2127,Forecasts!N2144,Forecasts!N2161,Forecasts!N2178,Forecasts!N2195,Forecasts!N2212,Forecasts!N2228,Forecasts!N2244))</x:f>
        <x:v>3.4331112506573347</x:v>
      </x:c>
      <x:c r="H135" s="8" t="n">
        <x:f>AVERAGE(Forecasts!O2127,Forecasts!O2144,Forecasts!O2161,Forecasts!O2178,Forecasts!O2195,Forecasts!O2212,Forecasts!O2228,Forecasts!O2244)</x:f>
        <x:v>2.979328955999021</x:v>
      </x:c>
      <x:c r="I135" s="8" t="n">
        <x:f>AVERAGE(Forecasts!M2127,Forecasts!M2144,Forecasts!M2161,Forecasts!M2178,Forecasts!M2195,Forecasts!M2212,Forecasts!M2228,Forecasts!M2244)</x:f>
        <x:v>-0.13218970448058243</x:v>
      </x:c>
      <x:c r="J135" s="8" t="n">
        <x:f>SQRT(AVERAGE(Forecasts!N2123,Forecasts!N2140,Forecasts!N2157,Forecasts!N2174,Forecasts!N2191,Forecasts!N2208,Forecasts!N2224,Forecasts!N2240))</x:f>
        <x:v>3.1622776601683795</x:v>
      </x:c>
      <x:c r="K135" s="8" t="n">
        <x:f>SQRT(AVERAGE(Forecasts!N2125,Forecasts!N2142,Forecasts!N2159,Forecasts!N2176,Forecasts!N2193,Forecasts!N2210,Forecasts!N2226,Forecasts!N2242))</x:f>
        <x:v>2.923776404872274</x:v>
      </x:c>
    </x:row>
    <x:row r="136" ht="26" customHeight="1">
      <x:c r="A136" s="2"/>
      <x:c r="B136" s="2" t="str">
        <x:v>Beauty / organic_sales_growth</x:v>
      </x:c>
      <x:c r="C136" s="2" t="str">
        <x:v>Pre-earnings</x:v>
      </x:c>
      <x:c r="D136" s="2" t="str">
        <x:v>Four-quarter mean</x:v>
      </x:c>
      <x:c r="E136" s="2" t="str">
        <x:v>All available</x:v>
      </x:c>
      <x:c r="F136" s="2" t="n">
        <x:v>12</x:v>
      </x:c>
      <x:c r="G136" s="8" t="n">
        <x:f>SQRT(AVERAGE(Forecasts!N2057,Forecasts!N2073,Forecasts!N2090,Forecasts!N2107,Forecasts!N2124,Forecasts!N2141,Forecasts!N2158,Forecasts!N2175,Forecasts!N2192,Forecasts!N2209,Forecasts!N2225,Forecasts!N2241))</x:f>
        <x:v>3.7652467825274525</x:v>
      </x:c>
      <x:c r="H136" s="8" t="n">
        <x:f>AVERAGE(Forecasts!O2057,Forecasts!O2073,Forecasts!O2090,Forecasts!O2107,Forecasts!O2124,Forecasts!O2141,Forecasts!O2158,Forecasts!O2175,Forecasts!O2192,Forecasts!O2209,Forecasts!O2225,Forecasts!O2241)</x:f>
        <x:v>3</x:v>
      </x:c>
      <x:c r="I136" s="8" t="n">
        <x:f>AVERAGE(Forecasts!M2057,Forecasts!M2073,Forecasts!M2090,Forecasts!M2107,Forecasts!M2124,Forecasts!M2141,Forecasts!M2158,Forecasts!M2175,Forecasts!M2192,Forecasts!M2209,Forecasts!M2225,Forecasts!M2241)</x:f>
        <x:v>-0.16666666666666666</x:v>
      </x:c>
      <x:c r="J136" s="8" t="n">
        <x:f>SQRT(AVERAGE(Forecasts!N2056,Forecasts!N2072,Forecasts!N2089,Forecasts!N2106,Forecasts!N2123,Forecasts!N2140,Forecasts!N2157,Forecasts!N2174,Forecasts!N2191,Forecasts!N2208,Forecasts!N2224,Forecasts!N2240))</x:f>
        <x:v>3.559026084010437</x:v>
      </x:c>
      <x:c r="K136" s="8" t="n">
        <x:f>SQRT(AVERAGE(Forecasts!N2058,Forecasts!N2074,Forecasts!N2091,Forecasts!N2108,Forecasts!N2125,Forecasts!N2142,Forecasts!N2159,Forecasts!N2176,Forecasts!N2193,Forecasts!N2210,Forecasts!N2226,Forecasts!N2242))</x:f>
        <x:v>3.381410278488883</x:v>
      </x:c>
    </x:row>
    <x:row r="137" ht="26" customHeight="1">
      <x:c r="A137" s="2"/>
      <x:c r="B137" s="2" t="str">
        <x:v>Beauty / organic_sales_growth</x:v>
      </x:c>
      <x:c r="C137" s="2" t="str">
        <x:v>Pre-earnings</x:v>
      </x:c>
      <x:c r="D137" s="2" t="str">
        <x:v>Four-quarter mean</x:v>
      </x:c>
      <x:c r="E137" s="2" t="str">
        <x:v>Recent eight</x:v>
      </x:c>
      <x:c r="F137" s="2" t="n">
        <x:v>8</x:v>
      </x:c>
      <x:c r="G137" s="8" t="n">
        <x:f>SQRT(AVERAGE(Forecasts!N2124,Forecasts!N2141,Forecasts!N2158,Forecasts!N2175,Forecasts!N2192,Forecasts!N2209,Forecasts!N2225,Forecasts!N2241))</x:f>
        <x:v>3.0220543509341455</x:v>
      </x:c>
      <x:c r="H137" s="8" t="n">
        <x:f>AVERAGE(Forecasts!O2124,Forecasts!O2141,Forecasts!O2158,Forecasts!O2175,Forecasts!O2192,Forecasts!O2209,Forecasts!O2225,Forecasts!O2241)</x:f>
        <x:v>2.34375</x:v>
      </x:c>
      <x:c r="I137" s="8" t="n">
        <x:f>AVERAGE(Forecasts!M2124,Forecasts!M2141,Forecasts!M2158,Forecasts!M2175,Forecasts!M2192,Forecasts!M2209,Forecasts!M2225,Forecasts!M2241)</x:f>
        <x:v>-0.53125</x:v>
      </x:c>
      <x:c r="J137" s="8" t="n">
        <x:f>SQRT(AVERAGE(Forecasts!N2123,Forecasts!N2140,Forecasts!N2157,Forecasts!N2174,Forecasts!N2191,Forecasts!N2208,Forecasts!N2224,Forecasts!N2240))</x:f>
        <x:v>3.1622776601683795</x:v>
      </x:c>
      <x:c r="K137" s="8" t="n">
        <x:f>SQRT(AVERAGE(Forecasts!N2125,Forecasts!N2142,Forecasts!N2159,Forecasts!N2176,Forecasts!N2193,Forecasts!N2210,Forecasts!N2226,Forecasts!N2242))</x:f>
        <x:v>2.923776404872274</x:v>
      </x:c>
    </x:row>
    <x:row r="138" ht="26" customHeight="1">
      <x:c r="A138" s="2"/>
      <x:c r="B138" s="2" t="str">
        <x:v>Beauty / organic_sales_growth</x:v>
      </x:c>
      <x:c r="C138" s="2" t="str">
        <x:v>Pre-earnings</x:v>
      </x:c>
      <x:c r="D138" s="2" t="str">
        <x:v>Half correction</x:v>
      </x:c>
      <x:c r="E138" s="2" t="str">
        <x:v>All available</x:v>
      </x:c>
      <x:c r="F138" s="2" t="n">
        <x:v>8</x:v>
      </x:c>
      <x:c r="G138" s="8" t="n">
        <x:f>SQRT(AVERAGE(Forecasts!N2909,Forecasts!N2915,Forecasts!N2921,Forecasts!N2927,Forecasts!N2933,Forecasts!N2939,Forecasts!N2945,Forecasts!N2951))</x:f>
        <x:v>2.866858675672089</x:v>
      </x:c>
      <x:c r="H138" s="8" t="n">
        <x:f>AVERAGE(Forecasts!O2909,Forecasts!O2915,Forecasts!O2921,Forecasts!O2927,Forecasts!O2933,Forecasts!O2939,Forecasts!O2945,Forecasts!O2951)</x:f>
        <x:v>2.2011099437440067</x:v>
      </x:c>
      <x:c r="I138" s="8" t="n">
        <x:f>AVERAGE(Forecasts!M2909,Forecasts!M2915,Forecasts!M2921,Forecasts!M2927,Forecasts!M2933,Forecasts!M2939,Forecasts!M2945,Forecasts!M2951)</x:f>
        <x:v>-0.21862433284392546</x:v>
      </x:c>
      <x:c r="J138" s="8" t="n">
        <x:f>SQRT(AVERAGE(Forecasts!N2123,Forecasts!N2140,Forecasts!N2157,Forecasts!N2174,Forecasts!N2191,Forecasts!N2208,Forecasts!N2224,Forecasts!N2240))</x:f>
        <x:v>3.1622776601683795</x:v>
      </x:c>
      <x:c r="K138" s="8" t="n">
        <x:f>SQRT(AVERAGE(Forecasts!N2125,Forecasts!N2142,Forecasts!N2159,Forecasts!N2176,Forecasts!N2193,Forecasts!N2210,Forecasts!N2226,Forecasts!N2242))</x:f>
        <x:v>2.923776404872274</x:v>
      </x:c>
    </x:row>
    <x:row r="139" ht="26" customHeight="1">
      <x:c r="A139" s="2"/>
      <x:c r="B139" s="2" t="str">
        <x:v>Beauty / organic_sales_growth</x:v>
      </x:c>
      <x:c r="C139" s="2" t="str">
        <x:v>Pre-earnings</x:v>
      </x:c>
      <x:c r="D139" s="2" t="str">
        <x:v>Half correction</x:v>
      </x:c>
      <x:c r="E139" s="2" t="str">
        <x:v>Recent eight</x:v>
      </x:c>
      <x:c r="F139" s="2" t="n">
        <x:v>8</x:v>
      </x:c>
      <x:c r="G139" s="8" t="n">
        <x:f>SQRT(AVERAGE(Forecasts!N2909,Forecasts!N2915,Forecasts!N2921,Forecasts!N2927,Forecasts!N2933,Forecasts!N2939,Forecasts!N2945,Forecasts!N2951))</x:f>
        <x:v>2.866858675672089</x:v>
      </x:c>
      <x:c r="H139" s="8" t="n">
        <x:f>AVERAGE(Forecasts!O2909,Forecasts!O2915,Forecasts!O2921,Forecasts!O2927,Forecasts!O2933,Forecasts!O2939,Forecasts!O2945,Forecasts!O2951)</x:f>
        <x:v>2.2011099437440067</x:v>
      </x:c>
      <x:c r="I139" s="8" t="n">
        <x:f>AVERAGE(Forecasts!M2909,Forecasts!M2915,Forecasts!M2921,Forecasts!M2927,Forecasts!M2933,Forecasts!M2939,Forecasts!M2945,Forecasts!M2951)</x:f>
        <x:v>-0.21862433284392546</x:v>
      </x:c>
      <x:c r="J139" s="8" t="n">
        <x:f>SQRT(AVERAGE(Forecasts!N2123,Forecasts!N2140,Forecasts!N2157,Forecasts!N2174,Forecasts!N2191,Forecasts!N2208,Forecasts!N2224,Forecasts!N2240))</x:f>
        <x:v>3.1622776601683795</x:v>
      </x:c>
      <x:c r="K139" s="8" t="n">
        <x:f>SQRT(AVERAGE(Forecasts!N2125,Forecasts!N2142,Forecasts!N2159,Forecasts!N2176,Forecasts!N2193,Forecasts!N2210,Forecasts!N2226,Forecasts!N2242))</x:f>
        <x:v>2.923776404872274</x:v>
      </x:c>
    </x:row>
    <x:row r="140" ht="26" customHeight="1">
      <x:c r="A140" s="2"/>
      <x:c r="B140" s="2" t="str">
        <x:v>Beauty / organic_sales_growth</x:v>
      </x:c>
      <x:c r="C140" s="2" t="str">
        <x:v>Pre-earnings</x:v>
      </x:c>
      <x:c r="D140" s="2" t="str">
        <x:v>Last actual</x:v>
      </x:c>
      <x:c r="E140" s="2" t="str">
        <x:v>All available</x:v>
      </x:c>
      <x:c r="F140" s="2" t="n">
        <x:v>12</x:v>
      </x:c>
      <x:c r="G140" s="8" t="n">
        <x:f>SQRT(AVERAGE(Forecasts!N2056,Forecasts!N2072,Forecasts!N2089,Forecasts!N2106,Forecasts!N2123,Forecasts!N2140,Forecasts!N2157,Forecasts!N2174,Forecasts!N2191,Forecasts!N2208,Forecasts!N2224,Forecasts!N2240))</x:f>
        <x:v>3.559026084010437</x:v>
      </x:c>
      <x:c r="H140" s="8" t="n">
        <x:f>AVERAGE(Forecasts!O2056,Forecasts!O2072,Forecasts!O2089,Forecasts!O2106,Forecasts!O2123,Forecasts!O2140,Forecasts!O2157,Forecasts!O2174,Forecasts!O2191,Forecasts!O2208,Forecasts!O2224,Forecasts!O2240)</x:f>
        <x:v>3</x:v>
      </x:c>
      <x:c r="I140" s="8" t="n">
        <x:f>AVERAGE(Forecasts!M2056,Forecasts!M2072,Forecasts!M2089,Forecasts!M2106,Forecasts!M2123,Forecasts!M2140,Forecasts!M2157,Forecasts!M2174,Forecasts!M2191,Forecasts!M2208,Forecasts!M2224,Forecasts!M2240)</x:f>
        <x:v>0</x:v>
      </x:c>
      <x:c r="J140" s="8" t="n">
        <x:f>SQRT(AVERAGE(Forecasts!N2056,Forecasts!N2072,Forecasts!N2089,Forecasts!N2106,Forecasts!N2123,Forecasts!N2140,Forecasts!N2157,Forecasts!N2174,Forecasts!N2191,Forecasts!N2208,Forecasts!N2224,Forecasts!N2240))</x:f>
        <x:v>3.559026084010437</x:v>
      </x:c>
      <x:c r="K140" s="8" t="n">
        <x:f>SQRT(AVERAGE(Forecasts!N2058,Forecasts!N2074,Forecasts!N2091,Forecasts!N2108,Forecasts!N2125,Forecasts!N2142,Forecasts!N2159,Forecasts!N2176,Forecasts!N2193,Forecasts!N2210,Forecasts!N2226,Forecasts!N2242))</x:f>
        <x:v>3.381410278488883</x:v>
      </x:c>
    </x:row>
    <x:row r="141" ht="26" customHeight="1">
      <x:c r="A141" s="2"/>
      <x:c r="B141" s="2" t="str">
        <x:v>Beauty / organic_sales_growth</x:v>
      </x:c>
      <x:c r="C141" s="2" t="str">
        <x:v>Pre-earnings</x:v>
      </x:c>
      <x:c r="D141" s="2" t="str">
        <x:v>Last actual</x:v>
      </x:c>
      <x:c r="E141" s="2" t="str">
        <x:v>Recent eight</x:v>
      </x:c>
      <x:c r="F141" s="2" t="n">
        <x:v>8</x:v>
      </x:c>
      <x:c r="G141" s="8" t="n">
        <x:f>SQRT(AVERAGE(Forecasts!N2123,Forecasts!N2140,Forecasts!N2157,Forecasts!N2174,Forecasts!N2191,Forecasts!N2208,Forecasts!N2224,Forecasts!N2240))</x:f>
        <x:v>3.1622776601683795</x:v>
      </x:c>
      <x:c r="H141" s="8" t="n">
        <x:f>AVERAGE(Forecasts!O2123,Forecasts!O2140,Forecasts!O2157,Forecasts!O2174,Forecasts!O2191,Forecasts!O2208,Forecasts!O2224,Forecasts!O2240)</x:f>
        <x:v>2.5</x:v>
      </x:c>
      <x:c r="I141" s="8" t="n">
        <x:f>AVERAGE(Forecasts!M2123,Forecasts!M2140,Forecasts!M2157,Forecasts!M2174,Forecasts!M2191,Forecasts!M2208,Forecasts!M2224,Forecasts!M2240)</x:f>
        <x:v>-0.5</x:v>
      </x:c>
      <x:c r="J141" s="8" t="n">
        <x:f>SQRT(AVERAGE(Forecasts!N2123,Forecasts!N2140,Forecasts!N2157,Forecasts!N2174,Forecasts!N2191,Forecasts!N2208,Forecasts!N2224,Forecasts!N2240))</x:f>
        <x:v>3.1622776601683795</x:v>
      </x:c>
      <x:c r="K141" s="8" t="n">
        <x:f>SQRT(AVERAGE(Forecasts!N2125,Forecasts!N2142,Forecasts!N2159,Forecasts!N2176,Forecasts!N2193,Forecasts!N2210,Forecasts!N2226,Forecasts!N2242))</x:f>
        <x:v>2.923776404872274</x:v>
      </x:c>
    </x:row>
    <x:row r="142" ht="26" customHeight="1">
      <x:c r="A142" s="2"/>
      <x:c r="B142" s="2" t="str">
        <x:v>Beauty / organic_sales_growth</x:v>
      </x:c>
      <x:c r="C142" s="2" t="str">
        <x:v>Pre-earnings</x:v>
      </x:c>
      <x:c r="D142" s="2" t="str">
        <x:v>Own history</x:v>
      </x:c>
      <x:c r="E142" s="2" t="str">
        <x:v>All available</x:v>
      </x:c>
      <x:c r="F142" s="2" t="n">
        <x:v>12</x:v>
      </x:c>
      <x:c r="G142" s="8" t="n">
        <x:f>SQRT(AVERAGE(Forecasts!N2061,Forecasts!N2077,Forecasts!N2094,Forecasts!N2111,Forecasts!N2128,Forecasts!N2145,Forecasts!N2162,Forecasts!N2179,Forecasts!N2196,Forecasts!N2213,Forecasts!N2229,Forecasts!N2245))</x:f>
        <x:v>3.3889440731047102</x:v>
      </x:c>
      <x:c r="H142" s="8" t="n">
        <x:f>AVERAGE(Forecasts!O2061,Forecasts!O2077,Forecasts!O2094,Forecasts!O2111,Forecasts!O2128,Forecasts!O2145,Forecasts!O2162,Forecasts!O2179,Forecasts!O2196,Forecasts!O2213,Forecasts!O2229,Forecasts!O2245)</x:f>
        <x:v>2.626581599682592</x:v>
      </x:c>
      <x:c r="I142" s="8" t="n">
        <x:f>AVERAGE(Forecasts!M2061,Forecasts!M2077,Forecasts!M2094,Forecasts!M2111,Forecasts!M2128,Forecasts!M2145,Forecasts!M2162,Forecasts!M2179,Forecasts!M2196,Forecasts!M2213,Forecasts!M2229,Forecasts!M2245)</x:f>
        <x:v>0.006614933819297009</x:v>
      </x:c>
      <x:c r="J142" s="8" t="n">
        <x:f>SQRT(AVERAGE(Forecasts!N2056,Forecasts!N2072,Forecasts!N2089,Forecasts!N2106,Forecasts!N2123,Forecasts!N2140,Forecasts!N2157,Forecasts!N2174,Forecasts!N2191,Forecasts!N2208,Forecasts!N2224,Forecasts!N2240))</x:f>
        <x:v>3.559026084010437</x:v>
      </x:c>
      <x:c r="K142" s="8" t="n">
        <x:f>SQRT(AVERAGE(Forecasts!N2058,Forecasts!N2074,Forecasts!N2091,Forecasts!N2108,Forecasts!N2125,Forecasts!N2142,Forecasts!N2159,Forecasts!N2176,Forecasts!N2193,Forecasts!N2210,Forecasts!N2226,Forecasts!N2242))</x:f>
        <x:v>3.381410278488883</x:v>
      </x:c>
    </x:row>
    <x:row r="143" ht="26" customHeight="1">
      <x:c r="A143" s="2"/>
      <x:c r="B143" s="2" t="str">
        <x:v>Beauty / organic_sales_growth</x:v>
      </x:c>
      <x:c r="C143" s="2" t="str">
        <x:v>Pre-earnings</x:v>
      </x:c>
      <x:c r="D143" s="2" t="str">
        <x:v>Own history</x:v>
      </x:c>
      <x:c r="E143" s="2" t="str">
        <x:v>Recent eight</x:v>
      </x:c>
      <x:c r="F143" s="2" t="n">
        <x:v>8</x:v>
      </x:c>
      <x:c r="G143" s="8" t="n">
        <x:f>SQRT(AVERAGE(Forecasts!N2128,Forecasts!N2145,Forecasts!N2162,Forecasts!N2179,Forecasts!N2196,Forecasts!N2213,Forecasts!N2229,Forecasts!N2245))</x:f>
        <x:v>2.7692488368135746</x:v>
      </x:c>
      <x:c r="H143" s="8" t="n">
        <x:f>AVERAGE(Forecasts!O2128,Forecasts!O2145,Forecasts!O2162,Forecasts!O2179,Forecasts!O2196,Forecasts!O2213,Forecasts!O2229,Forecasts!O2245)</x:f>
        <x:v>2.1101803059637767</x:v>
      </x:c>
      <x:c r="I143" s="8" t="n">
        <x:f>AVERAGE(Forecasts!M2128,Forecasts!M2145,Forecasts!M2162,Forecasts!M2179,Forecasts!M2196,Forecasts!M2213,Forecasts!M2229,Forecasts!M2245)</x:f>
        <x:v>0.006208224200542067</x:v>
      </x:c>
      <x:c r="J143" s="8" t="n">
        <x:f>SQRT(AVERAGE(Forecasts!N2123,Forecasts!N2140,Forecasts!N2157,Forecasts!N2174,Forecasts!N2191,Forecasts!N2208,Forecasts!N2224,Forecasts!N2240))</x:f>
        <x:v>3.1622776601683795</x:v>
      </x:c>
      <x:c r="K143" s="8" t="n">
        <x:f>SQRT(AVERAGE(Forecasts!N2125,Forecasts!N2142,Forecasts!N2159,Forecasts!N2176,Forecasts!N2193,Forecasts!N2210,Forecasts!N2226,Forecasts!N2242))</x:f>
        <x:v>2.923776404872274</x:v>
      </x:c>
    </x:row>
    <x:row r="144" ht="26" customHeight="1">
      <x:c r="A144" s="2"/>
      <x:c r="B144" s="2" t="str">
        <x:v>Beauty / organic_volume_growth</x:v>
      </x:c>
      <x:c r="C144" s="2" t="str">
        <x:v>Origin</x:v>
      </x:c>
      <x:c r="D144" s="2" t="str">
        <x:v>Bias correction</x:v>
      </x:c>
      <x:c r="E144" s="2" t="str">
        <x:v>All available</x:v>
      </x:c>
      <x:c r="F144" s="2" t="n">
        <x:v>7</x:v>
      </x:c>
      <x:c r="G144" s="8" t="n">
        <x:f>SQRT(AVERAGE(Forecasts!N2680,Forecasts!N2686,Forecasts!N2692,Forecasts!N2698,Forecasts!N2704,Forecasts!N2710,Forecasts!N2716))</x:f>
        <x:v>1.8503347850543184</x:v>
      </x:c>
      <x:c r="H144" s="8" t="n">
        <x:f>AVERAGE(Forecasts!O2680,Forecasts!O2686,Forecasts!O2692,Forecasts!O2698,Forecasts!O2704,Forecasts!O2710,Forecasts!O2716)</x:f>
        <x:v>1.38398324486938</x:v>
      </x:c>
      <x:c r="I144" s="8" t="n">
        <x:f>AVERAGE(Forecasts!M2680,Forecasts!M2686,Forecasts!M2692,Forecasts!M2698,Forecasts!M2704,Forecasts!M2710,Forecasts!M2716)</x:f>
        <x:v>-1.0526701489716903</x:v>
      </x:c>
      <x:c r="J144" s="8" t="n">
        <x:f>SQRT(AVERAGE(Forecasts!N1165,Forecasts!N1182,Forecasts!N1198,Forecasts!N1214,Forecasts!N1230,Forecasts!N1246,Forecasts!N1262))</x:f>
        <x:v>1.6035674514745464</x:v>
      </x:c>
      <x:c r="K144" s="8" t="n">
        <x:f>SQRT(AVERAGE(Forecasts!N1167,Forecasts!N1184,Forecasts!N1200,Forecasts!N1216,Forecasts!N1232,Forecasts!N1248,Forecasts!N1264))</x:f>
        <x:v>2.808834512665404</x:v>
      </x:c>
    </x:row>
    <x:row r="145" ht="26" customHeight="1">
      <x:c r="A145" s="2"/>
      <x:c r="B145" s="2" t="str">
        <x:v>Beauty / organic_volume_growth</x:v>
      </x:c>
      <x:c r="C145" s="2" t="str">
        <x:v>Origin</x:v>
      </x:c>
      <x:c r="D145" s="2" t="str">
        <x:v>Bias correction</x:v>
      </x:c>
      <x:c r="E145" s="2" t="str">
        <x:v>Recent eight</x:v>
      </x:c>
      <x:c r="F145" s="2" t="n">
        <x:v>7</x:v>
      </x:c>
      <x:c r="G145" s="8" t="n">
        <x:f>SQRT(AVERAGE(Forecasts!N2680,Forecasts!N2686,Forecasts!N2692,Forecasts!N2698,Forecasts!N2704,Forecasts!N2710,Forecasts!N2716))</x:f>
        <x:v>1.8503347850543184</x:v>
      </x:c>
      <x:c r="H145" s="8" t="n">
        <x:f>AVERAGE(Forecasts!O2680,Forecasts!O2686,Forecasts!O2692,Forecasts!O2698,Forecasts!O2704,Forecasts!O2710,Forecasts!O2716)</x:f>
        <x:v>1.38398324486938</x:v>
      </x:c>
      <x:c r="I145" s="8" t="n">
        <x:f>AVERAGE(Forecasts!M2680,Forecasts!M2686,Forecasts!M2692,Forecasts!M2698,Forecasts!M2704,Forecasts!M2710,Forecasts!M2716)</x:f>
        <x:v>-1.0526701489716903</x:v>
      </x:c>
      <x:c r="J145" s="8" t="n">
        <x:f>SQRT(AVERAGE(Forecasts!N1165,Forecasts!N1182,Forecasts!N1198,Forecasts!N1214,Forecasts!N1230,Forecasts!N1246,Forecasts!N1262))</x:f>
        <x:v>1.6035674514745464</x:v>
      </x:c>
      <x:c r="K145" s="8" t="n">
        <x:f>SQRT(AVERAGE(Forecasts!N1167,Forecasts!N1184,Forecasts!N1200,Forecasts!N1216,Forecasts!N1232,Forecasts!N1248,Forecasts!N1264))</x:f>
        <x:v>2.808834512665404</x:v>
      </x:c>
    </x:row>
    <x:row r="146" ht="26" customHeight="1">
      <x:c r="A146" s="2"/>
      <x:c r="B146" s="2" t="str">
        <x:v>Beauty / organic_volume_growth</x:v>
      </x:c>
      <x:c r="C146" s="2" t="str">
        <x:v>Origin</x:v>
      </x:c>
      <x:c r="D146" s="2" t="str">
        <x:v>Broad market</x:v>
      </x:c>
      <x:c r="E146" s="2" t="str">
        <x:v>All available</x:v>
      </x:c>
      <x:c r="F146" s="2" t="n">
        <x:v>12</x:v>
      </x:c>
      <x:c r="G146" s="8" t="n">
        <x:f>SQRT(AVERAGE(Forecasts!N1088,Forecasts!N1103,Forecasts!N1119,Forecasts!N1135,Forecasts!N1151,Forecasts!N1167,Forecasts!N1184,Forecasts!N1200,Forecasts!N1216,Forecasts!N1232,Forecasts!N1248,Forecasts!N1264))</x:f>
        <x:v>2.3210816817706306</x:v>
      </x:c>
      <x:c r="H146" s="8" t="n">
        <x:f>AVERAGE(Forecasts!O1088,Forecasts!O1103,Forecasts!O1119,Forecasts!O1135,Forecasts!O1151,Forecasts!O1167,Forecasts!O1184,Forecasts!O1200,Forecasts!O1216,Forecasts!O1232,Forecasts!O1248,Forecasts!O1264)</x:f>
        <x:v>1.8264183115332508</x:v>
      </x:c>
      <x:c r="I146" s="8" t="n">
        <x:f>AVERAGE(Forecasts!M1088,Forecasts!M1103,Forecasts!M1119,Forecasts!M1135,Forecasts!M1151,Forecasts!M1167,Forecasts!M1184,Forecasts!M1200,Forecasts!M1216,Forecasts!M1232,Forecasts!M1248,Forecasts!M1264)</x:f>
        <x:v>-1.8264183115332508</x:v>
      </x:c>
      <x:c r="J146" s="8" t="n">
        <x:f>SQRT(AVERAGE(Forecasts!N1086,Forecasts!N1101,Forecasts!N1117,Forecasts!N1133,Forecasts!N1149,Forecasts!N1165,Forecasts!N1182,Forecasts!N1198,Forecasts!N1214,Forecasts!N1230,Forecasts!N1246,Forecasts!N1262))</x:f>
        <x:v>1.632993161855452</x:v>
      </x:c>
      <x:c r="K146" s="8" t="n">
        <x:f>SQRT(AVERAGE(Forecasts!N1088,Forecasts!N1103,Forecasts!N1119,Forecasts!N1135,Forecasts!N1151,Forecasts!N1167,Forecasts!N1184,Forecasts!N1200,Forecasts!N1216,Forecasts!N1232,Forecasts!N1248,Forecasts!N1264))</x:f>
        <x:v>2.3210816817706306</x:v>
      </x:c>
    </x:row>
    <x:row r="147" ht="26" customHeight="1">
      <x:c r="A147" s="2"/>
      <x:c r="B147" s="2" t="str">
        <x:v>Beauty / organic_volume_growth</x:v>
      </x:c>
      <x:c r="C147" s="2" t="str">
        <x:v>Origin</x:v>
      </x:c>
      <x:c r="D147" s="2" t="str">
        <x:v>Broad market</x:v>
      </x:c>
      <x:c r="E147" s="2" t="str">
        <x:v>Recent eight</x:v>
      </x:c>
      <x:c r="F147" s="2" t="n">
        <x:v>8</x:v>
      </x:c>
      <x:c r="G147" s="8" t="n">
        <x:f>SQRT(AVERAGE(Forecasts!N1151,Forecasts!N1167,Forecasts!N1184,Forecasts!N1200,Forecasts!N1216,Forecasts!N1232,Forecasts!N1248,Forecasts!N1264))</x:f>
        <x:v>2.711619042837244</x:v>
      </x:c>
      <x:c r="H147" s="8" t="n">
        <x:f>AVERAGE(Forecasts!O1151,Forecasts!O1167,Forecasts!O1184,Forecasts!O1200,Forecasts!O1216,Forecasts!O1232,Forecasts!O1248,Forecasts!O1264)</x:f>
        <x:v>2.2394492216667667</x:v>
      </x:c>
      <x:c r="I147" s="8" t="n">
        <x:f>AVERAGE(Forecasts!M1151,Forecasts!M1167,Forecasts!M1184,Forecasts!M1200,Forecasts!M1216,Forecasts!M1232,Forecasts!M1248,Forecasts!M1264)</x:f>
        <x:v>-2.2394492216667667</x:v>
      </x:c>
      <x:c r="J147" s="8" t="n">
        <x:f>SQRT(AVERAGE(Forecasts!N1149,Forecasts!N1165,Forecasts!N1182,Forecasts!N1198,Forecasts!N1214,Forecasts!N1230,Forecasts!N1246,Forecasts!N1262))</x:f>
        <x:v>1.6583123951777</x:v>
      </x:c>
      <x:c r="K147" s="8" t="n">
        <x:f>SQRT(AVERAGE(Forecasts!N1151,Forecasts!N1167,Forecasts!N1184,Forecasts!N1200,Forecasts!N1216,Forecasts!N1232,Forecasts!N1248,Forecasts!N1264))</x:f>
        <x:v>2.711619042837244</x:v>
      </x:c>
    </x:row>
    <x:row r="148" ht="26" customHeight="1">
      <x:c r="A148" s="2"/>
      <x:c r="B148" s="2" t="str">
        <x:v>Beauty / organic_volume_growth</x:v>
      </x:c>
      <x:c r="C148" s="2" t="str">
        <x:v>Origin</x:v>
      </x:c>
      <x:c r="D148" s="2" t="str">
        <x:v>Broad rolling 8</x:v>
      </x:c>
      <x:c r="E148" s="2" t="str">
        <x:v>All available</x:v>
      </x:c>
      <x:c r="F148" s="2" t="n">
        <x:v>12</x:v>
      </x:c>
      <x:c r="G148" s="8" t="n">
        <x:f>SQRT(AVERAGE(Forecasts!N1089,Forecasts!N1104,Forecasts!N1120,Forecasts!N1136,Forecasts!N1152,Forecasts!N1168,Forecasts!N1185,Forecasts!N1201,Forecasts!N1217,Forecasts!N1233,Forecasts!N1249,Forecasts!N1265))</x:f>
        <x:v>1.9372393200039149</x:v>
      </x:c>
      <x:c r="H148" s="8" t="n">
        <x:f>AVERAGE(Forecasts!O1089,Forecasts!O1104,Forecasts!O1120,Forecasts!O1136,Forecasts!O1152,Forecasts!O1168,Forecasts!O1185,Forecasts!O1201,Forecasts!O1217,Forecasts!O1233,Forecasts!O1249,Forecasts!O1265)</x:f>
        <x:v>1.5150568789141976</x:v>
      </x:c>
      <x:c r="I148" s="8" t="n">
        <x:f>AVERAGE(Forecasts!M1089,Forecasts!M1104,Forecasts!M1120,Forecasts!M1136,Forecasts!M1152,Forecasts!M1168,Forecasts!M1185,Forecasts!M1201,Forecasts!M1217,Forecasts!M1233,Forecasts!M1249,Forecasts!M1265)</x:f>
        <x:v>-1.365891534257603</x:v>
      </x:c>
      <x:c r="J148" s="8" t="n">
        <x:f>SQRT(AVERAGE(Forecasts!N1086,Forecasts!N1101,Forecasts!N1117,Forecasts!N1133,Forecasts!N1149,Forecasts!N1165,Forecasts!N1182,Forecasts!N1198,Forecasts!N1214,Forecasts!N1230,Forecasts!N1246,Forecasts!N1262))</x:f>
        <x:v>1.632993161855452</x:v>
      </x:c>
      <x:c r="K148" s="8" t="n">
        <x:f>SQRT(AVERAGE(Forecasts!N1088,Forecasts!N1103,Forecasts!N1119,Forecasts!N1135,Forecasts!N1151,Forecasts!N1167,Forecasts!N1184,Forecasts!N1200,Forecasts!N1216,Forecasts!N1232,Forecasts!N1248,Forecasts!N1264))</x:f>
        <x:v>2.3210816817706306</x:v>
      </x:c>
    </x:row>
    <x:row r="149" ht="26" customHeight="1">
      <x:c r="A149" s="2"/>
      <x:c r="B149" s="2" t="str">
        <x:v>Beauty / organic_volume_growth</x:v>
      </x:c>
      <x:c r="C149" s="2" t="str">
        <x:v>Origin</x:v>
      </x:c>
      <x:c r="D149" s="2" t="str">
        <x:v>Broad rolling 8</x:v>
      </x:c>
      <x:c r="E149" s="2" t="str">
        <x:v>Recent eight</x:v>
      </x:c>
      <x:c r="F149" s="2" t="n">
        <x:v>8</x:v>
      </x:c>
      <x:c r="G149" s="8" t="n">
        <x:f>SQRT(AVERAGE(Forecasts!N1152,Forecasts!N1168,Forecasts!N1185,Forecasts!N1201,Forecasts!N1217,Forecasts!N1233,Forecasts!N1249,Forecasts!N1265))</x:f>
        <x:v>2.196133551457352</x:v>
      </x:c>
      <x:c r="H149" s="8" t="n">
        <x:f>AVERAGE(Forecasts!O1152,Forecasts!O1168,Forecasts!O1185,Forecasts!O1201,Forecasts!O1217,Forecasts!O1233,Forecasts!O1249,Forecasts!O1265)</x:f>
        <x:v>1.7300364283112586</x:v>
      </x:c>
      <x:c r="I149" s="8" t="n">
        <x:f>AVERAGE(Forecasts!M1152,Forecasts!M1168,Forecasts!M1185,Forecasts!M1201,Forecasts!M1217,Forecasts!M1233,Forecasts!M1249,Forecasts!M1265)</x:f>
        <x:v>-1.506288411326367</x:v>
      </x:c>
      <x:c r="J149" s="8" t="n">
        <x:f>SQRT(AVERAGE(Forecasts!N1149,Forecasts!N1165,Forecasts!N1182,Forecasts!N1198,Forecasts!N1214,Forecasts!N1230,Forecasts!N1246,Forecasts!N1262))</x:f>
        <x:v>1.6583123951777</x:v>
      </x:c>
      <x:c r="K149" s="8" t="n">
        <x:f>SQRT(AVERAGE(Forecasts!N1151,Forecasts!N1167,Forecasts!N1184,Forecasts!N1200,Forecasts!N1216,Forecasts!N1232,Forecasts!N1248,Forecasts!N1264))</x:f>
        <x:v>2.711619042837244</x:v>
      </x:c>
    </x:row>
    <x:row r="150" ht="26" customHeight="1">
      <x:c r="A150" s="2"/>
      <x:c r="B150" s="2" t="str">
        <x:v>Beauty / organic_volume_growth</x:v>
      </x:c>
      <x:c r="C150" s="2" t="str">
        <x:v>Origin</x:v>
      </x:c>
      <x:c r="D150" s="2" t="str">
        <x:v>Four-quarter mean</x:v>
      </x:c>
      <x:c r="E150" s="2" t="str">
        <x:v>All available</x:v>
      </x:c>
      <x:c r="F150" s="2" t="n">
        <x:v>12</x:v>
      </x:c>
      <x:c r="G150" s="8" t="n">
        <x:f>SQRT(AVERAGE(Forecasts!N1087,Forecasts!N1102,Forecasts!N1118,Forecasts!N1134,Forecasts!N1150,Forecasts!N1166,Forecasts!N1183,Forecasts!N1199,Forecasts!N1215,Forecasts!N1231,Forecasts!N1247,Forecasts!N1263))</x:f>
        <x:v>1.899835519196333</x:v>
      </x:c>
      <x:c r="H150" s="8" t="n">
        <x:f>AVERAGE(Forecasts!O1087,Forecasts!O1102,Forecasts!O1118,Forecasts!O1134,Forecasts!O1150,Forecasts!O1166,Forecasts!O1183,Forecasts!O1199,Forecasts!O1215,Forecasts!O1231,Forecasts!O1247,Forecasts!O1263)</x:f>
        <x:v>1.5208333333333333</x:v>
      </x:c>
      <x:c r="I150" s="8" t="n">
        <x:f>AVERAGE(Forecasts!M1087,Forecasts!M1102,Forecasts!M1118,Forecasts!M1134,Forecasts!M1150,Forecasts!M1166,Forecasts!M1183,Forecasts!M1199,Forecasts!M1215,Forecasts!M1231,Forecasts!M1247,Forecasts!M1263)</x:f>
        <x:v>-1.4791666666666667</x:v>
      </x:c>
      <x:c r="J150" s="8" t="n">
        <x:f>SQRT(AVERAGE(Forecasts!N1086,Forecasts!N1101,Forecasts!N1117,Forecasts!N1133,Forecasts!N1149,Forecasts!N1165,Forecasts!N1182,Forecasts!N1198,Forecasts!N1214,Forecasts!N1230,Forecasts!N1246,Forecasts!N1262))</x:f>
        <x:v>1.632993161855452</x:v>
      </x:c>
      <x:c r="K150" s="8" t="n">
        <x:f>SQRT(AVERAGE(Forecasts!N1088,Forecasts!N1103,Forecasts!N1119,Forecasts!N1135,Forecasts!N1151,Forecasts!N1167,Forecasts!N1184,Forecasts!N1200,Forecasts!N1216,Forecasts!N1232,Forecasts!N1248,Forecasts!N1264))</x:f>
        <x:v>2.3210816817706306</x:v>
      </x:c>
    </x:row>
    <x:row r="151" ht="26" customHeight="1">
      <x:c r="A151" s="2"/>
      <x:c r="B151" s="2" t="str">
        <x:v>Beauty / organic_volume_growth</x:v>
      </x:c>
      <x:c r="C151" s="2" t="str">
        <x:v>Origin</x:v>
      </x:c>
      <x:c r="D151" s="2" t="str">
        <x:v>Four-quarter mean</x:v>
      </x:c>
      <x:c r="E151" s="2" t="str">
        <x:v>Recent eight</x:v>
      </x:c>
      <x:c r="F151" s="2" t="n">
        <x:v>8</x:v>
      </x:c>
      <x:c r="G151" s="8" t="n">
        <x:f>SQRT(AVERAGE(Forecasts!N1150,Forecasts!N1166,Forecasts!N1183,Forecasts!N1199,Forecasts!N1215,Forecasts!N1231,Forecasts!N1247,Forecasts!N1263))</x:f>
        <x:v>2.05965713166051</x:v>
      </x:c>
      <x:c r="H151" s="8" t="n">
        <x:f>AVERAGE(Forecasts!O1150,Forecasts!O1166,Forecasts!O1183,Forecasts!O1199,Forecasts!O1215,Forecasts!O1231,Forecasts!O1247,Forecasts!O1263)</x:f>
        <x:v>1.59375</x:v>
      </x:c>
      <x:c r="I151" s="8" t="n">
        <x:f>AVERAGE(Forecasts!M1150,Forecasts!M1166,Forecasts!M1183,Forecasts!M1199,Forecasts!M1215,Forecasts!M1231,Forecasts!M1247,Forecasts!M1263)</x:f>
        <x:v>-1.53125</x:v>
      </x:c>
      <x:c r="J151" s="8" t="n">
        <x:f>SQRT(AVERAGE(Forecasts!N1149,Forecasts!N1165,Forecasts!N1182,Forecasts!N1198,Forecasts!N1214,Forecasts!N1230,Forecasts!N1246,Forecasts!N1262))</x:f>
        <x:v>1.6583123951777</x:v>
      </x:c>
      <x:c r="K151" s="8" t="n">
        <x:f>SQRT(AVERAGE(Forecasts!N1151,Forecasts!N1167,Forecasts!N1184,Forecasts!N1200,Forecasts!N1216,Forecasts!N1232,Forecasts!N1248,Forecasts!N1264))</x:f>
        <x:v>2.711619042837244</x:v>
      </x:c>
    </x:row>
    <x:row r="152" ht="26" customHeight="1">
      <x:c r="A152" s="2"/>
      <x:c r="B152" s="2" t="str">
        <x:v>Beauty / organic_volume_growth</x:v>
      </x:c>
      <x:c r="C152" s="2" t="str">
        <x:v>Origin</x:v>
      </x:c>
      <x:c r="D152" s="2" t="str">
        <x:v>Half correction</x:v>
      </x:c>
      <x:c r="E152" s="2" t="str">
        <x:v>All available</x:v>
      </x:c>
      <x:c r="F152" s="2" t="n">
        <x:v>7</x:v>
      </x:c>
      <x:c r="G152" s="8" t="n">
        <x:f>SQRT(AVERAGE(Forecasts!N2681,Forecasts!N2687,Forecasts!N2693,Forecasts!N2699,Forecasts!N2705,Forecasts!N2711,Forecasts!N2717))</x:f>
        <x:v>2.292642922153228</x:v>
      </x:c>
      <x:c r="H152" s="8" t="n">
        <x:f>AVERAGE(Forecasts!O2681,Forecasts!O2687,Forecasts!O2693,Forecasts!O2699,Forecasts!O2705,Forecasts!O2711,Forecasts!O2717)</x:f>
        <x:v>1.7286091945422029</x:v>
      </x:c>
      <x:c r="I152" s="8" t="n">
        <x:f>AVERAGE(Forecasts!M2681,Forecasts!M2687,Forecasts!M2693,Forecasts!M2699,Forecasts!M2705,Forecasts!M2711,Forecasts!M2717)</x:f>
        <x:v>-1.670566393874106</x:v>
      </x:c>
      <x:c r="J152" s="8" t="n">
        <x:f>SQRT(AVERAGE(Forecasts!N1165,Forecasts!N1182,Forecasts!N1198,Forecasts!N1214,Forecasts!N1230,Forecasts!N1246,Forecasts!N1262))</x:f>
        <x:v>1.6035674514745464</x:v>
      </x:c>
      <x:c r="K152" s="8" t="n">
        <x:f>SQRT(AVERAGE(Forecasts!N1167,Forecasts!N1184,Forecasts!N1200,Forecasts!N1216,Forecasts!N1232,Forecasts!N1248,Forecasts!N1264))</x:f>
        <x:v>2.808834512665404</x:v>
      </x:c>
    </x:row>
    <x:row r="153" ht="26" customHeight="1">
      <x:c r="A153" s="2"/>
      <x:c r="B153" s="2" t="str">
        <x:v>Beauty / organic_volume_growth</x:v>
      </x:c>
      <x:c r="C153" s="2" t="str">
        <x:v>Origin</x:v>
      </x:c>
      <x:c r="D153" s="2" t="str">
        <x:v>Half correction</x:v>
      </x:c>
      <x:c r="E153" s="2" t="str">
        <x:v>Recent eight</x:v>
      </x:c>
      <x:c r="F153" s="2" t="n">
        <x:v>7</x:v>
      </x:c>
      <x:c r="G153" s="8" t="n">
        <x:f>SQRT(AVERAGE(Forecasts!N2681,Forecasts!N2687,Forecasts!N2693,Forecasts!N2699,Forecasts!N2705,Forecasts!N2711,Forecasts!N2717))</x:f>
        <x:v>2.292642922153228</x:v>
      </x:c>
      <x:c r="H153" s="8" t="n">
        <x:f>AVERAGE(Forecasts!O2681,Forecasts!O2687,Forecasts!O2693,Forecasts!O2699,Forecasts!O2705,Forecasts!O2711,Forecasts!O2717)</x:f>
        <x:v>1.7286091945422029</x:v>
      </x:c>
      <x:c r="I153" s="8" t="n">
        <x:f>AVERAGE(Forecasts!M2681,Forecasts!M2687,Forecasts!M2693,Forecasts!M2699,Forecasts!M2705,Forecasts!M2711,Forecasts!M2717)</x:f>
        <x:v>-1.670566393874106</x:v>
      </x:c>
      <x:c r="J153" s="8" t="n">
        <x:f>SQRT(AVERAGE(Forecasts!N1165,Forecasts!N1182,Forecasts!N1198,Forecasts!N1214,Forecasts!N1230,Forecasts!N1246,Forecasts!N1262))</x:f>
        <x:v>1.6035674514745464</x:v>
      </x:c>
      <x:c r="K153" s="8" t="n">
        <x:f>SQRT(AVERAGE(Forecasts!N1167,Forecasts!N1184,Forecasts!N1200,Forecasts!N1216,Forecasts!N1232,Forecasts!N1248,Forecasts!N1264))</x:f>
        <x:v>2.808834512665404</x:v>
      </x:c>
    </x:row>
    <x:row r="154" ht="26" customHeight="1">
      <x:c r="A154" s="2"/>
      <x:c r="B154" s="2" t="str">
        <x:v>Beauty / organic_volume_growth</x:v>
      </x:c>
      <x:c r="C154" s="2" t="str">
        <x:v>Origin</x:v>
      </x:c>
      <x:c r="D154" s="2" t="str">
        <x:v>Last actual</x:v>
      </x:c>
      <x:c r="E154" s="2" t="str">
        <x:v>All available</x:v>
      </x:c>
      <x:c r="F154" s="2" t="n">
        <x:v>12</x:v>
      </x:c>
      <x:c r="G154" s="8" t="n">
        <x:f>SQRT(AVERAGE(Forecasts!N1086,Forecasts!N1101,Forecasts!N1117,Forecasts!N1133,Forecasts!N1149,Forecasts!N1165,Forecasts!N1182,Forecasts!N1198,Forecasts!N1214,Forecasts!N1230,Forecasts!N1246,Forecasts!N1262))</x:f>
        <x:v>1.632993161855452</x:v>
      </x:c>
      <x:c r="H154" s="8" t="n">
        <x:f>AVERAGE(Forecasts!O1086,Forecasts!O1101,Forecasts!O1117,Forecasts!O1133,Forecasts!O1149,Forecasts!O1165,Forecasts!O1182,Forecasts!O1198,Forecasts!O1214,Forecasts!O1230,Forecasts!O1246,Forecasts!O1262)</x:f>
        <x:v>1.3333333333333333</x:v>
      </x:c>
      <x:c r="I154" s="8" t="n">
        <x:f>AVERAGE(Forecasts!M1086,Forecasts!M1101,Forecasts!M1117,Forecasts!M1133,Forecasts!M1149,Forecasts!M1165,Forecasts!M1182,Forecasts!M1198,Forecasts!M1214,Forecasts!M1230,Forecasts!M1246,Forecasts!M1262)</x:f>
        <x:v>-1</x:v>
      </x:c>
      <x:c r="J154" s="8" t="n">
        <x:f>SQRT(AVERAGE(Forecasts!N1086,Forecasts!N1101,Forecasts!N1117,Forecasts!N1133,Forecasts!N1149,Forecasts!N1165,Forecasts!N1182,Forecasts!N1198,Forecasts!N1214,Forecasts!N1230,Forecasts!N1246,Forecasts!N1262))</x:f>
        <x:v>1.632993161855452</x:v>
      </x:c>
      <x:c r="K154" s="8" t="n">
        <x:f>SQRT(AVERAGE(Forecasts!N1088,Forecasts!N1103,Forecasts!N1119,Forecasts!N1135,Forecasts!N1151,Forecasts!N1167,Forecasts!N1184,Forecasts!N1200,Forecasts!N1216,Forecasts!N1232,Forecasts!N1248,Forecasts!N1264))</x:f>
        <x:v>2.3210816817706306</x:v>
      </x:c>
    </x:row>
    <x:row r="155" ht="26" customHeight="1">
      <x:c r="A155" s="2"/>
      <x:c r="B155" s="2" t="str">
        <x:v>Beauty / organic_volume_growth</x:v>
      </x:c>
      <x:c r="C155" s="2" t="str">
        <x:v>Origin</x:v>
      </x:c>
      <x:c r="D155" s="2" t="str">
        <x:v>Last actual</x:v>
      </x:c>
      <x:c r="E155" s="2" t="str">
        <x:v>Recent eight</x:v>
      </x:c>
      <x:c r="F155" s="2" t="n">
        <x:v>8</x:v>
      </x:c>
      <x:c r="G155" s="8" t="n">
        <x:f>SQRT(AVERAGE(Forecasts!N1149,Forecasts!N1165,Forecasts!N1182,Forecasts!N1198,Forecasts!N1214,Forecasts!N1230,Forecasts!N1246,Forecasts!N1262))</x:f>
        <x:v>1.6583123951777</x:v>
      </x:c>
      <x:c r="H155" s="8" t="n">
        <x:f>AVERAGE(Forecasts!O1149,Forecasts!O1165,Forecasts!O1182,Forecasts!O1198,Forecasts!O1214,Forecasts!O1230,Forecasts!O1246,Forecasts!O1262)</x:f>
        <x:v>1.5</x:v>
      </x:c>
      <x:c r="I155" s="8" t="n">
        <x:f>AVERAGE(Forecasts!M1149,Forecasts!M1165,Forecasts!M1182,Forecasts!M1198,Forecasts!M1214,Forecasts!M1230,Forecasts!M1246,Forecasts!M1262)</x:f>
        <x:v>-1</x:v>
      </x:c>
      <x:c r="J155" s="8" t="n">
        <x:f>SQRT(AVERAGE(Forecasts!N1149,Forecasts!N1165,Forecasts!N1182,Forecasts!N1198,Forecasts!N1214,Forecasts!N1230,Forecasts!N1246,Forecasts!N1262))</x:f>
        <x:v>1.6583123951777</x:v>
      </x:c>
      <x:c r="K155" s="8" t="n">
        <x:f>SQRT(AVERAGE(Forecasts!N1151,Forecasts!N1167,Forecasts!N1184,Forecasts!N1200,Forecasts!N1216,Forecasts!N1232,Forecasts!N1248,Forecasts!N1264))</x:f>
        <x:v>2.711619042837244</x:v>
      </x:c>
    </x:row>
    <x:row r="156" ht="26" customHeight="1">
      <x:c r="A156" s="2"/>
      <x:c r="B156" s="2" t="str">
        <x:v>Beauty / organic_volume_growth</x:v>
      </x:c>
      <x:c r="C156" s="2" t="str">
        <x:v>Origin</x:v>
      </x:c>
      <x:c r="D156" s="2" t="str">
        <x:v>Own history</x:v>
      </x:c>
      <x:c r="E156" s="2" t="str">
        <x:v>All available</x:v>
      </x:c>
      <x:c r="F156" s="2" t="n">
        <x:v>10</x:v>
      </x:c>
      <x:c r="G156" s="8" t="n">
        <x:f>SQRT(AVERAGE(Forecasts!N1121,Forecasts!N1137,Forecasts!N1153,Forecasts!N1169,Forecasts!N1186,Forecasts!N1202,Forecasts!N1218,Forecasts!N1234,Forecasts!N1250,Forecasts!N1266))</x:f>
        <x:v>2.1115088519250107</x:v>
      </x:c>
      <x:c r="H156" s="8" t="n">
        <x:f>AVERAGE(Forecasts!O1121,Forecasts!O1137,Forecasts!O1153,Forecasts!O1169,Forecasts!O1186,Forecasts!O1202,Forecasts!O1218,Forecasts!O1234,Forecasts!O1250,Forecasts!O1266)</x:f>
        <x:v>1.6988256646630169</x:v>
      </x:c>
      <x:c r="I156" s="8" t="n">
        <x:f>AVERAGE(Forecasts!M1121,Forecasts!M1137,Forecasts!M1153,Forecasts!M1169,Forecasts!M1186,Forecasts!M1202,Forecasts!M1218,Forecasts!M1234,Forecasts!M1250,Forecasts!M1266)</x:f>
        <x:v>-1.6988256646630169</x:v>
      </x:c>
      <x:c r="J156" s="8" t="n">
        <x:f>SQRT(AVERAGE(Forecasts!N1117,Forecasts!N1133,Forecasts!N1149,Forecasts!N1165,Forecasts!N1182,Forecasts!N1198,Forecasts!N1214,Forecasts!N1230,Forecasts!N1246,Forecasts!N1262))</x:f>
        <x:v>1.51657508881031</x:v>
      </x:c>
      <x:c r="K156" s="8" t="n">
        <x:f>SQRT(AVERAGE(Forecasts!N1119,Forecasts!N1135,Forecasts!N1151,Forecasts!N1167,Forecasts!N1184,Forecasts!N1200,Forecasts!N1216,Forecasts!N1232,Forecasts!N1248,Forecasts!N1264))</x:f>
        <x:v>2.5022951350671736</x:v>
      </x:c>
    </x:row>
    <x:row r="157" ht="26" customHeight="1">
      <x:c r="A157" s="2"/>
      <x:c r="B157" s="2" t="str">
        <x:v>Beauty / organic_volume_growth</x:v>
      </x:c>
      <x:c r="C157" s="2" t="str">
        <x:v>Origin</x:v>
      </x:c>
      <x:c r="D157" s="2" t="str">
        <x:v>Own history</x:v>
      </x:c>
      <x:c r="E157" s="2" t="str">
        <x:v>Recent eight</x:v>
      </x:c>
      <x:c r="F157" s="2" t="n">
        <x:v>8</x:v>
      </x:c>
      <x:c r="G157" s="8" t="n">
        <x:f>SQRT(AVERAGE(Forecasts!N1153,Forecasts!N1169,Forecasts!N1186,Forecasts!N1202,Forecasts!N1218,Forecasts!N1234,Forecasts!N1250,Forecasts!N1266))</x:f>
        <x:v>2.2779744355563825</x:v>
      </x:c>
      <x:c r="H157" s="8" t="n">
        <x:f>AVERAGE(Forecasts!O1153,Forecasts!O1169,Forecasts!O1186,Forecasts!O1202,Forecasts!O1218,Forecasts!O1234,Forecasts!O1250,Forecasts!O1266)</x:f>
        <x:v>1.8860809726149514</x:v>
      </x:c>
      <x:c r="I157" s="8" t="n">
        <x:f>AVERAGE(Forecasts!M1153,Forecasts!M1169,Forecasts!M1186,Forecasts!M1202,Forecasts!M1218,Forecasts!M1234,Forecasts!M1250,Forecasts!M1266)</x:f>
        <x:v>-1.8860809726149514</x:v>
      </x:c>
      <x:c r="J157" s="8" t="n">
        <x:f>SQRT(AVERAGE(Forecasts!N1149,Forecasts!N1165,Forecasts!N1182,Forecasts!N1198,Forecasts!N1214,Forecasts!N1230,Forecasts!N1246,Forecasts!N1262))</x:f>
        <x:v>1.6583123951777</x:v>
      </x:c>
      <x:c r="K157" s="8" t="n">
        <x:f>SQRT(AVERAGE(Forecasts!N1151,Forecasts!N1167,Forecasts!N1184,Forecasts!N1200,Forecasts!N1216,Forecasts!N1232,Forecasts!N1248,Forecasts!N1264))</x:f>
        <x:v>2.711619042837244</x:v>
      </x:c>
    </x:row>
    <x:row r="158" ht="26" customHeight="1">
      <x:c r="A158" s="2"/>
      <x:c r="B158" s="2" t="str">
        <x:v>Beauty / organic_volume_growth</x:v>
      </x:c>
      <x:c r="C158" s="2" t="str">
        <x:v>Prior report</x:v>
      </x:c>
      <x:c r="D158" s="2" t="str">
        <x:v>Bias correction</x:v>
      </x:c>
      <x:c r="E158" s="2" t="str">
        <x:v>All available</x:v>
      </x:c>
      <x:c r="F158" s="2" t="n">
        <x:v>8</x:v>
      </x:c>
      <x:c r="G158" s="8" t="n">
        <x:f>SQRT(AVERAGE(Forecasts!N2676,Forecasts!N2682,Forecasts!N2688,Forecasts!N2694,Forecasts!N2700,Forecasts!N2706,Forecasts!N2712,Forecasts!N2718))</x:f>
        <x:v>1.5800424317602446</x:v>
      </x:c>
      <x:c r="H158" s="8" t="n">
        <x:f>AVERAGE(Forecasts!O2676,Forecasts!O2682,Forecasts!O2688,Forecasts!O2694,Forecasts!O2700,Forecasts!O2706,Forecasts!O2712,Forecasts!O2718)</x:f>
        <x:v>1.2087611775204739</x:v>
      </x:c>
      <x:c r="I158" s="8" t="n">
        <x:f>AVERAGE(Forecasts!M2676,Forecasts!M2682,Forecasts!M2688,Forecasts!M2694,Forecasts!M2700,Forecasts!M2706,Forecasts!M2712,Forecasts!M2718)</x:f>
        <x:v>-0.8602296475691639</x:v>
      </x:c>
      <x:c r="J158" s="8" t="n">
        <x:f>SQRT(AVERAGE(Forecasts!N1154,Forecasts!N1170,Forecasts!N1187,Forecasts!N1203,Forecasts!N1219,Forecasts!N1235,Forecasts!N1251,Forecasts!N1267))</x:f>
        <x:v>1.4142135623730951</x:v>
      </x:c>
      <x:c r="K158" s="8" t="n">
        <x:f>SQRT(AVERAGE(Forecasts!N1156,Forecasts!N1172,Forecasts!N1189,Forecasts!N1205,Forecasts!N1221,Forecasts!N1237,Forecasts!N1253,Forecasts!N1269))</x:f>
        <x:v>2.722196423568727</x:v>
      </x:c>
    </x:row>
    <x:row r="159" ht="26" customHeight="1">
      <x:c r="A159" s="2"/>
      <x:c r="B159" s="2" t="str">
        <x:v>Beauty / organic_volume_growth</x:v>
      </x:c>
      <x:c r="C159" s="2" t="str">
        <x:v>Prior report</x:v>
      </x:c>
      <x:c r="D159" s="2" t="str">
        <x:v>Bias correction</x:v>
      </x:c>
      <x:c r="E159" s="2" t="str">
        <x:v>Recent eight</x:v>
      </x:c>
      <x:c r="F159" s="2" t="n">
        <x:v>8</x:v>
      </x:c>
      <x:c r="G159" s="8" t="n">
        <x:f>SQRT(AVERAGE(Forecasts!N2676,Forecasts!N2682,Forecasts!N2688,Forecasts!N2694,Forecasts!N2700,Forecasts!N2706,Forecasts!N2712,Forecasts!N2718))</x:f>
        <x:v>1.5800424317602446</x:v>
      </x:c>
      <x:c r="H159" s="8" t="n">
        <x:f>AVERAGE(Forecasts!O2676,Forecasts!O2682,Forecasts!O2688,Forecasts!O2694,Forecasts!O2700,Forecasts!O2706,Forecasts!O2712,Forecasts!O2718)</x:f>
        <x:v>1.2087611775204739</x:v>
      </x:c>
      <x:c r="I159" s="8" t="n">
        <x:f>AVERAGE(Forecasts!M2676,Forecasts!M2682,Forecasts!M2688,Forecasts!M2694,Forecasts!M2700,Forecasts!M2706,Forecasts!M2712,Forecasts!M2718)</x:f>
        <x:v>-0.8602296475691639</x:v>
      </x:c>
      <x:c r="J159" s="8" t="n">
        <x:f>SQRT(AVERAGE(Forecasts!N1154,Forecasts!N1170,Forecasts!N1187,Forecasts!N1203,Forecasts!N1219,Forecasts!N1235,Forecasts!N1251,Forecasts!N1267))</x:f>
        <x:v>1.4142135623730951</x:v>
      </x:c>
      <x:c r="K159" s="8" t="n">
        <x:f>SQRT(AVERAGE(Forecasts!N1156,Forecasts!N1172,Forecasts!N1189,Forecasts!N1205,Forecasts!N1221,Forecasts!N1237,Forecasts!N1253,Forecasts!N1269))</x:f>
        <x:v>2.722196423568727</x:v>
      </x:c>
    </x:row>
    <x:row r="160" ht="26" customHeight="1">
      <x:c r="A160" s="2"/>
      <x:c r="B160" s="2" t="str">
        <x:v>Beauty / organic_volume_growth</x:v>
      </x:c>
      <x:c r="C160" s="2" t="str">
        <x:v>Prior report</x:v>
      </x:c>
      <x:c r="D160" s="2" t="str">
        <x:v>Broad lag 1</x:v>
      </x:c>
      <x:c r="E160" s="2" t="str">
        <x:v>All available</x:v>
      </x:c>
      <x:c r="F160" s="2" t="n">
        <x:v>2</x:v>
      </x:c>
      <x:c r="G160" s="8" t="n">
        <x:f>SQRT(AVERAGE(Forecasts!N1108,Forecasts!N1173))</x:f>
        <x:v>0.9723138189368633</x:v>
      </x:c>
      <x:c r="H160" s="8" t="n">
        <x:f>AVERAGE(Forecasts!O1108,Forecasts!O1173)</x:f>
        <x:v>0.9203608404613726</x:v>
      </x:c>
      <x:c r="I160" s="8" t="n">
        <x:f>AVERAGE(Forecasts!M1108,Forecasts!M1173)</x:f>
        <x:v>-0.9203608404613726</x:v>
      </x:c>
      <x:c r="J160" s="8" t="n">
        <x:f>SQRT(AVERAGE(Forecasts!N1105,Forecasts!N1170))</x:f>
        <x:v>1</x:v>
      </x:c>
      <x:c r="K160" s="8" t="n">
        <x:f>SQRT(AVERAGE(Forecasts!N1107,Forecasts!N1172))</x:f>
        <x:v>0.918626157176223</x:v>
      </x:c>
    </x:row>
    <x:row r="161" ht="26" customHeight="1">
      <x:c r="A161" s="2"/>
      <x:c r="B161" s="2" t="str">
        <x:v>Beauty / organic_volume_growth</x:v>
      </x:c>
      <x:c r="C161" s="2" t="str">
        <x:v>Prior report</x:v>
      </x:c>
      <x:c r="D161" s="2" t="str">
        <x:v>Broad lag 1</x:v>
      </x:c>
      <x:c r="E161" s="2" t="str">
        <x:v>Recent eight</x:v>
      </x:c>
      <x:c r="F161" s="2" t="n">
        <x:v>1</x:v>
      </x:c>
      <x:c r="G161" s="8" t="n">
        <x:f>SQRT(AVERAGE(Forecasts!N1173))</x:f>
        <x:v>0.6067845565353981</x:v>
      </x:c>
      <x:c r="H161" s="8" t="n">
        <x:f>AVERAGE(Forecasts!O1173)</x:f>
        <x:v>0.6067845565353981</x:v>
      </x:c>
      <x:c r="I161" s="8" t="n">
        <x:f>AVERAGE(Forecasts!M1173)</x:f>
        <x:v>-0.6067845565353981</x:v>
      </x:c>
      <x:c r="J161" s="8" t="n">
        <x:f>SQRT(AVERAGE(Forecasts!N1170))</x:f>
        <x:v>1</x:v>
      </x:c>
      <x:c r="K161" s="8" t="n">
        <x:f>SQRT(AVERAGE(Forecasts!N1172))</x:f>
        <x:v>0.5755191833427777</x:v>
      </x:c>
    </x:row>
    <x:row r="162" ht="26" customHeight="1">
      <x:c r="A162" s="2"/>
      <x:c r="B162" s="2" t="str">
        <x:v>Beauty / organic_volume_growth</x:v>
      </x:c>
      <x:c r="C162" s="2" t="str">
        <x:v>Prior report</x:v>
      </x:c>
      <x:c r="D162" s="2" t="str">
        <x:v>Broad market</x:v>
      </x:c>
      <x:c r="E162" s="2" t="str">
        <x:v>All available</x:v>
      </x:c>
      <x:c r="F162" s="2" t="n">
        <x:v>12</x:v>
      </x:c>
      <x:c r="G162" s="8" t="n">
        <x:f>SQRT(AVERAGE(Forecasts!N1092,Forecasts!N1107,Forecasts!N1124,Forecasts!N1140,Forecasts!N1156,Forecasts!N1172,Forecasts!N1189,Forecasts!N1205,Forecasts!N1221,Forecasts!N1237,Forecasts!N1253,Forecasts!N1269))</x:f>
        <x:v>2.3251004579742625</x:v>
      </x:c>
      <x:c r="H162" s="8" t="n">
        <x:f>AVERAGE(Forecasts!O1092,Forecasts!O1107,Forecasts!O1124,Forecasts!O1140,Forecasts!O1156,Forecasts!O1172,Forecasts!O1189,Forecasts!O1205,Forecasts!O1221,Forecasts!O1237,Forecasts!O1253,Forecasts!O1269)</x:f>
        <x:v>1.813323877916509</x:v>
      </x:c>
      <x:c r="I162" s="8" t="n">
        <x:f>AVERAGE(Forecasts!M1092,Forecasts!M1107,Forecasts!M1124,Forecasts!M1140,Forecasts!M1156,Forecasts!M1172,Forecasts!M1189,Forecasts!M1205,Forecasts!M1221,Forecasts!M1237,Forecasts!M1253,Forecasts!M1269)</x:f>
        <x:v>-1.813323877916509</x:v>
      </x:c>
      <x:c r="J162" s="8" t="n">
        <x:f>SQRT(AVERAGE(Forecasts!N1090,Forecasts!N1105,Forecasts!N1122,Forecasts!N1138,Forecasts!N1154,Forecasts!N1170,Forecasts!N1187,Forecasts!N1203,Forecasts!N1219,Forecasts!N1235,Forecasts!N1251,Forecasts!N1267))</x:f>
        <x:v>1.3844373104863459</x:v>
      </x:c>
      <x:c r="K162" s="8" t="n">
        <x:f>SQRT(AVERAGE(Forecasts!N1092,Forecasts!N1107,Forecasts!N1124,Forecasts!N1140,Forecasts!N1156,Forecasts!N1172,Forecasts!N1189,Forecasts!N1205,Forecasts!N1221,Forecasts!N1237,Forecasts!N1253,Forecasts!N1269))</x:f>
        <x:v>2.3251004579742625</x:v>
      </x:c>
    </x:row>
    <x:row r="163" ht="26" customHeight="1">
      <x:c r="A163" s="2"/>
      <x:c r="B163" s="2" t="str">
        <x:v>Beauty / organic_volume_growth</x:v>
      </x:c>
      <x:c r="C163" s="2" t="str">
        <x:v>Prior report</x:v>
      </x:c>
      <x:c r="D163" s="2" t="str">
        <x:v>Broad market</x:v>
      </x:c>
      <x:c r="E163" s="2" t="str">
        <x:v>Recent eight</x:v>
      </x:c>
      <x:c r="F163" s="2" t="n">
        <x:v>8</x:v>
      </x:c>
      <x:c r="G163" s="8" t="n">
        <x:f>SQRT(AVERAGE(Forecasts!N1156,Forecasts!N1172,Forecasts!N1189,Forecasts!N1205,Forecasts!N1221,Forecasts!N1237,Forecasts!N1253,Forecasts!N1269))</x:f>
        <x:v>2.722196423568727</x:v>
      </x:c>
      <x:c r="H163" s="8" t="n">
        <x:f>AVERAGE(Forecasts!O1156,Forecasts!O1172,Forecasts!O1189,Forecasts!O1205,Forecasts!O1221,Forecasts!O1237,Forecasts!O1253,Forecasts!O1269)</x:f>
        <x:v>2.231951389853196</x:v>
      </x:c>
      <x:c r="I163" s="8" t="n">
        <x:f>AVERAGE(Forecasts!M1156,Forecasts!M1172,Forecasts!M1189,Forecasts!M1205,Forecasts!M1221,Forecasts!M1237,Forecasts!M1253,Forecasts!M1269)</x:f>
        <x:v>-2.231951389853196</x:v>
      </x:c>
      <x:c r="J163" s="8" t="n">
        <x:f>SQRT(AVERAGE(Forecasts!N1154,Forecasts!N1170,Forecasts!N1187,Forecasts!N1203,Forecasts!N1219,Forecasts!N1235,Forecasts!N1251,Forecasts!N1267))</x:f>
        <x:v>1.4142135623730951</x:v>
      </x:c>
      <x:c r="K163" s="8" t="n">
        <x:f>SQRT(AVERAGE(Forecasts!N1156,Forecasts!N1172,Forecasts!N1189,Forecasts!N1205,Forecasts!N1221,Forecasts!N1237,Forecasts!N1253,Forecasts!N1269))</x:f>
        <x:v>2.722196423568727</x:v>
      </x:c>
    </x:row>
    <x:row r="164" ht="26" customHeight="1">
      <x:c r="A164" s="2"/>
      <x:c r="B164" s="2" t="str">
        <x:v>Beauty / organic_volume_growth</x:v>
      </x:c>
      <x:c r="C164" s="2" t="str">
        <x:v>Prior report</x:v>
      </x:c>
      <x:c r="D164" s="2" t="str">
        <x:v>Broad rolling 8</x:v>
      </x:c>
      <x:c r="E164" s="2" t="str">
        <x:v>All available</x:v>
      </x:c>
      <x:c r="F164" s="2" t="n">
        <x:v>12</x:v>
      </x:c>
      <x:c r="G164" s="8" t="n">
        <x:f>SQRT(AVERAGE(Forecasts!N1093,Forecasts!N1109,Forecasts!N1125,Forecasts!N1141,Forecasts!N1157,Forecasts!N1174,Forecasts!N1190,Forecasts!N1206,Forecasts!N1222,Forecasts!N1238,Forecasts!N1254,Forecasts!N1270))</x:f>
        <x:v>1.9590650315116496</x:v>
      </x:c>
      <x:c r="H164" s="8" t="n">
        <x:f>AVERAGE(Forecasts!O1093,Forecasts!O1109,Forecasts!O1125,Forecasts!O1141,Forecasts!O1157,Forecasts!O1174,Forecasts!O1190,Forecasts!O1206,Forecasts!O1222,Forecasts!O1238,Forecasts!O1254,Forecasts!O1270)</x:f>
        <x:v>1.5378048033978395</x:v>
      </x:c>
      <x:c r="I164" s="8" t="n">
        <x:f>AVERAGE(Forecasts!M1093,Forecasts!M1109,Forecasts!M1125,Forecasts!M1141,Forecasts!M1157,Forecasts!M1174,Forecasts!M1190,Forecasts!M1206,Forecasts!M1222,Forecasts!M1238,Forecasts!M1254,Forecasts!M1270)</x:f>
        <x:v>-1.3510045952809147</x:v>
      </x:c>
      <x:c r="J164" s="8" t="n">
        <x:f>SQRT(AVERAGE(Forecasts!N1090,Forecasts!N1105,Forecasts!N1122,Forecasts!N1138,Forecasts!N1154,Forecasts!N1170,Forecasts!N1187,Forecasts!N1203,Forecasts!N1219,Forecasts!N1235,Forecasts!N1251,Forecasts!N1267))</x:f>
        <x:v>1.3844373104863459</x:v>
      </x:c>
      <x:c r="K164" s="8" t="n">
        <x:f>SQRT(AVERAGE(Forecasts!N1092,Forecasts!N1107,Forecasts!N1124,Forecasts!N1140,Forecasts!N1156,Forecasts!N1172,Forecasts!N1189,Forecasts!N1205,Forecasts!N1221,Forecasts!N1237,Forecasts!N1253,Forecasts!N1269))</x:f>
        <x:v>2.3251004579742625</x:v>
      </x:c>
    </x:row>
    <x:row r="165" ht="26" customHeight="1">
      <x:c r="A165" s="2"/>
      <x:c r="B165" s="2" t="str">
        <x:v>Beauty / organic_volume_growth</x:v>
      </x:c>
      <x:c r="C165" s="2" t="str">
        <x:v>Prior report</x:v>
      </x:c>
      <x:c r="D165" s="2" t="str">
        <x:v>Broad rolling 8</x:v>
      </x:c>
      <x:c r="E165" s="2" t="str">
        <x:v>Recent eight</x:v>
      </x:c>
      <x:c r="F165" s="2" t="n">
        <x:v>8</x:v>
      </x:c>
      <x:c r="G165" s="8" t="n">
        <x:f>SQRT(AVERAGE(Forecasts!N1157,Forecasts!N1174,Forecasts!N1190,Forecasts!N1206,Forecasts!N1222,Forecasts!N1238,Forecasts!N1254,Forecasts!N1270))</x:f>
        <x:v>2.232363869774832</x:v>
      </x:c>
      <x:c r="H165" s="8" t="n">
        <x:f>AVERAGE(Forecasts!O1157,Forecasts!O1174,Forecasts!O1190,Forecasts!O1206,Forecasts!O1222,Forecasts!O1238,Forecasts!O1254,Forecasts!O1270)</x:f>
        <x:v>1.7762794679650562</x:v>
      </x:c>
      <x:c r="I165" s="8" t="n">
        <x:f>AVERAGE(Forecasts!M1157,Forecasts!M1174,Forecasts!M1190,Forecasts!M1206,Forecasts!M1222,Forecasts!M1238,Forecasts!M1254,Forecasts!M1270)</x:f>
        <x:v>-1.4960791557896682</x:v>
      </x:c>
      <x:c r="J165" s="8" t="n">
        <x:f>SQRT(AVERAGE(Forecasts!N1154,Forecasts!N1170,Forecasts!N1187,Forecasts!N1203,Forecasts!N1219,Forecasts!N1235,Forecasts!N1251,Forecasts!N1267))</x:f>
        <x:v>1.4142135623730951</x:v>
      </x:c>
      <x:c r="K165" s="8" t="n">
        <x:f>SQRT(AVERAGE(Forecasts!N1156,Forecasts!N1172,Forecasts!N1189,Forecasts!N1205,Forecasts!N1221,Forecasts!N1237,Forecasts!N1253,Forecasts!N1269))</x:f>
        <x:v>2.722196423568727</x:v>
      </x:c>
    </x:row>
    <x:row r="166" ht="26" customHeight="1">
      <x:c r="A166" s="2"/>
      <x:c r="B166" s="2" t="str">
        <x:v>Beauty / organic_volume_growth</x:v>
      </x:c>
      <x:c r="C166" s="2" t="str">
        <x:v>Prior report</x:v>
      </x:c>
      <x:c r="D166" s="2" t="str">
        <x:v>Four-quarter mean</x:v>
      </x:c>
      <x:c r="E166" s="2" t="str">
        <x:v>All available</x:v>
      </x:c>
      <x:c r="F166" s="2" t="n">
        <x:v>12</x:v>
      </x:c>
      <x:c r="G166" s="8" t="n">
        <x:f>SQRT(AVERAGE(Forecasts!N1091,Forecasts!N1106,Forecasts!N1123,Forecasts!N1139,Forecasts!N1155,Forecasts!N1171,Forecasts!N1188,Forecasts!N1204,Forecasts!N1220,Forecasts!N1236,Forecasts!N1252,Forecasts!N1268))</x:f>
        <x:v>1.5645819462932156</x:v>
      </x:c>
      <x:c r="H166" s="8" t="n">
        <x:f>AVERAGE(Forecasts!O1091,Forecasts!O1106,Forecasts!O1123,Forecasts!O1139,Forecasts!O1155,Forecasts!O1171,Forecasts!O1188,Forecasts!O1204,Forecasts!O1220,Forecasts!O1236,Forecasts!O1252,Forecasts!O1268)</x:f>
        <x:v>1.2083333333333333</x:v>
      </x:c>
      <x:c r="I166" s="8" t="n">
        <x:f>AVERAGE(Forecasts!M1091,Forecasts!M1106,Forecasts!M1123,Forecasts!M1139,Forecasts!M1155,Forecasts!M1171,Forecasts!M1188,Forecasts!M1204,Forecasts!M1220,Forecasts!M1236,Forecasts!M1252,Forecasts!M1268)</x:f>
        <x:v>-1.125</x:v>
      </x:c>
      <x:c r="J166" s="8" t="n">
        <x:f>SQRT(AVERAGE(Forecasts!N1090,Forecasts!N1105,Forecasts!N1122,Forecasts!N1138,Forecasts!N1154,Forecasts!N1170,Forecasts!N1187,Forecasts!N1203,Forecasts!N1219,Forecasts!N1235,Forecasts!N1251,Forecasts!N1267))</x:f>
        <x:v>1.3844373104863459</x:v>
      </x:c>
      <x:c r="K166" s="8" t="n">
        <x:f>SQRT(AVERAGE(Forecasts!N1092,Forecasts!N1107,Forecasts!N1124,Forecasts!N1140,Forecasts!N1156,Forecasts!N1172,Forecasts!N1189,Forecasts!N1205,Forecasts!N1221,Forecasts!N1237,Forecasts!N1253,Forecasts!N1269))</x:f>
        <x:v>2.3251004579742625</x:v>
      </x:c>
    </x:row>
    <x:row r="167" ht="26" customHeight="1">
      <x:c r="A167" s="2"/>
      <x:c r="B167" s="2" t="str">
        <x:v>Beauty / organic_volume_growth</x:v>
      </x:c>
      <x:c r="C167" s="2" t="str">
        <x:v>Prior report</x:v>
      </x:c>
      <x:c r="D167" s="2" t="str">
        <x:v>Four-quarter mean</x:v>
      </x:c>
      <x:c r="E167" s="2" t="str">
        <x:v>Recent eight</x:v>
      </x:c>
      <x:c r="F167" s="2" t="n">
        <x:v>8</x:v>
      </x:c>
      <x:c r="G167" s="8" t="n">
        <x:f>SQRT(AVERAGE(Forecasts!N1155,Forecasts!N1171,Forecasts!N1188,Forecasts!N1204,Forecasts!N1220,Forecasts!N1236,Forecasts!N1252,Forecasts!N1268))</x:f>
        <x:v>1.741048534648015</x:v>
      </x:c>
      <x:c r="H167" s="8" t="n">
        <x:f>AVERAGE(Forecasts!O1155,Forecasts!O1171,Forecasts!O1188,Forecasts!O1204,Forecasts!O1220,Forecasts!O1236,Forecasts!O1252,Forecasts!O1268)</x:f>
        <x:v>1.3125</x:v>
      </x:c>
      <x:c r="I167" s="8" t="n">
        <x:f>AVERAGE(Forecasts!M1155,Forecasts!M1171,Forecasts!M1188,Forecasts!M1204,Forecasts!M1220,Forecasts!M1236,Forecasts!M1252,Forecasts!M1268)</x:f>
        <x:v>-1.1875</x:v>
      </x:c>
      <x:c r="J167" s="8" t="n">
        <x:f>SQRT(AVERAGE(Forecasts!N1154,Forecasts!N1170,Forecasts!N1187,Forecasts!N1203,Forecasts!N1219,Forecasts!N1235,Forecasts!N1251,Forecasts!N1267))</x:f>
        <x:v>1.4142135623730951</x:v>
      </x:c>
      <x:c r="K167" s="8" t="n">
        <x:f>SQRT(AVERAGE(Forecasts!N1156,Forecasts!N1172,Forecasts!N1189,Forecasts!N1205,Forecasts!N1221,Forecasts!N1237,Forecasts!N1253,Forecasts!N1269))</x:f>
        <x:v>2.722196423568727</x:v>
      </x:c>
    </x:row>
    <x:row r="168" ht="26" customHeight="1">
      <x:c r="A168" s="2"/>
      <x:c r="B168" s="2" t="str">
        <x:v>Beauty / organic_volume_growth</x:v>
      </x:c>
      <x:c r="C168" s="2" t="str">
        <x:v>Prior report</x:v>
      </x:c>
      <x:c r="D168" s="2" t="str">
        <x:v>Half correction</x:v>
      </x:c>
      <x:c r="E168" s="2" t="str">
        <x:v>All available</x:v>
      </x:c>
      <x:c r="F168" s="2" t="n">
        <x:v>8</x:v>
      </x:c>
      <x:c r="G168" s="8" t="n">
        <x:f>SQRT(AVERAGE(Forecasts!N2677,Forecasts!N2683,Forecasts!N2689,Forecasts!N2695,Forecasts!N2701,Forecasts!N2707,Forecasts!N2713,Forecasts!N2719))</x:f>
        <x:v>2.1025217643432605</x:v>
      </x:c>
      <x:c r="H168" s="8" t="n">
        <x:f>AVERAGE(Forecasts!O2677,Forecasts!O2683,Forecasts!O2689,Forecasts!O2695,Forecasts!O2701,Forecasts!O2707,Forecasts!O2713,Forecasts!O2719)</x:f>
        <x:v>1.5920448636498117</x:v>
      </x:c>
      <x:c r="I168" s="8" t="n">
        <x:f>AVERAGE(Forecasts!M2677,Forecasts!M2683,Forecasts!M2689,Forecasts!M2695,Forecasts!M2701,Forecasts!M2707,Forecasts!M2713,Forecasts!M2719)</x:f>
        <x:v>-1.5460905187111802</x:v>
      </x:c>
      <x:c r="J168" s="8" t="n">
        <x:f>SQRT(AVERAGE(Forecasts!N1154,Forecasts!N1170,Forecasts!N1187,Forecasts!N1203,Forecasts!N1219,Forecasts!N1235,Forecasts!N1251,Forecasts!N1267))</x:f>
        <x:v>1.4142135623730951</x:v>
      </x:c>
      <x:c r="K168" s="8" t="n">
        <x:f>SQRT(AVERAGE(Forecasts!N1156,Forecasts!N1172,Forecasts!N1189,Forecasts!N1205,Forecasts!N1221,Forecasts!N1237,Forecasts!N1253,Forecasts!N1269))</x:f>
        <x:v>2.722196423568727</x:v>
      </x:c>
    </x:row>
    <x:row r="169" ht="26" customHeight="1">
      <x:c r="A169" s="2"/>
      <x:c r="B169" s="2" t="str">
        <x:v>Beauty / organic_volume_growth</x:v>
      </x:c>
      <x:c r="C169" s="2" t="str">
        <x:v>Prior report</x:v>
      </x:c>
      <x:c r="D169" s="2" t="str">
        <x:v>Half correction</x:v>
      </x:c>
      <x:c r="E169" s="2" t="str">
        <x:v>Recent eight</x:v>
      </x:c>
      <x:c r="F169" s="2" t="n">
        <x:v>8</x:v>
      </x:c>
      <x:c r="G169" s="8" t="n">
        <x:f>SQRT(AVERAGE(Forecasts!N2677,Forecasts!N2683,Forecasts!N2689,Forecasts!N2695,Forecasts!N2701,Forecasts!N2707,Forecasts!N2713,Forecasts!N2719))</x:f>
        <x:v>2.1025217643432605</x:v>
      </x:c>
      <x:c r="H169" s="8" t="n">
        <x:f>AVERAGE(Forecasts!O2677,Forecasts!O2683,Forecasts!O2689,Forecasts!O2695,Forecasts!O2701,Forecasts!O2707,Forecasts!O2713,Forecasts!O2719)</x:f>
        <x:v>1.5920448636498117</x:v>
      </x:c>
      <x:c r="I169" s="8" t="n">
        <x:f>AVERAGE(Forecasts!M2677,Forecasts!M2683,Forecasts!M2689,Forecasts!M2695,Forecasts!M2701,Forecasts!M2707,Forecasts!M2713,Forecasts!M2719)</x:f>
        <x:v>-1.5460905187111802</x:v>
      </x:c>
      <x:c r="J169" s="8" t="n">
        <x:f>SQRT(AVERAGE(Forecasts!N1154,Forecasts!N1170,Forecasts!N1187,Forecasts!N1203,Forecasts!N1219,Forecasts!N1235,Forecasts!N1251,Forecasts!N1267))</x:f>
        <x:v>1.4142135623730951</x:v>
      </x:c>
      <x:c r="K169" s="8" t="n">
        <x:f>SQRT(AVERAGE(Forecasts!N1156,Forecasts!N1172,Forecasts!N1189,Forecasts!N1205,Forecasts!N1221,Forecasts!N1237,Forecasts!N1253,Forecasts!N1269))</x:f>
        <x:v>2.722196423568727</x:v>
      </x:c>
    </x:row>
    <x:row r="170" ht="26" customHeight="1">
      <x:c r="A170" s="2"/>
      <x:c r="B170" s="2" t="str">
        <x:v>Beauty / organic_volume_growth</x:v>
      </x:c>
      <x:c r="C170" s="2" t="str">
        <x:v>Prior report</x:v>
      </x:c>
      <x:c r="D170" s="2" t="str">
        <x:v>Last actual</x:v>
      </x:c>
      <x:c r="E170" s="2" t="str">
        <x:v>All available</x:v>
      </x:c>
      <x:c r="F170" s="2" t="n">
        <x:v>12</x:v>
      </x:c>
      <x:c r="G170" s="8" t="n">
        <x:f>SQRT(AVERAGE(Forecasts!N1090,Forecasts!N1105,Forecasts!N1122,Forecasts!N1138,Forecasts!N1154,Forecasts!N1170,Forecasts!N1187,Forecasts!N1203,Forecasts!N1219,Forecasts!N1235,Forecasts!N1251,Forecasts!N1267))</x:f>
        <x:v>1.3844373104863459</x:v>
      </x:c>
      <x:c r="H170" s="8" t="n">
        <x:f>AVERAGE(Forecasts!O1090,Forecasts!O1105,Forecasts!O1122,Forecasts!O1138,Forecasts!O1154,Forecasts!O1170,Forecasts!O1187,Forecasts!O1203,Forecasts!O1219,Forecasts!O1235,Forecasts!O1251,Forecasts!O1267)</x:f>
        <x:v>1.0833333333333333</x:v>
      </x:c>
      <x:c r="I170" s="8" t="n">
        <x:f>AVERAGE(Forecasts!M1090,Forecasts!M1105,Forecasts!M1122,Forecasts!M1138,Forecasts!M1154,Forecasts!M1170,Forecasts!M1187,Forecasts!M1203,Forecasts!M1219,Forecasts!M1235,Forecasts!M1251,Forecasts!M1267)</x:f>
        <x:v>-0.4166666666666667</x:v>
      </x:c>
      <x:c r="J170" s="8" t="n">
        <x:f>SQRT(AVERAGE(Forecasts!N1090,Forecasts!N1105,Forecasts!N1122,Forecasts!N1138,Forecasts!N1154,Forecasts!N1170,Forecasts!N1187,Forecasts!N1203,Forecasts!N1219,Forecasts!N1235,Forecasts!N1251,Forecasts!N1267))</x:f>
        <x:v>1.3844373104863459</x:v>
      </x:c>
      <x:c r="K170" s="8" t="n">
        <x:f>SQRT(AVERAGE(Forecasts!N1092,Forecasts!N1107,Forecasts!N1124,Forecasts!N1140,Forecasts!N1156,Forecasts!N1172,Forecasts!N1189,Forecasts!N1205,Forecasts!N1221,Forecasts!N1237,Forecasts!N1253,Forecasts!N1269))</x:f>
        <x:v>2.3251004579742625</x:v>
      </x:c>
    </x:row>
    <x:row r="171" ht="26" customHeight="1">
      <x:c r="A171" s="2"/>
      <x:c r="B171" s="2" t="str">
        <x:v>Beauty / organic_volume_growth</x:v>
      </x:c>
      <x:c r="C171" s="2" t="str">
        <x:v>Prior report</x:v>
      </x:c>
      <x:c r="D171" s="2" t="str">
        <x:v>Last actual</x:v>
      </x:c>
      <x:c r="E171" s="2" t="str">
        <x:v>Recent eight</x:v>
      </x:c>
      <x:c r="F171" s="2" t="n">
        <x:v>8</x:v>
      </x:c>
      <x:c r="G171" s="8" t="n">
        <x:f>SQRT(AVERAGE(Forecasts!N1154,Forecasts!N1170,Forecasts!N1187,Forecasts!N1203,Forecasts!N1219,Forecasts!N1235,Forecasts!N1251,Forecasts!N1267))</x:f>
        <x:v>1.4142135623730951</x:v>
      </x:c>
      <x:c r="H171" s="8" t="n">
        <x:f>AVERAGE(Forecasts!O1154,Forecasts!O1170,Forecasts!O1187,Forecasts!O1203,Forecasts!O1219,Forecasts!O1235,Forecasts!O1251,Forecasts!O1267)</x:f>
        <x:v>1</x:v>
      </x:c>
      <x:c r="I171" s="8" t="n">
        <x:f>AVERAGE(Forecasts!M1154,Forecasts!M1170,Forecasts!M1187,Forecasts!M1203,Forecasts!M1219,Forecasts!M1235,Forecasts!M1251,Forecasts!M1267)</x:f>
        <x:v>-0.5</x:v>
      </x:c>
      <x:c r="J171" s="8" t="n">
        <x:f>SQRT(AVERAGE(Forecasts!N1154,Forecasts!N1170,Forecasts!N1187,Forecasts!N1203,Forecasts!N1219,Forecasts!N1235,Forecasts!N1251,Forecasts!N1267))</x:f>
        <x:v>1.4142135623730951</x:v>
      </x:c>
      <x:c r="K171" s="8" t="n">
        <x:f>SQRT(AVERAGE(Forecasts!N1156,Forecasts!N1172,Forecasts!N1189,Forecasts!N1205,Forecasts!N1221,Forecasts!N1237,Forecasts!N1253,Forecasts!N1269))</x:f>
        <x:v>2.722196423568727</x:v>
      </x:c>
    </x:row>
    <x:row r="172" ht="26" customHeight="1">
      <x:c r="A172" s="2"/>
      <x:c r="B172" s="2" t="str">
        <x:v>Beauty / organic_volume_growth</x:v>
      </x:c>
      <x:c r="C172" s="2" t="str">
        <x:v>Prior report</x:v>
      </x:c>
      <x:c r="D172" s="2" t="str">
        <x:v>Own history</x:v>
      </x:c>
      <x:c r="E172" s="2" t="str">
        <x:v>All available</x:v>
      </x:c>
      <x:c r="F172" s="2" t="n">
        <x:v>12</x:v>
      </x:c>
      <x:c r="G172" s="8" t="n">
        <x:f>SQRT(AVERAGE(Forecasts!N1094,Forecasts!N1110,Forecasts!N1126,Forecasts!N1142,Forecasts!N1158,Forecasts!N1175,Forecasts!N1191,Forecasts!N1207,Forecasts!N1223,Forecasts!N1239,Forecasts!N1255,Forecasts!N1271))</x:f>
        <x:v>1.7628554717742737</x:v>
      </x:c>
      <x:c r="H172" s="8" t="n">
        <x:f>AVERAGE(Forecasts!O1094,Forecasts!O1110,Forecasts!O1126,Forecasts!O1142,Forecasts!O1158,Forecasts!O1175,Forecasts!O1191,Forecasts!O1207,Forecasts!O1223,Forecasts!O1239,Forecasts!O1255,Forecasts!O1271)</x:f>
        <x:v>1.3521153597017872</x:v>
      </x:c>
      <x:c r="I172" s="8" t="n">
        <x:f>AVERAGE(Forecasts!M1094,Forecasts!M1110,Forecasts!M1126,Forecasts!M1142,Forecasts!M1158,Forecasts!M1175,Forecasts!M1191,Forecasts!M1207,Forecasts!M1223,Forecasts!M1239,Forecasts!M1255,Forecasts!M1271)</x:f>
        <x:v>-1.2239223263200747</x:v>
      </x:c>
      <x:c r="J172" s="8" t="n">
        <x:f>SQRT(AVERAGE(Forecasts!N1090,Forecasts!N1105,Forecasts!N1122,Forecasts!N1138,Forecasts!N1154,Forecasts!N1170,Forecasts!N1187,Forecasts!N1203,Forecasts!N1219,Forecasts!N1235,Forecasts!N1251,Forecasts!N1267))</x:f>
        <x:v>1.3844373104863459</x:v>
      </x:c>
      <x:c r="K172" s="8" t="n">
        <x:f>SQRT(AVERAGE(Forecasts!N1092,Forecasts!N1107,Forecasts!N1124,Forecasts!N1140,Forecasts!N1156,Forecasts!N1172,Forecasts!N1189,Forecasts!N1205,Forecasts!N1221,Forecasts!N1237,Forecasts!N1253,Forecasts!N1269))</x:f>
        <x:v>2.3251004579742625</x:v>
      </x:c>
    </x:row>
    <x:row r="173" ht="26" customHeight="1">
      <x:c r="A173" s="2"/>
      <x:c r="B173" s="2" t="str">
        <x:v>Beauty / organic_volume_growth</x:v>
      </x:c>
      <x:c r="C173" s="2" t="str">
        <x:v>Prior report</x:v>
      </x:c>
      <x:c r="D173" s="2" t="str">
        <x:v>Own history</x:v>
      </x:c>
      <x:c r="E173" s="2" t="str">
        <x:v>Recent eight</x:v>
      </x:c>
      <x:c r="F173" s="2" t="n">
        <x:v>8</x:v>
      </x:c>
      <x:c r="G173" s="8" t="n">
        <x:f>SQRT(AVERAGE(Forecasts!N1158,Forecasts!N1175,Forecasts!N1191,Forecasts!N1207,Forecasts!N1223,Forecasts!N1239,Forecasts!N1255,Forecasts!N1271))</x:f>
        <x:v>2.0250678037045717</x:v>
      </x:c>
      <x:c r="H173" s="8" t="n">
        <x:f>AVERAGE(Forecasts!O1158,Forecasts!O1175,Forecasts!O1191,Forecasts!O1207,Forecasts!O1223,Forecasts!O1239,Forecasts!O1255,Forecasts!O1271)</x:f>
        <x:v>1.589618631171533</x:v>
      </x:c>
      <x:c r="I173" s="8" t="n">
        <x:f>AVERAGE(Forecasts!M1158,Forecasts!M1175,Forecasts!M1191,Forecasts!M1207,Forecasts!M1223,Forecasts!M1239,Forecasts!M1255,Forecasts!M1271)</x:f>
        <x:v>-1.589618631171533</x:v>
      </x:c>
      <x:c r="J173" s="8" t="n">
        <x:f>SQRT(AVERAGE(Forecasts!N1154,Forecasts!N1170,Forecasts!N1187,Forecasts!N1203,Forecasts!N1219,Forecasts!N1235,Forecasts!N1251,Forecasts!N1267))</x:f>
        <x:v>1.4142135623730951</x:v>
      </x:c>
      <x:c r="K173" s="8" t="n">
        <x:f>SQRT(AVERAGE(Forecasts!N1156,Forecasts!N1172,Forecasts!N1189,Forecasts!N1205,Forecasts!N1221,Forecasts!N1237,Forecasts!N1253,Forecasts!N1269))</x:f>
        <x:v>2.722196423568727</x:v>
      </x:c>
    </x:row>
    <x:row r="174" ht="26" customHeight="1">
      <x:c r="A174" s="2"/>
      <x:c r="B174" s="2" t="str">
        <x:v>Beauty / organic_volume_growth</x:v>
      </x:c>
      <x:c r="C174" s="2" t="str">
        <x:v>Pre-earnings</x:v>
      </x:c>
      <x:c r="D174" s="2" t="str">
        <x:v>Bias correction</x:v>
      </x:c>
      <x:c r="E174" s="2" t="str">
        <x:v>All available</x:v>
      </x:c>
      <x:c r="F174" s="2" t="n">
        <x:v>8</x:v>
      </x:c>
      <x:c r="G174" s="8" t="n">
        <x:f>SQRT(AVERAGE(Forecasts!N2678,Forecasts!N2684,Forecasts!N2690,Forecasts!N2696,Forecasts!N2702,Forecasts!N2708,Forecasts!N2714,Forecasts!N2720))</x:f>
        <x:v>1.6168662951964732</x:v>
      </x:c>
      <x:c r="H174" s="8" t="n">
        <x:f>AVERAGE(Forecasts!O2678,Forecasts!O2684,Forecasts!O2690,Forecasts!O2696,Forecasts!O2702,Forecasts!O2708,Forecasts!O2714,Forecasts!O2720)</x:f>
        <x:v>1.2163561544882637</x:v>
      </x:c>
      <x:c r="I174" s="8" t="n">
        <x:f>AVERAGE(Forecasts!M2678,Forecasts!M2684,Forecasts!M2690,Forecasts!M2696,Forecasts!M2702,Forecasts!M2708,Forecasts!M2714,Forecasts!M2720)</x:f>
        <x:v>-0.8878769372278463</x:v>
      </x:c>
      <x:c r="J174" s="8" t="n">
        <x:f>SQRT(AVERAGE(Forecasts!N1159,Forecasts!N1176,Forecasts!N1192,Forecasts!N1208,Forecasts!N1224,Forecasts!N1240,Forecasts!N1256,Forecasts!N1272))</x:f>
        <x:v>1.4142135623730951</x:v>
      </x:c>
      <x:c r="K174" s="8" t="n">
        <x:f>SQRT(AVERAGE(Forecasts!N1161,Forecasts!N1178,Forecasts!N1194,Forecasts!N1210,Forecasts!N1226,Forecasts!N1242,Forecasts!N1258,Forecasts!N1274))</x:f>
        <x:v>2.677572486810872</x:v>
      </x:c>
    </x:row>
    <x:row r="175" ht="26" customHeight="1">
      <x:c r="A175" s="2"/>
      <x:c r="B175" s="2" t="str">
        <x:v>Beauty / organic_volume_growth</x:v>
      </x:c>
      <x:c r="C175" s="2" t="str">
        <x:v>Pre-earnings</x:v>
      </x:c>
      <x:c r="D175" s="2" t="str">
        <x:v>Bias correction</x:v>
      </x:c>
      <x:c r="E175" s="2" t="str">
        <x:v>Recent eight</x:v>
      </x:c>
      <x:c r="F175" s="2" t="n">
        <x:v>8</x:v>
      </x:c>
      <x:c r="G175" s="8" t="n">
        <x:f>SQRT(AVERAGE(Forecasts!N2678,Forecasts!N2684,Forecasts!N2690,Forecasts!N2696,Forecasts!N2702,Forecasts!N2708,Forecasts!N2714,Forecasts!N2720))</x:f>
        <x:v>1.6168662951964732</x:v>
      </x:c>
      <x:c r="H175" s="8" t="n">
        <x:f>AVERAGE(Forecasts!O2678,Forecasts!O2684,Forecasts!O2690,Forecasts!O2696,Forecasts!O2702,Forecasts!O2708,Forecasts!O2714,Forecasts!O2720)</x:f>
        <x:v>1.2163561544882637</x:v>
      </x:c>
      <x:c r="I175" s="8" t="n">
        <x:f>AVERAGE(Forecasts!M2678,Forecasts!M2684,Forecasts!M2690,Forecasts!M2696,Forecasts!M2702,Forecasts!M2708,Forecasts!M2714,Forecasts!M2720)</x:f>
        <x:v>-0.8878769372278463</x:v>
      </x:c>
      <x:c r="J175" s="8" t="n">
        <x:f>SQRT(AVERAGE(Forecasts!N1159,Forecasts!N1176,Forecasts!N1192,Forecasts!N1208,Forecasts!N1224,Forecasts!N1240,Forecasts!N1256,Forecasts!N1272))</x:f>
        <x:v>1.4142135623730951</x:v>
      </x:c>
      <x:c r="K175" s="8" t="n">
        <x:f>SQRT(AVERAGE(Forecasts!N1161,Forecasts!N1178,Forecasts!N1194,Forecasts!N1210,Forecasts!N1226,Forecasts!N1242,Forecasts!N1258,Forecasts!N1274))</x:f>
        <x:v>2.677572486810872</x:v>
      </x:c>
    </x:row>
    <x:row r="176" ht="26" customHeight="1">
      <x:c r="A176" s="2"/>
      <x:c r="B176" s="2" t="str">
        <x:v>Beauty / organic_volume_growth</x:v>
      </x:c>
      <x:c r="C176" s="2" t="str">
        <x:v>Pre-earnings</x:v>
      </x:c>
      <x:c r="D176" s="2" t="str">
        <x:v>Broad lag 1</x:v>
      </x:c>
      <x:c r="E176" s="2" t="str">
        <x:v>All available</x:v>
      </x:c>
      <x:c r="F176" s="2" t="n">
        <x:v>12</x:v>
      </x:c>
      <x:c r="G176" s="8" t="n">
        <x:f>SQRT(AVERAGE(Forecasts!N1098,Forecasts!N1114,Forecasts!N1130,Forecasts!N1146,Forecasts!N1162,Forecasts!N1179,Forecasts!N1195,Forecasts!N1211,Forecasts!N1227,Forecasts!N1243,Forecasts!N1259,Forecasts!N1275))</x:f>
        <x:v>2.316405938578375</x:v>
      </x:c>
      <x:c r="H176" s="8" t="n">
        <x:f>AVERAGE(Forecasts!O1098,Forecasts!O1114,Forecasts!O1130,Forecasts!O1146,Forecasts!O1162,Forecasts!O1179,Forecasts!O1195,Forecasts!O1211,Forecasts!O1227,Forecasts!O1243,Forecasts!O1259,Forecasts!O1275)</x:f>
        <x:v>1.7933952702835743</x:v>
      </x:c>
      <x:c r="I176" s="8" t="n">
        <x:f>AVERAGE(Forecasts!M1098,Forecasts!M1114,Forecasts!M1130,Forecasts!M1146,Forecasts!M1162,Forecasts!M1179,Forecasts!M1195,Forecasts!M1211,Forecasts!M1227,Forecasts!M1243,Forecasts!M1259,Forecasts!M1275)</x:f>
        <x:v>-1.7891076732613442</x:v>
      </x:c>
      <x:c r="J176" s="8" t="n">
        <x:f>SQRT(AVERAGE(Forecasts!N1095,Forecasts!N1111,Forecasts!N1127,Forecasts!N1143,Forecasts!N1159,Forecasts!N1176,Forecasts!N1192,Forecasts!N1208,Forecasts!N1224,Forecasts!N1240,Forecasts!N1256,Forecasts!N1272))</x:f>
        <x:v>1.3844373104863459</x:v>
      </x:c>
      <x:c r="K176" s="8" t="n">
        <x:f>SQRT(AVERAGE(Forecasts!N1097,Forecasts!N1113,Forecasts!N1129,Forecasts!N1145,Forecasts!N1161,Forecasts!N1178,Forecasts!N1194,Forecasts!N1210,Forecasts!N1226,Forecasts!N1242,Forecasts!N1258,Forecasts!N1274))</x:f>
        <x:v>2.2812287236797246</x:v>
      </x:c>
    </x:row>
    <x:row r="177" ht="26" customHeight="1">
      <x:c r="A177" s="2"/>
      <x:c r="B177" s="2" t="str">
        <x:v>Beauty / organic_volume_growth</x:v>
      </x:c>
      <x:c r="C177" s="2" t="str">
        <x:v>Pre-earnings</x:v>
      </x:c>
      <x:c r="D177" s="2" t="str">
        <x:v>Broad lag 1</x:v>
      </x:c>
      <x:c r="E177" s="2" t="str">
        <x:v>Recent eight</x:v>
      </x:c>
      <x:c r="F177" s="2" t="n">
        <x:v>8</x:v>
      </x:c>
      <x:c r="G177" s="8" t="n">
        <x:f>SQRT(AVERAGE(Forecasts!N1162,Forecasts!N1179,Forecasts!N1195,Forecasts!N1211,Forecasts!N1227,Forecasts!N1243,Forecasts!N1259,Forecasts!N1275))</x:f>
        <x:v>2.709265566367597</x:v>
      </x:c>
      <x:c r="H177" s="8" t="n">
        <x:f>AVERAGE(Forecasts!O1162,Forecasts!O1179,Forecasts!O1195,Forecasts!O1211,Forecasts!O1227,Forecasts!O1243,Forecasts!O1259,Forecasts!O1275)</x:f>
        <x:v>2.2246413060629457</x:v>
      </x:c>
      <x:c r="I177" s="8" t="n">
        <x:f>AVERAGE(Forecasts!M1162,Forecasts!M1179,Forecasts!M1195,Forecasts!M1211,Forecasts!M1227,Forecasts!M1243,Forecasts!M1259,Forecasts!M1275)</x:f>
        <x:v>-2.2246413060629457</x:v>
      </x:c>
      <x:c r="J177" s="8" t="n">
        <x:f>SQRT(AVERAGE(Forecasts!N1159,Forecasts!N1176,Forecasts!N1192,Forecasts!N1208,Forecasts!N1224,Forecasts!N1240,Forecasts!N1256,Forecasts!N1272))</x:f>
        <x:v>1.4142135623730951</x:v>
      </x:c>
      <x:c r="K177" s="8" t="n">
        <x:f>SQRT(AVERAGE(Forecasts!N1161,Forecasts!N1178,Forecasts!N1194,Forecasts!N1210,Forecasts!N1226,Forecasts!N1242,Forecasts!N1258,Forecasts!N1274))</x:f>
        <x:v>2.677572486810872</x:v>
      </x:c>
    </x:row>
    <x:row r="178" ht="26" customHeight="1">
      <x:c r="A178" s="2"/>
      <x:c r="B178" s="2" t="str">
        <x:v>Beauty / organic_volume_growth</x:v>
      </x:c>
      <x:c r="C178" s="2" t="str">
        <x:v>Pre-earnings</x:v>
      </x:c>
      <x:c r="D178" s="2" t="str">
        <x:v>Broad market</x:v>
      </x:c>
      <x:c r="E178" s="2" t="str">
        <x:v>All available</x:v>
      </x:c>
      <x:c r="F178" s="2" t="n">
        <x:v>12</x:v>
      </x:c>
      <x:c r="G178" s="8" t="n">
        <x:f>SQRT(AVERAGE(Forecasts!N1097,Forecasts!N1113,Forecasts!N1129,Forecasts!N1145,Forecasts!N1161,Forecasts!N1178,Forecasts!N1194,Forecasts!N1210,Forecasts!N1226,Forecasts!N1242,Forecasts!N1258,Forecasts!N1274))</x:f>
        <x:v>2.2812287236797246</x:v>
      </x:c>
      <x:c r="H178" s="8" t="n">
        <x:f>AVERAGE(Forecasts!O1097,Forecasts!O1113,Forecasts!O1129,Forecasts!O1145,Forecasts!O1161,Forecasts!O1178,Forecasts!O1194,Forecasts!O1210,Forecasts!O1226,Forecasts!O1242,Forecasts!O1258,Forecasts!O1274)</x:f>
        <x:v>1.708120357496756</x:v>
      </x:c>
      <x:c r="I178" s="8" t="n">
        <x:f>AVERAGE(Forecasts!M1097,Forecasts!M1113,Forecasts!M1129,Forecasts!M1145,Forecasts!M1161,Forecasts!M1178,Forecasts!M1194,Forecasts!M1210,Forecasts!M1226,Forecasts!M1242,Forecasts!M1258,Forecasts!M1274)</x:f>
        <x:v>-1.6946360333525703</x:v>
      </x:c>
      <x:c r="J178" s="8" t="n">
        <x:f>SQRT(AVERAGE(Forecasts!N1095,Forecasts!N1111,Forecasts!N1127,Forecasts!N1143,Forecasts!N1159,Forecasts!N1176,Forecasts!N1192,Forecasts!N1208,Forecasts!N1224,Forecasts!N1240,Forecasts!N1256,Forecasts!N1272))</x:f>
        <x:v>1.3844373104863459</x:v>
      </x:c>
      <x:c r="K178" s="8" t="n">
        <x:f>SQRT(AVERAGE(Forecasts!N1097,Forecasts!N1113,Forecasts!N1129,Forecasts!N1145,Forecasts!N1161,Forecasts!N1178,Forecasts!N1194,Forecasts!N1210,Forecasts!N1226,Forecasts!N1242,Forecasts!N1258,Forecasts!N1274))</x:f>
        <x:v>2.2812287236797246</x:v>
      </x:c>
    </x:row>
    <x:row r="179" ht="26" customHeight="1">
      <x:c r="A179" s="2"/>
      <x:c r="B179" s="2" t="str">
        <x:v>Beauty / organic_volume_growth</x:v>
      </x:c>
      <x:c r="C179" s="2" t="str">
        <x:v>Pre-earnings</x:v>
      </x:c>
      <x:c r="D179" s="2" t="str">
        <x:v>Broad market</x:v>
      </x:c>
      <x:c r="E179" s="2" t="str">
        <x:v>Recent eight</x:v>
      </x:c>
      <x:c r="F179" s="2" t="n">
        <x:v>8</x:v>
      </x:c>
      <x:c r="G179" s="8" t="n">
        <x:f>SQRT(AVERAGE(Forecasts!N1161,Forecasts!N1178,Forecasts!N1194,Forecasts!N1210,Forecasts!N1226,Forecasts!N1242,Forecasts!N1258,Forecasts!N1274))</x:f>
        <x:v>2.677572486810872</x:v>
      </x:c>
      <x:c r="H179" s="8" t="n">
        <x:f>AVERAGE(Forecasts!O1161,Forecasts!O1178,Forecasts!O1194,Forecasts!O1210,Forecasts!O1226,Forecasts!O1242,Forecasts!O1258,Forecasts!O1274)</x:f>
        <x:v>2.1433512793905662</x:v>
      </x:c>
      <x:c r="I179" s="8" t="n">
        <x:f>AVERAGE(Forecasts!M1161,Forecasts!M1178,Forecasts!M1194,Forecasts!M1210,Forecasts!M1226,Forecasts!M1242,Forecasts!M1258,Forecasts!M1274)</x:f>
        <x:v>-2.1433512793905662</x:v>
      </x:c>
      <x:c r="J179" s="8" t="n">
        <x:f>SQRT(AVERAGE(Forecasts!N1159,Forecasts!N1176,Forecasts!N1192,Forecasts!N1208,Forecasts!N1224,Forecasts!N1240,Forecasts!N1256,Forecasts!N1272))</x:f>
        <x:v>1.4142135623730951</x:v>
      </x:c>
      <x:c r="K179" s="8" t="n">
        <x:f>SQRT(AVERAGE(Forecasts!N1161,Forecasts!N1178,Forecasts!N1194,Forecasts!N1210,Forecasts!N1226,Forecasts!N1242,Forecasts!N1258,Forecasts!N1274))</x:f>
        <x:v>2.677572486810872</x:v>
      </x:c>
    </x:row>
    <x:row r="180" ht="26" customHeight="1">
      <x:c r="A180" s="2"/>
      <x:c r="B180" s="2" t="str">
        <x:v>Beauty / organic_volume_growth</x:v>
      </x:c>
      <x:c r="C180" s="2" t="str">
        <x:v>Pre-earnings</x:v>
      </x:c>
      <x:c r="D180" s="2" t="str">
        <x:v>Broad rolling 8</x:v>
      </x:c>
      <x:c r="E180" s="2" t="str">
        <x:v>All available</x:v>
      </x:c>
      <x:c r="F180" s="2" t="n">
        <x:v>12</x:v>
      </x:c>
      <x:c r="G180" s="8" t="n">
        <x:f>SQRT(AVERAGE(Forecasts!N1099,Forecasts!N1115,Forecasts!N1131,Forecasts!N1147,Forecasts!N1163,Forecasts!N1180,Forecasts!N1196,Forecasts!N1212,Forecasts!N1228,Forecasts!N1244,Forecasts!N1260,Forecasts!N1276))</x:f>
        <x:v>1.7579008484349452</x:v>
      </x:c>
      <x:c r="H180" s="8" t="n">
        <x:f>AVERAGE(Forecasts!O1099,Forecasts!O1115,Forecasts!O1131,Forecasts!O1147,Forecasts!O1163,Forecasts!O1180,Forecasts!O1196,Forecasts!O1212,Forecasts!O1228,Forecasts!O1244,Forecasts!O1260,Forecasts!O1276)</x:f>
        <x:v>1.3474918309214852</x:v>
      </x:c>
      <x:c r="I180" s="8" t="n">
        <x:f>AVERAGE(Forecasts!M1099,Forecasts!M1115,Forecasts!M1131,Forecasts!M1147,Forecasts!M1163,Forecasts!M1180,Forecasts!M1196,Forecasts!M1212,Forecasts!M1228,Forecasts!M1244,Forecasts!M1260,Forecasts!M1276)</x:f>
        <x:v>-1.11885650486231</x:v>
      </x:c>
      <x:c r="J180" s="8" t="n">
        <x:f>SQRT(AVERAGE(Forecasts!N1095,Forecasts!N1111,Forecasts!N1127,Forecasts!N1143,Forecasts!N1159,Forecasts!N1176,Forecasts!N1192,Forecasts!N1208,Forecasts!N1224,Forecasts!N1240,Forecasts!N1256,Forecasts!N1272))</x:f>
        <x:v>1.3844373104863459</x:v>
      </x:c>
      <x:c r="K180" s="8" t="n">
        <x:f>SQRT(AVERAGE(Forecasts!N1097,Forecasts!N1113,Forecasts!N1129,Forecasts!N1145,Forecasts!N1161,Forecasts!N1178,Forecasts!N1194,Forecasts!N1210,Forecasts!N1226,Forecasts!N1242,Forecasts!N1258,Forecasts!N1274))</x:f>
        <x:v>2.2812287236797246</x:v>
      </x:c>
    </x:row>
    <x:row r="181" ht="26" customHeight="1">
      <x:c r="A181" s="2"/>
      <x:c r="B181" s="2" t="str">
        <x:v>Beauty / organic_volume_growth</x:v>
      </x:c>
      <x:c r="C181" s="2" t="str">
        <x:v>Pre-earnings</x:v>
      </x:c>
      <x:c r="D181" s="2" t="str">
        <x:v>Broad rolling 8</x:v>
      </x:c>
      <x:c r="E181" s="2" t="str">
        <x:v>Recent eight</x:v>
      </x:c>
      <x:c r="F181" s="2" t="n">
        <x:v>8</x:v>
      </x:c>
      <x:c r="G181" s="8" t="n">
        <x:f>SQRT(AVERAGE(Forecasts!N1163,Forecasts!N1180,Forecasts!N1196,Forecasts!N1212,Forecasts!N1228,Forecasts!N1244,Forecasts!N1260,Forecasts!N1276))</x:f>
        <x:v>1.976764427681227</x:v>
      </x:c>
      <x:c r="H181" s="8" t="n">
        <x:f>AVERAGE(Forecasts!O1163,Forecasts!O1180,Forecasts!O1196,Forecasts!O1212,Forecasts!O1228,Forecasts!O1244,Forecasts!O1260,Forecasts!O1276)</x:f>
        <x:v>1.560874464991906</x:v>
      </x:c>
      <x:c r="I181" s="8" t="n">
        <x:f>AVERAGE(Forecasts!M1163,Forecasts!M1180,Forecasts!M1196,Forecasts!M1212,Forecasts!M1228,Forecasts!M1244,Forecasts!M1260,Forecasts!M1276)</x:f>
        <x:v>-1.2294330269771059</x:v>
      </x:c>
      <x:c r="J181" s="8" t="n">
        <x:f>SQRT(AVERAGE(Forecasts!N1159,Forecasts!N1176,Forecasts!N1192,Forecasts!N1208,Forecasts!N1224,Forecasts!N1240,Forecasts!N1256,Forecasts!N1272))</x:f>
        <x:v>1.4142135623730951</x:v>
      </x:c>
      <x:c r="K181" s="8" t="n">
        <x:f>SQRT(AVERAGE(Forecasts!N1161,Forecasts!N1178,Forecasts!N1194,Forecasts!N1210,Forecasts!N1226,Forecasts!N1242,Forecasts!N1258,Forecasts!N1274))</x:f>
        <x:v>2.677572486810872</x:v>
      </x:c>
    </x:row>
    <x:row r="182" ht="26" customHeight="1">
      <x:c r="A182" s="2"/>
      <x:c r="B182" s="2" t="str">
        <x:v>Beauty / organic_volume_growth</x:v>
      </x:c>
      <x:c r="C182" s="2" t="str">
        <x:v>Pre-earnings</x:v>
      </x:c>
      <x:c r="D182" s="2" t="str">
        <x:v>Four-quarter mean</x:v>
      </x:c>
      <x:c r="E182" s="2" t="str">
        <x:v>All available</x:v>
      </x:c>
      <x:c r="F182" s="2" t="n">
        <x:v>12</x:v>
      </x:c>
      <x:c r="G182" s="8" t="n">
        <x:f>SQRT(AVERAGE(Forecasts!N1096,Forecasts!N1112,Forecasts!N1128,Forecasts!N1144,Forecasts!N1160,Forecasts!N1177,Forecasts!N1193,Forecasts!N1209,Forecasts!N1225,Forecasts!N1241,Forecasts!N1257,Forecasts!N1273))</x:f>
        <x:v>1.5645819462932156</x:v>
      </x:c>
      <x:c r="H182" s="8" t="n">
        <x:f>AVERAGE(Forecasts!O1096,Forecasts!O1112,Forecasts!O1128,Forecasts!O1144,Forecasts!O1160,Forecasts!O1177,Forecasts!O1193,Forecasts!O1209,Forecasts!O1225,Forecasts!O1241,Forecasts!O1257,Forecasts!O1273)</x:f>
        <x:v>1.2083333333333333</x:v>
      </x:c>
      <x:c r="I182" s="8" t="n">
        <x:f>AVERAGE(Forecasts!M1096,Forecasts!M1112,Forecasts!M1128,Forecasts!M1144,Forecasts!M1160,Forecasts!M1177,Forecasts!M1193,Forecasts!M1209,Forecasts!M1225,Forecasts!M1241,Forecasts!M1257,Forecasts!M1273)</x:f>
        <x:v>-1.125</x:v>
      </x:c>
      <x:c r="J182" s="8" t="n">
        <x:f>SQRT(AVERAGE(Forecasts!N1095,Forecasts!N1111,Forecasts!N1127,Forecasts!N1143,Forecasts!N1159,Forecasts!N1176,Forecasts!N1192,Forecasts!N1208,Forecasts!N1224,Forecasts!N1240,Forecasts!N1256,Forecasts!N1272))</x:f>
        <x:v>1.3844373104863459</x:v>
      </x:c>
      <x:c r="K182" s="8" t="n">
        <x:f>SQRT(AVERAGE(Forecasts!N1097,Forecasts!N1113,Forecasts!N1129,Forecasts!N1145,Forecasts!N1161,Forecasts!N1178,Forecasts!N1194,Forecasts!N1210,Forecasts!N1226,Forecasts!N1242,Forecasts!N1258,Forecasts!N1274))</x:f>
        <x:v>2.2812287236797246</x:v>
      </x:c>
    </x:row>
    <x:row r="183" ht="26" customHeight="1">
      <x:c r="A183" s="2"/>
      <x:c r="B183" s="2" t="str">
        <x:v>Beauty / organic_volume_growth</x:v>
      </x:c>
      <x:c r="C183" s="2" t="str">
        <x:v>Pre-earnings</x:v>
      </x:c>
      <x:c r="D183" s="2" t="str">
        <x:v>Four-quarter mean</x:v>
      </x:c>
      <x:c r="E183" s="2" t="str">
        <x:v>Recent eight</x:v>
      </x:c>
      <x:c r="F183" s="2" t="n">
        <x:v>8</x:v>
      </x:c>
      <x:c r="G183" s="8" t="n">
        <x:f>SQRT(AVERAGE(Forecasts!N1160,Forecasts!N1177,Forecasts!N1193,Forecasts!N1209,Forecasts!N1225,Forecasts!N1241,Forecasts!N1257,Forecasts!N1273))</x:f>
        <x:v>1.741048534648015</x:v>
      </x:c>
      <x:c r="H183" s="8" t="n">
        <x:f>AVERAGE(Forecasts!O1160,Forecasts!O1177,Forecasts!O1193,Forecasts!O1209,Forecasts!O1225,Forecasts!O1241,Forecasts!O1257,Forecasts!O1273)</x:f>
        <x:v>1.3125</x:v>
      </x:c>
      <x:c r="I183" s="8" t="n">
        <x:f>AVERAGE(Forecasts!M1160,Forecasts!M1177,Forecasts!M1193,Forecasts!M1209,Forecasts!M1225,Forecasts!M1241,Forecasts!M1257,Forecasts!M1273)</x:f>
        <x:v>-1.1875</x:v>
      </x:c>
      <x:c r="J183" s="8" t="n">
        <x:f>SQRT(AVERAGE(Forecasts!N1159,Forecasts!N1176,Forecasts!N1192,Forecasts!N1208,Forecasts!N1224,Forecasts!N1240,Forecasts!N1256,Forecasts!N1272))</x:f>
        <x:v>1.4142135623730951</x:v>
      </x:c>
      <x:c r="K183" s="8" t="n">
        <x:f>SQRT(AVERAGE(Forecasts!N1161,Forecasts!N1178,Forecasts!N1194,Forecasts!N1210,Forecasts!N1226,Forecasts!N1242,Forecasts!N1258,Forecasts!N1274))</x:f>
        <x:v>2.677572486810872</x:v>
      </x:c>
    </x:row>
    <x:row r="184" ht="26" customHeight="1">
      <x:c r="A184" s="2"/>
      <x:c r="B184" s="2" t="str">
        <x:v>Beauty / organic_volume_growth</x:v>
      </x:c>
      <x:c r="C184" s="2" t="str">
        <x:v>Pre-earnings</x:v>
      </x:c>
      <x:c r="D184" s="2" t="str">
        <x:v>Half correction</x:v>
      </x:c>
      <x:c r="E184" s="2" t="str">
        <x:v>All available</x:v>
      </x:c>
      <x:c r="F184" s="2" t="n">
        <x:v>8</x:v>
      </x:c>
      <x:c r="G184" s="8" t="n">
        <x:f>SQRT(AVERAGE(Forecasts!N2679,Forecasts!N2685,Forecasts!N2691,Forecasts!N2697,Forecasts!N2703,Forecasts!N2709,Forecasts!N2715,Forecasts!N2721))</x:f>
        <x:v>2.105918127732944</x:v>
      </x:c>
      <x:c r="H184" s="8" t="n">
        <x:f>AVERAGE(Forecasts!O2679,Forecasts!O2685,Forecasts!O2691,Forecasts!O2697,Forecasts!O2703,Forecasts!O2709,Forecasts!O2715,Forecasts!O2721)</x:f>
        <x:v>1.571393206051032</x:v>
      </x:c>
      <x:c r="I184" s="8" t="n">
        <x:f>AVERAGE(Forecasts!M2679,Forecasts!M2685,Forecasts!M2691,Forecasts!M2697,Forecasts!M2703,Forecasts!M2709,Forecasts!M2715,Forecasts!M2721)</x:f>
        <x:v>-1.515614108309206</x:v>
      </x:c>
      <x:c r="J184" s="8" t="n">
        <x:f>SQRT(AVERAGE(Forecasts!N1159,Forecasts!N1176,Forecasts!N1192,Forecasts!N1208,Forecasts!N1224,Forecasts!N1240,Forecasts!N1256,Forecasts!N1272))</x:f>
        <x:v>1.4142135623730951</x:v>
      </x:c>
      <x:c r="K184" s="8" t="n">
        <x:f>SQRT(AVERAGE(Forecasts!N1161,Forecasts!N1178,Forecasts!N1194,Forecasts!N1210,Forecasts!N1226,Forecasts!N1242,Forecasts!N1258,Forecasts!N1274))</x:f>
        <x:v>2.677572486810872</x:v>
      </x:c>
    </x:row>
    <x:row r="185" ht="26" customHeight="1">
      <x:c r="A185" s="2"/>
      <x:c r="B185" s="2" t="str">
        <x:v>Beauty / organic_volume_growth</x:v>
      </x:c>
      <x:c r="C185" s="2" t="str">
        <x:v>Pre-earnings</x:v>
      </x:c>
      <x:c r="D185" s="2" t="str">
        <x:v>Half correction</x:v>
      </x:c>
      <x:c r="E185" s="2" t="str">
        <x:v>Recent eight</x:v>
      </x:c>
      <x:c r="F185" s="2" t="n">
        <x:v>8</x:v>
      </x:c>
      <x:c r="G185" s="8" t="n">
        <x:f>SQRT(AVERAGE(Forecasts!N2679,Forecasts!N2685,Forecasts!N2691,Forecasts!N2697,Forecasts!N2703,Forecasts!N2709,Forecasts!N2715,Forecasts!N2721))</x:f>
        <x:v>2.105918127732944</x:v>
      </x:c>
      <x:c r="H185" s="8" t="n">
        <x:f>AVERAGE(Forecasts!O2679,Forecasts!O2685,Forecasts!O2691,Forecasts!O2697,Forecasts!O2703,Forecasts!O2709,Forecasts!O2715,Forecasts!O2721)</x:f>
        <x:v>1.571393206051032</x:v>
      </x:c>
      <x:c r="I185" s="8" t="n">
        <x:f>AVERAGE(Forecasts!M2679,Forecasts!M2685,Forecasts!M2691,Forecasts!M2697,Forecasts!M2703,Forecasts!M2709,Forecasts!M2715,Forecasts!M2721)</x:f>
        <x:v>-1.515614108309206</x:v>
      </x:c>
      <x:c r="J185" s="8" t="n">
        <x:f>SQRT(AVERAGE(Forecasts!N1159,Forecasts!N1176,Forecasts!N1192,Forecasts!N1208,Forecasts!N1224,Forecasts!N1240,Forecasts!N1256,Forecasts!N1272))</x:f>
        <x:v>1.4142135623730951</x:v>
      </x:c>
      <x:c r="K185" s="8" t="n">
        <x:f>SQRT(AVERAGE(Forecasts!N1161,Forecasts!N1178,Forecasts!N1194,Forecasts!N1210,Forecasts!N1226,Forecasts!N1242,Forecasts!N1258,Forecasts!N1274))</x:f>
        <x:v>2.677572486810872</x:v>
      </x:c>
    </x:row>
    <x:row r="186" ht="26" customHeight="1">
      <x:c r="A186" s="2"/>
      <x:c r="B186" s="2" t="str">
        <x:v>Beauty / organic_volume_growth</x:v>
      </x:c>
      <x:c r="C186" s="2" t="str">
        <x:v>Pre-earnings</x:v>
      </x:c>
      <x:c r="D186" s="2" t="str">
        <x:v>Last actual</x:v>
      </x:c>
      <x:c r="E186" s="2" t="str">
        <x:v>All available</x:v>
      </x:c>
      <x:c r="F186" s="2" t="n">
        <x:v>12</x:v>
      </x:c>
      <x:c r="G186" s="8" t="n">
        <x:f>SQRT(AVERAGE(Forecasts!N1095,Forecasts!N1111,Forecasts!N1127,Forecasts!N1143,Forecasts!N1159,Forecasts!N1176,Forecasts!N1192,Forecasts!N1208,Forecasts!N1224,Forecasts!N1240,Forecasts!N1256,Forecasts!N1272))</x:f>
        <x:v>1.3844373104863459</x:v>
      </x:c>
      <x:c r="H186" s="8" t="n">
        <x:f>AVERAGE(Forecasts!O1095,Forecasts!O1111,Forecasts!O1127,Forecasts!O1143,Forecasts!O1159,Forecasts!O1176,Forecasts!O1192,Forecasts!O1208,Forecasts!O1224,Forecasts!O1240,Forecasts!O1256,Forecasts!O1272)</x:f>
        <x:v>1.0833333333333333</x:v>
      </x:c>
      <x:c r="I186" s="8" t="n">
        <x:f>AVERAGE(Forecasts!M1095,Forecasts!M1111,Forecasts!M1127,Forecasts!M1143,Forecasts!M1159,Forecasts!M1176,Forecasts!M1192,Forecasts!M1208,Forecasts!M1224,Forecasts!M1240,Forecasts!M1256,Forecasts!M1272)</x:f>
        <x:v>-0.4166666666666667</x:v>
      </x:c>
      <x:c r="J186" s="8" t="n">
        <x:f>SQRT(AVERAGE(Forecasts!N1095,Forecasts!N1111,Forecasts!N1127,Forecasts!N1143,Forecasts!N1159,Forecasts!N1176,Forecasts!N1192,Forecasts!N1208,Forecasts!N1224,Forecasts!N1240,Forecasts!N1256,Forecasts!N1272))</x:f>
        <x:v>1.3844373104863459</x:v>
      </x:c>
      <x:c r="K186" s="8" t="n">
        <x:f>SQRT(AVERAGE(Forecasts!N1097,Forecasts!N1113,Forecasts!N1129,Forecasts!N1145,Forecasts!N1161,Forecasts!N1178,Forecasts!N1194,Forecasts!N1210,Forecasts!N1226,Forecasts!N1242,Forecasts!N1258,Forecasts!N1274))</x:f>
        <x:v>2.2812287236797246</x:v>
      </x:c>
    </x:row>
    <x:row r="187" ht="26" customHeight="1">
      <x:c r="A187" s="2"/>
      <x:c r="B187" s="2" t="str">
        <x:v>Beauty / organic_volume_growth</x:v>
      </x:c>
      <x:c r="C187" s="2" t="str">
        <x:v>Pre-earnings</x:v>
      </x:c>
      <x:c r="D187" s="2" t="str">
        <x:v>Last actual</x:v>
      </x:c>
      <x:c r="E187" s="2" t="str">
        <x:v>Recent eight</x:v>
      </x:c>
      <x:c r="F187" s="2" t="n">
        <x:v>8</x:v>
      </x:c>
      <x:c r="G187" s="8" t="n">
        <x:f>SQRT(AVERAGE(Forecasts!N1159,Forecasts!N1176,Forecasts!N1192,Forecasts!N1208,Forecasts!N1224,Forecasts!N1240,Forecasts!N1256,Forecasts!N1272))</x:f>
        <x:v>1.4142135623730951</x:v>
      </x:c>
      <x:c r="H187" s="8" t="n">
        <x:f>AVERAGE(Forecasts!O1159,Forecasts!O1176,Forecasts!O1192,Forecasts!O1208,Forecasts!O1224,Forecasts!O1240,Forecasts!O1256,Forecasts!O1272)</x:f>
        <x:v>1</x:v>
      </x:c>
      <x:c r="I187" s="8" t="n">
        <x:f>AVERAGE(Forecasts!M1159,Forecasts!M1176,Forecasts!M1192,Forecasts!M1208,Forecasts!M1224,Forecasts!M1240,Forecasts!M1256,Forecasts!M1272)</x:f>
        <x:v>-0.5</x:v>
      </x:c>
      <x:c r="J187" s="8" t="n">
        <x:f>SQRT(AVERAGE(Forecasts!N1159,Forecasts!N1176,Forecasts!N1192,Forecasts!N1208,Forecasts!N1224,Forecasts!N1240,Forecasts!N1256,Forecasts!N1272))</x:f>
        <x:v>1.4142135623730951</x:v>
      </x:c>
      <x:c r="K187" s="8" t="n">
        <x:f>SQRT(AVERAGE(Forecasts!N1161,Forecasts!N1178,Forecasts!N1194,Forecasts!N1210,Forecasts!N1226,Forecasts!N1242,Forecasts!N1258,Forecasts!N1274))</x:f>
        <x:v>2.677572486810872</x:v>
      </x:c>
    </x:row>
    <x:row r="188" ht="26" customHeight="1">
      <x:c r="A188" s="2"/>
      <x:c r="B188" s="2" t="str">
        <x:v>Beauty / organic_volume_growth</x:v>
      </x:c>
      <x:c r="C188" s="2" t="str">
        <x:v>Pre-earnings</x:v>
      </x:c>
      <x:c r="D188" s="2" t="str">
        <x:v>Own history</x:v>
      </x:c>
      <x:c r="E188" s="2" t="str">
        <x:v>All available</x:v>
      </x:c>
      <x:c r="F188" s="2" t="n">
        <x:v>12</x:v>
      </x:c>
      <x:c r="G188" s="8" t="n">
        <x:f>SQRT(AVERAGE(Forecasts!N1100,Forecasts!N1116,Forecasts!N1132,Forecasts!N1148,Forecasts!N1164,Forecasts!N1181,Forecasts!N1197,Forecasts!N1213,Forecasts!N1229,Forecasts!N1245,Forecasts!N1261,Forecasts!N1277))</x:f>
        <x:v>1.7628554717742737</x:v>
      </x:c>
      <x:c r="H188" s="8" t="n">
        <x:f>AVERAGE(Forecasts!O1100,Forecasts!O1116,Forecasts!O1132,Forecasts!O1148,Forecasts!O1164,Forecasts!O1181,Forecasts!O1197,Forecasts!O1213,Forecasts!O1229,Forecasts!O1245,Forecasts!O1261,Forecasts!O1277)</x:f>
        <x:v>1.3521153597017872</x:v>
      </x:c>
      <x:c r="I188" s="8" t="n">
        <x:f>AVERAGE(Forecasts!M1100,Forecasts!M1116,Forecasts!M1132,Forecasts!M1148,Forecasts!M1164,Forecasts!M1181,Forecasts!M1197,Forecasts!M1213,Forecasts!M1229,Forecasts!M1245,Forecasts!M1261,Forecasts!M1277)</x:f>
        <x:v>-1.2239223263200747</x:v>
      </x:c>
      <x:c r="J188" s="8" t="n">
        <x:f>SQRT(AVERAGE(Forecasts!N1095,Forecasts!N1111,Forecasts!N1127,Forecasts!N1143,Forecasts!N1159,Forecasts!N1176,Forecasts!N1192,Forecasts!N1208,Forecasts!N1224,Forecasts!N1240,Forecasts!N1256,Forecasts!N1272))</x:f>
        <x:v>1.3844373104863459</x:v>
      </x:c>
      <x:c r="K188" s="8" t="n">
        <x:f>SQRT(AVERAGE(Forecasts!N1097,Forecasts!N1113,Forecasts!N1129,Forecasts!N1145,Forecasts!N1161,Forecasts!N1178,Forecasts!N1194,Forecasts!N1210,Forecasts!N1226,Forecasts!N1242,Forecasts!N1258,Forecasts!N1274))</x:f>
        <x:v>2.2812287236797246</x:v>
      </x:c>
    </x:row>
    <x:row r="189" ht="26" customHeight="1">
      <x:c r="A189" s="2"/>
      <x:c r="B189" s="2" t="str">
        <x:v>Beauty / organic_volume_growth</x:v>
      </x:c>
      <x:c r="C189" s="2" t="str">
        <x:v>Pre-earnings</x:v>
      </x:c>
      <x:c r="D189" s="2" t="str">
        <x:v>Own history</x:v>
      </x:c>
      <x:c r="E189" s="2" t="str">
        <x:v>Recent eight</x:v>
      </x:c>
      <x:c r="F189" s="2" t="n">
        <x:v>8</x:v>
      </x:c>
      <x:c r="G189" s="8" t="n">
        <x:f>SQRT(AVERAGE(Forecasts!N1164,Forecasts!N1181,Forecasts!N1197,Forecasts!N1213,Forecasts!N1229,Forecasts!N1245,Forecasts!N1261,Forecasts!N1277))</x:f>
        <x:v>2.0250678037045717</x:v>
      </x:c>
      <x:c r="H189" s="8" t="n">
        <x:f>AVERAGE(Forecasts!O1164,Forecasts!O1181,Forecasts!O1197,Forecasts!O1213,Forecasts!O1229,Forecasts!O1245,Forecasts!O1261,Forecasts!O1277)</x:f>
        <x:v>1.589618631171533</x:v>
      </x:c>
      <x:c r="I189" s="8" t="n">
        <x:f>AVERAGE(Forecasts!M1164,Forecasts!M1181,Forecasts!M1197,Forecasts!M1213,Forecasts!M1229,Forecasts!M1245,Forecasts!M1261,Forecasts!M1277)</x:f>
        <x:v>-1.589618631171533</x:v>
      </x:c>
      <x:c r="J189" s="8" t="n">
        <x:f>SQRT(AVERAGE(Forecasts!N1159,Forecasts!N1176,Forecasts!N1192,Forecasts!N1208,Forecasts!N1224,Forecasts!N1240,Forecasts!N1256,Forecasts!N1272))</x:f>
        <x:v>1.4142135623730951</x:v>
      </x:c>
      <x:c r="K189" s="8" t="n">
        <x:f>SQRT(AVERAGE(Forecasts!N1161,Forecasts!N1178,Forecasts!N1194,Forecasts!N1210,Forecasts!N1226,Forecasts!N1242,Forecasts!N1258,Forecasts!N1274))</x:f>
        <x:v>2.677572486810872</x:v>
      </x:c>
    </x:row>
    <x:row r="190" ht="26" customHeight="1">
      <x:c r="A190" s="2"/>
      <x:c r="B190" s="2" t="str">
        <x:v>Beauty / price_contribution</x:v>
      </x:c>
      <x:c r="C190" s="2" t="str">
        <x:v>Origin</x:v>
      </x:c>
      <x:c r="D190" s="2" t="str">
        <x:v>Bias correction</x:v>
      </x:c>
      <x:c r="E190" s="2" t="str">
        <x:v>All available</x:v>
      </x:c>
      <x:c r="F190" s="2" t="n">
        <x:v>7</x:v>
      </x:c>
      <x:c r="G190" s="8" t="n">
        <x:f>SQRT(AVERAGE(Forecasts!N2450,Forecasts!N2456,Forecasts!N2462,Forecasts!N2468,Forecasts!N2474,Forecasts!N2480,Forecasts!N2486))</x:f>
        <x:v>1.7421731381607932</x:v>
      </x:c>
      <x:c r="H190" s="8" t="n">
        <x:f>AVERAGE(Forecasts!O2450,Forecasts!O2456,Forecasts!O2462,Forecasts!O2468,Forecasts!O2474,Forecasts!O2480,Forecasts!O2486)</x:f>
        <x:v>1.4890948731500349</x:v>
      </x:c>
      <x:c r="I190" s="8" t="n">
        <x:f>AVERAGE(Forecasts!M2450,Forecasts!M2456,Forecasts!M2462,Forecasts!M2468,Forecasts!M2474,Forecasts!M2480,Forecasts!M2486)</x:f>
        <x:v>-0.7065220586649436</x:v>
      </x:c>
      <x:c r="J190" s="8" t="n">
        <x:f>SQRT(AVERAGE(Forecasts!N116,Forecasts!N140,Forecasts!N165,Forecasts!N190,Forecasts!N215,Forecasts!N240,Forecasts!N265))</x:f>
        <x:v>1.6035674514745464</x:v>
      </x:c>
      <x:c r="K190" s="8" t="n">
        <x:f>SQRT(AVERAGE(Forecasts!N118,Forecasts!N142,Forecasts!N167,Forecasts!N192,Forecasts!N217,Forecasts!N242,Forecasts!N267))</x:f>
        <x:v>1.716465732727496</x:v>
      </x:c>
    </x:row>
    <x:row r="191" ht="26" customHeight="1">
      <x:c r="A191" s="2"/>
      <x:c r="B191" s="2" t="str">
        <x:v>Beauty / price_contribution</x:v>
      </x:c>
      <x:c r="C191" s="2" t="str">
        <x:v>Origin</x:v>
      </x:c>
      <x:c r="D191" s="2" t="str">
        <x:v>Bias correction</x:v>
      </x:c>
      <x:c r="E191" s="2" t="str">
        <x:v>Recent eight</x:v>
      </x:c>
      <x:c r="F191" s="2" t="n">
        <x:v>7</x:v>
      </x:c>
      <x:c r="G191" s="8" t="n">
        <x:f>SQRT(AVERAGE(Forecasts!N2450,Forecasts!N2456,Forecasts!N2462,Forecasts!N2468,Forecasts!N2474,Forecasts!N2480,Forecasts!N2486))</x:f>
        <x:v>1.7421731381607932</x:v>
      </x:c>
      <x:c r="H191" s="8" t="n">
        <x:f>AVERAGE(Forecasts!O2450,Forecasts!O2456,Forecasts!O2462,Forecasts!O2468,Forecasts!O2474,Forecasts!O2480,Forecasts!O2486)</x:f>
        <x:v>1.4890948731500349</x:v>
      </x:c>
      <x:c r="I191" s="8" t="n">
        <x:f>AVERAGE(Forecasts!M2450,Forecasts!M2456,Forecasts!M2462,Forecasts!M2468,Forecasts!M2474,Forecasts!M2480,Forecasts!M2486)</x:f>
        <x:v>-0.7065220586649436</x:v>
      </x:c>
      <x:c r="J191" s="8" t="n">
        <x:f>SQRT(AVERAGE(Forecasts!N116,Forecasts!N140,Forecasts!N165,Forecasts!N190,Forecasts!N215,Forecasts!N240,Forecasts!N265))</x:f>
        <x:v>1.6035674514745464</x:v>
      </x:c>
      <x:c r="K191" s="8" t="n">
        <x:f>SQRT(AVERAGE(Forecasts!N118,Forecasts!N142,Forecasts!N167,Forecasts!N192,Forecasts!N217,Forecasts!N242,Forecasts!N267))</x:f>
        <x:v>1.716465732727496</x:v>
      </x:c>
    </x:row>
    <x:row r="192" ht="26" customHeight="1">
      <x:c r="A192" s="2"/>
      <x:c r="B192" s="2" t="str">
        <x:v>Beauty / price_contribution</x:v>
      </x:c>
      <x:c r="C192" s="2" t="str">
        <x:v>Origin</x:v>
      </x:c>
      <x:c r="D192" s="2" t="str">
        <x:v>Broad market</x:v>
      </x:c>
      <x:c r="E192" s="2" t="str">
        <x:v>All available</x:v>
      </x:c>
      <x:c r="F192" s="2" t="n">
        <x:v>12</x:v>
      </x:c>
      <x:c r="G192" s="8" t="n">
        <x:f>SQRT(AVERAGE(Forecasts!N8,Forecasts!N29,Forecasts!N50,Forecasts!N72,Forecasts!N94,Forecasts!N118,Forecasts!N142,Forecasts!N167,Forecasts!N192,Forecasts!N217,Forecasts!N242,Forecasts!N267))</x:f>
        <x:v>2.0261863636239434</x:v>
      </x:c>
      <x:c r="H192" s="8" t="n">
        <x:f>AVERAGE(Forecasts!O8,Forecasts!O29,Forecasts!O50,Forecasts!O72,Forecasts!O94,Forecasts!O118,Forecasts!O142,Forecasts!O167,Forecasts!O192,Forecasts!O217,Forecasts!O242,Forecasts!O267)</x:f>
        <x:v>1.7229122654514522</x:v>
      </x:c>
      <x:c r="I192" s="8" t="n">
        <x:f>AVERAGE(Forecasts!M8,Forecasts!M29,Forecasts!M50,Forecasts!M72,Forecasts!M94,Forecasts!M118,Forecasts!M142,Forecasts!M167,Forecasts!M192,Forecasts!M217,Forecasts!M242,Forecasts!M267)</x:f>
        <x:v>1.6320495032841382</x:v>
      </x:c>
      <x:c r="J192" s="8" t="n">
        <x:f>SQRT(AVERAGE(Forecasts!N6,Forecasts!N27,Forecasts!N48,Forecasts!N70,Forecasts!N92,Forecasts!N116,Forecasts!N140,Forecasts!N165,Forecasts!N190,Forecasts!N215,Forecasts!N240,Forecasts!N265))</x:f>
        <x:v>1.9578900207451218</x:v>
      </x:c>
      <x:c r="K192" s="8" t="n">
        <x:f>SQRT(AVERAGE(Forecasts!N8,Forecasts!N29,Forecasts!N50,Forecasts!N72,Forecasts!N94,Forecasts!N118,Forecasts!N142,Forecasts!N167,Forecasts!N192,Forecasts!N217,Forecasts!N242,Forecasts!N267))</x:f>
        <x:v>2.0261863636239434</x:v>
      </x:c>
    </x:row>
    <x:row r="193" ht="26" customHeight="1">
      <x:c r="A193" s="2"/>
      <x:c r="B193" s="2" t="str">
        <x:v>Beauty / price_contribution</x:v>
      </x:c>
      <x:c r="C193" s="2" t="str">
        <x:v>Origin</x:v>
      </x:c>
      <x:c r="D193" s="2" t="str">
        <x:v>Broad market</x:v>
      </x:c>
      <x:c r="E193" s="2" t="str">
        <x:v>Recent eight</x:v>
      </x:c>
      <x:c r="F193" s="2" t="n">
        <x:v>8</x:v>
      </x:c>
      <x:c r="G193" s="8" t="n">
        <x:f>SQRT(AVERAGE(Forecasts!N94,Forecasts!N118,Forecasts!N142,Forecasts!N167,Forecasts!N192,Forecasts!N217,Forecasts!N242,Forecasts!N267))</x:f>
        <x:v>1.826642277204458</x:v>
      </x:c>
      <x:c r="H193" s="8" t="n">
        <x:f>AVERAGE(Forecasts!O94,Forecasts!O118,Forecasts!O142,Forecasts!O167,Forecasts!O192,Forecasts!O217,Forecasts!O242,Forecasts!O267)</x:f>
        <x:v>1.5384022575843275</x:v>
      </x:c>
      <x:c r="I193" s="8" t="n">
        <x:f>AVERAGE(Forecasts!M94,Forecasts!M118,Forecasts!M142,Forecasts!M167,Forecasts!M192,Forecasts!M217,Forecasts!M242,Forecasts!M267)</x:f>
        <x:v>1.4021081143333567</x:v>
      </x:c>
      <x:c r="J193" s="8" t="n">
        <x:f>SQRT(AVERAGE(Forecasts!N92,Forecasts!N116,Forecasts!N140,Forecasts!N165,Forecasts!N190,Forecasts!N215,Forecasts!N240,Forecasts!N265))</x:f>
        <x:v>1.541103500742244</x:v>
      </x:c>
      <x:c r="K193" s="8" t="n">
        <x:f>SQRT(AVERAGE(Forecasts!N94,Forecasts!N118,Forecasts!N142,Forecasts!N167,Forecasts!N192,Forecasts!N217,Forecasts!N242,Forecasts!N267))</x:f>
        <x:v>1.826642277204458</x:v>
      </x:c>
    </x:row>
    <x:row r="194" ht="26" customHeight="1">
      <x:c r="A194" s="2"/>
      <x:c r="B194" s="2" t="str">
        <x:v>Beauty / price_contribution</x:v>
      </x:c>
      <x:c r="C194" s="2" t="str">
        <x:v>Origin</x:v>
      </x:c>
      <x:c r="D194" s="2" t="str">
        <x:v>Broad rolling 8</x:v>
      </x:c>
      <x:c r="E194" s="2" t="str">
        <x:v>All available</x:v>
      </x:c>
      <x:c r="F194" s="2" t="n">
        <x:v>12</x:v>
      </x:c>
      <x:c r="G194" s="8" t="n">
        <x:f>SQRT(AVERAGE(Forecasts!N9,Forecasts!N30,Forecasts!N51,Forecasts!N73,Forecasts!N95,Forecasts!N119,Forecasts!N143,Forecasts!N168,Forecasts!N193,Forecasts!N218,Forecasts!N243,Forecasts!N268))</x:f>
        <x:v>1.9218290366442405</x:v>
      </x:c>
      <x:c r="H194" s="8" t="n">
        <x:f>AVERAGE(Forecasts!O9,Forecasts!O30,Forecasts!O51,Forecasts!O73,Forecasts!O95,Forecasts!O119,Forecasts!O143,Forecasts!O168,Forecasts!O193,Forecasts!O218,Forecasts!O243,Forecasts!O268)</x:f>
        <x:v>1.5529702143617896</x:v>
      </x:c>
      <x:c r="I194" s="8" t="n">
        <x:f>AVERAGE(Forecasts!M9,Forecasts!M30,Forecasts!M51,Forecasts!M73,Forecasts!M95,Forecasts!M119,Forecasts!M143,Forecasts!M168,Forecasts!M193,Forecasts!M218,Forecasts!M243,Forecasts!M268)</x:f>
        <x:v>1.0038586527354996</x:v>
      </x:c>
      <x:c r="J194" s="8" t="n">
        <x:f>SQRT(AVERAGE(Forecasts!N6,Forecasts!N27,Forecasts!N48,Forecasts!N70,Forecasts!N92,Forecasts!N116,Forecasts!N140,Forecasts!N165,Forecasts!N190,Forecasts!N215,Forecasts!N240,Forecasts!N265))</x:f>
        <x:v>1.9578900207451218</x:v>
      </x:c>
      <x:c r="K194" s="8" t="n">
        <x:f>SQRT(AVERAGE(Forecasts!N8,Forecasts!N29,Forecasts!N50,Forecasts!N72,Forecasts!N94,Forecasts!N118,Forecasts!N142,Forecasts!N167,Forecasts!N192,Forecasts!N217,Forecasts!N242,Forecasts!N267))</x:f>
        <x:v>2.0261863636239434</x:v>
      </x:c>
    </x:row>
    <x:row r="195" ht="26" customHeight="1">
      <x:c r="A195" s="2"/>
      <x:c r="B195" s="2" t="str">
        <x:v>Beauty / price_contribution</x:v>
      </x:c>
      <x:c r="C195" s="2" t="str">
        <x:v>Origin</x:v>
      </x:c>
      <x:c r="D195" s="2" t="str">
        <x:v>Broad rolling 8</x:v>
      </x:c>
      <x:c r="E195" s="2" t="str">
        <x:v>Recent eight</x:v>
      </x:c>
      <x:c r="F195" s="2" t="n">
        <x:v>8</x:v>
      </x:c>
      <x:c r="G195" s="8" t="n">
        <x:f>SQRT(AVERAGE(Forecasts!N95,Forecasts!N119,Forecasts!N143,Forecasts!N168,Forecasts!N193,Forecasts!N218,Forecasts!N243,Forecasts!N268))</x:f>
        <x:v>1.6564994318309325</x:v>
      </x:c>
      <x:c r="H195" s="8" t="n">
        <x:f>AVERAGE(Forecasts!O95,Forecasts!O119,Forecasts!O143,Forecasts!O168,Forecasts!O193,Forecasts!O218,Forecasts!O243,Forecasts!O268)</x:f>
        <x:v>1.2897868221393503</x:v>
      </x:c>
      <x:c r="I195" s="8" t="n">
        <x:f>AVERAGE(Forecasts!M95,Forecasts!M119,Forecasts!M143,Forecasts!M168,Forecasts!M193,Forecasts!M218,Forecasts!M243,Forecasts!M268)</x:f>
        <x:v>0.4661194796999156</x:v>
      </x:c>
      <x:c r="J195" s="8" t="n">
        <x:f>SQRT(AVERAGE(Forecasts!N92,Forecasts!N116,Forecasts!N140,Forecasts!N165,Forecasts!N190,Forecasts!N215,Forecasts!N240,Forecasts!N265))</x:f>
        <x:v>1.541103500742244</x:v>
      </x:c>
      <x:c r="K195" s="8" t="n">
        <x:f>SQRT(AVERAGE(Forecasts!N94,Forecasts!N118,Forecasts!N142,Forecasts!N167,Forecasts!N192,Forecasts!N217,Forecasts!N242,Forecasts!N267))</x:f>
        <x:v>1.826642277204458</x:v>
      </x:c>
    </x:row>
    <x:row r="196" ht="26" customHeight="1">
      <x:c r="A196" s="2"/>
      <x:c r="B196" s="2" t="str">
        <x:v>Beauty / price_contribution</x:v>
      </x:c>
      <x:c r="C196" s="2" t="str">
        <x:v>Origin</x:v>
      </x:c>
      <x:c r="D196" s="2" t="str">
        <x:v>Four-quarter mean</x:v>
      </x:c>
      <x:c r="E196" s="2" t="str">
        <x:v>All available</x:v>
      </x:c>
      <x:c r="F196" s="2" t="n">
        <x:v>12</x:v>
      </x:c>
      <x:c r="G196" s="8" t="n">
        <x:f>SQRT(AVERAGE(Forecasts!N7,Forecasts!N28,Forecasts!N49,Forecasts!N71,Forecasts!N93,Forecasts!N117,Forecasts!N141,Forecasts!N166,Forecasts!N191,Forecasts!N216,Forecasts!N241,Forecasts!N266))</x:f>
        <x:v>2.5940637360455634</x:v>
      </x:c>
      <x:c r="H196" s="8" t="n">
        <x:f>AVERAGE(Forecasts!O7,Forecasts!O28,Forecasts!O49,Forecasts!O71,Forecasts!O93,Forecasts!O117,Forecasts!O141,Forecasts!O166,Forecasts!O191,Forecasts!O216,Forecasts!O241,Forecasts!O266)</x:f>
        <x:v>2</x:v>
      </x:c>
      <x:c r="I196" s="8" t="n">
        <x:f>AVERAGE(Forecasts!M7,Forecasts!M28,Forecasts!M49,Forecasts!M71,Forecasts!M93,Forecasts!M117,Forecasts!M141,Forecasts!M166,Forecasts!M191,Forecasts!M216,Forecasts!M241,Forecasts!M266)</x:f>
        <x:v>1.7083333333333333</x:v>
      </x:c>
      <x:c r="J196" s="8" t="n">
        <x:f>SQRT(AVERAGE(Forecasts!N6,Forecasts!N27,Forecasts!N48,Forecasts!N70,Forecasts!N92,Forecasts!N116,Forecasts!N140,Forecasts!N165,Forecasts!N190,Forecasts!N215,Forecasts!N240,Forecasts!N265))</x:f>
        <x:v>1.9578900207451218</x:v>
      </x:c>
      <x:c r="K196" s="8" t="n">
        <x:f>SQRT(AVERAGE(Forecasts!N8,Forecasts!N29,Forecasts!N50,Forecasts!N72,Forecasts!N94,Forecasts!N118,Forecasts!N142,Forecasts!N167,Forecasts!N192,Forecasts!N217,Forecasts!N242,Forecasts!N267))</x:f>
        <x:v>2.0261863636239434</x:v>
      </x:c>
    </x:row>
    <x:row r="197" ht="26" customHeight="1">
      <x:c r="A197" s="2"/>
      <x:c r="B197" s="2" t="str">
        <x:v>Beauty / price_contribution</x:v>
      </x:c>
      <x:c r="C197" s="2" t="str">
        <x:v>Origin</x:v>
      </x:c>
      <x:c r="D197" s="2" t="str">
        <x:v>Four-quarter mean</x:v>
      </x:c>
      <x:c r="E197" s="2" t="str">
        <x:v>Recent eight</x:v>
      </x:c>
      <x:c r="F197" s="2" t="n">
        <x:v>8</x:v>
      </x:c>
      <x:c r="G197" s="8" t="n">
        <x:f>SQRT(AVERAGE(Forecasts!N93,Forecasts!N117,Forecasts!N141,Forecasts!N166,Forecasts!N191,Forecasts!N216,Forecasts!N241,Forecasts!N266))</x:f>
        <x:v>2.404423007708918</x:v>
      </x:c>
      <x:c r="H197" s="8" t="n">
        <x:f>AVERAGE(Forecasts!O93,Forecasts!O117,Forecasts!O141,Forecasts!O166,Forecasts!O191,Forecasts!O216,Forecasts!O241,Forecasts!O266)</x:f>
        <x:v>1.75</x:v>
      </x:c>
      <x:c r="I197" s="8" t="n">
        <x:f>AVERAGE(Forecasts!M93,Forecasts!M117,Forecasts!M141,Forecasts!M166,Forecasts!M191,Forecasts!M216,Forecasts!M241,Forecasts!M266)</x:f>
        <x:v>1.6875</x:v>
      </x:c>
      <x:c r="J197" s="8" t="n">
        <x:f>SQRT(AVERAGE(Forecasts!N92,Forecasts!N116,Forecasts!N140,Forecasts!N165,Forecasts!N190,Forecasts!N215,Forecasts!N240,Forecasts!N265))</x:f>
        <x:v>1.541103500742244</x:v>
      </x:c>
      <x:c r="K197" s="8" t="n">
        <x:f>SQRT(AVERAGE(Forecasts!N94,Forecasts!N118,Forecasts!N142,Forecasts!N167,Forecasts!N192,Forecasts!N217,Forecasts!N242,Forecasts!N267))</x:f>
        <x:v>1.826642277204458</x:v>
      </x:c>
    </x:row>
    <x:row r="198" ht="26" customHeight="1">
      <x:c r="A198" s="2"/>
      <x:c r="B198" s="2" t="str">
        <x:v>Beauty / price_contribution</x:v>
      </x:c>
      <x:c r="C198" s="2" t="str">
        <x:v>Origin</x:v>
      </x:c>
      <x:c r="D198" s="2" t="str">
        <x:v>Half correction</x:v>
      </x:c>
      <x:c r="E198" s="2" t="str">
        <x:v>All available</x:v>
      </x:c>
      <x:c r="F198" s="2" t="n">
        <x:v>7</x:v>
      </x:c>
      <x:c r="G198" s="8" t="n">
        <x:f>SQRT(AVERAGE(Forecasts!N2451,Forecasts!N2457,Forecasts!N2463,Forecasts!N2469,Forecasts!N2475,Forecasts!N2481,Forecasts!N2487))</x:f>
        <x:v>1.3758450741791446</x:v>
      </x:c>
      <x:c r="H198" s="8" t="n">
        <x:f>AVERAGE(Forecasts!O2451,Forecasts!O2457,Forecasts!O2463,Forecasts!O2469,Forecasts!O2475,Forecasts!O2481,Forecasts!O2487)</x:f>
        <x:v>1.0093095641531622</x:v>
      </x:c>
      <x:c r="I198" s="8" t="n">
        <x:f>AVERAGE(Forecasts!M2451,Forecasts!M2457,Forecasts!M2463,Forecasts!M2469,Forecasts!M2475,Forecasts!M2481,Forecasts!M2487)</x:f>
        <x:v>0.27197408041812426</x:v>
      </x:c>
      <x:c r="J198" s="8" t="n">
        <x:f>SQRT(AVERAGE(Forecasts!N116,Forecasts!N140,Forecasts!N165,Forecasts!N190,Forecasts!N215,Forecasts!N240,Forecasts!N265))</x:f>
        <x:v>1.6035674514745464</x:v>
      </x:c>
      <x:c r="K198" s="8" t="n">
        <x:f>SQRT(AVERAGE(Forecasts!N118,Forecasts!N142,Forecasts!N167,Forecasts!N192,Forecasts!N217,Forecasts!N242,Forecasts!N267))</x:f>
        <x:v>1.716465732727496</x:v>
      </x:c>
    </x:row>
    <x:row r="199" ht="26" customHeight="1">
      <x:c r="A199" s="2"/>
      <x:c r="B199" s="2" t="str">
        <x:v>Beauty / price_contribution</x:v>
      </x:c>
      <x:c r="C199" s="2" t="str">
        <x:v>Origin</x:v>
      </x:c>
      <x:c r="D199" s="2" t="str">
        <x:v>Half correction</x:v>
      </x:c>
      <x:c r="E199" s="2" t="str">
        <x:v>Recent eight</x:v>
      </x:c>
      <x:c r="F199" s="2" t="n">
        <x:v>7</x:v>
      </x:c>
      <x:c r="G199" s="8" t="n">
        <x:f>SQRT(AVERAGE(Forecasts!N2451,Forecasts!N2457,Forecasts!N2463,Forecasts!N2469,Forecasts!N2475,Forecasts!N2481,Forecasts!N2487))</x:f>
        <x:v>1.3758450741791446</x:v>
      </x:c>
      <x:c r="H199" s="8" t="n">
        <x:f>AVERAGE(Forecasts!O2451,Forecasts!O2457,Forecasts!O2463,Forecasts!O2469,Forecasts!O2475,Forecasts!O2481,Forecasts!O2487)</x:f>
        <x:v>1.0093095641531622</x:v>
      </x:c>
      <x:c r="I199" s="8" t="n">
        <x:f>AVERAGE(Forecasts!M2451,Forecasts!M2457,Forecasts!M2463,Forecasts!M2469,Forecasts!M2475,Forecasts!M2481,Forecasts!M2487)</x:f>
        <x:v>0.27197408041812426</x:v>
      </x:c>
      <x:c r="J199" s="8" t="n">
        <x:f>SQRT(AVERAGE(Forecasts!N116,Forecasts!N140,Forecasts!N165,Forecasts!N190,Forecasts!N215,Forecasts!N240,Forecasts!N265))</x:f>
        <x:v>1.6035674514745464</x:v>
      </x:c>
      <x:c r="K199" s="8" t="n">
        <x:f>SQRT(AVERAGE(Forecasts!N118,Forecasts!N142,Forecasts!N167,Forecasts!N192,Forecasts!N217,Forecasts!N242,Forecasts!N267))</x:f>
        <x:v>1.716465732727496</x:v>
      </x:c>
    </x:row>
    <x:row r="200" ht="26" customHeight="1">
      <x:c r="A200" s="2"/>
      <x:c r="B200" s="2" t="str">
        <x:v>Beauty / price_contribution</x:v>
      </x:c>
      <x:c r="C200" s="2" t="str">
        <x:v>Origin</x:v>
      </x:c>
      <x:c r="D200" s="2" t="str">
        <x:v>Last actual</x:v>
      </x:c>
      <x:c r="E200" s="2" t="str">
        <x:v>All available</x:v>
      </x:c>
      <x:c r="F200" s="2" t="n">
        <x:v>12</x:v>
      </x:c>
      <x:c r="G200" s="8" t="n">
        <x:f>SQRT(AVERAGE(Forecasts!N6,Forecasts!N27,Forecasts!N48,Forecasts!N70,Forecasts!N92,Forecasts!N116,Forecasts!N140,Forecasts!N165,Forecasts!N190,Forecasts!N215,Forecasts!N240,Forecasts!N265))</x:f>
        <x:v>1.9578900207451218</x:v>
      </x:c>
      <x:c r="H200" s="8" t="n">
        <x:f>AVERAGE(Forecasts!O6,Forecasts!O27,Forecasts!O48,Forecasts!O70,Forecasts!O92,Forecasts!O116,Forecasts!O140,Forecasts!O165,Forecasts!O190,Forecasts!O215,Forecasts!O240,Forecasts!O265)</x:f>
        <x:v>1.6666666666666667</x:v>
      </x:c>
      <x:c r="I200" s="8" t="n">
        <x:f>AVERAGE(Forecasts!M6,Forecasts!M27,Forecasts!M48,Forecasts!M70,Forecasts!M92,Forecasts!M116,Forecasts!M140,Forecasts!M165,Forecasts!M190,Forecasts!M215,Forecasts!M240,Forecasts!M265)</x:f>
        <x:v>1.1666666666666667</x:v>
      </x:c>
      <x:c r="J200" s="8" t="n">
        <x:f>SQRT(AVERAGE(Forecasts!N6,Forecasts!N27,Forecasts!N48,Forecasts!N70,Forecasts!N92,Forecasts!N116,Forecasts!N140,Forecasts!N165,Forecasts!N190,Forecasts!N215,Forecasts!N240,Forecasts!N265))</x:f>
        <x:v>1.9578900207451218</x:v>
      </x:c>
      <x:c r="K200" s="8" t="n">
        <x:f>SQRT(AVERAGE(Forecasts!N8,Forecasts!N29,Forecasts!N50,Forecasts!N72,Forecasts!N94,Forecasts!N118,Forecasts!N142,Forecasts!N167,Forecasts!N192,Forecasts!N217,Forecasts!N242,Forecasts!N267))</x:f>
        <x:v>2.0261863636239434</x:v>
      </x:c>
    </x:row>
    <x:row r="201" ht="26" customHeight="1">
      <x:c r="A201" s="2"/>
      <x:c r="B201" s="2" t="str">
        <x:v>Beauty / price_contribution</x:v>
      </x:c>
      <x:c r="C201" s="2" t="str">
        <x:v>Origin</x:v>
      </x:c>
      <x:c r="D201" s="2" t="str">
        <x:v>Last actual</x:v>
      </x:c>
      <x:c r="E201" s="2" t="str">
        <x:v>Recent eight</x:v>
      </x:c>
      <x:c r="F201" s="2" t="n">
        <x:v>8</x:v>
      </x:c>
      <x:c r="G201" s="8" t="n">
        <x:f>SQRT(AVERAGE(Forecasts!N92,Forecasts!N116,Forecasts!N140,Forecasts!N165,Forecasts!N190,Forecasts!N215,Forecasts!N240,Forecasts!N265))</x:f>
        <x:v>1.541103500742244</x:v>
      </x:c>
      <x:c r="H201" s="8" t="n">
        <x:f>AVERAGE(Forecasts!O92,Forecasts!O116,Forecasts!O140,Forecasts!O165,Forecasts!O190,Forecasts!O215,Forecasts!O240,Forecasts!O265)</x:f>
        <x:v>1.375</x:v>
      </x:c>
      <x:c r="I201" s="8" t="n">
        <x:f>AVERAGE(Forecasts!M92,Forecasts!M116,Forecasts!M140,Forecasts!M165,Forecasts!M190,Forecasts!M215,Forecasts!M240,Forecasts!M265)</x:f>
        <x:v>0.625</x:v>
      </x:c>
      <x:c r="J201" s="8" t="n">
        <x:f>SQRT(AVERAGE(Forecasts!N92,Forecasts!N116,Forecasts!N140,Forecasts!N165,Forecasts!N190,Forecasts!N215,Forecasts!N240,Forecasts!N265))</x:f>
        <x:v>1.541103500742244</x:v>
      </x:c>
      <x:c r="K201" s="8" t="n">
        <x:f>SQRT(AVERAGE(Forecasts!N94,Forecasts!N118,Forecasts!N142,Forecasts!N167,Forecasts!N192,Forecasts!N217,Forecasts!N242,Forecasts!N267))</x:f>
        <x:v>1.826642277204458</x:v>
      </x:c>
    </x:row>
    <x:row r="202" ht="26" customHeight="1">
      <x:c r="A202" s="2"/>
      <x:c r="B202" s="2" t="str">
        <x:v>Beauty / price_contribution</x:v>
      </x:c>
      <x:c r="C202" s="2" t="str">
        <x:v>Origin</x:v>
      </x:c>
      <x:c r="D202" s="2" t="str">
        <x:v>Own + product</x:v>
      </x:c>
      <x:c r="E202" s="2" t="str">
        <x:v>All available</x:v>
      </x:c>
      <x:c r="F202" s="2" t="n">
        <x:v>6</x:v>
      </x:c>
      <x:c r="G202" s="8" t="n">
        <x:f>SQRT(AVERAGE(Forecasts!N146,Forecasts!N171,Forecasts!N196,Forecasts!N221,Forecasts!N246,Forecasts!N271))</x:f>
        <x:v>1.7753528632736937</x:v>
      </x:c>
      <x:c r="H202" s="8" t="n">
        <x:f>AVERAGE(Forecasts!O146,Forecasts!O171,Forecasts!O196,Forecasts!O221,Forecasts!O246,Forecasts!O271)</x:f>
        <x:v>1.5104443325311347</x:v>
      </x:c>
      <x:c r="I202" s="8" t="n">
        <x:f>AVERAGE(Forecasts!M146,Forecasts!M171,Forecasts!M196,Forecasts!M221,Forecasts!M246,Forecasts!M271)</x:f>
        <x:v>1.5104443325311347</x:v>
      </x:c>
      <x:c r="J202" s="8" t="n">
        <x:f>SQRT(AVERAGE(Forecasts!N140,Forecasts!N165,Forecasts!N190,Forecasts!N215,Forecasts!N240,Forecasts!N265))</x:f>
        <x:v>1.224744871391589</x:v>
      </x:c>
      <x:c r="K202" s="8" t="n">
        <x:f>SQRT(AVERAGE(Forecasts!N142,Forecasts!N167,Forecasts!N192,Forecasts!N217,Forecasts!N242,Forecasts!N267))</x:f>
        <x:v>1.1917112313995122</x:v>
      </x:c>
    </x:row>
    <x:row r="203" ht="26" customHeight="1">
      <x:c r="A203" s="2"/>
      <x:c r="B203" s="2" t="str">
        <x:v>Beauty / price_contribution</x:v>
      </x:c>
      <x:c r="C203" s="2" t="str">
        <x:v>Origin</x:v>
      </x:c>
      <x:c r="D203" s="2" t="str">
        <x:v>Own + product</x:v>
      </x:c>
      <x:c r="E203" s="2" t="str">
        <x:v>Recent eight</x:v>
      </x:c>
      <x:c r="F203" s="2" t="n">
        <x:v>6</x:v>
      </x:c>
      <x:c r="G203" s="8" t="n">
        <x:f>SQRT(AVERAGE(Forecasts!N146,Forecasts!N171,Forecasts!N196,Forecasts!N221,Forecasts!N246,Forecasts!N271))</x:f>
        <x:v>1.7753528632736937</x:v>
      </x:c>
      <x:c r="H203" s="8" t="n">
        <x:f>AVERAGE(Forecasts!O146,Forecasts!O171,Forecasts!O196,Forecasts!O221,Forecasts!O246,Forecasts!O271)</x:f>
        <x:v>1.5104443325311347</x:v>
      </x:c>
      <x:c r="I203" s="8" t="n">
        <x:f>AVERAGE(Forecasts!M146,Forecasts!M171,Forecasts!M196,Forecasts!M221,Forecasts!M246,Forecasts!M271)</x:f>
        <x:v>1.5104443325311347</x:v>
      </x:c>
      <x:c r="J203" s="8" t="n">
        <x:f>SQRT(AVERAGE(Forecasts!N140,Forecasts!N165,Forecasts!N190,Forecasts!N215,Forecasts!N240,Forecasts!N265))</x:f>
        <x:v>1.224744871391589</x:v>
      </x:c>
      <x:c r="K203" s="8" t="n">
        <x:f>SQRT(AVERAGE(Forecasts!N142,Forecasts!N167,Forecasts!N192,Forecasts!N217,Forecasts!N242,Forecasts!N267))</x:f>
        <x:v>1.1917112313995122</x:v>
      </x:c>
    </x:row>
    <x:row r="204" ht="26" customHeight="1">
      <x:c r="A204" s="2"/>
      <x:c r="B204" s="2" t="str">
        <x:v>Beauty / price_contribution</x:v>
      </x:c>
      <x:c r="C204" s="2" t="str">
        <x:v>Origin</x:v>
      </x:c>
      <x:c r="D204" s="2" t="str">
        <x:v>Own history</x:v>
      </x:c>
      <x:c r="E204" s="2" t="str">
        <x:v>All available</x:v>
      </x:c>
      <x:c r="F204" s="2" t="n">
        <x:v>10</x:v>
      </x:c>
      <x:c r="G204" s="8" t="n">
        <x:f>SQRT(AVERAGE(Forecasts!N52,Forecasts!N74,Forecasts!N96,Forecasts!N120,Forecasts!N144,Forecasts!N169,Forecasts!N194,Forecasts!N219,Forecasts!N244,Forecasts!N269))</x:f>
        <x:v>2.543908554706431</x:v>
      </x:c>
      <x:c r="H204" s="8" t="n">
        <x:f>AVERAGE(Forecasts!O52,Forecasts!O74,Forecasts!O96,Forecasts!O120,Forecasts!O144,Forecasts!O169,Forecasts!O194,Forecasts!O219,Forecasts!O244,Forecasts!O269)</x:f>
        <x:v>2.1861856102080788</x:v>
      </x:c>
      <x:c r="I204" s="8" t="n">
        <x:f>AVERAGE(Forecasts!M52,Forecasts!M74,Forecasts!M96,Forecasts!M120,Forecasts!M144,Forecasts!M169,Forecasts!M194,Forecasts!M219,Forecasts!M244,Forecasts!M269)</x:f>
        <x:v>2.1465196394356365</x:v>
      </x:c>
      <x:c r="J204" s="8" t="n">
        <x:f>SQRT(AVERAGE(Forecasts!N48,Forecasts!N70,Forecasts!N92,Forecasts!N116,Forecasts!N140,Forecasts!N165,Forecasts!N190,Forecasts!N215,Forecasts!N240,Forecasts!N265))</x:f>
        <x:v>2.0976176963403033</x:v>
      </x:c>
      <x:c r="K204" s="8" t="n">
        <x:f>SQRT(AVERAGE(Forecasts!N50,Forecasts!N72,Forecasts!N94,Forecasts!N118,Forecasts!N142,Forecasts!N167,Forecasts!N192,Forecasts!N217,Forecasts!N242,Forecasts!N267))</x:f>
        <x:v>2.1633598990380514</x:v>
      </x:c>
    </x:row>
    <x:row r="205" ht="26" customHeight="1">
      <x:c r="A205" s="2"/>
      <x:c r="B205" s="2" t="str">
        <x:v>Beauty / price_contribution</x:v>
      </x:c>
      <x:c r="C205" s="2" t="str">
        <x:v>Origin</x:v>
      </x:c>
      <x:c r="D205" s="2" t="str">
        <x:v>Own history</x:v>
      </x:c>
      <x:c r="E205" s="2" t="str">
        <x:v>Recent eight</x:v>
      </x:c>
      <x:c r="F205" s="2" t="n">
        <x:v>8</x:v>
      </x:c>
      <x:c r="G205" s="8" t="n">
        <x:f>SQRT(AVERAGE(Forecasts!N96,Forecasts!N120,Forecasts!N144,Forecasts!N169,Forecasts!N194,Forecasts!N219,Forecasts!N244,Forecasts!N269))</x:f>
        <x:v>2.1044171833607734</x:v>
      </x:c>
      <x:c r="H205" s="8" t="n">
        <x:f>AVERAGE(Forecasts!O96,Forecasts!O120,Forecasts!O144,Forecasts!O169,Forecasts!O194,Forecasts!O219,Forecasts!O244,Forecasts!O269)</x:f>
        <x:v>1.784594237602866</x:v>
      </x:c>
      <x:c r="I205" s="8" t="n">
        <x:f>AVERAGE(Forecasts!M96,Forecasts!M120,Forecasts!M144,Forecasts!M169,Forecasts!M194,Forecasts!M219,Forecasts!M244,Forecasts!M269)</x:f>
        <x:v>1.735011774137313</x:v>
      </x:c>
      <x:c r="J205" s="8" t="n">
        <x:f>SQRT(AVERAGE(Forecasts!N92,Forecasts!N116,Forecasts!N140,Forecasts!N165,Forecasts!N190,Forecasts!N215,Forecasts!N240,Forecasts!N265))</x:f>
        <x:v>1.541103500742244</x:v>
      </x:c>
      <x:c r="K205" s="8" t="n">
        <x:f>SQRT(AVERAGE(Forecasts!N94,Forecasts!N118,Forecasts!N142,Forecasts!N167,Forecasts!N192,Forecasts!N217,Forecasts!N242,Forecasts!N267))</x:f>
        <x:v>1.826642277204458</x:v>
      </x:c>
    </x:row>
    <x:row r="206" ht="26" customHeight="1">
      <x:c r="A206" s="2"/>
      <x:c r="B206" s="2" t="str">
        <x:v>Beauty / price_contribution</x:v>
      </x:c>
      <x:c r="C206" s="2" t="str">
        <x:v>Origin</x:v>
      </x:c>
      <x:c r="D206" s="2" t="str">
        <x:v>Product price</x:v>
      </x:c>
      <x:c r="E206" s="2" t="str">
        <x:v>All available</x:v>
      </x:c>
      <x:c r="F206" s="2" t="n">
        <x:v>12</x:v>
      </x:c>
      <x:c r="G206" s="8" t="n">
        <x:f>SQRT(AVERAGE(Forecasts!N10,Forecasts!N31,Forecasts!N53,Forecasts!N75,Forecasts!N97,Forecasts!N121,Forecasts!N145,Forecasts!N170,Forecasts!N195,Forecasts!N220,Forecasts!N245,Forecasts!N270))</x:f>
        <x:v>2.0274547232638076</x:v>
      </x:c>
      <x:c r="H206" s="8" t="n">
        <x:f>AVERAGE(Forecasts!O10,Forecasts!O31,Forecasts!O53,Forecasts!O75,Forecasts!O97,Forecasts!O121,Forecasts!O145,Forecasts!O170,Forecasts!O195,Forecasts!O220,Forecasts!O245,Forecasts!O270)</x:f>
        <x:v>1.7923476725400465</x:v>
      </x:c>
      <x:c r="I206" s="8" t="n">
        <x:f>AVERAGE(Forecasts!M10,Forecasts!M31,Forecasts!M53,Forecasts!M75,Forecasts!M97,Forecasts!M121,Forecasts!M145,Forecasts!M170,Forecasts!M195,Forecasts!M220,Forecasts!M245,Forecasts!M270)</x:f>
        <x:v>1.6870811195175104</x:v>
      </x:c>
      <x:c r="J206" s="8" t="n">
        <x:f>SQRT(AVERAGE(Forecasts!N6,Forecasts!N27,Forecasts!N48,Forecasts!N70,Forecasts!N92,Forecasts!N116,Forecasts!N140,Forecasts!N165,Forecasts!N190,Forecasts!N215,Forecasts!N240,Forecasts!N265))</x:f>
        <x:v>1.9578900207451218</x:v>
      </x:c>
      <x:c r="K206" s="8" t="n">
        <x:f>SQRT(AVERAGE(Forecasts!N8,Forecasts!N29,Forecasts!N50,Forecasts!N72,Forecasts!N94,Forecasts!N118,Forecasts!N142,Forecasts!N167,Forecasts!N192,Forecasts!N217,Forecasts!N242,Forecasts!N267))</x:f>
        <x:v>2.0261863636239434</x:v>
      </x:c>
    </x:row>
    <x:row r="207" ht="26" customHeight="1">
      <x:c r="A207" s="2"/>
      <x:c r="B207" s="2" t="str">
        <x:v>Beauty / price_contribution</x:v>
      </x:c>
      <x:c r="C207" s="2" t="str">
        <x:v>Origin</x:v>
      </x:c>
      <x:c r="D207" s="2" t="str">
        <x:v>Product price</x:v>
      </x:c>
      <x:c r="E207" s="2" t="str">
        <x:v>Recent eight</x:v>
      </x:c>
      <x:c r="F207" s="2" t="n">
        <x:v>8</x:v>
      </x:c>
      <x:c r="G207" s="8" t="n">
        <x:f>SQRT(AVERAGE(Forecasts!N97,Forecasts!N121,Forecasts!N145,Forecasts!N170,Forecasts!N195,Forecasts!N220,Forecasts!N245,Forecasts!N270))</x:f>
        <x:v>1.836639114183422</x:v>
      </x:c>
      <x:c r="H207" s="8" t="n">
        <x:f>AVERAGE(Forecasts!O97,Forecasts!O121,Forecasts!O145,Forecasts!O170,Forecasts!O195,Forecasts!O220,Forecasts!O245,Forecasts!O270)</x:f>
        <x:v>1.635450757517416</x:v>
      </x:c>
      <x:c r="I207" s="8" t="n">
        <x:f>AVERAGE(Forecasts!M97,Forecasts!M121,Forecasts!M145,Forecasts!M170,Forecasts!M195,Forecasts!M220,Forecasts!M245,Forecasts!M270)</x:f>
        <x:v>1.4775509279836117</x:v>
      </x:c>
      <x:c r="J207" s="8" t="n">
        <x:f>SQRT(AVERAGE(Forecasts!N92,Forecasts!N116,Forecasts!N140,Forecasts!N165,Forecasts!N190,Forecasts!N215,Forecasts!N240,Forecasts!N265))</x:f>
        <x:v>1.541103500742244</x:v>
      </x:c>
      <x:c r="K207" s="8" t="n">
        <x:f>SQRT(AVERAGE(Forecasts!N94,Forecasts!N118,Forecasts!N142,Forecasts!N167,Forecasts!N192,Forecasts!N217,Forecasts!N242,Forecasts!N267))</x:f>
        <x:v>1.826642277204458</x:v>
      </x:c>
    </x:row>
    <x:row r="208" ht="26" customHeight="1">
      <x:c r="A208" s="2"/>
      <x:c r="B208" s="2" t="str">
        <x:v>Beauty / price_contribution</x:v>
      </x:c>
      <x:c r="C208" s="2" t="str">
        <x:v>Prior report</x:v>
      </x:c>
      <x:c r="D208" s="2" t="str">
        <x:v>Bias correction</x:v>
      </x:c>
      <x:c r="E208" s="2" t="str">
        <x:v>All available</x:v>
      </x:c>
      <x:c r="F208" s="2" t="n">
        <x:v>8</x:v>
      </x:c>
      <x:c r="G208" s="8" t="n">
        <x:f>SQRT(AVERAGE(Forecasts!N2446,Forecasts!N2452,Forecasts!N2458,Forecasts!N2464,Forecasts!N2470,Forecasts!N2476,Forecasts!N2482,Forecasts!N2488))</x:f>
        <x:v>1.293695302052384</x:v>
      </x:c>
      <x:c r="H208" s="8" t="n">
        <x:f>AVERAGE(Forecasts!O2446,Forecasts!O2452,Forecasts!O2458,Forecasts!O2464,Forecasts!O2470,Forecasts!O2476,Forecasts!O2482,Forecasts!O2488)</x:f>
        <x:v>1.034177232604413</x:v>
      </x:c>
      <x:c r="I208" s="8" t="n">
        <x:f>AVERAGE(Forecasts!M2446,Forecasts!M2452,Forecasts!M2458,Forecasts!M2464,Forecasts!M2470,Forecasts!M2476,Forecasts!M2482,Forecasts!M2488)</x:f>
        <x:v>-0.2061771317102727</x:v>
      </x:c>
      <x:c r="J208" s="8" t="n">
        <x:f>SQRT(AVERAGE(Forecasts!N98,Forecasts!N122,Forecasts!N147,Forecasts!N172,Forecasts!N197,Forecasts!N222,Forecasts!N247,Forecasts!N272))</x:f>
        <x:v>1.2747548783981961</x:v>
      </x:c>
      <x:c r="K208" s="8" t="n">
        <x:f>SQRT(AVERAGE(Forecasts!N100,Forecasts!N124,Forecasts!N149,Forecasts!N174,Forecasts!N199,Forecasts!N224,Forecasts!N249,Forecasts!N274))</x:f>
        <x:v>1.6497043191183638</x:v>
      </x:c>
    </x:row>
    <x:row r="209" ht="26" customHeight="1">
      <x:c r="A209" s="2"/>
      <x:c r="B209" s="2" t="str">
        <x:v>Beauty / price_contribution</x:v>
      </x:c>
      <x:c r="C209" s="2" t="str">
        <x:v>Prior report</x:v>
      </x:c>
      <x:c r="D209" s="2" t="str">
        <x:v>Bias correction</x:v>
      </x:c>
      <x:c r="E209" s="2" t="str">
        <x:v>Recent eight</x:v>
      </x:c>
      <x:c r="F209" s="2" t="n">
        <x:v>8</x:v>
      </x:c>
      <x:c r="G209" s="8" t="n">
        <x:f>SQRT(AVERAGE(Forecasts!N2446,Forecasts!N2452,Forecasts!N2458,Forecasts!N2464,Forecasts!N2470,Forecasts!N2476,Forecasts!N2482,Forecasts!N2488))</x:f>
        <x:v>1.293695302052384</x:v>
      </x:c>
      <x:c r="H209" s="8" t="n">
        <x:f>AVERAGE(Forecasts!O2446,Forecasts!O2452,Forecasts!O2458,Forecasts!O2464,Forecasts!O2470,Forecasts!O2476,Forecasts!O2482,Forecasts!O2488)</x:f>
        <x:v>1.034177232604413</x:v>
      </x:c>
      <x:c r="I209" s="8" t="n">
        <x:f>AVERAGE(Forecasts!M2446,Forecasts!M2452,Forecasts!M2458,Forecasts!M2464,Forecasts!M2470,Forecasts!M2476,Forecasts!M2482,Forecasts!M2488)</x:f>
        <x:v>-0.2061771317102727</x:v>
      </x:c>
      <x:c r="J209" s="8" t="n">
        <x:f>SQRT(AVERAGE(Forecasts!N98,Forecasts!N122,Forecasts!N147,Forecasts!N172,Forecasts!N197,Forecasts!N222,Forecasts!N247,Forecasts!N272))</x:f>
        <x:v>1.2747548783981961</x:v>
      </x:c>
      <x:c r="K209" s="8" t="n">
        <x:f>SQRT(AVERAGE(Forecasts!N100,Forecasts!N124,Forecasts!N149,Forecasts!N174,Forecasts!N199,Forecasts!N224,Forecasts!N249,Forecasts!N274))</x:f>
        <x:v>1.6497043191183638</x:v>
      </x:c>
    </x:row>
    <x:row r="210" ht="26" customHeight="1">
      <x:c r="A210" s="2"/>
      <x:c r="B210" s="2" t="str">
        <x:v>Beauty / price_contribution</x:v>
      </x:c>
      <x:c r="C210" s="2" t="str">
        <x:v>Prior report</x:v>
      </x:c>
      <x:c r="D210" s="2" t="str">
        <x:v>Broad lag 1</x:v>
      </x:c>
      <x:c r="E210" s="2" t="str">
        <x:v>All available</x:v>
      </x:c>
      <x:c r="F210" s="2" t="n">
        <x:v>11</x:v>
      </x:c>
      <x:c r="G210" s="8" t="n">
        <x:f>SQRT(AVERAGE(Forecasts!N14,Forecasts!N35,Forecasts!N57,Forecasts!N79,Forecasts!N101,Forecasts!N125,Forecasts!N150,Forecasts!N175,Forecasts!N200,Forecasts!N225,Forecasts!N250))</x:f>
        <x:v>2.026832725878612</x:v>
      </x:c>
      <x:c r="H210" s="8" t="n">
        <x:f>AVERAGE(Forecasts!O14,Forecasts!O35,Forecasts!O57,Forecasts!O79,Forecasts!O101,Forecasts!O125,Forecasts!O150,Forecasts!O175,Forecasts!O200,Forecasts!O225,Forecasts!O250)</x:f>
        <x:v>1.771008344944545</x:v>
      </x:c>
      <x:c r="I210" s="8" t="n">
        <x:f>AVERAGE(Forecasts!M14,Forecasts!M35,Forecasts!M57,Forecasts!M79,Forecasts!M101,Forecasts!M125,Forecasts!M150,Forecasts!M175,Forecasts!M200,Forecasts!M225,Forecasts!M250)</x:f>
        <x:v>1.771008344944545</x:v>
      </x:c>
      <x:c r="J210" s="8" t="n">
        <x:f>SQRT(AVERAGE(Forecasts!N11,Forecasts!N32,Forecasts!N54,Forecasts!N76,Forecasts!N98,Forecasts!N122,Forecasts!N147,Forecasts!N172,Forecasts!N197,Forecasts!N222,Forecasts!N247))</x:f>
        <x:v>1.4142135623730951</x:v>
      </x:c>
      <x:c r="K210" s="8" t="n">
        <x:f>SQRT(AVERAGE(Forecasts!N13,Forecasts!N34,Forecasts!N56,Forecasts!N78,Forecasts!N100,Forecasts!N124,Forecasts!N149,Forecasts!N174,Forecasts!N199,Forecasts!N224,Forecasts!N249))</x:f>
        <x:v>1.7313672171686183</x:v>
      </x:c>
    </x:row>
    <x:row r="211" ht="26" customHeight="1">
      <x:c r="A211" s="2"/>
      <x:c r="B211" s="2" t="str">
        <x:v>Beauty / price_contribution</x:v>
      </x:c>
      <x:c r="C211" s="2" t="str">
        <x:v>Prior report</x:v>
      </x:c>
      <x:c r="D211" s="2" t="str">
        <x:v>Broad lag 1</x:v>
      </x:c>
      <x:c r="E211" s="2" t="str">
        <x:v>Recent eight</x:v>
      </x:c>
      <x:c r="F211" s="2" t="n">
        <x:v>7</x:v>
      </x:c>
      <x:c r="G211" s="8" t="n">
        <x:f>SQRT(AVERAGE(Forecasts!N101,Forecasts!N125,Forecasts!N150,Forecasts!N175,Forecasts!N200,Forecasts!N225,Forecasts!N250))</x:f>
        <x:v>1.894797182200352</x:v>
      </x:c>
      <x:c r="H211" s="8" t="n">
        <x:f>AVERAGE(Forecasts!O101,Forecasts!O125,Forecasts!O150,Forecasts!O175,Forecasts!O200,Forecasts!O225,Forecasts!O250)</x:f>
        <x:v>1.5997183572848892</x:v>
      </x:c>
      <x:c r="I211" s="8" t="n">
        <x:f>AVERAGE(Forecasts!M101,Forecasts!M125,Forecasts!M150,Forecasts!M175,Forecasts!M200,Forecasts!M225,Forecasts!M250)</x:f>
        <x:v>1.5997183572848892</x:v>
      </x:c>
      <x:c r="J211" s="8" t="n">
        <x:f>SQRT(AVERAGE(Forecasts!N98,Forecasts!N122,Forecasts!N147,Forecasts!N172,Forecasts!N197,Forecasts!N222,Forecasts!N247))</x:f>
        <x:v>1.3093073414159542</x:v>
      </x:c>
      <x:c r="K211" s="8" t="n">
        <x:f>SQRT(AVERAGE(Forecasts!N100,Forecasts!N124,Forecasts!N149,Forecasts!N174,Forecasts!N199,Forecasts!N224,Forecasts!N249))</x:f>
        <x:v>1.5753133458697266</x:v>
      </x:c>
    </x:row>
    <x:row r="212" ht="26" customHeight="1">
      <x:c r="A212" s="2"/>
      <x:c r="B212" s="2" t="str">
        <x:v>Beauty / price_contribution</x:v>
      </x:c>
      <x:c r="C212" s="2" t="str">
        <x:v>Prior report</x:v>
      </x:c>
      <x:c r="D212" s="2" t="str">
        <x:v>Broad market</x:v>
      </x:c>
      <x:c r="E212" s="2" t="str">
        <x:v>All available</x:v>
      </x:c>
      <x:c r="F212" s="2" t="n">
        <x:v>12</x:v>
      </x:c>
      <x:c r="G212" s="8" t="n">
        <x:f>SQRT(AVERAGE(Forecasts!N13,Forecasts!N34,Forecasts!N56,Forecasts!N78,Forecasts!N100,Forecasts!N124,Forecasts!N149,Forecasts!N174,Forecasts!N199,Forecasts!N224,Forecasts!N249,Forecasts!N274))</x:f>
        <x:v>1.7648150660424173</x:v>
      </x:c>
      <x:c r="H212" s="8" t="n">
        <x:f>AVERAGE(Forecasts!O13,Forecasts!O34,Forecasts!O56,Forecasts!O78,Forecasts!O100,Forecasts!O124,Forecasts!O149,Forecasts!O174,Forecasts!O199,Forecasts!O224,Forecasts!O249,Forecasts!O274)</x:f>
        <x:v>1.50203088981079</x:v>
      </x:c>
      <x:c r="I212" s="8" t="n">
        <x:f>AVERAGE(Forecasts!M13,Forecasts!M34,Forecasts!M56,Forecasts!M78,Forecasts!M100,Forecasts!M124,Forecasts!M149,Forecasts!M174,Forecasts!M199,Forecasts!M224,Forecasts!M249,Forecasts!M274)</x:f>
        <x:v>1.4176654875400956</x:v>
      </x:c>
      <x:c r="J212" s="8" t="n">
        <x:f>SQRT(AVERAGE(Forecasts!N11,Forecasts!N32,Forecasts!N54,Forecasts!N76,Forecasts!N98,Forecasts!N122,Forecasts!N147,Forecasts!N172,Forecasts!N197,Forecasts!N222,Forecasts!N247,Forecasts!N272))</x:f>
        <x:v>1.3844373104863459</x:v>
      </x:c>
      <x:c r="K212" s="8" t="n">
        <x:f>SQRT(AVERAGE(Forecasts!N13,Forecasts!N34,Forecasts!N56,Forecasts!N78,Forecasts!N100,Forecasts!N124,Forecasts!N149,Forecasts!N174,Forecasts!N199,Forecasts!N224,Forecasts!N249,Forecasts!N274))</x:f>
        <x:v>1.7648150660424173</x:v>
      </x:c>
    </x:row>
    <x:row r="213" ht="26" customHeight="1">
      <x:c r="A213" s="2"/>
      <x:c r="B213" s="2" t="str">
        <x:v>Beauty / price_contribution</x:v>
      </x:c>
      <x:c r="C213" s="2" t="str">
        <x:v>Prior report</x:v>
      </x:c>
      <x:c r="D213" s="2" t="str">
        <x:v>Broad market</x:v>
      </x:c>
      <x:c r="E213" s="2" t="str">
        <x:v>Recent eight</x:v>
      </x:c>
      <x:c r="F213" s="2" t="n">
        <x:v>8</x:v>
      </x:c>
      <x:c r="G213" s="8" t="n">
        <x:f>SQRT(AVERAGE(Forecasts!N100,Forecasts!N124,Forecasts!N149,Forecasts!N174,Forecasts!N199,Forecasts!N224,Forecasts!N249,Forecasts!N274))</x:f>
        <x:v>1.6497043191183638</x:v>
      </x:c>
      <x:c r="H213" s="8" t="n">
        <x:f>AVERAGE(Forecasts!O100,Forecasts!O124,Forecasts!O149,Forecasts!O174,Forecasts!O199,Forecasts!O224,Forecasts!O249,Forecasts!O274)</x:f>
        <x:v>1.409439489799606</x:v>
      </x:c>
      <x:c r="I213" s="8" t="n">
        <x:f>AVERAGE(Forecasts!M100,Forecasts!M124,Forecasts!M149,Forecasts!M174,Forecasts!M199,Forecasts!M224,Forecasts!M249,Forecasts!M274)</x:f>
        <x:v>1.2828913863935645</x:v>
      </x:c>
      <x:c r="J213" s="8" t="n">
        <x:f>SQRT(AVERAGE(Forecasts!N98,Forecasts!N122,Forecasts!N147,Forecasts!N172,Forecasts!N197,Forecasts!N222,Forecasts!N247,Forecasts!N272))</x:f>
        <x:v>1.2747548783981961</x:v>
      </x:c>
      <x:c r="K213" s="8" t="n">
        <x:f>SQRT(AVERAGE(Forecasts!N100,Forecasts!N124,Forecasts!N149,Forecasts!N174,Forecasts!N199,Forecasts!N224,Forecasts!N249,Forecasts!N274))</x:f>
        <x:v>1.6497043191183638</x:v>
      </x:c>
    </x:row>
    <x:row r="214" ht="26" customHeight="1">
      <x:c r="A214" s="2"/>
      <x:c r="B214" s="2" t="str">
        <x:v>Beauty / price_contribution</x:v>
      </x:c>
      <x:c r="C214" s="2" t="str">
        <x:v>Prior report</x:v>
      </x:c>
      <x:c r="D214" s="2" t="str">
        <x:v>Broad rolling 8</x:v>
      </x:c>
      <x:c r="E214" s="2" t="str">
        <x:v>All available</x:v>
      </x:c>
      <x:c r="F214" s="2" t="n">
        <x:v>12</x:v>
      </x:c>
      <x:c r="G214" s="8" t="n">
        <x:f>SQRT(AVERAGE(Forecasts!N15,Forecasts!N36,Forecasts!N58,Forecasts!N80,Forecasts!N102,Forecasts!N126,Forecasts!N151,Forecasts!N176,Forecasts!N201,Forecasts!N226,Forecasts!N251,Forecasts!N275))</x:f>
        <x:v>1.5171537806013076</x:v>
      </x:c>
      <x:c r="H214" s="8" t="n">
        <x:f>AVERAGE(Forecasts!O15,Forecasts!O36,Forecasts!O58,Forecasts!O80,Forecasts!O102,Forecasts!O126,Forecasts!O151,Forecasts!O176,Forecasts!O201,Forecasts!O226,Forecasts!O251,Forecasts!O275)</x:f>
        <x:v>1.268911617197718</x:v>
      </x:c>
      <x:c r="I214" s="8" t="n">
        <x:f>AVERAGE(Forecasts!M15,Forecasts!M36,Forecasts!M58,Forecasts!M80,Forecasts!M102,Forecasts!M126,Forecasts!M151,Forecasts!M176,Forecasts!M201,Forecasts!M226,Forecasts!M251,Forecasts!M275)</x:f>
        <x:v>0.7811980436410364</x:v>
      </x:c>
      <x:c r="J214" s="8" t="n">
        <x:f>SQRT(AVERAGE(Forecasts!N11,Forecasts!N32,Forecasts!N54,Forecasts!N76,Forecasts!N98,Forecasts!N122,Forecasts!N147,Forecasts!N172,Forecasts!N197,Forecasts!N222,Forecasts!N247,Forecasts!N272))</x:f>
        <x:v>1.3844373104863459</x:v>
      </x:c>
      <x:c r="K214" s="8" t="n">
        <x:f>SQRT(AVERAGE(Forecasts!N13,Forecasts!N34,Forecasts!N56,Forecasts!N78,Forecasts!N100,Forecasts!N124,Forecasts!N149,Forecasts!N174,Forecasts!N199,Forecasts!N224,Forecasts!N249,Forecasts!N274))</x:f>
        <x:v>1.7648150660424173</x:v>
      </x:c>
    </x:row>
    <x:row r="215" ht="26" customHeight="1">
      <x:c r="A215" s="2"/>
      <x:c r="B215" s="2" t="str">
        <x:v>Beauty / price_contribution</x:v>
      </x:c>
      <x:c r="C215" s="2" t="str">
        <x:v>Prior report</x:v>
      </x:c>
      <x:c r="D215" s="2" t="str">
        <x:v>Broad rolling 8</x:v>
      </x:c>
      <x:c r="E215" s="2" t="str">
        <x:v>Recent eight</x:v>
      </x:c>
      <x:c r="F215" s="2" t="n">
        <x:v>8</x:v>
      </x:c>
      <x:c r="G215" s="8" t="n">
        <x:f>SQRT(AVERAGE(Forecasts!N102,Forecasts!N126,Forecasts!N151,Forecasts!N176,Forecasts!N201,Forecasts!N226,Forecasts!N251,Forecasts!N275))</x:f>
        <x:v>1.2133969851937514</x:v>
      </x:c>
      <x:c r="H215" s="8" t="n">
        <x:f>AVERAGE(Forecasts!O102,Forecasts!O126,Forecasts!O151,Forecasts!O176,Forecasts!O201,Forecasts!O226,Forecasts!O251,Forecasts!O275)</x:f>
        <x:v>1.0527813003350026</x:v>
      </x:c>
      <x:c r="I215" s="8" t="n">
        <x:f>AVERAGE(Forecasts!M102,Forecasts!M126,Forecasts!M151,Forecasts!M176,Forecasts!M201,Forecasts!M226,Forecasts!M251,Forecasts!M275)</x:f>
        <x:v>0.3212109399999809</x:v>
      </x:c>
      <x:c r="J215" s="8" t="n">
        <x:f>SQRT(AVERAGE(Forecasts!N98,Forecasts!N122,Forecasts!N147,Forecasts!N172,Forecasts!N197,Forecasts!N222,Forecasts!N247,Forecasts!N272))</x:f>
        <x:v>1.2747548783981961</x:v>
      </x:c>
      <x:c r="K215" s="8" t="n">
        <x:f>SQRT(AVERAGE(Forecasts!N100,Forecasts!N124,Forecasts!N149,Forecasts!N174,Forecasts!N199,Forecasts!N224,Forecasts!N249,Forecasts!N274))</x:f>
        <x:v>1.6497043191183638</x:v>
      </x:c>
    </x:row>
    <x:row r="216" ht="26" customHeight="1">
      <x:c r="A216" s="2"/>
      <x:c r="B216" s="2" t="str">
        <x:v>Beauty / price_contribution</x:v>
      </x:c>
      <x:c r="C216" s="2" t="str">
        <x:v>Prior report</x:v>
      </x:c>
      <x:c r="D216" s="2" t="str">
        <x:v>Four-quarter mean</x:v>
      </x:c>
      <x:c r="E216" s="2" t="str">
        <x:v>All available</x:v>
      </x:c>
      <x:c r="F216" s="2" t="n">
        <x:v>12</x:v>
      </x:c>
      <x:c r="G216" s="8" t="n">
        <x:f>SQRT(AVERAGE(Forecasts!N12,Forecasts!N33,Forecasts!N55,Forecasts!N77,Forecasts!N99,Forecasts!N123,Forecasts!N148,Forecasts!N173,Forecasts!N198,Forecasts!N223,Forecasts!N248,Forecasts!N273))</x:f>
        <x:v>2.01038968030247</x:v>
      </x:c>
      <x:c r="H216" s="8" t="n">
        <x:f>AVERAGE(Forecasts!O12,Forecasts!O33,Forecasts!O55,Forecasts!O77,Forecasts!O99,Forecasts!O123,Forecasts!O148,Forecasts!O173,Forecasts!O198,Forecasts!O223,Forecasts!O248,Forecasts!O273)</x:f>
        <x:v>1.5416666666666667</x:v>
      </x:c>
      <x:c r="I216" s="8" t="n">
        <x:f>AVERAGE(Forecasts!M12,Forecasts!M33,Forecasts!M55,Forecasts!M77,Forecasts!M99,Forecasts!M123,Forecasts!M148,Forecasts!M173,Forecasts!M198,Forecasts!M223,Forecasts!M248,Forecasts!M273)</x:f>
        <x:v>1.3333333333333333</x:v>
      </x:c>
      <x:c r="J216" s="8" t="n">
        <x:f>SQRT(AVERAGE(Forecasts!N11,Forecasts!N32,Forecasts!N54,Forecasts!N76,Forecasts!N98,Forecasts!N122,Forecasts!N147,Forecasts!N172,Forecasts!N197,Forecasts!N222,Forecasts!N247,Forecasts!N272))</x:f>
        <x:v>1.3844373104863459</x:v>
      </x:c>
      <x:c r="K216" s="8" t="n">
        <x:f>SQRT(AVERAGE(Forecasts!N13,Forecasts!N34,Forecasts!N56,Forecasts!N78,Forecasts!N100,Forecasts!N124,Forecasts!N149,Forecasts!N174,Forecasts!N199,Forecasts!N224,Forecasts!N249,Forecasts!N274))</x:f>
        <x:v>1.7648150660424173</x:v>
      </x:c>
    </x:row>
    <x:row r="217" ht="26" customHeight="1">
      <x:c r="A217" s="2"/>
      <x:c r="B217" s="2" t="str">
        <x:v>Beauty / price_contribution</x:v>
      </x:c>
      <x:c r="C217" s="2" t="str">
        <x:v>Prior report</x:v>
      </x:c>
      <x:c r="D217" s="2" t="str">
        <x:v>Four-quarter mean</x:v>
      </x:c>
      <x:c r="E217" s="2" t="str">
        <x:v>Recent eight</x:v>
      </x:c>
      <x:c r="F217" s="2" t="n">
        <x:v>8</x:v>
      </x:c>
      <x:c r="G217" s="8" t="n">
        <x:f>SQRT(AVERAGE(Forecasts!N99,Forecasts!N123,Forecasts!N148,Forecasts!N173,Forecasts!N198,Forecasts!N223,Forecasts!N248,Forecasts!N273))</x:f>
        <x:v>1.7207374872420256</x:v>
      </x:c>
      <x:c r="H217" s="8" t="n">
        <x:f>AVERAGE(Forecasts!O99,Forecasts!O123,Forecasts!O148,Forecasts!O173,Forecasts!O198,Forecasts!O223,Forecasts!O248,Forecasts!O273)</x:f>
        <x:v>1.28125</x:v>
      </x:c>
      <x:c r="I217" s="8" t="n">
        <x:f>AVERAGE(Forecasts!M99,Forecasts!M123,Forecasts!M148,Forecasts!M173,Forecasts!M198,Forecasts!M223,Forecasts!M248,Forecasts!M273)</x:f>
        <x:v>1.09375</x:v>
      </x:c>
      <x:c r="J217" s="8" t="n">
        <x:f>SQRT(AVERAGE(Forecasts!N98,Forecasts!N122,Forecasts!N147,Forecasts!N172,Forecasts!N197,Forecasts!N222,Forecasts!N247,Forecasts!N272))</x:f>
        <x:v>1.2747548783981961</x:v>
      </x:c>
      <x:c r="K217" s="8" t="n">
        <x:f>SQRT(AVERAGE(Forecasts!N100,Forecasts!N124,Forecasts!N149,Forecasts!N174,Forecasts!N199,Forecasts!N224,Forecasts!N249,Forecasts!N274))</x:f>
        <x:v>1.6497043191183638</x:v>
      </x:c>
    </x:row>
    <x:row r="218" ht="26" customHeight="1">
      <x:c r="A218" s="2"/>
      <x:c r="B218" s="2" t="str">
        <x:v>Beauty / price_contribution</x:v>
      </x:c>
      <x:c r="C218" s="2" t="str">
        <x:v>Prior report</x:v>
      </x:c>
      <x:c r="D218" s="2" t="str">
        <x:v>Half correction</x:v>
      </x:c>
      <x:c r="E218" s="2" t="str">
        <x:v>All available</x:v>
      </x:c>
      <x:c r="F218" s="2" t="n">
        <x:v>8</x:v>
      </x:c>
      <x:c r="G218" s="8" t="n">
        <x:f>SQRT(AVERAGE(Forecasts!N2447,Forecasts!N2453,Forecasts!N2459,Forecasts!N2465,Forecasts!N2471,Forecasts!N2477,Forecasts!N2483,Forecasts!N2489))</x:f>
        <x:v>1.2343289938998778</x:v>
      </x:c>
      <x:c r="H218" s="8" t="n">
        <x:f>AVERAGE(Forecasts!O2447,Forecasts!O2453,Forecasts!O2459,Forecasts!O2465,Forecasts!O2471,Forecasts!O2477,Forecasts!O2483,Forecasts!O2489)</x:f>
        <x:v>1.0814469590251248</x:v>
      </x:c>
      <x:c r="I218" s="8" t="n">
        <x:f>AVERAGE(Forecasts!M2447,Forecasts!M2453,Forecasts!M2459,Forecasts!M2465,Forecasts!M2471,Forecasts!M2477,Forecasts!M2483,Forecasts!M2489)</x:f>
        <x:v>0.5383571273416459</x:v>
      </x:c>
      <x:c r="J218" s="8" t="n">
        <x:f>SQRT(AVERAGE(Forecasts!N98,Forecasts!N122,Forecasts!N147,Forecasts!N172,Forecasts!N197,Forecasts!N222,Forecasts!N247,Forecasts!N272))</x:f>
        <x:v>1.2747548783981961</x:v>
      </x:c>
      <x:c r="K218" s="8" t="n">
        <x:f>SQRT(AVERAGE(Forecasts!N100,Forecasts!N124,Forecasts!N149,Forecasts!N174,Forecasts!N199,Forecasts!N224,Forecasts!N249,Forecasts!N274))</x:f>
        <x:v>1.6497043191183638</x:v>
      </x:c>
    </x:row>
    <x:row r="219" ht="26" customHeight="1">
      <x:c r="A219" s="2"/>
      <x:c r="B219" s="2" t="str">
        <x:v>Beauty / price_contribution</x:v>
      </x:c>
      <x:c r="C219" s="2" t="str">
        <x:v>Prior report</x:v>
      </x:c>
      <x:c r="D219" s="2" t="str">
        <x:v>Half correction</x:v>
      </x:c>
      <x:c r="E219" s="2" t="str">
        <x:v>Recent eight</x:v>
      </x:c>
      <x:c r="F219" s="2" t="n">
        <x:v>8</x:v>
      </x:c>
      <x:c r="G219" s="8" t="n">
        <x:f>SQRT(AVERAGE(Forecasts!N2447,Forecasts!N2453,Forecasts!N2459,Forecasts!N2465,Forecasts!N2471,Forecasts!N2477,Forecasts!N2483,Forecasts!N2489))</x:f>
        <x:v>1.2343289938998778</x:v>
      </x:c>
      <x:c r="H219" s="8" t="n">
        <x:f>AVERAGE(Forecasts!O2447,Forecasts!O2453,Forecasts!O2459,Forecasts!O2465,Forecasts!O2471,Forecasts!O2477,Forecasts!O2483,Forecasts!O2489)</x:f>
        <x:v>1.0814469590251248</x:v>
      </x:c>
      <x:c r="I219" s="8" t="n">
        <x:f>AVERAGE(Forecasts!M2447,Forecasts!M2453,Forecasts!M2459,Forecasts!M2465,Forecasts!M2471,Forecasts!M2477,Forecasts!M2483,Forecasts!M2489)</x:f>
        <x:v>0.5383571273416459</x:v>
      </x:c>
      <x:c r="J219" s="8" t="n">
        <x:f>SQRT(AVERAGE(Forecasts!N98,Forecasts!N122,Forecasts!N147,Forecasts!N172,Forecasts!N197,Forecasts!N222,Forecasts!N247,Forecasts!N272))</x:f>
        <x:v>1.2747548783981961</x:v>
      </x:c>
      <x:c r="K219" s="8" t="n">
        <x:f>SQRT(AVERAGE(Forecasts!N100,Forecasts!N124,Forecasts!N149,Forecasts!N174,Forecasts!N199,Forecasts!N224,Forecasts!N249,Forecasts!N274))</x:f>
        <x:v>1.6497043191183638</x:v>
      </x:c>
    </x:row>
    <x:row r="220" ht="26" customHeight="1">
      <x:c r="A220" s="2"/>
      <x:c r="B220" s="2" t="str">
        <x:v>Beauty / price_contribution</x:v>
      </x:c>
      <x:c r="C220" s="2" t="str">
        <x:v>Prior report</x:v>
      </x:c>
      <x:c r="D220" s="2" t="str">
        <x:v>Last actual</x:v>
      </x:c>
      <x:c r="E220" s="2" t="str">
        <x:v>All available</x:v>
      </x:c>
      <x:c r="F220" s="2" t="n">
        <x:v>12</x:v>
      </x:c>
      <x:c r="G220" s="8" t="n">
        <x:f>SQRT(AVERAGE(Forecasts!N11,Forecasts!N32,Forecasts!N54,Forecasts!N76,Forecasts!N98,Forecasts!N122,Forecasts!N147,Forecasts!N172,Forecasts!N197,Forecasts!N222,Forecasts!N247,Forecasts!N272))</x:f>
        <x:v>1.3844373104863459</x:v>
      </x:c>
      <x:c r="H220" s="8" t="n">
        <x:f>AVERAGE(Forecasts!O11,Forecasts!O32,Forecasts!O54,Forecasts!O76,Forecasts!O98,Forecasts!O122,Forecasts!O147,Forecasts!O172,Forecasts!O197,Forecasts!O222,Forecasts!O247,Forecasts!O272)</x:f>
        <x:v>1.0833333333333333</x:v>
      </x:c>
      <x:c r="I220" s="8" t="n">
        <x:f>AVERAGE(Forecasts!M11,Forecasts!M32,Forecasts!M54,Forecasts!M76,Forecasts!M98,Forecasts!M122,Forecasts!M147,Forecasts!M172,Forecasts!M197,Forecasts!M222,Forecasts!M247,Forecasts!M272)</x:f>
        <x:v>0.5833333333333334</x:v>
      </x:c>
      <x:c r="J220" s="8" t="n">
        <x:f>SQRT(AVERAGE(Forecasts!N11,Forecasts!N32,Forecasts!N54,Forecasts!N76,Forecasts!N98,Forecasts!N122,Forecasts!N147,Forecasts!N172,Forecasts!N197,Forecasts!N222,Forecasts!N247,Forecasts!N272))</x:f>
        <x:v>1.3844373104863459</x:v>
      </x:c>
      <x:c r="K220" s="8" t="n">
        <x:f>SQRT(AVERAGE(Forecasts!N13,Forecasts!N34,Forecasts!N56,Forecasts!N78,Forecasts!N100,Forecasts!N124,Forecasts!N149,Forecasts!N174,Forecasts!N199,Forecasts!N224,Forecasts!N249,Forecasts!N274))</x:f>
        <x:v>1.7648150660424173</x:v>
      </x:c>
    </x:row>
    <x:row r="221" ht="26" customHeight="1">
      <x:c r="A221" s="2"/>
      <x:c r="B221" s="2" t="str">
        <x:v>Beauty / price_contribution</x:v>
      </x:c>
      <x:c r="C221" s="2" t="str">
        <x:v>Prior report</x:v>
      </x:c>
      <x:c r="D221" s="2" t="str">
        <x:v>Last actual</x:v>
      </x:c>
      <x:c r="E221" s="2" t="str">
        <x:v>Recent eight</x:v>
      </x:c>
      <x:c r="F221" s="2" t="n">
        <x:v>8</x:v>
      </x:c>
      <x:c r="G221" s="8" t="n">
        <x:f>SQRT(AVERAGE(Forecasts!N98,Forecasts!N122,Forecasts!N147,Forecasts!N172,Forecasts!N197,Forecasts!N222,Forecasts!N247,Forecasts!N272))</x:f>
        <x:v>1.2747548783981961</x:v>
      </x:c>
      <x:c r="H221" s="8" t="n">
        <x:f>AVERAGE(Forecasts!O98,Forecasts!O122,Forecasts!O147,Forecasts!O172,Forecasts!O197,Forecasts!O222,Forecasts!O247,Forecasts!O272)</x:f>
        <x:v>1.125</x:v>
      </x:c>
      <x:c r="I221" s="8" t="n">
        <x:f>AVERAGE(Forecasts!M98,Forecasts!M122,Forecasts!M147,Forecasts!M172,Forecasts!M197,Forecasts!M222,Forecasts!M247,Forecasts!M272)</x:f>
        <x:v>0.375</x:v>
      </x:c>
      <x:c r="J221" s="8" t="n">
        <x:f>SQRT(AVERAGE(Forecasts!N98,Forecasts!N122,Forecasts!N147,Forecasts!N172,Forecasts!N197,Forecasts!N222,Forecasts!N247,Forecasts!N272))</x:f>
        <x:v>1.2747548783981961</x:v>
      </x:c>
      <x:c r="K221" s="8" t="n">
        <x:f>SQRT(AVERAGE(Forecasts!N100,Forecasts!N124,Forecasts!N149,Forecasts!N174,Forecasts!N199,Forecasts!N224,Forecasts!N249,Forecasts!N274))</x:f>
        <x:v>1.6497043191183638</x:v>
      </x:c>
    </x:row>
    <x:row r="222" ht="26" customHeight="1">
      <x:c r="A222" s="2"/>
      <x:c r="B222" s="2" t="str">
        <x:v>Beauty / price_contribution</x:v>
      </x:c>
      <x:c r="C222" s="2" t="str">
        <x:v>Prior report</x:v>
      </x:c>
      <x:c r="D222" s="2" t="str">
        <x:v>Own + product</x:v>
      </x:c>
      <x:c r="E222" s="2" t="str">
        <x:v>All available</x:v>
      </x:c>
      <x:c r="F222" s="2" t="n">
        <x:v>8</x:v>
      </x:c>
      <x:c r="G222" s="8" t="n">
        <x:f>SQRT(AVERAGE(Forecasts!N106,Forecasts!N130,Forecasts!N155,Forecasts!N180,Forecasts!N205,Forecasts!N230,Forecasts!N255,Forecasts!N278))</x:f>
        <x:v>1.9546901369658347</x:v>
      </x:c>
      <x:c r="H222" s="8" t="n">
        <x:f>AVERAGE(Forecasts!O106,Forecasts!O130,Forecasts!O155,Forecasts!O180,Forecasts!O205,Forecasts!O230,Forecasts!O255,Forecasts!O278)</x:f>
        <x:v>1.779556854332983</x:v>
      </x:c>
      <x:c r="I222" s="8" t="n">
        <x:f>AVERAGE(Forecasts!M106,Forecasts!M130,Forecasts!M155,Forecasts!M180,Forecasts!M205,Forecasts!M230,Forecasts!M255,Forecasts!M278)</x:f>
        <x:v>1.7234706138905334</x:v>
      </x:c>
      <x:c r="J222" s="8" t="n">
        <x:f>SQRT(AVERAGE(Forecasts!N98,Forecasts!N122,Forecasts!N147,Forecasts!N172,Forecasts!N197,Forecasts!N222,Forecasts!N247,Forecasts!N272))</x:f>
        <x:v>1.2747548783981961</x:v>
      </x:c>
      <x:c r="K222" s="8" t="n">
        <x:f>SQRT(AVERAGE(Forecasts!N100,Forecasts!N124,Forecasts!N149,Forecasts!N174,Forecasts!N199,Forecasts!N224,Forecasts!N249,Forecasts!N274))</x:f>
        <x:v>1.6497043191183638</x:v>
      </x:c>
    </x:row>
    <x:row r="223" ht="26" customHeight="1">
      <x:c r="A223" s="2"/>
      <x:c r="B223" s="2" t="str">
        <x:v>Beauty / price_contribution</x:v>
      </x:c>
      <x:c r="C223" s="2" t="str">
        <x:v>Prior report</x:v>
      </x:c>
      <x:c r="D223" s="2" t="str">
        <x:v>Own + product</x:v>
      </x:c>
      <x:c r="E223" s="2" t="str">
        <x:v>Recent eight</x:v>
      </x:c>
      <x:c r="F223" s="2" t="n">
        <x:v>8</x:v>
      </x:c>
      <x:c r="G223" s="8" t="n">
        <x:f>SQRT(AVERAGE(Forecasts!N106,Forecasts!N130,Forecasts!N155,Forecasts!N180,Forecasts!N205,Forecasts!N230,Forecasts!N255,Forecasts!N278))</x:f>
        <x:v>1.9546901369658347</x:v>
      </x:c>
      <x:c r="H223" s="8" t="n">
        <x:f>AVERAGE(Forecasts!O106,Forecasts!O130,Forecasts!O155,Forecasts!O180,Forecasts!O205,Forecasts!O230,Forecasts!O255,Forecasts!O278)</x:f>
        <x:v>1.779556854332983</x:v>
      </x:c>
      <x:c r="I223" s="8" t="n">
        <x:f>AVERAGE(Forecasts!M106,Forecasts!M130,Forecasts!M155,Forecasts!M180,Forecasts!M205,Forecasts!M230,Forecasts!M255,Forecasts!M278)</x:f>
        <x:v>1.7234706138905334</x:v>
      </x:c>
      <x:c r="J223" s="8" t="n">
        <x:f>SQRT(AVERAGE(Forecasts!N98,Forecasts!N122,Forecasts!N147,Forecasts!N172,Forecasts!N197,Forecasts!N222,Forecasts!N247,Forecasts!N272))</x:f>
        <x:v>1.2747548783981961</x:v>
      </x:c>
      <x:c r="K223" s="8" t="n">
        <x:f>SQRT(AVERAGE(Forecasts!N100,Forecasts!N124,Forecasts!N149,Forecasts!N174,Forecasts!N199,Forecasts!N224,Forecasts!N249,Forecasts!N274))</x:f>
        <x:v>1.6497043191183638</x:v>
      </x:c>
    </x:row>
    <x:row r="224" ht="26" customHeight="1">
      <x:c r="A224" s="2"/>
      <x:c r="B224" s="2" t="str">
        <x:v>Beauty / price_contribution</x:v>
      </x:c>
      <x:c r="C224" s="2" t="str">
        <x:v>Prior report</x:v>
      </x:c>
      <x:c r="D224" s="2" t="str">
        <x:v>Own history</x:v>
      </x:c>
      <x:c r="E224" s="2" t="str">
        <x:v>All available</x:v>
      </x:c>
      <x:c r="F224" s="2" t="n">
        <x:v>12</x:v>
      </x:c>
      <x:c r="G224" s="8" t="n">
        <x:f>SQRT(AVERAGE(Forecasts!N16,Forecasts!N37,Forecasts!N59,Forecasts!N81,Forecasts!N103,Forecasts!N127,Forecasts!N152,Forecasts!N177,Forecasts!N202,Forecasts!N227,Forecasts!N252,Forecasts!N276))</x:f>
        <x:v>1.5515752535681195</x:v>
      </x:c>
      <x:c r="H224" s="8" t="n">
        <x:f>AVERAGE(Forecasts!O16,Forecasts!O37,Forecasts!O59,Forecasts!O81,Forecasts!O103,Forecasts!O127,Forecasts!O152,Forecasts!O177,Forecasts!O202,Forecasts!O227,Forecasts!O252,Forecasts!O276)</x:f>
        <x:v>1.211915046150931</x:v>
      </x:c>
      <x:c r="I224" s="8" t="n">
        <x:f>AVERAGE(Forecasts!M16,Forecasts!M37,Forecasts!M59,Forecasts!M81,Forecasts!M103,Forecasts!M127,Forecasts!M152,Forecasts!M177,Forecasts!M202,Forecasts!M227,Forecasts!M252,Forecasts!M276)</x:f>
        <x:v>1.0163852718795339</x:v>
      </x:c>
      <x:c r="J224" s="8" t="n">
        <x:f>SQRT(AVERAGE(Forecasts!N11,Forecasts!N32,Forecasts!N54,Forecasts!N76,Forecasts!N98,Forecasts!N122,Forecasts!N147,Forecasts!N172,Forecasts!N197,Forecasts!N222,Forecasts!N247,Forecasts!N272))</x:f>
        <x:v>1.3844373104863459</x:v>
      </x:c>
      <x:c r="K224" s="8" t="n">
        <x:f>SQRT(AVERAGE(Forecasts!N13,Forecasts!N34,Forecasts!N56,Forecasts!N78,Forecasts!N100,Forecasts!N124,Forecasts!N149,Forecasts!N174,Forecasts!N199,Forecasts!N224,Forecasts!N249,Forecasts!N274))</x:f>
        <x:v>1.7648150660424173</x:v>
      </x:c>
    </x:row>
    <x:row r="225" ht="26" customHeight="1">
      <x:c r="A225" s="2"/>
      <x:c r="B225" s="2" t="str">
        <x:v>Beauty / price_contribution</x:v>
      </x:c>
      <x:c r="C225" s="2" t="str">
        <x:v>Prior report</x:v>
      </x:c>
      <x:c r="D225" s="2" t="str">
        <x:v>Own history</x:v>
      </x:c>
      <x:c r="E225" s="2" t="str">
        <x:v>Recent eight</x:v>
      </x:c>
      <x:c r="F225" s="2" t="n">
        <x:v>8</x:v>
      </x:c>
      <x:c r="G225" s="8" t="n">
        <x:f>SQRT(AVERAGE(Forecasts!N103,Forecasts!N127,Forecasts!N152,Forecasts!N177,Forecasts!N202,Forecasts!N227,Forecasts!N252,Forecasts!N276))</x:f>
        <x:v>1.485421450394397</x:v>
      </x:c>
      <x:c r="H225" s="8" t="n">
        <x:f>AVERAGE(Forecasts!O103,Forecasts!O127,Forecasts!O152,Forecasts!O177,Forecasts!O202,Forecasts!O227,Forecasts!O252,Forecasts!O276)</x:f>
        <x:v>1.1965616534228645</x:v>
      </x:c>
      <x:c r="I225" s="8" t="n">
        <x:f>AVERAGE(Forecasts!M103,Forecasts!M127,Forecasts!M152,Forecasts!M177,Forecasts!M202,Forecasts!M227,Forecasts!M252,Forecasts!M276)</x:f>
        <x:v>0.9032669920157687</x:v>
      </x:c>
      <x:c r="J225" s="8" t="n">
        <x:f>SQRT(AVERAGE(Forecasts!N98,Forecasts!N122,Forecasts!N147,Forecasts!N172,Forecasts!N197,Forecasts!N222,Forecasts!N247,Forecasts!N272))</x:f>
        <x:v>1.2747548783981961</x:v>
      </x:c>
      <x:c r="K225" s="8" t="n">
        <x:f>SQRT(AVERAGE(Forecasts!N100,Forecasts!N124,Forecasts!N149,Forecasts!N174,Forecasts!N199,Forecasts!N224,Forecasts!N249,Forecasts!N274))</x:f>
        <x:v>1.6497043191183638</x:v>
      </x:c>
    </x:row>
    <x:row r="226" ht="26" customHeight="1">
      <x:c r="A226" s="2"/>
      <x:c r="B226" s="2" t="str">
        <x:v>Beauty / price_contribution</x:v>
      </x:c>
      <x:c r="C226" s="2" t="str">
        <x:v>Prior report</x:v>
      </x:c>
      <x:c r="D226" s="2" t="str">
        <x:v>Product lag 1</x:v>
      </x:c>
      <x:c r="E226" s="2" t="str">
        <x:v>All available</x:v>
      </x:c>
      <x:c r="F226" s="2" t="n">
        <x:v>11</x:v>
      </x:c>
      <x:c r="G226" s="8" t="n">
        <x:f>SQRT(AVERAGE(Forecasts!N18,Forecasts!N39,Forecasts!N61,Forecasts!N83,Forecasts!N105,Forecasts!N129,Forecasts!N154,Forecasts!N179,Forecasts!N204,Forecasts!N229,Forecasts!N254))</x:f>
        <x:v>1.9894483839214674</x:v>
      </x:c>
      <x:c r="H226" s="8" t="n">
        <x:f>AVERAGE(Forecasts!O18,Forecasts!O39,Forecasts!O61,Forecasts!O83,Forecasts!O105,Forecasts!O129,Forecasts!O154,Forecasts!O179,Forecasts!O204,Forecasts!O229,Forecasts!O254)</x:f>
        <x:v>1.7933273086455883</x:v>
      </x:c>
      <x:c r="I226" s="8" t="n">
        <x:f>AVERAGE(Forecasts!M18,Forecasts!M39,Forecasts!M61,Forecasts!M83,Forecasts!M105,Forecasts!M129,Forecasts!M154,Forecasts!M179,Forecasts!M204,Forecasts!M229,Forecasts!M254)</x:f>
        <x:v>1.7933273086455883</x:v>
      </x:c>
      <x:c r="J226" s="8" t="n">
        <x:f>SQRT(AVERAGE(Forecasts!N11,Forecasts!N32,Forecasts!N54,Forecasts!N76,Forecasts!N98,Forecasts!N122,Forecasts!N147,Forecasts!N172,Forecasts!N197,Forecasts!N222,Forecasts!N247))</x:f>
        <x:v>1.4142135623730951</x:v>
      </x:c>
      <x:c r="K226" s="8" t="n">
        <x:f>SQRT(AVERAGE(Forecasts!N13,Forecasts!N34,Forecasts!N56,Forecasts!N78,Forecasts!N100,Forecasts!N124,Forecasts!N149,Forecasts!N174,Forecasts!N199,Forecasts!N224,Forecasts!N249))</x:f>
        <x:v>1.7313672171686183</x:v>
      </x:c>
    </x:row>
    <x:row r="227" ht="26" customHeight="1">
      <x:c r="A227" s="2"/>
      <x:c r="B227" s="2" t="str">
        <x:v>Beauty / price_contribution</x:v>
      </x:c>
      <x:c r="C227" s="2" t="str">
        <x:v>Prior report</x:v>
      </x:c>
      <x:c r="D227" s="2" t="str">
        <x:v>Product lag 1</x:v>
      </x:c>
      <x:c r="E227" s="2" t="str">
        <x:v>Recent eight</x:v>
      </x:c>
      <x:c r="F227" s="2" t="n">
        <x:v>7</x:v>
      </x:c>
      <x:c r="G227" s="8" t="n">
        <x:f>SQRT(AVERAGE(Forecasts!N105,Forecasts!N129,Forecasts!N154,Forecasts!N179,Forecasts!N204,Forecasts!N229,Forecasts!N254))</x:f>
        <x:v>1.9360309376474927</x:v>
      </x:c>
      <x:c r="H227" s="8" t="n">
        <x:f>AVERAGE(Forecasts!O105,Forecasts!O129,Forecasts!O154,Forecasts!O179,Forecasts!O204,Forecasts!O229,Forecasts!O254)</x:f>
        <x:v>1.7131886936874297</x:v>
      </x:c>
      <x:c r="I227" s="8" t="n">
        <x:f>AVERAGE(Forecasts!M105,Forecasts!M129,Forecasts!M154,Forecasts!M179,Forecasts!M204,Forecasts!M229,Forecasts!M254)</x:f>
        <x:v>1.7131886936874297</x:v>
      </x:c>
      <x:c r="J227" s="8" t="n">
        <x:f>SQRT(AVERAGE(Forecasts!N98,Forecasts!N122,Forecasts!N147,Forecasts!N172,Forecasts!N197,Forecasts!N222,Forecasts!N247))</x:f>
        <x:v>1.3093073414159542</x:v>
      </x:c>
      <x:c r="K227" s="8" t="n">
        <x:f>SQRT(AVERAGE(Forecasts!N100,Forecasts!N124,Forecasts!N149,Forecasts!N174,Forecasts!N199,Forecasts!N224,Forecasts!N249))</x:f>
        <x:v>1.5753133458697266</x:v>
      </x:c>
    </x:row>
    <x:row r="228" ht="26" customHeight="1">
      <x:c r="A228" s="2"/>
      <x:c r="B228" s="2" t="str">
        <x:v>Beauty / price_contribution</x:v>
      </x:c>
      <x:c r="C228" s="2" t="str">
        <x:v>Prior report</x:v>
      </x:c>
      <x:c r="D228" s="2" t="str">
        <x:v>Product price</x:v>
      </x:c>
      <x:c r="E228" s="2" t="str">
        <x:v>All available</x:v>
      </x:c>
      <x:c r="F228" s="2" t="n">
        <x:v>12</x:v>
      </x:c>
      <x:c r="G228" s="8" t="n">
        <x:f>SQRT(AVERAGE(Forecasts!N17,Forecasts!N38,Forecasts!N60,Forecasts!N82,Forecasts!N104,Forecasts!N128,Forecasts!N153,Forecasts!N178,Forecasts!N203,Forecasts!N228,Forecasts!N253,Forecasts!N277))</x:f>
        <x:v>1.7567367098023638</x:v>
      </x:c>
      <x:c r="H228" s="8" t="n">
        <x:f>AVERAGE(Forecasts!O17,Forecasts!O38,Forecasts!O60,Forecasts!O82,Forecasts!O104,Forecasts!O128,Forecasts!O153,Forecasts!O178,Forecasts!O203,Forecasts!O228,Forecasts!O253,Forecasts!O277)</x:f>
        <x:v>1.5620223137440326</x:v>
      </x:c>
      <x:c r="I228" s="8" t="n">
        <x:f>AVERAGE(Forecasts!M17,Forecasts!M38,Forecasts!M60,Forecasts!M82,Forecasts!M104,Forecasts!M128,Forecasts!M153,Forecasts!M178,Forecasts!M203,Forecasts!M228,Forecasts!M253,Forecasts!M277)</x:f>
        <x:v>1.4866017033670451</x:v>
      </x:c>
      <x:c r="J228" s="8" t="n">
        <x:f>SQRT(AVERAGE(Forecasts!N11,Forecasts!N32,Forecasts!N54,Forecasts!N76,Forecasts!N98,Forecasts!N122,Forecasts!N147,Forecasts!N172,Forecasts!N197,Forecasts!N222,Forecasts!N247,Forecasts!N272))</x:f>
        <x:v>1.3844373104863459</x:v>
      </x:c>
      <x:c r="K228" s="8" t="n">
        <x:f>SQRT(AVERAGE(Forecasts!N13,Forecasts!N34,Forecasts!N56,Forecasts!N78,Forecasts!N100,Forecasts!N124,Forecasts!N149,Forecasts!N174,Forecasts!N199,Forecasts!N224,Forecasts!N249,Forecasts!N274))</x:f>
        <x:v>1.7648150660424173</x:v>
      </x:c>
    </x:row>
    <x:row r="229" ht="26" customHeight="1">
      <x:c r="A229" s="2"/>
      <x:c r="B229" s="2" t="str">
        <x:v>Beauty / price_contribution</x:v>
      </x:c>
      <x:c r="C229" s="2" t="str">
        <x:v>Prior report</x:v>
      </x:c>
      <x:c r="D229" s="2" t="str">
        <x:v>Product price</x:v>
      </x:c>
      <x:c r="E229" s="2" t="str">
        <x:v>Recent eight</x:v>
      </x:c>
      <x:c r="F229" s="2" t="n">
        <x:v>8</x:v>
      </x:c>
      <x:c r="G229" s="8" t="n">
        <x:f>SQRT(AVERAGE(Forecasts!N104,Forecasts!N128,Forecasts!N153,Forecasts!N178,Forecasts!N203,Forecasts!N228,Forecasts!N253,Forecasts!N277))</x:f>
        <x:v>1.6873705638367562</x:v>
      </x:c>
      <x:c r="H229" s="8" t="n">
        <x:f>AVERAGE(Forecasts!O104,Forecasts!O128,Forecasts!O153,Forecasts!O178,Forecasts!O203,Forecasts!O228,Forecasts!O253,Forecasts!O277)</x:f>
        <x:v>1.5123573544529996</x:v>
      </x:c>
      <x:c r="I229" s="8" t="n">
        <x:f>AVERAGE(Forecasts!M104,Forecasts!M128,Forecasts!M153,Forecasts!M178,Forecasts!M203,Forecasts!M228,Forecasts!M253,Forecasts!M277)</x:f>
        <x:v>1.3992264388875184</x:v>
      </x:c>
      <x:c r="J229" s="8" t="n">
        <x:f>SQRT(AVERAGE(Forecasts!N98,Forecasts!N122,Forecasts!N147,Forecasts!N172,Forecasts!N197,Forecasts!N222,Forecasts!N247,Forecasts!N272))</x:f>
        <x:v>1.2747548783981961</x:v>
      </x:c>
      <x:c r="K229" s="8" t="n">
        <x:f>SQRT(AVERAGE(Forecasts!N100,Forecasts!N124,Forecasts!N149,Forecasts!N174,Forecasts!N199,Forecasts!N224,Forecasts!N249,Forecasts!N274))</x:f>
        <x:v>1.6497043191183638</x:v>
      </x:c>
    </x:row>
    <x:row r="230" ht="26" customHeight="1">
      <x:c r="A230" s="2"/>
      <x:c r="B230" s="2" t="str">
        <x:v>Beauty / price_contribution</x:v>
      </x:c>
      <x:c r="C230" s="2" t="str">
        <x:v>Pre-earnings</x:v>
      </x:c>
      <x:c r="D230" s="2" t="str">
        <x:v>Bias correction</x:v>
      </x:c>
      <x:c r="E230" s="2" t="str">
        <x:v>All available</x:v>
      </x:c>
      <x:c r="F230" s="2" t="n">
        <x:v>8</x:v>
      </x:c>
      <x:c r="G230" s="8" t="n">
        <x:f>SQRT(AVERAGE(Forecasts!N2448,Forecasts!N2454,Forecasts!N2460,Forecasts!N2466,Forecasts!N2472,Forecasts!N2478,Forecasts!N2484,Forecasts!N2490))</x:f>
        <x:v>1.1077563865846038</x:v>
      </x:c>
      <x:c r="H230" s="8" t="n">
        <x:f>AVERAGE(Forecasts!O2448,Forecasts!O2454,Forecasts!O2460,Forecasts!O2466,Forecasts!O2472,Forecasts!O2478,Forecasts!O2484,Forecasts!O2490)</x:f>
        <x:v>0.8985783546782408</x:v>
      </x:c>
      <x:c r="I230" s="8" t="n">
        <x:f>AVERAGE(Forecasts!M2448,Forecasts!M2454,Forecasts!M2460,Forecasts!M2466,Forecasts!M2472,Forecasts!M2478,Forecasts!M2484,Forecasts!M2490)</x:f>
        <x:v>0.11921765928732031</x:v>
      </x:c>
      <x:c r="J230" s="8" t="n">
        <x:f>SQRT(AVERAGE(Forecasts!N107,Forecasts!N131,Forecasts!N156,Forecasts!N181,Forecasts!N206,Forecasts!N231,Forecasts!N256,Forecasts!N279))</x:f>
        <x:v>1.2747548783981961</x:v>
      </x:c>
      <x:c r="K230" s="8" t="n">
        <x:f>SQRT(AVERAGE(Forecasts!N109,Forecasts!N133,Forecasts!N158,Forecasts!N183,Forecasts!N208,Forecasts!N233,Forecasts!N258,Forecasts!N281))</x:f>
        <x:v>1.4328893937375322</x:v>
      </x:c>
    </x:row>
    <x:row r="231" ht="26" customHeight="1">
      <x:c r="A231" s="2"/>
      <x:c r="B231" s="2" t="str">
        <x:v>Beauty / price_contribution</x:v>
      </x:c>
      <x:c r="C231" s="2" t="str">
        <x:v>Pre-earnings</x:v>
      </x:c>
      <x:c r="D231" s="2" t="str">
        <x:v>Bias correction</x:v>
      </x:c>
      <x:c r="E231" s="2" t="str">
        <x:v>Recent eight</x:v>
      </x:c>
      <x:c r="F231" s="2" t="n">
        <x:v>8</x:v>
      </x:c>
      <x:c r="G231" s="8" t="n">
        <x:f>SQRT(AVERAGE(Forecasts!N2448,Forecasts!N2454,Forecasts!N2460,Forecasts!N2466,Forecasts!N2472,Forecasts!N2478,Forecasts!N2484,Forecasts!N2490))</x:f>
        <x:v>1.1077563865846038</x:v>
      </x:c>
      <x:c r="H231" s="8" t="n">
        <x:f>AVERAGE(Forecasts!O2448,Forecasts!O2454,Forecasts!O2460,Forecasts!O2466,Forecasts!O2472,Forecasts!O2478,Forecasts!O2484,Forecasts!O2490)</x:f>
        <x:v>0.8985783546782408</x:v>
      </x:c>
      <x:c r="I231" s="8" t="n">
        <x:f>AVERAGE(Forecasts!M2448,Forecasts!M2454,Forecasts!M2460,Forecasts!M2466,Forecasts!M2472,Forecasts!M2478,Forecasts!M2484,Forecasts!M2490)</x:f>
        <x:v>0.11921765928732031</x:v>
      </x:c>
      <x:c r="J231" s="8" t="n">
        <x:f>SQRT(AVERAGE(Forecasts!N107,Forecasts!N131,Forecasts!N156,Forecasts!N181,Forecasts!N206,Forecasts!N231,Forecasts!N256,Forecasts!N279))</x:f>
        <x:v>1.2747548783981961</x:v>
      </x:c>
      <x:c r="K231" s="8" t="n">
        <x:f>SQRT(AVERAGE(Forecasts!N109,Forecasts!N133,Forecasts!N158,Forecasts!N183,Forecasts!N208,Forecasts!N233,Forecasts!N258,Forecasts!N281))</x:f>
        <x:v>1.4328893937375322</x:v>
      </x:c>
    </x:row>
    <x:row r="232" ht="26" customHeight="1">
      <x:c r="A232" s="2"/>
      <x:c r="B232" s="2" t="str">
        <x:v>Beauty / price_contribution</x:v>
      </x:c>
      <x:c r="C232" s="2" t="str">
        <x:v>Pre-earnings</x:v>
      </x:c>
      <x:c r="D232" s="2" t="str">
        <x:v>Broad lag 1</x:v>
      </x:c>
      <x:c r="E232" s="2" t="str">
        <x:v>All available</x:v>
      </x:c>
      <x:c r="F232" s="2" t="n">
        <x:v>11</x:v>
      </x:c>
      <x:c r="G232" s="8" t="n">
        <x:f>SQRT(AVERAGE(Forecasts!N22,Forecasts!N43,Forecasts!N65,Forecasts!N87,Forecasts!N110,Forecasts!N134,Forecasts!N159,Forecasts!N184,Forecasts!N209,Forecasts!N234,Forecasts!N259))</x:f>
        <x:v>2.026832725878612</x:v>
      </x:c>
      <x:c r="H232" s="8" t="n">
        <x:f>AVERAGE(Forecasts!O22,Forecasts!O43,Forecasts!O65,Forecasts!O87,Forecasts!O110,Forecasts!O134,Forecasts!O159,Forecasts!O184,Forecasts!O209,Forecasts!O234,Forecasts!O259)</x:f>
        <x:v>1.771008344944545</x:v>
      </x:c>
      <x:c r="I232" s="8" t="n">
        <x:f>AVERAGE(Forecasts!M22,Forecasts!M43,Forecasts!M65,Forecasts!M87,Forecasts!M110,Forecasts!M134,Forecasts!M159,Forecasts!M184,Forecasts!M209,Forecasts!M234,Forecasts!M259)</x:f>
        <x:v>1.771008344944545</x:v>
      </x:c>
      <x:c r="J232" s="8" t="n">
        <x:f>SQRT(AVERAGE(Forecasts!N19,Forecasts!N40,Forecasts!N62,Forecasts!N84,Forecasts!N107,Forecasts!N131,Forecasts!N156,Forecasts!N181,Forecasts!N206,Forecasts!N231,Forecasts!N256))</x:f>
        <x:v>1.4142135623730951</x:v>
      </x:c>
      <x:c r="K232" s="8" t="n">
        <x:f>SQRT(AVERAGE(Forecasts!N21,Forecasts!N42,Forecasts!N64,Forecasts!N86,Forecasts!N109,Forecasts!N133,Forecasts!N158,Forecasts!N183,Forecasts!N208,Forecasts!N233,Forecasts!N258))</x:f>
        <x:v>1.2161258419790202</x:v>
      </x:c>
    </x:row>
    <x:row r="233" ht="26" customHeight="1">
      <x:c r="A233" s="2"/>
      <x:c r="B233" s="2" t="str">
        <x:v>Beauty / price_contribution</x:v>
      </x:c>
      <x:c r="C233" s="2" t="str">
        <x:v>Pre-earnings</x:v>
      </x:c>
      <x:c r="D233" s="2" t="str">
        <x:v>Broad lag 1</x:v>
      </x:c>
      <x:c r="E233" s="2" t="str">
        <x:v>Recent eight</x:v>
      </x:c>
      <x:c r="F233" s="2" t="n">
        <x:v>7</x:v>
      </x:c>
      <x:c r="G233" s="8" t="n">
        <x:f>SQRT(AVERAGE(Forecasts!N110,Forecasts!N134,Forecasts!N159,Forecasts!N184,Forecasts!N209,Forecasts!N234,Forecasts!N259))</x:f>
        <x:v>1.894797182200352</x:v>
      </x:c>
      <x:c r="H233" s="8" t="n">
        <x:f>AVERAGE(Forecasts!O110,Forecasts!O134,Forecasts!O159,Forecasts!O184,Forecasts!O209,Forecasts!O234,Forecasts!O259)</x:f>
        <x:v>1.5997183572848892</x:v>
      </x:c>
      <x:c r="I233" s="8" t="n">
        <x:f>AVERAGE(Forecasts!M110,Forecasts!M134,Forecasts!M159,Forecasts!M184,Forecasts!M209,Forecasts!M234,Forecasts!M259)</x:f>
        <x:v>1.5997183572848892</x:v>
      </x:c>
      <x:c r="J233" s="8" t="n">
        <x:f>SQRT(AVERAGE(Forecasts!N107,Forecasts!N131,Forecasts!N156,Forecasts!N181,Forecasts!N206,Forecasts!N231,Forecasts!N256))</x:f>
        <x:v>1.3093073414159542</x:v>
      </x:c>
      <x:c r="K233" s="8" t="n">
        <x:f>SQRT(AVERAGE(Forecasts!N109,Forecasts!N133,Forecasts!N158,Forecasts!N183,Forecasts!N208,Forecasts!N233,Forecasts!N258))</x:f>
        <x:v>1.1448136792430688</x:v>
      </x:c>
    </x:row>
    <x:row r="234" ht="26" customHeight="1">
      <x:c r="A234" s="2"/>
      <x:c r="B234" s="2" t="str">
        <x:v>Beauty / price_contribution</x:v>
      </x:c>
      <x:c r="C234" s="2" t="str">
        <x:v>Pre-earnings</x:v>
      </x:c>
      <x:c r="D234" s="2" t="str">
        <x:v>Broad market</x:v>
      </x:c>
      <x:c r="E234" s="2" t="str">
        <x:v>All available</x:v>
      </x:c>
      <x:c r="F234" s="2" t="n">
        <x:v>12</x:v>
      </x:c>
      <x:c r="G234" s="8" t="n">
        <x:f>SQRT(AVERAGE(Forecasts!N21,Forecasts!N42,Forecasts!N64,Forecasts!N86,Forecasts!N109,Forecasts!N133,Forecasts!N158,Forecasts!N183,Forecasts!N208,Forecasts!N233,Forecasts!N258,Forecasts!N281))</x:f>
        <x:v>1.399993163525889</x:v>
      </x:c>
      <x:c r="H234" s="8" t="n">
        <x:f>AVERAGE(Forecasts!O21,Forecasts!O42,Forecasts!O64,Forecasts!O86,Forecasts!O109,Forecasts!O133,Forecasts!O158,Forecasts!O183,Forecasts!O208,Forecasts!O233,Forecasts!O258,Forecasts!O281)</x:f>
        <x:v>1.1919024551716415</x:v>
      </x:c>
      <x:c r="I234" s="8" t="n">
        <x:f>AVERAGE(Forecasts!M21,Forecasts!M42,Forecasts!M64,Forecasts!M86,Forecasts!M109,Forecasts!M133,Forecasts!M158,Forecasts!M183,Forecasts!M208,Forecasts!M233,Forecasts!M258,Forecasts!M281)</x:f>
        <x:v>1.0929450906805782</x:v>
      </x:c>
      <x:c r="J234" s="8" t="n">
        <x:f>SQRT(AVERAGE(Forecasts!N19,Forecasts!N40,Forecasts!N62,Forecasts!N84,Forecasts!N107,Forecasts!N131,Forecasts!N156,Forecasts!N181,Forecasts!N206,Forecasts!N231,Forecasts!N256,Forecasts!N279))</x:f>
        <x:v>1.3844373104863459</x:v>
      </x:c>
      <x:c r="K234" s="8" t="n">
        <x:f>SQRT(AVERAGE(Forecasts!N21,Forecasts!N42,Forecasts!N64,Forecasts!N86,Forecasts!N109,Forecasts!N133,Forecasts!N158,Forecasts!N183,Forecasts!N208,Forecasts!N233,Forecasts!N258,Forecasts!N281))</x:f>
        <x:v>1.399993163525889</x:v>
      </x:c>
    </x:row>
    <x:row r="235" ht="26" customHeight="1">
      <x:c r="A235" s="2"/>
      <x:c r="B235" s="2" t="str">
        <x:v>Beauty / price_contribution</x:v>
      </x:c>
      <x:c r="C235" s="2" t="str">
        <x:v>Pre-earnings</x:v>
      </x:c>
      <x:c r="D235" s="2" t="str">
        <x:v>Broad market</x:v>
      </x:c>
      <x:c r="E235" s="2" t="str">
        <x:v>Recent eight</x:v>
      </x:c>
      <x:c r="F235" s="2" t="n">
        <x:v>8</x:v>
      </x:c>
      <x:c r="G235" s="8" t="n">
        <x:f>SQRT(AVERAGE(Forecasts!N109,Forecasts!N133,Forecasts!N158,Forecasts!N183,Forecasts!N208,Forecasts!N233,Forecasts!N258,Forecasts!N281))</x:f>
        <x:v>1.4328893937375322</x:v>
      </x:c>
      <x:c r="H235" s="8" t="n">
        <x:f>AVERAGE(Forecasts!O109,Forecasts!O133,Forecasts!O158,Forecasts!O183,Forecasts!O208,Forecasts!O233,Forecasts!O258,Forecasts!O281)</x:f>
        <x:v>1.2494983164249256</x:v>
      </x:c>
      <x:c r="I235" s="8" t="n">
        <x:f>AVERAGE(Forecasts!M109,Forecasts!M133,Forecasts!M158,Forecasts!M183,Forecasts!M208,Forecasts!M233,Forecasts!M258,Forecasts!M281)</x:f>
        <x:v>1.1010622696883305</x:v>
      </x:c>
      <x:c r="J235" s="8" t="n">
        <x:f>SQRT(AVERAGE(Forecasts!N107,Forecasts!N131,Forecasts!N156,Forecasts!N181,Forecasts!N206,Forecasts!N231,Forecasts!N256,Forecasts!N279))</x:f>
        <x:v>1.2747548783981961</x:v>
      </x:c>
      <x:c r="K235" s="8" t="n">
        <x:f>SQRT(AVERAGE(Forecasts!N109,Forecasts!N133,Forecasts!N158,Forecasts!N183,Forecasts!N208,Forecasts!N233,Forecasts!N258,Forecasts!N281))</x:f>
        <x:v>1.4328893937375322</x:v>
      </x:c>
    </x:row>
    <x:row r="236" ht="26" customHeight="1">
      <x:c r="A236" s="2"/>
      <x:c r="B236" s="2" t="str">
        <x:v>Beauty / price_contribution</x:v>
      </x:c>
      <x:c r="C236" s="2" t="str">
        <x:v>Pre-earnings</x:v>
      </x:c>
      <x:c r="D236" s="2" t="str">
        <x:v>Broad rolling 8</x:v>
      </x:c>
      <x:c r="E236" s="2" t="str">
        <x:v>All available</x:v>
      </x:c>
      <x:c r="F236" s="2" t="n">
        <x:v>12</x:v>
      </x:c>
      <x:c r="G236" s="8" t="n">
        <x:f>SQRT(AVERAGE(Forecasts!N23,Forecasts!N44,Forecasts!N66,Forecasts!N88,Forecasts!N111,Forecasts!N135,Forecasts!N160,Forecasts!N185,Forecasts!N210,Forecasts!N235,Forecasts!N260,Forecasts!N282))</x:f>
        <x:v>1.1474116757998238</x:v>
      </x:c>
      <x:c r="H236" s="8" t="n">
        <x:f>AVERAGE(Forecasts!O23,Forecasts!O44,Forecasts!O66,Forecasts!O88,Forecasts!O111,Forecasts!O135,Forecasts!O160,Forecasts!O185,Forecasts!O210,Forecasts!O235,Forecasts!O260,Forecasts!O282)</x:f>
        <x:v>0.8744901911127703</x:v>
      </x:c>
      <x:c r="I236" s="8" t="n">
        <x:f>AVERAGE(Forecasts!M23,Forecasts!M44,Forecasts!M66,Forecasts!M88,Forecasts!M111,Forecasts!M135,Forecasts!M160,Forecasts!M185,Forecasts!M210,Forecasts!M235,Forecasts!M260,Forecasts!M282)</x:f>
        <x:v>0.36497414056370064</x:v>
      </x:c>
      <x:c r="J236" s="8" t="n">
        <x:f>SQRT(AVERAGE(Forecasts!N19,Forecasts!N40,Forecasts!N62,Forecasts!N84,Forecasts!N107,Forecasts!N131,Forecasts!N156,Forecasts!N181,Forecasts!N206,Forecasts!N231,Forecasts!N256,Forecasts!N279))</x:f>
        <x:v>1.3844373104863459</x:v>
      </x:c>
      <x:c r="K236" s="8" t="n">
        <x:f>SQRT(AVERAGE(Forecasts!N21,Forecasts!N42,Forecasts!N64,Forecasts!N86,Forecasts!N109,Forecasts!N133,Forecasts!N158,Forecasts!N183,Forecasts!N208,Forecasts!N233,Forecasts!N258,Forecasts!N281))</x:f>
        <x:v>1.399993163525889</x:v>
      </x:c>
    </x:row>
    <x:row r="237" ht="26" customHeight="1">
      <x:c r="A237" s="2"/>
      <x:c r="B237" s="2" t="str">
        <x:v>Beauty / price_contribution</x:v>
      </x:c>
      <x:c r="C237" s="2" t="str">
        <x:v>Pre-earnings</x:v>
      </x:c>
      <x:c r="D237" s="2" t="str">
        <x:v>Broad rolling 8</x:v>
      </x:c>
      <x:c r="E237" s="2" t="str">
        <x:v>Recent eight</x:v>
      </x:c>
      <x:c r="F237" s="2" t="n">
        <x:v>8</x:v>
      </x:c>
      <x:c r="G237" s="8" t="n">
        <x:f>SQRT(AVERAGE(Forecasts!N111,Forecasts!N135,Forecasts!N160,Forecasts!N185,Forecasts!N210,Forecasts!N235,Forecasts!N260,Forecasts!N282))</x:f>
        <x:v>1.0381247141201768</x:v>
      </x:c>
      <x:c r="H237" s="8" t="n">
        <x:f>AVERAGE(Forecasts!O111,Forecasts!O135,Forecasts!O160,Forecasts!O185,Forecasts!O210,Forecasts!O235,Forecasts!O260,Forecasts!O282)</x:f>
        <x:v>0.7746339398267603</x:v>
      </x:c>
      <x:c r="I237" s="8" t="n">
        <x:f>AVERAGE(Forecasts!M111,Forecasts!M135,Forecasts!M160,Forecasts!M185,Forecasts!M210,Forecasts!M235,Forecasts!M260,Forecasts!M282)</x:f>
        <x:v>0.010359864003156027</x:v>
      </x:c>
      <x:c r="J237" s="8" t="n">
        <x:f>SQRT(AVERAGE(Forecasts!N107,Forecasts!N131,Forecasts!N156,Forecasts!N181,Forecasts!N206,Forecasts!N231,Forecasts!N256,Forecasts!N279))</x:f>
        <x:v>1.2747548783981961</x:v>
      </x:c>
      <x:c r="K237" s="8" t="n">
        <x:f>SQRT(AVERAGE(Forecasts!N109,Forecasts!N133,Forecasts!N158,Forecasts!N183,Forecasts!N208,Forecasts!N233,Forecasts!N258,Forecasts!N281))</x:f>
        <x:v>1.4328893937375322</x:v>
      </x:c>
    </x:row>
    <x:row r="238" ht="26" customHeight="1">
      <x:c r="A238" s="2"/>
      <x:c r="B238" s="2" t="str">
        <x:v>Beauty / price_contribution</x:v>
      </x:c>
      <x:c r="C238" s="2" t="str">
        <x:v>Pre-earnings</x:v>
      </x:c>
      <x:c r="D238" s="2" t="str">
        <x:v>Four-quarter mean</x:v>
      </x:c>
      <x:c r="E238" s="2" t="str">
        <x:v>All available</x:v>
      </x:c>
      <x:c r="F238" s="2" t="n">
        <x:v>12</x:v>
      </x:c>
      <x:c r="G238" s="8" t="n">
        <x:f>SQRT(AVERAGE(Forecasts!N20,Forecasts!N41,Forecasts!N63,Forecasts!N85,Forecasts!N108,Forecasts!N132,Forecasts!N157,Forecasts!N182,Forecasts!N207,Forecasts!N232,Forecasts!N257,Forecasts!N280))</x:f>
        <x:v>2.01038968030247</x:v>
      </x:c>
      <x:c r="H238" s="8" t="n">
        <x:f>AVERAGE(Forecasts!O20,Forecasts!O41,Forecasts!O63,Forecasts!O85,Forecasts!O108,Forecasts!O132,Forecasts!O157,Forecasts!O182,Forecasts!O207,Forecasts!O232,Forecasts!O257,Forecasts!O280)</x:f>
        <x:v>1.5416666666666667</x:v>
      </x:c>
      <x:c r="I238" s="8" t="n">
        <x:f>AVERAGE(Forecasts!M20,Forecasts!M41,Forecasts!M63,Forecasts!M85,Forecasts!M108,Forecasts!M132,Forecasts!M157,Forecasts!M182,Forecasts!M207,Forecasts!M232,Forecasts!M257,Forecasts!M280)</x:f>
        <x:v>1.3333333333333333</x:v>
      </x:c>
      <x:c r="J238" s="8" t="n">
        <x:f>SQRT(AVERAGE(Forecasts!N19,Forecasts!N40,Forecasts!N62,Forecasts!N84,Forecasts!N107,Forecasts!N131,Forecasts!N156,Forecasts!N181,Forecasts!N206,Forecasts!N231,Forecasts!N256,Forecasts!N279))</x:f>
        <x:v>1.3844373104863459</x:v>
      </x:c>
      <x:c r="K238" s="8" t="n">
        <x:f>SQRT(AVERAGE(Forecasts!N21,Forecasts!N42,Forecasts!N64,Forecasts!N86,Forecasts!N109,Forecasts!N133,Forecasts!N158,Forecasts!N183,Forecasts!N208,Forecasts!N233,Forecasts!N258,Forecasts!N281))</x:f>
        <x:v>1.399993163525889</x:v>
      </x:c>
    </x:row>
    <x:row r="239" ht="26" customHeight="1">
      <x:c r="A239" s="2"/>
      <x:c r="B239" s="2" t="str">
        <x:v>Beauty / price_contribution</x:v>
      </x:c>
      <x:c r="C239" s="2" t="str">
        <x:v>Pre-earnings</x:v>
      </x:c>
      <x:c r="D239" s="2" t="str">
        <x:v>Four-quarter mean</x:v>
      </x:c>
      <x:c r="E239" s="2" t="str">
        <x:v>Recent eight</x:v>
      </x:c>
      <x:c r="F239" s="2" t="n">
        <x:v>8</x:v>
      </x:c>
      <x:c r="G239" s="8" t="n">
        <x:f>SQRT(AVERAGE(Forecasts!N108,Forecasts!N132,Forecasts!N157,Forecasts!N182,Forecasts!N207,Forecasts!N232,Forecasts!N257,Forecasts!N280))</x:f>
        <x:v>1.7207374872420256</x:v>
      </x:c>
      <x:c r="H239" s="8" t="n">
        <x:f>AVERAGE(Forecasts!O108,Forecasts!O132,Forecasts!O157,Forecasts!O182,Forecasts!O207,Forecasts!O232,Forecasts!O257,Forecasts!O280)</x:f>
        <x:v>1.28125</x:v>
      </x:c>
      <x:c r="I239" s="8" t="n">
        <x:f>AVERAGE(Forecasts!M108,Forecasts!M132,Forecasts!M157,Forecasts!M182,Forecasts!M207,Forecasts!M232,Forecasts!M257,Forecasts!M280)</x:f>
        <x:v>1.09375</x:v>
      </x:c>
      <x:c r="J239" s="8" t="n">
        <x:f>SQRT(AVERAGE(Forecasts!N107,Forecasts!N131,Forecasts!N156,Forecasts!N181,Forecasts!N206,Forecasts!N231,Forecasts!N256,Forecasts!N279))</x:f>
        <x:v>1.2747548783981961</x:v>
      </x:c>
      <x:c r="K239" s="8" t="n">
        <x:f>SQRT(AVERAGE(Forecasts!N109,Forecasts!N133,Forecasts!N158,Forecasts!N183,Forecasts!N208,Forecasts!N233,Forecasts!N258,Forecasts!N281))</x:f>
        <x:v>1.4328893937375322</x:v>
      </x:c>
    </x:row>
    <x:row r="240" ht="26" customHeight="1">
      <x:c r="A240" s="2"/>
      <x:c r="B240" s="2" t="str">
        <x:v>Beauty / price_contribution</x:v>
      </x:c>
      <x:c r="C240" s="2" t="str">
        <x:v>Pre-earnings</x:v>
      </x:c>
      <x:c r="D240" s="2" t="str">
        <x:v>Half correction</x:v>
      </x:c>
      <x:c r="E240" s="2" t="str">
        <x:v>All available</x:v>
      </x:c>
      <x:c r="F240" s="2" t="n">
        <x:v>8</x:v>
      </x:c>
      <x:c r="G240" s="8" t="n">
        <x:f>SQRT(AVERAGE(Forecasts!N2449,Forecasts!N2455,Forecasts!N2461,Forecasts!N2467,Forecasts!N2473,Forecasts!N2479,Forecasts!N2485,Forecasts!N2491))</x:f>
        <x:v>1.1725746333562148</x:v>
      </x:c>
      <x:c r="H240" s="8" t="n">
        <x:f>AVERAGE(Forecasts!O2449,Forecasts!O2455,Forecasts!O2461,Forecasts!O2467,Forecasts!O2473,Forecasts!O2479,Forecasts!O2485,Forecasts!O2491)</x:f>
        <x:v>0.9655316774520611</x:v>
      </x:c>
      <x:c r="I240" s="8" t="n">
        <x:f>AVERAGE(Forecasts!M2449,Forecasts!M2455,Forecasts!M2461,Forecasts!M2467,Forecasts!M2473,Forecasts!M2479,Forecasts!M2485,Forecasts!M2491)</x:f>
        <x:v>0.6101399644878256</x:v>
      </x:c>
      <x:c r="J240" s="8" t="n">
        <x:f>SQRT(AVERAGE(Forecasts!N107,Forecasts!N131,Forecasts!N156,Forecasts!N181,Forecasts!N206,Forecasts!N231,Forecasts!N256,Forecasts!N279))</x:f>
        <x:v>1.2747548783981961</x:v>
      </x:c>
      <x:c r="K240" s="8" t="n">
        <x:f>SQRT(AVERAGE(Forecasts!N109,Forecasts!N133,Forecasts!N158,Forecasts!N183,Forecasts!N208,Forecasts!N233,Forecasts!N258,Forecasts!N281))</x:f>
        <x:v>1.4328893937375322</x:v>
      </x:c>
    </x:row>
    <x:row r="241" ht="26" customHeight="1">
      <x:c r="A241" s="2"/>
      <x:c r="B241" s="2" t="str">
        <x:v>Beauty / price_contribution</x:v>
      </x:c>
      <x:c r="C241" s="2" t="str">
        <x:v>Pre-earnings</x:v>
      </x:c>
      <x:c r="D241" s="2" t="str">
        <x:v>Half correction</x:v>
      </x:c>
      <x:c r="E241" s="2" t="str">
        <x:v>Recent eight</x:v>
      </x:c>
      <x:c r="F241" s="2" t="n">
        <x:v>8</x:v>
      </x:c>
      <x:c r="G241" s="8" t="n">
        <x:f>SQRT(AVERAGE(Forecasts!N2449,Forecasts!N2455,Forecasts!N2461,Forecasts!N2467,Forecasts!N2473,Forecasts!N2479,Forecasts!N2485,Forecasts!N2491))</x:f>
        <x:v>1.1725746333562148</x:v>
      </x:c>
      <x:c r="H241" s="8" t="n">
        <x:f>AVERAGE(Forecasts!O2449,Forecasts!O2455,Forecasts!O2461,Forecasts!O2467,Forecasts!O2473,Forecasts!O2479,Forecasts!O2485,Forecasts!O2491)</x:f>
        <x:v>0.9655316774520611</x:v>
      </x:c>
      <x:c r="I241" s="8" t="n">
        <x:f>AVERAGE(Forecasts!M2449,Forecasts!M2455,Forecasts!M2461,Forecasts!M2467,Forecasts!M2473,Forecasts!M2479,Forecasts!M2485,Forecasts!M2491)</x:f>
        <x:v>0.6101399644878256</x:v>
      </x:c>
      <x:c r="J241" s="8" t="n">
        <x:f>SQRT(AVERAGE(Forecasts!N107,Forecasts!N131,Forecasts!N156,Forecasts!N181,Forecasts!N206,Forecasts!N231,Forecasts!N256,Forecasts!N279))</x:f>
        <x:v>1.2747548783981961</x:v>
      </x:c>
      <x:c r="K241" s="8" t="n">
        <x:f>SQRT(AVERAGE(Forecasts!N109,Forecasts!N133,Forecasts!N158,Forecasts!N183,Forecasts!N208,Forecasts!N233,Forecasts!N258,Forecasts!N281))</x:f>
        <x:v>1.4328893937375322</x:v>
      </x:c>
    </x:row>
    <x:row r="242" ht="26" customHeight="1">
      <x:c r="A242" s="2"/>
      <x:c r="B242" s="2" t="str">
        <x:v>Beauty / price_contribution</x:v>
      </x:c>
      <x:c r="C242" s="2" t="str">
        <x:v>Pre-earnings</x:v>
      </x:c>
      <x:c r="D242" s="2" t="str">
        <x:v>Last actual</x:v>
      </x:c>
      <x:c r="E242" s="2" t="str">
        <x:v>All available</x:v>
      </x:c>
      <x:c r="F242" s="2" t="n">
        <x:v>12</x:v>
      </x:c>
      <x:c r="G242" s="8" t="n">
        <x:f>SQRT(AVERAGE(Forecasts!N19,Forecasts!N40,Forecasts!N62,Forecasts!N84,Forecasts!N107,Forecasts!N131,Forecasts!N156,Forecasts!N181,Forecasts!N206,Forecasts!N231,Forecasts!N256,Forecasts!N279))</x:f>
        <x:v>1.3844373104863459</x:v>
      </x:c>
      <x:c r="H242" s="8" t="n">
        <x:f>AVERAGE(Forecasts!O19,Forecasts!O40,Forecasts!O62,Forecasts!O84,Forecasts!O107,Forecasts!O131,Forecasts!O156,Forecasts!O181,Forecasts!O206,Forecasts!O231,Forecasts!O256,Forecasts!O279)</x:f>
        <x:v>1.0833333333333333</x:v>
      </x:c>
      <x:c r="I242" s="8" t="n">
        <x:f>AVERAGE(Forecasts!M19,Forecasts!M40,Forecasts!M62,Forecasts!M84,Forecasts!M107,Forecasts!M131,Forecasts!M156,Forecasts!M181,Forecasts!M206,Forecasts!M231,Forecasts!M256,Forecasts!M279)</x:f>
        <x:v>0.5833333333333334</x:v>
      </x:c>
      <x:c r="J242" s="8" t="n">
        <x:f>SQRT(AVERAGE(Forecasts!N19,Forecasts!N40,Forecasts!N62,Forecasts!N84,Forecasts!N107,Forecasts!N131,Forecasts!N156,Forecasts!N181,Forecasts!N206,Forecasts!N231,Forecasts!N256,Forecasts!N279))</x:f>
        <x:v>1.3844373104863459</x:v>
      </x:c>
      <x:c r="K242" s="8" t="n">
        <x:f>SQRT(AVERAGE(Forecasts!N21,Forecasts!N42,Forecasts!N64,Forecasts!N86,Forecasts!N109,Forecasts!N133,Forecasts!N158,Forecasts!N183,Forecasts!N208,Forecasts!N233,Forecasts!N258,Forecasts!N281))</x:f>
        <x:v>1.399993163525889</x:v>
      </x:c>
    </x:row>
    <x:row r="243" ht="26" customHeight="1">
      <x:c r="A243" s="2"/>
      <x:c r="B243" s="2" t="str">
        <x:v>Beauty / price_contribution</x:v>
      </x:c>
      <x:c r="C243" s="2" t="str">
        <x:v>Pre-earnings</x:v>
      </x:c>
      <x:c r="D243" s="2" t="str">
        <x:v>Last actual</x:v>
      </x:c>
      <x:c r="E243" s="2" t="str">
        <x:v>Recent eight</x:v>
      </x:c>
      <x:c r="F243" s="2" t="n">
        <x:v>8</x:v>
      </x:c>
      <x:c r="G243" s="8" t="n">
        <x:f>SQRT(AVERAGE(Forecasts!N107,Forecasts!N131,Forecasts!N156,Forecasts!N181,Forecasts!N206,Forecasts!N231,Forecasts!N256,Forecasts!N279))</x:f>
        <x:v>1.2747548783981961</x:v>
      </x:c>
      <x:c r="H243" s="8" t="n">
        <x:f>AVERAGE(Forecasts!O107,Forecasts!O131,Forecasts!O156,Forecasts!O181,Forecasts!O206,Forecasts!O231,Forecasts!O256,Forecasts!O279)</x:f>
        <x:v>1.125</x:v>
      </x:c>
      <x:c r="I243" s="8" t="n">
        <x:f>AVERAGE(Forecasts!M107,Forecasts!M131,Forecasts!M156,Forecasts!M181,Forecasts!M206,Forecasts!M231,Forecasts!M256,Forecasts!M279)</x:f>
        <x:v>0.375</x:v>
      </x:c>
      <x:c r="J243" s="8" t="n">
        <x:f>SQRT(AVERAGE(Forecasts!N107,Forecasts!N131,Forecasts!N156,Forecasts!N181,Forecasts!N206,Forecasts!N231,Forecasts!N256,Forecasts!N279))</x:f>
        <x:v>1.2747548783981961</x:v>
      </x:c>
      <x:c r="K243" s="8" t="n">
        <x:f>SQRT(AVERAGE(Forecasts!N109,Forecasts!N133,Forecasts!N158,Forecasts!N183,Forecasts!N208,Forecasts!N233,Forecasts!N258,Forecasts!N281))</x:f>
        <x:v>1.4328893937375322</x:v>
      </x:c>
    </x:row>
    <x:row r="244" ht="26" customHeight="1">
      <x:c r="A244" s="2"/>
      <x:c r="B244" s="2" t="str">
        <x:v>Beauty / price_contribution</x:v>
      </x:c>
      <x:c r="C244" s="2" t="str">
        <x:v>Pre-earnings</x:v>
      </x:c>
      <x:c r="D244" s="2" t="str">
        <x:v>Own + product</x:v>
      </x:c>
      <x:c r="E244" s="2" t="str">
        <x:v>All available</x:v>
      </x:c>
      <x:c r="F244" s="2" t="n">
        <x:v>8</x:v>
      </x:c>
      <x:c r="G244" s="8" t="n">
        <x:f>SQRT(AVERAGE(Forecasts!N115,Forecasts!N139,Forecasts!N164,Forecasts!N189,Forecasts!N214,Forecasts!N239,Forecasts!N264,Forecasts!N285))</x:f>
        <x:v>1.9636303047704107</x:v>
      </x:c>
      <x:c r="H244" s="8" t="n">
        <x:f>AVERAGE(Forecasts!O115,Forecasts!O139,Forecasts!O164,Forecasts!O189,Forecasts!O214,Forecasts!O239,Forecasts!O264,Forecasts!O285)</x:f>
        <x:v>1.7153004214491374</x:v>
      </x:c>
      <x:c r="I244" s="8" t="n">
        <x:f>AVERAGE(Forecasts!M115,Forecasts!M139,Forecasts!M164,Forecasts!M189,Forecasts!M214,Forecasts!M239,Forecasts!M264,Forecasts!M285)</x:f>
        <x:v>1.68485261128832</x:v>
      </x:c>
      <x:c r="J244" s="8" t="n">
        <x:f>SQRT(AVERAGE(Forecasts!N107,Forecasts!N131,Forecasts!N156,Forecasts!N181,Forecasts!N206,Forecasts!N231,Forecasts!N256,Forecasts!N279))</x:f>
        <x:v>1.2747548783981961</x:v>
      </x:c>
      <x:c r="K244" s="8" t="n">
        <x:f>SQRT(AVERAGE(Forecasts!N109,Forecasts!N133,Forecasts!N158,Forecasts!N183,Forecasts!N208,Forecasts!N233,Forecasts!N258,Forecasts!N281))</x:f>
        <x:v>1.4328893937375322</x:v>
      </x:c>
    </x:row>
    <x:row r="245" ht="26" customHeight="1">
      <x:c r="A245" s="2"/>
      <x:c r="B245" s="2" t="str">
        <x:v>Beauty / price_contribution</x:v>
      </x:c>
      <x:c r="C245" s="2" t="str">
        <x:v>Pre-earnings</x:v>
      </x:c>
      <x:c r="D245" s="2" t="str">
        <x:v>Own + product</x:v>
      </x:c>
      <x:c r="E245" s="2" t="str">
        <x:v>Recent eight</x:v>
      </x:c>
      <x:c r="F245" s="2" t="n">
        <x:v>8</x:v>
      </x:c>
      <x:c r="G245" s="8" t="n">
        <x:f>SQRT(AVERAGE(Forecasts!N115,Forecasts!N139,Forecasts!N164,Forecasts!N189,Forecasts!N214,Forecasts!N239,Forecasts!N264,Forecasts!N285))</x:f>
        <x:v>1.9636303047704107</x:v>
      </x:c>
      <x:c r="H245" s="8" t="n">
        <x:f>AVERAGE(Forecasts!O115,Forecasts!O139,Forecasts!O164,Forecasts!O189,Forecasts!O214,Forecasts!O239,Forecasts!O264,Forecasts!O285)</x:f>
        <x:v>1.7153004214491374</x:v>
      </x:c>
      <x:c r="I245" s="8" t="n">
        <x:f>AVERAGE(Forecasts!M115,Forecasts!M139,Forecasts!M164,Forecasts!M189,Forecasts!M214,Forecasts!M239,Forecasts!M264,Forecasts!M285)</x:f>
        <x:v>1.68485261128832</x:v>
      </x:c>
      <x:c r="J245" s="8" t="n">
        <x:f>SQRT(AVERAGE(Forecasts!N107,Forecasts!N131,Forecasts!N156,Forecasts!N181,Forecasts!N206,Forecasts!N231,Forecasts!N256,Forecasts!N279))</x:f>
        <x:v>1.2747548783981961</x:v>
      </x:c>
      <x:c r="K245" s="8" t="n">
        <x:f>SQRT(AVERAGE(Forecasts!N109,Forecasts!N133,Forecasts!N158,Forecasts!N183,Forecasts!N208,Forecasts!N233,Forecasts!N258,Forecasts!N281))</x:f>
        <x:v>1.4328893937375322</x:v>
      </x:c>
    </x:row>
    <x:row r="246" ht="26" customHeight="1">
      <x:c r="A246" s="2"/>
      <x:c r="B246" s="2" t="str">
        <x:v>Beauty / price_contribution</x:v>
      </x:c>
      <x:c r="C246" s="2" t="str">
        <x:v>Pre-earnings</x:v>
      </x:c>
      <x:c r="D246" s="2" t="str">
        <x:v>Own history</x:v>
      </x:c>
      <x:c r="E246" s="2" t="str">
        <x:v>All available</x:v>
      </x:c>
      <x:c r="F246" s="2" t="n">
        <x:v>12</x:v>
      </x:c>
      <x:c r="G246" s="8" t="n">
        <x:f>SQRT(AVERAGE(Forecasts!N24,Forecasts!N45,Forecasts!N67,Forecasts!N89,Forecasts!N112,Forecasts!N136,Forecasts!N161,Forecasts!N186,Forecasts!N211,Forecasts!N236,Forecasts!N261,Forecasts!N283))</x:f>
        <x:v>1.5515752535681195</x:v>
      </x:c>
      <x:c r="H246" s="8" t="n">
        <x:f>AVERAGE(Forecasts!O24,Forecasts!O45,Forecasts!O67,Forecasts!O89,Forecasts!O112,Forecasts!O136,Forecasts!O161,Forecasts!O186,Forecasts!O211,Forecasts!O236,Forecasts!O261,Forecasts!O283)</x:f>
        <x:v>1.211915046150931</x:v>
      </x:c>
      <x:c r="I246" s="8" t="n">
        <x:f>AVERAGE(Forecasts!M24,Forecasts!M45,Forecasts!M67,Forecasts!M89,Forecasts!M112,Forecasts!M136,Forecasts!M161,Forecasts!M186,Forecasts!M211,Forecasts!M236,Forecasts!M261,Forecasts!M283)</x:f>
        <x:v>1.0163852718795339</x:v>
      </x:c>
      <x:c r="J246" s="8" t="n">
        <x:f>SQRT(AVERAGE(Forecasts!N19,Forecasts!N40,Forecasts!N62,Forecasts!N84,Forecasts!N107,Forecasts!N131,Forecasts!N156,Forecasts!N181,Forecasts!N206,Forecasts!N231,Forecasts!N256,Forecasts!N279))</x:f>
        <x:v>1.3844373104863459</x:v>
      </x:c>
      <x:c r="K246" s="8" t="n">
        <x:f>SQRT(AVERAGE(Forecasts!N21,Forecasts!N42,Forecasts!N64,Forecasts!N86,Forecasts!N109,Forecasts!N133,Forecasts!N158,Forecasts!N183,Forecasts!N208,Forecasts!N233,Forecasts!N258,Forecasts!N281))</x:f>
        <x:v>1.399993163525889</x:v>
      </x:c>
    </x:row>
    <x:row r="247" ht="26" customHeight="1">
      <x:c r="A247" s="2"/>
      <x:c r="B247" s="2" t="str">
        <x:v>Beauty / price_contribution</x:v>
      </x:c>
      <x:c r="C247" s="2" t="str">
        <x:v>Pre-earnings</x:v>
      </x:c>
      <x:c r="D247" s="2" t="str">
        <x:v>Own history</x:v>
      </x:c>
      <x:c r="E247" s="2" t="str">
        <x:v>Recent eight</x:v>
      </x:c>
      <x:c r="F247" s="2" t="n">
        <x:v>8</x:v>
      </x:c>
      <x:c r="G247" s="8" t="n">
        <x:f>SQRT(AVERAGE(Forecasts!N112,Forecasts!N136,Forecasts!N161,Forecasts!N186,Forecasts!N211,Forecasts!N236,Forecasts!N261,Forecasts!N283))</x:f>
        <x:v>1.485421450394397</x:v>
      </x:c>
      <x:c r="H247" s="8" t="n">
        <x:f>AVERAGE(Forecasts!O112,Forecasts!O136,Forecasts!O161,Forecasts!O186,Forecasts!O211,Forecasts!O236,Forecasts!O261,Forecasts!O283)</x:f>
        <x:v>1.1965616534228645</x:v>
      </x:c>
      <x:c r="I247" s="8" t="n">
        <x:f>AVERAGE(Forecasts!M112,Forecasts!M136,Forecasts!M161,Forecasts!M186,Forecasts!M211,Forecasts!M236,Forecasts!M261,Forecasts!M283)</x:f>
        <x:v>0.9032669920157687</x:v>
      </x:c>
      <x:c r="J247" s="8" t="n">
        <x:f>SQRT(AVERAGE(Forecasts!N107,Forecasts!N131,Forecasts!N156,Forecasts!N181,Forecasts!N206,Forecasts!N231,Forecasts!N256,Forecasts!N279))</x:f>
        <x:v>1.2747548783981961</x:v>
      </x:c>
      <x:c r="K247" s="8" t="n">
        <x:f>SQRT(AVERAGE(Forecasts!N109,Forecasts!N133,Forecasts!N158,Forecasts!N183,Forecasts!N208,Forecasts!N233,Forecasts!N258,Forecasts!N281))</x:f>
        <x:v>1.4328893937375322</x:v>
      </x:c>
    </x:row>
    <x:row r="248" ht="26" customHeight="1">
      <x:c r="A248" s="2"/>
      <x:c r="B248" s="2" t="str">
        <x:v>Beauty / price_contribution</x:v>
      </x:c>
      <x:c r="C248" s="2" t="str">
        <x:v>Pre-earnings</x:v>
      </x:c>
      <x:c r="D248" s="2" t="str">
        <x:v>Product lag 1</x:v>
      </x:c>
      <x:c r="E248" s="2" t="str">
        <x:v>All available</x:v>
      </x:c>
      <x:c r="F248" s="2" t="n">
        <x:v>11</x:v>
      </x:c>
      <x:c r="G248" s="8" t="n">
        <x:f>SQRT(AVERAGE(Forecasts!N26,Forecasts!N47,Forecasts!N69,Forecasts!N91,Forecasts!N114,Forecasts!N138,Forecasts!N163,Forecasts!N188,Forecasts!N213,Forecasts!N238,Forecasts!N263))</x:f>
        <x:v>1.9894483839214674</x:v>
      </x:c>
      <x:c r="H248" s="8" t="n">
        <x:f>AVERAGE(Forecasts!O26,Forecasts!O47,Forecasts!O69,Forecasts!O91,Forecasts!O114,Forecasts!O138,Forecasts!O163,Forecasts!O188,Forecasts!O213,Forecasts!O238,Forecasts!O263)</x:f>
        <x:v>1.7933273086455883</x:v>
      </x:c>
      <x:c r="I248" s="8" t="n">
        <x:f>AVERAGE(Forecasts!M26,Forecasts!M47,Forecasts!M69,Forecasts!M91,Forecasts!M114,Forecasts!M138,Forecasts!M163,Forecasts!M188,Forecasts!M213,Forecasts!M238,Forecasts!M263)</x:f>
        <x:v>1.7933273086455883</x:v>
      </x:c>
      <x:c r="J248" s="8" t="n">
        <x:f>SQRT(AVERAGE(Forecasts!N19,Forecasts!N40,Forecasts!N62,Forecasts!N84,Forecasts!N107,Forecasts!N131,Forecasts!N156,Forecasts!N181,Forecasts!N206,Forecasts!N231,Forecasts!N256))</x:f>
        <x:v>1.4142135623730951</x:v>
      </x:c>
      <x:c r="K248" s="8" t="n">
        <x:f>SQRT(AVERAGE(Forecasts!N21,Forecasts!N42,Forecasts!N64,Forecasts!N86,Forecasts!N109,Forecasts!N133,Forecasts!N158,Forecasts!N183,Forecasts!N208,Forecasts!N233,Forecasts!N258))</x:f>
        <x:v>1.2161258419790202</x:v>
      </x:c>
    </x:row>
    <x:row r="249" ht="26" customHeight="1">
      <x:c r="A249" s="2"/>
      <x:c r="B249" s="2" t="str">
        <x:v>Beauty / price_contribution</x:v>
      </x:c>
      <x:c r="C249" s="2" t="str">
        <x:v>Pre-earnings</x:v>
      </x:c>
      <x:c r="D249" s="2" t="str">
        <x:v>Product lag 1</x:v>
      </x:c>
      <x:c r="E249" s="2" t="str">
        <x:v>Recent eight</x:v>
      </x:c>
      <x:c r="F249" s="2" t="n">
        <x:v>7</x:v>
      </x:c>
      <x:c r="G249" s="8" t="n">
        <x:f>SQRT(AVERAGE(Forecasts!N114,Forecasts!N138,Forecasts!N163,Forecasts!N188,Forecasts!N213,Forecasts!N238,Forecasts!N263))</x:f>
        <x:v>1.9360309376474927</x:v>
      </x:c>
      <x:c r="H249" s="8" t="n">
        <x:f>AVERAGE(Forecasts!O114,Forecasts!O138,Forecasts!O163,Forecasts!O188,Forecasts!O213,Forecasts!O238,Forecasts!O263)</x:f>
        <x:v>1.7131886936874297</x:v>
      </x:c>
      <x:c r="I249" s="8" t="n">
        <x:f>AVERAGE(Forecasts!M114,Forecasts!M138,Forecasts!M163,Forecasts!M188,Forecasts!M213,Forecasts!M238,Forecasts!M263)</x:f>
        <x:v>1.7131886936874297</x:v>
      </x:c>
      <x:c r="J249" s="8" t="n">
        <x:f>SQRT(AVERAGE(Forecasts!N107,Forecasts!N131,Forecasts!N156,Forecasts!N181,Forecasts!N206,Forecasts!N231,Forecasts!N256))</x:f>
        <x:v>1.3093073414159542</x:v>
      </x:c>
      <x:c r="K249" s="8" t="n">
        <x:f>SQRT(AVERAGE(Forecasts!N109,Forecasts!N133,Forecasts!N158,Forecasts!N183,Forecasts!N208,Forecasts!N233,Forecasts!N258))</x:f>
        <x:v>1.1448136792430688</x:v>
      </x:c>
    </x:row>
    <x:row r="250" ht="26" customHeight="1">
      <x:c r="A250" s="2"/>
      <x:c r="B250" s="2" t="str">
        <x:v>Beauty / price_contribution</x:v>
      </x:c>
      <x:c r="C250" s="2" t="str">
        <x:v>Pre-earnings</x:v>
      </x:c>
      <x:c r="D250" s="2" t="str">
        <x:v>Product price</x:v>
      </x:c>
      <x:c r="E250" s="2" t="str">
        <x:v>All available</x:v>
      </x:c>
      <x:c r="F250" s="2" t="n">
        <x:v>12</x:v>
      </x:c>
      <x:c r="G250" s="8" t="n">
        <x:f>SQRT(AVERAGE(Forecasts!N25,Forecasts!N46,Forecasts!N68,Forecasts!N90,Forecasts!N113,Forecasts!N137,Forecasts!N162,Forecasts!N187,Forecasts!N212,Forecasts!N237,Forecasts!N262,Forecasts!N284))</x:f>
        <x:v>1.6044755889421225</x:v>
      </x:c>
      <x:c r="H250" s="8" t="n">
        <x:f>AVERAGE(Forecasts!O25,Forecasts!O46,Forecasts!O68,Forecasts!O90,Forecasts!O113,Forecasts!O137,Forecasts!O162,Forecasts!O187,Forecasts!O212,Forecasts!O237,Forecasts!O262,Forecasts!O284)</x:f>
        <x:v>1.31413859734363</x:v>
      </x:c>
      <x:c r="I250" s="8" t="n">
        <x:f>AVERAGE(Forecasts!M25,Forecasts!M46,Forecasts!M68,Forecasts!M90,Forecasts!M113,Forecasts!M137,Forecasts!M162,Forecasts!M187,Forecasts!M212,Forecasts!M237,Forecasts!M262,Forecasts!M284)</x:f>
        <x:v>1.2343735960207591</x:v>
      </x:c>
      <x:c r="J250" s="8" t="n">
        <x:f>SQRT(AVERAGE(Forecasts!N19,Forecasts!N40,Forecasts!N62,Forecasts!N84,Forecasts!N107,Forecasts!N131,Forecasts!N156,Forecasts!N181,Forecasts!N206,Forecasts!N231,Forecasts!N256,Forecasts!N279))</x:f>
        <x:v>1.3844373104863459</x:v>
      </x:c>
      <x:c r="K250" s="8" t="n">
        <x:f>SQRT(AVERAGE(Forecasts!N21,Forecasts!N42,Forecasts!N64,Forecasts!N86,Forecasts!N109,Forecasts!N133,Forecasts!N158,Forecasts!N183,Forecasts!N208,Forecasts!N233,Forecasts!N258,Forecasts!N281))</x:f>
        <x:v>1.399993163525889</x:v>
      </x:c>
    </x:row>
    <x:row r="251" ht="26" customHeight="1">
      <x:c r="A251" s="2"/>
      <x:c r="B251" s="2" t="str">
        <x:v>Beauty / price_contribution</x:v>
      </x:c>
      <x:c r="C251" s="2" t="str">
        <x:v>Pre-earnings</x:v>
      </x:c>
      <x:c r="D251" s="2" t="str">
        <x:v>Product price</x:v>
      </x:c>
      <x:c r="E251" s="2" t="str">
        <x:v>Recent eight</x:v>
      </x:c>
      <x:c r="F251" s="2" t="n">
        <x:v>8</x:v>
      </x:c>
      <x:c r="G251" s="8" t="n">
        <x:f>SQRT(AVERAGE(Forecasts!N113,Forecasts!N137,Forecasts!N162,Forecasts!N187,Forecasts!N212,Forecasts!N237,Forecasts!N262,Forecasts!N284))</x:f>
        <x:v>1.7919487373985143</x:v>
      </x:c>
      <x:c r="H251" s="8" t="n">
        <x:f>AVERAGE(Forecasts!O113,Forecasts!O137,Forecasts!O162,Forecasts!O187,Forecasts!O212,Forecasts!O237,Forecasts!O262,Forecasts!O284)</x:f>
        <x:v>1.5156713285687156</x:v>
      </x:c>
      <x:c r="I251" s="8" t="n">
        <x:f>AVERAGE(Forecasts!M113,Forecasts!M137,Forecasts!M162,Forecasts!M187,Forecasts!M212,Forecasts!M237,Forecasts!M262,Forecasts!M284)</x:f>
        <x:v>1.4230125097662558</x:v>
      </x:c>
      <x:c r="J251" s="8" t="n">
        <x:f>SQRT(AVERAGE(Forecasts!N107,Forecasts!N131,Forecasts!N156,Forecasts!N181,Forecasts!N206,Forecasts!N231,Forecasts!N256,Forecasts!N279))</x:f>
        <x:v>1.2747548783981961</x:v>
      </x:c>
      <x:c r="K251" s="8" t="n">
        <x:f>SQRT(AVERAGE(Forecasts!N109,Forecasts!N133,Forecasts!N158,Forecasts!N183,Forecasts!N208,Forecasts!N233,Forecasts!N258,Forecasts!N281))</x:f>
        <x:v>1.4328893937375322</x:v>
      </x:c>
    </x:row>
    <x:row r="252" ht="26" customHeight="1">
      <x:c r="A252" s="2"/>
      <x:c r="B252" s="2" t="str">
        <x:v>Fabric &amp; Home Care / organic_volume_growth</x:v>
      </x:c>
      <x:c r="C252" s="2" t="str">
        <x:v>Origin</x:v>
      </x:c>
      <x:c r="D252" s="2" t="str">
        <x:v>Bias correction</x:v>
      </x:c>
      <x:c r="E252" s="2" t="str">
        <x:v>All available</x:v>
      </x:c>
      <x:c r="F252" s="2" t="n">
        <x:v>7</x:v>
      </x:c>
      <x:c r="G252" s="8" t="n">
        <x:f>SQRT(AVERAGE(Forecasts!N2818,Forecasts!N2824,Forecasts!N2830,Forecasts!N2836,Forecasts!N2842,Forecasts!N2848,Forecasts!N2854))</x:f>
        <x:v>2.365541798536406</x:v>
      </x:c>
      <x:c r="H252" s="8" t="n">
        <x:f>AVERAGE(Forecasts!O2818,Forecasts!O2824,Forecasts!O2830,Forecasts!O2836,Forecasts!O2842,Forecasts!O2848,Forecasts!O2854)</x:f>
        <x:v>1.969816467671823</x:v>
      </x:c>
      <x:c r="I252" s="8" t="n">
        <x:f>AVERAGE(Forecasts!M2818,Forecasts!M2824,Forecasts!M2830,Forecasts!M2836,Forecasts!M2842,Forecasts!M2848,Forecasts!M2854)</x:f>
        <x:v>1.375461710907121</x:v>
      </x:c>
      <x:c r="J252" s="8" t="n">
        <x:f>SQRT(AVERAGE(Forecasts!N1741,Forecasts!N1758,Forecasts!N1774,Forecasts!N1790,Forecasts!N1806,Forecasts!N1822,Forecasts!N1838))</x:f>
        <x:v>1.927248223318863</x:v>
      </x:c>
      <x:c r="K252" s="8" t="n">
        <x:f>SQRT(AVERAGE(Forecasts!N1743,Forecasts!N1760,Forecasts!N1776,Forecasts!N1792,Forecasts!N1808,Forecasts!N1824,Forecasts!N1840))</x:f>
        <x:v>1.5316705703214128</x:v>
      </x:c>
    </x:row>
    <x:row r="253" ht="26" customHeight="1">
      <x:c r="A253" s="2"/>
      <x:c r="B253" s="2" t="str">
        <x:v>Fabric &amp; Home Care / organic_volume_growth</x:v>
      </x:c>
      <x:c r="C253" s="2" t="str">
        <x:v>Origin</x:v>
      </x:c>
      <x:c r="D253" s="2" t="str">
        <x:v>Bias correction</x:v>
      </x:c>
      <x:c r="E253" s="2" t="str">
        <x:v>Recent eight</x:v>
      </x:c>
      <x:c r="F253" s="2" t="n">
        <x:v>7</x:v>
      </x:c>
      <x:c r="G253" s="8" t="n">
        <x:f>SQRT(AVERAGE(Forecasts!N2818,Forecasts!N2824,Forecasts!N2830,Forecasts!N2836,Forecasts!N2842,Forecasts!N2848,Forecasts!N2854))</x:f>
        <x:v>2.365541798536406</x:v>
      </x:c>
      <x:c r="H253" s="8" t="n">
        <x:f>AVERAGE(Forecasts!O2818,Forecasts!O2824,Forecasts!O2830,Forecasts!O2836,Forecasts!O2842,Forecasts!O2848,Forecasts!O2854)</x:f>
        <x:v>1.969816467671823</x:v>
      </x:c>
      <x:c r="I253" s="8" t="n">
        <x:f>AVERAGE(Forecasts!M2818,Forecasts!M2824,Forecasts!M2830,Forecasts!M2836,Forecasts!M2842,Forecasts!M2848,Forecasts!M2854)</x:f>
        <x:v>1.375461710907121</x:v>
      </x:c>
      <x:c r="J253" s="8" t="n">
        <x:f>SQRT(AVERAGE(Forecasts!N1741,Forecasts!N1758,Forecasts!N1774,Forecasts!N1790,Forecasts!N1806,Forecasts!N1822,Forecasts!N1838))</x:f>
        <x:v>1.927248223318863</x:v>
      </x:c>
      <x:c r="K253" s="8" t="n">
        <x:f>SQRT(AVERAGE(Forecasts!N1743,Forecasts!N1760,Forecasts!N1776,Forecasts!N1792,Forecasts!N1808,Forecasts!N1824,Forecasts!N1840))</x:f>
        <x:v>1.5316705703214128</x:v>
      </x:c>
    </x:row>
    <x:row r="254" ht="26" customHeight="1">
      <x:c r="A254" s="2"/>
      <x:c r="B254" s="2" t="str">
        <x:v>Fabric &amp; Home Care / organic_volume_growth</x:v>
      </x:c>
      <x:c r="C254" s="2" t="str">
        <x:v>Origin</x:v>
      </x:c>
      <x:c r="D254" s="2" t="str">
        <x:v>Broad market</x:v>
      </x:c>
      <x:c r="E254" s="2" t="str">
        <x:v>All available</x:v>
      </x:c>
      <x:c r="F254" s="2" t="n">
        <x:v>12</x:v>
      </x:c>
      <x:c r="G254" s="8" t="n">
        <x:f>SQRT(AVERAGE(Forecasts!N1664,Forecasts!N1679,Forecasts!N1695,Forecasts!N1711,Forecasts!N1727,Forecasts!N1743,Forecasts!N1760,Forecasts!N1776,Forecasts!N1792,Forecasts!N1808,Forecasts!N1824,Forecasts!N1840))</x:f>
        <x:v>1.9961808993468366</x:v>
      </x:c>
      <x:c r="H254" s="8" t="n">
        <x:f>AVERAGE(Forecasts!O1664,Forecasts!O1679,Forecasts!O1695,Forecasts!O1711,Forecasts!O1727,Forecasts!O1743,Forecasts!O1760,Forecasts!O1776,Forecasts!O1792,Forecasts!O1808,Forecasts!O1824,Forecasts!O1840)</x:f>
        <x:v>1.6696719721367224</x:v>
      </x:c>
      <x:c r="I254" s="8" t="n">
        <x:f>AVERAGE(Forecasts!M1664,Forecasts!M1679,Forecasts!M1695,Forecasts!M1711,Forecasts!M1727,Forecasts!M1743,Forecasts!M1760,Forecasts!M1776,Forecasts!M1792,Forecasts!M1808,Forecasts!M1824,Forecasts!M1840)</x:f>
        <x:v>-1.0254686222219898</x:v>
      </x:c>
      <x:c r="J254" s="8" t="n">
        <x:f>SQRT(AVERAGE(Forecasts!N1662,Forecasts!N1677,Forecasts!N1693,Forecasts!N1709,Forecasts!N1725,Forecasts!N1741,Forecasts!N1758,Forecasts!N1774,Forecasts!N1790,Forecasts!N1806,Forecasts!N1822,Forecasts!N1838))</x:f>
        <x:v>2.7386127875258306</x:v>
      </x:c>
      <x:c r="K254" s="8" t="n">
        <x:f>SQRT(AVERAGE(Forecasts!N1664,Forecasts!N1679,Forecasts!N1695,Forecasts!N1711,Forecasts!N1727,Forecasts!N1743,Forecasts!N1760,Forecasts!N1776,Forecasts!N1792,Forecasts!N1808,Forecasts!N1824,Forecasts!N1840))</x:f>
        <x:v>1.9961808993468366</x:v>
      </x:c>
    </x:row>
    <x:row r="255" ht="26" customHeight="1">
      <x:c r="A255" s="2"/>
      <x:c r="B255" s="2" t="str">
        <x:v>Fabric &amp; Home Care / organic_volume_growth</x:v>
      </x:c>
      <x:c r="C255" s="2" t="str">
        <x:v>Origin</x:v>
      </x:c>
      <x:c r="D255" s="2" t="str">
        <x:v>Broad market</x:v>
      </x:c>
      <x:c r="E255" s="2" t="str">
        <x:v>Recent eight</x:v>
      </x:c>
      <x:c r="F255" s="2" t="n">
        <x:v>8</x:v>
      </x:c>
      <x:c r="G255" s="8" t="n">
        <x:f>SQRT(AVERAGE(Forecasts!N1727,Forecasts!N1743,Forecasts!N1760,Forecasts!N1776,Forecasts!N1792,Forecasts!N1808,Forecasts!N1824,Forecasts!N1840))</x:f>
        <x:v>2.0035765964592334</x:v>
      </x:c>
      <x:c r="H255" s="8" t="n">
        <x:f>AVERAGE(Forecasts!O1727,Forecasts!O1743,Forecasts!O1760,Forecasts!O1776,Forecasts!O1792,Forecasts!O1808,Forecasts!O1824,Forecasts!O1840)</x:f>
        <x:v>1.5842440887525595</x:v>
      </x:c>
      <x:c r="I255" s="8" t="n">
        <x:f>AVERAGE(Forecasts!M1727,Forecasts!M1743,Forecasts!M1760,Forecasts!M1776,Forecasts!M1792,Forecasts!M1808,Forecasts!M1824,Forecasts!M1840)</x:f>
        <x:v>-0.7962233864322332</x:v>
      </x:c>
      <x:c r="J255" s="8" t="n">
        <x:f>SQRT(AVERAGE(Forecasts!N1725,Forecasts!N1741,Forecasts!N1758,Forecasts!N1774,Forecasts!N1790,Forecasts!N1806,Forecasts!N1822,Forecasts!N1838))</x:f>
        <x:v>1.9364916731037085</x:v>
      </x:c>
      <x:c r="K255" s="8" t="n">
        <x:f>SQRT(AVERAGE(Forecasts!N1727,Forecasts!N1743,Forecasts!N1760,Forecasts!N1776,Forecasts!N1792,Forecasts!N1808,Forecasts!N1824,Forecasts!N1840))</x:f>
        <x:v>2.0035765964592334</x:v>
      </x:c>
    </x:row>
    <x:row r="256" ht="26" customHeight="1">
      <x:c r="A256" s="2"/>
      <x:c r="B256" s="2" t="str">
        <x:v>Fabric &amp; Home Care / organic_volume_growth</x:v>
      </x:c>
      <x:c r="C256" s="2" t="str">
        <x:v>Origin</x:v>
      </x:c>
      <x:c r="D256" s="2" t="str">
        <x:v>Broad rolling 8</x:v>
      </x:c>
      <x:c r="E256" s="2" t="str">
        <x:v>All available</x:v>
      </x:c>
      <x:c r="F256" s="2" t="n">
        <x:v>12</x:v>
      </x:c>
      <x:c r="G256" s="8" t="n">
        <x:f>SQRT(AVERAGE(Forecasts!N1665,Forecasts!N1680,Forecasts!N1696,Forecasts!N1712,Forecasts!N1728,Forecasts!N1744,Forecasts!N1761,Forecasts!N1777,Forecasts!N1793,Forecasts!N1809,Forecasts!N1825,Forecasts!N1841))</x:f>
        <x:v>2.0640786946206937</x:v>
      </x:c>
      <x:c r="H256" s="8" t="n">
        <x:f>AVERAGE(Forecasts!O1665,Forecasts!O1680,Forecasts!O1696,Forecasts!O1712,Forecasts!O1728,Forecasts!O1744,Forecasts!O1761,Forecasts!O1777,Forecasts!O1793,Forecasts!O1809,Forecasts!O1825,Forecasts!O1841)</x:f>
        <x:v>1.7848730000315174</x:v>
      </x:c>
      <x:c r="I256" s="8" t="n">
        <x:f>AVERAGE(Forecasts!M1665,Forecasts!M1680,Forecasts!M1696,Forecasts!M1712,Forecasts!M1728,Forecasts!M1744,Forecasts!M1761,Forecasts!M1777,Forecasts!M1793,Forecasts!M1809,Forecasts!M1825,Forecasts!M1841)</x:f>
        <x:v>0.031089177540888874</x:v>
      </x:c>
      <x:c r="J256" s="8" t="n">
        <x:f>SQRT(AVERAGE(Forecasts!N1662,Forecasts!N1677,Forecasts!N1693,Forecasts!N1709,Forecasts!N1725,Forecasts!N1741,Forecasts!N1758,Forecasts!N1774,Forecasts!N1790,Forecasts!N1806,Forecasts!N1822,Forecasts!N1838))</x:f>
        <x:v>2.7386127875258306</x:v>
      </x:c>
      <x:c r="K256" s="8" t="n">
        <x:f>SQRT(AVERAGE(Forecasts!N1664,Forecasts!N1679,Forecasts!N1695,Forecasts!N1711,Forecasts!N1727,Forecasts!N1743,Forecasts!N1760,Forecasts!N1776,Forecasts!N1792,Forecasts!N1808,Forecasts!N1824,Forecasts!N1840))</x:f>
        <x:v>1.9961808993468366</x:v>
      </x:c>
    </x:row>
    <x:row r="257" ht="26" customHeight="1">
      <x:c r="A257" s="2"/>
      <x:c r="B257" s="2" t="str">
        <x:v>Fabric &amp; Home Care / organic_volume_growth</x:v>
      </x:c>
      <x:c r="C257" s="2" t="str">
        <x:v>Origin</x:v>
      </x:c>
      <x:c r="D257" s="2" t="str">
        <x:v>Broad rolling 8</x:v>
      </x:c>
      <x:c r="E257" s="2" t="str">
        <x:v>Recent eight</x:v>
      </x:c>
      <x:c r="F257" s="2" t="n">
        <x:v>8</x:v>
      </x:c>
      <x:c r="G257" s="8" t="n">
        <x:f>SQRT(AVERAGE(Forecasts!N1728,Forecasts!N1744,Forecasts!N1761,Forecasts!N1777,Forecasts!N1793,Forecasts!N1809,Forecasts!N1825,Forecasts!N1841))</x:f>
        <x:v>2.119782328091403</x:v>
      </x:c>
      <x:c r="H257" s="8" t="n">
        <x:f>AVERAGE(Forecasts!O1728,Forecasts!O1744,Forecasts!O1761,Forecasts!O1777,Forecasts!O1793,Forecasts!O1809,Forecasts!O1825,Forecasts!O1841)</x:f>
        <x:v>1.7789740048172937</x:v>
      </x:c>
      <x:c r="I257" s="8" t="n">
        <x:f>AVERAGE(Forecasts!M1728,Forecasts!M1744,Forecasts!M1761,Forecasts!M1777,Forecasts!M1793,Forecasts!M1809,Forecasts!M1825,Forecasts!M1841)</x:f>
        <x:v>0.7666849389895432</x:v>
      </x:c>
      <x:c r="J257" s="8" t="n">
        <x:f>SQRT(AVERAGE(Forecasts!N1725,Forecasts!N1741,Forecasts!N1758,Forecasts!N1774,Forecasts!N1790,Forecasts!N1806,Forecasts!N1822,Forecasts!N1838))</x:f>
        <x:v>1.9364916731037085</x:v>
      </x:c>
      <x:c r="K257" s="8" t="n">
        <x:f>SQRT(AVERAGE(Forecasts!N1727,Forecasts!N1743,Forecasts!N1760,Forecasts!N1776,Forecasts!N1792,Forecasts!N1808,Forecasts!N1824,Forecasts!N1840))</x:f>
        <x:v>2.0035765964592334</x:v>
      </x:c>
    </x:row>
    <x:row r="258" ht="26" customHeight="1">
      <x:c r="A258" s="2"/>
      <x:c r="B258" s="2" t="str">
        <x:v>Fabric &amp; Home Care / organic_volume_growth</x:v>
      </x:c>
      <x:c r="C258" s="2" t="str">
        <x:v>Origin</x:v>
      </x:c>
      <x:c r="D258" s="2" t="str">
        <x:v>Four-quarter mean</x:v>
      </x:c>
      <x:c r="E258" s="2" t="str">
        <x:v>All available</x:v>
      </x:c>
      <x:c r="F258" s="2" t="n">
        <x:v>12</x:v>
      </x:c>
      <x:c r="G258" s="8" t="n">
        <x:f>SQRT(AVERAGE(Forecasts!N1663,Forecasts!N1678,Forecasts!N1694,Forecasts!N1710,Forecasts!N1726,Forecasts!N1742,Forecasts!N1759,Forecasts!N1775,Forecasts!N1791,Forecasts!N1807,Forecasts!N1823,Forecasts!N1839))</x:f>
        <x:v>3.062712577656175</x:v>
      </x:c>
      <x:c r="H258" s="8" t="n">
        <x:f>AVERAGE(Forecasts!O1663,Forecasts!O1678,Forecasts!O1694,Forecasts!O1710,Forecasts!O1726,Forecasts!O1742,Forecasts!O1759,Forecasts!O1775,Forecasts!O1791,Forecasts!O1807,Forecasts!O1823,Forecasts!O1839)</x:f>
        <x:v>2.5208333333333335</x:v>
      </x:c>
      <x:c r="I258" s="8" t="n">
        <x:f>AVERAGE(Forecasts!M1663,Forecasts!M1678,Forecasts!M1694,Forecasts!M1710,Forecasts!M1726,Forecasts!M1742,Forecasts!M1759,Forecasts!M1775,Forecasts!M1791,Forecasts!M1807,Forecasts!M1823,Forecasts!M1839)</x:f>
        <x:v>-1.2291666666666667</x:v>
      </x:c>
      <x:c r="J258" s="8" t="n">
        <x:f>SQRT(AVERAGE(Forecasts!N1662,Forecasts!N1677,Forecasts!N1693,Forecasts!N1709,Forecasts!N1725,Forecasts!N1741,Forecasts!N1758,Forecasts!N1774,Forecasts!N1790,Forecasts!N1806,Forecasts!N1822,Forecasts!N1838))</x:f>
        <x:v>2.7386127875258306</x:v>
      </x:c>
      <x:c r="K258" s="8" t="n">
        <x:f>SQRT(AVERAGE(Forecasts!N1664,Forecasts!N1679,Forecasts!N1695,Forecasts!N1711,Forecasts!N1727,Forecasts!N1743,Forecasts!N1760,Forecasts!N1776,Forecasts!N1792,Forecasts!N1808,Forecasts!N1824,Forecasts!N1840))</x:f>
        <x:v>1.9961808993468366</x:v>
      </x:c>
    </x:row>
    <x:row r="259" ht="26" customHeight="1">
      <x:c r="A259" s="2"/>
      <x:c r="B259" s="2" t="str">
        <x:v>Fabric &amp; Home Care / organic_volume_growth</x:v>
      </x:c>
      <x:c r="C259" s="2" t="str">
        <x:v>Origin</x:v>
      </x:c>
      <x:c r="D259" s="2" t="str">
        <x:v>Four-quarter mean</x:v>
      </x:c>
      <x:c r="E259" s="2" t="str">
        <x:v>Recent eight</x:v>
      </x:c>
      <x:c r="F259" s="2" t="n">
        <x:v>8</x:v>
      </x:c>
      <x:c r="G259" s="8" t="n">
        <x:f>SQRT(AVERAGE(Forecasts!N1726,Forecasts!N1742,Forecasts!N1759,Forecasts!N1775,Forecasts!N1791,Forecasts!N1807,Forecasts!N1823,Forecasts!N1839))</x:f>
        <x:v>2.3435416574065844</x:v>
      </x:c>
      <x:c r="H259" s="8" t="n">
        <x:f>AVERAGE(Forecasts!O1726,Forecasts!O1742,Forecasts!O1759,Forecasts!O1775,Forecasts!O1791,Forecasts!O1807,Forecasts!O1823,Forecasts!O1839)</x:f>
        <x:v>1.96875</x:v>
      </x:c>
      <x:c r="I259" s="8" t="n">
        <x:f>AVERAGE(Forecasts!M1726,Forecasts!M1742,Forecasts!M1759,Forecasts!M1775,Forecasts!M1791,Forecasts!M1807,Forecasts!M1823,Forecasts!M1839)</x:f>
        <x:v>-0.09375</x:v>
      </x:c>
      <x:c r="J259" s="8" t="n">
        <x:f>SQRT(AVERAGE(Forecasts!N1725,Forecasts!N1741,Forecasts!N1758,Forecasts!N1774,Forecasts!N1790,Forecasts!N1806,Forecasts!N1822,Forecasts!N1838))</x:f>
        <x:v>1.9364916731037085</x:v>
      </x:c>
      <x:c r="K259" s="8" t="n">
        <x:f>SQRT(AVERAGE(Forecasts!N1727,Forecasts!N1743,Forecasts!N1760,Forecasts!N1776,Forecasts!N1792,Forecasts!N1808,Forecasts!N1824,Forecasts!N1840))</x:f>
        <x:v>2.0035765964592334</x:v>
      </x:c>
    </x:row>
    <x:row r="260" ht="26" customHeight="1">
      <x:c r="A260" s="2"/>
      <x:c r="B260" s="2" t="str">
        <x:v>Fabric &amp; Home Care / organic_volume_growth</x:v>
      </x:c>
      <x:c r="C260" s="2" t="str">
        <x:v>Origin</x:v>
      </x:c>
      <x:c r="D260" s="2" t="str">
        <x:v>Half correction</x:v>
      </x:c>
      <x:c r="E260" s="2" t="str">
        <x:v>All available</x:v>
      </x:c>
      <x:c r="F260" s="2" t="n">
        <x:v>7</x:v>
      </x:c>
      <x:c r="G260" s="8" t="n">
        <x:f>SQRT(AVERAGE(Forecasts!N2819,Forecasts!N2825,Forecasts!N2831,Forecasts!N2837,Forecasts!N2843,Forecasts!N2849,Forecasts!N2855))</x:f>
        <x:v>1.7313033944015879</x:v>
      </x:c>
      <x:c r="H260" s="8" t="n">
        <x:f>AVERAGE(Forecasts!O2819,Forecasts!O2825,Forecasts!O2831,Forecasts!O2837,Forecasts!O2843,Forecasts!O2849,Forecasts!O2855)</x:f>
        <x:v>1.530930685957117</x:v>
      </x:c>
      <x:c r="I260" s="8" t="n">
        <x:f>AVERAGE(Forecasts!M2819,Forecasts!M2825,Forecasts!M2831,Forecasts!M2837,Forecasts!M2843,Forecasts!M2849,Forecasts!M2855)</x:f>
        <x:v>0.5157010451231094</x:v>
      </x:c>
      <x:c r="J260" s="8" t="n">
        <x:f>SQRT(AVERAGE(Forecasts!N1741,Forecasts!N1758,Forecasts!N1774,Forecasts!N1790,Forecasts!N1806,Forecasts!N1822,Forecasts!N1838))</x:f>
        <x:v>1.927248223318863</x:v>
      </x:c>
      <x:c r="K260" s="8" t="n">
        <x:f>SQRT(AVERAGE(Forecasts!N1743,Forecasts!N1760,Forecasts!N1776,Forecasts!N1792,Forecasts!N1808,Forecasts!N1824,Forecasts!N1840))</x:f>
        <x:v>1.5316705703214128</x:v>
      </x:c>
    </x:row>
    <x:row r="261" ht="26" customHeight="1">
      <x:c r="A261" s="2"/>
      <x:c r="B261" s="2" t="str">
        <x:v>Fabric &amp; Home Care / organic_volume_growth</x:v>
      </x:c>
      <x:c r="C261" s="2" t="str">
        <x:v>Origin</x:v>
      </x:c>
      <x:c r="D261" s="2" t="str">
        <x:v>Half correction</x:v>
      </x:c>
      <x:c r="E261" s="2" t="str">
        <x:v>Recent eight</x:v>
      </x:c>
      <x:c r="F261" s="2" t="n">
        <x:v>7</x:v>
      </x:c>
      <x:c r="G261" s="8" t="n">
        <x:f>SQRT(AVERAGE(Forecasts!N2819,Forecasts!N2825,Forecasts!N2831,Forecasts!N2837,Forecasts!N2843,Forecasts!N2849,Forecasts!N2855))</x:f>
        <x:v>1.7313033944015879</x:v>
      </x:c>
      <x:c r="H261" s="8" t="n">
        <x:f>AVERAGE(Forecasts!O2819,Forecasts!O2825,Forecasts!O2831,Forecasts!O2837,Forecasts!O2843,Forecasts!O2849,Forecasts!O2855)</x:f>
        <x:v>1.530930685957117</x:v>
      </x:c>
      <x:c r="I261" s="8" t="n">
        <x:f>AVERAGE(Forecasts!M2819,Forecasts!M2825,Forecasts!M2831,Forecasts!M2837,Forecasts!M2843,Forecasts!M2849,Forecasts!M2855)</x:f>
        <x:v>0.5157010451231094</x:v>
      </x:c>
      <x:c r="J261" s="8" t="n">
        <x:f>SQRT(AVERAGE(Forecasts!N1741,Forecasts!N1758,Forecasts!N1774,Forecasts!N1790,Forecasts!N1806,Forecasts!N1822,Forecasts!N1838))</x:f>
        <x:v>1.927248223318863</x:v>
      </x:c>
      <x:c r="K261" s="8" t="n">
        <x:f>SQRT(AVERAGE(Forecasts!N1743,Forecasts!N1760,Forecasts!N1776,Forecasts!N1792,Forecasts!N1808,Forecasts!N1824,Forecasts!N1840))</x:f>
        <x:v>1.5316705703214128</x:v>
      </x:c>
    </x:row>
    <x:row r="262" ht="26" customHeight="1">
      <x:c r="A262" s="2"/>
      <x:c r="B262" s="2" t="str">
        <x:v>Fabric &amp; Home Care / organic_volume_growth</x:v>
      </x:c>
      <x:c r="C262" s="2" t="str">
        <x:v>Origin</x:v>
      </x:c>
      <x:c r="D262" s="2" t="str">
        <x:v>Last actual</x:v>
      </x:c>
      <x:c r="E262" s="2" t="str">
        <x:v>All available</x:v>
      </x:c>
      <x:c r="F262" s="2" t="n">
        <x:v>12</x:v>
      </x:c>
      <x:c r="G262" s="8" t="n">
        <x:f>SQRT(AVERAGE(Forecasts!N1662,Forecasts!N1677,Forecasts!N1693,Forecasts!N1709,Forecasts!N1725,Forecasts!N1741,Forecasts!N1758,Forecasts!N1774,Forecasts!N1790,Forecasts!N1806,Forecasts!N1822,Forecasts!N1838))</x:f>
        <x:v>2.7386127875258306</x:v>
      </x:c>
      <x:c r="H262" s="8" t="n">
        <x:f>AVERAGE(Forecasts!O1662,Forecasts!O1677,Forecasts!O1693,Forecasts!O1709,Forecasts!O1725,Forecasts!O1741,Forecasts!O1758,Forecasts!O1774,Forecasts!O1790,Forecasts!O1806,Forecasts!O1822,Forecasts!O1838)</x:f>
        <x:v>2.1666666666666665</x:v>
      </x:c>
      <x:c r="I262" s="8" t="n">
        <x:f>AVERAGE(Forecasts!M1662,Forecasts!M1677,Forecasts!M1693,Forecasts!M1709,Forecasts!M1725,Forecasts!M1741,Forecasts!M1758,Forecasts!M1774,Forecasts!M1790,Forecasts!M1806,Forecasts!M1822,Forecasts!M1838)</x:f>
        <x:v>-1.1666666666666667</x:v>
      </x:c>
      <x:c r="J262" s="8" t="n">
        <x:f>SQRT(AVERAGE(Forecasts!N1662,Forecasts!N1677,Forecasts!N1693,Forecasts!N1709,Forecasts!N1725,Forecasts!N1741,Forecasts!N1758,Forecasts!N1774,Forecasts!N1790,Forecasts!N1806,Forecasts!N1822,Forecasts!N1838))</x:f>
        <x:v>2.7386127875258306</x:v>
      </x:c>
      <x:c r="K262" s="8" t="n">
        <x:f>SQRT(AVERAGE(Forecasts!N1664,Forecasts!N1679,Forecasts!N1695,Forecasts!N1711,Forecasts!N1727,Forecasts!N1743,Forecasts!N1760,Forecasts!N1776,Forecasts!N1792,Forecasts!N1808,Forecasts!N1824,Forecasts!N1840))</x:f>
        <x:v>1.9961808993468366</x:v>
      </x:c>
    </x:row>
    <x:row r="263" ht="26" customHeight="1">
      <x:c r="A263" s="2"/>
      <x:c r="B263" s="2" t="str">
        <x:v>Fabric &amp; Home Care / organic_volume_growth</x:v>
      </x:c>
      <x:c r="C263" s="2" t="str">
        <x:v>Origin</x:v>
      </x:c>
      <x:c r="D263" s="2" t="str">
        <x:v>Last actual</x:v>
      </x:c>
      <x:c r="E263" s="2" t="str">
        <x:v>Recent eight</x:v>
      </x:c>
      <x:c r="F263" s="2" t="n">
        <x:v>8</x:v>
      </x:c>
      <x:c r="G263" s="8" t="n">
        <x:f>SQRT(AVERAGE(Forecasts!N1725,Forecasts!N1741,Forecasts!N1758,Forecasts!N1774,Forecasts!N1790,Forecasts!N1806,Forecasts!N1822,Forecasts!N1838))</x:f>
        <x:v>1.9364916731037085</x:v>
      </x:c>
      <x:c r="H263" s="8" t="n">
        <x:f>AVERAGE(Forecasts!O1725,Forecasts!O1741,Forecasts!O1758,Forecasts!O1774,Forecasts!O1790,Forecasts!O1806,Forecasts!O1822,Forecasts!O1838)</x:f>
        <x:v>1.5</x:v>
      </x:c>
      <x:c r="I263" s="8" t="n">
        <x:f>AVERAGE(Forecasts!M1725,Forecasts!M1741,Forecasts!M1758,Forecasts!M1774,Forecasts!M1790,Forecasts!M1806,Forecasts!M1822,Forecasts!M1838)</x:f>
        <x:v>0</x:v>
      </x:c>
      <x:c r="J263" s="8" t="n">
        <x:f>SQRT(AVERAGE(Forecasts!N1725,Forecasts!N1741,Forecasts!N1758,Forecasts!N1774,Forecasts!N1790,Forecasts!N1806,Forecasts!N1822,Forecasts!N1838))</x:f>
        <x:v>1.9364916731037085</x:v>
      </x:c>
      <x:c r="K263" s="8" t="n">
        <x:f>SQRT(AVERAGE(Forecasts!N1727,Forecasts!N1743,Forecasts!N1760,Forecasts!N1776,Forecasts!N1792,Forecasts!N1808,Forecasts!N1824,Forecasts!N1840))</x:f>
        <x:v>2.0035765964592334</x:v>
      </x:c>
    </x:row>
    <x:row r="264" ht="26" customHeight="1">
      <x:c r="A264" s="2"/>
      <x:c r="B264" s="2" t="str">
        <x:v>Fabric &amp; Home Care / organic_volume_growth</x:v>
      </x:c>
      <x:c r="C264" s="2" t="str">
        <x:v>Origin</x:v>
      </x:c>
      <x:c r="D264" s="2" t="str">
        <x:v>Own history</x:v>
      </x:c>
      <x:c r="E264" s="2" t="str">
        <x:v>All available</x:v>
      </x:c>
      <x:c r="F264" s="2" t="n">
        <x:v>10</x:v>
      </x:c>
      <x:c r="G264" s="8" t="n">
        <x:f>SQRT(AVERAGE(Forecasts!N1697,Forecasts!N1713,Forecasts!N1729,Forecasts!N1745,Forecasts!N1762,Forecasts!N1778,Forecasts!N1794,Forecasts!N1810,Forecasts!N1826,Forecasts!N1842))</x:f>
        <x:v>1.8033351966049451</x:v>
      </x:c>
      <x:c r="H264" s="8" t="n">
        <x:f>AVERAGE(Forecasts!O1697,Forecasts!O1713,Forecasts!O1729,Forecasts!O1745,Forecasts!O1762,Forecasts!O1778,Forecasts!O1794,Forecasts!O1810,Forecasts!O1826,Forecasts!O1842)</x:f>
        <x:v>1.5172886710997027</x:v>
      </x:c>
      <x:c r="I264" s="8" t="n">
        <x:f>AVERAGE(Forecasts!M1697,Forecasts!M1713,Forecasts!M1729,Forecasts!M1745,Forecasts!M1762,Forecasts!M1778,Forecasts!M1794,Forecasts!M1810,Forecasts!M1826,Forecasts!M1842)</x:f>
        <x:v>-0.898894392484884</x:v>
      </x:c>
      <x:c r="J264" s="8" t="n">
        <x:f>SQRT(AVERAGE(Forecasts!N1693,Forecasts!N1709,Forecasts!N1725,Forecasts!N1741,Forecasts!N1758,Forecasts!N1774,Forecasts!N1790,Forecasts!N1806,Forecasts!N1822,Forecasts!N1838))</x:f>
        <x:v>2</x:v>
      </x:c>
      <x:c r="K264" s="8" t="n">
        <x:f>SQRT(AVERAGE(Forecasts!N1695,Forecasts!N1711,Forecasts!N1727,Forecasts!N1743,Forecasts!N1760,Forecasts!N1776,Forecasts!N1792,Forecasts!N1808,Forecasts!N1824,Forecasts!N1840))</x:f>
        <x:v>2.107576488786066</x:v>
      </x:c>
    </x:row>
    <x:row r="265" ht="26" customHeight="1">
      <x:c r="A265" s="2"/>
      <x:c r="B265" s="2" t="str">
        <x:v>Fabric &amp; Home Care / organic_volume_growth</x:v>
      </x:c>
      <x:c r="C265" s="2" t="str">
        <x:v>Origin</x:v>
      </x:c>
      <x:c r="D265" s="2" t="str">
        <x:v>Own history</x:v>
      </x:c>
      <x:c r="E265" s="2" t="str">
        <x:v>Recent eight</x:v>
      </x:c>
      <x:c r="F265" s="2" t="n">
        <x:v>8</x:v>
      </x:c>
      <x:c r="G265" s="8" t="n">
        <x:f>SQRT(AVERAGE(Forecasts!N1729,Forecasts!N1745,Forecasts!N1762,Forecasts!N1778,Forecasts!N1794,Forecasts!N1810,Forecasts!N1826,Forecasts!N1842))</x:f>
        <x:v>1.746019422630505</x:v>
      </x:c>
      <x:c r="H265" s="8" t="n">
        <x:f>AVERAGE(Forecasts!O1729,Forecasts!O1745,Forecasts!O1762,Forecasts!O1778,Forecasts!O1794,Forecasts!O1810,Forecasts!O1826,Forecasts!O1842)</x:f>
        <x:v>1.402427847952507</x:v>
      </x:c>
      <x:c r="I265" s="8" t="n">
        <x:f>AVERAGE(Forecasts!M1729,Forecasts!M1745,Forecasts!M1762,Forecasts!M1778,Forecasts!M1794,Forecasts!M1810,Forecasts!M1826,Forecasts!M1842)</x:f>
        <x:v>-0.629434999683984</x:v>
      </x:c>
      <x:c r="J265" s="8" t="n">
        <x:f>SQRT(AVERAGE(Forecasts!N1725,Forecasts!N1741,Forecasts!N1758,Forecasts!N1774,Forecasts!N1790,Forecasts!N1806,Forecasts!N1822,Forecasts!N1838))</x:f>
        <x:v>1.9364916731037085</x:v>
      </x:c>
      <x:c r="K265" s="8" t="n">
        <x:f>SQRT(AVERAGE(Forecasts!N1727,Forecasts!N1743,Forecasts!N1760,Forecasts!N1776,Forecasts!N1792,Forecasts!N1808,Forecasts!N1824,Forecasts!N1840))</x:f>
        <x:v>2.0035765964592334</x:v>
      </x:c>
    </x:row>
    <x:row r="266" ht="26" customHeight="1">
      <x:c r="A266" s="2"/>
      <x:c r="B266" s="2" t="str">
        <x:v>Fabric &amp; Home Care / organic_volume_growth</x:v>
      </x:c>
      <x:c r="C266" s="2" t="str">
        <x:v>Prior report</x:v>
      </x:c>
      <x:c r="D266" s="2" t="str">
        <x:v>Bias correction</x:v>
      </x:c>
      <x:c r="E266" s="2" t="str">
        <x:v>All available</x:v>
      </x:c>
      <x:c r="F266" s="2" t="n">
        <x:v>8</x:v>
      </x:c>
      <x:c r="G266" s="8" t="n">
        <x:f>SQRT(AVERAGE(Forecasts!N2814,Forecasts!N2820,Forecasts!N2826,Forecasts!N2832,Forecasts!N2838,Forecasts!N2844,Forecasts!N2850,Forecasts!N2856))</x:f>
        <x:v>2.122319798839077</x:v>
      </x:c>
      <x:c r="H266" s="8" t="n">
        <x:f>AVERAGE(Forecasts!O2814,Forecasts!O2820,Forecasts!O2826,Forecasts!O2832,Forecasts!O2838,Forecasts!O2844,Forecasts!O2850,Forecasts!O2856)</x:f>
        <x:v>1.8787267209945187</x:v>
      </x:c>
      <x:c r="I266" s="8" t="n">
        <x:f>AVERAGE(Forecasts!M2814,Forecasts!M2820,Forecasts!M2826,Forecasts!M2832,Forecasts!M2838,Forecasts!M2844,Forecasts!M2850,Forecasts!M2856)</x:f>
        <x:v>0.5842934450420882</x:v>
      </x:c>
      <x:c r="J266" s="8" t="n">
        <x:f>SQRT(AVERAGE(Forecasts!N1730,Forecasts!N1746,Forecasts!N1763,Forecasts!N1779,Forecasts!N1795,Forecasts!N1811,Forecasts!N1827,Forecasts!N1843))</x:f>
        <x:v>1.7677669529663689</x:v>
      </x:c>
      <x:c r="K266" s="8" t="n">
        <x:f>SQRT(AVERAGE(Forecasts!N1732,Forecasts!N1748,Forecasts!N1765,Forecasts!N1781,Forecasts!N1797,Forecasts!N1813,Forecasts!N1829,Forecasts!N1845))</x:f>
        <x:v>1.9951428348494153</x:v>
      </x:c>
    </x:row>
    <x:row r="267" ht="26" customHeight="1">
      <x:c r="A267" s="2"/>
      <x:c r="B267" s="2" t="str">
        <x:v>Fabric &amp; Home Care / organic_volume_growth</x:v>
      </x:c>
      <x:c r="C267" s="2" t="str">
        <x:v>Prior report</x:v>
      </x:c>
      <x:c r="D267" s="2" t="str">
        <x:v>Bias correction</x:v>
      </x:c>
      <x:c r="E267" s="2" t="str">
        <x:v>Recent eight</x:v>
      </x:c>
      <x:c r="F267" s="2" t="n">
        <x:v>8</x:v>
      </x:c>
      <x:c r="G267" s="8" t="n">
        <x:f>SQRT(AVERAGE(Forecasts!N2814,Forecasts!N2820,Forecasts!N2826,Forecasts!N2832,Forecasts!N2838,Forecasts!N2844,Forecasts!N2850,Forecasts!N2856))</x:f>
        <x:v>2.122319798839077</x:v>
      </x:c>
      <x:c r="H267" s="8" t="n">
        <x:f>AVERAGE(Forecasts!O2814,Forecasts!O2820,Forecasts!O2826,Forecasts!O2832,Forecasts!O2838,Forecasts!O2844,Forecasts!O2850,Forecasts!O2856)</x:f>
        <x:v>1.8787267209945187</x:v>
      </x:c>
      <x:c r="I267" s="8" t="n">
        <x:f>AVERAGE(Forecasts!M2814,Forecasts!M2820,Forecasts!M2826,Forecasts!M2832,Forecasts!M2838,Forecasts!M2844,Forecasts!M2850,Forecasts!M2856)</x:f>
        <x:v>0.5842934450420882</x:v>
      </x:c>
      <x:c r="J267" s="8" t="n">
        <x:f>SQRT(AVERAGE(Forecasts!N1730,Forecasts!N1746,Forecasts!N1763,Forecasts!N1779,Forecasts!N1795,Forecasts!N1811,Forecasts!N1827,Forecasts!N1843))</x:f>
        <x:v>1.7677669529663689</x:v>
      </x:c>
      <x:c r="K267" s="8" t="n">
        <x:f>SQRT(AVERAGE(Forecasts!N1732,Forecasts!N1748,Forecasts!N1765,Forecasts!N1781,Forecasts!N1797,Forecasts!N1813,Forecasts!N1829,Forecasts!N1845))</x:f>
        <x:v>1.9951428348494153</x:v>
      </x:c>
    </x:row>
    <x:row r="268" ht="26" customHeight="1">
      <x:c r="A268" s="2"/>
      <x:c r="B268" s="2" t="str">
        <x:v>Fabric &amp; Home Care / organic_volume_growth</x:v>
      </x:c>
      <x:c r="C268" s="2" t="str">
        <x:v>Prior report</x:v>
      </x:c>
      <x:c r="D268" s="2" t="str">
        <x:v>Broad lag 1</x:v>
      </x:c>
      <x:c r="E268" s="2" t="str">
        <x:v>All available</x:v>
      </x:c>
      <x:c r="F268" s="2" t="n">
        <x:v>2</x:v>
      </x:c>
      <x:c r="G268" s="8" t="n">
        <x:f>SQRT(AVERAGE(Forecasts!N1684,Forecasts!N1749))</x:f>
        <x:v>2.1504860849187093</x:v>
      </x:c>
      <x:c r="H268" s="8" t="n">
        <x:f>AVERAGE(Forecasts!O1684,Forecasts!O1749)</x:f>
        <x:v>2.1193881664496903</x:v>
      </x:c>
      <x:c r="I268" s="8" t="n">
        <x:f>AVERAGE(Forecasts!M1684,Forecasts!M1749)</x:f>
        <x:v>-2.1193881664496903</x:v>
      </x:c>
      <x:c r="J268" s="8" t="n">
        <x:f>SQRT(AVERAGE(Forecasts!N1681,Forecasts!N1746))</x:f>
        <x:v>2</x:v>
      </x:c>
      <x:c r="K268" s="8" t="n">
        <x:f>SQRT(AVERAGE(Forecasts!N1683,Forecasts!N1748))</x:f>
        <x:v>1.5256082882742728</x:v>
      </x:c>
    </x:row>
    <x:row r="269" ht="26" customHeight="1">
      <x:c r="A269" s="2"/>
      <x:c r="B269" s="2" t="str">
        <x:v>Fabric &amp; Home Care / organic_volume_growth</x:v>
      </x:c>
      <x:c r="C269" s="2" t="str">
        <x:v>Prior report</x:v>
      </x:c>
      <x:c r="D269" s="2" t="str">
        <x:v>Broad lag 1</x:v>
      </x:c>
      <x:c r="E269" s="2" t="str">
        <x:v>Recent eight</x:v>
      </x:c>
      <x:c r="F269" s="2" t="n">
        <x:v>1</x:v>
      </x:c>
      <x:c r="G269" s="8" t="n">
        <x:f>SQRT(AVERAGE(Forecasts!N1749))</x:f>
        <x:v>1.7549925005286782</x:v>
      </x:c>
      <x:c r="H269" s="8" t="n">
        <x:f>AVERAGE(Forecasts!O1749)</x:f>
        <x:v>1.7549925005286782</x:v>
      </x:c>
      <x:c r="I269" s="8" t="n">
        <x:f>AVERAGE(Forecasts!M1749)</x:f>
        <x:v>-1.7549925005286782</x:v>
      </x:c>
      <x:c r="J269" s="8" t="n">
        <x:f>SQRT(AVERAGE(Forecasts!N1746))</x:f>
        <x:v>2</x:v>
      </x:c>
      <x:c r="K269" s="8" t="n">
        <x:f>SQRT(AVERAGE(Forecasts!N1748))</x:f>
        <x:v>1.4460805046931833</x:v>
      </x:c>
    </x:row>
    <x:row r="270" ht="26" customHeight="1">
      <x:c r="A270" s="2"/>
      <x:c r="B270" s="2" t="str">
        <x:v>Fabric &amp; Home Care / organic_volume_growth</x:v>
      </x:c>
      <x:c r="C270" s="2" t="str">
        <x:v>Prior report</x:v>
      </x:c>
      <x:c r="D270" s="2" t="str">
        <x:v>Broad market</x:v>
      </x:c>
      <x:c r="E270" s="2" t="str">
        <x:v>All available</x:v>
      </x:c>
      <x:c r="F270" s="2" t="n">
        <x:v>12</x:v>
      </x:c>
      <x:c r="G270" s="8" t="n">
        <x:f>SQRT(AVERAGE(Forecasts!N1668,Forecasts!N1683,Forecasts!N1700,Forecasts!N1716,Forecasts!N1732,Forecasts!N1748,Forecasts!N1765,Forecasts!N1781,Forecasts!N1797,Forecasts!N1813,Forecasts!N1829,Forecasts!N1845))</x:f>
        <x:v>1.9837122156986577</x:v>
      </x:c>
      <x:c r="H270" s="8" t="n">
        <x:f>AVERAGE(Forecasts!O1668,Forecasts!O1683,Forecasts!O1700,Forecasts!O1716,Forecasts!O1732,Forecasts!O1748,Forecasts!O1765,Forecasts!O1781,Forecasts!O1797,Forecasts!O1813,Forecasts!O1829,Forecasts!O1845)</x:f>
        <x:v>1.652422275912336</x:v>
      </x:c>
      <x:c r="I270" s="8" t="n">
        <x:f>AVERAGE(Forecasts!M1668,Forecasts!M1683,Forecasts!M1700,Forecasts!M1716,Forecasts!M1732,Forecasts!M1748,Forecasts!M1765,Forecasts!M1781,Forecasts!M1797,Forecasts!M1813,Forecasts!M1829,Forecasts!M1845)</x:f>
        <x:v>-1.0082189259976035</x:v>
      </x:c>
      <x:c r="J270" s="8" t="n">
        <x:f>SQRT(AVERAGE(Forecasts!N1666,Forecasts!N1681,Forecasts!N1698,Forecasts!N1714,Forecasts!N1730,Forecasts!N1746,Forecasts!N1763,Forecasts!N1779,Forecasts!N1795,Forecasts!N1811,Forecasts!N1827,Forecasts!N1843))</x:f>
        <x:v>1.8027756377319946</x:v>
      </x:c>
      <x:c r="K270" s="8" t="n">
        <x:f>SQRT(AVERAGE(Forecasts!N1668,Forecasts!N1683,Forecasts!N1700,Forecasts!N1716,Forecasts!N1732,Forecasts!N1748,Forecasts!N1765,Forecasts!N1781,Forecasts!N1797,Forecasts!N1813,Forecasts!N1829,Forecasts!N1845))</x:f>
        <x:v>1.9837122156986577</x:v>
      </x:c>
    </x:row>
    <x:row r="271" ht="26" customHeight="1">
      <x:c r="A271" s="2"/>
      <x:c r="B271" s="2" t="str">
        <x:v>Fabric &amp; Home Care / organic_volume_growth</x:v>
      </x:c>
      <x:c r="C271" s="2" t="str">
        <x:v>Prior report</x:v>
      </x:c>
      <x:c r="D271" s="2" t="str">
        <x:v>Broad market</x:v>
      </x:c>
      <x:c r="E271" s="2" t="str">
        <x:v>Recent eight</x:v>
      </x:c>
      <x:c r="F271" s="2" t="n">
        <x:v>8</x:v>
      </x:c>
      <x:c r="G271" s="8" t="n">
        <x:f>SQRT(AVERAGE(Forecasts!N1732,Forecasts!N1748,Forecasts!N1765,Forecasts!N1781,Forecasts!N1797,Forecasts!N1813,Forecasts!N1829,Forecasts!N1845))</x:f>
        <x:v>1.9951428348494153</x:v>
      </x:c>
      <x:c r="H271" s="8" t="n">
        <x:f>AVERAGE(Forecasts!O1732,Forecasts!O1748,Forecasts!O1765,Forecasts!O1781,Forecasts!O1797,Forecasts!O1813,Forecasts!O1829,Forecasts!O1845)</x:f>
        <x:v>1.5707025434412483</x:v>
      </x:c>
      <x:c r="I271" s="8" t="n">
        <x:f>AVERAGE(Forecasts!M1732,Forecasts!M1748,Forecasts!M1765,Forecasts!M1781,Forecasts!M1797,Forecasts!M1813,Forecasts!M1829,Forecasts!M1845)</x:f>
        <x:v>-0.7826818411209222</x:v>
      </x:c>
      <x:c r="J271" s="8" t="n">
        <x:f>SQRT(AVERAGE(Forecasts!N1730,Forecasts!N1746,Forecasts!N1763,Forecasts!N1779,Forecasts!N1795,Forecasts!N1811,Forecasts!N1827,Forecasts!N1843))</x:f>
        <x:v>1.7677669529663689</x:v>
      </x:c>
      <x:c r="K271" s="8" t="n">
        <x:f>SQRT(AVERAGE(Forecasts!N1732,Forecasts!N1748,Forecasts!N1765,Forecasts!N1781,Forecasts!N1797,Forecasts!N1813,Forecasts!N1829,Forecasts!N1845))</x:f>
        <x:v>1.9951428348494153</x:v>
      </x:c>
    </x:row>
    <x:row r="272" ht="26" customHeight="1">
      <x:c r="A272" s="2"/>
      <x:c r="B272" s="2" t="str">
        <x:v>Fabric &amp; Home Care / organic_volume_growth</x:v>
      </x:c>
      <x:c r="C272" s="2" t="str">
        <x:v>Prior report</x:v>
      </x:c>
      <x:c r="D272" s="2" t="str">
        <x:v>Broad rolling 8</x:v>
      </x:c>
      <x:c r="E272" s="2" t="str">
        <x:v>All available</x:v>
      </x:c>
      <x:c r="F272" s="2" t="n">
        <x:v>12</x:v>
      </x:c>
      <x:c r="G272" s="8" t="n">
        <x:f>SQRT(AVERAGE(Forecasts!N1669,Forecasts!N1685,Forecasts!N1701,Forecasts!N1717,Forecasts!N1733,Forecasts!N1750,Forecasts!N1766,Forecasts!N1782,Forecasts!N1798,Forecasts!N1814,Forecasts!N1830,Forecasts!N1846))</x:f>
        <x:v>2.0509257156652145</x:v>
      </x:c>
      <x:c r="H272" s="8" t="n">
        <x:f>AVERAGE(Forecasts!O1669,Forecasts!O1685,Forecasts!O1701,Forecasts!O1717,Forecasts!O1733,Forecasts!O1750,Forecasts!O1766,Forecasts!O1782,Forecasts!O1798,Forecasts!O1814,Forecasts!O1830,Forecasts!O1846)</x:f>
        <x:v>1.7783998318001994</x:v>
      </x:c>
      <x:c r="I272" s="8" t="n">
        <x:f>AVERAGE(Forecasts!M1669,Forecasts!M1685,Forecasts!M1701,Forecasts!M1717,Forecasts!M1733,Forecasts!M1750,Forecasts!M1766,Forecasts!M1782,Forecasts!M1798,Forecasts!M1814,Forecasts!M1830,Forecasts!M1846)</x:f>
        <x:v>0.06914399234599104</x:v>
      </x:c>
      <x:c r="J272" s="8" t="n">
        <x:f>SQRT(AVERAGE(Forecasts!N1666,Forecasts!N1681,Forecasts!N1698,Forecasts!N1714,Forecasts!N1730,Forecasts!N1746,Forecasts!N1763,Forecasts!N1779,Forecasts!N1795,Forecasts!N1811,Forecasts!N1827,Forecasts!N1843))</x:f>
        <x:v>1.8027756377319946</x:v>
      </x:c>
      <x:c r="K272" s="8" t="n">
        <x:f>SQRT(AVERAGE(Forecasts!N1668,Forecasts!N1683,Forecasts!N1700,Forecasts!N1716,Forecasts!N1732,Forecasts!N1748,Forecasts!N1765,Forecasts!N1781,Forecasts!N1797,Forecasts!N1813,Forecasts!N1829,Forecasts!N1845))</x:f>
        <x:v>1.9837122156986577</x:v>
      </x:c>
    </x:row>
    <x:row r="273" ht="26" customHeight="1">
      <x:c r="A273" s="2"/>
      <x:c r="B273" s="2" t="str">
        <x:v>Fabric &amp; Home Care / organic_volume_growth</x:v>
      </x:c>
      <x:c r="C273" s="2" t="str">
        <x:v>Prior report</x:v>
      </x:c>
      <x:c r="D273" s="2" t="str">
        <x:v>Broad rolling 8</x:v>
      </x:c>
      <x:c r="E273" s="2" t="str">
        <x:v>Recent eight</x:v>
      </x:c>
      <x:c r="F273" s="2" t="n">
        <x:v>8</x:v>
      </x:c>
      <x:c r="G273" s="8" t="n">
        <x:f>SQRT(AVERAGE(Forecasts!N1733,Forecasts!N1750,Forecasts!N1766,Forecasts!N1782,Forecasts!N1798,Forecasts!N1814,Forecasts!N1830,Forecasts!N1846))</x:f>
        <x:v>2.1008304341067334</x:v>
      </x:c>
      <x:c r="H273" s="8" t="n">
        <x:f>AVERAGE(Forecasts!O1733,Forecasts!O1750,Forecasts!O1766,Forecasts!O1782,Forecasts!O1798,Forecasts!O1814,Forecasts!O1830,Forecasts!O1846)</x:f>
        <x:v>1.7695951779076484</x:v>
      </x:c>
      <x:c r="I273" s="8" t="n">
        <x:f>AVERAGE(Forecasts!M1733,Forecasts!M1750,Forecasts!M1766,Forecasts!M1782,Forecasts!M1798,Forecasts!M1814,Forecasts!M1830,Forecasts!M1846)</x:f>
        <x:v>0.8234362357598646</x:v>
      </x:c>
      <x:c r="J273" s="8" t="n">
        <x:f>SQRT(AVERAGE(Forecasts!N1730,Forecasts!N1746,Forecasts!N1763,Forecasts!N1779,Forecasts!N1795,Forecasts!N1811,Forecasts!N1827,Forecasts!N1843))</x:f>
        <x:v>1.7677669529663689</x:v>
      </x:c>
      <x:c r="K273" s="8" t="n">
        <x:f>SQRT(AVERAGE(Forecasts!N1732,Forecasts!N1748,Forecasts!N1765,Forecasts!N1781,Forecasts!N1797,Forecasts!N1813,Forecasts!N1829,Forecasts!N1845))</x:f>
        <x:v>1.9951428348494153</x:v>
      </x:c>
    </x:row>
    <x:row r="274" ht="26" customHeight="1">
      <x:c r="A274" s="2"/>
      <x:c r="B274" s="2" t="str">
        <x:v>Fabric &amp; Home Care / organic_volume_growth</x:v>
      </x:c>
      <x:c r="C274" s="2" t="str">
        <x:v>Prior report</x:v>
      </x:c>
      <x:c r="D274" s="2" t="str">
        <x:v>Four-quarter mean</x:v>
      </x:c>
      <x:c r="E274" s="2" t="str">
        <x:v>All available</x:v>
      </x:c>
      <x:c r="F274" s="2" t="n">
        <x:v>12</x:v>
      </x:c>
      <x:c r="G274" s="8" t="n">
        <x:f>SQRT(AVERAGE(Forecasts!N1667,Forecasts!N1682,Forecasts!N1699,Forecasts!N1715,Forecasts!N1731,Forecasts!N1747,Forecasts!N1764,Forecasts!N1780,Forecasts!N1796,Forecasts!N1812,Forecasts!N1828,Forecasts!N1844))</x:f>
        <x:v>2.5860201081971503</x:v>
      </x:c>
      <x:c r="H274" s="8" t="n">
        <x:f>AVERAGE(Forecasts!O1667,Forecasts!O1682,Forecasts!O1699,Forecasts!O1715,Forecasts!O1731,Forecasts!O1747,Forecasts!O1764,Forecasts!O1780,Forecasts!O1796,Forecasts!O1812,Forecasts!O1828,Forecasts!O1844)</x:f>
        <x:v>2.1666666666666665</x:v>
      </x:c>
      <x:c r="I274" s="8" t="n">
        <x:f>AVERAGE(Forecasts!M1667,Forecasts!M1682,Forecasts!M1699,Forecasts!M1715,Forecasts!M1731,Forecasts!M1747,Forecasts!M1764,Forecasts!M1780,Forecasts!M1796,Forecasts!M1812,Forecasts!M1828,Forecasts!M1844)</x:f>
        <x:v>-1.125</x:v>
      </x:c>
      <x:c r="J274" s="8" t="n">
        <x:f>SQRT(AVERAGE(Forecasts!N1666,Forecasts!N1681,Forecasts!N1698,Forecasts!N1714,Forecasts!N1730,Forecasts!N1746,Forecasts!N1763,Forecasts!N1779,Forecasts!N1795,Forecasts!N1811,Forecasts!N1827,Forecasts!N1843))</x:f>
        <x:v>1.8027756377319946</x:v>
      </x:c>
      <x:c r="K274" s="8" t="n">
        <x:f>SQRT(AVERAGE(Forecasts!N1668,Forecasts!N1683,Forecasts!N1700,Forecasts!N1716,Forecasts!N1732,Forecasts!N1748,Forecasts!N1765,Forecasts!N1781,Forecasts!N1797,Forecasts!N1813,Forecasts!N1829,Forecasts!N1845))</x:f>
        <x:v>1.9837122156986577</x:v>
      </x:c>
    </x:row>
    <x:row r="275" ht="26" customHeight="1">
      <x:c r="A275" s="2"/>
      <x:c r="B275" s="2" t="str">
        <x:v>Fabric &amp; Home Care / organic_volume_growth</x:v>
      </x:c>
      <x:c r="C275" s="2" t="str">
        <x:v>Prior report</x:v>
      </x:c>
      <x:c r="D275" s="2" t="str">
        <x:v>Four-quarter mean</x:v>
      </x:c>
      <x:c r="E275" s="2" t="str">
        <x:v>Recent eight</x:v>
      </x:c>
      <x:c r="F275" s="2" t="n">
        <x:v>8</x:v>
      </x:c>
      <x:c r="G275" s="8" t="n">
        <x:f>SQRT(AVERAGE(Forecasts!N1731,Forecasts!N1747,Forecasts!N1764,Forecasts!N1780,Forecasts!N1796,Forecasts!N1812,Forecasts!N1828,Forecasts!N1844))</x:f>
        <x:v>1.8853878911247945</x:v>
      </x:c>
      <x:c r="H275" s="8" t="n">
        <x:f>AVERAGE(Forecasts!O1731,Forecasts!O1747,Forecasts!O1764,Forecasts!O1780,Forecasts!O1796,Forecasts!O1812,Forecasts!O1828,Forecasts!O1844)</x:f>
        <x:v>1.53125</x:v>
      </x:c>
      <x:c r="I275" s="8" t="n">
        <x:f>AVERAGE(Forecasts!M1731,Forecasts!M1747,Forecasts!M1764,Forecasts!M1780,Forecasts!M1796,Forecasts!M1812,Forecasts!M1828,Forecasts!M1844)</x:f>
        <x:v>0.03125</x:v>
      </x:c>
      <x:c r="J275" s="8" t="n">
        <x:f>SQRT(AVERAGE(Forecasts!N1730,Forecasts!N1746,Forecasts!N1763,Forecasts!N1779,Forecasts!N1795,Forecasts!N1811,Forecasts!N1827,Forecasts!N1843))</x:f>
        <x:v>1.7677669529663689</x:v>
      </x:c>
      <x:c r="K275" s="8" t="n">
        <x:f>SQRT(AVERAGE(Forecasts!N1732,Forecasts!N1748,Forecasts!N1765,Forecasts!N1781,Forecasts!N1797,Forecasts!N1813,Forecasts!N1829,Forecasts!N1845))</x:f>
        <x:v>1.9951428348494153</x:v>
      </x:c>
    </x:row>
    <x:row r="276" ht="26" customHeight="1">
      <x:c r="A276" s="2"/>
      <x:c r="B276" s="2" t="str">
        <x:v>Fabric &amp; Home Care / organic_volume_growth</x:v>
      </x:c>
      <x:c r="C276" s="2" t="str">
        <x:v>Prior report</x:v>
      </x:c>
      <x:c r="D276" s="2" t="str">
        <x:v>Half correction</x:v>
      </x:c>
      <x:c r="E276" s="2" t="str">
        <x:v>All available</x:v>
      </x:c>
      <x:c r="F276" s="2" t="n">
        <x:v>8</x:v>
      </x:c>
      <x:c r="G276" s="8" t="n">
        <x:f>SQRT(AVERAGE(Forecasts!N2815,Forecasts!N2821,Forecasts!N2827,Forecasts!N2833,Forecasts!N2839,Forecasts!N2845,Forecasts!N2851,Forecasts!N2857))</x:f>
        <x:v>1.8466277125579154</x:v>
      </x:c>
      <x:c r="H276" s="8" t="n">
        <x:f>AVERAGE(Forecasts!O2815,Forecasts!O2821,Forecasts!O2827,Forecasts!O2833,Forecasts!O2839,Forecasts!O2845,Forecasts!O2851,Forecasts!O2857)</x:f>
        <x:v>1.5181483751445688</x:v>
      </x:c>
      <x:c r="I276" s="8" t="n">
        <x:f>AVERAGE(Forecasts!M2815,Forecasts!M2821,Forecasts!M2827,Forecasts!M2833,Forecasts!M2839,Forecasts!M2845,Forecasts!M2851,Forecasts!M2857)</x:f>
        <x:v>-0.09919419803941698</x:v>
      </x:c>
      <x:c r="J276" s="8" t="n">
        <x:f>SQRT(AVERAGE(Forecasts!N1730,Forecasts!N1746,Forecasts!N1763,Forecasts!N1779,Forecasts!N1795,Forecasts!N1811,Forecasts!N1827,Forecasts!N1843))</x:f>
        <x:v>1.7677669529663689</x:v>
      </x:c>
      <x:c r="K276" s="8" t="n">
        <x:f>SQRT(AVERAGE(Forecasts!N1732,Forecasts!N1748,Forecasts!N1765,Forecasts!N1781,Forecasts!N1797,Forecasts!N1813,Forecasts!N1829,Forecasts!N1845))</x:f>
        <x:v>1.9951428348494153</x:v>
      </x:c>
    </x:row>
    <x:row r="277" ht="26" customHeight="1">
      <x:c r="A277" s="2"/>
      <x:c r="B277" s="2" t="str">
        <x:v>Fabric &amp; Home Care / organic_volume_growth</x:v>
      </x:c>
      <x:c r="C277" s="2" t="str">
        <x:v>Prior report</x:v>
      </x:c>
      <x:c r="D277" s="2" t="str">
        <x:v>Half correction</x:v>
      </x:c>
      <x:c r="E277" s="2" t="str">
        <x:v>Recent eight</x:v>
      </x:c>
      <x:c r="F277" s="2" t="n">
        <x:v>8</x:v>
      </x:c>
      <x:c r="G277" s="8" t="n">
        <x:f>SQRT(AVERAGE(Forecasts!N2815,Forecasts!N2821,Forecasts!N2827,Forecasts!N2833,Forecasts!N2839,Forecasts!N2845,Forecasts!N2851,Forecasts!N2857))</x:f>
        <x:v>1.8466277125579154</x:v>
      </x:c>
      <x:c r="H277" s="8" t="n">
        <x:f>AVERAGE(Forecasts!O2815,Forecasts!O2821,Forecasts!O2827,Forecasts!O2833,Forecasts!O2839,Forecasts!O2845,Forecasts!O2851,Forecasts!O2857)</x:f>
        <x:v>1.5181483751445688</x:v>
      </x:c>
      <x:c r="I277" s="8" t="n">
        <x:f>AVERAGE(Forecasts!M2815,Forecasts!M2821,Forecasts!M2827,Forecasts!M2833,Forecasts!M2839,Forecasts!M2845,Forecasts!M2851,Forecasts!M2857)</x:f>
        <x:v>-0.09919419803941698</x:v>
      </x:c>
      <x:c r="J277" s="8" t="n">
        <x:f>SQRT(AVERAGE(Forecasts!N1730,Forecasts!N1746,Forecasts!N1763,Forecasts!N1779,Forecasts!N1795,Forecasts!N1811,Forecasts!N1827,Forecasts!N1843))</x:f>
        <x:v>1.7677669529663689</x:v>
      </x:c>
      <x:c r="K277" s="8" t="n">
        <x:f>SQRT(AVERAGE(Forecasts!N1732,Forecasts!N1748,Forecasts!N1765,Forecasts!N1781,Forecasts!N1797,Forecasts!N1813,Forecasts!N1829,Forecasts!N1845))</x:f>
        <x:v>1.9951428348494153</x:v>
      </x:c>
    </x:row>
    <x:row r="278" ht="26" customHeight="1">
      <x:c r="A278" s="2"/>
      <x:c r="B278" s="2" t="str">
        <x:v>Fabric &amp; Home Care / organic_volume_growth</x:v>
      </x:c>
      <x:c r="C278" s="2" t="str">
        <x:v>Prior report</x:v>
      </x:c>
      <x:c r="D278" s="2" t="str">
        <x:v>Last actual</x:v>
      </x:c>
      <x:c r="E278" s="2" t="str">
        <x:v>All available</x:v>
      </x:c>
      <x:c r="F278" s="2" t="n">
        <x:v>12</x:v>
      </x:c>
      <x:c r="G278" s="8" t="n">
        <x:f>SQRT(AVERAGE(Forecasts!N1666,Forecasts!N1681,Forecasts!N1698,Forecasts!N1714,Forecasts!N1730,Forecasts!N1746,Forecasts!N1763,Forecasts!N1779,Forecasts!N1795,Forecasts!N1811,Forecasts!N1827,Forecasts!N1843))</x:f>
        <x:v>1.8027756377319946</x:v>
      </x:c>
      <x:c r="H278" s="8" t="n">
        <x:f>AVERAGE(Forecasts!O1666,Forecasts!O1681,Forecasts!O1698,Forecasts!O1714,Forecasts!O1730,Forecasts!O1746,Forecasts!O1763,Forecasts!O1779,Forecasts!O1795,Forecasts!O1811,Forecasts!O1827,Forecasts!O1843)</x:f>
        <x:v>1.5833333333333333</x:v>
      </x:c>
      <x:c r="I278" s="8" t="n">
        <x:f>AVERAGE(Forecasts!M1666,Forecasts!M1681,Forecasts!M1698,Forecasts!M1714,Forecasts!M1730,Forecasts!M1746,Forecasts!M1763,Forecasts!M1779,Forecasts!M1795,Forecasts!M1811,Forecasts!M1827,Forecasts!M1843)</x:f>
        <x:v>-0.5833333333333334</x:v>
      </x:c>
      <x:c r="J278" s="8" t="n">
        <x:f>SQRT(AVERAGE(Forecasts!N1666,Forecasts!N1681,Forecasts!N1698,Forecasts!N1714,Forecasts!N1730,Forecasts!N1746,Forecasts!N1763,Forecasts!N1779,Forecasts!N1795,Forecasts!N1811,Forecasts!N1827,Forecasts!N1843))</x:f>
        <x:v>1.8027756377319946</x:v>
      </x:c>
      <x:c r="K278" s="8" t="n">
        <x:f>SQRT(AVERAGE(Forecasts!N1668,Forecasts!N1683,Forecasts!N1700,Forecasts!N1716,Forecasts!N1732,Forecasts!N1748,Forecasts!N1765,Forecasts!N1781,Forecasts!N1797,Forecasts!N1813,Forecasts!N1829,Forecasts!N1845))</x:f>
        <x:v>1.9837122156986577</x:v>
      </x:c>
    </x:row>
    <x:row r="279" ht="26" customHeight="1">
      <x:c r="A279" s="2"/>
      <x:c r="B279" s="2" t="str">
        <x:v>Fabric &amp; Home Care / organic_volume_growth</x:v>
      </x:c>
      <x:c r="C279" s="2" t="str">
        <x:v>Prior report</x:v>
      </x:c>
      <x:c r="D279" s="2" t="str">
        <x:v>Last actual</x:v>
      </x:c>
      <x:c r="E279" s="2" t="str">
        <x:v>Recent eight</x:v>
      </x:c>
      <x:c r="F279" s="2" t="n">
        <x:v>8</x:v>
      </x:c>
      <x:c r="G279" s="8" t="n">
        <x:f>SQRT(AVERAGE(Forecasts!N1730,Forecasts!N1746,Forecasts!N1763,Forecasts!N1779,Forecasts!N1795,Forecasts!N1811,Forecasts!N1827,Forecasts!N1843))</x:f>
        <x:v>1.7677669529663689</x:v>
      </x:c>
      <x:c r="H279" s="8" t="n">
        <x:f>AVERAGE(Forecasts!O1730,Forecasts!O1746,Forecasts!O1763,Forecasts!O1779,Forecasts!O1795,Forecasts!O1811,Forecasts!O1827,Forecasts!O1843)</x:f>
        <x:v>1.625</x:v>
      </x:c>
      <x:c r="I279" s="8" t="n">
        <x:f>AVERAGE(Forecasts!M1730,Forecasts!M1746,Forecasts!M1763,Forecasts!M1779,Forecasts!M1795,Forecasts!M1811,Forecasts!M1827,Forecasts!M1843)</x:f>
        <x:v>-0.125</x:v>
      </x:c>
      <x:c r="J279" s="8" t="n">
        <x:f>SQRT(AVERAGE(Forecasts!N1730,Forecasts!N1746,Forecasts!N1763,Forecasts!N1779,Forecasts!N1795,Forecasts!N1811,Forecasts!N1827,Forecasts!N1843))</x:f>
        <x:v>1.7677669529663689</x:v>
      </x:c>
      <x:c r="K279" s="8" t="n">
        <x:f>SQRT(AVERAGE(Forecasts!N1732,Forecasts!N1748,Forecasts!N1765,Forecasts!N1781,Forecasts!N1797,Forecasts!N1813,Forecasts!N1829,Forecasts!N1845))</x:f>
        <x:v>1.9951428348494153</x:v>
      </x:c>
    </x:row>
    <x:row r="280" ht="26" customHeight="1">
      <x:c r="A280" s="2"/>
      <x:c r="B280" s="2" t="str">
        <x:v>Fabric &amp; Home Care / organic_volume_growth</x:v>
      </x:c>
      <x:c r="C280" s="2" t="str">
        <x:v>Prior report</x:v>
      </x:c>
      <x:c r="D280" s="2" t="str">
        <x:v>Own history</x:v>
      </x:c>
      <x:c r="E280" s="2" t="str">
        <x:v>All available</x:v>
      </x:c>
      <x:c r="F280" s="2" t="n">
        <x:v>12</x:v>
      </x:c>
      <x:c r="G280" s="8" t="n">
        <x:f>SQRT(AVERAGE(Forecasts!N1670,Forecasts!N1686,Forecasts!N1702,Forecasts!N1718,Forecasts!N1734,Forecasts!N1751,Forecasts!N1767,Forecasts!N1783,Forecasts!N1799,Forecasts!N1815,Forecasts!N1831,Forecasts!N1847))</x:f>
        <x:v>1.7123720740466968</x:v>
      </x:c>
      <x:c r="H280" s="8" t="n">
        <x:f>AVERAGE(Forecasts!O1670,Forecasts!O1686,Forecasts!O1702,Forecasts!O1718,Forecasts!O1734,Forecasts!O1751,Forecasts!O1767,Forecasts!O1783,Forecasts!O1799,Forecasts!O1815,Forecasts!O1831,Forecasts!O1847)</x:f>
        <x:v>1.545691879279089</x:v>
      </x:c>
      <x:c r="I280" s="8" t="n">
        <x:f>AVERAGE(Forecasts!M1670,Forecasts!M1686,Forecasts!M1702,Forecasts!M1718,Forecasts!M1734,Forecasts!M1751,Forecasts!M1767,Forecasts!M1783,Forecasts!M1799,Forecasts!M1815,Forecasts!M1831,Forecasts!M1847)</x:f>
        <x:v>-0.7948768632702993</x:v>
      </x:c>
      <x:c r="J280" s="8" t="n">
        <x:f>SQRT(AVERAGE(Forecasts!N1666,Forecasts!N1681,Forecasts!N1698,Forecasts!N1714,Forecasts!N1730,Forecasts!N1746,Forecasts!N1763,Forecasts!N1779,Forecasts!N1795,Forecasts!N1811,Forecasts!N1827,Forecasts!N1843))</x:f>
        <x:v>1.8027756377319946</x:v>
      </x:c>
      <x:c r="K280" s="8" t="n">
        <x:f>SQRT(AVERAGE(Forecasts!N1668,Forecasts!N1683,Forecasts!N1700,Forecasts!N1716,Forecasts!N1732,Forecasts!N1748,Forecasts!N1765,Forecasts!N1781,Forecasts!N1797,Forecasts!N1813,Forecasts!N1829,Forecasts!N1845))</x:f>
        <x:v>1.9837122156986577</x:v>
      </x:c>
    </x:row>
    <x:row r="281" ht="26" customHeight="1">
      <x:c r="A281" s="2"/>
      <x:c r="B281" s="2" t="str">
        <x:v>Fabric &amp; Home Care / organic_volume_growth</x:v>
      </x:c>
      <x:c r="C281" s="2" t="str">
        <x:v>Prior report</x:v>
      </x:c>
      <x:c r="D281" s="2" t="str">
        <x:v>Own history</x:v>
      </x:c>
      <x:c r="E281" s="2" t="str">
        <x:v>Recent eight</x:v>
      </x:c>
      <x:c r="F281" s="2" t="n">
        <x:v>8</x:v>
      </x:c>
      <x:c r="G281" s="8" t="n">
        <x:f>SQRT(AVERAGE(Forecasts!N1734,Forecasts!N1751,Forecasts!N1767,Forecasts!N1783,Forecasts!N1799,Forecasts!N1815,Forecasts!N1831,Forecasts!N1847))</x:f>
        <x:v>1.6477848555804493</x:v>
      </x:c>
      <x:c r="H281" s="8" t="n">
        <x:f>AVERAGE(Forecasts!O1734,Forecasts!O1751,Forecasts!O1767,Forecasts!O1783,Forecasts!O1799,Forecasts!O1815,Forecasts!O1831,Forecasts!O1847)</x:f>
        <x:v>1.498529300182896</x:v>
      </x:c>
      <x:c r="I281" s="8" t="n">
        <x:f>AVERAGE(Forecasts!M1734,Forecasts!M1751,Forecasts!M1767,Forecasts!M1783,Forecasts!M1799,Forecasts!M1815,Forecasts!M1831,Forecasts!M1847)</x:f>
        <x:v>-0.37230677616971153</x:v>
      </x:c>
      <x:c r="J281" s="8" t="n">
        <x:f>SQRT(AVERAGE(Forecasts!N1730,Forecasts!N1746,Forecasts!N1763,Forecasts!N1779,Forecasts!N1795,Forecasts!N1811,Forecasts!N1827,Forecasts!N1843))</x:f>
        <x:v>1.7677669529663689</x:v>
      </x:c>
      <x:c r="K281" s="8" t="n">
        <x:f>SQRT(AVERAGE(Forecasts!N1732,Forecasts!N1748,Forecasts!N1765,Forecasts!N1781,Forecasts!N1797,Forecasts!N1813,Forecasts!N1829,Forecasts!N1845))</x:f>
        <x:v>1.9951428348494153</x:v>
      </x:c>
    </x:row>
    <x:row r="282" ht="26" customHeight="1">
      <x:c r="A282" s="2"/>
      <x:c r="B282" s="2" t="str">
        <x:v>Fabric &amp; Home Care / organic_volume_growth</x:v>
      </x:c>
      <x:c r="C282" s="2" t="str">
        <x:v>Pre-earnings</x:v>
      </x:c>
      <x:c r="D282" s="2" t="str">
        <x:v>Bias correction</x:v>
      </x:c>
      <x:c r="E282" s="2" t="str">
        <x:v>All available</x:v>
      </x:c>
      <x:c r="F282" s="2" t="n">
        <x:v>8</x:v>
      </x:c>
      <x:c r="G282" s="8" t="n">
        <x:f>SQRT(AVERAGE(Forecasts!N2816,Forecasts!N2822,Forecasts!N2828,Forecasts!N2834,Forecasts!N2840,Forecasts!N2846,Forecasts!N2852,Forecasts!N2858))</x:f>
        <x:v>2.2442462262293295</x:v>
      </x:c>
      <x:c r="H282" s="8" t="n">
        <x:f>AVERAGE(Forecasts!O2816,Forecasts!O2822,Forecasts!O2828,Forecasts!O2834,Forecasts!O2840,Forecasts!O2846,Forecasts!O2852,Forecasts!O2858)</x:f>
        <x:v>1.9083979436202831</x:v>
      </x:c>
      <x:c r="I282" s="8" t="n">
        <x:f>AVERAGE(Forecasts!M2816,Forecasts!M2822,Forecasts!M2828,Forecasts!M2834,Forecasts!M2840,Forecasts!M2846,Forecasts!M2852,Forecasts!M2858)</x:f>
        <x:v>0.41906357436168207</x:v>
      </x:c>
      <x:c r="J282" s="8" t="n">
        <x:f>SQRT(AVERAGE(Forecasts!N1735,Forecasts!N1752,Forecasts!N1768,Forecasts!N1784,Forecasts!N1800,Forecasts!N1816,Forecasts!N1832,Forecasts!N1848))</x:f>
        <x:v>1.7677669529663689</x:v>
      </x:c>
      <x:c r="K282" s="8" t="n">
        <x:f>SQRT(AVERAGE(Forecasts!N1737,Forecasts!N1754,Forecasts!N1770,Forecasts!N1786,Forecasts!N1802,Forecasts!N1818,Forecasts!N1834,Forecasts!N1850))</x:f>
        <x:v>2.0373765267154704</x:v>
      </x:c>
    </x:row>
    <x:row r="283" ht="26" customHeight="1">
      <x:c r="A283" s="2"/>
      <x:c r="B283" s="2" t="str">
        <x:v>Fabric &amp; Home Care / organic_volume_growth</x:v>
      </x:c>
      <x:c r="C283" s="2" t="str">
        <x:v>Pre-earnings</x:v>
      </x:c>
      <x:c r="D283" s="2" t="str">
        <x:v>Bias correction</x:v>
      </x:c>
      <x:c r="E283" s="2" t="str">
        <x:v>Recent eight</x:v>
      </x:c>
      <x:c r="F283" s="2" t="n">
        <x:v>8</x:v>
      </x:c>
      <x:c r="G283" s="8" t="n">
        <x:f>SQRT(AVERAGE(Forecasts!N2816,Forecasts!N2822,Forecasts!N2828,Forecasts!N2834,Forecasts!N2840,Forecasts!N2846,Forecasts!N2852,Forecasts!N2858))</x:f>
        <x:v>2.2442462262293295</x:v>
      </x:c>
      <x:c r="H283" s="8" t="n">
        <x:f>AVERAGE(Forecasts!O2816,Forecasts!O2822,Forecasts!O2828,Forecasts!O2834,Forecasts!O2840,Forecasts!O2846,Forecasts!O2852,Forecasts!O2858)</x:f>
        <x:v>1.9083979436202831</x:v>
      </x:c>
      <x:c r="I283" s="8" t="n">
        <x:f>AVERAGE(Forecasts!M2816,Forecasts!M2822,Forecasts!M2828,Forecasts!M2834,Forecasts!M2840,Forecasts!M2846,Forecasts!M2852,Forecasts!M2858)</x:f>
        <x:v>0.41906357436168207</x:v>
      </x:c>
      <x:c r="J283" s="8" t="n">
        <x:f>SQRT(AVERAGE(Forecasts!N1735,Forecasts!N1752,Forecasts!N1768,Forecasts!N1784,Forecasts!N1800,Forecasts!N1816,Forecasts!N1832,Forecasts!N1848))</x:f>
        <x:v>1.7677669529663689</x:v>
      </x:c>
      <x:c r="K283" s="8" t="n">
        <x:f>SQRT(AVERAGE(Forecasts!N1737,Forecasts!N1754,Forecasts!N1770,Forecasts!N1786,Forecasts!N1802,Forecasts!N1818,Forecasts!N1834,Forecasts!N1850))</x:f>
        <x:v>2.0373765267154704</x:v>
      </x:c>
    </x:row>
    <x:row r="284" ht="26" customHeight="1">
      <x:c r="A284" s="2"/>
      <x:c r="B284" s="2" t="str">
        <x:v>Fabric &amp; Home Care / organic_volume_growth</x:v>
      </x:c>
      <x:c r="C284" s="2" t="str">
        <x:v>Pre-earnings</x:v>
      </x:c>
      <x:c r="D284" s="2" t="str">
        <x:v>Broad lag 1</x:v>
      </x:c>
      <x:c r="E284" s="2" t="str">
        <x:v>All available</x:v>
      </x:c>
      <x:c r="F284" s="2" t="n">
        <x:v>12</x:v>
      </x:c>
      <x:c r="G284" s="8" t="n">
        <x:f>SQRT(AVERAGE(Forecasts!N1674,Forecasts!N1690,Forecasts!N1706,Forecasts!N1722,Forecasts!N1738,Forecasts!N1755,Forecasts!N1771,Forecasts!N1787,Forecasts!N1803,Forecasts!N1819,Forecasts!N1835,Forecasts!N1851))</x:f>
        <x:v>2.2523738056520557</x:v>
      </x:c>
      <x:c r="H284" s="8" t="n">
        <x:f>AVERAGE(Forecasts!O1674,Forecasts!O1690,Forecasts!O1706,Forecasts!O1722,Forecasts!O1738,Forecasts!O1755,Forecasts!O1771,Forecasts!O1787,Forecasts!O1803,Forecasts!O1819,Forecasts!O1835,Forecasts!O1851)</x:f>
        <x:v>1.8923488217460094</x:v>
      </x:c>
      <x:c r="I284" s="8" t="n">
        <x:f>AVERAGE(Forecasts!M1674,Forecasts!M1690,Forecasts!M1706,Forecasts!M1722,Forecasts!M1738,Forecasts!M1755,Forecasts!M1771,Forecasts!M1787,Forecasts!M1803,Forecasts!M1819,Forecasts!M1835,Forecasts!M1851)</x:f>
        <x:v>-1.4392069825660698</x:v>
      </x:c>
      <x:c r="J284" s="8" t="n">
        <x:f>SQRT(AVERAGE(Forecasts!N1671,Forecasts!N1687,Forecasts!N1703,Forecasts!N1719,Forecasts!N1735,Forecasts!N1752,Forecasts!N1768,Forecasts!N1784,Forecasts!N1800,Forecasts!N1816,Forecasts!N1832,Forecasts!N1848))</x:f>
        <x:v>1.8027756377319946</x:v>
      </x:c>
      <x:c r="K284" s="8" t="n">
        <x:f>SQRT(AVERAGE(Forecasts!N1673,Forecasts!N1689,Forecasts!N1705,Forecasts!N1721,Forecasts!N1737,Forecasts!N1754,Forecasts!N1770,Forecasts!N1786,Forecasts!N1802,Forecasts!N1818,Forecasts!N1834,Forecasts!N1850))</x:f>
        <x:v>1.9418571345664217</x:v>
      </x:c>
    </x:row>
    <x:row r="285" ht="26" customHeight="1">
      <x:c r="A285" s="2"/>
      <x:c r="B285" s="2" t="str">
        <x:v>Fabric &amp; Home Care / organic_volume_growth</x:v>
      </x:c>
      <x:c r="C285" s="2" t="str">
        <x:v>Pre-earnings</x:v>
      </x:c>
      <x:c r="D285" s="2" t="str">
        <x:v>Broad lag 1</x:v>
      </x:c>
      <x:c r="E285" s="2" t="str">
        <x:v>Recent eight</x:v>
      </x:c>
      <x:c r="F285" s="2" t="n">
        <x:v>8</x:v>
      </x:c>
      <x:c r="G285" s="8" t="n">
        <x:f>SQRT(AVERAGE(Forecasts!N1738,Forecasts!N1755,Forecasts!N1771,Forecasts!N1787,Forecasts!N1803,Forecasts!N1819,Forecasts!N1835,Forecasts!N1851))</x:f>
        <x:v>2.133572127952558</x:v>
      </x:c>
      <x:c r="H285" s="8" t="n">
        <x:f>AVERAGE(Forecasts!O1738,Forecasts!O1755,Forecasts!O1771,Forecasts!O1787,Forecasts!O1803,Forecasts!O1819,Forecasts!O1835,Forecasts!O1851)</x:f>
        <x:v>1.6599255182112187</x:v>
      </x:c>
      <x:c r="I285" s="8" t="n">
        <x:f>AVERAGE(Forecasts!M1738,Forecasts!M1755,Forecasts!M1771,Forecasts!M1787,Forecasts!M1803,Forecasts!M1819,Forecasts!M1835,Forecasts!M1851)</x:f>
        <x:v>-0.9802127594413091</x:v>
      </x:c>
      <x:c r="J285" s="8" t="n">
        <x:f>SQRT(AVERAGE(Forecasts!N1735,Forecasts!N1752,Forecasts!N1768,Forecasts!N1784,Forecasts!N1800,Forecasts!N1816,Forecasts!N1832,Forecasts!N1848))</x:f>
        <x:v>1.7677669529663689</x:v>
      </x:c>
      <x:c r="K285" s="8" t="n">
        <x:f>SQRT(AVERAGE(Forecasts!N1737,Forecasts!N1754,Forecasts!N1770,Forecasts!N1786,Forecasts!N1802,Forecasts!N1818,Forecasts!N1834,Forecasts!N1850))</x:f>
        <x:v>2.0373765267154704</x:v>
      </x:c>
    </x:row>
    <x:row r="286" ht="26" customHeight="1">
      <x:c r="A286" s="2"/>
      <x:c r="B286" s="2" t="str">
        <x:v>Fabric &amp; Home Care / organic_volume_growth</x:v>
      </x:c>
      <x:c r="C286" s="2" t="str">
        <x:v>Pre-earnings</x:v>
      </x:c>
      <x:c r="D286" s="2" t="str">
        <x:v>Broad market</x:v>
      </x:c>
      <x:c r="E286" s="2" t="str">
        <x:v>All available</x:v>
      </x:c>
      <x:c r="F286" s="2" t="n">
        <x:v>12</x:v>
      </x:c>
      <x:c r="G286" s="8" t="n">
        <x:f>SQRT(AVERAGE(Forecasts!N1673,Forecasts!N1689,Forecasts!N1705,Forecasts!N1721,Forecasts!N1737,Forecasts!N1754,Forecasts!N1770,Forecasts!N1786,Forecasts!N1802,Forecasts!N1818,Forecasts!N1834,Forecasts!N1850))</x:f>
        <x:v>1.9418571345664217</x:v>
      </x:c>
      <x:c r="H286" s="8" t="n">
        <x:f>AVERAGE(Forecasts!O1673,Forecasts!O1689,Forecasts!O1705,Forecasts!O1721,Forecasts!O1737,Forecasts!O1754,Forecasts!O1770,Forecasts!O1786,Forecasts!O1802,Forecasts!O1818,Forecasts!O1834,Forecasts!O1850)</x:f>
        <x:v>1.6043680213412779</x:v>
      </x:c>
      <x:c r="I286" s="8" t="n">
        <x:f>AVERAGE(Forecasts!M1673,Forecasts!M1689,Forecasts!M1705,Forecasts!M1721,Forecasts!M1737,Forecasts!M1754,Forecasts!M1770,Forecasts!M1786,Forecasts!M1802,Forecasts!M1818,Forecasts!M1834,Forecasts!M1850)</x:f>
        <x:v>-0.9706008759065696</x:v>
      </x:c>
      <x:c r="J286" s="8" t="n">
        <x:f>SQRT(AVERAGE(Forecasts!N1671,Forecasts!N1687,Forecasts!N1703,Forecasts!N1719,Forecasts!N1735,Forecasts!N1752,Forecasts!N1768,Forecasts!N1784,Forecasts!N1800,Forecasts!N1816,Forecasts!N1832,Forecasts!N1848))</x:f>
        <x:v>1.8027756377319946</x:v>
      </x:c>
      <x:c r="K286" s="8" t="n">
        <x:f>SQRT(AVERAGE(Forecasts!N1673,Forecasts!N1689,Forecasts!N1705,Forecasts!N1721,Forecasts!N1737,Forecasts!N1754,Forecasts!N1770,Forecasts!N1786,Forecasts!N1802,Forecasts!N1818,Forecasts!N1834,Forecasts!N1850))</x:f>
        <x:v>1.9418571345664217</x:v>
      </x:c>
    </x:row>
    <x:row r="287" ht="26" customHeight="1">
      <x:c r="A287" s="2"/>
      <x:c r="B287" s="2" t="str">
        <x:v>Fabric &amp; Home Care / organic_volume_growth</x:v>
      </x:c>
      <x:c r="C287" s="2" t="str">
        <x:v>Pre-earnings</x:v>
      </x:c>
      <x:c r="D287" s="2" t="str">
        <x:v>Broad market</x:v>
      </x:c>
      <x:c r="E287" s="2" t="str">
        <x:v>Recent eight</x:v>
      </x:c>
      <x:c r="F287" s="2" t="n">
        <x:v>8</x:v>
      </x:c>
      <x:c r="G287" s="8" t="n">
        <x:f>SQRT(AVERAGE(Forecasts!N1737,Forecasts!N1754,Forecasts!N1770,Forecasts!N1786,Forecasts!N1802,Forecasts!N1818,Forecasts!N1834,Forecasts!N1850))</x:f>
        <x:v>2.0373765267154704</x:v>
      </x:c>
      <x:c r="H287" s="8" t="n">
        <x:f>AVERAGE(Forecasts!O1737,Forecasts!O1754,Forecasts!O1770,Forecasts!O1786,Forecasts!O1802,Forecasts!O1818,Forecasts!O1834,Forecasts!O1850)</x:f>
        <x:v>1.6216437299900472</x:v>
      </x:c>
      <x:c r="I287" s="8" t="n">
        <x:f>AVERAGE(Forecasts!M1737,Forecasts!M1754,Forecasts!M1770,Forecasts!M1786,Forecasts!M1802,Forecasts!M1818,Forecasts!M1834,Forecasts!M1850)</x:f>
        <x:v>-0.7672877405490561</x:v>
      </x:c>
      <x:c r="J287" s="8" t="n">
        <x:f>SQRT(AVERAGE(Forecasts!N1735,Forecasts!N1752,Forecasts!N1768,Forecasts!N1784,Forecasts!N1800,Forecasts!N1816,Forecasts!N1832,Forecasts!N1848))</x:f>
        <x:v>1.7677669529663689</x:v>
      </x:c>
      <x:c r="K287" s="8" t="n">
        <x:f>SQRT(AVERAGE(Forecasts!N1737,Forecasts!N1754,Forecasts!N1770,Forecasts!N1786,Forecasts!N1802,Forecasts!N1818,Forecasts!N1834,Forecasts!N1850))</x:f>
        <x:v>2.0373765267154704</x:v>
      </x:c>
    </x:row>
    <x:row r="288" ht="26" customHeight="1">
      <x:c r="A288" s="2"/>
      <x:c r="B288" s="2" t="str">
        <x:v>Fabric &amp; Home Care / organic_volume_growth</x:v>
      </x:c>
      <x:c r="C288" s="2" t="str">
        <x:v>Pre-earnings</x:v>
      </x:c>
      <x:c r="D288" s="2" t="str">
        <x:v>Broad rolling 8</x:v>
      </x:c>
      <x:c r="E288" s="2" t="str">
        <x:v>All available</x:v>
      </x:c>
      <x:c r="F288" s="2" t="n">
        <x:v>12</x:v>
      </x:c>
      <x:c r="G288" s="8" t="n">
        <x:f>SQRT(AVERAGE(Forecasts!N1675,Forecasts!N1691,Forecasts!N1707,Forecasts!N1723,Forecasts!N1739,Forecasts!N1756,Forecasts!N1772,Forecasts!N1788,Forecasts!N1804,Forecasts!N1820,Forecasts!N1836,Forecasts!N1852))</x:f>
        <x:v>1.6325923490732819</x:v>
      </x:c>
      <x:c r="H288" s="8" t="n">
        <x:f>AVERAGE(Forecasts!O1675,Forecasts!O1691,Forecasts!O1707,Forecasts!O1723,Forecasts!O1739,Forecasts!O1756,Forecasts!O1772,Forecasts!O1788,Forecasts!O1804,Forecasts!O1820,Forecasts!O1836,Forecasts!O1852)</x:f>
        <x:v>1.3678858232396618</x:v>
      </x:c>
      <x:c r="I288" s="8" t="n">
        <x:f>AVERAGE(Forecasts!M1675,Forecasts!M1691,Forecasts!M1707,Forecasts!M1723,Forecasts!M1739,Forecasts!M1756,Forecasts!M1772,Forecasts!M1788,Forecasts!M1804,Forecasts!M1820,Forecasts!M1836,Forecasts!M1852)</x:f>
        <x:v>0.26210198225003123</x:v>
      </x:c>
      <x:c r="J288" s="8" t="n">
        <x:f>SQRT(AVERAGE(Forecasts!N1671,Forecasts!N1687,Forecasts!N1703,Forecasts!N1719,Forecasts!N1735,Forecasts!N1752,Forecasts!N1768,Forecasts!N1784,Forecasts!N1800,Forecasts!N1816,Forecasts!N1832,Forecasts!N1848))</x:f>
        <x:v>1.8027756377319946</x:v>
      </x:c>
      <x:c r="K288" s="8" t="n">
        <x:f>SQRT(AVERAGE(Forecasts!N1673,Forecasts!N1689,Forecasts!N1705,Forecasts!N1721,Forecasts!N1737,Forecasts!N1754,Forecasts!N1770,Forecasts!N1786,Forecasts!N1802,Forecasts!N1818,Forecasts!N1834,Forecasts!N1850))</x:f>
        <x:v>1.9418571345664217</x:v>
      </x:c>
    </x:row>
    <x:row r="289" ht="26" customHeight="1">
      <x:c r="A289" s="2"/>
      <x:c r="B289" s="2" t="str">
        <x:v>Fabric &amp; Home Care / organic_volume_growth</x:v>
      </x:c>
      <x:c r="C289" s="2" t="str">
        <x:v>Pre-earnings</x:v>
      </x:c>
      <x:c r="D289" s="2" t="str">
        <x:v>Broad rolling 8</x:v>
      </x:c>
      <x:c r="E289" s="2" t="str">
        <x:v>Recent eight</x:v>
      </x:c>
      <x:c r="F289" s="2" t="n">
        <x:v>8</x:v>
      </x:c>
      <x:c r="G289" s="8" t="n">
        <x:f>SQRT(AVERAGE(Forecasts!N1739,Forecasts!N1756,Forecasts!N1772,Forecasts!N1788,Forecasts!N1804,Forecasts!N1820,Forecasts!N1836,Forecasts!N1852))</x:f>
        <x:v>1.7811513697972294</x:v>
      </x:c>
      <x:c r="H289" s="8" t="n">
        <x:f>AVERAGE(Forecasts!O1739,Forecasts!O1756,Forecasts!O1772,Forecasts!O1788,Forecasts!O1804,Forecasts!O1820,Forecasts!O1836,Forecasts!O1852)</x:f>
        <x:v>1.4702293566704199</x:v>
      </x:c>
      <x:c r="I289" s="8" t="n">
        <x:f>AVERAGE(Forecasts!M1739,Forecasts!M1756,Forecasts!M1772,Forecasts!M1788,Forecasts!M1804,Forecasts!M1820,Forecasts!M1836,Forecasts!M1852)</x:f>
        <x:v>0.9072249677608835</x:v>
      </x:c>
      <x:c r="J289" s="8" t="n">
        <x:f>SQRT(AVERAGE(Forecasts!N1735,Forecasts!N1752,Forecasts!N1768,Forecasts!N1784,Forecasts!N1800,Forecasts!N1816,Forecasts!N1832,Forecasts!N1848))</x:f>
        <x:v>1.7677669529663689</x:v>
      </x:c>
      <x:c r="K289" s="8" t="n">
        <x:f>SQRT(AVERAGE(Forecasts!N1737,Forecasts!N1754,Forecasts!N1770,Forecasts!N1786,Forecasts!N1802,Forecasts!N1818,Forecasts!N1834,Forecasts!N1850))</x:f>
        <x:v>2.0373765267154704</x:v>
      </x:c>
    </x:row>
    <x:row r="290" ht="26" customHeight="1">
      <x:c r="A290" s="2"/>
      <x:c r="B290" s="2" t="str">
        <x:v>Fabric &amp; Home Care / organic_volume_growth</x:v>
      </x:c>
      <x:c r="C290" s="2" t="str">
        <x:v>Pre-earnings</x:v>
      </x:c>
      <x:c r="D290" s="2" t="str">
        <x:v>Four-quarter mean</x:v>
      </x:c>
      <x:c r="E290" s="2" t="str">
        <x:v>All available</x:v>
      </x:c>
      <x:c r="F290" s="2" t="n">
        <x:v>12</x:v>
      </x:c>
      <x:c r="G290" s="8" t="n">
        <x:f>SQRT(AVERAGE(Forecasts!N1672,Forecasts!N1688,Forecasts!N1704,Forecasts!N1720,Forecasts!N1736,Forecasts!N1753,Forecasts!N1769,Forecasts!N1785,Forecasts!N1801,Forecasts!N1817,Forecasts!N1833,Forecasts!N1849))</x:f>
        <x:v>2.5860201081971503</x:v>
      </x:c>
      <x:c r="H290" s="8" t="n">
        <x:f>AVERAGE(Forecasts!O1672,Forecasts!O1688,Forecasts!O1704,Forecasts!O1720,Forecasts!O1736,Forecasts!O1753,Forecasts!O1769,Forecasts!O1785,Forecasts!O1801,Forecasts!O1817,Forecasts!O1833,Forecasts!O1849)</x:f>
        <x:v>2.1666666666666665</x:v>
      </x:c>
      <x:c r="I290" s="8" t="n">
        <x:f>AVERAGE(Forecasts!M1672,Forecasts!M1688,Forecasts!M1704,Forecasts!M1720,Forecasts!M1736,Forecasts!M1753,Forecasts!M1769,Forecasts!M1785,Forecasts!M1801,Forecasts!M1817,Forecasts!M1833,Forecasts!M1849)</x:f>
        <x:v>-1.125</x:v>
      </x:c>
      <x:c r="J290" s="8" t="n">
        <x:f>SQRT(AVERAGE(Forecasts!N1671,Forecasts!N1687,Forecasts!N1703,Forecasts!N1719,Forecasts!N1735,Forecasts!N1752,Forecasts!N1768,Forecasts!N1784,Forecasts!N1800,Forecasts!N1816,Forecasts!N1832,Forecasts!N1848))</x:f>
        <x:v>1.8027756377319946</x:v>
      </x:c>
      <x:c r="K290" s="8" t="n">
        <x:f>SQRT(AVERAGE(Forecasts!N1673,Forecasts!N1689,Forecasts!N1705,Forecasts!N1721,Forecasts!N1737,Forecasts!N1754,Forecasts!N1770,Forecasts!N1786,Forecasts!N1802,Forecasts!N1818,Forecasts!N1834,Forecasts!N1850))</x:f>
        <x:v>1.9418571345664217</x:v>
      </x:c>
    </x:row>
    <x:row r="291" ht="26" customHeight="1">
      <x:c r="A291" s="2"/>
      <x:c r="B291" s="2" t="str">
        <x:v>Fabric &amp; Home Care / organic_volume_growth</x:v>
      </x:c>
      <x:c r="C291" s="2" t="str">
        <x:v>Pre-earnings</x:v>
      </x:c>
      <x:c r="D291" s="2" t="str">
        <x:v>Four-quarter mean</x:v>
      </x:c>
      <x:c r="E291" s="2" t="str">
        <x:v>Recent eight</x:v>
      </x:c>
      <x:c r="F291" s="2" t="n">
        <x:v>8</x:v>
      </x:c>
      <x:c r="G291" s="8" t="n">
        <x:f>SQRT(AVERAGE(Forecasts!N1736,Forecasts!N1753,Forecasts!N1769,Forecasts!N1785,Forecasts!N1801,Forecasts!N1817,Forecasts!N1833,Forecasts!N1849))</x:f>
        <x:v>1.8853878911247945</x:v>
      </x:c>
      <x:c r="H291" s="8" t="n">
        <x:f>AVERAGE(Forecasts!O1736,Forecasts!O1753,Forecasts!O1769,Forecasts!O1785,Forecasts!O1801,Forecasts!O1817,Forecasts!O1833,Forecasts!O1849)</x:f>
        <x:v>1.53125</x:v>
      </x:c>
      <x:c r="I291" s="8" t="n">
        <x:f>AVERAGE(Forecasts!M1736,Forecasts!M1753,Forecasts!M1769,Forecasts!M1785,Forecasts!M1801,Forecasts!M1817,Forecasts!M1833,Forecasts!M1849)</x:f>
        <x:v>0.03125</x:v>
      </x:c>
      <x:c r="J291" s="8" t="n">
        <x:f>SQRT(AVERAGE(Forecasts!N1735,Forecasts!N1752,Forecasts!N1768,Forecasts!N1784,Forecasts!N1800,Forecasts!N1816,Forecasts!N1832,Forecasts!N1848))</x:f>
        <x:v>1.7677669529663689</x:v>
      </x:c>
      <x:c r="K291" s="8" t="n">
        <x:f>SQRT(AVERAGE(Forecasts!N1737,Forecasts!N1754,Forecasts!N1770,Forecasts!N1786,Forecasts!N1802,Forecasts!N1818,Forecasts!N1834,Forecasts!N1850))</x:f>
        <x:v>2.0373765267154704</x:v>
      </x:c>
    </x:row>
    <x:row r="292" ht="26" customHeight="1">
      <x:c r="A292" s="2"/>
      <x:c r="B292" s="2" t="str">
        <x:v>Fabric &amp; Home Care / organic_volume_growth</x:v>
      </x:c>
      <x:c r="C292" s="2" t="str">
        <x:v>Pre-earnings</x:v>
      </x:c>
      <x:c r="D292" s="2" t="str">
        <x:v>Half correction</x:v>
      </x:c>
      <x:c r="E292" s="2" t="str">
        <x:v>All available</x:v>
      </x:c>
      <x:c r="F292" s="2" t="n">
        <x:v>8</x:v>
      </x:c>
      <x:c r="G292" s="8" t="n">
        <x:f>SQRT(AVERAGE(Forecasts!N2817,Forecasts!N2823,Forecasts!N2829,Forecasts!N2835,Forecasts!N2841,Forecasts!N2847,Forecasts!N2853,Forecasts!N2859))</x:f>
        <x:v>1.9756781260167549</x:v>
      </x:c>
      <x:c r="H292" s="8" t="n">
        <x:f>AVERAGE(Forecasts!O2817,Forecasts!O2823,Forecasts!O2829,Forecasts!O2835,Forecasts!O2841,Forecasts!O2847,Forecasts!O2853,Forecasts!O2859)</x:f>
        <x:v>1.5817496895464864</x:v>
      </x:c>
      <x:c r="I292" s="8" t="n">
        <x:f>AVERAGE(Forecasts!M2817,Forecasts!M2823,Forecasts!M2829,Forecasts!M2835,Forecasts!M2841,Forecasts!M2847,Forecasts!M2853,Forecasts!M2859)</x:f>
        <x:v>-0.17411208309368692</x:v>
      </x:c>
      <x:c r="J292" s="8" t="n">
        <x:f>SQRT(AVERAGE(Forecasts!N1735,Forecasts!N1752,Forecasts!N1768,Forecasts!N1784,Forecasts!N1800,Forecasts!N1816,Forecasts!N1832,Forecasts!N1848))</x:f>
        <x:v>1.7677669529663689</x:v>
      </x:c>
      <x:c r="K292" s="8" t="n">
        <x:f>SQRT(AVERAGE(Forecasts!N1737,Forecasts!N1754,Forecasts!N1770,Forecasts!N1786,Forecasts!N1802,Forecasts!N1818,Forecasts!N1834,Forecasts!N1850))</x:f>
        <x:v>2.0373765267154704</x:v>
      </x:c>
    </x:row>
    <x:row r="293" ht="26" customHeight="1">
      <x:c r="A293" s="2"/>
      <x:c r="B293" s="2" t="str">
        <x:v>Fabric &amp; Home Care / organic_volume_growth</x:v>
      </x:c>
      <x:c r="C293" s="2" t="str">
        <x:v>Pre-earnings</x:v>
      </x:c>
      <x:c r="D293" s="2" t="str">
        <x:v>Half correction</x:v>
      </x:c>
      <x:c r="E293" s="2" t="str">
        <x:v>Recent eight</x:v>
      </x:c>
      <x:c r="F293" s="2" t="n">
        <x:v>8</x:v>
      </x:c>
      <x:c r="G293" s="8" t="n">
        <x:f>SQRT(AVERAGE(Forecasts!N2817,Forecasts!N2823,Forecasts!N2829,Forecasts!N2835,Forecasts!N2841,Forecasts!N2847,Forecasts!N2853,Forecasts!N2859))</x:f>
        <x:v>1.9756781260167549</x:v>
      </x:c>
      <x:c r="H293" s="8" t="n">
        <x:f>AVERAGE(Forecasts!O2817,Forecasts!O2823,Forecasts!O2829,Forecasts!O2835,Forecasts!O2841,Forecasts!O2847,Forecasts!O2853,Forecasts!O2859)</x:f>
        <x:v>1.5817496895464864</x:v>
      </x:c>
      <x:c r="I293" s="8" t="n">
        <x:f>AVERAGE(Forecasts!M2817,Forecasts!M2823,Forecasts!M2829,Forecasts!M2835,Forecasts!M2841,Forecasts!M2847,Forecasts!M2853,Forecasts!M2859)</x:f>
        <x:v>-0.17411208309368692</x:v>
      </x:c>
      <x:c r="J293" s="8" t="n">
        <x:f>SQRT(AVERAGE(Forecasts!N1735,Forecasts!N1752,Forecasts!N1768,Forecasts!N1784,Forecasts!N1800,Forecasts!N1816,Forecasts!N1832,Forecasts!N1848))</x:f>
        <x:v>1.7677669529663689</x:v>
      </x:c>
      <x:c r="K293" s="8" t="n">
        <x:f>SQRT(AVERAGE(Forecasts!N1737,Forecasts!N1754,Forecasts!N1770,Forecasts!N1786,Forecasts!N1802,Forecasts!N1818,Forecasts!N1834,Forecasts!N1850))</x:f>
        <x:v>2.0373765267154704</x:v>
      </x:c>
    </x:row>
    <x:row r="294" ht="26" customHeight="1">
      <x:c r="A294" s="2"/>
      <x:c r="B294" s="2" t="str">
        <x:v>Fabric &amp; Home Care / organic_volume_growth</x:v>
      </x:c>
      <x:c r="C294" s="2" t="str">
        <x:v>Pre-earnings</x:v>
      </x:c>
      <x:c r="D294" s="2" t="str">
        <x:v>Last actual</x:v>
      </x:c>
      <x:c r="E294" s="2" t="str">
        <x:v>All available</x:v>
      </x:c>
      <x:c r="F294" s="2" t="n">
        <x:v>12</x:v>
      </x:c>
      <x:c r="G294" s="8" t="n">
        <x:f>SQRT(AVERAGE(Forecasts!N1671,Forecasts!N1687,Forecasts!N1703,Forecasts!N1719,Forecasts!N1735,Forecasts!N1752,Forecasts!N1768,Forecasts!N1784,Forecasts!N1800,Forecasts!N1816,Forecasts!N1832,Forecasts!N1848))</x:f>
        <x:v>1.8027756377319946</x:v>
      </x:c>
      <x:c r="H294" s="8" t="n">
        <x:f>AVERAGE(Forecasts!O1671,Forecasts!O1687,Forecasts!O1703,Forecasts!O1719,Forecasts!O1735,Forecasts!O1752,Forecasts!O1768,Forecasts!O1784,Forecasts!O1800,Forecasts!O1816,Forecasts!O1832,Forecasts!O1848)</x:f>
        <x:v>1.5833333333333333</x:v>
      </x:c>
      <x:c r="I294" s="8" t="n">
        <x:f>AVERAGE(Forecasts!M1671,Forecasts!M1687,Forecasts!M1703,Forecasts!M1719,Forecasts!M1735,Forecasts!M1752,Forecasts!M1768,Forecasts!M1784,Forecasts!M1800,Forecasts!M1816,Forecasts!M1832,Forecasts!M1848)</x:f>
        <x:v>-0.5833333333333334</x:v>
      </x:c>
      <x:c r="J294" s="8" t="n">
        <x:f>SQRT(AVERAGE(Forecasts!N1671,Forecasts!N1687,Forecasts!N1703,Forecasts!N1719,Forecasts!N1735,Forecasts!N1752,Forecasts!N1768,Forecasts!N1784,Forecasts!N1800,Forecasts!N1816,Forecasts!N1832,Forecasts!N1848))</x:f>
        <x:v>1.8027756377319946</x:v>
      </x:c>
      <x:c r="K294" s="8" t="n">
        <x:f>SQRT(AVERAGE(Forecasts!N1673,Forecasts!N1689,Forecasts!N1705,Forecasts!N1721,Forecasts!N1737,Forecasts!N1754,Forecasts!N1770,Forecasts!N1786,Forecasts!N1802,Forecasts!N1818,Forecasts!N1834,Forecasts!N1850))</x:f>
        <x:v>1.9418571345664217</x:v>
      </x:c>
    </x:row>
    <x:row r="295" ht="26" customHeight="1">
      <x:c r="A295" s="2"/>
      <x:c r="B295" s="2" t="str">
        <x:v>Fabric &amp; Home Care / organic_volume_growth</x:v>
      </x:c>
      <x:c r="C295" s="2" t="str">
        <x:v>Pre-earnings</x:v>
      </x:c>
      <x:c r="D295" s="2" t="str">
        <x:v>Last actual</x:v>
      </x:c>
      <x:c r="E295" s="2" t="str">
        <x:v>Recent eight</x:v>
      </x:c>
      <x:c r="F295" s="2" t="n">
        <x:v>8</x:v>
      </x:c>
      <x:c r="G295" s="8" t="n">
        <x:f>SQRT(AVERAGE(Forecasts!N1735,Forecasts!N1752,Forecasts!N1768,Forecasts!N1784,Forecasts!N1800,Forecasts!N1816,Forecasts!N1832,Forecasts!N1848))</x:f>
        <x:v>1.7677669529663689</x:v>
      </x:c>
      <x:c r="H295" s="8" t="n">
        <x:f>AVERAGE(Forecasts!O1735,Forecasts!O1752,Forecasts!O1768,Forecasts!O1784,Forecasts!O1800,Forecasts!O1816,Forecasts!O1832,Forecasts!O1848)</x:f>
        <x:v>1.625</x:v>
      </x:c>
      <x:c r="I295" s="8" t="n">
        <x:f>AVERAGE(Forecasts!M1735,Forecasts!M1752,Forecasts!M1768,Forecasts!M1784,Forecasts!M1800,Forecasts!M1816,Forecasts!M1832,Forecasts!M1848)</x:f>
        <x:v>-0.125</x:v>
      </x:c>
      <x:c r="J295" s="8" t="n">
        <x:f>SQRT(AVERAGE(Forecasts!N1735,Forecasts!N1752,Forecasts!N1768,Forecasts!N1784,Forecasts!N1800,Forecasts!N1816,Forecasts!N1832,Forecasts!N1848))</x:f>
        <x:v>1.7677669529663689</x:v>
      </x:c>
      <x:c r="K295" s="8" t="n">
        <x:f>SQRT(AVERAGE(Forecasts!N1737,Forecasts!N1754,Forecasts!N1770,Forecasts!N1786,Forecasts!N1802,Forecasts!N1818,Forecasts!N1834,Forecasts!N1850))</x:f>
        <x:v>2.0373765267154704</x:v>
      </x:c>
    </x:row>
    <x:row r="296" ht="26" customHeight="1">
      <x:c r="A296" s="2"/>
      <x:c r="B296" s="2" t="str">
        <x:v>Fabric &amp; Home Care / organic_volume_growth</x:v>
      </x:c>
      <x:c r="C296" s="2" t="str">
        <x:v>Pre-earnings</x:v>
      </x:c>
      <x:c r="D296" s="2" t="str">
        <x:v>Own history</x:v>
      </x:c>
      <x:c r="E296" s="2" t="str">
        <x:v>All available</x:v>
      </x:c>
      <x:c r="F296" s="2" t="n">
        <x:v>12</x:v>
      </x:c>
      <x:c r="G296" s="8" t="n">
        <x:f>SQRT(AVERAGE(Forecasts!N1676,Forecasts!N1692,Forecasts!N1708,Forecasts!N1724,Forecasts!N1740,Forecasts!N1757,Forecasts!N1773,Forecasts!N1789,Forecasts!N1805,Forecasts!N1821,Forecasts!N1837,Forecasts!N1853))</x:f>
        <x:v>1.7123720740466968</x:v>
      </x:c>
      <x:c r="H296" s="8" t="n">
        <x:f>AVERAGE(Forecasts!O1676,Forecasts!O1692,Forecasts!O1708,Forecasts!O1724,Forecasts!O1740,Forecasts!O1757,Forecasts!O1773,Forecasts!O1789,Forecasts!O1805,Forecasts!O1821,Forecasts!O1837,Forecasts!O1853)</x:f>
        <x:v>1.545691879279089</x:v>
      </x:c>
      <x:c r="I296" s="8" t="n">
        <x:f>AVERAGE(Forecasts!M1676,Forecasts!M1692,Forecasts!M1708,Forecasts!M1724,Forecasts!M1740,Forecasts!M1757,Forecasts!M1773,Forecasts!M1789,Forecasts!M1805,Forecasts!M1821,Forecasts!M1837,Forecasts!M1853)</x:f>
        <x:v>-0.7948768632702993</x:v>
      </x:c>
      <x:c r="J296" s="8" t="n">
        <x:f>SQRT(AVERAGE(Forecasts!N1671,Forecasts!N1687,Forecasts!N1703,Forecasts!N1719,Forecasts!N1735,Forecasts!N1752,Forecasts!N1768,Forecasts!N1784,Forecasts!N1800,Forecasts!N1816,Forecasts!N1832,Forecasts!N1848))</x:f>
        <x:v>1.8027756377319946</x:v>
      </x:c>
      <x:c r="K296" s="8" t="n">
        <x:f>SQRT(AVERAGE(Forecasts!N1673,Forecasts!N1689,Forecasts!N1705,Forecasts!N1721,Forecasts!N1737,Forecasts!N1754,Forecasts!N1770,Forecasts!N1786,Forecasts!N1802,Forecasts!N1818,Forecasts!N1834,Forecasts!N1850))</x:f>
        <x:v>1.9418571345664217</x:v>
      </x:c>
    </x:row>
    <x:row r="297" ht="26" customHeight="1">
      <x:c r="A297" s="2"/>
      <x:c r="B297" s="2" t="str">
        <x:v>Fabric &amp; Home Care / organic_volume_growth</x:v>
      </x:c>
      <x:c r="C297" s="2" t="str">
        <x:v>Pre-earnings</x:v>
      </x:c>
      <x:c r="D297" s="2" t="str">
        <x:v>Own history</x:v>
      </x:c>
      <x:c r="E297" s="2" t="str">
        <x:v>Recent eight</x:v>
      </x:c>
      <x:c r="F297" s="2" t="n">
        <x:v>8</x:v>
      </x:c>
      <x:c r="G297" s="8" t="n">
        <x:f>SQRT(AVERAGE(Forecasts!N1740,Forecasts!N1757,Forecasts!N1773,Forecasts!N1789,Forecasts!N1805,Forecasts!N1821,Forecasts!N1837,Forecasts!N1853))</x:f>
        <x:v>1.6477848555804493</x:v>
      </x:c>
      <x:c r="H297" s="8" t="n">
        <x:f>AVERAGE(Forecasts!O1740,Forecasts!O1757,Forecasts!O1773,Forecasts!O1789,Forecasts!O1805,Forecasts!O1821,Forecasts!O1837,Forecasts!O1853)</x:f>
        <x:v>1.498529300182896</x:v>
      </x:c>
      <x:c r="I297" s="8" t="n">
        <x:f>AVERAGE(Forecasts!M1740,Forecasts!M1757,Forecasts!M1773,Forecasts!M1789,Forecasts!M1805,Forecasts!M1821,Forecasts!M1837,Forecasts!M1853)</x:f>
        <x:v>-0.37230677616971153</x:v>
      </x:c>
      <x:c r="J297" s="8" t="n">
        <x:f>SQRT(AVERAGE(Forecasts!N1735,Forecasts!N1752,Forecasts!N1768,Forecasts!N1784,Forecasts!N1800,Forecasts!N1816,Forecasts!N1832,Forecasts!N1848))</x:f>
        <x:v>1.7677669529663689</x:v>
      </x:c>
      <x:c r="K297" s="8" t="n">
        <x:f>SQRT(AVERAGE(Forecasts!N1737,Forecasts!N1754,Forecasts!N1770,Forecasts!N1786,Forecasts!N1802,Forecasts!N1818,Forecasts!N1834,Forecasts!N1850))</x:f>
        <x:v>2.0373765267154704</x:v>
      </x:c>
    </x:row>
    <x:row r="298" ht="26" customHeight="1">
      <x:c r="A298" s="2"/>
      <x:c r="B298" s="2" t="str">
        <x:v>Fabric &amp; Home Care / price_contribution</x:v>
      </x:c>
      <x:c r="C298" s="2" t="str">
        <x:v>Origin</x:v>
      </x:c>
      <x:c r="D298" s="2" t="str">
        <x:v>Bias correction</x:v>
      </x:c>
      <x:c r="E298" s="2" t="str">
        <x:v>All available</x:v>
      </x:c>
      <x:c r="F298" s="2" t="n">
        <x:v>7</x:v>
      </x:c>
      <x:c r="G298" s="8" t="n">
        <x:f>SQRT(AVERAGE(Forecasts!N2588,Forecasts!N2594,Forecasts!N2600,Forecasts!N2606,Forecasts!N2612,Forecasts!N2618,Forecasts!N2624))</x:f>
        <x:v>3.4650907117143914</x:v>
      </x:c>
      <x:c r="H298" s="8" t="n">
        <x:f>AVERAGE(Forecasts!O2588,Forecasts!O2594,Forecasts!O2600,Forecasts!O2606,Forecasts!O2612,Forecasts!O2618,Forecasts!O2624)</x:f>
        <x:v>2.9830302970521343</x:v>
      </x:c>
      <x:c r="I298" s="8" t="n">
        <x:f>AVERAGE(Forecasts!M2588,Forecasts!M2594,Forecasts!M2600,Forecasts!M2606,Forecasts!M2612,Forecasts!M2618,Forecasts!M2624)</x:f>
        <x:v>-2.949280914439598</x:v>
      </x:c>
      <x:c r="J298" s="8" t="n">
        <x:f>SQRT(AVERAGE(Forecasts!N769,Forecasts!N786,Forecasts!N803,Forecasts!N820,Forecasts!N837,Forecasts!N854,Forecasts!N871))</x:f>
        <x:v>1</x:v>
      </x:c>
      <x:c r="K298" s="8" t="n">
        <x:f>SQRT(AVERAGE(Forecasts!N771,Forecasts!N788,Forecasts!N805,Forecasts!N822,Forecasts!N839,Forecasts!N856,Forecasts!N873))</x:f>
        <x:v>2.215459809502425</x:v>
      </x:c>
    </x:row>
    <x:row r="299" ht="26" customHeight="1">
      <x:c r="A299" s="2"/>
      <x:c r="B299" s="2" t="str">
        <x:v>Fabric &amp; Home Care / price_contribution</x:v>
      </x:c>
      <x:c r="C299" s="2" t="str">
        <x:v>Origin</x:v>
      </x:c>
      <x:c r="D299" s="2" t="str">
        <x:v>Bias correction</x:v>
      </x:c>
      <x:c r="E299" s="2" t="str">
        <x:v>Recent eight</x:v>
      </x:c>
      <x:c r="F299" s="2" t="n">
        <x:v>7</x:v>
      </x:c>
      <x:c r="G299" s="8" t="n">
        <x:f>SQRT(AVERAGE(Forecasts!N2588,Forecasts!N2594,Forecasts!N2600,Forecasts!N2606,Forecasts!N2612,Forecasts!N2618,Forecasts!N2624))</x:f>
        <x:v>3.4650907117143914</x:v>
      </x:c>
      <x:c r="H299" s="8" t="n">
        <x:f>AVERAGE(Forecasts!O2588,Forecasts!O2594,Forecasts!O2600,Forecasts!O2606,Forecasts!O2612,Forecasts!O2618,Forecasts!O2624)</x:f>
        <x:v>2.9830302970521343</x:v>
      </x:c>
      <x:c r="I299" s="8" t="n">
        <x:f>AVERAGE(Forecasts!M2588,Forecasts!M2594,Forecasts!M2600,Forecasts!M2606,Forecasts!M2612,Forecasts!M2618,Forecasts!M2624)</x:f>
        <x:v>-2.949280914439598</x:v>
      </x:c>
      <x:c r="J299" s="8" t="n">
        <x:f>SQRT(AVERAGE(Forecasts!N769,Forecasts!N786,Forecasts!N803,Forecasts!N820,Forecasts!N837,Forecasts!N854,Forecasts!N871))</x:f>
        <x:v>1</x:v>
      </x:c>
      <x:c r="K299" s="8" t="n">
        <x:f>SQRT(AVERAGE(Forecasts!N771,Forecasts!N788,Forecasts!N805,Forecasts!N822,Forecasts!N839,Forecasts!N856,Forecasts!N873))</x:f>
        <x:v>2.215459809502425</x:v>
      </x:c>
    </x:row>
    <x:row r="300" ht="26" customHeight="1">
      <x:c r="A300" s="2"/>
      <x:c r="B300" s="2" t="str">
        <x:v>Fabric &amp; Home Care / price_contribution</x:v>
      </x:c>
      <x:c r="C300" s="2" t="str">
        <x:v>Origin</x:v>
      </x:c>
      <x:c r="D300" s="2" t="str">
        <x:v>Broad market</x:v>
      </x:c>
      <x:c r="E300" s="2" t="str">
        <x:v>All available</x:v>
      </x:c>
      <x:c r="F300" s="2" t="n">
        <x:v>12</x:v>
      </x:c>
      <x:c r="G300" s="8" t="n">
        <x:f>SQRT(AVERAGE(Forecasts!N688,Forecasts!N704,Forecasts!N720,Forecasts!N737,Forecasts!N754,Forecasts!N771,Forecasts!N788,Forecasts!N805,Forecasts!N822,Forecasts!N839,Forecasts!N856,Forecasts!N873))</x:f>
        <x:v>4.677005746645978</x:v>
      </x:c>
      <x:c r="H300" s="8" t="n">
        <x:f>AVERAGE(Forecasts!O688,Forecasts!O704,Forecasts!O720,Forecasts!O737,Forecasts!O754,Forecasts!O771,Forecasts!O788,Forecasts!O805,Forecasts!O822,Forecasts!O839,Forecasts!O856,Forecasts!O873)</x:f>
        <x:v>3.7509719036620335</x:v>
      </x:c>
      <x:c r="I300" s="8" t="n">
        <x:f>AVERAGE(Forecasts!M688,Forecasts!M704,Forecasts!M720,Forecasts!M737,Forecasts!M754,Forecasts!M771,Forecasts!M788,Forecasts!M805,Forecasts!M822,Forecasts!M839,Forecasts!M856,Forecasts!M873)</x:f>
        <x:v>3.7509719036620335</x:v>
      </x:c>
      <x:c r="J300" s="8" t="n">
        <x:f>SQRT(AVERAGE(Forecasts!N686,Forecasts!N702,Forecasts!N718,Forecasts!N735,Forecasts!N752,Forecasts!N769,Forecasts!N786,Forecasts!N803,Forecasts!N820,Forecasts!N837,Forecasts!N854,Forecasts!N871))</x:f>
        <x:v>3.488074922742725</x:v>
      </x:c>
      <x:c r="K300" s="8" t="n">
        <x:f>SQRT(AVERAGE(Forecasts!N688,Forecasts!N704,Forecasts!N720,Forecasts!N737,Forecasts!N754,Forecasts!N771,Forecasts!N788,Forecasts!N805,Forecasts!N822,Forecasts!N839,Forecasts!N856,Forecasts!N873))</x:f>
        <x:v>4.677005746645978</x:v>
      </x:c>
    </x:row>
    <x:row r="301" ht="26" customHeight="1">
      <x:c r="A301" s="2"/>
      <x:c r="B301" s="2" t="str">
        <x:v>Fabric &amp; Home Care / price_contribution</x:v>
      </x:c>
      <x:c r="C301" s="2" t="str">
        <x:v>Origin</x:v>
      </x:c>
      <x:c r="D301" s="2" t="str">
        <x:v>Broad market</x:v>
      </x:c>
      <x:c r="E301" s="2" t="str">
        <x:v>Recent eight</x:v>
      </x:c>
      <x:c r="F301" s="2" t="n">
        <x:v>8</x:v>
      </x:c>
      <x:c r="G301" s="8" t="n">
        <x:f>SQRT(AVERAGE(Forecasts!N754,Forecasts!N771,Forecasts!N788,Forecasts!N805,Forecasts!N822,Forecasts!N839,Forecasts!N856,Forecasts!N873))</x:f>
        <x:v>3.4131752647190345</x:v>
      </x:c>
      <x:c r="H301" s="8" t="n">
        <x:f>AVERAGE(Forecasts!O754,Forecasts!O771,Forecasts!O788,Forecasts!O805,Forecasts!O822,Forecasts!O839,Forecasts!O856,Forecasts!O873)</x:f>
        <x:v>2.4005352612899484</x:v>
      </x:c>
      <x:c r="I301" s="8" t="n">
        <x:f>AVERAGE(Forecasts!M754,Forecasts!M771,Forecasts!M788,Forecasts!M805,Forecasts!M822,Forecasts!M839,Forecasts!M856,Forecasts!M873)</x:f>
        <x:v>2.4005352612899484</x:v>
      </x:c>
      <x:c r="J301" s="8" t="n">
        <x:f>SQRT(AVERAGE(Forecasts!N752,Forecasts!N769,Forecasts!N786,Forecasts!N803,Forecasts!N820,Forecasts!N837,Forecasts!N854,Forecasts!N871))</x:f>
        <x:v>2</x:v>
      </x:c>
      <x:c r="K301" s="8" t="n">
        <x:f>SQRT(AVERAGE(Forecasts!N754,Forecasts!N771,Forecasts!N788,Forecasts!N805,Forecasts!N822,Forecasts!N839,Forecasts!N856,Forecasts!N873))</x:f>
        <x:v>3.4131752647190345</x:v>
      </x:c>
    </x:row>
    <x:row r="302" ht="26" customHeight="1">
      <x:c r="A302" s="2"/>
      <x:c r="B302" s="2" t="str">
        <x:v>Fabric &amp; Home Care / price_contribution</x:v>
      </x:c>
      <x:c r="C302" s="2" t="str">
        <x:v>Origin</x:v>
      </x:c>
      <x:c r="D302" s="2" t="str">
        <x:v>Broad rolling 8</x:v>
      </x:c>
      <x:c r="E302" s="2" t="str">
        <x:v>All available</x:v>
      </x:c>
      <x:c r="F302" s="2" t="n">
        <x:v>12</x:v>
      </x:c>
      <x:c r="G302" s="8" t="n">
        <x:f>SQRT(AVERAGE(Forecasts!N689,Forecasts!N705,Forecasts!N721,Forecasts!N738,Forecasts!N755,Forecasts!N772,Forecasts!N789,Forecasts!N806,Forecasts!N823,Forecasts!N840,Forecasts!N857,Forecasts!N874))</x:f>
        <x:v>4.938317392286693</x:v>
      </x:c>
      <x:c r="H302" s="8" t="n">
        <x:f>AVERAGE(Forecasts!O689,Forecasts!O705,Forecasts!O721,Forecasts!O738,Forecasts!O755,Forecasts!O772,Forecasts!O789,Forecasts!O806,Forecasts!O823,Forecasts!O840,Forecasts!O857,Forecasts!O874)</x:f>
        <x:v>4.180689779620652</x:v>
      </x:c>
      <x:c r="I302" s="8" t="n">
        <x:f>AVERAGE(Forecasts!M689,Forecasts!M705,Forecasts!M721,Forecasts!M738,Forecasts!M755,Forecasts!M772,Forecasts!M789,Forecasts!M806,Forecasts!M823,Forecasts!M840,Forecasts!M857,Forecasts!M874)</x:f>
        <x:v>2.3397780648079256</x:v>
      </x:c>
      <x:c r="J302" s="8" t="n">
        <x:f>SQRT(AVERAGE(Forecasts!N686,Forecasts!N702,Forecasts!N718,Forecasts!N735,Forecasts!N752,Forecasts!N769,Forecasts!N786,Forecasts!N803,Forecasts!N820,Forecasts!N837,Forecasts!N854,Forecasts!N871))</x:f>
        <x:v>3.488074922742725</x:v>
      </x:c>
      <x:c r="K302" s="8" t="n">
        <x:f>SQRT(AVERAGE(Forecasts!N688,Forecasts!N704,Forecasts!N720,Forecasts!N737,Forecasts!N754,Forecasts!N771,Forecasts!N788,Forecasts!N805,Forecasts!N822,Forecasts!N839,Forecasts!N856,Forecasts!N873))</x:f>
        <x:v>4.677005746645978</x:v>
      </x:c>
    </x:row>
    <x:row r="303" ht="26" customHeight="1">
      <x:c r="A303" s="2"/>
      <x:c r="B303" s="2" t="str">
        <x:v>Fabric &amp; Home Care / price_contribution</x:v>
      </x:c>
      <x:c r="C303" s="2" t="str">
        <x:v>Origin</x:v>
      </x:c>
      <x:c r="D303" s="2" t="str">
        <x:v>Broad rolling 8</x:v>
      </x:c>
      <x:c r="E303" s="2" t="str">
        <x:v>Recent eight</x:v>
      </x:c>
      <x:c r="F303" s="2" t="n">
        <x:v>8</x:v>
      </x:c>
      <x:c r="G303" s="8" t="n">
        <x:f>SQRT(AVERAGE(Forecasts!N755,Forecasts!N772,Forecasts!N789,Forecasts!N806,Forecasts!N823,Forecasts!N840,Forecasts!N857,Forecasts!N874))</x:f>
        <x:v>3.869873608029825</x:v>
      </x:c>
      <x:c r="H303" s="8" t="n">
        <x:f>AVERAGE(Forecasts!O755,Forecasts!O772,Forecasts!O789,Forecasts!O806,Forecasts!O823,Forecasts!O840,Forecasts!O857,Forecasts!O874)</x:f>
        <x:v>3.0116842170588165</x:v>
      </x:c>
      <x:c r="I303" s="8" t="n">
        <x:f>AVERAGE(Forecasts!M755,Forecasts!M772,Forecasts!M789,Forecasts!M806,Forecasts!M823,Forecasts!M840,Forecasts!M857,Forecasts!M874)</x:f>
        <x:v>0.2503166448397265</x:v>
      </x:c>
      <x:c r="J303" s="8" t="n">
        <x:f>SQRT(AVERAGE(Forecasts!N752,Forecasts!N769,Forecasts!N786,Forecasts!N803,Forecasts!N820,Forecasts!N837,Forecasts!N854,Forecasts!N871))</x:f>
        <x:v>2</x:v>
      </x:c>
      <x:c r="K303" s="8" t="n">
        <x:f>SQRT(AVERAGE(Forecasts!N754,Forecasts!N771,Forecasts!N788,Forecasts!N805,Forecasts!N822,Forecasts!N839,Forecasts!N856,Forecasts!N873))</x:f>
        <x:v>3.4131752647190345</x:v>
      </x:c>
    </x:row>
    <x:row r="304" ht="26" customHeight="1">
      <x:c r="A304" s="2"/>
      <x:c r="B304" s="2" t="str">
        <x:v>Fabric &amp; Home Care / price_contribution</x:v>
      </x:c>
      <x:c r="C304" s="2" t="str">
        <x:v>Origin</x:v>
      </x:c>
      <x:c r="D304" s="2" t="str">
        <x:v>Four-quarter mean</x:v>
      </x:c>
      <x:c r="E304" s="2" t="str">
        <x:v>All available</x:v>
      </x:c>
      <x:c r="F304" s="2" t="n">
        <x:v>12</x:v>
      </x:c>
      <x:c r="G304" s="8" t="n">
        <x:f>SQRT(AVERAGE(Forecasts!N687,Forecasts!N703,Forecasts!N719,Forecasts!N736,Forecasts!N753,Forecasts!N770,Forecasts!N787,Forecasts!N804,Forecasts!N821,Forecasts!N838,Forecasts!N855,Forecasts!N872))</x:f>
        <x:v>4.6035538807896375</x:v>
      </x:c>
      <x:c r="H304" s="8" t="n">
        <x:f>AVERAGE(Forecasts!O687,Forecasts!O703,Forecasts!O719,Forecasts!O736,Forecasts!O753,Forecasts!O770,Forecasts!O787,Forecasts!O804,Forecasts!O821,Forecasts!O838,Forecasts!O855,Forecasts!O872)</x:f>
        <x:v>3.6458333333333335</x:v>
      </x:c>
      <x:c r="I304" s="8" t="n">
        <x:f>AVERAGE(Forecasts!M687,Forecasts!M703,Forecasts!M719,Forecasts!M736,Forecasts!M753,Forecasts!M770,Forecasts!M787,Forecasts!M804,Forecasts!M821,Forecasts!M838,Forecasts!M855,Forecasts!M872)</x:f>
        <x:v>3.1041666666666665</x:v>
      </x:c>
      <x:c r="J304" s="8" t="n">
        <x:f>SQRT(AVERAGE(Forecasts!N686,Forecasts!N702,Forecasts!N718,Forecasts!N735,Forecasts!N752,Forecasts!N769,Forecasts!N786,Forecasts!N803,Forecasts!N820,Forecasts!N837,Forecasts!N854,Forecasts!N871))</x:f>
        <x:v>3.488074922742725</x:v>
      </x:c>
      <x:c r="K304" s="8" t="n">
        <x:f>SQRT(AVERAGE(Forecasts!N688,Forecasts!N704,Forecasts!N720,Forecasts!N737,Forecasts!N754,Forecasts!N771,Forecasts!N788,Forecasts!N805,Forecasts!N822,Forecasts!N839,Forecasts!N856,Forecasts!N873))</x:f>
        <x:v>4.677005746645978</x:v>
      </x:c>
    </x:row>
    <x:row r="305" ht="26" customHeight="1">
      <x:c r="A305" s="2"/>
      <x:c r="B305" s="2" t="str">
        <x:v>Fabric &amp; Home Care / price_contribution</x:v>
      </x:c>
      <x:c r="C305" s="2" t="str">
        <x:v>Origin</x:v>
      </x:c>
      <x:c r="D305" s="2" t="str">
        <x:v>Four-quarter mean</x:v>
      </x:c>
      <x:c r="E305" s="2" t="str">
        <x:v>Recent eight</x:v>
      </x:c>
      <x:c r="F305" s="2" t="n">
        <x:v>8</x:v>
      </x:c>
      <x:c r="G305" s="8" t="n">
        <x:f>SQRT(AVERAGE(Forecasts!N753,Forecasts!N770,Forecasts!N787,Forecasts!N804,Forecasts!N821,Forecasts!N838,Forecasts!N855,Forecasts!N872))</x:f>
        <x:v>3.818131087325316</x:v>
      </x:c>
      <x:c r="H305" s="8" t="n">
        <x:f>AVERAGE(Forecasts!O753,Forecasts!O770,Forecasts!O787,Forecasts!O804,Forecasts!O821,Forecasts!O838,Forecasts!O855,Forecasts!O872)</x:f>
        <x:v>2.6875</x:v>
      </x:c>
      <x:c r="I305" s="8" t="n">
        <x:f>AVERAGE(Forecasts!M753,Forecasts!M770,Forecasts!M787,Forecasts!M804,Forecasts!M821,Forecasts!M838,Forecasts!M855,Forecasts!M872)</x:f>
        <x:v>1.875</x:v>
      </x:c>
      <x:c r="J305" s="8" t="n">
        <x:f>SQRT(AVERAGE(Forecasts!N752,Forecasts!N769,Forecasts!N786,Forecasts!N803,Forecasts!N820,Forecasts!N837,Forecasts!N854,Forecasts!N871))</x:f>
        <x:v>2</x:v>
      </x:c>
      <x:c r="K305" s="8" t="n">
        <x:f>SQRT(AVERAGE(Forecasts!N754,Forecasts!N771,Forecasts!N788,Forecasts!N805,Forecasts!N822,Forecasts!N839,Forecasts!N856,Forecasts!N873))</x:f>
        <x:v>3.4131752647190345</x:v>
      </x:c>
    </x:row>
    <x:row r="306" ht="26" customHeight="1">
      <x:c r="A306" s="2"/>
      <x:c r="B306" s="2" t="str">
        <x:v>Fabric &amp; Home Care / price_contribution</x:v>
      </x:c>
      <x:c r="C306" s="2" t="str">
        <x:v>Origin</x:v>
      </x:c>
      <x:c r="D306" s="2" t="str">
        <x:v>Half correction</x:v>
      </x:c>
      <x:c r="E306" s="2" t="str">
        <x:v>All available</x:v>
      </x:c>
      <x:c r="F306" s="2" t="n">
        <x:v>7</x:v>
      </x:c>
      <x:c r="G306" s="8" t="n">
        <x:f>SQRT(AVERAGE(Forecasts!N2589,Forecasts!N2595,Forecasts!N2601,Forecasts!N2607,Forecasts!N2613,Forecasts!N2619,Forecasts!N2625))</x:f>
        <x:v>1.4732575356186195</x:v>
      </x:c>
      <x:c r="H306" s="8" t="n">
        <x:f>AVERAGE(Forecasts!O2589,Forecasts!O2595,Forecasts!O2601,Forecasts!O2607,Forecasts!O2613,Forecasts!O2619,Forecasts!O2625)</x:f>
        <x:v>1.3365091785734946</x:v>
      </x:c>
      <x:c r="I306" s="8" t="n">
        <x:f>AVERAGE(Forecasts!M2589,Forecasts!M2595,Forecasts!M2601,Forecasts!M2607,Forecasts!M2613,Forecasts!M2619,Forecasts!M2625)</x:f>
        <x:v>-0.6508161887913927</x:v>
      </x:c>
      <x:c r="J306" s="8" t="n">
        <x:f>SQRT(AVERAGE(Forecasts!N769,Forecasts!N786,Forecasts!N803,Forecasts!N820,Forecasts!N837,Forecasts!N854,Forecasts!N871))</x:f>
        <x:v>1</x:v>
      </x:c>
      <x:c r="K306" s="8" t="n">
        <x:f>SQRT(AVERAGE(Forecasts!N771,Forecasts!N788,Forecasts!N805,Forecasts!N822,Forecasts!N839,Forecasts!N856,Forecasts!N873))</x:f>
        <x:v>2.215459809502425</x:v>
      </x:c>
    </x:row>
    <x:row r="307" ht="26" customHeight="1">
      <x:c r="A307" s="2"/>
      <x:c r="B307" s="2" t="str">
        <x:v>Fabric &amp; Home Care / price_contribution</x:v>
      </x:c>
      <x:c r="C307" s="2" t="str">
        <x:v>Origin</x:v>
      </x:c>
      <x:c r="D307" s="2" t="str">
        <x:v>Half correction</x:v>
      </x:c>
      <x:c r="E307" s="2" t="str">
        <x:v>Recent eight</x:v>
      </x:c>
      <x:c r="F307" s="2" t="n">
        <x:v>7</x:v>
      </x:c>
      <x:c r="G307" s="8" t="n">
        <x:f>SQRT(AVERAGE(Forecasts!N2589,Forecasts!N2595,Forecasts!N2601,Forecasts!N2607,Forecasts!N2613,Forecasts!N2619,Forecasts!N2625))</x:f>
        <x:v>1.4732575356186195</x:v>
      </x:c>
      <x:c r="H307" s="8" t="n">
        <x:f>AVERAGE(Forecasts!O2589,Forecasts!O2595,Forecasts!O2601,Forecasts!O2607,Forecasts!O2613,Forecasts!O2619,Forecasts!O2625)</x:f>
        <x:v>1.3365091785734946</x:v>
      </x:c>
      <x:c r="I307" s="8" t="n">
        <x:f>AVERAGE(Forecasts!M2589,Forecasts!M2595,Forecasts!M2601,Forecasts!M2607,Forecasts!M2613,Forecasts!M2619,Forecasts!M2625)</x:f>
        <x:v>-0.6508161887913927</x:v>
      </x:c>
      <x:c r="J307" s="8" t="n">
        <x:f>SQRT(AVERAGE(Forecasts!N769,Forecasts!N786,Forecasts!N803,Forecasts!N820,Forecasts!N837,Forecasts!N854,Forecasts!N871))</x:f>
        <x:v>1</x:v>
      </x:c>
      <x:c r="K307" s="8" t="n">
        <x:f>SQRT(AVERAGE(Forecasts!N771,Forecasts!N788,Forecasts!N805,Forecasts!N822,Forecasts!N839,Forecasts!N856,Forecasts!N873))</x:f>
        <x:v>2.215459809502425</x:v>
      </x:c>
    </x:row>
    <x:row r="308" ht="26" customHeight="1">
      <x:c r="A308" s="2"/>
      <x:c r="B308" s="2" t="str">
        <x:v>Fabric &amp; Home Care / price_contribution</x:v>
      </x:c>
      <x:c r="C308" s="2" t="str">
        <x:v>Origin</x:v>
      </x:c>
      <x:c r="D308" s="2" t="str">
        <x:v>Last actual</x:v>
      </x:c>
      <x:c r="E308" s="2" t="str">
        <x:v>All available</x:v>
      </x:c>
      <x:c r="F308" s="2" t="n">
        <x:v>12</x:v>
      </x:c>
      <x:c r="G308" s="8" t="n">
        <x:f>SQRT(AVERAGE(Forecasts!N686,Forecasts!N702,Forecasts!N718,Forecasts!N735,Forecasts!N752,Forecasts!N769,Forecasts!N786,Forecasts!N803,Forecasts!N820,Forecasts!N837,Forecasts!N854,Forecasts!N871))</x:f>
        <x:v>3.488074922742725</x:v>
      </x:c>
      <x:c r="H308" s="8" t="n">
        <x:f>AVERAGE(Forecasts!O686,Forecasts!O702,Forecasts!O718,Forecasts!O735,Forecasts!O752,Forecasts!O769,Forecasts!O786,Forecasts!O803,Forecasts!O820,Forecasts!O837,Forecasts!O854,Forecasts!O871)</x:f>
        <x:v>2.5</x:v>
      </x:c>
      <x:c r="I308" s="8" t="n">
        <x:f>AVERAGE(Forecasts!M686,Forecasts!M702,Forecasts!M718,Forecasts!M735,Forecasts!M752,Forecasts!M769,Forecasts!M786,Forecasts!M803,Forecasts!M820,Forecasts!M837,Forecasts!M854,Forecasts!M871)</x:f>
        <x:v>2</x:v>
      </x:c>
      <x:c r="J308" s="8" t="n">
        <x:f>SQRT(AVERAGE(Forecasts!N686,Forecasts!N702,Forecasts!N718,Forecasts!N735,Forecasts!N752,Forecasts!N769,Forecasts!N786,Forecasts!N803,Forecasts!N820,Forecasts!N837,Forecasts!N854,Forecasts!N871))</x:f>
        <x:v>3.488074922742725</x:v>
      </x:c>
      <x:c r="K308" s="8" t="n">
        <x:f>SQRT(AVERAGE(Forecasts!N688,Forecasts!N704,Forecasts!N720,Forecasts!N737,Forecasts!N754,Forecasts!N771,Forecasts!N788,Forecasts!N805,Forecasts!N822,Forecasts!N839,Forecasts!N856,Forecasts!N873))</x:f>
        <x:v>4.677005746645978</x:v>
      </x:c>
    </x:row>
    <x:row r="309" ht="26" customHeight="1">
      <x:c r="A309" s="2"/>
      <x:c r="B309" s="2" t="str">
        <x:v>Fabric &amp; Home Care / price_contribution</x:v>
      </x:c>
      <x:c r="C309" s="2" t="str">
        <x:v>Origin</x:v>
      </x:c>
      <x:c r="D309" s="2" t="str">
        <x:v>Last actual</x:v>
      </x:c>
      <x:c r="E309" s="2" t="str">
        <x:v>Recent eight</x:v>
      </x:c>
      <x:c r="F309" s="2" t="n">
        <x:v>8</x:v>
      </x:c>
      <x:c r="G309" s="8" t="n">
        <x:f>SQRT(AVERAGE(Forecasts!N752,Forecasts!N769,Forecasts!N786,Forecasts!N803,Forecasts!N820,Forecasts!N837,Forecasts!N854,Forecasts!N871))</x:f>
        <x:v>2</x:v>
      </x:c>
      <x:c r="H309" s="8" t="n">
        <x:f>AVERAGE(Forecasts!O752,Forecasts!O769,Forecasts!O786,Forecasts!O803,Forecasts!O820,Forecasts!O837,Forecasts!O854,Forecasts!O871)</x:f>
        <x:v>1.25</x:v>
      </x:c>
      <x:c r="I309" s="8" t="n">
        <x:f>AVERAGE(Forecasts!M752,Forecasts!M769,Forecasts!M786,Forecasts!M803,Forecasts!M820,Forecasts!M837,Forecasts!M854,Forecasts!M871)</x:f>
        <x:v>0.5</x:v>
      </x:c>
      <x:c r="J309" s="8" t="n">
        <x:f>SQRT(AVERAGE(Forecasts!N752,Forecasts!N769,Forecasts!N786,Forecasts!N803,Forecasts!N820,Forecasts!N837,Forecasts!N854,Forecasts!N871))</x:f>
        <x:v>2</x:v>
      </x:c>
      <x:c r="K309" s="8" t="n">
        <x:f>SQRT(AVERAGE(Forecasts!N754,Forecasts!N771,Forecasts!N788,Forecasts!N805,Forecasts!N822,Forecasts!N839,Forecasts!N856,Forecasts!N873))</x:f>
        <x:v>3.4131752647190345</x:v>
      </x:c>
    </x:row>
    <x:row r="310" ht="26" customHeight="1">
      <x:c r="A310" s="2"/>
      <x:c r="B310" s="2" t="str">
        <x:v>Fabric &amp; Home Care / price_contribution</x:v>
      </x:c>
      <x:c r="C310" s="2" t="str">
        <x:v>Origin</x:v>
      </x:c>
      <x:c r="D310" s="2" t="str">
        <x:v>Own history</x:v>
      </x:c>
      <x:c r="E310" s="2" t="str">
        <x:v>All available</x:v>
      </x:c>
      <x:c r="F310" s="2" t="n">
        <x:v>10</x:v>
      </x:c>
      <x:c r="G310" s="8" t="n">
        <x:f>SQRT(AVERAGE(Forecasts!N722,Forecasts!N739,Forecasts!N756,Forecasts!N773,Forecasts!N790,Forecasts!N807,Forecasts!N824,Forecasts!N841,Forecasts!N858,Forecasts!N875))</x:f>
        <x:v>3.991140380445524</x:v>
      </x:c>
      <x:c r="H310" s="8" t="n">
        <x:f>AVERAGE(Forecasts!O722,Forecasts!O739,Forecasts!O756,Forecasts!O773,Forecasts!O790,Forecasts!O807,Forecasts!O824,Forecasts!O841,Forecasts!O858,Forecasts!O875)</x:f>
        <x:v>3.3262925511030574</x:v>
      </x:c>
      <x:c r="I310" s="8" t="n">
        <x:f>AVERAGE(Forecasts!M722,Forecasts!M739,Forecasts!M756,Forecasts!M773,Forecasts!M790,Forecasts!M807,Forecasts!M824,Forecasts!M841,Forecasts!M858,Forecasts!M875)</x:f>
        <x:v>3.3262925511030574</x:v>
      </x:c>
      <x:c r="J310" s="8" t="n">
        <x:f>SQRT(AVERAGE(Forecasts!N718,Forecasts!N735,Forecasts!N752,Forecasts!N769,Forecasts!N786,Forecasts!N803,Forecasts!N820,Forecasts!N837,Forecasts!N854,Forecasts!N871))</x:f>
        <x:v>2.6832815729997477</x:v>
      </x:c>
      <x:c r="K310" s="8" t="n">
        <x:f>SQRT(AVERAGE(Forecasts!N720,Forecasts!N737,Forecasts!N754,Forecasts!N771,Forecasts!N788,Forecasts!N805,Forecasts!N822,Forecasts!N839,Forecasts!N856,Forecasts!N873))</x:f>
        <x:v>4.197641560960088</x:v>
      </x:c>
    </x:row>
    <x:row r="311" ht="26" customHeight="1">
      <x:c r="A311" s="2"/>
      <x:c r="B311" s="2" t="str">
        <x:v>Fabric &amp; Home Care / price_contribution</x:v>
      </x:c>
      <x:c r="C311" s="2" t="str">
        <x:v>Origin</x:v>
      </x:c>
      <x:c r="D311" s="2" t="str">
        <x:v>Own history</x:v>
      </x:c>
      <x:c r="E311" s="2" t="str">
        <x:v>Recent eight</x:v>
      </x:c>
      <x:c r="F311" s="2" t="n">
        <x:v>8</x:v>
      </x:c>
      <x:c r="G311" s="8" t="n">
        <x:f>SQRT(AVERAGE(Forecasts!N756,Forecasts!N773,Forecasts!N790,Forecasts!N807,Forecasts!N824,Forecasts!N841,Forecasts!N858,Forecasts!N875))</x:f>
        <x:v>3.5776317990136293</x:v>
      </x:c>
      <x:c r="H311" s="8" t="n">
        <x:f>AVERAGE(Forecasts!O756,Forecasts!O773,Forecasts!O790,Forecasts!O807,Forecasts!O824,Forecasts!O841,Forecasts!O858,Forecasts!O875)</x:f>
        <x:v>2.861015581042733</x:v>
      </x:c>
      <x:c r="I311" s="8" t="n">
        <x:f>AVERAGE(Forecasts!M756,Forecasts!M773,Forecasts!M790,Forecasts!M807,Forecasts!M824,Forecasts!M841,Forecasts!M858,Forecasts!M875)</x:f>
        <x:v>2.861015581042733</x:v>
      </x:c>
      <x:c r="J311" s="8" t="n">
        <x:f>SQRT(AVERAGE(Forecasts!N752,Forecasts!N769,Forecasts!N786,Forecasts!N803,Forecasts!N820,Forecasts!N837,Forecasts!N854,Forecasts!N871))</x:f>
        <x:v>2</x:v>
      </x:c>
      <x:c r="K311" s="8" t="n">
        <x:f>SQRT(AVERAGE(Forecasts!N754,Forecasts!N771,Forecasts!N788,Forecasts!N805,Forecasts!N822,Forecasts!N839,Forecasts!N856,Forecasts!N873))</x:f>
        <x:v>3.4131752647190345</x:v>
      </x:c>
    </x:row>
    <x:row r="312" ht="26" customHeight="1">
      <x:c r="A312" s="2"/>
      <x:c r="B312" s="2" t="str">
        <x:v>Fabric &amp; Home Care / price_contribution</x:v>
      </x:c>
      <x:c r="C312" s="2" t="str">
        <x:v>Prior report</x:v>
      </x:c>
      <x:c r="D312" s="2" t="str">
        <x:v>Bias correction</x:v>
      </x:c>
      <x:c r="E312" s="2" t="str">
        <x:v>All available</x:v>
      </x:c>
      <x:c r="F312" s="2" t="n">
        <x:v>8</x:v>
      </x:c>
      <x:c r="G312" s="8" t="n">
        <x:f>SQRT(AVERAGE(Forecasts!N2584,Forecasts!N2590,Forecasts!N2596,Forecasts!N2602,Forecasts!N2608,Forecasts!N2614,Forecasts!N2620,Forecasts!N2626))</x:f>
        <x:v>2.3438513134789454</x:v>
      </x:c>
      <x:c r="H312" s="8" t="n">
        <x:f>AVERAGE(Forecasts!O2584,Forecasts!O2590,Forecasts!O2596,Forecasts!O2602,Forecasts!O2608,Forecasts!O2614,Forecasts!O2620,Forecasts!O2626)</x:f>
        <x:v>2.0029103647113513</x:v>
      </x:c>
      <x:c r="I312" s="8" t="n">
        <x:f>AVERAGE(Forecasts!M2584,Forecasts!M2590,Forecasts!M2596,Forecasts!M2602,Forecasts!M2608,Forecasts!M2614,Forecasts!M2620,Forecasts!M2626)</x:f>
        <x:v>-1.3054431484056859</x:v>
      </x:c>
      <x:c r="J312" s="8" t="n">
        <x:f>SQRT(AVERAGE(Forecasts!N757,Forecasts!N774,Forecasts!N791,Forecasts!N808,Forecasts!N825,Forecasts!N842,Forecasts!N859,Forecasts!N876))</x:f>
        <x:v>1.1726039399558574</x:v>
      </x:c>
      <x:c r="K312" s="8" t="n">
        <x:f>SQRT(AVERAGE(Forecasts!N759,Forecasts!N776,Forecasts!N793,Forecasts!N810,Forecasts!N827,Forecasts!N844,Forecasts!N861,Forecasts!N878))</x:f>
        <x:v>3.0642454445800382</x:v>
      </x:c>
    </x:row>
    <x:row r="313" ht="26" customHeight="1">
      <x:c r="A313" s="2"/>
      <x:c r="B313" s="2" t="str">
        <x:v>Fabric &amp; Home Care / price_contribution</x:v>
      </x:c>
      <x:c r="C313" s="2" t="str">
        <x:v>Prior report</x:v>
      </x:c>
      <x:c r="D313" s="2" t="str">
        <x:v>Bias correction</x:v>
      </x:c>
      <x:c r="E313" s="2" t="str">
        <x:v>Recent eight</x:v>
      </x:c>
      <x:c r="F313" s="2" t="n">
        <x:v>8</x:v>
      </x:c>
      <x:c r="G313" s="8" t="n">
        <x:f>SQRT(AVERAGE(Forecasts!N2584,Forecasts!N2590,Forecasts!N2596,Forecasts!N2602,Forecasts!N2608,Forecasts!N2614,Forecasts!N2620,Forecasts!N2626))</x:f>
        <x:v>2.3438513134789454</x:v>
      </x:c>
      <x:c r="H313" s="8" t="n">
        <x:f>AVERAGE(Forecasts!O2584,Forecasts!O2590,Forecasts!O2596,Forecasts!O2602,Forecasts!O2608,Forecasts!O2614,Forecasts!O2620,Forecasts!O2626)</x:f>
        <x:v>2.0029103647113513</x:v>
      </x:c>
      <x:c r="I313" s="8" t="n">
        <x:f>AVERAGE(Forecasts!M2584,Forecasts!M2590,Forecasts!M2596,Forecasts!M2602,Forecasts!M2608,Forecasts!M2614,Forecasts!M2620,Forecasts!M2626)</x:f>
        <x:v>-1.3054431484056859</x:v>
      </x:c>
      <x:c r="J313" s="8" t="n">
        <x:f>SQRT(AVERAGE(Forecasts!N757,Forecasts!N774,Forecasts!N791,Forecasts!N808,Forecasts!N825,Forecasts!N842,Forecasts!N859,Forecasts!N876))</x:f>
        <x:v>1.1726039399558574</x:v>
      </x:c>
      <x:c r="K313" s="8" t="n">
        <x:f>SQRT(AVERAGE(Forecasts!N759,Forecasts!N776,Forecasts!N793,Forecasts!N810,Forecasts!N827,Forecasts!N844,Forecasts!N861,Forecasts!N878))</x:f>
        <x:v>3.0642454445800382</x:v>
      </x:c>
    </x:row>
    <x:row r="314" ht="26" customHeight="1">
      <x:c r="A314" s="2"/>
      <x:c r="B314" s="2" t="str">
        <x:v>Fabric &amp; Home Care / price_contribution</x:v>
      </x:c>
      <x:c r="C314" s="2" t="str">
        <x:v>Prior report</x:v>
      </x:c>
      <x:c r="D314" s="2" t="str">
        <x:v>Broad lag 1</x:v>
      </x:c>
      <x:c r="E314" s="2" t="str">
        <x:v>All available</x:v>
      </x:c>
      <x:c r="F314" s="2" t="n">
        <x:v>11</x:v>
      </x:c>
      <x:c r="G314" s="8" t="n">
        <x:f>SQRT(AVERAGE(Forecasts!N693,Forecasts!N709,Forecasts!N726,Forecasts!N743,Forecasts!N760,Forecasts!N777,Forecasts!N794,Forecasts!N811,Forecasts!N828,Forecasts!N845,Forecasts!N862))</x:f>
        <x:v>4.706477057190362</x:v>
      </x:c>
      <x:c r="H314" s="8" t="n">
        <x:f>AVERAGE(Forecasts!O693,Forecasts!O709,Forecasts!O726,Forecasts!O743,Forecasts!O760,Forecasts!O777,Forecasts!O794,Forecasts!O811,Forecasts!O828,Forecasts!O845,Forecasts!O862)</x:f>
        <x:v>4.086839462080346</x:v>
      </x:c>
      <x:c r="I314" s="8" t="n">
        <x:f>AVERAGE(Forecasts!M693,Forecasts!M709,Forecasts!M726,Forecasts!M743,Forecasts!M760,Forecasts!M777,Forecasts!M794,Forecasts!M811,Forecasts!M828,Forecasts!M845,Forecasts!M862)</x:f>
        <x:v>4.086839462080346</x:v>
      </x:c>
      <x:c r="J314" s="8" t="n">
        <x:f>SQRT(AVERAGE(Forecasts!N690,Forecasts!N706,Forecasts!N723,Forecasts!N740,Forecasts!N757,Forecasts!N774,Forecasts!N791,Forecasts!N808,Forecasts!N825,Forecasts!N842,Forecasts!N859))</x:f>
        <x:v>2.76339711883103</x:v>
      </x:c>
      <x:c r="K314" s="8" t="n">
        <x:f>SQRT(AVERAGE(Forecasts!N692,Forecasts!N708,Forecasts!N725,Forecasts!N742,Forecasts!N759,Forecasts!N776,Forecasts!N793,Forecasts!N810,Forecasts!N827,Forecasts!N844,Forecasts!N861))</x:f>
        <x:v>4.196906351059825</x:v>
      </x:c>
    </x:row>
    <x:row r="315" ht="26" customHeight="1">
      <x:c r="A315" s="2"/>
      <x:c r="B315" s="2" t="str">
        <x:v>Fabric &amp; Home Care / price_contribution</x:v>
      </x:c>
      <x:c r="C315" s="2" t="str">
        <x:v>Prior report</x:v>
      </x:c>
      <x:c r="D315" s="2" t="str">
        <x:v>Broad lag 1</x:v>
      </x:c>
      <x:c r="E315" s="2" t="str">
        <x:v>Recent eight</x:v>
      </x:c>
      <x:c r="F315" s="2" t="n">
        <x:v>7</x:v>
      </x:c>
      <x:c r="G315" s="8" t="n">
        <x:f>SQRT(AVERAGE(Forecasts!N760,Forecasts!N777,Forecasts!N794,Forecasts!N811,Forecasts!N828,Forecasts!N845,Forecasts!N862))</x:f>
        <x:v>3.7549397498920976</x:v>
      </x:c>
      <x:c r="H315" s="8" t="n">
        <x:f>AVERAGE(Forecasts!O760,Forecasts!O777,Forecasts!O794,Forecasts!O811,Forecasts!O828,Forecasts!O845,Forecasts!O862)</x:f>
        <x:v>3.102476248076632</x:v>
      </x:c>
      <x:c r="I315" s="8" t="n">
        <x:f>AVERAGE(Forecasts!M760,Forecasts!M777,Forecasts!M794,Forecasts!M811,Forecasts!M828,Forecasts!M845,Forecasts!M862)</x:f>
        <x:v>3.102476248076632</x:v>
      </x:c>
      <x:c r="J315" s="8" t="n">
        <x:f>SQRT(AVERAGE(Forecasts!N757,Forecasts!N774,Forecasts!N791,Forecasts!N808,Forecasts!N825,Forecasts!N842,Forecasts!N859))</x:f>
        <x:v>1.2535663410560174</x:v>
      </x:c>
      <x:c r="K315" s="8" t="n">
        <x:f>SQRT(AVERAGE(Forecasts!N759,Forecasts!N776,Forecasts!N793,Forecasts!N810,Forecasts!N827,Forecasts!N844,Forecasts!N861))</x:f>
        <x:v>3.2310245289153183</x:v>
      </x:c>
    </x:row>
    <x:row r="316" ht="26" customHeight="1">
      <x:c r="A316" s="2"/>
      <x:c r="B316" s="2" t="str">
        <x:v>Fabric &amp; Home Care / price_contribution</x:v>
      </x:c>
      <x:c r="C316" s="2" t="str">
        <x:v>Prior report</x:v>
      </x:c>
      <x:c r="D316" s="2" t="str">
        <x:v>Broad market</x:v>
      </x:c>
      <x:c r="E316" s="2" t="str">
        <x:v>All available</x:v>
      </x:c>
      <x:c r="F316" s="2" t="n">
        <x:v>12</x:v>
      </x:c>
      <x:c r="G316" s="8" t="n">
        <x:f>SQRT(AVERAGE(Forecasts!N692,Forecasts!N708,Forecasts!N725,Forecasts!N742,Forecasts!N759,Forecasts!N776,Forecasts!N793,Forecasts!N810,Forecasts!N827,Forecasts!N844,Forecasts!N861,Forecasts!N878))</x:f>
        <x:v>4.039331800425021</x:v>
      </x:c>
      <x:c r="H316" s="8" t="n">
        <x:f>AVERAGE(Forecasts!O692,Forecasts!O708,Forecasts!O725,Forecasts!O742,Forecasts!O759,Forecasts!O776,Forecasts!O793,Forecasts!O810,Forecasts!O827,Forecasts!O844,Forecasts!O861,Forecasts!O878)</x:f>
        <x:v>3.217432971294642</x:v>
      </x:c>
      <x:c r="I316" s="8" t="n">
        <x:f>AVERAGE(Forecasts!M692,Forecasts!M708,Forecasts!M725,Forecasts!M742,Forecasts!M759,Forecasts!M776,Forecasts!M793,Forecasts!M810,Forecasts!M827,Forecasts!M844,Forecasts!M861,Forecasts!M878)</x:f>
        <x:v>3.217432971294642</x:v>
      </x:c>
      <x:c r="J316" s="8" t="n">
        <x:f>SQRT(AVERAGE(Forecasts!N690,Forecasts!N706,Forecasts!N723,Forecasts!N740,Forecasts!N757,Forecasts!N774,Forecasts!N791,Forecasts!N808,Forecasts!N825,Forecasts!N842,Forecasts!N859,Forecasts!N876))</x:f>
        <x:v>2.6457513110645907</x:v>
      </x:c>
      <x:c r="K316" s="8" t="n">
        <x:f>SQRT(AVERAGE(Forecasts!N692,Forecasts!N708,Forecasts!N725,Forecasts!N742,Forecasts!N759,Forecasts!N776,Forecasts!N793,Forecasts!N810,Forecasts!N827,Forecasts!N844,Forecasts!N861,Forecasts!N878))</x:f>
        <x:v>4.039331800425021</x:v>
      </x:c>
    </x:row>
    <x:row r="317" ht="26" customHeight="1">
      <x:c r="A317" s="2"/>
      <x:c r="B317" s="2" t="str">
        <x:v>Fabric &amp; Home Care / price_contribution</x:v>
      </x:c>
      <x:c r="C317" s="2" t="str">
        <x:v>Prior report</x:v>
      </x:c>
      <x:c r="D317" s="2" t="str">
        <x:v>Broad market</x:v>
      </x:c>
      <x:c r="E317" s="2" t="str">
        <x:v>Recent eight</x:v>
      </x:c>
      <x:c r="F317" s="2" t="n">
        <x:v>8</x:v>
      </x:c>
      <x:c r="G317" s="8" t="n">
        <x:f>SQRT(AVERAGE(Forecasts!N759,Forecasts!N776,Forecasts!N793,Forecasts!N810,Forecasts!N827,Forecasts!N844,Forecasts!N861,Forecasts!N878))</x:f>
        <x:v>3.0642454445800382</x:v>
      </x:c>
      <x:c r="H317" s="8" t="n">
        <x:f>AVERAGE(Forecasts!O759,Forecasts!O776,Forecasts!O793,Forecasts!O810,Forecasts!O827,Forecasts!O844,Forecasts!O861,Forecasts!O878)</x:f>
        <x:v>2.1511115643650185</x:v>
      </x:c>
      <x:c r="I317" s="8" t="n">
        <x:f>AVERAGE(Forecasts!M759,Forecasts!M776,Forecasts!M793,Forecasts!M810,Forecasts!M827,Forecasts!M844,Forecasts!M861,Forecasts!M878)</x:f>
        <x:v>2.1511115643650185</x:v>
      </x:c>
      <x:c r="J317" s="8" t="n">
        <x:f>SQRT(AVERAGE(Forecasts!N757,Forecasts!N774,Forecasts!N791,Forecasts!N808,Forecasts!N825,Forecasts!N842,Forecasts!N859,Forecasts!N876))</x:f>
        <x:v>1.1726039399558574</x:v>
      </x:c>
      <x:c r="K317" s="8" t="n">
        <x:f>SQRT(AVERAGE(Forecasts!N759,Forecasts!N776,Forecasts!N793,Forecasts!N810,Forecasts!N827,Forecasts!N844,Forecasts!N861,Forecasts!N878))</x:f>
        <x:v>3.0642454445800382</x:v>
      </x:c>
    </x:row>
    <x:row r="318" ht="26" customHeight="1">
      <x:c r="A318" s="2"/>
      <x:c r="B318" s="2" t="str">
        <x:v>Fabric &amp; Home Care / price_contribution</x:v>
      </x:c>
      <x:c r="C318" s="2" t="str">
        <x:v>Prior report</x:v>
      </x:c>
      <x:c r="D318" s="2" t="str">
        <x:v>Broad rolling 8</x:v>
      </x:c>
      <x:c r="E318" s="2" t="str">
        <x:v>All available</x:v>
      </x:c>
      <x:c r="F318" s="2" t="n">
        <x:v>12</x:v>
      </x:c>
      <x:c r="G318" s="8" t="n">
        <x:f>SQRT(AVERAGE(Forecasts!N694,Forecasts!N710,Forecasts!N727,Forecasts!N744,Forecasts!N761,Forecasts!N778,Forecasts!N795,Forecasts!N812,Forecasts!N829,Forecasts!N846,Forecasts!N863,Forecasts!N879))</x:f>
        <x:v>3.985365716379215</x:v>
      </x:c>
      <x:c r="H318" s="8" t="n">
        <x:f>AVERAGE(Forecasts!O694,Forecasts!O710,Forecasts!O727,Forecasts!O744,Forecasts!O761,Forecasts!O778,Forecasts!O795,Forecasts!O812,Forecasts!O829,Forecasts!O846,Forecasts!O863,Forecasts!O879)</x:f>
        <x:v>3.1166946335745735</x:v>
      </x:c>
      <x:c r="I318" s="8" t="n">
        <x:f>AVERAGE(Forecasts!M694,Forecasts!M710,Forecasts!M727,Forecasts!M744,Forecasts!M761,Forecasts!M778,Forecasts!M795,Forecasts!M812,Forecasts!M829,Forecasts!M846,Forecasts!M863,Forecasts!M879)</x:f>
        <x:v>1.7324428447591915</x:v>
      </x:c>
      <x:c r="J318" s="8" t="n">
        <x:f>SQRT(AVERAGE(Forecasts!N690,Forecasts!N706,Forecasts!N723,Forecasts!N740,Forecasts!N757,Forecasts!N774,Forecasts!N791,Forecasts!N808,Forecasts!N825,Forecasts!N842,Forecasts!N859,Forecasts!N876))</x:f>
        <x:v>2.6457513110645907</x:v>
      </x:c>
      <x:c r="K318" s="8" t="n">
        <x:f>SQRT(AVERAGE(Forecasts!N692,Forecasts!N708,Forecasts!N725,Forecasts!N742,Forecasts!N759,Forecasts!N776,Forecasts!N793,Forecasts!N810,Forecasts!N827,Forecasts!N844,Forecasts!N861,Forecasts!N878))</x:f>
        <x:v>4.039331800425021</x:v>
      </x:c>
    </x:row>
    <x:row r="319" ht="26" customHeight="1">
      <x:c r="A319" s="2"/>
      <x:c r="B319" s="2" t="str">
        <x:v>Fabric &amp; Home Care / price_contribution</x:v>
      </x:c>
      <x:c r="C319" s="2" t="str">
        <x:v>Prior report</x:v>
      </x:c>
      <x:c r="D319" s="2" t="str">
        <x:v>Broad rolling 8</x:v>
      </x:c>
      <x:c r="E319" s="2" t="str">
        <x:v>Recent eight</x:v>
      </x:c>
      <x:c r="F319" s="2" t="n">
        <x:v>8</x:v>
      </x:c>
      <x:c r="G319" s="8" t="n">
        <x:f>SQRT(AVERAGE(Forecasts!N761,Forecasts!N778,Forecasts!N795,Forecasts!N812,Forecasts!N829,Forecasts!N846,Forecasts!N863,Forecasts!N879))</x:f>
        <x:v>2.7981981168015424</x:v>
      </x:c>
      <x:c r="H319" s="8" t="n">
        <x:f>AVERAGE(Forecasts!O761,Forecasts!O778,Forecasts!O795,Forecasts!O812,Forecasts!O829,Forecasts!O846,Forecasts!O863,Forecasts!O879)</x:f>
        <x:v>1.9256703857609974</x:v>
      </x:c>
      <x:c r="I319" s="8" t="n">
        <x:f>AVERAGE(Forecasts!M761,Forecasts!M778,Forecasts!M795,Forecasts!M812,Forecasts!M829,Forecasts!M846,Forecasts!M863,Forecasts!M879)</x:f>
        <x:v>-0.15070729746207573</x:v>
      </x:c>
      <x:c r="J319" s="8" t="n">
        <x:f>SQRT(AVERAGE(Forecasts!N757,Forecasts!N774,Forecasts!N791,Forecasts!N808,Forecasts!N825,Forecasts!N842,Forecasts!N859,Forecasts!N876))</x:f>
        <x:v>1.1726039399558574</x:v>
      </x:c>
      <x:c r="K319" s="8" t="n">
        <x:f>SQRT(AVERAGE(Forecasts!N759,Forecasts!N776,Forecasts!N793,Forecasts!N810,Forecasts!N827,Forecasts!N844,Forecasts!N861,Forecasts!N878))</x:f>
        <x:v>3.0642454445800382</x:v>
      </x:c>
    </x:row>
    <x:row r="320" ht="26" customHeight="1">
      <x:c r="A320" s="2"/>
      <x:c r="B320" s="2" t="str">
        <x:v>Fabric &amp; Home Care / price_contribution</x:v>
      </x:c>
      <x:c r="C320" s="2" t="str">
        <x:v>Prior report</x:v>
      </x:c>
      <x:c r="D320" s="2" t="str">
        <x:v>Four-quarter mean</x:v>
      </x:c>
      <x:c r="E320" s="2" t="str">
        <x:v>All available</x:v>
      </x:c>
      <x:c r="F320" s="2" t="n">
        <x:v>12</x:v>
      </x:c>
      <x:c r="G320" s="8" t="n">
        <x:f>SQRT(AVERAGE(Forecasts!N691,Forecasts!N707,Forecasts!N724,Forecasts!N741,Forecasts!N758,Forecasts!N775,Forecasts!N792,Forecasts!N809,Forecasts!N826,Forecasts!N843,Forecasts!N860,Forecasts!N877))</x:f>
        <x:v>3.6550478793033614</x:v>
      </x:c>
      <x:c r="H320" s="8" t="n">
        <x:f>AVERAGE(Forecasts!O691,Forecasts!O707,Forecasts!O724,Forecasts!O741,Forecasts!O758,Forecasts!O775,Forecasts!O792,Forecasts!O809,Forecasts!O826,Forecasts!O843,Forecasts!O860,Forecasts!O877)</x:f>
        <x:v>2.8125</x:v>
      </x:c>
      <x:c r="I320" s="8" t="n">
        <x:f>AVERAGE(Forecasts!M691,Forecasts!M707,Forecasts!M724,Forecasts!M741,Forecasts!M758,Forecasts!M775,Forecasts!M792,Forecasts!M809,Forecasts!M826,Forecasts!M843,Forecasts!M860,Forecasts!M877)</x:f>
        <x:v>2.3541666666666665</x:v>
      </x:c>
      <x:c r="J320" s="8" t="n">
        <x:f>SQRT(AVERAGE(Forecasts!N690,Forecasts!N706,Forecasts!N723,Forecasts!N740,Forecasts!N757,Forecasts!N774,Forecasts!N791,Forecasts!N808,Forecasts!N825,Forecasts!N842,Forecasts!N859,Forecasts!N876))</x:f>
        <x:v>2.6457513110645907</x:v>
      </x:c>
      <x:c r="K320" s="8" t="n">
        <x:f>SQRT(AVERAGE(Forecasts!N692,Forecasts!N708,Forecasts!N725,Forecasts!N742,Forecasts!N759,Forecasts!N776,Forecasts!N793,Forecasts!N810,Forecasts!N827,Forecasts!N844,Forecasts!N861,Forecasts!N878))</x:f>
        <x:v>4.039331800425021</x:v>
      </x:c>
    </x:row>
    <x:row r="321" ht="26" customHeight="1">
      <x:c r="A321" s="2"/>
      <x:c r="B321" s="2" t="str">
        <x:v>Fabric &amp; Home Care / price_contribution</x:v>
      </x:c>
      <x:c r="C321" s="2" t="str">
        <x:v>Prior report</x:v>
      </x:c>
      <x:c r="D321" s="2" t="str">
        <x:v>Four-quarter mean</x:v>
      </x:c>
      <x:c r="E321" s="2" t="str">
        <x:v>Recent eight</x:v>
      </x:c>
      <x:c r="F321" s="2" t="n">
        <x:v>8</x:v>
      </x:c>
      <x:c r="G321" s="8" t="n">
        <x:f>SQRT(AVERAGE(Forecasts!N758,Forecasts!N775,Forecasts!N792,Forecasts!N809,Forecasts!N826,Forecasts!N843,Forecasts!N860,Forecasts!N877))</x:f>
        <x:v>2.5155764746872635</x:v>
      </x:c>
      <x:c r="H321" s="8" t="n">
        <x:f>AVERAGE(Forecasts!O758,Forecasts!O775,Forecasts!O792,Forecasts!O809,Forecasts!O826,Forecasts!O843,Forecasts!O860,Forecasts!O877)</x:f>
        <x:v>1.6875</x:v>
      </x:c>
      <x:c r="I321" s="8" t="n">
        <x:f>AVERAGE(Forecasts!M758,Forecasts!M775,Forecasts!M792,Forecasts!M809,Forecasts!M826,Forecasts!M843,Forecasts!M860,Forecasts!M877)</x:f>
        <x:v>1</x:v>
      </x:c>
      <x:c r="J321" s="8" t="n">
        <x:f>SQRT(AVERAGE(Forecasts!N757,Forecasts!N774,Forecasts!N791,Forecasts!N808,Forecasts!N825,Forecasts!N842,Forecasts!N859,Forecasts!N876))</x:f>
        <x:v>1.1726039399558574</x:v>
      </x:c>
      <x:c r="K321" s="8" t="n">
        <x:f>SQRT(AVERAGE(Forecasts!N759,Forecasts!N776,Forecasts!N793,Forecasts!N810,Forecasts!N827,Forecasts!N844,Forecasts!N861,Forecasts!N878))</x:f>
        <x:v>3.0642454445800382</x:v>
      </x:c>
    </x:row>
    <x:row r="322" ht="26" customHeight="1">
      <x:c r="A322" s="2"/>
      <x:c r="B322" s="2" t="str">
        <x:v>Fabric &amp; Home Care / price_contribution</x:v>
      </x:c>
      <x:c r="C322" s="2" t="str">
        <x:v>Prior report</x:v>
      </x:c>
      <x:c r="D322" s="2" t="str">
        <x:v>Half correction</x:v>
      </x:c>
      <x:c r="E322" s="2" t="str">
        <x:v>All available</x:v>
      </x:c>
      <x:c r="F322" s="2" t="n">
        <x:v>8</x:v>
      </x:c>
      <x:c r="G322" s="8" t="n">
        <x:f>SQRT(AVERAGE(Forecasts!N2585,Forecasts!N2591,Forecasts!N2597,Forecasts!N2603,Forecasts!N2609,Forecasts!N2615,Forecasts!N2621,Forecasts!N2627))</x:f>
        <x:v>1.8853724248076162</x:v>
      </x:c>
      <x:c r="H322" s="8" t="n">
        <x:f>AVERAGE(Forecasts!O2585,Forecasts!O2591,Forecasts!O2597,Forecasts!O2603,Forecasts!O2609,Forecasts!O2615,Forecasts!O2621,Forecasts!O2627)</x:f>
        <x:v>1.3680033488788994</x:v>
      </x:c>
      <x:c r="I322" s="8" t="n">
        <x:f>AVERAGE(Forecasts!M2585,Forecasts!M2591,Forecasts!M2597,Forecasts!M2603,Forecasts!M2609,Forecasts!M2615,Forecasts!M2621,Forecasts!M2627)</x:f>
        <x:v>0.4228342079796661</x:v>
      </x:c>
      <x:c r="J322" s="8" t="n">
        <x:f>SQRT(AVERAGE(Forecasts!N757,Forecasts!N774,Forecasts!N791,Forecasts!N808,Forecasts!N825,Forecasts!N842,Forecasts!N859,Forecasts!N876))</x:f>
        <x:v>1.1726039399558574</x:v>
      </x:c>
      <x:c r="K322" s="8" t="n">
        <x:f>SQRT(AVERAGE(Forecasts!N759,Forecasts!N776,Forecasts!N793,Forecasts!N810,Forecasts!N827,Forecasts!N844,Forecasts!N861,Forecasts!N878))</x:f>
        <x:v>3.0642454445800382</x:v>
      </x:c>
    </x:row>
    <x:row r="323" ht="26" customHeight="1">
      <x:c r="A323" s="2"/>
      <x:c r="B323" s="2" t="str">
        <x:v>Fabric &amp; Home Care / price_contribution</x:v>
      </x:c>
      <x:c r="C323" s="2" t="str">
        <x:v>Prior report</x:v>
      </x:c>
      <x:c r="D323" s="2" t="str">
        <x:v>Half correction</x:v>
      </x:c>
      <x:c r="E323" s="2" t="str">
        <x:v>Recent eight</x:v>
      </x:c>
      <x:c r="F323" s="2" t="n">
        <x:v>8</x:v>
      </x:c>
      <x:c r="G323" s="8" t="n">
        <x:f>SQRT(AVERAGE(Forecasts!N2585,Forecasts!N2591,Forecasts!N2597,Forecasts!N2603,Forecasts!N2609,Forecasts!N2615,Forecasts!N2621,Forecasts!N2627))</x:f>
        <x:v>1.8853724248076162</x:v>
      </x:c>
      <x:c r="H323" s="8" t="n">
        <x:f>AVERAGE(Forecasts!O2585,Forecasts!O2591,Forecasts!O2597,Forecasts!O2603,Forecasts!O2609,Forecasts!O2615,Forecasts!O2621,Forecasts!O2627)</x:f>
        <x:v>1.3680033488788994</x:v>
      </x:c>
      <x:c r="I323" s="8" t="n">
        <x:f>AVERAGE(Forecasts!M2585,Forecasts!M2591,Forecasts!M2597,Forecasts!M2603,Forecasts!M2609,Forecasts!M2615,Forecasts!M2621,Forecasts!M2627)</x:f>
        <x:v>0.4228342079796661</x:v>
      </x:c>
      <x:c r="J323" s="8" t="n">
        <x:f>SQRT(AVERAGE(Forecasts!N757,Forecasts!N774,Forecasts!N791,Forecasts!N808,Forecasts!N825,Forecasts!N842,Forecasts!N859,Forecasts!N876))</x:f>
        <x:v>1.1726039399558574</x:v>
      </x:c>
      <x:c r="K323" s="8" t="n">
        <x:f>SQRT(AVERAGE(Forecasts!N759,Forecasts!N776,Forecasts!N793,Forecasts!N810,Forecasts!N827,Forecasts!N844,Forecasts!N861,Forecasts!N878))</x:f>
        <x:v>3.0642454445800382</x:v>
      </x:c>
    </x:row>
    <x:row r="324" ht="26" customHeight="1">
      <x:c r="A324" s="2"/>
      <x:c r="B324" s="2" t="str">
        <x:v>Fabric &amp; Home Care / price_contribution</x:v>
      </x:c>
      <x:c r="C324" s="2" t="str">
        <x:v>Prior report</x:v>
      </x:c>
      <x:c r="D324" s="2" t="str">
        <x:v>Last actual</x:v>
      </x:c>
      <x:c r="E324" s="2" t="str">
        <x:v>All available</x:v>
      </x:c>
      <x:c r="F324" s="2" t="n">
        <x:v>12</x:v>
      </x:c>
      <x:c r="G324" s="8" t="n">
        <x:f>SQRT(AVERAGE(Forecasts!N690,Forecasts!N706,Forecasts!N723,Forecasts!N740,Forecasts!N757,Forecasts!N774,Forecasts!N791,Forecasts!N808,Forecasts!N825,Forecasts!N842,Forecasts!N859,Forecasts!N876))</x:f>
        <x:v>2.6457513110645907</x:v>
      </x:c>
      <x:c r="H324" s="8" t="n">
        <x:f>AVERAGE(Forecasts!O690,Forecasts!O706,Forecasts!O723,Forecasts!O740,Forecasts!O757,Forecasts!O774,Forecasts!O791,Forecasts!O808,Forecasts!O825,Forecasts!O842,Forecasts!O859,Forecasts!O876)</x:f>
        <x:v>1.6666666666666667</x:v>
      </x:c>
      <x:c r="I324" s="8" t="n">
        <x:f>AVERAGE(Forecasts!M690,Forecasts!M706,Forecasts!M723,Forecasts!M740,Forecasts!M757,Forecasts!M774,Forecasts!M791,Forecasts!M808,Forecasts!M825,Forecasts!M842,Forecasts!M859,Forecasts!M876)</x:f>
        <x:v>1</x:v>
      </x:c>
      <x:c r="J324" s="8" t="n">
        <x:f>SQRT(AVERAGE(Forecasts!N690,Forecasts!N706,Forecasts!N723,Forecasts!N740,Forecasts!N757,Forecasts!N774,Forecasts!N791,Forecasts!N808,Forecasts!N825,Forecasts!N842,Forecasts!N859,Forecasts!N876))</x:f>
        <x:v>2.6457513110645907</x:v>
      </x:c>
      <x:c r="K324" s="8" t="n">
        <x:f>SQRT(AVERAGE(Forecasts!N692,Forecasts!N708,Forecasts!N725,Forecasts!N742,Forecasts!N759,Forecasts!N776,Forecasts!N793,Forecasts!N810,Forecasts!N827,Forecasts!N844,Forecasts!N861,Forecasts!N878))</x:f>
        <x:v>4.039331800425021</x:v>
      </x:c>
    </x:row>
    <x:row r="325" ht="26" customHeight="1">
      <x:c r="A325" s="2"/>
      <x:c r="B325" s="2" t="str">
        <x:v>Fabric &amp; Home Care / price_contribution</x:v>
      </x:c>
      <x:c r="C325" s="2" t="str">
        <x:v>Prior report</x:v>
      </x:c>
      <x:c r="D325" s="2" t="str">
        <x:v>Last actual</x:v>
      </x:c>
      <x:c r="E325" s="2" t="str">
        <x:v>Recent eight</x:v>
      </x:c>
      <x:c r="F325" s="2" t="n">
        <x:v>8</x:v>
      </x:c>
      <x:c r="G325" s="8" t="n">
        <x:f>SQRT(AVERAGE(Forecasts!N757,Forecasts!N774,Forecasts!N791,Forecasts!N808,Forecasts!N825,Forecasts!N842,Forecasts!N859,Forecasts!N876))</x:f>
        <x:v>1.1726039399558574</x:v>
      </x:c>
      <x:c r="H325" s="8" t="n">
        <x:f>AVERAGE(Forecasts!O757,Forecasts!O774,Forecasts!O791,Forecasts!O808,Forecasts!O825,Forecasts!O842,Forecasts!O859,Forecasts!O876)</x:f>
        <x:v>0.625</x:v>
      </x:c>
      <x:c r="I325" s="8" t="n">
        <x:f>AVERAGE(Forecasts!M757,Forecasts!M774,Forecasts!M791,Forecasts!M808,Forecasts!M825,Forecasts!M842,Forecasts!M859,Forecasts!M876)</x:f>
        <x:v>0.125</x:v>
      </x:c>
      <x:c r="J325" s="8" t="n">
        <x:f>SQRT(AVERAGE(Forecasts!N757,Forecasts!N774,Forecasts!N791,Forecasts!N808,Forecasts!N825,Forecasts!N842,Forecasts!N859,Forecasts!N876))</x:f>
        <x:v>1.1726039399558574</x:v>
      </x:c>
      <x:c r="K325" s="8" t="n">
        <x:f>SQRT(AVERAGE(Forecasts!N759,Forecasts!N776,Forecasts!N793,Forecasts!N810,Forecasts!N827,Forecasts!N844,Forecasts!N861,Forecasts!N878))</x:f>
        <x:v>3.0642454445800382</x:v>
      </x:c>
    </x:row>
    <x:row r="326" ht="26" customHeight="1">
      <x:c r="A326" s="2"/>
      <x:c r="B326" s="2" t="str">
        <x:v>Fabric &amp; Home Care / price_contribution</x:v>
      </x:c>
      <x:c r="C326" s="2" t="str">
        <x:v>Prior report</x:v>
      </x:c>
      <x:c r="D326" s="2" t="str">
        <x:v>Own history</x:v>
      </x:c>
      <x:c r="E326" s="2" t="str">
        <x:v>All available</x:v>
      </x:c>
      <x:c r="F326" s="2" t="n">
        <x:v>12</x:v>
      </x:c>
      <x:c r="G326" s="8" t="n">
        <x:f>SQRT(AVERAGE(Forecasts!N695,Forecasts!N711,Forecasts!N728,Forecasts!N745,Forecasts!N762,Forecasts!N779,Forecasts!N796,Forecasts!N813,Forecasts!N830,Forecasts!N847,Forecasts!N864,Forecasts!N880))</x:f>
        <x:v>3.10236634045968</x:v>
      </x:c>
      <x:c r="H326" s="8" t="n">
        <x:f>AVERAGE(Forecasts!O695,Forecasts!O711,Forecasts!O728,Forecasts!O745,Forecasts!O762,Forecasts!O779,Forecasts!O796,Forecasts!O813,Forecasts!O830,Forecasts!O847,Forecasts!O864,Forecasts!O880)</x:f>
        <x:v>2.0449370652844094</x:v>
      </x:c>
      <x:c r="I326" s="8" t="n">
        <x:f>AVERAGE(Forecasts!M695,Forecasts!M711,Forecasts!M728,Forecasts!M745,Forecasts!M762,Forecasts!M779,Forecasts!M796,Forecasts!M813,Forecasts!M830,Forecasts!M847,Forecasts!M864,Forecasts!M880)</x:f>
        <x:v>1.7502735256849145</x:v>
      </x:c>
      <x:c r="J326" s="8" t="n">
        <x:f>SQRT(AVERAGE(Forecasts!N690,Forecasts!N706,Forecasts!N723,Forecasts!N740,Forecasts!N757,Forecasts!N774,Forecasts!N791,Forecasts!N808,Forecasts!N825,Forecasts!N842,Forecasts!N859,Forecasts!N876))</x:f>
        <x:v>2.6457513110645907</x:v>
      </x:c>
      <x:c r="K326" s="8" t="n">
        <x:f>SQRT(AVERAGE(Forecasts!N692,Forecasts!N708,Forecasts!N725,Forecasts!N742,Forecasts!N759,Forecasts!N776,Forecasts!N793,Forecasts!N810,Forecasts!N827,Forecasts!N844,Forecasts!N861,Forecasts!N878))</x:f>
        <x:v>4.039331800425021</x:v>
      </x:c>
    </x:row>
    <x:row r="327" ht="26" customHeight="1">
      <x:c r="A327" s="2"/>
      <x:c r="B327" s="2" t="str">
        <x:v>Fabric &amp; Home Care / price_contribution</x:v>
      </x:c>
      <x:c r="C327" s="2" t="str">
        <x:v>Prior report</x:v>
      </x:c>
      <x:c r="D327" s="2" t="str">
        <x:v>Own history</x:v>
      </x:c>
      <x:c r="E327" s="2" t="str">
        <x:v>Recent eight</x:v>
      </x:c>
      <x:c r="F327" s="2" t="n">
        <x:v>8</x:v>
      </x:c>
      <x:c r="G327" s="8" t="n">
        <x:f>SQRT(AVERAGE(Forecasts!N762,Forecasts!N779,Forecasts!N796,Forecasts!N813,Forecasts!N830,Forecasts!N847,Forecasts!N864,Forecasts!N880))</x:f>
        <x:v>1.5539181993997502</x:v>
      </x:c>
      <x:c r="H327" s="8" t="n">
        <x:f>AVERAGE(Forecasts!O762,Forecasts!O779,Forecasts!O796,Forecasts!O813,Forecasts!O830,Forecasts!O847,Forecasts!O864,Forecasts!O880)</x:f>
        <x:v>0.9684049326641526</x:v>
      </x:c>
      <x:c r="I327" s="8" t="n">
        <x:f>AVERAGE(Forecasts!M762,Forecasts!M779,Forecasts!M796,Forecasts!M813,Forecasts!M830,Forecasts!M847,Forecasts!M864,Forecasts!M880)</x:f>
        <x:v>0.8864096232649104</x:v>
      </x:c>
      <x:c r="J327" s="8" t="n">
        <x:f>SQRT(AVERAGE(Forecasts!N757,Forecasts!N774,Forecasts!N791,Forecasts!N808,Forecasts!N825,Forecasts!N842,Forecasts!N859,Forecasts!N876))</x:f>
        <x:v>1.1726039399558574</x:v>
      </x:c>
      <x:c r="K327" s="8" t="n">
        <x:f>SQRT(AVERAGE(Forecasts!N759,Forecasts!N776,Forecasts!N793,Forecasts!N810,Forecasts!N827,Forecasts!N844,Forecasts!N861,Forecasts!N878))</x:f>
        <x:v>3.0642454445800382</x:v>
      </x:c>
    </x:row>
    <x:row r="328" ht="26" customHeight="1">
      <x:c r="A328" s="2"/>
      <x:c r="B328" s="2" t="str">
        <x:v>Fabric &amp; Home Care / price_contribution</x:v>
      </x:c>
      <x:c r="C328" s="2" t="str">
        <x:v>Pre-earnings</x:v>
      </x:c>
      <x:c r="D328" s="2" t="str">
        <x:v>Bias correction</x:v>
      </x:c>
      <x:c r="E328" s="2" t="str">
        <x:v>All available</x:v>
      </x:c>
      <x:c r="F328" s="2" t="n">
        <x:v>8</x:v>
      </x:c>
      <x:c r="G328" s="8" t="n">
        <x:f>SQRT(AVERAGE(Forecasts!N2586,Forecasts!N2592,Forecasts!N2598,Forecasts!N2604,Forecasts!N2610,Forecasts!N2616,Forecasts!N2622,Forecasts!N2628))</x:f>
        <x:v>1.5310743928394395</x:v>
      </x:c>
      <x:c r="H328" s="8" t="n">
        <x:f>AVERAGE(Forecasts!O2586,Forecasts!O2592,Forecasts!O2598,Forecasts!O2604,Forecasts!O2610,Forecasts!O2616,Forecasts!O2622,Forecasts!O2628)</x:f>
        <x:v>1.3458185216634404</x:v>
      </x:c>
      <x:c r="I328" s="8" t="n">
        <x:f>AVERAGE(Forecasts!M2586,Forecasts!M2592,Forecasts!M2598,Forecasts!M2604,Forecasts!M2610,Forecasts!M2616,Forecasts!M2622,Forecasts!M2628)</x:f>
        <x:v>-0.7846771467137007</x:v>
      </x:c>
      <x:c r="J328" s="8" t="n">
        <x:f>SQRT(AVERAGE(Forecasts!N763,Forecasts!N780,Forecasts!N797,Forecasts!N814,Forecasts!N831,Forecasts!N848,Forecasts!N865,Forecasts!N881))</x:f>
        <x:v>1.1726039399558574</x:v>
      </x:c>
      <x:c r="K328" s="8" t="n">
        <x:f>SQRT(AVERAGE(Forecasts!N765,Forecasts!N782,Forecasts!N799,Forecasts!N816,Forecasts!N833,Forecasts!N850,Forecasts!N867,Forecasts!N883))</x:f>
        <x:v>2.2768633086826062</x:v>
      </x:c>
    </x:row>
    <x:row r="329" ht="26" customHeight="1">
      <x:c r="A329" s="2"/>
      <x:c r="B329" s="2" t="str">
        <x:v>Fabric &amp; Home Care / price_contribution</x:v>
      </x:c>
      <x:c r="C329" s="2" t="str">
        <x:v>Pre-earnings</x:v>
      </x:c>
      <x:c r="D329" s="2" t="str">
        <x:v>Bias correction</x:v>
      </x:c>
      <x:c r="E329" s="2" t="str">
        <x:v>Recent eight</x:v>
      </x:c>
      <x:c r="F329" s="2" t="n">
        <x:v>8</x:v>
      </x:c>
      <x:c r="G329" s="8" t="n">
        <x:f>SQRT(AVERAGE(Forecasts!N2586,Forecasts!N2592,Forecasts!N2598,Forecasts!N2604,Forecasts!N2610,Forecasts!N2616,Forecasts!N2622,Forecasts!N2628))</x:f>
        <x:v>1.5310743928394395</x:v>
      </x:c>
      <x:c r="H329" s="8" t="n">
        <x:f>AVERAGE(Forecasts!O2586,Forecasts!O2592,Forecasts!O2598,Forecasts!O2604,Forecasts!O2610,Forecasts!O2616,Forecasts!O2622,Forecasts!O2628)</x:f>
        <x:v>1.3458185216634404</x:v>
      </x:c>
      <x:c r="I329" s="8" t="n">
        <x:f>AVERAGE(Forecasts!M2586,Forecasts!M2592,Forecasts!M2598,Forecasts!M2604,Forecasts!M2610,Forecasts!M2616,Forecasts!M2622,Forecasts!M2628)</x:f>
        <x:v>-0.7846771467137007</x:v>
      </x:c>
      <x:c r="J329" s="8" t="n">
        <x:f>SQRT(AVERAGE(Forecasts!N763,Forecasts!N780,Forecasts!N797,Forecasts!N814,Forecasts!N831,Forecasts!N848,Forecasts!N865,Forecasts!N881))</x:f>
        <x:v>1.1726039399558574</x:v>
      </x:c>
      <x:c r="K329" s="8" t="n">
        <x:f>SQRT(AVERAGE(Forecasts!N765,Forecasts!N782,Forecasts!N799,Forecasts!N816,Forecasts!N833,Forecasts!N850,Forecasts!N867,Forecasts!N883))</x:f>
        <x:v>2.2768633086826062</x:v>
      </x:c>
    </x:row>
    <x:row r="330" ht="26" customHeight="1">
      <x:c r="A330" s="2"/>
      <x:c r="B330" s="2" t="str">
        <x:v>Fabric &amp; Home Care / price_contribution</x:v>
      </x:c>
      <x:c r="C330" s="2" t="str">
        <x:v>Pre-earnings</x:v>
      </x:c>
      <x:c r="D330" s="2" t="str">
        <x:v>Broad lag 1</x:v>
      </x:c>
      <x:c r="E330" s="2" t="str">
        <x:v>All available</x:v>
      </x:c>
      <x:c r="F330" s="2" t="n">
        <x:v>11</x:v>
      </x:c>
      <x:c r="G330" s="8" t="n">
        <x:f>SQRT(AVERAGE(Forecasts!N699,Forecasts!N715,Forecasts!N732,Forecasts!N749,Forecasts!N766,Forecasts!N783,Forecasts!N800,Forecasts!N817,Forecasts!N834,Forecasts!N851,Forecasts!N868))</x:f>
        <x:v>4.706477057190362</x:v>
      </x:c>
      <x:c r="H330" s="8" t="n">
        <x:f>AVERAGE(Forecasts!O699,Forecasts!O715,Forecasts!O732,Forecasts!O749,Forecasts!O766,Forecasts!O783,Forecasts!O800,Forecasts!O817,Forecasts!O834,Forecasts!O851,Forecasts!O868)</x:f>
        <x:v>4.086839462080346</x:v>
      </x:c>
      <x:c r="I330" s="8" t="n">
        <x:f>AVERAGE(Forecasts!M699,Forecasts!M715,Forecasts!M732,Forecasts!M749,Forecasts!M766,Forecasts!M783,Forecasts!M800,Forecasts!M817,Forecasts!M834,Forecasts!M851,Forecasts!M868)</x:f>
        <x:v>4.086839462080346</x:v>
      </x:c>
      <x:c r="J330" s="8" t="n">
        <x:f>SQRT(AVERAGE(Forecasts!N696,Forecasts!N712,Forecasts!N729,Forecasts!N746,Forecasts!N763,Forecasts!N780,Forecasts!N797,Forecasts!N814,Forecasts!N831,Forecasts!N848,Forecasts!N865))</x:f>
        <x:v>2.76339711883103</x:v>
      </x:c>
      <x:c r="K330" s="8" t="n">
        <x:f>SQRT(AVERAGE(Forecasts!N698,Forecasts!N714,Forecasts!N731,Forecasts!N748,Forecasts!N765,Forecasts!N782,Forecasts!N799,Forecasts!N816,Forecasts!N833,Forecasts!N850,Forecasts!N867))</x:f>
        <x:v>3.453076978301072</x:v>
      </x:c>
    </x:row>
    <x:row r="331" ht="26" customHeight="1">
      <x:c r="A331" s="2"/>
      <x:c r="B331" s="2" t="str">
        <x:v>Fabric &amp; Home Care / price_contribution</x:v>
      </x:c>
      <x:c r="C331" s="2" t="str">
        <x:v>Pre-earnings</x:v>
      </x:c>
      <x:c r="D331" s="2" t="str">
        <x:v>Broad lag 1</x:v>
      </x:c>
      <x:c r="E331" s="2" t="str">
        <x:v>Recent eight</x:v>
      </x:c>
      <x:c r="F331" s="2" t="n">
        <x:v>7</x:v>
      </x:c>
      <x:c r="G331" s="8" t="n">
        <x:f>SQRT(AVERAGE(Forecasts!N766,Forecasts!N783,Forecasts!N800,Forecasts!N817,Forecasts!N834,Forecasts!N851,Forecasts!N868))</x:f>
        <x:v>3.7549397498920976</x:v>
      </x:c>
      <x:c r="H331" s="8" t="n">
        <x:f>AVERAGE(Forecasts!O766,Forecasts!O783,Forecasts!O800,Forecasts!O817,Forecasts!O834,Forecasts!O851,Forecasts!O868)</x:f>
        <x:v>3.102476248076632</x:v>
      </x:c>
      <x:c r="I331" s="8" t="n">
        <x:f>AVERAGE(Forecasts!M766,Forecasts!M783,Forecasts!M800,Forecasts!M817,Forecasts!M834,Forecasts!M851,Forecasts!M868)</x:f>
        <x:v>3.102476248076632</x:v>
      </x:c>
      <x:c r="J331" s="8" t="n">
        <x:f>SQRT(AVERAGE(Forecasts!N763,Forecasts!N780,Forecasts!N797,Forecasts!N814,Forecasts!N831,Forecasts!N848,Forecasts!N865))</x:f>
        <x:v>1.2535663410560174</x:v>
      </x:c>
      <x:c r="K331" s="8" t="n">
        <x:f>SQRT(AVERAGE(Forecasts!N765,Forecasts!N782,Forecasts!N799,Forecasts!N816,Forecasts!N833,Forecasts!N850,Forecasts!N867))</x:f>
        <x:v>2.25886560445206</x:v>
      </x:c>
    </x:row>
    <x:row r="332" ht="26" customHeight="1">
      <x:c r="A332" s="2"/>
      <x:c r="B332" s="2" t="str">
        <x:v>Fabric &amp; Home Care / price_contribution</x:v>
      </x:c>
      <x:c r="C332" s="2" t="str">
        <x:v>Pre-earnings</x:v>
      </x:c>
      <x:c r="D332" s="2" t="str">
        <x:v>Broad market</x:v>
      </x:c>
      <x:c r="E332" s="2" t="str">
        <x:v>All available</x:v>
      </x:c>
      <x:c r="F332" s="2" t="n">
        <x:v>12</x:v>
      </x:c>
      <x:c r="G332" s="8" t="n">
        <x:f>SQRT(AVERAGE(Forecasts!N698,Forecasts!N714,Forecasts!N731,Forecasts!N748,Forecasts!N765,Forecasts!N782,Forecasts!N799,Forecasts!N816,Forecasts!N833,Forecasts!N850,Forecasts!N867,Forecasts!N883))</x:f>
        <x:v>3.3778282258152</x:v>
      </x:c>
      <x:c r="H332" s="8" t="n">
        <x:f>AVERAGE(Forecasts!O698,Forecasts!O714,Forecasts!O731,Forecasts!O748,Forecasts!O765,Forecasts!O782,Forecasts!O799,Forecasts!O816,Forecasts!O833,Forecasts!O850,Forecasts!O867,Forecasts!O883)</x:f>
        <x:v>2.708962720411412</x:v>
      </x:c>
      <x:c r="I332" s="8" t="n">
        <x:f>AVERAGE(Forecasts!M698,Forecasts!M714,Forecasts!M731,Forecasts!M748,Forecasts!M765,Forecasts!M782,Forecasts!M799,Forecasts!M816,Forecasts!M833,Forecasts!M850,Forecasts!M867,Forecasts!M883)</x:f>
        <x:v>2.708962720411412</x:v>
      </x:c>
      <x:c r="J332" s="8" t="n">
        <x:f>SQRT(AVERAGE(Forecasts!N696,Forecasts!N712,Forecasts!N729,Forecasts!N746,Forecasts!N763,Forecasts!N780,Forecasts!N797,Forecasts!N814,Forecasts!N831,Forecasts!N848,Forecasts!N865,Forecasts!N881))</x:f>
        <x:v>2.6457513110645907</x:v>
      </x:c>
      <x:c r="K332" s="8" t="n">
        <x:f>SQRT(AVERAGE(Forecasts!N698,Forecasts!N714,Forecasts!N731,Forecasts!N748,Forecasts!N765,Forecasts!N782,Forecasts!N799,Forecasts!N816,Forecasts!N833,Forecasts!N850,Forecasts!N867,Forecasts!N883))</x:f>
        <x:v>3.3778282258152</x:v>
      </x:c>
    </x:row>
    <x:row r="333" ht="26" customHeight="1">
      <x:c r="A333" s="2"/>
      <x:c r="B333" s="2" t="str">
        <x:v>Fabric &amp; Home Care / price_contribution</x:v>
      </x:c>
      <x:c r="C333" s="2" t="str">
        <x:v>Pre-earnings</x:v>
      </x:c>
      <x:c r="D333" s="2" t="str">
        <x:v>Broad market</x:v>
      </x:c>
      <x:c r="E333" s="2" t="str">
        <x:v>Recent eight</x:v>
      </x:c>
      <x:c r="F333" s="2" t="n">
        <x:v>8</x:v>
      </x:c>
      <x:c r="G333" s="8" t="n">
        <x:f>SQRT(AVERAGE(Forecasts!N765,Forecasts!N782,Forecasts!N799,Forecasts!N816,Forecasts!N833,Forecasts!N850,Forecasts!N867,Forecasts!N883))</x:f>
        <x:v>2.2768633086826062</x:v>
      </x:c>
      <x:c r="H333" s="8" t="n">
        <x:f>AVERAGE(Forecasts!O765,Forecasts!O782,Forecasts!O799,Forecasts!O816,Forecasts!O833,Forecasts!O850,Forecasts!O867,Forecasts!O883)</x:f>
        <x:v>1.8667088512364844</x:v>
      </x:c>
      <x:c r="I333" s="8" t="n">
        <x:f>AVERAGE(Forecasts!M765,Forecasts!M782,Forecasts!M799,Forecasts!M816,Forecasts!M833,Forecasts!M850,Forecasts!M867,Forecasts!M883)</x:f>
        <x:v>1.8667088512364844</x:v>
      </x:c>
      <x:c r="J333" s="8" t="n">
        <x:f>SQRT(AVERAGE(Forecasts!N763,Forecasts!N780,Forecasts!N797,Forecasts!N814,Forecasts!N831,Forecasts!N848,Forecasts!N865,Forecasts!N881))</x:f>
        <x:v>1.1726039399558574</x:v>
      </x:c>
      <x:c r="K333" s="8" t="n">
        <x:f>SQRT(AVERAGE(Forecasts!N765,Forecasts!N782,Forecasts!N799,Forecasts!N816,Forecasts!N833,Forecasts!N850,Forecasts!N867,Forecasts!N883))</x:f>
        <x:v>2.2768633086826062</x:v>
      </x:c>
    </x:row>
    <x:row r="334" ht="26" customHeight="1">
      <x:c r="A334" s="2"/>
      <x:c r="B334" s="2" t="str">
        <x:v>Fabric &amp; Home Care / price_contribution</x:v>
      </x:c>
      <x:c r="C334" s="2" t="str">
        <x:v>Pre-earnings</x:v>
      </x:c>
      <x:c r="D334" s="2" t="str">
        <x:v>Broad rolling 8</x:v>
      </x:c>
      <x:c r="E334" s="2" t="str">
        <x:v>All available</x:v>
      </x:c>
      <x:c r="F334" s="2" t="n">
        <x:v>12</x:v>
      </x:c>
      <x:c r="G334" s="8" t="n">
        <x:f>SQRT(AVERAGE(Forecasts!N700,Forecasts!N716,Forecasts!N733,Forecasts!N750,Forecasts!N767,Forecasts!N784,Forecasts!N801,Forecasts!N818,Forecasts!N835,Forecasts!N852,Forecasts!N869,Forecasts!N884))</x:f>
        <x:v>3.603989719020271</x:v>
      </x:c>
      <x:c r="H334" s="8" t="n">
        <x:f>AVERAGE(Forecasts!O700,Forecasts!O716,Forecasts!O733,Forecasts!O750,Forecasts!O767,Forecasts!O784,Forecasts!O801,Forecasts!O818,Forecasts!O835,Forecasts!O852,Forecasts!O869,Forecasts!O884)</x:f>
        <x:v>2.840631662760172</x:v>
      </x:c>
      <x:c r="I334" s="8" t="n">
        <x:f>AVERAGE(Forecasts!M700,Forecasts!M716,Forecasts!M733,Forecasts!M750,Forecasts!M767,Forecasts!M784,Forecasts!M801,Forecasts!M818,Forecasts!M835,Forecasts!M852,Forecasts!M869,Forecasts!M884)</x:f>
        <x:v>1.0964961939931073</x:v>
      </x:c>
      <x:c r="J334" s="8" t="n">
        <x:f>SQRT(AVERAGE(Forecasts!N696,Forecasts!N712,Forecasts!N729,Forecasts!N746,Forecasts!N763,Forecasts!N780,Forecasts!N797,Forecasts!N814,Forecasts!N831,Forecasts!N848,Forecasts!N865,Forecasts!N881))</x:f>
        <x:v>2.6457513110645907</x:v>
      </x:c>
      <x:c r="K334" s="8" t="n">
        <x:f>SQRT(AVERAGE(Forecasts!N698,Forecasts!N714,Forecasts!N731,Forecasts!N748,Forecasts!N765,Forecasts!N782,Forecasts!N799,Forecasts!N816,Forecasts!N833,Forecasts!N850,Forecasts!N867,Forecasts!N883))</x:f>
        <x:v>3.3778282258152</x:v>
      </x:c>
    </x:row>
    <x:row r="335" ht="26" customHeight="1">
      <x:c r="A335" s="2"/>
      <x:c r="B335" s="2" t="str">
        <x:v>Fabric &amp; Home Care / price_contribution</x:v>
      </x:c>
      <x:c r="C335" s="2" t="str">
        <x:v>Pre-earnings</x:v>
      </x:c>
      <x:c r="D335" s="2" t="str">
        <x:v>Broad rolling 8</x:v>
      </x:c>
      <x:c r="E335" s="2" t="str">
        <x:v>Recent eight</x:v>
      </x:c>
      <x:c r="F335" s="2" t="n">
        <x:v>8</x:v>
      </x:c>
      <x:c r="G335" s="8" t="n">
        <x:f>SQRT(AVERAGE(Forecasts!N767,Forecasts!N784,Forecasts!N801,Forecasts!N818,Forecasts!N835,Forecasts!N852,Forecasts!N869,Forecasts!N884))</x:f>
        <x:v>2.4686718298480543</x:v>
      </x:c>
      <x:c r="H335" s="8" t="n">
        <x:f>AVERAGE(Forecasts!O767,Forecasts!O784,Forecasts!O801,Forecasts!O818,Forecasts!O835,Forecasts!O852,Forecasts!O869,Forecasts!O884)</x:f>
        <x:v>1.9039409245721781</x:v>
      </x:c>
      <x:c r="I335" s="8" t="n">
        <x:f>AVERAGE(Forecasts!M767,Forecasts!M784,Forecasts!M801,Forecasts!M818,Forecasts!M835,Forecasts!M852,Forecasts!M869,Forecasts!M884)</x:f>
        <x:v>-0.7122622785784194</x:v>
      </x:c>
      <x:c r="J335" s="8" t="n">
        <x:f>SQRT(AVERAGE(Forecasts!N763,Forecasts!N780,Forecasts!N797,Forecasts!N814,Forecasts!N831,Forecasts!N848,Forecasts!N865,Forecasts!N881))</x:f>
        <x:v>1.1726039399558574</x:v>
      </x:c>
      <x:c r="K335" s="8" t="n">
        <x:f>SQRT(AVERAGE(Forecasts!N765,Forecasts!N782,Forecasts!N799,Forecasts!N816,Forecasts!N833,Forecasts!N850,Forecasts!N867,Forecasts!N883))</x:f>
        <x:v>2.2768633086826062</x:v>
      </x:c>
    </x:row>
    <x:row r="336" ht="26" customHeight="1">
      <x:c r="A336" s="2"/>
      <x:c r="B336" s="2" t="str">
        <x:v>Fabric &amp; Home Care / price_contribution</x:v>
      </x:c>
      <x:c r="C336" s="2" t="str">
        <x:v>Pre-earnings</x:v>
      </x:c>
      <x:c r="D336" s="2" t="str">
        <x:v>Four-quarter mean</x:v>
      </x:c>
      <x:c r="E336" s="2" t="str">
        <x:v>All available</x:v>
      </x:c>
      <x:c r="F336" s="2" t="n">
        <x:v>12</x:v>
      </x:c>
      <x:c r="G336" s="8" t="n">
        <x:f>SQRT(AVERAGE(Forecasts!N697,Forecasts!N713,Forecasts!N730,Forecasts!N747,Forecasts!N764,Forecasts!N781,Forecasts!N798,Forecasts!N815,Forecasts!N832,Forecasts!N849,Forecasts!N866,Forecasts!N882))</x:f>
        <x:v>3.6550478793033614</x:v>
      </x:c>
      <x:c r="H336" s="8" t="n">
        <x:f>AVERAGE(Forecasts!O697,Forecasts!O713,Forecasts!O730,Forecasts!O747,Forecasts!O764,Forecasts!O781,Forecasts!O798,Forecasts!O815,Forecasts!O832,Forecasts!O849,Forecasts!O866,Forecasts!O882)</x:f>
        <x:v>2.8125</x:v>
      </x:c>
      <x:c r="I336" s="8" t="n">
        <x:f>AVERAGE(Forecasts!M697,Forecasts!M713,Forecasts!M730,Forecasts!M747,Forecasts!M764,Forecasts!M781,Forecasts!M798,Forecasts!M815,Forecasts!M832,Forecasts!M849,Forecasts!M866,Forecasts!M882)</x:f>
        <x:v>2.3541666666666665</x:v>
      </x:c>
      <x:c r="J336" s="8" t="n">
        <x:f>SQRT(AVERAGE(Forecasts!N696,Forecasts!N712,Forecasts!N729,Forecasts!N746,Forecasts!N763,Forecasts!N780,Forecasts!N797,Forecasts!N814,Forecasts!N831,Forecasts!N848,Forecasts!N865,Forecasts!N881))</x:f>
        <x:v>2.6457513110645907</x:v>
      </x:c>
      <x:c r="K336" s="8" t="n">
        <x:f>SQRT(AVERAGE(Forecasts!N698,Forecasts!N714,Forecasts!N731,Forecasts!N748,Forecasts!N765,Forecasts!N782,Forecasts!N799,Forecasts!N816,Forecasts!N833,Forecasts!N850,Forecasts!N867,Forecasts!N883))</x:f>
        <x:v>3.3778282258152</x:v>
      </x:c>
    </x:row>
    <x:row r="337" ht="26" customHeight="1">
      <x:c r="A337" s="2"/>
      <x:c r="B337" s="2" t="str">
        <x:v>Fabric &amp; Home Care / price_contribution</x:v>
      </x:c>
      <x:c r="C337" s="2" t="str">
        <x:v>Pre-earnings</x:v>
      </x:c>
      <x:c r="D337" s="2" t="str">
        <x:v>Four-quarter mean</x:v>
      </x:c>
      <x:c r="E337" s="2" t="str">
        <x:v>Recent eight</x:v>
      </x:c>
      <x:c r="F337" s="2" t="n">
        <x:v>8</x:v>
      </x:c>
      <x:c r="G337" s="8" t="n">
        <x:f>SQRT(AVERAGE(Forecasts!N764,Forecasts!N781,Forecasts!N798,Forecasts!N815,Forecasts!N832,Forecasts!N849,Forecasts!N866,Forecasts!N882))</x:f>
        <x:v>2.5155764746872635</x:v>
      </x:c>
      <x:c r="H337" s="8" t="n">
        <x:f>AVERAGE(Forecasts!O764,Forecasts!O781,Forecasts!O798,Forecasts!O815,Forecasts!O832,Forecasts!O849,Forecasts!O866,Forecasts!O882)</x:f>
        <x:v>1.6875</x:v>
      </x:c>
      <x:c r="I337" s="8" t="n">
        <x:f>AVERAGE(Forecasts!M764,Forecasts!M781,Forecasts!M798,Forecasts!M815,Forecasts!M832,Forecasts!M849,Forecasts!M866,Forecasts!M882)</x:f>
        <x:v>1</x:v>
      </x:c>
      <x:c r="J337" s="8" t="n">
        <x:f>SQRT(AVERAGE(Forecasts!N763,Forecasts!N780,Forecasts!N797,Forecasts!N814,Forecasts!N831,Forecasts!N848,Forecasts!N865,Forecasts!N881))</x:f>
        <x:v>1.1726039399558574</x:v>
      </x:c>
      <x:c r="K337" s="8" t="n">
        <x:f>SQRT(AVERAGE(Forecasts!N765,Forecasts!N782,Forecasts!N799,Forecasts!N816,Forecasts!N833,Forecasts!N850,Forecasts!N867,Forecasts!N883))</x:f>
        <x:v>2.2768633086826062</x:v>
      </x:c>
    </x:row>
    <x:row r="338" ht="26" customHeight="1">
      <x:c r="A338" s="2"/>
      <x:c r="B338" s="2" t="str">
        <x:v>Fabric &amp; Home Care / price_contribution</x:v>
      </x:c>
      <x:c r="C338" s="2" t="str">
        <x:v>Pre-earnings</x:v>
      </x:c>
      <x:c r="D338" s="2" t="str">
        <x:v>Half correction</x:v>
      </x:c>
      <x:c r="E338" s="2" t="str">
        <x:v>All available</x:v>
      </x:c>
      <x:c r="F338" s="2" t="n">
        <x:v>8</x:v>
      </x:c>
      <x:c r="G338" s="8" t="n">
        <x:f>SQRT(AVERAGE(Forecasts!N2587,Forecasts!N2593,Forecasts!N2599,Forecasts!N2605,Forecasts!N2611,Forecasts!N2617,Forecasts!N2623,Forecasts!N2629))</x:f>
        <x:v>1.263765770012136</x:v>
      </x:c>
      <x:c r="H338" s="8" t="n">
        <x:f>AVERAGE(Forecasts!O2587,Forecasts!O2593,Forecasts!O2599,Forecasts!O2605,Forecasts!O2611,Forecasts!O2617,Forecasts!O2623,Forecasts!O2629)</x:f>
        <x:v>0.876128779010308</x:v>
      </x:c>
      <x:c r="I338" s="8" t="n">
        <x:f>AVERAGE(Forecasts!M2587,Forecasts!M2593,Forecasts!M2599,Forecasts!M2605,Forecasts!M2611,Forecasts!M2617,Forecasts!M2623,Forecasts!M2629)</x:f>
        <x:v>0.5410158522613921</x:v>
      </x:c>
      <x:c r="J338" s="8" t="n">
        <x:f>SQRT(AVERAGE(Forecasts!N763,Forecasts!N780,Forecasts!N797,Forecasts!N814,Forecasts!N831,Forecasts!N848,Forecasts!N865,Forecasts!N881))</x:f>
        <x:v>1.1726039399558574</x:v>
      </x:c>
      <x:c r="K338" s="8" t="n">
        <x:f>SQRT(AVERAGE(Forecasts!N765,Forecasts!N782,Forecasts!N799,Forecasts!N816,Forecasts!N833,Forecasts!N850,Forecasts!N867,Forecasts!N883))</x:f>
        <x:v>2.2768633086826062</x:v>
      </x:c>
    </x:row>
    <x:row r="339" ht="26" customHeight="1">
      <x:c r="A339" s="2"/>
      <x:c r="B339" s="2" t="str">
        <x:v>Fabric &amp; Home Care / price_contribution</x:v>
      </x:c>
      <x:c r="C339" s="2" t="str">
        <x:v>Pre-earnings</x:v>
      </x:c>
      <x:c r="D339" s="2" t="str">
        <x:v>Half correction</x:v>
      </x:c>
      <x:c r="E339" s="2" t="str">
        <x:v>Recent eight</x:v>
      </x:c>
      <x:c r="F339" s="2" t="n">
        <x:v>8</x:v>
      </x:c>
      <x:c r="G339" s="8" t="n">
        <x:f>SQRT(AVERAGE(Forecasts!N2587,Forecasts!N2593,Forecasts!N2599,Forecasts!N2605,Forecasts!N2611,Forecasts!N2617,Forecasts!N2623,Forecasts!N2629))</x:f>
        <x:v>1.263765770012136</x:v>
      </x:c>
      <x:c r="H339" s="8" t="n">
        <x:f>AVERAGE(Forecasts!O2587,Forecasts!O2593,Forecasts!O2599,Forecasts!O2605,Forecasts!O2611,Forecasts!O2617,Forecasts!O2623,Forecasts!O2629)</x:f>
        <x:v>0.876128779010308</x:v>
      </x:c>
      <x:c r="I339" s="8" t="n">
        <x:f>AVERAGE(Forecasts!M2587,Forecasts!M2593,Forecasts!M2599,Forecasts!M2605,Forecasts!M2611,Forecasts!M2617,Forecasts!M2623,Forecasts!M2629)</x:f>
        <x:v>0.5410158522613921</x:v>
      </x:c>
      <x:c r="J339" s="8" t="n">
        <x:f>SQRT(AVERAGE(Forecasts!N763,Forecasts!N780,Forecasts!N797,Forecasts!N814,Forecasts!N831,Forecasts!N848,Forecasts!N865,Forecasts!N881))</x:f>
        <x:v>1.1726039399558574</x:v>
      </x:c>
      <x:c r="K339" s="8" t="n">
        <x:f>SQRT(AVERAGE(Forecasts!N765,Forecasts!N782,Forecasts!N799,Forecasts!N816,Forecasts!N833,Forecasts!N850,Forecasts!N867,Forecasts!N883))</x:f>
        <x:v>2.2768633086826062</x:v>
      </x:c>
    </x:row>
    <x:row r="340" ht="26" customHeight="1">
      <x:c r="A340" s="2"/>
      <x:c r="B340" s="2" t="str">
        <x:v>Fabric &amp; Home Care / price_contribution</x:v>
      </x:c>
      <x:c r="C340" s="2" t="str">
        <x:v>Pre-earnings</x:v>
      </x:c>
      <x:c r="D340" s="2" t="str">
        <x:v>Last actual</x:v>
      </x:c>
      <x:c r="E340" s="2" t="str">
        <x:v>All available</x:v>
      </x:c>
      <x:c r="F340" s="2" t="n">
        <x:v>12</x:v>
      </x:c>
      <x:c r="G340" s="8" t="n">
        <x:f>SQRT(AVERAGE(Forecasts!N696,Forecasts!N712,Forecasts!N729,Forecasts!N746,Forecasts!N763,Forecasts!N780,Forecasts!N797,Forecasts!N814,Forecasts!N831,Forecasts!N848,Forecasts!N865,Forecasts!N881))</x:f>
        <x:v>2.6457513110645907</x:v>
      </x:c>
      <x:c r="H340" s="8" t="n">
        <x:f>AVERAGE(Forecasts!O696,Forecasts!O712,Forecasts!O729,Forecasts!O746,Forecasts!O763,Forecasts!O780,Forecasts!O797,Forecasts!O814,Forecasts!O831,Forecasts!O848,Forecasts!O865,Forecasts!O881)</x:f>
        <x:v>1.6666666666666667</x:v>
      </x:c>
      <x:c r="I340" s="8" t="n">
        <x:f>AVERAGE(Forecasts!M696,Forecasts!M712,Forecasts!M729,Forecasts!M746,Forecasts!M763,Forecasts!M780,Forecasts!M797,Forecasts!M814,Forecasts!M831,Forecasts!M848,Forecasts!M865,Forecasts!M881)</x:f>
        <x:v>1</x:v>
      </x:c>
      <x:c r="J340" s="8" t="n">
        <x:f>SQRT(AVERAGE(Forecasts!N696,Forecasts!N712,Forecasts!N729,Forecasts!N746,Forecasts!N763,Forecasts!N780,Forecasts!N797,Forecasts!N814,Forecasts!N831,Forecasts!N848,Forecasts!N865,Forecasts!N881))</x:f>
        <x:v>2.6457513110645907</x:v>
      </x:c>
      <x:c r="K340" s="8" t="n">
        <x:f>SQRT(AVERAGE(Forecasts!N698,Forecasts!N714,Forecasts!N731,Forecasts!N748,Forecasts!N765,Forecasts!N782,Forecasts!N799,Forecasts!N816,Forecasts!N833,Forecasts!N850,Forecasts!N867,Forecasts!N883))</x:f>
        <x:v>3.3778282258152</x:v>
      </x:c>
    </x:row>
    <x:row r="341" ht="26" customHeight="1">
      <x:c r="A341" s="2"/>
      <x:c r="B341" s="2" t="str">
        <x:v>Fabric &amp; Home Care / price_contribution</x:v>
      </x:c>
      <x:c r="C341" s="2" t="str">
        <x:v>Pre-earnings</x:v>
      </x:c>
      <x:c r="D341" s="2" t="str">
        <x:v>Last actual</x:v>
      </x:c>
      <x:c r="E341" s="2" t="str">
        <x:v>Recent eight</x:v>
      </x:c>
      <x:c r="F341" s="2" t="n">
        <x:v>8</x:v>
      </x:c>
      <x:c r="G341" s="8" t="n">
        <x:f>SQRT(AVERAGE(Forecasts!N763,Forecasts!N780,Forecasts!N797,Forecasts!N814,Forecasts!N831,Forecasts!N848,Forecasts!N865,Forecasts!N881))</x:f>
        <x:v>1.1726039399558574</x:v>
      </x:c>
      <x:c r="H341" s="8" t="n">
        <x:f>AVERAGE(Forecasts!O763,Forecasts!O780,Forecasts!O797,Forecasts!O814,Forecasts!O831,Forecasts!O848,Forecasts!O865,Forecasts!O881)</x:f>
        <x:v>0.625</x:v>
      </x:c>
      <x:c r="I341" s="8" t="n">
        <x:f>AVERAGE(Forecasts!M763,Forecasts!M780,Forecasts!M797,Forecasts!M814,Forecasts!M831,Forecasts!M848,Forecasts!M865,Forecasts!M881)</x:f>
        <x:v>0.125</x:v>
      </x:c>
      <x:c r="J341" s="8" t="n">
        <x:f>SQRT(AVERAGE(Forecasts!N763,Forecasts!N780,Forecasts!N797,Forecasts!N814,Forecasts!N831,Forecasts!N848,Forecasts!N865,Forecasts!N881))</x:f>
        <x:v>1.1726039399558574</x:v>
      </x:c>
      <x:c r="K341" s="8" t="n">
        <x:f>SQRT(AVERAGE(Forecasts!N765,Forecasts!N782,Forecasts!N799,Forecasts!N816,Forecasts!N833,Forecasts!N850,Forecasts!N867,Forecasts!N883))</x:f>
        <x:v>2.2768633086826062</x:v>
      </x:c>
    </x:row>
    <x:row r="342" ht="26" customHeight="1">
      <x:c r="A342" s="2"/>
      <x:c r="B342" s="2" t="str">
        <x:v>Fabric &amp; Home Care / price_contribution</x:v>
      </x:c>
      <x:c r="C342" s="2" t="str">
        <x:v>Pre-earnings</x:v>
      </x:c>
      <x:c r="D342" s="2" t="str">
        <x:v>Own history</x:v>
      </x:c>
      <x:c r="E342" s="2" t="str">
        <x:v>All available</x:v>
      </x:c>
      <x:c r="F342" s="2" t="n">
        <x:v>12</x:v>
      </x:c>
      <x:c r="G342" s="8" t="n">
        <x:f>SQRT(AVERAGE(Forecasts!N701,Forecasts!N717,Forecasts!N734,Forecasts!N751,Forecasts!N768,Forecasts!N785,Forecasts!N802,Forecasts!N819,Forecasts!N836,Forecasts!N853,Forecasts!N870,Forecasts!N885))</x:f>
        <x:v>3.10236634045968</x:v>
      </x:c>
      <x:c r="H342" s="8" t="n">
        <x:f>AVERAGE(Forecasts!O701,Forecasts!O717,Forecasts!O734,Forecasts!O751,Forecasts!O768,Forecasts!O785,Forecasts!O802,Forecasts!O819,Forecasts!O836,Forecasts!O853,Forecasts!O870,Forecasts!O885)</x:f>
        <x:v>2.0449370652844094</x:v>
      </x:c>
      <x:c r="I342" s="8" t="n">
        <x:f>AVERAGE(Forecasts!M701,Forecasts!M717,Forecasts!M734,Forecasts!M751,Forecasts!M768,Forecasts!M785,Forecasts!M802,Forecasts!M819,Forecasts!M836,Forecasts!M853,Forecasts!M870,Forecasts!M885)</x:f>
        <x:v>1.7502735256849145</x:v>
      </x:c>
      <x:c r="J342" s="8" t="n">
        <x:f>SQRT(AVERAGE(Forecasts!N696,Forecasts!N712,Forecasts!N729,Forecasts!N746,Forecasts!N763,Forecasts!N780,Forecasts!N797,Forecasts!N814,Forecasts!N831,Forecasts!N848,Forecasts!N865,Forecasts!N881))</x:f>
        <x:v>2.6457513110645907</x:v>
      </x:c>
      <x:c r="K342" s="8" t="n">
        <x:f>SQRT(AVERAGE(Forecasts!N698,Forecasts!N714,Forecasts!N731,Forecasts!N748,Forecasts!N765,Forecasts!N782,Forecasts!N799,Forecasts!N816,Forecasts!N833,Forecasts!N850,Forecasts!N867,Forecasts!N883))</x:f>
        <x:v>3.3778282258152</x:v>
      </x:c>
    </x:row>
    <x:row r="343" ht="26" customHeight="1">
      <x:c r="A343" s="2"/>
      <x:c r="B343" s="2" t="str">
        <x:v>Fabric &amp; Home Care / price_contribution</x:v>
      </x:c>
      <x:c r="C343" s="2" t="str">
        <x:v>Pre-earnings</x:v>
      </x:c>
      <x:c r="D343" s="2" t="str">
        <x:v>Own history</x:v>
      </x:c>
      <x:c r="E343" s="2" t="str">
        <x:v>Recent eight</x:v>
      </x:c>
      <x:c r="F343" s="2" t="n">
        <x:v>8</x:v>
      </x:c>
      <x:c r="G343" s="8" t="n">
        <x:f>SQRT(AVERAGE(Forecasts!N768,Forecasts!N785,Forecasts!N802,Forecasts!N819,Forecasts!N836,Forecasts!N853,Forecasts!N870,Forecasts!N885))</x:f>
        <x:v>1.5539181993997502</x:v>
      </x:c>
      <x:c r="H343" s="8" t="n">
        <x:f>AVERAGE(Forecasts!O768,Forecasts!O785,Forecasts!O802,Forecasts!O819,Forecasts!O836,Forecasts!O853,Forecasts!O870,Forecasts!O885)</x:f>
        <x:v>0.9684049326641526</x:v>
      </x:c>
      <x:c r="I343" s="8" t="n">
        <x:f>AVERAGE(Forecasts!M768,Forecasts!M785,Forecasts!M802,Forecasts!M819,Forecasts!M836,Forecasts!M853,Forecasts!M870,Forecasts!M885)</x:f>
        <x:v>0.8864096232649104</x:v>
      </x:c>
      <x:c r="J343" s="8" t="n">
        <x:f>SQRT(AVERAGE(Forecasts!N763,Forecasts!N780,Forecasts!N797,Forecasts!N814,Forecasts!N831,Forecasts!N848,Forecasts!N865,Forecasts!N881))</x:f>
        <x:v>1.1726039399558574</x:v>
      </x:c>
      <x:c r="K343" s="8" t="n">
        <x:f>SQRT(AVERAGE(Forecasts!N765,Forecasts!N782,Forecasts!N799,Forecasts!N816,Forecasts!N833,Forecasts!N850,Forecasts!N867,Forecasts!N883))</x:f>
        <x:v>2.2768633086826062</x:v>
      </x:c>
    </x:row>
    <x:row r="344" ht="26" customHeight="1">
      <x:c r="A344" s="2"/>
      <x:c r="B344" s="2" t="str">
        <x:v>Grooming / organic_volume_growth</x:v>
      </x:c>
      <x:c r="C344" s="2" t="str">
        <x:v>Origin</x:v>
      </x:c>
      <x:c r="D344" s="2" t="str">
        <x:v>Bias correction</x:v>
      </x:c>
      <x:c r="E344" s="2" t="str">
        <x:v>All available</x:v>
      </x:c>
      <x:c r="F344" s="2" t="n">
        <x:v>7</x:v>
      </x:c>
      <x:c r="G344" s="8" t="n">
        <x:f>SQRT(AVERAGE(Forecasts!N2726,Forecasts!N2732,Forecasts!N2738,Forecasts!N2744,Forecasts!N2750,Forecasts!N2756,Forecasts!N2762))</x:f>
        <x:v>3.4575279341044847</x:v>
      </x:c>
      <x:c r="H344" s="8" t="n">
        <x:f>AVERAGE(Forecasts!O2726,Forecasts!O2732,Forecasts!O2738,Forecasts!O2744,Forecasts!O2750,Forecasts!O2756,Forecasts!O2762)</x:f>
        <x:v>3.1256392573082676</x:v>
      </x:c>
      <x:c r="I344" s="8" t="n">
        <x:f>AVERAGE(Forecasts!M2726,Forecasts!M2732,Forecasts!M2738,Forecasts!M2744,Forecasts!M2750,Forecasts!M2756,Forecasts!M2762)</x:f>
        <x:v>1.918567952263302</x:v>
      </x:c>
      <x:c r="J344" s="8" t="n">
        <x:f>SQRT(AVERAGE(Forecasts!N1357,Forecasts!N1374,Forecasts!N1390,Forecasts!N1406,Forecasts!N1422,Forecasts!N1438,Forecasts!N1454))</x:f>
        <x:v>2.5071326821120348</x:v>
      </x:c>
      <x:c r="K344" s="8" t="n">
        <x:f>SQRT(AVERAGE(Forecasts!N1359,Forecasts!N1376,Forecasts!N1392,Forecasts!N1408,Forecasts!N1424,Forecasts!N1440,Forecasts!N1456))</x:f>
        <x:v>2.77285757510703</x:v>
      </x:c>
    </x:row>
    <x:row r="345" ht="26" customHeight="1">
      <x:c r="A345" s="2"/>
      <x:c r="B345" s="2" t="str">
        <x:v>Grooming / organic_volume_growth</x:v>
      </x:c>
      <x:c r="C345" s="2" t="str">
        <x:v>Origin</x:v>
      </x:c>
      <x:c r="D345" s="2" t="str">
        <x:v>Bias correction</x:v>
      </x:c>
      <x:c r="E345" s="2" t="str">
        <x:v>Recent eight</x:v>
      </x:c>
      <x:c r="F345" s="2" t="n">
        <x:v>7</x:v>
      </x:c>
      <x:c r="G345" s="8" t="n">
        <x:f>SQRT(AVERAGE(Forecasts!N2726,Forecasts!N2732,Forecasts!N2738,Forecasts!N2744,Forecasts!N2750,Forecasts!N2756,Forecasts!N2762))</x:f>
        <x:v>3.4575279341044847</x:v>
      </x:c>
      <x:c r="H345" s="8" t="n">
        <x:f>AVERAGE(Forecasts!O2726,Forecasts!O2732,Forecasts!O2738,Forecasts!O2744,Forecasts!O2750,Forecasts!O2756,Forecasts!O2762)</x:f>
        <x:v>3.1256392573082676</x:v>
      </x:c>
      <x:c r="I345" s="8" t="n">
        <x:f>AVERAGE(Forecasts!M2726,Forecasts!M2732,Forecasts!M2738,Forecasts!M2744,Forecasts!M2750,Forecasts!M2756,Forecasts!M2762)</x:f>
        <x:v>1.918567952263302</x:v>
      </x:c>
      <x:c r="J345" s="8" t="n">
        <x:f>SQRT(AVERAGE(Forecasts!N1357,Forecasts!N1374,Forecasts!N1390,Forecasts!N1406,Forecasts!N1422,Forecasts!N1438,Forecasts!N1454))</x:f>
        <x:v>2.5071326821120348</x:v>
      </x:c>
      <x:c r="K345" s="8" t="n">
        <x:f>SQRT(AVERAGE(Forecasts!N1359,Forecasts!N1376,Forecasts!N1392,Forecasts!N1408,Forecasts!N1424,Forecasts!N1440,Forecasts!N1456))</x:f>
        <x:v>2.77285757510703</x:v>
      </x:c>
    </x:row>
    <x:row r="346" ht="26" customHeight="1">
      <x:c r="A346" s="2"/>
      <x:c r="B346" s="2" t="str">
        <x:v>Grooming / organic_volume_growth</x:v>
      </x:c>
      <x:c r="C346" s="2" t="str">
        <x:v>Origin</x:v>
      </x:c>
      <x:c r="D346" s="2" t="str">
        <x:v>Broad market</x:v>
      </x:c>
      <x:c r="E346" s="2" t="str">
        <x:v>All available</x:v>
      </x:c>
      <x:c r="F346" s="2" t="n">
        <x:v>12</x:v>
      </x:c>
      <x:c r="G346" s="8" t="n">
        <x:f>SQRT(AVERAGE(Forecasts!N1280,Forecasts!N1295,Forecasts!N1311,Forecasts!N1327,Forecasts!N1343,Forecasts!N1359,Forecasts!N1376,Forecasts!N1392,Forecasts!N1408,Forecasts!N1424,Forecasts!N1440,Forecasts!N1456))</x:f>
        <x:v>2.6415591276511163</x:v>
      </x:c>
      <x:c r="H346" s="8" t="n">
        <x:f>AVERAGE(Forecasts!O1280,Forecasts!O1295,Forecasts!O1311,Forecasts!O1327,Forecasts!O1343,Forecasts!O1359,Forecasts!O1376,Forecasts!O1392,Forecasts!O1408,Forecasts!O1424,Forecasts!O1440,Forecasts!O1456)</x:f>
        <x:v>2.196858928554846</x:v>
      </x:c>
      <x:c r="I346" s="8" t="n">
        <x:f>AVERAGE(Forecasts!M1280,Forecasts!M1295,Forecasts!M1311,Forecasts!M1327,Forecasts!M1343,Forecasts!M1359,Forecasts!M1376,Forecasts!M1392,Forecasts!M1408,Forecasts!M1424,Forecasts!M1440,Forecasts!M1456)</x:f>
        <x:v>-1.1505962253322892</x:v>
      </x:c>
      <x:c r="J346" s="8" t="n">
        <x:f>SQRT(AVERAGE(Forecasts!N1278,Forecasts!N1293,Forecasts!N1309,Forecasts!N1325,Forecasts!N1341,Forecasts!N1357,Forecasts!N1374,Forecasts!N1390,Forecasts!N1406,Forecasts!N1422,Forecasts!N1438,Forecasts!N1454))</x:f>
        <x:v>3.095695936834452</x:v>
      </x:c>
      <x:c r="K346" s="8" t="n">
        <x:f>SQRT(AVERAGE(Forecasts!N1280,Forecasts!N1295,Forecasts!N1311,Forecasts!N1327,Forecasts!N1343,Forecasts!N1359,Forecasts!N1376,Forecasts!N1392,Forecasts!N1408,Forecasts!N1424,Forecasts!N1440,Forecasts!N1456))</x:f>
        <x:v>2.6415591276511163</x:v>
      </x:c>
    </x:row>
    <x:row r="347" ht="26" customHeight="1">
      <x:c r="A347" s="2"/>
      <x:c r="B347" s="2" t="str">
        <x:v>Grooming / organic_volume_growth</x:v>
      </x:c>
      <x:c r="C347" s="2" t="str">
        <x:v>Origin</x:v>
      </x:c>
      <x:c r="D347" s="2" t="str">
        <x:v>Broad market</x:v>
      </x:c>
      <x:c r="E347" s="2" t="str">
        <x:v>Recent eight</x:v>
      </x:c>
      <x:c r="F347" s="2" t="n">
        <x:v>8</x:v>
      </x:c>
      <x:c r="G347" s="8" t="n">
        <x:f>SQRT(AVERAGE(Forecasts!N1343,Forecasts!N1359,Forecasts!N1376,Forecasts!N1392,Forecasts!N1408,Forecasts!N1424,Forecasts!N1440,Forecasts!N1456))</x:f>
        <x:v>2.8228664099009704</x:v>
      </x:c>
      <x:c r="H347" s="8" t="n">
        <x:f>AVERAGE(Forecasts!O1343,Forecasts!O1359,Forecasts!O1376,Forecasts!O1392,Forecasts!O1408,Forecasts!O1424,Forecasts!O1440,Forecasts!O1456)</x:f>
        <x:v>2.3675822882104334</x:v>
      </x:c>
      <x:c r="I347" s="8" t="n">
        <x:f>AVERAGE(Forecasts!M1343,Forecasts!M1359,Forecasts!M1376,Forecasts!M1392,Forecasts!M1408,Forecasts!M1424,Forecasts!M1440,Forecasts!M1456)</x:f>
        <x:v>-0.860474907402765</x:v>
      </x:c>
      <x:c r="J347" s="8" t="n">
        <x:f>SQRT(AVERAGE(Forecasts!N1341,Forecasts!N1357,Forecasts!N1374,Forecasts!N1390,Forecasts!N1406,Forecasts!N1422,Forecasts!N1438,Forecasts!N1454))</x:f>
        <x:v>2.3717082451262845</x:v>
      </x:c>
      <x:c r="K347" s="8" t="n">
        <x:f>SQRT(AVERAGE(Forecasts!N1343,Forecasts!N1359,Forecasts!N1376,Forecasts!N1392,Forecasts!N1408,Forecasts!N1424,Forecasts!N1440,Forecasts!N1456))</x:f>
        <x:v>2.8228664099009704</x:v>
      </x:c>
    </x:row>
    <x:row r="348" ht="26" customHeight="1">
      <x:c r="A348" s="2"/>
      <x:c r="B348" s="2" t="str">
        <x:v>Grooming / organic_volume_growth</x:v>
      </x:c>
      <x:c r="C348" s="2" t="str">
        <x:v>Origin</x:v>
      </x:c>
      <x:c r="D348" s="2" t="str">
        <x:v>Broad rolling 8</x:v>
      </x:c>
      <x:c r="E348" s="2" t="str">
        <x:v>All available</x:v>
      </x:c>
      <x:c r="F348" s="2" t="n">
        <x:v>12</x:v>
      </x:c>
      <x:c r="G348" s="8" t="n">
        <x:f>SQRT(AVERAGE(Forecasts!N1281,Forecasts!N1296,Forecasts!N1312,Forecasts!N1328,Forecasts!N1344,Forecasts!N1360,Forecasts!N1377,Forecasts!N1393,Forecasts!N1409,Forecasts!N1425,Forecasts!N1441,Forecasts!N1457))</x:f>
        <x:v>2.6731974141780497</x:v>
      </x:c>
      <x:c r="H348" s="8" t="n">
        <x:f>AVERAGE(Forecasts!O1281,Forecasts!O1296,Forecasts!O1312,Forecasts!O1328,Forecasts!O1344,Forecasts!O1360,Forecasts!O1377,Forecasts!O1393,Forecasts!O1409,Forecasts!O1425,Forecasts!O1441,Forecasts!O1457)</x:f>
        <x:v>2.355355763039548</x:v>
      </x:c>
      <x:c r="I348" s="8" t="n">
        <x:f>AVERAGE(Forecasts!M1281,Forecasts!M1296,Forecasts!M1312,Forecasts!M1328,Forecasts!M1344,Forecasts!M1360,Forecasts!M1377,Forecasts!M1393,Forecasts!M1409,Forecasts!M1425,Forecasts!M1441,Forecasts!M1457)</x:f>
        <x:v>0.10831069451745423</x:v>
      </x:c>
      <x:c r="J348" s="8" t="n">
        <x:f>SQRT(AVERAGE(Forecasts!N1278,Forecasts!N1293,Forecasts!N1309,Forecasts!N1325,Forecasts!N1341,Forecasts!N1357,Forecasts!N1374,Forecasts!N1390,Forecasts!N1406,Forecasts!N1422,Forecasts!N1438,Forecasts!N1454))</x:f>
        <x:v>3.095695936834452</x:v>
      </x:c>
      <x:c r="K348" s="8" t="n">
        <x:f>SQRT(AVERAGE(Forecasts!N1280,Forecasts!N1295,Forecasts!N1311,Forecasts!N1327,Forecasts!N1343,Forecasts!N1359,Forecasts!N1376,Forecasts!N1392,Forecasts!N1408,Forecasts!N1424,Forecasts!N1440,Forecasts!N1456))</x:f>
        <x:v>2.6415591276511163</x:v>
      </x:c>
    </x:row>
    <x:row r="349" ht="26" customHeight="1">
      <x:c r="A349" s="2"/>
      <x:c r="B349" s="2" t="str">
        <x:v>Grooming / organic_volume_growth</x:v>
      </x:c>
      <x:c r="C349" s="2" t="str">
        <x:v>Origin</x:v>
      </x:c>
      <x:c r="D349" s="2" t="str">
        <x:v>Broad rolling 8</x:v>
      </x:c>
      <x:c r="E349" s="2" t="str">
        <x:v>Recent eight</x:v>
      </x:c>
      <x:c r="F349" s="2" t="n">
        <x:v>8</x:v>
      </x:c>
      <x:c r="G349" s="8" t="n">
        <x:f>SQRT(AVERAGE(Forecasts!N1344,Forecasts!N1360,Forecasts!N1377,Forecasts!N1393,Forecasts!N1409,Forecasts!N1425,Forecasts!N1441,Forecasts!N1457))</x:f>
        <x:v>2.89115226266307</x:v>
      </x:c>
      <x:c r="H349" s="8" t="n">
        <x:f>AVERAGE(Forecasts!O1344,Forecasts!O1360,Forecasts!O1377,Forecasts!O1393,Forecasts!O1409,Forecasts!O1425,Forecasts!O1441,Forecasts!O1457)</x:f>
        <x:v>2.6194492280717347</x:v>
      </x:c>
      <x:c r="I349" s="8" t="n">
        <x:f>AVERAGE(Forecasts!M1344,Forecasts!M1360,Forecasts!M1377,Forecasts!M1393,Forecasts!M1409,Forecasts!M1425,Forecasts!M1441,Forecasts!M1457)</x:f>
        <x:v>0.9964909323061748</x:v>
      </x:c>
      <x:c r="J349" s="8" t="n">
        <x:f>SQRT(AVERAGE(Forecasts!N1341,Forecasts!N1357,Forecasts!N1374,Forecasts!N1390,Forecasts!N1406,Forecasts!N1422,Forecasts!N1438,Forecasts!N1454))</x:f>
        <x:v>2.3717082451262845</x:v>
      </x:c>
      <x:c r="K349" s="8" t="n">
        <x:f>SQRT(AVERAGE(Forecasts!N1343,Forecasts!N1359,Forecasts!N1376,Forecasts!N1392,Forecasts!N1408,Forecasts!N1424,Forecasts!N1440,Forecasts!N1456))</x:f>
        <x:v>2.8228664099009704</x:v>
      </x:c>
    </x:row>
    <x:row r="350" ht="26" customHeight="1">
      <x:c r="A350" s="2"/>
      <x:c r="B350" s="2" t="str">
        <x:v>Grooming / organic_volume_growth</x:v>
      </x:c>
      <x:c r="C350" s="2" t="str">
        <x:v>Origin</x:v>
      </x:c>
      <x:c r="D350" s="2" t="str">
        <x:v>Four-quarter mean</x:v>
      </x:c>
      <x:c r="E350" s="2" t="str">
        <x:v>All available</x:v>
      </x:c>
      <x:c r="F350" s="2" t="n">
        <x:v>12</x:v>
      </x:c>
      <x:c r="G350" s="8" t="n">
        <x:f>SQRT(AVERAGE(Forecasts!N1279,Forecasts!N1294,Forecasts!N1310,Forecasts!N1326,Forecasts!N1342,Forecasts!N1358,Forecasts!N1375,Forecasts!N1391,Forecasts!N1407,Forecasts!N1423,Forecasts!N1439,Forecasts!N1455))</x:f>
        <x:v>3.0430932727517024</x:v>
      </x:c>
      <x:c r="H350" s="8" t="n">
        <x:f>AVERAGE(Forecasts!O1279,Forecasts!O1294,Forecasts!O1310,Forecasts!O1326,Forecasts!O1342,Forecasts!O1358,Forecasts!O1375,Forecasts!O1391,Forecasts!O1407,Forecasts!O1423,Forecasts!O1439,Forecasts!O1455)</x:f>
        <x:v>2.6666666666666665</x:v>
      </x:c>
      <x:c r="I350" s="8" t="n">
        <x:f>AVERAGE(Forecasts!M1279,Forecasts!M1294,Forecasts!M1310,Forecasts!M1326,Forecasts!M1342,Forecasts!M1358,Forecasts!M1375,Forecasts!M1391,Forecasts!M1407,Forecasts!M1423,Forecasts!M1439,Forecasts!M1455)</x:f>
        <x:v>-0.4583333333333333</x:v>
      </x:c>
      <x:c r="J350" s="8" t="n">
        <x:f>SQRT(AVERAGE(Forecasts!N1278,Forecasts!N1293,Forecasts!N1309,Forecasts!N1325,Forecasts!N1341,Forecasts!N1357,Forecasts!N1374,Forecasts!N1390,Forecasts!N1406,Forecasts!N1422,Forecasts!N1438,Forecasts!N1454))</x:f>
        <x:v>3.095695936834452</x:v>
      </x:c>
      <x:c r="K350" s="8" t="n">
        <x:f>SQRT(AVERAGE(Forecasts!N1280,Forecasts!N1295,Forecasts!N1311,Forecasts!N1327,Forecasts!N1343,Forecasts!N1359,Forecasts!N1376,Forecasts!N1392,Forecasts!N1408,Forecasts!N1424,Forecasts!N1440,Forecasts!N1456))</x:f>
        <x:v>2.6415591276511163</x:v>
      </x:c>
    </x:row>
    <x:row r="351" ht="26" customHeight="1">
      <x:c r="A351" s="2"/>
      <x:c r="B351" s="2" t="str">
        <x:v>Grooming / organic_volume_growth</x:v>
      </x:c>
      <x:c r="C351" s="2" t="str">
        <x:v>Origin</x:v>
      </x:c>
      <x:c r="D351" s="2" t="str">
        <x:v>Four-quarter mean</x:v>
      </x:c>
      <x:c r="E351" s="2" t="str">
        <x:v>Recent eight</x:v>
      </x:c>
      <x:c r="F351" s="2" t="n">
        <x:v>8</x:v>
      </x:c>
      <x:c r="G351" s="8" t="n">
        <x:f>SQRT(AVERAGE(Forecasts!N1342,Forecasts!N1358,Forecasts!N1375,Forecasts!N1391,Forecasts!N1407,Forecasts!N1423,Forecasts!N1439,Forecasts!N1455))</x:f>
        <x:v>3.0477963350591524</x:v>
      </x:c>
      <x:c r="H351" s="8" t="n">
        <x:f>AVERAGE(Forecasts!O1342,Forecasts!O1358,Forecasts!O1375,Forecasts!O1391,Forecasts!O1407,Forecasts!O1423,Forecasts!O1439,Forecasts!O1455)</x:f>
        <x:v>2.78125</x:v>
      </x:c>
      <x:c r="I351" s="8" t="n">
        <x:f>AVERAGE(Forecasts!M1342,Forecasts!M1358,Forecasts!M1375,Forecasts!M1391,Forecasts!M1407,Forecasts!M1423,Forecasts!M1439,Forecasts!M1455)</x:f>
        <x:v>0.53125</x:v>
      </x:c>
      <x:c r="J351" s="8" t="n">
        <x:f>SQRT(AVERAGE(Forecasts!N1341,Forecasts!N1357,Forecasts!N1374,Forecasts!N1390,Forecasts!N1406,Forecasts!N1422,Forecasts!N1438,Forecasts!N1454))</x:f>
        <x:v>2.3717082451262845</x:v>
      </x:c>
      <x:c r="K351" s="8" t="n">
        <x:f>SQRT(AVERAGE(Forecasts!N1343,Forecasts!N1359,Forecasts!N1376,Forecasts!N1392,Forecasts!N1408,Forecasts!N1424,Forecasts!N1440,Forecasts!N1456))</x:f>
        <x:v>2.8228664099009704</x:v>
      </x:c>
    </x:row>
    <x:row r="352" ht="26" customHeight="1">
      <x:c r="A352" s="2"/>
      <x:c r="B352" s="2" t="str">
        <x:v>Grooming / organic_volume_growth</x:v>
      </x:c>
      <x:c r="C352" s="2" t="str">
        <x:v>Origin</x:v>
      </x:c>
      <x:c r="D352" s="2" t="str">
        <x:v>Half correction</x:v>
      </x:c>
      <x:c r="E352" s="2" t="str">
        <x:v>All available</x:v>
      </x:c>
      <x:c r="F352" s="2" t="n">
        <x:v>7</x:v>
      </x:c>
      <x:c r="G352" s="8" t="n">
        <x:f>SQRT(AVERAGE(Forecasts!N2727,Forecasts!N2733,Forecasts!N2739,Forecasts!N2745,Forecasts!N2751,Forecasts!N2757,Forecasts!N2763))</x:f>
        <x:v>2.837068137149984</x:v>
      </x:c>
      <x:c r="H352" s="8" t="n">
        <x:f>AVERAGE(Forecasts!O2727,Forecasts!O2733,Forecasts!O2739,Forecasts!O2745,Forecasts!O2751,Forecasts!O2757,Forecasts!O2763)</x:f>
        <x:v>2.4659877897470084</x:v>
      </x:c>
      <x:c r="I352" s="8" t="n">
        <x:f>AVERAGE(Forecasts!M2727,Forecasts!M2733,Forecasts!M2739,Forecasts!M2745,Forecasts!M2751,Forecasts!M2757,Forecasts!M2763)</x:f>
        <x:v>0.692639852305084</x:v>
      </x:c>
      <x:c r="J352" s="8" t="n">
        <x:f>SQRT(AVERAGE(Forecasts!N1357,Forecasts!N1374,Forecasts!N1390,Forecasts!N1406,Forecasts!N1422,Forecasts!N1438,Forecasts!N1454))</x:f>
        <x:v>2.5071326821120348</x:v>
      </x:c>
      <x:c r="K352" s="8" t="n">
        <x:f>SQRT(AVERAGE(Forecasts!N1359,Forecasts!N1376,Forecasts!N1392,Forecasts!N1408,Forecasts!N1424,Forecasts!N1440,Forecasts!N1456))</x:f>
        <x:v>2.77285757510703</x:v>
      </x:c>
    </x:row>
    <x:row r="353" ht="26" customHeight="1">
      <x:c r="A353" s="2"/>
      <x:c r="B353" s="2" t="str">
        <x:v>Grooming / organic_volume_growth</x:v>
      </x:c>
      <x:c r="C353" s="2" t="str">
        <x:v>Origin</x:v>
      </x:c>
      <x:c r="D353" s="2" t="str">
        <x:v>Half correction</x:v>
      </x:c>
      <x:c r="E353" s="2" t="str">
        <x:v>Recent eight</x:v>
      </x:c>
      <x:c r="F353" s="2" t="n">
        <x:v>7</x:v>
      </x:c>
      <x:c r="G353" s="8" t="n">
        <x:f>SQRT(AVERAGE(Forecasts!N2727,Forecasts!N2733,Forecasts!N2739,Forecasts!N2745,Forecasts!N2751,Forecasts!N2757,Forecasts!N2763))</x:f>
        <x:v>2.837068137149984</x:v>
      </x:c>
      <x:c r="H353" s="8" t="n">
        <x:f>AVERAGE(Forecasts!O2727,Forecasts!O2733,Forecasts!O2739,Forecasts!O2745,Forecasts!O2751,Forecasts!O2757,Forecasts!O2763)</x:f>
        <x:v>2.4659877897470084</x:v>
      </x:c>
      <x:c r="I353" s="8" t="n">
        <x:f>AVERAGE(Forecasts!M2727,Forecasts!M2733,Forecasts!M2739,Forecasts!M2745,Forecasts!M2751,Forecasts!M2757,Forecasts!M2763)</x:f>
        <x:v>0.692639852305084</x:v>
      </x:c>
      <x:c r="J353" s="8" t="n">
        <x:f>SQRT(AVERAGE(Forecasts!N1357,Forecasts!N1374,Forecasts!N1390,Forecasts!N1406,Forecasts!N1422,Forecasts!N1438,Forecasts!N1454))</x:f>
        <x:v>2.5071326821120348</x:v>
      </x:c>
      <x:c r="K353" s="8" t="n">
        <x:f>SQRT(AVERAGE(Forecasts!N1359,Forecasts!N1376,Forecasts!N1392,Forecasts!N1408,Forecasts!N1424,Forecasts!N1440,Forecasts!N1456))</x:f>
        <x:v>2.77285757510703</x:v>
      </x:c>
    </x:row>
    <x:row r="354" ht="26" customHeight="1">
      <x:c r="A354" s="2"/>
      <x:c r="B354" s="2" t="str">
        <x:v>Grooming / organic_volume_growth</x:v>
      </x:c>
      <x:c r="C354" s="2" t="str">
        <x:v>Origin</x:v>
      </x:c>
      <x:c r="D354" s="2" t="str">
        <x:v>Last actual</x:v>
      </x:c>
      <x:c r="E354" s="2" t="str">
        <x:v>All available</x:v>
      </x:c>
      <x:c r="F354" s="2" t="n">
        <x:v>12</x:v>
      </x:c>
      <x:c r="G354" s="8" t="n">
        <x:f>SQRT(AVERAGE(Forecasts!N1278,Forecasts!N1293,Forecasts!N1309,Forecasts!N1325,Forecasts!N1341,Forecasts!N1357,Forecasts!N1374,Forecasts!N1390,Forecasts!N1406,Forecasts!N1422,Forecasts!N1438,Forecasts!N1454))</x:f>
        <x:v>3.095695936834452</x:v>
      </x:c>
      <x:c r="H354" s="8" t="n">
        <x:f>AVERAGE(Forecasts!O1278,Forecasts!O1293,Forecasts!O1309,Forecasts!O1325,Forecasts!O1341,Forecasts!O1357,Forecasts!O1374,Forecasts!O1390,Forecasts!O1406,Forecasts!O1422,Forecasts!O1438,Forecasts!O1454)</x:f>
        <x:v>2.4166666666666665</x:v>
      </x:c>
      <x:c r="I354" s="8" t="n">
        <x:f>AVERAGE(Forecasts!M1278,Forecasts!M1293,Forecasts!M1309,Forecasts!M1325,Forecasts!M1341,Forecasts!M1357,Forecasts!M1374,Forecasts!M1390,Forecasts!M1406,Forecasts!M1422,Forecasts!M1438,Forecasts!M1454)</x:f>
        <x:v>-0.4166666666666667</x:v>
      </x:c>
      <x:c r="J354" s="8" t="n">
        <x:f>SQRT(AVERAGE(Forecasts!N1278,Forecasts!N1293,Forecasts!N1309,Forecasts!N1325,Forecasts!N1341,Forecasts!N1357,Forecasts!N1374,Forecasts!N1390,Forecasts!N1406,Forecasts!N1422,Forecasts!N1438,Forecasts!N1454))</x:f>
        <x:v>3.095695936834452</x:v>
      </x:c>
      <x:c r="K354" s="8" t="n">
        <x:f>SQRT(AVERAGE(Forecasts!N1280,Forecasts!N1295,Forecasts!N1311,Forecasts!N1327,Forecasts!N1343,Forecasts!N1359,Forecasts!N1376,Forecasts!N1392,Forecasts!N1408,Forecasts!N1424,Forecasts!N1440,Forecasts!N1456))</x:f>
        <x:v>2.6415591276511163</x:v>
      </x:c>
    </x:row>
    <x:row r="355" ht="26" customHeight="1">
      <x:c r="A355" s="2"/>
      <x:c r="B355" s="2" t="str">
        <x:v>Grooming / organic_volume_growth</x:v>
      </x:c>
      <x:c r="C355" s="2" t="str">
        <x:v>Origin</x:v>
      </x:c>
      <x:c r="D355" s="2" t="str">
        <x:v>Last actual</x:v>
      </x:c>
      <x:c r="E355" s="2" t="str">
        <x:v>Recent eight</x:v>
      </x:c>
      <x:c r="F355" s="2" t="n">
        <x:v>8</x:v>
      </x:c>
      <x:c r="G355" s="8" t="n">
        <x:f>SQRT(AVERAGE(Forecasts!N1341,Forecasts!N1357,Forecasts!N1374,Forecasts!N1390,Forecasts!N1406,Forecasts!N1422,Forecasts!N1438,Forecasts!N1454))</x:f>
        <x:v>2.3717082451262845</x:v>
      </x:c>
      <x:c r="H355" s="8" t="n">
        <x:f>AVERAGE(Forecasts!O1341,Forecasts!O1357,Forecasts!O1374,Forecasts!O1390,Forecasts!O1406,Forecasts!O1422,Forecasts!O1438,Forecasts!O1454)</x:f>
        <x:v>1.875</x:v>
      </x:c>
      <x:c r="I355" s="8" t="n">
        <x:f>AVERAGE(Forecasts!M1341,Forecasts!M1357,Forecasts!M1374,Forecasts!M1390,Forecasts!M1406,Forecasts!M1422,Forecasts!M1438,Forecasts!M1454)</x:f>
        <x:v>0.875</x:v>
      </x:c>
      <x:c r="J355" s="8" t="n">
        <x:f>SQRT(AVERAGE(Forecasts!N1341,Forecasts!N1357,Forecasts!N1374,Forecasts!N1390,Forecasts!N1406,Forecasts!N1422,Forecasts!N1438,Forecasts!N1454))</x:f>
        <x:v>2.3717082451262845</x:v>
      </x:c>
      <x:c r="K355" s="8" t="n">
        <x:f>SQRT(AVERAGE(Forecasts!N1343,Forecasts!N1359,Forecasts!N1376,Forecasts!N1392,Forecasts!N1408,Forecasts!N1424,Forecasts!N1440,Forecasts!N1456))</x:f>
        <x:v>2.8228664099009704</x:v>
      </x:c>
    </x:row>
    <x:row r="356" ht="26" customHeight="1">
      <x:c r="A356" s="2"/>
      <x:c r="B356" s="2" t="str">
        <x:v>Grooming / organic_volume_growth</x:v>
      </x:c>
      <x:c r="C356" s="2" t="str">
        <x:v>Origin</x:v>
      </x:c>
      <x:c r="D356" s="2" t="str">
        <x:v>Own history</x:v>
      </x:c>
      <x:c r="E356" s="2" t="str">
        <x:v>All available</x:v>
      </x:c>
      <x:c r="F356" s="2" t="n">
        <x:v>10</x:v>
      </x:c>
      <x:c r="G356" s="8" t="n">
        <x:f>SQRT(AVERAGE(Forecasts!N1313,Forecasts!N1329,Forecasts!N1345,Forecasts!N1361,Forecasts!N1378,Forecasts!N1394,Forecasts!N1410,Forecasts!N1426,Forecasts!N1442,Forecasts!N1458))</x:f>
        <x:v>2.577932948100848</x:v>
      </x:c>
      <x:c r="H356" s="8" t="n">
        <x:f>AVERAGE(Forecasts!O1313,Forecasts!O1329,Forecasts!O1345,Forecasts!O1361,Forecasts!O1378,Forecasts!O1394,Forecasts!O1410,Forecasts!O1426,Forecasts!O1442,Forecasts!O1458)</x:f>
        <x:v>2.264777124148736</x:v>
      </x:c>
      <x:c r="I356" s="8" t="n">
        <x:f>AVERAGE(Forecasts!M1313,Forecasts!M1329,Forecasts!M1345,Forecasts!M1361,Forecasts!M1378,Forecasts!M1394,Forecasts!M1410,Forecasts!M1426,Forecasts!M1442,Forecasts!M1458)</x:f>
        <x:v>-0.8821197896364874</x:v>
      </x:c>
      <x:c r="J356" s="8" t="n">
        <x:f>SQRT(AVERAGE(Forecasts!N1309,Forecasts!N1325,Forecasts!N1341,Forecasts!N1357,Forecasts!N1374,Forecasts!N1390,Forecasts!N1406,Forecasts!N1422,Forecasts!N1438,Forecasts!N1454))</x:f>
        <x:v>2.5495097567963922</x:v>
      </x:c>
      <x:c r="K356" s="8" t="n">
        <x:f>SQRT(AVERAGE(Forecasts!N1311,Forecasts!N1327,Forecasts!N1343,Forecasts!N1359,Forecasts!N1376,Forecasts!N1392,Forecasts!N1408,Forecasts!N1424,Forecasts!N1440,Forecasts!N1456))</x:f>
        <x:v>2.8699887783223756</x:v>
      </x:c>
    </x:row>
    <x:row r="357" ht="26" customHeight="1">
      <x:c r="A357" s="2"/>
      <x:c r="B357" s="2" t="str">
        <x:v>Grooming / organic_volume_growth</x:v>
      </x:c>
      <x:c r="C357" s="2" t="str">
        <x:v>Origin</x:v>
      </x:c>
      <x:c r="D357" s="2" t="str">
        <x:v>Own history</x:v>
      </x:c>
      <x:c r="E357" s="2" t="str">
        <x:v>Recent eight</x:v>
      </x:c>
      <x:c r="F357" s="2" t="n">
        <x:v>8</x:v>
      </x:c>
      <x:c r="G357" s="8" t="n">
        <x:f>SQRT(AVERAGE(Forecasts!N1345,Forecasts!N1361,Forecasts!N1378,Forecasts!N1394,Forecasts!N1410,Forecasts!N1426,Forecasts!N1442,Forecasts!N1458))</x:f>
        <x:v>2.4651144473558455</x:v>
      </x:c>
      <x:c r="H357" s="8" t="n">
        <x:f>AVERAGE(Forecasts!O1345,Forecasts!O1361,Forecasts!O1378,Forecasts!O1394,Forecasts!O1410,Forecasts!O1426,Forecasts!O1442,Forecasts!O1458)</x:f>
        <x:v>2.104532913122428</x:v>
      </x:c>
      <x:c r="I357" s="8" t="n">
        <x:f>AVERAGE(Forecasts!M1345,Forecasts!M1361,Forecasts!M1378,Forecasts!M1394,Forecasts!M1410,Forecasts!M1426,Forecasts!M1442,Forecasts!M1458)</x:f>
        <x:v>-0.37621124498211705</x:v>
      </x:c>
      <x:c r="J357" s="8" t="n">
        <x:f>SQRT(AVERAGE(Forecasts!N1341,Forecasts!N1357,Forecasts!N1374,Forecasts!N1390,Forecasts!N1406,Forecasts!N1422,Forecasts!N1438,Forecasts!N1454))</x:f>
        <x:v>2.3717082451262845</x:v>
      </x:c>
      <x:c r="K357" s="8" t="n">
        <x:f>SQRT(AVERAGE(Forecasts!N1343,Forecasts!N1359,Forecasts!N1376,Forecasts!N1392,Forecasts!N1408,Forecasts!N1424,Forecasts!N1440,Forecasts!N1456))</x:f>
        <x:v>2.8228664099009704</x:v>
      </x:c>
    </x:row>
    <x:row r="358" ht="26" customHeight="1">
      <x:c r="A358" s="2"/>
      <x:c r="B358" s="2" t="str">
        <x:v>Grooming / organic_volume_growth</x:v>
      </x:c>
      <x:c r="C358" s="2" t="str">
        <x:v>Prior report</x:v>
      </x:c>
      <x:c r="D358" s="2" t="str">
        <x:v>Bias correction</x:v>
      </x:c>
      <x:c r="E358" s="2" t="str">
        <x:v>All available</x:v>
      </x:c>
      <x:c r="F358" s="2" t="n">
        <x:v>8</x:v>
      </x:c>
      <x:c r="G358" s="8" t="n">
        <x:f>SQRT(AVERAGE(Forecasts!N2722,Forecasts!N2728,Forecasts!N2734,Forecasts!N2740,Forecasts!N2746,Forecasts!N2752,Forecasts!N2758,Forecasts!N2764))</x:f>
        <x:v>2.633395789619979</x:v>
      </x:c>
      <x:c r="H358" s="8" t="n">
        <x:f>AVERAGE(Forecasts!O2722,Forecasts!O2728,Forecasts!O2734,Forecasts!O2740,Forecasts!O2746,Forecasts!O2752,Forecasts!O2758,Forecasts!O2764)</x:f>
        <x:v>2.4190178702468237</x:v>
      </x:c>
      <x:c r="I358" s="8" t="n">
        <x:f>AVERAGE(Forecasts!M2722,Forecasts!M2728,Forecasts!M2734,Forecasts!M2740,Forecasts!M2746,Forecasts!M2752,Forecasts!M2758,Forecasts!M2764)</x:f>
        <x:v>1.192731727176024</x:v>
      </x:c>
      <x:c r="J358" s="8" t="n">
        <x:f>SQRT(AVERAGE(Forecasts!N1346,Forecasts!N1362,Forecasts!N1379,Forecasts!N1395,Forecasts!N1411,Forecasts!N1427,Forecasts!N1443,Forecasts!N1459))</x:f>
        <x:v>2.1213203435596424</x:v>
      </x:c>
      <x:c r="K358" s="8" t="n">
        <x:f>SQRT(AVERAGE(Forecasts!N1348,Forecasts!N1364,Forecasts!N1381,Forecasts!N1397,Forecasts!N1413,Forecasts!N1429,Forecasts!N1445,Forecasts!N1461))</x:f>
        <x:v>2.759910017926632</x:v>
      </x:c>
    </x:row>
    <x:row r="359" ht="26" customHeight="1">
      <x:c r="A359" s="2"/>
      <x:c r="B359" s="2" t="str">
        <x:v>Grooming / organic_volume_growth</x:v>
      </x:c>
      <x:c r="C359" s="2" t="str">
        <x:v>Prior report</x:v>
      </x:c>
      <x:c r="D359" s="2" t="str">
        <x:v>Bias correction</x:v>
      </x:c>
      <x:c r="E359" s="2" t="str">
        <x:v>Recent eight</x:v>
      </x:c>
      <x:c r="F359" s="2" t="n">
        <x:v>8</x:v>
      </x:c>
      <x:c r="G359" s="8" t="n">
        <x:f>SQRT(AVERAGE(Forecasts!N2722,Forecasts!N2728,Forecasts!N2734,Forecasts!N2740,Forecasts!N2746,Forecasts!N2752,Forecasts!N2758,Forecasts!N2764))</x:f>
        <x:v>2.633395789619979</x:v>
      </x:c>
      <x:c r="H359" s="8" t="n">
        <x:f>AVERAGE(Forecasts!O2722,Forecasts!O2728,Forecasts!O2734,Forecasts!O2740,Forecasts!O2746,Forecasts!O2752,Forecasts!O2758,Forecasts!O2764)</x:f>
        <x:v>2.4190178702468237</x:v>
      </x:c>
      <x:c r="I359" s="8" t="n">
        <x:f>AVERAGE(Forecasts!M2722,Forecasts!M2728,Forecasts!M2734,Forecasts!M2740,Forecasts!M2746,Forecasts!M2752,Forecasts!M2758,Forecasts!M2764)</x:f>
        <x:v>1.192731727176024</x:v>
      </x:c>
      <x:c r="J359" s="8" t="n">
        <x:f>SQRT(AVERAGE(Forecasts!N1346,Forecasts!N1362,Forecasts!N1379,Forecasts!N1395,Forecasts!N1411,Forecasts!N1427,Forecasts!N1443,Forecasts!N1459))</x:f>
        <x:v>2.1213203435596424</x:v>
      </x:c>
      <x:c r="K359" s="8" t="n">
        <x:f>SQRT(AVERAGE(Forecasts!N1348,Forecasts!N1364,Forecasts!N1381,Forecasts!N1397,Forecasts!N1413,Forecasts!N1429,Forecasts!N1445,Forecasts!N1461))</x:f>
        <x:v>2.759910017926632</x:v>
      </x:c>
    </x:row>
    <x:row r="360" ht="26" customHeight="1">
      <x:c r="A360" s="2"/>
      <x:c r="B360" s="2" t="str">
        <x:v>Grooming / organic_volume_growth</x:v>
      </x:c>
      <x:c r="C360" s="2" t="str">
        <x:v>Prior report</x:v>
      </x:c>
      <x:c r="D360" s="2" t="str">
        <x:v>Broad lag 1</x:v>
      </x:c>
      <x:c r="E360" s="2" t="str">
        <x:v>All available</x:v>
      </x:c>
      <x:c r="F360" s="2" t="n">
        <x:v>2</x:v>
      </x:c>
      <x:c r="G360" s="8" t="n">
        <x:f>SQRT(AVERAGE(Forecasts!N1300,Forecasts!N1365))</x:f>
        <x:v>3.902178967130129</x:v>
      </x:c>
      <x:c r="H360" s="8" t="n">
        <x:f>AVERAGE(Forecasts!O1300,Forecasts!O1365)</x:f>
        <x:v>3.015017218237986</x:v>
      </x:c>
      <x:c r="I360" s="8" t="n">
        <x:f>AVERAGE(Forecasts!M1300,Forecasts!M1365)</x:f>
        <x:v>-2.477230684704441</x:v>
      </x:c>
      <x:c r="J360" s="8" t="n">
        <x:f>SQRT(AVERAGE(Forecasts!N1297,Forecasts!N1362))</x:f>
        <x:v>2.23606797749979</x:v>
      </x:c>
      <x:c r="K360" s="8" t="n">
        <x:f>SQRT(AVERAGE(Forecasts!N1299,Forecasts!N1364))</x:f>
        <x:v>3.983114323332505</x:v>
      </x:c>
    </x:row>
    <x:row r="361" ht="26" customHeight="1">
      <x:c r="A361" s="2"/>
      <x:c r="B361" s="2" t="str">
        <x:v>Grooming / organic_volume_growth</x:v>
      </x:c>
      <x:c r="C361" s="2" t="str">
        <x:v>Prior report</x:v>
      </x:c>
      <x:c r="D361" s="2" t="str">
        <x:v>Broad lag 1</x:v>
      </x:c>
      <x:c r="E361" s="2" t="str">
        <x:v>Recent eight</x:v>
      </x:c>
      <x:c r="F361" s="2" t="n">
        <x:v>1</x:v>
      </x:c>
      <x:c r="G361" s="8" t="n">
        <x:f>SQRT(AVERAGE(Forecasts!N1365))</x:f>
        <x:v>5.492247902942427</x:v>
      </x:c>
      <x:c r="H361" s="8" t="n">
        <x:f>AVERAGE(Forecasts!O1365)</x:f>
        <x:v>5.492247902942427</x:v>
      </x:c>
      <x:c r="I361" s="8" t="n">
        <x:f>AVERAGE(Forecasts!M1365)</x:f>
        <x:v>-5.492247902942427</x:v>
      </x:c>
      <x:c r="J361" s="8" t="n">
        <x:f>SQRT(AVERAGE(Forecasts!N1362))</x:f>
        <x:v>3</x:v>
      </x:c>
      <x:c r="K361" s="8" t="n">
        <x:f>SQRT(AVERAGE(Forecasts!N1364))</x:f>
        <x:v>5.614411992761831</x:v>
      </x:c>
    </x:row>
    <x:row r="362" ht="26" customHeight="1">
      <x:c r="A362" s="2"/>
      <x:c r="B362" s="2" t="str">
        <x:v>Grooming / organic_volume_growth</x:v>
      </x:c>
      <x:c r="C362" s="2" t="str">
        <x:v>Prior report</x:v>
      </x:c>
      <x:c r="D362" s="2" t="str">
        <x:v>Broad market</x:v>
      </x:c>
      <x:c r="E362" s="2" t="str">
        <x:v>All available</x:v>
      </x:c>
      <x:c r="F362" s="2" t="n">
        <x:v>12</x:v>
      </x:c>
      <x:c r="G362" s="8" t="n">
        <x:f>SQRT(AVERAGE(Forecasts!N1284,Forecasts!N1299,Forecasts!N1316,Forecasts!N1332,Forecasts!N1348,Forecasts!N1364,Forecasts!N1381,Forecasts!N1397,Forecasts!N1413,Forecasts!N1429,Forecasts!N1445,Forecasts!N1461))</x:f>
        <x:v>2.5991817163385798</x:v>
      </x:c>
      <x:c r="H362" s="8" t="n">
        <x:f>AVERAGE(Forecasts!O1284,Forecasts!O1299,Forecasts!O1316,Forecasts!O1332,Forecasts!O1348,Forecasts!O1364,Forecasts!O1381,Forecasts!O1397,Forecasts!O1413,Forecasts!O1429,Forecasts!O1445,Forecasts!O1461)</x:f>
        <x:v>2.1880990417732726</x:v>
      </x:c>
      <x:c r="I362" s="8" t="n">
        <x:f>AVERAGE(Forecasts!M1284,Forecasts!M1299,Forecasts!M1316,Forecasts!M1332,Forecasts!M1348,Forecasts!M1364,Forecasts!M1381,Forecasts!M1397,Forecasts!M1413,Forecasts!M1429,Forecasts!M1445,Forecasts!M1461)</x:f>
        <x:v>-1.125945961129152</x:v>
      </x:c>
      <x:c r="J362" s="8" t="n">
        <x:f>SQRT(AVERAGE(Forecasts!N1282,Forecasts!N1297,Forecasts!N1314,Forecasts!N1330,Forecasts!N1346,Forecasts!N1362,Forecasts!N1379,Forecasts!N1395,Forecasts!N1411,Forecasts!N1427,Forecasts!N1443,Forecasts!N1459))</x:f>
        <x:v>1.9790570145063195</x:v>
      </x:c>
      <x:c r="K362" s="8" t="n">
        <x:f>SQRT(AVERAGE(Forecasts!N1284,Forecasts!N1299,Forecasts!N1316,Forecasts!N1332,Forecasts!N1348,Forecasts!N1364,Forecasts!N1381,Forecasts!N1397,Forecasts!N1413,Forecasts!N1429,Forecasts!N1445,Forecasts!N1461))</x:f>
        <x:v>2.5991817163385798</x:v>
      </x:c>
    </x:row>
    <x:row r="363" ht="26" customHeight="1">
      <x:c r="A363" s="2"/>
      <x:c r="B363" s="2" t="str">
        <x:v>Grooming / organic_volume_growth</x:v>
      </x:c>
      <x:c r="C363" s="2" t="str">
        <x:v>Prior report</x:v>
      </x:c>
      <x:c r="D363" s="2" t="str">
        <x:v>Broad market</x:v>
      </x:c>
      <x:c r="E363" s="2" t="str">
        <x:v>Recent eight</x:v>
      </x:c>
      <x:c r="F363" s="2" t="n">
        <x:v>8</x:v>
      </x:c>
      <x:c r="G363" s="8" t="n">
        <x:f>SQRT(AVERAGE(Forecasts!N1348,Forecasts!N1364,Forecasts!N1381,Forecasts!N1397,Forecasts!N1413,Forecasts!N1429,Forecasts!N1445,Forecasts!N1461))</x:f>
        <x:v>2.759910017926632</x:v>
      </x:c>
      <x:c r="H363" s="8" t="n">
        <x:f>AVERAGE(Forecasts!O1348,Forecasts!O1364,Forecasts!O1381,Forecasts!O1397,Forecasts!O1413,Forecasts!O1429,Forecasts!O1445,Forecasts!O1461)</x:f>
        <x:v>2.328470587875599</x:v>
      </x:c>
      <x:c r="I363" s="8" t="n">
        <x:f>AVERAGE(Forecasts!M1348,Forecasts!M1364,Forecasts!M1381,Forecasts!M1397,Forecasts!M1413,Forecasts!M1429,Forecasts!M1445,Forecasts!M1461)</x:f>
        <x:v>-0.8494713812605336</x:v>
      </x:c>
      <x:c r="J363" s="8" t="n">
        <x:f>SQRT(AVERAGE(Forecasts!N1346,Forecasts!N1362,Forecasts!N1379,Forecasts!N1395,Forecasts!N1411,Forecasts!N1427,Forecasts!N1443,Forecasts!N1459))</x:f>
        <x:v>2.1213203435596424</x:v>
      </x:c>
      <x:c r="K363" s="8" t="n">
        <x:f>SQRT(AVERAGE(Forecasts!N1348,Forecasts!N1364,Forecasts!N1381,Forecasts!N1397,Forecasts!N1413,Forecasts!N1429,Forecasts!N1445,Forecasts!N1461))</x:f>
        <x:v>2.759910017926632</x:v>
      </x:c>
    </x:row>
    <x:row r="364" ht="26" customHeight="1">
      <x:c r="A364" s="2"/>
      <x:c r="B364" s="2" t="str">
        <x:v>Grooming / organic_volume_growth</x:v>
      </x:c>
      <x:c r="C364" s="2" t="str">
        <x:v>Prior report</x:v>
      </x:c>
      <x:c r="D364" s="2" t="str">
        <x:v>Broad rolling 8</x:v>
      </x:c>
      <x:c r="E364" s="2" t="str">
        <x:v>All available</x:v>
      </x:c>
      <x:c r="F364" s="2" t="n">
        <x:v>12</x:v>
      </x:c>
      <x:c r="G364" s="8" t="n">
        <x:f>SQRT(AVERAGE(Forecasts!N1285,Forecasts!N1301,Forecasts!N1317,Forecasts!N1333,Forecasts!N1349,Forecasts!N1366,Forecasts!N1382,Forecasts!N1398,Forecasts!N1414,Forecasts!N1430,Forecasts!N1446,Forecasts!N1462))</x:f>
        <x:v>2.676544399277234</x:v>
      </x:c>
      <x:c r="H364" s="8" t="n">
        <x:f>AVERAGE(Forecasts!O1285,Forecasts!O1301,Forecasts!O1317,Forecasts!O1333,Forecasts!O1349,Forecasts!O1366,Forecasts!O1382,Forecasts!O1398,Forecasts!O1414,Forecasts!O1430,Forecasts!O1446,Forecasts!O1462)</x:f>
        <x:v>2.3742658923452233</x:v>
      </x:c>
      <x:c r="I364" s="8" t="n">
        <x:f>AVERAGE(Forecasts!M1285,Forecasts!M1301,Forecasts!M1317,Forecasts!M1333,Forecasts!M1349,Forecasts!M1366,Forecasts!M1382,Forecasts!M1398,Forecasts!M1414,Forecasts!M1430,Forecasts!M1446,Forecasts!M1462)</x:f>
        <x:v>0.15835229078566707</x:v>
      </x:c>
      <x:c r="J364" s="8" t="n">
        <x:f>SQRT(AVERAGE(Forecasts!N1282,Forecasts!N1297,Forecasts!N1314,Forecasts!N1330,Forecasts!N1346,Forecasts!N1362,Forecasts!N1379,Forecasts!N1395,Forecasts!N1411,Forecasts!N1427,Forecasts!N1443,Forecasts!N1459))</x:f>
        <x:v>1.9790570145063195</x:v>
      </x:c>
      <x:c r="K364" s="8" t="n">
        <x:f>SQRT(AVERAGE(Forecasts!N1284,Forecasts!N1299,Forecasts!N1316,Forecasts!N1332,Forecasts!N1348,Forecasts!N1364,Forecasts!N1381,Forecasts!N1397,Forecasts!N1413,Forecasts!N1429,Forecasts!N1445,Forecasts!N1461))</x:f>
        <x:v>2.5991817163385798</x:v>
      </x:c>
    </x:row>
    <x:row r="365" ht="26" customHeight="1">
      <x:c r="A365" s="2"/>
      <x:c r="B365" s="2" t="str">
        <x:v>Grooming / organic_volume_growth</x:v>
      </x:c>
      <x:c r="C365" s="2" t="str">
        <x:v>Prior report</x:v>
      </x:c>
      <x:c r="D365" s="2" t="str">
        <x:v>Broad rolling 8</x:v>
      </x:c>
      <x:c r="E365" s="2" t="str">
        <x:v>Recent eight</x:v>
      </x:c>
      <x:c r="F365" s="2" t="n">
        <x:v>8</x:v>
      </x:c>
      <x:c r="G365" s="8" t="n">
        <x:f>SQRT(AVERAGE(Forecasts!N1349,Forecasts!N1366,Forecasts!N1382,Forecasts!N1398,Forecasts!N1414,Forecasts!N1430,Forecasts!N1446,Forecasts!N1462))</x:f>
        <x:v>2.8922406213495533</x:v>
      </x:c>
      <x:c r="H365" s="8" t="n">
        <x:f>AVERAGE(Forecasts!O1349,Forecasts!O1366,Forecasts!O1382,Forecasts!O1398,Forecasts!O1414,Forecasts!O1430,Forecasts!O1446,Forecasts!O1462)</x:f>
        <x:v>2.6231510999846313</x:v>
      </x:c>
      <x:c r="I365" s="8" t="n">
        <x:f>AVERAGE(Forecasts!M1349,Forecasts!M1366,Forecasts!M1382,Forecasts!M1398,Forecasts!M1414,Forecasts!M1430,Forecasts!M1446,Forecasts!M1462)</x:f>
        <x:v>1.0468900046628775</x:v>
      </x:c>
      <x:c r="J365" s="8" t="n">
        <x:f>SQRT(AVERAGE(Forecasts!N1346,Forecasts!N1362,Forecasts!N1379,Forecasts!N1395,Forecasts!N1411,Forecasts!N1427,Forecasts!N1443,Forecasts!N1459))</x:f>
        <x:v>2.1213203435596424</x:v>
      </x:c>
      <x:c r="K365" s="8" t="n">
        <x:f>SQRT(AVERAGE(Forecasts!N1348,Forecasts!N1364,Forecasts!N1381,Forecasts!N1397,Forecasts!N1413,Forecasts!N1429,Forecasts!N1445,Forecasts!N1461))</x:f>
        <x:v>2.759910017926632</x:v>
      </x:c>
    </x:row>
    <x:row r="366" ht="26" customHeight="1">
      <x:c r="A366" s="2"/>
      <x:c r="B366" s="2" t="str">
        <x:v>Grooming / organic_volume_growth</x:v>
      </x:c>
      <x:c r="C366" s="2" t="str">
        <x:v>Prior report</x:v>
      </x:c>
      <x:c r="D366" s="2" t="str">
        <x:v>Four-quarter mean</x:v>
      </x:c>
      <x:c r="E366" s="2" t="str">
        <x:v>All available</x:v>
      </x:c>
      <x:c r="F366" s="2" t="n">
        <x:v>12</x:v>
      </x:c>
      <x:c r="G366" s="8" t="n">
        <x:f>SQRT(AVERAGE(Forecasts!N1283,Forecasts!N1298,Forecasts!N1315,Forecasts!N1331,Forecasts!N1347,Forecasts!N1363,Forecasts!N1380,Forecasts!N1396,Forecasts!N1412,Forecasts!N1428,Forecasts!N1444,Forecasts!N1460))</x:f>
        <x:v>2.4947862299871173</x:v>
      </x:c>
      <x:c r="H366" s="8" t="n">
        <x:f>AVERAGE(Forecasts!O1283,Forecasts!O1298,Forecasts!O1315,Forecasts!O1331,Forecasts!O1347,Forecasts!O1363,Forecasts!O1380,Forecasts!O1396,Forecasts!O1412,Forecasts!O1428,Forecasts!O1444,Forecasts!O1460)</x:f>
        <x:v>2.1458333333333335</x:v>
      </x:c>
      <x:c r="I366" s="8" t="n">
        <x:f>AVERAGE(Forecasts!M1283,Forecasts!M1298,Forecasts!M1315,Forecasts!M1331,Forecasts!M1347,Forecasts!M1363,Forecasts!M1380,Forecasts!M1396,Forecasts!M1412,Forecasts!M1428,Forecasts!M1444,Forecasts!M1460)</x:f>
        <x:v>-0.3125</x:v>
      </x:c>
      <x:c r="J366" s="8" t="n">
        <x:f>SQRT(AVERAGE(Forecasts!N1282,Forecasts!N1297,Forecasts!N1314,Forecasts!N1330,Forecasts!N1346,Forecasts!N1362,Forecasts!N1379,Forecasts!N1395,Forecasts!N1411,Forecasts!N1427,Forecasts!N1443,Forecasts!N1459))</x:f>
        <x:v>1.9790570145063195</x:v>
      </x:c>
      <x:c r="K366" s="8" t="n">
        <x:f>SQRT(AVERAGE(Forecasts!N1284,Forecasts!N1299,Forecasts!N1316,Forecasts!N1332,Forecasts!N1348,Forecasts!N1364,Forecasts!N1381,Forecasts!N1397,Forecasts!N1413,Forecasts!N1429,Forecasts!N1445,Forecasts!N1461))</x:f>
        <x:v>2.5991817163385798</x:v>
      </x:c>
    </x:row>
    <x:row r="367" ht="26" customHeight="1">
      <x:c r="A367" s="2"/>
      <x:c r="B367" s="2" t="str">
        <x:v>Grooming / organic_volume_growth</x:v>
      </x:c>
      <x:c r="C367" s="2" t="str">
        <x:v>Prior report</x:v>
      </x:c>
      <x:c r="D367" s="2" t="str">
        <x:v>Four-quarter mean</x:v>
      </x:c>
      <x:c r="E367" s="2" t="str">
        <x:v>Recent eight</x:v>
      </x:c>
      <x:c r="F367" s="2" t="n">
        <x:v>8</x:v>
      </x:c>
      <x:c r="G367" s="8" t="n">
        <x:f>SQRT(AVERAGE(Forecasts!N1347,Forecasts!N1363,Forecasts!N1380,Forecasts!N1396,Forecasts!N1412,Forecasts!N1428,Forecasts!N1444,Forecasts!N1460))</x:f>
        <x:v>2.470134105671188</x:v>
      </x:c>
      <x:c r="H367" s="8" t="n">
        <x:f>AVERAGE(Forecasts!O1347,Forecasts!O1363,Forecasts!O1380,Forecasts!O1396,Forecasts!O1412,Forecasts!O1428,Forecasts!O1444,Forecasts!O1460)</x:f>
        <x:v>2.15625</x:v>
      </x:c>
      <x:c r="I367" s="8" t="n">
        <x:f>AVERAGE(Forecasts!M1347,Forecasts!M1363,Forecasts!M1380,Forecasts!M1396,Forecasts!M1412,Forecasts!M1428,Forecasts!M1444,Forecasts!M1460)</x:f>
        <x:v>0.59375</x:v>
      </x:c>
      <x:c r="J367" s="8" t="n">
        <x:f>SQRT(AVERAGE(Forecasts!N1346,Forecasts!N1362,Forecasts!N1379,Forecasts!N1395,Forecasts!N1411,Forecasts!N1427,Forecasts!N1443,Forecasts!N1459))</x:f>
        <x:v>2.1213203435596424</x:v>
      </x:c>
      <x:c r="K367" s="8" t="n">
        <x:f>SQRT(AVERAGE(Forecasts!N1348,Forecasts!N1364,Forecasts!N1381,Forecasts!N1397,Forecasts!N1413,Forecasts!N1429,Forecasts!N1445,Forecasts!N1461))</x:f>
        <x:v>2.759910017926632</x:v>
      </x:c>
    </x:row>
    <x:row r="368" ht="26" customHeight="1">
      <x:c r="A368" s="2"/>
      <x:c r="B368" s="2" t="str">
        <x:v>Grooming / organic_volume_growth</x:v>
      </x:c>
      <x:c r="C368" s="2" t="str">
        <x:v>Prior report</x:v>
      </x:c>
      <x:c r="D368" s="2" t="str">
        <x:v>Half correction</x:v>
      </x:c>
      <x:c r="E368" s="2" t="str">
        <x:v>All available</x:v>
      </x:c>
      <x:c r="F368" s="2" t="n">
        <x:v>8</x:v>
      </x:c>
      <x:c r="G368" s="8" t="n">
        <x:f>SQRT(AVERAGE(Forecasts!N2723,Forecasts!N2729,Forecasts!N2735,Forecasts!N2741,Forecasts!N2747,Forecasts!N2753,Forecasts!N2759,Forecasts!N2765))</x:f>
        <x:v>2.401657809615814</x:v>
      </x:c>
      <x:c r="H368" s="8" t="n">
        <x:f>AVERAGE(Forecasts!O2723,Forecasts!O2729,Forecasts!O2735,Forecasts!O2741,Forecasts!O2747,Forecasts!O2753,Forecasts!O2759,Forecasts!O2765)</x:f>
        <x:v>2.011502303510646</x:v>
      </x:c>
      <x:c r="I368" s="8" t="n">
        <x:f>AVERAGE(Forecasts!M2723,Forecasts!M2729,Forecasts!M2735,Forecasts!M2741,Forecasts!M2747,Forecasts!M2753,Forecasts!M2759,Forecasts!M2765)</x:f>
        <x:v>0.17163017295774538</x:v>
      </x:c>
      <x:c r="J368" s="8" t="n">
        <x:f>SQRT(AVERAGE(Forecasts!N1346,Forecasts!N1362,Forecasts!N1379,Forecasts!N1395,Forecasts!N1411,Forecasts!N1427,Forecasts!N1443,Forecasts!N1459))</x:f>
        <x:v>2.1213203435596424</x:v>
      </x:c>
      <x:c r="K368" s="8" t="n">
        <x:f>SQRT(AVERAGE(Forecasts!N1348,Forecasts!N1364,Forecasts!N1381,Forecasts!N1397,Forecasts!N1413,Forecasts!N1429,Forecasts!N1445,Forecasts!N1461))</x:f>
        <x:v>2.759910017926632</x:v>
      </x:c>
    </x:row>
    <x:row r="369" ht="26" customHeight="1">
      <x:c r="A369" s="2"/>
      <x:c r="B369" s="2" t="str">
        <x:v>Grooming / organic_volume_growth</x:v>
      </x:c>
      <x:c r="C369" s="2" t="str">
        <x:v>Prior report</x:v>
      </x:c>
      <x:c r="D369" s="2" t="str">
        <x:v>Half correction</x:v>
      </x:c>
      <x:c r="E369" s="2" t="str">
        <x:v>Recent eight</x:v>
      </x:c>
      <x:c r="F369" s="2" t="n">
        <x:v>8</x:v>
      </x:c>
      <x:c r="G369" s="8" t="n">
        <x:f>SQRT(AVERAGE(Forecasts!N2723,Forecasts!N2729,Forecasts!N2735,Forecasts!N2741,Forecasts!N2747,Forecasts!N2753,Forecasts!N2759,Forecasts!N2765))</x:f>
        <x:v>2.401657809615814</x:v>
      </x:c>
      <x:c r="H369" s="8" t="n">
        <x:f>AVERAGE(Forecasts!O2723,Forecasts!O2729,Forecasts!O2735,Forecasts!O2741,Forecasts!O2747,Forecasts!O2753,Forecasts!O2759,Forecasts!O2765)</x:f>
        <x:v>2.011502303510646</x:v>
      </x:c>
      <x:c r="I369" s="8" t="n">
        <x:f>AVERAGE(Forecasts!M2723,Forecasts!M2729,Forecasts!M2735,Forecasts!M2741,Forecasts!M2747,Forecasts!M2753,Forecasts!M2759,Forecasts!M2765)</x:f>
        <x:v>0.17163017295774538</x:v>
      </x:c>
      <x:c r="J369" s="8" t="n">
        <x:f>SQRT(AVERAGE(Forecasts!N1346,Forecasts!N1362,Forecasts!N1379,Forecasts!N1395,Forecasts!N1411,Forecasts!N1427,Forecasts!N1443,Forecasts!N1459))</x:f>
        <x:v>2.1213203435596424</x:v>
      </x:c>
      <x:c r="K369" s="8" t="n">
        <x:f>SQRT(AVERAGE(Forecasts!N1348,Forecasts!N1364,Forecasts!N1381,Forecasts!N1397,Forecasts!N1413,Forecasts!N1429,Forecasts!N1445,Forecasts!N1461))</x:f>
        <x:v>2.759910017926632</x:v>
      </x:c>
    </x:row>
    <x:row r="370" ht="26" customHeight="1">
      <x:c r="A370" s="2"/>
      <x:c r="B370" s="2" t="str">
        <x:v>Grooming / organic_volume_growth</x:v>
      </x:c>
      <x:c r="C370" s="2" t="str">
        <x:v>Prior report</x:v>
      </x:c>
      <x:c r="D370" s="2" t="str">
        <x:v>Last actual</x:v>
      </x:c>
      <x:c r="E370" s="2" t="str">
        <x:v>All available</x:v>
      </x:c>
      <x:c r="F370" s="2" t="n">
        <x:v>12</x:v>
      </x:c>
      <x:c r="G370" s="8" t="n">
        <x:f>SQRT(AVERAGE(Forecasts!N1282,Forecasts!N1297,Forecasts!N1314,Forecasts!N1330,Forecasts!N1346,Forecasts!N1362,Forecasts!N1379,Forecasts!N1395,Forecasts!N1411,Forecasts!N1427,Forecasts!N1443,Forecasts!N1459))</x:f>
        <x:v>1.9790570145063195</x:v>
      </x:c>
      <x:c r="H370" s="8" t="n">
        <x:f>AVERAGE(Forecasts!O1282,Forecasts!O1297,Forecasts!O1314,Forecasts!O1330,Forecasts!O1346,Forecasts!O1362,Forecasts!O1379,Forecasts!O1395,Forecasts!O1411,Forecasts!O1427,Forecasts!O1443,Forecasts!O1459)</x:f>
        <x:v>1.5833333333333333</x:v>
      </x:c>
      <x:c r="I370" s="8" t="n">
        <x:f>AVERAGE(Forecasts!M1282,Forecasts!M1297,Forecasts!M1314,Forecasts!M1330,Forecasts!M1346,Forecasts!M1362,Forecasts!M1379,Forecasts!M1395,Forecasts!M1411,Forecasts!M1427,Forecasts!M1443,Forecasts!M1459)</x:f>
        <x:v>0.08333333333333333</x:v>
      </x:c>
      <x:c r="J370" s="8" t="n">
        <x:f>SQRT(AVERAGE(Forecasts!N1282,Forecasts!N1297,Forecasts!N1314,Forecasts!N1330,Forecasts!N1346,Forecasts!N1362,Forecasts!N1379,Forecasts!N1395,Forecasts!N1411,Forecasts!N1427,Forecasts!N1443,Forecasts!N1459))</x:f>
        <x:v>1.9790570145063195</x:v>
      </x:c>
      <x:c r="K370" s="8" t="n">
        <x:f>SQRT(AVERAGE(Forecasts!N1284,Forecasts!N1299,Forecasts!N1316,Forecasts!N1332,Forecasts!N1348,Forecasts!N1364,Forecasts!N1381,Forecasts!N1397,Forecasts!N1413,Forecasts!N1429,Forecasts!N1445,Forecasts!N1461))</x:f>
        <x:v>2.5991817163385798</x:v>
      </x:c>
    </x:row>
    <x:row r="371" ht="26" customHeight="1">
      <x:c r="A371" s="2"/>
      <x:c r="B371" s="2" t="str">
        <x:v>Grooming / organic_volume_growth</x:v>
      </x:c>
      <x:c r="C371" s="2" t="str">
        <x:v>Prior report</x:v>
      </x:c>
      <x:c r="D371" s="2" t="str">
        <x:v>Last actual</x:v>
      </x:c>
      <x:c r="E371" s="2" t="str">
        <x:v>Recent eight</x:v>
      </x:c>
      <x:c r="F371" s="2" t="n">
        <x:v>8</x:v>
      </x:c>
      <x:c r="G371" s="8" t="n">
        <x:f>SQRT(AVERAGE(Forecasts!N1346,Forecasts!N1362,Forecasts!N1379,Forecasts!N1395,Forecasts!N1411,Forecasts!N1427,Forecasts!N1443,Forecasts!N1459))</x:f>
        <x:v>2.1213203435596424</x:v>
      </x:c>
      <x:c r="H371" s="8" t="n">
        <x:f>AVERAGE(Forecasts!O1346,Forecasts!O1362,Forecasts!O1379,Forecasts!O1395,Forecasts!O1411,Forecasts!O1427,Forecasts!O1443,Forecasts!O1459)</x:f>
        <x:v>1.75</x:v>
      </x:c>
      <x:c r="I371" s="8" t="n">
        <x:f>AVERAGE(Forecasts!M1346,Forecasts!M1362,Forecasts!M1379,Forecasts!M1395,Forecasts!M1411,Forecasts!M1427,Forecasts!M1443,Forecasts!M1459)</x:f>
        <x:v>0.5</x:v>
      </x:c>
      <x:c r="J371" s="8" t="n">
        <x:f>SQRT(AVERAGE(Forecasts!N1346,Forecasts!N1362,Forecasts!N1379,Forecasts!N1395,Forecasts!N1411,Forecasts!N1427,Forecasts!N1443,Forecasts!N1459))</x:f>
        <x:v>2.1213203435596424</x:v>
      </x:c>
      <x:c r="K371" s="8" t="n">
        <x:f>SQRT(AVERAGE(Forecasts!N1348,Forecasts!N1364,Forecasts!N1381,Forecasts!N1397,Forecasts!N1413,Forecasts!N1429,Forecasts!N1445,Forecasts!N1461))</x:f>
        <x:v>2.759910017926632</x:v>
      </x:c>
    </x:row>
    <x:row r="372" ht="26" customHeight="1">
      <x:c r="A372" s="2"/>
      <x:c r="B372" s="2" t="str">
        <x:v>Grooming / organic_volume_growth</x:v>
      </x:c>
      <x:c r="C372" s="2" t="str">
        <x:v>Prior report</x:v>
      </x:c>
      <x:c r="D372" s="2" t="str">
        <x:v>Own history</x:v>
      </x:c>
      <x:c r="E372" s="2" t="str">
        <x:v>All available</x:v>
      </x:c>
      <x:c r="F372" s="2" t="n">
        <x:v>12</x:v>
      </x:c>
      <x:c r="G372" s="8" t="n">
        <x:f>SQRT(AVERAGE(Forecasts!N1286,Forecasts!N1302,Forecasts!N1318,Forecasts!N1334,Forecasts!N1350,Forecasts!N1367,Forecasts!N1383,Forecasts!N1399,Forecasts!N1415,Forecasts!N1431,Forecasts!N1447,Forecasts!N1463))</x:f>
        <x:v>2.112729140193864</x:v>
      </x:c>
      <x:c r="H372" s="8" t="n">
        <x:f>AVERAGE(Forecasts!O1286,Forecasts!O1302,Forecasts!O1318,Forecasts!O1334,Forecasts!O1350,Forecasts!O1367,Forecasts!O1383,Forecasts!O1399,Forecasts!O1415,Forecasts!O1431,Forecasts!O1447,Forecasts!O1463)</x:f>
        <x:v>1.7609302907762914</x:v>
      </x:c>
      <x:c r="I372" s="8" t="n">
        <x:f>AVERAGE(Forecasts!M1286,Forecasts!M1302,Forecasts!M1318,Forecasts!M1334,Forecasts!M1350,Forecasts!M1367,Forecasts!M1383,Forecasts!M1399,Forecasts!M1415,Forecasts!M1431,Forecasts!M1447,Forecasts!M1463)</x:f>
        <x:v>-0.4162368413083887</x:v>
      </x:c>
      <x:c r="J372" s="8" t="n">
        <x:f>SQRT(AVERAGE(Forecasts!N1282,Forecasts!N1297,Forecasts!N1314,Forecasts!N1330,Forecasts!N1346,Forecasts!N1362,Forecasts!N1379,Forecasts!N1395,Forecasts!N1411,Forecasts!N1427,Forecasts!N1443,Forecasts!N1459))</x:f>
        <x:v>1.9790570145063195</x:v>
      </x:c>
      <x:c r="K372" s="8" t="n">
        <x:f>SQRT(AVERAGE(Forecasts!N1284,Forecasts!N1299,Forecasts!N1316,Forecasts!N1332,Forecasts!N1348,Forecasts!N1364,Forecasts!N1381,Forecasts!N1397,Forecasts!N1413,Forecasts!N1429,Forecasts!N1445,Forecasts!N1461))</x:f>
        <x:v>2.5991817163385798</x:v>
      </x:c>
    </x:row>
    <x:row r="373" ht="26" customHeight="1">
      <x:c r="A373" s="2"/>
      <x:c r="B373" s="2" t="str">
        <x:v>Grooming / organic_volume_growth</x:v>
      </x:c>
      <x:c r="C373" s="2" t="str">
        <x:v>Prior report</x:v>
      </x:c>
      <x:c r="D373" s="2" t="str">
        <x:v>Own history</x:v>
      </x:c>
      <x:c r="E373" s="2" t="str">
        <x:v>Recent eight</x:v>
      </x:c>
      <x:c r="F373" s="2" t="n">
        <x:v>8</x:v>
      </x:c>
      <x:c r="G373" s="8" t="n">
        <x:f>SQRT(AVERAGE(Forecasts!N1350,Forecasts!N1367,Forecasts!N1383,Forecasts!N1399,Forecasts!N1415,Forecasts!N1431,Forecasts!N1447,Forecasts!N1463))</x:f>
        <x:v>2.293760653923338</x:v>
      </x:c>
      <x:c r="H373" s="8" t="n">
        <x:f>AVERAGE(Forecasts!O1350,Forecasts!O1367,Forecasts!O1383,Forecasts!O1399,Forecasts!O1415,Forecasts!O1431,Forecasts!O1447,Forecasts!O1463)</x:f>
        <x:v>1.8596237323714848</x:v>
      </x:c>
      <x:c r="I373" s="8" t="n">
        <x:f>AVERAGE(Forecasts!M1350,Forecasts!M1367,Forecasts!M1383,Forecasts!M1399,Forecasts!M1415,Forecasts!M1431,Forecasts!M1447,Forecasts!M1463)</x:f>
        <x:v>-0.3818873099733828</x:v>
      </x:c>
      <x:c r="J373" s="8" t="n">
        <x:f>SQRT(AVERAGE(Forecasts!N1346,Forecasts!N1362,Forecasts!N1379,Forecasts!N1395,Forecasts!N1411,Forecasts!N1427,Forecasts!N1443,Forecasts!N1459))</x:f>
        <x:v>2.1213203435596424</x:v>
      </x:c>
      <x:c r="K373" s="8" t="n">
        <x:f>SQRT(AVERAGE(Forecasts!N1348,Forecasts!N1364,Forecasts!N1381,Forecasts!N1397,Forecasts!N1413,Forecasts!N1429,Forecasts!N1445,Forecasts!N1461))</x:f>
        <x:v>2.759910017926632</x:v>
      </x:c>
    </x:row>
    <x:row r="374" ht="26" customHeight="1">
      <x:c r="A374" s="2"/>
      <x:c r="B374" s="2" t="str">
        <x:v>Grooming / organic_volume_growth</x:v>
      </x:c>
      <x:c r="C374" s="2" t="str">
        <x:v>Pre-earnings</x:v>
      </x:c>
      <x:c r="D374" s="2" t="str">
        <x:v>Bias correction</x:v>
      </x:c>
      <x:c r="E374" s="2" t="str">
        <x:v>All available</x:v>
      </x:c>
      <x:c r="F374" s="2" t="n">
        <x:v>8</x:v>
      </x:c>
      <x:c r="G374" s="8" t="n">
        <x:f>SQRT(AVERAGE(Forecasts!N2724,Forecasts!N2730,Forecasts!N2736,Forecasts!N2742,Forecasts!N2748,Forecasts!N2754,Forecasts!N2760,Forecasts!N2766))</x:f>
        <x:v>2.490233343227476</x:v>
      </x:c>
      <x:c r="H374" s="8" t="n">
        <x:f>AVERAGE(Forecasts!O2724,Forecasts!O2730,Forecasts!O2736,Forecasts!O2742,Forecasts!O2748,Forecasts!O2754,Forecasts!O2760,Forecasts!O2766)</x:f>
        <x:v>2.237527979177759</x:v>
      </x:c>
      <x:c r="I374" s="8" t="n">
        <x:f>AVERAGE(Forecasts!M2724,Forecasts!M2730,Forecasts!M2736,Forecasts!M2742,Forecasts!M2748,Forecasts!M2754,Forecasts!M2760,Forecasts!M2766)</x:f>
        <x:v>1.0511519878791704</x:v>
      </x:c>
      <x:c r="J374" s="8" t="n">
        <x:f>SQRT(AVERAGE(Forecasts!N1351,Forecasts!N1368,Forecasts!N1384,Forecasts!N1400,Forecasts!N1416,Forecasts!N1432,Forecasts!N1448,Forecasts!N1464))</x:f>
        <x:v>2.1213203435596424</x:v>
      </x:c>
      <x:c r="K374" s="8" t="n">
        <x:f>SQRT(AVERAGE(Forecasts!N1353,Forecasts!N1370,Forecasts!N1386,Forecasts!N1402,Forecasts!N1418,Forecasts!N1434,Forecasts!N1450,Forecasts!N1466))</x:f>
        <x:v>2.542598337117505</x:v>
      </x:c>
    </x:row>
    <x:row r="375" ht="26" customHeight="1">
      <x:c r="A375" s="2"/>
      <x:c r="B375" s="2" t="str">
        <x:v>Grooming / organic_volume_growth</x:v>
      </x:c>
      <x:c r="C375" s="2" t="str">
        <x:v>Pre-earnings</x:v>
      </x:c>
      <x:c r="D375" s="2" t="str">
        <x:v>Bias correction</x:v>
      </x:c>
      <x:c r="E375" s="2" t="str">
        <x:v>Recent eight</x:v>
      </x:c>
      <x:c r="F375" s="2" t="n">
        <x:v>8</x:v>
      </x:c>
      <x:c r="G375" s="8" t="n">
        <x:f>SQRT(AVERAGE(Forecasts!N2724,Forecasts!N2730,Forecasts!N2736,Forecasts!N2742,Forecasts!N2748,Forecasts!N2754,Forecasts!N2760,Forecasts!N2766))</x:f>
        <x:v>2.490233343227476</x:v>
      </x:c>
      <x:c r="H375" s="8" t="n">
        <x:f>AVERAGE(Forecasts!O2724,Forecasts!O2730,Forecasts!O2736,Forecasts!O2742,Forecasts!O2748,Forecasts!O2754,Forecasts!O2760,Forecasts!O2766)</x:f>
        <x:v>2.237527979177759</x:v>
      </x:c>
      <x:c r="I375" s="8" t="n">
        <x:f>AVERAGE(Forecasts!M2724,Forecasts!M2730,Forecasts!M2736,Forecasts!M2742,Forecasts!M2748,Forecasts!M2754,Forecasts!M2760,Forecasts!M2766)</x:f>
        <x:v>1.0511519878791704</x:v>
      </x:c>
      <x:c r="J375" s="8" t="n">
        <x:f>SQRT(AVERAGE(Forecasts!N1351,Forecasts!N1368,Forecasts!N1384,Forecasts!N1400,Forecasts!N1416,Forecasts!N1432,Forecasts!N1448,Forecasts!N1464))</x:f>
        <x:v>2.1213203435596424</x:v>
      </x:c>
      <x:c r="K375" s="8" t="n">
        <x:f>SQRT(AVERAGE(Forecasts!N1353,Forecasts!N1370,Forecasts!N1386,Forecasts!N1402,Forecasts!N1418,Forecasts!N1434,Forecasts!N1450,Forecasts!N1466))</x:f>
        <x:v>2.542598337117505</x:v>
      </x:c>
    </x:row>
    <x:row r="376" ht="26" customHeight="1">
      <x:c r="A376" s="2"/>
      <x:c r="B376" s="2" t="str">
        <x:v>Grooming / organic_volume_growth</x:v>
      </x:c>
      <x:c r="C376" s="2" t="str">
        <x:v>Pre-earnings</x:v>
      </x:c>
      <x:c r="D376" s="2" t="str">
        <x:v>Broad lag 1</x:v>
      </x:c>
      <x:c r="E376" s="2" t="str">
        <x:v>All available</x:v>
      </x:c>
      <x:c r="F376" s="2" t="n">
        <x:v>12</x:v>
      </x:c>
      <x:c r="G376" s="8" t="n">
        <x:f>SQRT(AVERAGE(Forecasts!N1290,Forecasts!N1306,Forecasts!N1322,Forecasts!N1338,Forecasts!N1354,Forecasts!N1371,Forecasts!N1387,Forecasts!N1403,Forecasts!N1419,Forecasts!N1435,Forecasts!N1451,Forecasts!N1467))</x:f>
        <x:v>2.387960392611039</x:v>
      </x:c>
      <x:c r="H376" s="8" t="n">
        <x:f>AVERAGE(Forecasts!O1290,Forecasts!O1306,Forecasts!O1322,Forecasts!O1338,Forecasts!O1354,Forecasts!O1371,Forecasts!O1387,Forecasts!O1403,Forecasts!O1419,Forecasts!O1435,Forecasts!O1451,Forecasts!O1467)</x:f>
        <x:v>1.975368278272707</x:v>
      </x:c>
      <x:c r="I376" s="8" t="n">
        <x:f>AVERAGE(Forecasts!M1290,Forecasts!M1306,Forecasts!M1322,Forecasts!M1338,Forecasts!M1354,Forecasts!M1371,Forecasts!M1387,Forecasts!M1403,Forecasts!M1419,Forecasts!M1435,Forecasts!M1451,Forecasts!M1467)</x:f>
        <x:v>-0.9660907264435449</x:v>
      </x:c>
      <x:c r="J376" s="8" t="n">
        <x:f>SQRT(AVERAGE(Forecasts!N1287,Forecasts!N1303,Forecasts!N1319,Forecasts!N1335,Forecasts!N1351,Forecasts!N1368,Forecasts!N1384,Forecasts!N1400,Forecasts!N1416,Forecasts!N1432,Forecasts!N1448,Forecasts!N1464))</x:f>
        <x:v>1.9790570145063195</x:v>
      </x:c>
      <x:c r="K376" s="8" t="n">
        <x:f>SQRT(AVERAGE(Forecasts!N1289,Forecasts!N1305,Forecasts!N1321,Forecasts!N1337,Forecasts!N1353,Forecasts!N1370,Forecasts!N1386,Forecasts!N1402,Forecasts!N1418,Forecasts!N1434,Forecasts!N1450,Forecasts!N1466))</x:f>
        <x:v>2.4015611345083525</x:v>
      </x:c>
    </x:row>
    <x:row r="377" ht="26" customHeight="1">
      <x:c r="A377" s="2"/>
      <x:c r="B377" s="2" t="str">
        <x:v>Grooming / organic_volume_growth</x:v>
      </x:c>
      <x:c r="C377" s="2" t="str">
        <x:v>Pre-earnings</x:v>
      </x:c>
      <x:c r="D377" s="2" t="str">
        <x:v>Broad lag 1</x:v>
      </x:c>
      <x:c r="E377" s="2" t="str">
        <x:v>Recent eight</x:v>
      </x:c>
      <x:c r="F377" s="2" t="n">
        <x:v>8</x:v>
      </x:c>
      <x:c r="G377" s="8" t="n">
        <x:f>SQRT(AVERAGE(Forecasts!N1354,Forecasts!N1371,Forecasts!N1387,Forecasts!N1403,Forecasts!N1419,Forecasts!N1435,Forecasts!N1451,Forecasts!N1467))</x:f>
        <x:v>2.586510172648721</x:v>
      </x:c>
      <x:c r="H377" s="8" t="n">
        <x:f>AVERAGE(Forecasts!O1354,Forecasts!O1371,Forecasts!O1387,Forecasts!O1403,Forecasts!O1419,Forecasts!O1435,Forecasts!O1451,Forecasts!O1467)</x:f>
        <x:v>2.1677651759017205</x:v>
      </x:c>
      <x:c r="I377" s="8" t="n">
        <x:f>AVERAGE(Forecasts!M1354,Forecasts!M1371,Forecasts!M1387,Forecasts!M1403,Forecasts!M1419,Forecasts!M1435,Forecasts!M1451,Forecasts!M1467)</x:f>
        <x:v>-0.7025231219771957</x:v>
      </x:c>
      <x:c r="J377" s="8" t="n">
        <x:f>SQRT(AVERAGE(Forecasts!N1351,Forecasts!N1368,Forecasts!N1384,Forecasts!N1400,Forecasts!N1416,Forecasts!N1432,Forecasts!N1448,Forecasts!N1464))</x:f>
        <x:v>2.1213203435596424</x:v>
      </x:c>
      <x:c r="K377" s="8" t="n">
        <x:f>SQRT(AVERAGE(Forecasts!N1353,Forecasts!N1370,Forecasts!N1386,Forecasts!N1402,Forecasts!N1418,Forecasts!N1434,Forecasts!N1450,Forecasts!N1466))</x:f>
        <x:v>2.542598337117505</x:v>
      </x:c>
    </x:row>
    <x:row r="378" ht="26" customHeight="1">
      <x:c r="A378" s="2"/>
      <x:c r="B378" s="2" t="str">
        <x:v>Grooming / organic_volume_growth</x:v>
      </x:c>
      <x:c r="C378" s="2" t="str">
        <x:v>Pre-earnings</x:v>
      </x:c>
      <x:c r="D378" s="2" t="str">
        <x:v>Broad market</x:v>
      </x:c>
      <x:c r="E378" s="2" t="str">
        <x:v>All available</x:v>
      </x:c>
      <x:c r="F378" s="2" t="n">
        <x:v>12</x:v>
      </x:c>
      <x:c r="G378" s="8" t="n">
        <x:f>SQRT(AVERAGE(Forecasts!N1289,Forecasts!N1305,Forecasts!N1321,Forecasts!N1337,Forecasts!N1353,Forecasts!N1370,Forecasts!N1386,Forecasts!N1402,Forecasts!N1418,Forecasts!N1434,Forecasts!N1450,Forecasts!N1466))</x:f>
        <x:v>2.4015611345083525</x:v>
      </x:c>
      <x:c r="H378" s="8" t="n">
        <x:f>AVERAGE(Forecasts!O1289,Forecasts!O1305,Forecasts!O1321,Forecasts!O1337,Forecasts!O1353,Forecasts!O1370,Forecasts!O1386,Forecasts!O1402,Forecasts!O1418,Forecasts!O1434,Forecasts!O1450,Forecasts!O1466)</x:f>
        <x:v>1.9829508802301845</x:v>
      </x:c>
      <x:c r="I378" s="8" t="n">
        <x:f>AVERAGE(Forecasts!M1289,Forecasts!M1305,Forecasts!M1321,Forecasts!M1337,Forecasts!M1353,Forecasts!M1370,Forecasts!M1386,Forecasts!M1402,Forecasts!M1418,Forecasts!M1434,Forecasts!M1450,Forecasts!M1466)</x:f>
        <x:v>-1.0051253954130948</x:v>
      </x:c>
      <x:c r="J378" s="8" t="n">
        <x:f>SQRT(AVERAGE(Forecasts!N1287,Forecasts!N1303,Forecasts!N1319,Forecasts!N1335,Forecasts!N1351,Forecasts!N1368,Forecasts!N1384,Forecasts!N1400,Forecasts!N1416,Forecasts!N1432,Forecasts!N1448,Forecasts!N1464))</x:f>
        <x:v>1.9790570145063195</x:v>
      </x:c>
      <x:c r="K378" s="8" t="n">
        <x:f>SQRT(AVERAGE(Forecasts!N1289,Forecasts!N1305,Forecasts!N1321,Forecasts!N1337,Forecasts!N1353,Forecasts!N1370,Forecasts!N1386,Forecasts!N1402,Forecasts!N1418,Forecasts!N1434,Forecasts!N1450,Forecasts!N1466))</x:f>
        <x:v>2.4015611345083525</x:v>
      </x:c>
    </x:row>
    <x:row r="379" ht="26" customHeight="1">
      <x:c r="A379" s="2"/>
      <x:c r="B379" s="2" t="str">
        <x:v>Grooming / organic_volume_growth</x:v>
      </x:c>
      <x:c r="C379" s="2" t="str">
        <x:v>Pre-earnings</x:v>
      </x:c>
      <x:c r="D379" s="2" t="str">
        <x:v>Broad market</x:v>
      </x:c>
      <x:c r="E379" s="2" t="str">
        <x:v>Recent eight</x:v>
      </x:c>
      <x:c r="F379" s="2" t="n">
        <x:v>8</x:v>
      </x:c>
      <x:c r="G379" s="8" t="n">
        <x:f>SQRT(AVERAGE(Forecasts!N1353,Forecasts!N1370,Forecasts!N1386,Forecasts!N1402,Forecasts!N1418,Forecasts!N1434,Forecasts!N1450,Forecasts!N1466))</x:f>
        <x:v>2.542598337117505</x:v>
      </x:c>
      <x:c r="H379" s="8" t="n">
        <x:f>AVERAGE(Forecasts!O1353,Forecasts!O1370,Forecasts!O1386,Forecasts!O1402,Forecasts!O1418,Forecasts!O1434,Forecasts!O1450,Forecasts!O1466)</x:f>
        <x:v>2.1051641875648626</x:v>
      </x:c>
      <x:c r="I379" s="8" t="n">
        <x:f>AVERAGE(Forecasts!M1353,Forecasts!M1370,Forecasts!M1386,Forecasts!M1402,Forecasts!M1418,Forecasts!M1434,Forecasts!M1450,Forecasts!M1466)</x:f>
        <x:v>-0.7757595039140935</x:v>
      </x:c>
      <x:c r="J379" s="8" t="n">
        <x:f>SQRT(AVERAGE(Forecasts!N1351,Forecasts!N1368,Forecasts!N1384,Forecasts!N1400,Forecasts!N1416,Forecasts!N1432,Forecasts!N1448,Forecasts!N1464))</x:f>
        <x:v>2.1213203435596424</x:v>
      </x:c>
      <x:c r="K379" s="8" t="n">
        <x:f>SQRT(AVERAGE(Forecasts!N1353,Forecasts!N1370,Forecasts!N1386,Forecasts!N1402,Forecasts!N1418,Forecasts!N1434,Forecasts!N1450,Forecasts!N1466))</x:f>
        <x:v>2.542598337117505</x:v>
      </x:c>
    </x:row>
    <x:row r="380" ht="26" customHeight="1">
      <x:c r="A380" s="2"/>
      <x:c r="B380" s="2" t="str">
        <x:v>Grooming / organic_volume_growth</x:v>
      </x:c>
      <x:c r="C380" s="2" t="str">
        <x:v>Pre-earnings</x:v>
      </x:c>
      <x:c r="D380" s="2" t="str">
        <x:v>Broad rolling 8</x:v>
      </x:c>
      <x:c r="E380" s="2" t="str">
        <x:v>All available</x:v>
      </x:c>
      <x:c r="F380" s="2" t="n">
        <x:v>12</x:v>
      </x:c>
      <x:c r="G380" s="8" t="n">
        <x:f>SQRT(AVERAGE(Forecasts!N1291,Forecasts!N1307,Forecasts!N1323,Forecasts!N1339,Forecasts!N1355,Forecasts!N1372,Forecasts!N1388,Forecasts!N1404,Forecasts!N1420,Forecasts!N1436,Forecasts!N1452,Forecasts!N1468))</x:f>
        <x:v>2.377440964678802</x:v>
      </x:c>
      <x:c r="H380" s="8" t="n">
        <x:f>AVERAGE(Forecasts!O1291,Forecasts!O1307,Forecasts!O1323,Forecasts!O1339,Forecasts!O1355,Forecasts!O1372,Forecasts!O1388,Forecasts!O1404,Forecasts!O1420,Forecasts!O1436,Forecasts!O1452,Forecasts!O1468)</x:f>
        <x:v>2.0520368332340975</x:v>
      </x:c>
      <x:c r="I380" s="8" t="n">
        <x:f>AVERAGE(Forecasts!M1291,Forecasts!M1307,Forecasts!M1323,Forecasts!M1339,Forecasts!M1355,Forecasts!M1372,Forecasts!M1388,Forecasts!M1404,Forecasts!M1420,Forecasts!M1436,Forecasts!M1452,Forecasts!M1468)</x:f>
        <x:v>0.41560414241912264</x:v>
      </x:c>
      <x:c r="J380" s="8" t="n">
        <x:f>SQRT(AVERAGE(Forecasts!N1287,Forecasts!N1303,Forecasts!N1319,Forecasts!N1335,Forecasts!N1351,Forecasts!N1368,Forecasts!N1384,Forecasts!N1400,Forecasts!N1416,Forecasts!N1432,Forecasts!N1448,Forecasts!N1464))</x:f>
        <x:v>1.9790570145063195</x:v>
      </x:c>
      <x:c r="K380" s="8" t="n">
        <x:f>SQRT(AVERAGE(Forecasts!N1289,Forecasts!N1305,Forecasts!N1321,Forecasts!N1337,Forecasts!N1353,Forecasts!N1370,Forecasts!N1386,Forecasts!N1402,Forecasts!N1418,Forecasts!N1434,Forecasts!N1450,Forecasts!N1466))</x:f>
        <x:v>2.4015611345083525</x:v>
      </x:c>
    </x:row>
    <x:row r="381" ht="26" customHeight="1">
      <x:c r="A381" s="2"/>
      <x:c r="B381" s="2" t="str">
        <x:v>Grooming / organic_volume_growth</x:v>
      </x:c>
      <x:c r="C381" s="2" t="str">
        <x:v>Pre-earnings</x:v>
      </x:c>
      <x:c r="D381" s="2" t="str">
        <x:v>Broad rolling 8</x:v>
      </x:c>
      <x:c r="E381" s="2" t="str">
        <x:v>Recent eight</x:v>
      </x:c>
      <x:c r="F381" s="2" t="n">
        <x:v>8</x:v>
      </x:c>
      <x:c r="G381" s="8" t="n">
        <x:f>SQRT(AVERAGE(Forecasts!N1355,Forecasts!N1372,Forecasts!N1388,Forecasts!N1404,Forecasts!N1420,Forecasts!N1436,Forecasts!N1452,Forecasts!N1468))</x:f>
        <x:v>2.6080249162561633</x:v>
      </x:c>
      <x:c r="H381" s="8" t="n">
        <x:f>AVERAGE(Forecasts!O1355,Forecasts!O1372,Forecasts!O1388,Forecasts!O1404,Forecasts!O1420,Forecasts!O1436,Forecasts!O1452,Forecasts!O1468)</x:f>
        <x:v>2.296966720340018</x:v>
      </x:c>
      <x:c r="I381" s="8" t="n">
        <x:f>AVERAGE(Forecasts!M1355,Forecasts!M1372,Forecasts!M1388,Forecasts!M1404,Forecasts!M1420,Forecasts!M1436,Forecasts!M1452,Forecasts!M1468)</x:f>
        <x:v>1.248718836431339</x:v>
      </x:c>
      <x:c r="J381" s="8" t="n">
        <x:f>SQRT(AVERAGE(Forecasts!N1351,Forecasts!N1368,Forecasts!N1384,Forecasts!N1400,Forecasts!N1416,Forecasts!N1432,Forecasts!N1448,Forecasts!N1464))</x:f>
        <x:v>2.1213203435596424</x:v>
      </x:c>
      <x:c r="K381" s="8" t="n">
        <x:f>SQRT(AVERAGE(Forecasts!N1353,Forecasts!N1370,Forecasts!N1386,Forecasts!N1402,Forecasts!N1418,Forecasts!N1434,Forecasts!N1450,Forecasts!N1466))</x:f>
        <x:v>2.542598337117505</x:v>
      </x:c>
    </x:row>
    <x:row r="382" ht="26" customHeight="1">
      <x:c r="A382" s="2"/>
      <x:c r="B382" s="2" t="str">
        <x:v>Grooming / organic_volume_growth</x:v>
      </x:c>
      <x:c r="C382" s="2" t="str">
        <x:v>Pre-earnings</x:v>
      </x:c>
      <x:c r="D382" s="2" t="str">
        <x:v>Four-quarter mean</x:v>
      </x:c>
      <x:c r="E382" s="2" t="str">
        <x:v>All available</x:v>
      </x:c>
      <x:c r="F382" s="2" t="n">
        <x:v>12</x:v>
      </x:c>
      <x:c r="G382" s="8" t="n">
        <x:f>SQRT(AVERAGE(Forecasts!N1288,Forecasts!N1304,Forecasts!N1320,Forecasts!N1336,Forecasts!N1352,Forecasts!N1369,Forecasts!N1385,Forecasts!N1401,Forecasts!N1417,Forecasts!N1433,Forecasts!N1449,Forecasts!N1465))</x:f>
        <x:v>2.4947862299871173</x:v>
      </x:c>
      <x:c r="H382" s="8" t="n">
        <x:f>AVERAGE(Forecasts!O1288,Forecasts!O1304,Forecasts!O1320,Forecasts!O1336,Forecasts!O1352,Forecasts!O1369,Forecasts!O1385,Forecasts!O1401,Forecasts!O1417,Forecasts!O1433,Forecasts!O1449,Forecasts!O1465)</x:f>
        <x:v>2.1458333333333335</x:v>
      </x:c>
      <x:c r="I382" s="8" t="n">
        <x:f>AVERAGE(Forecasts!M1288,Forecasts!M1304,Forecasts!M1320,Forecasts!M1336,Forecasts!M1352,Forecasts!M1369,Forecasts!M1385,Forecasts!M1401,Forecasts!M1417,Forecasts!M1433,Forecasts!M1449,Forecasts!M1465)</x:f>
        <x:v>-0.3125</x:v>
      </x:c>
      <x:c r="J382" s="8" t="n">
        <x:f>SQRT(AVERAGE(Forecasts!N1287,Forecasts!N1303,Forecasts!N1319,Forecasts!N1335,Forecasts!N1351,Forecasts!N1368,Forecasts!N1384,Forecasts!N1400,Forecasts!N1416,Forecasts!N1432,Forecasts!N1448,Forecasts!N1464))</x:f>
        <x:v>1.9790570145063195</x:v>
      </x:c>
      <x:c r="K382" s="8" t="n">
        <x:f>SQRT(AVERAGE(Forecasts!N1289,Forecasts!N1305,Forecasts!N1321,Forecasts!N1337,Forecasts!N1353,Forecasts!N1370,Forecasts!N1386,Forecasts!N1402,Forecasts!N1418,Forecasts!N1434,Forecasts!N1450,Forecasts!N1466))</x:f>
        <x:v>2.4015611345083525</x:v>
      </x:c>
    </x:row>
    <x:row r="383" ht="26" customHeight="1">
      <x:c r="A383" s="2"/>
      <x:c r="B383" s="2" t="str">
        <x:v>Grooming / organic_volume_growth</x:v>
      </x:c>
      <x:c r="C383" s="2" t="str">
        <x:v>Pre-earnings</x:v>
      </x:c>
      <x:c r="D383" s="2" t="str">
        <x:v>Four-quarter mean</x:v>
      </x:c>
      <x:c r="E383" s="2" t="str">
        <x:v>Recent eight</x:v>
      </x:c>
      <x:c r="F383" s="2" t="n">
        <x:v>8</x:v>
      </x:c>
      <x:c r="G383" s="8" t="n">
        <x:f>SQRT(AVERAGE(Forecasts!N1352,Forecasts!N1369,Forecasts!N1385,Forecasts!N1401,Forecasts!N1417,Forecasts!N1433,Forecasts!N1449,Forecasts!N1465))</x:f>
        <x:v>2.470134105671188</x:v>
      </x:c>
      <x:c r="H383" s="8" t="n">
        <x:f>AVERAGE(Forecasts!O1352,Forecasts!O1369,Forecasts!O1385,Forecasts!O1401,Forecasts!O1417,Forecasts!O1433,Forecasts!O1449,Forecasts!O1465)</x:f>
        <x:v>2.15625</x:v>
      </x:c>
      <x:c r="I383" s="8" t="n">
        <x:f>AVERAGE(Forecasts!M1352,Forecasts!M1369,Forecasts!M1385,Forecasts!M1401,Forecasts!M1417,Forecasts!M1433,Forecasts!M1449,Forecasts!M1465)</x:f>
        <x:v>0.59375</x:v>
      </x:c>
      <x:c r="J383" s="8" t="n">
        <x:f>SQRT(AVERAGE(Forecasts!N1351,Forecasts!N1368,Forecasts!N1384,Forecasts!N1400,Forecasts!N1416,Forecasts!N1432,Forecasts!N1448,Forecasts!N1464))</x:f>
        <x:v>2.1213203435596424</x:v>
      </x:c>
      <x:c r="K383" s="8" t="n">
        <x:f>SQRT(AVERAGE(Forecasts!N1353,Forecasts!N1370,Forecasts!N1386,Forecasts!N1402,Forecasts!N1418,Forecasts!N1434,Forecasts!N1450,Forecasts!N1466))</x:f>
        <x:v>2.542598337117505</x:v>
      </x:c>
    </x:row>
    <x:row r="384" ht="26" customHeight="1">
      <x:c r="A384" s="2"/>
      <x:c r="B384" s="2" t="str">
        <x:v>Grooming / organic_volume_growth</x:v>
      </x:c>
      <x:c r="C384" s="2" t="str">
        <x:v>Pre-earnings</x:v>
      </x:c>
      <x:c r="D384" s="2" t="str">
        <x:v>Half correction</x:v>
      </x:c>
      <x:c r="E384" s="2" t="str">
        <x:v>All available</x:v>
      </x:c>
      <x:c r="F384" s="2" t="n">
        <x:v>8</x:v>
      </x:c>
      <x:c r="G384" s="8" t="n">
        <x:f>SQRT(AVERAGE(Forecasts!N2725,Forecasts!N2731,Forecasts!N2737,Forecasts!N2743,Forecasts!N2749,Forecasts!N2755,Forecasts!N2761,Forecasts!N2767))</x:f>
        <x:v>2.2503427120512165</x:v>
      </x:c>
      <x:c r="H384" s="8" t="n">
        <x:f>AVERAGE(Forecasts!O2725,Forecasts!O2731,Forecasts!O2737,Forecasts!O2743,Forecasts!O2749,Forecasts!O2755,Forecasts!O2761,Forecasts!O2767)</x:f>
        <x:v>1.822296120340084</x:v>
      </x:c>
      <x:c r="I384" s="8" t="n">
        <x:f>AVERAGE(Forecasts!M2725,Forecasts!M2731,Forecasts!M2737,Forecasts!M2743,Forecasts!M2749,Forecasts!M2755,Forecasts!M2761,Forecasts!M2767)</x:f>
        <x:v>0.13769624198253852</x:v>
      </x:c>
      <x:c r="J384" s="8" t="n">
        <x:f>SQRT(AVERAGE(Forecasts!N1351,Forecasts!N1368,Forecasts!N1384,Forecasts!N1400,Forecasts!N1416,Forecasts!N1432,Forecasts!N1448,Forecasts!N1464))</x:f>
        <x:v>2.1213203435596424</x:v>
      </x:c>
      <x:c r="K384" s="8" t="n">
        <x:f>SQRT(AVERAGE(Forecasts!N1353,Forecasts!N1370,Forecasts!N1386,Forecasts!N1402,Forecasts!N1418,Forecasts!N1434,Forecasts!N1450,Forecasts!N1466))</x:f>
        <x:v>2.542598337117505</x:v>
      </x:c>
    </x:row>
    <x:row r="385" ht="26" customHeight="1">
      <x:c r="A385" s="2"/>
      <x:c r="B385" s="2" t="str">
        <x:v>Grooming / organic_volume_growth</x:v>
      </x:c>
      <x:c r="C385" s="2" t="str">
        <x:v>Pre-earnings</x:v>
      </x:c>
      <x:c r="D385" s="2" t="str">
        <x:v>Half correction</x:v>
      </x:c>
      <x:c r="E385" s="2" t="str">
        <x:v>Recent eight</x:v>
      </x:c>
      <x:c r="F385" s="2" t="n">
        <x:v>8</x:v>
      </x:c>
      <x:c r="G385" s="8" t="n">
        <x:f>SQRT(AVERAGE(Forecasts!N2725,Forecasts!N2731,Forecasts!N2737,Forecasts!N2743,Forecasts!N2749,Forecasts!N2755,Forecasts!N2761,Forecasts!N2767))</x:f>
        <x:v>2.2503427120512165</x:v>
      </x:c>
      <x:c r="H385" s="8" t="n">
        <x:f>AVERAGE(Forecasts!O2725,Forecasts!O2731,Forecasts!O2737,Forecasts!O2743,Forecasts!O2749,Forecasts!O2755,Forecasts!O2761,Forecasts!O2767)</x:f>
        <x:v>1.822296120340084</x:v>
      </x:c>
      <x:c r="I385" s="8" t="n">
        <x:f>AVERAGE(Forecasts!M2725,Forecasts!M2731,Forecasts!M2737,Forecasts!M2743,Forecasts!M2749,Forecasts!M2755,Forecasts!M2761,Forecasts!M2767)</x:f>
        <x:v>0.13769624198253852</x:v>
      </x:c>
      <x:c r="J385" s="8" t="n">
        <x:f>SQRT(AVERAGE(Forecasts!N1351,Forecasts!N1368,Forecasts!N1384,Forecasts!N1400,Forecasts!N1416,Forecasts!N1432,Forecasts!N1448,Forecasts!N1464))</x:f>
        <x:v>2.1213203435596424</x:v>
      </x:c>
      <x:c r="K385" s="8" t="n">
        <x:f>SQRT(AVERAGE(Forecasts!N1353,Forecasts!N1370,Forecasts!N1386,Forecasts!N1402,Forecasts!N1418,Forecasts!N1434,Forecasts!N1450,Forecasts!N1466))</x:f>
        <x:v>2.542598337117505</x:v>
      </x:c>
    </x:row>
    <x:row r="386" ht="26" customHeight="1">
      <x:c r="A386" s="2"/>
      <x:c r="B386" s="2" t="str">
        <x:v>Grooming / organic_volume_growth</x:v>
      </x:c>
      <x:c r="C386" s="2" t="str">
        <x:v>Pre-earnings</x:v>
      </x:c>
      <x:c r="D386" s="2" t="str">
        <x:v>Last actual</x:v>
      </x:c>
      <x:c r="E386" s="2" t="str">
        <x:v>All available</x:v>
      </x:c>
      <x:c r="F386" s="2" t="n">
        <x:v>12</x:v>
      </x:c>
      <x:c r="G386" s="8" t="n">
        <x:f>SQRT(AVERAGE(Forecasts!N1287,Forecasts!N1303,Forecasts!N1319,Forecasts!N1335,Forecasts!N1351,Forecasts!N1368,Forecasts!N1384,Forecasts!N1400,Forecasts!N1416,Forecasts!N1432,Forecasts!N1448,Forecasts!N1464))</x:f>
        <x:v>1.9790570145063195</x:v>
      </x:c>
      <x:c r="H386" s="8" t="n">
        <x:f>AVERAGE(Forecasts!O1287,Forecasts!O1303,Forecasts!O1319,Forecasts!O1335,Forecasts!O1351,Forecasts!O1368,Forecasts!O1384,Forecasts!O1400,Forecasts!O1416,Forecasts!O1432,Forecasts!O1448,Forecasts!O1464)</x:f>
        <x:v>1.5833333333333333</x:v>
      </x:c>
      <x:c r="I386" s="8" t="n">
        <x:f>AVERAGE(Forecasts!M1287,Forecasts!M1303,Forecasts!M1319,Forecasts!M1335,Forecasts!M1351,Forecasts!M1368,Forecasts!M1384,Forecasts!M1400,Forecasts!M1416,Forecasts!M1432,Forecasts!M1448,Forecasts!M1464)</x:f>
        <x:v>0.08333333333333333</x:v>
      </x:c>
      <x:c r="J386" s="8" t="n">
        <x:f>SQRT(AVERAGE(Forecasts!N1287,Forecasts!N1303,Forecasts!N1319,Forecasts!N1335,Forecasts!N1351,Forecasts!N1368,Forecasts!N1384,Forecasts!N1400,Forecasts!N1416,Forecasts!N1432,Forecasts!N1448,Forecasts!N1464))</x:f>
        <x:v>1.9790570145063195</x:v>
      </x:c>
      <x:c r="K386" s="8" t="n">
        <x:f>SQRT(AVERAGE(Forecasts!N1289,Forecasts!N1305,Forecasts!N1321,Forecasts!N1337,Forecasts!N1353,Forecasts!N1370,Forecasts!N1386,Forecasts!N1402,Forecasts!N1418,Forecasts!N1434,Forecasts!N1450,Forecasts!N1466))</x:f>
        <x:v>2.4015611345083525</x:v>
      </x:c>
    </x:row>
    <x:row r="387" ht="26" customHeight="1">
      <x:c r="A387" s="2"/>
      <x:c r="B387" s="2" t="str">
        <x:v>Grooming / organic_volume_growth</x:v>
      </x:c>
      <x:c r="C387" s="2" t="str">
        <x:v>Pre-earnings</x:v>
      </x:c>
      <x:c r="D387" s="2" t="str">
        <x:v>Last actual</x:v>
      </x:c>
      <x:c r="E387" s="2" t="str">
        <x:v>Recent eight</x:v>
      </x:c>
      <x:c r="F387" s="2" t="n">
        <x:v>8</x:v>
      </x:c>
      <x:c r="G387" s="8" t="n">
        <x:f>SQRT(AVERAGE(Forecasts!N1351,Forecasts!N1368,Forecasts!N1384,Forecasts!N1400,Forecasts!N1416,Forecasts!N1432,Forecasts!N1448,Forecasts!N1464))</x:f>
        <x:v>2.1213203435596424</x:v>
      </x:c>
      <x:c r="H387" s="8" t="n">
        <x:f>AVERAGE(Forecasts!O1351,Forecasts!O1368,Forecasts!O1384,Forecasts!O1400,Forecasts!O1416,Forecasts!O1432,Forecasts!O1448,Forecasts!O1464)</x:f>
        <x:v>1.75</x:v>
      </x:c>
      <x:c r="I387" s="8" t="n">
        <x:f>AVERAGE(Forecasts!M1351,Forecasts!M1368,Forecasts!M1384,Forecasts!M1400,Forecasts!M1416,Forecasts!M1432,Forecasts!M1448,Forecasts!M1464)</x:f>
        <x:v>0.5</x:v>
      </x:c>
      <x:c r="J387" s="8" t="n">
        <x:f>SQRT(AVERAGE(Forecasts!N1351,Forecasts!N1368,Forecasts!N1384,Forecasts!N1400,Forecasts!N1416,Forecasts!N1432,Forecasts!N1448,Forecasts!N1464))</x:f>
        <x:v>2.1213203435596424</x:v>
      </x:c>
      <x:c r="K387" s="8" t="n">
        <x:f>SQRT(AVERAGE(Forecasts!N1353,Forecasts!N1370,Forecasts!N1386,Forecasts!N1402,Forecasts!N1418,Forecasts!N1434,Forecasts!N1450,Forecasts!N1466))</x:f>
        <x:v>2.542598337117505</x:v>
      </x:c>
    </x:row>
    <x:row r="388" ht="26" customHeight="1">
      <x:c r="A388" s="2"/>
      <x:c r="B388" s="2" t="str">
        <x:v>Grooming / organic_volume_growth</x:v>
      </x:c>
      <x:c r="C388" s="2" t="str">
        <x:v>Pre-earnings</x:v>
      </x:c>
      <x:c r="D388" s="2" t="str">
        <x:v>Own history</x:v>
      </x:c>
      <x:c r="E388" s="2" t="str">
        <x:v>All available</x:v>
      </x:c>
      <x:c r="F388" s="2" t="n">
        <x:v>12</x:v>
      </x:c>
      <x:c r="G388" s="8" t="n">
        <x:f>SQRT(AVERAGE(Forecasts!N1292,Forecasts!N1308,Forecasts!N1324,Forecasts!N1340,Forecasts!N1356,Forecasts!N1373,Forecasts!N1389,Forecasts!N1405,Forecasts!N1421,Forecasts!N1437,Forecasts!N1453,Forecasts!N1469))</x:f>
        <x:v>2.112729140193864</x:v>
      </x:c>
      <x:c r="H388" s="8" t="n">
        <x:f>AVERAGE(Forecasts!O1292,Forecasts!O1308,Forecasts!O1324,Forecasts!O1340,Forecasts!O1356,Forecasts!O1373,Forecasts!O1389,Forecasts!O1405,Forecasts!O1421,Forecasts!O1437,Forecasts!O1453,Forecasts!O1469)</x:f>
        <x:v>1.7609302907762914</x:v>
      </x:c>
      <x:c r="I388" s="8" t="n">
        <x:f>AVERAGE(Forecasts!M1292,Forecasts!M1308,Forecasts!M1324,Forecasts!M1340,Forecasts!M1356,Forecasts!M1373,Forecasts!M1389,Forecasts!M1405,Forecasts!M1421,Forecasts!M1437,Forecasts!M1453,Forecasts!M1469)</x:f>
        <x:v>-0.4162368413083887</x:v>
      </x:c>
      <x:c r="J388" s="8" t="n">
        <x:f>SQRT(AVERAGE(Forecasts!N1287,Forecasts!N1303,Forecasts!N1319,Forecasts!N1335,Forecasts!N1351,Forecasts!N1368,Forecasts!N1384,Forecasts!N1400,Forecasts!N1416,Forecasts!N1432,Forecasts!N1448,Forecasts!N1464))</x:f>
        <x:v>1.9790570145063195</x:v>
      </x:c>
      <x:c r="K388" s="8" t="n">
        <x:f>SQRT(AVERAGE(Forecasts!N1289,Forecasts!N1305,Forecasts!N1321,Forecasts!N1337,Forecasts!N1353,Forecasts!N1370,Forecasts!N1386,Forecasts!N1402,Forecasts!N1418,Forecasts!N1434,Forecasts!N1450,Forecasts!N1466))</x:f>
        <x:v>2.4015611345083525</x:v>
      </x:c>
    </x:row>
    <x:row r="389" ht="26" customHeight="1">
      <x:c r="A389" s="2"/>
      <x:c r="B389" s="2" t="str">
        <x:v>Grooming / organic_volume_growth</x:v>
      </x:c>
      <x:c r="C389" s="2" t="str">
        <x:v>Pre-earnings</x:v>
      </x:c>
      <x:c r="D389" s="2" t="str">
        <x:v>Own history</x:v>
      </x:c>
      <x:c r="E389" s="2" t="str">
        <x:v>Recent eight</x:v>
      </x:c>
      <x:c r="F389" s="2" t="n">
        <x:v>8</x:v>
      </x:c>
      <x:c r="G389" s="8" t="n">
        <x:f>SQRT(AVERAGE(Forecasts!N1356,Forecasts!N1373,Forecasts!N1389,Forecasts!N1405,Forecasts!N1421,Forecasts!N1437,Forecasts!N1453,Forecasts!N1469))</x:f>
        <x:v>2.293760653923338</x:v>
      </x:c>
      <x:c r="H389" s="8" t="n">
        <x:f>AVERAGE(Forecasts!O1356,Forecasts!O1373,Forecasts!O1389,Forecasts!O1405,Forecasts!O1421,Forecasts!O1437,Forecasts!O1453,Forecasts!O1469)</x:f>
        <x:v>1.8596237323714848</x:v>
      </x:c>
      <x:c r="I389" s="8" t="n">
        <x:f>AVERAGE(Forecasts!M1356,Forecasts!M1373,Forecasts!M1389,Forecasts!M1405,Forecasts!M1421,Forecasts!M1437,Forecasts!M1453,Forecasts!M1469)</x:f>
        <x:v>-0.3818873099733828</x:v>
      </x:c>
      <x:c r="J389" s="8" t="n">
        <x:f>SQRT(AVERAGE(Forecasts!N1351,Forecasts!N1368,Forecasts!N1384,Forecasts!N1400,Forecasts!N1416,Forecasts!N1432,Forecasts!N1448,Forecasts!N1464))</x:f>
        <x:v>2.1213203435596424</x:v>
      </x:c>
      <x:c r="K389" s="8" t="n">
        <x:f>SQRT(AVERAGE(Forecasts!N1353,Forecasts!N1370,Forecasts!N1386,Forecasts!N1402,Forecasts!N1418,Forecasts!N1434,Forecasts!N1450,Forecasts!N1466))</x:f>
        <x:v>2.542598337117505</x:v>
      </x:c>
    </x:row>
    <x:row r="390" ht="26" customHeight="1">
      <x:c r="A390" s="2"/>
      <x:c r="B390" s="2" t="str">
        <x:v>Grooming / price_contribution</x:v>
      </x:c>
      <x:c r="C390" s="2" t="str">
        <x:v>Origin</x:v>
      </x:c>
      <x:c r="D390" s="2" t="str">
        <x:v>Bias correction</x:v>
      </x:c>
      <x:c r="E390" s="2" t="str">
        <x:v>All available</x:v>
      </x:c>
      <x:c r="F390" s="2" t="n">
        <x:v>7</x:v>
      </x:c>
      <x:c r="G390" s="8" t="n">
        <x:f>SQRT(AVERAGE(Forecasts!N2496,Forecasts!N2502,Forecasts!N2508,Forecasts!N2514,Forecasts!N2520,Forecasts!N2526,Forecasts!N2532))</x:f>
        <x:v>2.50757209215615</x:v>
      </x:c>
      <x:c r="H390" s="8" t="n">
        <x:f>AVERAGE(Forecasts!O2496,Forecasts!O2502,Forecasts!O2508,Forecasts!O2514,Forecasts!O2520,Forecasts!O2526,Forecasts!O2532)</x:f>
        <x:v>2.0188901631496328</x:v>
      </x:c>
      <x:c r="I390" s="8" t="n">
        <x:f>AVERAGE(Forecasts!M2496,Forecasts!M2502,Forecasts!M2508,Forecasts!M2514,Forecasts!M2520,Forecasts!M2526,Forecasts!M2532)</x:f>
        <x:v>-0.07284835795012302</x:v>
      </x:c>
      <x:c r="J390" s="8" t="n">
        <x:f>SQRT(AVERAGE(Forecasts!N369,Forecasts!N386,Forecasts!N403,Forecasts!N420,Forecasts!N437,Forecasts!N454,Forecasts!N471))</x:f>
        <x:v>4.0708019567928595</x:v>
      </x:c>
      <x:c r="K390" s="8" t="n">
        <x:f>SQRT(AVERAGE(Forecasts!N371,Forecasts!N388,Forecasts!N405,Forecasts!N422,Forecasts!N439,Forecasts!N456,Forecasts!N473))</x:f>
        <x:v>2.315977053979624</x:v>
      </x:c>
    </x:row>
    <x:row r="391" ht="26" customHeight="1">
      <x:c r="A391" s="2"/>
      <x:c r="B391" s="2" t="str">
        <x:v>Grooming / price_contribution</x:v>
      </x:c>
      <x:c r="C391" s="2" t="str">
        <x:v>Origin</x:v>
      </x:c>
      <x:c r="D391" s="2" t="str">
        <x:v>Bias correction</x:v>
      </x:c>
      <x:c r="E391" s="2" t="str">
        <x:v>Recent eight</x:v>
      </x:c>
      <x:c r="F391" s="2" t="n">
        <x:v>7</x:v>
      </x:c>
      <x:c r="G391" s="8" t="n">
        <x:f>SQRT(AVERAGE(Forecasts!N2496,Forecasts!N2502,Forecasts!N2508,Forecasts!N2514,Forecasts!N2520,Forecasts!N2526,Forecasts!N2532))</x:f>
        <x:v>2.50757209215615</x:v>
      </x:c>
      <x:c r="H391" s="8" t="n">
        <x:f>AVERAGE(Forecasts!O2496,Forecasts!O2502,Forecasts!O2508,Forecasts!O2514,Forecasts!O2520,Forecasts!O2526,Forecasts!O2532)</x:f>
        <x:v>2.0188901631496328</x:v>
      </x:c>
      <x:c r="I391" s="8" t="n">
        <x:f>AVERAGE(Forecasts!M2496,Forecasts!M2502,Forecasts!M2508,Forecasts!M2514,Forecasts!M2520,Forecasts!M2526,Forecasts!M2532)</x:f>
        <x:v>-0.07284835795012302</x:v>
      </x:c>
      <x:c r="J391" s="8" t="n">
        <x:f>SQRT(AVERAGE(Forecasts!N369,Forecasts!N386,Forecasts!N403,Forecasts!N420,Forecasts!N437,Forecasts!N454,Forecasts!N471))</x:f>
        <x:v>4.0708019567928595</x:v>
      </x:c>
      <x:c r="K391" s="8" t="n">
        <x:f>SQRT(AVERAGE(Forecasts!N371,Forecasts!N388,Forecasts!N405,Forecasts!N422,Forecasts!N439,Forecasts!N456,Forecasts!N473))</x:f>
        <x:v>2.315977053979624</x:v>
      </x:c>
    </x:row>
    <x:row r="392" ht="26" customHeight="1">
      <x:c r="A392" s="2"/>
      <x:c r="B392" s="2" t="str">
        <x:v>Grooming / price_contribution</x:v>
      </x:c>
      <x:c r="C392" s="2" t="str">
        <x:v>Origin</x:v>
      </x:c>
      <x:c r="D392" s="2" t="str">
        <x:v>Broad market</x:v>
      </x:c>
      <x:c r="E392" s="2" t="str">
        <x:v>All available</x:v>
      </x:c>
      <x:c r="F392" s="2" t="n">
        <x:v>12</x:v>
      </x:c>
      <x:c r="G392" s="8" t="n">
        <x:f>SQRT(AVERAGE(Forecasts!N288,Forecasts!N304,Forecasts!N320,Forecasts!N337,Forecasts!N354,Forecasts!N371,Forecasts!N388,Forecasts!N405,Forecasts!N422,Forecasts!N439,Forecasts!N456,Forecasts!N473))</x:f>
        <x:v>2.0824007156351216</x:v>
      </x:c>
      <x:c r="H392" s="8" t="n">
        <x:f>AVERAGE(Forecasts!O288,Forecasts!O304,Forecasts!O320,Forecasts!O337,Forecasts!O354,Forecasts!O371,Forecasts!O388,Forecasts!O405,Forecasts!O422,Forecasts!O439,Forecasts!O456,Forecasts!O473)</x:f>
        <x:v>1.7930821172353204</x:v>
      </x:c>
      <x:c r="I392" s="8" t="n">
        <x:f>AVERAGE(Forecasts!M288,Forecasts!M304,Forecasts!M320,Forecasts!M337,Forecasts!M354,Forecasts!M371,Forecasts!M388,Forecasts!M405,Forecasts!M422,Forecasts!M439,Forecasts!M456,Forecasts!M473)</x:f>
        <x:v>1.1052854746015017</x:v>
      </x:c>
      <x:c r="J392" s="8" t="n">
        <x:f>SQRT(AVERAGE(Forecasts!N286,Forecasts!N302,Forecasts!N318,Forecasts!N335,Forecasts!N352,Forecasts!N369,Forecasts!N386,Forecasts!N403,Forecasts!N420,Forecasts!N437,Forecasts!N454,Forecasts!N471))</x:f>
        <x:v>3.2914029430219167</x:v>
      </x:c>
      <x:c r="K392" s="8" t="n">
        <x:f>SQRT(AVERAGE(Forecasts!N288,Forecasts!N304,Forecasts!N320,Forecasts!N337,Forecasts!N354,Forecasts!N371,Forecasts!N388,Forecasts!N405,Forecasts!N422,Forecasts!N439,Forecasts!N456,Forecasts!N473))</x:f>
        <x:v>2.0824007156351216</x:v>
      </x:c>
    </x:row>
    <x:row r="393" ht="26" customHeight="1">
      <x:c r="A393" s="2"/>
      <x:c r="B393" s="2" t="str">
        <x:v>Grooming / price_contribution</x:v>
      </x:c>
      <x:c r="C393" s="2" t="str">
        <x:v>Origin</x:v>
      </x:c>
      <x:c r="D393" s="2" t="str">
        <x:v>Broad market</x:v>
      </x:c>
      <x:c r="E393" s="2" t="str">
        <x:v>Recent eight</x:v>
      </x:c>
      <x:c r="F393" s="2" t="n">
        <x:v>8</x:v>
      </x:c>
      <x:c r="G393" s="8" t="n">
        <x:f>SQRT(AVERAGE(Forecasts!N354,Forecasts!N371,Forecasts!N388,Forecasts!N405,Forecasts!N422,Forecasts!N439,Forecasts!N456,Forecasts!N473))</x:f>
        <x:v>2.239832925162572</x:v>
      </x:c>
      <x:c r="H393" s="8" t="n">
        <x:f>AVERAGE(Forecasts!O354,Forecasts!O371,Forecasts!O388,Forecasts!O405,Forecasts!O422,Forecasts!O439,Forecasts!O456,Forecasts!O473)</x:f>
        <x:v>1.8542910949483171</x:v>
      </x:c>
      <x:c r="I393" s="8" t="n">
        <x:f>AVERAGE(Forecasts!M354,Forecasts!M371,Forecasts!M388,Forecasts!M405,Forecasts!M422,Forecasts!M439,Forecasts!M456,Forecasts!M473)</x:f>
        <x:v>1.3591819238248708</x:v>
      </x:c>
      <x:c r="J393" s="8" t="n">
        <x:f>SQRT(AVERAGE(Forecasts!N352,Forecasts!N369,Forecasts!N386,Forecasts!N403,Forecasts!N420,Forecasts!N437,Forecasts!N454,Forecasts!N471))</x:f>
        <x:v>3.872983346207417</x:v>
      </x:c>
      <x:c r="K393" s="8" t="n">
        <x:f>SQRT(AVERAGE(Forecasts!N354,Forecasts!N371,Forecasts!N388,Forecasts!N405,Forecasts!N422,Forecasts!N439,Forecasts!N456,Forecasts!N473))</x:f>
        <x:v>2.239832925162572</x:v>
      </x:c>
    </x:row>
    <x:row r="394" ht="26" customHeight="1">
      <x:c r="A394" s="2"/>
      <x:c r="B394" s="2" t="str">
        <x:v>Grooming / price_contribution</x:v>
      </x:c>
      <x:c r="C394" s="2" t="str">
        <x:v>Origin</x:v>
      </x:c>
      <x:c r="D394" s="2" t="str">
        <x:v>Broad rolling 8</x:v>
      </x:c>
      <x:c r="E394" s="2" t="str">
        <x:v>All available</x:v>
      </x:c>
      <x:c r="F394" s="2" t="n">
        <x:v>12</x:v>
      </x:c>
      <x:c r="G394" s="8" t="n">
        <x:f>SQRT(AVERAGE(Forecasts!N289,Forecasts!N305,Forecasts!N321,Forecasts!N338,Forecasts!N355,Forecasts!N372,Forecasts!N389,Forecasts!N406,Forecasts!N423,Forecasts!N440,Forecasts!N457,Forecasts!N474))</x:f>
        <x:v>2.4901267392570365</x:v>
      </x:c>
      <x:c r="H394" s="8" t="n">
        <x:f>AVERAGE(Forecasts!O289,Forecasts!O305,Forecasts!O321,Forecasts!O338,Forecasts!O355,Forecasts!O372,Forecasts!O389,Forecasts!O406,Forecasts!O423,Forecasts!O440,Forecasts!O457,Forecasts!O474)</x:f>
        <x:v>2.0223088930473825</x:v>
      </x:c>
      <x:c r="I394" s="8" t="n">
        <x:f>AVERAGE(Forecasts!M289,Forecasts!M305,Forecasts!M321,Forecasts!M338,Forecasts!M355,Forecasts!M372,Forecasts!M389,Forecasts!M406,Forecasts!M423,Forecasts!M440,Forecasts!M457,Forecasts!M474)</x:f>
        <x:v>1.1305820308621144</x:v>
      </x:c>
      <x:c r="J394" s="8" t="n">
        <x:f>SQRT(AVERAGE(Forecasts!N286,Forecasts!N302,Forecasts!N318,Forecasts!N335,Forecasts!N352,Forecasts!N369,Forecasts!N386,Forecasts!N403,Forecasts!N420,Forecasts!N437,Forecasts!N454,Forecasts!N471))</x:f>
        <x:v>3.2914029430219167</x:v>
      </x:c>
      <x:c r="K394" s="8" t="n">
        <x:f>SQRT(AVERAGE(Forecasts!N288,Forecasts!N304,Forecasts!N320,Forecasts!N337,Forecasts!N354,Forecasts!N371,Forecasts!N388,Forecasts!N405,Forecasts!N422,Forecasts!N439,Forecasts!N456,Forecasts!N473))</x:f>
        <x:v>2.0824007156351216</x:v>
      </x:c>
    </x:row>
    <x:row r="395" ht="26" customHeight="1">
      <x:c r="A395" s="2"/>
      <x:c r="B395" s="2" t="str">
        <x:v>Grooming / price_contribution</x:v>
      </x:c>
      <x:c r="C395" s="2" t="str">
        <x:v>Origin</x:v>
      </x:c>
      <x:c r="D395" s="2" t="str">
        <x:v>Broad rolling 8</x:v>
      </x:c>
      <x:c r="E395" s="2" t="str">
        <x:v>Recent eight</x:v>
      </x:c>
      <x:c r="F395" s="2" t="n">
        <x:v>8</x:v>
      </x:c>
      <x:c r="G395" s="8" t="n">
        <x:f>SQRT(AVERAGE(Forecasts!N355,Forecasts!N372,Forecasts!N389,Forecasts!N406,Forecasts!N423,Forecasts!N440,Forecasts!N457,Forecasts!N474))</x:f>
        <x:v>2.818584234834917</x:v>
      </x:c>
      <x:c r="H395" s="8" t="n">
        <x:f>AVERAGE(Forecasts!O355,Forecasts!O372,Forecasts!O389,Forecasts!O406,Forecasts!O423,Forecasts!O440,Forecasts!O457,Forecasts!O474)</x:f>
        <x:v>2.2323782074442615</x:v>
      </x:c>
      <x:c r="I395" s="8" t="n">
        <x:f>AVERAGE(Forecasts!M355,Forecasts!M372,Forecasts!M389,Forecasts!M406,Forecasts!M423,Forecasts!M440,Forecasts!M457,Forecasts!M474)</x:f>
        <x:v>1.3714694946373325</x:v>
      </x:c>
      <x:c r="J395" s="8" t="n">
        <x:f>SQRT(AVERAGE(Forecasts!N352,Forecasts!N369,Forecasts!N386,Forecasts!N403,Forecasts!N420,Forecasts!N437,Forecasts!N454,Forecasts!N471))</x:f>
        <x:v>3.872983346207417</x:v>
      </x:c>
      <x:c r="K395" s="8" t="n">
        <x:f>SQRT(AVERAGE(Forecasts!N354,Forecasts!N371,Forecasts!N388,Forecasts!N405,Forecasts!N422,Forecasts!N439,Forecasts!N456,Forecasts!N473))</x:f>
        <x:v>2.239832925162572</x:v>
      </x:c>
    </x:row>
    <x:row r="396" ht="26" customHeight="1">
      <x:c r="A396" s="2"/>
      <x:c r="B396" s="2" t="str">
        <x:v>Grooming / price_contribution</x:v>
      </x:c>
      <x:c r="C396" s="2" t="str">
        <x:v>Origin</x:v>
      </x:c>
      <x:c r="D396" s="2" t="str">
        <x:v>Four-quarter mean</x:v>
      </x:c>
      <x:c r="E396" s="2" t="str">
        <x:v>All available</x:v>
      </x:c>
      <x:c r="F396" s="2" t="n">
        <x:v>12</x:v>
      </x:c>
      <x:c r="G396" s="8" t="n">
        <x:f>SQRT(AVERAGE(Forecasts!N287,Forecasts!N303,Forecasts!N319,Forecasts!N336,Forecasts!N353,Forecasts!N370,Forecasts!N387,Forecasts!N404,Forecasts!N421,Forecasts!N438,Forecasts!N455,Forecasts!N472))</x:f>
        <x:v>3.4746102898982305</x:v>
      </x:c>
      <x:c r="H396" s="8" t="n">
        <x:f>AVERAGE(Forecasts!O287,Forecasts!O303,Forecasts!O319,Forecasts!O336,Forecasts!O353,Forecasts!O370,Forecasts!O387,Forecasts!O404,Forecasts!O421,Forecasts!O438,Forecasts!O455,Forecasts!O472)</x:f>
        <x:v>2.375</x:v>
      </x:c>
      <x:c r="I396" s="8" t="n">
        <x:f>AVERAGE(Forecasts!M287,Forecasts!M303,Forecasts!M319,Forecasts!M336,Forecasts!M353,Forecasts!M370,Forecasts!M387,Forecasts!M404,Forecasts!M421,Forecasts!M438,Forecasts!M455,Forecasts!M472)</x:f>
        <x:v>1.75</x:v>
      </x:c>
      <x:c r="J396" s="8" t="n">
        <x:f>SQRT(AVERAGE(Forecasts!N286,Forecasts!N302,Forecasts!N318,Forecasts!N335,Forecasts!N352,Forecasts!N369,Forecasts!N386,Forecasts!N403,Forecasts!N420,Forecasts!N437,Forecasts!N454,Forecasts!N471))</x:f>
        <x:v>3.2914029430219167</x:v>
      </x:c>
      <x:c r="K396" s="8" t="n">
        <x:f>SQRT(AVERAGE(Forecasts!N288,Forecasts!N304,Forecasts!N320,Forecasts!N337,Forecasts!N354,Forecasts!N371,Forecasts!N388,Forecasts!N405,Forecasts!N422,Forecasts!N439,Forecasts!N456,Forecasts!N473))</x:f>
        <x:v>2.0824007156351216</x:v>
      </x:c>
    </x:row>
    <x:row r="397" ht="26" customHeight="1">
      <x:c r="A397" s="2"/>
      <x:c r="B397" s="2" t="str">
        <x:v>Grooming / price_contribution</x:v>
      </x:c>
      <x:c r="C397" s="2" t="str">
        <x:v>Origin</x:v>
      </x:c>
      <x:c r="D397" s="2" t="str">
        <x:v>Four-quarter mean</x:v>
      </x:c>
      <x:c r="E397" s="2" t="str">
        <x:v>Recent eight</x:v>
      </x:c>
      <x:c r="F397" s="2" t="n">
        <x:v>8</x:v>
      </x:c>
      <x:c r="G397" s="8" t="n">
        <x:f>SQRT(AVERAGE(Forecasts!N353,Forecasts!N370,Forecasts!N387,Forecasts!N404,Forecasts!N421,Forecasts!N438,Forecasts!N455,Forecasts!N472))</x:f>
        <x:v>4.137292290858841</x:v>
      </x:c>
      <x:c r="H397" s="8" t="n">
        <x:f>AVERAGE(Forecasts!O353,Forecasts!O370,Forecasts!O387,Forecasts!O404,Forecasts!O421,Forecasts!O438,Forecasts!O455,Forecasts!O472)</x:f>
        <x:v>3.03125</x:v>
      </x:c>
      <x:c r="I397" s="8" t="n">
        <x:f>AVERAGE(Forecasts!M353,Forecasts!M370,Forecasts!M387,Forecasts!M404,Forecasts!M421,Forecasts!M438,Forecasts!M455,Forecasts!M472)</x:f>
        <x:v>2.53125</x:v>
      </x:c>
      <x:c r="J397" s="8" t="n">
        <x:f>SQRT(AVERAGE(Forecasts!N352,Forecasts!N369,Forecasts!N386,Forecasts!N403,Forecasts!N420,Forecasts!N437,Forecasts!N454,Forecasts!N471))</x:f>
        <x:v>3.872983346207417</x:v>
      </x:c>
      <x:c r="K397" s="8" t="n">
        <x:f>SQRT(AVERAGE(Forecasts!N354,Forecasts!N371,Forecasts!N388,Forecasts!N405,Forecasts!N422,Forecasts!N439,Forecasts!N456,Forecasts!N473))</x:f>
        <x:v>2.239832925162572</x:v>
      </x:c>
    </x:row>
    <x:row r="398" ht="26" customHeight="1">
      <x:c r="A398" s="2"/>
      <x:c r="B398" s="2" t="str">
        <x:v>Grooming / price_contribution</x:v>
      </x:c>
      <x:c r="C398" s="2" t="str">
        <x:v>Origin</x:v>
      </x:c>
      <x:c r="D398" s="2" t="str">
        <x:v>Half correction</x:v>
      </x:c>
      <x:c r="E398" s="2" t="str">
        <x:v>All available</x:v>
      </x:c>
      <x:c r="F398" s="2" t="n">
        <x:v>7</x:v>
      </x:c>
      <x:c r="G398" s="8" t="n">
        <x:f>SQRT(AVERAGE(Forecasts!N2497,Forecasts!N2503,Forecasts!N2509,Forecasts!N2515,Forecasts!N2521,Forecasts!N2527,Forecasts!N2533))</x:f>
        <x:v>2.279687316799842</x:v>
      </x:c>
      <x:c r="H398" s="8" t="n">
        <x:f>AVERAGE(Forecasts!O2497,Forecasts!O2503,Forecasts!O2509,Forecasts!O2515,Forecasts!O2521,Forecasts!O2527,Forecasts!O2533)</x:f>
        <x:v>1.8219684223492192</x:v>
      </x:c>
      <x:c r="I398" s="8" t="n">
        <x:f>AVERAGE(Forecasts!M2497,Forecasts!M2503,Forecasts!M2509,Forecasts!M2515,Forecasts!M2521,Forecasts!M2527,Forecasts!M2533)</x:f>
        <x:v>0.625329665414055</x:v>
      </x:c>
      <x:c r="J398" s="8" t="n">
        <x:f>SQRT(AVERAGE(Forecasts!N369,Forecasts!N386,Forecasts!N403,Forecasts!N420,Forecasts!N437,Forecasts!N454,Forecasts!N471))</x:f>
        <x:v>4.0708019567928595</x:v>
      </x:c>
      <x:c r="K398" s="8" t="n">
        <x:f>SQRT(AVERAGE(Forecasts!N371,Forecasts!N388,Forecasts!N405,Forecasts!N422,Forecasts!N439,Forecasts!N456,Forecasts!N473))</x:f>
        <x:v>2.315977053979624</x:v>
      </x:c>
    </x:row>
    <x:row r="399" ht="26" customHeight="1">
      <x:c r="A399" s="2"/>
      <x:c r="B399" s="2" t="str">
        <x:v>Grooming / price_contribution</x:v>
      </x:c>
      <x:c r="C399" s="2" t="str">
        <x:v>Origin</x:v>
      </x:c>
      <x:c r="D399" s="2" t="str">
        <x:v>Half correction</x:v>
      </x:c>
      <x:c r="E399" s="2" t="str">
        <x:v>Recent eight</x:v>
      </x:c>
      <x:c r="F399" s="2" t="n">
        <x:v>7</x:v>
      </x:c>
      <x:c r="G399" s="8" t="n">
        <x:f>SQRT(AVERAGE(Forecasts!N2497,Forecasts!N2503,Forecasts!N2509,Forecasts!N2515,Forecasts!N2521,Forecasts!N2527,Forecasts!N2533))</x:f>
        <x:v>2.279687316799842</x:v>
      </x:c>
      <x:c r="H399" s="8" t="n">
        <x:f>AVERAGE(Forecasts!O2497,Forecasts!O2503,Forecasts!O2509,Forecasts!O2515,Forecasts!O2521,Forecasts!O2527,Forecasts!O2533)</x:f>
        <x:v>1.8219684223492192</x:v>
      </x:c>
      <x:c r="I399" s="8" t="n">
        <x:f>AVERAGE(Forecasts!M2497,Forecasts!M2503,Forecasts!M2509,Forecasts!M2515,Forecasts!M2521,Forecasts!M2527,Forecasts!M2533)</x:f>
        <x:v>0.625329665414055</x:v>
      </x:c>
      <x:c r="J399" s="8" t="n">
        <x:f>SQRT(AVERAGE(Forecasts!N369,Forecasts!N386,Forecasts!N403,Forecasts!N420,Forecasts!N437,Forecasts!N454,Forecasts!N471))</x:f>
        <x:v>4.0708019567928595</x:v>
      </x:c>
      <x:c r="K399" s="8" t="n">
        <x:f>SQRT(AVERAGE(Forecasts!N371,Forecasts!N388,Forecasts!N405,Forecasts!N422,Forecasts!N439,Forecasts!N456,Forecasts!N473))</x:f>
        <x:v>2.315977053979624</x:v>
      </x:c>
    </x:row>
    <x:row r="400" ht="26" customHeight="1">
      <x:c r="A400" s="2"/>
      <x:c r="B400" s="2" t="str">
        <x:v>Grooming / price_contribution</x:v>
      </x:c>
      <x:c r="C400" s="2" t="str">
        <x:v>Origin</x:v>
      </x:c>
      <x:c r="D400" s="2" t="str">
        <x:v>Last actual</x:v>
      </x:c>
      <x:c r="E400" s="2" t="str">
        <x:v>All available</x:v>
      </x:c>
      <x:c r="F400" s="2" t="n">
        <x:v>12</x:v>
      </x:c>
      <x:c r="G400" s="8" t="n">
        <x:f>SQRT(AVERAGE(Forecasts!N286,Forecasts!N302,Forecasts!N318,Forecasts!N335,Forecasts!N352,Forecasts!N369,Forecasts!N386,Forecasts!N403,Forecasts!N420,Forecasts!N437,Forecasts!N454,Forecasts!N471))</x:f>
        <x:v>3.2914029430219167</x:v>
      </x:c>
      <x:c r="H400" s="8" t="n">
        <x:f>AVERAGE(Forecasts!O286,Forecasts!O302,Forecasts!O318,Forecasts!O335,Forecasts!O352,Forecasts!O369,Forecasts!O386,Forecasts!O403,Forecasts!O420,Forecasts!O437,Forecasts!O454,Forecasts!O471)</x:f>
        <x:v>2.5</x:v>
      </x:c>
      <x:c r="I400" s="8" t="n">
        <x:f>AVERAGE(Forecasts!M286,Forecasts!M302,Forecasts!M318,Forecasts!M335,Forecasts!M352,Forecasts!M369,Forecasts!M386,Forecasts!M403,Forecasts!M420,Forecasts!M437,Forecasts!M454,Forecasts!M471)</x:f>
        <x:v>1.3333333333333333</x:v>
      </x:c>
      <x:c r="J400" s="8" t="n">
        <x:f>SQRT(AVERAGE(Forecasts!N286,Forecasts!N302,Forecasts!N318,Forecasts!N335,Forecasts!N352,Forecasts!N369,Forecasts!N386,Forecasts!N403,Forecasts!N420,Forecasts!N437,Forecasts!N454,Forecasts!N471))</x:f>
        <x:v>3.2914029430219167</x:v>
      </x:c>
      <x:c r="K400" s="8" t="n">
        <x:f>SQRT(AVERAGE(Forecasts!N288,Forecasts!N304,Forecasts!N320,Forecasts!N337,Forecasts!N354,Forecasts!N371,Forecasts!N388,Forecasts!N405,Forecasts!N422,Forecasts!N439,Forecasts!N456,Forecasts!N473))</x:f>
        <x:v>2.0824007156351216</x:v>
      </x:c>
    </x:row>
    <x:row r="401" ht="26" customHeight="1">
      <x:c r="A401" s="2"/>
      <x:c r="B401" s="2" t="str">
        <x:v>Grooming / price_contribution</x:v>
      </x:c>
      <x:c r="C401" s="2" t="str">
        <x:v>Origin</x:v>
      </x:c>
      <x:c r="D401" s="2" t="str">
        <x:v>Last actual</x:v>
      </x:c>
      <x:c r="E401" s="2" t="str">
        <x:v>Recent eight</x:v>
      </x:c>
      <x:c r="F401" s="2" t="n">
        <x:v>8</x:v>
      </x:c>
      <x:c r="G401" s="8" t="n">
        <x:f>SQRT(AVERAGE(Forecasts!N352,Forecasts!N369,Forecasts!N386,Forecasts!N403,Forecasts!N420,Forecasts!N437,Forecasts!N454,Forecasts!N471))</x:f>
        <x:v>3.872983346207417</x:v>
      </x:c>
      <x:c r="H401" s="8" t="n">
        <x:f>AVERAGE(Forecasts!O352,Forecasts!O369,Forecasts!O386,Forecasts!O403,Forecasts!O420,Forecasts!O437,Forecasts!O454,Forecasts!O471)</x:f>
        <x:v>3</x:v>
      </x:c>
      <x:c r="I401" s="8" t="n">
        <x:f>AVERAGE(Forecasts!M352,Forecasts!M369,Forecasts!M386,Forecasts!M403,Forecasts!M420,Forecasts!M437,Forecasts!M454,Forecasts!M471)</x:f>
        <x:v>1.5</x:v>
      </x:c>
      <x:c r="J401" s="8" t="n">
        <x:f>SQRT(AVERAGE(Forecasts!N352,Forecasts!N369,Forecasts!N386,Forecasts!N403,Forecasts!N420,Forecasts!N437,Forecasts!N454,Forecasts!N471))</x:f>
        <x:v>3.872983346207417</x:v>
      </x:c>
      <x:c r="K401" s="8" t="n">
        <x:f>SQRT(AVERAGE(Forecasts!N354,Forecasts!N371,Forecasts!N388,Forecasts!N405,Forecasts!N422,Forecasts!N439,Forecasts!N456,Forecasts!N473))</x:f>
        <x:v>2.239832925162572</x:v>
      </x:c>
    </x:row>
    <x:row r="402" ht="26" customHeight="1">
      <x:c r="A402" s="2"/>
      <x:c r="B402" s="2" t="str">
        <x:v>Grooming / price_contribution</x:v>
      </x:c>
      <x:c r="C402" s="2" t="str">
        <x:v>Origin</x:v>
      </x:c>
      <x:c r="D402" s="2" t="str">
        <x:v>Own history</x:v>
      </x:c>
      <x:c r="E402" s="2" t="str">
        <x:v>All available</x:v>
      </x:c>
      <x:c r="F402" s="2" t="n">
        <x:v>10</x:v>
      </x:c>
      <x:c r="G402" s="8" t="n">
        <x:f>SQRT(AVERAGE(Forecasts!N322,Forecasts!N339,Forecasts!N356,Forecasts!N373,Forecasts!N390,Forecasts!N407,Forecasts!N424,Forecasts!N441,Forecasts!N458,Forecasts!N475))</x:f>
        <x:v>3.7790644661854356</x:v>
      </x:c>
      <x:c r="H402" s="8" t="n">
        <x:f>AVERAGE(Forecasts!O322,Forecasts!O339,Forecasts!O356,Forecasts!O373,Forecasts!O390,Forecasts!O407,Forecasts!O424,Forecasts!O441,Forecasts!O458,Forecasts!O475)</x:f>
        <x:v>2.821496128091604</x:v>
      </x:c>
      <x:c r="I402" s="8" t="n">
        <x:f>AVERAGE(Forecasts!M322,Forecasts!M339,Forecasts!M356,Forecasts!M373,Forecasts!M390,Forecasts!M407,Forecasts!M424,Forecasts!M441,Forecasts!M458,Forecasts!M475)</x:f>
        <x:v>2.701125757721234</x:v>
      </x:c>
      <x:c r="J402" s="8" t="n">
        <x:f>SQRT(AVERAGE(Forecasts!N318,Forecasts!N335,Forecasts!N352,Forecasts!N369,Forecasts!N386,Forecasts!N403,Forecasts!N420,Forecasts!N437,Forecasts!N454,Forecasts!N471))</x:f>
        <x:v>3.5355339059327378</x:v>
      </x:c>
      <x:c r="K402" s="8" t="n">
        <x:f>SQRT(AVERAGE(Forecasts!N320,Forecasts!N337,Forecasts!N354,Forecasts!N371,Forecasts!N388,Forecasts!N405,Forecasts!N422,Forecasts!N439,Forecasts!N456,Forecasts!N473))</x:f>
        <x:v>2.2111361727460803</x:v>
      </x:c>
    </x:row>
    <x:row r="403" ht="26" customHeight="1">
      <x:c r="A403" s="2"/>
      <x:c r="B403" s="2" t="str">
        <x:v>Grooming / price_contribution</x:v>
      </x:c>
      <x:c r="C403" s="2" t="str">
        <x:v>Origin</x:v>
      </x:c>
      <x:c r="D403" s="2" t="str">
        <x:v>Own history</x:v>
      </x:c>
      <x:c r="E403" s="2" t="str">
        <x:v>Recent eight</x:v>
      </x:c>
      <x:c r="F403" s="2" t="n">
        <x:v>8</x:v>
      </x:c>
      <x:c r="G403" s="8" t="n">
        <x:f>SQRT(AVERAGE(Forecasts!N356,Forecasts!N373,Forecasts!N390,Forecasts!N407,Forecasts!N424,Forecasts!N441,Forecasts!N458,Forecasts!N475))</x:f>
        <x:v>4.102452692175829</x:v>
      </x:c>
      <x:c r="H403" s="8" t="n">
        <x:f>AVERAGE(Forecasts!O356,Forecasts!O373,Forecasts!O390,Forecasts!O407,Forecasts!O424,Forecasts!O441,Forecasts!O458,Forecasts!O475)</x:f>
        <x:v>3.102306458265745</x:v>
      </x:c>
      <x:c r="I403" s="8" t="n">
        <x:f>AVERAGE(Forecasts!M356,Forecasts!M373,Forecasts!M390,Forecasts!M407,Forecasts!M424,Forecasts!M441,Forecasts!M458,Forecasts!M475)</x:f>
        <x:v>3.102306458265745</x:v>
      </x:c>
      <x:c r="J403" s="8" t="n">
        <x:f>SQRT(AVERAGE(Forecasts!N352,Forecasts!N369,Forecasts!N386,Forecasts!N403,Forecasts!N420,Forecasts!N437,Forecasts!N454,Forecasts!N471))</x:f>
        <x:v>3.872983346207417</x:v>
      </x:c>
      <x:c r="K403" s="8" t="n">
        <x:f>SQRT(AVERAGE(Forecasts!N354,Forecasts!N371,Forecasts!N388,Forecasts!N405,Forecasts!N422,Forecasts!N439,Forecasts!N456,Forecasts!N473))</x:f>
        <x:v>2.239832925162572</x:v>
      </x:c>
    </x:row>
    <x:row r="404" ht="26" customHeight="1">
      <x:c r="A404" s="2"/>
      <x:c r="B404" s="2" t="str">
        <x:v>Grooming / price_contribution</x:v>
      </x:c>
      <x:c r="C404" s="2" t="str">
        <x:v>Prior report</x:v>
      </x:c>
      <x:c r="D404" s="2" t="str">
        <x:v>Bias correction</x:v>
      </x:c>
      <x:c r="E404" s="2" t="str">
        <x:v>All available</x:v>
      </x:c>
      <x:c r="F404" s="2" t="n">
        <x:v>8</x:v>
      </x:c>
      <x:c r="G404" s="8" t="n">
        <x:f>SQRT(AVERAGE(Forecasts!N2492,Forecasts!N2498,Forecasts!N2504,Forecasts!N2510,Forecasts!N2516,Forecasts!N2522,Forecasts!N2528,Forecasts!N2534))</x:f>
        <x:v>2.1631175053743097</x:v>
      </x:c>
      <x:c r="H404" s="8" t="n">
        <x:f>AVERAGE(Forecasts!O2492,Forecasts!O2498,Forecasts!O2504,Forecasts!O2510,Forecasts!O2516,Forecasts!O2522,Forecasts!O2528,Forecasts!O2534)</x:f>
        <x:v>1.8571416397451022</x:v>
      </x:c>
      <x:c r="I404" s="8" t="n">
        <x:f>AVERAGE(Forecasts!M2492,Forecasts!M2498,Forecasts!M2504,Forecasts!M2510,Forecasts!M2516,Forecasts!M2522,Forecasts!M2528,Forecasts!M2534)</x:f>
        <x:v>0.3258006165189492</x:v>
      </x:c>
      <x:c r="J404" s="8" t="n">
        <x:f>SQRT(AVERAGE(Forecasts!N357,Forecasts!N374,Forecasts!N391,Forecasts!N408,Forecasts!N425,Forecasts!N442,Forecasts!N459,Forecasts!N476))</x:f>
        <x:v>2.5248762345905194</x:v>
      </x:c>
      <x:c r="K404" s="8" t="n">
        <x:f>SQRT(AVERAGE(Forecasts!N359,Forecasts!N376,Forecasts!N393,Forecasts!N410,Forecasts!N427,Forecasts!N444,Forecasts!N461,Forecasts!N478))</x:f>
        <x:v>2.0045086899214573</x:v>
      </x:c>
    </x:row>
    <x:row r="405" ht="26" customHeight="1">
      <x:c r="A405" s="2"/>
      <x:c r="B405" s="2" t="str">
        <x:v>Grooming / price_contribution</x:v>
      </x:c>
      <x:c r="C405" s="2" t="str">
        <x:v>Prior report</x:v>
      </x:c>
      <x:c r="D405" s="2" t="str">
        <x:v>Bias correction</x:v>
      </x:c>
      <x:c r="E405" s="2" t="str">
        <x:v>Recent eight</x:v>
      </x:c>
      <x:c r="F405" s="2" t="n">
        <x:v>8</x:v>
      </x:c>
      <x:c r="G405" s="8" t="n">
        <x:f>SQRT(AVERAGE(Forecasts!N2492,Forecasts!N2498,Forecasts!N2504,Forecasts!N2510,Forecasts!N2516,Forecasts!N2522,Forecasts!N2528,Forecasts!N2534))</x:f>
        <x:v>2.1631175053743097</x:v>
      </x:c>
      <x:c r="H405" s="8" t="n">
        <x:f>AVERAGE(Forecasts!O2492,Forecasts!O2498,Forecasts!O2504,Forecasts!O2510,Forecasts!O2516,Forecasts!O2522,Forecasts!O2528,Forecasts!O2534)</x:f>
        <x:v>1.8571416397451022</x:v>
      </x:c>
      <x:c r="I405" s="8" t="n">
        <x:f>AVERAGE(Forecasts!M2492,Forecasts!M2498,Forecasts!M2504,Forecasts!M2510,Forecasts!M2516,Forecasts!M2522,Forecasts!M2528,Forecasts!M2534)</x:f>
        <x:v>0.3258006165189492</x:v>
      </x:c>
      <x:c r="J405" s="8" t="n">
        <x:f>SQRT(AVERAGE(Forecasts!N357,Forecasts!N374,Forecasts!N391,Forecasts!N408,Forecasts!N425,Forecasts!N442,Forecasts!N459,Forecasts!N476))</x:f>
        <x:v>2.5248762345905194</x:v>
      </x:c>
      <x:c r="K405" s="8" t="n">
        <x:f>SQRT(AVERAGE(Forecasts!N359,Forecasts!N376,Forecasts!N393,Forecasts!N410,Forecasts!N427,Forecasts!N444,Forecasts!N461,Forecasts!N478))</x:f>
        <x:v>2.0045086899214573</x:v>
      </x:c>
    </x:row>
    <x:row r="406" ht="26" customHeight="1">
      <x:c r="A406" s="2"/>
      <x:c r="B406" s="2" t="str">
        <x:v>Grooming / price_contribution</x:v>
      </x:c>
      <x:c r="C406" s="2" t="str">
        <x:v>Prior report</x:v>
      </x:c>
      <x:c r="D406" s="2" t="str">
        <x:v>Broad lag 1</x:v>
      </x:c>
      <x:c r="E406" s="2" t="str">
        <x:v>All available</x:v>
      </x:c>
      <x:c r="F406" s="2" t="n">
        <x:v>11</x:v>
      </x:c>
      <x:c r="G406" s="8" t="n">
        <x:f>SQRT(AVERAGE(Forecasts!N293,Forecasts!N309,Forecasts!N326,Forecasts!N343,Forecasts!N360,Forecasts!N377,Forecasts!N394,Forecasts!N411,Forecasts!N428,Forecasts!N445,Forecasts!N462))</x:f>
        <x:v>2.2667561289762896</x:v>
      </x:c>
      <x:c r="H406" s="8" t="n">
        <x:f>AVERAGE(Forecasts!O293,Forecasts!O309,Forecasts!O326,Forecasts!O343,Forecasts!O360,Forecasts!O377,Forecasts!O394,Forecasts!O411,Forecasts!O428,Forecasts!O445,Forecasts!O462)</x:f>
        <x:v>2.0227184924490804</x:v>
      </x:c>
      <x:c r="I406" s="8" t="n">
        <x:f>AVERAGE(Forecasts!M293,Forecasts!M309,Forecasts!M326,Forecasts!M343,Forecasts!M360,Forecasts!M377,Forecasts!M394,Forecasts!M411,Forecasts!M428,Forecasts!M445,Forecasts!M462)</x:f>
        <x:v>1.3546402849981312</x:v>
      </x:c>
      <x:c r="J406" s="8" t="n">
        <x:f>SQRT(AVERAGE(Forecasts!N290,Forecasts!N306,Forecasts!N323,Forecasts!N340,Forecasts!N357,Forecasts!N374,Forecasts!N391,Forecasts!N408,Forecasts!N425,Forecasts!N442,Forecasts!N459))</x:f>
        <x:v>2.412090756622109</x:v>
      </x:c>
      <x:c r="K406" s="8" t="n">
        <x:f>SQRT(AVERAGE(Forecasts!N292,Forecasts!N308,Forecasts!N325,Forecasts!N342,Forecasts!N359,Forecasts!N376,Forecasts!N393,Forecasts!N410,Forecasts!N427,Forecasts!N444,Forecasts!N461))</x:f>
        <x:v>1.9766162823185751</x:v>
      </x:c>
    </x:row>
    <x:row r="407" ht="26" customHeight="1">
      <x:c r="A407" s="2"/>
      <x:c r="B407" s="2" t="str">
        <x:v>Grooming / price_contribution</x:v>
      </x:c>
      <x:c r="C407" s="2" t="str">
        <x:v>Prior report</x:v>
      </x:c>
      <x:c r="D407" s="2" t="str">
        <x:v>Broad lag 1</x:v>
      </x:c>
      <x:c r="E407" s="2" t="str">
        <x:v>Recent eight</x:v>
      </x:c>
      <x:c r="F407" s="2" t="n">
        <x:v>7</x:v>
      </x:c>
      <x:c r="G407" s="8" t="n">
        <x:f>SQRT(AVERAGE(Forecasts!N360,Forecasts!N377,Forecasts!N394,Forecasts!N411,Forecasts!N428,Forecasts!N445,Forecasts!N462))</x:f>
        <x:v>2.4127517533045673</x:v>
      </x:c>
      <x:c r="H407" s="8" t="n">
        <x:f>AVERAGE(Forecasts!O360,Forecasts!O377,Forecasts!O394,Forecasts!O411,Forecasts!O428,Forecasts!O445,Forecasts!O462)</x:f>
        <x:v>2.058973626983242</x:v>
      </x:c>
      <x:c r="I407" s="8" t="n">
        <x:f>AVERAGE(Forecasts!M360,Forecasts!M377,Forecasts!M394,Forecasts!M411,Forecasts!M428,Forecasts!M445,Forecasts!M462)</x:f>
        <x:v>1.7141949430690144</x:v>
      </x:c>
      <x:c r="J407" s="8" t="n">
        <x:f>SQRT(AVERAGE(Forecasts!N357,Forecasts!N374,Forecasts!N391,Forecasts!N408,Forecasts!N425,Forecasts!N442,Forecasts!N459))</x:f>
        <x:v>2.6726124191242437</x:v>
      </x:c>
      <x:c r="K407" s="8" t="n">
        <x:f>SQRT(AVERAGE(Forecasts!N359,Forecasts!N376,Forecasts!N393,Forecasts!N410,Forecasts!N427,Forecasts!N444,Forecasts!N461))</x:f>
        <x:v>2.106255330508997</x:v>
      </x:c>
    </x:row>
    <x:row r="408" ht="26" customHeight="1">
      <x:c r="A408" s="2"/>
      <x:c r="B408" s="2" t="str">
        <x:v>Grooming / price_contribution</x:v>
      </x:c>
      <x:c r="C408" s="2" t="str">
        <x:v>Prior report</x:v>
      </x:c>
      <x:c r="D408" s="2" t="str">
        <x:v>Broad market</x:v>
      </x:c>
      <x:c r="E408" s="2" t="str">
        <x:v>All available</x:v>
      </x:c>
      <x:c r="F408" s="2" t="n">
        <x:v>12</x:v>
      </x:c>
      <x:c r="G408" s="8" t="n">
        <x:f>SQRT(AVERAGE(Forecasts!N292,Forecasts!N308,Forecasts!N325,Forecasts!N342,Forecasts!N359,Forecasts!N376,Forecasts!N393,Forecasts!N410,Forecasts!N427,Forecasts!N444,Forecasts!N461,Forecasts!N478))</x:f>
        <x:v>1.9163200690707114</x:v>
      </x:c>
      <x:c r="H408" s="8" t="n">
        <x:f>AVERAGE(Forecasts!O292,Forecasts!O308,Forecasts!O325,Forecasts!O342,Forecasts!O359,Forecasts!O376,Forecasts!O393,Forecasts!O410,Forecasts!O427,Forecasts!O444,Forecasts!O461,Forecasts!O478)</x:f>
        <x:v>1.6910272321661575</x:v>
      </x:c>
      <x:c r="I408" s="8" t="n">
        <x:f>AVERAGE(Forecasts!M292,Forecasts!M308,Forecasts!M325,Forecasts!M342,Forecasts!M359,Forecasts!M376,Forecasts!M393,Forecasts!M410,Forecasts!M427,Forecasts!M444,Forecasts!M461,Forecasts!M478)</x:f>
        <x:v>0.9025960810520451</x:v>
      </x:c>
      <x:c r="J408" s="8" t="n">
        <x:f>SQRT(AVERAGE(Forecasts!N290,Forecasts!N306,Forecasts!N323,Forecasts!N340,Forecasts!N357,Forecasts!N374,Forecasts!N391,Forecasts!N408,Forecasts!N425,Forecasts!N442,Forecasts!N459,Forecasts!N476))</x:f>
        <x:v>2.327373340628157</x:v>
      </x:c>
      <x:c r="K408" s="8" t="n">
        <x:f>SQRT(AVERAGE(Forecasts!N292,Forecasts!N308,Forecasts!N325,Forecasts!N342,Forecasts!N359,Forecasts!N376,Forecasts!N393,Forecasts!N410,Forecasts!N427,Forecasts!N444,Forecasts!N461,Forecasts!N478))</x:f>
        <x:v>1.9163200690707114</x:v>
      </x:c>
    </x:row>
    <x:row r="409" ht="26" customHeight="1">
      <x:c r="A409" s="2"/>
      <x:c r="B409" s="2" t="str">
        <x:v>Grooming / price_contribution</x:v>
      </x:c>
      <x:c r="C409" s="2" t="str">
        <x:v>Prior report</x:v>
      </x:c>
      <x:c r="D409" s="2" t="str">
        <x:v>Broad market</x:v>
      </x:c>
      <x:c r="E409" s="2" t="str">
        <x:v>Recent eight</x:v>
      </x:c>
      <x:c r="F409" s="2" t="n">
        <x:v>8</x:v>
      </x:c>
      <x:c r="G409" s="8" t="n">
        <x:f>SQRT(AVERAGE(Forecasts!N359,Forecasts!N376,Forecasts!N393,Forecasts!N410,Forecasts!N427,Forecasts!N444,Forecasts!N461,Forecasts!N478))</x:f>
        <x:v>2.0045086899214573</x:v>
      </x:c>
      <x:c r="H409" s="8" t="n">
        <x:f>AVERAGE(Forecasts!O359,Forecasts!O376,Forecasts!O393,Forecasts!O410,Forecasts!O427,Forecasts!O444,Forecasts!O461,Forecasts!O478)</x:f>
        <x:v>1.755303178811045</x:v>
      </x:c>
      <x:c r="I409" s="8" t="n">
        <x:f>AVERAGE(Forecasts!M359,Forecasts!M376,Forecasts!M393,Forecasts!M410,Forecasts!M427,Forecasts!M444,Forecasts!M461,Forecasts!M478)</x:f>
        <x:v>1.2668208439139284</x:v>
      </x:c>
      <x:c r="J409" s="8" t="n">
        <x:f>SQRT(AVERAGE(Forecasts!N357,Forecasts!N374,Forecasts!N391,Forecasts!N408,Forecasts!N425,Forecasts!N442,Forecasts!N459,Forecasts!N476))</x:f>
        <x:v>2.5248762345905194</x:v>
      </x:c>
      <x:c r="K409" s="8" t="n">
        <x:f>SQRT(AVERAGE(Forecasts!N359,Forecasts!N376,Forecasts!N393,Forecasts!N410,Forecasts!N427,Forecasts!N444,Forecasts!N461,Forecasts!N478))</x:f>
        <x:v>2.0045086899214573</x:v>
      </x:c>
    </x:row>
    <x:row r="410" ht="26" customHeight="1">
      <x:c r="A410" s="2"/>
      <x:c r="B410" s="2" t="str">
        <x:v>Grooming / price_contribution</x:v>
      </x:c>
      <x:c r="C410" s="2" t="str">
        <x:v>Prior report</x:v>
      </x:c>
      <x:c r="D410" s="2" t="str">
        <x:v>Broad rolling 8</x:v>
      </x:c>
      <x:c r="E410" s="2" t="str">
        <x:v>All available</x:v>
      </x:c>
      <x:c r="F410" s="2" t="n">
        <x:v>12</x:v>
      </x:c>
      <x:c r="G410" s="8" t="n">
        <x:f>SQRT(AVERAGE(Forecasts!N294,Forecasts!N310,Forecasts!N327,Forecasts!N344,Forecasts!N361,Forecasts!N378,Forecasts!N395,Forecasts!N412,Forecasts!N429,Forecasts!N446,Forecasts!N463,Forecasts!N479))</x:f>
        <x:v>2.119257967385285</x:v>
      </x:c>
      <x:c r="H410" s="8" t="n">
        <x:f>AVERAGE(Forecasts!O294,Forecasts!O310,Forecasts!O327,Forecasts!O344,Forecasts!O361,Forecasts!O378,Forecasts!O395,Forecasts!O412,Forecasts!O429,Forecasts!O446,Forecasts!O463,Forecasts!O479)</x:f>
        <x:v>1.7753513308740247</x:v>
      </x:c>
      <x:c r="I410" s="8" t="n">
        <x:f>AVERAGE(Forecasts!M294,Forecasts!M310,Forecasts!M327,Forecasts!M344,Forecasts!M361,Forecasts!M378,Forecasts!M395,Forecasts!M412,Forecasts!M429,Forecasts!M446,Forecasts!M463,Forecasts!M479)</x:f>
        <x:v>0.811244568855415</x:v>
      </x:c>
      <x:c r="J410" s="8" t="n">
        <x:f>SQRT(AVERAGE(Forecasts!N290,Forecasts!N306,Forecasts!N323,Forecasts!N340,Forecasts!N357,Forecasts!N374,Forecasts!N391,Forecasts!N408,Forecasts!N425,Forecasts!N442,Forecasts!N459,Forecasts!N476))</x:f>
        <x:v>2.327373340628157</x:v>
      </x:c>
      <x:c r="K410" s="8" t="n">
        <x:f>SQRT(AVERAGE(Forecasts!N292,Forecasts!N308,Forecasts!N325,Forecasts!N342,Forecasts!N359,Forecasts!N376,Forecasts!N393,Forecasts!N410,Forecasts!N427,Forecasts!N444,Forecasts!N461,Forecasts!N478))</x:f>
        <x:v>1.9163200690707114</x:v>
      </x:c>
    </x:row>
    <x:row r="411" ht="26" customHeight="1">
      <x:c r="A411" s="2"/>
      <x:c r="B411" s="2" t="str">
        <x:v>Grooming / price_contribution</x:v>
      </x:c>
      <x:c r="C411" s="2" t="str">
        <x:v>Prior report</x:v>
      </x:c>
      <x:c r="D411" s="2" t="str">
        <x:v>Broad rolling 8</x:v>
      </x:c>
      <x:c r="E411" s="2" t="str">
        <x:v>Recent eight</x:v>
      </x:c>
      <x:c r="F411" s="2" t="n">
        <x:v>8</x:v>
      </x:c>
      <x:c r="G411" s="8" t="n">
        <x:f>SQRT(AVERAGE(Forecasts!N361,Forecasts!N378,Forecasts!N395,Forecasts!N412,Forecasts!N429,Forecasts!N446,Forecasts!N463,Forecasts!N479))</x:f>
        <x:v>2.3405767130239212</x:v>
      </x:c>
      <x:c r="H411" s="8" t="n">
        <x:f>AVERAGE(Forecasts!O361,Forecasts!O378,Forecasts!O395,Forecasts!O412,Forecasts!O429,Forecasts!O446,Forecasts!O463,Forecasts!O479)</x:f>
        <x:v>1.930406003492637</x:v>
      </x:c>
      <x:c r="I411" s="8" t="n">
        <x:f>AVERAGE(Forecasts!M361,Forecasts!M378,Forecasts!M395,Forecasts!M412,Forecasts!M429,Forecasts!M446,Forecasts!M463,Forecasts!M479)</x:f>
        <x:v>1.0831670425356021</x:v>
      </x:c>
      <x:c r="J411" s="8" t="n">
        <x:f>SQRT(AVERAGE(Forecasts!N357,Forecasts!N374,Forecasts!N391,Forecasts!N408,Forecasts!N425,Forecasts!N442,Forecasts!N459,Forecasts!N476))</x:f>
        <x:v>2.5248762345905194</x:v>
      </x:c>
      <x:c r="K411" s="8" t="n">
        <x:f>SQRT(AVERAGE(Forecasts!N359,Forecasts!N376,Forecasts!N393,Forecasts!N410,Forecasts!N427,Forecasts!N444,Forecasts!N461,Forecasts!N478))</x:f>
        <x:v>2.0045086899214573</x:v>
      </x:c>
    </x:row>
    <x:row r="412" ht="26" customHeight="1">
      <x:c r="A412" s="2"/>
      <x:c r="B412" s="2" t="str">
        <x:v>Grooming / price_contribution</x:v>
      </x:c>
      <x:c r="C412" s="2" t="str">
        <x:v>Prior report</x:v>
      </x:c>
      <x:c r="D412" s="2" t="str">
        <x:v>Four-quarter mean</x:v>
      </x:c>
      <x:c r="E412" s="2" t="str">
        <x:v>All available</x:v>
      </x:c>
      <x:c r="F412" s="2" t="n">
        <x:v>12</x:v>
      </x:c>
      <x:c r="G412" s="8" t="n">
        <x:f>SQRT(AVERAGE(Forecasts!N291,Forecasts!N307,Forecasts!N324,Forecasts!N341,Forecasts!N358,Forecasts!N375,Forecasts!N392,Forecasts!N409,Forecasts!N426,Forecasts!N443,Forecasts!N460,Forecasts!N477))</x:f>
        <x:v>2.9483399283890814</x:v>
      </x:c>
      <x:c r="H412" s="8" t="n">
        <x:f>AVERAGE(Forecasts!O291,Forecasts!O307,Forecasts!O324,Forecasts!O341,Forecasts!O358,Forecasts!O375,Forecasts!O392,Forecasts!O409,Forecasts!O426,Forecasts!O443,Forecasts!O460,Forecasts!O477)</x:f>
        <x:v>2.2291666666666665</x:v>
      </x:c>
      <x:c r="I412" s="8" t="n">
        <x:f>AVERAGE(Forecasts!M291,Forecasts!M307,Forecasts!M324,Forecasts!M341,Forecasts!M358,Forecasts!M375,Forecasts!M392,Forecasts!M409,Forecasts!M426,Forecasts!M443,Forecasts!M460,Forecasts!M477)</x:f>
        <x:v>1.3541666666666667</x:v>
      </x:c>
      <x:c r="J412" s="8" t="n">
        <x:f>SQRT(AVERAGE(Forecasts!N290,Forecasts!N306,Forecasts!N323,Forecasts!N340,Forecasts!N357,Forecasts!N374,Forecasts!N391,Forecasts!N408,Forecasts!N425,Forecasts!N442,Forecasts!N459,Forecasts!N476))</x:f>
        <x:v>2.327373340628157</x:v>
      </x:c>
      <x:c r="K412" s="8" t="n">
        <x:f>SQRT(AVERAGE(Forecasts!N292,Forecasts!N308,Forecasts!N325,Forecasts!N342,Forecasts!N359,Forecasts!N376,Forecasts!N393,Forecasts!N410,Forecasts!N427,Forecasts!N444,Forecasts!N461,Forecasts!N478))</x:f>
        <x:v>1.9163200690707114</x:v>
      </x:c>
    </x:row>
    <x:row r="413" ht="26" customHeight="1">
      <x:c r="A413" s="2"/>
      <x:c r="B413" s="2" t="str">
        <x:v>Grooming / price_contribution</x:v>
      </x:c>
      <x:c r="C413" s="2" t="str">
        <x:v>Prior report</x:v>
      </x:c>
      <x:c r="D413" s="2" t="str">
        <x:v>Four-quarter mean</x:v>
      </x:c>
      <x:c r="E413" s="2" t="str">
        <x:v>Recent eight</x:v>
      </x:c>
      <x:c r="F413" s="2" t="n">
        <x:v>8</x:v>
      </x:c>
      <x:c r="G413" s="8" t="n">
        <x:f>SQRT(AVERAGE(Forecasts!N358,Forecasts!N375,Forecasts!N392,Forecasts!N409,Forecasts!N426,Forecasts!N443,Forecasts!N460,Forecasts!N477))</x:f>
        <x:v>3.4437443284889775</x:v>
      </x:c>
      <x:c r="H413" s="8" t="n">
        <x:f>AVERAGE(Forecasts!O358,Forecasts!O375,Forecasts!O392,Forecasts!O409,Forecasts!O426,Forecasts!O443,Forecasts!O460,Forecasts!O477)</x:f>
        <x:v>2.75</x:v>
      </x:c>
      <x:c r="I413" s="8" t="n">
        <x:f>AVERAGE(Forecasts!M358,Forecasts!M375,Forecasts!M392,Forecasts!M409,Forecasts!M426,Forecasts!M443,Forecasts!M460,Forecasts!M477)</x:f>
        <x:v>1.8125</x:v>
      </x:c>
      <x:c r="J413" s="8" t="n">
        <x:f>SQRT(AVERAGE(Forecasts!N357,Forecasts!N374,Forecasts!N391,Forecasts!N408,Forecasts!N425,Forecasts!N442,Forecasts!N459,Forecasts!N476))</x:f>
        <x:v>2.5248762345905194</x:v>
      </x:c>
      <x:c r="K413" s="8" t="n">
        <x:f>SQRT(AVERAGE(Forecasts!N359,Forecasts!N376,Forecasts!N393,Forecasts!N410,Forecasts!N427,Forecasts!N444,Forecasts!N461,Forecasts!N478))</x:f>
        <x:v>2.0045086899214573</x:v>
      </x:c>
    </x:row>
    <x:row r="414" ht="26" customHeight="1">
      <x:c r="A414" s="2"/>
      <x:c r="B414" s="2" t="str">
        <x:v>Grooming / price_contribution</x:v>
      </x:c>
      <x:c r="C414" s="2" t="str">
        <x:v>Prior report</x:v>
      </x:c>
      <x:c r="D414" s="2" t="str">
        <x:v>Half correction</x:v>
      </x:c>
      <x:c r="E414" s="2" t="str">
        <x:v>All available</x:v>
      </x:c>
      <x:c r="F414" s="2" t="n">
        <x:v>8</x:v>
      </x:c>
      <x:c r="G414" s="8" t="n">
        <x:f>SQRT(AVERAGE(Forecasts!N2493,Forecasts!N2499,Forecasts!N2505,Forecasts!N2511,Forecasts!N2517,Forecasts!N2523,Forecasts!N2529,Forecasts!N2535))</x:f>
        <x:v>1.998890048323401</x:v>
      </x:c>
      <x:c r="H414" s="8" t="n">
        <x:f>AVERAGE(Forecasts!O2493,Forecasts!O2499,Forecasts!O2505,Forecasts!O2511,Forecasts!O2517,Forecasts!O2523,Forecasts!O2529,Forecasts!O2535)</x:f>
        <x:v>1.7674270872169904</x:v>
      </x:c>
      <x:c r="I414" s="8" t="n">
        <x:f>AVERAGE(Forecasts!M2493,Forecasts!M2499,Forecasts!M2505,Forecasts!M2511,Forecasts!M2517,Forecasts!M2523,Forecasts!M2529,Forecasts!M2535)</x:f>
        <x:v>0.796310730216439</x:v>
      </x:c>
      <x:c r="J414" s="8" t="n">
        <x:f>SQRT(AVERAGE(Forecasts!N357,Forecasts!N374,Forecasts!N391,Forecasts!N408,Forecasts!N425,Forecasts!N442,Forecasts!N459,Forecasts!N476))</x:f>
        <x:v>2.5248762345905194</x:v>
      </x:c>
      <x:c r="K414" s="8" t="n">
        <x:f>SQRT(AVERAGE(Forecasts!N359,Forecasts!N376,Forecasts!N393,Forecasts!N410,Forecasts!N427,Forecasts!N444,Forecasts!N461,Forecasts!N478))</x:f>
        <x:v>2.0045086899214573</x:v>
      </x:c>
    </x:row>
    <x:row r="415" ht="26" customHeight="1">
      <x:c r="A415" s="2"/>
      <x:c r="B415" s="2" t="str">
        <x:v>Grooming / price_contribution</x:v>
      </x:c>
      <x:c r="C415" s="2" t="str">
        <x:v>Prior report</x:v>
      </x:c>
      <x:c r="D415" s="2" t="str">
        <x:v>Half correction</x:v>
      </x:c>
      <x:c r="E415" s="2" t="str">
        <x:v>Recent eight</x:v>
      </x:c>
      <x:c r="F415" s="2" t="n">
        <x:v>8</x:v>
      </x:c>
      <x:c r="G415" s="8" t="n">
        <x:f>SQRT(AVERAGE(Forecasts!N2493,Forecasts!N2499,Forecasts!N2505,Forecasts!N2511,Forecasts!N2517,Forecasts!N2523,Forecasts!N2529,Forecasts!N2535))</x:f>
        <x:v>1.998890048323401</x:v>
      </x:c>
      <x:c r="H415" s="8" t="n">
        <x:f>AVERAGE(Forecasts!O2493,Forecasts!O2499,Forecasts!O2505,Forecasts!O2511,Forecasts!O2517,Forecasts!O2523,Forecasts!O2529,Forecasts!O2535)</x:f>
        <x:v>1.7674270872169904</x:v>
      </x:c>
      <x:c r="I415" s="8" t="n">
        <x:f>AVERAGE(Forecasts!M2493,Forecasts!M2499,Forecasts!M2505,Forecasts!M2511,Forecasts!M2517,Forecasts!M2523,Forecasts!M2529,Forecasts!M2535)</x:f>
        <x:v>0.796310730216439</x:v>
      </x:c>
      <x:c r="J415" s="8" t="n">
        <x:f>SQRT(AVERAGE(Forecasts!N357,Forecasts!N374,Forecasts!N391,Forecasts!N408,Forecasts!N425,Forecasts!N442,Forecasts!N459,Forecasts!N476))</x:f>
        <x:v>2.5248762345905194</x:v>
      </x:c>
      <x:c r="K415" s="8" t="n">
        <x:f>SQRT(AVERAGE(Forecasts!N359,Forecasts!N376,Forecasts!N393,Forecasts!N410,Forecasts!N427,Forecasts!N444,Forecasts!N461,Forecasts!N478))</x:f>
        <x:v>2.0045086899214573</x:v>
      </x:c>
    </x:row>
    <x:row r="416" ht="26" customHeight="1">
      <x:c r="A416" s="2"/>
      <x:c r="B416" s="2" t="str">
        <x:v>Grooming / price_contribution</x:v>
      </x:c>
      <x:c r="C416" s="2" t="str">
        <x:v>Prior report</x:v>
      </x:c>
      <x:c r="D416" s="2" t="str">
        <x:v>Last actual</x:v>
      </x:c>
      <x:c r="E416" s="2" t="str">
        <x:v>All available</x:v>
      </x:c>
      <x:c r="F416" s="2" t="n">
        <x:v>12</x:v>
      </x:c>
      <x:c r="G416" s="8" t="n">
        <x:f>SQRT(AVERAGE(Forecasts!N290,Forecasts!N306,Forecasts!N323,Forecasts!N340,Forecasts!N357,Forecasts!N374,Forecasts!N391,Forecasts!N408,Forecasts!N425,Forecasts!N442,Forecasts!N459,Forecasts!N476))</x:f>
        <x:v>2.327373340628157</x:v>
      </x:c>
      <x:c r="H416" s="8" t="n">
        <x:f>AVERAGE(Forecasts!O290,Forecasts!O306,Forecasts!O323,Forecasts!O340,Forecasts!O357,Forecasts!O374,Forecasts!O391,Forecasts!O408,Forecasts!O425,Forecasts!O442,Forecasts!O459,Forecasts!O476)</x:f>
        <x:v>1.75</x:v>
      </x:c>
      <x:c r="I416" s="8" t="n">
        <x:f>AVERAGE(Forecasts!M290,Forecasts!M306,Forecasts!M323,Forecasts!M340,Forecasts!M357,Forecasts!M374,Forecasts!M391,Forecasts!M408,Forecasts!M425,Forecasts!M442,Forecasts!M459,Forecasts!M476)</x:f>
        <x:v>0.5833333333333334</x:v>
      </x:c>
      <x:c r="J416" s="8" t="n">
        <x:f>SQRT(AVERAGE(Forecasts!N290,Forecasts!N306,Forecasts!N323,Forecasts!N340,Forecasts!N357,Forecasts!N374,Forecasts!N391,Forecasts!N408,Forecasts!N425,Forecasts!N442,Forecasts!N459,Forecasts!N476))</x:f>
        <x:v>2.327373340628157</x:v>
      </x:c>
      <x:c r="K416" s="8" t="n">
        <x:f>SQRT(AVERAGE(Forecasts!N292,Forecasts!N308,Forecasts!N325,Forecasts!N342,Forecasts!N359,Forecasts!N376,Forecasts!N393,Forecasts!N410,Forecasts!N427,Forecasts!N444,Forecasts!N461,Forecasts!N478))</x:f>
        <x:v>1.9163200690707114</x:v>
      </x:c>
    </x:row>
    <x:row r="417" ht="26" customHeight="1">
      <x:c r="A417" s="2"/>
      <x:c r="B417" s="2" t="str">
        <x:v>Grooming / price_contribution</x:v>
      </x:c>
      <x:c r="C417" s="2" t="str">
        <x:v>Prior report</x:v>
      </x:c>
      <x:c r="D417" s="2" t="str">
        <x:v>Last actual</x:v>
      </x:c>
      <x:c r="E417" s="2" t="str">
        <x:v>Recent eight</x:v>
      </x:c>
      <x:c r="F417" s="2" t="n">
        <x:v>8</x:v>
      </x:c>
      <x:c r="G417" s="8" t="n">
        <x:f>SQRT(AVERAGE(Forecasts!N357,Forecasts!N374,Forecasts!N391,Forecasts!N408,Forecasts!N425,Forecasts!N442,Forecasts!N459,Forecasts!N476))</x:f>
        <x:v>2.5248762345905194</x:v>
      </x:c>
      <x:c r="H417" s="8" t="n">
        <x:f>AVERAGE(Forecasts!O357,Forecasts!O374,Forecasts!O391,Forecasts!O408,Forecasts!O425,Forecasts!O442,Forecasts!O459,Forecasts!O476)</x:f>
        <x:v>1.875</x:v>
      </x:c>
      <x:c r="I417" s="8" t="n">
        <x:f>AVERAGE(Forecasts!M357,Forecasts!M374,Forecasts!M391,Forecasts!M408,Forecasts!M425,Forecasts!M442,Forecasts!M459,Forecasts!M476)</x:f>
        <x:v>0.875</x:v>
      </x:c>
      <x:c r="J417" s="8" t="n">
        <x:f>SQRT(AVERAGE(Forecasts!N357,Forecasts!N374,Forecasts!N391,Forecasts!N408,Forecasts!N425,Forecasts!N442,Forecasts!N459,Forecasts!N476))</x:f>
        <x:v>2.5248762345905194</x:v>
      </x:c>
      <x:c r="K417" s="8" t="n">
        <x:f>SQRT(AVERAGE(Forecasts!N359,Forecasts!N376,Forecasts!N393,Forecasts!N410,Forecasts!N427,Forecasts!N444,Forecasts!N461,Forecasts!N478))</x:f>
        <x:v>2.0045086899214573</x:v>
      </x:c>
    </x:row>
    <x:row r="418" ht="26" customHeight="1">
      <x:c r="A418" s="2"/>
      <x:c r="B418" s="2" t="str">
        <x:v>Grooming / price_contribution</x:v>
      </x:c>
      <x:c r="C418" s="2" t="str">
        <x:v>Prior report</x:v>
      </x:c>
      <x:c r="D418" s="2" t="str">
        <x:v>Own history</x:v>
      </x:c>
      <x:c r="E418" s="2" t="str">
        <x:v>All available</x:v>
      </x:c>
      <x:c r="F418" s="2" t="n">
        <x:v>12</x:v>
      </x:c>
      <x:c r="G418" s="8" t="n">
        <x:f>SQRT(AVERAGE(Forecasts!N295,Forecasts!N311,Forecasts!N328,Forecasts!N345,Forecasts!N362,Forecasts!N379,Forecasts!N396,Forecasts!N413,Forecasts!N430,Forecasts!N447,Forecasts!N464,Forecasts!N480))</x:f>
        <x:v>2.460228916059748</x:v>
      </x:c>
      <x:c r="H418" s="8" t="n">
        <x:f>AVERAGE(Forecasts!O295,Forecasts!O311,Forecasts!O328,Forecasts!O345,Forecasts!O362,Forecasts!O379,Forecasts!O396,Forecasts!O413,Forecasts!O430,Forecasts!O447,Forecasts!O464,Forecasts!O480)</x:f>
        <x:v>1.8810799070432365</x:v>
      </x:c>
      <x:c r="I418" s="8" t="n">
        <x:f>AVERAGE(Forecasts!M295,Forecasts!M311,Forecasts!M328,Forecasts!M345,Forecasts!M362,Forecasts!M379,Forecasts!M396,Forecasts!M413,Forecasts!M430,Forecasts!M447,Forecasts!M464,Forecasts!M480)</x:f>
        <x:v>1.1911329007900342</x:v>
      </x:c>
      <x:c r="J418" s="8" t="n">
        <x:f>SQRT(AVERAGE(Forecasts!N290,Forecasts!N306,Forecasts!N323,Forecasts!N340,Forecasts!N357,Forecasts!N374,Forecasts!N391,Forecasts!N408,Forecasts!N425,Forecasts!N442,Forecasts!N459,Forecasts!N476))</x:f>
        <x:v>2.327373340628157</x:v>
      </x:c>
      <x:c r="K418" s="8" t="n">
        <x:f>SQRT(AVERAGE(Forecasts!N292,Forecasts!N308,Forecasts!N325,Forecasts!N342,Forecasts!N359,Forecasts!N376,Forecasts!N393,Forecasts!N410,Forecasts!N427,Forecasts!N444,Forecasts!N461,Forecasts!N478))</x:f>
        <x:v>1.9163200690707114</x:v>
      </x:c>
    </x:row>
    <x:row r="419" ht="26" customHeight="1">
      <x:c r="A419" s="2"/>
      <x:c r="B419" s="2" t="str">
        <x:v>Grooming / price_contribution</x:v>
      </x:c>
      <x:c r="C419" s="2" t="str">
        <x:v>Prior report</x:v>
      </x:c>
      <x:c r="D419" s="2" t="str">
        <x:v>Own history</x:v>
      </x:c>
      <x:c r="E419" s="2" t="str">
        <x:v>Recent eight</x:v>
      </x:c>
      <x:c r="F419" s="2" t="n">
        <x:v>8</x:v>
      </x:c>
      <x:c r="G419" s="8" t="n">
        <x:f>SQRT(AVERAGE(Forecasts!N362,Forecasts!N379,Forecasts!N396,Forecasts!N413,Forecasts!N430,Forecasts!N447,Forecasts!N464,Forecasts!N480))</x:f>
        <x:v>2.67137229741333</x:v>
      </x:c>
      <x:c r="H419" s="8" t="n">
        <x:f>AVERAGE(Forecasts!O362,Forecasts!O379,Forecasts!O396,Forecasts!O413,Forecasts!O430,Forecasts!O447,Forecasts!O464,Forecasts!O480)</x:f>
        <x:v>1.9415075238789963</x:v>
      </x:c>
      <x:c r="I419" s="8" t="n">
        <x:f>AVERAGE(Forecasts!M362,Forecasts!M379,Forecasts!M396,Forecasts!M413,Forecasts!M430,Forecasts!M447,Forecasts!M464,Forecasts!M480)</x:f>
        <x:v>1.5785615367921855</x:v>
      </x:c>
      <x:c r="J419" s="8" t="n">
        <x:f>SQRT(AVERAGE(Forecasts!N357,Forecasts!N374,Forecasts!N391,Forecasts!N408,Forecasts!N425,Forecasts!N442,Forecasts!N459,Forecasts!N476))</x:f>
        <x:v>2.5248762345905194</x:v>
      </x:c>
      <x:c r="K419" s="8" t="n">
        <x:f>SQRT(AVERAGE(Forecasts!N359,Forecasts!N376,Forecasts!N393,Forecasts!N410,Forecasts!N427,Forecasts!N444,Forecasts!N461,Forecasts!N478))</x:f>
        <x:v>2.0045086899214573</x:v>
      </x:c>
    </x:row>
    <x:row r="420" ht="26" customHeight="1">
      <x:c r="A420" s="2"/>
      <x:c r="B420" s="2" t="str">
        <x:v>Grooming / price_contribution</x:v>
      </x:c>
      <x:c r="C420" s="2" t="str">
        <x:v>Pre-earnings</x:v>
      </x:c>
      <x:c r="D420" s="2" t="str">
        <x:v>Bias correction</x:v>
      </x:c>
      <x:c r="E420" s="2" t="str">
        <x:v>All available</x:v>
      </x:c>
      <x:c r="F420" s="2" t="n">
        <x:v>8</x:v>
      </x:c>
      <x:c r="G420" s="8" t="n">
        <x:f>SQRT(AVERAGE(Forecasts!N2494,Forecasts!N2500,Forecasts!N2506,Forecasts!N2512,Forecasts!N2518,Forecasts!N2524,Forecasts!N2530,Forecasts!N2536))</x:f>
        <x:v>2.0114944141840683</x:v>
      </x:c>
      <x:c r="H420" s="8" t="n">
        <x:f>AVERAGE(Forecasts!O2494,Forecasts!O2500,Forecasts!O2506,Forecasts!O2512,Forecasts!O2518,Forecasts!O2524,Forecasts!O2530,Forecasts!O2536)</x:f>
        <x:v>1.7683578418085033</x:v>
      </x:c>
      <x:c r="I420" s="8" t="n">
        <x:f>AVERAGE(Forecasts!M2494,Forecasts!M2500,Forecasts!M2506,Forecasts!M2512,Forecasts!M2518,Forecasts!M2524,Forecasts!M2530,Forecasts!M2536)</x:f>
        <x:v>0.7413264116746752</x:v>
      </x:c>
      <x:c r="J420" s="8" t="n">
        <x:f>SQRT(AVERAGE(Forecasts!N363,Forecasts!N380,Forecasts!N397,Forecasts!N414,Forecasts!N431,Forecasts!N448,Forecasts!N465,Forecasts!N481))</x:f>
        <x:v>2.5248762345905194</x:v>
      </x:c>
      <x:c r="K420" s="8" t="n">
        <x:f>SQRT(AVERAGE(Forecasts!N365,Forecasts!N382,Forecasts!N399,Forecasts!N416,Forecasts!N433,Forecasts!N450,Forecasts!N467,Forecasts!N483))</x:f>
        <x:v>1.6395863992192254</x:v>
      </x:c>
    </x:row>
    <x:row r="421" ht="26" customHeight="1">
      <x:c r="A421" s="2"/>
      <x:c r="B421" s="2" t="str">
        <x:v>Grooming / price_contribution</x:v>
      </x:c>
      <x:c r="C421" s="2" t="str">
        <x:v>Pre-earnings</x:v>
      </x:c>
      <x:c r="D421" s="2" t="str">
        <x:v>Bias correction</x:v>
      </x:c>
      <x:c r="E421" s="2" t="str">
        <x:v>Recent eight</x:v>
      </x:c>
      <x:c r="F421" s="2" t="n">
        <x:v>8</x:v>
      </x:c>
      <x:c r="G421" s="8" t="n">
        <x:f>SQRT(AVERAGE(Forecasts!N2494,Forecasts!N2500,Forecasts!N2506,Forecasts!N2512,Forecasts!N2518,Forecasts!N2524,Forecasts!N2530,Forecasts!N2536))</x:f>
        <x:v>2.0114944141840683</x:v>
      </x:c>
      <x:c r="H421" s="8" t="n">
        <x:f>AVERAGE(Forecasts!O2494,Forecasts!O2500,Forecasts!O2506,Forecasts!O2512,Forecasts!O2518,Forecasts!O2524,Forecasts!O2530,Forecasts!O2536)</x:f>
        <x:v>1.7683578418085033</x:v>
      </x:c>
      <x:c r="I421" s="8" t="n">
        <x:f>AVERAGE(Forecasts!M2494,Forecasts!M2500,Forecasts!M2506,Forecasts!M2512,Forecasts!M2518,Forecasts!M2524,Forecasts!M2530,Forecasts!M2536)</x:f>
        <x:v>0.7413264116746752</x:v>
      </x:c>
      <x:c r="J421" s="8" t="n">
        <x:f>SQRT(AVERAGE(Forecasts!N363,Forecasts!N380,Forecasts!N397,Forecasts!N414,Forecasts!N431,Forecasts!N448,Forecasts!N465,Forecasts!N481))</x:f>
        <x:v>2.5248762345905194</x:v>
      </x:c>
      <x:c r="K421" s="8" t="n">
        <x:f>SQRT(AVERAGE(Forecasts!N365,Forecasts!N382,Forecasts!N399,Forecasts!N416,Forecasts!N433,Forecasts!N450,Forecasts!N467,Forecasts!N483))</x:f>
        <x:v>1.6395863992192254</x:v>
      </x:c>
    </x:row>
    <x:row r="422" ht="26" customHeight="1">
      <x:c r="A422" s="2"/>
      <x:c r="B422" s="2" t="str">
        <x:v>Grooming / price_contribution</x:v>
      </x:c>
      <x:c r="C422" s="2" t="str">
        <x:v>Pre-earnings</x:v>
      </x:c>
      <x:c r="D422" s="2" t="str">
        <x:v>Broad lag 1</x:v>
      </x:c>
      <x:c r="E422" s="2" t="str">
        <x:v>All available</x:v>
      </x:c>
      <x:c r="F422" s="2" t="n">
        <x:v>11</x:v>
      </x:c>
      <x:c r="G422" s="8" t="n">
        <x:f>SQRT(AVERAGE(Forecasts!N299,Forecasts!N315,Forecasts!N332,Forecasts!N349,Forecasts!N366,Forecasts!N383,Forecasts!N400,Forecasts!N417,Forecasts!N434,Forecasts!N451,Forecasts!N468))</x:f>
        <x:v>2.2667561289762896</x:v>
      </x:c>
      <x:c r="H422" s="8" t="n">
        <x:f>AVERAGE(Forecasts!O299,Forecasts!O315,Forecasts!O332,Forecasts!O349,Forecasts!O366,Forecasts!O383,Forecasts!O400,Forecasts!O417,Forecasts!O434,Forecasts!O451,Forecasts!O468)</x:f>
        <x:v>2.0227184924490804</x:v>
      </x:c>
      <x:c r="I422" s="8" t="n">
        <x:f>AVERAGE(Forecasts!M299,Forecasts!M315,Forecasts!M332,Forecasts!M349,Forecasts!M366,Forecasts!M383,Forecasts!M400,Forecasts!M417,Forecasts!M434,Forecasts!M451,Forecasts!M468)</x:f>
        <x:v>1.3546402849981312</x:v>
      </x:c>
      <x:c r="J422" s="8" t="n">
        <x:f>SQRT(AVERAGE(Forecasts!N296,Forecasts!N312,Forecasts!N329,Forecasts!N346,Forecasts!N363,Forecasts!N380,Forecasts!N397,Forecasts!N414,Forecasts!N431,Forecasts!N448,Forecasts!N465))</x:f>
        <x:v>2.412090756622109</x:v>
      </x:c>
      <x:c r="K422" s="8" t="n">
        <x:f>SQRT(AVERAGE(Forecasts!N298,Forecasts!N314,Forecasts!N331,Forecasts!N348,Forecasts!N365,Forecasts!N382,Forecasts!N399,Forecasts!N416,Forecasts!N433,Forecasts!N450,Forecasts!N467))</x:f>
        <x:v>1.6906799672531683</x:v>
      </x:c>
    </x:row>
    <x:row r="423" ht="26" customHeight="1">
      <x:c r="A423" s="2"/>
      <x:c r="B423" s="2" t="str">
        <x:v>Grooming / price_contribution</x:v>
      </x:c>
      <x:c r="C423" s="2" t="str">
        <x:v>Pre-earnings</x:v>
      </x:c>
      <x:c r="D423" s="2" t="str">
        <x:v>Broad lag 1</x:v>
      </x:c>
      <x:c r="E423" s="2" t="str">
        <x:v>Recent eight</x:v>
      </x:c>
      <x:c r="F423" s="2" t="n">
        <x:v>7</x:v>
      </x:c>
      <x:c r="G423" s="8" t="n">
        <x:f>SQRT(AVERAGE(Forecasts!N366,Forecasts!N383,Forecasts!N400,Forecasts!N417,Forecasts!N434,Forecasts!N451,Forecasts!N468))</x:f>
        <x:v>2.4127517533045673</x:v>
      </x:c>
      <x:c r="H423" s="8" t="n">
        <x:f>AVERAGE(Forecasts!O366,Forecasts!O383,Forecasts!O400,Forecasts!O417,Forecasts!O434,Forecasts!O451,Forecasts!O468)</x:f>
        <x:v>2.058973626983242</x:v>
      </x:c>
      <x:c r="I423" s="8" t="n">
        <x:f>AVERAGE(Forecasts!M366,Forecasts!M383,Forecasts!M400,Forecasts!M417,Forecasts!M434,Forecasts!M451,Forecasts!M468)</x:f>
        <x:v>1.7141949430690144</x:v>
      </x:c>
      <x:c r="J423" s="8" t="n">
        <x:f>SQRT(AVERAGE(Forecasts!N363,Forecasts!N380,Forecasts!N397,Forecasts!N414,Forecasts!N431,Forecasts!N448,Forecasts!N465))</x:f>
        <x:v>2.6726124191242437</x:v>
      </x:c>
      <x:c r="K423" s="8" t="n">
        <x:f>SQRT(AVERAGE(Forecasts!N365,Forecasts!N382,Forecasts!N399,Forecasts!N416,Forecasts!N433,Forecasts!N450,Forecasts!N467))</x:f>
        <x:v>1.612656914439678</x:v>
      </x:c>
    </x:row>
    <x:row r="424" ht="26" customHeight="1">
      <x:c r="A424" s="2"/>
      <x:c r="B424" s="2" t="str">
        <x:v>Grooming / price_contribution</x:v>
      </x:c>
      <x:c r="C424" s="2" t="str">
        <x:v>Pre-earnings</x:v>
      </x:c>
      <x:c r="D424" s="2" t="str">
        <x:v>Broad market</x:v>
      </x:c>
      <x:c r="E424" s="2" t="str">
        <x:v>All available</x:v>
      </x:c>
      <x:c r="F424" s="2" t="n">
        <x:v>12</x:v>
      </x:c>
      <x:c r="G424" s="8" t="n">
        <x:f>SQRT(AVERAGE(Forecasts!N298,Forecasts!N314,Forecasts!N331,Forecasts!N348,Forecasts!N365,Forecasts!N382,Forecasts!N399,Forecasts!N416,Forecasts!N433,Forecasts!N450,Forecasts!N467,Forecasts!N483))</x:f>
        <x:v>1.7015605211733706</x:v>
      </x:c>
      <x:c r="H424" s="8" t="n">
        <x:f>AVERAGE(Forecasts!O298,Forecasts!O314,Forecasts!O331,Forecasts!O348,Forecasts!O365,Forecasts!O382,Forecasts!O399,Forecasts!O416,Forecasts!O433,Forecasts!O450,Forecasts!O467,Forecasts!O483)</x:f>
        <x:v>1.3812119798322018</x:v>
      </x:c>
      <x:c r="I424" s="8" t="n">
        <x:f>AVERAGE(Forecasts!M298,Forecasts!M314,Forecasts!M331,Forecasts!M348,Forecasts!M365,Forecasts!M382,Forecasts!M399,Forecasts!M416,Forecasts!M433,Forecasts!M450,Forecasts!M467,Forecasts!M483)</x:f>
        <x:v>0.4903647241311862</x:v>
      </x:c>
      <x:c r="J424" s="8" t="n">
        <x:f>SQRT(AVERAGE(Forecasts!N296,Forecasts!N312,Forecasts!N329,Forecasts!N346,Forecasts!N363,Forecasts!N380,Forecasts!N397,Forecasts!N414,Forecasts!N431,Forecasts!N448,Forecasts!N465,Forecasts!N481))</x:f>
        <x:v>2.327373340628157</x:v>
      </x:c>
      <x:c r="K424" s="8" t="n">
        <x:f>SQRT(AVERAGE(Forecasts!N298,Forecasts!N314,Forecasts!N331,Forecasts!N348,Forecasts!N365,Forecasts!N382,Forecasts!N399,Forecasts!N416,Forecasts!N433,Forecasts!N450,Forecasts!N467,Forecasts!N483))</x:f>
        <x:v>1.7015605211733706</x:v>
      </x:c>
    </x:row>
    <x:row r="425" ht="26" customHeight="1">
      <x:c r="A425" s="2"/>
      <x:c r="B425" s="2" t="str">
        <x:v>Grooming / price_contribution</x:v>
      </x:c>
      <x:c r="C425" s="2" t="str">
        <x:v>Pre-earnings</x:v>
      </x:c>
      <x:c r="D425" s="2" t="str">
        <x:v>Broad market</x:v>
      </x:c>
      <x:c r="E425" s="2" t="str">
        <x:v>Recent eight</x:v>
      </x:c>
      <x:c r="F425" s="2" t="n">
        <x:v>8</x:v>
      </x:c>
      <x:c r="G425" s="8" t="n">
        <x:f>SQRT(AVERAGE(Forecasts!N365,Forecasts!N382,Forecasts!N399,Forecasts!N416,Forecasts!N433,Forecasts!N450,Forecasts!N467,Forecasts!N483))</x:f>
        <x:v>1.6395863992192254</x:v>
      </x:c>
      <x:c r="H425" s="8" t="n">
        <x:f>AVERAGE(Forecasts!O365,Forecasts!O382,Forecasts!O399,Forecasts!O416,Forecasts!O433,Forecasts!O450,Forecasts!O467,Forecasts!O483)</x:f>
        <x:v>1.3903396241769221</x:v>
      </x:c>
      <x:c r="I425" s="8" t="n">
        <x:f>AVERAGE(Forecasts!M365,Forecasts!M382,Forecasts!M399,Forecasts!M416,Forecasts!M433,Forecasts!M450,Forecasts!M467,Forecasts!M483)</x:f>
        <x:v>1.032194604512651</x:v>
      </x:c>
      <x:c r="J425" s="8" t="n">
        <x:f>SQRT(AVERAGE(Forecasts!N363,Forecasts!N380,Forecasts!N397,Forecasts!N414,Forecasts!N431,Forecasts!N448,Forecasts!N465,Forecasts!N481))</x:f>
        <x:v>2.5248762345905194</x:v>
      </x:c>
      <x:c r="K425" s="8" t="n">
        <x:f>SQRT(AVERAGE(Forecasts!N365,Forecasts!N382,Forecasts!N399,Forecasts!N416,Forecasts!N433,Forecasts!N450,Forecasts!N467,Forecasts!N483))</x:f>
        <x:v>1.6395863992192254</x:v>
      </x:c>
    </x:row>
    <x:row r="426" ht="26" customHeight="1">
      <x:c r="A426" s="2"/>
      <x:c r="B426" s="2" t="str">
        <x:v>Grooming / price_contribution</x:v>
      </x:c>
      <x:c r="C426" s="2" t="str">
        <x:v>Pre-earnings</x:v>
      </x:c>
      <x:c r="D426" s="2" t="str">
        <x:v>Broad rolling 8</x:v>
      </x:c>
      <x:c r="E426" s="2" t="str">
        <x:v>All available</x:v>
      </x:c>
      <x:c r="F426" s="2" t="n">
        <x:v>12</x:v>
      </x:c>
      <x:c r="G426" s="8" t="n">
        <x:f>SQRT(AVERAGE(Forecasts!N300,Forecasts!N316,Forecasts!N333,Forecasts!N350,Forecasts!N367,Forecasts!N384,Forecasts!N401,Forecasts!N418,Forecasts!N435,Forecasts!N452,Forecasts!N469,Forecasts!N484))</x:f>
        <x:v>1.8794554991962873</x:v>
      </x:c>
      <x:c r="H426" s="8" t="n">
        <x:f>AVERAGE(Forecasts!O300,Forecasts!O316,Forecasts!O333,Forecasts!O350,Forecasts!O367,Forecasts!O384,Forecasts!O401,Forecasts!O418,Forecasts!O435,Forecasts!O452,Forecasts!O469,Forecasts!O484)</x:f>
        <x:v>1.5820154827786606</x:v>
      </x:c>
      <x:c r="I426" s="8" t="n">
        <x:f>AVERAGE(Forecasts!M300,Forecasts!M316,Forecasts!M333,Forecasts!M350,Forecasts!M367,Forecasts!M384,Forecasts!M401,Forecasts!M418,Forecasts!M435,Forecasts!M452,Forecasts!M469,Forecasts!M484)</x:f>
        <x:v>0.5810757720556733</x:v>
      </x:c>
      <x:c r="J426" s="8" t="n">
        <x:f>SQRT(AVERAGE(Forecasts!N296,Forecasts!N312,Forecasts!N329,Forecasts!N346,Forecasts!N363,Forecasts!N380,Forecasts!N397,Forecasts!N414,Forecasts!N431,Forecasts!N448,Forecasts!N465,Forecasts!N481))</x:f>
        <x:v>2.327373340628157</x:v>
      </x:c>
      <x:c r="K426" s="8" t="n">
        <x:f>SQRT(AVERAGE(Forecasts!N298,Forecasts!N314,Forecasts!N331,Forecasts!N348,Forecasts!N365,Forecasts!N382,Forecasts!N399,Forecasts!N416,Forecasts!N433,Forecasts!N450,Forecasts!N467,Forecasts!N483))</x:f>
        <x:v>1.7015605211733706</x:v>
      </x:c>
    </x:row>
    <x:row r="427" ht="26" customHeight="1">
      <x:c r="A427" s="2"/>
      <x:c r="B427" s="2" t="str">
        <x:v>Grooming / price_contribution</x:v>
      </x:c>
      <x:c r="C427" s="2" t="str">
        <x:v>Pre-earnings</x:v>
      </x:c>
      <x:c r="D427" s="2" t="str">
        <x:v>Broad rolling 8</x:v>
      </x:c>
      <x:c r="E427" s="2" t="str">
        <x:v>Recent eight</x:v>
      </x:c>
      <x:c r="F427" s="2" t="n">
        <x:v>8</x:v>
      </x:c>
      <x:c r="G427" s="8" t="n">
        <x:f>SQRT(AVERAGE(Forecasts!N367,Forecasts!N384,Forecasts!N401,Forecasts!N418,Forecasts!N435,Forecasts!N452,Forecasts!N469,Forecasts!N484))</x:f>
        <x:v>2.005603891246648</x:v>
      </x:c>
      <x:c r="H427" s="8" t="n">
        <x:f>AVERAGE(Forecasts!O367,Forecasts!O384,Forecasts!O401,Forecasts!O418,Forecasts!O435,Forecasts!O452,Forecasts!O469,Forecasts!O484)</x:f>
        <x:v>1.722037158579001</x:v>
      </x:c>
      <x:c r="I427" s="8" t="n">
        <x:f>AVERAGE(Forecasts!M367,Forecasts!M384,Forecasts!M401,Forecasts!M418,Forecasts!M435,Forecasts!M452,Forecasts!M469,Forecasts!M484)</x:f>
        <x:v>1.0563232978840098</x:v>
      </x:c>
      <x:c r="J427" s="8" t="n">
        <x:f>SQRT(AVERAGE(Forecasts!N363,Forecasts!N380,Forecasts!N397,Forecasts!N414,Forecasts!N431,Forecasts!N448,Forecasts!N465,Forecasts!N481))</x:f>
        <x:v>2.5248762345905194</x:v>
      </x:c>
      <x:c r="K427" s="8" t="n">
        <x:f>SQRT(AVERAGE(Forecasts!N365,Forecasts!N382,Forecasts!N399,Forecasts!N416,Forecasts!N433,Forecasts!N450,Forecasts!N467,Forecasts!N483))</x:f>
        <x:v>1.6395863992192254</x:v>
      </x:c>
    </x:row>
    <x:row r="428" ht="26" customHeight="1">
      <x:c r="A428" s="2"/>
      <x:c r="B428" s="2" t="str">
        <x:v>Grooming / price_contribution</x:v>
      </x:c>
      <x:c r="C428" s="2" t="str">
        <x:v>Pre-earnings</x:v>
      </x:c>
      <x:c r="D428" s="2" t="str">
        <x:v>Four-quarter mean</x:v>
      </x:c>
      <x:c r="E428" s="2" t="str">
        <x:v>All available</x:v>
      </x:c>
      <x:c r="F428" s="2" t="n">
        <x:v>12</x:v>
      </x:c>
      <x:c r="G428" s="8" t="n">
        <x:f>SQRT(AVERAGE(Forecasts!N297,Forecasts!N313,Forecasts!N330,Forecasts!N347,Forecasts!N364,Forecasts!N381,Forecasts!N398,Forecasts!N415,Forecasts!N432,Forecasts!N449,Forecasts!N466,Forecasts!N482))</x:f>
        <x:v>2.9483399283890814</x:v>
      </x:c>
      <x:c r="H428" s="8" t="n">
        <x:f>AVERAGE(Forecasts!O297,Forecasts!O313,Forecasts!O330,Forecasts!O347,Forecasts!O364,Forecasts!O381,Forecasts!O398,Forecasts!O415,Forecasts!O432,Forecasts!O449,Forecasts!O466,Forecasts!O482)</x:f>
        <x:v>2.2291666666666665</x:v>
      </x:c>
      <x:c r="I428" s="8" t="n">
        <x:f>AVERAGE(Forecasts!M297,Forecasts!M313,Forecasts!M330,Forecasts!M347,Forecasts!M364,Forecasts!M381,Forecasts!M398,Forecasts!M415,Forecasts!M432,Forecasts!M449,Forecasts!M466,Forecasts!M482)</x:f>
        <x:v>1.3541666666666667</x:v>
      </x:c>
      <x:c r="J428" s="8" t="n">
        <x:f>SQRT(AVERAGE(Forecasts!N296,Forecasts!N312,Forecasts!N329,Forecasts!N346,Forecasts!N363,Forecasts!N380,Forecasts!N397,Forecasts!N414,Forecasts!N431,Forecasts!N448,Forecasts!N465,Forecasts!N481))</x:f>
        <x:v>2.327373340628157</x:v>
      </x:c>
      <x:c r="K428" s="8" t="n">
        <x:f>SQRT(AVERAGE(Forecasts!N298,Forecasts!N314,Forecasts!N331,Forecasts!N348,Forecasts!N365,Forecasts!N382,Forecasts!N399,Forecasts!N416,Forecasts!N433,Forecasts!N450,Forecasts!N467,Forecasts!N483))</x:f>
        <x:v>1.7015605211733706</x:v>
      </x:c>
    </x:row>
    <x:row r="429" ht="26" customHeight="1">
      <x:c r="A429" s="2"/>
      <x:c r="B429" s="2" t="str">
        <x:v>Grooming / price_contribution</x:v>
      </x:c>
      <x:c r="C429" s="2" t="str">
        <x:v>Pre-earnings</x:v>
      </x:c>
      <x:c r="D429" s="2" t="str">
        <x:v>Four-quarter mean</x:v>
      </x:c>
      <x:c r="E429" s="2" t="str">
        <x:v>Recent eight</x:v>
      </x:c>
      <x:c r="F429" s="2" t="n">
        <x:v>8</x:v>
      </x:c>
      <x:c r="G429" s="8" t="n">
        <x:f>SQRT(AVERAGE(Forecasts!N364,Forecasts!N381,Forecasts!N398,Forecasts!N415,Forecasts!N432,Forecasts!N449,Forecasts!N466,Forecasts!N482))</x:f>
        <x:v>3.4437443284889775</x:v>
      </x:c>
      <x:c r="H429" s="8" t="n">
        <x:f>AVERAGE(Forecasts!O364,Forecasts!O381,Forecasts!O398,Forecasts!O415,Forecasts!O432,Forecasts!O449,Forecasts!O466,Forecasts!O482)</x:f>
        <x:v>2.75</x:v>
      </x:c>
      <x:c r="I429" s="8" t="n">
        <x:f>AVERAGE(Forecasts!M364,Forecasts!M381,Forecasts!M398,Forecasts!M415,Forecasts!M432,Forecasts!M449,Forecasts!M466,Forecasts!M482)</x:f>
        <x:v>1.8125</x:v>
      </x:c>
      <x:c r="J429" s="8" t="n">
        <x:f>SQRT(AVERAGE(Forecasts!N363,Forecasts!N380,Forecasts!N397,Forecasts!N414,Forecasts!N431,Forecasts!N448,Forecasts!N465,Forecasts!N481))</x:f>
        <x:v>2.5248762345905194</x:v>
      </x:c>
      <x:c r="K429" s="8" t="n">
        <x:f>SQRT(AVERAGE(Forecasts!N365,Forecasts!N382,Forecasts!N399,Forecasts!N416,Forecasts!N433,Forecasts!N450,Forecasts!N467,Forecasts!N483))</x:f>
        <x:v>1.6395863992192254</x:v>
      </x:c>
    </x:row>
    <x:row r="430" ht="26" customHeight="1">
      <x:c r="A430" s="2"/>
      <x:c r="B430" s="2" t="str">
        <x:v>Grooming / price_contribution</x:v>
      </x:c>
      <x:c r="C430" s="2" t="str">
        <x:v>Pre-earnings</x:v>
      </x:c>
      <x:c r="D430" s="2" t="str">
        <x:v>Half correction</x:v>
      </x:c>
      <x:c r="E430" s="2" t="str">
        <x:v>All available</x:v>
      </x:c>
      <x:c r="F430" s="2" t="n">
        <x:v>8</x:v>
      </x:c>
      <x:c r="G430" s="8" t="n">
        <x:f>SQRT(AVERAGE(Forecasts!N2495,Forecasts!N2501,Forecasts!N2507,Forecasts!N2513,Forecasts!N2519,Forecasts!N2525,Forecasts!N2531,Forecasts!N2537))</x:f>
        <x:v>1.787599425076944</x:v>
      </x:c>
      <x:c r="H430" s="8" t="n">
        <x:f>AVERAGE(Forecasts!O2495,Forecasts!O2501,Forecasts!O2507,Forecasts!O2513,Forecasts!O2519,Forecasts!O2525,Forecasts!O2531,Forecasts!O2537)</x:f>
        <x:v>1.5726122123630917</x:v>
      </x:c>
      <x:c r="I430" s="8" t="n">
        <x:f>AVERAGE(Forecasts!M2495,Forecasts!M2501,Forecasts!M2507,Forecasts!M2513,Forecasts!M2519,Forecasts!M2525,Forecasts!M2531,Forecasts!M2537)</x:f>
        <x:v>0.8867605080936632</x:v>
      </x:c>
      <x:c r="J430" s="8" t="n">
        <x:f>SQRT(AVERAGE(Forecasts!N363,Forecasts!N380,Forecasts!N397,Forecasts!N414,Forecasts!N431,Forecasts!N448,Forecasts!N465,Forecasts!N481))</x:f>
        <x:v>2.5248762345905194</x:v>
      </x:c>
      <x:c r="K430" s="8" t="n">
        <x:f>SQRT(AVERAGE(Forecasts!N365,Forecasts!N382,Forecasts!N399,Forecasts!N416,Forecasts!N433,Forecasts!N450,Forecasts!N467,Forecasts!N483))</x:f>
        <x:v>1.6395863992192254</x:v>
      </x:c>
    </x:row>
    <x:row r="431" ht="26" customHeight="1">
      <x:c r="A431" s="2"/>
      <x:c r="B431" s="2" t="str">
        <x:v>Grooming / price_contribution</x:v>
      </x:c>
      <x:c r="C431" s="2" t="str">
        <x:v>Pre-earnings</x:v>
      </x:c>
      <x:c r="D431" s="2" t="str">
        <x:v>Half correction</x:v>
      </x:c>
      <x:c r="E431" s="2" t="str">
        <x:v>Recent eight</x:v>
      </x:c>
      <x:c r="F431" s="2" t="n">
        <x:v>8</x:v>
      </x:c>
      <x:c r="G431" s="8" t="n">
        <x:f>SQRT(AVERAGE(Forecasts!N2495,Forecasts!N2501,Forecasts!N2507,Forecasts!N2513,Forecasts!N2519,Forecasts!N2525,Forecasts!N2531,Forecasts!N2537))</x:f>
        <x:v>1.787599425076944</x:v>
      </x:c>
      <x:c r="H431" s="8" t="n">
        <x:f>AVERAGE(Forecasts!O2495,Forecasts!O2501,Forecasts!O2507,Forecasts!O2513,Forecasts!O2519,Forecasts!O2525,Forecasts!O2531,Forecasts!O2537)</x:f>
        <x:v>1.5726122123630917</x:v>
      </x:c>
      <x:c r="I431" s="8" t="n">
        <x:f>AVERAGE(Forecasts!M2495,Forecasts!M2501,Forecasts!M2507,Forecasts!M2513,Forecasts!M2519,Forecasts!M2525,Forecasts!M2531,Forecasts!M2537)</x:f>
        <x:v>0.8867605080936632</x:v>
      </x:c>
      <x:c r="J431" s="8" t="n">
        <x:f>SQRT(AVERAGE(Forecasts!N363,Forecasts!N380,Forecasts!N397,Forecasts!N414,Forecasts!N431,Forecasts!N448,Forecasts!N465,Forecasts!N481))</x:f>
        <x:v>2.5248762345905194</x:v>
      </x:c>
      <x:c r="K431" s="8" t="n">
        <x:f>SQRT(AVERAGE(Forecasts!N365,Forecasts!N382,Forecasts!N399,Forecasts!N416,Forecasts!N433,Forecasts!N450,Forecasts!N467,Forecasts!N483))</x:f>
        <x:v>1.6395863992192254</x:v>
      </x:c>
    </x:row>
    <x:row r="432" ht="26" customHeight="1">
      <x:c r="A432" s="2"/>
      <x:c r="B432" s="2" t="str">
        <x:v>Grooming / price_contribution</x:v>
      </x:c>
      <x:c r="C432" s="2" t="str">
        <x:v>Pre-earnings</x:v>
      </x:c>
      <x:c r="D432" s="2" t="str">
        <x:v>Last actual</x:v>
      </x:c>
      <x:c r="E432" s="2" t="str">
        <x:v>All available</x:v>
      </x:c>
      <x:c r="F432" s="2" t="n">
        <x:v>12</x:v>
      </x:c>
      <x:c r="G432" s="8" t="n">
        <x:f>SQRT(AVERAGE(Forecasts!N296,Forecasts!N312,Forecasts!N329,Forecasts!N346,Forecasts!N363,Forecasts!N380,Forecasts!N397,Forecasts!N414,Forecasts!N431,Forecasts!N448,Forecasts!N465,Forecasts!N481))</x:f>
        <x:v>2.327373340628157</x:v>
      </x:c>
      <x:c r="H432" s="8" t="n">
        <x:f>AVERAGE(Forecasts!O296,Forecasts!O312,Forecasts!O329,Forecasts!O346,Forecasts!O363,Forecasts!O380,Forecasts!O397,Forecasts!O414,Forecasts!O431,Forecasts!O448,Forecasts!O465,Forecasts!O481)</x:f>
        <x:v>1.75</x:v>
      </x:c>
      <x:c r="I432" s="8" t="n">
        <x:f>AVERAGE(Forecasts!M296,Forecasts!M312,Forecasts!M329,Forecasts!M346,Forecasts!M363,Forecasts!M380,Forecasts!M397,Forecasts!M414,Forecasts!M431,Forecasts!M448,Forecasts!M465,Forecasts!M481)</x:f>
        <x:v>0.5833333333333334</x:v>
      </x:c>
      <x:c r="J432" s="8" t="n">
        <x:f>SQRT(AVERAGE(Forecasts!N296,Forecasts!N312,Forecasts!N329,Forecasts!N346,Forecasts!N363,Forecasts!N380,Forecasts!N397,Forecasts!N414,Forecasts!N431,Forecasts!N448,Forecasts!N465,Forecasts!N481))</x:f>
        <x:v>2.327373340628157</x:v>
      </x:c>
      <x:c r="K432" s="8" t="n">
        <x:f>SQRT(AVERAGE(Forecasts!N298,Forecasts!N314,Forecasts!N331,Forecasts!N348,Forecasts!N365,Forecasts!N382,Forecasts!N399,Forecasts!N416,Forecasts!N433,Forecasts!N450,Forecasts!N467,Forecasts!N483))</x:f>
        <x:v>1.7015605211733706</x:v>
      </x:c>
    </x:row>
    <x:row r="433" ht="26" customHeight="1">
      <x:c r="A433" s="2"/>
      <x:c r="B433" s="2" t="str">
        <x:v>Grooming / price_contribution</x:v>
      </x:c>
      <x:c r="C433" s="2" t="str">
        <x:v>Pre-earnings</x:v>
      </x:c>
      <x:c r="D433" s="2" t="str">
        <x:v>Last actual</x:v>
      </x:c>
      <x:c r="E433" s="2" t="str">
        <x:v>Recent eight</x:v>
      </x:c>
      <x:c r="F433" s="2" t="n">
        <x:v>8</x:v>
      </x:c>
      <x:c r="G433" s="8" t="n">
        <x:f>SQRT(AVERAGE(Forecasts!N363,Forecasts!N380,Forecasts!N397,Forecasts!N414,Forecasts!N431,Forecasts!N448,Forecasts!N465,Forecasts!N481))</x:f>
        <x:v>2.5248762345905194</x:v>
      </x:c>
      <x:c r="H433" s="8" t="n">
        <x:f>AVERAGE(Forecasts!O363,Forecasts!O380,Forecasts!O397,Forecasts!O414,Forecasts!O431,Forecasts!O448,Forecasts!O465,Forecasts!O481)</x:f>
        <x:v>1.875</x:v>
      </x:c>
      <x:c r="I433" s="8" t="n">
        <x:f>AVERAGE(Forecasts!M363,Forecasts!M380,Forecasts!M397,Forecasts!M414,Forecasts!M431,Forecasts!M448,Forecasts!M465,Forecasts!M481)</x:f>
        <x:v>0.875</x:v>
      </x:c>
      <x:c r="J433" s="8" t="n">
        <x:f>SQRT(AVERAGE(Forecasts!N363,Forecasts!N380,Forecasts!N397,Forecasts!N414,Forecasts!N431,Forecasts!N448,Forecasts!N465,Forecasts!N481))</x:f>
        <x:v>2.5248762345905194</x:v>
      </x:c>
      <x:c r="K433" s="8" t="n">
        <x:f>SQRT(AVERAGE(Forecasts!N365,Forecasts!N382,Forecasts!N399,Forecasts!N416,Forecasts!N433,Forecasts!N450,Forecasts!N467,Forecasts!N483))</x:f>
        <x:v>1.6395863992192254</x:v>
      </x:c>
    </x:row>
    <x:row r="434" ht="26" customHeight="1">
      <x:c r="A434" s="2"/>
      <x:c r="B434" s="2" t="str">
        <x:v>Grooming / price_contribution</x:v>
      </x:c>
      <x:c r="C434" s="2" t="str">
        <x:v>Pre-earnings</x:v>
      </x:c>
      <x:c r="D434" s="2" t="str">
        <x:v>Own history</x:v>
      </x:c>
      <x:c r="E434" s="2" t="str">
        <x:v>All available</x:v>
      </x:c>
      <x:c r="F434" s="2" t="n">
        <x:v>12</x:v>
      </x:c>
      <x:c r="G434" s="8" t="n">
        <x:f>SQRT(AVERAGE(Forecasts!N301,Forecasts!N317,Forecasts!N334,Forecasts!N351,Forecasts!N368,Forecasts!N385,Forecasts!N402,Forecasts!N419,Forecasts!N436,Forecasts!N453,Forecasts!N470,Forecasts!N485))</x:f>
        <x:v>2.460228916059748</x:v>
      </x:c>
      <x:c r="H434" s="8" t="n">
        <x:f>AVERAGE(Forecasts!O301,Forecasts!O317,Forecasts!O334,Forecasts!O351,Forecasts!O368,Forecasts!O385,Forecasts!O402,Forecasts!O419,Forecasts!O436,Forecasts!O453,Forecasts!O470,Forecasts!O485)</x:f>
        <x:v>1.8810799070432365</x:v>
      </x:c>
      <x:c r="I434" s="8" t="n">
        <x:f>AVERAGE(Forecasts!M301,Forecasts!M317,Forecasts!M334,Forecasts!M351,Forecasts!M368,Forecasts!M385,Forecasts!M402,Forecasts!M419,Forecasts!M436,Forecasts!M453,Forecasts!M470,Forecasts!M485)</x:f>
        <x:v>1.1911329007900342</x:v>
      </x:c>
      <x:c r="J434" s="8" t="n">
        <x:f>SQRT(AVERAGE(Forecasts!N296,Forecasts!N312,Forecasts!N329,Forecasts!N346,Forecasts!N363,Forecasts!N380,Forecasts!N397,Forecasts!N414,Forecasts!N431,Forecasts!N448,Forecasts!N465,Forecasts!N481))</x:f>
        <x:v>2.327373340628157</x:v>
      </x:c>
      <x:c r="K434" s="8" t="n">
        <x:f>SQRT(AVERAGE(Forecasts!N298,Forecasts!N314,Forecasts!N331,Forecasts!N348,Forecasts!N365,Forecasts!N382,Forecasts!N399,Forecasts!N416,Forecasts!N433,Forecasts!N450,Forecasts!N467,Forecasts!N483))</x:f>
        <x:v>1.7015605211733706</x:v>
      </x:c>
    </x:row>
    <x:row r="435" ht="26" customHeight="1">
      <x:c r="A435" s="2"/>
      <x:c r="B435" s="2" t="str">
        <x:v>Grooming / price_contribution</x:v>
      </x:c>
      <x:c r="C435" s="2" t="str">
        <x:v>Pre-earnings</x:v>
      </x:c>
      <x:c r="D435" s="2" t="str">
        <x:v>Own history</x:v>
      </x:c>
      <x:c r="E435" s="2" t="str">
        <x:v>Recent eight</x:v>
      </x:c>
      <x:c r="F435" s="2" t="n">
        <x:v>8</x:v>
      </x:c>
      <x:c r="G435" s="8" t="n">
        <x:f>SQRT(AVERAGE(Forecasts!N368,Forecasts!N385,Forecasts!N402,Forecasts!N419,Forecasts!N436,Forecasts!N453,Forecasts!N470,Forecasts!N485))</x:f>
        <x:v>2.67137229741333</x:v>
      </x:c>
      <x:c r="H435" s="8" t="n">
        <x:f>AVERAGE(Forecasts!O368,Forecasts!O385,Forecasts!O402,Forecasts!O419,Forecasts!O436,Forecasts!O453,Forecasts!O470,Forecasts!O485)</x:f>
        <x:v>1.9415075238789963</x:v>
      </x:c>
      <x:c r="I435" s="8" t="n">
        <x:f>AVERAGE(Forecasts!M368,Forecasts!M385,Forecasts!M402,Forecasts!M419,Forecasts!M436,Forecasts!M453,Forecasts!M470,Forecasts!M485)</x:f>
        <x:v>1.5785615367921855</x:v>
      </x:c>
      <x:c r="J435" s="8" t="n">
        <x:f>SQRT(AVERAGE(Forecasts!N363,Forecasts!N380,Forecasts!N397,Forecasts!N414,Forecasts!N431,Forecasts!N448,Forecasts!N465,Forecasts!N481))</x:f>
        <x:v>2.5248762345905194</x:v>
      </x:c>
      <x:c r="K435" s="8" t="n">
        <x:f>SQRT(AVERAGE(Forecasts!N365,Forecasts!N382,Forecasts!N399,Forecasts!N416,Forecasts!N433,Forecasts!N450,Forecasts!N467,Forecasts!N483))</x:f>
        <x:v>1.6395863992192254</x:v>
      </x:c>
    </x:row>
    <x:row r="436" ht="26" customHeight="1">
      <x:c r="A436" s="2"/>
      <x:c r="B436" s="2" t="str">
        <x:v>Health Care / organic_sales_growth</x:v>
      </x:c>
      <x:c r="C436" s="2" t="str">
        <x:v>Origin</x:v>
      </x:c>
      <x:c r="D436" s="2" t="str">
        <x:v>Bias correction</x:v>
      </x:c>
      <x:c r="E436" s="2" t="str">
        <x:v>All available</x:v>
      </x:c>
      <x:c r="F436" s="2" t="n">
        <x:v>7</x:v>
      </x:c>
      <x:c r="G436" s="8" t="n">
        <x:f>SQRT(AVERAGE(Forecasts!N2956,Forecasts!N2962,Forecasts!N2968,Forecasts!N2974,Forecasts!N2980,Forecasts!N2986,Forecasts!N2992))</x:f>
        <x:v>2.622256887672849</x:v>
      </x:c>
      <x:c r="H436" s="8" t="n">
        <x:f>AVERAGE(Forecasts!O2956,Forecasts!O2962,Forecasts!O2968,Forecasts!O2974,Forecasts!O2980,Forecasts!O2986,Forecasts!O2992)</x:f>
        <x:v>2.1090520497021976</x:v>
      </x:c>
      <x:c r="I436" s="8" t="n">
        <x:f>AVERAGE(Forecasts!M2956,Forecasts!M2962,Forecasts!M2968,Forecasts!M2974,Forecasts!M2980,Forecasts!M2986,Forecasts!M2992)</x:f>
        <x:v>-0.3095379530526973</x:v>
      </x:c>
      <x:c r="J436" s="8" t="n">
        <x:f>SQRT(AVERAGE(Forecasts!N2329,Forecasts!N2346,Forecasts!N2363,Forecasts!N2380,Forecasts!N2397,Forecasts!N2414,Forecasts!N2430))</x:f>
        <x:v>1.558387444947959</x:v>
      </x:c>
      <x:c r="K436" s="8" t="n">
        <x:f>SQRT(AVERAGE(Forecasts!N2331,Forecasts!N2348,Forecasts!N2365,Forecasts!N2382,Forecasts!N2399,Forecasts!N2416,Forecasts!N2432))</x:f>
        <x:v>4.000675702944047</x:v>
      </x:c>
    </x:row>
    <x:row r="437" ht="26" customHeight="1">
      <x:c r="A437" s="2"/>
      <x:c r="B437" s="2" t="str">
        <x:v>Health Care / organic_sales_growth</x:v>
      </x:c>
      <x:c r="C437" s="2" t="str">
        <x:v>Origin</x:v>
      </x:c>
      <x:c r="D437" s="2" t="str">
        <x:v>Bias correction</x:v>
      </x:c>
      <x:c r="E437" s="2" t="str">
        <x:v>Recent eight</x:v>
      </x:c>
      <x:c r="F437" s="2" t="n">
        <x:v>7</x:v>
      </x:c>
      <x:c r="G437" s="8" t="n">
        <x:f>SQRT(AVERAGE(Forecasts!N2956,Forecasts!N2962,Forecasts!N2968,Forecasts!N2974,Forecasts!N2980,Forecasts!N2986,Forecasts!N2992))</x:f>
        <x:v>2.622256887672849</x:v>
      </x:c>
      <x:c r="H437" s="8" t="n">
        <x:f>AVERAGE(Forecasts!O2956,Forecasts!O2962,Forecasts!O2968,Forecasts!O2974,Forecasts!O2980,Forecasts!O2986,Forecasts!O2992)</x:f>
        <x:v>2.1090520497021976</x:v>
      </x:c>
      <x:c r="I437" s="8" t="n">
        <x:f>AVERAGE(Forecasts!M2956,Forecasts!M2962,Forecasts!M2968,Forecasts!M2974,Forecasts!M2980,Forecasts!M2986,Forecasts!M2992)</x:f>
        <x:v>-0.3095379530526973</x:v>
      </x:c>
      <x:c r="J437" s="8" t="n">
        <x:f>SQRT(AVERAGE(Forecasts!N2329,Forecasts!N2346,Forecasts!N2363,Forecasts!N2380,Forecasts!N2397,Forecasts!N2414,Forecasts!N2430))</x:f>
        <x:v>1.558387444947959</x:v>
      </x:c>
      <x:c r="K437" s="8" t="n">
        <x:f>SQRT(AVERAGE(Forecasts!N2331,Forecasts!N2348,Forecasts!N2365,Forecasts!N2382,Forecasts!N2399,Forecasts!N2416,Forecasts!N2432))</x:f>
        <x:v>4.000675702944047</x:v>
      </x:c>
    </x:row>
    <x:row r="438" ht="26" customHeight="1">
      <x:c r="A438" s="2"/>
      <x:c r="B438" s="2" t="str">
        <x:v>Health Care / organic_sales_growth</x:v>
      </x:c>
      <x:c r="C438" s="2" t="str">
        <x:v>Origin</x:v>
      </x:c>
      <x:c r="D438" s="2" t="str">
        <x:v>Broad market</x:v>
      </x:c>
      <x:c r="E438" s="2" t="str">
        <x:v>All available</x:v>
      </x:c>
      <x:c r="F438" s="2" t="n">
        <x:v>12</x:v>
      </x:c>
      <x:c r="G438" s="8" t="n">
        <x:f>SQRT(AVERAGE(Forecasts!N2248,Forecasts!N2264,Forecasts!N2280,Forecasts!N2297,Forecasts!N2314,Forecasts!N2331,Forecasts!N2348,Forecasts!N2365,Forecasts!N2382,Forecasts!N2399,Forecasts!N2416,Forecasts!N2432))</x:f>
        <x:v>4.58543369774997</x:v>
      </x:c>
      <x:c r="H438" s="8" t="n">
        <x:f>AVERAGE(Forecasts!O2248,Forecasts!O2264,Forecasts!O2280,Forecasts!O2297,Forecasts!O2314,Forecasts!O2331,Forecasts!O2348,Forecasts!O2365,Forecasts!O2382,Forecasts!O2399,Forecasts!O2416,Forecasts!O2432)</x:f>
        <x:v>3.9682361188745756</x:v>
      </x:c>
      <x:c r="I438" s="8" t="n">
        <x:f>AVERAGE(Forecasts!M2248,Forecasts!M2264,Forecasts!M2280,Forecasts!M2297,Forecasts!M2314,Forecasts!M2331,Forecasts!M2348,Forecasts!M2365,Forecasts!M2382,Forecasts!M2399,Forecasts!M2416,Forecasts!M2432)</x:f>
        <x:v>3.909692907692561</x:v>
      </x:c>
      <x:c r="J438" s="8" t="n">
        <x:f>SQRT(AVERAGE(Forecasts!N2246,Forecasts!N2262,Forecasts!N2278,Forecasts!N2295,Forecasts!N2312,Forecasts!N2329,Forecasts!N2346,Forecasts!N2363,Forecasts!N2380,Forecasts!N2397,Forecasts!N2414,Forecasts!N2430))</x:f>
        <x:v>2.943920288775949</x:v>
      </x:c>
      <x:c r="K438" s="8" t="n">
        <x:f>SQRT(AVERAGE(Forecasts!N2248,Forecasts!N2264,Forecasts!N2280,Forecasts!N2297,Forecasts!N2314,Forecasts!N2331,Forecasts!N2348,Forecasts!N2365,Forecasts!N2382,Forecasts!N2399,Forecasts!N2416,Forecasts!N2432))</x:f>
        <x:v>4.58543369774997</x:v>
      </x:c>
    </x:row>
    <x:row r="439" ht="26" customHeight="1">
      <x:c r="A439" s="2"/>
      <x:c r="B439" s="2" t="str">
        <x:v>Health Care / organic_sales_growth</x:v>
      </x:c>
      <x:c r="C439" s="2" t="str">
        <x:v>Origin</x:v>
      </x:c>
      <x:c r="D439" s="2" t="str">
        <x:v>Broad market</x:v>
      </x:c>
      <x:c r="E439" s="2" t="str">
        <x:v>Recent eight</x:v>
      </x:c>
      <x:c r="F439" s="2" t="n">
        <x:v>8</x:v>
      </x:c>
      <x:c r="G439" s="8" t="n">
        <x:f>SQRT(AVERAGE(Forecasts!N2314,Forecasts!N2331,Forecasts!N2348,Forecasts!N2365,Forecasts!N2382,Forecasts!N2399,Forecasts!N2416,Forecasts!N2432))</x:f>
        <x:v>3.9892550711384436</x:v>
      </x:c>
      <x:c r="H439" s="8" t="n">
        <x:f>AVERAGE(Forecasts!O2314,Forecasts!O2331,Forecasts!O2348,Forecasts!O2365,Forecasts!O2382,Forecasts!O2399,Forecasts!O2416,Forecasts!O2432)</x:f>
        <x:v>3.607849356673251</x:v>
      </x:c>
      <x:c r="I439" s="8" t="n">
        <x:f>AVERAGE(Forecasts!M2314,Forecasts!M2331,Forecasts!M2348,Forecasts!M2365,Forecasts!M2382,Forecasts!M2399,Forecasts!M2416,Forecasts!M2432)</x:f>
        <x:v>3.607849356673251</x:v>
      </x:c>
      <x:c r="J439" s="8" t="n">
        <x:f>SQRT(AVERAGE(Forecasts!N2312,Forecasts!N2329,Forecasts!N2346,Forecasts!N2363,Forecasts!N2380,Forecasts!N2397,Forecasts!N2414,Forecasts!N2430))</x:f>
        <x:v>1.620185174601965</x:v>
      </x:c>
      <x:c r="K439" s="8" t="n">
        <x:f>SQRT(AVERAGE(Forecasts!N2314,Forecasts!N2331,Forecasts!N2348,Forecasts!N2365,Forecasts!N2382,Forecasts!N2399,Forecasts!N2416,Forecasts!N2432))</x:f>
        <x:v>3.9892550711384436</x:v>
      </x:c>
    </x:row>
    <x:row r="440" ht="26" customHeight="1">
      <x:c r="A440" s="2"/>
      <x:c r="B440" s="2" t="str">
        <x:v>Health Care / organic_sales_growth</x:v>
      </x:c>
      <x:c r="C440" s="2" t="str">
        <x:v>Origin</x:v>
      </x:c>
      <x:c r="D440" s="2" t="str">
        <x:v>Broad rolling 8</x:v>
      </x:c>
      <x:c r="E440" s="2" t="str">
        <x:v>All available</x:v>
      </x:c>
      <x:c r="F440" s="2" t="n">
        <x:v>12</x:v>
      </x:c>
      <x:c r="G440" s="8" t="n">
        <x:f>SQRT(AVERAGE(Forecasts!N2249,Forecasts!N2265,Forecasts!N2281,Forecasts!N2298,Forecasts!N2315,Forecasts!N2332,Forecasts!N2349,Forecasts!N2366,Forecasts!N2383,Forecasts!N2400,Forecasts!N2417,Forecasts!N2433))</x:f>
        <x:v>3.61071048262906</x:v>
      </x:c>
      <x:c r="H440" s="8" t="n">
        <x:f>AVERAGE(Forecasts!O2249,Forecasts!O2265,Forecasts!O2281,Forecasts!O2298,Forecasts!O2315,Forecasts!O2332,Forecasts!O2349,Forecasts!O2366,Forecasts!O2383,Forecasts!O2400,Forecasts!O2417,Forecasts!O2433)</x:f>
        <x:v>3.0202004804195632</x:v>
      </x:c>
      <x:c r="I440" s="8" t="n">
        <x:f>AVERAGE(Forecasts!M2249,Forecasts!M2265,Forecasts!M2281,Forecasts!M2298,Forecasts!M2315,Forecasts!M2332,Forecasts!M2349,Forecasts!M2366,Forecasts!M2383,Forecasts!M2400,Forecasts!M2417,Forecasts!M2433)</x:f>
        <x:v>3.0202004804195632</x:v>
      </x:c>
      <x:c r="J440" s="8" t="n">
        <x:f>SQRT(AVERAGE(Forecasts!N2246,Forecasts!N2262,Forecasts!N2278,Forecasts!N2295,Forecasts!N2312,Forecasts!N2329,Forecasts!N2346,Forecasts!N2363,Forecasts!N2380,Forecasts!N2397,Forecasts!N2414,Forecasts!N2430))</x:f>
        <x:v>2.943920288775949</x:v>
      </x:c>
      <x:c r="K440" s="8" t="n">
        <x:f>SQRT(AVERAGE(Forecasts!N2248,Forecasts!N2264,Forecasts!N2280,Forecasts!N2297,Forecasts!N2314,Forecasts!N2331,Forecasts!N2348,Forecasts!N2365,Forecasts!N2382,Forecasts!N2399,Forecasts!N2416,Forecasts!N2432))</x:f>
        <x:v>4.58543369774997</x:v>
      </x:c>
    </x:row>
    <x:row r="441" ht="26" customHeight="1">
      <x:c r="A441" s="2"/>
      <x:c r="B441" s="2" t="str">
        <x:v>Health Care / organic_sales_growth</x:v>
      </x:c>
      <x:c r="C441" s="2" t="str">
        <x:v>Origin</x:v>
      </x:c>
      <x:c r="D441" s="2" t="str">
        <x:v>Broad rolling 8</x:v>
      </x:c>
      <x:c r="E441" s="2" t="str">
        <x:v>Recent eight</x:v>
      </x:c>
      <x:c r="F441" s="2" t="n">
        <x:v>8</x:v>
      </x:c>
      <x:c r="G441" s="8" t="n">
        <x:f>SQRT(AVERAGE(Forecasts!N2315,Forecasts!N2332,Forecasts!N2349,Forecasts!N2366,Forecasts!N2383,Forecasts!N2400,Forecasts!N2417,Forecasts!N2433))</x:f>
        <x:v>2.876423838575644</x:v>
      </x:c>
      <x:c r="H441" s="8" t="n">
        <x:f>AVERAGE(Forecasts!O2315,Forecasts!O2332,Forecasts!O2349,Forecasts!O2366,Forecasts!O2383,Forecasts!O2400,Forecasts!O2417,Forecasts!O2433)</x:f>
        <x:v>2.5189543091990254</x:v>
      </x:c>
      <x:c r="I441" s="8" t="n">
        <x:f>AVERAGE(Forecasts!M2315,Forecasts!M2332,Forecasts!M2349,Forecasts!M2366,Forecasts!M2383,Forecasts!M2400,Forecasts!M2417,Forecasts!M2433)</x:f>
        <x:v>2.5189543091990254</x:v>
      </x:c>
      <x:c r="J441" s="8" t="n">
        <x:f>SQRT(AVERAGE(Forecasts!N2312,Forecasts!N2329,Forecasts!N2346,Forecasts!N2363,Forecasts!N2380,Forecasts!N2397,Forecasts!N2414,Forecasts!N2430))</x:f>
        <x:v>1.620185174601965</x:v>
      </x:c>
      <x:c r="K441" s="8" t="n">
        <x:f>SQRT(AVERAGE(Forecasts!N2314,Forecasts!N2331,Forecasts!N2348,Forecasts!N2365,Forecasts!N2382,Forecasts!N2399,Forecasts!N2416,Forecasts!N2432))</x:f>
        <x:v>3.9892550711384436</x:v>
      </x:c>
    </x:row>
    <x:row r="442" ht="26" customHeight="1">
      <x:c r="A442" s="2"/>
      <x:c r="B442" s="2" t="str">
        <x:v>Health Care / organic_sales_growth</x:v>
      </x:c>
      <x:c r="C442" s="2" t="str">
        <x:v>Origin</x:v>
      </x:c>
      <x:c r="D442" s="2" t="str">
        <x:v>Four-quarter mean</x:v>
      </x:c>
      <x:c r="E442" s="2" t="str">
        <x:v>All available</x:v>
      </x:c>
      <x:c r="F442" s="2" t="n">
        <x:v>12</x:v>
      </x:c>
      <x:c r="G442" s="8" t="n">
        <x:f>SQRT(AVERAGE(Forecasts!N2247,Forecasts!N2263,Forecasts!N2279,Forecasts!N2296,Forecasts!N2313,Forecasts!N2330,Forecasts!N2347,Forecasts!N2364,Forecasts!N2381,Forecasts!N2398,Forecasts!N2415,Forecasts!N2431))</x:f>
        <x:v>3.1032576968942385</x:v>
      </x:c>
      <x:c r="H442" s="8" t="n">
        <x:f>AVERAGE(Forecasts!O2247,Forecasts!O2263,Forecasts!O2279,Forecasts!O2296,Forecasts!O2313,Forecasts!O2330,Forecasts!O2347,Forecasts!O2364,Forecasts!O2381,Forecasts!O2398,Forecasts!O2415,Forecasts!O2431)</x:f>
        <x:v>2.3958333333333335</x:v>
      </x:c>
      <x:c r="I442" s="8" t="n">
        <x:f>AVERAGE(Forecasts!M2247,Forecasts!M2263,Forecasts!M2279,Forecasts!M2296,Forecasts!M2313,Forecasts!M2330,Forecasts!M2347,Forecasts!M2364,Forecasts!M2381,Forecasts!M2398,Forecasts!M2415,Forecasts!M2431)</x:f>
        <x:v>1.9791666666666667</x:v>
      </x:c>
      <x:c r="J442" s="8" t="n">
        <x:f>SQRT(AVERAGE(Forecasts!N2246,Forecasts!N2262,Forecasts!N2278,Forecasts!N2295,Forecasts!N2312,Forecasts!N2329,Forecasts!N2346,Forecasts!N2363,Forecasts!N2380,Forecasts!N2397,Forecasts!N2414,Forecasts!N2430))</x:f>
        <x:v>2.943920288775949</x:v>
      </x:c>
      <x:c r="K442" s="8" t="n">
        <x:f>SQRT(AVERAGE(Forecasts!N2248,Forecasts!N2264,Forecasts!N2280,Forecasts!N2297,Forecasts!N2314,Forecasts!N2331,Forecasts!N2348,Forecasts!N2365,Forecasts!N2382,Forecasts!N2399,Forecasts!N2416,Forecasts!N2432))</x:f>
        <x:v>4.58543369774997</x:v>
      </x:c>
    </x:row>
    <x:row r="443" ht="26" customHeight="1">
      <x:c r="A443" s="2"/>
      <x:c r="B443" s="2" t="str">
        <x:v>Health Care / organic_sales_growth</x:v>
      </x:c>
      <x:c r="C443" s="2" t="str">
        <x:v>Origin</x:v>
      </x:c>
      <x:c r="D443" s="2" t="str">
        <x:v>Four-quarter mean</x:v>
      </x:c>
      <x:c r="E443" s="2" t="str">
        <x:v>Recent eight</x:v>
      </x:c>
      <x:c r="F443" s="2" t="n">
        <x:v>8</x:v>
      </x:c>
      <x:c r="G443" s="8" t="n">
        <x:f>SQRT(AVERAGE(Forecasts!N2313,Forecasts!N2330,Forecasts!N2347,Forecasts!N2364,Forecasts!N2381,Forecasts!N2398,Forecasts!N2415,Forecasts!N2431))</x:f>
        <x:v>1.5612494995995996</x:v>
      </x:c>
      <x:c r="H443" s="8" t="n">
        <x:f>AVERAGE(Forecasts!O2313,Forecasts!O2330,Forecasts!O2347,Forecasts!O2364,Forecasts!O2381,Forecasts!O2398,Forecasts!O2415,Forecasts!O2431)</x:f>
        <x:v>1.3125</x:v>
      </x:c>
      <x:c r="I443" s="8" t="n">
        <x:f>AVERAGE(Forecasts!M2313,Forecasts!M2330,Forecasts!M2347,Forecasts!M2364,Forecasts!M2381,Forecasts!M2398,Forecasts!M2415,Forecasts!M2431)</x:f>
        <x:v>1.0625</x:v>
      </x:c>
      <x:c r="J443" s="8" t="n">
        <x:f>SQRT(AVERAGE(Forecasts!N2312,Forecasts!N2329,Forecasts!N2346,Forecasts!N2363,Forecasts!N2380,Forecasts!N2397,Forecasts!N2414,Forecasts!N2430))</x:f>
        <x:v>1.620185174601965</x:v>
      </x:c>
      <x:c r="K443" s="8" t="n">
        <x:f>SQRT(AVERAGE(Forecasts!N2314,Forecasts!N2331,Forecasts!N2348,Forecasts!N2365,Forecasts!N2382,Forecasts!N2399,Forecasts!N2416,Forecasts!N2432))</x:f>
        <x:v>3.9892550711384436</x:v>
      </x:c>
    </x:row>
    <x:row r="444" ht="26" customHeight="1">
      <x:c r="A444" s="2"/>
      <x:c r="B444" s="2" t="str">
        <x:v>Health Care / organic_sales_growth</x:v>
      </x:c>
      <x:c r="C444" s="2" t="str">
        <x:v>Origin</x:v>
      </x:c>
      <x:c r="D444" s="2" t="str">
        <x:v>Half correction</x:v>
      </x:c>
      <x:c r="E444" s="2" t="str">
        <x:v>All available</x:v>
      </x:c>
      <x:c r="F444" s="2" t="n">
        <x:v>7</x:v>
      </x:c>
      <x:c r="G444" s="8" t="n">
        <x:f>SQRT(AVERAGE(Forecasts!N2957,Forecasts!N2963,Forecasts!N2969,Forecasts!N2975,Forecasts!N2981,Forecasts!N2987,Forecasts!N2993))</x:f>
        <x:v>2.73262478740232</x:v>
      </x:c>
      <x:c r="H444" s="8" t="n">
        <x:f>AVERAGE(Forecasts!O2957,Forecasts!O2963,Forecasts!O2969,Forecasts!O2975,Forecasts!O2981,Forecasts!O2987,Forecasts!O2993)</x:f>
        <x:v>2.2365746193269125</x:v>
      </x:c>
      <x:c r="I444" s="8" t="n">
        <x:f>AVERAGE(Forecasts!M2957,Forecasts!M2963,Forecasts!M2969,Forecasts!M2975,Forecasts!M2981,Forecasts!M2987,Forecasts!M2993)</x:f>
        <x:v>1.627689488671002</x:v>
      </x:c>
      <x:c r="J444" s="8" t="n">
        <x:f>SQRT(AVERAGE(Forecasts!N2329,Forecasts!N2346,Forecasts!N2363,Forecasts!N2380,Forecasts!N2397,Forecasts!N2414,Forecasts!N2430))</x:f>
        <x:v>1.558387444947959</x:v>
      </x:c>
      <x:c r="K444" s="8" t="n">
        <x:f>SQRT(AVERAGE(Forecasts!N2331,Forecasts!N2348,Forecasts!N2365,Forecasts!N2382,Forecasts!N2399,Forecasts!N2416,Forecasts!N2432))</x:f>
        <x:v>4.000675702944047</x:v>
      </x:c>
    </x:row>
    <x:row r="445" ht="26" customHeight="1">
      <x:c r="A445" s="2"/>
      <x:c r="B445" s="2" t="str">
        <x:v>Health Care / organic_sales_growth</x:v>
      </x:c>
      <x:c r="C445" s="2" t="str">
        <x:v>Origin</x:v>
      </x:c>
      <x:c r="D445" s="2" t="str">
        <x:v>Half correction</x:v>
      </x:c>
      <x:c r="E445" s="2" t="str">
        <x:v>Recent eight</x:v>
      </x:c>
      <x:c r="F445" s="2" t="n">
        <x:v>7</x:v>
      </x:c>
      <x:c r="G445" s="8" t="n">
        <x:f>SQRT(AVERAGE(Forecasts!N2957,Forecasts!N2963,Forecasts!N2969,Forecasts!N2975,Forecasts!N2981,Forecasts!N2987,Forecasts!N2993))</x:f>
        <x:v>2.73262478740232</x:v>
      </x:c>
      <x:c r="H445" s="8" t="n">
        <x:f>AVERAGE(Forecasts!O2957,Forecasts!O2963,Forecasts!O2969,Forecasts!O2975,Forecasts!O2981,Forecasts!O2987,Forecasts!O2993)</x:f>
        <x:v>2.2365746193269125</x:v>
      </x:c>
      <x:c r="I445" s="8" t="n">
        <x:f>AVERAGE(Forecasts!M2957,Forecasts!M2963,Forecasts!M2969,Forecasts!M2975,Forecasts!M2981,Forecasts!M2987,Forecasts!M2993)</x:f>
        <x:v>1.627689488671002</x:v>
      </x:c>
      <x:c r="J445" s="8" t="n">
        <x:f>SQRT(AVERAGE(Forecasts!N2329,Forecasts!N2346,Forecasts!N2363,Forecasts!N2380,Forecasts!N2397,Forecasts!N2414,Forecasts!N2430))</x:f>
        <x:v>1.558387444947959</x:v>
      </x:c>
      <x:c r="K445" s="8" t="n">
        <x:f>SQRT(AVERAGE(Forecasts!N2331,Forecasts!N2348,Forecasts!N2365,Forecasts!N2382,Forecasts!N2399,Forecasts!N2416,Forecasts!N2432))</x:f>
        <x:v>4.000675702944047</x:v>
      </x:c>
    </x:row>
    <x:row r="446" ht="26" customHeight="1">
      <x:c r="A446" s="2"/>
      <x:c r="B446" s="2" t="str">
        <x:v>Health Care / organic_sales_growth</x:v>
      </x:c>
      <x:c r="C446" s="2" t="str">
        <x:v>Origin</x:v>
      </x:c>
      <x:c r="D446" s="2" t="str">
        <x:v>Last actual</x:v>
      </x:c>
      <x:c r="E446" s="2" t="str">
        <x:v>All available</x:v>
      </x:c>
      <x:c r="F446" s="2" t="n">
        <x:v>12</x:v>
      </x:c>
      <x:c r="G446" s="8" t="n">
        <x:f>SQRT(AVERAGE(Forecasts!N2246,Forecasts!N2262,Forecasts!N2278,Forecasts!N2295,Forecasts!N2312,Forecasts!N2329,Forecasts!N2346,Forecasts!N2363,Forecasts!N2380,Forecasts!N2397,Forecasts!N2414,Forecasts!N2430))</x:f>
        <x:v>2.943920288775949</x:v>
      </x:c>
      <x:c r="H446" s="8" t="n">
        <x:f>AVERAGE(Forecasts!O2246,Forecasts!O2262,Forecasts!O2278,Forecasts!O2295,Forecasts!O2312,Forecasts!O2329,Forecasts!O2346,Forecasts!O2363,Forecasts!O2380,Forecasts!O2397,Forecasts!O2414,Forecasts!O2430)</x:f>
        <x:v>2.1666666666666665</x:v>
      </x:c>
      <x:c r="I446" s="8" t="n">
        <x:f>AVERAGE(Forecasts!M2246,Forecasts!M2262,Forecasts!M2278,Forecasts!M2295,Forecasts!M2312,Forecasts!M2329,Forecasts!M2346,Forecasts!M2363,Forecasts!M2380,Forecasts!M2397,Forecasts!M2414,Forecasts!M2430)</x:f>
        <x:v>1</x:v>
      </x:c>
      <x:c r="J446" s="8" t="n">
        <x:f>SQRT(AVERAGE(Forecasts!N2246,Forecasts!N2262,Forecasts!N2278,Forecasts!N2295,Forecasts!N2312,Forecasts!N2329,Forecasts!N2346,Forecasts!N2363,Forecasts!N2380,Forecasts!N2397,Forecasts!N2414,Forecasts!N2430))</x:f>
        <x:v>2.943920288775949</x:v>
      </x:c>
      <x:c r="K446" s="8" t="n">
        <x:f>SQRT(AVERAGE(Forecasts!N2248,Forecasts!N2264,Forecasts!N2280,Forecasts!N2297,Forecasts!N2314,Forecasts!N2331,Forecasts!N2348,Forecasts!N2365,Forecasts!N2382,Forecasts!N2399,Forecasts!N2416,Forecasts!N2432))</x:f>
        <x:v>4.58543369774997</x:v>
      </x:c>
    </x:row>
    <x:row r="447" ht="26" customHeight="1">
      <x:c r="A447" s="2"/>
      <x:c r="B447" s="2" t="str">
        <x:v>Health Care / organic_sales_growth</x:v>
      </x:c>
      <x:c r="C447" s="2" t="str">
        <x:v>Origin</x:v>
      </x:c>
      <x:c r="D447" s="2" t="str">
        <x:v>Last actual</x:v>
      </x:c>
      <x:c r="E447" s="2" t="str">
        <x:v>Recent eight</x:v>
      </x:c>
      <x:c r="F447" s="2" t="n">
        <x:v>8</x:v>
      </x:c>
      <x:c r="G447" s="8" t="n">
        <x:f>SQRT(AVERAGE(Forecasts!N2312,Forecasts!N2329,Forecasts!N2346,Forecasts!N2363,Forecasts!N2380,Forecasts!N2397,Forecasts!N2414,Forecasts!N2430))</x:f>
        <x:v>1.620185174601965</x:v>
      </x:c>
      <x:c r="H447" s="8" t="n">
        <x:f>AVERAGE(Forecasts!O2312,Forecasts!O2329,Forecasts!O2346,Forecasts!O2363,Forecasts!O2380,Forecasts!O2397,Forecasts!O2414,Forecasts!O2430)</x:f>
        <x:v>1.375</x:v>
      </x:c>
      <x:c r="I447" s="8" t="n">
        <x:f>AVERAGE(Forecasts!M2312,Forecasts!M2329,Forecasts!M2346,Forecasts!M2363,Forecasts!M2380,Forecasts!M2397,Forecasts!M2414,Forecasts!M2430)</x:f>
        <x:v>-0.125</x:v>
      </x:c>
      <x:c r="J447" s="8" t="n">
        <x:f>SQRT(AVERAGE(Forecasts!N2312,Forecasts!N2329,Forecasts!N2346,Forecasts!N2363,Forecasts!N2380,Forecasts!N2397,Forecasts!N2414,Forecasts!N2430))</x:f>
        <x:v>1.620185174601965</x:v>
      </x:c>
      <x:c r="K447" s="8" t="n">
        <x:f>SQRT(AVERAGE(Forecasts!N2314,Forecasts!N2331,Forecasts!N2348,Forecasts!N2365,Forecasts!N2382,Forecasts!N2399,Forecasts!N2416,Forecasts!N2432))</x:f>
        <x:v>3.9892550711384436</x:v>
      </x:c>
    </x:row>
    <x:row r="448" ht="26" customHeight="1">
      <x:c r="A448" s="2"/>
      <x:c r="B448" s="2" t="str">
        <x:v>Health Care / organic_sales_growth</x:v>
      </x:c>
      <x:c r="C448" s="2" t="str">
        <x:v>Origin</x:v>
      </x:c>
      <x:c r="D448" s="2" t="str">
        <x:v>Own history</x:v>
      </x:c>
      <x:c r="E448" s="2" t="str">
        <x:v>All available</x:v>
      </x:c>
      <x:c r="F448" s="2" t="n">
        <x:v>10</x:v>
      </x:c>
      <x:c r="G448" s="8" t="n">
        <x:f>SQRT(AVERAGE(Forecasts!N2282,Forecasts!N2299,Forecasts!N2316,Forecasts!N2333,Forecasts!N2350,Forecasts!N2367,Forecasts!N2384,Forecasts!N2401,Forecasts!N2418,Forecasts!N2434))</x:f>
        <x:v>4.177319191747797</x:v>
      </x:c>
      <x:c r="H448" s="8" t="n">
        <x:f>AVERAGE(Forecasts!O2282,Forecasts!O2299,Forecasts!O2316,Forecasts!O2333,Forecasts!O2350,Forecasts!O2367,Forecasts!O2384,Forecasts!O2401,Forecasts!O2418,Forecasts!O2434)</x:f>
        <x:v>3.7513092842272764</x:v>
      </x:c>
      <x:c r="I448" s="8" t="n">
        <x:f>AVERAGE(Forecasts!M2282,Forecasts!M2299,Forecasts!M2316,Forecasts!M2333,Forecasts!M2350,Forecasts!M2367,Forecasts!M2384,Forecasts!M2401,Forecasts!M2418,Forecasts!M2434)</x:f>
        <x:v>3.7513092842272764</x:v>
      </x:c>
      <x:c r="J448" s="8" t="n">
        <x:f>SQRT(AVERAGE(Forecasts!N2278,Forecasts!N2295,Forecasts!N2312,Forecasts!N2329,Forecasts!N2346,Forecasts!N2363,Forecasts!N2380,Forecasts!N2397,Forecasts!N2414,Forecasts!N2430))</x:f>
        <x:v>3.0659419433511785</x:v>
      </x:c>
      <x:c r="K448" s="8" t="n">
        <x:f>SQRT(AVERAGE(Forecasts!N2280,Forecasts!N2297,Forecasts!N2314,Forecasts!N2331,Forecasts!N2348,Forecasts!N2365,Forecasts!N2382,Forecasts!N2399,Forecasts!N2416,Forecasts!N2432))</x:f>
        <x:v>4.908276783250506</x:v>
      </x:c>
    </x:row>
    <x:row r="449" ht="26" customHeight="1">
      <x:c r="A449" s="2"/>
      <x:c r="B449" s="2" t="str">
        <x:v>Health Care / organic_sales_growth</x:v>
      </x:c>
      <x:c r="C449" s="2" t="str">
        <x:v>Origin</x:v>
      </x:c>
      <x:c r="D449" s="2" t="str">
        <x:v>Own history</x:v>
      </x:c>
      <x:c r="E449" s="2" t="str">
        <x:v>Recent eight</x:v>
      </x:c>
      <x:c r="F449" s="2" t="n">
        <x:v>8</x:v>
      </x:c>
      <x:c r="G449" s="8" t="n">
        <x:f>SQRT(AVERAGE(Forecasts!N2316,Forecasts!N2333,Forecasts!N2350,Forecasts!N2367,Forecasts!N2384,Forecasts!N2401,Forecasts!N2418,Forecasts!N2434))</x:f>
        <x:v>3.1174329191688845</x:v>
      </x:c>
      <x:c r="H449" s="8" t="n">
        <x:f>AVERAGE(Forecasts!O2316,Forecasts!O2333,Forecasts!O2350,Forecasts!O2367,Forecasts!O2384,Forecasts!O2401,Forecasts!O2418,Forecasts!O2434)</x:f>
        <x:v>2.950660872785773</x:v>
      </x:c>
      <x:c r="I449" s="8" t="n">
        <x:f>AVERAGE(Forecasts!M2316,Forecasts!M2333,Forecasts!M2350,Forecasts!M2367,Forecasts!M2384,Forecasts!M2401,Forecasts!M2418,Forecasts!M2434)</x:f>
        <x:v>2.950660872785773</x:v>
      </x:c>
      <x:c r="J449" s="8" t="n">
        <x:f>SQRT(AVERAGE(Forecasts!N2312,Forecasts!N2329,Forecasts!N2346,Forecasts!N2363,Forecasts!N2380,Forecasts!N2397,Forecasts!N2414,Forecasts!N2430))</x:f>
        <x:v>1.620185174601965</x:v>
      </x:c>
      <x:c r="K449" s="8" t="n">
        <x:f>SQRT(AVERAGE(Forecasts!N2314,Forecasts!N2331,Forecasts!N2348,Forecasts!N2365,Forecasts!N2382,Forecasts!N2399,Forecasts!N2416,Forecasts!N2432))</x:f>
        <x:v>3.9892550711384436</x:v>
      </x:c>
    </x:row>
    <x:row r="450" ht="26" customHeight="1">
      <x:c r="A450" s="2"/>
      <x:c r="B450" s="2" t="str">
        <x:v>Health Care / organic_sales_growth</x:v>
      </x:c>
      <x:c r="C450" s="2" t="str">
        <x:v>Prior report</x:v>
      </x:c>
      <x:c r="D450" s="2" t="str">
        <x:v>Bias correction</x:v>
      </x:c>
      <x:c r="E450" s="2" t="str">
        <x:v>All available</x:v>
      </x:c>
      <x:c r="F450" s="2" t="n">
        <x:v>8</x:v>
      </x:c>
      <x:c r="G450" s="8" t="n">
        <x:f>SQRT(AVERAGE(Forecasts!N2952,Forecasts!N2958,Forecasts!N2964,Forecasts!N2970,Forecasts!N2976,Forecasts!N2982,Forecasts!N2988,Forecasts!N2994))</x:f>
        <x:v>2.3309118522913908</x:v>
      </x:c>
      <x:c r="H450" s="8" t="n">
        <x:f>AVERAGE(Forecasts!O2952,Forecasts!O2958,Forecasts!O2964,Forecasts!O2970,Forecasts!O2976,Forecasts!O2982,Forecasts!O2988,Forecasts!O2994)</x:f>
        <x:v>1.9369627534598712</x:v>
      </x:c>
      <x:c r="I450" s="8" t="n">
        <x:f>AVERAGE(Forecasts!M2952,Forecasts!M2958,Forecasts!M2964,Forecasts!M2970,Forecasts!M2976,Forecasts!M2982,Forecasts!M2988,Forecasts!M2994)</x:f>
        <x:v>-0.19953296691517253</x:v>
      </x:c>
      <x:c r="J450" s="8" t="n">
        <x:f>SQRT(AVERAGE(Forecasts!N2317,Forecasts!N2334,Forecasts!N2351,Forecasts!N2368,Forecasts!N2385,Forecasts!N2402,Forecasts!N2419,Forecasts!N2435))</x:f>
        <x:v>1.4142135623730951</x:v>
      </x:c>
      <x:c r="K450" s="8" t="n">
        <x:f>SQRT(AVERAGE(Forecasts!N2319,Forecasts!N2336,Forecasts!N2353,Forecasts!N2370,Forecasts!N2387,Forecasts!N2404,Forecasts!N2421,Forecasts!N2437))</x:f>
        <x:v>3.7664411809232763</x:v>
      </x:c>
    </x:row>
    <x:row r="451" ht="26" customHeight="1">
      <x:c r="A451" s="2"/>
      <x:c r="B451" s="2" t="str">
        <x:v>Health Care / organic_sales_growth</x:v>
      </x:c>
      <x:c r="C451" s="2" t="str">
        <x:v>Prior report</x:v>
      </x:c>
      <x:c r="D451" s="2" t="str">
        <x:v>Bias correction</x:v>
      </x:c>
      <x:c r="E451" s="2" t="str">
        <x:v>Recent eight</x:v>
      </x:c>
      <x:c r="F451" s="2" t="n">
        <x:v>8</x:v>
      </x:c>
      <x:c r="G451" s="8" t="n">
        <x:f>SQRT(AVERAGE(Forecasts!N2952,Forecasts!N2958,Forecasts!N2964,Forecasts!N2970,Forecasts!N2976,Forecasts!N2982,Forecasts!N2988,Forecasts!N2994))</x:f>
        <x:v>2.3309118522913908</x:v>
      </x:c>
      <x:c r="H451" s="8" t="n">
        <x:f>AVERAGE(Forecasts!O2952,Forecasts!O2958,Forecasts!O2964,Forecasts!O2970,Forecasts!O2976,Forecasts!O2982,Forecasts!O2988,Forecasts!O2994)</x:f>
        <x:v>1.9369627534598712</x:v>
      </x:c>
      <x:c r="I451" s="8" t="n">
        <x:f>AVERAGE(Forecasts!M2952,Forecasts!M2958,Forecasts!M2964,Forecasts!M2970,Forecasts!M2976,Forecasts!M2982,Forecasts!M2988,Forecasts!M2994)</x:f>
        <x:v>-0.19953296691517253</x:v>
      </x:c>
      <x:c r="J451" s="8" t="n">
        <x:f>SQRT(AVERAGE(Forecasts!N2317,Forecasts!N2334,Forecasts!N2351,Forecasts!N2368,Forecasts!N2385,Forecasts!N2402,Forecasts!N2419,Forecasts!N2435))</x:f>
        <x:v>1.4142135623730951</x:v>
      </x:c>
      <x:c r="K451" s="8" t="n">
        <x:f>SQRT(AVERAGE(Forecasts!N2319,Forecasts!N2336,Forecasts!N2353,Forecasts!N2370,Forecasts!N2387,Forecasts!N2404,Forecasts!N2421,Forecasts!N2437))</x:f>
        <x:v>3.7664411809232763</x:v>
      </x:c>
    </x:row>
    <x:row r="452" ht="26" customHeight="1">
      <x:c r="A452" s="2"/>
      <x:c r="B452" s="2" t="str">
        <x:v>Health Care / organic_sales_growth</x:v>
      </x:c>
      <x:c r="C452" s="2" t="str">
        <x:v>Prior report</x:v>
      </x:c>
      <x:c r="D452" s="2" t="str">
        <x:v>Broad lag 1</x:v>
      </x:c>
      <x:c r="E452" s="2" t="str">
        <x:v>All available</x:v>
      </x:c>
      <x:c r="F452" s="2" t="n">
        <x:v>10</x:v>
      </x:c>
      <x:c r="G452" s="8" t="n">
        <x:f>SQRT(AVERAGE(Forecasts!N2253,Forecasts!N2269,Forecasts!N2286,Forecasts!N2303,Forecasts!N2320,Forecasts!N2337,Forecasts!N2354,Forecasts!N2371,Forecasts!N2388,Forecasts!N2405))</x:f>
        <x:v>5.032232129678079</x:v>
      </x:c>
      <x:c r="H452" s="8" t="n">
        <x:f>AVERAGE(Forecasts!O2253,Forecasts!O2269,Forecasts!O2286,Forecasts!O2303,Forecasts!O2320,Forecasts!O2337,Forecasts!O2354,Forecasts!O2371,Forecasts!O2388,Forecasts!O2405)</x:f>
        <x:v>4.747654408875596</x:v>
      </x:c>
      <x:c r="I452" s="8" t="n">
        <x:f>AVERAGE(Forecasts!M2253,Forecasts!M2269,Forecasts!M2286,Forecasts!M2303,Forecasts!M2320,Forecasts!M2337,Forecasts!M2354,Forecasts!M2371,Forecasts!M2388,Forecasts!M2405)</x:f>
        <x:v>4.583998005619991</x:v>
      </x:c>
      <x:c r="J452" s="8" t="n">
        <x:f>SQRT(AVERAGE(Forecasts!N2250,Forecasts!N2266,Forecasts!N2283,Forecasts!N2300,Forecasts!N2317,Forecasts!N2334,Forecasts!N2351,Forecasts!N2368,Forecasts!N2385,Forecasts!N2402))</x:f>
        <x:v>3.40587727318528</x:v>
      </x:c>
      <x:c r="K452" s="8" t="n">
        <x:f>SQRT(AVERAGE(Forecasts!N2252,Forecasts!N2268,Forecasts!N2285,Forecasts!N2302,Forecasts!N2319,Forecasts!N2336,Forecasts!N2353,Forecasts!N2370,Forecasts!N2387,Forecasts!N2404))</x:f>
        <x:v>4.478791420187746</x:v>
      </x:c>
    </x:row>
    <x:row r="453" ht="26" customHeight="1">
      <x:c r="A453" s="2"/>
      <x:c r="B453" s="2" t="str">
        <x:v>Health Care / organic_sales_growth</x:v>
      </x:c>
      <x:c r="C453" s="2" t="str">
        <x:v>Prior report</x:v>
      </x:c>
      <x:c r="D453" s="2" t="str">
        <x:v>Broad lag 1</x:v>
      </x:c>
      <x:c r="E453" s="2" t="str">
        <x:v>Recent eight</x:v>
      </x:c>
      <x:c r="F453" s="2" t="n">
        <x:v>6</x:v>
      </x:c>
      <x:c r="G453" s="8" t="n">
        <x:f>SQRT(AVERAGE(Forecasts!N2320,Forecasts!N2337,Forecasts!N2354,Forecasts!N2371,Forecasts!N2388,Forecasts!N2405))</x:f>
        <x:v>4.823229217406761</x:v>
      </x:c>
      <x:c r="H453" s="8" t="n">
        <x:f>AVERAGE(Forecasts!O2320,Forecasts!O2337,Forecasts!O2354,Forecasts!O2371,Forecasts!O2388,Forecasts!O2405)</x:f>
        <x:v>4.7446935782933</x:v>
      </x:c>
      <x:c r="I453" s="8" t="n">
        <x:f>AVERAGE(Forecasts!M2320,Forecasts!M2337,Forecasts!M2354,Forecasts!M2371,Forecasts!M2388,Forecasts!M2405)</x:f>
        <x:v>4.7446935782933</x:v>
      </x:c>
      <x:c r="J453" s="8" t="n">
        <x:f>SQRT(AVERAGE(Forecasts!N2317,Forecasts!N2334,Forecasts!N2351,Forecasts!N2368,Forecasts!N2385,Forecasts!N2402))</x:f>
        <x:v>1.35400640077266</x:v>
      </x:c>
      <x:c r="K453" s="8" t="n">
        <x:f>SQRT(AVERAGE(Forecasts!N2319,Forecasts!N2336,Forecasts!N2353,Forecasts!N2370,Forecasts!N2387,Forecasts!N2404))</x:f>
        <x:v>3.697139385225791</x:v>
      </x:c>
    </x:row>
    <x:row r="454" ht="26" customHeight="1">
      <x:c r="A454" s="2"/>
      <x:c r="B454" s="2" t="str">
        <x:v>Health Care / organic_sales_growth</x:v>
      </x:c>
      <x:c r="C454" s="2" t="str">
        <x:v>Prior report</x:v>
      </x:c>
      <x:c r="D454" s="2" t="str">
        <x:v>Broad market</x:v>
      </x:c>
      <x:c r="E454" s="2" t="str">
        <x:v>All available</x:v>
      </x:c>
      <x:c r="F454" s="2" t="n">
        <x:v>12</x:v>
      </x:c>
      <x:c r="G454" s="8" t="n">
        <x:f>SQRT(AVERAGE(Forecasts!N2252,Forecasts!N2268,Forecasts!N2285,Forecasts!N2302,Forecasts!N2319,Forecasts!N2336,Forecasts!N2353,Forecasts!N2370,Forecasts!N2387,Forecasts!N2404,Forecasts!N2421,Forecasts!N2437))</x:f>
        <x:v>4.397644458567042</x:v>
      </x:c>
      <x:c r="H454" s="8" t="n">
        <x:f>AVERAGE(Forecasts!O2252,Forecasts!O2268,Forecasts!O2285,Forecasts!O2302,Forecasts!O2319,Forecasts!O2336,Forecasts!O2353,Forecasts!O2370,Forecasts!O2387,Forecasts!O2404,Forecasts!O2421,Forecasts!O2437)</x:f>
        <x:v>3.8235578452208094</x:v>
      </x:c>
      <x:c r="I454" s="8" t="n">
        <x:f>AVERAGE(Forecasts!M2252,Forecasts!M2268,Forecasts!M2285,Forecasts!M2302,Forecasts!M2319,Forecasts!M2336,Forecasts!M2353,Forecasts!M2370,Forecasts!M2387,Forecasts!M2404,Forecasts!M2421,Forecasts!M2437)</x:f>
        <x:v>3.6669022140389385</x:v>
      </x:c>
      <x:c r="J454" s="8" t="n">
        <x:f>SQRT(AVERAGE(Forecasts!N2250,Forecasts!N2266,Forecasts!N2283,Forecasts!N2300,Forecasts!N2317,Forecasts!N2334,Forecasts!N2351,Forecasts!N2368,Forecasts!N2385,Forecasts!N2402,Forecasts!N2419,Forecasts!N2435))</x:f>
        <x:v>3.1754264805429417</x:v>
      </x:c>
      <x:c r="K454" s="8" t="n">
        <x:f>SQRT(AVERAGE(Forecasts!N2252,Forecasts!N2268,Forecasts!N2285,Forecasts!N2302,Forecasts!N2319,Forecasts!N2336,Forecasts!N2353,Forecasts!N2370,Forecasts!N2387,Forecasts!N2404,Forecasts!N2421,Forecasts!N2437))</x:f>
        <x:v>4.397644458567042</x:v>
      </x:c>
    </x:row>
    <x:row r="455" ht="26" customHeight="1">
      <x:c r="A455" s="2"/>
      <x:c r="B455" s="2" t="str">
        <x:v>Health Care / organic_sales_growth</x:v>
      </x:c>
      <x:c r="C455" s="2" t="str">
        <x:v>Prior report</x:v>
      </x:c>
      <x:c r="D455" s="2" t="str">
        <x:v>Broad market</x:v>
      </x:c>
      <x:c r="E455" s="2" t="str">
        <x:v>Recent eight</x:v>
      </x:c>
      <x:c r="F455" s="2" t="n">
        <x:v>8</x:v>
      </x:c>
      <x:c r="G455" s="8" t="n">
        <x:f>SQRT(AVERAGE(Forecasts!N2319,Forecasts!N2336,Forecasts!N2353,Forecasts!N2370,Forecasts!N2387,Forecasts!N2404,Forecasts!N2421,Forecasts!N2437))</x:f>
        <x:v>3.7664411809232763</x:v>
      </x:c>
      <x:c r="H455" s="8" t="n">
        <x:f>AVERAGE(Forecasts!O2319,Forecasts!O2336,Forecasts!O2353,Forecasts!O2370,Forecasts!O2387,Forecasts!O2404,Forecasts!O2421,Forecasts!O2437)</x:f>
        <x:v>3.3324965515822464</x:v>
      </x:c>
      <x:c r="I455" s="8" t="n">
        <x:f>AVERAGE(Forecasts!M2319,Forecasts!M2336,Forecasts!M2353,Forecasts!M2370,Forecasts!M2387,Forecasts!M2404,Forecasts!M2421,Forecasts!M2437)</x:f>
        <x:v>3.3324965515822464</x:v>
      </x:c>
      <x:c r="J455" s="8" t="n">
        <x:f>SQRT(AVERAGE(Forecasts!N2317,Forecasts!N2334,Forecasts!N2351,Forecasts!N2368,Forecasts!N2385,Forecasts!N2402,Forecasts!N2419,Forecasts!N2435))</x:f>
        <x:v>1.4142135623730951</x:v>
      </x:c>
      <x:c r="K455" s="8" t="n">
        <x:f>SQRT(AVERAGE(Forecasts!N2319,Forecasts!N2336,Forecasts!N2353,Forecasts!N2370,Forecasts!N2387,Forecasts!N2404,Forecasts!N2421,Forecasts!N2437))</x:f>
        <x:v>3.7664411809232763</x:v>
      </x:c>
    </x:row>
    <x:row r="456" ht="26" customHeight="1">
      <x:c r="A456" s="2"/>
      <x:c r="B456" s="2" t="str">
        <x:v>Health Care / organic_sales_growth</x:v>
      </x:c>
      <x:c r="C456" s="2" t="str">
        <x:v>Prior report</x:v>
      </x:c>
      <x:c r="D456" s="2" t="str">
        <x:v>Broad rolling 8</x:v>
      </x:c>
      <x:c r="E456" s="2" t="str">
        <x:v>All available</x:v>
      </x:c>
      <x:c r="F456" s="2" t="n">
        <x:v>12</x:v>
      </x:c>
      <x:c r="G456" s="8" t="n">
        <x:f>SQRT(AVERAGE(Forecasts!N2254,Forecasts!N2270,Forecasts!N2287,Forecasts!N2304,Forecasts!N2321,Forecasts!N2338,Forecasts!N2355,Forecasts!N2372,Forecasts!N2389,Forecasts!N2406,Forecasts!N2422,Forecasts!N2438))</x:f>
        <x:v>3.1650055764362848</x:v>
      </x:c>
      <x:c r="H456" s="8" t="n">
        <x:f>AVERAGE(Forecasts!O2254,Forecasts!O2270,Forecasts!O2287,Forecasts!O2304,Forecasts!O2321,Forecasts!O2338,Forecasts!O2355,Forecasts!O2372,Forecasts!O2389,Forecasts!O2406,Forecasts!O2422,Forecasts!O2438)</x:f>
        <x:v>2.594973689902235</x:v>
      </x:c>
      <x:c r="I456" s="8" t="n">
        <x:f>AVERAGE(Forecasts!M2254,Forecasts!M2270,Forecasts!M2287,Forecasts!M2304,Forecasts!M2321,Forecasts!M2338,Forecasts!M2355,Forecasts!M2372,Forecasts!M2389,Forecasts!M2406,Forecasts!M2422,Forecasts!M2438)</x:f>
        <x:v>2.2813949897909582</x:v>
      </x:c>
      <x:c r="J456" s="8" t="n">
        <x:f>SQRT(AVERAGE(Forecasts!N2250,Forecasts!N2266,Forecasts!N2283,Forecasts!N2300,Forecasts!N2317,Forecasts!N2334,Forecasts!N2351,Forecasts!N2368,Forecasts!N2385,Forecasts!N2402,Forecasts!N2419,Forecasts!N2435))</x:f>
        <x:v>3.1754264805429417</x:v>
      </x:c>
      <x:c r="K456" s="8" t="n">
        <x:f>SQRT(AVERAGE(Forecasts!N2252,Forecasts!N2268,Forecasts!N2285,Forecasts!N2302,Forecasts!N2319,Forecasts!N2336,Forecasts!N2353,Forecasts!N2370,Forecasts!N2387,Forecasts!N2404,Forecasts!N2421,Forecasts!N2437))</x:f>
        <x:v>4.397644458567042</x:v>
      </x:c>
    </x:row>
    <x:row r="457" ht="26" customHeight="1">
      <x:c r="A457" s="2"/>
      <x:c r="B457" s="2" t="str">
        <x:v>Health Care / organic_sales_growth</x:v>
      </x:c>
      <x:c r="C457" s="2" t="str">
        <x:v>Prior report</x:v>
      </x:c>
      <x:c r="D457" s="2" t="str">
        <x:v>Broad rolling 8</x:v>
      </x:c>
      <x:c r="E457" s="2" t="str">
        <x:v>Recent eight</x:v>
      </x:c>
      <x:c r="F457" s="2" t="n">
        <x:v>8</x:v>
      </x:c>
      <x:c r="G457" s="8" t="n">
        <x:f>SQRT(AVERAGE(Forecasts!N2321,Forecasts!N2338,Forecasts!N2355,Forecasts!N2372,Forecasts!N2389,Forecasts!N2406,Forecasts!N2422,Forecasts!N2438))</x:f>
        <x:v>2.043599796734448</x:v>
      </x:c>
      <x:c r="H457" s="8" t="n">
        <x:f>AVERAGE(Forecasts!O2321,Forecasts!O2338,Forecasts!O2355,Forecasts!O2372,Forecasts!O2389,Forecasts!O2406,Forecasts!O2422,Forecasts!O2438)</x:f>
        <x:v>1.7369577595877357</x:v>
      </x:c>
      <x:c r="I457" s="8" t="n">
        <x:f>AVERAGE(Forecasts!M2321,Forecasts!M2338,Forecasts!M2355,Forecasts!M2372,Forecasts!M2389,Forecasts!M2406,Forecasts!M2422,Forecasts!M2438)</x:f>
        <x:v>1.7171932640722178</x:v>
      </x:c>
      <x:c r="J457" s="8" t="n">
        <x:f>SQRT(AVERAGE(Forecasts!N2317,Forecasts!N2334,Forecasts!N2351,Forecasts!N2368,Forecasts!N2385,Forecasts!N2402,Forecasts!N2419,Forecasts!N2435))</x:f>
        <x:v>1.4142135623730951</x:v>
      </x:c>
      <x:c r="K457" s="8" t="n">
        <x:f>SQRT(AVERAGE(Forecasts!N2319,Forecasts!N2336,Forecasts!N2353,Forecasts!N2370,Forecasts!N2387,Forecasts!N2404,Forecasts!N2421,Forecasts!N2437))</x:f>
        <x:v>3.7664411809232763</x:v>
      </x:c>
    </x:row>
    <x:row r="458" ht="26" customHeight="1">
      <x:c r="A458" s="2"/>
      <x:c r="B458" s="2" t="str">
        <x:v>Health Care / organic_sales_growth</x:v>
      </x:c>
      <x:c r="C458" s="2" t="str">
        <x:v>Prior report</x:v>
      </x:c>
      <x:c r="D458" s="2" t="str">
        <x:v>Four-quarter mean</x:v>
      </x:c>
      <x:c r="E458" s="2" t="str">
        <x:v>All available</x:v>
      </x:c>
      <x:c r="F458" s="2" t="n">
        <x:v>12</x:v>
      </x:c>
      <x:c r="G458" s="8" t="n">
        <x:f>SQRT(AVERAGE(Forecasts!N2251,Forecasts!N2267,Forecasts!N2284,Forecasts!N2301,Forecasts!N2318,Forecasts!N2335,Forecasts!N2352,Forecasts!N2369,Forecasts!N2386,Forecasts!N2403,Forecasts!N2420,Forecasts!N2436))</x:f>
        <x:v>2.6575364531836625</x:v>
      </x:c>
      <x:c r="H458" s="8" t="n">
        <x:f>AVERAGE(Forecasts!O2251,Forecasts!O2267,Forecasts!O2284,Forecasts!O2301,Forecasts!O2318,Forecasts!O2335,Forecasts!O2352,Forecasts!O2369,Forecasts!O2386,Forecasts!O2403,Forecasts!O2420,Forecasts!O2436)</x:f>
        <x:v>1.9583333333333333</x:v>
      </x:c>
      <x:c r="I458" s="8" t="n">
        <x:f>AVERAGE(Forecasts!M2251,Forecasts!M2267,Forecasts!M2284,Forecasts!M2301,Forecasts!M2318,Forecasts!M2335,Forecasts!M2352,Forecasts!M2369,Forecasts!M2386,Forecasts!M2403,Forecasts!M2420,Forecasts!M2436)</x:f>
        <x:v>1.3333333333333333</x:v>
      </x:c>
      <x:c r="J458" s="8" t="n">
        <x:f>SQRT(AVERAGE(Forecasts!N2250,Forecasts!N2266,Forecasts!N2283,Forecasts!N2300,Forecasts!N2317,Forecasts!N2334,Forecasts!N2351,Forecasts!N2368,Forecasts!N2385,Forecasts!N2402,Forecasts!N2419,Forecasts!N2435))</x:f>
        <x:v>3.1754264805429417</x:v>
      </x:c>
      <x:c r="K458" s="8" t="n">
        <x:f>SQRT(AVERAGE(Forecasts!N2252,Forecasts!N2268,Forecasts!N2285,Forecasts!N2302,Forecasts!N2319,Forecasts!N2336,Forecasts!N2353,Forecasts!N2370,Forecasts!N2387,Forecasts!N2404,Forecasts!N2421,Forecasts!N2437))</x:f>
        <x:v>4.397644458567042</x:v>
      </x:c>
    </x:row>
    <x:row r="459" ht="26" customHeight="1">
      <x:c r="A459" s="2"/>
      <x:c r="B459" s="2" t="str">
        <x:v>Health Care / organic_sales_growth</x:v>
      </x:c>
      <x:c r="C459" s="2" t="str">
        <x:v>Prior report</x:v>
      </x:c>
      <x:c r="D459" s="2" t="str">
        <x:v>Four-quarter mean</x:v>
      </x:c>
      <x:c r="E459" s="2" t="str">
        <x:v>Recent eight</x:v>
      </x:c>
      <x:c r="F459" s="2" t="n">
        <x:v>8</x:v>
      </x:c>
      <x:c r="G459" s="8" t="n">
        <x:f>SQRT(AVERAGE(Forecasts!N2318,Forecasts!N2335,Forecasts!N2352,Forecasts!N2369,Forecasts!N2386,Forecasts!N2403,Forecasts!N2420,Forecasts!N2436))</x:f>
        <x:v>1.118033988749895</x:v>
      </x:c>
      <x:c r="H459" s="8" t="n">
        <x:f>AVERAGE(Forecasts!O2318,Forecasts!O2335,Forecasts!O2352,Forecasts!O2369,Forecasts!O2386,Forecasts!O2403,Forecasts!O2420,Forecasts!O2436)</x:f>
        <x:v>0.875</x:v>
      </x:c>
      <x:c r="I459" s="8" t="n">
        <x:f>AVERAGE(Forecasts!M2318,Forecasts!M2335,Forecasts!M2352,Forecasts!M2369,Forecasts!M2386,Forecasts!M2403,Forecasts!M2420,Forecasts!M2436)</x:f>
        <x:v>0.5625</x:v>
      </x:c>
      <x:c r="J459" s="8" t="n">
        <x:f>SQRT(AVERAGE(Forecasts!N2317,Forecasts!N2334,Forecasts!N2351,Forecasts!N2368,Forecasts!N2385,Forecasts!N2402,Forecasts!N2419,Forecasts!N2435))</x:f>
        <x:v>1.4142135623730951</x:v>
      </x:c>
      <x:c r="K459" s="8" t="n">
        <x:f>SQRT(AVERAGE(Forecasts!N2319,Forecasts!N2336,Forecasts!N2353,Forecasts!N2370,Forecasts!N2387,Forecasts!N2404,Forecasts!N2421,Forecasts!N2437))</x:f>
        <x:v>3.7664411809232763</x:v>
      </x:c>
    </x:row>
    <x:row r="460" ht="26" customHeight="1">
      <x:c r="A460" s="2"/>
      <x:c r="B460" s="2" t="str">
        <x:v>Health Care / organic_sales_growth</x:v>
      </x:c>
      <x:c r="C460" s="2" t="str">
        <x:v>Prior report</x:v>
      </x:c>
      <x:c r="D460" s="2" t="str">
        <x:v>Half correction</x:v>
      </x:c>
      <x:c r="E460" s="2" t="str">
        <x:v>All available</x:v>
      </x:c>
      <x:c r="F460" s="2" t="n">
        <x:v>8</x:v>
      </x:c>
      <x:c r="G460" s="8" t="n">
        <x:f>SQRT(AVERAGE(Forecasts!N2953,Forecasts!N2959,Forecasts!N2965,Forecasts!N2971,Forecasts!N2977,Forecasts!N2983,Forecasts!N2989,Forecasts!N2995))</x:f>
        <x:v>2.552346320474135</x:v>
      </x:c>
      <x:c r="H460" s="8" t="n">
        <x:f>AVERAGE(Forecasts!O2953,Forecasts!O2959,Forecasts!O2965,Forecasts!O2971,Forecasts!O2977,Forecasts!O2983,Forecasts!O2989,Forecasts!O2995)</x:f>
        <x:v>2.0346382922686947</x:v>
      </x:c>
      <x:c r="I460" s="8" t="n">
        <x:f>AVERAGE(Forecasts!M2953,Forecasts!M2959,Forecasts!M2965,Forecasts!M2971,Forecasts!M2977,Forecasts!M2983,Forecasts!M2989,Forecasts!M2995)</x:f>
        <x:v>1.5664817923335368</x:v>
      </x:c>
      <x:c r="J460" s="8" t="n">
        <x:f>SQRT(AVERAGE(Forecasts!N2317,Forecasts!N2334,Forecasts!N2351,Forecasts!N2368,Forecasts!N2385,Forecasts!N2402,Forecasts!N2419,Forecasts!N2435))</x:f>
        <x:v>1.4142135623730951</x:v>
      </x:c>
      <x:c r="K460" s="8" t="n">
        <x:f>SQRT(AVERAGE(Forecasts!N2319,Forecasts!N2336,Forecasts!N2353,Forecasts!N2370,Forecasts!N2387,Forecasts!N2404,Forecasts!N2421,Forecasts!N2437))</x:f>
        <x:v>3.7664411809232763</x:v>
      </x:c>
    </x:row>
    <x:row r="461" ht="26" customHeight="1">
      <x:c r="A461" s="2"/>
      <x:c r="B461" s="2" t="str">
        <x:v>Health Care / organic_sales_growth</x:v>
      </x:c>
      <x:c r="C461" s="2" t="str">
        <x:v>Prior report</x:v>
      </x:c>
      <x:c r="D461" s="2" t="str">
        <x:v>Half correction</x:v>
      </x:c>
      <x:c r="E461" s="2" t="str">
        <x:v>Recent eight</x:v>
      </x:c>
      <x:c r="F461" s="2" t="n">
        <x:v>8</x:v>
      </x:c>
      <x:c r="G461" s="8" t="n">
        <x:f>SQRT(AVERAGE(Forecasts!N2953,Forecasts!N2959,Forecasts!N2965,Forecasts!N2971,Forecasts!N2977,Forecasts!N2983,Forecasts!N2989,Forecasts!N2995))</x:f>
        <x:v>2.552346320474135</x:v>
      </x:c>
      <x:c r="H461" s="8" t="n">
        <x:f>AVERAGE(Forecasts!O2953,Forecasts!O2959,Forecasts!O2965,Forecasts!O2971,Forecasts!O2977,Forecasts!O2983,Forecasts!O2989,Forecasts!O2995)</x:f>
        <x:v>2.0346382922686947</x:v>
      </x:c>
      <x:c r="I461" s="8" t="n">
        <x:f>AVERAGE(Forecasts!M2953,Forecasts!M2959,Forecasts!M2965,Forecasts!M2971,Forecasts!M2977,Forecasts!M2983,Forecasts!M2989,Forecasts!M2995)</x:f>
        <x:v>1.5664817923335368</x:v>
      </x:c>
      <x:c r="J461" s="8" t="n">
        <x:f>SQRT(AVERAGE(Forecasts!N2317,Forecasts!N2334,Forecasts!N2351,Forecasts!N2368,Forecasts!N2385,Forecasts!N2402,Forecasts!N2419,Forecasts!N2435))</x:f>
        <x:v>1.4142135623730951</x:v>
      </x:c>
      <x:c r="K461" s="8" t="n">
        <x:f>SQRT(AVERAGE(Forecasts!N2319,Forecasts!N2336,Forecasts!N2353,Forecasts!N2370,Forecasts!N2387,Forecasts!N2404,Forecasts!N2421,Forecasts!N2437))</x:f>
        <x:v>3.7664411809232763</x:v>
      </x:c>
    </x:row>
    <x:row r="462" ht="26" customHeight="1">
      <x:c r="A462" s="2"/>
      <x:c r="B462" s="2" t="str">
        <x:v>Health Care / organic_sales_growth</x:v>
      </x:c>
      <x:c r="C462" s="2" t="str">
        <x:v>Prior report</x:v>
      </x:c>
      <x:c r="D462" s="2" t="str">
        <x:v>Last actual</x:v>
      </x:c>
      <x:c r="E462" s="2" t="str">
        <x:v>All available</x:v>
      </x:c>
      <x:c r="F462" s="2" t="n">
        <x:v>12</x:v>
      </x:c>
      <x:c r="G462" s="8" t="n">
        <x:f>SQRT(AVERAGE(Forecasts!N2250,Forecasts!N2266,Forecasts!N2283,Forecasts!N2300,Forecasts!N2317,Forecasts!N2334,Forecasts!N2351,Forecasts!N2368,Forecasts!N2385,Forecasts!N2402,Forecasts!N2419,Forecasts!N2435))</x:f>
        <x:v>3.1754264805429417</x:v>
      </x:c>
      <x:c r="H462" s="8" t="n">
        <x:f>AVERAGE(Forecasts!O2250,Forecasts!O2266,Forecasts!O2283,Forecasts!O2300,Forecasts!O2317,Forecasts!O2334,Forecasts!O2351,Forecasts!O2368,Forecasts!O2385,Forecasts!O2402,Forecasts!O2419,Forecasts!O2435)</x:f>
        <x:v>2.25</x:v>
      </x:c>
      <x:c r="I462" s="8" t="n">
        <x:f>AVERAGE(Forecasts!M2250,Forecasts!M2266,Forecasts!M2283,Forecasts!M2300,Forecasts!M2317,Forecasts!M2334,Forecasts!M2351,Forecasts!M2368,Forecasts!M2385,Forecasts!M2402,Forecasts!M2419,Forecasts!M2435)</x:f>
        <x:v>0.5833333333333334</x:v>
      </x:c>
      <x:c r="J462" s="8" t="n">
        <x:f>SQRT(AVERAGE(Forecasts!N2250,Forecasts!N2266,Forecasts!N2283,Forecasts!N2300,Forecasts!N2317,Forecasts!N2334,Forecasts!N2351,Forecasts!N2368,Forecasts!N2385,Forecasts!N2402,Forecasts!N2419,Forecasts!N2435))</x:f>
        <x:v>3.1754264805429417</x:v>
      </x:c>
      <x:c r="K462" s="8" t="n">
        <x:f>SQRT(AVERAGE(Forecasts!N2252,Forecasts!N2268,Forecasts!N2285,Forecasts!N2302,Forecasts!N2319,Forecasts!N2336,Forecasts!N2353,Forecasts!N2370,Forecasts!N2387,Forecasts!N2404,Forecasts!N2421,Forecasts!N2437))</x:f>
        <x:v>4.397644458567042</x:v>
      </x:c>
    </x:row>
    <x:row r="463" ht="26" customHeight="1">
      <x:c r="A463" s="2"/>
      <x:c r="B463" s="2" t="str">
        <x:v>Health Care / organic_sales_growth</x:v>
      </x:c>
      <x:c r="C463" s="2" t="str">
        <x:v>Prior report</x:v>
      </x:c>
      <x:c r="D463" s="2" t="str">
        <x:v>Last actual</x:v>
      </x:c>
      <x:c r="E463" s="2" t="str">
        <x:v>Recent eight</x:v>
      </x:c>
      <x:c r="F463" s="2" t="n">
        <x:v>8</x:v>
      </x:c>
      <x:c r="G463" s="8" t="n">
        <x:f>SQRT(AVERAGE(Forecasts!N2317,Forecasts!N2334,Forecasts!N2351,Forecasts!N2368,Forecasts!N2385,Forecasts!N2402,Forecasts!N2419,Forecasts!N2435))</x:f>
        <x:v>1.4142135623730951</x:v>
      </x:c>
      <x:c r="H463" s="8" t="n">
        <x:f>AVERAGE(Forecasts!O2317,Forecasts!O2334,Forecasts!O2351,Forecasts!O2368,Forecasts!O2385,Forecasts!O2402,Forecasts!O2419,Forecasts!O2435)</x:f>
        <x:v>1.25</x:v>
      </x:c>
      <x:c r="I463" s="8" t="n">
        <x:f>AVERAGE(Forecasts!M2317,Forecasts!M2334,Forecasts!M2351,Forecasts!M2368,Forecasts!M2385,Forecasts!M2402,Forecasts!M2419,Forecasts!M2435)</x:f>
        <x:v>0</x:v>
      </x:c>
      <x:c r="J463" s="8" t="n">
        <x:f>SQRT(AVERAGE(Forecasts!N2317,Forecasts!N2334,Forecasts!N2351,Forecasts!N2368,Forecasts!N2385,Forecasts!N2402,Forecasts!N2419,Forecasts!N2435))</x:f>
        <x:v>1.4142135623730951</x:v>
      </x:c>
      <x:c r="K463" s="8" t="n">
        <x:f>SQRT(AVERAGE(Forecasts!N2319,Forecasts!N2336,Forecasts!N2353,Forecasts!N2370,Forecasts!N2387,Forecasts!N2404,Forecasts!N2421,Forecasts!N2437))</x:f>
        <x:v>3.7664411809232763</x:v>
      </x:c>
    </x:row>
    <x:row r="464" ht="26" customHeight="1">
      <x:c r="A464" s="2"/>
      <x:c r="B464" s="2" t="str">
        <x:v>Health Care / organic_sales_growth</x:v>
      </x:c>
      <x:c r="C464" s="2" t="str">
        <x:v>Prior report</x:v>
      </x:c>
      <x:c r="D464" s="2" t="str">
        <x:v>Own history</x:v>
      </x:c>
      <x:c r="E464" s="2" t="str">
        <x:v>All available</x:v>
      </x:c>
      <x:c r="F464" s="2" t="n">
        <x:v>12</x:v>
      </x:c>
      <x:c r="G464" s="8" t="n">
        <x:f>SQRT(AVERAGE(Forecasts!N2255,Forecasts!N2271,Forecasts!N2288,Forecasts!N2305,Forecasts!N2322,Forecasts!N2339,Forecasts!N2356,Forecasts!N2373,Forecasts!N2390,Forecasts!N2407,Forecasts!N2423,Forecasts!N2439))</x:f>
        <x:v>4.8010929710375425</x:v>
      </x:c>
      <x:c r="H464" s="8" t="n">
        <x:f>AVERAGE(Forecasts!O2255,Forecasts!O2271,Forecasts!O2288,Forecasts!O2305,Forecasts!O2322,Forecasts!O2339,Forecasts!O2356,Forecasts!O2373,Forecasts!O2390,Forecasts!O2407,Forecasts!O2423,Forecasts!O2439)</x:f>
        <x:v>4.260696479593721</x:v>
      </x:c>
      <x:c r="I464" s="8" t="n">
        <x:f>AVERAGE(Forecasts!M2255,Forecasts!M2271,Forecasts!M2288,Forecasts!M2305,Forecasts!M2322,Forecasts!M2339,Forecasts!M2356,Forecasts!M2373,Forecasts!M2390,Forecasts!M2407,Forecasts!M2423,Forecasts!M2439)</x:f>
        <x:v>4.260696479593721</x:v>
      </x:c>
      <x:c r="J464" s="8" t="n">
        <x:f>SQRT(AVERAGE(Forecasts!N2250,Forecasts!N2266,Forecasts!N2283,Forecasts!N2300,Forecasts!N2317,Forecasts!N2334,Forecasts!N2351,Forecasts!N2368,Forecasts!N2385,Forecasts!N2402,Forecasts!N2419,Forecasts!N2435))</x:f>
        <x:v>3.1754264805429417</x:v>
      </x:c>
      <x:c r="K464" s="8" t="n">
        <x:f>SQRT(AVERAGE(Forecasts!N2252,Forecasts!N2268,Forecasts!N2285,Forecasts!N2302,Forecasts!N2319,Forecasts!N2336,Forecasts!N2353,Forecasts!N2370,Forecasts!N2387,Forecasts!N2404,Forecasts!N2421,Forecasts!N2437))</x:f>
        <x:v>4.397644458567042</x:v>
      </x:c>
    </x:row>
    <x:row r="465" ht="26" customHeight="1">
      <x:c r="A465" s="2"/>
      <x:c r="B465" s="2" t="str">
        <x:v>Health Care / organic_sales_growth</x:v>
      </x:c>
      <x:c r="C465" s="2" t="str">
        <x:v>Prior report</x:v>
      </x:c>
      <x:c r="D465" s="2" t="str">
        <x:v>Own history</x:v>
      </x:c>
      <x:c r="E465" s="2" t="str">
        <x:v>Recent eight</x:v>
      </x:c>
      <x:c r="F465" s="2" t="n">
        <x:v>8</x:v>
      </x:c>
      <x:c r="G465" s="8" t="n">
        <x:f>SQRT(AVERAGE(Forecasts!N2322,Forecasts!N2339,Forecasts!N2356,Forecasts!N2373,Forecasts!N2390,Forecasts!N2407,Forecasts!N2423,Forecasts!N2439))</x:f>
        <x:v>3.7416657478343742</x:v>
      </x:c>
      <x:c r="H465" s="8" t="n">
        <x:f>AVERAGE(Forecasts!O2322,Forecasts!O2339,Forecasts!O2356,Forecasts!O2373,Forecasts!O2390,Forecasts!O2407,Forecasts!O2423,Forecasts!O2439)</x:f>
        <x:v>3.601514155409009</x:v>
      </x:c>
      <x:c r="I465" s="8" t="n">
        <x:f>AVERAGE(Forecasts!M2322,Forecasts!M2339,Forecasts!M2356,Forecasts!M2373,Forecasts!M2390,Forecasts!M2407,Forecasts!M2423,Forecasts!M2439)</x:f>
        <x:v>3.601514155409009</x:v>
      </x:c>
      <x:c r="J465" s="8" t="n">
        <x:f>SQRT(AVERAGE(Forecasts!N2317,Forecasts!N2334,Forecasts!N2351,Forecasts!N2368,Forecasts!N2385,Forecasts!N2402,Forecasts!N2419,Forecasts!N2435))</x:f>
        <x:v>1.4142135623730951</x:v>
      </x:c>
      <x:c r="K465" s="8" t="n">
        <x:f>SQRT(AVERAGE(Forecasts!N2319,Forecasts!N2336,Forecasts!N2353,Forecasts!N2370,Forecasts!N2387,Forecasts!N2404,Forecasts!N2421,Forecasts!N2437))</x:f>
        <x:v>3.7664411809232763</x:v>
      </x:c>
    </x:row>
    <x:row r="466" ht="26" customHeight="1">
      <x:c r="A466" s="2"/>
      <x:c r="B466" s="2" t="str">
        <x:v>Health Care / organic_sales_growth</x:v>
      </x:c>
      <x:c r="C466" s="2" t="str">
        <x:v>Pre-earnings</x:v>
      </x:c>
      <x:c r="D466" s="2" t="str">
        <x:v>Bias correction</x:v>
      </x:c>
      <x:c r="E466" s="2" t="str">
        <x:v>All available</x:v>
      </x:c>
      <x:c r="F466" s="2" t="n">
        <x:v>8</x:v>
      </x:c>
      <x:c r="G466" s="8" t="n">
        <x:f>SQRT(AVERAGE(Forecasts!N2954,Forecasts!N2960,Forecasts!N2966,Forecasts!N2972,Forecasts!N2978,Forecasts!N2984,Forecasts!N2990,Forecasts!N2996))</x:f>
        <x:v>2.1308730973733483</x:v>
      </x:c>
      <x:c r="H466" s="8" t="n">
        <x:f>AVERAGE(Forecasts!O2954,Forecasts!O2960,Forecasts!O2966,Forecasts!O2972,Forecasts!O2978,Forecasts!O2984,Forecasts!O2990,Forecasts!O2996)</x:f>
        <x:v>1.8097172934362042</x:v>
      </x:c>
      <x:c r="I466" s="8" t="n">
        <x:f>AVERAGE(Forecasts!M2954,Forecasts!M2960,Forecasts!M2966,Forecasts!M2972,Forecasts!M2978,Forecasts!M2984,Forecasts!M2990,Forecasts!M2996)</x:f>
        <x:v>-0.39367315959380667</x:v>
      </x:c>
      <x:c r="J466" s="8" t="n">
        <x:f>SQRT(AVERAGE(Forecasts!N2323,Forecasts!N2340,Forecasts!N2357,Forecasts!N2374,Forecasts!N2391,Forecasts!N2408,Forecasts!N2424,Forecasts!N2440))</x:f>
        <x:v>1.4142135623730951</x:v>
      </x:c>
      <x:c r="K466" s="8" t="n">
        <x:f>SQRT(AVERAGE(Forecasts!N2325,Forecasts!N2342,Forecasts!N2359,Forecasts!N2376,Forecasts!N2393,Forecasts!N2410,Forecasts!N2426,Forecasts!N2442))</x:f>
        <x:v>3.517121653513928</x:v>
      </x:c>
    </x:row>
    <x:row r="467" ht="26" customHeight="1">
      <x:c r="A467" s="2"/>
      <x:c r="B467" s="2" t="str">
        <x:v>Health Care / organic_sales_growth</x:v>
      </x:c>
      <x:c r="C467" s="2" t="str">
        <x:v>Pre-earnings</x:v>
      </x:c>
      <x:c r="D467" s="2" t="str">
        <x:v>Bias correction</x:v>
      </x:c>
      <x:c r="E467" s="2" t="str">
        <x:v>Recent eight</x:v>
      </x:c>
      <x:c r="F467" s="2" t="n">
        <x:v>8</x:v>
      </x:c>
      <x:c r="G467" s="8" t="n">
        <x:f>SQRT(AVERAGE(Forecasts!N2954,Forecasts!N2960,Forecasts!N2966,Forecasts!N2972,Forecasts!N2978,Forecasts!N2984,Forecasts!N2990,Forecasts!N2996))</x:f>
        <x:v>2.1308730973733483</x:v>
      </x:c>
      <x:c r="H467" s="8" t="n">
        <x:f>AVERAGE(Forecasts!O2954,Forecasts!O2960,Forecasts!O2966,Forecasts!O2972,Forecasts!O2978,Forecasts!O2984,Forecasts!O2990,Forecasts!O2996)</x:f>
        <x:v>1.8097172934362042</x:v>
      </x:c>
      <x:c r="I467" s="8" t="n">
        <x:f>AVERAGE(Forecasts!M2954,Forecasts!M2960,Forecasts!M2966,Forecasts!M2972,Forecasts!M2978,Forecasts!M2984,Forecasts!M2990,Forecasts!M2996)</x:f>
        <x:v>-0.39367315959380667</x:v>
      </x:c>
      <x:c r="J467" s="8" t="n">
        <x:f>SQRT(AVERAGE(Forecasts!N2323,Forecasts!N2340,Forecasts!N2357,Forecasts!N2374,Forecasts!N2391,Forecasts!N2408,Forecasts!N2424,Forecasts!N2440))</x:f>
        <x:v>1.4142135623730951</x:v>
      </x:c>
      <x:c r="K467" s="8" t="n">
        <x:f>SQRT(AVERAGE(Forecasts!N2325,Forecasts!N2342,Forecasts!N2359,Forecasts!N2376,Forecasts!N2393,Forecasts!N2410,Forecasts!N2426,Forecasts!N2442))</x:f>
        <x:v>3.517121653513928</x:v>
      </x:c>
    </x:row>
    <x:row r="468" ht="26" customHeight="1">
      <x:c r="A468" s="2"/>
      <x:c r="B468" s="2" t="str">
        <x:v>Health Care / organic_sales_growth</x:v>
      </x:c>
      <x:c r="C468" s="2" t="str">
        <x:v>Pre-earnings</x:v>
      </x:c>
      <x:c r="D468" s="2" t="str">
        <x:v>Broad lag 1</x:v>
      </x:c>
      <x:c r="E468" s="2" t="str">
        <x:v>All available</x:v>
      </x:c>
      <x:c r="F468" s="2" t="n">
        <x:v>12</x:v>
      </x:c>
      <x:c r="G468" s="8" t="n">
        <x:f>SQRT(AVERAGE(Forecasts!N2259,Forecasts!N2275,Forecasts!N2292,Forecasts!N2309,Forecasts!N2326,Forecasts!N2343,Forecasts!N2360,Forecasts!N2377,Forecasts!N2394,Forecasts!N2411,Forecasts!N2427,Forecasts!N2443))</x:f>
        <x:v>4.831851257601173</x:v>
      </x:c>
      <x:c r="H468" s="8" t="n">
        <x:f>AVERAGE(Forecasts!O2259,Forecasts!O2275,Forecasts!O2292,Forecasts!O2309,Forecasts!O2326,Forecasts!O2343,Forecasts!O2360,Forecasts!O2377,Forecasts!O2394,Forecasts!O2411,Forecasts!O2427,Forecasts!O2443)</x:f>
        <x:v>4.581582434325825</x:v>
      </x:c>
      <x:c r="I468" s="8" t="n">
        <x:f>AVERAGE(Forecasts!M2259,Forecasts!M2275,Forecasts!M2292,Forecasts!M2309,Forecasts!M2326,Forecasts!M2343,Forecasts!M2360,Forecasts!M2377,Forecasts!M2394,Forecasts!M2411,Forecasts!M2427,Forecasts!M2443)</x:f>
        <x:v>4.426839187775579</x:v>
      </x:c>
      <x:c r="J468" s="8" t="n">
        <x:f>SQRT(AVERAGE(Forecasts!N2256,Forecasts!N2272,Forecasts!N2289,Forecasts!N2306,Forecasts!N2323,Forecasts!N2340,Forecasts!N2357,Forecasts!N2374,Forecasts!N2391,Forecasts!N2408,Forecasts!N2424,Forecasts!N2440))</x:f>
        <x:v>3.1754264805429417</x:v>
      </x:c>
      <x:c r="K468" s="8" t="n">
        <x:f>SQRT(AVERAGE(Forecasts!N2258,Forecasts!N2274,Forecasts!N2291,Forecasts!N2308,Forecasts!N2325,Forecasts!N2342,Forecasts!N2359,Forecasts!N2376,Forecasts!N2393,Forecasts!N2410,Forecasts!N2426,Forecasts!N2442))</x:f>
        <x:v>4.208783586954671</x:v>
      </x:c>
    </x:row>
    <x:row r="469" ht="26" customHeight="1">
      <x:c r="A469" s="2"/>
      <x:c r="B469" s="2" t="str">
        <x:v>Health Care / organic_sales_growth</x:v>
      </x:c>
      <x:c r="C469" s="2" t="str">
        <x:v>Pre-earnings</x:v>
      </x:c>
      <x:c r="D469" s="2" t="str">
        <x:v>Broad lag 1</x:v>
      </x:c>
      <x:c r="E469" s="2" t="str">
        <x:v>Recent eight</x:v>
      </x:c>
      <x:c r="F469" s="2" t="n">
        <x:v>8</x:v>
      </x:c>
      <x:c r="G469" s="8" t="n">
        <x:f>SQRT(AVERAGE(Forecasts!N2326,Forecasts!N2343,Forecasts!N2360,Forecasts!N2377,Forecasts!N2394,Forecasts!N2411,Forecasts!N2427,Forecasts!N2443))</x:f>
        <x:v>4.590425623384192</x:v>
      </x:c>
      <x:c r="H469" s="8" t="n">
        <x:f>AVERAGE(Forecasts!O2326,Forecasts!O2343,Forecasts!O2360,Forecasts!O2377,Forecasts!O2394,Forecasts!O2411,Forecasts!O2427,Forecasts!O2443)</x:f>
        <x:v>4.508732234746071</x:v>
      </x:c>
      <x:c r="I469" s="8" t="n">
        <x:f>AVERAGE(Forecasts!M2326,Forecasts!M2343,Forecasts!M2360,Forecasts!M2377,Forecasts!M2394,Forecasts!M2411,Forecasts!M2427,Forecasts!M2443)</x:f>
        <x:v>4.508732234746071</x:v>
      </x:c>
      <x:c r="J469" s="8" t="n">
        <x:f>SQRT(AVERAGE(Forecasts!N2323,Forecasts!N2340,Forecasts!N2357,Forecasts!N2374,Forecasts!N2391,Forecasts!N2408,Forecasts!N2424,Forecasts!N2440))</x:f>
        <x:v>1.4142135623730951</x:v>
      </x:c>
      <x:c r="K469" s="8" t="n">
        <x:f>SQRT(AVERAGE(Forecasts!N2325,Forecasts!N2342,Forecasts!N2359,Forecasts!N2376,Forecasts!N2393,Forecasts!N2410,Forecasts!N2426,Forecasts!N2442))</x:f>
        <x:v>3.517121653513928</x:v>
      </x:c>
    </x:row>
    <x:row r="470" ht="26" customHeight="1">
      <x:c r="A470" s="2"/>
      <x:c r="B470" s="2" t="str">
        <x:v>Health Care / organic_sales_growth</x:v>
      </x:c>
      <x:c r="C470" s="2" t="str">
        <x:v>Pre-earnings</x:v>
      </x:c>
      <x:c r="D470" s="2" t="str">
        <x:v>Broad market</x:v>
      </x:c>
      <x:c r="E470" s="2" t="str">
        <x:v>All available</x:v>
      </x:c>
      <x:c r="F470" s="2" t="n">
        <x:v>12</x:v>
      </x:c>
      <x:c r="G470" s="8" t="n">
        <x:f>SQRT(AVERAGE(Forecasts!N2258,Forecasts!N2274,Forecasts!N2291,Forecasts!N2308,Forecasts!N2325,Forecasts!N2342,Forecasts!N2359,Forecasts!N2376,Forecasts!N2393,Forecasts!N2410,Forecasts!N2426,Forecasts!N2442))</x:f>
        <x:v>4.208783586954671</x:v>
      </x:c>
      <x:c r="H470" s="8" t="n">
        <x:f>AVERAGE(Forecasts!O2258,Forecasts!O2274,Forecasts!O2291,Forecasts!O2308,Forecasts!O2325,Forecasts!O2342,Forecasts!O2359,Forecasts!O2376,Forecasts!O2393,Forecasts!O2410,Forecasts!O2426,Forecasts!O2442)</x:f>
        <x:v>3.6725051188779934</x:v>
      </x:c>
      <x:c r="I470" s="8" t="n">
        <x:f>AVERAGE(Forecasts!M2258,Forecasts!M2274,Forecasts!M2291,Forecasts!M2308,Forecasts!M2325,Forecasts!M2342,Forecasts!M2359,Forecasts!M2376,Forecasts!M2393,Forecasts!M2410,Forecasts!M2426,Forecasts!M2442)</x:f>
        <x:v>3.539582421519819</x:v>
      </x:c>
      <x:c r="J470" s="8" t="n">
        <x:f>SQRT(AVERAGE(Forecasts!N2256,Forecasts!N2272,Forecasts!N2289,Forecasts!N2306,Forecasts!N2323,Forecasts!N2340,Forecasts!N2357,Forecasts!N2374,Forecasts!N2391,Forecasts!N2408,Forecasts!N2424,Forecasts!N2440))</x:f>
        <x:v>3.1754264805429417</x:v>
      </x:c>
      <x:c r="K470" s="8" t="n">
        <x:f>SQRT(AVERAGE(Forecasts!N2258,Forecasts!N2274,Forecasts!N2291,Forecasts!N2308,Forecasts!N2325,Forecasts!N2342,Forecasts!N2359,Forecasts!N2376,Forecasts!N2393,Forecasts!N2410,Forecasts!N2426,Forecasts!N2442))</x:f>
        <x:v>4.208783586954671</x:v>
      </x:c>
    </x:row>
    <x:row r="471" ht="26" customHeight="1">
      <x:c r="A471" s="2"/>
      <x:c r="B471" s="2" t="str">
        <x:v>Health Care / organic_sales_growth</x:v>
      </x:c>
      <x:c r="C471" s="2" t="str">
        <x:v>Pre-earnings</x:v>
      </x:c>
      <x:c r="D471" s="2" t="str">
        <x:v>Broad market</x:v>
      </x:c>
      <x:c r="E471" s="2" t="str">
        <x:v>Recent eight</x:v>
      </x:c>
      <x:c r="F471" s="2" t="n">
        <x:v>8</x:v>
      </x:c>
      <x:c r="G471" s="8" t="n">
        <x:f>SQRT(AVERAGE(Forecasts!N2325,Forecasts!N2342,Forecasts!N2359,Forecasts!N2376,Forecasts!N2393,Forecasts!N2410,Forecasts!N2426,Forecasts!N2442))</x:f>
        <x:v>3.517121653513928</x:v>
      </x:c>
      <x:c r="H471" s="8" t="n">
        <x:f>AVERAGE(Forecasts!O2325,Forecasts!O2342,Forecasts!O2359,Forecasts!O2376,Forecasts!O2393,Forecasts!O2410,Forecasts!O2426,Forecasts!O2442)</x:f>
        <x:v>3.1763723781541033</x:v>
      </x:c>
      <x:c r="I471" s="8" t="n">
        <x:f>AVERAGE(Forecasts!M2325,Forecasts!M2342,Forecasts!M2359,Forecasts!M2376,Forecasts!M2393,Forecasts!M2410,Forecasts!M2426,Forecasts!M2442)</x:f>
        <x:v>3.1763723781541033</x:v>
      </x:c>
      <x:c r="J471" s="8" t="n">
        <x:f>SQRT(AVERAGE(Forecasts!N2323,Forecasts!N2340,Forecasts!N2357,Forecasts!N2374,Forecasts!N2391,Forecasts!N2408,Forecasts!N2424,Forecasts!N2440))</x:f>
        <x:v>1.4142135623730951</x:v>
      </x:c>
      <x:c r="K471" s="8" t="n">
        <x:f>SQRT(AVERAGE(Forecasts!N2325,Forecasts!N2342,Forecasts!N2359,Forecasts!N2376,Forecasts!N2393,Forecasts!N2410,Forecasts!N2426,Forecasts!N2442))</x:f>
        <x:v>3.517121653513928</x:v>
      </x:c>
    </x:row>
    <x:row r="472" ht="26" customHeight="1">
      <x:c r="A472" s="2"/>
      <x:c r="B472" s="2" t="str">
        <x:v>Health Care / organic_sales_growth</x:v>
      </x:c>
      <x:c r="C472" s="2" t="str">
        <x:v>Pre-earnings</x:v>
      </x:c>
      <x:c r="D472" s="2" t="str">
        <x:v>Broad rolling 8</x:v>
      </x:c>
      <x:c r="E472" s="2" t="str">
        <x:v>All available</x:v>
      </x:c>
      <x:c r="F472" s="2" t="n">
        <x:v>12</x:v>
      </x:c>
      <x:c r="G472" s="8" t="n">
        <x:f>SQRT(AVERAGE(Forecasts!N2260,Forecasts!N2276,Forecasts!N2293,Forecasts!N2310,Forecasts!N2327,Forecasts!N2344,Forecasts!N2361,Forecasts!N2378,Forecasts!N2395,Forecasts!N2412,Forecasts!N2428,Forecasts!N2444))</x:f>
        <x:v>3.8192699266777224</x:v>
      </x:c>
      <x:c r="H472" s="8" t="n">
        <x:f>AVERAGE(Forecasts!O2260,Forecasts!O2276,Forecasts!O2293,Forecasts!O2310,Forecasts!O2327,Forecasts!O2344,Forecasts!O2361,Forecasts!O2378,Forecasts!O2395,Forecasts!O2412,Forecasts!O2428,Forecasts!O2444)</x:f>
        <x:v>3.091037780001718</x:v>
      </x:c>
      <x:c r="I472" s="8" t="n">
        <x:f>AVERAGE(Forecasts!M2260,Forecasts!M2276,Forecasts!M2293,Forecasts!M2310,Forecasts!M2327,Forecasts!M2344,Forecasts!M2361,Forecasts!M2378,Forecasts!M2395,Forecasts!M2412,Forecasts!M2428,Forecasts!M2444)</x:f>
        <x:v>2.6939279088907075</x:v>
      </x:c>
      <x:c r="J472" s="8" t="n">
        <x:f>SQRT(AVERAGE(Forecasts!N2256,Forecasts!N2272,Forecasts!N2289,Forecasts!N2306,Forecasts!N2323,Forecasts!N2340,Forecasts!N2357,Forecasts!N2374,Forecasts!N2391,Forecasts!N2408,Forecasts!N2424,Forecasts!N2440))</x:f>
        <x:v>3.1754264805429417</x:v>
      </x:c>
      <x:c r="K472" s="8" t="n">
        <x:f>SQRT(AVERAGE(Forecasts!N2258,Forecasts!N2274,Forecasts!N2291,Forecasts!N2308,Forecasts!N2325,Forecasts!N2342,Forecasts!N2359,Forecasts!N2376,Forecasts!N2393,Forecasts!N2410,Forecasts!N2426,Forecasts!N2442))</x:f>
        <x:v>4.208783586954671</x:v>
      </x:c>
    </x:row>
    <x:row r="473" ht="26" customHeight="1">
      <x:c r="A473" s="2"/>
      <x:c r="B473" s="2" t="str">
        <x:v>Health Care / organic_sales_growth</x:v>
      </x:c>
      <x:c r="C473" s="2" t="str">
        <x:v>Pre-earnings</x:v>
      </x:c>
      <x:c r="D473" s="2" t="str">
        <x:v>Broad rolling 8</x:v>
      </x:c>
      <x:c r="E473" s="2" t="str">
        <x:v>Recent eight</x:v>
      </x:c>
      <x:c r="F473" s="2" t="n">
        <x:v>8</x:v>
      </x:c>
      <x:c r="G473" s="8" t="n">
        <x:f>SQRT(AVERAGE(Forecasts!N2327,Forecasts!N2344,Forecasts!N2361,Forecasts!N2378,Forecasts!N2395,Forecasts!N2412,Forecasts!N2428,Forecasts!N2444))</x:f>
        <x:v>2.163081293290004</x:v>
      </x:c>
      <x:c r="H473" s="8" t="n">
        <x:f>AVERAGE(Forecasts!O2327,Forecasts!O2344,Forecasts!O2361,Forecasts!O2378,Forecasts!O2395,Forecasts!O2412,Forecasts!O2428,Forecasts!O2444)</x:f>
        <x:v>1.925542657429661</x:v>
      </x:c>
      <x:c r="I473" s="8" t="n">
        <x:f>AVERAGE(Forecasts!M2327,Forecasts!M2344,Forecasts!M2361,Forecasts!M2378,Forecasts!M2395,Forecasts!M2412,Forecasts!M2428,Forecasts!M2444)</x:f>
        <x:v>1.8371506364691719</x:v>
      </x:c>
      <x:c r="J473" s="8" t="n">
        <x:f>SQRT(AVERAGE(Forecasts!N2323,Forecasts!N2340,Forecasts!N2357,Forecasts!N2374,Forecasts!N2391,Forecasts!N2408,Forecasts!N2424,Forecasts!N2440))</x:f>
        <x:v>1.4142135623730951</x:v>
      </x:c>
      <x:c r="K473" s="8" t="n">
        <x:f>SQRT(AVERAGE(Forecasts!N2325,Forecasts!N2342,Forecasts!N2359,Forecasts!N2376,Forecasts!N2393,Forecasts!N2410,Forecasts!N2426,Forecasts!N2442))</x:f>
        <x:v>3.517121653513928</x:v>
      </x:c>
    </x:row>
    <x:row r="474" ht="26" customHeight="1">
      <x:c r="A474" s="2"/>
      <x:c r="B474" s="2" t="str">
        <x:v>Health Care / organic_sales_growth</x:v>
      </x:c>
      <x:c r="C474" s="2" t="str">
        <x:v>Pre-earnings</x:v>
      </x:c>
      <x:c r="D474" s="2" t="str">
        <x:v>Four-quarter mean</x:v>
      </x:c>
      <x:c r="E474" s="2" t="str">
        <x:v>All available</x:v>
      </x:c>
      <x:c r="F474" s="2" t="n">
        <x:v>12</x:v>
      </x:c>
      <x:c r="G474" s="8" t="n">
        <x:f>SQRT(AVERAGE(Forecasts!N2257,Forecasts!N2273,Forecasts!N2290,Forecasts!N2307,Forecasts!N2324,Forecasts!N2341,Forecasts!N2358,Forecasts!N2375,Forecasts!N2392,Forecasts!N2409,Forecasts!N2425,Forecasts!N2441))</x:f>
        <x:v>2.6575364531836625</x:v>
      </x:c>
      <x:c r="H474" s="8" t="n">
        <x:f>AVERAGE(Forecasts!O2257,Forecasts!O2273,Forecasts!O2290,Forecasts!O2307,Forecasts!O2324,Forecasts!O2341,Forecasts!O2358,Forecasts!O2375,Forecasts!O2392,Forecasts!O2409,Forecasts!O2425,Forecasts!O2441)</x:f>
        <x:v>1.9583333333333333</x:v>
      </x:c>
      <x:c r="I474" s="8" t="n">
        <x:f>AVERAGE(Forecasts!M2257,Forecasts!M2273,Forecasts!M2290,Forecasts!M2307,Forecasts!M2324,Forecasts!M2341,Forecasts!M2358,Forecasts!M2375,Forecasts!M2392,Forecasts!M2409,Forecasts!M2425,Forecasts!M2441)</x:f>
        <x:v>1.3333333333333333</x:v>
      </x:c>
      <x:c r="J474" s="8" t="n">
        <x:f>SQRT(AVERAGE(Forecasts!N2256,Forecasts!N2272,Forecasts!N2289,Forecasts!N2306,Forecasts!N2323,Forecasts!N2340,Forecasts!N2357,Forecasts!N2374,Forecasts!N2391,Forecasts!N2408,Forecasts!N2424,Forecasts!N2440))</x:f>
        <x:v>3.1754264805429417</x:v>
      </x:c>
      <x:c r="K474" s="8" t="n">
        <x:f>SQRT(AVERAGE(Forecasts!N2258,Forecasts!N2274,Forecasts!N2291,Forecasts!N2308,Forecasts!N2325,Forecasts!N2342,Forecasts!N2359,Forecasts!N2376,Forecasts!N2393,Forecasts!N2410,Forecasts!N2426,Forecasts!N2442))</x:f>
        <x:v>4.208783586954671</x:v>
      </x:c>
    </x:row>
    <x:row r="475" ht="26" customHeight="1">
      <x:c r="A475" s="2"/>
      <x:c r="B475" s="2" t="str">
        <x:v>Health Care / organic_sales_growth</x:v>
      </x:c>
      <x:c r="C475" s="2" t="str">
        <x:v>Pre-earnings</x:v>
      </x:c>
      <x:c r="D475" s="2" t="str">
        <x:v>Four-quarter mean</x:v>
      </x:c>
      <x:c r="E475" s="2" t="str">
        <x:v>Recent eight</x:v>
      </x:c>
      <x:c r="F475" s="2" t="n">
        <x:v>8</x:v>
      </x:c>
      <x:c r="G475" s="8" t="n">
        <x:f>SQRT(AVERAGE(Forecasts!N2324,Forecasts!N2341,Forecasts!N2358,Forecasts!N2375,Forecasts!N2392,Forecasts!N2409,Forecasts!N2425,Forecasts!N2441))</x:f>
        <x:v>1.118033988749895</x:v>
      </x:c>
      <x:c r="H475" s="8" t="n">
        <x:f>AVERAGE(Forecasts!O2324,Forecasts!O2341,Forecasts!O2358,Forecasts!O2375,Forecasts!O2392,Forecasts!O2409,Forecasts!O2425,Forecasts!O2441)</x:f>
        <x:v>0.875</x:v>
      </x:c>
      <x:c r="I475" s="8" t="n">
        <x:f>AVERAGE(Forecasts!M2324,Forecasts!M2341,Forecasts!M2358,Forecasts!M2375,Forecasts!M2392,Forecasts!M2409,Forecasts!M2425,Forecasts!M2441)</x:f>
        <x:v>0.5625</x:v>
      </x:c>
      <x:c r="J475" s="8" t="n">
        <x:f>SQRT(AVERAGE(Forecasts!N2323,Forecasts!N2340,Forecasts!N2357,Forecasts!N2374,Forecasts!N2391,Forecasts!N2408,Forecasts!N2424,Forecasts!N2440))</x:f>
        <x:v>1.4142135623730951</x:v>
      </x:c>
      <x:c r="K475" s="8" t="n">
        <x:f>SQRT(AVERAGE(Forecasts!N2325,Forecasts!N2342,Forecasts!N2359,Forecasts!N2376,Forecasts!N2393,Forecasts!N2410,Forecasts!N2426,Forecasts!N2442))</x:f>
        <x:v>3.517121653513928</x:v>
      </x:c>
    </x:row>
    <x:row r="476" ht="26" customHeight="1">
      <x:c r="A476" s="2"/>
      <x:c r="B476" s="2" t="str">
        <x:v>Health Care / organic_sales_growth</x:v>
      </x:c>
      <x:c r="C476" s="2" t="str">
        <x:v>Pre-earnings</x:v>
      </x:c>
      <x:c r="D476" s="2" t="str">
        <x:v>Half correction</x:v>
      </x:c>
      <x:c r="E476" s="2" t="str">
        <x:v>All available</x:v>
      </x:c>
      <x:c r="F476" s="2" t="n">
        <x:v>8</x:v>
      </x:c>
      <x:c r="G476" s="8" t="n">
        <x:f>SQRT(AVERAGE(Forecasts!N2955,Forecasts!N2961,Forecasts!N2967,Forecasts!N2973,Forecasts!N2979,Forecasts!N2985,Forecasts!N2991,Forecasts!N2997))</x:f>
        <x:v>2.2657573850294286</x:v>
      </x:c>
      <x:c r="H476" s="8" t="n">
        <x:f>AVERAGE(Forecasts!O2955,Forecasts!O2961,Forecasts!O2967,Forecasts!O2973,Forecasts!O2979,Forecasts!O2985,Forecasts!O2991,Forecasts!O2997)</x:f>
        <x:v>1.7037043781506687</x:v>
      </x:c>
      <x:c r="I476" s="8" t="n">
        <x:f>AVERAGE(Forecasts!M2955,Forecasts!M2961,Forecasts!M2967,Forecasts!M2973,Forecasts!M2979,Forecasts!M2985,Forecasts!M2991,Forecasts!M2997)</x:f>
        <x:v>1.391349609280148</x:v>
      </x:c>
      <x:c r="J476" s="8" t="n">
        <x:f>SQRT(AVERAGE(Forecasts!N2323,Forecasts!N2340,Forecasts!N2357,Forecasts!N2374,Forecasts!N2391,Forecasts!N2408,Forecasts!N2424,Forecasts!N2440))</x:f>
        <x:v>1.4142135623730951</x:v>
      </x:c>
      <x:c r="K476" s="8" t="n">
        <x:f>SQRT(AVERAGE(Forecasts!N2325,Forecasts!N2342,Forecasts!N2359,Forecasts!N2376,Forecasts!N2393,Forecasts!N2410,Forecasts!N2426,Forecasts!N2442))</x:f>
        <x:v>3.517121653513928</x:v>
      </x:c>
    </x:row>
    <x:row r="477" ht="26" customHeight="1">
      <x:c r="A477" s="2"/>
      <x:c r="B477" s="2" t="str">
        <x:v>Health Care / organic_sales_growth</x:v>
      </x:c>
      <x:c r="C477" s="2" t="str">
        <x:v>Pre-earnings</x:v>
      </x:c>
      <x:c r="D477" s="2" t="str">
        <x:v>Half correction</x:v>
      </x:c>
      <x:c r="E477" s="2" t="str">
        <x:v>Recent eight</x:v>
      </x:c>
      <x:c r="F477" s="2" t="n">
        <x:v>8</x:v>
      </x:c>
      <x:c r="G477" s="8" t="n">
        <x:f>SQRT(AVERAGE(Forecasts!N2955,Forecasts!N2961,Forecasts!N2967,Forecasts!N2973,Forecasts!N2979,Forecasts!N2985,Forecasts!N2991,Forecasts!N2997))</x:f>
        <x:v>2.2657573850294286</x:v>
      </x:c>
      <x:c r="H477" s="8" t="n">
        <x:f>AVERAGE(Forecasts!O2955,Forecasts!O2961,Forecasts!O2967,Forecasts!O2973,Forecasts!O2979,Forecasts!O2985,Forecasts!O2991,Forecasts!O2997)</x:f>
        <x:v>1.7037043781506687</x:v>
      </x:c>
      <x:c r="I477" s="8" t="n">
        <x:f>AVERAGE(Forecasts!M2955,Forecasts!M2961,Forecasts!M2967,Forecasts!M2973,Forecasts!M2979,Forecasts!M2985,Forecasts!M2991,Forecasts!M2997)</x:f>
        <x:v>1.391349609280148</x:v>
      </x:c>
      <x:c r="J477" s="8" t="n">
        <x:f>SQRT(AVERAGE(Forecasts!N2323,Forecasts!N2340,Forecasts!N2357,Forecasts!N2374,Forecasts!N2391,Forecasts!N2408,Forecasts!N2424,Forecasts!N2440))</x:f>
        <x:v>1.4142135623730951</x:v>
      </x:c>
      <x:c r="K477" s="8" t="n">
        <x:f>SQRT(AVERAGE(Forecasts!N2325,Forecasts!N2342,Forecasts!N2359,Forecasts!N2376,Forecasts!N2393,Forecasts!N2410,Forecasts!N2426,Forecasts!N2442))</x:f>
        <x:v>3.517121653513928</x:v>
      </x:c>
    </x:row>
    <x:row r="478" ht="26" customHeight="1">
      <x:c r="A478" s="2"/>
      <x:c r="B478" s="2" t="str">
        <x:v>Health Care / organic_sales_growth</x:v>
      </x:c>
      <x:c r="C478" s="2" t="str">
        <x:v>Pre-earnings</x:v>
      </x:c>
      <x:c r="D478" s="2" t="str">
        <x:v>Last actual</x:v>
      </x:c>
      <x:c r="E478" s="2" t="str">
        <x:v>All available</x:v>
      </x:c>
      <x:c r="F478" s="2" t="n">
        <x:v>12</x:v>
      </x:c>
      <x:c r="G478" s="8" t="n">
        <x:f>SQRT(AVERAGE(Forecasts!N2256,Forecasts!N2272,Forecasts!N2289,Forecasts!N2306,Forecasts!N2323,Forecasts!N2340,Forecasts!N2357,Forecasts!N2374,Forecasts!N2391,Forecasts!N2408,Forecasts!N2424,Forecasts!N2440))</x:f>
        <x:v>3.1754264805429417</x:v>
      </x:c>
      <x:c r="H478" s="8" t="n">
        <x:f>AVERAGE(Forecasts!O2256,Forecasts!O2272,Forecasts!O2289,Forecasts!O2306,Forecasts!O2323,Forecasts!O2340,Forecasts!O2357,Forecasts!O2374,Forecasts!O2391,Forecasts!O2408,Forecasts!O2424,Forecasts!O2440)</x:f>
        <x:v>2.25</x:v>
      </x:c>
      <x:c r="I478" s="8" t="n">
        <x:f>AVERAGE(Forecasts!M2256,Forecasts!M2272,Forecasts!M2289,Forecasts!M2306,Forecasts!M2323,Forecasts!M2340,Forecasts!M2357,Forecasts!M2374,Forecasts!M2391,Forecasts!M2408,Forecasts!M2424,Forecasts!M2440)</x:f>
        <x:v>0.5833333333333334</x:v>
      </x:c>
      <x:c r="J478" s="8" t="n">
        <x:f>SQRT(AVERAGE(Forecasts!N2256,Forecasts!N2272,Forecasts!N2289,Forecasts!N2306,Forecasts!N2323,Forecasts!N2340,Forecasts!N2357,Forecasts!N2374,Forecasts!N2391,Forecasts!N2408,Forecasts!N2424,Forecasts!N2440))</x:f>
        <x:v>3.1754264805429417</x:v>
      </x:c>
      <x:c r="K478" s="8" t="n">
        <x:f>SQRT(AVERAGE(Forecasts!N2258,Forecasts!N2274,Forecasts!N2291,Forecasts!N2308,Forecasts!N2325,Forecasts!N2342,Forecasts!N2359,Forecasts!N2376,Forecasts!N2393,Forecasts!N2410,Forecasts!N2426,Forecasts!N2442))</x:f>
        <x:v>4.208783586954671</x:v>
      </x:c>
    </x:row>
    <x:row r="479" ht="26" customHeight="1">
      <x:c r="A479" s="2"/>
      <x:c r="B479" s="2" t="str">
        <x:v>Health Care / organic_sales_growth</x:v>
      </x:c>
      <x:c r="C479" s="2" t="str">
        <x:v>Pre-earnings</x:v>
      </x:c>
      <x:c r="D479" s="2" t="str">
        <x:v>Last actual</x:v>
      </x:c>
      <x:c r="E479" s="2" t="str">
        <x:v>Recent eight</x:v>
      </x:c>
      <x:c r="F479" s="2" t="n">
        <x:v>8</x:v>
      </x:c>
      <x:c r="G479" s="8" t="n">
        <x:f>SQRT(AVERAGE(Forecasts!N2323,Forecasts!N2340,Forecasts!N2357,Forecasts!N2374,Forecasts!N2391,Forecasts!N2408,Forecasts!N2424,Forecasts!N2440))</x:f>
        <x:v>1.4142135623730951</x:v>
      </x:c>
      <x:c r="H479" s="8" t="n">
        <x:f>AVERAGE(Forecasts!O2323,Forecasts!O2340,Forecasts!O2357,Forecasts!O2374,Forecasts!O2391,Forecasts!O2408,Forecasts!O2424,Forecasts!O2440)</x:f>
        <x:v>1.25</x:v>
      </x:c>
      <x:c r="I479" s="8" t="n">
        <x:f>AVERAGE(Forecasts!M2323,Forecasts!M2340,Forecasts!M2357,Forecasts!M2374,Forecasts!M2391,Forecasts!M2408,Forecasts!M2424,Forecasts!M2440)</x:f>
        <x:v>0</x:v>
      </x:c>
      <x:c r="J479" s="8" t="n">
        <x:f>SQRT(AVERAGE(Forecasts!N2323,Forecasts!N2340,Forecasts!N2357,Forecasts!N2374,Forecasts!N2391,Forecasts!N2408,Forecasts!N2424,Forecasts!N2440))</x:f>
        <x:v>1.4142135623730951</x:v>
      </x:c>
      <x:c r="K479" s="8" t="n">
        <x:f>SQRT(AVERAGE(Forecasts!N2325,Forecasts!N2342,Forecasts!N2359,Forecasts!N2376,Forecasts!N2393,Forecasts!N2410,Forecasts!N2426,Forecasts!N2442))</x:f>
        <x:v>3.517121653513928</x:v>
      </x:c>
    </x:row>
    <x:row r="480" ht="26" customHeight="1">
      <x:c r="A480" s="2"/>
      <x:c r="B480" s="2" t="str">
        <x:v>Health Care / organic_sales_growth</x:v>
      </x:c>
      <x:c r="C480" s="2" t="str">
        <x:v>Pre-earnings</x:v>
      </x:c>
      <x:c r="D480" s="2" t="str">
        <x:v>Own history</x:v>
      </x:c>
      <x:c r="E480" s="2" t="str">
        <x:v>All available</x:v>
      </x:c>
      <x:c r="F480" s="2" t="n">
        <x:v>12</x:v>
      </x:c>
      <x:c r="G480" s="8" t="n">
        <x:f>SQRT(AVERAGE(Forecasts!N2261,Forecasts!N2277,Forecasts!N2294,Forecasts!N2311,Forecasts!N2328,Forecasts!N2345,Forecasts!N2362,Forecasts!N2379,Forecasts!N2396,Forecasts!N2413,Forecasts!N2429,Forecasts!N2445))</x:f>
        <x:v>4.8010929710375425</x:v>
      </x:c>
      <x:c r="H480" s="8" t="n">
        <x:f>AVERAGE(Forecasts!O2261,Forecasts!O2277,Forecasts!O2294,Forecasts!O2311,Forecasts!O2328,Forecasts!O2345,Forecasts!O2362,Forecasts!O2379,Forecasts!O2396,Forecasts!O2413,Forecasts!O2429,Forecasts!O2445)</x:f>
        <x:v>4.260696479593721</x:v>
      </x:c>
      <x:c r="I480" s="8" t="n">
        <x:f>AVERAGE(Forecasts!M2261,Forecasts!M2277,Forecasts!M2294,Forecasts!M2311,Forecasts!M2328,Forecasts!M2345,Forecasts!M2362,Forecasts!M2379,Forecasts!M2396,Forecasts!M2413,Forecasts!M2429,Forecasts!M2445)</x:f>
        <x:v>4.260696479593721</x:v>
      </x:c>
      <x:c r="J480" s="8" t="n">
        <x:f>SQRT(AVERAGE(Forecasts!N2256,Forecasts!N2272,Forecasts!N2289,Forecasts!N2306,Forecasts!N2323,Forecasts!N2340,Forecasts!N2357,Forecasts!N2374,Forecasts!N2391,Forecasts!N2408,Forecasts!N2424,Forecasts!N2440))</x:f>
        <x:v>3.1754264805429417</x:v>
      </x:c>
      <x:c r="K480" s="8" t="n">
        <x:f>SQRT(AVERAGE(Forecasts!N2258,Forecasts!N2274,Forecasts!N2291,Forecasts!N2308,Forecasts!N2325,Forecasts!N2342,Forecasts!N2359,Forecasts!N2376,Forecasts!N2393,Forecasts!N2410,Forecasts!N2426,Forecasts!N2442))</x:f>
        <x:v>4.208783586954671</x:v>
      </x:c>
    </x:row>
    <x:row r="481" ht="26" customHeight="1">
      <x:c r="A481" s="2"/>
      <x:c r="B481" s="2" t="str">
        <x:v>Health Care / organic_sales_growth</x:v>
      </x:c>
      <x:c r="C481" s="2" t="str">
        <x:v>Pre-earnings</x:v>
      </x:c>
      <x:c r="D481" s="2" t="str">
        <x:v>Own history</x:v>
      </x:c>
      <x:c r="E481" s="2" t="str">
        <x:v>Recent eight</x:v>
      </x:c>
      <x:c r="F481" s="2" t="n">
        <x:v>8</x:v>
      </x:c>
      <x:c r="G481" s="8" t="n">
        <x:f>SQRT(AVERAGE(Forecasts!N2328,Forecasts!N2345,Forecasts!N2362,Forecasts!N2379,Forecasts!N2396,Forecasts!N2413,Forecasts!N2429,Forecasts!N2445))</x:f>
        <x:v>3.7416657478343742</x:v>
      </x:c>
      <x:c r="H481" s="8" t="n">
        <x:f>AVERAGE(Forecasts!O2328,Forecasts!O2345,Forecasts!O2362,Forecasts!O2379,Forecasts!O2396,Forecasts!O2413,Forecasts!O2429,Forecasts!O2445)</x:f>
        <x:v>3.601514155409009</x:v>
      </x:c>
      <x:c r="I481" s="8" t="n">
        <x:f>AVERAGE(Forecasts!M2328,Forecasts!M2345,Forecasts!M2362,Forecasts!M2379,Forecasts!M2396,Forecasts!M2413,Forecasts!M2429,Forecasts!M2445)</x:f>
        <x:v>3.601514155409009</x:v>
      </x:c>
      <x:c r="J481" s="8" t="n">
        <x:f>SQRT(AVERAGE(Forecasts!N2323,Forecasts!N2340,Forecasts!N2357,Forecasts!N2374,Forecasts!N2391,Forecasts!N2408,Forecasts!N2424,Forecasts!N2440))</x:f>
        <x:v>1.4142135623730951</x:v>
      </x:c>
      <x:c r="K481" s="8" t="n">
        <x:f>SQRT(AVERAGE(Forecasts!N2325,Forecasts!N2342,Forecasts!N2359,Forecasts!N2376,Forecasts!N2393,Forecasts!N2410,Forecasts!N2426,Forecasts!N2442))</x:f>
        <x:v>3.517121653513928</x:v>
      </x:c>
    </x:row>
    <x:row r="482" ht="26" customHeight="1">
      <x:c r="A482" s="2"/>
      <x:c r="B482" s="2" t="str">
        <x:v>Health Care / organic_volume_growth</x:v>
      </x:c>
      <x:c r="C482" s="2" t="str">
        <x:v>Origin</x:v>
      </x:c>
      <x:c r="D482" s="2" t="str">
        <x:v>Bias correction</x:v>
      </x:c>
      <x:c r="E482" s="2" t="str">
        <x:v>All available</x:v>
      </x:c>
      <x:c r="F482" s="2" t="n">
        <x:v>7</x:v>
      </x:c>
      <x:c r="G482" s="8" t="n">
        <x:f>SQRT(AVERAGE(Forecasts!N2772,Forecasts!N2778,Forecasts!N2784,Forecasts!N2790,Forecasts!N2796,Forecasts!N2802,Forecasts!N2808))</x:f>
        <x:v>1.2492824431925527</x:v>
      </x:c>
      <x:c r="H482" s="8" t="n">
        <x:f>AVERAGE(Forecasts!O2772,Forecasts!O2778,Forecasts!O2784,Forecasts!O2790,Forecasts!O2796,Forecasts!O2802,Forecasts!O2808)</x:f>
        <x:v>1.1168675816996683</x:v>
      </x:c>
      <x:c r="I482" s="8" t="n">
        <x:f>AVERAGE(Forecasts!M2772,Forecasts!M2778,Forecasts!M2784,Forecasts!M2790,Forecasts!M2796,Forecasts!M2802,Forecasts!M2808)</x:f>
        <x:v>0.21884125618357472</x:v>
      </x:c>
      <x:c r="J482" s="8" t="n">
        <x:f>SQRT(AVERAGE(Forecasts!N1549,Forecasts!N1566,Forecasts!N1582,Forecasts!N1598,Forecasts!N1614,Forecasts!N1630,Forecasts!N1646))</x:f>
        <x:v>1.5118578920369088</x:v>
      </x:c>
      <x:c r="K482" s="8" t="n">
        <x:f>SQRT(AVERAGE(Forecasts!N1551,Forecasts!N1568,Forecasts!N1584,Forecasts!N1600,Forecasts!N1616,Forecasts!N1632,Forecasts!N1648))</x:f>
        <x:v>2.10047952909902</x:v>
      </x:c>
    </x:row>
    <x:row r="483" ht="26" customHeight="1">
      <x:c r="A483" s="2"/>
      <x:c r="B483" s="2" t="str">
        <x:v>Health Care / organic_volume_growth</x:v>
      </x:c>
      <x:c r="C483" s="2" t="str">
        <x:v>Origin</x:v>
      </x:c>
      <x:c r="D483" s="2" t="str">
        <x:v>Bias correction</x:v>
      </x:c>
      <x:c r="E483" s="2" t="str">
        <x:v>Recent eight</x:v>
      </x:c>
      <x:c r="F483" s="2" t="n">
        <x:v>7</x:v>
      </x:c>
      <x:c r="G483" s="8" t="n">
        <x:f>SQRT(AVERAGE(Forecasts!N2772,Forecasts!N2778,Forecasts!N2784,Forecasts!N2790,Forecasts!N2796,Forecasts!N2802,Forecasts!N2808))</x:f>
        <x:v>1.2492824431925527</x:v>
      </x:c>
      <x:c r="H483" s="8" t="n">
        <x:f>AVERAGE(Forecasts!O2772,Forecasts!O2778,Forecasts!O2784,Forecasts!O2790,Forecasts!O2796,Forecasts!O2802,Forecasts!O2808)</x:f>
        <x:v>1.1168675816996683</x:v>
      </x:c>
      <x:c r="I483" s="8" t="n">
        <x:f>AVERAGE(Forecasts!M2772,Forecasts!M2778,Forecasts!M2784,Forecasts!M2790,Forecasts!M2796,Forecasts!M2802,Forecasts!M2808)</x:f>
        <x:v>0.21884125618357472</x:v>
      </x:c>
      <x:c r="J483" s="8" t="n">
        <x:f>SQRT(AVERAGE(Forecasts!N1549,Forecasts!N1566,Forecasts!N1582,Forecasts!N1598,Forecasts!N1614,Forecasts!N1630,Forecasts!N1646))</x:f>
        <x:v>1.5118578920369088</x:v>
      </x:c>
      <x:c r="K483" s="8" t="n">
        <x:f>SQRT(AVERAGE(Forecasts!N1551,Forecasts!N1568,Forecasts!N1584,Forecasts!N1600,Forecasts!N1616,Forecasts!N1632,Forecasts!N1648))</x:f>
        <x:v>2.10047952909902</x:v>
      </x:c>
    </x:row>
    <x:row r="484" ht="26" customHeight="1">
      <x:c r="A484" s="2"/>
      <x:c r="B484" s="2" t="str">
        <x:v>Health Care / organic_volume_growth</x:v>
      </x:c>
      <x:c r="C484" s="2" t="str">
        <x:v>Origin</x:v>
      </x:c>
      <x:c r="D484" s="2" t="str">
        <x:v>Broad market</x:v>
      </x:c>
      <x:c r="E484" s="2" t="str">
        <x:v>All available</x:v>
      </x:c>
      <x:c r="F484" s="2" t="n">
        <x:v>12</x:v>
      </x:c>
      <x:c r="G484" s="8" t="n">
        <x:f>SQRT(AVERAGE(Forecasts!N1472,Forecasts!N1487,Forecasts!N1503,Forecasts!N1519,Forecasts!N1535,Forecasts!N1551,Forecasts!N1568,Forecasts!N1584,Forecasts!N1600,Forecasts!N1616,Forecasts!N1632,Forecasts!N1648))</x:f>
        <x:v>2.5973872487592806</x:v>
      </x:c>
      <x:c r="H484" s="8" t="n">
        <x:f>AVERAGE(Forecasts!O1472,Forecasts!O1487,Forecasts!O1503,Forecasts!O1519,Forecasts!O1535,Forecasts!O1551,Forecasts!O1568,Forecasts!O1584,Forecasts!O1600,Forecasts!O1616,Forecasts!O1632,Forecasts!O1648)</x:f>
        <x:v>2.2929056087477506</x:v>
      </x:c>
      <x:c r="I484" s="8" t="n">
        <x:f>AVERAGE(Forecasts!M1472,Forecasts!M1487,Forecasts!M1503,Forecasts!M1519,Forecasts!M1535,Forecasts!M1551,Forecasts!M1568,Forecasts!M1584,Forecasts!M1600,Forecasts!M1616,Forecasts!M1632,Forecasts!M1648)</x:f>
        <x:v>1.9340394322622216</x:v>
      </x:c>
      <x:c r="J484" s="8" t="n">
        <x:f>SQRT(AVERAGE(Forecasts!N1470,Forecasts!N1485,Forecasts!N1501,Forecasts!N1517,Forecasts!N1533,Forecasts!N1549,Forecasts!N1566,Forecasts!N1582,Forecasts!N1598,Forecasts!N1614,Forecasts!N1630,Forecasts!N1646))</x:f>
        <x:v>2.6299556396765835</x:v>
      </x:c>
      <x:c r="K484" s="8" t="n">
        <x:f>SQRT(AVERAGE(Forecasts!N1472,Forecasts!N1487,Forecasts!N1503,Forecasts!N1519,Forecasts!N1535,Forecasts!N1551,Forecasts!N1568,Forecasts!N1584,Forecasts!N1600,Forecasts!N1616,Forecasts!N1632,Forecasts!N1648))</x:f>
        <x:v>2.5973872487592806</x:v>
      </x:c>
    </x:row>
    <x:row r="485" ht="26" customHeight="1">
      <x:c r="A485" s="2"/>
      <x:c r="B485" s="2" t="str">
        <x:v>Health Care / organic_volume_growth</x:v>
      </x:c>
      <x:c r="C485" s="2" t="str">
        <x:v>Origin</x:v>
      </x:c>
      <x:c r="D485" s="2" t="str">
        <x:v>Broad market</x:v>
      </x:c>
      <x:c r="E485" s="2" t="str">
        <x:v>Recent eight</x:v>
      </x:c>
      <x:c r="F485" s="2" t="n">
        <x:v>8</x:v>
      </x:c>
      <x:c r="G485" s="8" t="n">
        <x:f>SQRT(AVERAGE(Forecasts!N1535,Forecasts!N1551,Forecasts!N1568,Forecasts!N1584,Forecasts!N1600,Forecasts!N1616,Forecasts!N1632,Forecasts!N1648))</x:f>
        <x:v>1.9789688852962055</x:v>
      </x:c>
      <x:c r="H485" s="8" t="n">
        <x:f>AVERAGE(Forecasts!O1535,Forecasts!O1551,Forecasts!O1568,Forecasts!O1584,Forecasts!O1600,Forecasts!O1616,Forecasts!O1632,Forecasts!O1648)</x:f>
        <x:v>1.7832461195449838</x:v>
      </x:c>
      <x:c r="I485" s="8" t="n">
        <x:f>AVERAGE(Forecasts!M1535,Forecasts!M1551,Forecasts!M1568,Forecasts!M1584,Forecasts!M1600,Forecasts!M1616,Forecasts!M1632,Forecasts!M1648)</x:f>
        <x:v>1.6162051390537107</x:v>
      </x:c>
      <x:c r="J485" s="8" t="n">
        <x:f>SQRT(AVERAGE(Forecasts!N1533,Forecasts!N1549,Forecasts!N1566,Forecasts!N1582,Forecasts!N1598,Forecasts!N1614,Forecasts!N1630,Forecasts!N1646))</x:f>
        <x:v>2.2638462845343543</x:v>
      </x:c>
      <x:c r="K485" s="8" t="n">
        <x:f>SQRT(AVERAGE(Forecasts!N1535,Forecasts!N1551,Forecasts!N1568,Forecasts!N1584,Forecasts!N1600,Forecasts!N1616,Forecasts!N1632,Forecasts!N1648))</x:f>
        <x:v>1.9789688852962055</x:v>
      </x:c>
    </x:row>
    <x:row r="486" ht="26" customHeight="1">
      <x:c r="A486" s="2"/>
      <x:c r="B486" s="2" t="str">
        <x:v>Health Care / organic_volume_growth</x:v>
      </x:c>
      <x:c r="C486" s="2" t="str">
        <x:v>Origin</x:v>
      </x:c>
      <x:c r="D486" s="2" t="str">
        <x:v>Broad rolling 8</x:v>
      </x:c>
      <x:c r="E486" s="2" t="str">
        <x:v>All available</x:v>
      </x:c>
      <x:c r="F486" s="2" t="n">
        <x:v>12</x:v>
      </x:c>
      <x:c r="G486" s="8" t="n">
        <x:f>SQRT(AVERAGE(Forecasts!N1473,Forecasts!N1488,Forecasts!N1504,Forecasts!N1520,Forecasts!N1536,Forecasts!N1552,Forecasts!N1569,Forecasts!N1585,Forecasts!N1601,Forecasts!N1617,Forecasts!N1633,Forecasts!N1649))</x:f>
        <x:v>2.313175754746872</x:v>
      </x:c>
      <x:c r="H486" s="8" t="n">
        <x:f>AVERAGE(Forecasts!O1473,Forecasts!O1488,Forecasts!O1504,Forecasts!O1520,Forecasts!O1536,Forecasts!O1552,Forecasts!O1569,Forecasts!O1585,Forecasts!O1601,Forecasts!O1617,Forecasts!O1633,Forecasts!O1649)</x:f>
        <x:v>1.6984884181009807</x:v>
      </x:c>
      <x:c r="I486" s="8" t="n">
        <x:f>AVERAGE(Forecasts!M1473,Forecasts!M1488,Forecasts!M1504,Forecasts!M1520,Forecasts!M1536,Forecasts!M1552,Forecasts!M1569,Forecasts!M1585,Forecasts!M1601,Forecasts!M1617,Forecasts!M1633,Forecasts!M1649)</x:f>
        <x:v>0.9744280265383208</x:v>
      </x:c>
      <x:c r="J486" s="8" t="n">
        <x:f>SQRT(AVERAGE(Forecasts!N1470,Forecasts!N1485,Forecasts!N1501,Forecasts!N1517,Forecasts!N1533,Forecasts!N1549,Forecasts!N1566,Forecasts!N1582,Forecasts!N1598,Forecasts!N1614,Forecasts!N1630,Forecasts!N1646))</x:f>
        <x:v>2.6299556396765835</x:v>
      </x:c>
      <x:c r="K486" s="8" t="n">
        <x:f>SQRT(AVERAGE(Forecasts!N1472,Forecasts!N1487,Forecasts!N1503,Forecasts!N1519,Forecasts!N1535,Forecasts!N1551,Forecasts!N1568,Forecasts!N1584,Forecasts!N1600,Forecasts!N1616,Forecasts!N1632,Forecasts!N1648))</x:f>
        <x:v>2.5973872487592806</x:v>
      </x:c>
    </x:row>
    <x:row r="487" ht="26" customHeight="1">
      <x:c r="A487" s="2"/>
      <x:c r="B487" s="2" t="str">
        <x:v>Health Care / organic_volume_growth</x:v>
      </x:c>
      <x:c r="C487" s="2" t="str">
        <x:v>Origin</x:v>
      </x:c>
      <x:c r="D487" s="2" t="str">
        <x:v>Broad rolling 8</x:v>
      </x:c>
      <x:c r="E487" s="2" t="str">
        <x:v>Recent eight</x:v>
      </x:c>
      <x:c r="F487" s="2" t="n">
        <x:v>8</x:v>
      </x:c>
      <x:c r="G487" s="8" t="n">
        <x:f>SQRT(AVERAGE(Forecasts!N1536,Forecasts!N1552,Forecasts!N1569,Forecasts!N1585,Forecasts!N1601,Forecasts!N1617,Forecasts!N1633,Forecasts!N1649))</x:f>
        <x:v>0.9194638036230861</x:v>
      </x:c>
      <x:c r="H487" s="8" t="n">
        <x:f>AVERAGE(Forecasts!O1536,Forecasts!O1552,Forecasts!O1569,Forecasts!O1585,Forecasts!O1601,Forecasts!O1617,Forecasts!O1633,Forecasts!O1649)</x:f>
        <x:v>0.8226316348454055</x:v>
      </x:c>
      <x:c r="I487" s="8" t="n">
        <x:f>AVERAGE(Forecasts!M1536,Forecasts!M1552,Forecasts!M1569,Forecasts!M1585,Forecasts!M1601,Forecasts!M1617,Forecasts!M1633,Forecasts!M1649)</x:f>
        <x:v>0.008831954481489046</x:v>
      </x:c>
      <x:c r="J487" s="8" t="n">
        <x:f>SQRT(AVERAGE(Forecasts!N1533,Forecasts!N1549,Forecasts!N1566,Forecasts!N1582,Forecasts!N1598,Forecasts!N1614,Forecasts!N1630,Forecasts!N1646))</x:f>
        <x:v>2.2638462845343543</x:v>
      </x:c>
      <x:c r="K487" s="8" t="n">
        <x:f>SQRT(AVERAGE(Forecasts!N1535,Forecasts!N1551,Forecasts!N1568,Forecasts!N1584,Forecasts!N1600,Forecasts!N1616,Forecasts!N1632,Forecasts!N1648))</x:f>
        <x:v>1.9789688852962055</x:v>
      </x:c>
    </x:row>
    <x:row r="488" ht="26" customHeight="1">
      <x:c r="A488" s="2"/>
      <x:c r="B488" s="2" t="str">
        <x:v>Health Care / organic_volume_growth</x:v>
      </x:c>
      <x:c r="C488" s="2" t="str">
        <x:v>Origin</x:v>
      </x:c>
      <x:c r="D488" s="2" t="str">
        <x:v>Four-quarter mean</x:v>
      </x:c>
      <x:c r="E488" s="2" t="str">
        <x:v>All available</x:v>
      </x:c>
      <x:c r="F488" s="2" t="n">
        <x:v>12</x:v>
      </x:c>
      <x:c r="G488" s="8" t="n">
        <x:f>SQRT(AVERAGE(Forecasts!N1471,Forecasts!N1486,Forecasts!N1502,Forecasts!N1518,Forecasts!N1534,Forecasts!N1550,Forecasts!N1567,Forecasts!N1583,Forecasts!N1599,Forecasts!N1615,Forecasts!N1631,Forecasts!N1647))</x:f>
        <x:v>2.2114757516192665</x:v>
      </x:c>
      <x:c r="H488" s="8" t="n">
        <x:f>AVERAGE(Forecasts!O1471,Forecasts!O1486,Forecasts!O1502,Forecasts!O1518,Forecasts!O1534,Forecasts!O1550,Forecasts!O1567,Forecasts!O1583,Forecasts!O1599,Forecasts!O1615,Forecasts!O1631,Forecasts!O1647)</x:f>
        <x:v>1.8541666666666667</x:v>
      </x:c>
      <x:c r="I488" s="8" t="n">
        <x:f>AVERAGE(Forecasts!M1471,Forecasts!M1486,Forecasts!M1502,Forecasts!M1518,Forecasts!M1534,Forecasts!M1550,Forecasts!M1567,Forecasts!M1583,Forecasts!M1599,Forecasts!M1615,Forecasts!M1631,Forecasts!M1647)</x:f>
        <x:v>0.5208333333333334</x:v>
      </x:c>
      <x:c r="J488" s="8" t="n">
        <x:f>SQRT(AVERAGE(Forecasts!N1470,Forecasts!N1485,Forecasts!N1501,Forecasts!N1517,Forecasts!N1533,Forecasts!N1549,Forecasts!N1566,Forecasts!N1582,Forecasts!N1598,Forecasts!N1614,Forecasts!N1630,Forecasts!N1646))</x:f>
        <x:v>2.6299556396765835</x:v>
      </x:c>
      <x:c r="K488" s="8" t="n">
        <x:f>SQRT(AVERAGE(Forecasts!N1472,Forecasts!N1487,Forecasts!N1503,Forecasts!N1519,Forecasts!N1535,Forecasts!N1551,Forecasts!N1568,Forecasts!N1584,Forecasts!N1600,Forecasts!N1616,Forecasts!N1632,Forecasts!N1648))</x:f>
        <x:v>2.5973872487592806</x:v>
      </x:c>
    </x:row>
    <x:row r="489" ht="26" customHeight="1">
      <x:c r="A489" s="2"/>
      <x:c r="B489" s="2" t="str">
        <x:v>Health Care / organic_volume_growth</x:v>
      </x:c>
      <x:c r="C489" s="2" t="str">
        <x:v>Origin</x:v>
      </x:c>
      <x:c r="D489" s="2" t="str">
        <x:v>Four-quarter mean</x:v>
      </x:c>
      <x:c r="E489" s="2" t="str">
        <x:v>Recent eight</x:v>
      </x:c>
      <x:c r="F489" s="2" t="n">
        <x:v>8</x:v>
      </x:c>
      <x:c r="G489" s="8" t="n">
        <x:f>SQRT(AVERAGE(Forecasts!N1534,Forecasts!N1550,Forecasts!N1567,Forecasts!N1583,Forecasts!N1599,Forecasts!N1615,Forecasts!N1631,Forecasts!N1647))</x:f>
        <x:v>1.2624381172952597</x:v>
      </x:c>
      <x:c r="H489" s="8" t="n">
        <x:f>AVERAGE(Forecasts!O1534,Forecasts!O1550,Forecasts!O1567,Forecasts!O1583,Forecasts!O1599,Forecasts!O1615,Forecasts!O1631,Forecasts!O1647)</x:f>
        <x:v>1.125</x:v>
      </x:c>
      <x:c r="I489" s="8" t="n">
        <x:f>AVERAGE(Forecasts!M1534,Forecasts!M1550,Forecasts!M1567,Forecasts!M1583,Forecasts!M1599,Forecasts!M1615,Forecasts!M1631,Forecasts!M1647)</x:f>
        <x:v>-0.25</x:v>
      </x:c>
      <x:c r="J489" s="8" t="n">
        <x:f>SQRT(AVERAGE(Forecasts!N1533,Forecasts!N1549,Forecasts!N1566,Forecasts!N1582,Forecasts!N1598,Forecasts!N1614,Forecasts!N1630,Forecasts!N1646))</x:f>
        <x:v>2.2638462845343543</x:v>
      </x:c>
      <x:c r="K489" s="8" t="n">
        <x:f>SQRT(AVERAGE(Forecasts!N1535,Forecasts!N1551,Forecasts!N1568,Forecasts!N1584,Forecasts!N1600,Forecasts!N1616,Forecasts!N1632,Forecasts!N1648))</x:f>
        <x:v>1.9789688852962055</x:v>
      </x:c>
    </x:row>
    <x:row r="490" ht="26" customHeight="1">
      <x:c r="A490" s="2"/>
      <x:c r="B490" s="2" t="str">
        <x:v>Health Care / organic_volume_growth</x:v>
      </x:c>
      <x:c r="C490" s="2" t="str">
        <x:v>Origin</x:v>
      </x:c>
      <x:c r="D490" s="2" t="str">
        <x:v>Half correction</x:v>
      </x:c>
      <x:c r="E490" s="2" t="str">
        <x:v>All available</x:v>
      </x:c>
      <x:c r="F490" s="2" t="n">
        <x:v>7</x:v>
      </x:c>
      <x:c r="G490" s="8" t="n">
        <x:f>SQRT(AVERAGE(Forecasts!N2773,Forecasts!N2779,Forecasts!N2785,Forecasts!N2791,Forecasts!N2797,Forecasts!N2803,Forecasts!N2809))</x:f>
        <x:v>1.4696338208796238</x:v>
      </x:c>
      <x:c r="H490" s="8" t="n">
        <x:f>AVERAGE(Forecasts!O2773,Forecasts!O2779,Forecasts!O2785,Forecasts!O2791,Forecasts!O2797,Forecasts!O2803,Forecasts!O2809)</x:f>
        <x:v>1.1893896236093</x:v>
      </x:c>
      <x:c r="I490" s="8" t="n">
        <x:f>AVERAGE(Forecasts!M2773,Forecasts!M2779,Forecasts!M2785,Forecasts!M2791,Forecasts!M2797,Forecasts!M2803,Forecasts!M2809)</x:f>
        <x:v>1.080692416262843</x:v>
      </x:c>
      <x:c r="J490" s="8" t="n">
        <x:f>SQRT(AVERAGE(Forecasts!N1549,Forecasts!N1566,Forecasts!N1582,Forecasts!N1598,Forecasts!N1614,Forecasts!N1630,Forecasts!N1646))</x:f>
        <x:v>1.5118578920369088</x:v>
      </x:c>
      <x:c r="K490" s="8" t="n">
        <x:f>SQRT(AVERAGE(Forecasts!N1551,Forecasts!N1568,Forecasts!N1584,Forecasts!N1600,Forecasts!N1616,Forecasts!N1632,Forecasts!N1648))</x:f>
        <x:v>2.10047952909902</x:v>
      </x:c>
    </x:row>
    <x:row r="491" ht="26" customHeight="1">
      <x:c r="A491" s="2"/>
      <x:c r="B491" s="2" t="str">
        <x:v>Health Care / organic_volume_growth</x:v>
      </x:c>
      <x:c r="C491" s="2" t="str">
        <x:v>Origin</x:v>
      </x:c>
      <x:c r="D491" s="2" t="str">
        <x:v>Half correction</x:v>
      </x:c>
      <x:c r="E491" s="2" t="str">
        <x:v>Recent eight</x:v>
      </x:c>
      <x:c r="F491" s="2" t="n">
        <x:v>7</x:v>
      </x:c>
      <x:c r="G491" s="8" t="n">
        <x:f>SQRT(AVERAGE(Forecasts!N2773,Forecasts!N2779,Forecasts!N2785,Forecasts!N2791,Forecasts!N2797,Forecasts!N2803,Forecasts!N2809))</x:f>
        <x:v>1.4696338208796238</x:v>
      </x:c>
      <x:c r="H491" s="8" t="n">
        <x:f>AVERAGE(Forecasts!O2773,Forecasts!O2779,Forecasts!O2785,Forecasts!O2791,Forecasts!O2797,Forecasts!O2803,Forecasts!O2809)</x:f>
        <x:v>1.1893896236093</x:v>
      </x:c>
      <x:c r="I491" s="8" t="n">
        <x:f>AVERAGE(Forecasts!M2773,Forecasts!M2779,Forecasts!M2785,Forecasts!M2791,Forecasts!M2797,Forecasts!M2803,Forecasts!M2809)</x:f>
        <x:v>1.080692416262843</x:v>
      </x:c>
      <x:c r="J491" s="8" t="n">
        <x:f>SQRT(AVERAGE(Forecasts!N1549,Forecasts!N1566,Forecasts!N1582,Forecasts!N1598,Forecasts!N1614,Forecasts!N1630,Forecasts!N1646))</x:f>
        <x:v>1.5118578920369088</x:v>
      </x:c>
      <x:c r="K491" s="8" t="n">
        <x:f>SQRT(AVERAGE(Forecasts!N1551,Forecasts!N1568,Forecasts!N1584,Forecasts!N1600,Forecasts!N1616,Forecasts!N1632,Forecasts!N1648))</x:f>
        <x:v>2.10047952909902</x:v>
      </x:c>
    </x:row>
    <x:row r="492" ht="26" customHeight="1">
      <x:c r="A492" s="2"/>
      <x:c r="B492" s="2" t="str">
        <x:v>Health Care / organic_volume_growth</x:v>
      </x:c>
      <x:c r="C492" s="2" t="str">
        <x:v>Origin</x:v>
      </x:c>
      <x:c r="D492" s="2" t="str">
        <x:v>Last actual</x:v>
      </x:c>
      <x:c r="E492" s="2" t="str">
        <x:v>All available</x:v>
      </x:c>
      <x:c r="F492" s="2" t="n">
        <x:v>12</x:v>
      </x:c>
      <x:c r="G492" s="8" t="n">
        <x:f>SQRT(AVERAGE(Forecasts!N1470,Forecasts!N1485,Forecasts!N1501,Forecasts!N1517,Forecasts!N1533,Forecasts!N1549,Forecasts!N1566,Forecasts!N1582,Forecasts!N1598,Forecasts!N1614,Forecasts!N1630,Forecasts!N1646))</x:f>
        <x:v>2.6299556396765835</x:v>
      </x:c>
      <x:c r="H492" s="8" t="n">
        <x:f>AVERAGE(Forecasts!O1470,Forecasts!O1485,Forecasts!O1501,Forecasts!O1517,Forecasts!O1533,Forecasts!O1549,Forecasts!O1566,Forecasts!O1582,Forecasts!O1598,Forecasts!O1614,Forecasts!O1630,Forecasts!O1646)</x:f>
        <x:v>1.9166666666666667</x:v>
      </x:c>
      <x:c r="I492" s="8" t="n">
        <x:f>AVERAGE(Forecasts!M1470,Forecasts!M1485,Forecasts!M1501,Forecasts!M1517,Forecasts!M1533,Forecasts!M1549,Forecasts!M1566,Forecasts!M1582,Forecasts!M1598,Forecasts!M1614,Forecasts!M1630,Forecasts!M1646)</x:f>
        <x:v>0.25</x:v>
      </x:c>
      <x:c r="J492" s="8" t="n">
        <x:f>SQRT(AVERAGE(Forecasts!N1470,Forecasts!N1485,Forecasts!N1501,Forecasts!N1517,Forecasts!N1533,Forecasts!N1549,Forecasts!N1566,Forecasts!N1582,Forecasts!N1598,Forecasts!N1614,Forecasts!N1630,Forecasts!N1646))</x:f>
        <x:v>2.6299556396765835</x:v>
      </x:c>
      <x:c r="K492" s="8" t="n">
        <x:f>SQRT(AVERAGE(Forecasts!N1472,Forecasts!N1487,Forecasts!N1503,Forecasts!N1519,Forecasts!N1535,Forecasts!N1551,Forecasts!N1568,Forecasts!N1584,Forecasts!N1600,Forecasts!N1616,Forecasts!N1632,Forecasts!N1648))</x:f>
        <x:v>2.5973872487592806</x:v>
      </x:c>
    </x:row>
    <x:row r="493" ht="26" customHeight="1">
      <x:c r="A493" s="2"/>
      <x:c r="B493" s="2" t="str">
        <x:v>Health Care / organic_volume_growth</x:v>
      </x:c>
      <x:c r="C493" s="2" t="str">
        <x:v>Origin</x:v>
      </x:c>
      <x:c r="D493" s="2" t="str">
        <x:v>Last actual</x:v>
      </x:c>
      <x:c r="E493" s="2" t="str">
        <x:v>Recent eight</x:v>
      </x:c>
      <x:c r="F493" s="2" t="n">
        <x:v>8</x:v>
      </x:c>
      <x:c r="G493" s="8" t="n">
        <x:f>SQRT(AVERAGE(Forecasts!N1533,Forecasts!N1549,Forecasts!N1566,Forecasts!N1582,Forecasts!N1598,Forecasts!N1614,Forecasts!N1630,Forecasts!N1646))</x:f>
        <x:v>2.2638462845343543</x:v>
      </x:c>
      <x:c r="H493" s="8" t="n">
        <x:f>AVERAGE(Forecasts!O1533,Forecasts!O1549,Forecasts!O1566,Forecasts!O1582,Forecasts!O1598,Forecasts!O1614,Forecasts!O1630,Forecasts!O1646)</x:f>
        <x:v>1.625</x:v>
      </x:c>
      <x:c r="I493" s="8" t="n">
        <x:f>AVERAGE(Forecasts!M1533,Forecasts!M1549,Forecasts!M1566,Forecasts!M1582,Forecasts!M1598,Forecasts!M1614,Forecasts!M1630,Forecasts!M1646)</x:f>
        <x:v>-0.625</x:v>
      </x:c>
      <x:c r="J493" s="8" t="n">
        <x:f>SQRT(AVERAGE(Forecasts!N1533,Forecasts!N1549,Forecasts!N1566,Forecasts!N1582,Forecasts!N1598,Forecasts!N1614,Forecasts!N1630,Forecasts!N1646))</x:f>
        <x:v>2.2638462845343543</x:v>
      </x:c>
      <x:c r="K493" s="8" t="n">
        <x:f>SQRT(AVERAGE(Forecasts!N1535,Forecasts!N1551,Forecasts!N1568,Forecasts!N1584,Forecasts!N1600,Forecasts!N1616,Forecasts!N1632,Forecasts!N1648))</x:f>
        <x:v>1.9789688852962055</x:v>
      </x:c>
    </x:row>
    <x:row r="494" ht="26" customHeight="1">
      <x:c r="A494" s="2"/>
      <x:c r="B494" s="2" t="str">
        <x:v>Health Care / organic_volume_growth</x:v>
      </x:c>
      <x:c r="C494" s="2" t="str">
        <x:v>Origin</x:v>
      </x:c>
      <x:c r="D494" s="2" t="str">
        <x:v>Own history</x:v>
      </x:c>
      <x:c r="E494" s="2" t="str">
        <x:v>All available</x:v>
      </x:c>
      <x:c r="F494" s="2" t="n">
        <x:v>10</x:v>
      </x:c>
      <x:c r="G494" s="8" t="n">
        <x:f>SQRT(AVERAGE(Forecasts!N1505,Forecasts!N1521,Forecasts!N1537,Forecasts!N1553,Forecasts!N1570,Forecasts!N1586,Forecasts!N1602,Forecasts!N1618,Forecasts!N1634,Forecasts!N1650))</x:f>
        <x:v>2.4088800664236487</x:v>
      </x:c>
      <x:c r="H494" s="8" t="n">
        <x:f>AVERAGE(Forecasts!O1505,Forecasts!O1521,Forecasts!O1537,Forecasts!O1553,Forecasts!O1570,Forecasts!O1586,Forecasts!O1602,Forecasts!O1618,Forecasts!O1634,Forecasts!O1650)</x:f>
        <x:v>1.797637217182439</x:v>
      </x:c>
      <x:c r="I494" s="8" t="n">
        <x:f>AVERAGE(Forecasts!M1505,Forecasts!M1521,Forecasts!M1537,Forecasts!M1553,Forecasts!M1570,Forecasts!M1586,Forecasts!M1602,Forecasts!M1618,Forecasts!M1634,Forecasts!M1650)</x:f>
        <x:v>1.376395427454701</x:v>
      </x:c>
      <x:c r="J494" s="8" t="n">
        <x:f>SQRT(AVERAGE(Forecasts!N1501,Forecasts!N1517,Forecasts!N1533,Forecasts!N1549,Forecasts!N1566,Forecasts!N1582,Forecasts!N1598,Forecasts!N1614,Forecasts!N1630,Forecasts!N1646))</x:f>
        <x:v>2.792848008753788</x:v>
      </x:c>
      <x:c r="K494" s="8" t="n">
        <x:f>SQRT(AVERAGE(Forecasts!N1503,Forecasts!N1519,Forecasts!N1535,Forecasts!N1551,Forecasts!N1568,Forecasts!N1584,Forecasts!N1600,Forecasts!N1616,Forecasts!N1632,Forecasts!N1648))</x:f>
        <x:v>2.6381110402518333</x:v>
      </x:c>
    </x:row>
    <x:row r="495" ht="26" customHeight="1">
      <x:c r="A495" s="2"/>
      <x:c r="B495" s="2" t="str">
        <x:v>Health Care / organic_volume_growth</x:v>
      </x:c>
      <x:c r="C495" s="2" t="str">
        <x:v>Origin</x:v>
      </x:c>
      <x:c r="D495" s="2" t="str">
        <x:v>Own history</x:v>
      </x:c>
      <x:c r="E495" s="2" t="str">
        <x:v>Recent eight</x:v>
      </x:c>
      <x:c r="F495" s="2" t="n">
        <x:v>8</x:v>
      </x:c>
      <x:c r="G495" s="8" t="n">
        <x:f>SQRT(AVERAGE(Forecasts!N1537,Forecasts!N1553,Forecasts!N1570,Forecasts!N1586,Forecasts!N1602,Forecasts!N1618,Forecasts!N1634,Forecasts!N1650))</x:f>
        <x:v>1.2650197070209597</x:v>
      </x:c>
      <x:c r="H495" s="8" t="n">
        <x:f>AVERAGE(Forecasts!O1537,Forecasts!O1553,Forecasts!O1570,Forecasts!O1586,Forecasts!O1602,Forecasts!O1618,Forecasts!O1634,Forecasts!O1650)</x:f>
        <x:v>1.0640005444665546</x:v>
      </x:c>
      <x:c r="I495" s="8" t="n">
        <x:f>AVERAGE(Forecasts!M1537,Forecasts!M1553,Forecasts!M1570,Forecasts!M1586,Forecasts!M1602,Forecasts!M1618,Forecasts!M1634,Forecasts!M1650)</x:f>
        <x:v>0.537448307306882</x:v>
      </x:c>
      <x:c r="J495" s="8" t="n">
        <x:f>SQRT(AVERAGE(Forecasts!N1533,Forecasts!N1549,Forecasts!N1566,Forecasts!N1582,Forecasts!N1598,Forecasts!N1614,Forecasts!N1630,Forecasts!N1646))</x:f>
        <x:v>2.2638462845343543</x:v>
      </x:c>
      <x:c r="K495" s="8" t="n">
        <x:f>SQRT(AVERAGE(Forecasts!N1535,Forecasts!N1551,Forecasts!N1568,Forecasts!N1584,Forecasts!N1600,Forecasts!N1616,Forecasts!N1632,Forecasts!N1648))</x:f>
        <x:v>1.9789688852962055</x:v>
      </x:c>
    </x:row>
    <x:row r="496" ht="26" customHeight="1">
      <x:c r="A496" s="2"/>
      <x:c r="B496" s="2" t="str">
        <x:v>Health Care / organic_volume_growth</x:v>
      </x:c>
      <x:c r="C496" s="2" t="str">
        <x:v>Prior report</x:v>
      </x:c>
      <x:c r="D496" s="2" t="str">
        <x:v>Bias correction</x:v>
      </x:c>
      <x:c r="E496" s="2" t="str">
        <x:v>All available</x:v>
      </x:c>
      <x:c r="F496" s="2" t="n">
        <x:v>8</x:v>
      </x:c>
      <x:c r="G496" s="8" t="n">
        <x:f>SQRT(AVERAGE(Forecasts!N2768,Forecasts!N2774,Forecasts!N2780,Forecasts!N2786,Forecasts!N2792,Forecasts!N2798,Forecasts!N2804,Forecasts!N2810))</x:f>
        <x:v>1.5391845561940747</x:v>
      </x:c>
      <x:c r="H496" s="8" t="n">
        <x:f>AVERAGE(Forecasts!O2768,Forecasts!O2774,Forecasts!O2780,Forecasts!O2786,Forecasts!O2792,Forecasts!O2798,Forecasts!O2804,Forecasts!O2810)</x:f>
        <x:v>1.1287277438310028</x:v>
      </x:c>
      <x:c r="I496" s="8" t="n">
        <x:f>AVERAGE(Forecasts!M2768,Forecasts!M2774,Forecasts!M2780,Forecasts!M2786,Forecasts!M2792,Forecasts!M2798,Forecasts!M2804,Forecasts!M2810)</x:f>
        <x:v>-0.1921064020870341</x:v>
      </x:c>
      <x:c r="J496" s="8" t="n">
        <x:f>SQRT(AVERAGE(Forecasts!N1538,Forecasts!N1554,Forecasts!N1571,Forecasts!N1587,Forecasts!N1603,Forecasts!N1619,Forecasts!N1635,Forecasts!N1651))</x:f>
        <x:v>2.0615528128088303</x:v>
      </x:c>
      <x:c r="K496" s="8" t="n">
        <x:f>SQRT(AVERAGE(Forecasts!N1540,Forecasts!N1556,Forecasts!N1573,Forecasts!N1589,Forecasts!N1605,Forecasts!N1621,Forecasts!N1637,Forecasts!N1653))</x:f>
        <x:v>1.942896327158331</x:v>
      </x:c>
    </x:row>
    <x:row r="497" ht="26" customHeight="1">
      <x:c r="A497" s="2"/>
      <x:c r="B497" s="2" t="str">
        <x:v>Health Care / organic_volume_growth</x:v>
      </x:c>
      <x:c r="C497" s="2" t="str">
        <x:v>Prior report</x:v>
      </x:c>
      <x:c r="D497" s="2" t="str">
        <x:v>Bias correction</x:v>
      </x:c>
      <x:c r="E497" s="2" t="str">
        <x:v>Recent eight</x:v>
      </x:c>
      <x:c r="F497" s="2" t="n">
        <x:v>8</x:v>
      </x:c>
      <x:c r="G497" s="8" t="n">
        <x:f>SQRT(AVERAGE(Forecasts!N2768,Forecasts!N2774,Forecasts!N2780,Forecasts!N2786,Forecasts!N2792,Forecasts!N2798,Forecasts!N2804,Forecasts!N2810))</x:f>
        <x:v>1.5391845561940747</x:v>
      </x:c>
      <x:c r="H497" s="8" t="n">
        <x:f>AVERAGE(Forecasts!O2768,Forecasts!O2774,Forecasts!O2780,Forecasts!O2786,Forecasts!O2792,Forecasts!O2798,Forecasts!O2804,Forecasts!O2810)</x:f>
        <x:v>1.1287277438310028</x:v>
      </x:c>
      <x:c r="I497" s="8" t="n">
        <x:f>AVERAGE(Forecasts!M2768,Forecasts!M2774,Forecasts!M2780,Forecasts!M2786,Forecasts!M2792,Forecasts!M2798,Forecasts!M2804,Forecasts!M2810)</x:f>
        <x:v>-0.1921064020870341</x:v>
      </x:c>
      <x:c r="J497" s="8" t="n">
        <x:f>SQRT(AVERAGE(Forecasts!N1538,Forecasts!N1554,Forecasts!N1571,Forecasts!N1587,Forecasts!N1603,Forecasts!N1619,Forecasts!N1635,Forecasts!N1651))</x:f>
        <x:v>2.0615528128088303</x:v>
      </x:c>
      <x:c r="K497" s="8" t="n">
        <x:f>SQRT(AVERAGE(Forecasts!N1540,Forecasts!N1556,Forecasts!N1573,Forecasts!N1589,Forecasts!N1605,Forecasts!N1621,Forecasts!N1637,Forecasts!N1653))</x:f>
        <x:v>1.942896327158331</x:v>
      </x:c>
    </x:row>
    <x:row r="498" ht="26" customHeight="1">
      <x:c r="A498" s="2"/>
      <x:c r="B498" s="2" t="str">
        <x:v>Health Care / organic_volume_growth</x:v>
      </x:c>
      <x:c r="C498" s="2" t="str">
        <x:v>Prior report</x:v>
      </x:c>
      <x:c r="D498" s="2" t="str">
        <x:v>Broad lag 1</x:v>
      </x:c>
      <x:c r="E498" s="2" t="str">
        <x:v>All available</x:v>
      </x:c>
      <x:c r="F498" s="2" t="n">
        <x:v>2</x:v>
      </x:c>
      <x:c r="G498" s="8" t="n">
        <x:f>SQRT(AVERAGE(Forecasts!N1492,Forecasts!N1557))</x:f>
        <x:v>1.3334654884238288</x:v>
      </x:c>
      <x:c r="H498" s="8" t="n">
        <x:f>AVERAGE(Forecasts!O1492,Forecasts!O1557)</x:f>
        <x:v>1.3255791103940457</x:v>
      </x:c>
      <x:c r="I498" s="8" t="n">
        <x:f>AVERAGE(Forecasts!M1492,Forecasts!M1557)</x:f>
        <x:v>0.14481101789687978</x:v>
      </x:c>
      <x:c r="J498" s="8" t="n">
        <x:f>SQRT(AVERAGE(Forecasts!N1489,Forecasts!N1554))</x:f>
        <x:v>3.8078865529319543</x:v>
      </x:c>
      <x:c r="K498" s="8" t="n">
        <x:f>SQRT(AVERAGE(Forecasts!N1491,Forecasts!N1556))</x:f>
        <x:v>1.4726115309524253</x:v>
      </x:c>
    </x:row>
    <x:row r="499" ht="26" customHeight="1">
      <x:c r="A499" s="2"/>
      <x:c r="B499" s="2" t="str">
        <x:v>Health Care / organic_volume_growth</x:v>
      </x:c>
      <x:c r="C499" s="2" t="str">
        <x:v>Prior report</x:v>
      </x:c>
      <x:c r="D499" s="2" t="str">
        <x:v>Broad lag 1</x:v>
      </x:c>
      <x:c r="E499" s="2" t="str">
        <x:v>Recent eight</x:v>
      </x:c>
      <x:c r="F499" s="2" t="n">
        <x:v>1</x:v>
      </x:c>
      <x:c r="G499" s="8" t="n">
        <x:f>SQRT(AVERAGE(Forecasts!N1557))</x:f>
        <x:v>1.4703901282909255</x:v>
      </x:c>
      <x:c r="H499" s="8" t="n">
        <x:f>AVERAGE(Forecasts!O1557)</x:f>
        <x:v>1.4703901282909255</x:v>
      </x:c>
      <x:c r="I499" s="8" t="n">
        <x:f>AVERAGE(Forecasts!M1557)</x:f>
        <x:v>1.4703901282909255</x:v>
      </x:c>
      <x:c r="J499" s="8" t="n">
        <x:f>SQRT(AVERAGE(Forecasts!N1554))</x:f>
        <x:v>2</x:v>
      </x:c>
      <x:c r="K499" s="8" t="n">
        <x:f>SQRT(AVERAGE(Forecasts!N1556))</x:f>
        <x:v>1.0988809726566044</x:v>
      </x:c>
    </x:row>
    <x:row r="500" ht="26" customHeight="1">
      <x:c r="A500" s="2"/>
      <x:c r="B500" s="2" t="str">
        <x:v>Health Care / organic_volume_growth</x:v>
      </x:c>
      <x:c r="C500" s="2" t="str">
        <x:v>Prior report</x:v>
      </x:c>
      <x:c r="D500" s="2" t="str">
        <x:v>Broad market</x:v>
      </x:c>
      <x:c r="E500" s="2" t="str">
        <x:v>All available</x:v>
      </x:c>
      <x:c r="F500" s="2" t="n">
        <x:v>12</x:v>
      </x:c>
      <x:c r="G500" s="8" t="n">
        <x:f>SQRT(AVERAGE(Forecasts!N1476,Forecasts!N1491,Forecasts!N1508,Forecasts!N1524,Forecasts!N1540,Forecasts!N1556,Forecasts!N1573,Forecasts!N1589,Forecasts!N1605,Forecasts!N1621,Forecasts!N1637,Forecasts!N1653))</x:f>
        <x:v>2.5940569767806725</x:v>
      </x:c>
      <x:c r="H500" s="8" t="n">
        <x:f>AVERAGE(Forecasts!O1476,Forecasts!O1491,Forecasts!O1508,Forecasts!O1524,Forecasts!O1540,Forecasts!O1556,Forecasts!O1573,Forecasts!O1589,Forecasts!O1605,Forecasts!O1621,Forecasts!O1637,Forecasts!O1653)</x:f>
        <x:v>2.298978671791122</x:v>
      </x:c>
      <x:c r="I500" s="8" t="n">
        <x:f>AVERAGE(Forecasts!M1476,Forecasts!M1491,Forecasts!M1508,Forecasts!M1524,Forecasts!M1540,Forecasts!M1556,Forecasts!M1573,Forecasts!M1589,Forecasts!M1605,Forecasts!M1621,Forecasts!M1637,Forecasts!M1653)</x:f>
        <x:v>1.8927720107655357</x:v>
      </x:c>
      <x:c r="J500" s="8" t="n">
        <x:f>SQRT(AVERAGE(Forecasts!N1474,Forecasts!N1489,Forecasts!N1506,Forecasts!N1522,Forecasts!N1538,Forecasts!N1554,Forecasts!N1571,Forecasts!N1587,Forecasts!N1603,Forecasts!N1619,Forecasts!N1635,Forecasts!N1651))</x:f>
        <x:v>3.0413812651491097</x:v>
      </x:c>
      <x:c r="K500" s="8" t="n">
        <x:f>SQRT(AVERAGE(Forecasts!N1476,Forecasts!N1491,Forecasts!N1508,Forecasts!N1524,Forecasts!N1540,Forecasts!N1556,Forecasts!N1573,Forecasts!N1589,Forecasts!N1605,Forecasts!N1621,Forecasts!N1637,Forecasts!N1653))</x:f>
        <x:v>2.5940569767806725</x:v>
      </x:c>
    </x:row>
    <x:row r="501" ht="26" customHeight="1">
      <x:c r="A501" s="2"/>
      <x:c r="B501" s="2" t="str">
        <x:v>Health Care / organic_volume_growth</x:v>
      </x:c>
      <x:c r="C501" s="2" t="str">
        <x:v>Prior report</x:v>
      </x:c>
      <x:c r="D501" s="2" t="str">
        <x:v>Broad market</x:v>
      </x:c>
      <x:c r="E501" s="2" t="str">
        <x:v>Recent eight</x:v>
      </x:c>
      <x:c r="F501" s="2" t="n">
        <x:v>8</x:v>
      </x:c>
      <x:c r="G501" s="8" t="n">
        <x:f>SQRT(AVERAGE(Forecasts!N1540,Forecasts!N1556,Forecasts!N1573,Forecasts!N1589,Forecasts!N1605,Forecasts!N1621,Forecasts!N1637,Forecasts!N1653))</x:f>
        <x:v>1.942896327158331</x:v>
      </x:c>
      <x:c r="H501" s="8" t="n">
        <x:f>AVERAGE(Forecasts!O1540,Forecasts!O1556,Forecasts!O1573,Forecasts!O1589,Forecasts!O1605,Forecasts!O1621,Forecasts!O1637,Forecasts!O1653)</x:f>
        <x:v>1.756850350704997</x:v>
      </x:c>
      <x:c r="I501" s="8" t="n">
        <x:f>AVERAGE(Forecasts!M1540,Forecasts!M1556,Forecasts!M1573,Forecasts!M1589,Forecasts!M1605,Forecasts!M1621,Forecasts!M1637,Forecasts!M1653)</x:f>
        <x:v>1.589809370213724</x:v>
      </x:c>
      <x:c r="J501" s="8" t="n">
        <x:f>SQRT(AVERAGE(Forecasts!N1538,Forecasts!N1554,Forecasts!N1571,Forecasts!N1587,Forecasts!N1603,Forecasts!N1619,Forecasts!N1635,Forecasts!N1651))</x:f>
        <x:v>2.0615528128088303</x:v>
      </x:c>
      <x:c r="K501" s="8" t="n">
        <x:f>SQRT(AVERAGE(Forecasts!N1540,Forecasts!N1556,Forecasts!N1573,Forecasts!N1589,Forecasts!N1605,Forecasts!N1621,Forecasts!N1637,Forecasts!N1653))</x:f>
        <x:v>1.942896327158331</x:v>
      </x:c>
    </x:row>
    <x:row r="502" ht="26" customHeight="1">
      <x:c r="A502" s="2"/>
      <x:c r="B502" s="2" t="str">
        <x:v>Health Care / organic_volume_growth</x:v>
      </x:c>
      <x:c r="C502" s="2" t="str">
        <x:v>Prior report</x:v>
      </x:c>
      <x:c r="D502" s="2" t="str">
        <x:v>Broad rolling 8</x:v>
      </x:c>
      <x:c r="E502" s="2" t="str">
        <x:v>All available</x:v>
      </x:c>
      <x:c r="F502" s="2" t="n">
        <x:v>12</x:v>
      </x:c>
      <x:c r="G502" s="8" t="n">
        <x:f>SQRT(AVERAGE(Forecasts!N1477,Forecasts!N1493,Forecasts!N1509,Forecasts!N1525,Forecasts!N1541,Forecasts!N1558,Forecasts!N1574,Forecasts!N1590,Forecasts!N1606,Forecasts!N1622,Forecasts!N1638,Forecasts!N1654))</x:f>
        <x:v>2.2992557644119</x:v>
      </x:c>
      <x:c r="H502" s="8" t="n">
        <x:f>AVERAGE(Forecasts!O1477,Forecasts!O1493,Forecasts!O1509,Forecasts!O1525,Forecasts!O1541,Forecasts!O1558,Forecasts!O1574,Forecasts!O1590,Forecasts!O1606,Forecasts!O1622,Forecasts!O1638,Forecasts!O1654)</x:f>
        <x:v>1.6396904320400736</x:v>
      </x:c>
      <x:c r="I502" s="8" t="n">
        <x:f>AVERAGE(Forecasts!M1477,Forecasts!M1493,Forecasts!M1509,Forecasts!M1525,Forecasts!M1541,Forecasts!M1558,Forecasts!M1574,Forecasts!M1590,Forecasts!M1606,Forecasts!M1622,Forecasts!M1638,Forecasts!M1654)</x:f>
        <x:v>0.9856478612845417</x:v>
      </x:c>
      <x:c r="J502" s="8" t="n">
        <x:f>SQRT(AVERAGE(Forecasts!N1474,Forecasts!N1489,Forecasts!N1506,Forecasts!N1522,Forecasts!N1538,Forecasts!N1554,Forecasts!N1571,Forecasts!N1587,Forecasts!N1603,Forecasts!N1619,Forecasts!N1635,Forecasts!N1651))</x:f>
        <x:v>3.0413812651491097</x:v>
      </x:c>
      <x:c r="K502" s="8" t="n">
        <x:f>SQRT(AVERAGE(Forecasts!N1476,Forecasts!N1491,Forecasts!N1508,Forecasts!N1524,Forecasts!N1540,Forecasts!N1556,Forecasts!N1573,Forecasts!N1589,Forecasts!N1605,Forecasts!N1621,Forecasts!N1637,Forecasts!N1653))</x:f>
        <x:v>2.5940569767806725</x:v>
      </x:c>
    </x:row>
    <x:row r="503" ht="26" customHeight="1">
      <x:c r="A503" s="2"/>
      <x:c r="B503" s="2" t="str">
        <x:v>Health Care / organic_volume_growth</x:v>
      </x:c>
      <x:c r="C503" s="2" t="str">
        <x:v>Prior report</x:v>
      </x:c>
      <x:c r="D503" s="2" t="str">
        <x:v>Broad rolling 8</x:v>
      </x:c>
      <x:c r="E503" s="2" t="str">
        <x:v>Recent eight</x:v>
      </x:c>
      <x:c r="F503" s="2" t="n">
        <x:v>8</x:v>
      </x:c>
      <x:c r="G503" s="8" t="n">
        <x:f>SQRT(AVERAGE(Forecasts!N1541,Forecasts!N1558,Forecasts!N1574,Forecasts!N1590,Forecasts!N1606,Forecasts!N1622,Forecasts!N1638,Forecasts!N1654))</x:f>
        <x:v>0.808893810110985</x:v>
      </x:c>
      <x:c r="H503" s="8" t="n">
        <x:f>AVERAGE(Forecasts!O1541,Forecasts!O1558,Forecasts!O1574,Forecasts!O1590,Forecasts!O1606,Forecasts!O1622,Forecasts!O1638,Forecasts!O1654)</x:f>
        <x:v>0.6962665760151197</x:v>
      </x:c>
      <x:c r="I503" s="8" t="n">
        <x:f>AVERAGE(Forecasts!M1541,Forecasts!M1558,Forecasts!M1574,Forecasts!M1590,Forecasts!M1606,Forecasts!M1622,Forecasts!M1638,Forecasts!M1654)</x:f>
        <x:v>0.06382978633974534</x:v>
      </x:c>
      <x:c r="J503" s="8" t="n">
        <x:f>SQRT(AVERAGE(Forecasts!N1538,Forecasts!N1554,Forecasts!N1571,Forecasts!N1587,Forecasts!N1603,Forecasts!N1619,Forecasts!N1635,Forecasts!N1651))</x:f>
        <x:v>2.0615528128088303</x:v>
      </x:c>
      <x:c r="K503" s="8" t="n">
        <x:f>SQRT(AVERAGE(Forecasts!N1540,Forecasts!N1556,Forecasts!N1573,Forecasts!N1589,Forecasts!N1605,Forecasts!N1621,Forecasts!N1637,Forecasts!N1653))</x:f>
        <x:v>1.942896327158331</x:v>
      </x:c>
    </x:row>
    <x:row r="504" ht="26" customHeight="1">
      <x:c r="A504" s="2"/>
      <x:c r="B504" s="2" t="str">
        <x:v>Health Care / organic_volume_growth</x:v>
      </x:c>
      <x:c r="C504" s="2" t="str">
        <x:v>Prior report</x:v>
      </x:c>
      <x:c r="D504" s="2" t="str">
        <x:v>Four-quarter mean</x:v>
      </x:c>
      <x:c r="E504" s="2" t="str">
        <x:v>All available</x:v>
      </x:c>
      <x:c r="F504" s="2" t="n">
        <x:v>12</x:v>
      </x:c>
      <x:c r="G504" s="8" t="n">
        <x:f>SQRT(AVERAGE(Forecasts!N1475,Forecasts!N1490,Forecasts!N1507,Forecasts!N1523,Forecasts!N1539,Forecasts!N1555,Forecasts!N1572,Forecasts!N1588,Forecasts!N1604,Forecasts!N1620,Forecasts!N1636,Forecasts!N1652))</x:f>
        <x:v>2.2150056433336687</x:v>
      </x:c>
      <x:c r="H504" s="8" t="n">
        <x:f>AVERAGE(Forecasts!O1475,Forecasts!O1490,Forecasts!O1507,Forecasts!O1523,Forecasts!O1539,Forecasts!O1555,Forecasts!O1572,Forecasts!O1588,Forecasts!O1604,Forecasts!O1620,Forecasts!O1636,Forecasts!O1652)</x:f>
        <x:v>1.7916666666666667</x:v>
      </x:c>
      <x:c r="I504" s="8" t="n">
        <x:f>AVERAGE(Forecasts!M1475,Forecasts!M1490,Forecasts!M1507,Forecasts!M1523,Forecasts!M1539,Forecasts!M1555,Forecasts!M1572,Forecasts!M1588,Forecasts!M1604,Forecasts!M1620,Forecasts!M1636,Forecasts!M1652)</x:f>
        <x:v>0.2916666666666667</x:v>
      </x:c>
      <x:c r="J504" s="8" t="n">
        <x:f>SQRT(AVERAGE(Forecasts!N1474,Forecasts!N1489,Forecasts!N1506,Forecasts!N1522,Forecasts!N1538,Forecasts!N1554,Forecasts!N1571,Forecasts!N1587,Forecasts!N1603,Forecasts!N1619,Forecasts!N1635,Forecasts!N1651))</x:f>
        <x:v>3.0413812651491097</x:v>
      </x:c>
      <x:c r="K504" s="8" t="n">
        <x:f>SQRT(AVERAGE(Forecasts!N1476,Forecasts!N1491,Forecasts!N1508,Forecasts!N1524,Forecasts!N1540,Forecasts!N1556,Forecasts!N1573,Forecasts!N1589,Forecasts!N1605,Forecasts!N1621,Forecasts!N1637,Forecasts!N1653))</x:f>
        <x:v>2.5940569767806725</x:v>
      </x:c>
    </x:row>
    <x:row r="505" ht="26" customHeight="1">
      <x:c r="A505" s="2"/>
      <x:c r="B505" s="2" t="str">
        <x:v>Health Care / organic_volume_growth</x:v>
      </x:c>
      <x:c r="C505" s="2" t="str">
        <x:v>Prior report</x:v>
      </x:c>
      <x:c r="D505" s="2" t="str">
        <x:v>Four-quarter mean</x:v>
      </x:c>
      <x:c r="E505" s="2" t="str">
        <x:v>Recent eight</x:v>
      </x:c>
      <x:c r="F505" s="2" t="n">
        <x:v>8</x:v>
      </x:c>
      <x:c r="G505" s="8" t="n">
        <x:f>SQRT(AVERAGE(Forecasts!N1539,Forecasts!N1555,Forecasts!N1572,Forecasts!N1588,Forecasts!N1604,Forecasts!N1620,Forecasts!N1636,Forecasts!N1652))</x:f>
        <x:v>1.541103500742244</x:v>
      </x:c>
      <x:c r="H505" s="8" t="n">
        <x:f>AVERAGE(Forecasts!O1539,Forecasts!O1555,Forecasts!O1572,Forecasts!O1588,Forecasts!O1604,Forecasts!O1620,Forecasts!O1636,Forecasts!O1652)</x:f>
        <x:v>1.125</x:v>
      </x:c>
      <x:c r="I505" s="8" t="n">
        <x:f>AVERAGE(Forecasts!M1539,Forecasts!M1555,Forecasts!M1572,Forecasts!M1588,Forecasts!M1604,Forecasts!M1620,Forecasts!M1636,Forecasts!M1652)</x:f>
        <x:v>-0.3125</x:v>
      </x:c>
      <x:c r="J505" s="8" t="n">
        <x:f>SQRT(AVERAGE(Forecasts!N1538,Forecasts!N1554,Forecasts!N1571,Forecasts!N1587,Forecasts!N1603,Forecasts!N1619,Forecasts!N1635,Forecasts!N1651))</x:f>
        <x:v>2.0615528128088303</x:v>
      </x:c>
      <x:c r="K505" s="8" t="n">
        <x:f>SQRT(AVERAGE(Forecasts!N1540,Forecasts!N1556,Forecasts!N1573,Forecasts!N1589,Forecasts!N1605,Forecasts!N1621,Forecasts!N1637,Forecasts!N1653))</x:f>
        <x:v>1.942896327158331</x:v>
      </x:c>
    </x:row>
    <x:row r="506" ht="26" customHeight="1">
      <x:c r="A506" s="2"/>
      <x:c r="B506" s="2" t="str">
        <x:v>Health Care / organic_volume_growth</x:v>
      </x:c>
      <x:c r="C506" s="2" t="str">
        <x:v>Prior report</x:v>
      </x:c>
      <x:c r="D506" s="2" t="str">
        <x:v>Half correction</x:v>
      </x:c>
      <x:c r="E506" s="2" t="str">
        <x:v>All available</x:v>
      </x:c>
      <x:c r="F506" s="2" t="n">
        <x:v>8</x:v>
      </x:c>
      <x:c r="G506" s="8" t="n">
        <x:f>SQRT(AVERAGE(Forecasts!N2769,Forecasts!N2775,Forecasts!N2781,Forecasts!N2787,Forecasts!N2793,Forecasts!N2799,Forecasts!N2805,Forecasts!N2811))</x:f>
        <x:v>1.4827407022827643</x:v>
      </x:c>
      <x:c r="H506" s="8" t="n">
        <x:f>AVERAGE(Forecasts!O2769,Forecasts!O2775,Forecasts!O2781,Forecasts!O2787,Forecasts!O2793,Forecasts!O2799,Forecasts!O2805,Forecasts!O2811)</x:f>
        <x:v>1.3017420463774496</x:v>
      </x:c>
      <x:c r="I506" s="8" t="n">
        <x:f>AVERAGE(Forecasts!M2769,Forecasts!M2775,Forecasts!M2781,Forecasts!M2787,Forecasts!M2793,Forecasts!M2799,Forecasts!M2805,Forecasts!M2811)</x:f>
        <x:v>0.698851484063345</x:v>
      </x:c>
      <x:c r="J506" s="8" t="n">
        <x:f>SQRT(AVERAGE(Forecasts!N1538,Forecasts!N1554,Forecasts!N1571,Forecasts!N1587,Forecasts!N1603,Forecasts!N1619,Forecasts!N1635,Forecasts!N1651))</x:f>
        <x:v>2.0615528128088303</x:v>
      </x:c>
      <x:c r="K506" s="8" t="n">
        <x:f>SQRT(AVERAGE(Forecasts!N1540,Forecasts!N1556,Forecasts!N1573,Forecasts!N1589,Forecasts!N1605,Forecasts!N1621,Forecasts!N1637,Forecasts!N1653))</x:f>
        <x:v>1.942896327158331</x:v>
      </x:c>
    </x:row>
    <x:row r="507" ht="26" customHeight="1">
      <x:c r="A507" s="2"/>
      <x:c r="B507" s="2" t="str">
        <x:v>Health Care / organic_volume_growth</x:v>
      </x:c>
      <x:c r="C507" s="2" t="str">
        <x:v>Prior report</x:v>
      </x:c>
      <x:c r="D507" s="2" t="str">
        <x:v>Half correction</x:v>
      </x:c>
      <x:c r="E507" s="2" t="str">
        <x:v>Recent eight</x:v>
      </x:c>
      <x:c r="F507" s="2" t="n">
        <x:v>8</x:v>
      </x:c>
      <x:c r="G507" s="8" t="n">
        <x:f>SQRT(AVERAGE(Forecasts!N2769,Forecasts!N2775,Forecasts!N2781,Forecasts!N2787,Forecasts!N2793,Forecasts!N2799,Forecasts!N2805,Forecasts!N2811))</x:f>
        <x:v>1.4827407022827643</x:v>
      </x:c>
      <x:c r="H507" s="8" t="n">
        <x:f>AVERAGE(Forecasts!O2769,Forecasts!O2775,Forecasts!O2781,Forecasts!O2787,Forecasts!O2793,Forecasts!O2799,Forecasts!O2805,Forecasts!O2811)</x:f>
        <x:v>1.3017420463774496</x:v>
      </x:c>
      <x:c r="I507" s="8" t="n">
        <x:f>AVERAGE(Forecasts!M2769,Forecasts!M2775,Forecasts!M2781,Forecasts!M2787,Forecasts!M2793,Forecasts!M2799,Forecasts!M2805,Forecasts!M2811)</x:f>
        <x:v>0.698851484063345</x:v>
      </x:c>
      <x:c r="J507" s="8" t="n">
        <x:f>SQRT(AVERAGE(Forecasts!N1538,Forecasts!N1554,Forecasts!N1571,Forecasts!N1587,Forecasts!N1603,Forecasts!N1619,Forecasts!N1635,Forecasts!N1651))</x:f>
        <x:v>2.0615528128088303</x:v>
      </x:c>
      <x:c r="K507" s="8" t="n">
        <x:f>SQRT(AVERAGE(Forecasts!N1540,Forecasts!N1556,Forecasts!N1573,Forecasts!N1589,Forecasts!N1605,Forecasts!N1621,Forecasts!N1637,Forecasts!N1653))</x:f>
        <x:v>1.942896327158331</x:v>
      </x:c>
    </x:row>
    <x:row r="508" ht="26" customHeight="1">
      <x:c r="A508" s="2"/>
      <x:c r="B508" s="2" t="str">
        <x:v>Health Care / organic_volume_growth</x:v>
      </x:c>
      <x:c r="C508" s="2" t="str">
        <x:v>Prior report</x:v>
      </x:c>
      <x:c r="D508" s="2" t="str">
        <x:v>Last actual</x:v>
      </x:c>
      <x:c r="E508" s="2" t="str">
        <x:v>All available</x:v>
      </x:c>
      <x:c r="F508" s="2" t="n">
        <x:v>12</x:v>
      </x:c>
      <x:c r="G508" s="8" t="n">
        <x:f>SQRT(AVERAGE(Forecasts!N1474,Forecasts!N1489,Forecasts!N1506,Forecasts!N1522,Forecasts!N1538,Forecasts!N1554,Forecasts!N1571,Forecasts!N1587,Forecasts!N1603,Forecasts!N1619,Forecasts!N1635,Forecasts!N1651))</x:f>
        <x:v>3.0413812651491097</x:v>
      </x:c>
      <x:c r="H508" s="8" t="n">
        <x:f>AVERAGE(Forecasts!O1474,Forecasts!O1489,Forecasts!O1506,Forecasts!O1522,Forecasts!O1538,Forecasts!O1554,Forecasts!O1571,Forecasts!O1587,Forecasts!O1603,Forecasts!O1619,Forecasts!O1635,Forecasts!O1651)</x:f>
        <x:v>2.25</x:v>
      </x:c>
      <x:c r="I508" s="8" t="n">
        <x:f>AVERAGE(Forecasts!M1474,Forecasts!M1489,Forecasts!M1506,Forecasts!M1522,Forecasts!M1538,Forecasts!M1554,Forecasts!M1571,Forecasts!M1587,Forecasts!M1603,Forecasts!M1619,Forecasts!M1635,Forecasts!M1651)</x:f>
        <x:v>0.25</x:v>
      </x:c>
      <x:c r="J508" s="8" t="n">
        <x:f>SQRT(AVERAGE(Forecasts!N1474,Forecasts!N1489,Forecasts!N1506,Forecasts!N1522,Forecasts!N1538,Forecasts!N1554,Forecasts!N1571,Forecasts!N1587,Forecasts!N1603,Forecasts!N1619,Forecasts!N1635,Forecasts!N1651))</x:f>
        <x:v>3.0413812651491097</x:v>
      </x:c>
      <x:c r="K508" s="8" t="n">
        <x:f>SQRT(AVERAGE(Forecasts!N1476,Forecasts!N1491,Forecasts!N1508,Forecasts!N1524,Forecasts!N1540,Forecasts!N1556,Forecasts!N1573,Forecasts!N1589,Forecasts!N1605,Forecasts!N1621,Forecasts!N1637,Forecasts!N1653))</x:f>
        <x:v>2.5940569767806725</x:v>
      </x:c>
    </x:row>
    <x:row r="509" ht="26" customHeight="1">
      <x:c r="A509" s="2"/>
      <x:c r="B509" s="2" t="str">
        <x:v>Health Care / organic_volume_growth</x:v>
      </x:c>
      <x:c r="C509" s="2" t="str">
        <x:v>Prior report</x:v>
      </x:c>
      <x:c r="D509" s="2" t="str">
        <x:v>Last actual</x:v>
      </x:c>
      <x:c r="E509" s="2" t="str">
        <x:v>Recent eight</x:v>
      </x:c>
      <x:c r="F509" s="2" t="n">
        <x:v>8</x:v>
      </x:c>
      <x:c r="G509" s="8" t="n">
        <x:f>SQRT(AVERAGE(Forecasts!N1538,Forecasts!N1554,Forecasts!N1571,Forecasts!N1587,Forecasts!N1603,Forecasts!N1619,Forecasts!N1635,Forecasts!N1651))</x:f>
        <x:v>2.0615528128088303</x:v>
      </x:c>
      <x:c r="H509" s="8" t="n">
        <x:f>AVERAGE(Forecasts!O1538,Forecasts!O1554,Forecasts!O1571,Forecasts!O1587,Forecasts!O1603,Forecasts!O1619,Forecasts!O1635,Forecasts!O1651)</x:f>
        <x:v>1.5</x:v>
      </x:c>
      <x:c r="I509" s="8" t="n">
        <x:f>AVERAGE(Forecasts!M1538,Forecasts!M1554,Forecasts!M1571,Forecasts!M1587,Forecasts!M1603,Forecasts!M1619,Forecasts!M1635,Forecasts!M1651)</x:f>
        <x:v>-0.25</x:v>
      </x:c>
      <x:c r="J509" s="8" t="n">
        <x:f>SQRT(AVERAGE(Forecasts!N1538,Forecasts!N1554,Forecasts!N1571,Forecasts!N1587,Forecasts!N1603,Forecasts!N1619,Forecasts!N1635,Forecasts!N1651))</x:f>
        <x:v>2.0615528128088303</x:v>
      </x:c>
      <x:c r="K509" s="8" t="n">
        <x:f>SQRT(AVERAGE(Forecasts!N1540,Forecasts!N1556,Forecasts!N1573,Forecasts!N1589,Forecasts!N1605,Forecasts!N1621,Forecasts!N1637,Forecasts!N1653))</x:f>
        <x:v>1.942896327158331</x:v>
      </x:c>
    </x:row>
    <x:row r="510" ht="26" customHeight="1">
      <x:c r="A510" s="2"/>
      <x:c r="B510" s="2" t="str">
        <x:v>Health Care / organic_volume_growth</x:v>
      </x:c>
      <x:c r="C510" s="2" t="str">
        <x:v>Prior report</x:v>
      </x:c>
      <x:c r="D510" s="2" t="str">
        <x:v>Own history</x:v>
      </x:c>
      <x:c r="E510" s="2" t="str">
        <x:v>All available</x:v>
      </x:c>
      <x:c r="F510" s="2" t="n">
        <x:v>12</x:v>
      </x:c>
      <x:c r="G510" s="8" t="n">
        <x:f>SQRT(AVERAGE(Forecasts!N1478,Forecasts!N1494,Forecasts!N1510,Forecasts!N1526,Forecasts!N1542,Forecasts!N1559,Forecasts!N1575,Forecasts!N1591,Forecasts!N1607,Forecasts!N1623,Forecasts!N1639,Forecasts!N1655))</x:f>
        <x:v>3.3729929862514343</x:v>
      </x:c>
      <x:c r="H510" s="8" t="n">
        <x:f>AVERAGE(Forecasts!O1478,Forecasts!O1494,Forecasts!O1510,Forecasts!O1526,Forecasts!O1542,Forecasts!O1559,Forecasts!O1575,Forecasts!O1591,Forecasts!O1607,Forecasts!O1623,Forecasts!O1639,Forecasts!O1655)</x:f>
        <x:v>2.651409061554755</x:v>
      </x:c>
      <x:c r="I510" s="8" t="n">
        <x:f>AVERAGE(Forecasts!M1478,Forecasts!M1494,Forecasts!M1510,Forecasts!M1526,Forecasts!M1542,Forecasts!M1559,Forecasts!M1575,Forecasts!M1591,Forecasts!M1607,Forecasts!M1623,Forecasts!M1639,Forecasts!M1655)</x:f>
        <x:v>2.521707164535785</x:v>
      </x:c>
      <x:c r="J510" s="8" t="n">
        <x:f>SQRT(AVERAGE(Forecasts!N1474,Forecasts!N1489,Forecasts!N1506,Forecasts!N1522,Forecasts!N1538,Forecasts!N1554,Forecasts!N1571,Forecasts!N1587,Forecasts!N1603,Forecasts!N1619,Forecasts!N1635,Forecasts!N1651))</x:f>
        <x:v>3.0413812651491097</x:v>
      </x:c>
      <x:c r="K510" s="8" t="n">
        <x:f>SQRT(AVERAGE(Forecasts!N1476,Forecasts!N1491,Forecasts!N1508,Forecasts!N1524,Forecasts!N1540,Forecasts!N1556,Forecasts!N1573,Forecasts!N1589,Forecasts!N1605,Forecasts!N1621,Forecasts!N1637,Forecasts!N1653))</x:f>
        <x:v>2.5940569767806725</x:v>
      </x:c>
    </x:row>
    <x:row r="511" ht="26" customHeight="1">
      <x:c r="A511" s="2"/>
      <x:c r="B511" s="2" t="str">
        <x:v>Health Care / organic_volume_growth</x:v>
      </x:c>
      <x:c r="C511" s="2" t="str">
        <x:v>Prior report</x:v>
      </x:c>
      <x:c r="D511" s="2" t="str">
        <x:v>Own history</x:v>
      </x:c>
      <x:c r="E511" s="2" t="str">
        <x:v>Recent eight</x:v>
      </x:c>
      <x:c r="F511" s="2" t="n">
        <x:v>8</x:v>
      </x:c>
      <x:c r="G511" s="8" t="n">
        <x:f>SQRT(AVERAGE(Forecasts!N1542,Forecasts!N1559,Forecasts!N1575,Forecasts!N1591,Forecasts!N1607,Forecasts!N1623,Forecasts!N1639,Forecasts!N1655))</x:f>
        <x:v>1.8430885508275745</x:v>
      </x:c>
      <x:c r="H511" s="8" t="n">
        <x:f>AVERAGE(Forecasts!O1542,Forecasts!O1559,Forecasts!O1575,Forecasts!O1591,Forecasts!O1607,Forecasts!O1623,Forecasts!O1639,Forecasts!O1655)</x:f>
        <x:v>1.7075716239760261</x:v>
      </x:c>
      <x:c r="I511" s="8" t="n">
        <x:f>AVERAGE(Forecasts!M1542,Forecasts!M1559,Forecasts!M1575,Forecasts!M1591,Forecasts!M1607,Forecasts!M1623,Forecasts!M1639,Forecasts!M1655)</x:f>
        <x:v>1.513018778447571</x:v>
      </x:c>
      <x:c r="J511" s="8" t="n">
        <x:f>SQRT(AVERAGE(Forecasts!N1538,Forecasts!N1554,Forecasts!N1571,Forecasts!N1587,Forecasts!N1603,Forecasts!N1619,Forecasts!N1635,Forecasts!N1651))</x:f>
        <x:v>2.0615528128088303</x:v>
      </x:c>
      <x:c r="K511" s="8" t="n">
        <x:f>SQRT(AVERAGE(Forecasts!N1540,Forecasts!N1556,Forecasts!N1573,Forecasts!N1589,Forecasts!N1605,Forecasts!N1621,Forecasts!N1637,Forecasts!N1653))</x:f>
        <x:v>1.942896327158331</x:v>
      </x:c>
    </x:row>
    <x:row r="512" ht="26" customHeight="1">
      <x:c r="A512" s="2"/>
      <x:c r="B512" s="2" t="str">
        <x:v>Health Care / organic_volume_growth</x:v>
      </x:c>
      <x:c r="C512" s="2" t="str">
        <x:v>Pre-earnings</x:v>
      </x:c>
      <x:c r="D512" s="2" t="str">
        <x:v>Bias correction</x:v>
      </x:c>
      <x:c r="E512" s="2" t="str">
        <x:v>All available</x:v>
      </x:c>
      <x:c r="F512" s="2" t="n">
        <x:v>8</x:v>
      </x:c>
      <x:c r="G512" s="8" t="n">
        <x:f>SQRT(AVERAGE(Forecasts!N2770,Forecasts!N2776,Forecasts!N2782,Forecasts!N2788,Forecasts!N2794,Forecasts!N2800,Forecasts!N2806,Forecasts!N2812))</x:f>
        <x:v>1.7602879344540125</x:v>
      </x:c>
      <x:c r="H512" s="8" t="n">
        <x:f>AVERAGE(Forecasts!O2770,Forecasts!O2776,Forecasts!O2782,Forecasts!O2788,Forecasts!O2794,Forecasts!O2800,Forecasts!O2806,Forecasts!O2812)</x:f>
        <x:v>1.3943553701893505</x:v>
      </x:c>
      <x:c r="I512" s="8" t="n">
        <x:f>AVERAGE(Forecasts!M2770,Forecasts!M2776,Forecasts!M2782,Forecasts!M2788,Forecasts!M2794,Forecasts!M2800,Forecasts!M2806,Forecasts!M2812)</x:f>
        <x:v>-0.38455817679984605</x:v>
      </x:c>
      <x:c r="J512" s="8" t="n">
        <x:f>SQRT(AVERAGE(Forecasts!N1543,Forecasts!N1560,Forecasts!N1576,Forecasts!N1592,Forecasts!N1608,Forecasts!N1624,Forecasts!N1640,Forecasts!N1656))</x:f>
        <x:v>2.0615528128088303</x:v>
      </x:c>
      <x:c r="K512" s="8" t="n">
        <x:f>SQRT(AVERAGE(Forecasts!N1545,Forecasts!N1562,Forecasts!N1578,Forecasts!N1594,Forecasts!N1610,Forecasts!N1626,Forecasts!N1642,Forecasts!N1658))</x:f>
        <x:v>1.8891739842548123</x:v>
      </x:c>
    </x:row>
    <x:row r="513" ht="26" customHeight="1">
      <x:c r="A513" s="2"/>
      <x:c r="B513" s="2" t="str">
        <x:v>Health Care / organic_volume_growth</x:v>
      </x:c>
      <x:c r="C513" s="2" t="str">
        <x:v>Pre-earnings</x:v>
      </x:c>
      <x:c r="D513" s="2" t="str">
        <x:v>Bias correction</x:v>
      </x:c>
      <x:c r="E513" s="2" t="str">
        <x:v>Recent eight</x:v>
      </x:c>
      <x:c r="F513" s="2" t="n">
        <x:v>8</x:v>
      </x:c>
      <x:c r="G513" s="8" t="n">
        <x:f>SQRT(AVERAGE(Forecasts!N2770,Forecasts!N2776,Forecasts!N2782,Forecasts!N2788,Forecasts!N2794,Forecasts!N2800,Forecasts!N2806,Forecasts!N2812))</x:f>
        <x:v>1.7602879344540125</x:v>
      </x:c>
      <x:c r="H513" s="8" t="n">
        <x:f>AVERAGE(Forecasts!O2770,Forecasts!O2776,Forecasts!O2782,Forecasts!O2788,Forecasts!O2794,Forecasts!O2800,Forecasts!O2806,Forecasts!O2812)</x:f>
        <x:v>1.3943553701893505</x:v>
      </x:c>
      <x:c r="I513" s="8" t="n">
        <x:f>AVERAGE(Forecasts!M2770,Forecasts!M2776,Forecasts!M2782,Forecasts!M2788,Forecasts!M2794,Forecasts!M2800,Forecasts!M2806,Forecasts!M2812)</x:f>
        <x:v>-0.38455817679984605</x:v>
      </x:c>
      <x:c r="J513" s="8" t="n">
        <x:f>SQRT(AVERAGE(Forecasts!N1543,Forecasts!N1560,Forecasts!N1576,Forecasts!N1592,Forecasts!N1608,Forecasts!N1624,Forecasts!N1640,Forecasts!N1656))</x:f>
        <x:v>2.0615528128088303</x:v>
      </x:c>
      <x:c r="K513" s="8" t="n">
        <x:f>SQRT(AVERAGE(Forecasts!N1545,Forecasts!N1562,Forecasts!N1578,Forecasts!N1594,Forecasts!N1610,Forecasts!N1626,Forecasts!N1642,Forecasts!N1658))</x:f>
        <x:v>1.8891739842548123</x:v>
      </x:c>
    </x:row>
    <x:row r="514" ht="26" customHeight="1">
      <x:c r="A514" s="2"/>
      <x:c r="B514" s="2" t="str">
        <x:v>Health Care / organic_volume_growth</x:v>
      </x:c>
      <x:c r="C514" s="2" t="str">
        <x:v>Pre-earnings</x:v>
      </x:c>
      <x:c r="D514" s="2" t="str">
        <x:v>Broad lag 1</x:v>
      </x:c>
      <x:c r="E514" s="2" t="str">
        <x:v>All available</x:v>
      </x:c>
      <x:c r="F514" s="2" t="n">
        <x:v>12</x:v>
      </x:c>
      <x:c r="G514" s="8" t="n">
        <x:f>SQRT(AVERAGE(Forecasts!N1482,Forecasts!N1498,Forecasts!N1514,Forecasts!N1530,Forecasts!N1546,Forecasts!N1563,Forecasts!N1579,Forecasts!N1595,Forecasts!N1611,Forecasts!N1627,Forecasts!N1643,Forecasts!N1659))</x:f>
        <x:v>2.9507239653638964</x:v>
      </x:c>
      <x:c r="H514" s="8" t="n">
        <x:f>AVERAGE(Forecasts!O1482,Forecasts!O1498,Forecasts!O1514,Forecasts!O1530,Forecasts!O1546,Forecasts!O1563,Forecasts!O1579,Forecasts!O1595,Forecasts!O1611,Forecasts!O1627,Forecasts!O1643,Forecasts!O1659)</x:f>
        <x:v>2.5511549547207912</x:v>
      </x:c>
      <x:c r="I514" s="8" t="n">
        <x:f>AVERAGE(Forecasts!M1482,Forecasts!M1498,Forecasts!M1514,Forecasts!M1530,Forecasts!M1546,Forecasts!M1563,Forecasts!M1579,Forecasts!M1595,Forecasts!M1611,Forecasts!M1627,Forecasts!M1643,Forecasts!M1659)</x:f>
        <x:v>2.1465939380520003</x:v>
      </x:c>
      <x:c r="J514" s="8" t="n">
        <x:f>SQRT(AVERAGE(Forecasts!N1479,Forecasts!N1495,Forecasts!N1511,Forecasts!N1527,Forecasts!N1543,Forecasts!N1560,Forecasts!N1576,Forecasts!N1592,Forecasts!N1608,Forecasts!N1624,Forecasts!N1640,Forecasts!N1656))</x:f>
        <x:v>3.0413812651491097</x:v>
      </x:c>
      <x:c r="K514" s="8" t="n">
        <x:f>SQRT(AVERAGE(Forecasts!N1481,Forecasts!N1497,Forecasts!N1513,Forecasts!N1529,Forecasts!N1545,Forecasts!N1562,Forecasts!N1578,Forecasts!N1594,Forecasts!N1610,Forecasts!N1626,Forecasts!N1642,Forecasts!N1658))</x:f>
        <x:v>2.6265095205898437</x:v>
      </x:c>
    </x:row>
    <x:row r="515" ht="26" customHeight="1">
      <x:c r="A515" s="2"/>
      <x:c r="B515" s="2" t="str">
        <x:v>Health Care / organic_volume_growth</x:v>
      </x:c>
      <x:c r="C515" s="2" t="str">
        <x:v>Pre-earnings</x:v>
      </x:c>
      <x:c r="D515" s="2" t="str">
        <x:v>Broad lag 1</x:v>
      </x:c>
      <x:c r="E515" s="2" t="str">
        <x:v>Recent eight</x:v>
      </x:c>
      <x:c r="F515" s="2" t="n">
        <x:v>8</x:v>
      </x:c>
      <x:c r="G515" s="8" t="n">
        <x:f>SQRT(AVERAGE(Forecasts!N1546,Forecasts!N1563,Forecasts!N1579,Forecasts!N1595,Forecasts!N1611,Forecasts!N1627,Forecasts!N1643,Forecasts!N1659))</x:f>
        <x:v>1.9789391735631585</x:v>
      </x:c>
      <x:c r="H515" s="8" t="n">
        <x:f>AVERAGE(Forecasts!O1546,Forecasts!O1563,Forecasts!O1579,Forecasts!O1595,Forecasts!O1611,Forecasts!O1627,Forecasts!O1643,Forecasts!O1659)</x:f>
        <x:v>1.8043463410362408</x:v>
      </x:c>
      <x:c r="I515" s="8" t="n">
        <x:f>AVERAGE(Forecasts!M1546,Forecasts!M1563,Forecasts!M1579,Forecasts!M1595,Forecasts!M1611,Forecasts!M1627,Forecasts!M1643,Forecasts!M1659)</x:f>
        <x:v>1.6395264439870263</x:v>
      </x:c>
      <x:c r="J515" s="8" t="n">
        <x:f>SQRT(AVERAGE(Forecasts!N1543,Forecasts!N1560,Forecasts!N1576,Forecasts!N1592,Forecasts!N1608,Forecasts!N1624,Forecasts!N1640,Forecasts!N1656))</x:f>
        <x:v>2.0615528128088303</x:v>
      </x:c>
      <x:c r="K515" s="8" t="n">
        <x:f>SQRT(AVERAGE(Forecasts!N1545,Forecasts!N1562,Forecasts!N1578,Forecasts!N1594,Forecasts!N1610,Forecasts!N1626,Forecasts!N1642,Forecasts!N1658))</x:f>
        <x:v>1.8891739842548123</x:v>
      </x:c>
    </x:row>
    <x:row r="516" ht="26" customHeight="1">
      <x:c r="A516" s="2"/>
      <x:c r="B516" s="2" t="str">
        <x:v>Health Care / organic_volume_growth</x:v>
      </x:c>
      <x:c r="C516" s="2" t="str">
        <x:v>Pre-earnings</x:v>
      </x:c>
      <x:c r="D516" s="2" t="str">
        <x:v>Broad market</x:v>
      </x:c>
      <x:c r="E516" s="2" t="str">
        <x:v>All available</x:v>
      </x:c>
      <x:c r="F516" s="2" t="n">
        <x:v>12</x:v>
      </x:c>
      <x:c r="G516" s="8" t="n">
        <x:f>SQRT(AVERAGE(Forecasts!N1481,Forecasts!N1497,Forecasts!N1513,Forecasts!N1529,Forecasts!N1545,Forecasts!N1562,Forecasts!N1578,Forecasts!N1594,Forecasts!N1610,Forecasts!N1626,Forecasts!N1642,Forecasts!N1658))</x:f>
        <x:v>2.6265095205898437</x:v>
      </x:c>
      <x:c r="H516" s="8" t="n">
        <x:f>AVERAGE(Forecasts!O1481,Forecasts!O1497,Forecasts!O1513,Forecasts!O1529,Forecasts!O1545,Forecasts!O1562,Forecasts!O1578,Forecasts!O1594,Forecasts!O1610,Forecasts!O1626,Forecasts!O1642,Forecasts!O1658)</x:f>
        <x:v>2.3032704013152565</x:v>
      </x:c>
      <x:c r="I516" s="8" t="n">
        <x:f>AVERAGE(Forecasts!M1481,Forecasts!M1497,Forecasts!M1513,Forecasts!M1529,Forecasts!M1545,Forecasts!M1562,Forecasts!M1578,Forecasts!M1594,Forecasts!M1610,Forecasts!M1626,Forecasts!M1642,Forecasts!M1658)</x:f>
        <x:v>1.8637532974812385</x:v>
      </x:c>
      <x:c r="J516" s="8" t="n">
        <x:f>SQRT(AVERAGE(Forecasts!N1479,Forecasts!N1495,Forecasts!N1511,Forecasts!N1527,Forecasts!N1543,Forecasts!N1560,Forecasts!N1576,Forecasts!N1592,Forecasts!N1608,Forecasts!N1624,Forecasts!N1640,Forecasts!N1656))</x:f>
        <x:v>3.0413812651491097</x:v>
      </x:c>
      <x:c r="K516" s="8" t="n">
        <x:f>SQRT(AVERAGE(Forecasts!N1481,Forecasts!N1497,Forecasts!N1513,Forecasts!N1529,Forecasts!N1545,Forecasts!N1562,Forecasts!N1578,Forecasts!N1594,Forecasts!N1610,Forecasts!N1626,Forecasts!N1642,Forecasts!N1658))</x:f>
        <x:v>2.6265095205898437</x:v>
      </x:c>
    </x:row>
    <x:row r="517" ht="26" customHeight="1">
      <x:c r="A517" s="2"/>
      <x:c r="B517" s="2" t="str">
        <x:v>Health Care / organic_volume_growth</x:v>
      </x:c>
      <x:c r="C517" s="2" t="str">
        <x:v>Pre-earnings</x:v>
      </x:c>
      <x:c r="D517" s="2" t="str">
        <x:v>Broad market</x:v>
      </x:c>
      <x:c r="E517" s="2" t="str">
        <x:v>Recent eight</x:v>
      </x:c>
      <x:c r="F517" s="2" t="n">
        <x:v>8</x:v>
      </x:c>
      <x:c r="G517" s="8" t="n">
        <x:f>SQRT(AVERAGE(Forecasts!N1545,Forecasts!N1562,Forecasts!N1578,Forecasts!N1594,Forecasts!N1610,Forecasts!N1626,Forecasts!N1642,Forecasts!N1658))</x:f>
        <x:v>1.8891739842548123</x:v>
      </x:c>
      <x:c r="H517" s="8" t="n">
        <x:f>AVERAGE(Forecasts!O1545,Forecasts!O1562,Forecasts!O1578,Forecasts!O1594,Forecasts!O1610,Forecasts!O1626,Forecasts!O1642,Forecasts!O1658)</x:f>
        <x:v>1.7023515901539252</x:v>
      </x:c>
      <x:c r="I517" s="8" t="n">
        <x:f>AVERAGE(Forecasts!M1545,Forecasts!M1562,Forecasts!M1578,Forecasts!M1594,Forecasts!M1610,Forecasts!M1626,Forecasts!M1642,Forecasts!M1658)</x:f>
        <x:v>1.4576135258137686</x:v>
      </x:c>
      <x:c r="J517" s="8" t="n">
        <x:f>SQRT(AVERAGE(Forecasts!N1543,Forecasts!N1560,Forecasts!N1576,Forecasts!N1592,Forecasts!N1608,Forecasts!N1624,Forecasts!N1640,Forecasts!N1656))</x:f>
        <x:v>2.0615528128088303</x:v>
      </x:c>
      <x:c r="K517" s="8" t="n">
        <x:f>SQRT(AVERAGE(Forecasts!N1545,Forecasts!N1562,Forecasts!N1578,Forecasts!N1594,Forecasts!N1610,Forecasts!N1626,Forecasts!N1642,Forecasts!N1658))</x:f>
        <x:v>1.8891739842548123</x:v>
      </x:c>
    </x:row>
    <x:row r="518" ht="26" customHeight="1">
      <x:c r="A518" s="2"/>
      <x:c r="B518" s="2" t="str">
        <x:v>Health Care / organic_volume_growth</x:v>
      </x:c>
      <x:c r="C518" s="2" t="str">
        <x:v>Pre-earnings</x:v>
      </x:c>
      <x:c r="D518" s="2" t="str">
        <x:v>Broad rolling 8</x:v>
      </x:c>
      <x:c r="E518" s="2" t="str">
        <x:v>All available</x:v>
      </x:c>
      <x:c r="F518" s="2" t="n">
        <x:v>12</x:v>
      </x:c>
      <x:c r="G518" s="8" t="n">
        <x:f>SQRT(AVERAGE(Forecasts!N1483,Forecasts!N1499,Forecasts!N1515,Forecasts!N1531,Forecasts!N1547,Forecasts!N1564,Forecasts!N1580,Forecasts!N1596,Forecasts!N1612,Forecasts!N1628,Forecasts!N1644,Forecasts!N1660))</x:f>
        <x:v>2.6722833118249087</x:v>
      </x:c>
      <x:c r="H518" s="8" t="n">
        <x:f>AVERAGE(Forecasts!O1483,Forecasts!O1499,Forecasts!O1515,Forecasts!O1531,Forecasts!O1547,Forecasts!O1564,Forecasts!O1580,Forecasts!O1596,Forecasts!O1612,Forecasts!O1628,Forecasts!O1644,Forecasts!O1660)</x:f>
        <x:v>1.9482377387187217</x:v>
      </x:c>
      <x:c r="I518" s="8" t="n">
        <x:f>AVERAGE(Forecasts!M1483,Forecasts!M1499,Forecasts!M1515,Forecasts!M1531,Forecasts!M1547,Forecasts!M1564,Forecasts!M1580,Forecasts!M1596,Forecasts!M1612,Forecasts!M1628,Forecasts!M1644,Forecasts!M1660)</x:f>
        <x:v>0.7885002703680989</x:v>
      </x:c>
      <x:c r="J518" s="8" t="n">
        <x:f>SQRT(AVERAGE(Forecasts!N1479,Forecasts!N1495,Forecasts!N1511,Forecasts!N1527,Forecasts!N1543,Forecasts!N1560,Forecasts!N1576,Forecasts!N1592,Forecasts!N1608,Forecasts!N1624,Forecasts!N1640,Forecasts!N1656))</x:f>
        <x:v>3.0413812651491097</x:v>
      </x:c>
      <x:c r="K518" s="8" t="n">
        <x:f>SQRT(AVERAGE(Forecasts!N1481,Forecasts!N1497,Forecasts!N1513,Forecasts!N1529,Forecasts!N1545,Forecasts!N1562,Forecasts!N1578,Forecasts!N1594,Forecasts!N1610,Forecasts!N1626,Forecasts!N1642,Forecasts!N1658))</x:f>
        <x:v>2.6265095205898437</x:v>
      </x:c>
    </x:row>
    <x:row r="519" ht="26" customHeight="1">
      <x:c r="A519" s="2"/>
      <x:c r="B519" s="2" t="str">
        <x:v>Health Care / organic_volume_growth</x:v>
      </x:c>
      <x:c r="C519" s="2" t="str">
        <x:v>Pre-earnings</x:v>
      </x:c>
      <x:c r="D519" s="2" t="str">
        <x:v>Broad rolling 8</x:v>
      </x:c>
      <x:c r="E519" s="2" t="str">
        <x:v>Recent eight</x:v>
      </x:c>
      <x:c r="F519" s="2" t="n">
        <x:v>8</x:v>
      </x:c>
      <x:c r="G519" s="8" t="n">
        <x:f>SQRT(AVERAGE(Forecasts!N1547,Forecasts!N1564,Forecasts!N1580,Forecasts!N1596,Forecasts!N1612,Forecasts!N1628,Forecasts!N1644,Forecasts!N1660))</x:f>
        <x:v>1.3456496212567486</x:v>
      </x:c>
      <x:c r="H519" s="8" t="n">
        <x:f>AVERAGE(Forecasts!O1547,Forecasts!O1564,Forecasts!O1580,Forecasts!O1596,Forecasts!O1612,Forecasts!O1628,Forecasts!O1644,Forecasts!O1660)</x:f>
        <x:v>0.9657793181596235</x:v>
      </x:c>
      <x:c r="I519" s="8" t="n">
        <x:f>AVERAGE(Forecasts!M1547,Forecasts!M1564,Forecasts!M1580,Forecasts!M1596,Forecasts!M1612,Forecasts!M1628,Forecasts!M1644,Forecasts!M1660)</x:f>
        <x:v>-0.4484282976539004</x:v>
      </x:c>
      <x:c r="J519" s="8" t="n">
        <x:f>SQRT(AVERAGE(Forecasts!N1543,Forecasts!N1560,Forecasts!N1576,Forecasts!N1592,Forecasts!N1608,Forecasts!N1624,Forecasts!N1640,Forecasts!N1656))</x:f>
        <x:v>2.0615528128088303</x:v>
      </x:c>
      <x:c r="K519" s="8" t="n">
        <x:f>SQRT(AVERAGE(Forecasts!N1545,Forecasts!N1562,Forecasts!N1578,Forecasts!N1594,Forecasts!N1610,Forecasts!N1626,Forecasts!N1642,Forecasts!N1658))</x:f>
        <x:v>1.8891739842548123</x:v>
      </x:c>
    </x:row>
    <x:row r="520" ht="26" customHeight="1">
      <x:c r="A520" s="2"/>
      <x:c r="B520" s="2" t="str">
        <x:v>Health Care / organic_volume_growth</x:v>
      </x:c>
      <x:c r="C520" s="2" t="str">
        <x:v>Pre-earnings</x:v>
      </x:c>
      <x:c r="D520" s="2" t="str">
        <x:v>Four-quarter mean</x:v>
      </x:c>
      <x:c r="E520" s="2" t="str">
        <x:v>All available</x:v>
      </x:c>
      <x:c r="F520" s="2" t="n">
        <x:v>12</x:v>
      </x:c>
      <x:c r="G520" s="8" t="n">
        <x:f>SQRT(AVERAGE(Forecasts!N1480,Forecasts!N1496,Forecasts!N1512,Forecasts!N1528,Forecasts!N1544,Forecasts!N1561,Forecasts!N1577,Forecasts!N1593,Forecasts!N1609,Forecasts!N1625,Forecasts!N1641,Forecasts!N1657))</x:f>
        <x:v>2.2150056433336687</x:v>
      </x:c>
      <x:c r="H520" s="8" t="n">
        <x:f>AVERAGE(Forecasts!O1480,Forecasts!O1496,Forecasts!O1512,Forecasts!O1528,Forecasts!O1544,Forecasts!O1561,Forecasts!O1577,Forecasts!O1593,Forecasts!O1609,Forecasts!O1625,Forecasts!O1641,Forecasts!O1657)</x:f>
        <x:v>1.7916666666666667</x:v>
      </x:c>
      <x:c r="I520" s="8" t="n">
        <x:f>AVERAGE(Forecasts!M1480,Forecasts!M1496,Forecasts!M1512,Forecasts!M1528,Forecasts!M1544,Forecasts!M1561,Forecasts!M1577,Forecasts!M1593,Forecasts!M1609,Forecasts!M1625,Forecasts!M1641,Forecasts!M1657)</x:f>
        <x:v>0.2916666666666667</x:v>
      </x:c>
      <x:c r="J520" s="8" t="n">
        <x:f>SQRT(AVERAGE(Forecasts!N1479,Forecasts!N1495,Forecasts!N1511,Forecasts!N1527,Forecasts!N1543,Forecasts!N1560,Forecasts!N1576,Forecasts!N1592,Forecasts!N1608,Forecasts!N1624,Forecasts!N1640,Forecasts!N1656))</x:f>
        <x:v>3.0413812651491097</x:v>
      </x:c>
      <x:c r="K520" s="8" t="n">
        <x:f>SQRT(AVERAGE(Forecasts!N1481,Forecasts!N1497,Forecasts!N1513,Forecasts!N1529,Forecasts!N1545,Forecasts!N1562,Forecasts!N1578,Forecasts!N1594,Forecasts!N1610,Forecasts!N1626,Forecasts!N1642,Forecasts!N1658))</x:f>
        <x:v>2.6265095205898437</x:v>
      </x:c>
    </x:row>
    <x:row r="521" ht="26" customHeight="1">
      <x:c r="A521" s="2"/>
      <x:c r="B521" s="2" t="str">
        <x:v>Health Care / organic_volume_growth</x:v>
      </x:c>
      <x:c r="C521" s="2" t="str">
        <x:v>Pre-earnings</x:v>
      </x:c>
      <x:c r="D521" s="2" t="str">
        <x:v>Four-quarter mean</x:v>
      </x:c>
      <x:c r="E521" s="2" t="str">
        <x:v>Recent eight</x:v>
      </x:c>
      <x:c r="F521" s="2" t="n">
        <x:v>8</x:v>
      </x:c>
      <x:c r="G521" s="8" t="n">
        <x:f>SQRT(AVERAGE(Forecasts!N1544,Forecasts!N1561,Forecasts!N1577,Forecasts!N1593,Forecasts!N1609,Forecasts!N1625,Forecasts!N1641,Forecasts!N1657))</x:f>
        <x:v>1.541103500742244</x:v>
      </x:c>
      <x:c r="H521" s="8" t="n">
        <x:f>AVERAGE(Forecasts!O1544,Forecasts!O1561,Forecasts!O1577,Forecasts!O1593,Forecasts!O1609,Forecasts!O1625,Forecasts!O1641,Forecasts!O1657)</x:f>
        <x:v>1.125</x:v>
      </x:c>
      <x:c r="I521" s="8" t="n">
        <x:f>AVERAGE(Forecasts!M1544,Forecasts!M1561,Forecasts!M1577,Forecasts!M1593,Forecasts!M1609,Forecasts!M1625,Forecasts!M1641,Forecasts!M1657)</x:f>
        <x:v>-0.3125</x:v>
      </x:c>
      <x:c r="J521" s="8" t="n">
        <x:f>SQRT(AVERAGE(Forecasts!N1543,Forecasts!N1560,Forecasts!N1576,Forecasts!N1592,Forecasts!N1608,Forecasts!N1624,Forecasts!N1640,Forecasts!N1656))</x:f>
        <x:v>2.0615528128088303</x:v>
      </x:c>
      <x:c r="K521" s="8" t="n">
        <x:f>SQRT(AVERAGE(Forecasts!N1545,Forecasts!N1562,Forecasts!N1578,Forecasts!N1594,Forecasts!N1610,Forecasts!N1626,Forecasts!N1642,Forecasts!N1658))</x:f>
        <x:v>1.8891739842548123</x:v>
      </x:c>
    </x:row>
    <x:row r="522" ht="26" customHeight="1">
      <x:c r="A522" s="2"/>
      <x:c r="B522" s="2" t="str">
        <x:v>Health Care / organic_volume_growth</x:v>
      </x:c>
      <x:c r="C522" s="2" t="str">
        <x:v>Pre-earnings</x:v>
      </x:c>
      <x:c r="D522" s="2" t="str">
        <x:v>Half correction</x:v>
      </x:c>
      <x:c r="E522" s="2" t="str">
        <x:v>All available</x:v>
      </x:c>
      <x:c r="F522" s="2" t="n">
        <x:v>8</x:v>
      </x:c>
      <x:c r="G522" s="8" t="n">
        <x:f>SQRT(AVERAGE(Forecasts!N2771,Forecasts!N2777,Forecasts!N2783,Forecasts!N2789,Forecasts!N2795,Forecasts!N2801,Forecasts!N2807,Forecasts!N2813))</x:f>
        <x:v>1.5484650301036669</x:v>
      </x:c>
      <x:c r="H522" s="8" t="n">
        <x:f>AVERAGE(Forecasts!O2771,Forecasts!O2777,Forecasts!O2783,Forecasts!O2789,Forecasts!O2795,Forecasts!O2801,Forecasts!O2807,Forecasts!O2813)</x:f>
        <x:v>1.2732461553221743</x:v>
      </x:c>
      <x:c r="I522" s="8" t="n">
        <x:f>AVERAGE(Forecasts!M2771,Forecasts!M2777,Forecasts!M2783,Forecasts!M2789,Forecasts!M2795,Forecasts!M2801,Forecasts!M2807,Forecasts!M2813)</x:f>
        <x:v>0.5365276745069613</x:v>
      </x:c>
      <x:c r="J522" s="8" t="n">
        <x:f>SQRT(AVERAGE(Forecasts!N1543,Forecasts!N1560,Forecasts!N1576,Forecasts!N1592,Forecasts!N1608,Forecasts!N1624,Forecasts!N1640,Forecasts!N1656))</x:f>
        <x:v>2.0615528128088303</x:v>
      </x:c>
      <x:c r="K522" s="8" t="n">
        <x:f>SQRT(AVERAGE(Forecasts!N1545,Forecasts!N1562,Forecasts!N1578,Forecasts!N1594,Forecasts!N1610,Forecasts!N1626,Forecasts!N1642,Forecasts!N1658))</x:f>
        <x:v>1.8891739842548123</x:v>
      </x:c>
    </x:row>
    <x:row r="523" ht="26" customHeight="1">
      <x:c r="A523" s="2"/>
      <x:c r="B523" s="2" t="str">
        <x:v>Health Care / organic_volume_growth</x:v>
      </x:c>
      <x:c r="C523" s="2" t="str">
        <x:v>Pre-earnings</x:v>
      </x:c>
      <x:c r="D523" s="2" t="str">
        <x:v>Half correction</x:v>
      </x:c>
      <x:c r="E523" s="2" t="str">
        <x:v>Recent eight</x:v>
      </x:c>
      <x:c r="F523" s="2" t="n">
        <x:v>8</x:v>
      </x:c>
      <x:c r="G523" s="8" t="n">
        <x:f>SQRT(AVERAGE(Forecasts!N2771,Forecasts!N2777,Forecasts!N2783,Forecasts!N2789,Forecasts!N2795,Forecasts!N2801,Forecasts!N2807,Forecasts!N2813))</x:f>
        <x:v>1.5484650301036669</x:v>
      </x:c>
      <x:c r="H523" s="8" t="n">
        <x:f>AVERAGE(Forecasts!O2771,Forecasts!O2777,Forecasts!O2783,Forecasts!O2789,Forecasts!O2795,Forecasts!O2801,Forecasts!O2807,Forecasts!O2813)</x:f>
        <x:v>1.2732461553221743</x:v>
      </x:c>
      <x:c r="I523" s="8" t="n">
        <x:f>AVERAGE(Forecasts!M2771,Forecasts!M2777,Forecasts!M2783,Forecasts!M2789,Forecasts!M2795,Forecasts!M2801,Forecasts!M2807,Forecasts!M2813)</x:f>
        <x:v>0.5365276745069613</x:v>
      </x:c>
      <x:c r="J523" s="8" t="n">
        <x:f>SQRT(AVERAGE(Forecasts!N1543,Forecasts!N1560,Forecasts!N1576,Forecasts!N1592,Forecasts!N1608,Forecasts!N1624,Forecasts!N1640,Forecasts!N1656))</x:f>
        <x:v>2.0615528128088303</x:v>
      </x:c>
      <x:c r="K523" s="8" t="n">
        <x:f>SQRT(AVERAGE(Forecasts!N1545,Forecasts!N1562,Forecasts!N1578,Forecasts!N1594,Forecasts!N1610,Forecasts!N1626,Forecasts!N1642,Forecasts!N1658))</x:f>
        <x:v>1.8891739842548123</x:v>
      </x:c>
    </x:row>
    <x:row r="524" ht="26" customHeight="1">
      <x:c r="A524" s="2"/>
      <x:c r="B524" s="2" t="str">
        <x:v>Health Care / organic_volume_growth</x:v>
      </x:c>
      <x:c r="C524" s="2" t="str">
        <x:v>Pre-earnings</x:v>
      </x:c>
      <x:c r="D524" s="2" t="str">
        <x:v>Last actual</x:v>
      </x:c>
      <x:c r="E524" s="2" t="str">
        <x:v>All available</x:v>
      </x:c>
      <x:c r="F524" s="2" t="n">
        <x:v>12</x:v>
      </x:c>
      <x:c r="G524" s="8" t="n">
        <x:f>SQRT(AVERAGE(Forecasts!N1479,Forecasts!N1495,Forecasts!N1511,Forecasts!N1527,Forecasts!N1543,Forecasts!N1560,Forecasts!N1576,Forecasts!N1592,Forecasts!N1608,Forecasts!N1624,Forecasts!N1640,Forecasts!N1656))</x:f>
        <x:v>3.0413812651491097</x:v>
      </x:c>
      <x:c r="H524" s="8" t="n">
        <x:f>AVERAGE(Forecasts!O1479,Forecasts!O1495,Forecasts!O1511,Forecasts!O1527,Forecasts!O1543,Forecasts!O1560,Forecasts!O1576,Forecasts!O1592,Forecasts!O1608,Forecasts!O1624,Forecasts!O1640,Forecasts!O1656)</x:f>
        <x:v>2.25</x:v>
      </x:c>
      <x:c r="I524" s="8" t="n">
        <x:f>AVERAGE(Forecasts!M1479,Forecasts!M1495,Forecasts!M1511,Forecasts!M1527,Forecasts!M1543,Forecasts!M1560,Forecasts!M1576,Forecasts!M1592,Forecasts!M1608,Forecasts!M1624,Forecasts!M1640,Forecasts!M1656)</x:f>
        <x:v>0.25</x:v>
      </x:c>
      <x:c r="J524" s="8" t="n">
        <x:f>SQRT(AVERAGE(Forecasts!N1479,Forecasts!N1495,Forecasts!N1511,Forecasts!N1527,Forecasts!N1543,Forecasts!N1560,Forecasts!N1576,Forecasts!N1592,Forecasts!N1608,Forecasts!N1624,Forecasts!N1640,Forecasts!N1656))</x:f>
        <x:v>3.0413812651491097</x:v>
      </x:c>
      <x:c r="K524" s="8" t="n">
        <x:f>SQRT(AVERAGE(Forecasts!N1481,Forecasts!N1497,Forecasts!N1513,Forecasts!N1529,Forecasts!N1545,Forecasts!N1562,Forecasts!N1578,Forecasts!N1594,Forecasts!N1610,Forecasts!N1626,Forecasts!N1642,Forecasts!N1658))</x:f>
        <x:v>2.6265095205898437</x:v>
      </x:c>
    </x:row>
    <x:row r="525" ht="26" customHeight="1">
      <x:c r="A525" s="2"/>
      <x:c r="B525" s="2" t="str">
        <x:v>Health Care / organic_volume_growth</x:v>
      </x:c>
      <x:c r="C525" s="2" t="str">
        <x:v>Pre-earnings</x:v>
      </x:c>
      <x:c r="D525" s="2" t="str">
        <x:v>Last actual</x:v>
      </x:c>
      <x:c r="E525" s="2" t="str">
        <x:v>Recent eight</x:v>
      </x:c>
      <x:c r="F525" s="2" t="n">
        <x:v>8</x:v>
      </x:c>
      <x:c r="G525" s="8" t="n">
        <x:f>SQRT(AVERAGE(Forecasts!N1543,Forecasts!N1560,Forecasts!N1576,Forecasts!N1592,Forecasts!N1608,Forecasts!N1624,Forecasts!N1640,Forecasts!N1656))</x:f>
        <x:v>2.0615528128088303</x:v>
      </x:c>
      <x:c r="H525" s="8" t="n">
        <x:f>AVERAGE(Forecasts!O1543,Forecasts!O1560,Forecasts!O1576,Forecasts!O1592,Forecasts!O1608,Forecasts!O1624,Forecasts!O1640,Forecasts!O1656)</x:f>
        <x:v>1.5</x:v>
      </x:c>
      <x:c r="I525" s="8" t="n">
        <x:f>AVERAGE(Forecasts!M1543,Forecasts!M1560,Forecasts!M1576,Forecasts!M1592,Forecasts!M1608,Forecasts!M1624,Forecasts!M1640,Forecasts!M1656)</x:f>
        <x:v>-0.25</x:v>
      </x:c>
      <x:c r="J525" s="8" t="n">
        <x:f>SQRT(AVERAGE(Forecasts!N1543,Forecasts!N1560,Forecasts!N1576,Forecasts!N1592,Forecasts!N1608,Forecasts!N1624,Forecasts!N1640,Forecasts!N1656))</x:f>
        <x:v>2.0615528128088303</x:v>
      </x:c>
      <x:c r="K525" s="8" t="n">
        <x:f>SQRT(AVERAGE(Forecasts!N1545,Forecasts!N1562,Forecasts!N1578,Forecasts!N1594,Forecasts!N1610,Forecasts!N1626,Forecasts!N1642,Forecasts!N1658))</x:f>
        <x:v>1.8891739842548123</x:v>
      </x:c>
    </x:row>
    <x:row r="526" ht="26" customHeight="1">
      <x:c r="A526" s="2"/>
      <x:c r="B526" s="2" t="str">
        <x:v>Health Care / organic_volume_growth</x:v>
      </x:c>
      <x:c r="C526" s="2" t="str">
        <x:v>Pre-earnings</x:v>
      </x:c>
      <x:c r="D526" s="2" t="str">
        <x:v>Own history</x:v>
      </x:c>
      <x:c r="E526" s="2" t="str">
        <x:v>All available</x:v>
      </x:c>
      <x:c r="F526" s="2" t="n">
        <x:v>12</x:v>
      </x:c>
      <x:c r="G526" s="8" t="n">
        <x:f>SQRT(AVERAGE(Forecasts!N1484,Forecasts!N1500,Forecasts!N1516,Forecasts!N1532,Forecasts!N1548,Forecasts!N1565,Forecasts!N1581,Forecasts!N1597,Forecasts!N1613,Forecasts!N1629,Forecasts!N1645,Forecasts!N1661))</x:f>
        <x:v>3.3729929862514343</x:v>
      </x:c>
      <x:c r="H526" s="8" t="n">
        <x:f>AVERAGE(Forecasts!O1484,Forecasts!O1500,Forecasts!O1516,Forecasts!O1532,Forecasts!O1548,Forecasts!O1565,Forecasts!O1581,Forecasts!O1597,Forecasts!O1613,Forecasts!O1629,Forecasts!O1645,Forecasts!O1661)</x:f>
        <x:v>2.651409061554755</x:v>
      </x:c>
      <x:c r="I526" s="8" t="n">
        <x:f>AVERAGE(Forecasts!M1484,Forecasts!M1500,Forecasts!M1516,Forecasts!M1532,Forecasts!M1548,Forecasts!M1565,Forecasts!M1581,Forecasts!M1597,Forecasts!M1613,Forecasts!M1629,Forecasts!M1645,Forecasts!M1661)</x:f>
        <x:v>2.521707164535785</x:v>
      </x:c>
      <x:c r="J526" s="8" t="n">
        <x:f>SQRT(AVERAGE(Forecasts!N1479,Forecasts!N1495,Forecasts!N1511,Forecasts!N1527,Forecasts!N1543,Forecasts!N1560,Forecasts!N1576,Forecasts!N1592,Forecasts!N1608,Forecasts!N1624,Forecasts!N1640,Forecasts!N1656))</x:f>
        <x:v>3.0413812651491097</x:v>
      </x:c>
      <x:c r="K526" s="8" t="n">
        <x:f>SQRT(AVERAGE(Forecasts!N1481,Forecasts!N1497,Forecasts!N1513,Forecasts!N1529,Forecasts!N1545,Forecasts!N1562,Forecasts!N1578,Forecasts!N1594,Forecasts!N1610,Forecasts!N1626,Forecasts!N1642,Forecasts!N1658))</x:f>
        <x:v>2.6265095205898437</x:v>
      </x:c>
    </x:row>
    <x:row r="527" ht="26" customHeight="1">
      <x:c r="A527" s="2"/>
      <x:c r="B527" s="2" t="str">
        <x:v>Health Care / organic_volume_growth</x:v>
      </x:c>
      <x:c r="C527" s="2" t="str">
        <x:v>Pre-earnings</x:v>
      </x:c>
      <x:c r="D527" s="2" t="str">
        <x:v>Own history</x:v>
      </x:c>
      <x:c r="E527" s="2" t="str">
        <x:v>Recent eight</x:v>
      </x:c>
      <x:c r="F527" s="2" t="n">
        <x:v>8</x:v>
      </x:c>
      <x:c r="G527" s="8" t="n">
        <x:f>SQRT(AVERAGE(Forecasts!N1548,Forecasts!N1565,Forecasts!N1581,Forecasts!N1597,Forecasts!N1613,Forecasts!N1629,Forecasts!N1645,Forecasts!N1661))</x:f>
        <x:v>1.8430885508275745</x:v>
      </x:c>
      <x:c r="H527" s="8" t="n">
        <x:f>AVERAGE(Forecasts!O1548,Forecasts!O1565,Forecasts!O1581,Forecasts!O1597,Forecasts!O1613,Forecasts!O1629,Forecasts!O1645,Forecasts!O1661)</x:f>
        <x:v>1.7075716239760261</x:v>
      </x:c>
      <x:c r="I527" s="8" t="n">
        <x:f>AVERAGE(Forecasts!M1548,Forecasts!M1565,Forecasts!M1581,Forecasts!M1597,Forecasts!M1613,Forecasts!M1629,Forecasts!M1645,Forecasts!M1661)</x:f>
        <x:v>1.513018778447571</x:v>
      </x:c>
      <x:c r="J527" s="8" t="n">
        <x:f>SQRT(AVERAGE(Forecasts!N1543,Forecasts!N1560,Forecasts!N1576,Forecasts!N1592,Forecasts!N1608,Forecasts!N1624,Forecasts!N1640,Forecasts!N1656))</x:f>
        <x:v>2.0615528128088303</x:v>
      </x:c>
      <x:c r="K527" s="8" t="n">
        <x:f>SQRT(AVERAGE(Forecasts!N1545,Forecasts!N1562,Forecasts!N1578,Forecasts!N1594,Forecasts!N1610,Forecasts!N1626,Forecasts!N1642,Forecasts!N1658))</x:f>
        <x:v>1.8891739842548123</x:v>
      </x:c>
    </x:row>
    <x:row r="528" ht="26" customHeight="1">
      <x:c r="A528" s="2"/>
      <x:c r="B528" s="2" t="str">
        <x:v>Health Care / price_contribution</x:v>
      </x:c>
      <x:c r="C528" s="2" t="str">
        <x:v>Origin</x:v>
      </x:c>
      <x:c r="D528" s="2" t="str">
        <x:v>Bias correction</x:v>
      </x:c>
      <x:c r="E528" s="2" t="str">
        <x:v>All available</x:v>
      </x:c>
      <x:c r="F528" s="2" t="n">
        <x:v>7</x:v>
      </x:c>
      <x:c r="G528" s="8" t="n">
        <x:f>SQRT(AVERAGE(Forecasts!N2542,Forecasts!N2548,Forecasts!N2554,Forecasts!N2560,Forecasts!N2566,Forecasts!N2572,Forecasts!N2578))</x:f>
        <x:v>0.9321180869287451</x:v>
      </x:c>
      <x:c r="H528" s="8" t="n">
        <x:f>AVERAGE(Forecasts!O2542,Forecasts!O2548,Forecasts!O2554,Forecasts!O2560,Forecasts!O2566,Forecasts!O2572,Forecasts!O2578)</x:f>
        <x:v>0.7807600942449506</x:v>
      </x:c>
      <x:c r="I528" s="8" t="n">
        <x:f>AVERAGE(Forecasts!M2542,Forecasts!M2548,Forecasts!M2554,Forecasts!M2560,Forecasts!M2566,Forecasts!M2572,Forecasts!M2578)</x:f>
        <x:v>-0.2839899976858075</x:v>
      </x:c>
      <x:c r="J528" s="8" t="n">
        <x:f>SQRT(AVERAGE(Forecasts!N569,Forecasts!N586,Forecasts!N603,Forecasts!N620,Forecasts!N637,Forecasts!N654,Forecasts!N671))</x:f>
        <x:v>1.2535663410560174</x:v>
      </x:c>
      <x:c r="K528" s="8" t="n">
        <x:f>SQRT(AVERAGE(Forecasts!N571,Forecasts!N588,Forecasts!N605,Forecasts!N622,Forecasts!N639,Forecasts!N656,Forecasts!N673))</x:f>
        <x:v>0.9513172419141669</x:v>
      </x:c>
    </x:row>
    <x:row r="529" ht="26" customHeight="1">
      <x:c r="A529" s="2"/>
      <x:c r="B529" s="2" t="str">
        <x:v>Health Care / price_contribution</x:v>
      </x:c>
      <x:c r="C529" s="2" t="str">
        <x:v>Origin</x:v>
      </x:c>
      <x:c r="D529" s="2" t="str">
        <x:v>Bias correction</x:v>
      </x:c>
      <x:c r="E529" s="2" t="str">
        <x:v>Recent eight</x:v>
      </x:c>
      <x:c r="F529" s="2" t="n">
        <x:v>7</x:v>
      </x:c>
      <x:c r="G529" s="8" t="n">
        <x:f>SQRT(AVERAGE(Forecasts!N2542,Forecasts!N2548,Forecasts!N2554,Forecasts!N2560,Forecasts!N2566,Forecasts!N2572,Forecasts!N2578))</x:f>
        <x:v>0.9321180869287451</x:v>
      </x:c>
      <x:c r="H529" s="8" t="n">
        <x:f>AVERAGE(Forecasts!O2542,Forecasts!O2548,Forecasts!O2554,Forecasts!O2560,Forecasts!O2566,Forecasts!O2572,Forecasts!O2578)</x:f>
        <x:v>0.7807600942449506</x:v>
      </x:c>
      <x:c r="I529" s="8" t="n">
        <x:f>AVERAGE(Forecasts!M2542,Forecasts!M2548,Forecasts!M2554,Forecasts!M2560,Forecasts!M2566,Forecasts!M2572,Forecasts!M2578)</x:f>
        <x:v>-0.2839899976858075</x:v>
      </x:c>
      <x:c r="J529" s="8" t="n">
        <x:f>SQRT(AVERAGE(Forecasts!N569,Forecasts!N586,Forecasts!N603,Forecasts!N620,Forecasts!N637,Forecasts!N654,Forecasts!N671))</x:f>
        <x:v>1.2535663410560174</x:v>
      </x:c>
      <x:c r="K529" s="8" t="n">
        <x:f>SQRT(AVERAGE(Forecasts!N571,Forecasts!N588,Forecasts!N605,Forecasts!N622,Forecasts!N639,Forecasts!N656,Forecasts!N673))</x:f>
        <x:v>0.9513172419141669</x:v>
      </x:c>
    </x:row>
    <x:row r="530" ht="26" customHeight="1">
      <x:c r="A530" s="2"/>
      <x:c r="B530" s="2" t="str">
        <x:v>Health Care / price_contribution</x:v>
      </x:c>
      <x:c r="C530" s="2" t="str">
        <x:v>Origin</x:v>
      </x:c>
      <x:c r="D530" s="2" t="str">
        <x:v>Broad market</x:v>
      </x:c>
      <x:c r="E530" s="2" t="str">
        <x:v>All available</x:v>
      </x:c>
      <x:c r="F530" s="2" t="n">
        <x:v>12</x:v>
      </x:c>
      <x:c r="G530" s="8" t="n">
        <x:f>SQRT(AVERAGE(Forecasts!N488,Forecasts!N504,Forecasts!N520,Forecasts!N537,Forecasts!N554,Forecasts!N571,Forecasts!N588,Forecasts!N605,Forecasts!N622,Forecasts!N639,Forecasts!N656,Forecasts!N673))</x:f>
        <x:v>0.9589866912837244</x:v>
      </x:c>
      <x:c r="H530" s="8" t="n">
        <x:f>AVERAGE(Forecasts!O488,Forecasts!O504,Forecasts!O520,Forecasts!O537,Forecasts!O554,Forecasts!O571,Forecasts!O588,Forecasts!O605,Forecasts!O622,Forecasts!O639,Forecasts!O656,Forecasts!O673)</x:f>
        <x:v>0.720625201141948</x:v>
      </x:c>
      <x:c r="I530" s="8" t="n">
        <x:f>AVERAGE(Forecasts!M488,Forecasts!M504,Forecasts!M520,Forecasts!M537,Forecasts!M554,Forecasts!M571,Forecasts!M588,Forecasts!M605,Forecasts!M622,Forecasts!M639,Forecasts!M656,Forecasts!M673)</x:f>
        <x:v>0.7040232764109092</x:v>
      </x:c>
      <x:c r="J530" s="8" t="n">
        <x:f>SQRT(AVERAGE(Forecasts!N486,Forecasts!N502,Forecasts!N518,Forecasts!N535,Forecasts!N552,Forecasts!N569,Forecasts!N586,Forecasts!N603,Forecasts!N620,Forecasts!N637,Forecasts!N654,Forecasts!N671))</x:f>
        <x:v>1.4719601443879744</x:v>
      </x:c>
      <x:c r="K530" s="8" t="n">
        <x:f>SQRT(AVERAGE(Forecasts!N488,Forecasts!N504,Forecasts!N520,Forecasts!N537,Forecasts!N554,Forecasts!N571,Forecasts!N588,Forecasts!N605,Forecasts!N622,Forecasts!N639,Forecasts!N656,Forecasts!N673))</x:f>
        <x:v>0.9589866912837244</x:v>
      </x:c>
    </x:row>
    <x:row r="531" ht="26" customHeight="1">
      <x:c r="A531" s="2"/>
      <x:c r="B531" s="2" t="str">
        <x:v>Health Care / price_contribution</x:v>
      </x:c>
      <x:c r="C531" s="2" t="str">
        <x:v>Origin</x:v>
      </x:c>
      <x:c r="D531" s="2" t="str">
        <x:v>Broad market</x:v>
      </x:c>
      <x:c r="E531" s="2" t="str">
        <x:v>Recent eight</x:v>
      </x:c>
      <x:c r="F531" s="2" t="n">
        <x:v>8</x:v>
      </x:c>
      <x:c r="G531" s="8" t="n">
        <x:f>SQRT(AVERAGE(Forecasts!N554,Forecasts!N571,Forecasts!N588,Forecasts!N605,Forecasts!N622,Forecasts!N639,Forecasts!N656,Forecasts!N673))</x:f>
        <x:v>1.1250068660703203</x:v>
      </x:c>
      <x:c r="H531" s="8" t="n">
        <x:f>AVERAGE(Forecasts!O554,Forecasts!O571,Forecasts!O588,Forecasts!O605,Forecasts!O622,Forecasts!O639,Forecasts!O656,Forecasts!O673)</x:f>
        <x:v>0.8767937568771584</x:v>
      </x:c>
      <x:c r="I531" s="8" t="n">
        <x:f>AVERAGE(Forecasts!M554,Forecasts!M571,Forecasts!M588,Forecasts!M605,Forecasts!M622,Forecasts!M639,Forecasts!M656,Forecasts!M673)</x:f>
        <x:v>0.8518908697806005</x:v>
      </x:c>
      <x:c r="J531" s="8" t="n">
        <x:f>SQRT(AVERAGE(Forecasts!N552,Forecasts!N569,Forecasts!N586,Forecasts!N603,Forecasts!N620,Forecasts!N637,Forecasts!N654,Forecasts!N671))</x:f>
        <x:v>1.5811388300841898</x:v>
      </x:c>
      <x:c r="K531" s="8" t="n">
        <x:f>SQRT(AVERAGE(Forecasts!N554,Forecasts!N571,Forecasts!N588,Forecasts!N605,Forecasts!N622,Forecasts!N639,Forecasts!N656,Forecasts!N673))</x:f>
        <x:v>1.1250068660703203</x:v>
      </x:c>
    </x:row>
    <x:row r="532" ht="26" customHeight="1">
      <x:c r="A532" s="2"/>
      <x:c r="B532" s="2" t="str">
        <x:v>Health Care / price_contribution</x:v>
      </x:c>
      <x:c r="C532" s="2" t="str">
        <x:v>Origin</x:v>
      </x:c>
      <x:c r="D532" s="2" t="str">
        <x:v>Broad rolling 8</x:v>
      </x:c>
      <x:c r="E532" s="2" t="str">
        <x:v>All available</x:v>
      </x:c>
      <x:c r="F532" s="2" t="n">
        <x:v>12</x:v>
      </x:c>
      <x:c r="G532" s="8" t="n">
        <x:f>SQRT(AVERAGE(Forecasts!N489,Forecasts!N505,Forecasts!N521,Forecasts!N538,Forecasts!N555,Forecasts!N572,Forecasts!N589,Forecasts!N606,Forecasts!N623,Forecasts!N640,Forecasts!N657,Forecasts!N674))</x:f>
        <x:v>1.3753188986674045</x:v>
      </x:c>
      <x:c r="H532" s="8" t="n">
        <x:f>AVERAGE(Forecasts!O489,Forecasts!O505,Forecasts!O521,Forecasts!O538,Forecasts!O555,Forecasts!O572,Forecasts!O589,Forecasts!O606,Forecasts!O623,Forecasts!O640,Forecasts!O657,Forecasts!O674)</x:f>
        <x:v>0.8716588967599513</x:v>
      </x:c>
      <x:c r="I532" s="8" t="n">
        <x:f>AVERAGE(Forecasts!M489,Forecasts!M505,Forecasts!M521,Forecasts!M538,Forecasts!M555,Forecasts!M572,Forecasts!M589,Forecasts!M606,Forecasts!M623,Forecasts!M640,Forecasts!M657,Forecasts!M674)</x:f>
        <x:v>0.8090057947277488</x:v>
      </x:c>
      <x:c r="J532" s="8" t="n">
        <x:f>SQRT(AVERAGE(Forecasts!N486,Forecasts!N502,Forecasts!N518,Forecasts!N535,Forecasts!N552,Forecasts!N569,Forecasts!N586,Forecasts!N603,Forecasts!N620,Forecasts!N637,Forecasts!N654,Forecasts!N671))</x:f>
        <x:v>1.4719601443879744</x:v>
      </x:c>
      <x:c r="K532" s="8" t="n">
        <x:f>SQRT(AVERAGE(Forecasts!N488,Forecasts!N504,Forecasts!N520,Forecasts!N537,Forecasts!N554,Forecasts!N571,Forecasts!N588,Forecasts!N605,Forecasts!N622,Forecasts!N639,Forecasts!N656,Forecasts!N673))</x:f>
        <x:v>0.9589866912837244</x:v>
      </x:c>
    </x:row>
    <x:row r="533" ht="26" customHeight="1">
      <x:c r="A533" s="2"/>
      <x:c r="B533" s="2" t="str">
        <x:v>Health Care / price_contribution</x:v>
      </x:c>
      <x:c r="C533" s="2" t="str">
        <x:v>Origin</x:v>
      </x:c>
      <x:c r="D533" s="2" t="str">
        <x:v>Broad rolling 8</x:v>
      </x:c>
      <x:c r="E533" s="2" t="str">
        <x:v>Recent eight</x:v>
      </x:c>
      <x:c r="F533" s="2" t="n">
        <x:v>8</x:v>
      </x:c>
      <x:c r="G533" s="8" t="n">
        <x:f>SQRT(AVERAGE(Forecasts!N555,Forecasts!N572,Forecasts!N589,Forecasts!N606,Forecasts!N623,Forecasts!N640,Forecasts!N657,Forecasts!N674))</x:f>
        <x:v>1.6410066020460576</x:v>
      </x:c>
      <x:c r="H533" s="8" t="n">
        <x:f>AVERAGE(Forecasts!O555,Forecasts!O572,Forecasts!O589,Forecasts!O606,Forecasts!O623,Forecasts!O640,Forecasts!O657,Forecasts!O674)</x:f>
        <x:v>1.0914209887260014</x:v>
      </x:c>
      <x:c r="I533" s="8" t="n">
        <x:f>AVERAGE(Forecasts!M555,Forecasts!M572,Forecasts!M589,Forecasts!M606,Forecasts!M623,Forecasts!M640,Forecasts!M657,Forecasts!M674)</x:f>
        <x:v>0.9974413356776974</x:v>
      </x:c>
      <x:c r="J533" s="8" t="n">
        <x:f>SQRT(AVERAGE(Forecasts!N552,Forecasts!N569,Forecasts!N586,Forecasts!N603,Forecasts!N620,Forecasts!N637,Forecasts!N654,Forecasts!N671))</x:f>
        <x:v>1.5811388300841898</x:v>
      </x:c>
      <x:c r="K533" s="8" t="n">
        <x:f>SQRT(AVERAGE(Forecasts!N554,Forecasts!N571,Forecasts!N588,Forecasts!N605,Forecasts!N622,Forecasts!N639,Forecasts!N656,Forecasts!N673))</x:f>
        <x:v>1.1250068660703203</x:v>
      </x:c>
    </x:row>
    <x:row r="534" ht="26" customHeight="1">
      <x:c r="A534" s="2"/>
      <x:c r="B534" s="2" t="str">
        <x:v>Health Care / price_contribution</x:v>
      </x:c>
      <x:c r="C534" s="2" t="str">
        <x:v>Origin</x:v>
      </x:c>
      <x:c r="D534" s="2" t="str">
        <x:v>Four-quarter mean</x:v>
      </x:c>
      <x:c r="E534" s="2" t="str">
        <x:v>All available</x:v>
      </x:c>
      <x:c r="F534" s="2" t="n">
        <x:v>12</x:v>
      </x:c>
      <x:c r="G534" s="8" t="n">
        <x:f>SQRT(AVERAGE(Forecasts!N487,Forecasts!N503,Forecasts!N519,Forecasts!N536,Forecasts!N553,Forecasts!N570,Forecasts!N587,Forecasts!N604,Forecasts!N621,Forecasts!N638,Forecasts!N655,Forecasts!N672))</x:f>
        <x:v>2.125</x:v>
      </x:c>
      <x:c r="H534" s="8" t="n">
        <x:f>AVERAGE(Forecasts!O487,Forecasts!O503,Forecasts!O519,Forecasts!O536,Forecasts!O553,Forecasts!O570,Forecasts!O587,Forecasts!O604,Forecasts!O621,Forecasts!O638,Forecasts!O655,Forecasts!O672)</x:f>
        <x:v>1.6458333333333333</x:v>
      </x:c>
      <x:c r="I534" s="8" t="n">
        <x:f>AVERAGE(Forecasts!M487,Forecasts!M503,Forecasts!M519,Forecasts!M536,Forecasts!M553,Forecasts!M570,Forecasts!M587,Forecasts!M604,Forecasts!M621,Forecasts!M638,Forecasts!M655,Forecasts!M672)</x:f>
        <x:v>1.1875</x:v>
      </x:c>
      <x:c r="J534" s="8" t="n">
        <x:f>SQRT(AVERAGE(Forecasts!N486,Forecasts!N502,Forecasts!N518,Forecasts!N535,Forecasts!N552,Forecasts!N569,Forecasts!N586,Forecasts!N603,Forecasts!N620,Forecasts!N637,Forecasts!N654,Forecasts!N671))</x:f>
        <x:v>1.4719601443879744</x:v>
      </x:c>
      <x:c r="K534" s="8" t="n">
        <x:f>SQRT(AVERAGE(Forecasts!N488,Forecasts!N504,Forecasts!N520,Forecasts!N537,Forecasts!N554,Forecasts!N571,Forecasts!N588,Forecasts!N605,Forecasts!N622,Forecasts!N639,Forecasts!N656,Forecasts!N673))</x:f>
        <x:v>0.9589866912837244</x:v>
      </x:c>
    </x:row>
    <x:row r="535" ht="26" customHeight="1">
      <x:c r="A535" s="2"/>
      <x:c r="B535" s="2" t="str">
        <x:v>Health Care / price_contribution</x:v>
      </x:c>
      <x:c r="C535" s="2" t="str">
        <x:v>Origin</x:v>
      </x:c>
      <x:c r="D535" s="2" t="str">
        <x:v>Four-quarter mean</x:v>
      </x:c>
      <x:c r="E535" s="2" t="str">
        <x:v>Recent eight</x:v>
      </x:c>
      <x:c r="F535" s="2" t="n">
        <x:v>8</x:v>
      </x:c>
      <x:c r="G535" s="8" t="n">
        <x:f>SQRT(AVERAGE(Forecasts!N553,Forecasts!N570,Forecasts!N587,Forecasts!N604,Forecasts!N621,Forecasts!N638,Forecasts!N655,Forecasts!N672))</x:f>
        <x:v>2.468552207266437</x:v>
      </x:c>
      <x:c r="H535" s="8" t="n">
        <x:f>AVERAGE(Forecasts!O553,Forecasts!O570,Forecasts!O587,Forecasts!O604,Forecasts!O621,Forecasts!O638,Forecasts!O655,Forecasts!O672)</x:f>
        <x:v>1.9375</x:v>
      </x:c>
      <x:c r="I535" s="8" t="n">
        <x:f>AVERAGE(Forecasts!M553,Forecasts!M570,Forecasts!M587,Forecasts!M604,Forecasts!M621,Forecasts!M638,Forecasts!M655,Forecasts!M672)</x:f>
        <x:v>1.6875</x:v>
      </x:c>
      <x:c r="J535" s="8" t="n">
        <x:f>SQRT(AVERAGE(Forecasts!N552,Forecasts!N569,Forecasts!N586,Forecasts!N603,Forecasts!N620,Forecasts!N637,Forecasts!N654,Forecasts!N671))</x:f>
        <x:v>1.5811388300841898</x:v>
      </x:c>
      <x:c r="K535" s="8" t="n">
        <x:f>SQRT(AVERAGE(Forecasts!N554,Forecasts!N571,Forecasts!N588,Forecasts!N605,Forecasts!N622,Forecasts!N639,Forecasts!N656,Forecasts!N673))</x:f>
        <x:v>1.1250068660703203</x:v>
      </x:c>
    </x:row>
    <x:row r="536" ht="26" customHeight="1">
      <x:c r="A536" s="2"/>
      <x:c r="B536" s="2" t="str">
        <x:v>Health Care / price_contribution</x:v>
      </x:c>
      <x:c r="C536" s="2" t="str">
        <x:v>Origin</x:v>
      </x:c>
      <x:c r="D536" s="2" t="str">
        <x:v>Half correction</x:v>
      </x:c>
      <x:c r="E536" s="2" t="str">
        <x:v>All available</x:v>
      </x:c>
      <x:c r="F536" s="2" t="n">
        <x:v>7</x:v>
      </x:c>
      <x:c r="G536" s="8" t="n">
        <x:f>SQRT(AVERAGE(Forecasts!N2543,Forecasts!N2549,Forecasts!N2555,Forecasts!N2561,Forecasts!N2567,Forecasts!N2573,Forecasts!N2579))</x:f>
        <x:v>0.7820422207493095</x:v>
      </x:c>
      <x:c r="H536" s="8" t="n">
        <x:f>AVERAGE(Forecasts!O2543,Forecasts!O2549,Forecasts!O2555,Forecasts!O2561,Forecasts!O2567,Forecasts!O2573,Forecasts!O2579)</x:f>
        <x:v>0.5177467640224098</x:v>
      </x:c>
      <x:c r="I536" s="8" t="n">
        <x:f>AVERAGE(Forecasts!M2543,Forecasts!M2549,Forecasts!M2555,Forecasts!M2561,Forecasts!M2567,Forecasts!M2573,Forecasts!M2579)</x:f>
        <x:v>0.2057415057245535</x:v>
      </x:c>
      <x:c r="J536" s="8" t="n">
        <x:f>SQRT(AVERAGE(Forecasts!N569,Forecasts!N586,Forecasts!N603,Forecasts!N620,Forecasts!N637,Forecasts!N654,Forecasts!N671))</x:f>
        <x:v>1.2535663410560174</x:v>
      </x:c>
      <x:c r="K536" s="8" t="n">
        <x:f>SQRT(AVERAGE(Forecasts!N571,Forecasts!N588,Forecasts!N605,Forecasts!N622,Forecasts!N639,Forecasts!N656,Forecasts!N673))</x:f>
        <x:v>0.9513172419141669</x:v>
      </x:c>
    </x:row>
    <x:row r="537" ht="26" customHeight="1">
      <x:c r="A537" s="2"/>
      <x:c r="B537" s="2" t="str">
        <x:v>Health Care / price_contribution</x:v>
      </x:c>
      <x:c r="C537" s="2" t="str">
        <x:v>Origin</x:v>
      </x:c>
      <x:c r="D537" s="2" t="str">
        <x:v>Half correction</x:v>
      </x:c>
      <x:c r="E537" s="2" t="str">
        <x:v>Recent eight</x:v>
      </x:c>
      <x:c r="F537" s="2" t="n">
        <x:v>7</x:v>
      </x:c>
      <x:c r="G537" s="8" t="n">
        <x:f>SQRT(AVERAGE(Forecasts!N2543,Forecasts!N2549,Forecasts!N2555,Forecasts!N2561,Forecasts!N2567,Forecasts!N2573,Forecasts!N2579))</x:f>
        <x:v>0.7820422207493095</x:v>
      </x:c>
      <x:c r="H537" s="8" t="n">
        <x:f>AVERAGE(Forecasts!O2543,Forecasts!O2549,Forecasts!O2555,Forecasts!O2561,Forecasts!O2567,Forecasts!O2573,Forecasts!O2579)</x:f>
        <x:v>0.5177467640224098</x:v>
      </x:c>
      <x:c r="I537" s="8" t="n">
        <x:f>AVERAGE(Forecasts!M2543,Forecasts!M2549,Forecasts!M2555,Forecasts!M2561,Forecasts!M2567,Forecasts!M2573,Forecasts!M2579)</x:f>
        <x:v>0.2057415057245535</x:v>
      </x:c>
      <x:c r="J537" s="8" t="n">
        <x:f>SQRT(AVERAGE(Forecasts!N569,Forecasts!N586,Forecasts!N603,Forecasts!N620,Forecasts!N637,Forecasts!N654,Forecasts!N671))</x:f>
        <x:v>1.2535663410560174</x:v>
      </x:c>
      <x:c r="K537" s="8" t="n">
        <x:f>SQRT(AVERAGE(Forecasts!N571,Forecasts!N588,Forecasts!N605,Forecasts!N622,Forecasts!N639,Forecasts!N656,Forecasts!N673))</x:f>
        <x:v>0.9513172419141669</x:v>
      </x:c>
    </x:row>
    <x:row r="538" ht="26" customHeight="1">
      <x:c r="A538" s="2"/>
      <x:c r="B538" s="2" t="str">
        <x:v>Health Care / price_contribution</x:v>
      </x:c>
      <x:c r="C538" s="2" t="str">
        <x:v>Origin</x:v>
      </x:c>
      <x:c r="D538" s="2" t="str">
        <x:v>Last actual</x:v>
      </x:c>
      <x:c r="E538" s="2" t="str">
        <x:v>All available</x:v>
      </x:c>
      <x:c r="F538" s="2" t="n">
        <x:v>12</x:v>
      </x:c>
      <x:c r="G538" s="8" t="n">
        <x:f>SQRT(AVERAGE(Forecasts!N486,Forecasts!N502,Forecasts!N518,Forecasts!N535,Forecasts!N552,Forecasts!N569,Forecasts!N586,Forecasts!N603,Forecasts!N620,Forecasts!N637,Forecasts!N654,Forecasts!N671))</x:f>
        <x:v>1.4719601443879744</x:v>
      </x:c>
      <x:c r="H538" s="8" t="n">
        <x:f>AVERAGE(Forecasts!O486,Forecasts!O502,Forecasts!O518,Forecasts!O535,Forecasts!O552,Forecasts!O569,Forecasts!O586,Forecasts!O603,Forecasts!O620,Forecasts!O637,Forecasts!O654,Forecasts!O671)</x:f>
        <x:v>1</x:v>
      </x:c>
      <x:c r="I538" s="8" t="n">
        <x:f>AVERAGE(Forecasts!M486,Forecasts!M502,Forecasts!M518,Forecasts!M535,Forecasts!M552,Forecasts!M569,Forecasts!M586,Forecasts!M603,Forecasts!M620,Forecasts!M637,Forecasts!M654,Forecasts!M671)</x:f>
        <x:v>0.6666666666666666</x:v>
      </x:c>
      <x:c r="J538" s="8" t="n">
        <x:f>SQRT(AVERAGE(Forecasts!N486,Forecasts!N502,Forecasts!N518,Forecasts!N535,Forecasts!N552,Forecasts!N569,Forecasts!N586,Forecasts!N603,Forecasts!N620,Forecasts!N637,Forecasts!N654,Forecasts!N671))</x:f>
        <x:v>1.4719601443879744</x:v>
      </x:c>
      <x:c r="K538" s="8" t="n">
        <x:f>SQRT(AVERAGE(Forecasts!N488,Forecasts!N504,Forecasts!N520,Forecasts!N537,Forecasts!N554,Forecasts!N571,Forecasts!N588,Forecasts!N605,Forecasts!N622,Forecasts!N639,Forecasts!N656,Forecasts!N673))</x:f>
        <x:v>0.9589866912837244</x:v>
      </x:c>
    </x:row>
    <x:row r="539" ht="26" customHeight="1">
      <x:c r="A539" s="2"/>
      <x:c r="B539" s="2" t="str">
        <x:v>Health Care / price_contribution</x:v>
      </x:c>
      <x:c r="C539" s="2" t="str">
        <x:v>Origin</x:v>
      </x:c>
      <x:c r="D539" s="2" t="str">
        <x:v>Last actual</x:v>
      </x:c>
      <x:c r="E539" s="2" t="str">
        <x:v>Recent eight</x:v>
      </x:c>
      <x:c r="F539" s="2" t="n">
        <x:v>8</x:v>
      </x:c>
      <x:c r="G539" s="8" t="n">
        <x:f>SQRT(AVERAGE(Forecasts!N552,Forecasts!N569,Forecasts!N586,Forecasts!N603,Forecasts!N620,Forecasts!N637,Forecasts!N654,Forecasts!N671))</x:f>
        <x:v>1.5811388300841898</x:v>
      </x:c>
      <x:c r="H539" s="8" t="n">
        <x:f>AVERAGE(Forecasts!O552,Forecasts!O569,Forecasts!O586,Forecasts!O603,Forecasts!O620,Forecasts!O637,Forecasts!O654,Forecasts!O671)</x:f>
        <x:v>1</x:v>
      </x:c>
      <x:c r="I539" s="8" t="n">
        <x:f>AVERAGE(Forecasts!M552,Forecasts!M569,Forecasts!M586,Forecasts!M603,Forecasts!M620,Forecasts!M637,Forecasts!M654,Forecasts!M671)</x:f>
        <x:v>0.75</x:v>
      </x:c>
      <x:c r="J539" s="8" t="n">
        <x:f>SQRT(AVERAGE(Forecasts!N552,Forecasts!N569,Forecasts!N586,Forecasts!N603,Forecasts!N620,Forecasts!N637,Forecasts!N654,Forecasts!N671))</x:f>
        <x:v>1.5811388300841898</x:v>
      </x:c>
      <x:c r="K539" s="8" t="n">
        <x:f>SQRT(AVERAGE(Forecasts!N554,Forecasts!N571,Forecasts!N588,Forecasts!N605,Forecasts!N622,Forecasts!N639,Forecasts!N656,Forecasts!N673))</x:f>
        <x:v>1.1250068660703203</x:v>
      </x:c>
    </x:row>
    <x:row r="540" ht="26" customHeight="1">
      <x:c r="A540" s="2"/>
      <x:c r="B540" s="2" t="str">
        <x:v>Health Care / price_contribution</x:v>
      </x:c>
      <x:c r="C540" s="2" t="str">
        <x:v>Origin</x:v>
      </x:c>
      <x:c r="D540" s="2" t="str">
        <x:v>Own history</x:v>
      </x:c>
      <x:c r="E540" s="2" t="str">
        <x:v>All available</x:v>
      </x:c>
      <x:c r="F540" s="2" t="n">
        <x:v>10</x:v>
      </x:c>
      <x:c r="G540" s="8" t="n">
        <x:f>SQRT(AVERAGE(Forecasts!N522,Forecasts!N539,Forecasts!N556,Forecasts!N573,Forecasts!N590,Forecasts!N607,Forecasts!N624,Forecasts!N641,Forecasts!N658,Forecasts!N675))</x:f>
        <x:v>2.0946684464276837</x:v>
      </x:c>
      <x:c r="H540" s="8" t="n">
        <x:f>AVERAGE(Forecasts!O522,Forecasts!O539,Forecasts!O556,Forecasts!O573,Forecasts!O590,Forecasts!O607,Forecasts!O624,Forecasts!O641,Forecasts!O658,Forecasts!O675)</x:f>
        <x:v>1.8258278781150359</x:v>
      </x:c>
      <x:c r="I540" s="8" t="n">
        <x:f>AVERAGE(Forecasts!M522,Forecasts!M539,Forecasts!M556,Forecasts!M573,Forecasts!M590,Forecasts!M607,Forecasts!M624,Forecasts!M641,Forecasts!M658,Forecasts!M675)</x:f>
        <x:v>1.796869247587218</x:v>
      </x:c>
      <x:c r="J540" s="8" t="n">
        <x:f>SQRT(AVERAGE(Forecasts!N518,Forecasts!N535,Forecasts!N552,Forecasts!N569,Forecasts!N586,Forecasts!N603,Forecasts!N620,Forecasts!N637,Forecasts!N654,Forecasts!N671))</x:f>
        <x:v>1.5811388300841898</x:v>
      </x:c>
      <x:c r="K540" s="8" t="n">
        <x:f>SQRT(AVERAGE(Forecasts!N520,Forecasts!N537,Forecasts!N554,Forecasts!N571,Forecasts!N588,Forecasts!N605,Forecasts!N622,Forecasts!N639,Forecasts!N656,Forecasts!N673))</x:f>
        <x:v>1.0468284721428491</x:v>
      </x:c>
    </x:row>
    <x:row r="541" ht="26" customHeight="1">
      <x:c r="A541" s="2"/>
      <x:c r="B541" s="2" t="str">
        <x:v>Health Care / price_contribution</x:v>
      </x:c>
      <x:c r="C541" s="2" t="str">
        <x:v>Origin</x:v>
      </x:c>
      <x:c r="D541" s="2" t="str">
        <x:v>Own history</x:v>
      </x:c>
      <x:c r="E541" s="2" t="str">
        <x:v>Recent eight</x:v>
      </x:c>
      <x:c r="F541" s="2" t="n">
        <x:v>8</x:v>
      </x:c>
      <x:c r="G541" s="8" t="n">
        <x:f>SQRT(AVERAGE(Forecasts!N556,Forecasts!N573,Forecasts!N590,Forecasts!N607,Forecasts!N624,Forecasts!N641,Forecasts!N658,Forecasts!N675))</x:f>
        <x:v>2.126105554994043</x:v>
      </x:c>
      <x:c r="H541" s="8" t="n">
        <x:f>AVERAGE(Forecasts!O556,Forecasts!O573,Forecasts!O590,Forecasts!O607,Forecasts!O624,Forecasts!O641,Forecasts!O658,Forecasts!O675)</x:f>
        <x:v>1.8032050688128305</x:v>
      </x:c>
      <x:c r="I541" s="8" t="n">
        <x:f>AVERAGE(Forecasts!M556,Forecasts!M573,Forecasts!M590,Forecasts!M607,Forecasts!M624,Forecasts!M641,Forecasts!M658,Forecasts!M675)</x:f>
        <x:v>1.7670067806530587</x:v>
      </x:c>
      <x:c r="J541" s="8" t="n">
        <x:f>SQRT(AVERAGE(Forecasts!N552,Forecasts!N569,Forecasts!N586,Forecasts!N603,Forecasts!N620,Forecasts!N637,Forecasts!N654,Forecasts!N671))</x:f>
        <x:v>1.5811388300841898</x:v>
      </x:c>
      <x:c r="K541" s="8" t="n">
        <x:f>SQRT(AVERAGE(Forecasts!N554,Forecasts!N571,Forecasts!N588,Forecasts!N605,Forecasts!N622,Forecasts!N639,Forecasts!N656,Forecasts!N673))</x:f>
        <x:v>1.1250068660703203</x:v>
      </x:c>
    </x:row>
    <x:row r="542" ht="26" customHeight="1">
      <x:c r="A542" s="2"/>
      <x:c r="B542" s="2" t="str">
        <x:v>Health Care / price_contribution</x:v>
      </x:c>
      <x:c r="C542" s="2" t="str">
        <x:v>Prior report</x:v>
      </x:c>
      <x:c r="D542" s="2" t="str">
        <x:v>Bias correction</x:v>
      </x:c>
      <x:c r="E542" s="2" t="str">
        <x:v>All available</x:v>
      </x:c>
      <x:c r="F542" s="2" t="n">
        <x:v>8</x:v>
      </x:c>
      <x:c r="G542" s="8" t="n">
        <x:f>SQRT(AVERAGE(Forecasts!N2538,Forecasts!N2544,Forecasts!N2550,Forecasts!N2556,Forecasts!N2562,Forecasts!N2568,Forecasts!N2574,Forecasts!N2580))</x:f>
        <x:v>0.8411428487384645</x:v>
      </x:c>
      <x:c r="H542" s="8" t="n">
        <x:f>AVERAGE(Forecasts!O2538,Forecasts!O2544,Forecasts!O2550,Forecasts!O2556,Forecasts!O2562,Forecasts!O2568,Forecasts!O2574,Forecasts!O2580)</x:f>
        <x:v>0.7091723967613585</x:v>
      </x:c>
      <x:c r="I542" s="8" t="n">
        <x:f>AVERAGE(Forecasts!M2538,Forecasts!M2544,Forecasts!M2550,Forecasts!M2556,Forecasts!M2562,Forecasts!M2568,Forecasts!M2574,Forecasts!M2580)</x:f>
        <x:v>0.03861725940792497</x:v>
      </x:c>
      <x:c r="J542" s="8" t="n">
        <x:f>SQRT(AVERAGE(Forecasts!N557,Forecasts!N574,Forecasts!N591,Forecasts!N608,Forecasts!N625,Forecasts!N642,Forecasts!N659,Forecasts!N676))</x:f>
        <x:v>0.8660254037844386</x:v>
      </x:c>
      <x:c r="K542" s="8" t="n">
        <x:f>SQRT(AVERAGE(Forecasts!N559,Forecasts!N576,Forecasts!N593,Forecasts!N610,Forecasts!N627,Forecasts!N644,Forecasts!N661,Forecasts!N678))</x:f>
        <x:v>0.9891402310917701</x:v>
      </x:c>
    </x:row>
    <x:row r="543" ht="26" customHeight="1">
      <x:c r="A543" s="2"/>
      <x:c r="B543" s="2" t="str">
        <x:v>Health Care / price_contribution</x:v>
      </x:c>
      <x:c r="C543" s="2" t="str">
        <x:v>Prior report</x:v>
      </x:c>
      <x:c r="D543" s="2" t="str">
        <x:v>Bias correction</x:v>
      </x:c>
      <x:c r="E543" s="2" t="str">
        <x:v>Recent eight</x:v>
      </x:c>
      <x:c r="F543" s="2" t="n">
        <x:v>8</x:v>
      </x:c>
      <x:c r="G543" s="8" t="n">
        <x:f>SQRT(AVERAGE(Forecasts!N2538,Forecasts!N2544,Forecasts!N2550,Forecasts!N2556,Forecasts!N2562,Forecasts!N2568,Forecasts!N2574,Forecasts!N2580))</x:f>
        <x:v>0.8411428487384645</x:v>
      </x:c>
      <x:c r="H543" s="8" t="n">
        <x:f>AVERAGE(Forecasts!O2538,Forecasts!O2544,Forecasts!O2550,Forecasts!O2556,Forecasts!O2562,Forecasts!O2568,Forecasts!O2574,Forecasts!O2580)</x:f>
        <x:v>0.7091723967613585</x:v>
      </x:c>
      <x:c r="I543" s="8" t="n">
        <x:f>AVERAGE(Forecasts!M2538,Forecasts!M2544,Forecasts!M2550,Forecasts!M2556,Forecasts!M2562,Forecasts!M2568,Forecasts!M2574,Forecasts!M2580)</x:f>
        <x:v>0.03861725940792497</x:v>
      </x:c>
      <x:c r="J543" s="8" t="n">
        <x:f>SQRT(AVERAGE(Forecasts!N557,Forecasts!N574,Forecasts!N591,Forecasts!N608,Forecasts!N625,Forecasts!N642,Forecasts!N659,Forecasts!N676))</x:f>
        <x:v>0.8660254037844386</x:v>
      </x:c>
      <x:c r="K543" s="8" t="n">
        <x:f>SQRT(AVERAGE(Forecasts!N559,Forecasts!N576,Forecasts!N593,Forecasts!N610,Forecasts!N627,Forecasts!N644,Forecasts!N661,Forecasts!N678))</x:f>
        <x:v>0.9891402310917701</x:v>
      </x:c>
    </x:row>
    <x:row r="544" ht="26" customHeight="1">
      <x:c r="A544" s="2"/>
      <x:c r="B544" s="2" t="str">
        <x:v>Health Care / price_contribution</x:v>
      </x:c>
      <x:c r="C544" s="2" t="str">
        <x:v>Prior report</x:v>
      </x:c>
      <x:c r="D544" s="2" t="str">
        <x:v>Broad lag 1</x:v>
      </x:c>
      <x:c r="E544" s="2" t="str">
        <x:v>All available</x:v>
      </x:c>
      <x:c r="F544" s="2" t="n">
        <x:v>11</x:v>
      </x:c>
      <x:c r="G544" s="8" t="n">
        <x:f>SQRT(AVERAGE(Forecasts!N493,Forecasts!N509,Forecasts!N526,Forecasts!N543,Forecasts!N560,Forecasts!N577,Forecasts!N594,Forecasts!N611,Forecasts!N628,Forecasts!N645,Forecasts!N662))</x:f>
        <x:v>1.1521722898962938</x:v>
      </x:c>
      <x:c r="H544" s="8" t="n">
        <x:f>AVERAGE(Forecasts!O493,Forecasts!O509,Forecasts!O526,Forecasts!O543,Forecasts!O560,Forecasts!O577,Forecasts!O594,Forecasts!O611,Forecasts!O628,Forecasts!O645,Forecasts!O662)</x:f>
        <x:v>0.979473258205737</x:v>
      </x:c>
      <x:c r="I544" s="8" t="n">
        <x:f>AVERAGE(Forecasts!M493,Forecasts!M509,Forecasts!M526,Forecasts!M543,Forecasts!M560,Forecasts!M577,Forecasts!M594,Forecasts!M611,Forecasts!M628,Forecasts!M645,Forecasts!M662)</x:f>
        <x:v>0.979473258205737</x:v>
      </x:c>
      <x:c r="J544" s="8" t="n">
        <x:f>SQRT(AVERAGE(Forecasts!N490,Forecasts!N506,Forecasts!N523,Forecasts!N540,Forecasts!N557,Forecasts!N574,Forecasts!N591,Forecasts!N608,Forecasts!N625,Forecasts!N642,Forecasts!N659))</x:f>
        <x:v>0.7977240352174656</x:v>
      </x:c>
      <x:c r="K544" s="8" t="n">
        <x:f>SQRT(AVERAGE(Forecasts!N492,Forecasts!N508,Forecasts!N525,Forecasts!N542,Forecasts!N559,Forecasts!N576,Forecasts!N593,Forecasts!N610,Forecasts!N627,Forecasts!N644,Forecasts!N661))</x:f>
        <x:v>0.8554090842386456</x:v>
      </x:c>
    </x:row>
    <x:row r="545" ht="26" customHeight="1">
      <x:c r="A545" s="2"/>
      <x:c r="B545" s="2" t="str">
        <x:v>Health Care / price_contribution</x:v>
      </x:c>
      <x:c r="C545" s="2" t="str">
        <x:v>Prior report</x:v>
      </x:c>
      <x:c r="D545" s="2" t="str">
        <x:v>Broad lag 1</x:v>
      </x:c>
      <x:c r="E545" s="2" t="str">
        <x:v>Recent eight</x:v>
      </x:c>
      <x:c r="F545" s="2" t="n">
        <x:v>7</x:v>
      </x:c>
      <x:c r="G545" s="8" t="n">
        <x:f>SQRT(AVERAGE(Forecasts!N560,Forecasts!N577,Forecasts!N594,Forecasts!N611,Forecasts!N628,Forecasts!N645,Forecasts!N662))</x:f>
        <x:v>1.403441238528586</x:v>
      </x:c>
      <x:c r="H545" s="8" t="n">
        <x:f>AVERAGE(Forecasts!O560,Forecasts!O577,Forecasts!O594,Forecasts!O611,Forecasts!O628,Forecasts!O645,Forecasts!O662)</x:f>
        <x:v>1.2905791611906097</x:v>
      </x:c>
      <x:c r="I545" s="8" t="n">
        <x:f>AVERAGE(Forecasts!M560,Forecasts!M577,Forecasts!M594,Forecasts!M611,Forecasts!M628,Forecasts!M645,Forecasts!M662)</x:f>
        <x:v>1.2905791611906097</x:v>
      </x:c>
      <x:c r="J545" s="8" t="n">
        <x:f>SQRT(AVERAGE(Forecasts!N557,Forecasts!N574,Forecasts!N591,Forecasts!N608,Forecasts!N625,Forecasts!N642,Forecasts!N659))</x:f>
        <x:v>0.8451542547285166</x:v>
      </x:c>
      <x:c r="K545" s="8" t="n">
        <x:f>SQRT(AVERAGE(Forecasts!N559,Forecasts!N576,Forecasts!N593,Forecasts!N610,Forecasts!N627,Forecasts!N644,Forecasts!N661))</x:f>
        <x:v>1.0574343048566617</x:v>
      </x:c>
    </x:row>
    <x:row r="546" ht="26" customHeight="1">
      <x:c r="A546" s="2"/>
      <x:c r="B546" s="2" t="str">
        <x:v>Health Care / price_contribution</x:v>
      </x:c>
      <x:c r="C546" s="2" t="str">
        <x:v>Prior report</x:v>
      </x:c>
      <x:c r="D546" s="2" t="str">
        <x:v>Broad market</x:v>
      </x:c>
      <x:c r="E546" s="2" t="str">
        <x:v>All available</x:v>
      </x:c>
      <x:c r="F546" s="2" t="n">
        <x:v>12</x:v>
      </x:c>
      <x:c r="G546" s="8" t="n">
        <x:f>SQRT(AVERAGE(Forecasts!N492,Forecasts!N508,Forecasts!N525,Forecasts!N542,Forecasts!N559,Forecasts!N576,Forecasts!N593,Forecasts!N610,Forecasts!N627,Forecasts!N644,Forecasts!N661,Forecasts!N678))</x:f>
        <x:v>0.8189926600138319</x:v>
      </x:c>
      <x:c r="H546" s="8" t="n">
        <x:f>AVERAGE(Forecasts!O492,Forecasts!O508,Forecasts!O525,Forecasts!O542,Forecasts!O559,Forecasts!O576,Forecasts!O593,Forecasts!O610,Forecasts!O627,Forecasts!O644,Forecasts!O661,Forecasts!O678)</x:f>
        <x:v>0.5799227606833742</x:v>
      </x:c>
      <x:c r="I546" s="8" t="n">
        <x:f>AVERAGE(Forecasts!M492,Forecasts!M508,Forecasts!M525,Forecasts!M542,Forecasts!M559,Forecasts!M576,Forecasts!M593,Forecasts!M610,Forecasts!M627,Forecasts!M644,Forecasts!M661,Forecasts!M678)</x:f>
        <x:v>0.5792558752942019</x:v>
      </x:c>
      <x:c r="J546" s="8" t="n">
        <x:f>SQRT(AVERAGE(Forecasts!N490,Forecasts!N506,Forecasts!N523,Forecasts!N540,Forecasts!N557,Forecasts!N574,Forecasts!N591,Forecasts!N608,Forecasts!N625,Forecasts!N642,Forecasts!N659,Forecasts!N676))</x:f>
        <x:v>0.816496580927726</x:v>
      </x:c>
      <x:c r="K546" s="8" t="n">
        <x:f>SQRT(AVERAGE(Forecasts!N492,Forecasts!N508,Forecasts!N525,Forecasts!N542,Forecasts!N559,Forecasts!N576,Forecasts!N593,Forecasts!N610,Forecasts!N627,Forecasts!N644,Forecasts!N661,Forecasts!N678))</x:f>
        <x:v>0.8189926600138319</x:v>
      </x:c>
    </x:row>
    <x:row r="547" ht="26" customHeight="1">
      <x:c r="A547" s="2"/>
      <x:c r="B547" s="2" t="str">
        <x:v>Health Care / price_contribution</x:v>
      </x:c>
      <x:c r="C547" s="2" t="str">
        <x:v>Prior report</x:v>
      </x:c>
      <x:c r="D547" s="2" t="str">
        <x:v>Broad market</x:v>
      </x:c>
      <x:c r="E547" s="2" t="str">
        <x:v>Recent eight</x:v>
      </x:c>
      <x:c r="F547" s="2" t="n">
        <x:v>8</x:v>
      </x:c>
      <x:c r="G547" s="8" t="n">
        <x:f>SQRT(AVERAGE(Forecasts!N559,Forecasts!N576,Forecasts!N593,Forecasts!N610,Forecasts!N627,Forecasts!N644,Forecasts!N661,Forecasts!N678))</x:f>
        <x:v>0.9891402310917701</x:v>
      </x:c>
      <x:c r="H547" s="8" t="n">
        <x:f>AVERAGE(Forecasts!O559,Forecasts!O576,Forecasts!O593,Forecasts!O610,Forecasts!O627,Forecasts!O644,Forecasts!O661,Forecasts!O678)</x:f>
        <x:v>0.7729828336220714</x:v>
      </x:c>
      <x:c r="I547" s="8" t="n">
        <x:f>AVERAGE(Forecasts!M559,Forecasts!M576,Forecasts!M593,Forecasts!M610,Forecasts!M627,Forecasts!M644,Forecasts!M661,Forecasts!M678)</x:f>
        <x:v>0.7719825055383129</x:v>
      </x:c>
      <x:c r="J547" s="8" t="n">
        <x:f>SQRT(AVERAGE(Forecasts!N557,Forecasts!N574,Forecasts!N591,Forecasts!N608,Forecasts!N625,Forecasts!N642,Forecasts!N659,Forecasts!N676))</x:f>
        <x:v>0.8660254037844386</x:v>
      </x:c>
      <x:c r="K547" s="8" t="n">
        <x:f>SQRT(AVERAGE(Forecasts!N559,Forecasts!N576,Forecasts!N593,Forecasts!N610,Forecasts!N627,Forecasts!N644,Forecasts!N661,Forecasts!N678))</x:f>
        <x:v>0.9891402310917701</x:v>
      </x:c>
    </x:row>
    <x:row r="548" ht="26" customHeight="1">
      <x:c r="A548" s="2"/>
      <x:c r="B548" s="2" t="str">
        <x:v>Health Care / price_contribution</x:v>
      </x:c>
      <x:c r="C548" s="2" t="str">
        <x:v>Prior report</x:v>
      </x:c>
      <x:c r="D548" s="2" t="str">
        <x:v>Broad rolling 8</x:v>
      </x:c>
      <x:c r="E548" s="2" t="str">
        <x:v>All available</x:v>
      </x:c>
      <x:c r="F548" s="2" t="n">
        <x:v>12</x:v>
      </x:c>
      <x:c r="G548" s="8" t="n">
        <x:f>SQRT(AVERAGE(Forecasts!N494,Forecasts!N510,Forecasts!N527,Forecasts!N544,Forecasts!N561,Forecasts!N578,Forecasts!N595,Forecasts!N612,Forecasts!N629,Forecasts!N646,Forecasts!N663,Forecasts!N679))</x:f>
        <x:v>1.0390895174874242</x:v>
      </x:c>
      <x:c r="H548" s="8" t="n">
        <x:f>AVERAGE(Forecasts!O494,Forecasts!O510,Forecasts!O527,Forecasts!O544,Forecasts!O561,Forecasts!O578,Forecasts!O595,Forecasts!O612,Forecasts!O629,Forecasts!O646,Forecasts!O663,Forecasts!O679)</x:f>
        <x:v>0.6247387924926897</x:v>
      </x:c>
      <x:c r="I548" s="8" t="n">
        <x:f>AVERAGE(Forecasts!M494,Forecasts!M510,Forecasts!M527,Forecasts!M544,Forecasts!M561,Forecasts!M578,Forecasts!M595,Forecasts!M612,Forecasts!M629,Forecasts!M646,Forecasts!M663,Forecasts!M679)</x:f>
        <x:v>0.5771642815362557</x:v>
      </x:c>
      <x:c r="J548" s="8" t="n">
        <x:f>SQRT(AVERAGE(Forecasts!N490,Forecasts!N506,Forecasts!N523,Forecasts!N540,Forecasts!N557,Forecasts!N574,Forecasts!N591,Forecasts!N608,Forecasts!N625,Forecasts!N642,Forecasts!N659,Forecasts!N676))</x:f>
        <x:v>0.816496580927726</x:v>
      </x:c>
      <x:c r="K548" s="8" t="n">
        <x:f>SQRT(AVERAGE(Forecasts!N492,Forecasts!N508,Forecasts!N525,Forecasts!N542,Forecasts!N559,Forecasts!N576,Forecasts!N593,Forecasts!N610,Forecasts!N627,Forecasts!N644,Forecasts!N661,Forecasts!N678))</x:f>
        <x:v>0.8189926600138319</x:v>
      </x:c>
    </x:row>
    <x:row r="549" ht="26" customHeight="1">
      <x:c r="A549" s="2"/>
      <x:c r="B549" s="2" t="str">
        <x:v>Health Care / price_contribution</x:v>
      </x:c>
      <x:c r="C549" s="2" t="str">
        <x:v>Prior report</x:v>
      </x:c>
      <x:c r="D549" s="2" t="str">
        <x:v>Broad rolling 8</x:v>
      </x:c>
      <x:c r="E549" s="2" t="str">
        <x:v>Recent eight</x:v>
      </x:c>
      <x:c r="F549" s="2" t="n">
        <x:v>8</x:v>
      </x:c>
      <x:c r="G549" s="8" t="n">
        <x:f>SQRT(AVERAGE(Forecasts!N561,Forecasts!N578,Forecasts!N595,Forecasts!N612,Forecasts!N629,Forecasts!N646,Forecasts!N663,Forecasts!N679))</x:f>
        <x:v>1.2254431503519154</x:v>
      </x:c>
      <x:c r="H549" s="8" t="n">
        <x:f>AVERAGE(Forecasts!O561,Forecasts!O578,Forecasts!O595,Forecasts!O612,Forecasts!O629,Forecasts!O646,Forecasts!O663,Forecasts!O679)</x:f>
        <x:v>0.7710049829745204</x:v>
      </x:c>
      <x:c r="I549" s="8" t="n">
        <x:f>AVERAGE(Forecasts!M561,Forecasts!M578,Forecasts!M595,Forecasts!M612,Forecasts!M629,Forecasts!M646,Forecasts!M663,Forecasts!M679)</x:f>
        <x:v>0.7085594364099764</x:v>
      </x:c>
      <x:c r="J549" s="8" t="n">
        <x:f>SQRT(AVERAGE(Forecasts!N557,Forecasts!N574,Forecasts!N591,Forecasts!N608,Forecasts!N625,Forecasts!N642,Forecasts!N659,Forecasts!N676))</x:f>
        <x:v>0.8660254037844386</x:v>
      </x:c>
      <x:c r="K549" s="8" t="n">
        <x:f>SQRT(AVERAGE(Forecasts!N559,Forecasts!N576,Forecasts!N593,Forecasts!N610,Forecasts!N627,Forecasts!N644,Forecasts!N661,Forecasts!N678))</x:f>
        <x:v>0.9891402310917701</x:v>
      </x:c>
    </x:row>
    <x:row r="550" ht="26" customHeight="1">
      <x:c r="A550" s="2"/>
      <x:c r="B550" s="2" t="str">
        <x:v>Health Care / price_contribution</x:v>
      </x:c>
      <x:c r="C550" s="2" t="str">
        <x:v>Prior report</x:v>
      </x:c>
      <x:c r="D550" s="2" t="str">
        <x:v>Four-quarter mean</x:v>
      </x:c>
      <x:c r="E550" s="2" t="str">
        <x:v>All available</x:v>
      </x:c>
      <x:c r="F550" s="2" t="n">
        <x:v>12</x:v>
      </x:c>
      <x:c r="G550" s="8" t="n">
        <x:f>SQRT(AVERAGE(Forecasts!N491,Forecasts!N507,Forecasts!N524,Forecasts!N541,Forecasts!N558,Forecasts!N575,Forecasts!N592,Forecasts!N609,Forecasts!N626,Forecasts!N643,Forecasts!N660,Forecasts!N677))</x:f>
        <x:v>1.6105123408406408</x:v>
      </x:c>
      <x:c r="H550" s="8" t="n">
        <x:f>AVERAGE(Forecasts!O491,Forecasts!O507,Forecasts!O524,Forecasts!O541,Forecasts!O558,Forecasts!O575,Forecasts!O592,Forecasts!O609,Forecasts!O626,Forecasts!O643,Forecasts!O660,Forecasts!O677)</x:f>
        <x:v>1.1666666666666667</x:v>
      </x:c>
      <x:c r="I550" s="8" t="n">
        <x:f>AVERAGE(Forecasts!M491,Forecasts!M507,Forecasts!M524,Forecasts!M541,Forecasts!M558,Forecasts!M575,Forecasts!M592,Forecasts!M609,Forecasts!M626,Forecasts!M643,Forecasts!M660,Forecasts!M677)</x:f>
        <x:v>0.875</x:v>
      </x:c>
      <x:c r="J550" s="8" t="n">
        <x:f>SQRT(AVERAGE(Forecasts!N490,Forecasts!N506,Forecasts!N523,Forecasts!N540,Forecasts!N557,Forecasts!N574,Forecasts!N591,Forecasts!N608,Forecasts!N625,Forecasts!N642,Forecasts!N659,Forecasts!N676))</x:f>
        <x:v>0.816496580927726</x:v>
      </x:c>
      <x:c r="K550" s="8" t="n">
        <x:f>SQRT(AVERAGE(Forecasts!N492,Forecasts!N508,Forecasts!N525,Forecasts!N542,Forecasts!N559,Forecasts!N576,Forecasts!N593,Forecasts!N610,Forecasts!N627,Forecasts!N644,Forecasts!N661,Forecasts!N678))</x:f>
        <x:v>0.8189926600138319</x:v>
      </x:c>
    </x:row>
    <x:row r="551" ht="26" customHeight="1">
      <x:c r="A551" s="2"/>
      <x:c r="B551" s="2" t="str">
        <x:v>Health Care / price_contribution</x:v>
      </x:c>
      <x:c r="C551" s="2" t="str">
        <x:v>Prior report</x:v>
      </x:c>
      <x:c r="D551" s="2" t="str">
        <x:v>Four-quarter mean</x:v>
      </x:c>
      <x:c r="E551" s="2" t="str">
        <x:v>Recent eight</x:v>
      </x:c>
      <x:c r="F551" s="2" t="n">
        <x:v>8</x:v>
      </x:c>
      <x:c r="G551" s="8" t="n">
        <x:f>SQRT(AVERAGE(Forecasts!N558,Forecasts!N575,Forecasts!N592,Forecasts!N609,Forecasts!N626,Forecasts!N643,Forecasts!N660,Forecasts!N677))</x:f>
        <x:v>1.8434851504690781</x:v>
      </x:c>
      <x:c r="H551" s="8" t="n">
        <x:f>AVERAGE(Forecasts!O558,Forecasts!O575,Forecasts!O592,Forecasts!O609,Forecasts!O626,Forecasts!O643,Forecasts!O660,Forecasts!O677)</x:f>
        <x:v>1.34375</x:v>
      </x:c>
      <x:c r="I551" s="8" t="n">
        <x:f>AVERAGE(Forecasts!M558,Forecasts!M575,Forecasts!M592,Forecasts!M609,Forecasts!M626,Forecasts!M643,Forecasts!M660,Forecasts!M677)</x:f>
        <x:v>1.09375</x:v>
      </x:c>
      <x:c r="J551" s="8" t="n">
        <x:f>SQRT(AVERAGE(Forecasts!N557,Forecasts!N574,Forecasts!N591,Forecasts!N608,Forecasts!N625,Forecasts!N642,Forecasts!N659,Forecasts!N676))</x:f>
        <x:v>0.8660254037844386</x:v>
      </x:c>
      <x:c r="K551" s="8" t="n">
        <x:f>SQRT(AVERAGE(Forecasts!N559,Forecasts!N576,Forecasts!N593,Forecasts!N610,Forecasts!N627,Forecasts!N644,Forecasts!N661,Forecasts!N678))</x:f>
        <x:v>0.9891402310917701</x:v>
      </x:c>
    </x:row>
    <x:row r="552" ht="26" customHeight="1">
      <x:c r="A552" s="2"/>
      <x:c r="B552" s="2" t="str">
        <x:v>Health Care / price_contribution</x:v>
      </x:c>
      <x:c r="C552" s="2" t="str">
        <x:v>Prior report</x:v>
      </x:c>
      <x:c r="D552" s="2" t="str">
        <x:v>Half correction</x:v>
      </x:c>
      <x:c r="E552" s="2" t="str">
        <x:v>All available</x:v>
      </x:c>
      <x:c r="F552" s="2" t="n">
        <x:v>8</x:v>
      </x:c>
      <x:c r="G552" s="8" t="n">
        <x:f>SQRT(AVERAGE(Forecasts!N2539,Forecasts!N2545,Forecasts!N2551,Forecasts!N2557,Forecasts!N2563,Forecasts!N2569,Forecasts!N2575,Forecasts!N2581))</x:f>
        <x:v>0.8267585297289783</x:v>
      </x:c>
      <x:c r="H552" s="8" t="n">
        <x:f>AVERAGE(Forecasts!O2539,Forecasts!O2545,Forecasts!O2551,Forecasts!O2557,Forecasts!O2563,Forecasts!O2569,Forecasts!O2575,Forecasts!O2581)</x:f>
        <x:v>0.5512561628347569</x:v>
      </x:c>
      <x:c r="I552" s="8" t="n">
        <x:f>AVERAGE(Forecasts!M2539,Forecasts!M2545,Forecasts!M2551,Forecasts!M2557,Forecasts!M2563,Forecasts!M2569,Forecasts!M2575,Forecasts!M2581)</x:f>
        <x:v>0.4052998824731189</x:v>
      </x:c>
      <x:c r="J552" s="8" t="n">
        <x:f>SQRT(AVERAGE(Forecasts!N557,Forecasts!N574,Forecasts!N591,Forecasts!N608,Forecasts!N625,Forecasts!N642,Forecasts!N659,Forecasts!N676))</x:f>
        <x:v>0.8660254037844386</x:v>
      </x:c>
      <x:c r="K552" s="8" t="n">
        <x:f>SQRT(AVERAGE(Forecasts!N559,Forecasts!N576,Forecasts!N593,Forecasts!N610,Forecasts!N627,Forecasts!N644,Forecasts!N661,Forecasts!N678))</x:f>
        <x:v>0.9891402310917701</x:v>
      </x:c>
    </x:row>
    <x:row r="553" ht="26" customHeight="1">
      <x:c r="A553" s="2"/>
      <x:c r="B553" s="2" t="str">
        <x:v>Health Care / price_contribution</x:v>
      </x:c>
      <x:c r="C553" s="2" t="str">
        <x:v>Prior report</x:v>
      </x:c>
      <x:c r="D553" s="2" t="str">
        <x:v>Half correction</x:v>
      </x:c>
      <x:c r="E553" s="2" t="str">
        <x:v>Recent eight</x:v>
      </x:c>
      <x:c r="F553" s="2" t="n">
        <x:v>8</x:v>
      </x:c>
      <x:c r="G553" s="8" t="n">
        <x:f>SQRT(AVERAGE(Forecasts!N2539,Forecasts!N2545,Forecasts!N2551,Forecasts!N2557,Forecasts!N2563,Forecasts!N2569,Forecasts!N2575,Forecasts!N2581))</x:f>
        <x:v>0.8267585297289783</x:v>
      </x:c>
      <x:c r="H553" s="8" t="n">
        <x:f>AVERAGE(Forecasts!O2539,Forecasts!O2545,Forecasts!O2551,Forecasts!O2557,Forecasts!O2563,Forecasts!O2569,Forecasts!O2575,Forecasts!O2581)</x:f>
        <x:v>0.5512561628347569</x:v>
      </x:c>
      <x:c r="I553" s="8" t="n">
        <x:f>AVERAGE(Forecasts!M2539,Forecasts!M2545,Forecasts!M2551,Forecasts!M2557,Forecasts!M2563,Forecasts!M2569,Forecasts!M2575,Forecasts!M2581)</x:f>
        <x:v>0.4052998824731189</x:v>
      </x:c>
      <x:c r="J553" s="8" t="n">
        <x:f>SQRT(AVERAGE(Forecasts!N557,Forecasts!N574,Forecasts!N591,Forecasts!N608,Forecasts!N625,Forecasts!N642,Forecasts!N659,Forecasts!N676))</x:f>
        <x:v>0.8660254037844386</x:v>
      </x:c>
      <x:c r="K553" s="8" t="n">
        <x:f>SQRT(AVERAGE(Forecasts!N559,Forecasts!N576,Forecasts!N593,Forecasts!N610,Forecasts!N627,Forecasts!N644,Forecasts!N661,Forecasts!N678))</x:f>
        <x:v>0.9891402310917701</x:v>
      </x:c>
    </x:row>
    <x:row r="554" ht="26" customHeight="1">
      <x:c r="A554" s="2"/>
      <x:c r="B554" s="2" t="str">
        <x:v>Health Care / price_contribution</x:v>
      </x:c>
      <x:c r="C554" s="2" t="str">
        <x:v>Prior report</x:v>
      </x:c>
      <x:c r="D554" s="2" t="str">
        <x:v>Last actual</x:v>
      </x:c>
      <x:c r="E554" s="2" t="str">
        <x:v>All available</x:v>
      </x:c>
      <x:c r="F554" s="2" t="n">
        <x:v>12</x:v>
      </x:c>
      <x:c r="G554" s="8" t="n">
        <x:f>SQRT(AVERAGE(Forecasts!N490,Forecasts!N506,Forecasts!N523,Forecasts!N540,Forecasts!N557,Forecasts!N574,Forecasts!N591,Forecasts!N608,Forecasts!N625,Forecasts!N642,Forecasts!N659,Forecasts!N676))</x:f>
        <x:v>0.816496580927726</x:v>
      </x:c>
      <x:c r="H554" s="8" t="n">
        <x:f>AVERAGE(Forecasts!O490,Forecasts!O506,Forecasts!O523,Forecasts!O540,Forecasts!O557,Forecasts!O574,Forecasts!O591,Forecasts!O608,Forecasts!O625,Forecasts!O642,Forecasts!O659,Forecasts!O676)</x:f>
        <x:v>0.5</x:v>
      </x:c>
      <x:c r="I554" s="8" t="n">
        <x:f>AVERAGE(Forecasts!M490,Forecasts!M506,Forecasts!M523,Forecasts!M540,Forecasts!M557,Forecasts!M574,Forecasts!M591,Forecasts!M608,Forecasts!M625,Forecasts!M642,Forecasts!M659,Forecasts!M676)</x:f>
        <x:v>0.3333333333333333</x:v>
      </x:c>
      <x:c r="J554" s="8" t="n">
        <x:f>SQRT(AVERAGE(Forecasts!N490,Forecasts!N506,Forecasts!N523,Forecasts!N540,Forecasts!N557,Forecasts!N574,Forecasts!N591,Forecasts!N608,Forecasts!N625,Forecasts!N642,Forecasts!N659,Forecasts!N676))</x:f>
        <x:v>0.816496580927726</x:v>
      </x:c>
      <x:c r="K554" s="8" t="n">
        <x:f>SQRT(AVERAGE(Forecasts!N492,Forecasts!N508,Forecasts!N525,Forecasts!N542,Forecasts!N559,Forecasts!N576,Forecasts!N593,Forecasts!N610,Forecasts!N627,Forecasts!N644,Forecasts!N661,Forecasts!N678))</x:f>
        <x:v>0.8189926600138319</x:v>
      </x:c>
    </x:row>
    <x:row r="555" ht="26" customHeight="1">
      <x:c r="A555" s="2"/>
      <x:c r="B555" s="2" t="str">
        <x:v>Health Care / price_contribution</x:v>
      </x:c>
      <x:c r="C555" s="2" t="str">
        <x:v>Prior report</x:v>
      </x:c>
      <x:c r="D555" s="2" t="str">
        <x:v>Last actual</x:v>
      </x:c>
      <x:c r="E555" s="2" t="str">
        <x:v>Recent eight</x:v>
      </x:c>
      <x:c r="F555" s="2" t="n">
        <x:v>8</x:v>
      </x:c>
      <x:c r="G555" s="8" t="n">
        <x:f>SQRT(AVERAGE(Forecasts!N557,Forecasts!N574,Forecasts!N591,Forecasts!N608,Forecasts!N625,Forecasts!N642,Forecasts!N659,Forecasts!N676))</x:f>
        <x:v>0.8660254037844386</x:v>
      </x:c>
      <x:c r="H555" s="8" t="n">
        <x:f>AVERAGE(Forecasts!O557,Forecasts!O574,Forecasts!O591,Forecasts!O608,Forecasts!O625,Forecasts!O642,Forecasts!O659,Forecasts!O676)</x:f>
        <x:v>0.5</x:v>
      </x:c>
      <x:c r="I555" s="8" t="n">
        <x:f>AVERAGE(Forecasts!M557,Forecasts!M574,Forecasts!M591,Forecasts!M608,Forecasts!M625,Forecasts!M642,Forecasts!M659,Forecasts!M676)</x:f>
        <x:v>0.25</x:v>
      </x:c>
      <x:c r="J555" s="8" t="n">
        <x:f>SQRT(AVERAGE(Forecasts!N557,Forecasts!N574,Forecasts!N591,Forecasts!N608,Forecasts!N625,Forecasts!N642,Forecasts!N659,Forecasts!N676))</x:f>
        <x:v>0.8660254037844386</x:v>
      </x:c>
      <x:c r="K555" s="8" t="n">
        <x:f>SQRT(AVERAGE(Forecasts!N559,Forecasts!N576,Forecasts!N593,Forecasts!N610,Forecasts!N627,Forecasts!N644,Forecasts!N661,Forecasts!N678))</x:f>
        <x:v>0.9891402310917701</x:v>
      </x:c>
    </x:row>
    <x:row r="556" ht="26" customHeight="1">
      <x:c r="A556" s="2"/>
      <x:c r="B556" s="2" t="str">
        <x:v>Health Care / price_contribution</x:v>
      </x:c>
      <x:c r="C556" s="2" t="str">
        <x:v>Prior report</x:v>
      </x:c>
      <x:c r="D556" s="2" t="str">
        <x:v>Own history</x:v>
      </x:c>
      <x:c r="E556" s="2" t="str">
        <x:v>All available</x:v>
      </x:c>
      <x:c r="F556" s="2" t="n">
        <x:v>12</x:v>
      </x:c>
      <x:c r="G556" s="8" t="n">
        <x:f>SQRT(AVERAGE(Forecasts!N495,Forecasts!N511,Forecasts!N528,Forecasts!N545,Forecasts!N562,Forecasts!N579,Forecasts!N596,Forecasts!N613,Forecasts!N630,Forecasts!N647,Forecasts!N664,Forecasts!N680))</x:f>
        <x:v>1.007226865439426</x:v>
      </x:c>
      <x:c r="H556" s="8" t="n">
        <x:f>AVERAGE(Forecasts!O495,Forecasts!O511,Forecasts!O528,Forecasts!O545,Forecasts!O562,Forecasts!O579,Forecasts!O596,Forecasts!O613,Forecasts!O630,Forecasts!O647,Forecasts!O664,Forecasts!O680)</x:f>
        <x:v>0.813336212540163</x:v>
      </x:c>
      <x:c r="I556" s="8" t="n">
        <x:f>AVERAGE(Forecasts!M495,Forecasts!M511,Forecasts!M528,Forecasts!M545,Forecasts!M562,Forecasts!M579,Forecasts!M596,Forecasts!M613,Forecasts!M630,Forecasts!M647,Forecasts!M664,Forecasts!M680)</x:f>
        <x:v>0.6980777248858421</x:v>
      </x:c>
      <x:c r="J556" s="8" t="n">
        <x:f>SQRT(AVERAGE(Forecasts!N490,Forecasts!N506,Forecasts!N523,Forecasts!N540,Forecasts!N557,Forecasts!N574,Forecasts!N591,Forecasts!N608,Forecasts!N625,Forecasts!N642,Forecasts!N659,Forecasts!N676))</x:f>
        <x:v>0.816496580927726</x:v>
      </x:c>
      <x:c r="K556" s="8" t="n">
        <x:f>SQRT(AVERAGE(Forecasts!N492,Forecasts!N508,Forecasts!N525,Forecasts!N542,Forecasts!N559,Forecasts!N576,Forecasts!N593,Forecasts!N610,Forecasts!N627,Forecasts!N644,Forecasts!N661,Forecasts!N678))</x:f>
        <x:v>0.8189926600138319</x:v>
      </x:c>
    </x:row>
    <x:row r="557" ht="26" customHeight="1">
      <x:c r="A557" s="2"/>
      <x:c r="B557" s="2" t="str">
        <x:v>Health Care / price_contribution</x:v>
      </x:c>
      <x:c r="C557" s="2" t="str">
        <x:v>Prior report</x:v>
      </x:c>
      <x:c r="D557" s="2" t="str">
        <x:v>Own history</x:v>
      </x:c>
      <x:c r="E557" s="2" t="str">
        <x:v>Recent eight</x:v>
      </x:c>
      <x:c r="F557" s="2" t="n">
        <x:v>8</x:v>
      </x:c>
      <x:c r="G557" s="8" t="n">
        <x:f>SQRT(AVERAGE(Forecasts!N562,Forecasts!N579,Forecasts!N596,Forecasts!N613,Forecasts!N630,Forecasts!N647,Forecasts!N664,Forecasts!N680))</x:f>
        <x:v>1.069443565124784</x:v>
      </x:c>
      <x:c r="H557" s="8" t="n">
        <x:f>AVERAGE(Forecasts!O562,Forecasts!O579,Forecasts!O596,Forecasts!O613,Forecasts!O630,Forecasts!O647,Forecasts!O664,Forecasts!O680)</x:f>
        <x:v>0.8456750984901198</x:v>
      </x:c>
      <x:c r="I557" s="8" t="n">
        <x:f>AVERAGE(Forecasts!M562,Forecasts!M579,Forecasts!M596,Forecasts!M613,Forecasts!M630,Forecasts!M647,Forecasts!M664,Forecasts!M680)</x:f>
        <x:v>0.6727873670086384</x:v>
      </x:c>
      <x:c r="J557" s="8" t="n">
        <x:f>SQRT(AVERAGE(Forecasts!N557,Forecasts!N574,Forecasts!N591,Forecasts!N608,Forecasts!N625,Forecasts!N642,Forecasts!N659,Forecasts!N676))</x:f>
        <x:v>0.8660254037844386</x:v>
      </x:c>
      <x:c r="K557" s="8" t="n">
        <x:f>SQRT(AVERAGE(Forecasts!N559,Forecasts!N576,Forecasts!N593,Forecasts!N610,Forecasts!N627,Forecasts!N644,Forecasts!N661,Forecasts!N678))</x:f>
        <x:v>0.9891402310917701</x:v>
      </x:c>
    </x:row>
    <x:row r="558" ht="26" customHeight="1">
      <x:c r="A558" s="2"/>
      <x:c r="B558" s="2" t="str">
        <x:v>Health Care / price_contribution</x:v>
      </x:c>
      <x:c r="C558" s="2" t="str">
        <x:v>Pre-earnings</x:v>
      </x:c>
      <x:c r="D558" s="2" t="str">
        <x:v>Bias correction</x:v>
      </x:c>
      <x:c r="E558" s="2" t="str">
        <x:v>All available</x:v>
      </x:c>
      <x:c r="F558" s="2" t="n">
        <x:v>8</x:v>
      </x:c>
      <x:c r="G558" s="8" t="n">
        <x:f>SQRT(AVERAGE(Forecasts!N2540,Forecasts!N2546,Forecasts!N2552,Forecasts!N2558,Forecasts!N2564,Forecasts!N2570,Forecasts!N2576,Forecasts!N2582))</x:f>
        <x:v>0.49978531864507014</x:v>
      </x:c>
      <x:c r="H558" s="8" t="n">
        <x:f>AVERAGE(Forecasts!O2540,Forecasts!O2546,Forecasts!O2552,Forecasts!O2558,Forecasts!O2564,Forecasts!O2570,Forecasts!O2576,Forecasts!O2582)</x:f>
        <x:v>0.36714644258786533</x:v>
      </x:c>
      <x:c r="I558" s="8" t="n">
        <x:f>AVERAGE(Forecasts!M2540,Forecasts!M2546,Forecasts!M2552,Forecasts!M2558,Forecasts!M2564,Forecasts!M2570,Forecasts!M2576,Forecasts!M2582)</x:f>
        <x:v>0.3295755325022265</x:v>
      </x:c>
      <x:c r="J558" s="8" t="n">
        <x:f>SQRT(AVERAGE(Forecasts!N563,Forecasts!N580,Forecasts!N597,Forecasts!N614,Forecasts!N631,Forecasts!N648,Forecasts!N665,Forecasts!N681))</x:f>
        <x:v>0.8660254037844386</x:v>
      </x:c>
      <x:c r="K558" s="8" t="n">
        <x:f>SQRT(AVERAGE(Forecasts!N565,Forecasts!N582,Forecasts!N599,Forecasts!N616,Forecasts!N633,Forecasts!N650,Forecasts!N667,Forecasts!N683))</x:f>
        <x:v>0.6192404147384177</x:v>
      </x:c>
    </x:row>
    <x:row r="559" ht="26" customHeight="1">
      <x:c r="A559" s="2"/>
      <x:c r="B559" s="2" t="str">
        <x:v>Health Care / price_contribution</x:v>
      </x:c>
      <x:c r="C559" s="2" t="str">
        <x:v>Pre-earnings</x:v>
      </x:c>
      <x:c r="D559" s="2" t="str">
        <x:v>Bias correction</x:v>
      </x:c>
      <x:c r="E559" s="2" t="str">
        <x:v>Recent eight</x:v>
      </x:c>
      <x:c r="F559" s="2" t="n">
        <x:v>8</x:v>
      </x:c>
      <x:c r="G559" s="8" t="n">
        <x:f>SQRT(AVERAGE(Forecasts!N2540,Forecasts!N2546,Forecasts!N2552,Forecasts!N2558,Forecasts!N2564,Forecasts!N2570,Forecasts!N2576,Forecasts!N2582))</x:f>
        <x:v>0.49978531864507014</x:v>
      </x:c>
      <x:c r="H559" s="8" t="n">
        <x:f>AVERAGE(Forecasts!O2540,Forecasts!O2546,Forecasts!O2552,Forecasts!O2558,Forecasts!O2564,Forecasts!O2570,Forecasts!O2576,Forecasts!O2582)</x:f>
        <x:v>0.36714644258786533</x:v>
      </x:c>
      <x:c r="I559" s="8" t="n">
        <x:f>AVERAGE(Forecasts!M2540,Forecasts!M2546,Forecasts!M2552,Forecasts!M2558,Forecasts!M2564,Forecasts!M2570,Forecasts!M2576,Forecasts!M2582)</x:f>
        <x:v>0.3295755325022265</x:v>
      </x:c>
      <x:c r="J559" s="8" t="n">
        <x:f>SQRT(AVERAGE(Forecasts!N563,Forecasts!N580,Forecasts!N597,Forecasts!N614,Forecasts!N631,Forecasts!N648,Forecasts!N665,Forecasts!N681))</x:f>
        <x:v>0.8660254037844386</x:v>
      </x:c>
      <x:c r="K559" s="8" t="n">
        <x:f>SQRT(AVERAGE(Forecasts!N565,Forecasts!N582,Forecasts!N599,Forecasts!N616,Forecasts!N633,Forecasts!N650,Forecasts!N667,Forecasts!N683))</x:f>
        <x:v>0.6192404147384177</x:v>
      </x:c>
    </x:row>
    <x:row r="560" ht="26" customHeight="1">
      <x:c r="A560" s="2"/>
      <x:c r="B560" s="2" t="str">
        <x:v>Health Care / price_contribution</x:v>
      </x:c>
      <x:c r="C560" s="2" t="str">
        <x:v>Pre-earnings</x:v>
      </x:c>
      <x:c r="D560" s="2" t="str">
        <x:v>Broad lag 1</x:v>
      </x:c>
      <x:c r="E560" s="2" t="str">
        <x:v>All available</x:v>
      </x:c>
      <x:c r="F560" s="2" t="n">
        <x:v>11</x:v>
      </x:c>
      <x:c r="G560" s="8" t="n">
        <x:f>SQRT(AVERAGE(Forecasts!N499,Forecasts!N515,Forecasts!N532,Forecasts!N549,Forecasts!N566,Forecasts!N583,Forecasts!N600,Forecasts!N617,Forecasts!N634,Forecasts!N651,Forecasts!N668))</x:f>
        <x:v>1.1521722898962938</x:v>
      </x:c>
      <x:c r="H560" s="8" t="n">
        <x:f>AVERAGE(Forecasts!O499,Forecasts!O515,Forecasts!O532,Forecasts!O549,Forecasts!O566,Forecasts!O583,Forecasts!O600,Forecasts!O617,Forecasts!O634,Forecasts!O651,Forecasts!O668)</x:f>
        <x:v>0.979473258205737</x:v>
      </x:c>
      <x:c r="I560" s="8" t="n">
        <x:f>AVERAGE(Forecasts!M499,Forecasts!M515,Forecasts!M532,Forecasts!M549,Forecasts!M566,Forecasts!M583,Forecasts!M600,Forecasts!M617,Forecasts!M634,Forecasts!M651,Forecasts!M668)</x:f>
        <x:v>0.979473258205737</x:v>
      </x:c>
      <x:c r="J560" s="8" t="n">
        <x:f>SQRT(AVERAGE(Forecasts!N496,Forecasts!N512,Forecasts!N529,Forecasts!N546,Forecasts!N563,Forecasts!N580,Forecasts!N597,Forecasts!N614,Forecasts!N631,Forecasts!N648,Forecasts!N665))</x:f>
        <x:v>0.7977240352174656</x:v>
      </x:c>
      <x:c r="K560" s="8" t="n">
        <x:f>SQRT(AVERAGE(Forecasts!N498,Forecasts!N514,Forecasts!N531,Forecasts!N548,Forecasts!N565,Forecasts!N582,Forecasts!N599,Forecasts!N616,Forecasts!N633,Forecasts!N650,Forecasts!N667))</x:f>
        <x:v>0.6113521613694891</x:v>
      </x:c>
    </x:row>
    <x:row r="561" ht="26" customHeight="1">
      <x:c r="A561" s="2"/>
      <x:c r="B561" s="2" t="str">
        <x:v>Health Care / price_contribution</x:v>
      </x:c>
      <x:c r="C561" s="2" t="str">
        <x:v>Pre-earnings</x:v>
      </x:c>
      <x:c r="D561" s="2" t="str">
        <x:v>Broad lag 1</x:v>
      </x:c>
      <x:c r="E561" s="2" t="str">
        <x:v>Recent eight</x:v>
      </x:c>
      <x:c r="F561" s="2" t="n">
        <x:v>7</x:v>
      </x:c>
      <x:c r="G561" s="8" t="n">
        <x:f>SQRT(AVERAGE(Forecasts!N566,Forecasts!N583,Forecasts!N600,Forecasts!N617,Forecasts!N634,Forecasts!N651,Forecasts!N668))</x:f>
        <x:v>1.403441238528586</x:v>
      </x:c>
      <x:c r="H561" s="8" t="n">
        <x:f>AVERAGE(Forecasts!O566,Forecasts!O583,Forecasts!O600,Forecasts!O617,Forecasts!O634,Forecasts!O651,Forecasts!O668)</x:f>
        <x:v>1.2905791611906097</x:v>
      </x:c>
      <x:c r="I561" s="8" t="n">
        <x:f>AVERAGE(Forecasts!M566,Forecasts!M583,Forecasts!M600,Forecasts!M617,Forecasts!M634,Forecasts!M651,Forecasts!M668)</x:f>
        <x:v>1.2905791611906097</x:v>
      </x:c>
      <x:c r="J561" s="8" t="n">
        <x:f>SQRT(AVERAGE(Forecasts!N563,Forecasts!N580,Forecasts!N597,Forecasts!N614,Forecasts!N631,Forecasts!N648,Forecasts!N665))</x:f>
        <x:v>0.8451542547285166</x:v>
      </x:c>
      <x:c r="K561" s="8" t="n">
        <x:f>SQRT(AVERAGE(Forecasts!N565,Forecasts!N582,Forecasts!N599,Forecasts!N616,Forecasts!N633,Forecasts!N650,Forecasts!N667))</x:f>
        <x:v>0.6309639053102343</x:v>
      </x:c>
    </x:row>
    <x:row r="562" ht="26" customHeight="1">
      <x:c r="A562" s="2"/>
      <x:c r="B562" s="2" t="str">
        <x:v>Health Care / price_contribution</x:v>
      </x:c>
      <x:c r="C562" s="2" t="str">
        <x:v>Pre-earnings</x:v>
      </x:c>
      <x:c r="D562" s="2" t="str">
        <x:v>Broad market</x:v>
      </x:c>
      <x:c r="E562" s="2" t="str">
        <x:v>All available</x:v>
      </x:c>
      <x:c r="F562" s="2" t="n">
        <x:v>12</x:v>
      </x:c>
      <x:c r="G562" s="8" t="n">
        <x:f>SQRT(AVERAGE(Forecasts!N498,Forecasts!N514,Forecasts!N531,Forecasts!N548,Forecasts!N565,Forecasts!N582,Forecasts!N599,Forecasts!N616,Forecasts!N633,Forecasts!N650,Forecasts!N667,Forecasts!N683))</x:f>
        <x:v>0.6049881196254648</x:v>
      </x:c>
      <x:c r="H562" s="8" t="n">
        <x:f>AVERAGE(Forecasts!O498,Forecasts!O514,Forecasts!O531,Forecasts!O548,Forecasts!O565,Forecasts!O582,Forecasts!O599,Forecasts!O616,Forecasts!O633,Forecasts!O650,Forecasts!O667,Forecasts!O683)</x:f>
        <x:v>0.5514511893406351</x:v>
      </x:c>
      <x:c r="I562" s="8" t="n">
        <x:f>AVERAGE(Forecasts!M498,Forecasts!M514,Forecasts!M531,Forecasts!M548,Forecasts!M565,Forecasts!M582,Forecasts!M599,Forecasts!M616,Forecasts!M633,Forecasts!M650,Forecasts!M667,Forecasts!M683)</x:f>
        <x:v>0.2843388463285595</x:v>
      </x:c>
      <x:c r="J562" s="8" t="n">
        <x:f>SQRT(AVERAGE(Forecasts!N496,Forecasts!N512,Forecasts!N529,Forecasts!N546,Forecasts!N563,Forecasts!N580,Forecasts!N597,Forecasts!N614,Forecasts!N631,Forecasts!N648,Forecasts!N665,Forecasts!N681))</x:f>
        <x:v>0.816496580927726</x:v>
      </x:c>
      <x:c r="K562" s="8" t="n">
        <x:f>SQRT(AVERAGE(Forecasts!N498,Forecasts!N514,Forecasts!N531,Forecasts!N548,Forecasts!N565,Forecasts!N582,Forecasts!N599,Forecasts!N616,Forecasts!N633,Forecasts!N650,Forecasts!N667,Forecasts!N683))</x:f>
        <x:v>0.6049881196254648</x:v>
      </x:c>
    </x:row>
    <x:row r="563" ht="26" customHeight="1">
      <x:c r="A563" s="2"/>
      <x:c r="B563" s="2" t="str">
        <x:v>Health Care / price_contribution</x:v>
      </x:c>
      <x:c r="C563" s="2" t="str">
        <x:v>Pre-earnings</x:v>
      </x:c>
      <x:c r="D563" s="2" t="str">
        <x:v>Broad market</x:v>
      </x:c>
      <x:c r="E563" s="2" t="str">
        <x:v>Recent eight</x:v>
      </x:c>
      <x:c r="F563" s="2" t="n">
        <x:v>8</x:v>
      </x:c>
      <x:c r="G563" s="8" t="n">
        <x:f>SQRT(AVERAGE(Forecasts!N565,Forecasts!N582,Forecasts!N599,Forecasts!N616,Forecasts!N633,Forecasts!N650,Forecasts!N667,Forecasts!N683))</x:f>
        <x:v>0.6192404147384177</x:v>
      </x:c>
      <x:c r="H563" s="8" t="n">
        <x:f>AVERAGE(Forecasts!O565,Forecasts!O582,Forecasts!O599,Forecasts!O616,Forecasts!O633,Forecasts!O650,Forecasts!O667,Forecasts!O683)</x:f>
        <x:v>0.6007266215543364</x:v>
      </x:c>
      <x:c r="I563" s="8" t="n">
        <x:f>AVERAGE(Forecasts!M565,Forecasts!M582,Forecasts!M599,Forecasts!M616,Forecasts!M633,Forecasts!M650,Forecasts!M667,Forecasts!M683)</x:f>
        <x:v>0.6007266215543364</x:v>
      </x:c>
      <x:c r="J563" s="8" t="n">
        <x:f>SQRT(AVERAGE(Forecasts!N563,Forecasts!N580,Forecasts!N597,Forecasts!N614,Forecasts!N631,Forecasts!N648,Forecasts!N665,Forecasts!N681))</x:f>
        <x:v>0.8660254037844386</x:v>
      </x:c>
      <x:c r="K563" s="8" t="n">
        <x:f>SQRT(AVERAGE(Forecasts!N565,Forecasts!N582,Forecasts!N599,Forecasts!N616,Forecasts!N633,Forecasts!N650,Forecasts!N667,Forecasts!N683))</x:f>
        <x:v>0.6192404147384177</x:v>
      </x:c>
    </x:row>
    <x:row r="564" ht="26" customHeight="1">
      <x:c r="A564" s="2"/>
      <x:c r="B564" s="2" t="str">
        <x:v>Health Care / price_contribution</x:v>
      </x:c>
      <x:c r="C564" s="2" t="str">
        <x:v>Pre-earnings</x:v>
      </x:c>
      <x:c r="D564" s="2" t="str">
        <x:v>Broad rolling 8</x:v>
      </x:c>
      <x:c r="E564" s="2" t="str">
        <x:v>All available</x:v>
      </x:c>
      <x:c r="F564" s="2" t="n">
        <x:v>12</x:v>
      </x:c>
      <x:c r="G564" s="8" t="n">
        <x:f>SQRT(AVERAGE(Forecasts!N500,Forecasts!N516,Forecasts!N533,Forecasts!N550,Forecasts!N567,Forecasts!N584,Forecasts!N601,Forecasts!N618,Forecasts!N635,Forecasts!N652,Forecasts!N669,Forecasts!N684))</x:f>
        <x:v>0.8583238860799931</x:v>
      </x:c>
      <x:c r="H564" s="8" t="n">
        <x:f>AVERAGE(Forecasts!O500,Forecasts!O516,Forecasts!O533,Forecasts!O550,Forecasts!O567,Forecasts!O584,Forecasts!O601,Forecasts!O618,Forecasts!O635,Forecasts!O652,Forecasts!O669,Forecasts!O684)</x:f>
        <x:v>0.6411103577924891</x:v>
      </x:c>
      <x:c r="I564" s="8" t="n">
        <x:f>AVERAGE(Forecasts!M500,Forecasts!M516,Forecasts!M533,Forecasts!M550,Forecasts!M567,Forecasts!M584,Forecasts!M601,Forecasts!M618,Forecasts!M635,Forecasts!M652,Forecasts!M669,Forecasts!M684)</x:f>
        <x:v>0.423561487780683</x:v>
      </x:c>
      <x:c r="J564" s="8" t="n">
        <x:f>SQRT(AVERAGE(Forecasts!N496,Forecasts!N512,Forecasts!N529,Forecasts!N546,Forecasts!N563,Forecasts!N580,Forecasts!N597,Forecasts!N614,Forecasts!N631,Forecasts!N648,Forecasts!N665,Forecasts!N681))</x:f>
        <x:v>0.816496580927726</x:v>
      </x:c>
      <x:c r="K564" s="8" t="n">
        <x:f>SQRT(AVERAGE(Forecasts!N498,Forecasts!N514,Forecasts!N531,Forecasts!N548,Forecasts!N565,Forecasts!N582,Forecasts!N599,Forecasts!N616,Forecasts!N633,Forecasts!N650,Forecasts!N667,Forecasts!N683))</x:f>
        <x:v>0.6049881196254648</x:v>
      </x:c>
    </x:row>
    <x:row r="565" ht="26" customHeight="1">
      <x:c r="A565" s="2"/>
      <x:c r="B565" s="2" t="str">
        <x:v>Health Care / price_contribution</x:v>
      </x:c>
      <x:c r="C565" s="2" t="str">
        <x:v>Pre-earnings</x:v>
      </x:c>
      <x:c r="D565" s="2" t="str">
        <x:v>Broad rolling 8</x:v>
      </x:c>
      <x:c r="E565" s="2" t="str">
        <x:v>Recent eight</x:v>
      </x:c>
      <x:c r="F565" s="2" t="n">
        <x:v>8</x:v>
      </x:c>
      <x:c r="G565" s="8" t="n">
        <x:f>SQRT(AVERAGE(Forecasts!N567,Forecasts!N584,Forecasts!N601,Forecasts!N618,Forecasts!N635,Forecasts!N652,Forecasts!N669,Forecasts!N684))</x:f>
        <x:v>0.9606092626075367</x:v>
      </x:c>
      <x:c r="H565" s="8" t="n">
        <x:f>AVERAGE(Forecasts!O567,Forecasts!O584,Forecasts!O601,Forecasts!O618,Forecasts!O635,Forecasts!O652,Forecasts!O669,Forecasts!O684)</x:f>
        <x:v>0.69224023386901</x:v>
      </x:c>
      <x:c r="I565" s="8" t="n">
        <x:f>AVERAGE(Forecasts!M567,Forecasts!M584,Forecasts!M601,Forecasts!M618,Forecasts!M635,Forecasts!M652,Forecasts!M669,Forecasts!M684)</x:f>
        <x:v>0.69224023386901</x:v>
      </x:c>
      <x:c r="J565" s="8" t="n">
        <x:f>SQRT(AVERAGE(Forecasts!N563,Forecasts!N580,Forecasts!N597,Forecasts!N614,Forecasts!N631,Forecasts!N648,Forecasts!N665,Forecasts!N681))</x:f>
        <x:v>0.8660254037844386</x:v>
      </x:c>
      <x:c r="K565" s="8" t="n">
        <x:f>SQRT(AVERAGE(Forecasts!N565,Forecasts!N582,Forecasts!N599,Forecasts!N616,Forecasts!N633,Forecasts!N650,Forecasts!N667,Forecasts!N683))</x:f>
        <x:v>0.6192404147384177</x:v>
      </x:c>
    </x:row>
    <x:row r="566" ht="26" customHeight="1">
      <x:c r="A566" s="2"/>
      <x:c r="B566" s="2" t="str">
        <x:v>Health Care / price_contribution</x:v>
      </x:c>
      <x:c r="C566" s="2" t="str">
        <x:v>Pre-earnings</x:v>
      </x:c>
      <x:c r="D566" s="2" t="str">
        <x:v>Four-quarter mean</x:v>
      </x:c>
      <x:c r="E566" s="2" t="str">
        <x:v>All available</x:v>
      </x:c>
      <x:c r="F566" s="2" t="n">
        <x:v>12</x:v>
      </x:c>
      <x:c r="G566" s="8" t="n">
        <x:f>SQRT(AVERAGE(Forecasts!N497,Forecasts!N513,Forecasts!N530,Forecasts!N547,Forecasts!N564,Forecasts!N581,Forecasts!N598,Forecasts!N615,Forecasts!N632,Forecasts!N649,Forecasts!N666,Forecasts!N682))</x:f>
        <x:v>1.6105123408406408</x:v>
      </x:c>
      <x:c r="H566" s="8" t="n">
        <x:f>AVERAGE(Forecasts!O497,Forecasts!O513,Forecasts!O530,Forecasts!O547,Forecasts!O564,Forecasts!O581,Forecasts!O598,Forecasts!O615,Forecasts!O632,Forecasts!O649,Forecasts!O666,Forecasts!O682)</x:f>
        <x:v>1.1666666666666667</x:v>
      </x:c>
      <x:c r="I566" s="8" t="n">
        <x:f>AVERAGE(Forecasts!M497,Forecasts!M513,Forecasts!M530,Forecasts!M547,Forecasts!M564,Forecasts!M581,Forecasts!M598,Forecasts!M615,Forecasts!M632,Forecasts!M649,Forecasts!M666,Forecasts!M682)</x:f>
        <x:v>0.875</x:v>
      </x:c>
      <x:c r="J566" s="8" t="n">
        <x:f>SQRT(AVERAGE(Forecasts!N496,Forecasts!N512,Forecasts!N529,Forecasts!N546,Forecasts!N563,Forecasts!N580,Forecasts!N597,Forecasts!N614,Forecasts!N631,Forecasts!N648,Forecasts!N665,Forecasts!N681))</x:f>
        <x:v>0.816496580927726</x:v>
      </x:c>
      <x:c r="K566" s="8" t="n">
        <x:f>SQRT(AVERAGE(Forecasts!N498,Forecasts!N514,Forecasts!N531,Forecasts!N548,Forecasts!N565,Forecasts!N582,Forecasts!N599,Forecasts!N616,Forecasts!N633,Forecasts!N650,Forecasts!N667,Forecasts!N683))</x:f>
        <x:v>0.6049881196254648</x:v>
      </x:c>
    </x:row>
    <x:row r="567" ht="26" customHeight="1">
      <x:c r="A567" s="2"/>
      <x:c r="B567" s="2" t="str">
        <x:v>Health Care / price_contribution</x:v>
      </x:c>
      <x:c r="C567" s="2" t="str">
        <x:v>Pre-earnings</x:v>
      </x:c>
      <x:c r="D567" s="2" t="str">
        <x:v>Four-quarter mean</x:v>
      </x:c>
      <x:c r="E567" s="2" t="str">
        <x:v>Recent eight</x:v>
      </x:c>
      <x:c r="F567" s="2" t="n">
        <x:v>8</x:v>
      </x:c>
      <x:c r="G567" s="8" t="n">
        <x:f>SQRT(AVERAGE(Forecasts!N564,Forecasts!N581,Forecasts!N598,Forecasts!N615,Forecasts!N632,Forecasts!N649,Forecasts!N666,Forecasts!N682))</x:f>
        <x:v>1.8434851504690781</x:v>
      </x:c>
      <x:c r="H567" s="8" t="n">
        <x:f>AVERAGE(Forecasts!O564,Forecasts!O581,Forecasts!O598,Forecasts!O615,Forecasts!O632,Forecasts!O649,Forecasts!O666,Forecasts!O682)</x:f>
        <x:v>1.34375</x:v>
      </x:c>
      <x:c r="I567" s="8" t="n">
        <x:f>AVERAGE(Forecasts!M564,Forecasts!M581,Forecasts!M598,Forecasts!M615,Forecasts!M632,Forecasts!M649,Forecasts!M666,Forecasts!M682)</x:f>
        <x:v>1.09375</x:v>
      </x:c>
      <x:c r="J567" s="8" t="n">
        <x:f>SQRT(AVERAGE(Forecasts!N563,Forecasts!N580,Forecasts!N597,Forecasts!N614,Forecasts!N631,Forecasts!N648,Forecasts!N665,Forecasts!N681))</x:f>
        <x:v>0.8660254037844386</x:v>
      </x:c>
      <x:c r="K567" s="8" t="n">
        <x:f>SQRT(AVERAGE(Forecasts!N565,Forecasts!N582,Forecasts!N599,Forecasts!N616,Forecasts!N633,Forecasts!N650,Forecasts!N667,Forecasts!N683))</x:f>
        <x:v>0.6192404147384177</x:v>
      </x:c>
    </x:row>
    <x:row r="568" ht="26" customHeight="1">
      <x:c r="A568" s="2"/>
      <x:c r="B568" s="2" t="str">
        <x:v>Health Care / price_contribution</x:v>
      </x:c>
      <x:c r="C568" s="2" t="str">
        <x:v>Pre-earnings</x:v>
      </x:c>
      <x:c r="D568" s="2" t="str">
        <x:v>Half correction</x:v>
      </x:c>
      <x:c r="E568" s="2" t="str">
        <x:v>All available</x:v>
      </x:c>
      <x:c r="F568" s="2" t="n">
        <x:v>8</x:v>
      </x:c>
      <x:c r="G568" s="8" t="n">
        <x:f>SQRT(AVERAGE(Forecasts!N2541,Forecasts!N2547,Forecasts!N2553,Forecasts!N2559,Forecasts!N2565,Forecasts!N2571,Forecasts!N2577,Forecasts!N2583))</x:f>
        <x:v>0.5157144324048488</x:v>
      </x:c>
      <x:c r="H568" s="8" t="n">
        <x:f>AVERAGE(Forecasts!O2541,Forecasts!O2547,Forecasts!O2553,Forecasts!O2559,Forecasts!O2565,Forecasts!O2571,Forecasts!O2577,Forecasts!O2583)</x:f>
        <x:v>0.46515107702828135</x:v>
      </x:c>
      <x:c r="I568" s="8" t="n">
        <x:f>AVERAGE(Forecasts!M2541,Forecasts!M2547,Forecasts!M2553,Forecasts!M2559,Forecasts!M2565,Forecasts!M2571,Forecasts!M2577,Forecasts!M2583)</x:f>
        <x:v>0.46515107702828135</x:v>
      </x:c>
      <x:c r="J568" s="8" t="n">
        <x:f>SQRT(AVERAGE(Forecasts!N563,Forecasts!N580,Forecasts!N597,Forecasts!N614,Forecasts!N631,Forecasts!N648,Forecasts!N665,Forecasts!N681))</x:f>
        <x:v>0.8660254037844386</x:v>
      </x:c>
      <x:c r="K568" s="8" t="n">
        <x:f>SQRT(AVERAGE(Forecasts!N565,Forecasts!N582,Forecasts!N599,Forecasts!N616,Forecasts!N633,Forecasts!N650,Forecasts!N667,Forecasts!N683))</x:f>
        <x:v>0.6192404147384177</x:v>
      </x:c>
    </x:row>
    <x:row r="569" ht="26" customHeight="1">
      <x:c r="A569" s="2"/>
      <x:c r="B569" s="2" t="str">
        <x:v>Health Care / price_contribution</x:v>
      </x:c>
      <x:c r="C569" s="2" t="str">
        <x:v>Pre-earnings</x:v>
      </x:c>
      <x:c r="D569" s="2" t="str">
        <x:v>Half correction</x:v>
      </x:c>
      <x:c r="E569" s="2" t="str">
        <x:v>Recent eight</x:v>
      </x:c>
      <x:c r="F569" s="2" t="n">
        <x:v>8</x:v>
      </x:c>
      <x:c r="G569" s="8" t="n">
        <x:f>SQRT(AVERAGE(Forecasts!N2541,Forecasts!N2547,Forecasts!N2553,Forecasts!N2559,Forecasts!N2565,Forecasts!N2571,Forecasts!N2577,Forecasts!N2583))</x:f>
        <x:v>0.5157144324048488</x:v>
      </x:c>
      <x:c r="H569" s="8" t="n">
        <x:f>AVERAGE(Forecasts!O2541,Forecasts!O2547,Forecasts!O2553,Forecasts!O2559,Forecasts!O2565,Forecasts!O2571,Forecasts!O2577,Forecasts!O2583)</x:f>
        <x:v>0.46515107702828135</x:v>
      </x:c>
      <x:c r="I569" s="8" t="n">
        <x:f>AVERAGE(Forecasts!M2541,Forecasts!M2547,Forecasts!M2553,Forecasts!M2559,Forecasts!M2565,Forecasts!M2571,Forecasts!M2577,Forecasts!M2583)</x:f>
        <x:v>0.46515107702828135</x:v>
      </x:c>
      <x:c r="J569" s="8" t="n">
        <x:f>SQRT(AVERAGE(Forecasts!N563,Forecasts!N580,Forecasts!N597,Forecasts!N614,Forecasts!N631,Forecasts!N648,Forecasts!N665,Forecasts!N681))</x:f>
        <x:v>0.8660254037844386</x:v>
      </x:c>
      <x:c r="K569" s="8" t="n">
        <x:f>SQRT(AVERAGE(Forecasts!N565,Forecasts!N582,Forecasts!N599,Forecasts!N616,Forecasts!N633,Forecasts!N650,Forecasts!N667,Forecasts!N683))</x:f>
        <x:v>0.6192404147384177</x:v>
      </x:c>
    </x:row>
    <x:row r="570" ht="26" customHeight="1">
      <x:c r="A570" s="2"/>
      <x:c r="B570" s="2" t="str">
        <x:v>Health Care / price_contribution</x:v>
      </x:c>
      <x:c r="C570" s="2" t="str">
        <x:v>Pre-earnings</x:v>
      </x:c>
      <x:c r="D570" s="2" t="str">
        <x:v>Last actual</x:v>
      </x:c>
      <x:c r="E570" s="2" t="str">
        <x:v>All available</x:v>
      </x:c>
      <x:c r="F570" s="2" t="n">
        <x:v>12</x:v>
      </x:c>
      <x:c r="G570" s="8" t="n">
        <x:f>SQRT(AVERAGE(Forecasts!N496,Forecasts!N512,Forecasts!N529,Forecasts!N546,Forecasts!N563,Forecasts!N580,Forecasts!N597,Forecasts!N614,Forecasts!N631,Forecasts!N648,Forecasts!N665,Forecasts!N681))</x:f>
        <x:v>0.816496580927726</x:v>
      </x:c>
      <x:c r="H570" s="8" t="n">
        <x:f>AVERAGE(Forecasts!O496,Forecasts!O512,Forecasts!O529,Forecasts!O546,Forecasts!O563,Forecasts!O580,Forecasts!O597,Forecasts!O614,Forecasts!O631,Forecasts!O648,Forecasts!O665,Forecasts!O681)</x:f>
        <x:v>0.5</x:v>
      </x:c>
      <x:c r="I570" s="8" t="n">
        <x:f>AVERAGE(Forecasts!M496,Forecasts!M512,Forecasts!M529,Forecasts!M546,Forecasts!M563,Forecasts!M580,Forecasts!M597,Forecasts!M614,Forecasts!M631,Forecasts!M648,Forecasts!M665,Forecasts!M681)</x:f>
        <x:v>0.3333333333333333</x:v>
      </x:c>
      <x:c r="J570" s="8" t="n">
        <x:f>SQRT(AVERAGE(Forecasts!N496,Forecasts!N512,Forecasts!N529,Forecasts!N546,Forecasts!N563,Forecasts!N580,Forecasts!N597,Forecasts!N614,Forecasts!N631,Forecasts!N648,Forecasts!N665,Forecasts!N681))</x:f>
        <x:v>0.816496580927726</x:v>
      </x:c>
      <x:c r="K570" s="8" t="n">
        <x:f>SQRT(AVERAGE(Forecasts!N498,Forecasts!N514,Forecasts!N531,Forecasts!N548,Forecasts!N565,Forecasts!N582,Forecasts!N599,Forecasts!N616,Forecasts!N633,Forecasts!N650,Forecasts!N667,Forecasts!N683))</x:f>
        <x:v>0.6049881196254648</x:v>
      </x:c>
    </x:row>
    <x:row r="571" ht="26" customHeight="1">
      <x:c r="A571" s="2"/>
      <x:c r="B571" s="2" t="str">
        <x:v>Health Care / price_contribution</x:v>
      </x:c>
      <x:c r="C571" s="2" t="str">
        <x:v>Pre-earnings</x:v>
      </x:c>
      <x:c r="D571" s="2" t="str">
        <x:v>Last actual</x:v>
      </x:c>
      <x:c r="E571" s="2" t="str">
        <x:v>Recent eight</x:v>
      </x:c>
      <x:c r="F571" s="2" t="n">
        <x:v>8</x:v>
      </x:c>
      <x:c r="G571" s="8" t="n">
        <x:f>SQRT(AVERAGE(Forecasts!N563,Forecasts!N580,Forecasts!N597,Forecasts!N614,Forecasts!N631,Forecasts!N648,Forecasts!N665,Forecasts!N681))</x:f>
        <x:v>0.8660254037844386</x:v>
      </x:c>
      <x:c r="H571" s="8" t="n">
        <x:f>AVERAGE(Forecasts!O563,Forecasts!O580,Forecasts!O597,Forecasts!O614,Forecasts!O631,Forecasts!O648,Forecasts!O665,Forecasts!O681)</x:f>
        <x:v>0.5</x:v>
      </x:c>
      <x:c r="I571" s="8" t="n">
        <x:f>AVERAGE(Forecasts!M563,Forecasts!M580,Forecasts!M597,Forecasts!M614,Forecasts!M631,Forecasts!M648,Forecasts!M665,Forecasts!M681)</x:f>
        <x:v>0.25</x:v>
      </x:c>
      <x:c r="J571" s="8" t="n">
        <x:f>SQRT(AVERAGE(Forecasts!N563,Forecasts!N580,Forecasts!N597,Forecasts!N614,Forecasts!N631,Forecasts!N648,Forecasts!N665,Forecasts!N681))</x:f>
        <x:v>0.8660254037844386</x:v>
      </x:c>
      <x:c r="K571" s="8" t="n">
        <x:f>SQRT(AVERAGE(Forecasts!N565,Forecasts!N582,Forecasts!N599,Forecasts!N616,Forecasts!N633,Forecasts!N650,Forecasts!N667,Forecasts!N683))</x:f>
        <x:v>0.6192404147384177</x:v>
      </x:c>
    </x:row>
    <x:row r="572" ht="26" customHeight="1">
      <x:c r="A572" s="2"/>
      <x:c r="B572" s="2" t="str">
        <x:v>Health Care / price_contribution</x:v>
      </x:c>
      <x:c r="C572" s="2" t="str">
        <x:v>Pre-earnings</x:v>
      </x:c>
      <x:c r="D572" s="2" t="str">
        <x:v>Own history</x:v>
      </x:c>
      <x:c r="E572" s="2" t="str">
        <x:v>All available</x:v>
      </x:c>
      <x:c r="F572" s="2" t="n">
        <x:v>12</x:v>
      </x:c>
      <x:c r="G572" s="8" t="n">
        <x:f>SQRT(AVERAGE(Forecasts!N501,Forecasts!N517,Forecasts!N534,Forecasts!N551,Forecasts!N568,Forecasts!N585,Forecasts!N602,Forecasts!N619,Forecasts!N636,Forecasts!N653,Forecasts!N670,Forecasts!N685))</x:f>
        <x:v>1.007226865439426</x:v>
      </x:c>
      <x:c r="H572" s="8" t="n">
        <x:f>AVERAGE(Forecasts!O501,Forecasts!O517,Forecasts!O534,Forecasts!O551,Forecasts!O568,Forecasts!O585,Forecasts!O602,Forecasts!O619,Forecasts!O636,Forecasts!O653,Forecasts!O670,Forecasts!O685)</x:f>
        <x:v>0.813336212540163</x:v>
      </x:c>
      <x:c r="I572" s="8" t="n">
        <x:f>AVERAGE(Forecasts!M501,Forecasts!M517,Forecasts!M534,Forecasts!M551,Forecasts!M568,Forecasts!M585,Forecasts!M602,Forecasts!M619,Forecasts!M636,Forecasts!M653,Forecasts!M670,Forecasts!M685)</x:f>
        <x:v>0.6980777248858421</x:v>
      </x:c>
      <x:c r="J572" s="8" t="n">
        <x:f>SQRT(AVERAGE(Forecasts!N496,Forecasts!N512,Forecasts!N529,Forecasts!N546,Forecasts!N563,Forecasts!N580,Forecasts!N597,Forecasts!N614,Forecasts!N631,Forecasts!N648,Forecasts!N665,Forecasts!N681))</x:f>
        <x:v>0.816496580927726</x:v>
      </x:c>
      <x:c r="K572" s="8" t="n">
        <x:f>SQRT(AVERAGE(Forecasts!N498,Forecasts!N514,Forecasts!N531,Forecasts!N548,Forecasts!N565,Forecasts!N582,Forecasts!N599,Forecasts!N616,Forecasts!N633,Forecasts!N650,Forecasts!N667,Forecasts!N683))</x:f>
        <x:v>0.6049881196254648</x:v>
      </x:c>
    </x:row>
    <x:row r="573" ht="26" customHeight="1">
      <x:c r="A573" s="2"/>
      <x:c r="B573" s="2" t="str">
        <x:v>Health Care / price_contribution</x:v>
      </x:c>
      <x:c r="C573" s="2" t="str">
        <x:v>Pre-earnings</x:v>
      </x:c>
      <x:c r="D573" s="2" t="str">
        <x:v>Own history</x:v>
      </x:c>
      <x:c r="E573" s="2" t="str">
        <x:v>Recent eight</x:v>
      </x:c>
      <x:c r="F573" s="2" t="n">
        <x:v>8</x:v>
      </x:c>
      <x:c r="G573" s="8" t="n">
        <x:f>SQRT(AVERAGE(Forecasts!N568,Forecasts!N585,Forecasts!N602,Forecasts!N619,Forecasts!N636,Forecasts!N653,Forecasts!N670,Forecasts!N685))</x:f>
        <x:v>1.069443565124784</x:v>
      </x:c>
      <x:c r="H573" s="8" t="n">
        <x:f>AVERAGE(Forecasts!O568,Forecasts!O585,Forecasts!O602,Forecasts!O619,Forecasts!O636,Forecasts!O653,Forecasts!O670,Forecasts!O685)</x:f>
        <x:v>0.8456750984901198</x:v>
      </x:c>
      <x:c r="I573" s="8" t="n">
        <x:f>AVERAGE(Forecasts!M568,Forecasts!M585,Forecasts!M602,Forecasts!M619,Forecasts!M636,Forecasts!M653,Forecasts!M670,Forecasts!M685)</x:f>
        <x:v>0.6727873670086384</x:v>
      </x:c>
      <x:c r="J573" s="8" t="n">
        <x:f>SQRT(AVERAGE(Forecasts!N563,Forecasts!N580,Forecasts!N597,Forecasts!N614,Forecasts!N631,Forecasts!N648,Forecasts!N665,Forecasts!N681))</x:f>
        <x:v>0.8660254037844386</x:v>
      </x:c>
      <x:c r="K573" s="8" t="n">
        <x:f>SQRT(AVERAGE(Forecasts!N565,Forecasts!N582,Forecasts!N599,Forecasts!N616,Forecasts!N633,Forecasts!N650,Forecasts!N667,Forecasts!N683))</x:f>
        <x:v>0.6192404147384177</x:v>
      </x:c>
    </x:row>
    <x:row r="574" ht="26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2" hidden="0" customWidth="1"/>
    <x:col min="3" max="3" width="55" hidden="0" customWidth="1"/>
    <x:col min="4" max="4" width="18" hidden="0" customWidth="1"/>
    <x:col min="5" max="5" width="19" hidden="0" customWidth="1"/>
    <x:col min="6" max="6" width="18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6" customHeight="1">
      <x:c r="A2" s="2"/>
      <x:c r="B2" s="3" t="str">
        <x:v>Frozen forecasts and later outcomes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8" customHeight="1">
      <x:c r="A5" s="2"/>
      <x:c r="B5" s="6" t="str">
        <x:v>ID</x:v>
      </x:c>
      <x:c r="C5" s="6" t="str">
        <x:v>P&amp;G measure</x:v>
      </x:c>
      <x:c r="D5" s="6" t="str">
        <x:v>Quarter</x:v>
      </x:c>
      <x:c r="E5" s="6" t="str">
        <x:v>Stage</x:v>
      </x:c>
      <x:c r="F5" s="6" t="str">
        <x:v>Known by</x:v>
      </x:c>
      <x:c r="G5" s="6" t="str">
        <x:v>Model</x:v>
      </x:c>
      <x:c r="H5" s="6" t="str">
        <x:v>Original prediction</x:v>
      </x:c>
      <x:c r="I5" s="6" t="str">
        <x:v>Prior error mean pp</x:v>
      </x:c>
      <x:c r="J5" s="6" t="str">
        <x:v>Correction weight</x:v>
      </x:c>
      <x:c r="K5" s="6" t="str">
        <x:v>Final forecast</x:v>
      </x:c>
      <x:c r="L5" s="6" t="str">
        <x:v>Actual (later)</x:v>
      </x:c>
      <x:c r="M5" s="6" t="str">
        <x:v>Error pp</x:v>
      </x:c>
      <x:c r="N5" s="6" t="str">
        <x:v>Squared error</x:v>
      </x:c>
      <x:c r="O5" s="6" t="str">
        <x:v>Absolute error</x:v>
      </x:c>
      <x:c r="P5" s="6" t="str">
        <x:v>Actual published</x:v>
      </x:c>
    </x:row>
    <x:row r="6" ht="26" customHeight="1">
      <x:c r="A6" s="2"/>
      <x:c r="B6" s="2" t="n">
        <x:v>1</x:v>
      </x:c>
      <x:c r="C6" s="2" t="str">
        <x:v>Beauty / price_contribution</x:v>
      </x:c>
      <x:c r="D6" s="7" t="n">
        <x:v>45107</x:v>
      </x:c>
      <x:c r="E6" s="2" t="str">
        <x:v>Origin</x:v>
      </x:c>
      <x:c r="F6" s="7" t="n">
        <x:v>45017</x:v>
      </x:c>
      <x:c r="G6" s="2" t="str">
        <x:v>Last actual</x:v>
      </x:c>
      <x:c r="H6" s="8" t="n">
        <x:f>AVERAGE('PG facts'!D55)</x:f>
        <x:v>9</x:v>
      </x:c>
      <x:c r="I6" s="8" t="n">
        <x:f>0</x:f>
        <x:v>0</x:v>
      </x:c>
      <x:c r="J6" s="8" t="n">
        <x:v>0</x:v>
      </x:c>
      <x:c r="K6" s="8" t="n">
        <x:f>H6-I6*J6</x:f>
        <x:v>9</x:v>
      </x:c>
      <x:c r="L6" s="8" t="n">
        <x:f>'PG facts'!D69</x:f>
        <x:v>8</x:v>
      </x:c>
      <x:c r="M6" s="8" t="n">
        <x:f>K6-L6</x:f>
        <x:v>1</x:v>
      </x:c>
      <x:c r="N6" s="8" t="n">
        <x:f>M6^2</x:f>
        <x:v>1</x:v>
      </x:c>
      <x:c r="O6" s="8" t="n">
        <x:f>ABS(M6)</x:f>
        <x:v>1</x:v>
      </x:c>
      <x:c r="P6" s="7" t="n">
        <x:v>45135</x:v>
      </x:c>
    </x:row>
    <x:row r="7" ht="26" customHeight="1">
      <x:c r="A7" s="2"/>
      <x:c r="B7" s="2" t="n">
        <x:v>2</x:v>
      </x:c>
      <x:c r="C7" s="2" t="str">
        <x:v>Beauty / price_contribution</x:v>
      </x:c>
      <x:c r="D7" s="7" t="n">
        <x:v>45107</x:v>
      </x:c>
      <x:c r="E7" s="2" t="str">
        <x:v>Origin</x:v>
      </x:c>
      <x:c r="F7" s="7" t="n">
        <x:v>45017</x:v>
      </x:c>
      <x:c r="G7" s="2" t="str">
        <x:v>Four-quarter mean</x:v>
      </x:c>
      <x:c r="H7" s="8" t="n">
        <x:f>AVERAGE('PG facts'!D34,'PG facts'!D41,'PG facts'!D48,'PG facts'!D55)</x:f>
        <x:v>6.5</x:v>
      </x:c>
      <x:c r="I7" s="8" t="n">
        <x:f>0</x:f>
        <x:v>0</x:v>
      </x:c>
      <x:c r="J7" s="8" t="n">
        <x:v>0</x:v>
      </x:c>
      <x:c r="K7" s="8" t="n">
        <x:f>H7-I7*J7</x:f>
        <x:v>6.5</x:v>
      </x:c>
      <x:c r="L7" s="8" t="n">
        <x:f>'PG facts'!D69</x:f>
        <x:v>8</x:v>
      </x:c>
      <x:c r="M7" s="8" t="n">
        <x:f>K7-L7</x:f>
        <x:v>-1.5</x:v>
      </x:c>
      <x:c r="N7" s="8" t="n">
        <x:f>M7^2</x:f>
        <x:v>2.25</x:v>
      </x:c>
      <x:c r="O7" s="8" t="n">
        <x:f>ABS(M7)</x:f>
        <x:v>1.5</x:v>
      </x:c>
      <x:c r="P7" s="7" t="n">
        <x:v>45135</x:v>
      </x:c>
    </x:row>
    <x:row r="8" ht="26" customHeight="1">
      <x:c r="A8" s="2"/>
      <x:c r="B8" s="2" t="n">
        <x:v>3</x:v>
      </x:c>
      <x:c r="C8" s="2" t="str">
        <x:v>Beauty / price_contribution</x:v>
      </x:c>
      <x:c r="D8" s="7" t="n">
        <x:v>45107</x:v>
      </x:c>
      <x:c r="E8" s="2" t="str">
        <x:v>Origin</x:v>
      </x:c>
      <x:c r="F8" s="7" t="n">
        <x:v>45017</x:v>
      </x:c>
      <x:c r="G8" s="2" t="str">
        <x:v>Broad market</x:v>
      </x:c>
      <x:c r="H8" s="8" t="n">
        <x:f>'Model fits'!AA6</x:f>
        <x:v>8.710131919261798</x:v>
      </x:c>
      <x:c r="I8" s="8" t="n">
        <x:f>0</x:f>
        <x:v>0</x:v>
      </x:c>
      <x:c r="J8" s="8" t="n">
        <x:v>0</x:v>
      </x:c>
      <x:c r="K8" s="8" t="n">
        <x:f>H8-I8*J8</x:f>
        <x:v>8.710131919261798</x:v>
      </x:c>
      <x:c r="L8" s="8" t="n">
        <x:f>'PG facts'!D69</x:f>
        <x:v>8</x:v>
      </x:c>
      <x:c r="M8" s="8" t="n">
        <x:f>K8-L8</x:f>
        <x:v>0.7101319192617979</x:v>
      </x:c>
      <x:c r="N8" s="8" t="n">
        <x:f>M8^2</x:f>
        <x:v>0.5042873427544446</x:v>
      </x:c>
      <x:c r="O8" s="8" t="n">
        <x:f>ABS(M8)</x:f>
        <x:v>0.7101319192617979</x:v>
      </x:c>
      <x:c r="P8" s="7" t="n">
        <x:v>45135</x:v>
      </x:c>
    </x:row>
    <x:row r="9" ht="26" customHeight="1">
      <x:c r="A9" s="2"/>
      <x:c r="B9" s="2" t="n">
        <x:v>4</x:v>
      </x:c>
      <x:c r="C9" s="2" t="str">
        <x:v>Beauty / price_contribution</x:v>
      </x:c>
      <x:c r="D9" s="7" t="n">
        <x:v>45107</x:v>
      </x:c>
      <x:c r="E9" s="2" t="str">
        <x:v>Origin</x:v>
      </x:c>
      <x:c r="F9" s="7" t="n">
        <x:v>45017</x:v>
      </x:c>
      <x:c r="G9" s="2" t="str">
        <x:v>Broad rolling 8</x:v>
      </x:c>
      <x:c r="H9" s="8" t="n">
        <x:f>'Model fits'!AA7</x:f>
        <x:v>8.710131919261798</x:v>
      </x:c>
      <x:c r="I9" s="8" t="n">
        <x:f>0</x:f>
        <x:v>0</x:v>
      </x:c>
      <x:c r="J9" s="8" t="n">
        <x:v>0</x:v>
      </x:c>
      <x:c r="K9" s="8" t="n">
        <x:f>H9-I9*J9</x:f>
        <x:v>8.710131919261798</x:v>
      </x:c>
      <x:c r="L9" s="8" t="n">
        <x:f>'PG facts'!D69</x:f>
        <x:v>8</x:v>
      </x:c>
      <x:c r="M9" s="8" t="n">
        <x:f>K9-L9</x:f>
        <x:v>0.7101319192617979</x:v>
      </x:c>
      <x:c r="N9" s="8" t="n">
        <x:f>M9^2</x:f>
        <x:v>0.5042873427544446</x:v>
      </x:c>
      <x:c r="O9" s="8" t="n">
        <x:f>ABS(M9)</x:f>
        <x:v>0.7101319192617979</x:v>
      </x:c>
      <x:c r="P9" s="7" t="n">
        <x:v>45135</x:v>
      </x:c>
    </x:row>
    <x:row r="10" ht="26" customHeight="1">
      <x:c r="A10" s="2"/>
      <x:c r="B10" s="2" t="n">
        <x:v>5</x:v>
      </x:c>
      <x:c r="C10" s="2" t="str">
        <x:v>Beauty / price_contribution</x:v>
      </x:c>
      <x:c r="D10" s="7" t="n">
        <x:v>45107</x:v>
      </x:c>
      <x:c r="E10" s="2" t="str">
        <x:v>Origin</x:v>
      </x:c>
      <x:c r="F10" s="7" t="n">
        <x:v>45017</x:v>
      </x:c>
      <x:c r="G10" s="2" t="str">
        <x:v>Product price</x:v>
      </x:c>
      <x:c r="H10" s="8" t="n">
        <x:f>'Model fits'!AA8</x:f>
        <x:v>8.910473385033036</x:v>
      </x:c>
      <x:c r="I10" s="8" t="n">
        <x:f>0</x:f>
        <x:v>0</x:v>
      </x:c>
      <x:c r="J10" s="8" t="n">
        <x:v>0</x:v>
      </x:c>
      <x:c r="K10" s="8" t="n">
        <x:f>H10-I10*J10</x:f>
        <x:v>8.910473385033036</x:v>
      </x:c>
      <x:c r="L10" s="8" t="n">
        <x:f>'PG facts'!D69</x:f>
        <x:v>8</x:v>
      </x:c>
      <x:c r="M10" s="8" t="n">
        <x:f>K10-L10</x:f>
        <x:v>0.9104733850330362</x:v>
      </x:c>
      <x:c r="N10" s="8" t="n">
        <x:f>M10^2</x:f>
        <x:v>0.8289617848535153</x:v>
      </x:c>
      <x:c r="O10" s="8" t="n">
        <x:f>ABS(M10)</x:f>
        <x:v>0.9104733850330362</x:v>
      </x:c>
      <x:c r="P10" s="7" t="n">
        <x:v>45135</x:v>
      </x:c>
    </x:row>
    <x:row r="11" ht="26" customHeight="1">
      <x:c r="A11" s="2"/>
      <x:c r="B11" s="2" t="n">
        <x:v>6</x:v>
      </x:c>
      <x:c r="C11" s="2" t="str">
        <x:v>Beauty / price_contribution</x:v>
      </x:c>
      <x:c r="D11" s="7" t="n">
        <x:v>45107</x:v>
      </x:c>
      <x:c r="E11" s="2" t="str">
        <x:v>Prior report</x:v>
      </x:c>
      <x:c r="F11" s="7" t="n">
        <x:v>45037</x:v>
      </x:c>
      <x:c r="G11" s="2" t="str">
        <x:v>Last actual</x:v>
      </x:c>
      <x:c r="H11" s="8" t="n">
        <x:f>AVERAGE('PG facts'!D62)</x:f>
        <x:v>8</x:v>
      </x:c>
      <x:c r="I11" s="8" t="n">
        <x:f>0</x:f>
        <x:v>0</x:v>
      </x:c>
      <x:c r="J11" s="8" t="n">
        <x:v>0</x:v>
      </x:c>
      <x:c r="K11" s="8" t="n">
        <x:f>H11-I11*J11</x:f>
        <x:v>8</x:v>
      </x:c>
      <x:c r="L11" s="8" t="n">
        <x:f>'PG facts'!D69</x:f>
        <x:v>8</x:v>
      </x:c>
      <x:c r="M11" s="8" t="n">
        <x:f>K11-L11</x:f>
        <x:v>0</x:v>
      </x:c>
      <x:c r="N11" s="8" t="n">
        <x:f>M11^2</x:f>
        <x:v>0</x:v>
      </x:c>
      <x:c r="O11" s="8" t="n">
        <x:f>ABS(M11)</x:f>
        <x:v>0</x:v>
      </x:c>
      <x:c r="P11" s="7" t="n">
        <x:v>45135</x:v>
      </x:c>
    </x:row>
    <x:row r="12" ht="26" customHeight="1">
      <x:c r="A12" s="2"/>
      <x:c r="B12" s="2" t="n">
        <x:v>7</x:v>
      </x:c>
      <x:c r="C12" s="2" t="str">
        <x:v>Beauty / price_contribution</x:v>
      </x:c>
      <x:c r="D12" s="7" t="n">
        <x:v>45107</x:v>
      </x:c>
      <x:c r="E12" s="2" t="str">
        <x:v>Prior report</x:v>
      </x:c>
      <x:c r="F12" s="7" t="n">
        <x:v>45037</x:v>
      </x:c>
      <x:c r="G12" s="2" t="str">
        <x:v>Four-quarter mean</x:v>
      </x:c>
      <x:c r="H12" s="8" t="n">
        <x:f>AVERAGE('PG facts'!D41,'PG facts'!D48,'PG facts'!D55,'PG facts'!D62)</x:f>
        <x:v>7.5</x:v>
      </x:c>
      <x:c r="I12" s="8" t="n">
        <x:f>0</x:f>
        <x:v>0</x:v>
      </x:c>
      <x:c r="J12" s="8" t="n">
        <x:v>0</x:v>
      </x:c>
      <x:c r="K12" s="8" t="n">
        <x:f>H12-I12*J12</x:f>
        <x:v>7.5</x:v>
      </x:c>
      <x:c r="L12" s="8" t="n">
        <x:f>'PG facts'!D69</x:f>
        <x:v>8</x:v>
      </x:c>
      <x:c r="M12" s="8" t="n">
        <x:f>K12-L12</x:f>
        <x:v>-0.5</x:v>
      </x:c>
      <x:c r="N12" s="8" t="n">
        <x:f>M12^2</x:f>
        <x:v>0.25</x:v>
      </x:c>
      <x:c r="O12" s="8" t="n">
        <x:f>ABS(M12)</x:f>
        <x:v>0.5</x:v>
      </x:c>
      <x:c r="P12" s="7" t="n">
        <x:v>45135</x:v>
      </x:c>
    </x:row>
    <x:row r="13" ht="26" customHeight="1">
      <x:c r="A13" s="2"/>
      <x:c r="B13" s="2" t="n">
        <x:v>8</x:v>
      </x:c>
      <x:c r="C13" s="2" t="str">
        <x:v>Beauty / price_contribution</x:v>
      </x:c>
      <x:c r="D13" s="7" t="n">
        <x:v>45107</x:v>
      </x:c>
      <x:c r="E13" s="2" t="str">
        <x:v>Prior report</x:v>
      </x:c>
      <x:c r="F13" s="7" t="n">
        <x:v>45037</x:v>
      </x:c>
      <x:c r="G13" s="2" t="str">
        <x:v>Broad market</x:v>
      </x:c>
      <x:c r="H13" s="8" t="n">
        <x:f>'Model fits'!AA9</x:f>
        <x:v>8.288871262570364</x:v>
      </x:c>
      <x:c r="I13" s="8" t="n">
        <x:f>0</x:f>
        <x:v>0</x:v>
      </x:c>
      <x:c r="J13" s="8" t="n">
        <x:v>0</x:v>
      </x:c>
      <x:c r="K13" s="8" t="n">
        <x:f>H13-I13*J13</x:f>
        <x:v>8.288871262570364</x:v>
      </x:c>
      <x:c r="L13" s="8" t="n">
        <x:f>'PG facts'!D69</x:f>
        <x:v>8</x:v>
      </x:c>
      <x:c r="M13" s="8" t="n">
        <x:f>K13-L13</x:f>
        <x:v>0.288871262570364</x:v>
      </x:c>
      <x:c r="N13" s="8" t="n">
        <x:f>M13^2</x:f>
        <x:v>0.08344660633899618</x:v>
      </x:c>
      <x:c r="O13" s="8" t="n">
        <x:f>ABS(M13)</x:f>
        <x:v>0.288871262570364</x:v>
      </x:c>
      <x:c r="P13" s="7" t="n">
        <x:v>45135</x:v>
      </x:c>
    </x:row>
    <x:row r="14" ht="26" customHeight="1">
      <x:c r="A14" s="2"/>
      <x:c r="B14" s="2" t="n">
        <x:v>9</x:v>
      </x:c>
      <x:c r="C14" s="2" t="str">
        <x:v>Beauty / price_contribution</x:v>
      </x:c>
      <x:c r="D14" s="7" t="n">
        <x:v>45107</x:v>
      </x:c>
      <x:c r="E14" s="2" t="str">
        <x:v>Prior report</x:v>
      </x:c>
      <x:c r="F14" s="7" t="n">
        <x:v>45037</x:v>
      </x:c>
      <x:c r="G14" s="2" t="str">
        <x:v>Broad lag 1</x:v>
      </x:c>
      <x:c r="H14" s="8" t="n">
        <x:f>'Model fits'!AA10</x:f>
        <x:v>8.95771060047227</x:v>
      </x:c>
      <x:c r="I14" s="8" t="n">
        <x:f>0</x:f>
        <x:v>0</x:v>
      </x:c>
      <x:c r="J14" s="8" t="n">
        <x:v>0</x:v>
      </x:c>
      <x:c r="K14" s="8" t="n">
        <x:f>H14-I14*J14</x:f>
        <x:v>8.95771060047227</x:v>
      </x:c>
      <x:c r="L14" s="8" t="n">
        <x:f>'PG facts'!D69</x:f>
        <x:v>8</x:v>
      </x:c>
      <x:c r="M14" s="8" t="n">
        <x:f>K14-L14</x:f>
        <x:v>0.9577106004722697</x:v>
      </x:c>
      <x:c r="N14" s="8" t="n">
        <x:f>M14^2</x:f>
        <x:v>0.9172095942569555</x:v>
      </x:c>
      <x:c r="O14" s="8" t="n">
        <x:f>ABS(M14)</x:f>
        <x:v>0.9577106004722697</x:v>
      </x:c>
      <x:c r="P14" s="7" t="n">
        <x:v>45135</x:v>
      </x:c>
    </x:row>
    <x:row r="15" ht="26" customHeight="1">
      <x:c r="A15" s="2"/>
      <x:c r="B15" s="2" t="n">
        <x:v>10</x:v>
      </x:c>
      <x:c r="C15" s="2" t="str">
        <x:v>Beauty / price_contribution</x:v>
      </x:c>
      <x:c r="D15" s="7" t="n">
        <x:v>45107</x:v>
      </x:c>
      <x:c r="E15" s="2" t="str">
        <x:v>Prior report</x:v>
      </x:c>
      <x:c r="F15" s="7" t="n">
        <x:v>45037</x:v>
      </x:c>
      <x:c r="G15" s="2" t="str">
        <x:v>Broad rolling 8</x:v>
      </x:c>
      <x:c r="H15" s="8" t="n">
        <x:f>'Model fits'!AA11</x:f>
        <x:v>8.264509212515584</x:v>
      </x:c>
      <x:c r="I15" s="8" t="n">
        <x:f>0</x:f>
        <x:v>0</x:v>
      </x:c>
      <x:c r="J15" s="8" t="n">
        <x:v>0</x:v>
      </x:c>
      <x:c r="K15" s="8" t="n">
        <x:f>H15-I15*J15</x:f>
        <x:v>8.264509212515584</x:v>
      </x:c>
      <x:c r="L15" s="8" t="n">
        <x:f>'PG facts'!D69</x:f>
        <x:v>8</x:v>
      </x:c>
      <x:c r="M15" s="8" t="n">
        <x:f>K15-L15</x:f>
        <x:v>0.2645092125155841</x:v>
      </x:c>
      <x:c r="N15" s="8" t="n">
        <x:f>M15^2</x:f>
        <x:v>0.06996512350561444</x:v>
      </x:c>
      <x:c r="O15" s="8" t="n">
        <x:f>ABS(M15)</x:f>
        <x:v>0.2645092125155841</x:v>
      </x:c>
      <x:c r="P15" s="7" t="n">
        <x:v>45135</x:v>
      </x:c>
    </x:row>
    <x:row r="16" ht="26" customHeight="1">
      <x:c r="A16" s="2"/>
      <x:c r="B16" s="2" t="n">
        <x:v>11</x:v>
      </x:c>
      <x:c r="C16" s="2" t="str">
        <x:v>Beauty / price_contribution</x:v>
      </x:c>
      <x:c r="D16" s="7" t="n">
        <x:v>45107</x:v>
      </x:c>
      <x:c r="E16" s="2" t="str">
        <x:v>Prior report</x:v>
      </x:c>
      <x:c r="F16" s="7" t="n">
        <x:v>45037</x:v>
      </x:c>
      <x:c r="G16" s="2" t="str">
        <x:v>Own history</x:v>
      </x:c>
      <x:c r="H16" s="8" t="n">
        <x:f>'Model fits'!AA12</x:f>
        <x:v>8.166666666666668</x:v>
      </x:c>
      <x:c r="I16" s="8" t="n">
        <x:f>0</x:f>
        <x:v>0</x:v>
      </x:c>
      <x:c r="J16" s="8" t="n">
        <x:v>0</x:v>
      </x:c>
      <x:c r="K16" s="8" t="n">
        <x:f>H16-I16*J16</x:f>
        <x:v>8.166666666666668</x:v>
      </x:c>
      <x:c r="L16" s="8" t="n">
        <x:f>'PG facts'!D69</x:f>
        <x:v>8</x:v>
      </x:c>
      <x:c r="M16" s="8" t="n">
        <x:f>K16-L16</x:f>
        <x:v>0.16666666666666785</x:v>
      </x:c>
      <x:c r="N16" s="8" t="n">
        <x:f>M16^2</x:f>
        <x:v>0.027777777777778172</x:v>
      </x:c>
      <x:c r="O16" s="8" t="n">
        <x:f>ABS(M16)</x:f>
        <x:v>0.16666666666666785</x:v>
      </x:c>
      <x:c r="P16" s="7" t="n">
        <x:v>45135</x:v>
      </x:c>
    </x:row>
    <x:row r="17" ht="26" customHeight="1">
      <x:c r="A17" s="2"/>
      <x:c r="B17" s="2" t="n">
        <x:v>12</x:v>
      </x:c>
      <x:c r="C17" s="2" t="str">
        <x:v>Beauty / price_contribution</x:v>
      </x:c>
      <x:c r="D17" s="7" t="n">
        <x:v>45107</x:v>
      </x:c>
      <x:c r="E17" s="2" t="str">
        <x:v>Prior report</x:v>
      </x:c>
      <x:c r="F17" s="7" t="n">
        <x:v>45037</x:v>
      </x:c>
      <x:c r="G17" s="2" t="str">
        <x:v>Product price</x:v>
      </x:c>
      <x:c r="H17" s="8" t="n">
        <x:f>'Model fits'!AA13</x:f>
        <x:v>8.40181190025401</x:v>
      </x:c>
      <x:c r="I17" s="8" t="n">
        <x:f>0</x:f>
        <x:v>0</x:v>
      </x:c>
      <x:c r="J17" s="8" t="n">
        <x:v>0</x:v>
      </x:c>
      <x:c r="K17" s="8" t="n">
        <x:f>H17-I17*J17</x:f>
        <x:v>8.40181190025401</x:v>
      </x:c>
      <x:c r="L17" s="8" t="n">
        <x:f>'PG facts'!D69</x:f>
        <x:v>8</x:v>
      </x:c>
      <x:c r="M17" s="8" t="n">
        <x:f>K17-L17</x:f>
        <x:v>0.40181190025401037</x:v>
      </x:c>
      <x:c r="N17" s="8" t="n">
        <x:f>M17^2</x:f>
        <x:v>0.16145280318573876</x:v>
      </x:c>
      <x:c r="O17" s="8" t="n">
        <x:f>ABS(M17)</x:f>
        <x:v>0.40181190025401037</x:v>
      </x:c>
      <x:c r="P17" s="7" t="n">
        <x:v>45135</x:v>
      </x:c>
    </x:row>
    <x:row r="18" ht="26" customHeight="1">
      <x:c r="A18" s="2"/>
      <x:c r="B18" s="2" t="n">
        <x:v>13</x:v>
      </x:c>
      <x:c r="C18" s="2" t="str">
        <x:v>Beauty / price_contribution</x:v>
      </x:c>
      <x:c r="D18" s="7" t="n">
        <x:v>45107</x:v>
      </x:c>
      <x:c r="E18" s="2" t="str">
        <x:v>Prior report</x:v>
      </x:c>
      <x:c r="F18" s="7" t="n">
        <x:v>45037</x:v>
      </x:c>
      <x:c r="G18" s="2" t="str">
        <x:v>Product lag 1</x:v>
      </x:c>
      <x:c r="H18" s="8" t="n">
        <x:f>'Model fits'!AA14</x:f>
        <x:v>8.874293673519308</x:v>
      </x:c>
      <x:c r="I18" s="8" t="n">
        <x:f>0</x:f>
        <x:v>0</x:v>
      </x:c>
      <x:c r="J18" s="8" t="n">
        <x:v>0</x:v>
      </x:c>
      <x:c r="K18" s="8" t="n">
        <x:f>H18-I18*J18</x:f>
        <x:v>8.874293673519308</x:v>
      </x:c>
      <x:c r="L18" s="8" t="n">
        <x:f>'PG facts'!D69</x:f>
        <x:v>8</x:v>
      </x:c>
      <x:c r="M18" s="8" t="n">
        <x:f>K18-L18</x:f>
        <x:v>0.8742936735193076</x:v>
      </x:c>
      <x:c r="N18" s="8" t="n">
        <x:f>M18^2</x:f>
        <x:v>0.7643894275558857</x:v>
      </x:c>
      <x:c r="O18" s="8" t="n">
        <x:f>ABS(M18)</x:f>
        <x:v>0.8742936735193076</x:v>
      </x:c>
      <x:c r="P18" s="7" t="n">
        <x:v>45135</x:v>
      </x:c>
    </x:row>
    <x:row r="19" ht="26" customHeight="1">
      <x:c r="A19" s="2"/>
      <x:c r="B19" s="2" t="n">
        <x:v>14</x:v>
      </x:c>
      <x:c r="C19" s="2" t="str">
        <x:v>Beauty / price_contribution</x:v>
      </x:c>
      <x:c r="D19" s="7" t="n">
        <x:v>45107</x:v>
      </x:c>
      <x:c r="E19" s="2" t="str">
        <x:v>Pre-earnings</x:v>
      </x:c>
      <x:c r="F19" s="7" t="n">
        <x:v>45134</x:v>
      </x:c>
      <x:c r="G19" s="2" t="str">
        <x:v>Last actual</x:v>
      </x:c>
      <x:c r="H19" s="8" t="n">
        <x:f>AVERAGE('PG facts'!D62)</x:f>
        <x:v>8</x:v>
      </x:c>
      <x:c r="I19" s="8" t="n">
        <x:f>0</x:f>
        <x:v>0</x:v>
      </x:c>
      <x:c r="J19" s="8" t="n">
        <x:v>0</x:v>
      </x:c>
      <x:c r="K19" s="8" t="n">
        <x:f>H19-I19*J19</x:f>
        <x:v>8</x:v>
      </x:c>
      <x:c r="L19" s="8" t="n">
        <x:f>'PG facts'!D69</x:f>
        <x:v>8</x:v>
      </x:c>
      <x:c r="M19" s="8" t="n">
        <x:f>K19-L19</x:f>
        <x:v>0</x:v>
      </x:c>
      <x:c r="N19" s="8" t="n">
        <x:f>M19^2</x:f>
        <x:v>0</x:v>
      </x:c>
      <x:c r="O19" s="8" t="n">
        <x:f>ABS(M19)</x:f>
        <x:v>0</x:v>
      </x:c>
      <x:c r="P19" s="7" t="n">
        <x:v>45135</x:v>
      </x:c>
    </x:row>
    <x:row r="20" ht="26" customHeight="1">
      <x:c r="A20" s="2"/>
      <x:c r="B20" s="2" t="n">
        <x:v>15</x:v>
      </x:c>
      <x:c r="C20" s="2" t="str">
        <x:v>Beauty / price_contribution</x:v>
      </x:c>
      <x:c r="D20" s="7" t="n">
        <x:v>45107</x:v>
      </x:c>
      <x:c r="E20" s="2" t="str">
        <x:v>Pre-earnings</x:v>
      </x:c>
      <x:c r="F20" s="7" t="n">
        <x:v>45134</x:v>
      </x:c>
      <x:c r="G20" s="2" t="str">
        <x:v>Four-quarter mean</x:v>
      </x:c>
      <x:c r="H20" s="8" t="n">
        <x:f>AVERAGE('PG facts'!D41,'PG facts'!D48,'PG facts'!D55,'PG facts'!D62)</x:f>
        <x:v>7.5</x:v>
      </x:c>
      <x:c r="I20" s="8" t="n">
        <x:f>0</x:f>
        <x:v>0</x:v>
      </x:c>
      <x:c r="J20" s="8" t="n">
        <x:v>0</x:v>
      </x:c>
      <x:c r="K20" s="8" t="n">
        <x:f>H20-I20*J20</x:f>
        <x:v>7.5</x:v>
      </x:c>
      <x:c r="L20" s="8" t="n">
        <x:f>'PG facts'!D69</x:f>
        <x:v>8</x:v>
      </x:c>
      <x:c r="M20" s="8" t="n">
        <x:f>K20-L20</x:f>
        <x:v>-0.5</x:v>
      </x:c>
      <x:c r="N20" s="8" t="n">
        <x:f>M20^2</x:f>
        <x:v>0.25</x:v>
      </x:c>
      <x:c r="O20" s="8" t="n">
        <x:f>ABS(M20)</x:f>
        <x:v>0.5</x:v>
      </x:c>
      <x:c r="P20" s="7" t="n">
        <x:v>45135</x:v>
      </x:c>
    </x:row>
    <x:row r="21" ht="26" customHeight="1">
      <x:c r="A21" s="2"/>
      <x:c r="B21" s="2" t="n">
        <x:v>16</x:v>
      </x:c>
      <x:c r="C21" s="2" t="str">
        <x:v>Beauty / price_contribution</x:v>
      </x:c>
      <x:c r="D21" s="7" t="n">
        <x:v>45107</x:v>
      </x:c>
      <x:c r="E21" s="2" t="str">
        <x:v>Pre-earnings</x:v>
      </x:c>
      <x:c r="F21" s="7" t="n">
        <x:v>45134</x:v>
      </x:c>
      <x:c r="G21" s="2" t="str">
        <x:v>Broad market</x:v>
      </x:c>
      <x:c r="H21" s="8" t="n">
        <x:f>'Model fits'!AA15</x:f>
        <x:v>8.51754741300732</x:v>
      </x:c>
      <x:c r="I21" s="8" t="n">
        <x:f>0</x:f>
        <x:v>0</x:v>
      </x:c>
      <x:c r="J21" s="8" t="n">
        <x:v>0</x:v>
      </x:c>
      <x:c r="K21" s="8" t="n">
        <x:f>H21-I21*J21</x:f>
        <x:v>8.51754741300732</x:v>
      </x:c>
      <x:c r="L21" s="8" t="n">
        <x:f>'PG facts'!D69</x:f>
        <x:v>8</x:v>
      </x:c>
      <x:c r="M21" s="8" t="n">
        <x:f>K21-L21</x:f>
        <x:v>0.5175474130073194</x:v>
      </x:c>
      <x:c r="N21" s="8" t="n">
        <x:f>M21^2</x:f>
        <x:v>0.2678553247105689</x:v>
      </x:c>
      <x:c r="O21" s="8" t="n">
        <x:f>ABS(M21)</x:f>
        <x:v>0.5175474130073194</x:v>
      </x:c>
      <x:c r="P21" s="7" t="n">
        <x:v>45135</x:v>
      </x:c>
    </x:row>
    <x:row r="22" ht="26" customHeight="1">
      <x:c r="A22" s="2"/>
      <x:c r="B22" s="2" t="n">
        <x:v>17</x:v>
      </x:c>
      <x:c r="C22" s="2" t="str">
        <x:v>Beauty / price_contribution</x:v>
      </x:c>
      <x:c r="D22" s="7" t="n">
        <x:v>45107</x:v>
      </x:c>
      <x:c r="E22" s="2" t="str">
        <x:v>Pre-earnings</x:v>
      </x:c>
      <x:c r="F22" s="7" t="n">
        <x:v>45134</x:v>
      </x:c>
      <x:c r="G22" s="2" t="str">
        <x:v>Broad lag 1</x:v>
      </x:c>
      <x:c r="H22" s="8" t="n">
        <x:f>'Model fits'!AA16</x:f>
        <x:v>8.95771060047227</x:v>
      </x:c>
      <x:c r="I22" s="8" t="n">
        <x:f>0</x:f>
        <x:v>0</x:v>
      </x:c>
      <x:c r="J22" s="8" t="n">
        <x:v>0</x:v>
      </x:c>
      <x:c r="K22" s="8" t="n">
        <x:f>H22-I22*J22</x:f>
        <x:v>8.95771060047227</x:v>
      </x:c>
      <x:c r="L22" s="8" t="n">
        <x:f>'PG facts'!D69</x:f>
        <x:v>8</x:v>
      </x:c>
      <x:c r="M22" s="8" t="n">
        <x:f>K22-L22</x:f>
        <x:v>0.9577106004722697</x:v>
      </x:c>
      <x:c r="N22" s="8" t="n">
        <x:f>M22^2</x:f>
        <x:v>0.9172095942569555</x:v>
      </x:c>
      <x:c r="O22" s="8" t="n">
        <x:f>ABS(M22)</x:f>
        <x:v>0.9577106004722697</x:v>
      </x:c>
      <x:c r="P22" s="7" t="n">
        <x:v>45135</x:v>
      </x:c>
    </x:row>
    <x:row r="23" ht="26" customHeight="1">
      <x:c r="A23" s="2"/>
      <x:c r="B23" s="2" t="n">
        <x:v>18</x:v>
      </x:c>
      <x:c r="C23" s="2" t="str">
        <x:v>Beauty / price_contribution</x:v>
      </x:c>
      <x:c r="D23" s="7" t="n">
        <x:v>45107</x:v>
      </x:c>
      <x:c r="E23" s="2" t="str">
        <x:v>Pre-earnings</x:v>
      </x:c>
      <x:c r="F23" s="7" t="n">
        <x:v>45134</x:v>
      </x:c>
      <x:c r="G23" s="2" t="str">
        <x:v>Broad rolling 8</x:v>
      </x:c>
      <x:c r="H23" s="8" t="n">
        <x:f>'Model fits'!AA17</x:f>
        <x:v>8.48633507099322</x:v>
      </x:c>
      <x:c r="I23" s="8" t="n">
        <x:f>0</x:f>
        <x:v>0</x:v>
      </x:c>
      <x:c r="J23" s="8" t="n">
        <x:v>0</x:v>
      </x:c>
      <x:c r="K23" s="8" t="n">
        <x:f>H23-I23*J23</x:f>
        <x:v>8.48633507099322</x:v>
      </x:c>
      <x:c r="L23" s="8" t="n">
        <x:f>'PG facts'!D69</x:f>
        <x:v>8</x:v>
      </x:c>
      <x:c r="M23" s="8" t="n">
        <x:f>K23-L23</x:f>
        <x:v>0.4863350709932206</x:v>
      </x:c>
      <x:c r="N23" s="8" t="n">
        <x:f>M23^2</x:f>
        <x:v>0.23652180127798092</x:v>
      </x:c>
      <x:c r="O23" s="8" t="n">
        <x:f>ABS(M23)</x:f>
        <x:v>0.4863350709932206</x:v>
      </x:c>
      <x:c r="P23" s="7" t="n">
        <x:v>45135</x:v>
      </x:c>
    </x:row>
    <x:row r="24" ht="26" customHeight="1">
      <x:c r="A24" s="2"/>
      <x:c r="B24" s="2" t="n">
        <x:v>19</x:v>
      </x:c>
      <x:c r="C24" s="2" t="str">
        <x:v>Beauty / price_contribution</x:v>
      </x:c>
      <x:c r="D24" s="7" t="n">
        <x:v>45107</x:v>
      </x:c>
      <x:c r="E24" s="2" t="str">
        <x:v>Pre-earnings</x:v>
      </x:c>
      <x:c r="F24" s="7" t="n">
        <x:v>45134</x:v>
      </x:c>
      <x:c r="G24" s="2" t="str">
        <x:v>Own history</x:v>
      </x:c>
      <x:c r="H24" s="8" t="n">
        <x:f>'Model fits'!AA18</x:f>
        <x:v>8.166666666666668</x:v>
      </x:c>
      <x:c r="I24" s="8" t="n">
        <x:f>0</x:f>
        <x:v>0</x:v>
      </x:c>
      <x:c r="J24" s="8" t="n">
        <x:v>0</x:v>
      </x:c>
      <x:c r="K24" s="8" t="n">
        <x:f>H24-I24*J24</x:f>
        <x:v>8.166666666666668</x:v>
      </x:c>
      <x:c r="L24" s="8" t="n">
        <x:f>'PG facts'!D69</x:f>
        <x:v>8</x:v>
      </x:c>
      <x:c r="M24" s="8" t="n">
        <x:f>K24-L24</x:f>
        <x:v>0.16666666666666785</x:v>
      </x:c>
      <x:c r="N24" s="8" t="n">
        <x:f>M24^2</x:f>
        <x:v>0.027777777777778172</x:v>
      </x:c>
      <x:c r="O24" s="8" t="n">
        <x:f>ABS(M24)</x:f>
        <x:v>0.16666666666666785</x:v>
      </x:c>
      <x:c r="P24" s="7" t="n">
        <x:v>45135</x:v>
      </x:c>
    </x:row>
    <x:row r="25" ht="26" customHeight="1">
      <x:c r="A25" s="2"/>
      <x:c r="B25" s="2" t="n">
        <x:v>20</x:v>
      </x:c>
      <x:c r="C25" s="2" t="str">
        <x:v>Beauty / price_contribution</x:v>
      </x:c>
      <x:c r="D25" s="7" t="n">
        <x:v>45107</x:v>
      </x:c>
      <x:c r="E25" s="2" t="str">
        <x:v>Pre-earnings</x:v>
      </x:c>
      <x:c r="F25" s="7" t="n">
        <x:v>45134</x:v>
      </x:c>
      <x:c r="G25" s="2" t="str">
        <x:v>Product price</x:v>
      </x:c>
      <x:c r="H25" s="8" t="n">
        <x:f>'Model fits'!AA19</x:f>
        <x:v>8.709499355557536</x:v>
      </x:c>
      <x:c r="I25" s="8" t="n">
        <x:f>0</x:f>
        <x:v>0</x:v>
      </x:c>
      <x:c r="J25" s="8" t="n">
        <x:v>0</x:v>
      </x:c>
      <x:c r="K25" s="8" t="n">
        <x:f>H25-I25*J25</x:f>
        <x:v>8.709499355557536</x:v>
      </x:c>
      <x:c r="L25" s="8" t="n">
        <x:f>'PG facts'!D69</x:f>
        <x:v>8</x:v>
      </x:c>
      <x:c r="M25" s="8" t="n">
        <x:f>K25-L25</x:f>
        <x:v>0.7094993555575364</x:v>
      </x:c>
      <x:c r="N25" s="8" t="n">
        <x:f>M25^2</x:f>
        <x:v>0.5033893355365595</x:v>
      </x:c>
      <x:c r="O25" s="8" t="n">
        <x:f>ABS(M25)</x:f>
        <x:v>0.7094993555575364</x:v>
      </x:c>
      <x:c r="P25" s="7" t="n">
        <x:v>45135</x:v>
      </x:c>
    </x:row>
    <x:row r="26" ht="26" customHeight="1">
      <x:c r="A26" s="2"/>
      <x:c r="B26" s="2" t="n">
        <x:v>21</x:v>
      </x:c>
      <x:c r="C26" s="2" t="str">
        <x:v>Beauty / price_contribution</x:v>
      </x:c>
      <x:c r="D26" s="7" t="n">
        <x:v>45107</x:v>
      </x:c>
      <x:c r="E26" s="2" t="str">
        <x:v>Pre-earnings</x:v>
      </x:c>
      <x:c r="F26" s="7" t="n">
        <x:v>45134</x:v>
      </x:c>
      <x:c r="G26" s="2" t="str">
        <x:v>Product lag 1</x:v>
      </x:c>
      <x:c r="H26" s="8" t="n">
        <x:f>'Model fits'!AA20</x:f>
        <x:v>8.874293673519308</x:v>
      </x:c>
      <x:c r="I26" s="8" t="n">
        <x:f>0</x:f>
        <x:v>0</x:v>
      </x:c>
      <x:c r="J26" s="8" t="n">
        <x:v>0</x:v>
      </x:c>
      <x:c r="K26" s="8" t="n">
        <x:f>H26-I26*J26</x:f>
        <x:v>8.874293673519308</x:v>
      </x:c>
      <x:c r="L26" s="8" t="n">
        <x:f>'PG facts'!D69</x:f>
        <x:v>8</x:v>
      </x:c>
      <x:c r="M26" s="8" t="n">
        <x:f>K26-L26</x:f>
        <x:v>0.8742936735193076</x:v>
      </x:c>
      <x:c r="N26" s="8" t="n">
        <x:f>M26^2</x:f>
        <x:v>0.7643894275558857</x:v>
      </x:c>
      <x:c r="O26" s="8" t="n">
        <x:f>ABS(M26)</x:f>
        <x:v>0.8742936735193076</x:v>
      </x:c>
      <x:c r="P26" s="7" t="n">
        <x:v>45135</x:v>
      </x:c>
    </x:row>
    <x:row r="27" ht="26" customHeight="1">
      <x:c r="A27" s="2"/>
      <x:c r="B27" s="2" t="n">
        <x:v>22</x:v>
      </x:c>
      <x:c r="C27" s="2" t="str">
        <x:v>Beauty / price_contribution</x:v>
      </x:c>
      <x:c r="D27" s="7" t="n">
        <x:v>45199</x:v>
      </x:c>
      <x:c r="E27" s="2" t="str">
        <x:v>Origin</x:v>
      </x:c>
      <x:c r="F27" s="7" t="n">
        <x:v>45108</x:v>
      </x:c>
      <x:c r="G27" s="2" t="str">
        <x:v>Last actual</x:v>
      </x:c>
      <x:c r="H27" s="8" t="n">
        <x:f>AVERAGE('PG facts'!D62)</x:f>
        <x:v>8</x:v>
      </x:c>
      <x:c r="I27" s="8" t="n">
        <x:f>0</x:f>
        <x:v>0</x:v>
      </x:c>
      <x:c r="J27" s="8" t="n">
        <x:v>0</x:v>
      </x:c>
      <x:c r="K27" s="8" t="n">
        <x:f>H27-I27*J27</x:f>
        <x:v>8</x:v>
      </x:c>
      <x:c r="L27" s="8" t="n">
        <x:f>'PG facts'!D76</x:f>
        <x:v>7</x:v>
      </x:c>
      <x:c r="M27" s="8" t="n">
        <x:f>K27-L27</x:f>
        <x:v>1</x:v>
      </x:c>
      <x:c r="N27" s="8" t="n">
        <x:f>M27^2</x:f>
        <x:v>1</x:v>
      </x:c>
      <x:c r="O27" s="8" t="n">
        <x:f>ABS(M27)</x:f>
        <x:v>1</x:v>
      </x:c>
      <x:c r="P27" s="7" t="n">
        <x:v>45217</x:v>
      </x:c>
    </x:row>
    <x:row r="28" ht="26" customHeight="1">
      <x:c r="A28" s="2"/>
      <x:c r="B28" s="2" t="n">
        <x:v>23</x:v>
      </x:c>
      <x:c r="C28" s="2" t="str">
        <x:v>Beauty / price_contribution</x:v>
      </x:c>
      <x:c r="D28" s="7" t="n">
        <x:v>45199</x:v>
      </x:c>
      <x:c r="E28" s="2" t="str">
        <x:v>Origin</x:v>
      </x:c>
      <x:c r="F28" s="7" t="n">
        <x:v>45108</x:v>
      </x:c>
      <x:c r="G28" s="2" t="str">
        <x:v>Four-quarter mean</x:v>
      </x:c>
      <x:c r="H28" s="8" t="n">
        <x:f>AVERAGE('PG facts'!D41,'PG facts'!D48,'PG facts'!D55,'PG facts'!D62)</x:f>
        <x:v>7.5</x:v>
      </x:c>
      <x:c r="I28" s="8" t="n">
        <x:f>0</x:f>
        <x:v>0</x:v>
      </x:c>
      <x:c r="J28" s="8" t="n">
        <x:v>0</x:v>
      </x:c>
      <x:c r="K28" s="8" t="n">
        <x:f>H28-I28*J28</x:f>
        <x:v>7.5</x:v>
      </x:c>
      <x:c r="L28" s="8" t="n">
        <x:f>'PG facts'!D76</x:f>
        <x:v>7</x:v>
      </x:c>
      <x:c r="M28" s="8" t="n">
        <x:f>K28-L28</x:f>
        <x:v>0.5</x:v>
      </x:c>
      <x:c r="N28" s="8" t="n">
        <x:f>M28^2</x:f>
        <x:v>0.25</x:v>
      </x:c>
      <x:c r="O28" s="8" t="n">
        <x:f>ABS(M28)</x:f>
        <x:v>0.5</x:v>
      </x:c>
      <x:c r="P28" s="7" t="n">
        <x:v>45217</x:v>
      </x:c>
    </x:row>
    <x:row r="29" ht="26" customHeight="1">
      <x:c r="A29" s="2"/>
      <x:c r="B29" s="2" t="n">
        <x:v>24</x:v>
      </x:c>
      <x:c r="C29" s="2" t="str">
        <x:v>Beauty / price_contribution</x:v>
      </x:c>
      <x:c r="D29" s="7" t="n">
        <x:v>45199</x:v>
      </x:c>
      <x:c r="E29" s="2" t="str">
        <x:v>Origin</x:v>
      </x:c>
      <x:c r="F29" s="7" t="n">
        <x:v>45108</x:v>
      </x:c>
      <x:c r="G29" s="2" t="str">
        <x:v>Broad market</x:v>
      </x:c>
      <x:c r="H29" s="8" t="n">
        <x:f>'Model fits'!AA21</x:f>
        <x:v>8.399866526213733</x:v>
      </x:c>
      <x:c r="I29" s="8" t="n">
        <x:f>0</x:f>
        <x:v>0</x:v>
      </x:c>
      <x:c r="J29" s="8" t="n">
        <x:v>0</x:v>
      </x:c>
      <x:c r="K29" s="8" t="n">
        <x:f>H29-I29*J29</x:f>
        <x:v>8.399866526213733</x:v>
      </x:c>
      <x:c r="L29" s="8" t="n">
        <x:f>'PG facts'!D76</x:f>
        <x:v>7</x:v>
      </x:c>
      <x:c r="M29" s="8" t="n">
        <x:f>K29-L29</x:f>
        <x:v>1.3998665262137333</x:v>
      </x:c>
      <x:c r="N29" s="8" t="n">
        <x:f>M29^2</x:f>
        <x:v>1.9596262912137048</x:v>
      </x:c>
      <x:c r="O29" s="8" t="n">
        <x:f>ABS(M29)</x:f>
        <x:v>1.3998665262137333</x:v>
      </x:c>
      <x:c r="P29" s="7" t="n">
        <x:v>45217</x:v>
      </x:c>
    </x:row>
    <x:row r="30" ht="26" customHeight="1">
      <x:c r="A30" s="2"/>
      <x:c r="B30" s="2" t="n">
        <x:v>25</x:v>
      </x:c>
      <x:c r="C30" s="2" t="str">
        <x:v>Beauty / price_contribution</x:v>
      </x:c>
      <x:c r="D30" s="7" t="n">
        <x:v>45199</x:v>
      </x:c>
      <x:c r="E30" s="2" t="str">
        <x:v>Origin</x:v>
      </x:c>
      <x:c r="F30" s="7" t="n">
        <x:v>45108</x:v>
      </x:c>
      <x:c r="G30" s="2" t="str">
        <x:v>Broad rolling 8</x:v>
      </x:c>
      <x:c r="H30" s="8" t="n">
        <x:f>'Model fits'!AA22</x:f>
        <x:v>8.372179468454366</x:v>
      </x:c>
      <x:c r="I30" s="8" t="n">
        <x:f>0</x:f>
        <x:v>0</x:v>
      </x:c>
      <x:c r="J30" s="8" t="n">
        <x:v>0</x:v>
      </x:c>
      <x:c r="K30" s="8" t="n">
        <x:f>H30-I30*J30</x:f>
        <x:v>8.372179468454366</x:v>
      </x:c>
      <x:c r="L30" s="8" t="n">
        <x:f>'PG facts'!D76</x:f>
        <x:v>7</x:v>
      </x:c>
      <x:c r="M30" s="8" t="n">
        <x:f>K30-L30</x:f>
        <x:v>1.372179468454366</x:v>
      </x:c>
      <x:c r="N30" s="8" t="n">
        <x:f>M30^2</x:f>
        <x:v>1.8828764936477065</x:v>
      </x:c>
      <x:c r="O30" s="8" t="n">
        <x:f>ABS(M30)</x:f>
        <x:v>1.372179468454366</x:v>
      </x:c>
      <x:c r="P30" s="7" t="n">
        <x:v>45217</x:v>
      </x:c>
    </x:row>
    <x:row r="31" ht="26" customHeight="1">
      <x:c r="A31" s="2"/>
      <x:c r="B31" s="2" t="n">
        <x:v>26</x:v>
      </x:c>
      <x:c r="C31" s="2" t="str">
        <x:v>Beauty / price_contribution</x:v>
      </x:c>
      <x:c r="D31" s="7" t="n">
        <x:v>45199</x:v>
      </x:c>
      <x:c r="E31" s="2" t="str">
        <x:v>Origin</x:v>
      </x:c>
      <x:c r="F31" s="7" t="n">
        <x:v>45108</x:v>
      </x:c>
      <x:c r="G31" s="2" t="str">
        <x:v>Product price</x:v>
      </x:c>
      <x:c r="H31" s="8" t="n">
        <x:f>'Model fits'!AA23</x:f>
        <x:v>8.350458859034351</x:v>
      </x:c>
      <x:c r="I31" s="8" t="n">
        <x:f>0</x:f>
        <x:v>0</x:v>
      </x:c>
      <x:c r="J31" s="8" t="n">
        <x:v>0</x:v>
      </x:c>
      <x:c r="K31" s="8" t="n">
        <x:f>H31-I31*J31</x:f>
        <x:v>8.350458859034351</x:v>
      </x:c>
      <x:c r="L31" s="8" t="n">
        <x:f>'PG facts'!D76</x:f>
        <x:v>7</x:v>
      </x:c>
      <x:c r="M31" s="8" t="n">
        <x:f>K31-L31</x:f>
        <x:v>1.350458859034351</x:v>
      </x:c>
      <x:c r="N31" s="8" t="n">
        <x:f>M31^2</x:f>
        <x:v>1.8237391299443608</x:v>
      </x:c>
      <x:c r="O31" s="8" t="n">
        <x:f>ABS(M31)</x:f>
        <x:v>1.350458859034351</x:v>
      </x:c>
      <x:c r="P31" s="7" t="n">
        <x:v>45217</x:v>
      </x:c>
    </x:row>
    <x:row r="32" ht="26" customHeight="1">
      <x:c r="A32" s="2"/>
      <x:c r="B32" s="2" t="n">
        <x:v>27</x:v>
      </x:c>
      <x:c r="C32" s="2" t="str">
        <x:v>Beauty / price_contribution</x:v>
      </x:c>
      <x:c r="D32" s="7" t="n">
        <x:v>45199</x:v>
      </x:c>
      <x:c r="E32" s="2" t="str">
        <x:v>Prior report</x:v>
      </x:c>
      <x:c r="F32" s="7" t="n">
        <x:v>45135</x:v>
      </x:c>
      <x:c r="G32" s="2" t="str">
        <x:v>Last actual</x:v>
      </x:c>
      <x:c r="H32" s="8" t="n">
        <x:f>AVERAGE('PG facts'!D69)</x:f>
        <x:v>8</x:v>
      </x:c>
      <x:c r="I32" s="8" t="n">
        <x:f>0</x:f>
        <x:v>0</x:v>
      </x:c>
      <x:c r="J32" s="8" t="n">
        <x:v>0</x:v>
      </x:c>
      <x:c r="K32" s="8" t="n">
        <x:f>H32-I32*J32</x:f>
        <x:v>8</x:v>
      </x:c>
      <x:c r="L32" s="8" t="n">
        <x:f>'PG facts'!D76</x:f>
        <x:v>7</x:v>
      </x:c>
      <x:c r="M32" s="8" t="n">
        <x:f>K32-L32</x:f>
        <x:v>1</x:v>
      </x:c>
      <x:c r="N32" s="8" t="n">
        <x:f>M32^2</x:f>
        <x:v>1</x:v>
      </x:c>
      <x:c r="O32" s="8" t="n">
        <x:f>ABS(M32)</x:f>
        <x:v>1</x:v>
      </x:c>
      <x:c r="P32" s="7" t="n">
        <x:v>45217</x:v>
      </x:c>
    </x:row>
    <x:row r="33" ht="26" customHeight="1">
      <x:c r="A33" s="2"/>
      <x:c r="B33" s="2" t="n">
        <x:v>28</x:v>
      </x:c>
      <x:c r="C33" s="2" t="str">
        <x:v>Beauty / price_contribution</x:v>
      </x:c>
      <x:c r="D33" s="7" t="n">
        <x:v>45199</x:v>
      </x:c>
      <x:c r="E33" s="2" t="str">
        <x:v>Prior report</x:v>
      </x:c>
      <x:c r="F33" s="7" t="n">
        <x:v>45135</x:v>
      </x:c>
      <x:c r="G33" s="2" t="str">
        <x:v>Four-quarter mean</x:v>
      </x:c>
      <x:c r="H33" s="8" t="n">
        <x:f>AVERAGE('PG facts'!D48,'PG facts'!D55,'PG facts'!D62,'PG facts'!D69)</x:f>
        <x:v>8</x:v>
      </x:c>
      <x:c r="I33" s="8" t="n">
        <x:f>0</x:f>
        <x:v>0</x:v>
      </x:c>
      <x:c r="J33" s="8" t="n">
        <x:v>0</x:v>
      </x:c>
      <x:c r="K33" s="8" t="n">
        <x:f>H33-I33*J33</x:f>
        <x:v>8</x:v>
      </x:c>
      <x:c r="L33" s="8" t="n">
        <x:f>'PG facts'!D76</x:f>
        <x:v>7</x:v>
      </x:c>
      <x:c r="M33" s="8" t="n">
        <x:f>K33-L33</x:f>
        <x:v>1</x:v>
      </x:c>
      <x:c r="N33" s="8" t="n">
        <x:f>M33^2</x:f>
        <x:v>1</x:v>
      </x:c>
      <x:c r="O33" s="8" t="n">
        <x:f>ABS(M33)</x:f>
        <x:v>1</x:v>
      </x:c>
      <x:c r="P33" s="7" t="n">
        <x:v>45217</x:v>
      </x:c>
    </x:row>
    <x:row r="34" ht="26" customHeight="1">
      <x:c r="A34" s="2"/>
      <x:c r="B34" s="2" t="n">
        <x:v>29</x:v>
      </x:c>
      <x:c r="C34" s="2" t="str">
        <x:v>Beauty / price_contribution</x:v>
      </x:c>
      <x:c r="D34" s="7" t="n">
        <x:v>45199</x:v>
      </x:c>
      <x:c r="E34" s="2" t="str">
        <x:v>Prior report</x:v>
      </x:c>
      <x:c r="F34" s="7" t="n">
        <x:v>45135</x:v>
      </x:c>
      <x:c r="G34" s="2" t="str">
        <x:v>Broad market</x:v>
      </x:c>
      <x:c r="H34" s="8" t="n">
        <x:f>'Model fits'!AA24</x:f>
        <x:v>8.382501072881832</x:v>
      </x:c>
      <x:c r="I34" s="8" t="n">
        <x:f>0</x:f>
        <x:v>0</x:v>
      </x:c>
      <x:c r="J34" s="8" t="n">
        <x:v>0</x:v>
      </x:c>
      <x:c r="K34" s="8" t="n">
        <x:f>H34-I34*J34</x:f>
        <x:v>8.382501072881832</x:v>
      </x:c>
      <x:c r="L34" s="8" t="n">
        <x:f>'PG facts'!D76</x:f>
        <x:v>7</x:v>
      </x:c>
      <x:c r="M34" s="8" t="n">
        <x:f>K34-L34</x:f>
        <x:v>1.3825010728818317</x:v>
      </x:c>
      <x:c r="N34" s="8" t="n">
        <x:f>M34^2</x:f>
        <x:v>1.9113092165194157</x:v>
      </x:c>
      <x:c r="O34" s="8" t="n">
        <x:f>ABS(M34)</x:f>
        <x:v>1.3825010728818317</x:v>
      </x:c>
      <x:c r="P34" s="7" t="n">
        <x:v>45217</x:v>
      </x:c>
    </x:row>
    <x:row r="35" ht="26" customHeight="1">
      <x:c r="A35" s="2"/>
      <x:c r="B35" s="2" t="n">
        <x:v>30</x:v>
      </x:c>
      <x:c r="C35" s="2" t="str">
        <x:v>Beauty / price_contribution</x:v>
      </x:c>
      <x:c r="D35" s="7" t="n">
        <x:v>45199</x:v>
      </x:c>
      <x:c r="E35" s="2" t="str">
        <x:v>Prior report</x:v>
      </x:c>
      <x:c r="F35" s="7" t="n">
        <x:v>45135</x:v>
      </x:c>
      <x:c r="G35" s="2" t="str">
        <x:v>Broad lag 1</x:v>
      </x:c>
      <x:c r="H35" s="8" t="n">
        <x:f>'Model fits'!AA25</x:f>
        <x:v>8.857451168871528</x:v>
      </x:c>
      <x:c r="I35" s="8" t="n">
        <x:f>0</x:f>
        <x:v>0</x:v>
      </x:c>
      <x:c r="J35" s="8" t="n">
        <x:v>0</x:v>
      </x:c>
      <x:c r="K35" s="8" t="n">
        <x:f>H35-I35*J35</x:f>
        <x:v>8.857451168871528</x:v>
      </x:c>
      <x:c r="L35" s="8" t="n">
        <x:f>'PG facts'!D76</x:f>
        <x:v>7</x:v>
      </x:c>
      <x:c r="M35" s="8" t="n">
        <x:f>K35-L35</x:f>
        <x:v>1.8574511688715276</x:v>
      </x:c>
      <x:c r="N35" s="8" t="n">
        <x:f>M35^2</x:f>
        <x:v>3.4501248447422044</x:v>
      </x:c>
      <x:c r="O35" s="8" t="n">
        <x:f>ABS(M35)</x:f>
        <x:v>1.8574511688715276</x:v>
      </x:c>
      <x:c r="P35" s="7" t="n">
        <x:v>45217</x:v>
      </x:c>
    </x:row>
    <x:row r="36" ht="26" customHeight="1">
      <x:c r="A36" s="2"/>
      <x:c r="B36" s="2" t="n">
        <x:v>31</x:v>
      </x:c>
      <x:c r="C36" s="2" t="str">
        <x:v>Beauty / price_contribution</x:v>
      </x:c>
      <x:c r="D36" s="7" t="n">
        <x:v>45199</x:v>
      </x:c>
      <x:c r="E36" s="2" t="str">
        <x:v>Prior report</x:v>
      </x:c>
      <x:c r="F36" s="7" t="n">
        <x:v>45135</x:v>
      </x:c>
      <x:c r="G36" s="2" t="str">
        <x:v>Broad rolling 8</x:v>
      </x:c>
      <x:c r="H36" s="8" t="n">
        <x:f>'Model fits'!AA26</x:f>
        <x:v>8.416031233312701</x:v>
      </x:c>
      <x:c r="I36" s="8" t="n">
        <x:f>0</x:f>
        <x:v>0</x:v>
      </x:c>
      <x:c r="J36" s="8" t="n">
        <x:v>0</x:v>
      </x:c>
      <x:c r="K36" s="8" t="n">
        <x:f>H36-I36*J36</x:f>
        <x:v>8.416031233312701</x:v>
      </x:c>
      <x:c r="L36" s="8" t="n">
        <x:f>'PG facts'!D76</x:f>
        <x:v>7</x:v>
      </x:c>
      <x:c r="M36" s="8" t="n">
        <x:f>K36-L36</x:f>
        <x:v>1.416031233312701</x:v>
      </x:c>
      <x:c r="N36" s="8" t="n">
        <x:f>M36^2</x:f>
        <x:v>2.005144453717089</x:v>
      </x:c>
      <x:c r="O36" s="8" t="n">
        <x:f>ABS(M36)</x:f>
        <x:v>1.416031233312701</x:v>
      </x:c>
      <x:c r="P36" s="7" t="n">
        <x:v>45217</x:v>
      </x:c>
    </x:row>
    <x:row r="37" ht="26" customHeight="1">
      <x:c r="A37" s="2"/>
      <x:c r="B37" s="2" t="n">
        <x:v>32</x:v>
      </x:c>
      <x:c r="C37" s="2" t="str">
        <x:v>Beauty / price_contribution</x:v>
      </x:c>
      <x:c r="D37" s="7" t="n">
        <x:v>45199</x:v>
      </x:c>
      <x:c r="E37" s="2" t="str">
        <x:v>Prior report</x:v>
      </x:c>
      <x:c r="F37" s="7" t="n">
        <x:v>45135</x:v>
      </x:c>
      <x:c r="G37" s="2" t="str">
        <x:v>Own history</x:v>
      </x:c>
      <x:c r="H37" s="8" t="n">
        <x:f>'Model fits'!AA27</x:f>
        <x:v>8.120754716981132</x:v>
      </x:c>
      <x:c r="I37" s="8" t="n">
        <x:f>0</x:f>
        <x:v>0</x:v>
      </x:c>
      <x:c r="J37" s="8" t="n">
        <x:v>0</x:v>
      </x:c>
      <x:c r="K37" s="8" t="n">
        <x:f>H37-I37*J37</x:f>
        <x:v>8.120754716981132</x:v>
      </x:c>
      <x:c r="L37" s="8" t="n">
        <x:f>'PG facts'!D76</x:f>
        <x:v>7</x:v>
      </x:c>
      <x:c r="M37" s="8" t="n">
        <x:f>K37-L37</x:f>
        <x:v>1.120754716981132</x:v>
      </x:c>
      <x:c r="N37" s="8" t="n">
        <x:f>M37^2</x:f>
        <x:v>1.2560911356354574</x:v>
      </x:c>
      <x:c r="O37" s="8" t="n">
        <x:f>ABS(M37)</x:f>
        <x:v>1.120754716981132</x:v>
      </x:c>
      <x:c r="P37" s="7" t="n">
        <x:v>45217</x:v>
      </x:c>
    </x:row>
    <x:row r="38" ht="26" customHeight="1">
      <x:c r="A38" s="2"/>
      <x:c r="B38" s="2" t="n">
        <x:v>33</x:v>
      </x:c>
      <x:c r="C38" s="2" t="str">
        <x:v>Beauty / price_contribution</x:v>
      </x:c>
      <x:c r="D38" s="7" t="n">
        <x:v>45199</x:v>
      </x:c>
      <x:c r="E38" s="2" t="str">
        <x:v>Prior report</x:v>
      </x:c>
      <x:c r="F38" s="7" t="n">
        <x:v>45135</x:v>
      </x:c>
      <x:c r="G38" s="2" t="str">
        <x:v>Product price</x:v>
      </x:c>
      <x:c r="H38" s="8" t="n">
        <x:f>'Model fits'!AA28</x:f>
        <x:v>8.505142189851394</x:v>
      </x:c>
      <x:c r="I38" s="8" t="n">
        <x:f>0</x:f>
        <x:v>0</x:v>
      </x:c>
      <x:c r="J38" s="8" t="n">
        <x:v>0</x:v>
      </x:c>
      <x:c r="K38" s="8" t="n">
        <x:f>H38-I38*J38</x:f>
        <x:v>8.505142189851394</x:v>
      </x:c>
      <x:c r="L38" s="8" t="n">
        <x:f>'PG facts'!D76</x:f>
        <x:v>7</x:v>
      </x:c>
      <x:c r="M38" s="8" t="n">
        <x:f>K38-L38</x:f>
        <x:v>1.5051421898513944</x:v>
      </x:c>
      <x:c r="N38" s="8" t="n">
        <x:f>M38^2</x:f>
        <x:v>2.265453011670651</x:v>
      </x:c>
      <x:c r="O38" s="8" t="n">
        <x:f>ABS(M38)</x:f>
        <x:v>1.5051421898513944</x:v>
      </x:c>
      <x:c r="P38" s="7" t="n">
        <x:v>45217</x:v>
      </x:c>
    </x:row>
    <x:row r="39" ht="26" customHeight="1">
      <x:c r="A39" s="2"/>
      <x:c r="B39" s="2" t="n">
        <x:v>34</x:v>
      </x:c>
      <x:c r="C39" s="2" t="str">
        <x:v>Beauty / price_contribution</x:v>
      </x:c>
      <x:c r="D39" s="7" t="n">
        <x:v>45199</x:v>
      </x:c>
      <x:c r="E39" s="2" t="str">
        <x:v>Prior report</x:v>
      </x:c>
      <x:c r="F39" s="7" t="n">
        <x:v>45135</x:v>
      </x:c>
      <x:c r="G39" s="2" t="str">
        <x:v>Product lag 1</x:v>
      </x:c>
      <x:c r="H39" s="8" t="n">
        <x:f>'Model fits'!AA29</x:f>
        <x:v>8.829544021490028</x:v>
      </x:c>
      <x:c r="I39" s="8" t="n">
        <x:f>0</x:f>
        <x:v>0</x:v>
      </x:c>
      <x:c r="J39" s="8" t="n">
        <x:v>0</x:v>
      </x:c>
      <x:c r="K39" s="8" t="n">
        <x:f>H39-I39*J39</x:f>
        <x:v>8.829544021490028</x:v>
      </x:c>
      <x:c r="L39" s="8" t="n">
        <x:f>'PG facts'!D76</x:f>
        <x:v>7</x:v>
      </x:c>
      <x:c r="M39" s="8" t="n">
        <x:f>K39-L39</x:f>
        <x:v>1.8295440214900278</x:v>
      </x:c>
      <x:c r="N39" s="8" t="n">
        <x:f>M39^2</x:f>
        <x:v>3.3472313265699034</x:v>
      </x:c>
      <x:c r="O39" s="8" t="n">
        <x:f>ABS(M39)</x:f>
        <x:v>1.8295440214900278</x:v>
      </x:c>
      <x:c r="P39" s="7" t="n">
        <x:v>45217</x:v>
      </x:c>
    </x:row>
    <x:row r="40" ht="26" customHeight="1">
      <x:c r="A40" s="2"/>
      <x:c r="B40" s="2" t="n">
        <x:v>35</x:v>
      </x:c>
      <x:c r="C40" s="2" t="str">
        <x:v>Beauty / price_contribution</x:v>
      </x:c>
      <x:c r="D40" s="7" t="n">
        <x:v>45199</x:v>
      </x:c>
      <x:c r="E40" s="2" t="str">
        <x:v>Pre-earnings</x:v>
      </x:c>
      <x:c r="F40" s="7" t="n">
        <x:v>45216</x:v>
      </x:c>
      <x:c r="G40" s="2" t="str">
        <x:v>Last actual</x:v>
      </x:c>
      <x:c r="H40" s="8" t="n">
        <x:f>AVERAGE('PG facts'!D69)</x:f>
        <x:v>8</x:v>
      </x:c>
      <x:c r="I40" s="8" t="n">
        <x:f>0</x:f>
        <x:v>0</x:v>
      </x:c>
      <x:c r="J40" s="8" t="n">
        <x:v>0</x:v>
      </x:c>
      <x:c r="K40" s="8" t="n">
        <x:f>H40-I40*J40</x:f>
        <x:v>8</x:v>
      </x:c>
      <x:c r="L40" s="8" t="n">
        <x:f>'PG facts'!D76</x:f>
        <x:v>7</x:v>
      </x:c>
      <x:c r="M40" s="8" t="n">
        <x:f>K40-L40</x:f>
        <x:v>1</x:v>
      </x:c>
      <x:c r="N40" s="8" t="n">
        <x:f>M40^2</x:f>
        <x:v>1</x:v>
      </x:c>
      <x:c r="O40" s="8" t="n">
        <x:f>ABS(M40)</x:f>
        <x:v>1</x:v>
      </x:c>
      <x:c r="P40" s="7" t="n">
        <x:v>45217</x:v>
      </x:c>
    </x:row>
    <x:row r="41" ht="26" customHeight="1">
      <x:c r="A41" s="2"/>
      <x:c r="B41" s="2" t="n">
        <x:v>36</x:v>
      </x:c>
      <x:c r="C41" s="2" t="str">
        <x:v>Beauty / price_contribution</x:v>
      </x:c>
      <x:c r="D41" s="7" t="n">
        <x:v>45199</x:v>
      </x:c>
      <x:c r="E41" s="2" t="str">
        <x:v>Pre-earnings</x:v>
      </x:c>
      <x:c r="F41" s="7" t="n">
        <x:v>45216</x:v>
      </x:c>
      <x:c r="G41" s="2" t="str">
        <x:v>Four-quarter mean</x:v>
      </x:c>
      <x:c r="H41" s="8" t="n">
        <x:f>AVERAGE('PG facts'!D48,'PG facts'!D55,'PG facts'!D62,'PG facts'!D69)</x:f>
        <x:v>8</x:v>
      </x:c>
      <x:c r="I41" s="8" t="n">
        <x:f>0</x:f>
        <x:v>0</x:v>
      </x:c>
      <x:c r="J41" s="8" t="n">
        <x:v>0</x:v>
      </x:c>
      <x:c r="K41" s="8" t="n">
        <x:f>H41-I41*J41</x:f>
        <x:v>8</x:v>
      </x:c>
      <x:c r="L41" s="8" t="n">
        <x:f>'PG facts'!D76</x:f>
        <x:v>7</x:v>
      </x:c>
      <x:c r="M41" s="8" t="n">
        <x:f>K41-L41</x:f>
        <x:v>1</x:v>
      </x:c>
      <x:c r="N41" s="8" t="n">
        <x:f>M41^2</x:f>
        <x:v>1</x:v>
      </x:c>
      <x:c r="O41" s="8" t="n">
        <x:f>ABS(M41)</x:f>
        <x:v>1</x:v>
      </x:c>
      <x:c r="P41" s="7" t="n">
        <x:v>45217</x:v>
      </x:c>
    </x:row>
    <x:row r="42" ht="26" customHeight="1">
      <x:c r="A42" s="2"/>
      <x:c r="B42" s="2" t="n">
        <x:v>37</x:v>
      </x:c>
      <x:c r="C42" s="2" t="str">
        <x:v>Beauty / price_contribution</x:v>
      </x:c>
      <x:c r="D42" s="7" t="n">
        <x:v>45199</x:v>
      </x:c>
      <x:c r="E42" s="2" t="str">
        <x:v>Pre-earnings</x:v>
      </x:c>
      <x:c r="F42" s="7" t="n">
        <x:v>45216</x:v>
      </x:c>
      <x:c r="G42" s="2" t="str">
        <x:v>Broad market</x:v>
      </x:c>
      <x:c r="H42" s="8" t="n">
        <x:f>'Model fits'!AA30</x:f>
        <x:v>7.155554982109926</x:v>
      </x:c>
      <x:c r="I42" s="8" t="n">
        <x:f>0</x:f>
        <x:v>0</x:v>
      </x:c>
      <x:c r="J42" s="8" t="n">
        <x:v>0</x:v>
      </x:c>
      <x:c r="K42" s="8" t="n">
        <x:f>H42-I42*J42</x:f>
        <x:v>7.155554982109926</x:v>
      </x:c>
      <x:c r="L42" s="8" t="n">
        <x:f>'PG facts'!D76</x:f>
        <x:v>7</x:v>
      </x:c>
      <x:c r="M42" s="8" t="n">
        <x:f>K42-L42</x:f>
        <x:v>0.15555498210992624</x:v>
      </x:c>
      <x:c r="N42" s="8" t="n">
        <x:f>M42^2</x:f>
        <x:v>0.024197352459219473</x:v>
      </x:c>
      <x:c r="O42" s="8" t="n">
        <x:f>ABS(M42)</x:f>
        <x:v>0.15555498210992624</x:v>
      </x:c>
      <x:c r="P42" s="7" t="n">
        <x:v>45217</x:v>
      </x:c>
    </x:row>
    <x:row r="43" ht="26" customHeight="1">
      <x:c r="A43" s="2"/>
      <x:c r="B43" s="2" t="n">
        <x:v>38</x:v>
      </x:c>
      <x:c r="C43" s="2" t="str">
        <x:v>Beauty / price_contribution</x:v>
      </x:c>
      <x:c r="D43" s="7" t="n">
        <x:v>45199</x:v>
      </x:c>
      <x:c r="E43" s="2" t="str">
        <x:v>Pre-earnings</x:v>
      </x:c>
      <x:c r="F43" s="7" t="n">
        <x:v>45216</x:v>
      </x:c>
      <x:c r="G43" s="2" t="str">
        <x:v>Broad lag 1</x:v>
      </x:c>
      <x:c r="H43" s="8" t="n">
        <x:f>'Model fits'!AA31</x:f>
        <x:v>8.857451168871528</x:v>
      </x:c>
      <x:c r="I43" s="8" t="n">
        <x:f>0</x:f>
        <x:v>0</x:v>
      </x:c>
      <x:c r="J43" s="8" t="n">
        <x:v>0</x:v>
      </x:c>
      <x:c r="K43" s="8" t="n">
        <x:f>H43-I43*J43</x:f>
        <x:v>8.857451168871528</x:v>
      </x:c>
      <x:c r="L43" s="8" t="n">
        <x:f>'PG facts'!D76</x:f>
        <x:v>7</x:v>
      </x:c>
      <x:c r="M43" s="8" t="n">
        <x:f>K43-L43</x:f>
        <x:v>1.8574511688715276</x:v>
      </x:c>
      <x:c r="N43" s="8" t="n">
        <x:f>M43^2</x:f>
        <x:v>3.4501248447422044</x:v>
      </x:c>
      <x:c r="O43" s="8" t="n">
        <x:f>ABS(M43)</x:f>
        <x:v>1.8574511688715276</x:v>
      </x:c>
      <x:c r="P43" s="7" t="n">
        <x:v>45217</x:v>
      </x:c>
    </x:row>
    <x:row r="44" ht="26" customHeight="1">
      <x:c r="A44" s="2"/>
      <x:c r="B44" s="2" t="n">
        <x:v>39</x:v>
      </x:c>
      <x:c r="C44" s="2" t="str">
        <x:v>Beauty / price_contribution</x:v>
      </x:c>
      <x:c r="D44" s="7" t="n">
        <x:v>45199</x:v>
      </x:c>
      <x:c r="E44" s="2" t="str">
        <x:v>Pre-earnings</x:v>
      </x:c>
      <x:c r="F44" s="7" t="n">
        <x:v>45216</x:v>
      </x:c>
      <x:c r="G44" s="2" t="str">
        <x:v>Broad rolling 8</x:v>
      </x:c>
      <x:c r="H44" s="8" t="n">
        <x:f>'Model fits'!AA32</x:f>
        <x:v>7.127045979316106</x:v>
      </x:c>
      <x:c r="I44" s="8" t="n">
        <x:f>0</x:f>
        <x:v>0</x:v>
      </x:c>
      <x:c r="J44" s="8" t="n">
        <x:v>0</x:v>
      </x:c>
      <x:c r="K44" s="8" t="n">
        <x:f>H44-I44*J44</x:f>
        <x:v>7.127045979316106</x:v>
      </x:c>
      <x:c r="L44" s="8" t="n">
        <x:f>'PG facts'!D76</x:f>
        <x:v>7</x:v>
      </x:c>
      <x:c r="M44" s="8" t="n">
        <x:f>K44-L44</x:f>
        <x:v>0.12704597931610628</x:v>
      </x:c>
      <x:c r="N44" s="8" t="n">
        <x:f>M44^2</x:f>
        <x:v>0.016140680860388504</x:v>
      </x:c>
      <x:c r="O44" s="8" t="n">
        <x:f>ABS(M44)</x:f>
        <x:v>0.12704597931610628</x:v>
      </x:c>
      <x:c r="P44" s="7" t="n">
        <x:v>45217</x:v>
      </x:c>
    </x:row>
    <x:row r="45" ht="26" customHeight="1">
      <x:c r="A45" s="2"/>
      <x:c r="B45" s="2" t="n">
        <x:v>40</x:v>
      </x:c>
      <x:c r="C45" s="2" t="str">
        <x:v>Beauty / price_contribution</x:v>
      </x:c>
      <x:c r="D45" s="7" t="n">
        <x:v>45199</x:v>
      </x:c>
      <x:c r="E45" s="2" t="str">
        <x:v>Pre-earnings</x:v>
      </x:c>
      <x:c r="F45" s="7" t="n">
        <x:v>45216</x:v>
      </x:c>
      <x:c r="G45" s="2" t="str">
        <x:v>Own history</x:v>
      </x:c>
      <x:c r="H45" s="8" t="n">
        <x:f>'Model fits'!AA33</x:f>
        <x:v>8.120754716981132</x:v>
      </x:c>
      <x:c r="I45" s="8" t="n">
        <x:f>0</x:f>
        <x:v>0</x:v>
      </x:c>
      <x:c r="J45" s="8" t="n">
        <x:v>0</x:v>
      </x:c>
      <x:c r="K45" s="8" t="n">
        <x:f>H45-I45*J45</x:f>
        <x:v>8.120754716981132</x:v>
      </x:c>
      <x:c r="L45" s="8" t="n">
        <x:f>'PG facts'!D76</x:f>
        <x:v>7</x:v>
      </x:c>
      <x:c r="M45" s="8" t="n">
        <x:f>K45-L45</x:f>
        <x:v>1.120754716981132</x:v>
      </x:c>
      <x:c r="N45" s="8" t="n">
        <x:f>M45^2</x:f>
        <x:v>1.2560911356354574</x:v>
      </x:c>
      <x:c r="O45" s="8" t="n">
        <x:f>ABS(M45)</x:f>
        <x:v>1.120754716981132</x:v>
      </x:c>
      <x:c r="P45" s="7" t="n">
        <x:v>45217</x:v>
      </x:c>
    </x:row>
    <x:row r="46" ht="26" customHeight="1">
      <x:c r="A46" s="2"/>
      <x:c r="B46" s="2" t="n">
        <x:v>41</x:v>
      </x:c>
      <x:c r="C46" s="2" t="str">
        <x:v>Beauty / price_contribution</x:v>
      </x:c>
      <x:c r="D46" s="7" t="n">
        <x:v>45199</x:v>
      </x:c>
      <x:c r="E46" s="2" t="str">
        <x:v>Pre-earnings</x:v>
      </x:c>
      <x:c r="F46" s="7" t="n">
        <x:v>45216</x:v>
      </x:c>
      <x:c r="G46" s="2" t="str">
        <x:v>Product price</x:v>
      </x:c>
      <x:c r="H46" s="8" t="n">
        <x:f>'Model fits'!AA34</x:f>
        <x:v>6.892045267272614</x:v>
      </x:c>
      <x:c r="I46" s="8" t="n">
        <x:f>0</x:f>
        <x:v>0</x:v>
      </x:c>
      <x:c r="J46" s="8" t="n">
        <x:v>0</x:v>
      </x:c>
      <x:c r="K46" s="8" t="n">
        <x:f>H46-I46*J46</x:f>
        <x:v>6.892045267272614</x:v>
      </x:c>
      <x:c r="L46" s="8" t="n">
        <x:f>'PG facts'!D76</x:f>
        <x:v>7</x:v>
      </x:c>
      <x:c r="M46" s="8" t="n">
        <x:f>K46-L46</x:f>
        <x:v>-0.10795473272738576</x:v>
      </x:c>
      <x:c r="N46" s="8" t="n">
        <x:f>M46^2</x:f>
        <x:v>0.011654224318241294</x:v>
      </x:c>
      <x:c r="O46" s="8" t="n">
        <x:f>ABS(M46)</x:f>
        <x:v>0.10795473272738576</x:v>
      </x:c>
      <x:c r="P46" s="7" t="n">
        <x:v>45217</x:v>
      </x:c>
    </x:row>
    <x:row r="47" ht="26" customHeight="1">
      <x:c r="A47" s="2"/>
      <x:c r="B47" s="2" t="n">
        <x:v>42</x:v>
      </x:c>
      <x:c r="C47" s="2" t="str">
        <x:v>Beauty / price_contribution</x:v>
      </x:c>
      <x:c r="D47" s="7" t="n">
        <x:v>45199</x:v>
      </x:c>
      <x:c r="E47" s="2" t="str">
        <x:v>Pre-earnings</x:v>
      </x:c>
      <x:c r="F47" s="7" t="n">
        <x:v>45216</x:v>
      </x:c>
      <x:c r="G47" s="2" t="str">
        <x:v>Product lag 1</x:v>
      </x:c>
      <x:c r="H47" s="8" t="n">
        <x:f>'Model fits'!AA35</x:f>
        <x:v>8.829544021490028</x:v>
      </x:c>
      <x:c r="I47" s="8" t="n">
        <x:f>0</x:f>
        <x:v>0</x:v>
      </x:c>
      <x:c r="J47" s="8" t="n">
        <x:v>0</x:v>
      </x:c>
      <x:c r="K47" s="8" t="n">
        <x:f>H47-I47*J47</x:f>
        <x:v>8.829544021490028</x:v>
      </x:c>
      <x:c r="L47" s="8" t="n">
        <x:f>'PG facts'!D76</x:f>
        <x:v>7</x:v>
      </x:c>
      <x:c r="M47" s="8" t="n">
        <x:f>K47-L47</x:f>
        <x:v>1.8295440214900278</x:v>
      </x:c>
      <x:c r="N47" s="8" t="n">
        <x:f>M47^2</x:f>
        <x:v>3.3472313265699034</x:v>
      </x:c>
      <x:c r="O47" s="8" t="n">
        <x:f>ABS(M47)</x:f>
        <x:v>1.8295440214900278</x:v>
      </x:c>
      <x:c r="P47" s="7" t="n">
        <x:v>45217</x:v>
      </x:c>
    </x:row>
    <x:row r="48" ht="26" customHeight="1">
      <x:c r="A48" s="2"/>
      <x:c r="B48" s="2" t="n">
        <x:v>43</x:v>
      </x:c>
      <x:c r="C48" s="2" t="str">
        <x:v>Beauty / price_contribution</x:v>
      </x:c>
      <x:c r="D48" s="7" t="n">
        <x:v>45291</x:v>
      </x:c>
      <x:c r="E48" s="2" t="str">
        <x:v>Origin</x:v>
      </x:c>
      <x:c r="F48" s="7" t="n">
        <x:v>45200</x:v>
      </x:c>
      <x:c r="G48" s="2" t="str">
        <x:v>Last actual</x:v>
      </x:c>
      <x:c r="H48" s="8" t="n">
        <x:f>AVERAGE('PG facts'!D69)</x:f>
        <x:v>8</x:v>
      </x:c>
      <x:c r="I48" s="8" t="n">
        <x:f>0</x:f>
        <x:v>0</x:v>
      </x:c>
      <x:c r="J48" s="8" t="n">
        <x:v>0</x:v>
      </x:c>
      <x:c r="K48" s="8" t="n">
        <x:f>H48-I48*J48</x:f>
        <x:v>8</x:v>
      </x:c>
      <x:c r="L48" s="8" t="n">
        <x:f>'PG facts'!D83</x:f>
        <x:v>4</x:v>
      </x:c>
      <x:c r="M48" s="8" t="n">
        <x:f>K48-L48</x:f>
        <x:v>4</x:v>
      </x:c>
      <x:c r="N48" s="8" t="n">
        <x:f>M48^2</x:f>
        <x:v>16</x:v>
      </x:c>
      <x:c r="O48" s="8" t="n">
        <x:f>ABS(M48)</x:f>
        <x:v>4</x:v>
      </x:c>
      <x:c r="P48" s="7" t="n">
        <x:v>45314</x:v>
      </x:c>
    </x:row>
    <x:row r="49" ht="26" customHeight="1">
      <x:c r="A49" s="2"/>
      <x:c r="B49" s="2" t="n">
        <x:v>44</x:v>
      </x:c>
      <x:c r="C49" s="2" t="str">
        <x:v>Beauty / price_contribution</x:v>
      </x:c>
      <x:c r="D49" s="7" t="n">
        <x:v>45291</x:v>
      </x:c>
      <x:c r="E49" s="2" t="str">
        <x:v>Origin</x:v>
      </x:c>
      <x:c r="F49" s="7" t="n">
        <x:v>45200</x:v>
      </x:c>
      <x:c r="G49" s="2" t="str">
        <x:v>Four-quarter mean</x:v>
      </x:c>
      <x:c r="H49" s="8" t="n">
        <x:f>AVERAGE('PG facts'!D48,'PG facts'!D55,'PG facts'!D62,'PG facts'!D69)</x:f>
        <x:v>8</x:v>
      </x:c>
      <x:c r="I49" s="8" t="n">
        <x:f>0</x:f>
        <x:v>0</x:v>
      </x:c>
      <x:c r="J49" s="8" t="n">
        <x:v>0</x:v>
      </x:c>
      <x:c r="K49" s="8" t="n">
        <x:f>H49-I49*J49</x:f>
        <x:v>8</x:v>
      </x:c>
      <x:c r="L49" s="8" t="n">
        <x:f>'PG facts'!D83</x:f>
        <x:v>4</x:v>
      </x:c>
      <x:c r="M49" s="8" t="n">
        <x:f>K49-L49</x:f>
        <x:v>4</x:v>
      </x:c>
      <x:c r="N49" s="8" t="n">
        <x:f>M49^2</x:f>
        <x:v>16</x:v>
      </x:c>
      <x:c r="O49" s="8" t="n">
        <x:f>ABS(M49)</x:f>
        <x:v>4</x:v>
      </x:c>
      <x:c r="P49" s="7" t="n">
        <x:v>45314</x:v>
      </x:c>
    </x:row>
    <x:row r="50" ht="26" customHeight="1">
      <x:c r="A50" s="2"/>
      <x:c r="B50" s="2" t="n">
        <x:v>45</x:v>
      </x:c>
      <x:c r="C50" s="2" t="str">
        <x:v>Beauty / price_contribution</x:v>
      </x:c>
      <x:c r="D50" s="7" t="n">
        <x:v>45291</x:v>
      </x:c>
      <x:c r="E50" s="2" t="str">
        <x:v>Origin</x:v>
      </x:c>
      <x:c r="F50" s="7" t="n">
        <x:v>45200</x:v>
      </x:c>
      <x:c r="G50" s="2" t="str">
        <x:v>Broad market</x:v>
      </x:c>
      <x:c r="H50" s="8" t="n">
        <x:f>'Model fits'!AA36</x:f>
        <x:v>7.643009205478759</x:v>
      </x:c>
      <x:c r="I50" s="8" t="n">
        <x:f>0</x:f>
        <x:v>0</x:v>
      </x:c>
      <x:c r="J50" s="8" t="n">
        <x:v>0</x:v>
      </x:c>
      <x:c r="K50" s="8" t="n">
        <x:f>H50-I50*J50</x:f>
        <x:v>7.643009205478759</x:v>
      </x:c>
      <x:c r="L50" s="8" t="n">
        <x:f>'PG facts'!D83</x:f>
        <x:v>4</x:v>
      </x:c>
      <x:c r="M50" s="8" t="n">
        <x:f>K50-L50</x:f>
        <x:v>3.6430092054787586</x:v>
      </x:c>
      <x:c r="N50" s="8" t="n">
        <x:f>M50^2</x:f>
        <x:v>13.271516071202976</x:v>
      </x:c>
      <x:c r="O50" s="8" t="n">
        <x:f>ABS(M50)</x:f>
        <x:v>3.6430092054787586</x:v>
      </x:c>
      <x:c r="P50" s="7" t="n">
        <x:v>45314</x:v>
      </x:c>
    </x:row>
    <x:row r="51" ht="26" customHeight="1">
      <x:c r="A51" s="2"/>
      <x:c r="B51" s="2" t="n">
        <x:v>46</x:v>
      </x:c>
      <x:c r="C51" s="2" t="str">
        <x:v>Beauty / price_contribution</x:v>
      </x:c>
      <x:c r="D51" s="7" t="n">
        <x:v>45291</x:v>
      </x:c>
      <x:c r="E51" s="2" t="str">
        <x:v>Origin</x:v>
      </x:c>
      <x:c r="F51" s="7" t="n">
        <x:v>45200</x:v>
      </x:c>
      <x:c r="G51" s="2" t="str">
        <x:v>Broad rolling 8</x:v>
      </x:c>
      <x:c r="H51" s="8" t="n">
        <x:f>'Model fits'!AA37</x:f>
        <x:v>7.639147782848072</x:v>
      </x:c>
      <x:c r="I51" s="8" t="n">
        <x:f>0</x:f>
        <x:v>0</x:v>
      </x:c>
      <x:c r="J51" s="8" t="n">
        <x:v>0</x:v>
      </x:c>
      <x:c r="K51" s="8" t="n">
        <x:f>H51-I51*J51</x:f>
        <x:v>7.639147782848072</x:v>
      </x:c>
      <x:c r="L51" s="8" t="n">
        <x:f>'PG facts'!D83</x:f>
        <x:v>4</x:v>
      </x:c>
      <x:c r="M51" s="8" t="n">
        <x:f>K51-L51</x:f>
        <x:v>3.639147782848072</x:v>
      </x:c>
      <x:c r="N51" s="8" t="n">
        <x:f>M51^2</x:f>
        <x:v>13.243396585408039</x:v>
      </x:c>
      <x:c r="O51" s="8" t="n">
        <x:f>ABS(M51)</x:f>
        <x:v>3.639147782848072</x:v>
      </x:c>
      <x:c r="P51" s="7" t="n">
        <x:v>45314</x:v>
      </x:c>
    </x:row>
    <x:row r="52" ht="26" customHeight="1">
      <x:c r="A52" s="2"/>
      <x:c r="B52" s="2" t="n">
        <x:v>47</x:v>
      </x:c>
      <x:c r="C52" s="2" t="str">
        <x:v>Beauty / price_contribution</x:v>
      </x:c>
      <x:c r="D52" s="7" t="n">
        <x:v>45291</x:v>
      </x:c>
      <x:c r="E52" s="2" t="str">
        <x:v>Origin</x:v>
      </x:c>
      <x:c r="F52" s="7" t="n">
        <x:v>45200</x:v>
      </x:c>
      <x:c r="G52" s="2" t="str">
        <x:v>Own history</x:v>
      </x:c>
      <x:c r="H52" s="8" t="n">
        <x:f>'Model fits'!AA38</x:f>
        <x:v>8.302083333333332</x:v>
      </x:c>
      <x:c r="I52" s="8" t="n">
        <x:f>0</x:f>
        <x:v>0</x:v>
      </x:c>
      <x:c r="J52" s="8" t="n">
        <x:v>0</x:v>
      </x:c>
      <x:c r="K52" s="8" t="n">
        <x:f>H52-I52*J52</x:f>
        <x:v>8.302083333333332</x:v>
      </x:c>
      <x:c r="L52" s="8" t="n">
        <x:f>'PG facts'!D83</x:f>
        <x:v>4</x:v>
      </x:c>
      <x:c r="M52" s="8" t="n">
        <x:f>K52-L52</x:f>
        <x:v>4.302083333333332</x:v>
      </x:c>
      <x:c r="N52" s="8" t="n">
        <x:f>M52^2</x:f>
        <x:v>18.507921006944436</x:v>
      </x:c>
      <x:c r="O52" s="8" t="n">
        <x:f>ABS(M52)</x:f>
        <x:v>4.302083333333332</x:v>
      </x:c>
      <x:c r="P52" s="7" t="n">
        <x:v>45314</x:v>
      </x:c>
    </x:row>
    <x:row r="53" ht="26" customHeight="1">
      <x:c r="A53" s="2"/>
      <x:c r="B53" s="2" t="n">
        <x:v>48</x:v>
      </x:c>
      <x:c r="C53" s="2" t="str">
        <x:v>Beauty / price_contribution</x:v>
      </x:c>
      <x:c r="D53" s="7" t="n">
        <x:v>45291</x:v>
      </x:c>
      <x:c r="E53" s="2" t="str">
        <x:v>Origin</x:v>
      </x:c>
      <x:c r="F53" s="7" t="n">
        <x:v>45200</x:v>
      </x:c>
      <x:c r="G53" s="2" t="str">
        <x:v>Product price</x:v>
      </x:c>
      <x:c r="H53" s="8" t="n">
        <x:f>'Model fits'!AA39</x:f>
        <x:v>7.670474022503944</x:v>
      </x:c>
      <x:c r="I53" s="8" t="n">
        <x:f>0</x:f>
        <x:v>0</x:v>
      </x:c>
      <x:c r="J53" s="8" t="n">
        <x:v>0</x:v>
      </x:c>
      <x:c r="K53" s="8" t="n">
        <x:f>H53-I53*J53</x:f>
        <x:v>7.670474022503944</x:v>
      </x:c>
      <x:c r="L53" s="8" t="n">
        <x:f>'PG facts'!D83</x:f>
        <x:v>4</x:v>
      </x:c>
      <x:c r="M53" s="8" t="n">
        <x:f>K53-L53</x:f>
        <x:v>3.670474022503944</x:v>
      </x:c>
      <x:c r="N53" s="8" t="n">
        <x:f>M53^2</x:f>
        <x:v>13.472379549876283</x:v>
      </x:c>
      <x:c r="O53" s="8" t="n">
        <x:f>ABS(M53)</x:f>
        <x:v>3.670474022503944</x:v>
      </x:c>
      <x:c r="P53" s="7" t="n">
        <x:v>45314</x:v>
      </x:c>
    </x:row>
    <x:row r="54" ht="26" customHeight="1">
      <x:c r="A54" s="2"/>
      <x:c r="B54" s="2" t="n">
        <x:v>49</x:v>
      </x:c>
      <x:c r="C54" s="2" t="str">
        <x:v>Beauty / price_contribution</x:v>
      </x:c>
      <x:c r="D54" s="7" t="n">
        <x:v>45291</x:v>
      </x:c>
      <x:c r="E54" s="2" t="str">
        <x:v>Prior report</x:v>
      </x:c>
      <x:c r="F54" s="7" t="n">
        <x:v>45217</x:v>
      </x:c>
      <x:c r="G54" s="2" t="str">
        <x:v>Last actual</x:v>
      </x:c>
      <x:c r="H54" s="8" t="n">
        <x:f>AVERAGE('PG facts'!D76)</x:f>
        <x:v>7</x:v>
      </x:c>
      <x:c r="I54" s="8" t="n">
        <x:f>0</x:f>
        <x:v>0</x:v>
      </x:c>
      <x:c r="J54" s="8" t="n">
        <x:v>0</x:v>
      </x:c>
      <x:c r="K54" s="8" t="n">
        <x:f>H54-I54*J54</x:f>
        <x:v>7</x:v>
      </x:c>
      <x:c r="L54" s="8" t="n">
        <x:f>'PG facts'!D83</x:f>
        <x:v>4</x:v>
      </x:c>
      <x:c r="M54" s="8" t="n">
        <x:f>K54-L54</x:f>
        <x:v>3</x:v>
      </x:c>
      <x:c r="N54" s="8" t="n">
        <x:f>M54^2</x:f>
        <x:v>9</x:v>
      </x:c>
      <x:c r="O54" s="8" t="n">
        <x:f>ABS(M54)</x:f>
        <x:v>3</x:v>
      </x:c>
      <x:c r="P54" s="7" t="n">
        <x:v>45314</x:v>
      </x:c>
    </x:row>
    <x:row r="55" ht="26" customHeight="1">
      <x:c r="A55" s="2"/>
      <x:c r="B55" s="2" t="n">
        <x:v>50</x:v>
      </x:c>
      <x:c r="C55" s="2" t="str">
        <x:v>Beauty / price_contribution</x:v>
      </x:c>
      <x:c r="D55" s="7" t="n">
        <x:v>45291</x:v>
      </x:c>
      <x:c r="E55" s="2" t="str">
        <x:v>Prior report</x:v>
      </x:c>
      <x:c r="F55" s="7" t="n">
        <x:v>45217</x:v>
      </x:c>
      <x:c r="G55" s="2" t="str">
        <x:v>Four-quarter mean</x:v>
      </x:c>
      <x:c r="H55" s="8" t="n">
        <x:f>AVERAGE('PG facts'!D55,'PG facts'!D62,'PG facts'!D69,'PG facts'!D76)</x:f>
        <x:v>8</x:v>
      </x:c>
      <x:c r="I55" s="8" t="n">
        <x:f>0</x:f>
        <x:v>0</x:v>
      </x:c>
      <x:c r="J55" s="8" t="n">
        <x:v>0</x:v>
      </x:c>
      <x:c r="K55" s="8" t="n">
        <x:f>H55-I55*J55</x:f>
        <x:v>8</x:v>
      </x:c>
      <x:c r="L55" s="8" t="n">
        <x:f>'PG facts'!D83</x:f>
        <x:v>4</x:v>
      </x:c>
      <x:c r="M55" s="8" t="n">
        <x:f>K55-L55</x:f>
        <x:v>4</x:v>
      </x:c>
      <x:c r="N55" s="8" t="n">
        <x:f>M55^2</x:f>
        <x:v>16</x:v>
      </x:c>
      <x:c r="O55" s="8" t="n">
        <x:f>ABS(M55)</x:f>
        <x:v>4</x:v>
      </x:c>
      <x:c r="P55" s="7" t="n">
        <x:v>45314</x:v>
      </x:c>
    </x:row>
    <x:row r="56" ht="26" customHeight="1">
      <x:c r="A56" s="2"/>
      <x:c r="B56" s="2" t="n">
        <x:v>51</x:v>
      </x:c>
      <x:c r="C56" s="2" t="str">
        <x:v>Beauty / price_contribution</x:v>
      </x:c>
      <x:c r="D56" s="7" t="n">
        <x:v>45291</x:v>
      </x:c>
      <x:c r="E56" s="2" t="str">
        <x:v>Prior report</x:v>
      </x:c>
      <x:c r="F56" s="7" t="n">
        <x:v>45217</x:v>
      </x:c>
      <x:c r="G56" s="2" t="str">
        <x:v>Broad market</x:v>
      </x:c>
      <x:c r="H56" s="8" t="n">
        <x:f>'Model fits'!AA40</x:f>
        <x:v>7.137699548786603</x:v>
      </x:c>
      <x:c r="I56" s="8" t="n">
        <x:f>0</x:f>
        <x:v>0</x:v>
      </x:c>
      <x:c r="J56" s="8" t="n">
        <x:v>0</x:v>
      </x:c>
      <x:c r="K56" s="8" t="n">
        <x:f>H56-I56*J56</x:f>
        <x:v>7.137699548786603</x:v>
      </x:c>
      <x:c r="L56" s="8" t="n">
        <x:f>'PG facts'!D83</x:f>
        <x:v>4</x:v>
      </x:c>
      <x:c r="M56" s="8" t="n">
        <x:f>K56-L56</x:f>
        <x:v>3.1376995487866033</x:v>
      </x:c>
      <x:c r="N56" s="8" t="n">
        <x:f>M56^2</x:f>
        <x:v>9.845158458455654</x:v>
      </x:c>
      <x:c r="O56" s="8" t="n">
        <x:f>ABS(M56)</x:f>
        <x:v>3.1376995487866033</x:v>
      </x:c>
      <x:c r="P56" s="7" t="n">
        <x:v>45314</x:v>
      </x:c>
    </x:row>
    <x:row r="57" ht="26" customHeight="1">
      <x:c r="A57" s="2"/>
      <x:c r="B57" s="2" t="n">
        <x:v>52</x:v>
      </x:c>
      <x:c r="C57" s="2" t="str">
        <x:v>Beauty / price_contribution</x:v>
      </x:c>
      <x:c r="D57" s="7" t="n">
        <x:v>45291</x:v>
      </x:c>
      <x:c r="E57" s="2" t="str">
        <x:v>Prior report</x:v>
      </x:c>
      <x:c r="F57" s="7" t="n">
        <x:v>45217</x:v>
      </x:c>
      <x:c r="G57" s="2" t="str">
        <x:v>Broad lag 1</x:v>
      </x:c>
      <x:c r="H57" s="8" t="n">
        <x:f>'Model fits'!AA41</x:f>
        <x:v>7.342414966615253</x:v>
      </x:c>
      <x:c r="I57" s="8" t="n">
        <x:f>0</x:f>
        <x:v>0</x:v>
      </x:c>
      <x:c r="J57" s="8" t="n">
        <x:v>0</x:v>
      </x:c>
      <x:c r="K57" s="8" t="n">
        <x:f>H57-I57*J57</x:f>
        <x:v>7.342414966615253</x:v>
      </x:c>
      <x:c r="L57" s="8" t="n">
        <x:f>'PG facts'!D83</x:f>
        <x:v>4</x:v>
      </x:c>
      <x:c r="M57" s="8" t="n">
        <x:f>K57-L57</x:f>
        <x:v>3.3424149666152534</x:v>
      </x:c>
      <x:c r="N57" s="8" t="n">
        <x:f>M57^2</x:f>
        <x:v>11.171737809053646</x:v>
      </x:c>
      <x:c r="O57" s="8" t="n">
        <x:f>ABS(M57)</x:f>
        <x:v>3.3424149666152534</x:v>
      </x:c>
      <x:c r="P57" s="7" t="n">
        <x:v>45314</x:v>
      </x:c>
    </x:row>
    <x:row r="58" ht="26" customHeight="1">
      <x:c r="A58" s="2"/>
      <x:c r="B58" s="2" t="n">
        <x:v>53</x:v>
      </x:c>
      <x:c r="C58" s="2" t="str">
        <x:v>Beauty / price_contribution</x:v>
      </x:c>
      <x:c r="D58" s="7" t="n">
        <x:v>45291</x:v>
      </x:c>
      <x:c r="E58" s="2" t="str">
        <x:v>Prior report</x:v>
      </x:c>
      <x:c r="F58" s="7" t="n">
        <x:v>45217</x:v>
      </x:c>
      <x:c r="G58" s="2" t="str">
        <x:v>Broad rolling 8</x:v>
      </x:c>
      <x:c r="H58" s="8" t="n">
        <x:f>'Model fits'!AA42</x:f>
        <x:v>7.127251410343927</x:v>
      </x:c>
      <x:c r="I58" s="8" t="n">
        <x:f>0</x:f>
        <x:v>0</x:v>
      </x:c>
      <x:c r="J58" s="8" t="n">
        <x:v>0</x:v>
      </x:c>
      <x:c r="K58" s="8" t="n">
        <x:f>H58-I58*J58</x:f>
        <x:v>7.127251410343927</x:v>
      </x:c>
      <x:c r="L58" s="8" t="n">
        <x:f>'PG facts'!D83</x:f>
        <x:v>4</x:v>
      </x:c>
      <x:c r="M58" s="8" t="n">
        <x:f>K58-L58</x:f>
        <x:v>3.127251410343927</x:v>
      </x:c>
      <x:c r="N58" s="8" t="n">
        <x:f>M58^2</x:f>
        <x:v>9.77970138349808</x:v>
      </x:c>
      <x:c r="O58" s="8" t="n">
        <x:f>ABS(M58)</x:f>
        <x:v>3.127251410343927</x:v>
      </x:c>
      <x:c r="P58" s="7" t="n">
        <x:v>45314</x:v>
      </x:c>
    </x:row>
    <x:row r="59" ht="26" customHeight="1">
      <x:c r="A59" s="2"/>
      <x:c r="B59" s="2" t="n">
        <x:v>54</x:v>
      </x:c>
      <x:c r="C59" s="2" t="str">
        <x:v>Beauty / price_contribution</x:v>
      </x:c>
      <x:c r="D59" s="7" t="n">
        <x:v>45291</x:v>
      </x:c>
      <x:c r="E59" s="2" t="str">
        <x:v>Prior report</x:v>
      </x:c>
      <x:c r="F59" s="7" t="n">
        <x:v>45217</x:v>
      </x:c>
      <x:c r="G59" s="2" t="str">
        <x:v>Own history</x:v>
      </x:c>
      <x:c r="H59" s="8" t="n">
        <x:f>'Model fits'!AA43</x:f>
        <x:v>7.100591715976331</x:v>
      </x:c>
      <x:c r="I59" s="8" t="n">
        <x:f>0</x:f>
        <x:v>0</x:v>
      </x:c>
      <x:c r="J59" s="8" t="n">
        <x:v>0</x:v>
      </x:c>
      <x:c r="K59" s="8" t="n">
        <x:f>H59-I59*J59</x:f>
        <x:v>7.100591715976331</x:v>
      </x:c>
      <x:c r="L59" s="8" t="n">
        <x:f>'PG facts'!D83</x:f>
        <x:v>4</x:v>
      </x:c>
      <x:c r="M59" s="8" t="n">
        <x:f>K59-L59</x:f>
        <x:v>3.100591715976331</x:v>
      </x:c>
      <x:c r="N59" s="8" t="n">
        <x:f>M59^2</x:f>
        <x:v>9.61366898918105</x:v>
      </x:c>
      <x:c r="O59" s="8" t="n">
        <x:f>ABS(M59)</x:f>
        <x:v>3.100591715976331</x:v>
      </x:c>
      <x:c r="P59" s="7" t="n">
        <x:v>45314</x:v>
      </x:c>
    </x:row>
    <x:row r="60" ht="26" customHeight="1">
      <x:c r="A60" s="2"/>
      <x:c r="B60" s="2" t="n">
        <x:v>55</x:v>
      </x:c>
      <x:c r="C60" s="2" t="str">
        <x:v>Beauty / price_contribution</x:v>
      </x:c>
      <x:c r="D60" s="7" t="n">
        <x:v>45291</x:v>
      </x:c>
      <x:c r="E60" s="2" t="str">
        <x:v>Prior report</x:v>
      </x:c>
      <x:c r="F60" s="7" t="n">
        <x:v>45217</x:v>
      </x:c>
      <x:c r="G60" s="2" t="str">
        <x:v>Product price</x:v>
      </x:c>
      <x:c r="H60" s="8" t="n">
        <x:f>'Model fits'!AA44</x:f>
        <x:v>6.918020689767813</x:v>
      </x:c>
      <x:c r="I60" s="8" t="n">
        <x:f>0</x:f>
        <x:v>0</x:v>
      </x:c>
      <x:c r="J60" s="8" t="n">
        <x:v>0</x:v>
      </x:c>
      <x:c r="K60" s="8" t="n">
        <x:f>H60-I60*J60</x:f>
        <x:v>6.918020689767813</x:v>
      </x:c>
      <x:c r="L60" s="8" t="n">
        <x:f>'PG facts'!D83</x:f>
        <x:v>4</x:v>
      </x:c>
      <x:c r="M60" s="8" t="n">
        <x:f>K60-L60</x:f>
        <x:v>2.918020689767813</x:v>
      </x:c>
      <x:c r="N60" s="8" t="n">
        <x:f>M60^2</x:f>
        <x:v>8.514844745913022</x:v>
      </x:c>
      <x:c r="O60" s="8" t="n">
        <x:f>ABS(M60)</x:f>
        <x:v>2.918020689767813</x:v>
      </x:c>
      <x:c r="P60" s="7" t="n">
        <x:v>45314</x:v>
      </x:c>
    </x:row>
    <x:row r="61" ht="26" customHeight="1">
      <x:c r="A61" s="2"/>
      <x:c r="B61" s="2" t="n">
        <x:v>56</x:v>
      </x:c>
      <x:c r="C61" s="2" t="str">
        <x:v>Beauty / price_contribution</x:v>
      </x:c>
      <x:c r="D61" s="7" t="n">
        <x:v>45291</x:v>
      </x:c>
      <x:c r="E61" s="2" t="str">
        <x:v>Prior report</x:v>
      </x:c>
      <x:c r="F61" s="7" t="n">
        <x:v>45217</x:v>
      </x:c>
      <x:c r="G61" s="2" t="str">
        <x:v>Product lag 1</x:v>
      </x:c>
      <x:c r="H61" s="8" t="n">
        <x:f>'Model fits'!AA45</x:f>
        <x:v>7.032497311510142</x:v>
      </x:c>
      <x:c r="I61" s="8" t="n">
        <x:f>0</x:f>
        <x:v>0</x:v>
      </x:c>
      <x:c r="J61" s="8" t="n">
        <x:v>0</x:v>
      </x:c>
      <x:c r="K61" s="8" t="n">
        <x:f>H61-I61*J61</x:f>
        <x:v>7.032497311510142</x:v>
      </x:c>
      <x:c r="L61" s="8" t="n">
        <x:f>'PG facts'!D83</x:f>
        <x:v>4</x:v>
      </x:c>
      <x:c r="M61" s="8" t="n">
        <x:f>K61-L61</x:f>
        <x:v>3.0324973115101423</x:v>
      </x:c>
      <x:c r="N61" s="8" t="n">
        <x:f>M61^2</x:f>
        <x:v>9.196039944316242</x:v>
      </x:c>
      <x:c r="O61" s="8" t="n">
        <x:f>ABS(M61)</x:f>
        <x:v>3.0324973115101423</x:v>
      </x:c>
      <x:c r="P61" s="7" t="n">
        <x:v>45314</x:v>
      </x:c>
    </x:row>
    <x:row r="62" ht="26" customHeight="1">
      <x:c r="A62" s="2"/>
      <x:c r="B62" s="2" t="n">
        <x:v>57</x:v>
      </x:c>
      <x:c r="C62" s="2" t="str">
        <x:v>Beauty / price_contribution</x:v>
      </x:c>
      <x:c r="D62" s="7" t="n">
        <x:v>45291</x:v>
      </x:c>
      <x:c r="E62" s="2" t="str">
        <x:v>Pre-earnings</x:v>
      </x:c>
      <x:c r="F62" s="7" t="n">
        <x:v>45313</x:v>
      </x:c>
      <x:c r="G62" s="2" t="str">
        <x:v>Last actual</x:v>
      </x:c>
      <x:c r="H62" s="8" t="n">
        <x:f>AVERAGE('PG facts'!D76)</x:f>
        <x:v>7</x:v>
      </x:c>
      <x:c r="I62" s="8" t="n">
        <x:f>0</x:f>
        <x:v>0</x:v>
      </x:c>
      <x:c r="J62" s="8" t="n">
        <x:v>0</x:v>
      </x:c>
      <x:c r="K62" s="8" t="n">
        <x:f>H62-I62*J62</x:f>
        <x:v>7</x:v>
      </x:c>
      <x:c r="L62" s="8" t="n">
        <x:f>'PG facts'!D83</x:f>
        <x:v>4</x:v>
      </x:c>
      <x:c r="M62" s="8" t="n">
        <x:f>K62-L62</x:f>
        <x:v>3</x:v>
      </x:c>
      <x:c r="N62" s="8" t="n">
        <x:f>M62^2</x:f>
        <x:v>9</x:v>
      </x:c>
      <x:c r="O62" s="8" t="n">
        <x:f>ABS(M62)</x:f>
        <x:v>3</x:v>
      </x:c>
      <x:c r="P62" s="7" t="n">
        <x:v>45314</x:v>
      </x:c>
    </x:row>
    <x:row r="63" ht="26" customHeight="1">
      <x:c r="A63" s="2"/>
      <x:c r="B63" s="2" t="n">
        <x:v>58</x:v>
      </x:c>
      <x:c r="C63" s="2" t="str">
        <x:v>Beauty / price_contribution</x:v>
      </x:c>
      <x:c r="D63" s="7" t="n">
        <x:v>45291</x:v>
      </x:c>
      <x:c r="E63" s="2" t="str">
        <x:v>Pre-earnings</x:v>
      </x:c>
      <x:c r="F63" s="7" t="n">
        <x:v>45313</x:v>
      </x:c>
      <x:c r="G63" s="2" t="str">
        <x:v>Four-quarter mean</x:v>
      </x:c>
      <x:c r="H63" s="8" t="n">
        <x:f>AVERAGE('PG facts'!D55,'PG facts'!D62,'PG facts'!D69,'PG facts'!D76)</x:f>
        <x:v>8</x:v>
      </x:c>
      <x:c r="I63" s="8" t="n">
        <x:f>0</x:f>
        <x:v>0</x:v>
      </x:c>
      <x:c r="J63" s="8" t="n">
        <x:v>0</x:v>
      </x:c>
      <x:c r="K63" s="8" t="n">
        <x:f>H63-I63*J63</x:f>
        <x:v>8</x:v>
      </x:c>
      <x:c r="L63" s="8" t="n">
        <x:f>'PG facts'!D83</x:f>
        <x:v>4</x:v>
      </x:c>
      <x:c r="M63" s="8" t="n">
        <x:f>K63-L63</x:f>
        <x:v>4</x:v>
      </x:c>
      <x:c r="N63" s="8" t="n">
        <x:f>M63^2</x:f>
        <x:v>16</x:v>
      </x:c>
      <x:c r="O63" s="8" t="n">
        <x:f>ABS(M63)</x:f>
        <x:v>4</x:v>
      </x:c>
      <x:c r="P63" s="7" t="n">
        <x:v>45314</x:v>
      </x:c>
    </x:row>
    <x:row r="64" ht="26" customHeight="1">
      <x:c r="A64" s="2"/>
      <x:c r="B64" s="2" t="n">
        <x:v>59</x:v>
      </x:c>
      <x:c r="C64" s="2" t="str">
        <x:v>Beauty / price_contribution</x:v>
      </x:c>
      <x:c r="D64" s="7" t="n">
        <x:v>45291</x:v>
      </x:c>
      <x:c r="E64" s="2" t="str">
        <x:v>Pre-earnings</x:v>
      </x:c>
      <x:c r="F64" s="7" t="n">
        <x:v>45313</x:v>
      </x:c>
      <x:c r="G64" s="2" t="str">
        <x:v>Broad market</x:v>
      </x:c>
      <x:c r="H64" s="8" t="n">
        <x:f>'Model fits'!AA46</x:f>
        <x:v>6.133340140391731</x:v>
      </x:c>
      <x:c r="I64" s="8" t="n">
        <x:f>0</x:f>
        <x:v>0</x:v>
      </x:c>
      <x:c r="J64" s="8" t="n">
        <x:v>0</x:v>
      </x:c>
      <x:c r="K64" s="8" t="n">
        <x:f>H64-I64*J64</x:f>
        <x:v>6.133340140391731</x:v>
      </x:c>
      <x:c r="L64" s="8" t="n">
        <x:f>'PG facts'!D83</x:f>
        <x:v>4</x:v>
      </x:c>
      <x:c r="M64" s="8" t="n">
        <x:f>K64-L64</x:f>
        <x:v>2.1333401403917307</x:v>
      </x:c>
      <x:c r="N64" s="8" t="n">
        <x:f>M64^2</x:f>
        <x:v>4.5511401546066095</x:v>
      </x:c>
      <x:c r="O64" s="8" t="n">
        <x:f>ABS(M64)</x:f>
        <x:v>2.1333401403917307</x:v>
      </x:c>
      <x:c r="P64" s="7" t="n">
        <x:v>45314</x:v>
      </x:c>
    </x:row>
    <x:row r="65" ht="26" customHeight="1">
      <x:c r="A65" s="2"/>
      <x:c r="B65" s="2" t="n">
        <x:v>60</x:v>
      </x:c>
      <x:c r="C65" s="2" t="str">
        <x:v>Beauty / price_contribution</x:v>
      </x:c>
      <x:c r="D65" s="7" t="n">
        <x:v>45291</x:v>
      </x:c>
      <x:c r="E65" s="2" t="str">
        <x:v>Pre-earnings</x:v>
      </x:c>
      <x:c r="F65" s="7" t="n">
        <x:v>45313</x:v>
      </x:c>
      <x:c r="G65" s="2" t="str">
        <x:v>Broad lag 1</x:v>
      </x:c>
      <x:c r="H65" s="8" t="n">
        <x:f>'Model fits'!AA47</x:f>
        <x:v>7.342414966615253</x:v>
      </x:c>
      <x:c r="I65" s="8" t="n">
        <x:f>0</x:f>
        <x:v>0</x:v>
      </x:c>
      <x:c r="J65" s="8" t="n">
        <x:v>0</x:v>
      </x:c>
      <x:c r="K65" s="8" t="n">
        <x:f>H65-I65*J65</x:f>
        <x:v>7.342414966615253</x:v>
      </x:c>
      <x:c r="L65" s="8" t="n">
        <x:f>'PG facts'!D83</x:f>
        <x:v>4</x:v>
      </x:c>
      <x:c r="M65" s="8" t="n">
        <x:f>K65-L65</x:f>
        <x:v>3.3424149666152534</x:v>
      </x:c>
      <x:c r="N65" s="8" t="n">
        <x:f>M65^2</x:f>
        <x:v>11.171737809053646</x:v>
      </x:c>
      <x:c r="O65" s="8" t="n">
        <x:f>ABS(M65)</x:f>
        <x:v>3.3424149666152534</x:v>
      </x:c>
      <x:c r="P65" s="7" t="n">
        <x:v>45314</x:v>
      </x:c>
    </x:row>
    <x:row r="66" ht="26" customHeight="1">
      <x:c r="A66" s="2"/>
      <x:c r="B66" s="2" t="n">
        <x:v>61</x:v>
      </x:c>
      <x:c r="C66" s="2" t="str">
        <x:v>Beauty / price_contribution</x:v>
      </x:c>
      <x:c r="D66" s="7" t="n">
        <x:v>45291</x:v>
      </x:c>
      <x:c r="E66" s="2" t="str">
        <x:v>Pre-earnings</x:v>
      </x:c>
      <x:c r="F66" s="7" t="n">
        <x:v>45313</x:v>
      </x:c>
      <x:c r="G66" s="2" t="str">
        <x:v>Broad rolling 8</x:v>
      </x:c>
      <x:c r="H66" s="8" t="n">
        <x:f>'Model fits'!AA48</x:f>
        <x:v>6.106789869580135</x:v>
      </x:c>
      <x:c r="I66" s="8" t="n">
        <x:f>0</x:f>
        <x:v>0</x:v>
      </x:c>
      <x:c r="J66" s="8" t="n">
        <x:v>0</x:v>
      </x:c>
      <x:c r="K66" s="8" t="n">
        <x:f>H66-I66*J66</x:f>
        <x:v>6.106789869580135</x:v>
      </x:c>
      <x:c r="L66" s="8" t="n">
        <x:f>'PG facts'!D83</x:f>
        <x:v>4</x:v>
      </x:c>
      <x:c r="M66" s="8" t="n">
        <x:f>K66-L66</x:f>
        <x:v>2.106789869580135</x:v>
      </x:c>
      <x:c r="N66" s="8" t="n">
        <x:f>M66^2</x:f>
        <x:v>4.438563554565483</x:v>
      </x:c>
      <x:c r="O66" s="8" t="n">
        <x:f>ABS(M66)</x:f>
        <x:v>2.106789869580135</x:v>
      </x:c>
      <x:c r="P66" s="7" t="n">
        <x:v>45314</x:v>
      </x:c>
    </x:row>
    <x:row r="67" ht="26" customHeight="1">
      <x:c r="A67" s="2"/>
      <x:c r="B67" s="2" t="n">
        <x:v>62</x:v>
      </x:c>
      <x:c r="C67" s="2" t="str">
        <x:v>Beauty / price_contribution</x:v>
      </x:c>
      <x:c r="D67" s="7" t="n">
        <x:v>45291</x:v>
      </x:c>
      <x:c r="E67" s="2" t="str">
        <x:v>Pre-earnings</x:v>
      </x:c>
      <x:c r="F67" s="7" t="n">
        <x:v>45313</x:v>
      </x:c>
      <x:c r="G67" s="2" t="str">
        <x:v>Own history</x:v>
      </x:c>
      <x:c r="H67" s="8" t="n">
        <x:f>'Model fits'!AA49</x:f>
        <x:v>7.100591715976331</x:v>
      </x:c>
      <x:c r="I67" s="8" t="n">
        <x:f>0</x:f>
        <x:v>0</x:v>
      </x:c>
      <x:c r="J67" s="8" t="n">
        <x:v>0</x:v>
      </x:c>
      <x:c r="K67" s="8" t="n">
        <x:f>H67-I67*J67</x:f>
        <x:v>7.100591715976331</x:v>
      </x:c>
      <x:c r="L67" s="8" t="n">
        <x:f>'PG facts'!D83</x:f>
        <x:v>4</x:v>
      </x:c>
      <x:c r="M67" s="8" t="n">
        <x:f>K67-L67</x:f>
        <x:v>3.100591715976331</x:v>
      </x:c>
      <x:c r="N67" s="8" t="n">
        <x:f>M67^2</x:f>
        <x:v>9.61366898918105</x:v>
      </x:c>
      <x:c r="O67" s="8" t="n">
        <x:f>ABS(M67)</x:f>
        <x:v>3.100591715976331</x:v>
      </x:c>
      <x:c r="P67" s="7" t="n">
        <x:v>45314</x:v>
      </x:c>
    </x:row>
    <x:row r="68" ht="26" customHeight="1">
      <x:c r="A68" s="2"/>
      <x:c r="B68" s="2" t="n">
        <x:v>63</x:v>
      </x:c>
      <x:c r="C68" s="2" t="str">
        <x:v>Beauty / price_contribution</x:v>
      </x:c>
      <x:c r="D68" s="7" t="n">
        <x:v>45291</x:v>
      </x:c>
      <x:c r="E68" s="2" t="str">
        <x:v>Pre-earnings</x:v>
      </x:c>
      <x:c r="F68" s="7" t="n">
        <x:v>45313</x:v>
      </x:c>
      <x:c r="G68" s="2" t="str">
        <x:v>Product price</x:v>
      </x:c>
      <x:c r="H68" s="8" t="n">
        <x:f>'Model fits'!AA50</x:f>
        <x:v>6.002023248618926</x:v>
      </x:c>
      <x:c r="I68" s="8" t="n">
        <x:f>0</x:f>
        <x:v>0</x:v>
      </x:c>
      <x:c r="J68" s="8" t="n">
        <x:v>0</x:v>
      </x:c>
      <x:c r="K68" s="8" t="n">
        <x:f>H68-I68*J68</x:f>
        <x:v>6.002023248618926</x:v>
      </x:c>
      <x:c r="L68" s="8" t="n">
        <x:f>'PG facts'!D83</x:f>
        <x:v>4</x:v>
      </x:c>
      <x:c r="M68" s="8" t="n">
        <x:f>K68-L68</x:f>
        <x:v>2.0020232486189258</x:v>
      </x:c>
      <x:c r="N68" s="8" t="n">
        <x:f>M68^2</x:f>
        <x:v>4.008097088010677</x:v>
      </x:c>
      <x:c r="O68" s="8" t="n">
        <x:f>ABS(M68)</x:f>
        <x:v>2.0020232486189258</x:v>
      </x:c>
      <x:c r="P68" s="7" t="n">
        <x:v>45314</x:v>
      </x:c>
    </x:row>
    <x:row r="69" ht="26" customHeight="1">
      <x:c r="A69" s="2"/>
      <x:c r="B69" s="2" t="n">
        <x:v>64</x:v>
      </x:c>
      <x:c r="C69" s="2" t="str">
        <x:v>Beauty / price_contribution</x:v>
      </x:c>
      <x:c r="D69" s="7" t="n">
        <x:v>45291</x:v>
      </x:c>
      <x:c r="E69" s="2" t="str">
        <x:v>Pre-earnings</x:v>
      </x:c>
      <x:c r="F69" s="7" t="n">
        <x:v>45313</x:v>
      </x:c>
      <x:c r="G69" s="2" t="str">
        <x:v>Product lag 1</x:v>
      </x:c>
      <x:c r="H69" s="8" t="n">
        <x:f>'Model fits'!AA51</x:f>
        <x:v>7.032497311510142</x:v>
      </x:c>
      <x:c r="I69" s="8" t="n">
        <x:f>0</x:f>
        <x:v>0</x:v>
      </x:c>
      <x:c r="J69" s="8" t="n">
        <x:v>0</x:v>
      </x:c>
      <x:c r="K69" s="8" t="n">
        <x:f>H69-I69*J69</x:f>
        <x:v>7.032497311510142</x:v>
      </x:c>
      <x:c r="L69" s="8" t="n">
        <x:f>'PG facts'!D83</x:f>
        <x:v>4</x:v>
      </x:c>
      <x:c r="M69" s="8" t="n">
        <x:f>K69-L69</x:f>
        <x:v>3.0324973115101423</x:v>
      </x:c>
      <x:c r="N69" s="8" t="n">
        <x:f>M69^2</x:f>
        <x:v>9.196039944316242</x:v>
      </x:c>
      <x:c r="O69" s="8" t="n">
        <x:f>ABS(M69)</x:f>
        <x:v>3.0324973115101423</x:v>
      </x:c>
      <x:c r="P69" s="7" t="n">
        <x:v>45314</x:v>
      </x:c>
    </x:row>
    <x:row r="70" ht="26" customHeight="1">
      <x:c r="A70" s="2"/>
      <x:c r="B70" s="2" t="n">
        <x:v>65</x:v>
      </x:c>
      <x:c r="C70" s="2" t="str">
        <x:v>Beauty / price_contribution</x:v>
      </x:c>
      <x:c r="D70" s="7" t="n">
        <x:v>45382</x:v>
      </x:c>
      <x:c r="E70" s="2" t="str">
        <x:v>Origin</x:v>
      </x:c>
      <x:c r="F70" s="7" t="n">
        <x:v>45292</x:v>
      </x:c>
      <x:c r="G70" s="2" t="str">
        <x:v>Last actual</x:v>
      </x:c>
      <x:c r="H70" s="8" t="n">
        <x:f>AVERAGE('PG facts'!D76)</x:f>
        <x:v>7</x:v>
      </x:c>
      <x:c r="I70" s="8" t="n">
        <x:f>0</x:f>
        <x:v>0</x:v>
      </x:c>
      <x:c r="J70" s="8" t="n">
        <x:v>0</x:v>
      </x:c>
      <x:c r="K70" s="8" t="n">
        <x:f>H70-I70*J70</x:f>
        <x:v>7</x:v>
      </x:c>
      <x:c r="L70" s="8" t="n">
        <x:f>'PG facts'!D90</x:f>
        <x:v>4</x:v>
      </x:c>
      <x:c r="M70" s="8" t="n">
        <x:f>K70-L70</x:f>
        <x:v>3</x:v>
      </x:c>
      <x:c r="N70" s="8" t="n">
        <x:f>M70^2</x:f>
        <x:v>9</x:v>
      </x:c>
      <x:c r="O70" s="8" t="n">
        <x:f>ABS(M70)</x:f>
        <x:v>3</x:v>
      </x:c>
      <x:c r="P70" s="7" t="n">
        <x:v>45401</x:v>
      </x:c>
    </x:row>
    <x:row r="71" ht="26" customHeight="1">
      <x:c r="A71" s="2"/>
      <x:c r="B71" s="2" t="n">
        <x:v>66</x:v>
      </x:c>
      <x:c r="C71" s="2" t="str">
        <x:v>Beauty / price_contribution</x:v>
      </x:c>
      <x:c r="D71" s="7" t="n">
        <x:v>45382</x:v>
      </x:c>
      <x:c r="E71" s="2" t="str">
        <x:v>Origin</x:v>
      </x:c>
      <x:c r="F71" s="7" t="n">
        <x:v>45292</x:v>
      </x:c>
      <x:c r="G71" s="2" t="str">
        <x:v>Four-quarter mean</x:v>
      </x:c>
      <x:c r="H71" s="8" t="n">
        <x:f>AVERAGE('PG facts'!D55,'PG facts'!D62,'PG facts'!D69,'PG facts'!D76)</x:f>
        <x:v>8</x:v>
      </x:c>
      <x:c r="I71" s="8" t="n">
        <x:f>0</x:f>
        <x:v>0</x:v>
      </x:c>
      <x:c r="J71" s="8" t="n">
        <x:v>0</x:v>
      </x:c>
      <x:c r="K71" s="8" t="n">
        <x:f>H71-I71*J71</x:f>
        <x:v>8</x:v>
      </x:c>
      <x:c r="L71" s="8" t="n">
        <x:f>'PG facts'!D90</x:f>
        <x:v>4</x:v>
      </x:c>
      <x:c r="M71" s="8" t="n">
        <x:f>K71-L71</x:f>
        <x:v>4</x:v>
      </x:c>
      <x:c r="N71" s="8" t="n">
        <x:f>M71^2</x:f>
        <x:v>16</x:v>
      </x:c>
      <x:c r="O71" s="8" t="n">
        <x:f>ABS(M71)</x:f>
        <x:v>4</x:v>
      </x:c>
      <x:c r="P71" s="7" t="n">
        <x:v>45401</x:v>
      </x:c>
    </x:row>
    <x:row r="72" ht="26" customHeight="1">
      <x:c r="A72" s="2"/>
      <x:c r="B72" s="2" t="n">
        <x:v>67</x:v>
      </x:c>
      <x:c r="C72" s="2" t="str">
        <x:v>Beauty / price_contribution</x:v>
      </x:c>
      <x:c r="D72" s="7" t="n">
        <x:v>45382</x:v>
      </x:c>
      <x:c r="E72" s="2" t="str">
        <x:v>Origin</x:v>
      </x:c>
      <x:c r="F72" s="7" t="n">
        <x:v>45292</x:v>
      </x:c>
      <x:c r="G72" s="2" t="str">
        <x:v>Broad market</x:v>
      </x:c>
      <x:c r="H72" s="8" t="n">
        <x:f>'Model fits'!AA52</x:f>
        <x:v>6.614721473788515</x:v>
      </x:c>
      <x:c r="I72" s="8" t="n">
        <x:f>0</x:f>
        <x:v>0</x:v>
      </x:c>
      <x:c r="J72" s="8" t="n">
        <x:v>0</x:v>
      </x:c>
      <x:c r="K72" s="8" t="n">
        <x:f>H72-I72*J72</x:f>
        <x:v>6.614721473788515</x:v>
      </x:c>
      <x:c r="L72" s="8" t="n">
        <x:f>'PG facts'!D90</x:f>
        <x:v>4</x:v>
      </x:c>
      <x:c r="M72" s="8" t="n">
        <x:f>K72-L72</x:f>
        <x:v>2.6147214737885154</x:v>
      </x:c>
      <x:c r="N72" s="8" t="n">
        <x:f>M72^2</x:f>
        <x:v>6.836768385490786</x:v>
      </x:c>
      <x:c r="O72" s="8" t="n">
        <x:f>ABS(M72)</x:f>
        <x:v>2.6147214737885154</x:v>
      </x:c>
      <x:c r="P72" s="7" t="n">
        <x:v>45401</x:v>
      </x:c>
    </x:row>
    <x:row r="73" ht="26" customHeight="1">
      <x:c r="A73" s="2"/>
      <x:c r="B73" s="2" t="n">
        <x:v>68</x:v>
      </x:c>
      <x:c r="C73" s="2" t="str">
        <x:v>Beauty / price_contribution</x:v>
      </x:c>
      <x:c r="D73" s="7" t="n">
        <x:v>45382</x:v>
      </x:c>
      <x:c r="E73" s="2" t="str">
        <x:v>Origin</x:v>
      </x:c>
      <x:c r="F73" s="7" t="n">
        <x:v>45292</x:v>
      </x:c>
      <x:c r="G73" s="2" t="str">
        <x:v>Broad rolling 8</x:v>
      </x:c>
      <x:c r="H73" s="8" t="n">
        <x:f>'Model fits'!AA53</x:f>
        <x:v>6.595888824662437</x:v>
      </x:c>
      <x:c r="I73" s="8" t="n">
        <x:f>0</x:f>
        <x:v>0</x:v>
      </x:c>
      <x:c r="J73" s="8" t="n">
        <x:v>0</x:v>
      </x:c>
      <x:c r="K73" s="8" t="n">
        <x:f>H73-I73*J73</x:f>
        <x:v>6.595888824662437</x:v>
      </x:c>
      <x:c r="L73" s="8" t="n">
        <x:f>'PG facts'!D90</x:f>
        <x:v>4</x:v>
      </x:c>
      <x:c r="M73" s="8" t="n">
        <x:f>K73-L73</x:f>
        <x:v>2.5958888246624374</x:v>
      </x:c>
      <x:c r="N73" s="8" t="n">
        <x:f>M73^2</x:f>
        <x:v>6.738638790007331</x:v>
      </x:c>
      <x:c r="O73" s="8" t="n">
        <x:f>ABS(M73)</x:f>
        <x:v>2.5958888246624374</x:v>
      </x:c>
      <x:c r="P73" s="7" t="n">
        <x:v>45401</x:v>
      </x:c>
    </x:row>
    <x:row r="74" ht="26" customHeight="1">
      <x:c r="A74" s="2"/>
      <x:c r="B74" s="2" t="n">
        <x:v>69</x:v>
      </x:c>
      <x:c r="C74" s="2" t="str">
        <x:v>Beauty / price_contribution</x:v>
      </x:c>
      <x:c r="D74" s="7" t="n">
        <x:v>45382</x:v>
      </x:c>
      <x:c r="E74" s="2" t="str">
        <x:v>Origin</x:v>
      </x:c>
      <x:c r="F74" s="7" t="n">
        <x:v>45292</x:v>
      </x:c>
      <x:c r="G74" s="2" t="str">
        <x:v>Own history</x:v>
      </x:c>
      <x:c r="H74" s="8" t="n">
        <x:f>'Model fits'!AA54</x:f>
        <x:v>7.28301886792453</x:v>
      </x:c>
      <x:c r="I74" s="8" t="n">
        <x:f>0</x:f>
        <x:v>0</x:v>
      </x:c>
      <x:c r="J74" s="8" t="n">
        <x:v>0</x:v>
      </x:c>
      <x:c r="K74" s="8" t="n">
        <x:f>H74-I74*J74</x:f>
        <x:v>7.28301886792453</x:v>
      </x:c>
      <x:c r="L74" s="8" t="n">
        <x:f>'PG facts'!D90</x:f>
        <x:v>4</x:v>
      </x:c>
      <x:c r="M74" s="8" t="n">
        <x:f>K74-L74</x:f>
        <x:v>3.28301886792453</x:v>
      </x:c>
      <x:c r="N74" s="8" t="n">
        <x:f>M74^2</x:f>
        <x:v>10.778212887148461</x:v>
      </x:c>
      <x:c r="O74" s="8" t="n">
        <x:f>ABS(M74)</x:f>
        <x:v>3.28301886792453</x:v>
      </x:c>
      <x:c r="P74" s="7" t="n">
        <x:v>45401</x:v>
      </x:c>
    </x:row>
    <x:row r="75" ht="26" customHeight="1">
      <x:c r="A75" s="2"/>
      <x:c r="B75" s="2" t="n">
        <x:v>70</x:v>
      </x:c>
      <x:c r="C75" s="2" t="str">
        <x:v>Beauty / price_contribution</x:v>
      </x:c>
      <x:c r="D75" s="7" t="n">
        <x:v>45382</x:v>
      </x:c>
      <x:c r="E75" s="2" t="str">
        <x:v>Origin</x:v>
      </x:c>
      <x:c r="F75" s="7" t="n">
        <x:v>45292</x:v>
      </x:c>
      <x:c r="G75" s="2" t="str">
        <x:v>Product price</x:v>
      </x:c>
      <x:c r="H75" s="8" t="n">
        <x:f>'Model fits'!AA55</x:f>
        <x:v>6.493159743769898</x:v>
      </x:c>
      <x:c r="I75" s="8" t="n">
        <x:f>0</x:f>
        <x:v>0</x:v>
      </x:c>
      <x:c r="J75" s="8" t="n">
        <x:v>0</x:v>
      </x:c>
      <x:c r="K75" s="8" t="n">
        <x:f>H75-I75*J75</x:f>
        <x:v>6.493159743769898</x:v>
      </x:c>
      <x:c r="L75" s="8" t="n">
        <x:f>'PG facts'!D90</x:f>
        <x:v>4</x:v>
      </x:c>
      <x:c r="M75" s="8" t="n">
        <x:f>K75-L75</x:f>
        <x:v>2.4931597437698976</x:v>
      </x:c>
      <x:c r="N75" s="8" t="n">
        <x:f>M75^2</x:f>
        <x:v>6.215845507954781</x:v>
      </x:c>
      <x:c r="O75" s="8" t="n">
        <x:f>ABS(M75)</x:f>
        <x:v>2.4931597437698976</x:v>
      </x:c>
      <x:c r="P75" s="7" t="n">
        <x:v>45401</x:v>
      </x:c>
    </x:row>
    <x:row r="76" ht="26" customHeight="1">
      <x:c r="A76" s="2"/>
      <x:c r="B76" s="2" t="n">
        <x:v>71</x:v>
      </x:c>
      <x:c r="C76" s="2" t="str">
        <x:v>Beauty / price_contribution</x:v>
      </x:c>
      <x:c r="D76" s="7" t="n">
        <x:v>45382</x:v>
      </x:c>
      <x:c r="E76" s="2" t="str">
        <x:v>Prior report</x:v>
      </x:c>
      <x:c r="F76" s="7" t="n">
        <x:v>45314</x:v>
      </x:c>
      <x:c r="G76" s="2" t="str">
        <x:v>Last actual</x:v>
      </x:c>
      <x:c r="H76" s="8" t="n">
        <x:f>AVERAGE('PG facts'!D83)</x:f>
        <x:v>4</x:v>
      </x:c>
      <x:c r="I76" s="8" t="n">
        <x:f>0</x:f>
        <x:v>0</x:v>
      </x:c>
      <x:c r="J76" s="8" t="n">
        <x:v>0</x:v>
      </x:c>
      <x:c r="K76" s="8" t="n">
        <x:f>H76-I76*J76</x:f>
        <x:v>4</x:v>
      </x:c>
      <x:c r="L76" s="8" t="n">
        <x:f>'PG facts'!D90</x:f>
        <x:v>4</x:v>
      </x:c>
      <x:c r="M76" s="8" t="n">
        <x:f>K76-L76</x:f>
        <x:v>0</x:v>
      </x:c>
      <x:c r="N76" s="8" t="n">
        <x:f>M76^2</x:f>
        <x:v>0</x:v>
      </x:c>
      <x:c r="O76" s="8" t="n">
        <x:f>ABS(M76)</x:f>
        <x:v>0</x:v>
      </x:c>
      <x:c r="P76" s="7" t="n">
        <x:v>45401</x:v>
      </x:c>
    </x:row>
    <x:row r="77" ht="26" customHeight="1">
      <x:c r="A77" s="2"/>
      <x:c r="B77" s="2" t="n">
        <x:v>72</x:v>
      </x:c>
      <x:c r="C77" s="2" t="str">
        <x:v>Beauty / price_contribution</x:v>
      </x:c>
      <x:c r="D77" s="7" t="n">
        <x:v>45382</x:v>
      </x:c>
      <x:c r="E77" s="2" t="str">
        <x:v>Prior report</x:v>
      </x:c>
      <x:c r="F77" s="7" t="n">
        <x:v>45314</x:v>
      </x:c>
      <x:c r="G77" s="2" t="str">
        <x:v>Four-quarter mean</x:v>
      </x:c>
      <x:c r="H77" s="8" t="n">
        <x:f>AVERAGE('PG facts'!D62,'PG facts'!D69,'PG facts'!D76,'PG facts'!D83)</x:f>
        <x:v>6.75</x:v>
      </x:c>
      <x:c r="I77" s="8" t="n">
        <x:f>0</x:f>
        <x:v>0</x:v>
      </x:c>
      <x:c r="J77" s="8" t="n">
        <x:v>0</x:v>
      </x:c>
      <x:c r="K77" s="8" t="n">
        <x:f>H77-I77*J77</x:f>
        <x:v>6.75</x:v>
      </x:c>
      <x:c r="L77" s="8" t="n">
        <x:f>'PG facts'!D90</x:f>
        <x:v>4</x:v>
      </x:c>
      <x:c r="M77" s="8" t="n">
        <x:f>K77-L77</x:f>
        <x:v>2.75</x:v>
      </x:c>
      <x:c r="N77" s="8" t="n">
        <x:f>M77^2</x:f>
        <x:v>7.5625</x:v>
      </x:c>
      <x:c r="O77" s="8" t="n">
        <x:f>ABS(M77)</x:f>
        <x:v>2.75</x:v>
      </x:c>
      <x:c r="P77" s="7" t="n">
        <x:v>45401</x:v>
      </x:c>
    </x:row>
    <x:row r="78" ht="26" customHeight="1">
      <x:c r="A78" s="2"/>
      <x:c r="B78" s="2" t="n">
        <x:v>73</x:v>
      </x:c>
      <x:c r="C78" s="2" t="str">
        <x:v>Beauty / price_contribution</x:v>
      </x:c>
      <x:c r="D78" s="7" t="n">
        <x:v>45382</x:v>
      </x:c>
      <x:c r="E78" s="2" t="str">
        <x:v>Prior report</x:v>
      </x:c>
      <x:c r="F78" s="7" t="n">
        <x:v>45314</x:v>
      </x:c>
      <x:c r="G78" s="2" t="str">
        <x:v>Broad market</x:v>
      </x:c>
      <x:c r="H78" s="8" t="n">
        <x:f>'Model fits'!AA56</x:f>
        <x:v>5.939782875093831</x:v>
      </x:c>
      <x:c r="I78" s="8" t="n">
        <x:f>0</x:f>
        <x:v>0</x:v>
      </x:c>
      <x:c r="J78" s="8" t="n">
        <x:v>0</x:v>
      </x:c>
      <x:c r="K78" s="8" t="n">
        <x:f>H78-I78*J78</x:f>
        <x:v>5.939782875093831</x:v>
      </x:c>
      <x:c r="L78" s="8" t="n">
        <x:f>'PG facts'!D90</x:f>
        <x:v>4</x:v>
      </x:c>
      <x:c r="M78" s="8" t="n">
        <x:f>K78-L78</x:f>
        <x:v>1.9397828750938313</x:v>
      </x:c>
      <x:c r="N78" s="8" t="n">
        <x:f>M78^2</x:f>
        <x:v>3.7627576025072904</x:v>
      </x:c>
      <x:c r="O78" s="8" t="n">
        <x:f>ABS(M78)</x:f>
        <x:v>1.9397828750938313</x:v>
      </x:c>
      <x:c r="P78" s="7" t="n">
        <x:v>45401</x:v>
      </x:c>
    </x:row>
    <x:row r="79" ht="26" customHeight="1">
      <x:c r="A79" s="2"/>
      <x:c r="B79" s="2" t="n">
        <x:v>74</x:v>
      </x:c>
      <x:c r="C79" s="2" t="str">
        <x:v>Beauty / price_contribution</x:v>
      </x:c>
      <x:c r="D79" s="7" t="n">
        <x:v>45382</x:v>
      </x:c>
      <x:c r="E79" s="2" t="str">
        <x:v>Prior report</x:v>
      </x:c>
      <x:c r="F79" s="7" t="n">
        <x:v>45314</x:v>
      </x:c>
      <x:c r="G79" s="2" t="str">
        <x:v>Broad lag 1</x:v>
      </x:c>
      <x:c r="H79" s="8" t="n">
        <x:f>'Model fits'!AA57</x:f>
        <x:v>6.125486557436723</x:v>
      </x:c>
      <x:c r="I79" s="8" t="n">
        <x:f>0</x:f>
        <x:v>0</x:v>
      </x:c>
      <x:c r="J79" s="8" t="n">
        <x:v>0</x:v>
      </x:c>
      <x:c r="K79" s="8" t="n">
        <x:f>H79-I79*J79</x:f>
        <x:v>6.125486557436723</x:v>
      </x:c>
      <x:c r="L79" s="8" t="n">
        <x:f>'PG facts'!D90</x:f>
        <x:v>4</x:v>
      </x:c>
      <x:c r="M79" s="8" t="n">
        <x:f>K79-L79</x:f>
        <x:v>2.125486557436723</x:v>
      </x:c>
      <x:c r="N79" s="8" t="n">
        <x:f>M79^2</x:f>
        <x:v>4.517693105844212</x:v>
      </x:c>
      <x:c r="O79" s="8" t="n">
        <x:f>ABS(M79)</x:f>
        <x:v>2.125486557436723</x:v>
      </x:c>
      <x:c r="P79" s="7" t="n">
        <x:v>45401</x:v>
      </x:c>
    </x:row>
    <x:row r="80" ht="26" customHeight="1">
      <x:c r="A80" s="2"/>
      <x:c r="B80" s="2" t="n">
        <x:v>75</x:v>
      </x:c>
      <x:c r="C80" s="2" t="str">
        <x:v>Beauty / price_contribution</x:v>
      </x:c>
      <x:c r="D80" s="7" t="n">
        <x:v>45382</x:v>
      </x:c>
      <x:c r="E80" s="2" t="str">
        <x:v>Prior report</x:v>
      </x:c>
      <x:c r="F80" s="7" t="n">
        <x:v>45314</x:v>
      </x:c>
      <x:c r="G80" s="2" t="str">
        <x:v>Broad rolling 8</x:v>
      </x:c>
      <x:c r="H80" s="8" t="n">
        <x:f>'Model fits'!AA58</x:f>
        <x:v>5.996897147520378</x:v>
      </x:c>
      <x:c r="I80" s="8" t="n">
        <x:f>0</x:f>
        <x:v>0</x:v>
      </x:c>
      <x:c r="J80" s="8" t="n">
        <x:v>0</x:v>
      </x:c>
      <x:c r="K80" s="8" t="n">
        <x:f>H80-I80*J80</x:f>
        <x:v>5.996897147520378</x:v>
      </x:c>
      <x:c r="L80" s="8" t="n">
        <x:f>'PG facts'!D90</x:f>
        <x:v>4</x:v>
      </x:c>
      <x:c r="M80" s="8" t="n">
        <x:f>K80-L80</x:f>
        <x:v>1.9968971475203778</x:v>
      </x:c>
      <x:c r="N80" s="8" t="n">
        <x:f>M80^2</x:f>
        <x:v>3.9875982177750218</x:v>
      </x:c>
      <x:c r="O80" s="8" t="n">
        <x:f>ABS(M80)</x:f>
        <x:v>1.9968971475203778</x:v>
      </x:c>
      <x:c r="P80" s="7" t="n">
        <x:v>45401</x:v>
      </x:c>
    </x:row>
    <x:row r="81" ht="26" customHeight="1">
      <x:c r="A81" s="2"/>
      <x:c r="B81" s="2" t="n">
        <x:v>76</x:v>
      </x:c>
      <x:c r="C81" s="2" t="str">
        <x:v>Beauty / price_contribution</x:v>
      </x:c>
      <x:c r="D81" s="7" t="n">
        <x:v>45382</x:v>
      </x:c>
      <x:c r="E81" s="2" t="str">
        <x:v>Prior report</x:v>
      </x:c>
      <x:c r="F81" s="7" t="n">
        <x:v>45314</x:v>
      </x:c>
      <x:c r="G81" s="2" t="str">
        <x:v>Own history</x:v>
      </x:c>
      <x:c r="H81" s="8" t="n">
        <x:f>'Model fits'!AA59</x:f>
        <x:v>4.582474226804124</x:v>
      </x:c>
      <x:c r="I81" s="8" t="n">
        <x:f>0</x:f>
        <x:v>0</x:v>
      </x:c>
      <x:c r="J81" s="8" t="n">
        <x:v>0</x:v>
      </x:c>
      <x:c r="K81" s="8" t="n">
        <x:f>H81-I81*J81</x:f>
        <x:v>4.582474226804124</x:v>
      </x:c>
      <x:c r="L81" s="8" t="n">
        <x:f>'PG facts'!D90</x:f>
        <x:v>4</x:v>
      </x:c>
      <x:c r="M81" s="8" t="n">
        <x:f>K81-L81</x:f>
        <x:v>0.5824742268041243</x:v>
      </x:c>
      <x:c r="N81" s="8" t="n">
        <x:f>M81^2</x:f>
        <x:v>0.33927622489106246</x:v>
      </x:c>
      <x:c r="O81" s="8" t="n">
        <x:f>ABS(M81)</x:f>
        <x:v>0.5824742268041243</x:v>
      </x:c>
      <x:c r="P81" s="7" t="n">
        <x:v>45401</x:v>
      </x:c>
    </x:row>
    <x:row r="82" ht="26" customHeight="1">
      <x:c r="A82" s="2"/>
      <x:c r="B82" s="2" t="n">
        <x:v>77</x:v>
      </x:c>
      <x:c r="C82" s="2" t="str">
        <x:v>Beauty / price_contribution</x:v>
      </x:c>
      <x:c r="D82" s="7" t="n">
        <x:v>45382</x:v>
      </x:c>
      <x:c r="E82" s="2" t="str">
        <x:v>Prior report</x:v>
      </x:c>
      <x:c r="F82" s="7" t="n">
        <x:v>45314</x:v>
      </x:c>
      <x:c r="G82" s="2" t="str">
        <x:v>Product price</x:v>
      </x:c>
      <x:c r="H82" s="8" t="n">
        <x:f>'Model fits'!AA60</x:f>
        <x:v>5.820434149431177</x:v>
      </x:c>
      <x:c r="I82" s="8" t="n">
        <x:f>0</x:f>
        <x:v>0</x:v>
      </x:c>
      <x:c r="J82" s="8" t="n">
        <x:v>0</x:v>
      </x:c>
      <x:c r="K82" s="8" t="n">
        <x:f>H82-I82*J82</x:f>
        <x:v>5.820434149431177</x:v>
      </x:c>
      <x:c r="L82" s="8" t="n">
        <x:f>'PG facts'!D90</x:f>
        <x:v>4</x:v>
      </x:c>
      <x:c r="M82" s="8" t="n">
        <x:f>K82-L82</x:f>
        <x:v>1.8204341494311773</x:v>
      </x:c>
      <x:c r="N82" s="8" t="n">
        <x:f>M82^2</x:f>
        <x:v>3.313980492415214</x:v>
      </x:c>
      <x:c r="O82" s="8" t="n">
        <x:f>ABS(M82)</x:f>
        <x:v>1.8204341494311773</x:v>
      </x:c>
      <x:c r="P82" s="7" t="n">
        <x:v>45401</x:v>
      </x:c>
    </x:row>
    <x:row r="83" ht="26" customHeight="1">
      <x:c r="A83" s="2"/>
      <x:c r="B83" s="2" t="n">
        <x:v>78</x:v>
      </x:c>
      <x:c r="C83" s="2" t="str">
        <x:v>Beauty / price_contribution</x:v>
      </x:c>
      <x:c r="D83" s="7" t="n">
        <x:v>45382</x:v>
      </x:c>
      <x:c r="E83" s="2" t="str">
        <x:v>Prior report</x:v>
      </x:c>
      <x:c r="F83" s="7" t="n">
        <x:v>45314</x:v>
      </x:c>
      <x:c r="G83" s="2" t="str">
        <x:v>Product lag 1</x:v>
      </x:c>
      <x:c r="H83" s="8" t="n">
        <x:f>'Model fits'!AA61</x:f>
        <x:v>5.997944532769987</x:v>
      </x:c>
      <x:c r="I83" s="8" t="n">
        <x:f>0</x:f>
        <x:v>0</x:v>
      </x:c>
      <x:c r="J83" s="8" t="n">
        <x:v>0</x:v>
      </x:c>
      <x:c r="K83" s="8" t="n">
        <x:f>H83-I83*J83</x:f>
        <x:v>5.997944532769987</x:v>
      </x:c>
      <x:c r="L83" s="8" t="n">
        <x:f>'PG facts'!D90</x:f>
        <x:v>4</x:v>
      </x:c>
      <x:c r="M83" s="8" t="n">
        <x:f>K83-L83</x:f>
        <x:v>1.9979445327699867</x:v>
      </x:c>
      <x:c r="N83" s="8" t="n">
        <x:f>M83^2</x:f>
        <x:v>3.991782356025481</x:v>
      </x:c>
      <x:c r="O83" s="8" t="n">
        <x:f>ABS(M83)</x:f>
        <x:v>1.9979445327699867</x:v>
      </x:c>
      <x:c r="P83" s="7" t="n">
        <x:v>45401</x:v>
      </x:c>
    </x:row>
    <x:row r="84" ht="26" customHeight="1">
      <x:c r="A84" s="2"/>
      <x:c r="B84" s="2" t="n">
        <x:v>79</x:v>
      </x:c>
      <x:c r="C84" s="2" t="str">
        <x:v>Beauty / price_contribution</x:v>
      </x:c>
      <x:c r="D84" s="7" t="n">
        <x:v>45382</x:v>
      </x:c>
      <x:c r="E84" s="2" t="str">
        <x:v>Pre-earnings</x:v>
      </x:c>
      <x:c r="F84" s="7" t="n">
        <x:v>45400</x:v>
      </x:c>
      <x:c r="G84" s="2" t="str">
        <x:v>Last actual</x:v>
      </x:c>
      <x:c r="H84" s="8" t="n">
        <x:f>AVERAGE('PG facts'!D83)</x:f>
        <x:v>4</x:v>
      </x:c>
      <x:c r="I84" s="8" t="n">
        <x:f>0</x:f>
        <x:v>0</x:v>
      </x:c>
      <x:c r="J84" s="8" t="n">
        <x:v>0</x:v>
      </x:c>
      <x:c r="K84" s="8" t="n">
        <x:f>H84-I84*J84</x:f>
        <x:v>4</x:v>
      </x:c>
      <x:c r="L84" s="8" t="n">
        <x:f>'PG facts'!D90</x:f>
        <x:v>4</x:v>
      </x:c>
      <x:c r="M84" s="8" t="n">
        <x:f>K84-L84</x:f>
        <x:v>0</x:v>
      </x:c>
      <x:c r="N84" s="8" t="n">
        <x:f>M84^2</x:f>
        <x:v>0</x:v>
      </x:c>
      <x:c r="O84" s="8" t="n">
        <x:f>ABS(M84)</x:f>
        <x:v>0</x:v>
      </x:c>
      <x:c r="P84" s="7" t="n">
        <x:v>45401</x:v>
      </x:c>
    </x:row>
    <x:row r="85" ht="26" customHeight="1">
      <x:c r="A85" s="2"/>
      <x:c r="B85" s="2" t="n">
        <x:v>80</x:v>
      </x:c>
      <x:c r="C85" s="2" t="str">
        <x:v>Beauty / price_contribution</x:v>
      </x:c>
      <x:c r="D85" s="7" t="n">
        <x:v>45382</x:v>
      </x:c>
      <x:c r="E85" s="2" t="str">
        <x:v>Pre-earnings</x:v>
      </x:c>
      <x:c r="F85" s="7" t="n">
        <x:v>45400</x:v>
      </x:c>
      <x:c r="G85" s="2" t="str">
        <x:v>Four-quarter mean</x:v>
      </x:c>
      <x:c r="H85" s="8" t="n">
        <x:f>AVERAGE('PG facts'!D62,'PG facts'!D69,'PG facts'!D76,'PG facts'!D83)</x:f>
        <x:v>6.75</x:v>
      </x:c>
      <x:c r="I85" s="8" t="n">
        <x:f>0</x:f>
        <x:v>0</x:v>
      </x:c>
      <x:c r="J85" s="8" t="n">
        <x:v>0</x:v>
      </x:c>
      <x:c r="K85" s="8" t="n">
        <x:f>H85-I85*J85</x:f>
        <x:v>6.75</x:v>
      </x:c>
      <x:c r="L85" s="8" t="n">
        <x:f>'PG facts'!D90</x:f>
        <x:v>4</x:v>
      </x:c>
      <x:c r="M85" s="8" t="n">
        <x:f>K85-L85</x:f>
        <x:v>2.75</x:v>
      </x:c>
      <x:c r="N85" s="8" t="n">
        <x:f>M85^2</x:f>
        <x:v>7.5625</x:v>
      </x:c>
      <x:c r="O85" s="8" t="n">
        <x:f>ABS(M85)</x:f>
        <x:v>2.75</x:v>
      </x:c>
      <x:c r="P85" s="7" t="n">
        <x:v>45401</x:v>
      </x:c>
    </x:row>
    <x:row r="86" ht="26" customHeight="1">
      <x:c r="A86" s="2"/>
      <x:c r="B86" s="2" t="n">
        <x:v>81</x:v>
      </x:c>
      <x:c r="C86" s="2" t="str">
        <x:v>Beauty / price_contribution</x:v>
      </x:c>
      <x:c r="D86" s="7" t="n">
        <x:v>45382</x:v>
      </x:c>
      <x:c r="E86" s="2" t="str">
        <x:v>Pre-earnings</x:v>
      </x:c>
      <x:c r="F86" s="7" t="n">
        <x:v>45400</x:v>
      </x:c>
      <x:c r="G86" s="2" t="str">
        <x:v>Broad market</x:v>
      </x:c>
      <x:c r="H86" s="8" t="n">
        <x:f>'Model fits'!AA62</x:f>
        <x:v>5.500400395151316</x:v>
      </x:c>
      <x:c r="I86" s="8" t="n">
        <x:f>0</x:f>
        <x:v>0</x:v>
      </x:c>
      <x:c r="J86" s="8" t="n">
        <x:v>0</x:v>
      </x:c>
      <x:c r="K86" s="8" t="n">
        <x:f>H86-I86*J86</x:f>
        <x:v>5.500400395151316</x:v>
      </x:c>
      <x:c r="L86" s="8" t="n">
        <x:f>'PG facts'!D90</x:f>
        <x:v>4</x:v>
      </x:c>
      <x:c r="M86" s="8" t="n">
        <x:f>K86-L86</x:f>
        <x:v>1.500400395151316</x:v>
      </x:c>
      <x:c r="N86" s="8" t="n">
        <x:f>M86^2</x:f>
        <x:v>2.2512013457702253</x:v>
      </x:c>
      <x:c r="O86" s="8" t="n">
        <x:f>ABS(M86)</x:f>
        <x:v>1.500400395151316</x:v>
      </x:c>
      <x:c r="P86" s="7" t="n">
        <x:v>45401</x:v>
      </x:c>
    </x:row>
    <x:row r="87" ht="26" customHeight="1">
      <x:c r="A87" s="2"/>
      <x:c r="B87" s="2" t="n">
        <x:v>82</x:v>
      </x:c>
      <x:c r="C87" s="2" t="str">
        <x:v>Beauty / price_contribution</x:v>
      </x:c>
      <x:c r="D87" s="7" t="n">
        <x:v>45382</x:v>
      </x:c>
      <x:c r="E87" s="2" t="str">
        <x:v>Pre-earnings</x:v>
      </x:c>
      <x:c r="F87" s="7" t="n">
        <x:v>45400</x:v>
      </x:c>
      <x:c r="G87" s="2" t="str">
        <x:v>Broad lag 1</x:v>
      </x:c>
      <x:c r="H87" s="8" t="n">
        <x:f>'Model fits'!AA63</x:f>
        <x:v>6.125486557436723</x:v>
      </x:c>
      <x:c r="I87" s="8" t="n">
        <x:f>0</x:f>
        <x:v>0</x:v>
      </x:c>
      <x:c r="J87" s="8" t="n">
        <x:v>0</x:v>
      </x:c>
      <x:c r="K87" s="8" t="n">
        <x:f>H87-I87*J87</x:f>
        <x:v>6.125486557436723</x:v>
      </x:c>
      <x:c r="L87" s="8" t="n">
        <x:f>'PG facts'!D90</x:f>
        <x:v>4</x:v>
      </x:c>
      <x:c r="M87" s="8" t="n">
        <x:f>K87-L87</x:f>
        <x:v>2.125486557436723</x:v>
      </x:c>
      <x:c r="N87" s="8" t="n">
        <x:f>M87^2</x:f>
        <x:v>4.517693105844212</x:v>
      </x:c>
      <x:c r="O87" s="8" t="n">
        <x:f>ABS(M87)</x:f>
        <x:v>2.125486557436723</x:v>
      </x:c>
      <x:c r="P87" s="7" t="n">
        <x:v>45401</x:v>
      </x:c>
    </x:row>
    <x:row r="88" ht="26" customHeight="1">
      <x:c r="A88" s="2"/>
      <x:c r="B88" s="2" t="n">
        <x:v>83</x:v>
      </x:c>
      <x:c r="C88" s="2" t="str">
        <x:v>Beauty / price_contribution</x:v>
      </x:c>
      <x:c r="D88" s="7" t="n">
        <x:v>45382</x:v>
      </x:c>
      <x:c r="E88" s="2" t="str">
        <x:v>Pre-earnings</x:v>
      </x:c>
      <x:c r="F88" s="7" t="n">
        <x:v>45400</x:v>
      </x:c>
      <x:c r="G88" s="2" t="str">
        <x:v>Broad rolling 8</x:v>
      </x:c>
      <x:c r="H88" s="8" t="n">
        <x:f>'Model fits'!AA64</x:f>
        <x:v>5.576639854849699</x:v>
      </x:c>
      <x:c r="I88" s="8" t="n">
        <x:f>0</x:f>
        <x:v>0</x:v>
      </x:c>
      <x:c r="J88" s="8" t="n">
        <x:v>0</x:v>
      </x:c>
      <x:c r="K88" s="8" t="n">
        <x:f>H88-I88*J88</x:f>
        <x:v>5.576639854849699</x:v>
      </x:c>
      <x:c r="L88" s="8" t="n">
        <x:f>'PG facts'!D90</x:f>
        <x:v>4</x:v>
      </x:c>
      <x:c r="M88" s="8" t="n">
        <x:f>K88-L88</x:f>
        <x:v>1.5766398548496987</x:v>
      </x:c>
      <x:c r="N88" s="8" t="n">
        <x:f>M88^2</x:f>
        <x:v>2.485793231900479</x:v>
      </x:c>
      <x:c r="O88" s="8" t="n">
        <x:f>ABS(M88)</x:f>
        <x:v>1.5766398548496987</x:v>
      </x:c>
      <x:c r="P88" s="7" t="n">
        <x:v>45401</x:v>
      </x:c>
    </x:row>
    <x:row r="89" ht="26" customHeight="1">
      <x:c r="A89" s="2"/>
      <x:c r="B89" s="2" t="n">
        <x:v>84</x:v>
      </x:c>
      <x:c r="C89" s="2" t="str">
        <x:v>Beauty / price_contribution</x:v>
      </x:c>
      <x:c r="D89" s="7" t="n">
        <x:v>45382</x:v>
      </x:c>
      <x:c r="E89" s="2" t="str">
        <x:v>Pre-earnings</x:v>
      </x:c>
      <x:c r="F89" s="7" t="n">
        <x:v>45400</x:v>
      </x:c>
      <x:c r="G89" s="2" t="str">
        <x:v>Own history</x:v>
      </x:c>
      <x:c r="H89" s="8" t="n">
        <x:f>'Model fits'!AA65</x:f>
        <x:v>4.582474226804124</x:v>
      </x:c>
      <x:c r="I89" s="8" t="n">
        <x:f>0</x:f>
        <x:v>0</x:v>
      </x:c>
      <x:c r="J89" s="8" t="n">
        <x:v>0</x:v>
      </x:c>
      <x:c r="K89" s="8" t="n">
        <x:f>H89-I89*J89</x:f>
        <x:v>4.582474226804124</x:v>
      </x:c>
      <x:c r="L89" s="8" t="n">
        <x:f>'PG facts'!D90</x:f>
        <x:v>4</x:v>
      </x:c>
      <x:c r="M89" s="8" t="n">
        <x:f>K89-L89</x:f>
        <x:v>0.5824742268041243</x:v>
      </x:c>
      <x:c r="N89" s="8" t="n">
        <x:f>M89^2</x:f>
        <x:v>0.33927622489106246</x:v>
      </x:c>
      <x:c r="O89" s="8" t="n">
        <x:f>ABS(M89)</x:f>
        <x:v>0.5824742268041243</x:v>
      </x:c>
      <x:c r="P89" s="7" t="n">
        <x:v>45401</x:v>
      </x:c>
    </x:row>
    <x:row r="90" ht="26" customHeight="1">
      <x:c r="A90" s="2"/>
      <x:c r="B90" s="2" t="n">
        <x:v>85</x:v>
      </x:c>
      <x:c r="C90" s="2" t="str">
        <x:v>Beauty / price_contribution</x:v>
      </x:c>
      <x:c r="D90" s="7" t="n">
        <x:v>45382</x:v>
      </x:c>
      <x:c r="E90" s="2" t="str">
        <x:v>Pre-earnings</x:v>
      </x:c>
      <x:c r="F90" s="7" t="n">
        <x:v>45400</x:v>
      </x:c>
      <x:c r="G90" s="2" t="str">
        <x:v>Product price</x:v>
      </x:c>
      <x:c r="H90" s="8" t="n">
        <x:f>'Model fits'!AA66</x:f>
        <x:v>4.824815202669985</x:v>
      </x:c>
      <x:c r="I90" s="8" t="n">
        <x:f>0</x:f>
        <x:v>0</x:v>
      </x:c>
      <x:c r="J90" s="8" t="n">
        <x:v>0</x:v>
      </x:c>
      <x:c r="K90" s="8" t="n">
        <x:f>H90-I90*J90</x:f>
        <x:v>4.824815202669985</x:v>
      </x:c>
      <x:c r="L90" s="8" t="n">
        <x:f>'PG facts'!D90</x:f>
        <x:v>4</x:v>
      </x:c>
      <x:c r="M90" s="8" t="n">
        <x:f>K90-L90</x:f>
        <x:v>0.8248152026699849</x:v>
      </x:c>
      <x:c r="N90" s="8" t="n">
        <x:f>M90^2</x:f>
        <x:v>0.6803201185555282</x:v>
      </x:c>
      <x:c r="O90" s="8" t="n">
        <x:f>ABS(M90)</x:f>
        <x:v>0.8248152026699849</x:v>
      </x:c>
      <x:c r="P90" s="7" t="n">
        <x:v>45401</x:v>
      </x:c>
    </x:row>
    <x:row r="91" ht="26" customHeight="1">
      <x:c r="A91" s="2"/>
      <x:c r="B91" s="2" t="n">
        <x:v>86</x:v>
      </x:c>
      <x:c r="C91" s="2" t="str">
        <x:v>Beauty / price_contribution</x:v>
      </x:c>
      <x:c r="D91" s="7" t="n">
        <x:v>45382</x:v>
      </x:c>
      <x:c r="E91" s="2" t="str">
        <x:v>Pre-earnings</x:v>
      </x:c>
      <x:c r="F91" s="7" t="n">
        <x:v>45400</x:v>
      </x:c>
      <x:c r="G91" s="2" t="str">
        <x:v>Product lag 1</x:v>
      </x:c>
      <x:c r="H91" s="8" t="n">
        <x:f>'Model fits'!AA67</x:f>
        <x:v>5.997944532769987</x:v>
      </x:c>
      <x:c r="I91" s="8" t="n">
        <x:f>0</x:f>
        <x:v>0</x:v>
      </x:c>
      <x:c r="J91" s="8" t="n">
        <x:v>0</x:v>
      </x:c>
      <x:c r="K91" s="8" t="n">
        <x:f>H91-I91*J91</x:f>
        <x:v>5.997944532769987</x:v>
      </x:c>
      <x:c r="L91" s="8" t="n">
        <x:f>'PG facts'!D90</x:f>
        <x:v>4</x:v>
      </x:c>
      <x:c r="M91" s="8" t="n">
        <x:f>K91-L91</x:f>
        <x:v>1.9979445327699867</x:v>
      </x:c>
      <x:c r="N91" s="8" t="n">
        <x:f>M91^2</x:f>
        <x:v>3.991782356025481</x:v>
      </x:c>
      <x:c r="O91" s="8" t="n">
        <x:f>ABS(M91)</x:f>
        <x:v>1.9979445327699867</x:v>
      </x:c>
      <x:c r="P91" s="7" t="n">
        <x:v>45401</x:v>
      </x:c>
    </x:row>
    <x:row r="92" ht="26" customHeight="1">
      <x:c r="A92" s="2"/>
      <x:c r="B92" s="2" t="n">
        <x:v>87</x:v>
      </x:c>
      <x:c r="C92" s="2" t="str">
        <x:v>Beauty / price_contribution</x:v>
      </x:c>
      <x:c r="D92" s="7" t="n">
        <x:v>45473</x:v>
      </x:c>
      <x:c r="E92" s="2" t="str">
        <x:v>Origin</x:v>
      </x:c>
      <x:c r="F92" s="7" t="n">
        <x:v>45383</x:v>
      </x:c>
      <x:c r="G92" s="2" t="str">
        <x:v>Last actual</x:v>
      </x:c>
      <x:c r="H92" s="8" t="n">
        <x:f>AVERAGE('PG facts'!D83)</x:f>
        <x:v>4</x:v>
      </x:c>
      <x:c r="I92" s="8" t="n">
        <x:f>0</x:f>
        <x:v>0</x:v>
      </x:c>
      <x:c r="J92" s="8" t="n">
        <x:v>0</x:v>
      </x:c>
      <x:c r="K92" s="8" t="n">
        <x:f>H92-I92*J92</x:f>
        <x:v>4</x:v>
      </x:c>
      <x:c r="L92" s="8" t="n">
        <x:f>'PG facts'!D97</x:f>
        <x:v>3</x:v>
      </x:c>
      <x:c r="M92" s="8" t="n">
        <x:f>K92-L92</x:f>
        <x:v>1</x:v>
      </x:c>
      <x:c r="N92" s="8" t="n">
        <x:f>M92^2</x:f>
        <x:v>1</x:v>
      </x:c>
      <x:c r="O92" s="8" t="n">
        <x:f>ABS(M92)</x:f>
        <x:v>1</x:v>
      </x:c>
      <x:c r="P92" s="7" t="n">
        <x:v>45503</x:v>
      </x:c>
    </x:row>
    <x:row r="93" ht="26" customHeight="1">
      <x:c r="A93" s="2"/>
      <x:c r="B93" s="2" t="n">
        <x:v>88</x:v>
      </x:c>
      <x:c r="C93" s="2" t="str">
        <x:v>Beauty / price_contribution</x:v>
      </x:c>
      <x:c r="D93" s="7" t="n">
        <x:v>45473</x:v>
      </x:c>
      <x:c r="E93" s="2" t="str">
        <x:v>Origin</x:v>
      </x:c>
      <x:c r="F93" s="7" t="n">
        <x:v>45383</x:v>
      </x:c>
      <x:c r="G93" s="2" t="str">
        <x:v>Four-quarter mean</x:v>
      </x:c>
      <x:c r="H93" s="8" t="n">
        <x:f>AVERAGE('PG facts'!D62,'PG facts'!D69,'PG facts'!D76,'PG facts'!D83)</x:f>
        <x:v>6.75</x:v>
      </x:c>
      <x:c r="I93" s="8" t="n">
        <x:f>0</x:f>
        <x:v>0</x:v>
      </x:c>
      <x:c r="J93" s="8" t="n">
        <x:v>0</x:v>
      </x:c>
      <x:c r="K93" s="8" t="n">
        <x:f>H93-I93*J93</x:f>
        <x:v>6.75</x:v>
      </x:c>
      <x:c r="L93" s="8" t="n">
        <x:f>'PG facts'!D97</x:f>
        <x:v>3</x:v>
      </x:c>
      <x:c r="M93" s="8" t="n">
        <x:f>K93-L93</x:f>
        <x:v>3.75</x:v>
      </x:c>
      <x:c r="N93" s="8" t="n">
        <x:f>M93^2</x:f>
        <x:v>14.0625</x:v>
      </x:c>
      <x:c r="O93" s="8" t="n">
        <x:f>ABS(M93)</x:f>
        <x:v>3.75</x:v>
      </x:c>
      <x:c r="P93" s="7" t="n">
        <x:v>45503</x:v>
      </x:c>
    </x:row>
    <x:row r="94" ht="26" customHeight="1">
      <x:c r="A94" s="2"/>
      <x:c r="B94" s="2" t="n">
        <x:v>89</x:v>
      </x:c>
      <x:c r="C94" s="2" t="str">
        <x:v>Beauty / price_contribution</x:v>
      </x:c>
      <x:c r="D94" s="7" t="n">
        <x:v>45473</x:v>
      </x:c>
      <x:c r="E94" s="2" t="str">
        <x:v>Origin</x:v>
      </x:c>
      <x:c r="F94" s="7" t="n">
        <x:v>45383</x:v>
      </x:c>
      <x:c r="G94" s="2" t="str">
        <x:v>Broad market</x:v>
      </x:c>
      <x:c r="H94" s="8" t="n">
        <x:f>'Model fits'!AA68</x:f>
        <x:v>5.463573378158509</x:v>
      </x:c>
      <x:c r="I94" s="8" t="n">
        <x:f>0</x:f>
        <x:v>0</x:v>
      </x:c>
      <x:c r="J94" s="8" t="n">
        <x:v>0</x:v>
      </x:c>
      <x:c r="K94" s="8" t="n">
        <x:f>H94-I94*J94</x:f>
        <x:v>5.463573378158509</x:v>
      </x:c>
      <x:c r="L94" s="8" t="n">
        <x:f>'PG facts'!D97</x:f>
        <x:v>3</x:v>
      </x:c>
      <x:c r="M94" s="8" t="n">
        <x:f>K94-L94</x:f>
        <x:v>2.463573378158509</x:v>
      </x:c>
      <x:c r="N94" s="8" t="n">
        <x:f>M94^2</x:f>
        <x:v>6.069193789571329</x:v>
      </x:c>
      <x:c r="O94" s="8" t="n">
        <x:f>ABS(M94)</x:f>
        <x:v>2.463573378158509</x:v>
      </x:c>
      <x:c r="P94" s="7" t="n">
        <x:v>45503</x:v>
      </x:c>
    </x:row>
    <x:row r="95" ht="26" customHeight="1">
      <x:c r="A95" s="2"/>
      <x:c r="B95" s="2" t="n">
        <x:v>90</x:v>
      </x:c>
      <x:c r="C95" s="2" t="str">
        <x:v>Beauty / price_contribution</x:v>
      </x:c>
      <x:c r="D95" s="7" t="n">
        <x:v>45473</x:v>
      </x:c>
      <x:c r="E95" s="2" t="str">
        <x:v>Origin</x:v>
      </x:c>
      <x:c r="F95" s="7" t="n">
        <x:v>45383</x:v>
      </x:c>
      <x:c r="G95" s="2" t="str">
        <x:v>Broad rolling 8</x:v>
      </x:c>
      <x:c r="H95" s="8" t="n">
        <x:f>'Model fits'!AA69</x:f>
        <x:v>5.541415823020848</x:v>
      </x:c>
      <x:c r="I95" s="8" t="n">
        <x:f>0</x:f>
        <x:v>0</x:v>
      </x:c>
      <x:c r="J95" s="8" t="n">
        <x:v>0</x:v>
      </x:c>
      <x:c r="K95" s="8" t="n">
        <x:f>H95-I95*J95</x:f>
        <x:v>5.541415823020848</x:v>
      </x:c>
      <x:c r="L95" s="8" t="n">
        <x:f>'PG facts'!D97</x:f>
        <x:v>3</x:v>
      </x:c>
      <x:c r="M95" s="8" t="n">
        <x:f>K95-L95</x:f>
        <x:v>2.5414158230208477</x:v>
      </x:c>
      <x:c r="N95" s="8" t="n">
        <x:f>M95^2</x:f>
        <x:v>6.458794385500733</x:v>
      </x:c>
      <x:c r="O95" s="8" t="n">
        <x:f>ABS(M95)</x:f>
        <x:v>2.5414158230208477</x:v>
      </x:c>
      <x:c r="P95" s="7" t="n">
        <x:v>45503</x:v>
      </x:c>
    </x:row>
    <x:row r="96" ht="26" customHeight="1">
      <x:c r="A96" s="2"/>
      <x:c r="B96" s="2" t="n">
        <x:v>91</x:v>
      </x:c>
      <x:c r="C96" s="2" t="str">
        <x:v>Beauty / price_contribution</x:v>
      </x:c>
      <x:c r="D96" s="7" t="n">
        <x:v>45473</x:v>
      </x:c>
      <x:c r="E96" s="2" t="str">
        <x:v>Origin</x:v>
      </x:c>
      <x:c r="F96" s="7" t="n">
        <x:v>45383</x:v>
      </x:c>
      <x:c r="G96" s="2" t="str">
        <x:v>Own history</x:v>
      </x:c>
      <x:c r="H96" s="8" t="n">
        <x:f>'Model fits'!AA70</x:f>
        <x:v>5.103550295857988</x:v>
      </x:c>
      <x:c r="I96" s="8" t="n">
        <x:f>0</x:f>
        <x:v>0</x:v>
      </x:c>
      <x:c r="J96" s="8" t="n">
        <x:v>0</x:v>
      </x:c>
      <x:c r="K96" s="8" t="n">
        <x:f>H96-I96*J96</x:f>
        <x:v>5.103550295857988</x:v>
      </x:c>
      <x:c r="L96" s="8" t="n">
        <x:f>'PG facts'!D97</x:f>
        <x:v>3</x:v>
      </x:c>
      <x:c r="M96" s="8" t="n">
        <x:f>K96-L96</x:f>
        <x:v>2.103550295857988</x:v>
      </x:c>
      <x:c r="N96" s="8" t="n">
        <x:f>M96^2</x:f>
        <x:v>4.424923847204229</x:v>
      </x:c>
      <x:c r="O96" s="8" t="n">
        <x:f>ABS(M96)</x:f>
        <x:v>2.103550295857988</x:v>
      </x:c>
      <x:c r="P96" s="7" t="n">
        <x:v>45503</x:v>
      </x:c>
    </x:row>
    <x:row r="97" ht="26" customHeight="1">
      <x:c r="A97" s="2"/>
      <x:c r="B97" s="2" t="n">
        <x:v>92</x:v>
      </x:c>
      <x:c r="C97" s="2" t="str">
        <x:v>Beauty / price_contribution</x:v>
      </x:c>
      <x:c r="D97" s="7" t="n">
        <x:v>45473</x:v>
      </x:c>
      <x:c r="E97" s="2" t="str">
        <x:v>Origin</x:v>
      </x:c>
      <x:c r="F97" s="7" t="n">
        <x:v>45383</x:v>
      </x:c>
      <x:c r="G97" s="2" t="str">
        <x:v>Product price</x:v>
      </x:c>
      <x:c r="H97" s="8" t="n">
        <x:f>'Model fits'!AA71</x:f>
        <x:v>4.638835419015717</x:v>
      </x:c>
      <x:c r="I97" s="8" t="n">
        <x:f>0</x:f>
        <x:v>0</x:v>
      </x:c>
      <x:c r="J97" s="8" t="n">
        <x:v>0</x:v>
      </x:c>
      <x:c r="K97" s="8" t="n">
        <x:f>H97-I97*J97</x:f>
        <x:v>4.638835419015717</x:v>
      </x:c>
      <x:c r="L97" s="8" t="n">
        <x:f>'PG facts'!D97</x:f>
        <x:v>3</x:v>
      </x:c>
      <x:c r="M97" s="8" t="n">
        <x:f>K97-L97</x:f>
        <x:v>1.6388354190157166</x:v>
      </x:c>
      <x:c r="N97" s="8" t="n">
        <x:f>M97^2</x:f>
        <x:v>2.6857815306204196</x:v>
      </x:c>
      <x:c r="O97" s="8" t="n">
        <x:f>ABS(M97)</x:f>
        <x:v>1.6388354190157166</x:v>
      </x:c>
      <x:c r="P97" s="7" t="n">
        <x:v>45503</x:v>
      </x:c>
    </x:row>
    <x:row r="98" ht="26" customHeight="1">
      <x:c r="A98" s="2"/>
      <x:c r="B98" s="2" t="n">
        <x:v>93</x:v>
      </x:c>
      <x:c r="C98" s="2" t="str">
        <x:v>Beauty / price_contribution</x:v>
      </x:c>
      <x:c r="D98" s="7" t="n">
        <x:v>45473</x:v>
      </x:c>
      <x:c r="E98" s="2" t="str">
        <x:v>Prior report</x:v>
      </x:c>
      <x:c r="F98" s="7" t="n">
        <x:v>45401</x:v>
      </x:c>
      <x:c r="G98" s="2" t="str">
        <x:v>Last actual</x:v>
      </x:c>
      <x:c r="H98" s="8" t="n">
        <x:f>AVERAGE('PG facts'!D90)</x:f>
        <x:v>4</x:v>
      </x:c>
      <x:c r="I98" s="8" t="n">
        <x:f>0</x:f>
        <x:v>0</x:v>
      </x:c>
      <x:c r="J98" s="8" t="n">
        <x:v>0</x:v>
      </x:c>
      <x:c r="K98" s="8" t="n">
        <x:f>H98-I98*J98</x:f>
        <x:v>4</x:v>
      </x:c>
      <x:c r="L98" s="8" t="n">
        <x:f>'PG facts'!D97</x:f>
        <x:v>3</x:v>
      </x:c>
      <x:c r="M98" s="8" t="n">
        <x:f>K98-L98</x:f>
        <x:v>1</x:v>
      </x:c>
      <x:c r="N98" s="8" t="n">
        <x:f>M98^2</x:f>
        <x:v>1</x:v>
      </x:c>
      <x:c r="O98" s="8" t="n">
        <x:f>ABS(M98)</x:f>
        <x:v>1</x:v>
      </x:c>
      <x:c r="P98" s="7" t="n">
        <x:v>45503</x:v>
      </x:c>
    </x:row>
    <x:row r="99" ht="26" customHeight="1">
      <x:c r="A99" s="2"/>
      <x:c r="B99" s="2" t="n">
        <x:v>94</x:v>
      </x:c>
      <x:c r="C99" s="2" t="str">
        <x:v>Beauty / price_contribution</x:v>
      </x:c>
      <x:c r="D99" s="7" t="n">
        <x:v>45473</x:v>
      </x:c>
      <x:c r="E99" s="2" t="str">
        <x:v>Prior report</x:v>
      </x:c>
      <x:c r="F99" s="7" t="n">
        <x:v>45401</x:v>
      </x:c>
      <x:c r="G99" s="2" t="str">
        <x:v>Four-quarter mean</x:v>
      </x:c>
      <x:c r="H99" s="8" t="n">
        <x:f>AVERAGE('PG facts'!D69,'PG facts'!D76,'PG facts'!D83,'PG facts'!D90)</x:f>
        <x:v>5.75</x:v>
      </x:c>
      <x:c r="I99" s="8" t="n">
        <x:f>0</x:f>
        <x:v>0</x:v>
      </x:c>
      <x:c r="J99" s="8" t="n">
        <x:v>0</x:v>
      </x:c>
      <x:c r="K99" s="8" t="n">
        <x:f>H99-I99*J99</x:f>
        <x:v>5.75</x:v>
      </x:c>
      <x:c r="L99" s="8" t="n">
        <x:f>'PG facts'!D97</x:f>
        <x:v>3</x:v>
      </x:c>
      <x:c r="M99" s="8" t="n">
        <x:f>K99-L99</x:f>
        <x:v>2.75</x:v>
      </x:c>
      <x:c r="N99" s="8" t="n">
        <x:f>M99^2</x:f>
        <x:v>7.5625</x:v>
      </x:c>
      <x:c r="O99" s="8" t="n">
        <x:f>ABS(M99)</x:f>
        <x:v>2.75</x:v>
      </x:c>
      <x:c r="P99" s="7" t="n">
        <x:v>45503</x:v>
      </x:c>
    </x:row>
    <x:row r="100" ht="26" customHeight="1">
      <x:c r="A100" s="2"/>
      <x:c r="B100" s="2" t="n">
        <x:v>95</x:v>
      </x:c>
      <x:c r="C100" s="2" t="str">
        <x:v>Beauty / price_contribution</x:v>
      </x:c>
      <x:c r="D100" s="7" t="n">
        <x:v>45473</x:v>
      </x:c>
      <x:c r="E100" s="2" t="str">
        <x:v>Prior report</x:v>
      </x:c>
      <x:c r="F100" s="7" t="n">
        <x:v>45401</x:v>
      </x:c>
      <x:c r="G100" s="2" t="str">
        <x:v>Broad market</x:v>
      </x:c>
      <x:c r="H100" s="8" t="n">
        <x:f>'Model fits'!AA72</x:f>
        <x:v>5.384047636285008</x:v>
      </x:c>
      <x:c r="I100" s="8" t="n">
        <x:f>0</x:f>
        <x:v>0</x:v>
      </x:c>
      <x:c r="J100" s="8" t="n">
        <x:v>0</x:v>
      </x:c>
      <x:c r="K100" s="8" t="n">
        <x:f>H100-I100*J100</x:f>
        <x:v>5.384047636285008</x:v>
      </x:c>
      <x:c r="L100" s="8" t="n">
        <x:f>'PG facts'!D97</x:f>
        <x:v>3</x:v>
      </x:c>
      <x:c r="M100" s="8" t="n">
        <x:f>K100-L100</x:f>
        <x:v>2.3840476362850076</x:v>
      </x:c>
      <x:c r="N100" s="8" t="n">
        <x:f>M100^2</x:f>
        <x:v>5.683683132076132</x:v>
      </x:c>
      <x:c r="O100" s="8" t="n">
        <x:f>ABS(M100)</x:f>
        <x:v>2.3840476362850076</x:v>
      </x:c>
      <x:c r="P100" s="7" t="n">
        <x:v>45503</x:v>
      </x:c>
    </x:row>
    <x:row r="101" ht="26" customHeight="1">
      <x:c r="A101" s="2"/>
      <x:c r="B101" s="2" t="n">
        <x:v>96</x:v>
      </x:c>
      <x:c r="C101" s="2" t="str">
        <x:v>Beauty / price_contribution</x:v>
      </x:c>
      <x:c r="D101" s="7" t="n">
        <x:v>45473</x:v>
      </x:c>
      <x:c r="E101" s="2" t="str">
        <x:v>Prior report</x:v>
      </x:c>
      <x:c r="F101" s="7" t="n">
        <x:v>45401</x:v>
      </x:c>
      <x:c r="G101" s="2" t="str">
        <x:v>Broad lag 1</x:v>
      </x:c>
      <x:c r="H101" s="8" t="n">
        <x:f>'Model fits'!AA73</x:f>
        <x:v>5.603953901395222</x:v>
      </x:c>
      <x:c r="I101" s="8" t="n">
        <x:f>0</x:f>
        <x:v>0</x:v>
      </x:c>
      <x:c r="J101" s="8" t="n">
        <x:v>0</x:v>
      </x:c>
      <x:c r="K101" s="8" t="n">
        <x:f>H101-I101*J101</x:f>
        <x:v>5.603953901395222</x:v>
      </x:c>
      <x:c r="L101" s="8" t="n">
        <x:f>'PG facts'!D97</x:f>
        <x:v>3</x:v>
      </x:c>
      <x:c r="M101" s="8" t="n">
        <x:f>K101-L101</x:f>
        <x:v>2.603953901395222</x:v>
      </x:c>
      <x:c r="N101" s="8" t="n">
        <x:f>M101^2</x:f>
        <x:v>6.7805759205913985</x:v>
      </x:c>
      <x:c r="O101" s="8" t="n">
        <x:f>ABS(M101)</x:f>
        <x:v>2.603953901395222</x:v>
      </x:c>
      <x:c r="P101" s="7" t="n">
        <x:v>45503</x:v>
      </x:c>
    </x:row>
    <x:row r="102" ht="26" customHeight="1">
      <x:c r="A102" s="2"/>
      <x:c r="B102" s="2" t="n">
        <x:v>97</x:v>
      </x:c>
      <x:c r="C102" s="2" t="str">
        <x:v>Beauty / price_contribution</x:v>
      </x:c>
      <x:c r="D102" s="7" t="n">
        <x:v>45473</x:v>
      </x:c>
      <x:c r="E102" s="2" t="str">
        <x:v>Prior report</x:v>
      </x:c>
      <x:c r="F102" s="7" t="n">
        <x:v>45401</x:v>
      </x:c>
      <x:c r="G102" s="2" t="str">
        <x:v>Broad rolling 8</x:v>
      </x:c>
      <x:c r="H102" s="8" t="n">
        <x:f>'Model fits'!AA74</x:f>
        <x:v>4.948363101274916</x:v>
      </x:c>
      <x:c r="I102" s="8" t="n">
        <x:f>0</x:f>
        <x:v>0</x:v>
      </x:c>
      <x:c r="J102" s="8" t="n">
        <x:v>0</x:v>
      </x:c>
      <x:c r="K102" s="8" t="n">
        <x:f>H102-I102*J102</x:f>
        <x:v>4.948363101274916</x:v>
      </x:c>
      <x:c r="L102" s="8" t="n">
        <x:f>'PG facts'!D97</x:f>
        <x:v>3</x:v>
      </x:c>
      <x:c r="M102" s="8" t="n">
        <x:f>K102-L102</x:f>
        <x:v>1.948363101274916</x:v>
      </x:c>
      <x:c r="N102" s="8" t="n">
        <x:f>M102^2</x:f>
        <x:v>3.7961187744096088</x:v>
      </x:c>
      <x:c r="O102" s="8" t="n">
        <x:f>ABS(M102)</x:f>
        <x:v>1.948363101274916</x:v>
      </x:c>
      <x:c r="P102" s="7" t="n">
        <x:v>45503</x:v>
      </x:c>
    </x:row>
    <x:row r="103" ht="26" customHeight="1">
      <x:c r="A103" s="2"/>
      <x:c r="B103" s="2" t="n">
        <x:v>98</x:v>
      </x:c>
      <x:c r="C103" s="2" t="str">
        <x:v>Beauty / price_contribution</x:v>
      </x:c>
      <x:c r="D103" s="7" t="n">
        <x:v>45473</x:v>
      </x:c>
      <x:c r="E103" s="2" t="str">
        <x:v>Prior report</x:v>
      </x:c>
      <x:c r="F103" s="7" t="n">
        <x:v>45401</x:v>
      </x:c>
      <x:c r="G103" s="2" t="str">
        <x:v>Own history</x:v>
      </x:c>
      <x:c r="H103" s="8" t="n">
        <x:f>'Model fits'!AA75</x:f>
        <x:v>4.521337946943484</x:v>
      </x:c>
      <x:c r="I103" s="8" t="n">
        <x:f>0</x:f>
        <x:v>0</x:v>
      </x:c>
      <x:c r="J103" s="8" t="n">
        <x:v>0</x:v>
      </x:c>
      <x:c r="K103" s="8" t="n">
        <x:f>H103-I103*J103</x:f>
        <x:v>4.521337946943484</x:v>
      </x:c>
      <x:c r="L103" s="8" t="n">
        <x:f>'PG facts'!D97</x:f>
        <x:v>3</x:v>
      </x:c>
      <x:c r="M103" s="8" t="n">
        <x:f>K103-L103</x:f>
        <x:v>1.5213379469434836</x:v>
      </x:c>
      <x:c r="N103" s="8" t="n">
        <x:f>M103^2</x:f>
        <x:v>2.314469148810214</x:v>
      </x:c>
      <x:c r="O103" s="8" t="n">
        <x:f>ABS(M103)</x:f>
        <x:v>1.5213379469434836</x:v>
      </x:c>
      <x:c r="P103" s="7" t="n">
        <x:v>45503</x:v>
      </x:c>
    </x:row>
    <x:row r="104" ht="26" customHeight="1">
      <x:c r="A104" s="2"/>
      <x:c r="B104" s="2" t="n">
        <x:v>99</x:v>
      </x:c>
      <x:c r="C104" s="2" t="str">
        <x:v>Beauty / price_contribution</x:v>
      </x:c>
      <x:c r="D104" s="7" t="n">
        <x:v>45473</x:v>
      </x:c>
      <x:c r="E104" s="2" t="str">
        <x:v>Prior report</x:v>
      </x:c>
      <x:c r="F104" s="7" t="n">
        <x:v>45401</x:v>
      </x:c>
      <x:c r="G104" s="2" t="str">
        <x:v>Product price</x:v>
      </x:c>
      <x:c r="H104" s="8" t="n">
        <x:f>'Model fits'!AA76</x:f>
        <x:v>4.757941920442612</x:v>
      </x:c>
      <x:c r="I104" s="8" t="n">
        <x:f>0</x:f>
        <x:v>0</x:v>
      </x:c>
      <x:c r="J104" s="8" t="n">
        <x:v>0</x:v>
      </x:c>
      <x:c r="K104" s="8" t="n">
        <x:f>H104-I104*J104</x:f>
        <x:v>4.757941920442612</x:v>
      </x:c>
      <x:c r="L104" s="8" t="n">
        <x:f>'PG facts'!D97</x:f>
        <x:v>3</x:v>
      </x:c>
      <x:c r="M104" s="8" t="n">
        <x:f>K104-L104</x:f>
        <x:v>1.7579419204426117</x:v>
      </x:c>
      <x:c r="N104" s="8" t="n">
        <x:f>M104^2</x:f>
        <x:v>3.0903597956494577</x:v>
      </x:c>
      <x:c r="O104" s="8" t="n">
        <x:f>ABS(M104)</x:f>
        <x:v>1.7579419204426117</x:v>
      </x:c>
      <x:c r="P104" s="7" t="n">
        <x:v>45503</x:v>
      </x:c>
    </x:row>
    <x:row r="105" ht="26" customHeight="1">
      <x:c r="A105" s="2"/>
      <x:c r="B105" s="2" t="n">
        <x:v>100</x:v>
      </x:c>
      <x:c r="C105" s="2" t="str">
        <x:v>Beauty / price_contribution</x:v>
      </x:c>
      <x:c r="D105" s="7" t="n">
        <x:v>45473</x:v>
      </x:c>
      <x:c r="E105" s="2" t="str">
        <x:v>Prior report</x:v>
      </x:c>
      <x:c r="F105" s="7" t="n">
        <x:v>45401</x:v>
      </x:c>
      <x:c r="G105" s="2" t="str">
        <x:v>Product lag 1</x:v>
      </x:c>
      <x:c r="H105" s="8" t="n">
        <x:f>'Model fits'!AA77</x:f>
        <x:v>5.117683571792623</x:v>
      </x:c>
      <x:c r="I105" s="8" t="n">
        <x:f>0</x:f>
        <x:v>0</x:v>
      </x:c>
      <x:c r="J105" s="8" t="n">
        <x:v>0</x:v>
      </x:c>
      <x:c r="K105" s="8" t="n">
        <x:f>H105-I105*J105</x:f>
        <x:v>5.117683571792623</x:v>
      </x:c>
      <x:c r="L105" s="8" t="n">
        <x:f>'PG facts'!D97</x:f>
        <x:v>3</x:v>
      </x:c>
      <x:c r="M105" s="8" t="n">
        <x:f>K105-L105</x:f>
        <x:v>2.1176835717926226</x:v>
      </x:c>
      <x:c r="N105" s="8" t="n">
        <x:f>M105^2</x:f>
        <x:v>4.48458371024036</x:v>
      </x:c>
      <x:c r="O105" s="8" t="n">
        <x:f>ABS(M105)</x:f>
        <x:v>2.1176835717926226</x:v>
      </x:c>
      <x:c r="P105" s="7" t="n">
        <x:v>45503</x:v>
      </x:c>
    </x:row>
    <x:row r="106" ht="26" customHeight="1">
      <x:c r="A106" s="2"/>
      <x:c r="B106" s="2" t="n">
        <x:v>101</x:v>
      </x:c>
      <x:c r="C106" s="2" t="str">
        <x:v>Beauty / price_contribution</x:v>
      </x:c>
      <x:c r="D106" s="7" t="n">
        <x:v>45473</x:v>
      </x:c>
      <x:c r="E106" s="2" t="str">
        <x:v>Prior report</x:v>
      </x:c>
      <x:c r="F106" s="7" t="n">
        <x:v>45401</x:v>
      </x:c>
      <x:c r="G106" s="2" t="str">
        <x:v>Own + product</x:v>
      </x:c>
      <x:c r="H106" s="8" t="n">
        <x:f>'Model fits'!AA78</x:f>
        <x:v>5.1267173942737845</x:v>
      </x:c>
      <x:c r="I106" s="8" t="n">
        <x:f>0</x:f>
        <x:v>0</x:v>
      </x:c>
      <x:c r="J106" s="8" t="n">
        <x:v>0</x:v>
      </x:c>
      <x:c r="K106" s="8" t="n">
        <x:f>H106-I106*J106</x:f>
        <x:v>5.1267173942737845</x:v>
      </x:c>
      <x:c r="L106" s="8" t="n">
        <x:f>'PG facts'!D97</x:f>
        <x:v>3</x:v>
      </x:c>
      <x:c r="M106" s="8" t="n">
        <x:f>K106-L106</x:f>
        <x:v>2.1267173942737845</x:v>
      </x:c>
      <x:c r="N106" s="8" t="n">
        <x:f>M106^2</x:f>
        <x:v>4.522926875106676</x:v>
      </x:c>
      <x:c r="O106" s="8" t="n">
        <x:f>ABS(M106)</x:f>
        <x:v>2.1267173942737845</x:v>
      </x:c>
      <x:c r="P106" s="7" t="n">
        <x:v>45503</x:v>
      </x:c>
    </x:row>
    <x:row r="107" ht="26" customHeight="1">
      <x:c r="A107" s="2"/>
      <x:c r="B107" s="2" t="n">
        <x:v>102</x:v>
      </x:c>
      <x:c r="C107" s="2" t="str">
        <x:v>Beauty / price_contribution</x:v>
      </x:c>
      <x:c r="D107" s="7" t="n">
        <x:v>45473</x:v>
      </x:c>
      <x:c r="E107" s="2" t="str">
        <x:v>Pre-earnings</x:v>
      </x:c>
      <x:c r="F107" s="7" t="n">
        <x:v>45502</x:v>
      </x:c>
      <x:c r="G107" s="2" t="str">
        <x:v>Last actual</x:v>
      </x:c>
      <x:c r="H107" s="8" t="n">
        <x:f>AVERAGE('PG facts'!D90)</x:f>
        <x:v>4</x:v>
      </x:c>
      <x:c r="I107" s="8" t="n">
        <x:f>0</x:f>
        <x:v>0</x:v>
      </x:c>
      <x:c r="J107" s="8" t="n">
        <x:v>0</x:v>
      </x:c>
      <x:c r="K107" s="8" t="n">
        <x:f>H107-I107*J107</x:f>
        <x:v>4</x:v>
      </x:c>
      <x:c r="L107" s="8" t="n">
        <x:f>'PG facts'!D97</x:f>
        <x:v>3</x:v>
      </x:c>
      <x:c r="M107" s="8" t="n">
        <x:f>K107-L107</x:f>
        <x:v>1</x:v>
      </x:c>
      <x:c r="N107" s="8" t="n">
        <x:f>M107^2</x:f>
        <x:v>1</x:v>
      </x:c>
      <x:c r="O107" s="8" t="n">
        <x:f>ABS(M107)</x:f>
        <x:v>1</x:v>
      </x:c>
      <x:c r="P107" s="7" t="n">
        <x:v>45503</x:v>
      </x:c>
    </x:row>
    <x:row r="108" ht="26" customHeight="1">
      <x:c r="A108" s="2"/>
      <x:c r="B108" s="2" t="n">
        <x:v>103</x:v>
      </x:c>
      <x:c r="C108" s="2" t="str">
        <x:v>Beauty / price_contribution</x:v>
      </x:c>
      <x:c r="D108" s="7" t="n">
        <x:v>45473</x:v>
      </x:c>
      <x:c r="E108" s="2" t="str">
        <x:v>Pre-earnings</x:v>
      </x:c>
      <x:c r="F108" s="7" t="n">
        <x:v>45502</x:v>
      </x:c>
      <x:c r="G108" s="2" t="str">
        <x:v>Four-quarter mean</x:v>
      </x:c>
      <x:c r="H108" s="8" t="n">
        <x:f>AVERAGE('PG facts'!D69,'PG facts'!D76,'PG facts'!D83,'PG facts'!D90)</x:f>
        <x:v>5.75</x:v>
      </x:c>
      <x:c r="I108" s="8" t="n">
        <x:f>0</x:f>
        <x:v>0</x:v>
      </x:c>
      <x:c r="J108" s="8" t="n">
        <x:v>0</x:v>
      </x:c>
      <x:c r="K108" s="8" t="n">
        <x:f>H108-I108*J108</x:f>
        <x:v>5.75</x:v>
      </x:c>
      <x:c r="L108" s="8" t="n">
        <x:f>'PG facts'!D97</x:f>
        <x:v>3</x:v>
      </x:c>
      <x:c r="M108" s="8" t="n">
        <x:f>K108-L108</x:f>
        <x:v>2.75</x:v>
      </x:c>
      <x:c r="N108" s="8" t="n">
        <x:f>M108^2</x:f>
        <x:v>7.5625</x:v>
      </x:c>
      <x:c r="O108" s="8" t="n">
        <x:f>ABS(M108)</x:f>
        <x:v>2.75</x:v>
      </x:c>
      <x:c r="P108" s="7" t="n">
        <x:v>45503</x:v>
      </x:c>
    </x:row>
    <x:row r="109" ht="26" customHeight="1">
      <x:c r="A109" s="2"/>
      <x:c r="B109" s="2" t="n">
        <x:v>104</x:v>
      </x:c>
      <x:c r="C109" s="2" t="str">
        <x:v>Beauty / price_contribution</x:v>
      </x:c>
      <x:c r="D109" s="7" t="n">
        <x:v>45473</x:v>
      </x:c>
      <x:c r="E109" s="2" t="str">
        <x:v>Pre-earnings</x:v>
      </x:c>
      <x:c r="F109" s="7" t="n">
        <x:v>45502</x:v>
      </x:c>
      <x:c r="G109" s="2" t="str">
        <x:v>Broad market</x:v>
      </x:c>
      <x:c r="H109" s="8" t="n">
        <x:f>'Model fits'!AA79</x:f>
        <x:v>3.879192084995789</x:v>
      </x:c>
      <x:c r="I109" s="8" t="n">
        <x:f>0</x:f>
        <x:v>0</x:v>
      </x:c>
      <x:c r="J109" s="8" t="n">
        <x:v>0</x:v>
      </x:c>
      <x:c r="K109" s="8" t="n">
        <x:f>H109-I109*J109</x:f>
        <x:v>3.879192084995789</x:v>
      </x:c>
      <x:c r="L109" s="8" t="n">
        <x:f>'PG facts'!D97</x:f>
        <x:v>3</x:v>
      </x:c>
      <x:c r="M109" s="8" t="n">
        <x:f>K109-L109</x:f>
        <x:v>0.8791920849957888</x:v>
      </x:c>
      <x:c r="N109" s="8" t="n">
        <x:f>M109^2</x:f>
        <x:v>0.7729787223192424</x:v>
      </x:c>
      <x:c r="O109" s="8" t="n">
        <x:f>ABS(M109)</x:f>
        <x:v>0.8791920849957888</x:v>
      </x:c>
      <x:c r="P109" s="7" t="n">
        <x:v>45503</x:v>
      </x:c>
    </x:row>
    <x:row r="110" ht="26" customHeight="1">
      <x:c r="A110" s="2"/>
      <x:c r="B110" s="2" t="n">
        <x:v>105</x:v>
      </x:c>
      <x:c r="C110" s="2" t="str">
        <x:v>Beauty / price_contribution</x:v>
      </x:c>
      <x:c r="D110" s="7" t="n">
        <x:v>45473</x:v>
      </x:c>
      <x:c r="E110" s="2" t="str">
        <x:v>Pre-earnings</x:v>
      </x:c>
      <x:c r="F110" s="7" t="n">
        <x:v>45502</x:v>
      </x:c>
      <x:c r="G110" s="2" t="str">
        <x:v>Broad lag 1</x:v>
      </x:c>
      <x:c r="H110" s="8" t="n">
        <x:f>'Model fits'!AA80</x:f>
        <x:v>5.603953901395222</x:v>
      </x:c>
      <x:c r="I110" s="8" t="n">
        <x:f>0</x:f>
        <x:v>0</x:v>
      </x:c>
      <x:c r="J110" s="8" t="n">
        <x:v>0</x:v>
      </x:c>
      <x:c r="K110" s="8" t="n">
        <x:f>H110-I110*J110</x:f>
        <x:v>5.603953901395222</x:v>
      </x:c>
      <x:c r="L110" s="8" t="n">
        <x:f>'PG facts'!D97</x:f>
        <x:v>3</x:v>
      </x:c>
      <x:c r="M110" s="8" t="n">
        <x:f>K110-L110</x:f>
        <x:v>2.603953901395222</x:v>
      </x:c>
      <x:c r="N110" s="8" t="n">
        <x:f>M110^2</x:f>
        <x:v>6.7805759205913985</x:v>
      </x:c>
      <x:c r="O110" s="8" t="n">
        <x:f>ABS(M110)</x:f>
        <x:v>2.603953901395222</x:v>
      </x:c>
      <x:c r="P110" s="7" t="n">
        <x:v>45503</x:v>
      </x:c>
    </x:row>
    <x:row r="111" ht="26" customHeight="1">
      <x:c r="A111" s="2"/>
      <x:c r="B111" s="2" t="n">
        <x:v>106</x:v>
      </x:c>
      <x:c r="C111" s="2" t="str">
        <x:v>Beauty / price_contribution</x:v>
      </x:c>
      <x:c r="D111" s="7" t="n">
        <x:v>45473</x:v>
      </x:c>
      <x:c r="E111" s="2" t="str">
        <x:v>Pre-earnings</x:v>
      </x:c>
      <x:c r="F111" s="7" t="n">
        <x:v>45502</x:v>
      </x:c>
      <x:c r="G111" s="2" t="str">
        <x:v>Broad rolling 8</x:v>
      </x:c>
      <x:c r="H111" s="8" t="n">
        <x:f>'Model fits'!AA81</x:f>
        <x:v>3.0616477659733037</x:v>
      </x:c>
      <x:c r="I111" s="8" t="n">
        <x:f>0</x:f>
        <x:v>0</x:v>
      </x:c>
      <x:c r="J111" s="8" t="n">
        <x:v>0</x:v>
      </x:c>
      <x:c r="K111" s="8" t="n">
        <x:f>H111-I111*J111</x:f>
        <x:v>3.0616477659733037</x:v>
      </x:c>
      <x:c r="L111" s="8" t="n">
        <x:f>'PG facts'!D97</x:f>
        <x:v>3</x:v>
      </x:c>
      <x:c r="M111" s="8" t="n">
        <x:f>K111-L111</x:f>
        <x:v>0.06164776597330368</x:v>
      </x:c>
      <x:c r="N111" s="8" t="n">
        <x:f>M111^2</x:f>
        <x:v>0.003800447049499219</x:v>
      </x:c>
      <x:c r="O111" s="8" t="n">
        <x:f>ABS(M111)</x:f>
        <x:v>0.06164776597330368</x:v>
      </x:c>
      <x:c r="P111" s="7" t="n">
        <x:v>45503</x:v>
      </x:c>
    </x:row>
    <x:row r="112" ht="26" customHeight="1">
      <x:c r="A112" s="2"/>
      <x:c r="B112" s="2" t="n">
        <x:v>107</x:v>
      </x:c>
      <x:c r="C112" s="2" t="str">
        <x:v>Beauty / price_contribution</x:v>
      </x:c>
      <x:c r="D112" s="7" t="n">
        <x:v>45473</x:v>
      </x:c>
      <x:c r="E112" s="2" t="str">
        <x:v>Pre-earnings</x:v>
      </x:c>
      <x:c r="F112" s="7" t="n">
        <x:v>45502</x:v>
      </x:c>
      <x:c r="G112" s="2" t="str">
        <x:v>Own history</x:v>
      </x:c>
      <x:c r="H112" s="8" t="n">
        <x:f>'Model fits'!AA82</x:f>
        <x:v>4.521337946943484</x:v>
      </x:c>
      <x:c r="I112" s="8" t="n">
        <x:f>0</x:f>
        <x:v>0</x:v>
      </x:c>
      <x:c r="J112" s="8" t="n">
        <x:v>0</x:v>
      </x:c>
      <x:c r="K112" s="8" t="n">
        <x:f>H112-I112*J112</x:f>
        <x:v>4.521337946943484</x:v>
      </x:c>
      <x:c r="L112" s="8" t="n">
        <x:f>'PG facts'!D97</x:f>
        <x:v>3</x:v>
      </x:c>
      <x:c r="M112" s="8" t="n">
        <x:f>K112-L112</x:f>
        <x:v>1.5213379469434836</x:v>
      </x:c>
      <x:c r="N112" s="8" t="n">
        <x:f>M112^2</x:f>
        <x:v>2.314469148810214</x:v>
      </x:c>
      <x:c r="O112" s="8" t="n">
        <x:f>ABS(M112)</x:f>
        <x:v>1.5213379469434836</x:v>
      </x:c>
      <x:c r="P112" s="7" t="n">
        <x:v>45503</x:v>
      </x:c>
    </x:row>
    <x:row r="113" ht="26" customHeight="1">
      <x:c r="A113" s="2"/>
      <x:c r="B113" s="2" t="n">
        <x:v>108</x:v>
      </x:c>
      <x:c r="C113" s="2" t="str">
        <x:v>Beauty / price_contribution</x:v>
      </x:c>
      <x:c r="D113" s="7" t="n">
        <x:v>45473</x:v>
      </x:c>
      <x:c r="E113" s="2" t="str">
        <x:v>Pre-earnings</x:v>
      </x:c>
      <x:c r="F113" s="7" t="n">
        <x:v>45502</x:v>
      </x:c>
      <x:c r="G113" s="2" t="str">
        <x:v>Product price</x:v>
      </x:c>
      <x:c r="H113" s="8" t="n">
        <x:f>'Model fits'!AA83</x:f>
        <x:v>3.8417971867908474</x:v>
      </x:c>
      <x:c r="I113" s="8" t="n">
        <x:f>0</x:f>
        <x:v>0</x:v>
      </x:c>
      <x:c r="J113" s="8" t="n">
        <x:v>0</x:v>
      </x:c>
      <x:c r="K113" s="8" t="n">
        <x:f>H113-I113*J113</x:f>
        <x:v>3.8417971867908474</x:v>
      </x:c>
      <x:c r="L113" s="8" t="n">
        <x:f>'PG facts'!D97</x:f>
        <x:v>3</x:v>
      </x:c>
      <x:c r="M113" s="8" t="n">
        <x:f>K113-L113</x:f>
        <x:v>0.8417971867908474</x:v>
      </x:c>
      <x:c r="N113" s="8" t="n">
        <x:f>M113^2</x:f>
        <x:v>0.7086225036889847</x:v>
      </x:c>
      <x:c r="O113" s="8" t="n">
        <x:f>ABS(M113)</x:f>
        <x:v>0.8417971867908474</x:v>
      </x:c>
      <x:c r="P113" s="7" t="n">
        <x:v>45503</x:v>
      </x:c>
    </x:row>
    <x:row r="114" ht="26" customHeight="1">
      <x:c r="A114" s="2"/>
      <x:c r="B114" s="2" t="n">
        <x:v>109</x:v>
      </x:c>
      <x:c r="C114" s="2" t="str">
        <x:v>Beauty / price_contribution</x:v>
      </x:c>
      <x:c r="D114" s="7" t="n">
        <x:v>45473</x:v>
      </x:c>
      <x:c r="E114" s="2" t="str">
        <x:v>Pre-earnings</x:v>
      </x:c>
      <x:c r="F114" s="7" t="n">
        <x:v>45502</x:v>
      </x:c>
      <x:c r="G114" s="2" t="str">
        <x:v>Product lag 1</x:v>
      </x:c>
      <x:c r="H114" s="8" t="n">
        <x:f>'Model fits'!AA84</x:f>
        <x:v>5.117683571792623</x:v>
      </x:c>
      <x:c r="I114" s="8" t="n">
        <x:f>0</x:f>
        <x:v>0</x:v>
      </x:c>
      <x:c r="J114" s="8" t="n">
        <x:v>0</x:v>
      </x:c>
      <x:c r="K114" s="8" t="n">
        <x:f>H114-I114*J114</x:f>
        <x:v>5.117683571792623</x:v>
      </x:c>
      <x:c r="L114" s="8" t="n">
        <x:f>'PG facts'!D97</x:f>
        <x:v>3</x:v>
      </x:c>
      <x:c r="M114" s="8" t="n">
        <x:f>K114-L114</x:f>
        <x:v>2.1176835717926226</x:v>
      </x:c>
      <x:c r="N114" s="8" t="n">
        <x:f>M114^2</x:f>
        <x:v>4.48458371024036</x:v>
      </x:c>
      <x:c r="O114" s="8" t="n">
        <x:f>ABS(M114)</x:f>
        <x:v>2.1176835717926226</x:v>
      </x:c>
      <x:c r="P114" s="7" t="n">
        <x:v>45503</x:v>
      </x:c>
    </x:row>
    <x:row r="115" ht="26" customHeight="1">
      <x:c r="A115" s="2"/>
      <x:c r="B115" s="2" t="n">
        <x:v>110</x:v>
      </x:c>
      <x:c r="C115" s="2" t="str">
        <x:v>Beauty / price_contribution</x:v>
      </x:c>
      <x:c r="D115" s="7" t="n">
        <x:v>45473</x:v>
      </x:c>
      <x:c r="E115" s="2" t="str">
        <x:v>Pre-earnings</x:v>
      </x:c>
      <x:c r="F115" s="7" t="n">
        <x:v>45502</x:v>
      </x:c>
      <x:c r="G115" s="2" t="str">
        <x:v>Own + product</x:v>
      </x:c>
      <x:c r="H115" s="8" t="n">
        <x:f>'Model fits'!AA85</x:f>
        <x:v>3.860620664118805</x:v>
      </x:c>
      <x:c r="I115" s="8" t="n">
        <x:f>0</x:f>
        <x:v>0</x:v>
      </x:c>
      <x:c r="J115" s="8" t="n">
        <x:v>0</x:v>
      </x:c>
      <x:c r="K115" s="8" t="n">
        <x:f>H115-I115*J115</x:f>
        <x:v>3.860620664118805</x:v>
      </x:c>
      <x:c r="L115" s="8" t="n">
        <x:f>'PG facts'!D97</x:f>
        <x:v>3</x:v>
      </x:c>
      <x:c r="M115" s="8" t="n">
        <x:f>K115-L115</x:f>
        <x:v>0.8606206641188048</x:v>
      </x:c>
      <x:c r="N115" s="8" t="n">
        <x:f>M115^2</x:f>
        <x:v>0.7406679275082926</x:v>
      </x:c>
      <x:c r="O115" s="8" t="n">
        <x:f>ABS(M115)</x:f>
        <x:v>0.8606206641188048</x:v>
      </x:c>
      <x:c r="P115" s="7" t="n">
        <x:v>45503</x:v>
      </x:c>
    </x:row>
    <x:row r="116" ht="26" customHeight="1">
      <x:c r="A116" s="2"/>
      <x:c r="B116" s="2" t="n">
        <x:v>111</x:v>
      </x:c>
      <x:c r="C116" s="2" t="str">
        <x:v>Beauty / price_contribution</x:v>
      </x:c>
      <x:c r="D116" s="7" t="n">
        <x:v>45565</x:v>
      </x:c>
      <x:c r="E116" s="2" t="str">
        <x:v>Origin</x:v>
      </x:c>
      <x:c r="F116" s="7" t="n">
        <x:v>45474</x:v>
      </x:c>
      <x:c r="G116" s="2" t="str">
        <x:v>Last actual</x:v>
      </x:c>
      <x:c r="H116" s="8" t="n">
        <x:f>AVERAGE('PG facts'!D90)</x:f>
        <x:v>4</x:v>
      </x:c>
      <x:c r="I116" s="8" t="n">
        <x:f>0</x:f>
        <x:v>0</x:v>
      </x:c>
      <x:c r="J116" s="8" t="n">
        <x:v>0</x:v>
      </x:c>
      <x:c r="K116" s="8" t="n">
        <x:f>H116-I116*J116</x:f>
        <x:v>4</x:v>
      </x:c>
      <x:c r="L116" s="8" t="n">
        <x:f>'PG facts'!D104</x:f>
        <x:v>1</x:v>
      </x:c>
      <x:c r="M116" s="8" t="n">
        <x:f>K116-L116</x:f>
        <x:v>3</x:v>
      </x:c>
      <x:c r="N116" s="8" t="n">
        <x:f>M116^2</x:f>
        <x:v>9</x:v>
      </x:c>
      <x:c r="O116" s="8" t="n">
        <x:f>ABS(M116)</x:f>
        <x:v>3</x:v>
      </x:c>
      <x:c r="P116" s="7" t="n">
        <x:v>45583</x:v>
      </x:c>
    </x:row>
    <x:row r="117" ht="26" customHeight="1">
      <x:c r="A117" s="2"/>
      <x:c r="B117" s="2" t="n">
        <x:v>112</x:v>
      </x:c>
      <x:c r="C117" s="2" t="str">
        <x:v>Beauty / price_contribution</x:v>
      </x:c>
      <x:c r="D117" s="7" t="n">
        <x:v>45565</x:v>
      </x:c>
      <x:c r="E117" s="2" t="str">
        <x:v>Origin</x:v>
      </x:c>
      <x:c r="F117" s="7" t="n">
        <x:v>45474</x:v>
      </x:c>
      <x:c r="G117" s="2" t="str">
        <x:v>Four-quarter mean</x:v>
      </x:c>
      <x:c r="H117" s="8" t="n">
        <x:f>AVERAGE('PG facts'!D69,'PG facts'!D76,'PG facts'!D83,'PG facts'!D90)</x:f>
        <x:v>5.75</x:v>
      </x:c>
      <x:c r="I117" s="8" t="n">
        <x:f>0</x:f>
        <x:v>0</x:v>
      </x:c>
      <x:c r="J117" s="8" t="n">
        <x:v>0</x:v>
      </x:c>
      <x:c r="K117" s="8" t="n">
        <x:f>H117-I117*J117</x:f>
        <x:v>5.75</x:v>
      </x:c>
      <x:c r="L117" s="8" t="n">
        <x:f>'PG facts'!D104</x:f>
        <x:v>1</x:v>
      </x:c>
      <x:c r="M117" s="8" t="n">
        <x:f>K117-L117</x:f>
        <x:v>4.75</x:v>
      </x:c>
      <x:c r="N117" s="8" t="n">
        <x:f>M117^2</x:f>
        <x:v>22.5625</x:v>
      </x:c>
      <x:c r="O117" s="8" t="n">
        <x:f>ABS(M117)</x:f>
        <x:v>4.75</x:v>
      </x:c>
      <x:c r="P117" s="7" t="n">
        <x:v>45583</x:v>
      </x:c>
    </x:row>
    <x:row r="118" ht="26" customHeight="1">
      <x:c r="A118" s="2"/>
      <x:c r="B118" s="2" t="n">
        <x:v>113</x:v>
      </x:c>
      <x:c r="C118" s="2" t="str">
        <x:v>Beauty / price_contribution</x:v>
      </x:c>
      <x:c r="D118" s="7" t="n">
        <x:v>45565</x:v>
      </x:c>
      <x:c r="E118" s="2" t="str">
        <x:v>Origin</x:v>
      </x:c>
      <x:c r="F118" s="7" t="n">
        <x:v>45474</x:v>
      </x:c>
      <x:c r="G118" s="2" t="str">
        <x:v>Broad market</x:v>
      </x:c>
      <x:c r="H118" s="8" t="n">
        <x:f>'Model fits'!AA86</x:f>
        <x:v>4.478897573532703</x:v>
      </x:c>
      <x:c r="I118" s="8" t="n">
        <x:f>0</x:f>
        <x:v>0</x:v>
      </x:c>
      <x:c r="J118" s="8" t="n">
        <x:v>0</x:v>
      </x:c>
      <x:c r="K118" s="8" t="n">
        <x:f>H118-I118*J118</x:f>
        <x:v>4.478897573532703</x:v>
      </x:c>
      <x:c r="L118" s="8" t="n">
        <x:f>'PG facts'!D104</x:f>
        <x:v>1</x:v>
      </x:c>
      <x:c r="M118" s="8" t="n">
        <x:f>K118-L118</x:f>
        <x:v>3.478897573532703</x:v>
      </x:c>
      <x:c r="N118" s="8" t="n">
        <x:f>M118^2</x:f>
        <x:v>12.102728327131729</x:v>
      </x:c>
      <x:c r="O118" s="8" t="n">
        <x:f>ABS(M118)</x:f>
        <x:v>3.478897573532703</x:v>
      </x:c>
      <x:c r="P118" s="7" t="n">
        <x:v>45583</x:v>
      </x:c>
    </x:row>
    <x:row r="119" ht="26" customHeight="1">
      <x:c r="A119" s="2"/>
      <x:c r="B119" s="2" t="n">
        <x:v>114</x:v>
      </x:c>
      <x:c r="C119" s="2" t="str">
        <x:v>Beauty / price_contribution</x:v>
      </x:c>
      <x:c r="D119" s="7" t="n">
        <x:v>45565</x:v>
      </x:c>
      <x:c r="E119" s="2" t="str">
        <x:v>Origin</x:v>
      </x:c>
      <x:c r="F119" s="7" t="n">
        <x:v>45474</x:v>
      </x:c>
      <x:c r="G119" s="2" t="str">
        <x:v>Broad rolling 8</x:v>
      </x:c>
      <x:c r="H119" s="8" t="n">
        <x:f>'Model fits'!AA87</x:f>
        <x:v>3.813529593380459</x:v>
      </x:c>
      <x:c r="I119" s="8" t="n">
        <x:f>0</x:f>
        <x:v>0</x:v>
      </x:c>
      <x:c r="J119" s="8" t="n">
        <x:v>0</x:v>
      </x:c>
      <x:c r="K119" s="8" t="n">
        <x:f>H119-I119*J119</x:f>
        <x:v>3.813529593380459</x:v>
      </x:c>
      <x:c r="L119" s="8" t="n">
        <x:f>'PG facts'!D104</x:f>
        <x:v>1</x:v>
      </x:c>
      <x:c r="M119" s="8" t="n">
        <x:f>K119-L119</x:f>
        <x:v>2.813529593380459</x:v>
      </x:c>
      <x:c r="N119" s="8" t="n">
        <x:f>M119^2</x:f>
        <x:v>7.915948772827611</x:v>
      </x:c>
      <x:c r="O119" s="8" t="n">
        <x:f>ABS(M119)</x:f>
        <x:v>2.813529593380459</x:v>
      </x:c>
      <x:c r="P119" s="7" t="n">
        <x:v>45583</x:v>
      </x:c>
    </x:row>
    <x:row r="120" ht="26" customHeight="1">
      <x:c r="A120" s="2"/>
      <x:c r="B120" s="2" t="n">
        <x:v>115</x:v>
      </x:c>
      <x:c r="C120" s="2" t="str">
        <x:v>Beauty / price_contribution</x:v>
      </x:c>
      <x:c r="D120" s="7" t="n">
        <x:v>45565</x:v>
      </x:c>
      <x:c r="E120" s="2" t="str">
        <x:v>Origin</x:v>
      </x:c>
      <x:c r="F120" s="7" t="n">
        <x:v>45474</x:v>
      </x:c>
      <x:c r="G120" s="2" t="str">
        <x:v>Own history</x:v>
      </x:c>
      <x:c r="H120" s="8" t="n">
        <x:f>'Model fits'!AA88</x:f>
        <x:v>4.949742268041238</x:v>
      </x:c>
      <x:c r="I120" s="8" t="n">
        <x:f>0</x:f>
        <x:v>0</x:v>
      </x:c>
      <x:c r="J120" s="8" t="n">
        <x:v>0</x:v>
      </x:c>
      <x:c r="K120" s="8" t="n">
        <x:f>H120-I120*J120</x:f>
        <x:v>4.949742268041238</x:v>
      </x:c>
      <x:c r="L120" s="8" t="n">
        <x:f>'PG facts'!D104</x:f>
        <x:v>1</x:v>
      </x:c>
      <x:c r="M120" s="8" t="n">
        <x:f>K120-L120</x:f>
        <x:v>3.9497422680412377</x:v>
      </x:c>
      <x:c r="N120" s="8" t="n">
        <x:f>M120^2</x:f>
        <x:v>15.60046398395154</x:v>
      </x:c>
      <x:c r="O120" s="8" t="n">
        <x:f>ABS(M120)</x:f>
        <x:v>3.9497422680412377</x:v>
      </x:c>
      <x:c r="P120" s="7" t="n">
        <x:v>45583</x:v>
      </x:c>
    </x:row>
    <x:row r="121" ht="26" customHeight="1">
      <x:c r="A121" s="2"/>
      <x:c r="B121" s="2" t="n">
        <x:v>116</x:v>
      </x:c>
      <x:c r="C121" s="2" t="str">
        <x:v>Beauty / price_contribution</x:v>
      </x:c>
      <x:c r="D121" s="7" t="n">
        <x:v>45565</x:v>
      </x:c>
      <x:c r="E121" s="2" t="str">
        <x:v>Origin</x:v>
      </x:c>
      <x:c r="F121" s="7" t="n">
        <x:v>45474</x:v>
      </x:c>
      <x:c r="G121" s="2" t="str">
        <x:v>Product price</x:v>
      </x:c>
      <x:c r="H121" s="8" t="n">
        <x:f>'Model fits'!AA89</x:f>
        <x:v>4.330180078435015</x:v>
      </x:c>
      <x:c r="I121" s="8" t="n">
        <x:f>0</x:f>
        <x:v>0</x:v>
      </x:c>
      <x:c r="J121" s="8" t="n">
        <x:v>0</x:v>
      </x:c>
      <x:c r="K121" s="8" t="n">
        <x:f>H121-I121*J121</x:f>
        <x:v>4.330180078435015</x:v>
      </x:c>
      <x:c r="L121" s="8" t="n">
        <x:f>'PG facts'!D104</x:f>
        <x:v>1</x:v>
      </x:c>
      <x:c r="M121" s="8" t="n">
        <x:f>K121-L121</x:f>
        <x:v>3.3301800784350153</x:v>
      </x:c>
      <x:c r="N121" s="8" t="n">
        <x:f>M121^2</x:f>
        <x:v>11.090099354805444</x:v>
      </x:c>
      <x:c r="O121" s="8" t="n">
        <x:f>ABS(M121)</x:f>
        <x:v>3.3301800784350153</x:v>
      </x:c>
      <x:c r="P121" s="7" t="n">
        <x:v>45583</x:v>
      </x:c>
    </x:row>
    <x:row r="122" ht="26" customHeight="1">
      <x:c r="A122" s="2"/>
      <x:c r="B122" s="2" t="n">
        <x:v>117</x:v>
      </x:c>
      <x:c r="C122" s="2" t="str">
        <x:v>Beauty / price_contribution</x:v>
      </x:c>
      <x:c r="D122" s="7" t="n">
        <x:v>45565</x:v>
      </x:c>
      <x:c r="E122" s="2" t="str">
        <x:v>Prior report</x:v>
      </x:c>
      <x:c r="F122" s="7" t="n">
        <x:v>45503</x:v>
      </x:c>
      <x:c r="G122" s="2" t="str">
        <x:v>Last actual</x:v>
      </x:c>
      <x:c r="H122" s="8" t="n">
        <x:f>AVERAGE('PG facts'!D97)</x:f>
        <x:v>3</x:v>
      </x:c>
      <x:c r="I122" s="8" t="n">
        <x:f>0</x:f>
        <x:v>0</x:v>
      </x:c>
      <x:c r="J122" s="8" t="n">
        <x:v>0</x:v>
      </x:c>
      <x:c r="K122" s="8" t="n">
        <x:f>H122-I122*J122</x:f>
        <x:v>3</x:v>
      </x:c>
      <x:c r="L122" s="8" t="n">
        <x:f>'PG facts'!D104</x:f>
        <x:v>1</x:v>
      </x:c>
      <x:c r="M122" s="8" t="n">
        <x:f>K122-L122</x:f>
        <x:v>2</x:v>
      </x:c>
      <x:c r="N122" s="8" t="n">
        <x:f>M122^2</x:f>
        <x:v>4</x:v>
      </x:c>
      <x:c r="O122" s="8" t="n">
        <x:f>ABS(M122)</x:f>
        <x:v>2</x:v>
      </x:c>
      <x:c r="P122" s="7" t="n">
        <x:v>45583</x:v>
      </x:c>
    </x:row>
    <x:row r="123" ht="26" customHeight="1">
      <x:c r="A123" s="2"/>
      <x:c r="B123" s="2" t="n">
        <x:v>118</x:v>
      </x:c>
      <x:c r="C123" s="2" t="str">
        <x:v>Beauty / price_contribution</x:v>
      </x:c>
      <x:c r="D123" s="7" t="n">
        <x:v>45565</x:v>
      </x:c>
      <x:c r="E123" s="2" t="str">
        <x:v>Prior report</x:v>
      </x:c>
      <x:c r="F123" s="7" t="n">
        <x:v>45503</x:v>
      </x:c>
      <x:c r="G123" s="2" t="str">
        <x:v>Four-quarter mean</x:v>
      </x:c>
      <x:c r="H123" s="8" t="n">
        <x:f>AVERAGE('PG facts'!D76,'PG facts'!D83,'PG facts'!D90,'PG facts'!D97)</x:f>
        <x:v>4.5</x:v>
      </x:c>
      <x:c r="I123" s="8" t="n">
        <x:f>0</x:f>
        <x:v>0</x:v>
      </x:c>
      <x:c r="J123" s="8" t="n">
        <x:v>0</x:v>
      </x:c>
      <x:c r="K123" s="8" t="n">
        <x:f>H123-I123*J123</x:f>
        <x:v>4.5</x:v>
      </x:c>
      <x:c r="L123" s="8" t="n">
        <x:f>'PG facts'!D104</x:f>
        <x:v>1</x:v>
      </x:c>
      <x:c r="M123" s="8" t="n">
        <x:f>K123-L123</x:f>
        <x:v>3.5</x:v>
      </x:c>
      <x:c r="N123" s="8" t="n">
        <x:f>M123^2</x:f>
        <x:v>12.25</x:v>
      </x:c>
      <x:c r="O123" s="8" t="n">
        <x:f>ABS(M123)</x:f>
        <x:v>3.5</x:v>
      </x:c>
      <x:c r="P123" s="7" t="n">
        <x:v>45583</x:v>
      </x:c>
    </x:row>
    <x:row r="124" ht="26" customHeight="1">
      <x:c r="A124" s="2"/>
      <x:c r="B124" s="2" t="n">
        <x:v>119</x:v>
      </x:c>
      <x:c r="C124" s="2" t="str">
        <x:v>Beauty / price_contribution</x:v>
      </x:c>
      <x:c r="D124" s="7" t="n">
        <x:v>45565</x:v>
      </x:c>
      <x:c r="E124" s="2" t="str">
        <x:v>Prior report</x:v>
      </x:c>
      <x:c r="F124" s="7" t="n">
        <x:v>45503</x:v>
      </x:c>
      <x:c r="G124" s="2" t="str">
        <x:v>Broad market</x:v>
      </x:c>
      <x:c r="H124" s="8" t="n">
        <x:f>'Model fits'!AA90</x:f>
        <x:v>3.800015665057291</x:v>
      </x:c>
      <x:c r="I124" s="8" t="n">
        <x:f>0</x:f>
        <x:v>0</x:v>
      </x:c>
      <x:c r="J124" s="8" t="n">
        <x:v>0</x:v>
      </x:c>
      <x:c r="K124" s="8" t="n">
        <x:f>H124-I124*J124</x:f>
        <x:v>3.800015665057291</x:v>
      </x:c>
      <x:c r="L124" s="8" t="n">
        <x:f>'PG facts'!D104</x:f>
        <x:v>1</x:v>
      </x:c>
      <x:c r="M124" s="8" t="n">
        <x:f>K124-L124</x:f>
        <x:v>2.800015665057291</x:v>
      </x:c>
      <x:c r="N124" s="8" t="n">
        <x:f>M124^2</x:f>
        <x:v>7.840087724566224</x:v>
      </x:c>
      <x:c r="O124" s="8" t="n">
        <x:f>ABS(M124)</x:f>
        <x:v>2.800015665057291</x:v>
      </x:c>
      <x:c r="P124" s="7" t="n">
        <x:v>45583</x:v>
      </x:c>
    </x:row>
    <x:row r="125" ht="26" customHeight="1">
      <x:c r="A125" s="2"/>
      <x:c r="B125" s="2" t="n">
        <x:v>120</x:v>
      </x:c>
      <x:c r="C125" s="2" t="str">
        <x:v>Beauty / price_contribution</x:v>
      </x:c>
      <x:c r="D125" s="7" t="n">
        <x:v>45565</x:v>
      </x:c>
      <x:c r="E125" s="2" t="str">
        <x:v>Prior report</x:v>
      </x:c>
      <x:c r="F125" s="7" t="n">
        <x:v>45503</x:v>
      </x:c>
      <x:c r="G125" s="2" t="str">
        <x:v>Broad lag 1</x:v>
      </x:c>
      <x:c r="H125" s="8" t="n">
        <x:f>'Model fits'!AA91</x:f>
        <x:v>4.284301121234291</x:v>
      </x:c>
      <x:c r="I125" s="8" t="n">
        <x:f>0</x:f>
        <x:v>0</x:v>
      </x:c>
      <x:c r="J125" s="8" t="n">
        <x:v>0</x:v>
      </x:c>
      <x:c r="K125" s="8" t="n">
        <x:f>H125-I125*J125</x:f>
        <x:v>4.284301121234291</x:v>
      </x:c>
      <x:c r="L125" s="8" t="n">
        <x:f>'PG facts'!D104</x:f>
        <x:v>1</x:v>
      </x:c>
      <x:c r="M125" s="8" t="n">
        <x:f>K125-L125</x:f>
        <x:v>3.284301121234291</x:v>
      </x:c>
      <x:c r="N125" s="8" t="n">
        <x:f>M125^2</x:f>
        <x:v>10.786633854940822</x:v>
      </x:c>
      <x:c r="O125" s="8" t="n">
        <x:f>ABS(M125)</x:f>
        <x:v>3.284301121234291</x:v>
      </x:c>
      <x:c r="P125" s="7" t="n">
        <x:v>45583</x:v>
      </x:c>
    </x:row>
    <x:row r="126" ht="26" customHeight="1">
      <x:c r="A126" s="2"/>
      <x:c r="B126" s="2" t="n">
        <x:v>121</x:v>
      </x:c>
      <x:c r="C126" s="2" t="str">
        <x:v>Beauty / price_contribution</x:v>
      </x:c>
      <x:c r="D126" s="7" t="n">
        <x:v>45565</x:v>
      </x:c>
      <x:c r="E126" s="2" t="str">
        <x:v>Prior report</x:v>
      </x:c>
      <x:c r="F126" s="7" t="n">
        <x:v>45503</x:v>
      </x:c>
      <x:c r="G126" s="2" t="str">
        <x:v>Broad rolling 8</x:v>
      </x:c>
      <x:c r="H126" s="8" t="n">
        <x:f>'Model fits'!AA92</x:f>
        <x:v>2.2640970517451477</x:v>
      </x:c>
      <x:c r="I126" s="8" t="n">
        <x:f>0</x:f>
        <x:v>0</x:v>
      </x:c>
      <x:c r="J126" s="8" t="n">
        <x:v>0</x:v>
      </x:c>
      <x:c r="K126" s="8" t="n">
        <x:f>H126-I126*J126</x:f>
        <x:v>2.2640970517451477</x:v>
      </x:c>
      <x:c r="L126" s="8" t="n">
        <x:f>'PG facts'!D104</x:f>
        <x:v>1</x:v>
      </x:c>
      <x:c r="M126" s="8" t="n">
        <x:f>K126-L126</x:f>
        <x:v>1.2640970517451477</x:v>
      </x:c>
      <x:c r="N126" s="8" t="n">
        <x:f>M126^2</x:f>
        <x:v>1.5979413562307747</x:v>
      </x:c>
      <x:c r="O126" s="8" t="n">
        <x:f>ABS(M126)</x:f>
        <x:v>1.2640970517451477</x:v>
      </x:c>
      <x:c r="P126" s="7" t="n">
        <x:v>45583</x:v>
      </x:c>
    </x:row>
    <x:row r="127" ht="26" customHeight="1">
      <x:c r="A127" s="2"/>
      <x:c r="B127" s="2" t="n">
        <x:v>122</x:v>
      </x:c>
      <x:c r="C127" s="2" t="str">
        <x:v>Beauty / price_contribution</x:v>
      </x:c>
      <x:c r="D127" s="7" t="n">
        <x:v>45565</x:v>
      </x:c>
      <x:c r="E127" s="2" t="str">
        <x:v>Prior report</x:v>
      </x:c>
      <x:c r="F127" s="7" t="n">
        <x:v>45503</x:v>
      </x:c>
      <x:c r="G127" s="2" t="str">
        <x:v>Own history</x:v>
      </x:c>
      <x:c r="H127" s="8" t="n">
        <x:f>'Model fits'!AA93</x:f>
        <x:v>3.6367432150313146</x:v>
      </x:c>
      <x:c r="I127" s="8" t="n">
        <x:f>0</x:f>
        <x:v>0</x:v>
      </x:c>
      <x:c r="J127" s="8" t="n">
        <x:v>0</x:v>
      </x:c>
      <x:c r="K127" s="8" t="n">
        <x:f>H127-I127*J127</x:f>
        <x:v>3.6367432150313146</x:v>
      </x:c>
      <x:c r="L127" s="8" t="n">
        <x:f>'PG facts'!D104</x:f>
        <x:v>1</x:v>
      </x:c>
      <x:c r="M127" s="8" t="n">
        <x:f>K127-L127</x:f>
        <x:v>2.6367432150313146</x:v>
      </x:c>
      <x:c r="N127" s="8" t="n">
        <x:f>M127^2</x:f>
        <x:v>6.9524147820136735</x:v>
      </x:c>
      <x:c r="O127" s="8" t="n">
        <x:f>ABS(M127)</x:f>
        <x:v>2.6367432150313146</x:v>
      </x:c>
      <x:c r="P127" s="7" t="n">
        <x:v>45583</x:v>
      </x:c>
    </x:row>
    <x:row r="128" ht="26" customHeight="1">
      <x:c r="A128" s="2"/>
      <x:c r="B128" s="2" t="n">
        <x:v>123</x:v>
      </x:c>
      <x:c r="C128" s="2" t="str">
        <x:v>Beauty / price_contribution</x:v>
      </x:c>
      <x:c r="D128" s="7" t="n">
        <x:v>45565</x:v>
      </x:c>
      <x:c r="E128" s="2" t="str">
        <x:v>Prior report</x:v>
      </x:c>
      <x:c r="F128" s="7" t="n">
        <x:v>45503</x:v>
      </x:c>
      <x:c r="G128" s="2" t="str">
        <x:v>Product price</x:v>
      </x:c>
      <x:c r="H128" s="8" t="n">
        <x:f>'Model fits'!AA94</x:f>
        <x:v>3.762145055164629</x:v>
      </x:c>
      <x:c r="I128" s="8" t="n">
        <x:f>0</x:f>
        <x:v>0</x:v>
      </x:c>
      <x:c r="J128" s="8" t="n">
        <x:v>0</x:v>
      </x:c>
      <x:c r="K128" s="8" t="n">
        <x:f>H128-I128*J128</x:f>
        <x:v>3.762145055164629</x:v>
      </x:c>
      <x:c r="L128" s="8" t="n">
        <x:f>'PG facts'!D104</x:f>
        <x:v>1</x:v>
      </x:c>
      <x:c r="M128" s="8" t="n">
        <x:f>K128-L128</x:f>
        <x:v>2.762145055164629</x:v>
      </x:c>
      <x:c r="N128" s="8" t="n">
        <x:f>M128^2</x:f>
        <x:v>7.629445305770412</x:v>
      </x:c>
      <x:c r="O128" s="8" t="n">
        <x:f>ABS(M128)</x:f>
        <x:v>2.762145055164629</x:v>
      </x:c>
      <x:c r="P128" s="7" t="n">
        <x:v>45583</x:v>
      </x:c>
    </x:row>
    <x:row r="129" ht="26" customHeight="1">
      <x:c r="A129" s="2"/>
      <x:c r="B129" s="2" t="n">
        <x:v>124</x:v>
      </x:c>
      <x:c r="C129" s="2" t="str">
        <x:v>Beauty / price_contribution</x:v>
      </x:c>
      <x:c r="D129" s="7" t="n">
        <x:v>45565</x:v>
      </x:c>
      <x:c r="E129" s="2" t="str">
        <x:v>Prior report</x:v>
      </x:c>
      <x:c r="F129" s="7" t="n">
        <x:v>45503</x:v>
      </x:c>
      <x:c r="G129" s="2" t="str">
        <x:v>Product lag 1</x:v>
      </x:c>
      <x:c r="H129" s="8" t="n">
        <x:f>'Model fits'!AA95</x:f>
        <x:v>4.294880503158721</x:v>
      </x:c>
      <x:c r="I129" s="8" t="n">
        <x:f>0</x:f>
        <x:v>0</x:v>
      </x:c>
      <x:c r="J129" s="8" t="n">
        <x:v>0</x:v>
      </x:c>
      <x:c r="K129" s="8" t="n">
        <x:f>H129-I129*J129</x:f>
        <x:v>4.294880503158721</x:v>
      </x:c>
      <x:c r="L129" s="8" t="n">
        <x:f>'PG facts'!D104</x:f>
        <x:v>1</x:v>
      </x:c>
      <x:c r="M129" s="8" t="n">
        <x:f>K129-L129</x:f>
        <x:v>3.294880503158721</x:v>
      </x:c>
      <x:c r="N129" s="8" t="n">
        <x:f>M129^2</x:f>
        <x:v>10.856237530095466</x:v>
      </x:c>
      <x:c r="O129" s="8" t="n">
        <x:f>ABS(M129)</x:f>
        <x:v>3.294880503158721</x:v>
      </x:c>
      <x:c r="P129" s="7" t="n">
        <x:v>45583</x:v>
      </x:c>
    </x:row>
    <x:row r="130" ht="26" customHeight="1">
      <x:c r="A130" s="2"/>
      <x:c r="B130" s="2" t="n">
        <x:v>125</x:v>
      </x:c>
      <x:c r="C130" s="2" t="str">
        <x:v>Beauty / price_contribution</x:v>
      </x:c>
      <x:c r="D130" s="7" t="n">
        <x:v>45565</x:v>
      </x:c>
      <x:c r="E130" s="2" t="str">
        <x:v>Prior report</x:v>
      </x:c>
      <x:c r="F130" s="7" t="n">
        <x:v>45503</x:v>
      </x:c>
      <x:c r="G130" s="2" t="str">
        <x:v>Own + product</x:v>
      </x:c>
      <x:c r="H130" s="8" t="n">
        <x:f>'Model fits'!AA96</x:f>
        <x:v>4.185129656181173</x:v>
      </x:c>
      <x:c r="I130" s="8" t="n">
        <x:f>0</x:f>
        <x:v>0</x:v>
      </x:c>
      <x:c r="J130" s="8" t="n">
        <x:v>0</x:v>
      </x:c>
      <x:c r="K130" s="8" t="n">
        <x:f>H130-I130*J130</x:f>
        <x:v>4.185129656181173</x:v>
      </x:c>
      <x:c r="L130" s="8" t="n">
        <x:f>'PG facts'!D104</x:f>
        <x:v>1</x:v>
      </x:c>
      <x:c r="M130" s="8" t="n">
        <x:f>K130-L130</x:f>
        <x:v>3.1851296561811733</x:v>
      </x:c>
      <x:c r="N130" s="8" t="n">
        <x:f>M130^2</x:f>
        <x:v>10.1450509266848</x:v>
      </x:c>
      <x:c r="O130" s="8" t="n">
        <x:f>ABS(M130)</x:f>
        <x:v>3.1851296561811733</x:v>
      </x:c>
      <x:c r="P130" s="7" t="n">
        <x:v>45583</x:v>
      </x:c>
    </x:row>
    <x:row r="131" ht="26" customHeight="1">
      <x:c r="A131" s="2"/>
      <x:c r="B131" s="2" t="n">
        <x:v>126</x:v>
      </x:c>
      <x:c r="C131" s="2" t="str">
        <x:v>Beauty / price_contribution</x:v>
      </x:c>
      <x:c r="D131" s="7" t="n">
        <x:v>45565</x:v>
      </x:c>
      <x:c r="E131" s="2" t="str">
        <x:v>Pre-earnings</x:v>
      </x:c>
      <x:c r="F131" s="7" t="n">
        <x:v>45582</x:v>
      </x:c>
      <x:c r="G131" s="2" t="str">
        <x:v>Last actual</x:v>
      </x:c>
      <x:c r="H131" s="8" t="n">
        <x:f>AVERAGE('PG facts'!D97)</x:f>
        <x:v>3</x:v>
      </x:c>
      <x:c r="I131" s="8" t="n">
        <x:f>0</x:f>
        <x:v>0</x:v>
      </x:c>
      <x:c r="J131" s="8" t="n">
        <x:v>0</x:v>
      </x:c>
      <x:c r="K131" s="8" t="n">
        <x:f>H131-I131*J131</x:f>
        <x:v>3</x:v>
      </x:c>
      <x:c r="L131" s="8" t="n">
        <x:f>'PG facts'!D104</x:f>
        <x:v>1</x:v>
      </x:c>
      <x:c r="M131" s="8" t="n">
        <x:f>K131-L131</x:f>
        <x:v>2</x:v>
      </x:c>
      <x:c r="N131" s="8" t="n">
        <x:f>M131^2</x:f>
        <x:v>4</x:v>
      </x:c>
      <x:c r="O131" s="8" t="n">
        <x:f>ABS(M131)</x:f>
        <x:v>2</x:v>
      </x:c>
      <x:c r="P131" s="7" t="n">
        <x:v>45583</x:v>
      </x:c>
    </x:row>
    <x:row r="132" ht="26" customHeight="1">
      <x:c r="A132" s="2"/>
      <x:c r="B132" s="2" t="n">
        <x:v>127</x:v>
      </x:c>
      <x:c r="C132" s="2" t="str">
        <x:v>Beauty / price_contribution</x:v>
      </x:c>
      <x:c r="D132" s="7" t="n">
        <x:v>45565</x:v>
      </x:c>
      <x:c r="E132" s="2" t="str">
        <x:v>Pre-earnings</x:v>
      </x:c>
      <x:c r="F132" s="7" t="n">
        <x:v>45582</x:v>
      </x:c>
      <x:c r="G132" s="2" t="str">
        <x:v>Four-quarter mean</x:v>
      </x:c>
      <x:c r="H132" s="8" t="n">
        <x:f>AVERAGE('PG facts'!D76,'PG facts'!D83,'PG facts'!D90,'PG facts'!D97)</x:f>
        <x:v>4.5</x:v>
      </x:c>
      <x:c r="I132" s="8" t="n">
        <x:f>0</x:f>
        <x:v>0</x:v>
      </x:c>
      <x:c r="J132" s="8" t="n">
        <x:v>0</x:v>
      </x:c>
      <x:c r="K132" s="8" t="n">
        <x:f>H132-I132*J132</x:f>
        <x:v>4.5</x:v>
      </x:c>
      <x:c r="L132" s="8" t="n">
        <x:f>'PG facts'!D104</x:f>
        <x:v>1</x:v>
      </x:c>
      <x:c r="M132" s="8" t="n">
        <x:f>K132-L132</x:f>
        <x:v>3.5</x:v>
      </x:c>
      <x:c r="N132" s="8" t="n">
        <x:f>M132^2</x:f>
        <x:v>12.25</x:v>
      </x:c>
      <x:c r="O132" s="8" t="n">
        <x:f>ABS(M132)</x:f>
        <x:v>3.5</x:v>
      </x:c>
      <x:c r="P132" s="7" t="n">
        <x:v>45583</x:v>
      </x:c>
    </x:row>
    <x:row r="133" ht="26" customHeight="1">
      <x:c r="A133" s="2"/>
      <x:c r="B133" s="2" t="n">
        <x:v>128</x:v>
      </x:c>
      <x:c r="C133" s="2" t="str">
        <x:v>Beauty / price_contribution</x:v>
      </x:c>
      <x:c r="D133" s="7" t="n">
        <x:v>45565</x:v>
      </x:c>
      <x:c r="E133" s="2" t="str">
        <x:v>Pre-earnings</x:v>
      </x:c>
      <x:c r="F133" s="7" t="n">
        <x:v>45582</x:v>
      </x:c>
      <x:c r="G133" s="2" t="str">
        <x:v>Broad market</x:v>
      </x:c>
      <x:c r="H133" s="8" t="n">
        <x:f>'Model fits'!AA97</x:f>
        <x:v>2.8087919483691506</x:v>
      </x:c>
      <x:c r="I133" s="8" t="n">
        <x:f>0</x:f>
        <x:v>0</x:v>
      </x:c>
      <x:c r="J133" s="8" t="n">
        <x:v>0</x:v>
      </x:c>
      <x:c r="K133" s="8" t="n">
        <x:f>H133-I133*J133</x:f>
        <x:v>2.8087919483691506</x:v>
      </x:c>
      <x:c r="L133" s="8" t="n">
        <x:f>'PG facts'!D104</x:f>
        <x:v>1</x:v>
      </x:c>
      <x:c r="M133" s="8" t="n">
        <x:f>K133-L133</x:f>
        <x:v>1.8087919483691506</x:v>
      </x:c>
      <x:c r="N133" s="8" t="n">
        <x:f>M133^2</x:f>
        <x:v>3.271728312485068</x:v>
      </x:c>
      <x:c r="O133" s="8" t="n">
        <x:f>ABS(M133)</x:f>
        <x:v>1.8087919483691506</x:v>
      </x:c>
      <x:c r="P133" s="7" t="n">
        <x:v>45583</x:v>
      </x:c>
    </x:row>
    <x:row r="134" ht="26" customHeight="1">
      <x:c r="A134" s="2"/>
      <x:c r="B134" s="2" t="n">
        <x:v>129</x:v>
      </x:c>
      <x:c r="C134" s="2" t="str">
        <x:v>Beauty / price_contribution</x:v>
      </x:c>
      <x:c r="D134" s="7" t="n">
        <x:v>45565</x:v>
      </x:c>
      <x:c r="E134" s="2" t="str">
        <x:v>Pre-earnings</x:v>
      </x:c>
      <x:c r="F134" s="7" t="n">
        <x:v>45582</x:v>
      </x:c>
      <x:c r="G134" s="2" t="str">
        <x:v>Broad lag 1</x:v>
      </x:c>
      <x:c r="H134" s="8" t="n">
        <x:f>'Model fits'!AA98</x:f>
        <x:v>4.284301121234291</x:v>
      </x:c>
      <x:c r="I134" s="8" t="n">
        <x:f>0</x:f>
        <x:v>0</x:v>
      </x:c>
      <x:c r="J134" s="8" t="n">
        <x:v>0</x:v>
      </x:c>
      <x:c r="K134" s="8" t="n">
        <x:f>H134-I134*J134</x:f>
        <x:v>4.284301121234291</x:v>
      </x:c>
      <x:c r="L134" s="8" t="n">
        <x:f>'PG facts'!D104</x:f>
        <x:v>1</x:v>
      </x:c>
      <x:c r="M134" s="8" t="n">
        <x:f>K134-L134</x:f>
        <x:v>3.284301121234291</x:v>
      </x:c>
      <x:c r="N134" s="8" t="n">
        <x:f>M134^2</x:f>
        <x:v>10.786633854940822</x:v>
      </x:c>
      <x:c r="O134" s="8" t="n">
        <x:f>ABS(M134)</x:f>
        <x:v>3.284301121234291</x:v>
      </x:c>
      <x:c r="P134" s="7" t="n">
        <x:v>45583</x:v>
      </x:c>
    </x:row>
    <x:row r="135" ht="26" customHeight="1">
      <x:c r="A135" s="2"/>
      <x:c r="B135" s="2" t="n">
        <x:v>130</x:v>
      </x:c>
      <x:c r="C135" s="2" t="str">
        <x:v>Beauty / price_contribution</x:v>
      </x:c>
      <x:c r="D135" s="7" t="n">
        <x:v>45565</x:v>
      </x:c>
      <x:c r="E135" s="2" t="str">
        <x:v>Pre-earnings</x:v>
      </x:c>
      <x:c r="F135" s="7" t="n">
        <x:v>45582</x:v>
      </x:c>
      <x:c r="G135" s="2" t="str">
        <x:v>Broad rolling 8</x:v>
      </x:c>
      <x:c r="H135" s="8" t="n">
        <x:f>'Model fits'!AA99</x:f>
        <x:v>0.8347305402502934</x:v>
      </x:c>
      <x:c r="I135" s="8" t="n">
        <x:f>0</x:f>
        <x:v>0</x:v>
      </x:c>
      <x:c r="J135" s="8" t="n">
        <x:v>0</x:v>
      </x:c>
      <x:c r="K135" s="8" t="n">
        <x:f>H135-I135*J135</x:f>
        <x:v>0.8347305402502934</x:v>
      </x:c>
      <x:c r="L135" s="8" t="n">
        <x:f>'PG facts'!D104</x:f>
        <x:v>1</x:v>
      </x:c>
      <x:c r="M135" s="8" t="n">
        <x:f>K135-L135</x:f>
        <x:v>-0.16526945974970664</x:v>
      </x:c>
      <x:c r="N135" s="8" t="n">
        <x:f>M135^2</x:f>
        <x:v>0.027313994325959903</x:v>
      </x:c>
      <x:c r="O135" s="8" t="n">
        <x:f>ABS(M135)</x:f>
        <x:v>0.16526945974970664</x:v>
      </x:c>
      <x:c r="P135" s="7" t="n">
        <x:v>45583</x:v>
      </x:c>
    </x:row>
    <x:row r="136" ht="26" customHeight="1">
      <x:c r="A136" s="2"/>
      <x:c r="B136" s="2" t="n">
        <x:v>131</x:v>
      </x:c>
      <x:c r="C136" s="2" t="str">
        <x:v>Beauty / price_contribution</x:v>
      </x:c>
      <x:c r="D136" s="7" t="n">
        <x:v>45565</x:v>
      </x:c>
      <x:c r="E136" s="2" t="str">
        <x:v>Pre-earnings</x:v>
      </x:c>
      <x:c r="F136" s="7" t="n">
        <x:v>45582</x:v>
      </x:c>
      <x:c r="G136" s="2" t="str">
        <x:v>Own history</x:v>
      </x:c>
      <x:c r="H136" s="8" t="n">
        <x:f>'Model fits'!AA100</x:f>
        <x:v>3.6367432150313146</x:v>
      </x:c>
      <x:c r="I136" s="8" t="n">
        <x:f>0</x:f>
        <x:v>0</x:v>
      </x:c>
      <x:c r="J136" s="8" t="n">
        <x:v>0</x:v>
      </x:c>
      <x:c r="K136" s="8" t="n">
        <x:f>H136-I136*J136</x:f>
        <x:v>3.6367432150313146</x:v>
      </x:c>
      <x:c r="L136" s="8" t="n">
        <x:f>'PG facts'!D104</x:f>
        <x:v>1</x:v>
      </x:c>
      <x:c r="M136" s="8" t="n">
        <x:f>K136-L136</x:f>
        <x:v>2.6367432150313146</x:v>
      </x:c>
      <x:c r="N136" s="8" t="n">
        <x:f>M136^2</x:f>
        <x:v>6.9524147820136735</x:v>
      </x:c>
      <x:c r="O136" s="8" t="n">
        <x:f>ABS(M136)</x:f>
        <x:v>2.6367432150313146</x:v>
      </x:c>
      <x:c r="P136" s="7" t="n">
        <x:v>45583</x:v>
      </x:c>
    </x:row>
    <x:row r="137" ht="26" customHeight="1">
      <x:c r="A137" s="2"/>
      <x:c r="B137" s="2" t="n">
        <x:v>132</x:v>
      </x:c>
      <x:c r="C137" s="2" t="str">
        <x:v>Beauty / price_contribution</x:v>
      </x:c>
      <x:c r="D137" s="7" t="n">
        <x:v>45565</x:v>
      </x:c>
      <x:c r="E137" s="2" t="str">
        <x:v>Pre-earnings</x:v>
      </x:c>
      <x:c r="F137" s="7" t="n">
        <x:v>45582</x:v>
      </x:c>
      <x:c r="G137" s="2" t="str">
        <x:v>Product price</x:v>
      </x:c>
      <x:c r="H137" s="8" t="n">
        <x:f>'Model fits'!AA101</x:f>
        <x:v>2.9816066133580374</x:v>
      </x:c>
      <x:c r="I137" s="8" t="n">
        <x:f>0</x:f>
        <x:v>0</x:v>
      </x:c>
      <x:c r="J137" s="8" t="n">
        <x:v>0</x:v>
      </x:c>
      <x:c r="K137" s="8" t="n">
        <x:f>H137-I137*J137</x:f>
        <x:v>2.9816066133580374</x:v>
      </x:c>
      <x:c r="L137" s="8" t="n">
        <x:f>'PG facts'!D104</x:f>
        <x:v>1</x:v>
      </x:c>
      <x:c r="M137" s="8" t="n">
        <x:f>K137-L137</x:f>
        <x:v>1.9816066133580374</x:v>
      </x:c>
      <x:c r="N137" s="8" t="n">
        <x:f>M137^2</x:f>
        <x:v>3.9267647701043105</x:v>
      </x:c>
      <x:c r="O137" s="8" t="n">
        <x:f>ABS(M137)</x:f>
        <x:v>1.9816066133580374</x:v>
      </x:c>
      <x:c r="P137" s="7" t="n">
        <x:v>45583</x:v>
      </x:c>
    </x:row>
    <x:row r="138" ht="26" customHeight="1">
      <x:c r="A138" s="2"/>
      <x:c r="B138" s="2" t="n">
        <x:v>133</x:v>
      </x:c>
      <x:c r="C138" s="2" t="str">
        <x:v>Beauty / price_contribution</x:v>
      </x:c>
      <x:c r="D138" s="7" t="n">
        <x:v>45565</x:v>
      </x:c>
      <x:c r="E138" s="2" t="str">
        <x:v>Pre-earnings</x:v>
      </x:c>
      <x:c r="F138" s="7" t="n">
        <x:v>45582</x:v>
      </x:c>
      <x:c r="G138" s="2" t="str">
        <x:v>Product lag 1</x:v>
      </x:c>
      <x:c r="H138" s="8" t="n">
        <x:f>'Model fits'!AA102</x:f>
        <x:v>4.294880503158721</x:v>
      </x:c>
      <x:c r="I138" s="8" t="n">
        <x:f>0</x:f>
        <x:v>0</x:v>
      </x:c>
      <x:c r="J138" s="8" t="n">
        <x:v>0</x:v>
      </x:c>
      <x:c r="K138" s="8" t="n">
        <x:f>H138-I138*J138</x:f>
        <x:v>4.294880503158721</x:v>
      </x:c>
      <x:c r="L138" s="8" t="n">
        <x:f>'PG facts'!D104</x:f>
        <x:v>1</x:v>
      </x:c>
      <x:c r="M138" s="8" t="n">
        <x:f>K138-L138</x:f>
        <x:v>3.294880503158721</x:v>
      </x:c>
      <x:c r="N138" s="8" t="n">
        <x:f>M138^2</x:f>
        <x:v>10.856237530095466</x:v>
      </x:c>
      <x:c r="O138" s="8" t="n">
        <x:f>ABS(M138)</x:f>
        <x:v>3.294880503158721</x:v>
      </x:c>
      <x:c r="P138" s="7" t="n">
        <x:v>45583</x:v>
      </x:c>
    </x:row>
    <x:row r="139" ht="26" customHeight="1">
      <x:c r="A139" s="2"/>
      <x:c r="B139" s="2" t="n">
        <x:v>134</x:v>
      </x:c>
      <x:c r="C139" s="2" t="str">
        <x:v>Beauty / price_contribution</x:v>
      </x:c>
      <x:c r="D139" s="7" t="n">
        <x:v>45565</x:v>
      </x:c>
      <x:c r="E139" s="2" t="str">
        <x:v>Pre-earnings</x:v>
      </x:c>
      <x:c r="F139" s="7" t="n">
        <x:v>45582</x:v>
      </x:c>
      <x:c r="G139" s="2" t="str">
        <x:v>Own + product</x:v>
      </x:c>
      <x:c r="H139" s="8" t="n">
        <x:f>'Model fits'!AA103</x:f>
        <x:v>3.088751974172028</x:v>
      </x:c>
      <x:c r="I139" s="8" t="n">
        <x:f>0</x:f>
        <x:v>0</x:v>
      </x:c>
      <x:c r="J139" s="8" t="n">
        <x:v>0</x:v>
      </x:c>
      <x:c r="K139" s="8" t="n">
        <x:f>H139-I139*J139</x:f>
        <x:v>3.088751974172028</x:v>
      </x:c>
      <x:c r="L139" s="8" t="n">
        <x:f>'PG facts'!D104</x:f>
        <x:v>1</x:v>
      </x:c>
      <x:c r="M139" s="8" t="n">
        <x:f>K139-L139</x:f>
        <x:v>2.088751974172028</x:v>
      </x:c>
      <x:c r="N139" s="8" t="n">
        <x:f>M139^2</x:f>
        <x:v>4.362884809607545</x:v>
      </x:c>
      <x:c r="O139" s="8" t="n">
        <x:f>ABS(M139)</x:f>
        <x:v>2.088751974172028</x:v>
      </x:c>
      <x:c r="P139" s="7" t="n">
        <x:v>45583</x:v>
      </x:c>
    </x:row>
    <x:row r="140" ht="26" customHeight="1">
      <x:c r="A140" s="2"/>
      <x:c r="B140" s="2" t="n">
        <x:v>135</x:v>
      </x:c>
      <x:c r="C140" s="2" t="str">
        <x:v>Beauty / price_contribution</x:v>
      </x:c>
      <x:c r="D140" s="7" t="n">
        <x:v>45657</x:v>
      </x:c>
      <x:c r="E140" s="2" t="str">
        <x:v>Origin</x:v>
      </x:c>
      <x:c r="F140" s="7" t="n">
        <x:v>45566</x:v>
      </x:c>
      <x:c r="G140" s="2" t="str">
        <x:v>Last actual</x:v>
      </x:c>
      <x:c r="H140" s="8" t="n">
        <x:f>AVERAGE('PG facts'!D97)</x:f>
        <x:v>3</x:v>
      </x:c>
      <x:c r="I140" s="8" t="n">
        <x:f>0</x:f>
        <x:v>0</x:v>
      </x:c>
      <x:c r="J140" s="8" t="n">
        <x:v>0</x:v>
      </x:c>
      <x:c r="K140" s="8" t="n">
        <x:f>H140-I140*J140</x:f>
        <x:v>3</x:v>
      </x:c>
      <x:c r="L140" s="8" t="n">
        <x:f>'PG facts'!D111</x:f>
        <x:v>2</x:v>
      </x:c>
      <x:c r="M140" s="8" t="n">
        <x:f>K140-L140</x:f>
        <x:v>1</x:v>
      </x:c>
      <x:c r="N140" s="8" t="n">
        <x:f>M140^2</x:f>
        <x:v>1</x:v>
      </x:c>
      <x:c r="O140" s="8" t="n">
        <x:f>ABS(M140)</x:f>
        <x:v>1</x:v>
      </x:c>
      <x:c r="P140" s="7" t="n">
        <x:v>45679</x:v>
      </x:c>
    </x:row>
    <x:row r="141" ht="26" customHeight="1">
      <x:c r="A141" s="2"/>
      <x:c r="B141" s="2" t="n">
        <x:v>136</x:v>
      </x:c>
      <x:c r="C141" s="2" t="str">
        <x:v>Beauty / price_contribution</x:v>
      </x:c>
      <x:c r="D141" s="7" t="n">
        <x:v>45657</x:v>
      </x:c>
      <x:c r="E141" s="2" t="str">
        <x:v>Origin</x:v>
      </x:c>
      <x:c r="F141" s="7" t="n">
        <x:v>45566</x:v>
      </x:c>
      <x:c r="G141" s="2" t="str">
        <x:v>Four-quarter mean</x:v>
      </x:c>
      <x:c r="H141" s="8" t="n">
        <x:f>AVERAGE('PG facts'!D76,'PG facts'!D83,'PG facts'!D90,'PG facts'!D97)</x:f>
        <x:v>4.5</x:v>
      </x:c>
      <x:c r="I141" s="8" t="n">
        <x:f>0</x:f>
        <x:v>0</x:v>
      </x:c>
      <x:c r="J141" s="8" t="n">
        <x:v>0</x:v>
      </x:c>
      <x:c r="K141" s="8" t="n">
        <x:f>H141-I141*J141</x:f>
        <x:v>4.5</x:v>
      </x:c>
      <x:c r="L141" s="8" t="n">
        <x:f>'PG facts'!D111</x:f>
        <x:v>2</x:v>
      </x:c>
      <x:c r="M141" s="8" t="n">
        <x:f>K141-L141</x:f>
        <x:v>2.5</x:v>
      </x:c>
      <x:c r="N141" s="8" t="n">
        <x:f>M141^2</x:f>
        <x:v>6.25</x:v>
      </x:c>
      <x:c r="O141" s="8" t="n">
        <x:f>ABS(M141)</x:f>
        <x:v>2.5</x:v>
      </x:c>
      <x:c r="P141" s="7" t="n">
        <x:v>45679</x:v>
      </x:c>
    </x:row>
    <x:row r="142" ht="26" customHeight="1">
      <x:c r="A142" s="2"/>
      <x:c r="B142" s="2" t="n">
        <x:v>137</x:v>
      </x:c>
      <x:c r="C142" s="2" t="str">
        <x:v>Beauty / price_contribution</x:v>
      </x:c>
      <x:c r="D142" s="7" t="n">
        <x:v>45657</x:v>
      </x:c>
      <x:c r="E142" s="2" t="str">
        <x:v>Origin</x:v>
      </x:c>
      <x:c r="F142" s="7" t="n">
        <x:v>45566</x:v>
      </x:c>
      <x:c r="G142" s="2" t="str">
        <x:v>Broad market</x:v>
      </x:c>
      <x:c r="H142" s="8" t="n">
        <x:f>'Model fits'!AA104</x:f>
        <x:v>3.0394924254080866</x:v>
      </x:c>
      <x:c r="I142" s="8" t="n">
        <x:f>0</x:f>
        <x:v>0</x:v>
      </x:c>
      <x:c r="J142" s="8" t="n">
        <x:v>0</x:v>
      </x:c>
      <x:c r="K142" s="8" t="n">
        <x:f>H142-I142*J142</x:f>
        <x:v>3.0394924254080866</x:v>
      </x:c>
      <x:c r="L142" s="8" t="n">
        <x:f>'PG facts'!D111</x:f>
        <x:v>2</x:v>
      </x:c>
      <x:c r="M142" s="8" t="n">
        <x:f>K142-L142</x:f>
        <x:v>1.0394924254080866</x:v>
      </x:c>
      <x:c r="N142" s="8" t="n">
        <x:f>M142^2</x:f>
        <x:v>1.0805445024807865</x:v>
      </x:c>
      <x:c r="O142" s="8" t="n">
        <x:f>ABS(M142)</x:f>
        <x:v>1.0394924254080866</x:v>
      </x:c>
      <x:c r="P142" s="7" t="n">
        <x:v>45679</x:v>
      </x:c>
    </x:row>
    <x:row r="143" ht="26" customHeight="1">
      <x:c r="A143" s="2"/>
      <x:c r="B143" s="2" t="n">
        <x:v>138</x:v>
      </x:c>
      <x:c r="C143" s="2" t="str">
        <x:v>Beauty / price_contribution</x:v>
      </x:c>
      <x:c r="D143" s="7" t="n">
        <x:v>45657</x:v>
      </x:c>
      <x:c r="E143" s="2" t="str">
        <x:v>Origin</x:v>
      </x:c>
      <x:c r="F143" s="7" t="n">
        <x:v>45566</x:v>
      </x:c>
      <x:c r="G143" s="2" t="str">
        <x:v>Broad rolling 8</x:v>
      </x:c>
      <x:c r="H143" s="8" t="n">
        <x:f>'Model fits'!AA105</x:f>
        <x:v>1.1674057280142787</x:v>
      </x:c>
      <x:c r="I143" s="8" t="n">
        <x:f>0</x:f>
        <x:v>0</x:v>
      </x:c>
      <x:c r="J143" s="8" t="n">
        <x:v>0</x:v>
      </x:c>
      <x:c r="K143" s="8" t="n">
        <x:f>H143-I143*J143</x:f>
        <x:v>1.1674057280142787</x:v>
      </x:c>
      <x:c r="L143" s="8" t="n">
        <x:f>'PG facts'!D111</x:f>
        <x:v>2</x:v>
      </x:c>
      <x:c r="M143" s="8" t="n">
        <x:f>K143-L143</x:f>
        <x:v>-0.8325942719857213</x:v>
      </x:c>
      <x:c r="N143" s="8" t="n">
        <x:f>M143^2</x:f>
        <x:v>0.6932132217434334</x:v>
      </x:c>
      <x:c r="O143" s="8" t="n">
        <x:f>ABS(M143)</x:f>
        <x:v>0.8325942719857213</x:v>
      </x:c>
      <x:c r="P143" s="7" t="n">
        <x:v>45679</x:v>
      </x:c>
    </x:row>
    <x:row r="144" ht="26" customHeight="1">
      <x:c r="A144" s="2"/>
      <x:c r="B144" s="2" t="n">
        <x:v>139</x:v>
      </x:c>
      <x:c r="C144" s="2" t="str">
        <x:v>Beauty / price_contribution</x:v>
      </x:c>
      <x:c r="D144" s="7" t="n">
        <x:v>45657</x:v>
      </x:c>
      <x:c r="E144" s="2" t="str">
        <x:v>Origin</x:v>
      </x:c>
      <x:c r="F144" s="7" t="n">
        <x:v>45566</x:v>
      </x:c>
      <x:c r="G144" s="2" t="str">
        <x:v>Own history</x:v>
      </x:c>
      <x:c r="H144" s="8" t="n">
        <x:f>'Model fits'!AA106</x:f>
        <x:v>4.274509803921568</x:v>
      </x:c>
      <x:c r="I144" s="8" t="n">
        <x:f>0</x:f>
        <x:v>0</x:v>
      </x:c>
      <x:c r="J144" s="8" t="n">
        <x:v>0</x:v>
      </x:c>
      <x:c r="K144" s="8" t="n">
        <x:f>H144-I144*J144</x:f>
        <x:v>4.274509803921568</x:v>
      </x:c>
      <x:c r="L144" s="8" t="n">
        <x:f>'PG facts'!D111</x:f>
        <x:v>2</x:v>
      </x:c>
      <x:c r="M144" s="8" t="n">
        <x:f>K144-L144</x:f>
        <x:v>2.2745098039215677</x:v>
      </x:c>
      <x:c r="N144" s="8" t="n">
        <x:f>M144^2</x:f>
        <x:v>5.173394848135328</x:v>
      </x:c>
      <x:c r="O144" s="8" t="n">
        <x:f>ABS(M144)</x:f>
        <x:v>2.2745098039215677</x:v>
      </x:c>
      <x:c r="P144" s="7" t="n">
        <x:v>45679</x:v>
      </x:c>
    </x:row>
    <x:row r="145" ht="26" customHeight="1">
      <x:c r="A145" s="2"/>
      <x:c r="B145" s="2" t="n">
        <x:v>140</x:v>
      </x:c>
      <x:c r="C145" s="2" t="str">
        <x:v>Beauty / price_contribution</x:v>
      </x:c>
      <x:c r="D145" s="7" t="n">
        <x:v>45657</x:v>
      </x:c>
      <x:c r="E145" s="2" t="str">
        <x:v>Origin</x:v>
      </x:c>
      <x:c r="F145" s="7" t="n">
        <x:v>45566</x:v>
      </x:c>
      <x:c r="G145" s="2" t="str">
        <x:v>Product price</x:v>
      </x:c>
      <x:c r="H145" s="8" t="n">
        <x:f>'Model fits'!AA107</x:f>
        <x:v>3.2175804736624136</x:v>
      </x:c>
      <x:c r="I145" s="8" t="n">
        <x:f>0</x:f>
        <x:v>0</x:v>
      </x:c>
      <x:c r="J145" s="8" t="n">
        <x:v>0</x:v>
      </x:c>
      <x:c r="K145" s="8" t="n">
        <x:f>H145-I145*J145</x:f>
        <x:v>3.2175804736624136</x:v>
      </x:c>
      <x:c r="L145" s="8" t="n">
        <x:f>'PG facts'!D111</x:f>
        <x:v>2</x:v>
      </x:c>
      <x:c r="M145" s="8" t="n">
        <x:f>K145-L145</x:f>
        <x:v>1.2175804736624136</x:v>
      </x:c>
      <x:c r="N145" s="8" t="n">
        <x:f>M145^2</x:f>
        <x:v>1.4825022098439875</x:v>
      </x:c>
      <x:c r="O145" s="8" t="n">
        <x:f>ABS(M145)</x:f>
        <x:v>1.2175804736624136</x:v>
      </x:c>
      <x:c r="P145" s="7" t="n">
        <x:v>45679</x:v>
      </x:c>
    </x:row>
    <x:row r="146" ht="26" customHeight="1">
      <x:c r="A146" s="2"/>
      <x:c r="B146" s="2" t="n">
        <x:v>141</x:v>
      </x:c>
      <x:c r="C146" s="2" t="str">
        <x:v>Beauty / price_contribution</x:v>
      </x:c>
      <x:c r="D146" s="7" t="n">
        <x:v>45657</x:v>
      </x:c>
      <x:c r="E146" s="2" t="str">
        <x:v>Origin</x:v>
      </x:c>
      <x:c r="F146" s="7" t="n">
        <x:v>45566</x:v>
      </x:c>
      <x:c r="G146" s="2" t="str">
        <x:v>Own + product</x:v>
      </x:c>
      <x:c r="H146" s="8" t="n">
        <x:f>'Model fits'!AA108</x:f>
        <x:v>3.349707905728849</x:v>
      </x:c>
      <x:c r="I146" s="8" t="n">
        <x:f>0</x:f>
        <x:v>0</x:v>
      </x:c>
      <x:c r="J146" s="8" t="n">
        <x:v>0</x:v>
      </x:c>
      <x:c r="K146" s="8" t="n">
        <x:f>H146-I146*J146</x:f>
        <x:v>3.349707905728849</x:v>
      </x:c>
      <x:c r="L146" s="8" t="n">
        <x:f>'PG facts'!D111</x:f>
        <x:v>2</x:v>
      </x:c>
      <x:c r="M146" s="8" t="n">
        <x:f>K146-L146</x:f>
        <x:v>1.3497079057288488</x:v>
      </x:c>
      <x:c r="N146" s="8" t="n">
        <x:f>M146^2</x:f>
        <x:v>1.821711430786955</x:v>
      </x:c>
      <x:c r="O146" s="8" t="n">
        <x:f>ABS(M146)</x:f>
        <x:v>1.3497079057288488</x:v>
      </x:c>
      <x:c r="P146" s="7" t="n">
        <x:v>45679</x:v>
      </x:c>
    </x:row>
    <x:row r="147" ht="26" customHeight="1">
      <x:c r="A147" s="2"/>
      <x:c r="B147" s="2" t="n">
        <x:v>142</x:v>
      </x:c>
      <x:c r="C147" s="2" t="str">
        <x:v>Beauty / price_contribution</x:v>
      </x:c>
      <x:c r="D147" s="7" t="n">
        <x:v>45657</x:v>
      </x:c>
      <x:c r="E147" s="2" t="str">
        <x:v>Prior report</x:v>
      </x:c>
      <x:c r="F147" s="7" t="n">
        <x:v>45583</x:v>
      </x:c>
      <x:c r="G147" s="2" t="str">
        <x:v>Last actual</x:v>
      </x:c>
      <x:c r="H147" s="8" t="n">
        <x:f>AVERAGE('PG facts'!D104)</x:f>
        <x:v>1</x:v>
      </x:c>
      <x:c r="I147" s="8" t="n">
        <x:f>0</x:f>
        <x:v>0</x:v>
      </x:c>
      <x:c r="J147" s="8" t="n">
        <x:v>0</x:v>
      </x:c>
      <x:c r="K147" s="8" t="n">
        <x:f>H147-I147*J147</x:f>
        <x:v>1</x:v>
      </x:c>
      <x:c r="L147" s="8" t="n">
        <x:f>'PG facts'!D111</x:f>
        <x:v>2</x:v>
      </x:c>
      <x:c r="M147" s="8" t="n">
        <x:f>K147-L147</x:f>
        <x:v>-1</x:v>
      </x:c>
      <x:c r="N147" s="8" t="n">
        <x:f>M147^2</x:f>
        <x:v>1</x:v>
      </x:c>
      <x:c r="O147" s="8" t="n">
        <x:f>ABS(M147)</x:f>
        <x:v>1</x:v>
      </x:c>
      <x:c r="P147" s="7" t="n">
        <x:v>45679</x:v>
      </x:c>
    </x:row>
    <x:row r="148" ht="26" customHeight="1">
      <x:c r="A148" s="2"/>
      <x:c r="B148" s="2" t="n">
        <x:v>143</x:v>
      </x:c>
      <x:c r="C148" s="2" t="str">
        <x:v>Beauty / price_contribution</x:v>
      </x:c>
      <x:c r="D148" s="7" t="n">
        <x:v>45657</x:v>
      </x:c>
      <x:c r="E148" s="2" t="str">
        <x:v>Prior report</x:v>
      </x:c>
      <x:c r="F148" s="7" t="n">
        <x:v>45583</x:v>
      </x:c>
      <x:c r="G148" s="2" t="str">
        <x:v>Four-quarter mean</x:v>
      </x:c>
      <x:c r="H148" s="8" t="n">
        <x:f>AVERAGE('PG facts'!D83,'PG facts'!D90,'PG facts'!D97,'PG facts'!D104)</x:f>
        <x:v>3</x:v>
      </x:c>
      <x:c r="I148" s="8" t="n">
        <x:f>0</x:f>
        <x:v>0</x:v>
      </x:c>
      <x:c r="J148" s="8" t="n">
        <x:v>0</x:v>
      </x:c>
      <x:c r="K148" s="8" t="n">
        <x:f>H148-I148*J148</x:f>
        <x:v>3</x:v>
      </x:c>
      <x:c r="L148" s="8" t="n">
        <x:f>'PG facts'!D111</x:f>
        <x:v>2</x:v>
      </x:c>
      <x:c r="M148" s="8" t="n">
        <x:f>K148-L148</x:f>
        <x:v>1</x:v>
      </x:c>
      <x:c r="N148" s="8" t="n">
        <x:f>M148^2</x:f>
        <x:v>1</x:v>
      </x:c>
      <x:c r="O148" s="8" t="n">
        <x:f>ABS(M148)</x:f>
        <x:v>1</x:v>
      </x:c>
      <x:c r="P148" s="7" t="n">
        <x:v>45679</x:v>
      </x:c>
    </x:row>
    <x:row r="149" ht="26" customHeight="1">
      <x:c r="A149" s="2"/>
      <x:c r="B149" s="2" t="n">
        <x:v>144</x:v>
      </x:c>
      <x:c r="C149" s="2" t="str">
        <x:v>Beauty / price_contribution</x:v>
      </x:c>
      <x:c r="D149" s="7" t="n">
        <x:v>45657</x:v>
      </x:c>
      <x:c r="E149" s="2" t="str">
        <x:v>Prior report</x:v>
      </x:c>
      <x:c r="F149" s="7" t="n">
        <x:v>45583</x:v>
      </x:c>
      <x:c r="G149" s="2" t="str">
        <x:v>Broad market</x:v>
      </x:c>
      <x:c r="H149" s="8" t="n">
        <x:f>'Model fits'!AA109</x:f>
        <x:v>2.582105594457661</x:v>
      </x:c>
      <x:c r="I149" s="8" t="n">
        <x:f>0</x:f>
        <x:v>0</x:v>
      </x:c>
      <x:c r="J149" s="8" t="n">
        <x:v>0</x:v>
      </x:c>
      <x:c r="K149" s="8" t="n">
        <x:f>H149-I149*J149</x:f>
        <x:v>2.582105594457661</x:v>
      </x:c>
      <x:c r="L149" s="8" t="n">
        <x:f>'PG facts'!D111</x:f>
        <x:v>2</x:v>
      </x:c>
      <x:c r="M149" s="8" t="n">
        <x:f>K149-L149</x:f>
        <x:v>0.5821055944576612</x:v>
      </x:c>
      <x:c r="N149" s="8" t="n">
        <x:f>M149^2</x:f>
        <x:v>0.3388469230989071</x:v>
      </x:c>
      <x:c r="O149" s="8" t="n">
        <x:f>ABS(M149)</x:f>
        <x:v>0.5821055944576612</x:v>
      </x:c>
      <x:c r="P149" s="7" t="n">
        <x:v>45679</x:v>
      </x:c>
    </x:row>
    <x:row r="150" ht="26" customHeight="1">
      <x:c r="A150" s="2"/>
      <x:c r="B150" s="2" t="n">
        <x:v>145</x:v>
      </x:c>
      <x:c r="C150" s="2" t="str">
        <x:v>Beauty / price_contribution</x:v>
      </x:c>
      <x:c r="D150" s="7" t="n">
        <x:v>45657</x:v>
      </x:c>
      <x:c r="E150" s="2" t="str">
        <x:v>Prior report</x:v>
      </x:c>
      <x:c r="F150" s="7" t="n">
        <x:v>45583</x:v>
      </x:c>
      <x:c r="G150" s="2" t="str">
        <x:v>Broad lag 1</x:v>
      </x:c>
      <x:c r="H150" s="8" t="n">
        <x:f>'Model fits'!AA110</x:f>
        <x:v>3.197139177040514</x:v>
      </x:c>
      <x:c r="I150" s="8" t="n">
        <x:f>0</x:f>
        <x:v>0</x:v>
      </x:c>
      <x:c r="J150" s="8" t="n">
        <x:v>0</x:v>
      </x:c>
      <x:c r="K150" s="8" t="n">
        <x:f>H150-I150*J150</x:f>
        <x:v>3.197139177040514</x:v>
      </x:c>
      <x:c r="L150" s="8" t="n">
        <x:f>'PG facts'!D111</x:f>
        <x:v>2</x:v>
      </x:c>
      <x:c r="M150" s="8" t="n">
        <x:f>K150-L150</x:f>
        <x:v>1.1971391770405142</x:v>
      </x:c>
      <x:c r="N150" s="8" t="n">
        <x:f>M150^2</x:f>
        <x:v>1.4331422092052397</x:v>
      </x:c>
      <x:c r="O150" s="8" t="n">
        <x:f>ABS(M150)</x:f>
        <x:v>1.1971391770405142</x:v>
      </x:c>
      <x:c r="P150" s="7" t="n">
        <x:v>45679</x:v>
      </x:c>
    </x:row>
    <x:row r="151" ht="26" customHeight="1">
      <x:c r="A151" s="2"/>
      <x:c r="B151" s="2" t="n">
        <x:v>146</x:v>
      </x:c>
      <x:c r="C151" s="2" t="str">
        <x:v>Beauty / price_contribution</x:v>
      </x:c>
      <x:c r="D151" s="7" t="n">
        <x:v>45657</x:v>
      </x:c>
      <x:c r="E151" s="2" t="str">
        <x:v>Prior report</x:v>
      </x:c>
      <x:c r="F151" s="7" t="n">
        <x:v>45583</x:v>
      </x:c>
      <x:c r="G151" s="2" t="str">
        <x:v>Broad rolling 8</x:v>
      </x:c>
      <x:c r="H151" s="8" t="n">
        <x:f>'Model fits'!AA111</x:f>
        <x:v>0.9181916867200257</x:v>
      </x:c>
      <x:c r="I151" s="8" t="n">
        <x:f>0</x:f>
        <x:v>0</x:v>
      </x:c>
      <x:c r="J151" s="8" t="n">
        <x:v>0</x:v>
      </x:c>
      <x:c r="K151" s="8" t="n">
        <x:f>H151-I151*J151</x:f>
        <x:v>0.9181916867200257</x:v>
      </x:c>
      <x:c r="L151" s="8" t="n">
        <x:f>'PG facts'!D111</x:f>
        <x:v>2</x:v>
      </x:c>
      <x:c r="M151" s="8" t="n">
        <x:f>K151-L151</x:f>
        <x:v>-1.0818083132799743</x:v>
      </x:c>
      <x:c r="N151" s="8" t="n">
        <x:f>M151^2</x:f>
        <x:v>1.170309226681663</x:v>
      </x:c>
      <x:c r="O151" s="8" t="n">
        <x:f>ABS(M151)</x:f>
        <x:v>1.0818083132799743</x:v>
      </x:c>
      <x:c r="P151" s="7" t="n">
        <x:v>45679</x:v>
      </x:c>
    </x:row>
    <x:row r="152" ht="26" customHeight="1">
      <x:c r="A152" s="2"/>
      <x:c r="B152" s="2" t="n">
        <x:v>147</x:v>
      </x:c>
      <x:c r="C152" s="2" t="str">
        <x:v>Beauty / price_contribution</x:v>
      </x:c>
      <x:c r="D152" s="7" t="n">
        <x:v>45657</x:v>
      </x:c>
      <x:c r="E152" s="2" t="str">
        <x:v>Prior report</x:v>
      </x:c>
      <x:c r="F152" s="7" t="n">
        <x:v>45583</x:v>
      </x:c>
      <x:c r="G152" s="2" t="str">
        <x:v>Own history</x:v>
      </x:c>
      <x:c r="H152" s="8" t="n">
        <x:f>'Model fits'!AA112</x:f>
        <x:v>1.6978021978021982</x:v>
      </x:c>
      <x:c r="I152" s="8" t="n">
        <x:f>0</x:f>
        <x:v>0</x:v>
      </x:c>
      <x:c r="J152" s="8" t="n">
        <x:v>0</x:v>
      </x:c>
      <x:c r="K152" s="8" t="n">
        <x:f>H152-I152*J152</x:f>
        <x:v>1.6978021978021982</x:v>
      </x:c>
      <x:c r="L152" s="8" t="n">
        <x:f>'PG facts'!D111</x:f>
        <x:v>2</x:v>
      </x:c>
      <x:c r="M152" s="8" t="n">
        <x:f>K152-L152</x:f>
        <x:v>-0.3021978021978018</x:v>
      </x:c>
      <x:c r="N152" s="8" t="n">
        <x:f>M152^2</x:f>
        <x:v>0.09132351165318174</x:v>
      </x:c>
      <x:c r="O152" s="8" t="n">
        <x:f>ABS(M152)</x:f>
        <x:v>0.3021978021978018</x:v>
      </x:c>
      <x:c r="P152" s="7" t="n">
        <x:v>45679</x:v>
      </x:c>
    </x:row>
    <x:row r="153" ht="26" customHeight="1">
      <x:c r="A153" s="2"/>
      <x:c r="B153" s="2" t="n">
        <x:v>148</x:v>
      </x:c>
      <x:c r="C153" s="2" t="str">
        <x:v>Beauty / price_contribution</x:v>
      </x:c>
      <x:c r="D153" s="7" t="n">
        <x:v>45657</x:v>
      </x:c>
      <x:c r="E153" s="2" t="str">
        <x:v>Prior report</x:v>
      </x:c>
      <x:c r="F153" s="7" t="n">
        <x:v>45583</x:v>
      </x:c>
      <x:c r="G153" s="2" t="str">
        <x:v>Product price</x:v>
      </x:c>
      <x:c r="H153" s="8" t="n">
        <x:f>'Model fits'!AA113</x:f>
        <x:v>2.745451528058204</x:v>
      </x:c>
      <x:c r="I153" s="8" t="n">
        <x:f>0</x:f>
        <x:v>0</x:v>
      </x:c>
      <x:c r="J153" s="8" t="n">
        <x:v>0</x:v>
      </x:c>
      <x:c r="K153" s="8" t="n">
        <x:f>H153-I153*J153</x:f>
        <x:v>2.745451528058204</x:v>
      </x:c>
      <x:c r="L153" s="8" t="n">
        <x:f>'PG facts'!D111</x:f>
        <x:v>2</x:v>
      </x:c>
      <x:c r="M153" s="8" t="n">
        <x:f>K153-L153</x:f>
        <x:v>0.7454515280582039</x:v>
      </x:c>
      <x:c r="N153" s="8" t="n">
        <x:f>M153^2</x:f>
        <x:v>0.5556979806843112</x:v>
      </x:c>
      <x:c r="O153" s="8" t="n">
        <x:f>ABS(M153)</x:f>
        <x:v>0.7454515280582039</x:v>
      </x:c>
      <x:c r="P153" s="7" t="n">
        <x:v>45679</x:v>
      </x:c>
    </x:row>
    <x:row r="154" ht="26" customHeight="1">
      <x:c r="A154" s="2"/>
      <x:c r="B154" s="2" t="n">
        <x:v>149</x:v>
      </x:c>
      <x:c r="C154" s="2" t="str">
        <x:v>Beauty / price_contribution</x:v>
      </x:c>
      <x:c r="D154" s="7" t="n">
        <x:v>45657</x:v>
      </x:c>
      <x:c r="E154" s="2" t="str">
        <x:v>Prior report</x:v>
      </x:c>
      <x:c r="F154" s="7" t="n">
        <x:v>45583</x:v>
      </x:c>
      <x:c r="G154" s="2" t="str">
        <x:v>Product lag 1</x:v>
      </x:c>
      <x:c r="H154" s="8" t="n">
        <x:f>'Model fits'!AA114</x:f>
        <x:v>3.38298291792225</x:v>
      </x:c>
      <x:c r="I154" s="8" t="n">
        <x:f>0</x:f>
        <x:v>0</x:v>
      </x:c>
      <x:c r="J154" s="8" t="n">
        <x:v>0</x:v>
      </x:c>
      <x:c r="K154" s="8" t="n">
        <x:f>H154-I154*J154</x:f>
        <x:v>3.38298291792225</x:v>
      </x:c>
      <x:c r="L154" s="8" t="n">
        <x:f>'PG facts'!D111</x:f>
        <x:v>2</x:v>
      </x:c>
      <x:c r="M154" s="8" t="n">
        <x:f>K154-L154</x:f>
        <x:v>1.38298291792225</x:v>
      </x:c>
      <x:c r="N154" s="8" t="n">
        <x:f>M154^2</x:f>
        <x:v>1.9126417512647407</x:v>
      </x:c>
      <x:c r="O154" s="8" t="n">
        <x:f>ABS(M154)</x:f>
        <x:v>1.38298291792225</x:v>
      </x:c>
      <x:c r="P154" s="7" t="n">
        <x:v>45679</x:v>
      </x:c>
    </x:row>
    <x:row r="155" ht="26" customHeight="1">
      <x:c r="A155" s="2"/>
      <x:c r="B155" s="2" t="n">
        <x:v>150</x:v>
      </x:c>
      <x:c r="C155" s="2" t="str">
        <x:v>Beauty / price_contribution</x:v>
      </x:c>
      <x:c r="D155" s="7" t="n">
        <x:v>45657</x:v>
      </x:c>
      <x:c r="E155" s="2" t="str">
        <x:v>Prior report</x:v>
      </x:c>
      <x:c r="F155" s="7" t="n">
        <x:v>45583</x:v>
      </x:c>
      <x:c r="G155" s="2" t="str">
        <x:v>Own + product</x:v>
      </x:c>
      <x:c r="H155" s="8" t="n">
        <x:f>'Model fits'!AA115</x:f>
        <x:v>3.688432345471645</x:v>
      </x:c>
      <x:c r="I155" s="8" t="n">
        <x:f>0</x:f>
        <x:v>0</x:v>
      </x:c>
      <x:c r="J155" s="8" t="n">
        <x:v>0</x:v>
      </x:c>
      <x:c r="K155" s="8" t="n">
        <x:f>H155-I155*J155</x:f>
        <x:v>3.688432345471645</x:v>
      </x:c>
      <x:c r="L155" s="8" t="n">
        <x:f>'PG facts'!D111</x:f>
        <x:v>2</x:v>
      </x:c>
      <x:c r="M155" s="8" t="n">
        <x:f>K155-L155</x:f>
        <x:v>1.6884323454716448</x:v>
      </x:c>
      <x:c r="N155" s="8" t="n">
        <x:f>M155^2</x:f>
        <x:v>2.8508037852348798</x:v>
      </x:c>
      <x:c r="O155" s="8" t="n">
        <x:f>ABS(M155)</x:f>
        <x:v>1.6884323454716448</x:v>
      </x:c>
      <x:c r="P155" s="7" t="n">
        <x:v>45679</x:v>
      </x:c>
    </x:row>
    <x:row r="156" ht="26" customHeight="1">
      <x:c r="A156" s="2"/>
      <x:c r="B156" s="2" t="n">
        <x:v>151</x:v>
      </x:c>
      <x:c r="C156" s="2" t="str">
        <x:v>Beauty / price_contribution</x:v>
      </x:c>
      <x:c r="D156" s="7" t="n">
        <x:v>45657</x:v>
      </x:c>
      <x:c r="E156" s="2" t="str">
        <x:v>Pre-earnings</x:v>
      </x:c>
      <x:c r="F156" s="7" t="n">
        <x:v>45678</x:v>
      </x:c>
      <x:c r="G156" s="2" t="str">
        <x:v>Last actual</x:v>
      </x:c>
      <x:c r="H156" s="8" t="n">
        <x:f>AVERAGE('PG facts'!D104)</x:f>
        <x:v>1</x:v>
      </x:c>
      <x:c r="I156" s="8" t="n">
        <x:f>0</x:f>
        <x:v>0</x:v>
      </x:c>
      <x:c r="J156" s="8" t="n">
        <x:v>0</x:v>
      </x:c>
      <x:c r="K156" s="8" t="n">
        <x:f>H156-I156*J156</x:f>
        <x:v>1</x:v>
      </x:c>
      <x:c r="L156" s="8" t="n">
        <x:f>'PG facts'!D111</x:f>
        <x:v>2</x:v>
      </x:c>
      <x:c r="M156" s="8" t="n">
        <x:f>K156-L156</x:f>
        <x:v>-1</x:v>
      </x:c>
      <x:c r="N156" s="8" t="n">
        <x:f>M156^2</x:f>
        <x:v>1</x:v>
      </x:c>
      <x:c r="O156" s="8" t="n">
        <x:f>ABS(M156)</x:f>
        <x:v>1</x:v>
      </x:c>
      <x:c r="P156" s="7" t="n">
        <x:v>45679</x:v>
      </x:c>
    </x:row>
    <x:row r="157" ht="26" customHeight="1">
      <x:c r="A157" s="2"/>
      <x:c r="B157" s="2" t="n">
        <x:v>152</x:v>
      </x:c>
      <x:c r="C157" s="2" t="str">
        <x:v>Beauty / price_contribution</x:v>
      </x:c>
      <x:c r="D157" s="7" t="n">
        <x:v>45657</x:v>
      </x:c>
      <x:c r="E157" s="2" t="str">
        <x:v>Pre-earnings</x:v>
      </x:c>
      <x:c r="F157" s="7" t="n">
        <x:v>45678</x:v>
      </x:c>
      <x:c r="G157" s="2" t="str">
        <x:v>Four-quarter mean</x:v>
      </x:c>
      <x:c r="H157" s="8" t="n">
        <x:f>AVERAGE('PG facts'!D83,'PG facts'!D90,'PG facts'!D97,'PG facts'!D104)</x:f>
        <x:v>3</x:v>
      </x:c>
      <x:c r="I157" s="8" t="n">
        <x:f>0</x:f>
        <x:v>0</x:v>
      </x:c>
      <x:c r="J157" s="8" t="n">
        <x:v>0</x:v>
      </x:c>
      <x:c r="K157" s="8" t="n">
        <x:f>H157-I157*J157</x:f>
        <x:v>3</x:v>
      </x:c>
      <x:c r="L157" s="8" t="n">
        <x:f>'PG facts'!D111</x:f>
        <x:v>2</x:v>
      </x:c>
      <x:c r="M157" s="8" t="n">
        <x:f>K157-L157</x:f>
        <x:v>1</x:v>
      </x:c>
      <x:c r="N157" s="8" t="n">
        <x:f>M157^2</x:f>
        <x:v>1</x:v>
      </x:c>
      <x:c r="O157" s="8" t="n">
        <x:f>ABS(M157)</x:f>
        <x:v>1</x:v>
      </x:c>
      <x:c r="P157" s="7" t="n">
        <x:v>45679</x:v>
      </x:c>
    </x:row>
    <x:row r="158" ht="26" customHeight="1">
      <x:c r="A158" s="2"/>
      <x:c r="B158" s="2" t="n">
        <x:v>153</x:v>
      </x:c>
      <x:c r="C158" s="2" t="str">
        <x:v>Beauty / price_contribution</x:v>
      </x:c>
      <x:c r="D158" s="7" t="n">
        <x:v>45657</x:v>
      </x:c>
      <x:c r="E158" s="2" t="str">
        <x:v>Pre-earnings</x:v>
      </x:c>
      <x:c r="F158" s="7" t="n">
        <x:v>45678</x:v>
      </x:c>
      <x:c r="G158" s="2" t="str">
        <x:v>Broad market</x:v>
      </x:c>
      <x:c r="H158" s="8" t="n">
        <x:f>'Model fits'!AA116</x:f>
        <x:v>2.555361096877106</x:v>
      </x:c>
      <x:c r="I158" s="8" t="n">
        <x:f>0</x:f>
        <x:v>0</x:v>
      </x:c>
      <x:c r="J158" s="8" t="n">
        <x:v>0</x:v>
      </x:c>
      <x:c r="K158" s="8" t="n">
        <x:f>H158-I158*J158</x:f>
        <x:v>2.555361096877106</x:v>
      </x:c>
      <x:c r="L158" s="8" t="n">
        <x:f>'PG facts'!D111</x:f>
        <x:v>2</x:v>
      </x:c>
      <x:c r="M158" s="8" t="n">
        <x:f>K158-L158</x:f>
        <x:v>0.5553610968771059</x:v>
      </x:c>
      <x:c r="N158" s="8" t="n">
        <x:f>M158^2</x:f>
        <x:v>0.3084259479245422</x:v>
      </x:c>
      <x:c r="O158" s="8" t="n">
        <x:f>ABS(M158)</x:f>
        <x:v>0.5553610968771059</x:v>
      </x:c>
      <x:c r="P158" s="7" t="n">
        <x:v>45679</x:v>
      </x:c>
    </x:row>
    <x:row r="159" ht="26" customHeight="1">
      <x:c r="A159" s="2"/>
      <x:c r="B159" s="2" t="n">
        <x:v>154</x:v>
      </x:c>
      <x:c r="C159" s="2" t="str">
        <x:v>Beauty / price_contribution</x:v>
      </x:c>
      <x:c r="D159" s="7" t="n">
        <x:v>45657</x:v>
      </x:c>
      <x:c r="E159" s="2" t="str">
        <x:v>Pre-earnings</x:v>
      </x:c>
      <x:c r="F159" s="7" t="n">
        <x:v>45678</x:v>
      </x:c>
      <x:c r="G159" s="2" t="str">
        <x:v>Broad lag 1</x:v>
      </x:c>
      <x:c r="H159" s="8" t="n">
        <x:f>'Model fits'!AA117</x:f>
        <x:v>3.197139177040514</x:v>
      </x:c>
      <x:c r="I159" s="8" t="n">
        <x:f>0</x:f>
        <x:v>0</x:v>
      </x:c>
      <x:c r="J159" s="8" t="n">
        <x:v>0</x:v>
      </x:c>
      <x:c r="K159" s="8" t="n">
        <x:f>H159-I159*J159</x:f>
        <x:v>3.197139177040514</x:v>
      </x:c>
      <x:c r="L159" s="8" t="n">
        <x:f>'PG facts'!D111</x:f>
        <x:v>2</x:v>
      </x:c>
      <x:c r="M159" s="8" t="n">
        <x:f>K159-L159</x:f>
        <x:v>1.1971391770405142</x:v>
      </x:c>
      <x:c r="N159" s="8" t="n">
        <x:f>M159^2</x:f>
        <x:v>1.4331422092052397</x:v>
      </x:c>
      <x:c r="O159" s="8" t="n">
        <x:f>ABS(M159)</x:f>
        <x:v>1.1971391770405142</x:v>
      </x:c>
      <x:c r="P159" s="7" t="n">
        <x:v>45679</x:v>
      </x:c>
    </x:row>
    <x:row r="160" ht="26" customHeight="1">
      <x:c r="A160" s="2"/>
      <x:c r="B160" s="2" t="n">
        <x:v>155</x:v>
      </x:c>
      <x:c r="C160" s="2" t="str">
        <x:v>Beauty / price_contribution</x:v>
      </x:c>
      <x:c r="D160" s="7" t="n">
        <x:v>45657</x:v>
      </x:c>
      <x:c r="E160" s="2" t="str">
        <x:v>Pre-earnings</x:v>
      </x:c>
      <x:c r="F160" s="7" t="n">
        <x:v>45678</x:v>
      </x:c>
      <x:c r="G160" s="2" t="str">
        <x:v>Broad rolling 8</x:v>
      </x:c>
      <x:c r="H160" s="8" t="n">
        <x:f>'Model fits'!AA118</x:f>
        <x:v>0.8820980763533868</x:v>
      </x:c>
      <x:c r="I160" s="8" t="n">
        <x:f>0</x:f>
        <x:v>0</x:v>
      </x:c>
      <x:c r="J160" s="8" t="n">
        <x:v>0</x:v>
      </x:c>
      <x:c r="K160" s="8" t="n">
        <x:f>H160-I160*J160</x:f>
        <x:v>0.8820980763533868</x:v>
      </x:c>
      <x:c r="L160" s="8" t="n">
        <x:f>'PG facts'!D111</x:f>
        <x:v>2</x:v>
      </x:c>
      <x:c r="M160" s="8" t="n">
        <x:f>K160-L160</x:f>
        <x:v>-1.1179019236466132</x:v>
      </x:c>
      <x:c r="N160" s="8" t="n">
        <x:f>M160^2</x:f>
        <x:v>1.2497047108927983</x:v>
      </x:c>
      <x:c r="O160" s="8" t="n">
        <x:f>ABS(M160)</x:f>
        <x:v>1.1179019236466132</x:v>
      </x:c>
      <x:c r="P160" s="7" t="n">
        <x:v>45679</x:v>
      </x:c>
    </x:row>
    <x:row r="161" ht="26" customHeight="1">
      <x:c r="A161" s="2"/>
      <x:c r="B161" s="2" t="n">
        <x:v>156</x:v>
      </x:c>
      <x:c r="C161" s="2" t="str">
        <x:v>Beauty / price_contribution</x:v>
      </x:c>
      <x:c r="D161" s="7" t="n">
        <x:v>45657</x:v>
      </x:c>
      <x:c r="E161" s="2" t="str">
        <x:v>Pre-earnings</x:v>
      </x:c>
      <x:c r="F161" s="7" t="n">
        <x:v>45678</x:v>
      </x:c>
      <x:c r="G161" s="2" t="str">
        <x:v>Own history</x:v>
      </x:c>
      <x:c r="H161" s="8" t="n">
        <x:f>'Model fits'!AA119</x:f>
        <x:v>1.6978021978021982</x:v>
      </x:c>
      <x:c r="I161" s="8" t="n">
        <x:f>0</x:f>
        <x:v>0</x:v>
      </x:c>
      <x:c r="J161" s="8" t="n">
        <x:v>0</x:v>
      </x:c>
      <x:c r="K161" s="8" t="n">
        <x:f>H161-I161*J161</x:f>
        <x:v>1.6978021978021982</x:v>
      </x:c>
      <x:c r="L161" s="8" t="n">
        <x:f>'PG facts'!D111</x:f>
        <x:v>2</x:v>
      </x:c>
      <x:c r="M161" s="8" t="n">
        <x:f>K161-L161</x:f>
        <x:v>-0.3021978021978018</x:v>
      </x:c>
      <x:c r="N161" s="8" t="n">
        <x:f>M161^2</x:f>
        <x:v>0.09132351165318174</x:v>
      </x:c>
      <x:c r="O161" s="8" t="n">
        <x:f>ABS(M161)</x:f>
        <x:v>0.3021978021978018</x:v>
      </x:c>
      <x:c r="P161" s="7" t="n">
        <x:v>45679</x:v>
      </x:c>
    </x:row>
    <x:row r="162" ht="26" customHeight="1">
      <x:c r="A162" s="2"/>
      <x:c r="B162" s="2" t="n">
        <x:v>157</x:v>
      </x:c>
      <x:c r="C162" s="2" t="str">
        <x:v>Beauty / price_contribution</x:v>
      </x:c>
      <x:c r="D162" s="7" t="n">
        <x:v>45657</x:v>
      </x:c>
      <x:c r="E162" s="2" t="str">
        <x:v>Pre-earnings</x:v>
      </x:c>
      <x:c r="F162" s="7" t="n">
        <x:v>45678</x:v>
      </x:c>
      <x:c r="G162" s="2" t="str">
        <x:v>Product price</x:v>
      </x:c>
      <x:c r="H162" s="8" t="n">
        <x:f>'Model fits'!AA120</x:f>
        <x:v>2.6091014555482253</x:v>
      </x:c>
      <x:c r="I162" s="8" t="n">
        <x:f>0</x:f>
        <x:v>0</x:v>
      </x:c>
      <x:c r="J162" s="8" t="n">
        <x:v>0</x:v>
      </x:c>
      <x:c r="K162" s="8" t="n">
        <x:f>H162-I162*J162</x:f>
        <x:v>2.6091014555482253</x:v>
      </x:c>
      <x:c r="L162" s="8" t="n">
        <x:f>'PG facts'!D111</x:f>
        <x:v>2</x:v>
      </x:c>
      <x:c r="M162" s="8" t="n">
        <x:f>K162-L162</x:f>
        <x:v>0.6091014555482253</x:v>
      </x:c>
      <x:c r="N162" s="8" t="n">
        <x:f>M162^2</x:f>
        <x:v>0.3710045831509666</x:v>
      </x:c>
      <x:c r="O162" s="8" t="n">
        <x:f>ABS(M162)</x:f>
        <x:v>0.6091014555482253</x:v>
      </x:c>
      <x:c r="P162" s="7" t="n">
        <x:v>45679</x:v>
      </x:c>
    </x:row>
    <x:row r="163" ht="26" customHeight="1">
      <x:c r="A163" s="2"/>
      <x:c r="B163" s="2" t="n">
        <x:v>158</x:v>
      </x:c>
      <x:c r="C163" s="2" t="str">
        <x:v>Beauty / price_contribution</x:v>
      </x:c>
      <x:c r="D163" s="7" t="n">
        <x:v>45657</x:v>
      </x:c>
      <x:c r="E163" s="2" t="str">
        <x:v>Pre-earnings</x:v>
      </x:c>
      <x:c r="F163" s="7" t="n">
        <x:v>45678</x:v>
      </x:c>
      <x:c r="G163" s="2" t="str">
        <x:v>Product lag 1</x:v>
      </x:c>
      <x:c r="H163" s="8" t="n">
        <x:f>'Model fits'!AA121</x:f>
        <x:v>3.38298291792225</x:v>
      </x:c>
      <x:c r="I163" s="8" t="n">
        <x:f>0</x:f>
        <x:v>0</x:v>
      </x:c>
      <x:c r="J163" s="8" t="n">
        <x:v>0</x:v>
      </x:c>
      <x:c r="K163" s="8" t="n">
        <x:f>H163-I163*J163</x:f>
        <x:v>3.38298291792225</x:v>
      </x:c>
      <x:c r="L163" s="8" t="n">
        <x:f>'PG facts'!D111</x:f>
        <x:v>2</x:v>
      </x:c>
      <x:c r="M163" s="8" t="n">
        <x:f>K163-L163</x:f>
        <x:v>1.38298291792225</x:v>
      </x:c>
      <x:c r="N163" s="8" t="n">
        <x:f>M163^2</x:f>
        <x:v>1.9126417512647407</x:v>
      </x:c>
      <x:c r="O163" s="8" t="n">
        <x:f>ABS(M163)</x:f>
        <x:v>1.38298291792225</x:v>
      </x:c>
      <x:c r="P163" s="7" t="n">
        <x:v>45679</x:v>
      </x:c>
    </x:row>
    <x:row r="164" ht="26" customHeight="1">
      <x:c r="A164" s="2"/>
      <x:c r="B164" s="2" t="n">
        <x:v>159</x:v>
      </x:c>
      <x:c r="C164" s="2" t="str">
        <x:v>Beauty / price_contribution</x:v>
      </x:c>
      <x:c r="D164" s="7" t="n">
        <x:v>45657</x:v>
      </x:c>
      <x:c r="E164" s="2" t="str">
        <x:v>Pre-earnings</x:v>
      </x:c>
      <x:c r="F164" s="7" t="n">
        <x:v>45678</x:v>
      </x:c>
      <x:c r="G164" s="2" t="str">
        <x:v>Own + product</x:v>
      </x:c>
      <x:c r="H164" s="8" t="n">
        <x:f>'Model fits'!AA122</x:f>
        <x:v>3.4960761952490924</x:v>
      </x:c>
      <x:c r="I164" s="8" t="n">
        <x:f>0</x:f>
        <x:v>0</x:v>
      </x:c>
      <x:c r="J164" s="8" t="n">
        <x:v>0</x:v>
      </x:c>
      <x:c r="K164" s="8" t="n">
        <x:f>H164-I164*J164</x:f>
        <x:v>3.4960761952490924</x:v>
      </x:c>
      <x:c r="L164" s="8" t="n">
        <x:f>'PG facts'!D111</x:f>
        <x:v>2</x:v>
      </x:c>
      <x:c r="M164" s="8" t="n">
        <x:f>K164-L164</x:f>
        <x:v>1.4960761952490924</x:v>
      </x:c>
      <x:c r="N164" s="8" t="n">
        <x:f>M164^2</x:f>
        <x:v>2.2382439819910003</x:v>
      </x:c>
      <x:c r="O164" s="8" t="n">
        <x:f>ABS(M164)</x:f>
        <x:v>1.4960761952490924</x:v>
      </x:c>
      <x:c r="P164" s="7" t="n">
        <x:v>45679</x:v>
      </x:c>
    </x:row>
    <x:row r="165" ht="26" customHeight="1">
      <x:c r="A165" s="2"/>
      <x:c r="B165" s="2" t="n">
        <x:v>160</x:v>
      </x:c>
      <x:c r="C165" s="2" t="str">
        <x:v>Beauty / price_contribution</x:v>
      </x:c>
      <x:c r="D165" s="7" t="n">
        <x:v>45747</x:v>
      </x:c>
      <x:c r="E165" s="2" t="str">
        <x:v>Origin</x:v>
      </x:c>
      <x:c r="F165" s="7" t="n">
        <x:v>45658</x:v>
      </x:c>
      <x:c r="G165" s="2" t="str">
        <x:v>Last actual</x:v>
      </x:c>
      <x:c r="H165" s="8" t="n">
        <x:f>AVERAGE('PG facts'!D104)</x:f>
        <x:v>1</x:v>
      </x:c>
      <x:c r="I165" s="8" t="n">
        <x:f>0</x:f>
        <x:v>0</x:v>
      </x:c>
      <x:c r="J165" s="8" t="n">
        <x:v>0</x:v>
      </x:c>
      <x:c r="K165" s="8" t="n">
        <x:f>H165-I165*J165</x:f>
        <x:v>1</x:v>
      </x:c>
      <x:c r="L165" s="8" t="n">
        <x:f>'PG facts'!D118</x:f>
        <x:v>3</x:v>
      </x:c>
      <x:c r="M165" s="8" t="n">
        <x:f>K165-L165</x:f>
        <x:v>-2</x:v>
      </x:c>
      <x:c r="N165" s="8" t="n">
        <x:f>M165^2</x:f>
        <x:v>4</x:v>
      </x:c>
      <x:c r="O165" s="8" t="n">
        <x:f>ABS(M165)</x:f>
        <x:v>2</x:v>
      </x:c>
      <x:c r="P165" s="7" t="n">
        <x:v>45771</x:v>
      </x:c>
    </x:row>
    <x:row r="166" ht="26" customHeight="1">
      <x:c r="A166" s="2"/>
      <x:c r="B166" s="2" t="n">
        <x:v>161</x:v>
      </x:c>
      <x:c r="C166" s="2" t="str">
        <x:v>Beauty / price_contribution</x:v>
      </x:c>
      <x:c r="D166" s="7" t="n">
        <x:v>45747</x:v>
      </x:c>
      <x:c r="E166" s="2" t="str">
        <x:v>Origin</x:v>
      </x:c>
      <x:c r="F166" s="7" t="n">
        <x:v>45658</x:v>
      </x:c>
      <x:c r="G166" s="2" t="str">
        <x:v>Four-quarter mean</x:v>
      </x:c>
      <x:c r="H166" s="8" t="n">
        <x:f>AVERAGE('PG facts'!D83,'PG facts'!D90,'PG facts'!D97,'PG facts'!D104)</x:f>
        <x:v>3</x:v>
      </x:c>
      <x:c r="I166" s="8" t="n">
        <x:f>0</x:f>
        <x:v>0</x:v>
      </x:c>
      <x:c r="J166" s="8" t="n">
        <x:v>0</x:v>
      </x:c>
      <x:c r="K166" s="8" t="n">
        <x:f>H166-I166*J166</x:f>
        <x:v>3</x:v>
      </x:c>
      <x:c r="L166" s="8" t="n">
        <x:f>'PG facts'!D118</x:f>
        <x:v>3</x:v>
      </x:c>
      <x:c r="M166" s="8" t="n">
        <x:f>K166-L166</x:f>
        <x:v>0</x:v>
      </x:c>
      <x:c r="N166" s="8" t="n">
        <x:f>M166^2</x:f>
        <x:v>0</x:v>
      </x:c>
      <x:c r="O166" s="8" t="n">
        <x:f>ABS(M166)</x:f>
        <x:v>0</x:v>
      </x:c>
      <x:c r="P166" s="7" t="n">
        <x:v>45771</x:v>
      </x:c>
    </x:row>
    <x:row r="167" ht="26" customHeight="1">
      <x:c r="A167" s="2"/>
      <x:c r="B167" s="2" t="n">
        <x:v>162</x:v>
      </x:c>
      <x:c r="C167" s="2" t="str">
        <x:v>Beauty / price_contribution</x:v>
      </x:c>
      <x:c r="D167" s="7" t="n">
        <x:v>45747</x:v>
      </x:c>
      <x:c r="E167" s="2" t="str">
        <x:v>Origin</x:v>
      </x:c>
      <x:c r="F167" s="7" t="n">
        <x:v>45658</x:v>
      </x:c>
      <x:c r="G167" s="2" t="str">
        <x:v>Broad market</x:v>
      </x:c>
      <x:c r="H167" s="8" t="n">
        <x:f>'Model fits'!AA123</x:f>
        <x:v>2.454823426996117</x:v>
      </x:c>
      <x:c r="I167" s="8" t="n">
        <x:f>0</x:f>
        <x:v>0</x:v>
      </x:c>
      <x:c r="J167" s="8" t="n">
        <x:v>0</x:v>
      </x:c>
      <x:c r="K167" s="8" t="n">
        <x:f>H167-I167*J167</x:f>
        <x:v>2.454823426996117</x:v>
      </x:c>
      <x:c r="L167" s="8" t="n">
        <x:f>'PG facts'!D118</x:f>
        <x:v>3</x:v>
      </x:c>
      <x:c r="M167" s="8" t="n">
        <x:f>K167-L167</x:f>
        <x:v>-0.5451765730038831</x:v>
      </x:c>
      <x:c r="N167" s="8" t="n">
        <x:f>M167^2</x:f>
        <x:v>0.2972174957522583</x:v>
      </x:c>
      <x:c r="O167" s="8" t="n">
        <x:f>ABS(M167)</x:f>
        <x:v>0.5451765730038831</x:v>
      </x:c>
      <x:c r="P167" s="7" t="n">
        <x:v>45771</x:v>
      </x:c>
    </x:row>
    <x:row r="168" ht="26" customHeight="1">
      <x:c r="A168" s="2"/>
      <x:c r="B168" s="2" t="n">
        <x:v>163</x:v>
      </x:c>
      <x:c r="C168" s="2" t="str">
        <x:v>Beauty / price_contribution</x:v>
      </x:c>
      <x:c r="D168" s="7" t="n">
        <x:v>45747</x:v>
      </x:c>
      <x:c r="E168" s="2" t="str">
        <x:v>Origin</x:v>
      </x:c>
      <x:c r="F168" s="7" t="n">
        <x:v>45658</x:v>
      </x:c>
      <x:c r="G168" s="2" t="str">
        <x:v>Broad rolling 8</x:v>
      </x:c>
      <x:c r="H168" s="8" t="n">
        <x:f>'Model fits'!AA124</x:f>
        <x:v>0.7464153074801189</x:v>
      </x:c>
      <x:c r="I168" s="8" t="n">
        <x:f>0</x:f>
        <x:v>0</x:v>
      </x:c>
      <x:c r="J168" s="8" t="n">
        <x:v>0</x:v>
      </x:c>
      <x:c r="K168" s="8" t="n">
        <x:f>H168-I168*J168</x:f>
        <x:v>0.7464153074801189</x:v>
      </x:c>
      <x:c r="L168" s="8" t="n">
        <x:f>'PG facts'!D118</x:f>
        <x:v>3</x:v>
      </x:c>
      <x:c r="M168" s="8" t="n">
        <x:f>K168-L168</x:f>
        <x:v>-2.253584692519881</x:v>
      </x:c>
      <x:c r="N168" s="8" t="n">
        <x:f>M168^2</x:f>
        <x:v>5.078643966359927</x:v>
      </x:c>
      <x:c r="O168" s="8" t="n">
        <x:f>ABS(M168)</x:f>
        <x:v>2.253584692519881</x:v>
      </x:c>
      <x:c r="P168" s="7" t="n">
        <x:v>45771</x:v>
      </x:c>
    </x:row>
    <x:row r="169" ht="26" customHeight="1">
      <x:c r="A169" s="2"/>
      <x:c r="B169" s="2" t="n">
        <x:v>164</x:v>
      </x:c>
      <x:c r="C169" s="2" t="str">
        <x:v>Beauty / price_contribution</x:v>
      </x:c>
      <x:c r="D169" s="7" t="n">
        <x:v>45747</x:v>
      </x:c>
      <x:c r="E169" s="2" t="str">
        <x:v>Origin</x:v>
      </x:c>
      <x:c r="F169" s="7" t="n">
        <x:v>45658</x:v>
      </x:c>
      <x:c r="G169" s="2" t="str">
        <x:v>Own history</x:v>
      </x:c>
      <x:c r="H169" s="8" t="n">
        <x:f>'Model fits'!AA125</x:f>
        <x:v>2.801670146137787</x:v>
      </x:c>
      <x:c r="I169" s="8" t="n">
        <x:f>0</x:f>
        <x:v>0</x:v>
      </x:c>
      <x:c r="J169" s="8" t="n">
        <x:v>0</x:v>
      </x:c>
      <x:c r="K169" s="8" t="n">
        <x:f>H169-I169*J169</x:f>
        <x:v>2.801670146137787</x:v>
      </x:c>
      <x:c r="L169" s="8" t="n">
        <x:f>'PG facts'!D118</x:f>
        <x:v>3</x:v>
      </x:c>
      <x:c r="M169" s="8" t="n">
        <x:f>K169-L169</x:f>
        <x:v>-0.19832985386221313</x:v>
      </x:c>
      <x:c r="N169" s="8" t="n">
        <x:f>M169^2</x:f>
        <x:v>0.039334730933006816</x:v>
      </x:c>
      <x:c r="O169" s="8" t="n">
        <x:f>ABS(M169)</x:f>
        <x:v>0.19832985386221313</x:v>
      </x:c>
      <x:c r="P169" s="7" t="n">
        <x:v>45771</x:v>
      </x:c>
    </x:row>
    <x:row r="170" ht="26" customHeight="1">
      <x:c r="A170" s="2"/>
      <x:c r="B170" s="2" t="n">
        <x:v>165</x:v>
      </x:c>
      <x:c r="C170" s="2" t="str">
        <x:v>Beauty / price_contribution</x:v>
      </x:c>
      <x:c r="D170" s="7" t="n">
        <x:v>45747</x:v>
      </x:c>
      <x:c r="E170" s="2" t="str">
        <x:v>Origin</x:v>
      </x:c>
      <x:c r="F170" s="7" t="n">
        <x:v>45658</x:v>
      </x:c>
      <x:c r="G170" s="2" t="str">
        <x:v>Product price</x:v>
      </x:c>
      <x:c r="H170" s="8" t="n">
        <x:f>'Model fits'!AA126</x:f>
        <x:v>2.3684006818647823</x:v>
      </x:c>
      <x:c r="I170" s="8" t="n">
        <x:f>0</x:f>
        <x:v>0</x:v>
      </x:c>
      <x:c r="J170" s="8" t="n">
        <x:v>0</x:v>
      </x:c>
      <x:c r="K170" s="8" t="n">
        <x:f>H170-I170*J170</x:f>
        <x:v>2.3684006818647823</x:v>
      </x:c>
      <x:c r="L170" s="8" t="n">
        <x:f>'PG facts'!D118</x:f>
        <x:v>3</x:v>
      </x:c>
      <x:c r="M170" s="8" t="n">
        <x:f>K170-L170</x:f>
        <x:v>-0.6315993181352177</x:v>
      </x:c>
      <x:c r="N170" s="8" t="n">
        <x:f>M170^2</x:f>
        <x:v>0.398917698668872</x:v>
      </x:c>
      <x:c r="O170" s="8" t="n">
        <x:f>ABS(M170)</x:f>
        <x:v>0.6315993181352177</x:v>
      </x:c>
      <x:c r="P170" s="7" t="n">
        <x:v>45771</x:v>
      </x:c>
    </x:row>
    <x:row r="171" ht="26" customHeight="1">
      <x:c r="A171" s="2"/>
      <x:c r="B171" s="2" t="n">
        <x:v>166</x:v>
      </x:c>
      <x:c r="C171" s="2" t="str">
        <x:v>Beauty / price_contribution</x:v>
      </x:c>
      <x:c r="D171" s="7" t="n">
        <x:v>45747</x:v>
      </x:c>
      <x:c r="E171" s="2" t="str">
        <x:v>Origin</x:v>
      </x:c>
      <x:c r="F171" s="7" t="n">
        <x:v>45658</x:v>
      </x:c>
      <x:c r="G171" s="2" t="str">
        <x:v>Own + product</x:v>
      </x:c>
      <x:c r="H171" s="8" t="n">
        <x:f>'Model fits'!AA127</x:f>
        <x:v>3.0687066663102276</x:v>
      </x:c>
      <x:c r="I171" s="8" t="n">
        <x:f>0</x:f>
        <x:v>0</x:v>
      </x:c>
      <x:c r="J171" s="8" t="n">
        <x:v>0</x:v>
      </x:c>
      <x:c r="K171" s="8" t="n">
        <x:f>H171-I171*J171</x:f>
        <x:v>3.0687066663102276</x:v>
      </x:c>
      <x:c r="L171" s="8" t="n">
        <x:f>'PG facts'!D118</x:f>
        <x:v>3</x:v>
      </x:c>
      <x:c r="M171" s="8" t="n">
        <x:f>K171-L171</x:f>
        <x:v>0.0687066663102276</x:v>
      </x:c>
      <x:c r="N171" s="8" t="n">
        <x:f>M171^2</x:f>
        <x:v>0.004720605995464963</x:v>
      </x:c>
      <x:c r="O171" s="8" t="n">
        <x:f>ABS(M171)</x:f>
        <x:v>0.0687066663102276</x:v>
      </x:c>
      <x:c r="P171" s="7" t="n">
        <x:v>45771</x:v>
      </x:c>
    </x:row>
    <x:row r="172" ht="26" customHeight="1">
      <x:c r="A172" s="2"/>
      <x:c r="B172" s="2" t="n">
        <x:v>167</x:v>
      </x:c>
      <x:c r="C172" s="2" t="str">
        <x:v>Beauty / price_contribution</x:v>
      </x:c>
      <x:c r="D172" s="7" t="n">
        <x:v>45747</x:v>
      </x:c>
      <x:c r="E172" s="2" t="str">
        <x:v>Prior report</x:v>
      </x:c>
      <x:c r="F172" s="7" t="n">
        <x:v>45679</x:v>
      </x:c>
      <x:c r="G172" s="2" t="str">
        <x:v>Last actual</x:v>
      </x:c>
      <x:c r="H172" s="8" t="n">
        <x:f>AVERAGE('PG facts'!D111)</x:f>
        <x:v>2</x:v>
      </x:c>
      <x:c r="I172" s="8" t="n">
        <x:f>0</x:f>
        <x:v>0</x:v>
      </x:c>
      <x:c r="J172" s="8" t="n">
        <x:v>0</x:v>
      </x:c>
      <x:c r="K172" s="8" t="n">
        <x:f>H172-I172*J172</x:f>
        <x:v>2</x:v>
      </x:c>
      <x:c r="L172" s="8" t="n">
        <x:f>'PG facts'!D118</x:f>
        <x:v>3</x:v>
      </x:c>
      <x:c r="M172" s="8" t="n">
        <x:f>K172-L172</x:f>
        <x:v>-1</x:v>
      </x:c>
      <x:c r="N172" s="8" t="n">
        <x:f>M172^2</x:f>
        <x:v>1</x:v>
      </x:c>
      <x:c r="O172" s="8" t="n">
        <x:f>ABS(M172)</x:f>
        <x:v>1</x:v>
      </x:c>
      <x:c r="P172" s="7" t="n">
        <x:v>45771</x:v>
      </x:c>
    </x:row>
    <x:row r="173" ht="26" customHeight="1">
      <x:c r="A173" s="2"/>
      <x:c r="B173" s="2" t="n">
        <x:v>168</x:v>
      </x:c>
      <x:c r="C173" s="2" t="str">
        <x:v>Beauty / price_contribution</x:v>
      </x:c>
      <x:c r="D173" s="7" t="n">
        <x:v>45747</x:v>
      </x:c>
      <x:c r="E173" s="2" t="str">
        <x:v>Prior report</x:v>
      </x:c>
      <x:c r="F173" s="7" t="n">
        <x:v>45679</x:v>
      </x:c>
      <x:c r="G173" s="2" t="str">
        <x:v>Four-quarter mean</x:v>
      </x:c>
      <x:c r="H173" s="8" t="n">
        <x:f>AVERAGE('PG facts'!D90,'PG facts'!D97,'PG facts'!D104,'PG facts'!D111)</x:f>
        <x:v>2.5</x:v>
      </x:c>
      <x:c r="I173" s="8" t="n">
        <x:f>0</x:f>
        <x:v>0</x:v>
      </x:c>
      <x:c r="J173" s="8" t="n">
        <x:v>0</x:v>
      </x:c>
      <x:c r="K173" s="8" t="n">
        <x:f>H173-I173*J173</x:f>
        <x:v>2.5</x:v>
      </x:c>
      <x:c r="L173" s="8" t="n">
        <x:f>'PG facts'!D118</x:f>
        <x:v>3</x:v>
      </x:c>
      <x:c r="M173" s="8" t="n">
        <x:f>K173-L173</x:f>
        <x:v>-0.5</x:v>
      </x:c>
      <x:c r="N173" s="8" t="n">
        <x:f>M173^2</x:f>
        <x:v>0.25</x:v>
      </x:c>
      <x:c r="O173" s="8" t="n">
        <x:f>ABS(M173)</x:f>
        <x:v>0.5</x:v>
      </x:c>
      <x:c r="P173" s="7" t="n">
        <x:v>45771</x:v>
      </x:c>
    </x:row>
    <x:row r="174" ht="26" customHeight="1">
      <x:c r="A174" s="2"/>
      <x:c r="B174" s="2" t="n">
        <x:v>169</x:v>
      </x:c>
      <x:c r="C174" s="2" t="str">
        <x:v>Beauty / price_contribution</x:v>
      </x:c>
      <x:c r="D174" s="7" t="n">
        <x:v>45747</x:v>
      </x:c>
      <x:c r="E174" s="2" t="str">
        <x:v>Prior report</x:v>
      </x:c>
      <x:c r="F174" s="7" t="n">
        <x:v>45679</x:v>
      </x:c>
      <x:c r="G174" s="2" t="str">
        <x:v>Broad market</x:v>
      </x:c>
      <x:c r="H174" s="8" t="n">
        <x:f>'Model fits'!AA128</x:f>
        <x:v>2.4938075863758336</x:v>
      </x:c>
      <x:c r="I174" s="8" t="n">
        <x:f>0</x:f>
        <x:v>0</x:v>
      </x:c>
      <x:c r="J174" s="8" t="n">
        <x:v>0</x:v>
      </x:c>
      <x:c r="K174" s="8" t="n">
        <x:f>H174-I174*J174</x:f>
        <x:v>2.4938075863758336</x:v>
      </x:c>
      <x:c r="L174" s="8" t="n">
        <x:f>'PG facts'!D118</x:f>
        <x:v>3</x:v>
      </x:c>
      <x:c r="M174" s="8" t="n">
        <x:f>K174-L174</x:f>
        <x:v>-0.5061924136241664</x:v>
      </x:c>
      <x:c r="N174" s="8" t="n">
        <x:f>M174^2</x:f>
        <x:v>0.2562307596106592</x:v>
      </x:c>
      <x:c r="O174" s="8" t="n">
        <x:f>ABS(M174)</x:f>
        <x:v>0.5061924136241664</x:v>
      </x:c>
      <x:c r="P174" s="7" t="n">
        <x:v>45771</x:v>
      </x:c>
    </x:row>
    <x:row r="175" ht="26" customHeight="1">
      <x:c r="A175" s="2"/>
      <x:c r="B175" s="2" t="n">
        <x:v>170</x:v>
      </x:c>
      <x:c r="C175" s="2" t="str">
        <x:v>Beauty / price_contribution</x:v>
      </x:c>
      <x:c r="D175" s="7" t="n">
        <x:v>45747</x:v>
      </x:c>
      <x:c r="E175" s="2" t="str">
        <x:v>Prior report</x:v>
      </x:c>
      <x:c r="F175" s="7" t="n">
        <x:v>45679</x:v>
      </x:c>
      <x:c r="G175" s="2" t="str">
        <x:v>Broad lag 1</x:v>
      </x:c>
      <x:c r="H175" s="8" t="n">
        <x:f>'Model fits'!AA129</x:f>
        <x:v>3.026216745871722</x:v>
      </x:c>
      <x:c r="I175" s="8" t="n">
        <x:f>0</x:f>
        <x:v>0</x:v>
      </x:c>
      <x:c r="J175" s="8" t="n">
        <x:v>0</x:v>
      </x:c>
      <x:c r="K175" s="8" t="n">
        <x:f>H175-I175*J175</x:f>
        <x:v>3.026216745871722</x:v>
      </x:c>
      <x:c r="L175" s="8" t="n">
        <x:f>'PG facts'!D118</x:f>
        <x:v>3</x:v>
      </x:c>
      <x:c r="M175" s="8" t="n">
        <x:f>K175-L175</x:f>
        <x:v>0.026216745871721958</x:v>
      </x:c>
      <x:c r="N175" s="8" t="n">
        <x:f>M175^2</x:f>
        <x:v>0.0006873177641024504</x:v>
      </x:c>
      <x:c r="O175" s="8" t="n">
        <x:f>ABS(M175)</x:f>
        <x:v>0.026216745871721958</x:v>
      </x:c>
      <x:c r="P175" s="7" t="n">
        <x:v>45771</x:v>
      </x:c>
    </x:row>
    <x:row r="176" ht="26" customHeight="1">
      <x:c r="A176" s="2"/>
      <x:c r="B176" s="2" t="n">
        <x:v>171</x:v>
      </x:c>
      <x:c r="C176" s="2" t="str">
        <x:v>Beauty / price_contribution</x:v>
      </x:c>
      <x:c r="D176" s="7" t="n">
        <x:v>45747</x:v>
      </x:c>
      <x:c r="E176" s="2" t="str">
        <x:v>Prior report</x:v>
      </x:c>
      <x:c r="F176" s="7" t="n">
        <x:v>45679</x:v>
      </x:c>
      <x:c r="G176" s="2" t="str">
        <x:v>Broad rolling 8</x:v>
      </x:c>
      <x:c r="H176" s="8" t="n">
        <x:f>'Model fits'!AA130</x:f>
        <x:v>1.3307135148456948</x:v>
      </x:c>
      <x:c r="I176" s="8" t="n">
        <x:f>0</x:f>
        <x:v>0</x:v>
      </x:c>
      <x:c r="J176" s="8" t="n">
        <x:v>0</x:v>
      </x:c>
      <x:c r="K176" s="8" t="n">
        <x:f>H176-I176*J176</x:f>
        <x:v>1.3307135148456948</x:v>
      </x:c>
      <x:c r="L176" s="8" t="n">
        <x:f>'PG facts'!D118</x:f>
        <x:v>3</x:v>
      </x:c>
      <x:c r="M176" s="8" t="n">
        <x:f>K176-L176</x:f>
        <x:v>-1.6692864851543052</x:v>
      </x:c>
      <x:c r="N176" s="8" t="n">
        <x:f>M176^2</x:f>
        <x:v>2.7865173695188146</x:v>
      </x:c>
      <x:c r="O176" s="8" t="n">
        <x:f>ABS(M176)</x:f>
        <x:v>1.6692864851543052</x:v>
      </x:c>
      <x:c r="P176" s="7" t="n">
        <x:v>45771</x:v>
      </x:c>
    </x:row>
    <x:row r="177" ht="26" customHeight="1">
      <x:c r="A177" s="2"/>
      <x:c r="B177" s="2" t="n">
        <x:v>172</x:v>
      </x:c>
      <x:c r="C177" s="2" t="str">
        <x:v>Beauty / price_contribution</x:v>
      </x:c>
      <x:c r="D177" s="7" t="n">
        <x:v>45747</x:v>
      </x:c>
      <x:c r="E177" s="2" t="str">
        <x:v>Prior report</x:v>
      </x:c>
      <x:c r="F177" s="7" t="n">
        <x:v>45679</x:v>
      </x:c>
      <x:c r="G177" s="2" t="str">
        <x:v>Own history</x:v>
      </x:c>
      <x:c r="H177" s="8" t="n">
        <x:f>'Model fits'!AA131</x:f>
        <x:v>2.5588235294117645</x:v>
      </x:c>
      <x:c r="I177" s="8" t="n">
        <x:f>0</x:f>
        <x:v>0</x:v>
      </x:c>
      <x:c r="J177" s="8" t="n">
        <x:v>0</x:v>
      </x:c>
      <x:c r="K177" s="8" t="n">
        <x:f>H177-I177*J177</x:f>
        <x:v>2.5588235294117645</x:v>
      </x:c>
      <x:c r="L177" s="8" t="n">
        <x:f>'PG facts'!D118</x:f>
        <x:v>3</x:v>
      </x:c>
      <x:c r="M177" s="8" t="n">
        <x:f>K177-L177</x:f>
        <x:v>-0.4411764705882355</x:v>
      </x:c>
      <x:c r="N177" s="8" t="n">
        <x:f>M177^2</x:f>
        <x:v>0.19463667820069222</x:v>
      </x:c>
      <x:c r="O177" s="8" t="n">
        <x:f>ABS(M177)</x:f>
        <x:v>0.4411764705882355</x:v>
      </x:c>
      <x:c r="P177" s="7" t="n">
        <x:v>45771</x:v>
      </x:c>
    </x:row>
    <x:row r="178" ht="26" customHeight="1">
      <x:c r="A178" s="2"/>
      <x:c r="B178" s="2" t="n">
        <x:v>173</x:v>
      </x:c>
      <x:c r="C178" s="2" t="str">
        <x:v>Beauty / price_contribution</x:v>
      </x:c>
      <x:c r="D178" s="7" t="n">
        <x:v>45747</x:v>
      </x:c>
      <x:c r="E178" s="2" t="str">
        <x:v>Prior report</x:v>
      </x:c>
      <x:c r="F178" s="7" t="n">
        <x:v>45679</x:v>
      </x:c>
      <x:c r="G178" s="2" t="str">
        <x:v>Product price</x:v>
      </x:c>
      <x:c r="H178" s="8" t="n">
        <x:f>'Model fits'!AA132</x:f>
        <x:v>2.547476337738075</x:v>
      </x:c>
      <x:c r="I178" s="8" t="n">
        <x:f>0</x:f>
        <x:v>0</x:v>
      </x:c>
      <x:c r="J178" s="8" t="n">
        <x:v>0</x:v>
      </x:c>
      <x:c r="K178" s="8" t="n">
        <x:f>H178-I178*J178</x:f>
        <x:v>2.547476337738075</x:v>
      </x:c>
      <x:c r="L178" s="8" t="n">
        <x:f>'PG facts'!D118</x:f>
        <x:v>3</x:v>
      </x:c>
      <x:c r="M178" s="8" t="n">
        <x:f>K178-L178</x:f>
        <x:v>-0.4525236622619251</x:v>
      </x:c>
      <x:c r="N178" s="8" t="n">
        <x:f>M178^2</x:f>
        <x:v>0.20477766490694485</x:v>
      </x:c>
      <x:c r="O178" s="8" t="n">
        <x:f>ABS(M178)</x:f>
        <x:v>0.4525236622619251</x:v>
      </x:c>
      <x:c r="P178" s="7" t="n">
        <x:v>45771</x:v>
      </x:c>
    </x:row>
    <x:row r="179" ht="26" customHeight="1">
      <x:c r="A179" s="2"/>
      <x:c r="B179" s="2" t="n">
        <x:v>174</x:v>
      </x:c>
      <x:c r="C179" s="2" t="str">
        <x:v>Beauty / price_contribution</x:v>
      </x:c>
      <x:c r="D179" s="7" t="n">
        <x:v>45747</x:v>
      </x:c>
      <x:c r="E179" s="2" t="str">
        <x:v>Prior report</x:v>
      </x:c>
      <x:c r="F179" s="7" t="n">
        <x:v>45679</x:v>
      </x:c>
      <x:c r="G179" s="2" t="str">
        <x:v>Product lag 1</x:v>
      </x:c>
      <x:c r="H179" s="8" t="n">
        <x:f>'Model fits'!AA133</x:f>
        <x:v>3.114258118202011</x:v>
      </x:c>
      <x:c r="I179" s="8" t="n">
        <x:f>0</x:f>
        <x:v>0</x:v>
      </x:c>
      <x:c r="J179" s="8" t="n">
        <x:v>0</x:v>
      </x:c>
      <x:c r="K179" s="8" t="n">
        <x:f>H179-I179*J179</x:f>
        <x:v>3.114258118202011</x:v>
      </x:c>
      <x:c r="L179" s="8" t="n">
        <x:f>'PG facts'!D118</x:f>
        <x:v>3</x:v>
      </x:c>
      <x:c r="M179" s="8" t="n">
        <x:f>K179-L179</x:f>
        <x:v>0.11425811820201082</x:v>
      </x:c>
      <x:c r="N179" s="8" t="n">
        <x:f>M179^2</x:f>
        <x:v>0.013054917575064676</x:v>
      </x:c>
      <x:c r="O179" s="8" t="n">
        <x:f>ABS(M179)</x:f>
        <x:v>0.11425811820201082</x:v>
      </x:c>
      <x:c r="P179" s="7" t="n">
        <x:v>45771</x:v>
      </x:c>
    </x:row>
    <x:row r="180" ht="26" customHeight="1">
      <x:c r="A180" s="2"/>
      <x:c r="B180" s="2" t="n">
        <x:v>175</x:v>
      </x:c>
      <x:c r="C180" s="2" t="str">
        <x:v>Beauty / price_contribution</x:v>
      </x:c>
      <x:c r="D180" s="7" t="n">
        <x:v>45747</x:v>
      </x:c>
      <x:c r="E180" s="2" t="str">
        <x:v>Prior report</x:v>
      </x:c>
      <x:c r="F180" s="7" t="n">
        <x:v>45679</x:v>
      </x:c>
      <x:c r="G180" s="2" t="str">
        <x:v>Own + product</x:v>
      </x:c>
      <x:c r="H180" s="8" t="n">
        <x:f>'Model fits'!AA134</x:f>
        <x:v>2.7756550382302008</x:v>
      </x:c>
      <x:c r="I180" s="8" t="n">
        <x:f>0</x:f>
        <x:v>0</x:v>
      </x:c>
      <x:c r="J180" s="8" t="n">
        <x:v>0</x:v>
      </x:c>
      <x:c r="K180" s="8" t="n">
        <x:f>H180-I180*J180</x:f>
        <x:v>2.7756550382302008</x:v>
      </x:c>
      <x:c r="L180" s="8" t="n">
        <x:f>'PG facts'!D118</x:f>
        <x:v>3</x:v>
      </x:c>
      <x:c r="M180" s="8" t="n">
        <x:f>K180-L180</x:f>
        <x:v>-0.22434496176979923</x:v>
      </x:c>
      <x:c r="N180" s="8" t="n">
        <x:f>M180^2</x:f>
        <x:v>0.05033066187149268</x:v>
      </x:c>
      <x:c r="O180" s="8" t="n">
        <x:f>ABS(M180)</x:f>
        <x:v>0.22434496176979923</x:v>
      </x:c>
      <x:c r="P180" s="7" t="n">
        <x:v>45771</x:v>
      </x:c>
    </x:row>
    <x:row r="181" ht="26" customHeight="1">
      <x:c r="A181" s="2"/>
      <x:c r="B181" s="2" t="n">
        <x:v>176</x:v>
      </x:c>
      <x:c r="C181" s="2" t="str">
        <x:v>Beauty / price_contribution</x:v>
      </x:c>
      <x:c r="D181" s="7" t="n">
        <x:v>45747</x:v>
      </x:c>
      <x:c r="E181" s="2" t="str">
        <x:v>Pre-earnings</x:v>
      </x:c>
      <x:c r="F181" s="7" t="n">
        <x:v>45770</x:v>
      </x:c>
      <x:c r="G181" s="2" t="str">
        <x:v>Last actual</x:v>
      </x:c>
      <x:c r="H181" s="8" t="n">
        <x:f>AVERAGE('PG facts'!D111)</x:f>
        <x:v>2</x:v>
      </x:c>
      <x:c r="I181" s="8" t="n">
        <x:f>0</x:f>
        <x:v>0</x:v>
      </x:c>
      <x:c r="J181" s="8" t="n">
        <x:v>0</x:v>
      </x:c>
      <x:c r="K181" s="8" t="n">
        <x:f>H181-I181*J181</x:f>
        <x:v>2</x:v>
      </x:c>
      <x:c r="L181" s="8" t="n">
        <x:f>'PG facts'!D118</x:f>
        <x:v>3</x:v>
      </x:c>
      <x:c r="M181" s="8" t="n">
        <x:f>K181-L181</x:f>
        <x:v>-1</x:v>
      </x:c>
      <x:c r="N181" s="8" t="n">
        <x:f>M181^2</x:f>
        <x:v>1</x:v>
      </x:c>
      <x:c r="O181" s="8" t="n">
        <x:f>ABS(M181)</x:f>
        <x:v>1</x:v>
      </x:c>
      <x:c r="P181" s="7" t="n">
        <x:v>45771</x:v>
      </x:c>
    </x:row>
    <x:row r="182" ht="26" customHeight="1">
      <x:c r="A182" s="2"/>
      <x:c r="B182" s="2" t="n">
        <x:v>177</x:v>
      </x:c>
      <x:c r="C182" s="2" t="str">
        <x:v>Beauty / price_contribution</x:v>
      </x:c>
      <x:c r="D182" s="7" t="n">
        <x:v>45747</x:v>
      </x:c>
      <x:c r="E182" s="2" t="str">
        <x:v>Pre-earnings</x:v>
      </x:c>
      <x:c r="F182" s="7" t="n">
        <x:v>45770</x:v>
      </x:c>
      <x:c r="G182" s="2" t="str">
        <x:v>Four-quarter mean</x:v>
      </x:c>
      <x:c r="H182" s="8" t="n">
        <x:f>AVERAGE('PG facts'!D90,'PG facts'!D97,'PG facts'!D104,'PG facts'!D111)</x:f>
        <x:v>2.5</x:v>
      </x:c>
      <x:c r="I182" s="8" t="n">
        <x:f>0</x:f>
        <x:v>0</x:v>
      </x:c>
      <x:c r="J182" s="8" t="n">
        <x:v>0</x:v>
      </x:c>
      <x:c r="K182" s="8" t="n">
        <x:f>H182-I182*J182</x:f>
        <x:v>2.5</x:v>
      </x:c>
      <x:c r="L182" s="8" t="n">
        <x:f>'PG facts'!D118</x:f>
        <x:v>3</x:v>
      </x:c>
      <x:c r="M182" s="8" t="n">
        <x:f>K182-L182</x:f>
        <x:v>-0.5</x:v>
      </x:c>
      <x:c r="N182" s="8" t="n">
        <x:f>M182^2</x:f>
        <x:v>0.25</x:v>
      </x:c>
      <x:c r="O182" s="8" t="n">
        <x:f>ABS(M182)</x:f>
        <x:v>0.5</x:v>
      </x:c>
      <x:c r="P182" s="7" t="n">
        <x:v>45771</x:v>
      </x:c>
    </x:row>
    <x:row r="183" ht="26" customHeight="1">
      <x:c r="A183" s="2"/>
      <x:c r="B183" s="2" t="n">
        <x:v>178</x:v>
      </x:c>
      <x:c r="C183" s="2" t="str">
        <x:v>Beauty / price_contribution</x:v>
      </x:c>
      <x:c r="D183" s="7" t="n">
        <x:v>45747</x:v>
      </x:c>
      <x:c r="E183" s="2" t="str">
        <x:v>Pre-earnings</x:v>
      </x:c>
      <x:c r="F183" s="7" t="n">
        <x:v>45770</x:v>
      </x:c>
      <x:c r="G183" s="2" t="str">
        <x:v>Broad market</x:v>
      </x:c>
      <x:c r="H183" s="8" t="n">
        <x:f>'Model fits'!AA135</x:f>
        <x:v>2.4062558130536202</x:v>
      </x:c>
      <x:c r="I183" s="8" t="n">
        <x:f>0</x:f>
        <x:v>0</x:v>
      </x:c>
      <x:c r="J183" s="8" t="n">
        <x:v>0</x:v>
      </x:c>
      <x:c r="K183" s="8" t="n">
        <x:f>H183-I183*J183</x:f>
        <x:v>2.4062558130536202</x:v>
      </x:c>
      <x:c r="L183" s="8" t="n">
        <x:f>'PG facts'!D118</x:f>
        <x:v>3</x:v>
      </x:c>
      <x:c r="M183" s="8" t="n">
        <x:f>K183-L183</x:f>
        <x:v>-0.5937441869463798</x:v>
      </x:c>
      <x:c r="N183" s="8" t="n">
        <x:f>M183^2</x:f>
        <x:v>0.3525321595326176</x:v>
      </x:c>
      <x:c r="O183" s="8" t="n">
        <x:f>ABS(M183)</x:f>
        <x:v>0.5937441869463798</x:v>
      </x:c>
      <x:c r="P183" s="7" t="n">
        <x:v>45771</x:v>
      </x:c>
    </x:row>
    <x:row r="184" ht="26" customHeight="1">
      <x:c r="A184" s="2"/>
      <x:c r="B184" s="2" t="n">
        <x:v>179</x:v>
      </x:c>
      <x:c r="C184" s="2" t="str">
        <x:v>Beauty / price_contribution</x:v>
      </x:c>
      <x:c r="D184" s="7" t="n">
        <x:v>45747</x:v>
      </x:c>
      <x:c r="E184" s="2" t="str">
        <x:v>Pre-earnings</x:v>
      </x:c>
      <x:c r="F184" s="7" t="n">
        <x:v>45770</x:v>
      </x:c>
      <x:c r="G184" s="2" t="str">
        <x:v>Broad lag 1</x:v>
      </x:c>
      <x:c r="H184" s="8" t="n">
        <x:f>'Model fits'!AA136</x:f>
        <x:v>3.026216745871722</x:v>
      </x:c>
      <x:c r="I184" s="8" t="n">
        <x:f>0</x:f>
        <x:v>0</x:v>
      </x:c>
      <x:c r="J184" s="8" t="n">
        <x:v>0</x:v>
      </x:c>
      <x:c r="K184" s="8" t="n">
        <x:f>H184-I184*J184</x:f>
        <x:v>3.026216745871722</x:v>
      </x:c>
      <x:c r="L184" s="8" t="n">
        <x:f>'PG facts'!D118</x:f>
        <x:v>3</x:v>
      </x:c>
      <x:c r="M184" s="8" t="n">
        <x:f>K184-L184</x:f>
        <x:v>0.026216745871721958</x:v>
      </x:c>
      <x:c r="N184" s="8" t="n">
        <x:f>M184^2</x:f>
        <x:v>0.0006873177641024504</x:v>
      </x:c>
      <x:c r="O184" s="8" t="n">
        <x:f>ABS(M184)</x:f>
        <x:v>0.026216745871721958</x:v>
      </x:c>
      <x:c r="P184" s="7" t="n">
        <x:v>45771</x:v>
      </x:c>
    </x:row>
    <x:row r="185" ht="26" customHeight="1">
      <x:c r="A185" s="2"/>
      <x:c r="B185" s="2" t="n">
        <x:v>180</x:v>
      </x:c>
      <x:c r="C185" s="2" t="str">
        <x:v>Beauty / price_contribution</x:v>
      </x:c>
      <x:c r="D185" s="7" t="n">
        <x:v>45747</x:v>
      </x:c>
      <x:c r="E185" s="2" t="str">
        <x:v>Pre-earnings</x:v>
      </x:c>
      <x:c r="F185" s="7" t="n">
        <x:v>45770</x:v>
      </x:c>
      <x:c r="G185" s="2" t="str">
        <x:v>Broad rolling 8</x:v>
      </x:c>
      <x:c r="H185" s="8" t="n">
        <x:f>'Model fits'!AA137</x:f>
        <x:v>1.2260750801019031</x:v>
      </x:c>
      <x:c r="I185" s="8" t="n">
        <x:f>0</x:f>
        <x:v>0</x:v>
      </x:c>
      <x:c r="J185" s="8" t="n">
        <x:v>0</x:v>
      </x:c>
      <x:c r="K185" s="8" t="n">
        <x:f>H185-I185*J185</x:f>
        <x:v>1.2260750801019031</x:v>
      </x:c>
      <x:c r="L185" s="8" t="n">
        <x:f>'PG facts'!D118</x:f>
        <x:v>3</x:v>
      </x:c>
      <x:c r="M185" s="8" t="n">
        <x:f>K185-L185</x:f>
        <x:v>-1.7739249198980969</x:v>
      </x:c>
      <x:c r="N185" s="8" t="n">
        <x:f>M185^2</x:f>
        <x:v>3.1468096214354695</x:v>
      </x:c>
      <x:c r="O185" s="8" t="n">
        <x:f>ABS(M185)</x:f>
        <x:v>1.7739249198980969</x:v>
      </x:c>
      <x:c r="P185" s="7" t="n">
        <x:v>45771</x:v>
      </x:c>
    </x:row>
    <x:row r="186" ht="26" customHeight="1">
      <x:c r="A186" s="2"/>
      <x:c r="B186" s="2" t="n">
        <x:v>181</x:v>
      </x:c>
      <x:c r="C186" s="2" t="str">
        <x:v>Beauty / price_contribution</x:v>
      </x:c>
      <x:c r="D186" s="7" t="n">
        <x:v>45747</x:v>
      </x:c>
      <x:c r="E186" s="2" t="str">
        <x:v>Pre-earnings</x:v>
      </x:c>
      <x:c r="F186" s="7" t="n">
        <x:v>45770</x:v>
      </x:c>
      <x:c r="G186" s="2" t="str">
        <x:v>Own history</x:v>
      </x:c>
      <x:c r="H186" s="8" t="n">
        <x:f>'Model fits'!AA138</x:f>
        <x:v>2.5588235294117645</x:v>
      </x:c>
      <x:c r="I186" s="8" t="n">
        <x:f>0</x:f>
        <x:v>0</x:v>
      </x:c>
      <x:c r="J186" s="8" t="n">
        <x:v>0</x:v>
      </x:c>
      <x:c r="K186" s="8" t="n">
        <x:f>H186-I186*J186</x:f>
        <x:v>2.5588235294117645</x:v>
      </x:c>
      <x:c r="L186" s="8" t="n">
        <x:f>'PG facts'!D118</x:f>
        <x:v>3</x:v>
      </x:c>
      <x:c r="M186" s="8" t="n">
        <x:f>K186-L186</x:f>
        <x:v>-0.4411764705882355</x:v>
      </x:c>
      <x:c r="N186" s="8" t="n">
        <x:f>M186^2</x:f>
        <x:v>0.19463667820069222</x:v>
      </x:c>
      <x:c r="O186" s="8" t="n">
        <x:f>ABS(M186)</x:f>
        <x:v>0.4411764705882355</x:v>
      </x:c>
      <x:c r="P186" s="7" t="n">
        <x:v>45771</x:v>
      </x:c>
    </x:row>
    <x:row r="187" ht="26" customHeight="1">
      <x:c r="A187" s="2"/>
      <x:c r="B187" s="2" t="n">
        <x:v>182</x:v>
      </x:c>
      <x:c r="C187" s="2" t="str">
        <x:v>Beauty / price_contribution</x:v>
      </x:c>
      <x:c r="D187" s="7" t="n">
        <x:v>45747</x:v>
      </x:c>
      <x:c r="E187" s="2" t="str">
        <x:v>Pre-earnings</x:v>
      </x:c>
      <x:c r="F187" s="7" t="n">
        <x:v>45770</x:v>
      </x:c>
      <x:c r="G187" s="2" t="str">
        <x:v>Product price</x:v>
      </x:c>
      <x:c r="H187" s="8" t="n">
        <x:f>'Model fits'!AA139</x:f>
        <x:v>2.629364724790161</x:v>
      </x:c>
      <x:c r="I187" s="8" t="n">
        <x:f>0</x:f>
        <x:v>0</x:v>
      </x:c>
      <x:c r="J187" s="8" t="n">
        <x:v>0</x:v>
      </x:c>
      <x:c r="K187" s="8" t="n">
        <x:f>H187-I187*J187</x:f>
        <x:v>2.629364724790161</x:v>
      </x:c>
      <x:c r="L187" s="8" t="n">
        <x:f>'PG facts'!D118</x:f>
        <x:v>3</x:v>
      </x:c>
      <x:c r="M187" s="8" t="n">
        <x:f>K187-L187</x:f>
        <x:v>-0.37063527520983897</x:v>
      </x:c>
      <x:c r="N187" s="8" t="n">
        <x:f>M187^2</x:f>
        <x:v>0.13737050722987307</x:v>
      </x:c>
      <x:c r="O187" s="8" t="n">
        <x:f>ABS(M187)</x:f>
        <x:v>0.37063527520983897</x:v>
      </x:c>
      <x:c r="P187" s="7" t="n">
        <x:v>45771</x:v>
      </x:c>
    </x:row>
    <x:row r="188" ht="26" customHeight="1">
      <x:c r="A188" s="2"/>
      <x:c r="B188" s="2" t="n">
        <x:v>183</x:v>
      </x:c>
      <x:c r="C188" s="2" t="str">
        <x:v>Beauty / price_contribution</x:v>
      </x:c>
      <x:c r="D188" s="7" t="n">
        <x:v>45747</x:v>
      </x:c>
      <x:c r="E188" s="2" t="str">
        <x:v>Pre-earnings</x:v>
      </x:c>
      <x:c r="F188" s="7" t="n">
        <x:v>45770</x:v>
      </x:c>
      <x:c r="G188" s="2" t="str">
        <x:v>Product lag 1</x:v>
      </x:c>
      <x:c r="H188" s="8" t="n">
        <x:f>'Model fits'!AA140</x:f>
        <x:v>3.114258118202011</x:v>
      </x:c>
      <x:c r="I188" s="8" t="n">
        <x:f>0</x:f>
        <x:v>0</x:v>
      </x:c>
      <x:c r="J188" s="8" t="n">
        <x:v>0</x:v>
      </x:c>
      <x:c r="K188" s="8" t="n">
        <x:f>H188-I188*J188</x:f>
        <x:v>3.114258118202011</x:v>
      </x:c>
      <x:c r="L188" s="8" t="n">
        <x:f>'PG facts'!D118</x:f>
        <x:v>3</x:v>
      </x:c>
      <x:c r="M188" s="8" t="n">
        <x:f>K188-L188</x:f>
        <x:v>0.11425811820201082</x:v>
      </x:c>
      <x:c r="N188" s="8" t="n">
        <x:f>M188^2</x:f>
        <x:v>0.013054917575064676</x:v>
      </x:c>
      <x:c r="O188" s="8" t="n">
        <x:f>ABS(M188)</x:f>
        <x:v>0.11425811820201082</x:v>
      </x:c>
      <x:c r="P188" s="7" t="n">
        <x:v>45771</x:v>
      </x:c>
    </x:row>
    <x:row r="189" ht="26" customHeight="1">
      <x:c r="A189" s="2"/>
      <x:c r="B189" s="2" t="n">
        <x:v>184</x:v>
      </x:c>
      <x:c r="C189" s="2" t="str">
        <x:v>Beauty / price_contribution</x:v>
      </x:c>
      <x:c r="D189" s="7" t="n">
        <x:v>45747</x:v>
      </x:c>
      <x:c r="E189" s="2" t="str">
        <x:v>Pre-earnings</x:v>
      </x:c>
      <x:c r="F189" s="7" t="n">
        <x:v>45770</x:v>
      </x:c>
      <x:c r="G189" s="2" t="str">
        <x:v>Own + product</x:v>
      </x:c>
      <x:c r="H189" s="8" t="n">
        <x:f>'Model fits'!AA141</x:f>
        <x:v>2.8782087593567303</x:v>
      </x:c>
      <x:c r="I189" s="8" t="n">
        <x:f>0</x:f>
        <x:v>0</x:v>
      </x:c>
      <x:c r="J189" s="8" t="n">
        <x:v>0</x:v>
      </x:c>
      <x:c r="K189" s="8" t="n">
        <x:f>H189-I189*J189</x:f>
        <x:v>2.8782087593567303</x:v>
      </x:c>
      <x:c r="L189" s="8" t="n">
        <x:f>'PG facts'!D118</x:f>
        <x:v>3</x:v>
      </x:c>
      <x:c r="M189" s="8" t="n">
        <x:f>K189-L189</x:f>
        <x:v>-0.12179124064326974</x:v>
      </x:c>
      <x:c r="N189" s="8" t="n">
        <x:f>M189^2</x:f>
        <x:v>0.014833106297426839</x:v>
      </x:c>
      <x:c r="O189" s="8" t="n">
        <x:f>ABS(M189)</x:f>
        <x:v>0.12179124064326974</x:v>
      </x:c>
      <x:c r="P189" s="7" t="n">
        <x:v>45771</x:v>
      </x:c>
    </x:row>
    <x:row r="190" ht="26" customHeight="1">
      <x:c r="A190" s="2"/>
      <x:c r="B190" s="2" t="n">
        <x:v>185</x:v>
      </x:c>
      <x:c r="C190" s="2" t="str">
        <x:v>Beauty / price_contribution</x:v>
      </x:c>
      <x:c r="D190" s="7" t="n">
        <x:v>45838</x:v>
      </x:c>
      <x:c r="E190" s="2" t="str">
        <x:v>Origin</x:v>
      </x:c>
      <x:c r="F190" s="7" t="n">
        <x:v>45748</x:v>
      </x:c>
      <x:c r="G190" s="2" t="str">
        <x:v>Last actual</x:v>
      </x:c>
      <x:c r="H190" s="8" t="n">
        <x:f>AVERAGE('PG facts'!D111)</x:f>
        <x:v>2</x:v>
      </x:c>
      <x:c r="I190" s="8" t="n">
        <x:f>0</x:f>
        <x:v>0</x:v>
      </x:c>
      <x:c r="J190" s="8" t="n">
        <x:v>0</x:v>
      </x:c>
      <x:c r="K190" s="8" t="n">
        <x:f>H190-I190*J190</x:f>
        <x:v>2</x:v>
      </x:c>
      <x:c r="L190" s="8" t="n">
        <x:f>'PG facts'!D125</x:f>
        <x:v>1</x:v>
      </x:c>
      <x:c r="M190" s="8" t="n">
        <x:f>K190-L190</x:f>
        <x:v>1</x:v>
      </x:c>
      <x:c r="N190" s="8" t="n">
        <x:f>M190^2</x:f>
        <x:v>1</x:v>
      </x:c>
      <x:c r="O190" s="8" t="n">
        <x:f>ABS(M190)</x:f>
        <x:v>1</x:v>
      </x:c>
      <x:c r="P190" s="7" t="n">
        <x:v>45867</x:v>
      </x:c>
    </x:row>
    <x:row r="191" ht="26" customHeight="1">
      <x:c r="A191" s="2"/>
      <x:c r="B191" s="2" t="n">
        <x:v>186</x:v>
      </x:c>
      <x:c r="C191" s="2" t="str">
        <x:v>Beauty / price_contribution</x:v>
      </x:c>
      <x:c r="D191" s="7" t="n">
        <x:v>45838</x:v>
      </x:c>
      <x:c r="E191" s="2" t="str">
        <x:v>Origin</x:v>
      </x:c>
      <x:c r="F191" s="7" t="n">
        <x:v>45748</x:v>
      </x:c>
      <x:c r="G191" s="2" t="str">
        <x:v>Four-quarter mean</x:v>
      </x:c>
      <x:c r="H191" s="8" t="n">
        <x:f>AVERAGE('PG facts'!D90,'PG facts'!D97,'PG facts'!D104,'PG facts'!D111)</x:f>
        <x:v>2.5</x:v>
      </x:c>
      <x:c r="I191" s="8" t="n">
        <x:f>0</x:f>
        <x:v>0</x:v>
      </x:c>
      <x:c r="J191" s="8" t="n">
        <x:v>0</x:v>
      </x:c>
      <x:c r="K191" s="8" t="n">
        <x:f>H191-I191*J191</x:f>
        <x:v>2.5</x:v>
      </x:c>
      <x:c r="L191" s="8" t="n">
        <x:f>'PG facts'!D125</x:f>
        <x:v>1</x:v>
      </x:c>
      <x:c r="M191" s="8" t="n">
        <x:f>K191-L191</x:f>
        <x:v>1.5</x:v>
      </x:c>
      <x:c r="N191" s="8" t="n">
        <x:f>M191^2</x:f>
        <x:v>2.25</x:v>
      </x:c>
      <x:c r="O191" s="8" t="n">
        <x:f>ABS(M191)</x:f>
        <x:v>1.5</x:v>
      </x:c>
      <x:c r="P191" s="7" t="n">
        <x:v>45867</x:v>
      </x:c>
    </x:row>
    <x:row r="192" ht="26" customHeight="1">
      <x:c r="A192" s="2"/>
      <x:c r="B192" s="2" t="n">
        <x:v>187</x:v>
      </x:c>
      <x:c r="C192" s="2" t="str">
        <x:v>Beauty / price_contribution</x:v>
      </x:c>
      <x:c r="D192" s="7" t="n">
        <x:v>45838</x:v>
      </x:c>
      <x:c r="E192" s="2" t="str">
        <x:v>Origin</x:v>
      </x:c>
      <x:c r="F192" s="7" t="n">
        <x:v>45748</x:v>
      </x:c>
      <x:c r="G192" s="2" t="str">
        <x:v>Broad market</x:v>
      </x:c>
      <x:c r="H192" s="8" t="n">
        <x:f>'Model fits'!AA142</x:f>
        <x:v>2.542950842063405</x:v>
      </x:c>
      <x:c r="I192" s="8" t="n">
        <x:f>0</x:f>
        <x:v>0</x:v>
      </x:c>
      <x:c r="J192" s="8" t="n">
        <x:v>0</x:v>
      </x:c>
      <x:c r="K192" s="8" t="n">
        <x:f>H192-I192*J192</x:f>
        <x:v>2.542950842063405</x:v>
      </x:c>
      <x:c r="L192" s="8" t="n">
        <x:f>'PG facts'!D125</x:f>
        <x:v>1</x:v>
      </x:c>
      <x:c r="M192" s="8" t="n">
        <x:f>K192-L192</x:f>
        <x:v>1.542950842063405</x:v>
      </x:c>
      <x:c r="N192" s="8" t="n">
        <x:f>M192^2</x:f>
        <x:v>2.3806973010241705</x:v>
      </x:c>
      <x:c r="O192" s="8" t="n">
        <x:f>ABS(M192)</x:f>
        <x:v>1.542950842063405</x:v>
      </x:c>
      <x:c r="P192" s="7" t="n">
        <x:v>45867</x:v>
      </x:c>
    </x:row>
    <x:row r="193" ht="26" customHeight="1">
      <x:c r="A193" s="2"/>
      <x:c r="B193" s="2" t="n">
        <x:v>188</x:v>
      </x:c>
      <x:c r="C193" s="2" t="str">
        <x:v>Beauty / price_contribution</x:v>
      </x:c>
      <x:c r="D193" s="7" t="n">
        <x:v>45838</x:v>
      </x:c>
      <x:c r="E193" s="2" t="str">
        <x:v>Origin</x:v>
      </x:c>
      <x:c r="F193" s="7" t="n">
        <x:v>45748</x:v>
      </x:c>
      <x:c r="G193" s="2" t="str">
        <x:v>Broad rolling 8</x:v>
      </x:c>
      <x:c r="H193" s="8" t="n">
        <x:f>'Model fits'!AA143</x:f>
        <x:v>1.3894476004984955</x:v>
      </x:c>
      <x:c r="I193" s="8" t="n">
        <x:f>0</x:f>
        <x:v>0</x:v>
      </x:c>
      <x:c r="J193" s="8" t="n">
        <x:v>0</x:v>
      </x:c>
      <x:c r="K193" s="8" t="n">
        <x:f>H193-I193*J193</x:f>
        <x:v>1.3894476004984955</x:v>
      </x:c>
      <x:c r="L193" s="8" t="n">
        <x:f>'PG facts'!D125</x:f>
        <x:v>1</x:v>
      </x:c>
      <x:c r="M193" s="8" t="n">
        <x:f>K193-L193</x:f>
        <x:v>0.38944760049849547</x:v>
      </x:c>
      <x:c r="N193" s="8" t="n">
        <x:f>M193^2</x:f>
        <x:v>0.15166943353403572</x:v>
      </x:c>
      <x:c r="O193" s="8" t="n">
        <x:f>ABS(M193)</x:f>
        <x:v>0.38944760049849547</x:v>
      </x:c>
      <x:c r="P193" s="7" t="n">
        <x:v>45867</x:v>
      </x:c>
    </x:row>
    <x:row r="194" ht="26" customHeight="1">
      <x:c r="A194" s="2"/>
      <x:c r="B194" s="2" t="n">
        <x:v>189</x:v>
      </x:c>
      <x:c r="C194" s="2" t="str">
        <x:v>Beauty / price_contribution</x:v>
      </x:c>
      <x:c r="D194" s="7" t="n">
        <x:v>45838</x:v>
      </x:c>
      <x:c r="E194" s="2" t="str">
        <x:v>Origin</x:v>
      </x:c>
      <x:c r="F194" s="7" t="n">
        <x:v>45748</x:v>
      </x:c>
      <x:c r="G194" s="2" t="str">
        <x:v>Own history</x:v>
      </x:c>
      <x:c r="H194" s="8" t="n">
        <x:f>'Model fits'!AA144</x:f>
        <x:v>3.054945054945055</x:v>
      </x:c>
      <x:c r="I194" s="8" t="n">
        <x:f>0</x:f>
        <x:v>0</x:v>
      </x:c>
      <x:c r="J194" s="8" t="n">
        <x:v>0</x:v>
      </x:c>
      <x:c r="K194" s="8" t="n">
        <x:f>H194-I194*J194</x:f>
        <x:v>3.054945054945055</x:v>
      </x:c>
      <x:c r="L194" s="8" t="n">
        <x:f>'PG facts'!D125</x:f>
        <x:v>1</x:v>
      </x:c>
      <x:c r="M194" s="8" t="n">
        <x:f>K194-L194</x:f>
        <x:v>2.054945054945055</x:v>
      </x:c>
      <x:c r="N194" s="8" t="n">
        <x:f>M194^2</x:f>
        <x:v>4.222799178843136</x:v>
      </x:c>
      <x:c r="O194" s="8" t="n">
        <x:f>ABS(M194)</x:f>
        <x:v>2.054945054945055</x:v>
      </x:c>
      <x:c r="P194" s="7" t="n">
        <x:v>45867</x:v>
      </x:c>
    </x:row>
    <x:row r="195" ht="26" customHeight="1">
      <x:c r="A195" s="2"/>
      <x:c r="B195" s="2" t="n">
        <x:v>190</x:v>
      </x:c>
      <x:c r="C195" s="2" t="str">
        <x:v>Beauty / price_contribution</x:v>
      </x:c>
      <x:c r="D195" s="7" t="n">
        <x:v>45838</x:v>
      </x:c>
      <x:c r="E195" s="2" t="str">
        <x:v>Origin</x:v>
      </x:c>
      <x:c r="F195" s="7" t="n">
        <x:v>45748</x:v>
      </x:c>
      <x:c r="G195" s="2" t="str">
        <x:v>Product price</x:v>
      </x:c>
      <x:c r="H195" s="8" t="n">
        <x:f>'Model fits'!AA145</x:f>
        <x:v>3.0611691203566687</x:v>
      </x:c>
      <x:c r="I195" s="8" t="n">
        <x:f>0</x:f>
        <x:v>0</x:v>
      </x:c>
      <x:c r="J195" s="8" t="n">
        <x:v>0</x:v>
      </x:c>
      <x:c r="K195" s="8" t="n">
        <x:f>H195-I195*J195</x:f>
        <x:v>3.0611691203566687</x:v>
      </x:c>
      <x:c r="L195" s="8" t="n">
        <x:f>'PG facts'!D125</x:f>
        <x:v>1</x:v>
      </x:c>
      <x:c r="M195" s="8" t="n">
        <x:f>K195-L195</x:f>
        <x:v>2.0611691203566687</x:v>
      </x:c>
      <x:c r="N195" s="8" t="n">
        <x:f>M195^2</x:f>
        <x:v>4.248418142711883</x:v>
      </x:c>
      <x:c r="O195" s="8" t="n">
        <x:f>ABS(M195)</x:f>
        <x:v>2.0611691203566687</x:v>
      </x:c>
      <x:c r="P195" s="7" t="n">
        <x:v>45867</x:v>
      </x:c>
    </x:row>
    <x:row r="196" ht="26" customHeight="1">
      <x:c r="A196" s="2"/>
      <x:c r="B196" s="2" t="n">
        <x:v>191</x:v>
      </x:c>
      <x:c r="C196" s="2" t="str">
        <x:v>Beauty / price_contribution</x:v>
      </x:c>
      <x:c r="D196" s="7" t="n">
        <x:v>45838</x:v>
      </x:c>
      <x:c r="E196" s="2" t="str">
        <x:v>Origin</x:v>
      </x:c>
      <x:c r="F196" s="7" t="n">
        <x:v>45748</x:v>
      </x:c>
      <x:c r="G196" s="2" t="str">
        <x:v>Own + product</x:v>
      </x:c>
      <x:c r="H196" s="8" t="n">
        <x:f>'Model fits'!AA146</x:f>
        <x:v>3.594457296522863</x:v>
      </x:c>
      <x:c r="I196" s="8" t="n">
        <x:f>0</x:f>
        <x:v>0</x:v>
      </x:c>
      <x:c r="J196" s="8" t="n">
        <x:v>0</x:v>
      </x:c>
      <x:c r="K196" s="8" t="n">
        <x:f>H196-I196*J196</x:f>
        <x:v>3.594457296522863</x:v>
      </x:c>
      <x:c r="L196" s="8" t="n">
        <x:f>'PG facts'!D125</x:f>
        <x:v>1</x:v>
      </x:c>
      <x:c r="M196" s="8" t="n">
        <x:f>K196-L196</x:f>
        <x:v>2.594457296522863</x:v>
      </x:c>
      <x:c r="N196" s="8" t="n">
        <x:f>M196^2</x:f>
        <x:v>6.731208663480722</x:v>
      </x:c>
      <x:c r="O196" s="8" t="n">
        <x:f>ABS(M196)</x:f>
        <x:v>2.594457296522863</x:v>
      </x:c>
      <x:c r="P196" s="7" t="n">
        <x:v>45867</x:v>
      </x:c>
    </x:row>
    <x:row r="197" ht="26" customHeight="1">
      <x:c r="A197" s="2"/>
      <x:c r="B197" s="2" t="n">
        <x:v>192</x:v>
      </x:c>
      <x:c r="C197" s="2" t="str">
        <x:v>Beauty / price_contribution</x:v>
      </x:c>
      <x:c r="D197" s="7" t="n">
        <x:v>45838</x:v>
      </x:c>
      <x:c r="E197" s="2" t="str">
        <x:v>Prior report</x:v>
      </x:c>
      <x:c r="F197" s="7" t="n">
        <x:v>45771</x:v>
      </x:c>
      <x:c r="G197" s="2" t="str">
        <x:v>Last actual</x:v>
      </x:c>
      <x:c r="H197" s="8" t="n">
        <x:f>AVERAGE('PG facts'!D118)</x:f>
        <x:v>3</x:v>
      </x:c>
      <x:c r="I197" s="8" t="n">
        <x:f>0</x:f>
        <x:v>0</x:v>
      </x:c>
      <x:c r="J197" s="8" t="n">
        <x:v>0</x:v>
      </x:c>
      <x:c r="K197" s="8" t="n">
        <x:f>H197-I197*J197</x:f>
        <x:v>3</x:v>
      </x:c>
      <x:c r="L197" s="8" t="n">
        <x:f>'PG facts'!D125</x:f>
        <x:v>1</x:v>
      </x:c>
      <x:c r="M197" s="8" t="n">
        <x:f>K197-L197</x:f>
        <x:v>2</x:v>
      </x:c>
      <x:c r="N197" s="8" t="n">
        <x:f>M197^2</x:f>
        <x:v>4</x:v>
      </x:c>
      <x:c r="O197" s="8" t="n">
        <x:f>ABS(M197)</x:f>
        <x:v>2</x:v>
      </x:c>
      <x:c r="P197" s="7" t="n">
        <x:v>45867</x:v>
      </x:c>
    </x:row>
    <x:row r="198" ht="26" customHeight="1">
      <x:c r="A198" s="2"/>
      <x:c r="B198" s="2" t="n">
        <x:v>193</x:v>
      </x:c>
      <x:c r="C198" s="2" t="str">
        <x:v>Beauty / price_contribution</x:v>
      </x:c>
      <x:c r="D198" s="7" t="n">
        <x:v>45838</x:v>
      </x:c>
      <x:c r="E198" s="2" t="str">
        <x:v>Prior report</x:v>
      </x:c>
      <x:c r="F198" s="7" t="n">
        <x:v>45771</x:v>
      </x:c>
      <x:c r="G198" s="2" t="str">
        <x:v>Four-quarter mean</x:v>
      </x:c>
      <x:c r="H198" s="8" t="n">
        <x:f>AVERAGE('PG facts'!D97,'PG facts'!D104,'PG facts'!D111,'PG facts'!D118)</x:f>
        <x:v>2.25</x:v>
      </x:c>
      <x:c r="I198" s="8" t="n">
        <x:f>0</x:f>
        <x:v>0</x:v>
      </x:c>
      <x:c r="J198" s="8" t="n">
        <x:v>0</x:v>
      </x:c>
      <x:c r="K198" s="8" t="n">
        <x:f>H198-I198*J198</x:f>
        <x:v>2.25</x:v>
      </x:c>
      <x:c r="L198" s="8" t="n">
        <x:f>'PG facts'!D125</x:f>
        <x:v>1</x:v>
      </x:c>
      <x:c r="M198" s="8" t="n">
        <x:f>K198-L198</x:f>
        <x:v>1.25</x:v>
      </x:c>
      <x:c r="N198" s="8" t="n">
        <x:f>M198^2</x:f>
        <x:v>1.5625</x:v>
      </x:c>
      <x:c r="O198" s="8" t="n">
        <x:f>ABS(M198)</x:f>
        <x:v>1.25</x:v>
      </x:c>
      <x:c r="P198" s="7" t="n">
        <x:v>45867</x:v>
      </x:c>
    </x:row>
    <x:row r="199" ht="26" customHeight="1">
      <x:c r="A199" s="2"/>
      <x:c r="B199" s="2" t="n">
        <x:v>194</x:v>
      </x:c>
      <x:c r="C199" s="2" t="str">
        <x:v>Beauty / price_contribution</x:v>
      </x:c>
      <x:c r="D199" s="7" t="n">
        <x:v>45838</x:v>
      </x:c>
      <x:c r="E199" s="2" t="str">
        <x:v>Prior report</x:v>
      </x:c>
      <x:c r="F199" s="7" t="n">
        <x:v>45771</x:v>
      </x:c>
      <x:c r="G199" s="2" t="str">
        <x:v>Broad market</x:v>
      </x:c>
      <x:c r="H199" s="8" t="n">
        <x:f>'Model fits'!AA147</x:f>
        <x:v>2.4690387021913063</x:v>
      </x:c>
      <x:c r="I199" s="8" t="n">
        <x:f>0</x:f>
        <x:v>0</x:v>
      </x:c>
      <x:c r="J199" s="8" t="n">
        <x:v>0</x:v>
      </x:c>
      <x:c r="K199" s="8" t="n">
        <x:f>H199-I199*J199</x:f>
        <x:v>2.4690387021913063</x:v>
      </x:c>
      <x:c r="L199" s="8" t="n">
        <x:f>'PG facts'!D125</x:f>
        <x:v>1</x:v>
      </x:c>
      <x:c r="M199" s="8" t="n">
        <x:f>K199-L199</x:f>
        <x:v>1.4690387021913063</x:v>
      </x:c>
      <x:c r="N199" s="8" t="n">
        <x:f>M199^2</x:f>
        <x:v>2.1580747085359175</x:v>
      </x:c>
      <x:c r="O199" s="8" t="n">
        <x:f>ABS(M199)</x:f>
        <x:v>1.4690387021913063</x:v>
      </x:c>
      <x:c r="P199" s="7" t="n">
        <x:v>45867</x:v>
      </x:c>
    </x:row>
    <x:row r="200" ht="26" customHeight="1">
      <x:c r="A200" s="2"/>
      <x:c r="B200" s="2" t="n">
        <x:v>195</x:v>
      </x:c>
      <x:c r="C200" s="2" t="str">
        <x:v>Beauty / price_contribution</x:v>
      </x:c>
      <x:c r="D200" s="7" t="n">
        <x:v>45838</x:v>
      </x:c>
      <x:c r="E200" s="2" t="str">
        <x:v>Prior report</x:v>
      </x:c>
      <x:c r="F200" s="7" t="n">
        <x:v>45771</x:v>
      </x:c>
      <x:c r="G200" s="2" t="str">
        <x:v>Broad lag 1</x:v>
      </x:c>
      <x:c r="H200" s="8" t="n">
        <x:f>'Model fits'!AA148</x:f>
        <x:v>2.956333586096812</x:v>
      </x:c>
      <x:c r="I200" s="8" t="n">
        <x:f>0</x:f>
        <x:v>0</x:v>
      </x:c>
      <x:c r="J200" s="8" t="n">
        <x:v>0</x:v>
      </x:c>
      <x:c r="K200" s="8" t="n">
        <x:f>H200-I200*J200</x:f>
        <x:v>2.956333586096812</x:v>
      </x:c>
      <x:c r="L200" s="8" t="n">
        <x:f>'PG facts'!D125</x:f>
        <x:v>1</x:v>
      </x:c>
      <x:c r="M200" s="8" t="n">
        <x:f>K200-L200</x:f>
        <x:v>1.9563335860968118</x:v>
      </x:c>
      <x:c r="N200" s="8" t="n">
        <x:f>M200^2</x:f>
        <x:v>3.827241100090412</x:v>
      </x:c>
      <x:c r="O200" s="8" t="n">
        <x:f>ABS(M200)</x:f>
        <x:v>1.9563335860968118</x:v>
      </x:c>
      <x:c r="P200" s="7" t="n">
        <x:v>45867</x:v>
      </x:c>
    </x:row>
    <x:row r="201" ht="26" customHeight="1">
      <x:c r="A201" s="2"/>
      <x:c r="B201" s="2" t="n">
        <x:v>196</x:v>
      </x:c>
      <x:c r="C201" s="2" t="str">
        <x:v>Beauty / price_contribution</x:v>
      </x:c>
      <x:c r="D201" s="7" t="n">
        <x:v>45838</x:v>
      </x:c>
      <x:c r="E201" s="2" t="str">
        <x:v>Prior report</x:v>
      </x:c>
      <x:c r="F201" s="7" t="n">
        <x:v>45771</x:v>
      </x:c>
      <x:c r="G201" s="2" t="str">
        <x:v>Broad rolling 8</x:v>
      </x:c>
      <x:c r="H201" s="8" t="n">
        <x:f>'Model fits'!AA149</x:f>
        <x:v>1.7379228524283967</x:v>
      </x:c>
      <x:c r="I201" s="8" t="n">
        <x:f>0</x:f>
        <x:v>0</x:v>
      </x:c>
      <x:c r="J201" s="8" t="n">
        <x:v>0</x:v>
      </x:c>
      <x:c r="K201" s="8" t="n">
        <x:f>H201-I201*J201</x:f>
        <x:v>1.7379228524283967</x:v>
      </x:c>
      <x:c r="L201" s="8" t="n">
        <x:f>'PG facts'!D125</x:f>
        <x:v>1</x:v>
      </x:c>
      <x:c r="M201" s="8" t="n">
        <x:f>K201-L201</x:f>
        <x:v>0.7379228524283967</x:v>
      </x:c>
      <x:c r="N201" s="8" t="n">
        <x:f>M201^2</x:f>
        <x:v>0.5445301361360614</x:v>
      </x:c>
      <x:c r="O201" s="8" t="n">
        <x:f>ABS(M201)</x:f>
        <x:v>0.7379228524283967</x:v>
      </x:c>
      <x:c r="P201" s="7" t="n">
        <x:v>45867</x:v>
      </x:c>
    </x:row>
    <x:row r="202" ht="26" customHeight="1">
      <x:c r="A202" s="2"/>
      <x:c r="B202" s="2" t="n">
        <x:v>197</x:v>
      </x:c>
      <x:c r="C202" s="2" t="str">
        <x:v>Beauty / price_contribution</x:v>
      </x:c>
      <x:c r="D202" s="7" t="n">
        <x:v>45838</x:v>
      </x:c>
      <x:c r="E202" s="2" t="str">
        <x:v>Prior report</x:v>
      </x:c>
      <x:c r="F202" s="7" t="n">
        <x:v>45771</x:v>
      </x:c>
      <x:c r="G202" s="2" t="str">
        <x:v>Own history</x:v>
      </x:c>
      <x:c r="H202" s="8" t="n">
        <x:f>'Model fits'!AA150</x:f>
        <x:v>3.399624765478424</x:v>
      </x:c>
      <x:c r="I202" s="8" t="n">
        <x:f>0</x:f>
        <x:v>0</x:v>
      </x:c>
      <x:c r="J202" s="8" t="n">
        <x:v>0</x:v>
      </x:c>
      <x:c r="K202" s="8" t="n">
        <x:f>H202-I202*J202</x:f>
        <x:v>3.399624765478424</x:v>
      </x:c>
      <x:c r="L202" s="8" t="n">
        <x:f>'PG facts'!D125</x:f>
        <x:v>1</x:v>
      </x:c>
      <x:c r="M202" s="8" t="n">
        <x:f>K202-L202</x:f>
        <x:v>2.399624765478424</x:v>
      </x:c>
      <x:c r="N202" s="8" t="n">
        <x:f>M202^2</x:f>
        <x:v>5.758199015097381</x:v>
      </x:c>
      <x:c r="O202" s="8" t="n">
        <x:f>ABS(M202)</x:f>
        <x:v>2.399624765478424</x:v>
      </x:c>
      <x:c r="P202" s="7" t="n">
        <x:v>45867</x:v>
      </x:c>
    </x:row>
    <x:row r="203" ht="26" customHeight="1">
      <x:c r="A203" s="2"/>
      <x:c r="B203" s="2" t="n">
        <x:v>198</x:v>
      </x:c>
      <x:c r="C203" s="2" t="str">
        <x:v>Beauty / price_contribution</x:v>
      </x:c>
      <x:c r="D203" s="7" t="n">
        <x:v>45838</x:v>
      </x:c>
      <x:c r="E203" s="2" t="str">
        <x:v>Prior report</x:v>
      </x:c>
      <x:c r="F203" s="7" t="n">
        <x:v>45771</x:v>
      </x:c>
      <x:c r="G203" s="2" t="str">
        <x:v>Product price</x:v>
      </x:c>
      <x:c r="H203" s="8" t="n">
        <x:f>'Model fits'!AA151</x:f>
        <x:v>2.671912053073948</x:v>
      </x:c>
      <x:c r="I203" s="8" t="n">
        <x:f>0</x:f>
        <x:v>0</x:v>
      </x:c>
      <x:c r="J203" s="8" t="n">
        <x:v>0</x:v>
      </x:c>
      <x:c r="K203" s="8" t="n">
        <x:f>H203-I203*J203</x:f>
        <x:v>2.671912053073948</x:v>
      </x:c>
      <x:c r="L203" s="8" t="n">
        <x:f>'PG facts'!D125</x:f>
        <x:v>1</x:v>
      </x:c>
      <x:c r="M203" s="8" t="n">
        <x:f>K203-L203</x:f>
        <x:v>1.6719120530739482</x:v>
      </x:c>
      <x:c r="N203" s="8" t="n">
        <x:f>M203^2</x:f>
        <x:v>2.7952899132139444</x:v>
      </x:c>
      <x:c r="O203" s="8" t="n">
        <x:f>ABS(M203)</x:f>
        <x:v>1.6719120530739482</x:v>
      </x:c>
      <x:c r="P203" s="7" t="n">
        <x:v>45867</x:v>
      </x:c>
    </x:row>
    <x:row r="204" ht="26" customHeight="1">
      <x:c r="A204" s="2"/>
      <x:c r="B204" s="2" t="n">
        <x:v>199</x:v>
      </x:c>
      <x:c r="C204" s="2" t="str">
        <x:v>Beauty / price_contribution</x:v>
      </x:c>
      <x:c r="D204" s="7" t="n">
        <x:v>45838</x:v>
      </x:c>
      <x:c r="E204" s="2" t="str">
        <x:v>Prior report</x:v>
      </x:c>
      <x:c r="F204" s="7" t="n">
        <x:v>45771</x:v>
      </x:c>
      <x:c r="G204" s="2" t="str">
        <x:v>Product lag 1</x:v>
      </x:c>
      <x:c r="H204" s="8" t="n">
        <x:f>'Model fits'!AA152</x:f>
        <x:v>3.1683048807093224</x:v>
      </x:c>
      <x:c r="I204" s="8" t="n">
        <x:f>0</x:f>
        <x:v>0</x:v>
      </x:c>
      <x:c r="J204" s="8" t="n">
        <x:v>0</x:v>
      </x:c>
      <x:c r="K204" s="8" t="n">
        <x:f>H204-I204*J204</x:f>
        <x:v>3.1683048807093224</x:v>
      </x:c>
      <x:c r="L204" s="8" t="n">
        <x:f>'PG facts'!D125</x:f>
        <x:v>1</x:v>
      </x:c>
      <x:c r="M204" s="8" t="n">
        <x:f>K204-L204</x:f>
        <x:v>2.1683048807093224</x:v>
      </x:c>
      <x:c r="N204" s="8" t="n">
        <x:f>M204^2</x:f>
        <x:v>4.701546055707869</x:v>
      </x:c>
      <x:c r="O204" s="8" t="n">
        <x:f>ABS(M204)</x:f>
        <x:v>2.1683048807093224</x:v>
      </x:c>
      <x:c r="P204" s="7" t="n">
        <x:v>45867</x:v>
      </x:c>
    </x:row>
    <x:row r="205" ht="26" customHeight="1">
      <x:c r="A205" s="2"/>
      <x:c r="B205" s="2" t="n">
        <x:v>200</x:v>
      </x:c>
      <x:c r="C205" s="2" t="str">
        <x:v>Beauty / price_contribution</x:v>
      </x:c>
      <x:c r="D205" s="7" t="n">
        <x:v>45838</x:v>
      </x:c>
      <x:c r="E205" s="2" t="str">
        <x:v>Prior report</x:v>
      </x:c>
      <x:c r="F205" s="7" t="n">
        <x:v>45771</x:v>
      </x:c>
      <x:c r="G205" s="2" t="str">
        <x:v>Own + product</x:v>
      </x:c>
      <x:c r="H205" s="8" t="n">
        <x:f>'Model fits'!AA153</x:f>
        <x:v>2.6313420310868536</x:v>
      </x:c>
      <x:c r="I205" s="8" t="n">
        <x:f>0</x:f>
        <x:v>0</x:v>
      </x:c>
      <x:c r="J205" s="8" t="n">
        <x:v>0</x:v>
      </x:c>
      <x:c r="K205" s="8" t="n">
        <x:f>H205-I205*J205</x:f>
        <x:v>2.6313420310868536</x:v>
      </x:c>
      <x:c r="L205" s="8" t="n">
        <x:f>'PG facts'!D125</x:f>
        <x:v>1</x:v>
      </x:c>
      <x:c r="M205" s="8" t="n">
        <x:f>K205-L205</x:f>
        <x:v>1.6313420310868536</x:v>
      </x:c>
      <x:c r="N205" s="8" t="n">
        <x:f>M205^2</x:f>
        <x:v>2.661276822390581</x:v>
      </x:c>
      <x:c r="O205" s="8" t="n">
        <x:f>ABS(M205)</x:f>
        <x:v>1.6313420310868536</x:v>
      </x:c>
      <x:c r="P205" s="7" t="n">
        <x:v>45867</x:v>
      </x:c>
    </x:row>
    <x:row r="206" ht="26" customHeight="1">
      <x:c r="A206" s="2"/>
      <x:c r="B206" s="2" t="n">
        <x:v>201</x:v>
      </x:c>
      <x:c r="C206" s="2" t="str">
        <x:v>Beauty / price_contribution</x:v>
      </x:c>
      <x:c r="D206" s="7" t="n">
        <x:v>45838</x:v>
      </x:c>
      <x:c r="E206" s="2" t="str">
        <x:v>Pre-earnings</x:v>
      </x:c>
      <x:c r="F206" s="7" t="n">
        <x:v>45866</x:v>
      </x:c>
      <x:c r="G206" s="2" t="str">
        <x:v>Last actual</x:v>
      </x:c>
      <x:c r="H206" s="8" t="n">
        <x:f>AVERAGE('PG facts'!D118)</x:f>
        <x:v>3</x:v>
      </x:c>
      <x:c r="I206" s="8" t="n">
        <x:f>0</x:f>
        <x:v>0</x:v>
      </x:c>
      <x:c r="J206" s="8" t="n">
        <x:v>0</x:v>
      </x:c>
      <x:c r="K206" s="8" t="n">
        <x:f>H206-I206*J206</x:f>
        <x:v>3</x:v>
      </x:c>
      <x:c r="L206" s="8" t="n">
        <x:f>'PG facts'!D125</x:f>
        <x:v>1</x:v>
      </x:c>
      <x:c r="M206" s="8" t="n">
        <x:f>K206-L206</x:f>
        <x:v>2</x:v>
      </x:c>
      <x:c r="N206" s="8" t="n">
        <x:f>M206^2</x:f>
        <x:v>4</x:v>
      </x:c>
      <x:c r="O206" s="8" t="n">
        <x:f>ABS(M206)</x:f>
        <x:v>2</x:v>
      </x:c>
      <x:c r="P206" s="7" t="n">
        <x:v>45867</x:v>
      </x:c>
    </x:row>
    <x:row r="207" ht="26" customHeight="1">
      <x:c r="A207" s="2"/>
      <x:c r="B207" s="2" t="n">
        <x:v>202</x:v>
      </x:c>
      <x:c r="C207" s="2" t="str">
        <x:v>Beauty / price_contribution</x:v>
      </x:c>
      <x:c r="D207" s="7" t="n">
        <x:v>45838</x:v>
      </x:c>
      <x:c r="E207" s="2" t="str">
        <x:v>Pre-earnings</x:v>
      </x:c>
      <x:c r="F207" s="7" t="n">
        <x:v>45866</x:v>
      </x:c>
      <x:c r="G207" s="2" t="str">
        <x:v>Four-quarter mean</x:v>
      </x:c>
      <x:c r="H207" s="8" t="n">
        <x:f>AVERAGE('PG facts'!D97,'PG facts'!D104,'PG facts'!D111,'PG facts'!D118)</x:f>
        <x:v>2.25</x:v>
      </x:c>
      <x:c r="I207" s="8" t="n">
        <x:f>0</x:f>
        <x:v>0</x:v>
      </x:c>
      <x:c r="J207" s="8" t="n">
        <x:v>0</x:v>
      </x:c>
      <x:c r="K207" s="8" t="n">
        <x:f>H207-I207*J207</x:f>
        <x:v>2.25</x:v>
      </x:c>
      <x:c r="L207" s="8" t="n">
        <x:f>'PG facts'!D125</x:f>
        <x:v>1</x:v>
      </x:c>
      <x:c r="M207" s="8" t="n">
        <x:f>K207-L207</x:f>
        <x:v>1.25</x:v>
      </x:c>
      <x:c r="N207" s="8" t="n">
        <x:f>M207^2</x:f>
        <x:v>1.5625</x:v>
      </x:c>
      <x:c r="O207" s="8" t="n">
        <x:f>ABS(M207)</x:f>
        <x:v>1.25</x:v>
      </x:c>
      <x:c r="P207" s="7" t="n">
        <x:v>45867</x:v>
      </x:c>
    </x:row>
    <x:row r="208" ht="26" customHeight="1">
      <x:c r="A208" s="2"/>
      <x:c r="B208" s="2" t="n">
        <x:v>203</x:v>
      </x:c>
      <x:c r="C208" s="2" t="str">
        <x:v>Beauty / price_contribution</x:v>
      </x:c>
      <x:c r="D208" s="7" t="n">
        <x:v>45838</x:v>
      </x:c>
      <x:c r="E208" s="2" t="str">
        <x:v>Pre-earnings</x:v>
      </x:c>
      <x:c r="F208" s="7" t="n">
        <x:v>45866</x:v>
      </x:c>
      <x:c r="G208" s="2" t="str">
        <x:v>Broad market</x:v>
      </x:c>
      <x:c r="H208" s="8" t="n">
        <x:f>'Model fits'!AA154</x:f>
        <x:v>2.687476176765582</x:v>
      </x:c>
      <x:c r="I208" s="8" t="n">
        <x:f>0</x:f>
        <x:v>0</x:v>
      </x:c>
      <x:c r="J208" s="8" t="n">
        <x:v>0</x:v>
      </x:c>
      <x:c r="K208" s="8" t="n">
        <x:f>H208-I208*J208</x:f>
        <x:v>2.687476176765582</x:v>
      </x:c>
      <x:c r="L208" s="8" t="n">
        <x:f>'PG facts'!D125</x:f>
        <x:v>1</x:v>
      </x:c>
      <x:c r="M208" s="8" t="n">
        <x:f>K208-L208</x:f>
        <x:v>1.687476176765582</x:v>
      </x:c>
      <x:c r="N208" s="8" t="n">
        <x:f>M208^2</x:f>
        <x:v>2.8475758471513855</x:v>
      </x:c>
      <x:c r="O208" s="8" t="n">
        <x:f>ABS(M208)</x:f>
        <x:v>1.687476176765582</x:v>
      </x:c>
      <x:c r="P208" s="7" t="n">
        <x:v>45867</x:v>
      </x:c>
    </x:row>
    <x:row r="209" ht="26" customHeight="1">
      <x:c r="A209" s="2"/>
      <x:c r="B209" s="2" t="n">
        <x:v>204</x:v>
      </x:c>
      <x:c r="C209" s="2" t="str">
        <x:v>Beauty / price_contribution</x:v>
      </x:c>
      <x:c r="D209" s="7" t="n">
        <x:v>45838</x:v>
      </x:c>
      <x:c r="E209" s="2" t="str">
        <x:v>Pre-earnings</x:v>
      </x:c>
      <x:c r="F209" s="7" t="n">
        <x:v>45866</x:v>
      </x:c>
      <x:c r="G209" s="2" t="str">
        <x:v>Broad lag 1</x:v>
      </x:c>
      <x:c r="H209" s="8" t="n">
        <x:f>'Model fits'!AA155</x:f>
        <x:v>2.956333586096812</x:v>
      </x:c>
      <x:c r="I209" s="8" t="n">
        <x:f>0</x:f>
        <x:v>0</x:v>
      </x:c>
      <x:c r="J209" s="8" t="n">
        <x:v>0</x:v>
      </x:c>
      <x:c r="K209" s="8" t="n">
        <x:f>H209-I209*J209</x:f>
        <x:v>2.956333586096812</x:v>
      </x:c>
      <x:c r="L209" s="8" t="n">
        <x:f>'PG facts'!D125</x:f>
        <x:v>1</x:v>
      </x:c>
      <x:c r="M209" s="8" t="n">
        <x:f>K209-L209</x:f>
        <x:v>1.9563335860968118</x:v>
      </x:c>
      <x:c r="N209" s="8" t="n">
        <x:f>M209^2</x:f>
        <x:v>3.827241100090412</x:v>
      </x:c>
      <x:c r="O209" s="8" t="n">
        <x:f>ABS(M209)</x:f>
        <x:v>1.9563335860968118</x:v>
      </x:c>
      <x:c r="P209" s="7" t="n">
        <x:v>45867</x:v>
      </x:c>
    </x:row>
    <x:row r="210" ht="26" customHeight="1">
      <x:c r="A210" s="2"/>
      <x:c r="B210" s="2" t="n">
        <x:v>205</x:v>
      </x:c>
      <x:c r="C210" s="2" t="str">
        <x:v>Beauty / price_contribution</x:v>
      </x:c>
      <x:c r="D210" s="7" t="n">
        <x:v>45838</x:v>
      </x:c>
      <x:c r="E210" s="2" t="str">
        <x:v>Pre-earnings</x:v>
      </x:c>
      <x:c r="F210" s="7" t="n">
        <x:v>45866</x:v>
      </x:c>
      <x:c r="G210" s="2" t="str">
        <x:v>Broad rolling 8</x:v>
      </x:c>
      <x:c r="H210" s="8" t="n">
        <x:f>'Model fits'!AA156</x:f>
        <x:v>1.9686105162504637</x:v>
      </x:c>
      <x:c r="I210" s="8" t="n">
        <x:f>0</x:f>
        <x:v>0</x:v>
      </x:c>
      <x:c r="J210" s="8" t="n">
        <x:v>0</x:v>
      </x:c>
      <x:c r="K210" s="8" t="n">
        <x:f>H210-I210*J210</x:f>
        <x:v>1.9686105162504637</x:v>
      </x:c>
      <x:c r="L210" s="8" t="n">
        <x:f>'PG facts'!D125</x:f>
        <x:v>1</x:v>
      </x:c>
      <x:c r="M210" s="8" t="n">
        <x:f>K210-L210</x:f>
        <x:v>0.9686105162504637</x:v>
      </x:c>
      <x:c r="N210" s="8" t="n">
        <x:f>M210^2</x:f>
        <x:v>0.9382063321909898</x:v>
      </x:c>
      <x:c r="O210" s="8" t="n">
        <x:f>ABS(M210)</x:f>
        <x:v>0.9686105162504637</x:v>
      </x:c>
      <x:c r="P210" s="7" t="n">
        <x:v>45867</x:v>
      </x:c>
    </x:row>
    <x:row r="211" ht="26" customHeight="1">
      <x:c r="A211" s="2"/>
      <x:c r="B211" s="2" t="n">
        <x:v>206</x:v>
      </x:c>
      <x:c r="C211" s="2" t="str">
        <x:v>Beauty / price_contribution</x:v>
      </x:c>
      <x:c r="D211" s="7" t="n">
        <x:v>45838</x:v>
      </x:c>
      <x:c r="E211" s="2" t="str">
        <x:v>Pre-earnings</x:v>
      </x:c>
      <x:c r="F211" s="7" t="n">
        <x:v>45866</x:v>
      </x:c>
      <x:c r="G211" s="2" t="str">
        <x:v>Own history</x:v>
      </x:c>
      <x:c r="H211" s="8" t="n">
        <x:f>'Model fits'!AA157</x:f>
        <x:v>3.399624765478424</x:v>
      </x:c>
      <x:c r="I211" s="8" t="n">
        <x:f>0</x:f>
        <x:v>0</x:v>
      </x:c>
      <x:c r="J211" s="8" t="n">
        <x:v>0</x:v>
      </x:c>
      <x:c r="K211" s="8" t="n">
        <x:f>H211-I211*J211</x:f>
        <x:v>3.399624765478424</x:v>
      </x:c>
      <x:c r="L211" s="8" t="n">
        <x:f>'PG facts'!D125</x:f>
        <x:v>1</x:v>
      </x:c>
      <x:c r="M211" s="8" t="n">
        <x:f>K211-L211</x:f>
        <x:v>2.399624765478424</x:v>
      </x:c>
      <x:c r="N211" s="8" t="n">
        <x:f>M211^2</x:f>
        <x:v>5.758199015097381</x:v>
      </x:c>
      <x:c r="O211" s="8" t="n">
        <x:f>ABS(M211)</x:f>
        <x:v>2.399624765478424</x:v>
      </x:c>
      <x:c r="P211" s="7" t="n">
        <x:v>45867</x:v>
      </x:c>
    </x:row>
    <x:row r="212" ht="26" customHeight="1">
      <x:c r="A212" s="2"/>
      <x:c r="B212" s="2" t="n">
        <x:v>207</x:v>
      </x:c>
      <x:c r="C212" s="2" t="str">
        <x:v>Beauty / price_contribution</x:v>
      </x:c>
      <x:c r="D212" s="7" t="n">
        <x:v>45838</x:v>
      </x:c>
      <x:c r="E212" s="2" t="str">
        <x:v>Pre-earnings</x:v>
      </x:c>
      <x:c r="F212" s="7" t="n">
        <x:v>45866</x:v>
      </x:c>
      <x:c r="G212" s="2" t="str">
        <x:v>Product price</x:v>
      </x:c>
      <x:c r="H212" s="8" t="n">
        <x:f>'Model fits'!AA158</x:f>
        <x:v>3.1529776649663055</x:v>
      </x:c>
      <x:c r="I212" s="8" t="n">
        <x:f>0</x:f>
        <x:v>0</x:v>
      </x:c>
      <x:c r="J212" s="8" t="n">
        <x:v>0</x:v>
      </x:c>
      <x:c r="K212" s="8" t="n">
        <x:f>H212-I212*J212</x:f>
        <x:v>3.1529776649663055</x:v>
      </x:c>
      <x:c r="L212" s="8" t="n">
        <x:f>'PG facts'!D125</x:f>
        <x:v>1</x:v>
      </x:c>
      <x:c r="M212" s="8" t="n">
        <x:f>K212-L212</x:f>
        <x:v>2.1529776649663055</x:v>
      </x:c>
      <x:c r="N212" s="8" t="n">
        <x:f>M212^2</x:f>
        <x:v>4.635312825843765</x:v>
      </x:c>
      <x:c r="O212" s="8" t="n">
        <x:f>ABS(M212)</x:f>
        <x:v>2.1529776649663055</x:v>
      </x:c>
      <x:c r="P212" s="7" t="n">
        <x:v>45867</x:v>
      </x:c>
    </x:row>
    <x:row r="213" ht="26" customHeight="1">
      <x:c r="A213" s="2"/>
      <x:c r="B213" s="2" t="n">
        <x:v>208</x:v>
      </x:c>
      <x:c r="C213" s="2" t="str">
        <x:v>Beauty / price_contribution</x:v>
      </x:c>
      <x:c r="D213" s="7" t="n">
        <x:v>45838</x:v>
      </x:c>
      <x:c r="E213" s="2" t="str">
        <x:v>Pre-earnings</x:v>
      </x:c>
      <x:c r="F213" s="7" t="n">
        <x:v>45866</x:v>
      </x:c>
      <x:c r="G213" s="2" t="str">
        <x:v>Product lag 1</x:v>
      </x:c>
      <x:c r="H213" s="8" t="n">
        <x:f>'Model fits'!AA159</x:f>
        <x:v>3.1683048807093224</x:v>
      </x:c>
      <x:c r="I213" s="8" t="n">
        <x:f>0</x:f>
        <x:v>0</x:v>
      </x:c>
      <x:c r="J213" s="8" t="n">
        <x:v>0</x:v>
      </x:c>
      <x:c r="K213" s="8" t="n">
        <x:f>H213-I213*J213</x:f>
        <x:v>3.1683048807093224</x:v>
      </x:c>
      <x:c r="L213" s="8" t="n">
        <x:f>'PG facts'!D125</x:f>
        <x:v>1</x:v>
      </x:c>
      <x:c r="M213" s="8" t="n">
        <x:f>K213-L213</x:f>
        <x:v>2.1683048807093224</x:v>
      </x:c>
      <x:c r="N213" s="8" t="n">
        <x:f>M213^2</x:f>
        <x:v>4.701546055707869</x:v>
      </x:c>
      <x:c r="O213" s="8" t="n">
        <x:f>ABS(M213)</x:f>
        <x:v>2.1683048807093224</x:v>
      </x:c>
      <x:c r="P213" s="7" t="n">
        <x:v>45867</x:v>
      </x:c>
    </x:row>
    <x:row r="214" ht="26" customHeight="1">
      <x:c r="A214" s="2"/>
      <x:c r="B214" s="2" t="n">
        <x:v>209</x:v>
      </x:c>
      <x:c r="C214" s="2" t="str">
        <x:v>Beauty / price_contribution</x:v>
      </x:c>
      <x:c r="D214" s="7" t="n">
        <x:v>45838</x:v>
      </x:c>
      <x:c r="E214" s="2" t="str">
        <x:v>Pre-earnings</x:v>
      </x:c>
      <x:c r="F214" s="7" t="n">
        <x:v>45866</x:v>
      </x:c>
      <x:c r="G214" s="2" t="str">
        <x:v>Own + product</x:v>
      </x:c>
      <x:c r="H214" s="8" t="n">
        <x:f>'Model fits'!AA160</x:f>
        <x:v>3.239791311663328</x:v>
      </x:c>
      <x:c r="I214" s="8" t="n">
        <x:f>0</x:f>
        <x:v>0</x:v>
      </x:c>
      <x:c r="J214" s="8" t="n">
        <x:v>0</x:v>
      </x:c>
      <x:c r="K214" s="8" t="n">
        <x:f>H214-I214*J214</x:f>
        <x:v>3.239791311663328</x:v>
      </x:c>
      <x:c r="L214" s="8" t="n">
        <x:f>'PG facts'!D125</x:f>
        <x:v>1</x:v>
      </x:c>
      <x:c r="M214" s="8" t="n">
        <x:f>K214-L214</x:f>
        <x:v>2.239791311663328</x:v>
      </x:c>
      <x:c r="N214" s="8" t="n">
        <x:f>M214^2</x:f>
        <x:v>5.016665119802531</x:v>
      </x:c>
      <x:c r="O214" s="8" t="n">
        <x:f>ABS(M214)</x:f>
        <x:v>2.239791311663328</x:v>
      </x:c>
      <x:c r="P214" s="7" t="n">
        <x:v>45867</x:v>
      </x:c>
    </x:row>
    <x:row r="215" ht="26" customHeight="1">
      <x:c r="A215" s="2"/>
      <x:c r="B215" s="2" t="n">
        <x:v>210</x:v>
      </x:c>
      <x:c r="C215" s="2" t="str">
        <x:v>Beauty / price_contribution</x:v>
      </x:c>
      <x:c r="D215" s="7" t="n">
        <x:v>45930</x:v>
      </x:c>
      <x:c r="E215" s="2" t="str">
        <x:v>Origin</x:v>
      </x:c>
      <x:c r="F215" s="7" t="n">
        <x:v>45839</x:v>
      </x:c>
      <x:c r="G215" s="2" t="str">
        <x:v>Last actual</x:v>
      </x:c>
      <x:c r="H215" s="8" t="n">
        <x:f>AVERAGE('PG facts'!D118)</x:f>
        <x:v>3</x:v>
      </x:c>
      <x:c r="I215" s="8" t="n">
        <x:f>0</x:f>
        <x:v>0</x:v>
      </x:c>
      <x:c r="J215" s="8" t="n">
        <x:v>0</x:v>
      </x:c>
      <x:c r="K215" s="8" t="n">
        <x:f>H215-I215*J215</x:f>
        <x:v>3</x:v>
      </x:c>
      <x:c r="L215" s="8" t="n">
        <x:f>'PG facts'!D132</x:f>
        <x:v>2</x:v>
      </x:c>
      <x:c r="M215" s="8" t="n">
        <x:f>K215-L215</x:f>
        <x:v>1</x:v>
      </x:c>
      <x:c r="N215" s="8" t="n">
        <x:f>M215^2</x:f>
        <x:v>1</x:v>
      </x:c>
      <x:c r="O215" s="8" t="n">
        <x:f>ABS(M215)</x:f>
        <x:v>1</x:v>
      </x:c>
      <x:c r="P215" s="7" t="n">
        <x:v>45954</x:v>
      </x:c>
    </x:row>
    <x:row r="216" ht="26" customHeight="1">
      <x:c r="A216" s="2"/>
      <x:c r="B216" s="2" t="n">
        <x:v>211</x:v>
      </x:c>
      <x:c r="C216" s="2" t="str">
        <x:v>Beauty / price_contribution</x:v>
      </x:c>
      <x:c r="D216" s="7" t="n">
        <x:v>45930</x:v>
      </x:c>
      <x:c r="E216" s="2" t="str">
        <x:v>Origin</x:v>
      </x:c>
      <x:c r="F216" s="7" t="n">
        <x:v>45839</x:v>
      </x:c>
      <x:c r="G216" s="2" t="str">
        <x:v>Four-quarter mean</x:v>
      </x:c>
      <x:c r="H216" s="8" t="n">
        <x:f>AVERAGE('PG facts'!D97,'PG facts'!D104,'PG facts'!D111,'PG facts'!D118)</x:f>
        <x:v>2.25</x:v>
      </x:c>
      <x:c r="I216" s="8" t="n">
        <x:f>0</x:f>
        <x:v>0</x:v>
      </x:c>
      <x:c r="J216" s="8" t="n">
        <x:v>0</x:v>
      </x:c>
      <x:c r="K216" s="8" t="n">
        <x:f>H216-I216*J216</x:f>
        <x:v>2.25</x:v>
      </x:c>
      <x:c r="L216" s="8" t="n">
        <x:f>'PG facts'!D132</x:f>
        <x:v>2</x:v>
      </x:c>
      <x:c r="M216" s="8" t="n">
        <x:f>K216-L216</x:f>
        <x:v>0.25</x:v>
      </x:c>
      <x:c r="N216" s="8" t="n">
        <x:f>M216^2</x:f>
        <x:v>0.0625</x:v>
      </x:c>
      <x:c r="O216" s="8" t="n">
        <x:f>ABS(M216)</x:f>
        <x:v>0.25</x:v>
      </x:c>
      <x:c r="P216" s="7" t="n">
        <x:v>45954</x:v>
      </x:c>
    </x:row>
    <x:row r="217" ht="26" customHeight="1">
      <x:c r="A217" s="2"/>
      <x:c r="B217" s="2" t="n">
        <x:v>212</x:v>
      </x:c>
      <x:c r="C217" s="2" t="str">
        <x:v>Beauty / price_contribution</x:v>
      </x:c>
      <x:c r="D217" s="7" t="n">
        <x:v>45930</x:v>
      </x:c>
      <x:c r="E217" s="2" t="str">
        <x:v>Origin</x:v>
      </x:c>
      <x:c r="F217" s="7" t="n">
        <x:v>45839</x:v>
      </x:c>
      <x:c r="G217" s="2" t="str">
        <x:v>Broad market</x:v>
      </x:c>
      <x:c r="H217" s="8" t="n">
        <x:f>'Model fits'!AA161</x:f>
        <x:v>2.519779831859841</x:v>
      </x:c>
      <x:c r="I217" s="8" t="n">
        <x:f>0</x:f>
        <x:v>0</x:v>
      </x:c>
      <x:c r="J217" s="8" t="n">
        <x:v>0</x:v>
      </x:c>
      <x:c r="K217" s="8" t="n">
        <x:f>H217-I217*J217</x:f>
        <x:v>2.519779831859841</x:v>
      </x:c>
      <x:c r="L217" s="8" t="n">
        <x:f>'PG facts'!D132</x:f>
        <x:v>2</x:v>
      </x:c>
      <x:c r="M217" s="8" t="n">
        <x:f>K217-L217</x:f>
        <x:v>0.5197798318598408</x:v>
      </x:c>
      <x:c r="N217" s="8" t="n">
        <x:f>M217^2</x:f>
        <x:v>0.2701710736082443</x:v>
      </x:c>
      <x:c r="O217" s="8" t="n">
        <x:f>ABS(M217)</x:f>
        <x:v>0.5197798318598408</x:v>
      </x:c>
      <x:c r="P217" s="7" t="n">
        <x:v>45954</x:v>
      </x:c>
    </x:row>
    <x:row r="218" ht="26" customHeight="1">
      <x:c r="A218" s="2"/>
      <x:c r="B218" s="2" t="n">
        <x:v>213</x:v>
      </x:c>
      <x:c r="C218" s="2" t="str">
        <x:v>Beauty / price_contribution</x:v>
      </x:c>
      <x:c r="D218" s="7" t="n">
        <x:v>45930</x:v>
      </x:c>
      <x:c r="E218" s="2" t="str">
        <x:v>Origin</x:v>
      </x:c>
      <x:c r="F218" s="7" t="n">
        <x:v>45839</x:v>
      </x:c>
      <x:c r="G218" s="2" t="str">
        <x:v>Broad rolling 8</x:v>
      </x:c>
      <x:c r="H218" s="8" t="n">
        <x:f>'Model fits'!AA162</x:f>
        <x:v>1.7915095947478636</x:v>
      </x:c>
      <x:c r="I218" s="8" t="n">
        <x:f>0</x:f>
        <x:v>0</x:v>
      </x:c>
      <x:c r="J218" s="8" t="n">
        <x:v>0</x:v>
      </x:c>
      <x:c r="K218" s="8" t="n">
        <x:f>H218-I218*J218</x:f>
        <x:v>1.7915095947478636</x:v>
      </x:c>
      <x:c r="L218" s="8" t="n">
        <x:f>'PG facts'!D132</x:f>
        <x:v>2</x:v>
      </x:c>
      <x:c r="M218" s="8" t="n">
        <x:f>K218-L218</x:f>
        <x:v>-0.20849040525213636</x:v>
      </x:c>
      <x:c r="N218" s="8" t="n">
        <x:f>M218^2</x:f>
        <x:v>0.043468249082200046</x:v>
      </x:c>
      <x:c r="O218" s="8" t="n">
        <x:f>ABS(M218)</x:f>
        <x:v>0.20849040525213636</x:v>
      </x:c>
      <x:c r="P218" s="7" t="n">
        <x:v>45954</x:v>
      </x:c>
    </x:row>
    <x:row r="219" ht="26" customHeight="1">
      <x:c r="A219" s="2"/>
      <x:c r="B219" s="2" t="n">
        <x:v>214</x:v>
      </x:c>
      <x:c r="C219" s="2" t="str">
        <x:v>Beauty / price_contribution</x:v>
      </x:c>
      <x:c r="D219" s="7" t="n">
        <x:v>45930</x:v>
      </x:c>
      <x:c r="E219" s="2" t="str">
        <x:v>Origin</x:v>
      </x:c>
      <x:c r="F219" s="7" t="n">
        <x:v>45839</x:v>
      </x:c>
      <x:c r="G219" s="2" t="str">
        <x:v>Own history</x:v>
      </x:c>
      <x:c r="H219" s="8" t="n">
        <x:f>'Model fits'!AA163</x:f>
        <x:v>3.703012912482066</x:v>
      </x:c>
      <x:c r="I219" s="8" t="n">
        <x:f>0</x:f>
        <x:v>0</x:v>
      </x:c>
      <x:c r="J219" s="8" t="n">
        <x:v>0</x:v>
      </x:c>
      <x:c r="K219" s="8" t="n">
        <x:f>H219-I219*J219</x:f>
        <x:v>3.703012912482066</x:v>
      </x:c>
      <x:c r="L219" s="8" t="n">
        <x:f>'PG facts'!D132</x:f>
        <x:v>2</x:v>
      </x:c>
      <x:c r="M219" s="8" t="n">
        <x:f>K219-L219</x:f>
        <x:v>1.703012912482066</x:v>
      </x:c>
      <x:c r="N219" s="8" t="n">
        <x:f>M219^2</x:f>
        <x:v>2.900252980080649</x:v>
      </x:c>
      <x:c r="O219" s="8" t="n">
        <x:f>ABS(M219)</x:f>
        <x:v>1.703012912482066</x:v>
      </x:c>
      <x:c r="P219" s="7" t="n">
        <x:v>45954</x:v>
      </x:c>
    </x:row>
    <x:row r="220" ht="26" customHeight="1">
      <x:c r="A220" s="2"/>
      <x:c r="B220" s="2" t="n">
        <x:v>215</x:v>
      </x:c>
      <x:c r="C220" s="2" t="str">
        <x:v>Beauty / price_contribution</x:v>
      </x:c>
      <x:c r="D220" s="7" t="n">
        <x:v>45930</x:v>
      </x:c>
      <x:c r="E220" s="2" t="str">
        <x:v>Origin</x:v>
      </x:c>
      <x:c r="F220" s="7" t="n">
        <x:v>45839</x:v>
      </x:c>
      <x:c r="G220" s="2" t="str">
        <x:v>Product price</x:v>
      </x:c>
      <x:c r="H220" s="8" t="n">
        <x:f>'Model fits'!AA164</x:f>
        <x:v>2.7002911413602493</x:v>
      </x:c>
      <x:c r="I220" s="8" t="n">
        <x:f>0</x:f>
        <x:v>0</x:v>
      </x:c>
      <x:c r="J220" s="8" t="n">
        <x:v>0</x:v>
      </x:c>
      <x:c r="K220" s="8" t="n">
        <x:f>H220-I220*J220</x:f>
        <x:v>2.7002911413602493</x:v>
      </x:c>
      <x:c r="L220" s="8" t="n">
        <x:f>'PG facts'!D132</x:f>
        <x:v>2</x:v>
      </x:c>
      <x:c r="M220" s="8" t="n">
        <x:f>K220-L220</x:f>
        <x:v>0.7002911413602493</x:v>
      </x:c>
      <x:c r="N220" s="8" t="n">
        <x:f>M220^2</x:f>
        <x:v>0.4904076826676406</x:v>
      </x:c>
      <x:c r="O220" s="8" t="n">
        <x:f>ABS(M220)</x:f>
        <x:v>0.7002911413602493</x:v>
      </x:c>
      <x:c r="P220" s="7" t="n">
        <x:v>45954</x:v>
      </x:c>
    </x:row>
    <x:row r="221" ht="26" customHeight="1">
      <x:c r="A221" s="2"/>
      <x:c r="B221" s="2" t="n">
        <x:v>216</x:v>
      </x:c>
      <x:c r="C221" s="2" t="str">
        <x:v>Beauty / price_contribution</x:v>
      </x:c>
      <x:c r="D221" s="7" t="n">
        <x:v>45930</x:v>
      </x:c>
      <x:c r="E221" s="2" t="str">
        <x:v>Origin</x:v>
      </x:c>
      <x:c r="F221" s="7" t="n">
        <x:v>45839</x:v>
      </x:c>
      <x:c r="G221" s="2" t="str">
        <x:v>Own + product</x:v>
      </x:c>
      <x:c r="H221" s="8" t="n">
        <x:f>'Model fits'!AA165</x:f>
        <x:v>2.631254053008599</x:v>
      </x:c>
      <x:c r="I221" s="8" t="n">
        <x:f>0</x:f>
        <x:v>0</x:v>
      </x:c>
      <x:c r="J221" s="8" t="n">
        <x:v>0</x:v>
      </x:c>
      <x:c r="K221" s="8" t="n">
        <x:f>H221-I221*J221</x:f>
        <x:v>2.631254053008599</x:v>
      </x:c>
      <x:c r="L221" s="8" t="n">
        <x:f>'PG facts'!D132</x:f>
        <x:v>2</x:v>
      </x:c>
      <x:c r="M221" s="8" t="n">
        <x:f>K221-L221</x:f>
        <x:v>0.631254053008599</x:v>
      </x:c>
      <x:c r="N221" s="8" t="n">
        <x:f>M221^2</x:f>
        <x:v>0.3984816794397832</x:v>
      </x:c>
      <x:c r="O221" s="8" t="n">
        <x:f>ABS(M221)</x:f>
        <x:v>0.631254053008599</x:v>
      </x:c>
      <x:c r="P221" s="7" t="n">
        <x:v>45954</x:v>
      </x:c>
    </x:row>
    <x:row r="222" ht="26" customHeight="1">
      <x:c r="A222" s="2"/>
      <x:c r="B222" s="2" t="n">
        <x:v>217</x:v>
      </x:c>
      <x:c r="C222" s="2" t="str">
        <x:v>Beauty / price_contribution</x:v>
      </x:c>
      <x:c r="D222" s="7" t="n">
        <x:v>45930</x:v>
      </x:c>
      <x:c r="E222" s="2" t="str">
        <x:v>Prior report</x:v>
      </x:c>
      <x:c r="F222" s="7" t="n">
        <x:v>45867</x:v>
      </x:c>
      <x:c r="G222" s="2" t="str">
        <x:v>Last actual</x:v>
      </x:c>
      <x:c r="H222" s="8" t="n">
        <x:f>AVERAGE('PG facts'!D125)</x:f>
        <x:v>1</x:v>
      </x:c>
      <x:c r="I222" s="8" t="n">
        <x:f>0</x:f>
        <x:v>0</x:v>
      </x:c>
      <x:c r="J222" s="8" t="n">
        <x:v>0</x:v>
      </x:c>
      <x:c r="K222" s="8" t="n">
        <x:f>H222-I222*J222</x:f>
        <x:v>1</x:v>
      </x:c>
      <x:c r="L222" s="8" t="n">
        <x:f>'PG facts'!D132</x:f>
        <x:v>2</x:v>
      </x:c>
      <x:c r="M222" s="8" t="n">
        <x:f>K222-L222</x:f>
        <x:v>-1</x:v>
      </x:c>
      <x:c r="N222" s="8" t="n">
        <x:f>M222^2</x:f>
        <x:v>1</x:v>
      </x:c>
      <x:c r="O222" s="8" t="n">
        <x:f>ABS(M222)</x:f>
        <x:v>1</x:v>
      </x:c>
      <x:c r="P222" s="7" t="n">
        <x:v>45954</x:v>
      </x:c>
    </x:row>
    <x:row r="223" ht="26" customHeight="1">
      <x:c r="A223" s="2"/>
      <x:c r="B223" s="2" t="n">
        <x:v>218</x:v>
      </x:c>
      <x:c r="C223" s="2" t="str">
        <x:v>Beauty / price_contribution</x:v>
      </x:c>
      <x:c r="D223" s="7" t="n">
        <x:v>45930</x:v>
      </x:c>
      <x:c r="E223" s="2" t="str">
        <x:v>Prior report</x:v>
      </x:c>
      <x:c r="F223" s="7" t="n">
        <x:v>45867</x:v>
      </x:c>
      <x:c r="G223" s="2" t="str">
        <x:v>Four-quarter mean</x:v>
      </x:c>
      <x:c r="H223" s="8" t="n">
        <x:f>AVERAGE('PG facts'!D104,'PG facts'!D111,'PG facts'!D118,'PG facts'!D125)</x:f>
        <x:v>1.75</x:v>
      </x:c>
      <x:c r="I223" s="8" t="n">
        <x:f>0</x:f>
        <x:v>0</x:v>
      </x:c>
      <x:c r="J223" s="8" t="n">
        <x:v>0</x:v>
      </x:c>
      <x:c r="K223" s="8" t="n">
        <x:f>H223-I223*J223</x:f>
        <x:v>1.75</x:v>
      </x:c>
      <x:c r="L223" s="8" t="n">
        <x:f>'PG facts'!D132</x:f>
        <x:v>2</x:v>
      </x:c>
      <x:c r="M223" s="8" t="n">
        <x:f>K223-L223</x:f>
        <x:v>-0.25</x:v>
      </x:c>
      <x:c r="N223" s="8" t="n">
        <x:f>M223^2</x:f>
        <x:v>0.0625</x:v>
      </x:c>
      <x:c r="O223" s="8" t="n">
        <x:f>ABS(M223)</x:f>
        <x:v>0.25</x:v>
      </x:c>
      <x:c r="P223" s="7" t="n">
        <x:v>45954</x:v>
      </x:c>
    </x:row>
    <x:row r="224" ht="26" customHeight="1">
      <x:c r="A224" s="2"/>
      <x:c r="B224" s="2" t="n">
        <x:v>219</x:v>
      </x:c>
      <x:c r="C224" s="2" t="str">
        <x:v>Beauty / price_contribution</x:v>
      </x:c>
      <x:c r="D224" s="7" t="n">
        <x:v>45930</x:v>
      </x:c>
      <x:c r="E224" s="2" t="str">
        <x:v>Prior report</x:v>
      </x:c>
      <x:c r="F224" s="7" t="n">
        <x:v>45867</x:v>
      </x:c>
      <x:c r="G224" s="2" t="str">
        <x:v>Broad market</x:v>
      </x:c>
      <x:c r="H224" s="8" t="n">
        <x:f>'Model fits'!AA166</x:f>
        <x:v>2.5407856229574164</x:v>
      </x:c>
      <x:c r="I224" s="8" t="n">
        <x:f>0</x:f>
        <x:v>0</x:v>
      </x:c>
      <x:c r="J224" s="8" t="n">
        <x:v>0</x:v>
      </x:c>
      <x:c r="K224" s="8" t="n">
        <x:f>H224-I224*J224</x:f>
        <x:v>2.5407856229574164</x:v>
      </x:c>
      <x:c r="L224" s="8" t="n">
        <x:f>'PG facts'!D132</x:f>
        <x:v>2</x:v>
      </x:c>
      <x:c r="M224" s="8" t="n">
        <x:f>K224-L224</x:f>
        <x:v>0.5407856229574164</x:v>
      </x:c>
      <x:c r="N224" s="8" t="n">
        <x:f>M224^2</x:f>
        <x:v>0.2924490899974409</x:v>
      </x:c>
      <x:c r="O224" s="8" t="n">
        <x:f>ABS(M224)</x:f>
        <x:v>0.5407856229574164</x:v>
      </x:c>
      <x:c r="P224" s="7" t="n">
        <x:v>45954</x:v>
      </x:c>
    </x:row>
    <x:row r="225" ht="26" customHeight="1">
      <x:c r="A225" s="2"/>
      <x:c r="B225" s="2" t="n">
        <x:v>220</x:v>
      </x:c>
      <x:c r="C225" s="2" t="str">
        <x:v>Beauty / price_contribution</x:v>
      </x:c>
      <x:c r="D225" s="7" t="n">
        <x:v>45930</x:v>
      </x:c>
      <x:c r="E225" s="2" t="str">
        <x:v>Prior report</x:v>
      </x:c>
      <x:c r="F225" s="7" t="n">
        <x:v>45867</x:v>
      </x:c>
      <x:c r="G225" s="2" t="str">
        <x:v>Broad lag 1</x:v>
      </x:c>
      <x:c r="H225" s="8" t="n">
        <x:f>'Model fits'!AA167</x:f>
        <x:v>2.932971414761992</x:v>
      </x:c>
      <x:c r="I225" s="8" t="n">
        <x:f>0</x:f>
        <x:v>0</x:v>
      </x:c>
      <x:c r="J225" s="8" t="n">
        <x:v>0</x:v>
      </x:c>
      <x:c r="K225" s="8" t="n">
        <x:f>H225-I225*J225</x:f>
        <x:v>2.932971414761992</x:v>
      </x:c>
      <x:c r="L225" s="8" t="n">
        <x:f>'PG facts'!D132</x:f>
        <x:v>2</x:v>
      </x:c>
      <x:c r="M225" s="8" t="n">
        <x:f>K225-L225</x:f>
        <x:v>0.9329714147619921</x:v>
      </x:c>
      <x:c r="N225" s="8" t="n">
        <x:f>M225^2</x:f>
        <x:v>0.8704356607629931</x:v>
      </x:c>
      <x:c r="O225" s="8" t="n">
        <x:f>ABS(M225)</x:f>
        <x:v>0.9329714147619921</x:v>
      </x:c>
      <x:c r="P225" s="7" t="n">
        <x:v>45954</x:v>
      </x:c>
    </x:row>
    <x:row r="226" ht="26" customHeight="1">
      <x:c r="A226" s="2"/>
      <x:c r="B226" s="2" t="n">
        <x:v>221</x:v>
      </x:c>
      <x:c r="C226" s="2" t="str">
        <x:v>Beauty / price_contribution</x:v>
      </x:c>
      <x:c r="D226" s="7" t="n">
        <x:v>45930</x:v>
      </x:c>
      <x:c r="E226" s="2" t="str">
        <x:v>Prior report</x:v>
      </x:c>
      <x:c r="F226" s="7" t="n">
        <x:v>45867</x:v>
      </x:c>
      <x:c r="G226" s="2" t="str">
        <x:v>Broad rolling 8</x:v>
      </x:c>
      <x:c r="H226" s="8" t="n">
        <x:f>'Model fits'!AA168</x:f>
        <x:v>1.824813357094192</x:v>
      </x:c>
      <x:c r="I226" s="8" t="n">
        <x:f>0</x:f>
        <x:v>0</x:v>
      </x:c>
      <x:c r="J226" s="8" t="n">
        <x:v>0</x:v>
      </x:c>
      <x:c r="K226" s="8" t="n">
        <x:f>H226-I226*J226</x:f>
        <x:v>1.824813357094192</x:v>
      </x:c>
      <x:c r="L226" s="8" t="n">
        <x:f>'PG facts'!D132</x:f>
        <x:v>2</x:v>
      </x:c>
      <x:c r="M226" s="8" t="n">
        <x:f>K226-L226</x:f>
        <x:v>-0.175186642905808</x:v>
      </x:c>
      <x:c r="N226" s="8" t="n">
        <x:f>M226^2</x:f>
        <x:v>0.030690359852607083</x:v>
      </x:c>
      <x:c r="O226" s="8" t="n">
        <x:f>ABS(M226)</x:f>
        <x:v>0.175186642905808</x:v>
      </x:c>
      <x:c r="P226" s="7" t="n">
        <x:v>45954</x:v>
      </x:c>
    </x:row>
    <x:row r="227" ht="26" customHeight="1">
      <x:c r="A227" s="2"/>
      <x:c r="B227" s="2" t="n">
        <x:v>222</x:v>
      </x:c>
      <x:c r="C227" s="2" t="str">
        <x:v>Beauty / price_contribution</x:v>
      </x:c>
      <x:c r="D227" s="7" t="n">
        <x:v>45930</x:v>
      </x:c>
      <x:c r="E227" s="2" t="str">
        <x:v>Prior report</x:v>
      </x:c>
      <x:c r="F227" s="7" t="n">
        <x:v>45867</x:v>
      </x:c>
      <x:c r="G227" s="2" t="str">
        <x:v>Own history</x:v>
      </x:c>
      <x:c r="H227" s="8" t="n">
        <x:f>'Model fits'!AA169</x:f>
        <x:v>1.5701956271576538</x:v>
      </x:c>
      <x:c r="I227" s="8" t="n">
        <x:f>0</x:f>
        <x:v>0</x:v>
      </x:c>
      <x:c r="J227" s="8" t="n">
        <x:v>0</x:v>
      </x:c>
      <x:c r="K227" s="8" t="n">
        <x:f>H227-I227*J227</x:f>
        <x:v>1.5701956271576538</x:v>
      </x:c>
      <x:c r="L227" s="8" t="n">
        <x:f>'PG facts'!D132</x:f>
        <x:v>2</x:v>
      </x:c>
      <x:c r="M227" s="8" t="n">
        <x:f>K227-L227</x:f>
        <x:v>-0.4298043728423462</x:v>
      </x:c>
      <x:c r="N227" s="8" t="n">
        <x:f>M227^2</x:f>
        <x:v>0.18473179891440253</x:v>
      </x:c>
      <x:c r="O227" s="8" t="n">
        <x:f>ABS(M227)</x:f>
        <x:v>0.4298043728423462</x:v>
      </x:c>
      <x:c r="P227" s="7" t="n">
        <x:v>45954</x:v>
      </x:c>
    </x:row>
    <x:row r="228" ht="26" customHeight="1">
      <x:c r="A228" s="2"/>
      <x:c r="B228" s="2" t="n">
        <x:v>223</x:v>
      </x:c>
      <x:c r="C228" s="2" t="str">
        <x:v>Beauty / price_contribution</x:v>
      </x:c>
      <x:c r="D228" s="7" t="n">
        <x:v>45930</x:v>
      </x:c>
      <x:c r="E228" s="2" t="str">
        <x:v>Prior report</x:v>
      </x:c>
      <x:c r="F228" s="7" t="n">
        <x:v>45867</x:v>
      </x:c>
      <x:c r="G228" s="2" t="str">
        <x:v>Product price</x:v>
      </x:c>
      <x:c r="H228" s="8" t="n">
        <x:f>'Model fits'!AA170</x:f>
        <x:v>2.9941391199219978</x:v>
      </x:c>
      <x:c r="I228" s="8" t="n">
        <x:f>0</x:f>
        <x:v>0</x:v>
      </x:c>
      <x:c r="J228" s="8" t="n">
        <x:v>0</x:v>
      </x:c>
      <x:c r="K228" s="8" t="n">
        <x:f>H228-I228*J228</x:f>
        <x:v>2.9941391199219978</x:v>
      </x:c>
      <x:c r="L228" s="8" t="n">
        <x:f>'PG facts'!D132</x:f>
        <x:v>2</x:v>
      </x:c>
      <x:c r="M228" s="8" t="n">
        <x:f>K228-L228</x:f>
        <x:v>0.9941391199219978</x:v>
      </x:c>
      <x:c r="N228" s="8" t="n">
        <x:f>M228^2</x:f>
        <x:v>0.9883125897592843</x:v>
      </x:c>
      <x:c r="O228" s="8" t="n">
        <x:f>ABS(M228)</x:f>
        <x:v>0.9941391199219978</x:v>
      </x:c>
      <x:c r="P228" s="7" t="n">
        <x:v>45954</x:v>
      </x:c>
    </x:row>
    <x:row r="229" ht="26" customHeight="1">
      <x:c r="A229" s="2"/>
      <x:c r="B229" s="2" t="n">
        <x:v>224</x:v>
      </x:c>
      <x:c r="C229" s="2" t="str">
        <x:v>Beauty / price_contribution</x:v>
      </x:c>
      <x:c r="D229" s="7" t="n">
        <x:v>45930</x:v>
      </x:c>
      <x:c r="E229" s="2" t="str">
        <x:v>Prior report</x:v>
      </x:c>
      <x:c r="F229" s="7" t="n">
        <x:v>45867</x:v>
      </x:c>
      <x:c r="G229" s="2" t="str">
        <x:v>Product lag 1</x:v>
      </x:c>
      <x:c r="H229" s="8" t="n">
        <x:f>'Model fits'!AA171</x:f>
        <x:v>3.349555220931981</x:v>
      </x:c>
      <x:c r="I229" s="8" t="n">
        <x:f>0</x:f>
        <x:v>0</x:v>
      </x:c>
      <x:c r="J229" s="8" t="n">
        <x:v>0</x:v>
      </x:c>
      <x:c r="K229" s="8" t="n">
        <x:f>H229-I229*J229</x:f>
        <x:v>3.349555220931981</x:v>
      </x:c>
      <x:c r="L229" s="8" t="n">
        <x:f>'PG facts'!D132</x:f>
        <x:v>2</x:v>
      </x:c>
      <x:c r="M229" s="8" t="n">
        <x:f>K229-L229</x:f>
        <x:v>1.3495552209319812</x:v>
      </x:c>
      <x:c r="N229" s="8" t="n">
        <x:f>M229^2</x:f>
        <x:v>1.8212992943447686</x:v>
      </x:c>
      <x:c r="O229" s="8" t="n">
        <x:f>ABS(M229)</x:f>
        <x:v>1.3495552209319812</x:v>
      </x:c>
      <x:c r="P229" s="7" t="n">
        <x:v>45954</x:v>
      </x:c>
    </x:row>
    <x:row r="230" ht="26" customHeight="1">
      <x:c r="A230" s="2"/>
      <x:c r="B230" s="2" t="n">
        <x:v>225</x:v>
      </x:c>
      <x:c r="C230" s="2" t="str">
        <x:v>Beauty / price_contribution</x:v>
      </x:c>
      <x:c r="D230" s="7" t="n">
        <x:v>45930</x:v>
      </x:c>
      <x:c r="E230" s="2" t="str">
        <x:v>Prior report</x:v>
      </x:c>
      <x:c r="F230" s="7" t="n">
        <x:v>45867</x:v>
      </x:c>
      <x:c r="G230" s="2" t="str">
        <x:v>Own + product</x:v>
      </x:c>
      <x:c r="H230" s="8" t="n">
        <x:f>'Model fits'!AA172</x:f>
        <x:v>3.5750023627291165</x:v>
      </x:c>
      <x:c r="I230" s="8" t="n">
        <x:f>0</x:f>
        <x:v>0</x:v>
      </x:c>
      <x:c r="J230" s="8" t="n">
        <x:v>0</x:v>
      </x:c>
      <x:c r="K230" s="8" t="n">
        <x:f>H230-I230*J230</x:f>
        <x:v>3.5750023627291165</x:v>
      </x:c>
      <x:c r="L230" s="8" t="n">
        <x:f>'PG facts'!D132</x:f>
        <x:v>2</x:v>
      </x:c>
      <x:c r="M230" s="8" t="n">
        <x:f>K230-L230</x:f>
        <x:v>1.5750023627291165</x:v>
      </x:c>
      <x:c r="N230" s="8" t="n">
        <x:f>M230^2</x:f>
        <x:v>2.4806324426022996</x:v>
      </x:c>
      <x:c r="O230" s="8" t="n">
        <x:f>ABS(M230)</x:f>
        <x:v>1.5750023627291165</x:v>
      </x:c>
      <x:c r="P230" s="7" t="n">
        <x:v>45954</x:v>
      </x:c>
    </x:row>
    <x:row r="231" ht="26" customHeight="1">
      <x:c r="A231" s="2"/>
      <x:c r="B231" s="2" t="n">
        <x:v>226</x:v>
      </x:c>
      <x:c r="C231" s="2" t="str">
        <x:v>Beauty / price_contribution</x:v>
      </x:c>
      <x:c r="D231" s="7" t="n">
        <x:v>45930</x:v>
      </x:c>
      <x:c r="E231" s="2" t="str">
        <x:v>Pre-earnings</x:v>
      </x:c>
      <x:c r="F231" s="7" t="n">
        <x:v>45953</x:v>
      </x:c>
      <x:c r="G231" s="2" t="str">
        <x:v>Last actual</x:v>
      </x:c>
      <x:c r="H231" s="8" t="n">
        <x:f>AVERAGE('PG facts'!D125)</x:f>
        <x:v>1</x:v>
      </x:c>
      <x:c r="I231" s="8" t="n">
        <x:f>0</x:f>
        <x:v>0</x:v>
      </x:c>
      <x:c r="J231" s="8" t="n">
        <x:v>0</x:v>
      </x:c>
      <x:c r="K231" s="8" t="n">
        <x:f>H231-I231*J231</x:f>
        <x:v>1</x:v>
      </x:c>
      <x:c r="L231" s="8" t="n">
        <x:f>'PG facts'!D132</x:f>
        <x:v>2</x:v>
      </x:c>
      <x:c r="M231" s="8" t="n">
        <x:f>K231-L231</x:f>
        <x:v>-1</x:v>
      </x:c>
      <x:c r="N231" s="8" t="n">
        <x:f>M231^2</x:f>
        <x:v>1</x:v>
      </x:c>
      <x:c r="O231" s="8" t="n">
        <x:f>ABS(M231)</x:f>
        <x:v>1</x:v>
      </x:c>
      <x:c r="P231" s="7" t="n">
        <x:v>45954</x:v>
      </x:c>
    </x:row>
    <x:row r="232" ht="26" customHeight="1">
      <x:c r="A232" s="2"/>
      <x:c r="B232" s="2" t="n">
        <x:v>227</x:v>
      </x:c>
      <x:c r="C232" s="2" t="str">
        <x:v>Beauty / price_contribution</x:v>
      </x:c>
      <x:c r="D232" s="7" t="n">
        <x:v>45930</x:v>
      </x:c>
      <x:c r="E232" s="2" t="str">
        <x:v>Pre-earnings</x:v>
      </x:c>
      <x:c r="F232" s="7" t="n">
        <x:v>45953</x:v>
      </x:c>
      <x:c r="G232" s="2" t="str">
        <x:v>Four-quarter mean</x:v>
      </x:c>
      <x:c r="H232" s="8" t="n">
        <x:f>AVERAGE('PG facts'!D104,'PG facts'!D111,'PG facts'!D118,'PG facts'!D125)</x:f>
        <x:v>1.75</x:v>
      </x:c>
      <x:c r="I232" s="8" t="n">
        <x:f>0</x:f>
        <x:v>0</x:v>
      </x:c>
      <x:c r="J232" s="8" t="n">
        <x:v>0</x:v>
      </x:c>
      <x:c r="K232" s="8" t="n">
        <x:f>H232-I232*J232</x:f>
        <x:v>1.75</x:v>
      </x:c>
      <x:c r="L232" s="8" t="n">
        <x:f>'PG facts'!D132</x:f>
        <x:v>2</x:v>
      </x:c>
      <x:c r="M232" s="8" t="n">
        <x:f>K232-L232</x:f>
        <x:v>-0.25</x:v>
      </x:c>
      <x:c r="N232" s="8" t="n">
        <x:f>M232^2</x:f>
        <x:v>0.0625</x:v>
      </x:c>
      <x:c r="O232" s="8" t="n">
        <x:f>ABS(M232)</x:f>
        <x:v>0.25</x:v>
      </x:c>
      <x:c r="P232" s="7" t="n">
        <x:v>45954</x:v>
      </x:c>
    </x:row>
    <x:row r="233" ht="26" customHeight="1">
      <x:c r="A233" s="2"/>
      <x:c r="B233" s="2" t="n">
        <x:v>228</x:v>
      </x:c>
      <x:c r="C233" s="2" t="str">
        <x:v>Beauty / price_contribution</x:v>
      </x:c>
      <x:c r="D233" s="7" t="n">
        <x:v>45930</x:v>
      </x:c>
      <x:c r="E233" s="2" t="str">
        <x:v>Pre-earnings</x:v>
      </x:c>
      <x:c r="F233" s="7" t="n">
        <x:v>45953</x:v>
      </x:c>
      <x:c r="G233" s="2" t="str">
        <x:v>Broad market</x:v>
      </x:c>
      <x:c r="H233" s="8" t="n">
        <x:f>'Model fits'!AA173</x:f>
        <x:v>2.749297738516577</x:v>
      </x:c>
      <x:c r="I233" s="8" t="n">
        <x:f>0</x:f>
        <x:v>0</x:v>
      </x:c>
      <x:c r="J233" s="8" t="n">
        <x:v>0</x:v>
      </x:c>
      <x:c r="K233" s="8" t="n">
        <x:f>H233-I233*J233</x:f>
        <x:v>2.749297738516577</x:v>
      </x:c>
      <x:c r="L233" s="8" t="n">
        <x:f>'PG facts'!D132</x:f>
        <x:v>2</x:v>
      </x:c>
      <x:c r="M233" s="8" t="n">
        <x:f>K233-L233</x:f>
        <x:v>0.7492977385165771</x:v>
      </x:c>
      <x:c r="N233" s="8" t="n">
        <x:f>M233^2</x:f>
        <x:v>0.5614471009460568</x:v>
      </x:c>
      <x:c r="O233" s="8" t="n">
        <x:f>ABS(M233)</x:f>
        <x:v>0.7492977385165771</x:v>
      </x:c>
      <x:c r="P233" s="7" t="n">
        <x:v>45954</x:v>
      </x:c>
    </x:row>
    <x:row r="234" ht="26" customHeight="1">
      <x:c r="A234" s="2"/>
      <x:c r="B234" s="2" t="n">
        <x:v>229</x:v>
      </x:c>
      <x:c r="C234" s="2" t="str">
        <x:v>Beauty / price_contribution</x:v>
      </x:c>
      <x:c r="D234" s="7" t="n">
        <x:v>45930</x:v>
      </x:c>
      <x:c r="E234" s="2" t="str">
        <x:v>Pre-earnings</x:v>
      </x:c>
      <x:c r="F234" s="7" t="n">
        <x:v>45953</x:v>
      </x:c>
      <x:c r="G234" s="2" t="str">
        <x:v>Broad lag 1</x:v>
      </x:c>
      <x:c r="H234" s="8" t="n">
        <x:f>'Model fits'!AA174</x:f>
        <x:v>2.932971414761992</x:v>
      </x:c>
      <x:c r="I234" s="8" t="n">
        <x:f>0</x:f>
        <x:v>0</x:v>
      </x:c>
      <x:c r="J234" s="8" t="n">
        <x:v>0</x:v>
      </x:c>
      <x:c r="K234" s="8" t="n">
        <x:f>H234-I234*J234</x:f>
        <x:v>2.932971414761992</x:v>
      </x:c>
      <x:c r="L234" s="8" t="n">
        <x:f>'PG facts'!D132</x:f>
        <x:v>2</x:v>
      </x:c>
      <x:c r="M234" s="8" t="n">
        <x:f>K234-L234</x:f>
        <x:v>0.9329714147619921</x:v>
      </x:c>
      <x:c r="N234" s="8" t="n">
        <x:f>M234^2</x:f>
        <x:v>0.8704356607629931</x:v>
      </x:c>
      <x:c r="O234" s="8" t="n">
        <x:f>ABS(M234)</x:f>
        <x:v>0.9329714147619921</x:v>
      </x:c>
      <x:c r="P234" s="7" t="n">
        <x:v>45954</x:v>
      </x:c>
    </x:row>
    <x:row r="235" ht="26" customHeight="1">
      <x:c r="A235" s="2"/>
      <x:c r="B235" s="2" t="n">
        <x:v>230</x:v>
      </x:c>
      <x:c r="C235" s="2" t="str">
        <x:v>Beauty / price_contribution</x:v>
      </x:c>
      <x:c r="D235" s="7" t="n">
        <x:v>45930</x:v>
      </x:c>
      <x:c r="E235" s="2" t="str">
        <x:v>Pre-earnings</x:v>
      </x:c>
      <x:c r="F235" s="7" t="n">
        <x:v>45953</x:v>
      </x:c>
      <x:c r="G235" s="2" t="str">
        <x:v>Broad rolling 8</x:v>
      </x:c>
      <x:c r="H235" s="8" t="n">
        <x:f>'Model fits'!AA175</x:f>
        <x:v>2.033629079705511</x:v>
      </x:c>
      <x:c r="I235" s="8" t="n">
        <x:f>0</x:f>
        <x:v>0</x:v>
      </x:c>
      <x:c r="J235" s="8" t="n">
        <x:v>0</x:v>
      </x:c>
      <x:c r="K235" s="8" t="n">
        <x:f>H235-I235*J235</x:f>
        <x:v>2.033629079705511</x:v>
      </x:c>
      <x:c r="L235" s="8" t="n">
        <x:f>'PG facts'!D132</x:f>
        <x:v>2</x:v>
      </x:c>
      <x:c r="M235" s="8" t="n">
        <x:f>K235-L235</x:f>
        <x:v>0.03362907970551099</x:v>
      </x:c>
      <x:c r="N235" s="8" t="n">
        <x:f>M235^2</x:f>
        <x:v>0.001130915001839611</x:v>
      </x:c>
      <x:c r="O235" s="8" t="n">
        <x:f>ABS(M235)</x:f>
        <x:v>0.03362907970551099</x:v>
      </x:c>
      <x:c r="P235" s="7" t="n">
        <x:v>45954</x:v>
      </x:c>
    </x:row>
    <x:row r="236" ht="26" customHeight="1">
      <x:c r="A236" s="2"/>
      <x:c r="B236" s="2" t="n">
        <x:v>231</x:v>
      </x:c>
      <x:c r="C236" s="2" t="str">
        <x:v>Beauty / price_contribution</x:v>
      </x:c>
      <x:c r="D236" s="7" t="n">
        <x:v>45930</x:v>
      </x:c>
      <x:c r="E236" s="2" t="str">
        <x:v>Pre-earnings</x:v>
      </x:c>
      <x:c r="F236" s="7" t="n">
        <x:v>45953</x:v>
      </x:c>
      <x:c r="G236" s="2" t="str">
        <x:v>Own history</x:v>
      </x:c>
      <x:c r="H236" s="8" t="n">
        <x:f>'Model fits'!AA176</x:f>
        <x:v>1.5701956271576538</x:v>
      </x:c>
      <x:c r="I236" s="8" t="n">
        <x:f>0</x:f>
        <x:v>0</x:v>
      </x:c>
      <x:c r="J236" s="8" t="n">
        <x:v>0</x:v>
      </x:c>
      <x:c r="K236" s="8" t="n">
        <x:f>H236-I236*J236</x:f>
        <x:v>1.5701956271576538</x:v>
      </x:c>
      <x:c r="L236" s="8" t="n">
        <x:f>'PG facts'!D132</x:f>
        <x:v>2</x:v>
      </x:c>
      <x:c r="M236" s="8" t="n">
        <x:f>K236-L236</x:f>
        <x:v>-0.4298043728423462</x:v>
      </x:c>
      <x:c r="N236" s="8" t="n">
        <x:f>M236^2</x:f>
        <x:v>0.18473179891440253</x:v>
      </x:c>
      <x:c r="O236" s="8" t="n">
        <x:f>ABS(M236)</x:f>
        <x:v>0.4298043728423462</x:v>
      </x:c>
      <x:c r="P236" s="7" t="n">
        <x:v>45954</x:v>
      </x:c>
    </x:row>
    <x:row r="237" ht="26" customHeight="1">
      <x:c r="A237" s="2"/>
      <x:c r="B237" s="2" t="n">
        <x:v>232</x:v>
      </x:c>
      <x:c r="C237" s="2" t="str">
        <x:v>Beauty / price_contribution</x:v>
      </x:c>
      <x:c r="D237" s="7" t="n">
        <x:v>45930</x:v>
      </x:c>
      <x:c r="E237" s="2" t="str">
        <x:v>Pre-earnings</x:v>
      </x:c>
      <x:c r="F237" s="7" t="n">
        <x:v>45953</x:v>
      </x:c>
      <x:c r="G237" s="2" t="str">
        <x:v>Product price</x:v>
      </x:c>
      <x:c r="H237" s="8" t="n">
        <x:f>'Model fits'!AA177</x:f>
        <x:v>3.2763542336254323</x:v>
      </x:c>
      <x:c r="I237" s="8" t="n">
        <x:f>0</x:f>
        <x:v>0</x:v>
      </x:c>
      <x:c r="J237" s="8" t="n">
        <x:v>0</x:v>
      </x:c>
      <x:c r="K237" s="8" t="n">
        <x:f>H237-I237*J237</x:f>
        <x:v>3.2763542336254323</x:v>
      </x:c>
      <x:c r="L237" s="8" t="n">
        <x:f>'PG facts'!D132</x:f>
        <x:v>2</x:v>
      </x:c>
      <x:c r="M237" s="8" t="n">
        <x:f>K237-L237</x:f>
        <x:v>1.2763542336254323</x:v>
      </x:c>
      <x:c r="N237" s="8" t="n">
        <x:f>M237^2</x:f>
        <x:v>1.6290801296935646</x:v>
      </x:c>
      <x:c r="O237" s="8" t="n">
        <x:f>ABS(M237)</x:f>
        <x:v>1.2763542336254323</x:v>
      </x:c>
      <x:c r="P237" s="7" t="n">
        <x:v>45954</x:v>
      </x:c>
    </x:row>
    <x:row r="238" ht="26" customHeight="1">
      <x:c r="A238" s="2"/>
      <x:c r="B238" s="2" t="n">
        <x:v>233</x:v>
      </x:c>
      <x:c r="C238" s="2" t="str">
        <x:v>Beauty / price_contribution</x:v>
      </x:c>
      <x:c r="D238" s="7" t="n">
        <x:v>45930</x:v>
      </x:c>
      <x:c r="E238" s="2" t="str">
        <x:v>Pre-earnings</x:v>
      </x:c>
      <x:c r="F238" s="7" t="n">
        <x:v>45953</x:v>
      </x:c>
      <x:c r="G238" s="2" t="str">
        <x:v>Product lag 1</x:v>
      </x:c>
      <x:c r="H238" s="8" t="n">
        <x:f>'Model fits'!AA178</x:f>
        <x:v>3.349555220931981</x:v>
      </x:c>
      <x:c r="I238" s="8" t="n">
        <x:f>0</x:f>
        <x:v>0</x:v>
      </x:c>
      <x:c r="J238" s="8" t="n">
        <x:v>0</x:v>
      </x:c>
      <x:c r="K238" s="8" t="n">
        <x:f>H238-I238*J238</x:f>
        <x:v>3.349555220931981</x:v>
      </x:c>
      <x:c r="L238" s="8" t="n">
        <x:f>'PG facts'!D132</x:f>
        <x:v>2</x:v>
      </x:c>
      <x:c r="M238" s="8" t="n">
        <x:f>K238-L238</x:f>
        <x:v>1.3495552209319812</x:v>
      </x:c>
      <x:c r="N238" s="8" t="n">
        <x:f>M238^2</x:f>
        <x:v>1.8212992943447686</x:v>
      </x:c>
      <x:c r="O238" s="8" t="n">
        <x:f>ABS(M238)</x:f>
        <x:v>1.3495552209319812</x:v>
      </x:c>
      <x:c r="P238" s="7" t="n">
        <x:v>45954</x:v>
      </x:c>
    </x:row>
    <x:row r="239" ht="26" customHeight="1">
      <x:c r="A239" s="2"/>
      <x:c r="B239" s="2" t="n">
        <x:v>234</x:v>
      </x:c>
      <x:c r="C239" s="2" t="str">
        <x:v>Beauty / price_contribution</x:v>
      </x:c>
      <x:c r="D239" s="7" t="n">
        <x:v>45930</x:v>
      </x:c>
      <x:c r="E239" s="2" t="str">
        <x:v>Pre-earnings</x:v>
      </x:c>
      <x:c r="F239" s="7" t="n">
        <x:v>45953</x:v>
      </x:c>
      <x:c r="G239" s="2" t="str">
        <x:v>Own + product</x:v>
      </x:c>
      <x:c r="H239" s="8" t="n">
        <x:f>'Model fits'!AA179</x:f>
        <x:v>3.92761761119259</x:v>
      </x:c>
      <x:c r="I239" s="8" t="n">
        <x:f>0</x:f>
        <x:v>0</x:v>
      </x:c>
      <x:c r="J239" s="8" t="n">
        <x:v>0</x:v>
      </x:c>
      <x:c r="K239" s="8" t="n">
        <x:f>H239-I239*J239</x:f>
        <x:v>3.92761761119259</x:v>
      </x:c>
      <x:c r="L239" s="8" t="n">
        <x:f>'PG facts'!D132</x:f>
        <x:v>2</x:v>
      </x:c>
      <x:c r="M239" s="8" t="n">
        <x:f>K239-L239</x:f>
        <x:v>1.92761761119259</x:v>
      </x:c>
      <x:c r="N239" s="8" t="n">
        <x:f>M239^2</x:f>
        <x:v>3.715709654979827</x:v>
      </x:c>
      <x:c r="O239" s="8" t="n">
        <x:f>ABS(M239)</x:f>
        <x:v>1.92761761119259</x:v>
      </x:c>
      <x:c r="P239" s="7" t="n">
        <x:v>45954</x:v>
      </x:c>
    </x:row>
    <x:row r="240" ht="26" customHeight="1">
      <x:c r="A240" s="2"/>
      <x:c r="B240" s="2" t="n">
        <x:v>235</x:v>
      </x:c>
      <x:c r="C240" s="2" t="str">
        <x:v>Beauty / price_contribution</x:v>
      </x:c>
      <x:c r="D240" s="7" t="n">
        <x:v>46022</x:v>
      </x:c>
      <x:c r="E240" s="2" t="str">
        <x:v>Origin</x:v>
      </x:c>
      <x:c r="F240" s="7" t="n">
        <x:v>45931</x:v>
      </x:c>
      <x:c r="G240" s="2" t="str">
        <x:v>Last actual</x:v>
      </x:c>
      <x:c r="H240" s="8" t="n">
        <x:f>AVERAGE('PG facts'!D125)</x:f>
        <x:v>1</x:v>
      </x:c>
      <x:c r="I240" s="8" t="n">
        <x:f>0</x:f>
        <x:v>0</x:v>
      </x:c>
      <x:c r="J240" s="8" t="n">
        <x:v>0</x:v>
      </x:c>
      <x:c r="K240" s="8" t="n">
        <x:f>H240-I240*J240</x:f>
        <x:v>1</x:v>
      </x:c>
      <x:c r="L240" s="8" t="n">
        <x:f>'PG facts'!D139</x:f>
        <x:v>2</x:v>
      </x:c>
      <x:c r="M240" s="8" t="n">
        <x:f>K240-L240</x:f>
        <x:v>-1</x:v>
      </x:c>
      <x:c r="N240" s="8" t="n">
        <x:f>M240^2</x:f>
        <x:v>1</x:v>
      </x:c>
      <x:c r="O240" s="8" t="n">
        <x:f>ABS(M240)</x:f>
        <x:v>1</x:v>
      </x:c>
      <x:c r="P240" s="7" t="n">
        <x:v>46045</x:v>
      </x:c>
    </x:row>
    <x:row r="241" ht="26" customHeight="1">
      <x:c r="A241" s="2"/>
      <x:c r="B241" s="2" t="n">
        <x:v>236</x:v>
      </x:c>
      <x:c r="C241" s="2" t="str">
        <x:v>Beauty / price_contribution</x:v>
      </x:c>
      <x:c r="D241" s="7" t="n">
        <x:v>46022</x:v>
      </x:c>
      <x:c r="E241" s="2" t="str">
        <x:v>Origin</x:v>
      </x:c>
      <x:c r="F241" s="7" t="n">
        <x:v>45931</x:v>
      </x:c>
      <x:c r="G241" s="2" t="str">
        <x:v>Four-quarter mean</x:v>
      </x:c>
      <x:c r="H241" s="8" t="n">
        <x:f>AVERAGE('PG facts'!D104,'PG facts'!D111,'PG facts'!D118,'PG facts'!D125)</x:f>
        <x:v>1.75</x:v>
      </x:c>
      <x:c r="I241" s="8" t="n">
        <x:f>0</x:f>
        <x:v>0</x:v>
      </x:c>
      <x:c r="J241" s="8" t="n">
        <x:v>0</x:v>
      </x:c>
      <x:c r="K241" s="8" t="n">
        <x:f>H241-I241*J241</x:f>
        <x:v>1.75</x:v>
      </x:c>
      <x:c r="L241" s="8" t="n">
        <x:f>'PG facts'!D139</x:f>
        <x:v>2</x:v>
      </x:c>
      <x:c r="M241" s="8" t="n">
        <x:f>K241-L241</x:f>
        <x:v>-0.25</x:v>
      </x:c>
      <x:c r="N241" s="8" t="n">
        <x:f>M241^2</x:f>
        <x:v>0.0625</x:v>
      </x:c>
      <x:c r="O241" s="8" t="n">
        <x:f>ABS(M241)</x:f>
        <x:v>0.25</x:v>
      </x:c>
      <x:c r="P241" s="7" t="n">
        <x:v>46045</x:v>
      </x:c>
    </x:row>
    <x:row r="242" ht="26" customHeight="1">
      <x:c r="A242" s="2"/>
      <x:c r="B242" s="2" t="n">
        <x:v>237</x:v>
      </x:c>
      <x:c r="C242" s="2" t="str">
        <x:v>Beauty / price_contribution</x:v>
      </x:c>
      <x:c r="D242" s="7" t="n">
        <x:v>46022</x:v>
      </x:c>
      <x:c r="E242" s="2" t="str">
        <x:v>Origin</x:v>
      </x:c>
      <x:c r="F242" s="7" t="n">
        <x:v>45931</x:v>
      </x:c>
      <x:c r="G242" s="2" t="str">
        <x:v>Broad market</x:v>
      </x:c>
      <x:c r="H242" s="8" t="n">
        <x:f>'Model fits'!AA180</x:f>
        <x:v>2.726046246715512</x:v>
      </x:c>
      <x:c r="I242" s="8" t="n">
        <x:f>0</x:f>
        <x:v>0</x:v>
      </x:c>
      <x:c r="J242" s="8" t="n">
        <x:v>0</x:v>
      </x:c>
      <x:c r="K242" s="8" t="n">
        <x:f>H242-I242*J242</x:f>
        <x:v>2.726046246715512</x:v>
      </x:c>
      <x:c r="L242" s="8" t="n">
        <x:f>'PG facts'!D139</x:f>
        <x:v>2</x:v>
      </x:c>
      <x:c r="M242" s="8" t="n">
        <x:f>K242-L242</x:f>
        <x:v>0.7260462467155122</x:v>
      </x:c>
      <x:c r="N242" s="8" t="n">
        <x:f>M242^2</x:f>
        <x:v>0.5271431523696825</x:v>
      </x:c>
      <x:c r="O242" s="8" t="n">
        <x:f>ABS(M242)</x:f>
        <x:v>0.7260462467155122</x:v>
      </x:c>
      <x:c r="P242" s="7" t="n">
        <x:v>46045</x:v>
      </x:c>
    </x:row>
    <x:row r="243" ht="26" customHeight="1">
      <x:c r="A243" s="2"/>
      <x:c r="B243" s="2" t="n">
        <x:v>238</x:v>
      </x:c>
      <x:c r="C243" s="2" t="str">
        <x:v>Beauty / price_contribution</x:v>
      </x:c>
      <x:c r="D243" s="7" t="n">
        <x:v>46022</x:v>
      </x:c>
      <x:c r="E243" s="2" t="str">
        <x:v>Origin</x:v>
      </x:c>
      <x:c r="F243" s="7" t="n">
        <x:v>45931</x:v>
      </x:c>
      <x:c r="G243" s="2" t="str">
        <x:v>Broad rolling 8</x:v>
      </x:c>
      <x:c r="H243" s="8" t="n">
        <x:f>'Model fits'!AA181</x:f>
        <x:v>2.010343732236802</x:v>
      </x:c>
      <x:c r="I243" s="8" t="n">
        <x:f>0</x:f>
        <x:v>0</x:v>
      </x:c>
      <x:c r="J243" s="8" t="n">
        <x:v>0</x:v>
      </x:c>
      <x:c r="K243" s="8" t="n">
        <x:f>H243-I243*J243</x:f>
        <x:v>2.010343732236802</x:v>
      </x:c>
      <x:c r="L243" s="8" t="n">
        <x:f>'PG facts'!D139</x:f>
        <x:v>2</x:v>
      </x:c>
      <x:c r="M243" s="8" t="n">
        <x:f>K243-L243</x:f>
        <x:v>0.010343732236802072</x:v>
      </x:c>
      <x:c r="N243" s="8" t="n">
        <x:f>M243^2</x:f>
        <x:v>0.0001069927965866584</x:v>
      </x:c>
      <x:c r="O243" s="8" t="n">
        <x:f>ABS(M243)</x:f>
        <x:v>0.010343732236802072</x:v>
      </x:c>
      <x:c r="P243" s="7" t="n">
        <x:v>46045</x:v>
      </x:c>
    </x:row>
    <x:row r="244" ht="26" customHeight="1">
      <x:c r="A244" s="2"/>
      <x:c r="B244" s="2" t="n">
        <x:v>239</x:v>
      </x:c>
      <x:c r="C244" s="2" t="str">
        <x:v>Beauty / price_contribution</x:v>
      </x:c>
      <x:c r="D244" s="7" t="n">
        <x:v>46022</x:v>
      </x:c>
      <x:c r="E244" s="2" t="str">
        <x:v>Origin</x:v>
      </x:c>
      <x:c r="F244" s="7" t="n">
        <x:v>45931</x:v>
      </x:c>
      <x:c r="G244" s="2" t="str">
        <x:v>Own history</x:v>
      </x:c>
      <x:c r="H244" s="8" t="n">
        <x:f>'Model fits'!AA182</x:f>
        <x:v>2.2607879924953096</x:v>
      </x:c>
      <x:c r="I244" s="8" t="n">
        <x:f>0</x:f>
        <x:v>0</x:v>
      </x:c>
      <x:c r="J244" s="8" t="n">
        <x:v>0</x:v>
      </x:c>
      <x:c r="K244" s="8" t="n">
        <x:f>H244-I244*J244</x:f>
        <x:v>2.2607879924953096</x:v>
      </x:c>
      <x:c r="L244" s="8" t="n">
        <x:f>'PG facts'!D139</x:f>
        <x:v>2</x:v>
      </x:c>
      <x:c r="M244" s="8" t="n">
        <x:f>K244-L244</x:f>
        <x:v>0.2607879924953096</x:v>
      </x:c>
      <x:c r="N244" s="8" t="n">
        <x:f>M244^2</x:f>
        <x:v>0.06801037702973366</x:v>
      </x:c>
      <x:c r="O244" s="8" t="n">
        <x:f>ABS(M244)</x:f>
        <x:v>0.2607879924953096</x:v>
      </x:c>
      <x:c r="P244" s="7" t="n">
        <x:v>46045</x:v>
      </x:c>
    </x:row>
    <x:row r="245" ht="26" customHeight="1">
      <x:c r="A245" s="2"/>
      <x:c r="B245" s="2" t="n">
        <x:v>240</x:v>
      </x:c>
      <x:c r="C245" s="2" t="str">
        <x:v>Beauty / price_contribution</x:v>
      </x:c>
      <x:c r="D245" s="7" t="n">
        <x:v>46022</x:v>
      </x:c>
      <x:c r="E245" s="2" t="str">
        <x:v>Origin</x:v>
      </x:c>
      <x:c r="F245" s="7" t="n">
        <x:v>45931</x:v>
      </x:c>
      <x:c r="G245" s="2" t="str">
        <x:v>Product price</x:v>
      </x:c>
      <x:c r="H245" s="8" t="n">
        <x:f>'Model fits'!AA183</x:f>
        <x:v>3.2771149165406945</x:v>
      </x:c>
      <x:c r="I245" s="8" t="n">
        <x:f>0</x:f>
        <x:v>0</x:v>
      </x:c>
      <x:c r="J245" s="8" t="n">
        <x:v>0</x:v>
      </x:c>
      <x:c r="K245" s="8" t="n">
        <x:f>H245-I245*J245</x:f>
        <x:v>3.2771149165406945</x:v>
      </x:c>
      <x:c r="L245" s="8" t="n">
        <x:f>'PG facts'!D139</x:f>
        <x:v>2</x:v>
      </x:c>
      <x:c r="M245" s="8" t="n">
        <x:f>K245-L245</x:f>
        <x:v>1.2771149165406945</x:v>
      </x:c>
      <x:c r="N245" s="8" t="n">
        <x:f>M245^2</x:f>
        <x:v>1.6310225100507452</x:v>
      </x:c>
      <x:c r="O245" s="8" t="n">
        <x:f>ABS(M245)</x:f>
        <x:v>1.2771149165406945</x:v>
      </x:c>
      <x:c r="P245" s="7" t="n">
        <x:v>46045</x:v>
      </x:c>
    </x:row>
    <x:row r="246" ht="26" customHeight="1">
      <x:c r="A246" s="2"/>
      <x:c r="B246" s="2" t="n">
        <x:v>241</x:v>
      </x:c>
      <x:c r="C246" s="2" t="str">
        <x:v>Beauty / price_contribution</x:v>
      </x:c>
      <x:c r="D246" s="7" t="n">
        <x:v>46022</x:v>
      </x:c>
      <x:c r="E246" s="2" t="str">
        <x:v>Origin</x:v>
      </x:c>
      <x:c r="F246" s="7" t="n">
        <x:v>45931</x:v>
      </x:c>
      <x:c r="G246" s="2" t="str">
        <x:v>Own + product</x:v>
      </x:c>
      <x:c r="H246" s="8" t="n">
        <x:f>'Model fits'!AA184</x:f>
        <x:v>3.898306884629897</x:v>
      </x:c>
      <x:c r="I246" s="8" t="n">
        <x:f>0</x:f>
        <x:v>0</x:v>
      </x:c>
      <x:c r="J246" s="8" t="n">
        <x:v>0</x:v>
      </x:c>
      <x:c r="K246" s="8" t="n">
        <x:f>H246-I246*J246</x:f>
        <x:v>3.898306884629897</x:v>
      </x:c>
      <x:c r="L246" s="8" t="n">
        <x:f>'PG facts'!D139</x:f>
        <x:v>2</x:v>
      </x:c>
      <x:c r="M246" s="8" t="n">
        <x:f>K246-L246</x:f>
        <x:v>1.8983068846298972</x:v>
      </x:c>
      <x:c r="N246" s="8" t="n">
        <x:f>M246^2</x:f>
        <x:v>3.6035690282332657</x:v>
      </x:c>
      <x:c r="O246" s="8" t="n">
        <x:f>ABS(M246)</x:f>
        <x:v>1.8983068846298972</x:v>
      </x:c>
      <x:c r="P246" s="7" t="n">
        <x:v>46045</x:v>
      </x:c>
    </x:row>
    <x:row r="247" ht="26" customHeight="1">
      <x:c r="A247" s="2"/>
      <x:c r="B247" s="2" t="n">
        <x:v>242</x:v>
      </x:c>
      <x:c r="C247" s="2" t="str">
        <x:v>Beauty / price_contribution</x:v>
      </x:c>
      <x:c r="D247" s="7" t="n">
        <x:v>46022</x:v>
      </x:c>
      <x:c r="E247" s="2" t="str">
        <x:v>Prior report</x:v>
      </x:c>
      <x:c r="F247" s="7" t="n">
        <x:v>45954</x:v>
      </x:c>
      <x:c r="G247" s="2" t="str">
        <x:v>Last actual</x:v>
      </x:c>
      <x:c r="H247" s="8" t="n">
        <x:f>AVERAGE('PG facts'!D132)</x:f>
        <x:v>2</x:v>
      </x:c>
      <x:c r="I247" s="8" t="n">
        <x:f>0</x:f>
        <x:v>0</x:v>
      </x:c>
      <x:c r="J247" s="8" t="n">
        <x:v>0</x:v>
      </x:c>
      <x:c r="K247" s="8" t="n">
        <x:f>H247-I247*J247</x:f>
        <x:v>2</x:v>
      </x:c>
      <x:c r="L247" s="8" t="n">
        <x:f>'PG facts'!D139</x:f>
        <x:v>2</x:v>
      </x:c>
      <x:c r="M247" s="8" t="n">
        <x:f>K247-L247</x:f>
        <x:v>0</x:v>
      </x:c>
      <x:c r="N247" s="8" t="n">
        <x:f>M247^2</x:f>
        <x:v>0</x:v>
      </x:c>
      <x:c r="O247" s="8" t="n">
        <x:f>ABS(M247)</x:f>
        <x:v>0</x:v>
      </x:c>
      <x:c r="P247" s="7" t="n">
        <x:v>46045</x:v>
      </x:c>
    </x:row>
    <x:row r="248" ht="26" customHeight="1">
      <x:c r="A248" s="2"/>
      <x:c r="B248" s="2" t="n">
        <x:v>243</x:v>
      </x:c>
      <x:c r="C248" s="2" t="str">
        <x:v>Beauty / price_contribution</x:v>
      </x:c>
      <x:c r="D248" s="7" t="n">
        <x:v>46022</x:v>
      </x:c>
      <x:c r="E248" s="2" t="str">
        <x:v>Prior report</x:v>
      </x:c>
      <x:c r="F248" s="7" t="n">
        <x:v>45954</x:v>
      </x:c>
      <x:c r="G248" s="2" t="str">
        <x:v>Four-quarter mean</x:v>
      </x:c>
      <x:c r="H248" s="8" t="n">
        <x:f>AVERAGE('PG facts'!D111,'PG facts'!D118,'PG facts'!D125,'PG facts'!D132)</x:f>
        <x:v>2</x:v>
      </x:c>
      <x:c r="I248" s="8" t="n">
        <x:f>0</x:f>
        <x:v>0</x:v>
      </x:c>
      <x:c r="J248" s="8" t="n">
        <x:v>0</x:v>
      </x:c>
      <x:c r="K248" s="8" t="n">
        <x:f>H248-I248*J248</x:f>
        <x:v>2</x:v>
      </x:c>
      <x:c r="L248" s="8" t="n">
        <x:f>'PG facts'!D139</x:f>
        <x:v>2</x:v>
      </x:c>
      <x:c r="M248" s="8" t="n">
        <x:f>K248-L248</x:f>
        <x:v>0</x:v>
      </x:c>
      <x:c r="N248" s="8" t="n">
        <x:f>M248^2</x:f>
        <x:v>0</x:v>
      </x:c>
      <x:c r="O248" s="8" t="n">
        <x:f>ABS(M248)</x:f>
        <x:v>0</x:v>
      </x:c>
      <x:c r="P248" s="7" t="n">
        <x:v>46045</x:v>
      </x:c>
    </x:row>
    <x:row r="249" ht="26" customHeight="1">
      <x:c r="A249" s="2"/>
      <x:c r="B249" s="2" t="n">
        <x:v>244</x:v>
      </x:c>
      <x:c r="C249" s="2" t="str">
        <x:v>Beauty / price_contribution</x:v>
      </x:c>
      <x:c r="D249" s="7" t="n">
        <x:v>46022</x:v>
      </x:c>
      <x:c r="E249" s="2" t="str">
        <x:v>Prior report</x:v>
      </x:c>
      <x:c r="F249" s="7" t="n">
        <x:v>45954</x:v>
      </x:c>
      <x:c r="G249" s="2" t="str">
        <x:v>Broad market</x:v>
      </x:c>
      <x:c r="H249" s="8" t="n">
        <x:f>'Model fits'!AA185</x:f>
        <x:v>2.8954957430617</x:v>
      </x:c>
      <x:c r="I249" s="8" t="n">
        <x:f>0</x:f>
        <x:v>0</x:v>
      </x:c>
      <x:c r="J249" s="8" t="n">
        <x:v>0</x:v>
      </x:c>
      <x:c r="K249" s="8" t="n">
        <x:f>H249-I249*J249</x:f>
        <x:v>2.8954957430617</x:v>
      </x:c>
      <x:c r="L249" s="8" t="n">
        <x:f>'PG facts'!D139</x:f>
        <x:v>2</x:v>
      </x:c>
      <x:c r="M249" s="8" t="n">
        <x:f>K249-L249</x:f>
        <x:v>0.8954957430617001</x:v>
      </x:c>
      <x:c r="N249" s="8" t="n">
        <x:f>M249^2</x:f>
        <x:v>0.8019126258416264</x:v>
      </x:c>
      <x:c r="O249" s="8" t="n">
        <x:f>ABS(M249)</x:f>
        <x:v>0.8954957430617001</x:v>
      </x:c>
      <x:c r="P249" s="7" t="n">
        <x:v>46045</x:v>
      </x:c>
    </x:row>
    <x:row r="250" ht="26" customHeight="1">
      <x:c r="A250" s="2"/>
      <x:c r="B250" s="2" t="n">
        <x:v>245</x:v>
      </x:c>
      <x:c r="C250" s="2" t="str">
        <x:v>Beauty / price_contribution</x:v>
      </x:c>
      <x:c r="D250" s="7" t="n">
        <x:v>46022</x:v>
      </x:c>
      <x:c r="E250" s="2" t="str">
        <x:v>Prior report</x:v>
      </x:c>
      <x:c r="F250" s="7" t="n">
        <x:v>45954</x:v>
      </x:c>
      <x:c r="G250" s="2" t="str">
        <x:v>Broad lag 1</x:v>
      </x:c>
      <x:c r="H250" s="8" t="n">
        <x:f>'Model fits'!AA186</x:f>
        <x:v>3.1971125545936725</x:v>
      </x:c>
      <x:c r="I250" s="8" t="n">
        <x:f>0</x:f>
        <x:v>0</x:v>
      </x:c>
      <x:c r="J250" s="8" t="n">
        <x:v>0</x:v>
      </x:c>
      <x:c r="K250" s="8" t="n">
        <x:f>H250-I250*J250</x:f>
        <x:v>3.1971125545936725</x:v>
      </x:c>
      <x:c r="L250" s="8" t="n">
        <x:f>'PG facts'!D139</x:f>
        <x:v>2</x:v>
      </x:c>
      <x:c r="M250" s="8" t="n">
        <x:f>K250-L250</x:f>
        <x:v>1.1971125545936725</x:v>
      </x:c>
      <x:c r="N250" s="8" t="n">
        <x:f>M250^2</x:f>
        <x:v>1.4330784683657884</x:v>
      </x:c>
      <x:c r="O250" s="8" t="n">
        <x:f>ABS(M250)</x:f>
        <x:v>1.1971125545936725</x:v>
      </x:c>
      <x:c r="P250" s="7" t="n">
        <x:v>46045</x:v>
      </x:c>
    </x:row>
    <x:row r="251" ht="26" customHeight="1">
      <x:c r="A251" s="2"/>
      <x:c r="B251" s="2" t="n">
        <x:v>246</x:v>
      </x:c>
      <x:c r="C251" s="2" t="str">
        <x:v>Beauty / price_contribution</x:v>
      </x:c>
      <x:c r="D251" s="7" t="n">
        <x:v>46022</x:v>
      </x:c>
      <x:c r="E251" s="2" t="str">
        <x:v>Prior report</x:v>
      </x:c>
      <x:c r="F251" s="7" t="n">
        <x:v>45954</x:v>
      </x:c>
      <x:c r="G251" s="2" t="str">
        <x:v>Broad rolling 8</x:v>
      </x:c>
      <x:c r="H251" s="8" t="n">
        <x:f>'Model fits'!AA187</x:f>
        <x:v>2.199149903785389</x:v>
      </x:c>
      <x:c r="I251" s="8" t="n">
        <x:f>0</x:f>
        <x:v>0</x:v>
      </x:c>
      <x:c r="J251" s="8" t="n">
        <x:v>0</x:v>
      </x:c>
      <x:c r="K251" s="8" t="n">
        <x:f>H251-I251*J251</x:f>
        <x:v>2.199149903785389</x:v>
      </x:c>
      <x:c r="L251" s="8" t="n">
        <x:f>'PG facts'!D139</x:f>
        <x:v>2</x:v>
      </x:c>
      <x:c r="M251" s="8" t="n">
        <x:f>K251-L251</x:f>
        <x:v>0.199149903785389</x:v>
      </x:c>
      <x:c r="N251" s="8" t="n">
        <x:f>M251^2</x:f>
        <x:v>0.039660684177729694</x:v>
      </x:c>
      <x:c r="O251" s="8" t="n">
        <x:f>ABS(M251)</x:f>
        <x:v>0.199149903785389</x:v>
      </x:c>
      <x:c r="P251" s="7" t="n">
        <x:v>46045</x:v>
      </x:c>
    </x:row>
    <x:row r="252" ht="26" customHeight="1">
      <x:c r="A252" s="2"/>
      <x:c r="B252" s="2" t="n">
        <x:v>247</x:v>
      </x:c>
      <x:c r="C252" s="2" t="str">
        <x:v>Beauty / price_contribution</x:v>
      </x:c>
      <x:c r="D252" s="7" t="n">
        <x:v>46022</x:v>
      </x:c>
      <x:c r="E252" s="2" t="str">
        <x:v>Prior report</x:v>
      </x:c>
      <x:c r="F252" s="7" t="n">
        <x:v>45954</x:v>
      </x:c>
      <x:c r="G252" s="2" t="str">
        <x:v>Own history</x:v>
      </x:c>
      <x:c r="H252" s="8" t="n">
        <x:f>'Model fits'!AA188</x:f>
        <x:v>2.4410757946210264</x:v>
      </x:c>
      <x:c r="I252" s="8" t="n">
        <x:f>0</x:f>
        <x:v>0</x:v>
      </x:c>
      <x:c r="J252" s="8" t="n">
        <x:v>0</x:v>
      </x:c>
      <x:c r="K252" s="8" t="n">
        <x:f>H252-I252*J252</x:f>
        <x:v>2.4410757946210264</x:v>
      </x:c>
      <x:c r="L252" s="8" t="n">
        <x:f>'PG facts'!D139</x:f>
        <x:v>2</x:v>
      </x:c>
      <x:c r="M252" s="8" t="n">
        <x:f>K252-L252</x:f>
        <x:v>0.4410757946210264</x:v>
      </x:c>
      <x:c r="N252" s="8" t="n">
        <x:f>M252^2</x:f>
        <x:v>0.1945478566005699</x:v>
      </x:c>
      <x:c r="O252" s="8" t="n">
        <x:f>ABS(M252)</x:f>
        <x:v>0.4410757946210264</x:v>
      </x:c>
      <x:c r="P252" s="7" t="n">
        <x:v>46045</x:v>
      </x:c>
    </x:row>
    <x:row r="253" ht="26" customHeight="1">
      <x:c r="A253" s="2"/>
      <x:c r="B253" s="2" t="n">
        <x:v>248</x:v>
      </x:c>
      <x:c r="C253" s="2" t="str">
        <x:v>Beauty / price_contribution</x:v>
      </x:c>
      <x:c r="D253" s="7" t="n">
        <x:v>46022</x:v>
      </x:c>
      <x:c r="E253" s="2" t="str">
        <x:v>Prior report</x:v>
      </x:c>
      <x:c r="F253" s="7" t="n">
        <x:v>45954</x:v>
      </x:c>
      <x:c r="G253" s="2" t="str">
        <x:v>Product price</x:v>
      </x:c>
      <x:c r="H253" s="8" t="n">
        <x:f>'Model fits'!AA189</x:f>
        <x:v>3.303204427797444</x:v>
      </x:c>
      <x:c r="I253" s="8" t="n">
        <x:f>0</x:f>
        <x:v>0</x:v>
      </x:c>
      <x:c r="J253" s="8" t="n">
        <x:v>0</x:v>
      </x:c>
      <x:c r="K253" s="8" t="n">
        <x:f>H253-I253*J253</x:f>
        <x:v>3.303204427797444</x:v>
      </x:c>
      <x:c r="L253" s="8" t="n">
        <x:f>'PG facts'!D139</x:f>
        <x:v>2</x:v>
      </x:c>
      <x:c r="M253" s="8" t="n">
        <x:f>K253-L253</x:f>
        <x:v>1.3032044277974442</x:v>
      </x:c>
      <x:c r="N253" s="8" t="n">
        <x:f>M253^2</x:f>
        <x:v>1.6983417806308638</x:v>
      </x:c>
      <x:c r="O253" s="8" t="n">
        <x:f>ABS(M253)</x:f>
        <x:v>1.3032044277974442</x:v>
      </x:c>
      <x:c r="P253" s="7" t="n">
        <x:v>46045</x:v>
      </x:c>
    </x:row>
    <x:row r="254" ht="26" customHeight="1">
      <x:c r="A254" s="2"/>
      <x:c r="B254" s="2" t="n">
        <x:v>249</x:v>
      </x:c>
      <x:c r="C254" s="2" t="str">
        <x:v>Beauty / price_contribution</x:v>
      </x:c>
      <x:c r="D254" s="7" t="n">
        <x:v>46022</x:v>
      </x:c>
      <x:c r="E254" s="2" t="str">
        <x:v>Prior report</x:v>
      </x:c>
      <x:c r="F254" s="7" t="n">
        <x:v>45954</x:v>
      </x:c>
      <x:c r="G254" s="2" t="str">
        <x:v>Product lag 1</x:v>
      </x:c>
      <x:c r="H254" s="8" t="n">
        <x:f>'Model fits'!AA190</x:f>
        <x:v>3.5646556430950986</x:v>
      </x:c>
      <x:c r="I254" s="8" t="n">
        <x:f>0</x:f>
        <x:v>0</x:v>
      </x:c>
      <x:c r="J254" s="8" t="n">
        <x:v>0</x:v>
      </x:c>
      <x:c r="K254" s="8" t="n">
        <x:f>H254-I254*J254</x:f>
        <x:v>3.5646556430950986</x:v>
      </x:c>
      <x:c r="L254" s="8" t="n">
        <x:f>'PG facts'!D139</x:f>
        <x:v>2</x:v>
      </x:c>
      <x:c r="M254" s="8" t="n">
        <x:f>K254-L254</x:f>
        <x:v>1.5646556430950986</x:v>
      </x:c>
      <x:c r="N254" s="8" t="n">
        <x:f>M254^2</x:f>
        <x:v>2.448147281469337</x:v>
      </x:c>
      <x:c r="O254" s="8" t="n">
        <x:f>ABS(M254)</x:f>
        <x:v>1.5646556430950986</x:v>
      </x:c>
      <x:c r="P254" s="7" t="n">
        <x:v>46045</x:v>
      </x:c>
    </x:row>
    <x:row r="255" ht="26" customHeight="1">
      <x:c r="A255" s="2"/>
      <x:c r="B255" s="2" t="n">
        <x:v>250</x:v>
      </x:c>
      <x:c r="C255" s="2" t="str">
        <x:v>Beauty / price_contribution</x:v>
      </x:c>
      <x:c r="D255" s="7" t="n">
        <x:v>46022</x:v>
      </x:c>
      <x:c r="E255" s="2" t="str">
        <x:v>Prior report</x:v>
      </x:c>
      <x:c r="F255" s="7" t="n">
        <x:v>45954</x:v>
      </x:c>
      <x:c r="G255" s="2" t="str">
        <x:v>Own + product</x:v>
      </x:c>
      <x:c r="H255" s="8" t="n">
        <x:f>'Model fits'!AA191</x:f>
        <x:v>3.348385497209505</x:v>
      </x:c>
      <x:c r="I255" s="8" t="n">
        <x:f>0</x:f>
        <x:v>0</x:v>
      </x:c>
      <x:c r="J255" s="8" t="n">
        <x:v>0</x:v>
      </x:c>
      <x:c r="K255" s="8" t="n">
        <x:f>H255-I255*J255</x:f>
        <x:v>3.348385497209505</x:v>
      </x:c>
      <x:c r="L255" s="8" t="n">
        <x:f>'PG facts'!D139</x:f>
        <x:v>2</x:v>
      </x:c>
      <x:c r="M255" s="8" t="n">
        <x:f>K255-L255</x:f>
        <x:v>1.348385497209505</x:v>
      </x:c>
      <x:c r="N255" s="8" t="n">
        <x:f>M255^2</x:f>
        <x:v>1.8181434490849242</x:v>
      </x:c>
      <x:c r="O255" s="8" t="n">
        <x:f>ABS(M255)</x:f>
        <x:v>1.348385497209505</x:v>
      </x:c>
      <x:c r="P255" s="7" t="n">
        <x:v>46045</x:v>
      </x:c>
    </x:row>
    <x:row r="256" ht="26" customHeight="1">
      <x:c r="A256" s="2"/>
      <x:c r="B256" s="2" t="n">
        <x:v>251</x:v>
      </x:c>
      <x:c r="C256" s="2" t="str">
        <x:v>Beauty / price_contribution</x:v>
      </x:c>
      <x:c r="D256" s="7" t="n">
        <x:v>46022</x:v>
      </x:c>
      <x:c r="E256" s="2" t="str">
        <x:v>Pre-earnings</x:v>
      </x:c>
      <x:c r="F256" s="7" t="n">
        <x:v>46044</x:v>
      </x:c>
      <x:c r="G256" s="2" t="str">
        <x:v>Last actual</x:v>
      </x:c>
      <x:c r="H256" s="8" t="n">
        <x:f>AVERAGE('PG facts'!D132)</x:f>
        <x:v>2</x:v>
      </x:c>
      <x:c r="I256" s="8" t="n">
        <x:f>0</x:f>
        <x:v>0</x:v>
      </x:c>
      <x:c r="J256" s="8" t="n">
        <x:v>0</x:v>
      </x:c>
      <x:c r="K256" s="8" t="n">
        <x:f>H256-I256*J256</x:f>
        <x:v>2</x:v>
      </x:c>
      <x:c r="L256" s="8" t="n">
        <x:f>'PG facts'!D139</x:f>
        <x:v>2</x:v>
      </x:c>
      <x:c r="M256" s="8" t="n">
        <x:f>K256-L256</x:f>
        <x:v>0</x:v>
      </x:c>
      <x:c r="N256" s="8" t="n">
        <x:f>M256^2</x:f>
        <x:v>0</x:v>
      </x:c>
      <x:c r="O256" s="8" t="n">
        <x:f>ABS(M256)</x:f>
        <x:v>0</x:v>
      </x:c>
      <x:c r="P256" s="7" t="n">
        <x:v>46045</x:v>
      </x:c>
    </x:row>
    <x:row r="257" ht="26" customHeight="1">
      <x:c r="A257" s="2"/>
      <x:c r="B257" s="2" t="n">
        <x:v>252</x:v>
      </x:c>
      <x:c r="C257" s="2" t="str">
        <x:v>Beauty / price_contribution</x:v>
      </x:c>
      <x:c r="D257" s="7" t="n">
        <x:v>46022</x:v>
      </x:c>
      <x:c r="E257" s="2" t="str">
        <x:v>Pre-earnings</x:v>
      </x:c>
      <x:c r="F257" s="7" t="n">
        <x:v>46044</x:v>
      </x:c>
      <x:c r="G257" s="2" t="str">
        <x:v>Four-quarter mean</x:v>
      </x:c>
      <x:c r="H257" s="8" t="n">
        <x:f>AVERAGE('PG facts'!D111,'PG facts'!D118,'PG facts'!D125,'PG facts'!D132)</x:f>
        <x:v>2</x:v>
      </x:c>
      <x:c r="I257" s="8" t="n">
        <x:f>0</x:f>
        <x:v>0</x:v>
      </x:c>
      <x:c r="J257" s="8" t="n">
        <x:v>0</x:v>
      </x:c>
      <x:c r="K257" s="8" t="n">
        <x:f>H257-I257*J257</x:f>
        <x:v>2</x:v>
      </x:c>
      <x:c r="L257" s="8" t="n">
        <x:f>'PG facts'!D139</x:f>
        <x:v>2</x:v>
      </x:c>
      <x:c r="M257" s="8" t="n">
        <x:f>K257-L257</x:f>
        <x:v>0</x:v>
      </x:c>
      <x:c r="N257" s="8" t="n">
        <x:f>M257^2</x:f>
        <x:v>0</x:v>
      </x:c>
      <x:c r="O257" s="8" t="n">
        <x:f>ABS(M257)</x:f>
        <x:v>0</x:v>
      </x:c>
      <x:c r="P257" s="7" t="n">
        <x:v>46045</x:v>
      </x:c>
    </x:row>
    <x:row r="258" ht="26" customHeight="1">
      <x:c r="A258" s="2"/>
      <x:c r="B258" s="2" t="n">
        <x:v>253</x:v>
      </x:c>
      <x:c r="C258" s="2" t="str">
        <x:v>Beauty / price_contribution</x:v>
      </x:c>
      <x:c r="D258" s="7" t="n">
        <x:v>46022</x:v>
      </x:c>
      <x:c r="E258" s="2" t="str">
        <x:v>Pre-earnings</x:v>
      </x:c>
      <x:c r="F258" s="7" t="n">
        <x:v>46044</x:v>
      </x:c>
      <x:c r="G258" s="2" t="str">
        <x:v>Broad market</x:v>
      </x:c>
      <x:c r="H258" s="8" t="n">
        <x:f>'Model fits'!AA192</x:f>
        <x:v>3.0293203733121437</x:v>
      </x:c>
      <x:c r="I258" s="8" t="n">
        <x:f>0</x:f>
        <x:v>0</x:v>
      </x:c>
      <x:c r="J258" s="8" t="n">
        <x:v>0</x:v>
      </x:c>
      <x:c r="K258" s="8" t="n">
        <x:f>H258-I258*J258</x:f>
        <x:v>3.0293203733121437</x:v>
      </x:c>
      <x:c r="L258" s="8" t="n">
        <x:f>'PG facts'!D139</x:f>
        <x:v>2</x:v>
      </x:c>
      <x:c r="M258" s="8" t="n">
        <x:f>K258-L258</x:f>
        <x:v>1.0293203733121437</x:v>
      </x:c>
      <x:c r="N258" s="8" t="n">
        <x:f>M258^2</x:f>
        <x:v>1.0595004309154508</x:v>
      </x:c>
      <x:c r="O258" s="8" t="n">
        <x:f>ABS(M258)</x:f>
        <x:v>1.0293203733121437</x:v>
      </x:c>
      <x:c r="P258" s="7" t="n">
        <x:v>46045</x:v>
      </x:c>
    </x:row>
    <x:row r="259" ht="26" customHeight="1">
      <x:c r="A259" s="2"/>
      <x:c r="B259" s="2" t="n">
        <x:v>254</x:v>
      </x:c>
      <x:c r="C259" s="2" t="str">
        <x:v>Beauty / price_contribution</x:v>
      </x:c>
      <x:c r="D259" s="7" t="n">
        <x:v>46022</x:v>
      </x:c>
      <x:c r="E259" s="2" t="str">
        <x:v>Pre-earnings</x:v>
      </x:c>
      <x:c r="F259" s="7" t="n">
        <x:v>46044</x:v>
      </x:c>
      <x:c r="G259" s="2" t="str">
        <x:v>Broad lag 1</x:v>
      </x:c>
      <x:c r="H259" s="8" t="n">
        <x:f>'Model fits'!AA193</x:f>
        <x:v>3.1971125545936725</x:v>
      </x:c>
      <x:c r="I259" s="8" t="n">
        <x:f>0</x:f>
        <x:v>0</x:v>
      </x:c>
      <x:c r="J259" s="8" t="n">
        <x:v>0</x:v>
      </x:c>
      <x:c r="K259" s="8" t="n">
        <x:f>H259-I259*J259</x:f>
        <x:v>3.1971125545936725</x:v>
      </x:c>
      <x:c r="L259" s="8" t="n">
        <x:f>'PG facts'!D139</x:f>
        <x:v>2</x:v>
      </x:c>
      <x:c r="M259" s="8" t="n">
        <x:f>K259-L259</x:f>
        <x:v>1.1971125545936725</x:v>
      </x:c>
      <x:c r="N259" s="8" t="n">
        <x:f>M259^2</x:f>
        <x:v>1.4330784683657884</x:v>
      </x:c>
      <x:c r="O259" s="8" t="n">
        <x:f>ABS(M259)</x:f>
        <x:v>1.1971125545936725</x:v>
      </x:c>
      <x:c r="P259" s="7" t="n">
        <x:v>46045</x:v>
      </x:c>
    </x:row>
    <x:row r="260" ht="26" customHeight="1">
      <x:c r="A260" s="2"/>
      <x:c r="B260" s="2" t="n">
        <x:v>255</x:v>
      </x:c>
      <x:c r="C260" s="2" t="str">
        <x:v>Beauty / price_contribution</x:v>
      </x:c>
      <x:c r="D260" s="7" t="n">
        <x:v>46022</x:v>
      </x:c>
      <x:c r="E260" s="2" t="str">
        <x:v>Pre-earnings</x:v>
      </x:c>
      <x:c r="F260" s="7" t="n">
        <x:v>46044</x:v>
      </x:c>
      <x:c r="G260" s="2" t="str">
        <x:v>Broad rolling 8</x:v>
      </x:c>
      <x:c r="H260" s="8" t="n">
        <x:f>'Model fits'!AA194</x:f>
        <x:v>2.2965633240687042</x:v>
      </x:c>
      <x:c r="I260" s="8" t="n">
        <x:f>0</x:f>
        <x:v>0</x:v>
      </x:c>
      <x:c r="J260" s="8" t="n">
        <x:v>0</x:v>
      </x:c>
      <x:c r="K260" s="8" t="n">
        <x:f>H260-I260*J260</x:f>
        <x:v>2.2965633240687042</x:v>
      </x:c>
      <x:c r="L260" s="8" t="n">
        <x:f>'PG facts'!D139</x:f>
        <x:v>2</x:v>
      </x:c>
      <x:c r="M260" s="8" t="n">
        <x:f>K260-L260</x:f>
        <x:v>0.2965633240687042</x:v>
      </x:c>
      <x:c r="N260" s="8" t="n">
        <x:f>M260^2</x:f>
        <x:v>0.08794980518267928</x:v>
      </x:c>
      <x:c r="O260" s="8" t="n">
        <x:f>ABS(M260)</x:f>
        <x:v>0.2965633240687042</x:v>
      </x:c>
      <x:c r="P260" s="7" t="n">
        <x:v>46045</x:v>
      </x:c>
    </x:row>
    <x:row r="261" ht="26" customHeight="1">
      <x:c r="A261" s="2"/>
      <x:c r="B261" s="2" t="n">
        <x:v>256</x:v>
      </x:c>
      <x:c r="C261" s="2" t="str">
        <x:v>Beauty / price_contribution</x:v>
      </x:c>
      <x:c r="D261" s="7" t="n">
        <x:v>46022</x:v>
      </x:c>
      <x:c r="E261" s="2" t="str">
        <x:v>Pre-earnings</x:v>
      </x:c>
      <x:c r="F261" s="7" t="n">
        <x:v>46044</x:v>
      </x:c>
      <x:c r="G261" s="2" t="str">
        <x:v>Own history</x:v>
      </x:c>
      <x:c r="H261" s="8" t="n">
        <x:f>'Model fits'!AA195</x:f>
        <x:v>2.4410757946210264</x:v>
      </x:c>
      <x:c r="I261" s="8" t="n">
        <x:f>0</x:f>
        <x:v>0</x:v>
      </x:c>
      <x:c r="J261" s="8" t="n">
        <x:v>0</x:v>
      </x:c>
      <x:c r="K261" s="8" t="n">
        <x:f>H261-I261*J261</x:f>
        <x:v>2.4410757946210264</x:v>
      </x:c>
      <x:c r="L261" s="8" t="n">
        <x:f>'PG facts'!D139</x:f>
        <x:v>2</x:v>
      </x:c>
      <x:c r="M261" s="8" t="n">
        <x:f>K261-L261</x:f>
        <x:v>0.4410757946210264</x:v>
      </x:c>
      <x:c r="N261" s="8" t="n">
        <x:f>M261^2</x:f>
        <x:v>0.1945478566005699</x:v>
      </x:c>
      <x:c r="O261" s="8" t="n">
        <x:f>ABS(M261)</x:f>
        <x:v>0.4410757946210264</x:v>
      </x:c>
      <x:c r="P261" s="7" t="n">
        <x:v>46045</x:v>
      </x:c>
    </x:row>
    <x:row r="262" ht="26" customHeight="1">
      <x:c r="A262" s="2"/>
      <x:c r="B262" s="2" t="n">
        <x:v>257</x:v>
      </x:c>
      <x:c r="C262" s="2" t="str">
        <x:v>Beauty / price_contribution</x:v>
      </x:c>
      <x:c r="D262" s="7" t="n">
        <x:v>46022</x:v>
      </x:c>
      <x:c r="E262" s="2" t="str">
        <x:v>Pre-earnings</x:v>
      </x:c>
      <x:c r="F262" s="7" t="n">
        <x:v>46044</x:v>
      </x:c>
      <x:c r="G262" s="2" t="str">
        <x:v>Product price</x:v>
      </x:c>
      <x:c r="H262" s="8" t="n">
        <x:f>'Model fits'!AA196</x:f>
        <x:v>3.3716792388429795</x:v>
      </x:c>
      <x:c r="I262" s="8" t="n">
        <x:f>0</x:f>
        <x:v>0</x:v>
      </x:c>
      <x:c r="J262" s="8" t="n">
        <x:v>0</x:v>
      </x:c>
      <x:c r="K262" s="8" t="n">
        <x:f>H262-I262*J262</x:f>
        <x:v>3.3716792388429795</x:v>
      </x:c>
      <x:c r="L262" s="8" t="n">
        <x:f>'PG facts'!D139</x:f>
        <x:v>2</x:v>
      </x:c>
      <x:c r="M262" s="8" t="n">
        <x:f>K262-L262</x:f>
        <x:v>1.3716792388429795</x:v>
      </x:c>
      <x:c r="N262" s="8" t="n">
        <x:f>M262^2</x:f>
        <x:v>1.8815039342728557</x:v>
      </x:c>
      <x:c r="O262" s="8" t="n">
        <x:f>ABS(M262)</x:f>
        <x:v>1.3716792388429795</x:v>
      </x:c>
      <x:c r="P262" s="7" t="n">
        <x:v>46045</x:v>
      </x:c>
    </x:row>
    <x:row r="263" ht="26" customHeight="1">
      <x:c r="A263" s="2"/>
      <x:c r="B263" s="2" t="n">
        <x:v>258</x:v>
      </x:c>
      <x:c r="C263" s="2" t="str">
        <x:v>Beauty / price_contribution</x:v>
      </x:c>
      <x:c r="D263" s="7" t="n">
        <x:v>46022</x:v>
      </x:c>
      <x:c r="E263" s="2" t="str">
        <x:v>Pre-earnings</x:v>
      </x:c>
      <x:c r="F263" s="7" t="n">
        <x:v>46044</x:v>
      </x:c>
      <x:c r="G263" s="2" t="str">
        <x:v>Product lag 1</x:v>
      </x:c>
      <x:c r="H263" s="8" t="n">
        <x:f>'Model fits'!AA197</x:f>
        <x:v>3.5646556430950986</x:v>
      </x:c>
      <x:c r="I263" s="8" t="n">
        <x:f>0</x:f>
        <x:v>0</x:v>
      </x:c>
      <x:c r="J263" s="8" t="n">
        <x:v>0</x:v>
      </x:c>
      <x:c r="K263" s="8" t="n">
        <x:f>H263-I263*J263</x:f>
        <x:v>3.5646556430950986</x:v>
      </x:c>
      <x:c r="L263" s="8" t="n">
        <x:f>'PG facts'!D139</x:f>
        <x:v>2</x:v>
      </x:c>
      <x:c r="M263" s="8" t="n">
        <x:f>K263-L263</x:f>
        <x:v>1.5646556430950986</x:v>
      </x:c>
      <x:c r="N263" s="8" t="n">
        <x:f>M263^2</x:f>
        <x:v>2.448147281469337</x:v>
      </x:c>
      <x:c r="O263" s="8" t="n">
        <x:f>ABS(M263)</x:f>
        <x:v>1.5646556430950986</x:v>
      </x:c>
      <x:c r="P263" s="7" t="n">
        <x:v>46045</x:v>
      </x:c>
    </x:row>
    <x:row r="264" ht="26" customHeight="1">
      <x:c r="A264" s="2"/>
      <x:c r="B264" s="2" t="n">
        <x:v>259</x:v>
      </x:c>
      <x:c r="C264" s="2" t="str">
        <x:v>Beauty / price_contribution</x:v>
      </x:c>
      <x:c r="D264" s="7" t="n">
        <x:v>46022</x:v>
      </x:c>
      <x:c r="E264" s="2" t="str">
        <x:v>Pre-earnings</x:v>
      </x:c>
      <x:c r="F264" s="7" t="n">
        <x:v>46044</x:v>
      </x:c>
      <x:c r="G264" s="2" t="str">
        <x:v>Own + product</x:v>
      </x:c>
      <x:c r="H264" s="8" t="n">
        <x:f>'Model fits'!AA198</x:f>
        <x:v>3.4170995083028135</x:v>
      </x:c>
      <x:c r="I264" s="8" t="n">
        <x:f>0</x:f>
        <x:v>0</x:v>
      </x:c>
      <x:c r="J264" s="8" t="n">
        <x:v>0</x:v>
      </x:c>
      <x:c r="K264" s="8" t="n">
        <x:f>H264-I264*J264</x:f>
        <x:v>3.4170995083028135</x:v>
      </x:c>
      <x:c r="L264" s="8" t="n">
        <x:f>'PG facts'!D139</x:f>
        <x:v>2</x:v>
      </x:c>
      <x:c r="M264" s="8" t="n">
        <x:f>K264-L264</x:f>
        <x:v>1.4170995083028135</x:v>
      </x:c>
      <x:c r="N264" s="8" t="n">
        <x:f>M264^2</x:f>
        <x:v>2.0081710164320756</x:v>
      </x:c>
      <x:c r="O264" s="8" t="n">
        <x:f>ABS(M264)</x:f>
        <x:v>1.4170995083028135</x:v>
      </x:c>
      <x:c r="P264" s="7" t="n">
        <x:v>46045</x:v>
      </x:c>
    </x:row>
    <x:row r="265" ht="26" customHeight="1">
      <x:c r="A265" s="2"/>
      <x:c r="B265" s="2" t="n">
        <x:v>260</x:v>
      </x:c>
      <x:c r="C265" s="2" t="str">
        <x:v>Beauty / price_contribution</x:v>
      </x:c>
      <x:c r="D265" s="7" t="n">
        <x:v>46112</x:v>
      </x:c>
      <x:c r="E265" s="2" t="str">
        <x:v>Origin</x:v>
      </x:c>
      <x:c r="F265" s="7" t="n">
        <x:v>46023</x:v>
      </x:c>
      <x:c r="G265" s="2" t="str">
        <x:v>Last actual</x:v>
      </x:c>
      <x:c r="H265" s="8" t="n">
        <x:f>AVERAGE('PG facts'!D132)</x:f>
        <x:v>2</x:v>
      </x:c>
      <x:c r="I265" s="8" t="n">
        <x:f>0</x:f>
        <x:v>0</x:v>
      </x:c>
      <x:c r="J265" s="8" t="n">
        <x:v>0</x:v>
      </x:c>
      <x:c r="K265" s="8" t="n">
        <x:f>H265-I265*J265</x:f>
        <x:v>2</x:v>
      </x:c>
      <x:c r="L265" s="8" t="n">
        <x:f>'PG facts'!D146</x:f>
        <x:v>1</x:v>
      </x:c>
      <x:c r="M265" s="8" t="n">
        <x:f>K265-L265</x:f>
        <x:v>1</x:v>
      </x:c>
      <x:c r="N265" s="8" t="n">
        <x:f>M265^2</x:f>
        <x:v>1</x:v>
      </x:c>
      <x:c r="O265" s="8" t="n">
        <x:f>ABS(M265)</x:f>
        <x:v>1</x:v>
      </x:c>
      <x:c r="P265" s="7" t="n">
        <x:v>46136</x:v>
      </x:c>
    </x:row>
    <x:row r="266" ht="26" customHeight="1">
      <x:c r="A266" s="2"/>
      <x:c r="B266" s="2" t="n">
        <x:v>261</x:v>
      </x:c>
      <x:c r="C266" s="2" t="str">
        <x:v>Beauty / price_contribution</x:v>
      </x:c>
      <x:c r="D266" s="7" t="n">
        <x:v>46112</x:v>
      </x:c>
      <x:c r="E266" s="2" t="str">
        <x:v>Origin</x:v>
      </x:c>
      <x:c r="F266" s="7" t="n">
        <x:v>46023</x:v>
      </x:c>
      <x:c r="G266" s="2" t="str">
        <x:v>Four-quarter mean</x:v>
      </x:c>
      <x:c r="H266" s="8" t="n">
        <x:f>AVERAGE('PG facts'!D111,'PG facts'!D118,'PG facts'!D125,'PG facts'!D132)</x:f>
        <x:v>2</x:v>
      </x:c>
      <x:c r="I266" s="8" t="n">
        <x:f>0</x:f>
        <x:v>0</x:v>
      </x:c>
      <x:c r="J266" s="8" t="n">
        <x:v>0</x:v>
      </x:c>
      <x:c r="K266" s="8" t="n">
        <x:f>H266-I266*J266</x:f>
        <x:v>2</x:v>
      </x:c>
      <x:c r="L266" s="8" t="n">
        <x:f>'PG facts'!D146</x:f>
        <x:v>1</x:v>
      </x:c>
      <x:c r="M266" s="8" t="n">
        <x:f>K266-L266</x:f>
        <x:v>1</x:v>
      </x:c>
      <x:c r="N266" s="8" t="n">
        <x:f>M266^2</x:f>
        <x:v>1</x:v>
      </x:c>
      <x:c r="O266" s="8" t="n">
        <x:f>ABS(M266)</x:f>
        <x:v>1</x:v>
      </x:c>
      <x:c r="P266" s="7" t="n">
        <x:v>46136</x:v>
      </x:c>
    </x:row>
    <x:row r="267" ht="26" customHeight="1">
      <x:c r="A267" s="2"/>
      <x:c r="B267" s="2" t="n">
        <x:v>262</x:v>
      </x:c>
      <x:c r="C267" s="2" t="str">
        <x:v>Beauty / price_contribution</x:v>
      </x:c>
      <x:c r="D267" s="7" t="n">
        <x:v>46112</x:v>
      </x:c>
      <x:c r="E267" s="2" t="str">
        <x:v>Origin</x:v>
      </x:c>
      <x:c r="F267" s="7" t="n">
        <x:v>46023</x:v>
      </x:c>
      <x:c r="G267" s="2" t="str">
        <x:v>Broad market</x:v>
      </x:c>
      <x:c r="H267" s="8" t="n">
        <x:f>'Model fits'!AA199</x:f>
        <x:v>2.99130118993268</x:v>
      </x:c>
      <x:c r="I267" s="8" t="n">
        <x:f>0</x:f>
        <x:v>0</x:v>
      </x:c>
      <x:c r="J267" s="8" t="n">
        <x:v>0</x:v>
      </x:c>
      <x:c r="K267" s="8" t="n">
        <x:f>H267-I267*J267</x:f>
        <x:v>2.99130118993268</x:v>
      </x:c>
      <x:c r="L267" s="8" t="n">
        <x:f>'PG facts'!D146</x:f>
        <x:v>1</x:v>
      </x:c>
      <x:c r="M267" s="8" t="n">
        <x:f>K267-L267</x:f>
        <x:v>1.9913011899326798</x:v>
      </x:c>
      <x:c r="N267" s="8" t="n">
        <x:f>M267^2</x:f>
        <x:v>3.9652804290273065</x:v>
      </x:c>
      <x:c r="O267" s="8" t="n">
        <x:f>ABS(M267)</x:f>
        <x:v>1.9913011899326798</x:v>
      </x:c>
      <x:c r="P267" s="7" t="n">
        <x:v>46136</x:v>
      </x:c>
    </x:row>
    <x:row r="268" ht="26" customHeight="1">
      <x:c r="A268" s="2"/>
      <x:c r="B268" s="2" t="n">
        <x:v>263</x:v>
      </x:c>
      <x:c r="C268" s="2" t="str">
        <x:v>Beauty / price_contribution</x:v>
      </x:c>
      <x:c r="D268" s="7" t="n">
        <x:v>46112</x:v>
      </x:c>
      <x:c r="E268" s="2" t="str">
        <x:v>Origin</x:v>
      </x:c>
      <x:c r="F268" s="7" t="n">
        <x:v>46023</x:v>
      </x:c>
      <x:c r="G268" s="2" t="str">
        <x:v>Broad rolling 8</x:v>
      </x:c>
      <x:c r="H268" s="8" t="n">
        <x:f>'Model fits'!AA200</x:f>
        <x:v>2.2688884582204585</x:v>
      </x:c>
      <x:c r="I268" s="8" t="n">
        <x:f>0</x:f>
        <x:v>0</x:v>
      </x:c>
      <x:c r="J268" s="8" t="n">
        <x:v>0</x:v>
      </x:c>
      <x:c r="K268" s="8" t="n">
        <x:f>H268-I268*J268</x:f>
        <x:v>2.2688884582204585</x:v>
      </x:c>
      <x:c r="L268" s="8" t="n">
        <x:f>'PG facts'!D146</x:f>
        <x:v>1</x:v>
      </x:c>
      <x:c r="M268" s="8" t="n">
        <x:f>K268-L268</x:f>
        <x:v>1.2688884582204585</x:v>
      </x:c>
      <x:c r="N268" s="8" t="n">
        <x:f>M268^2</x:f>
        <x:v>1.6100779194050923</x:v>
      </x:c>
      <x:c r="O268" s="8" t="n">
        <x:f>ABS(M268)</x:f>
        <x:v>1.2688884582204585</x:v>
      </x:c>
      <x:c r="P268" s="7" t="n">
        <x:v>46136</x:v>
      </x:c>
    </x:row>
    <x:row r="269" ht="26" customHeight="1">
      <x:c r="A269" s="2"/>
      <x:c r="B269" s="2" t="n">
        <x:v>264</x:v>
      </x:c>
      <x:c r="C269" s="2" t="str">
        <x:v>Beauty / price_contribution</x:v>
      </x:c>
      <x:c r="D269" s="7" t="n">
        <x:v>46112</x:v>
      </x:c>
      <x:c r="E269" s="2" t="str">
        <x:v>Origin</x:v>
      </x:c>
      <x:c r="F269" s="7" t="n">
        <x:v>46023</x:v>
      </x:c>
      <x:c r="G269" s="2" t="str">
        <x:v>Own history</x:v>
      </x:c>
      <x:c r="H269" s="8" t="n">
        <x:f>'Model fits'!AA201</x:f>
        <x:v>2.731875719217492</x:v>
      </x:c>
      <x:c r="I269" s="8" t="n">
        <x:f>0</x:f>
        <x:v>0</x:v>
      </x:c>
      <x:c r="J269" s="8" t="n">
        <x:v>0</x:v>
      </x:c>
      <x:c r="K269" s="8" t="n">
        <x:f>H269-I269*J269</x:f>
        <x:v>2.731875719217492</x:v>
      </x:c>
      <x:c r="L269" s="8" t="n">
        <x:f>'PG facts'!D146</x:f>
        <x:v>1</x:v>
      </x:c>
      <x:c r="M269" s="8" t="n">
        <x:f>K269-L269</x:f>
        <x:v>1.7318757192174918</x:v>
      </x:c>
      <x:c r="N269" s="8" t="n">
        <x:f>M269^2</x:f>
        <x:v>2.9993935068151045</x:v>
      </x:c>
      <x:c r="O269" s="8" t="n">
        <x:f>ABS(M269)</x:f>
        <x:v>1.7318757192174918</x:v>
      </x:c>
      <x:c r="P269" s="7" t="n">
        <x:v>46136</x:v>
      </x:c>
    </x:row>
    <x:row r="270" ht="26" customHeight="1">
      <x:c r="A270" s="2"/>
      <x:c r="B270" s="2" t="n">
        <x:v>265</x:v>
      </x:c>
      <x:c r="C270" s="2" t="str">
        <x:v>Beauty / price_contribution</x:v>
      </x:c>
      <x:c r="D270" s="7" t="n">
        <x:v>46112</x:v>
      </x:c>
      <x:c r="E270" s="2" t="str">
        <x:v>Origin</x:v>
      </x:c>
      <x:c r="F270" s="7" t="n">
        <x:v>46023</x:v>
      </x:c>
      <x:c r="G270" s="2" t="str">
        <x:v>Product price</x:v>
      </x:c>
      <x:c r="H270" s="8" t="n">
        <x:f>'Model fits'!AA202</x:f>
        <x:v>3.226835592633352</x:v>
      </x:c>
      <x:c r="I270" s="8" t="n">
        <x:f>0</x:f>
        <x:v>0</x:v>
      </x:c>
      <x:c r="J270" s="8" t="n">
        <x:v>0</x:v>
      </x:c>
      <x:c r="K270" s="8" t="n">
        <x:f>H270-I270*J270</x:f>
        <x:v>3.226835592633352</x:v>
      </x:c>
      <x:c r="L270" s="8" t="n">
        <x:f>'PG facts'!D146</x:f>
        <x:v>1</x:v>
      </x:c>
      <x:c r="M270" s="8" t="n">
        <x:f>K270-L270</x:f>
        <x:v>2.226835592633352</x:v>
      </x:c>
      <x:c r="N270" s="8" t="n">
        <x:f>M270^2</x:f>
        <x:v>4.9587967566187325</x:v>
      </x:c>
      <x:c r="O270" s="8" t="n">
        <x:f>ABS(M270)</x:f>
        <x:v>2.226835592633352</x:v>
      </x:c>
      <x:c r="P270" s="7" t="n">
        <x:v>46136</x:v>
      </x:c>
    </x:row>
    <x:row r="271" ht="26" customHeight="1">
      <x:c r="A271" s="2"/>
      <x:c r="B271" s="2" t="n">
        <x:v>266</x:v>
      </x:c>
      <x:c r="C271" s="2" t="str">
        <x:v>Beauty / price_contribution</x:v>
      </x:c>
      <x:c r="D271" s="7" t="n">
        <x:v>46112</x:v>
      </x:c>
      <x:c r="E271" s="2" t="str">
        <x:v>Origin</x:v>
      </x:c>
      <x:c r="F271" s="7" t="n">
        <x:v>46023</x:v>
      </x:c>
      <x:c r="G271" s="2" t="str">
        <x:v>Own + product</x:v>
      </x:c>
      <x:c r="H271" s="8" t="n">
        <x:f>'Model fits'!AA203</x:f>
        <x:v>3.520233188986373</x:v>
      </x:c>
      <x:c r="I271" s="8" t="n">
        <x:f>0</x:f>
        <x:v>0</x:v>
      </x:c>
      <x:c r="J271" s="8" t="n">
        <x:v>0</x:v>
      </x:c>
      <x:c r="K271" s="8" t="n">
        <x:f>H271-I271*J271</x:f>
        <x:v>3.520233188986373</x:v>
      </x:c>
      <x:c r="L271" s="8" t="n">
        <x:f>'PG facts'!D146</x:f>
        <x:v>1</x:v>
      </x:c>
      <x:c r="M271" s="8" t="n">
        <x:f>K271-L271</x:f>
        <x:v>2.520233188986373</x:v>
      </x:c>
      <x:c r="N271" s="8" t="n">
        <x:f>M271^2</x:f>
        <x:v>6.351575326868423</x:v>
      </x:c>
      <x:c r="O271" s="8" t="n">
        <x:f>ABS(M271)</x:f>
        <x:v>2.520233188986373</x:v>
      </x:c>
      <x:c r="P271" s="7" t="n">
        <x:v>46136</x:v>
      </x:c>
    </x:row>
    <x:row r="272" ht="26" customHeight="1">
      <x:c r="A272" s="2"/>
      <x:c r="B272" s="2" t="n">
        <x:v>267</x:v>
      </x:c>
      <x:c r="C272" s="2" t="str">
        <x:v>Beauty / price_contribution</x:v>
      </x:c>
      <x:c r="D272" s="7" t="n">
        <x:v>46112</x:v>
      </x:c>
      <x:c r="E272" s="2" t="str">
        <x:v>Prior report</x:v>
      </x:c>
      <x:c r="F272" s="7" t="n">
        <x:v>46045</x:v>
      </x:c>
      <x:c r="G272" s="2" t="str">
        <x:v>Last actual</x:v>
      </x:c>
      <x:c r="H272" s="8" t="n">
        <x:f>AVERAGE('PG facts'!D139)</x:f>
        <x:v>2</x:v>
      </x:c>
      <x:c r="I272" s="8" t="n">
        <x:f>0</x:f>
        <x:v>0</x:v>
      </x:c>
      <x:c r="J272" s="8" t="n">
        <x:v>0</x:v>
      </x:c>
      <x:c r="K272" s="8" t="n">
        <x:f>H272-I272*J272</x:f>
        <x:v>2</x:v>
      </x:c>
      <x:c r="L272" s="8" t="n">
        <x:f>'PG facts'!D146</x:f>
        <x:v>1</x:v>
      </x:c>
      <x:c r="M272" s="8" t="n">
        <x:f>K272-L272</x:f>
        <x:v>1</x:v>
      </x:c>
      <x:c r="N272" s="8" t="n">
        <x:f>M272^2</x:f>
        <x:v>1</x:v>
      </x:c>
      <x:c r="O272" s="8" t="n">
        <x:f>ABS(M272)</x:f>
        <x:v>1</x:v>
      </x:c>
      <x:c r="P272" s="7" t="n">
        <x:v>46136</x:v>
      </x:c>
    </x:row>
    <x:row r="273" ht="26" customHeight="1">
      <x:c r="A273" s="2"/>
      <x:c r="B273" s="2" t="n">
        <x:v>268</x:v>
      </x:c>
      <x:c r="C273" s="2" t="str">
        <x:v>Beauty / price_contribution</x:v>
      </x:c>
      <x:c r="D273" s="7" t="n">
        <x:v>46112</x:v>
      </x:c>
      <x:c r="E273" s="2" t="str">
        <x:v>Prior report</x:v>
      </x:c>
      <x:c r="F273" s="7" t="n">
        <x:v>46045</x:v>
      </x:c>
      <x:c r="G273" s="2" t="str">
        <x:v>Four-quarter mean</x:v>
      </x:c>
      <x:c r="H273" s="8" t="n">
        <x:f>AVERAGE('PG facts'!D118,'PG facts'!D125,'PG facts'!D132,'PG facts'!D139)</x:f>
        <x:v>2</x:v>
      </x:c>
      <x:c r="I273" s="8" t="n">
        <x:f>0</x:f>
        <x:v>0</x:v>
      </x:c>
      <x:c r="J273" s="8" t="n">
        <x:v>0</x:v>
      </x:c>
      <x:c r="K273" s="8" t="n">
        <x:f>H273-I273*J273</x:f>
        <x:v>2</x:v>
      </x:c>
      <x:c r="L273" s="8" t="n">
        <x:f>'PG facts'!D146</x:f>
        <x:v>1</x:v>
      </x:c>
      <x:c r="M273" s="8" t="n">
        <x:f>K273-L273</x:f>
        <x:v>1</x:v>
      </x:c>
      <x:c r="N273" s="8" t="n">
        <x:f>M273^2</x:f>
        <x:v>1</x:v>
      </x:c>
      <x:c r="O273" s="8" t="n">
        <x:f>ABS(M273)</x:f>
        <x:v>1</x:v>
      </x:c>
      <x:c r="P273" s="7" t="n">
        <x:v>46136</x:v>
      </x:c>
    </x:row>
    <x:row r="274" ht="26" customHeight="1">
      <x:c r="A274" s="2"/>
      <x:c r="B274" s="2" t="n">
        <x:v>269</x:v>
      </x:c>
      <x:c r="C274" s="2" t="str">
        <x:v>Beauty / price_contribution</x:v>
      </x:c>
      <x:c r="D274" s="7" t="n">
        <x:v>46112</x:v>
      </x:c>
      <x:c r="E274" s="2" t="str">
        <x:v>Prior report</x:v>
      </x:c>
      <x:c r="F274" s="7" t="n">
        <x:v>46045</x:v>
      </x:c>
      <x:c r="G274" s="2" t="str">
        <x:v>Broad market</x:v>
      </x:c>
      <x:c r="H274" s="8" t="n">
        <x:f>'Model fits'!AA204</x:f>
        <x:v>3.097834540762299</x:v>
      </x:c>
      <x:c r="I274" s="8" t="n">
        <x:f>0</x:f>
        <x:v>0</x:v>
      </x:c>
      <x:c r="J274" s="8" t="n">
        <x:v>0</x:v>
      </x:c>
      <x:c r="K274" s="8" t="n">
        <x:f>H274-I274*J274</x:f>
        <x:v>3.097834540762299</x:v>
      </x:c>
      <x:c r="L274" s="8" t="n">
        <x:f>'PG facts'!D146</x:f>
        <x:v>1</x:v>
      </x:c>
      <x:c r="M274" s="8" t="n">
        <x:f>K274-L274</x:f>
        <x:v>2.097834540762299</x:v>
      </x:c>
      <x:c r="N274" s="8" t="n">
        <x:f>M274^2</x:f>
        <x:v>4.400909760415367</x:v>
      </x:c>
      <x:c r="O274" s="8" t="n">
        <x:f>ABS(M274)</x:f>
        <x:v>2.097834540762299</x:v>
      </x:c>
      <x:c r="P274" s="7" t="n">
        <x:v>46136</x:v>
      </x:c>
    </x:row>
    <x:row r="275" ht="26" customHeight="1">
      <x:c r="A275" s="2"/>
      <x:c r="B275" s="2" t="n">
        <x:v>270</x:v>
      </x:c>
      <x:c r="C275" s="2" t="str">
        <x:v>Beauty / price_contribution</x:v>
      </x:c>
      <x:c r="D275" s="7" t="n">
        <x:v>46112</x:v>
      </x:c>
      <x:c r="E275" s="2" t="str">
        <x:v>Prior report</x:v>
      </x:c>
      <x:c r="F275" s="7" t="n">
        <x:v>46045</x:v>
      </x:c>
      <x:c r="G275" s="2" t="str">
        <x:v>Broad rolling 8</x:v>
      </x:c>
      <x:c r="H275" s="8" t="n">
        <x:f>'Model fits'!AA205</x:f>
        <x:v>2.3464360521060854</x:v>
      </x:c>
      <x:c r="I275" s="8" t="n">
        <x:f>0</x:f>
        <x:v>0</x:v>
      </x:c>
      <x:c r="J275" s="8" t="n">
        <x:v>0</x:v>
      </x:c>
      <x:c r="K275" s="8" t="n">
        <x:f>H275-I275*J275</x:f>
        <x:v>2.3464360521060854</x:v>
      </x:c>
      <x:c r="L275" s="8" t="n">
        <x:f>'PG facts'!D146</x:f>
        <x:v>1</x:v>
      </x:c>
      <x:c r="M275" s="8" t="n">
        <x:f>K275-L275</x:f>
        <x:v>1.3464360521060854</x:v>
      </x:c>
      <x:c r="N275" s="8" t="n">
        <x:f>M275^2</x:f>
        <x:v>1.8128900424110213</x:v>
      </x:c>
      <x:c r="O275" s="8" t="n">
        <x:f>ABS(M275)</x:f>
        <x:v>1.3464360521060854</x:v>
      </x:c>
      <x:c r="P275" s="7" t="n">
        <x:v>46136</x:v>
      </x:c>
    </x:row>
    <x:row r="276" ht="26" customHeight="1">
      <x:c r="A276" s="2"/>
      <x:c r="B276" s="2" t="n">
        <x:v>271</x:v>
      </x:c>
      <x:c r="C276" s="2" t="str">
        <x:v>Beauty / price_contribution</x:v>
      </x:c>
      <x:c r="D276" s="7" t="n">
        <x:v>46112</x:v>
      </x:c>
      <x:c r="E276" s="2" t="str">
        <x:v>Prior report</x:v>
      </x:c>
      <x:c r="F276" s="7" t="n">
        <x:v>46045</x:v>
      </x:c>
      <x:c r="G276" s="2" t="str">
        <x:v>Own history</x:v>
      </x:c>
      <x:c r="H276" s="8" t="n">
        <x:f>'Model fits'!AA206</x:f>
        <x:v>2.4005328596802844</x:v>
      </x:c>
      <x:c r="I276" s="8" t="n">
        <x:f>0</x:f>
        <x:v>0</x:v>
      </x:c>
      <x:c r="J276" s="8" t="n">
        <x:v>0</x:v>
      </x:c>
      <x:c r="K276" s="8" t="n">
        <x:f>H276-I276*J276</x:f>
        <x:v>2.4005328596802844</x:v>
      </x:c>
      <x:c r="L276" s="8" t="n">
        <x:f>'PG facts'!D146</x:f>
        <x:v>1</x:v>
      </x:c>
      <x:c r="M276" s="8" t="n">
        <x:f>K276-L276</x:f>
        <x:v>1.4005328596802844</x:v>
      </x:c>
      <x:c r="N276" s="8" t="n">
        <x:f>M276^2</x:f>
        <x:v>1.9614922910442352</x:v>
      </x:c>
      <x:c r="O276" s="8" t="n">
        <x:f>ABS(M276)</x:f>
        <x:v>1.4005328596802844</x:v>
      </x:c>
      <x:c r="P276" s="7" t="n">
        <x:v>46136</x:v>
      </x:c>
    </x:row>
    <x:row r="277" ht="26" customHeight="1">
      <x:c r="A277" s="2"/>
      <x:c r="B277" s="2" t="n">
        <x:v>272</x:v>
      </x:c>
      <x:c r="C277" s="2" t="str">
        <x:v>Beauty / price_contribution</x:v>
      </x:c>
      <x:c r="D277" s="7" t="n">
        <x:v>46112</x:v>
      </x:c>
      <x:c r="E277" s="2" t="str">
        <x:v>Prior report</x:v>
      </x:c>
      <x:c r="F277" s="7" t="n">
        <x:v>46045</x:v>
      </x:c>
      <x:c r="G277" s="2" t="str">
        <x:v>Product price</x:v>
      </x:c>
      <x:c r="H277" s="8" t="n">
        <x:f>'Model fits'!AA207</x:f>
        <x:v>3.4115410689032375</x:v>
      </x:c>
      <x:c r="I277" s="8" t="n">
        <x:f>0</x:f>
        <x:v>0</x:v>
      </x:c>
      <x:c r="J277" s="8" t="n">
        <x:v>0</x:v>
      </x:c>
      <x:c r="K277" s="8" t="n">
        <x:f>H277-I277*J277</x:f>
        <x:v>3.4115410689032375</x:v>
      </x:c>
      <x:c r="L277" s="8" t="n">
        <x:f>'PG facts'!D146</x:f>
        <x:v>1</x:v>
      </x:c>
      <x:c r="M277" s="8" t="n">
        <x:f>K277-L277</x:f>
        <x:v>2.4115410689032375</x:v>
      </x:c>
      <x:c r="N277" s="8" t="n">
        <x:f>M277^2</x:f>
        <x:v>5.815530327006969</x:v>
      </x:c>
      <x:c r="O277" s="8" t="n">
        <x:f>ABS(M277)</x:f>
        <x:v>2.4115410689032375</x:v>
      </x:c>
      <x:c r="P277" s="7" t="n">
        <x:v>46136</x:v>
      </x:c>
    </x:row>
    <x:row r="278" ht="26" customHeight="1">
      <x:c r="A278" s="2"/>
      <x:c r="B278" s="2" t="n">
        <x:v>273</x:v>
      </x:c>
      <x:c r="C278" s="2" t="str">
        <x:v>Beauty / price_contribution</x:v>
      </x:c>
      <x:c r="D278" s="7" t="n">
        <x:v>46112</x:v>
      </x:c>
      <x:c r="E278" s="2" t="str">
        <x:v>Prior report</x:v>
      </x:c>
      <x:c r="F278" s="7" t="n">
        <x:v>46045</x:v>
      </x:c>
      <x:c r="G278" s="2" t="str">
        <x:v>Own + product</x:v>
      </x:c>
      <x:c r="H278" s="8" t="n">
        <x:f>'Model fits'!AA208</x:f>
        <x:v>3.457100585941986</x:v>
      </x:c>
      <x:c r="I278" s="8" t="n">
        <x:f>0</x:f>
        <x:v>0</x:v>
      </x:c>
      <x:c r="J278" s="8" t="n">
        <x:v>0</x:v>
      </x:c>
      <x:c r="K278" s="8" t="n">
        <x:f>H278-I278*J278</x:f>
        <x:v>3.457100585941986</x:v>
      </x:c>
      <x:c r="L278" s="8" t="n">
        <x:f>'PG facts'!D146</x:f>
        <x:v>1</x:v>
      </x:c>
      <x:c r="M278" s="8" t="n">
        <x:f>K278-L278</x:f>
        <x:v>2.457100585941986</x:v>
      </x:c>
      <x:c r="N278" s="8" t="n">
        <x:f>M278^2</x:f>
        <x:v>6.037343289436452</x:v>
      </x:c>
      <x:c r="O278" s="8" t="n">
        <x:f>ABS(M278)</x:f>
        <x:v>2.457100585941986</x:v>
      </x:c>
      <x:c r="P278" s="7" t="n">
        <x:v>46136</x:v>
      </x:c>
    </x:row>
    <x:row r="279" ht="26" customHeight="1">
      <x:c r="A279" s="2"/>
      <x:c r="B279" s="2" t="n">
        <x:v>274</x:v>
      </x:c>
      <x:c r="C279" s="2" t="str">
        <x:v>Beauty / price_contribution</x:v>
      </x:c>
      <x:c r="D279" s="7" t="n">
        <x:v>46112</x:v>
      </x:c>
      <x:c r="E279" s="2" t="str">
        <x:v>Pre-earnings</x:v>
      </x:c>
      <x:c r="F279" s="7" t="n">
        <x:v>46135</x:v>
      </x:c>
      <x:c r="G279" s="2" t="str">
        <x:v>Last actual</x:v>
      </x:c>
      <x:c r="H279" s="8" t="n">
        <x:f>AVERAGE('PG facts'!D139)</x:f>
        <x:v>2</x:v>
      </x:c>
      <x:c r="I279" s="8" t="n">
        <x:f>0</x:f>
        <x:v>0</x:v>
      </x:c>
      <x:c r="J279" s="8" t="n">
        <x:v>0</x:v>
      </x:c>
      <x:c r="K279" s="8" t="n">
        <x:f>H279-I279*J279</x:f>
        <x:v>2</x:v>
      </x:c>
      <x:c r="L279" s="8" t="n">
        <x:f>'PG facts'!D146</x:f>
        <x:v>1</x:v>
      </x:c>
      <x:c r="M279" s="8" t="n">
        <x:f>K279-L279</x:f>
        <x:v>1</x:v>
      </x:c>
      <x:c r="N279" s="8" t="n">
        <x:f>M279^2</x:f>
        <x:v>1</x:v>
      </x:c>
      <x:c r="O279" s="8" t="n">
        <x:f>ABS(M279)</x:f>
        <x:v>1</x:v>
      </x:c>
      <x:c r="P279" s="7" t="n">
        <x:v>46136</x:v>
      </x:c>
    </x:row>
    <x:row r="280" ht="26" customHeight="1">
      <x:c r="A280" s="2"/>
      <x:c r="B280" s="2" t="n">
        <x:v>275</x:v>
      </x:c>
      <x:c r="C280" s="2" t="str">
        <x:v>Beauty / price_contribution</x:v>
      </x:c>
      <x:c r="D280" s="7" t="n">
        <x:v>46112</x:v>
      </x:c>
      <x:c r="E280" s="2" t="str">
        <x:v>Pre-earnings</x:v>
      </x:c>
      <x:c r="F280" s="7" t="n">
        <x:v>46135</x:v>
      </x:c>
      <x:c r="G280" s="2" t="str">
        <x:v>Four-quarter mean</x:v>
      </x:c>
      <x:c r="H280" s="8" t="n">
        <x:f>AVERAGE('PG facts'!D118,'PG facts'!D125,'PG facts'!D132,'PG facts'!D139)</x:f>
        <x:v>2</x:v>
      </x:c>
      <x:c r="I280" s="8" t="n">
        <x:f>0</x:f>
        <x:v>0</x:v>
      </x:c>
      <x:c r="J280" s="8" t="n">
        <x:v>0</x:v>
      </x:c>
      <x:c r="K280" s="8" t="n">
        <x:f>H280-I280*J280</x:f>
        <x:v>2</x:v>
      </x:c>
      <x:c r="L280" s="8" t="n">
        <x:f>'PG facts'!D146</x:f>
        <x:v>1</x:v>
      </x:c>
      <x:c r="M280" s="8" t="n">
        <x:f>K280-L280</x:f>
        <x:v>1</x:v>
      </x:c>
      <x:c r="N280" s="8" t="n">
        <x:f>M280^2</x:f>
        <x:v>1</x:v>
      </x:c>
      <x:c r="O280" s="8" t="n">
        <x:f>ABS(M280)</x:f>
        <x:v>1</x:v>
      </x:c>
      <x:c r="P280" s="7" t="n">
        <x:v>46136</x:v>
      </x:c>
    </x:row>
    <x:row r="281" ht="26" customHeight="1">
      <x:c r="A281" s="2"/>
      <x:c r="B281" s="2" t="n">
        <x:v>276</x:v>
      </x:c>
      <x:c r="C281" s="2" t="str">
        <x:v>Beauty / price_contribution</x:v>
      </x:c>
      <x:c r="D281" s="7" t="n">
        <x:v>46112</x:v>
      </x:c>
      <x:c r="E281" s="2" t="str">
        <x:v>Pre-earnings</x:v>
      </x:c>
      <x:c r="F281" s="7" t="n">
        <x:v>46135</x:v>
      </x:c>
      <x:c r="G281" s="2" t="str">
        <x:v>Broad market</x:v>
      </x:c>
      <x:c r="H281" s="8" t="n">
        <x:f>'Model fits'!AA209</x:f>
        <x:v>3.6928029256166774</x:v>
      </x:c>
      <x:c r="I281" s="8" t="n">
        <x:f>0</x:f>
        <x:v>0</x:v>
      </x:c>
      <x:c r="J281" s="8" t="n">
        <x:v>0</x:v>
      </x:c>
      <x:c r="K281" s="8" t="n">
        <x:f>H281-I281*J281</x:f>
        <x:v>3.6928029256166774</x:v>
      </x:c>
      <x:c r="L281" s="8" t="n">
        <x:f>'PG facts'!D146</x:f>
        <x:v>1</x:v>
      </x:c>
      <x:c r="M281" s="8" t="n">
        <x:f>K281-L281</x:f>
        <x:v>2.6928029256166774</x:v>
      </x:c>
      <x:c r="N281" s="8" t="n">
        <x:f>M281^2</x:f>
        <x:v>7.251187596209737</x:v>
      </x:c>
      <x:c r="O281" s="8" t="n">
        <x:f>ABS(M281)</x:f>
        <x:v>2.6928029256166774</x:v>
      </x:c>
      <x:c r="P281" s="7" t="n">
        <x:v>46136</x:v>
      </x:c>
    </x:row>
    <x:row r="282" ht="26" customHeight="1">
      <x:c r="A282" s="2"/>
      <x:c r="B282" s="2" t="n">
        <x:v>277</x:v>
      </x:c>
      <x:c r="C282" s="2" t="str">
        <x:v>Beauty / price_contribution</x:v>
      </x:c>
      <x:c r="D282" s="7" t="n">
        <x:v>46112</x:v>
      </x:c>
      <x:c r="E282" s="2" t="str">
        <x:v>Pre-earnings</x:v>
      </x:c>
      <x:c r="F282" s="7" t="n">
        <x:v>46135</x:v>
      </x:c>
      <x:c r="G282" s="2" t="str">
        <x:v>Broad rolling 8</x:v>
      </x:c>
      <x:c r="H282" s="8" t="n">
        <x:f>'Model fits'!AA210</x:f>
        <x:v>2.7795245293216824</x:v>
      </x:c>
      <x:c r="I282" s="8" t="n">
        <x:f>0</x:f>
        <x:v>0</x:v>
      </x:c>
      <x:c r="J282" s="8" t="n">
        <x:v>0</x:v>
      </x:c>
      <x:c r="K282" s="8" t="n">
        <x:f>H282-I282*J282</x:f>
        <x:v>2.7795245293216824</x:v>
      </x:c>
      <x:c r="L282" s="8" t="n">
        <x:f>'PG facts'!D146</x:f>
        <x:v>1</x:v>
      </x:c>
      <x:c r="M282" s="8" t="n">
        <x:f>K282-L282</x:f>
        <x:v>1.7795245293216824</x:v>
      </x:c>
      <x:c r="N282" s="8" t="n">
        <x:f>M282^2</x:f>
        <x:v>3.1667075504575553</x:v>
      </x:c>
      <x:c r="O282" s="8" t="n">
        <x:f>ABS(M282)</x:f>
        <x:v>1.7795245293216824</x:v>
      </x:c>
      <x:c r="P282" s="7" t="n">
        <x:v>46136</x:v>
      </x:c>
    </x:row>
    <x:row r="283" ht="26" customHeight="1">
      <x:c r="A283" s="2"/>
      <x:c r="B283" s="2" t="n">
        <x:v>278</x:v>
      </x:c>
      <x:c r="C283" s="2" t="str">
        <x:v>Beauty / price_contribution</x:v>
      </x:c>
      <x:c r="D283" s="7" t="n">
        <x:v>46112</x:v>
      </x:c>
      <x:c r="E283" s="2" t="str">
        <x:v>Pre-earnings</x:v>
      </x:c>
      <x:c r="F283" s="7" t="n">
        <x:v>46135</x:v>
      </x:c>
      <x:c r="G283" s="2" t="str">
        <x:v>Own history</x:v>
      </x:c>
      <x:c r="H283" s="8" t="n">
        <x:f>'Model fits'!AA211</x:f>
        <x:v>2.4005328596802844</x:v>
      </x:c>
      <x:c r="I283" s="8" t="n">
        <x:f>0</x:f>
        <x:v>0</x:v>
      </x:c>
      <x:c r="J283" s="8" t="n">
        <x:v>0</x:v>
      </x:c>
      <x:c r="K283" s="8" t="n">
        <x:f>H283-I283*J283</x:f>
        <x:v>2.4005328596802844</x:v>
      </x:c>
      <x:c r="L283" s="8" t="n">
        <x:f>'PG facts'!D146</x:f>
        <x:v>1</x:v>
      </x:c>
      <x:c r="M283" s="8" t="n">
        <x:f>K283-L283</x:f>
        <x:v>1.4005328596802844</x:v>
      </x:c>
      <x:c r="N283" s="8" t="n">
        <x:f>M283^2</x:f>
        <x:v>1.9614922910442352</x:v>
      </x:c>
      <x:c r="O283" s="8" t="n">
        <x:f>ABS(M283)</x:f>
        <x:v>1.4005328596802844</x:v>
      </x:c>
      <x:c r="P283" s="7" t="n">
        <x:v>46136</x:v>
      </x:c>
    </x:row>
    <x:row r="284" ht="26" customHeight="1">
      <x:c r="A284" s="2"/>
      <x:c r="B284" s="2" t="n">
        <x:v>279</x:v>
      </x:c>
      <x:c r="C284" s="2" t="str">
        <x:v>Beauty / price_contribution</x:v>
      </x:c>
      <x:c r="D284" s="7" t="n">
        <x:v>46112</x:v>
      </x:c>
      <x:c r="E284" s="2" t="str">
        <x:v>Pre-earnings</x:v>
      </x:c>
      <x:c r="F284" s="7" t="n">
        <x:v>46135</x:v>
      </x:c>
      <x:c r="G284" s="2" t="str">
        <x:v>Product price</x:v>
      </x:c>
      <x:c r="H284" s="8" t="n">
        <x:f>'Model fits'!AA212</x:f>
        <x:v>4.521218960208058</x:v>
      </x:c>
      <x:c r="I284" s="8" t="n">
        <x:f>0</x:f>
        <x:v>0</x:v>
      </x:c>
      <x:c r="J284" s="8" t="n">
        <x:v>0</x:v>
      </x:c>
      <x:c r="K284" s="8" t="n">
        <x:f>H284-I284*J284</x:f>
        <x:v>4.521218960208058</x:v>
      </x:c>
      <x:c r="L284" s="8" t="n">
        <x:f>'PG facts'!D146</x:f>
        <x:v>1</x:v>
      </x:c>
      <x:c r="M284" s="8" t="n">
        <x:f>K284-L284</x:f>
        <x:v>3.521218960208058</x:v>
      </x:c>
      <x:c r="N284" s="8" t="n">
        <x:f>M284^2</x:f>
        <x:v>12.398982965728718</x:v>
      </x:c>
      <x:c r="O284" s="8" t="n">
        <x:f>ABS(M284)</x:f>
        <x:v>3.521218960208058</x:v>
      </x:c>
      <x:c r="P284" s="7" t="n">
        <x:v>46136</x:v>
      </x:c>
    </x:row>
    <x:row r="285" ht="26" customHeight="1">
      <x:c r="A285" s="2"/>
      <x:c r="B285" s="2" t="n">
        <x:v>280</x:v>
      </x:c>
      <x:c r="C285" s="2" t="str">
        <x:v>Beauty / price_contribution</x:v>
      </x:c>
      <x:c r="D285" s="7" t="n">
        <x:v>46112</x:v>
      </x:c>
      <x:c r="E285" s="2" t="str">
        <x:v>Pre-earnings</x:v>
      </x:c>
      <x:c r="F285" s="7" t="n">
        <x:v>46135</x:v>
      </x:c>
      <x:c r="G285" s="2" t="str">
        <x:v>Own + product</x:v>
      </x:c>
      <x:c r="H285" s="8" t="n">
        <x:f>'Model fits'!AA213</x:f>
        <x:v>4.570654866251173</x:v>
      </x:c>
      <x:c r="I285" s="8" t="n">
        <x:f>0</x:f>
        <x:v>0</x:v>
      </x:c>
      <x:c r="J285" s="8" t="n">
        <x:v>0</x:v>
      </x:c>
      <x:c r="K285" s="8" t="n">
        <x:f>H285-I285*J285</x:f>
        <x:v>4.570654866251173</x:v>
      </x:c>
      <x:c r="L285" s="8" t="n">
        <x:f>'PG facts'!D146</x:f>
        <x:v>1</x:v>
      </x:c>
      <x:c r="M285" s="8" t="n">
        <x:f>K285-L285</x:f>
        <x:v>3.5706548662511732</x:v>
      </x:c>
      <x:c r="N285" s="8" t="n">
        <x:f>M285^2</x:f>
        <x:v>12.749576173883185</x:v>
      </x:c>
      <x:c r="O285" s="8" t="n">
        <x:f>ABS(M285)</x:f>
        <x:v>3.5706548662511732</x:v>
      </x:c>
      <x:c r="P285" s="7" t="n">
        <x:v>46136</x:v>
      </x:c>
    </x:row>
    <x:row r="286" ht="26" customHeight="1">
      <x:c r="A286" s="2"/>
      <x:c r="B286" s="2" t="n">
        <x:v>281</x:v>
      </x:c>
      <x:c r="C286" s="2" t="str">
        <x:v>Grooming / price_contribution</x:v>
      </x:c>
      <x:c r="D286" s="7" t="n">
        <x:v>45107</x:v>
      </x:c>
      <x:c r="E286" s="2" t="str">
        <x:v>Origin</x:v>
      </x:c>
      <x:c r="F286" s="7" t="n">
        <x:v>45017</x:v>
      </x:c>
      <x:c r="G286" s="2" t="str">
        <x:v>Last actual</x:v>
      </x:c>
      <x:c r="H286" s="8" t="n">
        <x:f>AVERAGE('PG facts'!D56)</x:f>
        <x:v>11</x:v>
      </x:c>
      <x:c r="I286" s="8" t="n">
        <x:f>0</x:f>
        <x:v>0</x:v>
      </x:c>
      <x:c r="J286" s="8" t="n">
        <x:v>0</x:v>
      </x:c>
      <x:c r="K286" s="8" t="n">
        <x:f>H286-I286*J286</x:f>
        <x:v>11</x:v>
      </x:c>
      <x:c r="L286" s="8" t="n">
        <x:f>'PG facts'!D70</x:f>
        <x:v>9</x:v>
      </x:c>
      <x:c r="M286" s="8" t="n">
        <x:f>K286-L286</x:f>
        <x:v>2</x:v>
      </x:c>
      <x:c r="N286" s="8" t="n">
        <x:f>M286^2</x:f>
        <x:v>4</x:v>
      </x:c>
      <x:c r="O286" s="8" t="n">
        <x:f>ABS(M286)</x:f>
        <x:v>2</x:v>
      </x:c>
      <x:c r="P286" s="7" t="n">
        <x:v>45135</x:v>
      </x:c>
    </x:row>
    <x:row r="287" ht="26" customHeight="1">
      <x:c r="A287" s="2"/>
      <x:c r="B287" s="2" t="n">
        <x:v>282</x:v>
      </x:c>
      <x:c r="C287" s="2" t="str">
        <x:v>Grooming / price_contribution</x:v>
      </x:c>
      <x:c r="D287" s="7" t="n">
        <x:v>45107</x:v>
      </x:c>
      <x:c r="E287" s="2" t="str">
        <x:v>Origin</x:v>
      </x:c>
      <x:c r="F287" s="7" t="n">
        <x:v>45017</x:v>
      </x:c>
      <x:c r="G287" s="2" t="str">
        <x:v>Four-quarter mean</x:v>
      </x:c>
      <x:c r="H287" s="8" t="n">
        <x:f>AVERAGE('PG facts'!D35,'PG facts'!D42,'PG facts'!D49,'PG facts'!D56)</x:f>
        <x:v>7.75</x:v>
      </x:c>
      <x:c r="I287" s="8" t="n">
        <x:f>0</x:f>
        <x:v>0</x:v>
      </x:c>
      <x:c r="J287" s="8" t="n">
        <x:v>0</x:v>
      </x:c>
      <x:c r="K287" s="8" t="n">
        <x:f>H287-I287*J287</x:f>
        <x:v>7.75</x:v>
      </x:c>
      <x:c r="L287" s="8" t="n">
        <x:f>'PG facts'!D70</x:f>
        <x:v>9</x:v>
      </x:c>
      <x:c r="M287" s="8" t="n">
        <x:f>K287-L287</x:f>
        <x:v>-1.25</x:v>
      </x:c>
      <x:c r="N287" s="8" t="n">
        <x:f>M287^2</x:f>
        <x:v>1.5625</x:v>
      </x:c>
      <x:c r="O287" s="8" t="n">
        <x:f>ABS(M287)</x:f>
        <x:v>1.25</x:v>
      </x:c>
      <x:c r="P287" s="7" t="n">
        <x:v>45135</x:v>
      </x:c>
    </x:row>
    <x:row r="288" ht="26" customHeight="1">
      <x:c r="A288" s="2"/>
      <x:c r="B288" s="2" t="n">
        <x:v>283</x:v>
      </x:c>
      <x:c r="C288" s="2" t="str">
        <x:v>Grooming / price_contribution</x:v>
      </x:c>
      <x:c r="D288" s="7" t="n">
        <x:v>45107</x:v>
      </x:c>
      <x:c r="E288" s="2" t="str">
        <x:v>Origin</x:v>
      </x:c>
      <x:c r="F288" s="7" t="n">
        <x:v>45017</x:v>
      </x:c>
      <x:c r="G288" s="2" t="str">
        <x:v>Broad market</x:v>
      </x:c>
      <x:c r="H288" s="8" t="n">
        <x:f>'Model fits'!AA214</x:f>
        <x:v>10.35535454024004</x:v>
      </x:c>
      <x:c r="I288" s="8" t="n">
        <x:f>0</x:f>
        <x:v>0</x:v>
      </x:c>
      <x:c r="J288" s="8" t="n">
        <x:v>0</x:v>
      </x:c>
      <x:c r="K288" s="8" t="n">
        <x:f>H288-I288*J288</x:f>
        <x:v>10.35535454024004</x:v>
      </x:c>
      <x:c r="L288" s="8" t="n">
        <x:f>'PG facts'!D70</x:f>
        <x:v>9</x:v>
      </x:c>
      <x:c r="M288" s="8" t="n">
        <x:f>K288-L288</x:f>
        <x:v>1.3553545402400395</x:v>
      </x:c>
      <x:c r="N288" s="8" t="n">
        <x:f>M288^2</x:f>
        <x:v>1.836985929749289</x:v>
      </x:c>
      <x:c r="O288" s="8" t="n">
        <x:f>ABS(M288)</x:f>
        <x:v>1.3553545402400395</x:v>
      </x:c>
      <x:c r="P288" s="7" t="n">
        <x:v>45135</x:v>
      </x:c>
    </x:row>
    <x:row r="289" ht="26" customHeight="1">
      <x:c r="A289" s="2"/>
      <x:c r="B289" s="2" t="n">
        <x:v>284</x:v>
      </x:c>
      <x:c r="C289" s="2" t="str">
        <x:v>Grooming / price_contribution</x:v>
      </x:c>
      <x:c r="D289" s="7" t="n">
        <x:v>45107</x:v>
      </x:c>
      <x:c r="E289" s="2" t="str">
        <x:v>Origin</x:v>
      </x:c>
      <x:c r="F289" s="7" t="n">
        <x:v>45017</x:v>
      </x:c>
      <x:c r="G289" s="2" t="str">
        <x:v>Broad rolling 8</x:v>
      </x:c>
      <x:c r="H289" s="8" t="n">
        <x:f>'Model fits'!AA215</x:f>
        <x:v>10.35535454024004</x:v>
      </x:c>
      <x:c r="I289" s="8" t="n">
        <x:f>0</x:f>
        <x:v>0</x:v>
      </x:c>
      <x:c r="J289" s="8" t="n">
        <x:v>0</x:v>
      </x:c>
      <x:c r="K289" s="8" t="n">
        <x:f>H289-I289*J289</x:f>
        <x:v>10.35535454024004</x:v>
      </x:c>
      <x:c r="L289" s="8" t="n">
        <x:f>'PG facts'!D70</x:f>
        <x:v>9</x:v>
      </x:c>
      <x:c r="M289" s="8" t="n">
        <x:f>K289-L289</x:f>
        <x:v>1.3553545402400395</x:v>
      </x:c>
      <x:c r="N289" s="8" t="n">
        <x:f>M289^2</x:f>
        <x:v>1.836985929749289</x:v>
      </x:c>
      <x:c r="O289" s="8" t="n">
        <x:f>ABS(M289)</x:f>
        <x:v>1.3553545402400395</x:v>
      </x:c>
      <x:c r="P289" s="7" t="n">
        <x:v>45135</x:v>
      </x:c>
    </x:row>
    <x:row r="290" ht="26" customHeight="1">
      <x:c r="A290" s="2"/>
      <x:c r="B290" s="2" t="n">
        <x:v>285</x:v>
      </x:c>
      <x:c r="C290" s="2" t="str">
        <x:v>Grooming / price_contribution</x:v>
      </x:c>
      <x:c r="D290" s="7" t="n">
        <x:v>45107</x:v>
      </x:c>
      <x:c r="E290" s="2" t="str">
        <x:v>Prior report</x:v>
      </x:c>
      <x:c r="F290" s="7" t="n">
        <x:v>45037</x:v>
      </x:c>
      <x:c r="G290" s="2" t="str">
        <x:v>Last actual</x:v>
      </x:c>
      <x:c r="H290" s="8" t="n">
        <x:f>AVERAGE('PG facts'!D63)</x:f>
        <x:v>10</x:v>
      </x:c>
      <x:c r="I290" s="8" t="n">
        <x:f>0</x:f>
        <x:v>0</x:v>
      </x:c>
      <x:c r="J290" s="8" t="n">
        <x:v>0</x:v>
      </x:c>
      <x:c r="K290" s="8" t="n">
        <x:f>H290-I290*J290</x:f>
        <x:v>10</x:v>
      </x:c>
      <x:c r="L290" s="8" t="n">
        <x:f>'PG facts'!D70</x:f>
        <x:v>9</x:v>
      </x:c>
      <x:c r="M290" s="8" t="n">
        <x:f>K290-L290</x:f>
        <x:v>1</x:v>
      </x:c>
      <x:c r="N290" s="8" t="n">
        <x:f>M290^2</x:f>
        <x:v>1</x:v>
      </x:c>
      <x:c r="O290" s="8" t="n">
        <x:f>ABS(M290)</x:f>
        <x:v>1</x:v>
      </x:c>
      <x:c r="P290" s="7" t="n">
        <x:v>45135</x:v>
      </x:c>
    </x:row>
    <x:row r="291" ht="26" customHeight="1">
      <x:c r="A291" s="2"/>
      <x:c r="B291" s="2" t="n">
        <x:v>286</x:v>
      </x:c>
      <x:c r="C291" s="2" t="str">
        <x:v>Grooming / price_contribution</x:v>
      </x:c>
      <x:c r="D291" s="7" t="n">
        <x:v>45107</x:v>
      </x:c>
      <x:c r="E291" s="2" t="str">
        <x:v>Prior report</x:v>
      </x:c>
      <x:c r="F291" s="7" t="n">
        <x:v>45037</x:v>
      </x:c>
      <x:c r="G291" s="2" t="str">
        <x:v>Four-quarter mean</x:v>
      </x:c>
      <x:c r="H291" s="8" t="n">
        <x:f>AVERAGE('PG facts'!D42,'PG facts'!D49,'PG facts'!D56,'PG facts'!D63)</x:f>
        <x:v>8.75</x:v>
      </x:c>
      <x:c r="I291" s="8" t="n">
        <x:f>0</x:f>
        <x:v>0</x:v>
      </x:c>
      <x:c r="J291" s="8" t="n">
        <x:v>0</x:v>
      </x:c>
      <x:c r="K291" s="8" t="n">
        <x:f>H291-I291*J291</x:f>
        <x:v>8.75</x:v>
      </x:c>
      <x:c r="L291" s="8" t="n">
        <x:f>'PG facts'!D70</x:f>
        <x:v>9</x:v>
      </x:c>
      <x:c r="M291" s="8" t="n">
        <x:f>K291-L291</x:f>
        <x:v>-0.25</x:v>
      </x:c>
      <x:c r="N291" s="8" t="n">
        <x:f>M291^2</x:f>
        <x:v>0.0625</x:v>
      </x:c>
      <x:c r="O291" s="8" t="n">
        <x:f>ABS(M291)</x:f>
        <x:v>0.25</x:v>
      </x:c>
      <x:c r="P291" s="7" t="n">
        <x:v>45135</x:v>
      </x:c>
    </x:row>
    <x:row r="292" ht="26" customHeight="1">
      <x:c r="A292" s="2"/>
      <x:c r="B292" s="2" t="n">
        <x:v>287</x:v>
      </x:c>
      <x:c r="C292" s="2" t="str">
        <x:v>Grooming / price_contribution</x:v>
      </x:c>
      <x:c r="D292" s="7" t="n">
        <x:v>45107</x:v>
      </x:c>
      <x:c r="E292" s="2" t="str">
        <x:v>Prior report</x:v>
      </x:c>
      <x:c r="F292" s="7" t="n">
        <x:v>45037</x:v>
      </x:c>
      <x:c r="G292" s="2" t="str">
        <x:v>Broad market</x:v>
      </x:c>
      <x:c r="H292" s="8" t="n">
        <x:f>'Model fits'!AA216</x:f>
        <x:v>10.0023526657018</x:v>
      </x:c>
      <x:c r="I292" s="8" t="n">
        <x:f>0</x:f>
        <x:v>0</x:v>
      </x:c>
      <x:c r="J292" s="8" t="n">
        <x:v>0</x:v>
      </x:c>
      <x:c r="K292" s="8" t="n">
        <x:f>H292-I292*J292</x:f>
        <x:v>10.0023526657018</x:v>
      </x:c>
      <x:c r="L292" s="8" t="n">
        <x:f>'PG facts'!D70</x:f>
        <x:v>9</x:v>
      </x:c>
      <x:c r="M292" s="8" t="n">
        <x:f>K292-L292</x:f>
        <x:v>1.0023526657017996</x:v>
      </x:c>
      <x:c r="N292" s="8" t="n">
        <x:f>M292^2</x:f>
        <x:v>1.0047108664395037</x:v>
      </x:c>
      <x:c r="O292" s="8" t="n">
        <x:f>ABS(M292)</x:f>
        <x:v>1.0023526657017996</x:v>
      </x:c>
      <x:c r="P292" s="7" t="n">
        <x:v>45135</x:v>
      </x:c>
    </x:row>
    <x:row r="293" ht="26" customHeight="1">
      <x:c r="A293" s="2"/>
      <x:c r="B293" s="2" t="n">
        <x:v>288</x:v>
      </x:c>
      <x:c r="C293" s="2" t="str">
        <x:v>Grooming / price_contribution</x:v>
      </x:c>
      <x:c r="D293" s="7" t="n">
        <x:v>45107</x:v>
      </x:c>
      <x:c r="E293" s="2" t="str">
        <x:v>Prior report</x:v>
      </x:c>
      <x:c r="F293" s="7" t="n">
        <x:v>45037</x:v>
      </x:c>
      <x:c r="G293" s="2" t="str">
        <x:v>Broad lag 1</x:v>
      </x:c>
      <x:c r="H293" s="8" t="n">
        <x:f>'Model fits'!AA217</x:f>
        <x:v>10.952754806541545</x:v>
      </x:c>
      <x:c r="I293" s="8" t="n">
        <x:f>0</x:f>
        <x:v>0</x:v>
      </x:c>
      <x:c r="J293" s="8" t="n">
        <x:v>0</x:v>
      </x:c>
      <x:c r="K293" s="8" t="n">
        <x:f>H293-I293*J293</x:f>
        <x:v>10.952754806541545</x:v>
      </x:c>
      <x:c r="L293" s="8" t="n">
        <x:f>'PG facts'!D70</x:f>
        <x:v>9</x:v>
      </x:c>
      <x:c r="M293" s="8" t="n">
        <x:f>K293-L293</x:f>
        <x:v>1.9527548065415452</x:v>
      </x:c>
      <x:c r="N293" s="8" t="n">
        <x:f>M293^2</x:f>
        <x:v>3.813251334471108</x:v>
      </x:c>
      <x:c r="O293" s="8" t="n">
        <x:f>ABS(M293)</x:f>
        <x:v>1.9527548065415452</x:v>
      </x:c>
      <x:c r="P293" s="7" t="n">
        <x:v>45135</x:v>
      </x:c>
    </x:row>
    <x:row r="294" ht="26" customHeight="1">
      <x:c r="A294" s="2"/>
      <x:c r="B294" s="2" t="n">
        <x:v>289</x:v>
      </x:c>
      <x:c r="C294" s="2" t="str">
        <x:v>Grooming / price_contribution</x:v>
      </x:c>
      <x:c r="D294" s="7" t="n">
        <x:v>45107</x:v>
      </x:c>
      <x:c r="E294" s="2" t="str">
        <x:v>Prior report</x:v>
      </x:c>
      <x:c r="F294" s="7" t="n">
        <x:v>45037</x:v>
      </x:c>
      <x:c r="G294" s="2" t="str">
        <x:v>Broad rolling 8</x:v>
      </x:c>
      <x:c r="H294" s="8" t="n">
        <x:f>'Model fits'!AA218</x:f>
        <x:v>9.972051103920421</x:v>
      </x:c>
      <x:c r="I294" s="8" t="n">
        <x:f>0</x:f>
        <x:v>0</x:v>
      </x:c>
      <x:c r="J294" s="8" t="n">
        <x:v>0</x:v>
      </x:c>
      <x:c r="K294" s="8" t="n">
        <x:f>H294-I294*J294</x:f>
        <x:v>9.972051103920421</x:v>
      </x:c>
      <x:c r="L294" s="8" t="n">
        <x:f>'PG facts'!D70</x:f>
        <x:v>9</x:v>
      </x:c>
      <x:c r="M294" s="8" t="n">
        <x:f>K294-L294</x:f>
        <x:v>0.9720511039204212</x:v>
      </x:c>
      <x:c r="N294" s="8" t="n">
        <x:f>M294^2</x:f>
        <x:v>0.9448833486329095</x:v>
      </x:c>
      <x:c r="O294" s="8" t="n">
        <x:f>ABS(M294)</x:f>
        <x:v>0.9720511039204212</x:v>
      </x:c>
      <x:c r="P294" s="7" t="n">
        <x:v>45135</x:v>
      </x:c>
    </x:row>
    <x:row r="295" ht="26" customHeight="1">
      <x:c r="A295" s="2"/>
      <x:c r="B295" s="2" t="n">
        <x:v>290</x:v>
      </x:c>
      <x:c r="C295" s="2" t="str">
        <x:v>Grooming / price_contribution</x:v>
      </x:c>
      <x:c r="D295" s="7" t="n">
        <x:v>45107</x:v>
      </x:c>
      <x:c r="E295" s="2" t="str">
        <x:v>Prior report</x:v>
      </x:c>
      <x:c r="F295" s="7" t="n">
        <x:v>45037</x:v>
      </x:c>
      <x:c r="G295" s="2" t="str">
        <x:v>Own history</x:v>
      </x:c>
      <x:c r="H295" s="8" t="n">
        <x:f>'Model fits'!AA219</x:f>
        <x:v>10.73956594323873</x:v>
      </x:c>
      <x:c r="I295" s="8" t="n">
        <x:f>0</x:f>
        <x:v>0</x:v>
      </x:c>
      <x:c r="J295" s="8" t="n">
        <x:v>0</x:v>
      </x:c>
      <x:c r="K295" s="8" t="n">
        <x:f>H295-I295*J295</x:f>
        <x:v>10.73956594323873</x:v>
      </x:c>
      <x:c r="L295" s="8" t="n">
        <x:f>'PG facts'!D70</x:f>
        <x:v>9</x:v>
      </x:c>
      <x:c r="M295" s="8" t="n">
        <x:f>K295-L295</x:f>
        <x:v>1.7395659432387305</x:v>
      </x:c>
      <x:c r="N295" s="8" t="n">
        <x:f>M295^2</x:f>
        <x:v>3.026089670876054</x:v>
      </x:c>
      <x:c r="O295" s="8" t="n">
        <x:f>ABS(M295)</x:f>
        <x:v>1.7395659432387305</x:v>
      </x:c>
      <x:c r="P295" s="7" t="n">
        <x:v>45135</x:v>
      </x:c>
    </x:row>
    <x:row r="296" ht="26" customHeight="1">
      <x:c r="A296" s="2"/>
      <x:c r="B296" s="2" t="n">
        <x:v>291</x:v>
      </x:c>
      <x:c r="C296" s="2" t="str">
        <x:v>Grooming / price_contribution</x:v>
      </x:c>
      <x:c r="D296" s="7" t="n">
        <x:v>45107</x:v>
      </x:c>
      <x:c r="E296" s="2" t="str">
        <x:v>Pre-earnings</x:v>
      </x:c>
      <x:c r="F296" s="7" t="n">
        <x:v>45134</x:v>
      </x:c>
      <x:c r="G296" s="2" t="str">
        <x:v>Last actual</x:v>
      </x:c>
      <x:c r="H296" s="8" t="n">
        <x:f>AVERAGE('PG facts'!D63)</x:f>
        <x:v>10</x:v>
      </x:c>
      <x:c r="I296" s="8" t="n">
        <x:f>0</x:f>
        <x:v>0</x:v>
      </x:c>
      <x:c r="J296" s="8" t="n">
        <x:v>0</x:v>
      </x:c>
      <x:c r="K296" s="8" t="n">
        <x:f>H296-I296*J296</x:f>
        <x:v>10</x:v>
      </x:c>
      <x:c r="L296" s="8" t="n">
        <x:f>'PG facts'!D70</x:f>
        <x:v>9</x:v>
      </x:c>
      <x:c r="M296" s="8" t="n">
        <x:f>K296-L296</x:f>
        <x:v>1</x:v>
      </x:c>
      <x:c r="N296" s="8" t="n">
        <x:f>M296^2</x:f>
        <x:v>1</x:v>
      </x:c>
      <x:c r="O296" s="8" t="n">
        <x:f>ABS(M296)</x:f>
        <x:v>1</x:v>
      </x:c>
      <x:c r="P296" s="7" t="n">
        <x:v>45135</x:v>
      </x:c>
    </x:row>
    <x:row r="297" ht="26" customHeight="1">
      <x:c r="A297" s="2"/>
      <x:c r="B297" s="2" t="n">
        <x:v>292</x:v>
      </x:c>
      <x:c r="C297" s="2" t="str">
        <x:v>Grooming / price_contribution</x:v>
      </x:c>
      <x:c r="D297" s="7" t="n">
        <x:v>45107</x:v>
      </x:c>
      <x:c r="E297" s="2" t="str">
        <x:v>Pre-earnings</x:v>
      </x:c>
      <x:c r="F297" s="7" t="n">
        <x:v>45134</x:v>
      </x:c>
      <x:c r="G297" s="2" t="str">
        <x:v>Four-quarter mean</x:v>
      </x:c>
      <x:c r="H297" s="8" t="n">
        <x:f>AVERAGE('PG facts'!D42,'PG facts'!D49,'PG facts'!D56,'PG facts'!D63)</x:f>
        <x:v>8.75</x:v>
      </x:c>
      <x:c r="I297" s="8" t="n">
        <x:f>0</x:f>
        <x:v>0</x:v>
      </x:c>
      <x:c r="J297" s="8" t="n">
        <x:v>0</x:v>
      </x:c>
      <x:c r="K297" s="8" t="n">
        <x:f>H297-I297*J297</x:f>
        <x:v>8.75</x:v>
      </x:c>
      <x:c r="L297" s="8" t="n">
        <x:f>'PG facts'!D70</x:f>
        <x:v>9</x:v>
      </x:c>
      <x:c r="M297" s="8" t="n">
        <x:f>K297-L297</x:f>
        <x:v>-0.25</x:v>
      </x:c>
      <x:c r="N297" s="8" t="n">
        <x:f>M297^2</x:f>
        <x:v>0.0625</x:v>
      </x:c>
      <x:c r="O297" s="8" t="n">
        <x:f>ABS(M297)</x:f>
        <x:v>0.25</x:v>
      </x:c>
      <x:c r="P297" s="7" t="n">
        <x:v>45135</x:v>
      </x:c>
    </x:row>
    <x:row r="298" ht="26" customHeight="1">
      <x:c r="A298" s="2"/>
      <x:c r="B298" s="2" t="n">
        <x:v>293</x:v>
      </x:c>
      <x:c r="C298" s="2" t="str">
        <x:v>Grooming / price_contribution</x:v>
      </x:c>
      <x:c r="D298" s="7" t="n">
        <x:v>45107</x:v>
      </x:c>
      <x:c r="E298" s="2" t="str">
        <x:v>Pre-earnings</x:v>
      </x:c>
      <x:c r="F298" s="7" t="n">
        <x:v>45134</x:v>
      </x:c>
      <x:c r="G298" s="2" t="str">
        <x:v>Broad market</x:v>
      </x:c>
      <x:c r="H298" s="8" t="n">
        <x:f>'Model fits'!AA220</x:f>
        <x:v>10.29396240798679</x:v>
      </x:c>
      <x:c r="I298" s="8" t="n">
        <x:f>0</x:f>
        <x:v>0</x:v>
      </x:c>
      <x:c r="J298" s="8" t="n">
        <x:v>0</x:v>
      </x:c>
      <x:c r="K298" s="8" t="n">
        <x:f>H298-I298*J298</x:f>
        <x:v>10.29396240798679</x:v>
      </x:c>
      <x:c r="L298" s="8" t="n">
        <x:f>'PG facts'!D70</x:f>
        <x:v>9</x:v>
      </x:c>
      <x:c r="M298" s="8" t="n">
        <x:f>K298-L298</x:f>
        <x:v>1.2939624079867897</x:v>
      </x:c>
      <x:c r="N298" s="8" t="n">
        <x:f>M298^2</x:f>
        <x:v>1.6743387132829712</x:v>
      </x:c>
      <x:c r="O298" s="8" t="n">
        <x:f>ABS(M298)</x:f>
        <x:v>1.2939624079867897</x:v>
      </x:c>
      <x:c r="P298" s="7" t="n">
        <x:v>45135</x:v>
      </x:c>
    </x:row>
    <x:row r="299" ht="26" customHeight="1">
      <x:c r="A299" s="2"/>
      <x:c r="B299" s="2" t="n">
        <x:v>294</x:v>
      </x:c>
      <x:c r="C299" s="2" t="str">
        <x:v>Grooming / price_contribution</x:v>
      </x:c>
      <x:c r="D299" s="7" t="n">
        <x:v>45107</x:v>
      </x:c>
      <x:c r="E299" s="2" t="str">
        <x:v>Pre-earnings</x:v>
      </x:c>
      <x:c r="F299" s="7" t="n">
        <x:v>45134</x:v>
      </x:c>
      <x:c r="G299" s="2" t="str">
        <x:v>Broad lag 1</x:v>
      </x:c>
      <x:c r="H299" s="8" t="n">
        <x:f>'Model fits'!AA221</x:f>
        <x:v>10.952754806541545</x:v>
      </x:c>
      <x:c r="I299" s="8" t="n">
        <x:f>0</x:f>
        <x:v>0</x:v>
      </x:c>
      <x:c r="J299" s="8" t="n">
        <x:v>0</x:v>
      </x:c>
      <x:c r="K299" s="8" t="n">
        <x:f>H299-I299*J299</x:f>
        <x:v>10.952754806541545</x:v>
      </x:c>
      <x:c r="L299" s="8" t="n">
        <x:f>'PG facts'!D70</x:f>
        <x:v>9</x:v>
      </x:c>
      <x:c r="M299" s="8" t="n">
        <x:f>K299-L299</x:f>
        <x:v>1.9527548065415452</x:v>
      </x:c>
      <x:c r="N299" s="8" t="n">
        <x:f>M299^2</x:f>
        <x:v>3.813251334471108</x:v>
      </x:c>
      <x:c r="O299" s="8" t="n">
        <x:f>ABS(M299)</x:f>
        <x:v>1.9527548065415452</x:v>
      </x:c>
      <x:c r="P299" s="7" t="n">
        <x:v>45135</x:v>
      </x:c>
    </x:row>
    <x:row r="300" ht="26" customHeight="1">
      <x:c r="A300" s="2"/>
      <x:c r="B300" s="2" t="n">
        <x:v>295</x:v>
      </x:c>
      <x:c r="C300" s="2" t="str">
        <x:v>Grooming / price_contribution</x:v>
      </x:c>
      <x:c r="D300" s="7" t="n">
        <x:v>45107</x:v>
      </x:c>
      <x:c r="E300" s="2" t="str">
        <x:v>Pre-earnings</x:v>
      </x:c>
      <x:c r="F300" s="7" t="n">
        <x:v>45134</x:v>
      </x:c>
      <x:c r="G300" s="2" t="str">
        <x:v>Broad rolling 8</x:v>
      </x:c>
      <x:c r="H300" s="8" t="n">
        <x:f>'Model fits'!AA222</x:f>
        <x:v>10.255140440715763</x:v>
      </x:c>
      <x:c r="I300" s="8" t="n">
        <x:f>0</x:f>
        <x:v>0</x:v>
      </x:c>
      <x:c r="J300" s="8" t="n">
        <x:v>0</x:v>
      </x:c>
      <x:c r="K300" s="8" t="n">
        <x:f>H300-I300*J300</x:f>
        <x:v>10.255140440715763</x:v>
      </x:c>
      <x:c r="L300" s="8" t="n">
        <x:f>'PG facts'!D70</x:f>
        <x:v>9</x:v>
      </x:c>
      <x:c r="M300" s="8" t="n">
        <x:f>K300-L300</x:f>
        <x:v>1.2551404407157634</x:v>
      </x:c>
      <x:c r="N300" s="8" t="n">
        <x:f>M300^2</x:f>
        <x:v>1.5753775259201608</x:v>
      </x:c>
      <x:c r="O300" s="8" t="n">
        <x:f>ABS(M300)</x:f>
        <x:v>1.2551404407157634</x:v>
      </x:c>
      <x:c r="P300" s="7" t="n">
        <x:v>45135</x:v>
      </x:c>
    </x:row>
    <x:row r="301" ht="26" customHeight="1">
      <x:c r="A301" s="2"/>
      <x:c r="B301" s="2" t="n">
        <x:v>296</x:v>
      </x:c>
      <x:c r="C301" s="2" t="str">
        <x:v>Grooming / price_contribution</x:v>
      </x:c>
      <x:c r="D301" s="7" t="n">
        <x:v>45107</x:v>
      </x:c>
      <x:c r="E301" s="2" t="str">
        <x:v>Pre-earnings</x:v>
      </x:c>
      <x:c r="F301" s="7" t="n">
        <x:v>45134</x:v>
      </x:c>
      <x:c r="G301" s="2" t="str">
        <x:v>Own history</x:v>
      </x:c>
      <x:c r="H301" s="8" t="n">
        <x:f>'Model fits'!AA223</x:f>
        <x:v>10.73956594323873</x:v>
      </x:c>
      <x:c r="I301" s="8" t="n">
        <x:f>0</x:f>
        <x:v>0</x:v>
      </x:c>
      <x:c r="J301" s="8" t="n">
        <x:v>0</x:v>
      </x:c>
      <x:c r="K301" s="8" t="n">
        <x:f>H301-I301*J301</x:f>
        <x:v>10.73956594323873</x:v>
      </x:c>
      <x:c r="L301" s="8" t="n">
        <x:f>'PG facts'!D70</x:f>
        <x:v>9</x:v>
      </x:c>
      <x:c r="M301" s="8" t="n">
        <x:f>K301-L301</x:f>
        <x:v>1.7395659432387305</x:v>
      </x:c>
      <x:c r="N301" s="8" t="n">
        <x:f>M301^2</x:f>
        <x:v>3.026089670876054</x:v>
      </x:c>
      <x:c r="O301" s="8" t="n">
        <x:f>ABS(M301)</x:f>
        <x:v>1.7395659432387305</x:v>
      </x:c>
      <x:c r="P301" s="7" t="n">
        <x:v>45135</x:v>
      </x:c>
    </x:row>
    <x:row r="302" ht="26" customHeight="1">
      <x:c r="A302" s="2"/>
      <x:c r="B302" s="2" t="n">
        <x:v>297</x:v>
      </x:c>
      <x:c r="C302" s="2" t="str">
        <x:v>Grooming / price_contribution</x:v>
      </x:c>
      <x:c r="D302" s="7" t="n">
        <x:v>45199</x:v>
      </x:c>
      <x:c r="E302" s="2" t="str">
        <x:v>Origin</x:v>
      </x:c>
      <x:c r="F302" s="7" t="n">
        <x:v>45108</x:v>
      </x:c>
      <x:c r="G302" s="2" t="str">
        <x:v>Last actual</x:v>
      </x:c>
      <x:c r="H302" s="8" t="n">
        <x:f>AVERAGE('PG facts'!D63)</x:f>
        <x:v>10</x:v>
      </x:c>
      <x:c r="I302" s="8" t="n">
        <x:f>0</x:f>
        <x:v>0</x:v>
      </x:c>
      <x:c r="J302" s="8" t="n">
        <x:v>0</x:v>
      </x:c>
      <x:c r="K302" s="8" t="n">
        <x:f>H302-I302*J302</x:f>
        <x:v>10</x:v>
      </x:c>
      <x:c r="L302" s="8" t="n">
        <x:f>'PG facts'!D77</x:f>
        <x:v>9</x:v>
      </x:c>
      <x:c r="M302" s="8" t="n">
        <x:f>K302-L302</x:f>
        <x:v>1</x:v>
      </x:c>
      <x:c r="N302" s="8" t="n">
        <x:f>M302^2</x:f>
        <x:v>1</x:v>
      </x:c>
      <x:c r="O302" s="8" t="n">
        <x:f>ABS(M302)</x:f>
        <x:v>1</x:v>
      </x:c>
      <x:c r="P302" s="7" t="n">
        <x:v>45217</x:v>
      </x:c>
    </x:row>
    <x:row r="303" ht="26" customHeight="1">
      <x:c r="A303" s="2"/>
      <x:c r="B303" s="2" t="n">
        <x:v>298</x:v>
      </x:c>
      <x:c r="C303" s="2" t="str">
        <x:v>Grooming / price_contribution</x:v>
      </x:c>
      <x:c r="D303" s="7" t="n">
        <x:v>45199</x:v>
      </x:c>
      <x:c r="E303" s="2" t="str">
        <x:v>Origin</x:v>
      </x:c>
      <x:c r="F303" s="7" t="n">
        <x:v>45108</x:v>
      </x:c>
      <x:c r="G303" s="2" t="str">
        <x:v>Four-quarter mean</x:v>
      </x:c>
      <x:c r="H303" s="8" t="n">
        <x:f>AVERAGE('PG facts'!D42,'PG facts'!D49,'PG facts'!D56,'PG facts'!D63)</x:f>
        <x:v>8.75</x:v>
      </x:c>
      <x:c r="I303" s="8" t="n">
        <x:f>0</x:f>
        <x:v>0</x:v>
      </x:c>
      <x:c r="J303" s="8" t="n">
        <x:v>0</x:v>
      </x:c>
      <x:c r="K303" s="8" t="n">
        <x:f>H303-I303*J303</x:f>
        <x:v>8.75</x:v>
      </x:c>
      <x:c r="L303" s="8" t="n">
        <x:f>'PG facts'!D77</x:f>
        <x:v>9</x:v>
      </x:c>
      <x:c r="M303" s="8" t="n">
        <x:f>K303-L303</x:f>
        <x:v>-0.25</x:v>
      </x:c>
      <x:c r="N303" s="8" t="n">
        <x:f>M303^2</x:f>
        <x:v>0.0625</x:v>
      </x:c>
      <x:c r="O303" s="8" t="n">
        <x:f>ABS(M303)</x:f>
        <x:v>0.25</x:v>
      </x:c>
      <x:c r="P303" s="7" t="n">
        <x:v>45217</x:v>
      </x:c>
    </x:row>
    <x:row r="304" ht="26" customHeight="1">
      <x:c r="A304" s="2"/>
      <x:c r="B304" s="2" t="n">
        <x:v>299</x:v>
      </x:c>
      <x:c r="C304" s="2" t="str">
        <x:v>Grooming / price_contribution</x:v>
      </x:c>
      <x:c r="D304" s="7" t="n">
        <x:v>45199</x:v>
      </x:c>
      <x:c r="E304" s="2" t="str">
        <x:v>Origin</x:v>
      </x:c>
      <x:c r="F304" s="7" t="n">
        <x:v>45108</x:v>
      </x:c>
      <x:c r="G304" s="2" t="str">
        <x:v>Broad market</x:v>
      </x:c>
      <x:c r="H304" s="8" t="n">
        <x:f>'Model fits'!AA224</x:f>
        <x:v>10.143894755526427</x:v>
      </x:c>
      <x:c r="I304" s="8" t="n">
        <x:f>0</x:f>
        <x:v>0</x:v>
      </x:c>
      <x:c r="J304" s="8" t="n">
        <x:v>0</x:v>
      </x:c>
      <x:c r="K304" s="8" t="n">
        <x:f>H304-I304*J304</x:f>
        <x:v>10.143894755526427</x:v>
      </x:c>
      <x:c r="L304" s="8" t="n">
        <x:f>'PG facts'!D77</x:f>
        <x:v>9</x:v>
      </x:c>
      <x:c r="M304" s="8" t="n">
        <x:f>K304-L304</x:f>
        <x:v>1.1438947555264267</x:v>
      </x:c>
      <x:c r="N304" s="8" t="n">
        <x:f>M304^2</x:f>
        <x:v>1.3084952117208635</x:v>
      </x:c>
      <x:c r="O304" s="8" t="n">
        <x:f>ABS(M304)</x:f>
        <x:v>1.1438947555264267</x:v>
      </x:c>
      <x:c r="P304" s="7" t="n">
        <x:v>45217</x:v>
      </x:c>
    </x:row>
    <x:row r="305" ht="26" customHeight="1">
      <x:c r="A305" s="2"/>
      <x:c r="B305" s="2" t="n">
        <x:v>300</x:v>
      </x:c>
      <x:c r="C305" s="2" t="str">
        <x:v>Grooming / price_contribution</x:v>
      </x:c>
      <x:c r="D305" s="7" t="n">
        <x:v>45199</x:v>
      </x:c>
      <x:c r="E305" s="2" t="str">
        <x:v>Origin</x:v>
      </x:c>
      <x:c r="F305" s="7" t="n">
        <x:v>45108</x:v>
      </x:c>
      <x:c r="G305" s="2" t="str">
        <x:v>Broad rolling 8</x:v>
      </x:c>
      <x:c r="H305" s="8" t="n">
        <x:f>'Model fits'!AA225</x:f>
        <x:v>10.1094575431673</x:v>
      </x:c>
      <x:c r="I305" s="8" t="n">
        <x:f>0</x:f>
        <x:v>0</x:v>
      </x:c>
      <x:c r="J305" s="8" t="n">
        <x:v>0</x:v>
      </x:c>
      <x:c r="K305" s="8" t="n">
        <x:f>H305-I305*J305</x:f>
        <x:v>10.1094575431673</x:v>
      </x:c>
      <x:c r="L305" s="8" t="n">
        <x:f>'PG facts'!D77</x:f>
        <x:v>9</x:v>
      </x:c>
      <x:c r="M305" s="8" t="n">
        <x:f>K305-L305</x:f>
        <x:v>1.1094575431673004</x:v>
      </x:c>
      <x:c r="N305" s="8" t="n">
        <x:f>M305^2</x:f>
        <x:v>1.2308960400908222</x:v>
      </x:c>
      <x:c r="O305" s="8" t="n">
        <x:f>ABS(M305)</x:f>
        <x:v>1.1094575431673004</x:v>
      </x:c>
      <x:c r="P305" s="7" t="n">
        <x:v>45217</x:v>
      </x:c>
    </x:row>
    <x:row r="306" ht="26" customHeight="1">
      <x:c r="A306" s="2"/>
      <x:c r="B306" s="2" t="n">
        <x:v>301</x:v>
      </x:c>
      <x:c r="C306" s="2" t="str">
        <x:v>Grooming / price_contribution</x:v>
      </x:c>
      <x:c r="D306" s="7" t="n">
        <x:v>45199</x:v>
      </x:c>
      <x:c r="E306" s="2" t="str">
        <x:v>Prior report</x:v>
      </x:c>
      <x:c r="F306" s="7" t="n">
        <x:v>45135</x:v>
      </x:c>
      <x:c r="G306" s="2" t="str">
        <x:v>Last actual</x:v>
      </x:c>
      <x:c r="H306" s="8" t="n">
        <x:f>AVERAGE('PG facts'!D70)</x:f>
        <x:v>9</x:v>
      </x:c>
      <x:c r="I306" s="8" t="n">
        <x:f>0</x:f>
        <x:v>0</x:v>
      </x:c>
      <x:c r="J306" s="8" t="n">
        <x:v>0</x:v>
      </x:c>
      <x:c r="K306" s="8" t="n">
        <x:f>H306-I306*J306</x:f>
        <x:v>9</x:v>
      </x:c>
      <x:c r="L306" s="8" t="n">
        <x:f>'PG facts'!D77</x:f>
        <x:v>9</x:v>
      </x:c>
      <x:c r="M306" s="8" t="n">
        <x:f>K306-L306</x:f>
        <x:v>0</x:v>
      </x:c>
      <x:c r="N306" s="8" t="n">
        <x:f>M306^2</x:f>
        <x:v>0</x:v>
      </x:c>
      <x:c r="O306" s="8" t="n">
        <x:f>ABS(M306)</x:f>
        <x:v>0</x:v>
      </x:c>
      <x:c r="P306" s="7" t="n">
        <x:v>45217</x:v>
      </x:c>
    </x:row>
    <x:row r="307" ht="26" customHeight="1">
      <x:c r="A307" s="2"/>
      <x:c r="B307" s="2" t="n">
        <x:v>302</x:v>
      </x:c>
      <x:c r="C307" s="2" t="str">
        <x:v>Grooming / price_contribution</x:v>
      </x:c>
      <x:c r="D307" s="7" t="n">
        <x:v>45199</x:v>
      </x:c>
      <x:c r="E307" s="2" t="str">
        <x:v>Prior report</x:v>
      </x:c>
      <x:c r="F307" s="7" t="n">
        <x:v>45135</x:v>
      </x:c>
      <x:c r="G307" s="2" t="str">
        <x:v>Four-quarter mean</x:v>
      </x:c>
      <x:c r="H307" s="8" t="n">
        <x:f>AVERAGE('PG facts'!D49,'PG facts'!D56,'PG facts'!D63,'PG facts'!D70)</x:f>
        <x:v>9.5</x:v>
      </x:c>
      <x:c r="I307" s="8" t="n">
        <x:f>0</x:f>
        <x:v>0</x:v>
      </x:c>
      <x:c r="J307" s="8" t="n">
        <x:v>0</x:v>
      </x:c>
      <x:c r="K307" s="8" t="n">
        <x:f>H307-I307*J307</x:f>
        <x:v>9.5</x:v>
      </x:c>
      <x:c r="L307" s="8" t="n">
        <x:f>'PG facts'!D77</x:f>
        <x:v>9</x:v>
      </x:c>
      <x:c r="M307" s="8" t="n">
        <x:f>K307-L307</x:f>
        <x:v>0.5</x:v>
      </x:c>
      <x:c r="N307" s="8" t="n">
        <x:f>M307^2</x:f>
        <x:v>0.25</x:v>
      </x:c>
      <x:c r="O307" s="8" t="n">
        <x:f>ABS(M307)</x:f>
        <x:v>0.5</x:v>
      </x:c>
      <x:c r="P307" s="7" t="n">
        <x:v>45217</x:v>
      </x:c>
    </x:row>
    <x:row r="308" ht="26" customHeight="1">
      <x:c r="A308" s="2"/>
      <x:c r="B308" s="2" t="n">
        <x:v>303</x:v>
      </x:c>
      <x:c r="C308" s="2" t="str">
        <x:v>Grooming / price_contribution</x:v>
      </x:c>
      <x:c r="D308" s="7" t="n">
        <x:v>45199</x:v>
      </x:c>
      <x:c r="E308" s="2" t="str">
        <x:v>Prior report</x:v>
      </x:c>
      <x:c r="F308" s="7" t="n">
        <x:v>45135</x:v>
      </x:c>
      <x:c r="G308" s="2" t="str">
        <x:v>Broad market</x:v>
      </x:c>
      <x:c r="H308" s="8" t="n">
        <x:f>'Model fits'!AA226</x:f>
        <x:v>9.956374781601161</x:v>
      </x:c>
      <x:c r="I308" s="8" t="n">
        <x:f>0</x:f>
        <x:v>0</x:v>
      </x:c>
      <x:c r="J308" s="8" t="n">
        <x:v>0</x:v>
      </x:c>
      <x:c r="K308" s="8" t="n">
        <x:f>H308-I308*J308</x:f>
        <x:v>9.956374781601161</x:v>
      </x:c>
      <x:c r="L308" s="8" t="n">
        <x:f>'PG facts'!D77</x:f>
        <x:v>9</x:v>
      </x:c>
      <x:c r="M308" s="8" t="n">
        <x:f>K308-L308</x:f>
        <x:v>0.956374781601161</x:v>
      </x:c>
      <x:c r="N308" s="8" t="n">
        <x:f>M308^2</x:f>
        <x:v>0.9146527228826683</x:v>
      </x:c>
      <x:c r="O308" s="8" t="n">
        <x:f>ABS(M308)</x:f>
        <x:v>0.956374781601161</x:v>
      </x:c>
      <x:c r="P308" s="7" t="n">
        <x:v>45217</x:v>
      </x:c>
    </x:row>
    <x:row r="309" ht="26" customHeight="1">
      <x:c r="A309" s="2"/>
      <x:c r="B309" s="2" t="n">
        <x:v>304</x:v>
      </x:c>
      <x:c r="C309" s="2" t="str">
        <x:v>Grooming / price_contribution</x:v>
      </x:c>
      <x:c r="D309" s="7" t="n">
        <x:v>45199</x:v>
      </x:c>
      <x:c r="E309" s="2" t="str">
        <x:v>Prior report</x:v>
      </x:c>
      <x:c r="F309" s="7" t="n">
        <x:v>45135</x:v>
      </x:c>
      <x:c r="G309" s="2" t="str">
        <x:v>Broad lag 1</x:v>
      </x:c>
      <x:c r="H309" s="8" t="n">
        <x:f>'Model fits'!AA227</x:f>
        <x:v>10.583962820662974</x:v>
      </x:c>
      <x:c r="I309" s="8" t="n">
        <x:f>0</x:f>
        <x:v>0</x:v>
      </x:c>
      <x:c r="J309" s="8" t="n">
        <x:v>0</x:v>
      </x:c>
      <x:c r="K309" s="8" t="n">
        <x:f>H309-I309*J309</x:f>
        <x:v>10.583962820662974</x:v>
      </x:c>
      <x:c r="L309" s="8" t="n">
        <x:f>'PG facts'!D77</x:f>
        <x:v>9</x:v>
      </x:c>
      <x:c r="M309" s="8" t="n">
        <x:f>K309-L309</x:f>
        <x:v>1.5839628206629737</x:v>
      </x:c>
      <x:c r="N309" s="8" t="n">
        <x:f>M309^2</x:f>
        <x:v>2.5089382172426036</x:v>
      </x:c>
      <x:c r="O309" s="8" t="n">
        <x:f>ABS(M309)</x:f>
        <x:v>1.5839628206629737</x:v>
      </x:c>
      <x:c r="P309" s="7" t="n">
        <x:v>45217</x:v>
      </x:c>
    </x:row>
    <x:row r="310" ht="26" customHeight="1">
      <x:c r="A310" s="2"/>
      <x:c r="B310" s="2" t="n">
        <x:v>305</x:v>
      </x:c>
      <x:c r="C310" s="2" t="str">
        <x:v>Grooming / price_contribution</x:v>
      </x:c>
      <x:c r="D310" s="7" t="n">
        <x:v>45199</x:v>
      </x:c>
      <x:c r="E310" s="2" t="str">
        <x:v>Prior report</x:v>
      </x:c>
      <x:c r="F310" s="7" t="n">
        <x:v>45135</x:v>
      </x:c>
      <x:c r="G310" s="2" t="str">
        <x:v>Broad rolling 8</x:v>
      </x:c>
      <x:c r="H310" s="8" t="n">
        <x:f>'Model fits'!AA228</x:f>
        <x:v>9.874886753443825</x:v>
      </x:c>
      <x:c r="I310" s="8" t="n">
        <x:f>0</x:f>
        <x:v>0</x:v>
      </x:c>
      <x:c r="J310" s="8" t="n">
        <x:v>0</x:v>
      </x:c>
      <x:c r="K310" s="8" t="n">
        <x:f>H310-I310*J310</x:f>
        <x:v>9.874886753443825</x:v>
      </x:c>
      <x:c r="L310" s="8" t="n">
        <x:f>'PG facts'!D77</x:f>
        <x:v>9</x:v>
      </x:c>
      <x:c r="M310" s="8" t="n">
        <x:f>K310-L310</x:f>
        <x:v>0.8748867534438247</x:v>
      </x:c>
      <x:c r="N310" s="8" t="n">
        <x:f>M310^2</x:f>
        <x:v>0.7654268313514757</x:v>
      </x:c>
      <x:c r="O310" s="8" t="n">
        <x:f>ABS(M310)</x:f>
        <x:v>0.8748867534438247</x:v>
      </x:c>
      <x:c r="P310" s="7" t="n">
        <x:v>45217</x:v>
      </x:c>
    </x:row>
    <x:row r="311" ht="26" customHeight="1">
      <x:c r="A311" s="2"/>
      <x:c r="B311" s="2" t="n">
        <x:v>306</x:v>
      </x:c>
      <x:c r="C311" s="2" t="str">
        <x:v>Grooming / price_contribution</x:v>
      </x:c>
      <x:c r="D311" s="7" t="n">
        <x:v>45199</x:v>
      </x:c>
      <x:c r="E311" s="2" t="str">
        <x:v>Prior report</x:v>
      </x:c>
      <x:c r="F311" s="7" t="n">
        <x:v>45135</x:v>
      </x:c>
      <x:c r="G311" s="2" t="str">
        <x:v>Own history</x:v>
      </x:c>
      <x:c r="H311" s="8" t="n">
        <x:f>'Model fits'!AA229</x:f>
        <x:v>9.337962962962962</x:v>
      </x:c>
      <x:c r="I311" s="8" t="n">
        <x:f>0</x:f>
        <x:v>0</x:v>
      </x:c>
      <x:c r="J311" s="8" t="n">
        <x:v>0</x:v>
      </x:c>
      <x:c r="K311" s="8" t="n">
        <x:f>H311-I311*J311</x:f>
        <x:v>9.337962962962962</x:v>
      </x:c>
      <x:c r="L311" s="8" t="n">
        <x:f>'PG facts'!D77</x:f>
        <x:v>9</x:v>
      </x:c>
      <x:c r="M311" s="8" t="n">
        <x:f>K311-L311</x:f>
        <x:v>0.3379629629629619</x:v>
      </x:c>
      <x:c r="N311" s="8" t="n">
        <x:f>M311^2</x:f>
        <x:v>0.11421896433470437</x:v>
      </x:c>
      <x:c r="O311" s="8" t="n">
        <x:f>ABS(M311)</x:f>
        <x:v>0.3379629629629619</x:v>
      </x:c>
      <x:c r="P311" s="7" t="n">
        <x:v>45217</x:v>
      </x:c>
    </x:row>
    <x:row r="312" ht="26" customHeight="1">
      <x:c r="A312" s="2"/>
      <x:c r="B312" s="2" t="n">
        <x:v>307</x:v>
      </x:c>
      <x:c r="C312" s="2" t="str">
        <x:v>Grooming / price_contribution</x:v>
      </x:c>
      <x:c r="D312" s="7" t="n">
        <x:v>45199</x:v>
      </x:c>
      <x:c r="E312" s="2" t="str">
        <x:v>Pre-earnings</x:v>
      </x:c>
      <x:c r="F312" s="7" t="n">
        <x:v>45216</x:v>
      </x:c>
      <x:c r="G312" s="2" t="str">
        <x:v>Last actual</x:v>
      </x:c>
      <x:c r="H312" s="8" t="n">
        <x:f>AVERAGE('PG facts'!D70)</x:f>
        <x:v>9</x:v>
      </x:c>
      <x:c r="I312" s="8" t="n">
        <x:f>0</x:f>
        <x:v>0</x:v>
      </x:c>
      <x:c r="J312" s="8" t="n">
        <x:v>0</x:v>
      </x:c>
      <x:c r="K312" s="8" t="n">
        <x:f>H312-I312*J312</x:f>
        <x:v>9</x:v>
      </x:c>
      <x:c r="L312" s="8" t="n">
        <x:f>'PG facts'!D77</x:f>
        <x:v>9</x:v>
      </x:c>
      <x:c r="M312" s="8" t="n">
        <x:f>K312-L312</x:f>
        <x:v>0</x:v>
      </x:c>
      <x:c r="N312" s="8" t="n">
        <x:f>M312^2</x:f>
        <x:v>0</x:v>
      </x:c>
      <x:c r="O312" s="8" t="n">
        <x:f>ABS(M312)</x:f>
        <x:v>0</x:v>
      </x:c>
      <x:c r="P312" s="7" t="n">
        <x:v>45217</x:v>
      </x:c>
    </x:row>
    <x:row r="313" ht="26" customHeight="1">
      <x:c r="A313" s="2"/>
      <x:c r="B313" s="2" t="n">
        <x:v>308</x:v>
      </x:c>
      <x:c r="C313" s="2" t="str">
        <x:v>Grooming / price_contribution</x:v>
      </x:c>
      <x:c r="D313" s="7" t="n">
        <x:v>45199</x:v>
      </x:c>
      <x:c r="E313" s="2" t="str">
        <x:v>Pre-earnings</x:v>
      </x:c>
      <x:c r="F313" s="7" t="n">
        <x:v>45216</x:v>
      </x:c>
      <x:c r="G313" s="2" t="str">
        <x:v>Four-quarter mean</x:v>
      </x:c>
      <x:c r="H313" s="8" t="n">
        <x:f>AVERAGE('PG facts'!D49,'PG facts'!D56,'PG facts'!D63,'PG facts'!D70)</x:f>
        <x:v>9.5</x:v>
      </x:c>
      <x:c r="I313" s="8" t="n">
        <x:f>0</x:f>
        <x:v>0</x:v>
      </x:c>
      <x:c r="J313" s="8" t="n">
        <x:v>0</x:v>
      </x:c>
      <x:c r="K313" s="8" t="n">
        <x:f>H313-I313*J313</x:f>
        <x:v>9.5</x:v>
      </x:c>
      <x:c r="L313" s="8" t="n">
        <x:f>'PG facts'!D77</x:f>
        <x:v>9</x:v>
      </x:c>
      <x:c r="M313" s="8" t="n">
        <x:f>K313-L313</x:f>
        <x:v>0.5</x:v>
      </x:c>
      <x:c r="N313" s="8" t="n">
        <x:f>M313^2</x:f>
        <x:v>0.25</x:v>
      </x:c>
      <x:c r="O313" s="8" t="n">
        <x:f>ABS(M313)</x:f>
        <x:v>0.5</x:v>
      </x:c>
      <x:c r="P313" s="7" t="n">
        <x:v>45217</x:v>
      </x:c>
    </x:row>
    <x:row r="314" ht="26" customHeight="1">
      <x:c r="A314" s="2"/>
      <x:c r="B314" s="2" t="n">
        <x:v>309</x:v>
      </x:c>
      <x:c r="C314" s="2" t="str">
        <x:v>Grooming / price_contribution</x:v>
      </x:c>
      <x:c r="D314" s="7" t="n">
        <x:v>45199</x:v>
      </x:c>
      <x:c r="E314" s="2" t="str">
        <x:v>Pre-earnings</x:v>
      </x:c>
      <x:c r="F314" s="7" t="n">
        <x:v>45216</x:v>
      </x:c>
      <x:c r="G314" s="2" t="str">
        <x:v>Broad market</x:v>
      </x:c>
      <x:c r="H314" s="8" t="n">
        <x:f>'Model fits'!AA230</x:f>
        <x:v>8.431078022622081</x:v>
      </x:c>
      <x:c r="I314" s="8" t="n">
        <x:f>0</x:f>
        <x:v>0</x:v>
      </x:c>
      <x:c r="J314" s="8" t="n">
        <x:v>0</x:v>
      </x:c>
      <x:c r="K314" s="8" t="n">
        <x:f>H314-I314*J314</x:f>
        <x:v>8.431078022622081</x:v>
      </x:c>
      <x:c r="L314" s="8" t="n">
        <x:f>'PG facts'!D77</x:f>
        <x:v>9</x:v>
      </x:c>
      <x:c r="M314" s="8" t="n">
        <x:f>K314-L314</x:f>
        <x:v>-0.5689219773779186</x:v>
      </x:c>
      <x:c r="N314" s="8" t="n">
        <x:f>M314^2</x:f>
        <x:v>0.32367221634360094</x:v>
      </x:c>
      <x:c r="O314" s="8" t="n">
        <x:f>ABS(M314)</x:f>
        <x:v>0.5689219773779186</x:v>
      </x:c>
      <x:c r="P314" s="7" t="n">
        <x:v>45217</x:v>
      </x:c>
    </x:row>
    <x:row r="315" ht="26" customHeight="1">
      <x:c r="A315" s="2"/>
      <x:c r="B315" s="2" t="n">
        <x:v>310</x:v>
      </x:c>
      <x:c r="C315" s="2" t="str">
        <x:v>Grooming / price_contribution</x:v>
      </x:c>
      <x:c r="D315" s="7" t="n">
        <x:v>45199</x:v>
      </x:c>
      <x:c r="E315" s="2" t="str">
        <x:v>Pre-earnings</x:v>
      </x:c>
      <x:c r="F315" s="7" t="n">
        <x:v>45216</x:v>
      </x:c>
      <x:c r="G315" s="2" t="str">
        <x:v>Broad lag 1</x:v>
      </x:c>
      <x:c r="H315" s="8" t="n">
        <x:f>'Model fits'!AA231</x:f>
        <x:v>10.583962820662974</x:v>
      </x:c>
      <x:c r="I315" s="8" t="n">
        <x:f>0</x:f>
        <x:v>0</x:v>
      </x:c>
      <x:c r="J315" s="8" t="n">
        <x:v>0</x:v>
      </x:c>
      <x:c r="K315" s="8" t="n">
        <x:f>H315-I315*J315</x:f>
        <x:v>10.583962820662974</x:v>
      </x:c>
      <x:c r="L315" s="8" t="n">
        <x:f>'PG facts'!D77</x:f>
        <x:v>9</x:v>
      </x:c>
      <x:c r="M315" s="8" t="n">
        <x:f>K315-L315</x:f>
        <x:v>1.5839628206629737</x:v>
      </x:c>
      <x:c r="N315" s="8" t="n">
        <x:f>M315^2</x:f>
        <x:v>2.5089382172426036</x:v>
      </x:c>
      <x:c r="O315" s="8" t="n">
        <x:f>ABS(M315)</x:f>
        <x:v>1.5839628206629737</x:v>
      </x:c>
      <x:c r="P315" s="7" t="n">
        <x:v>45217</x:v>
      </x:c>
    </x:row>
    <x:row r="316" ht="26" customHeight="1">
      <x:c r="A316" s="2"/>
      <x:c r="B316" s="2" t="n">
        <x:v>311</x:v>
      </x:c>
      <x:c r="C316" s="2" t="str">
        <x:v>Grooming / price_contribution</x:v>
      </x:c>
      <x:c r="D316" s="7" t="n">
        <x:v>45199</x:v>
      </x:c>
      <x:c r="E316" s="2" t="str">
        <x:v>Pre-earnings</x:v>
      </x:c>
      <x:c r="F316" s="7" t="n">
        <x:v>45216</x:v>
      </x:c>
      <x:c r="G316" s="2" t="str">
        <x:v>Broad rolling 8</x:v>
      </x:c>
      <x:c r="H316" s="8" t="n">
        <x:f>'Model fits'!AA232</x:f>
        <x:v>8.484923055421167</x:v>
      </x:c>
      <x:c r="I316" s="8" t="n">
        <x:f>0</x:f>
        <x:v>0</x:v>
      </x:c>
      <x:c r="J316" s="8" t="n">
        <x:v>0</x:v>
      </x:c>
      <x:c r="K316" s="8" t="n">
        <x:f>H316-I316*J316</x:f>
        <x:v>8.484923055421167</x:v>
      </x:c>
      <x:c r="L316" s="8" t="n">
        <x:f>'PG facts'!D77</x:f>
        <x:v>9</x:v>
      </x:c>
      <x:c r="M316" s="8" t="n">
        <x:f>K316-L316</x:f>
        <x:v>-0.5150769445788335</x:v>
      </x:c>
      <x:c r="N316" s="8" t="n">
        <x:f>M316^2</x:f>
        <x:v>0.2653042588366667</x:v>
      </x:c>
      <x:c r="O316" s="8" t="n">
        <x:f>ABS(M316)</x:f>
        <x:v>0.5150769445788335</x:v>
      </x:c>
      <x:c r="P316" s="7" t="n">
        <x:v>45217</x:v>
      </x:c>
    </x:row>
    <x:row r="317" ht="26" customHeight="1">
      <x:c r="A317" s="2"/>
      <x:c r="B317" s="2" t="n">
        <x:v>312</x:v>
      </x:c>
      <x:c r="C317" s="2" t="str">
        <x:v>Grooming / price_contribution</x:v>
      </x:c>
      <x:c r="D317" s="7" t="n">
        <x:v>45199</x:v>
      </x:c>
      <x:c r="E317" s="2" t="str">
        <x:v>Pre-earnings</x:v>
      </x:c>
      <x:c r="F317" s="7" t="n">
        <x:v>45216</x:v>
      </x:c>
      <x:c r="G317" s="2" t="str">
        <x:v>Own history</x:v>
      </x:c>
      <x:c r="H317" s="8" t="n">
        <x:f>'Model fits'!AA233</x:f>
        <x:v>9.337962962962962</x:v>
      </x:c>
      <x:c r="I317" s="8" t="n">
        <x:f>0</x:f>
        <x:v>0</x:v>
      </x:c>
      <x:c r="J317" s="8" t="n">
        <x:v>0</x:v>
      </x:c>
      <x:c r="K317" s="8" t="n">
        <x:f>H317-I317*J317</x:f>
        <x:v>9.337962962962962</x:v>
      </x:c>
      <x:c r="L317" s="8" t="n">
        <x:f>'PG facts'!D77</x:f>
        <x:v>9</x:v>
      </x:c>
      <x:c r="M317" s="8" t="n">
        <x:f>K317-L317</x:f>
        <x:v>0.3379629629629619</x:v>
      </x:c>
      <x:c r="N317" s="8" t="n">
        <x:f>M317^2</x:f>
        <x:v>0.11421896433470437</x:v>
      </x:c>
      <x:c r="O317" s="8" t="n">
        <x:f>ABS(M317)</x:f>
        <x:v>0.3379629629629619</x:v>
      </x:c>
      <x:c r="P317" s="7" t="n">
        <x:v>45217</x:v>
      </x:c>
    </x:row>
    <x:row r="318" ht="26" customHeight="1">
      <x:c r="A318" s="2"/>
      <x:c r="B318" s="2" t="n">
        <x:v>313</x:v>
      </x:c>
      <x:c r="C318" s="2" t="str">
        <x:v>Grooming / price_contribution</x:v>
      </x:c>
      <x:c r="D318" s="7" t="n">
        <x:v>45291</x:v>
      </x:c>
      <x:c r="E318" s="2" t="str">
        <x:v>Origin</x:v>
      </x:c>
      <x:c r="F318" s="7" t="n">
        <x:v>45200</x:v>
      </x:c>
      <x:c r="G318" s="2" t="str">
        <x:v>Last actual</x:v>
      </x:c>
      <x:c r="H318" s="8" t="n">
        <x:f>AVERAGE('PG facts'!D70)</x:f>
        <x:v>9</x:v>
      </x:c>
      <x:c r="I318" s="8" t="n">
        <x:f>0</x:f>
        <x:v>0</x:v>
      </x:c>
      <x:c r="J318" s="8" t="n">
        <x:v>0</x:v>
      </x:c>
      <x:c r="K318" s="8" t="n">
        <x:f>H318-I318*J318</x:f>
        <x:v>9</x:v>
      </x:c>
      <x:c r="L318" s="8" t="n">
        <x:f>'PG facts'!D84</x:f>
        <x:v>7</x:v>
      </x:c>
      <x:c r="M318" s="8" t="n">
        <x:f>K318-L318</x:f>
        <x:v>2</x:v>
      </x:c>
      <x:c r="N318" s="8" t="n">
        <x:f>M318^2</x:f>
        <x:v>4</x:v>
      </x:c>
      <x:c r="O318" s="8" t="n">
        <x:f>ABS(M318)</x:f>
        <x:v>2</x:v>
      </x:c>
      <x:c r="P318" s="7" t="n">
        <x:v>45314</x:v>
      </x:c>
    </x:row>
    <x:row r="319" ht="26" customHeight="1">
      <x:c r="A319" s="2"/>
      <x:c r="B319" s="2" t="n">
        <x:v>314</x:v>
      </x:c>
      <x:c r="C319" s="2" t="str">
        <x:v>Grooming / price_contribution</x:v>
      </x:c>
      <x:c r="D319" s="7" t="n">
        <x:v>45291</x:v>
      </x:c>
      <x:c r="E319" s="2" t="str">
        <x:v>Origin</x:v>
      </x:c>
      <x:c r="F319" s="7" t="n">
        <x:v>45200</x:v>
      </x:c>
      <x:c r="G319" s="2" t="str">
        <x:v>Four-quarter mean</x:v>
      </x:c>
      <x:c r="H319" s="8" t="n">
        <x:f>AVERAGE('PG facts'!D49,'PG facts'!D56,'PG facts'!D63,'PG facts'!D70)</x:f>
        <x:v>9.5</x:v>
      </x:c>
      <x:c r="I319" s="8" t="n">
        <x:f>0</x:f>
        <x:v>0</x:v>
      </x:c>
      <x:c r="J319" s="8" t="n">
        <x:v>0</x:v>
      </x:c>
      <x:c r="K319" s="8" t="n">
        <x:f>H319-I319*J319</x:f>
        <x:v>9.5</x:v>
      </x:c>
      <x:c r="L319" s="8" t="n">
        <x:f>'PG facts'!D84</x:f>
        <x:v>7</x:v>
      </x:c>
      <x:c r="M319" s="8" t="n">
        <x:f>K319-L319</x:f>
        <x:v>2.5</x:v>
      </x:c>
      <x:c r="N319" s="8" t="n">
        <x:f>M319^2</x:f>
        <x:v>6.25</x:v>
      </x:c>
      <x:c r="O319" s="8" t="n">
        <x:f>ABS(M319)</x:f>
        <x:v>2.5</x:v>
      </x:c>
      <x:c r="P319" s="7" t="n">
        <x:v>45314</x:v>
      </x:c>
    </x:row>
    <x:row r="320" ht="26" customHeight="1">
      <x:c r="A320" s="2"/>
      <x:c r="B320" s="2" t="n">
        <x:v>315</x:v>
      </x:c>
      <x:c r="C320" s="2" t="str">
        <x:v>Grooming / price_contribution</x:v>
      </x:c>
      <x:c r="D320" s="7" t="n">
        <x:v>45291</x:v>
      </x:c>
      <x:c r="E320" s="2" t="str">
        <x:v>Origin</x:v>
      </x:c>
      <x:c r="F320" s="7" t="n">
        <x:v>45200</x:v>
      </x:c>
      <x:c r="G320" s="2" t="str">
        <x:v>Broad market</x:v>
      </x:c>
      <x:c r="H320" s="8" t="n">
        <x:f>'Model fits'!AA234</x:f>
        <x:v>9.037064180161718</x:v>
      </x:c>
      <x:c r="I320" s="8" t="n">
        <x:f>0</x:f>
        <x:v>0</x:v>
      </x:c>
      <x:c r="J320" s="8" t="n">
        <x:v>0</x:v>
      </x:c>
      <x:c r="K320" s="8" t="n">
        <x:f>H320-I320*J320</x:f>
        <x:v>9.037064180161718</x:v>
      </x:c>
      <x:c r="L320" s="8" t="n">
        <x:f>'PG facts'!D84</x:f>
        <x:v>7</x:v>
      </x:c>
      <x:c r="M320" s="8" t="n">
        <x:f>K320-L320</x:f>
        <x:v>2.0370641801617175</x:v>
      </x:c>
      <x:c r="N320" s="8" t="n">
        <x:f>M320^2</x:f>
        <x:v>4.14963047409793</x:v>
      </x:c>
      <x:c r="O320" s="8" t="n">
        <x:f>ABS(M320)</x:f>
        <x:v>2.0370641801617175</x:v>
      </x:c>
      <x:c r="P320" s="7" t="n">
        <x:v>45314</x:v>
      </x:c>
    </x:row>
    <x:row r="321" ht="26" customHeight="1">
      <x:c r="A321" s="2"/>
      <x:c r="B321" s="2" t="n">
        <x:v>316</x:v>
      </x:c>
      <x:c r="C321" s="2" t="str">
        <x:v>Grooming / price_contribution</x:v>
      </x:c>
      <x:c r="D321" s="7" t="n">
        <x:v>45291</x:v>
      </x:c>
      <x:c r="E321" s="2" t="str">
        <x:v>Origin</x:v>
      </x:c>
      <x:c r="F321" s="7" t="n">
        <x:v>45200</x:v>
      </x:c>
      <x:c r="G321" s="2" t="str">
        <x:v>Broad rolling 8</x:v>
      </x:c>
      <x:c r="H321" s="8" t="n">
        <x:f>'Model fits'!AA235</x:f>
        <x:v>9.037142651723268</x:v>
      </x:c>
      <x:c r="I321" s="8" t="n">
        <x:f>0</x:f>
        <x:v>0</x:v>
      </x:c>
      <x:c r="J321" s="8" t="n">
        <x:v>0</x:v>
      </x:c>
      <x:c r="K321" s="8" t="n">
        <x:f>H321-I321*J321</x:f>
        <x:v>9.037142651723268</x:v>
      </x:c>
      <x:c r="L321" s="8" t="n">
        <x:f>'PG facts'!D84</x:f>
        <x:v>7</x:v>
      </x:c>
      <x:c r="M321" s="8" t="n">
        <x:f>K321-L321</x:f>
        <x:v>2.0371426517232685</x:v>
      </x:c>
      <x:c r="N321" s="8" t="n">
        <x:f>M321^2</x:f>
        <x:v>4.14995018347011</x:v>
      </x:c>
      <x:c r="O321" s="8" t="n">
        <x:f>ABS(M321)</x:f>
        <x:v>2.0371426517232685</x:v>
      </x:c>
      <x:c r="P321" s="7" t="n">
        <x:v>45314</x:v>
      </x:c>
    </x:row>
    <x:row r="322" ht="26" customHeight="1">
      <x:c r="A322" s="2"/>
      <x:c r="B322" s="2" t="n">
        <x:v>317</x:v>
      </x:c>
      <x:c r="C322" s="2" t="str">
        <x:v>Grooming / price_contribution</x:v>
      </x:c>
      <x:c r="D322" s="7" t="n">
        <x:v>45291</x:v>
      </x:c>
      <x:c r="E322" s="2" t="str">
        <x:v>Origin</x:v>
      </x:c>
      <x:c r="F322" s="7" t="n">
        <x:v>45200</x:v>
      </x:c>
      <x:c r="G322" s="2" t="str">
        <x:v>Own history</x:v>
      </x:c>
      <x:c r="H322" s="8" t="n">
        <x:f>'Model fits'!AA236</x:f>
        <x:v>9.79465776293823</x:v>
      </x:c>
      <x:c r="I322" s="8" t="n">
        <x:f>0</x:f>
        <x:v>0</x:v>
      </x:c>
      <x:c r="J322" s="8" t="n">
        <x:v>0</x:v>
      </x:c>
      <x:c r="K322" s="8" t="n">
        <x:f>H322-I322*J322</x:f>
        <x:v>9.79465776293823</x:v>
      </x:c>
      <x:c r="L322" s="8" t="n">
        <x:f>'PG facts'!D84</x:f>
        <x:v>7</x:v>
      </x:c>
      <x:c r="M322" s="8" t="n">
        <x:f>K322-L322</x:f>
        <x:v>2.7946577629382308</x:v>
      </x:c>
      <x:c r="N322" s="8" t="n">
        <x:f>M322^2</x:f>
        <x:v>7.810112011950916</x:v>
      </x:c>
      <x:c r="O322" s="8" t="n">
        <x:f>ABS(M322)</x:f>
        <x:v>2.7946577629382308</x:v>
      </x:c>
      <x:c r="P322" s="7" t="n">
        <x:v>45314</x:v>
      </x:c>
    </x:row>
    <x:row r="323" ht="26" customHeight="1">
      <x:c r="A323" s="2"/>
      <x:c r="B323" s="2" t="n">
        <x:v>318</x:v>
      </x:c>
      <x:c r="C323" s="2" t="str">
        <x:v>Grooming / price_contribution</x:v>
      </x:c>
      <x:c r="D323" s="7" t="n">
        <x:v>45291</x:v>
      </x:c>
      <x:c r="E323" s="2" t="str">
        <x:v>Prior report</x:v>
      </x:c>
      <x:c r="F323" s="7" t="n">
        <x:v>45217</x:v>
      </x:c>
      <x:c r="G323" s="2" t="str">
        <x:v>Last actual</x:v>
      </x:c>
      <x:c r="H323" s="8" t="n">
        <x:f>AVERAGE('PG facts'!D77)</x:f>
        <x:v>9</x:v>
      </x:c>
      <x:c r="I323" s="8" t="n">
        <x:f>0</x:f>
        <x:v>0</x:v>
      </x:c>
      <x:c r="J323" s="8" t="n">
        <x:v>0</x:v>
      </x:c>
      <x:c r="K323" s="8" t="n">
        <x:f>H323-I323*J323</x:f>
        <x:v>9</x:v>
      </x:c>
      <x:c r="L323" s="8" t="n">
        <x:f>'PG facts'!D84</x:f>
        <x:v>7</x:v>
      </x:c>
      <x:c r="M323" s="8" t="n">
        <x:f>K323-L323</x:f>
        <x:v>2</x:v>
      </x:c>
      <x:c r="N323" s="8" t="n">
        <x:f>M323^2</x:f>
        <x:v>4</x:v>
      </x:c>
      <x:c r="O323" s="8" t="n">
        <x:f>ABS(M323)</x:f>
        <x:v>2</x:v>
      </x:c>
      <x:c r="P323" s="7" t="n">
        <x:v>45314</x:v>
      </x:c>
    </x:row>
    <x:row r="324" ht="26" customHeight="1">
      <x:c r="A324" s="2"/>
      <x:c r="B324" s="2" t="n">
        <x:v>319</x:v>
      </x:c>
      <x:c r="C324" s="2" t="str">
        <x:v>Grooming / price_contribution</x:v>
      </x:c>
      <x:c r="D324" s="7" t="n">
        <x:v>45291</x:v>
      </x:c>
      <x:c r="E324" s="2" t="str">
        <x:v>Prior report</x:v>
      </x:c>
      <x:c r="F324" s="7" t="n">
        <x:v>45217</x:v>
      </x:c>
      <x:c r="G324" s="2" t="str">
        <x:v>Four-quarter mean</x:v>
      </x:c>
      <x:c r="H324" s="8" t="n">
        <x:f>AVERAGE('PG facts'!D56,'PG facts'!D63,'PG facts'!D70,'PG facts'!D77)</x:f>
        <x:v>9.75</x:v>
      </x:c>
      <x:c r="I324" s="8" t="n">
        <x:f>0</x:f>
        <x:v>0</x:v>
      </x:c>
      <x:c r="J324" s="8" t="n">
        <x:v>0</x:v>
      </x:c>
      <x:c r="K324" s="8" t="n">
        <x:f>H324-I324*J324</x:f>
        <x:v>9.75</x:v>
      </x:c>
      <x:c r="L324" s="8" t="n">
        <x:f>'PG facts'!D84</x:f>
        <x:v>7</x:v>
      </x:c>
      <x:c r="M324" s="8" t="n">
        <x:f>K324-L324</x:f>
        <x:v>2.75</x:v>
      </x:c>
      <x:c r="N324" s="8" t="n">
        <x:f>M324^2</x:f>
        <x:v>7.5625</x:v>
      </x:c>
      <x:c r="O324" s="8" t="n">
        <x:f>ABS(M324)</x:f>
        <x:v>2.75</x:v>
      </x:c>
      <x:c r="P324" s="7" t="n">
        <x:v>45314</x:v>
      </x:c>
    </x:row>
    <x:row r="325" ht="26" customHeight="1">
      <x:c r="A325" s="2"/>
      <x:c r="B325" s="2" t="n">
        <x:v>320</x:v>
      </x:c>
      <x:c r="C325" s="2" t="str">
        <x:v>Grooming / price_contribution</x:v>
      </x:c>
      <x:c r="D325" s="7" t="n">
        <x:v>45291</x:v>
      </x:c>
      <x:c r="E325" s="2" t="str">
        <x:v>Prior report</x:v>
      </x:c>
      <x:c r="F325" s="7" t="n">
        <x:v>45217</x:v>
      </x:c>
      <x:c r="G325" s="2" t="str">
        <x:v>Broad market</x:v>
      </x:c>
      <x:c r="H325" s="8" t="n">
        <x:f>'Model fits'!AA237</x:f>
        <x:v>8.514516341106361</x:v>
      </x:c>
      <x:c r="I325" s="8" t="n">
        <x:f>0</x:f>
        <x:v>0</x:v>
      </x:c>
      <x:c r="J325" s="8" t="n">
        <x:v>0</x:v>
      </x:c>
      <x:c r="K325" s="8" t="n">
        <x:f>H325-I325*J325</x:f>
        <x:v>8.514516341106361</x:v>
      </x:c>
      <x:c r="L325" s="8" t="n">
        <x:f>'PG facts'!D84</x:f>
        <x:v>7</x:v>
      </x:c>
      <x:c r="M325" s="8" t="n">
        <x:f>K325-L325</x:f>
        <x:v>1.5145163411063614</x:v>
      </x:c>
      <x:c r="N325" s="8" t="n">
        <x:f>M325^2</x:f>
        <x:v>2.2937597474782003</x:v>
      </x:c>
      <x:c r="O325" s="8" t="n">
        <x:f>ABS(M325)</x:f>
        <x:v>1.5145163411063614</x:v>
      </x:c>
      <x:c r="P325" s="7" t="n">
        <x:v>45314</x:v>
      </x:c>
    </x:row>
    <x:row r="326" ht="26" customHeight="1">
      <x:c r="A326" s="2"/>
      <x:c r="B326" s="2" t="n">
        <x:v>321</x:v>
      </x:c>
      <x:c r="C326" s="2" t="str">
        <x:v>Grooming / price_contribution</x:v>
      </x:c>
      <x:c r="D326" s="7" t="n">
        <x:v>45291</x:v>
      </x:c>
      <x:c r="E326" s="2" t="str">
        <x:v>Prior report</x:v>
      </x:c>
      <x:c r="F326" s="7" t="n">
        <x:v>45217</x:v>
      </x:c>
      <x:c r="G326" s="2" t="str">
        <x:v>Broad lag 1</x:v>
      </x:c>
      <x:c r="H326" s="8" t="n">
        <x:f>'Model fits'!AA238</x:f>
        <x:v>8.83266565357225</x:v>
      </x:c>
      <x:c r="I326" s="8" t="n">
        <x:f>0</x:f>
        <x:v>0</x:v>
      </x:c>
      <x:c r="J326" s="8" t="n">
        <x:v>0</x:v>
      </x:c>
      <x:c r="K326" s="8" t="n">
        <x:f>H326-I326*J326</x:f>
        <x:v>8.83266565357225</x:v>
      </x:c>
      <x:c r="L326" s="8" t="n">
        <x:f>'PG facts'!D84</x:f>
        <x:v>7</x:v>
      </x:c>
      <x:c r="M326" s="8" t="n">
        <x:f>K326-L326</x:f>
        <x:v>1.8326656535722492</x:v>
      </x:c>
      <x:c r="N326" s="8" t="n">
        <x:f>M326^2</x:f>
        <x:v>3.3586633977833995</x:v>
      </x:c>
      <x:c r="O326" s="8" t="n">
        <x:f>ABS(M326)</x:f>
        <x:v>1.8326656535722492</x:v>
      </x:c>
      <x:c r="P326" s="7" t="n">
        <x:v>45314</x:v>
      </x:c>
    </x:row>
    <x:row r="327" ht="26" customHeight="1">
      <x:c r="A327" s="2"/>
      <x:c r="B327" s="2" t="n">
        <x:v>322</x:v>
      </x:c>
      <x:c r="C327" s="2" t="str">
        <x:v>Grooming / price_contribution</x:v>
      </x:c>
      <x:c r="D327" s="7" t="n">
        <x:v>45291</x:v>
      </x:c>
      <x:c r="E327" s="2" t="str">
        <x:v>Prior report</x:v>
      </x:c>
      <x:c r="F327" s="7" t="n">
        <x:v>45217</x:v>
      </x:c>
      <x:c r="G327" s="2" t="str">
        <x:v>Broad rolling 8</x:v>
      </x:c>
      <x:c r="H327" s="8" t="n">
        <x:f>'Model fits'!AA239</x:f>
        <x:v>8.618345356899434</x:v>
      </x:c>
      <x:c r="I327" s="8" t="n">
        <x:f>0</x:f>
        <x:v>0</x:v>
      </x:c>
      <x:c r="J327" s="8" t="n">
        <x:v>0</x:v>
      </x:c>
      <x:c r="K327" s="8" t="n">
        <x:f>H327-I327*J327</x:f>
        <x:v>8.618345356899434</x:v>
      </x:c>
      <x:c r="L327" s="8" t="n">
        <x:f>'PG facts'!D84</x:f>
        <x:v>7</x:v>
      </x:c>
      <x:c r="M327" s="8" t="n">
        <x:f>K327-L327</x:f>
        <x:v>1.6183453568994342</x:v>
      </x:c>
      <x:c r="N327" s="8" t="n">
        <x:f>M327^2</x:f>
        <x:v>2.619041694197957</x:v>
      </x:c>
      <x:c r="O327" s="8" t="n">
        <x:f>ABS(M327)</x:f>
        <x:v>1.6183453568994342</x:v>
      </x:c>
      <x:c r="P327" s="7" t="n">
        <x:v>45314</x:v>
      </x:c>
    </x:row>
    <x:row r="328" ht="26" customHeight="1">
      <x:c r="A328" s="2"/>
      <x:c r="B328" s="2" t="n">
        <x:v>323</x:v>
      </x:c>
      <x:c r="C328" s="2" t="str">
        <x:v>Grooming / price_contribution</x:v>
      </x:c>
      <x:c r="D328" s="7" t="n">
        <x:v>45291</x:v>
      </x:c>
      <x:c r="E328" s="2" t="str">
        <x:v>Prior report</x:v>
      </x:c>
      <x:c r="F328" s="7" t="n">
        <x:v>45217</x:v>
      </x:c>
      <x:c r="G328" s="2" t="str">
        <x:v>Own history</x:v>
      </x:c>
      <x:c r="H328" s="8" t="n">
        <x:f>'Model fits'!AA240</x:f>
        <x:v>9.275471698113208</x:v>
      </x:c>
      <x:c r="I328" s="8" t="n">
        <x:f>0</x:f>
        <x:v>0</x:v>
      </x:c>
      <x:c r="J328" s="8" t="n">
        <x:v>0</x:v>
      </x:c>
      <x:c r="K328" s="8" t="n">
        <x:f>H328-I328*J328</x:f>
        <x:v>9.275471698113208</x:v>
      </x:c>
      <x:c r="L328" s="8" t="n">
        <x:f>'PG facts'!D84</x:f>
        <x:v>7</x:v>
      </x:c>
      <x:c r="M328" s="8" t="n">
        <x:f>K328-L328</x:f>
        <x:v>2.2754716981132077</x:v>
      </x:c>
      <x:c r="N328" s="8" t="n">
        <x:f>M328^2</x:f>
        <x:v>5.177771448914205</x:v>
      </x:c>
      <x:c r="O328" s="8" t="n">
        <x:f>ABS(M328)</x:f>
        <x:v>2.2754716981132077</x:v>
      </x:c>
      <x:c r="P328" s="7" t="n">
        <x:v>45314</x:v>
      </x:c>
    </x:row>
    <x:row r="329" ht="26" customHeight="1">
      <x:c r="A329" s="2"/>
      <x:c r="B329" s="2" t="n">
        <x:v>324</x:v>
      </x:c>
      <x:c r="C329" s="2" t="str">
        <x:v>Grooming / price_contribution</x:v>
      </x:c>
      <x:c r="D329" s="7" t="n">
        <x:v>45291</x:v>
      </x:c>
      <x:c r="E329" s="2" t="str">
        <x:v>Pre-earnings</x:v>
      </x:c>
      <x:c r="F329" s="7" t="n">
        <x:v>45313</x:v>
      </x:c>
      <x:c r="G329" s="2" t="str">
        <x:v>Last actual</x:v>
      </x:c>
      <x:c r="H329" s="8" t="n">
        <x:f>AVERAGE('PG facts'!D77)</x:f>
        <x:v>9</x:v>
      </x:c>
      <x:c r="I329" s="8" t="n">
        <x:f>0</x:f>
        <x:v>0</x:v>
      </x:c>
      <x:c r="J329" s="8" t="n">
        <x:v>0</x:v>
      </x:c>
      <x:c r="K329" s="8" t="n">
        <x:f>H329-I329*J329</x:f>
        <x:v>9</x:v>
      </x:c>
      <x:c r="L329" s="8" t="n">
        <x:f>'PG facts'!D84</x:f>
        <x:v>7</x:v>
      </x:c>
      <x:c r="M329" s="8" t="n">
        <x:f>K329-L329</x:f>
        <x:v>2</x:v>
      </x:c>
      <x:c r="N329" s="8" t="n">
        <x:f>M329^2</x:f>
        <x:v>4</x:v>
      </x:c>
      <x:c r="O329" s="8" t="n">
        <x:f>ABS(M329)</x:f>
        <x:v>2</x:v>
      </x:c>
      <x:c r="P329" s="7" t="n">
        <x:v>45314</x:v>
      </x:c>
    </x:row>
    <x:row r="330" ht="26" customHeight="1">
      <x:c r="A330" s="2"/>
      <x:c r="B330" s="2" t="n">
        <x:v>325</x:v>
      </x:c>
      <x:c r="C330" s="2" t="str">
        <x:v>Grooming / price_contribution</x:v>
      </x:c>
      <x:c r="D330" s="7" t="n">
        <x:v>45291</x:v>
      </x:c>
      <x:c r="E330" s="2" t="str">
        <x:v>Pre-earnings</x:v>
      </x:c>
      <x:c r="F330" s="7" t="n">
        <x:v>45313</x:v>
      </x:c>
      <x:c r="G330" s="2" t="str">
        <x:v>Four-quarter mean</x:v>
      </x:c>
      <x:c r="H330" s="8" t="n">
        <x:f>AVERAGE('PG facts'!D56,'PG facts'!D63,'PG facts'!D70,'PG facts'!D77)</x:f>
        <x:v>9.75</x:v>
      </x:c>
      <x:c r="I330" s="8" t="n">
        <x:f>0</x:f>
        <x:v>0</x:v>
      </x:c>
      <x:c r="J330" s="8" t="n">
        <x:v>0</x:v>
      </x:c>
      <x:c r="K330" s="8" t="n">
        <x:f>H330-I330*J330</x:f>
        <x:v>9.75</x:v>
      </x:c>
      <x:c r="L330" s="8" t="n">
        <x:f>'PG facts'!D84</x:f>
        <x:v>7</x:v>
      </x:c>
      <x:c r="M330" s="8" t="n">
        <x:f>K330-L330</x:f>
        <x:v>2.75</x:v>
      </x:c>
      <x:c r="N330" s="8" t="n">
        <x:f>M330^2</x:f>
        <x:v>7.5625</x:v>
      </x:c>
      <x:c r="O330" s="8" t="n">
        <x:f>ABS(M330)</x:f>
        <x:v>2.75</x:v>
      </x:c>
      <x:c r="P330" s="7" t="n">
        <x:v>45314</x:v>
      </x:c>
    </x:row>
    <x:row r="331" ht="26" customHeight="1">
      <x:c r="A331" s="2"/>
      <x:c r="B331" s="2" t="n">
        <x:v>326</x:v>
      </x:c>
      <x:c r="C331" s="2" t="str">
        <x:v>Grooming / price_contribution</x:v>
      </x:c>
      <x:c r="D331" s="7" t="n">
        <x:v>45291</x:v>
      </x:c>
      <x:c r="E331" s="2" t="str">
        <x:v>Pre-earnings</x:v>
      </x:c>
      <x:c r="F331" s="7" t="n">
        <x:v>45313</x:v>
      </x:c>
      <x:c r="G331" s="2" t="str">
        <x:v>Broad market</x:v>
      </x:c>
      <x:c r="H331" s="8" t="n">
        <x:f>'Model fits'!AA241</x:f>
        <x:v>7.245360901035247</x:v>
      </x:c>
      <x:c r="I331" s="8" t="n">
        <x:f>0</x:f>
        <x:v>0</x:v>
      </x:c>
      <x:c r="J331" s="8" t="n">
        <x:v>0</x:v>
      </x:c>
      <x:c r="K331" s="8" t="n">
        <x:f>H331-I331*J331</x:f>
        <x:v>7.245360901035247</x:v>
      </x:c>
      <x:c r="L331" s="8" t="n">
        <x:f>'PG facts'!D84</x:f>
        <x:v>7</x:v>
      </x:c>
      <x:c r="M331" s="8" t="n">
        <x:f>K331-L331</x:f>
        <x:v>0.2453609010352471</x:v>
      </x:c>
      <x:c r="N331" s="8" t="n">
        <x:f>M331^2</x:f>
        <x:v>0.06020197175682832</x:v>
      </x:c>
      <x:c r="O331" s="8" t="n">
        <x:f>ABS(M331)</x:f>
        <x:v>0.2453609010352471</x:v>
      </x:c>
      <x:c r="P331" s="7" t="n">
        <x:v>45314</x:v>
      </x:c>
    </x:row>
    <x:row r="332" ht="26" customHeight="1">
      <x:c r="A332" s="2"/>
      <x:c r="B332" s="2" t="n">
        <x:v>327</x:v>
      </x:c>
      <x:c r="C332" s="2" t="str">
        <x:v>Grooming / price_contribution</x:v>
      </x:c>
      <x:c r="D332" s="7" t="n">
        <x:v>45291</x:v>
      </x:c>
      <x:c r="E332" s="2" t="str">
        <x:v>Pre-earnings</x:v>
      </x:c>
      <x:c r="F332" s="7" t="n">
        <x:v>45313</x:v>
      </x:c>
      <x:c r="G332" s="2" t="str">
        <x:v>Broad lag 1</x:v>
      </x:c>
      <x:c r="H332" s="8" t="n">
        <x:f>'Model fits'!AA242</x:f>
        <x:v>8.83266565357225</x:v>
      </x:c>
      <x:c r="I332" s="8" t="n">
        <x:f>0</x:f>
        <x:v>0</x:v>
      </x:c>
      <x:c r="J332" s="8" t="n">
        <x:v>0</x:v>
      </x:c>
      <x:c r="K332" s="8" t="n">
        <x:f>H332-I332*J332</x:f>
        <x:v>8.83266565357225</x:v>
      </x:c>
      <x:c r="L332" s="8" t="n">
        <x:f>'PG facts'!D84</x:f>
        <x:v>7</x:v>
      </x:c>
      <x:c r="M332" s="8" t="n">
        <x:f>K332-L332</x:f>
        <x:v>1.8326656535722492</x:v>
      </x:c>
      <x:c r="N332" s="8" t="n">
        <x:f>M332^2</x:f>
        <x:v>3.3586633977833995</x:v>
      </x:c>
      <x:c r="O332" s="8" t="n">
        <x:f>ABS(M332)</x:f>
        <x:v>1.8326656535722492</x:v>
      </x:c>
      <x:c r="P332" s="7" t="n">
        <x:v>45314</x:v>
      </x:c>
    </x:row>
    <x:row r="333" ht="26" customHeight="1">
      <x:c r="A333" s="2"/>
      <x:c r="B333" s="2" t="n">
        <x:v>328</x:v>
      </x:c>
      <x:c r="C333" s="2" t="str">
        <x:v>Grooming / price_contribution</x:v>
      </x:c>
      <x:c r="D333" s="7" t="n">
        <x:v>45291</x:v>
      </x:c>
      <x:c r="E333" s="2" t="str">
        <x:v>Pre-earnings</x:v>
      </x:c>
      <x:c r="F333" s="7" t="n">
        <x:v>45313</x:v>
      </x:c>
      <x:c r="G333" s="2" t="str">
        <x:v>Broad rolling 8</x:v>
      </x:c>
      <x:c r="H333" s="8" t="n">
        <x:f>'Model fits'!AA243</x:f>
        <x:v>7.609965262438198</x:v>
      </x:c>
      <x:c r="I333" s="8" t="n">
        <x:f>0</x:f>
        <x:v>0</x:v>
      </x:c>
      <x:c r="J333" s="8" t="n">
        <x:v>0</x:v>
      </x:c>
      <x:c r="K333" s="8" t="n">
        <x:f>H333-I333*J333</x:f>
        <x:v>7.609965262438198</x:v>
      </x:c>
      <x:c r="L333" s="8" t="n">
        <x:f>'PG facts'!D84</x:f>
        <x:v>7</x:v>
      </x:c>
      <x:c r="M333" s="8" t="n">
        <x:f>K333-L333</x:f>
        <x:v>0.6099652624381982</x:v>
      </x:c>
      <x:c r="N333" s="8" t="n">
        <x:f>M333^2</x:f>
        <x:v>0.37205762138129994</x:v>
      </x:c>
      <x:c r="O333" s="8" t="n">
        <x:f>ABS(M333)</x:f>
        <x:v>0.6099652624381982</x:v>
      </x:c>
      <x:c r="P333" s="7" t="n">
        <x:v>45314</x:v>
      </x:c>
    </x:row>
    <x:row r="334" ht="26" customHeight="1">
      <x:c r="A334" s="2"/>
      <x:c r="B334" s="2" t="n">
        <x:v>329</x:v>
      </x:c>
      <x:c r="C334" s="2" t="str">
        <x:v>Grooming / price_contribution</x:v>
      </x:c>
      <x:c r="D334" s="7" t="n">
        <x:v>45291</x:v>
      </x:c>
      <x:c r="E334" s="2" t="str">
        <x:v>Pre-earnings</x:v>
      </x:c>
      <x:c r="F334" s="7" t="n">
        <x:v>45313</x:v>
      </x:c>
      <x:c r="G334" s="2" t="str">
        <x:v>Own history</x:v>
      </x:c>
      <x:c r="H334" s="8" t="n">
        <x:f>'Model fits'!AA244</x:f>
        <x:v>9.275471698113208</x:v>
      </x:c>
      <x:c r="I334" s="8" t="n">
        <x:f>0</x:f>
        <x:v>0</x:v>
      </x:c>
      <x:c r="J334" s="8" t="n">
        <x:v>0</x:v>
      </x:c>
      <x:c r="K334" s="8" t="n">
        <x:f>H334-I334*J334</x:f>
        <x:v>9.275471698113208</x:v>
      </x:c>
      <x:c r="L334" s="8" t="n">
        <x:f>'PG facts'!D84</x:f>
        <x:v>7</x:v>
      </x:c>
      <x:c r="M334" s="8" t="n">
        <x:f>K334-L334</x:f>
        <x:v>2.2754716981132077</x:v>
      </x:c>
      <x:c r="N334" s="8" t="n">
        <x:f>M334^2</x:f>
        <x:v>5.177771448914205</x:v>
      </x:c>
      <x:c r="O334" s="8" t="n">
        <x:f>ABS(M334)</x:f>
        <x:v>2.2754716981132077</x:v>
      </x:c>
      <x:c r="P334" s="7" t="n">
        <x:v>45314</x:v>
      </x:c>
    </x:row>
    <x:row r="335" ht="26" customHeight="1">
      <x:c r="A335" s="2"/>
      <x:c r="B335" s="2" t="n">
        <x:v>330</x:v>
      </x:c>
      <x:c r="C335" s="2" t="str">
        <x:v>Grooming / price_contribution</x:v>
      </x:c>
      <x:c r="D335" s="7" t="n">
        <x:v>45382</x:v>
      </x:c>
      <x:c r="E335" s="2" t="str">
        <x:v>Origin</x:v>
      </x:c>
      <x:c r="F335" s="7" t="n">
        <x:v>45292</x:v>
      </x:c>
      <x:c r="G335" s="2" t="str">
        <x:v>Last actual</x:v>
      </x:c>
      <x:c r="H335" s="8" t="n">
        <x:f>AVERAGE('PG facts'!D77)</x:f>
        <x:v>9</x:v>
      </x:c>
      <x:c r="I335" s="8" t="n">
        <x:f>0</x:f>
        <x:v>0</x:v>
      </x:c>
      <x:c r="J335" s="8" t="n">
        <x:v>0</x:v>
      </x:c>
      <x:c r="K335" s="8" t="n">
        <x:f>H335-I335*J335</x:f>
        <x:v>9</x:v>
      </x:c>
      <x:c r="L335" s="8" t="n">
        <x:f>'PG facts'!D91</x:f>
        <x:v>10</x:v>
      </x:c>
      <x:c r="M335" s="8" t="n">
        <x:f>K335-L335</x:f>
        <x:v>-1</x:v>
      </x:c>
      <x:c r="N335" s="8" t="n">
        <x:f>M335^2</x:f>
        <x:v>1</x:v>
      </x:c>
      <x:c r="O335" s="8" t="n">
        <x:f>ABS(M335)</x:f>
        <x:v>1</x:v>
      </x:c>
      <x:c r="P335" s="7" t="n">
        <x:v>45401</x:v>
      </x:c>
    </x:row>
    <x:row r="336" ht="26" customHeight="1">
      <x:c r="A336" s="2"/>
      <x:c r="B336" s="2" t="n">
        <x:v>331</x:v>
      </x:c>
      <x:c r="C336" s="2" t="str">
        <x:v>Grooming / price_contribution</x:v>
      </x:c>
      <x:c r="D336" s="7" t="n">
        <x:v>45382</x:v>
      </x:c>
      <x:c r="E336" s="2" t="str">
        <x:v>Origin</x:v>
      </x:c>
      <x:c r="F336" s="7" t="n">
        <x:v>45292</x:v>
      </x:c>
      <x:c r="G336" s="2" t="str">
        <x:v>Four-quarter mean</x:v>
      </x:c>
      <x:c r="H336" s="8" t="n">
        <x:f>AVERAGE('PG facts'!D56,'PG facts'!D63,'PG facts'!D70,'PG facts'!D77)</x:f>
        <x:v>9.75</x:v>
      </x:c>
      <x:c r="I336" s="8" t="n">
        <x:f>0</x:f>
        <x:v>0</x:v>
      </x:c>
      <x:c r="J336" s="8" t="n">
        <x:v>0</x:v>
      </x:c>
      <x:c r="K336" s="8" t="n">
        <x:f>H336-I336*J336</x:f>
        <x:v>9.75</x:v>
      </x:c>
      <x:c r="L336" s="8" t="n">
        <x:f>'PG facts'!D91</x:f>
        <x:v>10</x:v>
      </x:c>
      <x:c r="M336" s="8" t="n">
        <x:f>K336-L336</x:f>
        <x:v>-0.25</x:v>
      </x:c>
      <x:c r="N336" s="8" t="n">
        <x:f>M336^2</x:f>
        <x:v>0.0625</x:v>
      </x:c>
      <x:c r="O336" s="8" t="n">
        <x:f>ABS(M336)</x:f>
        <x:v>0.25</x:v>
      </x:c>
      <x:c r="P336" s="7" t="n">
        <x:v>45401</x:v>
      </x:c>
    </x:row>
    <x:row r="337" ht="26" customHeight="1">
      <x:c r="A337" s="2"/>
      <x:c r="B337" s="2" t="n">
        <x:v>332</x:v>
      </x:c>
      <x:c r="C337" s="2" t="str">
        <x:v>Grooming / price_contribution</x:v>
      </x:c>
      <x:c r="D337" s="7" t="n">
        <x:v>45382</x:v>
      </x:c>
      <x:c r="E337" s="2" t="str">
        <x:v>Origin</x:v>
      </x:c>
      <x:c r="F337" s="7" t="n">
        <x:v>45292</x:v>
      </x:c>
      <x:c r="G337" s="2" t="str">
        <x:v>Broad market</x:v>
      </x:c>
      <x:c r="H337" s="8" t="n">
        <x:f>'Model fits'!AA245</x:f>
        <x:v>7.853656828690874</x:v>
      </x:c>
      <x:c r="I337" s="8" t="n">
        <x:f>0</x:f>
        <x:v>0</x:v>
      </x:c>
      <x:c r="J337" s="8" t="n">
        <x:v>0</x:v>
      </x:c>
      <x:c r="K337" s="8" t="n">
        <x:f>H337-I337*J337</x:f>
        <x:v>7.853656828690874</x:v>
      </x:c>
      <x:c r="L337" s="8" t="n">
        <x:f>'PG facts'!D91</x:f>
        <x:v>10</x:v>
      </x:c>
      <x:c r="M337" s="8" t="n">
        <x:f>K337-L337</x:f>
        <x:v>-2.146343171309126</x:v>
      </x:c>
      <x:c r="N337" s="8" t="n">
        <x:f>M337^2</x:f>
        <x:v>4.606789009025316</x:v>
      </x:c>
      <x:c r="O337" s="8" t="n">
        <x:f>ABS(M337)</x:f>
        <x:v>2.146343171309126</x:v>
      </x:c>
      <x:c r="P337" s="7" t="n">
        <x:v>45401</x:v>
      </x:c>
    </x:row>
    <x:row r="338" ht="26" customHeight="1">
      <x:c r="A338" s="2"/>
      <x:c r="B338" s="2" t="n">
        <x:v>333</x:v>
      </x:c>
      <x:c r="C338" s="2" t="str">
        <x:v>Grooming / price_contribution</x:v>
      </x:c>
      <x:c r="D338" s="7" t="n">
        <x:v>45382</x:v>
      </x:c>
      <x:c r="E338" s="2" t="str">
        <x:v>Origin</x:v>
      </x:c>
      <x:c r="F338" s="7" t="n">
        <x:v>45292</x:v>
      </x:c>
      <x:c r="G338" s="2" t="str">
        <x:v>Broad rolling 8</x:v>
      </x:c>
      <x:c r="H338" s="8" t="n">
        <x:f>'Model fits'!AA246</x:f>
        <x:v>8.093273678116105</x:v>
      </x:c>
      <x:c r="I338" s="8" t="n">
        <x:f>0</x:f>
        <x:v>0</x:v>
      </x:c>
      <x:c r="J338" s="8" t="n">
        <x:v>0</x:v>
      </x:c>
      <x:c r="K338" s="8" t="n">
        <x:f>H338-I338*J338</x:f>
        <x:v>8.093273678116105</x:v>
      </x:c>
      <x:c r="L338" s="8" t="n">
        <x:f>'PG facts'!D91</x:f>
        <x:v>10</x:v>
      </x:c>
      <x:c r="M338" s="8" t="n">
        <x:f>K338-L338</x:f>
        <x:v>-1.9067263218838946</x:v>
      </x:c>
      <x:c r="N338" s="8" t="n">
        <x:f>M338^2</x:f>
        <x:v>3.6356052665648853</x:v>
      </x:c>
      <x:c r="O338" s="8" t="n">
        <x:f>ABS(M338)</x:f>
        <x:v>1.9067263218838946</x:v>
      </x:c>
      <x:c r="P338" s="7" t="n">
        <x:v>45401</x:v>
      </x:c>
    </x:row>
    <x:row r="339" ht="26" customHeight="1">
      <x:c r="A339" s="2"/>
      <x:c r="B339" s="2" t="n">
        <x:v>334</x:v>
      </x:c>
      <x:c r="C339" s="2" t="str">
        <x:v>Grooming / price_contribution</x:v>
      </x:c>
      <x:c r="D339" s="7" t="n">
        <x:v>45382</x:v>
      </x:c>
      <x:c r="E339" s="2" t="str">
        <x:v>Origin</x:v>
      </x:c>
      <x:c r="F339" s="7" t="n">
        <x:v>45292</x:v>
      </x:c>
      <x:c r="G339" s="2" t="str">
        <x:v>Own history</x:v>
      </x:c>
      <x:c r="H339" s="8" t="n">
        <x:f>'Model fits'!AA247</x:f>
        <x:v>9.398148148148149</x:v>
      </x:c>
      <x:c r="I339" s="8" t="n">
        <x:f>0</x:f>
        <x:v>0</x:v>
      </x:c>
      <x:c r="J339" s="8" t="n">
        <x:v>0</x:v>
      </x:c>
      <x:c r="K339" s="8" t="n">
        <x:f>H339-I339*J339</x:f>
        <x:v>9.398148148148149</x:v>
      </x:c>
      <x:c r="L339" s="8" t="n">
        <x:f>'PG facts'!D91</x:f>
        <x:v>10</x:v>
      </x:c>
      <x:c r="M339" s="8" t="n">
        <x:f>K339-L339</x:f>
        <x:v>-0.6018518518518512</x:v>
      </x:c>
      <x:c r="N339" s="8" t="n">
        <x:f>M339^2</x:f>
        <x:v>0.36222565157750264</x:v>
      </x:c>
      <x:c r="O339" s="8" t="n">
        <x:f>ABS(M339)</x:f>
        <x:v>0.6018518518518512</x:v>
      </x:c>
      <x:c r="P339" s="7" t="n">
        <x:v>45401</x:v>
      </x:c>
    </x:row>
    <x:row r="340" ht="26" customHeight="1">
      <x:c r="A340" s="2"/>
      <x:c r="B340" s="2" t="n">
        <x:v>335</x:v>
      </x:c>
      <x:c r="C340" s="2" t="str">
        <x:v>Grooming / price_contribution</x:v>
      </x:c>
      <x:c r="D340" s="7" t="n">
        <x:v>45382</x:v>
      </x:c>
      <x:c r="E340" s="2" t="str">
        <x:v>Prior report</x:v>
      </x:c>
      <x:c r="F340" s="7" t="n">
        <x:v>45314</x:v>
      </x:c>
      <x:c r="G340" s="2" t="str">
        <x:v>Last actual</x:v>
      </x:c>
      <x:c r="H340" s="8" t="n">
        <x:f>AVERAGE('PG facts'!D84)</x:f>
        <x:v>7</x:v>
      </x:c>
      <x:c r="I340" s="8" t="n">
        <x:f>0</x:f>
        <x:v>0</x:v>
      </x:c>
      <x:c r="J340" s="8" t="n">
        <x:v>0</x:v>
      </x:c>
      <x:c r="K340" s="8" t="n">
        <x:f>H340-I340*J340</x:f>
        <x:v>7</x:v>
      </x:c>
      <x:c r="L340" s="8" t="n">
        <x:f>'PG facts'!D91</x:f>
        <x:v>10</x:v>
      </x:c>
      <x:c r="M340" s="8" t="n">
        <x:f>K340-L340</x:f>
        <x:v>-3</x:v>
      </x:c>
      <x:c r="N340" s="8" t="n">
        <x:f>M340^2</x:f>
        <x:v>9</x:v>
      </x:c>
      <x:c r="O340" s="8" t="n">
        <x:f>ABS(M340)</x:f>
        <x:v>3</x:v>
      </x:c>
      <x:c r="P340" s="7" t="n">
        <x:v>45401</x:v>
      </x:c>
    </x:row>
    <x:row r="341" ht="26" customHeight="1">
      <x:c r="A341" s="2"/>
      <x:c r="B341" s="2" t="n">
        <x:v>336</x:v>
      </x:c>
      <x:c r="C341" s="2" t="str">
        <x:v>Grooming / price_contribution</x:v>
      </x:c>
      <x:c r="D341" s="7" t="n">
        <x:v>45382</x:v>
      </x:c>
      <x:c r="E341" s="2" t="str">
        <x:v>Prior report</x:v>
      </x:c>
      <x:c r="F341" s="7" t="n">
        <x:v>45314</x:v>
      </x:c>
      <x:c r="G341" s="2" t="str">
        <x:v>Four-quarter mean</x:v>
      </x:c>
      <x:c r="H341" s="8" t="n">
        <x:f>AVERAGE('PG facts'!D63,'PG facts'!D70,'PG facts'!D77,'PG facts'!D84)</x:f>
        <x:v>8.75</x:v>
      </x:c>
      <x:c r="I341" s="8" t="n">
        <x:f>0</x:f>
        <x:v>0</x:v>
      </x:c>
      <x:c r="J341" s="8" t="n">
        <x:v>0</x:v>
      </x:c>
      <x:c r="K341" s="8" t="n">
        <x:f>H341-I341*J341</x:f>
        <x:v>8.75</x:v>
      </x:c>
      <x:c r="L341" s="8" t="n">
        <x:f>'PG facts'!D91</x:f>
        <x:v>10</x:v>
      </x:c>
      <x:c r="M341" s="8" t="n">
        <x:f>K341-L341</x:f>
        <x:v>-1.25</x:v>
      </x:c>
      <x:c r="N341" s="8" t="n">
        <x:f>M341^2</x:f>
        <x:v>1.5625</x:v>
      </x:c>
      <x:c r="O341" s="8" t="n">
        <x:f>ABS(M341)</x:f>
        <x:v>1.25</x:v>
      </x:c>
      <x:c r="P341" s="7" t="n">
        <x:v>45401</x:v>
      </x:c>
    </x:row>
    <x:row r="342" ht="26" customHeight="1">
      <x:c r="A342" s="2"/>
      <x:c r="B342" s="2" t="n">
        <x:v>337</x:v>
      </x:c>
      <x:c r="C342" s="2" t="str">
        <x:v>Grooming / price_contribution</x:v>
      </x:c>
      <x:c r="D342" s="7" t="n">
        <x:v>45382</x:v>
      </x:c>
      <x:c r="E342" s="2" t="str">
        <x:v>Prior report</x:v>
      </x:c>
      <x:c r="F342" s="7" t="n">
        <x:v>45314</x:v>
      </x:c>
      <x:c r="G342" s="2" t="str">
        <x:v>Broad market</x:v>
      </x:c>
      <x:c r="H342" s="8" t="n">
        <x:f>'Model fits'!AA248</x:f>
        <x:v>7.223342432903792</x:v>
      </x:c>
      <x:c r="I342" s="8" t="n">
        <x:f>0</x:f>
        <x:v>0</x:v>
      </x:c>
      <x:c r="J342" s="8" t="n">
        <x:v>0</x:v>
      </x:c>
      <x:c r="K342" s="8" t="n">
        <x:f>H342-I342*J342</x:f>
        <x:v>7.223342432903792</x:v>
      </x:c>
      <x:c r="L342" s="8" t="n">
        <x:f>'PG facts'!D91</x:f>
        <x:v>10</x:v>
      </x:c>
      <x:c r="M342" s="8" t="n">
        <x:f>K342-L342</x:f>
        <x:v>-2.7766575670962084</x:v>
      </x:c>
      <x:c r="N342" s="8" t="n">
        <x:f>M342^2</x:f>
        <x:v>7.709827244912635</x:v>
      </x:c>
      <x:c r="O342" s="8" t="n">
        <x:f>ABS(M342)</x:f>
        <x:v>2.7766575670962084</x:v>
      </x:c>
      <x:c r="P342" s="7" t="n">
        <x:v>45401</x:v>
      </x:c>
    </x:row>
    <x:row r="343" ht="26" customHeight="1">
      <x:c r="A343" s="2"/>
      <x:c r="B343" s="2" t="n">
        <x:v>338</x:v>
      </x:c>
      <x:c r="C343" s="2" t="str">
        <x:v>Grooming / price_contribution</x:v>
      </x:c>
      <x:c r="D343" s="7" t="n">
        <x:v>45382</x:v>
      </x:c>
      <x:c r="E343" s="2" t="str">
        <x:v>Prior report</x:v>
      </x:c>
      <x:c r="F343" s="7" t="n">
        <x:v>45314</x:v>
      </x:c>
      <x:c r="G343" s="2" t="str">
        <x:v>Broad lag 1</x:v>
      </x:c>
      <x:c r="H343" s="8" t="n">
        <x:f>'Model fits'!AA249</x:f>
        <x:v>7.532295252719573</x:v>
      </x:c>
      <x:c r="I343" s="8" t="n">
        <x:f>0</x:f>
        <x:v>0</x:v>
      </x:c>
      <x:c r="J343" s="8" t="n">
        <x:v>0</x:v>
      </x:c>
      <x:c r="K343" s="8" t="n">
        <x:f>H343-I343*J343</x:f>
        <x:v>7.532295252719573</x:v>
      </x:c>
      <x:c r="L343" s="8" t="n">
        <x:f>'PG facts'!D91</x:f>
        <x:v>10</x:v>
      </x:c>
      <x:c r="M343" s="8" t="n">
        <x:f>K343-L343</x:f>
        <x:v>-2.467704747280427</x:v>
      </x:c>
      <x:c r="N343" s="8" t="n">
        <x:f>M343^2</x:f>
        <x:v>6.089566719750358</x:v>
      </x:c>
      <x:c r="O343" s="8" t="n">
        <x:f>ABS(M343)</x:f>
        <x:v>2.467704747280427</x:v>
      </x:c>
      <x:c r="P343" s="7" t="n">
        <x:v>45401</x:v>
      </x:c>
    </x:row>
    <x:row r="344" ht="26" customHeight="1">
      <x:c r="A344" s="2"/>
      <x:c r="B344" s="2" t="n">
        <x:v>339</x:v>
      </x:c>
      <x:c r="C344" s="2" t="str">
        <x:v>Grooming / price_contribution</x:v>
      </x:c>
      <x:c r="D344" s="7" t="n">
        <x:v>45382</x:v>
      </x:c>
      <x:c r="E344" s="2" t="str">
        <x:v>Prior report</x:v>
      </x:c>
      <x:c r="F344" s="7" t="n">
        <x:v>45314</x:v>
      </x:c>
      <x:c r="G344" s="2" t="str">
        <x:v>Broad rolling 8</x:v>
      </x:c>
      <x:c r="H344" s="8" t="n">
        <x:f>'Model fits'!AA250</x:f>
        <x:v>7.604315271716482</x:v>
      </x:c>
      <x:c r="I344" s="8" t="n">
        <x:f>0</x:f>
        <x:v>0</x:v>
      </x:c>
      <x:c r="J344" s="8" t="n">
        <x:v>0</x:v>
      </x:c>
      <x:c r="K344" s="8" t="n">
        <x:f>H344-I344*J344</x:f>
        <x:v>7.604315271716482</x:v>
      </x:c>
      <x:c r="L344" s="8" t="n">
        <x:f>'PG facts'!D91</x:f>
        <x:v>10</x:v>
      </x:c>
      <x:c r="M344" s="8" t="n">
        <x:f>K344-L344</x:f>
        <x:v>-2.395684728283518</x:v>
      </x:c>
      <x:c r="N344" s="8" t="n">
        <x:f>M344^2</x:f>
        <x:v>5.7393053173308735</x:v>
      </x:c>
      <x:c r="O344" s="8" t="n">
        <x:f>ABS(M344)</x:f>
        <x:v>2.395684728283518</x:v>
      </x:c>
      <x:c r="P344" s="7" t="n">
        <x:v>45401</x:v>
      </x:c>
    </x:row>
    <x:row r="345" ht="26" customHeight="1">
      <x:c r="A345" s="2"/>
      <x:c r="B345" s="2" t="n">
        <x:v>340</x:v>
      </x:c>
      <x:c r="C345" s="2" t="str">
        <x:v>Grooming / price_contribution</x:v>
      </x:c>
      <x:c r="D345" s="7" t="n">
        <x:v>45382</x:v>
      </x:c>
      <x:c r="E345" s="2" t="str">
        <x:v>Prior report</x:v>
      </x:c>
      <x:c r="F345" s="7" t="n">
        <x:v>45314</x:v>
      </x:c>
      <x:c r="G345" s="2" t="str">
        <x:v>Own history</x:v>
      </x:c>
      <x:c r="H345" s="8" t="n">
        <x:f>'Model fits'!AA251</x:f>
        <x:v>7.312101910828026</x:v>
      </x:c>
      <x:c r="I345" s="8" t="n">
        <x:f>0</x:f>
        <x:v>0</x:v>
      </x:c>
      <x:c r="J345" s="8" t="n">
        <x:v>0</x:v>
      </x:c>
      <x:c r="K345" s="8" t="n">
        <x:f>H345-I345*J345</x:f>
        <x:v>7.312101910828026</x:v>
      </x:c>
      <x:c r="L345" s="8" t="n">
        <x:f>'PG facts'!D91</x:f>
        <x:v>10</x:v>
      </x:c>
      <x:c r="M345" s="8" t="n">
        <x:f>K345-L345</x:f>
        <x:v>-2.6878980891719744</x:v>
      </x:c>
      <x:c r="N345" s="8" t="n">
        <x:f>M345^2</x:f>
        <x:v>7.2247961377743515</x:v>
      </x:c>
      <x:c r="O345" s="8" t="n">
        <x:f>ABS(M345)</x:f>
        <x:v>2.6878980891719744</x:v>
      </x:c>
      <x:c r="P345" s="7" t="n">
        <x:v>45401</x:v>
      </x:c>
    </x:row>
    <x:row r="346" ht="26" customHeight="1">
      <x:c r="A346" s="2"/>
      <x:c r="B346" s="2" t="n">
        <x:v>341</x:v>
      </x:c>
      <x:c r="C346" s="2" t="str">
        <x:v>Grooming / price_contribution</x:v>
      </x:c>
      <x:c r="D346" s="7" t="n">
        <x:v>45382</x:v>
      </x:c>
      <x:c r="E346" s="2" t="str">
        <x:v>Pre-earnings</x:v>
      </x:c>
      <x:c r="F346" s="7" t="n">
        <x:v>45400</x:v>
      </x:c>
      <x:c r="G346" s="2" t="str">
        <x:v>Last actual</x:v>
      </x:c>
      <x:c r="H346" s="8" t="n">
        <x:f>AVERAGE('PG facts'!D84)</x:f>
        <x:v>7</x:v>
      </x:c>
      <x:c r="I346" s="8" t="n">
        <x:f>0</x:f>
        <x:v>0</x:v>
      </x:c>
      <x:c r="J346" s="8" t="n">
        <x:v>0</x:v>
      </x:c>
      <x:c r="K346" s="8" t="n">
        <x:f>H346-I346*J346</x:f>
        <x:v>7</x:v>
      </x:c>
      <x:c r="L346" s="8" t="n">
        <x:f>'PG facts'!D91</x:f>
        <x:v>10</x:v>
      </x:c>
      <x:c r="M346" s="8" t="n">
        <x:f>K346-L346</x:f>
        <x:v>-3</x:v>
      </x:c>
      <x:c r="N346" s="8" t="n">
        <x:f>M346^2</x:f>
        <x:v>9</x:v>
      </x:c>
      <x:c r="O346" s="8" t="n">
        <x:f>ABS(M346)</x:f>
        <x:v>3</x:v>
      </x:c>
      <x:c r="P346" s="7" t="n">
        <x:v>45401</x:v>
      </x:c>
    </x:row>
    <x:row r="347" ht="26" customHeight="1">
      <x:c r="A347" s="2"/>
      <x:c r="B347" s="2" t="n">
        <x:v>342</x:v>
      </x:c>
      <x:c r="C347" s="2" t="str">
        <x:v>Grooming / price_contribution</x:v>
      </x:c>
      <x:c r="D347" s="7" t="n">
        <x:v>45382</x:v>
      </x:c>
      <x:c r="E347" s="2" t="str">
        <x:v>Pre-earnings</x:v>
      </x:c>
      <x:c r="F347" s="7" t="n">
        <x:v>45400</x:v>
      </x:c>
      <x:c r="G347" s="2" t="str">
        <x:v>Four-quarter mean</x:v>
      </x:c>
      <x:c r="H347" s="8" t="n">
        <x:f>AVERAGE('PG facts'!D63,'PG facts'!D70,'PG facts'!D77,'PG facts'!D84)</x:f>
        <x:v>8.75</x:v>
      </x:c>
      <x:c r="I347" s="8" t="n">
        <x:f>0</x:f>
        <x:v>0</x:v>
      </x:c>
      <x:c r="J347" s="8" t="n">
        <x:v>0</x:v>
      </x:c>
      <x:c r="K347" s="8" t="n">
        <x:f>H347-I347*J347</x:f>
        <x:v>8.75</x:v>
      </x:c>
      <x:c r="L347" s="8" t="n">
        <x:f>'PG facts'!D91</x:f>
        <x:v>10</x:v>
      </x:c>
      <x:c r="M347" s="8" t="n">
        <x:f>K347-L347</x:f>
        <x:v>-1.25</x:v>
      </x:c>
      <x:c r="N347" s="8" t="n">
        <x:f>M347^2</x:f>
        <x:v>1.5625</x:v>
      </x:c>
      <x:c r="O347" s="8" t="n">
        <x:f>ABS(M347)</x:f>
        <x:v>1.25</x:v>
      </x:c>
      <x:c r="P347" s="7" t="n">
        <x:v>45401</x:v>
      </x:c>
    </x:row>
    <x:row r="348" ht="26" customHeight="1">
      <x:c r="A348" s="2"/>
      <x:c r="B348" s="2" t="n">
        <x:v>343</x:v>
      </x:c>
      <x:c r="C348" s="2" t="str">
        <x:v>Grooming / price_contribution</x:v>
      </x:c>
      <x:c r="D348" s="7" t="n">
        <x:v>45382</x:v>
      </x:c>
      <x:c r="E348" s="2" t="str">
        <x:v>Pre-earnings</x:v>
      </x:c>
      <x:c r="F348" s="7" t="n">
        <x:v>45400</x:v>
      </x:c>
      <x:c r="G348" s="2" t="str">
        <x:v>Broad market</x:v>
      </x:c>
      <x:c r="H348" s="8" t="n">
        <x:f>'Model fits'!AA252</x:f>
        <x:v>6.656418521828908</x:v>
      </x:c>
      <x:c r="I348" s="8" t="n">
        <x:f>0</x:f>
        <x:v>0</x:v>
      </x:c>
      <x:c r="J348" s="8" t="n">
        <x:v>0</x:v>
      </x:c>
      <x:c r="K348" s="8" t="n">
        <x:f>H348-I348*J348</x:f>
        <x:v>6.656418521828908</x:v>
      </x:c>
      <x:c r="L348" s="8" t="n">
        <x:f>'PG facts'!D91</x:f>
        <x:v>10</x:v>
      </x:c>
      <x:c r="M348" s="8" t="n">
        <x:f>K348-L348</x:f>
        <x:v>-3.3435814781710924</x:v>
      </x:c>
      <x:c r="N348" s="8" t="n">
        <x:f>M348^2</x:f>
        <x:v>11.179537101168787</x:v>
      </x:c>
      <x:c r="O348" s="8" t="n">
        <x:f>ABS(M348)</x:f>
        <x:v>3.3435814781710924</x:v>
      </x:c>
      <x:c r="P348" s="7" t="n">
        <x:v>45401</x:v>
      </x:c>
    </x:row>
    <x:row r="349" ht="26" customHeight="1">
      <x:c r="A349" s="2"/>
      <x:c r="B349" s="2" t="n">
        <x:v>344</x:v>
      </x:c>
      <x:c r="C349" s="2" t="str">
        <x:v>Grooming / price_contribution</x:v>
      </x:c>
      <x:c r="D349" s="7" t="n">
        <x:v>45382</x:v>
      </x:c>
      <x:c r="E349" s="2" t="str">
        <x:v>Pre-earnings</x:v>
      </x:c>
      <x:c r="F349" s="7" t="n">
        <x:v>45400</x:v>
      </x:c>
      <x:c r="G349" s="2" t="str">
        <x:v>Broad lag 1</x:v>
      </x:c>
      <x:c r="H349" s="8" t="n">
        <x:f>'Model fits'!AA253</x:f>
        <x:v>7.532295252719573</x:v>
      </x:c>
      <x:c r="I349" s="8" t="n">
        <x:f>0</x:f>
        <x:v>0</x:v>
      </x:c>
      <x:c r="J349" s="8" t="n">
        <x:v>0</x:v>
      </x:c>
      <x:c r="K349" s="8" t="n">
        <x:f>H349-I349*J349</x:f>
        <x:v>7.532295252719573</x:v>
      </x:c>
      <x:c r="L349" s="8" t="n">
        <x:f>'PG facts'!D91</x:f>
        <x:v>10</x:v>
      </x:c>
      <x:c r="M349" s="8" t="n">
        <x:f>K349-L349</x:f>
        <x:v>-2.467704747280427</x:v>
      </x:c>
      <x:c r="N349" s="8" t="n">
        <x:f>M349^2</x:f>
        <x:v>6.089566719750358</x:v>
      </x:c>
      <x:c r="O349" s="8" t="n">
        <x:f>ABS(M349)</x:f>
        <x:v>2.467704747280427</x:v>
      </x:c>
      <x:c r="P349" s="7" t="n">
        <x:v>45401</x:v>
      </x:c>
    </x:row>
    <x:row r="350" ht="26" customHeight="1">
      <x:c r="A350" s="2"/>
      <x:c r="B350" s="2" t="n">
        <x:v>345</x:v>
      </x:c>
      <x:c r="C350" s="2" t="str">
        <x:v>Grooming / price_contribution</x:v>
      </x:c>
      <x:c r="D350" s="7" t="n">
        <x:v>45382</x:v>
      </x:c>
      <x:c r="E350" s="2" t="str">
        <x:v>Pre-earnings</x:v>
      </x:c>
      <x:c r="F350" s="7" t="n">
        <x:v>45400</x:v>
      </x:c>
      <x:c r="G350" s="2" t="str">
        <x:v>Broad rolling 8</x:v>
      </x:c>
      <x:c r="H350" s="8" t="n">
        <x:f>'Model fits'!AA254</x:f>
        <x:v>7.1722941230208725</x:v>
      </x:c>
      <x:c r="I350" s="8" t="n">
        <x:f>0</x:f>
        <x:v>0</x:v>
      </x:c>
      <x:c r="J350" s="8" t="n">
        <x:v>0</x:v>
      </x:c>
      <x:c r="K350" s="8" t="n">
        <x:f>H350-I350*J350</x:f>
        <x:v>7.1722941230208725</x:v>
      </x:c>
      <x:c r="L350" s="8" t="n">
        <x:f>'PG facts'!D91</x:f>
        <x:v>10</x:v>
      </x:c>
      <x:c r="M350" s="8" t="n">
        <x:f>K350-L350</x:f>
        <x:v>-2.8277058769791275</x:v>
      </x:c>
      <x:c r="N350" s="8" t="n">
        <x:f>M350^2</x:f>
        <x:v>7.995920526702296</x:v>
      </x:c>
      <x:c r="O350" s="8" t="n">
        <x:f>ABS(M350)</x:f>
        <x:v>2.8277058769791275</x:v>
      </x:c>
      <x:c r="P350" s="7" t="n">
        <x:v>45401</x:v>
      </x:c>
    </x:row>
    <x:row r="351" ht="26" customHeight="1">
      <x:c r="A351" s="2"/>
      <x:c r="B351" s="2" t="n">
        <x:v>346</x:v>
      </x:c>
      <x:c r="C351" s="2" t="str">
        <x:v>Grooming / price_contribution</x:v>
      </x:c>
      <x:c r="D351" s="7" t="n">
        <x:v>45382</x:v>
      </x:c>
      <x:c r="E351" s="2" t="str">
        <x:v>Pre-earnings</x:v>
      </x:c>
      <x:c r="F351" s="7" t="n">
        <x:v>45400</x:v>
      </x:c>
      <x:c r="G351" s="2" t="str">
        <x:v>Own history</x:v>
      </x:c>
      <x:c r="H351" s="8" t="n">
        <x:f>'Model fits'!AA255</x:f>
        <x:v>7.312101910828026</x:v>
      </x:c>
      <x:c r="I351" s="8" t="n">
        <x:f>0</x:f>
        <x:v>0</x:v>
      </x:c>
      <x:c r="J351" s="8" t="n">
        <x:v>0</x:v>
      </x:c>
      <x:c r="K351" s="8" t="n">
        <x:f>H351-I351*J351</x:f>
        <x:v>7.312101910828026</x:v>
      </x:c>
      <x:c r="L351" s="8" t="n">
        <x:f>'PG facts'!D91</x:f>
        <x:v>10</x:v>
      </x:c>
      <x:c r="M351" s="8" t="n">
        <x:f>K351-L351</x:f>
        <x:v>-2.6878980891719744</x:v>
      </x:c>
      <x:c r="N351" s="8" t="n">
        <x:f>M351^2</x:f>
        <x:v>7.2247961377743515</x:v>
      </x:c>
      <x:c r="O351" s="8" t="n">
        <x:f>ABS(M351)</x:f>
        <x:v>2.6878980891719744</x:v>
      </x:c>
      <x:c r="P351" s="7" t="n">
        <x:v>45401</x:v>
      </x:c>
    </x:row>
    <x:row r="352" ht="26" customHeight="1">
      <x:c r="A352" s="2"/>
      <x:c r="B352" s="2" t="n">
        <x:v>347</x:v>
      </x:c>
      <x:c r="C352" s="2" t="str">
        <x:v>Grooming / price_contribution</x:v>
      </x:c>
      <x:c r="D352" s="7" t="n">
        <x:v>45473</x:v>
      </x:c>
      <x:c r="E352" s="2" t="str">
        <x:v>Origin</x:v>
      </x:c>
      <x:c r="F352" s="7" t="n">
        <x:v>45383</x:v>
      </x:c>
      <x:c r="G352" s="2" t="str">
        <x:v>Last actual</x:v>
      </x:c>
      <x:c r="H352" s="8" t="n">
        <x:f>AVERAGE('PG facts'!D84)</x:f>
        <x:v>7</x:v>
      </x:c>
      <x:c r="I352" s="8" t="n">
        <x:f>0</x:f>
        <x:v>0</x:v>
      </x:c>
      <x:c r="J352" s="8" t="n">
        <x:v>0</x:v>
      </x:c>
      <x:c r="K352" s="8" t="n">
        <x:f>H352-I352*J352</x:f>
        <x:v>7</x:v>
      </x:c>
      <x:c r="L352" s="8" t="n">
        <x:f>'PG facts'!D98</x:f>
        <x:v>5</x:v>
      </x:c>
      <x:c r="M352" s="8" t="n">
        <x:f>K352-L352</x:f>
        <x:v>2</x:v>
      </x:c>
      <x:c r="N352" s="8" t="n">
        <x:f>M352^2</x:f>
        <x:v>4</x:v>
      </x:c>
      <x:c r="O352" s="8" t="n">
        <x:f>ABS(M352)</x:f>
        <x:v>2</x:v>
      </x:c>
      <x:c r="P352" s="7" t="n">
        <x:v>45503</x:v>
      </x:c>
    </x:row>
    <x:row r="353" ht="26" customHeight="1">
      <x:c r="A353" s="2"/>
      <x:c r="B353" s="2" t="n">
        <x:v>348</x:v>
      </x:c>
      <x:c r="C353" s="2" t="str">
        <x:v>Grooming / price_contribution</x:v>
      </x:c>
      <x:c r="D353" s="7" t="n">
        <x:v>45473</x:v>
      </x:c>
      <x:c r="E353" s="2" t="str">
        <x:v>Origin</x:v>
      </x:c>
      <x:c r="F353" s="7" t="n">
        <x:v>45383</x:v>
      </x:c>
      <x:c r="G353" s="2" t="str">
        <x:v>Four-quarter mean</x:v>
      </x:c>
      <x:c r="H353" s="8" t="n">
        <x:f>AVERAGE('PG facts'!D63,'PG facts'!D70,'PG facts'!D77,'PG facts'!D84)</x:f>
        <x:v>8.75</x:v>
      </x:c>
      <x:c r="I353" s="8" t="n">
        <x:f>0</x:f>
        <x:v>0</x:v>
      </x:c>
      <x:c r="J353" s="8" t="n">
        <x:v>0</x:v>
      </x:c>
      <x:c r="K353" s="8" t="n">
        <x:f>H353-I353*J353</x:f>
        <x:v>8.75</x:v>
      </x:c>
      <x:c r="L353" s="8" t="n">
        <x:f>'PG facts'!D98</x:f>
        <x:v>5</x:v>
      </x:c>
      <x:c r="M353" s="8" t="n">
        <x:f>K353-L353</x:f>
        <x:v>3.75</x:v>
      </x:c>
      <x:c r="N353" s="8" t="n">
        <x:f>M353^2</x:f>
        <x:v>14.0625</x:v>
      </x:c>
      <x:c r="O353" s="8" t="n">
        <x:f>ABS(M353)</x:f>
        <x:v>3.75</x:v>
      </x:c>
      <x:c r="P353" s="7" t="n">
        <x:v>45503</x:v>
      </x:c>
    </x:row>
    <x:row r="354" ht="26" customHeight="1">
      <x:c r="A354" s="2"/>
      <x:c r="B354" s="2" t="n">
        <x:v>349</x:v>
      </x:c>
      <x:c r="C354" s="2" t="str">
        <x:v>Grooming / price_contribution</x:v>
      </x:c>
      <x:c r="D354" s="7" t="n">
        <x:v>45473</x:v>
      </x:c>
      <x:c r="E354" s="2" t="str">
        <x:v>Origin</x:v>
      </x:c>
      <x:c r="F354" s="7" t="n">
        <x:v>45383</x:v>
      </x:c>
      <x:c r="G354" s="2" t="str">
        <x:v>Broad market</x:v>
      </x:c>
      <x:c r="H354" s="8" t="n">
        <x:f>'Model fits'!AA256</x:f>
        <x:v>6.6089015691513335</x:v>
      </x:c>
      <x:c r="I354" s="8" t="n">
        <x:f>0</x:f>
        <x:v>0</x:v>
      </x:c>
      <x:c r="J354" s="8" t="n">
        <x:v>0</x:v>
      </x:c>
      <x:c r="K354" s="8" t="n">
        <x:f>H354-I354*J354</x:f>
        <x:v>6.6089015691513335</x:v>
      </x:c>
      <x:c r="L354" s="8" t="n">
        <x:f>'PG facts'!D98</x:f>
        <x:v>5</x:v>
      </x:c>
      <x:c r="M354" s="8" t="n">
        <x:f>K354-L354</x:f>
        <x:v>1.6089015691513335</x:v>
      </x:c>
      <x:c r="N354" s="8" t="n">
        <x:f>M354^2</x:f>
        <x:v>2.5885642592176232</x:v>
      </x:c>
      <x:c r="O354" s="8" t="n">
        <x:f>ABS(M354)</x:f>
        <x:v>1.6089015691513335</x:v>
      </x:c>
      <x:c r="P354" s="7" t="n">
        <x:v>45503</x:v>
      </x:c>
    </x:row>
    <x:row r="355" ht="26" customHeight="1">
      <x:c r="A355" s="2"/>
      <x:c r="B355" s="2" t="n">
        <x:v>350</x:v>
      </x:c>
      <x:c r="C355" s="2" t="str">
        <x:v>Grooming / price_contribution</x:v>
      </x:c>
      <x:c r="D355" s="7" t="n">
        <x:v>45473</x:v>
      </x:c>
      <x:c r="E355" s="2" t="str">
        <x:v>Origin</x:v>
      </x:c>
      <x:c r="F355" s="7" t="n">
        <x:v>45383</x:v>
      </x:c>
      <x:c r="G355" s="2" t="str">
        <x:v>Broad rolling 8</x:v>
      </x:c>
      <x:c r="H355" s="8" t="n">
        <x:f>'Model fits'!AA257</x:f>
        <x:v>7.136084098928999</x:v>
      </x:c>
      <x:c r="I355" s="8" t="n">
        <x:f>0</x:f>
        <x:v>0</x:v>
      </x:c>
      <x:c r="J355" s="8" t="n">
        <x:v>0</x:v>
      </x:c>
      <x:c r="K355" s="8" t="n">
        <x:f>H355-I355*J355</x:f>
        <x:v>7.136084098928999</x:v>
      </x:c>
      <x:c r="L355" s="8" t="n">
        <x:f>'PG facts'!D98</x:f>
        <x:v>5</x:v>
      </x:c>
      <x:c r="M355" s="8" t="n">
        <x:f>K355-L355</x:f>
        <x:v>2.1360840989289986</x:v>
      </x:c>
      <x:c r="N355" s="8" t="n">
        <x:f>M355^2</x:f>
        <x:v>4.562855277697312</x:v>
      </x:c>
      <x:c r="O355" s="8" t="n">
        <x:f>ABS(M355)</x:f>
        <x:v>2.1360840989289986</x:v>
      </x:c>
      <x:c r="P355" s="7" t="n">
        <x:v>45503</x:v>
      </x:c>
    </x:row>
    <x:row r="356" ht="26" customHeight="1">
      <x:c r="A356" s="2"/>
      <x:c r="B356" s="2" t="n">
        <x:v>351</x:v>
      </x:c>
      <x:c r="C356" s="2" t="str">
        <x:v>Grooming / price_contribution</x:v>
      </x:c>
      <x:c r="D356" s="7" t="n">
        <x:v>45473</x:v>
      </x:c>
      <x:c r="E356" s="2" t="str">
        <x:v>Origin</x:v>
      </x:c>
      <x:c r="F356" s="7" t="n">
        <x:v>45383</x:v>
      </x:c>
      <x:c r="G356" s="2" t="str">
        <x:v>Own history</x:v>
      </x:c>
      <x:c r="H356" s="8" t="n">
        <x:f>'Model fits'!AA258</x:f>
        <x:v>7.784905660377359</x:v>
      </x:c>
      <x:c r="I356" s="8" t="n">
        <x:f>0</x:f>
        <x:v>0</x:v>
      </x:c>
      <x:c r="J356" s="8" t="n">
        <x:v>0</x:v>
      </x:c>
      <x:c r="K356" s="8" t="n">
        <x:f>H356-I356*J356</x:f>
        <x:v>7.784905660377359</x:v>
      </x:c>
      <x:c r="L356" s="8" t="n">
        <x:f>'PG facts'!D98</x:f>
        <x:v>5</x:v>
      </x:c>
      <x:c r="M356" s="8" t="n">
        <x:f>K356-L356</x:f>
        <x:v>2.784905660377359</x:v>
      </x:c>
      <x:c r="N356" s="8" t="n">
        <x:f>M356^2</x:f>
        <x:v>7.755699537201855</x:v>
      </x:c>
      <x:c r="O356" s="8" t="n">
        <x:f>ABS(M356)</x:f>
        <x:v>2.784905660377359</x:v>
      </x:c>
      <x:c r="P356" s="7" t="n">
        <x:v>45503</x:v>
      </x:c>
    </x:row>
    <x:row r="357" ht="26" customHeight="1">
      <x:c r="A357" s="2"/>
      <x:c r="B357" s="2" t="n">
        <x:v>352</x:v>
      </x:c>
      <x:c r="C357" s="2" t="str">
        <x:v>Grooming / price_contribution</x:v>
      </x:c>
      <x:c r="D357" s="7" t="n">
        <x:v>45473</x:v>
      </x:c>
      <x:c r="E357" s="2" t="str">
        <x:v>Prior report</x:v>
      </x:c>
      <x:c r="F357" s="7" t="n">
        <x:v>45401</x:v>
      </x:c>
      <x:c r="G357" s="2" t="str">
        <x:v>Last actual</x:v>
      </x:c>
      <x:c r="H357" s="8" t="n">
        <x:f>AVERAGE('PG facts'!D91)</x:f>
        <x:v>10</x:v>
      </x:c>
      <x:c r="I357" s="8" t="n">
        <x:f>0</x:f>
        <x:v>0</x:v>
      </x:c>
      <x:c r="J357" s="8" t="n">
        <x:v>0</x:v>
      </x:c>
      <x:c r="K357" s="8" t="n">
        <x:f>H357-I357*J357</x:f>
        <x:v>10</x:v>
      </x:c>
      <x:c r="L357" s="8" t="n">
        <x:f>'PG facts'!D98</x:f>
        <x:v>5</x:v>
      </x:c>
      <x:c r="M357" s="8" t="n">
        <x:f>K357-L357</x:f>
        <x:v>5</x:v>
      </x:c>
      <x:c r="N357" s="8" t="n">
        <x:f>M357^2</x:f>
        <x:v>25</x:v>
      </x:c>
      <x:c r="O357" s="8" t="n">
        <x:f>ABS(M357)</x:f>
        <x:v>5</x:v>
      </x:c>
      <x:c r="P357" s="7" t="n">
        <x:v>45503</x:v>
      </x:c>
    </x:row>
    <x:row r="358" ht="26" customHeight="1">
      <x:c r="A358" s="2"/>
      <x:c r="B358" s="2" t="n">
        <x:v>353</x:v>
      </x:c>
      <x:c r="C358" s="2" t="str">
        <x:v>Grooming / price_contribution</x:v>
      </x:c>
      <x:c r="D358" s="7" t="n">
        <x:v>45473</x:v>
      </x:c>
      <x:c r="E358" s="2" t="str">
        <x:v>Prior report</x:v>
      </x:c>
      <x:c r="F358" s="7" t="n">
        <x:v>45401</x:v>
      </x:c>
      <x:c r="G358" s="2" t="str">
        <x:v>Four-quarter mean</x:v>
      </x:c>
      <x:c r="H358" s="8" t="n">
        <x:f>AVERAGE('PG facts'!D70,'PG facts'!D77,'PG facts'!D84,'PG facts'!D91)</x:f>
        <x:v>8.75</x:v>
      </x:c>
      <x:c r="I358" s="8" t="n">
        <x:f>0</x:f>
        <x:v>0</x:v>
      </x:c>
      <x:c r="J358" s="8" t="n">
        <x:v>0</x:v>
      </x:c>
      <x:c r="K358" s="8" t="n">
        <x:f>H358-I358*J358</x:f>
        <x:v>8.75</x:v>
      </x:c>
      <x:c r="L358" s="8" t="n">
        <x:f>'PG facts'!D98</x:f>
        <x:v>5</x:v>
      </x:c>
      <x:c r="M358" s="8" t="n">
        <x:f>K358-L358</x:f>
        <x:v>3.75</x:v>
      </x:c>
      <x:c r="N358" s="8" t="n">
        <x:f>M358^2</x:f>
        <x:v>14.0625</x:v>
      </x:c>
      <x:c r="O358" s="8" t="n">
        <x:f>ABS(M358)</x:f>
        <x:v>3.75</x:v>
      </x:c>
      <x:c r="P358" s="7" t="n">
        <x:v>45503</x:v>
      </x:c>
    </x:row>
    <x:row r="359" ht="26" customHeight="1">
      <x:c r="A359" s="2"/>
      <x:c r="B359" s="2" t="n">
        <x:v>354</x:v>
      </x:c>
      <x:c r="C359" s="2" t="str">
        <x:v>Grooming / price_contribution</x:v>
      </x:c>
      <x:c r="D359" s="7" t="n">
        <x:v>45473</x:v>
      </x:c>
      <x:c r="E359" s="2" t="str">
        <x:v>Prior report</x:v>
      </x:c>
      <x:c r="F359" s="7" t="n">
        <x:v>45401</x:v>
      </x:c>
      <x:c r="G359" s="2" t="str">
        <x:v>Broad market</x:v>
      </x:c>
      <x:c r="H359" s="8" t="n">
        <x:f>'Model fits'!AA259</x:f>
        <x:v>6.916854636815909</x:v>
      </x:c>
      <x:c r="I359" s="8" t="n">
        <x:f>0</x:f>
        <x:v>0</x:v>
      </x:c>
      <x:c r="J359" s="8" t="n">
        <x:v>0</x:v>
      </x:c>
      <x:c r="K359" s="8" t="n">
        <x:f>H359-I359*J359</x:f>
        <x:v>6.916854636815909</x:v>
      </x:c>
      <x:c r="L359" s="8" t="n">
        <x:f>'PG facts'!D98</x:f>
        <x:v>5</x:v>
      </x:c>
      <x:c r="M359" s="8" t="n">
        <x:f>K359-L359</x:f>
        <x:v>1.9168546368159092</x:v>
      </x:c>
      <x:c r="N359" s="8" t="n">
        <x:f>M359^2</x:f>
        <x:v>3.674331698682651</x:v>
      </x:c>
      <x:c r="O359" s="8" t="n">
        <x:f>ABS(M359)</x:f>
        <x:v>1.9168546368159092</x:v>
      </x:c>
      <x:c r="P359" s="7" t="n">
        <x:v>45503</x:v>
      </x:c>
    </x:row>
    <x:row r="360" ht="26" customHeight="1">
      <x:c r="A360" s="2"/>
      <x:c r="B360" s="2" t="n">
        <x:v>355</x:v>
      </x:c>
      <x:c r="C360" s="2" t="str">
        <x:v>Grooming / price_contribution</x:v>
      </x:c>
      <x:c r="D360" s="7" t="n">
        <x:v>45473</x:v>
      </x:c>
      <x:c r="E360" s="2" t="str">
        <x:v>Prior report</x:v>
      </x:c>
      <x:c r="F360" s="7" t="n">
        <x:v>45401</x:v>
      </x:c>
      <x:c r="G360" s="2" t="str">
        <x:v>Broad lag 1</x:v>
      </x:c>
      <x:c r="H360" s="8" t="n">
        <x:f>'Model fits'!AA260</x:f>
        <x:v>7.274676007088052</x:v>
      </x:c>
      <x:c r="I360" s="8" t="n">
        <x:f>0</x:f>
        <x:v>0</x:v>
      </x:c>
      <x:c r="J360" s="8" t="n">
        <x:v>0</x:v>
      </x:c>
      <x:c r="K360" s="8" t="n">
        <x:f>H360-I360*J360</x:f>
        <x:v>7.274676007088052</x:v>
      </x:c>
      <x:c r="L360" s="8" t="n">
        <x:f>'PG facts'!D98</x:f>
        <x:v>5</x:v>
      </x:c>
      <x:c r="M360" s="8" t="n">
        <x:f>K360-L360</x:f>
        <x:v>2.2746760070880523</x:v>
      </x:c>
      <x:c r="N360" s="8" t="n">
        <x:f>M360^2</x:f>
        <x:v>5.174150937222045</x:v>
      </x:c>
      <x:c r="O360" s="8" t="n">
        <x:f>ABS(M360)</x:f>
        <x:v>2.2746760070880523</x:v>
      </x:c>
      <x:c r="P360" s="7" t="n">
        <x:v>45503</x:v>
      </x:c>
    </x:row>
    <x:row r="361" ht="26" customHeight="1">
      <x:c r="A361" s="2"/>
      <x:c r="B361" s="2" t="n">
        <x:v>356</x:v>
      </x:c>
      <x:c r="C361" s="2" t="str">
        <x:v>Grooming / price_contribution</x:v>
      </x:c>
      <x:c r="D361" s="7" t="n">
        <x:v>45473</x:v>
      </x:c>
      <x:c r="E361" s="2" t="str">
        <x:v>Prior report</x:v>
      </x:c>
      <x:c r="F361" s="7" t="n">
        <x:v>45401</x:v>
      </x:c>
      <x:c r="G361" s="2" t="str">
        <x:v>Broad rolling 8</x:v>
      </x:c>
      <x:c r="H361" s="8" t="n">
        <x:f>'Model fits'!AA261</x:f>
        <x:v>7.571577697100676</x:v>
      </x:c>
      <x:c r="I361" s="8" t="n">
        <x:f>0</x:f>
        <x:v>0</x:v>
      </x:c>
      <x:c r="J361" s="8" t="n">
        <x:v>0</x:v>
      </x:c>
      <x:c r="K361" s="8" t="n">
        <x:f>H361-I361*J361</x:f>
        <x:v>7.571577697100676</x:v>
      </x:c>
      <x:c r="L361" s="8" t="n">
        <x:f>'PG facts'!D98</x:f>
        <x:v>5</x:v>
      </x:c>
      <x:c r="M361" s="8" t="n">
        <x:f>K361-L361</x:f>
        <x:v>2.5715776971006763</x:v>
      </x:c>
      <x:c r="N361" s="8" t="n">
        <x:f>M361^2</x:f>
        <x:v>6.613011852225617</x:v>
      </x:c>
      <x:c r="O361" s="8" t="n">
        <x:f>ABS(M361)</x:f>
        <x:v>2.5715776971006763</x:v>
      </x:c>
      <x:c r="P361" s="7" t="n">
        <x:v>45503</x:v>
      </x:c>
    </x:row>
    <x:row r="362" ht="26" customHeight="1">
      <x:c r="A362" s="2"/>
      <x:c r="B362" s="2" t="n">
        <x:v>357</x:v>
      </x:c>
      <x:c r="C362" s="2" t="str">
        <x:v>Grooming / price_contribution</x:v>
      </x:c>
      <x:c r="D362" s="7" t="n">
        <x:v>45473</x:v>
      </x:c>
      <x:c r="E362" s="2" t="str">
        <x:v>Prior report</x:v>
      </x:c>
      <x:c r="F362" s="7" t="n">
        <x:v>45401</x:v>
      </x:c>
      <x:c r="G362" s="2" t="str">
        <x:v>Own history</x:v>
      </x:c>
      <x:c r="H362" s="8" t="n">
        <x:f>'Model fits'!AA262</x:f>
        <x:v>10.00581395348837</x:v>
      </x:c>
      <x:c r="I362" s="8" t="n">
        <x:f>0</x:f>
        <x:v>0</x:v>
      </x:c>
      <x:c r="J362" s="8" t="n">
        <x:v>0</x:v>
      </x:c>
      <x:c r="K362" s="8" t="n">
        <x:f>H362-I362*J362</x:f>
        <x:v>10.00581395348837</x:v>
      </x:c>
      <x:c r="L362" s="8" t="n">
        <x:f>'PG facts'!D98</x:f>
        <x:v>5</x:v>
      </x:c>
      <x:c r="M362" s="8" t="n">
        <x:f>K362-L362</x:f>
        <x:v>5.005813953488371</x:v>
      </x:c>
      <x:c r="N362" s="8" t="n">
        <x:f>M362^2</x:f>
        <x:v>25.05817333693887</x:v>
      </x:c>
      <x:c r="O362" s="8" t="n">
        <x:f>ABS(M362)</x:f>
        <x:v>5.005813953488371</x:v>
      </x:c>
      <x:c r="P362" s="7" t="n">
        <x:v>45503</x:v>
      </x:c>
    </x:row>
    <x:row r="363" ht="26" customHeight="1">
      <x:c r="A363" s="2"/>
      <x:c r="B363" s="2" t="n">
        <x:v>358</x:v>
      </x:c>
      <x:c r="C363" s="2" t="str">
        <x:v>Grooming / price_contribution</x:v>
      </x:c>
      <x:c r="D363" s="7" t="n">
        <x:v>45473</x:v>
      </x:c>
      <x:c r="E363" s="2" t="str">
        <x:v>Pre-earnings</x:v>
      </x:c>
      <x:c r="F363" s="7" t="n">
        <x:v>45502</x:v>
      </x:c>
      <x:c r="G363" s="2" t="str">
        <x:v>Last actual</x:v>
      </x:c>
      <x:c r="H363" s="8" t="n">
        <x:f>AVERAGE('PG facts'!D91)</x:f>
        <x:v>10</x:v>
      </x:c>
      <x:c r="I363" s="8" t="n">
        <x:f>0</x:f>
        <x:v>0</x:v>
      </x:c>
      <x:c r="J363" s="8" t="n">
        <x:v>0</x:v>
      </x:c>
      <x:c r="K363" s="8" t="n">
        <x:f>H363-I363*J363</x:f>
        <x:v>10</x:v>
      </x:c>
      <x:c r="L363" s="8" t="n">
        <x:f>'PG facts'!D98</x:f>
        <x:v>5</x:v>
      </x:c>
      <x:c r="M363" s="8" t="n">
        <x:f>K363-L363</x:f>
        <x:v>5</x:v>
      </x:c>
      <x:c r="N363" s="8" t="n">
        <x:f>M363^2</x:f>
        <x:v>25</x:v>
      </x:c>
      <x:c r="O363" s="8" t="n">
        <x:f>ABS(M363)</x:f>
        <x:v>5</x:v>
      </x:c>
      <x:c r="P363" s="7" t="n">
        <x:v>45503</x:v>
      </x:c>
    </x:row>
    <x:row r="364" ht="26" customHeight="1">
      <x:c r="A364" s="2"/>
      <x:c r="B364" s="2" t="n">
        <x:v>359</x:v>
      </x:c>
      <x:c r="C364" s="2" t="str">
        <x:v>Grooming / price_contribution</x:v>
      </x:c>
      <x:c r="D364" s="7" t="n">
        <x:v>45473</x:v>
      </x:c>
      <x:c r="E364" s="2" t="str">
        <x:v>Pre-earnings</x:v>
      </x:c>
      <x:c r="F364" s="7" t="n">
        <x:v>45502</x:v>
      </x:c>
      <x:c r="G364" s="2" t="str">
        <x:v>Four-quarter mean</x:v>
      </x:c>
      <x:c r="H364" s="8" t="n">
        <x:f>AVERAGE('PG facts'!D70,'PG facts'!D77,'PG facts'!D84,'PG facts'!D91)</x:f>
        <x:v>8.75</x:v>
      </x:c>
      <x:c r="I364" s="8" t="n">
        <x:f>0</x:f>
        <x:v>0</x:v>
      </x:c>
      <x:c r="J364" s="8" t="n">
        <x:v>0</x:v>
      </x:c>
      <x:c r="K364" s="8" t="n">
        <x:f>H364-I364*J364</x:f>
        <x:v>8.75</x:v>
      </x:c>
      <x:c r="L364" s="8" t="n">
        <x:f>'PG facts'!D98</x:f>
        <x:v>5</x:v>
      </x:c>
      <x:c r="M364" s="8" t="n">
        <x:f>K364-L364</x:f>
        <x:v>3.75</x:v>
      </x:c>
      <x:c r="N364" s="8" t="n">
        <x:f>M364^2</x:f>
        <x:v>14.0625</x:v>
      </x:c>
      <x:c r="O364" s="8" t="n">
        <x:f>ABS(M364)</x:f>
        <x:v>3.75</x:v>
      </x:c>
      <x:c r="P364" s="7" t="n">
        <x:v>45503</x:v>
      </x:c>
    </x:row>
    <x:row r="365" ht="26" customHeight="1">
      <x:c r="A365" s="2"/>
      <x:c r="B365" s="2" t="n">
        <x:v>360</x:v>
      </x:c>
      <x:c r="C365" s="2" t="str">
        <x:v>Grooming / price_contribution</x:v>
      </x:c>
      <x:c r="D365" s="7" t="n">
        <x:v>45473</x:v>
      </x:c>
      <x:c r="E365" s="2" t="str">
        <x:v>Pre-earnings</x:v>
      </x:c>
      <x:c r="F365" s="7" t="n">
        <x:v>45502</x:v>
      </x:c>
      <x:c r="G365" s="2" t="str">
        <x:v>Broad market</x:v>
      </x:c>
      <x:c r="H365" s="8" t="n">
        <x:f>'Model fits'!AA263</x:f>
        <x:v>4.946107834963033</x:v>
      </x:c>
      <x:c r="I365" s="8" t="n">
        <x:f>0</x:f>
        <x:v>0</x:v>
      </x:c>
      <x:c r="J365" s="8" t="n">
        <x:v>0</x:v>
      </x:c>
      <x:c r="K365" s="8" t="n">
        <x:f>H365-I365*J365</x:f>
        <x:v>4.946107834963033</x:v>
      </x:c>
      <x:c r="L365" s="8" t="n">
        <x:f>'PG facts'!D98</x:f>
        <x:v>5</x:v>
      </x:c>
      <x:c r="M365" s="8" t="n">
        <x:f>K365-L365</x:f>
        <x:v>-0.05389216503696659</x:v>
      </x:c>
      <x:c r="N365" s="8" t="n">
        <x:f>M365^2</x:f>
        <x:v>0.002904365452371644</x:v>
      </x:c>
      <x:c r="O365" s="8" t="n">
        <x:f>ABS(M365)</x:f>
        <x:v>0.05389216503696659</x:v>
      </x:c>
      <x:c r="P365" s="7" t="n">
        <x:v>45503</x:v>
      </x:c>
    </x:row>
    <x:row r="366" ht="26" customHeight="1">
      <x:c r="A366" s="2"/>
      <x:c r="B366" s="2" t="n">
        <x:v>361</x:v>
      </x:c>
      <x:c r="C366" s="2" t="str">
        <x:v>Grooming / price_contribution</x:v>
      </x:c>
      <x:c r="D366" s="7" t="n">
        <x:v>45473</x:v>
      </x:c>
      <x:c r="E366" s="2" t="str">
        <x:v>Pre-earnings</x:v>
      </x:c>
      <x:c r="F366" s="7" t="n">
        <x:v>45502</x:v>
      </x:c>
      <x:c r="G366" s="2" t="str">
        <x:v>Broad lag 1</x:v>
      </x:c>
      <x:c r="H366" s="8" t="n">
        <x:f>'Model fits'!AA264</x:f>
        <x:v>7.274676007088052</x:v>
      </x:c>
      <x:c r="I366" s="8" t="n">
        <x:f>0</x:f>
        <x:v>0</x:v>
      </x:c>
      <x:c r="J366" s="8" t="n">
        <x:v>0</x:v>
      </x:c>
      <x:c r="K366" s="8" t="n">
        <x:f>H366-I366*J366</x:f>
        <x:v>7.274676007088052</x:v>
      </x:c>
      <x:c r="L366" s="8" t="n">
        <x:f>'PG facts'!D98</x:f>
        <x:v>5</x:v>
      </x:c>
      <x:c r="M366" s="8" t="n">
        <x:f>K366-L366</x:f>
        <x:v>2.2746760070880523</x:v>
      </x:c>
      <x:c r="N366" s="8" t="n">
        <x:f>M366^2</x:f>
        <x:v>5.174150937222045</x:v>
      </x:c>
      <x:c r="O366" s="8" t="n">
        <x:f>ABS(M366)</x:f>
        <x:v>2.2746760070880523</x:v>
      </x:c>
      <x:c r="P366" s="7" t="n">
        <x:v>45503</x:v>
      </x:c>
    </x:row>
    <x:row r="367" ht="26" customHeight="1">
      <x:c r="A367" s="2"/>
      <x:c r="B367" s="2" t="n">
        <x:v>362</x:v>
      </x:c>
      <x:c r="C367" s="2" t="str">
        <x:v>Grooming / price_contribution</x:v>
      </x:c>
      <x:c r="D367" s="7" t="n">
        <x:v>45473</x:v>
      </x:c>
      <x:c r="E367" s="2" t="str">
        <x:v>Pre-earnings</x:v>
      </x:c>
      <x:c r="F367" s="7" t="n">
        <x:v>45502</x:v>
      </x:c>
      <x:c r="G367" s="2" t="str">
        <x:v>Broad rolling 8</x:v>
      </x:c>
      <x:c r="H367" s="8" t="n">
        <x:f>'Model fits'!AA265</x:f>
        <x:v>6.245502008302326</x:v>
      </x:c>
      <x:c r="I367" s="8" t="n">
        <x:f>0</x:f>
        <x:v>0</x:v>
      </x:c>
      <x:c r="J367" s="8" t="n">
        <x:v>0</x:v>
      </x:c>
      <x:c r="K367" s="8" t="n">
        <x:f>H367-I367*J367</x:f>
        <x:v>6.245502008302326</x:v>
      </x:c>
      <x:c r="L367" s="8" t="n">
        <x:f>'PG facts'!D98</x:f>
        <x:v>5</x:v>
      </x:c>
      <x:c r="M367" s="8" t="n">
        <x:f>K367-L367</x:f>
        <x:v>1.245502008302326</x:v>
      </x:c>
      <x:c r="N367" s="8" t="n">
        <x:f>M367^2</x:f>
        <x:v>1.5512752526851274</x:v>
      </x:c>
      <x:c r="O367" s="8" t="n">
        <x:f>ABS(M367)</x:f>
        <x:v>1.245502008302326</x:v>
      </x:c>
      <x:c r="P367" s="7" t="n">
        <x:v>45503</x:v>
      </x:c>
    </x:row>
    <x:row r="368" ht="26" customHeight="1">
      <x:c r="A368" s="2"/>
      <x:c r="B368" s="2" t="n">
        <x:v>363</x:v>
      </x:c>
      <x:c r="C368" s="2" t="str">
        <x:v>Grooming / price_contribution</x:v>
      </x:c>
      <x:c r="D368" s="7" t="n">
        <x:v>45473</x:v>
      </x:c>
      <x:c r="E368" s="2" t="str">
        <x:v>Pre-earnings</x:v>
      </x:c>
      <x:c r="F368" s="7" t="n">
        <x:v>45502</x:v>
      </x:c>
      <x:c r="G368" s="2" t="str">
        <x:v>Own history</x:v>
      </x:c>
      <x:c r="H368" s="8" t="n">
        <x:f>'Model fits'!AA266</x:f>
        <x:v>10.00581395348837</x:v>
      </x:c>
      <x:c r="I368" s="8" t="n">
        <x:f>0</x:f>
        <x:v>0</x:v>
      </x:c>
      <x:c r="J368" s="8" t="n">
        <x:v>0</x:v>
      </x:c>
      <x:c r="K368" s="8" t="n">
        <x:f>H368-I368*J368</x:f>
        <x:v>10.00581395348837</x:v>
      </x:c>
      <x:c r="L368" s="8" t="n">
        <x:f>'PG facts'!D98</x:f>
        <x:v>5</x:v>
      </x:c>
      <x:c r="M368" s="8" t="n">
        <x:f>K368-L368</x:f>
        <x:v>5.005813953488371</x:v>
      </x:c>
      <x:c r="N368" s="8" t="n">
        <x:f>M368^2</x:f>
        <x:v>25.05817333693887</x:v>
      </x:c>
      <x:c r="O368" s="8" t="n">
        <x:f>ABS(M368)</x:f>
        <x:v>5.005813953488371</x:v>
      </x:c>
      <x:c r="P368" s="7" t="n">
        <x:v>45503</x:v>
      </x:c>
    </x:row>
    <x:row r="369" ht="26" customHeight="1">
      <x:c r="A369" s="2"/>
      <x:c r="B369" s="2" t="n">
        <x:v>364</x:v>
      </x:c>
      <x:c r="C369" s="2" t="str">
        <x:v>Grooming / price_contribution</x:v>
      </x:c>
      <x:c r="D369" s="7" t="n">
        <x:v>45565</x:v>
      </x:c>
      <x:c r="E369" s="2" t="str">
        <x:v>Origin</x:v>
      </x:c>
      <x:c r="F369" s="7" t="n">
        <x:v>45474</x:v>
      </x:c>
      <x:c r="G369" s="2" t="str">
        <x:v>Last actual</x:v>
      </x:c>
      <x:c r="H369" s="8" t="n">
        <x:f>AVERAGE('PG facts'!D91)</x:f>
        <x:v>10</x:v>
      </x:c>
      <x:c r="I369" s="8" t="n">
        <x:f>0</x:f>
        <x:v>0</x:v>
      </x:c>
      <x:c r="J369" s="8" t="n">
        <x:v>0</x:v>
      </x:c>
      <x:c r="K369" s="8" t="n">
        <x:f>H369-I369*J369</x:f>
        <x:v>10</x:v>
      </x:c>
      <x:c r="L369" s="8" t="n">
        <x:f>'PG facts'!D105</x:f>
        <x:v>1</x:v>
      </x:c>
      <x:c r="M369" s="8" t="n">
        <x:f>K369-L369</x:f>
        <x:v>9</x:v>
      </x:c>
      <x:c r="N369" s="8" t="n">
        <x:f>M369^2</x:f>
        <x:v>81</x:v>
      </x:c>
      <x:c r="O369" s="8" t="n">
        <x:f>ABS(M369)</x:f>
        <x:v>9</x:v>
      </x:c>
      <x:c r="P369" s="7" t="n">
        <x:v>45583</x:v>
      </x:c>
    </x:row>
    <x:row r="370" ht="26" customHeight="1">
      <x:c r="A370" s="2"/>
      <x:c r="B370" s="2" t="n">
        <x:v>365</x:v>
      </x:c>
      <x:c r="C370" s="2" t="str">
        <x:v>Grooming / price_contribution</x:v>
      </x:c>
      <x:c r="D370" s="7" t="n">
        <x:v>45565</x:v>
      </x:c>
      <x:c r="E370" s="2" t="str">
        <x:v>Origin</x:v>
      </x:c>
      <x:c r="F370" s="7" t="n">
        <x:v>45474</x:v>
      </x:c>
      <x:c r="G370" s="2" t="str">
        <x:v>Four-quarter mean</x:v>
      </x:c>
      <x:c r="H370" s="8" t="n">
        <x:f>AVERAGE('PG facts'!D70,'PG facts'!D77,'PG facts'!D84,'PG facts'!D91)</x:f>
        <x:v>8.75</x:v>
      </x:c>
      <x:c r="I370" s="8" t="n">
        <x:f>0</x:f>
        <x:v>0</x:v>
      </x:c>
      <x:c r="J370" s="8" t="n">
        <x:v>0</x:v>
      </x:c>
      <x:c r="K370" s="8" t="n">
        <x:f>H370-I370*J370</x:f>
        <x:v>8.75</x:v>
      </x:c>
      <x:c r="L370" s="8" t="n">
        <x:f>'PG facts'!D105</x:f>
        <x:v>1</x:v>
      </x:c>
      <x:c r="M370" s="8" t="n">
        <x:f>K370-L370</x:f>
        <x:v>7.75</x:v>
      </x:c>
      <x:c r="N370" s="8" t="n">
        <x:f>M370^2</x:f>
        <x:v>60.0625</x:v>
      </x:c>
      <x:c r="O370" s="8" t="n">
        <x:f>ABS(M370)</x:f>
        <x:v>7.75</x:v>
      </x:c>
      <x:c r="P370" s="7" t="n">
        <x:v>45583</x:v>
      </x:c>
    </x:row>
    <x:row r="371" ht="26" customHeight="1">
      <x:c r="A371" s="2"/>
      <x:c r="B371" s="2" t="n">
        <x:v>366</x:v>
      </x:c>
      <x:c r="C371" s="2" t="str">
        <x:v>Grooming / price_contribution</x:v>
      </x:c>
      <x:c r="D371" s="7" t="n">
        <x:v>45565</x:v>
      </x:c>
      <x:c r="E371" s="2" t="str">
        <x:v>Origin</x:v>
      </x:c>
      <x:c r="F371" s="7" t="n">
        <x:v>45474</x:v>
      </x:c>
      <x:c r="G371" s="2" t="str">
        <x:v>Broad market</x:v>
      </x:c>
      <x:c r="H371" s="8" t="n">
        <x:f>'Model fits'!AA267</x:f>
        <x:v>5.73147734938269</x:v>
      </x:c>
      <x:c r="I371" s="8" t="n">
        <x:f>0</x:f>
        <x:v>0</x:v>
      </x:c>
      <x:c r="J371" s="8" t="n">
        <x:v>0</x:v>
      </x:c>
      <x:c r="K371" s="8" t="n">
        <x:f>H371-I371*J371</x:f>
        <x:v>5.73147734938269</x:v>
      </x:c>
      <x:c r="L371" s="8" t="n">
        <x:f>'PG facts'!D105</x:f>
        <x:v>1</x:v>
      </x:c>
      <x:c r="M371" s="8" t="n">
        <x:f>K371-L371</x:f>
        <x:v>4.73147734938269</x:v>
      </x:c>
      <x:c r="N371" s="8" t="n">
        <x:f>M371^2</x:f>
        <x:v>22.386877907721445</x:v>
      </x:c>
      <x:c r="O371" s="8" t="n">
        <x:f>ABS(M371)</x:f>
        <x:v>4.73147734938269</x:v>
      </x:c>
      <x:c r="P371" s="7" t="n">
        <x:v>45583</x:v>
      </x:c>
    </x:row>
    <x:row r="372" ht="26" customHeight="1">
      <x:c r="A372" s="2"/>
      <x:c r="B372" s="2" t="n">
        <x:v>367</x:v>
      </x:c>
      <x:c r="C372" s="2" t="str">
        <x:v>Grooming / price_contribution</x:v>
      </x:c>
      <x:c r="D372" s="7" t="n">
        <x:v>45565</x:v>
      </x:c>
      <x:c r="E372" s="2" t="str">
        <x:v>Origin</x:v>
      </x:c>
      <x:c r="F372" s="7" t="n">
        <x:v>45474</x:v>
      </x:c>
      <x:c r="G372" s="2" t="str">
        <x:v>Broad rolling 8</x:v>
      </x:c>
      <x:c r="H372" s="8" t="n">
        <x:f>'Model fits'!AA268</x:f>
        <x:v>6.7739612800951825</x:v>
      </x:c>
      <x:c r="I372" s="8" t="n">
        <x:f>0</x:f>
        <x:v>0</x:v>
      </x:c>
      <x:c r="J372" s="8" t="n">
        <x:v>0</x:v>
      </x:c>
      <x:c r="K372" s="8" t="n">
        <x:f>H372-I372*J372</x:f>
        <x:v>6.7739612800951825</x:v>
      </x:c>
      <x:c r="L372" s="8" t="n">
        <x:f>'PG facts'!D105</x:f>
        <x:v>1</x:v>
      </x:c>
      <x:c r="M372" s="8" t="n">
        <x:f>K372-L372</x:f>
        <x:v>5.7739612800951825</x:v>
      </x:c>
      <x:c r="N372" s="8" t="n">
        <x:f>M372^2</x:f>
        <x:v>33.3386288640384</x:v>
      </x:c>
      <x:c r="O372" s="8" t="n">
        <x:f>ABS(M372)</x:f>
        <x:v>5.7739612800951825</x:v>
      </x:c>
      <x:c r="P372" s="7" t="n">
        <x:v>45583</x:v>
      </x:c>
    </x:row>
    <x:row r="373" ht="26" customHeight="1">
      <x:c r="A373" s="2"/>
      <x:c r="B373" s="2" t="n">
        <x:v>368</x:v>
      </x:c>
      <x:c r="C373" s="2" t="str">
        <x:v>Grooming / price_contribution</x:v>
      </x:c>
      <x:c r="D373" s="7" t="n">
        <x:v>45565</x:v>
      </x:c>
      <x:c r="E373" s="2" t="str">
        <x:v>Origin</x:v>
      </x:c>
      <x:c r="F373" s="7" t="n">
        <x:v>45474</x:v>
      </x:c>
      <x:c r="G373" s="2" t="str">
        <x:v>Own history</x:v>
      </x:c>
      <x:c r="H373" s="8" t="n">
        <x:f>'Model fits'!AA269</x:f>
        <x:v>9.727707006369426</x:v>
      </x:c>
      <x:c r="I373" s="8" t="n">
        <x:f>0</x:f>
        <x:v>0</x:v>
      </x:c>
      <x:c r="J373" s="8" t="n">
        <x:v>0</x:v>
      </x:c>
      <x:c r="K373" s="8" t="n">
        <x:f>H373-I373*J373</x:f>
        <x:v>9.727707006369426</x:v>
      </x:c>
      <x:c r="L373" s="8" t="n">
        <x:f>'PG facts'!D105</x:f>
        <x:v>1</x:v>
      </x:c>
      <x:c r="M373" s="8" t="n">
        <x:f>K373-L373</x:f>
        <x:v>8.727707006369426</x:v>
      </x:c>
      <x:c r="N373" s="8" t="n">
        <x:f>M373^2</x:f>
        <x:v>76.17286958902997</x:v>
      </x:c>
      <x:c r="O373" s="8" t="n">
        <x:f>ABS(M373)</x:f>
        <x:v>8.727707006369426</x:v>
      </x:c>
      <x:c r="P373" s="7" t="n">
        <x:v>45583</x:v>
      </x:c>
    </x:row>
    <x:row r="374" ht="26" customHeight="1">
      <x:c r="A374" s="2"/>
      <x:c r="B374" s="2" t="n">
        <x:v>369</x:v>
      </x:c>
      <x:c r="C374" s="2" t="str">
        <x:v>Grooming / price_contribution</x:v>
      </x:c>
      <x:c r="D374" s="7" t="n">
        <x:v>45565</x:v>
      </x:c>
      <x:c r="E374" s="2" t="str">
        <x:v>Prior report</x:v>
      </x:c>
      <x:c r="F374" s="7" t="n">
        <x:v>45503</x:v>
      </x:c>
      <x:c r="G374" s="2" t="str">
        <x:v>Last actual</x:v>
      </x:c>
      <x:c r="H374" s="8" t="n">
        <x:f>AVERAGE('PG facts'!D98)</x:f>
        <x:v>5</x:v>
      </x:c>
      <x:c r="I374" s="8" t="n">
        <x:f>0</x:f>
        <x:v>0</x:v>
      </x:c>
      <x:c r="J374" s="8" t="n">
        <x:v>0</x:v>
      </x:c>
      <x:c r="K374" s="8" t="n">
        <x:f>H374-I374*J374</x:f>
        <x:v>5</x:v>
      </x:c>
      <x:c r="L374" s="8" t="n">
        <x:f>'PG facts'!D105</x:f>
        <x:v>1</x:v>
      </x:c>
      <x:c r="M374" s="8" t="n">
        <x:f>K374-L374</x:f>
        <x:v>4</x:v>
      </x:c>
      <x:c r="N374" s="8" t="n">
        <x:f>M374^2</x:f>
        <x:v>16</x:v>
      </x:c>
      <x:c r="O374" s="8" t="n">
        <x:f>ABS(M374)</x:f>
        <x:v>4</x:v>
      </x:c>
      <x:c r="P374" s="7" t="n">
        <x:v>45583</x:v>
      </x:c>
    </x:row>
    <x:row r="375" ht="26" customHeight="1">
      <x:c r="A375" s="2"/>
      <x:c r="B375" s="2" t="n">
        <x:v>370</x:v>
      </x:c>
      <x:c r="C375" s="2" t="str">
        <x:v>Grooming / price_contribution</x:v>
      </x:c>
      <x:c r="D375" s="7" t="n">
        <x:v>45565</x:v>
      </x:c>
      <x:c r="E375" s="2" t="str">
        <x:v>Prior report</x:v>
      </x:c>
      <x:c r="F375" s="7" t="n">
        <x:v>45503</x:v>
      </x:c>
      <x:c r="G375" s="2" t="str">
        <x:v>Four-quarter mean</x:v>
      </x:c>
      <x:c r="H375" s="8" t="n">
        <x:f>AVERAGE('PG facts'!D77,'PG facts'!D84,'PG facts'!D91,'PG facts'!D98)</x:f>
        <x:v>7.75</x:v>
      </x:c>
      <x:c r="I375" s="8" t="n">
        <x:f>0</x:f>
        <x:v>0</x:v>
      </x:c>
      <x:c r="J375" s="8" t="n">
        <x:v>0</x:v>
      </x:c>
      <x:c r="K375" s="8" t="n">
        <x:f>H375-I375*J375</x:f>
        <x:v>7.75</x:v>
      </x:c>
      <x:c r="L375" s="8" t="n">
        <x:f>'PG facts'!D105</x:f>
        <x:v>1</x:v>
      </x:c>
      <x:c r="M375" s="8" t="n">
        <x:f>K375-L375</x:f>
        <x:v>6.75</x:v>
      </x:c>
      <x:c r="N375" s="8" t="n">
        <x:f>M375^2</x:f>
        <x:v>45.5625</x:v>
      </x:c>
      <x:c r="O375" s="8" t="n">
        <x:f>ABS(M375)</x:f>
        <x:v>6.75</x:v>
      </x:c>
      <x:c r="P375" s="7" t="n">
        <x:v>45583</x:v>
      </x:c>
    </x:row>
    <x:row r="376" ht="26" customHeight="1">
      <x:c r="A376" s="2"/>
      <x:c r="B376" s="2" t="n">
        <x:v>371</x:v>
      </x:c>
      <x:c r="C376" s="2" t="str">
        <x:v>Grooming / price_contribution</x:v>
      </x:c>
      <x:c r="D376" s="7" t="n">
        <x:v>45565</x:v>
      </x:c>
      <x:c r="E376" s="2" t="str">
        <x:v>Prior report</x:v>
      </x:c>
      <x:c r="F376" s="7" t="n">
        <x:v>45503</x:v>
      </x:c>
      <x:c r="G376" s="2" t="str">
        <x:v>Broad market</x:v>
      </x:c>
      <x:c r="H376" s="8" t="n">
        <x:f>'Model fits'!AA270</x:f>
        <x:v>4.954695685937977</x:v>
      </x:c>
      <x:c r="I376" s="8" t="n">
        <x:f>0</x:f>
        <x:v>0</x:v>
      </x:c>
      <x:c r="J376" s="8" t="n">
        <x:v>0</x:v>
      </x:c>
      <x:c r="K376" s="8" t="n">
        <x:f>H376-I376*J376</x:f>
        <x:v>4.954695685937977</x:v>
      </x:c>
      <x:c r="L376" s="8" t="n">
        <x:f>'PG facts'!D105</x:f>
        <x:v>1</x:v>
      </x:c>
      <x:c r="M376" s="8" t="n">
        <x:f>K376-L376</x:f>
        <x:v>3.9546956859379767</x:v>
      </x:c>
      <x:c r="N376" s="8" t="n">
        <x:f>M376^2</x:f>
        <x:v>15.639617968376443</x:v>
      </x:c>
      <x:c r="O376" s="8" t="n">
        <x:f>ABS(M376)</x:f>
        <x:v>3.9546956859379767</x:v>
      </x:c>
      <x:c r="P376" s="7" t="n">
        <x:v>45583</x:v>
      </x:c>
    </x:row>
    <x:row r="377" ht="26" customHeight="1">
      <x:c r="A377" s="2"/>
      <x:c r="B377" s="2" t="n">
        <x:v>372</x:v>
      </x:c>
      <x:c r="C377" s="2" t="str">
        <x:v>Grooming / price_contribution</x:v>
      </x:c>
      <x:c r="D377" s="7" t="n">
        <x:v>45565</x:v>
      </x:c>
      <x:c r="E377" s="2" t="str">
        <x:v>Prior report</x:v>
      </x:c>
      <x:c r="F377" s="7" t="n">
        <x:v>45503</x:v>
      </x:c>
      <x:c r="G377" s="2" t="str">
        <x:v>Broad lag 1</x:v>
      </x:c>
      <x:c r="H377" s="8" t="n">
        <x:f>'Model fits'!AA271</x:f>
        <x:v>5.450858434335981</x:v>
      </x:c>
      <x:c r="I377" s="8" t="n">
        <x:f>0</x:f>
        <x:v>0</x:v>
      </x:c>
      <x:c r="J377" s="8" t="n">
        <x:v>0</x:v>
      </x:c>
      <x:c r="K377" s="8" t="n">
        <x:f>H377-I377*J377</x:f>
        <x:v>5.450858434335981</x:v>
      </x:c>
      <x:c r="L377" s="8" t="n">
        <x:f>'PG facts'!D105</x:f>
        <x:v>1</x:v>
      </x:c>
      <x:c r="M377" s="8" t="n">
        <x:f>K377-L377</x:f>
        <x:v>4.450858434335981</x:v>
      </x:c>
      <x:c r="N377" s="8" t="n">
        <x:f>M377^2</x:f>
        <x:v>19.81014080249974</x:v>
      </x:c>
      <x:c r="O377" s="8" t="n">
        <x:f>ABS(M377)</x:f>
        <x:v>4.450858434335981</x:v>
      </x:c>
      <x:c r="P377" s="7" t="n">
        <x:v>45583</x:v>
      </x:c>
    </x:row>
    <x:row r="378" ht="26" customHeight="1">
      <x:c r="A378" s="2"/>
      <x:c r="B378" s="2" t="n">
        <x:v>373</x:v>
      </x:c>
      <x:c r="C378" s="2" t="str">
        <x:v>Grooming / price_contribution</x:v>
      </x:c>
      <x:c r="D378" s="7" t="n">
        <x:v>45565</x:v>
      </x:c>
      <x:c r="E378" s="2" t="str">
        <x:v>Prior report</x:v>
      </x:c>
      <x:c r="F378" s="7" t="n">
        <x:v>45503</x:v>
      </x:c>
      <x:c r="G378" s="2" t="str">
        <x:v>Broad rolling 8</x:v>
      </x:c>
      <x:c r="H378" s="8" t="n">
        <x:f>'Model fits'!AA272</x:f>
        <x:v>5.967548561012424</x:v>
      </x:c>
      <x:c r="I378" s="8" t="n">
        <x:f>0</x:f>
        <x:v>0</x:v>
      </x:c>
      <x:c r="J378" s="8" t="n">
        <x:v>0</x:v>
      </x:c>
      <x:c r="K378" s="8" t="n">
        <x:f>H378-I378*J378</x:f>
        <x:v>5.967548561012424</x:v>
      </x:c>
      <x:c r="L378" s="8" t="n">
        <x:f>'PG facts'!D105</x:f>
        <x:v>1</x:v>
      </x:c>
      <x:c r="M378" s="8" t="n">
        <x:f>K378-L378</x:f>
        <x:v>4.967548561012424</x:v>
      </x:c>
      <x:c r="N378" s="8" t="n">
        <x:f>M378^2</x:f>
        <x:v>24.676538706016604</x:v>
      </x:c>
      <x:c r="O378" s="8" t="n">
        <x:f>ABS(M378)</x:f>
        <x:v>4.967548561012424</x:v>
      </x:c>
      <x:c r="P378" s="7" t="n">
        <x:v>45583</x:v>
      </x:c>
    </x:row>
    <x:row r="379" ht="26" customHeight="1">
      <x:c r="A379" s="2"/>
      <x:c r="B379" s="2" t="n">
        <x:v>374</x:v>
      </x:c>
      <x:c r="C379" s="2" t="str">
        <x:v>Grooming / price_contribution</x:v>
      </x:c>
      <x:c r="D379" s="7" t="n">
        <x:v>45565</x:v>
      </x:c>
      <x:c r="E379" s="2" t="str">
        <x:v>Prior report</x:v>
      </x:c>
      <x:c r="F379" s="7" t="n">
        <x:v>45503</x:v>
      </x:c>
      <x:c r="G379" s="2" t="str">
        <x:v>Own history</x:v>
      </x:c>
      <x:c r="H379" s="8" t="n">
        <x:f>'Model fits'!AA273</x:f>
        <x:v>5.73728813559322</x:v>
      </x:c>
      <x:c r="I379" s="8" t="n">
        <x:f>0</x:f>
        <x:v>0</x:v>
      </x:c>
      <x:c r="J379" s="8" t="n">
        <x:v>0</x:v>
      </x:c>
      <x:c r="K379" s="8" t="n">
        <x:f>H379-I379*J379</x:f>
        <x:v>5.73728813559322</x:v>
      </x:c>
      <x:c r="L379" s="8" t="n">
        <x:f>'PG facts'!D105</x:f>
        <x:v>1</x:v>
      </x:c>
      <x:c r="M379" s="8" t="n">
        <x:f>K379-L379</x:f>
        <x:v>4.73728813559322</x:v>
      </x:c>
      <x:c r="N379" s="8" t="n">
        <x:f>M379^2</x:f>
        <x:v>22.441898879632284</x:v>
      </x:c>
      <x:c r="O379" s="8" t="n">
        <x:f>ABS(M379)</x:f>
        <x:v>4.73728813559322</x:v>
      </x:c>
      <x:c r="P379" s="7" t="n">
        <x:v>45583</x:v>
      </x:c>
    </x:row>
    <x:row r="380" ht="26" customHeight="1">
      <x:c r="A380" s="2"/>
      <x:c r="B380" s="2" t="n">
        <x:v>375</x:v>
      </x:c>
      <x:c r="C380" s="2" t="str">
        <x:v>Grooming / price_contribution</x:v>
      </x:c>
      <x:c r="D380" s="7" t="n">
        <x:v>45565</x:v>
      </x:c>
      <x:c r="E380" s="2" t="str">
        <x:v>Pre-earnings</x:v>
      </x:c>
      <x:c r="F380" s="7" t="n">
        <x:v>45582</x:v>
      </x:c>
      <x:c r="G380" s="2" t="str">
        <x:v>Last actual</x:v>
      </x:c>
      <x:c r="H380" s="8" t="n">
        <x:f>AVERAGE('PG facts'!D98)</x:f>
        <x:v>5</x:v>
      </x:c>
      <x:c r="I380" s="8" t="n">
        <x:f>0</x:f>
        <x:v>0</x:v>
      </x:c>
      <x:c r="J380" s="8" t="n">
        <x:v>0</x:v>
      </x:c>
      <x:c r="K380" s="8" t="n">
        <x:f>H380-I380*J380</x:f>
        <x:v>5</x:v>
      </x:c>
      <x:c r="L380" s="8" t="n">
        <x:f>'PG facts'!D105</x:f>
        <x:v>1</x:v>
      </x:c>
      <x:c r="M380" s="8" t="n">
        <x:f>K380-L380</x:f>
        <x:v>4</x:v>
      </x:c>
      <x:c r="N380" s="8" t="n">
        <x:f>M380^2</x:f>
        <x:v>16</x:v>
      </x:c>
      <x:c r="O380" s="8" t="n">
        <x:f>ABS(M380)</x:f>
        <x:v>4</x:v>
      </x:c>
      <x:c r="P380" s="7" t="n">
        <x:v>45583</x:v>
      </x:c>
    </x:row>
    <x:row r="381" ht="26" customHeight="1">
      <x:c r="A381" s="2"/>
      <x:c r="B381" s="2" t="n">
        <x:v>376</x:v>
      </x:c>
      <x:c r="C381" s="2" t="str">
        <x:v>Grooming / price_contribution</x:v>
      </x:c>
      <x:c r="D381" s="7" t="n">
        <x:v>45565</x:v>
      </x:c>
      <x:c r="E381" s="2" t="str">
        <x:v>Pre-earnings</x:v>
      </x:c>
      <x:c r="F381" s="7" t="n">
        <x:v>45582</x:v>
      </x:c>
      <x:c r="G381" s="2" t="str">
        <x:v>Four-quarter mean</x:v>
      </x:c>
      <x:c r="H381" s="8" t="n">
        <x:f>AVERAGE('PG facts'!D77,'PG facts'!D84,'PG facts'!D91,'PG facts'!D98)</x:f>
        <x:v>7.75</x:v>
      </x:c>
      <x:c r="I381" s="8" t="n">
        <x:f>0</x:f>
        <x:v>0</x:v>
      </x:c>
      <x:c r="J381" s="8" t="n">
        <x:v>0</x:v>
      </x:c>
      <x:c r="K381" s="8" t="n">
        <x:f>H381-I381*J381</x:f>
        <x:v>7.75</x:v>
      </x:c>
      <x:c r="L381" s="8" t="n">
        <x:f>'PG facts'!D105</x:f>
        <x:v>1</x:v>
      </x:c>
      <x:c r="M381" s="8" t="n">
        <x:f>K381-L381</x:f>
        <x:v>6.75</x:v>
      </x:c>
      <x:c r="N381" s="8" t="n">
        <x:f>M381^2</x:f>
        <x:v>45.5625</x:v>
      </x:c>
      <x:c r="O381" s="8" t="n">
        <x:f>ABS(M381)</x:f>
        <x:v>6.75</x:v>
      </x:c>
      <x:c r="P381" s="7" t="n">
        <x:v>45583</x:v>
      </x:c>
    </x:row>
    <x:row r="382" ht="26" customHeight="1">
      <x:c r="A382" s="2"/>
      <x:c r="B382" s="2" t="n">
        <x:v>377</x:v>
      </x:c>
      <x:c r="C382" s="2" t="str">
        <x:v>Grooming / price_contribution</x:v>
      </x:c>
      <x:c r="D382" s="7" t="n">
        <x:v>45565</x:v>
      </x:c>
      <x:c r="E382" s="2" t="str">
        <x:v>Pre-earnings</x:v>
      </x:c>
      <x:c r="F382" s="7" t="n">
        <x:v>45582</x:v>
      </x:c>
      <x:c r="G382" s="2" t="str">
        <x:v>Broad market</x:v>
      </x:c>
      <x:c r="H382" s="8" t="n">
        <x:f>'Model fits'!AA274</x:f>
        <x:v>3.678227117977957</x:v>
      </x:c>
      <x:c r="I382" s="8" t="n">
        <x:f>0</x:f>
        <x:v>0</x:v>
      </x:c>
      <x:c r="J382" s="8" t="n">
        <x:v>0</x:v>
      </x:c>
      <x:c r="K382" s="8" t="n">
        <x:f>H382-I382*J382</x:f>
        <x:v>3.678227117977957</x:v>
      </x:c>
      <x:c r="L382" s="8" t="n">
        <x:f>'PG facts'!D105</x:f>
        <x:v>1</x:v>
      </x:c>
      <x:c r="M382" s="8" t="n">
        <x:f>K382-L382</x:f>
        <x:v>2.678227117977957</x:v>
      </x:c>
      <x:c r="N382" s="8" t="n">
        <x:f>M382^2</x:f>
        <x:v>7.172900495472513</x:v>
      </x:c>
      <x:c r="O382" s="8" t="n">
        <x:f>ABS(M382)</x:f>
        <x:v>2.678227117977957</x:v>
      </x:c>
      <x:c r="P382" s="7" t="n">
        <x:v>45583</x:v>
      </x:c>
    </x:row>
    <x:row r="383" ht="26" customHeight="1">
      <x:c r="A383" s="2"/>
      <x:c r="B383" s="2" t="n">
        <x:v>378</x:v>
      </x:c>
      <x:c r="C383" s="2" t="str">
        <x:v>Grooming / price_contribution</x:v>
      </x:c>
      <x:c r="D383" s="7" t="n">
        <x:v>45565</x:v>
      </x:c>
      <x:c r="E383" s="2" t="str">
        <x:v>Pre-earnings</x:v>
      </x:c>
      <x:c r="F383" s="7" t="n">
        <x:v>45582</x:v>
      </x:c>
      <x:c r="G383" s="2" t="str">
        <x:v>Broad lag 1</x:v>
      </x:c>
      <x:c r="H383" s="8" t="n">
        <x:f>'Model fits'!AA275</x:f>
        <x:v>5.450858434335981</x:v>
      </x:c>
      <x:c r="I383" s="8" t="n">
        <x:f>0</x:f>
        <x:v>0</x:v>
      </x:c>
      <x:c r="J383" s="8" t="n">
        <x:v>0</x:v>
      </x:c>
      <x:c r="K383" s="8" t="n">
        <x:f>H383-I383*J383</x:f>
        <x:v>5.450858434335981</x:v>
      </x:c>
      <x:c r="L383" s="8" t="n">
        <x:f>'PG facts'!D105</x:f>
        <x:v>1</x:v>
      </x:c>
      <x:c r="M383" s="8" t="n">
        <x:f>K383-L383</x:f>
        <x:v>4.450858434335981</x:v>
      </x:c>
      <x:c r="N383" s="8" t="n">
        <x:f>M383^2</x:f>
        <x:v>19.81014080249974</x:v>
      </x:c>
      <x:c r="O383" s="8" t="n">
        <x:f>ABS(M383)</x:f>
        <x:v>4.450858434335981</x:v>
      </x:c>
      <x:c r="P383" s="7" t="n">
        <x:v>45583</x:v>
      </x:c>
    </x:row>
    <x:row r="384" ht="26" customHeight="1">
      <x:c r="A384" s="2"/>
      <x:c r="B384" s="2" t="n">
        <x:v>379</x:v>
      </x:c>
      <x:c r="C384" s="2" t="str">
        <x:v>Grooming / price_contribution</x:v>
      </x:c>
      <x:c r="D384" s="7" t="n">
        <x:v>45565</x:v>
      </x:c>
      <x:c r="E384" s="2" t="str">
        <x:v>Pre-earnings</x:v>
      </x:c>
      <x:c r="F384" s="7" t="n">
        <x:v>45582</x:v>
      </x:c>
      <x:c r="G384" s="2" t="str">
        <x:v>Broad rolling 8</x:v>
      </x:c>
      <x:c r="H384" s="8" t="n">
        <x:f>'Model fits'!AA276</x:f>
        <x:v>5.014571997828481</x:v>
      </x:c>
      <x:c r="I384" s="8" t="n">
        <x:f>0</x:f>
        <x:v>0</x:v>
      </x:c>
      <x:c r="J384" s="8" t="n">
        <x:v>0</x:v>
      </x:c>
      <x:c r="K384" s="8" t="n">
        <x:f>H384-I384*J384</x:f>
        <x:v>5.014571997828481</x:v>
      </x:c>
      <x:c r="L384" s="8" t="n">
        <x:f>'PG facts'!D105</x:f>
        <x:v>1</x:v>
      </x:c>
      <x:c r="M384" s="8" t="n">
        <x:f>K384-L384</x:f>
        <x:v>4.014571997828481</x:v>
      </x:c>
      <x:c r="N384" s="8" t="n">
        <x:f>M384^2</x:f>
        <x:v>16.116788325748562</x:v>
      </x:c>
      <x:c r="O384" s="8" t="n">
        <x:f>ABS(M384)</x:f>
        <x:v>4.014571997828481</x:v>
      </x:c>
      <x:c r="P384" s="7" t="n">
        <x:v>45583</x:v>
      </x:c>
    </x:row>
    <x:row r="385" ht="26" customHeight="1">
      <x:c r="A385" s="2"/>
      <x:c r="B385" s="2" t="n">
        <x:v>380</x:v>
      </x:c>
      <x:c r="C385" s="2" t="str">
        <x:v>Grooming / price_contribution</x:v>
      </x:c>
      <x:c r="D385" s="7" t="n">
        <x:v>45565</x:v>
      </x:c>
      <x:c r="E385" s="2" t="str">
        <x:v>Pre-earnings</x:v>
      </x:c>
      <x:c r="F385" s="7" t="n">
        <x:v>45582</x:v>
      </x:c>
      <x:c r="G385" s="2" t="str">
        <x:v>Own history</x:v>
      </x:c>
      <x:c r="H385" s="8" t="n">
        <x:f>'Model fits'!AA277</x:f>
        <x:v>5.73728813559322</x:v>
      </x:c>
      <x:c r="I385" s="8" t="n">
        <x:f>0</x:f>
        <x:v>0</x:v>
      </x:c>
      <x:c r="J385" s="8" t="n">
        <x:v>0</x:v>
      </x:c>
      <x:c r="K385" s="8" t="n">
        <x:f>H385-I385*J385</x:f>
        <x:v>5.73728813559322</x:v>
      </x:c>
      <x:c r="L385" s="8" t="n">
        <x:f>'PG facts'!D105</x:f>
        <x:v>1</x:v>
      </x:c>
      <x:c r="M385" s="8" t="n">
        <x:f>K385-L385</x:f>
        <x:v>4.73728813559322</x:v>
      </x:c>
      <x:c r="N385" s="8" t="n">
        <x:f>M385^2</x:f>
        <x:v>22.441898879632284</x:v>
      </x:c>
      <x:c r="O385" s="8" t="n">
        <x:f>ABS(M385)</x:f>
        <x:v>4.73728813559322</x:v>
      </x:c>
      <x:c r="P385" s="7" t="n">
        <x:v>45583</x:v>
      </x:c>
    </x:row>
    <x:row r="386" ht="26" customHeight="1">
      <x:c r="A386" s="2"/>
      <x:c r="B386" s="2" t="n">
        <x:v>381</x:v>
      </x:c>
      <x:c r="C386" s="2" t="str">
        <x:v>Grooming / price_contribution</x:v>
      </x:c>
      <x:c r="D386" s="7" t="n">
        <x:v>45657</x:v>
      </x:c>
      <x:c r="E386" s="2" t="str">
        <x:v>Origin</x:v>
      </x:c>
      <x:c r="F386" s="7" t="n">
        <x:v>45566</x:v>
      </x:c>
      <x:c r="G386" s="2" t="str">
        <x:v>Last actual</x:v>
      </x:c>
      <x:c r="H386" s="8" t="n">
        <x:f>AVERAGE('PG facts'!D98)</x:f>
        <x:v>5</x:v>
      </x:c>
      <x:c r="I386" s="8" t="n">
        <x:f>0</x:f>
        <x:v>0</x:v>
      </x:c>
      <x:c r="J386" s="8" t="n">
        <x:v>0</x:v>
      </x:c>
      <x:c r="K386" s="8" t="n">
        <x:f>H386-I386*J386</x:f>
        <x:v>5</x:v>
      </x:c>
      <x:c r="L386" s="8" t="n">
        <x:f>'PG facts'!D112</x:f>
        <x:v>1</x:v>
      </x:c>
      <x:c r="M386" s="8" t="n">
        <x:f>K386-L386</x:f>
        <x:v>4</x:v>
      </x:c>
      <x:c r="N386" s="8" t="n">
        <x:f>M386^2</x:f>
        <x:v>16</x:v>
      </x:c>
      <x:c r="O386" s="8" t="n">
        <x:f>ABS(M386)</x:f>
        <x:v>4</x:v>
      </x:c>
      <x:c r="P386" s="7" t="n">
        <x:v>45679</x:v>
      </x:c>
    </x:row>
    <x:row r="387" ht="26" customHeight="1">
      <x:c r="A387" s="2"/>
      <x:c r="B387" s="2" t="n">
        <x:v>382</x:v>
      </x:c>
      <x:c r="C387" s="2" t="str">
        <x:v>Grooming / price_contribution</x:v>
      </x:c>
      <x:c r="D387" s="7" t="n">
        <x:v>45657</x:v>
      </x:c>
      <x:c r="E387" s="2" t="str">
        <x:v>Origin</x:v>
      </x:c>
      <x:c r="F387" s="7" t="n">
        <x:v>45566</x:v>
      </x:c>
      <x:c r="G387" s="2" t="str">
        <x:v>Four-quarter mean</x:v>
      </x:c>
      <x:c r="H387" s="8" t="n">
        <x:f>AVERAGE('PG facts'!D77,'PG facts'!D84,'PG facts'!D91,'PG facts'!D98)</x:f>
        <x:v>7.75</x:v>
      </x:c>
      <x:c r="I387" s="8" t="n">
        <x:f>0</x:f>
        <x:v>0</x:v>
      </x:c>
      <x:c r="J387" s="8" t="n">
        <x:v>0</x:v>
      </x:c>
      <x:c r="K387" s="8" t="n">
        <x:f>H387-I387*J387</x:f>
        <x:v>7.75</x:v>
      </x:c>
      <x:c r="L387" s="8" t="n">
        <x:f>'PG facts'!D112</x:f>
        <x:v>1</x:v>
      </x:c>
      <x:c r="M387" s="8" t="n">
        <x:f>K387-L387</x:f>
        <x:v>6.75</x:v>
      </x:c>
      <x:c r="N387" s="8" t="n">
        <x:f>M387^2</x:f>
        <x:v>45.5625</x:v>
      </x:c>
      <x:c r="O387" s="8" t="n">
        <x:f>ABS(M387)</x:f>
        <x:v>6.75</x:v>
      </x:c>
      <x:c r="P387" s="7" t="n">
        <x:v>45679</x:v>
      </x:c>
    </x:row>
    <x:row r="388" ht="26" customHeight="1">
      <x:c r="A388" s="2"/>
      <x:c r="B388" s="2" t="n">
        <x:v>383</x:v>
      </x:c>
      <x:c r="C388" s="2" t="str">
        <x:v>Grooming / price_contribution</x:v>
      </x:c>
      <x:c r="D388" s="7" t="n">
        <x:v>45657</x:v>
      </x:c>
      <x:c r="E388" s="2" t="str">
        <x:v>Origin</x:v>
      </x:c>
      <x:c r="F388" s="7" t="n">
        <x:v>45566</x:v>
      </x:c>
      <x:c r="G388" s="2" t="str">
        <x:v>Broad market</x:v>
      </x:c>
      <x:c r="H388" s="8" t="n">
        <x:f>'Model fits'!AA278</x:f>
        <x:v>3.975316364931714</x:v>
      </x:c>
      <x:c r="I388" s="8" t="n">
        <x:f>0</x:f>
        <x:v>0</x:v>
      </x:c>
      <x:c r="J388" s="8" t="n">
        <x:v>0</x:v>
      </x:c>
      <x:c r="K388" s="8" t="n">
        <x:f>H388-I388*J388</x:f>
        <x:v>3.975316364931714</x:v>
      </x:c>
      <x:c r="L388" s="8" t="n">
        <x:f>'PG facts'!D112</x:f>
        <x:v>1</x:v>
      </x:c>
      <x:c r="M388" s="8" t="n">
        <x:f>K388-L388</x:f>
        <x:v>2.975316364931714</x:v>
      </x:c>
      <x:c r="N388" s="8" t="n">
        <x:f>M388^2</x:f>
        <x:v>8.852507471430469</x:v>
      </x:c>
      <x:c r="O388" s="8" t="n">
        <x:f>ABS(M388)</x:f>
        <x:v>2.975316364931714</x:v>
      </x:c>
      <x:c r="P388" s="7" t="n">
        <x:v>45679</x:v>
      </x:c>
    </x:row>
    <x:row r="389" ht="26" customHeight="1">
      <x:c r="A389" s="2"/>
      <x:c r="B389" s="2" t="n">
        <x:v>384</x:v>
      </x:c>
      <x:c r="C389" s="2" t="str">
        <x:v>Grooming / price_contribution</x:v>
      </x:c>
      <x:c r="D389" s="7" t="n">
        <x:v>45657</x:v>
      </x:c>
      <x:c r="E389" s="2" t="str">
        <x:v>Origin</x:v>
      </x:c>
      <x:c r="F389" s="7" t="n">
        <x:v>45566</x:v>
      </x:c>
      <x:c r="G389" s="2" t="str">
        <x:v>Broad rolling 8</x:v>
      </x:c>
      <x:c r="H389" s="8" t="n">
        <x:f>'Model fits'!AA279</x:f>
        <x:v>5.23637071393268</x:v>
      </x:c>
      <x:c r="I389" s="8" t="n">
        <x:f>0</x:f>
        <x:v>0</x:v>
      </x:c>
      <x:c r="J389" s="8" t="n">
        <x:v>0</x:v>
      </x:c>
      <x:c r="K389" s="8" t="n">
        <x:f>H389-I389*J389</x:f>
        <x:v>5.23637071393268</x:v>
      </x:c>
      <x:c r="L389" s="8" t="n">
        <x:f>'PG facts'!D112</x:f>
        <x:v>1</x:v>
      </x:c>
      <x:c r="M389" s="8" t="n">
        <x:f>K389-L389</x:f>
        <x:v>4.23637071393268</x:v>
      </x:c>
      <x:c r="N389" s="8" t="n">
        <x:f>M389^2</x:f>
        <x:v>17.946836825866484</x:v>
      </x:c>
      <x:c r="O389" s="8" t="n">
        <x:f>ABS(M389)</x:f>
        <x:v>4.23637071393268</x:v>
      </x:c>
      <x:c r="P389" s="7" t="n">
        <x:v>45679</x:v>
      </x:c>
    </x:row>
    <x:row r="390" ht="26" customHeight="1">
      <x:c r="A390" s="2"/>
      <x:c r="B390" s="2" t="n">
        <x:v>385</x:v>
      </x:c>
      <x:c r="C390" s="2" t="str">
        <x:v>Grooming / price_contribution</x:v>
      </x:c>
      <x:c r="D390" s="7" t="n">
        <x:v>45657</x:v>
      </x:c>
      <x:c r="E390" s="2" t="str">
        <x:v>Origin</x:v>
      </x:c>
      <x:c r="F390" s="7" t="n">
        <x:v>45566</x:v>
      </x:c>
      <x:c r="G390" s="2" t="str">
        <x:v>Own history</x:v>
      </x:c>
      <x:c r="H390" s="8" t="n">
        <x:f>'Model fits'!AA280</x:f>
        <x:v>6.459302325581396</x:v>
      </x:c>
      <x:c r="I390" s="8" t="n">
        <x:f>0</x:f>
        <x:v>0</x:v>
      </x:c>
      <x:c r="J390" s="8" t="n">
        <x:v>0</x:v>
      </x:c>
      <x:c r="K390" s="8" t="n">
        <x:f>H390-I390*J390</x:f>
        <x:v>6.459302325581396</x:v>
      </x:c>
      <x:c r="L390" s="8" t="n">
        <x:f>'PG facts'!D112</x:f>
        <x:v>1</x:v>
      </x:c>
      <x:c r="M390" s="8" t="n">
        <x:f>K390-L390</x:f>
        <x:v>5.459302325581396</x:v>
      </x:c>
      <x:c r="N390" s="8" t="n">
        <x:f>M390^2</x:f>
        <x:v>29.803981882098437</x:v>
      </x:c>
      <x:c r="O390" s="8" t="n">
        <x:f>ABS(M390)</x:f>
        <x:v>5.459302325581396</x:v>
      </x:c>
      <x:c r="P390" s="7" t="n">
        <x:v>45679</x:v>
      </x:c>
    </x:row>
    <x:row r="391" ht="26" customHeight="1">
      <x:c r="A391" s="2"/>
      <x:c r="B391" s="2" t="n">
        <x:v>386</x:v>
      </x:c>
      <x:c r="C391" s="2" t="str">
        <x:v>Grooming / price_contribution</x:v>
      </x:c>
      <x:c r="D391" s="7" t="n">
        <x:v>45657</x:v>
      </x:c>
      <x:c r="E391" s="2" t="str">
        <x:v>Prior report</x:v>
      </x:c>
      <x:c r="F391" s="7" t="n">
        <x:v>45583</x:v>
      </x:c>
      <x:c r="G391" s="2" t="str">
        <x:v>Last actual</x:v>
      </x:c>
      <x:c r="H391" s="8" t="n">
        <x:f>AVERAGE('PG facts'!D105)</x:f>
        <x:v>1</x:v>
      </x:c>
      <x:c r="I391" s="8" t="n">
        <x:f>0</x:f>
        <x:v>0</x:v>
      </x:c>
      <x:c r="J391" s="8" t="n">
        <x:v>0</x:v>
      </x:c>
      <x:c r="K391" s="8" t="n">
        <x:f>H391-I391*J391</x:f>
        <x:v>1</x:v>
      </x:c>
      <x:c r="L391" s="8" t="n">
        <x:f>'PG facts'!D112</x:f>
        <x:v>1</x:v>
      </x:c>
      <x:c r="M391" s="8" t="n">
        <x:f>K391-L391</x:f>
        <x:v>0</x:v>
      </x:c>
      <x:c r="N391" s="8" t="n">
        <x:f>M391^2</x:f>
        <x:v>0</x:v>
      </x:c>
      <x:c r="O391" s="8" t="n">
        <x:f>ABS(M391)</x:f>
        <x:v>0</x:v>
      </x:c>
      <x:c r="P391" s="7" t="n">
        <x:v>45679</x:v>
      </x:c>
    </x:row>
    <x:row r="392" ht="26" customHeight="1">
      <x:c r="A392" s="2"/>
      <x:c r="B392" s="2" t="n">
        <x:v>387</x:v>
      </x:c>
      <x:c r="C392" s="2" t="str">
        <x:v>Grooming / price_contribution</x:v>
      </x:c>
      <x:c r="D392" s="7" t="n">
        <x:v>45657</x:v>
      </x:c>
      <x:c r="E392" s="2" t="str">
        <x:v>Prior report</x:v>
      </x:c>
      <x:c r="F392" s="7" t="n">
        <x:v>45583</x:v>
      </x:c>
      <x:c r="G392" s="2" t="str">
        <x:v>Four-quarter mean</x:v>
      </x:c>
      <x:c r="H392" s="8" t="n">
        <x:f>AVERAGE('PG facts'!D84,'PG facts'!D91,'PG facts'!D98,'PG facts'!D105)</x:f>
        <x:v>5.75</x:v>
      </x:c>
      <x:c r="I392" s="8" t="n">
        <x:f>0</x:f>
        <x:v>0</x:v>
      </x:c>
      <x:c r="J392" s="8" t="n">
        <x:v>0</x:v>
      </x:c>
      <x:c r="K392" s="8" t="n">
        <x:f>H392-I392*J392</x:f>
        <x:v>5.75</x:v>
      </x:c>
      <x:c r="L392" s="8" t="n">
        <x:f>'PG facts'!D112</x:f>
        <x:v>1</x:v>
      </x:c>
      <x:c r="M392" s="8" t="n">
        <x:f>K392-L392</x:f>
        <x:v>4.75</x:v>
      </x:c>
      <x:c r="N392" s="8" t="n">
        <x:f>M392^2</x:f>
        <x:v>22.5625</x:v>
      </x:c>
      <x:c r="O392" s="8" t="n">
        <x:f>ABS(M392)</x:f>
        <x:v>4.75</x:v>
      </x:c>
      <x:c r="P392" s="7" t="n">
        <x:v>45679</x:v>
      </x:c>
    </x:row>
    <x:row r="393" ht="26" customHeight="1">
      <x:c r="A393" s="2"/>
      <x:c r="B393" s="2" t="n">
        <x:v>388</x:v>
      </x:c>
      <x:c r="C393" s="2" t="str">
        <x:v>Grooming / price_contribution</x:v>
      </x:c>
      <x:c r="D393" s="7" t="n">
        <x:v>45657</x:v>
      </x:c>
      <x:c r="E393" s="2" t="str">
        <x:v>Prior report</x:v>
      </x:c>
      <x:c r="F393" s="7" t="n">
        <x:v>45583</x:v>
      </x:c>
      <x:c r="G393" s="2" t="str">
        <x:v>Broad market</x:v>
      </x:c>
      <x:c r="H393" s="8" t="n">
        <x:f>'Model fits'!AA281</x:f>
        <x:v>3.3424718417992447</x:v>
      </x:c>
      <x:c r="I393" s="8" t="n">
        <x:f>0</x:f>
        <x:v>0</x:v>
      </x:c>
      <x:c r="J393" s="8" t="n">
        <x:v>0</x:v>
      </x:c>
      <x:c r="K393" s="8" t="n">
        <x:f>H393-I393*J393</x:f>
        <x:v>3.3424718417992447</x:v>
      </x:c>
      <x:c r="L393" s="8" t="n">
        <x:f>'PG facts'!D112</x:f>
        <x:v>1</x:v>
      </x:c>
      <x:c r="M393" s="8" t="n">
        <x:f>K393-L393</x:f>
        <x:v>2.3424718417992447</x:v>
      </x:c>
      <x:c r="N393" s="8" t="n">
        <x:f>M393^2</x:f>
        <x:v>5.487174329622346</x:v>
      </x:c>
      <x:c r="O393" s="8" t="n">
        <x:f>ABS(M393)</x:f>
        <x:v>2.3424718417992447</x:v>
      </x:c>
      <x:c r="P393" s="7" t="n">
        <x:v>45679</x:v>
      </x:c>
    </x:row>
    <x:row r="394" ht="26" customHeight="1">
      <x:c r="A394" s="2"/>
      <x:c r="B394" s="2" t="n">
        <x:v>389</x:v>
      </x:c>
      <x:c r="C394" s="2" t="str">
        <x:v>Grooming / price_contribution</x:v>
      </x:c>
      <x:c r="D394" s="7" t="n">
        <x:v>45657</x:v>
      </x:c>
      <x:c r="E394" s="2" t="str">
        <x:v>Prior report</x:v>
      </x:c>
      <x:c r="F394" s="7" t="n">
        <x:v>45583</x:v>
      </x:c>
      <x:c r="G394" s="2" t="str">
        <x:v>Broad lag 1</x:v>
      </x:c>
      <x:c r="H394" s="8" t="n">
        <x:f>'Model fits'!AA282</x:f>
        <x:v>3.891579619944356</x:v>
      </x:c>
      <x:c r="I394" s="8" t="n">
        <x:f>0</x:f>
        <x:v>0</x:v>
      </x:c>
      <x:c r="J394" s="8" t="n">
        <x:v>0</x:v>
      </x:c>
      <x:c r="K394" s="8" t="n">
        <x:f>H394-I394*J394</x:f>
        <x:v>3.891579619944356</x:v>
      </x:c>
      <x:c r="L394" s="8" t="n">
        <x:f>'PG facts'!D112</x:f>
        <x:v>1</x:v>
      </x:c>
      <x:c r="M394" s="8" t="n">
        <x:f>K394-L394</x:f>
        <x:v>2.891579619944356</x:v>
      </x:c>
      <x:c r="N394" s="8" t="n">
        <x:f>M394^2</x:f>
        <x:v>8.361232698477545</x:v>
      </x:c>
      <x:c r="O394" s="8" t="n">
        <x:f>ABS(M394)</x:f>
        <x:v>2.891579619944356</x:v>
      </x:c>
      <x:c r="P394" s="7" t="n">
        <x:v>45679</x:v>
      </x:c>
    </x:row>
    <x:row r="395" ht="26" customHeight="1">
      <x:c r="A395" s="2"/>
      <x:c r="B395" s="2" t="n">
        <x:v>390</x:v>
      </x:c>
      <x:c r="C395" s="2" t="str">
        <x:v>Grooming / price_contribution</x:v>
      </x:c>
      <x:c r="D395" s="7" t="n">
        <x:v>45657</x:v>
      </x:c>
      <x:c r="E395" s="2" t="str">
        <x:v>Prior report</x:v>
      </x:c>
      <x:c r="F395" s="7" t="n">
        <x:v>45583</x:v>
      </x:c>
      <x:c r="G395" s="2" t="str">
        <x:v>Broad rolling 8</x:v>
      </x:c>
      <x:c r="H395" s="8" t="n">
        <x:f>'Model fits'!AA283</x:f>
        <x:v>3.001628906684764</x:v>
      </x:c>
      <x:c r="I395" s="8" t="n">
        <x:f>0</x:f>
        <x:v>0</x:v>
      </x:c>
      <x:c r="J395" s="8" t="n">
        <x:v>0</x:v>
      </x:c>
      <x:c r="K395" s="8" t="n">
        <x:f>H395-I395*J395</x:f>
        <x:v>3.001628906684764</x:v>
      </x:c>
      <x:c r="L395" s="8" t="n">
        <x:f>'PG facts'!D112</x:f>
        <x:v>1</x:v>
      </x:c>
      <x:c r="M395" s="8" t="n">
        <x:f>K395-L395</x:f>
        <x:v>2.001628906684764</x:v>
      </x:c>
      <x:c r="N395" s="8" t="n">
        <x:f>M395^2</x:f>
        <x:v>4.006518280076043</x:v>
      </x:c>
      <x:c r="O395" s="8" t="n">
        <x:f>ABS(M395)</x:f>
        <x:v>2.001628906684764</x:v>
      </x:c>
      <x:c r="P395" s="7" t="n">
        <x:v>45679</x:v>
      </x:c>
    </x:row>
    <x:row r="396" ht="26" customHeight="1">
      <x:c r="A396" s="2"/>
      <x:c r="B396" s="2" t="n">
        <x:v>391</x:v>
      </x:c>
      <x:c r="C396" s="2" t="str">
        <x:v>Grooming / price_contribution</x:v>
      </x:c>
      <x:c r="D396" s="7" t="n">
        <x:v>45657</x:v>
      </x:c>
      <x:c r="E396" s="2" t="str">
        <x:v>Prior report</x:v>
      </x:c>
      <x:c r="F396" s="7" t="n">
        <x:v>45583</x:v>
      </x:c>
      <x:c r="G396" s="2" t="str">
        <x:v>Own history</x:v>
      </x:c>
      <x:c r="H396" s="8" t="n">
        <x:f>'Model fits'!AA284</x:f>
        <x:v>2.351351351351352</x:v>
      </x:c>
      <x:c r="I396" s="8" t="n">
        <x:f>0</x:f>
        <x:v>0</x:v>
      </x:c>
      <x:c r="J396" s="8" t="n">
        <x:v>0</x:v>
      </x:c>
      <x:c r="K396" s="8" t="n">
        <x:f>H396-I396*J396</x:f>
        <x:v>2.351351351351352</x:v>
      </x:c>
      <x:c r="L396" s="8" t="n">
        <x:f>'PG facts'!D112</x:f>
        <x:v>1</x:v>
      </x:c>
      <x:c r="M396" s="8" t="n">
        <x:f>K396-L396</x:f>
        <x:v>1.3513513513513522</x:v>
      </x:c>
      <x:c r="N396" s="8" t="n">
        <x:f>M396^2</x:f>
        <x:v>1.8261504747991257</x:v>
      </x:c>
      <x:c r="O396" s="8" t="n">
        <x:f>ABS(M396)</x:f>
        <x:v>1.3513513513513522</x:v>
      </x:c>
      <x:c r="P396" s="7" t="n">
        <x:v>45679</x:v>
      </x:c>
    </x:row>
    <x:row r="397" ht="26" customHeight="1">
      <x:c r="A397" s="2"/>
      <x:c r="B397" s="2" t="n">
        <x:v>392</x:v>
      </x:c>
      <x:c r="C397" s="2" t="str">
        <x:v>Grooming / price_contribution</x:v>
      </x:c>
      <x:c r="D397" s="7" t="n">
        <x:v>45657</x:v>
      </x:c>
      <x:c r="E397" s="2" t="str">
        <x:v>Pre-earnings</x:v>
      </x:c>
      <x:c r="F397" s="7" t="n">
        <x:v>45678</x:v>
      </x:c>
      <x:c r="G397" s="2" t="str">
        <x:v>Last actual</x:v>
      </x:c>
      <x:c r="H397" s="8" t="n">
        <x:f>AVERAGE('PG facts'!D105)</x:f>
        <x:v>1</x:v>
      </x:c>
      <x:c r="I397" s="8" t="n">
        <x:f>0</x:f>
        <x:v>0</x:v>
      </x:c>
      <x:c r="J397" s="8" t="n">
        <x:v>0</x:v>
      </x:c>
      <x:c r="K397" s="8" t="n">
        <x:f>H397-I397*J397</x:f>
        <x:v>1</x:v>
      </x:c>
      <x:c r="L397" s="8" t="n">
        <x:f>'PG facts'!D112</x:f>
        <x:v>1</x:v>
      </x:c>
      <x:c r="M397" s="8" t="n">
        <x:f>K397-L397</x:f>
        <x:v>0</x:v>
      </x:c>
      <x:c r="N397" s="8" t="n">
        <x:f>M397^2</x:f>
        <x:v>0</x:v>
      </x:c>
      <x:c r="O397" s="8" t="n">
        <x:f>ABS(M397)</x:f>
        <x:v>0</x:v>
      </x:c>
      <x:c r="P397" s="7" t="n">
        <x:v>45679</x:v>
      </x:c>
    </x:row>
    <x:row r="398" ht="26" customHeight="1">
      <x:c r="A398" s="2"/>
      <x:c r="B398" s="2" t="n">
        <x:v>393</x:v>
      </x:c>
      <x:c r="C398" s="2" t="str">
        <x:v>Grooming / price_contribution</x:v>
      </x:c>
      <x:c r="D398" s="7" t="n">
        <x:v>45657</x:v>
      </x:c>
      <x:c r="E398" s="2" t="str">
        <x:v>Pre-earnings</x:v>
      </x:c>
      <x:c r="F398" s="7" t="n">
        <x:v>45678</x:v>
      </x:c>
      <x:c r="G398" s="2" t="str">
        <x:v>Four-quarter mean</x:v>
      </x:c>
      <x:c r="H398" s="8" t="n">
        <x:f>AVERAGE('PG facts'!D84,'PG facts'!D91,'PG facts'!D98,'PG facts'!D105)</x:f>
        <x:v>5.75</x:v>
      </x:c>
      <x:c r="I398" s="8" t="n">
        <x:f>0</x:f>
        <x:v>0</x:v>
      </x:c>
      <x:c r="J398" s="8" t="n">
        <x:v>0</x:v>
      </x:c>
      <x:c r="K398" s="8" t="n">
        <x:f>H398-I398*J398</x:f>
        <x:v>5.75</x:v>
      </x:c>
      <x:c r="L398" s="8" t="n">
        <x:f>'PG facts'!D112</x:f>
        <x:v>1</x:v>
      </x:c>
      <x:c r="M398" s="8" t="n">
        <x:f>K398-L398</x:f>
        <x:v>4.75</x:v>
      </x:c>
      <x:c r="N398" s="8" t="n">
        <x:f>M398^2</x:f>
        <x:v>22.5625</x:v>
      </x:c>
      <x:c r="O398" s="8" t="n">
        <x:f>ABS(M398)</x:f>
        <x:v>4.75</x:v>
      </x:c>
      <x:c r="P398" s="7" t="n">
        <x:v>45679</x:v>
      </x:c>
    </x:row>
    <x:row r="399" ht="26" customHeight="1">
      <x:c r="A399" s="2"/>
      <x:c r="B399" s="2" t="n">
        <x:v>394</x:v>
      </x:c>
      <x:c r="C399" s="2" t="str">
        <x:v>Grooming / price_contribution</x:v>
      </x:c>
      <x:c r="D399" s="7" t="n">
        <x:v>45657</x:v>
      </x:c>
      <x:c r="E399" s="2" t="str">
        <x:v>Pre-earnings</x:v>
      </x:c>
      <x:c r="F399" s="7" t="n">
        <x:v>45678</x:v>
      </x:c>
      <x:c r="G399" s="2" t="str">
        <x:v>Broad market</x:v>
      </x:c>
      <x:c r="H399" s="8" t="n">
        <x:f>'Model fits'!AA285</x:f>
        <x:v>3.307775288264188</x:v>
      </x:c>
      <x:c r="I399" s="8" t="n">
        <x:f>0</x:f>
        <x:v>0</x:v>
      </x:c>
      <x:c r="J399" s="8" t="n">
        <x:v>0</x:v>
      </x:c>
      <x:c r="K399" s="8" t="n">
        <x:f>H399-I399*J399</x:f>
        <x:v>3.307775288264188</x:v>
      </x:c>
      <x:c r="L399" s="8" t="n">
        <x:f>'PG facts'!D112</x:f>
        <x:v>1</x:v>
      </x:c>
      <x:c r="M399" s="8" t="n">
        <x:f>K399-L399</x:f>
        <x:v>2.307775288264188</x:v>
      </x:c>
      <x:c r="N399" s="8" t="n">
        <x:f>M399^2</x:f>
        <x:v>5.325826781122856</x:v>
      </x:c>
      <x:c r="O399" s="8" t="n">
        <x:f>ABS(M399)</x:f>
        <x:v>2.307775288264188</x:v>
      </x:c>
      <x:c r="P399" s="7" t="n">
        <x:v>45679</x:v>
      </x:c>
    </x:row>
    <x:row r="400" ht="26" customHeight="1">
      <x:c r="A400" s="2"/>
      <x:c r="B400" s="2" t="n">
        <x:v>395</x:v>
      </x:c>
      <x:c r="C400" s="2" t="str">
        <x:v>Grooming / price_contribution</x:v>
      </x:c>
      <x:c r="D400" s="7" t="n">
        <x:v>45657</x:v>
      </x:c>
      <x:c r="E400" s="2" t="str">
        <x:v>Pre-earnings</x:v>
      </x:c>
      <x:c r="F400" s="7" t="n">
        <x:v>45678</x:v>
      </x:c>
      <x:c r="G400" s="2" t="str">
        <x:v>Broad lag 1</x:v>
      </x:c>
      <x:c r="H400" s="8" t="n">
        <x:f>'Model fits'!AA286</x:f>
        <x:v>3.891579619944356</x:v>
      </x:c>
      <x:c r="I400" s="8" t="n">
        <x:f>0</x:f>
        <x:v>0</x:v>
      </x:c>
      <x:c r="J400" s="8" t="n">
        <x:v>0</x:v>
      </x:c>
      <x:c r="K400" s="8" t="n">
        <x:f>H400-I400*J400</x:f>
        <x:v>3.891579619944356</x:v>
      </x:c>
      <x:c r="L400" s="8" t="n">
        <x:f>'PG facts'!D112</x:f>
        <x:v>1</x:v>
      </x:c>
      <x:c r="M400" s="8" t="n">
        <x:f>K400-L400</x:f>
        <x:v>2.891579619944356</x:v>
      </x:c>
      <x:c r="N400" s="8" t="n">
        <x:f>M400^2</x:f>
        <x:v>8.361232698477545</x:v>
      </x:c>
      <x:c r="O400" s="8" t="n">
        <x:f>ABS(M400)</x:f>
        <x:v>2.891579619944356</x:v>
      </x:c>
      <x:c r="P400" s="7" t="n">
        <x:v>45679</x:v>
      </x:c>
    </x:row>
    <x:row r="401" ht="26" customHeight="1">
      <x:c r="A401" s="2"/>
      <x:c r="B401" s="2" t="n">
        <x:v>396</x:v>
      </x:c>
      <x:c r="C401" s="2" t="str">
        <x:v>Grooming / price_contribution</x:v>
      </x:c>
      <x:c r="D401" s="7" t="n">
        <x:v>45657</x:v>
      </x:c>
      <x:c r="E401" s="2" t="str">
        <x:v>Pre-earnings</x:v>
      </x:c>
      <x:c r="F401" s="7" t="n">
        <x:v>45678</x:v>
      </x:c>
      <x:c r="G401" s="2" t="str">
        <x:v>Broad rolling 8</x:v>
      </x:c>
      <x:c r="H401" s="8" t="n">
        <x:f>'Model fits'!AA287</x:f>
        <x:v>2.9642231829181047</x:v>
      </x:c>
      <x:c r="I401" s="8" t="n">
        <x:f>0</x:f>
        <x:v>0</x:v>
      </x:c>
      <x:c r="J401" s="8" t="n">
        <x:v>0</x:v>
      </x:c>
      <x:c r="K401" s="8" t="n">
        <x:f>H401-I401*J401</x:f>
        <x:v>2.9642231829181047</x:v>
      </x:c>
      <x:c r="L401" s="8" t="n">
        <x:f>'PG facts'!D112</x:f>
        <x:v>1</x:v>
      </x:c>
      <x:c r="M401" s="8" t="n">
        <x:f>K401-L401</x:f>
        <x:v>1.9642231829181047</x:v>
      </x:c>
      <x:c r="N401" s="8" t="n">
        <x:f>M401^2</x:f>
        <x:v>3.85817271231293</x:v>
      </x:c>
      <x:c r="O401" s="8" t="n">
        <x:f>ABS(M401)</x:f>
        <x:v>1.9642231829181047</x:v>
      </x:c>
      <x:c r="P401" s="7" t="n">
        <x:v>45679</x:v>
      </x:c>
    </x:row>
    <x:row r="402" ht="26" customHeight="1">
      <x:c r="A402" s="2"/>
      <x:c r="B402" s="2" t="n">
        <x:v>397</x:v>
      </x:c>
      <x:c r="C402" s="2" t="str">
        <x:v>Grooming / price_contribution</x:v>
      </x:c>
      <x:c r="D402" s="7" t="n">
        <x:v>45657</x:v>
      </x:c>
      <x:c r="E402" s="2" t="str">
        <x:v>Pre-earnings</x:v>
      </x:c>
      <x:c r="F402" s="7" t="n">
        <x:v>45678</x:v>
      </x:c>
      <x:c r="G402" s="2" t="str">
        <x:v>Own history</x:v>
      </x:c>
      <x:c r="H402" s="8" t="n">
        <x:f>'Model fits'!AA288</x:f>
        <x:v>2.351351351351352</x:v>
      </x:c>
      <x:c r="I402" s="8" t="n">
        <x:f>0</x:f>
        <x:v>0</x:v>
      </x:c>
      <x:c r="J402" s="8" t="n">
        <x:v>0</x:v>
      </x:c>
      <x:c r="K402" s="8" t="n">
        <x:f>H402-I402*J402</x:f>
        <x:v>2.351351351351352</x:v>
      </x:c>
      <x:c r="L402" s="8" t="n">
        <x:f>'PG facts'!D112</x:f>
        <x:v>1</x:v>
      </x:c>
      <x:c r="M402" s="8" t="n">
        <x:f>K402-L402</x:f>
        <x:v>1.3513513513513522</x:v>
      </x:c>
      <x:c r="N402" s="8" t="n">
        <x:f>M402^2</x:f>
        <x:v>1.8261504747991257</x:v>
      </x:c>
      <x:c r="O402" s="8" t="n">
        <x:f>ABS(M402)</x:f>
        <x:v>1.3513513513513522</x:v>
      </x:c>
      <x:c r="P402" s="7" t="n">
        <x:v>45679</x:v>
      </x:c>
    </x:row>
    <x:row r="403" ht="26" customHeight="1">
      <x:c r="A403" s="2"/>
      <x:c r="B403" s="2" t="n">
        <x:v>398</x:v>
      </x:c>
      <x:c r="C403" s="2" t="str">
        <x:v>Grooming / price_contribution</x:v>
      </x:c>
      <x:c r="D403" s="7" t="n">
        <x:v>45747</x:v>
      </x:c>
      <x:c r="E403" s="2" t="str">
        <x:v>Origin</x:v>
      </x:c>
      <x:c r="F403" s="7" t="n">
        <x:v>45658</x:v>
      </x:c>
      <x:c r="G403" s="2" t="str">
        <x:v>Last actual</x:v>
      </x:c>
      <x:c r="H403" s="8" t="n">
        <x:f>AVERAGE('PG facts'!D105)</x:f>
        <x:v>1</x:v>
      </x:c>
      <x:c r="I403" s="8" t="n">
        <x:f>0</x:f>
        <x:v>0</x:v>
      </x:c>
      <x:c r="J403" s="8" t="n">
        <x:v>0</x:v>
      </x:c>
      <x:c r="K403" s="8" t="n">
        <x:f>H403-I403*J403</x:f>
        <x:v>1</x:v>
      </x:c>
      <x:c r="L403" s="8" t="n">
        <x:f>'PG facts'!D119</x:f>
        <x:v>2</x:v>
      </x:c>
      <x:c r="M403" s="8" t="n">
        <x:f>K403-L403</x:f>
        <x:v>-1</x:v>
      </x:c>
      <x:c r="N403" s="8" t="n">
        <x:f>M403^2</x:f>
        <x:v>1</x:v>
      </x:c>
      <x:c r="O403" s="8" t="n">
        <x:f>ABS(M403)</x:f>
        <x:v>1</x:v>
      </x:c>
      <x:c r="P403" s="7" t="n">
        <x:v>45771</x:v>
      </x:c>
    </x:row>
    <x:row r="404" ht="26" customHeight="1">
      <x:c r="A404" s="2"/>
      <x:c r="B404" s="2" t="n">
        <x:v>399</x:v>
      </x:c>
      <x:c r="C404" s="2" t="str">
        <x:v>Grooming / price_contribution</x:v>
      </x:c>
      <x:c r="D404" s="7" t="n">
        <x:v>45747</x:v>
      </x:c>
      <x:c r="E404" s="2" t="str">
        <x:v>Origin</x:v>
      </x:c>
      <x:c r="F404" s="7" t="n">
        <x:v>45658</x:v>
      </x:c>
      <x:c r="G404" s="2" t="str">
        <x:v>Four-quarter mean</x:v>
      </x:c>
      <x:c r="H404" s="8" t="n">
        <x:f>AVERAGE('PG facts'!D84,'PG facts'!D91,'PG facts'!D98,'PG facts'!D105)</x:f>
        <x:v>5.75</x:v>
      </x:c>
      <x:c r="I404" s="8" t="n">
        <x:f>0</x:f>
        <x:v>0</x:v>
      </x:c>
      <x:c r="J404" s="8" t="n">
        <x:v>0</x:v>
      </x:c>
      <x:c r="K404" s="8" t="n">
        <x:f>H404-I404*J404</x:f>
        <x:v>5.75</x:v>
      </x:c>
      <x:c r="L404" s="8" t="n">
        <x:f>'PG facts'!D119</x:f>
        <x:v>2</x:v>
      </x:c>
      <x:c r="M404" s="8" t="n">
        <x:f>K404-L404</x:f>
        <x:v>3.75</x:v>
      </x:c>
      <x:c r="N404" s="8" t="n">
        <x:f>M404^2</x:f>
        <x:v>14.0625</x:v>
      </x:c>
      <x:c r="O404" s="8" t="n">
        <x:f>ABS(M404)</x:f>
        <x:v>3.75</x:v>
      </x:c>
      <x:c r="P404" s="7" t="n">
        <x:v>45771</x:v>
      </x:c>
    </x:row>
    <x:row r="405" ht="26" customHeight="1">
      <x:c r="A405" s="2"/>
      <x:c r="B405" s="2" t="n">
        <x:v>400</x:v>
      </x:c>
      <x:c r="C405" s="2" t="str">
        <x:v>Grooming / price_contribution</x:v>
      </x:c>
      <x:c r="D405" s="7" t="n">
        <x:v>45747</x:v>
      </x:c>
      <x:c r="E405" s="2" t="str">
        <x:v>Origin</x:v>
      </x:c>
      <x:c r="F405" s="7" t="n">
        <x:v>45658</x:v>
      </x:c>
      <x:c r="G405" s="2" t="str">
        <x:v>Broad market</x:v>
      </x:c>
      <x:c r="H405" s="8" t="n">
        <x:f>'Model fits'!AA289</x:f>
        <x:v>3.1773443226119578</x:v>
      </x:c>
      <x:c r="I405" s="8" t="n">
        <x:f>0</x:f>
        <x:v>0</x:v>
      </x:c>
      <x:c r="J405" s="8" t="n">
        <x:v>0</x:v>
      </x:c>
      <x:c r="K405" s="8" t="n">
        <x:f>H405-I405*J405</x:f>
        <x:v>3.1773443226119578</x:v>
      </x:c>
      <x:c r="L405" s="8" t="n">
        <x:f>'PG facts'!D119</x:f>
        <x:v>2</x:v>
      </x:c>
      <x:c r="M405" s="8" t="n">
        <x:f>K405-L405</x:f>
        <x:v>1.1773443226119578</x:v>
      </x:c>
      <x:c r="N405" s="8" t="n">
        <x:f>M405^2</x:f>
        <x:v>1.3861396539866098</x:v>
      </x:c>
      <x:c r="O405" s="8" t="n">
        <x:f>ABS(M405)</x:f>
        <x:v>1.1773443226119578</x:v>
      </x:c>
      <x:c r="P405" s="7" t="n">
        <x:v>45771</x:v>
      </x:c>
    </x:row>
    <x:row r="406" ht="26" customHeight="1">
      <x:c r="A406" s="2"/>
      <x:c r="B406" s="2" t="n">
        <x:v>401</x:v>
      </x:c>
      <x:c r="C406" s="2" t="str">
        <x:v>Grooming / price_contribution</x:v>
      </x:c>
      <x:c r="D406" s="7" t="n">
        <x:v>45747</x:v>
      </x:c>
      <x:c r="E406" s="2" t="str">
        <x:v>Origin</x:v>
      </x:c>
      <x:c r="F406" s="7" t="n">
        <x:v>45658</x:v>
      </x:c>
      <x:c r="G406" s="2" t="str">
        <x:v>Broad rolling 8</x:v>
      </x:c>
      <x:c r="H406" s="8" t="n">
        <x:f>'Model fits'!AA290</x:f>
        <x:v>2.823607929392236</x:v>
      </x:c>
      <x:c r="I406" s="8" t="n">
        <x:f>0</x:f>
        <x:v>0</x:v>
      </x:c>
      <x:c r="J406" s="8" t="n">
        <x:v>0</x:v>
      </x:c>
      <x:c r="K406" s="8" t="n">
        <x:f>H406-I406*J406</x:f>
        <x:v>2.823607929392236</x:v>
      </x:c>
      <x:c r="L406" s="8" t="n">
        <x:f>'PG facts'!D119</x:f>
        <x:v>2</x:v>
      </x:c>
      <x:c r="M406" s="8" t="n">
        <x:f>K406-L406</x:f>
        <x:v>0.823607929392236</x:v>
      </x:c>
      <x:c r="N406" s="8" t="n">
        <x:f>M406^2</x:f>
        <x:v>0.6783300213577664</x:v>
      </x:c>
      <x:c r="O406" s="8" t="n">
        <x:f>ABS(M406)</x:f>
        <x:v>0.823607929392236</x:v>
      </x:c>
      <x:c r="P406" s="7" t="n">
        <x:v>45771</x:v>
      </x:c>
    </x:row>
    <x:row r="407" ht="26" customHeight="1">
      <x:c r="A407" s="2"/>
      <x:c r="B407" s="2" t="n">
        <x:v>402</x:v>
      </x:c>
      <x:c r="C407" s="2" t="str">
        <x:v>Grooming / price_contribution</x:v>
      </x:c>
      <x:c r="D407" s="7" t="n">
        <x:v>45747</x:v>
      </x:c>
      <x:c r="E407" s="2" t="str">
        <x:v>Origin</x:v>
      </x:c>
      <x:c r="F407" s="7" t="n">
        <x:v>45658</x:v>
      </x:c>
      <x:c r="G407" s="2" t="str">
        <x:v>Own history</x:v>
      </x:c>
      <x:c r="H407" s="8" t="n">
        <x:f>'Model fits'!AA291</x:f>
        <x:v>4.699152542372883</x:v>
      </x:c>
      <x:c r="I407" s="8" t="n">
        <x:f>0</x:f>
        <x:v>0</x:v>
      </x:c>
      <x:c r="J407" s="8" t="n">
        <x:v>0</x:v>
      </x:c>
      <x:c r="K407" s="8" t="n">
        <x:f>H407-I407*J407</x:f>
        <x:v>4.699152542372883</x:v>
      </x:c>
      <x:c r="L407" s="8" t="n">
        <x:f>'PG facts'!D119</x:f>
        <x:v>2</x:v>
      </x:c>
      <x:c r="M407" s="8" t="n">
        <x:f>K407-L407</x:f>
        <x:v>2.6991525423728833</x:v>
      </x:c>
      <x:c r="N407" s="8" t="n">
        <x:f>M407^2</x:f>
        <x:v>7.285424446997999</x:v>
      </x:c>
      <x:c r="O407" s="8" t="n">
        <x:f>ABS(M407)</x:f>
        <x:v>2.6991525423728833</x:v>
      </x:c>
      <x:c r="P407" s="7" t="n">
        <x:v>45771</x:v>
      </x:c>
    </x:row>
    <x:row r="408" ht="26" customHeight="1">
      <x:c r="A408" s="2"/>
      <x:c r="B408" s="2" t="n">
        <x:v>403</x:v>
      </x:c>
      <x:c r="C408" s="2" t="str">
        <x:v>Grooming / price_contribution</x:v>
      </x:c>
      <x:c r="D408" s="7" t="n">
        <x:v>45747</x:v>
      </x:c>
      <x:c r="E408" s="2" t="str">
        <x:v>Prior report</x:v>
      </x:c>
      <x:c r="F408" s="7" t="n">
        <x:v>45679</x:v>
      </x:c>
      <x:c r="G408" s="2" t="str">
        <x:v>Last actual</x:v>
      </x:c>
      <x:c r="H408" s="8" t="n">
        <x:f>AVERAGE('PG facts'!D112)</x:f>
        <x:v>1</x:v>
      </x:c>
      <x:c r="I408" s="8" t="n">
        <x:f>0</x:f>
        <x:v>0</x:v>
      </x:c>
      <x:c r="J408" s="8" t="n">
        <x:v>0</x:v>
      </x:c>
      <x:c r="K408" s="8" t="n">
        <x:f>H408-I408*J408</x:f>
        <x:v>1</x:v>
      </x:c>
      <x:c r="L408" s="8" t="n">
        <x:f>'PG facts'!D119</x:f>
        <x:v>2</x:v>
      </x:c>
      <x:c r="M408" s="8" t="n">
        <x:f>K408-L408</x:f>
        <x:v>-1</x:v>
      </x:c>
      <x:c r="N408" s="8" t="n">
        <x:f>M408^2</x:f>
        <x:v>1</x:v>
      </x:c>
      <x:c r="O408" s="8" t="n">
        <x:f>ABS(M408)</x:f>
        <x:v>1</x:v>
      </x:c>
      <x:c r="P408" s="7" t="n">
        <x:v>45771</x:v>
      </x:c>
    </x:row>
    <x:row r="409" ht="26" customHeight="1">
      <x:c r="A409" s="2"/>
      <x:c r="B409" s="2" t="n">
        <x:v>404</x:v>
      </x:c>
      <x:c r="C409" s="2" t="str">
        <x:v>Grooming / price_contribution</x:v>
      </x:c>
      <x:c r="D409" s="7" t="n">
        <x:v>45747</x:v>
      </x:c>
      <x:c r="E409" s="2" t="str">
        <x:v>Prior report</x:v>
      </x:c>
      <x:c r="F409" s="7" t="n">
        <x:v>45679</x:v>
      </x:c>
      <x:c r="G409" s="2" t="str">
        <x:v>Four-quarter mean</x:v>
      </x:c>
      <x:c r="H409" s="8" t="n">
        <x:f>AVERAGE('PG facts'!D91,'PG facts'!D98,'PG facts'!D105,'PG facts'!D112)</x:f>
        <x:v>4.25</x:v>
      </x:c>
      <x:c r="I409" s="8" t="n">
        <x:f>0</x:f>
        <x:v>0</x:v>
      </x:c>
      <x:c r="J409" s="8" t="n">
        <x:v>0</x:v>
      </x:c>
      <x:c r="K409" s="8" t="n">
        <x:f>H409-I409*J409</x:f>
        <x:v>4.25</x:v>
      </x:c>
      <x:c r="L409" s="8" t="n">
        <x:f>'PG facts'!D119</x:f>
        <x:v>2</x:v>
      </x:c>
      <x:c r="M409" s="8" t="n">
        <x:f>K409-L409</x:f>
        <x:v>2.25</x:v>
      </x:c>
      <x:c r="N409" s="8" t="n">
        <x:f>M409^2</x:f>
        <x:v>5.0625</x:v>
      </x:c>
      <x:c r="O409" s="8" t="n">
        <x:f>ABS(M409)</x:f>
        <x:v>2.25</x:v>
      </x:c>
      <x:c r="P409" s="7" t="n">
        <x:v>45771</x:v>
      </x:c>
    </x:row>
    <x:row r="410" ht="26" customHeight="1">
      <x:c r="A410" s="2"/>
      <x:c r="B410" s="2" t="n">
        <x:v>405</x:v>
      </x:c>
      <x:c r="C410" s="2" t="str">
        <x:v>Grooming / price_contribution</x:v>
      </x:c>
      <x:c r="D410" s="7" t="n">
        <x:v>45747</x:v>
      </x:c>
      <x:c r="E410" s="2" t="str">
        <x:v>Prior report</x:v>
      </x:c>
      <x:c r="F410" s="7" t="n">
        <x:v>45679</x:v>
      </x:c>
      <x:c r="G410" s="2" t="str">
        <x:v>Broad market</x:v>
      </x:c>
      <x:c r="H410" s="8" t="n">
        <x:f>'Model fits'!AA292</x:f>
        <x:v>3.0489785728755643</x:v>
      </x:c>
      <x:c r="I410" s="8" t="n">
        <x:f>0</x:f>
        <x:v>0</x:v>
      </x:c>
      <x:c r="J410" s="8" t="n">
        <x:v>0</x:v>
      </x:c>
      <x:c r="K410" s="8" t="n">
        <x:f>H410-I410*J410</x:f>
        <x:v>3.0489785728755643</x:v>
      </x:c>
      <x:c r="L410" s="8" t="n">
        <x:f>'PG facts'!D119</x:f>
        <x:v>2</x:v>
      </x:c>
      <x:c r="M410" s="8" t="n">
        <x:f>K410-L410</x:f>
        <x:v>1.0489785728755643</x:v>
      </x:c>
      <x:c r="N410" s="8" t="n">
        <x:f>M410^2</x:f>
        <x:v>1.1003560463520556</x:v>
      </x:c>
      <x:c r="O410" s="8" t="n">
        <x:f>ABS(M410)</x:f>
        <x:v>1.0489785728755643</x:v>
      </x:c>
      <x:c r="P410" s="7" t="n">
        <x:v>45771</x:v>
      </x:c>
    </x:row>
    <x:row r="411" ht="26" customHeight="1">
      <x:c r="A411" s="2"/>
      <x:c r="B411" s="2" t="n">
        <x:v>406</x:v>
      </x:c>
      <x:c r="C411" s="2" t="str">
        <x:v>Grooming / price_contribution</x:v>
      </x:c>
      <x:c r="D411" s="7" t="n">
        <x:v>45747</x:v>
      </x:c>
      <x:c r="E411" s="2" t="str">
        <x:v>Prior report</x:v>
      </x:c>
      <x:c r="F411" s="7" t="n">
        <x:v>45679</x:v>
      </x:c>
      <x:c r="G411" s="2" t="str">
        <x:v>Broad lag 1</x:v>
      </x:c>
      <x:c r="H411" s="8" t="n">
        <x:f>'Model fits'!AA293</x:f>
        <x:v>3.4973987996493614</x:v>
      </x:c>
      <x:c r="I411" s="8" t="n">
        <x:f>0</x:f>
        <x:v>0</x:v>
      </x:c>
      <x:c r="J411" s="8" t="n">
        <x:v>0</x:v>
      </x:c>
      <x:c r="K411" s="8" t="n">
        <x:f>H411-I411*J411</x:f>
        <x:v>3.4973987996493614</x:v>
      </x:c>
      <x:c r="L411" s="8" t="n">
        <x:f>'PG facts'!D119</x:f>
        <x:v>2</x:v>
      </x:c>
      <x:c r="M411" s="8" t="n">
        <x:f>K411-L411</x:f>
        <x:v>1.4973987996493614</x:v>
      </x:c>
      <x:c r="N411" s="8" t="n">
        <x:f>M411^2</x:f>
        <x:v>2.2422031651913485</x:v>
      </x:c>
      <x:c r="O411" s="8" t="n">
        <x:f>ABS(M411)</x:f>
        <x:v>1.4973987996493614</x:v>
      </x:c>
      <x:c r="P411" s="7" t="n">
        <x:v>45771</x:v>
      </x:c>
    </x:row>
    <x:row r="412" ht="26" customHeight="1">
      <x:c r="A412" s="2"/>
      <x:c r="B412" s="2" t="n">
        <x:v>407</x:v>
      </x:c>
      <x:c r="C412" s="2" t="str">
        <x:v>Grooming / price_contribution</x:v>
      </x:c>
      <x:c r="D412" s="7" t="n">
        <x:v>45747</x:v>
      </x:c>
      <x:c r="E412" s="2" t="str">
        <x:v>Prior report</x:v>
      </x:c>
      <x:c r="F412" s="7" t="n">
        <x:v>45679</x:v>
      </x:c>
      <x:c r="G412" s="2" t="str">
        <x:v>Broad rolling 8</x:v>
      </x:c>
      <x:c r="H412" s="8" t="n">
        <x:f>'Model fits'!AA294</x:f>
        <x:v>2.3059575068543054</x:v>
      </x:c>
      <x:c r="I412" s="8" t="n">
        <x:f>0</x:f>
        <x:v>0</x:v>
      </x:c>
      <x:c r="J412" s="8" t="n">
        <x:v>0</x:v>
      </x:c>
      <x:c r="K412" s="8" t="n">
        <x:f>H412-I412*J412</x:f>
        <x:v>2.3059575068543054</x:v>
      </x:c>
      <x:c r="L412" s="8" t="n">
        <x:f>'PG facts'!D119</x:f>
        <x:v>2</x:v>
      </x:c>
      <x:c r="M412" s="8" t="n">
        <x:f>K412-L412</x:f>
        <x:v>0.30595750685430545</x:v>
      </x:c>
      <x:c r="N412" s="8" t="n">
        <x:f>M412^2</x:f>
        <x:v>0.09360999600050236</x:v>
      </x:c>
      <x:c r="O412" s="8" t="n">
        <x:f>ABS(M412)</x:f>
        <x:v>0.30595750685430545</x:v>
      </x:c>
      <x:c r="P412" s="7" t="n">
        <x:v>45771</x:v>
      </x:c>
    </x:row>
    <x:row r="413" ht="26" customHeight="1">
      <x:c r="A413" s="2"/>
      <x:c r="B413" s="2" t="n">
        <x:v>408</x:v>
      </x:c>
      <x:c r="C413" s="2" t="str">
        <x:v>Grooming / price_contribution</x:v>
      </x:c>
      <x:c r="D413" s="7" t="n">
        <x:v>45747</x:v>
      </x:c>
      <x:c r="E413" s="2" t="str">
        <x:v>Prior report</x:v>
      </x:c>
      <x:c r="F413" s="7" t="n">
        <x:v>45679</x:v>
      </x:c>
      <x:c r="G413" s="2" t="str">
        <x:v>Own history</x:v>
      </x:c>
      <x:c r="H413" s="8" t="n">
        <x:f>'Model fits'!AA295</x:f>
        <x:v>2.035502958579882</x:v>
      </x:c>
      <x:c r="I413" s="8" t="n">
        <x:f>0</x:f>
        <x:v>0</x:v>
      </x:c>
      <x:c r="J413" s="8" t="n">
        <x:v>0</x:v>
      </x:c>
      <x:c r="K413" s="8" t="n">
        <x:f>H413-I413*J413</x:f>
        <x:v>2.035502958579882</x:v>
      </x:c>
      <x:c r="L413" s="8" t="n">
        <x:f>'PG facts'!D119</x:f>
        <x:v>2</x:v>
      </x:c>
      <x:c r="M413" s="8" t="n">
        <x:f>K413-L413</x:f>
        <x:v>0.03550295857988184</x:v>
      </x:c>
      <x:c r="N413" s="8" t="n">
        <x:f>M413^2</x:f>
        <x:v>0.0012604600679248055</x:v>
      </x:c>
      <x:c r="O413" s="8" t="n">
        <x:f>ABS(M413)</x:f>
        <x:v>0.03550295857988184</x:v>
      </x:c>
      <x:c r="P413" s="7" t="n">
        <x:v>45771</x:v>
      </x:c>
    </x:row>
    <x:row r="414" ht="26" customHeight="1">
      <x:c r="A414" s="2"/>
      <x:c r="B414" s="2" t="n">
        <x:v>409</x:v>
      </x:c>
      <x:c r="C414" s="2" t="str">
        <x:v>Grooming / price_contribution</x:v>
      </x:c>
      <x:c r="D414" s="7" t="n">
        <x:v>45747</x:v>
      </x:c>
      <x:c r="E414" s="2" t="str">
        <x:v>Pre-earnings</x:v>
      </x:c>
      <x:c r="F414" s="7" t="n">
        <x:v>45770</x:v>
      </x:c>
      <x:c r="G414" s="2" t="str">
        <x:v>Last actual</x:v>
      </x:c>
      <x:c r="H414" s="8" t="n">
        <x:f>AVERAGE('PG facts'!D112)</x:f>
        <x:v>1</x:v>
      </x:c>
      <x:c r="I414" s="8" t="n">
        <x:f>0</x:f>
        <x:v>0</x:v>
      </x:c>
      <x:c r="J414" s="8" t="n">
        <x:v>0</x:v>
      </x:c>
      <x:c r="K414" s="8" t="n">
        <x:f>H414-I414*J414</x:f>
        <x:v>1</x:v>
      </x:c>
      <x:c r="L414" s="8" t="n">
        <x:f>'PG facts'!D119</x:f>
        <x:v>2</x:v>
      </x:c>
      <x:c r="M414" s="8" t="n">
        <x:f>K414-L414</x:f>
        <x:v>-1</x:v>
      </x:c>
      <x:c r="N414" s="8" t="n">
        <x:f>M414^2</x:f>
        <x:v>1</x:v>
      </x:c>
      <x:c r="O414" s="8" t="n">
        <x:f>ABS(M414)</x:f>
        <x:v>1</x:v>
      </x:c>
      <x:c r="P414" s="7" t="n">
        <x:v>45771</x:v>
      </x:c>
    </x:row>
    <x:row r="415" ht="26" customHeight="1">
      <x:c r="A415" s="2"/>
      <x:c r="B415" s="2" t="n">
        <x:v>410</x:v>
      </x:c>
      <x:c r="C415" s="2" t="str">
        <x:v>Grooming / price_contribution</x:v>
      </x:c>
      <x:c r="D415" s="7" t="n">
        <x:v>45747</x:v>
      </x:c>
      <x:c r="E415" s="2" t="str">
        <x:v>Pre-earnings</x:v>
      </x:c>
      <x:c r="F415" s="7" t="n">
        <x:v>45770</x:v>
      </x:c>
      <x:c r="G415" s="2" t="str">
        <x:v>Four-quarter mean</x:v>
      </x:c>
      <x:c r="H415" s="8" t="n">
        <x:f>AVERAGE('PG facts'!D91,'PG facts'!D98,'PG facts'!D105,'PG facts'!D112)</x:f>
        <x:v>4.25</x:v>
      </x:c>
      <x:c r="I415" s="8" t="n">
        <x:f>0</x:f>
        <x:v>0</x:v>
      </x:c>
      <x:c r="J415" s="8" t="n">
        <x:v>0</x:v>
      </x:c>
      <x:c r="K415" s="8" t="n">
        <x:f>H415-I415*J415</x:f>
        <x:v>4.25</x:v>
      </x:c>
      <x:c r="L415" s="8" t="n">
        <x:f>'PG facts'!D119</x:f>
        <x:v>2</x:v>
      </x:c>
      <x:c r="M415" s="8" t="n">
        <x:f>K415-L415</x:f>
        <x:v>2.25</x:v>
      </x:c>
      <x:c r="N415" s="8" t="n">
        <x:f>M415^2</x:f>
        <x:v>5.0625</x:v>
      </x:c>
      <x:c r="O415" s="8" t="n">
        <x:f>ABS(M415)</x:f>
        <x:v>2.25</x:v>
      </x:c>
      <x:c r="P415" s="7" t="n">
        <x:v>45771</x:v>
      </x:c>
    </x:row>
    <x:row r="416" ht="26" customHeight="1">
      <x:c r="A416" s="2"/>
      <x:c r="B416" s="2" t="n">
        <x:v>411</x:v>
      </x:c>
      <x:c r="C416" s="2" t="str">
        <x:v>Grooming / price_contribution</x:v>
      </x:c>
      <x:c r="D416" s="7" t="n">
        <x:v>45747</x:v>
      </x:c>
      <x:c r="E416" s="2" t="str">
        <x:v>Pre-earnings</x:v>
      </x:c>
      <x:c r="F416" s="7" t="n">
        <x:v>45770</x:v>
      </x:c>
      <x:c r="G416" s="2" t="str">
        <x:v>Broad market</x:v>
      </x:c>
      <x:c r="H416" s="8" t="n">
        <x:f>'Model fits'!AA296</x:f>
        <x:v>2.932020053588108</x:v>
      </x:c>
      <x:c r="I416" s="8" t="n">
        <x:f>0</x:f>
        <x:v>0</x:v>
      </x:c>
      <x:c r="J416" s="8" t="n">
        <x:v>0</x:v>
      </x:c>
      <x:c r="K416" s="8" t="n">
        <x:f>H416-I416*J416</x:f>
        <x:v>2.932020053588108</x:v>
      </x:c>
      <x:c r="L416" s="8" t="n">
        <x:f>'PG facts'!D119</x:f>
        <x:v>2</x:v>
      </x:c>
      <x:c r="M416" s="8" t="n">
        <x:f>K416-L416</x:f>
        <x:v>0.9320200535881078</x:v>
      </x:c>
      <x:c r="N416" s="8" t="n">
        <x:f>M416^2</x:f>
        <x:v>0.8686613802903793</x:v>
      </x:c>
      <x:c r="O416" s="8" t="n">
        <x:f>ABS(M416)</x:f>
        <x:v>0.9320200535881078</x:v>
      </x:c>
      <x:c r="P416" s="7" t="n">
        <x:v>45771</x:v>
      </x:c>
    </x:row>
    <x:row r="417" ht="26" customHeight="1">
      <x:c r="A417" s="2"/>
      <x:c r="B417" s="2" t="n">
        <x:v>412</x:v>
      </x:c>
      <x:c r="C417" s="2" t="str">
        <x:v>Grooming / price_contribution</x:v>
      </x:c>
      <x:c r="D417" s="7" t="n">
        <x:v>45747</x:v>
      </x:c>
      <x:c r="E417" s="2" t="str">
        <x:v>Pre-earnings</x:v>
      </x:c>
      <x:c r="F417" s="7" t="n">
        <x:v>45770</x:v>
      </x:c>
      <x:c r="G417" s="2" t="str">
        <x:v>Broad lag 1</x:v>
      </x:c>
      <x:c r="H417" s="8" t="n">
        <x:f>'Model fits'!AA297</x:f>
        <x:v>3.4973987996493614</x:v>
      </x:c>
      <x:c r="I417" s="8" t="n">
        <x:f>0</x:f>
        <x:v>0</x:v>
      </x:c>
      <x:c r="J417" s="8" t="n">
        <x:v>0</x:v>
      </x:c>
      <x:c r="K417" s="8" t="n">
        <x:f>H417-I417*J417</x:f>
        <x:v>3.4973987996493614</x:v>
      </x:c>
      <x:c r="L417" s="8" t="n">
        <x:f>'PG facts'!D119</x:f>
        <x:v>2</x:v>
      </x:c>
      <x:c r="M417" s="8" t="n">
        <x:f>K417-L417</x:f>
        <x:v>1.4973987996493614</x:v>
      </x:c>
      <x:c r="N417" s="8" t="n">
        <x:f>M417^2</x:f>
        <x:v>2.2422031651913485</x:v>
      </x:c>
      <x:c r="O417" s="8" t="n">
        <x:f>ABS(M417)</x:f>
        <x:v>1.4973987996493614</x:v>
      </x:c>
      <x:c r="P417" s="7" t="n">
        <x:v>45771</x:v>
      </x:c>
    </x:row>
    <x:row r="418" ht="26" customHeight="1">
      <x:c r="A418" s="2"/>
      <x:c r="B418" s="2" t="n">
        <x:v>413</x:v>
      </x:c>
      <x:c r="C418" s="2" t="str">
        <x:v>Grooming / price_contribution</x:v>
      </x:c>
      <x:c r="D418" s="7" t="n">
        <x:v>45747</x:v>
      </x:c>
      <x:c r="E418" s="2" t="str">
        <x:v>Pre-earnings</x:v>
      </x:c>
      <x:c r="F418" s="7" t="n">
        <x:v>45770</x:v>
      </x:c>
      <x:c r="G418" s="2" t="str">
        <x:v>Broad rolling 8</x:v>
      </x:c>
      <x:c r="H418" s="8" t="n">
        <x:f>'Model fits'!AA298</x:f>
        <x:v>2.1727395721939695</x:v>
      </x:c>
      <x:c r="I418" s="8" t="n">
        <x:f>0</x:f>
        <x:v>0</x:v>
      </x:c>
      <x:c r="J418" s="8" t="n">
        <x:v>0</x:v>
      </x:c>
      <x:c r="K418" s="8" t="n">
        <x:f>H418-I418*J418</x:f>
        <x:v>2.1727395721939695</x:v>
      </x:c>
      <x:c r="L418" s="8" t="n">
        <x:f>'PG facts'!D119</x:f>
        <x:v>2</x:v>
      </x:c>
      <x:c r="M418" s="8" t="n">
        <x:f>K418-L418</x:f>
        <x:v>0.17273957219396952</x:v>
      </x:c>
      <x:c r="N418" s="8" t="n">
        <x:f>M418^2</x:f>
        <x:v>0.029838959801755605</x:v>
      </x:c>
      <x:c r="O418" s="8" t="n">
        <x:f>ABS(M418)</x:f>
        <x:v>0.17273957219396952</x:v>
      </x:c>
      <x:c r="P418" s="7" t="n">
        <x:v>45771</x:v>
      </x:c>
    </x:row>
    <x:row r="419" ht="26" customHeight="1">
      <x:c r="A419" s="2"/>
      <x:c r="B419" s="2" t="n">
        <x:v>414</x:v>
      </x:c>
      <x:c r="C419" s="2" t="str">
        <x:v>Grooming / price_contribution</x:v>
      </x:c>
      <x:c r="D419" s="7" t="n">
        <x:v>45747</x:v>
      </x:c>
      <x:c r="E419" s="2" t="str">
        <x:v>Pre-earnings</x:v>
      </x:c>
      <x:c r="F419" s="7" t="n">
        <x:v>45770</x:v>
      </x:c>
      <x:c r="G419" s="2" t="str">
        <x:v>Own history</x:v>
      </x:c>
      <x:c r="H419" s="8" t="n">
        <x:f>'Model fits'!AA299</x:f>
        <x:v>2.035502958579882</x:v>
      </x:c>
      <x:c r="I419" s="8" t="n">
        <x:f>0</x:f>
        <x:v>0</x:v>
      </x:c>
      <x:c r="J419" s="8" t="n">
        <x:v>0</x:v>
      </x:c>
      <x:c r="K419" s="8" t="n">
        <x:f>H419-I419*J419</x:f>
        <x:v>2.035502958579882</x:v>
      </x:c>
      <x:c r="L419" s="8" t="n">
        <x:f>'PG facts'!D119</x:f>
        <x:v>2</x:v>
      </x:c>
      <x:c r="M419" s="8" t="n">
        <x:f>K419-L419</x:f>
        <x:v>0.03550295857988184</x:v>
      </x:c>
      <x:c r="N419" s="8" t="n">
        <x:f>M419^2</x:f>
        <x:v>0.0012604600679248055</x:v>
      </x:c>
      <x:c r="O419" s="8" t="n">
        <x:f>ABS(M419)</x:f>
        <x:v>0.03550295857988184</x:v>
      </x:c>
      <x:c r="P419" s="7" t="n">
        <x:v>45771</x:v>
      </x:c>
    </x:row>
    <x:row r="420" ht="26" customHeight="1">
      <x:c r="A420" s="2"/>
      <x:c r="B420" s="2" t="n">
        <x:v>415</x:v>
      </x:c>
      <x:c r="C420" s="2" t="str">
        <x:v>Grooming / price_contribution</x:v>
      </x:c>
      <x:c r="D420" s="7" t="n">
        <x:v>45838</x:v>
      </x:c>
      <x:c r="E420" s="2" t="str">
        <x:v>Origin</x:v>
      </x:c>
      <x:c r="F420" s="7" t="n">
        <x:v>45748</x:v>
      </x:c>
      <x:c r="G420" s="2" t="str">
        <x:v>Last actual</x:v>
      </x:c>
      <x:c r="H420" s="8" t="n">
        <x:f>AVERAGE('PG facts'!D112)</x:f>
        <x:v>1</x:v>
      </x:c>
      <x:c r="I420" s="8" t="n">
        <x:f>0</x:f>
        <x:v>0</x:v>
      </x:c>
      <x:c r="J420" s="8" t="n">
        <x:v>0</x:v>
      </x:c>
      <x:c r="K420" s="8" t="n">
        <x:f>H420-I420*J420</x:f>
        <x:v>1</x:v>
      </x:c>
      <x:c r="L420" s="8" t="n">
        <x:f>'PG facts'!D126</x:f>
        <x:v>4</x:v>
      </x:c>
      <x:c r="M420" s="8" t="n">
        <x:f>K420-L420</x:f>
        <x:v>-3</x:v>
      </x:c>
      <x:c r="N420" s="8" t="n">
        <x:f>M420^2</x:f>
        <x:v>9</x:v>
      </x:c>
      <x:c r="O420" s="8" t="n">
        <x:f>ABS(M420)</x:f>
        <x:v>3</x:v>
      </x:c>
      <x:c r="P420" s="7" t="n">
        <x:v>45867</x:v>
      </x:c>
    </x:row>
    <x:row r="421" ht="26" customHeight="1">
      <x:c r="A421" s="2"/>
      <x:c r="B421" s="2" t="n">
        <x:v>416</x:v>
      </x:c>
      <x:c r="C421" s="2" t="str">
        <x:v>Grooming / price_contribution</x:v>
      </x:c>
      <x:c r="D421" s="7" t="n">
        <x:v>45838</x:v>
      </x:c>
      <x:c r="E421" s="2" t="str">
        <x:v>Origin</x:v>
      </x:c>
      <x:c r="F421" s="7" t="n">
        <x:v>45748</x:v>
      </x:c>
      <x:c r="G421" s="2" t="str">
        <x:v>Four-quarter mean</x:v>
      </x:c>
      <x:c r="H421" s="8" t="n">
        <x:f>AVERAGE('PG facts'!D91,'PG facts'!D98,'PG facts'!D105,'PG facts'!D112)</x:f>
        <x:v>4.25</x:v>
      </x:c>
      <x:c r="I421" s="8" t="n">
        <x:f>0</x:f>
        <x:v>0</x:v>
      </x:c>
      <x:c r="J421" s="8" t="n">
        <x:v>0</x:v>
      </x:c>
      <x:c r="K421" s="8" t="n">
        <x:f>H421-I421*J421</x:f>
        <x:v>4.25</x:v>
      </x:c>
      <x:c r="L421" s="8" t="n">
        <x:f>'PG facts'!D126</x:f>
        <x:v>4</x:v>
      </x:c>
      <x:c r="M421" s="8" t="n">
        <x:f>K421-L421</x:f>
        <x:v>0.25</x:v>
      </x:c>
      <x:c r="N421" s="8" t="n">
        <x:f>M421^2</x:f>
        <x:v>0.0625</x:v>
      </x:c>
      <x:c r="O421" s="8" t="n">
        <x:f>ABS(M421)</x:f>
        <x:v>0.25</x:v>
      </x:c>
      <x:c r="P421" s="7" t="n">
        <x:v>45867</x:v>
      </x:c>
    </x:row>
    <x:row r="422" ht="26" customHeight="1">
      <x:c r="A422" s="2"/>
      <x:c r="B422" s="2" t="n">
        <x:v>417</x:v>
      </x:c>
      <x:c r="C422" s="2" t="str">
        <x:v>Grooming / price_contribution</x:v>
      </x:c>
      <x:c r="D422" s="7" t="n">
        <x:v>45838</x:v>
      </x:c>
      <x:c r="E422" s="2" t="str">
        <x:v>Origin</x:v>
      </x:c>
      <x:c r="F422" s="7" t="n">
        <x:v>45748</x:v>
      </x:c>
      <x:c r="G422" s="2" t="str">
        <x:v>Broad market</x:v>
      </x:c>
      <x:c r="H422" s="8" t="n">
        <x:f>'Model fits'!AA300</x:f>
        <x:v>3.1146279846473877</x:v>
      </x:c>
      <x:c r="I422" s="8" t="n">
        <x:f>0</x:f>
        <x:v>0</x:v>
      </x:c>
      <x:c r="J422" s="8" t="n">
        <x:v>0</x:v>
      </x:c>
      <x:c r="K422" s="8" t="n">
        <x:f>H422-I422*J422</x:f>
        <x:v>3.1146279846473877</x:v>
      </x:c>
      <x:c r="L422" s="8" t="n">
        <x:f>'PG facts'!D126</x:f>
        <x:v>4</x:v>
      </x:c>
      <x:c r="M422" s="8" t="n">
        <x:f>K422-L422</x:f>
        <x:v>-0.8853720153526123</x:v>
      </x:c>
      <x:c r="N422" s="8" t="n">
        <x:f>M422^2</x:f>
        <x:v>0.7838836055695464</x:v>
      </x:c>
      <x:c r="O422" s="8" t="n">
        <x:f>ABS(M422)</x:f>
        <x:v>0.8853720153526123</x:v>
      </x:c>
      <x:c r="P422" s="7" t="n">
        <x:v>45867</x:v>
      </x:c>
    </x:row>
    <x:row r="423" ht="26" customHeight="1">
      <x:c r="A423" s="2"/>
      <x:c r="B423" s="2" t="n">
        <x:v>418</x:v>
      </x:c>
      <x:c r="C423" s="2" t="str">
        <x:v>Grooming / price_contribution</x:v>
      </x:c>
      <x:c r="D423" s="7" t="n">
        <x:v>45838</x:v>
      </x:c>
      <x:c r="E423" s="2" t="str">
        <x:v>Origin</x:v>
      </x:c>
      <x:c r="F423" s="7" t="n">
        <x:v>45748</x:v>
      </x:c>
      <x:c r="G423" s="2" t="str">
        <x:v>Broad rolling 8</x:v>
      </x:c>
      <x:c r="H423" s="8" t="n">
        <x:f>'Model fits'!AA301</x:f>
        <x:v>2.380733411176533</x:v>
      </x:c>
      <x:c r="I423" s="8" t="n">
        <x:f>0</x:f>
        <x:v>0</x:v>
      </x:c>
      <x:c r="J423" s="8" t="n">
        <x:v>0</x:v>
      </x:c>
      <x:c r="K423" s="8" t="n">
        <x:f>H423-I423*J423</x:f>
        <x:v>2.380733411176533</x:v>
      </x:c>
      <x:c r="L423" s="8" t="n">
        <x:f>'PG facts'!D126</x:f>
        <x:v>4</x:v>
      </x:c>
      <x:c r="M423" s="8" t="n">
        <x:f>K423-L423</x:f>
        <x:v>-1.619266588823467</x:v>
      </x:c>
      <x:c r="N423" s="8" t="n">
        <x:f>M423^2</x:f>
        <x:v>2.622024285679987</x:v>
      </x:c>
      <x:c r="O423" s="8" t="n">
        <x:f>ABS(M423)</x:f>
        <x:v>1.619266588823467</x:v>
      </x:c>
      <x:c r="P423" s="7" t="n">
        <x:v>45867</x:v>
      </x:c>
    </x:row>
    <x:row r="424" ht="26" customHeight="1">
      <x:c r="A424" s="2"/>
      <x:c r="B424" s="2" t="n">
        <x:v>419</x:v>
      </x:c>
      <x:c r="C424" s="2" t="str">
        <x:v>Grooming / price_contribution</x:v>
      </x:c>
      <x:c r="D424" s="7" t="n">
        <x:v>45838</x:v>
      </x:c>
      <x:c r="E424" s="2" t="str">
        <x:v>Origin</x:v>
      </x:c>
      <x:c r="F424" s="7" t="n">
        <x:v>45748</x:v>
      </x:c>
      <x:c r="G424" s="2" t="str">
        <x:v>Own history</x:v>
      </x:c>
      <x:c r="H424" s="8" t="n">
        <x:f>'Model fits'!AA302</x:f>
        <x:v>3.9999999999999996</x:v>
      </x:c>
      <x:c r="I424" s="8" t="n">
        <x:f>0</x:f>
        <x:v>0</x:v>
      </x:c>
      <x:c r="J424" s="8" t="n">
        <x:v>0</x:v>
      </x:c>
      <x:c r="K424" s="8" t="n">
        <x:f>H424-I424*J424</x:f>
        <x:v>3.9999999999999996</x:v>
      </x:c>
      <x:c r="L424" s="8" t="n">
        <x:f>'PG facts'!D126</x:f>
        <x:v>4</x:v>
      </x:c>
      <x:c r="M424" s="8" t="n">
        <x:f>K424-L424</x:f>
        <x:v>-4.440892098500626e-16</x:v>
      </x:c>
      <x:c r="N424" s="8" t="n">
        <x:f>M424^2</x:f>
        <x:v>1.9721522630525295e-31</x:v>
      </x:c>
      <x:c r="O424" s="8" t="n">
        <x:f>ABS(M424)</x:f>
        <x:v>4.440892098500626e-16</x:v>
      </x:c>
      <x:c r="P424" s="7" t="n">
        <x:v>45867</x:v>
      </x:c>
    </x:row>
    <x:row r="425" ht="26" customHeight="1">
      <x:c r="A425" s="2"/>
      <x:c r="B425" s="2" t="n">
        <x:v>420</x:v>
      </x:c>
      <x:c r="C425" s="2" t="str">
        <x:v>Grooming / price_contribution</x:v>
      </x:c>
      <x:c r="D425" s="7" t="n">
        <x:v>45838</x:v>
      </x:c>
      <x:c r="E425" s="2" t="str">
        <x:v>Prior report</x:v>
      </x:c>
      <x:c r="F425" s="7" t="n">
        <x:v>45771</x:v>
      </x:c>
      <x:c r="G425" s="2" t="str">
        <x:v>Last actual</x:v>
      </x:c>
      <x:c r="H425" s="8" t="n">
        <x:f>AVERAGE('PG facts'!D119)</x:f>
        <x:v>2</x:v>
      </x:c>
      <x:c r="I425" s="8" t="n">
        <x:f>0</x:f>
        <x:v>0</x:v>
      </x:c>
      <x:c r="J425" s="8" t="n">
        <x:v>0</x:v>
      </x:c>
      <x:c r="K425" s="8" t="n">
        <x:f>H425-I425*J425</x:f>
        <x:v>2</x:v>
      </x:c>
      <x:c r="L425" s="8" t="n">
        <x:f>'PG facts'!D126</x:f>
        <x:v>4</x:v>
      </x:c>
      <x:c r="M425" s="8" t="n">
        <x:f>K425-L425</x:f>
        <x:v>-2</x:v>
      </x:c>
      <x:c r="N425" s="8" t="n">
        <x:f>M425^2</x:f>
        <x:v>4</x:v>
      </x:c>
      <x:c r="O425" s="8" t="n">
        <x:f>ABS(M425)</x:f>
        <x:v>2</x:v>
      </x:c>
      <x:c r="P425" s="7" t="n">
        <x:v>45867</x:v>
      </x:c>
    </x:row>
    <x:row r="426" ht="26" customHeight="1">
      <x:c r="A426" s="2"/>
      <x:c r="B426" s="2" t="n">
        <x:v>421</x:v>
      </x:c>
      <x:c r="C426" s="2" t="str">
        <x:v>Grooming / price_contribution</x:v>
      </x:c>
      <x:c r="D426" s="7" t="n">
        <x:v>45838</x:v>
      </x:c>
      <x:c r="E426" s="2" t="str">
        <x:v>Prior report</x:v>
      </x:c>
      <x:c r="F426" s="7" t="n">
        <x:v>45771</x:v>
      </x:c>
      <x:c r="G426" s="2" t="str">
        <x:v>Four-quarter mean</x:v>
      </x:c>
      <x:c r="H426" s="8" t="n">
        <x:f>AVERAGE('PG facts'!D98,'PG facts'!D105,'PG facts'!D112,'PG facts'!D119)</x:f>
        <x:v>2.25</x:v>
      </x:c>
      <x:c r="I426" s="8" t="n">
        <x:f>0</x:f>
        <x:v>0</x:v>
      </x:c>
      <x:c r="J426" s="8" t="n">
        <x:v>0</x:v>
      </x:c>
      <x:c r="K426" s="8" t="n">
        <x:f>H426-I426*J426</x:f>
        <x:v>2.25</x:v>
      </x:c>
      <x:c r="L426" s="8" t="n">
        <x:f>'PG facts'!D126</x:f>
        <x:v>4</x:v>
      </x:c>
      <x:c r="M426" s="8" t="n">
        <x:f>K426-L426</x:f>
        <x:v>-1.75</x:v>
      </x:c>
      <x:c r="N426" s="8" t="n">
        <x:f>M426^2</x:f>
        <x:v>3.0625</x:v>
      </x:c>
      <x:c r="O426" s="8" t="n">
        <x:f>ABS(M426)</x:f>
        <x:v>1.75</x:v>
      </x:c>
      <x:c r="P426" s="7" t="n">
        <x:v>45867</x:v>
      </x:c>
    </x:row>
    <x:row r="427" ht="26" customHeight="1">
      <x:c r="A427" s="2"/>
      <x:c r="B427" s="2" t="n">
        <x:v>422</x:v>
      </x:c>
      <x:c r="C427" s="2" t="str">
        <x:v>Grooming / price_contribution</x:v>
      </x:c>
      <x:c r="D427" s="7" t="n">
        <x:v>45838</x:v>
      </x:c>
      <x:c r="E427" s="2" t="str">
        <x:v>Prior report</x:v>
      </x:c>
      <x:c r="F427" s="7" t="n">
        <x:v>45771</x:v>
      </x:c>
      <x:c r="G427" s="2" t="str">
        <x:v>Broad market</x:v>
      </x:c>
      <x:c r="H427" s="8" t="n">
        <x:f>'Model fits'!AA303</x:f>
        <x:v>2.8351418692684414</x:v>
      </x:c>
      <x:c r="I427" s="8" t="n">
        <x:f>0</x:f>
        <x:v>0</x:v>
      </x:c>
      <x:c r="J427" s="8" t="n">
        <x:v>0</x:v>
      </x:c>
      <x:c r="K427" s="8" t="n">
        <x:f>H427-I427*J427</x:f>
        <x:v>2.8351418692684414</x:v>
      </x:c>
      <x:c r="L427" s="8" t="n">
        <x:f>'PG facts'!D126</x:f>
        <x:v>4</x:v>
      </x:c>
      <x:c r="M427" s="8" t="n">
        <x:f>K427-L427</x:f>
        <x:v>-1.1648581307315586</x:v>
      </x:c>
      <x:c r="N427" s="8" t="n">
        <x:f>M427^2</x:f>
        <x:v>1.356894464731421</x:v>
      </x:c>
      <x:c r="O427" s="8" t="n">
        <x:f>ABS(M427)</x:f>
        <x:v>1.1648581307315586</x:v>
      </x:c>
      <x:c r="P427" s="7" t="n">
        <x:v>45867</x:v>
      </x:c>
    </x:row>
    <x:row r="428" ht="26" customHeight="1">
      <x:c r="A428" s="2"/>
      <x:c r="B428" s="2" t="n">
        <x:v>423</x:v>
      </x:c>
      <x:c r="C428" s="2" t="str">
        <x:v>Grooming / price_contribution</x:v>
      </x:c>
      <x:c r="D428" s="7" t="n">
        <x:v>45838</x:v>
      </x:c>
      <x:c r="E428" s="2" t="str">
        <x:v>Prior report</x:v>
      </x:c>
      <x:c r="F428" s="7" t="n">
        <x:v>45771</x:v>
      </x:c>
      <x:c r="G428" s="2" t="str">
        <x:v>Broad lag 1</x:v>
      </x:c>
      <x:c r="H428" s="8" t="n">
        <x:f>'Model fits'!AA304</x:f>
        <x:v>3.2247629855998694</x:v>
      </x:c>
      <x:c r="I428" s="8" t="n">
        <x:f>0</x:f>
        <x:v>0</x:v>
      </x:c>
      <x:c r="J428" s="8" t="n">
        <x:v>0</x:v>
      </x:c>
      <x:c r="K428" s="8" t="n">
        <x:f>H428-I428*J428</x:f>
        <x:v>3.2247629855998694</x:v>
      </x:c>
      <x:c r="L428" s="8" t="n">
        <x:f>'PG facts'!D126</x:f>
        <x:v>4</x:v>
      </x:c>
      <x:c r="M428" s="8" t="n">
        <x:f>K428-L428</x:f>
        <x:v>-0.7752370144001306</x:v>
      </x:c>
      <x:c r="N428" s="8" t="n">
        <x:f>M428^2</x:f>
        <x:v>0.6009924284960283</x:v>
      </x:c>
      <x:c r="O428" s="8" t="n">
        <x:f>ABS(M428)</x:f>
        <x:v>0.7752370144001306</x:v>
      </x:c>
      <x:c r="P428" s="7" t="n">
        <x:v>45867</x:v>
      </x:c>
    </x:row>
    <x:row r="429" ht="26" customHeight="1">
      <x:c r="A429" s="2"/>
      <x:c r="B429" s="2" t="n">
        <x:v>424</x:v>
      </x:c>
      <x:c r="C429" s="2" t="str">
        <x:v>Grooming / price_contribution</x:v>
      </x:c>
      <x:c r="D429" s="7" t="n">
        <x:v>45838</x:v>
      </x:c>
      <x:c r="E429" s="2" t="str">
        <x:v>Prior report</x:v>
      </x:c>
      <x:c r="F429" s="7" t="n">
        <x:v>45771</x:v>
      </x:c>
      <x:c r="G429" s="2" t="str">
        <x:v>Broad rolling 8</x:v>
      </x:c>
      <x:c r="H429" s="8" t="n">
        <x:f>'Model fits'!AA305</x:f>
        <x:v>2.094969369749906</x:v>
      </x:c>
      <x:c r="I429" s="8" t="n">
        <x:f>0</x:f>
        <x:v>0</x:v>
      </x:c>
      <x:c r="J429" s="8" t="n">
        <x:v>0</x:v>
      </x:c>
      <x:c r="K429" s="8" t="n">
        <x:f>H429-I429*J429</x:f>
        <x:v>2.094969369749906</x:v>
      </x:c>
      <x:c r="L429" s="8" t="n">
        <x:f>'PG facts'!D126</x:f>
        <x:v>4</x:v>
      </x:c>
      <x:c r="M429" s="8" t="n">
        <x:f>K429-L429</x:f>
        <x:v>-1.905030630250094</x:v>
      </x:c>
      <x:c r="N429" s="8" t="n">
        <x:f>M429^2</x:f>
        <x:v>3.62914170219107</x:v>
      </x:c>
      <x:c r="O429" s="8" t="n">
        <x:f>ABS(M429)</x:f>
        <x:v>1.905030630250094</x:v>
      </x:c>
      <x:c r="P429" s="7" t="n">
        <x:v>45867</x:v>
      </x:c>
    </x:row>
    <x:row r="430" ht="26" customHeight="1">
      <x:c r="A430" s="2"/>
      <x:c r="B430" s="2" t="n">
        <x:v>425</x:v>
      </x:c>
      <x:c r="C430" s="2" t="str">
        <x:v>Grooming / price_contribution</x:v>
      </x:c>
      <x:c r="D430" s="7" t="n">
        <x:v>45838</x:v>
      </x:c>
      <x:c r="E430" s="2" t="str">
        <x:v>Prior report</x:v>
      </x:c>
      <x:c r="F430" s="7" t="n">
        <x:v>45771</x:v>
      </x:c>
      <x:c r="G430" s="2" t="str">
        <x:v>Own history</x:v>
      </x:c>
      <x:c r="H430" s="8" t="n">
        <x:f>'Model fits'!AA306</x:f>
        <x:v>2.8150051387461463</x:v>
      </x:c>
      <x:c r="I430" s="8" t="n">
        <x:f>0</x:f>
        <x:v>0</x:v>
      </x:c>
      <x:c r="J430" s="8" t="n">
        <x:v>0</x:v>
      </x:c>
      <x:c r="K430" s="8" t="n">
        <x:f>H430-I430*J430</x:f>
        <x:v>2.8150051387461463</x:v>
      </x:c>
      <x:c r="L430" s="8" t="n">
        <x:f>'PG facts'!D126</x:f>
        <x:v>4</x:v>
      </x:c>
      <x:c r="M430" s="8" t="n">
        <x:f>K430-L430</x:f>
        <x:v>-1.1849948612538537</x:v>
      </x:c>
      <x:c r="N430" s="8" t="n">
        <x:f>M430^2</x:f>
        <x:v>1.4042128211980398</x:v>
      </x:c>
      <x:c r="O430" s="8" t="n">
        <x:f>ABS(M430)</x:f>
        <x:v>1.1849948612538537</x:v>
      </x:c>
      <x:c r="P430" s="7" t="n">
        <x:v>45867</x:v>
      </x:c>
    </x:row>
    <x:row r="431" ht="26" customHeight="1">
      <x:c r="A431" s="2"/>
      <x:c r="B431" s="2" t="n">
        <x:v>426</x:v>
      </x:c>
      <x:c r="C431" s="2" t="str">
        <x:v>Grooming / price_contribution</x:v>
      </x:c>
      <x:c r="D431" s="7" t="n">
        <x:v>45838</x:v>
      </x:c>
      <x:c r="E431" s="2" t="str">
        <x:v>Pre-earnings</x:v>
      </x:c>
      <x:c r="F431" s="7" t="n">
        <x:v>45866</x:v>
      </x:c>
      <x:c r="G431" s="2" t="str">
        <x:v>Last actual</x:v>
      </x:c>
      <x:c r="H431" s="8" t="n">
        <x:f>AVERAGE('PG facts'!D119)</x:f>
        <x:v>2</x:v>
      </x:c>
      <x:c r="I431" s="8" t="n">
        <x:f>0</x:f>
        <x:v>0</x:v>
      </x:c>
      <x:c r="J431" s="8" t="n">
        <x:v>0</x:v>
      </x:c>
      <x:c r="K431" s="8" t="n">
        <x:f>H431-I431*J431</x:f>
        <x:v>2</x:v>
      </x:c>
      <x:c r="L431" s="8" t="n">
        <x:f>'PG facts'!D126</x:f>
        <x:v>4</x:v>
      </x:c>
      <x:c r="M431" s="8" t="n">
        <x:f>K431-L431</x:f>
        <x:v>-2</x:v>
      </x:c>
      <x:c r="N431" s="8" t="n">
        <x:f>M431^2</x:f>
        <x:v>4</x:v>
      </x:c>
      <x:c r="O431" s="8" t="n">
        <x:f>ABS(M431)</x:f>
        <x:v>2</x:v>
      </x:c>
      <x:c r="P431" s="7" t="n">
        <x:v>45867</x:v>
      </x:c>
    </x:row>
    <x:row r="432" ht="26" customHeight="1">
      <x:c r="A432" s="2"/>
      <x:c r="B432" s="2" t="n">
        <x:v>427</x:v>
      </x:c>
      <x:c r="C432" s="2" t="str">
        <x:v>Grooming / price_contribution</x:v>
      </x:c>
      <x:c r="D432" s="7" t="n">
        <x:v>45838</x:v>
      </x:c>
      <x:c r="E432" s="2" t="str">
        <x:v>Pre-earnings</x:v>
      </x:c>
      <x:c r="F432" s="7" t="n">
        <x:v>45866</x:v>
      </x:c>
      <x:c r="G432" s="2" t="str">
        <x:v>Four-quarter mean</x:v>
      </x:c>
      <x:c r="H432" s="8" t="n">
        <x:f>AVERAGE('PG facts'!D98,'PG facts'!D105,'PG facts'!D112,'PG facts'!D119)</x:f>
        <x:v>2.25</x:v>
      </x:c>
      <x:c r="I432" s="8" t="n">
        <x:f>0</x:f>
        <x:v>0</x:v>
      </x:c>
      <x:c r="J432" s="8" t="n">
        <x:v>0</x:v>
      </x:c>
      <x:c r="K432" s="8" t="n">
        <x:f>H432-I432*J432</x:f>
        <x:v>2.25</x:v>
      </x:c>
      <x:c r="L432" s="8" t="n">
        <x:f>'PG facts'!D126</x:f>
        <x:v>4</x:v>
      </x:c>
      <x:c r="M432" s="8" t="n">
        <x:f>K432-L432</x:f>
        <x:v>-1.75</x:v>
      </x:c>
      <x:c r="N432" s="8" t="n">
        <x:f>M432^2</x:f>
        <x:v>3.0625</x:v>
      </x:c>
      <x:c r="O432" s="8" t="n">
        <x:f>ABS(M432)</x:f>
        <x:v>1.75</x:v>
      </x:c>
      <x:c r="P432" s="7" t="n">
        <x:v>45867</x:v>
      </x:c>
    </x:row>
    <x:row r="433" ht="26" customHeight="1">
      <x:c r="A433" s="2"/>
      <x:c r="B433" s="2" t="n">
        <x:v>428</x:v>
      </x:c>
      <x:c r="C433" s="2" t="str">
        <x:v>Grooming / price_contribution</x:v>
      </x:c>
      <x:c r="D433" s="7" t="n">
        <x:v>45838</x:v>
      </x:c>
      <x:c r="E433" s="2" t="str">
        <x:v>Pre-earnings</x:v>
      </x:c>
      <x:c r="F433" s="7" t="n">
        <x:v>45866</x:v>
      </x:c>
      <x:c r="G433" s="2" t="str">
        <x:v>Broad market</x:v>
      </x:c>
      <x:c r="H433" s="8" t="n">
        <x:f>'Model fits'!AA307</x:f>
        <x:v>3.135598473037245</x:v>
      </x:c>
      <x:c r="I433" s="8" t="n">
        <x:f>0</x:f>
        <x:v>0</x:v>
      </x:c>
      <x:c r="J433" s="8" t="n">
        <x:v>0</x:v>
      </x:c>
      <x:c r="K433" s="8" t="n">
        <x:f>H433-I433*J433</x:f>
        <x:v>3.135598473037245</x:v>
      </x:c>
      <x:c r="L433" s="8" t="n">
        <x:f>'PG facts'!D126</x:f>
        <x:v>4</x:v>
      </x:c>
      <x:c r="M433" s="8" t="n">
        <x:f>K433-L433</x:f>
        <x:v>-0.8644015269627552</x:v>
      </x:c>
      <x:c r="N433" s="8" t="n">
        <x:f>M433^2</x:f>
        <x:v>0.7471899998155428</x:v>
      </x:c>
      <x:c r="O433" s="8" t="n">
        <x:f>ABS(M433)</x:f>
        <x:v>0.8644015269627552</x:v>
      </x:c>
      <x:c r="P433" s="7" t="n">
        <x:v>45867</x:v>
      </x:c>
    </x:row>
    <x:row r="434" ht="26" customHeight="1">
      <x:c r="A434" s="2"/>
      <x:c r="B434" s="2" t="n">
        <x:v>429</x:v>
      </x:c>
      <x:c r="C434" s="2" t="str">
        <x:v>Grooming / price_contribution</x:v>
      </x:c>
      <x:c r="D434" s="7" t="n">
        <x:v>45838</x:v>
      </x:c>
      <x:c r="E434" s="2" t="str">
        <x:v>Pre-earnings</x:v>
      </x:c>
      <x:c r="F434" s="7" t="n">
        <x:v>45866</x:v>
      </x:c>
      <x:c r="G434" s="2" t="str">
        <x:v>Broad lag 1</x:v>
      </x:c>
      <x:c r="H434" s="8" t="n">
        <x:f>'Model fits'!AA308</x:f>
        <x:v>3.2247629855998694</x:v>
      </x:c>
      <x:c r="I434" s="8" t="n">
        <x:f>0</x:f>
        <x:v>0</x:v>
      </x:c>
      <x:c r="J434" s="8" t="n">
        <x:v>0</x:v>
      </x:c>
      <x:c r="K434" s="8" t="n">
        <x:f>H434-I434*J434</x:f>
        <x:v>3.2247629855998694</x:v>
      </x:c>
      <x:c r="L434" s="8" t="n">
        <x:f>'PG facts'!D126</x:f>
        <x:v>4</x:v>
      </x:c>
      <x:c r="M434" s="8" t="n">
        <x:f>K434-L434</x:f>
        <x:v>-0.7752370144001306</x:v>
      </x:c>
      <x:c r="N434" s="8" t="n">
        <x:f>M434^2</x:f>
        <x:v>0.6009924284960283</x:v>
      </x:c>
      <x:c r="O434" s="8" t="n">
        <x:f>ABS(M434)</x:f>
        <x:v>0.7752370144001306</x:v>
      </x:c>
      <x:c r="P434" s="7" t="n">
        <x:v>45867</x:v>
      </x:c>
    </x:row>
    <x:row r="435" ht="26" customHeight="1">
      <x:c r="A435" s="2"/>
      <x:c r="B435" s="2" t="n">
        <x:v>430</x:v>
      </x:c>
      <x:c r="C435" s="2" t="str">
        <x:v>Grooming / price_contribution</x:v>
      </x:c>
      <x:c r="D435" s="7" t="n">
        <x:v>45838</x:v>
      </x:c>
      <x:c r="E435" s="2" t="str">
        <x:v>Pre-earnings</x:v>
      </x:c>
      <x:c r="F435" s="7" t="n">
        <x:v>45866</x:v>
      </x:c>
      <x:c r="G435" s="2" t="str">
        <x:v>Broad rolling 8</x:v>
      </x:c>
      <x:c r="H435" s="8" t="n">
        <x:f>'Model fits'!AA309</x:f>
        <x:v>2.442215953350393</x:v>
      </x:c>
      <x:c r="I435" s="8" t="n">
        <x:f>0</x:f>
        <x:v>0</x:v>
      </x:c>
      <x:c r="J435" s="8" t="n">
        <x:v>0</x:v>
      </x:c>
      <x:c r="K435" s="8" t="n">
        <x:f>H435-I435*J435</x:f>
        <x:v>2.442215953350393</x:v>
      </x:c>
      <x:c r="L435" s="8" t="n">
        <x:f>'PG facts'!D126</x:f>
        <x:v>4</x:v>
      </x:c>
      <x:c r="M435" s="8" t="n">
        <x:f>K435-L435</x:f>
        <x:v>-1.5577840466496071</x:v>
      </x:c>
      <x:c r="N435" s="8" t="n">
        <x:f>M435^2</x:f>
        <x:v>2.4266911359960255</x:v>
      </x:c>
      <x:c r="O435" s="8" t="n">
        <x:f>ABS(M435)</x:f>
        <x:v>1.5577840466496071</x:v>
      </x:c>
      <x:c r="P435" s="7" t="n">
        <x:v>45867</x:v>
      </x:c>
    </x:row>
    <x:row r="436" ht="26" customHeight="1">
      <x:c r="A436" s="2"/>
      <x:c r="B436" s="2" t="n">
        <x:v>431</x:v>
      </x:c>
      <x:c r="C436" s="2" t="str">
        <x:v>Grooming / price_contribution</x:v>
      </x:c>
      <x:c r="D436" s="7" t="n">
        <x:v>45838</x:v>
      </x:c>
      <x:c r="E436" s="2" t="str">
        <x:v>Pre-earnings</x:v>
      </x:c>
      <x:c r="F436" s="7" t="n">
        <x:v>45866</x:v>
      </x:c>
      <x:c r="G436" s="2" t="str">
        <x:v>Own history</x:v>
      </x:c>
      <x:c r="H436" s="8" t="n">
        <x:f>'Model fits'!AA310</x:f>
        <x:v>2.8150051387461463</x:v>
      </x:c>
      <x:c r="I436" s="8" t="n">
        <x:f>0</x:f>
        <x:v>0</x:v>
      </x:c>
      <x:c r="J436" s="8" t="n">
        <x:v>0</x:v>
      </x:c>
      <x:c r="K436" s="8" t="n">
        <x:f>H436-I436*J436</x:f>
        <x:v>2.8150051387461463</x:v>
      </x:c>
      <x:c r="L436" s="8" t="n">
        <x:f>'PG facts'!D126</x:f>
        <x:v>4</x:v>
      </x:c>
      <x:c r="M436" s="8" t="n">
        <x:f>K436-L436</x:f>
        <x:v>-1.1849948612538537</x:v>
      </x:c>
      <x:c r="N436" s="8" t="n">
        <x:f>M436^2</x:f>
        <x:v>1.4042128211980398</x:v>
      </x:c>
      <x:c r="O436" s="8" t="n">
        <x:f>ABS(M436)</x:f>
        <x:v>1.1849948612538537</x:v>
      </x:c>
      <x:c r="P436" s="7" t="n">
        <x:v>45867</x:v>
      </x:c>
    </x:row>
    <x:row r="437" ht="26" customHeight="1">
      <x:c r="A437" s="2"/>
      <x:c r="B437" s="2" t="n">
        <x:v>432</x:v>
      </x:c>
      <x:c r="C437" s="2" t="str">
        <x:v>Grooming / price_contribution</x:v>
      </x:c>
      <x:c r="D437" s="7" t="n">
        <x:v>45930</x:v>
      </x:c>
      <x:c r="E437" s="2" t="str">
        <x:v>Origin</x:v>
      </x:c>
      <x:c r="F437" s="7" t="n">
        <x:v>45839</x:v>
      </x:c>
      <x:c r="G437" s="2" t="str">
        <x:v>Last actual</x:v>
      </x:c>
      <x:c r="H437" s="8" t="n">
        <x:f>AVERAGE('PG facts'!D119)</x:f>
        <x:v>2</x:v>
      </x:c>
      <x:c r="I437" s="8" t="n">
        <x:f>0</x:f>
        <x:v>0</x:v>
      </x:c>
      <x:c r="J437" s="8" t="n">
        <x:v>0</x:v>
      </x:c>
      <x:c r="K437" s="8" t="n">
        <x:f>H437-I437*J437</x:f>
        <x:v>2</x:v>
      </x:c>
      <x:c r="L437" s="8" t="n">
        <x:f>'PG facts'!D133</x:f>
        <x:v>4</x:v>
      </x:c>
      <x:c r="M437" s="8" t="n">
        <x:f>K437-L437</x:f>
        <x:v>-2</x:v>
      </x:c>
      <x:c r="N437" s="8" t="n">
        <x:f>M437^2</x:f>
        <x:v>4</x:v>
      </x:c>
      <x:c r="O437" s="8" t="n">
        <x:f>ABS(M437)</x:f>
        <x:v>2</x:v>
      </x:c>
      <x:c r="P437" s="7" t="n">
        <x:v>45954</x:v>
      </x:c>
    </x:row>
    <x:row r="438" ht="26" customHeight="1">
      <x:c r="A438" s="2"/>
      <x:c r="B438" s="2" t="n">
        <x:v>433</x:v>
      </x:c>
      <x:c r="C438" s="2" t="str">
        <x:v>Grooming / price_contribution</x:v>
      </x:c>
      <x:c r="D438" s="7" t="n">
        <x:v>45930</x:v>
      </x:c>
      <x:c r="E438" s="2" t="str">
        <x:v>Origin</x:v>
      </x:c>
      <x:c r="F438" s="7" t="n">
        <x:v>45839</x:v>
      </x:c>
      <x:c r="G438" s="2" t="str">
        <x:v>Four-quarter mean</x:v>
      </x:c>
      <x:c r="H438" s="8" t="n">
        <x:f>AVERAGE('PG facts'!D98,'PG facts'!D105,'PG facts'!D112,'PG facts'!D119)</x:f>
        <x:v>2.25</x:v>
      </x:c>
      <x:c r="I438" s="8" t="n">
        <x:f>0</x:f>
        <x:v>0</x:v>
      </x:c>
      <x:c r="J438" s="8" t="n">
        <x:v>0</x:v>
      </x:c>
      <x:c r="K438" s="8" t="n">
        <x:f>H438-I438*J438</x:f>
        <x:v>2.25</x:v>
      </x:c>
      <x:c r="L438" s="8" t="n">
        <x:f>'PG facts'!D133</x:f>
        <x:v>4</x:v>
      </x:c>
      <x:c r="M438" s="8" t="n">
        <x:f>K438-L438</x:f>
        <x:v>-1.75</x:v>
      </x:c>
      <x:c r="N438" s="8" t="n">
        <x:f>M438^2</x:f>
        <x:v>3.0625</x:v>
      </x:c>
      <x:c r="O438" s="8" t="n">
        <x:f>ABS(M438)</x:f>
        <x:v>1.75</x:v>
      </x:c>
      <x:c r="P438" s="7" t="n">
        <x:v>45954</x:v>
      </x:c>
    </x:row>
    <x:row r="439" ht="26" customHeight="1">
      <x:c r="A439" s="2"/>
      <x:c r="B439" s="2" t="n">
        <x:v>434</x:v>
      </x:c>
      <x:c r="C439" s="2" t="str">
        <x:v>Grooming / price_contribution</x:v>
      </x:c>
      <x:c r="D439" s="7" t="n">
        <x:v>45930</x:v>
      </x:c>
      <x:c r="E439" s="2" t="str">
        <x:v>Origin</x:v>
      </x:c>
      <x:c r="F439" s="7" t="n">
        <x:v>45839</x:v>
      </x:c>
      <x:c r="G439" s="2" t="str">
        <x:v>Broad market</x:v>
      </x:c>
      <x:c r="H439" s="8" t="n">
        <x:f>'Model fits'!AA311</x:f>
        <x:v>2.904935330858826</x:v>
      </x:c>
      <x:c r="I439" s="8" t="n">
        <x:f>0</x:f>
        <x:v>0</x:v>
      </x:c>
      <x:c r="J439" s="8" t="n">
        <x:v>0</x:v>
      </x:c>
      <x:c r="K439" s="8" t="n">
        <x:f>H439-I439*J439</x:f>
        <x:v>2.904935330858826</x:v>
      </x:c>
      <x:c r="L439" s="8" t="n">
        <x:f>'PG facts'!D133</x:f>
        <x:v>4</x:v>
      </x:c>
      <x:c r="M439" s="8" t="n">
        <x:f>K439-L439</x:f>
        <x:v>-1.0950646691411738</x:v>
      </x:c>
      <x:c r="N439" s="8" t="n">
        <x:f>M439^2</x:f>
        <x:v>1.1991666296012686</x:v>
      </x:c>
      <x:c r="O439" s="8" t="n">
        <x:f>ABS(M439)</x:f>
        <x:v>1.0950646691411738</x:v>
      </x:c>
      <x:c r="P439" s="7" t="n">
        <x:v>45954</x:v>
      </x:c>
    </x:row>
    <x:row r="440" ht="26" customHeight="1">
      <x:c r="A440" s="2"/>
      <x:c r="B440" s="2" t="n">
        <x:v>435</x:v>
      </x:c>
      <x:c r="C440" s="2" t="str">
        <x:v>Grooming / price_contribution</x:v>
      </x:c>
      <x:c r="D440" s="7" t="n">
        <x:v>45930</x:v>
      </x:c>
      <x:c r="E440" s="2" t="str">
        <x:v>Origin</x:v>
      </x:c>
      <x:c r="F440" s="7" t="n">
        <x:v>45839</x:v>
      </x:c>
      <x:c r="G440" s="2" t="str">
        <x:v>Broad rolling 8</x:v>
      </x:c>
      <x:c r="H440" s="8" t="n">
        <x:f>'Model fits'!AA312</x:f>
        <x:v>2.175631737595752</x:v>
      </x:c>
      <x:c r="I440" s="8" t="n">
        <x:f>0</x:f>
        <x:v>0</x:v>
      </x:c>
      <x:c r="J440" s="8" t="n">
        <x:v>0</x:v>
      </x:c>
      <x:c r="K440" s="8" t="n">
        <x:f>H440-I440*J440</x:f>
        <x:v>2.175631737595752</x:v>
      </x:c>
      <x:c r="L440" s="8" t="n">
        <x:f>'PG facts'!D133</x:f>
        <x:v>4</x:v>
      </x:c>
      <x:c r="M440" s="8" t="n">
        <x:f>K440-L440</x:f>
        <x:v>-1.8243682624042479</x:v>
      </x:c>
      <x:c r="N440" s="8" t="n">
        <x:f>M440^2</x:f>
        <x:v>3.3283195568678945</x:v>
      </x:c>
      <x:c r="O440" s="8" t="n">
        <x:f>ABS(M440)</x:f>
        <x:v>1.8243682624042479</x:v>
      </x:c>
      <x:c r="P440" s="7" t="n">
        <x:v>45954</x:v>
      </x:c>
    </x:row>
    <x:row r="441" ht="26" customHeight="1">
      <x:c r="A441" s="2"/>
      <x:c r="B441" s="2" t="n">
        <x:v>436</x:v>
      </x:c>
      <x:c r="C441" s="2" t="str">
        <x:v>Grooming / price_contribution</x:v>
      </x:c>
      <x:c r="D441" s="7" t="n">
        <x:v>45930</x:v>
      </x:c>
      <x:c r="E441" s="2" t="str">
        <x:v>Origin</x:v>
      </x:c>
      <x:c r="F441" s="7" t="n">
        <x:v>45839</x:v>
      </x:c>
      <x:c r="G441" s="2" t="str">
        <x:v>Own history</x:v>
      </x:c>
      <x:c r="H441" s="8" t="n">
        <x:f>'Model fits'!AA313</x:f>
        <x:v>4.026204564666103</x:v>
      </x:c>
      <x:c r="I441" s="8" t="n">
        <x:f>0</x:f>
        <x:v>0</x:v>
      </x:c>
      <x:c r="J441" s="8" t="n">
        <x:v>0</x:v>
      </x:c>
      <x:c r="K441" s="8" t="n">
        <x:f>H441-I441*J441</x:f>
        <x:v>4.026204564666103</x:v>
      </x:c>
      <x:c r="L441" s="8" t="n">
        <x:f>'PG facts'!D133</x:f>
        <x:v>4</x:v>
      </x:c>
      <x:c r="M441" s="8" t="n">
        <x:f>K441-L441</x:f>
        <x:v>0.026204564666103103</x:v>
      </x:c>
      <x:c r="N441" s="8" t="n">
        <x:f>M441^2</x:f>
        <x:v>0.0006866792093399792</x:v>
      </x:c>
      <x:c r="O441" s="8" t="n">
        <x:f>ABS(M441)</x:f>
        <x:v>0.026204564666103103</x:v>
      </x:c>
      <x:c r="P441" s="7" t="n">
        <x:v>45954</x:v>
      </x:c>
    </x:row>
    <x:row r="442" ht="26" customHeight="1">
      <x:c r="A442" s="2"/>
      <x:c r="B442" s="2" t="n">
        <x:v>437</x:v>
      </x:c>
      <x:c r="C442" s="2" t="str">
        <x:v>Grooming / price_contribution</x:v>
      </x:c>
      <x:c r="D442" s="7" t="n">
        <x:v>45930</x:v>
      </x:c>
      <x:c r="E442" s="2" t="str">
        <x:v>Prior report</x:v>
      </x:c>
      <x:c r="F442" s="7" t="n">
        <x:v>45867</x:v>
      </x:c>
      <x:c r="G442" s="2" t="str">
        <x:v>Last actual</x:v>
      </x:c>
      <x:c r="H442" s="8" t="n">
        <x:f>AVERAGE('PG facts'!D126)</x:f>
        <x:v>4</x:v>
      </x:c>
      <x:c r="I442" s="8" t="n">
        <x:f>0</x:f>
        <x:v>0</x:v>
      </x:c>
      <x:c r="J442" s="8" t="n">
        <x:v>0</x:v>
      </x:c>
      <x:c r="K442" s="8" t="n">
        <x:f>H442-I442*J442</x:f>
        <x:v>4</x:v>
      </x:c>
      <x:c r="L442" s="8" t="n">
        <x:f>'PG facts'!D133</x:f>
        <x:v>4</x:v>
      </x:c>
      <x:c r="M442" s="8" t="n">
        <x:f>K442-L442</x:f>
        <x:v>0</x:v>
      </x:c>
      <x:c r="N442" s="8" t="n">
        <x:f>M442^2</x:f>
        <x:v>0</x:v>
      </x:c>
      <x:c r="O442" s="8" t="n">
        <x:f>ABS(M442)</x:f>
        <x:v>0</x:v>
      </x:c>
      <x:c r="P442" s="7" t="n">
        <x:v>45954</x:v>
      </x:c>
    </x:row>
    <x:row r="443" ht="26" customHeight="1">
      <x:c r="A443" s="2"/>
      <x:c r="B443" s="2" t="n">
        <x:v>438</x:v>
      </x:c>
      <x:c r="C443" s="2" t="str">
        <x:v>Grooming / price_contribution</x:v>
      </x:c>
      <x:c r="D443" s="7" t="n">
        <x:v>45930</x:v>
      </x:c>
      <x:c r="E443" s="2" t="str">
        <x:v>Prior report</x:v>
      </x:c>
      <x:c r="F443" s="7" t="n">
        <x:v>45867</x:v>
      </x:c>
      <x:c r="G443" s="2" t="str">
        <x:v>Four-quarter mean</x:v>
      </x:c>
      <x:c r="H443" s="8" t="n">
        <x:f>AVERAGE('PG facts'!D105,'PG facts'!D112,'PG facts'!D119,'PG facts'!D126)</x:f>
        <x:v>2</x:v>
      </x:c>
      <x:c r="I443" s="8" t="n">
        <x:f>0</x:f>
        <x:v>0</x:v>
      </x:c>
      <x:c r="J443" s="8" t="n">
        <x:v>0</x:v>
      </x:c>
      <x:c r="K443" s="8" t="n">
        <x:f>H443-I443*J443</x:f>
        <x:v>2</x:v>
      </x:c>
      <x:c r="L443" s="8" t="n">
        <x:f>'PG facts'!D133</x:f>
        <x:v>4</x:v>
      </x:c>
      <x:c r="M443" s="8" t="n">
        <x:f>K443-L443</x:f>
        <x:v>-2</x:v>
      </x:c>
      <x:c r="N443" s="8" t="n">
        <x:f>M443^2</x:f>
        <x:v>4</x:v>
      </x:c>
      <x:c r="O443" s="8" t="n">
        <x:f>ABS(M443)</x:f>
        <x:v>2</x:v>
      </x:c>
      <x:c r="P443" s="7" t="n">
        <x:v>45954</x:v>
      </x:c>
    </x:row>
    <x:row r="444" ht="26" customHeight="1">
      <x:c r="A444" s="2"/>
      <x:c r="B444" s="2" t="n">
        <x:v>439</x:v>
      </x:c>
      <x:c r="C444" s="2" t="str">
        <x:v>Grooming / price_contribution</x:v>
      </x:c>
      <x:c r="D444" s="7" t="n">
        <x:v>45930</x:v>
      </x:c>
      <x:c r="E444" s="2" t="str">
        <x:v>Prior report</x:v>
      </x:c>
      <x:c r="F444" s="7" t="n">
        <x:v>45867</x:v>
      </x:c>
      <x:c r="G444" s="2" t="str">
        <x:v>Broad market</x:v>
      </x:c>
      <x:c r="H444" s="8" t="n">
        <x:f>'Model fits'!AA314</x:f>
        <x:v>3.2109287911430924</x:v>
      </x:c>
      <x:c r="I444" s="8" t="n">
        <x:f>0</x:f>
        <x:v>0</x:v>
      </x:c>
      <x:c r="J444" s="8" t="n">
        <x:v>0</x:v>
      </x:c>
      <x:c r="K444" s="8" t="n">
        <x:f>H444-I444*J444</x:f>
        <x:v>3.2109287911430924</x:v>
      </x:c>
      <x:c r="L444" s="8" t="n">
        <x:f>'PG facts'!D133</x:f>
        <x:v>4</x:v>
      </x:c>
      <x:c r="M444" s="8" t="n">
        <x:f>K444-L444</x:f>
        <x:v>-0.7890712088569076</x:v>
      </x:c>
      <x:c r="N444" s="8" t="n">
        <x:f>M444^2</x:f>
        <x:v>0.6226333726469016</x:v>
      </x:c>
      <x:c r="O444" s="8" t="n">
        <x:f>ABS(M444)</x:f>
        <x:v>0.7890712088569076</x:v>
      </x:c>
      <x:c r="P444" s="7" t="n">
        <x:v>45954</x:v>
      </x:c>
    </x:row>
    <x:row r="445" ht="26" customHeight="1">
      <x:c r="A445" s="2"/>
      <x:c r="B445" s="2" t="n">
        <x:v>440</x:v>
      </x:c>
      <x:c r="C445" s="2" t="str">
        <x:v>Grooming / price_contribution</x:v>
      </x:c>
      <x:c r="D445" s="7" t="n">
        <x:v>45930</x:v>
      </x:c>
      <x:c r="E445" s="2" t="str">
        <x:v>Prior report</x:v>
      </x:c>
      <x:c r="F445" s="7" t="n">
        <x:v>45867</x:v>
      </x:c>
      <x:c r="G445" s="2" t="str">
        <x:v>Broad lag 1</x:v>
      </x:c>
      <x:c r="H445" s="8" t="n">
        <x:f>'Model fits'!AA315</x:f>
        <x:v>3.5685116207003333</x:v>
      </x:c>
      <x:c r="I445" s="8" t="n">
        <x:f>0</x:f>
        <x:v>0</x:v>
      </x:c>
      <x:c r="J445" s="8" t="n">
        <x:v>0</x:v>
      </x:c>
      <x:c r="K445" s="8" t="n">
        <x:f>H445-I445*J445</x:f>
        <x:v>3.5685116207003333</x:v>
      </x:c>
      <x:c r="L445" s="8" t="n">
        <x:f>'PG facts'!D133</x:f>
        <x:v>4</x:v>
      </x:c>
      <x:c r="M445" s="8" t="n">
        <x:f>K445-L445</x:f>
        <x:v>-0.43148837929966666</x:v>
      </x:c>
      <x:c r="N445" s="8" t="n">
        <x:f>M445^2</x:f>
        <x:v>0.186182221470653</x:v>
      </x:c>
      <x:c r="O445" s="8" t="n">
        <x:f>ABS(M445)</x:f>
        <x:v>0.43148837929966666</x:v>
      </x:c>
      <x:c r="P445" s="7" t="n">
        <x:v>45954</x:v>
      </x:c>
    </x:row>
    <x:row r="446" ht="26" customHeight="1">
      <x:c r="A446" s="2"/>
      <x:c r="B446" s="2" t="n">
        <x:v>441</x:v>
      </x:c>
      <x:c r="C446" s="2" t="str">
        <x:v>Grooming / price_contribution</x:v>
      </x:c>
      <x:c r="D446" s="7" t="n">
        <x:v>45930</x:v>
      </x:c>
      <x:c r="E446" s="2" t="str">
        <x:v>Prior report</x:v>
      </x:c>
      <x:c r="F446" s="7" t="n">
        <x:v>45867</x:v>
      </x:c>
      <x:c r="G446" s="2" t="str">
        <x:v>Broad rolling 8</x:v>
      </x:c>
      <x:c r="H446" s="8" t="n">
        <x:f>'Model fits'!AA316</x:f>
        <x:v>2.516074786421954</x:v>
      </x:c>
      <x:c r="I446" s="8" t="n">
        <x:f>0</x:f>
        <x:v>0</x:v>
      </x:c>
      <x:c r="J446" s="8" t="n">
        <x:v>0</x:v>
      </x:c>
      <x:c r="K446" s="8" t="n">
        <x:f>H446-I446*J446</x:f>
        <x:v>2.516074786421954</x:v>
      </x:c>
      <x:c r="L446" s="8" t="n">
        <x:f>'PG facts'!D133</x:f>
        <x:v>4</x:v>
      </x:c>
      <x:c r="M446" s="8" t="n">
        <x:f>K446-L446</x:f>
        <x:v>-1.483925213578046</x:v>
      </x:c>
      <x:c r="N446" s="8" t="n">
        <x:f>M446^2</x:f>
        <x:v>2.20203403949265</x:v>
      </x:c>
      <x:c r="O446" s="8" t="n">
        <x:f>ABS(M446)</x:f>
        <x:v>1.483925213578046</x:v>
      </x:c>
      <x:c r="P446" s="7" t="n">
        <x:v>45954</x:v>
      </x:c>
    </x:row>
    <x:row r="447" ht="26" customHeight="1">
      <x:c r="A447" s="2"/>
      <x:c r="B447" s="2" t="n">
        <x:v>442</x:v>
      </x:c>
      <x:c r="C447" s="2" t="str">
        <x:v>Grooming / price_contribution</x:v>
      </x:c>
      <x:c r="D447" s="7" t="n">
        <x:v>45930</x:v>
      </x:c>
      <x:c r="E447" s="2" t="str">
        <x:v>Prior report</x:v>
      </x:c>
      <x:c r="F447" s="7" t="n">
        <x:v>45867</x:v>
      </x:c>
      <x:c r="G447" s="2" t="str">
        <x:v>Own history</x:v>
      </x:c>
      <x:c r="H447" s="8" t="n">
        <x:f>'Model fits'!AA317</x:f>
        <x:v>4.4916016796640665</x:v>
      </x:c>
      <x:c r="I447" s="8" t="n">
        <x:f>0</x:f>
        <x:v>0</x:v>
      </x:c>
      <x:c r="J447" s="8" t="n">
        <x:v>0</x:v>
      </x:c>
      <x:c r="K447" s="8" t="n">
        <x:f>H447-I447*J447</x:f>
        <x:v>4.4916016796640665</x:v>
      </x:c>
      <x:c r="L447" s="8" t="n">
        <x:f>'PG facts'!D133</x:f>
        <x:v>4</x:v>
      </x:c>
      <x:c r="M447" s="8" t="n">
        <x:f>K447-L447</x:f>
        <x:v>0.49160167966406654</x:v>
      </x:c>
      <x:c r="N447" s="8" t="n">
        <x:f>M447^2</x:f>
        <x:v>0.2416722114485315</x:v>
      </x:c>
      <x:c r="O447" s="8" t="n">
        <x:f>ABS(M447)</x:f>
        <x:v>0.49160167966406654</x:v>
      </x:c>
      <x:c r="P447" s="7" t="n">
        <x:v>45954</x:v>
      </x:c>
    </x:row>
    <x:row r="448" ht="26" customHeight="1">
      <x:c r="A448" s="2"/>
      <x:c r="B448" s="2" t="n">
        <x:v>443</x:v>
      </x:c>
      <x:c r="C448" s="2" t="str">
        <x:v>Grooming / price_contribution</x:v>
      </x:c>
      <x:c r="D448" s="7" t="n">
        <x:v>45930</x:v>
      </x:c>
      <x:c r="E448" s="2" t="str">
        <x:v>Pre-earnings</x:v>
      </x:c>
      <x:c r="F448" s="7" t="n">
        <x:v>45953</x:v>
      </x:c>
      <x:c r="G448" s="2" t="str">
        <x:v>Last actual</x:v>
      </x:c>
      <x:c r="H448" s="8" t="n">
        <x:f>AVERAGE('PG facts'!D126)</x:f>
        <x:v>4</x:v>
      </x:c>
      <x:c r="I448" s="8" t="n">
        <x:f>0</x:f>
        <x:v>0</x:v>
      </x:c>
      <x:c r="J448" s="8" t="n">
        <x:v>0</x:v>
      </x:c>
      <x:c r="K448" s="8" t="n">
        <x:f>H448-I448*J448</x:f>
        <x:v>4</x:v>
      </x:c>
      <x:c r="L448" s="8" t="n">
        <x:f>'PG facts'!D133</x:f>
        <x:v>4</x:v>
      </x:c>
      <x:c r="M448" s="8" t="n">
        <x:f>K448-L448</x:f>
        <x:v>0</x:v>
      </x:c>
      <x:c r="N448" s="8" t="n">
        <x:f>M448^2</x:f>
        <x:v>0</x:v>
      </x:c>
      <x:c r="O448" s="8" t="n">
        <x:f>ABS(M448)</x:f>
        <x:v>0</x:v>
      </x:c>
      <x:c r="P448" s="7" t="n">
        <x:v>45954</x:v>
      </x:c>
    </x:row>
    <x:row r="449" ht="26" customHeight="1">
      <x:c r="A449" s="2"/>
      <x:c r="B449" s="2" t="n">
        <x:v>444</x:v>
      </x:c>
      <x:c r="C449" s="2" t="str">
        <x:v>Grooming / price_contribution</x:v>
      </x:c>
      <x:c r="D449" s="7" t="n">
        <x:v>45930</x:v>
      </x:c>
      <x:c r="E449" s="2" t="str">
        <x:v>Pre-earnings</x:v>
      </x:c>
      <x:c r="F449" s="7" t="n">
        <x:v>45953</x:v>
      </x:c>
      <x:c r="G449" s="2" t="str">
        <x:v>Four-quarter mean</x:v>
      </x:c>
      <x:c r="H449" s="8" t="n">
        <x:f>AVERAGE('PG facts'!D105,'PG facts'!D112,'PG facts'!D119,'PG facts'!D126)</x:f>
        <x:v>2</x:v>
      </x:c>
      <x:c r="I449" s="8" t="n">
        <x:f>0</x:f>
        <x:v>0</x:v>
      </x:c>
      <x:c r="J449" s="8" t="n">
        <x:v>0</x:v>
      </x:c>
      <x:c r="K449" s="8" t="n">
        <x:f>H449-I449*J449</x:f>
        <x:v>2</x:v>
      </x:c>
      <x:c r="L449" s="8" t="n">
        <x:f>'PG facts'!D133</x:f>
        <x:v>4</x:v>
      </x:c>
      <x:c r="M449" s="8" t="n">
        <x:f>K449-L449</x:f>
        <x:v>-2</x:v>
      </x:c>
      <x:c r="N449" s="8" t="n">
        <x:f>M449^2</x:f>
        <x:v>4</x:v>
      </x:c>
      <x:c r="O449" s="8" t="n">
        <x:f>ABS(M449)</x:f>
        <x:v>2</x:v>
      </x:c>
      <x:c r="P449" s="7" t="n">
        <x:v>45954</x:v>
      </x:c>
    </x:row>
    <x:row r="450" ht="26" customHeight="1">
      <x:c r="A450" s="2"/>
      <x:c r="B450" s="2" t="n">
        <x:v>445</x:v>
      </x:c>
      <x:c r="C450" s="2" t="str">
        <x:v>Grooming / price_contribution</x:v>
      </x:c>
      <x:c r="D450" s="7" t="n">
        <x:v>45930</x:v>
      </x:c>
      <x:c r="E450" s="2" t="str">
        <x:v>Pre-earnings</x:v>
      </x:c>
      <x:c r="F450" s="7" t="n">
        <x:v>45953</x:v>
      </x:c>
      <x:c r="G450" s="2" t="str">
        <x:v>Broad market</x:v>
      </x:c>
      <x:c r="H450" s="8" t="n">
        <x:f>'Model fits'!AA318</x:f>
        <x:v>3.4857136133426385</x:v>
      </x:c>
      <x:c r="I450" s="8" t="n">
        <x:f>0</x:f>
        <x:v>0</x:v>
      </x:c>
      <x:c r="J450" s="8" t="n">
        <x:v>0</x:v>
      </x:c>
      <x:c r="K450" s="8" t="n">
        <x:f>H450-I450*J450</x:f>
        <x:v>3.4857136133426385</x:v>
      </x:c>
      <x:c r="L450" s="8" t="n">
        <x:f>'PG facts'!D133</x:f>
        <x:v>4</x:v>
      </x:c>
      <x:c r="M450" s="8" t="n">
        <x:f>K450-L450</x:f>
        <x:v>-0.5142863866573615</x:v>
      </x:c>
      <x:c r="N450" s="8" t="n">
        <x:f>M450^2</x:f>
        <x:v>0.2644904875010851</x:v>
      </x:c>
      <x:c r="O450" s="8" t="n">
        <x:f>ABS(M450)</x:f>
        <x:v>0.5142863866573615</x:v>
      </x:c>
      <x:c r="P450" s="7" t="n">
        <x:v>45954</x:v>
      </x:c>
    </x:row>
    <x:row r="451" ht="26" customHeight="1">
      <x:c r="A451" s="2"/>
      <x:c r="B451" s="2" t="n">
        <x:v>446</x:v>
      </x:c>
      <x:c r="C451" s="2" t="str">
        <x:v>Grooming / price_contribution</x:v>
      </x:c>
      <x:c r="D451" s="7" t="n">
        <x:v>45930</x:v>
      </x:c>
      <x:c r="E451" s="2" t="str">
        <x:v>Pre-earnings</x:v>
      </x:c>
      <x:c r="F451" s="7" t="n">
        <x:v>45953</x:v>
      </x:c>
      <x:c r="G451" s="2" t="str">
        <x:v>Broad lag 1</x:v>
      </x:c>
      <x:c r="H451" s="8" t="n">
        <x:f>'Model fits'!AA319</x:f>
        <x:v>3.5685116207003333</x:v>
      </x:c>
      <x:c r="I451" s="8" t="n">
        <x:f>0</x:f>
        <x:v>0</x:v>
      </x:c>
      <x:c r="J451" s="8" t="n">
        <x:v>0</x:v>
      </x:c>
      <x:c r="K451" s="8" t="n">
        <x:f>H451-I451*J451</x:f>
        <x:v>3.5685116207003333</x:v>
      </x:c>
      <x:c r="L451" s="8" t="n">
        <x:f>'PG facts'!D133</x:f>
        <x:v>4</x:v>
      </x:c>
      <x:c r="M451" s="8" t="n">
        <x:f>K451-L451</x:f>
        <x:v>-0.43148837929966666</x:v>
      </x:c>
      <x:c r="N451" s="8" t="n">
        <x:f>M451^2</x:f>
        <x:v>0.186182221470653</x:v>
      </x:c>
      <x:c r="O451" s="8" t="n">
        <x:f>ABS(M451)</x:f>
        <x:v>0.43148837929966666</x:v>
      </x:c>
      <x:c r="P451" s="7" t="n">
        <x:v>45954</x:v>
      </x:c>
    </x:row>
    <x:row r="452" ht="26" customHeight="1">
      <x:c r="A452" s="2"/>
      <x:c r="B452" s="2" t="n">
        <x:v>447</x:v>
      </x:c>
      <x:c r="C452" s="2" t="str">
        <x:v>Grooming / price_contribution</x:v>
      </x:c>
      <x:c r="D452" s="7" t="n">
        <x:v>45930</x:v>
      </x:c>
      <x:c r="E452" s="2" t="str">
        <x:v>Pre-earnings</x:v>
      </x:c>
      <x:c r="F452" s="7" t="n">
        <x:v>45953</x:v>
      </x:c>
      <x:c r="G452" s="2" t="str">
        <x:v>Broad rolling 8</x:v>
      </x:c>
      <x:c r="H452" s="8" t="n">
        <x:f>'Model fits'!AA320</x:f>
        <x:v>2.894928603869642</x:v>
      </x:c>
      <x:c r="I452" s="8" t="n">
        <x:f>0</x:f>
        <x:v>0</x:v>
      </x:c>
      <x:c r="J452" s="8" t="n">
        <x:v>0</x:v>
      </x:c>
      <x:c r="K452" s="8" t="n">
        <x:f>H452-I452*J452</x:f>
        <x:v>2.894928603869642</x:v>
      </x:c>
      <x:c r="L452" s="8" t="n">
        <x:f>'PG facts'!D133</x:f>
        <x:v>4</x:v>
      </x:c>
      <x:c r="M452" s="8" t="n">
        <x:f>K452-L452</x:f>
        <x:v>-1.105071396130358</x:v>
      </x:c>
      <x:c r="N452" s="8" t="n">
        <x:f>M452^2</x:f>
        <x:v>1.2211827905454986</x:v>
      </x:c>
      <x:c r="O452" s="8" t="n">
        <x:f>ABS(M452)</x:f>
        <x:v>1.105071396130358</x:v>
      </x:c>
      <x:c r="P452" s="7" t="n">
        <x:v>45954</x:v>
      </x:c>
    </x:row>
    <x:row r="453" ht="26" customHeight="1">
      <x:c r="A453" s="2"/>
      <x:c r="B453" s="2" t="n">
        <x:v>448</x:v>
      </x:c>
      <x:c r="C453" s="2" t="str">
        <x:v>Grooming / price_contribution</x:v>
      </x:c>
      <x:c r="D453" s="7" t="n">
        <x:v>45930</x:v>
      </x:c>
      <x:c r="E453" s="2" t="str">
        <x:v>Pre-earnings</x:v>
      </x:c>
      <x:c r="F453" s="7" t="n">
        <x:v>45953</x:v>
      </x:c>
      <x:c r="G453" s="2" t="str">
        <x:v>Own history</x:v>
      </x:c>
      <x:c r="H453" s="8" t="n">
        <x:f>'Model fits'!AA321</x:f>
        <x:v>4.4916016796640665</x:v>
      </x:c>
      <x:c r="I453" s="8" t="n">
        <x:f>0</x:f>
        <x:v>0</x:v>
      </x:c>
      <x:c r="J453" s="8" t="n">
        <x:v>0</x:v>
      </x:c>
      <x:c r="K453" s="8" t="n">
        <x:f>H453-I453*J453</x:f>
        <x:v>4.4916016796640665</x:v>
      </x:c>
      <x:c r="L453" s="8" t="n">
        <x:f>'PG facts'!D133</x:f>
        <x:v>4</x:v>
      </x:c>
      <x:c r="M453" s="8" t="n">
        <x:f>K453-L453</x:f>
        <x:v>0.49160167966406654</x:v>
      </x:c>
      <x:c r="N453" s="8" t="n">
        <x:f>M453^2</x:f>
        <x:v>0.2416722114485315</x:v>
      </x:c>
      <x:c r="O453" s="8" t="n">
        <x:f>ABS(M453)</x:f>
        <x:v>0.49160167966406654</x:v>
      </x:c>
      <x:c r="P453" s="7" t="n">
        <x:v>45954</x:v>
      </x:c>
    </x:row>
    <x:row r="454" ht="26" customHeight="1">
      <x:c r="A454" s="2"/>
      <x:c r="B454" s="2" t="n">
        <x:v>449</x:v>
      </x:c>
      <x:c r="C454" s="2" t="str">
        <x:v>Grooming / price_contribution</x:v>
      </x:c>
      <x:c r="D454" s="7" t="n">
        <x:v>46022</x:v>
      </x:c>
      <x:c r="E454" s="2" t="str">
        <x:v>Origin</x:v>
      </x:c>
      <x:c r="F454" s="7" t="n">
        <x:v>45931</x:v>
      </x:c>
      <x:c r="G454" s="2" t="str">
        <x:v>Last actual</x:v>
      </x:c>
      <x:c r="H454" s="8" t="n">
        <x:f>AVERAGE('PG facts'!D126)</x:f>
        <x:v>4</x:v>
      </x:c>
      <x:c r="I454" s="8" t="n">
        <x:f>0</x:f>
        <x:v>0</x:v>
      </x:c>
      <x:c r="J454" s="8" t="n">
        <x:v>0</x:v>
      </x:c>
      <x:c r="K454" s="8" t="n">
        <x:f>H454-I454*J454</x:f>
        <x:v>4</x:v>
      </x:c>
      <x:c r="L454" s="8" t="n">
        <x:f>'PG facts'!D140</x:f>
        <x:v>2</x:v>
      </x:c>
      <x:c r="M454" s="8" t="n">
        <x:f>K454-L454</x:f>
        <x:v>2</x:v>
      </x:c>
      <x:c r="N454" s="8" t="n">
        <x:f>M454^2</x:f>
        <x:v>4</x:v>
      </x:c>
      <x:c r="O454" s="8" t="n">
        <x:f>ABS(M454)</x:f>
        <x:v>2</x:v>
      </x:c>
      <x:c r="P454" s="7" t="n">
        <x:v>46045</x:v>
      </x:c>
    </x:row>
    <x:row r="455" ht="26" customHeight="1">
      <x:c r="A455" s="2"/>
      <x:c r="B455" s="2" t="n">
        <x:v>450</x:v>
      </x:c>
      <x:c r="C455" s="2" t="str">
        <x:v>Grooming / price_contribution</x:v>
      </x:c>
      <x:c r="D455" s="7" t="n">
        <x:v>46022</x:v>
      </x:c>
      <x:c r="E455" s="2" t="str">
        <x:v>Origin</x:v>
      </x:c>
      <x:c r="F455" s="7" t="n">
        <x:v>45931</x:v>
      </x:c>
      <x:c r="G455" s="2" t="str">
        <x:v>Four-quarter mean</x:v>
      </x:c>
      <x:c r="H455" s="8" t="n">
        <x:f>AVERAGE('PG facts'!D105,'PG facts'!D112,'PG facts'!D119,'PG facts'!D126)</x:f>
        <x:v>2</x:v>
      </x:c>
      <x:c r="I455" s="8" t="n">
        <x:f>0</x:f>
        <x:v>0</x:v>
      </x:c>
      <x:c r="J455" s="8" t="n">
        <x:v>0</x:v>
      </x:c>
      <x:c r="K455" s="8" t="n">
        <x:f>H455-I455*J455</x:f>
        <x:v>2</x:v>
      </x:c>
      <x:c r="L455" s="8" t="n">
        <x:f>'PG facts'!D140</x:f>
        <x:v>2</x:v>
      </x:c>
      <x:c r="M455" s="8" t="n">
        <x:f>K455-L455</x:f>
        <x:v>0</x:v>
      </x:c>
      <x:c r="N455" s="8" t="n">
        <x:f>M455^2</x:f>
        <x:v>0</x:v>
      </x:c>
      <x:c r="O455" s="8" t="n">
        <x:f>ABS(M455)</x:f>
        <x:v>0</x:v>
      </x:c>
      <x:c r="P455" s="7" t="n">
        <x:v>46045</x:v>
      </x:c>
    </x:row>
    <x:row r="456" ht="26" customHeight="1">
      <x:c r="A456" s="2"/>
      <x:c r="B456" s="2" t="n">
        <x:v>451</x:v>
      </x:c>
      <x:c r="C456" s="2" t="str">
        <x:v>Grooming / price_contribution</x:v>
      </x:c>
      <x:c r="D456" s="7" t="n">
        <x:v>46022</x:v>
      </x:c>
      <x:c r="E456" s="2" t="str">
        <x:v>Origin</x:v>
      </x:c>
      <x:c r="F456" s="7" t="n">
        <x:v>45931</x:v>
      </x:c>
      <x:c r="G456" s="2" t="str">
        <x:v>Broad market</x:v>
      </x:c>
      <x:c r="H456" s="8" t="n">
        <x:f>'Model fits'!AA322</x:f>
        <x:v>3.455071954831351</x:v>
      </x:c>
      <x:c r="I456" s="8" t="n">
        <x:f>0</x:f>
        <x:v>0</x:v>
      </x:c>
      <x:c r="J456" s="8" t="n">
        <x:v>0</x:v>
      </x:c>
      <x:c r="K456" s="8" t="n">
        <x:f>H456-I456*J456</x:f>
        <x:v>3.455071954831351</x:v>
      </x:c>
      <x:c r="L456" s="8" t="n">
        <x:f>'PG facts'!D140</x:f>
        <x:v>2</x:v>
      </x:c>
      <x:c r="M456" s="8" t="n">
        <x:f>K456-L456</x:f>
        <x:v>1.455071954831351</x:v>
      </x:c>
      <x:c r="N456" s="8" t="n">
        <x:f>M456^2</x:f>
        <x:v>2.1172343937367293</x:v>
      </x:c>
      <x:c r="O456" s="8" t="n">
        <x:f>ABS(M456)</x:f>
        <x:v>1.455071954831351</x:v>
      </x:c>
      <x:c r="P456" s="7" t="n">
        <x:v>46045</x:v>
      </x:c>
    </x:row>
    <x:row r="457" ht="26" customHeight="1">
      <x:c r="A457" s="2"/>
      <x:c r="B457" s="2" t="n">
        <x:v>452</x:v>
      </x:c>
      <x:c r="C457" s="2" t="str">
        <x:v>Grooming / price_contribution</x:v>
      </x:c>
      <x:c r="D457" s="7" t="n">
        <x:v>46022</x:v>
      </x:c>
      <x:c r="E457" s="2" t="str">
        <x:v>Origin</x:v>
      </x:c>
      <x:c r="F457" s="7" t="n">
        <x:v>45931</x:v>
      </x:c>
      <x:c r="G457" s="2" t="str">
        <x:v>Broad rolling 8</x:v>
      </x:c>
      <x:c r="H457" s="8" t="n">
        <x:f>'Model fits'!AA323</x:f>
        <x:v>2.8526820590750406</x:v>
      </x:c>
      <x:c r="I457" s="8" t="n">
        <x:f>0</x:f>
        <x:v>0</x:v>
      </x:c>
      <x:c r="J457" s="8" t="n">
        <x:v>0</x:v>
      </x:c>
      <x:c r="K457" s="8" t="n">
        <x:f>H457-I457*J457</x:f>
        <x:v>2.8526820590750406</x:v>
      </x:c>
      <x:c r="L457" s="8" t="n">
        <x:f>'PG facts'!D140</x:f>
        <x:v>2</x:v>
      </x:c>
      <x:c r="M457" s="8" t="n">
        <x:f>K457-L457</x:f>
        <x:v>0.8526820590750406</x:v>
      </x:c>
      <x:c r="N457" s="8" t="n">
        <x:f>M457^2</x:f>
        <x:v>0.727066693868451</x:v>
      </x:c>
      <x:c r="O457" s="8" t="n">
        <x:f>ABS(M457)</x:f>
        <x:v>0.8526820590750406</x:v>
      </x:c>
      <x:c r="P457" s="7" t="n">
        <x:v>46045</x:v>
      </x:c>
    </x:row>
    <x:row r="458" ht="26" customHeight="1">
      <x:c r="A458" s="2"/>
      <x:c r="B458" s="2" t="n">
        <x:v>453</x:v>
      </x:c>
      <x:c r="C458" s="2" t="str">
        <x:v>Grooming / price_contribution</x:v>
      </x:c>
      <x:c r="D458" s="7" t="n">
        <x:v>46022</x:v>
      </x:c>
      <x:c r="E458" s="2" t="str">
        <x:v>Origin</x:v>
      </x:c>
      <x:c r="F458" s="7" t="n">
        <x:v>45931</x:v>
      </x:c>
      <x:c r="G458" s="2" t="str">
        <x:v>Own history</x:v>
      </x:c>
      <x:c r="H458" s="8" t="n">
        <x:f>'Model fits'!AA324</x:f>
        <x:v>5.065090784515245</x:v>
      </x:c>
      <x:c r="I458" s="8" t="n">
        <x:f>0</x:f>
        <x:v>0</x:v>
      </x:c>
      <x:c r="J458" s="8" t="n">
        <x:v>0</x:v>
      </x:c>
      <x:c r="K458" s="8" t="n">
        <x:f>H458-I458*J458</x:f>
        <x:v>5.065090784515245</x:v>
      </x:c>
      <x:c r="L458" s="8" t="n">
        <x:f>'PG facts'!D140</x:f>
        <x:v>2</x:v>
      </x:c>
      <x:c r="M458" s="8" t="n">
        <x:f>K458-L458</x:f>
        <x:v>3.0650907845152453</x:v>
      </x:c>
      <x:c r="N458" s="8" t="n">
        <x:f>M458^2</x:f>
        <x:v>9.394781517320283</x:v>
      </x:c>
      <x:c r="O458" s="8" t="n">
        <x:f>ABS(M458)</x:f>
        <x:v>3.0650907845152453</x:v>
      </x:c>
      <x:c r="P458" s="7" t="n">
        <x:v>46045</x:v>
      </x:c>
    </x:row>
    <x:row r="459" ht="26" customHeight="1">
      <x:c r="A459" s="2"/>
      <x:c r="B459" s="2" t="n">
        <x:v>454</x:v>
      </x:c>
      <x:c r="C459" s="2" t="str">
        <x:v>Grooming / price_contribution</x:v>
      </x:c>
      <x:c r="D459" s="7" t="n">
        <x:v>46022</x:v>
      </x:c>
      <x:c r="E459" s="2" t="str">
        <x:v>Prior report</x:v>
      </x:c>
      <x:c r="F459" s="7" t="n">
        <x:v>45954</x:v>
      </x:c>
      <x:c r="G459" s="2" t="str">
        <x:v>Last actual</x:v>
      </x:c>
      <x:c r="H459" s="8" t="n">
        <x:f>AVERAGE('PG facts'!D133)</x:f>
        <x:v>4</x:v>
      </x:c>
      <x:c r="I459" s="8" t="n">
        <x:f>0</x:f>
        <x:v>0</x:v>
      </x:c>
      <x:c r="J459" s="8" t="n">
        <x:v>0</x:v>
      </x:c>
      <x:c r="K459" s="8" t="n">
        <x:f>H459-I459*J459</x:f>
        <x:v>4</x:v>
      </x:c>
      <x:c r="L459" s="8" t="n">
        <x:f>'PG facts'!D140</x:f>
        <x:v>2</x:v>
      </x:c>
      <x:c r="M459" s="8" t="n">
        <x:f>K459-L459</x:f>
        <x:v>2</x:v>
      </x:c>
      <x:c r="N459" s="8" t="n">
        <x:f>M459^2</x:f>
        <x:v>4</x:v>
      </x:c>
      <x:c r="O459" s="8" t="n">
        <x:f>ABS(M459)</x:f>
        <x:v>2</x:v>
      </x:c>
      <x:c r="P459" s="7" t="n">
        <x:v>46045</x:v>
      </x:c>
    </x:row>
    <x:row r="460" ht="26" customHeight="1">
      <x:c r="A460" s="2"/>
      <x:c r="B460" s="2" t="n">
        <x:v>455</x:v>
      </x:c>
      <x:c r="C460" s="2" t="str">
        <x:v>Grooming / price_contribution</x:v>
      </x:c>
      <x:c r="D460" s="7" t="n">
        <x:v>46022</x:v>
      </x:c>
      <x:c r="E460" s="2" t="str">
        <x:v>Prior report</x:v>
      </x:c>
      <x:c r="F460" s="7" t="n">
        <x:v>45954</x:v>
      </x:c>
      <x:c r="G460" s="2" t="str">
        <x:v>Four-quarter mean</x:v>
      </x:c>
      <x:c r="H460" s="8" t="n">
        <x:f>AVERAGE('PG facts'!D112,'PG facts'!D119,'PG facts'!D126,'PG facts'!D133)</x:f>
        <x:v>2.75</x:v>
      </x:c>
      <x:c r="I460" s="8" t="n">
        <x:f>0</x:f>
        <x:v>0</x:v>
      </x:c>
      <x:c r="J460" s="8" t="n">
        <x:v>0</x:v>
      </x:c>
      <x:c r="K460" s="8" t="n">
        <x:f>H460-I460*J460</x:f>
        <x:v>2.75</x:v>
      </x:c>
      <x:c r="L460" s="8" t="n">
        <x:f>'PG facts'!D140</x:f>
        <x:v>2</x:v>
      </x:c>
      <x:c r="M460" s="8" t="n">
        <x:f>K460-L460</x:f>
        <x:v>0.75</x:v>
      </x:c>
      <x:c r="N460" s="8" t="n">
        <x:f>M460^2</x:f>
        <x:v>0.5625</x:v>
      </x:c>
      <x:c r="O460" s="8" t="n">
        <x:f>ABS(M460)</x:f>
        <x:v>0.75</x:v>
      </x:c>
      <x:c r="P460" s="7" t="n">
        <x:v>46045</x:v>
      </x:c>
    </x:row>
    <x:row r="461" ht="26" customHeight="1">
      <x:c r="A461" s="2"/>
      <x:c r="B461" s="2" t="n">
        <x:v>456</x:v>
      </x:c>
      <x:c r="C461" s="2" t="str">
        <x:v>Grooming / price_contribution</x:v>
      </x:c>
      <x:c r="D461" s="7" t="n">
        <x:v>46022</x:v>
      </x:c>
      <x:c r="E461" s="2" t="str">
        <x:v>Prior report</x:v>
      </x:c>
      <x:c r="F461" s="7" t="n">
        <x:v>45954</x:v>
      </x:c>
      <x:c r="G461" s="2" t="str">
        <x:v>Broad market</x:v>
      </x:c>
      <x:c r="H461" s="8" t="n">
        <x:f>'Model fits'!AA325</x:f>
        <x:v>3.781340152994686</x:v>
      </x:c>
      <x:c r="I461" s="8" t="n">
        <x:f>0</x:f>
        <x:v>0</x:v>
      </x:c>
      <x:c r="J461" s="8" t="n">
        <x:v>0</x:v>
      </x:c>
      <x:c r="K461" s="8" t="n">
        <x:f>H461-I461*J461</x:f>
        <x:v>3.781340152994686</x:v>
      </x:c>
      <x:c r="L461" s="8" t="n">
        <x:f>'PG facts'!D140</x:f>
        <x:v>2</x:v>
      </x:c>
      <x:c r="M461" s="8" t="n">
        <x:f>K461-L461</x:f>
        <x:v>1.781340152994686</x:v>
      </x:c>
      <x:c r="N461" s="8" t="n">
        <x:f>M461^2</x:f>
        <x:v>3.173172740671131</x:v>
      </x:c>
      <x:c r="O461" s="8" t="n">
        <x:f>ABS(M461)</x:f>
        <x:v>1.781340152994686</x:v>
      </x:c>
      <x:c r="P461" s="7" t="n">
        <x:v>46045</x:v>
      </x:c>
    </x:row>
    <x:row r="462" ht="26" customHeight="1">
      <x:c r="A462" s="2"/>
      <x:c r="B462" s="2" t="n">
        <x:v>457</x:v>
      </x:c>
      <x:c r="C462" s="2" t="str">
        <x:v>Grooming / price_contribution</x:v>
      </x:c>
      <x:c r="D462" s="7" t="n">
        <x:v>46022</x:v>
      </x:c>
      <x:c r="E462" s="2" t="str">
        <x:v>Prior report</x:v>
      </x:c>
      <x:c r="F462" s="7" t="n">
        <x:v>45954</x:v>
      </x:c>
      <x:c r="G462" s="2" t="str">
        <x:v>Broad lag 1</x:v>
      </x:c>
      <x:c r="H462" s="8" t="n">
        <x:f>'Model fits'!AA326</x:f>
        <x:v>4.091577134165147</x:v>
      </x:c>
      <x:c r="I462" s="8" t="n">
        <x:f>0</x:f>
        <x:v>0</x:v>
      </x:c>
      <x:c r="J462" s="8" t="n">
        <x:v>0</x:v>
      </x:c>
      <x:c r="K462" s="8" t="n">
        <x:f>H462-I462*J462</x:f>
        <x:v>4.091577134165147</x:v>
      </x:c>
      <x:c r="L462" s="8" t="n">
        <x:f>'PG facts'!D140</x:f>
        <x:v>2</x:v>
      </x:c>
      <x:c r="M462" s="8" t="n">
        <x:f>K462-L462</x:f>
        <x:v>2.0915771341651466</x:v>
      </x:c>
      <x:c r="N462" s="8" t="n">
        <x:f>M462^2</x:f>
        <x:v>4.374694908162487</x:v>
      </x:c>
      <x:c r="O462" s="8" t="n">
        <x:f>ABS(M462)</x:f>
        <x:v>2.0915771341651466</x:v>
      </x:c>
      <x:c r="P462" s="7" t="n">
        <x:v>46045</x:v>
      </x:c>
    </x:row>
    <x:row r="463" ht="26" customHeight="1">
      <x:c r="A463" s="2"/>
      <x:c r="B463" s="2" t="n">
        <x:v>458</x:v>
      </x:c>
      <x:c r="C463" s="2" t="str">
        <x:v>Grooming / price_contribution</x:v>
      </x:c>
      <x:c r="D463" s="7" t="n">
        <x:v>46022</x:v>
      </x:c>
      <x:c r="E463" s="2" t="str">
        <x:v>Prior report</x:v>
      </x:c>
      <x:c r="F463" s="7" t="n">
        <x:v>45954</x:v>
      </x:c>
      <x:c r="G463" s="2" t="str">
        <x:v>Broad rolling 8</x:v>
      </x:c>
      <x:c r="H463" s="8" t="n">
        <x:f>'Model fits'!AA327</x:f>
        <x:v>3.3943380039261157</x:v>
      </x:c>
      <x:c r="I463" s="8" t="n">
        <x:f>0</x:f>
        <x:v>0</x:v>
      </x:c>
      <x:c r="J463" s="8" t="n">
        <x:v>0</x:v>
      </x:c>
      <x:c r="K463" s="8" t="n">
        <x:f>H463-I463*J463</x:f>
        <x:v>3.3943380039261157</x:v>
      </x:c>
      <x:c r="L463" s="8" t="n">
        <x:f>'PG facts'!D140</x:f>
        <x:v>2</x:v>
      </x:c>
      <x:c r="M463" s="8" t="n">
        <x:f>K463-L463</x:f>
        <x:v>1.3943380039261157</x:v>
      </x:c>
      <x:c r="N463" s="8" t="n">
        <x:f>M463^2</x:f>
        <x:v>1.9441784691926647</x:v>
      </x:c>
      <x:c r="O463" s="8" t="n">
        <x:f>ABS(M463)</x:f>
        <x:v>1.3943380039261157</x:v>
      </x:c>
      <x:c r="P463" s="7" t="n">
        <x:v>46045</x:v>
      </x:c>
    </x:row>
    <x:row r="464" ht="26" customHeight="1">
      <x:c r="A464" s="2"/>
      <x:c r="B464" s="2" t="n">
        <x:v>459</x:v>
      </x:c>
      <x:c r="C464" s="2" t="str">
        <x:v>Grooming / price_contribution</x:v>
      </x:c>
      <x:c r="D464" s="7" t="n">
        <x:v>46022</x:v>
      </x:c>
      <x:c r="E464" s="2" t="str">
        <x:v>Prior report</x:v>
      </x:c>
      <x:c r="F464" s="7" t="n">
        <x:v>45954</x:v>
      </x:c>
      <x:c r="G464" s="2" t="str">
        <x:v>Own history</x:v>
      </x:c>
      <x:c r="H464" s="8" t="n">
        <x:f>'Model fits'!AA328</x:f>
        <x:v>4.458718164007836</x:v>
      </x:c>
      <x:c r="I464" s="8" t="n">
        <x:f>0</x:f>
        <x:v>0</x:v>
      </x:c>
      <x:c r="J464" s="8" t="n">
        <x:v>0</x:v>
      </x:c>
      <x:c r="K464" s="8" t="n">
        <x:f>H464-I464*J464</x:f>
        <x:v>4.458718164007836</x:v>
      </x:c>
      <x:c r="L464" s="8" t="n">
        <x:f>'PG facts'!D140</x:f>
        <x:v>2</x:v>
      </x:c>
      <x:c r="M464" s="8" t="n">
        <x:f>K464-L464</x:f>
        <x:v>2.458718164007836</x:v>
      </x:c>
      <x:c r="N464" s="8" t="n">
        <x:f>M464^2</x:f>
        <x:v>6.0452950100220635</x:v>
      </x:c>
      <x:c r="O464" s="8" t="n">
        <x:f>ABS(M464)</x:f>
        <x:v>2.458718164007836</x:v>
      </x:c>
      <x:c r="P464" s="7" t="n">
        <x:v>46045</x:v>
      </x:c>
    </x:row>
    <x:row r="465" ht="26" customHeight="1">
      <x:c r="A465" s="2"/>
      <x:c r="B465" s="2" t="n">
        <x:v>460</x:v>
      </x:c>
      <x:c r="C465" s="2" t="str">
        <x:v>Grooming / price_contribution</x:v>
      </x:c>
      <x:c r="D465" s="7" t="n">
        <x:v>46022</x:v>
      </x:c>
      <x:c r="E465" s="2" t="str">
        <x:v>Pre-earnings</x:v>
      </x:c>
      <x:c r="F465" s="7" t="n">
        <x:v>46044</x:v>
      </x:c>
      <x:c r="G465" s="2" t="str">
        <x:v>Last actual</x:v>
      </x:c>
      <x:c r="H465" s="8" t="n">
        <x:f>AVERAGE('PG facts'!D133)</x:f>
        <x:v>4</x:v>
      </x:c>
      <x:c r="I465" s="8" t="n">
        <x:f>0</x:f>
        <x:v>0</x:v>
      </x:c>
      <x:c r="J465" s="8" t="n">
        <x:v>0</x:v>
      </x:c>
      <x:c r="K465" s="8" t="n">
        <x:f>H465-I465*J465</x:f>
        <x:v>4</x:v>
      </x:c>
      <x:c r="L465" s="8" t="n">
        <x:f>'PG facts'!D140</x:f>
        <x:v>2</x:v>
      </x:c>
      <x:c r="M465" s="8" t="n">
        <x:f>K465-L465</x:f>
        <x:v>2</x:v>
      </x:c>
      <x:c r="N465" s="8" t="n">
        <x:f>M465^2</x:f>
        <x:v>4</x:v>
      </x:c>
      <x:c r="O465" s="8" t="n">
        <x:f>ABS(M465)</x:f>
        <x:v>2</x:v>
      </x:c>
      <x:c r="P465" s="7" t="n">
        <x:v>46045</x:v>
      </x:c>
    </x:row>
    <x:row r="466" ht="26" customHeight="1">
      <x:c r="A466" s="2"/>
      <x:c r="B466" s="2" t="n">
        <x:v>461</x:v>
      </x:c>
      <x:c r="C466" s="2" t="str">
        <x:v>Grooming / price_contribution</x:v>
      </x:c>
      <x:c r="D466" s="7" t="n">
        <x:v>46022</x:v>
      </x:c>
      <x:c r="E466" s="2" t="str">
        <x:v>Pre-earnings</x:v>
      </x:c>
      <x:c r="F466" s="7" t="n">
        <x:v>46044</x:v>
      </x:c>
      <x:c r="G466" s="2" t="str">
        <x:v>Four-quarter mean</x:v>
      </x:c>
      <x:c r="H466" s="8" t="n">
        <x:f>AVERAGE('PG facts'!D112,'PG facts'!D119,'PG facts'!D126,'PG facts'!D133)</x:f>
        <x:v>2.75</x:v>
      </x:c>
      <x:c r="I466" s="8" t="n">
        <x:f>0</x:f>
        <x:v>0</x:v>
      </x:c>
      <x:c r="J466" s="8" t="n">
        <x:v>0</x:v>
      </x:c>
      <x:c r="K466" s="8" t="n">
        <x:f>H466-I466*J466</x:f>
        <x:v>2.75</x:v>
      </x:c>
      <x:c r="L466" s="8" t="n">
        <x:f>'PG facts'!D140</x:f>
        <x:v>2</x:v>
      </x:c>
      <x:c r="M466" s="8" t="n">
        <x:f>K466-L466</x:f>
        <x:v>0.75</x:v>
      </x:c>
      <x:c r="N466" s="8" t="n">
        <x:f>M466^2</x:f>
        <x:v>0.5625</x:v>
      </x:c>
      <x:c r="O466" s="8" t="n">
        <x:f>ABS(M466)</x:f>
        <x:v>0.75</x:v>
      </x:c>
      <x:c r="P466" s="7" t="n">
        <x:v>46045</x:v>
      </x:c>
    </x:row>
    <x:row r="467" ht="26" customHeight="1">
      <x:c r="A467" s="2"/>
      <x:c r="B467" s="2" t="n">
        <x:v>462</x:v>
      </x:c>
      <x:c r="C467" s="2" t="str">
        <x:v>Grooming / price_contribution</x:v>
      </x:c>
      <x:c r="D467" s="7" t="n">
        <x:v>46022</x:v>
      </x:c>
      <x:c r="E467" s="2" t="str">
        <x:v>Pre-earnings</x:v>
      </x:c>
      <x:c r="F467" s="7" t="n">
        <x:v>46044</x:v>
      </x:c>
      <x:c r="G467" s="2" t="str">
        <x:v>Broad market</x:v>
      </x:c>
      <x:c r="H467" s="8" t="n">
        <x:f>'Model fits'!AA329</x:f>
        <x:v>3.955163102192749</x:v>
      </x:c>
      <x:c r="I467" s="8" t="n">
        <x:f>0</x:f>
        <x:v>0</x:v>
      </x:c>
      <x:c r="J467" s="8" t="n">
        <x:v>0</x:v>
      </x:c>
      <x:c r="K467" s="8" t="n">
        <x:f>H467-I467*J467</x:f>
        <x:v>3.955163102192749</x:v>
      </x:c>
      <x:c r="L467" s="8" t="n">
        <x:f>'PG facts'!D140</x:f>
        <x:v>2</x:v>
      </x:c>
      <x:c r="M467" s="8" t="n">
        <x:f>K467-L467</x:f>
        <x:v>1.9551631021927491</x:v>
      </x:c>
      <x:c r="N467" s="8" t="n">
        <x:f>M467^2</x:f>
        <x:v>3.8226627561759745</x:v>
      </x:c>
      <x:c r="O467" s="8" t="n">
        <x:f>ABS(M467)</x:f>
        <x:v>1.9551631021927491</x:v>
      </x:c>
      <x:c r="P467" s="7" t="n">
        <x:v>46045</x:v>
      </x:c>
    </x:row>
    <x:row r="468" ht="26" customHeight="1">
      <x:c r="A468" s="2"/>
      <x:c r="B468" s="2" t="n">
        <x:v>463</x:v>
      </x:c>
      <x:c r="C468" s="2" t="str">
        <x:v>Grooming / price_contribution</x:v>
      </x:c>
      <x:c r="D468" s="7" t="n">
        <x:v>46022</x:v>
      </x:c>
      <x:c r="E468" s="2" t="str">
        <x:v>Pre-earnings</x:v>
      </x:c>
      <x:c r="F468" s="7" t="n">
        <x:v>46044</x:v>
      </x:c>
      <x:c r="G468" s="2" t="str">
        <x:v>Broad lag 1</x:v>
      </x:c>
      <x:c r="H468" s="8" t="n">
        <x:f>'Model fits'!AA330</x:f>
        <x:v>4.091577134165147</x:v>
      </x:c>
      <x:c r="I468" s="8" t="n">
        <x:f>0</x:f>
        <x:v>0</x:v>
      </x:c>
      <x:c r="J468" s="8" t="n">
        <x:v>0</x:v>
      </x:c>
      <x:c r="K468" s="8" t="n">
        <x:f>H468-I468*J468</x:f>
        <x:v>4.091577134165147</x:v>
      </x:c>
      <x:c r="L468" s="8" t="n">
        <x:f>'PG facts'!D140</x:f>
        <x:v>2</x:v>
      </x:c>
      <x:c r="M468" s="8" t="n">
        <x:f>K468-L468</x:f>
        <x:v>2.0915771341651466</x:v>
      </x:c>
      <x:c r="N468" s="8" t="n">
        <x:f>M468^2</x:f>
        <x:v>4.374694908162487</x:v>
      </x:c>
      <x:c r="O468" s="8" t="n">
        <x:f>ABS(M468)</x:f>
        <x:v>2.0915771341651466</x:v>
      </x:c>
      <x:c r="P468" s="7" t="n">
        <x:v>46045</x:v>
      </x:c>
    </x:row>
    <x:row r="469" ht="26" customHeight="1">
      <x:c r="A469" s="2"/>
      <x:c r="B469" s="2" t="n">
        <x:v>464</x:v>
      </x:c>
      <x:c r="C469" s="2" t="str">
        <x:v>Grooming / price_contribution</x:v>
      </x:c>
      <x:c r="D469" s="7" t="n">
        <x:v>46022</x:v>
      </x:c>
      <x:c r="E469" s="2" t="str">
        <x:v>Pre-earnings</x:v>
      </x:c>
      <x:c r="F469" s="7" t="n">
        <x:v>46044</x:v>
      </x:c>
      <x:c r="G469" s="2" t="str">
        <x:v>Broad rolling 8</x:v>
      </x:c>
      <x:c r="H469" s="8" t="n">
        <x:f>'Model fits'!AA331</x:f>
        <x:v>3.6713961225465805</x:v>
      </x:c>
      <x:c r="I469" s="8" t="n">
        <x:f>0</x:f>
        <x:v>0</x:v>
      </x:c>
      <x:c r="J469" s="8" t="n">
        <x:v>0</x:v>
      </x:c>
      <x:c r="K469" s="8" t="n">
        <x:f>H469-I469*J469</x:f>
        <x:v>3.6713961225465805</x:v>
      </x:c>
      <x:c r="L469" s="8" t="n">
        <x:f>'PG facts'!D140</x:f>
        <x:v>2</x:v>
      </x:c>
      <x:c r="M469" s="8" t="n">
        <x:f>K469-L469</x:f>
        <x:v>1.6713961225465805</x:v>
      </x:c>
      <x:c r="N469" s="8" t="n">
        <x:f>M469^2</x:f>
        <x:v>2.793564998463744</x:v>
      </x:c>
      <x:c r="O469" s="8" t="n">
        <x:f>ABS(M469)</x:f>
        <x:v>1.6713961225465805</x:v>
      </x:c>
      <x:c r="P469" s="7" t="n">
        <x:v>46045</x:v>
      </x:c>
    </x:row>
    <x:row r="470" ht="26" customHeight="1">
      <x:c r="A470" s="2"/>
      <x:c r="B470" s="2" t="n">
        <x:v>465</x:v>
      </x:c>
      <x:c r="C470" s="2" t="str">
        <x:v>Grooming / price_contribution</x:v>
      </x:c>
      <x:c r="D470" s="7" t="n">
        <x:v>46022</x:v>
      </x:c>
      <x:c r="E470" s="2" t="str">
        <x:v>Pre-earnings</x:v>
      </x:c>
      <x:c r="F470" s="7" t="n">
        <x:v>46044</x:v>
      </x:c>
      <x:c r="G470" s="2" t="str">
        <x:v>Own history</x:v>
      </x:c>
      <x:c r="H470" s="8" t="n">
        <x:f>'Model fits'!AA332</x:f>
        <x:v>4.458718164007836</x:v>
      </x:c>
      <x:c r="I470" s="8" t="n">
        <x:f>0</x:f>
        <x:v>0</x:v>
      </x:c>
      <x:c r="J470" s="8" t="n">
        <x:v>0</x:v>
      </x:c>
      <x:c r="K470" s="8" t="n">
        <x:f>H470-I470*J470</x:f>
        <x:v>4.458718164007836</x:v>
      </x:c>
      <x:c r="L470" s="8" t="n">
        <x:f>'PG facts'!D140</x:f>
        <x:v>2</x:v>
      </x:c>
      <x:c r="M470" s="8" t="n">
        <x:f>K470-L470</x:f>
        <x:v>2.458718164007836</x:v>
      </x:c>
      <x:c r="N470" s="8" t="n">
        <x:f>M470^2</x:f>
        <x:v>6.0452950100220635</x:v>
      </x:c>
      <x:c r="O470" s="8" t="n">
        <x:f>ABS(M470)</x:f>
        <x:v>2.458718164007836</x:v>
      </x:c>
      <x:c r="P470" s="7" t="n">
        <x:v>46045</x:v>
      </x:c>
    </x:row>
    <x:row r="471" ht="26" customHeight="1">
      <x:c r="A471" s="2"/>
      <x:c r="B471" s="2" t="n">
        <x:v>466</x:v>
      </x:c>
      <x:c r="C471" s="2" t="str">
        <x:v>Grooming / price_contribution</x:v>
      </x:c>
      <x:c r="D471" s="7" t="n">
        <x:v>46112</x:v>
      </x:c>
      <x:c r="E471" s="2" t="str">
        <x:v>Origin</x:v>
      </x:c>
      <x:c r="F471" s="7" t="n">
        <x:v>46023</x:v>
      </x:c>
      <x:c r="G471" s="2" t="str">
        <x:v>Last actual</x:v>
      </x:c>
      <x:c r="H471" s="8" t="n">
        <x:f>AVERAGE('PG facts'!D133)</x:f>
        <x:v>4</x:v>
      </x:c>
      <x:c r="I471" s="8" t="n">
        <x:f>0</x:f>
        <x:v>0</x:v>
      </x:c>
      <x:c r="J471" s="8" t="n">
        <x:v>0</x:v>
      </x:c>
      <x:c r="K471" s="8" t="n">
        <x:f>H471-I471*J471</x:f>
        <x:v>4</x:v>
      </x:c>
      <x:c r="L471" s="8" t="n">
        <x:f>'PG facts'!D147</x:f>
        <x:v>3</x:v>
      </x:c>
      <x:c r="M471" s="8" t="n">
        <x:f>K471-L471</x:f>
        <x:v>1</x:v>
      </x:c>
      <x:c r="N471" s="8" t="n">
        <x:f>M471^2</x:f>
        <x:v>1</x:v>
      </x:c>
      <x:c r="O471" s="8" t="n">
        <x:f>ABS(M471)</x:f>
        <x:v>1</x:v>
      </x:c>
      <x:c r="P471" s="7" t="n">
        <x:v>46136</x:v>
      </x:c>
    </x:row>
    <x:row r="472" ht="26" customHeight="1">
      <x:c r="A472" s="2"/>
      <x:c r="B472" s="2" t="n">
        <x:v>467</x:v>
      </x:c>
      <x:c r="C472" s="2" t="str">
        <x:v>Grooming / price_contribution</x:v>
      </x:c>
      <x:c r="D472" s="7" t="n">
        <x:v>46112</x:v>
      </x:c>
      <x:c r="E472" s="2" t="str">
        <x:v>Origin</x:v>
      </x:c>
      <x:c r="F472" s="7" t="n">
        <x:v>46023</x:v>
      </x:c>
      <x:c r="G472" s="2" t="str">
        <x:v>Four-quarter mean</x:v>
      </x:c>
      <x:c r="H472" s="8" t="n">
        <x:f>AVERAGE('PG facts'!D112,'PG facts'!D119,'PG facts'!D126,'PG facts'!D133)</x:f>
        <x:v>2.75</x:v>
      </x:c>
      <x:c r="I472" s="8" t="n">
        <x:f>0</x:f>
        <x:v>0</x:v>
      </x:c>
      <x:c r="J472" s="8" t="n">
        <x:v>0</x:v>
      </x:c>
      <x:c r="K472" s="8" t="n">
        <x:f>H472-I472*J472</x:f>
        <x:v>2.75</x:v>
      </x:c>
      <x:c r="L472" s="8" t="n">
        <x:f>'PG facts'!D147</x:f>
        <x:v>3</x:v>
      </x:c>
      <x:c r="M472" s="8" t="n">
        <x:f>K472-L472</x:f>
        <x:v>-0.25</x:v>
      </x:c>
      <x:c r="N472" s="8" t="n">
        <x:f>M472^2</x:f>
        <x:v>0.0625</x:v>
      </x:c>
      <x:c r="O472" s="8" t="n">
        <x:f>ABS(M472)</x:f>
        <x:v>0.25</x:v>
      </x:c>
      <x:c r="P472" s="7" t="n">
        <x:v>46136</x:v>
      </x:c>
    </x:row>
    <x:row r="473" ht="26" customHeight="1">
      <x:c r="A473" s="2"/>
      <x:c r="B473" s="2" t="n">
        <x:v>468</x:v>
      </x:c>
      <x:c r="C473" s="2" t="str">
        <x:v>Grooming / price_contribution</x:v>
      </x:c>
      <x:c r="D473" s="7" t="n">
        <x:v>46112</x:v>
      </x:c>
      <x:c r="E473" s="2" t="str">
        <x:v>Origin</x:v>
      </x:c>
      <x:c r="F473" s="7" t="n">
        <x:v>46023</x:v>
      </x:c>
      <x:c r="G473" s="2" t="str">
        <x:v>Broad market</x:v>
      </x:c>
      <x:c r="H473" s="8" t="n">
        <x:f>'Model fits'!AA333</x:f>
        <x:v>3.9057805141837045</x:v>
      </x:c>
      <x:c r="I473" s="8" t="n">
        <x:f>0</x:f>
        <x:v>0</x:v>
      </x:c>
      <x:c r="J473" s="8" t="n">
        <x:v>0</x:v>
      </x:c>
      <x:c r="K473" s="8" t="n">
        <x:f>H473-I473*J473</x:f>
        <x:v>3.9057805141837045</x:v>
      </x:c>
      <x:c r="L473" s="8" t="n">
        <x:f>'PG facts'!D147</x:f>
        <x:v>3</x:v>
      </x:c>
      <x:c r="M473" s="8" t="n">
        <x:f>K473-L473</x:f>
        <x:v>0.9057805141837045</x:v>
      </x:c>
      <x:c r="N473" s="8" t="n">
        <x:f>M473^2</x:f>
        <x:v>0.8204383398748961</x:v>
      </x:c>
      <x:c r="O473" s="8" t="n">
        <x:f>ABS(M473)</x:f>
        <x:v>0.9057805141837045</x:v>
      </x:c>
      <x:c r="P473" s="7" t="n">
        <x:v>46136</x:v>
      </x:c>
    </x:row>
    <x:row r="474" ht="26" customHeight="1">
      <x:c r="A474" s="2"/>
      <x:c r="B474" s="2" t="n">
        <x:v>469</x:v>
      </x:c>
      <x:c r="C474" s="2" t="str">
        <x:v>Grooming / price_contribution</x:v>
      </x:c>
      <x:c r="D474" s="7" t="n">
        <x:v>46112</x:v>
      </x:c>
      <x:c r="E474" s="2" t="str">
        <x:v>Origin</x:v>
      </x:c>
      <x:c r="F474" s="7" t="n">
        <x:v>46023</x:v>
      </x:c>
      <x:c r="G474" s="2" t="str">
        <x:v>Broad rolling 8</x:v>
      </x:c>
      <x:c r="H474" s="8" t="n">
        <x:f>'Model fits'!AA334</x:f>
        <x:v>3.5926847269022364</x:v>
      </x:c>
      <x:c r="I474" s="8" t="n">
        <x:f>0</x:f>
        <x:v>0</x:v>
      </x:c>
      <x:c r="J474" s="8" t="n">
        <x:v>0</x:v>
      </x:c>
      <x:c r="K474" s="8" t="n">
        <x:f>H474-I474*J474</x:f>
        <x:v>3.5926847269022364</x:v>
      </x:c>
      <x:c r="L474" s="8" t="n">
        <x:f>'PG facts'!D147</x:f>
        <x:v>3</x:v>
      </x:c>
      <x:c r="M474" s="8" t="n">
        <x:f>K474-L474</x:f>
        <x:v>0.5926847269022364</x:v>
      </x:c>
      <x:c r="N474" s="8" t="n">
        <x:f>M474^2</x:f>
        <x:v>0.35127518550317854</x:v>
      </x:c>
      <x:c r="O474" s="8" t="n">
        <x:f>ABS(M474)</x:f>
        <x:v>0.5926847269022364</x:v>
      </x:c>
      <x:c r="P474" s="7" t="n">
        <x:v>46136</x:v>
      </x:c>
    </x:row>
    <x:row r="475" ht="26" customHeight="1">
      <x:c r="A475" s="2"/>
      <x:c r="B475" s="2" t="n">
        <x:v>470</x:v>
      </x:c>
      <x:c r="C475" s="2" t="str">
        <x:v>Grooming / price_contribution</x:v>
      </x:c>
      <x:c r="D475" s="7" t="n">
        <x:v>46112</x:v>
      </x:c>
      <x:c r="E475" s="2" t="str">
        <x:v>Origin</x:v>
      </x:c>
      <x:c r="F475" s="7" t="n">
        <x:v>46023</x:v>
      </x:c>
      <x:c r="G475" s="2" t="str">
        <x:v>Own history</x:v>
      </x:c>
      <x:c r="H475" s="8" t="n">
        <x:f>'Model fits'!AA335</x:f>
        <x:v>5.056088782243551</x:v>
      </x:c>
      <x:c r="I475" s="8" t="n">
        <x:f>0</x:f>
        <x:v>0</x:v>
      </x:c>
      <x:c r="J475" s="8" t="n">
        <x:v>0</x:v>
      </x:c>
      <x:c r="K475" s="8" t="n">
        <x:f>H475-I475*J475</x:f>
        <x:v>5.056088782243551</x:v>
      </x:c>
      <x:c r="L475" s="8" t="n">
        <x:f>'PG facts'!D147</x:f>
        <x:v>3</x:v>
      </x:c>
      <x:c r="M475" s="8" t="n">
        <x:f>K475-L475</x:f>
        <x:v>2.0560887822435507</x:v>
      </x:c>
      <x:c r="N475" s="8" t="n">
        <x:f>M475^2</x:f>
        <x:v>4.227501080467768</x:v>
      </x:c>
      <x:c r="O475" s="8" t="n">
        <x:f>ABS(M475)</x:f>
        <x:v>2.0560887822435507</x:v>
      </x:c>
      <x:c r="P475" s="7" t="n">
        <x:v>46136</x:v>
      </x:c>
    </x:row>
    <x:row r="476" ht="26" customHeight="1">
      <x:c r="A476" s="2"/>
      <x:c r="B476" s="2" t="n">
        <x:v>471</x:v>
      </x:c>
      <x:c r="C476" s="2" t="str">
        <x:v>Grooming / price_contribution</x:v>
      </x:c>
      <x:c r="D476" s="7" t="n">
        <x:v>46112</x:v>
      </x:c>
      <x:c r="E476" s="2" t="str">
        <x:v>Prior report</x:v>
      </x:c>
      <x:c r="F476" s="7" t="n">
        <x:v>46045</x:v>
      </x:c>
      <x:c r="G476" s="2" t="str">
        <x:v>Last actual</x:v>
      </x:c>
      <x:c r="H476" s="8" t="n">
        <x:f>AVERAGE('PG facts'!D140)</x:f>
        <x:v>2</x:v>
      </x:c>
      <x:c r="I476" s="8" t="n">
        <x:f>0</x:f>
        <x:v>0</x:v>
      </x:c>
      <x:c r="J476" s="8" t="n">
        <x:v>0</x:v>
      </x:c>
      <x:c r="K476" s="8" t="n">
        <x:f>H476-I476*J476</x:f>
        <x:v>2</x:v>
      </x:c>
      <x:c r="L476" s="8" t="n">
        <x:f>'PG facts'!D147</x:f>
        <x:v>3</x:v>
      </x:c>
      <x:c r="M476" s="8" t="n">
        <x:f>K476-L476</x:f>
        <x:v>-1</x:v>
      </x:c>
      <x:c r="N476" s="8" t="n">
        <x:f>M476^2</x:f>
        <x:v>1</x:v>
      </x:c>
      <x:c r="O476" s="8" t="n">
        <x:f>ABS(M476)</x:f>
        <x:v>1</x:v>
      </x:c>
      <x:c r="P476" s="7" t="n">
        <x:v>46136</x:v>
      </x:c>
    </x:row>
    <x:row r="477" ht="26" customHeight="1">
      <x:c r="A477" s="2"/>
      <x:c r="B477" s="2" t="n">
        <x:v>472</x:v>
      </x:c>
      <x:c r="C477" s="2" t="str">
        <x:v>Grooming / price_contribution</x:v>
      </x:c>
      <x:c r="D477" s="7" t="n">
        <x:v>46112</x:v>
      </x:c>
      <x:c r="E477" s="2" t="str">
        <x:v>Prior report</x:v>
      </x:c>
      <x:c r="F477" s="7" t="n">
        <x:v>46045</x:v>
      </x:c>
      <x:c r="G477" s="2" t="str">
        <x:v>Four-quarter mean</x:v>
      </x:c>
      <x:c r="H477" s="8" t="n">
        <x:f>AVERAGE('PG facts'!D119,'PG facts'!D126,'PG facts'!D133,'PG facts'!D140)</x:f>
        <x:v>3</x:v>
      </x:c>
      <x:c r="I477" s="8" t="n">
        <x:f>0</x:f>
        <x:v>0</x:v>
      </x:c>
      <x:c r="J477" s="8" t="n">
        <x:v>0</x:v>
      </x:c>
      <x:c r="K477" s="8" t="n">
        <x:f>H477-I477*J477</x:f>
        <x:v>3</x:v>
      </x:c>
      <x:c r="L477" s="8" t="n">
        <x:f>'PG facts'!D147</x:f>
        <x:v>3</x:v>
      </x:c>
      <x:c r="M477" s="8" t="n">
        <x:f>K477-L477</x:f>
        <x:v>0</x:v>
      </x:c>
      <x:c r="N477" s="8" t="n">
        <x:f>M477^2</x:f>
        <x:v>0</x:v>
      </x:c>
      <x:c r="O477" s="8" t="n">
        <x:f>ABS(M477)</x:f>
        <x:v>0</x:v>
      </x:c>
      <x:c r="P477" s="7" t="n">
        <x:v>46136</x:v>
      </x:c>
    </x:row>
    <x:row r="478" ht="26" customHeight="1">
      <x:c r="A478" s="2"/>
      <x:c r="B478" s="2" t="n">
        <x:v>473</x:v>
      </x:c>
      <x:c r="C478" s="2" t="str">
        <x:v>Grooming / price_contribution</x:v>
      </x:c>
      <x:c r="D478" s="7" t="n">
        <x:v>46112</x:v>
      </x:c>
      <x:c r="E478" s="2" t="str">
        <x:v>Prior report</x:v>
      </x:c>
      <x:c r="F478" s="7" t="n">
        <x:v>46045</x:v>
      </x:c>
      <x:c r="G478" s="2" t="str">
        <x:v>Broad market</x:v>
      </x:c>
      <x:c r="H478" s="8" t="n">
        <x:f>'Model fits'!AA336</x:f>
        <x:v>4.044155200476514</x:v>
      </x:c>
      <x:c r="I478" s="8" t="n">
        <x:f>0</x:f>
        <x:v>0</x:v>
      </x:c>
      <x:c r="J478" s="8" t="n">
        <x:v>0</x:v>
      </x:c>
      <x:c r="K478" s="8" t="n">
        <x:f>H478-I478*J478</x:f>
        <x:v>4.044155200476514</x:v>
      </x:c>
      <x:c r="L478" s="8" t="n">
        <x:f>'PG facts'!D147</x:f>
        <x:v>3</x:v>
      </x:c>
      <x:c r="M478" s="8" t="n">
        <x:f>K478-L478</x:f>
        <x:v>1.0441552004765136</x:v>
      </x:c>
      <x:c r="N478" s="8" t="n">
        <x:f>M478^2</x:f>
        <x:v>1.0902600826821482</x:v>
      </x:c>
      <x:c r="O478" s="8" t="n">
        <x:f>ABS(M478)</x:f>
        <x:v>1.0441552004765136</x:v>
      </x:c>
      <x:c r="P478" s="7" t="n">
        <x:v>46136</x:v>
      </x:c>
    </x:row>
    <x:row r="479" ht="26" customHeight="1">
      <x:c r="A479" s="2"/>
      <x:c r="B479" s="2" t="n">
        <x:v>474</x:v>
      </x:c>
      <x:c r="C479" s="2" t="str">
        <x:v>Grooming / price_contribution</x:v>
      </x:c>
      <x:c r="D479" s="7" t="n">
        <x:v>46112</x:v>
      </x:c>
      <x:c r="E479" s="2" t="str">
        <x:v>Prior report</x:v>
      </x:c>
      <x:c r="F479" s="7" t="n">
        <x:v>46045</x:v>
      </x:c>
      <x:c r="G479" s="2" t="str">
        <x:v>Broad rolling 8</x:v>
      </x:c>
      <x:c r="H479" s="8" t="n">
        <x:f>'Model fits'!AA337</x:f>
        <x:v>3.81324150853467</x:v>
      </x:c>
      <x:c r="I479" s="8" t="n">
        <x:f>0</x:f>
        <x:v>0</x:v>
      </x:c>
      <x:c r="J479" s="8" t="n">
        <x:v>0</x:v>
      </x:c>
      <x:c r="K479" s="8" t="n">
        <x:f>H479-I479*J479</x:f>
        <x:v>3.81324150853467</x:v>
      </x:c>
      <x:c r="L479" s="8" t="n">
        <x:f>'PG facts'!D147</x:f>
        <x:v>3</x:v>
      </x:c>
      <x:c r="M479" s="8" t="n">
        <x:f>K479-L479</x:f>
        <x:v>0.81324150853467</x:v>
      </x:c>
      <x:c r="N479" s="8" t="n">
        <x:f>M479^2</x:f>
        <x:v>0.6613617512037457</x:v>
      </x:c>
      <x:c r="O479" s="8" t="n">
        <x:f>ABS(M479)</x:f>
        <x:v>0.81324150853467</x:v>
      </x:c>
      <x:c r="P479" s="7" t="n">
        <x:v>46136</x:v>
      </x:c>
    </x:row>
    <x:row r="480" ht="26" customHeight="1">
      <x:c r="A480" s="2"/>
      <x:c r="B480" s="2" t="n">
        <x:v>475</x:v>
      </x:c>
      <x:c r="C480" s="2" t="str">
        <x:v>Grooming / price_contribution</x:v>
      </x:c>
      <x:c r="D480" s="7" t="n">
        <x:v>46112</x:v>
      </x:c>
      <x:c r="E480" s="2" t="str">
        <x:v>Prior report</x:v>
      </x:c>
      <x:c r="F480" s="7" t="n">
        <x:v>46045</x:v>
      </x:c>
      <x:c r="G480" s="2" t="str">
        <x:v>Own history</x:v>
      </x:c>
      <x:c r="H480" s="8" t="n">
        <x:f>'Model fits'!AA338</x:f>
        <x:v>2.7332109129066113</x:v>
      </x:c>
      <x:c r="I480" s="8" t="n">
        <x:f>0</x:f>
        <x:v>0</x:v>
      </x:c>
      <x:c r="J480" s="8" t="n">
        <x:v>0</x:v>
      </x:c>
      <x:c r="K480" s="8" t="n">
        <x:f>H480-I480*J480</x:f>
        <x:v>2.7332109129066113</x:v>
      </x:c>
      <x:c r="L480" s="8" t="n">
        <x:f>'PG facts'!D147</x:f>
        <x:v>3</x:v>
      </x:c>
      <x:c r="M480" s="8" t="n">
        <x:f>K480-L480</x:f>
        <x:v>-0.26678908709338867</x:v>
      </x:c>
      <x:c r="N480" s="8" t="n">
        <x:f>M480^2</x:f>
        <x:v>0.07117641699212372</x:v>
      </x:c>
      <x:c r="O480" s="8" t="n">
        <x:f>ABS(M480)</x:f>
        <x:v>0.26678908709338867</x:v>
      </x:c>
      <x:c r="P480" s="7" t="n">
        <x:v>46136</x:v>
      </x:c>
    </x:row>
    <x:row r="481" ht="26" customHeight="1">
      <x:c r="A481" s="2"/>
      <x:c r="B481" s="2" t="n">
        <x:v>476</x:v>
      </x:c>
      <x:c r="C481" s="2" t="str">
        <x:v>Grooming / price_contribution</x:v>
      </x:c>
      <x:c r="D481" s="7" t="n">
        <x:v>46112</x:v>
      </x:c>
      <x:c r="E481" s="2" t="str">
        <x:v>Pre-earnings</x:v>
      </x:c>
      <x:c r="F481" s="7" t="n">
        <x:v>46135</x:v>
      </x:c>
      <x:c r="G481" s="2" t="str">
        <x:v>Last actual</x:v>
      </x:c>
      <x:c r="H481" s="8" t="n">
        <x:f>AVERAGE('PG facts'!D140)</x:f>
        <x:v>2</x:v>
      </x:c>
      <x:c r="I481" s="8" t="n">
        <x:f>0</x:f>
        <x:v>0</x:v>
      </x:c>
      <x:c r="J481" s="8" t="n">
        <x:v>0</x:v>
      </x:c>
      <x:c r="K481" s="8" t="n">
        <x:f>H481-I481*J481</x:f>
        <x:v>2</x:v>
      </x:c>
      <x:c r="L481" s="8" t="n">
        <x:f>'PG facts'!D147</x:f>
        <x:v>3</x:v>
      </x:c>
      <x:c r="M481" s="8" t="n">
        <x:f>K481-L481</x:f>
        <x:v>-1</x:v>
      </x:c>
      <x:c r="N481" s="8" t="n">
        <x:f>M481^2</x:f>
        <x:v>1</x:v>
      </x:c>
      <x:c r="O481" s="8" t="n">
        <x:f>ABS(M481)</x:f>
        <x:v>1</x:v>
      </x:c>
      <x:c r="P481" s="7" t="n">
        <x:v>46136</x:v>
      </x:c>
    </x:row>
    <x:row r="482" ht="26" customHeight="1">
      <x:c r="A482" s="2"/>
      <x:c r="B482" s="2" t="n">
        <x:v>477</x:v>
      </x:c>
      <x:c r="C482" s="2" t="str">
        <x:v>Grooming / price_contribution</x:v>
      </x:c>
      <x:c r="D482" s="7" t="n">
        <x:v>46112</x:v>
      </x:c>
      <x:c r="E482" s="2" t="str">
        <x:v>Pre-earnings</x:v>
      </x:c>
      <x:c r="F482" s="7" t="n">
        <x:v>46135</x:v>
      </x:c>
      <x:c r="G482" s="2" t="str">
        <x:v>Four-quarter mean</x:v>
      </x:c>
      <x:c r="H482" s="8" t="n">
        <x:f>AVERAGE('PG facts'!D119,'PG facts'!D126,'PG facts'!D133,'PG facts'!D140)</x:f>
        <x:v>3</x:v>
      </x:c>
      <x:c r="I482" s="8" t="n">
        <x:f>0</x:f>
        <x:v>0</x:v>
      </x:c>
      <x:c r="J482" s="8" t="n">
        <x:v>0</x:v>
      </x:c>
      <x:c r="K482" s="8" t="n">
        <x:f>H482-I482*J482</x:f>
        <x:v>3</x:v>
      </x:c>
      <x:c r="L482" s="8" t="n">
        <x:f>'PG facts'!D147</x:f>
        <x:v>3</x:v>
      </x:c>
      <x:c r="M482" s="8" t="n">
        <x:f>K482-L482</x:f>
        <x:v>0</x:v>
      </x:c>
      <x:c r="N482" s="8" t="n">
        <x:f>M482^2</x:f>
        <x:v>0</x:v>
      </x:c>
      <x:c r="O482" s="8" t="n">
        <x:f>ABS(M482)</x:f>
        <x:v>0</x:v>
      </x:c>
      <x:c r="P482" s="7" t="n">
        <x:v>46136</x:v>
      </x:c>
    </x:row>
    <x:row r="483" ht="26" customHeight="1">
      <x:c r="A483" s="2"/>
      <x:c r="B483" s="2" t="n">
        <x:v>478</x:v>
      </x:c>
      <x:c r="C483" s="2" t="str">
        <x:v>Grooming / price_contribution</x:v>
      </x:c>
      <x:c r="D483" s="7" t="n">
        <x:v>46112</x:v>
      </x:c>
      <x:c r="E483" s="2" t="str">
        <x:v>Pre-earnings</x:v>
      </x:c>
      <x:c r="F483" s="7" t="n">
        <x:v>46135</x:v>
      </x:c>
      <x:c r="G483" s="2" t="str">
        <x:v>Broad market</x:v>
      </x:c>
      <x:c r="H483" s="8" t="n">
        <x:f>'Model fits'!AA339</x:f>
        <x:v>4.81695135273529</x:v>
      </x:c>
      <x:c r="I483" s="8" t="n">
        <x:f>0</x:f>
        <x:v>0</x:v>
      </x:c>
      <x:c r="J483" s="8" t="n">
        <x:v>0</x:v>
      </x:c>
      <x:c r="K483" s="8" t="n">
        <x:f>H483-I483*J483</x:f>
        <x:v>4.81695135273529</x:v>
      </x:c>
      <x:c r="L483" s="8" t="n">
        <x:f>'PG facts'!D147</x:f>
        <x:v>3</x:v>
      </x:c>
      <x:c r="M483" s="8" t="n">
        <x:f>K483-L483</x:f>
        <x:v>1.8169513527352903</x:v>
      </x:c>
      <x:c r="N483" s="8" t="n">
        <x:f>M483^2</x:f>
        <x:v>3.3013122182066015</x:v>
      </x:c>
      <x:c r="O483" s="8" t="n">
        <x:f>ABS(M483)</x:f>
        <x:v>1.8169513527352903</x:v>
      </x:c>
      <x:c r="P483" s="7" t="n">
        <x:v>46136</x:v>
      </x:c>
    </x:row>
    <x:row r="484" ht="26" customHeight="1">
      <x:c r="A484" s="2"/>
      <x:c r="B484" s="2" t="n">
        <x:v>479</x:v>
      </x:c>
      <x:c r="C484" s="2" t="str">
        <x:v>Grooming / price_contribution</x:v>
      </x:c>
      <x:c r="D484" s="7" t="n">
        <x:v>46112</x:v>
      </x:c>
      <x:c r="E484" s="2" t="str">
        <x:v>Pre-earnings</x:v>
      </x:c>
      <x:c r="F484" s="7" t="n">
        <x:v>46135</x:v>
      </x:c>
      <x:c r="G484" s="2" t="str">
        <x:v>Broad rolling 8</x:v>
      </x:c>
      <x:c r="H484" s="8" t="n">
        <x:f>'Model fits'!AA340</x:f>
        <x:v>5.045008942062582</x:v>
      </x:c>
      <x:c r="I484" s="8" t="n">
        <x:f>0</x:f>
        <x:v>0</x:v>
      </x:c>
      <x:c r="J484" s="8" t="n">
        <x:v>0</x:v>
      </x:c>
      <x:c r="K484" s="8" t="n">
        <x:f>H484-I484*J484</x:f>
        <x:v>5.045008942062582</x:v>
      </x:c>
      <x:c r="L484" s="8" t="n">
        <x:f>'PG facts'!D147</x:f>
        <x:v>3</x:v>
      </x:c>
      <x:c r="M484" s="8" t="n">
        <x:f>K484-L484</x:f>
        <x:v>2.045008942062582</x:v>
      </x:c>
      <x:c r="N484" s="8" t="n">
        <x:f>M484^2</x:f>
        <x:v>4.18206157311592</x:v>
      </x:c>
      <x:c r="O484" s="8" t="n">
        <x:f>ABS(M484)</x:f>
        <x:v>2.045008942062582</x:v>
      </x:c>
      <x:c r="P484" s="7" t="n">
        <x:v>46136</x:v>
      </x:c>
    </x:row>
    <x:row r="485" ht="26" customHeight="1">
      <x:c r="A485" s="2"/>
      <x:c r="B485" s="2" t="n">
        <x:v>480</x:v>
      </x:c>
      <x:c r="C485" s="2" t="str">
        <x:v>Grooming / price_contribution</x:v>
      </x:c>
      <x:c r="D485" s="7" t="n">
        <x:v>46112</x:v>
      </x:c>
      <x:c r="E485" s="2" t="str">
        <x:v>Pre-earnings</x:v>
      </x:c>
      <x:c r="F485" s="7" t="n">
        <x:v>46135</x:v>
      </x:c>
      <x:c r="G485" s="2" t="str">
        <x:v>Own history</x:v>
      </x:c>
      <x:c r="H485" s="8" t="n">
        <x:f>'Model fits'!AA341</x:f>
        <x:v>2.7332109129066113</x:v>
      </x:c>
      <x:c r="I485" s="8" t="n">
        <x:f>0</x:f>
        <x:v>0</x:v>
      </x:c>
      <x:c r="J485" s="8" t="n">
        <x:v>0</x:v>
      </x:c>
      <x:c r="K485" s="8" t="n">
        <x:f>H485-I485*J485</x:f>
        <x:v>2.7332109129066113</x:v>
      </x:c>
      <x:c r="L485" s="8" t="n">
        <x:f>'PG facts'!D147</x:f>
        <x:v>3</x:v>
      </x:c>
      <x:c r="M485" s="8" t="n">
        <x:f>K485-L485</x:f>
        <x:v>-0.26678908709338867</x:v>
      </x:c>
      <x:c r="N485" s="8" t="n">
        <x:f>M485^2</x:f>
        <x:v>0.07117641699212372</x:v>
      </x:c>
      <x:c r="O485" s="8" t="n">
        <x:f>ABS(M485)</x:f>
        <x:v>0.26678908709338867</x:v>
      </x:c>
      <x:c r="P485" s="7" t="n">
        <x:v>46136</x:v>
      </x:c>
    </x:row>
    <x:row r="486" ht="26" customHeight="1">
      <x:c r="A486" s="2"/>
      <x:c r="B486" s="2" t="n">
        <x:v>481</x:v>
      </x:c>
      <x:c r="C486" s="2" t="str">
        <x:v>Health Care / price_contribution</x:v>
      </x:c>
      <x:c r="D486" s="7" t="n">
        <x:v>45107</x:v>
      </x:c>
      <x:c r="E486" s="2" t="str">
        <x:v>Origin</x:v>
      </x:c>
      <x:c r="F486" s="7" t="n">
        <x:v>45017</x:v>
      </x:c>
      <x:c r="G486" s="2" t="str">
        <x:v>Last actual</x:v>
      </x:c>
      <x:c r="H486" s="8" t="n">
        <x:f>AVERAGE('PG facts'!D57)</x:f>
        <x:v>5</x:v>
      </x:c>
      <x:c r="I486" s="8" t="n">
        <x:f>0</x:f>
        <x:v>0</x:v>
      </x:c>
      <x:c r="J486" s="8" t="n">
        <x:v>0</x:v>
      </x:c>
      <x:c r="K486" s="8" t="n">
        <x:f>H486-I486*J486</x:f>
        <x:v>5</x:v>
      </x:c>
      <x:c r="L486" s="8" t="n">
        <x:f>'PG facts'!D71</x:f>
        <x:v>6</x:v>
      </x:c>
      <x:c r="M486" s="8" t="n">
        <x:f>K486-L486</x:f>
        <x:v>-1</x:v>
      </x:c>
      <x:c r="N486" s="8" t="n">
        <x:f>M486^2</x:f>
        <x:v>1</x:v>
      </x:c>
      <x:c r="O486" s="8" t="n">
        <x:f>ABS(M486)</x:f>
        <x:v>1</x:v>
      </x:c>
      <x:c r="P486" s="7" t="n">
        <x:v>45135</x:v>
      </x:c>
    </x:row>
    <x:row r="487" ht="26" customHeight="1">
      <x:c r="A487" s="2"/>
      <x:c r="B487" s="2" t="n">
        <x:v>482</x:v>
      </x:c>
      <x:c r="C487" s="2" t="str">
        <x:v>Health Care / price_contribution</x:v>
      </x:c>
      <x:c r="D487" s="7" t="n">
        <x:v>45107</x:v>
      </x:c>
      <x:c r="E487" s="2" t="str">
        <x:v>Origin</x:v>
      </x:c>
      <x:c r="F487" s="7" t="n">
        <x:v>45017</x:v>
      </x:c>
      <x:c r="G487" s="2" t="str">
        <x:v>Four-quarter mean</x:v>
      </x:c>
      <x:c r="H487" s="8" t="n">
        <x:f>AVERAGE('PG facts'!D36,'PG facts'!D43,'PG facts'!D50,'PG facts'!D57)</x:f>
        <x:v>4.75</x:v>
      </x:c>
      <x:c r="I487" s="8" t="n">
        <x:f>0</x:f>
        <x:v>0</x:v>
      </x:c>
      <x:c r="J487" s="8" t="n">
        <x:v>0</x:v>
      </x:c>
      <x:c r="K487" s="8" t="n">
        <x:f>H487-I487*J487</x:f>
        <x:v>4.75</x:v>
      </x:c>
      <x:c r="L487" s="8" t="n">
        <x:f>'PG facts'!D71</x:f>
        <x:v>6</x:v>
      </x:c>
      <x:c r="M487" s="8" t="n">
        <x:f>K487-L487</x:f>
        <x:v>-1.25</x:v>
      </x:c>
      <x:c r="N487" s="8" t="n">
        <x:f>M487^2</x:f>
        <x:v>1.5625</x:v>
      </x:c>
      <x:c r="O487" s="8" t="n">
        <x:f>ABS(M487)</x:f>
        <x:v>1.25</x:v>
      </x:c>
      <x:c r="P487" s="7" t="n">
        <x:v>45135</x:v>
      </x:c>
    </x:row>
    <x:row r="488" ht="26" customHeight="1">
      <x:c r="A488" s="2"/>
      <x:c r="B488" s="2" t="n">
        <x:v>483</x:v>
      </x:c>
      <x:c r="C488" s="2" t="str">
        <x:v>Health Care / price_contribution</x:v>
      </x:c>
      <x:c r="D488" s="7" t="n">
        <x:v>45107</x:v>
      </x:c>
      <x:c r="E488" s="2" t="str">
        <x:v>Origin</x:v>
      </x:c>
      <x:c r="F488" s="7" t="n">
        <x:v>45017</x:v>
      </x:c>
      <x:c r="G488" s="2" t="str">
        <x:v>Broad market</x:v>
      </x:c>
      <x:c r="H488" s="8" t="n">
        <x:f>'Model fits'!AA342</x:f>
        <x:v>6.256131146275707</x:v>
      </x:c>
      <x:c r="I488" s="8" t="n">
        <x:f>0</x:f>
        <x:v>0</x:v>
      </x:c>
      <x:c r="J488" s="8" t="n">
        <x:v>0</x:v>
      </x:c>
      <x:c r="K488" s="8" t="n">
        <x:f>H488-I488*J488</x:f>
        <x:v>6.256131146275707</x:v>
      </x:c>
      <x:c r="L488" s="8" t="n">
        <x:f>'PG facts'!D71</x:f>
        <x:v>6</x:v>
      </x:c>
      <x:c r="M488" s="8" t="n">
        <x:f>K488-L488</x:f>
        <x:v>0.256131146275707</x:v>
      </x:c>
      <x:c r="N488" s="8" t="n">
        <x:f>M488^2</x:f>
        <x:v>0.0656031640925076</x:v>
      </x:c>
      <x:c r="O488" s="8" t="n">
        <x:f>ABS(M488)</x:f>
        <x:v>0.256131146275707</x:v>
      </x:c>
      <x:c r="P488" s="7" t="n">
        <x:v>45135</x:v>
      </x:c>
    </x:row>
    <x:row r="489" ht="26" customHeight="1">
      <x:c r="A489" s="2"/>
      <x:c r="B489" s="2" t="n">
        <x:v>484</x:v>
      </x:c>
      <x:c r="C489" s="2" t="str">
        <x:v>Health Care / price_contribution</x:v>
      </x:c>
      <x:c r="D489" s="7" t="n">
        <x:v>45107</x:v>
      </x:c>
      <x:c r="E489" s="2" t="str">
        <x:v>Origin</x:v>
      </x:c>
      <x:c r="F489" s="7" t="n">
        <x:v>45017</x:v>
      </x:c>
      <x:c r="G489" s="2" t="str">
        <x:v>Broad rolling 8</x:v>
      </x:c>
      <x:c r="H489" s="8" t="n">
        <x:f>'Model fits'!AA343</x:f>
        <x:v>6.256131146275707</x:v>
      </x:c>
      <x:c r="I489" s="8" t="n">
        <x:f>0</x:f>
        <x:v>0</x:v>
      </x:c>
      <x:c r="J489" s="8" t="n">
        <x:v>0</x:v>
      </x:c>
      <x:c r="K489" s="8" t="n">
        <x:f>H489-I489*J489</x:f>
        <x:v>6.256131146275707</x:v>
      </x:c>
      <x:c r="L489" s="8" t="n">
        <x:f>'PG facts'!D71</x:f>
        <x:v>6</x:v>
      </x:c>
      <x:c r="M489" s="8" t="n">
        <x:f>K489-L489</x:f>
        <x:v>0.256131146275707</x:v>
      </x:c>
      <x:c r="N489" s="8" t="n">
        <x:f>M489^2</x:f>
        <x:v>0.0656031640925076</x:v>
      </x:c>
      <x:c r="O489" s="8" t="n">
        <x:f>ABS(M489)</x:f>
        <x:v>0.256131146275707</x:v>
      </x:c>
      <x:c r="P489" s="7" t="n">
        <x:v>45135</x:v>
      </x:c>
    </x:row>
    <x:row r="490" ht="26" customHeight="1">
      <x:c r="A490" s="2"/>
      <x:c r="B490" s="2" t="n">
        <x:v>485</x:v>
      </x:c>
      <x:c r="C490" s="2" t="str">
        <x:v>Health Care / price_contribution</x:v>
      </x:c>
      <x:c r="D490" s="7" t="n">
        <x:v>45107</x:v>
      </x:c>
      <x:c r="E490" s="2" t="str">
        <x:v>Prior report</x:v>
      </x:c>
      <x:c r="F490" s="7" t="n">
        <x:v>45037</x:v>
      </x:c>
      <x:c r="G490" s="2" t="str">
        <x:v>Last actual</x:v>
      </x:c>
      <x:c r="H490" s="8" t="n">
        <x:f>AVERAGE('PG facts'!D64)</x:f>
        <x:v>6</x:v>
      </x:c>
      <x:c r="I490" s="8" t="n">
        <x:f>0</x:f>
        <x:v>0</x:v>
      </x:c>
      <x:c r="J490" s="8" t="n">
        <x:v>0</x:v>
      </x:c>
      <x:c r="K490" s="8" t="n">
        <x:f>H490-I490*J490</x:f>
        <x:v>6</x:v>
      </x:c>
      <x:c r="L490" s="8" t="n">
        <x:f>'PG facts'!D71</x:f>
        <x:v>6</x:v>
      </x:c>
      <x:c r="M490" s="8" t="n">
        <x:f>K490-L490</x:f>
        <x:v>0</x:v>
      </x:c>
      <x:c r="N490" s="8" t="n">
        <x:f>M490^2</x:f>
        <x:v>0</x:v>
      </x:c>
      <x:c r="O490" s="8" t="n">
        <x:f>ABS(M490)</x:f>
        <x:v>0</x:v>
      </x:c>
      <x:c r="P490" s="7" t="n">
        <x:v>45135</x:v>
      </x:c>
    </x:row>
    <x:row r="491" ht="26" customHeight="1">
      <x:c r="A491" s="2"/>
      <x:c r="B491" s="2" t="n">
        <x:v>486</x:v>
      </x:c>
      <x:c r="C491" s="2" t="str">
        <x:v>Health Care / price_contribution</x:v>
      </x:c>
      <x:c r="D491" s="7" t="n">
        <x:v>45107</x:v>
      </x:c>
      <x:c r="E491" s="2" t="str">
        <x:v>Prior report</x:v>
      </x:c>
      <x:c r="F491" s="7" t="n">
        <x:v>45037</x:v>
      </x:c>
      <x:c r="G491" s="2" t="str">
        <x:v>Four-quarter mean</x:v>
      </x:c>
      <x:c r="H491" s="8" t="n">
        <x:f>AVERAGE('PG facts'!D43,'PG facts'!D50,'PG facts'!D57,'PG facts'!D64)</x:f>
        <x:v>5.5</x:v>
      </x:c>
      <x:c r="I491" s="8" t="n">
        <x:f>0</x:f>
        <x:v>0</x:v>
      </x:c>
      <x:c r="J491" s="8" t="n">
        <x:v>0</x:v>
      </x:c>
      <x:c r="K491" s="8" t="n">
        <x:f>H491-I491*J491</x:f>
        <x:v>5.5</x:v>
      </x:c>
      <x:c r="L491" s="8" t="n">
        <x:f>'PG facts'!D71</x:f>
        <x:v>6</x:v>
      </x:c>
      <x:c r="M491" s="8" t="n">
        <x:f>K491-L491</x:f>
        <x:v>-0.5</x:v>
      </x:c>
      <x:c r="N491" s="8" t="n">
        <x:f>M491^2</x:f>
        <x:v>0.25</x:v>
      </x:c>
      <x:c r="O491" s="8" t="n">
        <x:f>ABS(M491)</x:f>
        <x:v>0.5</x:v>
      </x:c>
      <x:c r="P491" s="7" t="n">
        <x:v>45135</x:v>
      </x:c>
    </x:row>
    <x:row r="492" ht="26" customHeight="1">
      <x:c r="A492" s="2"/>
      <x:c r="B492" s="2" t="n">
        <x:v>487</x:v>
      </x:c>
      <x:c r="C492" s="2" t="str">
        <x:v>Health Care / price_contribution</x:v>
      </x:c>
      <x:c r="D492" s="7" t="n">
        <x:v>45107</x:v>
      </x:c>
      <x:c r="E492" s="2" t="str">
        <x:v>Prior report</x:v>
      </x:c>
      <x:c r="F492" s="7" t="n">
        <x:v>45037</x:v>
      </x:c>
      <x:c r="G492" s="2" t="str">
        <x:v>Broad market</x:v>
      </x:c>
      <x:c r="H492" s="8" t="n">
        <x:f>'Model fits'!AA344</x:f>
        <x:v>6.0137044994103945</x:v>
      </x:c>
      <x:c r="I492" s="8" t="n">
        <x:f>0</x:f>
        <x:v>0</x:v>
      </x:c>
      <x:c r="J492" s="8" t="n">
        <x:v>0</x:v>
      </x:c>
      <x:c r="K492" s="8" t="n">
        <x:f>H492-I492*J492</x:f>
        <x:v>6.0137044994103945</x:v>
      </x:c>
      <x:c r="L492" s="8" t="n">
        <x:f>'PG facts'!D71</x:f>
        <x:v>6</x:v>
      </x:c>
      <x:c r="M492" s="8" t="n">
        <x:f>K492-L492</x:f>
        <x:v>0.013704499410394533</x:v>
      </x:c>
      <x:c r="N492" s="8" t="n">
        <x:f>M492^2</x:f>
        <x:v>0.0001878133040895041</x:v>
      </x:c>
      <x:c r="O492" s="8" t="n">
        <x:f>ABS(M492)</x:f>
        <x:v>0.013704499410394533</x:v>
      </x:c>
      <x:c r="P492" s="7" t="n">
        <x:v>45135</x:v>
      </x:c>
    </x:row>
    <x:row r="493" ht="26" customHeight="1">
      <x:c r="A493" s="2"/>
      <x:c r="B493" s="2" t="n">
        <x:v>488</x:v>
      </x:c>
      <x:c r="C493" s="2" t="str">
        <x:v>Health Care / price_contribution</x:v>
      </x:c>
      <x:c r="D493" s="7" t="n">
        <x:v>45107</x:v>
      </x:c>
      <x:c r="E493" s="2" t="str">
        <x:v>Prior report</x:v>
      </x:c>
      <x:c r="F493" s="7" t="n">
        <x:v>45037</x:v>
      </x:c>
      <x:c r="G493" s="2" t="str">
        <x:v>Broad lag 1</x:v>
      </x:c>
      <x:c r="H493" s="8" t="n">
        <x:f>'Model fits'!AA345</x:f>
        <x:v>6.319752926941904</x:v>
      </x:c>
      <x:c r="I493" s="8" t="n">
        <x:f>0</x:f>
        <x:v>0</x:v>
      </x:c>
      <x:c r="J493" s="8" t="n">
        <x:v>0</x:v>
      </x:c>
      <x:c r="K493" s="8" t="n">
        <x:f>H493-I493*J493</x:f>
        <x:v>6.319752926941904</x:v>
      </x:c>
      <x:c r="L493" s="8" t="n">
        <x:f>'PG facts'!D71</x:f>
        <x:v>6</x:v>
      </x:c>
      <x:c r="M493" s="8" t="n">
        <x:f>K493-L493</x:f>
        <x:v>0.31975292694190394</x:v>
      </x:c>
      <x:c r="N493" s="8" t="n">
        <x:f>M493^2</x:f>
        <x:v>0.10224193428791456</x:v>
      </x:c>
      <x:c r="O493" s="8" t="n">
        <x:f>ABS(M493)</x:f>
        <x:v>0.31975292694190394</x:v>
      </x:c>
      <x:c r="P493" s="7" t="n">
        <x:v>45135</x:v>
      </x:c>
    </x:row>
    <x:row r="494" ht="26" customHeight="1">
      <x:c r="A494" s="2"/>
      <x:c r="B494" s="2" t="n">
        <x:v>489</x:v>
      </x:c>
      <x:c r="C494" s="2" t="str">
        <x:v>Health Care / price_contribution</x:v>
      </x:c>
      <x:c r="D494" s="7" t="n">
        <x:v>45107</x:v>
      </x:c>
      <x:c r="E494" s="2" t="str">
        <x:v>Prior report</x:v>
      </x:c>
      <x:c r="F494" s="7" t="n">
        <x:v>45037</x:v>
      </x:c>
      <x:c r="G494" s="2" t="str">
        <x:v>Broad rolling 8</x:v>
      </x:c>
      <x:c r="H494" s="8" t="n">
        <x:f>'Model fits'!AA346</x:f>
        <x:v>5.964335120519571</x:v>
      </x:c>
      <x:c r="I494" s="8" t="n">
        <x:f>0</x:f>
        <x:v>0</x:v>
      </x:c>
      <x:c r="J494" s="8" t="n">
        <x:v>0</x:v>
      </x:c>
      <x:c r="K494" s="8" t="n">
        <x:f>H494-I494*J494</x:f>
        <x:v>5.964335120519571</x:v>
      </x:c>
      <x:c r="L494" s="8" t="n">
        <x:f>'PG facts'!D71</x:f>
        <x:v>6</x:v>
      </x:c>
      <x:c r="M494" s="8" t="n">
        <x:f>K494-L494</x:f>
        <x:v>-0.035664879480428624</x:v>
      </x:c>
      <x:c r="N494" s="8" t="n">
        <x:f>M494^2</x:f>
        <x:v>0.0012719836283534988</x:v>
      </x:c>
      <x:c r="O494" s="8" t="n">
        <x:f>ABS(M494)</x:f>
        <x:v>0.035664879480428624</x:v>
      </x:c>
      <x:c r="P494" s="7" t="n">
        <x:v>45135</x:v>
      </x:c>
    </x:row>
    <x:row r="495" ht="26" customHeight="1">
      <x:c r="A495" s="2"/>
      <x:c r="B495" s="2" t="n">
        <x:v>490</x:v>
      </x:c>
      <x:c r="C495" s="2" t="str">
        <x:v>Health Care / price_contribution</x:v>
      </x:c>
      <x:c r="D495" s="7" t="n">
        <x:v>45107</x:v>
      </x:c>
      <x:c r="E495" s="2" t="str">
        <x:v>Prior report</x:v>
      </x:c>
      <x:c r="F495" s="7" t="n">
        <x:v>45037</x:v>
      </x:c>
      <x:c r="G495" s="2" t="str">
        <x:v>Own history</x:v>
      </x:c>
      <x:c r="H495" s="8" t="n">
        <x:f>'Model fits'!AA347</x:f>
        <x:v>6.36</x:v>
      </x:c>
      <x:c r="I495" s="8" t="n">
        <x:f>0</x:f>
        <x:v>0</x:v>
      </x:c>
      <x:c r="J495" s="8" t="n">
        <x:v>0</x:v>
      </x:c>
      <x:c r="K495" s="8" t="n">
        <x:f>H495-I495*J495</x:f>
        <x:v>6.36</x:v>
      </x:c>
      <x:c r="L495" s="8" t="n">
        <x:f>'PG facts'!D71</x:f>
        <x:v>6</x:v>
      </x:c>
      <x:c r="M495" s="8" t="n">
        <x:f>K495-L495</x:f>
        <x:v>0.3600000000000003</x:v>
      </x:c>
      <x:c r="N495" s="8" t="n">
        <x:f>M495^2</x:f>
        <x:v>0.12960000000000024</x:v>
      </x:c>
      <x:c r="O495" s="8" t="n">
        <x:f>ABS(M495)</x:f>
        <x:v>0.3600000000000003</x:v>
      </x:c>
      <x:c r="P495" s="7" t="n">
        <x:v>45135</x:v>
      </x:c>
    </x:row>
    <x:row r="496" ht="26" customHeight="1">
      <x:c r="A496" s="2"/>
      <x:c r="B496" s="2" t="n">
        <x:v>491</x:v>
      </x:c>
      <x:c r="C496" s="2" t="str">
        <x:v>Health Care / price_contribution</x:v>
      </x:c>
      <x:c r="D496" s="7" t="n">
        <x:v>45107</x:v>
      </x:c>
      <x:c r="E496" s="2" t="str">
        <x:v>Pre-earnings</x:v>
      </x:c>
      <x:c r="F496" s="7" t="n">
        <x:v>45134</x:v>
      </x:c>
      <x:c r="G496" s="2" t="str">
        <x:v>Last actual</x:v>
      </x:c>
      <x:c r="H496" s="8" t="n">
        <x:f>AVERAGE('PG facts'!D64)</x:f>
        <x:v>6</x:v>
      </x:c>
      <x:c r="I496" s="8" t="n">
        <x:f>0</x:f>
        <x:v>0</x:v>
      </x:c>
      <x:c r="J496" s="8" t="n">
        <x:v>0</x:v>
      </x:c>
      <x:c r="K496" s="8" t="n">
        <x:f>H496-I496*J496</x:f>
        <x:v>6</x:v>
      </x:c>
      <x:c r="L496" s="8" t="n">
        <x:f>'PG facts'!D71</x:f>
        <x:v>6</x:v>
      </x:c>
      <x:c r="M496" s="8" t="n">
        <x:f>K496-L496</x:f>
        <x:v>0</x:v>
      </x:c>
      <x:c r="N496" s="8" t="n">
        <x:f>M496^2</x:f>
        <x:v>0</x:v>
      </x:c>
      <x:c r="O496" s="8" t="n">
        <x:f>ABS(M496)</x:f>
        <x:v>0</x:v>
      </x:c>
      <x:c r="P496" s="7" t="n">
        <x:v>45135</x:v>
      </x:c>
    </x:row>
    <x:row r="497" ht="26" customHeight="1">
      <x:c r="A497" s="2"/>
      <x:c r="B497" s="2" t="n">
        <x:v>492</x:v>
      </x:c>
      <x:c r="C497" s="2" t="str">
        <x:v>Health Care / price_contribution</x:v>
      </x:c>
      <x:c r="D497" s="7" t="n">
        <x:v>45107</x:v>
      </x:c>
      <x:c r="E497" s="2" t="str">
        <x:v>Pre-earnings</x:v>
      </x:c>
      <x:c r="F497" s="7" t="n">
        <x:v>45134</x:v>
      </x:c>
      <x:c r="G497" s="2" t="str">
        <x:v>Four-quarter mean</x:v>
      </x:c>
      <x:c r="H497" s="8" t="n">
        <x:f>AVERAGE('PG facts'!D43,'PG facts'!D50,'PG facts'!D57,'PG facts'!D64)</x:f>
        <x:v>5.5</x:v>
      </x:c>
      <x:c r="I497" s="8" t="n">
        <x:f>0</x:f>
        <x:v>0</x:v>
      </x:c>
      <x:c r="J497" s="8" t="n">
        <x:v>0</x:v>
      </x:c>
      <x:c r="K497" s="8" t="n">
        <x:f>H497-I497*J497</x:f>
        <x:v>5.5</x:v>
      </x:c>
      <x:c r="L497" s="8" t="n">
        <x:f>'PG facts'!D71</x:f>
        <x:v>6</x:v>
      </x:c>
      <x:c r="M497" s="8" t="n">
        <x:f>K497-L497</x:f>
        <x:v>-0.5</x:v>
      </x:c>
      <x:c r="N497" s="8" t="n">
        <x:f>M497^2</x:f>
        <x:v>0.25</x:v>
      </x:c>
      <x:c r="O497" s="8" t="n">
        <x:f>ABS(M497)</x:f>
        <x:v>0.5</x:v>
      </x:c>
      <x:c r="P497" s="7" t="n">
        <x:v>45135</x:v>
      </x:c>
    </x:row>
    <x:row r="498" ht="26" customHeight="1">
      <x:c r="A498" s="2"/>
      <x:c r="B498" s="2" t="n">
        <x:v>493</x:v>
      </x:c>
      <x:c r="C498" s="2" t="str">
        <x:v>Health Care / price_contribution</x:v>
      </x:c>
      <x:c r="D498" s="7" t="n">
        <x:v>45107</x:v>
      </x:c>
      <x:c r="E498" s="2" t="str">
        <x:v>Pre-earnings</x:v>
      </x:c>
      <x:c r="F498" s="7" t="n">
        <x:v>45134</x:v>
      </x:c>
      <x:c r="G498" s="2" t="str">
        <x:v>Broad market</x:v>
      </x:c>
      <x:c r="H498" s="8" t="n">
        <x:f>'Model fits'!AA348</x:f>
        <x:v>6.2089272415804775</x:v>
      </x:c>
      <x:c r="I498" s="8" t="n">
        <x:f>0</x:f>
        <x:v>0</x:v>
      </x:c>
      <x:c r="J498" s="8" t="n">
        <x:v>0</x:v>
      </x:c>
      <x:c r="K498" s="8" t="n">
        <x:f>H498-I498*J498</x:f>
        <x:v>6.2089272415804775</x:v>
      </x:c>
      <x:c r="L498" s="8" t="n">
        <x:f>'PG facts'!D71</x:f>
        <x:v>6</x:v>
      </x:c>
      <x:c r="M498" s="8" t="n">
        <x:f>K498-L498</x:f>
        <x:v>0.20892724158047749</x:v>
      </x:c>
      <x:c r="N498" s="8" t="n">
        <x:f>M498^2</x:f>
        <x:v>0.0436505922744272</x:v>
      </x:c>
      <x:c r="O498" s="8" t="n">
        <x:f>ABS(M498)</x:f>
        <x:v>0.20892724158047749</x:v>
      </x:c>
      <x:c r="P498" s="7" t="n">
        <x:v>45135</x:v>
      </x:c>
    </x:row>
    <x:row r="499" ht="26" customHeight="1">
      <x:c r="A499" s="2"/>
      <x:c r="B499" s="2" t="n">
        <x:v>494</x:v>
      </x:c>
      <x:c r="C499" s="2" t="str">
        <x:v>Health Care / price_contribution</x:v>
      </x:c>
      <x:c r="D499" s="7" t="n">
        <x:v>45107</x:v>
      </x:c>
      <x:c r="E499" s="2" t="str">
        <x:v>Pre-earnings</x:v>
      </x:c>
      <x:c r="F499" s="7" t="n">
        <x:v>45134</x:v>
      </x:c>
      <x:c r="G499" s="2" t="str">
        <x:v>Broad lag 1</x:v>
      </x:c>
      <x:c r="H499" s="8" t="n">
        <x:f>'Model fits'!AA349</x:f>
        <x:v>6.319752926941904</x:v>
      </x:c>
      <x:c r="I499" s="8" t="n">
        <x:f>0</x:f>
        <x:v>0</x:v>
      </x:c>
      <x:c r="J499" s="8" t="n">
        <x:v>0</x:v>
      </x:c>
      <x:c r="K499" s="8" t="n">
        <x:f>H499-I499*J499</x:f>
        <x:v>6.319752926941904</x:v>
      </x:c>
      <x:c r="L499" s="8" t="n">
        <x:f>'PG facts'!D71</x:f>
        <x:v>6</x:v>
      </x:c>
      <x:c r="M499" s="8" t="n">
        <x:f>K499-L499</x:f>
        <x:v>0.31975292694190394</x:v>
      </x:c>
      <x:c r="N499" s="8" t="n">
        <x:f>M499^2</x:f>
        <x:v>0.10224193428791456</x:v>
      </x:c>
      <x:c r="O499" s="8" t="n">
        <x:f>ABS(M499)</x:f>
        <x:v>0.31975292694190394</x:v>
      </x:c>
      <x:c r="P499" s="7" t="n">
        <x:v>45135</x:v>
      </x:c>
    </x:row>
    <x:row r="500" ht="26" customHeight="1">
      <x:c r="A500" s="2"/>
      <x:c r="B500" s="2" t="n">
        <x:v>495</x:v>
      </x:c>
      <x:c r="C500" s="2" t="str">
        <x:v>Health Care / price_contribution</x:v>
      </x:c>
      <x:c r="D500" s="7" t="n">
        <x:v>45107</x:v>
      </x:c>
      <x:c r="E500" s="2" t="str">
        <x:v>Pre-earnings</x:v>
      </x:c>
      <x:c r="F500" s="7" t="n">
        <x:v>45134</x:v>
      </x:c>
      <x:c r="G500" s="2" t="str">
        <x:v>Broad rolling 8</x:v>
      </x:c>
      <x:c r="H500" s="8" t="n">
        <x:f>'Model fits'!AA350</x:f>
        <x:v>6.1456758347613</x:v>
      </x:c>
      <x:c r="I500" s="8" t="n">
        <x:f>0</x:f>
        <x:v>0</x:v>
      </x:c>
      <x:c r="J500" s="8" t="n">
        <x:v>0</x:v>
      </x:c>
      <x:c r="K500" s="8" t="n">
        <x:f>H500-I500*J500</x:f>
        <x:v>6.1456758347613</x:v>
      </x:c>
      <x:c r="L500" s="8" t="n">
        <x:f>'PG facts'!D71</x:f>
        <x:v>6</x:v>
      </x:c>
      <x:c r="M500" s="8" t="n">
        <x:f>K500-L500</x:f>
        <x:v>0.14567583476129986</x:v>
      </x:c>
      <x:c r="N500" s="8" t="n">
        <x:f>M500^2</x:f>
        <x:v>0.02122144883340154</x:v>
      </x:c>
      <x:c r="O500" s="8" t="n">
        <x:f>ABS(M500)</x:f>
        <x:v>0.14567583476129986</x:v>
      </x:c>
      <x:c r="P500" s="7" t="n">
        <x:v>45135</x:v>
      </x:c>
    </x:row>
    <x:row r="501" ht="26" customHeight="1">
      <x:c r="A501" s="2"/>
      <x:c r="B501" s="2" t="n">
        <x:v>496</x:v>
      </x:c>
      <x:c r="C501" s="2" t="str">
        <x:v>Health Care / price_contribution</x:v>
      </x:c>
      <x:c r="D501" s="7" t="n">
        <x:v>45107</x:v>
      </x:c>
      <x:c r="E501" s="2" t="str">
        <x:v>Pre-earnings</x:v>
      </x:c>
      <x:c r="F501" s="7" t="n">
        <x:v>45134</x:v>
      </x:c>
      <x:c r="G501" s="2" t="str">
        <x:v>Own history</x:v>
      </x:c>
      <x:c r="H501" s="8" t="n">
        <x:f>'Model fits'!AA351</x:f>
        <x:v>6.36</x:v>
      </x:c>
      <x:c r="I501" s="8" t="n">
        <x:f>0</x:f>
        <x:v>0</x:v>
      </x:c>
      <x:c r="J501" s="8" t="n">
        <x:v>0</x:v>
      </x:c>
      <x:c r="K501" s="8" t="n">
        <x:f>H501-I501*J501</x:f>
        <x:v>6.36</x:v>
      </x:c>
      <x:c r="L501" s="8" t="n">
        <x:f>'PG facts'!D71</x:f>
        <x:v>6</x:v>
      </x:c>
      <x:c r="M501" s="8" t="n">
        <x:f>K501-L501</x:f>
        <x:v>0.3600000000000003</x:v>
      </x:c>
      <x:c r="N501" s="8" t="n">
        <x:f>M501^2</x:f>
        <x:v>0.12960000000000024</x:v>
      </x:c>
      <x:c r="O501" s="8" t="n">
        <x:f>ABS(M501)</x:f>
        <x:v>0.3600000000000003</x:v>
      </x:c>
      <x:c r="P501" s="7" t="n">
        <x:v>45135</x:v>
      </x:c>
    </x:row>
    <x:row r="502" ht="26" customHeight="1">
      <x:c r="A502" s="2"/>
      <x:c r="B502" s="2" t="n">
        <x:v>497</x:v>
      </x:c>
      <x:c r="C502" s="2" t="str">
        <x:v>Health Care / price_contribution</x:v>
      </x:c>
      <x:c r="D502" s="7" t="n">
        <x:v>45199</x:v>
      </x:c>
      <x:c r="E502" s="2" t="str">
        <x:v>Origin</x:v>
      </x:c>
      <x:c r="F502" s="7" t="n">
        <x:v>45108</x:v>
      </x:c>
      <x:c r="G502" s="2" t="str">
        <x:v>Last actual</x:v>
      </x:c>
      <x:c r="H502" s="8" t="n">
        <x:f>AVERAGE('PG facts'!D64)</x:f>
        <x:v>6</x:v>
      </x:c>
      <x:c r="I502" s="8" t="n">
        <x:f>0</x:f>
        <x:v>0</x:v>
      </x:c>
      <x:c r="J502" s="8" t="n">
        <x:v>0</x:v>
      </x:c>
      <x:c r="K502" s="8" t="n">
        <x:f>H502-I502*J502</x:f>
        <x:v>6</x:v>
      </x:c>
      <x:c r="L502" s="8" t="n">
        <x:f>'PG facts'!D78</x:f>
        <x:v>6</x:v>
      </x:c>
      <x:c r="M502" s="8" t="n">
        <x:f>K502-L502</x:f>
        <x:v>0</x:v>
      </x:c>
      <x:c r="N502" s="8" t="n">
        <x:f>M502^2</x:f>
        <x:v>0</x:v>
      </x:c>
      <x:c r="O502" s="8" t="n">
        <x:f>ABS(M502)</x:f>
        <x:v>0</x:v>
      </x:c>
      <x:c r="P502" s="7" t="n">
        <x:v>45217</x:v>
      </x:c>
    </x:row>
    <x:row r="503" ht="26" customHeight="1">
      <x:c r="A503" s="2"/>
      <x:c r="B503" s="2" t="n">
        <x:v>498</x:v>
      </x:c>
      <x:c r="C503" s="2" t="str">
        <x:v>Health Care / price_contribution</x:v>
      </x:c>
      <x:c r="D503" s="7" t="n">
        <x:v>45199</x:v>
      </x:c>
      <x:c r="E503" s="2" t="str">
        <x:v>Origin</x:v>
      </x:c>
      <x:c r="F503" s="7" t="n">
        <x:v>45108</x:v>
      </x:c>
      <x:c r="G503" s="2" t="str">
        <x:v>Four-quarter mean</x:v>
      </x:c>
      <x:c r="H503" s="8" t="n">
        <x:f>AVERAGE('PG facts'!D43,'PG facts'!D50,'PG facts'!D57,'PG facts'!D64)</x:f>
        <x:v>5.5</x:v>
      </x:c>
      <x:c r="I503" s="8" t="n">
        <x:f>0</x:f>
        <x:v>0</x:v>
      </x:c>
      <x:c r="J503" s="8" t="n">
        <x:v>0</x:v>
      </x:c>
      <x:c r="K503" s="8" t="n">
        <x:f>H503-I503*J503</x:f>
        <x:v>5.5</x:v>
      </x:c>
      <x:c r="L503" s="8" t="n">
        <x:f>'PG facts'!D78</x:f>
        <x:v>6</x:v>
      </x:c>
      <x:c r="M503" s="8" t="n">
        <x:f>K503-L503</x:f>
        <x:v>-0.5</x:v>
      </x:c>
      <x:c r="N503" s="8" t="n">
        <x:f>M503^2</x:f>
        <x:v>0.25</x:v>
      </x:c>
      <x:c r="O503" s="8" t="n">
        <x:f>ABS(M503)</x:f>
        <x:v>0.5</x:v>
      </x:c>
      <x:c r="P503" s="7" t="n">
        <x:v>45217</x:v>
      </x:c>
    </x:row>
    <x:row r="504" ht="26" customHeight="1">
      <x:c r="A504" s="2"/>
      <x:c r="B504" s="2" t="n">
        <x:v>499</x:v>
      </x:c>
      <x:c r="C504" s="2" t="str">
        <x:v>Health Care / price_contribution</x:v>
      </x:c>
      <x:c r="D504" s="7" t="n">
        <x:v>45199</x:v>
      </x:c>
      <x:c r="E504" s="2" t="str">
        <x:v>Origin</x:v>
      </x:c>
      <x:c r="F504" s="7" t="n">
        <x:v>45108</x:v>
      </x:c>
      <x:c r="G504" s="2" t="str">
        <x:v>Broad market</x:v>
      </x:c>
      <x:c r="H504" s="8" t="n">
        <x:f>'Model fits'!AA352</x:f>
        <x:v>6.108462084296029</x:v>
      </x:c>
      <x:c r="I504" s="8" t="n">
        <x:f>0</x:f>
        <x:v>0</x:v>
      </x:c>
      <x:c r="J504" s="8" t="n">
        <x:v>0</x:v>
      </x:c>
      <x:c r="K504" s="8" t="n">
        <x:f>H504-I504*J504</x:f>
        <x:v>6.108462084296029</x:v>
      </x:c>
      <x:c r="L504" s="8" t="n">
        <x:f>'PG facts'!D78</x:f>
        <x:v>6</x:v>
      </x:c>
      <x:c r="M504" s="8" t="n">
        <x:f>K504-L504</x:f>
        <x:v>0.1084620842960291</x:v>
      </x:c>
      <x:c r="N504" s="8" t="n">
        <x:f>M504^2</x:f>
        <x:v>0.011764023729838924</x:v>
      </x:c>
      <x:c r="O504" s="8" t="n">
        <x:f>ABS(M504)</x:f>
        <x:v>0.1084620842960291</x:v>
      </x:c>
      <x:c r="P504" s="7" t="n">
        <x:v>45217</x:v>
      </x:c>
    </x:row>
    <x:row r="505" ht="26" customHeight="1">
      <x:c r="A505" s="2"/>
      <x:c r="B505" s="2" t="n">
        <x:v>500</x:v>
      </x:c>
      <x:c r="C505" s="2" t="str">
        <x:v>Health Care / price_contribution</x:v>
      </x:c>
      <x:c r="D505" s="7" t="n">
        <x:v>45199</x:v>
      </x:c>
      <x:c r="E505" s="2" t="str">
        <x:v>Origin</x:v>
      </x:c>
      <x:c r="F505" s="7" t="n">
        <x:v>45108</x:v>
      </x:c>
      <x:c r="G505" s="2" t="str">
        <x:v>Broad rolling 8</x:v>
      </x:c>
      <x:c r="H505" s="8" t="n">
        <x:f>'Model fits'!AA353</x:f>
        <x:v>6.052354620358435</x:v>
      </x:c>
      <x:c r="I505" s="8" t="n">
        <x:f>0</x:f>
        <x:v>0</x:v>
      </x:c>
      <x:c r="J505" s="8" t="n">
        <x:v>0</x:v>
      </x:c>
      <x:c r="K505" s="8" t="n">
        <x:f>H505-I505*J505</x:f>
        <x:v>6.052354620358435</x:v>
      </x:c>
      <x:c r="L505" s="8" t="n">
        <x:f>'PG facts'!D78</x:f>
        <x:v>6</x:v>
      </x:c>
      <x:c r="M505" s="8" t="n">
        <x:f>K505-L505</x:f>
        <x:v>0.05235462035843508</x:v>
      </x:c>
      <x:c r="N505" s="8" t="n">
        <x:f>M505^2</x:f>
        <x:v>0.0027410062728758645</x:v>
      </x:c>
      <x:c r="O505" s="8" t="n">
        <x:f>ABS(M505)</x:f>
        <x:v>0.05235462035843508</x:v>
      </x:c>
      <x:c r="P505" s="7" t="n">
        <x:v>45217</x:v>
      </x:c>
    </x:row>
    <x:row r="506" ht="26" customHeight="1">
      <x:c r="A506" s="2"/>
      <x:c r="B506" s="2" t="n">
        <x:v>501</x:v>
      </x:c>
      <x:c r="C506" s="2" t="str">
        <x:v>Health Care / price_contribution</x:v>
      </x:c>
      <x:c r="D506" s="7" t="n">
        <x:v>45199</x:v>
      </x:c>
      <x:c r="E506" s="2" t="str">
        <x:v>Prior report</x:v>
      </x:c>
      <x:c r="F506" s="7" t="n">
        <x:v>45135</x:v>
      </x:c>
      <x:c r="G506" s="2" t="str">
        <x:v>Last actual</x:v>
      </x:c>
      <x:c r="H506" s="8" t="n">
        <x:f>AVERAGE('PG facts'!D71)</x:f>
        <x:v>6</x:v>
      </x:c>
      <x:c r="I506" s="8" t="n">
        <x:f>0</x:f>
        <x:v>0</x:v>
      </x:c>
      <x:c r="J506" s="8" t="n">
        <x:v>0</x:v>
      </x:c>
      <x:c r="K506" s="8" t="n">
        <x:f>H506-I506*J506</x:f>
        <x:v>6</x:v>
      </x:c>
      <x:c r="L506" s="8" t="n">
        <x:f>'PG facts'!D78</x:f>
        <x:v>6</x:v>
      </x:c>
      <x:c r="M506" s="8" t="n">
        <x:f>K506-L506</x:f>
        <x:v>0</x:v>
      </x:c>
      <x:c r="N506" s="8" t="n">
        <x:f>M506^2</x:f>
        <x:v>0</x:v>
      </x:c>
      <x:c r="O506" s="8" t="n">
        <x:f>ABS(M506)</x:f>
        <x:v>0</x:v>
      </x:c>
      <x:c r="P506" s="7" t="n">
        <x:v>45217</x:v>
      </x:c>
    </x:row>
    <x:row r="507" ht="26" customHeight="1">
      <x:c r="A507" s="2"/>
      <x:c r="B507" s="2" t="n">
        <x:v>502</x:v>
      </x:c>
      <x:c r="C507" s="2" t="str">
        <x:v>Health Care / price_contribution</x:v>
      </x:c>
      <x:c r="D507" s="7" t="n">
        <x:v>45199</x:v>
      </x:c>
      <x:c r="E507" s="2" t="str">
        <x:v>Prior report</x:v>
      </x:c>
      <x:c r="F507" s="7" t="n">
        <x:v>45135</x:v>
      </x:c>
      <x:c r="G507" s="2" t="str">
        <x:v>Four-quarter mean</x:v>
      </x:c>
      <x:c r="H507" s="8" t="n">
        <x:f>AVERAGE('PG facts'!D50,'PG facts'!D57,'PG facts'!D64,'PG facts'!D71)</x:f>
        <x:v>5.75</x:v>
      </x:c>
      <x:c r="I507" s="8" t="n">
        <x:f>0</x:f>
        <x:v>0</x:v>
      </x:c>
      <x:c r="J507" s="8" t="n">
        <x:v>0</x:v>
      </x:c>
      <x:c r="K507" s="8" t="n">
        <x:f>H507-I507*J507</x:f>
        <x:v>5.75</x:v>
      </x:c>
      <x:c r="L507" s="8" t="n">
        <x:f>'PG facts'!D78</x:f>
        <x:v>6</x:v>
      </x:c>
      <x:c r="M507" s="8" t="n">
        <x:f>K507-L507</x:f>
        <x:v>-0.25</x:v>
      </x:c>
      <x:c r="N507" s="8" t="n">
        <x:f>M507^2</x:f>
        <x:v>0.0625</x:v>
      </x:c>
      <x:c r="O507" s="8" t="n">
        <x:f>ABS(M507)</x:f>
        <x:v>0.25</x:v>
      </x:c>
      <x:c r="P507" s="7" t="n">
        <x:v>45217</x:v>
      </x:c>
    </x:row>
    <x:row r="508" ht="26" customHeight="1">
      <x:c r="A508" s="2"/>
      <x:c r="B508" s="2" t="n">
        <x:v>503</x:v>
      </x:c>
      <x:c r="C508" s="2" t="str">
        <x:v>Health Care / price_contribution</x:v>
      </x:c>
      <x:c r="D508" s="7" t="n">
        <x:v>45199</x:v>
      </x:c>
      <x:c r="E508" s="2" t="str">
        <x:v>Prior report</x:v>
      </x:c>
      <x:c r="F508" s="7" t="n">
        <x:v>45135</x:v>
      </x:c>
      <x:c r="G508" s="2" t="str">
        <x:v>Broad market</x:v>
      </x:c>
      <x:c r="H508" s="8" t="n">
        <x:f>'Model fits'!AA354</x:f>
        <x:v>6.154391401414492</x:v>
      </x:c>
      <x:c r="I508" s="8" t="n">
        <x:f>0</x:f>
        <x:v>0</x:v>
      </x:c>
      <x:c r="J508" s="8" t="n">
        <x:v>0</x:v>
      </x:c>
      <x:c r="K508" s="8" t="n">
        <x:f>H508-I508*J508</x:f>
        <x:v>6.154391401414492</x:v>
      </x:c>
      <x:c r="L508" s="8" t="n">
        <x:f>'PG facts'!D78</x:f>
        <x:v>6</x:v>
      </x:c>
      <x:c r="M508" s="8" t="n">
        <x:f>K508-L508</x:f>
        <x:v>0.15439140141449226</x:v>
      </x:c>
      <x:c r="N508" s="8" t="n">
        <x:f>M508^2</x:f>
        <x:v>0.02383670483073088</x:v>
      </x:c>
      <x:c r="O508" s="8" t="n">
        <x:f>ABS(M508)</x:f>
        <x:v>0.15439140141449226</x:v>
      </x:c>
      <x:c r="P508" s="7" t="n">
        <x:v>45217</x:v>
      </x:c>
    </x:row>
    <x:row r="509" ht="26" customHeight="1">
      <x:c r="A509" s="2"/>
      <x:c r="B509" s="2" t="n">
        <x:v>504</x:v>
      </x:c>
      <x:c r="C509" s="2" t="str">
        <x:v>Health Care / price_contribution</x:v>
      </x:c>
      <x:c r="D509" s="7" t="n">
        <x:v>45199</x:v>
      </x:c>
      <x:c r="E509" s="2" t="str">
        <x:v>Prior report</x:v>
      </x:c>
      <x:c r="F509" s="7" t="n">
        <x:v>45135</x:v>
      </x:c>
      <x:c r="G509" s="2" t="str">
        <x:v>Broad lag 1</x:v>
      </x:c>
      <x:c r="H509" s="8" t="n">
        <x:f>'Model fits'!AA355</x:f>
        <x:v>6.381440725620456</x:v>
      </x:c>
      <x:c r="I509" s="8" t="n">
        <x:f>0</x:f>
        <x:v>0</x:v>
      </x:c>
      <x:c r="J509" s="8" t="n">
        <x:v>0</x:v>
      </x:c>
      <x:c r="K509" s="8" t="n">
        <x:f>H509-I509*J509</x:f>
        <x:v>6.381440725620456</x:v>
      </x:c>
      <x:c r="L509" s="8" t="n">
        <x:f>'PG facts'!D78</x:f>
        <x:v>6</x:v>
      </x:c>
      <x:c r="M509" s="8" t="n">
        <x:f>K509-L509</x:f>
        <x:v>0.3814407256204557</x:v>
      </x:c>
      <x:c r="N509" s="8" t="n">
        <x:f>M509^2</x:f>
        <x:v>0.14549702716185978</x:v>
      </x:c>
      <x:c r="O509" s="8" t="n">
        <x:f>ABS(M509)</x:f>
        <x:v>0.3814407256204557</x:v>
      </x:c>
      <x:c r="P509" s="7" t="n">
        <x:v>45217</x:v>
      </x:c>
    </x:row>
    <x:row r="510" ht="26" customHeight="1">
      <x:c r="A510" s="2"/>
      <x:c r="B510" s="2" t="n">
        <x:v>505</x:v>
      </x:c>
      <x:c r="C510" s="2" t="str">
        <x:v>Health Care / price_contribution</x:v>
      </x:c>
      <x:c r="D510" s="7" t="n">
        <x:v>45199</x:v>
      </x:c>
      <x:c r="E510" s="2" t="str">
        <x:v>Prior report</x:v>
      </x:c>
      <x:c r="F510" s="7" t="n">
        <x:v>45135</x:v>
      </x:c>
      <x:c r="G510" s="2" t="str">
        <x:v>Broad rolling 8</x:v>
      </x:c>
      <x:c r="H510" s="8" t="n">
        <x:f>'Model fits'!AA356</x:f>
        <x:v>6.082819684786632</x:v>
      </x:c>
      <x:c r="I510" s="8" t="n">
        <x:f>0</x:f>
        <x:v>0</x:v>
      </x:c>
      <x:c r="J510" s="8" t="n">
        <x:v>0</x:v>
      </x:c>
      <x:c r="K510" s="8" t="n">
        <x:f>H510-I510*J510</x:f>
        <x:v>6.082819684786632</x:v>
      </x:c>
      <x:c r="L510" s="8" t="n">
        <x:f>'PG facts'!D78</x:f>
        <x:v>6</x:v>
      </x:c>
      <x:c r="M510" s="8" t="n">
        <x:f>K510-L510</x:f>
        <x:v>0.0828196847866316</x:v>
      </x:c>
      <x:c r="N510" s="8" t="n">
        <x:f>M510^2</x:f>
        <x:v>0.006859100188157018</x:v>
      </x:c>
      <x:c r="O510" s="8" t="n">
        <x:f>ABS(M510)</x:f>
        <x:v>0.0828196847866316</x:v>
      </x:c>
      <x:c r="P510" s="7" t="n">
        <x:v>45217</x:v>
      </x:c>
    </x:row>
    <x:row r="511" ht="26" customHeight="1">
      <x:c r="A511" s="2"/>
      <x:c r="B511" s="2" t="n">
        <x:v>506</x:v>
      </x:c>
      <x:c r="C511" s="2" t="str">
        <x:v>Health Care / price_contribution</x:v>
      </x:c>
      <x:c r="D511" s="7" t="n">
        <x:v>45199</x:v>
      </x:c>
      <x:c r="E511" s="2" t="str">
        <x:v>Prior report</x:v>
      </x:c>
      <x:c r="F511" s="7" t="n">
        <x:v>45135</x:v>
      </x:c>
      <x:c r="G511" s="2" t="str">
        <x:v>Own history</x:v>
      </x:c>
      <x:c r="H511" s="8" t="n">
        <x:f>'Model fits'!AA357</x:f>
        <x:v>6.255924170616114</x:v>
      </x:c>
      <x:c r="I511" s="8" t="n">
        <x:f>0</x:f>
        <x:v>0</x:v>
      </x:c>
      <x:c r="J511" s="8" t="n">
        <x:v>0</x:v>
      </x:c>
      <x:c r="K511" s="8" t="n">
        <x:f>H511-I511*J511</x:f>
        <x:v>6.255924170616114</x:v>
      </x:c>
      <x:c r="L511" s="8" t="n">
        <x:f>'PG facts'!D78</x:f>
        <x:v>6</x:v>
      </x:c>
      <x:c r="M511" s="8" t="n">
        <x:f>K511-L511</x:f>
        <x:v>0.2559241706161144</x:v>
      </x:c>
      <x:c r="N511" s="8" t="n">
        <x:f>M511^2</x:f>
        <x:v>0.06549718110554603</x:v>
      </x:c>
      <x:c r="O511" s="8" t="n">
        <x:f>ABS(M511)</x:f>
        <x:v>0.2559241706161144</x:v>
      </x:c>
      <x:c r="P511" s="7" t="n">
        <x:v>45217</x:v>
      </x:c>
    </x:row>
    <x:row r="512" ht="26" customHeight="1">
      <x:c r="A512" s="2"/>
      <x:c r="B512" s="2" t="n">
        <x:v>507</x:v>
      </x:c>
      <x:c r="C512" s="2" t="str">
        <x:v>Health Care / price_contribution</x:v>
      </x:c>
      <x:c r="D512" s="7" t="n">
        <x:v>45199</x:v>
      </x:c>
      <x:c r="E512" s="2" t="str">
        <x:v>Pre-earnings</x:v>
      </x:c>
      <x:c r="F512" s="7" t="n">
        <x:v>45216</x:v>
      </x:c>
      <x:c r="G512" s="2" t="str">
        <x:v>Last actual</x:v>
      </x:c>
      <x:c r="H512" s="8" t="n">
        <x:f>AVERAGE('PG facts'!D71)</x:f>
        <x:v>6</x:v>
      </x:c>
      <x:c r="I512" s="8" t="n">
        <x:f>0</x:f>
        <x:v>0</x:v>
      </x:c>
      <x:c r="J512" s="8" t="n">
        <x:v>0</x:v>
      </x:c>
      <x:c r="K512" s="8" t="n">
        <x:f>H512-I512*J512</x:f>
        <x:v>6</x:v>
      </x:c>
      <x:c r="L512" s="8" t="n">
        <x:f>'PG facts'!D78</x:f>
        <x:v>6</x:v>
      </x:c>
      <x:c r="M512" s="8" t="n">
        <x:f>K512-L512</x:f>
        <x:v>0</x:v>
      </x:c>
      <x:c r="N512" s="8" t="n">
        <x:f>M512^2</x:f>
        <x:v>0</x:v>
      </x:c>
      <x:c r="O512" s="8" t="n">
        <x:f>ABS(M512)</x:f>
        <x:v>0</x:v>
      </x:c>
      <x:c r="P512" s="7" t="n">
        <x:v>45217</x:v>
      </x:c>
    </x:row>
    <x:row r="513" ht="26" customHeight="1">
      <x:c r="A513" s="2"/>
      <x:c r="B513" s="2" t="n">
        <x:v>508</x:v>
      </x:c>
      <x:c r="C513" s="2" t="str">
        <x:v>Health Care / price_contribution</x:v>
      </x:c>
      <x:c r="D513" s="7" t="n">
        <x:v>45199</x:v>
      </x:c>
      <x:c r="E513" s="2" t="str">
        <x:v>Pre-earnings</x:v>
      </x:c>
      <x:c r="F513" s="7" t="n">
        <x:v>45216</x:v>
      </x:c>
      <x:c r="G513" s="2" t="str">
        <x:v>Four-quarter mean</x:v>
      </x:c>
      <x:c r="H513" s="8" t="n">
        <x:f>AVERAGE('PG facts'!D50,'PG facts'!D57,'PG facts'!D64,'PG facts'!D71)</x:f>
        <x:v>5.75</x:v>
      </x:c>
      <x:c r="I513" s="8" t="n">
        <x:f>0</x:f>
        <x:v>0</x:v>
      </x:c>
      <x:c r="J513" s="8" t="n">
        <x:v>0</x:v>
      </x:c>
      <x:c r="K513" s="8" t="n">
        <x:f>H513-I513*J513</x:f>
        <x:v>5.75</x:v>
      </x:c>
      <x:c r="L513" s="8" t="n">
        <x:f>'PG facts'!D78</x:f>
        <x:v>6</x:v>
      </x:c>
      <x:c r="M513" s="8" t="n">
        <x:f>K513-L513</x:f>
        <x:v>-0.25</x:v>
      </x:c>
      <x:c r="N513" s="8" t="n">
        <x:f>M513^2</x:f>
        <x:v>0.0625</x:v>
      </x:c>
      <x:c r="O513" s="8" t="n">
        <x:f>ABS(M513)</x:f>
        <x:v>0.25</x:v>
      </x:c>
      <x:c r="P513" s="7" t="n">
        <x:v>45217</x:v>
      </x:c>
    </x:row>
    <x:row r="514" ht="26" customHeight="1">
      <x:c r="A514" s="2"/>
      <x:c r="B514" s="2" t="n">
        <x:v>509</x:v>
      </x:c>
      <x:c r="C514" s="2" t="str">
        <x:v>Health Care / price_contribution</x:v>
      </x:c>
      <x:c r="D514" s="7" t="n">
        <x:v>45199</x:v>
      </x:c>
      <x:c r="E514" s="2" t="str">
        <x:v>Pre-earnings</x:v>
      </x:c>
      <x:c r="F514" s="7" t="n">
        <x:v>45216</x:v>
      </x:c>
      <x:c r="G514" s="2" t="str">
        <x:v>Broad market</x:v>
      </x:c>
      <x:c r="H514" s="8" t="n">
        <x:f>'Model fits'!AA358</x:f>
        <x:v>5.092493955026185</x:v>
      </x:c>
      <x:c r="I514" s="8" t="n">
        <x:f>0</x:f>
        <x:v>0</x:v>
      </x:c>
      <x:c r="J514" s="8" t="n">
        <x:v>0</x:v>
      </x:c>
      <x:c r="K514" s="8" t="n">
        <x:f>H514-I514*J514</x:f>
        <x:v>5.092493955026185</x:v>
      </x:c>
      <x:c r="L514" s="8" t="n">
        <x:f>'PG facts'!D78</x:f>
        <x:v>6</x:v>
      </x:c>
      <x:c r="M514" s="8" t="n">
        <x:f>K514-L514</x:f>
        <x:v>-0.9075060449738146</x:v>
      </x:c>
      <x:c r="N514" s="8" t="n">
        <x:f>M514^2</x:f>
        <x:v>0.8235672216640152</x:v>
      </x:c>
      <x:c r="O514" s="8" t="n">
        <x:f>ABS(M514)</x:f>
        <x:v>0.9075060449738146</x:v>
      </x:c>
      <x:c r="P514" s="7" t="n">
        <x:v>45217</x:v>
      </x:c>
    </x:row>
    <x:row r="515" ht="26" customHeight="1">
      <x:c r="A515" s="2"/>
      <x:c r="B515" s="2" t="n">
        <x:v>510</x:v>
      </x:c>
      <x:c r="C515" s="2" t="str">
        <x:v>Health Care / price_contribution</x:v>
      </x:c>
      <x:c r="D515" s="7" t="n">
        <x:v>45199</x:v>
      </x:c>
      <x:c r="E515" s="2" t="str">
        <x:v>Pre-earnings</x:v>
      </x:c>
      <x:c r="F515" s="7" t="n">
        <x:v>45216</x:v>
      </x:c>
      <x:c r="G515" s="2" t="str">
        <x:v>Broad lag 1</x:v>
      </x:c>
      <x:c r="H515" s="8" t="n">
        <x:f>'Model fits'!AA359</x:f>
        <x:v>6.381440725620456</x:v>
      </x:c>
      <x:c r="I515" s="8" t="n">
        <x:f>0</x:f>
        <x:v>0</x:v>
      </x:c>
      <x:c r="J515" s="8" t="n">
        <x:v>0</x:v>
      </x:c>
      <x:c r="K515" s="8" t="n">
        <x:f>H515-I515*J515</x:f>
        <x:v>6.381440725620456</x:v>
      </x:c>
      <x:c r="L515" s="8" t="n">
        <x:f>'PG facts'!D78</x:f>
        <x:v>6</x:v>
      </x:c>
      <x:c r="M515" s="8" t="n">
        <x:f>K515-L515</x:f>
        <x:v>0.3814407256204557</x:v>
      </x:c>
      <x:c r="N515" s="8" t="n">
        <x:f>M515^2</x:f>
        <x:v>0.14549702716185978</x:v>
      </x:c>
      <x:c r="O515" s="8" t="n">
        <x:f>ABS(M515)</x:f>
        <x:v>0.3814407256204557</x:v>
      </x:c>
      <x:c r="P515" s="7" t="n">
        <x:v>45217</x:v>
      </x:c>
    </x:row>
    <x:row r="516" ht="26" customHeight="1">
      <x:c r="A516" s="2"/>
      <x:c r="B516" s="2" t="n">
        <x:v>511</x:v>
      </x:c>
      <x:c r="C516" s="2" t="str">
        <x:v>Health Care / price_contribution</x:v>
      </x:c>
      <x:c r="D516" s="7" t="n">
        <x:v>45199</x:v>
      </x:c>
      <x:c r="E516" s="2" t="str">
        <x:v>Pre-earnings</x:v>
      </x:c>
      <x:c r="F516" s="7" t="n">
        <x:v>45216</x:v>
      </x:c>
      <x:c r="G516" s="2" t="str">
        <x:v>Broad rolling 8</x:v>
      </x:c>
      <x:c r="H516" s="8" t="n">
        <x:f>'Model fits'!AA360</x:f>
        <x:v>5.136243863715508</x:v>
      </x:c>
      <x:c r="I516" s="8" t="n">
        <x:f>0</x:f>
        <x:v>0</x:v>
      </x:c>
      <x:c r="J516" s="8" t="n">
        <x:v>0</x:v>
      </x:c>
      <x:c r="K516" s="8" t="n">
        <x:f>H516-I516*J516</x:f>
        <x:v>5.136243863715508</x:v>
      </x:c>
      <x:c r="L516" s="8" t="n">
        <x:f>'PG facts'!D78</x:f>
        <x:v>6</x:v>
      </x:c>
      <x:c r="M516" s="8" t="n">
        <x:f>K516-L516</x:f>
        <x:v>-0.8637561362844917</x:v>
      </x:c>
      <x:c r="N516" s="8" t="n">
        <x:f>M516^2</x:f>
        <x:v>0.7460746629691133</x:v>
      </x:c>
      <x:c r="O516" s="8" t="n">
        <x:f>ABS(M516)</x:f>
        <x:v>0.8637561362844917</x:v>
      </x:c>
      <x:c r="P516" s="7" t="n">
        <x:v>45217</x:v>
      </x:c>
    </x:row>
    <x:row r="517" ht="26" customHeight="1">
      <x:c r="A517" s="2"/>
      <x:c r="B517" s="2" t="n">
        <x:v>512</x:v>
      </x:c>
      <x:c r="C517" s="2" t="str">
        <x:v>Health Care / price_contribution</x:v>
      </x:c>
      <x:c r="D517" s="7" t="n">
        <x:v>45199</x:v>
      </x:c>
      <x:c r="E517" s="2" t="str">
        <x:v>Pre-earnings</x:v>
      </x:c>
      <x:c r="F517" s="7" t="n">
        <x:v>45216</x:v>
      </x:c>
      <x:c r="G517" s="2" t="str">
        <x:v>Own history</x:v>
      </x:c>
      <x:c r="H517" s="8" t="n">
        <x:f>'Model fits'!AA361</x:f>
        <x:v>6.255924170616114</x:v>
      </x:c>
      <x:c r="I517" s="8" t="n">
        <x:f>0</x:f>
        <x:v>0</x:v>
      </x:c>
      <x:c r="J517" s="8" t="n">
        <x:v>0</x:v>
      </x:c>
      <x:c r="K517" s="8" t="n">
        <x:f>H517-I517*J517</x:f>
        <x:v>6.255924170616114</x:v>
      </x:c>
      <x:c r="L517" s="8" t="n">
        <x:f>'PG facts'!D78</x:f>
        <x:v>6</x:v>
      </x:c>
      <x:c r="M517" s="8" t="n">
        <x:f>K517-L517</x:f>
        <x:v>0.2559241706161144</x:v>
      </x:c>
      <x:c r="N517" s="8" t="n">
        <x:f>M517^2</x:f>
        <x:v>0.06549718110554603</x:v>
      </x:c>
      <x:c r="O517" s="8" t="n">
        <x:f>ABS(M517)</x:f>
        <x:v>0.2559241706161144</x:v>
      </x:c>
      <x:c r="P517" s="7" t="n">
        <x:v>45217</x:v>
      </x:c>
    </x:row>
    <x:row r="518" ht="26" customHeight="1">
      <x:c r="A518" s="2"/>
      <x:c r="B518" s="2" t="n">
        <x:v>513</x:v>
      </x:c>
      <x:c r="C518" s="2" t="str">
        <x:v>Health Care / price_contribution</x:v>
      </x:c>
      <x:c r="D518" s="7" t="n">
        <x:v>45291</x:v>
      </x:c>
      <x:c r="E518" s="2" t="str">
        <x:v>Origin</x:v>
      </x:c>
      <x:c r="F518" s="7" t="n">
        <x:v>45200</x:v>
      </x:c>
      <x:c r="G518" s="2" t="str">
        <x:v>Last actual</x:v>
      </x:c>
      <x:c r="H518" s="8" t="n">
        <x:f>AVERAGE('PG facts'!D71)</x:f>
        <x:v>6</x:v>
      </x:c>
      <x:c r="I518" s="8" t="n">
        <x:f>0</x:f>
        <x:v>0</x:v>
      </x:c>
      <x:c r="J518" s="8" t="n">
        <x:v>0</x:v>
      </x:c>
      <x:c r="K518" s="8" t="n">
        <x:f>H518-I518*J518</x:f>
        <x:v>6</x:v>
      </x:c>
      <x:c r="L518" s="8" t="n">
        <x:f>'PG facts'!D85</x:f>
        <x:v>5</x:v>
      </x:c>
      <x:c r="M518" s="8" t="n">
        <x:f>K518-L518</x:f>
        <x:v>1</x:v>
      </x:c>
      <x:c r="N518" s="8" t="n">
        <x:f>M518^2</x:f>
        <x:v>1</x:v>
      </x:c>
      <x:c r="O518" s="8" t="n">
        <x:f>ABS(M518)</x:f>
        <x:v>1</x:v>
      </x:c>
      <x:c r="P518" s="7" t="n">
        <x:v>45314</x:v>
      </x:c>
    </x:row>
    <x:row r="519" ht="26" customHeight="1">
      <x:c r="A519" s="2"/>
      <x:c r="B519" s="2" t="n">
        <x:v>514</x:v>
      </x:c>
      <x:c r="C519" s="2" t="str">
        <x:v>Health Care / price_contribution</x:v>
      </x:c>
      <x:c r="D519" s="7" t="n">
        <x:v>45291</x:v>
      </x:c>
      <x:c r="E519" s="2" t="str">
        <x:v>Origin</x:v>
      </x:c>
      <x:c r="F519" s="7" t="n">
        <x:v>45200</x:v>
      </x:c>
      <x:c r="G519" s="2" t="str">
        <x:v>Four-quarter mean</x:v>
      </x:c>
      <x:c r="H519" s="8" t="n">
        <x:f>AVERAGE('PG facts'!D50,'PG facts'!D57,'PG facts'!D64,'PG facts'!D71)</x:f>
        <x:v>5.75</x:v>
      </x:c>
      <x:c r="I519" s="8" t="n">
        <x:f>0</x:f>
        <x:v>0</x:v>
      </x:c>
      <x:c r="J519" s="8" t="n">
        <x:v>0</x:v>
      </x:c>
      <x:c r="K519" s="8" t="n">
        <x:f>H519-I519*J519</x:f>
        <x:v>5.75</x:v>
      </x:c>
      <x:c r="L519" s="8" t="n">
        <x:f>'PG facts'!D85</x:f>
        <x:v>5</x:v>
      </x:c>
      <x:c r="M519" s="8" t="n">
        <x:f>K519-L519</x:f>
        <x:v>0.75</x:v>
      </x:c>
      <x:c r="N519" s="8" t="n">
        <x:f>M519^2</x:f>
        <x:v>0.5625</x:v>
      </x:c>
      <x:c r="O519" s="8" t="n">
        <x:f>ABS(M519)</x:f>
        <x:v>0.75</x:v>
      </x:c>
      <x:c r="P519" s="7" t="n">
        <x:v>45314</x:v>
      </x:c>
    </x:row>
    <x:row r="520" ht="26" customHeight="1">
      <x:c r="A520" s="2"/>
      <x:c r="B520" s="2" t="n">
        <x:v>515</x:v>
      </x:c>
      <x:c r="C520" s="2" t="str">
        <x:v>Health Care / price_contribution</x:v>
      </x:c>
      <x:c r="D520" s="7" t="n">
        <x:v>45291</x:v>
      </x:c>
      <x:c r="E520" s="2" t="str">
        <x:v>Origin</x:v>
      </x:c>
      <x:c r="F520" s="7" t="n">
        <x:v>45200</x:v>
      </x:c>
      <x:c r="G520" s="2" t="str">
        <x:v>Broad market</x:v>
      </x:c>
      <x:c r="H520" s="8" t="n">
        <x:f>'Model fits'!AA362</x:f>
        <x:v>5.514375893376799</x:v>
      </x:c>
      <x:c r="I520" s="8" t="n">
        <x:f>0</x:f>
        <x:v>0</x:v>
      </x:c>
      <x:c r="J520" s="8" t="n">
        <x:v>0</x:v>
      </x:c>
      <x:c r="K520" s="8" t="n">
        <x:f>H520-I520*J520</x:f>
        <x:v>5.514375893376799</x:v>
      </x:c>
      <x:c r="L520" s="8" t="n">
        <x:f>'PG facts'!D85</x:f>
        <x:v>5</x:v>
      </x:c>
      <x:c r="M520" s="8" t="n">
        <x:f>K520-L520</x:f>
        <x:v>0.5143758933767986</x:v>
      </x:c>
      <x:c r="N520" s="8" t="n">
        <x:f>M520^2</x:f>
        <x:v>0.26458255968717964</x:v>
      </x:c>
      <x:c r="O520" s="8" t="n">
        <x:f>ABS(M520)</x:f>
        <x:v>0.5143758933767986</x:v>
      </x:c>
      <x:c r="P520" s="7" t="n">
        <x:v>45314</x:v>
      </x:c>
    </x:row>
    <x:row r="521" ht="26" customHeight="1">
      <x:c r="A521" s="2"/>
      <x:c r="B521" s="2" t="n">
        <x:v>516</x:v>
      </x:c>
      <x:c r="C521" s="2" t="str">
        <x:v>Health Care / price_contribution</x:v>
      </x:c>
      <x:c r="D521" s="7" t="n">
        <x:v>45291</x:v>
      </x:c>
      <x:c r="E521" s="2" t="str">
        <x:v>Origin</x:v>
      </x:c>
      <x:c r="F521" s="7" t="n">
        <x:v>45200</x:v>
      </x:c>
      <x:c r="G521" s="2" t="str">
        <x:v>Broad rolling 8</x:v>
      </x:c>
      <x:c r="H521" s="8" t="n">
        <x:f>'Model fits'!AA363</x:f>
        <x:v>5.512309597320521</x:v>
      </x:c>
      <x:c r="I521" s="8" t="n">
        <x:f>0</x:f>
        <x:v>0</x:v>
      </x:c>
      <x:c r="J521" s="8" t="n">
        <x:v>0</x:v>
      </x:c>
      <x:c r="K521" s="8" t="n">
        <x:f>H521-I521*J521</x:f>
        <x:v>5.512309597320521</x:v>
      </x:c>
      <x:c r="L521" s="8" t="n">
        <x:f>'PG facts'!D85</x:f>
        <x:v>5</x:v>
      </x:c>
      <x:c r="M521" s="8" t="n">
        <x:f>K521-L521</x:f>
        <x:v>0.5123095973205212</x:v>
      </x:c>
      <x:c r="N521" s="8" t="n">
        <x:f>M521^2</x:f>
        <x:v>0.2624611235067146</x:v>
      </x:c>
      <x:c r="O521" s="8" t="n">
        <x:f>ABS(M521)</x:f>
        <x:v>0.5123095973205212</x:v>
      </x:c>
      <x:c r="P521" s="7" t="n">
        <x:v>45314</x:v>
      </x:c>
    </x:row>
    <x:row r="522" ht="26" customHeight="1">
      <x:c r="A522" s="2"/>
      <x:c r="B522" s="2" t="n">
        <x:v>517</x:v>
      </x:c>
      <x:c r="C522" s="2" t="str">
        <x:v>Health Care / price_contribution</x:v>
      </x:c>
      <x:c r="D522" s="7" t="n">
        <x:v>45291</x:v>
      </x:c>
      <x:c r="E522" s="2" t="str">
        <x:v>Origin</x:v>
      </x:c>
      <x:c r="F522" s="7" t="n">
        <x:v>45200</x:v>
      </x:c>
      <x:c r="G522" s="2" t="str">
        <x:v>Own history</x:v>
      </x:c>
      <x:c r="H522" s="8" t="n">
        <x:f>'Model fits'!AA364</x:f>
        <x:v>6.486666666666667</x:v>
      </x:c>
      <x:c r="I522" s="8" t="n">
        <x:f>0</x:f>
        <x:v>0</x:v>
      </x:c>
      <x:c r="J522" s="8" t="n">
        <x:v>0</x:v>
      </x:c>
      <x:c r="K522" s="8" t="n">
        <x:f>H522-I522*J522</x:f>
        <x:v>6.486666666666667</x:v>
      </x:c>
      <x:c r="L522" s="8" t="n">
        <x:f>'PG facts'!D85</x:f>
        <x:v>5</x:v>
      </x:c>
      <x:c r="M522" s="8" t="n">
        <x:f>K522-L522</x:f>
        <x:v>1.4866666666666672</x:v>
      </x:c>
      <x:c r="N522" s="8" t="n">
        <x:f>M522^2</x:f>
        <x:v>2.2101777777777794</x:v>
      </x:c>
      <x:c r="O522" s="8" t="n">
        <x:f>ABS(M522)</x:f>
        <x:v>1.4866666666666672</x:v>
      </x:c>
      <x:c r="P522" s="7" t="n">
        <x:v>45314</x:v>
      </x:c>
    </x:row>
    <x:row r="523" ht="26" customHeight="1">
      <x:c r="A523" s="2"/>
      <x:c r="B523" s="2" t="n">
        <x:v>518</x:v>
      </x:c>
      <x:c r="C523" s="2" t="str">
        <x:v>Health Care / price_contribution</x:v>
      </x:c>
      <x:c r="D523" s="7" t="n">
        <x:v>45291</x:v>
      </x:c>
      <x:c r="E523" s="2" t="str">
        <x:v>Prior report</x:v>
      </x:c>
      <x:c r="F523" s="7" t="n">
        <x:v>45217</x:v>
      </x:c>
      <x:c r="G523" s="2" t="str">
        <x:v>Last actual</x:v>
      </x:c>
      <x:c r="H523" s="8" t="n">
        <x:f>AVERAGE('PG facts'!D78)</x:f>
        <x:v>6</x:v>
      </x:c>
      <x:c r="I523" s="8" t="n">
        <x:f>0</x:f>
        <x:v>0</x:v>
      </x:c>
      <x:c r="J523" s="8" t="n">
        <x:v>0</x:v>
      </x:c>
      <x:c r="K523" s="8" t="n">
        <x:f>H523-I523*J523</x:f>
        <x:v>6</x:v>
      </x:c>
      <x:c r="L523" s="8" t="n">
        <x:f>'PG facts'!D85</x:f>
        <x:v>5</x:v>
      </x:c>
      <x:c r="M523" s="8" t="n">
        <x:f>K523-L523</x:f>
        <x:v>1</x:v>
      </x:c>
      <x:c r="N523" s="8" t="n">
        <x:f>M523^2</x:f>
        <x:v>1</x:v>
      </x:c>
      <x:c r="O523" s="8" t="n">
        <x:f>ABS(M523)</x:f>
        <x:v>1</x:v>
      </x:c>
      <x:c r="P523" s="7" t="n">
        <x:v>45314</x:v>
      </x:c>
    </x:row>
    <x:row r="524" ht="26" customHeight="1">
      <x:c r="A524" s="2"/>
      <x:c r="B524" s="2" t="n">
        <x:v>519</x:v>
      </x:c>
      <x:c r="C524" s="2" t="str">
        <x:v>Health Care / price_contribution</x:v>
      </x:c>
      <x:c r="D524" s="7" t="n">
        <x:v>45291</x:v>
      </x:c>
      <x:c r="E524" s="2" t="str">
        <x:v>Prior report</x:v>
      </x:c>
      <x:c r="F524" s="7" t="n">
        <x:v>45217</x:v>
      </x:c>
      <x:c r="G524" s="2" t="str">
        <x:v>Four-quarter mean</x:v>
      </x:c>
      <x:c r="H524" s="8" t="n">
        <x:f>AVERAGE('PG facts'!D57,'PG facts'!D64,'PG facts'!D71,'PG facts'!D78)</x:f>
        <x:v>5.75</x:v>
      </x:c>
      <x:c r="I524" s="8" t="n">
        <x:f>0</x:f>
        <x:v>0</x:v>
      </x:c>
      <x:c r="J524" s="8" t="n">
        <x:v>0</x:v>
      </x:c>
      <x:c r="K524" s="8" t="n">
        <x:f>H524-I524*J524</x:f>
        <x:v>5.75</x:v>
      </x:c>
      <x:c r="L524" s="8" t="n">
        <x:f>'PG facts'!D85</x:f>
        <x:v>5</x:v>
      </x:c>
      <x:c r="M524" s="8" t="n">
        <x:f>K524-L524</x:f>
        <x:v>0.75</x:v>
      </x:c>
      <x:c r="N524" s="8" t="n">
        <x:f>M524^2</x:f>
        <x:v>0.5625</x:v>
      </x:c>
      <x:c r="O524" s="8" t="n">
        <x:f>ABS(M524)</x:f>
        <x:v>0.75</x:v>
      </x:c>
      <x:c r="P524" s="7" t="n">
        <x:v>45314</x:v>
      </x:c>
    </x:row>
    <x:row r="525" ht="26" customHeight="1">
      <x:c r="A525" s="2"/>
      <x:c r="B525" s="2" t="n">
        <x:v>520</x:v>
      </x:c>
      <x:c r="C525" s="2" t="str">
        <x:v>Health Care / price_contribution</x:v>
      </x:c>
      <x:c r="D525" s="7" t="n">
        <x:v>45291</x:v>
      </x:c>
      <x:c r="E525" s="2" t="str">
        <x:v>Prior report</x:v>
      </x:c>
      <x:c r="F525" s="7" t="n">
        <x:v>45217</x:v>
      </x:c>
      <x:c r="G525" s="2" t="str">
        <x:v>Broad market</x:v>
      </x:c>
      <x:c r="H525" s="8" t="n">
        <x:f>'Model fits'!AA365</x:f>
        <x:v>5.221453716185187</x:v>
      </x:c>
      <x:c r="I525" s="8" t="n">
        <x:f>0</x:f>
        <x:v>0</x:v>
      </x:c>
      <x:c r="J525" s="8" t="n">
        <x:v>0</x:v>
      </x:c>
      <x:c r="K525" s="8" t="n">
        <x:f>H525-I525*J525</x:f>
        <x:v>5.221453716185187</x:v>
      </x:c>
      <x:c r="L525" s="8" t="n">
        <x:f>'PG facts'!D85</x:f>
        <x:v>5</x:v>
      </x:c>
      <x:c r="M525" s="8" t="n">
        <x:f>K525-L525</x:f>
        <x:v>0.22145371618518706</x:v>
      </x:c>
      <x:c r="N525" s="8" t="n">
        <x:f>M525^2</x:f>
        <x:v>0.04904174841222938</x:v>
      </x:c>
      <x:c r="O525" s="8" t="n">
        <x:f>ABS(M525)</x:f>
        <x:v>0.22145371618518706</x:v>
      </x:c>
      <x:c r="P525" s="7" t="n">
        <x:v>45314</x:v>
      </x:c>
    </x:row>
    <x:row r="526" ht="26" customHeight="1">
      <x:c r="A526" s="2"/>
      <x:c r="B526" s="2" t="n">
        <x:v>521</x:v>
      </x:c>
      <x:c r="C526" s="2" t="str">
        <x:v>Health Care / price_contribution</x:v>
      </x:c>
      <x:c r="D526" s="7" t="n">
        <x:v>45291</x:v>
      </x:c>
      <x:c r="E526" s="2" t="str">
        <x:v>Prior report</x:v>
      </x:c>
      <x:c r="F526" s="7" t="n">
        <x:v>45217</x:v>
      </x:c>
      <x:c r="G526" s="2" t="str">
        <x:v>Broad lag 1</x:v>
      </x:c>
      <x:c r="H526" s="8" t="n">
        <x:f>'Model fits'!AA366</x:f>
        <x:v>5.402167935527686</x:v>
      </x:c>
      <x:c r="I526" s="8" t="n">
        <x:f>0</x:f>
        <x:v>0</x:v>
      </x:c>
      <x:c r="J526" s="8" t="n">
        <x:v>0</x:v>
      </x:c>
      <x:c r="K526" s="8" t="n">
        <x:f>H526-I526*J526</x:f>
        <x:v>5.402167935527686</x:v>
      </x:c>
      <x:c r="L526" s="8" t="n">
        <x:f>'PG facts'!D85</x:f>
        <x:v>5</x:v>
      </x:c>
      <x:c r="M526" s="8" t="n">
        <x:f>K526-L526</x:f>
        <x:v>0.4021679355276859</x:v>
      </x:c>
      <x:c r="N526" s="8" t="n">
        <x:f>M526^2</x:f>
        <x:v>0.16173904836660094</x:v>
      </x:c>
      <x:c r="O526" s="8" t="n">
        <x:f>ABS(M526)</x:f>
        <x:v>0.4021679355276859</x:v>
      </x:c>
      <x:c r="P526" s="7" t="n">
        <x:v>45314</x:v>
      </x:c>
    </x:row>
    <x:row r="527" ht="26" customHeight="1">
      <x:c r="A527" s="2"/>
      <x:c r="B527" s="2" t="n">
        <x:v>522</x:v>
      </x:c>
      <x:c r="C527" s="2" t="str">
        <x:v>Health Care / price_contribution</x:v>
      </x:c>
      <x:c r="D527" s="7" t="n">
        <x:v>45291</x:v>
      </x:c>
      <x:c r="E527" s="2" t="str">
        <x:v>Prior report</x:v>
      </x:c>
      <x:c r="F527" s="7" t="n">
        <x:v>45217</x:v>
      </x:c>
      <x:c r="G527" s="2" t="str">
        <x:v>Broad rolling 8</x:v>
      </x:c>
      <x:c r="H527" s="8" t="n">
        <x:f>'Model fits'!AA367</x:f>
        <x:v>5.28720581391123</x:v>
      </x:c>
      <x:c r="I527" s="8" t="n">
        <x:f>0</x:f>
        <x:v>0</x:v>
      </x:c>
      <x:c r="J527" s="8" t="n">
        <x:v>0</x:v>
      </x:c>
      <x:c r="K527" s="8" t="n">
        <x:f>H527-I527*J527</x:f>
        <x:v>5.28720581391123</x:v>
      </x:c>
      <x:c r="L527" s="8" t="n">
        <x:f>'PG facts'!D85</x:f>
        <x:v>5</x:v>
      </x:c>
      <x:c r="M527" s="8" t="n">
        <x:f>K527-L527</x:f>
        <x:v>0.2872058139112301</x:v>
      </x:c>
      <x:c r="N527" s="8" t="n">
        <x:f>M527^2</x:f>
        <x:v>0.08248717954441215</x:v>
      </x:c>
      <x:c r="O527" s="8" t="n">
        <x:f>ABS(M527)</x:f>
        <x:v>0.2872058139112301</x:v>
      </x:c>
      <x:c r="P527" s="7" t="n">
        <x:v>45314</x:v>
      </x:c>
    </x:row>
    <x:row r="528" ht="26" customHeight="1">
      <x:c r="A528" s="2"/>
      <x:c r="B528" s="2" t="n">
        <x:v>523</x:v>
      </x:c>
      <x:c r="C528" s="2" t="str">
        <x:v>Health Care / price_contribution</x:v>
      </x:c>
      <x:c r="D528" s="7" t="n">
        <x:v>45291</x:v>
      </x:c>
      <x:c r="E528" s="2" t="str">
        <x:v>Prior report</x:v>
      </x:c>
      <x:c r="F528" s="7" t="n">
        <x:v>45217</x:v>
      </x:c>
      <x:c r="G528" s="2" t="str">
        <x:v>Own history</x:v>
      </x:c>
      <x:c r="H528" s="8" t="n">
        <x:f>'Model fits'!AA368</x:f>
        <x:v>6.198529411764705</x:v>
      </x:c>
      <x:c r="I528" s="8" t="n">
        <x:f>0</x:f>
        <x:v>0</x:v>
      </x:c>
      <x:c r="J528" s="8" t="n">
        <x:v>0</x:v>
      </x:c>
      <x:c r="K528" s="8" t="n">
        <x:f>H528-I528*J528</x:f>
        <x:v>6.198529411764705</x:v>
      </x:c>
      <x:c r="L528" s="8" t="n">
        <x:f>'PG facts'!D85</x:f>
        <x:v>5</x:v>
      </x:c>
      <x:c r="M528" s="8" t="n">
        <x:f>K528-L528</x:f>
        <x:v>1.1985294117647047</x:v>
      </x:c>
      <x:c r="N528" s="8" t="n">
        <x:f>M528^2</x:f>
        <x:v>1.4364727508650492</x:v>
      </x:c>
      <x:c r="O528" s="8" t="n">
        <x:f>ABS(M528)</x:f>
        <x:v>1.1985294117647047</x:v>
      </x:c>
      <x:c r="P528" s="7" t="n">
        <x:v>45314</x:v>
      </x:c>
    </x:row>
    <x:row r="529" ht="26" customHeight="1">
      <x:c r="A529" s="2"/>
      <x:c r="B529" s="2" t="n">
        <x:v>524</x:v>
      </x:c>
      <x:c r="C529" s="2" t="str">
        <x:v>Health Care / price_contribution</x:v>
      </x:c>
      <x:c r="D529" s="7" t="n">
        <x:v>45291</x:v>
      </x:c>
      <x:c r="E529" s="2" t="str">
        <x:v>Pre-earnings</x:v>
      </x:c>
      <x:c r="F529" s="7" t="n">
        <x:v>45313</x:v>
      </x:c>
      <x:c r="G529" s="2" t="str">
        <x:v>Last actual</x:v>
      </x:c>
      <x:c r="H529" s="8" t="n">
        <x:f>AVERAGE('PG facts'!D78)</x:f>
        <x:v>6</x:v>
      </x:c>
      <x:c r="I529" s="8" t="n">
        <x:f>0</x:f>
        <x:v>0</x:v>
      </x:c>
      <x:c r="J529" s="8" t="n">
        <x:v>0</x:v>
      </x:c>
      <x:c r="K529" s="8" t="n">
        <x:f>H529-I529*J529</x:f>
        <x:v>6</x:v>
      </x:c>
      <x:c r="L529" s="8" t="n">
        <x:f>'PG facts'!D85</x:f>
        <x:v>5</x:v>
      </x:c>
      <x:c r="M529" s="8" t="n">
        <x:f>K529-L529</x:f>
        <x:v>1</x:v>
      </x:c>
      <x:c r="N529" s="8" t="n">
        <x:f>M529^2</x:f>
        <x:v>1</x:v>
      </x:c>
      <x:c r="O529" s="8" t="n">
        <x:f>ABS(M529)</x:f>
        <x:v>1</x:v>
      </x:c>
      <x:c r="P529" s="7" t="n">
        <x:v>45314</x:v>
      </x:c>
    </x:row>
    <x:row r="530" ht="26" customHeight="1">
      <x:c r="A530" s="2"/>
      <x:c r="B530" s="2" t="n">
        <x:v>525</x:v>
      </x:c>
      <x:c r="C530" s="2" t="str">
        <x:v>Health Care / price_contribution</x:v>
      </x:c>
      <x:c r="D530" s="7" t="n">
        <x:v>45291</x:v>
      </x:c>
      <x:c r="E530" s="2" t="str">
        <x:v>Pre-earnings</x:v>
      </x:c>
      <x:c r="F530" s="7" t="n">
        <x:v>45313</x:v>
      </x:c>
      <x:c r="G530" s="2" t="str">
        <x:v>Four-quarter mean</x:v>
      </x:c>
      <x:c r="H530" s="8" t="n">
        <x:f>AVERAGE('PG facts'!D57,'PG facts'!D64,'PG facts'!D71,'PG facts'!D78)</x:f>
        <x:v>5.75</x:v>
      </x:c>
      <x:c r="I530" s="8" t="n">
        <x:f>0</x:f>
        <x:v>0</x:v>
      </x:c>
      <x:c r="J530" s="8" t="n">
        <x:v>0</x:v>
      </x:c>
      <x:c r="K530" s="8" t="n">
        <x:f>H530-I530*J530</x:f>
        <x:v>5.75</x:v>
      </x:c>
      <x:c r="L530" s="8" t="n">
        <x:f>'PG facts'!D85</x:f>
        <x:v>5</x:v>
      </x:c>
      <x:c r="M530" s="8" t="n">
        <x:f>K530-L530</x:f>
        <x:v>0.75</x:v>
      </x:c>
      <x:c r="N530" s="8" t="n">
        <x:f>M530^2</x:f>
        <x:v>0.5625</x:v>
      </x:c>
      <x:c r="O530" s="8" t="n">
        <x:f>ABS(M530)</x:f>
        <x:v>0.75</x:v>
      </x:c>
      <x:c r="P530" s="7" t="n">
        <x:v>45314</x:v>
      </x:c>
    </x:row>
    <x:row r="531" ht="26" customHeight="1">
      <x:c r="A531" s="2"/>
      <x:c r="B531" s="2" t="n">
        <x:v>526</x:v>
      </x:c>
      <x:c r="C531" s="2" t="str">
        <x:v>Health Care / price_contribution</x:v>
      </x:c>
      <x:c r="D531" s="7" t="n">
        <x:v>45291</x:v>
      </x:c>
      <x:c r="E531" s="2" t="str">
        <x:v>Pre-earnings</x:v>
      </x:c>
      <x:c r="F531" s="7" t="n">
        <x:v>45313</x:v>
      </x:c>
      <x:c r="G531" s="2" t="str">
        <x:v>Broad market</x:v>
      </x:c>
      <x:c r="H531" s="8" t="n">
        <x:f>'Model fits'!AA369</x:f>
        <x:v>4.3240786124414425</x:v>
      </x:c>
      <x:c r="I531" s="8" t="n">
        <x:f>0</x:f>
        <x:v>0</x:v>
      </x:c>
      <x:c r="J531" s="8" t="n">
        <x:v>0</x:v>
      </x:c>
      <x:c r="K531" s="8" t="n">
        <x:f>H531-I531*J531</x:f>
        <x:v>4.3240786124414425</x:v>
      </x:c>
      <x:c r="L531" s="8" t="n">
        <x:f>'PG facts'!D85</x:f>
        <x:v>5</x:v>
      </x:c>
      <x:c r="M531" s="8" t="n">
        <x:f>K531-L531</x:f>
        <x:v>-0.6759213875585575</x:v>
      </x:c>
      <x:c r="N531" s="8" t="n">
        <x:f>M531^2</x:f>
        <x:v>0.4568697221590856</x:v>
      </x:c>
      <x:c r="O531" s="8" t="n">
        <x:f>ABS(M531)</x:f>
        <x:v>0.6759213875585575</x:v>
      </x:c>
      <x:c r="P531" s="7" t="n">
        <x:v>45314</x:v>
      </x:c>
    </x:row>
    <x:row r="532" ht="26" customHeight="1">
      <x:c r="A532" s="2"/>
      <x:c r="B532" s="2" t="n">
        <x:v>527</x:v>
      </x:c>
      <x:c r="C532" s="2" t="str">
        <x:v>Health Care / price_contribution</x:v>
      </x:c>
      <x:c r="D532" s="7" t="n">
        <x:v>45291</x:v>
      </x:c>
      <x:c r="E532" s="2" t="str">
        <x:v>Pre-earnings</x:v>
      </x:c>
      <x:c r="F532" s="7" t="n">
        <x:v>45313</x:v>
      </x:c>
      <x:c r="G532" s="2" t="str">
        <x:v>Broad lag 1</x:v>
      </x:c>
      <x:c r="H532" s="8" t="n">
        <x:f>'Model fits'!AA370</x:f>
        <x:v>5.402167935527686</x:v>
      </x:c>
      <x:c r="I532" s="8" t="n">
        <x:f>0</x:f>
        <x:v>0</x:v>
      </x:c>
      <x:c r="J532" s="8" t="n">
        <x:v>0</x:v>
      </x:c>
      <x:c r="K532" s="8" t="n">
        <x:f>H532-I532*J532</x:f>
        <x:v>5.402167935527686</x:v>
      </x:c>
      <x:c r="L532" s="8" t="n">
        <x:f>'PG facts'!D85</x:f>
        <x:v>5</x:v>
      </x:c>
      <x:c r="M532" s="8" t="n">
        <x:f>K532-L532</x:f>
        <x:v>0.4021679355276859</x:v>
      </x:c>
      <x:c r="N532" s="8" t="n">
        <x:f>M532^2</x:f>
        <x:v>0.16173904836660094</x:v>
      </x:c>
      <x:c r="O532" s="8" t="n">
        <x:f>ABS(M532)</x:f>
        <x:v>0.4021679355276859</x:v>
      </x:c>
      <x:c r="P532" s="7" t="n">
        <x:v>45314</x:v>
      </x:c>
    </x:row>
    <x:row r="533" ht="26" customHeight="1">
      <x:c r="A533" s="2"/>
      <x:c r="B533" s="2" t="n">
        <x:v>528</x:v>
      </x:c>
      <x:c r="C533" s="2" t="str">
        <x:v>Health Care / price_contribution</x:v>
      </x:c>
      <x:c r="D533" s="7" t="n">
        <x:v>45291</x:v>
      </x:c>
      <x:c r="E533" s="2" t="str">
        <x:v>Pre-earnings</x:v>
      </x:c>
      <x:c r="F533" s="7" t="n">
        <x:v>45313</x:v>
      </x:c>
      <x:c r="G533" s="2" t="str">
        <x:v>Broad rolling 8</x:v>
      </x:c>
      <x:c r="H533" s="8" t="n">
        <x:f>'Model fits'!AA371</x:f>
        <x:v>4.558462916213655</x:v>
      </x:c>
      <x:c r="I533" s="8" t="n">
        <x:f>0</x:f>
        <x:v>0</x:v>
      </x:c>
      <x:c r="J533" s="8" t="n">
        <x:v>0</x:v>
      </x:c>
      <x:c r="K533" s="8" t="n">
        <x:f>H533-I533*J533</x:f>
        <x:v>4.558462916213655</x:v>
      </x:c>
      <x:c r="L533" s="8" t="n">
        <x:f>'PG facts'!D85</x:f>
        <x:v>5</x:v>
      </x:c>
      <x:c r="M533" s="8" t="n">
        <x:f>K533-L533</x:f>
        <x:v>-0.44153708378634526</x:v>
      </x:c>
      <x:c r="N533" s="8" t="n">
        <x:f>M533^2</x:f>
        <x:v>0.19495499635855007</x:v>
      </x:c>
      <x:c r="O533" s="8" t="n">
        <x:f>ABS(M533)</x:f>
        <x:v>0.44153708378634526</x:v>
      </x:c>
      <x:c r="P533" s="7" t="n">
        <x:v>45314</x:v>
      </x:c>
    </x:row>
    <x:row r="534" ht="26" customHeight="1">
      <x:c r="A534" s="2"/>
      <x:c r="B534" s="2" t="n">
        <x:v>529</x:v>
      </x:c>
      <x:c r="C534" s="2" t="str">
        <x:v>Health Care / price_contribution</x:v>
      </x:c>
      <x:c r="D534" s="7" t="n">
        <x:v>45291</x:v>
      </x:c>
      <x:c r="E534" s="2" t="str">
        <x:v>Pre-earnings</x:v>
      </x:c>
      <x:c r="F534" s="7" t="n">
        <x:v>45313</x:v>
      </x:c>
      <x:c r="G534" s="2" t="str">
        <x:v>Own history</x:v>
      </x:c>
      <x:c r="H534" s="8" t="n">
        <x:f>'Model fits'!AA372</x:f>
        <x:v>6.198529411764705</x:v>
      </x:c>
      <x:c r="I534" s="8" t="n">
        <x:f>0</x:f>
        <x:v>0</x:v>
      </x:c>
      <x:c r="J534" s="8" t="n">
        <x:v>0</x:v>
      </x:c>
      <x:c r="K534" s="8" t="n">
        <x:f>H534-I534*J534</x:f>
        <x:v>6.198529411764705</x:v>
      </x:c>
      <x:c r="L534" s="8" t="n">
        <x:f>'PG facts'!D85</x:f>
        <x:v>5</x:v>
      </x:c>
      <x:c r="M534" s="8" t="n">
        <x:f>K534-L534</x:f>
        <x:v>1.1985294117647047</x:v>
      </x:c>
      <x:c r="N534" s="8" t="n">
        <x:f>M534^2</x:f>
        <x:v>1.4364727508650492</x:v>
      </x:c>
      <x:c r="O534" s="8" t="n">
        <x:f>ABS(M534)</x:f>
        <x:v>1.1985294117647047</x:v>
      </x:c>
      <x:c r="P534" s="7" t="n">
        <x:v>45314</x:v>
      </x:c>
    </x:row>
    <x:row r="535" ht="26" customHeight="1">
      <x:c r="A535" s="2"/>
      <x:c r="B535" s="2" t="n">
        <x:v>530</x:v>
      </x:c>
      <x:c r="C535" s="2" t="str">
        <x:v>Health Care / price_contribution</x:v>
      </x:c>
      <x:c r="D535" s="7" t="n">
        <x:v>45382</x:v>
      </x:c>
      <x:c r="E535" s="2" t="str">
        <x:v>Origin</x:v>
      </x:c>
      <x:c r="F535" s="7" t="n">
        <x:v>45292</x:v>
      </x:c>
      <x:c r="G535" s="2" t="str">
        <x:v>Last actual</x:v>
      </x:c>
      <x:c r="H535" s="8" t="n">
        <x:f>AVERAGE('PG facts'!D78)</x:f>
        <x:v>6</x:v>
      </x:c>
      <x:c r="I535" s="8" t="n">
        <x:f>0</x:f>
        <x:v>0</x:v>
      </x:c>
      <x:c r="J535" s="8" t="n">
        <x:v>0</x:v>
      </x:c>
      <x:c r="K535" s="8" t="n">
        <x:f>H535-I535*J535</x:f>
        <x:v>6</x:v>
      </x:c>
      <x:c r="L535" s="8" t="n">
        <x:f>'PG facts'!D92</x:f>
        <x:v>4</x:v>
      </x:c>
      <x:c r="M535" s="8" t="n">
        <x:f>K535-L535</x:f>
        <x:v>2</x:v>
      </x:c>
      <x:c r="N535" s="8" t="n">
        <x:f>M535^2</x:f>
        <x:v>4</x:v>
      </x:c>
      <x:c r="O535" s="8" t="n">
        <x:f>ABS(M535)</x:f>
        <x:v>2</x:v>
      </x:c>
      <x:c r="P535" s="7" t="n">
        <x:v>45401</x:v>
      </x:c>
    </x:row>
    <x:row r="536" ht="26" customHeight="1">
      <x:c r="A536" s="2"/>
      <x:c r="B536" s="2" t="n">
        <x:v>531</x:v>
      </x:c>
      <x:c r="C536" s="2" t="str">
        <x:v>Health Care / price_contribution</x:v>
      </x:c>
      <x:c r="D536" s="7" t="n">
        <x:v>45382</x:v>
      </x:c>
      <x:c r="E536" s="2" t="str">
        <x:v>Origin</x:v>
      </x:c>
      <x:c r="F536" s="7" t="n">
        <x:v>45292</x:v>
      </x:c>
      <x:c r="G536" s="2" t="str">
        <x:v>Four-quarter mean</x:v>
      </x:c>
      <x:c r="H536" s="8" t="n">
        <x:f>AVERAGE('PG facts'!D57,'PG facts'!D64,'PG facts'!D71,'PG facts'!D78)</x:f>
        <x:v>5.75</x:v>
      </x:c>
      <x:c r="I536" s="8" t="n">
        <x:f>0</x:f>
        <x:v>0</x:v>
      </x:c>
      <x:c r="J536" s="8" t="n">
        <x:v>0</x:v>
      </x:c>
      <x:c r="K536" s="8" t="n">
        <x:f>H536-I536*J536</x:f>
        <x:v>5.75</x:v>
      </x:c>
      <x:c r="L536" s="8" t="n">
        <x:f>'PG facts'!D92</x:f>
        <x:v>4</x:v>
      </x:c>
      <x:c r="M536" s="8" t="n">
        <x:f>K536-L536</x:f>
        <x:v>1.75</x:v>
      </x:c>
      <x:c r="N536" s="8" t="n">
        <x:f>M536^2</x:f>
        <x:v>3.0625</x:v>
      </x:c>
      <x:c r="O536" s="8" t="n">
        <x:f>ABS(M536)</x:f>
        <x:v>1.75</x:v>
      </x:c>
      <x:c r="P536" s="7" t="n">
        <x:v>45401</x:v>
      </x:c>
    </x:row>
    <x:row r="537" ht="26" customHeight="1">
      <x:c r="A537" s="2"/>
      <x:c r="B537" s="2" t="n">
        <x:v>532</x:v>
      </x:c>
      <x:c r="C537" s="2" t="str">
        <x:v>Health Care / price_contribution</x:v>
      </x:c>
      <x:c r="D537" s="7" t="n">
        <x:v>45382</x:v>
      </x:c>
      <x:c r="E537" s="2" t="str">
        <x:v>Origin</x:v>
      </x:c>
      <x:c r="F537" s="7" t="n">
        <x:v>45292</x:v>
      </x:c>
      <x:c r="G537" s="2" t="str">
        <x:v>Broad market</x:v>
      </x:c>
      <x:c r="H537" s="8" t="n">
        <x:f>'Model fits'!AA373</x:f>
        <x:v>4.754183234737573</x:v>
      </x:c>
      <x:c r="I537" s="8" t="n">
        <x:f>0</x:f>
        <x:v>0</x:v>
      </x:c>
      <x:c r="J537" s="8" t="n">
        <x:v>0</x:v>
      </x:c>
      <x:c r="K537" s="8" t="n">
        <x:f>H537-I537*J537</x:f>
        <x:v>4.754183234737573</x:v>
      </x:c>
      <x:c r="L537" s="8" t="n">
        <x:f>'PG facts'!D92</x:f>
        <x:v>4</x:v>
      </x:c>
      <x:c r="M537" s="8" t="n">
        <x:f>K537-L537</x:f>
        <x:v>0.7541832347375728</x:v>
      </x:c>
      <x:c r="N537" s="8" t="n">
        <x:f>M537^2</x:f>
        <x:v>0.5687923515592288</x:v>
      </x:c>
      <x:c r="O537" s="8" t="n">
        <x:f>ABS(M537)</x:f>
        <x:v>0.7541832347375728</x:v>
      </x:c>
      <x:c r="P537" s="7" t="n">
        <x:v>45401</x:v>
      </x:c>
    </x:row>
    <x:row r="538" ht="26" customHeight="1">
      <x:c r="A538" s="2"/>
      <x:c r="B538" s="2" t="n">
        <x:v>533</x:v>
      </x:c>
      <x:c r="C538" s="2" t="str">
        <x:v>Health Care / price_contribution</x:v>
      </x:c>
      <x:c r="D538" s="7" t="n">
        <x:v>45382</x:v>
      </x:c>
      <x:c r="E538" s="2" t="str">
        <x:v>Origin</x:v>
      </x:c>
      <x:c r="F538" s="7" t="n">
        <x:v>45292</x:v>
      </x:c>
      <x:c r="G538" s="2" t="str">
        <x:v>Broad rolling 8</x:v>
      </x:c>
      <x:c r="H538" s="8" t="n">
        <x:f>'Model fits'!AA374</x:f>
        <x:v>4.907743487356743</x:v>
      </x:c>
      <x:c r="I538" s="8" t="n">
        <x:f>0</x:f>
        <x:v>0</x:v>
      </x:c>
      <x:c r="J538" s="8" t="n">
        <x:v>0</x:v>
      </x:c>
      <x:c r="K538" s="8" t="n">
        <x:f>H538-I538*J538</x:f>
        <x:v>4.907743487356743</x:v>
      </x:c>
      <x:c r="L538" s="8" t="n">
        <x:f>'PG facts'!D92</x:f>
        <x:v>4</x:v>
      </x:c>
      <x:c r="M538" s="8" t="n">
        <x:f>K538-L538</x:f>
        <x:v>0.9077434873567434</x:v>
      </x:c>
      <x:c r="N538" s="8" t="n">
        <x:f>M538^2</x:f>
        <x:v>0.8239982388385821</x:v>
      </x:c>
      <x:c r="O538" s="8" t="n">
        <x:f>ABS(M538)</x:f>
        <x:v>0.9077434873567434</x:v>
      </x:c>
      <x:c r="P538" s="7" t="n">
        <x:v>45401</x:v>
      </x:c>
    </x:row>
    <x:row r="539" ht="26" customHeight="1">
      <x:c r="A539" s="2"/>
      <x:c r="B539" s="2" t="n">
        <x:v>534</x:v>
      </x:c>
      <x:c r="C539" s="2" t="str">
        <x:v>Health Care / price_contribution</x:v>
      </x:c>
      <x:c r="D539" s="7" t="n">
        <x:v>45382</x:v>
      </x:c>
      <x:c r="E539" s="2" t="str">
        <x:v>Origin</x:v>
      </x:c>
      <x:c r="F539" s="7" t="n">
        <x:v>45292</x:v>
      </x:c>
      <x:c r="G539" s="2" t="str">
        <x:v>Own history</x:v>
      </x:c>
      <x:c r="H539" s="8" t="n">
        <x:f>'Model fits'!AA375</x:f>
        <x:v>6.345971563981043</x:v>
      </x:c>
      <x:c r="I539" s="8" t="n">
        <x:f>0</x:f>
        <x:v>0</x:v>
      </x:c>
      <x:c r="J539" s="8" t="n">
        <x:v>0</x:v>
      </x:c>
      <x:c r="K539" s="8" t="n">
        <x:f>H539-I539*J539</x:f>
        <x:v>6.345971563981043</x:v>
      </x:c>
      <x:c r="L539" s="8" t="n">
        <x:f>'PG facts'!D92</x:f>
        <x:v>4</x:v>
      </x:c>
      <x:c r="M539" s="8" t="n">
        <x:f>K539-L539</x:f>
        <x:v>2.345971563981043</x:v>
      </x:c>
      <x:c r="N539" s="8" t="n">
        <x:f>M539^2</x:f>
        <x:v>5.50358257900766</x:v>
      </x:c>
      <x:c r="O539" s="8" t="n">
        <x:f>ABS(M539)</x:f>
        <x:v>2.345971563981043</x:v>
      </x:c>
      <x:c r="P539" s="7" t="n">
        <x:v>45401</x:v>
      </x:c>
    </x:row>
    <x:row r="540" ht="26" customHeight="1">
      <x:c r="A540" s="2"/>
      <x:c r="B540" s="2" t="n">
        <x:v>535</x:v>
      </x:c>
      <x:c r="C540" s="2" t="str">
        <x:v>Health Care / price_contribution</x:v>
      </x:c>
      <x:c r="D540" s="7" t="n">
        <x:v>45382</x:v>
      </x:c>
      <x:c r="E540" s="2" t="str">
        <x:v>Prior report</x:v>
      </x:c>
      <x:c r="F540" s="7" t="n">
        <x:v>45314</x:v>
      </x:c>
      <x:c r="G540" s="2" t="str">
        <x:v>Last actual</x:v>
      </x:c>
      <x:c r="H540" s="8" t="n">
        <x:f>AVERAGE('PG facts'!D85)</x:f>
        <x:v>5</x:v>
      </x:c>
      <x:c r="I540" s="8" t="n">
        <x:f>0</x:f>
        <x:v>0</x:v>
      </x:c>
      <x:c r="J540" s="8" t="n">
        <x:v>0</x:v>
      </x:c>
      <x:c r="K540" s="8" t="n">
        <x:f>H540-I540*J540</x:f>
        <x:v>5</x:v>
      </x:c>
      <x:c r="L540" s="8" t="n">
        <x:f>'PG facts'!D92</x:f>
        <x:v>4</x:v>
      </x:c>
      <x:c r="M540" s="8" t="n">
        <x:f>K540-L540</x:f>
        <x:v>1</x:v>
      </x:c>
      <x:c r="N540" s="8" t="n">
        <x:f>M540^2</x:f>
        <x:v>1</x:v>
      </x:c>
      <x:c r="O540" s="8" t="n">
        <x:f>ABS(M540)</x:f>
        <x:v>1</x:v>
      </x:c>
      <x:c r="P540" s="7" t="n">
        <x:v>45401</x:v>
      </x:c>
    </x:row>
    <x:row r="541" ht="26" customHeight="1">
      <x:c r="A541" s="2"/>
      <x:c r="B541" s="2" t="n">
        <x:v>536</x:v>
      </x:c>
      <x:c r="C541" s="2" t="str">
        <x:v>Health Care / price_contribution</x:v>
      </x:c>
      <x:c r="D541" s="7" t="n">
        <x:v>45382</x:v>
      </x:c>
      <x:c r="E541" s="2" t="str">
        <x:v>Prior report</x:v>
      </x:c>
      <x:c r="F541" s="7" t="n">
        <x:v>45314</x:v>
      </x:c>
      <x:c r="G541" s="2" t="str">
        <x:v>Four-quarter mean</x:v>
      </x:c>
      <x:c r="H541" s="8" t="n">
        <x:f>AVERAGE('PG facts'!D64,'PG facts'!D71,'PG facts'!D78,'PG facts'!D85)</x:f>
        <x:v>5.75</x:v>
      </x:c>
      <x:c r="I541" s="8" t="n">
        <x:f>0</x:f>
        <x:v>0</x:v>
      </x:c>
      <x:c r="J541" s="8" t="n">
        <x:v>0</x:v>
      </x:c>
      <x:c r="K541" s="8" t="n">
        <x:f>H541-I541*J541</x:f>
        <x:v>5.75</x:v>
      </x:c>
      <x:c r="L541" s="8" t="n">
        <x:f>'PG facts'!D92</x:f>
        <x:v>4</x:v>
      </x:c>
      <x:c r="M541" s="8" t="n">
        <x:f>K541-L541</x:f>
        <x:v>1.75</x:v>
      </x:c>
      <x:c r="N541" s="8" t="n">
        <x:f>M541^2</x:f>
        <x:v>3.0625</x:v>
      </x:c>
      <x:c r="O541" s="8" t="n">
        <x:f>ABS(M541)</x:f>
        <x:v>1.75</x:v>
      </x:c>
      <x:c r="P541" s="7" t="n">
        <x:v>45401</x:v>
      </x:c>
    </x:row>
    <x:row r="542" ht="26" customHeight="1">
      <x:c r="A542" s="2"/>
      <x:c r="B542" s="2" t="n">
        <x:v>537</x:v>
      </x:c>
      <x:c r="C542" s="2" t="str">
        <x:v>Health Care / price_contribution</x:v>
      </x:c>
      <x:c r="D542" s="7" t="n">
        <x:v>45382</x:v>
      </x:c>
      <x:c r="E542" s="2" t="str">
        <x:v>Prior report</x:v>
      </x:c>
      <x:c r="F542" s="7" t="n">
        <x:v>45314</x:v>
      </x:c>
      <x:c r="G542" s="2" t="str">
        <x:v>Broad market</x:v>
      </x:c>
      <x:c r="H542" s="8" t="n">
        <x:f>'Model fits'!AA376</x:f>
        <x:v>4.385660842213846</x:v>
      </x:c>
      <x:c r="I542" s="8" t="n">
        <x:f>0</x:f>
        <x:v>0</x:v>
      </x:c>
      <x:c r="J542" s="8" t="n">
        <x:v>0</x:v>
      </x:c>
      <x:c r="K542" s="8" t="n">
        <x:f>H542-I542*J542</x:f>
        <x:v>4.385660842213846</x:v>
      </x:c>
      <x:c r="L542" s="8" t="n">
        <x:f>'PG facts'!D92</x:f>
        <x:v>4</x:v>
      </x:c>
      <x:c r="M542" s="8" t="n">
        <x:f>K542-L542</x:f>
        <x:v>0.3856608422138459</x:v>
      </x:c>
      <x:c r="N542" s="8" t="n">
        <x:f>M542^2</x:f>
        <x:v>0.14873428521709295</x:v>
      </x:c>
      <x:c r="O542" s="8" t="n">
        <x:f>ABS(M542)</x:f>
        <x:v>0.3856608422138459</x:v>
      </x:c>
      <x:c r="P542" s="7" t="n">
        <x:v>45401</x:v>
      </x:c>
    </x:row>
    <x:row r="543" ht="26" customHeight="1">
      <x:c r="A543" s="2"/>
      <x:c r="B543" s="2" t="n">
        <x:v>538</x:v>
      </x:c>
      <x:c r="C543" s="2" t="str">
        <x:v>Health Care / price_contribution</x:v>
      </x:c>
      <x:c r="D543" s="7" t="n">
        <x:v>45382</x:v>
      </x:c>
      <x:c r="E543" s="2" t="str">
        <x:v>Prior report</x:v>
      </x:c>
      <x:c r="F543" s="7" t="n">
        <x:v>45314</x:v>
      </x:c>
      <x:c r="G543" s="2" t="str">
        <x:v>Broad lag 1</x:v>
      </x:c>
      <x:c r="H543" s="8" t="n">
        <x:f>'Model fits'!AA377</x:f>
        <x:v>4.636790123838794</x:v>
      </x:c>
      <x:c r="I543" s="8" t="n">
        <x:f>0</x:f>
        <x:v>0</x:v>
      </x:c>
      <x:c r="J543" s="8" t="n">
        <x:v>0</x:v>
      </x:c>
      <x:c r="K543" s="8" t="n">
        <x:f>H543-I543*J543</x:f>
        <x:v>4.636790123838794</x:v>
      </x:c>
      <x:c r="L543" s="8" t="n">
        <x:f>'PG facts'!D92</x:f>
        <x:v>4</x:v>
      </x:c>
      <x:c r="M543" s="8" t="n">
        <x:f>K543-L543</x:f>
        <x:v>0.6367901238387939</x:v>
      </x:c>
      <x:c r="N543" s="8" t="n">
        <x:f>M543^2</x:f>
        <x:v>0.4055016618186264</x:v>
      </x:c>
      <x:c r="O543" s="8" t="n">
        <x:f>ABS(M543)</x:f>
        <x:v>0.6367901238387939</x:v>
      </x:c>
      <x:c r="P543" s="7" t="n">
        <x:v>45401</x:v>
      </x:c>
    </x:row>
    <x:row r="544" ht="26" customHeight="1">
      <x:c r="A544" s="2"/>
      <x:c r="B544" s="2" t="n">
        <x:v>539</x:v>
      </x:c>
      <x:c r="C544" s="2" t="str">
        <x:v>Health Care / price_contribution</x:v>
      </x:c>
      <x:c r="D544" s="7" t="n">
        <x:v>45382</x:v>
      </x:c>
      <x:c r="E544" s="2" t="str">
        <x:v>Prior report</x:v>
      </x:c>
      <x:c r="F544" s="7" t="n">
        <x:v>45314</x:v>
      </x:c>
      <x:c r="G544" s="2" t="str">
        <x:v>Broad rolling 8</x:v>
      </x:c>
      <x:c r="H544" s="8" t="n">
        <x:f>'Model fits'!AA378</x:f>
        <x:v>4.923135267937822</x:v>
      </x:c>
      <x:c r="I544" s="8" t="n">
        <x:f>0</x:f>
        <x:v>0</x:v>
      </x:c>
      <x:c r="J544" s="8" t="n">
        <x:v>0</x:v>
      </x:c>
      <x:c r="K544" s="8" t="n">
        <x:f>H544-I544*J544</x:f>
        <x:v>4.923135267937822</x:v>
      </x:c>
      <x:c r="L544" s="8" t="n">
        <x:f>'PG facts'!D92</x:f>
        <x:v>4</x:v>
      </x:c>
      <x:c r="M544" s="8" t="n">
        <x:f>K544-L544</x:f>
        <x:v>0.9231352679378224</x:v>
      </x:c>
      <x:c r="N544" s="8" t="n">
        <x:f>M544^2</x:f>
        <x:v>0.8521787229106351</x:v>
      </x:c>
      <x:c r="O544" s="8" t="n">
        <x:f>ABS(M544)</x:f>
        <x:v>0.9231352679378224</x:v>
      </x:c>
      <x:c r="P544" s="7" t="n">
        <x:v>45401</x:v>
      </x:c>
    </x:row>
    <x:row r="545" ht="26" customHeight="1">
      <x:c r="A545" s="2"/>
      <x:c r="B545" s="2" t="n">
        <x:v>540</x:v>
      </x:c>
      <x:c r="C545" s="2" t="str">
        <x:v>Health Care / price_contribution</x:v>
      </x:c>
      <x:c r="D545" s="7" t="n">
        <x:v>45382</x:v>
      </x:c>
      <x:c r="E545" s="2" t="str">
        <x:v>Prior report</x:v>
      </x:c>
      <x:c r="F545" s="7" t="n">
        <x:v>45314</x:v>
      </x:c>
      <x:c r="G545" s="2" t="str">
        <x:v>Own history</x:v>
      </x:c>
      <x:c r="H545" s="8" t="n">
        <x:f>'Model fits'!AA379</x:f>
        <x:v>5.18018018018018</x:v>
      </x:c>
      <x:c r="I545" s="8" t="n">
        <x:f>0</x:f>
        <x:v>0</x:v>
      </x:c>
      <x:c r="J545" s="8" t="n">
        <x:v>0</x:v>
      </x:c>
      <x:c r="K545" s="8" t="n">
        <x:f>H545-I545*J545</x:f>
        <x:v>5.18018018018018</x:v>
      </x:c>
      <x:c r="L545" s="8" t="n">
        <x:f>'PG facts'!D92</x:f>
        <x:v>4</x:v>
      </x:c>
      <x:c r="M545" s="8" t="n">
        <x:f>K545-L545</x:f>
        <x:v>1.1801801801801801</x:v>
      </x:c>
      <x:c r="N545" s="8" t="n">
        <x:f>M545^2</x:f>
        <x:v>1.3928252576901223</x:v>
      </x:c>
      <x:c r="O545" s="8" t="n">
        <x:f>ABS(M545)</x:f>
        <x:v>1.1801801801801801</x:v>
      </x:c>
      <x:c r="P545" s="7" t="n">
        <x:v>45401</x:v>
      </x:c>
    </x:row>
    <x:row r="546" ht="26" customHeight="1">
      <x:c r="A546" s="2"/>
      <x:c r="B546" s="2" t="n">
        <x:v>541</x:v>
      </x:c>
      <x:c r="C546" s="2" t="str">
        <x:v>Health Care / price_contribution</x:v>
      </x:c>
      <x:c r="D546" s="7" t="n">
        <x:v>45382</x:v>
      </x:c>
      <x:c r="E546" s="2" t="str">
        <x:v>Pre-earnings</x:v>
      </x:c>
      <x:c r="F546" s="7" t="n">
        <x:v>45400</x:v>
      </x:c>
      <x:c r="G546" s="2" t="str">
        <x:v>Last actual</x:v>
      </x:c>
      <x:c r="H546" s="8" t="n">
        <x:f>AVERAGE('PG facts'!D85)</x:f>
        <x:v>5</x:v>
      </x:c>
      <x:c r="I546" s="8" t="n">
        <x:f>0</x:f>
        <x:v>0</x:v>
      </x:c>
      <x:c r="J546" s="8" t="n">
        <x:v>0</x:v>
      </x:c>
      <x:c r="K546" s="8" t="n">
        <x:f>H546-I546*J546</x:f>
        <x:v>5</x:v>
      </x:c>
      <x:c r="L546" s="8" t="n">
        <x:f>'PG facts'!D92</x:f>
        <x:v>4</x:v>
      </x:c>
      <x:c r="M546" s="8" t="n">
        <x:f>K546-L546</x:f>
        <x:v>1</x:v>
      </x:c>
      <x:c r="N546" s="8" t="n">
        <x:f>M546^2</x:f>
        <x:v>1</x:v>
      </x:c>
      <x:c r="O546" s="8" t="n">
        <x:f>ABS(M546)</x:f>
        <x:v>1</x:v>
      </x:c>
      <x:c r="P546" s="7" t="n">
        <x:v>45401</x:v>
      </x:c>
    </x:row>
    <x:row r="547" ht="26" customHeight="1">
      <x:c r="A547" s="2"/>
      <x:c r="B547" s="2" t="n">
        <x:v>542</x:v>
      </x:c>
      <x:c r="C547" s="2" t="str">
        <x:v>Health Care / price_contribution</x:v>
      </x:c>
      <x:c r="D547" s="7" t="n">
        <x:v>45382</x:v>
      </x:c>
      <x:c r="E547" s="2" t="str">
        <x:v>Pre-earnings</x:v>
      </x:c>
      <x:c r="F547" s="7" t="n">
        <x:v>45400</x:v>
      </x:c>
      <x:c r="G547" s="2" t="str">
        <x:v>Four-quarter mean</x:v>
      </x:c>
      <x:c r="H547" s="8" t="n">
        <x:f>AVERAGE('PG facts'!D64,'PG facts'!D71,'PG facts'!D78,'PG facts'!D85)</x:f>
        <x:v>5.75</x:v>
      </x:c>
      <x:c r="I547" s="8" t="n">
        <x:f>0</x:f>
        <x:v>0</x:v>
      </x:c>
      <x:c r="J547" s="8" t="n">
        <x:v>0</x:v>
      </x:c>
      <x:c r="K547" s="8" t="n">
        <x:f>H547-I547*J547</x:f>
        <x:v>5.75</x:v>
      </x:c>
      <x:c r="L547" s="8" t="n">
        <x:f>'PG facts'!D92</x:f>
        <x:v>4</x:v>
      </x:c>
      <x:c r="M547" s="8" t="n">
        <x:f>K547-L547</x:f>
        <x:v>1.75</x:v>
      </x:c>
      <x:c r="N547" s="8" t="n">
        <x:f>M547^2</x:f>
        <x:v>3.0625</x:v>
      </x:c>
      <x:c r="O547" s="8" t="n">
        <x:f>ABS(M547)</x:f>
        <x:v>1.75</x:v>
      </x:c>
      <x:c r="P547" s="7" t="n">
        <x:v>45401</x:v>
      </x:c>
    </x:row>
    <x:row r="548" ht="26" customHeight="1">
      <x:c r="A548" s="2"/>
      <x:c r="B548" s="2" t="n">
        <x:v>543</x:v>
      </x:c>
      <x:c r="C548" s="2" t="str">
        <x:v>Health Care / price_contribution</x:v>
      </x:c>
      <x:c r="D548" s="7" t="n">
        <x:v>45382</x:v>
      </x:c>
      <x:c r="E548" s="2" t="str">
        <x:v>Pre-earnings</x:v>
      </x:c>
      <x:c r="F548" s="7" t="n">
        <x:v>45400</x:v>
      </x:c>
      <x:c r="G548" s="2" t="str">
        <x:v>Broad market</x:v>
      </x:c>
      <x:c r="H548" s="8" t="n">
        <x:f>'Model fits'!AA380</x:f>
        <x:v>3.9807533744599177</x:v>
      </x:c>
      <x:c r="I548" s="8" t="n">
        <x:f>0</x:f>
        <x:v>0</x:v>
      </x:c>
      <x:c r="J548" s="8" t="n">
        <x:v>0</x:v>
      </x:c>
      <x:c r="K548" s="8" t="n">
        <x:f>H548-I548*J548</x:f>
        <x:v>3.9807533744599177</x:v>
      </x:c>
      <x:c r="L548" s="8" t="n">
        <x:f>'PG facts'!D92</x:f>
        <x:v>4</x:v>
      </x:c>
      <x:c r="M548" s="8" t="n">
        <x:f>K548-L548</x:f>
        <x:v>-0.019246625540082274</x:v>
      </x:c>
      <x:c r="N548" s="8" t="n">
        <x:f>M548^2</x:f>
        <x:v>0.00037043259468014727</x:v>
      </x:c>
      <x:c r="O548" s="8" t="n">
        <x:f>ABS(M548)</x:f>
        <x:v>0.019246625540082274</x:v>
      </x:c>
      <x:c r="P548" s="7" t="n">
        <x:v>45401</x:v>
      </x:c>
    </x:row>
    <x:row r="549" ht="26" customHeight="1">
      <x:c r="A549" s="2"/>
      <x:c r="B549" s="2" t="n">
        <x:v>544</x:v>
      </x:c>
      <x:c r="C549" s="2" t="str">
        <x:v>Health Care / price_contribution</x:v>
      </x:c>
      <x:c r="D549" s="7" t="n">
        <x:v>45382</x:v>
      </x:c>
      <x:c r="E549" s="2" t="str">
        <x:v>Pre-earnings</x:v>
      </x:c>
      <x:c r="F549" s="7" t="n">
        <x:v>45400</x:v>
      </x:c>
      <x:c r="G549" s="2" t="str">
        <x:v>Broad lag 1</x:v>
      </x:c>
      <x:c r="H549" s="8" t="n">
        <x:f>'Model fits'!AA381</x:f>
        <x:v>4.636790123838794</x:v>
      </x:c>
      <x:c r="I549" s="8" t="n">
        <x:f>0</x:f>
        <x:v>0</x:v>
      </x:c>
      <x:c r="J549" s="8" t="n">
        <x:v>0</x:v>
      </x:c>
      <x:c r="K549" s="8" t="n">
        <x:f>H549-I549*J549</x:f>
        <x:v>4.636790123838794</x:v>
      </x:c>
      <x:c r="L549" s="8" t="n">
        <x:f>'PG facts'!D92</x:f>
        <x:v>4</x:v>
      </x:c>
      <x:c r="M549" s="8" t="n">
        <x:f>K549-L549</x:f>
        <x:v>0.6367901238387939</x:v>
      </x:c>
      <x:c r="N549" s="8" t="n">
        <x:f>M549^2</x:f>
        <x:v>0.4055016618186264</x:v>
      </x:c>
      <x:c r="O549" s="8" t="n">
        <x:f>ABS(M549)</x:f>
        <x:v>0.6367901238387939</x:v>
      </x:c>
      <x:c r="P549" s="7" t="n">
        <x:v>45401</x:v>
      </x:c>
    </x:row>
    <x:row r="550" ht="26" customHeight="1">
      <x:c r="A550" s="2"/>
      <x:c r="B550" s="2" t="n">
        <x:v>545</x:v>
      </x:c>
      <x:c r="C550" s="2" t="str">
        <x:v>Health Care / price_contribution</x:v>
      </x:c>
      <x:c r="D550" s="7" t="n">
        <x:v>45382</x:v>
      </x:c>
      <x:c r="E550" s="2" t="str">
        <x:v>Pre-earnings</x:v>
      </x:c>
      <x:c r="F550" s="7" t="n">
        <x:v>45400</x:v>
      </x:c>
      <x:c r="G550" s="2" t="str">
        <x:v>Broad rolling 8</x:v>
      </x:c>
      <x:c r="H550" s="8" t="n">
        <x:f>'Model fits'!AA382</x:f>
        <x:v>4.7044333677256525</x:v>
      </x:c>
      <x:c r="I550" s="8" t="n">
        <x:f>0</x:f>
        <x:v>0</x:v>
      </x:c>
      <x:c r="J550" s="8" t="n">
        <x:v>0</x:v>
      </x:c>
      <x:c r="K550" s="8" t="n">
        <x:f>H550-I550*J550</x:f>
        <x:v>4.7044333677256525</x:v>
      </x:c>
      <x:c r="L550" s="8" t="n">
        <x:f>'PG facts'!D92</x:f>
        <x:v>4</x:v>
      </x:c>
      <x:c r="M550" s="8" t="n">
        <x:f>K550-L550</x:f>
        <x:v>0.7044333677256525</x:v>
      </x:c>
      <x:c r="N550" s="8" t="n">
        <x:f>M550^2</x:f>
        <x:v>0.4962263695653043</x:v>
      </x:c>
      <x:c r="O550" s="8" t="n">
        <x:f>ABS(M550)</x:f>
        <x:v>0.7044333677256525</x:v>
      </x:c>
      <x:c r="P550" s="7" t="n">
        <x:v>45401</x:v>
      </x:c>
    </x:row>
    <x:row r="551" ht="26" customHeight="1">
      <x:c r="A551" s="2"/>
      <x:c r="B551" s="2" t="n">
        <x:v>546</x:v>
      </x:c>
      <x:c r="C551" s="2" t="str">
        <x:v>Health Care / price_contribution</x:v>
      </x:c>
      <x:c r="D551" s="7" t="n">
        <x:v>45382</x:v>
      </x:c>
      <x:c r="E551" s="2" t="str">
        <x:v>Pre-earnings</x:v>
      </x:c>
      <x:c r="F551" s="7" t="n">
        <x:v>45400</x:v>
      </x:c>
      <x:c r="G551" s="2" t="str">
        <x:v>Own history</x:v>
      </x:c>
      <x:c r="H551" s="8" t="n">
        <x:f>'Model fits'!AA383</x:f>
        <x:v>5.18018018018018</x:v>
      </x:c>
      <x:c r="I551" s="8" t="n">
        <x:f>0</x:f>
        <x:v>0</x:v>
      </x:c>
      <x:c r="J551" s="8" t="n">
        <x:v>0</x:v>
      </x:c>
      <x:c r="K551" s="8" t="n">
        <x:f>H551-I551*J551</x:f>
        <x:v>5.18018018018018</x:v>
      </x:c>
      <x:c r="L551" s="8" t="n">
        <x:f>'PG facts'!D92</x:f>
        <x:v>4</x:v>
      </x:c>
      <x:c r="M551" s="8" t="n">
        <x:f>K551-L551</x:f>
        <x:v>1.1801801801801801</x:v>
      </x:c>
      <x:c r="N551" s="8" t="n">
        <x:f>M551^2</x:f>
        <x:v>1.3928252576901223</x:v>
      </x:c>
      <x:c r="O551" s="8" t="n">
        <x:f>ABS(M551)</x:f>
        <x:v>1.1801801801801801</x:v>
      </x:c>
      <x:c r="P551" s="7" t="n">
        <x:v>45401</x:v>
      </x:c>
    </x:row>
    <x:row r="552" ht="26" customHeight="1">
      <x:c r="A552" s="2"/>
      <x:c r="B552" s="2" t="n">
        <x:v>547</x:v>
      </x:c>
      <x:c r="C552" s="2" t="str">
        <x:v>Health Care / price_contribution</x:v>
      </x:c>
      <x:c r="D552" s="7" t="n">
        <x:v>45473</x:v>
      </x:c>
      <x:c r="E552" s="2" t="str">
        <x:v>Origin</x:v>
      </x:c>
      <x:c r="F552" s="7" t="n">
        <x:v>45383</x:v>
      </x:c>
      <x:c r="G552" s="2" t="str">
        <x:v>Last actual</x:v>
      </x:c>
      <x:c r="H552" s="8" t="n">
        <x:f>AVERAGE('PG facts'!D85)</x:f>
        <x:v>5</x:v>
      </x:c>
      <x:c r="I552" s="8" t="n">
        <x:f>0</x:f>
        <x:v>0</x:v>
      </x:c>
      <x:c r="J552" s="8" t="n">
        <x:v>0</x:v>
      </x:c>
      <x:c r="K552" s="8" t="n">
        <x:f>H552-I552*J552</x:f>
        <x:v>5</x:v>
      </x:c>
      <x:c r="L552" s="8" t="n">
        <x:f>'PG facts'!D99</x:f>
        <x:v>2</x:v>
      </x:c>
      <x:c r="M552" s="8" t="n">
        <x:f>K552-L552</x:f>
        <x:v>3</x:v>
      </x:c>
      <x:c r="N552" s="8" t="n">
        <x:f>M552^2</x:f>
        <x:v>9</x:v>
      </x:c>
      <x:c r="O552" s="8" t="n">
        <x:f>ABS(M552)</x:f>
        <x:v>3</x:v>
      </x:c>
      <x:c r="P552" s="7" t="n">
        <x:v>45503</x:v>
      </x:c>
    </x:row>
    <x:row r="553" ht="26" customHeight="1">
      <x:c r="A553" s="2"/>
      <x:c r="B553" s="2" t="n">
        <x:v>548</x:v>
      </x:c>
      <x:c r="C553" s="2" t="str">
        <x:v>Health Care / price_contribution</x:v>
      </x:c>
      <x:c r="D553" s="7" t="n">
        <x:v>45473</x:v>
      </x:c>
      <x:c r="E553" s="2" t="str">
        <x:v>Origin</x:v>
      </x:c>
      <x:c r="F553" s="7" t="n">
        <x:v>45383</x:v>
      </x:c>
      <x:c r="G553" s="2" t="str">
        <x:v>Four-quarter mean</x:v>
      </x:c>
      <x:c r="H553" s="8" t="n">
        <x:f>AVERAGE('PG facts'!D64,'PG facts'!D71,'PG facts'!D78,'PG facts'!D85)</x:f>
        <x:v>5.75</x:v>
      </x:c>
      <x:c r="I553" s="8" t="n">
        <x:f>0</x:f>
        <x:v>0</x:v>
      </x:c>
      <x:c r="J553" s="8" t="n">
        <x:v>0</x:v>
      </x:c>
      <x:c r="K553" s="8" t="n">
        <x:f>H553-I553*J553</x:f>
        <x:v>5.75</x:v>
      </x:c>
      <x:c r="L553" s="8" t="n">
        <x:f>'PG facts'!D99</x:f>
        <x:v>2</x:v>
      </x:c>
      <x:c r="M553" s="8" t="n">
        <x:f>K553-L553</x:f>
        <x:v>3.75</x:v>
      </x:c>
      <x:c r="N553" s="8" t="n">
        <x:f>M553^2</x:f>
        <x:v>14.0625</x:v>
      </x:c>
      <x:c r="O553" s="8" t="n">
        <x:f>ABS(M553)</x:f>
        <x:v>3.75</x:v>
      </x:c>
      <x:c r="P553" s="7" t="n">
        <x:v>45503</x:v>
      </x:c>
    </x:row>
    <x:row r="554" ht="26" customHeight="1">
      <x:c r="A554" s="2"/>
      <x:c r="B554" s="2" t="n">
        <x:v>549</x:v>
      </x:c>
      <x:c r="C554" s="2" t="str">
        <x:v>Health Care / price_contribution</x:v>
      </x:c>
      <x:c r="D554" s="7" t="n">
        <x:v>45473</x:v>
      </x:c>
      <x:c r="E554" s="2" t="str">
        <x:v>Origin</x:v>
      </x:c>
      <x:c r="F554" s="7" t="n">
        <x:v>45383</x:v>
      </x:c>
      <x:c r="G554" s="2" t="str">
        <x:v>Broad market</x:v>
      </x:c>
      <x:c r="H554" s="8" t="n">
        <x:f>'Model fits'!AA384</x:f>
        <x:v>3.946815894300401</x:v>
      </x:c>
      <x:c r="I554" s="8" t="n">
        <x:f>0</x:f>
        <x:v>0</x:v>
      </x:c>
      <x:c r="J554" s="8" t="n">
        <x:v>0</x:v>
      </x:c>
      <x:c r="K554" s="8" t="n">
        <x:f>H554-I554*J554</x:f>
        <x:v>3.946815894300401</x:v>
      </x:c>
      <x:c r="L554" s="8" t="n">
        <x:f>'PG facts'!D99</x:f>
        <x:v>2</x:v>
      </x:c>
      <x:c r="M554" s="8" t="n">
        <x:f>K554-L554</x:f>
        <x:v>1.9468158943004008</x:v>
      </x:c>
      <x:c r="N554" s="8" t="n">
        <x:f>M554^2</x:f>
        <x:v>3.7900921263006695</x:v>
      </x:c>
      <x:c r="O554" s="8" t="n">
        <x:f>ABS(M554)</x:f>
        <x:v>1.9468158943004008</x:v>
      </x:c>
      <x:c r="P554" s="7" t="n">
        <x:v>45503</x:v>
      </x:c>
    </x:row>
    <x:row r="555" ht="26" customHeight="1">
      <x:c r="A555" s="2"/>
      <x:c r="B555" s="2" t="n">
        <x:v>550</x:v>
      </x:c>
      <x:c r="C555" s="2" t="str">
        <x:v>Health Care / price_contribution</x:v>
      </x:c>
      <x:c r="D555" s="7" t="n">
        <x:v>45473</x:v>
      </x:c>
      <x:c r="E555" s="2" t="str">
        <x:v>Origin</x:v>
      </x:c>
      <x:c r="F555" s="7" t="n">
        <x:v>45383</x:v>
      </x:c>
      <x:c r="G555" s="2" t="str">
        <x:v>Broad rolling 8</x:v>
      </x:c>
      <x:c r="H555" s="8" t="n">
        <x:f>'Model fits'!AA385</x:f>
        <x:v>4.686102781133927</x:v>
      </x:c>
      <x:c r="I555" s="8" t="n">
        <x:f>0</x:f>
        <x:v>0</x:v>
      </x:c>
      <x:c r="J555" s="8" t="n">
        <x:v>0</x:v>
      </x:c>
      <x:c r="K555" s="8" t="n">
        <x:f>H555-I555*J555</x:f>
        <x:v>4.686102781133927</x:v>
      </x:c>
      <x:c r="L555" s="8" t="n">
        <x:f>'PG facts'!D99</x:f>
        <x:v>2</x:v>
      </x:c>
      <x:c r="M555" s="8" t="n">
        <x:f>K555-L555</x:f>
        <x:v>2.6861027811339273</x:v>
      </x:c>
      <x:c r="N555" s="8" t="n">
        <x:f>M555^2</x:f>
        <x:v>7.215148150815419</x:v>
      </x:c>
      <x:c r="O555" s="8" t="n">
        <x:f>ABS(M555)</x:f>
        <x:v>2.6861027811339273</x:v>
      </x:c>
      <x:c r="P555" s="7" t="n">
        <x:v>45503</x:v>
      </x:c>
    </x:row>
    <x:row r="556" ht="26" customHeight="1">
      <x:c r="A556" s="2"/>
      <x:c r="B556" s="2" t="n">
        <x:v>551</x:v>
      </x:c>
      <x:c r="C556" s="2" t="str">
        <x:v>Health Care / price_contribution</x:v>
      </x:c>
      <x:c r="D556" s="7" t="n">
        <x:v>45473</x:v>
      </x:c>
      <x:c r="E556" s="2" t="str">
        <x:v>Origin</x:v>
      </x:c>
      <x:c r="F556" s="7" t="n">
        <x:v>45383</x:v>
      </x:c>
      <x:c r="G556" s="2" t="str">
        <x:v>Own history</x:v>
      </x:c>
      <x:c r="H556" s="8" t="n">
        <x:f>'Model fits'!AA386</x:f>
        <x:v>5.411764705882353</x:v>
      </x:c>
      <x:c r="I556" s="8" t="n">
        <x:f>0</x:f>
        <x:v>0</x:v>
      </x:c>
      <x:c r="J556" s="8" t="n">
        <x:v>0</x:v>
      </x:c>
      <x:c r="K556" s="8" t="n">
        <x:f>H556-I556*J556</x:f>
        <x:v>5.411764705882353</x:v>
      </x:c>
      <x:c r="L556" s="8" t="n">
        <x:f>'PG facts'!D99</x:f>
        <x:v>2</x:v>
      </x:c>
      <x:c r="M556" s="8" t="n">
        <x:f>K556-L556</x:f>
        <x:v>3.4117647058823533</x:v>
      </x:c>
      <x:c r="N556" s="8" t="n">
        <x:f>M556^2</x:f>
        <x:v>11.6401384083045</x:v>
      </x:c>
      <x:c r="O556" s="8" t="n">
        <x:f>ABS(M556)</x:f>
        <x:v>3.4117647058823533</x:v>
      </x:c>
      <x:c r="P556" s="7" t="n">
        <x:v>45503</x:v>
      </x:c>
    </x:row>
    <x:row r="557" ht="26" customHeight="1">
      <x:c r="A557" s="2"/>
      <x:c r="B557" s="2" t="n">
        <x:v>552</x:v>
      </x:c>
      <x:c r="C557" s="2" t="str">
        <x:v>Health Care / price_contribution</x:v>
      </x:c>
      <x:c r="D557" s="7" t="n">
        <x:v>45473</x:v>
      </x:c>
      <x:c r="E557" s="2" t="str">
        <x:v>Prior report</x:v>
      </x:c>
      <x:c r="F557" s="7" t="n">
        <x:v>45401</x:v>
      </x:c>
      <x:c r="G557" s="2" t="str">
        <x:v>Last actual</x:v>
      </x:c>
      <x:c r="H557" s="8" t="n">
        <x:f>AVERAGE('PG facts'!D92)</x:f>
        <x:v>4</x:v>
      </x:c>
      <x:c r="I557" s="8" t="n">
        <x:f>0</x:f>
        <x:v>0</x:v>
      </x:c>
      <x:c r="J557" s="8" t="n">
        <x:v>0</x:v>
      </x:c>
      <x:c r="K557" s="8" t="n">
        <x:f>H557-I557*J557</x:f>
        <x:v>4</x:v>
      </x:c>
      <x:c r="L557" s="8" t="n">
        <x:f>'PG facts'!D99</x:f>
        <x:v>2</x:v>
      </x:c>
      <x:c r="M557" s="8" t="n">
        <x:f>K557-L557</x:f>
        <x:v>2</x:v>
      </x:c>
      <x:c r="N557" s="8" t="n">
        <x:f>M557^2</x:f>
        <x:v>4</x:v>
      </x:c>
      <x:c r="O557" s="8" t="n">
        <x:f>ABS(M557)</x:f>
        <x:v>2</x:v>
      </x:c>
      <x:c r="P557" s="7" t="n">
        <x:v>45503</x:v>
      </x:c>
    </x:row>
    <x:row r="558" ht="26" customHeight="1">
      <x:c r="A558" s="2"/>
      <x:c r="B558" s="2" t="n">
        <x:v>553</x:v>
      </x:c>
      <x:c r="C558" s="2" t="str">
        <x:v>Health Care / price_contribution</x:v>
      </x:c>
      <x:c r="D558" s="7" t="n">
        <x:v>45473</x:v>
      </x:c>
      <x:c r="E558" s="2" t="str">
        <x:v>Prior report</x:v>
      </x:c>
      <x:c r="F558" s="7" t="n">
        <x:v>45401</x:v>
      </x:c>
      <x:c r="G558" s="2" t="str">
        <x:v>Four-quarter mean</x:v>
      </x:c>
      <x:c r="H558" s="8" t="n">
        <x:f>AVERAGE('PG facts'!D71,'PG facts'!D78,'PG facts'!D85,'PG facts'!D92)</x:f>
        <x:v>5.25</x:v>
      </x:c>
      <x:c r="I558" s="8" t="n">
        <x:f>0</x:f>
        <x:v>0</x:v>
      </x:c>
      <x:c r="J558" s="8" t="n">
        <x:v>0</x:v>
      </x:c>
      <x:c r="K558" s="8" t="n">
        <x:f>H558-I558*J558</x:f>
        <x:v>5.25</x:v>
      </x:c>
      <x:c r="L558" s="8" t="n">
        <x:f>'PG facts'!D99</x:f>
        <x:v>2</x:v>
      </x:c>
      <x:c r="M558" s="8" t="n">
        <x:f>K558-L558</x:f>
        <x:v>3.25</x:v>
      </x:c>
      <x:c r="N558" s="8" t="n">
        <x:f>M558^2</x:f>
        <x:v>10.5625</x:v>
      </x:c>
      <x:c r="O558" s="8" t="n">
        <x:f>ABS(M558)</x:f>
        <x:v>3.25</x:v>
      </x:c>
      <x:c r="P558" s="7" t="n">
        <x:v>45503</x:v>
      </x:c>
    </x:row>
    <x:row r="559" ht="26" customHeight="1">
      <x:c r="A559" s="2"/>
      <x:c r="B559" s="2" t="n">
        <x:v>554</x:v>
      </x:c>
      <x:c r="C559" s="2" t="str">
        <x:v>Health Care / price_contribution</x:v>
      </x:c>
      <x:c r="D559" s="7" t="n">
        <x:v>45473</x:v>
      </x:c>
      <x:c r="E559" s="2" t="str">
        <x:v>Prior report</x:v>
      </x:c>
      <x:c r="F559" s="7" t="n">
        <x:v>45401</x:v>
      </x:c>
      <x:c r="G559" s="2" t="str">
        <x:v>Broad market</x:v>
      </x:c>
      <x:c r="H559" s="8" t="n">
        <x:f>'Model fits'!AA387</x:f>
        <x:v>3.9825509359098126</x:v>
      </x:c>
      <x:c r="I559" s="8" t="n">
        <x:f>0</x:f>
        <x:v>0</x:v>
      </x:c>
      <x:c r="J559" s="8" t="n">
        <x:v>0</x:v>
      </x:c>
      <x:c r="K559" s="8" t="n">
        <x:f>H559-I559*J559</x:f>
        <x:v>3.9825509359098126</x:v>
      </x:c>
      <x:c r="L559" s="8" t="n">
        <x:f>'PG facts'!D99</x:f>
        <x:v>2</x:v>
      </x:c>
      <x:c r="M559" s="8" t="n">
        <x:f>K559-L559</x:f>
        <x:v>1.9825509359098126</x:v>
      </x:c>
      <x:c r="N559" s="8" t="n">
        <x:f>M559^2</x:f>
        <x:v>3.9305082134768736</x:v>
      </x:c>
      <x:c r="O559" s="8" t="n">
        <x:f>ABS(M559)</x:f>
        <x:v>1.9825509359098126</x:v>
      </x:c>
      <x:c r="P559" s="7" t="n">
        <x:v>45503</x:v>
      </x:c>
    </x:row>
    <x:row r="560" ht="26" customHeight="1">
      <x:c r="A560" s="2"/>
      <x:c r="B560" s="2" t="n">
        <x:v>555</x:v>
      </x:c>
      <x:c r="C560" s="2" t="str">
        <x:v>Health Care / price_contribution</x:v>
      </x:c>
      <x:c r="D560" s="7" t="n">
        <x:v>45473</x:v>
      </x:c>
      <x:c r="E560" s="2" t="str">
        <x:v>Prior report</x:v>
      </x:c>
      <x:c r="F560" s="7" t="n">
        <x:v>45401</x:v>
      </x:c>
      <x:c r="G560" s="2" t="str">
        <x:v>Broad lag 1</x:v>
      </x:c>
      <x:c r="H560" s="8" t="n">
        <x:f>'Model fits'!AA388</x:f>
        <x:v>4.263303713687559</x:v>
      </x:c>
      <x:c r="I560" s="8" t="n">
        <x:f>0</x:f>
        <x:v>0</x:v>
      </x:c>
      <x:c r="J560" s="8" t="n">
        <x:v>0</x:v>
      </x:c>
      <x:c r="K560" s="8" t="n">
        <x:f>H560-I560*J560</x:f>
        <x:v>4.263303713687559</x:v>
      </x:c>
      <x:c r="L560" s="8" t="n">
        <x:f>'PG facts'!D99</x:f>
        <x:v>2</x:v>
      </x:c>
      <x:c r="M560" s="8" t="n">
        <x:f>K560-L560</x:f>
        <x:v>2.2633037136875593</x:v>
      </x:c>
      <x:c r="N560" s="8" t="n">
        <x:f>M560^2</x:f>
        <x:v>5.122543700391898</x:v>
      </x:c>
      <x:c r="O560" s="8" t="n">
        <x:f>ABS(M560)</x:f>
        <x:v>2.2633037136875593</x:v>
      </x:c>
      <x:c r="P560" s="7" t="n">
        <x:v>45503</x:v>
      </x:c>
    </x:row>
    <x:row r="561" ht="26" customHeight="1">
      <x:c r="A561" s="2"/>
      <x:c r="B561" s="2" t="n">
        <x:v>556</x:v>
      </x:c>
      <x:c r="C561" s="2" t="str">
        <x:v>Health Care / price_contribution</x:v>
      </x:c>
      <x:c r="D561" s="7" t="n">
        <x:v>45473</x:v>
      </x:c>
      <x:c r="E561" s="2" t="str">
        <x:v>Prior report</x:v>
      </x:c>
      <x:c r="F561" s="7" t="n">
        <x:v>45401</x:v>
      </x:c>
      <x:c r="G561" s="2" t="str">
        <x:v>Broad rolling 8</x:v>
      </x:c>
      <x:c r="H561" s="8" t="n">
        <x:f>'Model fits'!AA389</x:f>
        <x:v>4.879736690771019</x:v>
      </x:c>
      <x:c r="I561" s="8" t="n">
        <x:f>0</x:f>
        <x:v>0</x:v>
      </x:c>
      <x:c r="J561" s="8" t="n">
        <x:v>0</x:v>
      </x:c>
      <x:c r="K561" s="8" t="n">
        <x:f>H561-I561*J561</x:f>
        <x:v>4.879736690771019</x:v>
      </x:c>
      <x:c r="L561" s="8" t="n">
        <x:f>'PG facts'!D99</x:f>
        <x:v>2</x:v>
      </x:c>
      <x:c r="M561" s="8" t="n">
        <x:f>K561-L561</x:f>
        <x:v>2.8797366907710193</x:v>
      </x:c>
      <x:c r="N561" s="8" t="n">
        <x:f>M561^2</x:f>
        <x:v>8.292883408172822</x:v>
      </x:c>
      <x:c r="O561" s="8" t="n">
        <x:f>ABS(M561)</x:f>
        <x:v>2.8797366907710193</x:v>
      </x:c>
      <x:c r="P561" s="7" t="n">
        <x:v>45503</x:v>
      </x:c>
    </x:row>
    <x:row r="562" ht="26" customHeight="1">
      <x:c r="A562" s="2"/>
      <x:c r="B562" s="2" t="n">
        <x:v>557</x:v>
      </x:c>
      <x:c r="C562" s="2" t="str">
        <x:v>Health Care / price_contribution</x:v>
      </x:c>
      <x:c r="D562" s="7" t="n">
        <x:v>45473</x:v>
      </x:c>
      <x:c r="E562" s="2" t="str">
        <x:v>Prior report</x:v>
      </x:c>
      <x:c r="F562" s="7" t="n">
        <x:v>45401</x:v>
      </x:c>
      <x:c r="G562" s="2" t="str">
        <x:v>Own history</x:v>
      </x:c>
      <x:c r="H562" s="8" t="n">
        <x:f>'Model fits'!AA390</x:f>
        <x:v>4.27710843373494</x:v>
      </x:c>
      <x:c r="I562" s="8" t="n">
        <x:f>0</x:f>
        <x:v>0</x:v>
      </x:c>
      <x:c r="J562" s="8" t="n">
        <x:v>0</x:v>
      </x:c>
      <x:c r="K562" s="8" t="n">
        <x:f>H562-I562*J562</x:f>
        <x:v>4.27710843373494</x:v>
      </x:c>
      <x:c r="L562" s="8" t="n">
        <x:f>'PG facts'!D99</x:f>
        <x:v>2</x:v>
      </x:c>
      <x:c r="M562" s="8" t="n">
        <x:f>K562-L562</x:f>
        <x:v>2.2771084337349397</x:v>
      </x:c>
      <x:c r="N562" s="8" t="n">
        <x:f>M562^2</x:f>
        <x:v>5.18522281898679</x:v>
      </x:c>
      <x:c r="O562" s="8" t="n">
        <x:f>ABS(M562)</x:f>
        <x:v>2.2771084337349397</x:v>
      </x:c>
      <x:c r="P562" s="7" t="n">
        <x:v>45503</x:v>
      </x:c>
    </x:row>
    <x:row r="563" ht="26" customHeight="1">
      <x:c r="A563" s="2"/>
      <x:c r="B563" s="2" t="n">
        <x:v>558</x:v>
      </x:c>
      <x:c r="C563" s="2" t="str">
        <x:v>Health Care / price_contribution</x:v>
      </x:c>
      <x:c r="D563" s="7" t="n">
        <x:v>45473</x:v>
      </x:c>
      <x:c r="E563" s="2" t="str">
        <x:v>Pre-earnings</x:v>
      </x:c>
      <x:c r="F563" s="7" t="n">
        <x:v>45502</x:v>
      </x:c>
      <x:c r="G563" s="2" t="str">
        <x:v>Last actual</x:v>
      </x:c>
      <x:c r="H563" s="8" t="n">
        <x:f>AVERAGE('PG facts'!D92)</x:f>
        <x:v>4</x:v>
      </x:c>
      <x:c r="I563" s="8" t="n">
        <x:f>0</x:f>
        <x:v>0</x:v>
      </x:c>
      <x:c r="J563" s="8" t="n">
        <x:v>0</x:v>
      </x:c>
      <x:c r="K563" s="8" t="n">
        <x:f>H563-I563*J563</x:f>
        <x:v>4</x:v>
      </x:c>
      <x:c r="L563" s="8" t="n">
        <x:f>'PG facts'!D99</x:f>
        <x:v>2</x:v>
      </x:c>
      <x:c r="M563" s="8" t="n">
        <x:f>K563-L563</x:f>
        <x:v>2</x:v>
      </x:c>
      <x:c r="N563" s="8" t="n">
        <x:f>M563^2</x:f>
        <x:v>4</x:v>
      </x:c>
      <x:c r="O563" s="8" t="n">
        <x:f>ABS(M563)</x:f>
        <x:v>2</x:v>
      </x:c>
      <x:c r="P563" s="7" t="n">
        <x:v>45503</x:v>
      </x:c>
    </x:row>
    <x:row r="564" ht="26" customHeight="1">
      <x:c r="A564" s="2"/>
      <x:c r="B564" s="2" t="n">
        <x:v>559</x:v>
      </x:c>
      <x:c r="C564" s="2" t="str">
        <x:v>Health Care / price_contribution</x:v>
      </x:c>
      <x:c r="D564" s="7" t="n">
        <x:v>45473</x:v>
      </x:c>
      <x:c r="E564" s="2" t="str">
        <x:v>Pre-earnings</x:v>
      </x:c>
      <x:c r="F564" s="7" t="n">
        <x:v>45502</x:v>
      </x:c>
      <x:c r="G564" s="2" t="str">
        <x:v>Four-quarter mean</x:v>
      </x:c>
      <x:c r="H564" s="8" t="n">
        <x:f>AVERAGE('PG facts'!D71,'PG facts'!D78,'PG facts'!D85,'PG facts'!D92)</x:f>
        <x:v>5.25</x:v>
      </x:c>
      <x:c r="I564" s="8" t="n">
        <x:f>0</x:f>
        <x:v>0</x:v>
      </x:c>
      <x:c r="J564" s="8" t="n">
        <x:v>0</x:v>
      </x:c>
      <x:c r="K564" s="8" t="n">
        <x:f>H564-I564*J564</x:f>
        <x:v>5.25</x:v>
      </x:c>
      <x:c r="L564" s="8" t="n">
        <x:f>'PG facts'!D99</x:f>
        <x:v>2</x:v>
      </x:c>
      <x:c r="M564" s="8" t="n">
        <x:f>K564-L564</x:f>
        <x:v>3.25</x:v>
      </x:c>
      <x:c r="N564" s="8" t="n">
        <x:f>M564^2</x:f>
        <x:v>10.5625</x:v>
      </x:c>
      <x:c r="O564" s="8" t="n">
        <x:f>ABS(M564)</x:f>
        <x:v>3.25</x:v>
      </x:c>
      <x:c r="P564" s="7" t="n">
        <x:v>45503</x:v>
      </x:c>
    </x:row>
    <x:row r="565" ht="26" customHeight="1">
      <x:c r="A565" s="2"/>
      <x:c r="B565" s="2" t="n">
        <x:v>560</x:v>
      </x:c>
      <x:c r="C565" s="2" t="str">
        <x:v>Health Care / price_contribution</x:v>
      </x:c>
      <x:c r="D565" s="7" t="n">
        <x:v>45473</x:v>
      </x:c>
      <x:c r="E565" s="2" t="str">
        <x:v>Pre-earnings</x:v>
      </x:c>
      <x:c r="F565" s="7" t="n">
        <x:v>45502</x:v>
      </x:c>
      <x:c r="G565" s="2" t="str">
        <x:v>Broad market</x:v>
      </x:c>
      <x:c r="H565" s="8" t="n">
        <x:f>'Model fits'!AA391</x:f>
        <x:v>2.5880506328365325</x:v>
      </x:c>
      <x:c r="I565" s="8" t="n">
        <x:f>0</x:f>
        <x:v>0</x:v>
      </x:c>
      <x:c r="J565" s="8" t="n">
        <x:v>0</x:v>
      </x:c>
      <x:c r="K565" s="8" t="n">
        <x:f>H565-I565*J565</x:f>
        <x:v>2.5880506328365325</x:v>
      </x:c>
      <x:c r="L565" s="8" t="n">
        <x:f>'PG facts'!D99</x:f>
        <x:v>2</x:v>
      </x:c>
      <x:c r="M565" s="8" t="n">
        <x:f>K565-L565</x:f>
        <x:v>0.5880506328365325</x:v>
      </x:c>
      <x:c r="N565" s="8" t="n">
        <x:f>M565^2</x:f>
        <x:v>0.3458035467794463</x:v>
      </x:c>
      <x:c r="O565" s="8" t="n">
        <x:f>ABS(M565)</x:f>
        <x:v>0.5880506328365325</x:v>
      </x:c>
      <x:c r="P565" s="7" t="n">
        <x:v>45503</x:v>
      </x:c>
    </x:row>
    <x:row r="566" ht="26" customHeight="1">
      <x:c r="A566" s="2"/>
      <x:c r="B566" s="2" t="n">
        <x:v>561</x:v>
      </x:c>
      <x:c r="C566" s="2" t="str">
        <x:v>Health Care / price_contribution</x:v>
      </x:c>
      <x:c r="D566" s="7" t="n">
        <x:v>45473</x:v>
      </x:c>
      <x:c r="E566" s="2" t="str">
        <x:v>Pre-earnings</x:v>
      </x:c>
      <x:c r="F566" s="7" t="n">
        <x:v>45502</x:v>
      </x:c>
      <x:c r="G566" s="2" t="str">
        <x:v>Broad lag 1</x:v>
      </x:c>
      <x:c r="H566" s="8" t="n">
        <x:f>'Model fits'!AA392</x:f>
        <x:v>4.263303713687559</x:v>
      </x:c>
      <x:c r="I566" s="8" t="n">
        <x:f>0</x:f>
        <x:v>0</x:v>
      </x:c>
      <x:c r="J566" s="8" t="n">
        <x:v>0</x:v>
      </x:c>
      <x:c r="K566" s="8" t="n">
        <x:f>H566-I566*J566</x:f>
        <x:v>4.263303713687559</x:v>
      </x:c>
      <x:c r="L566" s="8" t="n">
        <x:f>'PG facts'!D99</x:f>
        <x:v>2</x:v>
      </x:c>
      <x:c r="M566" s="8" t="n">
        <x:f>K566-L566</x:f>
        <x:v>2.2633037136875593</x:v>
      </x:c>
      <x:c r="N566" s="8" t="n">
        <x:f>M566^2</x:f>
        <x:v>5.122543700391898</x:v>
      </x:c>
      <x:c r="O566" s="8" t="n">
        <x:f>ABS(M566)</x:f>
        <x:v>2.2633037136875593</x:v>
      </x:c>
      <x:c r="P566" s="7" t="n">
        <x:v>45503</x:v>
      </x:c>
    </x:row>
    <x:row r="567" ht="26" customHeight="1">
      <x:c r="A567" s="2"/>
      <x:c r="B567" s="2" t="n">
        <x:v>562</x:v>
      </x:c>
      <x:c r="C567" s="2" t="str">
        <x:v>Health Care / price_contribution</x:v>
      </x:c>
      <x:c r="D567" s="7" t="n">
        <x:v>45473</x:v>
      </x:c>
      <x:c r="E567" s="2" t="str">
        <x:v>Pre-earnings</x:v>
      </x:c>
      <x:c r="F567" s="7" t="n">
        <x:v>45502</x:v>
      </x:c>
      <x:c r="G567" s="2" t="str">
        <x:v>Broad rolling 8</x:v>
      </x:c>
      <x:c r="H567" s="8" t="n">
        <x:f>'Model fits'!AA393</x:f>
        <x:v>4.322418119740477</x:v>
      </x:c>
      <x:c r="I567" s="8" t="n">
        <x:f>0</x:f>
        <x:v>0</x:v>
      </x:c>
      <x:c r="J567" s="8" t="n">
        <x:v>0</x:v>
      </x:c>
      <x:c r="K567" s="8" t="n">
        <x:f>H567-I567*J567</x:f>
        <x:v>4.322418119740477</x:v>
      </x:c>
      <x:c r="L567" s="8" t="n">
        <x:f>'PG facts'!D99</x:f>
        <x:v>2</x:v>
      </x:c>
      <x:c r="M567" s="8" t="n">
        <x:f>K567-L567</x:f>
        <x:v>2.322418119740477</x:v>
      </x:c>
      <x:c r="N567" s="8" t="n">
        <x:f>M567^2</x:f>
        <x:v>5.3936259228988925</x:v>
      </x:c>
      <x:c r="O567" s="8" t="n">
        <x:f>ABS(M567)</x:f>
        <x:v>2.322418119740477</x:v>
      </x:c>
      <x:c r="P567" s="7" t="n">
        <x:v>45503</x:v>
      </x:c>
    </x:row>
    <x:row r="568" ht="26" customHeight="1">
      <x:c r="A568" s="2"/>
      <x:c r="B568" s="2" t="n">
        <x:v>563</x:v>
      </x:c>
      <x:c r="C568" s="2" t="str">
        <x:v>Health Care / price_contribution</x:v>
      </x:c>
      <x:c r="D568" s="7" t="n">
        <x:v>45473</x:v>
      </x:c>
      <x:c r="E568" s="2" t="str">
        <x:v>Pre-earnings</x:v>
      </x:c>
      <x:c r="F568" s="7" t="n">
        <x:v>45502</x:v>
      </x:c>
      <x:c r="G568" s="2" t="str">
        <x:v>Own history</x:v>
      </x:c>
      <x:c r="H568" s="8" t="n">
        <x:f>'Model fits'!AA394</x:f>
        <x:v>4.27710843373494</x:v>
      </x:c>
      <x:c r="I568" s="8" t="n">
        <x:f>0</x:f>
        <x:v>0</x:v>
      </x:c>
      <x:c r="J568" s="8" t="n">
        <x:v>0</x:v>
      </x:c>
      <x:c r="K568" s="8" t="n">
        <x:f>H568-I568*J568</x:f>
        <x:v>4.27710843373494</x:v>
      </x:c>
      <x:c r="L568" s="8" t="n">
        <x:f>'PG facts'!D99</x:f>
        <x:v>2</x:v>
      </x:c>
      <x:c r="M568" s="8" t="n">
        <x:f>K568-L568</x:f>
        <x:v>2.2771084337349397</x:v>
      </x:c>
      <x:c r="N568" s="8" t="n">
        <x:f>M568^2</x:f>
        <x:v>5.18522281898679</x:v>
      </x:c>
      <x:c r="O568" s="8" t="n">
        <x:f>ABS(M568)</x:f>
        <x:v>2.2771084337349397</x:v>
      </x:c>
      <x:c r="P568" s="7" t="n">
        <x:v>45503</x:v>
      </x:c>
    </x:row>
    <x:row r="569" ht="26" customHeight="1">
      <x:c r="A569" s="2"/>
      <x:c r="B569" s="2" t="n">
        <x:v>564</x:v>
      </x:c>
      <x:c r="C569" s="2" t="str">
        <x:v>Health Care / price_contribution</x:v>
      </x:c>
      <x:c r="D569" s="7" t="n">
        <x:v>45565</x:v>
      </x:c>
      <x:c r="E569" s="2" t="str">
        <x:v>Origin</x:v>
      </x:c>
      <x:c r="F569" s="7" t="n">
        <x:v>45474</x:v>
      </x:c>
      <x:c r="G569" s="2" t="str">
        <x:v>Last actual</x:v>
      </x:c>
      <x:c r="H569" s="8" t="n">
        <x:f>AVERAGE('PG facts'!D92)</x:f>
        <x:v>4</x:v>
      </x:c>
      <x:c r="I569" s="8" t="n">
        <x:f>0</x:f>
        <x:v>0</x:v>
      </x:c>
      <x:c r="J569" s="8" t="n">
        <x:v>0</x:v>
      </x:c>
      <x:c r="K569" s="8" t="n">
        <x:f>H569-I569*J569</x:f>
        <x:v>4</x:v>
      </x:c>
      <x:c r="L569" s="8" t="n">
        <x:f>'PG facts'!D106</x:f>
        <x:v>1</x:v>
      </x:c>
      <x:c r="M569" s="8" t="n">
        <x:f>K569-L569</x:f>
        <x:v>3</x:v>
      </x:c>
      <x:c r="N569" s="8" t="n">
        <x:f>M569^2</x:f>
        <x:v>9</x:v>
      </x:c>
      <x:c r="O569" s="8" t="n">
        <x:f>ABS(M569)</x:f>
        <x:v>3</x:v>
      </x:c>
      <x:c r="P569" s="7" t="n">
        <x:v>45583</x:v>
      </x:c>
    </x:row>
    <x:row r="570" ht="26" customHeight="1">
      <x:c r="A570" s="2"/>
      <x:c r="B570" s="2" t="n">
        <x:v>565</x:v>
      </x:c>
      <x:c r="C570" s="2" t="str">
        <x:v>Health Care / price_contribution</x:v>
      </x:c>
      <x:c r="D570" s="7" t="n">
        <x:v>45565</x:v>
      </x:c>
      <x:c r="E570" s="2" t="str">
        <x:v>Origin</x:v>
      </x:c>
      <x:c r="F570" s="7" t="n">
        <x:v>45474</x:v>
      </x:c>
      <x:c r="G570" s="2" t="str">
        <x:v>Four-quarter mean</x:v>
      </x:c>
      <x:c r="H570" s="8" t="n">
        <x:f>AVERAGE('PG facts'!D71,'PG facts'!D78,'PG facts'!D85,'PG facts'!D92)</x:f>
        <x:v>5.25</x:v>
      </x:c>
      <x:c r="I570" s="8" t="n">
        <x:f>0</x:f>
        <x:v>0</x:v>
      </x:c>
      <x:c r="J570" s="8" t="n">
        <x:v>0</x:v>
      </x:c>
      <x:c r="K570" s="8" t="n">
        <x:f>H570-I570*J570</x:f>
        <x:v>5.25</x:v>
      </x:c>
      <x:c r="L570" s="8" t="n">
        <x:f>'PG facts'!D106</x:f>
        <x:v>1</x:v>
      </x:c>
      <x:c r="M570" s="8" t="n">
        <x:f>K570-L570</x:f>
        <x:v>4.25</x:v>
      </x:c>
      <x:c r="N570" s="8" t="n">
        <x:f>M570^2</x:f>
        <x:v>18.0625</x:v>
      </x:c>
      <x:c r="O570" s="8" t="n">
        <x:f>ABS(M570)</x:f>
        <x:v>4.25</x:v>
      </x:c>
      <x:c r="P570" s="7" t="n">
        <x:v>45583</x:v>
      </x:c>
    </x:row>
    <x:row r="571" ht="26" customHeight="1">
      <x:c r="A571" s="2"/>
      <x:c r="B571" s="2" t="n">
        <x:v>566</x:v>
      </x:c>
      <x:c r="C571" s="2" t="str">
        <x:v>Health Care / price_contribution</x:v>
      </x:c>
      <x:c r="D571" s="7" t="n">
        <x:v>45565</x:v>
      </x:c>
      <x:c r="E571" s="2" t="str">
        <x:v>Origin</x:v>
      </x:c>
      <x:c r="F571" s="7" t="n">
        <x:v>45474</x:v>
      </x:c>
      <x:c r="G571" s="2" t="str">
        <x:v>Broad market</x:v>
      </x:c>
      <x:c r="H571" s="8" t="n">
        <x:f>'Model fits'!AA395</x:f>
        <x:v>3.1437780478718036</x:v>
      </x:c>
      <x:c r="I571" s="8" t="n">
        <x:f>0</x:f>
        <x:v>0</x:v>
      </x:c>
      <x:c r="J571" s="8" t="n">
        <x:v>0</x:v>
      </x:c>
      <x:c r="K571" s="8" t="n">
        <x:f>H571-I571*J571</x:f>
        <x:v>3.1437780478718036</x:v>
      </x:c>
      <x:c r="L571" s="8" t="n">
        <x:f>'PG facts'!D106</x:f>
        <x:v>1</x:v>
      </x:c>
      <x:c r="M571" s="8" t="n">
        <x:f>K571-L571</x:f>
        <x:v>2.1437780478718036</x:v>
      </x:c>
      <x:c r="N571" s="8" t="n">
        <x:f>M571^2</x:f>
        <x:v>4.595784318537041</x:v>
      </x:c>
      <x:c r="O571" s="8" t="n">
        <x:f>ABS(M571)</x:f>
        <x:v>2.1437780478718036</x:v>
      </x:c>
      <x:c r="P571" s="7" t="n">
        <x:v>45583</x:v>
      </x:c>
    </x:row>
    <x:row r="572" ht="26" customHeight="1">
      <x:c r="A572" s="2"/>
      <x:c r="B572" s="2" t="n">
        <x:v>567</x:v>
      </x:c>
      <x:c r="C572" s="2" t="str">
        <x:v>Health Care / price_contribution</x:v>
      </x:c>
      <x:c r="D572" s="7" t="n">
        <x:v>45565</x:v>
      </x:c>
      <x:c r="E572" s="2" t="str">
        <x:v>Origin</x:v>
      </x:c>
      <x:c r="F572" s="7" t="n">
        <x:v>45474</x:v>
      </x:c>
      <x:c r="G572" s="2" t="str">
        <x:v>Broad rolling 8</x:v>
      </x:c>
      <x:c r="H572" s="8" t="n">
        <x:f>'Model fits'!AA396</x:f>
        <x:v>4.544517181423993</x:v>
      </x:c>
      <x:c r="I572" s="8" t="n">
        <x:f>0</x:f>
        <x:v>0</x:v>
      </x:c>
      <x:c r="J572" s="8" t="n">
        <x:v>0</x:v>
      </x:c>
      <x:c r="K572" s="8" t="n">
        <x:f>H572-I572*J572</x:f>
        <x:v>4.544517181423993</x:v>
      </x:c>
      <x:c r="L572" s="8" t="n">
        <x:f>'PG facts'!D106</x:f>
        <x:v>1</x:v>
      </x:c>
      <x:c r="M572" s="8" t="n">
        <x:f>K572-L572</x:f>
        <x:v>3.544517181423993</x:v>
      </x:c>
      <x:c r="N572" s="8" t="n">
        <x:f>M572^2</x:f>
        <x:v>12.563602049409889</x:v>
      </x:c>
      <x:c r="O572" s="8" t="n">
        <x:f>ABS(M572)</x:f>
        <x:v>3.544517181423993</x:v>
      </x:c>
      <x:c r="P572" s="7" t="n">
        <x:v>45583</x:v>
      </x:c>
    </x:row>
    <x:row r="573" ht="26" customHeight="1">
      <x:c r="A573" s="2"/>
      <x:c r="B573" s="2" t="n">
        <x:v>568</x:v>
      </x:c>
      <x:c r="C573" s="2" t="str">
        <x:v>Health Care / price_contribution</x:v>
      </x:c>
      <x:c r="D573" s="7" t="n">
        <x:v>45565</x:v>
      </x:c>
      <x:c r="E573" s="2" t="str">
        <x:v>Origin</x:v>
      </x:c>
      <x:c r="F573" s="7" t="n">
        <x:v>45474</x:v>
      </x:c>
      <x:c r="G573" s="2" t="str">
        <x:v>Own history</x:v>
      </x:c>
      <x:c r="H573" s="8" t="n">
        <x:f>'Model fits'!AA397</x:f>
        <x:v>4.564564564564565</x:v>
      </x:c>
      <x:c r="I573" s="8" t="n">
        <x:f>0</x:f>
        <x:v>0</x:v>
      </x:c>
      <x:c r="J573" s="8" t="n">
        <x:v>0</x:v>
      </x:c>
      <x:c r="K573" s="8" t="n">
        <x:f>H573-I573*J573</x:f>
        <x:v>4.564564564564565</x:v>
      </x:c>
      <x:c r="L573" s="8" t="n">
        <x:f>'PG facts'!D106</x:f>
        <x:v>1</x:v>
      </x:c>
      <x:c r="M573" s="8" t="n">
        <x:f>K573-L573</x:f>
        <x:v>3.5645645645645647</x:v>
      </x:c>
      <x:c r="N573" s="8" t="n">
        <x:f>M573^2</x:f>
        <x:v>12.706120534949365</x:v>
      </x:c>
      <x:c r="O573" s="8" t="n">
        <x:f>ABS(M573)</x:f>
        <x:v>3.5645645645645647</x:v>
      </x:c>
      <x:c r="P573" s="7" t="n">
        <x:v>45583</x:v>
      </x:c>
    </x:row>
    <x:row r="574" ht="26" customHeight="1">
      <x:c r="A574" s="2"/>
      <x:c r="B574" s="2" t="n">
        <x:v>569</x:v>
      </x:c>
      <x:c r="C574" s="2" t="str">
        <x:v>Health Care / price_contribution</x:v>
      </x:c>
      <x:c r="D574" s="7" t="n">
        <x:v>45565</x:v>
      </x:c>
      <x:c r="E574" s="2" t="str">
        <x:v>Prior report</x:v>
      </x:c>
      <x:c r="F574" s="7" t="n">
        <x:v>45503</x:v>
      </x:c>
      <x:c r="G574" s="2" t="str">
        <x:v>Last actual</x:v>
      </x:c>
      <x:c r="H574" s="8" t="n">
        <x:f>AVERAGE('PG facts'!D99)</x:f>
        <x:v>2</x:v>
      </x:c>
      <x:c r="I574" s="8" t="n">
        <x:f>0</x:f>
        <x:v>0</x:v>
      </x:c>
      <x:c r="J574" s="8" t="n">
        <x:v>0</x:v>
      </x:c>
      <x:c r="K574" s="8" t="n">
        <x:f>H574-I574*J574</x:f>
        <x:v>2</x:v>
      </x:c>
      <x:c r="L574" s="8" t="n">
        <x:f>'PG facts'!D106</x:f>
        <x:v>1</x:v>
      </x:c>
      <x:c r="M574" s="8" t="n">
        <x:f>K574-L574</x:f>
        <x:v>1</x:v>
      </x:c>
      <x:c r="N574" s="8" t="n">
        <x:f>M574^2</x:f>
        <x:v>1</x:v>
      </x:c>
      <x:c r="O574" s="8" t="n">
        <x:f>ABS(M574)</x:f>
        <x:v>1</x:v>
      </x:c>
      <x:c r="P574" s="7" t="n">
        <x:v>45583</x:v>
      </x:c>
    </x:row>
    <x:row r="575" ht="26" customHeight="1">
      <x:c r="A575" s="2"/>
      <x:c r="B575" s="2" t="n">
        <x:v>570</x:v>
      </x:c>
      <x:c r="C575" s="2" t="str">
        <x:v>Health Care / price_contribution</x:v>
      </x:c>
      <x:c r="D575" s="7" t="n">
        <x:v>45565</x:v>
      </x:c>
      <x:c r="E575" s="2" t="str">
        <x:v>Prior report</x:v>
      </x:c>
      <x:c r="F575" s="7" t="n">
        <x:v>45503</x:v>
      </x:c>
      <x:c r="G575" s="2" t="str">
        <x:v>Four-quarter mean</x:v>
      </x:c>
      <x:c r="H575" s="8" t="n">
        <x:f>AVERAGE('PG facts'!D78,'PG facts'!D85,'PG facts'!D92,'PG facts'!D99)</x:f>
        <x:v>4.25</x:v>
      </x:c>
      <x:c r="I575" s="8" t="n">
        <x:f>0</x:f>
        <x:v>0</x:v>
      </x:c>
      <x:c r="J575" s="8" t="n">
        <x:v>0</x:v>
      </x:c>
      <x:c r="K575" s="8" t="n">
        <x:f>H575-I575*J575</x:f>
        <x:v>4.25</x:v>
      </x:c>
      <x:c r="L575" s="8" t="n">
        <x:f>'PG facts'!D106</x:f>
        <x:v>1</x:v>
      </x:c>
      <x:c r="M575" s="8" t="n">
        <x:f>K575-L575</x:f>
        <x:v>3.25</x:v>
      </x:c>
      <x:c r="N575" s="8" t="n">
        <x:f>M575^2</x:f>
        <x:v>10.5625</x:v>
      </x:c>
      <x:c r="O575" s="8" t="n">
        <x:f>ABS(M575)</x:f>
        <x:v>3.25</x:v>
      </x:c>
      <x:c r="P575" s="7" t="n">
        <x:v>45583</x:v>
      </x:c>
    </x:row>
    <x:row r="576" ht="26" customHeight="1">
      <x:c r="A576" s="2"/>
      <x:c r="B576" s="2" t="n">
        <x:v>571</x:v>
      </x:c>
      <x:c r="C576" s="2" t="str">
        <x:v>Health Care / price_contribution</x:v>
      </x:c>
      <x:c r="D576" s="7" t="n">
        <x:v>45565</x:v>
      </x:c>
      <x:c r="E576" s="2" t="str">
        <x:v>Prior report</x:v>
      </x:c>
      <x:c r="F576" s="7" t="n">
        <x:v>45503</x:v>
      </x:c>
      <x:c r="G576" s="2" t="str">
        <x:v>Broad market</x:v>
      </x:c>
      <x:c r="H576" s="8" t="n">
        <x:f>'Model fits'!AA398</x:f>
        <x:v>2.5357955438283213</x:v>
      </x:c>
      <x:c r="I576" s="8" t="n">
        <x:f>0</x:f>
        <x:v>0</x:v>
      </x:c>
      <x:c r="J576" s="8" t="n">
        <x:v>0</x:v>
      </x:c>
      <x:c r="K576" s="8" t="n">
        <x:f>H576-I576*J576</x:f>
        <x:v>2.5357955438283213</x:v>
      </x:c>
      <x:c r="L576" s="8" t="n">
        <x:f>'PG facts'!D106</x:f>
        <x:v>1</x:v>
      </x:c>
      <x:c r="M576" s="8" t="n">
        <x:f>K576-L576</x:f>
        <x:v>1.5357955438283213</x:v>
      </x:c>
      <x:c r="N576" s="8" t="n">
        <x:f>M576^2</x:f>
        <x:v>2.358667952442929</x:v>
      </x:c>
      <x:c r="O576" s="8" t="n">
        <x:f>ABS(M576)</x:f>
        <x:v>1.5357955438283213</x:v>
      </x:c>
      <x:c r="P576" s="7" t="n">
        <x:v>45583</x:v>
      </x:c>
    </x:row>
    <x:row r="577" ht="26" customHeight="1">
      <x:c r="A577" s="2"/>
      <x:c r="B577" s="2" t="n">
        <x:v>572</x:v>
      </x:c>
      <x:c r="C577" s="2" t="str">
        <x:v>Health Care / price_contribution</x:v>
      </x:c>
      <x:c r="D577" s="7" t="n">
        <x:v>45565</x:v>
      </x:c>
      <x:c r="E577" s="2" t="str">
        <x:v>Prior report</x:v>
      </x:c>
      <x:c r="F577" s="7" t="n">
        <x:v>45503</x:v>
      </x:c>
      <x:c r="G577" s="2" t="str">
        <x:v>Broad lag 1</x:v>
      </x:c>
      <x:c r="H577" s="8" t="n">
        <x:f>'Model fits'!AA399</x:f>
        <x:v>3.012470694779572</x:v>
      </x:c>
      <x:c r="I577" s="8" t="n">
        <x:f>0</x:f>
        <x:v>0</x:v>
      </x:c>
      <x:c r="J577" s="8" t="n">
        <x:v>0</x:v>
      </x:c>
      <x:c r="K577" s="8" t="n">
        <x:f>H577-I577*J577</x:f>
        <x:v>3.012470694779572</x:v>
      </x:c>
      <x:c r="L577" s="8" t="n">
        <x:f>'PG facts'!D106</x:f>
        <x:v>1</x:v>
      </x:c>
      <x:c r="M577" s="8" t="n">
        <x:f>K577-L577</x:f>
        <x:v>2.012470694779572</x:v>
      </x:c>
      <x:c r="N577" s="8" t="n">
        <x:f>M577^2</x:f>
        <x:v>4.050038297346574</x:v>
      </x:c>
      <x:c r="O577" s="8" t="n">
        <x:f>ABS(M577)</x:f>
        <x:v>2.012470694779572</x:v>
      </x:c>
      <x:c r="P577" s="7" t="n">
        <x:v>45583</x:v>
      </x:c>
    </x:row>
    <x:row r="578" ht="26" customHeight="1">
      <x:c r="A578" s="2"/>
      <x:c r="B578" s="2" t="n">
        <x:v>573</x:v>
      </x:c>
      <x:c r="C578" s="2" t="str">
        <x:v>Health Care / price_contribution</x:v>
      </x:c>
      <x:c r="D578" s="7" t="n">
        <x:v>45565</x:v>
      </x:c>
      <x:c r="E578" s="2" t="str">
        <x:v>Prior report</x:v>
      </x:c>
      <x:c r="F578" s="7" t="n">
        <x:v>45503</x:v>
      </x:c>
      <x:c r="G578" s="2" t="str">
        <x:v>Broad rolling 8</x:v>
      </x:c>
      <x:c r="H578" s="8" t="n">
        <x:f>'Model fits'!AA400</x:f>
        <x:v>2.7703001060340915</x:v>
      </x:c>
      <x:c r="I578" s="8" t="n">
        <x:f>0</x:f>
        <x:v>0</x:v>
      </x:c>
      <x:c r="J578" s="8" t="n">
        <x:v>0</x:v>
      </x:c>
      <x:c r="K578" s="8" t="n">
        <x:f>H578-I578*J578</x:f>
        <x:v>2.7703001060340915</x:v>
      </x:c>
      <x:c r="L578" s="8" t="n">
        <x:f>'PG facts'!D106</x:f>
        <x:v>1</x:v>
      </x:c>
      <x:c r="M578" s="8" t="n">
        <x:f>K578-L578</x:f>
        <x:v>1.7703001060340915</x:v>
      </x:c>
      <x:c r="N578" s="8" t="n">
        <x:f>M578^2</x:f>
        <x:v>3.1339624654243154</x:v>
      </x:c>
      <x:c r="O578" s="8" t="n">
        <x:f>ABS(M578)</x:f>
        <x:v>1.7703001060340915</x:v>
      </x:c>
      <x:c r="P578" s="7" t="n">
        <x:v>45583</x:v>
      </x:c>
    </x:row>
    <x:row r="579" ht="26" customHeight="1">
      <x:c r="A579" s="2"/>
      <x:c r="B579" s="2" t="n">
        <x:v>574</x:v>
      </x:c>
      <x:c r="C579" s="2" t="str">
        <x:v>Health Care / price_contribution</x:v>
      </x:c>
      <x:c r="D579" s="7" t="n">
        <x:v>45565</x:v>
      </x:c>
      <x:c r="E579" s="2" t="str">
        <x:v>Prior report</x:v>
      </x:c>
      <x:c r="F579" s="7" t="n">
        <x:v>45503</x:v>
      </x:c>
      <x:c r="G579" s="2" t="str">
        <x:v>Own history</x:v>
      </x:c>
      <x:c r="H579" s="8" t="n">
        <x:f>'Model fits'!AA401</x:f>
        <x:v>2.566666666666667</x:v>
      </x:c>
      <x:c r="I579" s="8" t="n">
        <x:f>0</x:f>
        <x:v>0</x:v>
      </x:c>
      <x:c r="J579" s="8" t="n">
        <x:v>0</x:v>
      </x:c>
      <x:c r="K579" s="8" t="n">
        <x:f>H579-I579*J579</x:f>
        <x:v>2.566666666666667</x:v>
      </x:c>
      <x:c r="L579" s="8" t="n">
        <x:f>'PG facts'!D106</x:f>
        <x:v>1</x:v>
      </x:c>
      <x:c r="M579" s="8" t="n">
        <x:f>K579-L579</x:f>
        <x:v>1.5666666666666669</x:v>
      </x:c>
      <x:c r="N579" s="8" t="n">
        <x:f>M579^2</x:f>
        <x:v>2.454444444444445</x:v>
      </x:c>
      <x:c r="O579" s="8" t="n">
        <x:f>ABS(M579)</x:f>
        <x:v>1.5666666666666669</x:v>
      </x:c>
      <x:c r="P579" s="7" t="n">
        <x:v>45583</x:v>
      </x:c>
    </x:row>
    <x:row r="580" ht="26" customHeight="1">
      <x:c r="A580" s="2"/>
      <x:c r="B580" s="2" t="n">
        <x:v>575</x:v>
      </x:c>
      <x:c r="C580" s="2" t="str">
        <x:v>Health Care / price_contribution</x:v>
      </x:c>
      <x:c r="D580" s="7" t="n">
        <x:v>45565</x:v>
      </x:c>
      <x:c r="E580" s="2" t="str">
        <x:v>Pre-earnings</x:v>
      </x:c>
      <x:c r="F580" s="7" t="n">
        <x:v>45582</x:v>
      </x:c>
      <x:c r="G580" s="2" t="str">
        <x:v>Last actual</x:v>
      </x:c>
      <x:c r="H580" s="8" t="n">
        <x:f>AVERAGE('PG facts'!D99)</x:f>
        <x:v>2</x:v>
      </x:c>
      <x:c r="I580" s="8" t="n">
        <x:f>0</x:f>
        <x:v>0</x:v>
      </x:c>
      <x:c r="J580" s="8" t="n">
        <x:v>0</x:v>
      </x:c>
      <x:c r="K580" s="8" t="n">
        <x:f>H580-I580*J580</x:f>
        <x:v>2</x:v>
      </x:c>
      <x:c r="L580" s="8" t="n">
        <x:f>'PG facts'!D106</x:f>
        <x:v>1</x:v>
      </x:c>
      <x:c r="M580" s="8" t="n">
        <x:f>K580-L580</x:f>
        <x:v>1</x:v>
      </x:c>
      <x:c r="N580" s="8" t="n">
        <x:f>M580^2</x:f>
        <x:v>1</x:v>
      </x:c>
      <x:c r="O580" s="8" t="n">
        <x:f>ABS(M580)</x:f>
        <x:v>1</x:v>
      </x:c>
      <x:c r="P580" s="7" t="n">
        <x:v>45583</x:v>
      </x:c>
    </x:row>
    <x:row r="581" ht="26" customHeight="1">
      <x:c r="A581" s="2"/>
      <x:c r="B581" s="2" t="n">
        <x:v>576</x:v>
      </x:c>
      <x:c r="C581" s="2" t="str">
        <x:v>Health Care / price_contribution</x:v>
      </x:c>
      <x:c r="D581" s="7" t="n">
        <x:v>45565</x:v>
      </x:c>
      <x:c r="E581" s="2" t="str">
        <x:v>Pre-earnings</x:v>
      </x:c>
      <x:c r="F581" s="7" t="n">
        <x:v>45582</x:v>
      </x:c>
      <x:c r="G581" s="2" t="str">
        <x:v>Four-quarter mean</x:v>
      </x:c>
      <x:c r="H581" s="8" t="n">
        <x:f>AVERAGE('PG facts'!D78,'PG facts'!D85,'PG facts'!D92,'PG facts'!D99)</x:f>
        <x:v>4.25</x:v>
      </x:c>
      <x:c r="I581" s="8" t="n">
        <x:f>0</x:f>
        <x:v>0</x:v>
      </x:c>
      <x:c r="J581" s="8" t="n">
        <x:v>0</x:v>
      </x:c>
      <x:c r="K581" s="8" t="n">
        <x:f>H581-I581*J581</x:f>
        <x:v>4.25</x:v>
      </x:c>
      <x:c r="L581" s="8" t="n">
        <x:f>'PG facts'!D106</x:f>
        <x:v>1</x:v>
      </x:c>
      <x:c r="M581" s="8" t="n">
        <x:f>K581-L581</x:f>
        <x:v>3.25</x:v>
      </x:c>
      <x:c r="N581" s="8" t="n">
        <x:f>M581^2</x:f>
        <x:v>10.5625</x:v>
      </x:c>
      <x:c r="O581" s="8" t="n">
        <x:f>ABS(M581)</x:f>
        <x:v>3.25</x:v>
      </x:c>
      <x:c r="P581" s="7" t="n">
        <x:v>45583</x:v>
      </x:c>
    </x:row>
    <x:row r="582" ht="26" customHeight="1">
      <x:c r="A582" s="2"/>
      <x:c r="B582" s="2" t="n">
        <x:v>577</x:v>
      </x:c>
      <x:c r="C582" s="2" t="str">
        <x:v>Health Care / price_contribution</x:v>
      </x:c>
      <x:c r="D582" s="7" t="n">
        <x:v>45565</x:v>
      </x:c>
      <x:c r="E582" s="2" t="str">
        <x:v>Pre-earnings</x:v>
      </x:c>
      <x:c r="F582" s="7" t="n">
        <x:v>45582</x:v>
      </x:c>
      <x:c r="G582" s="2" t="str">
        <x:v>Broad market</x:v>
      </x:c>
      <x:c r="H582" s="8" t="n">
        <x:f>'Model fits'!AA402</x:f>
        <x:v>1.6213288455239176</x:v>
      </x:c>
      <x:c r="I582" s="8" t="n">
        <x:f>0</x:f>
        <x:v>0</x:v>
      </x:c>
      <x:c r="J582" s="8" t="n">
        <x:v>0</x:v>
      </x:c>
      <x:c r="K582" s="8" t="n">
        <x:f>H582-I582*J582</x:f>
        <x:v>1.6213288455239176</x:v>
      </x:c>
      <x:c r="L582" s="8" t="n">
        <x:f>'PG facts'!D106</x:f>
        <x:v>1</x:v>
      </x:c>
      <x:c r="M582" s="8" t="n">
        <x:f>K582-L582</x:f>
        <x:v>0.6213288455239176</x:v>
      </x:c>
      <x:c r="N582" s="8" t="n">
        <x:f>M582^2</x:f>
        <x:v>0.3860495342800843</x:v>
      </x:c>
      <x:c r="O582" s="8" t="n">
        <x:f>ABS(M582)</x:f>
        <x:v>0.6213288455239176</x:v>
      </x:c>
      <x:c r="P582" s="7" t="n">
        <x:v>45583</x:v>
      </x:c>
    </x:row>
    <x:row r="583" ht="26" customHeight="1">
      <x:c r="A583" s="2"/>
      <x:c r="B583" s="2" t="n">
        <x:v>578</x:v>
      </x:c>
      <x:c r="C583" s="2" t="str">
        <x:v>Health Care / price_contribution</x:v>
      </x:c>
      <x:c r="D583" s="7" t="n">
        <x:v>45565</x:v>
      </x:c>
      <x:c r="E583" s="2" t="str">
        <x:v>Pre-earnings</x:v>
      </x:c>
      <x:c r="F583" s="7" t="n">
        <x:v>45582</x:v>
      </x:c>
      <x:c r="G583" s="2" t="str">
        <x:v>Broad lag 1</x:v>
      </x:c>
      <x:c r="H583" s="8" t="n">
        <x:f>'Model fits'!AA403</x:f>
        <x:v>3.012470694779572</x:v>
      </x:c>
      <x:c r="I583" s="8" t="n">
        <x:f>0</x:f>
        <x:v>0</x:v>
      </x:c>
      <x:c r="J583" s="8" t="n">
        <x:v>0</x:v>
      </x:c>
      <x:c r="K583" s="8" t="n">
        <x:f>H583-I583*J583</x:f>
        <x:v>3.012470694779572</x:v>
      </x:c>
      <x:c r="L583" s="8" t="n">
        <x:f>'PG facts'!D106</x:f>
        <x:v>1</x:v>
      </x:c>
      <x:c r="M583" s="8" t="n">
        <x:f>K583-L583</x:f>
        <x:v>2.012470694779572</x:v>
      </x:c>
      <x:c r="N583" s="8" t="n">
        <x:f>M583^2</x:f>
        <x:v>4.050038297346574</x:v>
      </x:c>
      <x:c r="O583" s="8" t="n">
        <x:f>ABS(M583)</x:f>
        <x:v>2.012470694779572</x:v>
      </x:c>
      <x:c r="P583" s="7" t="n">
        <x:v>45583</x:v>
      </x:c>
    </x:row>
    <x:row r="584" ht="26" customHeight="1">
      <x:c r="A584" s="2"/>
      <x:c r="B584" s="2" t="n">
        <x:v>579</x:v>
      </x:c>
      <x:c r="C584" s="2" t="str">
        <x:v>Health Care / price_contribution</x:v>
      </x:c>
      <x:c r="D584" s="7" t="n">
        <x:v>45565</x:v>
      </x:c>
      <x:c r="E584" s="2" t="str">
        <x:v>Pre-earnings</x:v>
      </x:c>
      <x:c r="F584" s="7" t="n">
        <x:v>45582</x:v>
      </x:c>
      <x:c r="G584" s="2" t="str">
        <x:v>Broad rolling 8</x:v>
      </x:c>
      <x:c r="H584" s="8" t="n">
        <x:f>'Model fits'!AA404</x:f>
        <x:v>1.9707175771835366</x:v>
      </x:c>
      <x:c r="I584" s="8" t="n">
        <x:f>0</x:f>
        <x:v>0</x:v>
      </x:c>
      <x:c r="J584" s="8" t="n">
        <x:v>0</x:v>
      </x:c>
      <x:c r="K584" s="8" t="n">
        <x:f>H584-I584*J584</x:f>
        <x:v>1.9707175771835366</x:v>
      </x:c>
      <x:c r="L584" s="8" t="n">
        <x:f>'PG facts'!D106</x:f>
        <x:v>1</x:v>
      </x:c>
      <x:c r="M584" s="8" t="n">
        <x:f>K584-L584</x:f>
        <x:v>0.9707175771835366</x:v>
      </x:c>
      <x:c r="N584" s="8" t="n">
        <x:f>M584^2</x:f>
        <x:v>0.9422926146530752</x:v>
      </x:c>
      <x:c r="O584" s="8" t="n">
        <x:f>ABS(M584)</x:f>
        <x:v>0.9707175771835366</x:v>
      </x:c>
      <x:c r="P584" s="7" t="n">
        <x:v>45583</x:v>
      </x:c>
    </x:row>
    <x:row r="585" ht="26" customHeight="1">
      <x:c r="A585" s="2"/>
      <x:c r="B585" s="2" t="n">
        <x:v>580</x:v>
      </x:c>
      <x:c r="C585" s="2" t="str">
        <x:v>Health Care / price_contribution</x:v>
      </x:c>
      <x:c r="D585" s="7" t="n">
        <x:v>45565</x:v>
      </x:c>
      <x:c r="E585" s="2" t="str">
        <x:v>Pre-earnings</x:v>
      </x:c>
      <x:c r="F585" s="7" t="n">
        <x:v>45582</x:v>
      </x:c>
      <x:c r="G585" s="2" t="str">
        <x:v>Own history</x:v>
      </x:c>
      <x:c r="H585" s="8" t="n">
        <x:f>'Model fits'!AA405</x:f>
        <x:v>2.566666666666667</x:v>
      </x:c>
      <x:c r="I585" s="8" t="n">
        <x:f>0</x:f>
        <x:v>0</x:v>
      </x:c>
      <x:c r="J585" s="8" t="n">
        <x:v>0</x:v>
      </x:c>
      <x:c r="K585" s="8" t="n">
        <x:f>H585-I585*J585</x:f>
        <x:v>2.566666666666667</x:v>
      </x:c>
      <x:c r="L585" s="8" t="n">
        <x:f>'PG facts'!D106</x:f>
        <x:v>1</x:v>
      </x:c>
      <x:c r="M585" s="8" t="n">
        <x:f>K585-L585</x:f>
        <x:v>1.5666666666666669</x:v>
      </x:c>
      <x:c r="N585" s="8" t="n">
        <x:f>M585^2</x:f>
        <x:v>2.454444444444445</x:v>
      </x:c>
      <x:c r="O585" s="8" t="n">
        <x:f>ABS(M585)</x:f>
        <x:v>1.5666666666666669</x:v>
      </x:c>
      <x:c r="P585" s="7" t="n">
        <x:v>45583</x:v>
      </x:c>
    </x:row>
    <x:row r="586" ht="26" customHeight="1">
      <x:c r="A586" s="2"/>
      <x:c r="B586" s="2" t="n">
        <x:v>581</x:v>
      </x:c>
      <x:c r="C586" s="2" t="str">
        <x:v>Health Care / price_contribution</x:v>
      </x:c>
      <x:c r="D586" s="7" t="n">
        <x:v>45657</x:v>
      </x:c>
      <x:c r="E586" s="2" t="str">
        <x:v>Origin</x:v>
      </x:c>
      <x:c r="F586" s="7" t="n">
        <x:v>45566</x:v>
      </x:c>
      <x:c r="G586" s="2" t="str">
        <x:v>Last actual</x:v>
      </x:c>
      <x:c r="H586" s="8" t="n">
        <x:f>AVERAGE('PG facts'!D99)</x:f>
        <x:v>2</x:v>
      </x:c>
      <x:c r="I586" s="8" t="n">
        <x:f>0</x:f>
        <x:v>0</x:v>
      </x:c>
      <x:c r="J586" s="8" t="n">
        <x:v>0</x:v>
      </x:c>
      <x:c r="K586" s="8" t="n">
        <x:f>H586-I586*J586</x:f>
        <x:v>2</x:v>
      </x:c>
      <x:c r="L586" s="8" t="n">
        <x:f>'PG facts'!D113</x:f>
        <x:v>1</x:v>
      </x:c>
      <x:c r="M586" s="8" t="n">
        <x:f>K586-L586</x:f>
        <x:v>1</x:v>
      </x:c>
      <x:c r="N586" s="8" t="n">
        <x:f>M586^2</x:f>
        <x:v>1</x:v>
      </x:c>
      <x:c r="O586" s="8" t="n">
        <x:f>ABS(M586)</x:f>
        <x:v>1</x:v>
      </x:c>
      <x:c r="P586" s="7" t="n">
        <x:v>45679</x:v>
      </x:c>
    </x:row>
    <x:row r="587" ht="26" customHeight="1">
      <x:c r="A587" s="2"/>
      <x:c r="B587" s="2" t="n">
        <x:v>582</x:v>
      </x:c>
      <x:c r="C587" s="2" t="str">
        <x:v>Health Care / price_contribution</x:v>
      </x:c>
      <x:c r="D587" s="7" t="n">
        <x:v>45657</x:v>
      </x:c>
      <x:c r="E587" s="2" t="str">
        <x:v>Origin</x:v>
      </x:c>
      <x:c r="F587" s="7" t="n">
        <x:v>45566</x:v>
      </x:c>
      <x:c r="G587" s="2" t="str">
        <x:v>Four-quarter mean</x:v>
      </x:c>
      <x:c r="H587" s="8" t="n">
        <x:f>AVERAGE('PG facts'!D78,'PG facts'!D85,'PG facts'!D92,'PG facts'!D99)</x:f>
        <x:v>4.25</x:v>
      </x:c>
      <x:c r="I587" s="8" t="n">
        <x:f>0</x:f>
        <x:v>0</x:v>
      </x:c>
      <x:c r="J587" s="8" t="n">
        <x:v>0</x:v>
      </x:c>
      <x:c r="K587" s="8" t="n">
        <x:f>H587-I587*J587</x:f>
        <x:v>4.25</x:v>
      </x:c>
      <x:c r="L587" s="8" t="n">
        <x:f>'PG facts'!D113</x:f>
        <x:v>1</x:v>
      </x:c>
      <x:c r="M587" s="8" t="n">
        <x:f>K587-L587</x:f>
        <x:v>3.25</x:v>
      </x:c>
      <x:c r="N587" s="8" t="n">
        <x:f>M587^2</x:f>
        <x:v>10.5625</x:v>
      </x:c>
      <x:c r="O587" s="8" t="n">
        <x:f>ABS(M587)</x:f>
        <x:v>3.25</x:v>
      </x:c>
      <x:c r="P587" s="7" t="n">
        <x:v>45679</x:v>
      </x:c>
    </x:row>
    <x:row r="588" ht="26" customHeight="1">
      <x:c r="A588" s="2"/>
      <x:c r="B588" s="2" t="n">
        <x:v>583</x:v>
      </x:c>
      <x:c r="C588" s="2" t="str">
        <x:v>Health Care / price_contribution</x:v>
      </x:c>
      <x:c r="D588" s="7" t="n">
        <x:v>45657</x:v>
      </x:c>
      <x:c r="E588" s="2" t="str">
        <x:v>Origin</x:v>
      </x:c>
      <x:c r="F588" s="7" t="n">
        <x:v>45566</x:v>
      </x:c>
      <x:c r="G588" s="2" t="str">
        <x:v>Broad market</x:v>
      </x:c>
      <x:c r="H588" s="8" t="n">
        <x:f>'Model fits'!AA406</x:f>
        <x:v>1.8341646564344243</x:v>
      </x:c>
      <x:c r="I588" s="8" t="n">
        <x:f>0</x:f>
        <x:v>0</x:v>
      </x:c>
      <x:c r="J588" s="8" t="n">
        <x:v>0</x:v>
      </x:c>
      <x:c r="K588" s="8" t="n">
        <x:f>H588-I588*J588</x:f>
        <x:v>1.8341646564344243</x:v>
      </x:c>
      <x:c r="L588" s="8" t="n">
        <x:f>'PG facts'!D113</x:f>
        <x:v>1</x:v>
      </x:c>
      <x:c r="M588" s="8" t="n">
        <x:f>K588-L588</x:f>
        <x:v>0.8341646564344243</x:v>
      </x:c>
      <x:c r="N588" s="8" t="n">
        <x:f>M588^2</x:f>
        <x:v>0.695830674044361</x:v>
      </x:c>
      <x:c r="O588" s="8" t="n">
        <x:f>ABS(M588)</x:f>
        <x:v>0.8341646564344243</x:v>
      </x:c>
      <x:c r="P588" s="7" t="n">
        <x:v>45679</x:v>
      </x:c>
    </x:row>
    <x:row r="589" ht="26" customHeight="1">
      <x:c r="A589" s="2"/>
      <x:c r="B589" s="2" t="n">
        <x:v>584</x:v>
      </x:c>
      <x:c r="C589" s="2" t="str">
        <x:v>Health Care / price_contribution</x:v>
      </x:c>
      <x:c r="D589" s="7" t="n">
        <x:v>45657</x:v>
      </x:c>
      <x:c r="E589" s="2" t="str">
        <x:v>Origin</x:v>
      </x:c>
      <x:c r="F589" s="7" t="n">
        <x:v>45566</x:v>
      </x:c>
      <x:c r="G589" s="2" t="str">
        <x:v>Broad rolling 8</x:v>
      </x:c>
      <x:c r="H589" s="8" t="n">
        <x:f>'Model fits'!AA407</x:f>
        <x:v>2.1568148907689597</x:v>
      </x:c>
      <x:c r="I589" s="8" t="n">
        <x:f>0</x:f>
        <x:v>0</x:v>
      </x:c>
      <x:c r="J589" s="8" t="n">
        <x:v>0</x:v>
      </x:c>
      <x:c r="K589" s="8" t="n">
        <x:f>H589-I589*J589</x:f>
        <x:v>2.1568148907689597</x:v>
      </x:c>
      <x:c r="L589" s="8" t="n">
        <x:f>'PG facts'!D113</x:f>
        <x:v>1</x:v>
      </x:c>
      <x:c r="M589" s="8" t="n">
        <x:f>K589-L589</x:f>
        <x:v>1.1568148907689597</x:v>
      </x:c>
      <x:c r="N589" s="8" t="n">
        <x:f>M589^2</x:f>
        <x:v>1.3382206915048003</x:v>
      </x:c>
      <x:c r="O589" s="8" t="n">
        <x:f>ABS(M589)</x:f>
        <x:v>1.1568148907689597</x:v>
      </x:c>
      <x:c r="P589" s="7" t="n">
        <x:v>45679</x:v>
      </x:c>
    </x:row>
    <x:row r="590" ht="26" customHeight="1">
      <x:c r="A590" s="2"/>
      <x:c r="B590" s="2" t="n">
        <x:v>585</x:v>
      </x:c>
      <x:c r="C590" s="2" t="str">
        <x:v>Health Care / price_contribution</x:v>
      </x:c>
      <x:c r="D590" s="7" t="n">
        <x:v>45657</x:v>
      </x:c>
      <x:c r="E590" s="2" t="str">
        <x:v>Origin</x:v>
      </x:c>
      <x:c r="F590" s="7" t="n">
        <x:v>45566</x:v>
      </x:c>
      <x:c r="G590" s="2" t="str">
        <x:v>Own history</x:v>
      </x:c>
      <x:c r="H590" s="8" t="n">
        <x:f>'Model fits'!AA408</x:f>
        <x:v>3.309236947791165</x:v>
      </x:c>
      <x:c r="I590" s="8" t="n">
        <x:f>0</x:f>
        <x:v>0</x:v>
      </x:c>
      <x:c r="J590" s="8" t="n">
        <x:v>0</x:v>
      </x:c>
      <x:c r="K590" s="8" t="n">
        <x:f>H590-I590*J590</x:f>
        <x:v>3.309236947791165</x:v>
      </x:c>
      <x:c r="L590" s="8" t="n">
        <x:f>'PG facts'!D113</x:f>
        <x:v>1</x:v>
      </x:c>
      <x:c r="M590" s="8" t="n">
        <x:f>K590-L590</x:f>
        <x:v>2.309236947791165</x:v>
      </x:c>
      <x:c r="N590" s="8" t="n">
        <x:f>M590^2</x:f>
        <x:v>5.332575281043855</x:v>
      </x:c>
      <x:c r="O590" s="8" t="n">
        <x:f>ABS(M590)</x:f>
        <x:v>2.309236947791165</x:v>
      </x:c>
      <x:c r="P590" s="7" t="n">
        <x:v>45679</x:v>
      </x:c>
    </x:row>
    <x:row r="591" ht="26" customHeight="1">
      <x:c r="A591" s="2"/>
      <x:c r="B591" s="2" t="n">
        <x:v>586</x:v>
      </x:c>
      <x:c r="C591" s="2" t="str">
        <x:v>Health Care / price_contribution</x:v>
      </x:c>
      <x:c r="D591" s="7" t="n">
        <x:v>45657</x:v>
      </x:c>
      <x:c r="E591" s="2" t="str">
        <x:v>Prior report</x:v>
      </x:c>
      <x:c r="F591" s="7" t="n">
        <x:v>45583</x:v>
      </x:c>
      <x:c r="G591" s="2" t="str">
        <x:v>Last actual</x:v>
      </x:c>
      <x:c r="H591" s="8" t="n">
        <x:f>AVERAGE('PG facts'!D106)</x:f>
        <x:v>1</x:v>
      </x:c>
      <x:c r="I591" s="8" t="n">
        <x:f>0</x:f>
        <x:v>0</x:v>
      </x:c>
      <x:c r="J591" s="8" t="n">
        <x:v>0</x:v>
      </x:c>
      <x:c r="K591" s="8" t="n">
        <x:f>H591-I591*J591</x:f>
        <x:v>1</x:v>
      </x:c>
      <x:c r="L591" s="8" t="n">
        <x:f>'PG facts'!D113</x:f>
        <x:v>1</x:v>
      </x:c>
      <x:c r="M591" s="8" t="n">
        <x:f>K591-L591</x:f>
        <x:v>0</x:v>
      </x:c>
      <x:c r="N591" s="8" t="n">
        <x:f>M591^2</x:f>
        <x:v>0</x:v>
      </x:c>
      <x:c r="O591" s="8" t="n">
        <x:f>ABS(M591)</x:f>
        <x:v>0</x:v>
      </x:c>
      <x:c r="P591" s="7" t="n">
        <x:v>45679</x:v>
      </x:c>
    </x:row>
    <x:row r="592" ht="26" customHeight="1">
      <x:c r="A592" s="2"/>
      <x:c r="B592" s="2" t="n">
        <x:v>587</x:v>
      </x:c>
      <x:c r="C592" s="2" t="str">
        <x:v>Health Care / price_contribution</x:v>
      </x:c>
      <x:c r="D592" s="7" t="n">
        <x:v>45657</x:v>
      </x:c>
      <x:c r="E592" s="2" t="str">
        <x:v>Prior report</x:v>
      </x:c>
      <x:c r="F592" s="7" t="n">
        <x:v>45583</x:v>
      </x:c>
      <x:c r="G592" s="2" t="str">
        <x:v>Four-quarter mean</x:v>
      </x:c>
      <x:c r="H592" s="8" t="n">
        <x:f>AVERAGE('PG facts'!D85,'PG facts'!D92,'PG facts'!D99,'PG facts'!D106)</x:f>
        <x:v>3</x:v>
      </x:c>
      <x:c r="I592" s="8" t="n">
        <x:f>0</x:f>
        <x:v>0</x:v>
      </x:c>
      <x:c r="J592" s="8" t="n">
        <x:v>0</x:v>
      </x:c>
      <x:c r="K592" s="8" t="n">
        <x:f>H592-I592*J592</x:f>
        <x:v>3</x:v>
      </x:c>
      <x:c r="L592" s="8" t="n">
        <x:f>'PG facts'!D113</x:f>
        <x:v>1</x:v>
      </x:c>
      <x:c r="M592" s="8" t="n">
        <x:f>K592-L592</x:f>
        <x:v>2</x:v>
      </x:c>
      <x:c r="N592" s="8" t="n">
        <x:f>M592^2</x:f>
        <x:v>4</x:v>
      </x:c>
      <x:c r="O592" s="8" t="n">
        <x:f>ABS(M592)</x:f>
        <x:v>2</x:v>
      </x:c>
      <x:c r="P592" s="7" t="n">
        <x:v>45679</x:v>
      </x:c>
    </x:row>
    <x:row r="593" ht="26" customHeight="1">
      <x:c r="A593" s="2"/>
      <x:c r="B593" s="2" t="n">
        <x:v>588</x:v>
      </x:c>
      <x:c r="C593" s="2" t="str">
        <x:v>Health Care / price_contribution</x:v>
      </x:c>
      <x:c r="D593" s="7" t="n">
        <x:v>45657</x:v>
      </x:c>
      <x:c r="E593" s="2" t="str">
        <x:v>Prior report</x:v>
      </x:c>
      <x:c r="F593" s="7" t="n">
        <x:v>45583</x:v>
      </x:c>
      <x:c r="G593" s="2" t="str">
        <x:v>Broad market</x:v>
      </x:c>
      <x:c r="H593" s="8" t="n">
        <x:f>'Model fits'!AA409</x:f>
        <x:v>1.543782771308122</x:v>
      </x:c>
      <x:c r="I593" s="8" t="n">
        <x:f>0</x:f>
        <x:v>0</x:v>
      </x:c>
      <x:c r="J593" s="8" t="n">
        <x:v>0</x:v>
      </x:c>
      <x:c r="K593" s="8" t="n">
        <x:f>H593-I593*J593</x:f>
        <x:v>1.543782771308122</x:v>
      </x:c>
      <x:c r="L593" s="8" t="n">
        <x:f>'PG facts'!D113</x:f>
        <x:v>1</x:v>
      </x:c>
      <x:c r="M593" s="8" t="n">
        <x:f>K593-L593</x:f>
        <x:v>0.543782771308122</x:v>
      </x:c>
      <x:c r="N593" s="8" t="n">
        <x:f>M593^2</x:f>
        <x:v>0.29569970237154136</x:v>
      </x:c>
      <x:c r="O593" s="8" t="n">
        <x:f>ABS(M593)</x:f>
        <x:v>0.543782771308122</x:v>
      </x:c>
      <x:c r="P593" s="7" t="n">
        <x:v>45679</x:v>
      </x:c>
    </x:row>
    <x:row r="594" ht="26" customHeight="1">
      <x:c r="A594" s="2"/>
      <x:c r="B594" s="2" t="n">
        <x:v>589</x:v>
      </x:c>
      <x:c r="C594" s="2" t="str">
        <x:v>Health Care / price_contribution</x:v>
      </x:c>
      <x:c r="D594" s="7" t="n">
        <x:v>45657</x:v>
      </x:c>
      <x:c r="E594" s="2" t="str">
        <x:v>Prior report</x:v>
      </x:c>
      <x:c r="F594" s="7" t="n">
        <x:v>45583</x:v>
      </x:c>
      <x:c r="G594" s="2" t="str">
        <x:v>Broad lag 1</x:v>
      </x:c>
      <x:c r="H594" s="8" t="n">
        <x:f>'Model fits'!AA410</x:f>
        <x:v>2.0939769588979162</x:v>
      </x:c>
      <x:c r="I594" s="8" t="n">
        <x:f>0</x:f>
        <x:v>0</x:v>
      </x:c>
      <x:c r="J594" s="8" t="n">
        <x:v>0</x:v>
      </x:c>
      <x:c r="K594" s="8" t="n">
        <x:f>H594-I594*J594</x:f>
        <x:v>2.0939769588979162</x:v>
      </x:c>
      <x:c r="L594" s="8" t="n">
        <x:f>'PG facts'!D113</x:f>
        <x:v>1</x:v>
      </x:c>
      <x:c r="M594" s="8" t="n">
        <x:f>K594-L594</x:f>
        <x:v>1.0939769588979162</x:v>
      </x:c>
      <x:c r="N594" s="8" t="n">
        <x:f>M594^2</x:f>
        <x:v>1.1967855865995332</x:v>
      </x:c>
      <x:c r="O594" s="8" t="n">
        <x:f>ABS(M594)</x:f>
        <x:v>1.0939769588979162</x:v>
      </x:c>
      <x:c r="P594" s="7" t="n">
        <x:v>45679</x:v>
      </x:c>
    </x:row>
    <x:row r="595" ht="26" customHeight="1">
      <x:c r="A595" s="2"/>
      <x:c r="B595" s="2" t="n">
        <x:v>590</x:v>
      </x:c>
      <x:c r="C595" s="2" t="str">
        <x:v>Health Care / price_contribution</x:v>
      </x:c>
      <x:c r="D595" s="7" t="n">
        <x:v>45657</x:v>
      </x:c>
      <x:c r="E595" s="2" t="str">
        <x:v>Prior report</x:v>
      </x:c>
      <x:c r="F595" s="7" t="n">
        <x:v>45583</x:v>
      </x:c>
      <x:c r="G595" s="2" t="str">
        <x:v>Broad rolling 8</x:v>
      </x:c>
      <x:c r="H595" s="8" t="n">
        <x:f>'Model fits'!AA411</x:f>
        <x:v>1.477290518944862</x:v>
      </x:c>
      <x:c r="I595" s="8" t="n">
        <x:f>0</x:f>
        <x:v>0</x:v>
      </x:c>
      <x:c r="J595" s="8" t="n">
        <x:v>0</x:v>
      </x:c>
      <x:c r="K595" s="8" t="n">
        <x:f>H595-I595*J595</x:f>
        <x:v>1.477290518944862</x:v>
      </x:c>
      <x:c r="L595" s="8" t="n">
        <x:f>'PG facts'!D113</x:f>
        <x:v>1</x:v>
      </x:c>
      <x:c r="M595" s="8" t="n">
        <x:f>K595-L595</x:f>
        <x:v>0.47729051894486196</x:v>
      </x:c>
      <x:c r="N595" s="8" t="n">
        <x:f>M595^2</x:f>
        <x:v>0.22780623947465564</x:v>
      </x:c>
      <x:c r="O595" s="8" t="n">
        <x:f>ABS(M595)</x:f>
        <x:v>0.47729051894486196</x:v>
      </x:c>
      <x:c r="P595" s="7" t="n">
        <x:v>45679</x:v>
      </x:c>
    </x:row>
    <x:row r="596" ht="26" customHeight="1">
      <x:c r="A596" s="2"/>
      <x:c r="B596" s="2" t="n">
        <x:v>591</x:v>
      </x:c>
      <x:c r="C596" s="2" t="str">
        <x:v>Health Care / price_contribution</x:v>
      </x:c>
      <x:c r="D596" s="7" t="n">
        <x:v>45657</x:v>
      </x:c>
      <x:c r="E596" s="2" t="str">
        <x:v>Prior report</x:v>
      </x:c>
      <x:c r="F596" s="7" t="n">
        <x:v>45583</x:v>
      </x:c>
      <x:c r="G596" s="2" t="str">
        <x:v>Own history</x:v>
      </x:c>
      <x:c r="H596" s="8" t="n">
        <x:f>'Model fits'!AA412</x:f>
        <x:v>1.583789704271632</x:v>
      </x:c>
      <x:c r="I596" s="8" t="n">
        <x:f>0</x:f>
        <x:v>0</x:v>
      </x:c>
      <x:c r="J596" s="8" t="n">
        <x:v>0</x:v>
      </x:c>
      <x:c r="K596" s="8" t="n">
        <x:f>H596-I596*J596</x:f>
        <x:v>1.583789704271632</x:v>
      </x:c>
      <x:c r="L596" s="8" t="n">
        <x:f>'PG facts'!D113</x:f>
        <x:v>1</x:v>
      </x:c>
      <x:c r="M596" s="8" t="n">
        <x:f>K596-L596</x:f>
        <x:v>0.583789704271632</x:v>
      </x:c>
      <x:c r="N596" s="8" t="n">
        <x:f>M596^2</x:f>
        <x:v>0.34081041881355956</x:v>
      </x:c>
      <x:c r="O596" s="8" t="n">
        <x:f>ABS(M596)</x:f>
        <x:v>0.583789704271632</x:v>
      </x:c>
      <x:c r="P596" s="7" t="n">
        <x:v>45679</x:v>
      </x:c>
    </x:row>
    <x:row r="597" ht="26" customHeight="1">
      <x:c r="A597" s="2"/>
      <x:c r="B597" s="2" t="n">
        <x:v>592</x:v>
      </x:c>
      <x:c r="C597" s="2" t="str">
        <x:v>Health Care / price_contribution</x:v>
      </x:c>
      <x:c r="D597" s="7" t="n">
        <x:v>45657</x:v>
      </x:c>
      <x:c r="E597" s="2" t="str">
        <x:v>Pre-earnings</x:v>
      </x:c>
      <x:c r="F597" s="7" t="n">
        <x:v>45678</x:v>
      </x:c>
      <x:c r="G597" s="2" t="str">
        <x:v>Last actual</x:v>
      </x:c>
      <x:c r="H597" s="8" t="n">
        <x:f>AVERAGE('PG facts'!D106)</x:f>
        <x:v>1</x:v>
      </x:c>
      <x:c r="I597" s="8" t="n">
        <x:f>0</x:f>
        <x:v>0</x:v>
      </x:c>
      <x:c r="J597" s="8" t="n">
        <x:v>0</x:v>
      </x:c>
      <x:c r="K597" s="8" t="n">
        <x:f>H597-I597*J597</x:f>
        <x:v>1</x:v>
      </x:c>
      <x:c r="L597" s="8" t="n">
        <x:f>'PG facts'!D113</x:f>
        <x:v>1</x:v>
      </x:c>
      <x:c r="M597" s="8" t="n">
        <x:f>K597-L597</x:f>
        <x:v>0</x:v>
      </x:c>
      <x:c r="N597" s="8" t="n">
        <x:f>M597^2</x:f>
        <x:v>0</x:v>
      </x:c>
      <x:c r="O597" s="8" t="n">
        <x:f>ABS(M597)</x:f>
        <x:v>0</x:v>
      </x:c>
      <x:c r="P597" s="7" t="n">
        <x:v>45679</x:v>
      </x:c>
    </x:row>
    <x:row r="598" ht="26" customHeight="1">
      <x:c r="A598" s="2"/>
      <x:c r="B598" s="2" t="n">
        <x:v>593</x:v>
      </x:c>
      <x:c r="C598" s="2" t="str">
        <x:v>Health Care / price_contribution</x:v>
      </x:c>
      <x:c r="D598" s="7" t="n">
        <x:v>45657</x:v>
      </x:c>
      <x:c r="E598" s="2" t="str">
        <x:v>Pre-earnings</x:v>
      </x:c>
      <x:c r="F598" s="7" t="n">
        <x:v>45678</x:v>
      </x:c>
      <x:c r="G598" s="2" t="str">
        <x:v>Four-quarter mean</x:v>
      </x:c>
      <x:c r="H598" s="8" t="n">
        <x:f>AVERAGE('PG facts'!D85,'PG facts'!D92,'PG facts'!D99,'PG facts'!D106)</x:f>
        <x:v>3</x:v>
      </x:c>
      <x:c r="I598" s="8" t="n">
        <x:f>0</x:f>
        <x:v>0</x:v>
      </x:c>
      <x:c r="J598" s="8" t="n">
        <x:v>0</x:v>
      </x:c>
      <x:c r="K598" s="8" t="n">
        <x:f>H598-I598*J598</x:f>
        <x:v>3</x:v>
      </x:c>
      <x:c r="L598" s="8" t="n">
        <x:f>'PG facts'!D113</x:f>
        <x:v>1</x:v>
      </x:c>
      <x:c r="M598" s="8" t="n">
        <x:f>K598-L598</x:f>
        <x:v>2</x:v>
      </x:c>
      <x:c r="N598" s="8" t="n">
        <x:f>M598^2</x:f>
        <x:v>4</x:v>
      </x:c>
      <x:c r="O598" s="8" t="n">
        <x:f>ABS(M598)</x:f>
        <x:v>2</x:v>
      </x:c>
      <x:c r="P598" s="7" t="n">
        <x:v>45679</x:v>
      </x:c>
    </x:row>
    <x:row r="599" ht="26" customHeight="1">
      <x:c r="A599" s="2"/>
      <x:c r="B599" s="2" t="n">
        <x:v>594</x:v>
      </x:c>
      <x:c r="C599" s="2" t="str">
        <x:v>Health Care / price_contribution</x:v>
      </x:c>
      <x:c r="D599" s="7" t="n">
        <x:v>45657</x:v>
      </x:c>
      <x:c r="E599" s="2" t="str">
        <x:v>Pre-earnings</x:v>
      </x:c>
      <x:c r="F599" s="7" t="n">
        <x:v>45678</x:v>
      </x:c>
      <x:c r="G599" s="2" t="str">
        <x:v>Broad market</x:v>
      </x:c>
      <x:c r="H599" s="8" t="n">
        <x:f>'Model fits'!AA413</x:f>
        <x:v>1.519877090492578</x:v>
      </x:c>
      <x:c r="I599" s="8" t="n">
        <x:f>0</x:f>
        <x:v>0</x:v>
      </x:c>
      <x:c r="J599" s="8" t="n">
        <x:v>0</x:v>
      </x:c>
      <x:c r="K599" s="8" t="n">
        <x:f>H599-I599*J599</x:f>
        <x:v>1.519877090492578</x:v>
      </x:c>
      <x:c r="L599" s="8" t="n">
        <x:f>'PG facts'!D113</x:f>
        <x:v>1</x:v>
      </x:c>
      <x:c r="M599" s="8" t="n">
        <x:f>K599-L599</x:f>
        <x:v>0.519877090492578</x:v>
      </x:c>
      <x:c r="N599" s="8" t="n">
        <x:f>M599^2</x:f>
        <x:v>0.2702721892190282</x:v>
      </x:c>
      <x:c r="O599" s="8" t="n">
        <x:f>ABS(M599)</x:f>
        <x:v>0.519877090492578</x:v>
      </x:c>
      <x:c r="P599" s="7" t="n">
        <x:v>45679</x:v>
      </x:c>
    </x:row>
    <x:row r="600" ht="26" customHeight="1">
      <x:c r="A600" s="2"/>
      <x:c r="B600" s="2" t="n">
        <x:v>595</x:v>
      </x:c>
      <x:c r="C600" s="2" t="str">
        <x:v>Health Care / price_contribution</x:v>
      </x:c>
      <x:c r="D600" s="7" t="n">
        <x:v>45657</x:v>
      </x:c>
      <x:c r="E600" s="2" t="str">
        <x:v>Pre-earnings</x:v>
      </x:c>
      <x:c r="F600" s="7" t="n">
        <x:v>45678</x:v>
      </x:c>
      <x:c r="G600" s="2" t="str">
        <x:v>Broad lag 1</x:v>
      </x:c>
      <x:c r="H600" s="8" t="n">
        <x:f>'Model fits'!AA414</x:f>
        <x:v>2.0939769588979162</x:v>
      </x:c>
      <x:c r="I600" s="8" t="n">
        <x:f>0</x:f>
        <x:v>0</x:v>
      </x:c>
      <x:c r="J600" s="8" t="n">
        <x:v>0</x:v>
      </x:c>
      <x:c r="K600" s="8" t="n">
        <x:f>H600-I600*J600</x:f>
        <x:v>2.0939769588979162</x:v>
      </x:c>
      <x:c r="L600" s="8" t="n">
        <x:f>'PG facts'!D113</x:f>
        <x:v>1</x:v>
      </x:c>
      <x:c r="M600" s="8" t="n">
        <x:f>K600-L600</x:f>
        <x:v>1.0939769588979162</x:v>
      </x:c>
      <x:c r="N600" s="8" t="n">
        <x:f>M600^2</x:f>
        <x:v>1.1967855865995332</x:v>
      </x:c>
      <x:c r="O600" s="8" t="n">
        <x:f>ABS(M600)</x:f>
        <x:v>1.0939769588979162</x:v>
      </x:c>
      <x:c r="P600" s="7" t="n">
        <x:v>45679</x:v>
      </x:c>
    </x:row>
    <x:row r="601" ht="26" customHeight="1">
      <x:c r="A601" s="2"/>
      <x:c r="B601" s="2" t="n">
        <x:v>596</x:v>
      </x:c>
      <x:c r="C601" s="2" t="str">
        <x:v>Health Care / price_contribution</x:v>
      </x:c>
      <x:c r="D601" s="7" t="n">
        <x:v>45657</x:v>
      </x:c>
      <x:c r="E601" s="2" t="str">
        <x:v>Pre-earnings</x:v>
      </x:c>
      <x:c r="F601" s="7" t="n">
        <x:v>45678</x:v>
      </x:c>
      <x:c r="G601" s="2" t="str">
        <x:v>Broad rolling 8</x:v>
      </x:c>
      <x:c r="H601" s="8" t="n">
        <x:f>'Model fits'!AA415</x:f>
        <x:v>1.4544635498065464</x:v>
      </x:c>
      <x:c r="I601" s="8" t="n">
        <x:f>0</x:f>
        <x:v>0</x:v>
      </x:c>
      <x:c r="J601" s="8" t="n">
        <x:v>0</x:v>
      </x:c>
      <x:c r="K601" s="8" t="n">
        <x:f>H601-I601*J601</x:f>
        <x:v>1.4544635498065464</x:v>
      </x:c>
      <x:c r="L601" s="8" t="n">
        <x:f>'PG facts'!D113</x:f>
        <x:v>1</x:v>
      </x:c>
      <x:c r="M601" s="8" t="n">
        <x:f>K601-L601</x:f>
        <x:v>0.45446354980654635</x:v>
      </x:c>
      <x:c r="N601" s="8" t="n">
        <x:f>M601^2</x:f>
        <x:v>0.20653711810276723</x:v>
      </x:c>
      <x:c r="O601" s="8" t="n">
        <x:f>ABS(M601)</x:f>
        <x:v>0.45446354980654635</x:v>
      </x:c>
      <x:c r="P601" s="7" t="n">
        <x:v>45679</x:v>
      </x:c>
    </x:row>
    <x:row r="602" ht="26" customHeight="1">
      <x:c r="A602" s="2"/>
      <x:c r="B602" s="2" t="n">
        <x:v>597</x:v>
      </x:c>
      <x:c r="C602" s="2" t="str">
        <x:v>Health Care / price_contribution</x:v>
      </x:c>
      <x:c r="D602" s="7" t="n">
        <x:v>45657</x:v>
      </x:c>
      <x:c r="E602" s="2" t="str">
        <x:v>Pre-earnings</x:v>
      </x:c>
      <x:c r="F602" s="7" t="n">
        <x:v>45678</x:v>
      </x:c>
      <x:c r="G602" s="2" t="str">
        <x:v>Own history</x:v>
      </x:c>
      <x:c r="H602" s="8" t="n">
        <x:f>'Model fits'!AA416</x:f>
        <x:v>1.583789704271632</x:v>
      </x:c>
      <x:c r="I602" s="8" t="n">
        <x:f>0</x:f>
        <x:v>0</x:v>
      </x:c>
      <x:c r="J602" s="8" t="n">
        <x:v>0</x:v>
      </x:c>
      <x:c r="K602" s="8" t="n">
        <x:f>H602-I602*J602</x:f>
        <x:v>1.583789704271632</x:v>
      </x:c>
      <x:c r="L602" s="8" t="n">
        <x:f>'PG facts'!D113</x:f>
        <x:v>1</x:v>
      </x:c>
      <x:c r="M602" s="8" t="n">
        <x:f>K602-L602</x:f>
        <x:v>0.583789704271632</x:v>
      </x:c>
      <x:c r="N602" s="8" t="n">
        <x:f>M602^2</x:f>
        <x:v>0.34081041881355956</x:v>
      </x:c>
      <x:c r="O602" s="8" t="n">
        <x:f>ABS(M602)</x:f>
        <x:v>0.583789704271632</x:v>
      </x:c>
      <x:c r="P602" s="7" t="n">
        <x:v>45679</x:v>
      </x:c>
    </x:row>
    <x:row r="603" ht="26" customHeight="1">
      <x:c r="A603" s="2"/>
      <x:c r="B603" s="2" t="n">
        <x:v>598</x:v>
      </x:c>
      <x:c r="C603" s="2" t="str">
        <x:v>Health Care / price_contribution</x:v>
      </x:c>
      <x:c r="D603" s="7" t="n">
        <x:v>45747</x:v>
      </x:c>
      <x:c r="E603" s="2" t="str">
        <x:v>Origin</x:v>
      </x:c>
      <x:c r="F603" s="7" t="n">
        <x:v>45658</x:v>
      </x:c>
      <x:c r="G603" s="2" t="str">
        <x:v>Last actual</x:v>
      </x:c>
      <x:c r="H603" s="8" t="n">
        <x:f>AVERAGE('PG facts'!D106)</x:f>
        <x:v>1</x:v>
      </x:c>
      <x:c r="I603" s="8" t="n">
        <x:f>0</x:f>
        <x:v>0</x:v>
      </x:c>
      <x:c r="J603" s="8" t="n">
        <x:v>0</x:v>
      </x:c>
      <x:c r="K603" s="8" t="n">
        <x:f>H603-I603*J603</x:f>
        <x:v>1</x:v>
      </x:c>
      <x:c r="L603" s="8" t="n">
        <x:f>'PG facts'!D120</x:f>
        <x:v>1</x:v>
      </x:c>
      <x:c r="M603" s="8" t="n">
        <x:f>K603-L603</x:f>
        <x:v>0</x:v>
      </x:c>
      <x:c r="N603" s="8" t="n">
        <x:f>M603^2</x:f>
        <x:v>0</x:v>
      </x:c>
      <x:c r="O603" s="8" t="n">
        <x:f>ABS(M603)</x:f>
        <x:v>0</x:v>
      </x:c>
      <x:c r="P603" s="7" t="n">
        <x:v>45771</x:v>
      </x:c>
    </x:row>
    <x:row r="604" ht="26" customHeight="1">
      <x:c r="A604" s="2"/>
      <x:c r="B604" s="2" t="n">
        <x:v>599</x:v>
      </x:c>
      <x:c r="C604" s="2" t="str">
        <x:v>Health Care / price_contribution</x:v>
      </x:c>
      <x:c r="D604" s="7" t="n">
        <x:v>45747</x:v>
      </x:c>
      <x:c r="E604" s="2" t="str">
        <x:v>Origin</x:v>
      </x:c>
      <x:c r="F604" s="7" t="n">
        <x:v>45658</x:v>
      </x:c>
      <x:c r="G604" s="2" t="str">
        <x:v>Four-quarter mean</x:v>
      </x:c>
      <x:c r="H604" s="8" t="n">
        <x:f>AVERAGE('PG facts'!D85,'PG facts'!D92,'PG facts'!D99,'PG facts'!D106)</x:f>
        <x:v>3</x:v>
      </x:c>
      <x:c r="I604" s="8" t="n">
        <x:f>0</x:f>
        <x:v>0</x:v>
      </x:c>
      <x:c r="J604" s="8" t="n">
        <x:v>0</x:v>
      </x:c>
      <x:c r="K604" s="8" t="n">
        <x:f>H604-I604*J604</x:f>
        <x:v>3</x:v>
      </x:c>
      <x:c r="L604" s="8" t="n">
        <x:f>'PG facts'!D120</x:f>
        <x:v>1</x:v>
      </x:c>
      <x:c r="M604" s="8" t="n">
        <x:f>K604-L604</x:f>
        <x:v>2</x:v>
      </x:c>
      <x:c r="N604" s="8" t="n">
        <x:f>M604^2</x:f>
        <x:v>4</x:v>
      </x:c>
      <x:c r="O604" s="8" t="n">
        <x:f>ABS(M604)</x:f>
        <x:v>2</x:v>
      </x:c>
      <x:c r="P604" s="7" t="n">
        <x:v>45771</x:v>
      </x:c>
    </x:row>
    <x:row r="605" ht="26" customHeight="1">
      <x:c r="A605" s="2"/>
      <x:c r="B605" s="2" t="n">
        <x:v>600</x:v>
      </x:c>
      <x:c r="C605" s="2" t="str">
        <x:v>Health Care / price_contribution</x:v>
      </x:c>
      <x:c r="D605" s="7" t="n">
        <x:v>45747</x:v>
      </x:c>
      <x:c r="E605" s="2" t="str">
        <x:v>Origin</x:v>
      </x:c>
      <x:c r="F605" s="7" t="n">
        <x:v>45658</x:v>
      </x:c>
      <x:c r="G605" s="2" t="str">
        <x:v>Broad market</x:v>
      </x:c>
      <x:c r="H605" s="8" t="n">
        <x:f>'Model fits'!AA417</x:f>
        <x:v>1.430011074543906</x:v>
      </x:c>
      <x:c r="I605" s="8" t="n">
        <x:f>0</x:f>
        <x:v>0</x:v>
      </x:c>
      <x:c r="J605" s="8" t="n">
        <x:v>0</x:v>
      </x:c>
      <x:c r="K605" s="8" t="n">
        <x:f>H605-I605*J605</x:f>
        <x:v>1.430011074543906</x:v>
      </x:c>
      <x:c r="L605" s="8" t="n">
        <x:f>'PG facts'!D120</x:f>
        <x:v>1</x:v>
      </x:c>
      <x:c r="M605" s="8" t="n">
        <x:f>K605-L605</x:f>
        <x:v>0.4300110745439061</x:v>
      </x:c>
      <x:c r="N605" s="8" t="n">
        <x:f>M605^2</x:f>
        <x:v>0.18490952423040474</x:v>
      </x:c>
      <x:c r="O605" s="8" t="n">
        <x:f>ABS(M605)</x:f>
        <x:v>0.4300110745439061</x:v>
      </x:c>
      <x:c r="P605" s="7" t="n">
        <x:v>45771</x:v>
      </x:c>
    </x:row>
    <x:row r="606" ht="26" customHeight="1">
      <x:c r="A606" s="2"/>
      <x:c r="B606" s="2" t="n">
        <x:v>601</x:v>
      </x:c>
      <x:c r="C606" s="2" t="str">
        <x:v>Health Care / price_contribution</x:v>
      </x:c>
      <x:c r="D606" s="7" t="n">
        <x:v>45747</x:v>
      </x:c>
      <x:c r="E606" s="2" t="str">
        <x:v>Origin</x:v>
      </x:c>
      <x:c r="F606" s="7" t="n">
        <x:v>45658</x:v>
      </x:c>
      <x:c r="G606" s="2" t="str">
        <x:v>Broad rolling 8</x:v>
      </x:c>
      <x:c r="H606" s="8" t="n">
        <x:f>'Model fits'!AA418</x:f>
        <x:v>1.3686526168959934</x:v>
      </x:c>
      <x:c r="I606" s="8" t="n">
        <x:f>0</x:f>
        <x:v>0</x:v>
      </x:c>
      <x:c r="J606" s="8" t="n">
        <x:v>0</x:v>
      </x:c>
      <x:c r="K606" s="8" t="n">
        <x:f>H606-I606*J606</x:f>
        <x:v>1.3686526168959934</x:v>
      </x:c>
      <x:c r="L606" s="8" t="n">
        <x:f>'PG facts'!D120</x:f>
        <x:v>1</x:v>
      </x:c>
      <x:c r="M606" s="8" t="n">
        <x:f>K606-L606</x:f>
        <x:v>0.3686526168959934</x:v>
      </x:c>
      <x:c r="N606" s="8" t="n">
        <x:f>M606^2</x:f>
        <x:v>0.13590475194426407</x:v>
      </x:c>
      <x:c r="O606" s="8" t="n">
        <x:f>ABS(M606)</x:f>
        <x:v>0.3686526168959934</x:v>
      </x:c>
      <x:c r="P606" s="7" t="n">
        <x:v>45771</x:v>
      </x:c>
    </x:row>
    <x:row r="607" ht="26" customHeight="1">
      <x:c r="A607" s="2"/>
      <x:c r="B607" s="2" t="n">
        <x:v>602</x:v>
      </x:c>
      <x:c r="C607" s="2" t="str">
        <x:v>Health Care / price_contribution</x:v>
      </x:c>
      <x:c r="D607" s="7" t="n">
        <x:v>45747</x:v>
      </x:c>
      <x:c r="E607" s="2" t="str">
        <x:v>Origin</x:v>
      </x:c>
      <x:c r="F607" s="7" t="n">
        <x:v>45658</x:v>
      </x:c>
      <x:c r="G607" s="2" t="str">
        <x:v>Own history</x:v>
      </x:c>
      <x:c r="H607" s="8" t="n">
        <x:f>'Model fits'!AA419</x:f>
        <x:v>2.6</x:v>
      </x:c>
      <x:c r="I607" s="8" t="n">
        <x:f>0</x:f>
        <x:v>0</x:v>
      </x:c>
      <x:c r="J607" s="8" t="n">
        <x:v>0</x:v>
      </x:c>
      <x:c r="K607" s="8" t="n">
        <x:f>H607-I607*J607</x:f>
        <x:v>2.6</x:v>
      </x:c>
      <x:c r="L607" s="8" t="n">
        <x:f>'PG facts'!D120</x:f>
        <x:v>1</x:v>
      </x:c>
      <x:c r="M607" s="8" t="n">
        <x:f>K607-L607</x:f>
        <x:v>1.6</x:v>
      </x:c>
      <x:c r="N607" s="8" t="n">
        <x:f>M607^2</x:f>
        <x:v>2.5600000000000005</x:v>
      </x:c>
      <x:c r="O607" s="8" t="n">
        <x:f>ABS(M607)</x:f>
        <x:v>1.6</x:v>
      </x:c>
      <x:c r="P607" s="7" t="n">
        <x:v>45771</x:v>
      </x:c>
    </x:row>
    <x:row r="608" ht="26" customHeight="1">
      <x:c r="A608" s="2"/>
      <x:c r="B608" s="2" t="n">
        <x:v>603</x:v>
      </x:c>
      <x:c r="C608" s="2" t="str">
        <x:v>Health Care / price_contribution</x:v>
      </x:c>
      <x:c r="D608" s="7" t="n">
        <x:v>45747</x:v>
      </x:c>
      <x:c r="E608" s="2" t="str">
        <x:v>Prior report</x:v>
      </x:c>
      <x:c r="F608" s="7" t="n">
        <x:v>45679</x:v>
      </x:c>
      <x:c r="G608" s="2" t="str">
        <x:v>Last actual</x:v>
      </x:c>
      <x:c r="H608" s="8" t="n">
        <x:f>AVERAGE('PG facts'!D113)</x:f>
        <x:v>1</x:v>
      </x:c>
      <x:c r="I608" s="8" t="n">
        <x:f>0</x:f>
        <x:v>0</x:v>
      </x:c>
      <x:c r="J608" s="8" t="n">
        <x:v>0</x:v>
      </x:c>
      <x:c r="K608" s="8" t="n">
        <x:f>H608-I608*J608</x:f>
        <x:v>1</x:v>
      </x:c>
      <x:c r="L608" s="8" t="n">
        <x:f>'PG facts'!D120</x:f>
        <x:v>1</x:v>
      </x:c>
      <x:c r="M608" s="8" t="n">
        <x:f>K608-L608</x:f>
        <x:v>0</x:v>
      </x:c>
      <x:c r="N608" s="8" t="n">
        <x:f>M608^2</x:f>
        <x:v>0</x:v>
      </x:c>
      <x:c r="O608" s="8" t="n">
        <x:f>ABS(M608)</x:f>
        <x:v>0</x:v>
      </x:c>
      <x:c r="P608" s="7" t="n">
        <x:v>45771</x:v>
      </x:c>
    </x:row>
    <x:row r="609" ht="26" customHeight="1">
      <x:c r="A609" s="2"/>
      <x:c r="B609" s="2" t="n">
        <x:v>604</x:v>
      </x:c>
      <x:c r="C609" s="2" t="str">
        <x:v>Health Care / price_contribution</x:v>
      </x:c>
      <x:c r="D609" s="7" t="n">
        <x:v>45747</x:v>
      </x:c>
      <x:c r="E609" s="2" t="str">
        <x:v>Prior report</x:v>
      </x:c>
      <x:c r="F609" s="7" t="n">
        <x:v>45679</x:v>
      </x:c>
      <x:c r="G609" s="2" t="str">
        <x:v>Four-quarter mean</x:v>
      </x:c>
      <x:c r="H609" s="8" t="n">
        <x:f>AVERAGE('PG facts'!D92,'PG facts'!D99,'PG facts'!D106,'PG facts'!D113)</x:f>
        <x:v>2</x:v>
      </x:c>
      <x:c r="I609" s="8" t="n">
        <x:f>0</x:f>
        <x:v>0</x:v>
      </x:c>
      <x:c r="J609" s="8" t="n">
        <x:v>0</x:v>
      </x:c>
      <x:c r="K609" s="8" t="n">
        <x:f>H609-I609*J609</x:f>
        <x:v>2</x:v>
      </x:c>
      <x:c r="L609" s="8" t="n">
        <x:f>'PG facts'!D120</x:f>
        <x:v>1</x:v>
      </x:c>
      <x:c r="M609" s="8" t="n">
        <x:f>K609-L609</x:f>
        <x:v>1</x:v>
      </x:c>
      <x:c r="N609" s="8" t="n">
        <x:f>M609^2</x:f>
        <x:v>1</x:v>
      </x:c>
      <x:c r="O609" s="8" t="n">
        <x:f>ABS(M609)</x:f>
        <x:v>1</x:v>
      </x:c>
      <x:c r="P609" s="7" t="n">
        <x:v>45771</x:v>
      </x:c>
    </x:row>
    <x:row r="610" ht="26" customHeight="1">
      <x:c r="A610" s="2"/>
      <x:c r="B610" s="2" t="n">
        <x:v>605</x:v>
      </x:c>
      <x:c r="C610" s="2" t="str">
        <x:v>Health Care / price_contribution</x:v>
      </x:c>
      <x:c r="D610" s="7" t="n">
        <x:v>45747</x:v>
      </x:c>
      <x:c r="E610" s="2" t="str">
        <x:v>Prior report</x:v>
      </x:c>
      <x:c r="F610" s="7" t="n">
        <x:v>45679</x:v>
      </x:c>
      <x:c r="G610" s="2" t="str">
        <x:v>Broad market</x:v>
      </x:c>
      <x:c r="H610" s="8" t="n">
        <x:f>'Model fits'!AA420</x:f>
        <x:v>1.4622118945259075</x:v>
      </x:c>
      <x:c r="I610" s="8" t="n">
        <x:f>0</x:f>
        <x:v>0</x:v>
      </x:c>
      <x:c r="J610" s="8" t="n">
        <x:v>0</x:v>
      </x:c>
      <x:c r="K610" s="8" t="n">
        <x:f>H610-I610*J610</x:f>
        <x:v>1.4622118945259075</x:v>
      </x:c>
      <x:c r="L610" s="8" t="n">
        <x:f>'PG facts'!D120</x:f>
        <x:v>1</x:v>
      </x:c>
      <x:c r="M610" s="8" t="n">
        <x:f>K610-L610</x:f>
        <x:v>0.4622118945259075</x:v>
      </x:c>
      <x:c r="N610" s="8" t="n">
        <x:f>M610^2</x:f>
        <x:v>0.21363983544122864</x:v>
      </x:c>
      <x:c r="O610" s="8" t="n">
        <x:f>ABS(M610)</x:f>
        <x:v>0.4622118945259075</x:v>
      </x:c>
      <x:c r="P610" s="7" t="n">
        <x:v>45771</x:v>
      </x:c>
    </x:row>
    <x:row r="611" ht="26" customHeight="1">
      <x:c r="A611" s="2"/>
      <x:c r="B611" s="2" t="n">
        <x:v>606</x:v>
      </x:c>
      <x:c r="C611" s="2" t="str">
        <x:v>Health Care / price_contribution</x:v>
      </x:c>
      <x:c r="D611" s="7" t="n">
        <x:v>45747</x:v>
      </x:c>
      <x:c r="E611" s="2" t="str">
        <x:v>Prior report</x:v>
      </x:c>
      <x:c r="F611" s="7" t="n">
        <x:v>45679</x:v>
      </x:c>
      <x:c r="G611" s="2" t="str">
        <x:v>Broad lag 1</x:v>
      </x:c>
      <x:c r="H611" s="8" t="n">
        <x:f>'Model fits'!AA421</x:f>
        <x:v>1.9373515004183706</x:v>
      </x:c>
      <x:c r="I611" s="8" t="n">
        <x:f>0</x:f>
        <x:v>0</x:v>
      </x:c>
      <x:c r="J611" s="8" t="n">
        <x:v>0</x:v>
      </x:c>
      <x:c r="K611" s="8" t="n">
        <x:f>H611-I611*J611</x:f>
        <x:v>1.9373515004183706</x:v>
      </x:c>
      <x:c r="L611" s="8" t="n">
        <x:f>'PG facts'!D120</x:f>
        <x:v>1</x:v>
      </x:c>
      <x:c r="M611" s="8" t="n">
        <x:f>K611-L611</x:f>
        <x:v>0.9373515004183706</x:v>
      </x:c>
      <x:c r="N611" s="8" t="n">
        <x:f>M611^2</x:f>
        <x:v>0.8786278353365705</x:v>
      </x:c>
      <x:c r="O611" s="8" t="n">
        <x:f>ABS(M611)</x:f>
        <x:v>0.9373515004183706</x:v>
      </x:c>
      <x:c r="P611" s="7" t="n">
        <x:v>45771</x:v>
      </x:c>
    </x:row>
    <x:row r="612" ht="26" customHeight="1">
      <x:c r="A612" s="2"/>
      <x:c r="B612" s="2" t="n">
        <x:v>607</x:v>
      </x:c>
      <x:c r="C612" s="2" t="str">
        <x:v>Health Care / price_contribution</x:v>
      </x:c>
      <x:c r="D612" s="7" t="n">
        <x:v>45747</x:v>
      </x:c>
      <x:c r="E612" s="2" t="str">
        <x:v>Prior report</x:v>
      </x:c>
      <x:c r="F612" s="7" t="n">
        <x:v>45679</x:v>
      </x:c>
      <x:c r="G612" s="2" t="str">
        <x:v>Broad rolling 8</x:v>
      </x:c>
      <x:c r="H612" s="8" t="n">
        <x:f>'Model fits'!AA422</x:f>
        <x:v>1.1606631594309789</x:v>
      </x:c>
      <x:c r="I612" s="8" t="n">
        <x:f>0</x:f>
        <x:v>0</x:v>
      </x:c>
      <x:c r="J612" s="8" t="n">
        <x:v>0</x:v>
      </x:c>
      <x:c r="K612" s="8" t="n">
        <x:f>H612-I612*J612</x:f>
        <x:v>1.1606631594309789</x:v>
      </x:c>
      <x:c r="L612" s="8" t="n">
        <x:f>'PG facts'!D120</x:f>
        <x:v>1</x:v>
      </x:c>
      <x:c r="M612" s="8" t="n">
        <x:f>K612-L612</x:f>
        <x:v>0.16066315943097886</x:v>
      </x:c>
      <x:c r="N612" s="8" t="n">
        <x:f>M612^2</x:f>
        <x:v>0.025812650798344133</x:v>
      </x:c>
      <x:c r="O612" s="8" t="n">
        <x:f>ABS(M612)</x:f>
        <x:v>0.16066315943097886</x:v>
      </x:c>
      <x:c r="P612" s="7" t="n">
        <x:v>45771</x:v>
      </x:c>
    </x:row>
    <x:row r="613" ht="26" customHeight="1">
      <x:c r="A613" s="2"/>
      <x:c r="B613" s="2" t="n">
        <x:v>608</x:v>
      </x:c>
      <x:c r="C613" s="2" t="str">
        <x:v>Health Care / price_contribution</x:v>
      </x:c>
      <x:c r="D613" s="7" t="n">
        <x:v>45747</x:v>
      </x:c>
      <x:c r="E613" s="2" t="str">
        <x:v>Prior report</x:v>
      </x:c>
      <x:c r="F613" s="7" t="n">
        <x:v>45679</x:v>
      </x:c>
      <x:c r="G613" s="2" t="str">
        <x:v>Own history</x:v>
      </x:c>
      <x:c r="H613" s="8" t="n">
        <x:f>'Model fits'!AA423</x:f>
        <x:v>1.4953531598513</x:v>
      </x:c>
      <x:c r="I613" s="8" t="n">
        <x:f>0</x:f>
        <x:v>0</x:v>
      </x:c>
      <x:c r="J613" s="8" t="n">
        <x:v>0</x:v>
      </x:c>
      <x:c r="K613" s="8" t="n">
        <x:f>H613-I613*J613</x:f>
        <x:v>1.4953531598513</x:v>
      </x:c>
      <x:c r="L613" s="8" t="n">
        <x:f>'PG facts'!D120</x:f>
        <x:v>1</x:v>
      </x:c>
      <x:c r="M613" s="8" t="n">
        <x:f>K613-L613</x:f>
        <x:v>0.4953531598512999</x:v>
      </x:c>
      <x:c r="N613" s="8" t="n">
        <x:f>M613^2</x:f>
        <x:v>0.2453747529746675</x:v>
      </x:c>
      <x:c r="O613" s="8" t="n">
        <x:f>ABS(M613)</x:f>
        <x:v>0.4953531598512999</x:v>
      </x:c>
      <x:c r="P613" s="7" t="n">
        <x:v>45771</x:v>
      </x:c>
    </x:row>
    <x:row r="614" ht="26" customHeight="1">
      <x:c r="A614" s="2"/>
      <x:c r="B614" s="2" t="n">
        <x:v>609</x:v>
      </x:c>
      <x:c r="C614" s="2" t="str">
        <x:v>Health Care / price_contribution</x:v>
      </x:c>
      <x:c r="D614" s="7" t="n">
        <x:v>45747</x:v>
      </x:c>
      <x:c r="E614" s="2" t="str">
        <x:v>Pre-earnings</x:v>
      </x:c>
      <x:c r="F614" s="7" t="n">
        <x:v>45770</x:v>
      </x:c>
      <x:c r="G614" s="2" t="str">
        <x:v>Last actual</x:v>
      </x:c>
      <x:c r="H614" s="8" t="n">
        <x:f>AVERAGE('PG facts'!D113)</x:f>
        <x:v>1</x:v>
      </x:c>
      <x:c r="I614" s="8" t="n">
        <x:f>0</x:f>
        <x:v>0</x:v>
      </x:c>
      <x:c r="J614" s="8" t="n">
        <x:v>0</x:v>
      </x:c>
      <x:c r="K614" s="8" t="n">
        <x:f>H614-I614*J614</x:f>
        <x:v>1</x:v>
      </x:c>
      <x:c r="L614" s="8" t="n">
        <x:f>'PG facts'!D120</x:f>
        <x:v>1</x:v>
      </x:c>
      <x:c r="M614" s="8" t="n">
        <x:f>K614-L614</x:f>
        <x:v>0</x:v>
      </x:c>
      <x:c r="N614" s="8" t="n">
        <x:f>M614^2</x:f>
        <x:v>0</x:v>
      </x:c>
      <x:c r="O614" s="8" t="n">
        <x:f>ABS(M614)</x:f>
        <x:v>0</x:v>
      </x:c>
      <x:c r="P614" s="7" t="n">
        <x:v>45771</x:v>
      </x:c>
    </x:row>
    <x:row r="615" ht="26" customHeight="1">
      <x:c r="A615" s="2"/>
      <x:c r="B615" s="2" t="n">
        <x:v>610</x:v>
      </x:c>
      <x:c r="C615" s="2" t="str">
        <x:v>Health Care / price_contribution</x:v>
      </x:c>
      <x:c r="D615" s="7" t="n">
        <x:v>45747</x:v>
      </x:c>
      <x:c r="E615" s="2" t="str">
        <x:v>Pre-earnings</x:v>
      </x:c>
      <x:c r="F615" s="7" t="n">
        <x:v>45770</x:v>
      </x:c>
      <x:c r="G615" s="2" t="str">
        <x:v>Four-quarter mean</x:v>
      </x:c>
      <x:c r="H615" s="8" t="n">
        <x:f>AVERAGE('PG facts'!D92,'PG facts'!D99,'PG facts'!D106,'PG facts'!D113)</x:f>
        <x:v>2</x:v>
      </x:c>
      <x:c r="I615" s="8" t="n">
        <x:f>0</x:f>
        <x:v>0</x:v>
      </x:c>
      <x:c r="J615" s="8" t="n">
        <x:v>0</x:v>
      </x:c>
      <x:c r="K615" s="8" t="n">
        <x:f>H615-I615*J615</x:f>
        <x:v>2</x:v>
      </x:c>
      <x:c r="L615" s="8" t="n">
        <x:f>'PG facts'!D120</x:f>
        <x:v>1</x:v>
      </x:c>
      <x:c r="M615" s="8" t="n">
        <x:f>K615-L615</x:f>
        <x:v>1</x:v>
      </x:c>
      <x:c r="N615" s="8" t="n">
        <x:f>M615^2</x:f>
        <x:v>1</x:v>
      </x:c>
      <x:c r="O615" s="8" t="n">
        <x:f>ABS(M615)</x:f>
        <x:v>1</x:v>
      </x:c>
      <x:c r="P615" s="7" t="n">
        <x:v>45771</x:v>
      </x:c>
    </x:row>
    <x:row r="616" ht="26" customHeight="1">
      <x:c r="A616" s="2"/>
      <x:c r="B616" s="2" t="n">
        <x:v>611</x:v>
      </x:c>
      <x:c r="C616" s="2" t="str">
        <x:v>Health Care / price_contribution</x:v>
      </x:c>
      <x:c r="D616" s="7" t="n">
        <x:v>45747</x:v>
      </x:c>
      <x:c r="E616" s="2" t="str">
        <x:v>Pre-earnings</x:v>
      </x:c>
      <x:c r="F616" s="7" t="n">
        <x:v>45770</x:v>
      </x:c>
      <x:c r="G616" s="2" t="str">
        <x:v>Broad market</x:v>
      </x:c>
      <x:c r="H616" s="8" t="n">
        <x:f>'Model fits'!AA424</x:f>
        <x:v>1.3839034888275215</x:v>
      </x:c>
      <x:c r="I616" s="8" t="n">
        <x:f>0</x:f>
        <x:v>0</x:v>
      </x:c>
      <x:c r="J616" s="8" t="n">
        <x:v>0</x:v>
      </x:c>
      <x:c r="K616" s="8" t="n">
        <x:f>H616-I616*J616</x:f>
        <x:v>1.3839034888275215</x:v>
      </x:c>
      <x:c r="L616" s="8" t="n">
        <x:f>'PG facts'!D120</x:f>
        <x:v>1</x:v>
      </x:c>
      <x:c r="M616" s="8" t="n">
        <x:f>K616-L616</x:f>
        <x:v>0.38390348882752146</x:v>
      </x:c>
      <x:c r="N616" s="8" t="n">
        <x:f>M616^2</x:f>
        <x:v>0.1473818887339429</x:v>
      </x:c>
      <x:c r="O616" s="8" t="n">
        <x:f>ABS(M616)</x:f>
        <x:v>0.38390348882752146</x:v>
      </x:c>
      <x:c r="P616" s="7" t="n">
        <x:v>45771</x:v>
      </x:c>
    </x:row>
    <x:row r="617" ht="26" customHeight="1">
      <x:c r="A617" s="2"/>
      <x:c r="B617" s="2" t="n">
        <x:v>612</x:v>
      </x:c>
      <x:c r="C617" s="2" t="str">
        <x:v>Health Care / price_contribution</x:v>
      </x:c>
      <x:c r="D617" s="7" t="n">
        <x:v>45747</x:v>
      </x:c>
      <x:c r="E617" s="2" t="str">
        <x:v>Pre-earnings</x:v>
      </x:c>
      <x:c r="F617" s="7" t="n">
        <x:v>45770</x:v>
      </x:c>
      <x:c r="G617" s="2" t="str">
        <x:v>Broad lag 1</x:v>
      </x:c>
      <x:c r="H617" s="8" t="n">
        <x:f>'Model fits'!AA425</x:f>
        <x:v>1.9373515004183706</x:v>
      </x:c>
      <x:c r="I617" s="8" t="n">
        <x:f>0</x:f>
        <x:v>0</x:v>
      </x:c>
      <x:c r="J617" s="8" t="n">
        <x:v>0</x:v>
      </x:c>
      <x:c r="K617" s="8" t="n">
        <x:f>H617-I617*J617</x:f>
        <x:v>1.9373515004183706</x:v>
      </x:c>
      <x:c r="L617" s="8" t="n">
        <x:f>'PG facts'!D120</x:f>
        <x:v>1</x:v>
      </x:c>
      <x:c r="M617" s="8" t="n">
        <x:f>K617-L617</x:f>
        <x:v>0.9373515004183706</x:v>
      </x:c>
      <x:c r="N617" s="8" t="n">
        <x:f>M617^2</x:f>
        <x:v>0.8786278353365705</x:v>
      </x:c>
      <x:c r="O617" s="8" t="n">
        <x:f>ABS(M617)</x:f>
        <x:v>0.9373515004183706</x:v>
      </x:c>
      <x:c r="P617" s="7" t="n">
        <x:v>45771</x:v>
      </x:c>
    </x:row>
    <x:row r="618" ht="26" customHeight="1">
      <x:c r="A618" s="2"/>
      <x:c r="B618" s="2" t="n">
        <x:v>613</x:v>
      </x:c>
      <x:c r="C618" s="2" t="str">
        <x:v>Health Care / price_contribution</x:v>
      </x:c>
      <x:c r="D618" s="7" t="n">
        <x:v>45747</x:v>
      </x:c>
      <x:c r="E618" s="2" t="str">
        <x:v>Pre-earnings</x:v>
      </x:c>
      <x:c r="F618" s="7" t="n">
        <x:v>45770</x:v>
      </x:c>
      <x:c r="G618" s="2" t="str">
        <x:v>Broad rolling 8</x:v>
      </x:c>
      <x:c r="H618" s="8" t="n">
        <x:f>'Model fits'!AA426</x:f>
        <x:v>1.0744460196513925</x:v>
      </x:c>
      <x:c r="I618" s="8" t="n">
        <x:f>0</x:f>
        <x:v>0</x:v>
      </x:c>
      <x:c r="J618" s="8" t="n">
        <x:v>0</x:v>
      </x:c>
      <x:c r="K618" s="8" t="n">
        <x:f>H618-I618*J618</x:f>
        <x:v>1.0744460196513925</x:v>
      </x:c>
      <x:c r="L618" s="8" t="n">
        <x:f>'PG facts'!D120</x:f>
        <x:v>1</x:v>
      </x:c>
      <x:c r="M618" s="8" t="n">
        <x:f>K618-L618</x:f>
        <x:v>0.07444601965139253</x:v>
      </x:c>
      <x:c r="N618" s="8" t="n">
        <x:f>M618^2</x:f>
        <x:v>0.005542209841935522</x:v>
      </x:c>
      <x:c r="O618" s="8" t="n">
        <x:f>ABS(M618)</x:f>
        <x:v>0.07444601965139253</x:v>
      </x:c>
      <x:c r="P618" s="7" t="n">
        <x:v>45771</x:v>
      </x:c>
    </x:row>
    <x:row r="619" ht="26" customHeight="1">
      <x:c r="A619" s="2"/>
      <x:c r="B619" s="2" t="n">
        <x:v>614</x:v>
      </x:c>
      <x:c r="C619" s="2" t="str">
        <x:v>Health Care / price_contribution</x:v>
      </x:c>
      <x:c r="D619" s="7" t="n">
        <x:v>45747</x:v>
      </x:c>
      <x:c r="E619" s="2" t="str">
        <x:v>Pre-earnings</x:v>
      </x:c>
      <x:c r="F619" s="7" t="n">
        <x:v>45770</x:v>
      </x:c>
      <x:c r="G619" s="2" t="str">
        <x:v>Own history</x:v>
      </x:c>
      <x:c r="H619" s="8" t="n">
        <x:f>'Model fits'!AA427</x:f>
        <x:v>1.4953531598513</x:v>
      </x:c>
      <x:c r="I619" s="8" t="n">
        <x:f>0</x:f>
        <x:v>0</x:v>
      </x:c>
      <x:c r="J619" s="8" t="n">
        <x:v>0</x:v>
      </x:c>
      <x:c r="K619" s="8" t="n">
        <x:f>H619-I619*J619</x:f>
        <x:v>1.4953531598513</x:v>
      </x:c>
      <x:c r="L619" s="8" t="n">
        <x:f>'PG facts'!D120</x:f>
        <x:v>1</x:v>
      </x:c>
      <x:c r="M619" s="8" t="n">
        <x:f>K619-L619</x:f>
        <x:v>0.4953531598512999</x:v>
      </x:c>
      <x:c r="N619" s="8" t="n">
        <x:f>M619^2</x:f>
        <x:v>0.2453747529746675</x:v>
      </x:c>
      <x:c r="O619" s="8" t="n">
        <x:f>ABS(M619)</x:f>
        <x:v>0.4953531598512999</x:v>
      </x:c>
      <x:c r="P619" s="7" t="n">
        <x:v>45771</x:v>
      </x:c>
    </x:row>
    <x:row r="620" ht="26" customHeight="1">
      <x:c r="A620" s="2"/>
      <x:c r="B620" s="2" t="n">
        <x:v>615</x:v>
      </x:c>
      <x:c r="C620" s="2" t="str">
        <x:v>Health Care / price_contribution</x:v>
      </x:c>
      <x:c r="D620" s="7" t="n">
        <x:v>45838</x:v>
      </x:c>
      <x:c r="E620" s="2" t="str">
        <x:v>Origin</x:v>
      </x:c>
      <x:c r="F620" s="7" t="n">
        <x:v>45748</x:v>
      </x:c>
      <x:c r="G620" s="2" t="str">
        <x:v>Last actual</x:v>
      </x:c>
      <x:c r="H620" s="8" t="n">
        <x:f>AVERAGE('PG facts'!D113)</x:f>
        <x:v>1</x:v>
      </x:c>
      <x:c r="I620" s="8" t="n">
        <x:f>0</x:f>
        <x:v>0</x:v>
      </x:c>
      <x:c r="J620" s="8" t="n">
        <x:v>0</x:v>
      </x:c>
      <x:c r="K620" s="8" t="n">
        <x:f>H620-I620*J620</x:f>
        <x:v>1</x:v>
      </x:c>
      <x:c r="L620" s="8" t="n">
        <x:f>'PG facts'!D127</x:f>
        <x:v>1</x:v>
      </x:c>
      <x:c r="M620" s="8" t="n">
        <x:f>K620-L620</x:f>
        <x:v>0</x:v>
      </x:c>
      <x:c r="N620" s="8" t="n">
        <x:f>M620^2</x:f>
        <x:v>0</x:v>
      </x:c>
      <x:c r="O620" s="8" t="n">
        <x:f>ABS(M620)</x:f>
        <x:v>0</x:v>
      </x:c>
      <x:c r="P620" s="7" t="n">
        <x:v>45867</x:v>
      </x:c>
    </x:row>
    <x:row r="621" ht="26" customHeight="1">
      <x:c r="A621" s="2"/>
      <x:c r="B621" s="2" t="n">
        <x:v>616</x:v>
      </x:c>
      <x:c r="C621" s="2" t="str">
        <x:v>Health Care / price_contribution</x:v>
      </x:c>
      <x:c r="D621" s="7" t="n">
        <x:v>45838</x:v>
      </x:c>
      <x:c r="E621" s="2" t="str">
        <x:v>Origin</x:v>
      </x:c>
      <x:c r="F621" s="7" t="n">
        <x:v>45748</x:v>
      </x:c>
      <x:c r="G621" s="2" t="str">
        <x:v>Four-quarter mean</x:v>
      </x:c>
      <x:c r="H621" s="8" t="n">
        <x:f>AVERAGE('PG facts'!D92,'PG facts'!D99,'PG facts'!D106,'PG facts'!D113)</x:f>
        <x:v>2</x:v>
      </x:c>
      <x:c r="I621" s="8" t="n">
        <x:f>0</x:f>
        <x:v>0</x:v>
      </x:c>
      <x:c r="J621" s="8" t="n">
        <x:v>0</x:v>
      </x:c>
      <x:c r="K621" s="8" t="n">
        <x:f>H621-I621*J621</x:f>
        <x:v>2</x:v>
      </x:c>
      <x:c r="L621" s="8" t="n">
        <x:f>'PG facts'!D127</x:f>
        <x:v>1</x:v>
      </x:c>
      <x:c r="M621" s="8" t="n">
        <x:f>K621-L621</x:f>
        <x:v>1</x:v>
      </x:c>
      <x:c r="N621" s="8" t="n">
        <x:f>M621^2</x:f>
        <x:v>1</x:v>
      </x:c>
      <x:c r="O621" s="8" t="n">
        <x:f>ABS(M621)</x:f>
        <x:v>1</x:v>
      </x:c>
      <x:c r="P621" s="7" t="n">
        <x:v>45867</x:v>
      </x:c>
    </x:row>
    <x:row r="622" ht="26" customHeight="1">
      <x:c r="A622" s="2"/>
      <x:c r="B622" s="2" t="n">
        <x:v>617</x:v>
      </x:c>
      <x:c r="C622" s="2" t="str">
        <x:v>Health Care / price_contribution</x:v>
      </x:c>
      <x:c r="D622" s="7" t="n">
        <x:v>45838</x:v>
      </x:c>
      <x:c r="E622" s="2" t="str">
        <x:v>Origin</x:v>
      </x:c>
      <x:c r="F622" s="7" t="n">
        <x:v>45748</x:v>
      </x:c>
      <x:c r="G622" s="2" t="str">
        <x:v>Broad market</x:v>
      </x:c>
      <x:c r="H622" s="8" t="n">
        <x:f>'Model fits'!AA428</x:f>
        <x:v>1.5061668009509215</x:v>
      </x:c>
      <x:c r="I622" s="8" t="n">
        <x:f>0</x:f>
        <x:v>0</x:v>
      </x:c>
      <x:c r="J622" s="8" t="n">
        <x:v>0</x:v>
      </x:c>
      <x:c r="K622" s="8" t="n">
        <x:f>H622-I622*J622</x:f>
        <x:v>1.5061668009509215</x:v>
      </x:c>
      <x:c r="L622" s="8" t="n">
        <x:f>'PG facts'!D127</x:f>
        <x:v>1</x:v>
      </x:c>
      <x:c r="M622" s="8" t="n">
        <x:f>K622-L622</x:f>
        <x:v>0.5061668009509215</x:v>
      </x:c>
      <x:c r="N622" s="8" t="n">
        <x:f>M622^2</x:f>
        <x:v>0.2562048303848898</x:v>
      </x:c>
      <x:c r="O622" s="8" t="n">
        <x:f>ABS(M622)</x:f>
        <x:v>0.5061668009509215</x:v>
      </x:c>
      <x:c r="P622" s="7" t="n">
        <x:v>45867</x:v>
      </x:c>
    </x:row>
    <x:row r="623" ht="26" customHeight="1">
      <x:c r="A623" s="2"/>
      <x:c r="B623" s="2" t="n">
        <x:v>618</x:v>
      </x:c>
      <x:c r="C623" s="2" t="str">
        <x:v>Health Care / price_contribution</x:v>
      </x:c>
      <x:c r="D623" s="7" t="n">
        <x:v>45838</x:v>
      </x:c>
      <x:c r="E623" s="2" t="str">
        <x:v>Origin</x:v>
      </x:c>
      <x:c r="F623" s="7" t="n">
        <x:v>45748</x:v>
      </x:c>
      <x:c r="G623" s="2" t="str">
        <x:v>Broad rolling 8</x:v>
      </x:c>
      <x:c r="H623" s="8" t="n">
        <x:f>'Model fits'!AA429</x:f>
        <x:v>1.2090572785226175</x:v>
      </x:c>
      <x:c r="I623" s="8" t="n">
        <x:f>0</x:f>
        <x:v>0</x:v>
      </x:c>
      <x:c r="J623" s="8" t="n">
        <x:v>0</x:v>
      </x:c>
      <x:c r="K623" s="8" t="n">
        <x:f>H623-I623*J623</x:f>
        <x:v>1.2090572785226175</x:v>
      </x:c>
      <x:c r="L623" s="8" t="n">
        <x:f>'PG facts'!D127</x:f>
        <x:v>1</x:v>
      </x:c>
      <x:c r="M623" s="8" t="n">
        <x:f>K623-L623</x:f>
        <x:v>0.20905727852261746</x:v>
      </x:c>
      <x:c r="N623" s="8" t="n">
        <x:f>M623^2</x:f>
        <x:v>0.04370494570328325</x:v>
      </x:c>
      <x:c r="O623" s="8" t="n">
        <x:f>ABS(M623)</x:f>
        <x:v>0.20905727852261746</x:v>
      </x:c>
      <x:c r="P623" s="7" t="n">
        <x:v>45867</x:v>
      </x:c>
    </x:row>
    <x:row r="624" ht="26" customHeight="1">
      <x:c r="A624" s="2"/>
      <x:c r="B624" s="2" t="n">
        <x:v>619</x:v>
      </x:c>
      <x:c r="C624" s="2" t="str">
        <x:v>Health Care / price_contribution</x:v>
      </x:c>
      <x:c r="D624" s="7" t="n">
        <x:v>45838</x:v>
      </x:c>
      <x:c r="E624" s="2" t="str">
        <x:v>Origin</x:v>
      </x:c>
      <x:c r="F624" s="7" t="n">
        <x:v>45748</x:v>
      </x:c>
      <x:c r="G624" s="2" t="str">
        <x:v>Own history</x:v>
      </x:c>
      <x:c r="H624" s="8" t="n">
        <x:f>'Model fits'!AA430</x:f>
        <x:v>2.3132530120481922</x:v>
      </x:c>
      <x:c r="I624" s="8" t="n">
        <x:f>0</x:f>
        <x:v>0</x:v>
      </x:c>
      <x:c r="J624" s="8" t="n">
        <x:v>0</x:v>
      </x:c>
      <x:c r="K624" s="8" t="n">
        <x:f>H624-I624*J624</x:f>
        <x:v>2.3132530120481922</x:v>
      </x:c>
      <x:c r="L624" s="8" t="n">
        <x:f>'PG facts'!D127</x:f>
        <x:v>1</x:v>
      </x:c>
      <x:c r="M624" s="8" t="n">
        <x:f>K624-L624</x:f>
        <x:v>1.3132530120481922</x:v>
      </x:c>
      <x:c r="N624" s="8" t="n">
        <x:f>M624^2</x:f>
        <x:v>1.7246334736536493</x:v>
      </x:c>
      <x:c r="O624" s="8" t="n">
        <x:f>ABS(M624)</x:f>
        <x:v>1.3132530120481922</x:v>
      </x:c>
      <x:c r="P624" s="7" t="n">
        <x:v>45867</x:v>
      </x:c>
    </x:row>
    <x:row r="625" ht="26" customHeight="1">
      <x:c r="A625" s="2"/>
      <x:c r="B625" s="2" t="n">
        <x:v>620</x:v>
      </x:c>
      <x:c r="C625" s="2" t="str">
        <x:v>Health Care / price_contribution</x:v>
      </x:c>
      <x:c r="D625" s="7" t="n">
        <x:v>45838</x:v>
      </x:c>
      <x:c r="E625" s="2" t="str">
        <x:v>Prior report</x:v>
      </x:c>
      <x:c r="F625" s="7" t="n">
        <x:v>45771</x:v>
      </x:c>
      <x:c r="G625" s="2" t="str">
        <x:v>Last actual</x:v>
      </x:c>
      <x:c r="H625" s="8" t="n">
        <x:f>AVERAGE('PG facts'!D120)</x:f>
        <x:v>1</x:v>
      </x:c>
      <x:c r="I625" s="8" t="n">
        <x:f>0</x:f>
        <x:v>0</x:v>
      </x:c>
      <x:c r="J625" s="8" t="n">
        <x:v>0</x:v>
      </x:c>
      <x:c r="K625" s="8" t="n">
        <x:f>H625-I625*J625</x:f>
        <x:v>1</x:v>
      </x:c>
      <x:c r="L625" s="8" t="n">
        <x:f>'PG facts'!D127</x:f>
        <x:v>1</x:v>
      </x:c>
      <x:c r="M625" s="8" t="n">
        <x:f>K625-L625</x:f>
        <x:v>0</x:v>
      </x:c>
      <x:c r="N625" s="8" t="n">
        <x:f>M625^2</x:f>
        <x:v>0</x:v>
      </x:c>
      <x:c r="O625" s="8" t="n">
        <x:f>ABS(M625)</x:f>
        <x:v>0</x:v>
      </x:c>
      <x:c r="P625" s="7" t="n">
        <x:v>45867</x:v>
      </x:c>
    </x:row>
    <x:row r="626" ht="26" customHeight="1">
      <x:c r="A626" s="2"/>
      <x:c r="B626" s="2" t="n">
        <x:v>621</x:v>
      </x:c>
      <x:c r="C626" s="2" t="str">
        <x:v>Health Care / price_contribution</x:v>
      </x:c>
      <x:c r="D626" s="7" t="n">
        <x:v>45838</x:v>
      </x:c>
      <x:c r="E626" s="2" t="str">
        <x:v>Prior report</x:v>
      </x:c>
      <x:c r="F626" s="7" t="n">
        <x:v>45771</x:v>
      </x:c>
      <x:c r="G626" s="2" t="str">
        <x:v>Four-quarter mean</x:v>
      </x:c>
      <x:c r="H626" s="8" t="n">
        <x:f>AVERAGE('PG facts'!D99,'PG facts'!D106,'PG facts'!D113,'PG facts'!D120)</x:f>
        <x:v>1.25</x:v>
      </x:c>
      <x:c r="I626" s="8" t="n">
        <x:f>0</x:f>
        <x:v>0</x:v>
      </x:c>
      <x:c r="J626" s="8" t="n">
        <x:v>0</x:v>
      </x:c>
      <x:c r="K626" s="8" t="n">
        <x:f>H626-I626*J626</x:f>
        <x:v>1.25</x:v>
      </x:c>
      <x:c r="L626" s="8" t="n">
        <x:f>'PG facts'!D127</x:f>
        <x:v>1</x:v>
      </x:c>
      <x:c r="M626" s="8" t="n">
        <x:f>K626-L626</x:f>
        <x:v>0.25</x:v>
      </x:c>
      <x:c r="N626" s="8" t="n">
        <x:f>M626^2</x:f>
        <x:v>0.0625</x:v>
      </x:c>
      <x:c r="O626" s="8" t="n">
        <x:f>ABS(M626)</x:f>
        <x:v>0.25</x:v>
      </x:c>
      <x:c r="P626" s="7" t="n">
        <x:v>45867</x:v>
      </x:c>
    </x:row>
    <x:row r="627" ht="26" customHeight="1">
      <x:c r="A627" s="2"/>
      <x:c r="B627" s="2" t="n">
        <x:v>622</x:v>
      </x:c>
      <x:c r="C627" s="2" t="str">
        <x:v>Health Care / price_contribution</x:v>
      </x:c>
      <x:c r="D627" s="7" t="n">
        <x:v>45838</x:v>
      </x:c>
      <x:c r="E627" s="2" t="str">
        <x:v>Prior report</x:v>
      </x:c>
      <x:c r="F627" s="7" t="n">
        <x:v>45771</x:v>
      </x:c>
      <x:c r="G627" s="2" t="str">
        <x:v>Broad market</x:v>
      </x:c>
      <x:c r="H627" s="8" t="n">
        <x:f>'Model fits'!AA431</x:f>
        <x:v>1.3441972144160177</x:v>
      </x:c>
      <x:c r="I627" s="8" t="n">
        <x:f>0</x:f>
        <x:v>0</x:v>
      </x:c>
      <x:c r="J627" s="8" t="n">
        <x:v>0</x:v>
      </x:c>
      <x:c r="K627" s="8" t="n">
        <x:f>H627-I627*J627</x:f>
        <x:v>1.3441972144160177</x:v>
      </x:c>
      <x:c r="L627" s="8" t="n">
        <x:f>'PG facts'!D127</x:f>
        <x:v>1</x:v>
      </x:c>
      <x:c r="M627" s="8" t="n">
        <x:f>K627-L627</x:f>
        <x:v>0.3441972144160177</x:v>
      </x:c>
      <x:c r="N627" s="8" t="n">
        <x:f>M627^2</x:f>
        <x:v>0.11847172241174606</x:v>
      </x:c>
      <x:c r="O627" s="8" t="n">
        <x:f>ABS(M627)</x:f>
        <x:v>0.3441972144160177</x:v>
      </x:c>
      <x:c r="P627" s="7" t="n">
        <x:v>45867</x:v>
      </x:c>
    </x:row>
    <x:row r="628" ht="26" customHeight="1">
      <x:c r="A628" s="2"/>
      <x:c r="B628" s="2" t="n">
        <x:v>623</x:v>
      </x:c>
      <x:c r="C628" s="2" t="str">
        <x:v>Health Care / price_contribution</x:v>
      </x:c>
      <x:c r="D628" s="7" t="n">
        <x:v>45838</x:v>
      </x:c>
      <x:c r="E628" s="2" t="str">
        <x:v>Prior report</x:v>
      </x:c>
      <x:c r="F628" s="7" t="n">
        <x:v>45771</x:v>
      </x:c>
      <x:c r="G628" s="2" t="str">
        <x:v>Broad lag 1</x:v>
      </x:c>
      <x:c r="H628" s="8" t="n">
        <x:f>'Model fits'!AA432</x:f>
        <x:v>1.7671687439015162</x:v>
      </x:c>
      <x:c r="I628" s="8" t="n">
        <x:f>0</x:f>
        <x:v>0</x:v>
      </x:c>
      <x:c r="J628" s="8" t="n">
        <x:v>0</x:v>
      </x:c>
      <x:c r="K628" s="8" t="n">
        <x:f>H628-I628*J628</x:f>
        <x:v>1.7671687439015162</x:v>
      </x:c>
      <x:c r="L628" s="8" t="n">
        <x:f>'PG facts'!D127</x:f>
        <x:v>1</x:v>
      </x:c>
      <x:c r="M628" s="8" t="n">
        <x:f>K628-L628</x:f>
        <x:v>0.7671687439015162</x:v>
      </x:c>
      <x:c r="N628" s="8" t="n">
        <x:f>M628^2</x:f>
        <x:v>0.5885478816194302</x:v>
      </x:c>
      <x:c r="O628" s="8" t="n">
        <x:f>ABS(M628)</x:f>
        <x:v>0.7671687439015162</x:v>
      </x:c>
      <x:c r="P628" s="7" t="n">
        <x:v>45867</x:v>
      </x:c>
    </x:row>
    <x:row r="629" ht="26" customHeight="1">
      <x:c r="A629" s="2"/>
      <x:c r="B629" s="2" t="n">
        <x:v>624</x:v>
      </x:c>
      <x:c r="C629" s="2" t="str">
        <x:v>Health Care / price_contribution</x:v>
      </x:c>
      <x:c r="D629" s="7" t="n">
        <x:v>45838</x:v>
      </x:c>
      <x:c r="E629" s="2" t="str">
        <x:v>Prior report</x:v>
      </x:c>
      <x:c r="F629" s="7" t="n">
        <x:v>45771</x:v>
      </x:c>
      <x:c r="G629" s="2" t="str">
        <x:v>Broad rolling 8</x:v>
      </x:c>
      <x:c r="H629" s="8" t="n">
        <x:f>'Model fits'!AA433</x:f>
        <x:v>1.0216221094391684</x:v>
      </x:c>
      <x:c r="I629" s="8" t="n">
        <x:f>0</x:f>
        <x:v>0</x:v>
      </x:c>
      <x:c r="J629" s="8" t="n">
        <x:v>0</x:v>
      </x:c>
      <x:c r="K629" s="8" t="n">
        <x:f>H629-I629*J629</x:f>
        <x:v>1.0216221094391684</x:v>
      </x:c>
      <x:c r="L629" s="8" t="n">
        <x:f>'PG facts'!D127</x:f>
        <x:v>1</x:v>
      </x:c>
      <x:c r="M629" s="8" t="n">
        <x:f>K629-L629</x:f>
        <x:v>0.021622109439168424</x:v>
      </x:c>
      <x:c r="N629" s="8" t="n">
        <x:f>M629^2</x:f>
        <x:v>0.00046751561659937627</x:v>
      </x:c>
      <x:c r="O629" s="8" t="n">
        <x:f>ABS(M629)</x:f>
        <x:v>0.021622109439168424</x:v>
      </x:c>
      <x:c r="P629" s="7" t="n">
        <x:v>45867</x:v>
      </x:c>
    </x:row>
    <x:row r="630" ht="26" customHeight="1">
      <x:c r="A630" s="2"/>
      <x:c r="B630" s="2" t="n">
        <x:v>625</x:v>
      </x:c>
      <x:c r="C630" s="2" t="str">
        <x:v>Health Care / price_contribution</x:v>
      </x:c>
      <x:c r="D630" s="7" t="n">
        <x:v>45838</x:v>
      </x:c>
      <x:c r="E630" s="2" t="str">
        <x:v>Prior report</x:v>
      </x:c>
      <x:c r="F630" s="7" t="n">
        <x:v>45771</x:v>
      </x:c>
      <x:c r="G630" s="2" t="str">
        <x:v>Own history</x:v>
      </x:c>
      <x:c r="H630" s="8" t="n">
        <x:f>'Model fits'!AA434</x:f>
        <x:v>1.430185633575464</x:v>
      </x:c>
      <x:c r="I630" s="8" t="n">
        <x:f>0</x:f>
        <x:v>0</x:v>
      </x:c>
      <x:c r="J630" s="8" t="n">
        <x:v>0</x:v>
      </x:c>
      <x:c r="K630" s="8" t="n">
        <x:f>H630-I630*J630</x:f>
        <x:v>1.430185633575464</x:v>
      </x:c>
      <x:c r="L630" s="8" t="n">
        <x:f>'PG facts'!D127</x:f>
        <x:v>1</x:v>
      </x:c>
      <x:c r="M630" s="8" t="n">
        <x:f>K630-L630</x:f>
        <x:v>0.4301856335754639</x:v>
      </x:c>
      <x:c r="N630" s="8" t="n">
        <x:f>M630^2</x:f>
        <x:v>0.1850596793347233</x:v>
      </x:c>
      <x:c r="O630" s="8" t="n">
        <x:f>ABS(M630)</x:f>
        <x:v>0.4301856335754639</x:v>
      </x:c>
      <x:c r="P630" s="7" t="n">
        <x:v>45867</x:v>
      </x:c>
    </x:row>
    <x:row r="631" ht="26" customHeight="1">
      <x:c r="A631" s="2"/>
      <x:c r="B631" s="2" t="n">
        <x:v>626</x:v>
      </x:c>
      <x:c r="C631" s="2" t="str">
        <x:v>Health Care / price_contribution</x:v>
      </x:c>
      <x:c r="D631" s="7" t="n">
        <x:v>45838</x:v>
      </x:c>
      <x:c r="E631" s="2" t="str">
        <x:v>Pre-earnings</x:v>
      </x:c>
      <x:c r="F631" s="7" t="n">
        <x:v>45866</x:v>
      </x:c>
      <x:c r="G631" s="2" t="str">
        <x:v>Last actual</x:v>
      </x:c>
      <x:c r="H631" s="8" t="n">
        <x:f>AVERAGE('PG facts'!D120)</x:f>
        <x:v>1</x:v>
      </x:c>
      <x:c r="I631" s="8" t="n">
        <x:f>0</x:f>
        <x:v>0</x:v>
      </x:c>
      <x:c r="J631" s="8" t="n">
        <x:v>0</x:v>
      </x:c>
      <x:c r="K631" s="8" t="n">
        <x:f>H631-I631*J631</x:f>
        <x:v>1</x:v>
      </x:c>
      <x:c r="L631" s="8" t="n">
        <x:f>'PG facts'!D127</x:f>
        <x:v>1</x:v>
      </x:c>
      <x:c r="M631" s="8" t="n">
        <x:f>K631-L631</x:f>
        <x:v>0</x:v>
      </x:c>
      <x:c r="N631" s="8" t="n">
        <x:f>M631^2</x:f>
        <x:v>0</x:v>
      </x:c>
      <x:c r="O631" s="8" t="n">
        <x:f>ABS(M631)</x:f>
        <x:v>0</x:v>
      </x:c>
      <x:c r="P631" s="7" t="n">
        <x:v>45867</x:v>
      </x:c>
    </x:row>
    <x:row r="632" ht="26" customHeight="1">
      <x:c r="A632" s="2"/>
      <x:c r="B632" s="2" t="n">
        <x:v>627</x:v>
      </x:c>
      <x:c r="C632" s="2" t="str">
        <x:v>Health Care / price_contribution</x:v>
      </x:c>
      <x:c r="D632" s="7" t="n">
        <x:v>45838</x:v>
      </x:c>
      <x:c r="E632" s="2" t="str">
        <x:v>Pre-earnings</x:v>
      </x:c>
      <x:c r="F632" s="7" t="n">
        <x:v>45866</x:v>
      </x:c>
      <x:c r="G632" s="2" t="str">
        <x:v>Four-quarter mean</x:v>
      </x:c>
      <x:c r="H632" s="8" t="n">
        <x:f>AVERAGE('PG facts'!D99,'PG facts'!D106,'PG facts'!D113,'PG facts'!D120)</x:f>
        <x:v>1.25</x:v>
      </x:c>
      <x:c r="I632" s="8" t="n">
        <x:f>0</x:f>
        <x:v>0</x:v>
      </x:c>
      <x:c r="J632" s="8" t="n">
        <x:v>0</x:v>
      </x:c>
      <x:c r="K632" s="8" t="n">
        <x:f>H632-I632*J632</x:f>
        <x:v>1.25</x:v>
      </x:c>
      <x:c r="L632" s="8" t="n">
        <x:f>'PG facts'!D127</x:f>
        <x:v>1</x:v>
      </x:c>
      <x:c r="M632" s="8" t="n">
        <x:f>K632-L632</x:f>
        <x:v>0.25</x:v>
      </x:c>
      <x:c r="N632" s="8" t="n">
        <x:f>M632^2</x:f>
        <x:v>0.0625</x:v>
      </x:c>
      <x:c r="O632" s="8" t="n">
        <x:f>ABS(M632)</x:f>
        <x:v>0.25</x:v>
      </x:c>
      <x:c r="P632" s="7" t="n">
        <x:v>45867</x:v>
      </x:c>
    </x:row>
    <x:row r="633" ht="26" customHeight="1">
      <x:c r="A633" s="2"/>
      <x:c r="B633" s="2" t="n">
        <x:v>628</x:v>
      </x:c>
      <x:c r="C633" s="2" t="str">
        <x:v>Health Care / price_contribution</x:v>
      </x:c>
      <x:c r="D633" s="7" t="n">
        <x:v>45838</x:v>
      </x:c>
      <x:c r="E633" s="2" t="str">
        <x:v>Pre-earnings</x:v>
      </x:c>
      <x:c r="F633" s="7" t="n">
        <x:v>45866</x:v>
      </x:c>
      <x:c r="G633" s="2" t="str">
        <x:v>Broad market</x:v>
      </x:c>
      <x:c r="H633" s="8" t="n">
        <x:f>'Model fits'!AA435</x:f>
        <x:v>1.5441608735148367</x:v>
      </x:c>
      <x:c r="I633" s="8" t="n">
        <x:f>0</x:f>
        <x:v>0</x:v>
      </x:c>
      <x:c r="J633" s="8" t="n">
        <x:v>0</x:v>
      </x:c>
      <x:c r="K633" s="8" t="n">
        <x:f>H633-I633*J633</x:f>
        <x:v>1.5441608735148367</x:v>
      </x:c>
      <x:c r="L633" s="8" t="n">
        <x:f>'PG facts'!D127</x:f>
        <x:v>1</x:v>
      </x:c>
      <x:c r="M633" s="8" t="n">
        <x:f>K633-L633</x:f>
        <x:v>0.5441608735148367</x:v>
      </x:c>
      <x:c r="N633" s="8" t="n">
        <x:f>M633^2</x:f>
        <x:v>0.2961110562644301</x:v>
      </x:c>
      <x:c r="O633" s="8" t="n">
        <x:f>ABS(M633)</x:f>
        <x:v>0.5441608735148367</x:v>
      </x:c>
      <x:c r="P633" s="7" t="n">
        <x:v>45867</x:v>
      </x:c>
    </x:row>
    <x:row r="634" ht="26" customHeight="1">
      <x:c r="A634" s="2"/>
      <x:c r="B634" s="2" t="n">
        <x:v>629</x:v>
      </x:c>
      <x:c r="C634" s="2" t="str">
        <x:v>Health Care / price_contribution</x:v>
      </x:c>
      <x:c r="D634" s="7" t="n">
        <x:v>45838</x:v>
      </x:c>
      <x:c r="E634" s="2" t="str">
        <x:v>Pre-earnings</x:v>
      </x:c>
      <x:c r="F634" s="7" t="n">
        <x:v>45866</x:v>
      </x:c>
      <x:c r="G634" s="2" t="str">
        <x:v>Broad lag 1</x:v>
      </x:c>
      <x:c r="H634" s="8" t="n">
        <x:f>'Model fits'!AA436</x:f>
        <x:v>1.7671687439015162</x:v>
      </x:c>
      <x:c r="I634" s="8" t="n">
        <x:f>0</x:f>
        <x:v>0</x:v>
      </x:c>
      <x:c r="J634" s="8" t="n">
        <x:v>0</x:v>
      </x:c>
      <x:c r="K634" s="8" t="n">
        <x:f>H634-I634*J634</x:f>
        <x:v>1.7671687439015162</x:v>
      </x:c>
      <x:c r="L634" s="8" t="n">
        <x:f>'PG facts'!D127</x:f>
        <x:v>1</x:v>
      </x:c>
      <x:c r="M634" s="8" t="n">
        <x:f>K634-L634</x:f>
        <x:v>0.7671687439015162</x:v>
      </x:c>
      <x:c r="N634" s="8" t="n">
        <x:f>M634^2</x:f>
        <x:v>0.5885478816194302</x:v>
      </x:c>
      <x:c r="O634" s="8" t="n">
        <x:f>ABS(M634)</x:f>
        <x:v>0.7671687439015162</x:v>
      </x:c>
      <x:c r="P634" s="7" t="n">
        <x:v>45867</x:v>
      </x:c>
    </x:row>
    <x:row r="635" ht="26" customHeight="1">
      <x:c r="A635" s="2"/>
      <x:c r="B635" s="2" t="n">
        <x:v>630</x:v>
      </x:c>
      <x:c r="C635" s="2" t="str">
        <x:v>Health Care / price_contribution</x:v>
      </x:c>
      <x:c r="D635" s="7" t="n">
        <x:v>45838</x:v>
      </x:c>
      <x:c r="E635" s="2" t="str">
        <x:v>Pre-earnings</x:v>
      </x:c>
      <x:c r="F635" s="7" t="n">
        <x:v>45866</x:v>
      </x:c>
      <x:c r="G635" s="2" t="str">
        <x:v>Broad rolling 8</x:v>
      </x:c>
      <x:c r="H635" s="8" t="n">
        <x:f>'Model fits'!AA437</x:f>
        <x:v>1.248873107592825</x:v>
      </x:c>
      <x:c r="I635" s="8" t="n">
        <x:f>0</x:f>
        <x:v>0</x:v>
      </x:c>
      <x:c r="J635" s="8" t="n">
        <x:v>0</x:v>
      </x:c>
      <x:c r="K635" s="8" t="n">
        <x:f>H635-I635*J635</x:f>
        <x:v>1.248873107592825</x:v>
      </x:c>
      <x:c r="L635" s="8" t="n">
        <x:f>'PG facts'!D127</x:f>
        <x:v>1</x:v>
      </x:c>
      <x:c r="M635" s="8" t="n">
        <x:f>K635-L635</x:f>
        <x:v>0.248873107592825</x:v>
      </x:c>
      <x:c r="N635" s="8" t="n">
        <x:f>M635^2</x:f>
        <x:v>0.06193782368290984</x:v>
      </x:c>
      <x:c r="O635" s="8" t="n">
        <x:f>ABS(M635)</x:f>
        <x:v>0.248873107592825</x:v>
      </x:c>
      <x:c r="P635" s="7" t="n">
        <x:v>45867</x:v>
      </x:c>
    </x:row>
    <x:row r="636" ht="26" customHeight="1">
      <x:c r="A636" s="2"/>
      <x:c r="B636" s="2" t="n">
        <x:v>631</x:v>
      </x:c>
      <x:c r="C636" s="2" t="str">
        <x:v>Health Care / price_contribution</x:v>
      </x:c>
      <x:c r="D636" s="7" t="n">
        <x:v>45838</x:v>
      </x:c>
      <x:c r="E636" s="2" t="str">
        <x:v>Pre-earnings</x:v>
      </x:c>
      <x:c r="F636" s="7" t="n">
        <x:v>45866</x:v>
      </x:c>
      <x:c r="G636" s="2" t="str">
        <x:v>Own history</x:v>
      </x:c>
      <x:c r="H636" s="8" t="n">
        <x:f>'Model fits'!AA438</x:f>
        <x:v>1.430185633575464</x:v>
      </x:c>
      <x:c r="I636" s="8" t="n">
        <x:f>0</x:f>
        <x:v>0</x:v>
      </x:c>
      <x:c r="J636" s="8" t="n">
        <x:v>0</x:v>
      </x:c>
      <x:c r="K636" s="8" t="n">
        <x:f>H636-I636*J636</x:f>
        <x:v>1.430185633575464</x:v>
      </x:c>
      <x:c r="L636" s="8" t="n">
        <x:f>'PG facts'!D127</x:f>
        <x:v>1</x:v>
      </x:c>
      <x:c r="M636" s="8" t="n">
        <x:f>K636-L636</x:f>
        <x:v>0.4301856335754639</x:v>
      </x:c>
      <x:c r="N636" s="8" t="n">
        <x:f>M636^2</x:f>
        <x:v>0.1850596793347233</x:v>
      </x:c>
      <x:c r="O636" s="8" t="n">
        <x:f>ABS(M636)</x:f>
        <x:v>0.4301856335754639</x:v>
      </x:c>
      <x:c r="P636" s="7" t="n">
        <x:v>45867</x:v>
      </x:c>
    </x:row>
    <x:row r="637" ht="26" customHeight="1">
      <x:c r="A637" s="2"/>
      <x:c r="B637" s="2" t="n">
        <x:v>632</x:v>
      </x:c>
      <x:c r="C637" s="2" t="str">
        <x:v>Health Care / price_contribution</x:v>
      </x:c>
      <x:c r="D637" s="7" t="n">
        <x:v>45930</x:v>
      </x:c>
      <x:c r="E637" s="2" t="str">
        <x:v>Origin</x:v>
      </x:c>
      <x:c r="F637" s="7" t="n">
        <x:v>45839</x:v>
      </x:c>
      <x:c r="G637" s="2" t="str">
        <x:v>Last actual</x:v>
      </x:c>
      <x:c r="H637" s="8" t="n">
        <x:f>AVERAGE('PG facts'!D120)</x:f>
        <x:v>1</x:v>
      </x:c>
      <x:c r="I637" s="8" t="n">
        <x:f>0</x:f>
        <x:v>0</x:v>
      </x:c>
      <x:c r="J637" s="8" t="n">
        <x:v>0</x:v>
      </x:c>
      <x:c r="K637" s="8" t="n">
        <x:f>H637-I637*J637</x:f>
        <x:v>1</x:v>
      </x:c>
      <x:c r="L637" s="8" t="n">
        <x:f>'PG facts'!D134</x:f>
        <x:v>1</x:v>
      </x:c>
      <x:c r="M637" s="8" t="n">
        <x:f>K637-L637</x:f>
        <x:v>0</x:v>
      </x:c>
      <x:c r="N637" s="8" t="n">
        <x:f>M637^2</x:f>
        <x:v>0</x:v>
      </x:c>
      <x:c r="O637" s="8" t="n">
        <x:f>ABS(M637)</x:f>
        <x:v>0</x:v>
      </x:c>
      <x:c r="P637" s="7" t="n">
        <x:v>45954</x:v>
      </x:c>
    </x:row>
    <x:row r="638" ht="26" customHeight="1">
      <x:c r="A638" s="2"/>
      <x:c r="B638" s="2" t="n">
        <x:v>633</x:v>
      </x:c>
      <x:c r="C638" s="2" t="str">
        <x:v>Health Care / price_contribution</x:v>
      </x:c>
      <x:c r="D638" s="7" t="n">
        <x:v>45930</x:v>
      </x:c>
      <x:c r="E638" s="2" t="str">
        <x:v>Origin</x:v>
      </x:c>
      <x:c r="F638" s="7" t="n">
        <x:v>45839</x:v>
      </x:c>
      <x:c r="G638" s="2" t="str">
        <x:v>Four-quarter mean</x:v>
      </x:c>
      <x:c r="H638" s="8" t="n">
        <x:f>AVERAGE('PG facts'!D99,'PG facts'!D106,'PG facts'!D113,'PG facts'!D120)</x:f>
        <x:v>1.25</x:v>
      </x:c>
      <x:c r="I638" s="8" t="n">
        <x:f>0</x:f>
        <x:v>0</x:v>
      </x:c>
      <x:c r="J638" s="8" t="n">
        <x:v>0</x:v>
      </x:c>
      <x:c r="K638" s="8" t="n">
        <x:f>H638-I638*J638</x:f>
        <x:v>1.25</x:v>
      </x:c>
      <x:c r="L638" s="8" t="n">
        <x:f>'PG facts'!D134</x:f>
        <x:v>1</x:v>
      </x:c>
      <x:c r="M638" s="8" t="n">
        <x:f>K638-L638</x:f>
        <x:v>0.25</x:v>
      </x:c>
      <x:c r="N638" s="8" t="n">
        <x:f>M638^2</x:f>
        <x:v>0.0625</x:v>
      </x:c>
      <x:c r="O638" s="8" t="n">
        <x:f>ABS(M638)</x:f>
        <x:v>0.25</x:v>
      </x:c>
      <x:c r="P638" s="7" t="n">
        <x:v>45954</x:v>
      </x:c>
    </x:row>
    <x:row r="639" ht="26" customHeight="1">
      <x:c r="A639" s="2"/>
      <x:c r="B639" s="2" t="n">
        <x:v>634</x:v>
      </x:c>
      <x:c r="C639" s="2" t="str">
        <x:v>Health Care / price_contribution</x:v>
      </x:c>
      <x:c r="D639" s="7" t="n">
        <x:v>45930</x:v>
      </x:c>
      <x:c r="E639" s="2" t="str">
        <x:v>Origin</x:v>
      </x:c>
      <x:c r="F639" s="7" t="n">
        <x:v>45839</x:v>
      </x:c>
      <x:c r="G639" s="2" t="str">
        <x:v>Broad market</x:v>
      </x:c>
      <x:c r="H639" s="8" t="n">
        <x:f>'Model fits'!AA439</x:f>
        <x:v>1.390647037071689</x:v>
      </x:c>
      <x:c r="I639" s="8" t="n">
        <x:f>0</x:f>
        <x:v>0</x:v>
      </x:c>
      <x:c r="J639" s="8" t="n">
        <x:v>0</x:v>
      </x:c>
      <x:c r="K639" s="8" t="n">
        <x:f>H639-I639*J639</x:f>
        <x:v>1.390647037071689</x:v>
      </x:c>
      <x:c r="L639" s="8" t="n">
        <x:f>'PG facts'!D134</x:f>
        <x:v>1</x:v>
      </x:c>
      <x:c r="M639" s="8" t="n">
        <x:f>K639-L639</x:f>
        <x:v>0.390647037071689</x:v>
      </x:c>
      <x:c r="N639" s="8" t="n">
        <x:f>M639^2</x:f>
        <x:v>0.1526051075728896</x:v>
      </x:c>
      <x:c r="O639" s="8" t="n">
        <x:f>ABS(M639)</x:f>
        <x:v>0.390647037071689</x:v>
      </x:c>
      <x:c r="P639" s="7" t="n">
        <x:v>45954</x:v>
      </x:c>
    </x:row>
    <x:row r="640" ht="26" customHeight="1">
      <x:c r="A640" s="2"/>
      <x:c r="B640" s="2" t="n">
        <x:v>635</x:v>
      </x:c>
      <x:c r="C640" s="2" t="str">
        <x:v>Health Care / price_contribution</x:v>
      </x:c>
      <x:c r="D640" s="7" t="n">
        <x:v>45930</x:v>
      </x:c>
      <x:c r="E640" s="2" t="str">
        <x:v>Origin</x:v>
      </x:c>
      <x:c r="F640" s="7" t="n">
        <x:v>45839</x:v>
      </x:c>
      <x:c r="G640" s="2" t="str">
        <x:v>Broad rolling 8</x:v>
      </x:c>
      <x:c r="H640" s="8" t="n">
        <x:f>'Model fits'!AA440</x:f>
        <x:v>1.0744105441484229</x:v>
      </x:c>
      <x:c r="I640" s="8" t="n">
        <x:f>0</x:f>
        <x:v>0</x:v>
      </x:c>
      <x:c r="J640" s="8" t="n">
        <x:v>0</x:v>
      </x:c>
      <x:c r="K640" s="8" t="n">
        <x:f>H640-I640*J640</x:f>
        <x:v>1.0744105441484229</x:v>
      </x:c>
      <x:c r="L640" s="8" t="n">
        <x:f>'PG facts'!D134</x:f>
        <x:v>1</x:v>
      </x:c>
      <x:c r="M640" s="8" t="n">
        <x:f>K640-L640</x:f>
        <x:v>0.07441054414842285</x:v>
      </x:c>
      <x:c r="N640" s="8" t="n">
        <x:f>M640^2</x:f>
        <x:v>0.005536929080464386</x:v>
      </x:c>
      <x:c r="O640" s="8" t="n">
        <x:f>ABS(M640)</x:f>
        <x:v>0.07441054414842285</x:v>
      </x:c>
      <x:c r="P640" s="7" t="n">
        <x:v>45954</x:v>
      </x:c>
    </x:row>
    <x:row r="641" ht="26" customHeight="1">
      <x:c r="A641" s="2"/>
      <x:c r="B641" s="2" t="n">
        <x:v>636</x:v>
      </x:c>
      <x:c r="C641" s="2" t="str">
        <x:v>Health Care / price_contribution</x:v>
      </x:c>
      <x:c r="D641" s="7" t="n">
        <x:v>45930</x:v>
      </x:c>
      <x:c r="E641" s="2" t="str">
        <x:v>Origin</x:v>
      </x:c>
      <x:c r="F641" s="7" t="n">
        <x:v>45839</x:v>
      </x:c>
      <x:c r="G641" s="2" t="str">
        <x:v>Own history</x:v>
      </x:c>
      <x:c r="H641" s="8" t="n">
        <x:f>'Model fits'!AA441</x:f>
        <x:v>2.1143122676579917</x:v>
      </x:c>
      <x:c r="I641" s="8" t="n">
        <x:f>0</x:f>
        <x:v>0</x:v>
      </x:c>
      <x:c r="J641" s="8" t="n">
        <x:v>0</x:v>
      </x:c>
      <x:c r="K641" s="8" t="n">
        <x:f>H641-I641*J641</x:f>
        <x:v>2.1143122676579917</x:v>
      </x:c>
      <x:c r="L641" s="8" t="n">
        <x:f>'PG facts'!D134</x:f>
        <x:v>1</x:v>
      </x:c>
      <x:c r="M641" s="8" t="n">
        <x:f>K641-L641</x:f>
        <x:v>1.1143122676579917</x:v>
      </x:c>
      <x:c r="N641" s="8" t="n">
        <x:f>M641^2</x:f>
        <x:v>1.241691829853096</x:v>
      </x:c>
      <x:c r="O641" s="8" t="n">
        <x:f>ABS(M641)</x:f>
        <x:v>1.1143122676579917</x:v>
      </x:c>
      <x:c r="P641" s="7" t="n">
        <x:v>45954</x:v>
      </x:c>
    </x:row>
    <x:row r="642" ht="26" customHeight="1">
      <x:c r="A642" s="2"/>
      <x:c r="B642" s="2" t="n">
        <x:v>637</x:v>
      </x:c>
      <x:c r="C642" s="2" t="str">
        <x:v>Health Care / price_contribution</x:v>
      </x:c>
      <x:c r="D642" s="7" t="n">
        <x:v>45930</x:v>
      </x:c>
      <x:c r="E642" s="2" t="str">
        <x:v>Prior report</x:v>
      </x:c>
      <x:c r="F642" s="7" t="n">
        <x:v>45867</x:v>
      </x:c>
      <x:c r="G642" s="2" t="str">
        <x:v>Last actual</x:v>
      </x:c>
      <x:c r="H642" s="8" t="n">
        <x:f>AVERAGE('PG facts'!D127)</x:f>
        <x:v>1</x:v>
      </x:c>
      <x:c r="I642" s="8" t="n">
        <x:f>0</x:f>
        <x:v>0</x:v>
      </x:c>
      <x:c r="J642" s="8" t="n">
        <x:v>0</x:v>
      </x:c>
      <x:c r="K642" s="8" t="n">
        <x:f>H642-I642*J642</x:f>
        <x:v>1</x:v>
      </x:c>
      <x:c r="L642" s="8" t="n">
        <x:f>'PG facts'!D134</x:f>
        <x:v>1</x:v>
      </x:c>
      <x:c r="M642" s="8" t="n">
        <x:f>K642-L642</x:f>
        <x:v>0</x:v>
      </x:c>
      <x:c r="N642" s="8" t="n">
        <x:f>M642^2</x:f>
        <x:v>0</x:v>
      </x:c>
      <x:c r="O642" s="8" t="n">
        <x:f>ABS(M642)</x:f>
        <x:v>0</x:v>
      </x:c>
      <x:c r="P642" s="7" t="n">
        <x:v>45954</x:v>
      </x:c>
    </x:row>
    <x:row r="643" ht="26" customHeight="1">
      <x:c r="A643" s="2"/>
      <x:c r="B643" s="2" t="n">
        <x:v>638</x:v>
      </x:c>
      <x:c r="C643" s="2" t="str">
        <x:v>Health Care / price_contribution</x:v>
      </x:c>
      <x:c r="D643" s="7" t="n">
        <x:v>45930</x:v>
      </x:c>
      <x:c r="E643" s="2" t="str">
        <x:v>Prior report</x:v>
      </x:c>
      <x:c r="F643" s="7" t="n">
        <x:v>45867</x:v>
      </x:c>
      <x:c r="G643" s="2" t="str">
        <x:v>Four-quarter mean</x:v>
      </x:c>
      <x:c r="H643" s="8" t="n">
        <x:f>AVERAGE('PG facts'!D106,'PG facts'!D113,'PG facts'!D120,'PG facts'!D127)</x:f>
        <x:v>1</x:v>
      </x:c>
      <x:c r="I643" s="8" t="n">
        <x:f>0</x:f>
        <x:v>0</x:v>
      </x:c>
      <x:c r="J643" s="8" t="n">
        <x:v>0</x:v>
      </x:c>
      <x:c r="K643" s="8" t="n">
        <x:f>H643-I643*J643</x:f>
        <x:v>1</x:v>
      </x:c>
      <x:c r="L643" s="8" t="n">
        <x:f>'PG facts'!D134</x:f>
        <x:v>1</x:v>
      </x:c>
      <x:c r="M643" s="8" t="n">
        <x:f>K643-L643</x:f>
        <x:v>0</x:v>
      </x:c>
      <x:c r="N643" s="8" t="n">
        <x:f>M643^2</x:f>
        <x:v>0</x:v>
      </x:c>
      <x:c r="O643" s="8" t="n">
        <x:f>ABS(M643)</x:f>
        <x:v>0</x:v>
      </x:c>
      <x:c r="P643" s="7" t="n">
        <x:v>45954</x:v>
      </x:c>
    </x:row>
    <x:row r="644" ht="26" customHeight="1">
      <x:c r="A644" s="2"/>
      <x:c r="B644" s="2" t="n">
        <x:v>639</x:v>
      </x:c>
      <x:c r="C644" s="2" t="str">
        <x:v>Health Care / price_contribution</x:v>
      </x:c>
      <x:c r="D644" s="7" t="n">
        <x:v>45930</x:v>
      </x:c>
      <x:c r="E644" s="2" t="str">
        <x:v>Prior report</x:v>
      </x:c>
      <x:c r="F644" s="7" t="n">
        <x:v>45867</x:v>
      </x:c>
      <x:c r="G644" s="2" t="str">
        <x:v>Broad market</x:v>
      </x:c>
      <x:c r="H644" s="8" t="n">
        <x:f>'Model fits'!AA442</x:f>
        <x:v>1.4969168343320236</x:v>
      </x:c>
      <x:c r="I644" s="8" t="n">
        <x:f>0</x:f>
        <x:v>0</x:v>
      </x:c>
      <x:c r="J644" s="8" t="n">
        <x:v>0</x:v>
      </x:c>
      <x:c r="K644" s="8" t="n">
        <x:f>H644-I644*J644</x:f>
        <x:v>1.4969168343320236</x:v>
      </x:c>
      <x:c r="L644" s="8" t="n">
        <x:f>'PG facts'!D134</x:f>
        <x:v>1</x:v>
      </x:c>
      <x:c r="M644" s="8" t="n">
        <x:f>K644-L644</x:f>
        <x:v>0.4969168343320236</x:v>
      </x:c>
      <x:c r="N644" s="8" t="n">
        <x:f>M644^2</x:f>
        <x:v>0.2469263402425598</x:v>
      </x:c>
      <x:c r="O644" s="8" t="n">
        <x:f>ABS(M644)</x:f>
        <x:v>0.4969168343320236</x:v>
      </x:c>
      <x:c r="P644" s="7" t="n">
        <x:v>45954</x:v>
      </x:c>
    </x:row>
    <x:row r="645" ht="26" customHeight="1">
      <x:c r="A645" s="2"/>
      <x:c r="B645" s="2" t="n">
        <x:v>640</x:v>
      </x:c>
      <x:c r="C645" s="2" t="str">
        <x:v>Health Care / price_contribution</x:v>
      </x:c>
      <x:c r="D645" s="7" t="n">
        <x:v>45930</x:v>
      </x:c>
      <x:c r="E645" s="2" t="str">
        <x:v>Prior report</x:v>
      </x:c>
      <x:c r="F645" s="7" t="n">
        <x:v>45867</x:v>
      </x:c>
      <x:c r="G645" s="2" t="str">
        <x:v>Broad lag 1</x:v>
      </x:c>
      <x:c r="H645" s="8" t="n">
        <x:f>'Model fits'!AA443</x:f>
        <x:v>1.8561695697604588</x:v>
      </x:c>
      <x:c r="I645" s="8" t="n">
        <x:f>0</x:f>
        <x:v>0</x:v>
      </x:c>
      <x:c r="J645" s="8" t="n">
        <x:v>0</x:v>
      </x:c>
      <x:c r="K645" s="8" t="n">
        <x:f>H645-I645*J645</x:f>
        <x:v>1.8561695697604588</x:v>
      </x:c>
      <x:c r="L645" s="8" t="n">
        <x:f>'PG facts'!D134</x:f>
        <x:v>1</x:v>
      </x:c>
      <x:c r="M645" s="8" t="n">
        <x:f>K645-L645</x:f>
        <x:v>0.8561695697604588</x:v>
      </x:c>
      <x:c r="N645" s="8" t="n">
        <x:f>M645^2</x:f>
        <x:v>0.7330263321838091</x:v>
      </x:c>
      <x:c r="O645" s="8" t="n">
        <x:f>ABS(M645)</x:f>
        <x:v>0.8561695697604588</x:v>
      </x:c>
      <x:c r="P645" s="7" t="n">
        <x:v>45954</x:v>
      </x:c>
    </x:row>
    <x:row r="646" ht="26" customHeight="1">
      <x:c r="A646" s="2"/>
      <x:c r="B646" s="2" t="n">
        <x:v>641</x:v>
      </x:c>
      <x:c r="C646" s="2" t="str">
        <x:v>Health Care / price_contribution</x:v>
      </x:c>
      <x:c r="D646" s="7" t="n">
        <x:v>45930</x:v>
      </x:c>
      <x:c r="E646" s="2" t="str">
        <x:v>Prior report</x:v>
      </x:c>
      <x:c r="F646" s="7" t="n">
        <x:v>45867</x:v>
      </x:c>
      <x:c r="G646" s="2" t="str">
        <x:v>Broad rolling 8</x:v>
      </x:c>
      <x:c r="H646" s="8" t="n">
        <x:f>'Model fits'!AA444</x:f>
        <x:v>1.0979981982468685</x:v>
      </x:c>
      <x:c r="I646" s="8" t="n">
        <x:f>0</x:f>
        <x:v>0</x:v>
      </x:c>
      <x:c r="J646" s="8" t="n">
        <x:v>0</x:v>
      </x:c>
      <x:c r="K646" s="8" t="n">
        <x:f>H646-I646*J646</x:f>
        <x:v>1.0979981982468685</x:v>
      </x:c>
      <x:c r="L646" s="8" t="n">
        <x:f>'PG facts'!D134</x:f>
        <x:v>1</x:v>
      </x:c>
      <x:c r="M646" s="8" t="n">
        <x:f>K646-L646</x:f>
        <x:v>0.0979981982468685</x:v>
      </x:c>
      <x:c r="N646" s="8" t="n">
        <x:f>M646^2</x:f>
        <x:v>0.009603646859632541</x:v>
      </x:c>
      <x:c r="O646" s="8" t="n">
        <x:f>ABS(M646)</x:f>
        <x:v>0.0979981982468685</x:v>
      </x:c>
      <x:c r="P646" s="7" t="n">
        <x:v>45954</x:v>
      </x:c>
    </x:row>
    <x:row r="647" ht="26" customHeight="1">
      <x:c r="A647" s="2"/>
      <x:c r="B647" s="2" t="n">
        <x:v>642</x:v>
      </x:c>
      <x:c r="C647" s="2" t="str">
        <x:v>Health Care / price_contribution</x:v>
      </x:c>
      <x:c r="D647" s="7" t="n">
        <x:v>45930</x:v>
      </x:c>
      <x:c r="E647" s="2" t="str">
        <x:v>Prior report</x:v>
      </x:c>
      <x:c r="F647" s="7" t="n">
        <x:v>45867</x:v>
      </x:c>
      <x:c r="G647" s="2" t="str">
        <x:v>Own history</x:v>
      </x:c>
      <x:c r="H647" s="8" t="n">
        <x:f>'Model fits'!AA445</x:f>
        <x:v>1.380171184022825</x:v>
      </x:c>
      <x:c r="I647" s="8" t="n">
        <x:f>0</x:f>
        <x:v>0</x:v>
      </x:c>
      <x:c r="J647" s="8" t="n">
        <x:v>0</x:v>
      </x:c>
      <x:c r="K647" s="8" t="n">
        <x:f>H647-I647*J647</x:f>
        <x:v>1.380171184022825</x:v>
      </x:c>
      <x:c r="L647" s="8" t="n">
        <x:f>'PG facts'!D134</x:f>
        <x:v>1</x:v>
      </x:c>
      <x:c r="M647" s="8" t="n">
        <x:f>K647-L647</x:f>
        <x:v>0.380171184022825</x:v>
      </x:c>
      <x:c r="N647" s="8" t="n">
        <x:f>M647^2</x:f>
        <x:v>0.1445301291613167</x:v>
      </x:c>
      <x:c r="O647" s="8" t="n">
        <x:f>ABS(M647)</x:f>
        <x:v>0.380171184022825</x:v>
      </x:c>
      <x:c r="P647" s="7" t="n">
        <x:v>45954</x:v>
      </x:c>
    </x:row>
    <x:row r="648" ht="26" customHeight="1">
      <x:c r="A648" s="2"/>
      <x:c r="B648" s="2" t="n">
        <x:v>643</x:v>
      </x:c>
      <x:c r="C648" s="2" t="str">
        <x:v>Health Care / price_contribution</x:v>
      </x:c>
      <x:c r="D648" s="7" t="n">
        <x:v>45930</x:v>
      </x:c>
      <x:c r="E648" s="2" t="str">
        <x:v>Pre-earnings</x:v>
      </x:c>
      <x:c r="F648" s="7" t="n">
        <x:v>45953</x:v>
      </x:c>
      <x:c r="G648" s="2" t="str">
        <x:v>Last actual</x:v>
      </x:c>
      <x:c r="H648" s="8" t="n">
        <x:f>AVERAGE('PG facts'!D127)</x:f>
        <x:v>1</x:v>
      </x:c>
      <x:c r="I648" s="8" t="n">
        <x:f>0</x:f>
        <x:v>0</x:v>
      </x:c>
      <x:c r="J648" s="8" t="n">
        <x:v>0</x:v>
      </x:c>
      <x:c r="K648" s="8" t="n">
        <x:f>H648-I648*J648</x:f>
        <x:v>1</x:v>
      </x:c>
      <x:c r="L648" s="8" t="n">
        <x:f>'PG facts'!D134</x:f>
        <x:v>1</x:v>
      </x:c>
      <x:c r="M648" s="8" t="n">
        <x:f>K648-L648</x:f>
        <x:v>0</x:v>
      </x:c>
      <x:c r="N648" s="8" t="n">
        <x:f>M648^2</x:f>
        <x:v>0</x:v>
      </x:c>
      <x:c r="O648" s="8" t="n">
        <x:f>ABS(M648)</x:f>
        <x:v>0</x:v>
      </x:c>
      <x:c r="P648" s="7" t="n">
        <x:v>45954</x:v>
      </x:c>
    </x:row>
    <x:row r="649" ht="26" customHeight="1">
      <x:c r="A649" s="2"/>
      <x:c r="B649" s="2" t="n">
        <x:v>644</x:v>
      </x:c>
      <x:c r="C649" s="2" t="str">
        <x:v>Health Care / price_contribution</x:v>
      </x:c>
      <x:c r="D649" s="7" t="n">
        <x:v>45930</x:v>
      </x:c>
      <x:c r="E649" s="2" t="str">
        <x:v>Pre-earnings</x:v>
      </x:c>
      <x:c r="F649" s="7" t="n">
        <x:v>45953</x:v>
      </x:c>
      <x:c r="G649" s="2" t="str">
        <x:v>Four-quarter mean</x:v>
      </x:c>
      <x:c r="H649" s="8" t="n">
        <x:f>AVERAGE('PG facts'!D106,'PG facts'!D113,'PG facts'!D120,'PG facts'!D127)</x:f>
        <x:v>1</x:v>
      </x:c>
      <x:c r="I649" s="8" t="n">
        <x:f>0</x:f>
        <x:v>0</x:v>
      </x:c>
      <x:c r="J649" s="8" t="n">
        <x:v>0</x:v>
      </x:c>
      <x:c r="K649" s="8" t="n">
        <x:f>H649-I649*J649</x:f>
        <x:v>1</x:v>
      </x:c>
      <x:c r="L649" s="8" t="n">
        <x:f>'PG facts'!D134</x:f>
        <x:v>1</x:v>
      </x:c>
      <x:c r="M649" s="8" t="n">
        <x:f>K649-L649</x:f>
        <x:v>0</x:v>
      </x:c>
      <x:c r="N649" s="8" t="n">
        <x:f>M649^2</x:f>
        <x:v>0</x:v>
      </x:c>
      <x:c r="O649" s="8" t="n">
        <x:f>ABS(M649)</x:f>
        <x:v>0</x:v>
      </x:c>
      <x:c r="P649" s="7" t="n">
        <x:v>45954</x:v>
      </x:c>
    </x:row>
    <x:row r="650" ht="26" customHeight="1">
      <x:c r="A650" s="2"/>
      <x:c r="B650" s="2" t="n">
        <x:v>645</x:v>
      </x:c>
      <x:c r="C650" s="2" t="str">
        <x:v>Health Care / price_contribution</x:v>
      </x:c>
      <x:c r="D650" s="7" t="n">
        <x:v>45930</x:v>
      </x:c>
      <x:c r="E650" s="2" t="str">
        <x:v>Pre-earnings</x:v>
      </x:c>
      <x:c r="F650" s="7" t="n">
        <x:v>45953</x:v>
      </x:c>
      <x:c r="G650" s="2" t="str">
        <x:v>Broad market</x:v>
      </x:c>
      <x:c r="H650" s="8" t="n">
        <x:f>'Model fits'!AA446</x:f>
        <x:v>1.6840190364075156</x:v>
      </x:c>
      <x:c r="I650" s="8" t="n">
        <x:f>0</x:f>
        <x:v>0</x:v>
      </x:c>
      <x:c r="J650" s="8" t="n">
        <x:v>0</x:v>
      </x:c>
      <x:c r="K650" s="8" t="n">
        <x:f>H650-I650*J650</x:f>
        <x:v>1.6840190364075156</x:v>
      </x:c>
      <x:c r="L650" s="8" t="n">
        <x:f>'PG facts'!D134</x:f>
        <x:v>1</x:v>
      </x:c>
      <x:c r="M650" s="8" t="n">
        <x:f>K650-L650</x:f>
        <x:v>0.6840190364075156</x:v>
      </x:c>
      <x:c r="N650" s="8" t="n">
        <x:f>M650^2</x:f>
        <x:v>0.46788204216786616</x:v>
      </x:c>
      <x:c r="O650" s="8" t="n">
        <x:f>ABS(M650)</x:f>
        <x:v>0.6840190364075156</x:v>
      </x:c>
      <x:c r="P650" s="7" t="n">
        <x:v>45954</x:v>
      </x:c>
    </x:row>
    <x:row r="651" ht="26" customHeight="1">
      <x:c r="A651" s="2"/>
      <x:c r="B651" s="2" t="n">
        <x:v>646</x:v>
      </x:c>
      <x:c r="C651" s="2" t="str">
        <x:v>Health Care / price_contribution</x:v>
      </x:c>
      <x:c r="D651" s="7" t="n">
        <x:v>45930</x:v>
      </x:c>
      <x:c r="E651" s="2" t="str">
        <x:v>Pre-earnings</x:v>
      </x:c>
      <x:c r="F651" s="7" t="n">
        <x:v>45953</x:v>
      </x:c>
      <x:c r="G651" s="2" t="str">
        <x:v>Broad lag 1</x:v>
      </x:c>
      <x:c r="H651" s="8" t="n">
        <x:f>'Model fits'!AA447</x:f>
        <x:v>1.8561695697604588</x:v>
      </x:c>
      <x:c r="I651" s="8" t="n">
        <x:f>0</x:f>
        <x:v>0</x:v>
      </x:c>
      <x:c r="J651" s="8" t="n">
        <x:v>0</x:v>
      </x:c>
      <x:c r="K651" s="8" t="n">
        <x:f>H651-I651*J651</x:f>
        <x:v>1.8561695697604588</x:v>
      </x:c>
      <x:c r="L651" s="8" t="n">
        <x:f>'PG facts'!D134</x:f>
        <x:v>1</x:v>
      </x:c>
      <x:c r="M651" s="8" t="n">
        <x:f>K651-L651</x:f>
        <x:v>0.8561695697604588</x:v>
      </x:c>
      <x:c r="N651" s="8" t="n">
        <x:f>M651^2</x:f>
        <x:v>0.7330263321838091</x:v>
      </x:c>
      <x:c r="O651" s="8" t="n">
        <x:f>ABS(M651)</x:f>
        <x:v>0.8561695697604588</x:v>
      </x:c>
      <x:c r="P651" s="7" t="n">
        <x:v>45954</x:v>
      </x:c>
    </x:row>
    <x:row r="652" ht="26" customHeight="1">
      <x:c r="A652" s="2"/>
      <x:c r="B652" s="2" t="n">
        <x:v>647</x:v>
      </x:c>
      <x:c r="C652" s="2" t="str">
        <x:v>Health Care / price_contribution</x:v>
      </x:c>
      <x:c r="D652" s="7" t="n">
        <x:v>45930</x:v>
      </x:c>
      <x:c r="E652" s="2" t="str">
        <x:v>Pre-earnings</x:v>
      </x:c>
      <x:c r="F652" s="7" t="n">
        <x:v>45953</x:v>
      </x:c>
      <x:c r="G652" s="2" t="str">
        <x:v>Broad rolling 8</x:v>
      </x:c>
      <x:c r="H652" s="8" t="n">
        <x:f>'Model fits'!AA448</x:f>
        <x:v>1.3432414380552982</x:v>
      </x:c>
      <x:c r="I652" s="8" t="n">
        <x:f>0</x:f>
        <x:v>0</x:v>
      </x:c>
      <x:c r="J652" s="8" t="n">
        <x:v>0</x:v>
      </x:c>
      <x:c r="K652" s="8" t="n">
        <x:f>H652-I652*J652</x:f>
        <x:v>1.3432414380552982</x:v>
      </x:c>
      <x:c r="L652" s="8" t="n">
        <x:f>'PG facts'!D134</x:f>
        <x:v>1</x:v>
      </x:c>
      <x:c r="M652" s="8" t="n">
        <x:f>K652-L652</x:f>
        <x:v>0.34324143805529816</x:v>
      </x:c>
      <x:c r="N652" s="8" t="n">
        <x:f>M652^2</x:f>
        <x:v>0.11781468479826909</x:v>
      </x:c>
      <x:c r="O652" s="8" t="n">
        <x:f>ABS(M652)</x:f>
        <x:v>0.34324143805529816</x:v>
      </x:c>
      <x:c r="P652" s="7" t="n">
        <x:v>45954</x:v>
      </x:c>
    </x:row>
    <x:row r="653" ht="26" customHeight="1">
      <x:c r="A653" s="2"/>
      <x:c r="B653" s="2" t="n">
        <x:v>648</x:v>
      </x:c>
      <x:c r="C653" s="2" t="str">
        <x:v>Health Care / price_contribution</x:v>
      </x:c>
      <x:c r="D653" s="7" t="n">
        <x:v>45930</x:v>
      </x:c>
      <x:c r="E653" s="2" t="str">
        <x:v>Pre-earnings</x:v>
      </x:c>
      <x:c r="F653" s="7" t="n">
        <x:v>45953</x:v>
      </x:c>
      <x:c r="G653" s="2" t="str">
        <x:v>Own history</x:v>
      </x:c>
      <x:c r="H653" s="8" t="n">
        <x:f>'Model fits'!AA449</x:f>
        <x:v>1.380171184022825</x:v>
      </x:c>
      <x:c r="I653" s="8" t="n">
        <x:f>0</x:f>
        <x:v>0</x:v>
      </x:c>
      <x:c r="J653" s="8" t="n">
        <x:v>0</x:v>
      </x:c>
      <x:c r="K653" s="8" t="n">
        <x:f>H653-I653*J653</x:f>
        <x:v>1.380171184022825</x:v>
      </x:c>
      <x:c r="L653" s="8" t="n">
        <x:f>'PG facts'!D134</x:f>
        <x:v>1</x:v>
      </x:c>
      <x:c r="M653" s="8" t="n">
        <x:f>K653-L653</x:f>
        <x:v>0.380171184022825</x:v>
      </x:c>
      <x:c r="N653" s="8" t="n">
        <x:f>M653^2</x:f>
        <x:v>0.1445301291613167</x:v>
      </x:c>
      <x:c r="O653" s="8" t="n">
        <x:f>ABS(M653)</x:f>
        <x:v>0.380171184022825</x:v>
      </x:c>
      <x:c r="P653" s="7" t="n">
        <x:v>45954</x:v>
      </x:c>
    </x:row>
    <x:row r="654" ht="26" customHeight="1">
      <x:c r="A654" s="2"/>
      <x:c r="B654" s="2" t="n">
        <x:v>649</x:v>
      </x:c>
      <x:c r="C654" s="2" t="str">
        <x:v>Health Care / price_contribution</x:v>
      </x:c>
      <x:c r="D654" s="7" t="n">
        <x:v>46022</x:v>
      </x:c>
      <x:c r="E654" s="2" t="str">
        <x:v>Origin</x:v>
      </x:c>
      <x:c r="F654" s="7" t="n">
        <x:v>45931</x:v>
      </x:c>
      <x:c r="G654" s="2" t="str">
        <x:v>Last actual</x:v>
      </x:c>
      <x:c r="H654" s="8" t="n">
        <x:f>AVERAGE('PG facts'!D127)</x:f>
        <x:v>1</x:v>
      </x:c>
      <x:c r="I654" s="8" t="n">
        <x:f>0</x:f>
        <x:v>0</x:v>
      </x:c>
      <x:c r="J654" s="8" t="n">
        <x:v>0</x:v>
      </x:c>
      <x:c r="K654" s="8" t="n">
        <x:f>H654-I654*J654</x:f>
        <x:v>1</x:v>
      </x:c>
      <x:c r="L654" s="8" t="n">
        <x:f>'PG facts'!D141</x:f>
        <x:v>1</x:v>
      </x:c>
      <x:c r="M654" s="8" t="n">
        <x:f>K654-L654</x:f>
        <x:v>0</x:v>
      </x:c>
      <x:c r="N654" s="8" t="n">
        <x:f>M654^2</x:f>
        <x:v>0</x:v>
      </x:c>
      <x:c r="O654" s="8" t="n">
        <x:f>ABS(M654)</x:f>
        <x:v>0</x:v>
      </x:c>
      <x:c r="P654" s="7" t="n">
        <x:v>46045</x:v>
      </x:c>
    </x:row>
    <x:row r="655" ht="26" customHeight="1">
      <x:c r="A655" s="2"/>
      <x:c r="B655" s="2" t="n">
        <x:v>650</x:v>
      </x:c>
      <x:c r="C655" s="2" t="str">
        <x:v>Health Care / price_contribution</x:v>
      </x:c>
      <x:c r="D655" s="7" t="n">
        <x:v>46022</x:v>
      </x:c>
      <x:c r="E655" s="2" t="str">
        <x:v>Origin</x:v>
      </x:c>
      <x:c r="F655" s="7" t="n">
        <x:v>45931</x:v>
      </x:c>
      <x:c r="G655" s="2" t="str">
        <x:v>Four-quarter mean</x:v>
      </x:c>
      <x:c r="H655" s="8" t="n">
        <x:f>AVERAGE('PG facts'!D106,'PG facts'!D113,'PG facts'!D120,'PG facts'!D127)</x:f>
        <x:v>1</x:v>
      </x:c>
      <x:c r="I655" s="8" t="n">
        <x:f>0</x:f>
        <x:v>0</x:v>
      </x:c>
      <x:c r="J655" s="8" t="n">
        <x:v>0</x:v>
      </x:c>
      <x:c r="K655" s="8" t="n">
        <x:f>H655-I655*J655</x:f>
        <x:v>1</x:v>
      </x:c>
      <x:c r="L655" s="8" t="n">
        <x:f>'PG facts'!D141</x:f>
        <x:v>1</x:v>
      </x:c>
      <x:c r="M655" s="8" t="n">
        <x:f>K655-L655</x:f>
        <x:v>0</x:v>
      </x:c>
      <x:c r="N655" s="8" t="n">
        <x:f>M655^2</x:f>
        <x:v>0</x:v>
      </x:c>
      <x:c r="O655" s="8" t="n">
        <x:f>ABS(M655)</x:f>
        <x:v>0</x:v>
      </x:c>
      <x:c r="P655" s="7" t="n">
        <x:v>46045</x:v>
      </x:c>
    </x:row>
    <x:row r="656" ht="26" customHeight="1">
      <x:c r="A656" s="2"/>
      <x:c r="B656" s="2" t="n">
        <x:v>651</x:v>
      </x:c>
      <x:c r="C656" s="2" t="str">
        <x:v>Health Care / price_contribution</x:v>
      </x:c>
      <x:c r="D656" s="7" t="n">
        <x:v>46022</x:v>
      </x:c>
      <x:c r="E656" s="2" t="str">
        <x:v>Origin</x:v>
      </x:c>
      <x:c r="F656" s="7" t="n">
        <x:v>45931</x:v>
      </x:c>
      <x:c r="G656" s="2" t="str">
        <x:v>Broad market</x:v>
      </x:c>
      <x:c r="H656" s="8" t="n">
        <x:f>'Model fits'!AA450</x:f>
        <x:v>1.6631549954578893</x:v>
      </x:c>
      <x:c r="I656" s="8" t="n">
        <x:f>0</x:f>
        <x:v>0</x:v>
      </x:c>
      <x:c r="J656" s="8" t="n">
        <x:v>0</x:v>
      </x:c>
      <x:c r="K656" s="8" t="n">
        <x:f>H656-I656*J656</x:f>
        <x:v>1.6631549954578893</x:v>
      </x:c>
      <x:c r="L656" s="8" t="n">
        <x:f>'PG facts'!D141</x:f>
        <x:v>1</x:v>
      </x:c>
      <x:c r="M656" s="8" t="n">
        <x:f>K656-L656</x:f>
        <x:v>0.6631549954578893</x:v>
      </x:c>
      <x:c r="N656" s="8" t="n">
        <x:f>M656^2</x:f>
        <x:v>0.4397745480007531</x:v>
      </x:c>
      <x:c r="O656" s="8" t="n">
        <x:f>ABS(M656)</x:f>
        <x:v>0.6631549954578893</x:v>
      </x:c>
      <x:c r="P656" s="7" t="n">
        <x:v>46045</x:v>
      </x:c>
    </x:row>
    <x:row r="657" ht="26" customHeight="1">
      <x:c r="A657" s="2"/>
      <x:c r="B657" s="2" t="n">
        <x:v>652</x:v>
      </x:c>
      <x:c r="C657" s="2" t="str">
        <x:v>Health Care / price_contribution</x:v>
      </x:c>
      <x:c r="D657" s="7" t="n">
        <x:v>46022</x:v>
      </x:c>
      <x:c r="E657" s="2" t="str">
        <x:v>Origin</x:v>
      </x:c>
      <x:c r="F657" s="7" t="n">
        <x:v>45931</x:v>
      </x:c>
      <x:c r="G657" s="2" t="str">
        <x:v>Broad rolling 8</x:v>
      </x:c>
      <x:c r="H657" s="8" t="n">
        <x:f>'Model fits'!AA451</x:f>
        <x:v>1.3158940047208811</x:v>
      </x:c>
      <x:c r="I657" s="8" t="n">
        <x:f>0</x:f>
        <x:v>0</x:v>
      </x:c>
      <x:c r="J657" s="8" t="n">
        <x:v>0</x:v>
      </x:c>
      <x:c r="K657" s="8" t="n">
        <x:f>H657-I657*J657</x:f>
        <x:v>1.3158940047208811</x:v>
      </x:c>
      <x:c r="L657" s="8" t="n">
        <x:f>'PG facts'!D141</x:f>
        <x:v>1</x:v>
      </x:c>
      <x:c r="M657" s="8" t="n">
        <x:f>K657-L657</x:f>
        <x:v>0.31589400472088114</x:v>
      </x:c>
      <x:c r="N657" s="8" t="n">
        <x:f>M657^2</x:f>
        <x:v>0.09978902221859608</x:v>
      </x:c>
      <x:c r="O657" s="8" t="n">
        <x:f>ABS(M657)</x:f>
        <x:v>0.31589400472088114</x:v>
      </x:c>
      <x:c r="P657" s="7" t="n">
        <x:v>46045</x:v>
      </x:c>
    </x:row>
    <x:row r="658" ht="26" customHeight="1">
      <x:c r="A658" s="2"/>
      <x:c r="B658" s="2" t="n">
        <x:v>653</x:v>
      </x:c>
      <x:c r="C658" s="2" t="str">
        <x:v>Health Care / price_contribution</x:v>
      </x:c>
      <x:c r="D658" s="7" t="n">
        <x:v>46022</x:v>
      </x:c>
      <x:c r="E658" s="2" t="str">
        <x:v>Origin</x:v>
      </x:c>
      <x:c r="F658" s="7" t="n">
        <x:v>45931</x:v>
      </x:c>
      <x:c r="G658" s="2" t="str">
        <x:v>Own history</x:v>
      </x:c>
      <x:c r="H658" s="8" t="n">
        <x:f>'Model fits'!AA452</x:f>
        <x:v>1.9677158999192899</x:v>
      </x:c>
      <x:c r="I658" s="8" t="n">
        <x:f>0</x:f>
        <x:v>0</x:v>
      </x:c>
      <x:c r="J658" s="8" t="n">
        <x:v>0</x:v>
      </x:c>
      <x:c r="K658" s="8" t="n">
        <x:f>H658-I658*J658</x:f>
        <x:v>1.9677158999192899</x:v>
      </x:c>
      <x:c r="L658" s="8" t="n">
        <x:f>'PG facts'!D141</x:f>
        <x:v>1</x:v>
      </x:c>
      <x:c r="M658" s="8" t="n">
        <x:f>K658-L658</x:f>
        <x:v>0.9677158999192899</x:v>
      </x:c>
      <x:c r="N658" s="8" t="n">
        <x:f>M658^2</x:f>
        <x:v>0.9364740629566011</x:v>
      </x:c>
      <x:c r="O658" s="8" t="n">
        <x:f>ABS(M658)</x:f>
        <x:v>0.9677158999192899</x:v>
      </x:c>
      <x:c r="P658" s="7" t="n">
        <x:v>46045</x:v>
      </x:c>
    </x:row>
    <x:row r="659" ht="26" customHeight="1">
      <x:c r="A659" s="2"/>
      <x:c r="B659" s="2" t="n">
        <x:v>654</x:v>
      </x:c>
      <x:c r="C659" s="2" t="str">
        <x:v>Health Care / price_contribution</x:v>
      </x:c>
      <x:c r="D659" s="7" t="n">
        <x:v>46022</x:v>
      </x:c>
      <x:c r="E659" s="2" t="str">
        <x:v>Prior report</x:v>
      </x:c>
      <x:c r="F659" s="7" t="n">
        <x:v>45954</x:v>
      </x:c>
      <x:c r="G659" s="2" t="str">
        <x:v>Last actual</x:v>
      </x:c>
      <x:c r="H659" s="8" t="n">
        <x:f>AVERAGE('PG facts'!D134)</x:f>
        <x:v>1</x:v>
      </x:c>
      <x:c r="I659" s="8" t="n">
        <x:f>0</x:f>
        <x:v>0</x:v>
      </x:c>
      <x:c r="J659" s="8" t="n">
        <x:v>0</x:v>
      </x:c>
      <x:c r="K659" s="8" t="n">
        <x:f>H659-I659*J659</x:f>
        <x:v>1</x:v>
      </x:c>
      <x:c r="L659" s="8" t="n">
        <x:f>'PG facts'!D141</x:f>
        <x:v>1</x:v>
      </x:c>
      <x:c r="M659" s="8" t="n">
        <x:f>K659-L659</x:f>
        <x:v>0</x:v>
      </x:c>
      <x:c r="N659" s="8" t="n">
        <x:f>M659^2</x:f>
        <x:v>0</x:v>
      </x:c>
      <x:c r="O659" s="8" t="n">
        <x:f>ABS(M659)</x:f>
        <x:v>0</x:v>
      </x:c>
      <x:c r="P659" s="7" t="n">
        <x:v>46045</x:v>
      </x:c>
    </x:row>
    <x:row r="660" ht="26" customHeight="1">
      <x:c r="A660" s="2"/>
      <x:c r="B660" s="2" t="n">
        <x:v>655</x:v>
      </x:c>
      <x:c r="C660" s="2" t="str">
        <x:v>Health Care / price_contribution</x:v>
      </x:c>
      <x:c r="D660" s="7" t="n">
        <x:v>46022</x:v>
      </x:c>
      <x:c r="E660" s="2" t="str">
        <x:v>Prior report</x:v>
      </x:c>
      <x:c r="F660" s="7" t="n">
        <x:v>45954</x:v>
      </x:c>
      <x:c r="G660" s="2" t="str">
        <x:v>Four-quarter mean</x:v>
      </x:c>
      <x:c r="H660" s="8" t="n">
        <x:f>AVERAGE('PG facts'!D113,'PG facts'!D120,'PG facts'!D127,'PG facts'!D134)</x:f>
        <x:v>1</x:v>
      </x:c>
      <x:c r="I660" s="8" t="n">
        <x:f>0</x:f>
        <x:v>0</x:v>
      </x:c>
      <x:c r="J660" s="8" t="n">
        <x:v>0</x:v>
      </x:c>
      <x:c r="K660" s="8" t="n">
        <x:f>H660-I660*J660</x:f>
        <x:v>1</x:v>
      </x:c>
      <x:c r="L660" s="8" t="n">
        <x:f>'PG facts'!D141</x:f>
        <x:v>1</x:v>
      </x:c>
      <x:c r="M660" s="8" t="n">
        <x:f>K660-L660</x:f>
        <x:v>0</x:v>
      </x:c>
      <x:c r="N660" s="8" t="n">
        <x:f>M660^2</x:f>
        <x:v>0</x:v>
      </x:c>
      <x:c r="O660" s="8" t="n">
        <x:f>ABS(M660)</x:f>
        <x:v>0</x:v>
      </x:c>
      <x:c r="P660" s="7" t="n">
        <x:v>46045</x:v>
      </x:c>
    </x:row>
    <x:row r="661" ht="26" customHeight="1">
      <x:c r="A661" s="2"/>
      <x:c r="B661" s="2" t="n">
        <x:v>656</x:v>
      </x:c>
      <x:c r="C661" s="2" t="str">
        <x:v>Health Care / price_contribution</x:v>
      </x:c>
      <x:c r="D661" s="7" t="n">
        <x:v>46022</x:v>
      </x:c>
      <x:c r="E661" s="2" t="str">
        <x:v>Prior report</x:v>
      </x:c>
      <x:c r="F661" s="7" t="n">
        <x:v>45954</x:v>
      </x:c>
      <x:c r="G661" s="2" t="str">
        <x:v>Broad market</x:v>
      </x:c>
      <x:c r="H661" s="8" t="n">
        <x:f>'Model fits'!AA453</x:f>
        <x:v>1.8144061623213321</x:v>
      </x:c>
      <x:c r="I661" s="8" t="n">
        <x:f>0</x:f>
        <x:v>0</x:v>
      </x:c>
      <x:c r="J661" s="8" t="n">
        <x:v>0</x:v>
      </x:c>
      <x:c r="K661" s="8" t="n">
        <x:f>H661-I661*J661</x:f>
        <x:v>1.8144061623213321</x:v>
      </x:c>
      <x:c r="L661" s="8" t="n">
        <x:f>'PG facts'!D141</x:f>
        <x:v>1</x:v>
      </x:c>
      <x:c r="M661" s="8" t="n">
        <x:f>K661-L661</x:f>
        <x:v>0.8144061623213321</x:v>
      </x:c>
      <x:c r="N661" s="8" t="n">
        <x:f>M661^2</x:f>
        <x:v>0.66325739722696</x:v>
      </x:c>
      <x:c r="O661" s="8" t="n">
        <x:f>ABS(M661)</x:f>
        <x:v>0.8144061623213321</x:v>
      </x:c>
      <x:c r="P661" s="7" t="n">
        <x:v>46045</x:v>
      </x:c>
    </x:row>
    <x:row r="662" ht="26" customHeight="1">
      <x:c r="A662" s="2"/>
      <x:c r="B662" s="2" t="n">
        <x:v>657</x:v>
      </x:c>
      <x:c r="C662" s="2" t="str">
        <x:v>Health Care / price_contribution</x:v>
      </x:c>
      <x:c r="D662" s="7" t="n">
        <x:v>46022</x:v>
      </x:c>
      <x:c r="E662" s="2" t="str">
        <x:v>Prior report</x:v>
      </x:c>
      <x:c r="F662" s="7" t="n">
        <x:v>45954</x:v>
      </x:c>
      <x:c r="G662" s="2" t="str">
        <x:v>Broad lag 1</x:v>
      </x:c>
      <x:c r="H662" s="8" t="n">
        <x:f>'Model fits'!AA454</x:f>
        <x:v>2.1036129468888745</x:v>
      </x:c>
      <x:c r="I662" s="8" t="n">
        <x:f>0</x:f>
        <x:v>0</x:v>
      </x:c>
      <x:c r="J662" s="8" t="n">
        <x:v>0</x:v>
      </x:c>
      <x:c r="K662" s="8" t="n">
        <x:f>H662-I662*J662</x:f>
        <x:v>2.1036129468888745</x:v>
      </x:c>
      <x:c r="L662" s="8" t="n">
        <x:f>'PG facts'!D141</x:f>
        <x:v>1</x:v>
      </x:c>
      <x:c r="M662" s="8" t="n">
        <x:f>K662-L662</x:f>
        <x:v>1.1036129468888745</x:v>
      </x:c>
      <x:c r="N662" s="8" t="n">
        <x:f>M662^2</x:f>
        <x:v>1.2179615365407457</x:v>
      </x:c>
      <x:c r="O662" s="8" t="n">
        <x:f>ABS(M662)</x:f>
        <x:v>1.1036129468888745</x:v>
      </x:c>
      <x:c r="P662" s="7" t="n">
        <x:v>46045</x:v>
      </x:c>
    </x:row>
    <x:row r="663" ht="26" customHeight="1">
      <x:c r="A663" s="2"/>
      <x:c r="B663" s="2" t="n">
        <x:v>658</x:v>
      </x:c>
      <x:c r="C663" s="2" t="str">
        <x:v>Health Care / price_contribution</x:v>
      </x:c>
      <x:c r="D663" s="7" t="n">
        <x:v>46022</x:v>
      </x:c>
      <x:c r="E663" s="2" t="str">
        <x:v>Prior report</x:v>
      </x:c>
      <x:c r="F663" s="7" t="n">
        <x:v>45954</x:v>
      </x:c>
      <x:c r="G663" s="2" t="str">
        <x:v>Broad rolling 8</x:v>
      </x:c>
      <x:c r="H663" s="8" t="n">
        <x:f>'Model fits'!AA455</x:f>
        <x:v>1.5106468946709986</x:v>
      </x:c>
      <x:c r="I663" s="8" t="n">
        <x:f>0</x:f>
        <x:v>0</x:v>
      </x:c>
      <x:c r="J663" s="8" t="n">
        <x:v>0</x:v>
      </x:c>
      <x:c r="K663" s="8" t="n">
        <x:f>H663-I663*J663</x:f>
        <x:v>1.5106468946709986</x:v>
      </x:c>
      <x:c r="L663" s="8" t="n">
        <x:f>'PG facts'!D141</x:f>
        <x:v>1</x:v>
      </x:c>
      <x:c r="M663" s="8" t="n">
        <x:f>K663-L663</x:f>
        <x:v>0.5106468946709986</x:v>
      </x:c>
      <x:c r="N663" s="8" t="n">
        <x:f>M663^2</x:f>
        <x:v>0.2607602510371339</x:v>
      </x:c>
      <x:c r="O663" s="8" t="n">
        <x:f>ABS(M663)</x:f>
        <x:v>0.5106468946709986</x:v>
      </x:c>
      <x:c r="P663" s="7" t="n">
        <x:v>46045</x:v>
      </x:c>
    </x:row>
    <x:row r="664" ht="26" customHeight="1">
      <x:c r="A664" s="2"/>
      <x:c r="B664" s="2" t="n">
        <x:v>659</x:v>
      </x:c>
      <x:c r="C664" s="2" t="str">
        <x:v>Health Care / price_contribution</x:v>
      </x:c>
      <x:c r="D664" s="7" t="n">
        <x:v>46022</x:v>
      </x:c>
      <x:c r="E664" s="2" t="str">
        <x:v>Prior report</x:v>
      </x:c>
      <x:c r="F664" s="7" t="n">
        <x:v>45954</x:v>
      </x:c>
      <x:c r="G664" s="2" t="str">
        <x:v>Own history</x:v>
      </x:c>
      <x:c r="H664" s="8" t="n">
        <x:f>'Model fits'!AA456</x:f>
        <x:v>1.3405750798722051</x:v>
      </x:c>
      <x:c r="I664" s="8" t="n">
        <x:f>0</x:f>
        <x:v>0</x:v>
      </x:c>
      <x:c r="J664" s="8" t="n">
        <x:v>0</x:v>
      </x:c>
      <x:c r="K664" s="8" t="n">
        <x:f>H664-I664*J664</x:f>
        <x:v>1.3405750798722051</x:v>
      </x:c>
      <x:c r="L664" s="8" t="n">
        <x:f>'PG facts'!D141</x:f>
        <x:v>1</x:v>
      </x:c>
      <x:c r="M664" s="8" t="n">
        <x:f>K664-L664</x:f>
        <x:v>0.34057507987220514</x:v>
      </x:c>
      <x:c r="N664" s="8" t="n">
        <x:f>M664^2</x:f>
        <x:v>0.11599138502995891</x:v>
      </x:c>
      <x:c r="O664" s="8" t="n">
        <x:f>ABS(M664)</x:f>
        <x:v>0.34057507987220514</x:v>
      </x:c>
      <x:c r="P664" s="7" t="n">
        <x:v>46045</x:v>
      </x:c>
    </x:row>
    <x:row r="665" ht="26" customHeight="1">
      <x:c r="A665" s="2"/>
      <x:c r="B665" s="2" t="n">
        <x:v>660</x:v>
      </x:c>
      <x:c r="C665" s="2" t="str">
        <x:v>Health Care / price_contribution</x:v>
      </x:c>
      <x:c r="D665" s="7" t="n">
        <x:v>46022</x:v>
      </x:c>
      <x:c r="E665" s="2" t="str">
        <x:v>Pre-earnings</x:v>
      </x:c>
      <x:c r="F665" s="7" t="n">
        <x:v>46044</x:v>
      </x:c>
      <x:c r="G665" s="2" t="str">
        <x:v>Last actual</x:v>
      </x:c>
      <x:c r="H665" s="8" t="n">
        <x:f>AVERAGE('PG facts'!D134)</x:f>
        <x:v>1</x:v>
      </x:c>
      <x:c r="I665" s="8" t="n">
        <x:f>0</x:f>
        <x:v>0</x:v>
      </x:c>
      <x:c r="J665" s="8" t="n">
        <x:v>0</x:v>
      </x:c>
      <x:c r="K665" s="8" t="n">
        <x:f>H665-I665*J665</x:f>
        <x:v>1</x:v>
      </x:c>
      <x:c r="L665" s="8" t="n">
        <x:f>'PG facts'!D141</x:f>
        <x:v>1</x:v>
      </x:c>
      <x:c r="M665" s="8" t="n">
        <x:f>K665-L665</x:f>
        <x:v>0</x:v>
      </x:c>
      <x:c r="N665" s="8" t="n">
        <x:f>M665^2</x:f>
        <x:v>0</x:v>
      </x:c>
      <x:c r="O665" s="8" t="n">
        <x:f>ABS(M665)</x:f>
        <x:v>0</x:v>
      </x:c>
      <x:c r="P665" s="7" t="n">
        <x:v>46045</x:v>
      </x:c>
    </x:row>
    <x:row r="666" ht="26" customHeight="1">
      <x:c r="A666" s="2"/>
      <x:c r="B666" s="2" t="n">
        <x:v>661</x:v>
      </x:c>
      <x:c r="C666" s="2" t="str">
        <x:v>Health Care / price_contribution</x:v>
      </x:c>
      <x:c r="D666" s="7" t="n">
        <x:v>46022</x:v>
      </x:c>
      <x:c r="E666" s="2" t="str">
        <x:v>Pre-earnings</x:v>
      </x:c>
      <x:c r="F666" s="7" t="n">
        <x:v>46044</x:v>
      </x:c>
      <x:c r="G666" s="2" t="str">
        <x:v>Four-quarter mean</x:v>
      </x:c>
      <x:c r="H666" s="8" t="n">
        <x:f>AVERAGE('PG facts'!D113,'PG facts'!D120,'PG facts'!D127,'PG facts'!D134)</x:f>
        <x:v>1</x:v>
      </x:c>
      <x:c r="I666" s="8" t="n">
        <x:f>0</x:f>
        <x:v>0</x:v>
      </x:c>
      <x:c r="J666" s="8" t="n">
        <x:v>0</x:v>
      </x:c>
      <x:c r="K666" s="8" t="n">
        <x:f>H666-I666*J666</x:f>
        <x:v>1</x:v>
      </x:c>
      <x:c r="L666" s="8" t="n">
        <x:f>'PG facts'!D141</x:f>
        <x:v>1</x:v>
      </x:c>
      <x:c r="M666" s="8" t="n">
        <x:f>K666-L666</x:f>
        <x:v>0</x:v>
      </x:c>
      <x:c r="N666" s="8" t="n">
        <x:f>M666^2</x:f>
        <x:v>0</x:v>
      </x:c>
      <x:c r="O666" s="8" t="n">
        <x:f>ABS(M666)</x:f>
        <x:v>0</x:v>
      </x:c>
      <x:c r="P666" s="7" t="n">
        <x:v>46045</x:v>
      </x:c>
    </x:row>
    <x:row r="667" ht="26" customHeight="1">
      <x:c r="A667" s="2"/>
      <x:c r="B667" s="2" t="n">
        <x:v>662</x:v>
      </x:c>
      <x:c r="C667" s="2" t="str">
        <x:v>Health Care / price_contribution</x:v>
      </x:c>
      <x:c r="D667" s="7" t="n">
        <x:v>46022</x:v>
      </x:c>
      <x:c r="E667" s="2" t="str">
        <x:v>Pre-earnings</x:v>
      </x:c>
      <x:c r="F667" s="7" t="n">
        <x:v>46044</x:v>
      </x:c>
      <x:c r="G667" s="2" t="str">
        <x:v>Broad market</x:v>
      </x:c>
      <x:c r="H667" s="8" t="n">
        <x:f>'Model fits'!AA457</x:f>
        <x:v>1.9345094387889286</x:v>
      </x:c>
      <x:c r="I667" s="8" t="n">
        <x:f>0</x:f>
        <x:v>0</x:v>
      </x:c>
      <x:c r="J667" s="8" t="n">
        <x:v>0</x:v>
      </x:c>
      <x:c r="K667" s="8" t="n">
        <x:f>H667-I667*J667</x:f>
        <x:v>1.9345094387889286</x:v>
      </x:c>
      <x:c r="L667" s="8" t="n">
        <x:f>'PG facts'!D141</x:f>
        <x:v>1</x:v>
      </x:c>
      <x:c r="M667" s="8" t="n">
        <x:f>K667-L667</x:f>
        <x:v>0.9345094387889286</x:v>
      </x:c>
      <x:c r="N667" s="8" t="n">
        <x:f>M667^2</x:f>
        <x:v>0.8733078911855983</x:v>
      </x:c>
      <x:c r="O667" s="8" t="n">
        <x:f>ABS(M667)</x:f>
        <x:v>0.9345094387889286</x:v>
      </x:c>
      <x:c r="P667" s="7" t="n">
        <x:v>46045</x:v>
      </x:c>
    </x:row>
    <x:row r="668" ht="26" customHeight="1">
      <x:c r="A668" s="2"/>
      <x:c r="B668" s="2" t="n">
        <x:v>663</x:v>
      </x:c>
      <x:c r="C668" s="2" t="str">
        <x:v>Health Care / price_contribution</x:v>
      </x:c>
      <x:c r="D668" s="7" t="n">
        <x:v>46022</x:v>
      </x:c>
      <x:c r="E668" s="2" t="str">
        <x:v>Pre-earnings</x:v>
      </x:c>
      <x:c r="F668" s="7" t="n">
        <x:v>46044</x:v>
      </x:c>
      <x:c r="G668" s="2" t="str">
        <x:v>Broad lag 1</x:v>
      </x:c>
      <x:c r="H668" s="8" t="n">
        <x:f>'Model fits'!AA458</x:f>
        <x:v>2.1036129468888745</x:v>
      </x:c>
      <x:c r="I668" s="8" t="n">
        <x:f>0</x:f>
        <x:v>0</x:v>
      </x:c>
      <x:c r="J668" s="8" t="n">
        <x:v>0</x:v>
      </x:c>
      <x:c r="K668" s="8" t="n">
        <x:f>H668-I668*J668</x:f>
        <x:v>2.1036129468888745</x:v>
      </x:c>
      <x:c r="L668" s="8" t="n">
        <x:f>'PG facts'!D141</x:f>
        <x:v>1</x:v>
      </x:c>
      <x:c r="M668" s="8" t="n">
        <x:f>K668-L668</x:f>
        <x:v>1.1036129468888745</x:v>
      </x:c>
      <x:c r="N668" s="8" t="n">
        <x:f>M668^2</x:f>
        <x:v>1.2179615365407457</x:v>
      </x:c>
      <x:c r="O668" s="8" t="n">
        <x:f>ABS(M668)</x:f>
        <x:v>1.1036129468888745</x:v>
      </x:c>
      <x:c r="P668" s="7" t="n">
        <x:v>46045</x:v>
      </x:c>
    </x:row>
    <x:row r="669" ht="26" customHeight="1">
      <x:c r="A669" s="2"/>
      <x:c r="B669" s="2" t="n">
        <x:v>664</x:v>
      </x:c>
      <x:c r="C669" s="2" t="str">
        <x:v>Health Care / price_contribution</x:v>
      </x:c>
      <x:c r="D669" s="7" t="n">
        <x:v>46022</x:v>
      </x:c>
      <x:c r="E669" s="2" t="str">
        <x:v>Pre-earnings</x:v>
      </x:c>
      <x:c r="F669" s="7" t="n">
        <x:v>46044</x:v>
      </x:c>
      <x:c r="G669" s="2" t="str">
        <x:v>Broad rolling 8</x:v>
      </x:c>
      <x:c r="H669" s="8" t="n">
        <x:f>'Model fits'!AA459</x:f>
        <x:v>1.669096435874916</x:v>
      </x:c>
      <x:c r="I669" s="8" t="n">
        <x:f>0</x:f>
        <x:v>0</x:v>
      </x:c>
      <x:c r="J669" s="8" t="n">
        <x:v>0</x:v>
      </x:c>
      <x:c r="K669" s="8" t="n">
        <x:f>H669-I669*J669</x:f>
        <x:v>1.669096435874916</x:v>
      </x:c>
      <x:c r="L669" s="8" t="n">
        <x:f>'PG facts'!D141</x:f>
        <x:v>1</x:v>
      </x:c>
      <x:c r="M669" s="8" t="n">
        <x:f>K669-L669</x:f>
        <x:v>0.6690964358749161</x:v>
      </x:c>
      <x:c r="N669" s="8" t="n">
        <x:f>M669^2</x:f>
        <x:v>0.4476900405005157</x:v>
      </x:c>
      <x:c r="O669" s="8" t="n">
        <x:f>ABS(M669)</x:f>
        <x:v>0.6690964358749161</x:v>
      </x:c>
      <x:c r="P669" s="7" t="n">
        <x:v>46045</x:v>
      </x:c>
    </x:row>
    <x:row r="670" ht="26" customHeight="1">
      <x:c r="A670" s="2"/>
      <x:c r="B670" s="2" t="n">
        <x:v>665</x:v>
      </x:c>
      <x:c r="C670" s="2" t="str">
        <x:v>Health Care / price_contribution</x:v>
      </x:c>
      <x:c r="D670" s="7" t="n">
        <x:v>46022</x:v>
      </x:c>
      <x:c r="E670" s="2" t="str">
        <x:v>Pre-earnings</x:v>
      </x:c>
      <x:c r="F670" s="7" t="n">
        <x:v>46044</x:v>
      </x:c>
      <x:c r="G670" s="2" t="str">
        <x:v>Own history</x:v>
      </x:c>
      <x:c r="H670" s="8" t="n">
        <x:f>'Model fits'!AA460</x:f>
        <x:v>1.3405750798722051</x:v>
      </x:c>
      <x:c r="I670" s="8" t="n">
        <x:f>0</x:f>
        <x:v>0</x:v>
      </x:c>
      <x:c r="J670" s="8" t="n">
        <x:v>0</x:v>
      </x:c>
      <x:c r="K670" s="8" t="n">
        <x:f>H670-I670*J670</x:f>
        <x:v>1.3405750798722051</x:v>
      </x:c>
      <x:c r="L670" s="8" t="n">
        <x:f>'PG facts'!D141</x:f>
        <x:v>1</x:v>
      </x:c>
      <x:c r="M670" s="8" t="n">
        <x:f>K670-L670</x:f>
        <x:v>0.34057507987220514</x:v>
      </x:c>
      <x:c r="N670" s="8" t="n">
        <x:f>M670^2</x:f>
        <x:v>0.11599138502995891</x:v>
      </x:c>
      <x:c r="O670" s="8" t="n">
        <x:f>ABS(M670)</x:f>
        <x:v>0.34057507987220514</x:v>
      </x:c>
      <x:c r="P670" s="7" t="n">
        <x:v>46045</x:v>
      </x:c>
    </x:row>
    <x:row r="671" ht="26" customHeight="1">
      <x:c r="A671" s="2"/>
      <x:c r="B671" s="2" t="n">
        <x:v>666</x:v>
      </x:c>
      <x:c r="C671" s="2" t="str">
        <x:v>Health Care / price_contribution</x:v>
      </x:c>
      <x:c r="D671" s="7" t="n">
        <x:v>46112</x:v>
      </x:c>
      <x:c r="E671" s="2" t="str">
        <x:v>Origin</x:v>
      </x:c>
      <x:c r="F671" s="7" t="n">
        <x:v>46023</x:v>
      </x:c>
      <x:c r="G671" s="2" t="str">
        <x:v>Last actual</x:v>
      </x:c>
      <x:c r="H671" s="8" t="n">
        <x:f>AVERAGE('PG facts'!D134)</x:f>
        <x:v>1</x:v>
      </x:c>
      <x:c r="I671" s="8" t="n">
        <x:f>0</x:f>
        <x:v>0</x:v>
      </x:c>
      <x:c r="J671" s="8" t="n">
        <x:v>0</x:v>
      </x:c>
      <x:c r="K671" s="8" t="n">
        <x:f>H671-I671*J671</x:f>
        <x:v>1</x:v>
      </x:c>
      <x:c r="L671" s="8" t="n">
        <x:f>'PG facts'!D148</x:f>
        <x:v>2</x:v>
      </x:c>
      <x:c r="M671" s="8" t="n">
        <x:f>K671-L671</x:f>
        <x:v>-1</x:v>
      </x:c>
      <x:c r="N671" s="8" t="n">
        <x:f>M671^2</x:f>
        <x:v>1</x:v>
      </x:c>
      <x:c r="O671" s="8" t="n">
        <x:f>ABS(M671)</x:f>
        <x:v>1</x:v>
      </x:c>
      <x:c r="P671" s="7" t="n">
        <x:v>46136</x:v>
      </x:c>
    </x:row>
    <x:row r="672" ht="26" customHeight="1">
      <x:c r="A672" s="2"/>
      <x:c r="B672" s="2" t="n">
        <x:v>667</x:v>
      </x:c>
      <x:c r="C672" s="2" t="str">
        <x:v>Health Care / price_contribution</x:v>
      </x:c>
      <x:c r="D672" s="7" t="n">
        <x:v>46112</x:v>
      </x:c>
      <x:c r="E672" s="2" t="str">
        <x:v>Origin</x:v>
      </x:c>
      <x:c r="F672" s="7" t="n">
        <x:v>46023</x:v>
      </x:c>
      <x:c r="G672" s="2" t="str">
        <x:v>Four-quarter mean</x:v>
      </x:c>
      <x:c r="H672" s="8" t="n">
        <x:f>AVERAGE('PG facts'!D113,'PG facts'!D120,'PG facts'!D127,'PG facts'!D134)</x:f>
        <x:v>1</x:v>
      </x:c>
      <x:c r="I672" s="8" t="n">
        <x:f>0</x:f>
        <x:v>0</x:v>
      </x:c>
      <x:c r="J672" s="8" t="n">
        <x:v>0</x:v>
      </x:c>
      <x:c r="K672" s="8" t="n">
        <x:f>H672-I672*J672</x:f>
        <x:v>1</x:v>
      </x:c>
      <x:c r="L672" s="8" t="n">
        <x:f>'PG facts'!D148</x:f>
        <x:v>2</x:v>
      </x:c>
      <x:c r="M672" s="8" t="n">
        <x:f>K672-L672</x:f>
        <x:v>-1</x:v>
      </x:c>
      <x:c r="N672" s="8" t="n">
        <x:f>M672^2</x:f>
        <x:v>1</x:v>
      </x:c>
      <x:c r="O672" s="8" t="n">
        <x:f>ABS(M672)</x:f>
        <x:v>1</x:v>
      </x:c>
      <x:c r="P672" s="7" t="n">
        <x:v>46136</x:v>
      </x:c>
    </x:row>
    <x:row r="673" ht="26" customHeight="1">
      <x:c r="A673" s="2"/>
      <x:c r="B673" s="2" t="n">
        <x:v>668</x:v>
      </x:c>
      <x:c r="C673" s="2" t="str">
        <x:v>Health Care / price_contribution</x:v>
      </x:c>
      <x:c r="D673" s="7" t="n">
        <x:v>46112</x:v>
      </x:c>
      <x:c r="E673" s="2" t="str">
        <x:v>Origin</x:v>
      </x:c>
      <x:c r="F673" s="7" t="n">
        <x:v>46023</x:v>
      </x:c>
      <x:c r="G673" s="2" t="str">
        <x:v>Broad market</x:v>
      </x:c>
      <x:c r="H673" s="8" t="n">
        <x:f>'Model fits'!AA461</x:f>
        <x:v>1.900388451613768</x:v>
      </x:c>
      <x:c r="I673" s="8" t="n">
        <x:f>0</x:f>
        <x:v>0</x:v>
      </x:c>
      <x:c r="J673" s="8" t="n">
        <x:v>0</x:v>
      </x:c>
      <x:c r="K673" s="8" t="n">
        <x:f>H673-I673*J673</x:f>
        <x:v>1.900388451613768</x:v>
      </x:c>
      <x:c r="L673" s="8" t="n">
        <x:f>'PG facts'!D148</x:f>
        <x:v>2</x:v>
      </x:c>
      <x:c r="M673" s="8" t="n">
        <x:f>K673-L673</x:f>
        <x:v>-0.0996115483862321</x:v>
      </x:c>
      <x:c r="N673" s="8" t="n">
        <x:f>M673^2</x:f>
        <x:v>0.009922460571902658</x:v>
      </x:c>
      <x:c r="O673" s="8" t="n">
        <x:f>ABS(M673)</x:f>
        <x:v>0.0996115483862321</x:v>
      </x:c>
      <x:c r="P673" s="7" t="n">
        <x:v>46136</x:v>
      </x:c>
    </x:row>
    <x:row r="674" ht="26" customHeight="1">
      <x:c r="A674" s="2"/>
      <x:c r="B674" s="2" t="n">
        <x:v>669</x:v>
      </x:c>
      <x:c r="C674" s="2" t="str">
        <x:v>Health Care / price_contribution</x:v>
      </x:c>
      <x:c r="D674" s="7" t="n">
        <x:v>46112</x:v>
      </x:c>
      <x:c r="E674" s="2" t="str">
        <x:v>Origin</x:v>
      </x:c>
      <x:c r="F674" s="7" t="n">
        <x:v>46023</x:v>
      </x:c>
      <x:c r="G674" s="2" t="str">
        <x:v>Broad rolling 8</x:v>
      </x:c>
      <x:c r="H674" s="8" t="n">
        <x:f>'Model fits'!AA462</x:f>
        <x:v>1.6240813878067843</x:v>
      </x:c>
      <x:c r="I674" s="8" t="n">
        <x:f>0</x:f>
        <x:v>0</x:v>
      </x:c>
      <x:c r="J674" s="8" t="n">
        <x:v>0</x:v>
      </x:c>
      <x:c r="K674" s="8" t="n">
        <x:f>H674-I674*J674</x:f>
        <x:v>1.6240813878067843</x:v>
      </x:c>
      <x:c r="L674" s="8" t="n">
        <x:f>'PG facts'!D148</x:f>
        <x:v>2</x:v>
      </x:c>
      <x:c r="M674" s="8" t="n">
        <x:f>K674-L674</x:f>
        <x:v>-0.37591861219321565</x:v>
      </x:c>
      <x:c r="N674" s="8" t="n">
        <x:f>M674^2</x:f>
        <x:v>0.14131480299327326</x:v>
      </x:c>
      <x:c r="O674" s="8" t="n">
        <x:f>ABS(M674)</x:f>
        <x:v>0.37591861219321565</x:v>
      </x:c>
      <x:c r="P674" s="7" t="n">
        <x:v>46136</x:v>
      </x:c>
    </x:row>
    <x:row r="675" ht="26" customHeight="1">
      <x:c r="A675" s="2"/>
      <x:c r="B675" s="2" t="n">
        <x:v>670</x:v>
      </x:c>
      <x:c r="C675" s="2" t="str">
        <x:v>Health Care / price_contribution</x:v>
      </x:c>
      <x:c r="D675" s="7" t="n">
        <x:v>46112</x:v>
      </x:c>
      <x:c r="E675" s="2" t="str">
        <x:v>Origin</x:v>
      </x:c>
      <x:c r="F675" s="7" t="n">
        <x:v>46023</x:v>
      </x:c>
      <x:c r="G675" s="2" t="str">
        <x:v>Own history</x:v>
      </x:c>
      <x:c r="H675" s="8" t="n">
        <x:f>'Model fits'!AA463</x:f>
        <x:v>1.855206847360913</x:v>
      </x:c>
      <x:c r="I675" s="8" t="n">
        <x:f>0</x:f>
        <x:v>0</x:v>
      </x:c>
      <x:c r="J675" s="8" t="n">
        <x:v>0</x:v>
      </x:c>
      <x:c r="K675" s="8" t="n">
        <x:f>H675-I675*J675</x:f>
        <x:v>1.855206847360913</x:v>
      </x:c>
      <x:c r="L675" s="8" t="n">
        <x:f>'PG facts'!D148</x:f>
        <x:v>2</x:v>
      </x:c>
      <x:c r="M675" s="8" t="n">
        <x:f>K675-L675</x:f>
        <x:v>-0.1447931526390871</x:v>
      </x:c>
      <x:c r="N675" s="8" t="n">
        <x:f>M675^2</x:f>
        <x:v>0.020965057051165976</x:v>
      </x:c>
      <x:c r="O675" s="8" t="n">
        <x:f>ABS(M675)</x:f>
        <x:v>0.1447931526390871</x:v>
      </x:c>
      <x:c r="P675" s="7" t="n">
        <x:v>46136</x:v>
      </x:c>
    </x:row>
    <x:row r="676" ht="26" customHeight="1">
      <x:c r="A676" s="2"/>
      <x:c r="B676" s="2" t="n">
        <x:v>671</x:v>
      </x:c>
      <x:c r="C676" s="2" t="str">
        <x:v>Health Care / price_contribution</x:v>
      </x:c>
      <x:c r="D676" s="7" t="n">
        <x:v>46112</x:v>
      </x:c>
      <x:c r="E676" s="2" t="str">
        <x:v>Prior report</x:v>
      </x:c>
      <x:c r="F676" s="7" t="n">
        <x:v>46045</x:v>
      </x:c>
      <x:c r="G676" s="2" t="str">
        <x:v>Last actual</x:v>
      </x:c>
      <x:c r="H676" s="8" t="n">
        <x:f>AVERAGE('PG facts'!D141)</x:f>
        <x:v>1</x:v>
      </x:c>
      <x:c r="I676" s="8" t="n">
        <x:f>0</x:f>
        <x:v>0</x:v>
      </x:c>
      <x:c r="J676" s="8" t="n">
        <x:v>0</x:v>
      </x:c>
      <x:c r="K676" s="8" t="n">
        <x:f>H676-I676*J676</x:f>
        <x:v>1</x:v>
      </x:c>
      <x:c r="L676" s="8" t="n">
        <x:f>'PG facts'!D148</x:f>
        <x:v>2</x:v>
      </x:c>
      <x:c r="M676" s="8" t="n">
        <x:f>K676-L676</x:f>
        <x:v>-1</x:v>
      </x:c>
      <x:c r="N676" s="8" t="n">
        <x:f>M676^2</x:f>
        <x:v>1</x:v>
      </x:c>
      <x:c r="O676" s="8" t="n">
        <x:f>ABS(M676)</x:f>
        <x:v>1</x:v>
      </x:c>
      <x:c r="P676" s="7" t="n">
        <x:v>46136</x:v>
      </x:c>
    </x:row>
    <x:row r="677" ht="26" customHeight="1">
      <x:c r="A677" s="2"/>
      <x:c r="B677" s="2" t="n">
        <x:v>672</x:v>
      </x:c>
      <x:c r="C677" s="2" t="str">
        <x:v>Health Care / price_contribution</x:v>
      </x:c>
      <x:c r="D677" s="7" t="n">
        <x:v>46112</x:v>
      </x:c>
      <x:c r="E677" s="2" t="str">
        <x:v>Prior report</x:v>
      </x:c>
      <x:c r="F677" s="7" t="n">
        <x:v>46045</x:v>
      </x:c>
      <x:c r="G677" s="2" t="str">
        <x:v>Four-quarter mean</x:v>
      </x:c>
      <x:c r="H677" s="8" t="n">
        <x:f>AVERAGE('PG facts'!D120,'PG facts'!D127,'PG facts'!D134,'PG facts'!D141)</x:f>
        <x:v>1</x:v>
      </x:c>
      <x:c r="I677" s="8" t="n">
        <x:f>0</x:f>
        <x:v>0</x:v>
      </x:c>
      <x:c r="J677" s="8" t="n">
        <x:v>0</x:v>
      </x:c>
      <x:c r="K677" s="8" t="n">
        <x:f>H677-I677*J677</x:f>
        <x:v>1</x:v>
      </x:c>
      <x:c r="L677" s="8" t="n">
        <x:f>'PG facts'!D148</x:f>
        <x:v>2</x:v>
      </x:c>
      <x:c r="M677" s="8" t="n">
        <x:f>K677-L677</x:f>
        <x:v>-1</x:v>
      </x:c>
      <x:c r="N677" s="8" t="n">
        <x:f>M677^2</x:f>
        <x:v>1</x:v>
      </x:c>
      <x:c r="O677" s="8" t="n">
        <x:f>ABS(M677)</x:f>
        <x:v>1</x:v>
      </x:c>
      <x:c r="P677" s="7" t="n">
        <x:v>46136</x:v>
      </x:c>
    </x:row>
    <x:row r="678" ht="26" customHeight="1">
      <x:c r="A678" s="2"/>
      <x:c r="B678" s="2" t="n">
        <x:v>673</x:v>
      </x:c>
      <x:c r="C678" s="2" t="str">
        <x:v>Health Care / price_contribution</x:v>
      </x:c>
      <x:c r="D678" s="7" t="n">
        <x:v>46112</x:v>
      </x:c>
      <x:c r="E678" s="2" t="str">
        <x:v>Prior report</x:v>
      </x:c>
      <x:c r="F678" s="7" t="n">
        <x:v>46045</x:v>
      </x:c>
      <x:c r="G678" s="2" t="str">
        <x:v>Broad market</x:v>
      </x:c>
      <x:c r="H678" s="8" t="n">
        <x:f>'Model fits'!AA464</x:f>
        <x:v>1.995998687664966</x:v>
      </x:c>
      <x:c r="I678" s="8" t="n">
        <x:f>0</x:f>
        <x:v>0</x:v>
      </x:c>
      <x:c r="J678" s="8" t="n">
        <x:v>0</x:v>
      </x:c>
      <x:c r="K678" s="8" t="n">
        <x:f>H678-I678*J678</x:f>
        <x:v>1.995998687664966</x:v>
      </x:c>
      <x:c r="L678" s="8" t="n">
        <x:f>'PG facts'!D148</x:f>
        <x:v>2</x:v>
      </x:c>
      <x:c r="M678" s="8" t="n">
        <x:f>K678-L678</x:f>
        <x:v>-0.00400131233503398</x:v>
      </x:c>
      <x:c r="N678" s="8" t="n">
        <x:f>M678^2</x:f>
        <x:v>0.00001601050040249508</x:v>
      </x:c>
      <x:c r="O678" s="8" t="n">
        <x:f>ABS(M678)</x:f>
        <x:v>0.00400131233503398</x:v>
      </x:c>
      <x:c r="P678" s="7" t="n">
        <x:v>46136</x:v>
      </x:c>
    </x:row>
    <x:row r="679" ht="26" customHeight="1">
      <x:c r="A679" s="2"/>
      <x:c r="B679" s="2" t="n">
        <x:v>674</x:v>
      </x:c>
      <x:c r="C679" s="2" t="str">
        <x:v>Health Care / price_contribution</x:v>
      </x:c>
      <x:c r="D679" s="7" t="n">
        <x:v>46112</x:v>
      </x:c>
      <x:c r="E679" s="2" t="str">
        <x:v>Prior report</x:v>
      </x:c>
      <x:c r="F679" s="7" t="n">
        <x:v>46045</x:v>
      </x:c>
      <x:c r="G679" s="2" t="str">
        <x:v>Broad rolling 8</x:v>
      </x:c>
      <x:c r="H679" s="8" t="n">
        <x:f>'Model fits'!AA465</x:f>
        <x:v>1.7502178137418243</x:v>
      </x:c>
      <x:c r="I679" s="8" t="n">
        <x:f>0</x:f>
        <x:v>0</x:v>
      </x:c>
      <x:c r="J679" s="8" t="n">
        <x:v>0</x:v>
      </x:c>
      <x:c r="K679" s="8" t="n">
        <x:f>H679-I679*J679</x:f>
        <x:v>1.7502178137418243</x:v>
      </x:c>
      <x:c r="L679" s="8" t="n">
        <x:f>'PG facts'!D148</x:f>
        <x:v>2</x:v>
      </x:c>
      <x:c r="M679" s="8" t="n">
        <x:f>K679-L679</x:f>
        <x:v>-0.24978218625817572</x:v>
      </x:c>
      <x:c r="N679" s="8" t="n">
        <x:f>M679^2</x:f>
        <x:v>0.062391140571913986</x:v>
      </x:c>
      <x:c r="O679" s="8" t="n">
        <x:f>ABS(M679)</x:f>
        <x:v>0.24978218625817572</x:v>
      </x:c>
      <x:c r="P679" s="7" t="n">
        <x:v>46136</x:v>
      </x:c>
    </x:row>
    <x:row r="680" ht="26" customHeight="1">
      <x:c r="A680" s="2"/>
      <x:c r="B680" s="2" t="n">
        <x:v>675</x:v>
      </x:c>
      <x:c r="C680" s="2" t="str">
        <x:v>Health Care / price_contribution</x:v>
      </x:c>
      <x:c r="D680" s="7" t="n">
        <x:v>46112</x:v>
      </x:c>
      <x:c r="E680" s="2" t="str">
        <x:v>Prior report</x:v>
      </x:c>
      <x:c r="F680" s="7" t="n">
        <x:v>46045</x:v>
      </x:c>
      <x:c r="G680" s="2" t="str">
        <x:v>Own history</x:v>
      </x:c>
      <x:c r="H680" s="8" t="n">
        <x:f>'Model fits'!AA466</x:f>
        <x:v>1.3084490740740742</x:v>
      </x:c>
      <x:c r="I680" s="8" t="n">
        <x:f>0</x:f>
        <x:v>0</x:v>
      </x:c>
      <x:c r="J680" s="8" t="n">
        <x:v>0</x:v>
      </x:c>
      <x:c r="K680" s="8" t="n">
        <x:f>H680-I680*J680</x:f>
        <x:v>1.3084490740740742</x:v>
      </x:c>
      <x:c r="L680" s="8" t="n">
        <x:f>'PG facts'!D148</x:f>
        <x:v>2</x:v>
      </x:c>
      <x:c r="M680" s="8" t="n">
        <x:f>K680-L680</x:f>
        <x:v>-0.6915509259259258</x:v>
      </x:c>
      <x:c r="N680" s="8" t="n">
        <x:f>M680^2</x:f>
        <x:v>0.47824268314900537</x:v>
      </x:c>
      <x:c r="O680" s="8" t="n">
        <x:f>ABS(M680)</x:f>
        <x:v>0.6915509259259258</x:v>
      </x:c>
      <x:c r="P680" s="7" t="n">
        <x:v>46136</x:v>
      </x:c>
    </x:row>
    <x:row r="681" ht="26" customHeight="1">
      <x:c r="A681" s="2"/>
      <x:c r="B681" s="2" t="n">
        <x:v>676</x:v>
      </x:c>
      <x:c r="C681" s="2" t="str">
        <x:v>Health Care / price_contribution</x:v>
      </x:c>
      <x:c r="D681" s="7" t="n">
        <x:v>46112</x:v>
      </x:c>
      <x:c r="E681" s="2" t="str">
        <x:v>Pre-earnings</x:v>
      </x:c>
      <x:c r="F681" s="7" t="n">
        <x:v>46135</x:v>
      </x:c>
      <x:c r="G681" s="2" t="str">
        <x:v>Last actual</x:v>
      </x:c>
      <x:c r="H681" s="8" t="n">
        <x:f>AVERAGE('PG facts'!D141)</x:f>
        <x:v>1</x:v>
      </x:c>
      <x:c r="I681" s="8" t="n">
        <x:f>0</x:f>
        <x:v>0</x:v>
      </x:c>
      <x:c r="J681" s="8" t="n">
        <x:v>0</x:v>
      </x:c>
      <x:c r="K681" s="8" t="n">
        <x:f>H681-I681*J681</x:f>
        <x:v>1</x:v>
      </x:c>
      <x:c r="L681" s="8" t="n">
        <x:f>'PG facts'!D148</x:f>
        <x:v>2</x:v>
      </x:c>
      <x:c r="M681" s="8" t="n">
        <x:f>K681-L681</x:f>
        <x:v>-1</x:v>
      </x:c>
      <x:c r="N681" s="8" t="n">
        <x:f>M681^2</x:f>
        <x:v>1</x:v>
      </x:c>
      <x:c r="O681" s="8" t="n">
        <x:f>ABS(M681)</x:f>
        <x:v>1</x:v>
      </x:c>
      <x:c r="P681" s="7" t="n">
        <x:v>46136</x:v>
      </x:c>
    </x:row>
    <x:row r="682" ht="26" customHeight="1">
      <x:c r="A682" s="2"/>
      <x:c r="B682" s="2" t="n">
        <x:v>677</x:v>
      </x:c>
      <x:c r="C682" s="2" t="str">
        <x:v>Health Care / price_contribution</x:v>
      </x:c>
      <x:c r="D682" s="7" t="n">
        <x:v>46112</x:v>
      </x:c>
      <x:c r="E682" s="2" t="str">
        <x:v>Pre-earnings</x:v>
      </x:c>
      <x:c r="F682" s="7" t="n">
        <x:v>46135</x:v>
      </x:c>
      <x:c r="G682" s="2" t="str">
        <x:v>Four-quarter mean</x:v>
      </x:c>
      <x:c r="H682" s="8" t="n">
        <x:f>AVERAGE('PG facts'!D120,'PG facts'!D127,'PG facts'!D134,'PG facts'!D141)</x:f>
        <x:v>1</x:v>
      </x:c>
      <x:c r="I682" s="8" t="n">
        <x:f>0</x:f>
        <x:v>0</x:v>
      </x:c>
      <x:c r="J682" s="8" t="n">
        <x:v>0</x:v>
      </x:c>
      <x:c r="K682" s="8" t="n">
        <x:f>H682-I682*J682</x:f>
        <x:v>1</x:v>
      </x:c>
      <x:c r="L682" s="8" t="n">
        <x:f>'PG facts'!D148</x:f>
        <x:v>2</x:v>
      </x:c>
      <x:c r="M682" s="8" t="n">
        <x:f>K682-L682</x:f>
        <x:v>-1</x:v>
      </x:c>
      <x:c r="N682" s="8" t="n">
        <x:f>M682^2</x:f>
        <x:v>1</x:v>
      </x:c>
      <x:c r="O682" s="8" t="n">
        <x:f>ABS(M682)</x:f>
        <x:v>1</x:v>
      </x:c>
      <x:c r="P682" s="7" t="n">
        <x:v>46136</x:v>
      </x:c>
    </x:row>
    <x:row r="683" ht="26" customHeight="1">
      <x:c r="A683" s="2"/>
      <x:c r="B683" s="2" t="n">
        <x:v>678</x:v>
      </x:c>
      <x:c r="C683" s="2" t="str">
        <x:v>Health Care / price_contribution</x:v>
      </x:c>
      <x:c r="D683" s="7" t="n">
        <x:v>46112</x:v>
      </x:c>
      <x:c r="E683" s="2" t="str">
        <x:v>Pre-earnings</x:v>
      </x:c>
      <x:c r="F683" s="7" t="n">
        <x:v>46135</x:v>
      </x:c>
      <x:c r="G683" s="2" t="str">
        <x:v>Broad market</x:v>
      </x:c>
      <x:c r="H683" s="8" t="n">
        <x:f>'Model fits'!AA467</x:f>
        <x:v>2.52996356604286</x:v>
      </x:c>
      <x:c r="I683" s="8" t="n">
        <x:f>0</x:f>
        <x:v>0</x:v>
      </x:c>
      <x:c r="J683" s="8" t="n">
        <x:v>0</x:v>
      </x:c>
      <x:c r="K683" s="8" t="n">
        <x:f>H683-I683*J683</x:f>
        <x:v>2.52996356604286</x:v>
      </x:c>
      <x:c r="L683" s="8" t="n">
        <x:f>'PG facts'!D148</x:f>
        <x:v>2</x:v>
      </x:c>
      <x:c r="M683" s="8" t="n">
        <x:f>K683-L683</x:f>
        <x:v>0.5299635660428601</x:v>
      </x:c>
      <x:c r="N683" s="8" t="n">
        <x:f>M683^2</x:f>
        <x:v>0.2808613813328649</x:v>
      </x:c>
      <x:c r="O683" s="8" t="n">
        <x:f>ABS(M683)</x:f>
        <x:v>0.5299635660428601</x:v>
      </x:c>
      <x:c r="P683" s="7" t="n">
        <x:v>46136</x:v>
      </x:c>
    </x:row>
    <x:row r="684" ht="26" customHeight="1">
      <x:c r="A684" s="2"/>
      <x:c r="B684" s="2" t="n">
        <x:v>679</x:v>
      </x:c>
      <x:c r="C684" s="2" t="str">
        <x:v>Health Care / price_contribution</x:v>
      </x:c>
      <x:c r="D684" s="7" t="n">
        <x:v>46112</x:v>
      </x:c>
      <x:c r="E684" s="2" t="str">
        <x:v>Pre-earnings</x:v>
      </x:c>
      <x:c r="F684" s="7" t="n">
        <x:v>46135</x:v>
      </x:c>
      <x:c r="G684" s="2" t="str">
        <x:v>Broad rolling 8</x:v>
      </x:c>
      <x:c r="H684" s="8" t="n">
        <x:f>'Model fits'!AA468</x:f>
        <x:v>2.454665623047089</x:v>
      </x:c>
      <x:c r="I684" s="8" t="n">
        <x:f>0</x:f>
        <x:v>0</x:v>
      </x:c>
      <x:c r="J684" s="8" t="n">
        <x:v>0</x:v>
      </x:c>
      <x:c r="K684" s="8" t="n">
        <x:f>H684-I684*J684</x:f>
        <x:v>2.454665623047089</x:v>
      </x:c>
      <x:c r="L684" s="8" t="n">
        <x:f>'PG facts'!D148</x:f>
        <x:v>2</x:v>
      </x:c>
      <x:c r="M684" s="8" t="n">
        <x:f>K684-L684</x:f>
        <x:v>0.4546656230470889</x:v>
      </x:c>
      <x:c r="N684" s="8" t="n">
        <x:f>M684^2</x:f>
        <x:v>0.20672082878079753</x:v>
      </x:c>
      <x:c r="O684" s="8" t="n">
        <x:f>ABS(M684)</x:f>
        <x:v>0.4546656230470889</x:v>
      </x:c>
      <x:c r="P684" s="7" t="n">
        <x:v>46136</x:v>
      </x:c>
    </x:row>
    <x:row r="685" ht="26" customHeight="1">
      <x:c r="A685" s="2"/>
      <x:c r="B685" s="2" t="n">
        <x:v>680</x:v>
      </x:c>
      <x:c r="C685" s="2" t="str">
        <x:v>Health Care / price_contribution</x:v>
      </x:c>
      <x:c r="D685" s="7" t="n">
        <x:v>46112</x:v>
      </x:c>
      <x:c r="E685" s="2" t="str">
        <x:v>Pre-earnings</x:v>
      </x:c>
      <x:c r="F685" s="7" t="n">
        <x:v>46135</x:v>
      </x:c>
      <x:c r="G685" s="2" t="str">
        <x:v>Own history</x:v>
      </x:c>
      <x:c r="H685" s="8" t="n">
        <x:f>'Model fits'!AA469</x:f>
        <x:v>1.3084490740740742</x:v>
      </x:c>
      <x:c r="I685" s="8" t="n">
        <x:f>0</x:f>
        <x:v>0</x:v>
      </x:c>
      <x:c r="J685" s="8" t="n">
        <x:v>0</x:v>
      </x:c>
      <x:c r="K685" s="8" t="n">
        <x:f>H685-I685*J685</x:f>
        <x:v>1.3084490740740742</x:v>
      </x:c>
      <x:c r="L685" s="8" t="n">
        <x:f>'PG facts'!D148</x:f>
        <x:v>2</x:v>
      </x:c>
      <x:c r="M685" s="8" t="n">
        <x:f>K685-L685</x:f>
        <x:v>-0.6915509259259258</x:v>
      </x:c>
      <x:c r="N685" s="8" t="n">
        <x:f>M685^2</x:f>
        <x:v>0.47824268314900537</x:v>
      </x:c>
      <x:c r="O685" s="8" t="n">
        <x:f>ABS(M685)</x:f>
        <x:v>0.6915509259259258</x:v>
      </x:c>
      <x:c r="P685" s="7" t="n">
        <x:v>46136</x:v>
      </x:c>
    </x:row>
    <x:row r="686" ht="26" customHeight="1">
      <x:c r="A686" s="2"/>
      <x:c r="B686" s="2" t="n">
        <x:v>681</x:v>
      </x:c>
      <x:c r="C686" s="2" t="str">
        <x:v>Fabric &amp; Home Care / price_contribution</x:v>
      </x:c>
      <x:c r="D686" s="7" t="n">
        <x:v>45107</x:v>
      </x:c>
      <x:c r="E686" s="2" t="str">
        <x:v>Origin</x:v>
      </x:c>
      <x:c r="F686" s="7" t="n">
        <x:v>45017</x:v>
      </x:c>
      <x:c r="G686" s="2" t="str">
        <x:v>Last actual</x:v>
      </x:c>
      <x:c r="H686" s="8" t="n">
        <x:f>AVERAGE('PG facts'!D58)</x:f>
        <x:v>13</x:v>
      </x:c>
      <x:c r="I686" s="8" t="n">
        <x:f>0</x:f>
        <x:v>0</x:v>
      </x:c>
      <x:c r="J686" s="8" t="n">
        <x:v>0</x:v>
      </x:c>
      <x:c r="K686" s="8" t="n">
        <x:f>H686-I686*J686</x:f>
        <x:v>13</x:v>
      </x:c>
      <x:c r="L686" s="8" t="n">
        <x:f>'PG facts'!D72</x:f>
        <x:v>6</x:v>
      </x:c>
      <x:c r="M686" s="8" t="n">
        <x:f>K686-L686</x:f>
        <x:v>7</x:v>
      </x:c>
      <x:c r="N686" s="8" t="n">
        <x:f>M686^2</x:f>
        <x:v>49</x:v>
      </x:c>
      <x:c r="O686" s="8" t="n">
        <x:f>ABS(M686)</x:f>
        <x:v>7</x:v>
      </x:c>
      <x:c r="P686" s="7" t="n">
        <x:v>45135</x:v>
      </x:c>
    </x:row>
    <x:row r="687" ht="26" customHeight="1">
      <x:c r="A687" s="2"/>
      <x:c r="B687" s="2" t="n">
        <x:v>682</x:v>
      </x:c>
      <x:c r="C687" s="2" t="str">
        <x:v>Fabric &amp; Home Care / price_contribution</x:v>
      </x:c>
      <x:c r="D687" s="7" t="n">
        <x:v>45107</x:v>
      </x:c>
      <x:c r="E687" s="2" t="str">
        <x:v>Origin</x:v>
      </x:c>
      <x:c r="F687" s="7" t="n">
        <x:v>45017</x:v>
      </x:c>
      <x:c r="G687" s="2" t="str">
        <x:v>Four-quarter mean</x:v>
      </x:c>
      <x:c r="H687" s="8" t="n">
        <x:f>AVERAGE('PG facts'!D37,'PG facts'!D44,'PG facts'!D51,'PG facts'!D58)</x:f>
        <x:v>9.75</x:v>
      </x:c>
      <x:c r="I687" s="8" t="n">
        <x:f>0</x:f>
        <x:v>0</x:v>
      </x:c>
      <x:c r="J687" s="8" t="n">
        <x:v>0</x:v>
      </x:c>
      <x:c r="K687" s="8" t="n">
        <x:f>H687-I687*J687</x:f>
        <x:v>9.75</x:v>
      </x:c>
      <x:c r="L687" s="8" t="n">
        <x:f>'PG facts'!D72</x:f>
        <x:v>6</x:v>
      </x:c>
      <x:c r="M687" s="8" t="n">
        <x:f>K687-L687</x:f>
        <x:v>3.75</x:v>
      </x:c>
      <x:c r="N687" s="8" t="n">
        <x:f>M687^2</x:f>
        <x:v>14.0625</x:v>
      </x:c>
      <x:c r="O687" s="8" t="n">
        <x:f>ABS(M687)</x:f>
        <x:v>3.75</x:v>
      </x:c>
      <x:c r="P687" s="7" t="n">
        <x:v>45135</x:v>
      </x:c>
    </x:row>
    <x:row r="688" ht="26" customHeight="1">
      <x:c r="A688" s="2"/>
      <x:c r="B688" s="2" t="n">
        <x:v>683</x:v>
      </x:c>
      <x:c r="C688" s="2" t="str">
        <x:v>Fabric &amp; Home Care / price_contribution</x:v>
      </x:c>
      <x:c r="D688" s="7" t="n">
        <x:v>45107</x:v>
      </x:c>
      <x:c r="E688" s="2" t="str">
        <x:v>Origin</x:v>
      </x:c>
      <x:c r="F688" s="7" t="n">
        <x:v>45017</x:v>
      </x:c>
      <x:c r="G688" s="2" t="str">
        <x:v>Broad market</x:v>
      </x:c>
      <x:c r="H688" s="8" t="n">
        <x:f>'Model fits'!AA470</x:f>
        <x:v>13.639809795244844</x:v>
      </x:c>
      <x:c r="I688" s="8" t="n">
        <x:f>0</x:f>
        <x:v>0</x:v>
      </x:c>
      <x:c r="J688" s="8" t="n">
        <x:v>0</x:v>
      </x:c>
      <x:c r="K688" s="8" t="n">
        <x:f>H688-I688*J688</x:f>
        <x:v>13.639809795244844</x:v>
      </x:c>
      <x:c r="L688" s="8" t="n">
        <x:f>'PG facts'!D72</x:f>
        <x:v>6</x:v>
      </x:c>
      <x:c r="M688" s="8" t="n">
        <x:f>K688-L688</x:f>
        <x:v>7.639809795244844</x:v>
      </x:c>
      <x:c r="N688" s="8" t="n">
        <x:f>M688^2</x:f>
        <x:v>58.36669370751906</x:v>
      </x:c>
      <x:c r="O688" s="8" t="n">
        <x:f>ABS(M688)</x:f>
        <x:v>7.639809795244844</x:v>
      </x:c>
      <x:c r="P688" s="7" t="n">
        <x:v>45135</x:v>
      </x:c>
    </x:row>
    <x:row r="689" ht="26" customHeight="1">
      <x:c r="A689" s="2"/>
      <x:c r="B689" s="2" t="n">
        <x:v>684</x:v>
      </x:c>
      <x:c r="C689" s="2" t="str">
        <x:v>Fabric &amp; Home Care / price_contribution</x:v>
      </x:c>
      <x:c r="D689" s="7" t="n">
        <x:v>45107</x:v>
      </x:c>
      <x:c r="E689" s="2" t="str">
        <x:v>Origin</x:v>
      </x:c>
      <x:c r="F689" s="7" t="n">
        <x:v>45017</x:v>
      </x:c>
      <x:c r="G689" s="2" t="str">
        <x:v>Broad rolling 8</x:v>
      </x:c>
      <x:c r="H689" s="8" t="n">
        <x:f>'Model fits'!AA471</x:f>
        <x:v>13.639809795244844</x:v>
      </x:c>
      <x:c r="I689" s="8" t="n">
        <x:f>0</x:f>
        <x:v>0</x:v>
      </x:c>
      <x:c r="J689" s="8" t="n">
        <x:v>0</x:v>
      </x:c>
      <x:c r="K689" s="8" t="n">
        <x:f>H689-I689*J689</x:f>
        <x:v>13.639809795244844</x:v>
      </x:c>
      <x:c r="L689" s="8" t="n">
        <x:f>'PG facts'!D72</x:f>
        <x:v>6</x:v>
      </x:c>
      <x:c r="M689" s="8" t="n">
        <x:f>K689-L689</x:f>
        <x:v>7.639809795244844</x:v>
      </x:c>
      <x:c r="N689" s="8" t="n">
        <x:f>M689^2</x:f>
        <x:v>58.36669370751906</x:v>
      </x:c>
      <x:c r="O689" s="8" t="n">
        <x:f>ABS(M689)</x:f>
        <x:v>7.639809795244844</x:v>
      </x:c>
      <x:c r="P689" s="7" t="n">
        <x:v>45135</x:v>
      </x:c>
    </x:row>
    <x:row r="690" ht="26" customHeight="1">
      <x:c r="A690" s="2"/>
      <x:c r="B690" s="2" t="n">
        <x:v>685</x:v>
      </x:c>
      <x:c r="C690" s="2" t="str">
        <x:v>Fabric &amp; Home Care / price_contribution</x:v>
      </x:c>
      <x:c r="D690" s="7" t="n">
        <x:v>45107</x:v>
      </x:c>
      <x:c r="E690" s="2" t="str">
        <x:v>Prior report</x:v>
      </x:c>
      <x:c r="F690" s="7" t="n">
        <x:v>45037</x:v>
      </x:c>
      <x:c r="G690" s="2" t="str">
        <x:v>Last actual</x:v>
      </x:c>
      <x:c r="H690" s="8" t="n">
        <x:f>AVERAGE('PG facts'!D65)</x:f>
        <x:v>13</x:v>
      </x:c>
      <x:c r="I690" s="8" t="n">
        <x:f>0</x:f>
        <x:v>0</x:v>
      </x:c>
      <x:c r="J690" s="8" t="n">
        <x:v>0</x:v>
      </x:c>
      <x:c r="K690" s="8" t="n">
        <x:f>H690-I690*J690</x:f>
        <x:v>13</x:v>
      </x:c>
      <x:c r="L690" s="8" t="n">
        <x:f>'PG facts'!D72</x:f>
        <x:v>6</x:v>
      </x:c>
      <x:c r="M690" s="8" t="n">
        <x:f>K690-L690</x:f>
        <x:v>7</x:v>
      </x:c>
      <x:c r="N690" s="8" t="n">
        <x:f>M690^2</x:f>
        <x:v>49</x:v>
      </x:c>
      <x:c r="O690" s="8" t="n">
        <x:f>ABS(M690)</x:f>
        <x:v>7</x:v>
      </x:c>
      <x:c r="P690" s="7" t="n">
        <x:v>45135</x:v>
      </x:c>
    </x:row>
    <x:row r="691" ht="26" customHeight="1">
      <x:c r="A691" s="2"/>
      <x:c r="B691" s="2" t="n">
        <x:v>686</x:v>
      </x:c>
      <x:c r="C691" s="2" t="str">
        <x:v>Fabric &amp; Home Care / price_contribution</x:v>
      </x:c>
      <x:c r="D691" s="7" t="n">
        <x:v>45107</x:v>
      </x:c>
      <x:c r="E691" s="2" t="str">
        <x:v>Prior report</x:v>
      </x:c>
      <x:c r="F691" s="7" t="n">
        <x:v>45037</x:v>
      </x:c>
      <x:c r="G691" s="2" t="str">
        <x:v>Four-quarter mean</x:v>
      </x:c>
      <x:c r="H691" s="8" t="n">
        <x:f>AVERAGE('PG facts'!D44,'PG facts'!D51,'PG facts'!D58,'PG facts'!D65)</x:f>
        <x:v>11.75</x:v>
      </x:c>
      <x:c r="I691" s="8" t="n">
        <x:f>0</x:f>
        <x:v>0</x:v>
      </x:c>
      <x:c r="J691" s="8" t="n">
        <x:v>0</x:v>
      </x:c>
      <x:c r="K691" s="8" t="n">
        <x:f>H691-I691*J691</x:f>
        <x:v>11.75</x:v>
      </x:c>
      <x:c r="L691" s="8" t="n">
        <x:f>'PG facts'!D72</x:f>
        <x:v>6</x:v>
      </x:c>
      <x:c r="M691" s="8" t="n">
        <x:f>K691-L691</x:f>
        <x:v>5.75</x:v>
      </x:c>
      <x:c r="N691" s="8" t="n">
        <x:f>M691^2</x:f>
        <x:v>33.0625</x:v>
      </x:c>
      <x:c r="O691" s="8" t="n">
        <x:f>ABS(M691)</x:f>
        <x:v>5.75</x:v>
      </x:c>
      <x:c r="P691" s="7" t="n">
        <x:v>45135</x:v>
      </x:c>
    </x:row>
    <x:row r="692" ht="26" customHeight="1">
      <x:c r="A692" s="2"/>
      <x:c r="B692" s="2" t="n">
        <x:v>687</x:v>
      </x:c>
      <x:c r="C692" s="2" t="str">
        <x:v>Fabric &amp; Home Care / price_contribution</x:v>
      </x:c>
      <x:c r="D692" s="7" t="n">
        <x:v>45107</x:v>
      </x:c>
      <x:c r="E692" s="2" t="str">
        <x:v>Prior report</x:v>
      </x:c>
      <x:c r="F692" s="7" t="n">
        <x:v>45037</x:v>
      </x:c>
      <x:c r="G692" s="2" t="str">
        <x:v>Broad market</x:v>
      </x:c>
      <x:c r="H692" s="8" t="n">
        <x:f>'Model fits'!AA472</x:f>
        <x:v>13.068077887819072</x:v>
      </x:c>
      <x:c r="I692" s="8" t="n">
        <x:f>0</x:f>
        <x:v>0</x:v>
      </x:c>
      <x:c r="J692" s="8" t="n">
        <x:v>0</x:v>
      </x:c>
      <x:c r="K692" s="8" t="n">
        <x:f>H692-I692*J692</x:f>
        <x:v>13.068077887819072</x:v>
      </x:c>
      <x:c r="L692" s="8" t="n">
        <x:f>'PG facts'!D72</x:f>
        <x:v>6</x:v>
      </x:c>
      <x:c r="M692" s="8" t="n">
        <x:f>K692-L692</x:f>
        <x:v>7.068077887819072</x:v>
      </x:c>
      <x:c r="N692" s="8" t="n">
        <x:f>M692^2</x:f>
        <x:v>49.95772502827692</x:v>
      </x:c>
      <x:c r="O692" s="8" t="n">
        <x:f>ABS(M692)</x:f>
        <x:v>7.068077887819072</x:v>
      </x:c>
      <x:c r="P692" s="7" t="n">
        <x:v>45135</x:v>
      </x:c>
    </x:row>
    <x:row r="693" ht="26" customHeight="1">
      <x:c r="A693" s="2"/>
      <x:c r="B693" s="2" t="n">
        <x:v>688</x:v>
      </x:c>
      <x:c r="C693" s="2" t="str">
        <x:v>Fabric &amp; Home Care / price_contribution</x:v>
      </x:c>
      <x:c r="D693" s="7" t="n">
        <x:v>45107</x:v>
      </x:c>
      <x:c r="E693" s="2" t="str">
        <x:v>Prior report</x:v>
      </x:c>
      <x:c r="F693" s="7" t="n">
        <x:v>45037</x:v>
      </x:c>
      <x:c r="G693" s="2" t="str">
        <x:v>Broad lag 1</x:v>
      </x:c>
      <x:c r="H693" s="8" t="n">
        <x:f>'Model fits'!AA473</x:f>
        <x:v>14.315125748094818</x:v>
      </x:c>
      <x:c r="I693" s="8" t="n">
        <x:f>0</x:f>
        <x:v>0</x:v>
      </x:c>
      <x:c r="J693" s="8" t="n">
        <x:v>0</x:v>
      </x:c>
      <x:c r="K693" s="8" t="n">
        <x:f>H693-I693*J693</x:f>
        <x:v>14.315125748094818</x:v>
      </x:c>
      <x:c r="L693" s="8" t="n">
        <x:f>'PG facts'!D72</x:f>
        <x:v>6</x:v>
      </x:c>
      <x:c r="M693" s="8" t="n">
        <x:f>K693-L693</x:f>
        <x:v>8.315125748094818</x:v>
      </x:c>
      <x:c r="N693" s="8" t="n">
        <x:f>M693^2</x:f>
        <x:v>69.14131620662941</x:v>
      </x:c>
      <x:c r="O693" s="8" t="n">
        <x:f>ABS(M693)</x:f>
        <x:v>8.315125748094818</x:v>
      </x:c>
      <x:c r="P693" s="7" t="n">
        <x:v>45135</x:v>
      </x:c>
    </x:row>
    <x:row r="694" ht="26" customHeight="1">
      <x:c r="A694" s="2"/>
      <x:c r="B694" s="2" t="n">
        <x:v>689</x:v>
      </x:c>
      <x:c r="C694" s="2" t="str">
        <x:v>Fabric &amp; Home Care / price_contribution</x:v>
      </x:c>
      <x:c r="D694" s="7" t="n">
        <x:v>45107</x:v>
      </x:c>
      <x:c r="E694" s="2" t="str">
        <x:v>Prior report</x:v>
      </x:c>
      <x:c r="F694" s="7" t="n">
        <x:v>45037</x:v>
      </x:c>
      <x:c r="G694" s="2" t="str">
        <x:v>Broad rolling 8</x:v>
      </x:c>
      <x:c r="H694" s="8" t="n">
        <x:f>'Model fits'!AA474</x:f>
        <x:v>13.073055446920222</x:v>
      </x:c>
      <x:c r="I694" s="8" t="n">
        <x:f>0</x:f>
        <x:v>0</x:v>
      </x:c>
      <x:c r="J694" s="8" t="n">
        <x:v>0</x:v>
      </x:c>
      <x:c r="K694" s="8" t="n">
        <x:f>H694-I694*J694</x:f>
        <x:v>13.073055446920222</x:v>
      </x:c>
      <x:c r="L694" s="8" t="n">
        <x:f>'PG facts'!D72</x:f>
        <x:v>6</x:v>
      </x:c>
      <x:c r="M694" s="8" t="n">
        <x:f>K694-L694</x:f>
        <x:v>7.073055446920222</x:v>
      </x:c>
      <x:c r="N694" s="8" t="n">
        <x:f>M694^2</x:f>
        <x:v>50.02811335520782</x:v>
      </x:c>
      <x:c r="O694" s="8" t="n">
        <x:f>ABS(M694)</x:f>
        <x:v>7.073055446920222</x:v>
      </x:c>
      <x:c r="P694" s="7" t="n">
        <x:v>45135</x:v>
      </x:c>
    </x:row>
    <x:row r="695" ht="26" customHeight="1">
      <x:c r="A695" s="2"/>
      <x:c r="B695" s="2" t="n">
        <x:v>690</x:v>
      </x:c>
      <x:c r="C695" s="2" t="str">
        <x:v>Fabric &amp; Home Care / price_contribution</x:v>
      </x:c>
      <x:c r="D695" s="7" t="n">
        <x:v>45107</x:v>
      </x:c>
      <x:c r="E695" s="2" t="str">
        <x:v>Prior report</x:v>
      </x:c>
      <x:c r="F695" s="7" t="n">
        <x:v>45037</x:v>
      </x:c>
      <x:c r="G695" s="2" t="str">
        <x:v>Own history</x:v>
      </x:c>
      <x:c r="H695" s="8" t="n">
        <x:f>'Model fits'!AA475</x:f>
        <x:v>14.253055355859093</x:v>
      </x:c>
      <x:c r="I695" s="8" t="n">
        <x:f>0</x:f>
        <x:v>0</x:v>
      </x:c>
      <x:c r="J695" s="8" t="n">
        <x:v>0</x:v>
      </x:c>
      <x:c r="K695" s="8" t="n">
        <x:f>H695-I695*J695</x:f>
        <x:v>14.253055355859093</x:v>
      </x:c>
      <x:c r="L695" s="8" t="n">
        <x:f>'PG facts'!D72</x:f>
        <x:v>6</x:v>
      </x:c>
      <x:c r="M695" s="8" t="n">
        <x:f>K695-L695</x:f>
        <x:v>8.253055355859093</x:v>
      </x:c>
      <x:c r="N695" s="8" t="n">
        <x:f>M695^2</x:f>
        <x:v>68.11292270687446</x:v>
      </x:c>
      <x:c r="O695" s="8" t="n">
        <x:f>ABS(M695)</x:f>
        <x:v>8.253055355859093</x:v>
      </x:c>
      <x:c r="P695" s="7" t="n">
        <x:v>45135</x:v>
      </x:c>
    </x:row>
    <x:row r="696" ht="26" customHeight="1">
      <x:c r="A696" s="2"/>
      <x:c r="B696" s="2" t="n">
        <x:v>691</x:v>
      </x:c>
      <x:c r="C696" s="2" t="str">
        <x:v>Fabric &amp; Home Care / price_contribution</x:v>
      </x:c>
      <x:c r="D696" s="7" t="n">
        <x:v>45107</x:v>
      </x:c>
      <x:c r="E696" s="2" t="str">
        <x:v>Pre-earnings</x:v>
      </x:c>
      <x:c r="F696" s="7" t="n">
        <x:v>45134</x:v>
      </x:c>
      <x:c r="G696" s="2" t="str">
        <x:v>Last actual</x:v>
      </x:c>
      <x:c r="H696" s="8" t="n">
        <x:f>AVERAGE('PG facts'!D65)</x:f>
        <x:v>13</x:v>
      </x:c>
      <x:c r="I696" s="8" t="n">
        <x:f>0</x:f>
        <x:v>0</x:v>
      </x:c>
      <x:c r="J696" s="8" t="n">
        <x:v>0</x:v>
      </x:c>
      <x:c r="K696" s="8" t="n">
        <x:f>H696-I696*J696</x:f>
        <x:v>13</x:v>
      </x:c>
      <x:c r="L696" s="8" t="n">
        <x:f>'PG facts'!D72</x:f>
        <x:v>6</x:v>
      </x:c>
      <x:c r="M696" s="8" t="n">
        <x:f>K696-L696</x:f>
        <x:v>7</x:v>
      </x:c>
      <x:c r="N696" s="8" t="n">
        <x:f>M696^2</x:f>
        <x:v>49</x:v>
      </x:c>
      <x:c r="O696" s="8" t="n">
        <x:f>ABS(M696)</x:f>
        <x:v>7</x:v>
      </x:c>
      <x:c r="P696" s="7" t="n">
        <x:v>45135</x:v>
      </x:c>
    </x:row>
    <x:row r="697" ht="26" customHeight="1">
      <x:c r="A697" s="2"/>
      <x:c r="B697" s="2" t="n">
        <x:v>692</x:v>
      </x:c>
      <x:c r="C697" s="2" t="str">
        <x:v>Fabric &amp; Home Care / price_contribution</x:v>
      </x:c>
      <x:c r="D697" s="7" t="n">
        <x:v>45107</x:v>
      </x:c>
      <x:c r="E697" s="2" t="str">
        <x:v>Pre-earnings</x:v>
      </x:c>
      <x:c r="F697" s="7" t="n">
        <x:v>45134</x:v>
      </x:c>
      <x:c r="G697" s="2" t="str">
        <x:v>Four-quarter mean</x:v>
      </x:c>
      <x:c r="H697" s="8" t="n">
        <x:f>AVERAGE('PG facts'!D44,'PG facts'!D51,'PG facts'!D58,'PG facts'!D65)</x:f>
        <x:v>11.75</x:v>
      </x:c>
      <x:c r="I697" s="8" t="n">
        <x:f>0</x:f>
        <x:v>0</x:v>
      </x:c>
      <x:c r="J697" s="8" t="n">
        <x:v>0</x:v>
      </x:c>
      <x:c r="K697" s="8" t="n">
        <x:f>H697-I697*J697</x:f>
        <x:v>11.75</x:v>
      </x:c>
      <x:c r="L697" s="8" t="n">
        <x:f>'PG facts'!D72</x:f>
        <x:v>6</x:v>
      </x:c>
      <x:c r="M697" s="8" t="n">
        <x:f>K697-L697</x:f>
        <x:v>5.75</x:v>
      </x:c>
      <x:c r="N697" s="8" t="n">
        <x:f>M697^2</x:f>
        <x:v>33.0625</x:v>
      </x:c>
      <x:c r="O697" s="8" t="n">
        <x:f>ABS(M697)</x:f>
        <x:v>5.75</x:v>
      </x:c>
      <x:c r="P697" s="7" t="n">
        <x:v>45135</x:v>
      </x:c>
    </x:row>
    <x:row r="698" ht="26" customHeight="1">
      <x:c r="A698" s="2"/>
      <x:c r="B698" s="2" t="n">
        <x:v>693</x:v>
      </x:c>
      <x:c r="C698" s="2" t="str">
        <x:v>Fabric &amp; Home Care / price_contribution</x:v>
      </x:c>
      <x:c r="D698" s="7" t="n">
        <x:v>45107</x:v>
      </x:c>
      <x:c r="E698" s="2" t="str">
        <x:v>Pre-earnings</x:v>
      </x:c>
      <x:c r="F698" s="7" t="n">
        <x:v>45134</x:v>
      </x:c>
      <x:c r="G698" s="2" t="str">
        <x:v>Broad market</x:v>
      </x:c>
      <x:c r="H698" s="8" t="n">
        <x:f>'Model fits'!AA476</x:f>
        <x:v>13.513570490798754</x:v>
      </x:c>
      <x:c r="I698" s="8" t="n">
        <x:f>0</x:f>
        <x:v>0</x:v>
      </x:c>
      <x:c r="J698" s="8" t="n">
        <x:v>0</x:v>
      </x:c>
      <x:c r="K698" s="8" t="n">
        <x:f>H698-I698*J698</x:f>
        <x:v>13.513570490798754</x:v>
      </x:c>
      <x:c r="L698" s="8" t="n">
        <x:f>'PG facts'!D72</x:f>
        <x:v>6</x:v>
      </x:c>
      <x:c r="M698" s="8" t="n">
        <x:f>K698-L698</x:f>
        <x:v>7.513570490798754</x:v>
      </x:c>
      <x:c r="N698" s="8" t="n">
        <x:f>M698^2</x:f>
        <x:v>56.45374152020183</x:v>
      </x:c>
      <x:c r="O698" s="8" t="n">
        <x:f>ABS(M698)</x:f>
        <x:v>7.513570490798754</x:v>
      </x:c>
      <x:c r="P698" s="7" t="n">
        <x:v>45135</x:v>
      </x:c>
    </x:row>
    <x:row r="699" ht="26" customHeight="1">
      <x:c r="A699" s="2"/>
      <x:c r="B699" s="2" t="n">
        <x:v>694</x:v>
      </x:c>
      <x:c r="C699" s="2" t="str">
        <x:v>Fabric &amp; Home Care / price_contribution</x:v>
      </x:c>
      <x:c r="D699" s="7" t="n">
        <x:v>45107</x:v>
      </x:c>
      <x:c r="E699" s="2" t="str">
        <x:v>Pre-earnings</x:v>
      </x:c>
      <x:c r="F699" s="7" t="n">
        <x:v>45134</x:v>
      </x:c>
      <x:c r="G699" s="2" t="str">
        <x:v>Broad lag 1</x:v>
      </x:c>
      <x:c r="H699" s="8" t="n">
        <x:f>'Model fits'!AA477</x:f>
        <x:v>14.315125748094818</x:v>
      </x:c>
      <x:c r="I699" s="8" t="n">
        <x:f>0</x:f>
        <x:v>0</x:v>
      </x:c>
      <x:c r="J699" s="8" t="n">
        <x:v>0</x:v>
      </x:c>
      <x:c r="K699" s="8" t="n">
        <x:f>H699-I699*J699</x:f>
        <x:v>14.315125748094818</x:v>
      </x:c>
      <x:c r="L699" s="8" t="n">
        <x:f>'PG facts'!D72</x:f>
        <x:v>6</x:v>
      </x:c>
      <x:c r="M699" s="8" t="n">
        <x:f>K699-L699</x:f>
        <x:v>8.315125748094818</x:v>
      </x:c>
      <x:c r="N699" s="8" t="n">
        <x:f>M699^2</x:f>
        <x:v>69.14131620662941</x:v>
      </x:c>
      <x:c r="O699" s="8" t="n">
        <x:f>ABS(M699)</x:f>
        <x:v>8.315125748094818</x:v>
      </x:c>
      <x:c r="P699" s="7" t="n">
        <x:v>45135</x:v>
      </x:c>
    </x:row>
    <x:row r="700" ht="26" customHeight="1">
      <x:c r="A700" s="2"/>
      <x:c r="B700" s="2" t="n">
        <x:v>695</x:v>
      </x:c>
      <x:c r="C700" s="2" t="str">
        <x:v>Fabric &amp; Home Care / price_contribution</x:v>
      </x:c>
      <x:c r="D700" s="7" t="n">
        <x:v>45107</x:v>
      </x:c>
      <x:c r="E700" s="2" t="str">
        <x:v>Pre-earnings</x:v>
      </x:c>
      <x:c r="F700" s="7" t="n">
        <x:v>45134</x:v>
      </x:c>
      <x:c r="G700" s="2" t="str">
        <x:v>Broad rolling 8</x:v>
      </x:c>
      <x:c r="H700" s="8" t="n">
        <x:f>'Model fits'!AA478</x:f>
        <x:v>13.519947674849814</x:v>
      </x:c>
      <x:c r="I700" s="8" t="n">
        <x:f>0</x:f>
        <x:v>0</x:v>
      </x:c>
      <x:c r="J700" s="8" t="n">
        <x:v>0</x:v>
      </x:c>
      <x:c r="K700" s="8" t="n">
        <x:f>H700-I700*J700</x:f>
        <x:v>13.519947674849814</x:v>
      </x:c>
      <x:c r="L700" s="8" t="n">
        <x:f>'PG facts'!D72</x:f>
        <x:v>6</x:v>
      </x:c>
      <x:c r="M700" s="8" t="n">
        <x:f>K700-L700</x:f>
        <x:v>7.5199476748498135</x:v>
      </x:c>
      <x:c r="N700" s="8" t="n">
        <x:f>M700^2</x:f>
        <x:v>56.549613032479115</x:v>
      </x:c>
      <x:c r="O700" s="8" t="n">
        <x:f>ABS(M700)</x:f>
        <x:v>7.5199476748498135</x:v>
      </x:c>
      <x:c r="P700" s="7" t="n">
        <x:v>45135</x:v>
      </x:c>
    </x:row>
    <x:row r="701" ht="26" customHeight="1">
      <x:c r="A701" s="2"/>
      <x:c r="B701" s="2" t="n">
        <x:v>696</x:v>
      </x:c>
      <x:c r="C701" s="2" t="str">
        <x:v>Fabric &amp; Home Care / price_contribution</x:v>
      </x:c>
      <x:c r="D701" s="7" t="n">
        <x:v>45107</x:v>
      </x:c>
      <x:c r="E701" s="2" t="str">
        <x:v>Pre-earnings</x:v>
      </x:c>
      <x:c r="F701" s="7" t="n">
        <x:v>45134</x:v>
      </x:c>
      <x:c r="G701" s="2" t="str">
        <x:v>Own history</x:v>
      </x:c>
      <x:c r="H701" s="8" t="n">
        <x:f>'Model fits'!AA479</x:f>
        <x:v>14.253055355859093</x:v>
      </x:c>
      <x:c r="I701" s="8" t="n">
        <x:f>0</x:f>
        <x:v>0</x:v>
      </x:c>
      <x:c r="J701" s="8" t="n">
        <x:v>0</x:v>
      </x:c>
      <x:c r="K701" s="8" t="n">
        <x:f>H701-I701*J701</x:f>
        <x:v>14.253055355859093</x:v>
      </x:c>
      <x:c r="L701" s="8" t="n">
        <x:f>'PG facts'!D72</x:f>
        <x:v>6</x:v>
      </x:c>
      <x:c r="M701" s="8" t="n">
        <x:f>K701-L701</x:f>
        <x:v>8.253055355859093</x:v>
      </x:c>
      <x:c r="N701" s="8" t="n">
        <x:f>M701^2</x:f>
        <x:v>68.11292270687446</x:v>
      </x:c>
      <x:c r="O701" s="8" t="n">
        <x:f>ABS(M701)</x:f>
        <x:v>8.253055355859093</x:v>
      </x:c>
      <x:c r="P701" s="7" t="n">
        <x:v>45135</x:v>
      </x:c>
    </x:row>
    <x:row r="702" ht="26" customHeight="1">
      <x:c r="A702" s="2"/>
      <x:c r="B702" s="2" t="n">
        <x:v>697</x:v>
      </x:c>
      <x:c r="C702" s="2" t="str">
        <x:v>Fabric &amp; Home Care / price_contribution</x:v>
      </x:c>
      <x:c r="D702" s="7" t="n">
        <x:v>45199</x:v>
      </x:c>
      <x:c r="E702" s="2" t="str">
        <x:v>Origin</x:v>
      </x:c>
      <x:c r="F702" s="7" t="n">
        <x:v>45108</x:v>
      </x:c>
      <x:c r="G702" s="2" t="str">
        <x:v>Last actual</x:v>
      </x:c>
      <x:c r="H702" s="8" t="n">
        <x:f>AVERAGE('PG facts'!D65)</x:f>
        <x:v>13</x:v>
      </x:c>
      <x:c r="I702" s="8" t="n">
        <x:f>0</x:f>
        <x:v>0</x:v>
      </x:c>
      <x:c r="J702" s="8" t="n">
        <x:v>0</x:v>
      </x:c>
      <x:c r="K702" s="8" t="n">
        <x:f>H702-I702*J702</x:f>
        <x:v>13</x:v>
      </x:c>
      <x:c r="L702" s="8" t="n">
        <x:f>'PG facts'!D79</x:f>
        <x:v>8</x:v>
      </x:c>
      <x:c r="M702" s="8" t="n">
        <x:f>K702-L702</x:f>
        <x:v>5</x:v>
      </x:c>
      <x:c r="N702" s="8" t="n">
        <x:f>M702^2</x:f>
        <x:v>25</x:v>
      </x:c>
      <x:c r="O702" s="8" t="n">
        <x:f>ABS(M702)</x:f>
        <x:v>5</x:v>
      </x:c>
      <x:c r="P702" s="7" t="n">
        <x:v>45217</x:v>
      </x:c>
    </x:row>
    <x:row r="703" ht="26" customHeight="1">
      <x:c r="A703" s="2"/>
      <x:c r="B703" s="2" t="n">
        <x:v>698</x:v>
      </x:c>
      <x:c r="C703" s="2" t="str">
        <x:v>Fabric &amp; Home Care / price_contribution</x:v>
      </x:c>
      <x:c r="D703" s="7" t="n">
        <x:v>45199</x:v>
      </x:c>
      <x:c r="E703" s="2" t="str">
        <x:v>Origin</x:v>
      </x:c>
      <x:c r="F703" s="7" t="n">
        <x:v>45108</x:v>
      </x:c>
      <x:c r="G703" s="2" t="str">
        <x:v>Four-quarter mean</x:v>
      </x:c>
      <x:c r="H703" s="8" t="n">
        <x:f>AVERAGE('PG facts'!D44,'PG facts'!D51,'PG facts'!D58,'PG facts'!D65)</x:f>
        <x:v>11.75</x:v>
      </x:c>
      <x:c r="I703" s="8" t="n">
        <x:f>0</x:f>
        <x:v>0</x:v>
      </x:c>
      <x:c r="J703" s="8" t="n">
        <x:v>0</x:v>
      </x:c>
      <x:c r="K703" s="8" t="n">
        <x:f>H703-I703*J703</x:f>
        <x:v>11.75</x:v>
      </x:c>
      <x:c r="L703" s="8" t="n">
        <x:f>'PG facts'!D79</x:f>
        <x:v>8</x:v>
      </x:c>
      <x:c r="M703" s="8" t="n">
        <x:f>K703-L703</x:f>
        <x:v>3.75</x:v>
      </x:c>
      <x:c r="N703" s="8" t="n">
        <x:f>M703^2</x:f>
        <x:v>14.0625</x:v>
      </x:c>
      <x:c r="O703" s="8" t="n">
        <x:f>ABS(M703)</x:f>
        <x:v>3.75</x:v>
      </x:c>
      <x:c r="P703" s="7" t="n">
        <x:v>45217</x:v>
      </x:c>
    </x:row>
    <x:row r="704" ht="26" customHeight="1">
      <x:c r="A704" s="2"/>
      <x:c r="B704" s="2" t="n">
        <x:v>699</x:v>
      </x:c>
      <x:c r="C704" s="2" t="str">
        <x:v>Fabric &amp; Home Care / price_contribution</x:v>
      </x:c>
      <x:c r="D704" s="7" t="n">
        <x:v>45199</x:v>
      </x:c>
      <x:c r="E704" s="2" t="str">
        <x:v>Origin</x:v>
      </x:c>
      <x:c r="F704" s="7" t="n">
        <x:v>45108</x:v>
      </x:c>
      <x:c r="G704" s="2" t="str">
        <x:v>Broad market</x:v>
      </x:c>
      <x:c r="H704" s="8" t="n">
        <x:f>'Model fits'!AA480</x:f>
        <x:v>13.284311932446885</x:v>
      </x:c>
      <x:c r="I704" s="8" t="n">
        <x:f>0</x:f>
        <x:v>0</x:v>
      </x:c>
      <x:c r="J704" s="8" t="n">
        <x:v>0</x:v>
      </x:c>
      <x:c r="K704" s="8" t="n">
        <x:f>H704-I704*J704</x:f>
        <x:v>13.284311932446885</x:v>
      </x:c>
      <x:c r="L704" s="8" t="n">
        <x:f>'PG facts'!D79</x:f>
        <x:v>8</x:v>
      </x:c>
      <x:c r="M704" s="8" t="n">
        <x:f>K704-L704</x:f>
        <x:v>5.284311932446885</x:v>
      </x:c>
      <x:c r="N704" s="8" t="n">
        <x:f>M704^2</x:f>
        <x:v>27.92395259940053</x:v>
      </x:c>
      <x:c r="O704" s="8" t="n">
        <x:f>ABS(M704)</x:f>
        <x:v>5.284311932446885</x:v>
      </x:c>
      <x:c r="P704" s="7" t="n">
        <x:v>45217</x:v>
      </x:c>
    </x:row>
    <x:row r="705" ht="26" customHeight="1">
      <x:c r="A705" s="2"/>
      <x:c r="B705" s="2" t="n">
        <x:v>700</x:v>
      </x:c>
      <x:c r="C705" s="2" t="str">
        <x:v>Fabric &amp; Home Care / price_contribution</x:v>
      </x:c>
      <x:c r="D705" s="7" t="n">
        <x:v>45199</x:v>
      </x:c>
      <x:c r="E705" s="2" t="str">
        <x:v>Origin</x:v>
      </x:c>
      <x:c r="F705" s="7" t="n">
        <x:v>45108</x:v>
      </x:c>
      <x:c r="G705" s="2" t="str">
        <x:v>Broad rolling 8</x:v>
      </x:c>
      <x:c r="H705" s="8" t="n">
        <x:f>'Model fits'!AA481</x:f>
        <x:v>13.289968844160978</x:v>
      </x:c>
      <x:c r="I705" s="8" t="n">
        <x:f>0</x:f>
        <x:v>0</x:v>
      </x:c>
      <x:c r="J705" s="8" t="n">
        <x:v>0</x:v>
      </x:c>
      <x:c r="K705" s="8" t="n">
        <x:f>H705-I705*J705</x:f>
        <x:v>13.289968844160978</x:v>
      </x:c>
      <x:c r="L705" s="8" t="n">
        <x:f>'PG facts'!D79</x:f>
        <x:v>8</x:v>
      </x:c>
      <x:c r="M705" s="8" t="n">
        <x:f>K705-L705</x:f>
        <x:v>5.289968844160978</x:v>
      </x:c>
      <x:c r="N705" s="8" t="n">
        <x:f>M705^2</x:f>
        <x:v>27.983770372193828</x:v>
      </x:c>
      <x:c r="O705" s="8" t="n">
        <x:f>ABS(M705)</x:f>
        <x:v>5.289968844160978</x:v>
      </x:c>
      <x:c r="P705" s="7" t="n">
        <x:v>45217</x:v>
      </x:c>
    </x:row>
    <x:row r="706" ht="26" customHeight="1">
      <x:c r="A706" s="2"/>
      <x:c r="B706" s="2" t="n">
        <x:v>701</x:v>
      </x:c>
      <x:c r="C706" s="2" t="str">
        <x:v>Fabric &amp; Home Care / price_contribution</x:v>
      </x:c>
      <x:c r="D706" s="7" t="n">
        <x:v>45199</x:v>
      </x:c>
      <x:c r="E706" s="2" t="str">
        <x:v>Prior report</x:v>
      </x:c>
      <x:c r="F706" s="7" t="n">
        <x:v>45135</x:v>
      </x:c>
      <x:c r="G706" s="2" t="str">
        <x:v>Last actual</x:v>
      </x:c>
      <x:c r="H706" s="8" t="n">
        <x:f>AVERAGE('PG facts'!D72)</x:f>
        <x:v>6</x:v>
      </x:c>
      <x:c r="I706" s="8" t="n">
        <x:f>0</x:f>
        <x:v>0</x:v>
      </x:c>
      <x:c r="J706" s="8" t="n">
        <x:v>0</x:v>
      </x:c>
      <x:c r="K706" s="8" t="n">
        <x:f>H706-I706*J706</x:f>
        <x:v>6</x:v>
      </x:c>
      <x:c r="L706" s="8" t="n">
        <x:f>'PG facts'!D79</x:f>
        <x:v>8</x:v>
      </x:c>
      <x:c r="M706" s="8" t="n">
        <x:f>K706-L706</x:f>
        <x:v>-2</x:v>
      </x:c>
      <x:c r="N706" s="8" t="n">
        <x:f>M706^2</x:f>
        <x:v>4</x:v>
      </x:c>
      <x:c r="O706" s="8" t="n">
        <x:f>ABS(M706)</x:f>
        <x:v>2</x:v>
      </x:c>
      <x:c r="P706" s="7" t="n">
        <x:v>45217</x:v>
      </x:c>
    </x:row>
    <x:row r="707" ht="26" customHeight="1">
      <x:c r="A707" s="2"/>
      <x:c r="B707" s="2" t="n">
        <x:v>702</x:v>
      </x:c>
      <x:c r="C707" s="2" t="str">
        <x:v>Fabric &amp; Home Care / price_contribution</x:v>
      </x:c>
      <x:c r="D707" s="7" t="n">
        <x:v>45199</x:v>
      </x:c>
      <x:c r="E707" s="2" t="str">
        <x:v>Prior report</x:v>
      </x:c>
      <x:c r="F707" s="7" t="n">
        <x:v>45135</x:v>
      </x:c>
      <x:c r="G707" s="2" t="str">
        <x:v>Four-quarter mean</x:v>
      </x:c>
      <x:c r="H707" s="8" t="n">
        <x:f>AVERAGE('PG facts'!D51,'PG facts'!D58,'PG facts'!D65,'PG facts'!D72)</x:f>
        <x:v>10.75</x:v>
      </x:c>
      <x:c r="I707" s="8" t="n">
        <x:f>0</x:f>
        <x:v>0</x:v>
      </x:c>
      <x:c r="J707" s="8" t="n">
        <x:v>0</x:v>
      </x:c>
      <x:c r="K707" s="8" t="n">
        <x:f>H707-I707*J707</x:f>
        <x:v>10.75</x:v>
      </x:c>
      <x:c r="L707" s="8" t="n">
        <x:f>'PG facts'!D79</x:f>
        <x:v>8</x:v>
      </x:c>
      <x:c r="M707" s="8" t="n">
        <x:f>K707-L707</x:f>
        <x:v>2.75</x:v>
      </x:c>
      <x:c r="N707" s="8" t="n">
        <x:f>M707^2</x:f>
        <x:v>7.5625</x:v>
      </x:c>
      <x:c r="O707" s="8" t="n">
        <x:f>ABS(M707)</x:f>
        <x:v>2.75</x:v>
      </x:c>
      <x:c r="P707" s="7" t="n">
        <x:v>45217</x:v>
      </x:c>
    </x:row>
    <x:row r="708" ht="26" customHeight="1">
      <x:c r="A708" s="2"/>
      <x:c r="B708" s="2" t="n">
        <x:v>703</x:v>
      </x:c>
      <x:c r="C708" s="2" t="str">
        <x:v>Fabric &amp; Home Care / price_contribution</x:v>
      </x:c>
      <x:c r="D708" s="7" t="n">
        <x:v>45199</x:v>
      </x:c>
      <x:c r="E708" s="2" t="str">
        <x:v>Prior report</x:v>
      </x:c>
      <x:c r="F708" s="7" t="n">
        <x:v>45135</x:v>
      </x:c>
      <x:c r="G708" s="2" t="str">
        <x:v>Broad market</x:v>
      </x:c>
      <x:c r="H708" s="8" t="n">
        <x:f>'Model fits'!AA482</x:f>
        <x:v>11.553556392986035</x:v>
      </x:c>
      <x:c r="I708" s="8" t="n">
        <x:f>0</x:f>
        <x:v>0</x:v>
      </x:c>
      <x:c r="J708" s="8" t="n">
        <x:v>0</x:v>
      </x:c>
      <x:c r="K708" s="8" t="n">
        <x:f>H708-I708*J708</x:f>
        <x:v>11.553556392986035</x:v>
      </x:c>
      <x:c r="L708" s="8" t="n">
        <x:f>'PG facts'!D79</x:f>
        <x:v>8</x:v>
      </x:c>
      <x:c r="M708" s="8" t="n">
        <x:f>K708-L708</x:f>
        <x:v>3.553556392986035</x:v>
      </x:c>
      <x:c r="N708" s="8" t="n">
        <x:f>M708^2</x:f>
        <x:v>12.62776303813192</x:v>
      </x:c>
      <x:c r="O708" s="8" t="n">
        <x:f>ABS(M708)</x:f>
        <x:v>3.553556392986035</x:v>
      </x:c>
      <x:c r="P708" s="7" t="n">
        <x:v>45217</x:v>
      </x:c>
    </x:row>
    <x:row r="709" ht="26" customHeight="1">
      <x:c r="A709" s="2"/>
      <x:c r="B709" s="2" t="n">
        <x:v>704</x:v>
      </x:c>
      <x:c r="C709" s="2" t="str">
        <x:v>Fabric &amp; Home Care / price_contribution</x:v>
      </x:c>
      <x:c r="D709" s="7" t="n">
        <x:v>45199</x:v>
      </x:c>
      <x:c r="E709" s="2" t="str">
        <x:v>Prior report</x:v>
      </x:c>
      <x:c r="F709" s="7" t="n">
        <x:v>45135</x:v>
      </x:c>
      <x:c r="G709" s="2" t="str">
        <x:v>Broad lag 1</x:v>
      </x:c>
      <x:c r="H709" s="8" t="n">
        <x:f>'Model fits'!AA483</x:f>
        <x:v>11.948125102249053</x:v>
      </x:c>
      <x:c r="I709" s="8" t="n">
        <x:f>0</x:f>
        <x:v>0</x:v>
      </x:c>
      <x:c r="J709" s="8" t="n">
        <x:v>0</x:v>
      </x:c>
      <x:c r="K709" s="8" t="n">
        <x:f>H709-I709*J709</x:f>
        <x:v>11.948125102249053</x:v>
      </x:c>
      <x:c r="L709" s="8" t="n">
        <x:f>'PG facts'!D79</x:f>
        <x:v>8</x:v>
      </x:c>
      <x:c r="M709" s="8" t="n">
        <x:f>K709-L709</x:f>
        <x:v>3.948125102249053</x:v>
      </x:c>
      <x:c r="N709" s="8" t="n">
        <x:f>M709^2</x:f>
        <x:v>15.587691823009095</x:v>
      </x:c>
      <x:c r="O709" s="8" t="n">
        <x:f>ABS(M709)</x:f>
        <x:v>3.948125102249053</x:v>
      </x:c>
      <x:c r="P709" s="7" t="n">
        <x:v>45217</x:v>
      </x:c>
    </x:row>
    <x:row r="710" ht="26" customHeight="1">
      <x:c r="A710" s="2"/>
      <x:c r="B710" s="2" t="n">
        <x:v>705</x:v>
      </x:c>
      <x:c r="C710" s="2" t="str">
        <x:v>Fabric &amp; Home Care / price_contribution</x:v>
      </x:c>
      <x:c r="D710" s="7" t="n">
        <x:v>45199</x:v>
      </x:c>
      <x:c r="E710" s="2" t="str">
        <x:v>Prior report</x:v>
      </x:c>
      <x:c r="F710" s="7" t="n">
        <x:v>45135</x:v>
      </x:c>
      <x:c r="G710" s="2" t="str">
        <x:v>Broad rolling 8</x:v>
      </x:c>
      <x:c r="H710" s="8" t="n">
        <x:f>'Model fits'!AA484</x:f>
        <x:v>11.433751631297202</x:v>
      </x:c>
      <x:c r="I710" s="8" t="n">
        <x:f>0</x:f>
        <x:v>0</x:v>
      </x:c>
      <x:c r="J710" s="8" t="n">
        <x:v>0</x:v>
      </x:c>
      <x:c r="K710" s="8" t="n">
        <x:f>H710-I710*J710</x:f>
        <x:v>11.433751631297202</x:v>
      </x:c>
      <x:c r="L710" s="8" t="n">
        <x:f>'PG facts'!D79</x:f>
        <x:v>8</x:v>
      </x:c>
      <x:c r="M710" s="8" t="n">
        <x:f>K710-L710</x:f>
        <x:v>3.433751631297202</x:v>
      </x:c>
      <x:c r="N710" s="8" t="n">
        <x:f>M710^2</x:f>
        <x:v>11.790650265436197</x:v>
      </x:c>
      <x:c r="O710" s="8" t="n">
        <x:f>ABS(M710)</x:f>
        <x:v>3.433751631297202</x:v>
      </x:c>
      <x:c r="P710" s="7" t="n">
        <x:v>45217</x:v>
      </x:c>
    </x:row>
    <x:row r="711" ht="26" customHeight="1">
      <x:c r="A711" s="2"/>
      <x:c r="B711" s="2" t="n">
        <x:v>706</x:v>
      </x:c>
      <x:c r="C711" s="2" t="str">
        <x:v>Fabric &amp; Home Care / price_contribution</x:v>
      </x:c>
      <x:c r="D711" s="7" t="n">
        <x:v>45199</x:v>
      </x:c>
      <x:c r="E711" s="2" t="str">
        <x:v>Prior report</x:v>
      </x:c>
      <x:c r="F711" s="7" t="n">
        <x:v>45135</x:v>
      </x:c>
      <x:c r="G711" s="2" t="str">
        <x:v>Own history</x:v>
      </x:c>
      <x:c r="H711" s="8" t="n">
        <x:f>'Model fits'!AA485</x:f>
        <x:v>6.56</x:v>
      </x:c>
      <x:c r="I711" s="8" t="n">
        <x:f>0</x:f>
        <x:v>0</x:v>
      </x:c>
      <x:c r="J711" s="8" t="n">
        <x:v>0</x:v>
      </x:c>
      <x:c r="K711" s="8" t="n">
        <x:f>H711-I711*J711</x:f>
        <x:v>6.56</x:v>
      </x:c>
      <x:c r="L711" s="8" t="n">
        <x:f>'PG facts'!D79</x:f>
        <x:v>8</x:v>
      </x:c>
      <x:c r="M711" s="8" t="n">
        <x:f>K711-L711</x:f>
        <x:v>-1.4400000000000004</x:v>
      </x:c>
      <x:c r="N711" s="8" t="n">
        <x:f>M711^2</x:f>
        <x:v>2.073600000000001</x:v>
      </x:c>
      <x:c r="O711" s="8" t="n">
        <x:f>ABS(M711)</x:f>
        <x:v>1.4400000000000004</x:v>
      </x:c>
      <x:c r="P711" s="7" t="n">
        <x:v>45217</x:v>
      </x:c>
    </x:row>
    <x:row r="712" ht="26" customHeight="1">
      <x:c r="A712" s="2"/>
      <x:c r="B712" s="2" t="n">
        <x:v>707</x:v>
      </x:c>
      <x:c r="C712" s="2" t="str">
        <x:v>Fabric &amp; Home Care / price_contribution</x:v>
      </x:c>
      <x:c r="D712" s="7" t="n">
        <x:v>45199</x:v>
      </x:c>
      <x:c r="E712" s="2" t="str">
        <x:v>Pre-earnings</x:v>
      </x:c>
      <x:c r="F712" s="7" t="n">
        <x:v>45216</x:v>
      </x:c>
      <x:c r="G712" s="2" t="str">
        <x:v>Last actual</x:v>
      </x:c>
      <x:c r="H712" s="8" t="n">
        <x:f>AVERAGE('PG facts'!D72)</x:f>
        <x:v>6</x:v>
      </x:c>
      <x:c r="I712" s="8" t="n">
        <x:f>0</x:f>
        <x:v>0</x:v>
      </x:c>
      <x:c r="J712" s="8" t="n">
        <x:v>0</x:v>
      </x:c>
      <x:c r="K712" s="8" t="n">
        <x:f>H712-I712*J712</x:f>
        <x:v>6</x:v>
      </x:c>
      <x:c r="L712" s="8" t="n">
        <x:f>'PG facts'!D79</x:f>
        <x:v>8</x:v>
      </x:c>
      <x:c r="M712" s="8" t="n">
        <x:f>K712-L712</x:f>
        <x:v>-2</x:v>
      </x:c>
      <x:c r="N712" s="8" t="n">
        <x:f>M712^2</x:f>
        <x:v>4</x:v>
      </x:c>
      <x:c r="O712" s="8" t="n">
        <x:f>ABS(M712)</x:f>
        <x:v>2</x:v>
      </x:c>
      <x:c r="P712" s="7" t="n">
        <x:v>45217</x:v>
      </x:c>
    </x:row>
    <x:row r="713" ht="26" customHeight="1">
      <x:c r="A713" s="2"/>
      <x:c r="B713" s="2" t="n">
        <x:v>708</x:v>
      </x:c>
      <x:c r="C713" s="2" t="str">
        <x:v>Fabric &amp; Home Care / price_contribution</x:v>
      </x:c>
      <x:c r="D713" s="7" t="n">
        <x:v>45199</x:v>
      </x:c>
      <x:c r="E713" s="2" t="str">
        <x:v>Pre-earnings</x:v>
      </x:c>
      <x:c r="F713" s="7" t="n">
        <x:v>45216</x:v>
      </x:c>
      <x:c r="G713" s="2" t="str">
        <x:v>Four-quarter mean</x:v>
      </x:c>
      <x:c r="H713" s="8" t="n">
        <x:f>AVERAGE('PG facts'!D51,'PG facts'!D58,'PG facts'!D65,'PG facts'!D72)</x:f>
        <x:v>10.75</x:v>
      </x:c>
      <x:c r="I713" s="8" t="n">
        <x:f>0</x:f>
        <x:v>0</x:v>
      </x:c>
      <x:c r="J713" s="8" t="n">
        <x:v>0</x:v>
      </x:c>
      <x:c r="K713" s="8" t="n">
        <x:f>H713-I713*J713</x:f>
        <x:v>10.75</x:v>
      </x:c>
      <x:c r="L713" s="8" t="n">
        <x:f>'PG facts'!D79</x:f>
        <x:v>8</x:v>
      </x:c>
      <x:c r="M713" s="8" t="n">
        <x:f>K713-L713</x:f>
        <x:v>2.75</x:v>
      </x:c>
      <x:c r="N713" s="8" t="n">
        <x:f>M713^2</x:f>
        <x:v>7.5625</x:v>
      </x:c>
      <x:c r="O713" s="8" t="n">
        <x:f>ABS(M713)</x:f>
        <x:v>2.75</x:v>
      </x:c>
      <x:c r="P713" s="7" t="n">
        <x:v>45217</x:v>
      </x:c>
    </x:row>
    <x:row r="714" ht="26" customHeight="1">
      <x:c r="A714" s="2"/>
      <x:c r="B714" s="2" t="n">
        <x:v>709</x:v>
      </x:c>
      <x:c r="C714" s="2" t="str">
        <x:v>Fabric &amp; Home Care / price_contribution</x:v>
      </x:c>
      <x:c r="D714" s="7" t="n">
        <x:v>45199</x:v>
      </x:c>
      <x:c r="E714" s="2" t="str">
        <x:v>Pre-earnings</x:v>
      </x:c>
      <x:c r="F714" s="7" t="n">
        <x:v>45216</x:v>
      </x:c>
      <x:c r="G714" s="2" t="str">
        <x:v>Broad market</x:v>
      </x:c>
      <x:c r="H714" s="8" t="n">
        <x:f>'Model fits'!AA486</x:f>
        <x:v>9.566711541989324</x:v>
      </x:c>
      <x:c r="I714" s="8" t="n">
        <x:f>0</x:f>
        <x:v>0</x:v>
      </x:c>
      <x:c r="J714" s="8" t="n">
        <x:v>0</x:v>
      </x:c>
      <x:c r="K714" s="8" t="n">
        <x:f>H714-I714*J714</x:f>
        <x:v>9.566711541989324</x:v>
      </x:c>
      <x:c r="L714" s="8" t="n">
        <x:f>'PG facts'!D79</x:f>
        <x:v>8</x:v>
      </x:c>
      <x:c r="M714" s="8" t="n">
        <x:f>K714-L714</x:f>
        <x:v>1.5667115419893243</x:v>
      </x:c>
      <x:c r="N714" s="8" t="n">
        <x:f>M714^2</x:f>
        <x:v>2.4545850558025664</x:v>
      </x:c>
      <x:c r="O714" s="8" t="n">
        <x:f>ABS(M714)</x:f>
        <x:v>1.5667115419893243</x:v>
      </x:c>
      <x:c r="P714" s="7" t="n">
        <x:v>45217</x:v>
      </x:c>
    </x:row>
    <x:row r="715" ht="26" customHeight="1">
      <x:c r="A715" s="2"/>
      <x:c r="B715" s="2" t="n">
        <x:v>710</x:v>
      </x:c>
      <x:c r="C715" s="2" t="str">
        <x:v>Fabric &amp; Home Care / price_contribution</x:v>
      </x:c>
      <x:c r="D715" s="7" t="n">
        <x:v>45199</x:v>
      </x:c>
      <x:c r="E715" s="2" t="str">
        <x:v>Pre-earnings</x:v>
      </x:c>
      <x:c r="F715" s="7" t="n">
        <x:v>45216</x:v>
      </x:c>
      <x:c r="G715" s="2" t="str">
        <x:v>Broad lag 1</x:v>
      </x:c>
      <x:c r="H715" s="8" t="n">
        <x:f>'Model fits'!AA487</x:f>
        <x:v>11.948125102249053</x:v>
      </x:c>
      <x:c r="I715" s="8" t="n">
        <x:f>0</x:f>
        <x:v>0</x:v>
      </x:c>
      <x:c r="J715" s="8" t="n">
        <x:v>0</x:v>
      </x:c>
      <x:c r="K715" s="8" t="n">
        <x:f>H715-I715*J715</x:f>
        <x:v>11.948125102249053</x:v>
      </x:c>
      <x:c r="L715" s="8" t="n">
        <x:f>'PG facts'!D79</x:f>
        <x:v>8</x:v>
      </x:c>
      <x:c r="M715" s="8" t="n">
        <x:f>K715-L715</x:f>
        <x:v>3.948125102249053</x:v>
      </x:c>
      <x:c r="N715" s="8" t="n">
        <x:f>M715^2</x:f>
        <x:v>15.587691823009095</x:v>
      </x:c>
      <x:c r="O715" s="8" t="n">
        <x:f>ABS(M715)</x:f>
        <x:v>3.948125102249053</x:v>
      </x:c>
      <x:c r="P715" s="7" t="n">
        <x:v>45217</x:v>
      </x:c>
    </x:row>
    <x:row r="716" ht="26" customHeight="1">
      <x:c r="A716" s="2"/>
      <x:c r="B716" s="2" t="n">
        <x:v>711</x:v>
      </x:c>
      <x:c r="C716" s="2" t="str">
        <x:v>Fabric &amp; Home Care / price_contribution</x:v>
      </x:c>
      <x:c r="D716" s="7" t="n">
        <x:v>45199</x:v>
      </x:c>
      <x:c r="E716" s="2" t="str">
        <x:v>Pre-earnings</x:v>
      </x:c>
      <x:c r="F716" s="7" t="n">
        <x:v>45216</x:v>
      </x:c>
      <x:c r="G716" s="2" t="str">
        <x:v>Broad rolling 8</x:v>
      </x:c>
      <x:c r="H716" s="8" t="n">
        <x:f>'Model fits'!AA488</x:f>
        <x:v>9.65271415776845</x:v>
      </x:c>
      <x:c r="I716" s="8" t="n">
        <x:f>0</x:f>
        <x:v>0</x:v>
      </x:c>
      <x:c r="J716" s="8" t="n">
        <x:v>0</x:v>
      </x:c>
      <x:c r="K716" s="8" t="n">
        <x:f>H716-I716*J716</x:f>
        <x:v>9.65271415776845</x:v>
      </x:c>
      <x:c r="L716" s="8" t="n">
        <x:f>'PG facts'!D79</x:f>
        <x:v>8</x:v>
      </x:c>
      <x:c r="M716" s="8" t="n">
        <x:f>K716-L716</x:f>
        <x:v>1.6527141577684503</x:v>
      </x:c>
      <x:c r="N716" s="8" t="n">
        <x:f>M716^2</x:f>
        <x:v>2.7314640872882783</x:v>
      </x:c>
      <x:c r="O716" s="8" t="n">
        <x:f>ABS(M716)</x:f>
        <x:v>1.6527141577684503</x:v>
      </x:c>
      <x:c r="P716" s="7" t="n">
        <x:v>45217</x:v>
      </x:c>
    </x:row>
    <x:row r="717" ht="26" customHeight="1">
      <x:c r="A717" s="2"/>
      <x:c r="B717" s="2" t="n">
        <x:v>712</x:v>
      </x:c>
      <x:c r="C717" s="2" t="str">
        <x:v>Fabric &amp; Home Care / price_contribution</x:v>
      </x:c>
      <x:c r="D717" s="7" t="n">
        <x:v>45199</x:v>
      </x:c>
      <x:c r="E717" s="2" t="str">
        <x:v>Pre-earnings</x:v>
      </x:c>
      <x:c r="F717" s="7" t="n">
        <x:v>45216</x:v>
      </x:c>
      <x:c r="G717" s="2" t="str">
        <x:v>Own history</x:v>
      </x:c>
      <x:c r="H717" s="8" t="n">
        <x:f>'Model fits'!AA489</x:f>
        <x:v>6.56</x:v>
      </x:c>
      <x:c r="I717" s="8" t="n">
        <x:f>0</x:f>
        <x:v>0</x:v>
      </x:c>
      <x:c r="J717" s="8" t="n">
        <x:v>0</x:v>
      </x:c>
      <x:c r="K717" s="8" t="n">
        <x:f>H717-I717*J717</x:f>
        <x:v>6.56</x:v>
      </x:c>
      <x:c r="L717" s="8" t="n">
        <x:f>'PG facts'!D79</x:f>
        <x:v>8</x:v>
      </x:c>
      <x:c r="M717" s="8" t="n">
        <x:f>K717-L717</x:f>
        <x:v>-1.4400000000000004</x:v>
      </x:c>
      <x:c r="N717" s="8" t="n">
        <x:f>M717^2</x:f>
        <x:v>2.073600000000001</x:v>
      </x:c>
      <x:c r="O717" s="8" t="n">
        <x:f>ABS(M717)</x:f>
        <x:v>1.4400000000000004</x:v>
      </x:c>
      <x:c r="P717" s="7" t="n">
        <x:v>45217</x:v>
      </x:c>
    </x:row>
    <x:row r="718" ht="26" customHeight="1">
      <x:c r="A718" s="2"/>
      <x:c r="B718" s="2" t="n">
        <x:v>713</x:v>
      </x:c>
      <x:c r="C718" s="2" t="str">
        <x:v>Fabric &amp; Home Care / price_contribution</x:v>
      </x:c>
      <x:c r="D718" s="7" t="n">
        <x:v>45291</x:v>
      </x:c>
      <x:c r="E718" s="2" t="str">
        <x:v>Origin</x:v>
      </x:c>
      <x:c r="F718" s="7" t="n">
        <x:v>45200</x:v>
      </x:c>
      <x:c r="G718" s="2" t="str">
        <x:v>Last actual</x:v>
      </x:c>
      <x:c r="H718" s="8" t="n">
        <x:f>AVERAGE('PG facts'!D72)</x:f>
        <x:v>6</x:v>
      </x:c>
      <x:c r="I718" s="8" t="n">
        <x:f>0</x:f>
        <x:v>0</x:v>
      </x:c>
      <x:c r="J718" s="8" t="n">
        <x:v>0</x:v>
      </x:c>
      <x:c r="K718" s="8" t="n">
        <x:f>H718-I718*J718</x:f>
        <x:v>6</x:v>
      </x:c>
      <x:c r="L718" s="8" t="n">
        <x:f>'PG facts'!D86</x:f>
        <x:v>4</x:v>
      </x:c>
      <x:c r="M718" s="8" t="n">
        <x:f>K718-L718</x:f>
        <x:v>2</x:v>
      </x:c>
      <x:c r="N718" s="8" t="n">
        <x:f>M718^2</x:f>
        <x:v>4</x:v>
      </x:c>
      <x:c r="O718" s="8" t="n">
        <x:f>ABS(M718)</x:f>
        <x:v>2</x:v>
      </x:c>
      <x:c r="P718" s="7" t="n">
        <x:v>45314</x:v>
      </x:c>
    </x:row>
    <x:row r="719" ht="26" customHeight="1">
      <x:c r="A719" s="2"/>
      <x:c r="B719" s="2" t="n">
        <x:v>714</x:v>
      </x:c>
      <x:c r="C719" s="2" t="str">
        <x:v>Fabric &amp; Home Care / price_contribution</x:v>
      </x:c>
      <x:c r="D719" s="7" t="n">
        <x:v>45291</x:v>
      </x:c>
      <x:c r="E719" s="2" t="str">
        <x:v>Origin</x:v>
      </x:c>
      <x:c r="F719" s="7" t="n">
        <x:v>45200</x:v>
      </x:c>
      <x:c r="G719" s="2" t="str">
        <x:v>Four-quarter mean</x:v>
      </x:c>
      <x:c r="H719" s="8" t="n">
        <x:f>AVERAGE('PG facts'!D51,'PG facts'!D58,'PG facts'!D65,'PG facts'!D72)</x:f>
        <x:v>10.75</x:v>
      </x:c>
      <x:c r="I719" s="8" t="n">
        <x:f>0</x:f>
        <x:v>0</x:v>
      </x:c>
      <x:c r="J719" s="8" t="n">
        <x:v>0</x:v>
      </x:c>
      <x:c r="K719" s="8" t="n">
        <x:f>H719-I719*J719</x:f>
        <x:v>10.75</x:v>
      </x:c>
      <x:c r="L719" s="8" t="n">
        <x:f>'PG facts'!D86</x:f>
        <x:v>4</x:v>
      </x:c>
      <x:c r="M719" s="8" t="n">
        <x:f>K719-L719</x:f>
        <x:v>6.75</x:v>
      </x:c>
      <x:c r="N719" s="8" t="n">
        <x:f>M719^2</x:f>
        <x:v>45.5625</x:v>
      </x:c>
      <x:c r="O719" s="8" t="n">
        <x:f>ABS(M719)</x:f>
        <x:v>6.75</x:v>
      </x:c>
      <x:c r="P719" s="7" t="n">
        <x:v>45314</x:v>
      </x:c>
    </x:row>
    <x:row r="720" ht="26" customHeight="1">
      <x:c r="A720" s="2"/>
      <x:c r="B720" s="2" t="n">
        <x:v>715</x:v>
      </x:c>
      <x:c r="C720" s="2" t="str">
        <x:v>Fabric &amp; Home Care / price_contribution</x:v>
      </x:c>
      <x:c r="D720" s="7" t="n">
        <x:v>45291</x:v>
      </x:c>
      <x:c r="E720" s="2" t="str">
        <x:v>Origin</x:v>
      </x:c>
      <x:c r="F720" s="7" t="n">
        <x:v>45200</x:v>
      </x:c>
      <x:c r="G720" s="2" t="str">
        <x:v>Broad market</x:v>
      </x:c>
      <x:c r="H720" s="8" t="n">
        <x:f>'Model fits'!AA490</x:f>
        <x:v>10.35606644607289</x:v>
      </x:c>
      <x:c r="I720" s="8" t="n">
        <x:f>0</x:f>
        <x:v>0</x:v>
      </x:c>
      <x:c r="J720" s="8" t="n">
        <x:v>0</x:v>
      </x:c>
      <x:c r="K720" s="8" t="n">
        <x:f>H720-I720*J720</x:f>
        <x:v>10.35606644607289</x:v>
      </x:c>
      <x:c r="L720" s="8" t="n">
        <x:f>'PG facts'!D86</x:f>
        <x:v>4</x:v>
      </x:c>
      <x:c r="M720" s="8" t="n">
        <x:f>K720-L720</x:f>
        <x:v>6.356066446072891</x:v>
      </x:c>
      <x:c r="N720" s="8" t="n">
        <x:f>M720^2</x:f>
        <x:v>40.39958066689367</x:v>
      </x:c>
      <x:c r="O720" s="8" t="n">
        <x:f>ABS(M720)</x:f>
        <x:v>6.356066446072891</x:v>
      </x:c>
      <x:c r="P720" s="7" t="n">
        <x:v>45314</x:v>
      </x:c>
    </x:row>
    <x:row r="721" ht="26" customHeight="1">
      <x:c r="A721" s="2"/>
      <x:c r="B721" s="2" t="n">
        <x:v>716</x:v>
      </x:c>
      <x:c r="C721" s="2" t="str">
        <x:v>Fabric &amp; Home Care / price_contribution</x:v>
      </x:c>
      <x:c r="D721" s="7" t="n">
        <x:v>45291</x:v>
      </x:c>
      <x:c r="E721" s="2" t="str">
        <x:v>Origin</x:v>
      </x:c>
      <x:c r="F721" s="7" t="n">
        <x:v>45200</x:v>
      </x:c>
      <x:c r="G721" s="2" t="str">
        <x:v>Broad rolling 8</x:v>
      </x:c>
      <x:c r="H721" s="8" t="n">
        <x:f>'Model fits'!AA491</x:f>
        <x:v>10.360303712826695</x:v>
      </x:c>
      <x:c r="I721" s="8" t="n">
        <x:f>0</x:f>
        <x:v>0</x:v>
      </x:c>
      <x:c r="J721" s="8" t="n">
        <x:v>0</x:v>
      </x:c>
      <x:c r="K721" s="8" t="n">
        <x:f>H721-I721*J721</x:f>
        <x:v>10.360303712826695</x:v>
      </x:c>
      <x:c r="L721" s="8" t="n">
        <x:f>'PG facts'!D86</x:f>
        <x:v>4</x:v>
      </x:c>
      <x:c r="M721" s="8" t="n">
        <x:f>K721-L721</x:f>
        <x:v>6.3603037128266955</x:v>
      </x:c>
      <x:c r="N721" s="8" t="n">
        <x:f>M721^2</x:f>
        <x:v>40.453463319397045</x:v>
      </x:c>
      <x:c r="O721" s="8" t="n">
        <x:f>ABS(M721)</x:f>
        <x:v>6.3603037128266955</x:v>
      </x:c>
      <x:c r="P721" s="7" t="n">
        <x:v>45314</x:v>
      </x:c>
    </x:row>
    <x:row r="722" ht="26" customHeight="1">
      <x:c r="A722" s="2"/>
      <x:c r="B722" s="2" t="n">
        <x:v>717</x:v>
      </x:c>
      <x:c r="C722" s="2" t="str">
        <x:v>Fabric &amp; Home Care / price_contribution</x:v>
      </x:c>
      <x:c r="D722" s="7" t="n">
        <x:v>45291</x:v>
      </x:c>
      <x:c r="E722" s="2" t="str">
        <x:v>Origin</x:v>
      </x:c>
      <x:c r="F722" s="7" t="n">
        <x:v>45200</x:v>
      </x:c>
      <x:c r="G722" s="2" t="str">
        <x:v>Own history</x:v>
      </x:c>
      <x:c r="H722" s="8" t="n">
        <x:f>'Model fits'!AA492</x:f>
        <x:v>7.946800862688714</x:v>
      </x:c>
      <x:c r="I722" s="8" t="n">
        <x:f>0</x:f>
        <x:v>0</x:v>
      </x:c>
      <x:c r="J722" s="8" t="n">
        <x:v>0</x:v>
      </x:c>
      <x:c r="K722" s="8" t="n">
        <x:f>H722-I722*J722</x:f>
        <x:v>7.946800862688714</x:v>
      </x:c>
      <x:c r="L722" s="8" t="n">
        <x:f>'PG facts'!D86</x:f>
        <x:v>4</x:v>
      </x:c>
      <x:c r="M722" s="8" t="n">
        <x:f>K722-L722</x:f>
        <x:v>3.946800862688714</x:v>
      </x:c>
      <x:c r="N722" s="8" t="n">
        <x:f>M722^2</x:f>
        <x:v>15.577237049720376</x:v>
      </x:c>
      <x:c r="O722" s="8" t="n">
        <x:f>ABS(M722)</x:f>
        <x:v>3.946800862688714</x:v>
      </x:c>
      <x:c r="P722" s="7" t="n">
        <x:v>45314</x:v>
      </x:c>
    </x:row>
    <x:row r="723" ht="26" customHeight="1">
      <x:c r="A723" s="2"/>
      <x:c r="B723" s="2" t="n">
        <x:v>718</x:v>
      </x:c>
      <x:c r="C723" s="2" t="str">
        <x:v>Fabric &amp; Home Care / price_contribution</x:v>
      </x:c>
      <x:c r="D723" s="7" t="n">
        <x:v>45291</x:v>
      </x:c>
      <x:c r="E723" s="2" t="str">
        <x:v>Prior report</x:v>
      </x:c>
      <x:c r="F723" s="7" t="n">
        <x:v>45217</x:v>
      </x:c>
      <x:c r="G723" s="2" t="str">
        <x:v>Last actual</x:v>
      </x:c>
      <x:c r="H723" s="8" t="n">
        <x:f>AVERAGE('PG facts'!D79)</x:f>
        <x:v>8</x:v>
      </x:c>
      <x:c r="I723" s="8" t="n">
        <x:f>0</x:f>
        <x:v>0</x:v>
      </x:c>
      <x:c r="J723" s="8" t="n">
        <x:v>0</x:v>
      </x:c>
      <x:c r="K723" s="8" t="n">
        <x:f>H723-I723*J723</x:f>
        <x:v>8</x:v>
      </x:c>
      <x:c r="L723" s="8" t="n">
        <x:f>'PG facts'!D86</x:f>
        <x:v>4</x:v>
      </x:c>
      <x:c r="M723" s="8" t="n">
        <x:f>K723-L723</x:f>
        <x:v>4</x:v>
      </x:c>
      <x:c r="N723" s="8" t="n">
        <x:f>M723^2</x:f>
        <x:v>16</x:v>
      </x:c>
      <x:c r="O723" s="8" t="n">
        <x:f>ABS(M723)</x:f>
        <x:v>4</x:v>
      </x:c>
      <x:c r="P723" s="7" t="n">
        <x:v>45314</x:v>
      </x:c>
    </x:row>
    <x:row r="724" ht="26" customHeight="1">
      <x:c r="A724" s="2"/>
      <x:c r="B724" s="2" t="n">
        <x:v>719</x:v>
      </x:c>
      <x:c r="C724" s="2" t="str">
        <x:v>Fabric &amp; Home Care / price_contribution</x:v>
      </x:c>
      <x:c r="D724" s="7" t="n">
        <x:v>45291</x:v>
      </x:c>
      <x:c r="E724" s="2" t="str">
        <x:v>Prior report</x:v>
      </x:c>
      <x:c r="F724" s="7" t="n">
        <x:v>45217</x:v>
      </x:c>
      <x:c r="G724" s="2" t="str">
        <x:v>Four-quarter mean</x:v>
      </x:c>
      <x:c r="H724" s="8" t="n">
        <x:f>AVERAGE('PG facts'!D58,'PG facts'!D65,'PG facts'!D72,'PG facts'!D79)</x:f>
        <x:v>10</x:v>
      </x:c>
      <x:c r="I724" s="8" t="n">
        <x:f>0</x:f>
        <x:v>0</x:v>
      </x:c>
      <x:c r="J724" s="8" t="n">
        <x:v>0</x:v>
      </x:c>
      <x:c r="K724" s="8" t="n">
        <x:f>H724-I724*J724</x:f>
        <x:v>10</x:v>
      </x:c>
      <x:c r="L724" s="8" t="n">
        <x:f>'PG facts'!D86</x:f>
        <x:v>4</x:v>
      </x:c>
      <x:c r="M724" s="8" t="n">
        <x:f>K724-L724</x:f>
        <x:v>6</x:v>
      </x:c>
      <x:c r="N724" s="8" t="n">
        <x:f>M724^2</x:f>
        <x:v>36</x:v>
      </x:c>
      <x:c r="O724" s="8" t="n">
        <x:f>ABS(M724)</x:f>
        <x:v>6</x:v>
      </x:c>
      <x:c r="P724" s="7" t="n">
        <x:v>45314</x:v>
      </x:c>
    </x:row>
    <x:row r="725" ht="26" customHeight="1">
      <x:c r="A725" s="2"/>
      <x:c r="B725" s="2" t="n">
        <x:v>720</x:v>
      </x:c>
      <x:c r="C725" s="2" t="str">
        <x:v>Fabric &amp; Home Care / price_contribution</x:v>
      </x:c>
      <x:c r="D725" s="7" t="n">
        <x:v>45291</x:v>
      </x:c>
      <x:c r="E725" s="2" t="str">
        <x:v>Prior report</x:v>
      </x:c>
      <x:c r="F725" s="7" t="n">
        <x:v>45217</x:v>
      </x:c>
      <x:c r="G725" s="2" t="str">
        <x:v>Broad market</x:v>
      </x:c>
      <x:c r="H725" s="8" t="n">
        <x:f>'Model fits'!AA493</x:f>
        <x:v>9.355597884962036</x:v>
      </x:c>
      <x:c r="I725" s="8" t="n">
        <x:f>0</x:f>
        <x:v>0</x:v>
      </x:c>
      <x:c r="J725" s="8" t="n">
        <x:v>0</x:v>
      </x:c>
      <x:c r="K725" s="8" t="n">
        <x:f>H725-I725*J725</x:f>
        <x:v>9.355597884962036</x:v>
      </x:c>
      <x:c r="L725" s="8" t="n">
        <x:f>'PG facts'!D86</x:f>
        <x:v>4</x:v>
      </x:c>
      <x:c r="M725" s="8" t="n">
        <x:f>K725-L725</x:f>
        <x:v>5.355597884962036</x:v>
      </x:c>
      <x:c r="N725" s="8" t="n">
        <x:f>M725^2</x:f>
        <x:v>28.68242870540983</x:v>
      </x:c>
      <x:c r="O725" s="8" t="n">
        <x:f>ABS(M725)</x:f>
        <x:v>5.355597884962036</x:v>
      </x:c>
      <x:c r="P725" s="7" t="n">
        <x:v>45314</x:v>
      </x:c>
    </x:row>
    <x:row r="726" ht="26" customHeight="1">
      <x:c r="A726" s="2"/>
      <x:c r="B726" s="2" t="n">
        <x:v>721</x:v>
      </x:c>
      <x:c r="C726" s="2" t="str">
        <x:v>Fabric &amp; Home Care / price_contribution</x:v>
      </x:c>
      <x:c r="D726" s="7" t="n">
        <x:v>45291</x:v>
      </x:c>
      <x:c r="E726" s="2" t="str">
        <x:v>Prior report</x:v>
      </x:c>
      <x:c r="F726" s="7" t="n">
        <x:v>45217</x:v>
      </x:c>
      <x:c r="G726" s="2" t="str">
        <x:v>Broad lag 1</x:v>
      </x:c>
      <x:c r="H726" s="8" t="n">
        <x:f>'Model fits'!AA494</x:f>
        <x:v>9.407613702624925</x:v>
      </x:c>
      <x:c r="I726" s="8" t="n">
        <x:f>0</x:f>
        <x:v>0</x:v>
      </x:c>
      <x:c r="J726" s="8" t="n">
        <x:v>0</x:v>
      </x:c>
      <x:c r="K726" s="8" t="n">
        <x:f>H726-I726*J726</x:f>
        <x:v>9.407613702624925</x:v>
      </x:c>
      <x:c r="L726" s="8" t="n">
        <x:f>'PG facts'!D86</x:f>
        <x:v>4</x:v>
      </x:c>
      <x:c r="M726" s="8" t="n">
        <x:f>K726-L726</x:f>
        <x:v>5.407613702624925</x:v>
      </x:c>
      <x:c r="N726" s="8" t="n">
        <x:f>M726^2</x:f>
        <x:v>29.24228595681685</x:v>
      </x:c>
      <x:c r="O726" s="8" t="n">
        <x:f>ABS(M726)</x:f>
        <x:v>5.407613702624925</x:v>
      </x:c>
      <x:c r="P726" s="7" t="n">
        <x:v>45314</x:v>
      </x:c>
    </x:row>
    <x:row r="727" ht="26" customHeight="1">
      <x:c r="A727" s="2"/>
      <x:c r="B727" s="2" t="n">
        <x:v>722</x:v>
      </x:c>
      <x:c r="C727" s="2" t="str">
        <x:v>Fabric &amp; Home Care / price_contribution</x:v>
      </x:c>
      <x:c r="D727" s="7" t="n">
        <x:v>45291</x:v>
      </x:c>
      <x:c r="E727" s="2" t="str">
        <x:v>Prior report</x:v>
      </x:c>
      <x:c r="F727" s="7" t="n">
        <x:v>45217</x:v>
      </x:c>
      <x:c r="G727" s="2" t="str">
        <x:v>Broad rolling 8</x:v>
      </x:c>
      <x:c r="H727" s="8" t="n">
        <x:f>'Model fits'!AA495</x:f>
        <x:v>9.469636987253562</x:v>
      </x:c>
      <x:c r="I727" s="8" t="n">
        <x:f>0</x:f>
        <x:v>0</x:v>
      </x:c>
      <x:c r="J727" s="8" t="n">
        <x:v>0</x:v>
      </x:c>
      <x:c r="K727" s="8" t="n">
        <x:f>H727-I727*J727</x:f>
        <x:v>9.469636987253562</x:v>
      </x:c>
      <x:c r="L727" s="8" t="n">
        <x:f>'PG facts'!D86</x:f>
        <x:v>4</x:v>
      </x:c>
      <x:c r="M727" s="8" t="n">
        <x:f>K727-L727</x:f>
        <x:v>5.469636987253562</x:v>
      </x:c>
      <x:c r="N727" s="8" t="n">
        <x:f>M727^2</x:f>
        <x:v>29.916928772332223</x:v>
      </x:c>
      <x:c r="O727" s="8" t="n">
        <x:f>ABS(M727)</x:f>
        <x:v>5.469636987253562</x:v>
      </x:c>
      <x:c r="P727" s="7" t="n">
        <x:v>45314</x:v>
      </x:c>
    </x:row>
    <x:row r="728" ht="26" customHeight="1">
      <x:c r="A728" s="2"/>
      <x:c r="B728" s="2" t="n">
        <x:v>723</x:v>
      </x:c>
      <x:c r="C728" s="2" t="str">
        <x:v>Fabric &amp; Home Care / price_contribution</x:v>
      </x:c>
      <x:c r="D728" s="7" t="n">
        <x:v>45291</x:v>
      </x:c>
      <x:c r="E728" s="2" t="str">
        <x:v>Prior report</x:v>
      </x:c>
      <x:c r="F728" s="7" t="n">
        <x:v>45217</x:v>
      </x:c>
      <x:c r="G728" s="2" t="str">
        <x:v>Own history</x:v>
      </x:c>
      <x:c r="H728" s="8" t="n">
        <x:f>'Model fits'!AA496</x:f>
        <x:v>8.179856115107913</x:v>
      </x:c>
      <x:c r="I728" s="8" t="n">
        <x:f>0</x:f>
        <x:v>0</x:v>
      </x:c>
      <x:c r="J728" s="8" t="n">
        <x:v>0</x:v>
      </x:c>
      <x:c r="K728" s="8" t="n">
        <x:f>H728-I728*J728</x:f>
        <x:v>8.179856115107913</x:v>
      </x:c>
      <x:c r="L728" s="8" t="n">
        <x:f>'PG facts'!D86</x:f>
        <x:v>4</x:v>
      </x:c>
      <x:c r="M728" s="8" t="n">
        <x:f>K728-L728</x:f>
        <x:v>4.179856115107913</x:v>
      </x:c>
      <x:c r="N728" s="8" t="n">
        <x:f>M728^2</x:f>
        <x:v>17.471197143005018</x:v>
      </x:c>
      <x:c r="O728" s="8" t="n">
        <x:f>ABS(M728)</x:f>
        <x:v>4.179856115107913</x:v>
      </x:c>
      <x:c r="P728" s="7" t="n">
        <x:v>45314</x:v>
      </x:c>
    </x:row>
    <x:row r="729" ht="26" customHeight="1">
      <x:c r="A729" s="2"/>
      <x:c r="B729" s="2" t="n">
        <x:v>724</x:v>
      </x:c>
      <x:c r="C729" s="2" t="str">
        <x:v>Fabric &amp; Home Care / price_contribution</x:v>
      </x:c>
      <x:c r="D729" s="7" t="n">
        <x:v>45291</x:v>
      </x:c>
      <x:c r="E729" s="2" t="str">
        <x:v>Pre-earnings</x:v>
      </x:c>
      <x:c r="F729" s="7" t="n">
        <x:v>45313</x:v>
      </x:c>
      <x:c r="G729" s="2" t="str">
        <x:v>Last actual</x:v>
      </x:c>
      <x:c r="H729" s="8" t="n">
        <x:f>AVERAGE('PG facts'!D79)</x:f>
        <x:v>8</x:v>
      </x:c>
      <x:c r="I729" s="8" t="n">
        <x:f>0</x:f>
        <x:v>0</x:v>
      </x:c>
      <x:c r="J729" s="8" t="n">
        <x:v>0</x:v>
      </x:c>
      <x:c r="K729" s="8" t="n">
        <x:f>H729-I729*J729</x:f>
        <x:v>8</x:v>
      </x:c>
      <x:c r="L729" s="8" t="n">
        <x:f>'PG facts'!D86</x:f>
        <x:v>4</x:v>
      </x:c>
      <x:c r="M729" s="8" t="n">
        <x:f>K729-L729</x:f>
        <x:v>4</x:v>
      </x:c>
      <x:c r="N729" s="8" t="n">
        <x:f>M729^2</x:f>
        <x:v>16</x:v>
      </x:c>
      <x:c r="O729" s="8" t="n">
        <x:f>ABS(M729)</x:f>
        <x:v>4</x:v>
      </x:c>
      <x:c r="P729" s="7" t="n">
        <x:v>45314</x:v>
      </x:c>
    </x:row>
    <x:row r="730" ht="26" customHeight="1">
      <x:c r="A730" s="2"/>
      <x:c r="B730" s="2" t="n">
        <x:v>725</x:v>
      </x:c>
      <x:c r="C730" s="2" t="str">
        <x:v>Fabric &amp; Home Care / price_contribution</x:v>
      </x:c>
      <x:c r="D730" s="7" t="n">
        <x:v>45291</x:v>
      </x:c>
      <x:c r="E730" s="2" t="str">
        <x:v>Pre-earnings</x:v>
      </x:c>
      <x:c r="F730" s="7" t="n">
        <x:v>45313</x:v>
      </x:c>
      <x:c r="G730" s="2" t="str">
        <x:v>Four-quarter mean</x:v>
      </x:c>
      <x:c r="H730" s="8" t="n">
        <x:f>AVERAGE('PG facts'!D58,'PG facts'!D65,'PG facts'!D72,'PG facts'!D79)</x:f>
        <x:v>10</x:v>
      </x:c>
      <x:c r="I730" s="8" t="n">
        <x:f>0</x:f>
        <x:v>0</x:v>
      </x:c>
      <x:c r="J730" s="8" t="n">
        <x:v>0</x:v>
      </x:c>
      <x:c r="K730" s="8" t="n">
        <x:f>H730-I730*J730</x:f>
        <x:v>10</x:v>
      </x:c>
      <x:c r="L730" s="8" t="n">
        <x:f>'PG facts'!D86</x:f>
        <x:v>4</x:v>
      </x:c>
      <x:c r="M730" s="8" t="n">
        <x:f>K730-L730</x:f>
        <x:v>6</x:v>
      </x:c>
      <x:c r="N730" s="8" t="n">
        <x:f>M730^2</x:f>
        <x:v>36</x:v>
      </x:c>
      <x:c r="O730" s="8" t="n">
        <x:f>ABS(M730)</x:f>
        <x:v>6</x:v>
      </x:c>
      <x:c r="P730" s="7" t="n">
        <x:v>45314</x:v>
      </x:c>
    </x:row>
    <x:row r="731" ht="26" customHeight="1">
      <x:c r="A731" s="2"/>
      <x:c r="B731" s="2" t="n">
        <x:v>726</x:v>
      </x:c>
      <x:c r="C731" s="2" t="str">
        <x:v>Fabric &amp; Home Care / price_contribution</x:v>
      </x:c>
      <x:c r="D731" s="7" t="n">
        <x:v>45291</x:v>
      </x:c>
      <x:c r="E731" s="2" t="str">
        <x:v>Pre-earnings</x:v>
      </x:c>
      <x:c r="F731" s="7" t="n">
        <x:v>45313</x:v>
      </x:c>
      <x:c r="G731" s="2" t="str">
        <x:v>Broad market</x:v>
      </x:c>
      <x:c r="H731" s="8" t="n">
        <x:f>'Model fits'!AA497</x:f>
        <x:v>7.7646771524890745</x:v>
      </x:c>
      <x:c r="I731" s="8" t="n">
        <x:f>0</x:f>
        <x:v>0</x:v>
      </x:c>
      <x:c r="J731" s="8" t="n">
        <x:v>0</x:v>
      </x:c>
      <x:c r="K731" s="8" t="n">
        <x:f>H731-I731*J731</x:f>
        <x:v>7.7646771524890745</x:v>
      </x:c>
      <x:c r="L731" s="8" t="n">
        <x:f>'PG facts'!D86</x:f>
        <x:v>4</x:v>
      </x:c>
      <x:c r="M731" s="8" t="n">
        <x:f>K731-L731</x:f>
        <x:v>3.7646771524890745</x:v>
      </x:c>
      <x:c r="N731" s="8" t="n">
        <x:f>M731^2</x:f>
        <x:v>14.172794062473246</x:v>
      </x:c>
      <x:c r="O731" s="8" t="n">
        <x:f>ABS(M731)</x:f>
        <x:v>3.7646771524890745</x:v>
      </x:c>
      <x:c r="P731" s="7" t="n">
        <x:v>45314</x:v>
      </x:c>
    </x:row>
    <x:row r="732" ht="26" customHeight="1">
      <x:c r="A732" s="2"/>
      <x:c r="B732" s="2" t="n">
        <x:v>727</x:v>
      </x:c>
      <x:c r="C732" s="2" t="str">
        <x:v>Fabric &amp; Home Care / price_contribution</x:v>
      </x:c>
      <x:c r="D732" s="7" t="n">
        <x:v>45291</x:v>
      </x:c>
      <x:c r="E732" s="2" t="str">
        <x:v>Pre-earnings</x:v>
      </x:c>
      <x:c r="F732" s="7" t="n">
        <x:v>45313</x:v>
      </x:c>
      <x:c r="G732" s="2" t="str">
        <x:v>Broad lag 1</x:v>
      </x:c>
      <x:c r="H732" s="8" t="n">
        <x:f>'Model fits'!AA498</x:f>
        <x:v>9.407613702624925</x:v>
      </x:c>
      <x:c r="I732" s="8" t="n">
        <x:f>0</x:f>
        <x:v>0</x:v>
      </x:c>
      <x:c r="J732" s="8" t="n">
        <x:v>0</x:v>
      </x:c>
      <x:c r="K732" s="8" t="n">
        <x:f>H732-I732*J732</x:f>
        <x:v>9.407613702624925</x:v>
      </x:c>
      <x:c r="L732" s="8" t="n">
        <x:f>'PG facts'!D86</x:f>
        <x:v>4</x:v>
      </x:c>
      <x:c r="M732" s="8" t="n">
        <x:f>K732-L732</x:f>
        <x:v>5.407613702624925</x:v>
      </x:c>
      <x:c r="N732" s="8" t="n">
        <x:f>M732^2</x:f>
        <x:v>29.24228595681685</x:v>
      </x:c>
      <x:c r="O732" s="8" t="n">
        <x:f>ABS(M732)</x:f>
        <x:v>5.407613702624925</x:v>
      </x:c>
      <x:c r="P732" s="7" t="n">
        <x:v>45314</x:v>
      </x:c>
    </x:row>
    <x:row r="733" ht="26" customHeight="1">
      <x:c r="A733" s="2"/>
      <x:c r="B733" s="2" t="n">
        <x:v>728</x:v>
      </x:c>
      <x:c r="C733" s="2" t="str">
        <x:v>Fabric &amp; Home Care / price_contribution</x:v>
      </x:c>
      <x:c r="D733" s="7" t="n">
        <x:v>45291</x:v>
      </x:c>
      <x:c r="E733" s="2" t="str">
        <x:v>Pre-earnings</x:v>
      </x:c>
      <x:c r="F733" s="7" t="n">
        <x:v>45313</x:v>
      </x:c>
      <x:c r="G733" s="2" t="str">
        <x:v>Broad rolling 8</x:v>
      </x:c>
      <x:c r="H733" s="8" t="n">
        <x:f>'Model fits'!AA499</x:f>
        <x:v>8.15428251880272</x:v>
      </x:c>
      <x:c r="I733" s="8" t="n">
        <x:f>0</x:f>
        <x:v>0</x:v>
      </x:c>
      <x:c r="J733" s="8" t="n">
        <x:v>0</x:v>
      </x:c>
      <x:c r="K733" s="8" t="n">
        <x:f>H733-I733*J733</x:f>
        <x:v>8.15428251880272</x:v>
      </x:c>
      <x:c r="L733" s="8" t="n">
        <x:f>'PG facts'!D86</x:f>
        <x:v>4</x:v>
      </x:c>
      <x:c r="M733" s="8" t="n">
        <x:f>K733-L733</x:f>
        <x:v>4.15428251880272</x:v>
      </x:c>
      <x:c r="N733" s="8" t="n">
        <x:f>M733^2</x:f>
        <x:v>17.258063246029874</x:v>
      </x:c>
      <x:c r="O733" s="8" t="n">
        <x:f>ABS(M733)</x:f>
        <x:v>4.15428251880272</x:v>
      </x:c>
      <x:c r="P733" s="7" t="n">
        <x:v>45314</x:v>
      </x:c>
    </x:row>
    <x:row r="734" ht="26" customHeight="1">
      <x:c r="A734" s="2"/>
      <x:c r="B734" s="2" t="n">
        <x:v>729</x:v>
      </x:c>
      <x:c r="C734" s="2" t="str">
        <x:v>Fabric &amp; Home Care / price_contribution</x:v>
      </x:c>
      <x:c r="D734" s="7" t="n">
        <x:v>45291</x:v>
      </x:c>
      <x:c r="E734" s="2" t="str">
        <x:v>Pre-earnings</x:v>
      </x:c>
      <x:c r="F734" s="7" t="n">
        <x:v>45313</x:v>
      </x:c>
      <x:c r="G734" s="2" t="str">
        <x:v>Own history</x:v>
      </x:c>
      <x:c r="H734" s="8" t="n">
        <x:f>'Model fits'!AA500</x:f>
        <x:v>8.179856115107913</x:v>
      </x:c>
      <x:c r="I734" s="8" t="n">
        <x:f>0</x:f>
        <x:v>0</x:v>
      </x:c>
      <x:c r="J734" s="8" t="n">
        <x:v>0</x:v>
      </x:c>
      <x:c r="K734" s="8" t="n">
        <x:f>H734-I734*J734</x:f>
        <x:v>8.179856115107913</x:v>
      </x:c>
      <x:c r="L734" s="8" t="n">
        <x:f>'PG facts'!D86</x:f>
        <x:v>4</x:v>
      </x:c>
      <x:c r="M734" s="8" t="n">
        <x:f>K734-L734</x:f>
        <x:v>4.179856115107913</x:v>
      </x:c>
      <x:c r="N734" s="8" t="n">
        <x:f>M734^2</x:f>
        <x:v>17.471197143005018</x:v>
      </x:c>
      <x:c r="O734" s="8" t="n">
        <x:f>ABS(M734)</x:f>
        <x:v>4.179856115107913</x:v>
      </x:c>
      <x:c r="P734" s="7" t="n">
        <x:v>45314</x:v>
      </x:c>
    </x:row>
    <x:row r="735" ht="26" customHeight="1">
      <x:c r="A735" s="2"/>
      <x:c r="B735" s="2" t="n">
        <x:v>730</x:v>
      </x:c>
      <x:c r="C735" s="2" t="str">
        <x:v>Fabric &amp; Home Care / price_contribution</x:v>
      </x:c>
      <x:c r="D735" s="7" t="n">
        <x:v>45382</x:v>
      </x:c>
      <x:c r="E735" s="2" t="str">
        <x:v>Origin</x:v>
      </x:c>
      <x:c r="F735" s="7" t="n">
        <x:v>45292</x:v>
      </x:c>
      <x:c r="G735" s="2" t="str">
        <x:v>Last actual</x:v>
      </x:c>
      <x:c r="H735" s="8" t="n">
        <x:f>AVERAGE('PG facts'!D79)</x:f>
        <x:v>8</x:v>
      </x:c>
      <x:c r="I735" s="8" t="n">
        <x:f>0</x:f>
        <x:v>0</x:v>
      </x:c>
      <x:c r="J735" s="8" t="n">
        <x:v>0</x:v>
      </x:c>
      <x:c r="K735" s="8" t="n">
        <x:f>H735-I735*J735</x:f>
        <x:v>8</x:v>
      </x:c>
      <x:c r="L735" s="8" t="n">
        <x:f>'PG facts'!D93</x:f>
        <x:v>2</x:v>
      </x:c>
      <x:c r="M735" s="8" t="n">
        <x:f>K735-L735</x:f>
        <x:v>6</x:v>
      </x:c>
      <x:c r="N735" s="8" t="n">
        <x:f>M735^2</x:f>
        <x:v>36</x:v>
      </x:c>
      <x:c r="O735" s="8" t="n">
        <x:f>ABS(M735)</x:f>
        <x:v>6</x:v>
      </x:c>
      <x:c r="P735" s="7" t="n">
        <x:v>45401</x:v>
      </x:c>
    </x:row>
    <x:row r="736" ht="26" customHeight="1">
      <x:c r="A736" s="2"/>
      <x:c r="B736" s="2" t="n">
        <x:v>731</x:v>
      </x:c>
      <x:c r="C736" s="2" t="str">
        <x:v>Fabric &amp; Home Care / price_contribution</x:v>
      </x:c>
      <x:c r="D736" s="7" t="n">
        <x:v>45382</x:v>
      </x:c>
      <x:c r="E736" s="2" t="str">
        <x:v>Origin</x:v>
      </x:c>
      <x:c r="F736" s="7" t="n">
        <x:v>45292</x:v>
      </x:c>
      <x:c r="G736" s="2" t="str">
        <x:v>Four-quarter mean</x:v>
      </x:c>
      <x:c r="H736" s="8" t="n">
        <x:f>AVERAGE('PG facts'!D58,'PG facts'!D65,'PG facts'!D72,'PG facts'!D79)</x:f>
        <x:v>10</x:v>
      </x:c>
      <x:c r="I736" s="8" t="n">
        <x:f>0</x:f>
        <x:v>0</x:v>
      </x:c>
      <x:c r="J736" s="8" t="n">
        <x:v>0</x:v>
      </x:c>
      <x:c r="K736" s="8" t="n">
        <x:f>H736-I736*J736</x:f>
        <x:v>10</x:v>
      </x:c>
      <x:c r="L736" s="8" t="n">
        <x:f>'PG facts'!D93</x:f>
        <x:v>2</x:v>
      </x:c>
      <x:c r="M736" s="8" t="n">
        <x:f>K736-L736</x:f>
        <x:v>8</x:v>
      </x:c>
      <x:c r="N736" s="8" t="n">
        <x:f>M736^2</x:f>
        <x:v>64</x:v>
      </x:c>
      <x:c r="O736" s="8" t="n">
        <x:f>ABS(M736)</x:f>
        <x:v>8</x:v>
      </x:c>
      <x:c r="P736" s="7" t="n">
        <x:v>45401</x:v>
      </x:c>
    </x:row>
    <x:row r="737" ht="26" customHeight="1">
      <x:c r="A737" s="2"/>
      <x:c r="B737" s="2" t="n">
        <x:v>732</x:v>
      </x:c>
      <x:c r="C737" s="2" t="str">
        <x:v>Fabric &amp; Home Care / price_contribution</x:v>
      </x:c>
      <x:c r="D737" s="7" t="n">
        <x:v>45382</x:v>
      </x:c>
      <x:c r="E737" s="2" t="str">
        <x:v>Origin</x:v>
      </x:c>
      <x:c r="F737" s="7" t="n">
        <x:v>45292</x:v>
      </x:c>
      <x:c r="G737" s="2" t="str">
        <x:v>Broad market</x:v>
      </x:c>
      <x:c r="H737" s="8" t="n">
        <x:f>'Model fits'!AA501</x:f>
        <x:v>8.527192579860197</x:v>
      </x:c>
      <x:c r="I737" s="8" t="n">
        <x:f>0</x:f>
        <x:v>0</x:v>
      </x:c>
      <x:c r="J737" s="8" t="n">
        <x:v>0</x:v>
      </x:c>
      <x:c r="K737" s="8" t="n">
        <x:f>H737-I737*J737</x:f>
        <x:v>8.527192579860197</x:v>
      </x:c>
      <x:c r="L737" s="8" t="n">
        <x:f>'PG facts'!D93</x:f>
        <x:v>2</x:v>
      </x:c>
      <x:c r="M737" s="8" t="n">
        <x:f>K737-L737</x:f>
        <x:v>6.527192579860197</x:v>
      </x:c>
      <x:c r="N737" s="8" t="n">
        <x:f>M737^2</x:f>
        <x:v>42.60424297458201</x:v>
      </x:c>
      <x:c r="O737" s="8" t="n">
        <x:f>ABS(M737)</x:f>
        <x:v>6.527192579860197</x:v>
      </x:c>
      <x:c r="P737" s="7" t="n">
        <x:v>45401</x:v>
      </x:c>
    </x:row>
    <x:row r="738" ht="26" customHeight="1">
      <x:c r="A738" s="2"/>
      <x:c r="B738" s="2" t="n">
        <x:v>733</x:v>
      </x:c>
      <x:c r="C738" s="2" t="str">
        <x:v>Fabric &amp; Home Care / price_contribution</x:v>
      </x:c>
      <x:c r="D738" s="7" t="n">
        <x:v>45382</x:v>
      </x:c>
      <x:c r="E738" s="2" t="str">
        <x:v>Origin</x:v>
      </x:c>
      <x:c r="F738" s="7" t="n">
        <x:v>45292</x:v>
      </x:c>
      <x:c r="G738" s="2" t="str">
        <x:v>Broad rolling 8</x:v>
      </x:c>
      <x:c r="H738" s="8" t="n">
        <x:f>'Model fits'!AA502</x:f>
        <x:v>8.784721266744775</x:v>
      </x:c>
      <x:c r="I738" s="8" t="n">
        <x:f>0</x:f>
        <x:v>0</x:v>
      </x:c>
      <x:c r="J738" s="8" t="n">
        <x:v>0</x:v>
      </x:c>
      <x:c r="K738" s="8" t="n">
        <x:f>H738-I738*J738</x:f>
        <x:v>8.784721266744775</x:v>
      </x:c>
      <x:c r="L738" s="8" t="n">
        <x:f>'PG facts'!D93</x:f>
        <x:v>2</x:v>
      </x:c>
      <x:c r="M738" s="8" t="n">
        <x:f>K738-L738</x:f>
        <x:v>6.784721266744775</x:v>
      </x:c>
      <x:c r="N738" s="8" t="n">
        <x:f>M738^2</x:f>
        <x:v>46.03244266741882</x:v>
      </x:c>
      <x:c r="O738" s="8" t="n">
        <x:f>ABS(M738)</x:f>
        <x:v>6.784721266744775</x:v>
      </x:c>
      <x:c r="P738" s="7" t="n">
        <x:v>45401</x:v>
      </x:c>
    </x:row>
    <x:row r="739" ht="26" customHeight="1">
      <x:c r="A739" s="2"/>
      <x:c r="B739" s="2" t="n">
        <x:v>734</x:v>
      </x:c>
      <x:c r="C739" s="2" t="str">
        <x:v>Fabric &amp; Home Care / price_contribution</x:v>
      </x:c>
      <x:c r="D739" s="7" t="n">
        <x:v>45382</x:v>
      </x:c>
      <x:c r="E739" s="2" t="str">
        <x:v>Origin</x:v>
      </x:c>
      <x:c r="F739" s="7" t="n">
        <x:v>45292</x:v>
      </x:c>
      <x:c r="G739" s="2" t="str">
        <x:v>Own history</x:v>
      </x:c>
      <x:c r="H739" s="8" t="n">
        <x:f>'Model fits'!AA503</x:f>
        <x:v>8.428</x:v>
      </x:c>
      <x:c r="I739" s="8" t="n">
        <x:f>0</x:f>
        <x:v>0</x:v>
      </x:c>
      <x:c r="J739" s="8" t="n">
        <x:v>0</x:v>
      </x:c>
      <x:c r="K739" s="8" t="n">
        <x:f>H739-I739*J739</x:f>
        <x:v>8.428</x:v>
      </x:c>
      <x:c r="L739" s="8" t="n">
        <x:f>'PG facts'!D93</x:f>
        <x:v>2</x:v>
      </x:c>
      <x:c r="M739" s="8" t="n">
        <x:f>K739-L739</x:f>
        <x:v>6.428000000000001</x:v>
      </x:c>
      <x:c r="N739" s="8" t="n">
        <x:f>M739^2</x:f>
        <x:v>41.319184000000014</x:v>
      </x:c>
      <x:c r="O739" s="8" t="n">
        <x:f>ABS(M739)</x:f>
        <x:v>6.428000000000001</x:v>
      </x:c>
      <x:c r="P739" s="7" t="n">
        <x:v>45401</x:v>
      </x:c>
    </x:row>
    <x:row r="740" ht="26" customHeight="1">
      <x:c r="A740" s="2"/>
      <x:c r="B740" s="2" t="n">
        <x:v>735</x:v>
      </x:c>
      <x:c r="C740" s="2" t="str">
        <x:v>Fabric &amp; Home Care / price_contribution</x:v>
      </x:c>
      <x:c r="D740" s="7" t="n">
        <x:v>45382</x:v>
      </x:c>
      <x:c r="E740" s="2" t="str">
        <x:v>Prior report</x:v>
      </x:c>
      <x:c r="F740" s="7" t="n">
        <x:v>45314</x:v>
      </x:c>
      <x:c r="G740" s="2" t="str">
        <x:v>Last actual</x:v>
      </x:c>
      <x:c r="H740" s="8" t="n">
        <x:f>AVERAGE('PG facts'!D86)</x:f>
        <x:v>4</x:v>
      </x:c>
      <x:c r="I740" s="8" t="n">
        <x:f>0</x:f>
        <x:v>0</x:v>
      </x:c>
      <x:c r="J740" s="8" t="n">
        <x:v>0</x:v>
      </x:c>
      <x:c r="K740" s="8" t="n">
        <x:f>H740-I740*J740</x:f>
        <x:v>4</x:v>
      </x:c>
      <x:c r="L740" s="8" t="n">
        <x:f>'PG facts'!D93</x:f>
        <x:v>2</x:v>
      </x:c>
      <x:c r="M740" s="8" t="n">
        <x:f>K740-L740</x:f>
        <x:v>2</x:v>
      </x:c>
      <x:c r="N740" s="8" t="n">
        <x:f>M740^2</x:f>
        <x:v>4</x:v>
      </x:c>
      <x:c r="O740" s="8" t="n">
        <x:f>ABS(M740)</x:f>
        <x:v>2</x:v>
      </x:c>
      <x:c r="P740" s="7" t="n">
        <x:v>45401</x:v>
      </x:c>
    </x:row>
    <x:row r="741" ht="26" customHeight="1">
      <x:c r="A741" s="2"/>
      <x:c r="B741" s="2" t="n">
        <x:v>736</x:v>
      </x:c>
      <x:c r="C741" s="2" t="str">
        <x:v>Fabric &amp; Home Care / price_contribution</x:v>
      </x:c>
      <x:c r="D741" s="7" t="n">
        <x:v>45382</x:v>
      </x:c>
      <x:c r="E741" s="2" t="str">
        <x:v>Prior report</x:v>
      </x:c>
      <x:c r="F741" s="7" t="n">
        <x:v>45314</x:v>
      </x:c>
      <x:c r="G741" s="2" t="str">
        <x:v>Four-quarter mean</x:v>
      </x:c>
      <x:c r="H741" s="8" t="n">
        <x:f>AVERAGE('PG facts'!D65,'PG facts'!D72,'PG facts'!D79,'PG facts'!D86)</x:f>
        <x:v>7.75</x:v>
      </x:c>
      <x:c r="I741" s="8" t="n">
        <x:f>0</x:f>
        <x:v>0</x:v>
      </x:c>
      <x:c r="J741" s="8" t="n">
        <x:v>0</x:v>
      </x:c>
      <x:c r="K741" s="8" t="n">
        <x:f>H741-I741*J741</x:f>
        <x:v>7.75</x:v>
      </x:c>
      <x:c r="L741" s="8" t="n">
        <x:f>'PG facts'!D93</x:f>
        <x:v>2</x:v>
      </x:c>
      <x:c r="M741" s="8" t="n">
        <x:f>K741-L741</x:f>
        <x:v>5.75</x:v>
      </x:c>
      <x:c r="N741" s="8" t="n">
        <x:f>M741^2</x:f>
        <x:v>33.0625</x:v>
      </x:c>
      <x:c r="O741" s="8" t="n">
        <x:f>ABS(M741)</x:f>
        <x:v>5.75</x:v>
      </x:c>
      <x:c r="P741" s="7" t="n">
        <x:v>45401</x:v>
      </x:c>
    </x:row>
    <x:row r="742" ht="26" customHeight="1">
      <x:c r="A742" s="2"/>
      <x:c r="B742" s="2" t="n">
        <x:v>737</x:v>
      </x:c>
      <x:c r="C742" s="2" t="str">
        <x:v>Fabric &amp; Home Care / price_contribution</x:v>
      </x:c>
      <x:c r="D742" s="7" t="n">
        <x:v>45382</x:v>
      </x:c>
      <x:c r="E742" s="2" t="str">
        <x:v>Prior report</x:v>
      </x:c>
      <x:c r="F742" s="7" t="n">
        <x:v>45314</x:v>
      </x:c>
      <x:c r="G742" s="2" t="str">
        <x:v>Broad market</x:v>
      </x:c>
      <x:c r="H742" s="8" t="n">
        <x:f>'Model fits'!AA504</x:f>
        <x:v>7.423070974848416</x:v>
      </x:c>
      <x:c r="I742" s="8" t="n">
        <x:f>0</x:f>
        <x:v>0</x:v>
      </x:c>
      <x:c r="J742" s="8" t="n">
        <x:v>0</x:v>
      </x:c>
      <x:c r="K742" s="8" t="n">
        <x:f>H742-I742*J742</x:f>
        <x:v>7.423070974848416</x:v>
      </x:c>
      <x:c r="L742" s="8" t="n">
        <x:f>'PG facts'!D93</x:f>
        <x:v>2</x:v>
      </x:c>
      <x:c r="M742" s="8" t="n">
        <x:f>K742-L742</x:f>
        <x:v>5.423070974848416</x:v>
      </x:c>
      <x:c r="N742" s="8" t="n">
        <x:f>M742^2</x:f>
        <x:v>29.40969879824335</x:v>
      </x:c>
      <x:c r="O742" s="8" t="n">
        <x:f>ABS(M742)</x:f>
        <x:v>5.423070974848416</x:v>
      </x:c>
      <x:c r="P742" s="7" t="n">
        <x:v>45401</x:v>
      </x:c>
    </x:row>
    <x:row r="743" ht="26" customHeight="1">
      <x:c r="A743" s="2"/>
      <x:c r="B743" s="2" t="n">
        <x:v>738</x:v>
      </x:c>
      <x:c r="C743" s="2" t="str">
        <x:v>Fabric &amp; Home Care / price_contribution</x:v>
      </x:c>
      <x:c r="D743" s="7" t="n">
        <x:v>45382</x:v>
      </x:c>
      <x:c r="E743" s="2" t="str">
        <x:v>Prior report</x:v>
      </x:c>
      <x:c r="F743" s="7" t="n">
        <x:v>45314</x:v>
      </x:c>
      <x:c r="G743" s="2" t="str">
        <x:v>Broad lag 1</x:v>
      </x:c>
      <x:c r="H743" s="8" t="n">
        <x:f>'Model fits'!AA505</x:f>
        <x:v>7.567035793378584</x:v>
      </x:c>
      <x:c r="I743" s="8" t="n">
        <x:f>0</x:f>
        <x:v>0</x:v>
      </x:c>
      <x:c r="J743" s="8" t="n">
        <x:v>0</x:v>
      </x:c>
      <x:c r="K743" s="8" t="n">
        <x:f>H743-I743*J743</x:f>
        <x:v>7.567035793378584</x:v>
      </x:c>
      <x:c r="L743" s="8" t="n">
        <x:f>'PG facts'!D93</x:f>
        <x:v>2</x:v>
      </x:c>
      <x:c r="M743" s="8" t="n">
        <x:f>K743-L743</x:f>
        <x:v>5.567035793378584</x:v>
      </x:c>
      <x:c r="N743" s="8" t="n">
        <x:f>M743^2</x:f>
        <x:v>30.99188752475832</x:v>
      </x:c>
      <x:c r="O743" s="8" t="n">
        <x:f>ABS(M743)</x:f>
        <x:v>5.567035793378584</x:v>
      </x:c>
      <x:c r="P743" s="7" t="n">
        <x:v>45401</x:v>
      </x:c>
    </x:row>
    <x:row r="744" ht="26" customHeight="1">
      <x:c r="A744" s="2"/>
      <x:c r="B744" s="2" t="n">
        <x:v>739</x:v>
      </x:c>
      <x:c r="C744" s="2" t="str">
        <x:v>Fabric &amp; Home Care / price_contribution</x:v>
      </x:c>
      <x:c r="D744" s="7" t="n">
        <x:v>45382</x:v>
      </x:c>
      <x:c r="E744" s="2" t="str">
        <x:v>Prior report</x:v>
      </x:c>
      <x:c r="F744" s="7" t="n">
        <x:v>45314</x:v>
      </x:c>
      <x:c r="G744" s="2" t="str">
        <x:v>Broad rolling 8</x:v>
      </x:c>
      <x:c r="H744" s="8" t="n">
        <x:f>'Model fits'!AA506</x:f>
        <x:v>8.018528451335916</x:v>
      </x:c>
      <x:c r="I744" s="8" t="n">
        <x:f>0</x:f>
        <x:v>0</x:v>
      </x:c>
      <x:c r="J744" s="8" t="n">
        <x:v>0</x:v>
      </x:c>
      <x:c r="K744" s="8" t="n">
        <x:f>H744-I744*J744</x:f>
        <x:v>8.018528451335916</x:v>
      </x:c>
      <x:c r="L744" s="8" t="n">
        <x:f>'PG facts'!D93</x:f>
        <x:v>2</x:v>
      </x:c>
      <x:c r="M744" s="8" t="n">
        <x:f>K744-L744</x:f>
        <x:v>6.018528451335916</x:v>
      </x:c>
      <x:c r="N744" s="8" t="n">
        <x:f>M744^2</x:f>
        <x:v>36.2226847195399</x:v>
      </x:c>
      <x:c r="O744" s="8" t="n">
        <x:f>ABS(M744)</x:f>
        <x:v>6.018528451335916</x:v>
      </x:c>
      <x:c r="P744" s="7" t="n">
        <x:v>45401</x:v>
      </x:c>
    </x:row>
    <x:row r="745" ht="26" customHeight="1">
      <x:c r="A745" s="2"/>
      <x:c r="B745" s="2" t="n">
        <x:v>740</x:v>
      </x:c>
      <x:c r="C745" s="2" t="str">
        <x:v>Fabric &amp; Home Care / price_contribution</x:v>
      </x:c>
      <x:c r="D745" s="7" t="n">
        <x:v>45382</x:v>
      </x:c>
      <x:c r="E745" s="2" t="str">
        <x:v>Prior report</x:v>
      </x:c>
      <x:c r="F745" s="7" t="n">
        <x:v>45314</x:v>
      </x:c>
      <x:c r="G745" s="2" t="str">
        <x:v>Own history</x:v>
      </x:c>
      <x:c r="H745" s="8" t="n">
        <x:f>'Model fits'!AA507</x:f>
        <x:v>4.919093851132686</x:v>
      </x:c>
      <x:c r="I745" s="8" t="n">
        <x:f>0</x:f>
        <x:v>0</x:v>
      </x:c>
      <x:c r="J745" s="8" t="n">
        <x:v>0</x:v>
      </x:c>
      <x:c r="K745" s="8" t="n">
        <x:f>H745-I745*J745</x:f>
        <x:v>4.919093851132686</x:v>
      </x:c>
      <x:c r="L745" s="8" t="n">
        <x:f>'PG facts'!D93</x:f>
        <x:v>2</x:v>
      </x:c>
      <x:c r="M745" s="8" t="n">
        <x:f>K745-L745</x:f>
        <x:v>2.9190938511326863</x:v>
      </x:c>
      <x:c r="N745" s="8" t="n">
        <x:f>M745^2</x:f>
        <x:v>8.521108911720658</x:v>
      </x:c>
      <x:c r="O745" s="8" t="n">
        <x:f>ABS(M745)</x:f>
        <x:v>2.9190938511326863</x:v>
      </x:c>
      <x:c r="P745" s="7" t="n">
        <x:v>45401</x:v>
      </x:c>
    </x:row>
    <x:row r="746" ht="26" customHeight="1">
      <x:c r="A746" s="2"/>
      <x:c r="B746" s="2" t="n">
        <x:v>741</x:v>
      </x:c>
      <x:c r="C746" s="2" t="str">
        <x:v>Fabric &amp; Home Care / price_contribution</x:v>
      </x:c>
      <x:c r="D746" s="7" t="n">
        <x:v>45382</x:v>
      </x:c>
      <x:c r="E746" s="2" t="str">
        <x:v>Pre-earnings</x:v>
      </x:c>
      <x:c r="F746" s="7" t="n">
        <x:v>45400</x:v>
      </x:c>
      <x:c r="G746" s="2" t="str">
        <x:v>Last actual</x:v>
      </x:c>
      <x:c r="H746" s="8" t="n">
        <x:f>AVERAGE('PG facts'!D86)</x:f>
        <x:v>4</x:v>
      </x:c>
      <x:c r="I746" s="8" t="n">
        <x:f>0</x:f>
        <x:v>0</x:v>
      </x:c>
      <x:c r="J746" s="8" t="n">
        <x:v>0</x:v>
      </x:c>
      <x:c r="K746" s="8" t="n">
        <x:f>H746-I746*J746</x:f>
        <x:v>4</x:v>
      </x:c>
      <x:c r="L746" s="8" t="n">
        <x:f>'PG facts'!D93</x:f>
        <x:v>2</x:v>
      </x:c>
      <x:c r="M746" s="8" t="n">
        <x:f>K746-L746</x:f>
        <x:v>2</x:v>
      </x:c>
      <x:c r="N746" s="8" t="n">
        <x:f>M746^2</x:f>
        <x:v>4</x:v>
      </x:c>
      <x:c r="O746" s="8" t="n">
        <x:f>ABS(M746)</x:f>
        <x:v>2</x:v>
      </x:c>
      <x:c r="P746" s="7" t="n">
        <x:v>45401</x:v>
      </x:c>
    </x:row>
    <x:row r="747" ht="26" customHeight="1">
      <x:c r="A747" s="2"/>
      <x:c r="B747" s="2" t="n">
        <x:v>742</x:v>
      </x:c>
      <x:c r="C747" s="2" t="str">
        <x:v>Fabric &amp; Home Care / price_contribution</x:v>
      </x:c>
      <x:c r="D747" s="7" t="n">
        <x:v>45382</x:v>
      </x:c>
      <x:c r="E747" s="2" t="str">
        <x:v>Pre-earnings</x:v>
      </x:c>
      <x:c r="F747" s="7" t="n">
        <x:v>45400</x:v>
      </x:c>
      <x:c r="G747" s="2" t="str">
        <x:v>Four-quarter mean</x:v>
      </x:c>
      <x:c r="H747" s="8" t="n">
        <x:f>AVERAGE('PG facts'!D65,'PG facts'!D72,'PG facts'!D79,'PG facts'!D86)</x:f>
        <x:v>7.75</x:v>
      </x:c>
      <x:c r="I747" s="8" t="n">
        <x:f>0</x:f>
        <x:v>0</x:v>
      </x:c>
      <x:c r="J747" s="8" t="n">
        <x:v>0</x:v>
      </x:c>
      <x:c r="K747" s="8" t="n">
        <x:f>H747-I747*J747</x:f>
        <x:v>7.75</x:v>
      </x:c>
      <x:c r="L747" s="8" t="n">
        <x:f>'PG facts'!D93</x:f>
        <x:v>2</x:v>
      </x:c>
      <x:c r="M747" s="8" t="n">
        <x:f>K747-L747</x:f>
        <x:v>5.75</x:v>
      </x:c>
      <x:c r="N747" s="8" t="n">
        <x:f>M747^2</x:f>
        <x:v>33.0625</x:v>
      </x:c>
      <x:c r="O747" s="8" t="n">
        <x:f>ABS(M747)</x:f>
        <x:v>5.75</x:v>
      </x:c>
      <x:c r="P747" s="7" t="n">
        <x:v>45401</x:v>
      </x:c>
    </x:row>
    <x:row r="748" ht="26" customHeight="1">
      <x:c r="A748" s="2"/>
      <x:c r="B748" s="2" t="n">
        <x:v>743</x:v>
      </x:c>
      <x:c r="C748" s="2" t="str">
        <x:v>Fabric &amp; Home Care / price_contribution</x:v>
      </x:c>
      <x:c r="D748" s="7" t="n">
        <x:v>45382</x:v>
      </x:c>
      <x:c r="E748" s="2" t="str">
        <x:v>Pre-earnings</x:v>
      </x:c>
      <x:c r="F748" s="7" t="n">
        <x:v>45400</x:v>
      </x:c>
      <x:c r="G748" s="2" t="str">
        <x:v>Broad market</x:v>
      </x:c>
      <x:c r="H748" s="8" t="n">
        <x:f>'Model fits'!AA508</x:f>
        <x:v>6.728922649767902</x:v>
      </x:c>
      <x:c r="I748" s="8" t="n">
        <x:f>0</x:f>
        <x:v>0</x:v>
      </x:c>
      <x:c r="J748" s="8" t="n">
        <x:v>0</x:v>
      </x:c>
      <x:c r="K748" s="8" t="n">
        <x:f>H748-I748*J748</x:f>
        <x:v>6.728922649767902</x:v>
      </x:c>
      <x:c r="L748" s="8" t="n">
        <x:f>'PG facts'!D93</x:f>
        <x:v>2</x:v>
      </x:c>
      <x:c r="M748" s="8" t="n">
        <x:f>K748-L748</x:f>
        <x:v>4.728922649767902</x:v>
      </x:c>
      <x:c r="N748" s="8" t="n">
        <x:f>M748^2</x:f>
        <x:v>22.36270942748788</x:v>
      </x:c>
      <x:c r="O748" s="8" t="n">
        <x:f>ABS(M748)</x:f>
        <x:v>4.728922649767902</x:v>
      </x:c>
      <x:c r="P748" s="7" t="n">
        <x:v>45401</x:v>
      </x:c>
    </x:row>
    <x:row r="749" ht="26" customHeight="1">
      <x:c r="A749" s="2"/>
      <x:c r="B749" s="2" t="n">
        <x:v>744</x:v>
      </x:c>
      <x:c r="C749" s="2" t="str">
        <x:v>Fabric &amp; Home Care / price_contribution</x:v>
      </x:c>
      <x:c r="D749" s="7" t="n">
        <x:v>45382</x:v>
      </x:c>
      <x:c r="E749" s="2" t="str">
        <x:v>Pre-earnings</x:v>
      </x:c>
      <x:c r="F749" s="7" t="n">
        <x:v>45400</x:v>
      </x:c>
      <x:c r="G749" s="2" t="str">
        <x:v>Broad lag 1</x:v>
      </x:c>
      <x:c r="H749" s="8" t="n">
        <x:f>'Model fits'!AA509</x:f>
        <x:v>7.567035793378584</x:v>
      </x:c>
      <x:c r="I749" s="8" t="n">
        <x:f>0</x:f>
        <x:v>0</x:v>
      </x:c>
      <x:c r="J749" s="8" t="n">
        <x:v>0</x:v>
      </x:c>
      <x:c r="K749" s="8" t="n">
        <x:f>H749-I749*J749</x:f>
        <x:v>7.567035793378584</x:v>
      </x:c>
      <x:c r="L749" s="8" t="n">
        <x:f>'PG facts'!D93</x:f>
        <x:v>2</x:v>
      </x:c>
      <x:c r="M749" s="8" t="n">
        <x:f>K749-L749</x:f>
        <x:v>5.567035793378584</x:v>
      </x:c>
      <x:c r="N749" s="8" t="n">
        <x:f>M749^2</x:f>
        <x:v>30.99188752475832</x:v>
      </x:c>
      <x:c r="O749" s="8" t="n">
        <x:f>ABS(M749)</x:f>
        <x:v>5.567035793378584</x:v>
      </x:c>
      <x:c r="P749" s="7" t="n">
        <x:v>45401</x:v>
      </x:c>
    </x:row>
    <x:row r="750" ht="26" customHeight="1">
      <x:c r="A750" s="2"/>
      <x:c r="B750" s="2" t="n">
        <x:v>745</x:v>
      </x:c>
      <x:c r="C750" s="2" t="str">
        <x:v>Fabric &amp; Home Care / price_contribution</x:v>
      </x:c>
      <x:c r="D750" s="7" t="n">
        <x:v>45382</x:v>
      </x:c>
      <x:c r="E750" s="2" t="str">
        <x:v>Pre-earnings</x:v>
      </x:c>
      <x:c r="F750" s="7" t="n">
        <x:v>45400</x:v>
      </x:c>
      <x:c r="G750" s="2" t="str">
        <x:v>Broad rolling 8</x:v>
      </x:c>
      <x:c r="H750" s="8" t="n">
        <x:f>'Model fits'!AA510</x:f>
        <x:v>7.529108205123659</x:v>
      </x:c>
      <x:c r="I750" s="8" t="n">
        <x:f>0</x:f>
        <x:v>0</x:v>
      </x:c>
      <x:c r="J750" s="8" t="n">
        <x:v>0</x:v>
      </x:c>
      <x:c r="K750" s="8" t="n">
        <x:f>H750-I750*J750</x:f>
        <x:v>7.529108205123659</x:v>
      </x:c>
      <x:c r="L750" s="8" t="n">
        <x:f>'PG facts'!D93</x:f>
        <x:v>2</x:v>
      </x:c>
      <x:c r="M750" s="8" t="n">
        <x:f>K750-L750</x:f>
        <x:v>5.529108205123659</x:v>
      </x:c>
      <x:c r="N750" s="8" t="n">
        <x:f>M750^2</x:f>
        <x:v>30.571037543965772</x:v>
      </x:c>
      <x:c r="O750" s="8" t="n">
        <x:f>ABS(M750)</x:f>
        <x:v>5.529108205123659</x:v>
      </x:c>
      <x:c r="P750" s="7" t="n">
        <x:v>45401</x:v>
      </x:c>
    </x:row>
    <x:row r="751" ht="26" customHeight="1">
      <x:c r="A751" s="2"/>
      <x:c r="B751" s="2" t="n">
        <x:v>746</x:v>
      </x:c>
      <x:c r="C751" s="2" t="str">
        <x:v>Fabric &amp; Home Care / price_contribution</x:v>
      </x:c>
      <x:c r="D751" s="7" t="n">
        <x:v>45382</x:v>
      </x:c>
      <x:c r="E751" s="2" t="str">
        <x:v>Pre-earnings</x:v>
      </x:c>
      <x:c r="F751" s="7" t="n">
        <x:v>45400</x:v>
      </x:c>
      <x:c r="G751" s="2" t="str">
        <x:v>Own history</x:v>
      </x:c>
      <x:c r="H751" s="8" t="n">
        <x:f>'Model fits'!AA511</x:f>
        <x:v>4.919093851132686</x:v>
      </x:c>
      <x:c r="I751" s="8" t="n">
        <x:f>0</x:f>
        <x:v>0</x:v>
      </x:c>
      <x:c r="J751" s="8" t="n">
        <x:v>0</x:v>
      </x:c>
      <x:c r="K751" s="8" t="n">
        <x:f>H751-I751*J751</x:f>
        <x:v>4.919093851132686</x:v>
      </x:c>
      <x:c r="L751" s="8" t="n">
        <x:f>'PG facts'!D93</x:f>
        <x:v>2</x:v>
      </x:c>
      <x:c r="M751" s="8" t="n">
        <x:f>K751-L751</x:f>
        <x:v>2.9190938511326863</x:v>
      </x:c>
      <x:c r="N751" s="8" t="n">
        <x:f>M751^2</x:f>
        <x:v>8.521108911720658</x:v>
      </x:c>
      <x:c r="O751" s="8" t="n">
        <x:f>ABS(M751)</x:f>
        <x:v>2.9190938511326863</x:v>
      </x:c>
      <x:c r="P751" s="7" t="n">
        <x:v>45401</x:v>
      </x:c>
    </x:row>
    <x:row r="752" ht="26" customHeight="1">
      <x:c r="A752" s="2"/>
      <x:c r="B752" s="2" t="n">
        <x:v>747</x:v>
      </x:c>
      <x:c r="C752" s="2" t="str">
        <x:v>Fabric &amp; Home Care / price_contribution</x:v>
      </x:c>
      <x:c r="D752" s="7" t="n">
        <x:v>45473</x:v>
      </x:c>
      <x:c r="E752" s="2" t="str">
        <x:v>Origin</x:v>
      </x:c>
      <x:c r="F752" s="7" t="n">
        <x:v>45383</x:v>
      </x:c>
      <x:c r="G752" s="2" t="str">
        <x:v>Last actual</x:v>
      </x:c>
      <x:c r="H752" s="8" t="n">
        <x:f>AVERAGE('PG facts'!D86)</x:f>
        <x:v>4</x:v>
      </x:c>
      <x:c r="I752" s="8" t="n">
        <x:f>0</x:f>
        <x:v>0</x:v>
      </x:c>
      <x:c r="J752" s="8" t="n">
        <x:v>0</x:v>
      </x:c>
      <x:c r="K752" s="8" t="n">
        <x:f>H752-I752*J752</x:f>
        <x:v>4</x:v>
      </x:c>
      <x:c r="L752" s="8" t="n">
        <x:f>'PG facts'!D100</x:f>
        <x:v>-1</x:v>
      </x:c>
      <x:c r="M752" s="8" t="n">
        <x:f>K752-L752</x:f>
        <x:v>5</x:v>
      </x:c>
      <x:c r="N752" s="8" t="n">
        <x:f>M752^2</x:f>
        <x:v>25</x:v>
      </x:c>
      <x:c r="O752" s="8" t="n">
        <x:f>ABS(M752)</x:f>
        <x:v>5</x:v>
      </x:c>
      <x:c r="P752" s="7" t="n">
        <x:v>45503</x:v>
      </x:c>
    </x:row>
    <x:row r="753" ht="26" customHeight="1">
      <x:c r="A753" s="2"/>
      <x:c r="B753" s="2" t="n">
        <x:v>748</x:v>
      </x:c>
      <x:c r="C753" s="2" t="str">
        <x:v>Fabric &amp; Home Care / price_contribution</x:v>
      </x:c>
      <x:c r="D753" s="7" t="n">
        <x:v>45473</x:v>
      </x:c>
      <x:c r="E753" s="2" t="str">
        <x:v>Origin</x:v>
      </x:c>
      <x:c r="F753" s="7" t="n">
        <x:v>45383</x:v>
      </x:c>
      <x:c r="G753" s="2" t="str">
        <x:v>Four-quarter mean</x:v>
      </x:c>
      <x:c r="H753" s="8" t="n">
        <x:f>AVERAGE('PG facts'!D65,'PG facts'!D72,'PG facts'!D79,'PG facts'!D86)</x:f>
        <x:v>7.75</x:v>
      </x:c>
      <x:c r="I753" s="8" t="n">
        <x:f>0</x:f>
        <x:v>0</x:v>
      </x:c>
      <x:c r="J753" s="8" t="n">
        <x:v>0</x:v>
      </x:c>
      <x:c r="K753" s="8" t="n">
        <x:f>H753-I753*J753</x:f>
        <x:v>7.75</x:v>
      </x:c>
      <x:c r="L753" s="8" t="n">
        <x:f>'PG facts'!D100</x:f>
        <x:v>-1</x:v>
      </x:c>
      <x:c r="M753" s="8" t="n">
        <x:f>K753-L753</x:f>
        <x:v>8.75</x:v>
      </x:c>
      <x:c r="N753" s="8" t="n">
        <x:f>M753^2</x:f>
        <x:v>76.5625</x:v>
      </x:c>
      <x:c r="O753" s="8" t="n">
        <x:f>ABS(M753)</x:f>
        <x:v>8.75</x:v>
      </x:c>
      <x:c r="P753" s="7" t="n">
        <x:v>45503</x:v>
      </x:c>
    </x:row>
    <x:row r="754" ht="26" customHeight="1">
      <x:c r="A754" s="2"/>
      <x:c r="B754" s="2" t="n">
        <x:v>749</x:v>
      </x:c>
      <x:c r="C754" s="2" t="str">
        <x:v>Fabric &amp; Home Care / price_contribution</x:v>
      </x:c>
      <x:c r="D754" s="7" t="n">
        <x:v>45473</x:v>
      </x:c>
      <x:c r="E754" s="2" t="str">
        <x:v>Origin</x:v>
      </x:c>
      <x:c r="F754" s="7" t="n">
        <x:v>45383</x:v>
      </x:c>
      <x:c r="G754" s="2" t="str">
        <x:v>Broad market</x:v>
      </x:c>
      <x:c r="H754" s="8" t="n">
        <x:f>'Model fits'!AA512</x:f>
        <x:v>6.670742332321895</x:v>
      </x:c>
      <x:c r="I754" s="8" t="n">
        <x:f>0</x:f>
        <x:v>0</x:v>
      </x:c>
      <x:c r="J754" s="8" t="n">
        <x:v>0</x:v>
      </x:c>
      <x:c r="K754" s="8" t="n">
        <x:f>H754-I754*J754</x:f>
        <x:v>6.670742332321895</x:v>
      </x:c>
      <x:c r="L754" s="8" t="n">
        <x:f>'PG facts'!D100</x:f>
        <x:v>-1</x:v>
      </x:c>
      <x:c r="M754" s="8" t="n">
        <x:f>K754-L754</x:f>
        <x:v>7.670742332321895</x:v>
      </x:c>
      <x:c r="N754" s="8" t="n">
        <x:f>M754^2</x:f>
        <x:v>58.84028792887515</x:v>
      </x:c>
      <x:c r="O754" s="8" t="n">
        <x:f>ABS(M754)</x:f>
        <x:v>7.670742332321895</x:v>
      </x:c>
      <x:c r="P754" s="7" t="n">
        <x:v>45503</x:v>
      </x:c>
    </x:row>
    <x:row r="755" ht="26" customHeight="1">
      <x:c r="A755" s="2"/>
      <x:c r="B755" s="2" t="n">
        <x:v>750</x:v>
      </x:c>
      <x:c r="C755" s="2" t="str">
        <x:v>Fabric &amp; Home Care / price_contribution</x:v>
      </x:c>
      <x:c r="D755" s="7" t="n">
        <x:v>45473</x:v>
      </x:c>
      <x:c r="E755" s="2" t="str">
        <x:v>Origin</x:v>
      </x:c>
      <x:c r="F755" s="7" t="n">
        <x:v>45383</x:v>
      </x:c>
      <x:c r="G755" s="2" t="str">
        <x:v>Broad rolling 8</x:v>
      </x:c>
      <x:c r="H755" s="8" t="n">
        <x:f>'Model fits'!AA513</x:f>
        <x:v>7.48808725288578</x:v>
      </x:c>
      <x:c r="I755" s="8" t="n">
        <x:f>0</x:f>
        <x:v>0</x:v>
      </x:c>
      <x:c r="J755" s="8" t="n">
        <x:v>0</x:v>
      </x:c>
      <x:c r="K755" s="8" t="n">
        <x:f>H755-I755*J755</x:f>
        <x:v>7.48808725288578</x:v>
      </x:c>
      <x:c r="L755" s="8" t="n">
        <x:f>'PG facts'!D100</x:f>
        <x:v>-1</x:v>
      </x:c>
      <x:c r="M755" s="8" t="n">
        <x:f>K755-L755</x:f>
        <x:v>8.48808725288578</x:v>
      </x:c>
      <x:c r="N755" s="8" t="n">
        <x:f>M755^2</x:f>
        <x:v>72.04762521260207</x:v>
      </x:c>
      <x:c r="O755" s="8" t="n">
        <x:f>ABS(M755)</x:f>
        <x:v>8.48808725288578</x:v>
      </x:c>
      <x:c r="P755" s="7" t="n">
        <x:v>45503</x:v>
      </x:c>
    </x:row>
    <x:row r="756" ht="26" customHeight="1">
      <x:c r="A756" s="2"/>
      <x:c r="B756" s="2" t="n">
        <x:v>751</x:v>
      </x:c>
      <x:c r="C756" s="2" t="str">
        <x:v>Fabric &amp; Home Care / price_contribution</x:v>
      </x:c>
      <x:c r="D756" s="7" t="n">
        <x:v>45473</x:v>
      </x:c>
      <x:c r="E756" s="2" t="str">
        <x:v>Origin</x:v>
      </x:c>
      <x:c r="F756" s="7" t="n">
        <x:v>45383</x:v>
      </x:c>
      <x:c r="G756" s="2" t="str">
        <x:v>Own history</x:v>
      </x:c>
      <x:c r="H756" s="8" t="n">
        <x:f>'Model fits'!AA514</x:f>
        <x:v>6.381294964028777</x:v>
      </x:c>
      <x:c r="I756" s="8" t="n">
        <x:f>0</x:f>
        <x:v>0</x:v>
      </x:c>
      <x:c r="J756" s="8" t="n">
        <x:v>0</x:v>
      </x:c>
      <x:c r="K756" s="8" t="n">
        <x:f>H756-I756*J756</x:f>
        <x:v>6.381294964028777</x:v>
      </x:c>
      <x:c r="L756" s="8" t="n">
        <x:f>'PG facts'!D100</x:f>
        <x:v>-1</x:v>
      </x:c>
      <x:c r="M756" s="8" t="n">
        <x:f>K756-L756</x:f>
        <x:v>7.381294964028777</x:v>
      </x:c>
      <x:c r="N756" s="8" t="n">
        <x:f>M756^2</x:f>
        <x:v>54.48351534599659</x:v>
      </x:c>
      <x:c r="O756" s="8" t="n">
        <x:f>ABS(M756)</x:f>
        <x:v>7.381294964028777</x:v>
      </x:c>
      <x:c r="P756" s="7" t="n">
        <x:v>45503</x:v>
      </x:c>
    </x:row>
    <x:row r="757" ht="26" customHeight="1">
      <x:c r="A757" s="2"/>
      <x:c r="B757" s="2" t="n">
        <x:v>752</x:v>
      </x:c>
      <x:c r="C757" s="2" t="str">
        <x:v>Fabric &amp; Home Care / price_contribution</x:v>
      </x:c>
      <x:c r="D757" s="7" t="n">
        <x:v>45473</x:v>
      </x:c>
      <x:c r="E757" s="2" t="str">
        <x:v>Prior report</x:v>
      </x:c>
      <x:c r="F757" s="7" t="n">
        <x:v>45401</x:v>
      </x:c>
      <x:c r="G757" s="2" t="str">
        <x:v>Last actual</x:v>
      </x:c>
      <x:c r="H757" s="8" t="n">
        <x:f>AVERAGE('PG facts'!D93)</x:f>
        <x:v>2</x:v>
      </x:c>
      <x:c r="I757" s="8" t="n">
        <x:f>0</x:f>
        <x:v>0</x:v>
      </x:c>
      <x:c r="J757" s="8" t="n">
        <x:v>0</x:v>
      </x:c>
      <x:c r="K757" s="8" t="n">
        <x:f>H757-I757*J757</x:f>
        <x:v>2</x:v>
      </x:c>
      <x:c r="L757" s="8" t="n">
        <x:f>'PG facts'!D100</x:f>
        <x:v>-1</x:v>
      </x:c>
      <x:c r="M757" s="8" t="n">
        <x:f>K757-L757</x:f>
        <x:v>3</x:v>
      </x:c>
      <x:c r="N757" s="8" t="n">
        <x:f>M757^2</x:f>
        <x:v>9</x:v>
      </x:c>
      <x:c r="O757" s="8" t="n">
        <x:f>ABS(M757)</x:f>
        <x:v>3</x:v>
      </x:c>
      <x:c r="P757" s="7" t="n">
        <x:v>45503</x:v>
      </x:c>
    </x:row>
    <x:row r="758" ht="26" customHeight="1">
      <x:c r="A758" s="2"/>
      <x:c r="B758" s="2" t="n">
        <x:v>753</x:v>
      </x:c>
      <x:c r="C758" s="2" t="str">
        <x:v>Fabric &amp; Home Care / price_contribution</x:v>
      </x:c>
      <x:c r="D758" s="7" t="n">
        <x:v>45473</x:v>
      </x:c>
      <x:c r="E758" s="2" t="str">
        <x:v>Prior report</x:v>
      </x:c>
      <x:c r="F758" s="7" t="n">
        <x:v>45401</x:v>
      </x:c>
      <x:c r="G758" s="2" t="str">
        <x:v>Four-quarter mean</x:v>
      </x:c>
      <x:c r="H758" s="8" t="n">
        <x:f>AVERAGE('PG facts'!D72,'PG facts'!D79,'PG facts'!D86,'PG facts'!D93)</x:f>
        <x:v>5</x:v>
      </x:c>
      <x:c r="I758" s="8" t="n">
        <x:f>0</x:f>
        <x:v>0</x:v>
      </x:c>
      <x:c r="J758" s="8" t="n">
        <x:v>0</x:v>
      </x:c>
      <x:c r="K758" s="8" t="n">
        <x:f>H758-I758*J758</x:f>
        <x:v>5</x:v>
      </x:c>
      <x:c r="L758" s="8" t="n">
        <x:f>'PG facts'!D100</x:f>
        <x:v>-1</x:v>
      </x:c>
      <x:c r="M758" s="8" t="n">
        <x:f>K758-L758</x:f>
        <x:v>6</x:v>
      </x:c>
      <x:c r="N758" s="8" t="n">
        <x:f>M758^2</x:f>
        <x:v>36</x:v>
      </x:c>
      <x:c r="O758" s="8" t="n">
        <x:f>ABS(M758)</x:f>
        <x:v>6</x:v>
      </x:c>
      <x:c r="P758" s="7" t="n">
        <x:v>45503</x:v>
      </x:c>
    </x:row>
    <x:row r="759" ht="26" customHeight="1">
      <x:c r="A759" s="2"/>
      <x:c r="B759" s="2" t="n">
        <x:v>754</x:v>
      </x:c>
      <x:c r="C759" s="2" t="str">
        <x:v>Fabric &amp; Home Care / price_contribution</x:v>
      </x:c>
      <x:c r="D759" s="7" t="n">
        <x:v>45473</x:v>
      </x:c>
      <x:c r="E759" s="2" t="str">
        <x:v>Prior report</x:v>
      </x:c>
      <x:c r="F759" s="7" t="n">
        <x:v>45401</x:v>
      </x:c>
      <x:c r="G759" s="2" t="str">
        <x:v>Broad market</x:v>
      </x:c>
      <x:c r="H759" s="8" t="n">
        <x:f>'Model fits'!AA515</x:f>
        <x:v>6.3616919039117</x:v>
      </x:c>
      <x:c r="I759" s="8" t="n">
        <x:f>0</x:f>
        <x:v>0</x:v>
      </x:c>
      <x:c r="J759" s="8" t="n">
        <x:v>0</x:v>
      </x:c>
      <x:c r="K759" s="8" t="n">
        <x:f>H759-I759*J759</x:f>
        <x:v>6.3616919039117</x:v>
      </x:c>
      <x:c r="L759" s="8" t="n">
        <x:f>'PG facts'!D100</x:f>
        <x:v>-1</x:v>
      </x:c>
      <x:c r="M759" s="8" t="n">
        <x:f>K759-L759</x:f>
        <x:v>7.3616919039117</x:v>
      </x:c>
      <x:c r="N759" s="8" t="n">
        <x:f>M759^2</x:f>
        <x:v>54.19450768811907</x:v>
      </x:c>
      <x:c r="O759" s="8" t="n">
        <x:f>ABS(M759)</x:f>
        <x:v>7.3616919039117</x:v>
      </x:c>
      <x:c r="P759" s="7" t="n">
        <x:v>45503</x:v>
      </x:c>
    </x:row>
    <x:row r="760" ht="26" customHeight="1">
      <x:c r="A760" s="2"/>
      <x:c r="B760" s="2" t="n">
        <x:v>755</x:v>
      </x:c>
      <x:c r="C760" s="2" t="str">
        <x:v>Fabric &amp; Home Care / price_contribution</x:v>
      </x:c>
      <x:c r="D760" s="7" t="n">
        <x:v>45473</x:v>
      </x:c>
      <x:c r="E760" s="2" t="str">
        <x:v>Prior report</x:v>
      </x:c>
      <x:c r="F760" s="7" t="n">
        <x:v>45401</x:v>
      </x:c>
      <x:c r="G760" s="2" t="str">
        <x:v>Broad lag 1</x:v>
      </x:c>
      <x:c r="H760" s="8" t="n">
        <x:f>'Model fits'!AA516</x:f>
        <x:v>6.597710796306976</x:v>
      </x:c>
      <x:c r="I760" s="8" t="n">
        <x:f>0</x:f>
        <x:v>0</x:v>
      </x:c>
      <x:c r="J760" s="8" t="n">
        <x:v>0</x:v>
      </x:c>
      <x:c r="K760" s="8" t="n">
        <x:f>H760-I760*J760</x:f>
        <x:v>6.597710796306976</x:v>
      </x:c>
      <x:c r="L760" s="8" t="n">
        <x:f>'PG facts'!D100</x:f>
        <x:v>-1</x:v>
      </x:c>
      <x:c r="M760" s="8" t="n">
        <x:f>K760-L760</x:f>
        <x:v>7.597710796306976</x:v>
      </x:c>
      <x:c r="N760" s="8" t="n">
        <x:f>M760^2</x:f>
        <x:v>57.72520934431959</x:v>
      </x:c>
      <x:c r="O760" s="8" t="n">
        <x:f>ABS(M760)</x:f>
        <x:v>7.597710796306976</x:v>
      </x:c>
      <x:c r="P760" s="7" t="n">
        <x:v>45503</x:v>
      </x:c>
    </x:row>
    <x:row r="761" ht="26" customHeight="1">
      <x:c r="A761" s="2"/>
      <x:c r="B761" s="2" t="n">
        <x:v>756</x:v>
      </x:c>
      <x:c r="C761" s="2" t="str">
        <x:v>Fabric &amp; Home Care / price_contribution</x:v>
      </x:c>
      <x:c r="D761" s="7" t="n">
        <x:v>45473</x:v>
      </x:c>
      <x:c r="E761" s="2" t="str">
        <x:v>Prior report</x:v>
      </x:c>
      <x:c r="F761" s="7" t="n">
        <x:v>45401</x:v>
      </x:c>
      <x:c r="G761" s="2" t="str">
        <x:v>Broad rolling 8</x:v>
      </x:c>
      <x:c r="H761" s="8" t="n">
        <x:f>'Model fits'!AA517</x:f>
        <x:v>6.099852353195686</x:v>
      </x:c>
      <x:c r="I761" s="8" t="n">
        <x:f>0</x:f>
        <x:v>0</x:v>
      </x:c>
      <x:c r="J761" s="8" t="n">
        <x:v>0</x:v>
      </x:c>
      <x:c r="K761" s="8" t="n">
        <x:f>H761-I761*J761</x:f>
        <x:v>6.099852353195686</x:v>
      </x:c>
      <x:c r="L761" s="8" t="n">
        <x:f>'PG facts'!D100</x:f>
        <x:v>-1</x:v>
      </x:c>
      <x:c r="M761" s="8" t="n">
        <x:f>K761-L761</x:f>
        <x:v>7.099852353195686</x:v>
      </x:c>
      <x:c r="N761" s="8" t="n">
        <x:f>M761^2</x:f>
        <x:v>50.40790343717833</x:v>
      </x:c>
      <x:c r="O761" s="8" t="n">
        <x:f>ABS(M761)</x:f>
        <x:v>7.099852353195686</x:v>
      </x:c>
      <x:c r="P761" s="7" t="n">
        <x:v>45503</x:v>
      </x:c>
    </x:row>
    <x:row r="762" ht="26" customHeight="1">
      <x:c r="A762" s="2"/>
      <x:c r="B762" s="2" t="n">
        <x:v>757</x:v>
      </x:c>
      <x:c r="C762" s="2" t="str">
        <x:v>Fabric &amp; Home Care / price_contribution</x:v>
      </x:c>
      <x:c r="D762" s="7" t="n">
        <x:v>45473</x:v>
      </x:c>
      <x:c r="E762" s="2" t="str">
        <x:v>Prior report</x:v>
      </x:c>
      <x:c r="F762" s="7" t="n">
        <x:v>45401</x:v>
      </x:c>
      <x:c r="G762" s="2" t="str">
        <x:v>Own history</x:v>
      </x:c>
      <x:c r="H762" s="8" t="n">
        <x:f>'Model fits'!AA518</x:f>
        <x:v>3.1271676300578024</x:v>
      </x:c>
      <x:c r="I762" s="8" t="n">
        <x:f>0</x:f>
        <x:v>0</x:v>
      </x:c>
      <x:c r="J762" s="8" t="n">
        <x:v>0</x:v>
      </x:c>
      <x:c r="K762" s="8" t="n">
        <x:f>H762-I762*J762</x:f>
        <x:v>3.1271676300578024</x:v>
      </x:c>
      <x:c r="L762" s="8" t="n">
        <x:f>'PG facts'!D100</x:f>
        <x:v>-1</x:v>
      </x:c>
      <x:c r="M762" s="8" t="n">
        <x:f>K762-L762</x:f>
        <x:v>4.127167630057802</x:v>
      </x:c>
      <x:c r="N762" s="8" t="n">
        <x:f>M762^2</x:f>
        <x:v>17.033512646596936</x:v>
      </x:c>
      <x:c r="O762" s="8" t="n">
        <x:f>ABS(M762)</x:f>
        <x:v>4.127167630057802</x:v>
      </x:c>
      <x:c r="P762" s="7" t="n">
        <x:v>45503</x:v>
      </x:c>
    </x:row>
    <x:row r="763" ht="26" customHeight="1">
      <x:c r="A763" s="2"/>
      <x:c r="B763" s="2" t="n">
        <x:v>758</x:v>
      </x:c>
      <x:c r="C763" s="2" t="str">
        <x:v>Fabric &amp; Home Care / price_contribution</x:v>
      </x:c>
      <x:c r="D763" s="7" t="n">
        <x:v>45473</x:v>
      </x:c>
      <x:c r="E763" s="2" t="str">
        <x:v>Pre-earnings</x:v>
      </x:c>
      <x:c r="F763" s="7" t="n">
        <x:v>45502</x:v>
      </x:c>
      <x:c r="G763" s="2" t="str">
        <x:v>Last actual</x:v>
      </x:c>
      <x:c r="H763" s="8" t="n">
        <x:f>AVERAGE('PG facts'!D93)</x:f>
        <x:v>2</x:v>
      </x:c>
      <x:c r="I763" s="8" t="n">
        <x:f>0</x:f>
        <x:v>0</x:v>
      </x:c>
      <x:c r="J763" s="8" t="n">
        <x:v>0</x:v>
      </x:c>
      <x:c r="K763" s="8" t="n">
        <x:f>H763-I763*J763</x:f>
        <x:v>2</x:v>
      </x:c>
      <x:c r="L763" s="8" t="n">
        <x:f>'PG facts'!D100</x:f>
        <x:v>-1</x:v>
      </x:c>
      <x:c r="M763" s="8" t="n">
        <x:f>K763-L763</x:f>
        <x:v>3</x:v>
      </x:c>
      <x:c r="N763" s="8" t="n">
        <x:f>M763^2</x:f>
        <x:v>9</x:v>
      </x:c>
      <x:c r="O763" s="8" t="n">
        <x:f>ABS(M763)</x:f>
        <x:v>3</x:v>
      </x:c>
      <x:c r="P763" s="7" t="n">
        <x:v>45503</x:v>
      </x:c>
    </x:row>
    <x:row r="764" ht="26" customHeight="1">
      <x:c r="A764" s="2"/>
      <x:c r="B764" s="2" t="n">
        <x:v>759</x:v>
      </x:c>
      <x:c r="C764" s="2" t="str">
        <x:v>Fabric &amp; Home Care / price_contribution</x:v>
      </x:c>
      <x:c r="D764" s="7" t="n">
        <x:v>45473</x:v>
      </x:c>
      <x:c r="E764" s="2" t="str">
        <x:v>Pre-earnings</x:v>
      </x:c>
      <x:c r="F764" s="7" t="n">
        <x:v>45502</x:v>
      </x:c>
      <x:c r="G764" s="2" t="str">
        <x:v>Four-quarter mean</x:v>
      </x:c>
      <x:c r="H764" s="8" t="n">
        <x:f>AVERAGE('PG facts'!D72,'PG facts'!D79,'PG facts'!D86,'PG facts'!D93)</x:f>
        <x:v>5</x:v>
      </x:c>
      <x:c r="I764" s="8" t="n">
        <x:f>0</x:f>
        <x:v>0</x:v>
      </x:c>
      <x:c r="J764" s="8" t="n">
        <x:v>0</x:v>
      </x:c>
      <x:c r="K764" s="8" t="n">
        <x:f>H764-I764*J764</x:f>
        <x:v>5</x:v>
      </x:c>
      <x:c r="L764" s="8" t="n">
        <x:f>'PG facts'!D100</x:f>
        <x:v>-1</x:v>
      </x:c>
      <x:c r="M764" s="8" t="n">
        <x:f>K764-L764</x:f>
        <x:v>6</x:v>
      </x:c>
      <x:c r="N764" s="8" t="n">
        <x:f>M764^2</x:f>
        <x:v>36</x:v>
      </x:c>
      <x:c r="O764" s="8" t="n">
        <x:f>ABS(M764)</x:f>
        <x:v>6</x:v>
      </x:c>
      <x:c r="P764" s="7" t="n">
        <x:v>45503</x:v>
      </x:c>
    </x:row>
    <x:row r="765" ht="26" customHeight="1">
      <x:c r="A765" s="2"/>
      <x:c r="B765" s="2" t="n">
        <x:v>760</x:v>
      </x:c>
      <x:c r="C765" s="2" t="str">
        <x:v>Fabric &amp; Home Care / price_contribution</x:v>
      </x:c>
      <x:c r="D765" s="7" t="n">
        <x:v>45473</x:v>
      </x:c>
      <x:c r="E765" s="2" t="str">
        <x:v>Pre-earnings</x:v>
      </x:c>
      <x:c r="F765" s="7" t="n">
        <x:v>45502</x:v>
      </x:c>
      <x:c r="G765" s="2" t="str">
        <x:v>Broad market</x:v>
      </x:c>
      <x:c r="H765" s="8" t="n">
        <x:f>'Model fits'!AA519</x:f>
        <x:v>3.9972672108497687</x:v>
      </x:c>
      <x:c r="I765" s="8" t="n">
        <x:f>0</x:f>
        <x:v>0</x:v>
      </x:c>
      <x:c r="J765" s="8" t="n">
        <x:v>0</x:v>
      </x:c>
      <x:c r="K765" s="8" t="n">
        <x:f>H765-I765*J765</x:f>
        <x:v>3.9972672108497687</x:v>
      </x:c>
      <x:c r="L765" s="8" t="n">
        <x:f>'PG facts'!D100</x:f>
        <x:v>-1</x:v>
      </x:c>
      <x:c r="M765" s="8" t="n">
        <x:f>K765-L765</x:f>
        <x:v>4.997267210849769</x:v>
      </x:c>
      <x:c r="N765" s="8" t="n">
        <x:f>M765^2</x:f>
        <x:v>24.972679576634228</x:v>
      </x:c>
      <x:c r="O765" s="8" t="n">
        <x:f>ABS(M765)</x:f>
        <x:v>4.997267210849769</x:v>
      </x:c>
      <x:c r="P765" s="7" t="n">
        <x:v>45503</x:v>
      </x:c>
    </x:row>
    <x:row r="766" ht="26" customHeight="1">
      <x:c r="A766" s="2"/>
      <x:c r="B766" s="2" t="n">
        <x:v>761</x:v>
      </x:c>
      <x:c r="C766" s="2" t="str">
        <x:v>Fabric &amp; Home Care / price_contribution</x:v>
      </x:c>
      <x:c r="D766" s="7" t="n">
        <x:v>45473</x:v>
      </x:c>
      <x:c r="E766" s="2" t="str">
        <x:v>Pre-earnings</x:v>
      </x:c>
      <x:c r="F766" s="7" t="n">
        <x:v>45502</x:v>
      </x:c>
      <x:c r="G766" s="2" t="str">
        <x:v>Broad lag 1</x:v>
      </x:c>
      <x:c r="H766" s="8" t="n">
        <x:f>'Model fits'!AA520</x:f>
        <x:v>6.597710796306976</x:v>
      </x:c>
      <x:c r="I766" s="8" t="n">
        <x:f>0</x:f>
        <x:v>0</x:v>
      </x:c>
      <x:c r="J766" s="8" t="n">
        <x:v>0</x:v>
      </x:c>
      <x:c r="K766" s="8" t="n">
        <x:f>H766-I766*J766</x:f>
        <x:v>6.597710796306976</x:v>
      </x:c>
      <x:c r="L766" s="8" t="n">
        <x:f>'PG facts'!D100</x:f>
        <x:v>-1</x:v>
      </x:c>
      <x:c r="M766" s="8" t="n">
        <x:f>K766-L766</x:f>
        <x:v>7.597710796306976</x:v>
      </x:c>
      <x:c r="N766" s="8" t="n">
        <x:f>M766^2</x:f>
        <x:v>57.72520934431959</x:v>
      </x:c>
      <x:c r="O766" s="8" t="n">
        <x:f>ABS(M766)</x:f>
        <x:v>7.597710796306976</x:v>
      </x:c>
      <x:c r="P766" s="7" t="n">
        <x:v>45503</x:v>
      </x:c>
    </x:row>
    <x:row r="767" ht="26" customHeight="1">
      <x:c r="A767" s="2"/>
      <x:c r="B767" s="2" t="n">
        <x:v>762</x:v>
      </x:c>
      <x:c r="C767" s="2" t="str">
        <x:v>Fabric &amp; Home Care / price_contribution</x:v>
      </x:c>
      <x:c r="D767" s="7" t="n">
        <x:v>45473</x:v>
      </x:c>
      <x:c r="E767" s="2" t="str">
        <x:v>Pre-earnings</x:v>
      </x:c>
      <x:c r="F767" s="7" t="n">
        <x:v>45502</x:v>
      </x:c>
      <x:c r="G767" s="2" t="str">
        <x:v>Broad rolling 8</x:v>
      </x:c>
      <x:c r="H767" s="8" t="n">
        <x:f>'Model fits'!AA521</x:f>
        <x:v>3.539634360519313</x:v>
      </x:c>
      <x:c r="I767" s="8" t="n">
        <x:f>0</x:f>
        <x:v>0</x:v>
      </x:c>
      <x:c r="J767" s="8" t="n">
        <x:v>0</x:v>
      </x:c>
      <x:c r="K767" s="8" t="n">
        <x:f>H767-I767*J767</x:f>
        <x:v>3.539634360519313</x:v>
      </x:c>
      <x:c r="L767" s="8" t="n">
        <x:f>'PG facts'!D100</x:f>
        <x:v>-1</x:v>
      </x:c>
      <x:c r="M767" s="8" t="n">
        <x:f>K767-L767</x:f>
        <x:v>4.5396343605193135</x:v>
      </x:c>
      <x:c r="N767" s="8" t="n">
        <x:f>M767^2</x:f>
        <x:v>20.608280127207596</x:v>
      </x:c>
      <x:c r="O767" s="8" t="n">
        <x:f>ABS(M767)</x:f>
        <x:v>4.5396343605193135</x:v>
      </x:c>
      <x:c r="P767" s="7" t="n">
        <x:v>45503</x:v>
      </x:c>
    </x:row>
    <x:row r="768" ht="26" customHeight="1">
      <x:c r="A768" s="2"/>
      <x:c r="B768" s="2" t="n">
        <x:v>763</x:v>
      </x:c>
      <x:c r="C768" s="2" t="str">
        <x:v>Fabric &amp; Home Care / price_contribution</x:v>
      </x:c>
      <x:c r="D768" s="7" t="n">
        <x:v>45473</x:v>
      </x:c>
      <x:c r="E768" s="2" t="str">
        <x:v>Pre-earnings</x:v>
      </x:c>
      <x:c r="F768" s="7" t="n">
        <x:v>45502</x:v>
      </x:c>
      <x:c r="G768" s="2" t="str">
        <x:v>Own history</x:v>
      </x:c>
      <x:c r="H768" s="8" t="n">
        <x:f>'Model fits'!AA522</x:f>
        <x:v>3.1271676300578024</x:v>
      </x:c>
      <x:c r="I768" s="8" t="n">
        <x:f>0</x:f>
        <x:v>0</x:v>
      </x:c>
      <x:c r="J768" s="8" t="n">
        <x:v>0</x:v>
      </x:c>
      <x:c r="K768" s="8" t="n">
        <x:f>H768-I768*J768</x:f>
        <x:v>3.1271676300578024</x:v>
      </x:c>
      <x:c r="L768" s="8" t="n">
        <x:f>'PG facts'!D100</x:f>
        <x:v>-1</x:v>
      </x:c>
      <x:c r="M768" s="8" t="n">
        <x:f>K768-L768</x:f>
        <x:v>4.127167630057802</x:v>
      </x:c>
      <x:c r="N768" s="8" t="n">
        <x:f>M768^2</x:f>
        <x:v>17.033512646596936</x:v>
      </x:c>
      <x:c r="O768" s="8" t="n">
        <x:f>ABS(M768)</x:f>
        <x:v>4.127167630057802</x:v>
      </x:c>
      <x:c r="P768" s="7" t="n">
        <x:v>45503</x:v>
      </x:c>
    </x:row>
    <x:row r="769" ht="26" customHeight="1">
      <x:c r="A769" s="2"/>
      <x:c r="B769" s="2" t="n">
        <x:v>764</x:v>
      </x:c>
      <x:c r="C769" s="2" t="str">
        <x:v>Fabric &amp; Home Care / price_contribution</x:v>
      </x:c>
      <x:c r="D769" s="7" t="n">
        <x:v>45565</x:v>
      </x:c>
      <x:c r="E769" s="2" t="str">
        <x:v>Origin</x:v>
      </x:c>
      <x:c r="F769" s="7" t="n">
        <x:v>45474</x:v>
      </x:c>
      <x:c r="G769" s="2" t="str">
        <x:v>Last actual</x:v>
      </x:c>
      <x:c r="H769" s="8" t="n">
        <x:f>AVERAGE('PG facts'!D93)</x:f>
        <x:v>2</x:v>
      </x:c>
      <x:c r="I769" s="8" t="n">
        <x:f>0</x:f>
        <x:v>0</x:v>
      </x:c>
      <x:c r="J769" s="8" t="n">
        <x:v>0</x:v>
      </x:c>
      <x:c r="K769" s="8" t="n">
        <x:f>H769-I769*J769</x:f>
        <x:v>2</x:v>
      </x:c>
      <x:c r="L769" s="8" t="n">
        <x:f>'PG facts'!D107</x:f>
        <x:v>0</x:v>
      </x:c>
      <x:c r="M769" s="8" t="n">
        <x:f>K769-L769</x:f>
        <x:v>2</x:v>
      </x:c>
      <x:c r="N769" s="8" t="n">
        <x:f>M769^2</x:f>
        <x:v>4</x:v>
      </x:c>
      <x:c r="O769" s="8" t="n">
        <x:f>ABS(M769)</x:f>
        <x:v>2</x:v>
      </x:c>
      <x:c r="P769" s="7" t="n">
        <x:v>45583</x:v>
      </x:c>
    </x:row>
    <x:row r="770" ht="26" customHeight="1">
      <x:c r="A770" s="2"/>
      <x:c r="B770" s="2" t="n">
        <x:v>765</x:v>
      </x:c>
      <x:c r="C770" s="2" t="str">
        <x:v>Fabric &amp; Home Care / price_contribution</x:v>
      </x:c>
      <x:c r="D770" s="7" t="n">
        <x:v>45565</x:v>
      </x:c>
      <x:c r="E770" s="2" t="str">
        <x:v>Origin</x:v>
      </x:c>
      <x:c r="F770" s="7" t="n">
        <x:v>45474</x:v>
      </x:c>
      <x:c r="G770" s="2" t="str">
        <x:v>Four-quarter mean</x:v>
      </x:c>
      <x:c r="H770" s="8" t="n">
        <x:f>AVERAGE('PG facts'!D72,'PG facts'!D79,'PG facts'!D86,'PG facts'!D93)</x:f>
        <x:v>5</x:v>
      </x:c>
      <x:c r="I770" s="8" t="n">
        <x:f>0</x:f>
        <x:v>0</x:v>
      </x:c>
      <x:c r="J770" s="8" t="n">
        <x:v>0</x:v>
      </x:c>
      <x:c r="K770" s="8" t="n">
        <x:f>H770-I770*J770</x:f>
        <x:v>5</x:v>
      </x:c>
      <x:c r="L770" s="8" t="n">
        <x:f>'PG facts'!D107</x:f>
        <x:v>0</x:v>
      </x:c>
      <x:c r="M770" s="8" t="n">
        <x:f>K770-L770</x:f>
        <x:v>5</x:v>
      </x:c>
      <x:c r="N770" s="8" t="n">
        <x:f>M770^2</x:f>
        <x:v>25</x:v>
      </x:c>
      <x:c r="O770" s="8" t="n">
        <x:f>ABS(M770)</x:f>
        <x:v>5</x:v>
      </x:c>
      <x:c r="P770" s="7" t="n">
        <x:v>45583</x:v>
      </x:c>
    </x:row>
    <x:row r="771" ht="26" customHeight="1">
      <x:c r="A771" s="2"/>
      <x:c r="B771" s="2" t="n">
        <x:v>766</x:v>
      </x:c>
      <x:c r="C771" s="2" t="str">
        <x:v>Fabric &amp; Home Care / price_contribution</x:v>
      </x:c>
      <x:c r="D771" s="7" t="n">
        <x:v>45565</x:v>
      </x:c>
      <x:c r="E771" s="2" t="str">
        <x:v>Origin</x:v>
      </x:c>
      <x:c r="F771" s="7" t="n">
        <x:v>45474</x:v>
      </x:c>
      <x:c r="G771" s="2" t="str">
        <x:v>Broad market</x:v>
      </x:c>
      <x:c r="H771" s="8" t="n">
        <x:f>'Model fits'!AA523</x:f>
        <x:v>4.939522741253782</x:v>
      </x:c>
      <x:c r="I771" s="8" t="n">
        <x:f>0</x:f>
        <x:v>0</x:v>
      </x:c>
      <x:c r="J771" s="8" t="n">
        <x:v>0</x:v>
      </x:c>
      <x:c r="K771" s="8" t="n">
        <x:f>H771-I771*J771</x:f>
        <x:v>4.939522741253782</x:v>
      </x:c>
      <x:c r="L771" s="8" t="n">
        <x:f>'PG facts'!D107</x:f>
        <x:v>0</x:v>
      </x:c>
      <x:c r="M771" s="8" t="n">
        <x:f>K771-L771</x:f>
        <x:v>4.939522741253782</x:v>
      </x:c>
      <x:c r="N771" s="8" t="n">
        <x:f>M771^2</x:f>
        <x:v>24.39888491136328</x:v>
      </x:c>
      <x:c r="O771" s="8" t="n">
        <x:f>ABS(M771)</x:f>
        <x:v>4.939522741253782</x:v>
      </x:c>
      <x:c r="P771" s="7" t="n">
        <x:v>45583</x:v>
      </x:c>
    </x:row>
    <x:row r="772" ht="26" customHeight="1">
      <x:c r="A772" s="2"/>
      <x:c r="B772" s="2" t="n">
        <x:v>767</x:v>
      </x:c>
      <x:c r="C772" s="2" t="str">
        <x:v>Fabric &amp; Home Care / price_contribution</x:v>
      </x:c>
      <x:c r="D772" s="7" t="n">
        <x:v>45565</x:v>
      </x:c>
      <x:c r="E772" s="2" t="str">
        <x:v>Origin</x:v>
      </x:c>
      <x:c r="F772" s="7" t="n">
        <x:v>45474</x:v>
      </x:c>
      <x:c r="G772" s="2" t="str">
        <x:v>Broad rolling 8</x:v>
      </x:c>
      <x:c r="H772" s="8" t="n">
        <x:f>'Model fits'!AA524</x:f>
        <x:v>4.559916194708391</x:v>
      </x:c>
      <x:c r="I772" s="8" t="n">
        <x:f>0</x:f>
        <x:v>0</x:v>
      </x:c>
      <x:c r="J772" s="8" t="n">
        <x:v>0</x:v>
      </x:c>
      <x:c r="K772" s="8" t="n">
        <x:f>H772-I772*J772</x:f>
        <x:v>4.559916194708391</x:v>
      </x:c>
      <x:c r="L772" s="8" t="n">
        <x:f>'PG facts'!D107</x:f>
        <x:v>0</x:v>
      </x:c>
      <x:c r="M772" s="8" t="n">
        <x:f>K772-L772</x:f>
        <x:v>4.559916194708391</x:v>
      </x:c>
      <x:c r="N772" s="8" t="n">
        <x:f>M772^2</x:f>
        <x:v>20.792835702763853</x:v>
      </x:c>
      <x:c r="O772" s="8" t="n">
        <x:f>ABS(M772)</x:f>
        <x:v>4.559916194708391</x:v>
      </x:c>
      <x:c r="P772" s="7" t="n">
        <x:v>45583</x:v>
      </x:c>
    </x:row>
    <x:row r="773" ht="26" customHeight="1">
      <x:c r="A773" s="2"/>
      <x:c r="B773" s="2" t="n">
        <x:v>768</x:v>
      </x:c>
      <x:c r="C773" s="2" t="str">
        <x:v>Fabric &amp; Home Care / price_contribution</x:v>
      </x:c>
      <x:c r="D773" s="7" t="n">
        <x:v>45565</x:v>
      </x:c>
      <x:c r="E773" s="2" t="str">
        <x:v>Origin</x:v>
      </x:c>
      <x:c r="F773" s="7" t="n">
        <x:v>45474</x:v>
      </x:c>
      <x:c r="G773" s="2" t="str">
        <x:v>Own history</x:v>
      </x:c>
      <x:c r="H773" s="8" t="n">
        <x:f>'Model fits'!AA525</x:f>
        <x:v>5.158576051779935</x:v>
      </x:c>
      <x:c r="I773" s="8" t="n">
        <x:f>0</x:f>
        <x:v>0</x:v>
      </x:c>
      <x:c r="J773" s="8" t="n">
        <x:v>0</x:v>
      </x:c>
      <x:c r="K773" s="8" t="n">
        <x:f>H773-I773*J773</x:f>
        <x:v>5.158576051779935</x:v>
      </x:c>
      <x:c r="L773" s="8" t="n">
        <x:f>'PG facts'!D107</x:f>
        <x:v>0</x:v>
      </x:c>
      <x:c r="M773" s="8" t="n">
        <x:f>K773-L773</x:f>
        <x:v>5.158576051779935</x:v>
      </x:c>
      <x:c r="N773" s="8" t="n">
        <x:f>M773^2</x:f>
        <x:v>26.61090688199746</x:v>
      </x:c>
      <x:c r="O773" s="8" t="n">
        <x:f>ABS(M773)</x:f>
        <x:v>5.158576051779935</x:v>
      </x:c>
      <x:c r="P773" s="7" t="n">
        <x:v>45583</x:v>
      </x:c>
    </x:row>
    <x:row r="774" ht="26" customHeight="1">
      <x:c r="A774" s="2"/>
      <x:c r="B774" s="2" t="n">
        <x:v>769</x:v>
      </x:c>
      <x:c r="C774" s="2" t="str">
        <x:v>Fabric &amp; Home Care / price_contribution</x:v>
      </x:c>
      <x:c r="D774" s="7" t="n">
        <x:v>45565</x:v>
      </x:c>
      <x:c r="E774" s="2" t="str">
        <x:v>Prior report</x:v>
      </x:c>
      <x:c r="F774" s="7" t="n">
        <x:v>45503</x:v>
      </x:c>
      <x:c r="G774" s="2" t="str">
        <x:v>Last actual</x:v>
      </x:c>
      <x:c r="H774" s="8" t="n">
        <x:f>AVERAGE('PG facts'!D100)</x:f>
        <x:v>-1</x:v>
      </x:c>
      <x:c r="I774" s="8" t="n">
        <x:f>0</x:f>
        <x:v>0</x:v>
      </x:c>
      <x:c r="J774" s="8" t="n">
        <x:v>0</x:v>
      </x:c>
      <x:c r="K774" s="8" t="n">
        <x:f>H774-I774*J774</x:f>
        <x:v>-1</x:v>
      </x:c>
      <x:c r="L774" s="8" t="n">
        <x:f>'PG facts'!D107</x:f>
        <x:v>0</x:v>
      </x:c>
      <x:c r="M774" s="8" t="n">
        <x:f>K774-L774</x:f>
        <x:v>-1</x:v>
      </x:c>
      <x:c r="N774" s="8" t="n">
        <x:f>M774^2</x:f>
        <x:v>1</x:v>
      </x:c>
      <x:c r="O774" s="8" t="n">
        <x:f>ABS(M774)</x:f>
        <x:v>1</x:v>
      </x:c>
      <x:c r="P774" s="7" t="n">
        <x:v>45583</x:v>
      </x:c>
    </x:row>
    <x:row r="775" ht="26" customHeight="1">
      <x:c r="A775" s="2"/>
      <x:c r="B775" s="2" t="n">
        <x:v>770</x:v>
      </x:c>
      <x:c r="C775" s="2" t="str">
        <x:v>Fabric &amp; Home Care / price_contribution</x:v>
      </x:c>
      <x:c r="D775" s="7" t="n">
        <x:v>45565</x:v>
      </x:c>
      <x:c r="E775" s="2" t="str">
        <x:v>Prior report</x:v>
      </x:c>
      <x:c r="F775" s="7" t="n">
        <x:v>45503</x:v>
      </x:c>
      <x:c r="G775" s="2" t="str">
        <x:v>Four-quarter mean</x:v>
      </x:c>
      <x:c r="H775" s="8" t="n">
        <x:f>AVERAGE('PG facts'!D79,'PG facts'!D86,'PG facts'!D93,'PG facts'!D100)</x:f>
        <x:v>3.25</x:v>
      </x:c>
      <x:c r="I775" s="8" t="n">
        <x:f>0</x:f>
        <x:v>0</x:v>
      </x:c>
      <x:c r="J775" s="8" t="n">
        <x:v>0</x:v>
      </x:c>
      <x:c r="K775" s="8" t="n">
        <x:f>H775-I775*J775</x:f>
        <x:v>3.25</x:v>
      </x:c>
      <x:c r="L775" s="8" t="n">
        <x:f>'PG facts'!D107</x:f>
        <x:v>0</x:v>
      </x:c>
      <x:c r="M775" s="8" t="n">
        <x:f>K775-L775</x:f>
        <x:v>3.25</x:v>
      </x:c>
      <x:c r="N775" s="8" t="n">
        <x:f>M775^2</x:f>
        <x:v>10.5625</x:v>
      </x:c>
      <x:c r="O775" s="8" t="n">
        <x:f>ABS(M775)</x:f>
        <x:v>3.25</x:v>
      </x:c>
      <x:c r="P775" s="7" t="n">
        <x:v>45583</x:v>
      </x:c>
    </x:row>
    <x:row r="776" ht="26" customHeight="1">
      <x:c r="A776" s="2"/>
      <x:c r="B776" s="2" t="n">
        <x:v>771</x:v>
      </x:c>
      <x:c r="C776" s="2" t="str">
        <x:v>Fabric &amp; Home Care / price_contribution</x:v>
      </x:c>
      <x:c r="D776" s="7" t="n">
        <x:v>45565</x:v>
      </x:c>
      <x:c r="E776" s="2" t="str">
        <x:v>Prior report</x:v>
      </x:c>
      <x:c r="F776" s="7" t="n">
        <x:v>45503</x:v>
      </x:c>
      <x:c r="G776" s="2" t="str">
        <x:v>Broad market</x:v>
      </x:c>
      <x:c r="H776" s="8" t="n">
        <x:f>'Model fits'!AA526</x:f>
        <x:v>3.5360300846924826</x:v>
      </x:c>
      <x:c r="I776" s="8" t="n">
        <x:f>0</x:f>
        <x:v>0</x:v>
      </x:c>
      <x:c r="J776" s="8" t="n">
        <x:v>0</x:v>
      </x:c>
      <x:c r="K776" s="8" t="n">
        <x:f>H776-I776*J776</x:f>
        <x:v>3.5360300846924826</x:v>
      </x:c>
      <x:c r="L776" s="8" t="n">
        <x:f>'PG facts'!D107</x:f>
        <x:v>0</x:v>
      </x:c>
      <x:c r="M776" s="8" t="n">
        <x:f>K776-L776</x:f>
        <x:v>3.5360300846924826</x:v>
      </x:c>
      <x:c r="N776" s="8" t="n">
        <x:f>M776^2</x:f>
        <x:v>12.503508759850325</x:v>
      </x:c>
      <x:c r="O776" s="8" t="n">
        <x:f>ABS(M776)</x:f>
        <x:v>3.5360300846924826</x:v>
      </x:c>
      <x:c r="P776" s="7" t="n">
        <x:v>45583</x:v>
      </x:c>
    </x:row>
    <x:row r="777" ht="26" customHeight="1">
      <x:c r="A777" s="2"/>
      <x:c r="B777" s="2" t="n">
        <x:v>772</x:v>
      </x:c>
      <x:c r="C777" s="2" t="str">
        <x:v>Fabric &amp; Home Care / price_contribution</x:v>
      </x:c>
      <x:c r="D777" s="7" t="n">
        <x:v>45565</x:v>
      </x:c>
      <x:c r="E777" s="2" t="str">
        <x:v>Prior report</x:v>
      </x:c>
      <x:c r="F777" s="7" t="n">
        <x:v>45503</x:v>
      </x:c>
      <x:c r="G777" s="2" t="str">
        <x:v>Broad lag 1</x:v>
      </x:c>
      <x:c r="H777" s="8" t="n">
        <x:f>'Model fits'!AA527</x:f>
        <x:v>4.451473953334508</x:v>
      </x:c>
      <x:c r="I777" s="8" t="n">
        <x:f>0</x:f>
        <x:v>0</x:v>
      </x:c>
      <x:c r="J777" s="8" t="n">
        <x:v>0</x:v>
      </x:c>
      <x:c r="K777" s="8" t="n">
        <x:f>H777-I777*J777</x:f>
        <x:v>4.451473953334508</x:v>
      </x:c>
      <x:c r="L777" s="8" t="n">
        <x:f>'PG facts'!D107</x:f>
        <x:v>0</x:v>
      </x:c>
      <x:c r="M777" s="8" t="n">
        <x:f>K777-L777</x:f>
        <x:v>4.451473953334508</x:v>
      </x:c>
      <x:c r="N777" s="8" t="n">
        <x:f>M777^2</x:f>
        <x:v>19.815620357215554</x:v>
      </x:c>
      <x:c r="O777" s="8" t="n">
        <x:f>ABS(M777)</x:f>
        <x:v>4.451473953334508</x:v>
      </x:c>
      <x:c r="P777" s="7" t="n">
        <x:v>45583</x:v>
      </x:c>
    </x:row>
    <x:row r="778" ht="26" customHeight="1">
      <x:c r="A778" s="2"/>
      <x:c r="B778" s="2" t="n">
        <x:v>773</x:v>
      </x:c>
      <x:c r="C778" s="2" t="str">
        <x:v>Fabric &amp; Home Care / price_contribution</x:v>
      </x:c>
      <x:c r="D778" s="7" t="n">
        <x:v>45565</x:v>
      </x:c>
      <x:c r="E778" s="2" t="str">
        <x:v>Prior report</x:v>
      </x:c>
      <x:c r="F778" s="7" t="n">
        <x:v>45503</x:v>
      </x:c>
      <x:c r="G778" s="2" t="str">
        <x:v>Broad rolling 8</x:v>
      </x:c>
      <x:c r="H778" s="8" t="n">
        <x:f>'Model fits'!AA528</x:f>
        <x:v>-1.334197174548112</x:v>
      </x:c>
      <x:c r="I778" s="8" t="n">
        <x:f>0</x:f>
        <x:v>0</x:v>
      </x:c>
      <x:c r="J778" s="8" t="n">
        <x:v>0</x:v>
      </x:c>
      <x:c r="K778" s="8" t="n">
        <x:f>H778-I778*J778</x:f>
        <x:v>-1.334197174548112</x:v>
      </x:c>
      <x:c r="L778" s="8" t="n">
        <x:f>'PG facts'!D107</x:f>
        <x:v>0</x:v>
      </x:c>
      <x:c r="M778" s="8" t="n">
        <x:f>K778-L778</x:f>
        <x:v>-1.334197174548112</x:v>
      </x:c>
      <x:c r="N778" s="8" t="n">
        <x:f>M778^2</x:f>
        <x:v>1.7800821005721654</x:v>
      </x:c>
      <x:c r="O778" s="8" t="n">
        <x:f>ABS(M778)</x:f>
        <x:v>1.334197174548112</x:v>
      </x:c>
      <x:c r="P778" s="7" t="n">
        <x:v>45583</x:v>
      </x:c>
    </x:row>
    <x:row r="779" ht="26" customHeight="1">
      <x:c r="A779" s="2"/>
      <x:c r="B779" s="2" t="n">
        <x:v>774</x:v>
      </x:c>
      <x:c r="C779" s="2" t="str">
        <x:v>Fabric &amp; Home Care / price_contribution</x:v>
      </x:c>
      <x:c r="D779" s="7" t="n">
        <x:v>45565</x:v>
      </x:c>
      <x:c r="E779" s="2" t="str">
        <x:v>Prior report</x:v>
      </x:c>
      <x:c r="F779" s="7" t="n">
        <x:v>45503</x:v>
      </x:c>
      <x:c r="G779" s="2" t="str">
        <x:v>Own history</x:v>
      </x:c>
      <x:c r="H779" s="8" t="n">
        <x:f>'Model fits'!AA529</x:f>
        <x:v>0.12406947890818931</x:v>
      </x:c>
      <x:c r="I779" s="8" t="n">
        <x:f>0</x:f>
        <x:v>0</x:v>
      </x:c>
      <x:c r="J779" s="8" t="n">
        <x:v>0</x:v>
      </x:c>
      <x:c r="K779" s="8" t="n">
        <x:f>H779-I779*J779</x:f>
        <x:v>0.12406947890818931</x:v>
      </x:c>
      <x:c r="L779" s="8" t="n">
        <x:f>'PG facts'!D107</x:f>
        <x:v>0</x:v>
      </x:c>
      <x:c r="M779" s="8" t="n">
        <x:f>K779-L779</x:f>
        <x:v>0.12406947890818931</x:v>
      </x:c>
      <x:c r="N779" s="8" t="n">
        <x:f>M779^2</x:f>
        <x:v>0.015393235596549633</x:v>
      </x:c>
      <x:c r="O779" s="8" t="n">
        <x:f>ABS(M779)</x:f>
        <x:v>0.12406947890818931</x:v>
      </x:c>
      <x:c r="P779" s="7" t="n">
        <x:v>45583</x:v>
      </x:c>
    </x:row>
    <x:row r="780" ht="26" customHeight="1">
      <x:c r="A780" s="2"/>
      <x:c r="B780" s="2" t="n">
        <x:v>775</x:v>
      </x:c>
      <x:c r="C780" s="2" t="str">
        <x:v>Fabric &amp; Home Care / price_contribution</x:v>
      </x:c>
      <x:c r="D780" s="7" t="n">
        <x:v>45565</x:v>
      </x:c>
      <x:c r="E780" s="2" t="str">
        <x:v>Pre-earnings</x:v>
      </x:c>
      <x:c r="F780" s="7" t="n">
        <x:v>45582</x:v>
      </x:c>
      <x:c r="G780" s="2" t="str">
        <x:v>Last actual</x:v>
      </x:c>
      <x:c r="H780" s="8" t="n">
        <x:f>AVERAGE('PG facts'!D100)</x:f>
        <x:v>-1</x:v>
      </x:c>
      <x:c r="I780" s="8" t="n">
        <x:f>0</x:f>
        <x:v>0</x:v>
      </x:c>
      <x:c r="J780" s="8" t="n">
        <x:v>0</x:v>
      </x:c>
      <x:c r="K780" s="8" t="n">
        <x:f>H780-I780*J780</x:f>
        <x:v>-1</x:v>
      </x:c>
      <x:c r="L780" s="8" t="n">
        <x:f>'PG facts'!D107</x:f>
        <x:v>0</x:v>
      </x:c>
      <x:c r="M780" s="8" t="n">
        <x:f>K780-L780</x:f>
        <x:v>-1</x:v>
      </x:c>
      <x:c r="N780" s="8" t="n">
        <x:f>M780^2</x:f>
        <x:v>1</x:v>
      </x:c>
      <x:c r="O780" s="8" t="n">
        <x:f>ABS(M780)</x:f>
        <x:v>1</x:v>
      </x:c>
      <x:c r="P780" s="7" t="n">
        <x:v>45583</x:v>
      </x:c>
    </x:row>
    <x:row r="781" ht="26" customHeight="1">
      <x:c r="A781" s="2"/>
      <x:c r="B781" s="2" t="n">
        <x:v>776</x:v>
      </x:c>
      <x:c r="C781" s="2" t="str">
        <x:v>Fabric &amp; Home Care / price_contribution</x:v>
      </x:c>
      <x:c r="D781" s="7" t="n">
        <x:v>45565</x:v>
      </x:c>
      <x:c r="E781" s="2" t="str">
        <x:v>Pre-earnings</x:v>
      </x:c>
      <x:c r="F781" s="7" t="n">
        <x:v>45582</x:v>
      </x:c>
      <x:c r="G781" s="2" t="str">
        <x:v>Four-quarter mean</x:v>
      </x:c>
      <x:c r="H781" s="8" t="n">
        <x:f>AVERAGE('PG facts'!D79,'PG facts'!D86,'PG facts'!D93,'PG facts'!D100)</x:f>
        <x:v>3.25</x:v>
      </x:c>
      <x:c r="I781" s="8" t="n">
        <x:f>0</x:f>
        <x:v>0</x:v>
      </x:c>
      <x:c r="J781" s="8" t="n">
        <x:v>0</x:v>
      </x:c>
      <x:c r="K781" s="8" t="n">
        <x:f>H781-I781*J781</x:f>
        <x:v>3.25</x:v>
      </x:c>
      <x:c r="L781" s="8" t="n">
        <x:f>'PG facts'!D107</x:f>
        <x:v>0</x:v>
      </x:c>
      <x:c r="M781" s="8" t="n">
        <x:f>K781-L781</x:f>
        <x:v>3.25</x:v>
      </x:c>
      <x:c r="N781" s="8" t="n">
        <x:f>M781^2</x:f>
        <x:v>10.5625</x:v>
      </x:c>
      <x:c r="O781" s="8" t="n">
        <x:f>ABS(M781)</x:f>
        <x:v>3.25</x:v>
      </x:c>
      <x:c r="P781" s="7" t="n">
        <x:v>45583</x:v>
      </x:c>
    </x:row>
    <x:row r="782" ht="26" customHeight="1">
      <x:c r="A782" s="2"/>
      <x:c r="B782" s="2" t="n">
        <x:v>777</x:v>
      </x:c>
      <x:c r="C782" s="2" t="str">
        <x:v>Fabric &amp; Home Care / price_contribution</x:v>
      </x:c>
      <x:c r="D782" s="7" t="n">
        <x:v>45565</x:v>
      </x:c>
      <x:c r="E782" s="2" t="str">
        <x:v>Pre-earnings</x:v>
      </x:c>
      <x:c r="F782" s="7" t="n">
        <x:v>45582</x:v>
      </x:c>
      <x:c r="G782" s="2" t="str">
        <x:v>Broad market</x:v>
      </x:c>
      <x:c r="H782" s="8" t="n">
        <x:f>'Model fits'!AA530</x:f>
        <x:v>1.9137309410892844</x:v>
      </x:c>
      <x:c r="I782" s="8" t="n">
        <x:f>0</x:f>
        <x:v>0</x:v>
      </x:c>
      <x:c r="J782" s="8" t="n">
        <x:v>0</x:v>
      </x:c>
      <x:c r="K782" s="8" t="n">
        <x:f>H782-I782*J782</x:f>
        <x:v>1.9137309410892844</x:v>
      </x:c>
      <x:c r="L782" s="8" t="n">
        <x:f>'PG facts'!D107</x:f>
        <x:v>0</x:v>
      </x:c>
      <x:c r="M782" s="8" t="n">
        <x:f>K782-L782</x:f>
        <x:v>1.9137309410892844</x:v>
      </x:c>
      <x:c r="N782" s="8" t="n">
        <x:f>M782^2</x:f>
        <x:v>3.662366114882478</x:v>
      </x:c>
      <x:c r="O782" s="8" t="n">
        <x:f>ABS(M782)</x:f>
        <x:v>1.9137309410892844</x:v>
      </x:c>
      <x:c r="P782" s="7" t="n">
        <x:v>45583</x:v>
      </x:c>
    </x:row>
    <x:row r="783" ht="26" customHeight="1">
      <x:c r="A783" s="2"/>
      <x:c r="B783" s="2" t="n">
        <x:v>778</x:v>
      </x:c>
      <x:c r="C783" s="2" t="str">
        <x:v>Fabric &amp; Home Care / price_contribution</x:v>
      </x:c>
      <x:c r="D783" s="7" t="n">
        <x:v>45565</x:v>
      </x:c>
      <x:c r="E783" s="2" t="str">
        <x:v>Pre-earnings</x:v>
      </x:c>
      <x:c r="F783" s="7" t="n">
        <x:v>45582</x:v>
      </x:c>
      <x:c r="G783" s="2" t="str">
        <x:v>Broad lag 1</x:v>
      </x:c>
      <x:c r="H783" s="8" t="n">
        <x:f>'Model fits'!AA531</x:f>
        <x:v>4.451473953334508</x:v>
      </x:c>
      <x:c r="I783" s="8" t="n">
        <x:f>0</x:f>
        <x:v>0</x:v>
      </x:c>
      <x:c r="J783" s="8" t="n">
        <x:v>0</x:v>
      </x:c>
      <x:c r="K783" s="8" t="n">
        <x:f>H783-I783*J783</x:f>
        <x:v>4.451473953334508</x:v>
      </x:c>
      <x:c r="L783" s="8" t="n">
        <x:f>'PG facts'!D107</x:f>
        <x:v>0</x:v>
      </x:c>
      <x:c r="M783" s="8" t="n">
        <x:f>K783-L783</x:f>
        <x:v>4.451473953334508</x:v>
      </x:c>
      <x:c r="N783" s="8" t="n">
        <x:f>M783^2</x:f>
        <x:v>19.815620357215554</x:v>
      </x:c>
      <x:c r="O783" s="8" t="n">
        <x:f>ABS(M783)</x:f>
        <x:v>4.451473953334508</x:v>
      </x:c>
      <x:c r="P783" s="7" t="n">
        <x:v>45583</x:v>
      </x:c>
    </x:row>
    <x:row r="784" ht="26" customHeight="1">
      <x:c r="A784" s="2"/>
      <x:c r="B784" s="2" t="n">
        <x:v>779</x:v>
      </x:c>
      <x:c r="C784" s="2" t="str">
        <x:v>Fabric &amp; Home Care / price_contribution</x:v>
      </x:c>
      <x:c r="D784" s="7" t="n">
        <x:v>45565</x:v>
      </x:c>
      <x:c r="E784" s="2" t="str">
        <x:v>Pre-earnings</x:v>
      </x:c>
      <x:c r="F784" s="7" t="n">
        <x:v>45582</x:v>
      </x:c>
      <x:c r="G784" s="2" t="str">
        <x:v>Broad rolling 8</x:v>
      </x:c>
      <x:c r="H784" s="8" t="n">
        <x:f>'Model fits'!AA532</x:f>
        <x:v>-4.322885684063832</x:v>
      </x:c>
      <x:c r="I784" s="8" t="n">
        <x:f>0</x:f>
        <x:v>0</x:v>
      </x:c>
      <x:c r="J784" s="8" t="n">
        <x:v>0</x:v>
      </x:c>
      <x:c r="K784" s="8" t="n">
        <x:f>H784-I784*J784</x:f>
        <x:v>-4.322885684063832</x:v>
      </x:c>
      <x:c r="L784" s="8" t="n">
        <x:f>'PG facts'!D107</x:f>
        <x:v>0</x:v>
      </x:c>
      <x:c r="M784" s="8" t="n">
        <x:f>K784-L784</x:f>
        <x:v>-4.322885684063832</x:v>
      </x:c>
      <x:c r="N784" s="8" t="n">
        <x:f>M784^2</x:f>
        <x:v>18.687340637484024</x:v>
      </x:c>
      <x:c r="O784" s="8" t="n">
        <x:f>ABS(M784)</x:f>
        <x:v>4.322885684063832</x:v>
      </x:c>
      <x:c r="P784" s="7" t="n">
        <x:v>45583</x:v>
      </x:c>
    </x:row>
    <x:row r="785" ht="26" customHeight="1">
      <x:c r="A785" s="2"/>
      <x:c r="B785" s="2" t="n">
        <x:v>780</x:v>
      </x:c>
      <x:c r="C785" s="2" t="str">
        <x:v>Fabric &amp; Home Care / price_contribution</x:v>
      </x:c>
      <x:c r="D785" s="7" t="n">
        <x:v>45565</x:v>
      </x:c>
      <x:c r="E785" s="2" t="str">
        <x:v>Pre-earnings</x:v>
      </x:c>
      <x:c r="F785" s="7" t="n">
        <x:v>45582</x:v>
      </x:c>
      <x:c r="G785" s="2" t="str">
        <x:v>Own history</x:v>
      </x:c>
      <x:c r="H785" s="8" t="n">
        <x:f>'Model fits'!AA533</x:f>
        <x:v>0.12406947890818931</x:v>
      </x:c>
      <x:c r="I785" s="8" t="n">
        <x:f>0</x:f>
        <x:v>0</x:v>
      </x:c>
      <x:c r="J785" s="8" t="n">
        <x:v>0</x:v>
      </x:c>
      <x:c r="K785" s="8" t="n">
        <x:f>H785-I785*J785</x:f>
        <x:v>0.12406947890818931</x:v>
      </x:c>
      <x:c r="L785" s="8" t="n">
        <x:f>'PG facts'!D107</x:f>
        <x:v>0</x:v>
      </x:c>
      <x:c r="M785" s="8" t="n">
        <x:f>K785-L785</x:f>
        <x:v>0.12406947890818931</x:v>
      </x:c>
      <x:c r="N785" s="8" t="n">
        <x:f>M785^2</x:f>
        <x:v>0.015393235596549633</x:v>
      </x:c>
      <x:c r="O785" s="8" t="n">
        <x:f>ABS(M785)</x:f>
        <x:v>0.12406947890818931</x:v>
      </x:c>
      <x:c r="P785" s="7" t="n">
        <x:v>45583</x:v>
      </x:c>
    </x:row>
    <x:row r="786" ht="26" customHeight="1">
      <x:c r="A786" s="2"/>
      <x:c r="B786" s="2" t="n">
        <x:v>781</x:v>
      </x:c>
      <x:c r="C786" s="2" t="str">
        <x:v>Fabric &amp; Home Care / price_contribution</x:v>
      </x:c>
      <x:c r="D786" s="7" t="n">
        <x:v>45657</x:v>
      </x:c>
      <x:c r="E786" s="2" t="str">
        <x:v>Origin</x:v>
      </x:c>
      <x:c r="F786" s="7" t="n">
        <x:v>45566</x:v>
      </x:c>
      <x:c r="G786" s="2" t="str">
        <x:v>Last actual</x:v>
      </x:c>
      <x:c r="H786" s="8" t="n">
        <x:f>AVERAGE('PG facts'!D100)</x:f>
        <x:v>-1</x:v>
      </x:c>
      <x:c r="I786" s="8" t="n">
        <x:f>0</x:f>
        <x:v>0</x:v>
      </x:c>
      <x:c r="J786" s="8" t="n">
        <x:v>0</x:v>
      </x:c>
      <x:c r="K786" s="8" t="n">
        <x:f>H786-I786*J786</x:f>
        <x:v>-1</x:v>
      </x:c>
      <x:c r="L786" s="8" t="n">
        <x:f>'PG facts'!D114</x:f>
        <x:v>0</x:v>
      </x:c>
      <x:c r="M786" s="8" t="n">
        <x:f>K786-L786</x:f>
        <x:v>-1</x:v>
      </x:c>
      <x:c r="N786" s="8" t="n">
        <x:f>M786^2</x:f>
        <x:v>1</x:v>
      </x:c>
      <x:c r="O786" s="8" t="n">
        <x:f>ABS(M786)</x:f>
        <x:v>1</x:v>
      </x:c>
      <x:c r="P786" s="7" t="n">
        <x:v>45679</x:v>
      </x:c>
    </x:row>
    <x:row r="787" ht="26" customHeight="1">
      <x:c r="A787" s="2"/>
      <x:c r="B787" s="2" t="n">
        <x:v>782</x:v>
      </x:c>
      <x:c r="C787" s="2" t="str">
        <x:v>Fabric &amp; Home Care / price_contribution</x:v>
      </x:c>
      <x:c r="D787" s="7" t="n">
        <x:v>45657</x:v>
      </x:c>
      <x:c r="E787" s="2" t="str">
        <x:v>Origin</x:v>
      </x:c>
      <x:c r="F787" s="7" t="n">
        <x:v>45566</x:v>
      </x:c>
      <x:c r="G787" s="2" t="str">
        <x:v>Four-quarter mean</x:v>
      </x:c>
      <x:c r="H787" s="8" t="n">
        <x:f>AVERAGE('PG facts'!D79,'PG facts'!D86,'PG facts'!D93,'PG facts'!D100)</x:f>
        <x:v>3.25</x:v>
      </x:c>
      <x:c r="I787" s="8" t="n">
        <x:f>0</x:f>
        <x:v>0</x:v>
      </x:c>
      <x:c r="J787" s="8" t="n">
        <x:v>0</x:v>
      </x:c>
      <x:c r="K787" s="8" t="n">
        <x:f>H787-I787*J787</x:f>
        <x:v>3.25</x:v>
      </x:c>
      <x:c r="L787" s="8" t="n">
        <x:f>'PG facts'!D114</x:f>
        <x:v>0</x:v>
      </x:c>
      <x:c r="M787" s="8" t="n">
        <x:f>K787-L787</x:f>
        <x:v>3.25</x:v>
      </x:c>
      <x:c r="N787" s="8" t="n">
        <x:f>M787^2</x:f>
        <x:v>10.5625</x:v>
      </x:c>
      <x:c r="O787" s="8" t="n">
        <x:f>ABS(M787)</x:f>
        <x:v>3.25</x:v>
      </x:c>
      <x:c r="P787" s="7" t="n">
        <x:v>45679</x:v>
      </x:c>
    </x:row>
    <x:row r="788" ht="26" customHeight="1">
      <x:c r="A788" s="2"/>
      <x:c r="B788" s="2" t="n">
        <x:v>783</x:v>
      </x:c>
      <x:c r="C788" s="2" t="str">
        <x:v>Fabric &amp; Home Care / price_contribution</x:v>
      </x:c>
      <x:c r="D788" s="7" t="n">
        <x:v>45657</x:v>
      </x:c>
      <x:c r="E788" s="2" t="str">
        <x:v>Origin</x:v>
      </x:c>
      <x:c r="F788" s="7" t="n">
        <x:v>45566</x:v>
      </x:c>
      <x:c r="G788" s="2" t="str">
        <x:v>Broad market</x:v>
      </x:c>
      <x:c r="H788" s="8" t="n">
        <x:f>'Model fits'!AA534</x:f>
        <x:v>2.2913098670451757</x:v>
      </x:c>
      <x:c r="I788" s="8" t="n">
        <x:f>0</x:f>
        <x:v>0</x:v>
      </x:c>
      <x:c r="J788" s="8" t="n">
        <x:v>0</x:v>
      </x:c>
      <x:c r="K788" s="8" t="n">
        <x:f>H788-I788*J788</x:f>
        <x:v>2.2913098670451757</x:v>
      </x:c>
      <x:c r="L788" s="8" t="n">
        <x:f>'PG facts'!D114</x:f>
        <x:v>0</x:v>
      </x:c>
      <x:c r="M788" s="8" t="n">
        <x:f>K788-L788</x:f>
        <x:v>2.2913098670451757</x:v>
      </x:c>
      <x:c r="N788" s="8" t="n">
        <x:f>M788^2</x:f>
        <x:v>5.250100906818581</x:v>
      </x:c>
      <x:c r="O788" s="8" t="n">
        <x:f>ABS(M788)</x:f>
        <x:v>2.2913098670451757</x:v>
      </x:c>
      <x:c r="P788" s="7" t="n">
        <x:v>45679</x:v>
      </x:c>
    </x:row>
    <x:row r="789" ht="26" customHeight="1">
      <x:c r="A789" s="2"/>
      <x:c r="B789" s="2" t="n">
        <x:v>784</x:v>
      </x:c>
      <x:c r="C789" s="2" t="str">
        <x:v>Fabric &amp; Home Care / price_contribution</x:v>
      </x:c>
      <x:c r="D789" s="7" t="n">
        <x:v>45657</x:v>
      </x:c>
      <x:c r="E789" s="2" t="str">
        <x:v>Origin</x:v>
      </x:c>
      <x:c r="F789" s="7" t="n">
        <x:v>45566</x:v>
      </x:c>
      <x:c r="G789" s="2" t="str">
        <x:v>Broad rolling 8</x:v>
      </x:c>
      <x:c r="H789" s="8" t="n">
        <x:f>'Model fits'!AA535</x:f>
        <x:v>-3.627289066208701</x:v>
      </x:c>
      <x:c r="I789" s="8" t="n">
        <x:f>0</x:f>
        <x:v>0</x:v>
      </x:c>
      <x:c r="J789" s="8" t="n">
        <x:v>0</x:v>
      </x:c>
      <x:c r="K789" s="8" t="n">
        <x:f>H789-I789*J789</x:f>
        <x:v>-3.627289066208701</x:v>
      </x:c>
      <x:c r="L789" s="8" t="n">
        <x:f>'PG facts'!D114</x:f>
        <x:v>0</x:v>
      </x:c>
      <x:c r="M789" s="8" t="n">
        <x:f>K789-L789</x:f>
        <x:v>-3.627289066208701</x:v>
      </x:c>
      <x:c r="N789" s="8" t="n">
        <x:f>M789^2</x:f>
        <x:v>13.15722596983719</x:v>
      </x:c>
      <x:c r="O789" s="8" t="n">
        <x:f>ABS(M789)</x:f>
        <x:v>3.627289066208701</x:v>
      </x:c>
      <x:c r="P789" s="7" t="n">
        <x:v>45679</x:v>
      </x:c>
    </x:row>
    <x:row r="790" ht="26" customHeight="1">
      <x:c r="A790" s="2"/>
      <x:c r="B790" s="2" t="n">
        <x:v>785</x:v>
      </x:c>
      <x:c r="C790" s="2" t="str">
        <x:v>Fabric &amp; Home Care / price_contribution</x:v>
      </x:c>
      <x:c r="D790" s="7" t="n">
        <x:v>45657</x:v>
      </x:c>
      <x:c r="E790" s="2" t="str">
        <x:v>Origin</x:v>
      </x:c>
      <x:c r="F790" s="7" t="n">
        <x:v>45566</x:v>
      </x:c>
      <x:c r="G790" s="2" t="str">
        <x:v>Own history</x:v>
      </x:c>
      <x:c r="H790" s="8" t="n">
        <x:f>'Model fits'!AA536</x:f>
        <x:v>2.9118497109826587</x:v>
      </x:c>
      <x:c r="I790" s="8" t="n">
        <x:f>0</x:f>
        <x:v>0</x:v>
      </x:c>
      <x:c r="J790" s="8" t="n">
        <x:v>0</x:v>
      </x:c>
      <x:c r="K790" s="8" t="n">
        <x:f>H790-I790*J790</x:f>
        <x:v>2.9118497109826587</x:v>
      </x:c>
      <x:c r="L790" s="8" t="n">
        <x:f>'PG facts'!D114</x:f>
        <x:v>0</x:v>
      </x:c>
      <x:c r="M790" s="8" t="n">
        <x:f>K790-L790</x:f>
        <x:v>2.9118497109826587</x:v>
      </x:c>
      <x:c r="N790" s="8" t="n">
        <x:f>M790^2</x:f>
        <x:v>8.478868739349792</x:v>
      </x:c>
      <x:c r="O790" s="8" t="n">
        <x:f>ABS(M790)</x:f>
        <x:v>2.9118497109826587</x:v>
      </x:c>
      <x:c r="P790" s="7" t="n">
        <x:v>45679</x:v>
      </x:c>
    </x:row>
    <x:row r="791" ht="26" customHeight="1">
      <x:c r="A791" s="2"/>
      <x:c r="B791" s="2" t="n">
        <x:v>786</x:v>
      </x:c>
      <x:c r="C791" s="2" t="str">
        <x:v>Fabric &amp; Home Care / price_contribution</x:v>
      </x:c>
      <x:c r="D791" s="7" t="n">
        <x:v>45657</x:v>
      </x:c>
      <x:c r="E791" s="2" t="str">
        <x:v>Prior report</x:v>
      </x:c>
      <x:c r="F791" s="7" t="n">
        <x:v>45583</x:v>
      </x:c>
      <x:c r="G791" s="2" t="str">
        <x:v>Last actual</x:v>
      </x:c>
      <x:c r="H791" s="8" t="n">
        <x:f>AVERAGE('PG facts'!D107)</x:f>
        <x:v>0</x:v>
      </x:c>
      <x:c r="I791" s="8" t="n">
        <x:f>0</x:f>
        <x:v>0</x:v>
      </x:c>
      <x:c r="J791" s="8" t="n">
        <x:v>0</x:v>
      </x:c>
      <x:c r="K791" s="8" t="n">
        <x:f>H791-I791*J791</x:f>
        <x:v>0</x:v>
      </x:c>
      <x:c r="L791" s="8" t="n">
        <x:f>'PG facts'!D114</x:f>
        <x:v>0</x:v>
      </x:c>
      <x:c r="M791" s="8" t="n">
        <x:f>K791-L791</x:f>
        <x:v>0</x:v>
      </x:c>
      <x:c r="N791" s="8" t="n">
        <x:f>M791^2</x:f>
        <x:v>0</x:v>
      </x:c>
      <x:c r="O791" s="8" t="n">
        <x:f>ABS(M791)</x:f>
        <x:v>0</x:v>
      </x:c>
      <x:c r="P791" s="7" t="n">
        <x:v>45679</x:v>
      </x:c>
    </x:row>
    <x:row r="792" ht="26" customHeight="1">
      <x:c r="A792" s="2"/>
      <x:c r="B792" s="2" t="n">
        <x:v>787</x:v>
      </x:c>
      <x:c r="C792" s="2" t="str">
        <x:v>Fabric &amp; Home Care / price_contribution</x:v>
      </x:c>
      <x:c r="D792" s="7" t="n">
        <x:v>45657</x:v>
      </x:c>
      <x:c r="E792" s="2" t="str">
        <x:v>Prior report</x:v>
      </x:c>
      <x:c r="F792" s="7" t="n">
        <x:v>45583</x:v>
      </x:c>
      <x:c r="G792" s="2" t="str">
        <x:v>Four-quarter mean</x:v>
      </x:c>
      <x:c r="H792" s="8" t="n">
        <x:f>AVERAGE('PG facts'!D86,'PG facts'!D93,'PG facts'!D100,'PG facts'!D107)</x:f>
        <x:v>1.25</x:v>
      </x:c>
      <x:c r="I792" s="8" t="n">
        <x:f>0</x:f>
        <x:v>0</x:v>
      </x:c>
      <x:c r="J792" s="8" t="n">
        <x:v>0</x:v>
      </x:c>
      <x:c r="K792" s="8" t="n">
        <x:f>H792-I792*J792</x:f>
        <x:v>1.25</x:v>
      </x:c>
      <x:c r="L792" s="8" t="n">
        <x:f>'PG facts'!D114</x:f>
        <x:v>0</x:v>
      </x:c>
      <x:c r="M792" s="8" t="n">
        <x:f>K792-L792</x:f>
        <x:v>1.25</x:v>
      </x:c>
      <x:c r="N792" s="8" t="n">
        <x:f>M792^2</x:f>
        <x:v>1.5625</x:v>
      </x:c>
      <x:c r="O792" s="8" t="n">
        <x:f>ABS(M792)</x:f>
        <x:v>1.25</x:v>
      </x:c>
      <x:c r="P792" s="7" t="n">
        <x:v>45679</x:v>
      </x:c>
    </x:row>
    <x:row r="793" ht="26" customHeight="1">
      <x:c r="A793" s="2"/>
      <x:c r="B793" s="2" t="n">
        <x:v>788</x:v>
      </x:c>
      <x:c r="C793" s="2" t="str">
        <x:v>Fabric &amp; Home Care / price_contribution</x:v>
      </x:c>
      <x:c r="D793" s="7" t="n">
        <x:v>45657</x:v>
      </x:c>
      <x:c r="E793" s="2" t="str">
        <x:v>Prior report</x:v>
      </x:c>
      <x:c r="F793" s="7" t="n">
        <x:v>45583</x:v>
      </x:c>
      <x:c r="G793" s="2" t="str">
        <x:v>Broad market</x:v>
      </x:c>
      <x:c r="H793" s="8" t="n">
        <x:f>'Model fits'!AA537</x:f>
        <x:v>1.6742147006335601</x:v>
      </x:c>
      <x:c r="I793" s="8" t="n">
        <x:f>0</x:f>
        <x:v>0</x:v>
      </x:c>
      <x:c r="J793" s="8" t="n">
        <x:v>0</x:v>
      </x:c>
      <x:c r="K793" s="8" t="n">
        <x:f>H793-I793*J793</x:f>
        <x:v>1.6742147006335601</x:v>
      </x:c>
      <x:c r="L793" s="8" t="n">
        <x:f>'PG facts'!D114</x:f>
        <x:v>0</x:v>
      </x:c>
      <x:c r="M793" s="8" t="n">
        <x:f>K793-L793</x:f>
        <x:v>1.6742147006335601</x:v>
      </x:c>
      <x:c r="N793" s="8" t="n">
        <x:f>M793^2</x:f>
        <x:v>2.8029948638175215</x:v>
      </x:c>
      <x:c r="O793" s="8" t="n">
        <x:f>ABS(M793)</x:f>
        <x:v>1.6742147006335601</x:v>
      </x:c>
      <x:c r="P793" s="7" t="n">
        <x:v>45679</x:v>
      </x:c>
    </x:row>
    <x:row r="794" ht="26" customHeight="1">
      <x:c r="A794" s="2"/>
      <x:c r="B794" s="2" t="n">
        <x:v>789</x:v>
      </x:c>
      <x:c r="C794" s="2" t="str">
        <x:v>Fabric &amp; Home Care / price_contribution</x:v>
      </x:c>
      <x:c r="D794" s="7" t="n">
        <x:v>45657</x:v>
      </x:c>
      <x:c r="E794" s="2" t="str">
        <x:v>Prior report</x:v>
      </x:c>
      <x:c r="F794" s="7" t="n">
        <x:v>45583</x:v>
      </x:c>
      <x:c r="G794" s="2" t="str">
        <x:v>Broad lag 1</x:v>
      </x:c>
      <x:c r="H794" s="8" t="n">
        <x:f>'Model fits'!AA538</x:f>
        <x:v>2.9512984569473746</x:v>
      </x:c>
      <x:c r="I794" s="8" t="n">
        <x:f>0</x:f>
        <x:v>0</x:v>
      </x:c>
      <x:c r="J794" s="8" t="n">
        <x:v>0</x:v>
      </x:c>
      <x:c r="K794" s="8" t="n">
        <x:f>H794-I794*J794</x:f>
        <x:v>2.9512984569473746</x:v>
      </x:c>
      <x:c r="L794" s="8" t="n">
        <x:f>'PG facts'!D114</x:f>
        <x:v>0</x:v>
      </x:c>
      <x:c r="M794" s="8" t="n">
        <x:f>K794-L794</x:f>
        <x:v>2.9512984569473746</x:v>
      </x:c>
      <x:c r="N794" s="8" t="n">
        <x:f>M794^2</x:f>
        <x:v>8.710162581979954</x:v>
      </x:c>
      <x:c r="O794" s="8" t="n">
        <x:f>ABS(M794)</x:f>
        <x:v>2.9512984569473746</x:v>
      </x:c>
      <x:c r="P794" s="7" t="n">
        <x:v>45679</x:v>
      </x:c>
    </x:row>
    <x:row r="795" ht="26" customHeight="1">
      <x:c r="A795" s="2"/>
      <x:c r="B795" s="2" t="n">
        <x:v>790</x:v>
      </x:c>
      <x:c r="C795" s="2" t="str">
        <x:v>Fabric &amp; Home Care / price_contribution</x:v>
      </x:c>
      <x:c r="D795" s="7" t="n">
        <x:v>45657</x:v>
      </x:c>
      <x:c r="E795" s="2" t="str">
        <x:v>Prior report</x:v>
      </x:c>
      <x:c r="F795" s="7" t="n">
        <x:v>45583</x:v>
      </x:c>
      <x:c r="G795" s="2" t="str">
        <x:v>Broad rolling 8</x:v>
      </x:c>
      <x:c r="H795" s="8" t="n">
        <x:f>'Model fits'!AA539</x:f>
        <x:v>-2.1644534814020147</x:v>
      </x:c>
      <x:c r="I795" s="8" t="n">
        <x:f>0</x:f>
        <x:v>0</x:v>
      </x:c>
      <x:c r="J795" s="8" t="n">
        <x:v>0</x:v>
      </x:c>
      <x:c r="K795" s="8" t="n">
        <x:f>H795-I795*J795</x:f>
        <x:v>-2.1644534814020147</x:v>
      </x:c>
      <x:c r="L795" s="8" t="n">
        <x:f>'PG facts'!D114</x:f>
        <x:v>0</x:v>
      </x:c>
      <x:c r="M795" s="8" t="n">
        <x:f>K795-L795</x:f>
        <x:v>-2.1644534814020147</x:v>
      </x:c>
      <x:c r="N795" s="8" t="n">
        <x:f>M795^2</x:f>
        <x:v>4.684858873153301</x:v>
      </x:c>
      <x:c r="O795" s="8" t="n">
        <x:f>ABS(M795)</x:f>
        <x:v>2.1644534814020147</x:v>
      </x:c>
      <x:c r="P795" s="7" t="n">
        <x:v>45679</x:v>
      </x:c>
    </x:row>
    <x:row r="796" ht="26" customHeight="1">
      <x:c r="A796" s="2"/>
      <x:c r="B796" s="2" t="n">
        <x:v>791</x:v>
      </x:c>
      <x:c r="C796" s="2" t="str">
        <x:v>Fabric &amp; Home Care / price_contribution</x:v>
      </x:c>
      <x:c r="D796" s="7" t="n">
        <x:v>45657</x:v>
      </x:c>
      <x:c r="E796" s="2" t="str">
        <x:v>Prior report</x:v>
      </x:c>
      <x:c r="F796" s="7" t="n">
        <x:v>45583</x:v>
      </x:c>
      <x:c r="G796" s="2" t="str">
        <x:v>Own history</x:v>
      </x:c>
      <x:c r="H796" s="8" t="n">
        <x:f>'Model fits'!AA540</x:f>
        <x:v>0.9065466050133857</x:v>
      </x:c>
      <x:c r="I796" s="8" t="n">
        <x:f>0</x:f>
        <x:v>0</x:v>
      </x:c>
      <x:c r="J796" s="8" t="n">
        <x:v>0</x:v>
      </x:c>
      <x:c r="K796" s="8" t="n">
        <x:f>H796-I796*J796</x:f>
        <x:v>0.9065466050133857</x:v>
      </x:c>
      <x:c r="L796" s="8" t="n">
        <x:f>'PG facts'!D114</x:f>
        <x:v>0</x:v>
      </x:c>
      <x:c r="M796" s="8" t="n">
        <x:f>K796-L796</x:f>
        <x:v>0.9065466050133857</x:v>
      </x:c>
      <x:c r="N796" s="8" t="n">
        <x:f>M796^2</x:f>
        <x:v>0.8218267470612955</x:v>
      </x:c>
      <x:c r="O796" s="8" t="n">
        <x:f>ABS(M796)</x:f>
        <x:v>0.9065466050133857</x:v>
      </x:c>
      <x:c r="P796" s="7" t="n">
        <x:v>45679</x:v>
      </x:c>
    </x:row>
    <x:row r="797" ht="26" customHeight="1">
      <x:c r="A797" s="2"/>
      <x:c r="B797" s="2" t="n">
        <x:v>792</x:v>
      </x:c>
      <x:c r="C797" s="2" t="str">
        <x:v>Fabric &amp; Home Care / price_contribution</x:v>
      </x:c>
      <x:c r="D797" s="7" t="n">
        <x:v>45657</x:v>
      </x:c>
      <x:c r="E797" s="2" t="str">
        <x:v>Pre-earnings</x:v>
      </x:c>
      <x:c r="F797" s="7" t="n">
        <x:v>45678</x:v>
      </x:c>
      <x:c r="G797" s="2" t="str">
        <x:v>Last actual</x:v>
      </x:c>
      <x:c r="H797" s="8" t="n">
        <x:f>AVERAGE('PG facts'!D107)</x:f>
        <x:v>0</x:v>
      </x:c>
      <x:c r="I797" s="8" t="n">
        <x:f>0</x:f>
        <x:v>0</x:v>
      </x:c>
      <x:c r="J797" s="8" t="n">
        <x:v>0</x:v>
      </x:c>
      <x:c r="K797" s="8" t="n">
        <x:f>H797-I797*J797</x:f>
        <x:v>0</x:v>
      </x:c>
      <x:c r="L797" s="8" t="n">
        <x:f>'PG facts'!D114</x:f>
        <x:v>0</x:v>
      </x:c>
      <x:c r="M797" s="8" t="n">
        <x:f>K797-L797</x:f>
        <x:v>0</x:v>
      </x:c>
      <x:c r="N797" s="8" t="n">
        <x:f>M797^2</x:f>
        <x:v>0</x:v>
      </x:c>
      <x:c r="O797" s="8" t="n">
        <x:f>ABS(M797)</x:f>
        <x:v>0</x:v>
      </x:c>
      <x:c r="P797" s="7" t="n">
        <x:v>45679</x:v>
      </x:c>
    </x:row>
    <x:row r="798" ht="26" customHeight="1">
      <x:c r="A798" s="2"/>
      <x:c r="B798" s="2" t="n">
        <x:v>793</x:v>
      </x:c>
      <x:c r="C798" s="2" t="str">
        <x:v>Fabric &amp; Home Care / price_contribution</x:v>
      </x:c>
      <x:c r="D798" s="7" t="n">
        <x:v>45657</x:v>
      </x:c>
      <x:c r="E798" s="2" t="str">
        <x:v>Pre-earnings</x:v>
      </x:c>
      <x:c r="F798" s="7" t="n">
        <x:v>45678</x:v>
      </x:c>
      <x:c r="G798" s="2" t="str">
        <x:v>Four-quarter mean</x:v>
      </x:c>
      <x:c r="H798" s="8" t="n">
        <x:f>AVERAGE('PG facts'!D86,'PG facts'!D93,'PG facts'!D100,'PG facts'!D107)</x:f>
        <x:v>1.25</x:v>
      </x:c>
      <x:c r="I798" s="8" t="n">
        <x:f>0</x:f>
        <x:v>0</x:v>
      </x:c>
      <x:c r="J798" s="8" t="n">
        <x:v>0</x:v>
      </x:c>
      <x:c r="K798" s="8" t="n">
        <x:f>H798-I798*J798</x:f>
        <x:v>1.25</x:v>
      </x:c>
      <x:c r="L798" s="8" t="n">
        <x:f>'PG facts'!D114</x:f>
        <x:v>0</x:v>
      </x:c>
      <x:c r="M798" s="8" t="n">
        <x:f>K798-L798</x:f>
        <x:v>1.25</x:v>
      </x:c>
      <x:c r="N798" s="8" t="n">
        <x:f>M798^2</x:f>
        <x:v>1.5625</x:v>
      </x:c>
      <x:c r="O798" s="8" t="n">
        <x:f>ABS(M798)</x:f>
        <x:v>1.25</x:v>
      </x:c>
      <x:c r="P798" s="7" t="n">
        <x:v>45679</x:v>
      </x:c>
    </x:row>
    <x:row r="799" ht="26" customHeight="1">
      <x:c r="A799" s="2"/>
      <x:c r="B799" s="2" t="n">
        <x:v>794</x:v>
      </x:c>
      <x:c r="C799" s="2" t="str">
        <x:v>Fabric &amp; Home Care / price_contribution</x:v>
      </x:c>
      <x:c r="D799" s="7" t="n">
        <x:v>45657</x:v>
      </x:c>
      <x:c r="E799" s="2" t="str">
        <x:v>Pre-earnings</x:v>
      </x:c>
      <x:c r="F799" s="7" t="n">
        <x:v>45678</x:v>
      </x:c>
      <x:c r="G799" s="2" t="str">
        <x:v>Broad market</x:v>
      </x:c>
      <x:c r="H799" s="8" t="n">
        <x:f>'Model fits'!AA541</x:f>
        <x:v>1.6312102393990444</x:v>
      </x:c>
      <x:c r="I799" s="8" t="n">
        <x:f>0</x:f>
        <x:v>0</x:v>
      </x:c>
      <x:c r="J799" s="8" t="n">
        <x:v>0</x:v>
      </x:c>
      <x:c r="K799" s="8" t="n">
        <x:f>H799-I799*J799</x:f>
        <x:v>1.6312102393990444</x:v>
      </x:c>
      <x:c r="L799" s="8" t="n">
        <x:f>'PG facts'!D114</x:f>
        <x:v>0</x:v>
      </x:c>
      <x:c r="M799" s="8" t="n">
        <x:f>K799-L799</x:f>
        <x:v>1.6312102393990444</x:v>
      </x:c>
      <x:c r="N799" s="8" t="n">
        <x:f>M799^2</x:f>
        <x:v>2.660846845120288</x:v>
      </x:c>
      <x:c r="O799" s="8" t="n">
        <x:f>ABS(M799)</x:f>
        <x:v>1.6312102393990444</x:v>
      </x:c>
      <x:c r="P799" s="7" t="n">
        <x:v>45679</x:v>
      </x:c>
    </x:row>
    <x:row r="800" ht="26" customHeight="1">
      <x:c r="A800" s="2"/>
      <x:c r="B800" s="2" t="n">
        <x:v>795</x:v>
      </x:c>
      <x:c r="C800" s="2" t="str">
        <x:v>Fabric &amp; Home Care / price_contribution</x:v>
      </x:c>
      <x:c r="D800" s="7" t="n">
        <x:v>45657</x:v>
      </x:c>
      <x:c r="E800" s="2" t="str">
        <x:v>Pre-earnings</x:v>
      </x:c>
      <x:c r="F800" s="7" t="n">
        <x:v>45678</x:v>
      </x:c>
      <x:c r="G800" s="2" t="str">
        <x:v>Broad lag 1</x:v>
      </x:c>
      <x:c r="H800" s="8" t="n">
        <x:f>'Model fits'!AA542</x:f>
        <x:v>2.9512984569473746</x:v>
      </x:c>
      <x:c r="I800" s="8" t="n">
        <x:f>0</x:f>
        <x:v>0</x:v>
      </x:c>
      <x:c r="J800" s="8" t="n">
        <x:v>0</x:v>
      </x:c>
      <x:c r="K800" s="8" t="n">
        <x:f>H800-I800*J800</x:f>
        <x:v>2.9512984569473746</x:v>
      </x:c>
      <x:c r="L800" s="8" t="n">
        <x:f>'PG facts'!D114</x:f>
        <x:v>0</x:v>
      </x:c>
      <x:c r="M800" s="8" t="n">
        <x:f>K800-L800</x:f>
        <x:v>2.9512984569473746</x:v>
      </x:c>
      <x:c r="N800" s="8" t="n">
        <x:f>M800^2</x:f>
        <x:v>8.710162581979954</x:v>
      </x:c>
      <x:c r="O800" s="8" t="n">
        <x:f>ABS(M800)</x:f>
        <x:v>2.9512984569473746</x:v>
      </x:c>
      <x:c r="P800" s="7" t="n">
        <x:v>45679</x:v>
      </x:c>
    </x:row>
    <x:row r="801" ht="26" customHeight="1">
      <x:c r="A801" s="2"/>
      <x:c r="B801" s="2" t="n">
        <x:v>796</x:v>
      </x:c>
      <x:c r="C801" s="2" t="str">
        <x:v>Fabric &amp; Home Care / price_contribution</x:v>
      </x:c>
      <x:c r="D801" s="7" t="n">
        <x:v>45657</x:v>
      </x:c>
      <x:c r="E801" s="2" t="str">
        <x:v>Pre-earnings</x:v>
      </x:c>
      <x:c r="F801" s="7" t="n">
        <x:v>45678</x:v>
      </x:c>
      <x:c r="G801" s="2" t="str">
        <x:v>Broad rolling 8</x:v>
      </x:c>
      <x:c r="H801" s="8" t="n">
        <x:f>'Model fits'!AA543</x:f>
        <x:v>-2.2258156073800697</x:v>
      </x:c>
      <x:c r="I801" s="8" t="n">
        <x:f>0</x:f>
        <x:v>0</x:v>
      </x:c>
      <x:c r="J801" s="8" t="n">
        <x:v>0</x:v>
      </x:c>
      <x:c r="K801" s="8" t="n">
        <x:f>H801-I801*J801</x:f>
        <x:v>-2.2258156073800697</x:v>
      </x:c>
      <x:c r="L801" s="8" t="n">
        <x:f>'PG facts'!D114</x:f>
        <x:v>0</x:v>
      </x:c>
      <x:c r="M801" s="8" t="n">
        <x:f>K801-L801</x:f>
        <x:v>-2.2258156073800697</x:v>
      </x:c>
      <x:c r="N801" s="8" t="n">
        <x:f>M801^2</x:f>
        <x:v>4.954255118056708</x:v>
      </x:c>
      <x:c r="O801" s="8" t="n">
        <x:f>ABS(M801)</x:f>
        <x:v>2.2258156073800697</x:v>
      </x:c>
      <x:c r="P801" s="7" t="n">
        <x:v>45679</x:v>
      </x:c>
    </x:row>
    <x:row r="802" ht="26" customHeight="1">
      <x:c r="A802" s="2"/>
      <x:c r="B802" s="2" t="n">
        <x:v>797</x:v>
      </x:c>
      <x:c r="C802" s="2" t="str">
        <x:v>Fabric &amp; Home Care / price_contribution</x:v>
      </x:c>
      <x:c r="D802" s="7" t="n">
        <x:v>45657</x:v>
      </x:c>
      <x:c r="E802" s="2" t="str">
        <x:v>Pre-earnings</x:v>
      </x:c>
      <x:c r="F802" s="7" t="n">
        <x:v>45678</x:v>
      </x:c>
      <x:c r="G802" s="2" t="str">
        <x:v>Own history</x:v>
      </x:c>
      <x:c r="H802" s="8" t="n">
        <x:f>'Model fits'!AA544</x:f>
        <x:v>0.9065466050133857</x:v>
      </x:c>
      <x:c r="I802" s="8" t="n">
        <x:f>0</x:f>
        <x:v>0</x:v>
      </x:c>
      <x:c r="J802" s="8" t="n">
        <x:v>0</x:v>
      </x:c>
      <x:c r="K802" s="8" t="n">
        <x:f>H802-I802*J802</x:f>
        <x:v>0.9065466050133857</x:v>
      </x:c>
      <x:c r="L802" s="8" t="n">
        <x:f>'PG facts'!D114</x:f>
        <x:v>0</x:v>
      </x:c>
      <x:c r="M802" s="8" t="n">
        <x:f>K802-L802</x:f>
        <x:v>0.9065466050133857</x:v>
      </x:c>
      <x:c r="N802" s="8" t="n">
        <x:f>M802^2</x:f>
        <x:v>0.8218267470612955</x:v>
      </x:c>
      <x:c r="O802" s="8" t="n">
        <x:f>ABS(M802)</x:f>
        <x:v>0.9065466050133857</x:v>
      </x:c>
      <x:c r="P802" s="7" t="n">
        <x:v>45679</x:v>
      </x:c>
    </x:row>
    <x:row r="803" ht="26" customHeight="1">
      <x:c r="A803" s="2"/>
      <x:c r="B803" s="2" t="n">
        <x:v>798</x:v>
      </x:c>
      <x:c r="C803" s="2" t="str">
        <x:v>Fabric &amp; Home Care / price_contribution</x:v>
      </x:c>
      <x:c r="D803" s="7" t="n">
        <x:v>45747</x:v>
      </x:c>
      <x:c r="E803" s="2" t="str">
        <x:v>Origin</x:v>
      </x:c>
      <x:c r="F803" s="7" t="n">
        <x:v>45658</x:v>
      </x:c>
      <x:c r="G803" s="2" t="str">
        <x:v>Last actual</x:v>
      </x:c>
      <x:c r="H803" s="8" t="n">
        <x:f>AVERAGE('PG facts'!D107)</x:f>
        <x:v>0</x:v>
      </x:c>
      <x:c r="I803" s="8" t="n">
        <x:f>0</x:f>
        <x:v>0</x:v>
      </x:c>
      <x:c r="J803" s="8" t="n">
        <x:v>0</x:v>
      </x:c>
      <x:c r="K803" s="8" t="n">
        <x:f>H803-I803*J803</x:f>
        <x:v>0</x:v>
      </x:c>
      <x:c r="L803" s="8" t="n">
        <x:f>'PG facts'!D121</x:f>
        <x:v>0</x:v>
      </x:c>
      <x:c r="M803" s="8" t="n">
        <x:f>K803-L803</x:f>
        <x:v>0</x:v>
      </x:c>
      <x:c r="N803" s="8" t="n">
        <x:f>M803^2</x:f>
        <x:v>0</x:v>
      </x:c>
      <x:c r="O803" s="8" t="n">
        <x:f>ABS(M803)</x:f>
        <x:v>0</x:v>
      </x:c>
      <x:c r="P803" s="7" t="n">
        <x:v>45771</x:v>
      </x:c>
    </x:row>
    <x:row r="804" ht="26" customHeight="1">
      <x:c r="A804" s="2"/>
      <x:c r="B804" s="2" t="n">
        <x:v>799</x:v>
      </x:c>
      <x:c r="C804" s="2" t="str">
        <x:v>Fabric &amp; Home Care / price_contribution</x:v>
      </x:c>
      <x:c r="D804" s="7" t="n">
        <x:v>45747</x:v>
      </x:c>
      <x:c r="E804" s="2" t="str">
        <x:v>Origin</x:v>
      </x:c>
      <x:c r="F804" s="7" t="n">
        <x:v>45658</x:v>
      </x:c>
      <x:c r="G804" s="2" t="str">
        <x:v>Four-quarter mean</x:v>
      </x:c>
      <x:c r="H804" s="8" t="n">
        <x:f>AVERAGE('PG facts'!D86,'PG facts'!D93,'PG facts'!D100,'PG facts'!D107)</x:f>
        <x:v>1.25</x:v>
      </x:c>
      <x:c r="I804" s="8" t="n">
        <x:f>0</x:f>
        <x:v>0</x:v>
      </x:c>
      <x:c r="J804" s="8" t="n">
        <x:v>0</x:v>
      </x:c>
      <x:c r="K804" s="8" t="n">
        <x:f>H804-I804*J804</x:f>
        <x:v>1.25</x:v>
      </x:c>
      <x:c r="L804" s="8" t="n">
        <x:f>'PG facts'!D121</x:f>
        <x:v>0</x:v>
      </x:c>
      <x:c r="M804" s="8" t="n">
        <x:f>K804-L804</x:f>
        <x:v>1.25</x:v>
      </x:c>
      <x:c r="N804" s="8" t="n">
        <x:f>M804^2</x:f>
        <x:v>1.5625</x:v>
      </x:c>
      <x:c r="O804" s="8" t="n">
        <x:f>ABS(M804)</x:f>
        <x:v>1.25</x:v>
      </x:c>
      <x:c r="P804" s="7" t="n">
        <x:v>45771</x:v>
      </x:c>
    </x:row>
    <x:row r="805" ht="26" customHeight="1">
      <x:c r="A805" s="2"/>
      <x:c r="B805" s="2" t="n">
        <x:v>800</x:v>
      </x:c>
      <x:c r="C805" s="2" t="str">
        <x:v>Fabric &amp; Home Care / price_contribution</x:v>
      </x:c>
      <x:c r="D805" s="7" t="n">
        <x:v>45747</x:v>
      </x:c>
      <x:c r="E805" s="2" t="str">
        <x:v>Origin</x:v>
      </x:c>
      <x:c r="F805" s="7" t="n">
        <x:v>45658</x:v>
      </x:c>
      <x:c r="G805" s="2" t="str">
        <x:v>Broad market</x:v>
      </x:c>
      <x:c r="H805" s="8" t="n">
        <x:f>'Model fits'!AA545</x:f>
        <x:v>1.469548263361441</x:v>
      </x:c>
      <x:c r="I805" s="8" t="n">
        <x:f>0</x:f>
        <x:v>0</x:v>
      </x:c>
      <x:c r="J805" s="8" t="n">
        <x:v>0</x:v>
      </x:c>
      <x:c r="K805" s="8" t="n">
        <x:f>H805-I805*J805</x:f>
        <x:v>1.469548263361441</x:v>
      </x:c>
      <x:c r="L805" s="8" t="n">
        <x:f>'PG facts'!D121</x:f>
        <x:v>0</x:v>
      </x:c>
      <x:c r="M805" s="8" t="n">
        <x:f>K805-L805</x:f>
        <x:v>1.469548263361441</x:v>
      </x:c>
      <x:c r="N805" s="8" t="n">
        <x:f>M805^2</x:f>
        <x:v>2.159572098348627</x:v>
      </x:c>
      <x:c r="O805" s="8" t="n">
        <x:f>ABS(M805)</x:f>
        <x:v>1.469548263361441</x:v>
      </x:c>
      <x:c r="P805" s="7" t="n">
        <x:v>45771</x:v>
      </x:c>
    </x:row>
    <x:row r="806" ht="26" customHeight="1">
      <x:c r="A806" s="2"/>
      <x:c r="B806" s="2" t="n">
        <x:v>801</x:v>
      </x:c>
      <x:c r="C806" s="2" t="str">
        <x:v>Fabric &amp; Home Care / price_contribution</x:v>
      </x:c>
      <x:c r="D806" s="7" t="n">
        <x:v>45747</x:v>
      </x:c>
      <x:c r="E806" s="2" t="str">
        <x:v>Origin</x:v>
      </x:c>
      <x:c r="F806" s="7" t="n">
        <x:v>45658</x:v>
      </x:c>
      <x:c r="G806" s="2" t="str">
        <x:v>Broad rolling 8</x:v>
      </x:c>
      <x:c r="H806" s="8" t="n">
        <x:f>'Model fits'!AA546</x:f>
        <x:v>-2.4564875482604474</x:v>
      </x:c>
      <x:c r="I806" s="8" t="n">
        <x:f>0</x:f>
        <x:v>0</x:v>
      </x:c>
      <x:c r="J806" s="8" t="n">
        <x:v>0</x:v>
      </x:c>
      <x:c r="K806" s="8" t="n">
        <x:f>H806-I806*J806</x:f>
        <x:v>-2.4564875482604474</x:v>
      </x:c>
      <x:c r="L806" s="8" t="n">
        <x:f>'PG facts'!D121</x:f>
        <x:v>0</x:v>
      </x:c>
      <x:c r="M806" s="8" t="n">
        <x:f>K806-L806</x:f>
        <x:v>-2.4564875482604474</x:v>
      </x:c>
      <x:c r="N806" s="8" t="n">
        <x:f>M806^2</x:f>
        <x:v>6.034331074758624</x:v>
      </x:c>
      <x:c r="O806" s="8" t="n">
        <x:f>ABS(M806)</x:f>
        <x:v>2.4564875482604474</x:v>
      </x:c>
      <x:c r="P806" s="7" t="n">
        <x:v>45771</x:v>
      </x:c>
    </x:row>
    <x:row r="807" ht="26" customHeight="1">
      <x:c r="A807" s="2"/>
      <x:c r="B807" s="2" t="n">
        <x:v>802</x:v>
      </x:c>
      <x:c r="C807" s="2" t="str">
        <x:v>Fabric &amp; Home Care / price_contribution</x:v>
      </x:c>
      <x:c r="D807" s="7" t="n">
        <x:v>45747</x:v>
      </x:c>
      <x:c r="E807" s="2" t="str">
        <x:v>Origin</x:v>
      </x:c>
      <x:c r="F807" s="7" t="n">
        <x:v>45658</x:v>
      </x:c>
      <x:c r="G807" s="2" t="str">
        <x:v>Own history</x:v>
      </x:c>
      <x:c r="H807" s="8" t="n">
        <x:f>'Model fits'!AA547</x:f>
        <x:v>2.6240694789081886</x:v>
      </x:c>
      <x:c r="I807" s="8" t="n">
        <x:f>0</x:f>
        <x:v>0</x:v>
      </x:c>
      <x:c r="J807" s="8" t="n">
        <x:v>0</x:v>
      </x:c>
      <x:c r="K807" s="8" t="n">
        <x:f>H807-I807*J807</x:f>
        <x:v>2.6240694789081886</x:v>
      </x:c>
      <x:c r="L807" s="8" t="n">
        <x:f>'PG facts'!D121</x:f>
        <x:v>0</x:v>
      </x:c>
      <x:c r="M807" s="8" t="n">
        <x:f>K807-L807</x:f>
        <x:v>2.6240694789081886</x:v>
      </x:c>
      <x:c r="N807" s="8" t="n">
        <x:f>M807^2</x:f>
        <x:v>6.885740630137493</x:v>
      </x:c>
      <x:c r="O807" s="8" t="n">
        <x:f>ABS(M807)</x:f>
        <x:v>2.6240694789081886</x:v>
      </x:c>
      <x:c r="P807" s="7" t="n">
        <x:v>45771</x:v>
      </x:c>
    </x:row>
    <x:row r="808" ht="26" customHeight="1">
      <x:c r="A808" s="2"/>
      <x:c r="B808" s="2" t="n">
        <x:v>803</x:v>
      </x:c>
      <x:c r="C808" s="2" t="str">
        <x:v>Fabric &amp; Home Care / price_contribution</x:v>
      </x:c>
      <x:c r="D808" s="7" t="n">
        <x:v>45747</x:v>
      </x:c>
      <x:c r="E808" s="2" t="str">
        <x:v>Prior report</x:v>
      </x:c>
      <x:c r="F808" s="7" t="n">
        <x:v>45679</x:v>
      </x:c>
      <x:c r="G808" s="2" t="str">
        <x:v>Last actual</x:v>
      </x:c>
      <x:c r="H808" s="8" t="n">
        <x:f>AVERAGE('PG facts'!D114)</x:f>
        <x:v>0</x:v>
      </x:c>
      <x:c r="I808" s="8" t="n">
        <x:f>0</x:f>
        <x:v>0</x:v>
      </x:c>
      <x:c r="J808" s="8" t="n">
        <x:v>0</x:v>
      </x:c>
      <x:c r="K808" s="8" t="n">
        <x:f>H808-I808*J808</x:f>
        <x:v>0</x:v>
      </x:c>
      <x:c r="L808" s="8" t="n">
        <x:f>'PG facts'!D121</x:f>
        <x:v>0</x:v>
      </x:c>
      <x:c r="M808" s="8" t="n">
        <x:f>K808-L808</x:f>
        <x:v>0</x:v>
      </x:c>
      <x:c r="N808" s="8" t="n">
        <x:f>M808^2</x:f>
        <x:v>0</x:v>
      </x:c>
      <x:c r="O808" s="8" t="n">
        <x:f>ABS(M808)</x:f>
        <x:v>0</x:v>
      </x:c>
      <x:c r="P808" s="7" t="n">
        <x:v>45771</x:v>
      </x:c>
    </x:row>
    <x:row r="809" ht="26" customHeight="1">
      <x:c r="A809" s="2"/>
      <x:c r="B809" s="2" t="n">
        <x:v>804</x:v>
      </x:c>
      <x:c r="C809" s="2" t="str">
        <x:v>Fabric &amp; Home Care / price_contribution</x:v>
      </x:c>
      <x:c r="D809" s="7" t="n">
        <x:v>45747</x:v>
      </x:c>
      <x:c r="E809" s="2" t="str">
        <x:v>Prior report</x:v>
      </x:c>
      <x:c r="F809" s="7" t="n">
        <x:v>45679</x:v>
      </x:c>
      <x:c r="G809" s="2" t="str">
        <x:v>Four-quarter mean</x:v>
      </x:c>
      <x:c r="H809" s="8" t="n">
        <x:f>AVERAGE('PG facts'!D93,'PG facts'!D100,'PG facts'!D107,'PG facts'!D114)</x:f>
        <x:v>0.25</x:v>
      </x:c>
      <x:c r="I809" s="8" t="n">
        <x:f>0</x:f>
        <x:v>0</x:v>
      </x:c>
      <x:c r="J809" s="8" t="n">
        <x:v>0</x:v>
      </x:c>
      <x:c r="K809" s="8" t="n">
        <x:f>H809-I809*J809</x:f>
        <x:v>0.25</x:v>
      </x:c>
      <x:c r="L809" s="8" t="n">
        <x:f>'PG facts'!D121</x:f>
        <x:v>0</x:v>
      </x:c>
      <x:c r="M809" s="8" t="n">
        <x:f>K809-L809</x:f>
        <x:v>0.25</x:v>
      </x:c>
      <x:c r="N809" s="8" t="n">
        <x:f>M809^2</x:f>
        <x:v>0.0625</x:v>
      </x:c>
      <x:c r="O809" s="8" t="n">
        <x:f>ABS(M809)</x:f>
        <x:v>0.25</x:v>
      </x:c>
      <x:c r="P809" s="7" t="n">
        <x:v>45771</x:v>
      </x:c>
    </x:row>
    <x:row r="810" ht="26" customHeight="1">
      <x:c r="A810" s="2"/>
      <x:c r="B810" s="2" t="n">
        <x:v>805</x:v>
      </x:c>
      <x:c r="C810" s="2" t="str">
        <x:v>Fabric &amp; Home Care / price_contribution</x:v>
      </x:c>
      <x:c r="D810" s="7" t="n">
        <x:v>45747</x:v>
      </x:c>
      <x:c r="E810" s="2" t="str">
        <x:v>Prior report</x:v>
      </x:c>
      <x:c r="F810" s="7" t="n">
        <x:v>45679</x:v>
      </x:c>
      <x:c r="G810" s="2" t="str">
        <x:v>Broad market</x:v>
      </x:c>
      <x:c r="H810" s="8" t="n">
        <x:f>'Model fits'!AA548</x:f>
        <x:v>1.4490130537407448</x:v>
      </x:c>
      <x:c r="I810" s="8" t="n">
        <x:f>0</x:f>
        <x:v>0</x:v>
      </x:c>
      <x:c r="J810" s="8" t="n">
        <x:v>0</x:v>
      </x:c>
      <x:c r="K810" s="8" t="n">
        <x:f>H810-I810*J810</x:f>
        <x:v>1.4490130537407448</x:v>
      </x:c>
      <x:c r="L810" s="8" t="n">
        <x:f>'PG facts'!D121</x:f>
        <x:v>0</x:v>
      </x:c>
      <x:c r="M810" s="8" t="n">
        <x:f>K810-L810</x:f>
        <x:v>1.4490130537407448</x:v>
      </x:c>
      <x:c r="N810" s="8" t="n">
        <x:f>M810^2</x:f>
        <x:v>2.0996388299110786</x:v>
      </x:c>
      <x:c r="O810" s="8" t="n">
        <x:f>ABS(M810)</x:f>
        <x:v>1.4490130537407448</x:v>
      </x:c>
      <x:c r="P810" s="7" t="n">
        <x:v>45771</x:v>
      </x:c>
    </x:row>
    <x:row r="811" ht="26" customHeight="1">
      <x:c r="A811" s="2"/>
      <x:c r="B811" s="2" t="n">
        <x:v>806</x:v>
      </x:c>
      <x:c r="C811" s="2" t="str">
        <x:v>Fabric &amp; Home Care / price_contribution</x:v>
      </x:c>
      <x:c r="D811" s="7" t="n">
        <x:v>45747</x:v>
      </x:c>
      <x:c r="E811" s="2" t="str">
        <x:v>Prior report</x:v>
      </x:c>
      <x:c r="F811" s="7" t="n">
        <x:v>45679</x:v>
      </x:c>
      <x:c r="G811" s="2" t="str">
        <x:v>Broad lag 1</x:v>
      </x:c>
      <x:c r="H811" s="8" t="n">
        <x:f>'Model fits'!AA549</x:f>
        <x:v>2.5510593445926304</x:v>
      </x:c>
      <x:c r="I811" s="8" t="n">
        <x:f>0</x:f>
        <x:v>0</x:v>
      </x:c>
      <x:c r="J811" s="8" t="n">
        <x:v>0</x:v>
      </x:c>
      <x:c r="K811" s="8" t="n">
        <x:f>H811-I811*J811</x:f>
        <x:v>2.5510593445926304</x:v>
      </x:c>
      <x:c r="L811" s="8" t="n">
        <x:f>'PG facts'!D121</x:f>
        <x:v>0</x:v>
      </x:c>
      <x:c r="M811" s="8" t="n">
        <x:f>K811-L811</x:f>
        <x:v>2.5510593445926304</x:v>
      </x:c>
      <x:c r="N811" s="8" t="n">
        <x:f>M811^2</x:f>
        <x:v>6.507903779633381</x:v>
      </x:c>
      <x:c r="O811" s="8" t="n">
        <x:f>ABS(M811)</x:f>
        <x:v>2.5510593445926304</x:v>
      </x:c>
      <x:c r="P811" s="7" t="n">
        <x:v>45771</x:v>
      </x:c>
    </x:row>
    <x:row r="812" ht="26" customHeight="1">
      <x:c r="A812" s="2"/>
      <x:c r="B812" s="2" t="n">
        <x:v>807</x:v>
      </x:c>
      <x:c r="C812" s="2" t="str">
        <x:v>Fabric &amp; Home Care / price_contribution</x:v>
      </x:c>
      <x:c r="D812" s="7" t="n">
        <x:v>45747</x:v>
      </x:c>
      <x:c r="E812" s="2" t="str">
        <x:v>Prior report</x:v>
      </x:c>
      <x:c r="F812" s="7" t="n">
        <x:v>45679</x:v>
      </x:c>
      <x:c r="G812" s="2" t="str">
        <x:v>Broad rolling 8</x:v>
      </x:c>
      <x:c r="H812" s="8" t="n">
        <x:f>'Model fits'!AA550</x:f>
        <x:v>-1.1932942841773768</x:v>
      </x:c>
      <x:c r="I812" s="8" t="n">
        <x:f>0</x:f>
        <x:v>0</x:v>
      </x:c>
      <x:c r="J812" s="8" t="n">
        <x:v>0</x:v>
      </x:c>
      <x:c r="K812" s="8" t="n">
        <x:f>H812-I812*J812</x:f>
        <x:v>-1.1932942841773768</x:v>
      </x:c>
      <x:c r="L812" s="8" t="n">
        <x:f>'PG facts'!D121</x:f>
        <x:v>0</x:v>
      </x:c>
      <x:c r="M812" s="8" t="n">
        <x:f>K812-L812</x:f>
        <x:v>-1.1932942841773768</x:v>
      </x:c>
      <x:c r="N812" s="8" t="n">
        <x:f>M812^2</x:f>
        <x:v>1.4239512486503982</x:v>
      </x:c>
      <x:c r="O812" s="8" t="n">
        <x:f>ABS(M812)</x:f>
        <x:v>1.1932942841773768</x:v>
      </x:c>
      <x:c r="P812" s="7" t="n">
        <x:v>45771</x:v>
      </x:c>
    </x:row>
    <x:row r="813" ht="26" customHeight="1">
      <x:c r="A813" s="2"/>
      <x:c r="B813" s="2" t="n">
        <x:v>808</x:v>
      </x:c>
      <x:c r="C813" s="2" t="str">
        <x:v>Fabric &amp; Home Care / price_contribution</x:v>
      </x:c>
      <x:c r="D813" s="7" t="n">
        <x:v>45747</x:v>
      </x:c>
      <x:c r="E813" s="2" t="str">
        <x:v>Prior report</x:v>
      </x:c>
      <x:c r="F813" s="7" t="n">
        <x:v>45679</x:v>
      </x:c>
      <x:c r="G813" s="2" t="str">
        <x:v>Own history</x:v>
      </x:c>
      <x:c r="H813" s="8" t="n">
        <x:f>'Model fits'!AA551</x:f>
        <x:v>0.7718607542478244</x:v>
      </x:c>
      <x:c r="I813" s="8" t="n">
        <x:f>0</x:f>
        <x:v>0</x:v>
      </x:c>
      <x:c r="J813" s="8" t="n">
        <x:v>0</x:v>
      </x:c>
      <x:c r="K813" s="8" t="n">
        <x:f>H813-I813*J813</x:f>
        <x:v>0.7718607542478244</x:v>
      </x:c>
      <x:c r="L813" s="8" t="n">
        <x:f>'PG facts'!D121</x:f>
        <x:v>0</x:v>
      </x:c>
      <x:c r="M813" s="8" t="n">
        <x:f>K813-L813</x:f>
        <x:v>0.7718607542478244</x:v>
      </x:c>
      <x:c r="N813" s="8" t="n">
        <x:f>M813^2</x:f>
        <x:v>0.5957690239480203</x:v>
      </x:c>
      <x:c r="O813" s="8" t="n">
        <x:f>ABS(M813)</x:f>
        <x:v>0.7718607542478244</x:v>
      </x:c>
      <x:c r="P813" s="7" t="n">
        <x:v>45771</x:v>
      </x:c>
    </x:row>
    <x:row r="814" ht="26" customHeight="1">
      <x:c r="A814" s="2"/>
      <x:c r="B814" s="2" t="n">
        <x:v>809</x:v>
      </x:c>
      <x:c r="C814" s="2" t="str">
        <x:v>Fabric &amp; Home Care / price_contribution</x:v>
      </x:c>
      <x:c r="D814" s="7" t="n">
        <x:v>45747</x:v>
      </x:c>
      <x:c r="E814" s="2" t="str">
        <x:v>Pre-earnings</x:v>
      </x:c>
      <x:c r="F814" s="7" t="n">
        <x:v>45770</x:v>
      </x:c>
      <x:c r="G814" s="2" t="str">
        <x:v>Last actual</x:v>
      </x:c>
      <x:c r="H814" s="8" t="n">
        <x:f>AVERAGE('PG facts'!D114)</x:f>
        <x:v>0</x:v>
      </x:c>
      <x:c r="I814" s="8" t="n">
        <x:f>0</x:f>
        <x:v>0</x:v>
      </x:c>
      <x:c r="J814" s="8" t="n">
        <x:v>0</x:v>
      </x:c>
      <x:c r="K814" s="8" t="n">
        <x:f>H814-I814*J814</x:f>
        <x:v>0</x:v>
      </x:c>
      <x:c r="L814" s="8" t="n">
        <x:f>'PG facts'!D121</x:f>
        <x:v>0</x:v>
      </x:c>
      <x:c r="M814" s="8" t="n">
        <x:f>K814-L814</x:f>
        <x:v>0</x:v>
      </x:c>
      <x:c r="N814" s="8" t="n">
        <x:f>M814^2</x:f>
        <x:v>0</x:v>
      </x:c>
      <x:c r="O814" s="8" t="n">
        <x:f>ABS(M814)</x:f>
        <x:v>0</x:v>
      </x:c>
      <x:c r="P814" s="7" t="n">
        <x:v>45771</x:v>
      </x:c>
    </x:row>
    <x:row r="815" ht="26" customHeight="1">
      <x:c r="A815" s="2"/>
      <x:c r="B815" s="2" t="n">
        <x:v>810</x:v>
      </x:c>
      <x:c r="C815" s="2" t="str">
        <x:v>Fabric &amp; Home Care / price_contribution</x:v>
      </x:c>
      <x:c r="D815" s="7" t="n">
        <x:v>45747</x:v>
      </x:c>
      <x:c r="E815" s="2" t="str">
        <x:v>Pre-earnings</x:v>
      </x:c>
      <x:c r="F815" s="7" t="n">
        <x:v>45770</x:v>
      </x:c>
      <x:c r="G815" s="2" t="str">
        <x:v>Four-quarter mean</x:v>
      </x:c>
      <x:c r="H815" s="8" t="n">
        <x:f>AVERAGE('PG facts'!D93,'PG facts'!D100,'PG facts'!D107,'PG facts'!D114)</x:f>
        <x:v>0.25</x:v>
      </x:c>
      <x:c r="I815" s="8" t="n">
        <x:f>0</x:f>
        <x:v>0</x:v>
      </x:c>
      <x:c r="J815" s="8" t="n">
        <x:v>0</x:v>
      </x:c>
      <x:c r="K815" s="8" t="n">
        <x:f>H815-I815*J815</x:f>
        <x:v>0.25</x:v>
      </x:c>
      <x:c r="L815" s="8" t="n">
        <x:f>'PG facts'!D121</x:f>
        <x:v>0</x:v>
      </x:c>
      <x:c r="M815" s="8" t="n">
        <x:f>K815-L815</x:f>
        <x:v>0.25</x:v>
      </x:c>
      <x:c r="N815" s="8" t="n">
        <x:f>M815^2</x:f>
        <x:v>0.0625</x:v>
      </x:c>
      <x:c r="O815" s="8" t="n">
        <x:f>ABS(M815)</x:f>
        <x:v>0.25</x:v>
      </x:c>
      <x:c r="P815" s="7" t="n">
        <x:v>45771</x:v>
      </x:c>
    </x:row>
    <x:row r="816" ht="26" customHeight="1">
      <x:c r="A816" s="2"/>
      <x:c r="B816" s="2" t="n">
        <x:v>811</x:v>
      </x:c>
      <x:c r="C816" s="2" t="str">
        <x:v>Fabric &amp; Home Care / price_contribution</x:v>
      </x:c>
      <x:c r="D816" s="7" t="n">
        <x:v>45747</x:v>
      </x:c>
      <x:c r="E816" s="2" t="str">
        <x:v>Pre-earnings</x:v>
      </x:c>
      <x:c r="F816" s="7" t="n">
        <x:v>45770</x:v>
      </x:c>
      <x:c r="G816" s="2" t="str">
        <x:v>Broad market</x:v>
      </x:c>
      <x:c r="H816" s="8" t="n">
        <x:f>'Model fits'!AA552</x:f>
        <x:v>1.3066626275721624</x:v>
      </x:c>
      <x:c r="I816" s="8" t="n">
        <x:f>0</x:f>
        <x:v>0</x:v>
      </x:c>
      <x:c r="J816" s="8" t="n">
        <x:v>0</x:v>
      </x:c>
      <x:c r="K816" s="8" t="n">
        <x:f>H816-I816*J816</x:f>
        <x:v>1.3066626275721624</x:v>
      </x:c>
      <x:c r="L816" s="8" t="n">
        <x:f>'PG facts'!D121</x:f>
        <x:v>0</x:v>
      </x:c>
      <x:c r="M816" s="8" t="n">
        <x:f>K816-L816</x:f>
        <x:v>1.3066626275721624</x:v>
      </x:c>
      <x:c r="N816" s="8" t="n">
        <x:f>M816^2</x:f>
        <x:v>1.7073672222937877</x:v>
      </x:c>
      <x:c r="O816" s="8" t="n">
        <x:f>ABS(M816)</x:f>
        <x:v>1.3066626275721624</x:v>
      </x:c>
      <x:c r="P816" s="7" t="n">
        <x:v>45771</x:v>
      </x:c>
    </x:row>
    <x:row r="817" ht="26" customHeight="1">
      <x:c r="A817" s="2"/>
      <x:c r="B817" s="2" t="n">
        <x:v>812</x:v>
      </x:c>
      <x:c r="C817" s="2" t="str">
        <x:v>Fabric &amp; Home Care / price_contribution</x:v>
      </x:c>
      <x:c r="D817" s="7" t="n">
        <x:v>45747</x:v>
      </x:c>
      <x:c r="E817" s="2" t="str">
        <x:v>Pre-earnings</x:v>
      </x:c>
      <x:c r="F817" s="7" t="n">
        <x:v>45770</x:v>
      </x:c>
      <x:c r="G817" s="2" t="str">
        <x:v>Broad lag 1</x:v>
      </x:c>
      <x:c r="H817" s="8" t="n">
        <x:f>'Model fits'!AA553</x:f>
        <x:v>2.5510593445926304</x:v>
      </x:c>
      <x:c r="I817" s="8" t="n">
        <x:f>0</x:f>
        <x:v>0</x:v>
      </x:c>
      <x:c r="J817" s="8" t="n">
        <x:v>0</x:v>
      </x:c>
      <x:c r="K817" s="8" t="n">
        <x:f>H817-I817*J817</x:f>
        <x:v>2.5510593445926304</x:v>
      </x:c>
      <x:c r="L817" s="8" t="n">
        <x:f>'PG facts'!D121</x:f>
        <x:v>0</x:v>
      </x:c>
      <x:c r="M817" s="8" t="n">
        <x:f>K817-L817</x:f>
        <x:v>2.5510593445926304</x:v>
      </x:c>
      <x:c r="N817" s="8" t="n">
        <x:f>M817^2</x:f>
        <x:v>6.507903779633381</x:v>
      </x:c>
      <x:c r="O817" s="8" t="n">
        <x:f>ABS(M817)</x:f>
        <x:v>2.5510593445926304</x:v>
      </x:c>
      <x:c r="P817" s="7" t="n">
        <x:v>45771</x:v>
      </x:c>
    </x:row>
    <x:row r="818" ht="26" customHeight="1">
      <x:c r="A818" s="2"/>
      <x:c r="B818" s="2" t="n">
        <x:v>813</x:v>
      </x:c>
      <x:c r="C818" s="2" t="str">
        <x:v>Fabric &amp; Home Care / price_contribution</x:v>
      </x:c>
      <x:c r="D818" s="7" t="n">
        <x:v>45747</x:v>
      </x:c>
      <x:c r="E818" s="2" t="str">
        <x:v>Pre-earnings</x:v>
      </x:c>
      <x:c r="F818" s="7" t="n">
        <x:v>45770</x:v>
      </x:c>
      <x:c r="G818" s="2" t="str">
        <x:v>Broad rolling 8</x:v>
      </x:c>
      <x:c r="H818" s="8" t="n">
        <x:f>'Model fits'!AA554</x:f>
        <x:v>-1.3582520641121558</x:v>
      </x:c>
      <x:c r="I818" s="8" t="n">
        <x:f>0</x:f>
        <x:v>0</x:v>
      </x:c>
      <x:c r="J818" s="8" t="n">
        <x:v>0</x:v>
      </x:c>
      <x:c r="K818" s="8" t="n">
        <x:f>H818-I818*J818</x:f>
        <x:v>-1.3582520641121558</x:v>
      </x:c>
      <x:c r="L818" s="8" t="n">
        <x:f>'PG facts'!D121</x:f>
        <x:v>0</x:v>
      </x:c>
      <x:c r="M818" s="8" t="n">
        <x:f>K818-L818</x:f>
        <x:v>-1.3582520641121558</x:v>
      </x:c>
      <x:c r="N818" s="8" t="n">
        <x:f>M818^2</x:f>
        <x:v>1.8448486696649318</x:v>
      </x:c>
      <x:c r="O818" s="8" t="n">
        <x:f>ABS(M818)</x:f>
        <x:v>1.3582520641121558</x:v>
      </x:c>
      <x:c r="P818" s="7" t="n">
        <x:v>45771</x:v>
      </x:c>
    </x:row>
    <x:row r="819" ht="26" customHeight="1">
      <x:c r="A819" s="2"/>
      <x:c r="B819" s="2" t="n">
        <x:v>814</x:v>
      </x:c>
      <x:c r="C819" s="2" t="str">
        <x:v>Fabric &amp; Home Care / price_contribution</x:v>
      </x:c>
      <x:c r="D819" s="7" t="n">
        <x:v>45747</x:v>
      </x:c>
      <x:c r="E819" s="2" t="str">
        <x:v>Pre-earnings</x:v>
      </x:c>
      <x:c r="F819" s="7" t="n">
        <x:v>45770</x:v>
      </x:c>
      <x:c r="G819" s="2" t="str">
        <x:v>Own history</x:v>
      </x:c>
      <x:c r="H819" s="8" t="n">
        <x:f>'Model fits'!AA555</x:f>
        <x:v>0.7718607542478244</x:v>
      </x:c>
      <x:c r="I819" s="8" t="n">
        <x:f>0</x:f>
        <x:v>0</x:v>
      </x:c>
      <x:c r="J819" s="8" t="n">
        <x:v>0</x:v>
      </x:c>
      <x:c r="K819" s="8" t="n">
        <x:f>H819-I819*J819</x:f>
        <x:v>0.7718607542478244</x:v>
      </x:c>
      <x:c r="L819" s="8" t="n">
        <x:f>'PG facts'!D121</x:f>
        <x:v>0</x:v>
      </x:c>
      <x:c r="M819" s="8" t="n">
        <x:f>K819-L819</x:f>
        <x:v>0.7718607542478244</x:v>
      </x:c>
      <x:c r="N819" s="8" t="n">
        <x:f>M819^2</x:f>
        <x:v>0.5957690239480203</x:v>
      </x:c>
      <x:c r="O819" s="8" t="n">
        <x:f>ABS(M819)</x:f>
        <x:v>0.7718607542478244</x:v>
      </x:c>
      <x:c r="P819" s="7" t="n">
        <x:v>45771</x:v>
      </x:c>
    </x:row>
    <x:row r="820" ht="26" customHeight="1">
      <x:c r="A820" s="2"/>
      <x:c r="B820" s="2" t="n">
        <x:v>815</x:v>
      </x:c>
      <x:c r="C820" s="2" t="str">
        <x:v>Fabric &amp; Home Care / price_contribution</x:v>
      </x:c>
      <x:c r="D820" s="7" t="n">
        <x:v>45838</x:v>
      </x:c>
      <x:c r="E820" s="2" t="str">
        <x:v>Origin</x:v>
      </x:c>
      <x:c r="F820" s="7" t="n">
        <x:v>45748</x:v>
      </x:c>
      <x:c r="G820" s="2" t="str">
        <x:v>Last actual</x:v>
      </x:c>
      <x:c r="H820" s="8" t="n">
        <x:f>AVERAGE('PG facts'!D114)</x:f>
        <x:v>0</x:v>
      </x:c>
      <x:c r="I820" s="8" t="n">
        <x:f>0</x:f>
        <x:v>0</x:v>
      </x:c>
      <x:c r="J820" s="8" t="n">
        <x:v>0</x:v>
      </x:c>
      <x:c r="K820" s="8" t="n">
        <x:f>H820-I820*J820</x:f>
        <x:v>0</x:v>
      </x:c>
      <x:c r="L820" s="8" t="n">
        <x:f>'PG facts'!D128</x:f>
        <x:v>1</x:v>
      </x:c>
      <x:c r="M820" s="8" t="n">
        <x:f>K820-L820</x:f>
        <x:v>-1</x:v>
      </x:c>
      <x:c r="N820" s="8" t="n">
        <x:f>M820^2</x:f>
        <x:v>1</x:v>
      </x:c>
      <x:c r="O820" s="8" t="n">
        <x:f>ABS(M820)</x:f>
        <x:v>1</x:v>
      </x:c>
      <x:c r="P820" s="7" t="n">
        <x:v>45867</x:v>
      </x:c>
    </x:row>
    <x:row r="821" ht="26" customHeight="1">
      <x:c r="A821" s="2"/>
      <x:c r="B821" s="2" t="n">
        <x:v>816</x:v>
      </x:c>
      <x:c r="C821" s="2" t="str">
        <x:v>Fabric &amp; Home Care / price_contribution</x:v>
      </x:c>
      <x:c r="D821" s="7" t="n">
        <x:v>45838</x:v>
      </x:c>
      <x:c r="E821" s="2" t="str">
        <x:v>Origin</x:v>
      </x:c>
      <x:c r="F821" s="7" t="n">
        <x:v>45748</x:v>
      </x:c>
      <x:c r="G821" s="2" t="str">
        <x:v>Four-quarter mean</x:v>
      </x:c>
      <x:c r="H821" s="8" t="n">
        <x:f>AVERAGE('PG facts'!D93,'PG facts'!D100,'PG facts'!D107,'PG facts'!D114)</x:f>
        <x:v>0.25</x:v>
      </x:c>
      <x:c r="I821" s="8" t="n">
        <x:f>0</x:f>
        <x:v>0</x:v>
      </x:c>
      <x:c r="J821" s="8" t="n">
        <x:v>0</x:v>
      </x:c>
      <x:c r="K821" s="8" t="n">
        <x:f>H821-I821*J821</x:f>
        <x:v>0.25</x:v>
      </x:c>
      <x:c r="L821" s="8" t="n">
        <x:f>'PG facts'!D128</x:f>
        <x:v>1</x:v>
      </x:c>
      <x:c r="M821" s="8" t="n">
        <x:f>K821-L821</x:f>
        <x:v>-0.75</x:v>
      </x:c>
      <x:c r="N821" s="8" t="n">
        <x:f>M821^2</x:f>
        <x:v>0.5625</x:v>
      </x:c>
      <x:c r="O821" s="8" t="n">
        <x:f>ABS(M821)</x:f>
        <x:v>0.75</x:v>
      </x:c>
      <x:c r="P821" s="7" t="n">
        <x:v>45867</x:v>
      </x:c>
    </x:row>
    <x:row r="822" ht="26" customHeight="1">
      <x:c r="A822" s="2"/>
      <x:c r="B822" s="2" t="n">
        <x:v>817</x:v>
      </x:c>
      <x:c r="C822" s="2" t="str">
        <x:v>Fabric &amp; Home Care / price_contribution</x:v>
      </x:c>
      <x:c r="D822" s="7" t="n">
        <x:v>45838</x:v>
      </x:c>
      <x:c r="E822" s="2" t="str">
        <x:v>Origin</x:v>
      </x:c>
      <x:c r="F822" s="7" t="n">
        <x:v>45748</x:v>
      </x:c>
      <x:c r="G822" s="2" t="str">
        <x:v>Broad market</x:v>
      </x:c>
      <x:c r="H822" s="8" t="n">
        <x:f>'Model fits'!AA556</x:f>
        <x:v>1.5289150719978966</x:v>
      </x:c>
      <x:c r="I822" s="8" t="n">
        <x:f>0</x:f>
        <x:v>0</x:v>
      </x:c>
      <x:c r="J822" s="8" t="n">
        <x:v>0</x:v>
      </x:c>
      <x:c r="K822" s="8" t="n">
        <x:f>H822-I822*J822</x:f>
        <x:v>1.5289150719978966</x:v>
      </x:c>
      <x:c r="L822" s="8" t="n">
        <x:f>'PG facts'!D128</x:f>
        <x:v>1</x:v>
      </x:c>
      <x:c r="M822" s="8" t="n">
        <x:f>K822-L822</x:f>
        <x:v>0.5289150719978966</x:v>
      </x:c>
      <x:c r="N822" s="8" t="n">
        <x:f>M822^2</x:f>
        <x:v>0.2797511533865401</x:v>
      </x:c>
      <x:c r="O822" s="8" t="n">
        <x:f>ABS(M822)</x:f>
        <x:v>0.5289150719978966</x:v>
      </x:c>
      <x:c r="P822" s="7" t="n">
        <x:v>45867</x:v>
      </x:c>
    </x:row>
    <x:row r="823" ht="26" customHeight="1">
      <x:c r="A823" s="2"/>
      <x:c r="B823" s="2" t="n">
        <x:v>818</x:v>
      </x:c>
      <x:c r="C823" s="2" t="str">
        <x:v>Fabric &amp; Home Care / price_contribution</x:v>
      </x:c>
      <x:c r="D823" s="7" t="n">
        <x:v>45838</x:v>
      </x:c>
      <x:c r="E823" s="2" t="str">
        <x:v>Origin</x:v>
      </x:c>
      <x:c r="F823" s="7" t="n">
        <x:v>45748</x:v>
      </x:c>
      <x:c r="G823" s="2" t="str">
        <x:v>Broad rolling 8</x:v>
      </x:c>
      <x:c r="H823" s="8" t="n">
        <x:f>'Model fits'!AA557</x:f>
        <x:v>-1.100702643261609</x:v>
      </x:c>
      <x:c r="I823" s="8" t="n">
        <x:f>0</x:f>
        <x:v>0</x:v>
      </x:c>
      <x:c r="J823" s="8" t="n">
        <x:v>0</x:v>
      </x:c>
      <x:c r="K823" s="8" t="n">
        <x:f>H823-I823*J823</x:f>
        <x:v>-1.100702643261609</x:v>
      </x:c>
      <x:c r="L823" s="8" t="n">
        <x:f>'PG facts'!D128</x:f>
        <x:v>1</x:v>
      </x:c>
      <x:c r="M823" s="8" t="n">
        <x:f>K823-L823</x:f>
        <x:v>-2.100702643261609</x:v>
      </x:c>
      <x:c r="N823" s="8" t="n">
        <x:f>M823^2</x:f>
        <x:v>4.4129515954063105</x:v>
      </x:c>
      <x:c r="O823" s="8" t="n">
        <x:f>ABS(M823)</x:f>
        <x:v>2.100702643261609</x:v>
      </x:c>
      <x:c r="P823" s="7" t="n">
        <x:v>45867</x:v>
      </x:c>
    </x:row>
    <x:row r="824" ht="26" customHeight="1">
      <x:c r="A824" s="2"/>
      <x:c r="B824" s="2" t="n">
        <x:v>819</x:v>
      </x:c>
      <x:c r="C824" s="2" t="str">
        <x:v>Fabric &amp; Home Care / price_contribution</x:v>
      </x:c>
      <x:c r="D824" s="7" t="n">
        <x:v>45838</x:v>
      </x:c>
      <x:c r="E824" s="2" t="str">
        <x:v>Origin</x:v>
      </x:c>
      <x:c r="F824" s="7" t="n">
        <x:v>45748</x:v>
      </x:c>
      <x:c r="G824" s="2" t="str">
        <x:v>Own history</x:v>
      </x:c>
      <x:c r="H824" s="8" t="n">
        <x:f>'Model fits'!AA558</x:f>
        <x:v>2.218301289851545</x:v>
      </x:c>
      <x:c r="I824" s="8" t="n">
        <x:f>0</x:f>
        <x:v>0</x:v>
      </x:c>
      <x:c r="J824" s="8" t="n">
        <x:v>0</x:v>
      </x:c>
      <x:c r="K824" s="8" t="n">
        <x:f>H824-I824*J824</x:f>
        <x:v>2.218301289851545</x:v>
      </x:c>
      <x:c r="L824" s="8" t="n">
        <x:f>'PG facts'!D128</x:f>
        <x:v>1</x:v>
      </x:c>
      <x:c r="M824" s="8" t="n">
        <x:f>K824-L824</x:f>
        <x:v>1.2183012898515448</x:v>
      </x:c>
      <x:c r="N824" s="8" t="n">
        <x:f>M824^2</x:f>
        <x:v>1.4842580328539379</x:v>
      </x:c>
      <x:c r="O824" s="8" t="n">
        <x:f>ABS(M824)</x:f>
        <x:v>1.2183012898515448</x:v>
      </x:c>
      <x:c r="P824" s="7" t="n">
        <x:v>45867</x:v>
      </x:c>
    </x:row>
    <x:row r="825" ht="26" customHeight="1">
      <x:c r="A825" s="2"/>
      <x:c r="B825" s="2" t="n">
        <x:v>820</x:v>
      </x:c>
      <x:c r="C825" s="2" t="str">
        <x:v>Fabric &amp; Home Care / price_contribution</x:v>
      </x:c>
      <x:c r="D825" s="7" t="n">
        <x:v>45838</x:v>
      </x:c>
      <x:c r="E825" s="2" t="str">
        <x:v>Prior report</x:v>
      </x:c>
      <x:c r="F825" s="7" t="n">
        <x:v>45771</x:v>
      </x:c>
      <x:c r="G825" s="2" t="str">
        <x:v>Last actual</x:v>
      </x:c>
      <x:c r="H825" s="8" t="n">
        <x:f>AVERAGE('PG facts'!D121)</x:f>
        <x:v>0</x:v>
      </x:c>
      <x:c r="I825" s="8" t="n">
        <x:f>0</x:f>
        <x:v>0</x:v>
      </x:c>
      <x:c r="J825" s="8" t="n">
        <x:v>0</x:v>
      </x:c>
      <x:c r="K825" s="8" t="n">
        <x:f>H825-I825*J825</x:f>
        <x:v>0</x:v>
      </x:c>
      <x:c r="L825" s="8" t="n">
        <x:f>'PG facts'!D128</x:f>
        <x:v>1</x:v>
      </x:c>
      <x:c r="M825" s="8" t="n">
        <x:f>K825-L825</x:f>
        <x:v>-1</x:v>
      </x:c>
      <x:c r="N825" s="8" t="n">
        <x:f>M825^2</x:f>
        <x:v>1</x:v>
      </x:c>
      <x:c r="O825" s="8" t="n">
        <x:f>ABS(M825)</x:f>
        <x:v>1</x:v>
      </x:c>
      <x:c r="P825" s="7" t="n">
        <x:v>45867</x:v>
      </x:c>
    </x:row>
    <x:row r="826" ht="26" customHeight="1">
      <x:c r="A826" s="2"/>
      <x:c r="B826" s="2" t="n">
        <x:v>821</x:v>
      </x:c>
      <x:c r="C826" s="2" t="str">
        <x:v>Fabric &amp; Home Care / price_contribution</x:v>
      </x:c>
      <x:c r="D826" s="7" t="n">
        <x:v>45838</x:v>
      </x:c>
      <x:c r="E826" s="2" t="str">
        <x:v>Prior report</x:v>
      </x:c>
      <x:c r="F826" s="7" t="n">
        <x:v>45771</x:v>
      </x:c>
      <x:c r="G826" s="2" t="str">
        <x:v>Four-quarter mean</x:v>
      </x:c>
      <x:c r="H826" s="8" t="n">
        <x:f>AVERAGE('PG facts'!D100,'PG facts'!D107,'PG facts'!D114,'PG facts'!D121)</x:f>
        <x:v>-0.25</x:v>
      </x:c>
      <x:c r="I826" s="8" t="n">
        <x:f>0</x:f>
        <x:v>0</x:v>
      </x:c>
      <x:c r="J826" s="8" t="n">
        <x:v>0</x:v>
      </x:c>
      <x:c r="K826" s="8" t="n">
        <x:f>H826-I826*J826</x:f>
        <x:v>-0.25</x:v>
      </x:c>
      <x:c r="L826" s="8" t="n">
        <x:f>'PG facts'!D128</x:f>
        <x:v>1</x:v>
      </x:c>
      <x:c r="M826" s="8" t="n">
        <x:f>K826-L826</x:f>
        <x:v>-1.25</x:v>
      </x:c>
      <x:c r="N826" s="8" t="n">
        <x:f>M826^2</x:f>
        <x:v>1.5625</x:v>
      </x:c>
      <x:c r="O826" s="8" t="n">
        <x:f>ABS(M826)</x:f>
        <x:v>1.25</x:v>
      </x:c>
      <x:c r="P826" s="7" t="n">
        <x:v>45867</x:v>
      </x:c>
    </x:row>
    <x:row r="827" ht="26" customHeight="1">
      <x:c r="A827" s="2"/>
      <x:c r="B827" s="2" t="n">
        <x:v>822</x:v>
      </x:c>
      <x:c r="C827" s="2" t="str">
        <x:v>Fabric &amp; Home Care / price_contribution</x:v>
      </x:c>
      <x:c r="D827" s="7" t="n">
        <x:v>45838</x:v>
      </x:c>
      <x:c r="E827" s="2" t="str">
        <x:v>Prior report</x:v>
      </x:c>
      <x:c r="F827" s="7" t="n">
        <x:v>45771</x:v>
      </x:c>
      <x:c r="G827" s="2" t="str">
        <x:v>Broad market</x:v>
      </x:c>
      <x:c r="H827" s="8" t="n">
        <x:f>'Model fits'!AA559</x:f>
        <x:v>1.1707001805471553</x:v>
      </x:c>
      <x:c r="I827" s="8" t="n">
        <x:f>0</x:f>
        <x:v>0</x:v>
      </x:c>
      <x:c r="J827" s="8" t="n">
        <x:v>0</x:v>
      </x:c>
      <x:c r="K827" s="8" t="n">
        <x:f>H827-I827*J827</x:f>
        <x:v>1.1707001805471553</x:v>
      </x:c>
      <x:c r="L827" s="8" t="n">
        <x:f>'PG facts'!D128</x:f>
        <x:v>1</x:v>
      </x:c>
      <x:c r="M827" s="8" t="n">
        <x:f>K827-L827</x:f>
        <x:v>0.1707001805471553</x:v>
      </x:c>
      <x:c r="N827" s="8" t="n">
        <x:f>M827^2</x:f>
        <x:v>0.029138551638831417</x:v>
      </x:c>
      <x:c r="O827" s="8" t="n">
        <x:f>ABS(M827)</x:f>
        <x:v>0.1707001805471553</x:v>
      </x:c>
      <x:c r="P827" s="7" t="n">
        <x:v>45867</x:v>
      </x:c>
    </x:row>
    <x:row r="828" ht="26" customHeight="1">
      <x:c r="A828" s="2"/>
      <x:c r="B828" s="2" t="n">
        <x:v>823</x:v>
      </x:c>
      <x:c r="C828" s="2" t="str">
        <x:v>Fabric &amp; Home Care / price_contribution</x:v>
      </x:c>
      <x:c r="D828" s="7" t="n">
        <x:v>45838</x:v>
      </x:c>
      <x:c r="E828" s="2" t="str">
        <x:v>Prior report</x:v>
      </x:c>
      <x:c r="F828" s="7" t="n">
        <x:v>45771</x:v>
      </x:c>
      <x:c r="G828" s="2" t="str">
        <x:v>Broad lag 1</x:v>
      </x:c>
      <x:c r="H828" s="8" t="n">
        <x:f>'Model fits'!AA560</x:f>
        <x:v>2.1621135003304977</x:v>
      </x:c>
      <x:c r="I828" s="8" t="n">
        <x:f>0</x:f>
        <x:v>0</x:v>
      </x:c>
      <x:c r="J828" s="8" t="n">
        <x:v>0</x:v>
      </x:c>
      <x:c r="K828" s="8" t="n">
        <x:f>H828-I828*J828</x:f>
        <x:v>2.1621135003304977</x:v>
      </x:c>
      <x:c r="L828" s="8" t="n">
        <x:f>'PG facts'!D128</x:f>
        <x:v>1</x:v>
      </x:c>
      <x:c r="M828" s="8" t="n">
        <x:f>K828-L828</x:f>
        <x:v>1.1621135003304977</x:v>
      </x:c>
      <x:c r="N828" s="8" t="n">
        <x:f>M828^2</x:f>
        <x:v>1.3505077876504015</x:v>
      </x:c>
      <x:c r="O828" s="8" t="n">
        <x:f>ABS(M828)</x:f>
        <x:v>1.1621135003304977</x:v>
      </x:c>
      <x:c r="P828" s="7" t="n">
        <x:v>45867</x:v>
      </x:c>
    </x:row>
    <x:row r="829" ht="26" customHeight="1">
      <x:c r="A829" s="2"/>
      <x:c r="B829" s="2" t="n">
        <x:v>824</x:v>
      </x:c>
      <x:c r="C829" s="2" t="str">
        <x:v>Fabric &amp; Home Care / price_contribution</x:v>
      </x:c>
      <x:c r="D829" s="7" t="n">
        <x:v>45838</x:v>
      </x:c>
      <x:c r="E829" s="2" t="str">
        <x:v>Prior report</x:v>
      </x:c>
      <x:c r="F829" s="7" t="n">
        <x:v>45771</x:v>
      </x:c>
      <x:c r="G829" s="2" t="str">
        <x:v>Broad rolling 8</x:v>
      </x:c>
      <x:c r="H829" s="8" t="n">
        <x:f>'Model fits'!AA561</x:f>
        <x:v>-0.6097912275160302</x:v>
      </x:c>
      <x:c r="I829" s="8" t="n">
        <x:f>0</x:f>
        <x:v>0</x:v>
      </x:c>
      <x:c r="J829" s="8" t="n">
        <x:v>0</x:v>
      </x:c>
      <x:c r="K829" s="8" t="n">
        <x:f>H829-I829*J829</x:f>
        <x:v>-0.6097912275160302</x:v>
      </x:c>
      <x:c r="L829" s="8" t="n">
        <x:f>'PG facts'!D128</x:f>
        <x:v>1</x:v>
      </x:c>
      <x:c r="M829" s="8" t="n">
        <x:f>K829-L829</x:f>
        <x:v>-1.6097912275160302</x:v>
      </x:c>
      <x:c r="N829" s="8" t="n">
        <x:f>M829^2</x:f>
        <x:v>2.5914277961875674</x:v>
      </x:c>
      <x:c r="O829" s="8" t="n">
        <x:f>ABS(M829)</x:f>
        <x:v>1.6097912275160302</x:v>
      </x:c>
      <x:c r="P829" s="7" t="n">
        <x:v>45867</x:v>
      </x:c>
    </x:row>
    <x:row r="830" ht="26" customHeight="1">
      <x:c r="A830" s="2"/>
      <x:c r="B830" s="2" t="n">
        <x:v>825</x:v>
      </x:c>
      <x:c r="C830" s="2" t="str">
        <x:v>Fabric &amp; Home Care / price_contribution</x:v>
      </x:c>
      <x:c r="D830" s="7" t="n">
        <x:v>45838</x:v>
      </x:c>
      <x:c r="E830" s="2" t="str">
        <x:v>Prior report</x:v>
      </x:c>
      <x:c r="F830" s="7" t="n">
        <x:v>45771</x:v>
      </x:c>
      <x:c r="G830" s="2" t="str">
        <x:v>Own history</x:v>
      </x:c>
      <x:c r="H830" s="8" t="n">
        <x:f>'Model fits'!AA562</x:f>
        <x:v>0.6720187624030309</x:v>
      </x:c>
      <x:c r="I830" s="8" t="n">
        <x:f>0</x:f>
        <x:v>0</x:v>
      </x:c>
      <x:c r="J830" s="8" t="n">
        <x:v>0</x:v>
      </x:c>
      <x:c r="K830" s="8" t="n">
        <x:f>H830-I830*J830</x:f>
        <x:v>0.6720187624030309</x:v>
      </x:c>
      <x:c r="L830" s="8" t="n">
        <x:f>'PG facts'!D128</x:f>
        <x:v>1</x:v>
      </x:c>
      <x:c r="M830" s="8" t="n">
        <x:f>K830-L830</x:f>
        <x:v>-0.32798123759696907</x:v>
      </x:c>
      <x:c r="N830" s="8" t="n">
        <x:f>M830^2</x:f>
        <x:v>0.10757169221563948</x:v>
      </x:c>
      <x:c r="O830" s="8" t="n">
        <x:f>ABS(M830)</x:f>
        <x:v>0.32798123759696907</x:v>
      </x:c>
      <x:c r="P830" s="7" t="n">
        <x:v>45867</x:v>
      </x:c>
    </x:row>
    <x:row r="831" ht="26" customHeight="1">
      <x:c r="A831" s="2"/>
      <x:c r="B831" s="2" t="n">
        <x:v>826</x:v>
      </x:c>
      <x:c r="C831" s="2" t="str">
        <x:v>Fabric &amp; Home Care / price_contribution</x:v>
      </x:c>
      <x:c r="D831" s="7" t="n">
        <x:v>45838</x:v>
      </x:c>
      <x:c r="E831" s="2" t="str">
        <x:v>Pre-earnings</x:v>
      </x:c>
      <x:c r="F831" s="7" t="n">
        <x:v>45866</x:v>
      </x:c>
      <x:c r="G831" s="2" t="str">
        <x:v>Last actual</x:v>
      </x:c>
      <x:c r="H831" s="8" t="n">
        <x:f>AVERAGE('PG facts'!D121)</x:f>
        <x:v>0</x:v>
      </x:c>
      <x:c r="I831" s="8" t="n">
        <x:f>0</x:f>
        <x:v>0</x:v>
      </x:c>
      <x:c r="J831" s="8" t="n">
        <x:v>0</x:v>
      </x:c>
      <x:c r="K831" s="8" t="n">
        <x:f>H831-I831*J831</x:f>
        <x:v>0</x:v>
      </x:c>
      <x:c r="L831" s="8" t="n">
        <x:f>'PG facts'!D128</x:f>
        <x:v>1</x:v>
      </x:c>
      <x:c r="M831" s="8" t="n">
        <x:f>K831-L831</x:f>
        <x:v>-1</x:v>
      </x:c>
      <x:c r="N831" s="8" t="n">
        <x:f>M831^2</x:f>
        <x:v>1</x:v>
      </x:c>
      <x:c r="O831" s="8" t="n">
        <x:f>ABS(M831)</x:f>
        <x:v>1</x:v>
      </x:c>
      <x:c r="P831" s="7" t="n">
        <x:v>45867</x:v>
      </x:c>
    </x:row>
    <x:row r="832" ht="26" customHeight="1">
      <x:c r="A832" s="2"/>
      <x:c r="B832" s="2" t="n">
        <x:v>827</x:v>
      </x:c>
      <x:c r="C832" s="2" t="str">
        <x:v>Fabric &amp; Home Care / price_contribution</x:v>
      </x:c>
      <x:c r="D832" s="7" t="n">
        <x:v>45838</x:v>
      </x:c>
      <x:c r="E832" s="2" t="str">
        <x:v>Pre-earnings</x:v>
      </x:c>
      <x:c r="F832" s="7" t="n">
        <x:v>45866</x:v>
      </x:c>
      <x:c r="G832" s="2" t="str">
        <x:v>Four-quarter mean</x:v>
      </x:c>
      <x:c r="H832" s="8" t="n">
        <x:f>AVERAGE('PG facts'!D100,'PG facts'!D107,'PG facts'!D114,'PG facts'!D121)</x:f>
        <x:v>-0.25</x:v>
      </x:c>
      <x:c r="I832" s="8" t="n">
        <x:f>0</x:f>
        <x:v>0</x:v>
      </x:c>
      <x:c r="J832" s="8" t="n">
        <x:v>0</x:v>
      </x:c>
      <x:c r="K832" s="8" t="n">
        <x:f>H832-I832*J832</x:f>
        <x:v>-0.25</x:v>
      </x:c>
      <x:c r="L832" s="8" t="n">
        <x:f>'PG facts'!D128</x:f>
        <x:v>1</x:v>
      </x:c>
      <x:c r="M832" s="8" t="n">
        <x:f>K832-L832</x:f>
        <x:v>-1.25</x:v>
      </x:c>
      <x:c r="N832" s="8" t="n">
        <x:f>M832^2</x:f>
        <x:v>1.5625</x:v>
      </x:c>
      <x:c r="O832" s="8" t="n">
        <x:f>ABS(M832)</x:f>
        <x:v>1.25</x:v>
      </x:c>
      <x:c r="P832" s="7" t="n">
        <x:v>45867</x:v>
      </x:c>
    </x:row>
    <x:row r="833" ht="26" customHeight="1">
      <x:c r="A833" s="2"/>
      <x:c r="B833" s="2" t="n">
        <x:v>828</x:v>
      </x:c>
      <x:c r="C833" s="2" t="str">
        <x:v>Fabric &amp; Home Care / price_contribution</x:v>
      </x:c>
      <x:c r="D833" s="7" t="n">
        <x:v>45838</x:v>
      </x:c>
      <x:c r="E833" s="2" t="str">
        <x:v>Pre-earnings</x:v>
      </x:c>
      <x:c r="F833" s="7" t="n">
        <x:v>45866</x:v>
      </x:c>
      <x:c r="G833" s="2" t="str">
        <x:v>Broad market</x:v>
      </x:c>
      <x:c r="H833" s="8" t="n">
        <x:f>'Model fits'!AA563</x:f>
        <x:v>1.5372504278096657</x:v>
      </x:c>
      <x:c r="I833" s="8" t="n">
        <x:f>0</x:f>
        <x:v>0</x:v>
      </x:c>
      <x:c r="J833" s="8" t="n">
        <x:v>0</x:v>
      </x:c>
      <x:c r="K833" s="8" t="n">
        <x:f>H833-I833*J833</x:f>
        <x:v>1.5372504278096657</x:v>
      </x:c>
      <x:c r="L833" s="8" t="n">
        <x:f>'PG facts'!D128</x:f>
        <x:v>1</x:v>
      </x:c>
      <x:c r="M833" s="8" t="n">
        <x:f>K833-L833</x:f>
        <x:v>0.5372504278096657</x:v>
      </x:c>
      <x:c r="N833" s="8" t="n">
        <x:f>M833^2</x:f>
        <x:v>0.28863802218166884</x:v>
      </x:c>
      <x:c r="O833" s="8" t="n">
        <x:f>ABS(M833)</x:f>
        <x:v>0.5372504278096657</x:v>
      </x:c>
      <x:c r="P833" s="7" t="n">
        <x:v>45867</x:v>
      </x:c>
    </x:row>
    <x:row r="834" ht="26" customHeight="1">
      <x:c r="A834" s="2"/>
      <x:c r="B834" s="2" t="n">
        <x:v>829</x:v>
      </x:c>
      <x:c r="C834" s="2" t="str">
        <x:v>Fabric &amp; Home Care / price_contribution</x:v>
      </x:c>
      <x:c r="D834" s="7" t="n">
        <x:v>45838</x:v>
      </x:c>
      <x:c r="E834" s="2" t="str">
        <x:v>Pre-earnings</x:v>
      </x:c>
      <x:c r="F834" s="7" t="n">
        <x:v>45866</x:v>
      </x:c>
      <x:c r="G834" s="2" t="str">
        <x:v>Broad lag 1</x:v>
      </x:c>
      <x:c r="H834" s="8" t="n">
        <x:f>'Model fits'!AA564</x:f>
        <x:v>2.1621135003304977</x:v>
      </x:c>
      <x:c r="I834" s="8" t="n">
        <x:f>0</x:f>
        <x:v>0</x:v>
      </x:c>
      <x:c r="J834" s="8" t="n">
        <x:v>0</x:v>
      </x:c>
      <x:c r="K834" s="8" t="n">
        <x:f>H834-I834*J834</x:f>
        <x:v>2.1621135003304977</x:v>
      </x:c>
      <x:c r="L834" s="8" t="n">
        <x:f>'PG facts'!D128</x:f>
        <x:v>1</x:v>
      </x:c>
      <x:c r="M834" s="8" t="n">
        <x:f>K834-L834</x:f>
        <x:v>1.1621135003304977</x:v>
      </x:c>
      <x:c r="N834" s="8" t="n">
        <x:f>M834^2</x:f>
        <x:v>1.3505077876504015</x:v>
      </x:c>
      <x:c r="O834" s="8" t="n">
        <x:f>ABS(M834)</x:f>
        <x:v>1.1621135003304977</x:v>
      </x:c>
      <x:c r="P834" s="7" t="n">
        <x:v>45867</x:v>
      </x:c>
    </x:row>
    <x:row r="835" ht="26" customHeight="1">
      <x:c r="A835" s="2"/>
      <x:c r="B835" s="2" t="n">
        <x:v>830</x:v>
      </x:c>
      <x:c r="C835" s="2" t="str">
        <x:v>Fabric &amp; Home Care / price_contribution</x:v>
      </x:c>
      <x:c r="D835" s="7" t="n">
        <x:v>45838</x:v>
      </x:c>
      <x:c r="E835" s="2" t="str">
        <x:v>Pre-earnings</x:v>
      </x:c>
      <x:c r="F835" s="7" t="n">
        <x:v>45866</x:v>
      </x:c>
      <x:c r="G835" s="2" t="str">
        <x:v>Broad rolling 8</x:v>
      </x:c>
      <x:c r="H835" s="8" t="n">
        <x:f>'Model fits'!AA565</x:f>
        <x:v>-0.30540085072828327</x:v>
      </x:c>
      <x:c r="I835" s="8" t="n">
        <x:f>0</x:f>
        <x:v>0</x:v>
      </x:c>
      <x:c r="J835" s="8" t="n">
        <x:v>0</x:v>
      </x:c>
      <x:c r="K835" s="8" t="n">
        <x:f>H835-I835*J835</x:f>
        <x:v>-0.30540085072828327</x:v>
      </x:c>
      <x:c r="L835" s="8" t="n">
        <x:f>'PG facts'!D128</x:f>
        <x:v>1</x:v>
      </x:c>
      <x:c r="M835" s="8" t="n">
        <x:f>K835-L835</x:f>
        <x:v>-1.3054008507282833</x:v>
      </x:c>
      <x:c r="N835" s="8" t="n">
        <x:f>M835^2</x:f>
        <x:v>1.7040713810821257</x:v>
      </x:c>
      <x:c r="O835" s="8" t="n">
        <x:f>ABS(M835)</x:f>
        <x:v>1.3054008507282833</x:v>
      </x:c>
      <x:c r="P835" s="7" t="n">
        <x:v>45867</x:v>
      </x:c>
    </x:row>
    <x:row r="836" ht="26" customHeight="1">
      <x:c r="A836" s="2"/>
      <x:c r="B836" s="2" t="n">
        <x:v>831</x:v>
      </x:c>
      <x:c r="C836" s="2" t="str">
        <x:v>Fabric &amp; Home Care / price_contribution</x:v>
      </x:c>
      <x:c r="D836" s="7" t="n">
        <x:v>45838</x:v>
      </x:c>
      <x:c r="E836" s="2" t="str">
        <x:v>Pre-earnings</x:v>
      </x:c>
      <x:c r="F836" s="7" t="n">
        <x:v>45866</x:v>
      </x:c>
      <x:c r="G836" s="2" t="str">
        <x:v>Own history</x:v>
      </x:c>
      <x:c r="H836" s="8" t="n">
        <x:f>'Model fits'!AA566</x:f>
        <x:v>0.6720187624030309</x:v>
      </x:c>
      <x:c r="I836" s="8" t="n">
        <x:f>0</x:f>
        <x:v>0</x:v>
      </x:c>
      <x:c r="J836" s="8" t="n">
        <x:v>0</x:v>
      </x:c>
      <x:c r="K836" s="8" t="n">
        <x:f>H836-I836*J836</x:f>
        <x:v>0.6720187624030309</x:v>
      </x:c>
      <x:c r="L836" s="8" t="n">
        <x:f>'PG facts'!D128</x:f>
        <x:v>1</x:v>
      </x:c>
      <x:c r="M836" s="8" t="n">
        <x:f>K836-L836</x:f>
        <x:v>-0.32798123759696907</x:v>
      </x:c>
      <x:c r="N836" s="8" t="n">
        <x:f>M836^2</x:f>
        <x:v>0.10757169221563948</x:v>
      </x:c>
      <x:c r="O836" s="8" t="n">
        <x:f>ABS(M836)</x:f>
        <x:v>0.32798123759696907</x:v>
      </x:c>
      <x:c r="P836" s="7" t="n">
        <x:v>45867</x:v>
      </x:c>
    </x:row>
    <x:row r="837" ht="26" customHeight="1">
      <x:c r="A837" s="2"/>
      <x:c r="B837" s="2" t="n">
        <x:v>832</x:v>
      </x:c>
      <x:c r="C837" s="2" t="str">
        <x:v>Fabric &amp; Home Care / price_contribution</x:v>
      </x:c>
      <x:c r="D837" s="7" t="n">
        <x:v>45930</x:v>
      </x:c>
      <x:c r="E837" s="2" t="str">
        <x:v>Origin</x:v>
      </x:c>
      <x:c r="F837" s="7" t="n">
        <x:v>45839</x:v>
      </x:c>
      <x:c r="G837" s="2" t="str">
        <x:v>Last actual</x:v>
      </x:c>
      <x:c r="H837" s="8" t="n">
        <x:f>AVERAGE('PG facts'!D121)</x:f>
        <x:v>0</x:v>
      </x:c>
      <x:c r="I837" s="8" t="n">
        <x:f>0</x:f>
        <x:v>0</x:v>
      </x:c>
      <x:c r="J837" s="8" t="n">
        <x:v>0</x:v>
      </x:c>
      <x:c r="K837" s="8" t="n">
        <x:f>H837-I837*J837</x:f>
        <x:v>0</x:v>
      </x:c>
      <x:c r="L837" s="8" t="n">
        <x:f>'PG facts'!D135</x:f>
        <x:v>1</x:v>
      </x:c>
      <x:c r="M837" s="8" t="n">
        <x:f>K837-L837</x:f>
        <x:v>-1</x:v>
      </x:c>
      <x:c r="N837" s="8" t="n">
        <x:f>M837^2</x:f>
        <x:v>1</x:v>
      </x:c>
      <x:c r="O837" s="8" t="n">
        <x:f>ABS(M837)</x:f>
        <x:v>1</x:v>
      </x:c>
      <x:c r="P837" s="7" t="n">
        <x:v>45954</x:v>
      </x:c>
    </x:row>
    <x:row r="838" ht="26" customHeight="1">
      <x:c r="A838" s="2"/>
      <x:c r="B838" s="2" t="n">
        <x:v>833</x:v>
      </x:c>
      <x:c r="C838" s="2" t="str">
        <x:v>Fabric &amp; Home Care / price_contribution</x:v>
      </x:c>
      <x:c r="D838" s="7" t="n">
        <x:v>45930</x:v>
      </x:c>
      <x:c r="E838" s="2" t="str">
        <x:v>Origin</x:v>
      </x:c>
      <x:c r="F838" s="7" t="n">
        <x:v>45839</x:v>
      </x:c>
      <x:c r="G838" s="2" t="str">
        <x:v>Four-quarter mean</x:v>
      </x:c>
      <x:c r="H838" s="8" t="n">
        <x:f>AVERAGE('PG facts'!D100,'PG facts'!D107,'PG facts'!D114,'PG facts'!D121)</x:f>
        <x:v>-0.25</x:v>
      </x:c>
      <x:c r="I838" s="8" t="n">
        <x:f>0</x:f>
        <x:v>0</x:v>
      </x:c>
      <x:c r="J838" s="8" t="n">
        <x:v>0</x:v>
      </x:c>
      <x:c r="K838" s="8" t="n">
        <x:f>H838-I838*J838</x:f>
        <x:v>-0.25</x:v>
      </x:c>
      <x:c r="L838" s="8" t="n">
        <x:f>'PG facts'!D135</x:f>
        <x:v>1</x:v>
      </x:c>
      <x:c r="M838" s="8" t="n">
        <x:f>K838-L838</x:f>
        <x:v>-1.25</x:v>
      </x:c>
      <x:c r="N838" s="8" t="n">
        <x:f>M838^2</x:f>
        <x:v>1.5625</x:v>
      </x:c>
      <x:c r="O838" s="8" t="n">
        <x:f>ABS(M838)</x:f>
        <x:v>1.25</x:v>
      </x:c>
      <x:c r="P838" s="7" t="n">
        <x:v>45954</x:v>
      </x:c>
    </x:row>
    <x:row r="839" ht="26" customHeight="1">
      <x:c r="A839" s="2"/>
      <x:c r="B839" s="2" t="n">
        <x:v>834</x:v>
      </x:c>
      <x:c r="C839" s="2" t="str">
        <x:v>Fabric &amp; Home Care / price_contribution</x:v>
      </x:c>
      <x:c r="D839" s="7" t="n">
        <x:v>45930</x:v>
      </x:c>
      <x:c r="E839" s="2" t="str">
        <x:v>Origin</x:v>
      </x:c>
      <x:c r="F839" s="7" t="n">
        <x:v>45839</x:v>
      </x:c>
      <x:c r="G839" s="2" t="str">
        <x:v>Broad market</x:v>
      </x:c>
      <x:c r="H839" s="8" t="n">
        <x:f>'Model fits'!AA567</x:f>
        <x:v>1.255846621937898</x:v>
      </x:c>
      <x:c r="I839" s="8" t="n">
        <x:f>0</x:f>
        <x:v>0</x:v>
      </x:c>
      <x:c r="J839" s="8" t="n">
        <x:v>0</x:v>
      </x:c>
      <x:c r="K839" s="8" t="n">
        <x:f>H839-I839*J839</x:f>
        <x:v>1.255846621937898</x:v>
      </x:c>
      <x:c r="L839" s="8" t="n">
        <x:f>'PG facts'!D135</x:f>
        <x:v>1</x:v>
      </x:c>
      <x:c r="M839" s="8" t="n">
        <x:f>K839-L839</x:f>
        <x:v>0.2558466219378981</x:v>
      </x:c>
      <x:c r="N839" s="8" t="n">
        <x:f>M839^2</x:f>
        <x:v>0.06545749395703375</x:v>
      </x:c>
      <x:c r="O839" s="8" t="n">
        <x:f>ABS(M839)</x:f>
        <x:v>0.2558466219378981</x:v>
      </x:c>
      <x:c r="P839" s="7" t="n">
        <x:v>45954</x:v>
      </x:c>
    </x:row>
    <x:row r="840" ht="26" customHeight="1">
      <x:c r="A840" s="2"/>
      <x:c r="B840" s="2" t="n">
        <x:v>835</x:v>
      </x:c>
      <x:c r="C840" s="2" t="str">
        <x:v>Fabric &amp; Home Care / price_contribution</x:v>
      </x:c>
      <x:c r="D840" s="7" t="n">
        <x:v>45930</x:v>
      </x:c>
      <x:c r="E840" s="2" t="str">
        <x:v>Origin</x:v>
      </x:c>
      <x:c r="F840" s="7" t="n">
        <x:v>45839</x:v>
      </x:c>
      <x:c r="G840" s="2" t="str">
        <x:v>Broad rolling 8</x:v>
      </x:c>
      <x:c r="H840" s="8" t="n">
        <x:f>'Model fits'!AA568</x:f>
        <x:v>-0.5390839845919717</x:v>
      </x:c>
      <x:c r="I840" s="8" t="n">
        <x:f>0</x:f>
        <x:v>0</x:v>
      </x:c>
      <x:c r="J840" s="8" t="n">
        <x:v>0</x:v>
      </x:c>
      <x:c r="K840" s="8" t="n">
        <x:f>H840-I840*J840</x:f>
        <x:v>-0.5390839845919717</x:v>
      </x:c>
      <x:c r="L840" s="8" t="n">
        <x:f>'PG facts'!D135</x:f>
        <x:v>1</x:v>
      </x:c>
      <x:c r="M840" s="8" t="n">
        <x:f>K840-L840</x:f>
        <x:v>-1.5390839845919717</x:v>
      </x:c>
      <x:c r="N840" s="8" t="n">
        <x:f>M840^2</x:f>
        <x:v>2.3687795116275008</x:v>
      </x:c>
      <x:c r="O840" s="8" t="n">
        <x:f>ABS(M840)</x:f>
        <x:v>1.5390839845919717</x:v>
      </x:c>
      <x:c r="P840" s="7" t="n">
        <x:v>45954</x:v>
      </x:c>
    </x:row>
    <x:row r="841" ht="26" customHeight="1">
      <x:c r="A841" s="2"/>
      <x:c r="B841" s="2" t="n">
        <x:v>836</x:v>
      </x:c>
      <x:c r="C841" s="2" t="str">
        <x:v>Fabric &amp; Home Care / price_contribution</x:v>
      </x:c>
      <x:c r="D841" s="7" t="n">
        <x:v>45930</x:v>
      </x:c>
      <x:c r="E841" s="2" t="str">
        <x:v>Origin</x:v>
      </x:c>
      <x:c r="F841" s="7" t="n">
        <x:v>45839</x:v>
      </x:c>
      <x:c r="G841" s="2" t="str">
        <x:v>Own history</x:v>
      </x:c>
      <x:c r="H841" s="8" t="n">
        <x:f>'Model fits'!AA569</x:f>
        <x:v>1.888727724823871</x:v>
      </x:c>
      <x:c r="I841" s="8" t="n">
        <x:f>0</x:f>
        <x:v>0</x:v>
      </x:c>
      <x:c r="J841" s="8" t="n">
        <x:v>0</x:v>
      </x:c>
      <x:c r="K841" s="8" t="n">
        <x:f>H841-I841*J841</x:f>
        <x:v>1.888727724823871</x:v>
      </x:c>
      <x:c r="L841" s="8" t="n">
        <x:f>'PG facts'!D135</x:f>
        <x:v>1</x:v>
      </x:c>
      <x:c r="M841" s="8" t="n">
        <x:f>K841-L841</x:f>
        <x:v>0.888727724823871</x:v>
      </x:c>
      <x:c r="N841" s="8" t="n">
        <x:f>M841^2</x:f>
        <x:v>0.7898369688706142</x:v>
      </x:c>
      <x:c r="O841" s="8" t="n">
        <x:f>ABS(M841)</x:f>
        <x:v>0.888727724823871</x:v>
      </x:c>
      <x:c r="P841" s="7" t="n">
        <x:v>45954</x:v>
      </x:c>
    </x:row>
    <x:row r="842" ht="26" customHeight="1">
      <x:c r="A842" s="2"/>
      <x:c r="B842" s="2" t="n">
        <x:v>837</x:v>
      </x:c>
      <x:c r="C842" s="2" t="str">
        <x:v>Fabric &amp; Home Care / price_contribution</x:v>
      </x:c>
      <x:c r="D842" s="7" t="n">
        <x:v>45930</x:v>
      </x:c>
      <x:c r="E842" s="2" t="str">
        <x:v>Prior report</x:v>
      </x:c>
      <x:c r="F842" s="7" t="n">
        <x:v>45867</x:v>
      </x:c>
      <x:c r="G842" s="2" t="str">
        <x:v>Last actual</x:v>
      </x:c>
      <x:c r="H842" s="8" t="n">
        <x:f>AVERAGE('PG facts'!D128)</x:f>
        <x:v>1</x:v>
      </x:c>
      <x:c r="I842" s="8" t="n">
        <x:f>0</x:f>
        <x:v>0</x:v>
      </x:c>
      <x:c r="J842" s="8" t="n">
        <x:v>0</x:v>
      </x:c>
      <x:c r="K842" s="8" t="n">
        <x:f>H842-I842*J842</x:f>
        <x:v>1</x:v>
      </x:c>
      <x:c r="L842" s="8" t="n">
        <x:f>'PG facts'!D135</x:f>
        <x:v>1</x:v>
      </x:c>
      <x:c r="M842" s="8" t="n">
        <x:f>K842-L842</x:f>
        <x:v>0</x:v>
      </x:c>
      <x:c r="N842" s="8" t="n">
        <x:f>M842^2</x:f>
        <x:v>0</x:v>
      </x:c>
      <x:c r="O842" s="8" t="n">
        <x:f>ABS(M842)</x:f>
        <x:v>0</x:v>
      </x:c>
      <x:c r="P842" s="7" t="n">
        <x:v>45954</x:v>
      </x:c>
    </x:row>
    <x:row r="843" ht="26" customHeight="1">
      <x:c r="A843" s="2"/>
      <x:c r="B843" s="2" t="n">
        <x:v>838</x:v>
      </x:c>
      <x:c r="C843" s="2" t="str">
        <x:v>Fabric &amp; Home Care / price_contribution</x:v>
      </x:c>
      <x:c r="D843" s="7" t="n">
        <x:v>45930</x:v>
      </x:c>
      <x:c r="E843" s="2" t="str">
        <x:v>Prior report</x:v>
      </x:c>
      <x:c r="F843" s="7" t="n">
        <x:v>45867</x:v>
      </x:c>
      <x:c r="G843" s="2" t="str">
        <x:v>Four-quarter mean</x:v>
      </x:c>
      <x:c r="H843" s="8" t="n">
        <x:f>AVERAGE('PG facts'!D107,'PG facts'!D114,'PG facts'!D121,'PG facts'!D128)</x:f>
        <x:v>0.25</x:v>
      </x:c>
      <x:c r="I843" s="8" t="n">
        <x:f>0</x:f>
        <x:v>0</x:v>
      </x:c>
      <x:c r="J843" s="8" t="n">
        <x:v>0</x:v>
      </x:c>
      <x:c r="K843" s="8" t="n">
        <x:f>H843-I843*J843</x:f>
        <x:v>0.25</x:v>
      </x:c>
      <x:c r="L843" s="8" t="n">
        <x:f>'PG facts'!D135</x:f>
        <x:v>1</x:v>
      </x:c>
      <x:c r="M843" s="8" t="n">
        <x:f>K843-L843</x:f>
        <x:v>-0.75</x:v>
      </x:c>
      <x:c r="N843" s="8" t="n">
        <x:f>M843^2</x:f>
        <x:v>0.5625</x:v>
      </x:c>
      <x:c r="O843" s="8" t="n">
        <x:f>ABS(M843)</x:f>
        <x:v>0.75</x:v>
      </x:c>
      <x:c r="P843" s="7" t="n">
        <x:v>45954</x:v>
      </x:c>
    </x:row>
    <x:row r="844" ht="26" customHeight="1">
      <x:c r="A844" s="2"/>
      <x:c r="B844" s="2" t="n">
        <x:v>839</x:v>
      </x:c>
      <x:c r="C844" s="2" t="str">
        <x:v>Fabric &amp; Home Care / price_contribution</x:v>
      </x:c>
      <x:c r="D844" s="7" t="n">
        <x:v>45930</x:v>
      </x:c>
      <x:c r="E844" s="2" t="str">
        <x:v>Prior report</x:v>
      </x:c>
      <x:c r="F844" s="7" t="n">
        <x:v>45867</x:v>
      </x:c>
      <x:c r="G844" s="2" t="str">
        <x:v>Broad market</x:v>
      </x:c>
      <x:c r="H844" s="8" t="n">
        <x:f>'Model fits'!AA570</x:f>
        <x:v>1.4906837858682582</x:v>
      </x:c>
      <x:c r="I844" s="8" t="n">
        <x:f>0</x:f>
        <x:v>0</x:v>
      </x:c>
      <x:c r="J844" s="8" t="n">
        <x:v>0</x:v>
      </x:c>
      <x:c r="K844" s="8" t="n">
        <x:f>H844-I844*J844</x:f>
        <x:v>1.4906837858682582</x:v>
      </x:c>
      <x:c r="L844" s="8" t="n">
        <x:f>'PG facts'!D135</x:f>
        <x:v>1</x:v>
      </x:c>
      <x:c r="M844" s="8" t="n">
        <x:f>K844-L844</x:f>
        <x:v>0.4906837858682582</x:v>
      </x:c>
      <x:c r="N844" s="8" t="n">
        <x:f>M844^2</x:f>
        <x:v>0.2407705777140067</x:v>
      </x:c>
      <x:c r="O844" s="8" t="n">
        <x:f>ABS(M844)</x:f>
        <x:v>0.4906837858682582</x:v>
      </x:c>
      <x:c r="P844" s="7" t="n">
        <x:v>45954</x:v>
      </x:c>
    </x:row>
    <x:row r="845" ht="26" customHeight="1">
      <x:c r="A845" s="2"/>
      <x:c r="B845" s="2" t="n">
        <x:v>840</x:v>
      </x:c>
      <x:c r="C845" s="2" t="str">
        <x:v>Fabric &amp; Home Care / price_contribution</x:v>
      </x:c>
      <x:c r="D845" s="7" t="n">
        <x:v>45930</x:v>
      </x:c>
      <x:c r="E845" s="2" t="str">
        <x:v>Prior report</x:v>
      </x:c>
      <x:c r="F845" s="7" t="n">
        <x:v>45867</x:v>
      </x:c>
      <x:c r="G845" s="2" t="str">
        <x:v>Broad lag 1</x:v>
      </x:c>
      <x:c r="H845" s="8" t="n">
        <x:f>'Model fits'!AA571</x:f>
        <x:v>2.306180966766898</x:v>
      </x:c>
      <x:c r="I845" s="8" t="n">
        <x:f>0</x:f>
        <x:v>0</x:v>
      </x:c>
      <x:c r="J845" s="8" t="n">
        <x:v>0</x:v>
      </x:c>
      <x:c r="K845" s="8" t="n">
        <x:f>H845-I845*J845</x:f>
        <x:v>2.306180966766898</x:v>
      </x:c>
      <x:c r="L845" s="8" t="n">
        <x:f>'PG facts'!D135</x:f>
        <x:v>1</x:v>
      </x:c>
      <x:c r="M845" s="8" t="n">
        <x:f>K845-L845</x:f>
        <x:v>1.306180966766898</x:v>
      </x:c>
      <x:c r="N845" s="8" t="n">
        <x:f>M845^2</x:f>
        <x:v>1.7061087179441083</x:v>
      </x:c>
      <x:c r="O845" s="8" t="n">
        <x:f>ABS(M845)</x:f>
        <x:v>1.306180966766898</x:v>
      </x:c>
      <x:c r="P845" s="7" t="n">
        <x:v>45954</x:v>
      </x:c>
    </x:row>
    <x:row r="846" ht="26" customHeight="1">
      <x:c r="A846" s="2"/>
      <x:c r="B846" s="2" t="n">
        <x:v>841</x:v>
      </x:c>
      <x:c r="C846" s="2" t="str">
        <x:v>Fabric &amp; Home Care / price_contribution</x:v>
      </x:c>
      <x:c r="D846" s="7" t="n">
        <x:v>45930</x:v>
      </x:c>
      <x:c r="E846" s="2" t="str">
        <x:v>Prior report</x:v>
      </x:c>
      <x:c r="F846" s="7" t="n">
        <x:v>45867</x:v>
      </x:c>
      <x:c r="G846" s="2" t="str">
        <x:v>Broad rolling 8</x:v>
      </x:c>
      <x:c r="H846" s="8" t="n">
        <x:f>'Model fits'!AA572</x:f>
        <x:v>-0.18140906094259557</x:v>
      </x:c>
      <x:c r="I846" s="8" t="n">
        <x:f>0</x:f>
        <x:v>0</x:v>
      </x:c>
      <x:c r="J846" s="8" t="n">
        <x:v>0</x:v>
      </x:c>
      <x:c r="K846" s="8" t="n">
        <x:f>H846-I846*J846</x:f>
        <x:v>-0.18140906094259557</x:v>
      </x:c>
      <x:c r="L846" s="8" t="n">
        <x:f>'PG facts'!D135</x:f>
        <x:v>1</x:v>
      </x:c>
      <x:c r="M846" s="8" t="n">
        <x:f>K846-L846</x:f>
        <x:v>-1.1814090609425956</x:v>
      </x:c>
      <x:c r="N846" s="8" t="n">
        <x:f>M846^2</x:f>
        <x:v>1.3957273692772656</x:v>
      </x:c>
      <x:c r="O846" s="8" t="n">
        <x:f>ABS(M846)</x:f>
        <x:v>1.1814090609425956</x:v>
      </x:c>
      <x:c r="P846" s="7" t="n">
        <x:v>45954</x:v>
      </x:c>
    </x:row>
    <x:row r="847" ht="26" customHeight="1">
      <x:c r="A847" s="2"/>
      <x:c r="B847" s="2" t="n">
        <x:v>842</x:v>
      </x:c>
      <x:c r="C847" s="2" t="str">
        <x:v>Fabric &amp; Home Care / price_contribution</x:v>
      </x:c>
      <x:c r="D847" s="7" t="n">
        <x:v>45930</x:v>
      </x:c>
      <x:c r="E847" s="2" t="str">
        <x:v>Prior report</x:v>
      </x:c>
      <x:c r="F847" s="7" t="n">
        <x:v>45867</x:v>
      </x:c>
      <x:c r="G847" s="2" t="str">
        <x:v>Own history</x:v>
      </x:c>
      <x:c r="H847" s="8" t="n">
        <x:f>'Model fits'!AA573</x:f>
        <x:v>1.539936102236422</x:v>
      </x:c>
      <x:c r="I847" s="8" t="n">
        <x:f>0</x:f>
        <x:v>0</x:v>
      </x:c>
      <x:c r="J847" s="8" t="n">
        <x:v>0</x:v>
      </x:c>
      <x:c r="K847" s="8" t="n">
        <x:f>H847-I847*J847</x:f>
        <x:v>1.539936102236422</x:v>
      </x:c>
      <x:c r="L847" s="8" t="n">
        <x:f>'PG facts'!D135</x:f>
        <x:v>1</x:v>
      </x:c>
      <x:c r="M847" s="8" t="n">
        <x:f>K847-L847</x:f>
        <x:v>0.539936102236422</x:v>
      </x:c>
      <x:c r="N847" s="8" t="n">
        <x:f>M847^2</x:f>
        <x:v>0.2915309944982599</x:v>
      </x:c>
      <x:c r="O847" s="8" t="n">
        <x:f>ABS(M847)</x:f>
        <x:v>0.539936102236422</x:v>
      </x:c>
      <x:c r="P847" s="7" t="n">
        <x:v>45954</x:v>
      </x:c>
    </x:row>
    <x:row r="848" ht="26" customHeight="1">
      <x:c r="A848" s="2"/>
      <x:c r="B848" s="2" t="n">
        <x:v>843</x:v>
      </x:c>
      <x:c r="C848" s="2" t="str">
        <x:v>Fabric &amp; Home Care / price_contribution</x:v>
      </x:c>
      <x:c r="D848" s="7" t="n">
        <x:v>45930</x:v>
      </x:c>
      <x:c r="E848" s="2" t="str">
        <x:v>Pre-earnings</x:v>
      </x:c>
      <x:c r="F848" s="7" t="n">
        <x:v>45953</x:v>
      </x:c>
      <x:c r="G848" s="2" t="str">
        <x:v>Last actual</x:v>
      </x:c>
      <x:c r="H848" s="8" t="n">
        <x:f>AVERAGE('PG facts'!D128)</x:f>
        <x:v>1</x:v>
      </x:c>
      <x:c r="I848" s="8" t="n">
        <x:f>0</x:f>
        <x:v>0</x:v>
      </x:c>
      <x:c r="J848" s="8" t="n">
        <x:v>0</x:v>
      </x:c>
      <x:c r="K848" s="8" t="n">
        <x:f>H848-I848*J848</x:f>
        <x:v>1</x:v>
      </x:c>
      <x:c r="L848" s="8" t="n">
        <x:f>'PG facts'!D135</x:f>
        <x:v>1</x:v>
      </x:c>
      <x:c r="M848" s="8" t="n">
        <x:f>K848-L848</x:f>
        <x:v>0</x:v>
      </x:c>
      <x:c r="N848" s="8" t="n">
        <x:f>M848^2</x:f>
        <x:v>0</x:v>
      </x:c>
      <x:c r="O848" s="8" t="n">
        <x:f>ABS(M848)</x:f>
        <x:v>0</x:v>
      </x:c>
      <x:c r="P848" s="7" t="n">
        <x:v>45954</x:v>
      </x:c>
    </x:row>
    <x:row r="849" ht="26" customHeight="1">
      <x:c r="A849" s="2"/>
      <x:c r="B849" s="2" t="n">
        <x:v>844</x:v>
      </x:c>
      <x:c r="C849" s="2" t="str">
        <x:v>Fabric &amp; Home Care / price_contribution</x:v>
      </x:c>
      <x:c r="D849" s="7" t="n">
        <x:v>45930</x:v>
      </x:c>
      <x:c r="E849" s="2" t="str">
        <x:v>Pre-earnings</x:v>
      </x:c>
      <x:c r="F849" s="7" t="n">
        <x:v>45953</x:v>
      </x:c>
      <x:c r="G849" s="2" t="str">
        <x:v>Four-quarter mean</x:v>
      </x:c>
      <x:c r="H849" s="8" t="n">
        <x:f>AVERAGE('PG facts'!D107,'PG facts'!D114,'PG facts'!D121,'PG facts'!D128)</x:f>
        <x:v>0.25</x:v>
      </x:c>
      <x:c r="I849" s="8" t="n">
        <x:f>0</x:f>
        <x:v>0</x:v>
      </x:c>
      <x:c r="J849" s="8" t="n">
        <x:v>0</x:v>
      </x:c>
      <x:c r="K849" s="8" t="n">
        <x:f>H849-I849*J849</x:f>
        <x:v>0.25</x:v>
      </x:c>
      <x:c r="L849" s="8" t="n">
        <x:f>'PG facts'!D135</x:f>
        <x:v>1</x:v>
      </x:c>
      <x:c r="M849" s="8" t="n">
        <x:f>K849-L849</x:f>
        <x:v>-0.75</x:v>
      </x:c>
      <x:c r="N849" s="8" t="n">
        <x:f>M849^2</x:f>
        <x:v>0.5625</x:v>
      </x:c>
      <x:c r="O849" s="8" t="n">
        <x:f>ABS(M849)</x:f>
        <x:v>0.75</x:v>
      </x:c>
      <x:c r="P849" s="7" t="n">
        <x:v>45954</x:v>
      </x:c>
    </x:row>
    <x:row r="850" ht="26" customHeight="1">
      <x:c r="A850" s="2"/>
      <x:c r="B850" s="2" t="n">
        <x:v>845</x:v>
      </x:c>
      <x:c r="C850" s="2" t="str">
        <x:v>Fabric &amp; Home Care / price_contribution</x:v>
      </x:c>
      <x:c r="D850" s="7" t="n">
        <x:v>45930</x:v>
      </x:c>
      <x:c r="E850" s="2" t="str">
        <x:v>Pre-earnings</x:v>
      </x:c>
      <x:c r="F850" s="7" t="n">
        <x:v>45953</x:v>
      </x:c>
      <x:c r="G850" s="2" t="str">
        <x:v>Broad market</x:v>
      </x:c>
      <x:c r="H850" s="8" t="n">
        <x:f>'Model fits'!AA574</x:f>
        <x:v>1.8319212919159082</x:v>
      </x:c>
      <x:c r="I850" s="8" t="n">
        <x:f>0</x:f>
        <x:v>0</x:v>
      </x:c>
      <x:c r="J850" s="8" t="n">
        <x:v>0</x:v>
      </x:c>
      <x:c r="K850" s="8" t="n">
        <x:f>H850-I850*J850</x:f>
        <x:v>1.8319212919159082</x:v>
      </x:c>
      <x:c r="L850" s="8" t="n">
        <x:f>'PG facts'!D135</x:f>
        <x:v>1</x:v>
      </x:c>
      <x:c r="M850" s="8" t="n">
        <x:f>K850-L850</x:f>
        <x:v>0.8319212919159082</x:v>
      </x:c>
      <x:c r="N850" s="8" t="n">
        <x:f>M850^2</x:f>
        <x:v>0.6920930359430338</x:v>
      </x:c>
      <x:c r="O850" s="8" t="n">
        <x:f>ABS(M850)</x:f>
        <x:v>0.8319212919159082</x:v>
      </x:c>
      <x:c r="P850" s="7" t="n">
        <x:v>45954</x:v>
      </x:c>
    </x:row>
    <x:row r="851" ht="26" customHeight="1">
      <x:c r="A851" s="2"/>
      <x:c r="B851" s="2" t="n">
        <x:v>846</x:v>
      </x:c>
      <x:c r="C851" s="2" t="str">
        <x:v>Fabric &amp; Home Care / price_contribution</x:v>
      </x:c>
      <x:c r="D851" s="7" t="n">
        <x:v>45930</x:v>
      </x:c>
      <x:c r="E851" s="2" t="str">
        <x:v>Pre-earnings</x:v>
      </x:c>
      <x:c r="F851" s="7" t="n">
        <x:v>45953</x:v>
      </x:c>
      <x:c r="G851" s="2" t="str">
        <x:v>Broad lag 1</x:v>
      </x:c>
      <x:c r="H851" s="8" t="n">
        <x:f>'Model fits'!AA575</x:f>
        <x:v>2.306180966766898</x:v>
      </x:c>
      <x:c r="I851" s="8" t="n">
        <x:f>0</x:f>
        <x:v>0</x:v>
      </x:c>
      <x:c r="J851" s="8" t="n">
        <x:v>0</x:v>
      </x:c>
      <x:c r="K851" s="8" t="n">
        <x:f>H851-I851*J851</x:f>
        <x:v>2.306180966766898</x:v>
      </x:c>
      <x:c r="L851" s="8" t="n">
        <x:f>'PG facts'!D135</x:f>
        <x:v>1</x:v>
      </x:c>
      <x:c r="M851" s="8" t="n">
        <x:f>K851-L851</x:f>
        <x:v>1.306180966766898</x:v>
      </x:c>
      <x:c r="N851" s="8" t="n">
        <x:f>M851^2</x:f>
        <x:v>1.7061087179441083</x:v>
      </x:c>
      <x:c r="O851" s="8" t="n">
        <x:f>ABS(M851)</x:f>
        <x:v>1.306180966766898</x:v>
      </x:c>
      <x:c r="P851" s="7" t="n">
        <x:v>45954</x:v>
      </x:c>
    </x:row>
    <x:row r="852" ht="26" customHeight="1">
      <x:c r="A852" s="2"/>
      <x:c r="B852" s="2" t="n">
        <x:v>847</x:v>
      </x:c>
      <x:c r="C852" s="2" t="str">
        <x:v>Fabric &amp; Home Care / price_contribution</x:v>
      </x:c>
      <x:c r="D852" s="7" t="n">
        <x:v>45930</x:v>
      </x:c>
      <x:c r="E852" s="2" t="str">
        <x:v>Pre-earnings</x:v>
      </x:c>
      <x:c r="F852" s="7" t="n">
        <x:v>45953</x:v>
      </x:c>
      <x:c r="G852" s="2" t="str">
        <x:v>Broad rolling 8</x:v>
      </x:c>
      <x:c r="H852" s="8" t="n">
        <x:f>'Model fits'!AA576</x:f>
        <x:v>0.12878377246278072</x:v>
      </x:c>
      <x:c r="I852" s="8" t="n">
        <x:f>0</x:f>
        <x:v>0</x:v>
      </x:c>
      <x:c r="J852" s="8" t="n">
        <x:v>0</x:v>
      </x:c>
      <x:c r="K852" s="8" t="n">
        <x:f>H852-I852*J852</x:f>
        <x:v>0.12878377246278072</x:v>
      </x:c>
      <x:c r="L852" s="8" t="n">
        <x:f>'PG facts'!D135</x:f>
        <x:v>1</x:v>
      </x:c>
      <x:c r="M852" s="8" t="n">
        <x:f>K852-L852</x:f>
        <x:v>-0.8712162275372193</x:v>
      </x:c>
      <x:c r="N852" s="8" t="n">
        <x:f>M852^2</x:f>
        <x:v>0.7590177151241838</x:v>
      </x:c>
      <x:c r="O852" s="8" t="n">
        <x:f>ABS(M852)</x:f>
        <x:v>0.8712162275372193</x:v>
      </x:c>
      <x:c r="P852" s="7" t="n">
        <x:v>45954</x:v>
      </x:c>
    </x:row>
    <x:row r="853" ht="26" customHeight="1">
      <x:c r="A853" s="2"/>
      <x:c r="B853" s="2" t="n">
        <x:v>848</x:v>
      </x:c>
      <x:c r="C853" s="2" t="str">
        <x:v>Fabric &amp; Home Care / price_contribution</x:v>
      </x:c>
      <x:c r="D853" s="7" t="n">
        <x:v>45930</x:v>
      </x:c>
      <x:c r="E853" s="2" t="str">
        <x:v>Pre-earnings</x:v>
      </x:c>
      <x:c r="F853" s="7" t="n">
        <x:v>45953</x:v>
      </x:c>
      <x:c r="G853" s="2" t="str">
        <x:v>Own history</x:v>
      </x:c>
      <x:c r="H853" s="8" t="n">
        <x:f>'Model fits'!AA577</x:f>
        <x:v>1.539936102236422</x:v>
      </x:c>
      <x:c r="I853" s="8" t="n">
        <x:f>0</x:f>
        <x:v>0</x:v>
      </x:c>
      <x:c r="J853" s="8" t="n">
        <x:v>0</x:v>
      </x:c>
      <x:c r="K853" s="8" t="n">
        <x:f>H853-I853*J853</x:f>
        <x:v>1.539936102236422</x:v>
      </x:c>
      <x:c r="L853" s="8" t="n">
        <x:f>'PG facts'!D135</x:f>
        <x:v>1</x:v>
      </x:c>
      <x:c r="M853" s="8" t="n">
        <x:f>K853-L853</x:f>
        <x:v>0.539936102236422</x:v>
      </x:c>
      <x:c r="N853" s="8" t="n">
        <x:f>M853^2</x:f>
        <x:v>0.2915309944982599</x:v>
      </x:c>
      <x:c r="O853" s="8" t="n">
        <x:f>ABS(M853)</x:f>
        <x:v>0.539936102236422</x:v>
      </x:c>
      <x:c r="P853" s="7" t="n">
        <x:v>45954</x:v>
      </x:c>
    </x:row>
    <x:row r="854" ht="26" customHeight="1">
      <x:c r="A854" s="2"/>
      <x:c r="B854" s="2" t="n">
        <x:v>849</x:v>
      </x:c>
      <x:c r="C854" s="2" t="str">
        <x:v>Fabric &amp; Home Care / price_contribution</x:v>
      </x:c>
      <x:c r="D854" s="7" t="n">
        <x:v>46022</x:v>
      </x:c>
      <x:c r="E854" s="2" t="str">
        <x:v>Origin</x:v>
      </x:c>
      <x:c r="F854" s="7" t="n">
        <x:v>45931</x:v>
      </x:c>
      <x:c r="G854" s="2" t="str">
        <x:v>Last actual</x:v>
      </x:c>
      <x:c r="H854" s="8" t="n">
        <x:f>AVERAGE('PG facts'!D128)</x:f>
        <x:v>1</x:v>
      </x:c>
      <x:c r="I854" s="8" t="n">
        <x:f>0</x:f>
        <x:v>0</x:v>
      </x:c>
      <x:c r="J854" s="8" t="n">
        <x:v>0</x:v>
      </x:c>
      <x:c r="K854" s="8" t="n">
        <x:f>H854-I854*J854</x:f>
        <x:v>1</x:v>
      </x:c>
      <x:c r="L854" s="8" t="n">
        <x:f>'PG facts'!D142</x:f>
        <x:v>1</x:v>
      </x:c>
      <x:c r="M854" s="8" t="n">
        <x:f>K854-L854</x:f>
        <x:v>0</x:v>
      </x:c>
      <x:c r="N854" s="8" t="n">
        <x:f>M854^2</x:f>
        <x:v>0</x:v>
      </x:c>
      <x:c r="O854" s="8" t="n">
        <x:f>ABS(M854)</x:f>
        <x:v>0</x:v>
      </x:c>
      <x:c r="P854" s="7" t="n">
        <x:v>46045</x:v>
      </x:c>
    </x:row>
    <x:row r="855" ht="26" customHeight="1">
      <x:c r="A855" s="2"/>
      <x:c r="B855" s="2" t="n">
        <x:v>850</x:v>
      </x:c>
      <x:c r="C855" s="2" t="str">
        <x:v>Fabric &amp; Home Care / price_contribution</x:v>
      </x:c>
      <x:c r="D855" s="7" t="n">
        <x:v>46022</x:v>
      </x:c>
      <x:c r="E855" s="2" t="str">
        <x:v>Origin</x:v>
      </x:c>
      <x:c r="F855" s="7" t="n">
        <x:v>45931</x:v>
      </x:c>
      <x:c r="G855" s="2" t="str">
        <x:v>Four-quarter mean</x:v>
      </x:c>
      <x:c r="H855" s="8" t="n">
        <x:f>AVERAGE('PG facts'!D107,'PG facts'!D114,'PG facts'!D121,'PG facts'!D128)</x:f>
        <x:v>0.25</x:v>
      </x:c>
      <x:c r="I855" s="8" t="n">
        <x:f>0</x:f>
        <x:v>0</x:v>
      </x:c>
      <x:c r="J855" s="8" t="n">
        <x:v>0</x:v>
      </x:c>
      <x:c r="K855" s="8" t="n">
        <x:f>H855-I855*J855</x:f>
        <x:v>0.25</x:v>
      </x:c>
      <x:c r="L855" s="8" t="n">
        <x:f>'PG facts'!D142</x:f>
        <x:v>1</x:v>
      </x:c>
      <x:c r="M855" s="8" t="n">
        <x:f>K855-L855</x:f>
        <x:v>-0.75</x:v>
      </x:c>
      <x:c r="N855" s="8" t="n">
        <x:f>M855^2</x:f>
        <x:v>0.5625</x:v>
      </x:c>
      <x:c r="O855" s="8" t="n">
        <x:f>ABS(M855)</x:f>
        <x:v>0.75</x:v>
      </x:c>
      <x:c r="P855" s="7" t="n">
        <x:v>46045</x:v>
      </x:c>
    </x:row>
    <x:row r="856" ht="26" customHeight="1">
      <x:c r="A856" s="2"/>
      <x:c r="B856" s="2" t="n">
        <x:v>851</x:v>
      </x:c>
      <x:c r="C856" s="2" t="str">
        <x:v>Fabric &amp; Home Care / price_contribution</x:v>
      </x:c>
      <x:c r="D856" s="7" t="n">
        <x:v>46022</x:v>
      </x:c>
      <x:c r="E856" s="2" t="str">
        <x:v>Origin</x:v>
      </x:c>
      <x:c r="F856" s="7" t="n">
        <x:v>45931</x:v>
      </x:c>
      <x:c r="G856" s="2" t="str">
        <x:v>Broad market</x:v>
      </x:c>
      <x:c r="H856" s="8" t="n">
        <x:f>'Model fits'!AA578</x:f>
        <x:v>1.7938693971720188</x:v>
      </x:c>
      <x:c r="I856" s="8" t="n">
        <x:f>0</x:f>
        <x:v>0</x:v>
      </x:c>
      <x:c r="J856" s="8" t="n">
        <x:v>0</x:v>
      </x:c>
      <x:c r="K856" s="8" t="n">
        <x:f>H856-I856*J856</x:f>
        <x:v>1.7938693971720188</x:v>
      </x:c>
      <x:c r="L856" s="8" t="n">
        <x:f>'PG facts'!D142</x:f>
        <x:v>1</x:v>
      </x:c>
      <x:c r="M856" s="8" t="n">
        <x:f>K856-L856</x:f>
        <x:v>0.7938693971720188</x:v>
      </x:c>
      <x:c r="N856" s="8" t="n">
        <x:f>M856^2</x:f>
        <x:v>0.6302286197662644</x:v>
      </x:c>
      <x:c r="O856" s="8" t="n">
        <x:f>ABS(M856)</x:f>
        <x:v>0.7938693971720188</x:v>
      </x:c>
      <x:c r="P856" s="7" t="n">
        <x:v>46045</x:v>
      </x:c>
    </x:row>
    <x:row r="857" ht="26" customHeight="1">
      <x:c r="A857" s="2"/>
      <x:c r="B857" s="2" t="n">
        <x:v>852</x:v>
      </x:c>
      <x:c r="C857" s="2" t="str">
        <x:v>Fabric &amp; Home Care / price_contribution</x:v>
      </x:c>
      <x:c r="D857" s="7" t="n">
        <x:v>46022</x:v>
      </x:c>
      <x:c r="E857" s="2" t="str">
        <x:v>Origin</x:v>
      </x:c>
      <x:c r="F857" s="7" t="n">
        <x:v>45931</x:v>
      </x:c>
      <x:c r="G857" s="2" t="str">
        <x:v>Broad rolling 8</x:v>
      </x:c>
      <x:c r="H857" s="8" t="n">
        <x:f>'Model fits'!AA579</x:f>
        <x:v>0.09419371469403703</x:v>
      </x:c>
      <x:c r="I857" s="8" t="n">
        <x:f>0</x:f>
        <x:v>0</x:v>
      </x:c>
      <x:c r="J857" s="8" t="n">
        <x:v>0</x:v>
      </x:c>
      <x:c r="K857" s="8" t="n">
        <x:f>H857-I857*J857</x:f>
        <x:v>0.09419371469403703</x:v>
      </x:c>
      <x:c r="L857" s="8" t="n">
        <x:f>'PG facts'!D142</x:f>
        <x:v>1</x:v>
      </x:c>
      <x:c r="M857" s="8" t="n">
        <x:f>K857-L857</x:f>
        <x:v>-0.905806285305963</x:v>
      </x:c>
      <x:c r="N857" s="8" t="n">
        <x:f>M857^2</x:f>
        <x:v>0.8204850264997876</x:v>
      </x:c>
      <x:c r="O857" s="8" t="n">
        <x:f>ABS(M857)</x:f>
        <x:v>0.905806285305963</x:v>
      </x:c>
      <x:c r="P857" s="7" t="n">
        <x:v>46045</x:v>
      </x:c>
    </x:row>
    <x:row r="858" ht="26" customHeight="1">
      <x:c r="A858" s="2"/>
      <x:c r="B858" s="2" t="n">
        <x:v>853</x:v>
      </x:c>
      <x:c r="C858" s="2" t="str">
        <x:v>Fabric &amp; Home Care / price_contribution</x:v>
      </x:c>
      <x:c r="D858" s="7" t="n">
        <x:v>46022</x:v>
      </x:c>
      <x:c r="E858" s="2" t="str">
        <x:v>Origin</x:v>
      </x:c>
      <x:c r="F858" s="7" t="n">
        <x:v>45931</x:v>
      </x:c>
      <x:c r="G858" s="2" t="str">
        <x:v>Own history</x:v>
      </x:c>
      <x:c r="H858" s="8" t="n">
        <x:f>'Model fits'!AA580</x:f>
        <x:v>2.3922063864333394</x:v>
      </x:c>
      <x:c r="I858" s="8" t="n">
        <x:f>0</x:f>
        <x:v>0</x:v>
      </x:c>
      <x:c r="J858" s="8" t="n">
        <x:v>0</x:v>
      </x:c>
      <x:c r="K858" s="8" t="n">
        <x:f>H858-I858*J858</x:f>
        <x:v>2.3922063864333394</x:v>
      </x:c>
      <x:c r="L858" s="8" t="n">
        <x:f>'PG facts'!D142</x:f>
        <x:v>1</x:v>
      </x:c>
      <x:c r="M858" s="8" t="n">
        <x:f>K858-L858</x:f>
        <x:v>1.3922063864333394</x:v>
      </x:c>
      <x:c r="N858" s="8" t="n">
        <x:f>M858^2</x:f>
        <x:v>1.9382386224257766</x:v>
      </x:c>
      <x:c r="O858" s="8" t="n">
        <x:f>ABS(M858)</x:f>
        <x:v>1.3922063864333394</x:v>
      </x:c>
      <x:c r="P858" s="7" t="n">
        <x:v>46045</x:v>
      </x:c>
    </x:row>
    <x:row r="859" ht="26" customHeight="1">
      <x:c r="A859" s="2"/>
      <x:c r="B859" s="2" t="n">
        <x:v>854</x:v>
      </x:c>
      <x:c r="C859" s="2" t="str">
        <x:v>Fabric &amp; Home Care / price_contribution</x:v>
      </x:c>
      <x:c r="D859" s="7" t="n">
        <x:v>46022</x:v>
      </x:c>
      <x:c r="E859" s="2" t="str">
        <x:v>Prior report</x:v>
      </x:c>
      <x:c r="F859" s="7" t="n">
        <x:v>45954</x:v>
      </x:c>
      <x:c r="G859" s="2" t="str">
        <x:v>Last actual</x:v>
      </x:c>
      <x:c r="H859" s="8" t="n">
        <x:f>AVERAGE('PG facts'!D135)</x:f>
        <x:v>1</x:v>
      </x:c>
      <x:c r="I859" s="8" t="n">
        <x:f>0</x:f>
        <x:v>0</x:v>
      </x:c>
      <x:c r="J859" s="8" t="n">
        <x:v>0</x:v>
      </x:c>
      <x:c r="K859" s="8" t="n">
        <x:f>H859-I859*J859</x:f>
        <x:v>1</x:v>
      </x:c>
      <x:c r="L859" s="8" t="n">
        <x:f>'PG facts'!D142</x:f>
        <x:v>1</x:v>
      </x:c>
      <x:c r="M859" s="8" t="n">
        <x:f>K859-L859</x:f>
        <x:v>0</x:v>
      </x:c>
      <x:c r="N859" s="8" t="n">
        <x:f>M859^2</x:f>
        <x:v>0</x:v>
      </x:c>
      <x:c r="O859" s="8" t="n">
        <x:f>ABS(M859)</x:f>
        <x:v>0</x:v>
      </x:c>
      <x:c r="P859" s="7" t="n">
        <x:v>46045</x:v>
      </x:c>
    </x:row>
    <x:row r="860" ht="26" customHeight="1">
      <x:c r="A860" s="2"/>
      <x:c r="B860" s="2" t="n">
        <x:v>855</x:v>
      </x:c>
      <x:c r="C860" s="2" t="str">
        <x:v>Fabric &amp; Home Care / price_contribution</x:v>
      </x:c>
      <x:c r="D860" s="7" t="n">
        <x:v>46022</x:v>
      </x:c>
      <x:c r="E860" s="2" t="str">
        <x:v>Prior report</x:v>
      </x:c>
      <x:c r="F860" s="7" t="n">
        <x:v>45954</x:v>
      </x:c>
      <x:c r="G860" s="2" t="str">
        <x:v>Four-quarter mean</x:v>
      </x:c>
      <x:c r="H860" s="8" t="n">
        <x:f>AVERAGE('PG facts'!D114,'PG facts'!D121,'PG facts'!D128,'PG facts'!D135)</x:f>
        <x:v>0.5</x:v>
      </x:c>
      <x:c r="I860" s="8" t="n">
        <x:f>0</x:f>
        <x:v>0</x:v>
      </x:c>
      <x:c r="J860" s="8" t="n">
        <x:v>0</x:v>
      </x:c>
      <x:c r="K860" s="8" t="n">
        <x:f>H860-I860*J860</x:f>
        <x:v>0.5</x:v>
      </x:c>
      <x:c r="L860" s="8" t="n">
        <x:f>'PG facts'!D142</x:f>
        <x:v>1</x:v>
      </x:c>
      <x:c r="M860" s="8" t="n">
        <x:f>K860-L860</x:f>
        <x:v>-0.5</x:v>
      </x:c>
      <x:c r="N860" s="8" t="n">
        <x:f>M860^2</x:f>
        <x:v>0.25</x:v>
      </x:c>
      <x:c r="O860" s="8" t="n">
        <x:f>ABS(M860)</x:f>
        <x:v>0.5</x:v>
      </x:c>
      <x:c r="P860" s="7" t="n">
        <x:v>46045</x:v>
      </x:c>
    </x:row>
    <x:row r="861" ht="26" customHeight="1">
      <x:c r="A861" s="2"/>
      <x:c r="B861" s="2" t="n">
        <x:v>856</x:v>
      </x:c>
      <x:c r="C861" s="2" t="str">
        <x:v>Fabric &amp; Home Care / price_contribution</x:v>
      </x:c>
      <x:c r="D861" s="7" t="n">
        <x:v>46022</x:v>
      </x:c>
      <x:c r="E861" s="2" t="str">
        <x:v>Prior report</x:v>
      </x:c>
      <x:c r="F861" s="7" t="n">
        <x:v>45954</x:v>
      </x:c>
      <x:c r="G861" s="2" t="str">
        <x:v>Broad market</x:v>
      </x:c>
      <x:c r="H861" s="8" t="n">
        <x:f>'Model fits'!AA581</x:f>
        <x:v>2.0982154952997014</x:v>
      </x:c>
      <x:c r="I861" s="8" t="n">
        <x:f>0</x:f>
        <x:v>0</x:v>
      </x:c>
      <x:c r="J861" s="8" t="n">
        <x:v>0</x:v>
      </x:c>
      <x:c r="K861" s="8" t="n">
        <x:f>H861-I861*J861</x:f>
        <x:v>2.0982154952997014</x:v>
      </x:c>
      <x:c r="L861" s="8" t="n">
        <x:f>'PG facts'!D142</x:f>
        <x:v>1</x:v>
      </x:c>
      <x:c r="M861" s="8" t="n">
        <x:f>K861-L861</x:f>
        <x:v>1.0982154952997014</x:v>
      </x:c>
      <x:c r="N861" s="8" t="n">
        <x:f>M861^2</x:f>
        <x:v>1.2060772741163686</x:v>
      </x:c>
      <x:c r="O861" s="8" t="n">
        <x:f>ABS(M861)</x:f>
        <x:v>1.0982154952997014</x:v>
      </x:c>
      <x:c r="P861" s="7" t="n">
        <x:v>46045</x:v>
      </x:c>
    </x:row>
    <x:row r="862" ht="26" customHeight="1">
      <x:c r="A862" s="2"/>
      <x:c r="B862" s="2" t="n">
        <x:v>857</x:v>
      </x:c>
      <x:c r="C862" s="2" t="str">
        <x:v>Fabric &amp; Home Care / price_contribution</x:v>
      </x:c>
      <x:c r="D862" s="7" t="n">
        <x:v>46022</x:v>
      </x:c>
      <x:c r="E862" s="2" t="str">
        <x:v>Prior report</x:v>
      </x:c>
      <x:c r="F862" s="7" t="n">
        <x:v>45954</x:v>
      </x:c>
      <x:c r="G862" s="2" t="str">
        <x:v>Broad lag 1</x:v>
      </x:c>
      <x:c r="H862" s="8" t="n">
        <x:f>'Model fits'!AA582</x:f>
        <x:v>2.69749671825754</x:v>
      </x:c>
      <x:c r="I862" s="8" t="n">
        <x:f>0</x:f>
        <x:v>0</x:v>
      </x:c>
      <x:c r="J862" s="8" t="n">
        <x:v>0</x:v>
      </x:c>
      <x:c r="K862" s="8" t="n">
        <x:f>H862-I862*J862</x:f>
        <x:v>2.69749671825754</x:v>
      </x:c>
      <x:c r="L862" s="8" t="n">
        <x:f>'PG facts'!D142</x:f>
        <x:v>1</x:v>
      </x:c>
      <x:c r="M862" s="8" t="n">
        <x:f>K862-L862</x:f>
        <x:v>1.6974967182575398</x:v>
      </x:c>
      <x:c r="N862" s="8" t="n">
        <x:f>M862^2</x:f>
        <x:v>2.8814951084951175</x:v>
      </x:c>
      <x:c r="O862" s="8" t="n">
        <x:f>ABS(M862)</x:f>
        <x:v>1.6974967182575398</x:v>
      </x:c>
      <x:c r="P862" s="7" t="n">
        <x:v>46045</x:v>
      </x:c>
    </x:row>
    <x:row r="863" ht="26" customHeight="1">
      <x:c r="A863" s="2"/>
      <x:c r="B863" s="2" t="n">
        <x:v>858</x:v>
      </x:c>
      <x:c r="C863" s="2" t="str">
        <x:v>Fabric &amp; Home Care / price_contribution</x:v>
      </x:c>
      <x:c r="D863" s="7" t="n">
        <x:v>46022</x:v>
      </x:c>
      <x:c r="E863" s="2" t="str">
        <x:v>Prior report</x:v>
      </x:c>
      <x:c r="F863" s="7" t="n">
        <x:v>45954</x:v>
      </x:c>
      <x:c r="G863" s="2" t="str">
        <x:v>Broad rolling 8</x:v>
      </x:c>
      <x:c r="H863" s="8" t="n">
        <x:f>'Model fits'!AA583</x:f>
        <x:v>0.49605876947916594</x:v>
      </x:c>
      <x:c r="I863" s="8" t="n">
        <x:f>0</x:f>
        <x:v>0</x:v>
      </x:c>
      <x:c r="J863" s="8" t="n">
        <x:v>0</x:v>
      </x:c>
      <x:c r="K863" s="8" t="n">
        <x:f>H863-I863*J863</x:f>
        <x:v>0.49605876947916594</x:v>
      </x:c>
      <x:c r="L863" s="8" t="n">
        <x:f>'PG facts'!D142</x:f>
        <x:v>1</x:v>
      </x:c>
      <x:c r="M863" s="8" t="n">
        <x:f>K863-L863</x:f>
        <x:v>-0.5039412305208341</x:v>
      </x:c>
      <x:c r="N863" s="8" t="n">
        <x:f>M863^2</x:f>
        <x:v>0.2539567638188524</x:v>
      </x:c>
      <x:c r="O863" s="8" t="n">
        <x:f>ABS(M863)</x:f>
        <x:v>0.5039412305208341</x:v>
      </x:c>
      <x:c r="P863" s="7" t="n">
        <x:v>46045</x:v>
      </x:c>
    </x:row>
    <x:row r="864" ht="26" customHeight="1">
      <x:c r="A864" s="2"/>
      <x:c r="B864" s="2" t="n">
        <x:v>859</x:v>
      </x:c>
      <x:c r="C864" s="2" t="str">
        <x:v>Fabric &amp; Home Care / price_contribution</x:v>
      </x:c>
      <x:c r="D864" s="7" t="n">
        <x:v>46022</x:v>
      </x:c>
      <x:c r="E864" s="2" t="str">
        <x:v>Prior report</x:v>
      </x:c>
      <x:c r="F864" s="7" t="n">
        <x:v>45954</x:v>
      </x:c>
      <x:c r="G864" s="2" t="str">
        <x:v>Own history</x:v>
      </x:c>
      <x:c r="H864" s="8" t="n">
        <x:f>'Model fits'!AA584</x:f>
        <x:v>1.4941520467836256</x:v>
      </x:c>
      <x:c r="I864" s="8" t="n">
        <x:f>0</x:f>
        <x:v>0</x:v>
      </x:c>
      <x:c r="J864" s="8" t="n">
        <x:v>0</x:v>
      </x:c>
      <x:c r="K864" s="8" t="n">
        <x:f>H864-I864*J864</x:f>
        <x:v>1.4941520467836256</x:v>
      </x:c>
      <x:c r="L864" s="8" t="n">
        <x:f>'PG facts'!D142</x:f>
        <x:v>1</x:v>
      </x:c>
      <x:c r="M864" s="8" t="n">
        <x:f>K864-L864</x:f>
        <x:v>0.49415204678362556</x:v>
      </x:c>
      <x:c r="N864" s="8" t="n">
        <x:f>M864^2</x:f>
        <x:v>0.24418624534044647</x:v>
      </x:c>
      <x:c r="O864" s="8" t="n">
        <x:f>ABS(M864)</x:f>
        <x:v>0.49415204678362556</x:v>
      </x:c>
      <x:c r="P864" s="7" t="n">
        <x:v>46045</x:v>
      </x:c>
    </x:row>
    <x:row r="865" ht="26" customHeight="1">
      <x:c r="A865" s="2"/>
      <x:c r="B865" s="2" t="n">
        <x:v>860</x:v>
      </x:c>
      <x:c r="C865" s="2" t="str">
        <x:v>Fabric &amp; Home Care / price_contribution</x:v>
      </x:c>
      <x:c r="D865" s="7" t="n">
        <x:v>46022</x:v>
      </x:c>
      <x:c r="E865" s="2" t="str">
        <x:v>Pre-earnings</x:v>
      </x:c>
      <x:c r="F865" s="7" t="n">
        <x:v>46044</x:v>
      </x:c>
      <x:c r="G865" s="2" t="str">
        <x:v>Last actual</x:v>
      </x:c>
      <x:c r="H865" s="8" t="n">
        <x:f>AVERAGE('PG facts'!D135)</x:f>
        <x:v>1</x:v>
      </x:c>
      <x:c r="I865" s="8" t="n">
        <x:f>0</x:f>
        <x:v>0</x:v>
      </x:c>
      <x:c r="J865" s="8" t="n">
        <x:v>0</x:v>
      </x:c>
      <x:c r="K865" s="8" t="n">
        <x:f>H865-I865*J865</x:f>
        <x:v>1</x:v>
      </x:c>
      <x:c r="L865" s="8" t="n">
        <x:f>'PG facts'!D142</x:f>
        <x:v>1</x:v>
      </x:c>
      <x:c r="M865" s="8" t="n">
        <x:f>K865-L865</x:f>
        <x:v>0</x:v>
      </x:c>
      <x:c r="N865" s="8" t="n">
        <x:f>M865^2</x:f>
        <x:v>0</x:v>
      </x:c>
      <x:c r="O865" s="8" t="n">
        <x:f>ABS(M865)</x:f>
        <x:v>0</x:v>
      </x:c>
      <x:c r="P865" s="7" t="n">
        <x:v>46045</x:v>
      </x:c>
    </x:row>
    <x:row r="866" ht="26" customHeight="1">
      <x:c r="A866" s="2"/>
      <x:c r="B866" s="2" t="n">
        <x:v>861</x:v>
      </x:c>
      <x:c r="C866" s="2" t="str">
        <x:v>Fabric &amp; Home Care / price_contribution</x:v>
      </x:c>
      <x:c r="D866" s="7" t="n">
        <x:v>46022</x:v>
      </x:c>
      <x:c r="E866" s="2" t="str">
        <x:v>Pre-earnings</x:v>
      </x:c>
      <x:c r="F866" s="7" t="n">
        <x:v>46044</x:v>
      </x:c>
      <x:c r="G866" s="2" t="str">
        <x:v>Four-quarter mean</x:v>
      </x:c>
      <x:c r="H866" s="8" t="n">
        <x:f>AVERAGE('PG facts'!D114,'PG facts'!D121,'PG facts'!D128,'PG facts'!D135)</x:f>
        <x:v>0.5</x:v>
      </x:c>
      <x:c r="I866" s="8" t="n">
        <x:f>0</x:f>
        <x:v>0</x:v>
      </x:c>
      <x:c r="J866" s="8" t="n">
        <x:v>0</x:v>
      </x:c>
      <x:c r="K866" s="8" t="n">
        <x:f>H866-I866*J866</x:f>
        <x:v>0.5</x:v>
      </x:c>
      <x:c r="L866" s="8" t="n">
        <x:f>'PG facts'!D142</x:f>
        <x:v>1</x:v>
      </x:c>
      <x:c r="M866" s="8" t="n">
        <x:f>K866-L866</x:f>
        <x:v>-0.5</x:v>
      </x:c>
      <x:c r="N866" s="8" t="n">
        <x:f>M866^2</x:f>
        <x:v>0.25</x:v>
      </x:c>
      <x:c r="O866" s="8" t="n">
        <x:f>ABS(M866)</x:f>
        <x:v>0.5</x:v>
      </x:c>
      <x:c r="P866" s="7" t="n">
        <x:v>46045</x:v>
      </x:c>
    </x:row>
    <x:row r="867" ht="26" customHeight="1">
      <x:c r="A867" s="2"/>
      <x:c r="B867" s="2" t="n">
        <x:v>862</x:v>
      </x:c>
      <x:c r="C867" s="2" t="str">
        <x:v>Fabric &amp; Home Care / price_contribution</x:v>
      </x:c>
      <x:c r="D867" s="7" t="n">
        <x:v>46022</x:v>
      </x:c>
      <x:c r="E867" s="2" t="str">
        <x:v>Pre-earnings</x:v>
      </x:c>
      <x:c r="F867" s="7" t="n">
        <x:v>46044</x:v>
      </x:c>
      <x:c r="G867" s="2" t="str">
        <x:v>Broad market</x:v>
      </x:c>
      <x:c r="H867" s="8" t="n">
        <x:f>'Model fits'!AA585</x:f>
        <x:v>2.316558360187847</x:v>
      </x:c>
      <x:c r="I867" s="8" t="n">
        <x:f>0</x:f>
        <x:v>0</x:v>
      </x:c>
      <x:c r="J867" s="8" t="n">
        <x:v>0</x:v>
      </x:c>
      <x:c r="K867" s="8" t="n">
        <x:f>H867-I867*J867</x:f>
        <x:v>2.316558360187847</x:v>
      </x:c>
      <x:c r="L867" s="8" t="n">
        <x:f>'PG facts'!D142</x:f>
        <x:v>1</x:v>
      </x:c>
      <x:c r="M867" s="8" t="n">
        <x:f>K867-L867</x:f>
        <x:v>1.3165583601878472</x:v>
      </x:c>
      <x:c r="N867" s="8" t="n">
        <x:f>M867^2</x:f>
        <x:v>1.7333259157805132</x:v>
      </x:c>
      <x:c r="O867" s="8" t="n">
        <x:f>ABS(M867)</x:f>
        <x:v>1.3165583601878472</x:v>
      </x:c>
      <x:c r="P867" s="7" t="n">
        <x:v>46045</x:v>
      </x:c>
    </x:row>
    <x:row r="868" ht="26" customHeight="1">
      <x:c r="A868" s="2"/>
      <x:c r="B868" s="2" t="n">
        <x:v>863</x:v>
      </x:c>
      <x:c r="C868" s="2" t="str">
        <x:v>Fabric &amp; Home Care / price_contribution</x:v>
      </x:c>
      <x:c r="D868" s="7" t="n">
        <x:v>46022</x:v>
      </x:c>
      <x:c r="E868" s="2" t="str">
        <x:v>Pre-earnings</x:v>
      </x:c>
      <x:c r="F868" s="7" t="n">
        <x:v>46044</x:v>
      </x:c>
      <x:c r="G868" s="2" t="str">
        <x:v>Broad lag 1</x:v>
      </x:c>
      <x:c r="H868" s="8" t="n">
        <x:f>'Model fits'!AA586</x:f>
        <x:v>2.69749671825754</x:v>
      </x:c>
      <x:c r="I868" s="8" t="n">
        <x:f>0</x:f>
        <x:v>0</x:v>
      </x:c>
      <x:c r="J868" s="8" t="n">
        <x:v>0</x:v>
      </x:c>
      <x:c r="K868" s="8" t="n">
        <x:f>H868-I868*J868</x:f>
        <x:v>2.69749671825754</x:v>
      </x:c>
      <x:c r="L868" s="8" t="n">
        <x:f>'PG facts'!D142</x:f>
        <x:v>1</x:v>
      </x:c>
      <x:c r="M868" s="8" t="n">
        <x:f>K868-L868</x:f>
        <x:v>1.6974967182575398</x:v>
      </x:c>
      <x:c r="N868" s="8" t="n">
        <x:f>M868^2</x:f>
        <x:v>2.8814951084951175</x:v>
      </x:c>
      <x:c r="O868" s="8" t="n">
        <x:f>ABS(M868)</x:f>
        <x:v>1.6974967182575398</x:v>
      </x:c>
      <x:c r="P868" s="7" t="n">
        <x:v>46045</x:v>
      </x:c>
    </x:row>
    <x:row r="869" ht="26" customHeight="1">
      <x:c r="A869" s="2"/>
      <x:c r="B869" s="2" t="n">
        <x:v>864</x:v>
      </x:c>
      <x:c r="C869" s="2" t="str">
        <x:v>Fabric &amp; Home Care / price_contribution</x:v>
      </x:c>
      <x:c r="D869" s="7" t="n">
        <x:v>46022</x:v>
      </x:c>
      <x:c r="E869" s="2" t="str">
        <x:v>Pre-earnings</x:v>
      </x:c>
      <x:c r="F869" s="7" t="n">
        <x:v>46044</x:v>
      </x:c>
      <x:c r="G869" s="2" t="str">
        <x:v>Broad rolling 8</x:v>
      </x:c>
      <x:c r="H869" s="8" t="n">
        <x:f>'Model fits'!AA587</x:f>
        <x:v>0.6187576212191708</x:v>
      </x:c>
      <x:c r="I869" s="8" t="n">
        <x:f>0</x:f>
        <x:v>0</x:v>
      </x:c>
      <x:c r="J869" s="8" t="n">
        <x:v>0</x:v>
      </x:c>
      <x:c r="K869" s="8" t="n">
        <x:f>H869-I869*J869</x:f>
        <x:v>0.6187576212191708</x:v>
      </x:c>
      <x:c r="L869" s="8" t="n">
        <x:f>'PG facts'!D142</x:f>
        <x:v>1</x:v>
      </x:c>
      <x:c r="M869" s="8" t="n">
        <x:f>K869-L869</x:f>
        <x:v>-0.3812423787808292</x:v>
      </x:c>
      <x:c r="N869" s="8" t="n">
        <x:f>M869^2</x:f>
        <x:v>0.14534575137846525</x:v>
      </x:c>
      <x:c r="O869" s="8" t="n">
        <x:f>ABS(M869)</x:f>
        <x:v>0.3812423787808292</x:v>
      </x:c>
      <x:c r="P869" s="7" t="n">
        <x:v>46045</x:v>
      </x:c>
    </x:row>
    <x:row r="870" ht="26" customHeight="1">
      <x:c r="A870" s="2"/>
      <x:c r="B870" s="2" t="n">
        <x:v>865</x:v>
      </x:c>
      <x:c r="C870" s="2" t="str">
        <x:v>Fabric &amp; Home Care / price_contribution</x:v>
      </x:c>
      <x:c r="D870" s="7" t="n">
        <x:v>46022</x:v>
      </x:c>
      <x:c r="E870" s="2" t="str">
        <x:v>Pre-earnings</x:v>
      </x:c>
      <x:c r="F870" s="7" t="n">
        <x:v>46044</x:v>
      </x:c>
      <x:c r="G870" s="2" t="str">
        <x:v>Own history</x:v>
      </x:c>
      <x:c r="H870" s="8" t="n">
        <x:f>'Model fits'!AA588</x:f>
        <x:v>1.4941520467836256</x:v>
      </x:c>
      <x:c r="I870" s="8" t="n">
        <x:f>0</x:f>
        <x:v>0</x:v>
      </x:c>
      <x:c r="J870" s="8" t="n">
        <x:v>0</x:v>
      </x:c>
      <x:c r="K870" s="8" t="n">
        <x:f>H870-I870*J870</x:f>
        <x:v>1.4941520467836256</x:v>
      </x:c>
      <x:c r="L870" s="8" t="n">
        <x:f>'PG facts'!D142</x:f>
        <x:v>1</x:v>
      </x:c>
      <x:c r="M870" s="8" t="n">
        <x:f>K870-L870</x:f>
        <x:v>0.49415204678362556</x:v>
      </x:c>
      <x:c r="N870" s="8" t="n">
        <x:f>M870^2</x:f>
        <x:v>0.24418624534044647</x:v>
      </x:c>
      <x:c r="O870" s="8" t="n">
        <x:f>ABS(M870)</x:f>
        <x:v>0.49415204678362556</x:v>
      </x:c>
      <x:c r="P870" s="7" t="n">
        <x:v>46045</x:v>
      </x:c>
    </x:row>
    <x:row r="871" ht="26" customHeight="1">
      <x:c r="A871" s="2"/>
      <x:c r="B871" s="2" t="n">
        <x:v>866</x:v>
      </x:c>
      <x:c r="C871" s="2" t="str">
        <x:v>Fabric &amp; Home Care / price_contribution</x:v>
      </x:c>
      <x:c r="D871" s="7" t="n">
        <x:v>46112</x:v>
      </x:c>
      <x:c r="E871" s="2" t="str">
        <x:v>Origin</x:v>
      </x:c>
      <x:c r="F871" s="7" t="n">
        <x:v>46023</x:v>
      </x:c>
      <x:c r="G871" s="2" t="str">
        <x:v>Last actual</x:v>
      </x:c>
      <x:c r="H871" s="8" t="n">
        <x:f>AVERAGE('PG facts'!D135)</x:f>
        <x:v>1</x:v>
      </x:c>
      <x:c r="I871" s="8" t="n">
        <x:f>0</x:f>
        <x:v>0</x:v>
      </x:c>
      <x:c r="J871" s="8" t="n">
        <x:v>0</x:v>
      </x:c>
      <x:c r="K871" s="8" t="n">
        <x:f>H871-I871*J871</x:f>
        <x:v>1</x:v>
      </x:c>
      <x:c r="L871" s="8" t="n">
        <x:f>'PG facts'!D149</x:f>
        <x:v>1</x:v>
      </x:c>
      <x:c r="M871" s="8" t="n">
        <x:f>K871-L871</x:f>
        <x:v>0</x:v>
      </x:c>
      <x:c r="N871" s="8" t="n">
        <x:f>M871^2</x:f>
        <x:v>0</x:v>
      </x:c>
      <x:c r="O871" s="8" t="n">
        <x:f>ABS(M871)</x:f>
        <x:v>0</x:v>
      </x:c>
      <x:c r="P871" s="7" t="n">
        <x:v>46136</x:v>
      </x:c>
    </x:row>
    <x:row r="872" ht="26" customHeight="1">
      <x:c r="A872" s="2"/>
      <x:c r="B872" s="2" t="n">
        <x:v>867</x:v>
      </x:c>
      <x:c r="C872" s="2" t="str">
        <x:v>Fabric &amp; Home Care / price_contribution</x:v>
      </x:c>
      <x:c r="D872" s="7" t="n">
        <x:v>46112</x:v>
      </x:c>
      <x:c r="E872" s="2" t="str">
        <x:v>Origin</x:v>
      </x:c>
      <x:c r="F872" s="7" t="n">
        <x:v>46023</x:v>
      </x:c>
      <x:c r="G872" s="2" t="str">
        <x:v>Four-quarter mean</x:v>
      </x:c>
      <x:c r="H872" s="8" t="n">
        <x:f>AVERAGE('PG facts'!D114,'PG facts'!D121,'PG facts'!D128,'PG facts'!D135)</x:f>
        <x:v>0.5</x:v>
      </x:c>
      <x:c r="I872" s="8" t="n">
        <x:f>0</x:f>
        <x:v>0</x:v>
      </x:c>
      <x:c r="J872" s="8" t="n">
        <x:v>0</x:v>
      </x:c>
      <x:c r="K872" s="8" t="n">
        <x:f>H872-I872*J872</x:f>
        <x:v>0.5</x:v>
      </x:c>
      <x:c r="L872" s="8" t="n">
        <x:f>'PG facts'!D149</x:f>
        <x:v>1</x:v>
      </x:c>
      <x:c r="M872" s="8" t="n">
        <x:f>K872-L872</x:f>
        <x:v>-0.5</x:v>
      </x:c>
      <x:c r="N872" s="8" t="n">
        <x:f>M872^2</x:f>
        <x:v>0.25</x:v>
      </x:c>
      <x:c r="O872" s="8" t="n">
        <x:f>ABS(M872)</x:f>
        <x:v>0.5</x:v>
      </x:c>
      <x:c r="P872" s="7" t="n">
        <x:v>46136</x:v>
      </x:c>
    </x:row>
    <x:row r="873" ht="26" customHeight="1">
      <x:c r="A873" s="2"/>
      <x:c r="B873" s="2" t="n">
        <x:v>868</x:v>
      </x:c>
      <x:c r="C873" s="2" t="str">
        <x:v>Fabric &amp; Home Care / price_contribution</x:v>
      </x:c>
      <x:c r="D873" s="7" t="n">
        <x:v>46112</x:v>
      </x:c>
      <x:c r="E873" s="2" t="str">
        <x:v>Origin</x:v>
      </x:c>
      <x:c r="F873" s="7" t="n">
        <x:v>46023</x:v>
      </x:c>
      <x:c r="G873" s="2" t="str">
        <x:v>Broad market</x:v>
      </x:c>
      <x:c r="H873" s="8" t="n">
        <x:f>'Model fits'!AA589</x:f>
        <x:v>2.2545277952294778</x:v>
      </x:c>
      <x:c r="I873" s="8" t="n">
        <x:f>0</x:f>
        <x:v>0</x:v>
      </x:c>
      <x:c r="J873" s="8" t="n">
        <x:v>0</x:v>
      </x:c>
      <x:c r="K873" s="8" t="n">
        <x:f>H873-I873*J873</x:f>
        <x:v>2.2545277952294778</x:v>
      </x:c>
      <x:c r="L873" s="8" t="n">
        <x:f>'PG facts'!D149</x:f>
        <x:v>1</x:v>
      </x:c>
      <x:c r="M873" s="8" t="n">
        <x:f>K873-L873</x:f>
        <x:v>1.2545277952294778</x:v>
      </x:c>
      <x:c r="N873" s="8" t="n">
        <x:f>M873^2</x:f>
        <x:v>1.5738399890033345</x:v>
      </x:c>
      <x:c r="O873" s="8" t="n">
        <x:f>ABS(M873)</x:f>
        <x:v>1.2545277952294778</x:v>
      </x:c>
      <x:c r="P873" s="7" t="n">
        <x:v>46136</x:v>
      </x:c>
    </x:row>
    <x:row r="874" ht="26" customHeight="1">
      <x:c r="A874" s="2"/>
      <x:c r="B874" s="2" t="n">
        <x:v>869</x:v>
      </x:c>
      <x:c r="C874" s="2" t="str">
        <x:v>Fabric &amp; Home Care / price_contribution</x:v>
      </x:c>
      <x:c r="D874" s="7" t="n">
        <x:v>46112</x:v>
      </x:c>
      <x:c r="E874" s="2" t="str">
        <x:v>Origin</x:v>
      </x:c>
      <x:c r="F874" s="7" t="n">
        <x:v>46023</x:v>
      </x:c>
      <x:c r="G874" s="2" t="str">
        <x:v>Broad rolling 8</x:v>
      </x:c>
      <x:c r="H874" s="8" t="n">
        <x:f>'Model fits'!AA590</x:f>
        <x:v>0.5838992387523346</x:v>
      </x:c>
      <x:c r="I874" s="8" t="n">
        <x:f>0</x:f>
        <x:v>0</x:v>
      </x:c>
      <x:c r="J874" s="8" t="n">
        <x:v>0</x:v>
      </x:c>
      <x:c r="K874" s="8" t="n">
        <x:f>H874-I874*J874</x:f>
        <x:v>0.5838992387523346</x:v>
      </x:c>
      <x:c r="L874" s="8" t="n">
        <x:f>'PG facts'!D149</x:f>
        <x:v>1</x:v>
      </x:c>
      <x:c r="M874" s="8" t="n">
        <x:f>K874-L874</x:f>
        <x:v>-0.4161007612476654</x:v>
      </x:c>
      <x:c r="N874" s="8" t="n">
        <x:f>M874^2</x:f>
        <x:v>0.17313984351088663</x:v>
      </x:c>
      <x:c r="O874" s="8" t="n">
        <x:f>ABS(M874)</x:f>
        <x:v>0.4161007612476654</x:v>
      </x:c>
      <x:c r="P874" s="7" t="n">
        <x:v>46136</x:v>
      </x:c>
    </x:row>
    <x:row r="875" ht="26" customHeight="1">
      <x:c r="A875" s="2"/>
      <x:c r="B875" s="2" t="n">
        <x:v>870</x:v>
      </x:c>
      <x:c r="C875" s="2" t="str">
        <x:v>Fabric &amp; Home Care / price_contribution</x:v>
      </x:c>
      <x:c r="D875" s="7" t="n">
        <x:v>46112</x:v>
      </x:c>
      <x:c r="E875" s="2" t="str">
        <x:v>Origin</x:v>
      </x:c>
      <x:c r="F875" s="7" t="n">
        <x:v>46023</x:v>
      </x:c>
      <x:c r="G875" s="2" t="str">
        <x:v>Own history</x:v>
      </x:c>
      <x:c r="H875" s="8" t="n">
        <x:f>'Model fits'!AA591</x:f>
        <x:v>2.3130990415335466</x:v>
      </x:c>
      <x:c r="I875" s="8" t="n">
        <x:f>0</x:f>
        <x:v>0</x:v>
      </x:c>
      <x:c r="J875" s="8" t="n">
        <x:v>0</x:v>
      </x:c>
      <x:c r="K875" s="8" t="n">
        <x:f>H875-I875*J875</x:f>
        <x:v>2.3130990415335466</x:v>
      </x:c>
      <x:c r="L875" s="8" t="n">
        <x:f>'PG facts'!D149</x:f>
        <x:v>1</x:v>
      </x:c>
      <x:c r="M875" s="8" t="n">
        <x:f>K875-L875</x:f>
        <x:v>1.3130990415335466</x:v>
      </x:c>
      <x:c r="N875" s="8" t="n">
        <x:f>M875^2</x:f>
        <x:v>1.7242290928763189</x:v>
      </x:c>
      <x:c r="O875" s="8" t="n">
        <x:f>ABS(M875)</x:f>
        <x:v>1.3130990415335466</x:v>
      </x:c>
      <x:c r="P875" s="7" t="n">
        <x:v>46136</x:v>
      </x:c>
    </x:row>
    <x:row r="876" ht="26" customHeight="1">
      <x:c r="A876" s="2"/>
      <x:c r="B876" s="2" t="n">
        <x:v>871</x:v>
      </x:c>
      <x:c r="C876" s="2" t="str">
        <x:v>Fabric &amp; Home Care / price_contribution</x:v>
      </x:c>
      <x:c r="D876" s="7" t="n">
        <x:v>46112</x:v>
      </x:c>
      <x:c r="E876" s="2" t="str">
        <x:v>Prior report</x:v>
      </x:c>
      <x:c r="F876" s="7" t="n">
        <x:v>46045</x:v>
      </x:c>
      <x:c r="G876" s="2" t="str">
        <x:v>Last actual</x:v>
      </x:c>
      <x:c r="H876" s="8" t="n">
        <x:f>AVERAGE('PG facts'!D142)</x:f>
        <x:v>1</x:v>
      </x:c>
      <x:c r="I876" s="8" t="n">
        <x:f>0</x:f>
        <x:v>0</x:v>
      </x:c>
      <x:c r="J876" s="8" t="n">
        <x:v>0</x:v>
      </x:c>
      <x:c r="K876" s="8" t="n">
        <x:f>H876-I876*J876</x:f>
        <x:v>1</x:v>
      </x:c>
      <x:c r="L876" s="8" t="n">
        <x:f>'PG facts'!D149</x:f>
        <x:v>1</x:v>
      </x:c>
      <x:c r="M876" s="8" t="n">
        <x:f>K876-L876</x:f>
        <x:v>0</x:v>
      </x:c>
      <x:c r="N876" s="8" t="n">
        <x:f>M876^2</x:f>
        <x:v>0</x:v>
      </x:c>
      <x:c r="O876" s="8" t="n">
        <x:f>ABS(M876)</x:f>
        <x:v>0</x:v>
      </x:c>
      <x:c r="P876" s="7" t="n">
        <x:v>46136</x:v>
      </x:c>
    </x:row>
    <x:row r="877" ht="26" customHeight="1">
      <x:c r="A877" s="2"/>
      <x:c r="B877" s="2" t="n">
        <x:v>872</x:v>
      </x:c>
      <x:c r="C877" s="2" t="str">
        <x:v>Fabric &amp; Home Care / price_contribution</x:v>
      </x:c>
      <x:c r="D877" s="7" t="n">
        <x:v>46112</x:v>
      </x:c>
      <x:c r="E877" s="2" t="str">
        <x:v>Prior report</x:v>
      </x:c>
      <x:c r="F877" s="7" t="n">
        <x:v>46045</x:v>
      </x:c>
      <x:c r="G877" s="2" t="str">
        <x:v>Four-quarter mean</x:v>
      </x:c>
      <x:c r="H877" s="8" t="n">
        <x:f>AVERAGE('PG facts'!D121,'PG facts'!D128,'PG facts'!D135,'PG facts'!D142)</x:f>
        <x:v>0.75</x:v>
      </x:c>
      <x:c r="I877" s="8" t="n">
        <x:f>0</x:f>
        <x:v>0</x:v>
      </x:c>
      <x:c r="J877" s="8" t="n">
        <x:v>0</x:v>
      </x:c>
      <x:c r="K877" s="8" t="n">
        <x:f>H877-I877*J877</x:f>
        <x:v>0.75</x:v>
      </x:c>
      <x:c r="L877" s="8" t="n">
        <x:f>'PG facts'!D149</x:f>
        <x:v>1</x:v>
      </x:c>
      <x:c r="M877" s="8" t="n">
        <x:f>K877-L877</x:f>
        <x:v>-0.25</x:v>
      </x:c>
      <x:c r="N877" s="8" t="n">
        <x:f>M877^2</x:f>
        <x:v>0.0625</x:v>
      </x:c>
      <x:c r="O877" s="8" t="n">
        <x:f>ABS(M877)</x:f>
        <x:v>0.25</x:v>
      </x:c>
      <x:c r="P877" s="7" t="n">
        <x:v>46136</x:v>
      </x:c>
    </x:row>
    <x:row r="878" ht="26" customHeight="1">
      <x:c r="A878" s="2"/>
      <x:c r="B878" s="2" t="n">
        <x:v>873</x:v>
      </x:c>
      <x:c r="C878" s="2" t="str">
        <x:v>Fabric &amp; Home Care / price_contribution</x:v>
      </x:c>
      <x:c r="D878" s="7" t="n">
        <x:v>46112</x:v>
      </x:c>
      <x:c r="E878" s="2" t="str">
        <x:v>Prior report</x:v>
      </x:c>
      <x:c r="F878" s="7" t="n">
        <x:v>46045</x:v>
      </x:c>
      <x:c r="G878" s="2" t="str">
        <x:v>Broad market</x:v>
      </x:c>
      <x:c r="H878" s="8" t="n">
        <x:f>'Model fits'!AA592</x:f>
        <x:v>2.4283433102265457</x:v>
      </x:c>
      <x:c r="I878" s="8" t="n">
        <x:f>0</x:f>
        <x:v>0</x:v>
      </x:c>
      <x:c r="J878" s="8" t="n">
        <x:v>0</x:v>
      </x:c>
      <x:c r="K878" s="8" t="n">
        <x:f>H878-I878*J878</x:f>
        <x:v>2.4283433102265457</x:v>
      </x:c>
      <x:c r="L878" s="8" t="n">
        <x:f>'PG facts'!D149</x:f>
        <x:v>1</x:v>
      </x:c>
      <x:c r="M878" s="8" t="n">
        <x:f>K878-L878</x:f>
        <x:v>1.4283433102265457</x:v>
      </x:c>
      <x:c r="N878" s="8" t="n">
        <x:f>M878^2</x:f>
        <x:v>2.040164611868926</x:v>
      </x:c>
      <x:c r="O878" s="8" t="n">
        <x:f>ABS(M878)</x:f>
        <x:v>1.4283433102265457</x:v>
      </x:c>
      <x:c r="P878" s="7" t="n">
        <x:v>46136</x:v>
      </x:c>
    </x:row>
    <x:row r="879" ht="26" customHeight="1">
      <x:c r="A879" s="2"/>
      <x:c r="B879" s="2" t="n">
        <x:v>874</x:v>
      </x:c>
      <x:c r="C879" s="2" t="str">
        <x:v>Fabric &amp; Home Care / price_contribution</x:v>
      </x:c>
      <x:c r="D879" s="7" t="n">
        <x:v>46112</x:v>
      </x:c>
      <x:c r="E879" s="2" t="str">
        <x:v>Prior report</x:v>
      </x:c>
      <x:c r="F879" s="7" t="n">
        <x:v>46045</x:v>
      </x:c>
      <x:c r="G879" s="2" t="str">
        <x:v>Broad rolling 8</x:v>
      </x:c>
      <x:c r="H879" s="8" t="n">
        <x:f>'Model fits'!AA593</x:f>
        <x:v>0.6815757262146719</x:v>
      </x:c>
      <x:c r="I879" s="8" t="n">
        <x:f>0</x:f>
        <x:v>0</x:v>
      </x:c>
      <x:c r="J879" s="8" t="n">
        <x:v>0</x:v>
      </x:c>
      <x:c r="K879" s="8" t="n">
        <x:f>H879-I879*J879</x:f>
        <x:v>0.6815757262146719</x:v>
      </x:c>
      <x:c r="L879" s="8" t="n">
        <x:f>'PG facts'!D149</x:f>
        <x:v>1</x:v>
      </x:c>
      <x:c r="M879" s="8" t="n">
        <x:f>K879-L879</x:f>
        <x:v>-0.3184242737853281</x:v>
      </x:c>
      <x:c r="N879" s="8" t="n">
        <x:f>M879^2</x:f>
        <x:v>0.1013940181357136</x:v>
      </x:c>
      <x:c r="O879" s="8" t="n">
        <x:f>ABS(M879)</x:f>
        <x:v>0.3184242737853281</x:v>
      </x:c>
      <x:c r="P879" s="7" t="n">
        <x:v>46136</x:v>
      </x:c>
    </x:row>
    <x:row r="880" ht="26" customHeight="1">
      <x:c r="A880" s="2"/>
      <x:c r="B880" s="2" t="n">
        <x:v>875</x:v>
      </x:c>
      <x:c r="C880" s="2" t="str">
        <x:v>Fabric &amp; Home Care / price_contribution</x:v>
      </x:c>
      <x:c r="D880" s="7" t="n">
        <x:v>46112</x:v>
      </x:c>
      <x:c r="E880" s="2" t="str">
        <x:v>Prior report</x:v>
      </x:c>
      <x:c r="F880" s="7" t="n">
        <x:v>46045</x:v>
      </x:c>
      <x:c r="G880" s="2" t="str">
        <x:v>Own history</x:v>
      </x:c>
      <x:c r="H880" s="8" t="n">
        <x:f>'Model fits'!AA594</x:f>
        <x:v>1.4555256064690032</x:v>
      </x:c>
      <x:c r="I880" s="8" t="n">
        <x:f>0</x:f>
        <x:v>0</x:v>
      </x:c>
      <x:c r="J880" s="8" t="n">
        <x:v>0</x:v>
      </x:c>
      <x:c r="K880" s="8" t="n">
        <x:f>H880-I880*J880</x:f>
        <x:v>1.4555256064690032</x:v>
      </x:c>
      <x:c r="L880" s="8" t="n">
        <x:f>'PG facts'!D149</x:f>
        <x:v>1</x:v>
      </x:c>
      <x:c r="M880" s="8" t="n">
        <x:f>K880-L880</x:f>
        <x:v>0.4555256064690032</x:v>
      </x:c>
      <x:c r="N880" s="8" t="n">
        <x:f>M880^2</x:f>
        <x:v>0.20750357814895318</x:v>
      </x:c>
      <x:c r="O880" s="8" t="n">
        <x:f>ABS(M880)</x:f>
        <x:v>0.4555256064690032</x:v>
      </x:c>
      <x:c r="P880" s="7" t="n">
        <x:v>46136</x:v>
      </x:c>
    </x:row>
    <x:row r="881" ht="26" customHeight="1">
      <x:c r="A881" s="2"/>
      <x:c r="B881" s="2" t="n">
        <x:v>876</x:v>
      </x:c>
      <x:c r="C881" s="2" t="str">
        <x:v>Fabric &amp; Home Care / price_contribution</x:v>
      </x:c>
      <x:c r="D881" s="7" t="n">
        <x:v>46112</x:v>
      </x:c>
      <x:c r="E881" s="2" t="str">
        <x:v>Pre-earnings</x:v>
      </x:c>
      <x:c r="F881" s="7" t="n">
        <x:v>46135</x:v>
      </x:c>
      <x:c r="G881" s="2" t="str">
        <x:v>Last actual</x:v>
      </x:c>
      <x:c r="H881" s="8" t="n">
        <x:f>AVERAGE('PG facts'!D142)</x:f>
        <x:v>1</x:v>
      </x:c>
      <x:c r="I881" s="8" t="n">
        <x:f>0</x:f>
        <x:v>0</x:v>
      </x:c>
      <x:c r="J881" s="8" t="n">
        <x:v>0</x:v>
      </x:c>
      <x:c r="K881" s="8" t="n">
        <x:f>H881-I881*J881</x:f>
        <x:v>1</x:v>
      </x:c>
      <x:c r="L881" s="8" t="n">
        <x:f>'PG facts'!D149</x:f>
        <x:v>1</x:v>
      </x:c>
      <x:c r="M881" s="8" t="n">
        <x:f>K881-L881</x:f>
        <x:v>0</x:v>
      </x:c>
      <x:c r="N881" s="8" t="n">
        <x:f>M881^2</x:f>
        <x:v>0</x:v>
      </x:c>
      <x:c r="O881" s="8" t="n">
        <x:f>ABS(M881)</x:f>
        <x:v>0</x:v>
      </x:c>
      <x:c r="P881" s="7" t="n">
        <x:v>46136</x:v>
      </x:c>
    </x:row>
    <x:row r="882" ht="26" customHeight="1">
      <x:c r="A882" s="2"/>
      <x:c r="B882" s="2" t="n">
        <x:v>877</x:v>
      </x:c>
      <x:c r="C882" s="2" t="str">
        <x:v>Fabric &amp; Home Care / price_contribution</x:v>
      </x:c>
      <x:c r="D882" s="7" t="n">
        <x:v>46112</x:v>
      </x:c>
      <x:c r="E882" s="2" t="str">
        <x:v>Pre-earnings</x:v>
      </x:c>
      <x:c r="F882" s="7" t="n">
        <x:v>46135</x:v>
      </x:c>
      <x:c r="G882" s="2" t="str">
        <x:v>Four-quarter mean</x:v>
      </x:c>
      <x:c r="H882" s="8" t="n">
        <x:f>AVERAGE('PG facts'!D121,'PG facts'!D128,'PG facts'!D135,'PG facts'!D142)</x:f>
        <x:v>0.75</x:v>
      </x:c>
      <x:c r="I882" s="8" t="n">
        <x:f>0</x:f>
        <x:v>0</x:v>
      </x:c>
      <x:c r="J882" s="8" t="n">
        <x:v>0</x:v>
      </x:c>
      <x:c r="K882" s="8" t="n">
        <x:f>H882-I882*J882</x:f>
        <x:v>0.75</x:v>
      </x:c>
      <x:c r="L882" s="8" t="n">
        <x:f>'PG facts'!D149</x:f>
        <x:v>1</x:v>
      </x:c>
      <x:c r="M882" s="8" t="n">
        <x:f>K882-L882</x:f>
        <x:v>-0.25</x:v>
      </x:c>
      <x:c r="N882" s="8" t="n">
        <x:f>M882^2</x:f>
        <x:v>0.0625</x:v>
      </x:c>
      <x:c r="O882" s="8" t="n">
        <x:f>ABS(M882)</x:f>
        <x:v>0.25</x:v>
      </x:c>
      <x:c r="P882" s="7" t="n">
        <x:v>46136</x:v>
      </x:c>
    </x:row>
    <x:row r="883" ht="26" customHeight="1">
      <x:c r="A883" s="2"/>
      <x:c r="B883" s="2" t="n">
        <x:v>878</x:v>
      </x:c>
      <x:c r="C883" s="2" t="str">
        <x:v>Fabric &amp; Home Care / price_contribution</x:v>
      </x:c>
      <x:c r="D883" s="7" t="n">
        <x:v>46112</x:v>
      </x:c>
      <x:c r="E883" s="2" t="str">
        <x:v>Pre-earnings</x:v>
      </x:c>
      <x:c r="F883" s="7" t="n">
        <x:v>46135</x:v>
      </x:c>
      <x:c r="G883" s="2" t="str">
        <x:v>Broad market</x:v>
      </x:c>
      <x:c r="H883" s="8" t="n">
        <x:f>'Model fits'!AA595</x:f>
        <x:v>3.3990697110681976</x:v>
      </x:c>
      <x:c r="I883" s="8" t="n">
        <x:f>0</x:f>
        <x:v>0</x:v>
      </x:c>
      <x:c r="J883" s="8" t="n">
        <x:v>0</x:v>
      </x:c>
      <x:c r="K883" s="8" t="n">
        <x:f>H883-I883*J883</x:f>
        <x:v>3.3990697110681976</x:v>
      </x:c>
      <x:c r="L883" s="8" t="n">
        <x:f>'PG facts'!D149</x:f>
        <x:v>1</x:v>
      </x:c>
      <x:c r="M883" s="8" t="n">
        <x:f>K883-L883</x:f>
        <x:v>2.3990697110681976</x:v>
      </x:c>
      <x:c r="N883" s="8" t="n">
        <x:f>M883^2</x:f>
        <x:v>5.755535478564845</x:v>
      </x:c>
      <x:c r="O883" s="8" t="n">
        <x:f>ABS(M883)</x:f>
        <x:v>2.3990697110681976</x:v>
      </x:c>
      <x:c r="P883" s="7" t="n">
        <x:v>46136</x:v>
      </x:c>
    </x:row>
    <x:row r="884" ht="26" customHeight="1">
      <x:c r="A884" s="2"/>
      <x:c r="B884" s="2" t="n">
        <x:v>879</x:v>
      </x:c>
      <x:c r="C884" s="2" t="str">
        <x:v>Fabric &amp; Home Care / price_contribution</x:v>
      </x:c>
      <x:c r="D884" s="7" t="n">
        <x:v>46112</x:v>
      </x:c>
      <x:c r="E884" s="2" t="str">
        <x:v>Pre-earnings</x:v>
      </x:c>
      <x:c r="F884" s="7" t="n">
        <x:v>46135</x:v>
      </x:c>
      <x:c r="G884" s="2" t="str">
        <x:v>Broad rolling 8</x:v>
      </x:c>
      <x:c r="H884" s="8" t="n">
        <x:f>'Model fits'!AA596</x:f>
        <x:v>1.2270802234557205</x:v>
      </x:c>
      <x:c r="I884" s="8" t="n">
        <x:f>0</x:f>
        <x:v>0</x:v>
      </x:c>
      <x:c r="J884" s="8" t="n">
        <x:v>0</x:v>
      </x:c>
      <x:c r="K884" s="8" t="n">
        <x:f>H884-I884*J884</x:f>
        <x:v>1.2270802234557205</x:v>
      </x:c>
      <x:c r="L884" s="8" t="n">
        <x:f>'PG facts'!D149</x:f>
        <x:v>1</x:v>
      </x:c>
      <x:c r="M884" s="8" t="n">
        <x:f>K884-L884</x:f>
        <x:v>0.22708022345572054</x:v>
      </x:c>
      <x:c r="N884" s="8" t="n">
        <x:f>M884^2</x:f>
        <x:v>0.05156542788469998</x:v>
      </x:c>
      <x:c r="O884" s="8" t="n">
        <x:f>ABS(M884)</x:f>
        <x:v>0.22708022345572054</x:v>
      </x:c>
      <x:c r="P884" s="7" t="n">
        <x:v>46136</x:v>
      </x:c>
    </x:row>
    <x:row r="885" ht="26" customHeight="1">
      <x:c r="A885" s="2"/>
      <x:c r="B885" s="2" t="n">
        <x:v>880</x:v>
      </x:c>
      <x:c r="C885" s="2" t="str">
        <x:v>Fabric &amp; Home Care / price_contribution</x:v>
      </x:c>
      <x:c r="D885" s="7" t="n">
        <x:v>46112</x:v>
      </x:c>
      <x:c r="E885" s="2" t="str">
        <x:v>Pre-earnings</x:v>
      </x:c>
      <x:c r="F885" s="7" t="n">
        <x:v>46135</x:v>
      </x:c>
      <x:c r="G885" s="2" t="str">
        <x:v>Own history</x:v>
      </x:c>
      <x:c r="H885" s="8" t="n">
        <x:f>'Model fits'!AA597</x:f>
        <x:v>1.4555256064690032</x:v>
      </x:c>
      <x:c r="I885" s="8" t="n">
        <x:f>0</x:f>
        <x:v>0</x:v>
      </x:c>
      <x:c r="J885" s="8" t="n">
        <x:v>0</x:v>
      </x:c>
      <x:c r="K885" s="8" t="n">
        <x:f>H885-I885*J885</x:f>
        <x:v>1.4555256064690032</x:v>
      </x:c>
      <x:c r="L885" s="8" t="n">
        <x:f>'PG facts'!D149</x:f>
        <x:v>1</x:v>
      </x:c>
      <x:c r="M885" s="8" t="n">
        <x:f>K885-L885</x:f>
        <x:v>0.4555256064690032</x:v>
      </x:c>
      <x:c r="N885" s="8" t="n">
        <x:f>M885^2</x:f>
        <x:v>0.20750357814895318</x:v>
      </x:c>
      <x:c r="O885" s="8" t="n">
        <x:f>ABS(M885)</x:f>
        <x:v>0.4555256064690032</x:v>
      </x:c>
      <x:c r="P885" s="7" t="n">
        <x:v>46136</x:v>
      </x:c>
    </x:row>
    <x:row r="886" ht="26" customHeight="1">
      <x:c r="A886" s="2"/>
      <x:c r="B886" s="2" t="n">
        <x:v>881</x:v>
      </x:c>
      <x:c r="C886" s="2" t="str">
        <x:v>Baby, Feminine &amp; Family Care / price_contribution</x:v>
      </x:c>
      <x:c r="D886" s="7" t="n">
        <x:v>45107</x:v>
      </x:c>
      <x:c r="E886" s="2" t="str">
        <x:v>Origin</x:v>
      </x:c>
      <x:c r="F886" s="7" t="n">
        <x:v>45017</x:v>
      </x:c>
      <x:c r="G886" s="2" t="str">
        <x:v>Last actual</x:v>
      </x:c>
      <x:c r="H886" s="8" t="n">
        <x:f>AVERAGE('PG facts'!D59)</x:f>
        <x:v>8</x:v>
      </x:c>
      <x:c r="I886" s="8" t="n">
        <x:f>0</x:f>
        <x:v>0</x:v>
      </x:c>
      <x:c r="J886" s="8" t="n">
        <x:v>0</x:v>
      </x:c>
      <x:c r="K886" s="8" t="n">
        <x:f>H886-I886*J886</x:f>
        <x:v>8</x:v>
      </x:c>
      <x:c r="L886" s="8" t="n">
        <x:f>'PG facts'!D73</x:f>
        <x:v>8</x:v>
      </x:c>
      <x:c r="M886" s="8" t="n">
        <x:f>K886-L886</x:f>
        <x:v>0</x:v>
      </x:c>
      <x:c r="N886" s="8" t="n">
        <x:f>M886^2</x:f>
        <x:v>0</x:v>
      </x:c>
      <x:c r="O886" s="8" t="n">
        <x:f>ABS(M886)</x:f>
        <x:v>0</x:v>
      </x:c>
      <x:c r="P886" s="7" t="n">
        <x:v>45135</x:v>
      </x:c>
    </x:row>
    <x:row r="887" ht="26" customHeight="1">
      <x:c r="A887" s="2"/>
      <x:c r="B887" s="2" t="n">
        <x:v>882</x:v>
      </x:c>
      <x:c r="C887" s="2" t="str">
        <x:v>Baby, Feminine &amp; Family Care / price_contribution</x:v>
      </x:c>
      <x:c r="D887" s="7" t="n">
        <x:v>45107</x:v>
      </x:c>
      <x:c r="E887" s="2" t="str">
        <x:v>Origin</x:v>
      </x:c>
      <x:c r="F887" s="7" t="n">
        <x:v>45017</x:v>
      </x:c>
      <x:c r="G887" s="2" t="str">
        <x:v>Four-quarter mean</x:v>
      </x:c>
      <x:c r="H887" s="8" t="n">
        <x:f>AVERAGE('PG facts'!D38,'PG facts'!D45,'PG facts'!D52,'PG facts'!D59)</x:f>
        <x:v>6.75</x:v>
      </x:c>
      <x:c r="I887" s="8" t="n">
        <x:f>0</x:f>
        <x:v>0</x:v>
      </x:c>
      <x:c r="J887" s="8" t="n">
        <x:v>0</x:v>
      </x:c>
      <x:c r="K887" s="8" t="n">
        <x:f>H887-I887*J887</x:f>
        <x:v>6.75</x:v>
      </x:c>
      <x:c r="L887" s="8" t="n">
        <x:f>'PG facts'!D73</x:f>
        <x:v>8</x:v>
      </x:c>
      <x:c r="M887" s="8" t="n">
        <x:f>K887-L887</x:f>
        <x:v>-1.25</x:v>
      </x:c>
      <x:c r="N887" s="8" t="n">
        <x:f>M887^2</x:f>
        <x:v>1.5625</x:v>
      </x:c>
      <x:c r="O887" s="8" t="n">
        <x:f>ABS(M887)</x:f>
        <x:v>1.25</x:v>
      </x:c>
      <x:c r="P887" s="7" t="n">
        <x:v>45135</x:v>
      </x:c>
    </x:row>
    <x:row r="888" ht="26" customHeight="1">
      <x:c r="A888" s="2"/>
      <x:c r="B888" s="2" t="n">
        <x:v>883</x:v>
      </x:c>
      <x:c r="C888" s="2" t="str">
        <x:v>Baby, Feminine &amp; Family Care / price_contribution</x:v>
      </x:c>
      <x:c r="D888" s="7" t="n">
        <x:v>45107</x:v>
      </x:c>
      <x:c r="E888" s="2" t="str">
        <x:v>Origin</x:v>
      </x:c>
      <x:c r="F888" s="7" t="n">
        <x:v>45017</x:v>
      </x:c>
      <x:c r="G888" s="2" t="str">
        <x:v>Broad market</x:v>
      </x:c>
      <x:c r="H888" s="8" t="n">
        <x:f>'Model fits'!AA598</x:f>
        <x:v>8.957829986659398</x:v>
      </x:c>
      <x:c r="I888" s="8" t="n">
        <x:f>0</x:f>
        <x:v>0</x:v>
      </x:c>
      <x:c r="J888" s="8" t="n">
        <x:v>0</x:v>
      </x:c>
      <x:c r="K888" s="8" t="n">
        <x:f>H888-I888*J888</x:f>
        <x:v>8.957829986659398</x:v>
      </x:c>
      <x:c r="L888" s="8" t="n">
        <x:f>'PG facts'!D73</x:f>
        <x:v>8</x:v>
      </x:c>
      <x:c r="M888" s="8" t="n">
        <x:f>K888-L888</x:f>
        <x:v>0.957829986659398</x:v>
      </x:c>
      <x:c r="N888" s="8" t="n">
        <x:f>M888^2</x:f>
        <x:v>0.9174382833439425</x:v>
      </x:c>
      <x:c r="O888" s="8" t="n">
        <x:f>ABS(M888)</x:f>
        <x:v>0.957829986659398</x:v>
      </x:c>
      <x:c r="P888" s="7" t="n">
        <x:v>45135</x:v>
      </x:c>
    </x:row>
    <x:row r="889" ht="26" customHeight="1">
      <x:c r="A889" s="2"/>
      <x:c r="B889" s="2" t="n">
        <x:v>884</x:v>
      </x:c>
      <x:c r="C889" s="2" t="str">
        <x:v>Baby, Feminine &amp; Family Care / price_contribution</x:v>
      </x:c>
      <x:c r="D889" s="7" t="n">
        <x:v>45107</x:v>
      </x:c>
      <x:c r="E889" s="2" t="str">
        <x:v>Origin</x:v>
      </x:c>
      <x:c r="F889" s="7" t="n">
        <x:v>45017</x:v>
      </x:c>
      <x:c r="G889" s="2" t="str">
        <x:v>Broad rolling 8</x:v>
      </x:c>
      <x:c r="H889" s="8" t="n">
        <x:f>'Model fits'!AA599</x:f>
        <x:v>8.957829986659398</x:v>
      </x:c>
      <x:c r="I889" s="8" t="n">
        <x:f>0</x:f>
        <x:v>0</x:v>
      </x:c>
      <x:c r="J889" s="8" t="n">
        <x:v>0</x:v>
      </x:c>
      <x:c r="K889" s="8" t="n">
        <x:f>H889-I889*J889</x:f>
        <x:v>8.957829986659398</x:v>
      </x:c>
      <x:c r="L889" s="8" t="n">
        <x:f>'PG facts'!D73</x:f>
        <x:v>8</x:v>
      </x:c>
      <x:c r="M889" s="8" t="n">
        <x:f>K889-L889</x:f>
        <x:v>0.957829986659398</x:v>
      </x:c>
      <x:c r="N889" s="8" t="n">
        <x:f>M889^2</x:f>
        <x:v>0.9174382833439425</x:v>
      </x:c>
      <x:c r="O889" s="8" t="n">
        <x:f>ABS(M889)</x:f>
        <x:v>0.957829986659398</x:v>
      </x:c>
      <x:c r="P889" s="7" t="n">
        <x:v>45135</x:v>
      </x:c>
    </x:row>
    <x:row r="890" ht="26" customHeight="1">
      <x:c r="A890" s="2"/>
      <x:c r="B890" s="2" t="n">
        <x:v>885</x:v>
      </x:c>
      <x:c r="C890" s="2" t="str">
        <x:v>Baby, Feminine &amp; Family Care / price_contribution</x:v>
      </x:c>
      <x:c r="D890" s="7" t="n">
        <x:v>45107</x:v>
      </x:c>
      <x:c r="E890" s="2" t="str">
        <x:v>Prior report</x:v>
      </x:c>
      <x:c r="F890" s="7" t="n">
        <x:v>45037</x:v>
      </x:c>
      <x:c r="G890" s="2" t="str">
        <x:v>Last actual</x:v>
      </x:c>
      <x:c r="H890" s="8" t="n">
        <x:f>AVERAGE('PG facts'!D66)</x:f>
        <x:v>8</x:v>
      </x:c>
      <x:c r="I890" s="8" t="n">
        <x:f>0</x:f>
        <x:v>0</x:v>
      </x:c>
      <x:c r="J890" s="8" t="n">
        <x:v>0</x:v>
      </x:c>
      <x:c r="K890" s="8" t="n">
        <x:f>H890-I890*J890</x:f>
        <x:v>8</x:v>
      </x:c>
      <x:c r="L890" s="8" t="n">
        <x:f>'PG facts'!D73</x:f>
        <x:v>8</x:v>
      </x:c>
      <x:c r="M890" s="8" t="n">
        <x:f>K890-L890</x:f>
        <x:v>0</x:v>
      </x:c>
      <x:c r="N890" s="8" t="n">
        <x:f>M890^2</x:f>
        <x:v>0</x:v>
      </x:c>
      <x:c r="O890" s="8" t="n">
        <x:f>ABS(M890)</x:f>
        <x:v>0</x:v>
      </x:c>
      <x:c r="P890" s="7" t="n">
        <x:v>45135</x:v>
      </x:c>
    </x:row>
    <x:row r="891" ht="26" customHeight="1">
      <x:c r="A891" s="2"/>
      <x:c r="B891" s="2" t="n">
        <x:v>886</x:v>
      </x:c>
      <x:c r="C891" s="2" t="str">
        <x:v>Baby, Feminine &amp; Family Care / price_contribution</x:v>
      </x:c>
      <x:c r="D891" s="7" t="n">
        <x:v>45107</x:v>
      </x:c>
      <x:c r="E891" s="2" t="str">
        <x:v>Prior report</x:v>
      </x:c>
      <x:c r="F891" s="7" t="n">
        <x:v>45037</x:v>
      </x:c>
      <x:c r="G891" s="2" t="str">
        <x:v>Four-quarter mean</x:v>
      </x:c>
      <x:c r="H891" s="8" t="n">
        <x:f>AVERAGE('PG facts'!D45,'PG facts'!D52,'PG facts'!D59,'PG facts'!D66)</x:f>
        <x:v>7.5</x:v>
      </x:c>
      <x:c r="I891" s="8" t="n">
        <x:f>0</x:f>
        <x:v>0</x:v>
      </x:c>
      <x:c r="J891" s="8" t="n">
        <x:v>0</x:v>
      </x:c>
      <x:c r="K891" s="8" t="n">
        <x:f>H891-I891*J891</x:f>
        <x:v>7.5</x:v>
      </x:c>
      <x:c r="L891" s="8" t="n">
        <x:f>'PG facts'!D73</x:f>
        <x:v>8</x:v>
      </x:c>
      <x:c r="M891" s="8" t="n">
        <x:f>K891-L891</x:f>
        <x:v>-0.5</x:v>
      </x:c>
      <x:c r="N891" s="8" t="n">
        <x:f>M891^2</x:f>
        <x:v>0.25</x:v>
      </x:c>
      <x:c r="O891" s="8" t="n">
        <x:f>ABS(M891)</x:f>
        <x:v>0.5</x:v>
      </x:c>
      <x:c r="P891" s="7" t="n">
        <x:v>45135</x:v>
      </x:c>
    </x:row>
    <x:row r="892" ht="26" customHeight="1">
      <x:c r="A892" s="2"/>
      <x:c r="B892" s="2" t="n">
        <x:v>887</x:v>
      </x:c>
      <x:c r="C892" s="2" t="str">
        <x:v>Baby, Feminine &amp; Family Care / price_contribution</x:v>
      </x:c>
      <x:c r="D892" s="7" t="n">
        <x:v>45107</x:v>
      </x:c>
      <x:c r="E892" s="2" t="str">
        <x:v>Prior report</x:v>
      </x:c>
      <x:c r="F892" s="7" t="n">
        <x:v>45037</x:v>
      </x:c>
      <x:c r="G892" s="2" t="str">
        <x:v>Broad market</x:v>
      </x:c>
      <x:c r="H892" s="8" t="n">
        <x:f>'Model fits'!AA600</x:f>
        <x:v>8.422446418100336</x:v>
      </x:c>
      <x:c r="I892" s="8" t="n">
        <x:f>0</x:f>
        <x:v>0</x:v>
      </x:c>
      <x:c r="J892" s="8" t="n">
        <x:v>0</x:v>
      </x:c>
      <x:c r="K892" s="8" t="n">
        <x:f>H892-I892*J892</x:f>
        <x:v>8.422446418100336</x:v>
      </x:c>
      <x:c r="L892" s="8" t="n">
        <x:f>'PG facts'!D73</x:f>
        <x:v>8</x:v>
      </x:c>
      <x:c r="M892" s="8" t="n">
        <x:f>K892-L892</x:f>
        <x:v>0.42244641810033556</x:v>
      </x:c>
      <x:c r="N892" s="8" t="n">
        <x:f>M892^2</x:f>
        <x:v>0.17846097616580353</x:v>
      </x:c>
      <x:c r="O892" s="8" t="n">
        <x:f>ABS(M892)</x:f>
        <x:v>0.42244641810033556</x:v>
      </x:c>
      <x:c r="P892" s="7" t="n">
        <x:v>45135</x:v>
      </x:c>
    </x:row>
    <x:row r="893" ht="26" customHeight="1">
      <x:c r="A893" s="2"/>
      <x:c r="B893" s="2" t="n">
        <x:v>888</x:v>
      </x:c>
      <x:c r="C893" s="2" t="str">
        <x:v>Baby, Feminine &amp; Family Care / price_contribution</x:v>
      </x:c>
      <x:c r="D893" s="7" t="n">
        <x:v>45107</x:v>
      </x:c>
      <x:c r="E893" s="2" t="str">
        <x:v>Prior report</x:v>
      </x:c>
      <x:c r="F893" s="7" t="n">
        <x:v>45037</x:v>
      </x:c>
      <x:c r="G893" s="2" t="str">
        <x:v>Broad lag 1</x:v>
      </x:c>
      <x:c r="H893" s="8" t="n">
        <x:f>'Model fits'!AA601</x:f>
        <x:v>8.946015008579185</x:v>
      </x:c>
      <x:c r="I893" s="8" t="n">
        <x:f>0</x:f>
        <x:v>0</x:v>
      </x:c>
      <x:c r="J893" s="8" t="n">
        <x:v>0</x:v>
      </x:c>
      <x:c r="K893" s="8" t="n">
        <x:f>H893-I893*J893</x:f>
        <x:v>8.946015008579185</x:v>
      </x:c>
      <x:c r="L893" s="8" t="n">
        <x:f>'PG facts'!D73</x:f>
        <x:v>8</x:v>
      </x:c>
      <x:c r="M893" s="8" t="n">
        <x:f>K893-L893</x:f>
        <x:v>0.9460150085791845</x:v>
      </x:c>
      <x:c r="N893" s="8" t="n">
        <x:f>M893^2</x:f>
        <x:v>0.8949443964570746</x:v>
      </x:c>
      <x:c r="O893" s="8" t="n">
        <x:f>ABS(M893)</x:f>
        <x:v>0.9460150085791845</x:v>
      </x:c>
      <x:c r="P893" s="7" t="n">
        <x:v>45135</x:v>
      </x:c>
    </x:row>
    <x:row r="894" ht="26" customHeight="1">
      <x:c r="A894" s="2"/>
      <x:c r="B894" s="2" t="n">
        <x:v>889</x:v>
      </x:c>
      <x:c r="C894" s="2" t="str">
        <x:v>Baby, Feminine &amp; Family Care / price_contribution</x:v>
      </x:c>
      <x:c r="D894" s="7" t="n">
        <x:v>45107</x:v>
      </x:c>
      <x:c r="E894" s="2" t="str">
        <x:v>Prior report</x:v>
      </x:c>
      <x:c r="F894" s="7" t="n">
        <x:v>45037</x:v>
      </x:c>
      <x:c r="G894" s="2" t="str">
        <x:v>Broad rolling 8</x:v>
      </x:c>
      <x:c r="H894" s="8" t="n">
        <x:f>'Model fits'!AA602</x:f>
        <x:v>8.435395539903043</x:v>
      </x:c>
      <x:c r="I894" s="8" t="n">
        <x:f>0</x:f>
        <x:v>0</x:v>
      </x:c>
      <x:c r="J894" s="8" t="n">
        <x:v>0</x:v>
      </x:c>
      <x:c r="K894" s="8" t="n">
        <x:f>H894-I894*J894</x:f>
        <x:v>8.435395539903043</x:v>
      </x:c>
      <x:c r="L894" s="8" t="n">
        <x:f>'PG facts'!D73</x:f>
        <x:v>8</x:v>
      </x:c>
      <x:c r="M894" s="8" t="n">
        <x:f>K894-L894</x:f>
        <x:v>0.4353955399030429</x:v>
      </x:c>
      <x:c r="N894" s="8" t="n">
        <x:f>M894^2</x:f>
        <x:v>0.18956927616746225</x:v>
      </x:c>
      <x:c r="O894" s="8" t="n">
        <x:f>ABS(M894)</x:f>
        <x:v>0.4353955399030429</x:v>
      </x:c>
      <x:c r="P894" s="7" t="n">
        <x:v>45135</x:v>
      </x:c>
    </x:row>
    <x:row r="895" ht="26" customHeight="1">
      <x:c r="A895" s="2"/>
      <x:c r="B895" s="2" t="n">
        <x:v>890</x:v>
      </x:c>
      <x:c r="C895" s="2" t="str">
        <x:v>Baby, Feminine &amp; Family Care / price_contribution</x:v>
      </x:c>
      <x:c r="D895" s="7" t="n">
        <x:v>45107</x:v>
      </x:c>
      <x:c r="E895" s="2" t="str">
        <x:v>Prior report</x:v>
      </x:c>
      <x:c r="F895" s="7" t="n">
        <x:v>45037</x:v>
      </x:c>
      <x:c r="G895" s="2" t="str">
        <x:v>Own history</x:v>
      </x:c>
      <x:c r="H895" s="8" t="n">
        <x:f>'Model fits'!AA603</x:f>
        <x:v>8.276315789473685</x:v>
      </x:c>
      <x:c r="I895" s="8" t="n">
        <x:f>0</x:f>
        <x:v>0</x:v>
      </x:c>
      <x:c r="J895" s="8" t="n">
        <x:v>0</x:v>
      </x:c>
      <x:c r="K895" s="8" t="n">
        <x:f>H895-I895*J895</x:f>
        <x:v>8.276315789473685</x:v>
      </x:c>
      <x:c r="L895" s="8" t="n">
        <x:f>'PG facts'!D73</x:f>
        <x:v>8</x:v>
      </x:c>
      <x:c r="M895" s="8" t="n">
        <x:f>K895-L895</x:f>
        <x:v>0.27631578947368496</x:v>
      </x:c>
      <x:c r="N895" s="8" t="n">
        <x:f>M895^2</x:f>
        <x:v>0.07635041551246578</x:v>
      </x:c>
      <x:c r="O895" s="8" t="n">
        <x:f>ABS(M895)</x:f>
        <x:v>0.27631578947368496</x:v>
      </x:c>
      <x:c r="P895" s="7" t="n">
        <x:v>45135</x:v>
      </x:c>
    </x:row>
    <x:row r="896" ht="26" customHeight="1">
      <x:c r="A896" s="2"/>
      <x:c r="B896" s="2" t="n">
        <x:v>891</x:v>
      </x:c>
      <x:c r="C896" s="2" t="str">
        <x:v>Baby, Feminine &amp; Family Care / price_contribution</x:v>
      </x:c>
      <x:c r="D896" s="7" t="n">
        <x:v>45107</x:v>
      </x:c>
      <x:c r="E896" s="2" t="str">
        <x:v>Pre-earnings</x:v>
      </x:c>
      <x:c r="F896" s="7" t="n">
        <x:v>45134</x:v>
      </x:c>
      <x:c r="G896" s="2" t="str">
        <x:v>Last actual</x:v>
      </x:c>
      <x:c r="H896" s="8" t="n">
        <x:f>AVERAGE('PG facts'!D66)</x:f>
        <x:v>8</x:v>
      </x:c>
      <x:c r="I896" s="8" t="n">
        <x:f>0</x:f>
        <x:v>0</x:v>
      </x:c>
      <x:c r="J896" s="8" t="n">
        <x:v>0</x:v>
      </x:c>
      <x:c r="K896" s="8" t="n">
        <x:f>H896-I896*J896</x:f>
        <x:v>8</x:v>
      </x:c>
      <x:c r="L896" s="8" t="n">
        <x:f>'PG facts'!D73</x:f>
        <x:v>8</x:v>
      </x:c>
      <x:c r="M896" s="8" t="n">
        <x:f>K896-L896</x:f>
        <x:v>0</x:v>
      </x:c>
      <x:c r="N896" s="8" t="n">
        <x:f>M896^2</x:f>
        <x:v>0</x:v>
      </x:c>
      <x:c r="O896" s="8" t="n">
        <x:f>ABS(M896)</x:f>
        <x:v>0</x:v>
      </x:c>
      <x:c r="P896" s="7" t="n">
        <x:v>45135</x:v>
      </x:c>
    </x:row>
    <x:row r="897" ht="26" customHeight="1">
      <x:c r="A897" s="2"/>
      <x:c r="B897" s="2" t="n">
        <x:v>892</x:v>
      </x:c>
      <x:c r="C897" s="2" t="str">
        <x:v>Baby, Feminine &amp; Family Care / price_contribution</x:v>
      </x:c>
      <x:c r="D897" s="7" t="n">
        <x:v>45107</x:v>
      </x:c>
      <x:c r="E897" s="2" t="str">
        <x:v>Pre-earnings</x:v>
      </x:c>
      <x:c r="F897" s="7" t="n">
        <x:v>45134</x:v>
      </x:c>
      <x:c r="G897" s="2" t="str">
        <x:v>Four-quarter mean</x:v>
      </x:c>
      <x:c r="H897" s="8" t="n">
        <x:f>AVERAGE('PG facts'!D45,'PG facts'!D52,'PG facts'!D59,'PG facts'!D66)</x:f>
        <x:v>7.5</x:v>
      </x:c>
      <x:c r="I897" s="8" t="n">
        <x:f>0</x:f>
        <x:v>0</x:v>
      </x:c>
      <x:c r="J897" s="8" t="n">
        <x:v>0</x:v>
      </x:c>
      <x:c r="K897" s="8" t="n">
        <x:f>H897-I897*J897</x:f>
        <x:v>7.5</x:v>
      </x:c>
      <x:c r="L897" s="8" t="n">
        <x:f>'PG facts'!D73</x:f>
        <x:v>8</x:v>
      </x:c>
      <x:c r="M897" s="8" t="n">
        <x:f>K897-L897</x:f>
        <x:v>-0.5</x:v>
      </x:c>
      <x:c r="N897" s="8" t="n">
        <x:f>M897^2</x:f>
        <x:v>0.25</x:v>
      </x:c>
      <x:c r="O897" s="8" t="n">
        <x:f>ABS(M897)</x:f>
        <x:v>0.5</x:v>
      </x:c>
      <x:c r="P897" s="7" t="n">
        <x:v>45135</x:v>
      </x:c>
    </x:row>
    <x:row r="898" ht="26" customHeight="1">
      <x:c r="A898" s="2"/>
      <x:c r="B898" s="2" t="n">
        <x:v>893</x:v>
      </x:c>
      <x:c r="C898" s="2" t="str">
        <x:v>Baby, Feminine &amp; Family Care / price_contribution</x:v>
      </x:c>
      <x:c r="D898" s="7" t="n">
        <x:v>45107</x:v>
      </x:c>
      <x:c r="E898" s="2" t="str">
        <x:v>Pre-earnings</x:v>
      </x:c>
      <x:c r="F898" s="7" t="n">
        <x:v>45134</x:v>
      </x:c>
      <x:c r="G898" s="2" t="str">
        <x:v>Broad market</x:v>
      </x:c>
      <x:c r="H898" s="8" t="n">
        <x:f>'Model fits'!AA604</x:f>
        <x:v>8.689999033904417</x:v>
      </x:c>
      <x:c r="I898" s="8" t="n">
        <x:f>0</x:f>
        <x:v>0</x:v>
      </x:c>
      <x:c r="J898" s="8" t="n">
        <x:v>0</x:v>
      </x:c>
      <x:c r="K898" s="8" t="n">
        <x:f>H898-I898*J898</x:f>
        <x:v>8.689999033904417</x:v>
      </x:c>
      <x:c r="L898" s="8" t="n">
        <x:f>'PG facts'!D73</x:f>
        <x:v>8</x:v>
      </x:c>
      <x:c r="M898" s="8" t="n">
        <x:f>K898-L898</x:f>
        <x:v>0.6899990339044173</x:v>
      </x:c>
      <x:c r="N898" s="8" t="n">
        <x:f>M898^2</x:f>
        <x:v>0.47609866678902923</x:v>
      </x:c>
      <x:c r="O898" s="8" t="n">
        <x:f>ABS(M898)</x:f>
        <x:v>0.6899990339044173</x:v>
      </x:c>
      <x:c r="P898" s="7" t="n">
        <x:v>45135</x:v>
      </x:c>
    </x:row>
    <x:row r="899" ht="26" customHeight="1">
      <x:c r="A899" s="2"/>
      <x:c r="B899" s="2" t="n">
        <x:v>894</x:v>
      </x:c>
      <x:c r="C899" s="2" t="str">
        <x:v>Baby, Feminine &amp; Family Care / price_contribution</x:v>
      </x:c>
      <x:c r="D899" s="7" t="n">
        <x:v>45107</x:v>
      </x:c>
      <x:c r="E899" s="2" t="str">
        <x:v>Pre-earnings</x:v>
      </x:c>
      <x:c r="F899" s="7" t="n">
        <x:v>45134</x:v>
      </x:c>
      <x:c r="G899" s="2" t="str">
        <x:v>Broad lag 1</x:v>
      </x:c>
      <x:c r="H899" s="8" t="n">
        <x:f>'Model fits'!AA605</x:f>
        <x:v>8.946015008579185</x:v>
      </x:c>
      <x:c r="I899" s="8" t="n">
        <x:f>0</x:f>
        <x:v>0</x:v>
      </x:c>
      <x:c r="J899" s="8" t="n">
        <x:v>0</x:v>
      </x:c>
      <x:c r="K899" s="8" t="n">
        <x:f>H899-I899*J899</x:f>
        <x:v>8.946015008579185</x:v>
      </x:c>
      <x:c r="L899" s="8" t="n">
        <x:f>'PG facts'!D73</x:f>
        <x:v>8</x:v>
      </x:c>
      <x:c r="M899" s="8" t="n">
        <x:f>K899-L899</x:f>
        <x:v>0.9460150085791845</x:v>
      </x:c>
      <x:c r="N899" s="8" t="n">
        <x:f>M899^2</x:f>
        <x:v>0.8949443964570746</x:v>
      </x:c>
      <x:c r="O899" s="8" t="n">
        <x:f>ABS(M899)</x:f>
        <x:v>0.9460150085791845</x:v>
      </x:c>
      <x:c r="P899" s="7" t="n">
        <x:v>45135</x:v>
      </x:c>
    </x:row>
    <x:row r="900" ht="26" customHeight="1">
      <x:c r="A900" s="2"/>
      <x:c r="B900" s="2" t="n">
        <x:v>895</x:v>
      </x:c>
      <x:c r="C900" s="2" t="str">
        <x:v>Baby, Feminine &amp; Family Care / price_contribution</x:v>
      </x:c>
      <x:c r="D900" s="7" t="n">
        <x:v>45107</x:v>
      </x:c>
      <x:c r="E900" s="2" t="str">
        <x:v>Pre-earnings</x:v>
      </x:c>
      <x:c r="F900" s="7" t="n">
        <x:v>45134</x:v>
      </x:c>
      <x:c r="G900" s="2" t="str">
        <x:v>Broad rolling 8</x:v>
      </x:c>
      <x:c r="H900" s="8" t="n">
        <x:f>'Model fits'!AA606</x:f>
        <x:v>8.706589280520753</x:v>
      </x:c>
      <x:c r="I900" s="8" t="n">
        <x:f>0</x:f>
        <x:v>0</x:v>
      </x:c>
      <x:c r="J900" s="8" t="n">
        <x:v>0</x:v>
      </x:c>
      <x:c r="K900" s="8" t="n">
        <x:f>H900-I900*J900</x:f>
        <x:v>8.706589280520753</x:v>
      </x:c>
      <x:c r="L900" s="8" t="n">
        <x:f>'PG facts'!D73</x:f>
        <x:v>8</x:v>
      </x:c>
      <x:c r="M900" s="8" t="n">
        <x:f>K900-L900</x:f>
        <x:v>0.7065892805207525</x:v>
      </x:c>
      <x:c r="N900" s="8" t="n">
        <x:f>M900^2</x:f>
        <x:v>0.4992684113468347</x:v>
      </x:c>
      <x:c r="O900" s="8" t="n">
        <x:f>ABS(M900)</x:f>
        <x:v>0.7065892805207525</x:v>
      </x:c>
      <x:c r="P900" s="7" t="n">
        <x:v>45135</x:v>
      </x:c>
    </x:row>
    <x:row r="901" ht="26" customHeight="1">
      <x:c r="A901" s="2"/>
      <x:c r="B901" s="2" t="n">
        <x:v>896</x:v>
      </x:c>
      <x:c r="C901" s="2" t="str">
        <x:v>Baby, Feminine &amp; Family Care / price_contribution</x:v>
      </x:c>
      <x:c r="D901" s="7" t="n">
        <x:v>45107</x:v>
      </x:c>
      <x:c r="E901" s="2" t="str">
        <x:v>Pre-earnings</x:v>
      </x:c>
      <x:c r="F901" s="7" t="n">
        <x:v>45134</x:v>
      </x:c>
      <x:c r="G901" s="2" t="str">
        <x:v>Own history</x:v>
      </x:c>
      <x:c r="H901" s="8" t="n">
        <x:f>'Model fits'!AA607</x:f>
        <x:v>8.276315789473685</x:v>
      </x:c>
      <x:c r="I901" s="8" t="n">
        <x:f>0</x:f>
        <x:v>0</x:v>
      </x:c>
      <x:c r="J901" s="8" t="n">
        <x:v>0</x:v>
      </x:c>
      <x:c r="K901" s="8" t="n">
        <x:f>H901-I901*J901</x:f>
        <x:v>8.276315789473685</x:v>
      </x:c>
      <x:c r="L901" s="8" t="n">
        <x:f>'PG facts'!D73</x:f>
        <x:v>8</x:v>
      </x:c>
      <x:c r="M901" s="8" t="n">
        <x:f>K901-L901</x:f>
        <x:v>0.27631578947368496</x:v>
      </x:c>
      <x:c r="N901" s="8" t="n">
        <x:f>M901^2</x:f>
        <x:v>0.07635041551246578</x:v>
      </x:c>
      <x:c r="O901" s="8" t="n">
        <x:f>ABS(M901)</x:f>
        <x:v>0.27631578947368496</x:v>
      </x:c>
      <x:c r="P901" s="7" t="n">
        <x:v>45135</x:v>
      </x:c>
    </x:row>
    <x:row r="902" ht="26" customHeight="1">
      <x:c r="A902" s="2"/>
      <x:c r="B902" s="2" t="n">
        <x:v>897</x:v>
      </x:c>
      <x:c r="C902" s="2" t="str">
        <x:v>Baby, Feminine &amp; Family Care / price_contribution</x:v>
      </x:c>
      <x:c r="D902" s="7" t="n">
        <x:v>45199</x:v>
      </x:c>
      <x:c r="E902" s="2" t="str">
        <x:v>Origin</x:v>
      </x:c>
      <x:c r="F902" s="7" t="n">
        <x:v>45108</x:v>
      </x:c>
      <x:c r="G902" s="2" t="str">
        <x:v>Last actual</x:v>
      </x:c>
      <x:c r="H902" s="8" t="n">
        <x:f>AVERAGE('PG facts'!D66)</x:f>
        <x:v>8</x:v>
      </x:c>
      <x:c r="I902" s="8" t="n">
        <x:f>0</x:f>
        <x:v>0</x:v>
      </x:c>
      <x:c r="J902" s="8" t="n">
        <x:v>0</x:v>
      </x:c>
      <x:c r="K902" s="8" t="n">
        <x:f>H902-I902*J902</x:f>
        <x:v>8</x:v>
      </x:c>
      <x:c r="L902" s="8" t="n">
        <x:f>'PG facts'!D80</x:f>
        <x:v>8</x:v>
      </x:c>
      <x:c r="M902" s="8" t="n">
        <x:f>K902-L902</x:f>
        <x:v>0</x:v>
      </x:c>
      <x:c r="N902" s="8" t="n">
        <x:f>M902^2</x:f>
        <x:v>0</x:v>
      </x:c>
      <x:c r="O902" s="8" t="n">
        <x:f>ABS(M902)</x:f>
        <x:v>0</x:v>
      </x:c>
      <x:c r="P902" s="7" t="n">
        <x:v>45217</x:v>
      </x:c>
    </x:row>
    <x:row r="903" ht="26" customHeight="1">
      <x:c r="A903" s="2"/>
      <x:c r="B903" s="2" t="n">
        <x:v>898</x:v>
      </x:c>
      <x:c r="C903" s="2" t="str">
        <x:v>Baby, Feminine &amp; Family Care / price_contribution</x:v>
      </x:c>
      <x:c r="D903" s="7" t="n">
        <x:v>45199</x:v>
      </x:c>
      <x:c r="E903" s="2" t="str">
        <x:v>Origin</x:v>
      </x:c>
      <x:c r="F903" s="7" t="n">
        <x:v>45108</x:v>
      </x:c>
      <x:c r="G903" s="2" t="str">
        <x:v>Four-quarter mean</x:v>
      </x:c>
      <x:c r="H903" s="8" t="n">
        <x:f>AVERAGE('PG facts'!D45,'PG facts'!D52,'PG facts'!D59,'PG facts'!D66)</x:f>
        <x:v>7.5</x:v>
      </x:c>
      <x:c r="I903" s="8" t="n">
        <x:f>0</x:f>
        <x:v>0</x:v>
      </x:c>
      <x:c r="J903" s="8" t="n">
        <x:v>0</x:v>
      </x:c>
      <x:c r="K903" s="8" t="n">
        <x:f>H903-I903*J903</x:f>
        <x:v>7.5</x:v>
      </x:c>
      <x:c r="L903" s="8" t="n">
        <x:f>'PG facts'!D80</x:f>
        <x:v>8</x:v>
      </x:c>
      <x:c r="M903" s="8" t="n">
        <x:f>K903-L903</x:f>
        <x:v>-0.5</x:v>
      </x:c>
      <x:c r="N903" s="8" t="n">
        <x:f>M903^2</x:f>
        <x:v>0.25</x:v>
      </x:c>
      <x:c r="O903" s="8" t="n">
        <x:f>ABS(M903)</x:f>
        <x:v>0.5</x:v>
      </x:c>
      <x:c r="P903" s="7" t="n">
        <x:v>45217</x:v>
      </x:c>
    </x:row>
    <x:row r="904" ht="26" customHeight="1">
      <x:c r="A904" s="2"/>
      <x:c r="B904" s="2" t="n">
        <x:v>899</x:v>
      </x:c>
      <x:c r="C904" s="2" t="str">
        <x:v>Baby, Feminine &amp; Family Care / price_contribution</x:v>
      </x:c>
      <x:c r="D904" s="7" t="n">
        <x:v>45199</x:v>
      </x:c>
      <x:c r="E904" s="2" t="str">
        <x:v>Origin</x:v>
      </x:c>
      <x:c r="F904" s="7" t="n">
        <x:v>45108</x:v>
      </x:c>
      <x:c r="G904" s="2" t="str">
        <x:v>Broad market</x:v>
      </x:c>
      <x:c r="H904" s="8" t="n">
        <x:f>'Model fits'!AA608</x:f>
        <x:v>8.552311614243012</x:v>
      </x:c>
      <x:c r="I904" s="8" t="n">
        <x:f>0</x:f>
        <x:v>0</x:v>
      </x:c>
      <x:c r="J904" s="8" t="n">
        <x:v>0</x:v>
      </x:c>
      <x:c r="K904" s="8" t="n">
        <x:f>H904-I904*J904</x:f>
        <x:v>8.552311614243012</x:v>
      </x:c>
      <x:c r="L904" s="8" t="n">
        <x:f>'PG facts'!D80</x:f>
        <x:v>8</x:v>
      </x:c>
      <x:c r="M904" s="8" t="n">
        <x:f>K904-L904</x:f>
        <x:v>0.5523116142430116</x:v>
      </x:c>
      <x:c r="N904" s="8" t="n">
        <x:f>M904^2</x:f>
        <x:v>0.30504811922772124</x:v>
      </x:c>
      <x:c r="O904" s="8" t="n">
        <x:f>ABS(M904)</x:f>
        <x:v>0.5523116142430116</x:v>
      </x:c>
      <x:c r="P904" s="7" t="n">
        <x:v>45217</x:v>
      </x:c>
    </x:row>
    <x:row r="905" ht="26" customHeight="1">
      <x:c r="A905" s="2"/>
      <x:c r="B905" s="2" t="n">
        <x:v>900</x:v>
      </x:c>
      <x:c r="C905" s="2" t="str">
        <x:v>Baby, Feminine &amp; Family Care / price_contribution</x:v>
      </x:c>
      <x:c r="D905" s="7" t="n">
        <x:v>45199</x:v>
      </x:c>
      <x:c r="E905" s="2" t="str">
        <x:v>Origin</x:v>
      </x:c>
      <x:c r="F905" s="7" t="n">
        <x:v>45108</x:v>
      </x:c>
      <x:c r="G905" s="2" t="str">
        <x:v>Broad rolling 8</x:v>
      </x:c>
      <x:c r="H905" s="8" t="n">
        <x:f>'Model fits'!AA609</x:f>
        <x:v>8.567028072114105</x:v>
      </x:c>
      <x:c r="I905" s="8" t="n">
        <x:f>0</x:f>
        <x:v>0</x:v>
      </x:c>
      <x:c r="J905" s="8" t="n">
        <x:v>0</x:v>
      </x:c>
      <x:c r="K905" s="8" t="n">
        <x:f>H905-I905*J905</x:f>
        <x:v>8.567028072114105</x:v>
      </x:c>
      <x:c r="L905" s="8" t="n">
        <x:f>'PG facts'!D80</x:f>
        <x:v>8</x:v>
      </x:c>
      <x:c r="M905" s="8" t="n">
        <x:f>K905-L905</x:f>
        <x:v>0.5670280721141054</x:v>
      </x:c>
      <x:c r="N905" s="8" t="n">
        <x:f>M905^2</x:f>
        <x:v>0.3215208345654392</x:v>
      </x:c>
      <x:c r="O905" s="8" t="n">
        <x:f>ABS(M905)</x:f>
        <x:v>0.5670280721141054</x:v>
      </x:c>
      <x:c r="P905" s="7" t="n">
        <x:v>45217</x:v>
      </x:c>
    </x:row>
    <x:row r="906" ht="26" customHeight="1">
      <x:c r="A906" s="2"/>
      <x:c r="B906" s="2" t="n">
        <x:v>901</x:v>
      </x:c>
      <x:c r="C906" s="2" t="str">
        <x:v>Baby, Feminine &amp; Family Care / price_contribution</x:v>
      </x:c>
      <x:c r="D906" s="7" t="n">
        <x:v>45199</x:v>
      </x:c>
      <x:c r="E906" s="2" t="str">
        <x:v>Prior report</x:v>
      </x:c>
      <x:c r="F906" s="7" t="n">
        <x:v>45135</x:v>
      </x:c>
      <x:c r="G906" s="2" t="str">
        <x:v>Last actual</x:v>
      </x:c>
      <x:c r="H906" s="8" t="n">
        <x:f>AVERAGE('PG facts'!D73)</x:f>
        <x:v>8</x:v>
      </x:c>
      <x:c r="I906" s="8" t="n">
        <x:f>0</x:f>
        <x:v>0</x:v>
      </x:c>
      <x:c r="J906" s="8" t="n">
        <x:v>0</x:v>
      </x:c>
      <x:c r="K906" s="8" t="n">
        <x:f>H906-I906*J906</x:f>
        <x:v>8</x:v>
      </x:c>
      <x:c r="L906" s="8" t="n">
        <x:f>'PG facts'!D80</x:f>
        <x:v>8</x:v>
      </x:c>
      <x:c r="M906" s="8" t="n">
        <x:f>K906-L906</x:f>
        <x:v>0</x:v>
      </x:c>
      <x:c r="N906" s="8" t="n">
        <x:f>M906^2</x:f>
        <x:v>0</x:v>
      </x:c>
      <x:c r="O906" s="8" t="n">
        <x:f>ABS(M906)</x:f>
        <x:v>0</x:v>
      </x:c>
      <x:c r="P906" s="7" t="n">
        <x:v>45217</x:v>
      </x:c>
    </x:row>
    <x:row r="907" ht="26" customHeight="1">
      <x:c r="A907" s="2"/>
      <x:c r="B907" s="2" t="n">
        <x:v>902</x:v>
      </x:c>
      <x:c r="C907" s="2" t="str">
        <x:v>Baby, Feminine &amp; Family Care / price_contribution</x:v>
      </x:c>
      <x:c r="D907" s="7" t="n">
        <x:v>45199</x:v>
      </x:c>
      <x:c r="E907" s="2" t="str">
        <x:v>Prior report</x:v>
      </x:c>
      <x:c r="F907" s="7" t="n">
        <x:v>45135</x:v>
      </x:c>
      <x:c r="G907" s="2" t="str">
        <x:v>Four-quarter mean</x:v>
      </x:c>
      <x:c r="H907" s="8" t="n">
        <x:f>AVERAGE('PG facts'!D52,'PG facts'!D59,'PG facts'!D66,'PG facts'!D73)</x:f>
        <x:v>8</x:v>
      </x:c>
      <x:c r="I907" s="8" t="n">
        <x:f>0</x:f>
        <x:v>0</x:v>
      </x:c>
      <x:c r="J907" s="8" t="n">
        <x:v>0</x:v>
      </x:c>
      <x:c r="K907" s="8" t="n">
        <x:f>H907-I907*J907</x:f>
        <x:v>8</x:v>
      </x:c>
      <x:c r="L907" s="8" t="n">
        <x:f>'PG facts'!D80</x:f>
        <x:v>8</x:v>
      </x:c>
      <x:c r="M907" s="8" t="n">
        <x:f>K907-L907</x:f>
        <x:v>0</x:v>
      </x:c>
      <x:c r="N907" s="8" t="n">
        <x:f>M907^2</x:f>
        <x:v>0</x:v>
      </x:c>
      <x:c r="O907" s="8" t="n">
        <x:f>ABS(M907)</x:f>
        <x:v>0</x:v>
      </x:c>
      <x:c r="P907" s="7" t="n">
        <x:v>45217</x:v>
      </x:c>
    </x:row>
    <x:row r="908" ht="26" customHeight="1">
      <x:c r="A908" s="2"/>
      <x:c r="B908" s="2" t="n">
        <x:v>903</x:v>
      </x:c>
      <x:c r="C908" s="2" t="str">
        <x:v>Baby, Feminine &amp; Family Care / price_contribution</x:v>
      </x:c>
      <x:c r="D908" s="7" t="n">
        <x:v>45199</x:v>
      </x:c>
      <x:c r="E908" s="2" t="str">
        <x:v>Prior report</x:v>
      </x:c>
      <x:c r="F908" s="7" t="n">
        <x:v>45135</x:v>
      </x:c>
      <x:c r="G908" s="2" t="str">
        <x:v>Broad market</x:v>
      </x:c>
      <x:c r="H908" s="8" t="n">
        <x:f>'Model fits'!AA610</x:f>
        <x:v>8.509961018566443</x:v>
      </x:c>
      <x:c r="I908" s="8" t="n">
        <x:f>0</x:f>
        <x:v>0</x:v>
      </x:c>
      <x:c r="J908" s="8" t="n">
        <x:v>0</x:v>
      </x:c>
      <x:c r="K908" s="8" t="n">
        <x:f>H908-I908*J908</x:f>
        <x:v>8.509961018566443</x:v>
      </x:c>
      <x:c r="L908" s="8" t="n">
        <x:f>'PG facts'!D80</x:f>
        <x:v>8</x:v>
      </x:c>
      <x:c r="M908" s="8" t="n">
        <x:f>K908-L908</x:f>
        <x:v>0.5099610185664432</x:v>
      </x:c>
      <x:c r="N908" s="8" t="n">
        <x:f>M908^2</x:f>
        <x:v>0.2600602404573242</x:v>
      </x:c>
      <x:c r="O908" s="8" t="n">
        <x:f>ABS(M908)</x:f>
        <x:v>0.5099610185664432</x:v>
      </x:c>
      <x:c r="P908" s="7" t="n">
        <x:v>45217</x:v>
      </x:c>
    </x:row>
    <x:row r="909" ht="26" customHeight="1">
      <x:c r="A909" s="2"/>
      <x:c r="B909" s="2" t="n">
        <x:v>904</x:v>
      </x:c>
      <x:c r="C909" s="2" t="str">
        <x:v>Baby, Feminine &amp; Family Care / price_contribution</x:v>
      </x:c>
      <x:c r="D909" s="7" t="n">
        <x:v>45199</x:v>
      </x:c>
      <x:c r="E909" s="2" t="str">
        <x:v>Prior report</x:v>
      </x:c>
      <x:c r="F909" s="7" t="n">
        <x:v>45135</x:v>
      </x:c>
      <x:c r="G909" s="2" t="str">
        <x:v>Broad lag 1</x:v>
      </x:c>
      <x:c r="H909" s="8" t="n">
        <x:f>'Model fits'!AA611</x:f>
        <x:v>8.879079445738345</x:v>
      </x:c>
      <x:c r="I909" s="8" t="n">
        <x:f>0</x:f>
        <x:v>0</x:v>
      </x:c>
      <x:c r="J909" s="8" t="n">
        <x:v>0</x:v>
      </x:c>
      <x:c r="K909" s="8" t="n">
        <x:f>H909-I909*J909</x:f>
        <x:v>8.879079445738345</x:v>
      </x:c>
      <x:c r="L909" s="8" t="n">
        <x:f>'PG facts'!D80</x:f>
        <x:v>8</x:v>
      </x:c>
      <x:c r="M909" s="8" t="n">
        <x:f>K909-L909</x:f>
        <x:v>0.8790794457383448</x:v>
      </x:c>
      <x:c r="N909" s="8" t="n">
        <x:f>M909^2</x:f>
        <x:v>0.7727806719196356</x:v>
      </x:c>
      <x:c r="O909" s="8" t="n">
        <x:f>ABS(M909)</x:f>
        <x:v>0.8790794457383448</x:v>
      </x:c>
      <x:c r="P909" s="7" t="n">
        <x:v>45217</x:v>
      </x:c>
    </x:row>
    <x:row r="910" ht="26" customHeight="1">
      <x:c r="A910" s="2"/>
      <x:c r="B910" s="2" t="n">
        <x:v>905</x:v>
      </x:c>
      <x:c r="C910" s="2" t="str">
        <x:v>Baby, Feminine &amp; Family Care / price_contribution</x:v>
      </x:c>
      <x:c r="D910" s="7" t="n">
        <x:v>45199</x:v>
      </x:c>
      <x:c r="E910" s="2" t="str">
        <x:v>Prior report</x:v>
      </x:c>
      <x:c r="F910" s="7" t="n">
        <x:v>45135</x:v>
      </x:c>
      <x:c r="G910" s="2" t="str">
        <x:v>Broad rolling 8</x:v>
      </x:c>
      <x:c r="H910" s="8" t="n">
        <x:f>'Model fits'!AA612</x:f>
        <x:v>8.483015113502278</x:v>
      </x:c>
      <x:c r="I910" s="8" t="n">
        <x:f>0</x:f>
        <x:v>0</x:v>
      </x:c>
      <x:c r="J910" s="8" t="n">
        <x:v>0</x:v>
      </x:c>
      <x:c r="K910" s="8" t="n">
        <x:f>H910-I910*J910</x:f>
        <x:v>8.483015113502278</x:v>
      </x:c>
      <x:c r="L910" s="8" t="n">
        <x:f>'PG facts'!D80</x:f>
        <x:v>8</x:v>
      </x:c>
      <x:c r="M910" s="8" t="n">
        <x:f>K910-L910</x:f>
        <x:v>0.48301511350227777</x:v>
      </x:c>
      <x:c r="N910" s="8" t="n">
        <x:f>M910^2</x:f>
        <x:v>0.23330359987161828</x:v>
      </x:c>
      <x:c r="O910" s="8" t="n">
        <x:f>ABS(M910)</x:f>
        <x:v>0.48301511350227777</x:v>
      </x:c>
      <x:c r="P910" s="7" t="n">
        <x:v>45217</x:v>
      </x:c>
    </x:row>
    <x:row r="911" ht="26" customHeight="1">
      <x:c r="A911" s="2"/>
      <x:c r="B911" s="2" t="n">
        <x:v>906</x:v>
      </x:c>
      <x:c r="C911" s="2" t="str">
        <x:v>Baby, Feminine &amp; Family Care / price_contribution</x:v>
      </x:c>
      <x:c r="D911" s="7" t="n">
        <x:v>45199</x:v>
      </x:c>
      <x:c r="E911" s="2" t="str">
        <x:v>Prior report</x:v>
      </x:c>
      <x:c r="F911" s="7" t="n">
        <x:v>45135</x:v>
      </x:c>
      <x:c r="G911" s="2" t="str">
        <x:v>Own history</x:v>
      </x:c>
      <x:c r="H911" s="8" t="n">
        <x:f>'Model fits'!AA613</x:f>
        <x:v>8.206896551724137</x:v>
      </x:c>
      <x:c r="I911" s="8" t="n">
        <x:f>0</x:f>
        <x:v>0</x:v>
      </x:c>
      <x:c r="J911" s="8" t="n">
        <x:v>0</x:v>
      </x:c>
      <x:c r="K911" s="8" t="n">
        <x:f>H911-I911*J911</x:f>
        <x:v>8.206896551724137</x:v>
      </x:c>
      <x:c r="L911" s="8" t="n">
        <x:f>'PG facts'!D80</x:f>
        <x:v>8</x:v>
      </x:c>
      <x:c r="M911" s="8" t="n">
        <x:f>K911-L911</x:f>
        <x:v>0.206896551724137</x:v>
      </x:c>
      <x:c r="N911" s="8" t="n">
        <x:f>M911^2</x:f>
        <x:v>0.0428061831153385</x:v>
      </x:c>
      <x:c r="O911" s="8" t="n">
        <x:f>ABS(M911)</x:f>
        <x:v>0.206896551724137</x:v>
      </x:c>
      <x:c r="P911" s="7" t="n">
        <x:v>45217</x:v>
      </x:c>
    </x:row>
    <x:row r="912" ht="26" customHeight="1">
      <x:c r="A912" s="2"/>
      <x:c r="B912" s="2" t="n">
        <x:v>907</x:v>
      </x:c>
      <x:c r="C912" s="2" t="str">
        <x:v>Baby, Feminine &amp; Family Care / price_contribution</x:v>
      </x:c>
      <x:c r="D912" s="7" t="n">
        <x:v>45199</x:v>
      </x:c>
      <x:c r="E912" s="2" t="str">
        <x:v>Pre-earnings</x:v>
      </x:c>
      <x:c r="F912" s="7" t="n">
        <x:v>45216</x:v>
      </x:c>
      <x:c r="G912" s="2" t="str">
        <x:v>Last actual</x:v>
      </x:c>
      <x:c r="H912" s="8" t="n">
        <x:f>AVERAGE('PG facts'!D73)</x:f>
        <x:v>8</x:v>
      </x:c>
      <x:c r="I912" s="8" t="n">
        <x:f>0</x:f>
        <x:v>0</x:v>
      </x:c>
      <x:c r="J912" s="8" t="n">
        <x:v>0</x:v>
      </x:c>
      <x:c r="K912" s="8" t="n">
        <x:f>H912-I912*J912</x:f>
        <x:v>8</x:v>
      </x:c>
      <x:c r="L912" s="8" t="n">
        <x:f>'PG facts'!D80</x:f>
        <x:v>8</x:v>
      </x:c>
      <x:c r="M912" s="8" t="n">
        <x:f>K912-L912</x:f>
        <x:v>0</x:v>
      </x:c>
      <x:c r="N912" s="8" t="n">
        <x:f>M912^2</x:f>
        <x:v>0</x:v>
      </x:c>
      <x:c r="O912" s="8" t="n">
        <x:f>ABS(M912)</x:f>
        <x:v>0</x:v>
      </x:c>
      <x:c r="P912" s="7" t="n">
        <x:v>45217</x:v>
      </x:c>
    </x:row>
    <x:row r="913" ht="26" customHeight="1">
      <x:c r="A913" s="2"/>
      <x:c r="B913" s="2" t="n">
        <x:v>908</x:v>
      </x:c>
      <x:c r="C913" s="2" t="str">
        <x:v>Baby, Feminine &amp; Family Care / price_contribution</x:v>
      </x:c>
      <x:c r="D913" s="7" t="n">
        <x:v>45199</x:v>
      </x:c>
      <x:c r="E913" s="2" t="str">
        <x:v>Pre-earnings</x:v>
      </x:c>
      <x:c r="F913" s="7" t="n">
        <x:v>45216</x:v>
      </x:c>
      <x:c r="G913" s="2" t="str">
        <x:v>Four-quarter mean</x:v>
      </x:c>
      <x:c r="H913" s="8" t="n">
        <x:f>AVERAGE('PG facts'!D52,'PG facts'!D59,'PG facts'!D66,'PG facts'!D73)</x:f>
        <x:v>8</x:v>
      </x:c>
      <x:c r="I913" s="8" t="n">
        <x:f>0</x:f>
        <x:v>0</x:v>
      </x:c>
      <x:c r="J913" s="8" t="n">
        <x:v>0</x:v>
      </x:c>
      <x:c r="K913" s="8" t="n">
        <x:f>H913-I913*J913</x:f>
        <x:v>8</x:v>
      </x:c>
      <x:c r="L913" s="8" t="n">
        <x:f>'PG facts'!D80</x:f>
        <x:v>8</x:v>
      </x:c>
      <x:c r="M913" s="8" t="n">
        <x:f>K913-L913</x:f>
        <x:v>0</x:v>
      </x:c>
      <x:c r="N913" s="8" t="n">
        <x:f>M913^2</x:f>
        <x:v>0</x:v>
      </x:c>
      <x:c r="O913" s="8" t="n">
        <x:f>ABS(M913)</x:f>
        <x:v>0</x:v>
      </x:c>
      <x:c r="P913" s="7" t="n">
        <x:v>45217</x:v>
      </x:c>
    </x:row>
    <x:row r="914" ht="26" customHeight="1">
      <x:c r="A914" s="2"/>
      <x:c r="B914" s="2" t="n">
        <x:v>909</x:v>
      </x:c>
      <x:c r="C914" s="2" t="str">
        <x:v>Baby, Feminine &amp; Family Care / price_contribution</x:v>
      </x:c>
      <x:c r="D914" s="7" t="n">
        <x:v>45199</x:v>
      </x:c>
      <x:c r="E914" s="2" t="str">
        <x:v>Pre-earnings</x:v>
      </x:c>
      <x:c r="F914" s="7" t="n">
        <x:v>45216</x:v>
      </x:c>
      <x:c r="G914" s="2" t="str">
        <x:v>Broad market</x:v>
      </x:c>
      <x:c r="H914" s="8" t="n">
        <x:f>'Model fits'!AA614</x:f>
        <x:v>7.079663882947765</x:v>
      </x:c>
      <x:c r="I914" s="8" t="n">
        <x:f>0</x:f>
        <x:v>0</x:v>
      </x:c>
      <x:c r="J914" s="8" t="n">
        <x:v>0</x:v>
      </x:c>
      <x:c r="K914" s="8" t="n">
        <x:f>H914-I914*J914</x:f>
        <x:v>7.079663882947765</x:v>
      </x:c>
      <x:c r="L914" s="8" t="n">
        <x:f>'PG facts'!D80</x:f>
        <x:v>8</x:v>
      </x:c>
      <x:c r="M914" s="8" t="n">
        <x:f>K914-L914</x:f>
        <x:v>-0.9203361170522353</x:v>
      </x:c>
      <x:c r="N914" s="8" t="n">
        <x:f>M914^2</x:f>
        <x:v>0.8470185683507857</x:v>
      </x:c>
      <x:c r="O914" s="8" t="n">
        <x:f>ABS(M914)</x:f>
        <x:v>0.9203361170522353</x:v>
      </x:c>
      <x:c r="P914" s="7" t="n">
        <x:v>45217</x:v>
      </x:c>
    </x:row>
    <x:row r="915" ht="26" customHeight="1">
      <x:c r="A915" s="2"/>
      <x:c r="B915" s="2" t="n">
        <x:v>910</x:v>
      </x:c>
      <x:c r="C915" s="2" t="str">
        <x:v>Baby, Feminine &amp; Family Care / price_contribution</x:v>
      </x:c>
      <x:c r="D915" s="7" t="n">
        <x:v>45199</x:v>
      </x:c>
      <x:c r="E915" s="2" t="str">
        <x:v>Pre-earnings</x:v>
      </x:c>
      <x:c r="F915" s="7" t="n">
        <x:v>45216</x:v>
      </x:c>
      <x:c r="G915" s="2" t="str">
        <x:v>Broad lag 1</x:v>
      </x:c>
      <x:c r="H915" s="8" t="n">
        <x:f>'Model fits'!AA615</x:f>
        <x:v>8.879079445738345</x:v>
      </x:c>
      <x:c r="I915" s="8" t="n">
        <x:f>0</x:f>
        <x:v>0</x:v>
      </x:c>
      <x:c r="J915" s="8" t="n">
        <x:v>0</x:v>
      </x:c>
      <x:c r="K915" s="8" t="n">
        <x:f>H915-I915*J915</x:f>
        <x:v>8.879079445738345</x:v>
      </x:c>
      <x:c r="L915" s="8" t="n">
        <x:f>'PG facts'!D80</x:f>
        <x:v>8</x:v>
      </x:c>
      <x:c r="M915" s="8" t="n">
        <x:f>K915-L915</x:f>
        <x:v>0.8790794457383448</x:v>
      </x:c>
      <x:c r="N915" s="8" t="n">
        <x:f>M915^2</x:f>
        <x:v>0.7727806719196356</x:v>
      </x:c>
      <x:c r="O915" s="8" t="n">
        <x:f>ABS(M915)</x:f>
        <x:v>0.8790794457383448</x:v>
      </x:c>
      <x:c r="P915" s="7" t="n">
        <x:v>45217</x:v>
      </x:c>
    </x:row>
    <x:row r="916" ht="26" customHeight="1">
      <x:c r="A916" s="2"/>
      <x:c r="B916" s="2" t="n">
        <x:v>911</x:v>
      </x:c>
      <x:c r="C916" s="2" t="str">
        <x:v>Baby, Feminine &amp; Family Care / price_contribution</x:v>
      </x:c>
      <x:c r="D916" s="7" t="n">
        <x:v>45199</x:v>
      </x:c>
      <x:c r="E916" s="2" t="str">
        <x:v>Pre-earnings</x:v>
      </x:c>
      <x:c r="F916" s="7" t="n">
        <x:v>45216</x:v>
      </x:c>
      <x:c r="G916" s="2" t="str">
        <x:v>Broad rolling 8</x:v>
      </x:c>
      <x:c r="H916" s="8" t="n">
        <x:f>'Model fits'!AA616</x:f>
        <x:v>7.101208594894345</x:v>
      </x:c>
      <x:c r="I916" s="8" t="n">
        <x:f>0</x:f>
        <x:v>0</x:v>
      </x:c>
      <x:c r="J916" s="8" t="n">
        <x:v>0</x:v>
      </x:c>
      <x:c r="K916" s="8" t="n">
        <x:f>H916-I916*J916</x:f>
        <x:v>7.101208594894345</x:v>
      </x:c>
      <x:c r="L916" s="8" t="n">
        <x:f>'PG facts'!D80</x:f>
        <x:v>8</x:v>
      </x:c>
      <x:c r="M916" s="8" t="n">
        <x:f>K916-L916</x:f>
        <x:v>-0.8987914051056549</x:v>
      </x:c>
      <x:c r="N916" s="8" t="n">
        <x:f>M916^2</x:f>
        <x:v>0.8078259898917974</x:v>
      </x:c>
      <x:c r="O916" s="8" t="n">
        <x:f>ABS(M916)</x:f>
        <x:v>0.8987914051056549</x:v>
      </x:c>
      <x:c r="P916" s="7" t="n">
        <x:v>45217</x:v>
      </x:c>
    </x:row>
    <x:row r="917" ht="26" customHeight="1">
      <x:c r="A917" s="2"/>
      <x:c r="B917" s="2" t="n">
        <x:v>912</x:v>
      </x:c>
      <x:c r="C917" s="2" t="str">
        <x:v>Baby, Feminine &amp; Family Care / price_contribution</x:v>
      </x:c>
      <x:c r="D917" s="7" t="n">
        <x:v>45199</x:v>
      </x:c>
      <x:c r="E917" s="2" t="str">
        <x:v>Pre-earnings</x:v>
      </x:c>
      <x:c r="F917" s="7" t="n">
        <x:v>45216</x:v>
      </x:c>
      <x:c r="G917" s="2" t="str">
        <x:v>Own history</x:v>
      </x:c>
      <x:c r="H917" s="8" t="n">
        <x:f>'Model fits'!AA617</x:f>
        <x:v>8.206896551724137</x:v>
      </x:c>
      <x:c r="I917" s="8" t="n">
        <x:f>0</x:f>
        <x:v>0</x:v>
      </x:c>
      <x:c r="J917" s="8" t="n">
        <x:v>0</x:v>
      </x:c>
      <x:c r="K917" s="8" t="n">
        <x:f>H917-I917*J917</x:f>
        <x:v>8.206896551724137</x:v>
      </x:c>
      <x:c r="L917" s="8" t="n">
        <x:f>'PG facts'!D80</x:f>
        <x:v>8</x:v>
      </x:c>
      <x:c r="M917" s="8" t="n">
        <x:f>K917-L917</x:f>
        <x:v>0.206896551724137</x:v>
      </x:c>
      <x:c r="N917" s="8" t="n">
        <x:f>M917^2</x:f>
        <x:v>0.0428061831153385</x:v>
      </x:c>
      <x:c r="O917" s="8" t="n">
        <x:f>ABS(M917)</x:f>
        <x:v>0.206896551724137</x:v>
      </x:c>
      <x:c r="P917" s="7" t="n">
        <x:v>45217</x:v>
      </x:c>
    </x:row>
    <x:row r="918" ht="26" customHeight="1">
      <x:c r="A918" s="2"/>
      <x:c r="B918" s="2" t="n">
        <x:v>913</x:v>
      </x:c>
      <x:c r="C918" s="2" t="str">
        <x:v>Baby, Feminine &amp; Family Care / price_contribution</x:v>
      </x:c>
      <x:c r="D918" s="7" t="n">
        <x:v>45291</x:v>
      </x:c>
      <x:c r="E918" s="2" t="str">
        <x:v>Origin</x:v>
      </x:c>
      <x:c r="F918" s="7" t="n">
        <x:v>45200</x:v>
      </x:c>
      <x:c r="G918" s="2" t="str">
        <x:v>Last actual</x:v>
      </x:c>
      <x:c r="H918" s="8" t="n">
        <x:f>AVERAGE('PG facts'!D73)</x:f>
        <x:v>8</x:v>
      </x:c>
      <x:c r="I918" s="8" t="n">
        <x:f>0</x:f>
        <x:v>0</x:v>
      </x:c>
      <x:c r="J918" s="8" t="n">
        <x:v>0</x:v>
      </x:c>
      <x:c r="K918" s="8" t="n">
        <x:f>H918-I918*J918</x:f>
        <x:v>8</x:v>
      </x:c>
      <x:c r="L918" s="8" t="n">
        <x:f>'PG facts'!D87</x:f>
        <x:v>4</x:v>
      </x:c>
      <x:c r="M918" s="8" t="n">
        <x:f>K918-L918</x:f>
        <x:v>4</x:v>
      </x:c>
      <x:c r="N918" s="8" t="n">
        <x:f>M918^2</x:f>
        <x:v>16</x:v>
      </x:c>
      <x:c r="O918" s="8" t="n">
        <x:f>ABS(M918)</x:f>
        <x:v>4</x:v>
      </x:c>
      <x:c r="P918" s="7" t="n">
        <x:v>45314</x:v>
      </x:c>
    </x:row>
    <x:row r="919" ht="26" customHeight="1">
      <x:c r="A919" s="2"/>
      <x:c r="B919" s="2" t="n">
        <x:v>914</x:v>
      </x:c>
      <x:c r="C919" s="2" t="str">
        <x:v>Baby, Feminine &amp; Family Care / price_contribution</x:v>
      </x:c>
      <x:c r="D919" s="7" t="n">
        <x:v>45291</x:v>
      </x:c>
      <x:c r="E919" s="2" t="str">
        <x:v>Origin</x:v>
      </x:c>
      <x:c r="F919" s="7" t="n">
        <x:v>45200</x:v>
      </x:c>
      <x:c r="G919" s="2" t="str">
        <x:v>Four-quarter mean</x:v>
      </x:c>
      <x:c r="H919" s="8" t="n">
        <x:f>AVERAGE('PG facts'!D52,'PG facts'!D59,'PG facts'!D66,'PG facts'!D73)</x:f>
        <x:v>8</x:v>
      </x:c>
      <x:c r="I919" s="8" t="n">
        <x:f>0</x:f>
        <x:v>0</x:v>
      </x:c>
      <x:c r="J919" s="8" t="n">
        <x:v>0</x:v>
      </x:c>
      <x:c r="K919" s="8" t="n">
        <x:f>H919-I919*J919</x:f>
        <x:v>8</x:v>
      </x:c>
      <x:c r="L919" s="8" t="n">
        <x:f>'PG facts'!D87</x:f>
        <x:v>4</x:v>
      </x:c>
      <x:c r="M919" s="8" t="n">
        <x:f>K919-L919</x:f>
        <x:v>4</x:v>
      </x:c>
      <x:c r="N919" s="8" t="n">
        <x:f>M919^2</x:f>
        <x:v>16</x:v>
      </x:c>
      <x:c r="O919" s="8" t="n">
        <x:f>ABS(M919)</x:f>
        <x:v>4</x:v>
      </x:c>
      <x:c r="P919" s="7" t="n">
        <x:v>45314</x:v>
      </x:c>
    </x:row>
    <x:row r="920" ht="26" customHeight="1">
      <x:c r="A920" s="2"/>
      <x:c r="B920" s="2" t="n">
        <x:v>915</x:v>
      </x:c>
      <x:c r="C920" s="2" t="str">
        <x:v>Baby, Feminine &amp; Family Care / price_contribution</x:v>
      </x:c>
      <x:c r="D920" s="7" t="n">
        <x:v>45291</x:v>
      </x:c>
      <x:c r="E920" s="2" t="str">
        <x:v>Origin</x:v>
      </x:c>
      <x:c r="F920" s="7" t="n">
        <x:v>45200</x:v>
      </x:c>
      <x:c r="G920" s="2" t="str">
        <x:v>Broad market</x:v>
      </x:c>
      <x:c r="H920" s="8" t="n">
        <x:f>'Model fits'!AA618</x:f>
        <x:v>7.647907577331304</x:v>
      </x:c>
      <x:c r="I920" s="8" t="n">
        <x:f>0</x:f>
        <x:v>0</x:v>
      </x:c>
      <x:c r="J920" s="8" t="n">
        <x:v>0</x:v>
      </x:c>
      <x:c r="K920" s="8" t="n">
        <x:f>H920-I920*J920</x:f>
        <x:v>7.647907577331304</x:v>
      </x:c>
      <x:c r="L920" s="8" t="n">
        <x:f>'PG facts'!D87</x:f>
        <x:v>4</x:v>
      </x:c>
      <x:c r="M920" s="8" t="n">
        <x:f>K920-L920</x:f>
        <x:v>3.6479075773313037</x:v>
      </x:c>
      <x:c r="N920" s="8" t="n">
        <x:f>M920^2</x:f>
        <x:v>13.307229692751141</x:v>
      </x:c>
      <x:c r="O920" s="8" t="n">
        <x:f>ABS(M920)</x:f>
        <x:v>3.6479075773313037</x:v>
      </x:c>
      <x:c r="P920" s="7" t="n">
        <x:v>45314</x:v>
      </x:c>
    </x:row>
    <x:row r="921" ht="26" customHeight="1">
      <x:c r="A921" s="2"/>
      <x:c r="B921" s="2" t="n">
        <x:v>916</x:v>
      </x:c>
      <x:c r="C921" s="2" t="str">
        <x:v>Baby, Feminine &amp; Family Care / price_contribution</x:v>
      </x:c>
      <x:c r="D921" s="7" t="n">
        <x:v>45291</x:v>
      </x:c>
      <x:c r="E921" s="2" t="str">
        <x:v>Origin</x:v>
      </x:c>
      <x:c r="F921" s="7" t="n">
        <x:v>45200</x:v>
      </x:c>
      <x:c r="G921" s="2" t="str">
        <x:v>Broad rolling 8</x:v>
      </x:c>
      <x:c r="H921" s="8" t="n">
        <x:f>'Model fits'!AA619</x:f>
        <x:v>7.650187419995177</x:v>
      </x:c>
      <x:c r="I921" s="8" t="n">
        <x:f>0</x:f>
        <x:v>0</x:v>
      </x:c>
      <x:c r="J921" s="8" t="n">
        <x:v>0</x:v>
      </x:c>
      <x:c r="K921" s="8" t="n">
        <x:f>H921-I921*J921</x:f>
        <x:v>7.650187419995177</x:v>
      </x:c>
      <x:c r="L921" s="8" t="n">
        <x:f>'PG facts'!D87</x:f>
        <x:v>4</x:v>
      </x:c>
      <x:c r="M921" s="8" t="n">
        <x:f>K921-L921</x:f>
        <x:v>3.650187419995177</x:v>
      </x:c>
      <x:c r="N921" s="8" t="n">
        <x:f>M921^2</x:f>
        <x:v>13.323868201091047</x:v>
      </x:c>
      <x:c r="O921" s="8" t="n">
        <x:f>ABS(M921)</x:f>
        <x:v>3.650187419995177</x:v>
      </x:c>
      <x:c r="P921" s="7" t="n">
        <x:v>45314</x:v>
      </x:c>
    </x:row>
    <x:row r="922" ht="26" customHeight="1">
      <x:c r="A922" s="2"/>
      <x:c r="B922" s="2" t="n">
        <x:v>917</x:v>
      </x:c>
      <x:c r="C922" s="2" t="str">
        <x:v>Baby, Feminine &amp; Family Care / price_contribution</x:v>
      </x:c>
      <x:c r="D922" s="7" t="n">
        <x:v>45291</x:v>
      </x:c>
      <x:c r="E922" s="2" t="str">
        <x:v>Origin</x:v>
      </x:c>
      <x:c r="F922" s="7" t="n">
        <x:v>45200</x:v>
      </x:c>
      <x:c r="G922" s="2" t="str">
        <x:v>Own history</x:v>
      </x:c>
      <x:c r="H922" s="8" t="n">
        <x:f>'Model fits'!AA620</x:f>
        <x:v>8.256578947368421</x:v>
      </x:c>
      <x:c r="I922" s="8" t="n">
        <x:f>0</x:f>
        <x:v>0</x:v>
      </x:c>
      <x:c r="J922" s="8" t="n">
        <x:v>0</x:v>
      </x:c>
      <x:c r="K922" s="8" t="n">
        <x:f>H922-I922*J922</x:f>
        <x:v>8.256578947368421</x:v>
      </x:c>
      <x:c r="L922" s="8" t="n">
        <x:f>'PG facts'!D87</x:f>
        <x:v>4</x:v>
      </x:c>
      <x:c r="M922" s="8" t="n">
        <x:f>K922-L922</x:f>
        <x:v>4.256578947368421</x:v>
      </x:c>
      <x:c r="N922" s="8" t="n">
        <x:f>M922^2</x:f>
        <x:v>18.118464335180057</x:v>
      </x:c>
      <x:c r="O922" s="8" t="n">
        <x:f>ABS(M922)</x:f>
        <x:v>4.256578947368421</x:v>
      </x:c>
      <x:c r="P922" s="7" t="n">
        <x:v>45314</x:v>
      </x:c>
    </x:row>
    <x:row r="923" ht="26" customHeight="1">
      <x:c r="A923" s="2"/>
      <x:c r="B923" s="2" t="n">
        <x:v>918</x:v>
      </x:c>
      <x:c r="C923" s="2" t="str">
        <x:v>Baby, Feminine &amp; Family Care / price_contribution</x:v>
      </x:c>
      <x:c r="D923" s="7" t="n">
        <x:v>45291</x:v>
      </x:c>
      <x:c r="E923" s="2" t="str">
        <x:v>Prior report</x:v>
      </x:c>
      <x:c r="F923" s="7" t="n">
        <x:v>45217</x:v>
      </x:c>
      <x:c r="G923" s="2" t="str">
        <x:v>Last actual</x:v>
      </x:c>
      <x:c r="H923" s="8" t="n">
        <x:f>AVERAGE('PG facts'!D80)</x:f>
        <x:v>8</x:v>
      </x:c>
      <x:c r="I923" s="8" t="n">
        <x:f>0</x:f>
        <x:v>0</x:v>
      </x:c>
      <x:c r="J923" s="8" t="n">
        <x:v>0</x:v>
      </x:c>
      <x:c r="K923" s="8" t="n">
        <x:f>H923-I923*J923</x:f>
        <x:v>8</x:v>
      </x:c>
      <x:c r="L923" s="8" t="n">
        <x:f>'PG facts'!D87</x:f>
        <x:v>4</x:v>
      </x:c>
      <x:c r="M923" s="8" t="n">
        <x:f>K923-L923</x:f>
        <x:v>4</x:v>
      </x:c>
      <x:c r="N923" s="8" t="n">
        <x:f>M923^2</x:f>
        <x:v>16</x:v>
      </x:c>
      <x:c r="O923" s="8" t="n">
        <x:f>ABS(M923)</x:f>
        <x:v>4</x:v>
      </x:c>
      <x:c r="P923" s="7" t="n">
        <x:v>45314</x:v>
      </x:c>
    </x:row>
    <x:row r="924" ht="26" customHeight="1">
      <x:c r="A924" s="2"/>
      <x:c r="B924" s="2" t="n">
        <x:v>919</x:v>
      </x:c>
      <x:c r="C924" s="2" t="str">
        <x:v>Baby, Feminine &amp; Family Care / price_contribution</x:v>
      </x:c>
      <x:c r="D924" s="7" t="n">
        <x:v>45291</x:v>
      </x:c>
      <x:c r="E924" s="2" t="str">
        <x:v>Prior report</x:v>
      </x:c>
      <x:c r="F924" s="7" t="n">
        <x:v>45217</x:v>
      </x:c>
      <x:c r="G924" s="2" t="str">
        <x:v>Four-quarter mean</x:v>
      </x:c>
      <x:c r="H924" s="8" t="n">
        <x:f>AVERAGE('PG facts'!D59,'PG facts'!D66,'PG facts'!D73,'PG facts'!D80)</x:f>
        <x:v>8</x:v>
      </x:c>
      <x:c r="I924" s="8" t="n">
        <x:f>0</x:f>
        <x:v>0</x:v>
      </x:c>
      <x:c r="J924" s="8" t="n">
        <x:v>0</x:v>
      </x:c>
      <x:c r="K924" s="8" t="n">
        <x:f>H924-I924*J924</x:f>
        <x:v>8</x:v>
      </x:c>
      <x:c r="L924" s="8" t="n">
        <x:f>'PG facts'!D87</x:f>
        <x:v>4</x:v>
      </x:c>
      <x:c r="M924" s="8" t="n">
        <x:f>K924-L924</x:f>
        <x:v>4</x:v>
      </x:c>
      <x:c r="N924" s="8" t="n">
        <x:f>M924^2</x:f>
        <x:v>16</x:v>
      </x:c>
      <x:c r="O924" s="8" t="n">
        <x:f>ABS(M924)</x:f>
        <x:v>4</x:v>
      </x:c>
      <x:c r="P924" s="7" t="n">
        <x:v>45314</x:v>
      </x:c>
    </x:row>
    <x:row r="925" ht="26" customHeight="1">
      <x:c r="A925" s="2"/>
      <x:c r="B925" s="2" t="n">
        <x:v>920</x:v>
      </x:c>
      <x:c r="C925" s="2" t="str">
        <x:v>Baby, Feminine &amp; Family Care / price_contribution</x:v>
      </x:c>
      <x:c r="D925" s="7" t="n">
        <x:v>45291</x:v>
      </x:c>
      <x:c r="E925" s="2" t="str">
        <x:v>Prior report</x:v>
      </x:c>
      <x:c r="F925" s="7" t="n">
        <x:v>45217</x:v>
      </x:c>
      <x:c r="G925" s="2" t="str">
        <x:v>Broad market</x:v>
      </x:c>
      <x:c r="H925" s="8" t="n">
        <x:f>'Model fits'!AA621</x:f>
        <x:v>7.211512664478644</x:v>
      </x:c>
      <x:c r="I925" s="8" t="n">
        <x:f>0</x:f>
        <x:v>0</x:v>
      </x:c>
      <x:c r="J925" s="8" t="n">
        <x:v>0</x:v>
      </x:c>
      <x:c r="K925" s="8" t="n">
        <x:f>H925-I925*J925</x:f>
        <x:v>7.211512664478644</x:v>
      </x:c>
      <x:c r="L925" s="8" t="n">
        <x:f>'PG facts'!D87</x:f>
        <x:v>4</x:v>
      </x:c>
      <x:c r="M925" s="8" t="n">
        <x:f>K925-L925</x:f>
        <x:v>3.2115126644786436</x:v>
      </x:c>
      <x:c r="N925" s="8" t="n">
        <x:f>M925^2</x:f>
        <x:v>10.313813594106717</x:v>
      </x:c>
      <x:c r="O925" s="8" t="n">
        <x:f>ABS(M925)</x:f>
        <x:v>3.2115126644786436</x:v>
      </x:c>
      <x:c r="P925" s="7" t="n">
        <x:v>45314</x:v>
      </x:c>
    </x:row>
    <x:row r="926" ht="26" customHeight="1">
      <x:c r="A926" s="2"/>
      <x:c r="B926" s="2" t="n">
        <x:v>921</x:v>
      </x:c>
      <x:c r="C926" s="2" t="str">
        <x:v>Baby, Feminine &amp; Family Care / price_contribution</x:v>
      </x:c>
      <x:c r="D926" s="7" t="n">
        <x:v>45291</x:v>
      </x:c>
      <x:c r="E926" s="2" t="str">
        <x:v>Prior report</x:v>
      </x:c>
      <x:c r="F926" s="7" t="n">
        <x:v>45217</x:v>
      </x:c>
      <x:c r="G926" s="2" t="str">
        <x:v>Broad lag 1</x:v>
      </x:c>
      <x:c r="H926" s="8" t="n">
        <x:f>'Model fits'!AA622</x:f>
        <x:v>7.396862193899729</x:v>
      </x:c>
      <x:c r="I926" s="8" t="n">
        <x:f>0</x:f>
        <x:v>0</x:v>
      </x:c>
      <x:c r="J926" s="8" t="n">
        <x:v>0</x:v>
      </x:c>
      <x:c r="K926" s="8" t="n">
        <x:f>H926-I926*J926</x:f>
        <x:v>7.396862193899729</x:v>
      </x:c>
      <x:c r="L926" s="8" t="n">
        <x:f>'PG facts'!D87</x:f>
        <x:v>4</x:v>
      </x:c>
      <x:c r="M926" s="8" t="n">
        <x:f>K926-L926</x:f>
        <x:v>3.3968621938997288</x:v>
      </x:c>
      <x:c r="N926" s="8" t="n">
        <x:f>M926^2</x:f>
        <x:v>11.538672764345279</x:v>
      </x:c>
      <x:c r="O926" s="8" t="n">
        <x:f>ABS(M926)</x:f>
        <x:v>3.3968621938997288</x:v>
      </x:c>
      <x:c r="P926" s="7" t="n">
        <x:v>45314</x:v>
      </x:c>
    </x:row>
    <x:row r="927" ht="26" customHeight="1">
      <x:c r="A927" s="2"/>
      <x:c r="B927" s="2" t="n">
        <x:v>922</x:v>
      </x:c>
      <x:c r="C927" s="2" t="str">
        <x:v>Baby, Feminine &amp; Family Care / price_contribution</x:v>
      </x:c>
      <x:c r="D927" s="7" t="n">
        <x:v>45291</x:v>
      </x:c>
      <x:c r="E927" s="2" t="str">
        <x:v>Prior report</x:v>
      </x:c>
      <x:c r="F927" s="7" t="n">
        <x:v>45217</x:v>
      </x:c>
      <x:c r="G927" s="2" t="str">
        <x:v>Broad rolling 8</x:v>
      </x:c>
      <x:c r="H927" s="8" t="n">
        <x:f>'Model fits'!AA623</x:f>
        <x:v>7.359913059167959</x:v>
      </x:c>
      <x:c r="I927" s="8" t="n">
        <x:f>0</x:f>
        <x:v>0</x:v>
      </x:c>
      <x:c r="J927" s="8" t="n">
        <x:v>0</x:v>
      </x:c>
      <x:c r="K927" s="8" t="n">
        <x:f>H927-I927*J927</x:f>
        <x:v>7.359913059167959</x:v>
      </x:c>
      <x:c r="L927" s="8" t="n">
        <x:f>'PG facts'!D87</x:f>
        <x:v>4</x:v>
      </x:c>
      <x:c r="M927" s="8" t="n">
        <x:f>K927-L927</x:f>
        <x:v>3.359913059167959</x:v>
      </x:c>
      <x:c r="N927" s="8" t="n">
        <x:f>M927^2</x:f>
        <x:v>11.289015765167393</x:v>
      </x:c>
      <x:c r="O927" s="8" t="n">
        <x:f>ABS(M927)</x:f>
        <x:v>3.359913059167959</x:v>
      </x:c>
      <x:c r="P927" s="7" t="n">
        <x:v>45314</x:v>
      </x:c>
    </x:row>
    <x:row r="928" ht="26" customHeight="1">
      <x:c r="A928" s="2"/>
      <x:c r="B928" s="2" t="n">
        <x:v>923</x:v>
      </x:c>
      <x:c r="C928" s="2" t="str">
        <x:v>Baby, Feminine &amp; Family Care / price_contribution</x:v>
      </x:c>
      <x:c r="D928" s="7" t="n">
        <x:v>45291</x:v>
      </x:c>
      <x:c r="E928" s="2" t="str">
        <x:v>Prior report</x:v>
      </x:c>
      <x:c r="F928" s="7" t="n">
        <x:v>45217</x:v>
      </x:c>
      <x:c r="G928" s="2" t="str">
        <x:v>Own history</x:v>
      </x:c>
      <x:c r="H928" s="8" t="n">
        <x:f>'Model fits'!AA624</x:f>
        <x:v>8.165354330708663</x:v>
      </x:c>
      <x:c r="I928" s="8" t="n">
        <x:f>0</x:f>
        <x:v>0</x:v>
      </x:c>
      <x:c r="J928" s="8" t="n">
        <x:v>0</x:v>
      </x:c>
      <x:c r="K928" s="8" t="n">
        <x:f>H928-I928*J928</x:f>
        <x:v>8.165354330708663</x:v>
      </x:c>
      <x:c r="L928" s="8" t="n">
        <x:f>'PG facts'!D87</x:f>
        <x:v>4</x:v>
      </x:c>
      <x:c r="M928" s="8" t="n">
        <x:f>K928-L928</x:f>
        <x:v>4.165354330708663</x:v>
      </x:c>
      <x:c r="N928" s="8" t="n">
        <x:f>M928^2</x:f>
        <x:v>17.350176700353412</x:v>
      </x:c>
      <x:c r="O928" s="8" t="n">
        <x:f>ABS(M928)</x:f>
        <x:v>4.165354330708663</x:v>
      </x:c>
      <x:c r="P928" s="7" t="n">
        <x:v>45314</x:v>
      </x:c>
    </x:row>
    <x:row r="929" ht="26" customHeight="1">
      <x:c r="A929" s="2"/>
      <x:c r="B929" s="2" t="n">
        <x:v>924</x:v>
      </x:c>
      <x:c r="C929" s="2" t="str">
        <x:v>Baby, Feminine &amp; Family Care / price_contribution</x:v>
      </x:c>
      <x:c r="D929" s="7" t="n">
        <x:v>45291</x:v>
      </x:c>
      <x:c r="E929" s="2" t="str">
        <x:v>Pre-earnings</x:v>
      </x:c>
      <x:c r="F929" s="7" t="n">
        <x:v>45313</x:v>
      </x:c>
      <x:c r="G929" s="2" t="str">
        <x:v>Last actual</x:v>
      </x:c>
      <x:c r="H929" s="8" t="n">
        <x:f>AVERAGE('PG facts'!D80)</x:f>
        <x:v>8</x:v>
      </x:c>
      <x:c r="I929" s="8" t="n">
        <x:f>0</x:f>
        <x:v>0</x:v>
      </x:c>
      <x:c r="J929" s="8" t="n">
        <x:v>0</x:v>
      </x:c>
      <x:c r="K929" s="8" t="n">
        <x:f>H929-I929*J929</x:f>
        <x:v>8</x:v>
      </x:c>
      <x:c r="L929" s="8" t="n">
        <x:f>'PG facts'!D87</x:f>
        <x:v>4</x:v>
      </x:c>
      <x:c r="M929" s="8" t="n">
        <x:f>K929-L929</x:f>
        <x:v>4</x:v>
      </x:c>
      <x:c r="N929" s="8" t="n">
        <x:f>M929^2</x:f>
        <x:v>16</x:v>
      </x:c>
      <x:c r="O929" s="8" t="n">
        <x:f>ABS(M929)</x:f>
        <x:v>4</x:v>
      </x:c>
      <x:c r="P929" s="7" t="n">
        <x:v>45314</x:v>
      </x:c>
    </x:row>
    <x:row r="930" ht="26" customHeight="1">
      <x:c r="A930" s="2"/>
      <x:c r="B930" s="2" t="n">
        <x:v>925</x:v>
      </x:c>
      <x:c r="C930" s="2" t="str">
        <x:v>Baby, Feminine &amp; Family Care / price_contribution</x:v>
      </x:c>
      <x:c r="D930" s="7" t="n">
        <x:v>45291</x:v>
      </x:c>
      <x:c r="E930" s="2" t="str">
        <x:v>Pre-earnings</x:v>
      </x:c>
      <x:c r="F930" s="7" t="n">
        <x:v>45313</x:v>
      </x:c>
      <x:c r="G930" s="2" t="str">
        <x:v>Four-quarter mean</x:v>
      </x:c>
      <x:c r="H930" s="8" t="n">
        <x:f>AVERAGE('PG facts'!D59,'PG facts'!D66,'PG facts'!D73,'PG facts'!D80)</x:f>
        <x:v>8</x:v>
      </x:c>
      <x:c r="I930" s="8" t="n">
        <x:f>0</x:f>
        <x:v>0</x:v>
      </x:c>
      <x:c r="J930" s="8" t="n">
        <x:v>0</x:v>
      </x:c>
      <x:c r="K930" s="8" t="n">
        <x:f>H930-I930*J930</x:f>
        <x:v>8</x:v>
      </x:c>
      <x:c r="L930" s="8" t="n">
        <x:f>'PG facts'!D87</x:f>
        <x:v>4</x:v>
      </x:c>
      <x:c r="M930" s="8" t="n">
        <x:f>K930-L930</x:f>
        <x:v>4</x:v>
      </x:c>
      <x:c r="N930" s="8" t="n">
        <x:f>M930^2</x:f>
        <x:v>16</x:v>
      </x:c>
      <x:c r="O930" s="8" t="n">
        <x:f>ABS(M930)</x:f>
        <x:v>4</x:v>
      </x:c>
      <x:c r="P930" s="7" t="n">
        <x:v>45314</x:v>
      </x:c>
    </x:row>
    <x:row r="931" ht="26" customHeight="1">
      <x:c r="A931" s="2"/>
      <x:c r="B931" s="2" t="n">
        <x:v>926</x:v>
      </x:c>
      <x:c r="C931" s="2" t="str">
        <x:v>Baby, Feminine &amp; Family Care / price_contribution</x:v>
      </x:c>
      <x:c r="D931" s="7" t="n">
        <x:v>45291</x:v>
      </x:c>
      <x:c r="E931" s="2" t="str">
        <x:v>Pre-earnings</x:v>
      </x:c>
      <x:c r="F931" s="7" t="n">
        <x:v>45313</x:v>
      </x:c>
      <x:c r="G931" s="2" t="str">
        <x:v>Broad market</x:v>
      </x:c>
      <x:c r="H931" s="8" t="n">
        <x:f>'Model fits'!AA625</x:f>
        <x:v>6.010964584557804</x:v>
      </x:c>
      <x:c r="I931" s="8" t="n">
        <x:f>0</x:f>
        <x:v>0</x:v>
      </x:c>
      <x:c r="J931" s="8" t="n">
        <x:v>0</x:v>
      </x:c>
      <x:c r="K931" s="8" t="n">
        <x:f>H931-I931*J931</x:f>
        <x:v>6.010964584557804</x:v>
      </x:c>
      <x:c r="L931" s="8" t="n">
        <x:f>'PG facts'!D87</x:f>
        <x:v>4</x:v>
      </x:c>
      <x:c r="M931" s="8" t="n">
        <x:f>K931-L931</x:f>
        <x:v>2.0109645845578044</x:v>
      </x:c>
      <x:c r="N931" s="8" t="n">
        <x:f>M931^2</x:f>
        <x:v>4.043978560345742</x:v>
      </x:c>
      <x:c r="O931" s="8" t="n">
        <x:f>ABS(M931)</x:f>
        <x:v>2.0109645845578044</x:v>
      </x:c>
      <x:c r="P931" s="7" t="n">
        <x:v>45314</x:v>
      </x:c>
    </x:row>
    <x:row r="932" ht="26" customHeight="1">
      <x:c r="A932" s="2"/>
      <x:c r="B932" s="2" t="n">
        <x:v>927</x:v>
      </x:c>
      <x:c r="C932" s="2" t="str">
        <x:v>Baby, Feminine &amp; Family Care / price_contribution</x:v>
      </x:c>
      <x:c r="D932" s="7" t="n">
        <x:v>45291</x:v>
      </x:c>
      <x:c r="E932" s="2" t="str">
        <x:v>Pre-earnings</x:v>
      </x:c>
      <x:c r="F932" s="7" t="n">
        <x:v>45313</x:v>
      </x:c>
      <x:c r="G932" s="2" t="str">
        <x:v>Broad lag 1</x:v>
      </x:c>
      <x:c r="H932" s="8" t="n">
        <x:f>'Model fits'!AA626</x:f>
        <x:v>7.396862193899729</x:v>
      </x:c>
      <x:c r="I932" s="8" t="n">
        <x:f>0</x:f>
        <x:v>0</x:v>
      </x:c>
      <x:c r="J932" s="8" t="n">
        <x:v>0</x:v>
      </x:c>
      <x:c r="K932" s="8" t="n">
        <x:f>H932-I932*J932</x:f>
        <x:v>7.396862193899729</x:v>
      </x:c>
      <x:c r="L932" s="8" t="n">
        <x:f>'PG facts'!D87</x:f>
        <x:v>4</x:v>
      </x:c>
      <x:c r="M932" s="8" t="n">
        <x:f>K932-L932</x:f>
        <x:v>3.3968621938997288</x:v>
      </x:c>
      <x:c r="N932" s="8" t="n">
        <x:f>M932^2</x:f>
        <x:v>11.538672764345279</x:v>
      </x:c>
      <x:c r="O932" s="8" t="n">
        <x:f>ABS(M932)</x:f>
        <x:v>3.3968621938997288</x:v>
      </x:c>
      <x:c r="P932" s="7" t="n">
        <x:v>45314</x:v>
      </x:c>
    </x:row>
    <x:row r="933" ht="26" customHeight="1">
      <x:c r="A933" s="2"/>
      <x:c r="B933" s="2" t="n">
        <x:v>928</x:v>
      </x:c>
      <x:c r="C933" s="2" t="str">
        <x:v>Baby, Feminine &amp; Family Care / price_contribution</x:v>
      </x:c>
      <x:c r="D933" s="7" t="n">
        <x:v>45291</x:v>
      </x:c>
      <x:c r="E933" s="2" t="str">
        <x:v>Pre-earnings</x:v>
      </x:c>
      <x:c r="F933" s="7" t="n">
        <x:v>45313</x:v>
      </x:c>
      <x:c r="G933" s="2" t="str">
        <x:v>Broad rolling 8</x:v>
      </x:c>
      <x:c r="H933" s="8" t="n">
        <x:f>'Model fits'!AA627</x:f>
        <x:v>6.532539641807482</x:v>
      </x:c>
      <x:c r="I933" s="8" t="n">
        <x:f>0</x:f>
        <x:v>0</x:v>
      </x:c>
      <x:c r="J933" s="8" t="n">
        <x:v>0</x:v>
      </x:c>
      <x:c r="K933" s="8" t="n">
        <x:f>H933-I933*J933</x:f>
        <x:v>6.532539641807482</x:v>
      </x:c>
      <x:c r="L933" s="8" t="n">
        <x:f>'PG facts'!D87</x:f>
        <x:v>4</x:v>
      </x:c>
      <x:c r="M933" s="8" t="n">
        <x:f>K933-L933</x:f>
        <x:v>2.5325396418074817</x:v>
      </x:c>
      <x:c r="N933" s="8" t="n">
        <x:f>M933^2</x:f>
        <x:v>6.413757037326368</x:v>
      </x:c>
      <x:c r="O933" s="8" t="n">
        <x:f>ABS(M933)</x:f>
        <x:v>2.5325396418074817</x:v>
      </x:c>
      <x:c r="P933" s="7" t="n">
        <x:v>45314</x:v>
      </x:c>
    </x:row>
    <x:row r="934" ht="26" customHeight="1">
      <x:c r="A934" s="2"/>
      <x:c r="B934" s="2" t="n">
        <x:v>929</x:v>
      </x:c>
      <x:c r="C934" s="2" t="str">
        <x:v>Baby, Feminine &amp; Family Care / price_contribution</x:v>
      </x:c>
      <x:c r="D934" s="7" t="n">
        <x:v>45291</x:v>
      </x:c>
      <x:c r="E934" s="2" t="str">
        <x:v>Pre-earnings</x:v>
      </x:c>
      <x:c r="F934" s="7" t="n">
        <x:v>45313</x:v>
      </x:c>
      <x:c r="G934" s="2" t="str">
        <x:v>Own history</x:v>
      </x:c>
      <x:c r="H934" s="8" t="n">
        <x:f>'Model fits'!AA628</x:f>
        <x:v>8.165354330708663</x:v>
      </x:c>
      <x:c r="I934" s="8" t="n">
        <x:f>0</x:f>
        <x:v>0</x:v>
      </x:c>
      <x:c r="J934" s="8" t="n">
        <x:v>0</x:v>
      </x:c>
      <x:c r="K934" s="8" t="n">
        <x:f>H934-I934*J934</x:f>
        <x:v>8.165354330708663</x:v>
      </x:c>
      <x:c r="L934" s="8" t="n">
        <x:f>'PG facts'!D87</x:f>
        <x:v>4</x:v>
      </x:c>
      <x:c r="M934" s="8" t="n">
        <x:f>K934-L934</x:f>
        <x:v>4.165354330708663</x:v>
      </x:c>
      <x:c r="N934" s="8" t="n">
        <x:f>M934^2</x:f>
        <x:v>17.350176700353412</x:v>
      </x:c>
      <x:c r="O934" s="8" t="n">
        <x:f>ABS(M934)</x:f>
        <x:v>4.165354330708663</x:v>
      </x:c>
      <x:c r="P934" s="7" t="n">
        <x:v>45314</x:v>
      </x:c>
    </x:row>
    <x:row r="935" ht="26" customHeight="1">
      <x:c r="A935" s="2"/>
      <x:c r="B935" s="2" t="n">
        <x:v>930</x:v>
      </x:c>
      <x:c r="C935" s="2" t="str">
        <x:v>Baby, Feminine &amp; Family Care / price_contribution</x:v>
      </x:c>
      <x:c r="D935" s="7" t="n">
        <x:v>45382</x:v>
      </x:c>
      <x:c r="E935" s="2" t="str">
        <x:v>Origin</x:v>
      </x:c>
      <x:c r="F935" s="7" t="n">
        <x:v>45292</x:v>
      </x:c>
      <x:c r="G935" s="2" t="str">
        <x:v>Last actual</x:v>
      </x:c>
      <x:c r="H935" s="8" t="n">
        <x:f>AVERAGE('PG facts'!D80)</x:f>
        <x:v>8</x:v>
      </x:c>
      <x:c r="I935" s="8" t="n">
        <x:f>0</x:f>
        <x:v>0</x:v>
      </x:c>
      <x:c r="J935" s="8" t="n">
        <x:v>0</x:v>
      </x:c>
      <x:c r="K935" s="8" t="n">
        <x:f>H935-I935*J935</x:f>
        <x:v>8</x:v>
      </x:c>
      <x:c r="L935" s="8" t="n">
        <x:f>'PG facts'!D94</x:f>
        <x:v>2</x:v>
      </x:c>
      <x:c r="M935" s="8" t="n">
        <x:f>K935-L935</x:f>
        <x:v>6</x:v>
      </x:c>
      <x:c r="N935" s="8" t="n">
        <x:f>M935^2</x:f>
        <x:v>36</x:v>
      </x:c>
      <x:c r="O935" s="8" t="n">
        <x:f>ABS(M935)</x:f>
        <x:v>6</x:v>
      </x:c>
      <x:c r="P935" s="7" t="n">
        <x:v>45401</x:v>
      </x:c>
    </x:row>
    <x:row r="936" ht="26" customHeight="1">
      <x:c r="A936" s="2"/>
      <x:c r="B936" s="2" t="n">
        <x:v>931</x:v>
      </x:c>
      <x:c r="C936" s="2" t="str">
        <x:v>Baby, Feminine &amp; Family Care / price_contribution</x:v>
      </x:c>
      <x:c r="D936" s="7" t="n">
        <x:v>45382</x:v>
      </x:c>
      <x:c r="E936" s="2" t="str">
        <x:v>Origin</x:v>
      </x:c>
      <x:c r="F936" s="7" t="n">
        <x:v>45292</x:v>
      </x:c>
      <x:c r="G936" s="2" t="str">
        <x:v>Four-quarter mean</x:v>
      </x:c>
      <x:c r="H936" s="8" t="n">
        <x:f>AVERAGE('PG facts'!D59,'PG facts'!D66,'PG facts'!D73,'PG facts'!D80)</x:f>
        <x:v>8</x:v>
      </x:c>
      <x:c r="I936" s="8" t="n">
        <x:f>0</x:f>
        <x:v>0</x:v>
      </x:c>
      <x:c r="J936" s="8" t="n">
        <x:v>0</x:v>
      </x:c>
      <x:c r="K936" s="8" t="n">
        <x:f>H936-I936*J936</x:f>
        <x:v>8</x:v>
      </x:c>
      <x:c r="L936" s="8" t="n">
        <x:f>'PG facts'!D94</x:f>
        <x:v>2</x:v>
      </x:c>
      <x:c r="M936" s="8" t="n">
        <x:f>K936-L936</x:f>
        <x:v>6</x:v>
      </x:c>
      <x:c r="N936" s="8" t="n">
        <x:f>M936^2</x:f>
        <x:v>36</x:v>
      </x:c>
      <x:c r="O936" s="8" t="n">
        <x:f>ABS(M936)</x:f>
        <x:v>6</x:v>
      </x:c>
      <x:c r="P936" s="7" t="n">
        <x:v>45401</x:v>
      </x:c>
    </x:row>
    <x:row r="937" ht="26" customHeight="1">
      <x:c r="A937" s="2"/>
      <x:c r="B937" s="2" t="n">
        <x:v>932</x:v>
      </x:c>
      <x:c r="C937" s="2" t="str">
        <x:v>Baby, Feminine &amp; Family Care / price_contribution</x:v>
      </x:c>
      <x:c r="D937" s="7" t="n">
        <x:v>45382</x:v>
      </x:c>
      <x:c r="E937" s="2" t="str">
        <x:v>Origin</x:v>
      </x:c>
      <x:c r="F937" s="7" t="n">
        <x:v>45292</x:v>
      </x:c>
      <x:c r="G937" s="2" t="str">
        <x:v>Broad market</x:v>
      </x:c>
      <x:c r="H937" s="8" t="n">
        <x:f>'Model fits'!AA629</x:f>
        <x:v>6.586377559921728</x:v>
      </x:c>
      <x:c r="I937" s="8" t="n">
        <x:f>0</x:f>
        <x:v>0</x:v>
      </x:c>
      <x:c r="J937" s="8" t="n">
        <x:v>0</x:v>
      </x:c>
      <x:c r="K937" s="8" t="n">
        <x:f>H937-I937*J937</x:f>
        <x:v>6.586377559921728</x:v>
      </x:c>
      <x:c r="L937" s="8" t="n">
        <x:f>'PG facts'!D94</x:f>
        <x:v>2</x:v>
      </x:c>
      <x:c r="M937" s="8" t="n">
        <x:f>K937-L937</x:f>
        <x:v>4.586377559921728</x:v>
      </x:c>
      <x:c r="N937" s="8" t="n">
        <x:f>M937^2</x:f>
        <x:v>21.034859122153588</x:v>
      </x:c>
      <x:c r="O937" s="8" t="n">
        <x:f>ABS(M937)</x:f>
        <x:v>4.586377559921728</x:v>
      </x:c>
      <x:c r="P937" s="7" t="n">
        <x:v>45401</x:v>
      </x:c>
    </x:row>
    <x:row r="938" ht="26" customHeight="1">
      <x:c r="A938" s="2"/>
      <x:c r="B938" s="2" t="n">
        <x:v>933</x:v>
      </x:c>
      <x:c r="C938" s="2" t="str">
        <x:v>Baby, Feminine &amp; Family Care / price_contribution</x:v>
      </x:c>
      <x:c r="D938" s="7" t="n">
        <x:v>45382</x:v>
      </x:c>
      <x:c r="E938" s="2" t="str">
        <x:v>Origin</x:v>
      </x:c>
      <x:c r="F938" s="7" t="n">
        <x:v>45292</x:v>
      </x:c>
      <x:c r="G938" s="2" t="str">
        <x:v>Broad rolling 8</x:v>
      </x:c>
      <x:c r="H938" s="8" t="n">
        <x:f>'Model fits'!AA630</x:f>
        <x:v>6.9290930225365575</x:v>
      </x:c>
      <x:c r="I938" s="8" t="n">
        <x:f>0</x:f>
        <x:v>0</x:v>
      </x:c>
      <x:c r="J938" s="8" t="n">
        <x:v>0</x:v>
      </x:c>
      <x:c r="K938" s="8" t="n">
        <x:f>H938-I938*J938</x:f>
        <x:v>6.9290930225365575</x:v>
      </x:c>
      <x:c r="L938" s="8" t="n">
        <x:f>'PG facts'!D94</x:f>
        <x:v>2</x:v>
      </x:c>
      <x:c r="M938" s="8" t="n">
        <x:f>K938-L938</x:f>
        <x:v>4.9290930225365575</x:v>
      </x:c>
      <x:c r="N938" s="8" t="n">
        <x:f>M938^2</x:f>
        <x:v>24.295958024818574</x:v>
      </x:c>
      <x:c r="O938" s="8" t="n">
        <x:f>ABS(M938)</x:f>
        <x:v>4.9290930225365575</x:v>
      </x:c>
      <x:c r="P938" s="7" t="n">
        <x:v>45401</x:v>
      </x:c>
    </x:row>
    <x:row r="939" ht="26" customHeight="1">
      <x:c r="A939" s="2"/>
      <x:c r="B939" s="2" t="n">
        <x:v>934</x:v>
      </x:c>
      <x:c r="C939" s="2" t="str">
        <x:v>Baby, Feminine &amp; Family Care / price_contribution</x:v>
      </x:c>
      <x:c r="D939" s="7" t="n">
        <x:v>45382</x:v>
      </x:c>
      <x:c r="E939" s="2" t="str">
        <x:v>Origin</x:v>
      </x:c>
      <x:c r="F939" s="7" t="n">
        <x:v>45292</x:v>
      </x:c>
      <x:c r="G939" s="2" t="str">
        <x:v>Own history</x:v>
      </x:c>
      <x:c r="H939" s="8" t="n">
        <x:f>'Model fits'!AA631</x:f>
        <x:v>8.192118226600986</x:v>
      </x:c>
      <x:c r="I939" s="8" t="n">
        <x:f>0</x:f>
        <x:v>0</x:v>
      </x:c>
      <x:c r="J939" s="8" t="n">
        <x:v>0</x:v>
      </x:c>
      <x:c r="K939" s="8" t="n">
        <x:f>H939-I939*J939</x:f>
        <x:v>8.192118226600986</x:v>
      </x:c>
      <x:c r="L939" s="8" t="n">
        <x:f>'PG facts'!D94</x:f>
        <x:v>2</x:v>
      </x:c>
      <x:c r="M939" s="8" t="n">
        <x:f>K939-L939</x:f>
        <x:v>6.192118226600986</x:v>
      </x:c>
      <x:c r="N939" s="8" t="n">
        <x:f>M939^2</x:f>
        <x:v>38.34232813220414</x:v>
      </x:c>
      <x:c r="O939" s="8" t="n">
        <x:f>ABS(M939)</x:f>
        <x:v>6.192118226600986</x:v>
      </x:c>
      <x:c r="P939" s="7" t="n">
        <x:v>45401</x:v>
      </x:c>
    </x:row>
    <x:row r="940" ht="26" customHeight="1">
      <x:c r="A940" s="2"/>
      <x:c r="B940" s="2" t="n">
        <x:v>935</x:v>
      </x:c>
      <x:c r="C940" s="2" t="str">
        <x:v>Baby, Feminine &amp; Family Care / price_contribution</x:v>
      </x:c>
      <x:c r="D940" s="7" t="n">
        <x:v>45382</x:v>
      </x:c>
      <x:c r="E940" s="2" t="str">
        <x:v>Prior report</x:v>
      </x:c>
      <x:c r="F940" s="7" t="n">
        <x:v>45314</x:v>
      </x:c>
      <x:c r="G940" s="2" t="str">
        <x:v>Last actual</x:v>
      </x:c>
      <x:c r="H940" s="8" t="n">
        <x:f>AVERAGE('PG facts'!D87)</x:f>
        <x:v>4</x:v>
      </x:c>
      <x:c r="I940" s="8" t="n">
        <x:f>0</x:f>
        <x:v>0</x:v>
      </x:c>
      <x:c r="J940" s="8" t="n">
        <x:v>0</x:v>
      </x:c>
      <x:c r="K940" s="8" t="n">
        <x:f>H940-I940*J940</x:f>
        <x:v>4</x:v>
      </x:c>
      <x:c r="L940" s="8" t="n">
        <x:f>'PG facts'!D94</x:f>
        <x:v>2</x:v>
      </x:c>
      <x:c r="M940" s="8" t="n">
        <x:f>K940-L940</x:f>
        <x:v>2</x:v>
      </x:c>
      <x:c r="N940" s="8" t="n">
        <x:f>M940^2</x:f>
        <x:v>4</x:v>
      </x:c>
      <x:c r="O940" s="8" t="n">
        <x:f>ABS(M940)</x:f>
        <x:v>2</x:v>
      </x:c>
      <x:c r="P940" s="7" t="n">
        <x:v>45401</x:v>
      </x:c>
    </x:row>
    <x:row r="941" ht="26" customHeight="1">
      <x:c r="A941" s="2"/>
      <x:c r="B941" s="2" t="n">
        <x:v>936</x:v>
      </x:c>
      <x:c r="C941" s="2" t="str">
        <x:v>Baby, Feminine &amp; Family Care / price_contribution</x:v>
      </x:c>
      <x:c r="D941" s="7" t="n">
        <x:v>45382</x:v>
      </x:c>
      <x:c r="E941" s="2" t="str">
        <x:v>Prior report</x:v>
      </x:c>
      <x:c r="F941" s="7" t="n">
        <x:v>45314</x:v>
      </x:c>
      <x:c r="G941" s="2" t="str">
        <x:v>Four-quarter mean</x:v>
      </x:c>
      <x:c r="H941" s="8" t="n">
        <x:f>AVERAGE('PG facts'!D66,'PG facts'!D73,'PG facts'!D80,'PG facts'!D87)</x:f>
        <x:v>7</x:v>
      </x:c>
      <x:c r="I941" s="8" t="n">
        <x:f>0</x:f>
        <x:v>0</x:v>
      </x:c>
      <x:c r="J941" s="8" t="n">
        <x:v>0</x:v>
      </x:c>
      <x:c r="K941" s="8" t="n">
        <x:f>H941-I941*J941</x:f>
        <x:v>7</x:v>
      </x:c>
      <x:c r="L941" s="8" t="n">
        <x:f>'PG facts'!D94</x:f>
        <x:v>2</x:v>
      </x:c>
      <x:c r="M941" s="8" t="n">
        <x:f>K941-L941</x:f>
        <x:v>5</x:v>
      </x:c>
      <x:c r="N941" s="8" t="n">
        <x:f>M941^2</x:f>
        <x:v>25</x:v>
      </x:c>
      <x:c r="O941" s="8" t="n">
        <x:f>ABS(M941)</x:f>
        <x:v>5</x:v>
      </x:c>
      <x:c r="P941" s="7" t="n">
        <x:v>45401</x:v>
      </x:c>
    </x:row>
    <x:row r="942" ht="26" customHeight="1">
      <x:c r="A942" s="2"/>
      <x:c r="B942" s="2" t="n">
        <x:v>937</x:v>
      </x:c>
      <x:c r="C942" s="2" t="str">
        <x:v>Baby, Feminine &amp; Family Care / price_contribution</x:v>
      </x:c>
      <x:c r="D942" s="7" t="n">
        <x:v>45382</x:v>
      </x:c>
      <x:c r="E942" s="2" t="str">
        <x:v>Prior report</x:v>
      </x:c>
      <x:c r="F942" s="7" t="n">
        <x:v>45314</x:v>
      </x:c>
      <x:c r="G942" s="2" t="str">
        <x:v>Broad market</x:v>
      </x:c>
      <x:c r="H942" s="8" t="n">
        <x:f>'Model fits'!AA632</x:f>
        <x:v>5.828563884778392</x:v>
      </x:c>
      <x:c r="I942" s="8" t="n">
        <x:f>0</x:f>
        <x:v>0</x:v>
      </x:c>
      <x:c r="J942" s="8" t="n">
        <x:v>0</x:v>
      </x:c>
      <x:c r="K942" s="8" t="n">
        <x:f>H942-I942*J942</x:f>
        <x:v>5.828563884778392</x:v>
      </x:c>
      <x:c r="L942" s="8" t="n">
        <x:f>'PG facts'!D94</x:f>
        <x:v>2</x:v>
      </x:c>
      <x:c r="M942" s="8" t="n">
        <x:f>K942-L942</x:f>
        <x:v>3.828563884778392</x:v>
      </x:c>
      <x:c r="N942" s="8" t="n">
        <x:f>M942^2</x:f>
        <x:v>14.657901419829411</x:v>
      </x:c>
      <x:c r="O942" s="8" t="n">
        <x:f>ABS(M942)</x:f>
        <x:v>3.828563884778392</x:v>
      </x:c>
      <x:c r="P942" s="7" t="n">
        <x:v>45401</x:v>
      </x:c>
    </x:row>
    <x:row r="943" ht="26" customHeight="1">
      <x:c r="A943" s="2"/>
      <x:c r="B943" s="2" t="n">
        <x:v>938</x:v>
      </x:c>
      <x:c r="C943" s="2" t="str">
        <x:v>Baby, Feminine &amp; Family Care / price_contribution</x:v>
      </x:c>
      <x:c r="D943" s="7" t="n">
        <x:v>45382</x:v>
      </x:c>
      <x:c r="E943" s="2" t="str">
        <x:v>Prior report</x:v>
      </x:c>
      <x:c r="F943" s="7" t="n">
        <x:v>45314</x:v>
      </x:c>
      <x:c r="G943" s="2" t="str">
        <x:v>Broad lag 1</x:v>
      </x:c>
      <x:c r="H943" s="8" t="n">
        <x:f>'Model fits'!AA633</x:f>
        <x:v>5.991726318145133</x:v>
      </x:c>
      <x:c r="I943" s="8" t="n">
        <x:f>0</x:f>
        <x:v>0</x:v>
      </x:c>
      <x:c r="J943" s="8" t="n">
        <x:v>0</x:v>
      </x:c>
      <x:c r="K943" s="8" t="n">
        <x:f>H943-I943*J943</x:f>
        <x:v>5.991726318145133</x:v>
      </x:c>
      <x:c r="L943" s="8" t="n">
        <x:f>'PG facts'!D94</x:f>
        <x:v>2</x:v>
      </x:c>
      <x:c r="M943" s="8" t="n">
        <x:f>K943-L943</x:f>
        <x:v>3.9917263181451332</x:v>
      </x:c>
      <x:c r="N943" s="8" t="n">
        <x:f>M943^2</x:f>
        <x:v>15.933878998972501</x:v>
      </x:c>
      <x:c r="O943" s="8" t="n">
        <x:f>ABS(M943)</x:f>
        <x:v>3.9917263181451332</x:v>
      </x:c>
      <x:c r="P943" s="7" t="n">
        <x:v>45401</x:v>
      </x:c>
    </x:row>
    <x:row r="944" ht="26" customHeight="1">
      <x:c r="A944" s="2"/>
      <x:c r="B944" s="2" t="n">
        <x:v>939</x:v>
      </x:c>
      <x:c r="C944" s="2" t="str">
        <x:v>Baby, Feminine &amp; Family Care / price_contribution</x:v>
      </x:c>
      <x:c r="D944" s="7" t="n">
        <x:v>45382</x:v>
      </x:c>
      <x:c r="E944" s="2" t="str">
        <x:v>Prior report</x:v>
      </x:c>
      <x:c r="F944" s="7" t="n">
        <x:v>45314</x:v>
      </x:c>
      <x:c r="G944" s="2" t="str">
        <x:v>Broad rolling 8</x:v>
      </x:c>
      <x:c r="H944" s="8" t="n">
        <x:f>'Model fits'!AA634</x:f>
        <x:v>6.373632343861488</x:v>
      </x:c>
      <x:c r="I944" s="8" t="n">
        <x:f>0</x:f>
        <x:v>0</x:v>
      </x:c>
      <x:c r="J944" s="8" t="n">
        <x:v>0</x:v>
      </x:c>
      <x:c r="K944" s="8" t="n">
        <x:f>H944-I944*J944</x:f>
        <x:v>6.373632343861488</x:v>
      </x:c>
      <x:c r="L944" s="8" t="n">
        <x:f>'PG facts'!D94</x:f>
        <x:v>2</x:v>
      </x:c>
      <x:c r="M944" s="8" t="n">
        <x:f>K944-L944</x:f>
        <x:v>4.373632343861488</x:v>
      </x:c>
      <x:c r="N944" s="8" t="n">
        <x:f>M944^2</x:f>
        <x:v>19.128659879271336</x:v>
      </x:c>
      <x:c r="O944" s="8" t="n">
        <x:f>ABS(M944)</x:f>
        <x:v>4.373632343861488</x:v>
      </x:c>
      <x:c r="P944" s="7" t="n">
        <x:v>45401</x:v>
      </x:c>
    </x:row>
    <x:row r="945" ht="26" customHeight="1">
      <x:c r="A945" s="2"/>
      <x:c r="B945" s="2" t="n">
        <x:v>940</x:v>
      </x:c>
      <x:c r="C945" s="2" t="str">
        <x:v>Baby, Feminine &amp; Family Care / price_contribution</x:v>
      </x:c>
      <x:c r="D945" s="7" t="n">
        <x:v>45382</x:v>
      </x:c>
      <x:c r="E945" s="2" t="str">
        <x:v>Prior report</x:v>
      </x:c>
      <x:c r="F945" s="7" t="n">
        <x:v>45314</x:v>
      </x:c>
      <x:c r="G945" s="2" t="str">
        <x:v>Own history</x:v>
      </x:c>
      <x:c r="H945" s="8" t="n">
        <x:f>'Model fits'!AA635</x:f>
        <x:v>4.449180327868852</x:v>
      </x:c>
      <x:c r="I945" s="8" t="n">
        <x:f>0</x:f>
        <x:v>0</x:v>
      </x:c>
      <x:c r="J945" s="8" t="n">
        <x:v>0</x:v>
      </x:c>
      <x:c r="K945" s="8" t="n">
        <x:f>H945-I945*J945</x:f>
        <x:v>4.449180327868852</x:v>
      </x:c>
      <x:c r="L945" s="8" t="n">
        <x:f>'PG facts'!D94</x:f>
        <x:v>2</x:v>
      </x:c>
      <x:c r="M945" s="8" t="n">
        <x:f>K945-L945</x:f>
        <x:v>2.449180327868852</x:v>
      </x:c>
      <x:c r="N945" s="8" t="n">
        <x:f>M945^2</x:f>
        <x:v>5.998484278419778</x:v>
      </x:c>
      <x:c r="O945" s="8" t="n">
        <x:f>ABS(M945)</x:f>
        <x:v>2.449180327868852</x:v>
      </x:c>
      <x:c r="P945" s="7" t="n">
        <x:v>45401</x:v>
      </x:c>
    </x:row>
    <x:row r="946" ht="26" customHeight="1">
      <x:c r="A946" s="2"/>
      <x:c r="B946" s="2" t="n">
        <x:v>941</x:v>
      </x:c>
      <x:c r="C946" s="2" t="str">
        <x:v>Baby, Feminine &amp; Family Care / price_contribution</x:v>
      </x:c>
      <x:c r="D946" s="7" t="n">
        <x:v>45382</x:v>
      </x:c>
      <x:c r="E946" s="2" t="str">
        <x:v>Pre-earnings</x:v>
      </x:c>
      <x:c r="F946" s="7" t="n">
        <x:v>45400</x:v>
      </x:c>
      <x:c r="G946" s="2" t="str">
        <x:v>Last actual</x:v>
      </x:c>
      <x:c r="H946" s="8" t="n">
        <x:f>AVERAGE('PG facts'!D87)</x:f>
        <x:v>4</x:v>
      </x:c>
      <x:c r="I946" s="8" t="n">
        <x:f>0</x:f>
        <x:v>0</x:v>
      </x:c>
      <x:c r="J946" s="8" t="n">
        <x:v>0</x:v>
      </x:c>
      <x:c r="K946" s="8" t="n">
        <x:f>H946-I946*J946</x:f>
        <x:v>4</x:v>
      </x:c>
      <x:c r="L946" s="8" t="n">
        <x:f>'PG facts'!D94</x:f>
        <x:v>2</x:v>
      </x:c>
      <x:c r="M946" s="8" t="n">
        <x:f>K946-L946</x:f>
        <x:v>2</x:v>
      </x:c>
      <x:c r="N946" s="8" t="n">
        <x:f>M946^2</x:f>
        <x:v>4</x:v>
      </x:c>
      <x:c r="O946" s="8" t="n">
        <x:f>ABS(M946)</x:f>
        <x:v>2</x:v>
      </x:c>
      <x:c r="P946" s="7" t="n">
        <x:v>45401</x:v>
      </x:c>
    </x:row>
    <x:row r="947" ht="26" customHeight="1">
      <x:c r="A947" s="2"/>
      <x:c r="B947" s="2" t="n">
        <x:v>942</x:v>
      </x:c>
      <x:c r="C947" s="2" t="str">
        <x:v>Baby, Feminine &amp; Family Care / price_contribution</x:v>
      </x:c>
      <x:c r="D947" s="7" t="n">
        <x:v>45382</x:v>
      </x:c>
      <x:c r="E947" s="2" t="str">
        <x:v>Pre-earnings</x:v>
      </x:c>
      <x:c r="F947" s="7" t="n">
        <x:v>45400</x:v>
      </x:c>
      <x:c r="G947" s="2" t="str">
        <x:v>Four-quarter mean</x:v>
      </x:c>
      <x:c r="H947" s="8" t="n">
        <x:f>AVERAGE('PG facts'!D66,'PG facts'!D73,'PG facts'!D80,'PG facts'!D87)</x:f>
        <x:v>7</x:v>
      </x:c>
      <x:c r="I947" s="8" t="n">
        <x:f>0</x:f>
        <x:v>0</x:v>
      </x:c>
      <x:c r="J947" s="8" t="n">
        <x:v>0</x:v>
      </x:c>
      <x:c r="K947" s="8" t="n">
        <x:f>H947-I947*J947</x:f>
        <x:v>7</x:v>
      </x:c>
      <x:c r="L947" s="8" t="n">
        <x:f>'PG facts'!D94</x:f>
        <x:v>2</x:v>
      </x:c>
      <x:c r="M947" s="8" t="n">
        <x:f>K947-L947</x:f>
        <x:v>5</x:v>
      </x:c>
      <x:c r="N947" s="8" t="n">
        <x:f>M947^2</x:f>
        <x:v>25</x:v>
      </x:c>
      <x:c r="O947" s="8" t="n">
        <x:f>ABS(M947)</x:f>
        <x:v>5</x:v>
      </x:c>
      <x:c r="P947" s="7" t="n">
        <x:v>45401</x:v>
      </x:c>
    </x:row>
    <x:row r="948" ht="26" customHeight="1">
      <x:c r="A948" s="2"/>
      <x:c r="B948" s="2" t="n">
        <x:v>943</x:v>
      </x:c>
      <x:c r="C948" s="2" t="str">
        <x:v>Baby, Feminine &amp; Family Care / price_contribution</x:v>
      </x:c>
      <x:c r="D948" s="7" t="n">
        <x:v>45382</x:v>
      </x:c>
      <x:c r="E948" s="2" t="str">
        <x:v>Pre-earnings</x:v>
      </x:c>
      <x:c r="F948" s="7" t="n">
        <x:v>45400</x:v>
      </x:c>
      <x:c r="G948" s="2" t="str">
        <x:v>Broad market</x:v>
      </x:c>
      <x:c r="H948" s="8" t="n">
        <x:f>'Model fits'!AA636</x:f>
        <x:v>5.30077975497492</x:v>
      </x:c>
      <x:c r="I948" s="8" t="n">
        <x:f>0</x:f>
        <x:v>0</x:v>
      </x:c>
      <x:c r="J948" s="8" t="n">
        <x:v>0</x:v>
      </x:c>
      <x:c r="K948" s="8" t="n">
        <x:f>H948-I948*J948</x:f>
        <x:v>5.30077975497492</x:v>
      </x:c>
      <x:c r="L948" s="8" t="n">
        <x:f>'PG facts'!D94</x:f>
        <x:v>2</x:v>
      </x:c>
      <x:c r="M948" s="8" t="n">
        <x:f>K948-L948</x:f>
        <x:v>3.3007797549749203</x:v>
      </x:c>
      <x:c r="N948" s="8" t="n">
        <x:f>M948^2</x:f>
        <x:v>10.895146990852295</x:v>
      </x:c>
      <x:c r="O948" s="8" t="n">
        <x:f>ABS(M948)</x:f>
        <x:v>3.3007797549749203</x:v>
      </x:c>
      <x:c r="P948" s="7" t="n">
        <x:v>45401</x:v>
      </x:c>
    </x:row>
    <x:row r="949" ht="26" customHeight="1">
      <x:c r="A949" s="2"/>
      <x:c r="B949" s="2" t="n">
        <x:v>944</x:v>
      </x:c>
      <x:c r="C949" s="2" t="str">
        <x:v>Baby, Feminine &amp; Family Care / price_contribution</x:v>
      </x:c>
      <x:c r="D949" s="7" t="n">
        <x:v>45382</x:v>
      </x:c>
      <x:c r="E949" s="2" t="str">
        <x:v>Pre-earnings</x:v>
      </x:c>
      <x:c r="F949" s="7" t="n">
        <x:v>45400</x:v>
      </x:c>
      <x:c r="G949" s="2" t="str">
        <x:v>Broad lag 1</x:v>
      </x:c>
      <x:c r="H949" s="8" t="n">
        <x:f>'Model fits'!AA637</x:f>
        <x:v>5.991726318145133</x:v>
      </x:c>
      <x:c r="I949" s="8" t="n">
        <x:f>0</x:f>
        <x:v>0</x:v>
      </x:c>
      <x:c r="J949" s="8" t="n">
        <x:v>0</x:v>
      </x:c>
      <x:c r="K949" s="8" t="n">
        <x:f>H949-I949*J949</x:f>
        <x:v>5.991726318145133</x:v>
      </x:c>
      <x:c r="L949" s="8" t="n">
        <x:f>'PG facts'!D94</x:f>
        <x:v>2</x:v>
      </x:c>
      <x:c r="M949" s="8" t="n">
        <x:f>K949-L949</x:f>
        <x:v>3.9917263181451332</x:v>
      </x:c>
      <x:c r="N949" s="8" t="n">
        <x:f>M949^2</x:f>
        <x:v>15.933878998972501</x:v>
      </x:c>
      <x:c r="O949" s="8" t="n">
        <x:f>ABS(M949)</x:f>
        <x:v>3.9917263181451332</x:v>
      </x:c>
      <x:c r="P949" s="7" t="n">
        <x:v>45401</x:v>
      </x:c>
    </x:row>
    <x:row r="950" ht="26" customHeight="1">
      <x:c r="A950" s="2"/>
      <x:c r="B950" s="2" t="n">
        <x:v>945</x:v>
      </x:c>
      <x:c r="C950" s="2" t="str">
        <x:v>Baby, Feminine &amp; Family Care / price_contribution</x:v>
      </x:c>
      <x:c r="D950" s="7" t="n">
        <x:v>45382</x:v>
      </x:c>
      <x:c r="E950" s="2" t="str">
        <x:v>Pre-earnings</x:v>
      </x:c>
      <x:c r="F950" s="7" t="n">
        <x:v>45400</x:v>
      </x:c>
      <x:c r="G950" s="2" t="str">
        <x:v>Broad rolling 8</x:v>
      </x:c>
      <x:c r="H950" s="8" t="n">
        <x:f>'Model fits'!AA638</x:f>
        <x:v>6.03817229465203</x:v>
      </x:c>
      <x:c r="I950" s="8" t="n">
        <x:f>0</x:f>
        <x:v>0</x:v>
      </x:c>
      <x:c r="J950" s="8" t="n">
        <x:v>0</x:v>
      </x:c>
      <x:c r="K950" s="8" t="n">
        <x:f>H950-I950*J950</x:f>
        <x:v>6.03817229465203</x:v>
      </x:c>
      <x:c r="L950" s="8" t="n">
        <x:f>'PG facts'!D94</x:f>
        <x:v>2</x:v>
      </x:c>
      <x:c r="M950" s="8" t="n">
        <x:f>K950-L950</x:f>
        <x:v>4.03817229465203</x:v>
      </x:c>
      <x:c r="N950" s="8" t="n">
        <x:f>M950^2</x:f>
        <x:v>16.30683548129524</x:v>
      </x:c>
      <x:c r="O950" s="8" t="n">
        <x:f>ABS(M950)</x:f>
        <x:v>4.03817229465203</x:v>
      </x:c>
      <x:c r="P950" s="7" t="n">
        <x:v>45401</x:v>
      </x:c>
    </x:row>
    <x:row r="951" ht="26" customHeight="1">
      <x:c r="A951" s="2"/>
      <x:c r="B951" s="2" t="n">
        <x:v>946</x:v>
      </x:c>
      <x:c r="C951" s="2" t="str">
        <x:v>Baby, Feminine &amp; Family Care / price_contribution</x:v>
      </x:c>
      <x:c r="D951" s="7" t="n">
        <x:v>45382</x:v>
      </x:c>
      <x:c r="E951" s="2" t="str">
        <x:v>Pre-earnings</x:v>
      </x:c>
      <x:c r="F951" s="7" t="n">
        <x:v>45400</x:v>
      </x:c>
      <x:c r="G951" s="2" t="str">
        <x:v>Own history</x:v>
      </x:c>
      <x:c r="H951" s="8" t="n">
        <x:f>'Model fits'!AA639</x:f>
        <x:v>4.449180327868852</x:v>
      </x:c>
      <x:c r="I951" s="8" t="n">
        <x:f>0</x:f>
        <x:v>0</x:v>
      </x:c>
      <x:c r="J951" s="8" t="n">
        <x:v>0</x:v>
      </x:c>
      <x:c r="K951" s="8" t="n">
        <x:f>H951-I951*J951</x:f>
        <x:v>4.449180327868852</x:v>
      </x:c>
      <x:c r="L951" s="8" t="n">
        <x:f>'PG facts'!D94</x:f>
        <x:v>2</x:v>
      </x:c>
      <x:c r="M951" s="8" t="n">
        <x:f>K951-L951</x:f>
        <x:v>2.449180327868852</x:v>
      </x:c>
      <x:c r="N951" s="8" t="n">
        <x:f>M951^2</x:f>
        <x:v>5.998484278419778</x:v>
      </x:c>
      <x:c r="O951" s="8" t="n">
        <x:f>ABS(M951)</x:f>
        <x:v>2.449180327868852</x:v>
      </x:c>
      <x:c r="P951" s="7" t="n">
        <x:v>45401</x:v>
      </x:c>
    </x:row>
    <x:row r="952" ht="26" customHeight="1">
      <x:c r="A952" s="2"/>
      <x:c r="B952" s="2" t="n">
        <x:v>947</x:v>
      </x:c>
      <x:c r="C952" s="2" t="str">
        <x:v>Baby, Feminine &amp; Family Care / price_contribution</x:v>
      </x:c>
      <x:c r="D952" s="7" t="n">
        <x:v>45473</x:v>
      </x:c>
      <x:c r="E952" s="2" t="str">
        <x:v>Origin</x:v>
      </x:c>
      <x:c r="F952" s="7" t="n">
        <x:v>45383</x:v>
      </x:c>
      <x:c r="G952" s="2" t="str">
        <x:v>Last actual</x:v>
      </x:c>
      <x:c r="H952" s="8" t="n">
        <x:f>AVERAGE('PG facts'!D87)</x:f>
        <x:v>4</x:v>
      </x:c>
      <x:c r="I952" s="8" t="n">
        <x:f>0</x:f>
        <x:v>0</x:v>
      </x:c>
      <x:c r="J952" s="8" t="n">
        <x:v>0</x:v>
      </x:c>
      <x:c r="K952" s="8" t="n">
        <x:f>H952-I952*J952</x:f>
        <x:v>4</x:v>
      </x:c>
      <x:c r="L952" s="8" t="n">
        <x:f>'PG facts'!D101</x:f>
        <x:v>0</x:v>
      </x:c>
      <x:c r="M952" s="8" t="n">
        <x:f>K952-L952</x:f>
        <x:v>4</x:v>
      </x:c>
      <x:c r="N952" s="8" t="n">
        <x:f>M952^2</x:f>
        <x:v>16</x:v>
      </x:c>
      <x:c r="O952" s="8" t="n">
        <x:f>ABS(M952)</x:f>
        <x:v>4</x:v>
      </x:c>
      <x:c r="P952" s="7" t="n">
        <x:v>45503</x:v>
      </x:c>
    </x:row>
    <x:row r="953" ht="26" customHeight="1">
      <x:c r="A953" s="2"/>
      <x:c r="B953" s="2" t="n">
        <x:v>948</x:v>
      </x:c>
      <x:c r="C953" s="2" t="str">
        <x:v>Baby, Feminine &amp; Family Care / price_contribution</x:v>
      </x:c>
      <x:c r="D953" s="7" t="n">
        <x:v>45473</x:v>
      </x:c>
      <x:c r="E953" s="2" t="str">
        <x:v>Origin</x:v>
      </x:c>
      <x:c r="F953" s="7" t="n">
        <x:v>45383</x:v>
      </x:c>
      <x:c r="G953" s="2" t="str">
        <x:v>Four-quarter mean</x:v>
      </x:c>
      <x:c r="H953" s="8" t="n">
        <x:f>AVERAGE('PG facts'!D66,'PG facts'!D73,'PG facts'!D80,'PG facts'!D87)</x:f>
        <x:v>7</x:v>
      </x:c>
      <x:c r="I953" s="8" t="n">
        <x:f>0</x:f>
        <x:v>0</x:v>
      </x:c>
      <x:c r="J953" s="8" t="n">
        <x:v>0</x:v>
      </x:c>
      <x:c r="K953" s="8" t="n">
        <x:f>H953-I953*J953</x:f>
        <x:v>7</x:v>
      </x:c>
      <x:c r="L953" s="8" t="n">
        <x:f>'PG facts'!D101</x:f>
        <x:v>0</x:v>
      </x:c>
      <x:c r="M953" s="8" t="n">
        <x:f>K953-L953</x:f>
        <x:v>7</x:v>
      </x:c>
      <x:c r="N953" s="8" t="n">
        <x:f>M953^2</x:f>
        <x:v>49</x:v>
      </x:c>
      <x:c r="O953" s="8" t="n">
        <x:f>ABS(M953)</x:f>
        <x:v>7</x:v>
      </x:c>
      <x:c r="P953" s="7" t="n">
        <x:v>45503</x:v>
      </x:c>
    </x:row>
    <x:row r="954" ht="26" customHeight="1">
      <x:c r="A954" s="2"/>
      <x:c r="B954" s="2" t="n">
        <x:v>949</x:v>
      </x:c>
      <x:c r="C954" s="2" t="str">
        <x:v>Baby, Feminine &amp; Family Care / price_contribution</x:v>
      </x:c>
      <x:c r="D954" s="7" t="n">
        <x:v>45473</x:v>
      </x:c>
      <x:c r="E954" s="2" t="str">
        <x:v>Origin</x:v>
      </x:c>
      <x:c r="F954" s="7" t="n">
        <x:v>45383</x:v>
      </x:c>
      <x:c r="G954" s="2" t="str">
        <x:v>Broad market</x:v>
      </x:c>
      <x:c r="H954" s="8" t="n">
        <x:f>'Model fits'!AA640</x:f>
        <x:v>5.256543318603244</x:v>
      </x:c>
      <x:c r="I954" s="8" t="n">
        <x:f>0</x:f>
        <x:v>0</x:v>
      </x:c>
      <x:c r="J954" s="8" t="n">
        <x:v>0</x:v>
      </x:c>
      <x:c r="K954" s="8" t="n">
        <x:f>H954-I954*J954</x:f>
        <x:v>5.256543318603244</x:v>
      </x:c>
      <x:c r="L954" s="8" t="n">
        <x:f>'PG facts'!D101</x:f>
        <x:v>0</x:v>
      </x:c>
      <x:c r="M954" s="8" t="n">
        <x:f>K954-L954</x:f>
        <x:v>5.256543318603244</x:v>
      </x:c>
      <x:c r="N954" s="8" t="n">
        <x:f>M954^2</x:f>
        <x:v>27.631247660352404</x:v>
      </x:c>
      <x:c r="O954" s="8" t="n">
        <x:f>ABS(M954)</x:f>
        <x:v>5.256543318603244</x:v>
      </x:c>
      <x:c r="P954" s="7" t="n">
        <x:v>45503</x:v>
      </x:c>
    </x:row>
    <x:row r="955" ht="26" customHeight="1">
      <x:c r="A955" s="2"/>
      <x:c r="B955" s="2" t="n">
        <x:v>950</x:v>
      </x:c>
      <x:c r="C955" s="2" t="str">
        <x:v>Baby, Feminine &amp; Family Care / price_contribution</x:v>
      </x:c>
      <x:c r="D955" s="7" t="n">
        <x:v>45473</x:v>
      </x:c>
      <x:c r="E955" s="2" t="str">
        <x:v>Origin</x:v>
      </x:c>
      <x:c r="F955" s="7" t="n">
        <x:v>45383</x:v>
      </x:c>
      <x:c r="G955" s="2" t="str">
        <x:v>Broad rolling 8</x:v>
      </x:c>
      <x:c r="H955" s="8" t="n">
        <x:f>'Model fits'!AA641</x:f>
        <x:v>6.010055577448693</x:v>
      </x:c>
      <x:c r="I955" s="8" t="n">
        <x:f>0</x:f>
        <x:v>0</x:v>
      </x:c>
      <x:c r="J955" s="8" t="n">
        <x:v>0</x:v>
      </x:c>
      <x:c r="K955" s="8" t="n">
        <x:f>H955-I955*J955</x:f>
        <x:v>6.010055577448693</x:v>
      </x:c>
      <x:c r="L955" s="8" t="n">
        <x:f>'PG facts'!D101</x:f>
        <x:v>0</x:v>
      </x:c>
      <x:c r="M955" s="8" t="n">
        <x:f>K955-L955</x:f>
        <x:v>6.010055577448693</x:v>
      </x:c>
      <x:c r="N955" s="8" t="n">
        <x:f>M955^2</x:f>
        <x:v>36.12076804402214</x:v>
      </x:c>
      <x:c r="O955" s="8" t="n">
        <x:f>ABS(M955)</x:f>
        <x:v>6.010055577448693</x:v>
      </x:c>
      <x:c r="P955" s="7" t="n">
        <x:v>45503</x:v>
      </x:c>
    </x:row>
    <x:row r="956" ht="26" customHeight="1">
      <x:c r="A956" s="2"/>
      <x:c r="B956" s="2" t="n">
        <x:v>951</x:v>
      </x:c>
      <x:c r="C956" s="2" t="str">
        <x:v>Baby, Feminine &amp; Family Care / price_contribution</x:v>
      </x:c>
      <x:c r="D956" s="7" t="n">
        <x:v>45473</x:v>
      </x:c>
      <x:c r="E956" s="2" t="str">
        <x:v>Origin</x:v>
      </x:c>
      <x:c r="F956" s="7" t="n">
        <x:v>45383</x:v>
      </x:c>
      <x:c r="G956" s="2" t="str">
        <x:v>Own history</x:v>
      </x:c>
      <x:c r="H956" s="8" t="n">
        <x:f>'Model fits'!AA642</x:f>
        <x:v>5.28740157480315</x:v>
      </x:c>
      <x:c r="I956" s="8" t="n">
        <x:f>0</x:f>
        <x:v>0</x:v>
      </x:c>
      <x:c r="J956" s="8" t="n">
        <x:v>0</x:v>
      </x:c>
      <x:c r="K956" s="8" t="n">
        <x:f>H956-I956*J956</x:f>
        <x:v>5.28740157480315</x:v>
      </x:c>
      <x:c r="L956" s="8" t="n">
        <x:f>'PG facts'!D101</x:f>
        <x:v>0</x:v>
      </x:c>
      <x:c r="M956" s="8" t="n">
        <x:f>K956-L956</x:f>
        <x:v>5.28740157480315</x:v>
      </x:c>
      <x:c r="N956" s="8" t="n">
        <x:f>M956^2</x:f>
        <x:v>27.956615413230832</x:v>
      </x:c>
      <x:c r="O956" s="8" t="n">
        <x:f>ABS(M956)</x:f>
        <x:v>5.28740157480315</x:v>
      </x:c>
      <x:c r="P956" s="7" t="n">
        <x:v>45503</x:v>
      </x:c>
    </x:row>
    <x:row r="957" ht="26" customHeight="1">
      <x:c r="A957" s="2"/>
      <x:c r="B957" s="2" t="n">
        <x:v>952</x:v>
      </x:c>
      <x:c r="C957" s="2" t="str">
        <x:v>Baby, Feminine &amp; Family Care / price_contribution</x:v>
      </x:c>
      <x:c r="D957" s="7" t="n">
        <x:v>45473</x:v>
      </x:c>
      <x:c r="E957" s="2" t="str">
        <x:v>Prior report</x:v>
      </x:c>
      <x:c r="F957" s="7" t="n">
        <x:v>45401</x:v>
      </x:c>
      <x:c r="G957" s="2" t="str">
        <x:v>Last actual</x:v>
      </x:c>
      <x:c r="H957" s="8" t="n">
        <x:f>AVERAGE('PG facts'!D94)</x:f>
        <x:v>2</x:v>
      </x:c>
      <x:c r="I957" s="8" t="n">
        <x:f>0</x:f>
        <x:v>0</x:v>
      </x:c>
      <x:c r="J957" s="8" t="n">
        <x:v>0</x:v>
      </x:c>
      <x:c r="K957" s="8" t="n">
        <x:f>H957-I957*J957</x:f>
        <x:v>2</x:v>
      </x:c>
      <x:c r="L957" s="8" t="n">
        <x:f>'PG facts'!D101</x:f>
        <x:v>0</x:v>
      </x:c>
      <x:c r="M957" s="8" t="n">
        <x:f>K957-L957</x:f>
        <x:v>2</x:v>
      </x:c>
      <x:c r="N957" s="8" t="n">
        <x:f>M957^2</x:f>
        <x:v>4</x:v>
      </x:c>
      <x:c r="O957" s="8" t="n">
        <x:f>ABS(M957)</x:f>
        <x:v>2</x:v>
      </x:c>
      <x:c r="P957" s="7" t="n">
        <x:v>45503</x:v>
      </x:c>
    </x:row>
    <x:row r="958" ht="26" customHeight="1">
      <x:c r="A958" s="2"/>
      <x:c r="B958" s="2" t="n">
        <x:v>953</x:v>
      </x:c>
      <x:c r="C958" s="2" t="str">
        <x:v>Baby, Feminine &amp; Family Care / price_contribution</x:v>
      </x:c>
      <x:c r="D958" s="7" t="n">
        <x:v>45473</x:v>
      </x:c>
      <x:c r="E958" s="2" t="str">
        <x:v>Prior report</x:v>
      </x:c>
      <x:c r="F958" s="7" t="n">
        <x:v>45401</x:v>
      </x:c>
      <x:c r="G958" s="2" t="str">
        <x:v>Four-quarter mean</x:v>
      </x:c>
      <x:c r="H958" s="8" t="n">
        <x:f>AVERAGE('PG facts'!D73,'PG facts'!D80,'PG facts'!D87,'PG facts'!D94)</x:f>
        <x:v>5.5</x:v>
      </x:c>
      <x:c r="I958" s="8" t="n">
        <x:f>0</x:f>
        <x:v>0</x:v>
      </x:c>
      <x:c r="J958" s="8" t="n">
        <x:v>0</x:v>
      </x:c>
      <x:c r="K958" s="8" t="n">
        <x:f>H958-I958*J958</x:f>
        <x:v>5.5</x:v>
      </x:c>
      <x:c r="L958" s="8" t="n">
        <x:f>'PG facts'!D101</x:f>
        <x:v>0</x:v>
      </x:c>
      <x:c r="M958" s="8" t="n">
        <x:f>K958-L958</x:f>
        <x:v>5.5</x:v>
      </x:c>
      <x:c r="N958" s="8" t="n">
        <x:f>M958^2</x:f>
        <x:v>30.25</x:v>
      </x:c>
      <x:c r="O958" s="8" t="n">
        <x:f>ABS(M958)</x:f>
        <x:v>5.5</x:v>
      </x:c>
      <x:c r="P958" s="7" t="n">
        <x:v>45503</x:v>
      </x:c>
    </x:row>
    <x:row r="959" ht="26" customHeight="1">
      <x:c r="A959" s="2"/>
      <x:c r="B959" s="2" t="n">
        <x:v>954</x:v>
      </x:c>
      <x:c r="C959" s="2" t="str">
        <x:v>Baby, Feminine &amp; Family Care / price_contribution</x:v>
      </x:c>
      <x:c r="D959" s="7" t="n">
        <x:v>45473</x:v>
      </x:c>
      <x:c r="E959" s="2" t="str">
        <x:v>Prior report</x:v>
      </x:c>
      <x:c r="F959" s="7" t="n">
        <x:v>45401</x:v>
      </x:c>
      <x:c r="G959" s="2" t="str">
        <x:v>Broad market</x:v>
      </x:c>
      <x:c r="H959" s="8" t="n">
        <x:f>'Model fits'!AA643</x:f>
        <x:v>5.044485484210915</x:v>
      </x:c>
      <x:c r="I959" s="8" t="n">
        <x:f>0</x:f>
        <x:v>0</x:v>
      </x:c>
      <x:c r="J959" s="8" t="n">
        <x:v>0</x:v>
      </x:c>
      <x:c r="K959" s="8" t="n">
        <x:f>H959-I959*J959</x:f>
        <x:v>5.044485484210915</x:v>
      </x:c>
      <x:c r="L959" s="8" t="n">
        <x:f>'PG facts'!D101</x:f>
        <x:v>0</x:v>
      </x:c>
      <x:c r="M959" s="8" t="n">
        <x:f>K959-L959</x:f>
        <x:v>5.044485484210915</x:v>
      </x:c>
      <x:c r="N959" s="8" t="n">
        <x:f>M959^2</x:f>
        <x:v>25.446833800414627</x:v>
      </x:c>
      <x:c r="O959" s="8" t="n">
        <x:f>ABS(M959)</x:f>
        <x:v>5.044485484210915</x:v>
      </x:c>
      <x:c r="P959" s="7" t="n">
        <x:v>45503</x:v>
      </x:c>
    </x:row>
    <x:row r="960" ht="26" customHeight="1">
      <x:c r="A960" s="2"/>
      <x:c r="B960" s="2" t="n">
        <x:v>955</x:v>
      </x:c>
      <x:c r="C960" s="2" t="str">
        <x:v>Baby, Feminine &amp; Family Care / price_contribution</x:v>
      </x:c>
      <x:c r="D960" s="7" t="n">
        <x:v>45473</x:v>
      </x:c>
      <x:c r="E960" s="2" t="str">
        <x:v>Prior report</x:v>
      </x:c>
      <x:c r="F960" s="7" t="n">
        <x:v>45401</x:v>
      </x:c>
      <x:c r="G960" s="2" t="str">
        <x:v>Broad lag 1</x:v>
      </x:c>
      <x:c r="H960" s="8" t="n">
        <x:f>'Model fits'!AA644</x:f>
        <x:v>5.228466087361397</x:v>
      </x:c>
      <x:c r="I960" s="8" t="n">
        <x:f>0</x:f>
        <x:v>0</x:v>
      </x:c>
      <x:c r="J960" s="8" t="n">
        <x:v>0</x:v>
      </x:c>
      <x:c r="K960" s="8" t="n">
        <x:f>H960-I960*J960</x:f>
        <x:v>5.228466087361397</x:v>
      </x:c>
      <x:c r="L960" s="8" t="n">
        <x:f>'PG facts'!D101</x:f>
        <x:v>0</x:v>
      </x:c>
      <x:c r="M960" s="8" t="n">
        <x:f>K960-L960</x:f>
        <x:v>5.228466087361397</x:v>
      </x:c>
      <x:c r="N960" s="8" t="n">
        <x:f>M960^2</x:f>
        <x:v>27.3368576266882</x:v>
      </x:c>
      <x:c r="O960" s="8" t="n">
        <x:f>ABS(M960)</x:f>
        <x:v>5.228466087361397</x:v>
      </x:c>
      <x:c r="P960" s="7" t="n">
        <x:v>45503</x:v>
      </x:c>
    </x:row>
    <x:row r="961" ht="26" customHeight="1">
      <x:c r="A961" s="2"/>
      <x:c r="B961" s="2" t="n">
        <x:v>956</x:v>
      </x:c>
      <x:c r="C961" s="2" t="str">
        <x:v>Baby, Feminine &amp; Family Care / price_contribution</x:v>
      </x:c>
      <x:c r="D961" s="7" t="n">
        <x:v>45473</x:v>
      </x:c>
      <x:c r="E961" s="2" t="str">
        <x:v>Prior report</x:v>
      </x:c>
      <x:c r="F961" s="7" t="n">
        <x:v>45401</x:v>
      </x:c>
      <x:c r="G961" s="2" t="str">
        <x:v>Broad rolling 8</x:v>
      </x:c>
      <x:c r="H961" s="8" t="n">
        <x:f>'Model fits'!AA645</x:f>
        <x:v>4.618126963949955</x:v>
      </x:c>
      <x:c r="I961" s="8" t="n">
        <x:f>0</x:f>
        <x:v>0</x:v>
      </x:c>
      <x:c r="J961" s="8" t="n">
        <x:v>0</x:v>
      </x:c>
      <x:c r="K961" s="8" t="n">
        <x:f>H961-I961*J961</x:f>
        <x:v>4.618126963949955</x:v>
      </x:c>
      <x:c r="L961" s="8" t="n">
        <x:f>'PG facts'!D101</x:f>
        <x:v>0</x:v>
      </x:c>
      <x:c r="M961" s="8" t="n">
        <x:f>K961-L961</x:f>
        <x:v>4.618126963949955</x:v>
      </x:c>
      <x:c r="N961" s="8" t="n">
        <x:f>M961^2</x:f>
        <x:v>21.327096655161625</x:v>
      </x:c>
      <x:c r="O961" s="8" t="n">
        <x:f>ABS(M961)</x:f>
        <x:v>4.618126963949955</x:v>
      </x:c>
      <x:c r="P961" s="7" t="n">
        <x:v>45503</x:v>
      </x:c>
    </x:row>
    <x:row r="962" ht="26" customHeight="1">
      <x:c r="A962" s="2"/>
      <x:c r="B962" s="2" t="n">
        <x:v>957</x:v>
      </x:c>
      <x:c r="C962" s="2" t="str">
        <x:v>Baby, Feminine &amp; Family Care / price_contribution</x:v>
      </x:c>
      <x:c r="D962" s="7" t="n">
        <x:v>45473</x:v>
      </x:c>
      <x:c r="E962" s="2" t="str">
        <x:v>Prior report</x:v>
      </x:c>
      <x:c r="F962" s="7" t="n">
        <x:v>45401</x:v>
      </x:c>
      <x:c r="G962" s="2" t="str">
        <x:v>Own history</x:v>
      </x:c>
      <x:c r="H962" s="8" t="n">
        <x:f>'Model fits'!AA646</x:f>
        <x:v>2.6696428571428568</x:v>
      </x:c>
      <x:c r="I962" s="8" t="n">
        <x:f>0</x:f>
        <x:v>0</x:v>
      </x:c>
      <x:c r="J962" s="8" t="n">
        <x:v>0</x:v>
      </x:c>
      <x:c r="K962" s="8" t="n">
        <x:f>H962-I962*J962</x:f>
        <x:v>2.6696428571428568</x:v>
      </x:c>
      <x:c r="L962" s="8" t="n">
        <x:f>'PG facts'!D101</x:f>
        <x:v>0</x:v>
      </x:c>
      <x:c r="M962" s="8" t="n">
        <x:f>K962-L962</x:f>
        <x:v>2.6696428571428568</x:v>
      </x:c>
      <x:c r="N962" s="8" t="n">
        <x:f>M962^2</x:f>
        <x:v>7.126992984693875</x:v>
      </x:c>
      <x:c r="O962" s="8" t="n">
        <x:f>ABS(M962)</x:f>
        <x:v>2.6696428571428568</x:v>
      </x:c>
      <x:c r="P962" s="7" t="n">
        <x:v>45503</x:v>
      </x:c>
    </x:row>
    <x:row r="963" ht="26" customHeight="1">
      <x:c r="A963" s="2"/>
      <x:c r="B963" s="2" t="n">
        <x:v>958</x:v>
      </x:c>
      <x:c r="C963" s="2" t="str">
        <x:v>Baby, Feminine &amp; Family Care / price_contribution</x:v>
      </x:c>
      <x:c r="D963" s="7" t="n">
        <x:v>45473</x:v>
      </x:c>
      <x:c r="E963" s="2" t="str">
        <x:v>Pre-earnings</x:v>
      </x:c>
      <x:c r="F963" s="7" t="n">
        <x:v>45502</x:v>
      </x:c>
      <x:c r="G963" s="2" t="str">
        <x:v>Last actual</x:v>
      </x:c>
      <x:c r="H963" s="8" t="n">
        <x:f>AVERAGE('PG facts'!D94)</x:f>
        <x:v>2</x:v>
      </x:c>
      <x:c r="I963" s="8" t="n">
        <x:f>0</x:f>
        <x:v>0</x:v>
      </x:c>
      <x:c r="J963" s="8" t="n">
        <x:v>0</x:v>
      </x:c>
      <x:c r="K963" s="8" t="n">
        <x:f>H963-I963*J963</x:f>
        <x:v>2</x:v>
      </x:c>
      <x:c r="L963" s="8" t="n">
        <x:f>'PG facts'!D101</x:f>
        <x:v>0</x:v>
      </x:c>
      <x:c r="M963" s="8" t="n">
        <x:f>K963-L963</x:f>
        <x:v>2</x:v>
      </x:c>
      <x:c r="N963" s="8" t="n">
        <x:f>M963^2</x:f>
        <x:v>4</x:v>
      </x:c>
      <x:c r="O963" s="8" t="n">
        <x:f>ABS(M963)</x:f>
        <x:v>2</x:v>
      </x:c>
      <x:c r="P963" s="7" t="n">
        <x:v>45503</x:v>
      </x:c>
    </x:row>
    <x:row r="964" ht="26" customHeight="1">
      <x:c r="A964" s="2"/>
      <x:c r="B964" s="2" t="n">
        <x:v>959</x:v>
      </x:c>
      <x:c r="C964" s="2" t="str">
        <x:v>Baby, Feminine &amp; Family Care / price_contribution</x:v>
      </x:c>
      <x:c r="D964" s="7" t="n">
        <x:v>45473</x:v>
      </x:c>
      <x:c r="E964" s="2" t="str">
        <x:v>Pre-earnings</x:v>
      </x:c>
      <x:c r="F964" s="7" t="n">
        <x:v>45502</x:v>
      </x:c>
      <x:c r="G964" s="2" t="str">
        <x:v>Four-quarter mean</x:v>
      </x:c>
      <x:c r="H964" s="8" t="n">
        <x:f>AVERAGE('PG facts'!D73,'PG facts'!D80,'PG facts'!D87,'PG facts'!D94)</x:f>
        <x:v>5.5</x:v>
      </x:c>
      <x:c r="I964" s="8" t="n">
        <x:f>0</x:f>
        <x:v>0</x:v>
      </x:c>
      <x:c r="J964" s="8" t="n">
        <x:v>0</x:v>
      </x:c>
      <x:c r="K964" s="8" t="n">
        <x:f>H964-I964*J964</x:f>
        <x:v>5.5</x:v>
      </x:c>
      <x:c r="L964" s="8" t="n">
        <x:f>'PG facts'!D101</x:f>
        <x:v>0</x:v>
      </x:c>
      <x:c r="M964" s="8" t="n">
        <x:f>K964-L964</x:f>
        <x:v>5.5</x:v>
      </x:c>
      <x:c r="N964" s="8" t="n">
        <x:f>M964^2</x:f>
        <x:v>30.25</x:v>
      </x:c>
      <x:c r="O964" s="8" t="n">
        <x:f>ABS(M964)</x:f>
        <x:v>5.5</x:v>
      </x:c>
      <x:c r="P964" s="7" t="n">
        <x:v>45503</x:v>
      </x:c>
    </x:row>
    <x:row r="965" ht="26" customHeight="1">
      <x:c r="A965" s="2"/>
      <x:c r="B965" s="2" t="n">
        <x:v>960</x:v>
      </x:c>
      <x:c r="C965" s="2" t="str">
        <x:v>Baby, Feminine &amp; Family Care / price_contribution</x:v>
      </x:c>
      <x:c r="D965" s="7" t="n">
        <x:v>45473</x:v>
      </x:c>
      <x:c r="E965" s="2" t="str">
        <x:v>Pre-earnings</x:v>
      </x:c>
      <x:c r="F965" s="7" t="n">
        <x:v>45502</x:v>
      </x:c>
      <x:c r="G965" s="2" t="str">
        <x:v>Broad market</x:v>
      </x:c>
      <x:c r="H965" s="8" t="n">
        <x:f>'Model fits'!AA647</x:f>
        <x:v>3.245111381716034</x:v>
      </x:c>
      <x:c r="I965" s="8" t="n">
        <x:f>0</x:f>
        <x:v>0</x:v>
      </x:c>
      <x:c r="J965" s="8" t="n">
        <x:v>0</x:v>
      </x:c>
      <x:c r="K965" s="8" t="n">
        <x:f>H965-I965*J965</x:f>
        <x:v>3.245111381716034</x:v>
      </x:c>
      <x:c r="L965" s="8" t="n">
        <x:f>'PG facts'!D101</x:f>
        <x:v>0</x:v>
      </x:c>
      <x:c r="M965" s="8" t="n">
        <x:f>K965-L965</x:f>
        <x:v>3.245111381716034</x:v>
      </x:c>
      <x:c r="N965" s="8" t="n">
        <x:f>M965^2</x:f>
        <x:v>10.530747879742947</x:v>
      </x:c>
      <x:c r="O965" s="8" t="n">
        <x:f>ABS(M965)</x:f>
        <x:v>3.245111381716034</x:v>
      </x:c>
      <x:c r="P965" s="7" t="n">
        <x:v>45503</x:v>
      </x:c>
    </x:row>
    <x:row r="966" ht="26" customHeight="1">
      <x:c r="A966" s="2"/>
      <x:c r="B966" s="2" t="n">
        <x:v>961</x:v>
      </x:c>
      <x:c r="C966" s="2" t="str">
        <x:v>Baby, Feminine &amp; Family Care / price_contribution</x:v>
      </x:c>
      <x:c r="D966" s="7" t="n">
        <x:v>45473</x:v>
      </x:c>
      <x:c r="E966" s="2" t="str">
        <x:v>Pre-earnings</x:v>
      </x:c>
      <x:c r="F966" s="7" t="n">
        <x:v>45502</x:v>
      </x:c>
      <x:c r="G966" s="2" t="str">
        <x:v>Broad lag 1</x:v>
      </x:c>
      <x:c r="H966" s="8" t="n">
        <x:f>'Model fits'!AA648</x:f>
        <x:v>5.228466087361397</x:v>
      </x:c>
      <x:c r="I966" s="8" t="n">
        <x:f>0</x:f>
        <x:v>0</x:v>
      </x:c>
      <x:c r="J966" s="8" t="n">
        <x:v>0</x:v>
      </x:c>
      <x:c r="K966" s="8" t="n">
        <x:f>H966-I966*J966</x:f>
        <x:v>5.228466087361397</x:v>
      </x:c>
      <x:c r="L966" s="8" t="n">
        <x:f>'PG facts'!D101</x:f>
        <x:v>0</x:v>
      </x:c>
      <x:c r="M966" s="8" t="n">
        <x:f>K966-L966</x:f>
        <x:v>5.228466087361397</x:v>
      </x:c>
      <x:c r="N966" s="8" t="n">
        <x:f>M966^2</x:f>
        <x:v>27.3368576266882</x:v>
      </x:c>
      <x:c r="O966" s="8" t="n">
        <x:f>ABS(M966)</x:f>
        <x:v>5.228466087361397</x:v>
      </x:c>
      <x:c r="P966" s="7" t="n">
        <x:v>45503</x:v>
      </x:c>
    </x:row>
    <x:row r="967" ht="26" customHeight="1">
      <x:c r="A967" s="2"/>
      <x:c r="B967" s="2" t="n">
        <x:v>962</x:v>
      </x:c>
      <x:c r="C967" s="2" t="str">
        <x:v>Baby, Feminine &amp; Family Care / price_contribution</x:v>
      </x:c>
      <x:c r="D967" s="7" t="n">
        <x:v>45473</x:v>
      </x:c>
      <x:c r="E967" s="2" t="str">
        <x:v>Pre-earnings</x:v>
      </x:c>
      <x:c r="F967" s="7" t="n">
        <x:v>45502</x:v>
      </x:c>
      <x:c r="G967" s="2" t="str">
        <x:v>Broad rolling 8</x:v>
      </x:c>
      <x:c r="H967" s="8" t="n">
        <x:f>'Model fits'!AA649</x:f>
        <x:v>2.500459913376229</x:v>
      </x:c>
      <x:c r="I967" s="8" t="n">
        <x:f>0</x:f>
        <x:v>0</x:v>
      </x:c>
      <x:c r="J967" s="8" t="n">
        <x:v>0</x:v>
      </x:c>
      <x:c r="K967" s="8" t="n">
        <x:f>H967-I967*J967</x:f>
        <x:v>2.500459913376229</x:v>
      </x:c>
      <x:c r="L967" s="8" t="n">
        <x:f>'PG facts'!D101</x:f>
        <x:v>0</x:v>
      </x:c>
      <x:c r="M967" s="8" t="n">
        <x:f>K967-L967</x:f>
        <x:v>2.500459913376229</x:v>
      </x:c>
      <x:c r="N967" s="8" t="n">
        <x:f>M967^2</x:f>
        <x:v>6.252299778401459</x:v>
      </x:c>
      <x:c r="O967" s="8" t="n">
        <x:f>ABS(M967)</x:f>
        <x:v>2.500459913376229</x:v>
      </x:c>
      <x:c r="P967" s="7" t="n">
        <x:v>45503</x:v>
      </x:c>
    </x:row>
    <x:row r="968" ht="26" customHeight="1">
      <x:c r="A968" s="2"/>
      <x:c r="B968" s="2" t="n">
        <x:v>963</x:v>
      </x:c>
      <x:c r="C968" s="2" t="str">
        <x:v>Baby, Feminine &amp; Family Care / price_contribution</x:v>
      </x:c>
      <x:c r="D968" s="7" t="n">
        <x:v>45473</x:v>
      </x:c>
      <x:c r="E968" s="2" t="str">
        <x:v>Pre-earnings</x:v>
      </x:c>
      <x:c r="F968" s="7" t="n">
        <x:v>45502</x:v>
      </x:c>
      <x:c r="G968" s="2" t="str">
        <x:v>Own history</x:v>
      </x:c>
      <x:c r="H968" s="8" t="n">
        <x:f>'Model fits'!AA650</x:f>
        <x:v>2.6696428571428568</x:v>
      </x:c>
      <x:c r="I968" s="8" t="n">
        <x:f>0</x:f>
        <x:v>0</x:v>
      </x:c>
      <x:c r="J968" s="8" t="n">
        <x:v>0</x:v>
      </x:c>
      <x:c r="K968" s="8" t="n">
        <x:f>H968-I968*J968</x:f>
        <x:v>2.6696428571428568</x:v>
      </x:c>
      <x:c r="L968" s="8" t="n">
        <x:f>'PG facts'!D101</x:f>
        <x:v>0</x:v>
      </x:c>
      <x:c r="M968" s="8" t="n">
        <x:f>K968-L968</x:f>
        <x:v>2.6696428571428568</x:v>
      </x:c>
      <x:c r="N968" s="8" t="n">
        <x:f>M968^2</x:f>
        <x:v>7.126992984693875</x:v>
      </x:c>
      <x:c r="O968" s="8" t="n">
        <x:f>ABS(M968)</x:f>
        <x:v>2.6696428571428568</x:v>
      </x:c>
      <x:c r="P968" s="7" t="n">
        <x:v>45503</x:v>
      </x:c>
    </x:row>
    <x:row r="969" ht="26" customHeight="1">
      <x:c r="A969" s="2"/>
      <x:c r="B969" s="2" t="n">
        <x:v>964</x:v>
      </x:c>
      <x:c r="C969" s="2" t="str">
        <x:v>Baby, Feminine &amp; Family Care / price_contribution</x:v>
      </x:c>
      <x:c r="D969" s="7" t="n">
        <x:v>45565</x:v>
      </x:c>
      <x:c r="E969" s="2" t="str">
        <x:v>Origin</x:v>
      </x:c>
      <x:c r="F969" s="7" t="n">
        <x:v>45474</x:v>
      </x:c>
      <x:c r="G969" s="2" t="str">
        <x:v>Last actual</x:v>
      </x:c>
      <x:c r="H969" s="8" t="n">
        <x:f>AVERAGE('PG facts'!D94)</x:f>
        <x:v>2</x:v>
      </x:c>
      <x:c r="I969" s="8" t="n">
        <x:f>0</x:f>
        <x:v>0</x:v>
      </x:c>
      <x:c r="J969" s="8" t="n">
        <x:v>0</x:v>
      </x:c>
      <x:c r="K969" s="8" t="n">
        <x:f>H969-I969*J969</x:f>
        <x:v>2</x:v>
      </x:c>
      <x:c r="L969" s="8" t="n">
        <x:f>'PG facts'!D108</x:f>
        <x:v>0</x:v>
      </x:c>
      <x:c r="M969" s="8" t="n">
        <x:f>K969-L969</x:f>
        <x:v>2</x:v>
      </x:c>
      <x:c r="N969" s="8" t="n">
        <x:f>M969^2</x:f>
        <x:v>4</x:v>
      </x:c>
      <x:c r="O969" s="8" t="n">
        <x:f>ABS(M969)</x:f>
        <x:v>2</x:v>
      </x:c>
      <x:c r="P969" s="7" t="n">
        <x:v>45583</x:v>
      </x:c>
    </x:row>
    <x:row r="970" ht="26" customHeight="1">
      <x:c r="A970" s="2"/>
      <x:c r="B970" s="2" t="n">
        <x:v>965</x:v>
      </x:c>
      <x:c r="C970" s="2" t="str">
        <x:v>Baby, Feminine &amp; Family Care / price_contribution</x:v>
      </x:c>
      <x:c r="D970" s="7" t="n">
        <x:v>45565</x:v>
      </x:c>
      <x:c r="E970" s="2" t="str">
        <x:v>Origin</x:v>
      </x:c>
      <x:c r="F970" s="7" t="n">
        <x:v>45474</x:v>
      </x:c>
      <x:c r="G970" s="2" t="str">
        <x:v>Four-quarter mean</x:v>
      </x:c>
      <x:c r="H970" s="8" t="n">
        <x:f>AVERAGE('PG facts'!D73,'PG facts'!D80,'PG facts'!D87,'PG facts'!D94)</x:f>
        <x:v>5.5</x:v>
      </x:c>
      <x:c r="I970" s="8" t="n">
        <x:f>0</x:f>
        <x:v>0</x:v>
      </x:c>
      <x:c r="J970" s="8" t="n">
        <x:v>0</x:v>
      </x:c>
      <x:c r="K970" s="8" t="n">
        <x:f>H970-I970*J970</x:f>
        <x:v>5.5</x:v>
      </x:c>
      <x:c r="L970" s="8" t="n">
        <x:f>'PG facts'!D108</x:f>
        <x:v>0</x:v>
      </x:c>
      <x:c r="M970" s="8" t="n">
        <x:f>K970-L970</x:f>
        <x:v>5.5</x:v>
      </x:c>
      <x:c r="N970" s="8" t="n">
        <x:f>M970^2</x:f>
        <x:v>30.25</x:v>
      </x:c>
      <x:c r="O970" s="8" t="n">
        <x:f>ABS(M970)</x:f>
        <x:v>5.5</x:v>
      </x:c>
      <x:c r="P970" s="7" t="n">
        <x:v>45583</x:v>
      </x:c>
    </x:row>
    <x:row r="971" ht="26" customHeight="1">
      <x:c r="A971" s="2"/>
      <x:c r="B971" s="2" t="n">
        <x:v>966</x:v>
      </x:c>
      <x:c r="C971" s="2" t="str">
        <x:v>Baby, Feminine &amp; Family Care / price_contribution</x:v>
      </x:c>
      <x:c r="D971" s="7" t="n">
        <x:v>45565</x:v>
      </x:c>
      <x:c r="E971" s="2" t="str">
        <x:v>Origin</x:v>
      </x:c>
      <x:c r="F971" s="7" t="n">
        <x:v>45474</x:v>
      </x:c>
      <x:c r="G971" s="2" t="str">
        <x:v>Broad market</x:v>
      </x:c>
      <x:c r="H971" s="8" t="n">
        <x:f>'Model fits'!AA651</x:f>
        <x:v>3.962186535057427</x:v>
      </x:c>
      <x:c r="I971" s="8" t="n">
        <x:f>0</x:f>
        <x:v>0</x:v>
      </x:c>
      <x:c r="J971" s="8" t="n">
        <x:v>0</x:v>
      </x:c>
      <x:c r="K971" s="8" t="n">
        <x:f>H971-I971*J971</x:f>
        <x:v>3.962186535057427</x:v>
      </x:c>
      <x:c r="L971" s="8" t="n">
        <x:f>'PG facts'!D108</x:f>
        <x:v>0</x:v>
      </x:c>
      <x:c r="M971" s="8" t="n">
        <x:f>K971-L971</x:f>
        <x:v>3.962186535057427</x:v>
      </x:c>
      <x:c r="N971" s="8" t="n">
        <x:f>M971^2</x:f>
        <x:v>15.698922138590378</x:v>
      </x:c>
      <x:c r="O971" s="8" t="n">
        <x:f>ABS(M971)</x:f>
        <x:v>3.962186535057427</x:v>
      </x:c>
      <x:c r="P971" s="7" t="n">
        <x:v>45583</x:v>
      </x:c>
    </x:row>
    <x:row r="972" ht="26" customHeight="1">
      <x:c r="A972" s="2"/>
      <x:c r="B972" s="2" t="n">
        <x:v>967</x:v>
      </x:c>
      <x:c r="C972" s="2" t="str">
        <x:v>Baby, Feminine &amp; Family Care / price_contribution</x:v>
      </x:c>
      <x:c r="D972" s="7" t="n">
        <x:v>45565</x:v>
      </x:c>
      <x:c r="E972" s="2" t="str">
        <x:v>Origin</x:v>
      </x:c>
      <x:c r="F972" s="7" t="n">
        <x:v>45474</x:v>
      </x:c>
      <x:c r="G972" s="2" t="str">
        <x:v>Broad rolling 8</x:v>
      </x:c>
      <x:c r="H972" s="8" t="n">
        <x:f>'Model fits'!AA652</x:f>
        <x:v>3.3443791533556704</x:v>
      </x:c>
      <x:c r="I972" s="8" t="n">
        <x:f>0</x:f>
        <x:v>0</x:v>
      </x:c>
      <x:c r="J972" s="8" t="n">
        <x:v>0</x:v>
      </x:c>
      <x:c r="K972" s="8" t="n">
        <x:f>H972-I972*J972</x:f>
        <x:v>3.3443791533556704</x:v>
      </x:c>
      <x:c r="L972" s="8" t="n">
        <x:f>'PG facts'!D108</x:f>
        <x:v>0</x:v>
      </x:c>
      <x:c r="M972" s="8" t="n">
        <x:f>K972-L972</x:f>
        <x:v>3.3443791533556704</x:v>
      </x:c>
      <x:c r="N972" s="8" t="n">
        <x:f>M972^2</x:f>
        <x:v>11.18487192139999</x:v>
      </x:c>
      <x:c r="O972" s="8" t="n">
        <x:f>ABS(M972)</x:f>
        <x:v>3.3443791533556704</x:v>
      </x:c>
      <x:c r="P972" s="7" t="n">
        <x:v>45583</x:v>
      </x:c>
    </x:row>
    <x:row r="973" ht="26" customHeight="1">
      <x:c r="A973" s="2"/>
      <x:c r="B973" s="2" t="n">
        <x:v>968</x:v>
      </x:c>
      <x:c r="C973" s="2" t="str">
        <x:v>Baby, Feminine &amp; Family Care / price_contribution</x:v>
      </x:c>
      <x:c r="D973" s="7" t="n">
        <x:v>45565</x:v>
      </x:c>
      <x:c r="E973" s="2" t="str">
        <x:v>Origin</x:v>
      </x:c>
      <x:c r="F973" s="7" t="n">
        <x:v>45474</x:v>
      </x:c>
      <x:c r="G973" s="2" t="str">
        <x:v>Own history</x:v>
      </x:c>
      <x:c r="H973" s="8" t="n">
        <x:f>'Model fits'!AA653</x:f>
        <x:v>4.20327868852459</x:v>
      </x:c>
      <x:c r="I973" s="8" t="n">
        <x:f>0</x:f>
        <x:v>0</x:v>
      </x:c>
      <x:c r="J973" s="8" t="n">
        <x:v>0</x:v>
      </x:c>
      <x:c r="K973" s="8" t="n">
        <x:f>H973-I973*J973</x:f>
        <x:v>4.20327868852459</x:v>
      </x:c>
      <x:c r="L973" s="8" t="n">
        <x:f>'PG facts'!D108</x:f>
        <x:v>0</x:v>
      </x:c>
      <x:c r="M973" s="8" t="n">
        <x:f>K973-L973</x:f>
        <x:v>4.20327868852459</x:v>
      </x:c>
      <x:c r="N973" s="8" t="n">
        <x:f>M973^2</x:f>
        <x:v>17.667551733405</x:v>
      </x:c>
      <x:c r="O973" s="8" t="n">
        <x:f>ABS(M973)</x:f>
        <x:v>4.20327868852459</x:v>
      </x:c>
      <x:c r="P973" s="7" t="n">
        <x:v>45583</x:v>
      </x:c>
    </x:row>
    <x:row r="974" ht="26" customHeight="1">
      <x:c r="A974" s="2"/>
      <x:c r="B974" s="2" t="n">
        <x:v>969</x:v>
      </x:c>
      <x:c r="C974" s="2" t="str">
        <x:v>Baby, Feminine &amp; Family Care / price_contribution</x:v>
      </x:c>
      <x:c r="D974" s="7" t="n">
        <x:v>45565</x:v>
      </x:c>
      <x:c r="E974" s="2" t="str">
        <x:v>Prior report</x:v>
      </x:c>
      <x:c r="F974" s="7" t="n">
        <x:v>45503</x:v>
      </x:c>
      <x:c r="G974" s="2" t="str">
        <x:v>Last actual</x:v>
      </x:c>
      <x:c r="H974" s="8" t="n">
        <x:f>AVERAGE('PG facts'!D101)</x:f>
        <x:v>0</x:v>
      </x:c>
      <x:c r="I974" s="8" t="n">
        <x:f>0</x:f>
        <x:v>0</x:v>
      </x:c>
      <x:c r="J974" s="8" t="n">
        <x:v>0</x:v>
      </x:c>
      <x:c r="K974" s="8" t="n">
        <x:f>H974-I974*J974</x:f>
        <x:v>0</x:v>
      </x:c>
      <x:c r="L974" s="8" t="n">
        <x:f>'PG facts'!D108</x:f>
        <x:v>0</x:v>
      </x:c>
      <x:c r="M974" s="8" t="n">
        <x:f>K974-L974</x:f>
        <x:v>0</x:v>
      </x:c>
      <x:c r="N974" s="8" t="n">
        <x:f>M974^2</x:f>
        <x:v>0</x:v>
      </x:c>
      <x:c r="O974" s="8" t="n">
        <x:f>ABS(M974)</x:f>
        <x:v>0</x:v>
      </x:c>
      <x:c r="P974" s="7" t="n">
        <x:v>45583</x:v>
      </x:c>
    </x:row>
    <x:row r="975" ht="26" customHeight="1">
      <x:c r="A975" s="2"/>
      <x:c r="B975" s="2" t="n">
        <x:v>970</x:v>
      </x:c>
      <x:c r="C975" s="2" t="str">
        <x:v>Baby, Feminine &amp; Family Care / price_contribution</x:v>
      </x:c>
      <x:c r="D975" s="7" t="n">
        <x:v>45565</x:v>
      </x:c>
      <x:c r="E975" s="2" t="str">
        <x:v>Prior report</x:v>
      </x:c>
      <x:c r="F975" s="7" t="n">
        <x:v>45503</x:v>
      </x:c>
      <x:c r="G975" s="2" t="str">
        <x:v>Four-quarter mean</x:v>
      </x:c>
      <x:c r="H975" s="8" t="n">
        <x:f>AVERAGE('PG facts'!D80,'PG facts'!D87,'PG facts'!D94,'PG facts'!D101)</x:f>
        <x:v>3.5</x:v>
      </x:c>
      <x:c r="I975" s="8" t="n">
        <x:f>0</x:f>
        <x:v>0</x:v>
      </x:c>
      <x:c r="J975" s="8" t="n">
        <x:v>0</x:v>
      </x:c>
      <x:c r="K975" s="8" t="n">
        <x:f>H975-I975*J975</x:f>
        <x:v>3.5</x:v>
      </x:c>
      <x:c r="L975" s="8" t="n">
        <x:f>'PG facts'!D108</x:f>
        <x:v>0</x:v>
      </x:c>
      <x:c r="M975" s="8" t="n">
        <x:f>K975-L975</x:f>
        <x:v>3.5</x:v>
      </x:c>
      <x:c r="N975" s="8" t="n">
        <x:f>M975^2</x:f>
        <x:v>12.25</x:v>
      </x:c>
      <x:c r="O975" s="8" t="n">
        <x:f>ABS(M975)</x:f>
        <x:v>3.5</x:v>
      </x:c>
      <x:c r="P975" s="7" t="n">
        <x:v>45583</x:v>
      </x:c>
    </x:row>
    <x:row r="976" ht="26" customHeight="1">
      <x:c r="A976" s="2"/>
      <x:c r="B976" s="2" t="n">
        <x:v>971</x:v>
      </x:c>
      <x:c r="C976" s="2" t="str">
        <x:v>Baby, Feminine &amp; Family Care / price_contribution</x:v>
      </x:c>
      <x:c r="D976" s="7" t="n">
        <x:v>45565</x:v>
      </x:c>
      <x:c r="E976" s="2" t="str">
        <x:v>Prior report</x:v>
      </x:c>
      <x:c r="F976" s="7" t="n">
        <x:v>45503</x:v>
      </x:c>
      <x:c r="G976" s="2" t="str">
        <x:v>Broad market</x:v>
      </x:c>
      <x:c r="H976" s="8" t="n">
        <x:f>'Model fits'!AA654</x:f>
        <x:v>2.946072363719214</x:v>
      </x:c>
      <x:c r="I976" s="8" t="n">
        <x:f>0</x:f>
        <x:v>0</x:v>
      </x:c>
      <x:c r="J976" s="8" t="n">
        <x:v>0</x:v>
      </x:c>
      <x:c r="K976" s="8" t="n">
        <x:f>H976-I976*J976</x:f>
        <x:v>2.946072363719214</x:v>
      </x:c>
      <x:c r="L976" s="8" t="n">
        <x:f>'PG facts'!D108</x:f>
        <x:v>0</x:v>
      </x:c>
      <x:c r="M976" s="8" t="n">
        <x:f>K976-L976</x:f>
        <x:v>2.946072363719214</x:v>
      </x:c>
      <x:c r="N976" s="8" t="n">
        <x:f>M976^2</x:f>
        <x:v>8.679342372270115</x:v>
      </x:c>
      <x:c r="O976" s="8" t="n">
        <x:f>ABS(M976)</x:f>
        <x:v>2.946072363719214</x:v>
      </x:c>
      <x:c r="P976" s="7" t="n">
        <x:v>45583</x:v>
      </x:c>
    </x:row>
    <x:row r="977" ht="26" customHeight="1">
      <x:c r="A977" s="2"/>
      <x:c r="B977" s="2" t="n">
        <x:v>972</x:v>
      </x:c>
      <x:c r="C977" s="2" t="str">
        <x:v>Baby, Feminine &amp; Family Care / price_contribution</x:v>
      </x:c>
      <x:c r="D977" s="7" t="n">
        <x:v>45565</x:v>
      </x:c>
      <x:c r="E977" s="2" t="str">
        <x:v>Prior report</x:v>
      </x:c>
      <x:c r="F977" s="7" t="n">
        <x:v>45503</x:v>
      </x:c>
      <x:c r="G977" s="2" t="str">
        <x:v>Broad lag 1</x:v>
      </x:c>
      <x:c r="H977" s="8" t="n">
        <x:f>'Model fits'!AA655</x:f>
        <x:v>3.470386877979104</x:v>
      </x:c>
      <x:c r="I977" s="8" t="n">
        <x:f>0</x:f>
        <x:v>0</x:v>
      </x:c>
      <x:c r="J977" s="8" t="n">
        <x:v>0</x:v>
      </x:c>
      <x:c r="K977" s="8" t="n">
        <x:f>H977-I977*J977</x:f>
        <x:v>3.470386877979104</x:v>
      </x:c>
      <x:c r="L977" s="8" t="n">
        <x:f>'PG facts'!D108</x:f>
        <x:v>0</x:v>
      </x:c>
      <x:c r="M977" s="8" t="n">
        <x:f>K977-L977</x:f>
        <x:v>3.470386877979104</x:v>
      </x:c>
      <x:c r="N977" s="8" t="n">
        <x:f>M977^2</x:f>
        <x:v>12.043585082849553</x:v>
      </x:c>
      <x:c r="O977" s="8" t="n">
        <x:f>ABS(M977)</x:f>
        <x:v>3.470386877979104</x:v>
      </x:c>
      <x:c r="P977" s="7" t="n">
        <x:v>45583</x:v>
      </x:c>
    </x:row>
    <x:row r="978" ht="26" customHeight="1">
      <x:c r="A978" s="2"/>
      <x:c r="B978" s="2" t="n">
        <x:v>973</x:v>
      </x:c>
      <x:c r="C978" s="2" t="str">
        <x:v>Baby, Feminine &amp; Family Care / price_contribution</x:v>
      </x:c>
      <x:c r="D978" s="7" t="n">
        <x:v>45565</x:v>
      </x:c>
      <x:c r="E978" s="2" t="str">
        <x:v>Prior report</x:v>
      </x:c>
      <x:c r="F978" s="7" t="n">
        <x:v>45503</x:v>
      </x:c>
      <x:c r="G978" s="2" t="str">
        <x:v>Broad rolling 8</x:v>
      </x:c>
      <x:c r="H978" s="8" t="n">
        <x:f>'Model fits'!AA656</x:f>
        <x:v>0.03975144081018511</x:v>
      </x:c>
      <x:c r="I978" s="8" t="n">
        <x:f>0</x:f>
        <x:v>0</x:v>
      </x:c>
      <x:c r="J978" s="8" t="n">
        <x:v>0</x:v>
      </x:c>
      <x:c r="K978" s="8" t="n">
        <x:f>H978-I978*J978</x:f>
        <x:v>0.03975144081018511</x:v>
      </x:c>
      <x:c r="L978" s="8" t="n">
        <x:f>'PG facts'!D108</x:f>
        <x:v>0</x:v>
      </x:c>
      <x:c r="M978" s="8" t="n">
        <x:f>K978-L978</x:f>
        <x:v>0.03975144081018511</x:v>
      </x:c>
      <x:c r="N978" s="8" t="n">
        <x:f>M978^2</x:f>
        <x:v>0.0015801770464856505</x:v>
      </x:c>
      <x:c r="O978" s="8" t="n">
        <x:f>ABS(M978)</x:f>
        <x:v>0.03975144081018511</x:v>
      </x:c>
      <x:c r="P978" s="7" t="n">
        <x:v>45583</x:v>
      </x:c>
    </x:row>
    <x:row r="979" ht="26" customHeight="1">
      <x:c r="A979" s="2"/>
      <x:c r="B979" s="2" t="n">
        <x:v>974</x:v>
      </x:c>
      <x:c r="C979" s="2" t="str">
        <x:v>Baby, Feminine &amp; Family Care / price_contribution</x:v>
      </x:c>
      <x:c r="D979" s="7" t="n">
        <x:v>45565</x:v>
      </x:c>
      <x:c r="E979" s="2" t="str">
        <x:v>Prior report</x:v>
      </x:c>
      <x:c r="F979" s="7" t="n">
        <x:v>45503</x:v>
      </x:c>
      <x:c r="G979" s="2" t="str">
        <x:v>Own history</x:v>
      </x:c>
      <x:c r="H979" s="8" t="n">
        <x:f>'Model fits'!AA657</x:f>
        <x:v>0.6176470588235285</x:v>
      </x:c>
      <x:c r="I979" s="8" t="n">
        <x:f>0</x:f>
        <x:v>0</x:v>
      </x:c>
      <x:c r="J979" s="8" t="n">
        <x:v>0</x:v>
      </x:c>
      <x:c r="K979" s="8" t="n">
        <x:f>H979-I979*J979</x:f>
        <x:v>0.6176470588235285</x:v>
      </x:c>
      <x:c r="L979" s="8" t="n">
        <x:f>'PG facts'!D108</x:f>
        <x:v>0</x:v>
      </x:c>
      <x:c r="M979" s="8" t="n">
        <x:f>K979-L979</x:f>
        <x:v>0.6176470588235285</x:v>
      </x:c>
      <x:c r="N979" s="8" t="n">
        <x:f>M979^2</x:f>
        <x:v>0.38148788927335536</x:v>
      </x:c>
      <x:c r="O979" s="8" t="n">
        <x:f>ABS(M979)</x:f>
        <x:v>0.6176470588235285</x:v>
      </x:c>
      <x:c r="P979" s="7" t="n">
        <x:v>45583</x:v>
      </x:c>
    </x:row>
    <x:row r="980" ht="26" customHeight="1">
      <x:c r="A980" s="2"/>
      <x:c r="B980" s="2" t="n">
        <x:v>975</x:v>
      </x:c>
      <x:c r="C980" s="2" t="str">
        <x:v>Baby, Feminine &amp; Family Care / price_contribution</x:v>
      </x:c>
      <x:c r="D980" s="7" t="n">
        <x:v>45565</x:v>
      </x:c>
      <x:c r="E980" s="2" t="str">
        <x:v>Pre-earnings</x:v>
      </x:c>
      <x:c r="F980" s="7" t="n">
        <x:v>45582</x:v>
      </x:c>
      <x:c r="G980" s="2" t="str">
        <x:v>Last actual</x:v>
      </x:c>
      <x:c r="H980" s="8" t="n">
        <x:f>AVERAGE('PG facts'!D101)</x:f>
        <x:v>0</x:v>
      </x:c>
      <x:c r="I980" s="8" t="n">
        <x:f>0</x:f>
        <x:v>0</x:v>
      </x:c>
      <x:c r="J980" s="8" t="n">
        <x:v>0</x:v>
      </x:c>
      <x:c r="K980" s="8" t="n">
        <x:f>H980-I980*J980</x:f>
        <x:v>0</x:v>
      </x:c>
      <x:c r="L980" s="8" t="n">
        <x:f>'PG facts'!D108</x:f>
        <x:v>0</x:v>
      </x:c>
      <x:c r="M980" s="8" t="n">
        <x:f>K980-L980</x:f>
        <x:v>0</x:v>
      </x:c>
      <x:c r="N980" s="8" t="n">
        <x:f>M980^2</x:f>
        <x:v>0</x:v>
      </x:c>
      <x:c r="O980" s="8" t="n">
        <x:f>ABS(M980)</x:f>
        <x:v>0</x:v>
      </x:c>
      <x:c r="P980" s="7" t="n">
        <x:v>45583</x:v>
      </x:c>
    </x:row>
    <x:row r="981" ht="26" customHeight="1">
      <x:c r="A981" s="2"/>
      <x:c r="B981" s="2" t="n">
        <x:v>976</x:v>
      </x:c>
      <x:c r="C981" s="2" t="str">
        <x:v>Baby, Feminine &amp; Family Care / price_contribution</x:v>
      </x:c>
      <x:c r="D981" s="7" t="n">
        <x:v>45565</x:v>
      </x:c>
      <x:c r="E981" s="2" t="str">
        <x:v>Pre-earnings</x:v>
      </x:c>
      <x:c r="F981" s="7" t="n">
        <x:v>45582</x:v>
      </x:c>
      <x:c r="G981" s="2" t="str">
        <x:v>Four-quarter mean</x:v>
      </x:c>
      <x:c r="H981" s="8" t="n">
        <x:f>AVERAGE('PG facts'!D80,'PG facts'!D87,'PG facts'!D94,'PG facts'!D101)</x:f>
        <x:v>3.5</x:v>
      </x:c>
      <x:c r="I981" s="8" t="n">
        <x:f>0</x:f>
        <x:v>0</x:v>
      </x:c>
      <x:c r="J981" s="8" t="n">
        <x:v>0</x:v>
      </x:c>
      <x:c r="K981" s="8" t="n">
        <x:f>H981-I981*J981</x:f>
        <x:v>3.5</x:v>
      </x:c>
      <x:c r="L981" s="8" t="n">
        <x:f>'PG facts'!D108</x:f>
        <x:v>0</x:v>
      </x:c>
      <x:c r="M981" s="8" t="n">
        <x:f>K981-L981</x:f>
        <x:v>3.5</x:v>
      </x:c>
      <x:c r="N981" s="8" t="n">
        <x:f>M981^2</x:f>
        <x:v>12.25</x:v>
      </x:c>
      <x:c r="O981" s="8" t="n">
        <x:f>ABS(M981)</x:f>
        <x:v>3.5</x:v>
      </x:c>
      <x:c r="P981" s="7" t="n">
        <x:v>45583</x:v>
      </x:c>
    </x:row>
    <x:row r="982" ht="26" customHeight="1">
      <x:c r="A982" s="2"/>
      <x:c r="B982" s="2" t="n">
        <x:v>977</x:v>
      </x:c>
      <x:c r="C982" s="2" t="str">
        <x:v>Baby, Feminine &amp; Family Care / price_contribution</x:v>
      </x:c>
      <x:c r="D982" s="7" t="n">
        <x:v>45565</x:v>
      </x:c>
      <x:c r="E982" s="2" t="str">
        <x:v>Pre-earnings</x:v>
      </x:c>
      <x:c r="F982" s="7" t="n">
        <x:v>45582</x:v>
      </x:c>
      <x:c r="G982" s="2" t="str">
        <x:v>Broad market</x:v>
      </x:c>
      <x:c r="H982" s="8" t="n">
        <x:f>'Model fits'!AA658</x:f>
        <x:v>1.7214828501238852</x:v>
      </x:c>
      <x:c r="I982" s="8" t="n">
        <x:f>0</x:f>
        <x:v>0</x:v>
      </x:c>
      <x:c r="J982" s="8" t="n">
        <x:v>0</x:v>
      </x:c>
      <x:c r="K982" s="8" t="n">
        <x:f>H982-I982*J982</x:f>
        <x:v>1.7214828501238852</x:v>
      </x:c>
      <x:c r="L982" s="8" t="n">
        <x:f>'PG facts'!D108</x:f>
        <x:v>0</x:v>
      </x:c>
      <x:c r="M982" s="8" t="n">
        <x:f>K982-L982</x:f>
        <x:v>1.7214828501238852</x:v>
      </x:c>
      <x:c r="N982" s="8" t="n">
        <x:f>M982^2</x:f>
        <x:v>2.963503203270655</x:v>
      </x:c>
      <x:c r="O982" s="8" t="n">
        <x:f>ABS(M982)</x:f>
        <x:v>1.7214828501238852</x:v>
      </x:c>
      <x:c r="P982" s="7" t="n">
        <x:v>45583</x:v>
      </x:c>
    </x:row>
    <x:row r="983" ht="26" customHeight="1">
      <x:c r="A983" s="2"/>
      <x:c r="B983" s="2" t="n">
        <x:v>978</x:v>
      </x:c>
      <x:c r="C983" s="2" t="str">
        <x:v>Baby, Feminine &amp; Family Care / price_contribution</x:v>
      </x:c>
      <x:c r="D983" s="7" t="n">
        <x:v>45565</x:v>
      </x:c>
      <x:c r="E983" s="2" t="str">
        <x:v>Pre-earnings</x:v>
      </x:c>
      <x:c r="F983" s="7" t="n">
        <x:v>45582</x:v>
      </x:c>
      <x:c r="G983" s="2" t="str">
        <x:v>Broad lag 1</x:v>
      </x:c>
      <x:c r="H983" s="8" t="n">
        <x:f>'Model fits'!AA659</x:f>
        <x:v>3.470386877979104</x:v>
      </x:c>
      <x:c r="I983" s="8" t="n">
        <x:f>0</x:f>
        <x:v>0</x:v>
      </x:c>
      <x:c r="J983" s="8" t="n">
        <x:v>0</x:v>
      </x:c>
      <x:c r="K983" s="8" t="n">
        <x:f>H983-I983*J983</x:f>
        <x:v>3.470386877979104</x:v>
      </x:c>
      <x:c r="L983" s="8" t="n">
        <x:f>'PG facts'!D108</x:f>
        <x:v>0</x:v>
      </x:c>
      <x:c r="M983" s="8" t="n">
        <x:f>K983-L983</x:f>
        <x:v>3.470386877979104</x:v>
      </x:c>
      <x:c r="N983" s="8" t="n">
        <x:f>M983^2</x:f>
        <x:v>12.043585082849553</x:v>
      </x:c>
      <x:c r="O983" s="8" t="n">
        <x:f>ABS(M983)</x:f>
        <x:v>3.470386877979104</x:v>
      </x:c>
      <x:c r="P983" s="7" t="n">
        <x:v>45583</x:v>
      </x:c>
    </x:row>
    <x:row r="984" ht="26" customHeight="1">
      <x:c r="A984" s="2"/>
      <x:c r="B984" s="2" t="n">
        <x:v>979</x:v>
      </x:c>
      <x:c r="C984" s="2" t="str">
        <x:v>Baby, Feminine &amp; Family Care / price_contribution</x:v>
      </x:c>
      <x:c r="D984" s="7" t="n">
        <x:v>45565</x:v>
      </x:c>
      <x:c r="E984" s="2" t="str">
        <x:v>Pre-earnings</x:v>
      </x:c>
      <x:c r="F984" s="7" t="n">
        <x:v>45582</x:v>
      </x:c>
      <x:c r="G984" s="2" t="str">
        <x:v>Broad rolling 8</x:v>
      </x:c>
      <x:c r="H984" s="8" t="n">
        <x:f>'Model fits'!AA660</x:f>
        <x:v>-2.0079748005904614</x:v>
      </x:c>
      <x:c r="I984" s="8" t="n">
        <x:f>0</x:f>
        <x:v>0</x:v>
      </x:c>
      <x:c r="J984" s="8" t="n">
        <x:v>0</x:v>
      </x:c>
      <x:c r="K984" s="8" t="n">
        <x:f>H984-I984*J984</x:f>
        <x:v>-2.0079748005904614</x:v>
      </x:c>
      <x:c r="L984" s="8" t="n">
        <x:f>'PG facts'!D108</x:f>
        <x:v>0</x:v>
      </x:c>
      <x:c r="M984" s="8" t="n">
        <x:f>K984-L984</x:f>
        <x:v>-2.0079748005904614</x:v>
      </x:c>
      <x:c r="N984" s="8" t="n">
        <x:f>M984^2</x:f>
        <x:v>4.031962799806303</x:v>
      </x:c>
      <x:c r="O984" s="8" t="n">
        <x:f>ABS(M984)</x:f>
        <x:v>2.0079748005904614</x:v>
      </x:c>
      <x:c r="P984" s="7" t="n">
        <x:v>45583</x:v>
      </x:c>
    </x:row>
    <x:row r="985" ht="26" customHeight="1">
      <x:c r="A985" s="2"/>
      <x:c r="B985" s="2" t="n">
        <x:v>980</x:v>
      </x:c>
      <x:c r="C985" s="2" t="str">
        <x:v>Baby, Feminine &amp; Family Care / price_contribution</x:v>
      </x:c>
      <x:c r="D985" s="7" t="n">
        <x:v>45565</x:v>
      </x:c>
      <x:c r="E985" s="2" t="str">
        <x:v>Pre-earnings</x:v>
      </x:c>
      <x:c r="F985" s="7" t="n">
        <x:v>45582</x:v>
      </x:c>
      <x:c r="G985" s="2" t="str">
        <x:v>Own history</x:v>
      </x:c>
      <x:c r="H985" s="8" t="n">
        <x:f>'Model fits'!AA661</x:f>
        <x:v>0.6176470588235285</x:v>
      </x:c>
      <x:c r="I985" s="8" t="n">
        <x:f>0</x:f>
        <x:v>0</x:v>
      </x:c>
      <x:c r="J985" s="8" t="n">
        <x:v>0</x:v>
      </x:c>
      <x:c r="K985" s="8" t="n">
        <x:f>H985-I985*J985</x:f>
        <x:v>0.6176470588235285</x:v>
      </x:c>
      <x:c r="L985" s="8" t="n">
        <x:f>'PG facts'!D108</x:f>
        <x:v>0</x:v>
      </x:c>
      <x:c r="M985" s="8" t="n">
        <x:f>K985-L985</x:f>
        <x:v>0.6176470588235285</x:v>
      </x:c>
      <x:c r="N985" s="8" t="n">
        <x:f>M985^2</x:f>
        <x:v>0.38148788927335536</x:v>
      </x:c>
      <x:c r="O985" s="8" t="n">
        <x:f>ABS(M985)</x:f>
        <x:v>0.6176470588235285</x:v>
      </x:c>
      <x:c r="P985" s="7" t="n">
        <x:v>45583</x:v>
      </x:c>
    </x:row>
    <x:row r="986" ht="26" customHeight="1">
      <x:c r="A986" s="2"/>
      <x:c r="B986" s="2" t="n">
        <x:v>981</x:v>
      </x:c>
      <x:c r="C986" s="2" t="str">
        <x:v>Baby, Feminine &amp; Family Care / price_contribution</x:v>
      </x:c>
      <x:c r="D986" s="7" t="n">
        <x:v>45657</x:v>
      </x:c>
      <x:c r="E986" s="2" t="str">
        <x:v>Origin</x:v>
      </x:c>
      <x:c r="F986" s="7" t="n">
        <x:v>45566</x:v>
      </x:c>
      <x:c r="G986" s="2" t="str">
        <x:v>Last actual</x:v>
      </x:c>
      <x:c r="H986" s="8" t="n">
        <x:f>AVERAGE('PG facts'!D101)</x:f>
        <x:v>0</x:v>
      </x:c>
      <x:c r="I986" s="8" t="n">
        <x:f>0</x:f>
        <x:v>0</x:v>
      </x:c>
      <x:c r="J986" s="8" t="n">
        <x:v>0</x:v>
      </x:c>
      <x:c r="K986" s="8" t="n">
        <x:f>H986-I986*J986</x:f>
        <x:v>0</x:v>
      </x:c>
      <x:c r="L986" s="8" t="n">
        <x:f>'PG facts'!D115</x:f>
        <x:v>-1</x:v>
      </x:c>
      <x:c r="M986" s="8" t="n">
        <x:f>K986-L986</x:f>
        <x:v>1</x:v>
      </x:c>
      <x:c r="N986" s="8" t="n">
        <x:f>M986^2</x:f>
        <x:v>1</x:v>
      </x:c>
      <x:c r="O986" s="8" t="n">
        <x:f>ABS(M986)</x:f>
        <x:v>1</x:v>
      </x:c>
      <x:c r="P986" s="7" t="n">
        <x:v>45679</x:v>
      </x:c>
    </x:row>
    <x:row r="987" ht="26" customHeight="1">
      <x:c r="A987" s="2"/>
      <x:c r="B987" s="2" t="n">
        <x:v>982</x:v>
      </x:c>
      <x:c r="C987" s="2" t="str">
        <x:v>Baby, Feminine &amp; Family Care / price_contribution</x:v>
      </x:c>
      <x:c r="D987" s="7" t="n">
        <x:v>45657</x:v>
      </x:c>
      <x:c r="E987" s="2" t="str">
        <x:v>Origin</x:v>
      </x:c>
      <x:c r="F987" s="7" t="n">
        <x:v>45566</x:v>
      </x:c>
      <x:c r="G987" s="2" t="str">
        <x:v>Four-quarter mean</x:v>
      </x:c>
      <x:c r="H987" s="8" t="n">
        <x:f>AVERAGE('PG facts'!D80,'PG facts'!D87,'PG facts'!D94,'PG facts'!D101)</x:f>
        <x:v>3.5</x:v>
      </x:c>
      <x:c r="I987" s="8" t="n">
        <x:f>0</x:f>
        <x:v>0</x:v>
      </x:c>
      <x:c r="J987" s="8" t="n">
        <x:v>0</x:v>
      </x:c>
      <x:c r="K987" s="8" t="n">
        <x:f>H987-I987*J987</x:f>
        <x:v>3.5</x:v>
      </x:c>
      <x:c r="L987" s="8" t="n">
        <x:f>'PG facts'!D115</x:f>
        <x:v>-1</x:v>
      </x:c>
      <x:c r="M987" s="8" t="n">
        <x:f>K987-L987</x:f>
        <x:v>4.5</x:v>
      </x:c>
      <x:c r="N987" s="8" t="n">
        <x:f>M987^2</x:f>
        <x:v>20.25</x:v>
      </x:c>
      <x:c r="O987" s="8" t="n">
        <x:f>ABS(M987)</x:f>
        <x:v>4.5</x:v>
      </x:c>
      <x:c r="P987" s="7" t="n">
        <x:v>45679</x:v>
      </x:c>
    </x:row>
    <x:row r="988" ht="26" customHeight="1">
      <x:c r="A988" s="2"/>
      <x:c r="B988" s="2" t="n">
        <x:v>983</x:v>
      </x:c>
      <x:c r="C988" s="2" t="str">
        <x:v>Baby, Feminine &amp; Family Care / price_contribution</x:v>
      </x:c>
      <x:c r="D988" s="7" t="n">
        <x:v>45657</x:v>
      </x:c>
      <x:c r="E988" s="2" t="str">
        <x:v>Origin</x:v>
      </x:c>
      <x:c r="F988" s="7" t="n">
        <x:v>45566</x:v>
      </x:c>
      <x:c r="G988" s="2" t="str">
        <x:v>Broad market</x:v>
      </x:c>
      <x:c r="H988" s="8" t="n">
        <x:f>'Model fits'!AA662</x:f>
        <x:v>2.006497605326928</x:v>
      </x:c>
      <x:c r="I988" s="8" t="n">
        <x:f>0</x:f>
        <x:v>0</x:v>
      </x:c>
      <x:c r="J988" s="8" t="n">
        <x:v>0</x:v>
      </x:c>
      <x:c r="K988" s="8" t="n">
        <x:f>H988-I988*J988</x:f>
        <x:v>2.006497605326928</x:v>
      </x:c>
      <x:c r="L988" s="8" t="n">
        <x:f>'PG facts'!D115</x:f>
        <x:v>-1</x:v>
      </x:c>
      <x:c r="M988" s="8" t="n">
        <x:f>K988-L988</x:f>
        <x:v>3.006497605326928</x:v>
      </x:c>
      <x:c r="N988" s="8" t="n">
        <x:f>M988^2</x:f>
        <x:v>9.039027850836554</x:v>
      </x:c>
      <x:c r="O988" s="8" t="n">
        <x:f>ABS(M988)</x:f>
        <x:v>3.006497605326928</x:v>
      </x:c>
      <x:c r="P988" s="7" t="n">
        <x:v>45679</x:v>
      </x:c>
    </x:row>
    <x:row r="989" ht="26" customHeight="1">
      <x:c r="A989" s="2"/>
      <x:c r="B989" s="2" t="n">
        <x:v>984</x:v>
      </x:c>
      <x:c r="C989" s="2" t="str">
        <x:v>Baby, Feminine &amp; Family Care / price_contribution</x:v>
      </x:c>
      <x:c r="D989" s="7" t="n">
        <x:v>45657</x:v>
      </x:c>
      <x:c r="E989" s="2" t="str">
        <x:v>Origin</x:v>
      </x:c>
      <x:c r="F989" s="7" t="n">
        <x:v>45566</x:v>
      </x:c>
      <x:c r="G989" s="2" t="str">
        <x:v>Broad rolling 8</x:v>
      </x:c>
      <x:c r="H989" s="8" t="n">
        <x:f>'Model fits'!AA663</x:f>
        <x:v>-1.5313806546042366</x:v>
      </x:c>
      <x:c r="I989" s="8" t="n">
        <x:f>0</x:f>
        <x:v>0</x:v>
      </x:c>
      <x:c r="J989" s="8" t="n">
        <x:v>0</x:v>
      </x:c>
      <x:c r="K989" s="8" t="n">
        <x:f>H989-I989*J989</x:f>
        <x:v>-1.5313806546042366</x:v>
      </x:c>
      <x:c r="L989" s="8" t="n">
        <x:f>'PG facts'!D115</x:f>
        <x:v>-1</x:v>
      </x:c>
      <x:c r="M989" s="8" t="n">
        <x:f>K989-L989</x:f>
        <x:v>-0.5313806546042366</x:v>
      </x:c>
      <x:c r="N989" s="8" t="n">
        <x:f>M989^2</x:f>
        <x:v>0.28236540008762695</x:v>
      </x:c>
      <x:c r="O989" s="8" t="n">
        <x:f>ABS(M989)</x:f>
        <x:v>0.5313806546042366</x:v>
      </x:c>
      <x:c r="P989" s="7" t="n">
        <x:v>45679</x:v>
      </x:c>
    </x:row>
    <x:row r="990" ht="26" customHeight="1">
      <x:c r="A990" s="2"/>
      <x:c r="B990" s="2" t="n">
        <x:v>985</x:v>
      </x:c>
      <x:c r="C990" s="2" t="str">
        <x:v>Baby, Feminine &amp; Family Care / price_contribution</x:v>
      </x:c>
      <x:c r="D990" s="7" t="n">
        <x:v>45657</x:v>
      </x:c>
      <x:c r="E990" s="2" t="str">
        <x:v>Origin</x:v>
      </x:c>
      <x:c r="F990" s="7" t="n">
        <x:v>45566</x:v>
      </x:c>
      <x:c r="G990" s="2" t="str">
        <x:v>Own history</x:v>
      </x:c>
      <x:c r="H990" s="8" t="n">
        <x:f>'Model fits'!AA664</x:f>
        <x:v>2.818452380952381</x:v>
      </x:c>
      <x:c r="I990" s="8" t="n">
        <x:f>0</x:f>
        <x:v>0</x:v>
      </x:c>
      <x:c r="J990" s="8" t="n">
        <x:v>0</x:v>
      </x:c>
      <x:c r="K990" s="8" t="n">
        <x:f>H990-I990*J990</x:f>
        <x:v>2.818452380952381</x:v>
      </x:c>
      <x:c r="L990" s="8" t="n">
        <x:f>'PG facts'!D115</x:f>
        <x:v>-1</x:v>
      </x:c>
      <x:c r="M990" s="8" t="n">
        <x:f>K990-L990</x:f>
        <x:v>3.818452380952381</x:v>
      </x:c>
      <x:c r="N990" s="8" t="n">
        <x:f>M990^2</x:f>
        <x:v>14.580578585600907</x:v>
      </x:c>
      <x:c r="O990" s="8" t="n">
        <x:f>ABS(M990)</x:f>
        <x:v>3.818452380952381</x:v>
      </x:c>
      <x:c r="P990" s="7" t="n">
        <x:v>45679</x:v>
      </x:c>
    </x:row>
    <x:row r="991" ht="26" customHeight="1">
      <x:c r="A991" s="2"/>
      <x:c r="B991" s="2" t="n">
        <x:v>986</x:v>
      </x:c>
      <x:c r="C991" s="2" t="str">
        <x:v>Baby, Feminine &amp; Family Care / price_contribution</x:v>
      </x:c>
      <x:c r="D991" s="7" t="n">
        <x:v>45657</x:v>
      </x:c>
      <x:c r="E991" s="2" t="str">
        <x:v>Prior report</x:v>
      </x:c>
      <x:c r="F991" s="7" t="n">
        <x:v>45583</x:v>
      </x:c>
      <x:c r="G991" s="2" t="str">
        <x:v>Last actual</x:v>
      </x:c>
      <x:c r="H991" s="8" t="n">
        <x:f>AVERAGE('PG facts'!D108)</x:f>
        <x:v>0</x:v>
      </x:c>
      <x:c r="I991" s="8" t="n">
        <x:f>0</x:f>
        <x:v>0</x:v>
      </x:c>
      <x:c r="J991" s="8" t="n">
        <x:v>0</x:v>
      </x:c>
      <x:c r="K991" s="8" t="n">
        <x:f>H991-I991*J991</x:f>
        <x:v>0</x:v>
      </x:c>
      <x:c r="L991" s="8" t="n">
        <x:f>'PG facts'!D115</x:f>
        <x:v>-1</x:v>
      </x:c>
      <x:c r="M991" s="8" t="n">
        <x:f>K991-L991</x:f>
        <x:v>1</x:v>
      </x:c>
      <x:c r="N991" s="8" t="n">
        <x:f>M991^2</x:f>
        <x:v>1</x:v>
      </x:c>
      <x:c r="O991" s="8" t="n">
        <x:f>ABS(M991)</x:f>
        <x:v>1</x:v>
      </x:c>
      <x:c r="P991" s="7" t="n">
        <x:v>45679</x:v>
      </x:c>
    </x:row>
    <x:row r="992" ht="26" customHeight="1">
      <x:c r="A992" s="2"/>
      <x:c r="B992" s="2" t="n">
        <x:v>987</x:v>
      </x:c>
      <x:c r="C992" s="2" t="str">
        <x:v>Baby, Feminine &amp; Family Care / price_contribution</x:v>
      </x:c>
      <x:c r="D992" s="7" t="n">
        <x:v>45657</x:v>
      </x:c>
      <x:c r="E992" s="2" t="str">
        <x:v>Prior report</x:v>
      </x:c>
      <x:c r="F992" s="7" t="n">
        <x:v>45583</x:v>
      </x:c>
      <x:c r="G992" s="2" t="str">
        <x:v>Four-quarter mean</x:v>
      </x:c>
      <x:c r="H992" s="8" t="n">
        <x:f>AVERAGE('PG facts'!D87,'PG facts'!D94,'PG facts'!D101,'PG facts'!D108)</x:f>
        <x:v>1.5</x:v>
      </x:c>
      <x:c r="I992" s="8" t="n">
        <x:f>0</x:f>
        <x:v>0</x:v>
      </x:c>
      <x:c r="J992" s="8" t="n">
        <x:v>0</x:v>
      </x:c>
      <x:c r="K992" s="8" t="n">
        <x:f>H992-I992*J992</x:f>
        <x:v>1.5</x:v>
      </x:c>
      <x:c r="L992" s="8" t="n">
        <x:f>'PG facts'!D115</x:f>
        <x:v>-1</x:v>
      </x:c>
      <x:c r="M992" s="8" t="n">
        <x:f>K992-L992</x:f>
        <x:v>2.5</x:v>
      </x:c>
      <x:c r="N992" s="8" t="n">
        <x:f>M992^2</x:f>
        <x:v>6.25</x:v>
      </x:c>
      <x:c r="O992" s="8" t="n">
        <x:f>ABS(M992)</x:f>
        <x:v>2.5</x:v>
      </x:c>
      <x:c r="P992" s="7" t="n">
        <x:v>45679</x:v>
      </x:c>
    </x:row>
    <x:row r="993" ht="26" customHeight="1">
      <x:c r="A993" s="2"/>
      <x:c r="B993" s="2" t="n">
        <x:v>988</x:v>
      </x:c>
      <x:c r="C993" s="2" t="str">
        <x:v>Baby, Feminine &amp; Family Care / price_contribution</x:v>
      </x:c>
      <x:c r="D993" s="7" t="n">
        <x:v>45657</x:v>
      </x:c>
      <x:c r="E993" s="2" t="str">
        <x:v>Prior report</x:v>
      </x:c>
      <x:c r="F993" s="7" t="n">
        <x:v>45583</x:v>
      </x:c>
      <x:c r="G993" s="2" t="str">
        <x:v>Broad market</x:v>
      </x:c>
      <x:c r="H993" s="8" t="n">
        <x:f>'Model fits'!AA665</x:f>
        <x:v>1.5058961425794612</x:v>
      </x:c>
      <x:c r="I993" s="8" t="n">
        <x:f>0</x:f>
        <x:v>0</x:v>
      </x:c>
      <x:c r="J993" s="8" t="n">
        <x:v>0</x:v>
      </x:c>
      <x:c r="K993" s="8" t="n">
        <x:f>H993-I993*J993</x:f>
        <x:v>1.5058961425794612</x:v>
      </x:c>
      <x:c r="L993" s="8" t="n">
        <x:f>'PG facts'!D115</x:f>
        <x:v>-1</x:v>
      </x:c>
      <x:c r="M993" s="8" t="n">
        <x:f>K993-L993</x:f>
        <x:v>2.505896142579461</x:v>
      </x:c>
      <x:c r="N993" s="8" t="n">
        <x:f>M993^2</x:f>
        <x:v>6.2795154773946225</x:v>
      </x:c>
      <x:c r="O993" s="8" t="n">
        <x:f>ABS(M993)</x:f>
        <x:v>2.505896142579461</x:v>
      </x:c>
      <x:c r="P993" s="7" t="n">
        <x:v>45679</x:v>
      </x:c>
    </x:row>
    <x:row r="994" ht="26" customHeight="1">
      <x:c r="A994" s="2"/>
      <x:c r="B994" s="2" t="n">
        <x:v>989</x:v>
      </x:c>
      <x:c r="C994" s="2" t="str">
        <x:v>Baby, Feminine &amp; Family Care / price_contribution</x:v>
      </x:c>
      <x:c r="D994" s="7" t="n">
        <x:v>45657</x:v>
      </x:c>
      <x:c r="E994" s="2" t="str">
        <x:v>Prior report</x:v>
      </x:c>
      <x:c r="F994" s="7" t="n">
        <x:v>45583</x:v>
      </x:c>
      <x:c r="G994" s="2" t="str">
        <x:v>Broad lag 1</x:v>
      </x:c>
      <x:c r="H994" s="8" t="n">
        <x:f>'Model fits'!AA666</x:f>
        <x:v>2.211047620927639</x:v>
      </x:c>
      <x:c r="I994" s="8" t="n">
        <x:f>0</x:f>
        <x:v>0</x:v>
      </x:c>
      <x:c r="J994" s="8" t="n">
        <x:v>0</x:v>
      </x:c>
      <x:c r="K994" s="8" t="n">
        <x:f>H994-I994*J994</x:f>
        <x:v>2.211047620927639</x:v>
      </x:c>
      <x:c r="L994" s="8" t="n">
        <x:f>'PG facts'!D115</x:f>
        <x:v>-1</x:v>
      </x:c>
      <x:c r="M994" s="8" t="n">
        <x:f>K994-L994</x:f>
        <x:v>3.211047620927639</x:v>
      </x:c>
      <x:c r="N994" s="8" t="n">
        <x:f>M994^2</x:f>
        <x:v>10.31082682386505</x:v>
      </x:c>
      <x:c r="O994" s="8" t="n">
        <x:f>ABS(M994)</x:f>
        <x:v>3.211047620927639</x:v>
      </x:c>
      <x:c r="P994" s="7" t="n">
        <x:v>45679</x:v>
      </x:c>
    </x:row>
    <x:row r="995" ht="26" customHeight="1">
      <x:c r="A995" s="2"/>
      <x:c r="B995" s="2" t="n">
        <x:v>990</x:v>
      </x:c>
      <x:c r="C995" s="2" t="str">
        <x:v>Baby, Feminine &amp; Family Care / price_contribution</x:v>
      </x:c>
      <x:c r="D995" s="7" t="n">
        <x:v>45657</x:v>
      </x:c>
      <x:c r="E995" s="2" t="str">
        <x:v>Prior report</x:v>
      </x:c>
      <x:c r="F995" s="7" t="n">
        <x:v>45583</x:v>
      </x:c>
      <x:c r="G995" s="2" t="str">
        <x:v>Broad rolling 8</x:v>
      </x:c>
      <x:c r="H995" s="8" t="n">
        <x:f>'Model fits'!AA667</x:f>
        <x:v>-1.0056509064449788</x:v>
      </x:c>
      <x:c r="I995" s="8" t="n">
        <x:f>0</x:f>
        <x:v>0</x:v>
      </x:c>
      <x:c r="J995" s="8" t="n">
        <x:v>0</x:v>
      </x:c>
      <x:c r="K995" s="8" t="n">
        <x:f>H995-I995*J995</x:f>
        <x:v>-1.0056509064449788</x:v>
      </x:c>
      <x:c r="L995" s="8" t="n">
        <x:f>'PG facts'!D115</x:f>
        <x:v>-1</x:v>
      </x:c>
      <x:c r="M995" s="8" t="n">
        <x:f>K995-L995</x:f>
        <x:v>-0.005650906444978787</x:v>
      </x:c>
      <x:c r="N995" s="8" t="n">
        <x:f>M995^2</x:f>
        <x:v>0.00003193274364990279</x:v>
      </x:c>
      <x:c r="O995" s="8" t="n">
        <x:f>ABS(M995)</x:f>
        <x:v>0.005650906444978787</x:v>
      </x:c>
      <x:c r="P995" s="7" t="n">
        <x:v>45679</x:v>
      </x:c>
    </x:row>
    <x:row r="996" ht="26" customHeight="1">
      <x:c r="A996" s="2"/>
      <x:c r="B996" s="2" t="n">
        <x:v>991</x:v>
      </x:c>
      <x:c r="C996" s="2" t="str">
        <x:v>Baby, Feminine &amp; Family Care / price_contribution</x:v>
      </x:c>
      <x:c r="D996" s="7" t="n">
        <x:v>45657</x:v>
      </x:c>
      <x:c r="E996" s="2" t="str">
        <x:v>Prior report</x:v>
      </x:c>
      <x:c r="F996" s="7" t="n">
        <x:v>45583</x:v>
      </x:c>
      <x:c r="G996" s="2" t="str">
        <x:v>Own history</x:v>
      </x:c>
      <x:c r="H996" s="8" t="n">
        <x:f>'Model fits'!AA668</x:f>
        <x:v>0.4878787878787887</x:v>
      </x:c>
      <x:c r="I996" s="8" t="n">
        <x:f>0</x:f>
        <x:v>0</x:v>
      </x:c>
      <x:c r="J996" s="8" t="n">
        <x:v>0</x:v>
      </x:c>
      <x:c r="K996" s="8" t="n">
        <x:f>H996-I996*J996</x:f>
        <x:v>0.4878787878787887</x:v>
      </x:c>
      <x:c r="L996" s="8" t="n">
        <x:f>'PG facts'!D115</x:f>
        <x:v>-1</x:v>
      </x:c>
      <x:c r="M996" s="8" t="n">
        <x:f>K996-L996</x:f>
        <x:v>1.4878787878787887</x:v>
      </x:c>
      <x:c r="N996" s="8" t="n">
        <x:f>M996^2</x:f>
        <x:v>2.2137832874196532</x:v>
      </x:c>
      <x:c r="O996" s="8" t="n">
        <x:f>ABS(M996)</x:f>
        <x:v>1.4878787878787887</x:v>
      </x:c>
      <x:c r="P996" s="7" t="n">
        <x:v>45679</x:v>
      </x:c>
    </x:row>
    <x:row r="997" ht="26" customHeight="1">
      <x:c r="A997" s="2"/>
      <x:c r="B997" s="2" t="n">
        <x:v>992</x:v>
      </x:c>
      <x:c r="C997" s="2" t="str">
        <x:v>Baby, Feminine &amp; Family Care / price_contribution</x:v>
      </x:c>
      <x:c r="D997" s="7" t="n">
        <x:v>45657</x:v>
      </x:c>
      <x:c r="E997" s="2" t="str">
        <x:v>Pre-earnings</x:v>
      </x:c>
      <x:c r="F997" s="7" t="n">
        <x:v>45678</x:v>
      </x:c>
      <x:c r="G997" s="2" t="str">
        <x:v>Last actual</x:v>
      </x:c>
      <x:c r="H997" s="8" t="n">
        <x:f>AVERAGE('PG facts'!D108)</x:f>
        <x:v>0</x:v>
      </x:c>
      <x:c r="I997" s="8" t="n">
        <x:f>0</x:f>
        <x:v>0</x:v>
      </x:c>
      <x:c r="J997" s="8" t="n">
        <x:v>0</x:v>
      </x:c>
      <x:c r="K997" s="8" t="n">
        <x:f>H997-I997*J997</x:f>
        <x:v>0</x:v>
      </x:c>
      <x:c r="L997" s="8" t="n">
        <x:f>'PG facts'!D115</x:f>
        <x:v>-1</x:v>
      </x:c>
      <x:c r="M997" s="8" t="n">
        <x:f>K997-L997</x:f>
        <x:v>1</x:v>
      </x:c>
      <x:c r="N997" s="8" t="n">
        <x:f>M997^2</x:f>
        <x:v>1</x:v>
      </x:c>
      <x:c r="O997" s="8" t="n">
        <x:f>ABS(M997)</x:f>
        <x:v>1</x:v>
      </x:c>
      <x:c r="P997" s="7" t="n">
        <x:v>45679</x:v>
      </x:c>
    </x:row>
    <x:row r="998" ht="26" customHeight="1">
      <x:c r="A998" s="2"/>
      <x:c r="B998" s="2" t="n">
        <x:v>993</x:v>
      </x:c>
      <x:c r="C998" s="2" t="str">
        <x:v>Baby, Feminine &amp; Family Care / price_contribution</x:v>
      </x:c>
      <x:c r="D998" s="7" t="n">
        <x:v>45657</x:v>
      </x:c>
      <x:c r="E998" s="2" t="str">
        <x:v>Pre-earnings</x:v>
      </x:c>
      <x:c r="F998" s="7" t="n">
        <x:v>45678</x:v>
      </x:c>
      <x:c r="G998" s="2" t="str">
        <x:v>Four-quarter mean</x:v>
      </x:c>
      <x:c r="H998" s="8" t="n">
        <x:f>AVERAGE('PG facts'!D87,'PG facts'!D94,'PG facts'!D101,'PG facts'!D108)</x:f>
        <x:v>1.5</x:v>
      </x:c>
      <x:c r="I998" s="8" t="n">
        <x:f>0</x:f>
        <x:v>0</x:v>
      </x:c>
      <x:c r="J998" s="8" t="n">
        <x:v>0</x:v>
      </x:c>
      <x:c r="K998" s="8" t="n">
        <x:f>H998-I998*J998</x:f>
        <x:v>1.5</x:v>
      </x:c>
      <x:c r="L998" s="8" t="n">
        <x:f>'PG facts'!D115</x:f>
        <x:v>-1</x:v>
      </x:c>
      <x:c r="M998" s="8" t="n">
        <x:f>K998-L998</x:f>
        <x:v>2.5</x:v>
      </x:c>
      <x:c r="N998" s="8" t="n">
        <x:f>M998^2</x:f>
        <x:v>6.25</x:v>
      </x:c>
      <x:c r="O998" s="8" t="n">
        <x:f>ABS(M998)</x:f>
        <x:v>2.5</x:v>
      </x:c>
      <x:c r="P998" s="7" t="n">
        <x:v>45679</x:v>
      </x:c>
    </x:row>
    <x:row r="999" ht="26" customHeight="1">
      <x:c r="A999" s="2"/>
      <x:c r="B999" s="2" t="n">
        <x:v>994</x:v>
      </x:c>
      <x:c r="C999" s="2" t="str">
        <x:v>Baby, Feminine &amp; Family Care / price_contribution</x:v>
      </x:c>
      <x:c r="D999" s="7" t="n">
        <x:v>45657</x:v>
      </x:c>
      <x:c r="E999" s="2" t="str">
        <x:v>Pre-earnings</x:v>
      </x:c>
      <x:c r="F999" s="7" t="n">
        <x:v>45678</x:v>
      </x:c>
      <x:c r="G999" s="2" t="str">
        <x:v>Broad market</x:v>
      </x:c>
      <x:c r="H999" s="8" t="n">
        <x:f>'Model fits'!AA669</x:f>
        <x:v>1.4732313129469166</x:v>
      </x:c>
      <x:c r="I999" s="8" t="n">
        <x:f>0</x:f>
        <x:v>0</x:v>
      </x:c>
      <x:c r="J999" s="8" t="n">
        <x:v>0</x:v>
      </x:c>
      <x:c r="K999" s="8" t="n">
        <x:f>H999-I999*J999</x:f>
        <x:v>1.4732313129469166</x:v>
      </x:c>
      <x:c r="L999" s="8" t="n">
        <x:f>'PG facts'!D115</x:f>
        <x:v>-1</x:v>
      </x:c>
      <x:c r="M999" s="8" t="n">
        <x:f>K999-L999</x:f>
        <x:v>2.4732313129469166</x:v>
      </x:c>
      <x:c r="N999" s="8" t="n">
        <x:f>M999^2</x:f>
        <x:v>6.116873127341129</x:v>
      </x:c>
      <x:c r="O999" s="8" t="n">
        <x:f>ABS(M999)</x:f>
        <x:v>2.4732313129469166</x:v>
      </x:c>
      <x:c r="P999" s="7" t="n">
        <x:v>45679</x:v>
      </x:c>
    </x:row>
    <x:row r="1000" ht="26" customHeight="1">
      <x:c r="A1000" s="2"/>
      <x:c r="B1000" s="2" t="n">
        <x:v>995</x:v>
      </x:c>
      <x:c r="C1000" s="2" t="str">
        <x:v>Baby, Feminine &amp; Family Care / price_contribution</x:v>
      </x:c>
      <x:c r="D1000" s="7" t="n">
        <x:v>45657</x:v>
      </x:c>
      <x:c r="E1000" s="2" t="str">
        <x:v>Pre-earnings</x:v>
      </x:c>
      <x:c r="F1000" s="7" t="n">
        <x:v>45678</x:v>
      </x:c>
      <x:c r="G1000" s="2" t="str">
        <x:v>Broad lag 1</x:v>
      </x:c>
      <x:c r="H1000" s="8" t="n">
        <x:f>'Model fits'!AA670</x:f>
        <x:v>2.211047620927639</x:v>
      </x:c>
      <x:c r="I1000" s="8" t="n">
        <x:f>0</x:f>
        <x:v>0</x:v>
      </x:c>
      <x:c r="J1000" s="8" t="n">
        <x:v>0</x:v>
      </x:c>
      <x:c r="K1000" s="8" t="n">
        <x:f>H1000-I1000*J1000</x:f>
        <x:v>2.211047620927639</x:v>
      </x:c>
      <x:c r="L1000" s="8" t="n">
        <x:f>'PG facts'!D115</x:f>
        <x:v>-1</x:v>
      </x:c>
      <x:c r="M1000" s="8" t="n">
        <x:f>K1000-L1000</x:f>
        <x:v>3.211047620927639</x:v>
      </x:c>
      <x:c r="N1000" s="8" t="n">
        <x:f>M1000^2</x:f>
        <x:v>10.31082682386505</x:v>
      </x:c>
      <x:c r="O1000" s="8" t="n">
        <x:f>ABS(M1000)</x:f>
        <x:v>3.211047620927639</x:v>
      </x:c>
      <x:c r="P1000" s="7" t="n">
        <x:v>45679</x:v>
      </x:c>
    </x:row>
    <x:row r="1001" ht="26" customHeight="1">
      <x:c r="A1001" s="2"/>
      <x:c r="B1001" s="2" t="n">
        <x:v>996</x:v>
      </x:c>
      <x:c r="C1001" s="2" t="str">
        <x:v>Baby, Feminine &amp; Family Care / price_contribution</x:v>
      </x:c>
      <x:c r="D1001" s="7" t="n">
        <x:v>45657</x:v>
      </x:c>
      <x:c r="E1001" s="2" t="str">
        <x:v>Pre-earnings</x:v>
      </x:c>
      <x:c r="F1001" s="7" t="n">
        <x:v>45678</x:v>
      </x:c>
      <x:c r="G1001" s="2" t="str">
        <x:v>Broad rolling 8</x:v>
      </x:c>
      <x:c r="H1001" s="8" t="n">
        <x:f>'Model fits'!AA671</x:f>
        <x:v>-1.050991568257804</x:v>
      </x:c>
      <x:c r="I1001" s="8" t="n">
        <x:f>0</x:f>
        <x:v>0</x:v>
      </x:c>
      <x:c r="J1001" s="8" t="n">
        <x:v>0</x:v>
      </x:c>
      <x:c r="K1001" s="8" t="n">
        <x:f>H1001-I1001*J1001</x:f>
        <x:v>-1.050991568257804</x:v>
      </x:c>
      <x:c r="L1001" s="8" t="n">
        <x:f>'PG facts'!D115</x:f>
        <x:v>-1</x:v>
      </x:c>
      <x:c r="M1001" s="8" t="n">
        <x:f>K1001-L1001</x:f>
        <x:v>-0.05099156825780393</x:v>
      </x:c>
      <x:c r="N1001" s="8" t="n">
        <x:f>M1001^2</x:f>
        <x:v>0.0026001400333902774</x:v>
      </x:c>
      <x:c r="O1001" s="8" t="n">
        <x:f>ABS(M1001)</x:f>
        <x:v>0.05099156825780393</x:v>
      </x:c>
      <x:c r="P1001" s="7" t="n">
        <x:v>45679</x:v>
      </x:c>
    </x:row>
    <x:row r="1002" ht="26" customHeight="1">
      <x:c r="A1002" s="2"/>
      <x:c r="B1002" s="2" t="n">
        <x:v>997</x:v>
      </x:c>
      <x:c r="C1002" s="2" t="str">
        <x:v>Baby, Feminine &amp; Family Care / price_contribution</x:v>
      </x:c>
      <x:c r="D1002" s="7" t="n">
        <x:v>45657</x:v>
      </x:c>
      <x:c r="E1002" s="2" t="str">
        <x:v>Pre-earnings</x:v>
      </x:c>
      <x:c r="F1002" s="7" t="n">
        <x:v>45678</x:v>
      </x:c>
      <x:c r="G1002" s="2" t="str">
        <x:v>Own history</x:v>
      </x:c>
      <x:c r="H1002" s="8" t="n">
        <x:f>'Model fits'!AA672</x:f>
        <x:v>0.4878787878787887</x:v>
      </x:c>
      <x:c r="I1002" s="8" t="n">
        <x:f>0</x:f>
        <x:v>0</x:v>
      </x:c>
      <x:c r="J1002" s="8" t="n">
        <x:v>0</x:v>
      </x:c>
      <x:c r="K1002" s="8" t="n">
        <x:f>H1002-I1002*J1002</x:f>
        <x:v>0.4878787878787887</x:v>
      </x:c>
      <x:c r="L1002" s="8" t="n">
        <x:f>'PG facts'!D115</x:f>
        <x:v>-1</x:v>
      </x:c>
      <x:c r="M1002" s="8" t="n">
        <x:f>K1002-L1002</x:f>
        <x:v>1.4878787878787887</x:v>
      </x:c>
      <x:c r="N1002" s="8" t="n">
        <x:f>M1002^2</x:f>
        <x:v>2.2137832874196532</x:v>
      </x:c>
      <x:c r="O1002" s="8" t="n">
        <x:f>ABS(M1002)</x:f>
        <x:v>1.4878787878787887</x:v>
      </x:c>
      <x:c r="P1002" s="7" t="n">
        <x:v>45679</x:v>
      </x:c>
    </x:row>
    <x:row r="1003" ht="26" customHeight="1">
      <x:c r="A1003" s="2"/>
      <x:c r="B1003" s="2" t="n">
        <x:v>998</x:v>
      </x:c>
      <x:c r="C1003" s="2" t="str">
        <x:v>Baby, Feminine &amp; Family Care / price_contribution</x:v>
      </x:c>
      <x:c r="D1003" s="7" t="n">
        <x:v>45747</x:v>
      </x:c>
      <x:c r="E1003" s="2" t="str">
        <x:v>Origin</x:v>
      </x:c>
      <x:c r="F1003" s="7" t="n">
        <x:v>45658</x:v>
      </x:c>
      <x:c r="G1003" s="2" t="str">
        <x:v>Last actual</x:v>
      </x:c>
      <x:c r="H1003" s="8" t="n">
        <x:f>AVERAGE('PG facts'!D108)</x:f>
        <x:v>0</x:v>
      </x:c>
      <x:c r="I1003" s="8" t="n">
        <x:f>0</x:f>
        <x:v>0</x:v>
      </x:c>
      <x:c r="J1003" s="8" t="n">
        <x:v>0</x:v>
      </x:c>
      <x:c r="K1003" s="8" t="n">
        <x:f>H1003-I1003*J1003</x:f>
        <x:v>0</x:v>
      </x:c>
      <x:c r="L1003" s="8" t="n">
        <x:f>'PG facts'!D122</x:f>
        <x:v>0</x:v>
      </x:c>
      <x:c r="M1003" s="8" t="n">
        <x:f>K1003-L1003</x:f>
        <x:v>0</x:v>
      </x:c>
      <x:c r="N1003" s="8" t="n">
        <x:f>M1003^2</x:f>
        <x:v>0</x:v>
      </x:c>
      <x:c r="O1003" s="8" t="n">
        <x:f>ABS(M1003)</x:f>
        <x:v>0</x:v>
      </x:c>
      <x:c r="P1003" s="7" t="n">
        <x:v>45771</x:v>
      </x:c>
    </x:row>
    <x:row r="1004" ht="26" customHeight="1">
      <x:c r="A1004" s="2"/>
      <x:c r="B1004" s="2" t="n">
        <x:v>999</x:v>
      </x:c>
      <x:c r="C1004" s="2" t="str">
        <x:v>Baby, Feminine &amp; Family Care / price_contribution</x:v>
      </x:c>
      <x:c r="D1004" s="7" t="n">
        <x:v>45747</x:v>
      </x:c>
      <x:c r="E1004" s="2" t="str">
        <x:v>Origin</x:v>
      </x:c>
      <x:c r="F1004" s="7" t="n">
        <x:v>45658</x:v>
      </x:c>
      <x:c r="G1004" s="2" t="str">
        <x:v>Four-quarter mean</x:v>
      </x:c>
      <x:c r="H1004" s="8" t="n">
        <x:f>AVERAGE('PG facts'!D87,'PG facts'!D94,'PG facts'!D101,'PG facts'!D108)</x:f>
        <x:v>1.5</x:v>
      </x:c>
      <x:c r="I1004" s="8" t="n">
        <x:f>0</x:f>
        <x:v>0</x:v>
      </x:c>
      <x:c r="J1004" s="8" t="n">
        <x:v>0</x:v>
      </x:c>
      <x:c r="K1004" s="8" t="n">
        <x:f>H1004-I1004*J1004</x:f>
        <x:v>1.5</x:v>
      </x:c>
      <x:c r="L1004" s="8" t="n">
        <x:f>'PG facts'!D122</x:f>
        <x:v>0</x:v>
      </x:c>
      <x:c r="M1004" s="8" t="n">
        <x:f>K1004-L1004</x:f>
        <x:v>1.5</x:v>
      </x:c>
      <x:c r="N1004" s="8" t="n">
        <x:f>M1004^2</x:f>
        <x:v>2.25</x:v>
      </x:c>
      <x:c r="O1004" s="8" t="n">
        <x:f>ABS(M1004)</x:f>
        <x:v>1.5</x:v>
      </x:c>
      <x:c r="P1004" s="7" t="n">
        <x:v>45771</x:v>
      </x:c>
    </x:row>
    <x:row r="1005" ht="26" customHeight="1">
      <x:c r="A1005" s="2"/>
      <x:c r="B1005" s="2" t="n">
        <x:v>1000</x:v>
      </x:c>
      <x:c r="C1005" s="2" t="str">
        <x:v>Baby, Feminine &amp; Family Care / price_contribution</x:v>
      </x:c>
      <x:c r="D1005" s="7" t="n">
        <x:v>45747</x:v>
      </x:c>
      <x:c r="E1005" s="2" t="str">
        <x:v>Origin</x:v>
      </x:c>
      <x:c r="F1005" s="7" t="n">
        <x:v>45658</x:v>
      </x:c>
      <x:c r="G1005" s="2" t="str">
        <x:v>Broad market</x:v>
      </x:c>
      <x:c r="H1005" s="8" t="n">
        <x:f>'Model fits'!AA673</x:f>
        <x:v>1.3504379851446702</x:v>
      </x:c>
      <x:c r="I1005" s="8" t="n">
        <x:f>0</x:f>
        <x:v>0</x:v>
      </x:c>
      <x:c r="J1005" s="8" t="n">
        <x:v>0</x:v>
      </x:c>
      <x:c r="K1005" s="8" t="n">
        <x:f>H1005-I1005*J1005</x:f>
        <x:v>1.3504379851446702</x:v>
      </x:c>
      <x:c r="L1005" s="8" t="n">
        <x:f>'PG facts'!D122</x:f>
        <x:v>0</x:v>
      </x:c>
      <x:c r="M1005" s="8" t="n">
        <x:f>K1005-L1005</x:f>
        <x:v>1.3504379851446702</x:v>
      </x:c>
      <x:c r="N1005" s="8" t="n">
        <x:f>M1005^2</x:f>
        <x:v>1.8236827517215963</x:v>
      </x:c>
      <x:c r="O1005" s="8" t="n">
        <x:f>ABS(M1005)</x:f>
        <x:v>1.3504379851446702</x:v>
      </x:c>
      <x:c r="P1005" s="7" t="n">
        <x:v>45771</x:v>
      </x:c>
    </x:row>
    <x:row r="1006" ht="26" customHeight="1">
      <x:c r="A1006" s="2"/>
      <x:c r="B1006" s="2" t="n">
        <x:v>1001</x:v>
      </x:c>
      <x:c r="C1006" s="2" t="str">
        <x:v>Baby, Feminine &amp; Family Care / price_contribution</x:v>
      </x:c>
      <x:c r="D1006" s="7" t="n">
        <x:v>45747</x:v>
      </x:c>
      <x:c r="E1006" s="2" t="str">
        <x:v>Origin</x:v>
      </x:c>
      <x:c r="F1006" s="7" t="n">
        <x:v>45658</x:v>
      </x:c>
      <x:c r="G1006" s="2" t="str">
        <x:v>Broad rolling 8</x:v>
      </x:c>
      <x:c r="H1006" s="8" t="n">
        <x:f>'Model fits'!AA674</x:f>
        <x:v>-1.2214357680709858</x:v>
      </x:c>
      <x:c r="I1006" s="8" t="n">
        <x:f>0</x:f>
        <x:v>0</x:v>
      </x:c>
      <x:c r="J1006" s="8" t="n">
        <x:v>0</x:v>
      </x:c>
      <x:c r="K1006" s="8" t="n">
        <x:f>H1006-I1006*J1006</x:f>
        <x:v>-1.2214357680709858</x:v>
      </x:c>
      <x:c r="L1006" s="8" t="n">
        <x:f>'PG facts'!D122</x:f>
        <x:v>0</x:v>
      </x:c>
      <x:c r="M1006" s="8" t="n">
        <x:f>K1006-L1006</x:f>
        <x:v>-1.2214357680709858</x:v>
      </x:c>
      <x:c r="N1006" s="8" t="n">
        <x:f>M1006^2</x:f>
        <x:v>1.4919053355231588</x:v>
      </x:c>
      <x:c r="O1006" s="8" t="n">
        <x:f>ABS(M1006)</x:f>
        <x:v>1.2214357680709858</x:v>
      </x:c>
      <x:c r="P1006" s="7" t="n">
        <x:v>45771</x:v>
      </x:c>
    </x:row>
    <x:row r="1007" ht="26" customHeight="1">
      <x:c r="A1007" s="2"/>
      <x:c r="B1007" s="2" t="n">
        <x:v>1002</x:v>
      </x:c>
      <x:c r="C1007" s="2" t="str">
        <x:v>Baby, Feminine &amp; Family Care / price_contribution</x:v>
      </x:c>
      <x:c r="D1007" s="7" t="n">
        <x:v>45747</x:v>
      </x:c>
      <x:c r="E1007" s="2" t="str">
        <x:v>Origin</x:v>
      </x:c>
      <x:c r="F1007" s="7" t="n">
        <x:v>45658</x:v>
      </x:c>
      <x:c r="G1007" s="2" t="str">
        <x:v>Own history</x:v>
      </x:c>
      <x:c r="H1007" s="8" t="n">
        <x:f>'Model fits'!AA675</x:f>
        <x:v>2.1355498721227613</x:v>
      </x:c>
      <x:c r="I1007" s="8" t="n">
        <x:f>0</x:f>
        <x:v>0</x:v>
      </x:c>
      <x:c r="J1007" s="8" t="n">
        <x:v>0</x:v>
      </x:c>
      <x:c r="K1007" s="8" t="n">
        <x:f>H1007-I1007*J1007</x:f>
        <x:v>2.1355498721227613</x:v>
      </x:c>
      <x:c r="L1007" s="8" t="n">
        <x:f>'PG facts'!D122</x:f>
        <x:v>0</x:v>
      </x:c>
      <x:c r="M1007" s="8" t="n">
        <x:f>K1007-L1007</x:f>
        <x:v>2.1355498721227613</x:v>
      </x:c>
      <x:c r="N1007" s="8" t="n">
        <x:f>M1007^2</x:f>
        <x:v>4.560573256323542</x:v>
      </x:c>
      <x:c r="O1007" s="8" t="n">
        <x:f>ABS(M1007)</x:f>
        <x:v>2.1355498721227613</x:v>
      </x:c>
      <x:c r="P1007" s="7" t="n">
        <x:v>45771</x:v>
      </x:c>
    </x:row>
    <x:row r="1008" ht="26" customHeight="1">
      <x:c r="A1008" s="2"/>
      <x:c r="B1008" s="2" t="n">
        <x:v>1003</x:v>
      </x:c>
      <x:c r="C1008" s="2" t="str">
        <x:v>Baby, Feminine &amp; Family Care / price_contribution</x:v>
      </x:c>
      <x:c r="D1008" s="7" t="n">
        <x:v>45747</x:v>
      </x:c>
      <x:c r="E1008" s="2" t="str">
        <x:v>Prior report</x:v>
      </x:c>
      <x:c r="F1008" s="7" t="n">
        <x:v>45679</x:v>
      </x:c>
      <x:c r="G1008" s="2" t="str">
        <x:v>Last actual</x:v>
      </x:c>
      <x:c r="H1008" s="8" t="n">
        <x:f>AVERAGE('PG facts'!D115)</x:f>
        <x:v>-1</x:v>
      </x:c>
      <x:c r="I1008" s="8" t="n">
        <x:f>0</x:f>
        <x:v>0</x:v>
      </x:c>
      <x:c r="J1008" s="8" t="n">
        <x:v>0</x:v>
      </x:c>
      <x:c r="K1008" s="8" t="n">
        <x:f>H1008-I1008*J1008</x:f>
        <x:v>-1</x:v>
      </x:c>
      <x:c r="L1008" s="8" t="n">
        <x:f>'PG facts'!D122</x:f>
        <x:v>0</x:v>
      </x:c>
      <x:c r="M1008" s="8" t="n">
        <x:f>K1008-L1008</x:f>
        <x:v>-1</x:v>
      </x:c>
      <x:c r="N1008" s="8" t="n">
        <x:f>M1008^2</x:f>
        <x:v>1</x:v>
      </x:c>
      <x:c r="O1008" s="8" t="n">
        <x:f>ABS(M1008)</x:f>
        <x:v>1</x:v>
      </x:c>
      <x:c r="P1008" s="7" t="n">
        <x:v>45771</x:v>
      </x:c>
    </x:row>
    <x:row r="1009" ht="26" customHeight="1">
      <x:c r="A1009" s="2"/>
      <x:c r="B1009" s="2" t="n">
        <x:v>1004</x:v>
      </x:c>
      <x:c r="C1009" s="2" t="str">
        <x:v>Baby, Feminine &amp; Family Care / price_contribution</x:v>
      </x:c>
      <x:c r="D1009" s="7" t="n">
        <x:v>45747</x:v>
      </x:c>
      <x:c r="E1009" s="2" t="str">
        <x:v>Prior report</x:v>
      </x:c>
      <x:c r="F1009" s="7" t="n">
        <x:v>45679</x:v>
      </x:c>
      <x:c r="G1009" s="2" t="str">
        <x:v>Four-quarter mean</x:v>
      </x:c>
      <x:c r="H1009" s="8" t="n">
        <x:f>AVERAGE('PG facts'!D94,'PG facts'!D101,'PG facts'!D108,'PG facts'!D115)</x:f>
        <x:v>0.25</x:v>
      </x:c>
      <x:c r="I1009" s="8" t="n">
        <x:f>0</x:f>
        <x:v>0</x:v>
      </x:c>
      <x:c r="J1009" s="8" t="n">
        <x:v>0</x:v>
      </x:c>
      <x:c r="K1009" s="8" t="n">
        <x:f>H1009-I1009*J1009</x:f>
        <x:v>0.25</x:v>
      </x:c>
      <x:c r="L1009" s="8" t="n">
        <x:f>'PG facts'!D122</x:f>
        <x:v>0</x:v>
      </x:c>
      <x:c r="M1009" s="8" t="n">
        <x:f>K1009-L1009</x:f>
        <x:v>0.25</x:v>
      </x:c>
      <x:c r="N1009" s="8" t="n">
        <x:f>M1009^2</x:f>
        <x:v>0.0625</x:v>
      </x:c>
      <x:c r="O1009" s="8" t="n">
        <x:f>ABS(M1009)</x:f>
        <x:v>0.25</x:v>
      </x:c>
      <x:c r="P1009" s="7" t="n">
        <x:v>45771</x:v>
      </x:c>
    </x:row>
    <x:row r="1010" ht="26" customHeight="1">
      <x:c r="A1010" s="2"/>
      <x:c r="B1010" s="2" t="n">
        <x:v>1005</x:v>
      </x:c>
      <x:c r="C1010" s="2" t="str">
        <x:v>Baby, Feminine &amp; Family Care / price_contribution</x:v>
      </x:c>
      <x:c r="D1010" s="7" t="n">
        <x:v>45747</x:v>
      </x:c>
      <x:c r="E1010" s="2" t="str">
        <x:v>Prior report</x:v>
      </x:c>
      <x:c r="F1010" s="7" t="n">
        <x:v>45679</x:v>
      </x:c>
      <x:c r="G1010" s="2" t="str">
        <x:v>Broad market</x:v>
      </x:c>
      <x:c r="H1010" s="8" t="n">
        <x:f>'Model fits'!AA676</x:f>
        <x:v>1.1957019513729714</x:v>
      </x:c>
      <x:c r="I1010" s="8" t="n">
        <x:f>0</x:f>
        <x:v>0</x:v>
      </x:c>
      <x:c r="J1010" s="8" t="n">
        <x:v>0</x:v>
      </x:c>
      <x:c r="K1010" s="8" t="n">
        <x:f>H1010-I1010*J1010</x:f>
        <x:v>1.1957019513729714</x:v>
      </x:c>
      <x:c r="L1010" s="8" t="n">
        <x:f>'PG facts'!D122</x:f>
        <x:v>0</x:v>
      </x:c>
      <x:c r="M1010" s="8" t="n">
        <x:f>K1010-L1010</x:f>
        <x:v>1.1957019513729714</x:v>
      </x:c>
      <x:c r="N1010" s="8" t="n">
        <x:f>M1010^2</x:f>
        <x:v>1.4297031565171316</x:v>
      </x:c>
      <x:c r="O1010" s="8" t="n">
        <x:f>ABS(M1010)</x:f>
        <x:v>1.1957019513729714</x:v>
      </x:c>
      <x:c r="P1010" s="7" t="n">
        <x:v>45771</x:v>
      </x:c>
    </x:row>
    <x:row r="1011" ht="26" customHeight="1">
      <x:c r="A1011" s="2"/>
      <x:c r="B1011" s="2" t="n">
        <x:v>1006</x:v>
      </x:c>
      <x:c r="C1011" s="2" t="str">
        <x:v>Baby, Feminine &amp; Family Care / price_contribution</x:v>
      </x:c>
      <x:c r="D1011" s="7" t="n">
        <x:v>45747</x:v>
      </x:c>
      <x:c r="E1011" s="2" t="str">
        <x:v>Prior report</x:v>
      </x:c>
      <x:c r="F1011" s="7" t="n">
        <x:v>45679</x:v>
      </x:c>
      <x:c r="G1011" s="2" t="str">
        <x:v>Broad lag 1</x:v>
      </x:c>
      <x:c r="H1011" s="8" t="n">
        <x:f>'Model fits'!AA677</x:f>
        <x:v>1.781743048103737</x:v>
      </x:c>
      <x:c r="I1011" s="8" t="n">
        <x:f>0</x:f>
        <x:v>0</x:v>
      </x:c>
      <x:c r="J1011" s="8" t="n">
        <x:v>0</x:v>
      </x:c>
      <x:c r="K1011" s="8" t="n">
        <x:f>H1011-I1011*J1011</x:f>
        <x:v>1.781743048103737</x:v>
      </x:c>
      <x:c r="L1011" s="8" t="n">
        <x:f>'PG facts'!D122</x:f>
        <x:v>0</x:v>
      </x:c>
      <x:c r="M1011" s="8" t="n">
        <x:f>K1011-L1011</x:f>
        <x:v>1.781743048103737</x:v>
      </x:c>
      <x:c r="N1011" s="8" t="n">
        <x:f>M1011^2</x:f>
        <x:v>3.1746082894659957</x:v>
      </x:c>
      <x:c r="O1011" s="8" t="n">
        <x:f>ABS(M1011)</x:f>
        <x:v>1.781743048103737</x:v>
      </x:c>
      <x:c r="P1011" s="7" t="n">
        <x:v>45771</x:v>
      </x:c>
    </x:row>
    <x:row r="1012" ht="26" customHeight="1">
      <x:c r="A1012" s="2"/>
      <x:c r="B1012" s="2" t="n">
        <x:v>1007</x:v>
      </x:c>
      <x:c r="C1012" s="2" t="str">
        <x:v>Baby, Feminine &amp; Family Care / price_contribution</x:v>
      </x:c>
      <x:c r="D1012" s="7" t="n">
        <x:v>45747</x:v>
      </x:c>
      <x:c r="E1012" s="2" t="str">
        <x:v>Prior report</x:v>
      </x:c>
      <x:c r="F1012" s="7" t="n">
        <x:v>45679</x:v>
      </x:c>
      <x:c r="G1012" s="2" t="str">
        <x:v>Broad rolling 8</x:v>
      </x:c>
      <x:c r="H1012" s="8" t="n">
        <x:f>'Model fits'!AA678</x:f>
        <x:v>-1.082666045983567</x:v>
      </x:c>
      <x:c r="I1012" s="8" t="n">
        <x:f>0</x:f>
        <x:v>0</x:v>
      </x:c>
      <x:c r="J1012" s="8" t="n">
        <x:v>0</x:v>
      </x:c>
      <x:c r="K1012" s="8" t="n">
        <x:f>H1012-I1012*J1012</x:f>
        <x:v>-1.082666045983567</x:v>
      </x:c>
      <x:c r="L1012" s="8" t="n">
        <x:f>'PG facts'!D122</x:f>
        <x:v>0</x:v>
      </x:c>
      <x:c r="M1012" s="8" t="n">
        <x:f>K1012-L1012</x:f>
        <x:v>-1.082666045983567</x:v>
      </x:c>
      <x:c r="N1012" s="8" t="n">
        <x:f>M1012^2</x:f>
        <x:v>1.1721657671256913</x:v>
      </x:c>
      <x:c r="O1012" s="8" t="n">
        <x:f>ABS(M1012)</x:f>
        <x:v>1.082666045983567</x:v>
      </x:c>
      <x:c r="P1012" s="7" t="n">
        <x:v>45771</x:v>
      </x:c>
    </x:row>
    <x:row r="1013" ht="26" customHeight="1">
      <x:c r="A1013" s="2"/>
      <x:c r="B1013" s="2" t="n">
        <x:v>1008</x:v>
      </x:c>
      <x:c r="C1013" s="2" t="str">
        <x:v>Baby, Feminine &amp; Family Care / price_contribution</x:v>
      </x:c>
      <x:c r="D1013" s="7" t="n">
        <x:v>45747</x:v>
      </x:c>
      <x:c r="E1013" s="2" t="str">
        <x:v>Prior report</x:v>
      </x:c>
      <x:c r="F1013" s="7" t="n">
        <x:v>45679</x:v>
      </x:c>
      <x:c r="G1013" s="2" t="str">
        <x:v>Own history</x:v>
      </x:c>
      <x:c r="H1013" s="8" t="n">
        <x:f>'Model fits'!AA679</x:f>
        <x:v>-0.6665275459098494</x:v>
      </x:c>
      <x:c r="I1013" s="8" t="n">
        <x:f>0</x:f>
        <x:v>0</x:v>
      </x:c>
      <x:c r="J1013" s="8" t="n">
        <x:v>0</x:v>
      </x:c>
      <x:c r="K1013" s="8" t="n">
        <x:f>H1013-I1013*J1013</x:f>
        <x:v>-0.6665275459098494</x:v>
      </x:c>
      <x:c r="L1013" s="8" t="n">
        <x:f>'PG facts'!D122</x:f>
        <x:v>0</x:v>
      </x:c>
      <x:c r="M1013" s="8" t="n">
        <x:f>K1013-L1013</x:f>
        <x:v>-0.6665275459098494</x:v>
      </x:c>
      <x:c r="N1013" s="8" t="n">
        <x:f>M1013^2</x:f>
        <x:v>0.4442589694566064</x:v>
      </x:c>
      <x:c r="O1013" s="8" t="n">
        <x:f>ABS(M1013)</x:f>
        <x:v>0.6665275459098494</x:v>
      </x:c>
      <x:c r="P1013" s="7" t="n">
        <x:v>45771</x:v>
      </x:c>
    </x:row>
    <x:row r="1014" ht="26" customHeight="1">
      <x:c r="A1014" s="2"/>
      <x:c r="B1014" s="2" t="n">
        <x:v>1009</x:v>
      </x:c>
      <x:c r="C1014" s="2" t="str">
        <x:v>Baby, Feminine &amp; Family Care / price_contribution</x:v>
      </x:c>
      <x:c r="D1014" s="7" t="n">
        <x:v>45747</x:v>
      </x:c>
      <x:c r="E1014" s="2" t="str">
        <x:v>Pre-earnings</x:v>
      </x:c>
      <x:c r="F1014" s="7" t="n">
        <x:v>45770</x:v>
      </x:c>
      <x:c r="G1014" s="2" t="str">
        <x:v>Last actual</x:v>
      </x:c>
      <x:c r="H1014" s="8" t="n">
        <x:f>AVERAGE('PG facts'!D115)</x:f>
        <x:v>-1</x:v>
      </x:c>
      <x:c r="I1014" s="8" t="n">
        <x:f>0</x:f>
        <x:v>0</x:v>
      </x:c>
      <x:c r="J1014" s="8" t="n">
        <x:v>0</x:v>
      </x:c>
      <x:c r="K1014" s="8" t="n">
        <x:f>H1014-I1014*J1014</x:f>
        <x:v>-1</x:v>
      </x:c>
      <x:c r="L1014" s="8" t="n">
        <x:f>'PG facts'!D122</x:f>
        <x:v>0</x:v>
      </x:c>
      <x:c r="M1014" s="8" t="n">
        <x:f>K1014-L1014</x:f>
        <x:v>-1</x:v>
      </x:c>
      <x:c r="N1014" s="8" t="n">
        <x:f>M1014^2</x:f>
        <x:v>1</x:v>
      </x:c>
      <x:c r="O1014" s="8" t="n">
        <x:f>ABS(M1014)</x:f>
        <x:v>1</x:v>
      </x:c>
      <x:c r="P1014" s="7" t="n">
        <x:v>45771</x:v>
      </x:c>
    </x:row>
    <x:row r="1015" ht="26" customHeight="1">
      <x:c r="A1015" s="2"/>
      <x:c r="B1015" s="2" t="n">
        <x:v>1010</x:v>
      </x:c>
      <x:c r="C1015" s="2" t="str">
        <x:v>Baby, Feminine &amp; Family Care / price_contribution</x:v>
      </x:c>
      <x:c r="D1015" s="7" t="n">
        <x:v>45747</x:v>
      </x:c>
      <x:c r="E1015" s="2" t="str">
        <x:v>Pre-earnings</x:v>
      </x:c>
      <x:c r="F1015" s="7" t="n">
        <x:v>45770</x:v>
      </x:c>
      <x:c r="G1015" s="2" t="str">
        <x:v>Four-quarter mean</x:v>
      </x:c>
      <x:c r="H1015" s="8" t="n">
        <x:f>AVERAGE('PG facts'!D94,'PG facts'!D101,'PG facts'!D108,'PG facts'!D115)</x:f>
        <x:v>0.25</x:v>
      </x:c>
      <x:c r="I1015" s="8" t="n">
        <x:f>0</x:f>
        <x:v>0</x:v>
      </x:c>
      <x:c r="J1015" s="8" t="n">
        <x:v>0</x:v>
      </x:c>
      <x:c r="K1015" s="8" t="n">
        <x:f>H1015-I1015*J1015</x:f>
        <x:v>0.25</x:v>
      </x:c>
      <x:c r="L1015" s="8" t="n">
        <x:f>'PG facts'!D122</x:f>
        <x:v>0</x:v>
      </x:c>
      <x:c r="M1015" s="8" t="n">
        <x:f>K1015-L1015</x:f>
        <x:v>0.25</x:v>
      </x:c>
      <x:c r="N1015" s="8" t="n">
        <x:f>M1015^2</x:f>
        <x:v>0.0625</x:v>
      </x:c>
      <x:c r="O1015" s="8" t="n">
        <x:f>ABS(M1015)</x:f>
        <x:v>0.25</x:v>
      </x:c>
      <x:c r="P1015" s="7" t="n">
        <x:v>45771</x:v>
      </x:c>
    </x:row>
    <x:row r="1016" ht="26" customHeight="1">
      <x:c r="A1016" s="2"/>
      <x:c r="B1016" s="2" t="n">
        <x:v>1011</x:v>
      </x:c>
      <x:c r="C1016" s="2" t="str">
        <x:v>Baby, Feminine &amp; Family Care / price_contribution</x:v>
      </x:c>
      <x:c r="D1016" s="7" t="n">
        <x:v>45747</x:v>
      </x:c>
      <x:c r="E1016" s="2" t="str">
        <x:v>Pre-earnings</x:v>
      </x:c>
      <x:c r="F1016" s="7" t="n">
        <x:v>45770</x:v>
      </x:c>
      <x:c r="G1016" s="2" t="str">
        <x:v>Broad market</x:v>
      </x:c>
      <x:c r="H1016" s="8" t="n">
        <x:f>'Model fits'!AA680</x:f>
        <x:v>1.0849530995501762</x:v>
      </x:c>
      <x:c r="I1016" s="8" t="n">
        <x:f>0</x:f>
        <x:v>0</x:v>
      </x:c>
      <x:c r="J1016" s="8" t="n">
        <x:v>0</x:v>
      </x:c>
      <x:c r="K1016" s="8" t="n">
        <x:f>H1016-I1016*J1016</x:f>
        <x:v>1.0849530995501762</x:v>
      </x:c>
      <x:c r="L1016" s="8" t="n">
        <x:f>'PG facts'!D122</x:f>
        <x:v>0</x:v>
      </x:c>
      <x:c r="M1016" s="8" t="n">
        <x:f>K1016-L1016</x:f>
        <x:v>1.0849530995501762</x:v>
      </x:c>
      <x:c r="N1016" s="8" t="n">
        <x:f>M1016^2</x:f>
        <x:v>1.1771232282235344</x:v>
      </x:c>
      <x:c r="O1016" s="8" t="n">
        <x:f>ABS(M1016)</x:f>
        <x:v>1.0849530995501762</x:v>
      </x:c>
      <x:c r="P1016" s="7" t="n">
        <x:v>45771</x:v>
      </x:c>
    </x:row>
    <x:row r="1017" ht="26" customHeight="1">
      <x:c r="A1017" s="2"/>
      <x:c r="B1017" s="2" t="n">
        <x:v>1012</x:v>
      </x:c>
      <x:c r="C1017" s="2" t="str">
        <x:v>Baby, Feminine &amp; Family Care / price_contribution</x:v>
      </x:c>
      <x:c r="D1017" s="7" t="n">
        <x:v>45747</x:v>
      </x:c>
      <x:c r="E1017" s="2" t="str">
        <x:v>Pre-earnings</x:v>
      </x:c>
      <x:c r="F1017" s="7" t="n">
        <x:v>45770</x:v>
      </x:c>
      <x:c r="G1017" s="2" t="str">
        <x:v>Broad lag 1</x:v>
      </x:c>
      <x:c r="H1017" s="8" t="n">
        <x:f>'Model fits'!AA681</x:f>
        <x:v>1.781743048103737</x:v>
      </x:c>
      <x:c r="I1017" s="8" t="n">
        <x:f>0</x:f>
        <x:v>0</x:v>
      </x:c>
      <x:c r="J1017" s="8" t="n">
        <x:v>0</x:v>
      </x:c>
      <x:c r="K1017" s="8" t="n">
        <x:f>H1017-I1017*J1017</x:f>
        <x:v>1.781743048103737</x:v>
      </x:c>
      <x:c r="L1017" s="8" t="n">
        <x:f>'PG facts'!D122</x:f>
        <x:v>0</x:v>
      </x:c>
      <x:c r="M1017" s="8" t="n">
        <x:f>K1017-L1017</x:f>
        <x:v>1.781743048103737</x:v>
      </x:c>
      <x:c r="N1017" s="8" t="n">
        <x:f>M1017^2</x:f>
        <x:v>3.1746082894659957</x:v>
      </x:c>
      <x:c r="O1017" s="8" t="n">
        <x:f>ABS(M1017)</x:f>
        <x:v>1.781743048103737</x:v>
      </x:c>
      <x:c r="P1017" s="7" t="n">
        <x:v>45771</x:v>
      </x:c>
    </x:row>
    <x:row r="1018" ht="26" customHeight="1">
      <x:c r="A1018" s="2"/>
      <x:c r="B1018" s="2" t="n">
        <x:v>1013</x:v>
      </x:c>
      <x:c r="C1018" s="2" t="str">
        <x:v>Baby, Feminine &amp; Family Care / price_contribution</x:v>
      </x:c>
      <x:c r="D1018" s="7" t="n">
        <x:v>45747</x:v>
      </x:c>
      <x:c r="E1018" s="2" t="str">
        <x:v>Pre-earnings</x:v>
      </x:c>
      <x:c r="F1018" s="7" t="n">
        <x:v>45770</x:v>
      </x:c>
      <x:c r="G1018" s="2" t="str">
        <x:v>Broad rolling 8</x:v>
      </x:c>
      <x:c r="H1018" s="8" t="n">
        <x:f>'Model fits'!AA682</x:f>
        <x:v>-1.2321985194245166</x:v>
      </x:c>
      <x:c r="I1018" s="8" t="n">
        <x:f>0</x:f>
        <x:v>0</x:v>
      </x:c>
      <x:c r="J1018" s="8" t="n">
        <x:v>0</x:v>
      </x:c>
      <x:c r="K1018" s="8" t="n">
        <x:f>H1018-I1018*J1018</x:f>
        <x:v>-1.2321985194245166</x:v>
      </x:c>
      <x:c r="L1018" s="8" t="n">
        <x:f>'PG facts'!D122</x:f>
        <x:v>0</x:v>
      </x:c>
      <x:c r="M1018" s="8" t="n">
        <x:f>K1018-L1018</x:f>
        <x:v>-1.2321985194245166</x:v>
      </x:c>
      <x:c r="N1018" s="8" t="n">
        <x:f>M1018^2</x:f>
        <x:v>1.518313191271971</x:v>
      </x:c>
      <x:c r="O1018" s="8" t="n">
        <x:f>ABS(M1018)</x:f>
        <x:v>1.2321985194245166</x:v>
      </x:c>
      <x:c r="P1018" s="7" t="n">
        <x:v>45771</x:v>
      </x:c>
    </x:row>
    <x:row r="1019" ht="26" customHeight="1">
      <x:c r="A1019" s="2"/>
      <x:c r="B1019" s="2" t="n">
        <x:v>1014</x:v>
      </x:c>
      <x:c r="C1019" s="2" t="str">
        <x:v>Baby, Feminine &amp; Family Care / price_contribution</x:v>
      </x:c>
      <x:c r="D1019" s="7" t="n">
        <x:v>45747</x:v>
      </x:c>
      <x:c r="E1019" s="2" t="str">
        <x:v>Pre-earnings</x:v>
      </x:c>
      <x:c r="F1019" s="7" t="n">
        <x:v>45770</x:v>
      </x:c>
      <x:c r="G1019" s="2" t="str">
        <x:v>Own history</x:v>
      </x:c>
      <x:c r="H1019" s="8" t="n">
        <x:f>'Model fits'!AA683</x:f>
        <x:v>-0.6665275459098494</x:v>
      </x:c>
      <x:c r="I1019" s="8" t="n">
        <x:f>0</x:f>
        <x:v>0</x:v>
      </x:c>
      <x:c r="J1019" s="8" t="n">
        <x:v>0</x:v>
      </x:c>
      <x:c r="K1019" s="8" t="n">
        <x:f>H1019-I1019*J1019</x:f>
        <x:v>-0.6665275459098494</x:v>
      </x:c>
      <x:c r="L1019" s="8" t="n">
        <x:f>'PG facts'!D122</x:f>
        <x:v>0</x:v>
      </x:c>
      <x:c r="M1019" s="8" t="n">
        <x:f>K1019-L1019</x:f>
        <x:v>-0.6665275459098494</x:v>
      </x:c>
      <x:c r="N1019" s="8" t="n">
        <x:f>M1019^2</x:f>
        <x:v>0.4442589694566064</x:v>
      </x:c>
      <x:c r="O1019" s="8" t="n">
        <x:f>ABS(M1019)</x:f>
        <x:v>0.6665275459098494</x:v>
      </x:c>
      <x:c r="P1019" s="7" t="n">
        <x:v>45771</x:v>
      </x:c>
    </x:row>
    <x:row r="1020" ht="26" customHeight="1">
      <x:c r="A1020" s="2"/>
      <x:c r="B1020" s="2" t="n">
        <x:v>1015</x:v>
      </x:c>
      <x:c r="C1020" s="2" t="str">
        <x:v>Baby, Feminine &amp; Family Care / price_contribution</x:v>
      </x:c>
      <x:c r="D1020" s="7" t="n">
        <x:v>45838</x:v>
      </x:c>
      <x:c r="E1020" s="2" t="str">
        <x:v>Origin</x:v>
      </x:c>
      <x:c r="F1020" s="7" t="n">
        <x:v>45748</x:v>
      </x:c>
      <x:c r="G1020" s="2" t="str">
        <x:v>Last actual</x:v>
      </x:c>
      <x:c r="H1020" s="8" t="n">
        <x:f>AVERAGE('PG facts'!D115)</x:f>
        <x:v>-1</x:v>
      </x:c>
      <x:c r="I1020" s="8" t="n">
        <x:f>0</x:f>
        <x:v>0</x:v>
      </x:c>
      <x:c r="J1020" s="8" t="n">
        <x:v>0</x:v>
      </x:c>
      <x:c r="K1020" s="8" t="n">
        <x:f>H1020-I1020*J1020</x:f>
        <x:v>-1</x:v>
      </x:c>
      <x:c r="L1020" s="8" t="n">
        <x:f>'PG facts'!D129</x:f>
        <x:v>1</x:v>
      </x:c>
      <x:c r="M1020" s="8" t="n">
        <x:f>K1020-L1020</x:f>
        <x:v>-2</x:v>
      </x:c>
      <x:c r="N1020" s="8" t="n">
        <x:f>M1020^2</x:f>
        <x:v>4</x:v>
      </x:c>
      <x:c r="O1020" s="8" t="n">
        <x:f>ABS(M1020)</x:f>
        <x:v>2</x:v>
      </x:c>
      <x:c r="P1020" s="7" t="n">
        <x:v>45867</x:v>
      </x:c>
    </x:row>
    <x:row r="1021" ht="26" customHeight="1">
      <x:c r="A1021" s="2"/>
      <x:c r="B1021" s="2" t="n">
        <x:v>1016</x:v>
      </x:c>
      <x:c r="C1021" s="2" t="str">
        <x:v>Baby, Feminine &amp; Family Care / price_contribution</x:v>
      </x:c>
      <x:c r="D1021" s="7" t="n">
        <x:v>45838</x:v>
      </x:c>
      <x:c r="E1021" s="2" t="str">
        <x:v>Origin</x:v>
      </x:c>
      <x:c r="F1021" s="7" t="n">
        <x:v>45748</x:v>
      </x:c>
      <x:c r="G1021" s="2" t="str">
        <x:v>Four-quarter mean</x:v>
      </x:c>
      <x:c r="H1021" s="8" t="n">
        <x:f>AVERAGE('PG facts'!D94,'PG facts'!D101,'PG facts'!D108,'PG facts'!D115)</x:f>
        <x:v>0.25</x:v>
      </x:c>
      <x:c r="I1021" s="8" t="n">
        <x:f>0</x:f>
        <x:v>0</x:v>
      </x:c>
      <x:c r="J1021" s="8" t="n">
        <x:v>0</x:v>
      </x:c>
      <x:c r="K1021" s="8" t="n">
        <x:f>H1021-I1021*J1021</x:f>
        <x:v>0.25</x:v>
      </x:c>
      <x:c r="L1021" s="8" t="n">
        <x:f>'PG facts'!D129</x:f>
        <x:v>1</x:v>
      </x:c>
      <x:c r="M1021" s="8" t="n">
        <x:f>K1021-L1021</x:f>
        <x:v>-0.75</x:v>
      </x:c>
      <x:c r="N1021" s="8" t="n">
        <x:f>M1021^2</x:f>
        <x:v>0.5625</x:v>
      </x:c>
      <x:c r="O1021" s="8" t="n">
        <x:f>ABS(M1021)</x:f>
        <x:v>0.75</x:v>
      </x:c>
      <x:c r="P1021" s="7" t="n">
        <x:v>45867</x:v>
      </x:c>
    </x:row>
    <x:row r="1022" ht="26" customHeight="1">
      <x:c r="A1022" s="2"/>
      <x:c r="B1022" s="2" t="n">
        <x:v>1017</x:v>
      </x:c>
      <x:c r="C1022" s="2" t="str">
        <x:v>Baby, Feminine &amp; Family Care / price_contribution</x:v>
      </x:c>
      <x:c r="D1022" s="7" t="n">
        <x:v>45838</x:v>
      </x:c>
      <x:c r="E1022" s="2" t="str">
        <x:v>Origin</x:v>
      </x:c>
      <x:c r="F1022" s="7" t="n">
        <x:v>45748</x:v>
      </x:c>
      <x:c r="G1022" s="2" t="str">
        <x:v>Broad market</x:v>
      </x:c>
      <x:c r="H1022" s="8" t="n">
        <x:f>'Model fits'!AA684</x:f>
        <x:v>1.2578658452121356</x:v>
      </x:c>
      <x:c r="I1022" s="8" t="n">
        <x:f>0</x:f>
        <x:v>0</x:v>
      </x:c>
      <x:c r="J1022" s="8" t="n">
        <x:v>0</x:v>
      </x:c>
      <x:c r="K1022" s="8" t="n">
        <x:f>H1022-I1022*J1022</x:f>
        <x:v>1.2578658452121356</x:v>
      </x:c>
      <x:c r="L1022" s="8" t="n">
        <x:f>'PG facts'!D129</x:f>
        <x:v>1</x:v>
      </x:c>
      <x:c r="M1022" s="8" t="n">
        <x:f>K1022-L1022</x:f>
        <x:v>0.2578658452121356</x:v>
      </x:c>
      <x:c r="N1022" s="8" t="n">
        <x:f>M1022^2</x:f>
        <x:v>0.06649479412696908</x:v>
      </x:c>
      <x:c r="O1022" s="8" t="n">
        <x:f>ABS(M1022)</x:f>
        <x:v>0.2578658452121356</x:v>
      </x:c>
      <x:c r="P1022" s="7" t="n">
        <x:v>45867</x:v>
      </x:c>
    </x:row>
    <x:row r="1023" ht="26" customHeight="1">
      <x:c r="A1023" s="2"/>
      <x:c r="B1023" s="2" t="n">
        <x:v>1018</x:v>
      </x:c>
      <x:c r="C1023" s="2" t="str">
        <x:v>Baby, Feminine &amp; Family Care / price_contribution</x:v>
      </x:c>
      <x:c r="D1023" s="7" t="n">
        <x:v>45838</x:v>
      </x:c>
      <x:c r="E1023" s="2" t="str">
        <x:v>Origin</x:v>
      </x:c>
      <x:c r="F1023" s="7" t="n">
        <x:v>45748</x:v>
      </x:c>
      <x:c r="G1023" s="2" t="str">
        <x:v>Broad rolling 8</x:v>
      </x:c>
      <x:c r="H1023" s="8" t="n">
        <x:f>'Model fits'!AA685</x:f>
        <x:v>-0.9987327080617959</x:v>
      </x:c>
      <x:c r="I1023" s="8" t="n">
        <x:f>0</x:f>
        <x:v>0</x:v>
      </x:c>
      <x:c r="J1023" s="8" t="n">
        <x:v>0</x:v>
      </x:c>
      <x:c r="K1023" s="8" t="n">
        <x:f>H1023-I1023*J1023</x:f>
        <x:v>-0.9987327080617959</x:v>
      </x:c>
      <x:c r="L1023" s="8" t="n">
        <x:f>'PG facts'!D129</x:f>
        <x:v>1</x:v>
      </x:c>
      <x:c r="M1023" s="8" t="n">
        <x:f>K1023-L1023</x:f>
        <x:v>-1.9987327080617958</x:v>
      </x:c>
      <x:c r="N1023" s="8" t="n">
        <x:f>M1023^2</x:f>
        <x:v>3.99493243827604</x:v>
      </x:c>
      <x:c r="O1023" s="8" t="n">
        <x:f>ABS(M1023)</x:f>
        <x:v>1.9987327080617958</x:v>
      </x:c>
      <x:c r="P1023" s="7" t="n">
        <x:v>45867</x:v>
      </x:c>
    </x:row>
    <x:row r="1024" ht="26" customHeight="1">
      <x:c r="A1024" s="2"/>
      <x:c r="B1024" s="2" t="n">
        <x:v>1019</x:v>
      </x:c>
      <x:c r="C1024" s="2" t="str">
        <x:v>Baby, Feminine &amp; Family Care / price_contribution</x:v>
      </x:c>
      <x:c r="D1024" s="7" t="n">
        <x:v>45838</x:v>
      </x:c>
      <x:c r="E1024" s="2" t="str">
        <x:v>Origin</x:v>
      </x:c>
      <x:c r="F1024" s="7" t="n">
        <x:v>45748</x:v>
      </x:c>
      <x:c r="G1024" s="2" t="str">
        <x:v>Own history</x:v>
      </x:c>
      <x:c r="H1024" s="8" t="n">
        <x:f>'Model fits'!AA686</x:f>
        <x:v>0.8747474747474746</x:v>
      </x:c>
      <x:c r="I1024" s="8" t="n">
        <x:f>0</x:f>
        <x:v>0</x:v>
      </x:c>
      <x:c r="J1024" s="8" t="n">
        <x:v>0</x:v>
      </x:c>
      <x:c r="K1024" s="8" t="n">
        <x:f>H1024-I1024*J1024</x:f>
        <x:v>0.8747474747474746</x:v>
      </x:c>
      <x:c r="L1024" s="8" t="n">
        <x:f>'PG facts'!D129</x:f>
        <x:v>1</x:v>
      </x:c>
      <x:c r="M1024" s="8" t="n">
        <x:f>K1024-L1024</x:f>
        <x:v>-0.1252525252525254</x:v>
      </x:c>
      <x:c r="N1024" s="8" t="n">
        <x:f>M1024^2</x:f>
        <x:v>0.01568819508213451</x:v>
      </x:c>
      <x:c r="O1024" s="8" t="n">
        <x:f>ABS(M1024)</x:f>
        <x:v>0.1252525252525254</x:v>
      </x:c>
      <x:c r="P1024" s="7" t="n">
        <x:v>45867</x:v>
      </x:c>
    </x:row>
    <x:row r="1025" ht="26" customHeight="1">
      <x:c r="A1025" s="2"/>
      <x:c r="B1025" s="2" t="n">
        <x:v>1020</x:v>
      </x:c>
      <x:c r="C1025" s="2" t="str">
        <x:v>Baby, Feminine &amp; Family Care / price_contribution</x:v>
      </x:c>
      <x:c r="D1025" s="7" t="n">
        <x:v>45838</x:v>
      </x:c>
      <x:c r="E1025" s="2" t="str">
        <x:v>Prior report</x:v>
      </x:c>
      <x:c r="F1025" s="7" t="n">
        <x:v>45771</x:v>
      </x:c>
      <x:c r="G1025" s="2" t="str">
        <x:v>Last actual</x:v>
      </x:c>
      <x:c r="H1025" s="8" t="n">
        <x:f>AVERAGE('PG facts'!D122)</x:f>
        <x:v>0</x:v>
      </x:c>
      <x:c r="I1025" s="8" t="n">
        <x:f>0</x:f>
        <x:v>0</x:v>
      </x:c>
      <x:c r="J1025" s="8" t="n">
        <x:v>0</x:v>
      </x:c>
      <x:c r="K1025" s="8" t="n">
        <x:f>H1025-I1025*J1025</x:f>
        <x:v>0</x:v>
      </x:c>
      <x:c r="L1025" s="8" t="n">
        <x:f>'PG facts'!D129</x:f>
        <x:v>1</x:v>
      </x:c>
      <x:c r="M1025" s="8" t="n">
        <x:f>K1025-L1025</x:f>
        <x:v>-1</x:v>
      </x:c>
      <x:c r="N1025" s="8" t="n">
        <x:f>M1025^2</x:f>
        <x:v>1</x:v>
      </x:c>
      <x:c r="O1025" s="8" t="n">
        <x:f>ABS(M1025)</x:f>
        <x:v>1</x:v>
      </x:c>
      <x:c r="P1025" s="7" t="n">
        <x:v>45867</x:v>
      </x:c>
    </x:row>
    <x:row r="1026" ht="26" customHeight="1">
      <x:c r="A1026" s="2"/>
      <x:c r="B1026" s="2" t="n">
        <x:v>1021</x:v>
      </x:c>
      <x:c r="C1026" s="2" t="str">
        <x:v>Baby, Feminine &amp; Family Care / price_contribution</x:v>
      </x:c>
      <x:c r="D1026" s="7" t="n">
        <x:v>45838</x:v>
      </x:c>
      <x:c r="E1026" s="2" t="str">
        <x:v>Prior report</x:v>
      </x:c>
      <x:c r="F1026" s="7" t="n">
        <x:v>45771</x:v>
      </x:c>
      <x:c r="G1026" s="2" t="str">
        <x:v>Four-quarter mean</x:v>
      </x:c>
      <x:c r="H1026" s="8" t="n">
        <x:f>AVERAGE('PG facts'!D101,'PG facts'!D108,'PG facts'!D115,'PG facts'!D122)</x:f>
        <x:v>-0.25</x:v>
      </x:c>
      <x:c r="I1026" s="8" t="n">
        <x:f>0</x:f>
        <x:v>0</x:v>
      </x:c>
      <x:c r="J1026" s="8" t="n">
        <x:v>0</x:v>
      </x:c>
      <x:c r="K1026" s="8" t="n">
        <x:f>H1026-I1026*J1026</x:f>
        <x:v>-0.25</x:v>
      </x:c>
      <x:c r="L1026" s="8" t="n">
        <x:f>'PG facts'!D129</x:f>
        <x:v>1</x:v>
      </x:c>
      <x:c r="M1026" s="8" t="n">
        <x:f>K1026-L1026</x:f>
        <x:v>-1.25</x:v>
      </x:c>
      <x:c r="N1026" s="8" t="n">
        <x:f>M1026^2</x:f>
        <x:v>1.5625</x:v>
      </x:c>
      <x:c r="O1026" s="8" t="n">
        <x:f>ABS(M1026)</x:f>
        <x:v>1.25</x:v>
      </x:c>
      <x:c r="P1026" s="7" t="n">
        <x:v>45867</x:v>
      </x:c>
    </x:row>
    <x:row r="1027" ht="26" customHeight="1">
      <x:c r="A1027" s="2"/>
      <x:c r="B1027" s="2" t="n">
        <x:v>1022</x:v>
      </x:c>
      <x:c r="C1027" s="2" t="str">
        <x:v>Baby, Feminine &amp; Family Care / price_contribution</x:v>
      </x:c>
      <x:c r="D1027" s="7" t="n">
        <x:v>45838</x:v>
      </x:c>
      <x:c r="E1027" s="2" t="str">
        <x:v>Prior report</x:v>
      </x:c>
      <x:c r="F1027" s="7" t="n">
        <x:v>45771</x:v>
      </x:c>
      <x:c r="G1027" s="2" t="str">
        <x:v>Broad market</x:v>
      </x:c>
      <x:c r="H1027" s="8" t="n">
        <x:f>'Model fits'!AA687</x:f>
        <x:v>0.9720112239598018</x:v>
      </x:c>
      <x:c r="I1027" s="8" t="n">
        <x:f>0</x:f>
        <x:v>0</x:v>
      </x:c>
      <x:c r="J1027" s="8" t="n">
        <x:v>0</x:v>
      </x:c>
      <x:c r="K1027" s="8" t="n">
        <x:f>H1027-I1027*J1027</x:f>
        <x:v>0.9720112239598018</x:v>
      </x:c>
      <x:c r="L1027" s="8" t="n">
        <x:f>'PG facts'!D129</x:f>
        <x:v>1</x:v>
      </x:c>
      <x:c r="M1027" s="8" t="n">
        <x:f>K1027-L1027</x:f>
        <x:v>-0.027988776040198227</x:v>
      </x:c>
      <x:c r="N1027" s="8" t="n">
        <x:f>M1027^2</x:f>
        <x:v>0.0007833715842283743</x:v>
      </x:c>
      <x:c r="O1027" s="8" t="n">
        <x:f>ABS(M1027)</x:f>
        <x:v>0.027988776040198227</x:v>
      </x:c>
      <x:c r="P1027" s="7" t="n">
        <x:v>45867</x:v>
      </x:c>
    </x:row>
    <x:row r="1028" ht="26" customHeight="1">
      <x:c r="A1028" s="2"/>
      <x:c r="B1028" s="2" t="n">
        <x:v>1023</x:v>
      </x:c>
      <x:c r="C1028" s="2" t="str">
        <x:v>Baby, Feminine &amp; Family Care / price_contribution</x:v>
      </x:c>
      <x:c r="D1028" s="7" t="n">
        <x:v>45838</x:v>
      </x:c>
      <x:c r="E1028" s="2" t="str">
        <x:v>Prior report</x:v>
      </x:c>
      <x:c r="F1028" s="7" t="n">
        <x:v>45771</x:v>
      </x:c>
      <x:c r="G1028" s="2" t="str">
        <x:v>Broad lag 1</x:v>
      </x:c>
      <x:c r="H1028" s="8" t="n">
        <x:f>'Model fits'!AA688</x:f>
        <x:v>1.4928088747610095</x:v>
      </x:c>
      <x:c r="I1028" s="8" t="n">
        <x:f>0</x:f>
        <x:v>0</x:v>
      </x:c>
      <x:c r="J1028" s="8" t="n">
        <x:v>0</x:v>
      </x:c>
      <x:c r="K1028" s="8" t="n">
        <x:f>H1028-I1028*J1028</x:f>
        <x:v>1.4928088747610095</x:v>
      </x:c>
      <x:c r="L1028" s="8" t="n">
        <x:f>'PG facts'!D129</x:f>
        <x:v>1</x:v>
      </x:c>
      <x:c r="M1028" s="8" t="n">
        <x:f>K1028-L1028</x:f>
        <x:v>0.49280887476100954</x:v>
      </x:c>
      <x:c r="N1028" s="8" t="n">
        <x:f>M1028^2</x:f>
        <x:v>0.2428605870432124</x:v>
      </x:c>
      <x:c r="O1028" s="8" t="n">
        <x:f>ABS(M1028)</x:f>
        <x:v>0.49280887476100954</x:v>
      </x:c>
      <x:c r="P1028" s="7" t="n">
        <x:v>45867</x:v>
      </x:c>
    </x:row>
    <x:row r="1029" ht="26" customHeight="1">
      <x:c r="A1029" s="2"/>
      <x:c r="B1029" s="2" t="n">
        <x:v>1024</x:v>
      </x:c>
      <x:c r="C1029" s="2" t="str">
        <x:v>Baby, Feminine &amp; Family Care / price_contribution</x:v>
      </x:c>
      <x:c r="D1029" s="7" t="n">
        <x:v>45838</x:v>
      </x:c>
      <x:c r="E1029" s="2" t="str">
        <x:v>Prior report</x:v>
      </x:c>
      <x:c r="F1029" s="7" t="n">
        <x:v>45771</x:v>
      </x:c>
      <x:c r="G1029" s="2" t="str">
        <x:v>Broad rolling 8</x:v>
      </x:c>
      <x:c r="H1029" s="8" t="n">
        <x:f>'Model fits'!AA689</x:f>
        <x:v>-0.8935156294337809</x:v>
      </x:c>
      <x:c r="I1029" s="8" t="n">
        <x:f>0</x:f>
        <x:v>0</x:v>
      </x:c>
      <x:c r="J1029" s="8" t="n">
        <x:v>0</x:v>
      </x:c>
      <x:c r="K1029" s="8" t="n">
        <x:f>H1029-I1029*J1029</x:f>
        <x:v>-0.8935156294337809</x:v>
      </x:c>
      <x:c r="L1029" s="8" t="n">
        <x:f>'PG facts'!D129</x:f>
        <x:v>1</x:v>
      </x:c>
      <x:c r="M1029" s="8" t="n">
        <x:f>K1029-L1029</x:f>
        <x:v>-1.893515629433781</x:v>
      </x:c>
      <x:c r="N1029" s="8" t="n">
        <x:f>M1029^2</x:f>
        <x:v>3.5854014389100075</x:v>
      </x:c>
      <x:c r="O1029" s="8" t="n">
        <x:f>ABS(M1029)</x:f>
        <x:v>1.893515629433781</x:v>
      </x:c>
      <x:c r="P1029" s="7" t="n">
        <x:v>45867</x:v>
      </x:c>
    </x:row>
    <x:row r="1030" ht="26" customHeight="1">
      <x:c r="A1030" s="2"/>
      <x:c r="B1030" s="2" t="n">
        <x:v>1025</x:v>
      </x:c>
      <x:c r="C1030" s="2" t="str">
        <x:v>Baby, Feminine &amp; Family Care / price_contribution</x:v>
      </x:c>
      <x:c r="D1030" s="7" t="n">
        <x:v>45838</x:v>
      </x:c>
      <x:c r="E1030" s="2" t="str">
        <x:v>Prior report</x:v>
      </x:c>
      <x:c r="F1030" s="7" t="n">
        <x:v>45771</x:v>
      </x:c>
      <x:c r="G1030" s="2" t="str">
        <x:v>Own history</x:v>
      </x:c>
      <x:c r="H1030" s="8" t="n">
        <x:f>'Model fits'!AA690</x:f>
        <x:v>0.33751270755676055</x:v>
      </x:c>
      <x:c r="I1030" s="8" t="n">
        <x:f>0</x:f>
        <x:v>0</x:v>
      </x:c>
      <x:c r="J1030" s="8" t="n">
        <x:v>0</x:v>
      </x:c>
      <x:c r="K1030" s="8" t="n">
        <x:f>H1030-I1030*J1030</x:f>
        <x:v>0.33751270755676055</x:v>
      </x:c>
      <x:c r="L1030" s="8" t="n">
        <x:f>'PG facts'!D129</x:f>
        <x:v>1</x:v>
      </x:c>
      <x:c r="M1030" s="8" t="n">
        <x:f>K1030-L1030</x:f>
        <x:v>-0.6624872924432395</x:v>
      </x:c>
      <x:c r="N1030" s="8" t="n">
        <x:f>M1030^2</x:f>
        <x:v>0.4388894126487743</x:v>
      </x:c>
      <x:c r="O1030" s="8" t="n">
        <x:f>ABS(M1030)</x:f>
        <x:v>0.6624872924432395</x:v>
      </x:c>
      <x:c r="P1030" s="7" t="n">
        <x:v>45867</x:v>
      </x:c>
    </x:row>
    <x:row r="1031" ht="26" customHeight="1">
      <x:c r="A1031" s="2"/>
      <x:c r="B1031" s="2" t="n">
        <x:v>1026</x:v>
      </x:c>
      <x:c r="C1031" s="2" t="str">
        <x:v>Baby, Feminine &amp; Family Care / price_contribution</x:v>
      </x:c>
      <x:c r="D1031" s="7" t="n">
        <x:v>45838</x:v>
      </x:c>
      <x:c r="E1031" s="2" t="str">
        <x:v>Pre-earnings</x:v>
      </x:c>
      <x:c r="F1031" s="7" t="n">
        <x:v>45866</x:v>
      </x:c>
      <x:c r="G1031" s="2" t="str">
        <x:v>Last actual</x:v>
      </x:c>
      <x:c r="H1031" s="8" t="n">
        <x:f>AVERAGE('PG facts'!D122)</x:f>
        <x:v>0</x:v>
      </x:c>
      <x:c r="I1031" s="8" t="n">
        <x:f>0</x:f>
        <x:v>0</x:v>
      </x:c>
      <x:c r="J1031" s="8" t="n">
        <x:v>0</x:v>
      </x:c>
      <x:c r="K1031" s="8" t="n">
        <x:f>H1031-I1031*J1031</x:f>
        <x:v>0</x:v>
      </x:c>
      <x:c r="L1031" s="8" t="n">
        <x:f>'PG facts'!D129</x:f>
        <x:v>1</x:v>
      </x:c>
      <x:c r="M1031" s="8" t="n">
        <x:f>K1031-L1031</x:f>
        <x:v>-1</x:v>
      </x:c>
      <x:c r="N1031" s="8" t="n">
        <x:f>M1031^2</x:f>
        <x:v>1</x:v>
      </x:c>
      <x:c r="O1031" s="8" t="n">
        <x:f>ABS(M1031)</x:f>
        <x:v>1</x:v>
      </x:c>
      <x:c r="P1031" s="7" t="n">
        <x:v>45867</x:v>
      </x:c>
    </x:row>
    <x:row r="1032" ht="26" customHeight="1">
      <x:c r="A1032" s="2"/>
      <x:c r="B1032" s="2" t="n">
        <x:v>1027</x:v>
      </x:c>
      <x:c r="C1032" s="2" t="str">
        <x:v>Baby, Feminine &amp; Family Care / price_contribution</x:v>
      </x:c>
      <x:c r="D1032" s="7" t="n">
        <x:v>45838</x:v>
      </x:c>
      <x:c r="E1032" s="2" t="str">
        <x:v>Pre-earnings</x:v>
      </x:c>
      <x:c r="F1032" s="7" t="n">
        <x:v>45866</x:v>
      </x:c>
      <x:c r="G1032" s="2" t="str">
        <x:v>Four-quarter mean</x:v>
      </x:c>
      <x:c r="H1032" s="8" t="n">
        <x:f>AVERAGE('PG facts'!D101,'PG facts'!D108,'PG facts'!D115,'PG facts'!D122)</x:f>
        <x:v>-0.25</x:v>
      </x:c>
      <x:c r="I1032" s="8" t="n">
        <x:f>0</x:f>
        <x:v>0</x:v>
      </x:c>
      <x:c r="J1032" s="8" t="n">
        <x:v>0</x:v>
      </x:c>
      <x:c r="K1032" s="8" t="n">
        <x:f>H1032-I1032*J1032</x:f>
        <x:v>-0.25</x:v>
      </x:c>
      <x:c r="L1032" s="8" t="n">
        <x:f>'PG facts'!D129</x:f>
        <x:v>1</x:v>
      </x:c>
      <x:c r="M1032" s="8" t="n">
        <x:f>K1032-L1032</x:f>
        <x:v>-1.25</x:v>
      </x:c>
      <x:c r="N1032" s="8" t="n">
        <x:f>M1032^2</x:f>
        <x:v>1.5625</x:v>
      </x:c>
      <x:c r="O1032" s="8" t="n">
        <x:f>ABS(M1032)</x:f>
        <x:v>1.25</x:v>
      </x:c>
      <x:c r="P1032" s="7" t="n">
        <x:v>45867</x:v>
      </x:c>
    </x:row>
    <x:row r="1033" ht="26" customHeight="1">
      <x:c r="A1033" s="2"/>
      <x:c r="B1033" s="2" t="n">
        <x:v>1028</x:v>
      </x:c>
      <x:c r="C1033" s="2" t="str">
        <x:v>Baby, Feminine &amp; Family Care / price_contribution</x:v>
      </x:c>
      <x:c r="D1033" s="7" t="n">
        <x:v>45838</x:v>
      </x:c>
      <x:c r="E1033" s="2" t="str">
        <x:v>Pre-earnings</x:v>
      </x:c>
      <x:c r="F1033" s="7" t="n">
        <x:v>45866</x:v>
      </x:c>
      <x:c r="G1033" s="2" t="str">
        <x:v>Broad market</x:v>
      </x:c>
      <x:c r="H1033" s="8" t="n">
        <x:f>'Model fits'!AA691</x:f>
        <x:v>1.2575307024209716</x:v>
      </x:c>
      <x:c r="I1033" s="8" t="n">
        <x:f>0</x:f>
        <x:v>0</x:v>
      </x:c>
      <x:c r="J1033" s="8" t="n">
        <x:v>0</x:v>
      </x:c>
      <x:c r="K1033" s="8" t="n">
        <x:f>H1033-I1033*J1033</x:f>
        <x:v>1.2575307024209716</x:v>
      </x:c>
      <x:c r="L1033" s="8" t="n">
        <x:f>'PG facts'!D129</x:f>
        <x:v>1</x:v>
      </x:c>
      <x:c r="M1033" s="8" t="n">
        <x:f>K1033-L1033</x:f>
        <x:v>0.25753070242097165</x:v>
      </x:c>
      <x:c r="N1033" s="8" t="n">
        <x:f>M1033^2</x:f>
        <x:v>0.06632206268943905</x:v>
      </x:c>
      <x:c r="O1033" s="8" t="n">
        <x:f>ABS(M1033)</x:f>
        <x:v>0.25753070242097165</x:v>
      </x:c>
      <x:c r="P1033" s="7" t="n">
        <x:v>45867</x:v>
      </x:c>
    </x:row>
    <x:row r="1034" ht="26" customHeight="1">
      <x:c r="A1034" s="2"/>
      <x:c r="B1034" s="2" t="n">
        <x:v>1029</x:v>
      </x:c>
      <x:c r="C1034" s="2" t="str">
        <x:v>Baby, Feminine &amp; Family Care / price_contribution</x:v>
      </x:c>
      <x:c r="D1034" s="7" t="n">
        <x:v>45838</x:v>
      </x:c>
      <x:c r="E1034" s="2" t="str">
        <x:v>Pre-earnings</x:v>
      </x:c>
      <x:c r="F1034" s="7" t="n">
        <x:v>45866</x:v>
      </x:c>
      <x:c r="G1034" s="2" t="str">
        <x:v>Broad lag 1</x:v>
      </x:c>
      <x:c r="H1034" s="8" t="n">
        <x:f>'Model fits'!AA692</x:f>
        <x:v>1.4928088747610095</x:v>
      </x:c>
      <x:c r="I1034" s="8" t="n">
        <x:f>0</x:f>
        <x:v>0</x:v>
      </x:c>
      <x:c r="J1034" s="8" t="n">
        <x:v>0</x:v>
      </x:c>
      <x:c r="K1034" s="8" t="n">
        <x:f>H1034-I1034*J1034</x:f>
        <x:v>1.4928088747610095</x:v>
      </x:c>
      <x:c r="L1034" s="8" t="n">
        <x:f>'PG facts'!D129</x:f>
        <x:v>1</x:v>
      </x:c>
      <x:c r="M1034" s="8" t="n">
        <x:f>K1034-L1034</x:f>
        <x:v>0.49280887476100954</x:v>
      </x:c>
      <x:c r="N1034" s="8" t="n">
        <x:f>M1034^2</x:f>
        <x:v>0.2428605870432124</x:v>
      </x:c>
      <x:c r="O1034" s="8" t="n">
        <x:f>ABS(M1034)</x:f>
        <x:v>0.49280887476100954</x:v>
      </x:c>
      <x:c r="P1034" s="7" t="n">
        <x:v>45867</x:v>
      </x:c>
    </x:row>
    <x:row r="1035" ht="26" customHeight="1">
      <x:c r="A1035" s="2"/>
      <x:c r="B1035" s="2" t="n">
        <x:v>1030</x:v>
      </x:c>
      <x:c r="C1035" s="2" t="str">
        <x:v>Baby, Feminine &amp; Family Care / price_contribution</x:v>
      </x:c>
      <x:c r="D1035" s="7" t="n">
        <x:v>45838</x:v>
      </x:c>
      <x:c r="E1035" s="2" t="str">
        <x:v>Pre-earnings</x:v>
      </x:c>
      <x:c r="F1035" s="7" t="n">
        <x:v>45866</x:v>
      </x:c>
      <x:c r="G1035" s="2" t="str">
        <x:v>Broad rolling 8</x:v>
      </x:c>
      <x:c r="H1035" s="8" t="n">
        <x:f>'Model fits'!AA693</x:f>
        <x:v>-0.5346957936262955</x:v>
      </x:c>
      <x:c r="I1035" s="8" t="n">
        <x:f>0</x:f>
        <x:v>0</x:v>
      </x:c>
      <x:c r="J1035" s="8" t="n">
        <x:v>0</x:v>
      </x:c>
      <x:c r="K1035" s="8" t="n">
        <x:f>H1035-I1035*J1035</x:f>
        <x:v>-0.5346957936262955</x:v>
      </x:c>
      <x:c r="L1035" s="8" t="n">
        <x:f>'PG facts'!D129</x:f>
        <x:v>1</x:v>
      </x:c>
      <x:c r="M1035" s="8" t="n">
        <x:f>K1035-L1035</x:f>
        <x:v>-1.5346957936262955</x:v>
      </x:c>
      <x:c r="N1035" s="8" t="n">
        <x:f>M1035^2</x:f>
        <x:v>2.355291178974245</x:v>
      </x:c>
      <x:c r="O1035" s="8" t="n">
        <x:f>ABS(M1035)</x:f>
        <x:v>1.5346957936262955</x:v>
      </x:c>
      <x:c r="P1035" s="7" t="n">
        <x:v>45867</x:v>
      </x:c>
    </x:row>
    <x:row r="1036" ht="26" customHeight="1">
      <x:c r="A1036" s="2"/>
      <x:c r="B1036" s="2" t="n">
        <x:v>1031</x:v>
      </x:c>
      <x:c r="C1036" s="2" t="str">
        <x:v>Baby, Feminine &amp; Family Care / price_contribution</x:v>
      </x:c>
      <x:c r="D1036" s="7" t="n">
        <x:v>45838</x:v>
      </x:c>
      <x:c r="E1036" s="2" t="str">
        <x:v>Pre-earnings</x:v>
      </x:c>
      <x:c r="F1036" s="7" t="n">
        <x:v>45866</x:v>
      </x:c>
      <x:c r="G1036" s="2" t="str">
        <x:v>Own history</x:v>
      </x:c>
      <x:c r="H1036" s="8" t="n">
        <x:f>'Model fits'!AA694</x:f>
        <x:v>0.33751270755676055</x:v>
      </x:c>
      <x:c r="I1036" s="8" t="n">
        <x:f>0</x:f>
        <x:v>0</x:v>
      </x:c>
      <x:c r="J1036" s="8" t="n">
        <x:v>0</x:v>
      </x:c>
      <x:c r="K1036" s="8" t="n">
        <x:f>H1036-I1036*J1036</x:f>
        <x:v>0.33751270755676055</x:v>
      </x:c>
      <x:c r="L1036" s="8" t="n">
        <x:f>'PG facts'!D129</x:f>
        <x:v>1</x:v>
      </x:c>
      <x:c r="M1036" s="8" t="n">
        <x:f>K1036-L1036</x:f>
        <x:v>-0.6624872924432395</x:v>
      </x:c>
      <x:c r="N1036" s="8" t="n">
        <x:f>M1036^2</x:f>
        <x:v>0.4388894126487743</x:v>
      </x:c>
      <x:c r="O1036" s="8" t="n">
        <x:f>ABS(M1036)</x:f>
        <x:v>0.6624872924432395</x:v>
      </x:c>
      <x:c r="P1036" s="7" t="n">
        <x:v>45867</x:v>
      </x:c>
    </x:row>
    <x:row r="1037" ht="26" customHeight="1">
      <x:c r="A1037" s="2"/>
      <x:c r="B1037" s="2" t="n">
        <x:v>1032</x:v>
      </x:c>
      <x:c r="C1037" s="2" t="str">
        <x:v>Baby, Feminine &amp; Family Care / price_contribution</x:v>
      </x:c>
      <x:c r="D1037" s="7" t="n">
        <x:v>45930</x:v>
      </x:c>
      <x:c r="E1037" s="2" t="str">
        <x:v>Origin</x:v>
      </x:c>
      <x:c r="F1037" s="7" t="n">
        <x:v>45839</x:v>
      </x:c>
      <x:c r="G1037" s="2" t="str">
        <x:v>Last actual</x:v>
      </x:c>
      <x:c r="H1037" s="8" t="n">
        <x:f>AVERAGE('PG facts'!D122)</x:f>
        <x:v>0</x:v>
      </x:c>
      <x:c r="I1037" s="8" t="n">
        <x:f>0</x:f>
        <x:v>0</x:v>
      </x:c>
      <x:c r="J1037" s="8" t="n">
        <x:v>0</x:v>
      </x:c>
      <x:c r="K1037" s="8" t="n">
        <x:f>H1037-I1037*J1037</x:f>
        <x:v>0</x:v>
      </x:c>
      <x:c r="L1037" s="8" t="n">
        <x:f>'PG facts'!D136</x:f>
        <x:v>0</x:v>
      </x:c>
      <x:c r="M1037" s="8" t="n">
        <x:f>K1037-L1037</x:f>
        <x:v>0</x:v>
      </x:c>
      <x:c r="N1037" s="8" t="n">
        <x:f>M1037^2</x:f>
        <x:v>0</x:v>
      </x:c>
      <x:c r="O1037" s="8" t="n">
        <x:f>ABS(M1037)</x:f>
        <x:v>0</x:v>
      </x:c>
      <x:c r="P1037" s="7" t="n">
        <x:v>45954</x:v>
      </x:c>
    </x:row>
    <x:row r="1038" ht="26" customHeight="1">
      <x:c r="A1038" s="2"/>
      <x:c r="B1038" s="2" t="n">
        <x:v>1033</x:v>
      </x:c>
      <x:c r="C1038" s="2" t="str">
        <x:v>Baby, Feminine &amp; Family Care / price_contribution</x:v>
      </x:c>
      <x:c r="D1038" s="7" t="n">
        <x:v>45930</x:v>
      </x:c>
      <x:c r="E1038" s="2" t="str">
        <x:v>Origin</x:v>
      </x:c>
      <x:c r="F1038" s="7" t="n">
        <x:v>45839</x:v>
      </x:c>
      <x:c r="G1038" s="2" t="str">
        <x:v>Four-quarter mean</x:v>
      </x:c>
      <x:c r="H1038" s="8" t="n">
        <x:f>AVERAGE('PG facts'!D101,'PG facts'!D108,'PG facts'!D115,'PG facts'!D122)</x:f>
        <x:v>-0.25</x:v>
      </x:c>
      <x:c r="I1038" s="8" t="n">
        <x:f>0</x:f>
        <x:v>0</x:v>
      </x:c>
      <x:c r="J1038" s="8" t="n">
        <x:v>0</x:v>
      </x:c>
      <x:c r="K1038" s="8" t="n">
        <x:f>H1038-I1038*J1038</x:f>
        <x:v>-0.25</x:v>
      </x:c>
      <x:c r="L1038" s="8" t="n">
        <x:f>'PG facts'!D136</x:f>
        <x:v>0</x:v>
      </x:c>
      <x:c r="M1038" s="8" t="n">
        <x:f>K1038-L1038</x:f>
        <x:v>-0.25</x:v>
      </x:c>
      <x:c r="N1038" s="8" t="n">
        <x:f>M1038^2</x:f>
        <x:v>0.0625</x:v>
      </x:c>
      <x:c r="O1038" s="8" t="n">
        <x:f>ABS(M1038)</x:f>
        <x:v>0.25</x:v>
      </x:c>
      <x:c r="P1038" s="7" t="n">
        <x:v>45954</x:v>
      </x:c>
    </x:row>
    <x:row r="1039" ht="26" customHeight="1">
      <x:c r="A1039" s="2"/>
      <x:c r="B1039" s="2" t="n">
        <x:v>1034</x:v>
      </x:c>
      <x:c r="C1039" s="2" t="str">
        <x:v>Baby, Feminine &amp; Family Care / price_contribution</x:v>
      </x:c>
      <x:c r="D1039" s="7" t="n">
        <x:v>45930</x:v>
      </x:c>
      <x:c r="E1039" s="2" t="str">
        <x:v>Origin</x:v>
      </x:c>
      <x:c r="F1039" s="7" t="n">
        <x:v>45839</x:v>
      </x:c>
      <x:c r="G1039" s="2" t="str">
        <x:v>Broad market</x:v>
      </x:c>
      <x:c r="H1039" s="8" t="n">
        <x:f>'Model fits'!AA695</x:f>
        <x:v>1.0383349209707025</x:v>
      </x:c>
      <x:c r="I1039" s="8" t="n">
        <x:f>0</x:f>
        <x:v>0</x:v>
      </x:c>
      <x:c r="J1039" s="8" t="n">
        <x:v>0</x:v>
      </x:c>
      <x:c r="K1039" s="8" t="n">
        <x:f>H1039-I1039*J1039</x:f>
        <x:v>1.0383349209707025</x:v>
      </x:c>
      <x:c r="L1039" s="8" t="n">
        <x:f>'PG facts'!D136</x:f>
        <x:v>0</x:v>
      </x:c>
      <x:c r="M1039" s="8" t="n">
        <x:f>K1039-L1039</x:f>
        <x:v>1.0383349209707025</x:v>
      </x:c>
      <x:c r="N1039" s="8" t="n">
        <x:f>M1039^2</x:f>
        <x:v>1.0781394081072349</x:v>
      </x:c>
      <x:c r="O1039" s="8" t="n">
        <x:f>ABS(M1039)</x:f>
        <x:v>1.0383349209707025</x:v>
      </x:c>
      <x:c r="P1039" s="7" t="n">
        <x:v>45954</x:v>
      </x:c>
    </x:row>
    <x:row r="1040" ht="26" customHeight="1">
      <x:c r="A1040" s="2"/>
      <x:c r="B1040" s="2" t="n">
        <x:v>1035</x:v>
      </x:c>
      <x:c r="C1040" s="2" t="str">
        <x:v>Baby, Feminine &amp; Family Care / price_contribution</x:v>
      </x:c>
      <x:c r="D1040" s="7" t="n">
        <x:v>45930</x:v>
      </x:c>
      <x:c r="E1040" s="2" t="str">
        <x:v>Origin</x:v>
      </x:c>
      <x:c r="F1040" s="7" t="n">
        <x:v>45839</x:v>
      </x:c>
      <x:c r="G1040" s="2" t="str">
        <x:v>Broad rolling 8</x:v>
      </x:c>
      <x:c r="H1040" s="8" t="n">
        <x:f>'Model fits'!AA696</x:f>
        <x:v>-0.8101648955368875</x:v>
      </x:c>
      <x:c r="I1040" s="8" t="n">
        <x:f>0</x:f>
        <x:v>0</x:v>
      </x:c>
      <x:c r="J1040" s="8" t="n">
        <x:v>0</x:v>
      </x:c>
      <x:c r="K1040" s="8" t="n">
        <x:f>H1040-I1040*J1040</x:f>
        <x:v>-0.8101648955368875</x:v>
      </x:c>
      <x:c r="L1040" s="8" t="n">
        <x:f>'PG facts'!D136</x:f>
        <x:v>0</x:v>
      </x:c>
      <x:c r="M1040" s="8" t="n">
        <x:f>K1040-L1040</x:f>
        <x:v>-0.8101648955368875</x:v>
      </x:c>
      <x:c r="N1040" s="8" t="n">
        <x:f>M1040^2</x:f>
        <x:v>0.6563671579602959</x:v>
      </x:c>
      <x:c r="O1040" s="8" t="n">
        <x:f>ABS(M1040)</x:f>
        <x:v>0.8101648955368875</x:v>
      </x:c>
      <x:c r="P1040" s="7" t="n">
        <x:v>45954</x:v>
      </x:c>
    </x:row>
    <x:row r="1041" ht="26" customHeight="1">
      <x:c r="A1041" s="2"/>
      <x:c r="B1041" s="2" t="n">
        <x:v>1036</x:v>
      </x:c>
      <x:c r="C1041" s="2" t="str">
        <x:v>Baby, Feminine &amp; Family Care / price_contribution</x:v>
      </x:c>
      <x:c r="D1041" s="7" t="n">
        <x:v>45930</x:v>
      </x:c>
      <x:c r="E1041" s="2" t="str">
        <x:v>Origin</x:v>
      </x:c>
      <x:c r="F1041" s="7" t="n">
        <x:v>45839</x:v>
      </x:c>
      <x:c r="G1041" s="2" t="str">
        <x:v>Own history</x:v>
      </x:c>
      <x:c r="H1041" s="8" t="n">
        <x:f>'Model fits'!AA697</x:f>
        <x:v>1.2203672787979967</x:v>
      </x:c>
      <x:c r="I1041" s="8" t="n">
        <x:f>0</x:f>
        <x:v>0</x:v>
      </x:c>
      <x:c r="J1041" s="8" t="n">
        <x:v>0</x:v>
      </x:c>
      <x:c r="K1041" s="8" t="n">
        <x:f>H1041-I1041*J1041</x:f>
        <x:v>1.2203672787979967</x:v>
      </x:c>
      <x:c r="L1041" s="8" t="n">
        <x:f>'PG facts'!D136</x:f>
        <x:v>0</x:v>
      </x:c>
      <x:c r="M1041" s="8" t="n">
        <x:f>K1041-L1041</x:f>
        <x:v>1.2203672787979967</x:v>
      </x:c>
      <x:c r="N1041" s="8" t="n">
        <x:f>M1041^2</x:f>
        <x:v>1.4892962951608273</x:v>
      </x:c>
      <x:c r="O1041" s="8" t="n">
        <x:f>ABS(M1041)</x:f>
        <x:v>1.2203672787979967</x:v>
      </x:c>
      <x:c r="P1041" s="7" t="n">
        <x:v>45954</x:v>
      </x:c>
    </x:row>
    <x:row r="1042" ht="26" customHeight="1">
      <x:c r="A1042" s="2"/>
      <x:c r="B1042" s="2" t="n">
        <x:v>1037</x:v>
      </x:c>
      <x:c r="C1042" s="2" t="str">
        <x:v>Baby, Feminine &amp; Family Care / price_contribution</x:v>
      </x:c>
      <x:c r="D1042" s="7" t="n">
        <x:v>45930</x:v>
      </x:c>
      <x:c r="E1042" s="2" t="str">
        <x:v>Prior report</x:v>
      </x:c>
      <x:c r="F1042" s="7" t="n">
        <x:v>45867</x:v>
      </x:c>
      <x:c r="G1042" s="2" t="str">
        <x:v>Last actual</x:v>
      </x:c>
      <x:c r="H1042" s="8" t="n">
        <x:f>AVERAGE('PG facts'!D129)</x:f>
        <x:v>1</x:v>
      </x:c>
      <x:c r="I1042" s="8" t="n">
        <x:f>0</x:f>
        <x:v>0</x:v>
      </x:c>
      <x:c r="J1042" s="8" t="n">
        <x:v>0</x:v>
      </x:c>
      <x:c r="K1042" s="8" t="n">
        <x:f>H1042-I1042*J1042</x:f>
        <x:v>1</x:v>
      </x:c>
      <x:c r="L1042" s="8" t="n">
        <x:f>'PG facts'!D136</x:f>
        <x:v>0</x:v>
      </x:c>
      <x:c r="M1042" s="8" t="n">
        <x:f>K1042-L1042</x:f>
        <x:v>1</x:v>
      </x:c>
      <x:c r="N1042" s="8" t="n">
        <x:f>M1042^2</x:f>
        <x:v>1</x:v>
      </x:c>
      <x:c r="O1042" s="8" t="n">
        <x:f>ABS(M1042)</x:f>
        <x:v>1</x:v>
      </x:c>
      <x:c r="P1042" s="7" t="n">
        <x:v>45954</x:v>
      </x:c>
    </x:row>
    <x:row r="1043" ht="26" customHeight="1">
      <x:c r="A1043" s="2"/>
      <x:c r="B1043" s="2" t="n">
        <x:v>1038</x:v>
      </x:c>
      <x:c r="C1043" s="2" t="str">
        <x:v>Baby, Feminine &amp; Family Care / price_contribution</x:v>
      </x:c>
      <x:c r="D1043" s="7" t="n">
        <x:v>45930</x:v>
      </x:c>
      <x:c r="E1043" s="2" t="str">
        <x:v>Prior report</x:v>
      </x:c>
      <x:c r="F1043" s="7" t="n">
        <x:v>45867</x:v>
      </x:c>
      <x:c r="G1043" s="2" t="str">
        <x:v>Four-quarter mean</x:v>
      </x:c>
      <x:c r="H1043" s="8" t="n">
        <x:f>AVERAGE('PG facts'!D108,'PG facts'!D115,'PG facts'!D122,'PG facts'!D129)</x:f>
        <x:v>0</x:v>
      </x:c>
      <x:c r="I1043" s="8" t="n">
        <x:f>0</x:f>
        <x:v>0</x:v>
      </x:c>
      <x:c r="J1043" s="8" t="n">
        <x:v>0</x:v>
      </x:c>
      <x:c r="K1043" s="8" t="n">
        <x:f>H1043-I1043*J1043</x:f>
        <x:v>0</x:v>
      </x:c>
      <x:c r="L1043" s="8" t="n">
        <x:f>'PG facts'!D136</x:f>
        <x:v>0</x:v>
      </x:c>
      <x:c r="M1043" s="8" t="n">
        <x:f>K1043-L1043</x:f>
        <x:v>0</x:v>
      </x:c>
      <x:c r="N1043" s="8" t="n">
        <x:f>M1043^2</x:f>
        <x:v>0</x:v>
      </x:c>
      <x:c r="O1043" s="8" t="n">
        <x:f>ABS(M1043)</x:f>
        <x:v>0</x:v>
      </x:c>
      <x:c r="P1043" s="7" t="n">
        <x:v>45954</x:v>
      </x:c>
    </x:row>
    <x:row r="1044" ht="26" customHeight="1">
      <x:c r="A1044" s="2"/>
      <x:c r="B1044" s="2" t="n">
        <x:v>1039</x:v>
      </x:c>
      <x:c r="C1044" s="2" t="str">
        <x:v>Baby, Feminine &amp; Family Care / price_contribution</x:v>
      </x:c>
      <x:c r="D1044" s="7" t="n">
        <x:v>45930</x:v>
      </x:c>
      <x:c r="E1044" s="2" t="str">
        <x:v>Prior report</x:v>
      </x:c>
      <x:c r="F1044" s="7" t="n">
        <x:v>45867</x:v>
      </x:c>
      <x:c r="G1044" s="2" t="str">
        <x:v>Broad market</x:v>
      </x:c>
      <x:c r="H1044" s="8" t="n">
        <x:f>'Model fits'!AA698</x:f>
        <x:v>1.2352592847866544</x:v>
      </x:c>
      <x:c r="I1044" s="8" t="n">
        <x:f>0</x:f>
        <x:v>0</x:v>
      </x:c>
      <x:c r="J1044" s="8" t="n">
        <x:v>0</x:v>
      </x:c>
      <x:c r="K1044" s="8" t="n">
        <x:f>H1044-I1044*J1044</x:f>
        <x:v>1.2352592847866544</x:v>
      </x:c>
      <x:c r="L1044" s="8" t="n">
        <x:f>'PG facts'!D136</x:f>
        <x:v>0</x:v>
      </x:c>
      <x:c r="M1044" s="8" t="n">
        <x:f>K1044-L1044</x:f>
        <x:v>1.2352592847866544</x:v>
      </x:c>
      <x:c r="N1044" s="8" t="n">
        <x:f>M1044^2</x:f>
        <x:v>1.5258655006516368</x:v>
      </x:c>
      <x:c r="O1044" s="8" t="n">
        <x:f>ABS(M1044)</x:f>
        <x:v>1.2352592847866544</x:v>
      </x:c>
      <x:c r="P1044" s="7" t="n">
        <x:v>45954</x:v>
      </x:c>
    </x:row>
    <x:row r="1045" ht="26" customHeight="1">
      <x:c r="A1045" s="2"/>
      <x:c r="B1045" s="2" t="n">
        <x:v>1040</x:v>
      </x:c>
      <x:c r="C1045" s="2" t="str">
        <x:v>Baby, Feminine &amp; Family Care / price_contribution</x:v>
      </x:c>
      <x:c r="D1045" s="7" t="n">
        <x:v>45930</x:v>
      </x:c>
      <x:c r="E1045" s="2" t="str">
        <x:v>Prior report</x:v>
      </x:c>
      <x:c r="F1045" s="7" t="n">
        <x:v>45867</x:v>
      </x:c>
      <x:c r="G1045" s="2" t="str">
        <x:v>Broad lag 1</x:v>
      </x:c>
      <x:c r="H1045" s="8" t="n">
        <x:f>'Model fits'!AA699</x:f>
        <x:v>1.6695974402169431</x:v>
      </x:c>
      <x:c r="I1045" s="8" t="n">
        <x:f>0</x:f>
        <x:v>0</x:v>
      </x:c>
      <x:c r="J1045" s="8" t="n">
        <x:v>0</x:v>
      </x:c>
      <x:c r="K1045" s="8" t="n">
        <x:f>H1045-I1045*J1045</x:f>
        <x:v>1.6695974402169431</x:v>
      </x:c>
      <x:c r="L1045" s="8" t="n">
        <x:f>'PG facts'!D136</x:f>
        <x:v>0</x:v>
      </x:c>
      <x:c r="M1045" s="8" t="n">
        <x:f>K1045-L1045</x:f>
        <x:v>1.6695974402169431</x:v>
      </x:c>
      <x:c r="N1045" s="8" t="n">
        <x:f>M1045^2</x:f>
        <x:v>2.787555612378969</x:v>
      </x:c>
      <x:c r="O1045" s="8" t="n">
        <x:f>ABS(M1045)</x:f>
        <x:v>1.6695974402169431</x:v>
      </x:c>
      <x:c r="P1045" s="7" t="n">
        <x:v>45954</x:v>
      </x:c>
    </x:row>
    <x:row r="1046" ht="26" customHeight="1">
      <x:c r="A1046" s="2"/>
      <x:c r="B1046" s="2" t="n">
        <x:v>1041</x:v>
      </x:c>
      <x:c r="C1046" s="2" t="str">
        <x:v>Baby, Feminine &amp; Family Care / price_contribution</x:v>
      </x:c>
      <x:c r="D1046" s="7" t="n">
        <x:v>45930</x:v>
      </x:c>
      <x:c r="E1046" s="2" t="str">
        <x:v>Prior report</x:v>
      </x:c>
      <x:c r="F1046" s="7" t="n">
        <x:v>45867</x:v>
      </x:c>
      <x:c r="G1046" s="2" t="str">
        <x:v>Broad rolling 8</x:v>
      </x:c>
      <x:c r="H1046" s="8" t="n">
        <x:f>'Model fits'!AA700</x:f>
        <x:v>-0.24795388276929176</x:v>
      </x:c>
      <x:c r="I1046" s="8" t="n">
        <x:f>0</x:f>
        <x:v>0</x:v>
      </x:c>
      <x:c r="J1046" s="8" t="n">
        <x:v>0</x:v>
      </x:c>
      <x:c r="K1046" s="8" t="n">
        <x:f>H1046-I1046*J1046</x:f>
        <x:v>-0.24795388276929176</x:v>
      </x:c>
      <x:c r="L1046" s="8" t="n">
        <x:f>'PG facts'!D136</x:f>
        <x:v>0</x:v>
      </x:c>
      <x:c r="M1046" s="8" t="n">
        <x:f>K1046-L1046</x:f>
        <x:v>-0.24795388276929176</x:v>
      </x:c>
      <x:c r="N1046" s="8" t="n">
        <x:f>M1046^2</x:f>
        <x:v>0.06148112798036768</x:v>
      </x:c>
      <x:c r="O1046" s="8" t="n">
        <x:f>ABS(M1046)</x:f>
        <x:v>0.24795388276929176</x:v>
      </x:c>
      <x:c r="P1046" s="7" t="n">
        <x:v>45954</x:v>
      </x:c>
    </x:row>
    <x:row r="1047" ht="26" customHeight="1">
      <x:c r="A1047" s="2"/>
      <x:c r="B1047" s="2" t="n">
        <x:v>1042</x:v>
      </x:c>
      <x:c r="C1047" s="2" t="str">
        <x:v>Baby, Feminine &amp; Family Care / price_contribution</x:v>
      </x:c>
      <x:c r="D1047" s="7" t="n">
        <x:v>45930</x:v>
      </x:c>
      <x:c r="E1047" s="2" t="str">
        <x:v>Prior report</x:v>
      </x:c>
      <x:c r="F1047" s="7" t="n">
        <x:v>45867</x:v>
      </x:c>
      <x:c r="G1047" s="2" t="str">
        <x:v>Own history</x:v>
      </x:c>
      <x:c r="H1047" s="8" t="n">
        <x:f>'Model fits'!AA701</x:f>
        <x:v>1.2862232779097384</x:v>
      </x:c>
      <x:c r="I1047" s="8" t="n">
        <x:f>0</x:f>
        <x:v>0</x:v>
      </x:c>
      <x:c r="J1047" s="8" t="n">
        <x:v>0</x:v>
      </x:c>
      <x:c r="K1047" s="8" t="n">
        <x:f>H1047-I1047*J1047</x:f>
        <x:v>1.2862232779097384</x:v>
      </x:c>
      <x:c r="L1047" s="8" t="n">
        <x:f>'PG facts'!D136</x:f>
        <x:v>0</x:v>
      </x:c>
      <x:c r="M1047" s="8" t="n">
        <x:f>K1047-L1047</x:f>
        <x:v>1.2862232779097384</x:v>
      </x:c>
      <x:c r="N1047" s="8" t="n">
        <x:f>M1047^2</x:f>
        <x:v>1.6543703206368723</x:v>
      </x:c>
      <x:c r="O1047" s="8" t="n">
        <x:f>ABS(M1047)</x:f>
        <x:v>1.2862232779097384</x:v>
      </x:c>
      <x:c r="P1047" s="7" t="n">
        <x:v>45954</x:v>
      </x:c>
    </x:row>
    <x:row r="1048" ht="26" customHeight="1">
      <x:c r="A1048" s="2"/>
      <x:c r="B1048" s="2" t="n">
        <x:v>1043</x:v>
      </x:c>
      <x:c r="C1048" s="2" t="str">
        <x:v>Baby, Feminine &amp; Family Care / price_contribution</x:v>
      </x:c>
      <x:c r="D1048" s="7" t="n">
        <x:v>45930</x:v>
      </x:c>
      <x:c r="E1048" s="2" t="str">
        <x:v>Pre-earnings</x:v>
      </x:c>
      <x:c r="F1048" s="7" t="n">
        <x:v>45953</x:v>
      </x:c>
      <x:c r="G1048" s="2" t="str">
        <x:v>Last actual</x:v>
      </x:c>
      <x:c r="H1048" s="8" t="n">
        <x:f>AVERAGE('PG facts'!D129)</x:f>
        <x:v>1</x:v>
      </x:c>
      <x:c r="I1048" s="8" t="n">
        <x:f>0</x:f>
        <x:v>0</x:v>
      </x:c>
      <x:c r="J1048" s="8" t="n">
        <x:v>0</x:v>
      </x:c>
      <x:c r="K1048" s="8" t="n">
        <x:f>H1048-I1048*J1048</x:f>
        <x:v>1</x:v>
      </x:c>
      <x:c r="L1048" s="8" t="n">
        <x:f>'PG facts'!D136</x:f>
        <x:v>0</x:v>
      </x:c>
      <x:c r="M1048" s="8" t="n">
        <x:f>K1048-L1048</x:f>
        <x:v>1</x:v>
      </x:c>
      <x:c r="N1048" s="8" t="n">
        <x:f>M1048^2</x:f>
        <x:v>1</x:v>
      </x:c>
      <x:c r="O1048" s="8" t="n">
        <x:f>ABS(M1048)</x:f>
        <x:v>1</x:v>
      </x:c>
      <x:c r="P1048" s="7" t="n">
        <x:v>45954</x:v>
      </x:c>
    </x:row>
    <x:row r="1049" ht="26" customHeight="1">
      <x:c r="A1049" s="2"/>
      <x:c r="B1049" s="2" t="n">
        <x:v>1044</x:v>
      </x:c>
      <x:c r="C1049" s="2" t="str">
        <x:v>Baby, Feminine &amp; Family Care / price_contribution</x:v>
      </x:c>
      <x:c r="D1049" s="7" t="n">
        <x:v>45930</x:v>
      </x:c>
      <x:c r="E1049" s="2" t="str">
        <x:v>Pre-earnings</x:v>
      </x:c>
      <x:c r="F1049" s="7" t="n">
        <x:v>45953</x:v>
      </x:c>
      <x:c r="G1049" s="2" t="str">
        <x:v>Four-quarter mean</x:v>
      </x:c>
      <x:c r="H1049" s="8" t="n">
        <x:f>AVERAGE('PG facts'!D108,'PG facts'!D115,'PG facts'!D122,'PG facts'!D129)</x:f>
        <x:v>0</x:v>
      </x:c>
      <x:c r="I1049" s="8" t="n">
        <x:f>0</x:f>
        <x:v>0</x:v>
      </x:c>
      <x:c r="J1049" s="8" t="n">
        <x:v>0</x:v>
      </x:c>
      <x:c r="K1049" s="8" t="n">
        <x:f>H1049-I1049*J1049</x:f>
        <x:v>0</x:v>
      </x:c>
      <x:c r="L1049" s="8" t="n">
        <x:f>'PG facts'!D136</x:f>
        <x:v>0</x:v>
      </x:c>
      <x:c r="M1049" s="8" t="n">
        <x:f>K1049-L1049</x:f>
        <x:v>0</x:v>
      </x:c>
      <x:c r="N1049" s="8" t="n">
        <x:f>M1049^2</x:f>
        <x:v>0</x:v>
      </x:c>
      <x:c r="O1049" s="8" t="n">
        <x:f>ABS(M1049)</x:f>
        <x:v>0</x:v>
      </x:c>
      <x:c r="P1049" s="7" t="n">
        <x:v>45954</x:v>
      </x:c>
    </x:row>
    <x:row r="1050" ht="26" customHeight="1">
      <x:c r="A1050" s="2"/>
      <x:c r="B1050" s="2" t="n">
        <x:v>1045</x:v>
      </x:c>
      <x:c r="C1050" s="2" t="str">
        <x:v>Baby, Feminine &amp; Family Care / price_contribution</x:v>
      </x:c>
      <x:c r="D1050" s="7" t="n">
        <x:v>45930</x:v>
      </x:c>
      <x:c r="E1050" s="2" t="str">
        <x:v>Pre-earnings</x:v>
      </x:c>
      <x:c r="F1050" s="7" t="n">
        <x:v>45953</x:v>
      </x:c>
      <x:c r="G1050" s="2" t="str">
        <x:v>Broad market</x:v>
      </x:c>
      <x:c r="H1050" s="8" t="n">
        <x:f>'Model fits'!AA702</x:f>
        <x:v>1.5004544211168973</x:v>
      </x:c>
      <x:c r="I1050" s="8" t="n">
        <x:f>0</x:f>
        <x:v>0</x:v>
      </x:c>
      <x:c r="J1050" s="8" t="n">
        <x:v>0</x:v>
      </x:c>
      <x:c r="K1050" s="8" t="n">
        <x:f>H1050-I1050*J1050</x:f>
        <x:v>1.5004544211168973</x:v>
      </x:c>
      <x:c r="L1050" s="8" t="n">
        <x:f>'PG facts'!D136</x:f>
        <x:v>0</x:v>
      </x:c>
      <x:c r="M1050" s="8" t="n">
        <x:f>K1050-L1050</x:f>
        <x:v>1.5004544211168973</x:v>
      </x:c>
      <x:c r="N1050" s="8" t="n">
        <x:f>M1050^2</x:f>
        <x:v>2.2513634698492435</x:v>
      </x:c>
      <x:c r="O1050" s="8" t="n">
        <x:f>ABS(M1050)</x:f>
        <x:v>1.5004544211168973</x:v>
      </x:c>
      <x:c r="P1050" s="7" t="n">
        <x:v>45954</x:v>
      </x:c>
    </x:row>
    <x:row r="1051" ht="26" customHeight="1">
      <x:c r="A1051" s="2"/>
      <x:c r="B1051" s="2" t="n">
        <x:v>1046</x:v>
      </x:c>
      <x:c r="C1051" s="2" t="str">
        <x:v>Baby, Feminine &amp; Family Care / price_contribution</x:v>
      </x:c>
      <x:c r="D1051" s="7" t="n">
        <x:v>45930</x:v>
      </x:c>
      <x:c r="E1051" s="2" t="str">
        <x:v>Pre-earnings</x:v>
      </x:c>
      <x:c r="F1051" s="7" t="n">
        <x:v>45953</x:v>
      </x:c>
      <x:c r="G1051" s="2" t="str">
        <x:v>Broad lag 1</x:v>
      </x:c>
      <x:c r="H1051" s="8" t="n">
        <x:f>'Model fits'!AA703</x:f>
        <x:v>1.6695974402169431</x:v>
      </x:c>
      <x:c r="I1051" s="8" t="n">
        <x:f>0</x:f>
        <x:v>0</x:v>
      </x:c>
      <x:c r="J1051" s="8" t="n">
        <x:v>0</x:v>
      </x:c>
      <x:c r="K1051" s="8" t="n">
        <x:f>H1051-I1051*J1051</x:f>
        <x:v>1.6695974402169431</x:v>
      </x:c>
      <x:c r="L1051" s="8" t="n">
        <x:f>'PG facts'!D136</x:f>
        <x:v>0</x:v>
      </x:c>
      <x:c r="M1051" s="8" t="n">
        <x:f>K1051-L1051</x:f>
        <x:v>1.6695974402169431</x:v>
      </x:c>
      <x:c r="N1051" s="8" t="n">
        <x:f>M1051^2</x:f>
        <x:v>2.787555612378969</x:v>
      </x:c>
      <x:c r="O1051" s="8" t="n">
        <x:f>ABS(M1051)</x:f>
        <x:v>1.6695974402169431</x:v>
      </x:c>
      <x:c r="P1051" s="7" t="n">
        <x:v>45954</x:v>
      </x:c>
    </x:row>
    <x:row r="1052" ht="26" customHeight="1">
      <x:c r="A1052" s="2"/>
      <x:c r="B1052" s="2" t="n">
        <x:v>1047</x:v>
      </x:c>
      <x:c r="C1052" s="2" t="str">
        <x:v>Baby, Feminine &amp; Family Care / price_contribution</x:v>
      </x:c>
      <x:c r="D1052" s="7" t="n">
        <x:v>45930</x:v>
      </x:c>
      <x:c r="E1052" s="2" t="str">
        <x:v>Pre-earnings</x:v>
      </x:c>
      <x:c r="F1052" s="7" t="n">
        <x:v>45953</x:v>
      </x:c>
      <x:c r="G1052" s="2" t="str">
        <x:v>Broad rolling 8</x:v>
      </x:c>
      <x:c r="H1052" s="8" t="n">
        <x:f>'Model fits'!AA704</x:f>
        <x:v>0.07292634319745372</x:v>
      </x:c>
      <x:c r="I1052" s="8" t="n">
        <x:f>0</x:f>
        <x:v>0</x:v>
      </x:c>
      <x:c r="J1052" s="8" t="n">
        <x:v>0</x:v>
      </x:c>
      <x:c r="K1052" s="8" t="n">
        <x:f>H1052-I1052*J1052</x:f>
        <x:v>0.07292634319745372</x:v>
      </x:c>
      <x:c r="L1052" s="8" t="n">
        <x:f>'PG facts'!D136</x:f>
        <x:v>0</x:v>
      </x:c>
      <x:c r="M1052" s="8" t="n">
        <x:f>K1052-L1052</x:f>
        <x:v>0.07292634319745372</x:v>
      </x:c>
      <x:c r="N1052" s="8" t="n">
        <x:f>M1052^2</x:f>
        <x:v>0.005318251532152805</x:v>
      </x:c>
      <x:c r="O1052" s="8" t="n">
        <x:f>ABS(M1052)</x:f>
        <x:v>0.07292634319745372</x:v>
      </x:c>
      <x:c r="P1052" s="7" t="n">
        <x:v>45954</x:v>
      </x:c>
    </x:row>
    <x:row r="1053" ht="26" customHeight="1">
      <x:c r="A1053" s="2"/>
      <x:c r="B1053" s="2" t="n">
        <x:v>1048</x:v>
      </x:c>
      <x:c r="C1053" s="2" t="str">
        <x:v>Baby, Feminine &amp; Family Care / price_contribution</x:v>
      </x:c>
      <x:c r="D1053" s="7" t="n">
        <x:v>45930</x:v>
      </x:c>
      <x:c r="E1053" s="2" t="str">
        <x:v>Pre-earnings</x:v>
      </x:c>
      <x:c r="F1053" s="7" t="n">
        <x:v>45953</x:v>
      </x:c>
      <x:c r="G1053" s="2" t="str">
        <x:v>Own history</x:v>
      </x:c>
      <x:c r="H1053" s="8" t="n">
        <x:f>'Model fits'!AA705</x:f>
        <x:v>1.2862232779097384</x:v>
      </x:c>
      <x:c r="I1053" s="8" t="n">
        <x:f>0</x:f>
        <x:v>0</x:v>
      </x:c>
      <x:c r="J1053" s="8" t="n">
        <x:v>0</x:v>
      </x:c>
      <x:c r="K1053" s="8" t="n">
        <x:f>H1053-I1053*J1053</x:f>
        <x:v>1.2862232779097384</x:v>
      </x:c>
      <x:c r="L1053" s="8" t="n">
        <x:f>'PG facts'!D136</x:f>
        <x:v>0</x:v>
      </x:c>
      <x:c r="M1053" s="8" t="n">
        <x:f>K1053-L1053</x:f>
        <x:v>1.2862232779097384</x:v>
      </x:c>
      <x:c r="N1053" s="8" t="n">
        <x:f>M1053^2</x:f>
        <x:v>1.6543703206368723</x:v>
      </x:c>
      <x:c r="O1053" s="8" t="n">
        <x:f>ABS(M1053)</x:f>
        <x:v>1.2862232779097384</x:v>
      </x:c>
      <x:c r="P1053" s="7" t="n">
        <x:v>45954</x:v>
      </x:c>
    </x:row>
    <x:row r="1054" ht="26" customHeight="1">
      <x:c r="A1054" s="2"/>
      <x:c r="B1054" s="2" t="n">
        <x:v>1049</x:v>
      </x:c>
      <x:c r="C1054" s="2" t="str">
        <x:v>Baby, Feminine &amp; Family Care / price_contribution</x:v>
      </x:c>
      <x:c r="D1054" s="7" t="n">
        <x:v>46022</x:v>
      </x:c>
      <x:c r="E1054" s="2" t="str">
        <x:v>Origin</x:v>
      </x:c>
      <x:c r="F1054" s="7" t="n">
        <x:v>45931</x:v>
      </x:c>
      <x:c r="G1054" s="2" t="str">
        <x:v>Last actual</x:v>
      </x:c>
      <x:c r="H1054" s="8" t="n">
        <x:f>AVERAGE('PG facts'!D129)</x:f>
        <x:v>1</x:v>
      </x:c>
      <x:c r="I1054" s="8" t="n">
        <x:f>0</x:f>
        <x:v>0</x:v>
      </x:c>
      <x:c r="J1054" s="8" t="n">
        <x:v>0</x:v>
      </x:c>
      <x:c r="K1054" s="8" t="n">
        <x:f>H1054-I1054*J1054</x:f>
        <x:v>1</x:v>
      </x:c>
      <x:c r="L1054" s="8" t="n">
        <x:f>'PG facts'!D143</x:f>
        <x:v>0</x:v>
      </x:c>
      <x:c r="M1054" s="8" t="n">
        <x:f>K1054-L1054</x:f>
        <x:v>1</x:v>
      </x:c>
      <x:c r="N1054" s="8" t="n">
        <x:f>M1054^2</x:f>
        <x:v>1</x:v>
      </x:c>
      <x:c r="O1054" s="8" t="n">
        <x:f>ABS(M1054)</x:f>
        <x:v>1</x:v>
      </x:c>
      <x:c r="P1054" s="7" t="n">
        <x:v>46045</x:v>
      </x:c>
    </x:row>
    <x:row r="1055" ht="26" customHeight="1">
      <x:c r="A1055" s="2"/>
      <x:c r="B1055" s="2" t="n">
        <x:v>1050</x:v>
      </x:c>
      <x:c r="C1055" s="2" t="str">
        <x:v>Baby, Feminine &amp; Family Care / price_contribution</x:v>
      </x:c>
      <x:c r="D1055" s="7" t="n">
        <x:v>46022</x:v>
      </x:c>
      <x:c r="E1055" s="2" t="str">
        <x:v>Origin</x:v>
      </x:c>
      <x:c r="F1055" s="7" t="n">
        <x:v>45931</x:v>
      </x:c>
      <x:c r="G1055" s="2" t="str">
        <x:v>Four-quarter mean</x:v>
      </x:c>
      <x:c r="H1055" s="8" t="n">
        <x:f>AVERAGE('PG facts'!D108,'PG facts'!D115,'PG facts'!D122,'PG facts'!D129)</x:f>
        <x:v>0</x:v>
      </x:c>
      <x:c r="I1055" s="8" t="n">
        <x:f>0</x:f>
        <x:v>0</x:v>
      </x:c>
      <x:c r="J1055" s="8" t="n">
        <x:v>0</x:v>
      </x:c>
      <x:c r="K1055" s="8" t="n">
        <x:f>H1055-I1055*J1055</x:f>
        <x:v>0</x:v>
      </x:c>
      <x:c r="L1055" s="8" t="n">
        <x:f>'PG facts'!D143</x:f>
        <x:v>0</x:v>
      </x:c>
      <x:c r="M1055" s="8" t="n">
        <x:f>K1055-L1055</x:f>
        <x:v>0</x:v>
      </x:c>
      <x:c r="N1055" s="8" t="n">
        <x:f>M1055^2</x:f>
        <x:v>0</x:v>
      </x:c>
      <x:c r="O1055" s="8" t="n">
        <x:f>ABS(M1055)</x:f>
        <x:v>0</x:v>
      </x:c>
      <x:c r="P1055" s="7" t="n">
        <x:v>46045</x:v>
      </x:c>
    </x:row>
    <x:row r="1056" ht="26" customHeight="1">
      <x:c r="A1056" s="2"/>
      <x:c r="B1056" s="2" t="n">
        <x:v>1051</x:v>
      </x:c>
      <x:c r="C1056" s="2" t="str">
        <x:v>Baby, Feminine &amp; Family Care / price_contribution</x:v>
      </x:c>
      <x:c r="D1056" s="7" t="n">
        <x:v>46022</x:v>
      </x:c>
      <x:c r="E1056" s="2" t="str">
        <x:v>Origin</x:v>
      </x:c>
      <x:c r="F1056" s="7" t="n">
        <x:v>45931</x:v>
      </x:c>
      <x:c r="G1056" s="2" t="str">
        <x:v>Broad market</x:v>
      </x:c>
      <x:c r="H1056" s="8" t="n">
        <x:f>'Model fits'!AA706</x:f>
        <x:v>1.470882122540724</x:v>
      </x:c>
      <x:c r="I1056" s="8" t="n">
        <x:f>0</x:f>
        <x:v>0</x:v>
      </x:c>
      <x:c r="J1056" s="8" t="n">
        <x:v>0</x:v>
      </x:c>
      <x:c r="K1056" s="8" t="n">
        <x:f>H1056-I1056*J1056</x:f>
        <x:v>1.470882122540724</x:v>
      </x:c>
      <x:c r="L1056" s="8" t="n">
        <x:f>'PG facts'!D143</x:f>
        <x:v>0</x:v>
      </x:c>
      <x:c r="M1056" s="8" t="n">
        <x:f>K1056-L1056</x:f>
        <x:v>1.470882122540724</x:v>
      </x:c>
      <x:c r="N1056" s="8" t="n">
        <x:f>M1056^2</x:f>
        <x:v>2.1634942184099053</x:v>
      </x:c>
      <x:c r="O1056" s="8" t="n">
        <x:f>ABS(M1056)</x:f>
        <x:v>1.470882122540724</x:v>
      </x:c>
      <x:c r="P1056" s="7" t="n">
        <x:v>46045</x:v>
      </x:c>
    </x:row>
    <x:row r="1057" ht="26" customHeight="1">
      <x:c r="A1057" s="2"/>
      <x:c r="B1057" s="2" t="n">
        <x:v>1052</x:v>
      </x:c>
      <x:c r="C1057" s="2" t="str">
        <x:v>Baby, Feminine &amp; Family Care / price_contribution</x:v>
      </x:c>
      <x:c r="D1057" s="7" t="n">
        <x:v>46022</x:v>
      </x:c>
      <x:c r="E1057" s="2" t="str">
        <x:v>Origin</x:v>
      </x:c>
      <x:c r="F1057" s="7" t="n">
        <x:v>45931</x:v>
      </x:c>
      <x:c r="G1057" s="2" t="str">
        <x:v>Broad rolling 8</x:v>
      </x:c>
      <x:c r="H1057" s="8" t="n">
        <x:f>'Model fits'!AA707</x:f>
        <x:v>0.037144518610513155</x:v>
      </x:c>
      <x:c r="I1057" s="8" t="n">
        <x:f>0</x:f>
        <x:v>0</x:v>
      </x:c>
      <x:c r="J1057" s="8" t="n">
        <x:v>0</x:v>
      </x:c>
      <x:c r="K1057" s="8" t="n">
        <x:f>H1057-I1057*J1057</x:f>
        <x:v>0.037144518610513155</x:v>
      </x:c>
      <x:c r="L1057" s="8" t="n">
        <x:f>'PG facts'!D143</x:f>
        <x:v>0</x:v>
      </x:c>
      <x:c r="M1057" s="8" t="n">
        <x:f>K1057-L1057</x:f>
        <x:v>0.037144518610513155</x:v>
      </x:c>
      <x:c r="N1057" s="8" t="n">
        <x:f>M1057^2</x:f>
        <x:v>0.0013797152628067582</x:v>
      </x:c>
      <x:c r="O1057" s="8" t="n">
        <x:f>ABS(M1057)</x:f>
        <x:v>0.037144518610513155</x:v>
      </x:c>
      <x:c r="P1057" s="7" t="n">
        <x:v>46045</x:v>
      </x:c>
    </x:row>
    <x:row r="1058" ht="26" customHeight="1">
      <x:c r="A1058" s="2"/>
      <x:c r="B1058" s="2" t="n">
        <x:v>1053</x:v>
      </x:c>
      <x:c r="C1058" s="2" t="str">
        <x:v>Baby, Feminine &amp; Family Care / price_contribution</x:v>
      </x:c>
      <x:c r="D1058" s="7" t="n">
        <x:v>46022</x:v>
      </x:c>
      <x:c r="E1058" s="2" t="str">
        <x:v>Origin</x:v>
      </x:c>
      <x:c r="F1058" s="7" t="n">
        <x:v>45931</x:v>
      </x:c>
      <x:c r="G1058" s="2" t="str">
        <x:v>Own history</x:v>
      </x:c>
      <x:c r="H1058" s="8" t="n">
        <x:f>'Model fits'!AA708</x:f>
        <x:v>1.917655032192477</x:v>
      </x:c>
      <x:c r="I1058" s="8" t="n">
        <x:f>0</x:f>
        <x:v>0</x:v>
      </x:c>
      <x:c r="J1058" s="8" t="n">
        <x:v>0</x:v>
      </x:c>
      <x:c r="K1058" s="8" t="n">
        <x:f>H1058-I1058*J1058</x:f>
        <x:v>1.917655032192477</x:v>
      </x:c>
      <x:c r="L1058" s="8" t="n">
        <x:f>'PG facts'!D143</x:f>
        <x:v>0</x:v>
      </x:c>
      <x:c r="M1058" s="8" t="n">
        <x:f>K1058-L1058</x:f>
        <x:v>1.917655032192477</x:v>
      </x:c>
      <x:c r="N1058" s="8" t="n">
        <x:f>M1058^2</x:f>
        <x:v>3.67740082249313</x:v>
      </x:c>
      <x:c r="O1058" s="8" t="n">
        <x:f>ABS(M1058)</x:f>
        <x:v>1.917655032192477</x:v>
      </x:c>
      <x:c r="P1058" s="7" t="n">
        <x:v>46045</x:v>
      </x:c>
    </x:row>
    <x:row r="1059" ht="26" customHeight="1">
      <x:c r="A1059" s="2"/>
      <x:c r="B1059" s="2" t="n">
        <x:v>1054</x:v>
      </x:c>
      <x:c r="C1059" s="2" t="str">
        <x:v>Baby, Feminine &amp; Family Care / price_contribution</x:v>
      </x:c>
      <x:c r="D1059" s="7" t="n">
        <x:v>46022</x:v>
      </x:c>
      <x:c r="E1059" s="2" t="str">
        <x:v>Prior report</x:v>
      </x:c>
      <x:c r="F1059" s="7" t="n">
        <x:v>45954</x:v>
      </x:c>
      <x:c r="G1059" s="2" t="str">
        <x:v>Last actual</x:v>
      </x:c>
      <x:c r="H1059" s="8" t="n">
        <x:f>AVERAGE('PG facts'!D136)</x:f>
        <x:v>0</x:v>
      </x:c>
      <x:c r="I1059" s="8" t="n">
        <x:f>0</x:f>
        <x:v>0</x:v>
      </x:c>
      <x:c r="J1059" s="8" t="n">
        <x:v>0</x:v>
      </x:c>
      <x:c r="K1059" s="8" t="n">
        <x:f>H1059-I1059*J1059</x:f>
        <x:v>0</x:v>
      </x:c>
      <x:c r="L1059" s="8" t="n">
        <x:f>'PG facts'!D143</x:f>
        <x:v>0</x:v>
      </x:c>
      <x:c r="M1059" s="8" t="n">
        <x:f>K1059-L1059</x:f>
        <x:v>0</x:v>
      </x:c>
      <x:c r="N1059" s="8" t="n">
        <x:f>M1059^2</x:f>
        <x:v>0</x:v>
      </x:c>
      <x:c r="O1059" s="8" t="n">
        <x:f>ABS(M1059)</x:f>
        <x:v>0</x:v>
      </x:c>
      <x:c r="P1059" s="7" t="n">
        <x:v>46045</x:v>
      </x:c>
    </x:row>
    <x:row r="1060" ht="26" customHeight="1">
      <x:c r="A1060" s="2"/>
      <x:c r="B1060" s="2" t="n">
        <x:v>1055</x:v>
      </x:c>
      <x:c r="C1060" s="2" t="str">
        <x:v>Baby, Feminine &amp; Family Care / price_contribution</x:v>
      </x:c>
      <x:c r="D1060" s="7" t="n">
        <x:v>46022</x:v>
      </x:c>
      <x:c r="E1060" s="2" t="str">
        <x:v>Prior report</x:v>
      </x:c>
      <x:c r="F1060" s="7" t="n">
        <x:v>45954</x:v>
      </x:c>
      <x:c r="G1060" s="2" t="str">
        <x:v>Four-quarter mean</x:v>
      </x:c>
      <x:c r="H1060" s="8" t="n">
        <x:f>AVERAGE('PG facts'!D115,'PG facts'!D122,'PG facts'!D129,'PG facts'!D136)</x:f>
        <x:v>0</x:v>
      </x:c>
      <x:c r="I1060" s="8" t="n">
        <x:f>0</x:f>
        <x:v>0</x:v>
      </x:c>
      <x:c r="J1060" s="8" t="n">
        <x:v>0</x:v>
      </x:c>
      <x:c r="K1060" s="8" t="n">
        <x:f>H1060-I1060*J1060</x:f>
        <x:v>0</x:v>
      </x:c>
      <x:c r="L1060" s="8" t="n">
        <x:f>'PG facts'!D143</x:f>
        <x:v>0</x:v>
      </x:c>
      <x:c r="M1060" s="8" t="n">
        <x:f>K1060-L1060</x:f>
        <x:v>0</x:v>
      </x:c>
      <x:c r="N1060" s="8" t="n">
        <x:f>M1060^2</x:f>
        <x:v>0</x:v>
      </x:c>
      <x:c r="O1060" s="8" t="n">
        <x:f>ABS(M1060)</x:f>
        <x:v>0</x:v>
      </x:c>
      <x:c r="P1060" s="7" t="n">
        <x:v>46045</x:v>
      </x:c>
    </x:row>
    <x:row r="1061" ht="26" customHeight="1">
      <x:c r="A1061" s="2"/>
      <x:c r="B1061" s="2" t="n">
        <x:v>1056</x:v>
      </x:c>
      <x:c r="C1061" s="2" t="str">
        <x:v>Baby, Feminine &amp; Family Care / price_contribution</x:v>
      </x:c>
      <x:c r="D1061" s="7" t="n">
        <x:v>46022</x:v>
      </x:c>
      <x:c r="E1061" s="2" t="str">
        <x:v>Prior report</x:v>
      </x:c>
      <x:c r="F1061" s="7" t="n">
        <x:v>45954</x:v>
      </x:c>
      <x:c r="G1061" s="2" t="str">
        <x:v>Broad market</x:v>
      </x:c>
      <x:c r="H1061" s="8" t="n">
        <x:f>'Model fits'!AA709</x:f>
        <x:v>1.648860688179635</x:v>
      </x:c>
      <x:c r="I1061" s="8" t="n">
        <x:f>0</x:f>
        <x:v>0</x:v>
      </x:c>
      <x:c r="J1061" s="8" t="n">
        <x:v>0</x:v>
      </x:c>
      <x:c r="K1061" s="8" t="n">
        <x:f>H1061-I1061*J1061</x:f>
        <x:v>1.648860688179635</x:v>
      </x:c>
      <x:c r="L1061" s="8" t="n">
        <x:f>'PG facts'!D143</x:f>
        <x:v>0</x:v>
      </x:c>
      <x:c r="M1061" s="8" t="n">
        <x:f>K1061-L1061</x:f>
        <x:v>1.648860688179635</x:v>
      </x:c>
      <x:c r="N1061" s="8" t="n">
        <x:f>M1061^2</x:f>
        <x:v>2.71874156902422</x:v>
      </x:c>
      <x:c r="O1061" s="8" t="n">
        <x:f>ABS(M1061)</x:f>
        <x:v>1.648860688179635</x:v>
      </x:c>
      <x:c r="P1061" s="7" t="n">
        <x:v>46045</x:v>
      </x:c>
    </x:row>
    <x:row r="1062" ht="26" customHeight="1">
      <x:c r="A1062" s="2"/>
      <x:c r="B1062" s="2" t="n">
        <x:v>1057</x:v>
      </x:c>
      <x:c r="C1062" s="2" t="str">
        <x:v>Baby, Feminine &amp; Family Care / price_contribution</x:v>
      </x:c>
      <x:c r="D1062" s="7" t="n">
        <x:v>46022</x:v>
      </x:c>
      <x:c r="E1062" s="2" t="str">
        <x:v>Prior report</x:v>
      </x:c>
      <x:c r="F1062" s="7" t="n">
        <x:v>45954</x:v>
      </x:c>
      <x:c r="G1062" s="2" t="str">
        <x:v>Broad lag 1</x:v>
      </x:c>
      <x:c r="H1062" s="8" t="n">
        <x:f>'Model fits'!AA710</x:f>
        <x:v>1.9624057293212598</x:v>
      </x:c>
      <x:c r="I1062" s="8" t="n">
        <x:f>0</x:f>
        <x:v>0</x:v>
      </x:c>
      <x:c r="J1062" s="8" t="n">
        <x:v>0</x:v>
      </x:c>
      <x:c r="K1062" s="8" t="n">
        <x:f>H1062-I1062*J1062</x:f>
        <x:v>1.9624057293212598</x:v>
      </x:c>
      <x:c r="L1062" s="8" t="n">
        <x:f>'PG facts'!D143</x:f>
        <x:v>0</x:v>
      </x:c>
      <x:c r="M1062" s="8" t="n">
        <x:f>K1062-L1062</x:f>
        <x:v>1.9624057293212598</x:v>
      </x:c>
      <x:c r="N1062" s="8" t="n">
        <x:f>M1062^2</x:f>
        <x:v>3.8510362464729053</x:v>
      </x:c>
      <x:c r="O1062" s="8" t="n">
        <x:f>ABS(M1062)</x:f>
        <x:v>1.9624057293212598</x:v>
      </x:c>
      <x:c r="P1062" s="7" t="n">
        <x:v>46045</x:v>
      </x:c>
    </x:row>
    <x:row r="1063" ht="26" customHeight="1">
      <x:c r="A1063" s="2"/>
      <x:c r="B1063" s="2" t="n">
        <x:v>1058</x:v>
      </x:c>
      <x:c r="C1063" s="2" t="str">
        <x:v>Baby, Feminine &amp; Family Care / price_contribution</x:v>
      </x:c>
      <x:c r="D1063" s="7" t="n">
        <x:v>46022</x:v>
      </x:c>
      <x:c r="E1063" s="2" t="str">
        <x:v>Prior report</x:v>
      </x:c>
      <x:c r="F1063" s="7" t="n">
        <x:v>45954</x:v>
      </x:c>
      <x:c r="G1063" s="2" t="str">
        <x:v>Broad rolling 8</x:v>
      </x:c>
      <x:c r="H1063" s="8" t="n">
        <x:f>'Model fits'!AA711</x:f>
        <x:v>0.32052802298381533</x:v>
      </x:c>
      <x:c r="I1063" s="8" t="n">
        <x:f>0</x:f>
        <x:v>0</x:v>
      </x:c>
      <x:c r="J1063" s="8" t="n">
        <x:v>0</x:v>
      </x:c>
      <x:c r="K1063" s="8" t="n">
        <x:f>H1063-I1063*J1063</x:f>
        <x:v>0.32052802298381533</x:v>
      </x:c>
      <x:c r="L1063" s="8" t="n">
        <x:f>'PG facts'!D143</x:f>
        <x:v>0</x:v>
      </x:c>
      <x:c r="M1063" s="8" t="n">
        <x:f>K1063-L1063</x:f>
        <x:v>0.32052802298381533</x:v>
      </x:c>
      <x:c r="N1063" s="8" t="n">
        <x:f>M1063^2</x:f>
        <x:v>0.10273821351791325</x:v>
      </x:c>
      <x:c r="O1063" s="8" t="n">
        <x:f>ABS(M1063)</x:f>
        <x:v>0.32052802298381533</x:v>
      </x:c>
      <x:c r="P1063" s="7" t="n">
        <x:v>46045</x:v>
      </x:c>
    </x:row>
    <x:row r="1064" ht="26" customHeight="1">
      <x:c r="A1064" s="2"/>
      <x:c r="B1064" s="2" t="n">
        <x:v>1059</x:v>
      </x:c>
      <x:c r="C1064" s="2" t="str">
        <x:v>Baby, Feminine &amp; Family Care / price_contribution</x:v>
      </x:c>
      <x:c r="D1064" s="7" t="n">
        <x:v>46022</x:v>
      </x:c>
      <x:c r="E1064" s="2" t="str">
        <x:v>Prior report</x:v>
      </x:c>
      <x:c r="F1064" s="7" t="n">
        <x:v>45954</x:v>
      </x:c>
      <x:c r="G1064" s="2" t="str">
        <x:v>Own history</x:v>
      </x:c>
      <x:c r="H1064" s="8" t="n">
        <x:f>'Model fits'!AA712</x:f>
        <x:v>0.295108695652174</x:v>
      </x:c>
      <x:c r="I1064" s="8" t="n">
        <x:f>0</x:f>
        <x:v>0</x:v>
      </x:c>
      <x:c r="J1064" s="8" t="n">
        <x:v>0</x:v>
      </x:c>
      <x:c r="K1064" s="8" t="n">
        <x:f>H1064-I1064*J1064</x:f>
        <x:v>0.295108695652174</x:v>
      </x:c>
      <x:c r="L1064" s="8" t="n">
        <x:f>'PG facts'!D143</x:f>
        <x:v>0</x:v>
      </x:c>
      <x:c r="M1064" s="8" t="n">
        <x:f>K1064-L1064</x:f>
        <x:v>0.295108695652174</x:v>
      </x:c>
      <x:c r="N1064" s="8" t="n">
        <x:f>M1064^2</x:f>
        <x:v>0.08708914224952748</x:v>
      </x:c>
      <x:c r="O1064" s="8" t="n">
        <x:f>ABS(M1064)</x:f>
        <x:v>0.295108695652174</x:v>
      </x:c>
      <x:c r="P1064" s="7" t="n">
        <x:v>46045</x:v>
      </x:c>
    </x:row>
    <x:row r="1065" ht="26" customHeight="1">
      <x:c r="A1065" s="2"/>
      <x:c r="B1065" s="2" t="n">
        <x:v>1060</x:v>
      </x:c>
      <x:c r="C1065" s="2" t="str">
        <x:v>Baby, Feminine &amp; Family Care / price_contribution</x:v>
      </x:c>
      <x:c r="D1065" s="7" t="n">
        <x:v>46022</x:v>
      </x:c>
      <x:c r="E1065" s="2" t="str">
        <x:v>Pre-earnings</x:v>
      </x:c>
      <x:c r="F1065" s="7" t="n">
        <x:v>46044</x:v>
      </x:c>
      <x:c r="G1065" s="2" t="str">
        <x:v>Last actual</x:v>
      </x:c>
      <x:c r="H1065" s="8" t="n">
        <x:f>AVERAGE('PG facts'!D136)</x:f>
        <x:v>0</x:v>
      </x:c>
      <x:c r="I1065" s="8" t="n">
        <x:f>0</x:f>
        <x:v>0</x:v>
      </x:c>
      <x:c r="J1065" s="8" t="n">
        <x:v>0</x:v>
      </x:c>
      <x:c r="K1065" s="8" t="n">
        <x:f>H1065-I1065*J1065</x:f>
        <x:v>0</x:v>
      </x:c>
      <x:c r="L1065" s="8" t="n">
        <x:f>'PG facts'!D143</x:f>
        <x:v>0</x:v>
      </x:c>
      <x:c r="M1065" s="8" t="n">
        <x:f>K1065-L1065</x:f>
        <x:v>0</x:v>
      </x:c>
      <x:c r="N1065" s="8" t="n">
        <x:f>M1065^2</x:f>
        <x:v>0</x:v>
      </x:c>
      <x:c r="O1065" s="8" t="n">
        <x:f>ABS(M1065)</x:f>
        <x:v>0</x:v>
      </x:c>
      <x:c r="P1065" s="7" t="n">
        <x:v>46045</x:v>
      </x:c>
    </x:row>
    <x:row r="1066" ht="26" customHeight="1">
      <x:c r="A1066" s="2"/>
      <x:c r="B1066" s="2" t="n">
        <x:v>1061</x:v>
      </x:c>
      <x:c r="C1066" s="2" t="str">
        <x:v>Baby, Feminine &amp; Family Care / price_contribution</x:v>
      </x:c>
      <x:c r="D1066" s="7" t="n">
        <x:v>46022</x:v>
      </x:c>
      <x:c r="E1066" s="2" t="str">
        <x:v>Pre-earnings</x:v>
      </x:c>
      <x:c r="F1066" s="7" t="n">
        <x:v>46044</x:v>
      </x:c>
      <x:c r="G1066" s="2" t="str">
        <x:v>Four-quarter mean</x:v>
      </x:c>
      <x:c r="H1066" s="8" t="n">
        <x:f>AVERAGE('PG facts'!D115,'PG facts'!D122,'PG facts'!D129,'PG facts'!D136)</x:f>
        <x:v>0</x:v>
      </x:c>
      <x:c r="I1066" s="8" t="n">
        <x:f>0</x:f>
        <x:v>0</x:v>
      </x:c>
      <x:c r="J1066" s="8" t="n">
        <x:v>0</x:v>
      </x:c>
      <x:c r="K1066" s="8" t="n">
        <x:f>H1066-I1066*J1066</x:f>
        <x:v>0</x:v>
      </x:c>
      <x:c r="L1066" s="8" t="n">
        <x:f>'PG facts'!D143</x:f>
        <x:v>0</x:v>
      </x:c>
      <x:c r="M1066" s="8" t="n">
        <x:f>K1066-L1066</x:f>
        <x:v>0</x:v>
      </x:c>
      <x:c r="N1066" s="8" t="n">
        <x:f>M1066^2</x:f>
        <x:v>0</x:v>
      </x:c>
      <x:c r="O1066" s="8" t="n">
        <x:f>ABS(M1066)</x:f>
        <x:v>0</x:v>
      </x:c>
      <x:c r="P1066" s="7" t="n">
        <x:v>46045</x:v>
      </x:c>
    </x:row>
    <x:row r="1067" ht="26" customHeight="1">
      <x:c r="A1067" s="2"/>
      <x:c r="B1067" s="2" t="n">
        <x:v>1062</x:v>
      </x:c>
      <x:c r="C1067" s="2" t="str">
        <x:v>Baby, Feminine &amp; Family Care / price_contribution</x:v>
      </x:c>
      <x:c r="D1067" s="7" t="n">
        <x:v>46022</x:v>
      </x:c>
      <x:c r="E1067" s="2" t="str">
        <x:v>Pre-earnings</x:v>
      </x:c>
      <x:c r="F1067" s="7" t="n">
        <x:v>46044</x:v>
      </x:c>
      <x:c r="G1067" s="2" t="str">
        <x:v>Broad market</x:v>
      </x:c>
      <x:c r="H1067" s="8" t="n">
        <x:f>'Model fits'!AA713</x:f>
        <x:v>1.8199894104347967</x:v>
      </x:c>
      <x:c r="I1067" s="8" t="n">
        <x:f>0</x:f>
        <x:v>0</x:v>
      </x:c>
      <x:c r="J1067" s="8" t="n">
        <x:v>0</x:v>
      </x:c>
      <x:c r="K1067" s="8" t="n">
        <x:f>H1067-I1067*J1067</x:f>
        <x:v>1.8199894104347967</x:v>
      </x:c>
      <x:c r="L1067" s="8" t="n">
        <x:f>'PG facts'!D143</x:f>
        <x:v>0</x:v>
      </x:c>
      <x:c r="M1067" s="8" t="n">
        <x:f>K1067-L1067</x:f>
        <x:v>1.8199894104347967</x:v>
      </x:c>
      <x:c r="N1067" s="8" t="n">
        <x:f>M1067^2</x:f>
        <x:v>3.3123614540947988</x:v>
      </x:c>
      <x:c r="O1067" s="8" t="n">
        <x:f>ABS(M1067)</x:f>
        <x:v>1.8199894104347967</x:v>
      </x:c>
      <x:c r="P1067" s="7" t="n">
        <x:v>46045</x:v>
      </x:c>
    </x:row>
    <x:row r="1068" ht="26" customHeight="1">
      <x:c r="A1068" s="2"/>
      <x:c r="B1068" s="2" t="n">
        <x:v>1063</x:v>
      </x:c>
      <x:c r="C1068" s="2" t="str">
        <x:v>Baby, Feminine &amp; Family Care / price_contribution</x:v>
      </x:c>
      <x:c r="D1068" s="7" t="n">
        <x:v>46022</x:v>
      </x:c>
      <x:c r="E1068" s="2" t="str">
        <x:v>Pre-earnings</x:v>
      </x:c>
      <x:c r="F1068" s="7" t="n">
        <x:v>46044</x:v>
      </x:c>
      <x:c r="G1068" s="2" t="str">
        <x:v>Broad lag 1</x:v>
      </x:c>
      <x:c r="H1068" s="8" t="n">
        <x:f>'Model fits'!AA714</x:f>
        <x:v>1.9624057293212598</x:v>
      </x:c>
      <x:c r="I1068" s="8" t="n">
        <x:f>0</x:f>
        <x:v>0</x:v>
      </x:c>
      <x:c r="J1068" s="8" t="n">
        <x:v>0</x:v>
      </x:c>
      <x:c r="K1068" s="8" t="n">
        <x:f>H1068-I1068*J1068</x:f>
        <x:v>1.9624057293212598</x:v>
      </x:c>
      <x:c r="L1068" s="8" t="n">
        <x:f>'PG facts'!D143</x:f>
        <x:v>0</x:v>
      </x:c>
      <x:c r="M1068" s="8" t="n">
        <x:f>K1068-L1068</x:f>
        <x:v>1.9624057293212598</x:v>
      </x:c>
      <x:c r="N1068" s="8" t="n">
        <x:f>M1068^2</x:f>
        <x:v>3.8510362464729053</x:v>
      </x:c>
      <x:c r="O1068" s="8" t="n">
        <x:f>ABS(M1068)</x:f>
        <x:v>1.9624057293212598</x:v>
      </x:c>
      <x:c r="P1068" s="7" t="n">
        <x:v>46045</x:v>
      </x:c>
    </x:row>
    <x:row r="1069" ht="26" customHeight="1">
      <x:c r="A1069" s="2"/>
      <x:c r="B1069" s="2" t="n">
        <x:v>1064</x:v>
      </x:c>
      <x:c r="C1069" s="2" t="str">
        <x:v>Baby, Feminine &amp; Family Care / price_contribution</x:v>
      </x:c>
      <x:c r="D1069" s="7" t="n">
        <x:v>46022</x:v>
      </x:c>
      <x:c r="E1069" s="2" t="str">
        <x:v>Pre-earnings</x:v>
      </x:c>
      <x:c r="F1069" s="7" t="n">
        <x:v>46044</x:v>
      </x:c>
      <x:c r="G1069" s="2" t="str">
        <x:v>Broad rolling 8</x:v>
      </x:c>
      <x:c r="H1069" s="8" t="n">
        <x:f>'Model fits'!AA715</x:f>
        <x:v>0.45958842124654375</x:v>
      </x:c>
      <x:c r="I1069" s="8" t="n">
        <x:f>0</x:f>
        <x:v>0</x:v>
      </x:c>
      <x:c r="J1069" s="8" t="n">
        <x:v>0</x:v>
      </x:c>
      <x:c r="K1069" s="8" t="n">
        <x:f>H1069-I1069*J1069</x:f>
        <x:v>0.45958842124654375</x:v>
      </x:c>
      <x:c r="L1069" s="8" t="n">
        <x:f>'PG facts'!D143</x:f>
        <x:v>0</x:v>
      </x:c>
      <x:c r="M1069" s="8" t="n">
        <x:f>K1069-L1069</x:f>
        <x:v>0.45958842124654375</x:v>
      </x:c>
      <x:c r="N1069" s="8" t="n">
        <x:f>M1069^2</x:f>
        <x:v>0.21122151694389055</x:v>
      </x:c>
      <x:c r="O1069" s="8" t="n">
        <x:f>ABS(M1069)</x:f>
        <x:v>0.45958842124654375</x:v>
      </x:c>
      <x:c r="P1069" s="7" t="n">
        <x:v>46045</x:v>
      </x:c>
    </x:row>
    <x:row r="1070" ht="26" customHeight="1">
      <x:c r="A1070" s="2"/>
      <x:c r="B1070" s="2" t="n">
        <x:v>1065</x:v>
      </x:c>
      <x:c r="C1070" s="2" t="str">
        <x:v>Baby, Feminine &amp; Family Care / price_contribution</x:v>
      </x:c>
      <x:c r="D1070" s="7" t="n">
        <x:v>46022</x:v>
      </x:c>
      <x:c r="E1070" s="2" t="str">
        <x:v>Pre-earnings</x:v>
      </x:c>
      <x:c r="F1070" s="7" t="n">
        <x:v>46044</x:v>
      </x:c>
      <x:c r="G1070" s="2" t="str">
        <x:v>Own history</x:v>
      </x:c>
      <x:c r="H1070" s="8" t="n">
        <x:f>'Model fits'!AA716</x:f>
        <x:v>0.295108695652174</x:v>
      </x:c>
      <x:c r="I1070" s="8" t="n">
        <x:f>0</x:f>
        <x:v>0</x:v>
      </x:c>
      <x:c r="J1070" s="8" t="n">
        <x:v>0</x:v>
      </x:c>
      <x:c r="K1070" s="8" t="n">
        <x:f>H1070-I1070*J1070</x:f>
        <x:v>0.295108695652174</x:v>
      </x:c>
      <x:c r="L1070" s="8" t="n">
        <x:f>'PG facts'!D143</x:f>
        <x:v>0</x:v>
      </x:c>
      <x:c r="M1070" s="8" t="n">
        <x:f>K1070-L1070</x:f>
        <x:v>0.295108695652174</x:v>
      </x:c>
      <x:c r="N1070" s="8" t="n">
        <x:f>M1070^2</x:f>
        <x:v>0.08708914224952748</x:v>
      </x:c>
      <x:c r="O1070" s="8" t="n">
        <x:f>ABS(M1070)</x:f>
        <x:v>0.295108695652174</x:v>
      </x:c>
      <x:c r="P1070" s="7" t="n">
        <x:v>46045</x:v>
      </x:c>
    </x:row>
    <x:row r="1071" ht="26" customHeight="1">
      <x:c r="A1071" s="2"/>
      <x:c r="B1071" s="2" t="n">
        <x:v>1066</x:v>
      </x:c>
      <x:c r="C1071" s="2" t="str">
        <x:v>Baby, Feminine &amp; Family Care / price_contribution</x:v>
      </x:c>
      <x:c r="D1071" s="7" t="n">
        <x:v>46112</x:v>
      </x:c>
      <x:c r="E1071" s="2" t="str">
        <x:v>Origin</x:v>
      </x:c>
      <x:c r="F1071" s="7" t="n">
        <x:v>46023</x:v>
      </x:c>
      <x:c r="G1071" s="2" t="str">
        <x:v>Last actual</x:v>
      </x:c>
      <x:c r="H1071" s="8" t="n">
        <x:f>AVERAGE('PG facts'!D136)</x:f>
        <x:v>0</x:v>
      </x:c>
      <x:c r="I1071" s="8" t="n">
        <x:f>0</x:f>
        <x:v>0</x:v>
      </x:c>
      <x:c r="J1071" s="8" t="n">
        <x:v>0</x:v>
      </x:c>
      <x:c r="K1071" s="8" t="n">
        <x:f>H1071-I1071*J1071</x:f>
        <x:v>0</x:v>
      </x:c>
      <x:c r="L1071" s="8" t="n">
        <x:f>'PG facts'!D150</x:f>
        <x:v>0</x:v>
      </x:c>
      <x:c r="M1071" s="8" t="n">
        <x:f>K1071-L1071</x:f>
        <x:v>0</x:v>
      </x:c>
      <x:c r="N1071" s="8" t="n">
        <x:f>M1071^2</x:f>
        <x:v>0</x:v>
      </x:c>
      <x:c r="O1071" s="8" t="n">
        <x:f>ABS(M1071)</x:f>
        <x:v>0</x:v>
      </x:c>
      <x:c r="P1071" s="7" t="n">
        <x:v>46136</x:v>
      </x:c>
    </x:row>
    <x:row r="1072" ht="26" customHeight="1">
      <x:c r="A1072" s="2"/>
      <x:c r="B1072" s="2" t="n">
        <x:v>1067</x:v>
      </x:c>
      <x:c r="C1072" s="2" t="str">
        <x:v>Baby, Feminine &amp; Family Care / price_contribution</x:v>
      </x:c>
      <x:c r="D1072" s="7" t="n">
        <x:v>46112</x:v>
      </x:c>
      <x:c r="E1072" s="2" t="str">
        <x:v>Origin</x:v>
      </x:c>
      <x:c r="F1072" s="7" t="n">
        <x:v>46023</x:v>
      </x:c>
      <x:c r="G1072" s="2" t="str">
        <x:v>Four-quarter mean</x:v>
      </x:c>
      <x:c r="H1072" s="8" t="n">
        <x:f>AVERAGE('PG facts'!D115,'PG facts'!D122,'PG facts'!D129,'PG facts'!D136)</x:f>
        <x:v>0</x:v>
      </x:c>
      <x:c r="I1072" s="8" t="n">
        <x:f>0</x:f>
        <x:v>0</x:v>
      </x:c>
      <x:c r="J1072" s="8" t="n">
        <x:v>0</x:v>
      </x:c>
      <x:c r="K1072" s="8" t="n">
        <x:f>H1072-I1072*J1072</x:f>
        <x:v>0</x:v>
      </x:c>
      <x:c r="L1072" s="8" t="n">
        <x:f>'PG facts'!D150</x:f>
        <x:v>0</x:v>
      </x:c>
      <x:c r="M1072" s="8" t="n">
        <x:f>K1072-L1072</x:f>
        <x:v>0</x:v>
      </x:c>
      <x:c r="N1072" s="8" t="n">
        <x:f>M1072^2</x:f>
        <x:v>0</x:v>
      </x:c>
      <x:c r="O1072" s="8" t="n">
        <x:f>ABS(M1072)</x:f>
        <x:v>0</x:v>
      </x:c>
      <x:c r="P1072" s="7" t="n">
        <x:v>46136</x:v>
      </x:c>
    </x:row>
    <x:row r="1073" ht="26" customHeight="1">
      <x:c r="A1073" s="2"/>
      <x:c r="B1073" s="2" t="n">
        <x:v>1068</x:v>
      </x:c>
      <x:c r="C1073" s="2" t="str">
        <x:v>Baby, Feminine &amp; Family Care / price_contribution</x:v>
      </x:c>
      <x:c r="D1073" s="7" t="n">
        <x:v>46112</x:v>
      </x:c>
      <x:c r="E1073" s="2" t="str">
        <x:v>Origin</x:v>
      </x:c>
      <x:c r="F1073" s="7" t="n">
        <x:v>46023</x:v>
      </x:c>
      <x:c r="G1073" s="2" t="str">
        <x:v>Broad market</x:v>
      </x:c>
      <x:c r="H1073" s="8" t="n">
        <x:f>'Model fits'!AA717</x:f>
        <x:v>1.771372244366514</x:v>
      </x:c>
      <x:c r="I1073" s="8" t="n">
        <x:f>0</x:f>
        <x:v>0</x:v>
      </x:c>
      <x:c r="J1073" s="8" t="n">
        <x:v>0</x:v>
      </x:c>
      <x:c r="K1073" s="8" t="n">
        <x:f>H1073-I1073*J1073</x:f>
        <x:v>1.771372244366514</x:v>
      </x:c>
      <x:c r="L1073" s="8" t="n">
        <x:f>'PG facts'!D150</x:f>
        <x:v>0</x:v>
      </x:c>
      <x:c r="M1073" s="8" t="n">
        <x:f>K1073-L1073</x:f>
        <x:v>1.771372244366514</x:v>
      </x:c>
      <x:c r="N1073" s="8" t="n">
        <x:f>M1073^2</x:f>
        <x:v>3.1377596281120614</x:v>
      </x:c>
      <x:c r="O1073" s="8" t="n">
        <x:f>ABS(M1073)</x:f>
        <x:v>1.771372244366514</x:v>
      </x:c>
      <x:c r="P1073" s="7" t="n">
        <x:v>46136</x:v>
      </x:c>
    </x:row>
    <x:row r="1074" ht="26" customHeight="1">
      <x:c r="A1074" s="2"/>
      <x:c r="B1074" s="2" t="n">
        <x:v>1069</x:v>
      </x:c>
      <x:c r="C1074" s="2" t="str">
        <x:v>Baby, Feminine &amp; Family Care / price_contribution</x:v>
      </x:c>
      <x:c r="D1074" s="7" t="n">
        <x:v>46112</x:v>
      </x:c>
      <x:c r="E1074" s="2" t="str">
        <x:v>Origin</x:v>
      </x:c>
      <x:c r="F1074" s="7" t="n">
        <x:v>46023</x:v>
      </x:c>
      <x:c r="G1074" s="2" t="str">
        <x:v>Broad rolling 8</x:v>
      </x:c>
      <x:c r="H1074" s="8" t="n">
        <x:f>'Model fits'!AA718</x:f>
        <x:v>0.4200817715926066</x:v>
      </x:c>
      <x:c r="I1074" s="8" t="n">
        <x:f>0</x:f>
        <x:v>0</x:v>
      </x:c>
      <x:c r="J1074" s="8" t="n">
        <x:v>0</x:v>
      </x:c>
      <x:c r="K1074" s="8" t="n">
        <x:f>H1074-I1074*J1074</x:f>
        <x:v>0.4200817715926066</x:v>
      </x:c>
      <x:c r="L1074" s="8" t="n">
        <x:f>'PG facts'!D150</x:f>
        <x:v>0</x:v>
      </x:c>
      <x:c r="M1074" s="8" t="n">
        <x:f>K1074-L1074</x:f>
        <x:v>0.4200817715926066</x:v>
      </x:c>
      <x:c r="N1074" s="8" t="n">
        <x:f>M1074^2</x:f>
        <x:v>0.17646869482438293</x:v>
      </x:c>
      <x:c r="O1074" s="8" t="n">
        <x:f>ABS(M1074)</x:f>
        <x:v>0.4200817715926066</x:v>
      </x:c>
      <x:c r="P1074" s="7" t="n">
        <x:v>46136</x:v>
      </x:c>
    </x:row>
    <x:row r="1075" ht="26" customHeight="1">
      <x:c r="A1075" s="2"/>
      <x:c r="B1075" s="2" t="n">
        <x:v>1070</x:v>
      </x:c>
      <x:c r="C1075" s="2" t="str">
        <x:v>Baby, Feminine &amp; Family Care / price_contribution</x:v>
      </x:c>
      <x:c r="D1075" s="7" t="n">
        <x:v>46112</x:v>
      </x:c>
      <x:c r="E1075" s="2" t="str">
        <x:v>Origin</x:v>
      </x:c>
      <x:c r="F1075" s="7" t="n">
        <x:v>46023</x:v>
      </x:c>
      <x:c r="G1075" s="2" t="str">
        <x:v>Own history</x:v>
      </x:c>
      <x:c r="H1075" s="8" t="n">
        <x:f>'Model fits'!AA719</x:f>
        <x:v>1.128859857482186</x:v>
      </x:c>
      <x:c r="I1075" s="8" t="n">
        <x:f>0</x:f>
        <x:v>0</x:v>
      </x:c>
      <x:c r="J1075" s="8" t="n">
        <x:v>0</x:v>
      </x:c>
      <x:c r="K1075" s="8" t="n">
        <x:f>H1075-I1075*J1075</x:f>
        <x:v>1.128859857482186</x:v>
      </x:c>
      <x:c r="L1075" s="8" t="n">
        <x:f>'PG facts'!D150</x:f>
        <x:v>0</x:v>
      </x:c>
      <x:c r="M1075" s="8" t="n">
        <x:f>K1075-L1075</x:f>
        <x:v>1.128859857482186</x:v>
      </x:c>
      <x:c r="N1075" s="8" t="n">
        <x:f>M1075^2</x:f>
        <x:v>1.2743245778347012</x:v>
      </x:c>
      <x:c r="O1075" s="8" t="n">
        <x:f>ABS(M1075)</x:f>
        <x:v>1.128859857482186</x:v>
      </x:c>
      <x:c r="P1075" s="7" t="n">
        <x:v>46136</x:v>
      </x:c>
    </x:row>
    <x:row r="1076" ht="26" customHeight="1">
      <x:c r="A1076" s="2"/>
      <x:c r="B1076" s="2" t="n">
        <x:v>1071</x:v>
      </x:c>
      <x:c r="C1076" s="2" t="str">
        <x:v>Baby, Feminine &amp; Family Care / price_contribution</x:v>
      </x:c>
      <x:c r="D1076" s="7" t="n">
        <x:v>46112</x:v>
      </x:c>
      <x:c r="E1076" s="2" t="str">
        <x:v>Prior report</x:v>
      </x:c>
      <x:c r="F1076" s="7" t="n">
        <x:v>46045</x:v>
      </x:c>
      <x:c r="G1076" s="2" t="str">
        <x:v>Last actual</x:v>
      </x:c>
      <x:c r="H1076" s="8" t="n">
        <x:f>AVERAGE('PG facts'!D143)</x:f>
        <x:v>0</x:v>
      </x:c>
      <x:c r="I1076" s="8" t="n">
        <x:f>0</x:f>
        <x:v>0</x:v>
      </x:c>
      <x:c r="J1076" s="8" t="n">
        <x:v>0</x:v>
      </x:c>
      <x:c r="K1076" s="8" t="n">
        <x:f>H1076-I1076*J1076</x:f>
        <x:v>0</x:v>
      </x:c>
      <x:c r="L1076" s="8" t="n">
        <x:f>'PG facts'!D150</x:f>
        <x:v>0</x:v>
      </x:c>
      <x:c r="M1076" s="8" t="n">
        <x:f>K1076-L1076</x:f>
        <x:v>0</x:v>
      </x:c>
      <x:c r="N1076" s="8" t="n">
        <x:f>M1076^2</x:f>
        <x:v>0</x:v>
      </x:c>
      <x:c r="O1076" s="8" t="n">
        <x:f>ABS(M1076)</x:f>
        <x:v>0</x:v>
      </x:c>
      <x:c r="P1076" s="7" t="n">
        <x:v>46136</x:v>
      </x:c>
    </x:row>
    <x:row r="1077" ht="26" customHeight="1">
      <x:c r="A1077" s="2"/>
      <x:c r="B1077" s="2" t="n">
        <x:v>1072</x:v>
      </x:c>
      <x:c r="C1077" s="2" t="str">
        <x:v>Baby, Feminine &amp; Family Care / price_contribution</x:v>
      </x:c>
      <x:c r="D1077" s="7" t="n">
        <x:v>46112</x:v>
      </x:c>
      <x:c r="E1077" s="2" t="str">
        <x:v>Prior report</x:v>
      </x:c>
      <x:c r="F1077" s="7" t="n">
        <x:v>46045</x:v>
      </x:c>
      <x:c r="G1077" s="2" t="str">
        <x:v>Four-quarter mean</x:v>
      </x:c>
      <x:c r="H1077" s="8" t="n">
        <x:f>AVERAGE('PG facts'!D122,'PG facts'!D129,'PG facts'!D136,'PG facts'!D143)</x:f>
        <x:v>0.25</x:v>
      </x:c>
      <x:c r="I1077" s="8" t="n">
        <x:f>0</x:f>
        <x:v>0</x:v>
      </x:c>
      <x:c r="J1077" s="8" t="n">
        <x:v>0</x:v>
      </x:c>
      <x:c r="K1077" s="8" t="n">
        <x:f>H1077-I1077*J1077</x:f>
        <x:v>0.25</x:v>
      </x:c>
      <x:c r="L1077" s="8" t="n">
        <x:f>'PG facts'!D150</x:f>
        <x:v>0</x:v>
      </x:c>
      <x:c r="M1077" s="8" t="n">
        <x:f>K1077-L1077</x:f>
        <x:v>0.25</x:v>
      </x:c>
      <x:c r="N1077" s="8" t="n">
        <x:f>M1077^2</x:f>
        <x:v>0.0625</x:v>
      </x:c>
      <x:c r="O1077" s="8" t="n">
        <x:f>ABS(M1077)</x:f>
        <x:v>0.25</x:v>
      </x:c>
      <x:c r="P1077" s="7" t="n">
        <x:v>46136</x:v>
      </x:c>
    </x:row>
    <x:row r="1078" ht="26" customHeight="1">
      <x:c r="A1078" s="2"/>
      <x:c r="B1078" s="2" t="n">
        <x:v>1073</x:v>
      </x:c>
      <x:c r="C1078" s="2" t="str">
        <x:v>Baby, Feminine &amp; Family Care / price_contribution</x:v>
      </x:c>
      <x:c r="D1078" s="7" t="n">
        <x:v>46112</x:v>
      </x:c>
      <x:c r="E1078" s="2" t="str">
        <x:v>Prior report</x:v>
      </x:c>
      <x:c r="F1078" s="7" t="n">
        <x:v>46045</x:v>
      </x:c>
      <x:c r="G1078" s="2" t="str">
        <x:v>Broad market</x:v>
      </x:c>
      <x:c r="H1078" s="8" t="n">
        <x:f>'Model fits'!AA720</x:f>
        <x:v>1.907602145924364</x:v>
      </x:c>
      <x:c r="I1078" s="8" t="n">
        <x:f>0</x:f>
        <x:v>0</x:v>
      </x:c>
      <x:c r="J1078" s="8" t="n">
        <x:v>0</x:v>
      </x:c>
      <x:c r="K1078" s="8" t="n">
        <x:f>H1078-I1078*J1078</x:f>
        <x:v>1.907602145924364</x:v>
      </x:c>
      <x:c r="L1078" s="8" t="n">
        <x:f>'PG facts'!D150</x:f>
        <x:v>0</x:v>
      </x:c>
      <x:c r="M1078" s="8" t="n">
        <x:f>K1078-L1078</x:f>
        <x:v>1.907602145924364</x:v>
      </x:c>
      <x:c r="N1078" s="8" t="n">
        <x:f>M1078^2</x:f>
        <x:v>3.6389459471352383</x:v>
      </x:c>
      <x:c r="O1078" s="8" t="n">
        <x:f>ABS(M1078)</x:f>
        <x:v>1.907602145924364</x:v>
      </x:c>
      <x:c r="P1078" s="7" t="n">
        <x:v>46136</x:v>
      </x:c>
    </x:row>
    <x:row r="1079" ht="26" customHeight="1">
      <x:c r="A1079" s="2"/>
      <x:c r="B1079" s="2" t="n">
        <x:v>1074</x:v>
      </x:c>
      <x:c r="C1079" s="2" t="str">
        <x:v>Baby, Feminine &amp; Family Care / price_contribution</x:v>
      </x:c>
      <x:c r="D1079" s="7" t="n">
        <x:v>46112</x:v>
      </x:c>
      <x:c r="E1079" s="2" t="str">
        <x:v>Prior report</x:v>
      </x:c>
      <x:c r="F1079" s="7" t="n">
        <x:v>46045</x:v>
      </x:c>
      <x:c r="G1079" s="2" t="str">
        <x:v>Broad rolling 8</x:v>
      </x:c>
      <x:c r="H1079" s="8" t="n">
        <x:f>'Model fits'!AA721</x:f>
        <x:v>0.5307831437309447</x:v>
      </x:c>
      <x:c r="I1079" s="8" t="n">
        <x:f>0</x:f>
        <x:v>0</x:v>
      </x:c>
      <x:c r="J1079" s="8" t="n">
        <x:v>0</x:v>
      </x:c>
      <x:c r="K1079" s="8" t="n">
        <x:f>H1079-I1079*J1079</x:f>
        <x:v>0.5307831437309447</x:v>
      </x:c>
      <x:c r="L1079" s="8" t="n">
        <x:f>'PG facts'!D150</x:f>
        <x:v>0</x:v>
      </x:c>
      <x:c r="M1079" s="8" t="n">
        <x:f>K1079-L1079</x:f>
        <x:v>0.5307831437309447</x:v>
      </x:c>
      <x:c r="N1079" s="8" t="n">
        <x:f>M1079^2</x:f>
        <x:v>0.2817307456689047</x:v>
      </x:c>
      <x:c r="O1079" s="8" t="n">
        <x:f>ABS(M1079)</x:f>
        <x:v>0.5307831437309447</x:v>
      </x:c>
      <x:c r="P1079" s="7" t="n">
        <x:v>46136</x:v>
      </x:c>
    </x:row>
    <x:row r="1080" ht="26" customHeight="1">
      <x:c r="A1080" s="2"/>
      <x:c r="B1080" s="2" t="n">
        <x:v>1075</x:v>
      </x:c>
      <x:c r="C1080" s="2" t="str">
        <x:v>Baby, Feminine &amp; Family Care / price_contribution</x:v>
      </x:c>
      <x:c r="D1080" s="7" t="n">
        <x:v>46112</x:v>
      </x:c>
      <x:c r="E1080" s="2" t="str">
        <x:v>Prior report</x:v>
      </x:c>
      <x:c r="F1080" s="7" t="n">
        <x:v>46045</x:v>
      </x:c>
      <x:c r="G1080" s="2" t="str">
        <x:v>Own history</x:v>
      </x:c>
      <x:c r="H1080" s="8" t="n">
        <x:f>'Model fits'!AA722</x:f>
        <x:v>0.2650073206442167</x:v>
      </x:c>
      <x:c r="I1080" s="8" t="n">
        <x:f>0</x:f>
        <x:v>0</x:v>
      </x:c>
      <x:c r="J1080" s="8" t="n">
        <x:v>0</x:v>
      </x:c>
      <x:c r="K1080" s="8" t="n">
        <x:f>H1080-I1080*J1080</x:f>
        <x:v>0.2650073206442167</x:v>
      </x:c>
      <x:c r="L1080" s="8" t="n">
        <x:f>'PG facts'!D150</x:f>
        <x:v>0</x:v>
      </x:c>
      <x:c r="M1080" s="8" t="n">
        <x:f>K1080-L1080</x:f>
        <x:v>0.2650073206442167</x:v>
      </x:c>
      <x:c r="N1080" s="8" t="n">
        <x:f>M1080^2</x:f>
        <x:v>0.0702288799950267</x:v>
      </x:c>
      <x:c r="O1080" s="8" t="n">
        <x:f>ABS(M1080)</x:f>
        <x:v>0.2650073206442167</x:v>
      </x:c>
      <x:c r="P1080" s="7" t="n">
        <x:v>46136</x:v>
      </x:c>
    </x:row>
    <x:row r="1081" ht="26" customHeight="1">
      <x:c r="A1081" s="2"/>
      <x:c r="B1081" s="2" t="n">
        <x:v>1076</x:v>
      </x:c>
      <x:c r="C1081" s="2" t="str">
        <x:v>Baby, Feminine &amp; Family Care / price_contribution</x:v>
      </x:c>
      <x:c r="D1081" s="7" t="n">
        <x:v>46112</x:v>
      </x:c>
      <x:c r="E1081" s="2" t="str">
        <x:v>Pre-earnings</x:v>
      </x:c>
      <x:c r="F1081" s="7" t="n">
        <x:v>46135</x:v>
      </x:c>
      <x:c r="G1081" s="2" t="str">
        <x:v>Last actual</x:v>
      </x:c>
      <x:c r="H1081" s="8" t="n">
        <x:f>AVERAGE('PG facts'!D143)</x:f>
        <x:v>0</x:v>
      </x:c>
      <x:c r="I1081" s="8" t="n">
        <x:f>0</x:f>
        <x:v>0</x:v>
      </x:c>
      <x:c r="J1081" s="8" t="n">
        <x:v>0</x:v>
      </x:c>
      <x:c r="K1081" s="8" t="n">
        <x:f>H1081-I1081*J1081</x:f>
        <x:v>0</x:v>
      </x:c>
      <x:c r="L1081" s="8" t="n">
        <x:f>'PG facts'!D150</x:f>
        <x:v>0</x:v>
      </x:c>
      <x:c r="M1081" s="8" t="n">
        <x:f>K1081-L1081</x:f>
        <x:v>0</x:v>
      </x:c>
      <x:c r="N1081" s="8" t="n">
        <x:f>M1081^2</x:f>
        <x:v>0</x:v>
      </x:c>
      <x:c r="O1081" s="8" t="n">
        <x:f>ABS(M1081)</x:f>
        <x:v>0</x:v>
      </x:c>
      <x:c r="P1081" s="7" t="n">
        <x:v>46136</x:v>
      </x:c>
    </x:row>
    <x:row r="1082" ht="26" customHeight="1">
      <x:c r="A1082" s="2"/>
      <x:c r="B1082" s="2" t="n">
        <x:v>1077</x:v>
      </x:c>
      <x:c r="C1082" s="2" t="str">
        <x:v>Baby, Feminine &amp; Family Care / price_contribution</x:v>
      </x:c>
      <x:c r="D1082" s="7" t="n">
        <x:v>46112</x:v>
      </x:c>
      <x:c r="E1082" s="2" t="str">
        <x:v>Pre-earnings</x:v>
      </x:c>
      <x:c r="F1082" s="7" t="n">
        <x:v>46135</x:v>
      </x:c>
      <x:c r="G1082" s="2" t="str">
        <x:v>Four-quarter mean</x:v>
      </x:c>
      <x:c r="H1082" s="8" t="n">
        <x:f>AVERAGE('PG facts'!D122,'PG facts'!D129,'PG facts'!D136,'PG facts'!D143)</x:f>
        <x:v>0.25</x:v>
      </x:c>
      <x:c r="I1082" s="8" t="n">
        <x:f>0</x:f>
        <x:v>0</x:v>
      </x:c>
      <x:c r="J1082" s="8" t="n">
        <x:v>0</x:v>
      </x:c>
      <x:c r="K1082" s="8" t="n">
        <x:f>H1082-I1082*J1082</x:f>
        <x:v>0.25</x:v>
      </x:c>
      <x:c r="L1082" s="8" t="n">
        <x:f>'PG facts'!D150</x:f>
        <x:v>0</x:v>
      </x:c>
      <x:c r="M1082" s="8" t="n">
        <x:f>K1082-L1082</x:f>
        <x:v>0.25</x:v>
      </x:c>
      <x:c r="N1082" s="8" t="n">
        <x:f>M1082^2</x:f>
        <x:v>0.0625</x:v>
      </x:c>
      <x:c r="O1082" s="8" t="n">
        <x:f>ABS(M1082)</x:f>
        <x:v>0.25</x:v>
      </x:c>
      <x:c r="P1082" s="7" t="n">
        <x:v>46136</x:v>
      </x:c>
    </x:row>
    <x:row r="1083" ht="26" customHeight="1">
      <x:c r="A1083" s="2"/>
      <x:c r="B1083" s="2" t="n">
        <x:v>1078</x:v>
      </x:c>
      <x:c r="C1083" s="2" t="str">
        <x:v>Baby, Feminine &amp; Family Care / price_contribution</x:v>
      </x:c>
      <x:c r="D1083" s="7" t="n">
        <x:v>46112</x:v>
      </x:c>
      <x:c r="E1083" s="2" t="str">
        <x:v>Pre-earnings</x:v>
      </x:c>
      <x:c r="F1083" s="7" t="n">
        <x:v>46135</x:v>
      </x:c>
      <x:c r="G1083" s="2" t="str">
        <x:v>Broad market</x:v>
      </x:c>
      <x:c r="H1083" s="8" t="n">
        <x:f>'Model fits'!AA723</x:f>
        <x:v>2.668420085729652</x:v>
      </x:c>
      <x:c r="I1083" s="8" t="n">
        <x:f>0</x:f>
        <x:v>0</x:v>
      </x:c>
      <x:c r="J1083" s="8" t="n">
        <x:v>0</x:v>
      </x:c>
      <x:c r="K1083" s="8" t="n">
        <x:f>H1083-I1083*J1083</x:f>
        <x:v>2.668420085729652</x:v>
      </x:c>
      <x:c r="L1083" s="8" t="n">
        <x:f>'PG facts'!D150</x:f>
        <x:v>0</x:v>
      </x:c>
      <x:c r="M1083" s="8" t="n">
        <x:f>K1083-L1083</x:f>
        <x:v>2.668420085729652</x:v>
      </x:c>
      <x:c r="N1083" s="8" t="n">
        <x:f>M1083^2</x:f>
        <x:v>7.120465753925443</x:v>
      </x:c>
      <x:c r="O1083" s="8" t="n">
        <x:f>ABS(M1083)</x:f>
        <x:v>2.668420085729652</x:v>
      </x:c>
      <x:c r="P1083" s="7" t="n">
        <x:v>46136</x:v>
      </x:c>
    </x:row>
    <x:row r="1084" ht="26" customHeight="1">
      <x:c r="A1084" s="2"/>
      <x:c r="B1084" s="2" t="n">
        <x:v>1079</x:v>
      </x:c>
      <x:c r="C1084" s="2" t="str">
        <x:v>Baby, Feminine &amp; Family Care / price_contribution</x:v>
      </x:c>
      <x:c r="D1084" s="7" t="n">
        <x:v>46112</x:v>
      </x:c>
      <x:c r="E1084" s="2" t="str">
        <x:v>Pre-earnings</x:v>
      </x:c>
      <x:c r="F1084" s="7" t="n">
        <x:v>46135</x:v>
      </x:c>
      <x:c r="G1084" s="2" t="str">
        <x:v>Broad rolling 8</x:v>
      </x:c>
      <x:c r="H1084" s="8" t="n">
        <x:f>'Model fits'!AA724</x:f>
        <x:v>1.1490291302638151</x:v>
      </x:c>
      <x:c r="I1084" s="8" t="n">
        <x:f>0</x:f>
        <x:v>0</x:v>
      </x:c>
      <x:c r="J1084" s="8" t="n">
        <x:v>0</x:v>
      </x:c>
      <x:c r="K1084" s="8" t="n">
        <x:f>H1084-I1084*J1084</x:f>
        <x:v>1.1490291302638151</x:v>
      </x:c>
      <x:c r="L1084" s="8" t="n">
        <x:f>'PG facts'!D150</x:f>
        <x:v>0</x:v>
      </x:c>
      <x:c r="M1084" s="8" t="n">
        <x:f>K1084-L1084</x:f>
        <x:v>1.1490291302638151</x:v>
      </x:c>
      <x:c r="N1084" s="8" t="n">
        <x:f>M1084^2</x:f>
        <x:v>1.3202679421948196</x:v>
      </x:c>
      <x:c r="O1084" s="8" t="n">
        <x:f>ABS(M1084)</x:f>
        <x:v>1.1490291302638151</x:v>
      </x:c>
      <x:c r="P1084" s="7" t="n">
        <x:v>46136</x:v>
      </x:c>
    </x:row>
    <x:row r="1085" ht="26" customHeight="1">
      <x:c r="A1085" s="2"/>
      <x:c r="B1085" s="2" t="n">
        <x:v>1080</x:v>
      </x:c>
      <x:c r="C1085" s="2" t="str">
        <x:v>Baby, Feminine &amp; Family Care / price_contribution</x:v>
      </x:c>
      <x:c r="D1085" s="7" t="n">
        <x:v>46112</x:v>
      </x:c>
      <x:c r="E1085" s="2" t="str">
        <x:v>Pre-earnings</x:v>
      </x:c>
      <x:c r="F1085" s="7" t="n">
        <x:v>46135</x:v>
      </x:c>
      <x:c r="G1085" s="2" t="str">
        <x:v>Own history</x:v>
      </x:c>
      <x:c r="H1085" s="8" t="n">
        <x:f>'Model fits'!AA725</x:f>
        <x:v>0.2650073206442167</x:v>
      </x:c>
      <x:c r="I1085" s="8" t="n">
        <x:f>0</x:f>
        <x:v>0</x:v>
      </x:c>
      <x:c r="J1085" s="8" t="n">
        <x:v>0</x:v>
      </x:c>
      <x:c r="K1085" s="8" t="n">
        <x:f>H1085-I1085*J1085</x:f>
        <x:v>0.2650073206442167</x:v>
      </x:c>
      <x:c r="L1085" s="8" t="n">
        <x:f>'PG facts'!D150</x:f>
        <x:v>0</x:v>
      </x:c>
      <x:c r="M1085" s="8" t="n">
        <x:f>K1085-L1085</x:f>
        <x:v>0.2650073206442167</x:v>
      </x:c>
      <x:c r="N1085" s="8" t="n">
        <x:f>M1085^2</x:f>
        <x:v>0.0702288799950267</x:v>
      </x:c>
      <x:c r="O1085" s="8" t="n">
        <x:f>ABS(M1085)</x:f>
        <x:v>0.2650073206442167</x:v>
      </x:c>
      <x:c r="P1085" s="7" t="n">
        <x:v>46136</x:v>
      </x:c>
    </x:row>
    <x:row r="1086" ht="26" customHeight="1">
      <x:c r="A1086" s="2"/>
      <x:c r="B1086" s="2" t="n">
        <x:v>1081</x:v>
      </x:c>
      <x:c r="C1086" s="2" t="str">
        <x:v>Beauty / organic_volume_growth</x:v>
      </x:c>
      <x:c r="D1086" s="7" t="n">
        <x:v>45107</x:v>
      </x:c>
      <x:c r="E1086" s="2" t="str">
        <x:v>Origin</x:v>
      </x:c>
      <x:c r="F1086" s="7" t="n">
        <x:v>45017</x:v>
      </x:c>
      <x:c r="G1086" s="2" t="str">
        <x:v>Last actual</x:v>
      </x:c>
      <x:c r="H1086" s="8" t="n">
        <x:f>AVERAGE('PG facts'!E55)</x:f>
        <x:v>-4</x:v>
      </x:c>
      <x:c r="I1086" s="8" t="n">
        <x:f>0</x:f>
        <x:v>0</x:v>
      </x:c>
      <x:c r="J1086" s="8" t="n">
        <x:v>0</x:v>
      </x:c>
      <x:c r="K1086" s="8" t="n">
        <x:f>H1086-I1086*J1086</x:f>
        <x:v>-4</x:v>
      </x:c>
      <x:c r="L1086" s="8" t="n">
        <x:f>'PG facts'!E69</x:f>
        <x:v>-1</x:v>
      </x:c>
      <x:c r="M1086" s="8" t="n">
        <x:f>K1086-L1086</x:f>
        <x:v>-3</x:v>
      </x:c>
      <x:c r="N1086" s="8" t="n">
        <x:f>M1086^2</x:f>
        <x:v>9</x:v>
      </x:c>
      <x:c r="O1086" s="8" t="n">
        <x:f>ABS(M1086)</x:f>
        <x:v>3</x:v>
      </x:c>
      <x:c r="P1086" s="7" t="n">
        <x:v>45135</x:v>
      </x:c>
    </x:row>
    <x:row r="1087" ht="26" customHeight="1">
      <x:c r="A1087" s="2"/>
      <x:c r="B1087" s="2" t="n">
        <x:v>1082</x:v>
      </x:c>
      <x:c r="C1087" s="2" t="str">
        <x:v>Beauty / organic_volume_growth</x:v>
      </x:c>
      <x:c r="D1087" s="7" t="n">
        <x:v>45107</x:v>
      </x:c>
      <x:c r="E1087" s="2" t="str">
        <x:v>Origin</x:v>
      </x:c>
      <x:c r="F1087" s="7" t="n">
        <x:v>45017</x:v>
      </x:c>
      <x:c r="G1087" s="2" t="str">
        <x:v>Four-quarter mean</x:v>
      </x:c>
      <x:c r="H1087" s="8" t="n">
        <x:f>AVERAGE('PG facts'!E34,'PG facts'!E41,'PG facts'!E48,'PG facts'!E55)</x:f>
        <x:v>-2</x:v>
      </x:c>
      <x:c r="I1087" s="8" t="n">
        <x:f>0</x:f>
        <x:v>0</x:v>
      </x:c>
      <x:c r="J1087" s="8" t="n">
        <x:v>0</x:v>
      </x:c>
      <x:c r="K1087" s="8" t="n">
        <x:f>H1087-I1087*J1087</x:f>
        <x:v>-2</x:v>
      </x:c>
      <x:c r="L1087" s="8" t="n">
        <x:f>'PG facts'!E69</x:f>
        <x:v>-1</x:v>
      </x:c>
      <x:c r="M1087" s="8" t="n">
        <x:f>K1087-L1087</x:f>
        <x:v>-1</x:v>
      </x:c>
      <x:c r="N1087" s="8" t="n">
        <x:f>M1087^2</x:f>
        <x:v>1</x:v>
      </x:c>
      <x:c r="O1087" s="8" t="n">
        <x:f>ABS(M1087)</x:f>
        <x:v>1</x:v>
      </x:c>
      <x:c r="P1087" s="7" t="n">
        <x:v>45135</x:v>
      </x:c>
    </x:row>
    <x:row r="1088" ht="26" customHeight="1">
      <x:c r="A1088" s="2"/>
      <x:c r="B1088" s="2" t="n">
        <x:v>1083</x:v>
      </x:c>
      <x:c r="C1088" s="2" t="str">
        <x:v>Beauty / organic_volume_growth</x:v>
      </x:c>
      <x:c r="D1088" s="7" t="n">
        <x:v>45107</x:v>
      </x:c>
      <x:c r="E1088" s="2" t="str">
        <x:v>Origin</x:v>
      </x:c>
      <x:c r="F1088" s="7" t="n">
        <x:v>45017</x:v>
      </x:c>
      <x:c r="G1088" s="2" t="str">
        <x:v>Broad market</x:v>
      </x:c>
      <x:c r="H1088" s="8" t="n">
        <x:f>'Model fits'!AA726</x:f>
        <x:v>-1.6648054326293775</x:v>
      </x:c>
      <x:c r="I1088" s="8" t="n">
        <x:f>0</x:f>
        <x:v>0</x:v>
      </x:c>
      <x:c r="J1088" s="8" t="n">
        <x:v>0</x:v>
      </x:c>
      <x:c r="K1088" s="8" t="n">
        <x:f>H1088-I1088*J1088</x:f>
        <x:v>-1.6648054326293775</x:v>
      </x:c>
      <x:c r="L1088" s="8" t="n">
        <x:f>'PG facts'!E69</x:f>
        <x:v>-1</x:v>
      </x:c>
      <x:c r="M1088" s="8" t="n">
        <x:f>K1088-L1088</x:f>
        <x:v>-0.6648054326293775</x:v>
      </x:c>
      <x:c r="N1088" s="8" t="n">
        <x:f>M1088^2</x:f>
        <x:v>0.44196626325353383</x:v>
      </x:c>
      <x:c r="O1088" s="8" t="n">
        <x:f>ABS(M1088)</x:f>
        <x:v>0.6648054326293775</x:v>
      </x:c>
      <x:c r="P1088" s="7" t="n">
        <x:v>45135</x:v>
      </x:c>
    </x:row>
    <x:row r="1089" ht="26" customHeight="1">
      <x:c r="A1089" s="2"/>
      <x:c r="B1089" s="2" t="n">
        <x:v>1084</x:v>
      </x:c>
      <x:c r="C1089" s="2" t="str">
        <x:v>Beauty / organic_volume_growth</x:v>
      </x:c>
      <x:c r="D1089" s="7" t="n">
        <x:v>45107</x:v>
      </x:c>
      <x:c r="E1089" s="2" t="str">
        <x:v>Origin</x:v>
      </x:c>
      <x:c r="F1089" s="7" t="n">
        <x:v>45017</x:v>
      </x:c>
      <x:c r="G1089" s="2" t="str">
        <x:v>Broad rolling 8</x:v>
      </x:c>
      <x:c r="H1089" s="8" t="n">
        <x:f>'Model fits'!AA727</x:f>
        <x:v>-1.6648054326293775</x:v>
      </x:c>
      <x:c r="I1089" s="8" t="n">
        <x:f>0</x:f>
        <x:v>0</x:v>
      </x:c>
      <x:c r="J1089" s="8" t="n">
        <x:v>0</x:v>
      </x:c>
      <x:c r="K1089" s="8" t="n">
        <x:f>H1089-I1089*J1089</x:f>
        <x:v>-1.6648054326293775</x:v>
      </x:c>
      <x:c r="L1089" s="8" t="n">
        <x:f>'PG facts'!E69</x:f>
        <x:v>-1</x:v>
      </x:c>
      <x:c r="M1089" s="8" t="n">
        <x:f>K1089-L1089</x:f>
        <x:v>-0.6648054326293775</x:v>
      </x:c>
      <x:c r="N1089" s="8" t="n">
        <x:f>M1089^2</x:f>
        <x:v>0.44196626325353383</x:v>
      </x:c>
      <x:c r="O1089" s="8" t="n">
        <x:f>ABS(M1089)</x:f>
        <x:v>0.6648054326293775</x:v>
      </x:c>
      <x:c r="P1089" s="7" t="n">
        <x:v>45135</x:v>
      </x:c>
    </x:row>
    <x:row r="1090" ht="26" customHeight="1">
      <x:c r="A1090" s="2"/>
      <x:c r="B1090" s="2" t="n">
        <x:v>1085</x:v>
      </x:c>
      <x:c r="C1090" s="2" t="str">
        <x:v>Beauty / organic_volume_growth</x:v>
      </x:c>
      <x:c r="D1090" s="7" t="n">
        <x:v>45107</x:v>
      </x:c>
      <x:c r="E1090" s="2" t="str">
        <x:v>Prior report</x:v>
      </x:c>
      <x:c r="F1090" s="7" t="n">
        <x:v>45037</x:v>
      </x:c>
      <x:c r="G1090" s="2" t="str">
        <x:v>Last actual</x:v>
      </x:c>
      <x:c r="H1090" s="8" t="n">
        <x:f>AVERAGE('PG facts'!E62)</x:f>
        <x:v>0</x:v>
      </x:c>
      <x:c r="I1090" s="8" t="n">
        <x:f>0</x:f>
        <x:v>0</x:v>
      </x:c>
      <x:c r="J1090" s="8" t="n">
        <x:v>0</x:v>
      </x:c>
      <x:c r="K1090" s="8" t="n">
        <x:f>H1090-I1090*J1090</x:f>
        <x:v>0</x:v>
      </x:c>
      <x:c r="L1090" s="8" t="n">
        <x:f>'PG facts'!E69</x:f>
        <x:v>-1</x:v>
      </x:c>
      <x:c r="M1090" s="8" t="n">
        <x:f>K1090-L1090</x:f>
        <x:v>1</x:v>
      </x:c>
      <x:c r="N1090" s="8" t="n">
        <x:f>M1090^2</x:f>
        <x:v>1</x:v>
      </x:c>
      <x:c r="O1090" s="8" t="n">
        <x:f>ABS(M1090)</x:f>
        <x:v>1</x:v>
      </x:c>
      <x:c r="P1090" s="7" t="n">
        <x:v>45135</x:v>
      </x:c>
    </x:row>
    <x:row r="1091" ht="26" customHeight="1">
      <x:c r="A1091" s="2"/>
      <x:c r="B1091" s="2" t="n">
        <x:v>1086</x:v>
      </x:c>
      <x:c r="C1091" s="2" t="str">
        <x:v>Beauty / organic_volume_growth</x:v>
      </x:c>
      <x:c r="D1091" s="7" t="n">
        <x:v>45107</x:v>
      </x:c>
      <x:c r="E1091" s="2" t="str">
        <x:v>Prior report</x:v>
      </x:c>
      <x:c r="F1091" s="7" t="n">
        <x:v>45037</x:v>
      </x:c>
      <x:c r="G1091" s="2" t="str">
        <x:v>Four-quarter mean</x:v>
      </x:c>
      <x:c r="H1091" s="8" t="n">
        <x:f>AVERAGE('PG facts'!E41,'PG facts'!E48,'PG facts'!E55,'PG facts'!E62)</x:f>
        <x:v>-1.75</x:v>
      </x:c>
      <x:c r="I1091" s="8" t="n">
        <x:f>0</x:f>
        <x:v>0</x:v>
      </x:c>
      <x:c r="J1091" s="8" t="n">
        <x:v>0</x:v>
      </x:c>
      <x:c r="K1091" s="8" t="n">
        <x:f>H1091-I1091*J1091</x:f>
        <x:v>-1.75</x:v>
      </x:c>
      <x:c r="L1091" s="8" t="n">
        <x:f>'PG facts'!E69</x:f>
        <x:v>-1</x:v>
      </x:c>
      <x:c r="M1091" s="8" t="n">
        <x:f>K1091-L1091</x:f>
        <x:v>-0.75</x:v>
      </x:c>
      <x:c r="N1091" s="8" t="n">
        <x:f>M1091^2</x:f>
        <x:v>0.5625</x:v>
      </x:c>
      <x:c r="O1091" s="8" t="n">
        <x:f>ABS(M1091)</x:f>
        <x:v>0.75</x:v>
      </x:c>
      <x:c r="P1091" s="7" t="n">
        <x:v>45135</x:v>
      </x:c>
    </x:row>
    <x:row r="1092" ht="26" customHeight="1">
      <x:c r="A1092" s="2"/>
      <x:c r="B1092" s="2" t="n">
        <x:v>1087</x:v>
      </x:c>
      <x:c r="C1092" s="2" t="str">
        <x:v>Beauty / organic_volume_growth</x:v>
      </x:c>
      <x:c r="D1092" s="7" t="n">
        <x:v>45107</x:v>
      </x:c>
      <x:c r="E1092" s="2" t="str">
        <x:v>Prior report</x:v>
      </x:c>
      <x:c r="F1092" s="7" t="n">
        <x:v>45037</x:v>
      </x:c>
      <x:c r="G1092" s="2" t="str">
        <x:v>Broad market</x:v>
      </x:c>
      <x:c r="H1092" s="8" t="n">
        <x:f>'Model fits'!AA728</x:f>
        <x:v>-1.6648054326293775</x:v>
      </x:c>
      <x:c r="I1092" s="8" t="n">
        <x:f>0</x:f>
        <x:v>0</x:v>
      </x:c>
      <x:c r="J1092" s="8" t="n">
        <x:v>0</x:v>
      </x:c>
      <x:c r="K1092" s="8" t="n">
        <x:f>H1092-I1092*J1092</x:f>
        <x:v>-1.6648054326293775</x:v>
      </x:c>
      <x:c r="L1092" s="8" t="n">
        <x:f>'PG facts'!E69</x:f>
        <x:v>-1</x:v>
      </x:c>
      <x:c r="M1092" s="8" t="n">
        <x:f>K1092-L1092</x:f>
        <x:v>-0.6648054326293775</x:v>
      </x:c>
      <x:c r="N1092" s="8" t="n">
        <x:f>M1092^2</x:f>
        <x:v>0.44196626325353383</x:v>
      </x:c>
      <x:c r="O1092" s="8" t="n">
        <x:f>ABS(M1092)</x:f>
        <x:v>0.6648054326293775</x:v>
      </x:c>
      <x:c r="P1092" s="7" t="n">
        <x:v>45135</x:v>
      </x:c>
    </x:row>
    <x:row r="1093" ht="26" customHeight="1">
      <x:c r="A1093" s="2"/>
      <x:c r="B1093" s="2" t="n">
        <x:v>1088</x:v>
      </x:c>
      <x:c r="C1093" s="2" t="str">
        <x:v>Beauty / organic_volume_growth</x:v>
      </x:c>
      <x:c r="D1093" s="7" t="n">
        <x:v>45107</x:v>
      </x:c>
      <x:c r="E1093" s="2" t="str">
        <x:v>Prior report</x:v>
      </x:c>
      <x:c r="F1093" s="7" t="n">
        <x:v>45037</x:v>
      </x:c>
      <x:c r="G1093" s="2" t="str">
        <x:v>Broad rolling 8</x:v>
      </x:c>
      <x:c r="H1093" s="8" t="n">
        <x:f>'Model fits'!AA729</x:f>
        <x:v>-1.6648054326293775</x:v>
      </x:c>
      <x:c r="I1093" s="8" t="n">
        <x:f>0</x:f>
        <x:v>0</x:v>
      </x:c>
      <x:c r="J1093" s="8" t="n">
        <x:v>0</x:v>
      </x:c>
      <x:c r="K1093" s="8" t="n">
        <x:f>H1093-I1093*J1093</x:f>
        <x:v>-1.6648054326293775</x:v>
      </x:c>
      <x:c r="L1093" s="8" t="n">
        <x:f>'PG facts'!E69</x:f>
        <x:v>-1</x:v>
      </x:c>
      <x:c r="M1093" s="8" t="n">
        <x:f>K1093-L1093</x:f>
        <x:v>-0.6648054326293775</x:v>
      </x:c>
      <x:c r="N1093" s="8" t="n">
        <x:f>M1093^2</x:f>
        <x:v>0.44196626325353383</x:v>
      </x:c>
      <x:c r="O1093" s="8" t="n">
        <x:f>ABS(M1093)</x:f>
        <x:v>0.6648054326293775</x:v>
      </x:c>
      <x:c r="P1093" s="7" t="n">
        <x:v>45135</x:v>
      </x:c>
    </x:row>
    <x:row r="1094" ht="26" customHeight="1">
      <x:c r="A1094" s="2"/>
      <x:c r="B1094" s="2" t="n">
        <x:v>1089</x:v>
      </x:c>
      <x:c r="C1094" s="2" t="str">
        <x:v>Beauty / organic_volume_growth</x:v>
      </x:c>
      <x:c r="D1094" s="7" t="n">
        <x:v>45107</x:v>
      </x:c>
      <x:c r="E1094" s="2" t="str">
        <x:v>Prior report</x:v>
      </x:c>
      <x:c r="F1094" s="7" t="n">
        <x:v>45037</x:v>
      </x:c>
      <x:c r="G1094" s="2" t="str">
        <x:v>Own history</x:v>
      </x:c>
      <x:c r="H1094" s="8" t="n">
        <x:f>'Model fits'!AA730</x:f>
        <x:v>-0.6346153846153846</x:v>
      </x:c>
      <x:c r="I1094" s="8" t="n">
        <x:f>0</x:f>
        <x:v>0</x:v>
      </x:c>
      <x:c r="J1094" s="8" t="n">
        <x:v>0</x:v>
      </x:c>
      <x:c r="K1094" s="8" t="n">
        <x:f>H1094-I1094*J1094</x:f>
        <x:v>-0.6346153846153846</x:v>
      </x:c>
      <x:c r="L1094" s="8" t="n">
        <x:f>'PG facts'!E69</x:f>
        <x:v>-1</x:v>
      </x:c>
      <x:c r="M1094" s="8" t="n">
        <x:f>K1094-L1094</x:f>
        <x:v>0.3653846153846154</x:v>
      </x:c>
      <x:c r="N1094" s="8" t="n">
        <x:f>M1094^2</x:f>
        <x:v>0.13350591715976334</x:v>
      </x:c>
      <x:c r="O1094" s="8" t="n">
        <x:f>ABS(M1094)</x:f>
        <x:v>0.3653846153846154</x:v>
      </x:c>
      <x:c r="P1094" s="7" t="n">
        <x:v>45135</x:v>
      </x:c>
    </x:row>
    <x:row r="1095" ht="26" customHeight="1">
      <x:c r="A1095" s="2"/>
      <x:c r="B1095" s="2" t="n">
        <x:v>1090</x:v>
      </x:c>
      <x:c r="C1095" s="2" t="str">
        <x:v>Beauty / organic_volume_growth</x:v>
      </x:c>
      <x:c r="D1095" s="7" t="n">
        <x:v>45107</x:v>
      </x:c>
      <x:c r="E1095" s="2" t="str">
        <x:v>Pre-earnings</x:v>
      </x:c>
      <x:c r="F1095" s="7" t="n">
        <x:v>45134</x:v>
      </x:c>
      <x:c r="G1095" s="2" t="str">
        <x:v>Last actual</x:v>
      </x:c>
      <x:c r="H1095" s="8" t="n">
        <x:f>AVERAGE('PG facts'!E62)</x:f>
        <x:v>0</x:v>
      </x:c>
      <x:c r="I1095" s="8" t="n">
        <x:f>0</x:f>
        <x:v>0</x:v>
      </x:c>
      <x:c r="J1095" s="8" t="n">
        <x:v>0</x:v>
      </x:c>
      <x:c r="K1095" s="8" t="n">
        <x:f>H1095-I1095*J1095</x:f>
        <x:v>0</x:v>
      </x:c>
      <x:c r="L1095" s="8" t="n">
        <x:f>'PG facts'!E69</x:f>
        <x:v>-1</x:v>
      </x:c>
      <x:c r="M1095" s="8" t="n">
        <x:f>K1095-L1095</x:f>
        <x:v>1</x:v>
      </x:c>
      <x:c r="N1095" s="8" t="n">
        <x:f>M1095^2</x:f>
        <x:v>1</x:v>
      </x:c>
      <x:c r="O1095" s="8" t="n">
        <x:f>ABS(M1095)</x:f>
        <x:v>1</x:v>
      </x:c>
      <x:c r="P1095" s="7" t="n">
        <x:v>45135</x:v>
      </x:c>
    </x:row>
    <x:row r="1096" ht="26" customHeight="1">
      <x:c r="A1096" s="2"/>
      <x:c r="B1096" s="2" t="n">
        <x:v>1091</x:v>
      </x:c>
      <x:c r="C1096" s="2" t="str">
        <x:v>Beauty / organic_volume_growth</x:v>
      </x:c>
      <x:c r="D1096" s="7" t="n">
        <x:v>45107</x:v>
      </x:c>
      <x:c r="E1096" s="2" t="str">
        <x:v>Pre-earnings</x:v>
      </x:c>
      <x:c r="F1096" s="7" t="n">
        <x:v>45134</x:v>
      </x:c>
      <x:c r="G1096" s="2" t="str">
        <x:v>Four-quarter mean</x:v>
      </x:c>
      <x:c r="H1096" s="8" t="n">
        <x:f>AVERAGE('PG facts'!E41,'PG facts'!E48,'PG facts'!E55,'PG facts'!E62)</x:f>
        <x:v>-1.75</x:v>
      </x:c>
      <x:c r="I1096" s="8" t="n">
        <x:f>0</x:f>
        <x:v>0</x:v>
      </x:c>
      <x:c r="J1096" s="8" t="n">
        <x:v>0</x:v>
      </x:c>
      <x:c r="K1096" s="8" t="n">
        <x:f>H1096-I1096*J1096</x:f>
        <x:v>-1.75</x:v>
      </x:c>
      <x:c r="L1096" s="8" t="n">
        <x:f>'PG facts'!E69</x:f>
        <x:v>-1</x:v>
      </x:c>
      <x:c r="M1096" s="8" t="n">
        <x:f>K1096-L1096</x:f>
        <x:v>-0.75</x:v>
      </x:c>
      <x:c r="N1096" s="8" t="n">
        <x:f>M1096^2</x:f>
        <x:v>0.5625</x:v>
      </x:c>
      <x:c r="O1096" s="8" t="n">
        <x:f>ABS(M1096)</x:f>
        <x:v>0.75</x:v>
      </x:c>
      <x:c r="P1096" s="7" t="n">
        <x:v>45135</x:v>
      </x:c>
    </x:row>
    <x:row r="1097" ht="26" customHeight="1">
      <x:c r="A1097" s="2"/>
      <x:c r="B1097" s="2" t="n">
        <x:v>1092</x:v>
      </x:c>
      <x:c r="C1097" s="2" t="str">
        <x:v>Beauty / organic_volume_growth</x:v>
      </x:c>
      <x:c r="D1097" s="7" t="n">
        <x:v>45107</x:v>
      </x:c>
      <x:c r="E1097" s="2" t="str">
        <x:v>Pre-earnings</x:v>
      </x:c>
      <x:c r="F1097" s="7" t="n">
        <x:v>45134</x:v>
      </x:c>
      <x:c r="G1097" s="2" t="str">
        <x:v>Broad market</x:v>
      </x:c>
      <x:c r="H1097" s="8" t="n">
        <x:f>'Model fits'!AA731</x:f>
        <x:v>-1.2234691093568362</x:v>
      </x:c>
      <x:c r="I1097" s="8" t="n">
        <x:f>0</x:f>
        <x:v>0</x:v>
      </x:c>
      <x:c r="J1097" s="8" t="n">
        <x:v>0</x:v>
      </x:c>
      <x:c r="K1097" s="8" t="n">
        <x:f>H1097-I1097*J1097</x:f>
        <x:v>-1.2234691093568362</x:v>
      </x:c>
      <x:c r="L1097" s="8" t="n">
        <x:f>'PG facts'!E69</x:f>
        <x:v>-1</x:v>
      </x:c>
      <x:c r="M1097" s="8" t="n">
        <x:f>K1097-L1097</x:f>
        <x:v>-0.22346910935683617</x:v>
      </x:c>
      <x:c r="N1097" s="8" t="n">
        <x:f>M1097^2</x:f>
        <x:v>0.0499384428367376</x:v>
      </x:c>
      <x:c r="O1097" s="8" t="n">
        <x:f>ABS(M1097)</x:f>
        <x:v>0.22346910935683617</x:v>
      </x:c>
      <x:c r="P1097" s="7" t="n">
        <x:v>45135</x:v>
      </x:c>
    </x:row>
    <x:row r="1098" ht="26" customHeight="1">
      <x:c r="A1098" s="2"/>
      <x:c r="B1098" s="2" t="n">
        <x:v>1093</x:v>
      </x:c>
      <x:c r="C1098" s="2" t="str">
        <x:v>Beauty / organic_volume_growth</x:v>
      </x:c>
      <x:c r="D1098" s="7" t="n">
        <x:v>45107</x:v>
      </x:c>
      <x:c r="E1098" s="2" t="str">
        <x:v>Pre-earnings</x:v>
      </x:c>
      <x:c r="F1098" s="7" t="n">
        <x:v>45134</x:v>
      </x:c>
      <x:c r="G1098" s="2" t="str">
        <x:v>Broad lag 1</x:v>
      </x:c>
      <x:c r="H1098" s="8" t="n">
        <x:f>'Model fits'!AA732</x:f>
        <x:v>-1.4313172143117718</x:v>
      </x:c>
      <x:c r="I1098" s="8" t="n">
        <x:f>0</x:f>
        <x:v>0</x:v>
      </x:c>
      <x:c r="J1098" s="8" t="n">
        <x:v>0</x:v>
      </x:c>
      <x:c r="K1098" s="8" t="n">
        <x:f>H1098-I1098*J1098</x:f>
        <x:v>-1.4313172143117718</x:v>
      </x:c>
      <x:c r="L1098" s="8" t="n">
        <x:f>'PG facts'!E69</x:f>
        <x:v>-1</x:v>
      </x:c>
      <x:c r="M1098" s="8" t="n">
        <x:f>K1098-L1098</x:f>
        <x:v>-0.43131721431177183</x:v>
      </x:c>
      <x:c r="N1098" s="8" t="n">
        <x:f>M1098^2</x:f>
        <x:v>0.18603453936166692</x:v>
      </x:c>
      <x:c r="O1098" s="8" t="n">
        <x:f>ABS(M1098)</x:f>
        <x:v>0.43131721431177183</x:v>
      </x:c>
      <x:c r="P1098" s="7" t="n">
        <x:v>45135</x:v>
      </x:c>
    </x:row>
    <x:row r="1099" ht="26" customHeight="1">
      <x:c r="A1099" s="2"/>
      <x:c r="B1099" s="2" t="n">
        <x:v>1094</x:v>
      </x:c>
      <x:c r="C1099" s="2" t="str">
        <x:v>Beauty / organic_volume_growth</x:v>
      </x:c>
      <x:c r="D1099" s="7" t="n">
        <x:v>45107</x:v>
      </x:c>
      <x:c r="E1099" s="2" t="str">
        <x:v>Pre-earnings</x:v>
      </x:c>
      <x:c r="F1099" s="7" t="n">
        <x:v>45134</x:v>
      </x:c>
      <x:c r="G1099" s="2" t="str">
        <x:v>Broad rolling 8</x:v>
      </x:c>
      <x:c r="H1099" s="8" t="n">
        <x:f>'Model fits'!AA733</x:f>
        <x:v>-1.3707151999900749</x:v>
      </x:c>
      <x:c r="I1099" s="8" t="n">
        <x:f>0</x:f>
        <x:v>0</x:v>
      </x:c>
      <x:c r="J1099" s="8" t="n">
        <x:v>0</x:v>
      </x:c>
      <x:c r="K1099" s="8" t="n">
        <x:f>H1099-I1099*J1099</x:f>
        <x:v>-1.3707151999900749</x:v>
      </x:c>
      <x:c r="L1099" s="8" t="n">
        <x:f>'PG facts'!E69</x:f>
        <x:v>-1</x:v>
      </x:c>
      <x:c r="M1099" s="8" t="n">
        <x:f>K1099-L1099</x:f>
        <x:v>-0.37071519999007485</x:v>
      </x:c>
      <x:c r="N1099" s="8" t="n">
        <x:f>M1099^2</x:f>
        <x:v>0.1374297595036812</x:v>
      </x:c>
      <x:c r="O1099" s="8" t="n">
        <x:f>ABS(M1099)</x:f>
        <x:v>0.37071519999007485</x:v>
      </x:c>
      <x:c r="P1099" s="7" t="n">
        <x:v>45135</x:v>
      </x:c>
    </x:row>
    <x:row r="1100" ht="26" customHeight="1">
      <x:c r="A1100" s="2"/>
      <x:c r="B1100" s="2" t="n">
        <x:v>1095</x:v>
      </x:c>
      <x:c r="C1100" s="2" t="str">
        <x:v>Beauty / organic_volume_growth</x:v>
      </x:c>
      <x:c r="D1100" s="7" t="n">
        <x:v>45107</x:v>
      </x:c>
      <x:c r="E1100" s="2" t="str">
        <x:v>Pre-earnings</x:v>
      </x:c>
      <x:c r="F1100" s="7" t="n">
        <x:v>45134</x:v>
      </x:c>
      <x:c r="G1100" s="2" t="str">
        <x:v>Own history</x:v>
      </x:c>
      <x:c r="H1100" s="8" t="n">
        <x:f>'Model fits'!AA734</x:f>
        <x:v>-0.6346153846153846</x:v>
      </x:c>
      <x:c r="I1100" s="8" t="n">
        <x:f>0</x:f>
        <x:v>0</x:v>
      </x:c>
      <x:c r="J1100" s="8" t="n">
        <x:v>0</x:v>
      </x:c>
      <x:c r="K1100" s="8" t="n">
        <x:f>H1100-I1100*J1100</x:f>
        <x:v>-0.6346153846153846</x:v>
      </x:c>
      <x:c r="L1100" s="8" t="n">
        <x:f>'PG facts'!E69</x:f>
        <x:v>-1</x:v>
      </x:c>
      <x:c r="M1100" s="8" t="n">
        <x:f>K1100-L1100</x:f>
        <x:v>0.3653846153846154</x:v>
      </x:c>
      <x:c r="N1100" s="8" t="n">
        <x:f>M1100^2</x:f>
        <x:v>0.13350591715976334</x:v>
      </x:c>
      <x:c r="O1100" s="8" t="n">
        <x:f>ABS(M1100)</x:f>
        <x:v>0.3653846153846154</x:v>
      </x:c>
      <x:c r="P1100" s="7" t="n">
        <x:v>45135</x:v>
      </x:c>
    </x:row>
    <x:row r="1101" ht="26" customHeight="1">
      <x:c r="A1101" s="2"/>
      <x:c r="B1101" s="2" t="n">
        <x:v>1096</x:v>
      </x:c>
      <x:c r="C1101" s="2" t="str">
        <x:v>Beauty / organic_volume_growth</x:v>
      </x:c>
      <x:c r="D1101" s="7" t="n">
        <x:v>45199</x:v>
      </x:c>
      <x:c r="E1101" s="2" t="str">
        <x:v>Origin</x:v>
      </x:c>
      <x:c r="F1101" s="7" t="n">
        <x:v>45108</x:v>
      </x:c>
      <x:c r="G1101" s="2" t="str">
        <x:v>Last actual</x:v>
      </x:c>
      <x:c r="H1101" s="8" t="n">
        <x:f>AVERAGE('PG facts'!E62)</x:f>
        <x:v>0</x:v>
      </x:c>
      <x:c r="I1101" s="8" t="n">
        <x:f>0</x:f>
        <x:v>0</x:v>
      </x:c>
      <x:c r="J1101" s="8" t="n">
        <x:v>0</x:v>
      </x:c>
      <x:c r="K1101" s="8" t="n">
        <x:f>H1101-I1101*J1101</x:f>
        <x:v>0</x:v>
      </x:c>
      <x:c r="L1101" s="8" t="n">
        <x:f>'PG facts'!E76</x:f>
        <x:v>0</x:v>
      </x:c>
      <x:c r="M1101" s="8" t="n">
        <x:f>K1101-L1101</x:f>
        <x:v>0</x:v>
      </x:c>
      <x:c r="N1101" s="8" t="n">
        <x:f>M1101^2</x:f>
        <x:v>0</x:v>
      </x:c>
      <x:c r="O1101" s="8" t="n">
        <x:f>ABS(M1101)</x:f>
        <x:v>0</x:v>
      </x:c>
      <x:c r="P1101" s="7" t="n">
        <x:v>45217</x:v>
      </x:c>
    </x:row>
    <x:row r="1102" ht="26" customHeight="1">
      <x:c r="A1102" s="2"/>
      <x:c r="B1102" s="2" t="n">
        <x:v>1097</x:v>
      </x:c>
      <x:c r="C1102" s="2" t="str">
        <x:v>Beauty / organic_volume_growth</x:v>
      </x:c>
      <x:c r="D1102" s="7" t="n">
        <x:v>45199</x:v>
      </x:c>
      <x:c r="E1102" s="2" t="str">
        <x:v>Origin</x:v>
      </x:c>
      <x:c r="F1102" s="7" t="n">
        <x:v>45108</x:v>
      </x:c>
      <x:c r="G1102" s="2" t="str">
        <x:v>Four-quarter mean</x:v>
      </x:c>
      <x:c r="H1102" s="8" t="n">
        <x:f>AVERAGE('PG facts'!E41,'PG facts'!E48,'PG facts'!E55,'PG facts'!E62)</x:f>
        <x:v>-1.75</x:v>
      </x:c>
      <x:c r="I1102" s="8" t="n">
        <x:f>0</x:f>
        <x:v>0</x:v>
      </x:c>
      <x:c r="J1102" s="8" t="n">
        <x:v>0</x:v>
      </x:c>
      <x:c r="K1102" s="8" t="n">
        <x:f>H1102-I1102*J1102</x:f>
        <x:v>-1.75</x:v>
      </x:c>
      <x:c r="L1102" s="8" t="n">
        <x:f>'PG facts'!E76</x:f>
        <x:v>0</x:v>
      </x:c>
      <x:c r="M1102" s="8" t="n">
        <x:f>K1102-L1102</x:f>
        <x:v>-1.75</x:v>
      </x:c>
      <x:c r="N1102" s="8" t="n">
        <x:f>M1102^2</x:f>
        <x:v>3.0625</x:v>
      </x:c>
      <x:c r="O1102" s="8" t="n">
        <x:f>ABS(M1102)</x:f>
        <x:v>1.75</x:v>
      </x:c>
      <x:c r="P1102" s="7" t="n">
        <x:v>45217</x:v>
      </x:c>
    </x:row>
    <x:row r="1103" ht="26" customHeight="1">
      <x:c r="A1103" s="2"/>
      <x:c r="B1103" s="2" t="n">
        <x:v>1098</x:v>
      </x:c>
      <x:c r="C1103" s="2" t="str">
        <x:v>Beauty / organic_volume_growth</x:v>
      </x:c>
      <x:c r="D1103" s="7" t="n">
        <x:v>45199</x:v>
      </x:c>
      <x:c r="E1103" s="2" t="str">
        <x:v>Origin</x:v>
      </x:c>
      <x:c r="F1103" s="7" t="n">
        <x:v>45108</x:v>
      </x:c>
      <x:c r="G1103" s="2" t="str">
        <x:v>Broad market</x:v>
      </x:c>
      <x:c r="H1103" s="8" t="n">
        <x:f>'Model fits'!AA735</x:f>
        <x:v>-1.2618503827126966</x:v>
      </x:c>
      <x:c r="I1103" s="8" t="n">
        <x:f>0</x:f>
        <x:v>0</x:v>
      </x:c>
      <x:c r="J1103" s="8" t="n">
        <x:v>0</x:v>
      </x:c>
      <x:c r="K1103" s="8" t="n">
        <x:f>H1103-I1103*J1103</x:f>
        <x:v>-1.2618503827126966</x:v>
      </x:c>
      <x:c r="L1103" s="8" t="n">
        <x:f>'PG facts'!E76</x:f>
        <x:v>0</x:v>
      </x:c>
      <x:c r="M1103" s="8" t="n">
        <x:f>K1103-L1103</x:f>
        <x:v>-1.2618503827126966</x:v>
      </x:c>
      <x:c r="N1103" s="8" t="n">
        <x:f>M1103^2</x:f>
        <x:v>1.5922663883521788</x:v>
      </x:c>
      <x:c r="O1103" s="8" t="n">
        <x:f>ABS(M1103)</x:f>
        <x:v>1.2618503827126966</x:v>
      </x:c>
      <x:c r="P1103" s="7" t="n">
        <x:v>45217</x:v>
      </x:c>
    </x:row>
    <x:row r="1104" ht="26" customHeight="1">
      <x:c r="A1104" s="2"/>
      <x:c r="B1104" s="2" t="n">
        <x:v>1099</x:v>
      </x:c>
      <x:c r="C1104" s="2" t="str">
        <x:v>Beauty / organic_volume_growth</x:v>
      </x:c>
      <x:c r="D1104" s="7" t="n">
        <x:v>45199</x:v>
      </x:c>
      <x:c r="E1104" s="2" t="str">
        <x:v>Origin</x:v>
      </x:c>
      <x:c r="F1104" s="7" t="n">
        <x:v>45108</x:v>
      </x:c>
      <x:c r="G1104" s="2" t="str">
        <x:v>Broad rolling 8</x:v>
      </x:c>
      <x:c r="H1104" s="8" t="n">
        <x:f>'Model fits'!AA736</x:f>
        <x:v>-1.405057264086368</x:v>
      </x:c>
      <x:c r="I1104" s="8" t="n">
        <x:f>0</x:f>
        <x:v>0</x:v>
      </x:c>
      <x:c r="J1104" s="8" t="n">
        <x:v>0</x:v>
      </x:c>
      <x:c r="K1104" s="8" t="n">
        <x:f>H1104-I1104*J1104</x:f>
        <x:v>-1.405057264086368</x:v>
      </x:c>
      <x:c r="L1104" s="8" t="n">
        <x:f>'PG facts'!E76</x:f>
        <x:v>0</x:v>
      </x:c>
      <x:c r="M1104" s="8" t="n">
        <x:f>K1104-L1104</x:f>
        <x:v>-1.405057264086368</x:v>
      </x:c>
      <x:c r="N1104" s="8" t="n">
        <x:f>M1104^2</x:f>
        <x:v>1.97418591536187</x:v>
      </x:c>
      <x:c r="O1104" s="8" t="n">
        <x:f>ABS(M1104)</x:f>
        <x:v>1.405057264086368</x:v>
      </x:c>
      <x:c r="P1104" s="7" t="n">
        <x:v>45217</x:v>
      </x:c>
    </x:row>
    <x:row r="1105" ht="26" customHeight="1">
      <x:c r="A1105" s="2"/>
      <x:c r="B1105" s="2" t="n">
        <x:v>1100</x:v>
      </x:c>
      <x:c r="C1105" s="2" t="str">
        <x:v>Beauty / organic_volume_growth</x:v>
      </x:c>
      <x:c r="D1105" s="7" t="n">
        <x:v>45199</x:v>
      </x:c>
      <x:c r="E1105" s="2" t="str">
        <x:v>Prior report</x:v>
      </x:c>
      <x:c r="F1105" s="7" t="n">
        <x:v>45135</x:v>
      </x:c>
      <x:c r="G1105" s="2" t="str">
        <x:v>Last actual</x:v>
      </x:c>
      <x:c r="H1105" s="8" t="n">
        <x:f>AVERAGE('PG facts'!E69)</x:f>
        <x:v>-1</x:v>
      </x:c>
      <x:c r="I1105" s="8" t="n">
        <x:f>0</x:f>
        <x:v>0</x:v>
      </x:c>
      <x:c r="J1105" s="8" t="n">
        <x:v>0</x:v>
      </x:c>
      <x:c r="K1105" s="8" t="n">
        <x:f>H1105-I1105*J1105</x:f>
        <x:v>-1</x:v>
      </x:c>
      <x:c r="L1105" s="8" t="n">
        <x:f>'PG facts'!E76</x:f>
        <x:v>0</x:v>
      </x:c>
      <x:c r="M1105" s="8" t="n">
        <x:f>K1105-L1105</x:f>
        <x:v>-1</x:v>
      </x:c>
      <x:c r="N1105" s="8" t="n">
        <x:f>M1105^2</x:f>
        <x:v>1</x:v>
      </x:c>
      <x:c r="O1105" s="8" t="n">
        <x:f>ABS(M1105)</x:f>
        <x:v>1</x:v>
      </x:c>
      <x:c r="P1105" s="7" t="n">
        <x:v>45217</x:v>
      </x:c>
    </x:row>
    <x:row r="1106" ht="26" customHeight="1">
      <x:c r="A1106" s="2"/>
      <x:c r="B1106" s="2" t="n">
        <x:v>1101</x:v>
      </x:c>
      <x:c r="C1106" s="2" t="str">
        <x:v>Beauty / organic_volume_growth</x:v>
      </x:c>
      <x:c r="D1106" s="7" t="n">
        <x:v>45199</x:v>
      </x:c>
      <x:c r="E1106" s="2" t="str">
        <x:v>Prior report</x:v>
      </x:c>
      <x:c r="F1106" s="7" t="n">
        <x:v>45135</x:v>
      </x:c>
      <x:c r="G1106" s="2" t="str">
        <x:v>Four-quarter mean</x:v>
      </x:c>
      <x:c r="H1106" s="8" t="n">
        <x:f>AVERAGE('PG facts'!E48,'PG facts'!E55,'PG facts'!E62,'PG facts'!E69)</x:f>
        <x:v>-1.5</x:v>
      </x:c>
      <x:c r="I1106" s="8" t="n">
        <x:f>0</x:f>
        <x:v>0</x:v>
      </x:c>
      <x:c r="J1106" s="8" t="n">
        <x:v>0</x:v>
      </x:c>
      <x:c r="K1106" s="8" t="n">
        <x:f>H1106-I1106*J1106</x:f>
        <x:v>-1.5</x:v>
      </x:c>
      <x:c r="L1106" s="8" t="n">
        <x:f>'PG facts'!E76</x:f>
        <x:v>0</x:v>
      </x:c>
      <x:c r="M1106" s="8" t="n">
        <x:f>K1106-L1106</x:f>
        <x:v>-1.5</x:v>
      </x:c>
      <x:c r="N1106" s="8" t="n">
        <x:f>M1106^2</x:f>
        <x:v>2.25</x:v>
      </x:c>
      <x:c r="O1106" s="8" t="n">
        <x:f>ABS(M1106)</x:f>
        <x:v>1.5</x:v>
      </x:c>
      <x:c r="P1106" s="7" t="n">
        <x:v>45217</x:v>
      </x:c>
    </x:row>
    <x:row r="1107" ht="26" customHeight="1">
      <x:c r="A1107" s="2"/>
      <x:c r="B1107" s="2" t="n">
        <x:v>1102</x:v>
      </x:c>
      <x:c r="C1107" s="2" t="str">
        <x:v>Beauty / organic_volume_growth</x:v>
      </x:c>
      <x:c r="D1107" s="7" t="n">
        <x:v>45199</x:v>
      </x:c>
      <x:c r="E1107" s="2" t="str">
        <x:v>Prior report</x:v>
      </x:c>
      <x:c r="F1107" s="7" t="n">
        <x:v>45135</x:v>
      </x:c>
      <x:c r="G1107" s="2" t="str">
        <x:v>Broad market</x:v>
      </x:c>
      <x:c r="H1107" s="8" t="n">
        <x:f>'Model fits'!AA737</x:f>
        <x:v>-1.164699833820359</x:v>
      </x:c>
      <x:c r="I1107" s="8" t="n">
        <x:f>0</x:f>
        <x:v>0</x:v>
      </x:c>
      <x:c r="J1107" s="8" t="n">
        <x:v>0</x:v>
      </x:c>
      <x:c r="K1107" s="8" t="n">
        <x:f>H1107-I1107*J1107</x:f>
        <x:v>-1.164699833820359</x:v>
      </x:c>
      <x:c r="L1107" s="8" t="n">
        <x:f>'PG facts'!E76</x:f>
        <x:v>0</x:v>
      </x:c>
      <x:c r="M1107" s="8" t="n">
        <x:f>K1107-L1107</x:f>
        <x:v>-1.164699833820359</x:v>
      </x:c>
      <x:c r="N1107" s="8" t="n">
        <x:f>M1107^2</x:f>
        <x:v>1.3565257029011717</x:v>
      </x:c>
      <x:c r="O1107" s="8" t="n">
        <x:f>ABS(M1107)</x:f>
        <x:v>1.164699833820359</x:v>
      </x:c>
      <x:c r="P1107" s="7" t="n">
        <x:v>45217</x:v>
      </x:c>
    </x:row>
    <x:row r="1108" ht="26" customHeight="1">
      <x:c r="A1108" s="2"/>
      <x:c r="B1108" s="2" t="n">
        <x:v>1103</x:v>
      </x:c>
      <x:c r="C1108" s="2" t="str">
        <x:v>Beauty / organic_volume_growth</x:v>
      </x:c>
      <x:c r="D1108" s="7" t="n">
        <x:v>45199</x:v>
      </x:c>
      <x:c r="E1108" s="2" t="str">
        <x:v>Prior report</x:v>
      </x:c>
      <x:c r="F1108" s="7" t="n">
        <x:v>45135</x:v>
      </x:c>
      <x:c r="G1108" s="2" t="str">
        <x:v>Broad lag 1</x:v>
      </x:c>
      <x:c r="H1108" s="8" t="n">
        <x:f>'Model fits'!AA738</x:f>
        <x:v>-1.2339371243873472</x:v>
      </x:c>
      <x:c r="I1108" s="8" t="n">
        <x:f>0</x:f>
        <x:v>0</x:v>
      </x:c>
      <x:c r="J1108" s="8" t="n">
        <x:v>0</x:v>
      </x:c>
      <x:c r="K1108" s="8" t="n">
        <x:f>H1108-I1108*J1108</x:f>
        <x:v>-1.2339371243873472</x:v>
      </x:c>
      <x:c r="L1108" s="8" t="n">
        <x:f>'PG facts'!E76</x:f>
        <x:v>0</x:v>
      </x:c>
      <x:c r="M1108" s="8" t="n">
        <x:f>K1108-L1108</x:f>
        <x:v>-1.2339371243873472</x:v>
      </x:c>
      <x:c r="N1108" s="8" t="n">
        <x:f>M1108^2</x:f>
        <x:v>1.5226008269413154</x:v>
      </x:c>
      <x:c r="O1108" s="8" t="n">
        <x:f>ABS(M1108)</x:f>
        <x:v>1.2339371243873472</x:v>
      </x:c>
      <x:c r="P1108" s="7" t="n">
        <x:v>45217</x:v>
      </x:c>
    </x:row>
    <x:row r="1109" ht="26" customHeight="1">
      <x:c r="A1109" s="2"/>
      <x:c r="B1109" s="2" t="n">
        <x:v>1104</x:v>
      </x:c>
      <x:c r="C1109" s="2" t="str">
        <x:v>Beauty / organic_volume_growth</x:v>
      </x:c>
      <x:c r="D1109" s="7" t="n">
        <x:v>45199</x:v>
      </x:c>
      <x:c r="E1109" s="2" t="str">
        <x:v>Prior report</x:v>
      </x:c>
      <x:c r="F1109" s="7" t="n">
        <x:v>45135</x:v>
      </x:c>
      <x:c r="G1109" s="2" t="str">
        <x:v>Broad rolling 8</x:v>
      </x:c>
      <x:c r="H1109" s="8" t="n">
        <x:f>'Model fits'!AA739</x:f>
        <x:v>-1.3080880406596955</x:v>
      </x:c>
      <x:c r="I1109" s="8" t="n">
        <x:f>0</x:f>
        <x:v>0</x:v>
      </x:c>
      <x:c r="J1109" s="8" t="n">
        <x:v>0</x:v>
      </x:c>
      <x:c r="K1109" s="8" t="n">
        <x:f>H1109-I1109*J1109</x:f>
        <x:v>-1.3080880406596955</x:v>
      </x:c>
      <x:c r="L1109" s="8" t="n">
        <x:f>'PG facts'!E76</x:f>
        <x:v>0</x:v>
      </x:c>
      <x:c r="M1109" s="8" t="n">
        <x:f>K1109-L1109</x:f>
        <x:v>-1.3080880406596955</x:v>
      </x:c>
      <x:c r="N1109" s="8" t="n">
        <x:f>M1109^2</x:f>
        <x:v>1.7110943221169213</x:v>
      </x:c>
      <x:c r="O1109" s="8" t="n">
        <x:f>ABS(M1109)</x:f>
        <x:v>1.3080880406596955</x:v>
      </x:c>
      <x:c r="P1109" s="7" t="n">
        <x:v>45217</x:v>
      </x:c>
    </x:row>
    <x:row r="1110" ht="26" customHeight="1">
      <x:c r="A1110" s="2"/>
      <x:c r="B1110" s="2" t="n">
        <x:v>1105</x:v>
      </x:c>
      <x:c r="C1110" s="2" t="str">
        <x:v>Beauty / organic_volume_growth</x:v>
      </x:c>
      <x:c r="D1110" s="7" t="n">
        <x:v>45199</x:v>
      </x:c>
      <x:c r="E1110" s="2" t="str">
        <x:v>Prior report</x:v>
      </x:c>
      <x:c r="F1110" s="7" t="n">
        <x:v>45135</x:v>
      </x:c>
      <x:c r="G1110" s="2" t="str">
        <x:v>Own history</x:v>
      </x:c>
      <x:c r="H1110" s="8" t="n">
        <x:f>'Model fits'!AA740</x:f>
        <x:v>-0.902542372881356</x:v>
      </x:c>
      <x:c r="I1110" s="8" t="n">
        <x:f>0</x:f>
        <x:v>0</x:v>
      </x:c>
      <x:c r="J1110" s="8" t="n">
        <x:v>0</x:v>
      </x:c>
      <x:c r="K1110" s="8" t="n">
        <x:f>H1110-I1110*J1110</x:f>
        <x:v>-0.902542372881356</x:v>
      </x:c>
      <x:c r="L1110" s="8" t="n">
        <x:f>'PG facts'!E76</x:f>
        <x:v>0</x:v>
      </x:c>
      <x:c r="M1110" s="8" t="n">
        <x:f>K1110-L1110</x:f>
        <x:v>-0.902542372881356</x:v>
      </x:c>
      <x:c r="N1110" s="8" t="n">
        <x:f>M1110^2</x:f>
        <x:v>0.8145827348463086</x:v>
      </x:c>
      <x:c r="O1110" s="8" t="n">
        <x:f>ABS(M1110)</x:f>
        <x:v>0.902542372881356</x:v>
      </x:c>
      <x:c r="P1110" s="7" t="n">
        <x:v>45217</x:v>
      </x:c>
    </x:row>
    <x:row r="1111" ht="26" customHeight="1">
      <x:c r="A1111" s="2"/>
      <x:c r="B1111" s="2" t="n">
        <x:v>1106</x:v>
      </x:c>
      <x:c r="C1111" s="2" t="str">
        <x:v>Beauty / organic_volume_growth</x:v>
      </x:c>
      <x:c r="D1111" s="7" t="n">
        <x:v>45199</x:v>
      </x:c>
      <x:c r="E1111" s="2" t="str">
        <x:v>Pre-earnings</x:v>
      </x:c>
      <x:c r="F1111" s="7" t="n">
        <x:v>45216</x:v>
      </x:c>
      <x:c r="G1111" s="2" t="str">
        <x:v>Last actual</x:v>
      </x:c>
      <x:c r="H1111" s="8" t="n">
        <x:f>AVERAGE('PG facts'!E69)</x:f>
        <x:v>-1</x:v>
      </x:c>
      <x:c r="I1111" s="8" t="n">
        <x:f>0</x:f>
        <x:v>0</x:v>
      </x:c>
      <x:c r="J1111" s="8" t="n">
        <x:v>0</x:v>
      </x:c>
      <x:c r="K1111" s="8" t="n">
        <x:f>H1111-I1111*J1111</x:f>
        <x:v>-1</x:v>
      </x:c>
      <x:c r="L1111" s="8" t="n">
        <x:f>'PG facts'!E76</x:f>
        <x:v>0</x:v>
      </x:c>
      <x:c r="M1111" s="8" t="n">
        <x:f>K1111-L1111</x:f>
        <x:v>-1</x:v>
      </x:c>
      <x:c r="N1111" s="8" t="n">
        <x:f>M1111^2</x:f>
        <x:v>1</x:v>
      </x:c>
      <x:c r="O1111" s="8" t="n">
        <x:f>ABS(M1111)</x:f>
        <x:v>1</x:v>
      </x:c>
      <x:c r="P1111" s="7" t="n">
        <x:v>45217</x:v>
      </x:c>
    </x:row>
    <x:row r="1112" ht="26" customHeight="1">
      <x:c r="A1112" s="2"/>
      <x:c r="B1112" s="2" t="n">
        <x:v>1107</x:v>
      </x:c>
      <x:c r="C1112" s="2" t="str">
        <x:v>Beauty / organic_volume_growth</x:v>
      </x:c>
      <x:c r="D1112" s="7" t="n">
        <x:v>45199</x:v>
      </x:c>
      <x:c r="E1112" s="2" t="str">
        <x:v>Pre-earnings</x:v>
      </x:c>
      <x:c r="F1112" s="7" t="n">
        <x:v>45216</x:v>
      </x:c>
      <x:c r="G1112" s="2" t="str">
        <x:v>Four-quarter mean</x:v>
      </x:c>
      <x:c r="H1112" s="8" t="n">
        <x:f>AVERAGE('PG facts'!E48,'PG facts'!E55,'PG facts'!E62,'PG facts'!E69)</x:f>
        <x:v>-1.5</x:v>
      </x:c>
      <x:c r="I1112" s="8" t="n">
        <x:f>0</x:f>
        <x:v>0</x:v>
      </x:c>
      <x:c r="J1112" s="8" t="n">
        <x:v>0</x:v>
      </x:c>
      <x:c r="K1112" s="8" t="n">
        <x:f>H1112-I1112*J1112</x:f>
        <x:v>-1.5</x:v>
      </x:c>
      <x:c r="L1112" s="8" t="n">
        <x:f>'PG facts'!E76</x:f>
        <x:v>0</x:v>
      </x:c>
      <x:c r="M1112" s="8" t="n">
        <x:f>K1112-L1112</x:f>
        <x:v>-1.5</x:v>
      </x:c>
      <x:c r="N1112" s="8" t="n">
        <x:f>M1112^2</x:f>
        <x:v>2.25</x:v>
      </x:c>
      <x:c r="O1112" s="8" t="n">
        <x:f>ABS(M1112)</x:f>
        <x:v>1.5</x:v>
      </x:c>
      <x:c r="P1112" s="7" t="n">
        <x:v>45217</x:v>
      </x:c>
    </x:row>
    <x:row r="1113" ht="26" customHeight="1">
      <x:c r="A1113" s="2"/>
      <x:c r="B1113" s="2" t="n">
        <x:v>1108</x:v>
      </x:c>
      <x:c r="C1113" s="2" t="str">
        <x:v>Beauty / organic_volume_growth</x:v>
      </x:c>
      <x:c r="D1113" s="7" t="n">
        <x:v>45199</x:v>
      </x:c>
      <x:c r="E1113" s="2" t="str">
        <x:v>Pre-earnings</x:v>
      </x:c>
      <x:c r="F1113" s="7" t="n">
        <x:v>45216</x:v>
      </x:c>
      <x:c r="G1113" s="2" t="str">
        <x:v>Broad market</x:v>
      </x:c>
      <x:c r="H1113" s="8" t="n">
        <x:f>'Model fits'!AA741</x:f>
        <x:v>-1.077838957110681</x:v>
      </x:c>
      <x:c r="I1113" s="8" t="n">
        <x:f>0</x:f>
        <x:v>0</x:v>
      </x:c>
      <x:c r="J1113" s="8" t="n">
        <x:v>0</x:v>
      </x:c>
      <x:c r="K1113" s="8" t="n">
        <x:f>H1113-I1113*J1113</x:f>
        <x:v>-1.077838957110681</x:v>
      </x:c>
      <x:c r="L1113" s="8" t="n">
        <x:f>'PG facts'!E76</x:f>
        <x:v>0</x:v>
      </x:c>
      <x:c r="M1113" s="8" t="n">
        <x:f>K1113-L1113</x:f>
        <x:v>-1.077838957110681</x:v>
      </x:c>
      <x:c r="N1113" s="8" t="n">
        <x:f>M1113^2</x:f>
        <x:v>1.1617368174654406</x:v>
      </x:c>
      <x:c r="O1113" s="8" t="n">
        <x:f>ABS(M1113)</x:f>
        <x:v>1.077838957110681</x:v>
      </x:c>
      <x:c r="P1113" s="7" t="n">
        <x:v>45217</x:v>
      </x:c>
    </x:row>
    <x:row r="1114" ht="26" customHeight="1">
      <x:c r="A1114" s="2"/>
      <x:c r="B1114" s="2" t="n">
        <x:v>1109</x:v>
      </x:c>
      <x:c r="C1114" s="2" t="str">
        <x:v>Beauty / organic_volume_growth</x:v>
      </x:c>
      <x:c r="D1114" s="7" t="n">
        <x:v>45199</x:v>
      </x:c>
      <x:c r="E1114" s="2" t="str">
        <x:v>Pre-earnings</x:v>
      </x:c>
      <x:c r="F1114" s="7" t="n">
        <x:v>45216</x:v>
      </x:c>
      <x:c r="G1114" s="2" t="str">
        <x:v>Broad lag 1</x:v>
      </x:c>
      <x:c r="H1114" s="8" t="n">
        <x:f>'Model fits'!AA742</x:f>
        <x:v>-1.3631532978343615</x:v>
      </x:c>
      <x:c r="I1114" s="8" t="n">
        <x:f>0</x:f>
        <x:v>0</x:v>
      </x:c>
      <x:c r="J1114" s="8" t="n">
        <x:v>0</x:v>
      </x:c>
      <x:c r="K1114" s="8" t="n">
        <x:f>H1114-I1114*J1114</x:f>
        <x:v>-1.3631532978343615</x:v>
      </x:c>
      <x:c r="L1114" s="8" t="n">
        <x:f>'PG facts'!E76</x:f>
        <x:v>0</x:v>
      </x:c>
      <x:c r="M1114" s="8" t="n">
        <x:f>K1114-L1114</x:f>
        <x:v>-1.3631532978343615</x:v>
      </x:c>
      <x:c r="N1114" s="8" t="n">
        <x:f>M1114^2</x:f>
        <x:v>1.8581869133966953</x:v>
      </x:c>
      <x:c r="O1114" s="8" t="n">
        <x:f>ABS(M1114)</x:f>
        <x:v>1.3631532978343615</x:v>
      </x:c>
      <x:c r="P1114" s="7" t="n">
        <x:v>45217</x:v>
      </x:c>
    </x:row>
    <x:row r="1115" ht="26" customHeight="1">
      <x:c r="A1115" s="2"/>
      <x:c r="B1115" s="2" t="n">
        <x:v>1110</x:v>
      </x:c>
      <x:c r="C1115" s="2" t="str">
        <x:v>Beauty / organic_volume_growth</x:v>
      </x:c>
      <x:c r="D1115" s="7" t="n">
        <x:v>45199</x:v>
      </x:c>
      <x:c r="E1115" s="2" t="str">
        <x:v>Pre-earnings</x:v>
      </x:c>
      <x:c r="F1115" s="7" t="n">
        <x:v>45216</x:v>
      </x:c>
      <x:c r="G1115" s="2" t="str">
        <x:v>Broad rolling 8</x:v>
      </x:c>
      <x:c r="H1115" s="8" t="n">
        <x:f>'Model fits'!AA743</x:f>
        <x:v>-1.2156980099237096</x:v>
      </x:c>
      <x:c r="I1115" s="8" t="n">
        <x:f>0</x:f>
        <x:v>0</x:v>
      </x:c>
      <x:c r="J1115" s="8" t="n">
        <x:v>0</x:v>
      </x:c>
      <x:c r="K1115" s="8" t="n">
        <x:f>H1115-I1115*J1115</x:f>
        <x:v>-1.2156980099237096</x:v>
      </x:c>
      <x:c r="L1115" s="8" t="n">
        <x:f>'PG facts'!E76</x:f>
        <x:v>0</x:v>
      </x:c>
      <x:c r="M1115" s="8" t="n">
        <x:f>K1115-L1115</x:f>
        <x:v>-1.2156980099237096</x:v>
      </x:c>
      <x:c r="N1115" s="8" t="n">
        <x:f>M1115^2</x:f>
        <x:v>1.4779216513324678</x:v>
      </x:c>
      <x:c r="O1115" s="8" t="n">
        <x:f>ABS(M1115)</x:f>
        <x:v>1.2156980099237096</x:v>
      </x:c>
      <x:c r="P1115" s="7" t="n">
        <x:v>45217</x:v>
      </x:c>
    </x:row>
    <x:row r="1116" ht="26" customHeight="1">
      <x:c r="A1116" s="2"/>
      <x:c r="B1116" s="2" t="n">
        <x:v>1111</x:v>
      </x:c>
      <x:c r="C1116" s="2" t="str">
        <x:v>Beauty / organic_volume_growth</x:v>
      </x:c>
      <x:c r="D1116" s="7" t="n">
        <x:v>45199</x:v>
      </x:c>
      <x:c r="E1116" s="2" t="str">
        <x:v>Pre-earnings</x:v>
      </x:c>
      <x:c r="F1116" s="7" t="n">
        <x:v>45216</x:v>
      </x:c>
      <x:c r="G1116" s="2" t="str">
        <x:v>Own history</x:v>
      </x:c>
      <x:c r="H1116" s="8" t="n">
        <x:f>'Model fits'!AA744</x:f>
        <x:v>-0.902542372881356</x:v>
      </x:c>
      <x:c r="I1116" s="8" t="n">
        <x:f>0</x:f>
        <x:v>0</x:v>
      </x:c>
      <x:c r="J1116" s="8" t="n">
        <x:v>0</x:v>
      </x:c>
      <x:c r="K1116" s="8" t="n">
        <x:f>H1116-I1116*J1116</x:f>
        <x:v>-0.902542372881356</x:v>
      </x:c>
      <x:c r="L1116" s="8" t="n">
        <x:f>'PG facts'!E76</x:f>
        <x:v>0</x:v>
      </x:c>
      <x:c r="M1116" s="8" t="n">
        <x:f>K1116-L1116</x:f>
        <x:v>-0.902542372881356</x:v>
      </x:c>
      <x:c r="N1116" s="8" t="n">
        <x:f>M1116^2</x:f>
        <x:v>0.8145827348463086</x:v>
      </x:c>
      <x:c r="O1116" s="8" t="n">
        <x:f>ABS(M1116)</x:f>
        <x:v>0.902542372881356</x:v>
      </x:c>
      <x:c r="P1116" s="7" t="n">
        <x:v>45217</x:v>
      </x:c>
    </x:row>
    <x:row r="1117" ht="26" customHeight="1">
      <x:c r="A1117" s="2"/>
      <x:c r="B1117" s="2" t="n">
        <x:v>1112</x:v>
      </x:c>
      <x:c r="C1117" s="2" t="str">
        <x:v>Beauty / organic_volume_growth</x:v>
      </x:c>
      <x:c r="D1117" s="7" t="n">
        <x:v>45291</x:v>
      </x:c>
      <x:c r="E1117" s="2" t="str">
        <x:v>Origin</x:v>
      </x:c>
      <x:c r="F1117" s="7" t="n">
        <x:v>45200</x:v>
      </x:c>
      <x:c r="G1117" s="2" t="str">
        <x:v>Last actual</x:v>
      </x:c>
      <x:c r="H1117" s="8" t="n">
        <x:f>AVERAGE('PG facts'!E69)</x:f>
        <x:v>-1</x:v>
      </x:c>
      <x:c r="I1117" s="8" t="n">
        <x:f>0</x:f>
        <x:v>0</x:v>
      </x:c>
      <x:c r="J1117" s="8" t="n">
        <x:v>0</x:v>
      </x:c>
      <x:c r="K1117" s="8" t="n">
        <x:f>H1117-I1117*J1117</x:f>
        <x:v>-1</x:v>
      </x:c>
      <x:c r="L1117" s="8" t="n">
        <x:f>'PG facts'!E83</x:f>
        <x:v>-1</x:v>
      </x:c>
      <x:c r="M1117" s="8" t="n">
        <x:f>K1117-L1117</x:f>
        <x:v>0</x:v>
      </x:c>
      <x:c r="N1117" s="8" t="n">
        <x:f>M1117^2</x:f>
        <x:v>0</x:v>
      </x:c>
      <x:c r="O1117" s="8" t="n">
        <x:f>ABS(M1117)</x:f>
        <x:v>0</x:v>
      </x:c>
      <x:c r="P1117" s="7" t="n">
        <x:v>45314</x:v>
      </x:c>
    </x:row>
    <x:row r="1118" ht="26" customHeight="1">
      <x:c r="A1118" s="2"/>
      <x:c r="B1118" s="2" t="n">
        <x:v>1113</x:v>
      </x:c>
      <x:c r="C1118" s="2" t="str">
        <x:v>Beauty / organic_volume_growth</x:v>
      </x:c>
      <x:c r="D1118" s="7" t="n">
        <x:v>45291</x:v>
      </x:c>
      <x:c r="E1118" s="2" t="str">
        <x:v>Origin</x:v>
      </x:c>
      <x:c r="F1118" s="7" t="n">
        <x:v>45200</x:v>
      </x:c>
      <x:c r="G1118" s="2" t="str">
        <x:v>Four-quarter mean</x:v>
      </x:c>
      <x:c r="H1118" s="8" t="n">
        <x:f>AVERAGE('PG facts'!E48,'PG facts'!E55,'PG facts'!E62,'PG facts'!E69)</x:f>
        <x:v>-1.5</x:v>
      </x:c>
      <x:c r="I1118" s="8" t="n">
        <x:f>0</x:f>
        <x:v>0</x:v>
      </x:c>
      <x:c r="J1118" s="8" t="n">
        <x:v>0</x:v>
      </x:c>
      <x:c r="K1118" s="8" t="n">
        <x:f>H1118-I1118*J1118</x:f>
        <x:v>-1.5</x:v>
      </x:c>
      <x:c r="L1118" s="8" t="n">
        <x:f>'PG facts'!E83</x:f>
        <x:v>-1</x:v>
      </x:c>
      <x:c r="M1118" s="8" t="n">
        <x:f>K1118-L1118</x:f>
        <x:v>-0.5</x:v>
      </x:c>
      <x:c r="N1118" s="8" t="n">
        <x:f>M1118^2</x:f>
        <x:v>0.25</x:v>
      </x:c>
      <x:c r="O1118" s="8" t="n">
        <x:f>ABS(M1118)</x:f>
        <x:v>0.5</x:v>
      </x:c>
      <x:c r="P1118" s="7" t="n">
        <x:v>45314</x:v>
      </x:c>
    </x:row>
    <x:row r="1119" ht="26" customHeight="1">
      <x:c r="A1119" s="2"/>
      <x:c r="B1119" s="2" t="n">
        <x:v>1114</x:v>
      </x:c>
      <x:c r="C1119" s="2" t="str">
        <x:v>Beauty / organic_volume_growth</x:v>
      </x:c>
      <x:c r="D1119" s="7" t="n">
        <x:v>45291</x:v>
      </x:c>
      <x:c r="E1119" s="2" t="str">
        <x:v>Origin</x:v>
      </x:c>
      <x:c r="F1119" s="7" t="n">
        <x:v>45200</x:v>
      </x:c>
      <x:c r="G1119" s="2" t="str">
        <x:v>Broad market</x:v>
      </x:c>
      <x:c r="H1119" s="8" t="n">
        <x:f>'Model fits'!AA745</x:f>
        <x:v>-1.1319980927102686</x:v>
      </x:c>
      <x:c r="I1119" s="8" t="n">
        <x:f>0</x:f>
        <x:v>0</x:v>
      </x:c>
      <x:c r="J1119" s="8" t="n">
        <x:v>0</x:v>
      </x:c>
      <x:c r="K1119" s="8" t="n">
        <x:f>H1119-I1119*J1119</x:f>
        <x:v>-1.1319980927102686</x:v>
      </x:c>
      <x:c r="L1119" s="8" t="n">
        <x:f>'PG facts'!E83</x:f>
        <x:v>-1</x:v>
      </x:c>
      <x:c r="M1119" s="8" t="n">
        <x:f>K1119-L1119</x:f>
        <x:v>-0.13199809271026863</x:v>
      </x:c>
      <x:c r="N1119" s="8" t="n">
        <x:f>M1119^2</x:f>
        <x:v>0.017423496479148672</x:v>
      </x:c>
      <x:c r="O1119" s="8" t="n">
        <x:f>ABS(M1119)</x:f>
        <x:v>0.13199809271026863</x:v>
      </x:c>
      <x:c r="P1119" s="7" t="n">
        <x:v>45314</x:v>
      </x:c>
    </x:row>
    <x:row r="1120" ht="26" customHeight="1">
      <x:c r="A1120" s="2"/>
      <x:c r="B1120" s="2" t="n">
        <x:v>1115</x:v>
      </x:c>
      <x:c r="C1120" s="2" t="str">
        <x:v>Beauty / organic_volume_growth</x:v>
      </x:c>
      <x:c r="D1120" s="7" t="n">
        <x:v>45291</x:v>
      </x:c>
      <x:c r="E1120" s="2" t="str">
        <x:v>Origin</x:v>
      </x:c>
      <x:c r="F1120" s="7" t="n">
        <x:v>45200</x:v>
      </x:c>
      <x:c r="G1120" s="2" t="str">
        <x:v>Broad rolling 8</x:v>
      </x:c>
      <x:c r="H1120" s="8" t="n">
        <x:f>'Model fits'!AA746</x:f>
        <x:v>-1.2817620886393</x:v>
      </x:c>
      <x:c r="I1120" s="8" t="n">
        <x:f>0</x:f>
        <x:v>0</x:v>
      </x:c>
      <x:c r="J1120" s="8" t="n">
        <x:v>0</x:v>
      </x:c>
      <x:c r="K1120" s="8" t="n">
        <x:f>H1120-I1120*J1120</x:f>
        <x:v>-1.2817620886393</x:v>
      </x:c>
      <x:c r="L1120" s="8" t="n">
        <x:f>'PG facts'!E83</x:f>
        <x:v>-1</x:v>
      </x:c>
      <x:c r="M1120" s="8" t="n">
        <x:f>K1120-L1120</x:f>
        <x:v>-0.28176208863929997</x:v>
      </x:c>
      <x:c r="N1120" s="8" t="n">
        <x:f>M1120^2</x:f>
        <x:v>0.07938987459438074</x:v>
      </x:c>
      <x:c r="O1120" s="8" t="n">
        <x:f>ABS(M1120)</x:f>
        <x:v>0.28176208863929997</x:v>
      </x:c>
      <x:c r="P1120" s="7" t="n">
        <x:v>45314</x:v>
      </x:c>
    </x:row>
    <x:row r="1121" ht="26" customHeight="1">
      <x:c r="A1121" s="2"/>
      <x:c r="B1121" s="2" t="n">
        <x:v>1116</x:v>
      </x:c>
      <x:c r="C1121" s="2" t="str">
        <x:v>Beauty / organic_volume_growth</x:v>
      </x:c>
      <x:c r="D1121" s="7" t="n">
        <x:v>45291</x:v>
      </x:c>
      <x:c r="E1121" s="2" t="str">
        <x:v>Origin</x:v>
      </x:c>
      <x:c r="F1121" s="7" t="n">
        <x:v>45200</x:v>
      </x:c>
      <x:c r="G1121" s="2" t="str">
        <x:v>Own history</x:v>
      </x:c>
      <x:c r="H1121" s="8" t="n">
        <x:f>'Model fits'!AA747</x:f>
        <x:v>-1.1538461538461537</x:v>
      </x:c>
      <x:c r="I1121" s="8" t="n">
        <x:f>0</x:f>
        <x:v>0</x:v>
      </x:c>
      <x:c r="J1121" s="8" t="n">
        <x:v>0</x:v>
      </x:c>
      <x:c r="K1121" s="8" t="n">
        <x:f>H1121-I1121*J1121</x:f>
        <x:v>-1.1538461538461537</x:v>
      </x:c>
      <x:c r="L1121" s="8" t="n">
        <x:f>'PG facts'!E83</x:f>
        <x:v>-1</x:v>
      </x:c>
      <x:c r="M1121" s="8" t="n">
        <x:f>K1121-L1121</x:f>
        <x:v>-0.15384615384615374</x:v>
      </x:c>
      <x:c r="N1121" s="8" t="n">
        <x:f>M1121^2</x:f>
        <x:v>0.023668639053254406</x:v>
      </x:c>
      <x:c r="O1121" s="8" t="n">
        <x:f>ABS(M1121)</x:f>
        <x:v>0.15384615384615374</x:v>
      </x:c>
      <x:c r="P1121" s="7" t="n">
        <x:v>45314</x:v>
      </x:c>
    </x:row>
    <x:row r="1122" ht="26" customHeight="1">
      <x:c r="A1122" s="2"/>
      <x:c r="B1122" s="2" t="n">
        <x:v>1117</x:v>
      </x:c>
      <x:c r="C1122" s="2" t="str">
        <x:v>Beauty / organic_volume_growth</x:v>
      </x:c>
      <x:c r="D1122" s="7" t="n">
        <x:v>45291</x:v>
      </x:c>
      <x:c r="E1122" s="2" t="str">
        <x:v>Prior report</x:v>
      </x:c>
      <x:c r="F1122" s="7" t="n">
        <x:v>45217</x:v>
      </x:c>
      <x:c r="G1122" s="2" t="str">
        <x:v>Last actual</x:v>
      </x:c>
      <x:c r="H1122" s="8" t="n">
        <x:f>AVERAGE('PG facts'!E76)</x:f>
        <x:v>0</x:v>
      </x:c>
      <x:c r="I1122" s="8" t="n">
        <x:f>0</x:f>
        <x:v>0</x:v>
      </x:c>
      <x:c r="J1122" s="8" t="n">
        <x:v>0</x:v>
      </x:c>
      <x:c r="K1122" s="8" t="n">
        <x:f>H1122-I1122*J1122</x:f>
        <x:v>0</x:v>
      </x:c>
      <x:c r="L1122" s="8" t="n">
        <x:f>'PG facts'!E83</x:f>
        <x:v>-1</x:v>
      </x:c>
      <x:c r="M1122" s="8" t="n">
        <x:f>K1122-L1122</x:f>
        <x:v>1</x:v>
      </x:c>
      <x:c r="N1122" s="8" t="n">
        <x:f>M1122^2</x:f>
        <x:v>1</x:v>
      </x:c>
      <x:c r="O1122" s="8" t="n">
        <x:f>ABS(M1122)</x:f>
        <x:v>1</x:v>
      </x:c>
      <x:c r="P1122" s="7" t="n">
        <x:v>45314</x:v>
      </x:c>
    </x:row>
    <x:row r="1123" ht="26" customHeight="1">
      <x:c r="A1123" s="2"/>
      <x:c r="B1123" s="2" t="n">
        <x:v>1118</x:v>
      </x:c>
      <x:c r="C1123" s="2" t="str">
        <x:v>Beauty / organic_volume_growth</x:v>
      </x:c>
      <x:c r="D1123" s="7" t="n">
        <x:v>45291</x:v>
      </x:c>
      <x:c r="E1123" s="2" t="str">
        <x:v>Prior report</x:v>
      </x:c>
      <x:c r="F1123" s="7" t="n">
        <x:v>45217</x:v>
      </x:c>
      <x:c r="G1123" s="2" t="str">
        <x:v>Four-quarter mean</x:v>
      </x:c>
      <x:c r="H1123" s="8" t="n">
        <x:f>AVERAGE('PG facts'!E55,'PG facts'!E62,'PG facts'!E69,'PG facts'!E76)</x:f>
        <x:v>-1.25</x:v>
      </x:c>
      <x:c r="I1123" s="8" t="n">
        <x:f>0</x:f>
        <x:v>0</x:v>
      </x:c>
      <x:c r="J1123" s="8" t="n">
        <x:v>0</x:v>
      </x:c>
      <x:c r="K1123" s="8" t="n">
        <x:f>H1123-I1123*J1123</x:f>
        <x:v>-1.25</x:v>
      </x:c>
      <x:c r="L1123" s="8" t="n">
        <x:f>'PG facts'!E83</x:f>
        <x:v>-1</x:v>
      </x:c>
      <x:c r="M1123" s="8" t="n">
        <x:f>K1123-L1123</x:f>
        <x:v>-0.25</x:v>
      </x:c>
      <x:c r="N1123" s="8" t="n">
        <x:f>M1123^2</x:f>
        <x:v>0.0625</x:v>
      </x:c>
      <x:c r="O1123" s="8" t="n">
        <x:f>ABS(M1123)</x:f>
        <x:v>0.25</x:v>
      </x:c>
      <x:c r="P1123" s="7" t="n">
        <x:v>45314</x:v>
      </x:c>
    </x:row>
    <x:row r="1124" ht="26" customHeight="1">
      <x:c r="A1124" s="2"/>
      <x:c r="B1124" s="2" t="n">
        <x:v>1119</x:v>
      </x:c>
      <x:c r="C1124" s="2" t="str">
        <x:v>Beauty / organic_volume_growth</x:v>
      </x:c>
      <x:c r="D1124" s="7" t="n">
        <x:v>45291</x:v>
      </x:c>
      <x:c r="E1124" s="2" t="str">
        <x:v>Prior report</x:v>
      </x:c>
      <x:c r="F1124" s="7" t="n">
        <x:v>45217</x:v>
      </x:c>
      <x:c r="G1124" s="2" t="str">
        <x:v>Broad market</x:v>
      </x:c>
      <x:c r="H1124" s="8" t="n">
        <x:f>'Model fits'!AA748</x:f>
        <x:v>-1.1319980927102686</x:v>
      </x:c>
      <x:c r="I1124" s="8" t="n">
        <x:f>0</x:f>
        <x:v>0</x:v>
      </x:c>
      <x:c r="J1124" s="8" t="n">
        <x:v>0</x:v>
      </x:c>
      <x:c r="K1124" s="8" t="n">
        <x:f>H1124-I1124*J1124</x:f>
        <x:v>-1.1319980927102686</x:v>
      </x:c>
      <x:c r="L1124" s="8" t="n">
        <x:f>'PG facts'!E83</x:f>
        <x:v>-1</x:v>
      </x:c>
      <x:c r="M1124" s="8" t="n">
        <x:f>K1124-L1124</x:f>
        <x:v>-0.13199809271026863</x:v>
      </x:c>
      <x:c r="N1124" s="8" t="n">
        <x:f>M1124^2</x:f>
        <x:v>0.017423496479148672</x:v>
      </x:c>
      <x:c r="O1124" s="8" t="n">
        <x:f>ABS(M1124)</x:f>
        <x:v>0.13199809271026863</x:v>
      </x:c>
      <x:c r="P1124" s="7" t="n">
        <x:v>45314</x:v>
      </x:c>
    </x:row>
    <x:row r="1125" ht="26" customHeight="1">
      <x:c r="A1125" s="2"/>
      <x:c r="B1125" s="2" t="n">
        <x:v>1120</x:v>
      </x:c>
      <x:c r="C1125" s="2" t="str">
        <x:v>Beauty / organic_volume_growth</x:v>
      </x:c>
      <x:c r="D1125" s="7" t="n">
        <x:v>45291</x:v>
      </x:c>
      <x:c r="E1125" s="2" t="str">
        <x:v>Prior report</x:v>
      </x:c>
      <x:c r="F1125" s="7" t="n">
        <x:v>45217</x:v>
      </x:c>
      <x:c r="G1125" s="2" t="str">
        <x:v>Broad rolling 8</x:v>
      </x:c>
      <x:c r="H1125" s="8" t="n">
        <x:f>'Model fits'!AA749</x:f>
        <x:v>-1.2817620886393</x:v>
      </x:c>
      <x:c r="I1125" s="8" t="n">
        <x:f>0</x:f>
        <x:v>0</x:v>
      </x:c>
      <x:c r="J1125" s="8" t="n">
        <x:v>0</x:v>
      </x:c>
      <x:c r="K1125" s="8" t="n">
        <x:f>H1125-I1125*J1125</x:f>
        <x:v>-1.2817620886393</x:v>
      </x:c>
      <x:c r="L1125" s="8" t="n">
        <x:f>'PG facts'!E83</x:f>
        <x:v>-1</x:v>
      </x:c>
      <x:c r="M1125" s="8" t="n">
        <x:f>K1125-L1125</x:f>
        <x:v>-0.28176208863929997</x:v>
      </x:c>
      <x:c r="N1125" s="8" t="n">
        <x:f>M1125^2</x:f>
        <x:v>0.07938987459438074</x:v>
      </x:c>
      <x:c r="O1125" s="8" t="n">
        <x:f>ABS(M1125)</x:f>
        <x:v>0.28176208863929997</x:v>
      </x:c>
      <x:c r="P1125" s="7" t="n">
        <x:v>45314</x:v>
      </x:c>
    </x:row>
    <x:row r="1126" ht="26" customHeight="1">
      <x:c r="A1126" s="2"/>
      <x:c r="B1126" s="2" t="n">
        <x:v>1121</x:v>
      </x:c>
      <x:c r="C1126" s="2" t="str">
        <x:v>Beauty / organic_volume_growth</x:v>
      </x:c>
      <x:c r="D1126" s="7" t="n">
        <x:v>45291</x:v>
      </x:c>
      <x:c r="E1126" s="2" t="str">
        <x:v>Prior report</x:v>
      </x:c>
      <x:c r="F1126" s="7" t="n">
        <x:v>45217</x:v>
      </x:c>
      <x:c r="G1126" s="2" t="str">
        <x:v>Own history</x:v>
      </x:c>
      <x:c r="H1126" s="8" t="n">
        <x:f>'Model fits'!AA750</x:f>
        <x:v>-0.5962264150943396</x:v>
      </x:c>
      <x:c r="I1126" s="8" t="n">
        <x:f>0</x:f>
        <x:v>0</x:v>
      </x:c>
      <x:c r="J1126" s="8" t="n">
        <x:v>0</x:v>
      </x:c>
      <x:c r="K1126" s="8" t="n">
        <x:f>H1126-I1126*J1126</x:f>
        <x:v>-0.5962264150943396</x:v>
      </x:c>
      <x:c r="L1126" s="8" t="n">
        <x:f>'PG facts'!E83</x:f>
        <x:v>-1</x:v>
      </x:c>
      <x:c r="M1126" s="8" t="n">
        <x:f>K1126-L1126</x:f>
        <x:v>0.4037735849056604</x:v>
      </x:c>
      <x:c r="N1126" s="8" t="n">
        <x:f>M1126^2</x:f>
        <x:v>0.16303310786756856</x:v>
      </x:c>
      <x:c r="O1126" s="8" t="n">
        <x:f>ABS(M1126)</x:f>
        <x:v>0.4037735849056604</x:v>
      </x:c>
      <x:c r="P1126" s="7" t="n">
        <x:v>45314</x:v>
      </x:c>
    </x:row>
    <x:row r="1127" ht="26" customHeight="1">
      <x:c r="A1127" s="2"/>
      <x:c r="B1127" s="2" t="n">
        <x:v>1122</x:v>
      </x:c>
      <x:c r="C1127" s="2" t="str">
        <x:v>Beauty / organic_volume_growth</x:v>
      </x:c>
      <x:c r="D1127" s="7" t="n">
        <x:v>45291</x:v>
      </x:c>
      <x:c r="E1127" s="2" t="str">
        <x:v>Pre-earnings</x:v>
      </x:c>
      <x:c r="F1127" s="7" t="n">
        <x:v>45313</x:v>
      </x:c>
      <x:c r="G1127" s="2" t="str">
        <x:v>Last actual</x:v>
      </x:c>
      <x:c r="H1127" s="8" t="n">
        <x:f>AVERAGE('PG facts'!E76)</x:f>
        <x:v>0</x:v>
      </x:c>
      <x:c r="I1127" s="8" t="n">
        <x:f>0</x:f>
        <x:v>0</x:v>
      </x:c>
      <x:c r="J1127" s="8" t="n">
        <x:v>0</x:v>
      </x:c>
      <x:c r="K1127" s="8" t="n">
        <x:f>H1127-I1127*J1127</x:f>
        <x:v>0</x:v>
      </x:c>
      <x:c r="L1127" s="8" t="n">
        <x:f>'PG facts'!E83</x:f>
        <x:v>-1</x:v>
      </x:c>
      <x:c r="M1127" s="8" t="n">
        <x:f>K1127-L1127</x:f>
        <x:v>1</x:v>
      </x:c>
      <x:c r="N1127" s="8" t="n">
        <x:f>M1127^2</x:f>
        <x:v>1</x:v>
      </x:c>
      <x:c r="O1127" s="8" t="n">
        <x:f>ABS(M1127)</x:f>
        <x:v>1</x:v>
      </x:c>
      <x:c r="P1127" s="7" t="n">
        <x:v>45314</x:v>
      </x:c>
    </x:row>
    <x:row r="1128" ht="26" customHeight="1">
      <x:c r="A1128" s="2"/>
      <x:c r="B1128" s="2" t="n">
        <x:v>1123</x:v>
      </x:c>
      <x:c r="C1128" s="2" t="str">
        <x:v>Beauty / organic_volume_growth</x:v>
      </x:c>
      <x:c r="D1128" s="7" t="n">
        <x:v>45291</x:v>
      </x:c>
      <x:c r="E1128" s="2" t="str">
        <x:v>Pre-earnings</x:v>
      </x:c>
      <x:c r="F1128" s="7" t="n">
        <x:v>45313</x:v>
      </x:c>
      <x:c r="G1128" s="2" t="str">
        <x:v>Four-quarter mean</x:v>
      </x:c>
      <x:c r="H1128" s="8" t="n">
        <x:f>AVERAGE('PG facts'!E55,'PG facts'!E62,'PG facts'!E69,'PG facts'!E76)</x:f>
        <x:v>-1.25</x:v>
      </x:c>
      <x:c r="I1128" s="8" t="n">
        <x:f>0</x:f>
        <x:v>0</x:v>
      </x:c>
      <x:c r="J1128" s="8" t="n">
        <x:v>0</x:v>
      </x:c>
      <x:c r="K1128" s="8" t="n">
        <x:f>H1128-I1128*J1128</x:f>
        <x:v>-1.25</x:v>
      </x:c>
      <x:c r="L1128" s="8" t="n">
        <x:f>'PG facts'!E83</x:f>
        <x:v>-1</x:v>
      </x:c>
      <x:c r="M1128" s="8" t="n">
        <x:f>K1128-L1128</x:f>
        <x:v>-0.25</x:v>
      </x:c>
      <x:c r="N1128" s="8" t="n">
        <x:f>M1128^2</x:f>
        <x:v>0.0625</x:v>
      </x:c>
      <x:c r="O1128" s="8" t="n">
        <x:f>ABS(M1128)</x:f>
        <x:v>0.25</x:v>
      </x:c>
      <x:c r="P1128" s="7" t="n">
        <x:v>45314</x:v>
      </x:c>
    </x:row>
    <x:row r="1129" ht="26" customHeight="1">
      <x:c r="A1129" s="2"/>
      <x:c r="B1129" s="2" t="n">
        <x:v>1124</x:v>
      </x:c>
      <x:c r="C1129" s="2" t="str">
        <x:v>Beauty / organic_volume_growth</x:v>
      </x:c>
      <x:c r="D1129" s="7" t="n">
        <x:v>45291</x:v>
      </x:c>
      <x:c r="E1129" s="2" t="str">
        <x:v>Pre-earnings</x:v>
      </x:c>
      <x:c r="F1129" s="7" t="n">
        <x:v>45313</x:v>
      </x:c>
      <x:c r="G1129" s="2" t="str">
        <x:v>Broad market</x:v>
      </x:c>
      <x:c r="H1129" s="8" t="n">
        <x:f>'Model fits'!AA751</x:f>
        <x:v>-0.9190940551348855</x:v>
      </x:c>
      <x:c r="I1129" s="8" t="n">
        <x:f>0</x:f>
        <x:v>0</x:v>
      </x:c>
      <x:c r="J1129" s="8" t="n">
        <x:v>0</x:v>
      </x:c>
      <x:c r="K1129" s="8" t="n">
        <x:f>H1129-I1129*J1129</x:f>
        <x:v>-0.9190940551348855</x:v>
      </x:c>
      <x:c r="L1129" s="8" t="n">
        <x:f>'PG facts'!E83</x:f>
        <x:v>-1</x:v>
      </x:c>
      <x:c r="M1129" s="8" t="n">
        <x:f>K1129-L1129</x:f>
        <x:v>0.08090594486511449</x:v>
      </x:c>
      <x:c r="N1129" s="8" t="n">
        <x:f>M1129^2</x:f>
        <x:v>0.006545771914516945</x:v>
      </x:c>
      <x:c r="O1129" s="8" t="n">
        <x:f>ABS(M1129)</x:f>
        <x:v>0.08090594486511449</x:v>
      </x:c>
      <x:c r="P1129" s="7" t="n">
        <x:v>45314</x:v>
      </x:c>
    </x:row>
    <x:row r="1130" ht="26" customHeight="1">
      <x:c r="A1130" s="2"/>
      <x:c r="B1130" s="2" t="n">
        <x:v>1125</x:v>
      </x:c>
      <x:c r="C1130" s="2" t="str">
        <x:v>Beauty / organic_volume_growth</x:v>
      </x:c>
      <x:c r="D1130" s="7" t="n">
        <x:v>45291</x:v>
      </x:c>
      <x:c r="E1130" s="2" t="str">
        <x:v>Pre-earnings</x:v>
      </x:c>
      <x:c r="F1130" s="7" t="n">
        <x:v>45313</x:v>
      </x:c>
      <x:c r="G1130" s="2" t="str">
        <x:v>Broad lag 1</x:v>
      </x:c>
      <x:c r="H1130" s="8" t="n">
        <x:f>'Model fits'!AA752</x:f>
        <x:v>-0.9742744178666207</x:v>
      </x:c>
      <x:c r="I1130" s="8" t="n">
        <x:f>0</x:f>
        <x:v>0</x:v>
      </x:c>
      <x:c r="J1130" s="8" t="n">
        <x:v>0</x:v>
      </x:c>
      <x:c r="K1130" s="8" t="n">
        <x:f>H1130-I1130*J1130</x:f>
        <x:v>-0.9742744178666207</x:v>
      </x:c>
      <x:c r="L1130" s="8" t="n">
        <x:f>'PG facts'!E83</x:f>
        <x:v>-1</x:v>
      </x:c>
      <x:c r="M1130" s="8" t="n">
        <x:f>K1130-L1130</x:f>
        <x:v>0.025725582133379277</x:v>
      </x:c>
      <x:c r="N1130" s="8" t="n">
        <x:f>M1130^2</x:f>
        <x:v>0.0006618055761012431</x:v>
      </x:c>
      <x:c r="O1130" s="8" t="n">
        <x:f>ABS(M1130)</x:f>
        <x:v>0.025725582133379277</x:v>
      </x:c>
      <x:c r="P1130" s="7" t="n">
        <x:v>45314</x:v>
      </x:c>
    </x:row>
    <x:row r="1131" ht="26" customHeight="1">
      <x:c r="A1131" s="2"/>
      <x:c r="B1131" s="2" t="n">
        <x:v>1126</x:v>
      </x:c>
      <x:c r="C1131" s="2" t="str">
        <x:v>Beauty / organic_volume_growth</x:v>
      </x:c>
      <x:c r="D1131" s="7" t="n">
        <x:v>45291</x:v>
      </x:c>
      <x:c r="E1131" s="2" t="str">
        <x:v>Pre-earnings</x:v>
      </x:c>
      <x:c r="F1131" s="7" t="n">
        <x:v>45313</x:v>
      </x:c>
      <x:c r="G1131" s="2" t="str">
        <x:v>Broad rolling 8</x:v>
      </x:c>
      <x:c r="H1131" s="8" t="n">
        <x:f>'Model fits'!AA753</x:f>
        <x:v>-0.9539537957041508</x:v>
      </x:c>
      <x:c r="I1131" s="8" t="n">
        <x:f>0</x:f>
        <x:v>0</x:v>
      </x:c>
      <x:c r="J1131" s="8" t="n">
        <x:v>0</x:v>
      </x:c>
      <x:c r="K1131" s="8" t="n">
        <x:f>H1131-I1131*J1131</x:f>
        <x:v>-0.9539537957041508</x:v>
      </x:c>
      <x:c r="L1131" s="8" t="n">
        <x:f>'PG facts'!E83</x:f>
        <x:v>-1</x:v>
      </x:c>
      <x:c r="M1131" s="8" t="n">
        <x:f>K1131-L1131</x:f>
        <x:v>0.04604620429584916</x:v>
      </x:c>
      <x:c r="N1131" s="8" t="n">
        <x:f>M1131^2</x:f>
        <x:v>0.0021202529300550776</x:v>
      </x:c>
      <x:c r="O1131" s="8" t="n">
        <x:f>ABS(M1131)</x:f>
        <x:v>0.04604620429584916</x:v>
      </x:c>
      <x:c r="P1131" s="7" t="n">
        <x:v>45314</x:v>
      </x:c>
    </x:row>
    <x:row r="1132" ht="26" customHeight="1">
      <x:c r="A1132" s="2"/>
      <x:c r="B1132" s="2" t="n">
        <x:v>1127</x:v>
      </x:c>
      <x:c r="C1132" s="2" t="str">
        <x:v>Beauty / organic_volume_growth</x:v>
      </x:c>
      <x:c r="D1132" s="7" t="n">
        <x:v>45291</x:v>
      </x:c>
      <x:c r="E1132" s="2" t="str">
        <x:v>Pre-earnings</x:v>
      </x:c>
      <x:c r="F1132" s="7" t="n">
        <x:v>45313</x:v>
      </x:c>
      <x:c r="G1132" s="2" t="str">
        <x:v>Own history</x:v>
      </x:c>
      <x:c r="H1132" s="8" t="n">
        <x:f>'Model fits'!AA754</x:f>
        <x:v>-0.5962264150943396</x:v>
      </x:c>
      <x:c r="I1132" s="8" t="n">
        <x:f>0</x:f>
        <x:v>0</x:v>
      </x:c>
      <x:c r="J1132" s="8" t="n">
        <x:v>0</x:v>
      </x:c>
      <x:c r="K1132" s="8" t="n">
        <x:f>H1132-I1132*J1132</x:f>
        <x:v>-0.5962264150943396</x:v>
      </x:c>
      <x:c r="L1132" s="8" t="n">
        <x:f>'PG facts'!E83</x:f>
        <x:v>-1</x:v>
      </x:c>
      <x:c r="M1132" s="8" t="n">
        <x:f>K1132-L1132</x:f>
        <x:v>0.4037735849056604</x:v>
      </x:c>
      <x:c r="N1132" s="8" t="n">
        <x:f>M1132^2</x:f>
        <x:v>0.16303310786756856</x:v>
      </x:c>
      <x:c r="O1132" s="8" t="n">
        <x:f>ABS(M1132)</x:f>
        <x:v>0.4037735849056604</x:v>
      </x:c>
      <x:c r="P1132" s="7" t="n">
        <x:v>45314</x:v>
      </x:c>
    </x:row>
    <x:row r="1133" ht="26" customHeight="1">
      <x:c r="A1133" s="2"/>
      <x:c r="B1133" s="2" t="n">
        <x:v>1128</x:v>
      </x:c>
      <x:c r="C1133" s="2" t="str">
        <x:v>Beauty / organic_volume_growth</x:v>
      </x:c>
      <x:c r="D1133" s="7" t="n">
        <x:v>45382</x:v>
      </x:c>
      <x:c r="E1133" s="2" t="str">
        <x:v>Origin</x:v>
      </x:c>
      <x:c r="F1133" s="7" t="n">
        <x:v>45292</x:v>
      </x:c>
      <x:c r="G1133" s="2" t="str">
        <x:v>Last actual</x:v>
      </x:c>
      <x:c r="H1133" s="8" t="n">
        <x:f>AVERAGE('PG facts'!E76)</x:f>
        <x:v>0</x:v>
      </x:c>
      <x:c r="I1133" s="8" t="n">
        <x:f>0</x:f>
        <x:v>0</x:v>
      </x:c>
      <x:c r="J1133" s="8" t="n">
        <x:v>0</x:v>
      </x:c>
      <x:c r="K1133" s="8" t="n">
        <x:f>H1133-I1133*J1133</x:f>
        <x:v>0</x:v>
      </x:c>
      <x:c r="L1133" s="8" t="n">
        <x:f>'PG facts'!E90</x:f>
        <x:v>1</x:v>
      </x:c>
      <x:c r="M1133" s="8" t="n">
        <x:f>K1133-L1133</x:f>
        <x:v>-1</x:v>
      </x:c>
      <x:c r="N1133" s="8" t="n">
        <x:f>M1133^2</x:f>
        <x:v>1</x:v>
      </x:c>
      <x:c r="O1133" s="8" t="n">
        <x:f>ABS(M1133)</x:f>
        <x:v>1</x:v>
      </x:c>
      <x:c r="P1133" s="7" t="n">
        <x:v>45401</x:v>
      </x:c>
    </x:row>
    <x:row r="1134" ht="26" customHeight="1">
      <x:c r="A1134" s="2"/>
      <x:c r="B1134" s="2" t="n">
        <x:v>1129</x:v>
      </x:c>
      <x:c r="C1134" s="2" t="str">
        <x:v>Beauty / organic_volume_growth</x:v>
      </x:c>
      <x:c r="D1134" s="7" t="n">
        <x:v>45382</x:v>
      </x:c>
      <x:c r="E1134" s="2" t="str">
        <x:v>Origin</x:v>
      </x:c>
      <x:c r="F1134" s="7" t="n">
        <x:v>45292</x:v>
      </x:c>
      <x:c r="G1134" s="2" t="str">
        <x:v>Four-quarter mean</x:v>
      </x:c>
      <x:c r="H1134" s="8" t="n">
        <x:f>AVERAGE('PG facts'!E55,'PG facts'!E62,'PG facts'!E69,'PG facts'!E76)</x:f>
        <x:v>-1.25</x:v>
      </x:c>
      <x:c r="I1134" s="8" t="n">
        <x:f>0</x:f>
        <x:v>0</x:v>
      </x:c>
      <x:c r="J1134" s="8" t="n">
        <x:v>0</x:v>
      </x:c>
      <x:c r="K1134" s="8" t="n">
        <x:f>H1134-I1134*J1134</x:f>
        <x:v>-1.25</x:v>
      </x:c>
      <x:c r="L1134" s="8" t="n">
        <x:f>'PG facts'!E90</x:f>
        <x:v>1</x:v>
      </x:c>
      <x:c r="M1134" s="8" t="n">
        <x:f>K1134-L1134</x:f>
        <x:v>-2.25</x:v>
      </x:c>
      <x:c r="N1134" s="8" t="n">
        <x:f>M1134^2</x:f>
        <x:v>5.0625</x:v>
      </x:c>
      <x:c r="O1134" s="8" t="n">
        <x:f>ABS(M1134)</x:f>
        <x:v>2.25</x:v>
      </x:c>
      <x:c r="P1134" s="7" t="n">
        <x:v>45401</x:v>
      </x:c>
    </x:row>
    <x:row r="1135" ht="26" customHeight="1">
      <x:c r="A1135" s="2"/>
      <x:c r="B1135" s="2" t="n">
        <x:v>1130</x:v>
      </x:c>
      <x:c r="C1135" s="2" t="str">
        <x:v>Beauty / organic_volume_growth</x:v>
      </x:c>
      <x:c r="D1135" s="7" t="n">
        <x:v>45382</x:v>
      </x:c>
      <x:c r="E1135" s="2" t="str">
        <x:v>Origin</x:v>
      </x:c>
      <x:c r="F1135" s="7" t="n">
        <x:v>45292</x:v>
      </x:c>
      <x:c r="G1135" s="2" t="str">
        <x:v>Broad market</x:v>
      </x:c>
      <x:c r="H1135" s="8" t="n">
        <x:f>'Model fits'!AA755</x:f>
        <x:v>-0.9427720570125346</x:v>
      </x:c>
      <x:c r="I1135" s="8" t="n">
        <x:f>0</x:f>
        <x:v>0</x:v>
      </x:c>
      <x:c r="J1135" s="8" t="n">
        <x:v>0</x:v>
      </x:c>
      <x:c r="K1135" s="8" t="n">
        <x:f>H1135-I1135*J1135</x:f>
        <x:v>-0.9427720570125346</x:v>
      </x:c>
      <x:c r="L1135" s="8" t="n">
        <x:f>'PG facts'!E90</x:f>
        <x:v>1</x:v>
      </x:c>
      <x:c r="M1135" s="8" t="n">
        <x:f>K1135-L1135</x:f>
        <x:v>-1.9427720570125346</x:v>
      </x:c>
      <x:c r="N1135" s="8" t="n">
        <x:f>M1135^2</x:f>
        <x:v>3.774363265508715</x:v>
      </x:c>
      <x:c r="O1135" s="8" t="n">
        <x:f>ABS(M1135)</x:f>
        <x:v>1.9427720570125346</x:v>
      </x:c>
      <x:c r="P1135" s="7" t="n">
        <x:v>45401</x:v>
      </x:c>
    </x:row>
    <x:row r="1136" ht="26" customHeight="1">
      <x:c r="A1136" s="2"/>
      <x:c r="B1136" s="2" t="n">
        <x:v>1131</x:v>
      </x:c>
      <x:c r="C1136" s="2" t="str">
        <x:v>Beauty / organic_volume_growth</x:v>
      </x:c>
      <x:c r="D1136" s="7" t="n">
        <x:v>45382</x:v>
      </x:c>
      <x:c r="E1136" s="2" t="str">
        <x:v>Origin</x:v>
      </x:c>
      <x:c r="F1136" s="7" t="n">
        <x:v>45292</x:v>
      </x:c>
      <x:c r="G1136" s="2" t="str">
        <x:v>Broad rolling 8</x:v>
      </x:c>
      <x:c r="H1136" s="8" t="n">
        <x:f>'Model fits'!AA756</x:f>
        <x:v>-0.9887663351252569</x:v>
      </x:c>
      <x:c r="I1136" s="8" t="n">
        <x:f>0</x:f>
        <x:v>0</x:v>
      </x:c>
      <x:c r="J1136" s="8" t="n">
        <x:v>0</x:v>
      </x:c>
      <x:c r="K1136" s="8" t="n">
        <x:f>H1136-I1136*J1136</x:f>
        <x:v>-0.9887663351252569</x:v>
      </x:c>
      <x:c r="L1136" s="8" t="n">
        <x:f>'PG facts'!E90</x:f>
        <x:v>1</x:v>
      </x:c>
      <x:c r="M1136" s="8" t="n">
        <x:f>K1136-L1136</x:f>
        <x:v>-1.988766335125257</x:v>
      </x:c>
      <x:c r="N1136" s="8" t="n">
        <x:f>M1136^2</x:f>
        <x:v>3.9551915357275456</x:v>
      </x:c>
      <x:c r="O1136" s="8" t="n">
        <x:f>ABS(M1136)</x:f>
        <x:v>1.988766335125257</x:v>
      </x:c>
      <x:c r="P1136" s="7" t="n">
        <x:v>45401</x:v>
      </x:c>
    </x:row>
    <x:row r="1137" ht="26" customHeight="1">
      <x:c r="A1137" s="2"/>
      <x:c r="B1137" s="2" t="n">
        <x:v>1132</x:v>
      </x:c>
      <x:c r="C1137" s="2" t="str">
        <x:v>Beauty / organic_volume_growth</x:v>
      </x:c>
      <x:c r="D1137" s="7" t="n">
        <x:v>45382</x:v>
      </x:c>
      <x:c r="E1137" s="2" t="str">
        <x:v>Origin</x:v>
      </x:c>
      <x:c r="F1137" s="7" t="n">
        <x:v>45292</x:v>
      </x:c>
      <x:c r="G1137" s="2" t="str">
        <x:v>Own history</x:v>
      </x:c>
      <x:c r="H1137" s="8" t="n">
        <x:f>'Model fits'!AA757</x:f>
        <x:v>-0.7457627118644067</x:v>
      </x:c>
      <x:c r="I1137" s="8" t="n">
        <x:f>0</x:f>
        <x:v>0</x:v>
      </x:c>
      <x:c r="J1137" s="8" t="n">
        <x:v>0</x:v>
      </x:c>
      <x:c r="K1137" s="8" t="n">
        <x:f>H1137-I1137*J1137</x:f>
        <x:v>-0.7457627118644067</x:v>
      </x:c>
      <x:c r="L1137" s="8" t="n">
        <x:f>'PG facts'!E90</x:f>
        <x:v>1</x:v>
      </x:c>
      <x:c r="M1137" s="8" t="n">
        <x:f>K1137-L1137</x:f>
        <x:v>-1.7457627118644066</x:v>
      </x:c>
      <x:c r="N1137" s="8" t="n">
        <x:f>M1137^2</x:f>
        <x:v>3.047687446136167</x:v>
      </x:c>
      <x:c r="O1137" s="8" t="n">
        <x:f>ABS(M1137)</x:f>
        <x:v>1.7457627118644066</x:v>
      </x:c>
      <x:c r="P1137" s="7" t="n">
        <x:v>45401</x:v>
      </x:c>
    </x:row>
    <x:row r="1138" ht="26" customHeight="1">
      <x:c r="A1138" s="2"/>
      <x:c r="B1138" s="2" t="n">
        <x:v>1133</x:v>
      </x:c>
      <x:c r="C1138" s="2" t="str">
        <x:v>Beauty / organic_volume_growth</x:v>
      </x:c>
      <x:c r="D1138" s="7" t="n">
        <x:v>45382</x:v>
      </x:c>
      <x:c r="E1138" s="2" t="str">
        <x:v>Prior report</x:v>
      </x:c>
      <x:c r="F1138" s="7" t="n">
        <x:v>45314</x:v>
      </x:c>
      <x:c r="G1138" s="2" t="str">
        <x:v>Last actual</x:v>
      </x:c>
      <x:c r="H1138" s="8" t="n">
        <x:f>AVERAGE('PG facts'!E83)</x:f>
        <x:v>-1</x:v>
      </x:c>
      <x:c r="I1138" s="8" t="n">
        <x:f>0</x:f>
        <x:v>0</x:v>
      </x:c>
      <x:c r="J1138" s="8" t="n">
        <x:v>0</x:v>
      </x:c>
      <x:c r="K1138" s="8" t="n">
        <x:f>H1138-I1138*J1138</x:f>
        <x:v>-1</x:v>
      </x:c>
      <x:c r="L1138" s="8" t="n">
        <x:f>'PG facts'!E90</x:f>
        <x:v>1</x:v>
      </x:c>
      <x:c r="M1138" s="8" t="n">
        <x:f>K1138-L1138</x:f>
        <x:v>-2</x:v>
      </x:c>
      <x:c r="N1138" s="8" t="n">
        <x:f>M1138^2</x:f>
        <x:v>4</x:v>
      </x:c>
      <x:c r="O1138" s="8" t="n">
        <x:f>ABS(M1138)</x:f>
        <x:v>2</x:v>
      </x:c>
      <x:c r="P1138" s="7" t="n">
        <x:v>45401</x:v>
      </x:c>
    </x:row>
    <x:row r="1139" ht="26" customHeight="1">
      <x:c r="A1139" s="2"/>
      <x:c r="B1139" s="2" t="n">
        <x:v>1134</x:v>
      </x:c>
      <x:c r="C1139" s="2" t="str">
        <x:v>Beauty / organic_volume_growth</x:v>
      </x:c>
      <x:c r="D1139" s="7" t="n">
        <x:v>45382</x:v>
      </x:c>
      <x:c r="E1139" s="2" t="str">
        <x:v>Prior report</x:v>
      </x:c>
      <x:c r="F1139" s="7" t="n">
        <x:v>45314</x:v>
      </x:c>
      <x:c r="G1139" s="2" t="str">
        <x:v>Four-quarter mean</x:v>
      </x:c>
      <x:c r="H1139" s="8" t="n">
        <x:f>AVERAGE('PG facts'!E62,'PG facts'!E69,'PG facts'!E76,'PG facts'!E83)</x:f>
        <x:v>-0.5</x:v>
      </x:c>
      <x:c r="I1139" s="8" t="n">
        <x:f>0</x:f>
        <x:v>0</x:v>
      </x:c>
      <x:c r="J1139" s="8" t="n">
        <x:v>0</x:v>
      </x:c>
      <x:c r="K1139" s="8" t="n">
        <x:f>H1139-I1139*J1139</x:f>
        <x:v>-0.5</x:v>
      </x:c>
      <x:c r="L1139" s="8" t="n">
        <x:f>'PG facts'!E90</x:f>
        <x:v>1</x:v>
      </x:c>
      <x:c r="M1139" s="8" t="n">
        <x:f>K1139-L1139</x:f>
        <x:v>-1.5</x:v>
      </x:c>
      <x:c r="N1139" s="8" t="n">
        <x:f>M1139^2</x:f>
        <x:v>2.25</x:v>
      </x:c>
      <x:c r="O1139" s="8" t="n">
        <x:f>ABS(M1139)</x:f>
        <x:v>1.5</x:v>
      </x:c>
      <x:c r="P1139" s="7" t="n">
        <x:v>45401</x:v>
      </x:c>
    </x:row>
    <x:row r="1140" ht="26" customHeight="1">
      <x:c r="A1140" s="2"/>
      <x:c r="B1140" s="2" t="n">
        <x:v>1135</x:v>
      </x:c>
      <x:c r="C1140" s="2" t="str">
        <x:v>Beauty / organic_volume_growth</x:v>
      </x:c>
      <x:c r="D1140" s="7" t="n">
        <x:v>45382</x:v>
      </x:c>
      <x:c r="E1140" s="2" t="str">
        <x:v>Prior report</x:v>
      </x:c>
      <x:c r="F1140" s="7" t="n">
        <x:v>45314</x:v>
      </x:c>
      <x:c r="G1140" s="2" t="str">
        <x:v>Broad market</x:v>
      </x:c>
      <x:c r="H1140" s="8" t="n">
        <x:f>'Model fits'!AA758</x:f>
        <x:v>-0.9427720570125346</x:v>
      </x:c>
      <x:c r="I1140" s="8" t="n">
        <x:f>0</x:f>
        <x:v>0</x:v>
      </x:c>
      <x:c r="J1140" s="8" t="n">
        <x:v>0</x:v>
      </x:c>
      <x:c r="K1140" s="8" t="n">
        <x:f>H1140-I1140*J1140</x:f>
        <x:v>-0.9427720570125346</x:v>
      </x:c>
      <x:c r="L1140" s="8" t="n">
        <x:f>'PG facts'!E90</x:f>
        <x:v>1</x:v>
      </x:c>
      <x:c r="M1140" s="8" t="n">
        <x:f>K1140-L1140</x:f>
        <x:v>-1.9427720570125346</x:v>
      </x:c>
      <x:c r="N1140" s="8" t="n">
        <x:f>M1140^2</x:f>
        <x:v>3.774363265508715</x:v>
      </x:c>
      <x:c r="O1140" s="8" t="n">
        <x:f>ABS(M1140)</x:f>
        <x:v>1.9427720570125346</x:v>
      </x:c>
      <x:c r="P1140" s="7" t="n">
        <x:v>45401</x:v>
      </x:c>
    </x:row>
    <x:row r="1141" ht="26" customHeight="1">
      <x:c r="A1141" s="2"/>
      <x:c r="B1141" s="2" t="n">
        <x:v>1136</x:v>
      </x:c>
      <x:c r="C1141" s="2" t="str">
        <x:v>Beauty / organic_volume_growth</x:v>
      </x:c>
      <x:c r="D1141" s="7" t="n">
        <x:v>45382</x:v>
      </x:c>
      <x:c r="E1141" s="2" t="str">
        <x:v>Prior report</x:v>
      </x:c>
      <x:c r="F1141" s="7" t="n">
        <x:v>45314</x:v>
      </x:c>
      <x:c r="G1141" s="2" t="str">
        <x:v>Broad rolling 8</x:v>
      </x:c>
      <x:c r="H1141" s="8" t="n">
        <x:f>'Model fits'!AA759</x:f>
        <x:v>-0.9887663351252569</x:v>
      </x:c>
      <x:c r="I1141" s="8" t="n">
        <x:f>0</x:f>
        <x:v>0</x:v>
      </x:c>
      <x:c r="J1141" s="8" t="n">
        <x:v>0</x:v>
      </x:c>
      <x:c r="K1141" s="8" t="n">
        <x:f>H1141-I1141*J1141</x:f>
        <x:v>-0.9887663351252569</x:v>
      </x:c>
      <x:c r="L1141" s="8" t="n">
        <x:f>'PG facts'!E90</x:f>
        <x:v>1</x:v>
      </x:c>
      <x:c r="M1141" s="8" t="n">
        <x:f>K1141-L1141</x:f>
        <x:v>-1.988766335125257</x:v>
      </x:c>
      <x:c r="N1141" s="8" t="n">
        <x:f>M1141^2</x:f>
        <x:v>3.9551915357275456</x:v>
      </x:c>
      <x:c r="O1141" s="8" t="n">
        <x:f>ABS(M1141)</x:f>
        <x:v>1.988766335125257</x:v>
      </x:c>
      <x:c r="P1141" s="7" t="n">
        <x:v>45401</x:v>
      </x:c>
    </x:row>
    <x:row r="1142" ht="26" customHeight="1">
      <x:c r="A1142" s="2"/>
      <x:c r="B1142" s="2" t="n">
        <x:v>1137</x:v>
      </x:c>
      <x:c r="C1142" s="2" t="str">
        <x:v>Beauty / organic_volume_growth</x:v>
      </x:c>
      <x:c r="D1142" s="7" t="n">
        <x:v>45382</x:v>
      </x:c>
      <x:c r="E1142" s="2" t="str">
        <x:v>Prior report</x:v>
      </x:c>
      <x:c r="F1142" s="7" t="n">
        <x:v>45314</x:v>
      </x:c>
      <x:c r="G1142" s="2" t="str">
        <x:v>Own history</x:v>
      </x:c>
      <x:c r="H1142" s="8" t="n">
        <x:f>'Model fits'!AA760</x:f>
        <x:v>-0.8367346938775511</x:v>
      </x:c>
      <x:c r="I1142" s="8" t="n">
        <x:f>0</x:f>
        <x:v>0</x:v>
      </x:c>
      <x:c r="J1142" s="8" t="n">
        <x:v>0</x:v>
      </x:c>
      <x:c r="K1142" s="8" t="n">
        <x:f>H1142-I1142*J1142</x:f>
        <x:v>-0.8367346938775511</x:v>
      </x:c>
      <x:c r="L1142" s="8" t="n">
        <x:f>'PG facts'!E90</x:f>
        <x:v>1</x:v>
      </x:c>
      <x:c r="M1142" s="8" t="n">
        <x:f>K1142-L1142</x:f>
        <x:v>-1.836734693877551</x:v>
      </x:c>
      <x:c r="N1142" s="8" t="n">
        <x:f>M1142^2</x:f>
        <x:v>3.3735943356934612</x:v>
      </x:c>
      <x:c r="O1142" s="8" t="n">
        <x:f>ABS(M1142)</x:f>
        <x:v>1.836734693877551</x:v>
      </x:c>
      <x:c r="P1142" s="7" t="n">
        <x:v>45401</x:v>
      </x:c>
    </x:row>
    <x:row r="1143" ht="26" customHeight="1">
      <x:c r="A1143" s="2"/>
      <x:c r="B1143" s="2" t="n">
        <x:v>1138</x:v>
      </x:c>
      <x:c r="C1143" s="2" t="str">
        <x:v>Beauty / organic_volume_growth</x:v>
      </x:c>
      <x:c r="D1143" s="7" t="n">
        <x:v>45382</x:v>
      </x:c>
      <x:c r="E1143" s="2" t="str">
        <x:v>Pre-earnings</x:v>
      </x:c>
      <x:c r="F1143" s="7" t="n">
        <x:v>45400</x:v>
      </x:c>
      <x:c r="G1143" s="2" t="str">
        <x:v>Last actual</x:v>
      </x:c>
      <x:c r="H1143" s="8" t="n">
        <x:f>AVERAGE('PG facts'!E83)</x:f>
        <x:v>-1</x:v>
      </x:c>
      <x:c r="I1143" s="8" t="n">
        <x:f>0</x:f>
        <x:v>0</x:v>
      </x:c>
      <x:c r="J1143" s="8" t="n">
        <x:v>0</x:v>
      </x:c>
      <x:c r="K1143" s="8" t="n">
        <x:f>H1143-I1143*J1143</x:f>
        <x:v>-1</x:v>
      </x:c>
      <x:c r="L1143" s="8" t="n">
        <x:f>'PG facts'!E90</x:f>
        <x:v>1</x:v>
      </x:c>
      <x:c r="M1143" s="8" t="n">
        <x:f>K1143-L1143</x:f>
        <x:v>-2</x:v>
      </x:c>
      <x:c r="N1143" s="8" t="n">
        <x:f>M1143^2</x:f>
        <x:v>4</x:v>
      </x:c>
      <x:c r="O1143" s="8" t="n">
        <x:f>ABS(M1143)</x:f>
        <x:v>2</x:v>
      </x:c>
      <x:c r="P1143" s="7" t="n">
        <x:v>45401</x:v>
      </x:c>
    </x:row>
    <x:row r="1144" ht="26" customHeight="1">
      <x:c r="A1144" s="2"/>
      <x:c r="B1144" s="2" t="n">
        <x:v>1139</x:v>
      </x:c>
      <x:c r="C1144" s="2" t="str">
        <x:v>Beauty / organic_volume_growth</x:v>
      </x:c>
      <x:c r="D1144" s="7" t="n">
        <x:v>45382</x:v>
      </x:c>
      <x:c r="E1144" s="2" t="str">
        <x:v>Pre-earnings</x:v>
      </x:c>
      <x:c r="F1144" s="7" t="n">
        <x:v>45400</x:v>
      </x:c>
      <x:c r="G1144" s="2" t="str">
        <x:v>Four-quarter mean</x:v>
      </x:c>
      <x:c r="H1144" s="8" t="n">
        <x:f>AVERAGE('PG facts'!E62,'PG facts'!E69,'PG facts'!E76,'PG facts'!E83)</x:f>
        <x:v>-0.5</x:v>
      </x:c>
      <x:c r="I1144" s="8" t="n">
        <x:f>0</x:f>
        <x:v>0</x:v>
      </x:c>
      <x:c r="J1144" s="8" t="n">
        <x:v>0</x:v>
      </x:c>
      <x:c r="K1144" s="8" t="n">
        <x:f>H1144-I1144*J1144</x:f>
        <x:v>-0.5</x:v>
      </x:c>
      <x:c r="L1144" s="8" t="n">
        <x:f>'PG facts'!E90</x:f>
        <x:v>1</x:v>
      </x:c>
      <x:c r="M1144" s="8" t="n">
        <x:f>K1144-L1144</x:f>
        <x:v>-1.5</x:v>
      </x:c>
      <x:c r="N1144" s="8" t="n">
        <x:f>M1144^2</x:f>
        <x:v>2.25</x:v>
      </x:c>
      <x:c r="O1144" s="8" t="n">
        <x:f>ABS(M1144)</x:f>
        <x:v>1.5</x:v>
      </x:c>
      <x:c r="P1144" s="7" t="n">
        <x:v>45401</x:v>
      </x:c>
    </x:row>
    <x:row r="1145" ht="26" customHeight="1">
      <x:c r="A1145" s="2"/>
      <x:c r="B1145" s="2" t="n">
        <x:v>1140</x:v>
      </x:c>
      <x:c r="C1145" s="2" t="str">
        <x:v>Beauty / organic_volume_growth</x:v>
      </x:c>
      <x:c r="D1145" s="7" t="n">
        <x:v>45382</x:v>
      </x:c>
      <x:c r="E1145" s="2" t="str">
        <x:v>Pre-earnings</x:v>
      </x:c>
      <x:c r="F1145" s="7" t="n">
        <x:v>45400</x:v>
      </x:c>
      <x:c r="G1145" s="2" t="str">
        <x:v>Broad market</x:v>
      </x:c>
      <x:c r="H1145" s="8" t="n">
        <x:f>'Model fits'!AA761</x:f>
        <x:v>-0.9684200435039112</x:v>
      </x:c>
      <x:c r="I1145" s="8" t="n">
        <x:f>0</x:f>
        <x:v>0</x:v>
      </x:c>
      <x:c r="J1145" s="8" t="n">
        <x:v>0</x:v>
      </x:c>
      <x:c r="K1145" s="8" t="n">
        <x:f>H1145-I1145*J1145</x:f>
        <x:v>-0.9684200435039112</x:v>
      </x:c>
      <x:c r="L1145" s="8" t="n">
        <x:f>'PG facts'!E90</x:f>
        <x:v>1</x:v>
      </x:c>
      <x:c r="M1145" s="8" t="n">
        <x:f>K1145-L1145</x:f>
        <x:v>-1.9684200435039112</x:v>
      </x:c>
      <x:c r="N1145" s="8" t="n">
        <x:f>M1145^2</x:f>
        <x:v>3.8746774676679396</x:v>
      </x:c>
      <x:c r="O1145" s="8" t="n">
        <x:f>ABS(M1145)</x:f>
        <x:v>1.9684200435039112</x:v>
      </x:c>
      <x:c r="P1145" s="7" t="n">
        <x:v>45401</x:v>
      </x:c>
    </x:row>
    <x:row r="1146" ht="26" customHeight="1">
      <x:c r="A1146" s="2"/>
      <x:c r="B1146" s="2" t="n">
        <x:v>1141</x:v>
      </x:c>
      <x:c r="C1146" s="2" t="str">
        <x:v>Beauty / organic_volume_growth</x:v>
      </x:c>
      <x:c r="D1146" s="7" t="n">
        <x:v>45382</x:v>
      </x:c>
      <x:c r="E1146" s="2" t="str">
        <x:v>Pre-earnings</x:v>
      </x:c>
      <x:c r="F1146" s="7" t="n">
        <x:v>45400</x:v>
      </x:c>
      <x:c r="G1146" s="2" t="str">
        <x:v>Broad lag 1</x:v>
      </x:c>
      <x:c r="H1146" s="8" t="n">
        <x:f>'Model fits'!AA762</x:f>
        <x:v>-0.9034167006198139</x:v>
      </x:c>
      <x:c r="I1146" s="8" t="n">
        <x:f>0</x:f>
        <x:v>0</x:v>
      </x:c>
      <x:c r="J1146" s="8" t="n">
        <x:v>0</x:v>
      </x:c>
      <x:c r="K1146" s="8" t="n">
        <x:f>H1146-I1146*J1146</x:f>
        <x:v>-0.9034167006198139</x:v>
      </x:c>
      <x:c r="L1146" s="8" t="n">
        <x:f>'PG facts'!E90</x:f>
        <x:v>1</x:v>
      </x:c>
      <x:c r="M1146" s="8" t="n">
        <x:f>K1146-L1146</x:f>
        <x:v>-1.903416700619814</x:v>
      </x:c>
      <x:c r="N1146" s="8" t="n">
        <x:f>M1146^2</x:f>
        <x:v>3.6229951361984183</x:v>
      </x:c>
      <x:c r="O1146" s="8" t="n">
        <x:f>ABS(M1146)</x:f>
        <x:v>1.903416700619814</x:v>
      </x:c>
      <x:c r="P1146" s="7" t="n">
        <x:v>45401</x:v>
      </x:c>
    </x:row>
    <x:row r="1147" ht="26" customHeight="1">
      <x:c r="A1147" s="2"/>
      <x:c r="B1147" s="2" t="n">
        <x:v>1142</x:v>
      </x:c>
      <x:c r="C1147" s="2" t="str">
        <x:v>Beauty / organic_volume_growth</x:v>
      </x:c>
      <x:c r="D1147" s="7" t="n">
        <x:v>45382</x:v>
      </x:c>
      <x:c r="E1147" s="2" t="str">
        <x:v>Pre-earnings</x:v>
      </x:c>
      <x:c r="F1147" s="7" t="n">
        <x:v>45400</x:v>
      </x:c>
      <x:c r="G1147" s="2" t="str">
        <x:v>Broad rolling 8</x:v>
      </x:c>
      <x:c r="H1147" s="8" t="n">
        <x:f>'Model fits'!AA763</x:f>
        <x:v>-1.0504468369129407</x:v>
      </x:c>
      <x:c r="I1147" s="8" t="n">
        <x:f>0</x:f>
        <x:v>0</x:v>
      </x:c>
      <x:c r="J1147" s="8" t="n">
        <x:v>0</x:v>
      </x:c>
      <x:c r="K1147" s="8" t="n">
        <x:f>H1147-I1147*J1147</x:f>
        <x:v>-1.0504468369129407</x:v>
      </x:c>
      <x:c r="L1147" s="8" t="n">
        <x:f>'PG facts'!E90</x:f>
        <x:v>1</x:v>
      </x:c>
      <x:c r="M1147" s="8" t="n">
        <x:f>K1147-L1147</x:f>
        <x:v>-2.0504468369129407</x:v>
      </x:c>
      <x:c r="N1147" s="8" t="n">
        <x:f>M1147^2</x:f>
        <x:v>4.204332231006283</x:v>
      </x:c>
      <x:c r="O1147" s="8" t="n">
        <x:f>ABS(M1147)</x:f>
        <x:v>2.0504468369129407</x:v>
      </x:c>
      <x:c r="P1147" s="7" t="n">
        <x:v>45401</x:v>
      </x:c>
    </x:row>
    <x:row r="1148" ht="26" customHeight="1">
      <x:c r="A1148" s="2"/>
      <x:c r="B1148" s="2" t="n">
        <x:v>1143</x:v>
      </x:c>
      <x:c r="C1148" s="2" t="str">
        <x:v>Beauty / organic_volume_growth</x:v>
      </x:c>
      <x:c r="D1148" s="7" t="n">
        <x:v>45382</x:v>
      </x:c>
      <x:c r="E1148" s="2" t="str">
        <x:v>Pre-earnings</x:v>
      </x:c>
      <x:c r="F1148" s="7" t="n">
        <x:v>45400</x:v>
      </x:c>
      <x:c r="G1148" s="2" t="str">
        <x:v>Own history</x:v>
      </x:c>
      <x:c r="H1148" s="8" t="n">
        <x:f>'Model fits'!AA764</x:f>
        <x:v>-0.8367346938775511</x:v>
      </x:c>
      <x:c r="I1148" s="8" t="n">
        <x:f>0</x:f>
        <x:v>0</x:v>
      </x:c>
      <x:c r="J1148" s="8" t="n">
        <x:v>0</x:v>
      </x:c>
      <x:c r="K1148" s="8" t="n">
        <x:f>H1148-I1148*J1148</x:f>
        <x:v>-0.8367346938775511</x:v>
      </x:c>
      <x:c r="L1148" s="8" t="n">
        <x:f>'PG facts'!E90</x:f>
        <x:v>1</x:v>
      </x:c>
      <x:c r="M1148" s="8" t="n">
        <x:f>K1148-L1148</x:f>
        <x:v>-1.836734693877551</x:v>
      </x:c>
      <x:c r="N1148" s="8" t="n">
        <x:f>M1148^2</x:f>
        <x:v>3.3735943356934612</x:v>
      </x:c>
      <x:c r="O1148" s="8" t="n">
        <x:f>ABS(M1148)</x:f>
        <x:v>1.836734693877551</x:v>
      </x:c>
      <x:c r="P1148" s="7" t="n">
        <x:v>45401</x:v>
      </x:c>
    </x:row>
    <x:row r="1149" ht="26" customHeight="1">
      <x:c r="A1149" s="2"/>
      <x:c r="B1149" s="2" t="n">
        <x:v>1144</x:v>
      </x:c>
      <x:c r="C1149" s="2" t="str">
        <x:v>Beauty / organic_volume_growth</x:v>
      </x:c>
      <x:c r="D1149" s="7" t="n">
        <x:v>45473</x:v>
      </x:c>
      <x:c r="E1149" s="2" t="str">
        <x:v>Origin</x:v>
      </x:c>
      <x:c r="F1149" s="7" t="n">
        <x:v>45383</x:v>
      </x:c>
      <x:c r="G1149" s="2" t="str">
        <x:v>Last actual</x:v>
      </x:c>
      <x:c r="H1149" s="8" t="n">
        <x:f>AVERAGE('PG facts'!E83)</x:f>
        <x:v>-1</x:v>
      </x:c>
      <x:c r="I1149" s="8" t="n">
        <x:f>0</x:f>
        <x:v>0</x:v>
      </x:c>
      <x:c r="J1149" s="8" t="n">
        <x:v>0</x:v>
      </x:c>
      <x:c r="K1149" s="8" t="n">
        <x:f>H1149-I1149*J1149</x:f>
        <x:v>-1</x:v>
      </x:c>
      <x:c r="L1149" s="8" t="n">
        <x:f>'PG facts'!E97</x:f>
        <x:v>1</x:v>
      </x:c>
      <x:c r="M1149" s="8" t="n">
        <x:f>K1149-L1149</x:f>
        <x:v>-2</x:v>
      </x:c>
      <x:c r="N1149" s="8" t="n">
        <x:f>M1149^2</x:f>
        <x:v>4</x:v>
      </x:c>
      <x:c r="O1149" s="8" t="n">
        <x:f>ABS(M1149)</x:f>
        <x:v>2</x:v>
      </x:c>
      <x:c r="P1149" s="7" t="n">
        <x:v>45503</x:v>
      </x:c>
    </x:row>
    <x:row r="1150" ht="26" customHeight="1">
      <x:c r="A1150" s="2"/>
      <x:c r="B1150" s="2" t="n">
        <x:v>1145</x:v>
      </x:c>
      <x:c r="C1150" s="2" t="str">
        <x:v>Beauty / organic_volume_growth</x:v>
      </x:c>
      <x:c r="D1150" s="7" t="n">
        <x:v>45473</x:v>
      </x:c>
      <x:c r="E1150" s="2" t="str">
        <x:v>Origin</x:v>
      </x:c>
      <x:c r="F1150" s="7" t="n">
        <x:v>45383</x:v>
      </x:c>
      <x:c r="G1150" s="2" t="str">
        <x:v>Four-quarter mean</x:v>
      </x:c>
      <x:c r="H1150" s="8" t="n">
        <x:f>AVERAGE('PG facts'!E62,'PG facts'!E69,'PG facts'!E76,'PG facts'!E83)</x:f>
        <x:v>-0.5</x:v>
      </x:c>
      <x:c r="I1150" s="8" t="n">
        <x:f>0</x:f>
        <x:v>0</x:v>
      </x:c>
      <x:c r="J1150" s="8" t="n">
        <x:v>0</x:v>
      </x:c>
      <x:c r="K1150" s="8" t="n">
        <x:f>H1150-I1150*J1150</x:f>
        <x:v>-0.5</x:v>
      </x:c>
      <x:c r="L1150" s="8" t="n">
        <x:f>'PG facts'!E97</x:f>
        <x:v>1</x:v>
      </x:c>
      <x:c r="M1150" s="8" t="n">
        <x:f>K1150-L1150</x:f>
        <x:v>-1.5</x:v>
      </x:c>
      <x:c r="N1150" s="8" t="n">
        <x:f>M1150^2</x:f>
        <x:v>2.25</x:v>
      </x:c>
      <x:c r="O1150" s="8" t="n">
        <x:f>ABS(M1150)</x:f>
        <x:v>1.5</x:v>
      </x:c>
      <x:c r="P1150" s="7" t="n">
        <x:v>45503</x:v>
      </x:c>
    </x:row>
    <x:row r="1151" ht="26" customHeight="1">
      <x:c r="A1151" s="2"/>
      <x:c r="B1151" s="2" t="n">
        <x:v>1146</x:v>
      </x:c>
      <x:c r="C1151" s="2" t="str">
        <x:v>Beauty / organic_volume_growth</x:v>
      </x:c>
      <x:c r="D1151" s="7" t="n">
        <x:v>45473</x:v>
      </x:c>
      <x:c r="E1151" s="2" t="str">
        <x:v>Origin</x:v>
      </x:c>
      <x:c r="F1151" s="7" t="n">
        <x:v>45383</x:v>
      </x:c>
      <x:c r="G1151" s="2" t="str">
        <x:v>Broad market</x:v>
      </x:c>
      <x:c r="H1151" s="8" t="n">
        <x:f>'Model fits'!AA765</x:f>
        <x:v>-0.8963553018984822</x:v>
      </x:c>
      <x:c r="I1151" s="8" t="n">
        <x:f>0</x:f>
        <x:v>0</x:v>
      </x:c>
      <x:c r="J1151" s="8" t="n">
        <x:v>0</x:v>
      </x:c>
      <x:c r="K1151" s="8" t="n">
        <x:f>H1151-I1151*J1151</x:f>
        <x:v>-0.8963553018984822</x:v>
      </x:c>
      <x:c r="L1151" s="8" t="n">
        <x:f>'PG facts'!E97</x:f>
        <x:v>1</x:v>
      </x:c>
      <x:c r="M1151" s="8" t="n">
        <x:f>K1151-L1151</x:f>
        <x:v>-1.8963553018984822</x:v>
      </x:c>
      <x:c r="N1151" s="8" t="n">
        <x:f>M1151^2</x:f>
        <x:v>3.596163431038484</x:v>
      </x:c>
      <x:c r="O1151" s="8" t="n">
        <x:f>ABS(M1151)</x:f>
        <x:v>1.8963553018984822</x:v>
      </x:c>
      <x:c r="P1151" s="7" t="n">
        <x:v>45503</x:v>
      </x:c>
    </x:row>
    <x:row r="1152" ht="26" customHeight="1">
      <x:c r="A1152" s="2"/>
      <x:c r="B1152" s="2" t="n">
        <x:v>1147</x:v>
      </x:c>
      <x:c r="C1152" s="2" t="str">
        <x:v>Beauty / organic_volume_growth</x:v>
      </x:c>
      <x:c r="D1152" s="7" t="n">
        <x:v>45473</x:v>
      </x:c>
      <x:c r="E1152" s="2" t="str">
        <x:v>Origin</x:v>
      </x:c>
      <x:c r="F1152" s="7" t="n">
        <x:v>45383</x:v>
      </x:c>
      <x:c r="G1152" s="2" t="str">
        <x:v>Broad rolling 8</x:v>
      </x:c>
      <x:c r="H1152" s="8" t="n">
        <x:f>'Model fits'!AA766</x:f>
        <x:v>-0.9543947302881034</x:v>
      </x:c>
      <x:c r="I1152" s="8" t="n">
        <x:f>0</x:f>
        <x:v>0</x:v>
      </x:c>
      <x:c r="J1152" s="8" t="n">
        <x:v>0</x:v>
      </x:c>
      <x:c r="K1152" s="8" t="n">
        <x:f>H1152-I1152*J1152</x:f>
        <x:v>-0.9543947302881034</x:v>
      </x:c>
      <x:c r="L1152" s="8" t="n">
        <x:f>'PG facts'!E97</x:f>
        <x:v>1</x:v>
      </x:c>
      <x:c r="M1152" s="8" t="n">
        <x:f>K1152-L1152</x:f>
        <x:v>-1.9543947302881035</x:v>
      </x:c>
      <x:c r="N1152" s="8" t="n">
        <x:f>M1152^2</x:f>
        <x:v>3.8196587617779088</x:v>
      </x:c>
      <x:c r="O1152" s="8" t="n">
        <x:f>ABS(M1152)</x:f>
        <x:v>1.9543947302881035</x:v>
      </x:c>
      <x:c r="P1152" s="7" t="n">
        <x:v>45503</x:v>
      </x:c>
    </x:row>
    <x:row r="1153" ht="26" customHeight="1">
      <x:c r="A1153" s="2"/>
      <x:c r="B1153" s="2" t="n">
        <x:v>1148</x:v>
      </x:c>
      <x:c r="C1153" s="2" t="str">
        <x:v>Beauty / organic_volume_growth</x:v>
      </x:c>
      <x:c r="D1153" s="7" t="n">
        <x:v>45473</x:v>
      </x:c>
      <x:c r="E1153" s="2" t="str">
        <x:v>Origin</x:v>
      </x:c>
      <x:c r="F1153" s="7" t="n">
        <x:v>45383</x:v>
      </x:c>
      <x:c r="G1153" s="2" t="str">
        <x:v>Own history</x:v>
      </x:c>
      <x:c r="H1153" s="8" t="n">
        <x:f>'Model fits'!AA767</x:f>
        <x:v>-1.060377358490566</x:v>
      </x:c>
      <x:c r="I1153" s="8" t="n">
        <x:f>0</x:f>
        <x:v>0</x:v>
      </x:c>
      <x:c r="J1153" s="8" t="n">
        <x:v>0</x:v>
      </x:c>
      <x:c r="K1153" s="8" t="n">
        <x:f>H1153-I1153*J1153</x:f>
        <x:v>-1.060377358490566</x:v>
      </x:c>
      <x:c r="L1153" s="8" t="n">
        <x:f>'PG facts'!E97</x:f>
        <x:v>1</x:v>
      </x:c>
      <x:c r="M1153" s="8" t="n">
        <x:f>K1153-L1153</x:f>
        <x:v>-2.060377358490566</x:v>
      </x:c>
      <x:c r="N1153" s="8" t="n">
        <x:f>M1153^2</x:f>
        <x:v>4.245154859380563</x:v>
      </x:c>
      <x:c r="O1153" s="8" t="n">
        <x:f>ABS(M1153)</x:f>
        <x:v>2.060377358490566</x:v>
      </x:c>
      <x:c r="P1153" s="7" t="n">
        <x:v>45503</x:v>
      </x:c>
    </x:row>
    <x:row r="1154" ht="26" customHeight="1">
      <x:c r="A1154" s="2"/>
      <x:c r="B1154" s="2" t="n">
        <x:v>1149</x:v>
      </x:c>
      <x:c r="C1154" s="2" t="str">
        <x:v>Beauty / organic_volume_growth</x:v>
      </x:c>
      <x:c r="D1154" s="7" t="n">
        <x:v>45473</x:v>
      </x:c>
      <x:c r="E1154" s="2" t="str">
        <x:v>Prior report</x:v>
      </x:c>
      <x:c r="F1154" s="7" t="n">
        <x:v>45401</x:v>
      </x:c>
      <x:c r="G1154" s="2" t="str">
        <x:v>Last actual</x:v>
      </x:c>
      <x:c r="H1154" s="8" t="n">
        <x:f>AVERAGE('PG facts'!E90)</x:f>
        <x:v>1</x:v>
      </x:c>
      <x:c r="I1154" s="8" t="n">
        <x:f>0</x:f>
        <x:v>0</x:v>
      </x:c>
      <x:c r="J1154" s="8" t="n">
        <x:v>0</x:v>
      </x:c>
      <x:c r="K1154" s="8" t="n">
        <x:f>H1154-I1154*J1154</x:f>
        <x:v>1</x:v>
      </x:c>
      <x:c r="L1154" s="8" t="n">
        <x:f>'PG facts'!E97</x:f>
        <x:v>1</x:v>
      </x:c>
      <x:c r="M1154" s="8" t="n">
        <x:f>K1154-L1154</x:f>
        <x:v>0</x:v>
      </x:c>
      <x:c r="N1154" s="8" t="n">
        <x:f>M1154^2</x:f>
        <x:v>0</x:v>
      </x:c>
      <x:c r="O1154" s="8" t="n">
        <x:f>ABS(M1154)</x:f>
        <x:v>0</x:v>
      </x:c>
      <x:c r="P1154" s="7" t="n">
        <x:v>45503</x:v>
      </x:c>
    </x:row>
    <x:row r="1155" ht="26" customHeight="1">
      <x:c r="A1155" s="2"/>
      <x:c r="B1155" s="2" t="n">
        <x:v>1150</x:v>
      </x:c>
      <x:c r="C1155" s="2" t="str">
        <x:v>Beauty / organic_volume_growth</x:v>
      </x:c>
      <x:c r="D1155" s="7" t="n">
        <x:v>45473</x:v>
      </x:c>
      <x:c r="E1155" s="2" t="str">
        <x:v>Prior report</x:v>
      </x:c>
      <x:c r="F1155" s="7" t="n">
        <x:v>45401</x:v>
      </x:c>
      <x:c r="G1155" s="2" t="str">
        <x:v>Four-quarter mean</x:v>
      </x:c>
      <x:c r="H1155" s="8" t="n">
        <x:f>AVERAGE('PG facts'!E69,'PG facts'!E76,'PG facts'!E83,'PG facts'!E90)</x:f>
        <x:v>-0.25</x:v>
      </x:c>
      <x:c r="I1155" s="8" t="n">
        <x:f>0</x:f>
        <x:v>0</x:v>
      </x:c>
      <x:c r="J1155" s="8" t="n">
        <x:v>0</x:v>
      </x:c>
      <x:c r="K1155" s="8" t="n">
        <x:f>H1155-I1155*J1155</x:f>
        <x:v>-0.25</x:v>
      </x:c>
      <x:c r="L1155" s="8" t="n">
        <x:f>'PG facts'!E97</x:f>
        <x:v>1</x:v>
      </x:c>
      <x:c r="M1155" s="8" t="n">
        <x:f>K1155-L1155</x:f>
        <x:v>-1.25</x:v>
      </x:c>
      <x:c r="N1155" s="8" t="n">
        <x:f>M1155^2</x:f>
        <x:v>1.5625</x:v>
      </x:c>
      <x:c r="O1155" s="8" t="n">
        <x:f>ABS(M1155)</x:f>
        <x:v>1.25</x:v>
      </x:c>
      <x:c r="P1155" s="7" t="n">
        <x:v>45503</x:v>
      </x:c>
    </x:row>
    <x:row r="1156" ht="26" customHeight="1">
      <x:c r="A1156" s="2"/>
      <x:c r="B1156" s="2" t="n">
        <x:v>1151</x:v>
      </x:c>
      <x:c r="C1156" s="2" t="str">
        <x:v>Beauty / organic_volume_growth</x:v>
      </x:c>
      <x:c r="D1156" s="7" t="n">
        <x:v>45473</x:v>
      </x:c>
      <x:c r="E1156" s="2" t="str">
        <x:v>Prior report</x:v>
      </x:c>
      <x:c r="F1156" s="7" t="n">
        <x:v>45401</x:v>
      </x:c>
      <x:c r="G1156" s="2" t="str">
        <x:v>Broad market</x:v>
      </x:c>
      <x:c r="H1156" s="8" t="n">
        <x:f>'Model fits'!AA768</x:f>
        <x:v>-0.8963553018984822</x:v>
      </x:c>
      <x:c r="I1156" s="8" t="n">
        <x:f>0</x:f>
        <x:v>0</x:v>
      </x:c>
      <x:c r="J1156" s="8" t="n">
        <x:v>0</x:v>
      </x:c>
      <x:c r="K1156" s="8" t="n">
        <x:f>H1156-I1156*J1156</x:f>
        <x:v>-0.8963553018984822</x:v>
      </x:c>
      <x:c r="L1156" s="8" t="n">
        <x:f>'PG facts'!E97</x:f>
        <x:v>1</x:v>
      </x:c>
      <x:c r="M1156" s="8" t="n">
        <x:f>K1156-L1156</x:f>
        <x:v>-1.8963553018984822</x:v>
      </x:c>
      <x:c r="N1156" s="8" t="n">
        <x:f>M1156^2</x:f>
        <x:v>3.596163431038484</x:v>
      </x:c>
      <x:c r="O1156" s="8" t="n">
        <x:f>ABS(M1156)</x:f>
        <x:v>1.8963553018984822</x:v>
      </x:c>
      <x:c r="P1156" s="7" t="n">
        <x:v>45503</x:v>
      </x:c>
    </x:row>
    <x:row r="1157" ht="26" customHeight="1">
      <x:c r="A1157" s="2"/>
      <x:c r="B1157" s="2" t="n">
        <x:v>1152</x:v>
      </x:c>
      <x:c r="C1157" s="2" t="str">
        <x:v>Beauty / organic_volume_growth</x:v>
      </x:c>
      <x:c r="D1157" s="7" t="n">
        <x:v>45473</x:v>
      </x:c>
      <x:c r="E1157" s="2" t="str">
        <x:v>Prior report</x:v>
      </x:c>
      <x:c r="F1157" s="7" t="n">
        <x:v>45401</x:v>
      </x:c>
      <x:c r="G1157" s="2" t="str">
        <x:v>Broad rolling 8</x:v>
      </x:c>
      <x:c r="H1157" s="8" t="n">
        <x:f>'Model fits'!AA769</x:f>
        <x:v>-0.9543947302881034</x:v>
      </x:c>
      <x:c r="I1157" s="8" t="n">
        <x:f>0</x:f>
        <x:v>0</x:v>
      </x:c>
      <x:c r="J1157" s="8" t="n">
        <x:v>0</x:v>
      </x:c>
      <x:c r="K1157" s="8" t="n">
        <x:f>H1157-I1157*J1157</x:f>
        <x:v>-0.9543947302881034</x:v>
      </x:c>
      <x:c r="L1157" s="8" t="n">
        <x:f>'PG facts'!E97</x:f>
        <x:v>1</x:v>
      </x:c>
      <x:c r="M1157" s="8" t="n">
        <x:f>K1157-L1157</x:f>
        <x:v>-1.9543947302881035</x:v>
      </x:c>
      <x:c r="N1157" s="8" t="n">
        <x:f>M1157^2</x:f>
        <x:v>3.8196587617779088</x:v>
      </x:c>
      <x:c r="O1157" s="8" t="n">
        <x:f>ABS(M1157)</x:f>
        <x:v>1.9543947302881035</x:v>
      </x:c>
      <x:c r="P1157" s="7" t="n">
        <x:v>45503</x:v>
      </x:c>
    </x:row>
    <x:row r="1158" ht="26" customHeight="1">
      <x:c r="A1158" s="2"/>
      <x:c r="B1158" s="2" t="n">
        <x:v>1153</x:v>
      </x:c>
      <x:c r="C1158" s="2" t="str">
        <x:v>Beauty / organic_volume_growth</x:v>
      </x:c>
      <x:c r="D1158" s="7" t="n">
        <x:v>45473</x:v>
      </x:c>
      <x:c r="E1158" s="2" t="str">
        <x:v>Prior report</x:v>
      </x:c>
      <x:c r="F1158" s="7" t="n">
        <x:v>45401</x:v>
      </x:c>
      <x:c r="G1158" s="2" t="str">
        <x:v>Own history</x:v>
      </x:c>
      <x:c r="H1158" s="8" t="n">
        <x:f>'Model fits'!AA770</x:f>
        <x:v>-0.33333333333333337</x:v>
      </x:c>
      <x:c r="I1158" s="8" t="n">
        <x:f>0</x:f>
        <x:v>0</x:v>
      </x:c>
      <x:c r="J1158" s="8" t="n">
        <x:v>0</x:v>
      </x:c>
      <x:c r="K1158" s="8" t="n">
        <x:f>H1158-I1158*J1158</x:f>
        <x:v>-0.33333333333333337</x:v>
      </x:c>
      <x:c r="L1158" s="8" t="n">
        <x:f>'PG facts'!E97</x:f>
        <x:v>1</x:v>
      </x:c>
      <x:c r="M1158" s="8" t="n">
        <x:f>K1158-L1158</x:f>
        <x:v>-1.3333333333333335</x:v>
      </x:c>
      <x:c r="N1158" s="8" t="n">
        <x:f>M1158^2</x:f>
        <x:v>1.7777777777777781</x:v>
      </x:c>
      <x:c r="O1158" s="8" t="n">
        <x:f>ABS(M1158)</x:f>
        <x:v>1.3333333333333335</x:v>
      </x:c>
      <x:c r="P1158" s="7" t="n">
        <x:v>45503</x:v>
      </x:c>
    </x:row>
    <x:row r="1159" ht="26" customHeight="1">
      <x:c r="A1159" s="2"/>
      <x:c r="B1159" s="2" t="n">
        <x:v>1154</x:v>
      </x:c>
      <x:c r="C1159" s="2" t="str">
        <x:v>Beauty / organic_volume_growth</x:v>
      </x:c>
      <x:c r="D1159" s="7" t="n">
        <x:v>45473</x:v>
      </x:c>
      <x:c r="E1159" s="2" t="str">
        <x:v>Pre-earnings</x:v>
      </x:c>
      <x:c r="F1159" s="7" t="n">
        <x:v>45502</x:v>
      </x:c>
      <x:c r="G1159" s="2" t="str">
        <x:v>Last actual</x:v>
      </x:c>
      <x:c r="H1159" s="8" t="n">
        <x:f>AVERAGE('PG facts'!E90)</x:f>
        <x:v>1</x:v>
      </x:c>
      <x:c r="I1159" s="8" t="n">
        <x:f>0</x:f>
        <x:v>0</x:v>
      </x:c>
      <x:c r="J1159" s="8" t="n">
        <x:v>0</x:v>
      </x:c>
      <x:c r="K1159" s="8" t="n">
        <x:f>H1159-I1159*J1159</x:f>
        <x:v>1</x:v>
      </x:c>
      <x:c r="L1159" s="8" t="n">
        <x:f>'PG facts'!E97</x:f>
        <x:v>1</x:v>
      </x:c>
      <x:c r="M1159" s="8" t="n">
        <x:f>K1159-L1159</x:f>
        <x:v>0</x:v>
      </x:c>
      <x:c r="N1159" s="8" t="n">
        <x:f>M1159^2</x:f>
        <x:v>0</x:v>
      </x:c>
      <x:c r="O1159" s="8" t="n">
        <x:f>ABS(M1159)</x:f>
        <x:v>0</x:v>
      </x:c>
      <x:c r="P1159" s="7" t="n">
        <x:v>45503</x:v>
      </x:c>
    </x:row>
    <x:row r="1160" ht="26" customHeight="1">
      <x:c r="A1160" s="2"/>
      <x:c r="B1160" s="2" t="n">
        <x:v>1155</x:v>
      </x:c>
      <x:c r="C1160" s="2" t="str">
        <x:v>Beauty / organic_volume_growth</x:v>
      </x:c>
      <x:c r="D1160" s="7" t="n">
        <x:v>45473</x:v>
      </x:c>
      <x:c r="E1160" s="2" t="str">
        <x:v>Pre-earnings</x:v>
      </x:c>
      <x:c r="F1160" s="7" t="n">
        <x:v>45502</x:v>
      </x:c>
      <x:c r="G1160" s="2" t="str">
        <x:v>Four-quarter mean</x:v>
      </x:c>
      <x:c r="H1160" s="8" t="n">
        <x:f>AVERAGE('PG facts'!E69,'PG facts'!E76,'PG facts'!E83,'PG facts'!E90)</x:f>
        <x:v>-0.25</x:v>
      </x:c>
      <x:c r="I1160" s="8" t="n">
        <x:f>0</x:f>
        <x:v>0</x:v>
      </x:c>
      <x:c r="J1160" s="8" t="n">
        <x:v>0</x:v>
      </x:c>
      <x:c r="K1160" s="8" t="n">
        <x:f>H1160-I1160*J1160</x:f>
        <x:v>-0.25</x:v>
      </x:c>
      <x:c r="L1160" s="8" t="n">
        <x:f>'PG facts'!E97</x:f>
        <x:v>1</x:v>
      </x:c>
      <x:c r="M1160" s="8" t="n">
        <x:f>K1160-L1160</x:f>
        <x:v>-1.25</x:v>
      </x:c>
      <x:c r="N1160" s="8" t="n">
        <x:f>M1160^2</x:f>
        <x:v>1.5625</x:v>
      </x:c>
      <x:c r="O1160" s="8" t="n">
        <x:f>ABS(M1160)</x:f>
        <x:v>1.25</x:v>
      </x:c>
      <x:c r="P1160" s="7" t="n">
        <x:v>45503</x:v>
      </x:c>
    </x:row>
    <x:row r="1161" ht="26" customHeight="1">
      <x:c r="A1161" s="2"/>
      <x:c r="B1161" s="2" t="n">
        <x:v>1156</x:v>
      </x:c>
      <x:c r="C1161" s="2" t="str">
        <x:v>Beauty / organic_volume_growth</x:v>
      </x:c>
      <x:c r="D1161" s="7" t="n">
        <x:v>45473</x:v>
      </x:c>
      <x:c r="E1161" s="2" t="str">
        <x:v>Pre-earnings</x:v>
      </x:c>
      <x:c r="F1161" s="7" t="n">
        <x:v>45502</x:v>
      </x:c>
      <x:c r="G1161" s="2" t="str">
        <x:v>Broad market</x:v>
      </x:c>
      <x:c r="H1161" s="8" t="n">
        <x:f>'Model fits'!AA771</x:f>
        <x:v>-0.7118759120134448</x:v>
      </x:c>
      <x:c r="I1161" s="8" t="n">
        <x:f>0</x:f>
        <x:v>0</x:v>
      </x:c>
      <x:c r="J1161" s="8" t="n">
        <x:v>0</x:v>
      </x:c>
      <x:c r="K1161" s="8" t="n">
        <x:f>H1161-I1161*J1161</x:f>
        <x:v>-0.7118759120134448</x:v>
      </x:c>
      <x:c r="L1161" s="8" t="n">
        <x:f>'PG facts'!E97</x:f>
        <x:v>1</x:v>
      </x:c>
      <x:c r="M1161" s="8" t="n">
        <x:f>K1161-L1161</x:f>
        <x:v>-1.7118759120134448</x:v>
      </x:c>
      <x:c r="N1161" s="8" t="n">
        <x:f>M1161^2</x:f>
        <x:v>2.9305191381318636</x:v>
      </x:c>
      <x:c r="O1161" s="8" t="n">
        <x:f>ABS(M1161)</x:f>
        <x:v>1.7118759120134448</x:v>
      </x:c>
      <x:c r="P1161" s="7" t="n">
        <x:v>45503</x:v>
      </x:c>
    </x:row>
    <x:row r="1162" ht="26" customHeight="1">
      <x:c r="A1162" s="2"/>
      <x:c r="B1162" s="2" t="n">
        <x:v>1157</x:v>
      </x:c>
      <x:c r="C1162" s="2" t="str">
        <x:v>Beauty / organic_volume_growth</x:v>
      </x:c>
      <x:c r="D1162" s="7" t="n">
        <x:v>45473</x:v>
      </x:c>
      <x:c r="E1162" s="2" t="str">
        <x:v>Pre-earnings</x:v>
      </x:c>
      <x:c r="F1162" s="7" t="n">
        <x:v>45502</x:v>
      </x:c>
      <x:c r="G1162" s="2" t="str">
        <x:v>Broad lag 1</x:v>
      </x:c>
      <x:c r="H1162" s="8" t="n">
        <x:f>'Model fits'!AA772</x:f>
        <x:v>-0.7745735924192955</x:v>
      </x:c>
      <x:c r="I1162" s="8" t="n">
        <x:f>0</x:f>
        <x:v>0</x:v>
      </x:c>
      <x:c r="J1162" s="8" t="n">
        <x:v>0</x:v>
      </x:c>
      <x:c r="K1162" s="8" t="n">
        <x:f>H1162-I1162*J1162</x:f>
        <x:v>-0.7745735924192955</x:v>
      </x:c>
      <x:c r="L1162" s="8" t="n">
        <x:f>'PG facts'!E97</x:f>
        <x:v>1</x:v>
      </x:c>
      <x:c r="M1162" s="8" t="n">
        <x:f>K1162-L1162</x:f>
        <x:v>-1.7745735924192956</x:v>
      </x:c>
      <x:c r="N1162" s="8" t="n">
        <x:f>M1162^2</x:f>
        <x:v>3.1491114349119242</x:v>
      </x:c>
      <x:c r="O1162" s="8" t="n">
        <x:f>ABS(M1162)</x:f>
        <x:v>1.7745735924192956</x:v>
      </x:c>
      <x:c r="P1162" s="7" t="n">
        <x:v>45503</x:v>
      </x:c>
    </x:row>
    <x:row r="1163" ht="26" customHeight="1">
      <x:c r="A1163" s="2"/>
      <x:c r="B1163" s="2" t="n">
        <x:v>1158</x:v>
      </x:c>
      <x:c r="C1163" s="2" t="str">
        <x:v>Beauty / organic_volume_growth</x:v>
      </x:c>
      <x:c r="D1163" s="7" t="n">
        <x:v>45473</x:v>
      </x:c>
      <x:c r="E1163" s="2" t="str">
        <x:v>Pre-earnings</x:v>
      </x:c>
      <x:c r="F1163" s="7" t="n">
        <x:v>45502</x:v>
      </x:c>
      <x:c r="G1163" s="2" t="str">
        <x:v>Broad rolling 8</x:v>
      </x:c>
      <x:c r="H1163" s="8" t="n">
        <x:f>'Model fits'!AA773</x:f>
        <x:v>0.10888775468889156</x:v>
      </x:c>
      <x:c r="I1163" s="8" t="n">
        <x:f>0</x:f>
        <x:v>0</x:v>
      </x:c>
      <x:c r="J1163" s="8" t="n">
        <x:v>0</x:v>
      </x:c>
      <x:c r="K1163" s="8" t="n">
        <x:f>H1163-I1163*J1163</x:f>
        <x:v>0.10888775468889156</x:v>
      </x:c>
      <x:c r="L1163" s="8" t="n">
        <x:f>'PG facts'!E97</x:f>
        <x:v>1</x:v>
      </x:c>
      <x:c r="M1163" s="8" t="n">
        <x:f>K1163-L1163</x:f>
        <x:v>-0.8911122453111084</x:v>
      </x:c>
      <x:c r="N1163" s="8" t="n">
        <x:f>M1163^2</x:f>
        <x:v>0.7940810337434051</x:v>
      </x:c>
      <x:c r="O1163" s="8" t="n">
        <x:f>ABS(M1163)</x:f>
        <x:v>0.8911122453111084</x:v>
      </x:c>
      <x:c r="P1163" s="7" t="n">
        <x:v>45503</x:v>
      </x:c>
    </x:row>
    <x:row r="1164" ht="26" customHeight="1">
      <x:c r="A1164" s="2"/>
      <x:c r="B1164" s="2" t="n">
        <x:v>1159</x:v>
      </x:c>
      <x:c r="C1164" s="2" t="str">
        <x:v>Beauty / organic_volume_growth</x:v>
      </x:c>
      <x:c r="D1164" s="7" t="n">
        <x:v>45473</x:v>
      </x:c>
      <x:c r="E1164" s="2" t="str">
        <x:v>Pre-earnings</x:v>
      </x:c>
      <x:c r="F1164" s="7" t="n">
        <x:v>45502</x:v>
      </x:c>
      <x:c r="G1164" s="2" t="str">
        <x:v>Own history</x:v>
      </x:c>
      <x:c r="H1164" s="8" t="n">
        <x:f>'Model fits'!AA774</x:f>
        <x:v>-0.33333333333333337</x:v>
      </x:c>
      <x:c r="I1164" s="8" t="n">
        <x:f>0</x:f>
        <x:v>0</x:v>
      </x:c>
      <x:c r="J1164" s="8" t="n">
        <x:v>0</x:v>
      </x:c>
      <x:c r="K1164" s="8" t="n">
        <x:f>H1164-I1164*J1164</x:f>
        <x:v>-0.33333333333333337</x:v>
      </x:c>
      <x:c r="L1164" s="8" t="n">
        <x:f>'PG facts'!E97</x:f>
        <x:v>1</x:v>
      </x:c>
      <x:c r="M1164" s="8" t="n">
        <x:f>K1164-L1164</x:f>
        <x:v>-1.3333333333333335</x:v>
      </x:c>
      <x:c r="N1164" s="8" t="n">
        <x:f>M1164^2</x:f>
        <x:v>1.7777777777777781</x:v>
      </x:c>
      <x:c r="O1164" s="8" t="n">
        <x:f>ABS(M1164)</x:f>
        <x:v>1.3333333333333335</x:v>
      </x:c>
      <x:c r="P1164" s="7" t="n">
        <x:v>45503</x:v>
      </x:c>
    </x:row>
    <x:row r="1165" ht="26" customHeight="1">
      <x:c r="A1165" s="2"/>
      <x:c r="B1165" s="2" t="n">
        <x:v>1160</x:v>
      </x:c>
      <x:c r="C1165" s="2" t="str">
        <x:v>Beauty / organic_volume_growth</x:v>
      </x:c>
      <x:c r="D1165" s="7" t="n">
        <x:v>45565</x:v>
      </x:c>
      <x:c r="E1165" s="2" t="str">
        <x:v>Origin</x:v>
      </x:c>
      <x:c r="F1165" s="7" t="n">
        <x:v>45474</x:v>
      </x:c>
      <x:c r="G1165" s="2" t="str">
        <x:v>Last actual</x:v>
      </x:c>
      <x:c r="H1165" s="8" t="n">
        <x:f>AVERAGE('PG facts'!E90)</x:f>
        <x:v>1</x:v>
      </x:c>
      <x:c r="I1165" s="8" t="n">
        <x:f>0</x:f>
        <x:v>0</x:v>
      </x:c>
      <x:c r="J1165" s="8" t="n">
        <x:v>0</x:v>
      </x:c>
      <x:c r="K1165" s="8" t="n">
        <x:f>H1165-I1165*J1165</x:f>
        <x:v>1</x:v>
      </x:c>
      <x:c r="L1165" s="8" t="n">
        <x:f>'PG facts'!E104</x:f>
        <x:v>0</x:v>
      </x:c>
      <x:c r="M1165" s="8" t="n">
        <x:f>K1165-L1165</x:f>
        <x:v>1</x:v>
      </x:c>
      <x:c r="N1165" s="8" t="n">
        <x:f>M1165^2</x:f>
        <x:v>1</x:v>
      </x:c>
      <x:c r="O1165" s="8" t="n">
        <x:f>ABS(M1165)</x:f>
        <x:v>1</x:v>
      </x:c>
      <x:c r="P1165" s="7" t="n">
        <x:v>45583</x:v>
      </x:c>
    </x:row>
    <x:row r="1166" ht="26" customHeight="1">
      <x:c r="A1166" s="2"/>
      <x:c r="B1166" s="2" t="n">
        <x:v>1161</x:v>
      </x:c>
      <x:c r="C1166" s="2" t="str">
        <x:v>Beauty / organic_volume_growth</x:v>
      </x:c>
      <x:c r="D1166" s="7" t="n">
        <x:v>45565</x:v>
      </x:c>
      <x:c r="E1166" s="2" t="str">
        <x:v>Origin</x:v>
      </x:c>
      <x:c r="F1166" s="7" t="n">
        <x:v>45474</x:v>
      </x:c>
      <x:c r="G1166" s="2" t="str">
        <x:v>Four-quarter mean</x:v>
      </x:c>
      <x:c r="H1166" s="8" t="n">
        <x:f>AVERAGE('PG facts'!E69,'PG facts'!E76,'PG facts'!E83,'PG facts'!E90)</x:f>
        <x:v>-0.25</x:v>
      </x:c>
      <x:c r="I1166" s="8" t="n">
        <x:f>0</x:f>
        <x:v>0</x:v>
      </x:c>
      <x:c r="J1166" s="8" t="n">
        <x:v>0</x:v>
      </x:c>
      <x:c r="K1166" s="8" t="n">
        <x:f>H1166-I1166*J1166</x:f>
        <x:v>-0.25</x:v>
      </x:c>
      <x:c r="L1166" s="8" t="n">
        <x:f>'PG facts'!E104</x:f>
        <x:v>0</x:v>
      </x:c>
      <x:c r="M1166" s="8" t="n">
        <x:f>K1166-L1166</x:f>
        <x:v>-0.25</x:v>
      </x:c>
      <x:c r="N1166" s="8" t="n">
        <x:f>M1166^2</x:f>
        <x:v>0.0625</x:v>
      </x:c>
      <x:c r="O1166" s="8" t="n">
        <x:f>ABS(M1166)</x:f>
        <x:v>0.25</x:v>
      </x:c>
      <x:c r="P1166" s="7" t="n">
        <x:v>45583</x:v>
      </x:c>
    </x:row>
    <x:row r="1167" ht="26" customHeight="1">
      <x:c r="A1167" s="2"/>
      <x:c r="B1167" s="2" t="n">
        <x:v>1162</x:v>
      </x:c>
      <x:c r="C1167" s="2" t="str">
        <x:v>Beauty / organic_volume_growth</x:v>
      </x:c>
      <x:c r="D1167" s="7" t="n">
        <x:v>45565</x:v>
      </x:c>
      <x:c r="E1167" s="2" t="str">
        <x:v>Origin</x:v>
      </x:c>
      <x:c r="F1167" s="7" t="n">
        <x:v>45474</x:v>
      </x:c>
      <x:c r="G1167" s="2" t="str">
        <x:v>Broad market</x:v>
      </x:c>
      <x:c r="H1167" s="8" t="n">
        <x:f>'Model fits'!AA775</x:f>
        <x:v>-0.6980324372543927</x:v>
      </x:c>
      <x:c r="I1167" s="8" t="n">
        <x:f>0</x:f>
        <x:v>0</x:v>
      </x:c>
      <x:c r="J1167" s="8" t="n">
        <x:v>0</x:v>
      </x:c>
      <x:c r="K1167" s="8" t="n">
        <x:f>H1167-I1167*J1167</x:f>
        <x:v>-0.6980324372543927</x:v>
      </x:c>
      <x:c r="L1167" s="8" t="n">
        <x:f>'PG facts'!E104</x:f>
        <x:v>0</x:v>
      </x:c>
      <x:c r="M1167" s="8" t="n">
        <x:f>K1167-L1167</x:f>
        <x:v>-0.6980324372543927</x:v>
      </x:c>
      <x:c r="N1167" s="8" t="n">
        <x:f>M1167^2</x:f>
        <x:v>0.4872492834593076</x:v>
      </x:c>
      <x:c r="O1167" s="8" t="n">
        <x:f>ABS(M1167)</x:f>
        <x:v>0.6980324372543927</x:v>
      </x:c>
      <x:c r="P1167" s="7" t="n">
        <x:v>45583</x:v>
      </x:c>
    </x:row>
    <x:row r="1168" ht="26" customHeight="1">
      <x:c r="A1168" s="2"/>
      <x:c r="B1168" s="2" t="n">
        <x:v>1163</x:v>
      </x:c>
      <x:c r="C1168" s="2" t="str">
        <x:v>Beauty / organic_volume_growth</x:v>
      </x:c>
      <x:c r="D1168" s="7" t="n">
        <x:v>45565</x:v>
      </x:c>
      <x:c r="E1168" s="2" t="str">
        <x:v>Origin</x:v>
      </x:c>
      <x:c r="F1168" s="7" t="n">
        <x:v>45474</x:v>
      </x:c>
      <x:c r="G1168" s="2" t="str">
        <x:v>Broad rolling 8</x:v>
      </x:c>
      <x:c r="H1168" s="8" t="n">
        <x:f>'Model fits'!AA776</x:f>
        <x:v>0.16264409064072494</x:v>
      </x:c>
      <x:c r="I1168" s="8" t="n">
        <x:f>0</x:f>
        <x:v>0</x:v>
      </x:c>
      <x:c r="J1168" s="8" t="n">
        <x:v>0</x:v>
      </x:c>
      <x:c r="K1168" s="8" t="n">
        <x:f>H1168-I1168*J1168</x:f>
        <x:v>0.16264409064072494</x:v>
      </x:c>
      <x:c r="L1168" s="8" t="n">
        <x:f>'PG facts'!E104</x:f>
        <x:v>0</x:v>
      </x:c>
      <x:c r="M1168" s="8" t="n">
        <x:f>K1168-L1168</x:f>
        <x:v>0.16264409064072494</x:v>
      </x:c>
      <x:c r="N1168" s="8" t="n">
        <x:f>M1168^2</x:f>
        <x:v>0.026453100220348347</x:v>
      </x:c>
      <x:c r="O1168" s="8" t="n">
        <x:f>ABS(M1168)</x:f>
        <x:v>0.16264409064072494</x:v>
      </x:c>
      <x:c r="P1168" s="7" t="n">
        <x:v>45583</x:v>
      </x:c>
    </x:row>
    <x:row r="1169" ht="26" customHeight="1">
      <x:c r="A1169" s="2"/>
      <x:c r="B1169" s="2" t="n">
        <x:v>1164</x:v>
      </x:c>
      <x:c r="C1169" s="2" t="str">
        <x:v>Beauty / organic_volume_growth</x:v>
      </x:c>
      <x:c r="D1169" s="7" t="n">
        <x:v>45565</x:v>
      </x:c>
      <x:c r="E1169" s="2" t="str">
        <x:v>Origin</x:v>
      </x:c>
      <x:c r="F1169" s="7" t="n">
        <x:v>45474</x:v>
      </x:c>
      <x:c r="G1169" s="2" t="str">
        <x:v>Own history</x:v>
      </x:c>
      <x:c r="H1169" s="8" t="n">
        <x:f>'Model fits'!AA777</x:f>
        <x:v>-0.21768707482993205</x:v>
      </x:c>
      <x:c r="I1169" s="8" t="n">
        <x:f>0</x:f>
        <x:v>0</x:v>
      </x:c>
      <x:c r="J1169" s="8" t="n">
        <x:v>0</x:v>
      </x:c>
      <x:c r="K1169" s="8" t="n">
        <x:f>H1169-I1169*J1169</x:f>
        <x:v>-0.21768707482993205</x:v>
      </x:c>
      <x:c r="L1169" s="8" t="n">
        <x:f>'PG facts'!E104</x:f>
        <x:v>0</x:v>
      </x:c>
      <x:c r="M1169" s="8" t="n">
        <x:f>K1169-L1169</x:f>
        <x:v>-0.21768707482993205</x:v>
      </x:c>
      <x:c r="N1169" s="8" t="n">
        <x:f>M1169^2</x:f>
        <x:v>0.04738766254801244</x:v>
      </x:c>
      <x:c r="O1169" s="8" t="n">
        <x:f>ABS(M1169)</x:f>
        <x:v>0.21768707482993205</x:v>
      </x:c>
      <x:c r="P1169" s="7" t="n">
        <x:v>45583</x:v>
      </x:c>
    </x:row>
    <x:row r="1170" ht="26" customHeight="1">
      <x:c r="A1170" s="2"/>
      <x:c r="B1170" s="2" t="n">
        <x:v>1165</x:v>
      </x:c>
      <x:c r="C1170" s="2" t="str">
        <x:v>Beauty / organic_volume_growth</x:v>
      </x:c>
      <x:c r="D1170" s="7" t="n">
        <x:v>45565</x:v>
      </x:c>
      <x:c r="E1170" s="2" t="str">
        <x:v>Prior report</x:v>
      </x:c>
      <x:c r="F1170" s="7" t="n">
        <x:v>45503</x:v>
      </x:c>
      <x:c r="G1170" s="2" t="str">
        <x:v>Last actual</x:v>
      </x:c>
      <x:c r="H1170" s="8" t="n">
        <x:f>AVERAGE('PG facts'!E97)</x:f>
        <x:v>1</x:v>
      </x:c>
      <x:c r="I1170" s="8" t="n">
        <x:f>0</x:f>
        <x:v>0</x:v>
      </x:c>
      <x:c r="J1170" s="8" t="n">
        <x:v>0</x:v>
      </x:c>
      <x:c r="K1170" s="8" t="n">
        <x:f>H1170-I1170*J1170</x:f>
        <x:v>1</x:v>
      </x:c>
      <x:c r="L1170" s="8" t="n">
        <x:f>'PG facts'!E104</x:f>
        <x:v>0</x:v>
      </x:c>
      <x:c r="M1170" s="8" t="n">
        <x:f>K1170-L1170</x:f>
        <x:v>1</x:v>
      </x:c>
      <x:c r="N1170" s="8" t="n">
        <x:f>M1170^2</x:f>
        <x:v>1</x:v>
      </x:c>
      <x:c r="O1170" s="8" t="n">
        <x:f>ABS(M1170)</x:f>
        <x:v>1</x:v>
      </x:c>
      <x:c r="P1170" s="7" t="n">
        <x:v>45583</x:v>
      </x:c>
    </x:row>
    <x:row r="1171" ht="26" customHeight="1">
      <x:c r="A1171" s="2"/>
      <x:c r="B1171" s="2" t="n">
        <x:v>1166</x:v>
      </x:c>
      <x:c r="C1171" s="2" t="str">
        <x:v>Beauty / organic_volume_growth</x:v>
      </x:c>
      <x:c r="D1171" s="7" t="n">
        <x:v>45565</x:v>
      </x:c>
      <x:c r="E1171" s="2" t="str">
        <x:v>Prior report</x:v>
      </x:c>
      <x:c r="F1171" s="7" t="n">
        <x:v>45503</x:v>
      </x:c>
      <x:c r="G1171" s="2" t="str">
        <x:v>Four-quarter mean</x:v>
      </x:c>
      <x:c r="H1171" s="8" t="n">
        <x:f>AVERAGE('PG facts'!E76,'PG facts'!E83,'PG facts'!E90,'PG facts'!E97)</x:f>
        <x:v>0.25</x:v>
      </x:c>
      <x:c r="I1171" s="8" t="n">
        <x:f>0</x:f>
        <x:v>0</x:v>
      </x:c>
      <x:c r="J1171" s="8" t="n">
        <x:v>0</x:v>
      </x:c>
      <x:c r="K1171" s="8" t="n">
        <x:f>H1171-I1171*J1171</x:f>
        <x:v>0.25</x:v>
      </x:c>
      <x:c r="L1171" s="8" t="n">
        <x:f>'PG facts'!E104</x:f>
        <x:v>0</x:v>
      </x:c>
      <x:c r="M1171" s="8" t="n">
        <x:f>K1171-L1171</x:f>
        <x:v>0.25</x:v>
      </x:c>
      <x:c r="N1171" s="8" t="n">
        <x:f>M1171^2</x:f>
        <x:v>0.0625</x:v>
      </x:c>
      <x:c r="O1171" s="8" t="n">
        <x:f>ABS(M1171)</x:f>
        <x:v>0.25</x:v>
      </x:c>
      <x:c r="P1171" s="7" t="n">
        <x:v>45583</x:v>
      </x:c>
    </x:row>
    <x:row r="1172" ht="26" customHeight="1">
      <x:c r="A1172" s="2"/>
      <x:c r="B1172" s="2" t="n">
        <x:v>1167</x:v>
      </x:c>
      <x:c r="C1172" s="2" t="str">
        <x:v>Beauty / organic_volume_growth</x:v>
      </x:c>
      <x:c r="D1172" s="7" t="n">
        <x:v>45565</x:v>
      </x:c>
      <x:c r="E1172" s="2" t="str">
        <x:v>Prior report</x:v>
      </x:c>
      <x:c r="F1172" s="7" t="n">
        <x:v>45503</x:v>
      </x:c>
      <x:c r="G1172" s="2" t="str">
        <x:v>Broad market</x:v>
      </x:c>
      <x:c r="H1172" s="8" t="n">
        <x:f>'Model fits'!AA778</x:f>
        <x:v>-0.5755191833427777</x:v>
      </x:c>
      <x:c r="I1172" s="8" t="n">
        <x:f>0</x:f>
        <x:v>0</x:v>
      </x:c>
      <x:c r="J1172" s="8" t="n">
        <x:v>0</x:v>
      </x:c>
      <x:c r="K1172" s="8" t="n">
        <x:f>H1172-I1172*J1172</x:f>
        <x:v>-0.5755191833427777</x:v>
      </x:c>
      <x:c r="L1172" s="8" t="n">
        <x:f>'PG facts'!E104</x:f>
        <x:v>0</x:v>
      </x:c>
      <x:c r="M1172" s="8" t="n">
        <x:f>K1172-L1172</x:f>
        <x:v>-0.5755191833427777</x:v>
      </x:c>
      <x:c r="N1172" s="8" t="n">
        <x:f>M1172^2</x:f>
        <x:v>0.33122233039553783</x:v>
      </x:c>
      <x:c r="O1172" s="8" t="n">
        <x:f>ABS(M1172)</x:f>
        <x:v>0.5755191833427777</x:v>
      </x:c>
      <x:c r="P1172" s="7" t="n">
        <x:v>45583</x:v>
      </x:c>
    </x:row>
    <x:row r="1173" ht="26" customHeight="1">
      <x:c r="A1173" s="2"/>
      <x:c r="B1173" s="2" t="n">
        <x:v>1168</x:v>
      </x:c>
      <x:c r="C1173" s="2" t="str">
        <x:v>Beauty / organic_volume_growth</x:v>
      </x:c>
      <x:c r="D1173" s="7" t="n">
        <x:v>45565</x:v>
      </x:c>
      <x:c r="E1173" s="2" t="str">
        <x:v>Prior report</x:v>
      </x:c>
      <x:c r="F1173" s="7" t="n">
        <x:v>45503</x:v>
      </x:c>
      <x:c r="G1173" s="2" t="str">
        <x:v>Broad lag 1</x:v>
      </x:c>
      <x:c r="H1173" s="8" t="n">
        <x:f>'Model fits'!AA779</x:f>
        <x:v>-0.6067845565353981</x:v>
      </x:c>
      <x:c r="I1173" s="8" t="n">
        <x:f>0</x:f>
        <x:v>0</x:v>
      </x:c>
      <x:c r="J1173" s="8" t="n">
        <x:v>0</x:v>
      </x:c>
      <x:c r="K1173" s="8" t="n">
        <x:f>H1173-I1173*J1173</x:f>
        <x:v>-0.6067845565353981</x:v>
      </x:c>
      <x:c r="L1173" s="8" t="n">
        <x:f>'PG facts'!E104</x:f>
        <x:v>0</x:v>
      </x:c>
      <x:c r="M1173" s="8" t="n">
        <x:f>K1173-L1173</x:f>
        <x:v>-0.6067845565353981</x:v>
      </x:c>
      <x:c r="N1173" s="8" t="n">
        <x:f>M1173^2</x:f>
        <x:v>0.36818749804985973</x:v>
      </x:c>
      <x:c r="O1173" s="8" t="n">
        <x:f>ABS(M1173)</x:f>
        <x:v>0.6067845565353981</x:v>
      </x:c>
      <x:c r="P1173" s="7" t="n">
        <x:v>45583</x:v>
      </x:c>
    </x:row>
    <x:row r="1174" ht="26" customHeight="1">
      <x:c r="A1174" s="2"/>
      <x:c r="B1174" s="2" t="n">
        <x:v>1169</x:v>
      </x:c>
      <x:c r="C1174" s="2" t="str">
        <x:v>Beauty / organic_volume_growth</x:v>
      </x:c>
      <x:c r="D1174" s="7" t="n">
        <x:v>45565</x:v>
      </x:c>
      <x:c r="E1174" s="2" t="str">
        <x:v>Prior report</x:v>
      </x:c>
      <x:c r="F1174" s="7" t="n">
        <x:v>45503</x:v>
      </x:c>
      <x:c r="G1174" s="2" t="str">
        <x:v>Broad rolling 8</x:v>
      </x:c>
      <x:c r="H1174" s="8" t="n">
        <x:f>'Model fits'!AA780</x:f>
        <x:v>0.38845327140271046</x:v>
      </x:c>
      <x:c r="I1174" s="8" t="n">
        <x:f>0</x:f>
        <x:v>0</x:v>
      </x:c>
      <x:c r="J1174" s="8" t="n">
        <x:v>0</x:v>
      </x:c>
      <x:c r="K1174" s="8" t="n">
        <x:f>H1174-I1174*J1174</x:f>
        <x:v>0.38845327140271046</x:v>
      </x:c>
      <x:c r="L1174" s="8" t="n">
        <x:f>'PG facts'!E104</x:f>
        <x:v>0</x:v>
      </x:c>
      <x:c r="M1174" s="8" t="n">
        <x:f>K1174-L1174</x:f>
        <x:v>0.38845327140271046</x:v>
      </x:c>
      <x:c r="N1174" s="8" t="n">
        <x:f>M1174^2</x:f>
        <x:v>0.15089594406346785</x:v>
      </x:c>
      <x:c r="O1174" s="8" t="n">
        <x:f>ABS(M1174)</x:f>
        <x:v>0.38845327140271046</x:v>
      </x:c>
      <x:c r="P1174" s="7" t="n">
        <x:v>45583</x:v>
      </x:c>
    </x:row>
    <x:row r="1175" ht="26" customHeight="1">
      <x:c r="A1175" s="2"/>
      <x:c r="B1175" s="2" t="n">
        <x:v>1170</x:v>
      </x:c>
      <x:c r="C1175" s="2" t="str">
        <x:v>Beauty / organic_volume_growth</x:v>
      </x:c>
      <x:c r="D1175" s="7" t="n">
        <x:v>45565</x:v>
      </x:c>
      <x:c r="E1175" s="2" t="str">
        <x:v>Prior report</x:v>
      </x:c>
      <x:c r="F1175" s="7" t="n">
        <x:v>45503</x:v>
      </x:c>
      <x:c r="G1175" s="2" t="str">
        <x:v>Own history</x:v>
      </x:c>
      <x:c r="H1175" s="8" t="n">
        <x:f>'Model fits'!AA781</x:f>
        <x:v>-0.14285714285714285</x:v>
      </x:c>
      <x:c r="I1175" s="8" t="n">
        <x:f>0</x:f>
        <x:v>0</x:v>
      </x:c>
      <x:c r="J1175" s="8" t="n">
        <x:v>0</x:v>
      </x:c>
      <x:c r="K1175" s="8" t="n">
        <x:f>H1175-I1175*J1175</x:f>
        <x:v>-0.14285714285714285</x:v>
      </x:c>
      <x:c r="L1175" s="8" t="n">
        <x:f>'PG facts'!E104</x:f>
        <x:v>0</x:v>
      </x:c>
      <x:c r="M1175" s="8" t="n">
        <x:f>K1175-L1175</x:f>
        <x:v>-0.14285714285714285</x:v>
      </x:c>
      <x:c r="N1175" s="8" t="n">
        <x:f>M1175^2</x:f>
        <x:v>0.02040816326530612</x:v>
      </x:c>
      <x:c r="O1175" s="8" t="n">
        <x:f>ABS(M1175)</x:f>
        <x:v>0.14285714285714285</x:v>
      </x:c>
      <x:c r="P1175" s="7" t="n">
        <x:v>45583</x:v>
      </x:c>
    </x:row>
    <x:row r="1176" ht="26" customHeight="1">
      <x:c r="A1176" s="2"/>
      <x:c r="B1176" s="2" t="n">
        <x:v>1171</x:v>
      </x:c>
      <x:c r="C1176" s="2" t="str">
        <x:v>Beauty / organic_volume_growth</x:v>
      </x:c>
      <x:c r="D1176" s="7" t="n">
        <x:v>45565</x:v>
      </x:c>
      <x:c r="E1176" s="2" t="str">
        <x:v>Pre-earnings</x:v>
      </x:c>
      <x:c r="F1176" s="7" t="n">
        <x:v>45582</x:v>
      </x:c>
      <x:c r="G1176" s="2" t="str">
        <x:v>Last actual</x:v>
      </x:c>
      <x:c r="H1176" s="8" t="n">
        <x:f>AVERAGE('PG facts'!E97)</x:f>
        <x:v>1</x:v>
      </x:c>
      <x:c r="I1176" s="8" t="n">
        <x:f>0</x:f>
        <x:v>0</x:v>
      </x:c>
      <x:c r="J1176" s="8" t="n">
        <x:v>0</x:v>
      </x:c>
      <x:c r="K1176" s="8" t="n">
        <x:f>H1176-I1176*J1176</x:f>
        <x:v>1</x:v>
      </x:c>
      <x:c r="L1176" s="8" t="n">
        <x:f>'PG facts'!E104</x:f>
        <x:v>0</x:v>
      </x:c>
      <x:c r="M1176" s="8" t="n">
        <x:f>K1176-L1176</x:f>
        <x:v>1</x:v>
      </x:c>
      <x:c r="N1176" s="8" t="n">
        <x:f>M1176^2</x:f>
        <x:v>1</x:v>
      </x:c>
      <x:c r="O1176" s="8" t="n">
        <x:f>ABS(M1176)</x:f>
        <x:v>1</x:v>
      </x:c>
      <x:c r="P1176" s="7" t="n">
        <x:v>45583</x:v>
      </x:c>
    </x:row>
    <x:row r="1177" ht="26" customHeight="1">
      <x:c r="A1177" s="2"/>
      <x:c r="B1177" s="2" t="n">
        <x:v>1172</x:v>
      </x:c>
      <x:c r="C1177" s="2" t="str">
        <x:v>Beauty / organic_volume_growth</x:v>
      </x:c>
      <x:c r="D1177" s="7" t="n">
        <x:v>45565</x:v>
      </x:c>
      <x:c r="E1177" s="2" t="str">
        <x:v>Pre-earnings</x:v>
      </x:c>
      <x:c r="F1177" s="7" t="n">
        <x:v>45582</x:v>
      </x:c>
      <x:c r="G1177" s="2" t="str">
        <x:v>Four-quarter mean</x:v>
      </x:c>
      <x:c r="H1177" s="8" t="n">
        <x:f>AVERAGE('PG facts'!E76,'PG facts'!E83,'PG facts'!E90,'PG facts'!E97)</x:f>
        <x:v>0.25</x:v>
      </x:c>
      <x:c r="I1177" s="8" t="n">
        <x:f>0</x:f>
        <x:v>0</x:v>
      </x:c>
      <x:c r="J1177" s="8" t="n">
        <x:v>0</x:v>
      </x:c>
      <x:c r="K1177" s="8" t="n">
        <x:f>H1177-I1177*J1177</x:f>
        <x:v>0.25</x:v>
      </x:c>
      <x:c r="L1177" s="8" t="n">
        <x:f>'PG facts'!E104</x:f>
        <x:v>0</x:v>
      </x:c>
      <x:c r="M1177" s="8" t="n">
        <x:f>K1177-L1177</x:f>
        <x:v>0.25</x:v>
      </x:c>
      <x:c r="N1177" s="8" t="n">
        <x:f>M1177^2</x:f>
        <x:v>0.0625</x:v>
      </x:c>
      <x:c r="O1177" s="8" t="n">
        <x:f>ABS(M1177)</x:f>
        <x:v>0.25</x:v>
      </x:c>
      <x:c r="P1177" s="7" t="n">
        <x:v>45583</x:v>
      </x:c>
    </x:row>
    <x:row r="1178" ht="26" customHeight="1">
      <x:c r="A1178" s="2"/>
      <x:c r="B1178" s="2" t="n">
        <x:v>1173</x:v>
      </x:c>
      <x:c r="C1178" s="2" t="str">
        <x:v>Beauty / organic_volume_growth</x:v>
      </x:c>
      <x:c r="D1178" s="7" t="n">
        <x:v>45565</x:v>
      </x:c>
      <x:c r="E1178" s="2" t="str">
        <x:v>Pre-earnings</x:v>
      </x:c>
      <x:c r="F1178" s="7" t="n">
        <x:v>45582</x:v>
      </x:c>
      <x:c r="G1178" s="2" t="str">
        <x:v>Broad market</x:v>
      </x:c>
      <x:c r="H1178" s="8" t="n">
        <x:f>'Model fits'!AA782</x:f>
        <x:v>-0.44978484617976294</x:v>
      </x:c>
      <x:c r="I1178" s="8" t="n">
        <x:f>0</x:f>
        <x:v>0</x:v>
      </x:c>
      <x:c r="J1178" s="8" t="n">
        <x:v>0</x:v>
      </x:c>
      <x:c r="K1178" s="8" t="n">
        <x:f>H1178-I1178*J1178</x:f>
        <x:v>-0.44978484617976294</x:v>
      </x:c>
      <x:c r="L1178" s="8" t="n">
        <x:f>'PG facts'!E104</x:f>
        <x:v>0</x:v>
      </x:c>
      <x:c r="M1178" s="8" t="n">
        <x:f>K1178-L1178</x:f>
        <x:v>-0.44978484617976294</x:v>
      </x:c>
      <x:c r="N1178" s="8" t="n">
        <x:f>M1178^2</x:f>
        <x:v>0.202306407852953</x:v>
      </x:c>
      <x:c r="O1178" s="8" t="n">
        <x:f>ABS(M1178)</x:f>
        <x:v>0.44978484617976294</x:v>
      </x:c>
      <x:c r="P1178" s="7" t="n">
        <x:v>45583</x:v>
      </x:c>
    </x:row>
    <x:row r="1179" ht="26" customHeight="1">
      <x:c r="A1179" s="2"/>
      <x:c r="B1179" s="2" t="n">
        <x:v>1174</x:v>
      </x:c>
      <x:c r="C1179" s="2" t="str">
        <x:v>Beauty / organic_volume_growth</x:v>
      </x:c>
      <x:c r="D1179" s="7" t="n">
        <x:v>45565</x:v>
      </x:c>
      <x:c r="E1179" s="2" t="str">
        <x:v>Pre-earnings</x:v>
      </x:c>
      <x:c r="F1179" s="7" t="n">
        <x:v>45582</x:v>
      </x:c>
      <x:c r="G1179" s="2" t="str">
        <x:v>Broad lag 1</x:v>
      </x:c>
      <x:c r="H1179" s="8" t="n">
        <x:f>'Model fits'!AA783</x:f>
        <x:v>-0.5835435487658308</x:v>
      </x:c>
      <x:c r="I1179" s="8" t="n">
        <x:f>0</x:f>
        <x:v>0</x:v>
      </x:c>
      <x:c r="J1179" s="8" t="n">
        <x:v>0</x:v>
      </x:c>
      <x:c r="K1179" s="8" t="n">
        <x:f>H1179-I1179*J1179</x:f>
        <x:v>-0.5835435487658308</x:v>
      </x:c>
      <x:c r="L1179" s="8" t="n">
        <x:f>'PG facts'!E104</x:f>
        <x:v>0</x:v>
      </x:c>
      <x:c r="M1179" s="8" t="n">
        <x:f>K1179-L1179</x:f>
        <x:v>-0.5835435487658308</x:v>
      </x:c>
      <x:c r="N1179" s="8" t="n">
        <x:f>M1179^2</x:f>
        <x:v>0.34052307330621956</x:v>
      </x:c>
      <x:c r="O1179" s="8" t="n">
        <x:f>ABS(M1179)</x:f>
        <x:v>0.5835435487658308</x:v>
      </x:c>
      <x:c r="P1179" s="7" t="n">
        <x:v>45583</x:v>
      </x:c>
    </x:row>
    <x:row r="1180" ht="26" customHeight="1">
      <x:c r="A1180" s="2"/>
      <x:c r="B1180" s="2" t="n">
        <x:v>1175</x:v>
      </x:c>
      <x:c r="C1180" s="2" t="str">
        <x:v>Beauty / organic_volume_growth</x:v>
      </x:c>
      <x:c r="D1180" s="7" t="n">
        <x:v>45565</x:v>
      </x:c>
      <x:c r="E1180" s="2" t="str">
        <x:v>Pre-earnings</x:v>
      </x:c>
      <x:c r="F1180" s="7" t="n">
        <x:v>45582</x:v>
      </x:c>
      <x:c r="G1180" s="2" t="str">
        <x:v>Broad rolling 8</x:v>
      </x:c>
      <x:c r="H1180" s="8" t="n">
        <x:f>'Model fits'!AA784</x:f>
        <x:v>0.73674568636901</x:v>
      </x:c>
      <x:c r="I1180" s="8" t="n">
        <x:f>0</x:f>
        <x:v>0</x:v>
      </x:c>
      <x:c r="J1180" s="8" t="n">
        <x:v>0</x:v>
      </x:c>
      <x:c r="K1180" s="8" t="n">
        <x:f>H1180-I1180*J1180</x:f>
        <x:v>0.73674568636901</x:v>
      </x:c>
      <x:c r="L1180" s="8" t="n">
        <x:f>'PG facts'!E104</x:f>
        <x:v>0</x:v>
      </x:c>
      <x:c r="M1180" s="8" t="n">
        <x:f>K1180-L1180</x:f>
        <x:v>0.73674568636901</x:v>
      </x:c>
      <x:c r="N1180" s="8" t="n">
        <x:f>M1180^2</x:f>
        <x:v>0.5427942063833437</x:v>
      </x:c>
      <x:c r="O1180" s="8" t="n">
        <x:f>ABS(M1180)</x:f>
        <x:v>0.73674568636901</x:v>
      </x:c>
      <x:c r="P1180" s="7" t="n">
        <x:v>45583</x:v>
      </x:c>
    </x:row>
    <x:row r="1181" ht="26" customHeight="1">
      <x:c r="A1181" s="2"/>
      <x:c r="B1181" s="2" t="n">
        <x:v>1176</x:v>
      </x:c>
      <x:c r="C1181" s="2" t="str">
        <x:v>Beauty / organic_volume_growth</x:v>
      </x:c>
      <x:c r="D1181" s="7" t="n">
        <x:v>45565</x:v>
      </x:c>
      <x:c r="E1181" s="2" t="str">
        <x:v>Pre-earnings</x:v>
      </x:c>
      <x:c r="F1181" s="7" t="n">
        <x:v>45582</x:v>
      </x:c>
      <x:c r="G1181" s="2" t="str">
        <x:v>Own history</x:v>
      </x:c>
      <x:c r="H1181" s="8" t="n">
        <x:f>'Model fits'!AA785</x:f>
        <x:v>-0.14285714285714285</x:v>
      </x:c>
      <x:c r="I1181" s="8" t="n">
        <x:f>0</x:f>
        <x:v>0</x:v>
      </x:c>
      <x:c r="J1181" s="8" t="n">
        <x:v>0</x:v>
      </x:c>
      <x:c r="K1181" s="8" t="n">
        <x:f>H1181-I1181*J1181</x:f>
        <x:v>-0.14285714285714285</x:v>
      </x:c>
      <x:c r="L1181" s="8" t="n">
        <x:f>'PG facts'!E104</x:f>
        <x:v>0</x:v>
      </x:c>
      <x:c r="M1181" s="8" t="n">
        <x:f>K1181-L1181</x:f>
        <x:v>-0.14285714285714285</x:v>
      </x:c>
      <x:c r="N1181" s="8" t="n">
        <x:f>M1181^2</x:f>
        <x:v>0.02040816326530612</x:v>
      </x:c>
      <x:c r="O1181" s="8" t="n">
        <x:f>ABS(M1181)</x:f>
        <x:v>0.14285714285714285</x:v>
      </x:c>
      <x:c r="P1181" s="7" t="n">
        <x:v>45583</x:v>
      </x:c>
    </x:row>
    <x:row r="1182" ht="26" customHeight="1">
      <x:c r="A1182" s="2"/>
      <x:c r="B1182" s="2" t="n">
        <x:v>1177</x:v>
      </x:c>
      <x:c r="C1182" s="2" t="str">
        <x:v>Beauty / organic_volume_growth</x:v>
      </x:c>
      <x:c r="D1182" s="7" t="n">
        <x:v>45657</x:v>
      </x:c>
      <x:c r="E1182" s="2" t="str">
        <x:v>Origin</x:v>
      </x:c>
      <x:c r="F1182" s="7" t="n">
        <x:v>45566</x:v>
      </x:c>
      <x:c r="G1182" s="2" t="str">
        <x:v>Last actual</x:v>
      </x:c>
      <x:c r="H1182" s="8" t="n">
        <x:f>AVERAGE('PG facts'!E97)</x:f>
        <x:v>1</x:v>
      </x:c>
      <x:c r="I1182" s="8" t="n">
        <x:f>0</x:f>
        <x:v>0</x:v>
      </x:c>
      <x:c r="J1182" s="8" t="n">
        <x:v>0</x:v>
      </x:c>
      <x:c r="K1182" s="8" t="n">
        <x:f>H1182-I1182*J1182</x:f>
        <x:v>1</x:v>
      </x:c>
      <x:c r="L1182" s="8" t="n">
        <x:f>'PG facts'!E111</x:f>
        <x:v>0</x:v>
      </x:c>
      <x:c r="M1182" s="8" t="n">
        <x:f>K1182-L1182</x:f>
        <x:v>1</x:v>
      </x:c>
      <x:c r="N1182" s="8" t="n">
        <x:f>M1182^2</x:f>
        <x:v>1</x:v>
      </x:c>
      <x:c r="O1182" s="8" t="n">
        <x:f>ABS(M1182)</x:f>
        <x:v>1</x:v>
      </x:c>
      <x:c r="P1182" s="7" t="n">
        <x:v>45679</x:v>
      </x:c>
    </x:row>
    <x:row r="1183" ht="26" customHeight="1">
      <x:c r="A1183" s="2"/>
      <x:c r="B1183" s="2" t="n">
        <x:v>1178</x:v>
      </x:c>
      <x:c r="C1183" s="2" t="str">
        <x:v>Beauty / organic_volume_growth</x:v>
      </x:c>
      <x:c r="D1183" s="7" t="n">
        <x:v>45657</x:v>
      </x:c>
      <x:c r="E1183" s="2" t="str">
        <x:v>Origin</x:v>
      </x:c>
      <x:c r="F1183" s="7" t="n">
        <x:v>45566</x:v>
      </x:c>
      <x:c r="G1183" s="2" t="str">
        <x:v>Four-quarter mean</x:v>
      </x:c>
      <x:c r="H1183" s="8" t="n">
        <x:f>AVERAGE('PG facts'!E76,'PG facts'!E83,'PG facts'!E90,'PG facts'!E97)</x:f>
        <x:v>0.25</x:v>
      </x:c>
      <x:c r="I1183" s="8" t="n">
        <x:f>0</x:f>
        <x:v>0</x:v>
      </x:c>
      <x:c r="J1183" s="8" t="n">
        <x:v>0</x:v>
      </x:c>
      <x:c r="K1183" s="8" t="n">
        <x:f>H1183-I1183*J1183</x:f>
        <x:v>0.25</x:v>
      </x:c>
      <x:c r="L1183" s="8" t="n">
        <x:f>'PG facts'!E111</x:f>
        <x:v>0</x:v>
      </x:c>
      <x:c r="M1183" s="8" t="n">
        <x:f>K1183-L1183</x:f>
        <x:v>0.25</x:v>
      </x:c>
      <x:c r="N1183" s="8" t="n">
        <x:f>M1183^2</x:f>
        <x:v>0.0625</x:v>
      </x:c>
      <x:c r="O1183" s="8" t="n">
        <x:f>ABS(M1183)</x:f>
        <x:v>0.25</x:v>
      </x:c>
      <x:c r="P1183" s="7" t="n">
        <x:v>45679</x:v>
      </x:c>
    </x:row>
    <x:row r="1184" ht="26" customHeight="1">
      <x:c r="A1184" s="2"/>
      <x:c r="B1184" s="2" t="n">
        <x:v>1179</x:v>
      </x:c>
      <x:c r="C1184" s="2" t="str">
        <x:v>Beauty / organic_volume_growth</x:v>
      </x:c>
      <x:c r="D1184" s="7" t="n">
        <x:v>45657</x:v>
      </x:c>
      <x:c r="E1184" s="2" t="str">
        <x:v>Origin</x:v>
      </x:c>
      <x:c r="F1184" s="7" t="n">
        <x:v>45566</x:v>
      </x:c>
      <x:c r="G1184" s="2" t="str">
        <x:v>Broad market</x:v>
      </x:c>
      <x:c r="H1184" s="8" t="n">
        <x:f>'Model fits'!AA786</x:f>
        <x:v>-0.4509721769534088</x:v>
      </x:c>
      <x:c r="I1184" s="8" t="n">
        <x:f>0</x:f>
        <x:v>0</x:v>
      </x:c>
      <x:c r="J1184" s="8" t="n">
        <x:v>0</x:v>
      </x:c>
      <x:c r="K1184" s="8" t="n">
        <x:f>H1184-I1184*J1184</x:f>
        <x:v>-0.4509721769534088</x:v>
      </x:c>
      <x:c r="L1184" s="8" t="n">
        <x:f>'PG facts'!E111</x:f>
        <x:v>0</x:v>
      </x:c>
      <x:c r="M1184" s="8" t="n">
        <x:f>K1184-L1184</x:f>
        <x:v>-0.4509721769534088</x:v>
      </x:c>
      <x:c r="N1184" s="8" t="n">
        <x:f>M1184^2</x:f>
        <x:v>0.20337590438609665</x:v>
      </x:c>
      <x:c r="O1184" s="8" t="n">
        <x:f>ABS(M1184)</x:f>
        <x:v>0.4509721769534088</x:v>
      </x:c>
      <x:c r="P1184" s="7" t="n">
        <x:v>45679</x:v>
      </x:c>
    </x:row>
    <x:row r="1185" ht="26" customHeight="1">
      <x:c r="A1185" s="2"/>
      <x:c r="B1185" s="2" t="n">
        <x:v>1180</x:v>
      </x:c>
      <x:c r="C1185" s="2" t="str">
        <x:v>Beauty / organic_volume_growth</x:v>
      </x:c>
      <x:c r="D1185" s="7" t="n">
        <x:v>45657</x:v>
      </x:c>
      <x:c r="E1185" s="2" t="str">
        <x:v>Origin</x:v>
      </x:c>
      <x:c r="F1185" s="7" t="n">
        <x:v>45566</x:v>
      </x:c>
      <x:c r="G1185" s="2" t="str">
        <x:v>Broad rolling 8</x:v>
      </x:c>
      <x:c r="H1185" s="8" t="n">
        <x:f>'Model fits'!AA787</x:f>
        <x:v>0.7323479772988413</x:v>
      </x:c>
      <x:c r="I1185" s="8" t="n">
        <x:f>0</x:f>
        <x:v>0</x:v>
      </x:c>
      <x:c r="J1185" s="8" t="n">
        <x:v>0</x:v>
      </x:c>
      <x:c r="K1185" s="8" t="n">
        <x:f>H1185-I1185*J1185</x:f>
        <x:v>0.7323479772988413</x:v>
      </x:c>
      <x:c r="L1185" s="8" t="n">
        <x:f>'PG facts'!E111</x:f>
        <x:v>0</x:v>
      </x:c>
      <x:c r="M1185" s="8" t="n">
        <x:f>K1185-L1185</x:f>
        <x:v>0.7323479772988413</x:v>
      </x:c>
      <x:c r="N1185" s="8" t="n">
        <x:f>M1185^2</x:f>
        <x:v>0.5363335598537041</x:v>
      </x:c>
      <x:c r="O1185" s="8" t="n">
        <x:f>ABS(M1185)</x:f>
        <x:v>0.7323479772988413</x:v>
      </x:c>
      <x:c r="P1185" s="7" t="n">
        <x:v>45679</x:v>
      </x:c>
    </x:row>
    <x:row r="1186" ht="26" customHeight="1">
      <x:c r="A1186" s="2"/>
      <x:c r="B1186" s="2" t="n">
        <x:v>1181</x:v>
      </x:c>
      <x:c r="C1186" s="2" t="str">
        <x:v>Beauty / organic_volume_growth</x:v>
      </x:c>
      <x:c r="D1186" s="7" t="n">
        <x:v>45657</x:v>
      </x:c>
      <x:c r="E1186" s="2" t="str">
        <x:v>Origin</x:v>
      </x:c>
      <x:c r="F1186" s="7" t="n">
        <x:v>45566</x:v>
      </x:c>
      <x:c r="G1186" s="2" t="str">
        <x:v>Own history</x:v>
      </x:c>
      <x:c r="H1186" s="8" t="n">
        <x:f>'Model fits'!AA788</x:f>
        <x:v>-0.1111111111111111</x:v>
      </x:c>
      <x:c r="I1186" s="8" t="n">
        <x:f>0</x:f>
        <x:v>0</x:v>
      </x:c>
      <x:c r="J1186" s="8" t="n">
        <x:v>0</x:v>
      </x:c>
      <x:c r="K1186" s="8" t="n">
        <x:f>H1186-I1186*J1186</x:f>
        <x:v>-0.1111111111111111</x:v>
      </x:c>
      <x:c r="L1186" s="8" t="n">
        <x:f>'PG facts'!E111</x:f>
        <x:v>0</x:v>
      </x:c>
      <x:c r="M1186" s="8" t="n">
        <x:f>K1186-L1186</x:f>
        <x:v>-0.1111111111111111</x:v>
      </x:c>
      <x:c r="N1186" s="8" t="n">
        <x:f>M1186^2</x:f>
        <x:v>0.012345679012345678</x:v>
      </x:c>
      <x:c r="O1186" s="8" t="n">
        <x:f>ABS(M1186)</x:f>
        <x:v>0.1111111111111111</x:v>
      </x:c>
      <x:c r="P1186" s="7" t="n">
        <x:v>45679</x:v>
      </x:c>
    </x:row>
    <x:row r="1187" ht="26" customHeight="1">
      <x:c r="A1187" s="2"/>
      <x:c r="B1187" s="2" t="n">
        <x:v>1182</x:v>
      </x:c>
      <x:c r="C1187" s="2" t="str">
        <x:v>Beauty / organic_volume_growth</x:v>
      </x:c>
      <x:c r="D1187" s="7" t="n">
        <x:v>45657</x:v>
      </x:c>
      <x:c r="E1187" s="2" t="str">
        <x:v>Prior report</x:v>
      </x:c>
      <x:c r="F1187" s="7" t="n">
        <x:v>45583</x:v>
      </x:c>
      <x:c r="G1187" s="2" t="str">
        <x:v>Last actual</x:v>
      </x:c>
      <x:c r="H1187" s="8" t="n">
        <x:f>AVERAGE('PG facts'!E104)</x:f>
        <x:v>0</x:v>
      </x:c>
      <x:c r="I1187" s="8" t="n">
        <x:f>0</x:f>
        <x:v>0</x:v>
      </x:c>
      <x:c r="J1187" s="8" t="n">
        <x:v>0</x:v>
      </x:c>
      <x:c r="K1187" s="8" t="n">
        <x:f>H1187-I1187*J1187</x:f>
        <x:v>0</x:v>
      </x:c>
      <x:c r="L1187" s="8" t="n">
        <x:f>'PG facts'!E111</x:f>
        <x:v>0</x:v>
      </x:c>
      <x:c r="M1187" s="8" t="n">
        <x:f>K1187-L1187</x:f>
        <x:v>0</x:v>
      </x:c>
      <x:c r="N1187" s="8" t="n">
        <x:f>M1187^2</x:f>
        <x:v>0</x:v>
      </x:c>
      <x:c r="O1187" s="8" t="n">
        <x:f>ABS(M1187)</x:f>
        <x:v>0</x:v>
      </x:c>
      <x:c r="P1187" s="7" t="n">
        <x:v>45679</x:v>
      </x:c>
    </x:row>
    <x:row r="1188" ht="26" customHeight="1">
      <x:c r="A1188" s="2"/>
      <x:c r="B1188" s="2" t="n">
        <x:v>1183</x:v>
      </x:c>
      <x:c r="C1188" s="2" t="str">
        <x:v>Beauty / organic_volume_growth</x:v>
      </x:c>
      <x:c r="D1188" s="7" t="n">
        <x:v>45657</x:v>
      </x:c>
      <x:c r="E1188" s="2" t="str">
        <x:v>Prior report</x:v>
      </x:c>
      <x:c r="F1188" s="7" t="n">
        <x:v>45583</x:v>
      </x:c>
      <x:c r="G1188" s="2" t="str">
        <x:v>Four-quarter mean</x:v>
      </x:c>
      <x:c r="H1188" s="8" t="n">
        <x:f>AVERAGE('PG facts'!E83,'PG facts'!E90,'PG facts'!E97,'PG facts'!E104)</x:f>
        <x:v>0.25</x:v>
      </x:c>
      <x:c r="I1188" s="8" t="n">
        <x:f>0</x:f>
        <x:v>0</x:v>
      </x:c>
      <x:c r="J1188" s="8" t="n">
        <x:v>0</x:v>
      </x:c>
      <x:c r="K1188" s="8" t="n">
        <x:f>H1188-I1188*J1188</x:f>
        <x:v>0.25</x:v>
      </x:c>
      <x:c r="L1188" s="8" t="n">
        <x:f>'PG facts'!E111</x:f>
        <x:v>0</x:v>
      </x:c>
      <x:c r="M1188" s="8" t="n">
        <x:f>K1188-L1188</x:f>
        <x:v>0.25</x:v>
      </x:c>
      <x:c r="N1188" s="8" t="n">
        <x:f>M1188^2</x:f>
        <x:v>0.0625</x:v>
      </x:c>
      <x:c r="O1188" s="8" t="n">
        <x:f>ABS(M1188)</x:f>
        <x:v>0.25</x:v>
      </x:c>
      <x:c r="P1188" s="7" t="n">
        <x:v>45679</x:v>
      </x:c>
    </x:row>
    <x:row r="1189" ht="26" customHeight="1">
      <x:c r="A1189" s="2"/>
      <x:c r="B1189" s="2" t="n">
        <x:v>1184</x:v>
      </x:c>
      <x:c r="C1189" s="2" t="str">
        <x:v>Beauty / organic_volume_growth</x:v>
      </x:c>
      <x:c r="D1189" s="7" t="n">
        <x:v>45657</x:v>
      </x:c>
      <x:c r="E1189" s="2" t="str">
        <x:v>Prior report</x:v>
      </x:c>
      <x:c r="F1189" s="7" t="n">
        <x:v>45583</x:v>
      </x:c>
      <x:c r="G1189" s="2" t="str">
        <x:v>Broad market</x:v>
      </x:c>
      <x:c r="H1189" s="8" t="n">
        <x:f>'Model fits'!AA789</x:f>
        <x:v>-0.4509721769534088</x:v>
      </x:c>
      <x:c r="I1189" s="8" t="n">
        <x:f>0</x:f>
        <x:v>0</x:v>
      </x:c>
      <x:c r="J1189" s="8" t="n">
        <x:v>0</x:v>
      </x:c>
      <x:c r="K1189" s="8" t="n">
        <x:f>H1189-I1189*J1189</x:f>
        <x:v>-0.4509721769534088</x:v>
      </x:c>
      <x:c r="L1189" s="8" t="n">
        <x:f>'PG facts'!E111</x:f>
        <x:v>0</x:v>
      </x:c>
      <x:c r="M1189" s="8" t="n">
        <x:f>K1189-L1189</x:f>
        <x:v>-0.4509721769534088</x:v>
      </x:c>
      <x:c r="N1189" s="8" t="n">
        <x:f>M1189^2</x:f>
        <x:v>0.20337590438609665</x:v>
      </x:c>
      <x:c r="O1189" s="8" t="n">
        <x:f>ABS(M1189)</x:f>
        <x:v>0.4509721769534088</x:v>
      </x:c>
      <x:c r="P1189" s="7" t="n">
        <x:v>45679</x:v>
      </x:c>
    </x:row>
    <x:row r="1190" ht="26" customHeight="1">
      <x:c r="A1190" s="2"/>
      <x:c r="B1190" s="2" t="n">
        <x:v>1185</x:v>
      </x:c>
      <x:c r="C1190" s="2" t="str">
        <x:v>Beauty / organic_volume_growth</x:v>
      </x:c>
      <x:c r="D1190" s="7" t="n">
        <x:v>45657</x:v>
      </x:c>
      <x:c r="E1190" s="2" t="str">
        <x:v>Prior report</x:v>
      </x:c>
      <x:c r="F1190" s="7" t="n">
        <x:v>45583</x:v>
      </x:c>
      <x:c r="G1190" s="2" t="str">
        <x:v>Broad rolling 8</x:v>
      </x:c>
      <x:c r="H1190" s="8" t="n">
        <x:f>'Model fits'!AA790</x:f>
        <x:v>0.7323479772988413</x:v>
      </x:c>
      <x:c r="I1190" s="8" t="n">
        <x:f>0</x:f>
        <x:v>0</x:v>
      </x:c>
      <x:c r="J1190" s="8" t="n">
        <x:v>0</x:v>
      </x:c>
      <x:c r="K1190" s="8" t="n">
        <x:f>H1190-I1190*J1190</x:f>
        <x:v>0.7323479772988413</x:v>
      </x:c>
      <x:c r="L1190" s="8" t="n">
        <x:f>'PG facts'!E111</x:f>
        <x:v>0</x:v>
      </x:c>
      <x:c r="M1190" s="8" t="n">
        <x:f>K1190-L1190</x:f>
        <x:v>0.7323479772988413</x:v>
      </x:c>
      <x:c r="N1190" s="8" t="n">
        <x:f>M1190^2</x:f>
        <x:v>0.5363335598537041</x:v>
      </x:c>
      <x:c r="O1190" s="8" t="n">
        <x:f>ABS(M1190)</x:f>
        <x:v>0.7323479772988413</x:v>
      </x:c>
      <x:c r="P1190" s="7" t="n">
        <x:v>45679</x:v>
      </x:c>
    </x:row>
    <x:row r="1191" ht="26" customHeight="1">
      <x:c r="A1191" s="2"/>
      <x:c r="B1191" s="2" t="n">
        <x:v>1186</x:v>
      </x:c>
      <x:c r="C1191" s="2" t="str">
        <x:v>Beauty / organic_volume_growth</x:v>
      </x:c>
      <x:c r="D1191" s="7" t="n">
        <x:v>45657</x:v>
      </x:c>
      <x:c r="E1191" s="2" t="str">
        <x:v>Prior report</x:v>
      </x:c>
      <x:c r="F1191" s="7" t="n">
        <x:v>45583</x:v>
      </x:c>
      <x:c r="G1191" s="2" t="str">
        <x:v>Own history</x:v>
      </x:c>
      <x:c r="H1191" s="8" t="n">
        <x:f>'Model fits'!AA791</x:f>
        <x:v>-0.3611111111111111</x:v>
      </x:c>
      <x:c r="I1191" s="8" t="n">
        <x:f>0</x:f>
        <x:v>0</x:v>
      </x:c>
      <x:c r="J1191" s="8" t="n">
        <x:v>0</x:v>
      </x:c>
      <x:c r="K1191" s="8" t="n">
        <x:f>H1191-I1191*J1191</x:f>
        <x:v>-0.3611111111111111</x:v>
      </x:c>
      <x:c r="L1191" s="8" t="n">
        <x:f>'PG facts'!E111</x:f>
        <x:v>0</x:v>
      </x:c>
      <x:c r="M1191" s="8" t="n">
        <x:f>K1191-L1191</x:f>
        <x:v>-0.3611111111111111</x:v>
      </x:c>
      <x:c r="N1191" s="8" t="n">
        <x:f>M1191^2</x:f>
        <x:v>0.13040123456790123</x:v>
      </x:c>
      <x:c r="O1191" s="8" t="n">
        <x:f>ABS(M1191)</x:f>
        <x:v>0.3611111111111111</x:v>
      </x:c>
      <x:c r="P1191" s="7" t="n">
        <x:v>45679</x:v>
      </x:c>
    </x:row>
    <x:row r="1192" ht="26" customHeight="1">
      <x:c r="A1192" s="2"/>
      <x:c r="B1192" s="2" t="n">
        <x:v>1187</x:v>
      </x:c>
      <x:c r="C1192" s="2" t="str">
        <x:v>Beauty / organic_volume_growth</x:v>
      </x:c>
      <x:c r="D1192" s="7" t="n">
        <x:v>45657</x:v>
      </x:c>
      <x:c r="E1192" s="2" t="str">
        <x:v>Pre-earnings</x:v>
      </x:c>
      <x:c r="F1192" s="7" t="n">
        <x:v>45678</x:v>
      </x:c>
      <x:c r="G1192" s="2" t="str">
        <x:v>Last actual</x:v>
      </x:c>
      <x:c r="H1192" s="8" t="n">
        <x:f>AVERAGE('PG facts'!E104)</x:f>
        <x:v>0</x:v>
      </x:c>
      <x:c r="I1192" s="8" t="n">
        <x:f>0</x:f>
        <x:v>0</x:v>
      </x:c>
      <x:c r="J1192" s="8" t="n">
        <x:v>0</x:v>
      </x:c>
      <x:c r="K1192" s="8" t="n">
        <x:f>H1192-I1192*J1192</x:f>
        <x:v>0</x:v>
      </x:c>
      <x:c r="L1192" s="8" t="n">
        <x:f>'PG facts'!E111</x:f>
        <x:v>0</x:v>
      </x:c>
      <x:c r="M1192" s="8" t="n">
        <x:f>K1192-L1192</x:f>
        <x:v>0</x:v>
      </x:c>
      <x:c r="N1192" s="8" t="n">
        <x:f>M1192^2</x:f>
        <x:v>0</x:v>
      </x:c>
      <x:c r="O1192" s="8" t="n">
        <x:f>ABS(M1192)</x:f>
        <x:v>0</x:v>
      </x:c>
      <x:c r="P1192" s="7" t="n">
        <x:v>45679</x:v>
      </x:c>
    </x:row>
    <x:row r="1193" ht="26" customHeight="1">
      <x:c r="A1193" s="2"/>
      <x:c r="B1193" s="2" t="n">
        <x:v>1188</x:v>
      </x:c>
      <x:c r="C1193" s="2" t="str">
        <x:v>Beauty / organic_volume_growth</x:v>
      </x:c>
      <x:c r="D1193" s="7" t="n">
        <x:v>45657</x:v>
      </x:c>
      <x:c r="E1193" s="2" t="str">
        <x:v>Pre-earnings</x:v>
      </x:c>
      <x:c r="F1193" s="7" t="n">
        <x:v>45678</x:v>
      </x:c>
      <x:c r="G1193" s="2" t="str">
        <x:v>Four-quarter mean</x:v>
      </x:c>
      <x:c r="H1193" s="8" t="n">
        <x:f>AVERAGE('PG facts'!E83,'PG facts'!E90,'PG facts'!E97,'PG facts'!E104)</x:f>
        <x:v>0.25</x:v>
      </x:c>
      <x:c r="I1193" s="8" t="n">
        <x:f>0</x:f>
        <x:v>0</x:v>
      </x:c>
      <x:c r="J1193" s="8" t="n">
        <x:v>0</x:v>
      </x:c>
      <x:c r="K1193" s="8" t="n">
        <x:f>H1193-I1193*J1193</x:f>
        <x:v>0.25</x:v>
      </x:c>
      <x:c r="L1193" s="8" t="n">
        <x:f>'PG facts'!E111</x:f>
        <x:v>0</x:v>
      </x:c>
      <x:c r="M1193" s="8" t="n">
        <x:f>K1193-L1193</x:f>
        <x:v>0.25</x:v>
      </x:c>
      <x:c r="N1193" s="8" t="n">
        <x:f>M1193^2</x:f>
        <x:v>0.0625</x:v>
      </x:c>
      <x:c r="O1193" s="8" t="n">
        <x:f>ABS(M1193)</x:f>
        <x:v>0.25</x:v>
      </x:c>
      <x:c r="P1193" s="7" t="n">
        <x:v>45679</x:v>
      </x:c>
    </x:row>
    <x:row r="1194" ht="26" customHeight="1">
      <x:c r="A1194" s="2"/>
      <x:c r="B1194" s="2" t="n">
        <x:v>1189</x:v>
      </x:c>
      <x:c r="C1194" s="2" t="str">
        <x:v>Beauty / organic_volume_growth</x:v>
      </x:c>
      <x:c r="D1194" s="7" t="n">
        <x:v>45657</x:v>
      </x:c>
      <x:c r="E1194" s="2" t="str">
        <x:v>Pre-earnings</x:v>
      </x:c>
      <x:c r="F1194" s="7" t="n">
        <x:v>45678</x:v>
      </x:c>
      <x:c r="G1194" s="2" t="str">
        <x:v>Broad market</x:v>
      </x:c>
      <x:c r="H1194" s="8" t="n">
        <x:f>'Model fits'!AA792</x:f>
        <x:v>-0.4178992409272993</x:v>
      </x:c>
      <x:c r="I1194" s="8" t="n">
        <x:f>0</x:f>
        <x:v>0</x:v>
      </x:c>
      <x:c r="J1194" s="8" t="n">
        <x:v>0</x:v>
      </x:c>
      <x:c r="K1194" s="8" t="n">
        <x:f>H1194-I1194*J1194</x:f>
        <x:v>-0.4178992409272993</x:v>
      </x:c>
      <x:c r="L1194" s="8" t="n">
        <x:f>'PG facts'!E111</x:f>
        <x:v>0</x:v>
      </x:c>
      <x:c r="M1194" s="8" t="n">
        <x:f>K1194-L1194</x:f>
        <x:v>-0.4178992409272993</x:v>
      </x:c>
      <x:c r="N1194" s="8" t="n">
        <x:f>M1194^2</x:f>
        <x:v>0.17463977556761295</x:v>
      </x:c>
      <x:c r="O1194" s="8" t="n">
        <x:f>ABS(M1194)</x:f>
        <x:v>0.4178992409272993</x:v>
      </x:c>
      <x:c r="P1194" s="7" t="n">
        <x:v>45679</x:v>
      </x:c>
    </x:row>
    <x:row r="1195" ht="26" customHeight="1">
      <x:c r="A1195" s="2"/>
      <x:c r="B1195" s="2" t="n">
        <x:v>1190</x:v>
      </x:c>
      <x:c r="C1195" s="2" t="str">
        <x:v>Beauty / organic_volume_growth</x:v>
      </x:c>
      <x:c r="D1195" s="7" t="n">
        <x:v>45657</x:v>
      </x:c>
      <x:c r="E1195" s="2" t="str">
        <x:v>Pre-earnings</x:v>
      </x:c>
      <x:c r="F1195" s="7" t="n">
        <x:v>45678</x:v>
      </x:c>
      <x:c r="G1195" s="2" t="str">
        <x:v>Broad lag 1</x:v>
      </x:c>
      <x:c r="H1195" s="8" t="n">
        <x:f>'Model fits'!AA793</x:f>
        <x:v>-0.5013549525103401</x:v>
      </x:c>
      <x:c r="I1195" s="8" t="n">
        <x:f>0</x:f>
        <x:v>0</x:v>
      </x:c>
      <x:c r="J1195" s="8" t="n">
        <x:v>0</x:v>
      </x:c>
      <x:c r="K1195" s="8" t="n">
        <x:f>H1195-I1195*J1195</x:f>
        <x:v>-0.5013549525103401</x:v>
      </x:c>
      <x:c r="L1195" s="8" t="n">
        <x:f>'PG facts'!E111</x:f>
        <x:v>0</x:v>
      </x:c>
      <x:c r="M1195" s="8" t="n">
        <x:f>K1195-L1195</x:f>
        <x:v>-0.5013549525103401</x:v>
      </x:c>
      <x:c r="N1195" s="8" t="n">
        <x:f>M1195^2</x:f>
        <x:v>0.2513567884066454</x:v>
      </x:c>
      <x:c r="O1195" s="8" t="n">
        <x:f>ABS(M1195)</x:f>
        <x:v>0.5013549525103401</x:v>
      </x:c>
      <x:c r="P1195" s="7" t="n">
        <x:v>45679</x:v>
      </x:c>
    </x:row>
    <x:row r="1196" ht="26" customHeight="1">
      <x:c r="A1196" s="2"/>
      <x:c r="B1196" s="2" t="n">
        <x:v>1191</x:v>
      </x:c>
      <x:c r="C1196" s="2" t="str">
        <x:v>Beauty / organic_volume_growth</x:v>
      </x:c>
      <x:c r="D1196" s="7" t="n">
        <x:v>45657</x:v>
      </x:c>
      <x:c r="E1196" s="2" t="str">
        <x:v>Pre-earnings</x:v>
      </x:c>
      <x:c r="F1196" s="7" t="n">
        <x:v>45678</x:v>
      </x:c>
      <x:c r="G1196" s="2" t="str">
        <x:v>Broad rolling 8</x:v>
      </x:c>
      <x:c r="H1196" s="8" t="n">
        <x:f>'Model fits'!AA794</x:f>
        <x:v>0.5890200656901909</x:v>
      </x:c>
      <x:c r="I1196" s="8" t="n">
        <x:f>0</x:f>
        <x:v>0</x:v>
      </x:c>
      <x:c r="J1196" s="8" t="n">
        <x:v>0</x:v>
      </x:c>
      <x:c r="K1196" s="8" t="n">
        <x:f>H1196-I1196*J1196</x:f>
        <x:v>0.5890200656901909</x:v>
      </x:c>
      <x:c r="L1196" s="8" t="n">
        <x:f>'PG facts'!E111</x:f>
        <x:v>0</x:v>
      </x:c>
      <x:c r="M1196" s="8" t="n">
        <x:f>K1196-L1196</x:f>
        <x:v>0.5890200656901909</x:v>
      </x:c>
      <x:c r="N1196" s="8" t="n">
        <x:f>M1196^2</x:f>
        <x:v>0.34694463778567686</x:v>
      </x:c>
      <x:c r="O1196" s="8" t="n">
        <x:f>ABS(M1196)</x:f>
        <x:v>0.5890200656901909</x:v>
      </x:c>
      <x:c r="P1196" s="7" t="n">
        <x:v>45679</x:v>
      </x:c>
    </x:row>
    <x:row r="1197" ht="26" customHeight="1">
      <x:c r="A1197" s="2"/>
      <x:c r="B1197" s="2" t="n">
        <x:v>1192</x:v>
      </x:c>
      <x:c r="C1197" s="2" t="str">
        <x:v>Beauty / organic_volume_growth</x:v>
      </x:c>
      <x:c r="D1197" s="7" t="n">
        <x:v>45657</x:v>
      </x:c>
      <x:c r="E1197" s="2" t="str">
        <x:v>Pre-earnings</x:v>
      </x:c>
      <x:c r="F1197" s="7" t="n">
        <x:v>45678</x:v>
      </x:c>
      <x:c r="G1197" s="2" t="str">
        <x:v>Own history</x:v>
      </x:c>
      <x:c r="H1197" s="8" t="n">
        <x:f>'Model fits'!AA795</x:f>
        <x:v>-0.3611111111111111</x:v>
      </x:c>
      <x:c r="I1197" s="8" t="n">
        <x:f>0</x:f>
        <x:v>0</x:v>
      </x:c>
      <x:c r="J1197" s="8" t="n">
        <x:v>0</x:v>
      </x:c>
      <x:c r="K1197" s="8" t="n">
        <x:f>H1197-I1197*J1197</x:f>
        <x:v>-0.3611111111111111</x:v>
      </x:c>
      <x:c r="L1197" s="8" t="n">
        <x:f>'PG facts'!E111</x:f>
        <x:v>0</x:v>
      </x:c>
      <x:c r="M1197" s="8" t="n">
        <x:f>K1197-L1197</x:f>
        <x:v>-0.3611111111111111</x:v>
      </x:c>
      <x:c r="N1197" s="8" t="n">
        <x:f>M1197^2</x:f>
        <x:v>0.13040123456790123</x:v>
      </x:c>
      <x:c r="O1197" s="8" t="n">
        <x:f>ABS(M1197)</x:f>
        <x:v>0.3611111111111111</x:v>
      </x:c>
      <x:c r="P1197" s="7" t="n">
        <x:v>45679</x:v>
      </x:c>
    </x:row>
    <x:row r="1198" ht="26" customHeight="1">
      <x:c r="A1198" s="2"/>
      <x:c r="B1198" s="2" t="n">
        <x:v>1193</x:v>
      </x:c>
      <x:c r="C1198" s="2" t="str">
        <x:v>Beauty / organic_volume_growth</x:v>
      </x:c>
      <x:c r="D1198" s="7" t="n">
        <x:v>45747</x:v>
      </x:c>
      <x:c r="E1198" s="2" t="str">
        <x:v>Origin</x:v>
      </x:c>
      <x:c r="F1198" s="7" t="n">
        <x:v>45658</x:v>
      </x:c>
      <x:c r="G1198" s="2" t="str">
        <x:v>Last actual</x:v>
      </x:c>
      <x:c r="H1198" s="8" t="n">
        <x:f>AVERAGE('PG facts'!E104)</x:f>
        <x:v>0</x:v>
      </x:c>
      <x:c r="I1198" s="8" t="n">
        <x:f>0</x:f>
        <x:v>0</x:v>
      </x:c>
      <x:c r="J1198" s="8" t="n">
        <x:v>0</x:v>
      </x:c>
      <x:c r="K1198" s="8" t="n">
        <x:f>H1198-I1198*J1198</x:f>
        <x:v>0</x:v>
      </x:c>
      <x:c r="L1198" s="8" t="n">
        <x:f>'PG facts'!E118</x:f>
        <x:v>1</x:v>
      </x:c>
      <x:c r="M1198" s="8" t="n">
        <x:f>K1198-L1198</x:f>
        <x:v>-1</x:v>
      </x:c>
      <x:c r="N1198" s="8" t="n">
        <x:f>M1198^2</x:f>
        <x:v>1</x:v>
      </x:c>
      <x:c r="O1198" s="8" t="n">
        <x:f>ABS(M1198)</x:f>
        <x:v>1</x:v>
      </x:c>
      <x:c r="P1198" s="7" t="n">
        <x:v>45771</x:v>
      </x:c>
    </x:row>
    <x:row r="1199" ht="26" customHeight="1">
      <x:c r="A1199" s="2"/>
      <x:c r="B1199" s="2" t="n">
        <x:v>1194</x:v>
      </x:c>
      <x:c r="C1199" s="2" t="str">
        <x:v>Beauty / organic_volume_growth</x:v>
      </x:c>
      <x:c r="D1199" s="7" t="n">
        <x:v>45747</x:v>
      </x:c>
      <x:c r="E1199" s="2" t="str">
        <x:v>Origin</x:v>
      </x:c>
      <x:c r="F1199" s="7" t="n">
        <x:v>45658</x:v>
      </x:c>
      <x:c r="G1199" s="2" t="str">
        <x:v>Four-quarter mean</x:v>
      </x:c>
      <x:c r="H1199" s="8" t="n">
        <x:f>AVERAGE('PG facts'!E83,'PG facts'!E90,'PG facts'!E97,'PG facts'!E104)</x:f>
        <x:v>0.25</x:v>
      </x:c>
      <x:c r="I1199" s="8" t="n">
        <x:f>0</x:f>
        <x:v>0</x:v>
      </x:c>
      <x:c r="J1199" s="8" t="n">
        <x:v>0</x:v>
      </x:c>
      <x:c r="K1199" s="8" t="n">
        <x:f>H1199-I1199*J1199</x:f>
        <x:v>0.25</x:v>
      </x:c>
      <x:c r="L1199" s="8" t="n">
        <x:f>'PG facts'!E118</x:f>
        <x:v>1</x:v>
      </x:c>
      <x:c r="M1199" s="8" t="n">
        <x:f>K1199-L1199</x:f>
        <x:v>-0.75</x:v>
      </x:c>
      <x:c r="N1199" s="8" t="n">
        <x:f>M1199^2</x:f>
        <x:v>0.5625</x:v>
      </x:c>
      <x:c r="O1199" s="8" t="n">
        <x:f>ABS(M1199)</x:f>
        <x:v>0.75</x:v>
      </x:c>
      <x:c r="P1199" s="7" t="n">
        <x:v>45771</x:v>
      </x:c>
    </x:row>
    <x:row r="1200" ht="26" customHeight="1">
      <x:c r="A1200" s="2"/>
      <x:c r="B1200" s="2" t="n">
        <x:v>1195</x:v>
      </x:c>
      <x:c r="C1200" s="2" t="str">
        <x:v>Beauty / organic_volume_growth</x:v>
      </x:c>
      <x:c r="D1200" s="7" t="n">
        <x:v>45747</x:v>
      </x:c>
      <x:c r="E1200" s="2" t="str">
        <x:v>Origin</x:v>
      </x:c>
      <x:c r="F1200" s="7" t="n">
        <x:v>45658</x:v>
      </x:c>
      <x:c r="G1200" s="2" t="str">
        <x:v>Broad market</x:v>
      </x:c>
      <x:c r="H1200" s="8" t="n">
        <x:f>'Model fits'!AA796</x:f>
        <x:v>-0.39601557849341934</x:v>
      </x:c>
      <x:c r="I1200" s="8" t="n">
        <x:f>0</x:f>
        <x:v>0</x:v>
      </x:c>
      <x:c r="J1200" s="8" t="n">
        <x:v>0</x:v>
      </x:c>
      <x:c r="K1200" s="8" t="n">
        <x:f>H1200-I1200*J1200</x:f>
        <x:v>-0.39601557849341934</x:v>
      </x:c>
      <x:c r="L1200" s="8" t="n">
        <x:f>'PG facts'!E118</x:f>
        <x:v>1</x:v>
      </x:c>
      <x:c r="M1200" s="8" t="n">
        <x:f>K1200-L1200</x:f>
        <x:v>-1.3960155784934194</x:v>
      </x:c>
      <x:c r="N1200" s="8" t="n">
        <x:f>M1200^2</x:f>
        <x:v>1.9488594953963163</x:v>
      </x:c>
      <x:c r="O1200" s="8" t="n">
        <x:f>ABS(M1200)</x:f>
        <x:v>1.3960155784934194</x:v>
      </x:c>
      <x:c r="P1200" s="7" t="n">
        <x:v>45771</x:v>
      </x:c>
    </x:row>
    <x:row r="1201" ht="26" customHeight="1">
      <x:c r="A1201" s="2"/>
      <x:c r="B1201" s="2" t="n">
        <x:v>1196</x:v>
      </x:c>
      <x:c r="C1201" s="2" t="str">
        <x:v>Beauty / organic_volume_growth</x:v>
      </x:c>
      <x:c r="D1201" s="7" t="n">
        <x:v>45747</x:v>
      </x:c>
      <x:c r="E1201" s="2" t="str">
        <x:v>Origin</x:v>
      </x:c>
      <x:c r="F1201" s="7" t="n">
        <x:v>45658</x:v>
      </x:c>
      <x:c r="G1201" s="2" t="str">
        <x:v>Broad rolling 8</x:v>
      </x:c>
      <x:c r="H1201" s="8" t="n">
        <x:f>'Model fits'!AA797</x:f>
        <x:v>0.6736625448799338</x:v>
      </x:c>
      <x:c r="I1201" s="8" t="n">
        <x:f>0</x:f>
        <x:v>0</x:v>
      </x:c>
      <x:c r="J1201" s="8" t="n">
        <x:v>0</x:v>
      </x:c>
      <x:c r="K1201" s="8" t="n">
        <x:f>H1201-I1201*J1201</x:f>
        <x:v>0.6736625448799338</x:v>
      </x:c>
      <x:c r="L1201" s="8" t="n">
        <x:f>'PG facts'!E118</x:f>
        <x:v>1</x:v>
      </x:c>
      <x:c r="M1201" s="8" t="n">
        <x:f>K1201-L1201</x:f>
        <x:v>-0.3263374551200662</x:v>
      </x:c>
      <x:c r="N1201" s="8" t="n">
        <x:f>M1201^2</x:f>
        <x:v>0.1064961346142412</x:v>
      </x:c>
      <x:c r="O1201" s="8" t="n">
        <x:f>ABS(M1201)</x:f>
        <x:v>0.3263374551200662</x:v>
      </x:c>
      <x:c r="P1201" s="7" t="n">
        <x:v>45771</x:v>
      </x:c>
    </x:row>
    <x:row r="1202" ht="26" customHeight="1">
      <x:c r="A1202" s="2"/>
      <x:c r="B1202" s="2" t="n">
        <x:v>1197</x:v>
      </x:c>
      <x:c r="C1202" s="2" t="str">
        <x:v>Beauty / organic_volume_growth</x:v>
      </x:c>
      <x:c r="D1202" s="7" t="n">
        <x:v>45747</x:v>
      </x:c>
      <x:c r="E1202" s="2" t="str">
        <x:v>Origin</x:v>
      </x:c>
      <x:c r="F1202" s="7" t="n">
        <x:v>45658</x:v>
      </x:c>
      <x:c r="G1202" s="2" t="str">
        <x:v>Own history</x:v>
      </x:c>
      <x:c r="H1202" s="8" t="n">
        <x:f>'Model fits'!AA798</x:f>
        <x:v>-0.41534391534391535</x:v>
      </x:c>
      <x:c r="I1202" s="8" t="n">
        <x:f>0</x:f>
        <x:v>0</x:v>
      </x:c>
      <x:c r="J1202" s="8" t="n">
        <x:v>0</x:v>
      </x:c>
      <x:c r="K1202" s="8" t="n">
        <x:f>H1202-I1202*J1202</x:f>
        <x:v>-0.41534391534391535</x:v>
      </x:c>
      <x:c r="L1202" s="8" t="n">
        <x:f>'PG facts'!E118</x:f>
        <x:v>1</x:v>
      </x:c>
      <x:c r="M1202" s="8" t="n">
        <x:f>K1202-L1202</x:f>
        <x:v>-1.4153439153439153</x:v>
      </x:c>
      <x:c r="N1202" s="8" t="n">
        <x:f>M1202^2</x:f>
        <x:v>2.0031983987010444</x:v>
      </x:c>
      <x:c r="O1202" s="8" t="n">
        <x:f>ABS(M1202)</x:f>
        <x:v>1.4153439153439153</x:v>
      </x:c>
      <x:c r="P1202" s="7" t="n">
        <x:v>45771</x:v>
      </x:c>
    </x:row>
    <x:row r="1203" ht="26" customHeight="1">
      <x:c r="A1203" s="2"/>
      <x:c r="B1203" s="2" t="n">
        <x:v>1198</x:v>
      </x:c>
      <x:c r="C1203" s="2" t="str">
        <x:v>Beauty / organic_volume_growth</x:v>
      </x:c>
      <x:c r="D1203" s="7" t="n">
        <x:v>45747</x:v>
      </x:c>
      <x:c r="E1203" s="2" t="str">
        <x:v>Prior report</x:v>
      </x:c>
      <x:c r="F1203" s="7" t="n">
        <x:v>45679</x:v>
      </x:c>
      <x:c r="G1203" s="2" t="str">
        <x:v>Last actual</x:v>
      </x:c>
      <x:c r="H1203" s="8" t="n">
        <x:f>AVERAGE('PG facts'!E111)</x:f>
        <x:v>0</x:v>
      </x:c>
      <x:c r="I1203" s="8" t="n">
        <x:f>0</x:f>
        <x:v>0</x:v>
      </x:c>
      <x:c r="J1203" s="8" t="n">
        <x:v>0</x:v>
      </x:c>
      <x:c r="K1203" s="8" t="n">
        <x:f>H1203-I1203*J1203</x:f>
        <x:v>0</x:v>
      </x:c>
      <x:c r="L1203" s="8" t="n">
        <x:f>'PG facts'!E118</x:f>
        <x:v>1</x:v>
      </x:c>
      <x:c r="M1203" s="8" t="n">
        <x:f>K1203-L1203</x:f>
        <x:v>-1</x:v>
      </x:c>
      <x:c r="N1203" s="8" t="n">
        <x:f>M1203^2</x:f>
        <x:v>1</x:v>
      </x:c>
      <x:c r="O1203" s="8" t="n">
        <x:f>ABS(M1203)</x:f>
        <x:v>1</x:v>
      </x:c>
      <x:c r="P1203" s="7" t="n">
        <x:v>45771</x:v>
      </x:c>
    </x:row>
    <x:row r="1204" ht="26" customHeight="1">
      <x:c r="A1204" s="2"/>
      <x:c r="B1204" s="2" t="n">
        <x:v>1199</x:v>
      </x:c>
      <x:c r="C1204" s="2" t="str">
        <x:v>Beauty / organic_volume_growth</x:v>
      </x:c>
      <x:c r="D1204" s="7" t="n">
        <x:v>45747</x:v>
      </x:c>
      <x:c r="E1204" s="2" t="str">
        <x:v>Prior report</x:v>
      </x:c>
      <x:c r="F1204" s="7" t="n">
        <x:v>45679</x:v>
      </x:c>
      <x:c r="G1204" s="2" t="str">
        <x:v>Four-quarter mean</x:v>
      </x:c>
      <x:c r="H1204" s="8" t="n">
        <x:f>AVERAGE('PG facts'!E90,'PG facts'!E97,'PG facts'!E104,'PG facts'!E111)</x:f>
        <x:v>0.5</x:v>
      </x:c>
      <x:c r="I1204" s="8" t="n">
        <x:f>0</x:f>
        <x:v>0</x:v>
      </x:c>
      <x:c r="J1204" s="8" t="n">
        <x:v>0</x:v>
      </x:c>
      <x:c r="K1204" s="8" t="n">
        <x:f>H1204-I1204*J1204</x:f>
        <x:v>0.5</x:v>
      </x:c>
      <x:c r="L1204" s="8" t="n">
        <x:f>'PG facts'!E118</x:f>
        <x:v>1</x:v>
      </x:c>
      <x:c r="M1204" s="8" t="n">
        <x:f>K1204-L1204</x:f>
        <x:v>-0.5</x:v>
      </x:c>
      <x:c r="N1204" s="8" t="n">
        <x:f>M1204^2</x:f>
        <x:v>0.25</x:v>
      </x:c>
      <x:c r="O1204" s="8" t="n">
        <x:f>ABS(M1204)</x:f>
        <x:v>0.5</x:v>
      </x:c>
      <x:c r="P1204" s="7" t="n">
        <x:v>45771</x:v>
      </x:c>
    </x:row>
    <x:row r="1205" ht="26" customHeight="1">
      <x:c r="A1205" s="2"/>
      <x:c r="B1205" s="2" t="n">
        <x:v>1200</x:v>
      </x:c>
      <x:c r="C1205" s="2" t="str">
        <x:v>Beauty / organic_volume_growth</x:v>
      </x:c>
      <x:c r="D1205" s="7" t="n">
        <x:v>45747</x:v>
      </x:c>
      <x:c r="E1205" s="2" t="str">
        <x:v>Prior report</x:v>
      </x:c>
      <x:c r="F1205" s="7" t="n">
        <x:v>45679</x:v>
      </x:c>
      <x:c r="G1205" s="2" t="str">
        <x:v>Broad market</x:v>
      </x:c>
      <x:c r="H1205" s="8" t="n">
        <x:f>'Model fits'!AA799</x:f>
        <x:v>-0.39601557849341934</x:v>
      </x:c>
      <x:c r="I1205" s="8" t="n">
        <x:f>0</x:f>
        <x:v>0</x:v>
      </x:c>
      <x:c r="J1205" s="8" t="n">
        <x:v>0</x:v>
      </x:c>
      <x:c r="K1205" s="8" t="n">
        <x:f>H1205-I1205*J1205</x:f>
        <x:v>-0.39601557849341934</x:v>
      </x:c>
      <x:c r="L1205" s="8" t="n">
        <x:f>'PG facts'!E118</x:f>
        <x:v>1</x:v>
      </x:c>
      <x:c r="M1205" s="8" t="n">
        <x:f>K1205-L1205</x:f>
        <x:v>-1.3960155784934194</x:v>
      </x:c>
      <x:c r="N1205" s="8" t="n">
        <x:f>M1205^2</x:f>
        <x:v>1.9488594953963163</x:v>
      </x:c>
      <x:c r="O1205" s="8" t="n">
        <x:f>ABS(M1205)</x:f>
        <x:v>1.3960155784934194</x:v>
      </x:c>
      <x:c r="P1205" s="7" t="n">
        <x:v>45771</x:v>
      </x:c>
    </x:row>
    <x:row r="1206" ht="26" customHeight="1">
      <x:c r="A1206" s="2"/>
      <x:c r="B1206" s="2" t="n">
        <x:v>1201</x:v>
      </x:c>
      <x:c r="C1206" s="2" t="str">
        <x:v>Beauty / organic_volume_growth</x:v>
      </x:c>
      <x:c r="D1206" s="7" t="n">
        <x:v>45747</x:v>
      </x:c>
      <x:c r="E1206" s="2" t="str">
        <x:v>Prior report</x:v>
      </x:c>
      <x:c r="F1206" s="7" t="n">
        <x:v>45679</x:v>
      </x:c>
      <x:c r="G1206" s="2" t="str">
        <x:v>Broad rolling 8</x:v>
      </x:c>
      <x:c r="H1206" s="8" t="n">
        <x:f>'Model fits'!AA800</x:f>
        <x:v>0.6736625448799338</x:v>
      </x:c>
      <x:c r="I1206" s="8" t="n">
        <x:f>0</x:f>
        <x:v>0</x:v>
      </x:c>
      <x:c r="J1206" s="8" t="n">
        <x:v>0</x:v>
      </x:c>
      <x:c r="K1206" s="8" t="n">
        <x:f>H1206-I1206*J1206</x:f>
        <x:v>0.6736625448799338</x:v>
      </x:c>
      <x:c r="L1206" s="8" t="n">
        <x:f>'PG facts'!E118</x:f>
        <x:v>1</x:v>
      </x:c>
      <x:c r="M1206" s="8" t="n">
        <x:f>K1206-L1206</x:f>
        <x:v>-0.3263374551200662</x:v>
      </x:c>
      <x:c r="N1206" s="8" t="n">
        <x:f>M1206^2</x:f>
        <x:v>0.1064961346142412</x:v>
      </x:c>
      <x:c r="O1206" s="8" t="n">
        <x:f>ABS(M1206)</x:f>
        <x:v>0.3263374551200662</x:v>
      </x:c>
      <x:c r="P1206" s="7" t="n">
        <x:v>45771</x:v>
      </x:c>
    </x:row>
    <x:row r="1207" ht="26" customHeight="1">
      <x:c r="A1207" s="2"/>
      <x:c r="B1207" s="2" t="n">
        <x:v>1202</x:v>
      </x:c>
      <x:c r="C1207" s="2" t="str">
        <x:v>Beauty / organic_volume_growth</x:v>
      </x:c>
      <x:c r="D1207" s="7" t="n">
        <x:v>45747</x:v>
      </x:c>
      <x:c r="E1207" s="2" t="str">
        <x:v>Prior report</x:v>
      </x:c>
      <x:c r="F1207" s="7" t="n">
        <x:v>45679</x:v>
      </x:c>
      <x:c r="G1207" s="2" t="str">
        <x:v>Own history</x:v>
      </x:c>
      <x:c r="H1207" s="8" t="n">
        <x:f>'Model fits'!AA801</x:f>
        <x:v>-0.33620689655172414</x:v>
      </x:c>
      <x:c r="I1207" s="8" t="n">
        <x:f>0</x:f>
        <x:v>0</x:v>
      </x:c>
      <x:c r="J1207" s="8" t="n">
        <x:v>0</x:v>
      </x:c>
      <x:c r="K1207" s="8" t="n">
        <x:f>H1207-I1207*J1207</x:f>
        <x:v>-0.33620689655172414</x:v>
      </x:c>
      <x:c r="L1207" s="8" t="n">
        <x:f>'PG facts'!E118</x:f>
        <x:v>1</x:v>
      </x:c>
      <x:c r="M1207" s="8" t="n">
        <x:f>K1207-L1207</x:f>
        <x:v>-1.3362068965517242</x:v>
      </x:c>
      <x:c r="N1207" s="8" t="n">
        <x:f>M1207^2</x:f>
        <x:v>1.78544887039239</x:v>
      </x:c>
      <x:c r="O1207" s="8" t="n">
        <x:f>ABS(M1207)</x:f>
        <x:v>1.3362068965517242</x:v>
      </x:c>
      <x:c r="P1207" s="7" t="n">
        <x:v>45771</x:v>
      </x:c>
    </x:row>
    <x:row r="1208" ht="26" customHeight="1">
      <x:c r="A1208" s="2"/>
      <x:c r="B1208" s="2" t="n">
        <x:v>1203</x:v>
      </x:c>
      <x:c r="C1208" s="2" t="str">
        <x:v>Beauty / organic_volume_growth</x:v>
      </x:c>
      <x:c r="D1208" s="7" t="n">
        <x:v>45747</x:v>
      </x:c>
      <x:c r="E1208" s="2" t="str">
        <x:v>Pre-earnings</x:v>
      </x:c>
      <x:c r="F1208" s="7" t="n">
        <x:v>45770</x:v>
      </x:c>
      <x:c r="G1208" s="2" t="str">
        <x:v>Last actual</x:v>
      </x:c>
      <x:c r="H1208" s="8" t="n">
        <x:f>AVERAGE('PG facts'!E111)</x:f>
        <x:v>0</x:v>
      </x:c>
      <x:c r="I1208" s="8" t="n">
        <x:f>0</x:f>
        <x:v>0</x:v>
      </x:c>
      <x:c r="J1208" s="8" t="n">
        <x:v>0</x:v>
      </x:c>
      <x:c r="K1208" s="8" t="n">
        <x:f>H1208-I1208*J1208</x:f>
        <x:v>0</x:v>
      </x:c>
      <x:c r="L1208" s="8" t="n">
        <x:f>'PG facts'!E118</x:f>
        <x:v>1</x:v>
      </x:c>
      <x:c r="M1208" s="8" t="n">
        <x:f>K1208-L1208</x:f>
        <x:v>-1</x:v>
      </x:c>
      <x:c r="N1208" s="8" t="n">
        <x:f>M1208^2</x:f>
        <x:v>1</x:v>
      </x:c>
      <x:c r="O1208" s="8" t="n">
        <x:f>ABS(M1208)</x:f>
        <x:v>1</x:v>
      </x:c>
      <x:c r="P1208" s="7" t="n">
        <x:v>45771</x:v>
      </x:c>
    </x:row>
    <x:row r="1209" ht="26" customHeight="1">
      <x:c r="A1209" s="2"/>
      <x:c r="B1209" s="2" t="n">
        <x:v>1204</x:v>
      </x:c>
      <x:c r="C1209" s="2" t="str">
        <x:v>Beauty / organic_volume_growth</x:v>
      </x:c>
      <x:c r="D1209" s="7" t="n">
        <x:v>45747</x:v>
      </x:c>
      <x:c r="E1209" s="2" t="str">
        <x:v>Pre-earnings</x:v>
      </x:c>
      <x:c r="F1209" s="7" t="n">
        <x:v>45770</x:v>
      </x:c>
      <x:c r="G1209" s="2" t="str">
        <x:v>Four-quarter mean</x:v>
      </x:c>
      <x:c r="H1209" s="8" t="n">
        <x:f>AVERAGE('PG facts'!E90,'PG facts'!E97,'PG facts'!E104,'PG facts'!E111)</x:f>
        <x:v>0.5</x:v>
      </x:c>
      <x:c r="I1209" s="8" t="n">
        <x:f>0</x:f>
        <x:v>0</x:v>
      </x:c>
      <x:c r="J1209" s="8" t="n">
        <x:v>0</x:v>
      </x:c>
      <x:c r="K1209" s="8" t="n">
        <x:f>H1209-I1209*J1209</x:f>
        <x:v>0.5</x:v>
      </x:c>
      <x:c r="L1209" s="8" t="n">
        <x:f>'PG facts'!E118</x:f>
        <x:v>1</x:v>
      </x:c>
      <x:c r="M1209" s="8" t="n">
        <x:f>K1209-L1209</x:f>
        <x:v>-0.5</x:v>
      </x:c>
      <x:c r="N1209" s="8" t="n">
        <x:f>M1209^2</x:f>
        <x:v>0.25</x:v>
      </x:c>
      <x:c r="O1209" s="8" t="n">
        <x:f>ABS(M1209)</x:f>
        <x:v>0.5</x:v>
      </x:c>
      <x:c r="P1209" s="7" t="n">
        <x:v>45771</x:v>
      </x:c>
    </x:row>
    <x:row r="1210" ht="26" customHeight="1">
      <x:c r="A1210" s="2"/>
      <x:c r="B1210" s="2" t="n">
        <x:v>1205</x:v>
      </x:c>
      <x:c r="C1210" s="2" t="str">
        <x:v>Beauty / organic_volume_growth</x:v>
      </x:c>
      <x:c r="D1210" s="7" t="n">
        <x:v>45747</x:v>
      </x:c>
      <x:c r="E1210" s="2" t="str">
        <x:v>Pre-earnings</x:v>
      </x:c>
      <x:c r="F1210" s="7" t="n">
        <x:v>45770</x:v>
      </x:c>
      <x:c r="G1210" s="2" t="str">
        <x:v>Broad market</x:v>
      </x:c>
      <x:c r="H1210" s="8" t="n">
        <x:f>'Model fits'!AA802</x:f>
        <x:v>-0.3227785155613184</x:v>
      </x:c>
      <x:c r="I1210" s="8" t="n">
        <x:f>0</x:f>
        <x:v>0</x:v>
      </x:c>
      <x:c r="J1210" s="8" t="n">
        <x:v>0</x:v>
      </x:c>
      <x:c r="K1210" s="8" t="n">
        <x:f>H1210-I1210*J1210</x:f>
        <x:v>-0.3227785155613184</x:v>
      </x:c>
      <x:c r="L1210" s="8" t="n">
        <x:f>'PG facts'!E118</x:f>
        <x:v>1</x:v>
      </x:c>
      <x:c r="M1210" s="8" t="n">
        <x:f>K1210-L1210</x:f>
        <x:v>-1.3227785155613185</x:v>
      </x:c>
      <x:c r="N1210" s="8" t="n">
        <x:f>M1210^2</x:f>
        <x:v>1.7497430012306054</x:v>
      </x:c>
      <x:c r="O1210" s="8" t="n">
        <x:f>ABS(M1210)</x:f>
        <x:v>1.3227785155613185</x:v>
      </x:c>
      <x:c r="P1210" s="7" t="n">
        <x:v>45771</x:v>
      </x:c>
    </x:row>
    <x:row r="1211" ht="26" customHeight="1">
      <x:c r="A1211" s="2"/>
      <x:c r="B1211" s="2" t="n">
        <x:v>1206</x:v>
      </x:c>
      <x:c r="C1211" s="2" t="str">
        <x:v>Beauty / organic_volume_growth</x:v>
      </x:c>
      <x:c r="D1211" s="7" t="n">
        <x:v>45747</x:v>
      </x:c>
      <x:c r="E1211" s="2" t="str">
        <x:v>Pre-earnings</x:v>
      </x:c>
      <x:c r="F1211" s="7" t="n">
        <x:v>45770</x:v>
      </x:c>
      <x:c r="G1211" s="2" t="str">
        <x:v>Broad lag 1</x:v>
      </x:c>
      <x:c r="H1211" s="8" t="n">
        <x:f>'Model fits'!AA803</x:f>
        <x:v>-0.4806274648778105</x:v>
      </x:c>
      <x:c r="I1211" s="8" t="n">
        <x:f>0</x:f>
        <x:v>0</x:v>
      </x:c>
      <x:c r="J1211" s="8" t="n">
        <x:v>0</x:v>
      </x:c>
      <x:c r="K1211" s="8" t="n">
        <x:f>H1211-I1211*J1211</x:f>
        <x:v>-0.4806274648778105</x:v>
      </x:c>
      <x:c r="L1211" s="8" t="n">
        <x:f>'PG facts'!E118</x:f>
        <x:v>1</x:v>
      </x:c>
      <x:c r="M1211" s="8" t="n">
        <x:f>K1211-L1211</x:f>
        <x:v>-1.4806274648778106</x:v>
      </x:c>
      <x:c r="N1211" s="8" t="n">
        <x:f>M1211^2</x:f>
        <x:v>2.1922576897504924</x:v>
      </x:c>
      <x:c r="O1211" s="8" t="n">
        <x:f>ABS(M1211)</x:f>
        <x:v>1.4806274648778106</x:v>
      </x:c>
      <x:c r="P1211" s="7" t="n">
        <x:v>45771</x:v>
      </x:c>
    </x:row>
    <x:row r="1212" ht="26" customHeight="1">
      <x:c r="A1212" s="2"/>
      <x:c r="B1212" s="2" t="n">
        <x:v>1207</x:v>
      </x:c>
      <x:c r="C1212" s="2" t="str">
        <x:v>Beauty / organic_volume_growth</x:v>
      </x:c>
      <x:c r="D1212" s="7" t="n">
        <x:v>45747</x:v>
      </x:c>
      <x:c r="E1212" s="2" t="str">
        <x:v>Pre-earnings</x:v>
      </x:c>
      <x:c r="F1212" s="7" t="n">
        <x:v>45770</x:v>
      </x:c>
      <x:c r="G1212" s="2" t="str">
        <x:v>Broad rolling 8</x:v>
      </x:c>
      <x:c r="H1212" s="8" t="n">
        <x:f>'Model fits'!AA804</x:f>
        <x:v>0.1849035744564646</x:v>
      </x:c>
      <x:c r="I1212" s="8" t="n">
        <x:f>0</x:f>
        <x:v>0</x:v>
      </x:c>
      <x:c r="J1212" s="8" t="n">
        <x:v>0</x:v>
      </x:c>
      <x:c r="K1212" s="8" t="n">
        <x:f>H1212-I1212*J1212</x:f>
        <x:v>0.1849035744564646</x:v>
      </x:c>
      <x:c r="L1212" s="8" t="n">
        <x:f>'PG facts'!E118</x:f>
        <x:v>1</x:v>
      </x:c>
      <x:c r="M1212" s="8" t="n">
        <x:f>K1212-L1212</x:f>
        <x:v>-0.8150964255435353</x:v>
      </x:c>
      <x:c r="N1212" s="8" t="n">
        <x:f>M1212^2</x:f>
        <x:v>0.6643821829338481</x:v>
      </x:c>
      <x:c r="O1212" s="8" t="n">
        <x:f>ABS(M1212)</x:f>
        <x:v>0.8150964255435353</x:v>
      </x:c>
      <x:c r="P1212" s="7" t="n">
        <x:v>45771</x:v>
      </x:c>
    </x:row>
    <x:row r="1213" ht="26" customHeight="1">
      <x:c r="A1213" s="2"/>
      <x:c r="B1213" s="2" t="n">
        <x:v>1208</x:v>
      </x:c>
      <x:c r="C1213" s="2" t="str">
        <x:v>Beauty / organic_volume_growth</x:v>
      </x:c>
      <x:c r="D1213" s="7" t="n">
        <x:v>45747</x:v>
      </x:c>
      <x:c r="E1213" s="2" t="str">
        <x:v>Pre-earnings</x:v>
      </x:c>
      <x:c r="F1213" s="7" t="n">
        <x:v>45770</x:v>
      </x:c>
      <x:c r="G1213" s="2" t="str">
        <x:v>Own history</x:v>
      </x:c>
      <x:c r="H1213" s="8" t="n">
        <x:f>'Model fits'!AA805</x:f>
        <x:v>-0.33620689655172414</x:v>
      </x:c>
      <x:c r="I1213" s="8" t="n">
        <x:f>0</x:f>
        <x:v>0</x:v>
      </x:c>
      <x:c r="J1213" s="8" t="n">
        <x:v>0</x:v>
      </x:c>
      <x:c r="K1213" s="8" t="n">
        <x:f>H1213-I1213*J1213</x:f>
        <x:v>-0.33620689655172414</x:v>
      </x:c>
      <x:c r="L1213" s="8" t="n">
        <x:f>'PG facts'!E118</x:f>
        <x:v>1</x:v>
      </x:c>
      <x:c r="M1213" s="8" t="n">
        <x:f>K1213-L1213</x:f>
        <x:v>-1.3362068965517242</x:v>
      </x:c>
      <x:c r="N1213" s="8" t="n">
        <x:f>M1213^2</x:f>
        <x:v>1.78544887039239</x:v>
      </x:c>
      <x:c r="O1213" s="8" t="n">
        <x:f>ABS(M1213)</x:f>
        <x:v>1.3362068965517242</x:v>
      </x:c>
      <x:c r="P1213" s="7" t="n">
        <x:v>45771</x:v>
      </x:c>
    </x:row>
    <x:row r="1214" ht="26" customHeight="1">
      <x:c r="A1214" s="2"/>
      <x:c r="B1214" s="2" t="n">
        <x:v>1209</x:v>
      </x:c>
      <x:c r="C1214" s="2" t="str">
        <x:v>Beauty / organic_volume_growth</x:v>
      </x:c>
      <x:c r="D1214" s="7" t="n">
        <x:v>45838</x:v>
      </x:c>
      <x:c r="E1214" s="2" t="str">
        <x:v>Origin</x:v>
      </x:c>
      <x:c r="F1214" s="7" t="n">
        <x:v>45748</x:v>
      </x:c>
      <x:c r="G1214" s="2" t="str">
        <x:v>Last actual</x:v>
      </x:c>
      <x:c r="H1214" s="8" t="n">
        <x:f>AVERAGE('PG facts'!E111)</x:f>
        <x:v>0</x:v>
      </x:c>
      <x:c r="I1214" s="8" t="n">
        <x:f>0</x:f>
        <x:v>0</x:v>
      </x:c>
      <x:c r="J1214" s="8" t="n">
        <x:v>0</x:v>
      </x:c>
      <x:c r="K1214" s="8" t="n">
        <x:f>H1214-I1214*J1214</x:f>
        <x:v>0</x:v>
      </x:c>
      <x:c r="L1214" s="8" t="n">
        <x:f>'PG facts'!E125</x:f>
        <x:v>1</x:v>
      </x:c>
      <x:c r="M1214" s="8" t="n">
        <x:f>K1214-L1214</x:f>
        <x:v>-1</x:v>
      </x:c>
      <x:c r="N1214" s="8" t="n">
        <x:f>M1214^2</x:f>
        <x:v>1</x:v>
      </x:c>
      <x:c r="O1214" s="8" t="n">
        <x:f>ABS(M1214)</x:f>
        <x:v>1</x:v>
      </x:c>
      <x:c r="P1214" s="7" t="n">
        <x:v>45867</x:v>
      </x:c>
    </x:row>
    <x:row r="1215" ht="26" customHeight="1">
      <x:c r="A1215" s="2"/>
      <x:c r="B1215" s="2" t="n">
        <x:v>1210</x:v>
      </x:c>
      <x:c r="C1215" s="2" t="str">
        <x:v>Beauty / organic_volume_growth</x:v>
      </x:c>
      <x:c r="D1215" s="7" t="n">
        <x:v>45838</x:v>
      </x:c>
      <x:c r="E1215" s="2" t="str">
        <x:v>Origin</x:v>
      </x:c>
      <x:c r="F1215" s="7" t="n">
        <x:v>45748</x:v>
      </x:c>
      <x:c r="G1215" s="2" t="str">
        <x:v>Four-quarter mean</x:v>
      </x:c>
      <x:c r="H1215" s="8" t="n">
        <x:f>AVERAGE('PG facts'!E90,'PG facts'!E97,'PG facts'!E104,'PG facts'!E111)</x:f>
        <x:v>0.5</x:v>
      </x:c>
      <x:c r="I1215" s="8" t="n">
        <x:f>0</x:f>
        <x:v>0</x:v>
      </x:c>
      <x:c r="J1215" s="8" t="n">
        <x:v>0</x:v>
      </x:c>
      <x:c r="K1215" s="8" t="n">
        <x:f>H1215-I1215*J1215</x:f>
        <x:v>0.5</x:v>
      </x:c>
      <x:c r="L1215" s="8" t="n">
        <x:f>'PG facts'!E125</x:f>
        <x:v>1</x:v>
      </x:c>
      <x:c r="M1215" s="8" t="n">
        <x:f>K1215-L1215</x:f>
        <x:v>-0.5</x:v>
      </x:c>
      <x:c r="N1215" s="8" t="n">
        <x:f>M1215^2</x:f>
        <x:v>0.25</x:v>
      </x:c>
      <x:c r="O1215" s="8" t="n">
        <x:f>ABS(M1215)</x:f>
        <x:v>0.5</x:v>
      </x:c>
      <x:c r="P1215" s="7" t="n">
        <x:v>45867</x:v>
      </x:c>
    </x:row>
    <x:row r="1216" ht="26" customHeight="1">
      <x:c r="A1216" s="2"/>
      <x:c r="B1216" s="2" t="n">
        <x:v>1211</x:v>
      </x:c>
      <x:c r="C1216" s="2" t="str">
        <x:v>Beauty / organic_volume_growth</x:v>
      </x:c>
      <x:c r="D1216" s="7" t="n">
        <x:v>45838</x:v>
      </x:c>
      <x:c r="E1216" s="2" t="str">
        <x:v>Origin</x:v>
      </x:c>
      <x:c r="F1216" s="7" t="n">
        <x:v>45748</x:v>
      </x:c>
      <x:c r="G1216" s="2" t="str">
        <x:v>Broad market</x:v>
      </x:c>
      <x:c r="H1216" s="8" t="n">
        <x:f>'Model fits'!AA806</x:f>
        <x:v>-0.3439912970133173</x:v>
      </x:c>
      <x:c r="I1216" s="8" t="n">
        <x:f>0</x:f>
        <x:v>0</x:v>
      </x:c>
      <x:c r="J1216" s="8" t="n">
        <x:v>0</x:v>
      </x:c>
      <x:c r="K1216" s="8" t="n">
        <x:f>H1216-I1216*J1216</x:f>
        <x:v>-0.3439912970133173</x:v>
      </x:c>
      <x:c r="L1216" s="8" t="n">
        <x:f>'PG facts'!E125</x:f>
        <x:v>1</x:v>
      </x:c>
      <x:c r="M1216" s="8" t="n">
        <x:f>K1216-L1216</x:f>
        <x:v>-1.3439912970133174</x:v>
      </x:c>
      <x:c r="N1216" s="8" t="n">
        <x:f>M1216^2</x:f>
        <x:v>1.8063126064475392</x:v>
      </x:c>
      <x:c r="O1216" s="8" t="n">
        <x:f>ABS(M1216)</x:f>
        <x:v>1.3439912970133174</x:v>
      </x:c>
      <x:c r="P1216" s="7" t="n">
        <x:v>45867</x:v>
      </x:c>
    </x:row>
    <x:row r="1217" ht="26" customHeight="1">
      <x:c r="A1217" s="2"/>
      <x:c r="B1217" s="2" t="n">
        <x:v>1212</x:v>
      </x:c>
      <x:c r="C1217" s="2" t="str">
        <x:v>Beauty / organic_volume_growth</x:v>
      </x:c>
      <x:c r="D1217" s="7" t="n">
        <x:v>45838</x:v>
      </x:c>
      <x:c r="E1217" s="2" t="str">
        <x:v>Origin</x:v>
      </x:c>
      <x:c r="F1217" s="7" t="n">
        <x:v>45748</x:v>
      </x:c>
      <x:c r="G1217" s="2" t="str">
        <x:v>Broad rolling 8</x:v>
      </x:c>
      <x:c r="H1217" s="8" t="n">
        <x:f>'Model fits'!AA807</x:f>
        <x:v>0.16919326967834342</x:v>
      </x:c>
      <x:c r="I1217" s="8" t="n">
        <x:f>0</x:f>
        <x:v>0</x:v>
      </x:c>
      <x:c r="J1217" s="8" t="n">
        <x:v>0</x:v>
      </x:c>
      <x:c r="K1217" s="8" t="n">
        <x:f>H1217-I1217*J1217</x:f>
        <x:v>0.16919326967834342</x:v>
      </x:c>
      <x:c r="L1217" s="8" t="n">
        <x:f>'PG facts'!E125</x:f>
        <x:v>1</x:v>
      </x:c>
      <x:c r="M1217" s="8" t="n">
        <x:f>K1217-L1217</x:f>
        <x:v>-0.8308067303216566</x:v>
      </x:c>
      <x:c r="N1217" s="8" t="n">
        <x:f>M1217^2</x:f>
        <x:v>0.6902398231477619</x:v>
      </x:c>
      <x:c r="O1217" s="8" t="n">
        <x:f>ABS(M1217)</x:f>
        <x:v>0.8308067303216566</x:v>
      </x:c>
      <x:c r="P1217" s="7" t="n">
        <x:v>45867</x:v>
      </x:c>
    </x:row>
    <x:row r="1218" ht="26" customHeight="1">
      <x:c r="A1218" s="2"/>
      <x:c r="B1218" s="2" t="n">
        <x:v>1213</x:v>
      </x:c>
      <x:c r="C1218" s="2" t="str">
        <x:v>Beauty / organic_volume_growth</x:v>
      </x:c>
      <x:c r="D1218" s="7" t="n">
        <x:v>45838</x:v>
      </x:c>
      <x:c r="E1218" s="2" t="str">
        <x:v>Origin</x:v>
      </x:c>
      <x:c r="F1218" s="7" t="n">
        <x:v>45748</x:v>
      </x:c>
      <x:c r="G1218" s="2" t="str">
        <x:v>Own history</x:v>
      </x:c>
      <x:c r="H1218" s="8" t="n">
        <x:f>'Model fits'!AA808</x:f>
        <x:v>-0.40740740740740744</x:v>
      </x:c>
      <x:c r="I1218" s="8" t="n">
        <x:f>0</x:f>
        <x:v>0</x:v>
      </x:c>
      <x:c r="J1218" s="8" t="n">
        <x:v>0</x:v>
      </x:c>
      <x:c r="K1218" s="8" t="n">
        <x:f>H1218-I1218*J1218</x:f>
        <x:v>-0.40740740740740744</x:v>
      </x:c>
      <x:c r="L1218" s="8" t="n">
        <x:f>'PG facts'!E125</x:f>
        <x:v>1</x:v>
      </x:c>
      <x:c r="M1218" s="8" t="n">
        <x:f>K1218-L1218</x:f>
        <x:v>-1.4074074074074074</x:v>
      </x:c>
      <x:c r="N1218" s="8" t="n">
        <x:f>M1218^2</x:f>
        <x:v>1.9807956104252402</x:v>
      </x:c>
      <x:c r="O1218" s="8" t="n">
        <x:f>ABS(M1218)</x:f>
        <x:v>1.4074074074074074</x:v>
      </x:c>
      <x:c r="P1218" s="7" t="n">
        <x:v>45867</x:v>
      </x:c>
    </x:row>
    <x:row r="1219" ht="26" customHeight="1">
      <x:c r="A1219" s="2"/>
      <x:c r="B1219" s="2" t="n">
        <x:v>1214</x:v>
      </x:c>
      <x:c r="C1219" s="2" t="str">
        <x:v>Beauty / organic_volume_growth</x:v>
      </x:c>
      <x:c r="D1219" s="7" t="n">
        <x:v>45838</x:v>
      </x:c>
      <x:c r="E1219" s="2" t="str">
        <x:v>Prior report</x:v>
      </x:c>
      <x:c r="F1219" s="7" t="n">
        <x:v>45771</x:v>
      </x:c>
      <x:c r="G1219" s="2" t="str">
        <x:v>Last actual</x:v>
      </x:c>
      <x:c r="H1219" s="8" t="n">
        <x:f>AVERAGE('PG facts'!E118)</x:f>
        <x:v>1</x:v>
      </x:c>
      <x:c r="I1219" s="8" t="n">
        <x:f>0</x:f>
        <x:v>0</x:v>
      </x:c>
      <x:c r="J1219" s="8" t="n">
        <x:v>0</x:v>
      </x:c>
      <x:c r="K1219" s="8" t="n">
        <x:f>H1219-I1219*J1219</x:f>
        <x:v>1</x:v>
      </x:c>
      <x:c r="L1219" s="8" t="n">
        <x:f>'PG facts'!E125</x:f>
        <x:v>1</x:v>
      </x:c>
      <x:c r="M1219" s="8" t="n">
        <x:f>K1219-L1219</x:f>
        <x:v>0</x:v>
      </x:c>
      <x:c r="N1219" s="8" t="n">
        <x:f>M1219^2</x:f>
        <x:v>0</x:v>
      </x:c>
      <x:c r="O1219" s="8" t="n">
        <x:f>ABS(M1219)</x:f>
        <x:v>0</x:v>
      </x:c>
      <x:c r="P1219" s="7" t="n">
        <x:v>45867</x:v>
      </x:c>
    </x:row>
    <x:row r="1220" ht="26" customHeight="1">
      <x:c r="A1220" s="2"/>
      <x:c r="B1220" s="2" t="n">
        <x:v>1215</x:v>
      </x:c>
      <x:c r="C1220" s="2" t="str">
        <x:v>Beauty / organic_volume_growth</x:v>
      </x:c>
      <x:c r="D1220" s="7" t="n">
        <x:v>45838</x:v>
      </x:c>
      <x:c r="E1220" s="2" t="str">
        <x:v>Prior report</x:v>
      </x:c>
      <x:c r="F1220" s="7" t="n">
        <x:v>45771</x:v>
      </x:c>
      <x:c r="G1220" s="2" t="str">
        <x:v>Four-quarter mean</x:v>
      </x:c>
      <x:c r="H1220" s="8" t="n">
        <x:f>AVERAGE('PG facts'!E97,'PG facts'!E104,'PG facts'!E111,'PG facts'!E118)</x:f>
        <x:v>0.5</x:v>
      </x:c>
      <x:c r="I1220" s="8" t="n">
        <x:f>0</x:f>
        <x:v>0</x:v>
      </x:c>
      <x:c r="J1220" s="8" t="n">
        <x:v>0</x:v>
      </x:c>
      <x:c r="K1220" s="8" t="n">
        <x:f>H1220-I1220*J1220</x:f>
        <x:v>0.5</x:v>
      </x:c>
      <x:c r="L1220" s="8" t="n">
        <x:f>'PG facts'!E125</x:f>
        <x:v>1</x:v>
      </x:c>
      <x:c r="M1220" s="8" t="n">
        <x:f>K1220-L1220</x:f>
        <x:v>-0.5</x:v>
      </x:c>
      <x:c r="N1220" s="8" t="n">
        <x:f>M1220^2</x:f>
        <x:v>0.25</x:v>
      </x:c>
      <x:c r="O1220" s="8" t="n">
        <x:f>ABS(M1220)</x:f>
        <x:v>0.5</x:v>
      </x:c>
      <x:c r="P1220" s="7" t="n">
        <x:v>45867</x:v>
      </x:c>
    </x:row>
    <x:row r="1221" ht="26" customHeight="1">
      <x:c r="A1221" s="2"/>
      <x:c r="B1221" s="2" t="n">
        <x:v>1216</x:v>
      </x:c>
      <x:c r="C1221" s="2" t="str">
        <x:v>Beauty / organic_volume_growth</x:v>
      </x:c>
      <x:c r="D1221" s="7" t="n">
        <x:v>45838</x:v>
      </x:c>
      <x:c r="E1221" s="2" t="str">
        <x:v>Prior report</x:v>
      </x:c>
      <x:c r="F1221" s="7" t="n">
        <x:v>45771</x:v>
      </x:c>
      <x:c r="G1221" s="2" t="str">
        <x:v>Broad market</x:v>
      </x:c>
      <x:c r="H1221" s="8" t="n">
        <x:f>'Model fits'!AA809</x:f>
        <x:v>-0.3439912970133173</x:v>
      </x:c>
      <x:c r="I1221" s="8" t="n">
        <x:f>0</x:f>
        <x:v>0</x:v>
      </x:c>
      <x:c r="J1221" s="8" t="n">
        <x:v>0</x:v>
      </x:c>
      <x:c r="K1221" s="8" t="n">
        <x:f>H1221-I1221*J1221</x:f>
        <x:v>-0.3439912970133173</x:v>
      </x:c>
      <x:c r="L1221" s="8" t="n">
        <x:f>'PG facts'!E125</x:f>
        <x:v>1</x:v>
      </x:c>
      <x:c r="M1221" s="8" t="n">
        <x:f>K1221-L1221</x:f>
        <x:v>-1.3439912970133174</x:v>
      </x:c>
      <x:c r="N1221" s="8" t="n">
        <x:f>M1221^2</x:f>
        <x:v>1.8063126064475392</x:v>
      </x:c>
      <x:c r="O1221" s="8" t="n">
        <x:f>ABS(M1221)</x:f>
        <x:v>1.3439912970133174</x:v>
      </x:c>
      <x:c r="P1221" s="7" t="n">
        <x:v>45867</x:v>
      </x:c>
    </x:row>
    <x:row r="1222" ht="26" customHeight="1">
      <x:c r="A1222" s="2"/>
      <x:c r="B1222" s="2" t="n">
        <x:v>1217</x:v>
      </x:c>
      <x:c r="C1222" s="2" t="str">
        <x:v>Beauty / organic_volume_growth</x:v>
      </x:c>
      <x:c r="D1222" s="7" t="n">
        <x:v>45838</x:v>
      </x:c>
      <x:c r="E1222" s="2" t="str">
        <x:v>Prior report</x:v>
      </x:c>
      <x:c r="F1222" s="7" t="n">
        <x:v>45771</x:v>
      </x:c>
      <x:c r="G1222" s="2" t="str">
        <x:v>Broad rolling 8</x:v>
      </x:c>
      <x:c r="H1222" s="8" t="n">
        <x:f>'Model fits'!AA810</x:f>
        <x:v>0.16919326967834342</x:v>
      </x:c>
      <x:c r="I1222" s="8" t="n">
        <x:f>0</x:f>
        <x:v>0</x:v>
      </x:c>
      <x:c r="J1222" s="8" t="n">
        <x:v>0</x:v>
      </x:c>
      <x:c r="K1222" s="8" t="n">
        <x:f>H1222-I1222*J1222</x:f>
        <x:v>0.16919326967834342</x:v>
      </x:c>
      <x:c r="L1222" s="8" t="n">
        <x:f>'PG facts'!E125</x:f>
        <x:v>1</x:v>
      </x:c>
      <x:c r="M1222" s="8" t="n">
        <x:f>K1222-L1222</x:f>
        <x:v>-0.8308067303216566</x:v>
      </x:c>
      <x:c r="N1222" s="8" t="n">
        <x:f>M1222^2</x:f>
        <x:v>0.6902398231477619</x:v>
      </x:c>
      <x:c r="O1222" s="8" t="n">
        <x:f>ABS(M1222)</x:f>
        <x:v>0.8308067303216566</x:v>
      </x:c>
      <x:c r="P1222" s="7" t="n">
        <x:v>45867</x:v>
      </x:c>
    </x:row>
    <x:row r="1223" ht="26" customHeight="1">
      <x:c r="A1223" s="2"/>
      <x:c r="B1223" s="2" t="n">
        <x:v>1218</x:v>
      </x:c>
      <x:c r="C1223" s="2" t="str">
        <x:v>Beauty / organic_volume_growth</x:v>
      </x:c>
      <x:c r="D1223" s="7" t="n">
        <x:v>45838</x:v>
      </x:c>
      <x:c r="E1223" s="2" t="str">
        <x:v>Prior report</x:v>
      </x:c>
      <x:c r="F1223" s="7" t="n">
        <x:v>45771</x:v>
      </x:c>
      <x:c r="G1223" s="2" t="str">
        <x:v>Own history</x:v>
      </x:c>
      <x:c r="H1223" s="8" t="n">
        <x:f>'Model fits'!AA811</x:f>
        <x:v>0</x:v>
      </x:c>
      <x:c r="I1223" s="8" t="n">
        <x:f>0</x:f>
        <x:v>0</x:v>
      </x:c>
      <x:c r="J1223" s="8" t="n">
        <x:v>0</x:v>
      </x:c>
      <x:c r="K1223" s="8" t="n">
        <x:f>H1223-I1223*J1223</x:f>
        <x:v>0</x:v>
      </x:c>
      <x:c r="L1223" s="8" t="n">
        <x:f>'PG facts'!E125</x:f>
        <x:v>1</x:v>
      </x:c>
      <x:c r="M1223" s="8" t="n">
        <x:f>K1223-L1223</x:f>
        <x:v>-1</x:v>
      </x:c>
      <x:c r="N1223" s="8" t="n">
        <x:f>M1223^2</x:f>
        <x:v>1</x:v>
      </x:c>
      <x:c r="O1223" s="8" t="n">
        <x:f>ABS(M1223)</x:f>
        <x:v>1</x:v>
      </x:c>
      <x:c r="P1223" s="7" t="n">
        <x:v>45867</x:v>
      </x:c>
    </x:row>
    <x:row r="1224" ht="26" customHeight="1">
      <x:c r="A1224" s="2"/>
      <x:c r="B1224" s="2" t="n">
        <x:v>1219</x:v>
      </x:c>
      <x:c r="C1224" s="2" t="str">
        <x:v>Beauty / organic_volume_growth</x:v>
      </x:c>
      <x:c r="D1224" s="7" t="n">
        <x:v>45838</x:v>
      </x:c>
      <x:c r="E1224" s="2" t="str">
        <x:v>Pre-earnings</x:v>
      </x:c>
      <x:c r="F1224" s="7" t="n">
        <x:v>45866</x:v>
      </x:c>
      <x:c r="G1224" s="2" t="str">
        <x:v>Last actual</x:v>
      </x:c>
      <x:c r="H1224" s="8" t="n">
        <x:f>AVERAGE('PG facts'!E118)</x:f>
        <x:v>1</x:v>
      </x:c>
      <x:c r="I1224" s="8" t="n">
        <x:f>0</x:f>
        <x:v>0</x:v>
      </x:c>
      <x:c r="J1224" s="8" t="n">
        <x:v>0</x:v>
      </x:c>
      <x:c r="K1224" s="8" t="n">
        <x:f>H1224-I1224*J1224</x:f>
        <x:v>1</x:v>
      </x:c>
      <x:c r="L1224" s="8" t="n">
        <x:f>'PG facts'!E125</x:f>
        <x:v>1</x:v>
      </x:c>
      <x:c r="M1224" s="8" t="n">
        <x:f>K1224-L1224</x:f>
        <x:v>0</x:v>
      </x:c>
      <x:c r="N1224" s="8" t="n">
        <x:f>M1224^2</x:f>
        <x:v>0</x:v>
      </x:c>
      <x:c r="O1224" s="8" t="n">
        <x:f>ABS(M1224)</x:f>
        <x:v>0</x:v>
      </x:c>
      <x:c r="P1224" s="7" t="n">
        <x:v>45867</x:v>
      </x:c>
    </x:row>
    <x:row r="1225" ht="26" customHeight="1">
      <x:c r="A1225" s="2"/>
      <x:c r="B1225" s="2" t="n">
        <x:v>1220</x:v>
      </x:c>
      <x:c r="C1225" s="2" t="str">
        <x:v>Beauty / organic_volume_growth</x:v>
      </x:c>
      <x:c r="D1225" s="7" t="n">
        <x:v>45838</x:v>
      </x:c>
      <x:c r="E1225" s="2" t="str">
        <x:v>Pre-earnings</x:v>
      </x:c>
      <x:c r="F1225" s="7" t="n">
        <x:v>45866</x:v>
      </x:c>
      <x:c r="G1225" s="2" t="str">
        <x:v>Four-quarter mean</x:v>
      </x:c>
      <x:c r="H1225" s="8" t="n">
        <x:f>AVERAGE('PG facts'!E97,'PG facts'!E104,'PG facts'!E111,'PG facts'!E118)</x:f>
        <x:v>0.5</x:v>
      </x:c>
      <x:c r="I1225" s="8" t="n">
        <x:f>0</x:f>
        <x:v>0</x:v>
      </x:c>
      <x:c r="J1225" s="8" t="n">
        <x:v>0</x:v>
      </x:c>
      <x:c r="K1225" s="8" t="n">
        <x:f>H1225-I1225*J1225</x:f>
        <x:v>0.5</x:v>
      </x:c>
      <x:c r="L1225" s="8" t="n">
        <x:f>'PG facts'!E125</x:f>
        <x:v>1</x:v>
      </x:c>
      <x:c r="M1225" s="8" t="n">
        <x:f>K1225-L1225</x:f>
        <x:v>-0.5</x:v>
      </x:c>
      <x:c r="N1225" s="8" t="n">
        <x:f>M1225^2</x:f>
        <x:v>0.25</x:v>
      </x:c>
      <x:c r="O1225" s="8" t="n">
        <x:f>ABS(M1225)</x:f>
        <x:v>0.5</x:v>
      </x:c>
      <x:c r="P1225" s="7" t="n">
        <x:v>45867</x:v>
      </x:c>
    </x:row>
    <x:row r="1226" ht="26" customHeight="1">
      <x:c r="A1226" s="2"/>
      <x:c r="B1226" s="2" t="n">
        <x:v>1221</x:v>
      </x:c>
      <x:c r="C1226" s="2" t="str">
        <x:v>Beauty / organic_volume_growth</x:v>
      </x:c>
      <x:c r="D1226" s="7" t="n">
        <x:v>45838</x:v>
      </x:c>
      <x:c r="E1226" s="2" t="str">
        <x:v>Pre-earnings</x:v>
      </x:c>
      <x:c r="F1226" s="7" t="n">
        <x:v>45866</x:v>
      </x:c>
      <x:c r="G1226" s="2" t="str">
        <x:v>Broad market</x:v>
      </x:c>
      <x:c r="H1226" s="8" t="n">
        <x:f>'Model fits'!AA812</x:f>
        <x:v>-0.18017662978155613</x:v>
      </x:c>
      <x:c r="I1226" s="8" t="n">
        <x:f>0</x:f>
        <x:v>0</x:v>
      </x:c>
      <x:c r="J1226" s="8" t="n">
        <x:v>0</x:v>
      </x:c>
      <x:c r="K1226" s="8" t="n">
        <x:f>H1226-I1226*J1226</x:f>
        <x:v>-0.18017662978155613</x:v>
      </x:c>
      <x:c r="L1226" s="8" t="n">
        <x:f>'PG facts'!E125</x:f>
        <x:v>1</x:v>
      </x:c>
      <x:c r="M1226" s="8" t="n">
        <x:f>K1226-L1226</x:f>
        <x:v>-1.1801766297815561</x:v>
      </x:c>
      <x:c r="N1226" s="8" t="n">
        <x:f>M1226^2</x:f>
        <x:v>1.3928168774825522</x:v>
      </x:c>
      <x:c r="O1226" s="8" t="n">
        <x:f>ABS(M1226)</x:f>
        <x:v>1.1801766297815561</x:v>
      </x:c>
      <x:c r="P1226" s="7" t="n">
        <x:v>45867</x:v>
      </x:c>
    </x:row>
    <x:row r="1227" ht="26" customHeight="1">
      <x:c r="A1227" s="2"/>
      <x:c r="B1227" s="2" t="n">
        <x:v>1222</x:v>
      </x:c>
      <x:c r="C1227" s="2" t="str">
        <x:v>Beauty / organic_volume_growth</x:v>
      </x:c>
      <x:c r="D1227" s="7" t="n">
        <x:v>45838</x:v>
      </x:c>
      <x:c r="E1227" s="2" t="str">
        <x:v>Pre-earnings</x:v>
      </x:c>
      <x:c r="F1227" s="7" t="n">
        <x:v>45866</x:v>
      </x:c>
      <x:c r="G1227" s="2" t="str">
        <x:v>Broad lag 1</x:v>
      </x:c>
      <x:c r="H1227" s="8" t="n">
        <x:f>'Model fits'!AA813</x:f>
        <x:v>-0.31270323507570696</x:v>
      </x:c>
      <x:c r="I1227" s="8" t="n">
        <x:f>0</x:f>
        <x:v>0</x:v>
      </x:c>
      <x:c r="J1227" s="8" t="n">
        <x:v>0</x:v>
      </x:c>
      <x:c r="K1227" s="8" t="n">
        <x:f>H1227-I1227*J1227</x:f>
        <x:v>-0.31270323507570696</x:v>
      </x:c>
      <x:c r="L1227" s="8" t="n">
        <x:f>'PG facts'!E125</x:f>
        <x:v>1</x:v>
      </x:c>
      <x:c r="M1227" s="8" t="n">
        <x:f>K1227-L1227</x:f>
        <x:v>-1.3127032350757069</x:v>
      </x:c>
      <x:c r="N1227" s="8" t="n">
        <x:f>M1227^2</x:f>
        <x:v>1.7231897833782266</x:v>
      </x:c>
      <x:c r="O1227" s="8" t="n">
        <x:f>ABS(M1227)</x:f>
        <x:v>1.3127032350757069</x:v>
      </x:c>
      <x:c r="P1227" s="7" t="n">
        <x:v>45867</x:v>
      </x:c>
    </x:row>
    <x:row r="1228" ht="26" customHeight="1">
      <x:c r="A1228" s="2"/>
      <x:c r="B1228" s="2" t="n">
        <x:v>1223</x:v>
      </x:c>
      <x:c r="C1228" s="2" t="str">
        <x:v>Beauty / organic_volume_growth</x:v>
      </x:c>
      <x:c r="D1228" s="7" t="n">
        <x:v>45838</x:v>
      </x:c>
      <x:c r="E1228" s="2" t="str">
        <x:v>Pre-earnings</x:v>
      </x:c>
      <x:c r="F1228" s="7" t="n">
        <x:v>45866</x:v>
      </x:c>
      <x:c r="G1228" s="2" t="str">
        <x:v>Broad rolling 8</x:v>
      </x:c>
      <x:c r="H1228" s="8" t="n">
        <x:f>'Model fits'!AA814</x:f>
        <x:v>0.5771423449835529</x:v>
      </x:c>
      <x:c r="I1228" s="8" t="n">
        <x:f>0</x:f>
        <x:v>0</x:v>
      </x:c>
      <x:c r="J1228" s="8" t="n">
        <x:v>0</x:v>
      </x:c>
      <x:c r="K1228" s="8" t="n">
        <x:f>H1228-I1228*J1228</x:f>
        <x:v>0.5771423449835529</x:v>
      </x:c>
      <x:c r="L1228" s="8" t="n">
        <x:f>'PG facts'!E125</x:f>
        <x:v>1</x:v>
      </x:c>
      <x:c r="M1228" s="8" t="n">
        <x:f>K1228-L1228</x:f>
        <x:v>-0.4228576550164471</x:v>
      </x:c>
      <x:c r="N1228" s="8" t="n">
        <x:f>M1228^2</x:f>
        <x:v>0.1788085964060086</x:v>
      </x:c>
      <x:c r="O1228" s="8" t="n">
        <x:f>ABS(M1228)</x:f>
        <x:v>0.4228576550164471</x:v>
      </x:c>
      <x:c r="P1228" s="7" t="n">
        <x:v>45867</x:v>
      </x:c>
    </x:row>
    <x:row r="1229" ht="26" customHeight="1">
      <x:c r="A1229" s="2"/>
      <x:c r="B1229" s="2" t="n">
        <x:v>1224</x:v>
      </x:c>
      <x:c r="C1229" s="2" t="str">
        <x:v>Beauty / organic_volume_growth</x:v>
      </x:c>
      <x:c r="D1229" s="7" t="n">
        <x:v>45838</x:v>
      </x:c>
      <x:c r="E1229" s="2" t="str">
        <x:v>Pre-earnings</x:v>
      </x:c>
      <x:c r="F1229" s="7" t="n">
        <x:v>45866</x:v>
      </x:c>
      <x:c r="G1229" s="2" t="str">
        <x:v>Own history</x:v>
      </x:c>
      <x:c r="H1229" s="8" t="n">
        <x:f>'Model fits'!AA815</x:f>
        <x:v>0</x:v>
      </x:c>
      <x:c r="I1229" s="8" t="n">
        <x:f>0</x:f>
        <x:v>0</x:v>
      </x:c>
      <x:c r="J1229" s="8" t="n">
        <x:v>0</x:v>
      </x:c>
      <x:c r="K1229" s="8" t="n">
        <x:f>H1229-I1229*J1229</x:f>
        <x:v>0</x:v>
      </x:c>
      <x:c r="L1229" s="8" t="n">
        <x:f>'PG facts'!E125</x:f>
        <x:v>1</x:v>
      </x:c>
      <x:c r="M1229" s="8" t="n">
        <x:f>K1229-L1229</x:f>
        <x:v>-1</x:v>
      </x:c>
      <x:c r="N1229" s="8" t="n">
        <x:f>M1229^2</x:f>
        <x:v>1</x:v>
      </x:c>
      <x:c r="O1229" s="8" t="n">
        <x:f>ABS(M1229)</x:f>
        <x:v>1</x:v>
      </x:c>
      <x:c r="P1229" s="7" t="n">
        <x:v>45867</x:v>
      </x:c>
    </x:row>
    <x:row r="1230" ht="26" customHeight="1">
      <x:c r="A1230" s="2"/>
      <x:c r="B1230" s="2" t="n">
        <x:v>1225</x:v>
      </x:c>
      <x:c r="C1230" s="2" t="str">
        <x:v>Beauty / organic_volume_growth</x:v>
      </x:c>
      <x:c r="D1230" s="7" t="n">
        <x:v>45930</x:v>
      </x:c>
      <x:c r="E1230" s="2" t="str">
        <x:v>Origin</x:v>
      </x:c>
      <x:c r="F1230" s="7" t="n">
        <x:v>45839</x:v>
      </x:c>
      <x:c r="G1230" s="2" t="str">
        <x:v>Last actual</x:v>
      </x:c>
      <x:c r="H1230" s="8" t="n">
        <x:f>AVERAGE('PG facts'!E118)</x:f>
        <x:v>1</x:v>
      </x:c>
      <x:c r="I1230" s="8" t="n">
        <x:f>0</x:f>
        <x:v>0</x:v>
      </x:c>
      <x:c r="J1230" s="8" t="n">
        <x:v>0</x:v>
      </x:c>
      <x:c r="K1230" s="8" t="n">
        <x:f>H1230-I1230*J1230</x:f>
        <x:v>1</x:v>
      </x:c>
      <x:c r="L1230" s="8" t="n">
        <x:f>'PG facts'!E132</x:f>
        <x:v>4</x:v>
      </x:c>
      <x:c r="M1230" s="8" t="n">
        <x:f>K1230-L1230</x:f>
        <x:v>-3</x:v>
      </x:c>
      <x:c r="N1230" s="8" t="n">
        <x:f>M1230^2</x:f>
        <x:v>9</x:v>
      </x:c>
      <x:c r="O1230" s="8" t="n">
        <x:f>ABS(M1230)</x:f>
        <x:v>3</x:v>
      </x:c>
      <x:c r="P1230" s="7" t="n">
        <x:v>45954</x:v>
      </x:c>
    </x:row>
    <x:row r="1231" ht="26" customHeight="1">
      <x:c r="A1231" s="2"/>
      <x:c r="B1231" s="2" t="n">
        <x:v>1226</x:v>
      </x:c>
      <x:c r="C1231" s="2" t="str">
        <x:v>Beauty / organic_volume_growth</x:v>
      </x:c>
      <x:c r="D1231" s="7" t="n">
        <x:v>45930</x:v>
      </x:c>
      <x:c r="E1231" s="2" t="str">
        <x:v>Origin</x:v>
      </x:c>
      <x:c r="F1231" s="7" t="n">
        <x:v>45839</x:v>
      </x:c>
      <x:c r="G1231" s="2" t="str">
        <x:v>Four-quarter mean</x:v>
      </x:c>
      <x:c r="H1231" s="8" t="n">
        <x:f>AVERAGE('PG facts'!E97,'PG facts'!E104,'PG facts'!E111,'PG facts'!E118)</x:f>
        <x:v>0.5</x:v>
      </x:c>
      <x:c r="I1231" s="8" t="n">
        <x:f>0</x:f>
        <x:v>0</x:v>
      </x:c>
      <x:c r="J1231" s="8" t="n">
        <x:v>0</x:v>
      </x:c>
      <x:c r="K1231" s="8" t="n">
        <x:f>H1231-I1231*J1231</x:f>
        <x:v>0.5</x:v>
      </x:c>
      <x:c r="L1231" s="8" t="n">
        <x:f>'PG facts'!E132</x:f>
        <x:v>4</x:v>
      </x:c>
      <x:c r="M1231" s="8" t="n">
        <x:f>K1231-L1231</x:f>
        <x:v>-3.5</x:v>
      </x:c>
      <x:c r="N1231" s="8" t="n">
        <x:f>M1231^2</x:f>
        <x:v>12.25</x:v>
      </x:c>
      <x:c r="O1231" s="8" t="n">
        <x:f>ABS(M1231)</x:f>
        <x:v>3.5</x:v>
      </x:c>
      <x:c r="P1231" s="7" t="n">
        <x:v>45954</x:v>
      </x:c>
    </x:row>
    <x:row r="1232" ht="26" customHeight="1">
      <x:c r="A1232" s="2"/>
      <x:c r="B1232" s="2" t="n">
        <x:v>1227</x:v>
      </x:c>
      <x:c r="C1232" s="2" t="str">
        <x:v>Beauty / organic_volume_growth</x:v>
      </x:c>
      <x:c r="D1232" s="7" t="n">
        <x:v>45930</x:v>
      </x:c>
      <x:c r="E1232" s="2" t="str">
        <x:v>Origin</x:v>
      </x:c>
      <x:c r="F1232" s="7" t="n">
        <x:v>45839</x:v>
      </x:c>
      <x:c r="G1232" s="2" t="str">
        <x:v>Broad market</x:v>
      </x:c>
      <x:c r="H1232" s="8" t="n">
        <x:f>'Model fits'!AA816</x:f>
        <x:v>-0.1891320163675314</x:v>
      </x:c>
      <x:c r="I1232" s="8" t="n">
        <x:f>0</x:f>
        <x:v>0</x:v>
      </x:c>
      <x:c r="J1232" s="8" t="n">
        <x:v>0</x:v>
      </x:c>
      <x:c r="K1232" s="8" t="n">
        <x:f>H1232-I1232*J1232</x:f>
        <x:v>-0.1891320163675314</x:v>
      </x:c>
      <x:c r="L1232" s="8" t="n">
        <x:f>'PG facts'!E132</x:f>
        <x:v>4</x:v>
      </x:c>
      <x:c r="M1232" s="8" t="n">
        <x:f>K1232-L1232</x:f>
        <x:v>-4.189132016367531</x:v>
      </x:c>
      <x:c r="N1232" s="8" t="n">
        <x:f>M1232^2</x:f>
        <x:v>17.5488270505555</x:v>
      </x:c>
      <x:c r="O1232" s="8" t="n">
        <x:f>ABS(M1232)</x:f>
        <x:v>4.189132016367531</x:v>
      </x:c>
      <x:c r="P1232" s="7" t="n">
        <x:v>45954</x:v>
      </x:c>
    </x:row>
    <x:row r="1233" ht="26" customHeight="1">
      <x:c r="A1233" s="2"/>
      <x:c r="B1233" s="2" t="n">
        <x:v>1228</x:v>
      </x:c>
      <x:c r="C1233" s="2" t="str">
        <x:v>Beauty / organic_volume_growth</x:v>
      </x:c>
      <x:c r="D1233" s="7" t="n">
        <x:v>45930</x:v>
      </x:c>
      <x:c r="E1233" s="2" t="str">
        <x:v>Origin</x:v>
      </x:c>
      <x:c r="F1233" s="7" t="n">
        <x:v>45839</x:v>
      </x:c>
      <x:c r="G1233" s="2" t="str">
        <x:v>Broad rolling 8</x:v>
      </x:c>
      <x:c r="H1233" s="8" t="n">
        <x:f>'Model fits'!AA817</x:f>
        <x:v>0.5599503021176016</x:v>
      </x:c>
      <x:c r="I1233" s="8" t="n">
        <x:f>0</x:f>
        <x:v>0</x:v>
      </x:c>
      <x:c r="J1233" s="8" t="n">
        <x:v>0</x:v>
      </x:c>
      <x:c r="K1233" s="8" t="n">
        <x:f>H1233-I1233*J1233</x:f>
        <x:v>0.5599503021176016</x:v>
      </x:c>
      <x:c r="L1233" s="8" t="n">
        <x:f>'PG facts'!E132</x:f>
        <x:v>4</x:v>
      </x:c>
      <x:c r="M1233" s="8" t="n">
        <x:f>K1233-L1233</x:f>
        <x:v>-3.4400496978823982</x:v>
      </x:c>
      <x:c r="N1233" s="8" t="n">
        <x:f>M1233^2</x:f>
        <x:v>11.83394192390078</x:v>
      </x:c>
      <x:c r="O1233" s="8" t="n">
        <x:f>ABS(M1233)</x:f>
        <x:v>3.4400496978823982</x:v>
      </x:c>
      <x:c r="P1233" s="7" t="n">
        <x:v>45954</x:v>
      </x:c>
    </x:row>
    <x:row r="1234" ht="26" customHeight="1">
      <x:c r="A1234" s="2"/>
      <x:c r="B1234" s="2" t="n">
        <x:v>1229</x:v>
      </x:c>
      <x:c r="C1234" s="2" t="str">
        <x:v>Beauty / organic_volume_growth</x:v>
      </x:c>
      <x:c r="D1234" s="7" t="n">
        <x:v>45930</x:v>
      </x:c>
      <x:c r="E1234" s="2" t="str">
        <x:v>Origin</x:v>
      </x:c>
      <x:c r="F1234" s="7" t="n">
        <x:v>45839</x:v>
      </x:c>
      <x:c r="G1234" s="2" t="str">
        <x:v>Own history</x:v>
      </x:c>
      <x:c r="H1234" s="8" t="n">
        <x:f>'Model fits'!AA818</x:f>
        <x:v>0.025862068965517238</x:v>
      </x:c>
      <x:c r="I1234" s="8" t="n">
        <x:f>0</x:f>
        <x:v>0</x:v>
      </x:c>
      <x:c r="J1234" s="8" t="n">
        <x:v>0</x:v>
      </x:c>
      <x:c r="K1234" s="8" t="n">
        <x:f>H1234-I1234*J1234</x:f>
        <x:v>0.025862068965517238</x:v>
      </x:c>
      <x:c r="L1234" s="8" t="n">
        <x:f>'PG facts'!E132</x:f>
        <x:v>4</x:v>
      </x:c>
      <x:c r="M1234" s="8" t="n">
        <x:f>K1234-L1234</x:f>
        <x:v>-3.9741379310344827</x:v>
      </x:c>
      <x:c r="N1234" s="8" t="n">
        <x:f>M1234^2</x:f>
        <x:v>15.793772294887038</x:v>
      </x:c>
      <x:c r="O1234" s="8" t="n">
        <x:f>ABS(M1234)</x:f>
        <x:v>3.9741379310344827</x:v>
      </x:c>
      <x:c r="P1234" s="7" t="n">
        <x:v>45954</x:v>
      </x:c>
    </x:row>
    <x:row r="1235" ht="26" customHeight="1">
      <x:c r="A1235" s="2"/>
      <x:c r="B1235" s="2" t="n">
        <x:v>1230</x:v>
      </x:c>
      <x:c r="C1235" s="2" t="str">
        <x:v>Beauty / organic_volume_growth</x:v>
      </x:c>
      <x:c r="D1235" s="7" t="n">
        <x:v>45930</x:v>
      </x:c>
      <x:c r="E1235" s="2" t="str">
        <x:v>Prior report</x:v>
      </x:c>
      <x:c r="F1235" s="7" t="n">
        <x:v>45867</x:v>
      </x:c>
      <x:c r="G1235" s="2" t="str">
        <x:v>Last actual</x:v>
      </x:c>
      <x:c r="H1235" s="8" t="n">
        <x:f>AVERAGE('PG facts'!E125)</x:f>
        <x:v>1</x:v>
      </x:c>
      <x:c r="I1235" s="8" t="n">
        <x:f>0</x:f>
        <x:v>0</x:v>
      </x:c>
      <x:c r="J1235" s="8" t="n">
        <x:v>0</x:v>
      </x:c>
      <x:c r="K1235" s="8" t="n">
        <x:f>H1235-I1235*J1235</x:f>
        <x:v>1</x:v>
      </x:c>
      <x:c r="L1235" s="8" t="n">
        <x:f>'PG facts'!E132</x:f>
        <x:v>4</x:v>
      </x:c>
      <x:c r="M1235" s="8" t="n">
        <x:f>K1235-L1235</x:f>
        <x:v>-3</x:v>
      </x:c>
      <x:c r="N1235" s="8" t="n">
        <x:f>M1235^2</x:f>
        <x:v>9</x:v>
      </x:c>
      <x:c r="O1235" s="8" t="n">
        <x:f>ABS(M1235)</x:f>
        <x:v>3</x:v>
      </x:c>
      <x:c r="P1235" s="7" t="n">
        <x:v>45954</x:v>
      </x:c>
    </x:row>
    <x:row r="1236" ht="26" customHeight="1">
      <x:c r="A1236" s="2"/>
      <x:c r="B1236" s="2" t="n">
        <x:v>1231</x:v>
      </x:c>
      <x:c r="C1236" s="2" t="str">
        <x:v>Beauty / organic_volume_growth</x:v>
      </x:c>
      <x:c r="D1236" s="7" t="n">
        <x:v>45930</x:v>
      </x:c>
      <x:c r="E1236" s="2" t="str">
        <x:v>Prior report</x:v>
      </x:c>
      <x:c r="F1236" s="7" t="n">
        <x:v>45867</x:v>
      </x:c>
      <x:c r="G1236" s="2" t="str">
        <x:v>Four-quarter mean</x:v>
      </x:c>
      <x:c r="H1236" s="8" t="n">
        <x:f>AVERAGE('PG facts'!E104,'PG facts'!E111,'PG facts'!E118,'PG facts'!E125)</x:f>
        <x:v>0.5</x:v>
      </x:c>
      <x:c r="I1236" s="8" t="n">
        <x:f>0</x:f>
        <x:v>0</x:v>
      </x:c>
      <x:c r="J1236" s="8" t="n">
        <x:v>0</x:v>
      </x:c>
      <x:c r="K1236" s="8" t="n">
        <x:f>H1236-I1236*J1236</x:f>
        <x:v>0.5</x:v>
      </x:c>
      <x:c r="L1236" s="8" t="n">
        <x:f>'PG facts'!E132</x:f>
        <x:v>4</x:v>
      </x:c>
      <x:c r="M1236" s="8" t="n">
        <x:f>K1236-L1236</x:f>
        <x:v>-3.5</x:v>
      </x:c>
      <x:c r="N1236" s="8" t="n">
        <x:f>M1236^2</x:f>
        <x:v>12.25</x:v>
      </x:c>
      <x:c r="O1236" s="8" t="n">
        <x:f>ABS(M1236)</x:f>
        <x:v>3.5</x:v>
      </x:c>
      <x:c r="P1236" s="7" t="n">
        <x:v>45954</x:v>
      </x:c>
    </x:row>
    <x:row r="1237" ht="26" customHeight="1">
      <x:c r="A1237" s="2"/>
      <x:c r="B1237" s="2" t="n">
        <x:v>1232</x:v>
      </x:c>
      <x:c r="C1237" s="2" t="str">
        <x:v>Beauty / organic_volume_growth</x:v>
      </x:c>
      <x:c r="D1237" s="7" t="n">
        <x:v>45930</x:v>
      </x:c>
      <x:c r="E1237" s="2" t="str">
        <x:v>Prior report</x:v>
      </x:c>
      <x:c r="F1237" s="7" t="n">
        <x:v>45867</x:v>
      </x:c>
      <x:c r="G1237" s="2" t="str">
        <x:v>Broad market</x:v>
      </x:c>
      <x:c r="H1237" s="8" t="n">
        <x:f>'Model fits'!AA819</x:f>
        <x:v>-0.1891320163675314</x:v>
      </x:c>
      <x:c r="I1237" s="8" t="n">
        <x:f>0</x:f>
        <x:v>0</x:v>
      </x:c>
      <x:c r="J1237" s="8" t="n">
        <x:v>0</x:v>
      </x:c>
      <x:c r="K1237" s="8" t="n">
        <x:f>H1237-I1237*J1237</x:f>
        <x:v>-0.1891320163675314</x:v>
      </x:c>
      <x:c r="L1237" s="8" t="n">
        <x:f>'PG facts'!E132</x:f>
        <x:v>4</x:v>
      </x:c>
      <x:c r="M1237" s="8" t="n">
        <x:f>K1237-L1237</x:f>
        <x:v>-4.189132016367531</x:v>
      </x:c>
      <x:c r="N1237" s="8" t="n">
        <x:f>M1237^2</x:f>
        <x:v>17.5488270505555</x:v>
      </x:c>
      <x:c r="O1237" s="8" t="n">
        <x:f>ABS(M1237)</x:f>
        <x:v>4.189132016367531</x:v>
      </x:c>
      <x:c r="P1237" s="7" t="n">
        <x:v>45954</x:v>
      </x:c>
    </x:row>
    <x:row r="1238" ht="26" customHeight="1">
      <x:c r="A1238" s="2"/>
      <x:c r="B1238" s="2" t="n">
        <x:v>1233</x:v>
      </x:c>
      <x:c r="C1238" s="2" t="str">
        <x:v>Beauty / organic_volume_growth</x:v>
      </x:c>
      <x:c r="D1238" s="7" t="n">
        <x:v>45930</x:v>
      </x:c>
      <x:c r="E1238" s="2" t="str">
        <x:v>Prior report</x:v>
      </x:c>
      <x:c r="F1238" s="7" t="n">
        <x:v>45867</x:v>
      </x:c>
      <x:c r="G1238" s="2" t="str">
        <x:v>Broad rolling 8</x:v>
      </x:c>
      <x:c r="H1238" s="8" t="n">
        <x:f>'Model fits'!AA820</x:f>
        <x:v>0.5599503021176016</x:v>
      </x:c>
      <x:c r="I1238" s="8" t="n">
        <x:f>0</x:f>
        <x:v>0</x:v>
      </x:c>
      <x:c r="J1238" s="8" t="n">
        <x:v>0</x:v>
      </x:c>
      <x:c r="K1238" s="8" t="n">
        <x:f>H1238-I1238*J1238</x:f>
        <x:v>0.5599503021176016</x:v>
      </x:c>
      <x:c r="L1238" s="8" t="n">
        <x:f>'PG facts'!E132</x:f>
        <x:v>4</x:v>
      </x:c>
      <x:c r="M1238" s="8" t="n">
        <x:f>K1238-L1238</x:f>
        <x:v>-3.4400496978823982</x:v>
      </x:c>
      <x:c r="N1238" s="8" t="n">
        <x:f>M1238^2</x:f>
        <x:v>11.83394192390078</x:v>
      </x:c>
      <x:c r="O1238" s="8" t="n">
        <x:f>ABS(M1238)</x:f>
        <x:v>3.4400496978823982</x:v>
      </x:c>
      <x:c r="P1238" s="7" t="n">
        <x:v>45954</x:v>
      </x:c>
    </x:row>
    <x:row r="1239" ht="26" customHeight="1">
      <x:c r="A1239" s="2"/>
      <x:c r="B1239" s="2" t="n">
        <x:v>1234</x:v>
      </x:c>
      <x:c r="C1239" s="2" t="str">
        <x:v>Beauty / organic_volume_growth</x:v>
      </x:c>
      <x:c r="D1239" s="7" t="n">
        <x:v>45930</x:v>
      </x:c>
      <x:c r="E1239" s="2" t="str">
        <x:v>Prior report</x:v>
      </x:c>
      <x:c r="F1239" s="7" t="n">
        <x:v>45867</x:v>
      </x:c>
      <x:c r="G1239" s="2" t="str">
        <x:v>Own history</x:v>
      </x:c>
      <x:c r="H1239" s="8" t="n">
        <x:f>'Model fits'!AA821</x:f>
        <x:v>0.1014492753623189</x:v>
      </x:c>
      <x:c r="I1239" s="8" t="n">
        <x:f>0</x:f>
        <x:v>0</x:v>
      </x:c>
      <x:c r="J1239" s="8" t="n">
        <x:v>0</x:v>
      </x:c>
      <x:c r="K1239" s="8" t="n">
        <x:f>H1239-I1239*J1239</x:f>
        <x:v>0.1014492753623189</x:v>
      </x:c>
      <x:c r="L1239" s="8" t="n">
        <x:f>'PG facts'!E132</x:f>
        <x:v>4</x:v>
      </x:c>
      <x:c r="M1239" s="8" t="n">
        <x:f>K1239-L1239</x:f>
        <x:v>-3.898550724637681</x:v>
      </x:c>
      <x:c r="N1239" s="8" t="n">
        <x:f>M1239^2</x:f>
        <x:v>15.198697752572988</x:v>
      </x:c>
      <x:c r="O1239" s="8" t="n">
        <x:f>ABS(M1239)</x:f>
        <x:v>3.898550724637681</x:v>
      </x:c>
      <x:c r="P1239" s="7" t="n">
        <x:v>45954</x:v>
      </x:c>
    </x:row>
    <x:row r="1240" ht="26" customHeight="1">
      <x:c r="A1240" s="2"/>
      <x:c r="B1240" s="2" t="n">
        <x:v>1235</x:v>
      </x:c>
      <x:c r="C1240" s="2" t="str">
        <x:v>Beauty / organic_volume_growth</x:v>
      </x:c>
      <x:c r="D1240" s="7" t="n">
        <x:v>45930</x:v>
      </x:c>
      <x:c r="E1240" s="2" t="str">
        <x:v>Pre-earnings</x:v>
      </x:c>
      <x:c r="F1240" s="7" t="n">
        <x:v>45953</x:v>
      </x:c>
      <x:c r="G1240" s="2" t="str">
        <x:v>Last actual</x:v>
      </x:c>
      <x:c r="H1240" s="8" t="n">
        <x:f>AVERAGE('PG facts'!E125)</x:f>
        <x:v>1</x:v>
      </x:c>
      <x:c r="I1240" s="8" t="n">
        <x:f>0</x:f>
        <x:v>0</x:v>
      </x:c>
      <x:c r="J1240" s="8" t="n">
        <x:v>0</x:v>
      </x:c>
      <x:c r="K1240" s="8" t="n">
        <x:f>H1240-I1240*J1240</x:f>
        <x:v>1</x:v>
      </x:c>
      <x:c r="L1240" s="8" t="n">
        <x:f>'PG facts'!E132</x:f>
        <x:v>4</x:v>
      </x:c>
      <x:c r="M1240" s="8" t="n">
        <x:f>K1240-L1240</x:f>
        <x:v>-3</x:v>
      </x:c>
      <x:c r="N1240" s="8" t="n">
        <x:f>M1240^2</x:f>
        <x:v>9</x:v>
      </x:c>
      <x:c r="O1240" s="8" t="n">
        <x:f>ABS(M1240)</x:f>
        <x:v>3</x:v>
      </x:c>
      <x:c r="P1240" s="7" t="n">
        <x:v>45954</x:v>
      </x:c>
    </x:row>
    <x:row r="1241" ht="26" customHeight="1">
      <x:c r="A1241" s="2"/>
      <x:c r="B1241" s="2" t="n">
        <x:v>1236</x:v>
      </x:c>
      <x:c r="C1241" s="2" t="str">
        <x:v>Beauty / organic_volume_growth</x:v>
      </x:c>
      <x:c r="D1241" s="7" t="n">
        <x:v>45930</x:v>
      </x:c>
      <x:c r="E1241" s="2" t="str">
        <x:v>Pre-earnings</x:v>
      </x:c>
      <x:c r="F1241" s="7" t="n">
        <x:v>45953</x:v>
      </x:c>
      <x:c r="G1241" s="2" t="str">
        <x:v>Four-quarter mean</x:v>
      </x:c>
      <x:c r="H1241" s="8" t="n">
        <x:f>AVERAGE('PG facts'!E104,'PG facts'!E111,'PG facts'!E118,'PG facts'!E125)</x:f>
        <x:v>0.5</x:v>
      </x:c>
      <x:c r="I1241" s="8" t="n">
        <x:f>0</x:f>
        <x:v>0</x:v>
      </x:c>
      <x:c r="J1241" s="8" t="n">
        <x:v>0</x:v>
      </x:c>
      <x:c r="K1241" s="8" t="n">
        <x:f>H1241-I1241*J1241</x:f>
        <x:v>0.5</x:v>
      </x:c>
      <x:c r="L1241" s="8" t="n">
        <x:f>'PG facts'!E132</x:f>
        <x:v>4</x:v>
      </x:c>
      <x:c r="M1241" s="8" t="n">
        <x:f>K1241-L1241</x:f>
        <x:v>-3.5</x:v>
      </x:c>
      <x:c r="N1241" s="8" t="n">
        <x:f>M1241^2</x:f>
        <x:v>12.25</x:v>
      </x:c>
      <x:c r="O1241" s="8" t="n">
        <x:f>ABS(M1241)</x:f>
        <x:v>3.5</x:v>
      </x:c>
      <x:c r="P1241" s="7" t="n">
        <x:v>45954</x:v>
      </x:c>
    </x:row>
    <x:row r="1242" ht="26" customHeight="1">
      <x:c r="A1242" s="2"/>
      <x:c r="B1242" s="2" t="n">
        <x:v>1237</x:v>
      </x:c>
      <x:c r="C1242" s="2" t="str">
        <x:v>Beauty / organic_volume_growth</x:v>
      </x:c>
      <x:c r="D1242" s="7" t="n">
        <x:v>45930</x:v>
      </x:c>
      <x:c r="E1242" s="2" t="str">
        <x:v>Pre-earnings</x:v>
      </x:c>
      <x:c r="F1242" s="7" t="n">
        <x:v>45953</x:v>
      </x:c>
      <x:c r="G1242" s="2" t="str">
        <x:v>Broad market</x:v>
      </x:c>
      <x:c r="H1242" s="8" t="n">
        <x:f>'Model fits'!AA822</x:f>
        <x:v>-0.0505128583215827</x:v>
      </x:c>
      <x:c r="I1242" s="8" t="n">
        <x:f>0</x:f>
        <x:v>0</x:v>
      </x:c>
      <x:c r="J1242" s="8" t="n">
        <x:v>0</x:v>
      </x:c>
      <x:c r="K1242" s="8" t="n">
        <x:f>H1242-I1242*J1242</x:f>
        <x:v>-0.0505128583215827</x:v>
      </x:c>
      <x:c r="L1242" s="8" t="n">
        <x:f>'PG facts'!E132</x:f>
        <x:v>4</x:v>
      </x:c>
      <x:c r="M1242" s="8" t="n">
        <x:f>K1242-L1242</x:f>
        <x:v>-4.050512858321583</x:v>
      </x:c>
      <x:c r="N1242" s="8" t="n">
        <x:f>M1242^2</x:f>
        <x:v>16.40665441542848</x:v>
      </x:c>
      <x:c r="O1242" s="8" t="n">
        <x:f>ABS(M1242)</x:f>
        <x:v>4.050512858321583</x:v>
      </x:c>
      <x:c r="P1242" s="7" t="n">
        <x:v>45954</x:v>
      </x:c>
    </x:row>
    <x:row r="1243" ht="26" customHeight="1">
      <x:c r="A1243" s="2"/>
      <x:c r="B1243" s="2" t="n">
        <x:v>1238</x:v>
      </x:c>
      <x:c r="C1243" s="2" t="str">
        <x:v>Beauty / organic_volume_growth</x:v>
      </x:c>
      <x:c r="D1243" s="7" t="n">
        <x:v>45930</x:v>
      </x:c>
      <x:c r="E1243" s="2" t="str">
        <x:v>Pre-earnings</x:v>
      </x:c>
      <x:c r="F1243" s="7" t="n">
        <x:v>45953</x:v>
      </x:c>
      <x:c r="G1243" s="2" t="str">
        <x:v>Broad lag 1</x:v>
      </x:c>
      <x:c r="H1243" s="8" t="n">
        <x:f>'Model fits'!AA823</x:f>
        <x:v>-0.21151154285053603</x:v>
      </x:c>
      <x:c r="I1243" s="8" t="n">
        <x:f>0</x:f>
        <x:v>0</x:v>
      </x:c>
      <x:c r="J1243" s="8" t="n">
        <x:v>0</x:v>
      </x:c>
      <x:c r="K1243" s="8" t="n">
        <x:f>H1243-I1243*J1243</x:f>
        <x:v>-0.21151154285053603</x:v>
      </x:c>
      <x:c r="L1243" s="8" t="n">
        <x:f>'PG facts'!E132</x:f>
        <x:v>4</x:v>
      </x:c>
      <x:c r="M1243" s="8" t="n">
        <x:f>K1243-L1243</x:f>
        <x:v>-4.211511542850536</x:v>
      </x:c>
      <x:c r="N1243" s="8" t="n">
        <x:f>M1243^2</x:f>
        <x:v>17.7368294755633</x:v>
      </x:c>
      <x:c r="O1243" s="8" t="n">
        <x:f>ABS(M1243)</x:f>
        <x:v>4.211511542850536</x:v>
      </x:c>
      <x:c r="P1243" s="7" t="n">
        <x:v>45954</x:v>
      </x:c>
    </x:row>
    <x:row r="1244" ht="26" customHeight="1">
      <x:c r="A1244" s="2"/>
      <x:c r="B1244" s="2" t="n">
        <x:v>1239</x:v>
      </x:c>
      <x:c r="C1244" s="2" t="str">
        <x:v>Beauty / organic_volume_growth</x:v>
      </x:c>
      <x:c r="D1244" s="7" t="n">
        <x:v>45930</x:v>
      </x:c>
      <x:c r="E1244" s="2" t="str">
        <x:v>Pre-earnings</x:v>
      </x:c>
      <x:c r="F1244" s="7" t="n">
        <x:v>45953</x:v>
      </x:c>
      <x:c r="G1244" s="2" t="str">
        <x:v>Broad rolling 8</x:v>
      </x:c>
      <x:c r="H1244" s="8" t="n">
        <x:f>'Model fits'!AA824</x:f>
        <x:v>0.5528830643523858</x:v>
      </x:c>
      <x:c r="I1244" s="8" t="n">
        <x:f>0</x:f>
        <x:v>0</x:v>
      </x:c>
      <x:c r="J1244" s="8" t="n">
        <x:v>0</x:v>
      </x:c>
      <x:c r="K1244" s="8" t="n">
        <x:f>H1244-I1244*J1244</x:f>
        <x:v>0.5528830643523858</x:v>
      </x:c>
      <x:c r="L1244" s="8" t="n">
        <x:f>'PG facts'!E132</x:f>
        <x:v>4</x:v>
      </x:c>
      <x:c r="M1244" s="8" t="n">
        <x:f>K1244-L1244</x:f>
        <x:v>-3.4471169356476143</x:v>
      </x:c>
      <x:c r="N1244" s="8" t="n">
        <x:f>M1244^2</x:f>
        <x:v>11.882615168028599</x:v>
      </x:c>
      <x:c r="O1244" s="8" t="n">
        <x:f>ABS(M1244)</x:f>
        <x:v>3.4471169356476143</x:v>
      </x:c>
      <x:c r="P1244" s="7" t="n">
        <x:v>45954</x:v>
      </x:c>
    </x:row>
    <x:row r="1245" ht="26" customHeight="1">
      <x:c r="A1245" s="2"/>
      <x:c r="B1245" s="2" t="n">
        <x:v>1240</x:v>
      </x:c>
      <x:c r="C1245" s="2" t="str">
        <x:v>Beauty / organic_volume_growth</x:v>
      </x:c>
      <x:c r="D1245" s="7" t="n">
        <x:v>45930</x:v>
      </x:c>
      <x:c r="E1245" s="2" t="str">
        <x:v>Pre-earnings</x:v>
      </x:c>
      <x:c r="F1245" s="7" t="n">
        <x:v>45953</x:v>
      </x:c>
      <x:c r="G1245" s="2" t="str">
        <x:v>Own history</x:v>
      </x:c>
      <x:c r="H1245" s="8" t="n">
        <x:f>'Model fits'!AA825</x:f>
        <x:v>0.1014492753623189</x:v>
      </x:c>
      <x:c r="I1245" s="8" t="n">
        <x:f>0</x:f>
        <x:v>0</x:v>
      </x:c>
      <x:c r="J1245" s="8" t="n">
        <x:v>0</x:v>
      </x:c>
      <x:c r="K1245" s="8" t="n">
        <x:f>H1245-I1245*J1245</x:f>
        <x:v>0.1014492753623189</x:v>
      </x:c>
      <x:c r="L1245" s="8" t="n">
        <x:f>'PG facts'!E132</x:f>
        <x:v>4</x:v>
      </x:c>
      <x:c r="M1245" s="8" t="n">
        <x:f>K1245-L1245</x:f>
        <x:v>-3.898550724637681</x:v>
      </x:c>
      <x:c r="N1245" s="8" t="n">
        <x:f>M1245^2</x:f>
        <x:v>15.198697752572988</x:v>
      </x:c>
      <x:c r="O1245" s="8" t="n">
        <x:f>ABS(M1245)</x:f>
        <x:v>3.898550724637681</x:v>
      </x:c>
      <x:c r="P1245" s="7" t="n">
        <x:v>45954</x:v>
      </x:c>
    </x:row>
    <x:row r="1246" ht="26" customHeight="1">
      <x:c r="A1246" s="2"/>
      <x:c r="B1246" s="2" t="n">
        <x:v>1241</x:v>
      </x:c>
      <x:c r="C1246" s="2" t="str">
        <x:v>Beauty / organic_volume_growth</x:v>
      </x:c>
      <x:c r="D1246" s="7" t="n">
        <x:v>46022</x:v>
      </x:c>
      <x:c r="E1246" s="2" t="str">
        <x:v>Origin</x:v>
      </x:c>
      <x:c r="F1246" s="7" t="n">
        <x:v>45931</x:v>
      </x:c>
      <x:c r="G1246" s="2" t="str">
        <x:v>Last actual</x:v>
      </x:c>
      <x:c r="H1246" s="8" t="n">
        <x:f>AVERAGE('PG facts'!E125)</x:f>
        <x:v>1</x:v>
      </x:c>
      <x:c r="I1246" s="8" t="n">
        <x:f>0</x:f>
        <x:v>0</x:v>
      </x:c>
      <x:c r="J1246" s="8" t="n">
        <x:v>0</x:v>
      </x:c>
      <x:c r="K1246" s="8" t="n">
        <x:f>H1246-I1246*J1246</x:f>
        <x:v>1</x:v>
      </x:c>
      <x:c r="L1246" s="8" t="n">
        <x:f>'PG facts'!E139</x:f>
        <x:v>3</x:v>
      </x:c>
      <x:c r="M1246" s="8" t="n">
        <x:f>K1246-L1246</x:f>
        <x:v>-2</x:v>
      </x:c>
      <x:c r="N1246" s="8" t="n">
        <x:f>M1246^2</x:f>
        <x:v>4</x:v>
      </x:c>
      <x:c r="O1246" s="8" t="n">
        <x:f>ABS(M1246)</x:f>
        <x:v>2</x:v>
      </x:c>
      <x:c r="P1246" s="7" t="n">
        <x:v>46045</x:v>
      </x:c>
    </x:row>
    <x:row r="1247" ht="26" customHeight="1">
      <x:c r="A1247" s="2"/>
      <x:c r="B1247" s="2" t="n">
        <x:v>1242</x:v>
      </x:c>
      <x:c r="C1247" s="2" t="str">
        <x:v>Beauty / organic_volume_growth</x:v>
      </x:c>
      <x:c r="D1247" s="7" t="n">
        <x:v>46022</x:v>
      </x:c>
      <x:c r="E1247" s="2" t="str">
        <x:v>Origin</x:v>
      </x:c>
      <x:c r="F1247" s="7" t="n">
        <x:v>45931</x:v>
      </x:c>
      <x:c r="G1247" s="2" t="str">
        <x:v>Four-quarter mean</x:v>
      </x:c>
      <x:c r="H1247" s="8" t="n">
        <x:f>AVERAGE('PG facts'!E104,'PG facts'!E111,'PG facts'!E118,'PG facts'!E125)</x:f>
        <x:v>0.5</x:v>
      </x:c>
      <x:c r="I1247" s="8" t="n">
        <x:f>0</x:f>
        <x:v>0</x:v>
      </x:c>
      <x:c r="J1247" s="8" t="n">
        <x:v>0</x:v>
      </x:c>
      <x:c r="K1247" s="8" t="n">
        <x:f>H1247-I1247*J1247</x:f>
        <x:v>0.5</x:v>
      </x:c>
      <x:c r="L1247" s="8" t="n">
        <x:f>'PG facts'!E139</x:f>
        <x:v>3</x:v>
      </x:c>
      <x:c r="M1247" s="8" t="n">
        <x:f>K1247-L1247</x:f>
        <x:v>-2.5</x:v>
      </x:c>
      <x:c r="N1247" s="8" t="n">
        <x:f>M1247^2</x:f>
        <x:v>6.25</x:v>
      </x:c>
      <x:c r="O1247" s="8" t="n">
        <x:f>ABS(M1247)</x:f>
        <x:v>2.5</x:v>
      </x:c>
      <x:c r="P1247" s="7" t="n">
        <x:v>46045</x:v>
      </x:c>
    </x:row>
    <x:row r="1248" ht="26" customHeight="1">
      <x:c r="A1248" s="2"/>
      <x:c r="B1248" s="2" t="n">
        <x:v>1243</x:v>
      </x:c>
      <x:c r="C1248" s="2" t="str">
        <x:v>Beauty / organic_volume_growth</x:v>
      </x:c>
      <x:c r="D1248" s="7" t="n">
        <x:v>46022</x:v>
      </x:c>
      <x:c r="E1248" s="2" t="str">
        <x:v>Origin</x:v>
      </x:c>
      <x:c r="F1248" s="7" t="n">
        <x:v>45931</x:v>
      </x:c>
      <x:c r="G1248" s="2" t="str">
        <x:v>Broad market</x:v>
      </x:c>
      <x:c r="H1248" s="8" t="n">
        <x:f>'Model fits'!AA826</x:f>
        <x:v>-0.04812126011063411</x:v>
      </x:c>
      <x:c r="I1248" s="8" t="n">
        <x:f>0</x:f>
        <x:v>0</x:v>
      </x:c>
      <x:c r="J1248" s="8" t="n">
        <x:v>0</x:v>
      </x:c>
      <x:c r="K1248" s="8" t="n">
        <x:f>H1248-I1248*J1248</x:f>
        <x:v>-0.04812126011063411</x:v>
      </x:c>
      <x:c r="L1248" s="8" t="n">
        <x:f>'PG facts'!E139</x:f>
        <x:v>3</x:v>
      </x:c>
      <x:c r="M1248" s="8" t="n">
        <x:f>K1248-L1248</x:f>
        <x:v>-3.048121260110634</x:v>
      </x:c>
      <x:c r="N1248" s="8" t="n">
        <x:f>M1248^2</x:f>
        <x:v>9.291043216338439</x:v>
      </x:c>
      <x:c r="O1248" s="8" t="n">
        <x:f>ABS(M1248)</x:f>
        <x:v>3.048121260110634</x:v>
      </x:c>
      <x:c r="P1248" s="7" t="n">
        <x:v>46045</x:v>
      </x:c>
    </x:row>
    <x:row r="1249" ht="26" customHeight="1">
      <x:c r="A1249" s="2"/>
      <x:c r="B1249" s="2" t="n">
        <x:v>1244</x:v>
      </x:c>
      <x:c r="C1249" s="2" t="str">
        <x:v>Beauty / organic_volume_growth</x:v>
      </x:c>
      <x:c r="D1249" s="7" t="n">
        <x:v>46022</x:v>
      </x:c>
      <x:c r="E1249" s="2" t="str">
        <x:v>Origin</x:v>
      </x:c>
      <x:c r="F1249" s="7" t="n">
        <x:v>45931</x:v>
      </x:c>
      <x:c r="G1249" s="2" t="str">
        <x:v>Broad rolling 8</x:v>
      </x:c>
      <x:c r="H1249" s="8" t="n">
        <x:f>'Model fits'!AA827</x:f>
        <x:v>0.5551847721405453</x:v>
      </x:c>
      <x:c r="I1249" s="8" t="n">
        <x:f>0</x:f>
        <x:v>0</x:v>
      </x:c>
      <x:c r="J1249" s="8" t="n">
        <x:v>0</x:v>
      </x:c>
      <x:c r="K1249" s="8" t="n">
        <x:f>H1249-I1249*J1249</x:f>
        <x:v>0.5551847721405453</x:v>
      </x:c>
      <x:c r="L1249" s="8" t="n">
        <x:f>'PG facts'!E139</x:f>
        <x:v>3</x:v>
      </x:c>
      <x:c r="M1249" s="8" t="n">
        <x:f>K1249-L1249</x:f>
        <x:v>-2.4448152278594546</x:v>
      </x:c>
      <x:c r="N1249" s="8" t="n">
        <x:f>M1249^2</x:f>
        <x:v>5.977121498373477</x:v>
      </x:c>
      <x:c r="O1249" s="8" t="n">
        <x:f>ABS(M1249)</x:f>
        <x:v>2.4448152278594546</x:v>
      </x:c>
      <x:c r="P1249" s="7" t="n">
        <x:v>46045</x:v>
      </x:c>
    </x:row>
    <x:row r="1250" ht="26" customHeight="1">
      <x:c r="A1250" s="2"/>
      <x:c r="B1250" s="2" t="n">
        <x:v>1245</x:v>
      </x:c>
      <x:c r="C1250" s="2" t="str">
        <x:v>Beauty / organic_volume_growth</x:v>
      </x:c>
      <x:c r="D1250" s="7" t="n">
        <x:v>46022</x:v>
      </x:c>
      <x:c r="E1250" s="2" t="str">
        <x:v>Origin</x:v>
      </x:c>
      <x:c r="F1250" s="7" t="n">
        <x:v>45931</x:v>
      </x:c>
      <x:c r="G1250" s="2" t="str">
        <x:v>Own history</x:v>
      </x:c>
      <x:c r="H1250" s="8" t="n">
        <x:f>'Model fits'!AA828</x:f>
        <x:v>0.1209677419354839</x:v>
      </x:c>
      <x:c r="I1250" s="8" t="n">
        <x:f>0</x:f>
        <x:v>0</x:v>
      </x:c>
      <x:c r="J1250" s="8" t="n">
        <x:v>0</x:v>
      </x:c>
      <x:c r="K1250" s="8" t="n">
        <x:f>H1250-I1250*J1250</x:f>
        <x:v>0.1209677419354839</x:v>
      </x:c>
      <x:c r="L1250" s="8" t="n">
        <x:f>'PG facts'!E139</x:f>
        <x:v>3</x:v>
      </x:c>
      <x:c r="M1250" s="8" t="n">
        <x:f>K1250-L1250</x:f>
        <x:v>-2.879032258064516</x:v>
      </x:c>
      <x:c r="N1250" s="8" t="n">
        <x:f>M1250^2</x:f>
        <x:v>8.288826742976067</x:v>
      </x:c>
      <x:c r="O1250" s="8" t="n">
        <x:f>ABS(M1250)</x:f>
        <x:v>2.879032258064516</x:v>
      </x:c>
      <x:c r="P1250" s="7" t="n">
        <x:v>46045</x:v>
      </x:c>
    </x:row>
    <x:row r="1251" ht="26" customHeight="1">
      <x:c r="A1251" s="2"/>
      <x:c r="B1251" s="2" t="n">
        <x:v>1246</x:v>
      </x:c>
      <x:c r="C1251" s="2" t="str">
        <x:v>Beauty / organic_volume_growth</x:v>
      </x:c>
      <x:c r="D1251" s="7" t="n">
        <x:v>46022</x:v>
      </x:c>
      <x:c r="E1251" s="2" t="str">
        <x:v>Prior report</x:v>
      </x:c>
      <x:c r="F1251" s="7" t="n">
        <x:v>45954</x:v>
      </x:c>
      <x:c r="G1251" s="2" t="str">
        <x:v>Last actual</x:v>
      </x:c>
      <x:c r="H1251" s="8" t="n">
        <x:f>AVERAGE('PG facts'!E132)</x:f>
        <x:v>4</x:v>
      </x:c>
      <x:c r="I1251" s="8" t="n">
        <x:f>0</x:f>
        <x:v>0</x:v>
      </x:c>
      <x:c r="J1251" s="8" t="n">
        <x:v>0</x:v>
      </x:c>
      <x:c r="K1251" s="8" t="n">
        <x:f>H1251-I1251*J1251</x:f>
        <x:v>4</x:v>
      </x:c>
      <x:c r="L1251" s="8" t="n">
        <x:f>'PG facts'!E139</x:f>
        <x:v>3</x:v>
      </x:c>
      <x:c r="M1251" s="8" t="n">
        <x:f>K1251-L1251</x:f>
        <x:v>1</x:v>
      </x:c>
      <x:c r="N1251" s="8" t="n">
        <x:f>M1251^2</x:f>
        <x:v>1</x:v>
      </x:c>
      <x:c r="O1251" s="8" t="n">
        <x:f>ABS(M1251)</x:f>
        <x:v>1</x:v>
      </x:c>
      <x:c r="P1251" s="7" t="n">
        <x:v>46045</x:v>
      </x:c>
    </x:row>
    <x:row r="1252" ht="26" customHeight="1">
      <x:c r="A1252" s="2"/>
      <x:c r="B1252" s="2" t="n">
        <x:v>1247</x:v>
      </x:c>
      <x:c r="C1252" s="2" t="str">
        <x:v>Beauty / organic_volume_growth</x:v>
      </x:c>
      <x:c r="D1252" s="7" t="n">
        <x:v>46022</x:v>
      </x:c>
      <x:c r="E1252" s="2" t="str">
        <x:v>Prior report</x:v>
      </x:c>
      <x:c r="F1252" s="7" t="n">
        <x:v>45954</x:v>
      </x:c>
      <x:c r="G1252" s="2" t="str">
        <x:v>Four-quarter mean</x:v>
      </x:c>
      <x:c r="H1252" s="8" t="n">
        <x:f>AVERAGE('PG facts'!E111,'PG facts'!E118,'PG facts'!E125,'PG facts'!E132)</x:f>
        <x:v>1.5</x:v>
      </x:c>
      <x:c r="I1252" s="8" t="n">
        <x:f>0</x:f>
        <x:v>0</x:v>
      </x:c>
      <x:c r="J1252" s="8" t="n">
        <x:v>0</x:v>
      </x:c>
      <x:c r="K1252" s="8" t="n">
        <x:f>H1252-I1252*J1252</x:f>
        <x:v>1.5</x:v>
      </x:c>
      <x:c r="L1252" s="8" t="n">
        <x:f>'PG facts'!E139</x:f>
        <x:v>3</x:v>
      </x:c>
      <x:c r="M1252" s="8" t="n">
        <x:f>K1252-L1252</x:f>
        <x:v>-1.5</x:v>
      </x:c>
      <x:c r="N1252" s="8" t="n">
        <x:f>M1252^2</x:f>
        <x:v>2.25</x:v>
      </x:c>
      <x:c r="O1252" s="8" t="n">
        <x:f>ABS(M1252)</x:f>
        <x:v>1.5</x:v>
      </x:c>
      <x:c r="P1252" s="7" t="n">
        <x:v>46045</x:v>
      </x:c>
    </x:row>
    <x:row r="1253" ht="26" customHeight="1">
      <x:c r="A1253" s="2"/>
      <x:c r="B1253" s="2" t="n">
        <x:v>1248</x:v>
      </x:c>
      <x:c r="C1253" s="2" t="str">
        <x:v>Beauty / organic_volume_growth</x:v>
      </x:c>
      <x:c r="D1253" s="7" t="n">
        <x:v>46022</x:v>
      </x:c>
      <x:c r="E1253" s="2" t="str">
        <x:v>Prior report</x:v>
      </x:c>
      <x:c r="F1253" s="7" t="n">
        <x:v>45954</x:v>
      </x:c>
      <x:c r="G1253" s="2" t="str">
        <x:v>Broad market</x:v>
      </x:c>
      <x:c r="H1253" s="8" t="n">
        <x:f>'Model fits'!AA829</x:f>
        <x:v>-0.04812126011063411</x:v>
      </x:c>
      <x:c r="I1253" s="8" t="n">
        <x:f>0</x:f>
        <x:v>0</x:v>
      </x:c>
      <x:c r="J1253" s="8" t="n">
        <x:v>0</x:v>
      </x:c>
      <x:c r="K1253" s="8" t="n">
        <x:f>H1253-I1253*J1253</x:f>
        <x:v>-0.04812126011063411</x:v>
      </x:c>
      <x:c r="L1253" s="8" t="n">
        <x:f>'PG facts'!E139</x:f>
        <x:v>3</x:v>
      </x:c>
      <x:c r="M1253" s="8" t="n">
        <x:f>K1253-L1253</x:f>
        <x:v>-3.048121260110634</x:v>
      </x:c>
      <x:c r="N1253" s="8" t="n">
        <x:f>M1253^2</x:f>
        <x:v>9.291043216338439</x:v>
      </x:c>
      <x:c r="O1253" s="8" t="n">
        <x:f>ABS(M1253)</x:f>
        <x:v>3.048121260110634</x:v>
      </x:c>
      <x:c r="P1253" s="7" t="n">
        <x:v>46045</x:v>
      </x:c>
    </x:row>
    <x:row r="1254" ht="26" customHeight="1">
      <x:c r="A1254" s="2"/>
      <x:c r="B1254" s="2" t="n">
        <x:v>1249</x:v>
      </x:c>
      <x:c r="C1254" s="2" t="str">
        <x:v>Beauty / organic_volume_growth</x:v>
      </x:c>
      <x:c r="D1254" s="7" t="n">
        <x:v>46022</x:v>
      </x:c>
      <x:c r="E1254" s="2" t="str">
        <x:v>Prior report</x:v>
      </x:c>
      <x:c r="F1254" s="7" t="n">
        <x:v>45954</x:v>
      </x:c>
      <x:c r="G1254" s="2" t="str">
        <x:v>Broad rolling 8</x:v>
      </x:c>
      <x:c r="H1254" s="8" t="n">
        <x:f>'Model fits'!AA830</x:f>
        <x:v>0.5551847721405453</x:v>
      </x:c>
      <x:c r="I1254" s="8" t="n">
        <x:f>0</x:f>
        <x:v>0</x:v>
      </x:c>
      <x:c r="J1254" s="8" t="n">
        <x:v>0</x:v>
      </x:c>
      <x:c r="K1254" s="8" t="n">
        <x:f>H1254-I1254*J1254</x:f>
        <x:v>0.5551847721405453</x:v>
      </x:c>
      <x:c r="L1254" s="8" t="n">
        <x:f>'PG facts'!E139</x:f>
        <x:v>3</x:v>
      </x:c>
      <x:c r="M1254" s="8" t="n">
        <x:f>K1254-L1254</x:f>
        <x:v>-2.4448152278594546</x:v>
      </x:c>
      <x:c r="N1254" s="8" t="n">
        <x:f>M1254^2</x:f>
        <x:v>5.977121498373477</x:v>
      </x:c>
      <x:c r="O1254" s="8" t="n">
        <x:f>ABS(M1254)</x:f>
        <x:v>2.4448152278594546</x:v>
      </x:c>
      <x:c r="P1254" s="7" t="n">
        <x:v>46045</x:v>
      </x:c>
    </x:row>
    <x:row r="1255" ht="26" customHeight="1">
      <x:c r="A1255" s="2"/>
      <x:c r="B1255" s="2" t="n">
        <x:v>1250</x:v>
      </x:c>
      <x:c r="C1255" s="2" t="str">
        <x:v>Beauty / organic_volume_growth</x:v>
      </x:c>
      <x:c r="D1255" s="7" t="n">
        <x:v>46022</x:v>
      </x:c>
      <x:c r="E1255" s="2" t="str">
        <x:v>Prior report</x:v>
      </x:c>
      <x:c r="F1255" s="7" t="n">
        <x:v>45954</x:v>
      </x:c>
      <x:c r="G1255" s="2" t="str">
        <x:v>Own history</x:v>
      </x:c>
      <x:c r="H1255" s="8" t="n">
        <x:f>'Model fits'!AA831</x:f>
        <x:v>1.7039473684210527</x:v>
      </x:c>
      <x:c r="I1255" s="8" t="n">
        <x:f>0</x:f>
        <x:v>0</x:v>
      </x:c>
      <x:c r="J1255" s="8" t="n">
        <x:v>0</x:v>
      </x:c>
      <x:c r="K1255" s="8" t="n">
        <x:f>H1255-I1255*J1255</x:f>
        <x:v>1.7039473684210527</x:v>
      </x:c>
      <x:c r="L1255" s="8" t="n">
        <x:f>'PG facts'!E139</x:f>
        <x:v>3</x:v>
      </x:c>
      <x:c r="M1255" s="8" t="n">
        <x:f>K1255-L1255</x:f>
        <x:v>-1.2960526315789473</x:v>
      </x:c>
      <x:c r="N1255" s="8" t="n">
        <x:f>M1255^2</x:f>
        <x:v>1.6797524238227146</x:v>
      </x:c>
      <x:c r="O1255" s="8" t="n">
        <x:f>ABS(M1255)</x:f>
        <x:v>1.2960526315789473</x:v>
      </x:c>
      <x:c r="P1255" s="7" t="n">
        <x:v>46045</x:v>
      </x:c>
    </x:row>
    <x:row r="1256" ht="26" customHeight="1">
      <x:c r="A1256" s="2"/>
      <x:c r="B1256" s="2" t="n">
        <x:v>1251</x:v>
      </x:c>
      <x:c r="C1256" s="2" t="str">
        <x:v>Beauty / organic_volume_growth</x:v>
      </x:c>
      <x:c r="D1256" s="7" t="n">
        <x:v>46022</x:v>
      </x:c>
      <x:c r="E1256" s="2" t="str">
        <x:v>Pre-earnings</x:v>
      </x:c>
      <x:c r="F1256" s="7" t="n">
        <x:v>46044</x:v>
      </x:c>
      <x:c r="G1256" s="2" t="str">
        <x:v>Last actual</x:v>
      </x:c>
      <x:c r="H1256" s="8" t="n">
        <x:f>AVERAGE('PG facts'!E132)</x:f>
        <x:v>4</x:v>
      </x:c>
      <x:c r="I1256" s="8" t="n">
        <x:f>0</x:f>
        <x:v>0</x:v>
      </x:c>
      <x:c r="J1256" s="8" t="n">
        <x:v>0</x:v>
      </x:c>
      <x:c r="K1256" s="8" t="n">
        <x:f>H1256-I1256*J1256</x:f>
        <x:v>4</x:v>
      </x:c>
      <x:c r="L1256" s="8" t="n">
        <x:f>'PG facts'!E139</x:f>
        <x:v>3</x:v>
      </x:c>
      <x:c r="M1256" s="8" t="n">
        <x:f>K1256-L1256</x:f>
        <x:v>1</x:v>
      </x:c>
      <x:c r="N1256" s="8" t="n">
        <x:f>M1256^2</x:f>
        <x:v>1</x:v>
      </x:c>
      <x:c r="O1256" s="8" t="n">
        <x:f>ABS(M1256)</x:f>
        <x:v>1</x:v>
      </x:c>
      <x:c r="P1256" s="7" t="n">
        <x:v>46045</x:v>
      </x:c>
    </x:row>
    <x:row r="1257" ht="26" customHeight="1">
      <x:c r="A1257" s="2"/>
      <x:c r="B1257" s="2" t="n">
        <x:v>1252</x:v>
      </x:c>
      <x:c r="C1257" s="2" t="str">
        <x:v>Beauty / organic_volume_growth</x:v>
      </x:c>
      <x:c r="D1257" s="7" t="n">
        <x:v>46022</x:v>
      </x:c>
      <x:c r="E1257" s="2" t="str">
        <x:v>Pre-earnings</x:v>
      </x:c>
      <x:c r="F1257" s="7" t="n">
        <x:v>46044</x:v>
      </x:c>
      <x:c r="G1257" s="2" t="str">
        <x:v>Four-quarter mean</x:v>
      </x:c>
      <x:c r="H1257" s="8" t="n">
        <x:f>AVERAGE('PG facts'!E111,'PG facts'!E118,'PG facts'!E125,'PG facts'!E132)</x:f>
        <x:v>1.5</x:v>
      </x:c>
      <x:c r="I1257" s="8" t="n">
        <x:f>0</x:f>
        <x:v>0</x:v>
      </x:c>
      <x:c r="J1257" s="8" t="n">
        <x:v>0</x:v>
      </x:c>
      <x:c r="K1257" s="8" t="n">
        <x:f>H1257-I1257*J1257</x:f>
        <x:v>1.5</x:v>
      </x:c>
      <x:c r="L1257" s="8" t="n">
        <x:f>'PG facts'!E139</x:f>
        <x:v>3</x:v>
      </x:c>
      <x:c r="M1257" s="8" t="n">
        <x:f>K1257-L1257</x:f>
        <x:v>-1.5</x:v>
      </x:c>
      <x:c r="N1257" s="8" t="n">
        <x:f>M1257^2</x:f>
        <x:v>2.25</x:v>
      </x:c>
      <x:c r="O1257" s="8" t="n">
        <x:f>ABS(M1257)</x:f>
        <x:v>1.5</x:v>
      </x:c>
      <x:c r="P1257" s="7" t="n">
        <x:v>46045</x:v>
      </x:c>
    </x:row>
    <x:row r="1258" ht="26" customHeight="1">
      <x:c r="A1258" s="2"/>
      <x:c r="B1258" s="2" t="n">
        <x:v>1253</x:v>
      </x:c>
      <x:c r="C1258" s="2" t="str">
        <x:v>Beauty / organic_volume_growth</x:v>
      </x:c>
      <x:c r="D1258" s="7" t="n">
        <x:v>46022</x:v>
      </x:c>
      <x:c r="E1258" s="2" t="str">
        <x:v>Pre-earnings</x:v>
      </x:c>
      <x:c r="F1258" s="7" t="n">
        <x:v>46044</x:v>
      </x:c>
      <x:c r="G1258" s="2" t="str">
        <x:v>Broad market</x:v>
      </x:c>
      <x:c r="H1258" s="8" t="n">
        <x:f>'Model fits'!AA832</x:f>
        <x:v>0.08584007850660424</x:v>
      </x:c>
      <x:c r="I1258" s="8" t="n">
        <x:f>0</x:f>
        <x:v>0</x:v>
      </x:c>
      <x:c r="J1258" s="8" t="n">
        <x:v>0</x:v>
      </x:c>
      <x:c r="K1258" s="8" t="n">
        <x:f>H1258-I1258*J1258</x:f>
        <x:v>0.08584007850660424</x:v>
      </x:c>
      <x:c r="L1258" s="8" t="n">
        <x:f>'PG facts'!E139</x:f>
        <x:v>3</x:v>
      </x:c>
      <x:c r="M1258" s="8" t="n">
        <x:f>K1258-L1258</x:f>
        <x:v>-2.914159921493396</x:v>
      </x:c>
      <x:c r="N1258" s="8" t="n">
        <x:f>M1258^2</x:f>
        <x:v>8.492328048038395</x:v>
      </x:c>
      <x:c r="O1258" s="8" t="n">
        <x:f>ABS(M1258)</x:f>
        <x:v>2.914159921493396</x:v>
      </x:c>
      <x:c r="P1258" s="7" t="n">
        <x:v>46045</x:v>
      </x:c>
    </x:row>
    <x:row r="1259" ht="26" customHeight="1">
      <x:c r="A1259" s="2"/>
      <x:c r="B1259" s="2" t="n">
        <x:v>1254</x:v>
      </x:c>
      <x:c r="C1259" s="2" t="str">
        <x:v>Beauty / organic_volume_growth</x:v>
      </x:c>
      <x:c r="D1259" s="7" t="n">
        <x:v>46022</x:v>
      </x:c>
      <x:c r="E1259" s="2" t="str">
        <x:v>Pre-earnings</x:v>
      </x:c>
      <x:c r="F1259" s="7" t="n">
        <x:v>46044</x:v>
      </x:c>
      <x:c r="G1259" s="2" t="str">
        <x:v>Broad lag 1</x:v>
      </x:c>
      <x:c r="H1259" s="8" t="n">
        <x:f>'Model fits'!AA833</x:f>
        <x:v>-0.001290111373286107</x:v>
      </x:c>
      <x:c r="I1259" s="8" t="n">
        <x:f>0</x:f>
        <x:v>0</x:v>
      </x:c>
      <x:c r="J1259" s="8" t="n">
        <x:v>0</x:v>
      </x:c>
      <x:c r="K1259" s="8" t="n">
        <x:f>H1259-I1259*J1259</x:f>
        <x:v>-0.001290111373286107</x:v>
      </x:c>
      <x:c r="L1259" s="8" t="n">
        <x:f>'PG facts'!E139</x:f>
        <x:v>3</x:v>
      </x:c>
      <x:c r="M1259" s="8" t="n">
        <x:f>K1259-L1259</x:f>
        <x:v>-3.001290111373286</x:v>
      </x:c>
      <x:c r="N1259" s="8" t="n">
        <x:f>M1259^2</x:f>
        <x:v>9.007742332627073</x:v>
      </x:c>
      <x:c r="O1259" s="8" t="n">
        <x:f>ABS(M1259)</x:f>
        <x:v>3.001290111373286</x:v>
      </x:c>
      <x:c r="P1259" s="7" t="n">
        <x:v>46045</x:v>
      </x:c>
    </x:row>
    <x:row r="1260" ht="26" customHeight="1">
      <x:c r="A1260" s="2"/>
      <x:c r="B1260" s="2" t="n">
        <x:v>1255</x:v>
      </x:c>
      <x:c r="C1260" s="2" t="str">
        <x:v>Beauty / organic_volume_growth</x:v>
      </x:c>
      <x:c r="D1260" s="7" t="n">
        <x:v>46022</x:v>
      </x:c>
      <x:c r="E1260" s="2" t="str">
        <x:v>Pre-earnings</x:v>
      </x:c>
      <x:c r="F1260" s="7" t="n">
        <x:v>46044</x:v>
      </x:c>
      <x:c r="G1260" s="2" t="str">
        <x:v>Broad rolling 8</x:v>
      </x:c>
      <x:c r="H1260" s="8" t="n">
        <x:f>'Model fits'!AA834</x:f>
        <x:v>0.9995567055874022</x:v>
      </x:c>
      <x:c r="I1260" s="8" t="n">
        <x:f>0</x:f>
        <x:v>0</x:v>
      </x:c>
      <x:c r="J1260" s="8" t="n">
        <x:v>0</x:v>
      </x:c>
      <x:c r="K1260" s="8" t="n">
        <x:f>H1260-I1260*J1260</x:f>
        <x:v>0.9995567055874022</x:v>
      </x:c>
      <x:c r="L1260" s="8" t="n">
        <x:f>'PG facts'!E139</x:f>
        <x:v>3</x:v>
      </x:c>
      <x:c r="M1260" s="8" t="n">
        <x:f>K1260-L1260</x:f>
        <x:v>-2.000443294412598</x:v>
      </x:c>
      <x:c r="N1260" s="8" t="n">
        <x:f>M1260^2</x:f>
        <x:v>4.0017733741603285</x:v>
      </x:c>
      <x:c r="O1260" s="8" t="n">
        <x:f>ABS(M1260)</x:f>
        <x:v>2.000443294412598</x:v>
      </x:c>
      <x:c r="P1260" s="7" t="n">
        <x:v>46045</x:v>
      </x:c>
    </x:row>
    <x:row r="1261" ht="26" customHeight="1">
      <x:c r="A1261" s="2"/>
      <x:c r="B1261" s="2" t="n">
        <x:v>1256</x:v>
      </x:c>
      <x:c r="C1261" s="2" t="str">
        <x:v>Beauty / organic_volume_growth</x:v>
      </x:c>
      <x:c r="D1261" s="7" t="n">
        <x:v>46022</x:v>
      </x:c>
      <x:c r="E1261" s="2" t="str">
        <x:v>Pre-earnings</x:v>
      </x:c>
      <x:c r="F1261" s="7" t="n">
        <x:v>46044</x:v>
      </x:c>
      <x:c r="G1261" s="2" t="str">
        <x:v>Own history</x:v>
      </x:c>
      <x:c r="H1261" s="8" t="n">
        <x:f>'Model fits'!AA835</x:f>
        <x:v>1.7039473684210527</x:v>
      </x:c>
      <x:c r="I1261" s="8" t="n">
        <x:f>0</x:f>
        <x:v>0</x:v>
      </x:c>
      <x:c r="J1261" s="8" t="n">
        <x:v>0</x:v>
      </x:c>
      <x:c r="K1261" s="8" t="n">
        <x:f>H1261-I1261*J1261</x:f>
        <x:v>1.7039473684210527</x:v>
      </x:c>
      <x:c r="L1261" s="8" t="n">
        <x:f>'PG facts'!E139</x:f>
        <x:v>3</x:v>
      </x:c>
      <x:c r="M1261" s="8" t="n">
        <x:f>K1261-L1261</x:f>
        <x:v>-1.2960526315789473</x:v>
      </x:c>
      <x:c r="N1261" s="8" t="n">
        <x:f>M1261^2</x:f>
        <x:v>1.6797524238227146</x:v>
      </x:c>
      <x:c r="O1261" s="8" t="n">
        <x:f>ABS(M1261)</x:f>
        <x:v>1.2960526315789473</x:v>
      </x:c>
      <x:c r="P1261" s="7" t="n">
        <x:v>46045</x:v>
      </x:c>
    </x:row>
    <x:row r="1262" ht="26" customHeight="1">
      <x:c r="A1262" s="2"/>
      <x:c r="B1262" s="2" t="n">
        <x:v>1257</x:v>
      </x:c>
      <x:c r="C1262" s="2" t="str">
        <x:v>Beauty / organic_volume_growth</x:v>
      </x:c>
      <x:c r="D1262" s="7" t="n">
        <x:v>46112</x:v>
      </x:c>
      <x:c r="E1262" s="2" t="str">
        <x:v>Origin</x:v>
      </x:c>
      <x:c r="F1262" s="7" t="n">
        <x:v>46023</x:v>
      </x:c>
      <x:c r="G1262" s="2" t="str">
        <x:v>Last actual</x:v>
      </x:c>
      <x:c r="H1262" s="8" t="n">
        <x:f>AVERAGE('PG facts'!E132)</x:f>
        <x:v>4</x:v>
      </x:c>
      <x:c r="I1262" s="8" t="n">
        <x:f>0</x:f>
        <x:v>0</x:v>
      </x:c>
      <x:c r="J1262" s="8" t="n">
        <x:v>0</x:v>
      </x:c>
      <x:c r="K1262" s="8" t="n">
        <x:f>H1262-I1262*J1262</x:f>
        <x:v>4</x:v>
      </x:c>
      <x:c r="L1262" s="8" t="n">
        <x:f>'PG facts'!E146</x:f>
        <x:v>5</x:v>
      </x:c>
      <x:c r="M1262" s="8" t="n">
        <x:f>K1262-L1262</x:f>
        <x:v>-1</x:v>
      </x:c>
      <x:c r="N1262" s="8" t="n">
        <x:f>M1262^2</x:f>
        <x:v>1</x:v>
      </x:c>
      <x:c r="O1262" s="8" t="n">
        <x:f>ABS(M1262)</x:f>
        <x:v>1</x:v>
      </x:c>
      <x:c r="P1262" s="7" t="n">
        <x:v>46136</x:v>
      </x:c>
    </x:row>
    <x:row r="1263" ht="26" customHeight="1">
      <x:c r="A1263" s="2"/>
      <x:c r="B1263" s="2" t="n">
        <x:v>1258</x:v>
      </x:c>
      <x:c r="C1263" s="2" t="str">
        <x:v>Beauty / organic_volume_growth</x:v>
      </x:c>
      <x:c r="D1263" s="7" t="n">
        <x:v>46112</x:v>
      </x:c>
      <x:c r="E1263" s="2" t="str">
        <x:v>Origin</x:v>
      </x:c>
      <x:c r="F1263" s="7" t="n">
        <x:v>46023</x:v>
      </x:c>
      <x:c r="G1263" s="2" t="str">
        <x:v>Four-quarter mean</x:v>
      </x:c>
      <x:c r="H1263" s="8" t="n">
        <x:f>AVERAGE('PG facts'!E111,'PG facts'!E118,'PG facts'!E125,'PG facts'!E132)</x:f>
        <x:v>1.5</x:v>
      </x:c>
      <x:c r="I1263" s="8" t="n">
        <x:f>0</x:f>
        <x:v>0</x:v>
      </x:c>
      <x:c r="J1263" s="8" t="n">
        <x:v>0</x:v>
      </x:c>
      <x:c r="K1263" s="8" t="n">
        <x:f>H1263-I1263*J1263</x:f>
        <x:v>1.5</x:v>
      </x:c>
      <x:c r="L1263" s="8" t="n">
        <x:f>'PG facts'!E146</x:f>
        <x:v>5</x:v>
      </x:c>
      <x:c r="M1263" s="8" t="n">
        <x:f>K1263-L1263</x:f>
        <x:v>-3.5</x:v>
      </x:c>
      <x:c r="N1263" s="8" t="n">
        <x:f>M1263^2</x:f>
        <x:v>12.25</x:v>
      </x:c>
      <x:c r="O1263" s="8" t="n">
        <x:f>ABS(M1263)</x:f>
        <x:v>3.5</x:v>
      </x:c>
      <x:c r="P1263" s="7" t="n">
        <x:v>46136</x:v>
      </x:c>
    </x:row>
    <x:row r="1264" ht="26" customHeight="1">
      <x:c r="A1264" s="2"/>
      <x:c r="B1264" s="2" t="n">
        <x:v>1259</x:v>
      </x:c>
      <x:c r="C1264" s="2" t="str">
        <x:v>Beauty / organic_volume_growth</x:v>
      </x:c>
      <x:c r="D1264" s="7" t="n">
        <x:v>46112</x:v>
      </x:c>
      <x:c r="E1264" s="2" t="str">
        <x:v>Origin</x:v>
      </x:c>
      <x:c r="F1264" s="7" t="n">
        <x:v>46023</x:v>
      </x:c>
      <x:c r="G1264" s="2" t="str">
        <x:v>Broad market</x:v>
      </x:c>
      <x:c r="H1264" s="8" t="n">
        <x:f>'Model fits'!AA836</x:f>
        <x:v>0.10702629475705294</x:v>
      </x:c>
      <x:c r="I1264" s="8" t="n">
        <x:f>0</x:f>
        <x:v>0</x:v>
      </x:c>
      <x:c r="J1264" s="8" t="n">
        <x:v>0</x:v>
      </x:c>
      <x:c r="K1264" s="8" t="n">
        <x:f>H1264-I1264*J1264</x:f>
        <x:v>0.10702629475705294</x:v>
      </x:c>
      <x:c r="L1264" s="8" t="n">
        <x:f>'PG facts'!E146</x:f>
        <x:v>5</x:v>
      </x:c>
      <x:c r="M1264" s="8" t="n">
        <x:f>K1264-L1264</x:f>
        <x:v>-4.892973705242947</x:v>
      </x:c>
      <x:c r="N1264" s="8" t="n">
        <x:f>M1264^2</x:f>
        <x:v>23.941191680198894</x:v>
      </x:c>
      <x:c r="O1264" s="8" t="n">
        <x:f>ABS(M1264)</x:f>
        <x:v>4.892973705242947</x:v>
      </x:c>
      <x:c r="P1264" s="7" t="n">
        <x:v>46136</x:v>
      </x:c>
    </x:row>
    <x:row r="1265" ht="26" customHeight="1">
      <x:c r="A1265" s="2"/>
      <x:c r="B1265" s="2" t="n">
        <x:v>1260</x:v>
      </x:c>
      <x:c r="C1265" s="2" t="str">
        <x:v>Beauty / organic_volume_growth</x:v>
      </x:c>
      <x:c r="D1265" s="7" t="n">
        <x:v>46112</x:v>
      </x:c>
      <x:c r="E1265" s="2" t="str">
        <x:v>Origin</x:v>
      </x:c>
      <x:c r="F1265" s="7" t="n">
        <x:v>46023</x:v>
      </x:c>
      <x:c r="G1265" s="2" t="str">
        <x:v>Broad rolling 8</x:v>
      </x:c>
      <x:c r="H1265" s="8" t="n">
        <x:f>'Model fits'!AA837</x:f>
        <x:v>1.0511044829211778</x:v>
      </x:c>
      <x:c r="I1265" s="8" t="n">
        <x:f>0</x:f>
        <x:v>0</x:v>
      </x:c>
      <x:c r="J1265" s="8" t="n">
        <x:v>0</x:v>
      </x:c>
      <x:c r="K1265" s="8" t="n">
        <x:f>H1265-I1265*J1265</x:f>
        <x:v>1.0511044829211778</x:v>
      </x:c>
      <x:c r="L1265" s="8" t="n">
        <x:f>'PG facts'!E146</x:f>
        <x:v>5</x:v>
      </x:c>
      <x:c r="M1265" s="8" t="n">
        <x:f>K1265-L1265</x:f>
        <x:v>-3.9488955170788222</x:v>
      </x:c>
      <x:c r="N1265" s="8" t="n">
        <x:f>M1265^2</x:f>
        <x:v>15.593775804805219</x:v>
      </x:c>
      <x:c r="O1265" s="8" t="n">
        <x:f>ABS(M1265)</x:f>
        <x:v>3.9488955170788222</x:v>
      </x:c>
      <x:c r="P1265" s="7" t="n">
        <x:v>46136</x:v>
      </x:c>
    </x:row>
    <x:row r="1266" ht="26" customHeight="1">
      <x:c r="A1266" s="2"/>
      <x:c r="B1266" s="2" t="n">
        <x:v>1261</x:v>
      </x:c>
      <x:c r="C1266" s="2" t="str">
        <x:v>Beauty / organic_volume_growth</x:v>
      </x:c>
      <x:c r="D1266" s="7" t="n">
        <x:v>46112</x:v>
      </x:c>
      <x:c r="E1266" s="2" t="str">
        <x:v>Origin</x:v>
      </x:c>
      <x:c r="F1266" s="7" t="n">
        <x:v>46023</x:v>
      </x:c>
      <x:c r="G1266" s="2" t="str">
        <x:v>Own history</x:v>
      </x:c>
      <x:c r="H1266" s="8" t="n">
        <x:f>'Model fits'!AA838</x:f>
        <x:v>1.976449275362319</x:v>
      </x:c>
      <x:c r="I1266" s="8" t="n">
        <x:f>0</x:f>
        <x:v>0</x:v>
      </x:c>
      <x:c r="J1266" s="8" t="n">
        <x:v>0</x:v>
      </x:c>
      <x:c r="K1266" s="8" t="n">
        <x:f>H1266-I1266*J1266</x:f>
        <x:v>1.976449275362319</x:v>
      </x:c>
      <x:c r="L1266" s="8" t="n">
        <x:f>'PG facts'!E146</x:f>
        <x:v>5</x:v>
      </x:c>
      <x:c r="M1266" s="8" t="n">
        <x:f>K1266-L1266</x:f>
        <x:v>-3.0235507246376807</x:v>
      </x:c>
      <x:c r="N1266" s="8" t="n">
        <x:f>M1266^2</x:f>
        <x:v>9.141858984457045</x:v>
      </x:c>
      <x:c r="O1266" s="8" t="n">
        <x:f>ABS(M1266)</x:f>
        <x:v>3.0235507246376807</x:v>
      </x:c>
      <x:c r="P1266" s="7" t="n">
        <x:v>46136</x:v>
      </x:c>
    </x:row>
    <x:row r="1267" ht="26" customHeight="1">
      <x:c r="A1267" s="2"/>
      <x:c r="B1267" s="2" t="n">
        <x:v>1262</x:v>
      </x:c>
      <x:c r="C1267" s="2" t="str">
        <x:v>Beauty / organic_volume_growth</x:v>
      </x:c>
      <x:c r="D1267" s="7" t="n">
        <x:v>46112</x:v>
      </x:c>
      <x:c r="E1267" s="2" t="str">
        <x:v>Prior report</x:v>
      </x:c>
      <x:c r="F1267" s="7" t="n">
        <x:v>46045</x:v>
      </x:c>
      <x:c r="G1267" s="2" t="str">
        <x:v>Last actual</x:v>
      </x:c>
      <x:c r="H1267" s="8" t="n">
        <x:f>AVERAGE('PG facts'!E139)</x:f>
        <x:v>3</x:v>
      </x:c>
      <x:c r="I1267" s="8" t="n">
        <x:f>0</x:f>
        <x:v>0</x:v>
      </x:c>
      <x:c r="J1267" s="8" t="n">
        <x:v>0</x:v>
      </x:c>
      <x:c r="K1267" s="8" t="n">
        <x:f>H1267-I1267*J1267</x:f>
        <x:v>3</x:v>
      </x:c>
      <x:c r="L1267" s="8" t="n">
        <x:f>'PG facts'!E146</x:f>
        <x:v>5</x:v>
      </x:c>
      <x:c r="M1267" s="8" t="n">
        <x:f>K1267-L1267</x:f>
        <x:v>-2</x:v>
      </x:c>
      <x:c r="N1267" s="8" t="n">
        <x:f>M1267^2</x:f>
        <x:v>4</x:v>
      </x:c>
      <x:c r="O1267" s="8" t="n">
        <x:f>ABS(M1267)</x:f>
        <x:v>2</x:v>
      </x:c>
      <x:c r="P1267" s="7" t="n">
        <x:v>46136</x:v>
      </x:c>
    </x:row>
    <x:row r="1268" ht="26" customHeight="1">
      <x:c r="A1268" s="2"/>
      <x:c r="B1268" s="2" t="n">
        <x:v>1263</x:v>
      </x:c>
      <x:c r="C1268" s="2" t="str">
        <x:v>Beauty / organic_volume_growth</x:v>
      </x:c>
      <x:c r="D1268" s="7" t="n">
        <x:v>46112</x:v>
      </x:c>
      <x:c r="E1268" s="2" t="str">
        <x:v>Prior report</x:v>
      </x:c>
      <x:c r="F1268" s="7" t="n">
        <x:v>46045</x:v>
      </x:c>
      <x:c r="G1268" s="2" t="str">
        <x:v>Four-quarter mean</x:v>
      </x:c>
      <x:c r="H1268" s="8" t="n">
        <x:f>AVERAGE('PG facts'!E118,'PG facts'!E125,'PG facts'!E132,'PG facts'!E139)</x:f>
        <x:v>2.25</x:v>
      </x:c>
      <x:c r="I1268" s="8" t="n">
        <x:f>0</x:f>
        <x:v>0</x:v>
      </x:c>
      <x:c r="J1268" s="8" t="n">
        <x:v>0</x:v>
      </x:c>
      <x:c r="K1268" s="8" t="n">
        <x:f>H1268-I1268*J1268</x:f>
        <x:v>2.25</x:v>
      </x:c>
      <x:c r="L1268" s="8" t="n">
        <x:f>'PG facts'!E146</x:f>
        <x:v>5</x:v>
      </x:c>
      <x:c r="M1268" s="8" t="n">
        <x:f>K1268-L1268</x:f>
        <x:v>-2.75</x:v>
      </x:c>
      <x:c r="N1268" s="8" t="n">
        <x:f>M1268^2</x:f>
        <x:v>7.5625</x:v>
      </x:c>
      <x:c r="O1268" s="8" t="n">
        <x:f>ABS(M1268)</x:f>
        <x:v>2.75</x:v>
      </x:c>
      <x:c r="P1268" s="7" t="n">
        <x:v>46136</x:v>
      </x:c>
    </x:row>
    <x:row r="1269" ht="26" customHeight="1">
      <x:c r="A1269" s="2"/>
      <x:c r="B1269" s="2" t="n">
        <x:v>1264</x:v>
      </x:c>
      <x:c r="C1269" s="2" t="str">
        <x:v>Beauty / organic_volume_growth</x:v>
      </x:c>
      <x:c r="D1269" s="7" t="n">
        <x:v>46112</x:v>
      </x:c>
      <x:c r="E1269" s="2" t="str">
        <x:v>Prior report</x:v>
      </x:c>
      <x:c r="F1269" s="7" t="n">
        <x:v>46045</x:v>
      </x:c>
      <x:c r="G1269" s="2" t="str">
        <x:v>Broad market</x:v>
      </x:c>
      <x:c r="H1269" s="8" t="n">
        <x:f>'Model fits'!AA839</x:f>
        <x:v>0.04449569535400033</x:v>
      </x:c>
      <x:c r="I1269" s="8" t="n">
        <x:f>0</x:f>
        <x:v>0</x:v>
      </x:c>
      <x:c r="J1269" s="8" t="n">
        <x:v>0</x:v>
      </x:c>
      <x:c r="K1269" s="8" t="n">
        <x:f>H1269-I1269*J1269</x:f>
        <x:v>0.04449569535400033</x:v>
      </x:c>
      <x:c r="L1269" s="8" t="n">
        <x:f>'PG facts'!E146</x:f>
        <x:v>5</x:v>
      </x:c>
      <x:c r="M1269" s="8" t="n">
        <x:f>K1269-L1269</x:f>
        <x:v>-4.9555043046459994</x:v>
      </x:c>
      <x:c r="N1269" s="8" t="n">
        <x:f>M1269^2</x:f>
        <x:v>24.55702291336503</x:v>
      </x:c>
      <x:c r="O1269" s="8" t="n">
        <x:f>ABS(M1269)</x:f>
        <x:v>4.9555043046459994</x:v>
      </x:c>
      <x:c r="P1269" s="7" t="n">
        <x:v>46136</x:v>
      </x:c>
    </x:row>
    <x:row r="1270" ht="26" customHeight="1">
      <x:c r="A1270" s="2"/>
      <x:c r="B1270" s="2" t="n">
        <x:v>1265</x:v>
      </x:c>
      <x:c r="C1270" s="2" t="str">
        <x:v>Beauty / organic_volume_growth</x:v>
      </x:c>
      <x:c r="D1270" s="7" t="n">
        <x:v>46112</x:v>
      </x:c>
      <x:c r="E1270" s="2" t="str">
        <x:v>Prior report</x:v>
      </x:c>
      <x:c r="F1270" s="7" t="n">
        <x:v>46045</x:v>
      </x:c>
      <x:c r="G1270" s="2" t="str">
        <x:v>Broad rolling 8</x:v>
      </x:c>
      <x:c r="H1270" s="8" t="n">
        <x:f>'Model fits'!AA840</x:f>
        <x:v>0.9069693464527819</x:v>
      </x:c>
      <x:c r="I1270" s="8" t="n">
        <x:f>0</x:f>
        <x:v>0</x:v>
      </x:c>
      <x:c r="J1270" s="8" t="n">
        <x:v>0</x:v>
      </x:c>
      <x:c r="K1270" s="8" t="n">
        <x:f>H1270-I1270*J1270</x:f>
        <x:v>0.9069693464527819</x:v>
      </x:c>
      <x:c r="L1270" s="8" t="n">
        <x:f>'PG facts'!E146</x:f>
        <x:v>5</x:v>
      </x:c>
      <x:c r="M1270" s="8" t="n">
        <x:f>K1270-L1270</x:f>
        <x:v>-4.093030653547218</x:v>
      </x:c>
      <x:c r="N1270" s="8" t="n">
        <x:f>M1270^2</x:f>
        <x:v>16.752899930877167</x:v>
      </x:c>
      <x:c r="O1270" s="8" t="n">
        <x:f>ABS(M1270)</x:f>
        <x:v>4.093030653547218</x:v>
      </x:c>
      <x:c r="P1270" s="7" t="n">
        <x:v>46136</x:v>
      </x:c>
    </x:row>
    <x:row r="1271" ht="26" customHeight="1">
      <x:c r="A1271" s="2"/>
      <x:c r="B1271" s="2" t="n">
        <x:v>1266</x:v>
      </x:c>
      <x:c r="C1271" s="2" t="str">
        <x:v>Beauty / organic_volume_growth</x:v>
      </x:c>
      <x:c r="D1271" s="7" t="n">
        <x:v>46112</x:v>
      </x:c>
      <x:c r="E1271" s="2" t="str">
        <x:v>Prior report</x:v>
      </x:c>
      <x:c r="F1271" s="7" t="n">
        <x:v>46045</x:v>
      </x:c>
      <x:c r="G1271" s="2" t="str">
        <x:v>Own history</x:v>
      </x:c>
      <x:c r="H1271" s="8" t="n">
        <x:f>'Model fits'!AA841</x:f>
        <x:v>1.6511627906976747</x:v>
      </x:c>
      <x:c r="I1271" s="8" t="n">
        <x:f>0</x:f>
        <x:v>0</x:v>
      </x:c>
      <x:c r="J1271" s="8" t="n">
        <x:v>0</x:v>
      </x:c>
      <x:c r="K1271" s="8" t="n">
        <x:f>H1271-I1271*J1271</x:f>
        <x:v>1.6511627906976747</x:v>
      </x:c>
      <x:c r="L1271" s="8" t="n">
        <x:f>'PG facts'!E146</x:f>
        <x:v>5</x:v>
      </x:c>
      <x:c r="M1271" s="8" t="n">
        <x:f>K1271-L1271</x:f>
        <x:v>-3.3488372093023253</x:v>
      </x:c>
      <x:c r="N1271" s="8" t="n">
        <x:f>M1271^2</x:f>
        <x:v>11.214710654407787</x:v>
      </x:c>
      <x:c r="O1271" s="8" t="n">
        <x:f>ABS(M1271)</x:f>
        <x:v>3.3488372093023253</x:v>
      </x:c>
      <x:c r="P1271" s="7" t="n">
        <x:v>46136</x:v>
      </x:c>
    </x:row>
    <x:row r="1272" ht="26" customHeight="1">
      <x:c r="A1272" s="2"/>
      <x:c r="B1272" s="2" t="n">
        <x:v>1267</x:v>
      </x:c>
      <x:c r="C1272" s="2" t="str">
        <x:v>Beauty / organic_volume_growth</x:v>
      </x:c>
      <x:c r="D1272" s="7" t="n">
        <x:v>46112</x:v>
      </x:c>
      <x:c r="E1272" s="2" t="str">
        <x:v>Pre-earnings</x:v>
      </x:c>
      <x:c r="F1272" s="7" t="n">
        <x:v>46135</x:v>
      </x:c>
      <x:c r="G1272" s="2" t="str">
        <x:v>Last actual</x:v>
      </x:c>
      <x:c r="H1272" s="8" t="n">
        <x:f>AVERAGE('PG facts'!E139)</x:f>
        <x:v>3</x:v>
      </x:c>
      <x:c r="I1272" s="8" t="n">
        <x:f>0</x:f>
        <x:v>0</x:v>
      </x:c>
      <x:c r="J1272" s="8" t="n">
        <x:v>0</x:v>
      </x:c>
      <x:c r="K1272" s="8" t="n">
        <x:f>H1272-I1272*J1272</x:f>
        <x:v>3</x:v>
      </x:c>
      <x:c r="L1272" s="8" t="n">
        <x:f>'PG facts'!E146</x:f>
        <x:v>5</x:v>
      </x:c>
      <x:c r="M1272" s="8" t="n">
        <x:f>K1272-L1272</x:f>
        <x:v>-2</x:v>
      </x:c>
      <x:c r="N1272" s="8" t="n">
        <x:f>M1272^2</x:f>
        <x:v>4</x:v>
      </x:c>
      <x:c r="O1272" s="8" t="n">
        <x:f>ABS(M1272)</x:f>
        <x:v>2</x:v>
      </x:c>
      <x:c r="P1272" s="7" t="n">
        <x:v>46136</x:v>
      </x:c>
    </x:row>
    <x:row r="1273" ht="26" customHeight="1">
      <x:c r="A1273" s="2"/>
      <x:c r="B1273" s="2" t="n">
        <x:v>1268</x:v>
      </x:c>
      <x:c r="C1273" s="2" t="str">
        <x:v>Beauty / organic_volume_growth</x:v>
      </x:c>
      <x:c r="D1273" s="7" t="n">
        <x:v>46112</x:v>
      </x:c>
      <x:c r="E1273" s="2" t="str">
        <x:v>Pre-earnings</x:v>
      </x:c>
      <x:c r="F1273" s="7" t="n">
        <x:v>46135</x:v>
      </x:c>
      <x:c r="G1273" s="2" t="str">
        <x:v>Four-quarter mean</x:v>
      </x:c>
      <x:c r="H1273" s="8" t="n">
        <x:f>AVERAGE('PG facts'!E118,'PG facts'!E125,'PG facts'!E132,'PG facts'!E139)</x:f>
        <x:v>2.25</x:v>
      </x:c>
      <x:c r="I1273" s="8" t="n">
        <x:f>0</x:f>
        <x:v>0</x:v>
      </x:c>
      <x:c r="J1273" s="8" t="n">
        <x:v>0</x:v>
      </x:c>
      <x:c r="K1273" s="8" t="n">
        <x:f>H1273-I1273*J1273</x:f>
        <x:v>2.25</x:v>
      </x:c>
      <x:c r="L1273" s="8" t="n">
        <x:f>'PG facts'!E146</x:f>
        <x:v>5</x:v>
      </x:c>
      <x:c r="M1273" s="8" t="n">
        <x:f>K1273-L1273</x:f>
        <x:v>-2.75</x:v>
      </x:c>
      <x:c r="N1273" s="8" t="n">
        <x:f>M1273^2</x:f>
        <x:v>7.5625</x:v>
      </x:c>
      <x:c r="O1273" s="8" t="n">
        <x:f>ABS(M1273)</x:f>
        <x:v>2.75</x:v>
      </x:c>
      <x:c r="P1273" s="7" t="n">
        <x:v>46136</x:v>
      </x:c>
    </x:row>
    <x:row r="1274" ht="26" customHeight="1">
      <x:c r="A1274" s="2"/>
      <x:c r="B1274" s="2" t="n">
        <x:v>1269</x:v>
      </x:c>
      <x:c r="C1274" s="2" t="str">
        <x:v>Beauty / organic_volume_growth</x:v>
      </x:c>
      <x:c r="D1274" s="7" t="n">
        <x:v>46112</x:v>
      </x:c>
      <x:c r="E1274" s="2" t="str">
        <x:v>Pre-earnings</x:v>
      </x:c>
      <x:c r="F1274" s="7" t="n">
        <x:v>46135</x:v>
      </x:c>
      <x:c r="G1274" s="2" t="str">
        <x:v>Broad market</x:v>
      </x:c>
      <x:c r="H1274" s="8" t="n">
        <x:f>'Model fits'!AA842</x:f>
        <x:v>-0.09962231084616785</x:v>
      </x:c>
      <x:c r="I1274" s="8" t="n">
        <x:f>0</x:f>
        <x:v>0</x:v>
      </x:c>
      <x:c r="J1274" s="8" t="n">
        <x:v>0</x:v>
      </x:c>
      <x:c r="K1274" s="8" t="n">
        <x:f>H1274-I1274*J1274</x:f>
        <x:v>-0.09962231084616785</x:v>
      </x:c>
      <x:c r="L1274" s="8" t="n">
        <x:f>'PG facts'!E146</x:f>
        <x:v>5</x:v>
      </x:c>
      <x:c r="M1274" s="8" t="n">
        <x:f>K1274-L1274</x:f>
        <x:v>-5.099622310846168</x:v>
      </x:c>
      <x:c r="N1274" s="8" t="n">
        <x:f>M1274^2</x:f>
        <x:v>26.006147713280008</x:v>
      </x:c>
      <x:c r="O1274" s="8" t="n">
        <x:f>ABS(M1274)</x:f>
        <x:v>5.099622310846168</x:v>
      </x:c>
      <x:c r="P1274" s="7" t="n">
        <x:v>46136</x:v>
      </x:c>
    </x:row>
    <x:row r="1275" ht="26" customHeight="1">
      <x:c r="A1275" s="2"/>
      <x:c r="B1275" s="2" t="n">
        <x:v>1270</x:v>
      </x:c>
      <x:c r="C1275" s="2" t="str">
        <x:v>Beauty / organic_volume_growth</x:v>
      </x:c>
      <x:c r="D1275" s="7" t="n">
        <x:v>46112</x:v>
      </x:c>
      <x:c r="E1275" s="2" t="str">
        <x:v>Pre-earnings</x:v>
      </x:c>
      <x:c r="F1275" s="7" t="n">
        <x:v>46135</x:v>
      </x:c>
      <x:c r="G1275" s="2" t="str">
        <x:v>Broad lag 1</x:v>
      </x:c>
      <x:c r="H1275" s="8" t="n">
        <x:f>'Model fits'!AA843</x:f>
        <x:v>0.06847399936924178</x:v>
      </x:c>
      <x:c r="I1275" s="8" t="n">
        <x:f>0</x:f>
        <x:v>0</x:v>
      </x:c>
      <x:c r="J1275" s="8" t="n">
        <x:v>0</x:v>
      </x:c>
      <x:c r="K1275" s="8" t="n">
        <x:f>H1275-I1275*J1275</x:f>
        <x:v>0.06847399936924178</x:v>
      </x:c>
      <x:c r="L1275" s="8" t="n">
        <x:f>'PG facts'!E146</x:f>
        <x:v>5</x:v>
      </x:c>
      <x:c r="M1275" s="8" t="n">
        <x:f>K1275-L1275</x:f>
        <x:v>-4.931526000630758</x:v>
      </x:c>
      <x:c r="N1275" s="8" t="n">
        <x:f>M1275^2</x:f>
        <x:v>24.319948694897203</x:v>
      </x:c>
      <x:c r="O1275" s="8" t="n">
        <x:f>ABS(M1275)</x:f>
        <x:v>4.931526000630758</x:v>
      </x:c>
      <x:c r="P1275" s="7" t="n">
        <x:v>46136</x:v>
      </x:c>
    </x:row>
    <x:row r="1276" ht="26" customHeight="1">
      <x:c r="A1276" s="2"/>
      <x:c r="B1276" s="2" t="n">
        <x:v>1271</x:v>
      </x:c>
      <x:c r="C1276" s="2" t="str">
        <x:v>Beauty / organic_volume_growth</x:v>
      </x:c>
      <x:c r="D1276" s="7" t="n">
        <x:v>46112</x:v>
      </x:c>
      <x:c r="E1276" s="2" t="str">
        <x:v>Pre-earnings</x:v>
      </x:c>
      <x:c r="F1276" s="7" t="n">
        <x:v>46135</x:v>
      </x:c>
      <x:c r="G1276" s="2" t="str">
        <x:v>Broad rolling 8</x:v>
      </x:c>
      <x:c r="H1276" s="8" t="n">
        <x:f>'Model fits'!AA844</x:f>
        <x:v>1.415396588055255</x:v>
      </x:c>
      <x:c r="I1276" s="8" t="n">
        <x:f>0</x:f>
        <x:v>0</x:v>
      </x:c>
      <x:c r="J1276" s="8" t="n">
        <x:v>0</x:v>
      </x:c>
      <x:c r="K1276" s="8" t="n">
        <x:f>H1276-I1276*J1276</x:f>
        <x:v>1.415396588055255</x:v>
      </x:c>
      <x:c r="L1276" s="8" t="n">
        <x:f>'PG facts'!E146</x:f>
        <x:v>5</x:v>
      </x:c>
      <x:c r="M1276" s="8" t="n">
        <x:f>K1276-L1276</x:f>
        <x:v>-3.584603411944745</x:v>
      </x:c>
      <x:c r="N1276" s="8" t="n">
        <x:f>M1276^2</x:f>
        <x:v>12.849381620925907</x:v>
      </x:c>
      <x:c r="O1276" s="8" t="n">
        <x:f>ABS(M1276)</x:f>
        <x:v>3.584603411944745</x:v>
      </x:c>
      <x:c r="P1276" s="7" t="n">
        <x:v>46136</x:v>
      </x:c>
    </x:row>
    <x:row r="1277" ht="26" customHeight="1">
      <x:c r="A1277" s="2"/>
      <x:c r="B1277" s="2" t="n">
        <x:v>1272</x:v>
      </x:c>
      <x:c r="C1277" s="2" t="str">
        <x:v>Beauty / organic_volume_growth</x:v>
      </x:c>
      <x:c r="D1277" s="7" t="n">
        <x:v>46112</x:v>
      </x:c>
      <x:c r="E1277" s="2" t="str">
        <x:v>Pre-earnings</x:v>
      </x:c>
      <x:c r="F1277" s="7" t="n">
        <x:v>46135</x:v>
      </x:c>
      <x:c r="G1277" s="2" t="str">
        <x:v>Own history</x:v>
      </x:c>
      <x:c r="H1277" s="8" t="n">
        <x:f>'Model fits'!AA845</x:f>
        <x:v>1.6511627906976747</x:v>
      </x:c>
      <x:c r="I1277" s="8" t="n">
        <x:f>0</x:f>
        <x:v>0</x:v>
      </x:c>
      <x:c r="J1277" s="8" t="n">
        <x:v>0</x:v>
      </x:c>
      <x:c r="K1277" s="8" t="n">
        <x:f>H1277-I1277*J1277</x:f>
        <x:v>1.6511627906976747</x:v>
      </x:c>
      <x:c r="L1277" s="8" t="n">
        <x:f>'PG facts'!E146</x:f>
        <x:v>5</x:v>
      </x:c>
      <x:c r="M1277" s="8" t="n">
        <x:f>K1277-L1277</x:f>
        <x:v>-3.3488372093023253</x:v>
      </x:c>
      <x:c r="N1277" s="8" t="n">
        <x:f>M1277^2</x:f>
        <x:v>11.214710654407787</x:v>
      </x:c>
      <x:c r="O1277" s="8" t="n">
        <x:f>ABS(M1277)</x:f>
        <x:v>3.3488372093023253</x:v>
      </x:c>
      <x:c r="P1277" s="7" t="n">
        <x:v>46136</x:v>
      </x:c>
    </x:row>
    <x:row r="1278" ht="26" customHeight="1">
      <x:c r="A1278" s="2"/>
      <x:c r="B1278" s="2" t="n">
        <x:v>1273</x:v>
      </x:c>
      <x:c r="C1278" s="2" t="str">
        <x:v>Grooming / organic_volume_growth</x:v>
      </x:c>
      <x:c r="D1278" s="7" t="n">
        <x:v>45107</x:v>
      </x:c>
      <x:c r="E1278" s="2" t="str">
        <x:v>Origin</x:v>
      </x:c>
      <x:c r="F1278" s="7" t="n">
        <x:v>45017</x:v>
      </x:c>
      <x:c r="G1278" s="2" t="str">
        <x:v>Last actual</x:v>
      </x:c>
      <x:c r="H1278" s="8" t="n">
        <x:f>AVERAGE('PG facts'!E56)</x:f>
        <x:v>-8</x:v>
      </x:c>
      <x:c r="I1278" s="8" t="n">
        <x:f>0</x:f>
        <x:v>0</x:v>
      </x:c>
      <x:c r="J1278" s="8" t="n">
        <x:v>0</x:v>
      </x:c>
      <x:c r="K1278" s="8" t="n">
        <x:f>H1278-I1278*J1278</x:f>
        <x:v>-8</x:v>
      </x:c>
      <x:c r="L1278" s="8" t="n">
        <x:f>'PG facts'!E70</x:f>
        <x:v>-1</x:v>
      </x:c>
      <x:c r="M1278" s="8" t="n">
        <x:f>K1278-L1278</x:f>
        <x:v>-7</x:v>
      </x:c>
      <x:c r="N1278" s="8" t="n">
        <x:f>M1278^2</x:f>
        <x:v>49</x:v>
      </x:c>
      <x:c r="O1278" s="8" t="n">
        <x:f>ABS(M1278)</x:f>
        <x:v>7</x:v>
      </x:c>
      <x:c r="P1278" s="7" t="n">
        <x:v>45135</x:v>
      </x:c>
    </x:row>
    <x:row r="1279" ht="26" customHeight="1">
      <x:c r="A1279" s="2"/>
      <x:c r="B1279" s="2" t="n">
        <x:v>1274</x:v>
      </x:c>
      <x:c r="C1279" s="2" t="str">
        <x:v>Grooming / organic_volume_growth</x:v>
      </x:c>
      <x:c r="D1279" s="7" t="n">
        <x:v>45107</x:v>
      </x:c>
      <x:c r="E1279" s="2" t="str">
        <x:v>Origin</x:v>
      </x:c>
      <x:c r="F1279" s="7" t="n">
        <x:v>45017</x:v>
      </x:c>
      <x:c r="G1279" s="2" t="str">
        <x:v>Four-quarter mean</x:v>
      </x:c>
      <x:c r="H1279" s="8" t="n">
        <x:f>AVERAGE('PG facts'!E35,'PG facts'!E42,'PG facts'!E49,'PG facts'!E56)</x:f>
        <x:v>-2</x:v>
      </x:c>
      <x:c r="I1279" s="8" t="n">
        <x:f>0</x:f>
        <x:v>0</x:v>
      </x:c>
      <x:c r="J1279" s="8" t="n">
        <x:v>0</x:v>
      </x:c>
      <x:c r="K1279" s="8" t="n">
        <x:f>H1279-I1279*J1279</x:f>
        <x:v>-2</x:v>
      </x:c>
      <x:c r="L1279" s="8" t="n">
        <x:f>'PG facts'!E70</x:f>
        <x:v>-1</x:v>
      </x:c>
      <x:c r="M1279" s="8" t="n">
        <x:f>K1279-L1279</x:f>
        <x:v>-1</x:v>
      </x:c>
      <x:c r="N1279" s="8" t="n">
        <x:f>M1279^2</x:f>
        <x:v>1</x:v>
      </x:c>
      <x:c r="O1279" s="8" t="n">
        <x:f>ABS(M1279)</x:f>
        <x:v>1</x:v>
      </x:c>
      <x:c r="P1279" s="7" t="n">
        <x:v>45135</x:v>
      </x:c>
    </x:row>
    <x:row r="1280" ht="26" customHeight="1">
      <x:c r="A1280" s="2"/>
      <x:c r="B1280" s="2" t="n">
        <x:v>1275</x:v>
      </x:c>
      <x:c r="C1280" s="2" t="str">
        <x:v>Grooming / organic_volume_growth</x:v>
      </x:c>
      <x:c r="D1280" s="7" t="n">
        <x:v>45107</x:v>
      </x:c>
      <x:c r="E1280" s="2" t="str">
        <x:v>Origin</x:v>
      </x:c>
      <x:c r="F1280" s="7" t="n">
        <x:v>45017</x:v>
      </x:c>
      <x:c r="G1280" s="2" t="str">
        <x:v>Broad market</x:v>
      </x:c>
      <x:c r="H1280" s="8" t="n">
        <x:f>'Model fits'!AA846</x:f>
        <x:v>-2.141746708066038</x:v>
      </x:c>
      <x:c r="I1280" s="8" t="n">
        <x:f>0</x:f>
        <x:v>0</x:v>
      </x:c>
      <x:c r="J1280" s="8" t="n">
        <x:v>0</x:v>
      </x:c>
      <x:c r="K1280" s="8" t="n">
        <x:f>H1280-I1280*J1280</x:f>
        <x:v>-2.141746708066038</x:v>
      </x:c>
      <x:c r="L1280" s="8" t="n">
        <x:f>'PG facts'!E70</x:f>
        <x:v>-1</x:v>
      </x:c>
      <x:c r="M1280" s="8" t="n">
        <x:f>K1280-L1280</x:f>
        <x:v>-1.1417467080660382</x:v>
      </x:c>
      <x:c r="N1280" s="8" t="n">
        <x:f>M1280^2</x:f>
        <x:v>1.303585545379635</x:v>
      </x:c>
      <x:c r="O1280" s="8" t="n">
        <x:f>ABS(M1280)</x:f>
        <x:v>1.1417467080660382</x:v>
      </x:c>
      <x:c r="P1280" s="7" t="n">
        <x:v>45135</x:v>
      </x:c>
    </x:row>
    <x:row r="1281" ht="26" customHeight="1">
      <x:c r="A1281" s="2"/>
      <x:c r="B1281" s="2" t="n">
        <x:v>1276</x:v>
      </x:c>
      <x:c r="C1281" s="2" t="str">
        <x:v>Grooming / organic_volume_growth</x:v>
      </x:c>
      <x:c r="D1281" s="7" t="n">
        <x:v>45107</x:v>
      </x:c>
      <x:c r="E1281" s="2" t="str">
        <x:v>Origin</x:v>
      </x:c>
      <x:c r="F1281" s="7" t="n">
        <x:v>45017</x:v>
      </x:c>
      <x:c r="G1281" s="2" t="str">
        <x:v>Broad rolling 8</x:v>
      </x:c>
      <x:c r="H1281" s="8" t="n">
        <x:f>'Model fits'!AA847</x:f>
        <x:v>-2.141746708066038</x:v>
      </x:c>
      <x:c r="I1281" s="8" t="n">
        <x:f>0</x:f>
        <x:v>0</x:v>
      </x:c>
      <x:c r="J1281" s="8" t="n">
        <x:v>0</x:v>
      </x:c>
      <x:c r="K1281" s="8" t="n">
        <x:f>H1281-I1281*J1281</x:f>
        <x:v>-2.141746708066038</x:v>
      </x:c>
      <x:c r="L1281" s="8" t="n">
        <x:f>'PG facts'!E70</x:f>
        <x:v>-1</x:v>
      </x:c>
      <x:c r="M1281" s="8" t="n">
        <x:f>K1281-L1281</x:f>
        <x:v>-1.1417467080660382</x:v>
      </x:c>
      <x:c r="N1281" s="8" t="n">
        <x:f>M1281^2</x:f>
        <x:v>1.303585545379635</x:v>
      </x:c>
      <x:c r="O1281" s="8" t="n">
        <x:f>ABS(M1281)</x:f>
        <x:v>1.1417467080660382</x:v>
      </x:c>
      <x:c r="P1281" s="7" t="n">
        <x:v>45135</x:v>
      </x:c>
    </x:row>
    <x:row r="1282" ht="26" customHeight="1">
      <x:c r="A1282" s="2"/>
      <x:c r="B1282" s="2" t="n">
        <x:v>1277</x:v>
      </x:c>
      <x:c r="C1282" s="2" t="str">
        <x:v>Grooming / organic_volume_growth</x:v>
      </x:c>
      <x:c r="D1282" s="7" t="n">
        <x:v>45107</x:v>
      </x:c>
      <x:c r="E1282" s="2" t="str">
        <x:v>Prior report</x:v>
      </x:c>
      <x:c r="F1282" s="7" t="n">
        <x:v>45037</x:v>
      </x:c>
      <x:c r="G1282" s="2" t="str">
        <x:v>Last actual</x:v>
      </x:c>
      <x:c r="H1282" s="8" t="n">
        <x:f>AVERAGE('PG facts'!E63)</x:f>
        <x:v>-1</x:v>
      </x:c>
      <x:c r="I1282" s="8" t="n">
        <x:f>0</x:f>
        <x:v>0</x:v>
      </x:c>
      <x:c r="J1282" s="8" t="n">
        <x:v>0</x:v>
      </x:c>
      <x:c r="K1282" s="8" t="n">
        <x:f>H1282-I1282*J1282</x:f>
        <x:v>-1</x:v>
      </x:c>
      <x:c r="L1282" s="8" t="n">
        <x:f>'PG facts'!E70</x:f>
        <x:v>-1</x:v>
      </x:c>
      <x:c r="M1282" s="8" t="n">
        <x:f>K1282-L1282</x:f>
        <x:v>0</x:v>
      </x:c>
      <x:c r="N1282" s="8" t="n">
        <x:f>M1282^2</x:f>
        <x:v>0</x:v>
      </x:c>
      <x:c r="O1282" s="8" t="n">
        <x:f>ABS(M1282)</x:f>
        <x:v>0</x:v>
      </x:c>
      <x:c r="P1282" s="7" t="n">
        <x:v>45135</x:v>
      </x:c>
    </x:row>
    <x:row r="1283" ht="26" customHeight="1">
      <x:c r="A1283" s="2"/>
      <x:c r="B1283" s="2" t="n">
        <x:v>1278</x:v>
      </x:c>
      <x:c r="C1283" s="2" t="str">
        <x:v>Grooming / organic_volume_growth</x:v>
      </x:c>
      <x:c r="D1283" s="7" t="n">
        <x:v>45107</x:v>
      </x:c>
      <x:c r="E1283" s="2" t="str">
        <x:v>Prior report</x:v>
      </x:c>
      <x:c r="F1283" s="7" t="n">
        <x:v>45037</x:v>
      </x:c>
      <x:c r="G1283" s="2" t="str">
        <x:v>Four-quarter mean</x:v>
      </x:c>
      <x:c r="H1283" s="8" t="n">
        <x:f>AVERAGE('PG facts'!E42,'PG facts'!E49,'PG facts'!E56,'PG facts'!E63)</x:f>
        <x:v>-2.5</x:v>
      </x:c>
      <x:c r="I1283" s="8" t="n">
        <x:f>0</x:f>
        <x:v>0</x:v>
      </x:c>
      <x:c r="J1283" s="8" t="n">
        <x:v>0</x:v>
      </x:c>
      <x:c r="K1283" s="8" t="n">
        <x:f>H1283-I1283*J1283</x:f>
        <x:v>-2.5</x:v>
      </x:c>
      <x:c r="L1283" s="8" t="n">
        <x:f>'PG facts'!E70</x:f>
        <x:v>-1</x:v>
      </x:c>
      <x:c r="M1283" s="8" t="n">
        <x:f>K1283-L1283</x:f>
        <x:v>-1.5</x:v>
      </x:c>
      <x:c r="N1283" s="8" t="n">
        <x:f>M1283^2</x:f>
        <x:v>2.25</x:v>
      </x:c>
      <x:c r="O1283" s="8" t="n">
        <x:f>ABS(M1283)</x:f>
        <x:v>1.5</x:v>
      </x:c>
      <x:c r="P1283" s="7" t="n">
        <x:v>45135</x:v>
      </x:c>
    </x:row>
    <x:row r="1284" ht="26" customHeight="1">
      <x:c r="A1284" s="2"/>
      <x:c r="B1284" s="2" t="n">
        <x:v>1279</x:v>
      </x:c>
      <x:c r="C1284" s="2" t="str">
        <x:v>Grooming / organic_volume_growth</x:v>
      </x:c>
      <x:c r="D1284" s="7" t="n">
        <x:v>45107</x:v>
      </x:c>
      <x:c r="E1284" s="2" t="str">
        <x:v>Prior report</x:v>
      </x:c>
      <x:c r="F1284" s="7" t="n">
        <x:v>45037</x:v>
      </x:c>
      <x:c r="G1284" s="2" t="str">
        <x:v>Broad market</x:v>
      </x:c>
      <x:c r="H1284" s="8" t="n">
        <x:f>'Model fits'!AA848</x:f>
        <x:v>-2.141746708066038</x:v>
      </x:c>
      <x:c r="I1284" s="8" t="n">
        <x:f>0</x:f>
        <x:v>0</x:v>
      </x:c>
      <x:c r="J1284" s="8" t="n">
        <x:v>0</x:v>
      </x:c>
      <x:c r="K1284" s="8" t="n">
        <x:f>H1284-I1284*J1284</x:f>
        <x:v>-2.141746708066038</x:v>
      </x:c>
      <x:c r="L1284" s="8" t="n">
        <x:f>'PG facts'!E70</x:f>
        <x:v>-1</x:v>
      </x:c>
      <x:c r="M1284" s="8" t="n">
        <x:f>K1284-L1284</x:f>
        <x:v>-1.1417467080660382</x:v>
      </x:c>
      <x:c r="N1284" s="8" t="n">
        <x:f>M1284^2</x:f>
        <x:v>1.303585545379635</x:v>
      </x:c>
      <x:c r="O1284" s="8" t="n">
        <x:f>ABS(M1284)</x:f>
        <x:v>1.1417467080660382</x:v>
      </x:c>
      <x:c r="P1284" s="7" t="n">
        <x:v>45135</x:v>
      </x:c>
    </x:row>
    <x:row r="1285" ht="26" customHeight="1">
      <x:c r="A1285" s="2"/>
      <x:c r="B1285" s="2" t="n">
        <x:v>1280</x:v>
      </x:c>
      <x:c r="C1285" s="2" t="str">
        <x:v>Grooming / organic_volume_growth</x:v>
      </x:c>
      <x:c r="D1285" s="7" t="n">
        <x:v>45107</x:v>
      </x:c>
      <x:c r="E1285" s="2" t="str">
        <x:v>Prior report</x:v>
      </x:c>
      <x:c r="F1285" s="7" t="n">
        <x:v>45037</x:v>
      </x:c>
      <x:c r="G1285" s="2" t="str">
        <x:v>Broad rolling 8</x:v>
      </x:c>
      <x:c r="H1285" s="8" t="n">
        <x:f>'Model fits'!AA849</x:f>
        <x:v>-2.141746708066038</x:v>
      </x:c>
      <x:c r="I1285" s="8" t="n">
        <x:f>0</x:f>
        <x:v>0</x:v>
      </x:c>
      <x:c r="J1285" s="8" t="n">
        <x:v>0</x:v>
      </x:c>
      <x:c r="K1285" s="8" t="n">
        <x:f>H1285-I1285*J1285</x:f>
        <x:v>-2.141746708066038</x:v>
      </x:c>
      <x:c r="L1285" s="8" t="n">
        <x:f>'PG facts'!E70</x:f>
        <x:v>-1</x:v>
      </x:c>
      <x:c r="M1285" s="8" t="n">
        <x:f>K1285-L1285</x:f>
        <x:v>-1.1417467080660382</x:v>
      </x:c>
      <x:c r="N1285" s="8" t="n">
        <x:f>M1285^2</x:f>
        <x:v>1.303585545379635</x:v>
      </x:c>
      <x:c r="O1285" s="8" t="n">
        <x:f>ABS(M1285)</x:f>
        <x:v>1.1417467080660382</x:v>
      </x:c>
      <x:c r="P1285" s="7" t="n">
        <x:v>45135</x:v>
      </x:c>
    </x:row>
    <x:row r="1286" ht="26" customHeight="1">
      <x:c r="A1286" s="2"/>
      <x:c r="B1286" s="2" t="n">
        <x:v>1281</x:v>
      </x:c>
      <x:c r="C1286" s="2" t="str">
        <x:v>Grooming / organic_volume_growth</x:v>
      </x:c>
      <x:c r="D1286" s="7" t="n">
        <x:v>45107</x:v>
      </x:c>
      <x:c r="E1286" s="2" t="str">
        <x:v>Prior report</x:v>
      </x:c>
      <x:c r="F1286" s="7" t="n">
        <x:v>45037</x:v>
      </x:c>
      <x:c r="G1286" s="2" t="str">
        <x:v>Own history</x:v>
      </x:c>
      <x:c r="H1286" s="8" t="n">
        <x:f>'Model fits'!AA850</x:f>
        <x:v>-0.38571428571428573</x:v>
      </x:c>
      <x:c r="I1286" s="8" t="n">
        <x:f>0</x:f>
        <x:v>0</x:v>
      </x:c>
      <x:c r="J1286" s="8" t="n">
        <x:v>0</x:v>
      </x:c>
      <x:c r="K1286" s="8" t="n">
        <x:f>H1286-I1286*J1286</x:f>
        <x:v>-0.38571428571428573</x:v>
      </x:c>
      <x:c r="L1286" s="8" t="n">
        <x:f>'PG facts'!E70</x:f>
        <x:v>-1</x:v>
      </x:c>
      <x:c r="M1286" s="8" t="n">
        <x:f>K1286-L1286</x:f>
        <x:v>0.6142857142857143</x:v>
      </x:c>
      <x:c r="N1286" s="8" t="n">
        <x:f>M1286^2</x:f>
        <x:v>0.37734693877551023</x:v>
      </x:c>
      <x:c r="O1286" s="8" t="n">
        <x:f>ABS(M1286)</x:f>
        <x:v>0.6142857142857143</x:v>
      </x:c>
      <x:c r="P1286" s="7" t="n">
        <x:v>45135</x:v>
      </x:c>
    </x:row>
    <x:row r="1287" ht="26" customHeight="1">
      <x:c r="A1287" s="2"/>
      <x:c r="B1287" s="2" t="n">
        <x:v>1282</x:v>
      </x:c>
      <x:c r="C1287" s="2" t="str">
        <x:v>Grooming / organic_volume_growth</x:v>
      </x:c>
      <x:c r="D1287" s="7" t="n">
        <x:v>45107</x:v>
      </x:c>
      <x:c r="E1287" s="2" t="str">
        <x:v>Pre-earnings</x:v>
      </x:c>
      <x:c r="F1287" s="7" t="n">
        <x:v>45134</x:v>
      </x:c>
      <x:c r="G1287" s="2" t="str">
        <x:v>Last actual</x:v>
      </x:c>
      <x:c r="H1287" s="8" t="n">
        <x:f>AVERAGE('PG facts'!E63)</x:f>
        <x:v>-1</x:v>
      </x:c>
      <x:c r="I1287" s="8" t="n">
        <x:f>0</x:f>
        <x:v>0</x:v>
      </x:c>
      <x:c r="J1287" s="8" t="n">
        <x:v>0</x:v>
      </x:c>
      <x:c r="K1287" s="8" t="n">
        <x:f>H1287-I1287*J1287</x:f>
        <x:v>-1</x:v>
      </x:c>
      <x:c r="L1287" s="8" t="n">
        <x:f>'PG facts'!E70</x:f>
        <x:v>-1</x:v>
      </x:c>
      <x:c r="M1287" s="8" t="n">
        <x:f>K1287-L1287</x:f>
        <x:v>0</x:v>
      </x:c>
      <x:c r="N1287" s="8" t="n">
        <x:f>M1287^2</x:f>
        <x:v>0</x:v>
      </x:c>
      <x:c r="O1287" s="8" t="n">
        <x:f>ABS(M1287)</x:f>
        <x:v>0</x:v>
      </x:c>
      <x:c r="P1287" s="7" t="n">
        <x:v>45135</x:v>
      </x:c>
    </x:row>
    <x:row r="1288" ht="26" customHeight="1">
      <x:c r="A1288" s="2"/>
      <x:c r="B1288" s="2" t="n">
        <x:v>1283</x:v>
      </x:c>
      <x:c r="C1288" s="2" t="str">
        <x:v>Grooming / organic_volume_growth</x:v>
      </x:c>
      <x:c r="D1288" s="7" t="n">
        <x:v>45107</x:v>
      </x:c>
      <x:c r="E1288" s="2" t="str">
        <x:v>Pre-earnings</x:v>
      </x:c>
      <x:c r="F1288" s="7" t="n">
        <x:v>45134</x:v>
      </x:c>
      <x:c r="G1288" s="2" t="str">
        <x:v>Four-quarter mean</x:v>
      </x:c>
      <x:c r="H1288" s="8" t="n">
        <x:f>AVERAGE('PG facts'!E42,'PG facts'!E49,'PG facts'!E56,'PG facts'!E63)</x:f>
        <x:v>-2.5</x:v>
      </x:c>
      <x:c r="I1288" s="8" t="n">
        <x:f>0</x:f>
        <x:v>0</x:v>
      </x:c>
      <x:c r="J1288" s="8" t="n">
        <x:v>0</x:v>
      </x:c>
      <x:c r="K1288" s="8" t="n">
        <x:f>H1288-I1288*J1288</x:f>
        <x:v>-2.5</x:v>
      </x:c>
      <x:c r="L1288" s="8" t="n">
        <x:f>'PG facts'!E70</x:f>
        <x:v>-1</x:v>
      </x:c>
      <x:c r="M1288" s="8" t="n">
        <x:f>K1288-L1288</x:f>
        <x:v>-1.5</x:v>
      </x:c>
      <x:c r="N1288" s="8" t="n">
        <x:f>M1288^2</x:f>
        <x:v>2.25</x:v>
      </x:c>
      <x:c r="O1288" s="8" t="n">
        <x:f>ABS(M1288)</x:f>
        <x:v>1.5</x:v>
      </x:c>
      <x:c r="P1288" s="7" t="n">
        <x:v>45135</x:v>
      </x:c>
    </x:row>
    <x:row r="1289" ht="26" customHeight="1">
      <x:c r="A1289" s="2"/>
      <x:c r="B1289" s="2" t="n">
        <x:v>1284</x:v>
      </x:c>
      <x:c r="C1289" s="2" t="str">
        <x:v>Grooming / organic_volume_growth</x:v>
      </x:c>
      <x:c r="D1289" s="7" t="n">
        <x:v>45107</x:v>
      </x:c>
      <x:c r="E1289" s="2" t="str">
        <x:v>Pre-earnings</x:v>
      </x:c>
      <x:c r="F1289" s="7" t="n">
        <x:v>45134</x:v>
      </x:c>
      <x:c r="G1289" s="2" t="str">
        <x:v>Broad market</x:v>
      </x:c>
      <x:c r="H1289" s="8" t="n">
        <x:f>'Model fits'!AA851</x:f>
        <x:v>-1.6842936926539511</x:v>
      </x:c>
      <x:c r="I1289" s="8" t="n">
        <x:f>0</x:f>
        <x:v>0</x:v>
      </x:c>
      <x:c r="J1289" s="8" t="n">
        <x:v>0</x:v>
      </x:c>
      <x:c r="K1289" s="8" t="n">
        <x:f>H1289-I1289*J1289</x:f>
        <x:v>-1.6842936926539511</x:v>
      </x:c>
      <x:c r="L1289" s="8" t="n">
        <x:f>'PG facts'!E70</x:f>
        <x:v>-1</x:v>
      </x:c>
      <x:c r="M1289" s="8" t="n">
        <x:f>K1289-L1289</x:f>
        <x:v>-0.6842936926539511</x:v>
      </x:c>
      <x:c r="N1289" s="8" t="n">
        <x:f>M1289^2</x:f>
        <x:v>0.4682578578059801</x:v>
      </x:c>
      <x:c r="O1289" s="8" t="n">
        <x:f>ABS(M1289)</x:f>
        <x:v>0.6842936926539511</x:v>
      </x:c>
      <x:c r="P1289" s="7" t="n">
        <x:v>45135</x:v>
      </x:c>
    </x:row>
    <x:row r="1290" ht="26" customHeight="1">
      <x:c r="A1290" s="2"/>
      <x:c r="B1290" s="2" t="n">
        <x:v>1285</x:v>
      </x:c>
      <x:c r="C1290" s="2" t="str">
        <x:v>Grooming / organic_volume_growth</x:v>
      </x:c>
      <x:c r="D1290" s="7" t="n">
        <x:v>45107</x:v>
      </x:c>
      <x:c r="E1290" s="2" t="str">
        <x:v>Pre-earnings</x:v>
      </x:c>
      <x:c r="F1290" s="7" t="n">
        <x:v>45134</x:v>
      </x:c>
      <x:c r="G1290" s="2" t="str">
        <x:v>Broad lag 1</x:v>
      </x:c>
      <x:c r="H1290" s="8" t="n">
        <x:f>'Model fits'!AA852</x:f>
        <x:v>-1.889705296341581</x:v>
      </x:c>
      <x:c r="I1290" s="8" t="n">
        <x:f>0</x:f>
        <x:v>0</x:v>
      </x:c>
      <x:c r="J1290" s="8" t="n">
        <x:v>0</x:v>
      </x:c>
      <x:c r="K1290" s="8" t="n">
        <x:f>H1290-I1290*J1290</x:f>
        <x:v>-1.889705296341581</x:v>
      </x:c>
      <x:c r="L1290" s="8" t="n">
        <x:f>'PG facts'!E70</x:f>
        <x:v>-1</x:v>
      </x:c>
      <x:c r="M1290" s="8" t="n">
        <x:f>K1290-L1290</x:f>
        <x:v>-0.889705296341581</x:v>
      </x:c>
      <x:c r="N1290" s="8" t="n">
        <x:f>M1290^2</x:f>
        <x:v>0.7915755143382605</x:v>
      </x:c>
      <x:c r="O1290" s="8" t="n">
        <x:f>ABS(M1290)</x:f>
        <x:v>0.889705296341581</x:v>
      </x:c>
      <x:c r="P1290" s="7" t="n">
        <x:v>45135</x:v>
      </x:c>
    </x:row>
    <x:row r="1291" ht="26" customHeight="1">
      <x:c r="A1291" s="2"/>
      <x:c r="B1291" s="2" t="n">
        <x:v>1286</x:v>
      </x:c>
      <x:c r="C1291" s="2" t="str">
        <x:v>Grooming / organic_volume_growth</x:v>
      </x:c>
      <x:c r="D1291" s="7" t="n">
        <x:v>45107</x:v>
      </x:c>
      <x:c r="E1291" s="2" t="str">
        <x:v>Pre-earnings</x:v>
      </x:c>
      <x:c r="F1291" s="7" t="n">
        <x:v>45134</x:v>
      </x:c>
      <x:c r="G1291" s="2" t="str">
        <x:v>Broad rolling 8</x:v>
      </x:c>
      <x:c r="H1291" s="8" t="n">
        <x:f>'Model fits'!AA853</x:f>
        <x:v>-1.6132535332260554</x:v>
      </x:c>
      <x:c r="I1291" s="8" t="n">
        <x:f>0</x:f>
        <x:v>0</x:v>
      </x:c>
      <x:c r="J1291" s="8" t="n">
        <x:v>0</x:v>
      </x:c>
      <x:c r="K1291" s="8" t="n">
        <x:f>H1291-I1291*J1291</x:f>
        <x:v>-1.6132535332260554</x:v>
      </x:c>
      <x:c r="L1291" s="8" t="n">
        <x:f>'PG facts'!E70</x:f>
        <x:v>-1</x:v>
      </x:c>
      <x:c r="M1291" s="8" t="n">
        <x:f>K1291-L1291</x:f>
        <x:v>-0.6132535332260554</x:v>
      </x:c>
      <x:c r="N1291" s="8" t="n">
        <x:f>M1291^2</x:f>
        <x:v>0.3760798960142406</x:v>
      </x:c>
      <x:c r="O1291" s="8" t="n">
        <x:f>ABS(M1291)</x:f>
        <x:v>0.6132535332260554</x:v>
      </x:c>
      <x:c r="P1291" s="7" t="n">
        <x:v>45135</x:v>
      </x:c>
    </x:row>
    <x:row r="1292" ht="26" customHeight="1">
      <x:c r="A1292" s="2"/>
      <x:c r="B1292" s="2" t="n">
        <x:v>1287</x:v>
      </x:c>
      <x:c r="C1292" s="2" t="str">
        <x:v>Grooming / organic_volume_growth</x:v>
      </x:c>
      <x:c r="D1292" s="7" t="n">
        <x:v>45107</x:v>
      </x:c>
      <x:c r="E1292" s="2" t="str">
        <x:v>Pre-earnings</x:v>
      </x:c>
      <x:c r="F1292" s="7" t="n">
        <x:v>45134</x:v>
      </x:c>
      <x:c r="G1292" s="2" t="str">
        <x:v>Own history</x:v>
      </x:c>
      <x:c r="H1292" s="8" t="n">
        <x:f>'Model fits'!AA854</x:f>
        <x:v>-0.38571428571428573</x:v>
      </x:c>
      <x:c r="I1292" s="8" t="n">
        <x:f>0</x:f>
        <x:v>0</x:v>
      </x:c>
      <x:c r="J1292" s="8" t="n">
        <x:v>0</x:v>
      </x:c>
      <x:c r="K1292" s="8" t="n">
        <x:f>H1292-I1292*J1292</x:f>
        <x:v>-0.38571428571428573</x:v>
      </x:c>
      <x:c r="L1292" s="8" t="n">
        <x:f>'PG facts'!E70</x:f>
        <x:v>-1</x:v>
      </x:c>
      <x:c r="M1292" s="8" t="n">
        <x:f>K1292-L1292</x:f>
        <x:v>0.6142857142857143</x:v>
      </x:c>
      <x:c r="N1292" s="8" t="n">
        <x:f>M1292^2</x:f>
        <x:v>0.37734693877551023</x:v>
      </x:c>
      <x:c r="O1292" s="8" t="n">
        <x:f>ABS(M1292)</x:f>
        <x:v>0.6142857142857143</x:v>
      </x:c>
      <x:c r="P1292" s="7" t="n">
        <x:v>45135</x:v>
      </x:c>
    </x:row>
    <x:row r="1293" ht="26" customHeight="1">
      <x:c r="A1293" s="2"/>
      <x:c r="B1293" s="2" t="n">
        <x:v>1288</x:v>
      </x:c>
      <x:c r="C1293" s="2" t="str">
        <x:v>Grooming / organic_volume_growth</x:v>
      </x:c>
      <x:c r="D1293" s="7" t="n">
        <x:v>45199</x:v>
      </x:c>
      <x:c r="E1293" s="2" t="str">
        <x:v>Origin</x:v>
      </x:c>
      <x:c r="F1293" s="7" t="n">
        <x:v>45108</x:v>
      </x:c>
      <x:c r="G1293" s="2" t="str">
        <x:v>Last actual</x:v>
      </x:c>
      <x:c r="H1293" s="8" t="n">
        <x:f>AVERAGE('PG facts'!E63)</x:f>
        <x:v>-1</x:v>
      </x:c>
      <x:c r="I1293" s="8" t="n">
        <x:f>0</x:f>
        <x:v>0</x:v>
      </x:c>
      <x:c r="J1293" s="8" t="n">
        <x:v>0</x:v>
      </x:c>
      <x:c r="K1293" s="8" t="n">
        <x:f>H1293-I1293*J1293</x:f>
        <x:v>-1</x:v>
      </x:c>
      <x:c r="L1293" s="8" t="n">
        <x:f>'PG facts'!E77</x:f>
        <x:v>-2</x:v>
      </x:c>
      <x:c r="M1293" s="8" t="n">
        <x:f>K1293-L1293</x:f>
        <x:v>1</x:v>
      </x:c>
      <x:c r="N1293" s="8" t="n">
        <x:f>M1293^2</x:f>
        <x:v>1</x:v>
      </x:c>
      <x:c r="O1293" s="8" t="n">
        <x:f>ABS(M1293)</x:f>
        <x:v>1</x:v>
      </x:c>
      <x:c r="P1293" s="7" t="n">
        <x:v>45217</x:v>
      </x:c>
    </x:row>
    <x:row r="1294" ht="26" customHeight="1">
      <x:c r="A1294" s="2"/>
      <x:c r="B1294" s="2" t="n">
        <x:v>1289</x:v>
      </x:c>
      <x:c r="C1294" s="2" t="str">
        <x:v>Grooming / organic_volume_growth</x:v>
      </x:c>
      <x:c r="D1294" s="7" t="n">
        <x:v>45199</x:v>
      </x:c>
      <x:c r="E1294" s="2" t="str">
        <x:v>Origin</x:v>
      </x:c>
      <x:c r="F1294" s="7" t="n">
        <x:v>45108</x:v>
      </x:c>
      <x:c r="G1294" s="2" t="str">
        <x:v>Four-quarter mean</x:v>
      </x:c>
      <x:c r="H1294" s="8" t="n">
        <x:f>AVERAGE('PG facts'!E42,'PG facts'!E49,'PG facts'!E56,'PG facts'!E63)</x:f>
        <x:v>-2.5</x:v>
      </x:c>
      <x:c r="I1294" s="8" t="n">
        <x:f>0</x:f>
        <x:v>0</x:v>
      </x:c>
      <x:c r="J1294" s="8" t="n">
        <x:v>0</x:v>
      </x:c>
      <x:c r="K1294" s="8" t="n">
        <x:f>H1294-I1294*J1294</x:f>
        <x:v>-2.5</x:v>
      </x:c>
      <x:c r="L1294" s="8" t="n">
        <x:f>'PG facts'!E77</x:f>
        <x:v>-2</x:v>
      </x:c>
      <x:c r="M1294" s="8" t="n">
        <x:f>K1294-L1294</x:f>
        <x:v>-0.5</x:v>
      </x:c>
      <x:c r="N1294" s="8" t="n">
        <x:f>M1294^2</x:f>
        <x:v>0.25</x:v>
      </x:c>
      <x:c r="O1294" s="8" t="n">
        <x:f>ABS(M1294)</x:f>
        <x:v>0.5</x:v>
      </x:c>
      <x:c r="P1294" s="7" t="n">
        <x:v>45217</x:v>
      </x:c>
    </x:row>
    <x:row r="1295" ht="26" customHeight="1">
      <x:c r="A1295" s="2"/>
      <x:c r="B1295" s="2" t="n">
        <x:v>1290</x:v>
      </x:c>
      <x:c r="C1295" s="2" t="str">
        <x:v>Grooming / organic_volume_growth</x:v>
      </x:c>
      <x:c r="D1295" s="7" t="n">
        <x:v>45199</x:v>
      </x:c>
      <x:c r="E1295" s="2" t="str">
        <x:v>Origin</x:v>
      </x:c>
      <x:c r="F1295" s="7" t="n">
        <x:v>45108</x:v>
      </x:c>
      <x:c r="G1295" s="2" t="str">
        <x:v>Broad market</x:v>
      </x:c>
      <x:c r="H1295" s="8" t="n">
        <x:f>'Model fits'!AA855</x:f>
        <x:v>-1.7508533038953322</x:v>
      </x:c>
      <x:c r="I1295" s="8" t="n">
        <x:f>0</x:f>
        <x:v>0</x:v>
      </x:c>
      <x:c r="J1295" s="8" t="n">
        <x:v>0</x:v>
      </x:c>
      <x:c r="K1295" s="8" t="n">
        <x:f>H1295-I1295*J1295</x:f>
        <x:v>-1.7508533038953322</x:v>
      </x:c>
      <x:c r="L1295" s="8" t="n">
        <x:f>'PG facts'!E77</x:f>
        <x:v>-2</x:v>
      </x:c>
      <x:c r="M1295" s="8" t="n">
        <x:f>K1295-L1295</x:f>
        <x:v>0.24914669610466778</x:v>
      </x:c>
      <x:c r="N1295" s="8" t="n">
        <x:f>M1295^2</x:f>
        <x:v>0.06207407617987168</x:v>
      </x:c>
      <x:c r="O1295" s="8" t="n">
        <x:f>ABS(M1295)</x:f>
        <x:v>0.24914669610466778</x:v>
      </x:c>
      <x:c r="P1295" s="7" t="n">
        <x:v>45217</x:v>
      </x:c>
    </x:row>
    <x:row r="1296" ht="26" customHeight="1">
      <x:c r="A1296" s="2"/>
      <x:c r="B1296" s="2" t="n">
        <x:v>1291</x:v>
      </x:c>
      <x:c r="C1296" s="2" t="str">
        <x:v>Grooming / organic_volume_growth</x:v>
      </x:c>
      <x:c r="D1296" s="7" t="n">
        <x:v>45199</x:v>
      </x:c>
      <x:c r="E1296" s="2" t="str">
        <x:v>Origin</x:v>
      </x:c>
      <x:c r="F1296" s="7" t="n">
        <x:v>45108</x:v>
      </x:c>
      <x:c r="G1296" s="2" t="str">
        <x:v>Broad rolling 8</x:v>
      </x:c>
      <x:c r="H1296" s="8" t="n">
        <x:f>'Model fits'!AA856</x:f>
        <x:v>-1.681761896169626</x:v>
      </x:c>
      <x:c r="I1296" s="8" t="n">
        <x:f>0</x:f>
        <x:v>0</x:v>
      </x:c>
      <x:c r="J1296" s="8" t="n">
        <x:v>0</x:v>
      </x:c>
      <x:c r="K1296" s="8" t="n">
        <x:f>H1296-I1296*J1296</x:f>
        <x:v>-1.681761896169626</x:v>
      </x:c>
      <x:c r="L1296" s="8" t="n">
        <x:f>'PG facts'!E77</x:f>
        <x:v>-2</x:v>
      </x:c>
      <x:c r="M1296" s="8" t="n">
        <x:f>K1296-L1296</x:f>
        <x:v>0.3182381038303741</x:v>
      </x:c>
      <x:c r="N1296" s="8" t="n">
        <x:f>M1296^2</x:f>
        <x:v>0.10127549072955197</x:v>
      </x:c>
      <x:c r="O1296" s="8" t="n">
        <x:f>ABS(M1296)</x:f>
        <x:v>0.3182381038303741</x:v>
      </x:c>
      <x:c r="P1296" s="7" t="n">
        <x:v>45217</x:v>
      </x:c>
    </x:row>
    <x:row r="1297" ht="26" customHeight="1">
      <x:c r="A1297" s="2"/>
      <x:c r="B1297" s="2" t="n">
        <x:v>1292</x:v>
      </x:c>
      <x:c r="C1297" s="2" t="str">
        <x:v>Grooming / organic_volume_growth</x:v>
      </x:c>
      <x:c r="D1297" s="7" t="n">
        <x:v>45199</x:v>
      </x:c>
      <x:c r="E1297" s="2" t="str">
        <x:v>Prior report</x:v>
      </x:c>
      <x:c r="F1297" s="7" t="n">
        <x:v>45135</x:v>
      </x:c>
      <x:c r="G1297" s="2" t="str">
        <x:v>Last actual</x:v>
      </x:c>
      <x:c r="H1297" s="8" t="n">
        <x:f>AVERAGE('PG facts'!E70)</x:f>
        <x:v>-1</x:v>
      </x:c>
      <x:c r="I1297" s="8" t="n">
        <x:f>0</x:f>
        <x:v>0</x:v>
      </x:c>
      <x:c r="J1297" s="8" t="n">
        <x:v>0</x:v>
      </x:c>
      <x:c r="K1297" s="8" t="n">
        <x:f>H1297-I1297*J1297</x:f>
        <x:v>-1</x:v>
      </x:c>
      <x:c r="L1297" s="8" t="n">
        <x:f>'PG facts'!E77</x:f>
        <x:v>-2</x:v>
      </x:c>
      <x:c r="M1297" s="8" t="n">
        <x:f>K1297-L1297</x:f>
        <x:v>1</x:v>
      </x:c>
      <x:c r="N1297" s="8" t="n">
        <x:f>M1297^2</x:f>
        <x:v>1</x:v>
      </x:c>
      <x:c r="O1297" s="8" t="n">
        <x:f>ABS(M1297)</x:f>
        <x:v>1</x:v>
      </x:c>
      <x:c r="P1297" s="7" t="n">
        <x:v>45217</x:v>
      </x:c>
    </x:row>
    <x:row r="1298" ht="26" customHeight="1">
      <x:c r="A1298" s="2"/>
      <x:c r="B1298" s="2" t="n">
        <x:v>1293</x:v>
      </x:c>
      <x:c r="C1298" s="2" t="str">
        <x:v>Grooming / organic_volume_growth</x:v>
      </x:c>
      <x:c r="D1298" s="7" t="n">
        <x:v>45199</x:v>
      </x:c>
      <x:c r="E1298" s="2" t="str">
        <x:v>Prior report</x:v>
      </x:c>
      <x:c r="F1298" s="7" t="n">
        <x:v>45135</x:v>
      </x:c>
      <x:c r="G1298" s="2" t="str">
        <x:v>Four-quarter mean</x:v>
      </x:c>
      <x:c r="H1298" s="8" t="n">
        <x:f>AVERAGE('PG facts'!E49,'PG facts'!E56,'PG facts'!E63,'PG facts'!E70)</x:f>
        <x:v>-2.25</x:v>
      </x:c>
      <x:c r="I1298" s="8" t="n">
        <x:f>0</x:f>
        <x:v>0</x:v>
      </x:c>
      <x:c r="J1298" s="8" t="n">
        <x:v>0</x:v>
      </x:c>
      <x:c r="K1298" s="8" t="n">
        <x:f>H1298-I1298*J1298</x:f>
        <x:v>-2.25</x:v>
      </x:c>
      <x:c r="L1298" s="8" t="n">
        <x:f>'PG facts'!E77</x:f>
        <x:v>-2</x:v>
      </x:c>
      <x:c r="M1298" s="8" t="n">
        <x:f>K1298-L1298</x:f>
        <x:v>-0.25</x:v>
      </x:c>
      <x:c r="N1298" s="8" t="n">
        <x:f>M1298^2</x:f>
        <x:v>0.0625</x:v>
      </x:c>
      <x:c r="O1298" s="8" t="n">
        <x:f>ABS(M1298)</x:f>
        <x:v>0.25</x:v>
      </x:c>
      <x:c r="P1298" s="7" t="n">
        <x:v>45217</x:v>
      </x:c>
    </x:row>
    <x:row r="1299" ht="26" customHeight="1">
      <x:c r="A1299" s="2"/>
      <x:c r="B1299" s="2" t="n">
        <x:v>1294</x:v>
      </x:c>
      <x:c r="C1299" s="2" t="str">
        <x:v>Grooming / organic_volume_growth</x:v>
      </x:c>
      <x:c r="D1299" s="7" t="n">
        <x:v>45199</x:v>
      </x:c>
      <x:c r="E1299" s="2" t="str">
        <x:v>Prior report</x:v>
      </x:c>
      <x:c r="F1299" s="7" t="n">
        <x:v>45135</x:v>
      </x:c>
      <x:c r="G1299" s="2" t="str">
        <x:v>Broad market</x:v>
      </x:c>
      <x:c r="H1299" s="8" t="n">
        <x:f>'Model fits'!AA857</x:f>
        <x:v>-1.5430783425955341</x:v>
      </x:c>
      <x:c r="I1299" s="8" t="n">
        <x:f>0</x:f>
        <x:v>0</x:v>
      </x:c>
      <x:c r="J1299" s="8" t="n">
        <x:v>0</x:v>
      </x:c>
      <x:c r="K1299" s="8" t="n">
        <x:f>H1299-I1299*J1299</x:f>
        <x:v>-1.5430783425955341</x:v>
      </x:c>
      <x:c r="L1299" s="8" t="n">
        <x:f>'PG facts'!E77</x:f>
        <x:v>-2</x:v>
      </x:c>
      <x:c r="M1299" s="8" t="n">
        <x:f>K1299-L1299</x:f>
        <x:v>0.4569216574044659</x:v>
      </x:c>
      <x:c r="N1299" s="8" t="n">
        <x:f>M1299^2</x:f>
        <x:v>0.20877740100524408</x:v>
      </x:c>
      <x:c r="O1299" s="8" t="n">
        <x:f>ABS(M1299)</x:f>
        <x:v>0.4569216574044659</x:v>
      </x:c>
      <x:c r="P1299" s="7" t="n">
        <x:v>45217</x:v>
      </x:c>
    </x:row>
    <x:row r="1300" ht="26" customHeight="1">
      <x:c r="A1300" s="2"/>
      <x:c r="B1300" s="2" t="n">
        <x:v>1295</x:v>
      </x:c>
      <x:c r="C1300" s="2" t="str">
        <x:v>Grooming / organic_volume_growth</x:v>
      </x:c>
      <x:c r="D1300" s="7" t="n">
        <x:v>45199</x:v>
      </x:c>
      <x:c r="E1300" s="2" t="str">
        <x:v>Prior report</x:v>
      </x:c>
      <x:c r="F1300" s="7" t="n">
        <x:v>45135</x:v>
      </x:c>
      <x:c r="G1300" s="2" t="str">
        <x:v>Broad lag 1</x:v>
      </x:c>
      <x:c r="H1300" s="8" t="n">
        <x:f>'Model fits'!AA858</x:f>
        <x:v>-1.4622134664664554</x:v>
      </x:c>
      <x:c r="I1300" s="8" t="n">
        <x:f>0</x:f>
        <x:v>0</x:v>
      </x:c>
      <x:c r="J1300" s="8" t="n">
        <x:v>0</x:v>
      </x:c>
      <x:c r="K1300" s="8" t="n">
        <x:f>H1300-I1300*J1300</x:f>
        <x:v>-1.4622134664664554</x:v>
      </x:c>
      <x:c r="L1300" s="8" t="n">
        <x:f>'PG facts'!E77</x:f>
        <x:v>-2</x:v>
      </x:c>
      <x:c r="M1300" s="8" t="n">
        <x:f>K1300-L1300</x:f>
        <x:v>0.5377865335335446</x:v>
      </x:c>
      <x:c r="N1300" s="8" t="n">
        <x:f>M1300^2</x:f>
        <x:v>0.28921435565002623</x:v>
      </x:c>
      <x:c r="O1300" s="8" t="n">
        <x:f>ABS(M1300)</x:f>
        <x:v>0.5377865335335446</x:v>
      </x:c>
      <x:c r="P1300" s="7" t="n">
        <x:v>45217</x:v>
      </x:c>
    </x:row>
    <x:row r="1301" ht="26" customHeight="1">
      <x:c r="A1301" s="2"/>
      <x:c r="B1301" s="2" t="n">
        <x:v>1296</x:v>
      </x:c>
      <x:c r="C1301" s="2" t="str">
        <x:v>Grooming / organic_volume_growth</x:v>
      </x:c>
      <x:c r="D1301" s="7" t="n">
        <x:v>45199</x:v>
      </x:c>
      <x:c r="E1301" s="2" t="str">
        <x:v>Prior report</x:v>
      </x:c>
      <x:c r="F1301" s="7" t="n">
        <x:v>45135</x:v>
      </x:c>
      <x:c r="G1301" s="2" t="str">
        <x:v>Broad rolling 8</x:v>
      </x:c>
      <x:c r="H1301" s="8" t="n">
        <x:f>'Model fits'!AA859</x:f>
        <x:v>-1.4844553198046941</x:v>
      </x:c>
      <x:c r="I1301" s="8" t="n">
        <x:f>0</x:f>
        <x:v>0</x:v>
      </x:c>
      <x:c r="J1301" s="8" t="n">
        <x:v>0</x:v>
      </x:c>
      <x:c r="K1301" s="8" t="n">
        <x:f>H1301-I1301*J1301</x:f>
        <x:v>-1.4844553198046941</x:v>
      </x:c>
      <x:c r="L1301" s="8" t="n">
        <x:f>'PG facts'!E77</x:f>
        <x:v>-2</x:v>
      </x:c>
      <x:c r="M1301" s="8" t="n">
        <x:f>K1301-L1301</x:f>
        <x:v>0.5155446801953059</x:v>
      </x:c>
      <x:c r="N1301" s="8" t="n">
        <x:f>M1301^2</x:f>
        <x:v>0.2657863172776802</x:v>
      </x:c>
      <x:c r="O1301" s="8" t="n">
        <x:f>ABS(M1301)</x:f>
        <x:v>0.5155446801953059</x:v>
      </x:c>
      <x:c r="P1301" s="7" t="n">
        <x:v>45217</x:v>
      </x:c>
    </x:row>
    <x:row r="1302" ht="26" customHeight="1">
      <x:c r="A1302" s="2"/>
      <x:c r="B1302" s="2" t="n">
        <x:v>1297</x:v>
      </x:c>
      <x:c r="C1302" s="2" t="str">
        <x:v>Grooming / organic_volume_growth</x:v>
      </x:c>
      <x:c r="D1302" s="7" t="n">
        <x:v>45199</x:v>
      </x:c>
      <x:c r="E1302" s="2" t="str">
        <x:v>Prior report</x:v>
      </x:c>
      <x:c r="F1302" s="7" t="n">
        <x:v>45135</x:v>
      </x:c>
      <x:c r="G1302" s="2" t="str">
        <x:v>Own history</x:v>
      </x:c>
      <x:c r="H1302" s="8" t="n">
        <x:f>'Model fits'!AA860</x:f>
        <x:v>-0.457070707070707</x:v>
      </x:c>
      <x:c r="I1302" s="8" t="n">
        <x:f>0</x:f>
        <x:v>0</x:v>
      </x:c>
      <x:c r="J1302" s="8" t="n">
        <x:v>0</x:v>
      </x:c>
      <x:c r="K1302" s="8" t="n">
        <x:f>H1302-I1302*J1302</x:f>
        <x:v>-0.457070707070707</x:v>
      </x:c>
      <x:c r="L1302" s="8" t="n">
        <x:f>'PG facts'!E77</x:f>
        <x:v>-2</x:v>
      </x:c>
      <x:c r="M1302" s="8" t="n">
        <x:f>K1302-L1302</x:f>
        <x:v>1.542929292929293</x:v>
      </x:c>
      <x:c r="N1302" s="8" t="n">
        <x:f>M1302^2</x:f>
        <x:v>2.380630802979288</x:v>
      </x:c>
      <x:c r="O1302" s="8" t="n">
        <x:f>ABS(M1302)</x:f>
        <x:v>1.542929292929293</x:v>
      </x:c>
      <x:c r="P1302" s="7" t="n">
        <x:v>45217</x:v>
      </x:c>
    </x:row>
    <x:row r="1303" ht="26" customHeight="1">
      <x:c r="A1303" s="2"/>
      <x:c r="B1303" s="2" t="n">
        <x:v>1298</x:v>
      </x:c>
      <x:c r="C1303" s="2" t="str">
        <x:v>Grooming / organic_volume_growth</x:v>
      </x:c>
      <x:c r="D1303" s="7" t="n">
        <x:v>45199</x:v>
      </x:c>
      <x:c r="E1303" s="2" t="str">
        <x:v>Pre-earnings</x:v>
      </x:c>
      <x:c r="F1303" s="7" t="n">
        <x:v>45216</x:v>
      </x:c>
      <x:c r="G1303" s="2" t="str">
        <x:v>Last actual</x:v>
      </x:c>
      <x:c r="H1303" s="8" t="n">
        <x:f>AVERAGE('PG facts'!E70)</x:f>
        <x:v>-1</x:v>
      </x:c>
      <x:c r="I1303" s="8" t="n">
        <x:f>0</x:f>
        <x:v>0</x:v>
      </x:c>
      <x:c r="J1303" s="8" t="n">
        <x:v>0</x:v>
      </x:c>
      <x:c r="K1303" s="8" t="n">
        <x:f>H1303-I1303*J1303</x:f>
        <x:v>-1</x:v>
      </x:c>
      <x:c r="L1303" s="8" t="n">
        <x:f>'PG facts'!E77</x:f>
        <x:v>-2</x:v>
      </x:c>
      <x:c r="M1303" s="8" t="n">
        <x:f>K1303-L1303</x:f>
        <x:v>1</x:v>
      </x:c>
      <x:c r="N1303" s="8" t="n">
        <x:f>M1303^2</x:f>
        <x:v>1</x:v>
      </x:c>
      <x:c r="O1303" s="8" t="n">
        <x:f>ABS(M1303)</x:f>
        <x:v>1</x:v>
      </x:c>
      <x:c r="P1303" s="7" t="n">
        <x:v>45217</x:v>
      </x:c>
    </x:row>
    <x:row r="1304" ht="26" customHeight="1">
      <x:c r="A1304" s="2"/>
      <x:c r="B1304" s="2" t="n">
        <x:v>1299</x:v>
      </x:c>
      <x:c r="C1304" s="2" t="str">
        <x:v>Grooming / organic_volume_growth</x:v>
      </x:c>
      <x:c r="D1304" s="7" t="n">
        <x:v>45199</x:v>
      </x:c>
      <x:c r="E1304" s="2" t="str">
        <x:v>Pre-earnings</x:v>
      </x:c>
      <x:c r="F1304" s="7" t="n">
        <x:v>45216</x:v>
      </x:c>
      <x:c r="G1304" s="2" t="str">
        <x:v>Four-quarter mean</x:v>
      </x:c>
      <x:c r="H1304" s="8" t="n">
        <x:f>AVERAGE('PG facts'!E49,'PG facts'!E56,'PG facts'!E63,'PG facts'!E70)</x:f>
        <x:v>-2.25</x:v>
      </x:c>
      <x:c r="I1304" s="8" t="n">
        <x:f>0</x:f>
        <x:v>0</x:v>
      </x:c>
      <x:c r="J1304" s="8" t="n">
        <x:v>0</x:v>
      </x:c>
      <x:c r="K1304" s="8" t="n">
        <x:f>H1304-I1304*J1304</x:f>
        <x:v>-2.25</x:v>
      </x:c>
      <x:c r="L1304" s="8" t="n">
        <x:f>'PG facts'!E77</x:f>
        <x:v>-2</x:v>
      </x:c>
      <x:c r="M1304" s="8" t="n">
        <x:f>K1304-L1304</x:f>
        <x:v>-0.25</x:v>
      </x:c>
      <x:c r="N1304" s="8" t="n">
        <x:f>M1304^2</x:f>
        <x:v>0.0625</x:v>
      </x:c>
      <x:c r="O1304" s="8" t="n">
        <x:f>ABS(M1304)</x:f>
        <x:v>0.25</x:v>
      </x:c>
      <x:c r="P1304" s="7" t="n">
        <x:v>45217</x:v>
      </x:c>
    </x:row>
    <x:row r="1305" ht="26" customHeight="1">
      <x:c r="A1305" s="2"/>
      <x:c r="B1305" s="2" t="n">
        <x:v>1300</x:v>
      </x:c>
      <x:c r="C1305" s="2" t="str">
        <x:v>Grooming / organic_volume_growth</x:v>
      </x:c>
      <x:c r="D1305" s="7" t="n">
        <x:v>45199</x:v>
      </x:c>
      <x:c r="E1305" s="2" t="str">
        <x:v>Pre-earnings</x:v>
      </x:c>
      <x:c r="F1305" s="7" t="n">
        <x:v>45216</x:v>
      </x:c>
      <x:c r="G1305" s="2" t="str">
        <x:v>Broad market</x:v>
      </x:c>
      <x:c r="H1305" s="8" t="n">
        <x:f>'Model fits'!AA861</x:f>
        <x:v>-1.4506658257005363</x:v>
      </x:c>
      <x:c r="I1305" s="8" t="n">
        <x:f>0</x:f>
        <x:v>0</x:v>
      </x:c>
      <x:c r="J1305" s="8" t="n">
        <x:v>0</x:v>
      </x:c>
      <x:c r="K1305" s="8" t="n">
        <x:f>H1305-I1305*J1305</x:f>
        <x:v>-1.4506658257005363</x:v>
      </x:c>
      <x:c r="L1305" s="8" t="n">
        <x:f>'PG facts'!E77</x:f>
        <x:v>-2</x:v>
      </x:c>
      <x:c r="M1305" s="8" t="n">
        <x:f>K1305-L1305</x:f>
        <x:v>0.5493341742994637</x:v>
      </x:c>
      <x:c r="N1305" s="8" t="n">
        <x:f>M1305^2</x:f>
        <x:v>0.3017680350532736</x:v>
      </x:c>
      <x:c r="O1305" s="8" t="n">
        <x:f>ABS(M1305)</x:f>
        <x:v>0.5493341742994637</x:v>
      </x:c>
      <x:c r="P1305" s="7" t="n">
        <x:v>45217</x:v>
      </x:c>
    </x:row>
    <x:row r="1306" ht="26" customHeight="1">
      <x:c r="A1306" s="2"/>
      <x:c r="B1306" s="2" t="n">
        <x:v>1301</x:v>
      </x:c>
      <x:c r="C1306" s="2" t="str">
        <x:v>Grooming / organic_volume_growth</x:v>
      </x:c>
      <x:c r="D1306" s="7" t="n">
        <x:v>45199</x:v>
      </x:c>
      <x:c r="E1306" s="2" t="str">
        <x:v>Pre-earnings</x:v>
      </x:c>
      <x:c r="F1306" s="7" t="n">
        <x:v>45216</x:v>
      </x:c>
      <x:c r="G1306" s="2" t="str">
        <x:v>Broad lag 1</x:v>
      </x:c>
      <x:c r="H1306" s="8" t="n">
        <x:f>'Model fits'!AA862</x:f>
        <x:v>-1.8053029047231266</x:v>
      </x:c>
      <x:c r="I1306" s="8" t="n">
        <x:f>0</x:f>
        <x:v>0</x:v>
      </x:c>
      <x:c r="J1306" s="8" t="n">
        <x:v>0</x:v>
      </x:c>
      <x:c r="K1306" s="8" t="n">
        <x:f>H1306-I1306*J1306</x:f>
        <x:v>-1.8053029047231266</x:v>
      </x:c>
      <x:c r="L1306" s="8" t="n">
        <x:f>'PG facts'!E77</x:f>
        <x:v>-2</x:v>
      </x:c>
      <x:c r="M1306" s="8" t="n">
        <x:f>K1306-L1306</x:f>
        <x:v>0.1946970952768734</x:v>
      </x:c>
      <x:c r="N1306" s="8" t="n">
        <x:f>M1306^2</x:f>
        <x:v>0.03790695890925192</x:v>
      </x:c>
      <x:c r="O1306" s="8" t="n">
        <x:f>ABS(M1306)</x:f>
        <x:v>0.1946970952768734</x:v>
      </x:c>
      <x:c r="P1306" s="7" t="n">
        <x:v>45217</x:v>
      </x:c>
    </x:row>
    <x:row r="1307" ht="26" customHeight="1">
      <x:c r="A1307" s="2"/>
      <x:c r="B1307" s="2" t="n">
        <x:v>1302</x:v>
      </x:c>
      <x:c r="C1307" s="2" t="str">
        <x:v>Grooming / organic_volume_growth</x:v>
      </x:c>
      <x:c r="D1307" s="7" t="n">
        <x:v>45199</x:v>
      </x:c>
      <x:c r="E1307" s="2" t="str">
        <x:v>Pre-earnings</x:v>
      </x:c>
      <x:c r="F1307" s="7" t="n">
        <x:v>45216</x:v>
      </x:c>
      <x:c r="G1307" s="2" t="str">
        <x:v>Broad rolling 8</x:v>
      </x:c>
      <x:c r="H1307" s="8" t="n">
        <x:f>'Model fits'!AA863</x:f>
        <x:v>-1.3768963731661075</x:v>
      </x:c>
      <x:c r="I1307" s="8" t="n">
        <x:f>0</x:f>
        <x:v>0</x:v>
      </x:c>
      <x:c r="J1307" s="8" t="n">
        <x:v>0</x:v>
      </x:c>
      <x:c r="K1307" s="8" t="n">
        <x:f>H1307-I1307*J1307</x:f>
        <x:v>-1.3768963731661075</x:v>
      </x:c>
      <x:c r="L1307" s="8" t="n">
        <x:f>'PG facts'!E77</x:f>
        <x:v>-2</x:v>
      </x:c>
      <x:c r="M1307" s="8" t="n">
        <x:f>K1307-L1307</x:f>
        <x:v>0.6231036268338925</x:v>
      </x:c>
      <x:c r="N1307" s="8" t="n">
        <x:f>M1307^2</x:f>
        <x:v>0.3882581297735508</x:v>
      </x:c>
      <x:c r="O1307" s="8" t="n">
        <x:f>ABS(M1307)</x:f>
        <x:v>0.6231036268338925</x:v>
      </x:c>
      <x:c r="P1307" s="7" t="n">
        <x:v>45217</x:v>
      </x:c>
    </x:row>
    <x:row r="1308" ht="26" customHeight="1">
      <x:c r="A1308" s="2"/>
      <x:c r="B1308" s="2" t="n">
        <x:v>1303</x:v>
      </x:c>
      <x:c r="C1308" s="2" t="str">
        <x:v>Grooming / organic_volume_growth</x:v>
      </x:c>
      <x:c r="D1308" s="7" t="n">
        <x:v>45199</x:v>
      </x:c>
      <x:c r="E1308" s="2" t="str">
        <x:v>Pre-earnings</x:v>
      </x:c>
      <x:c r="F1308" s="7" t="n">
        <x:v>45216</x:v>
      </x:c>
      <x:c r="G1308" s="2" t="str">
        <x:v>Own history</x:v>
      </x:c>
      <x:c r="H1308" s="8" t="n">
        <x:f>'Model fits'!AA864</x:f>
        <x:v>-0.457070707070707</x:v>
      </x:c>
      <x:c r="I1308" s="8" t="n">
        <x:f>0</x:f>
        <x:v>0</x:v>
      </x:c>
      <x:c r="J1308" s="8" t="n">
        <x:v>0</x:v>
      </x:c>
      <x:c r="K1308" s="8" t="n">
        <x:f>H1308-I1308*J1308</x:f>
        <x:v>-0.457070707070707</x:v>
      </x:c>
      <x:c r="L1308" s="8" t="n">
        <x:f>'PG facts'!E77</x:f>
        <x:v>-2</x:v>
      </x:c>
      <x:c r="M1308" s="8" t="n">
        <x:f>K1308-L1308</x:f>
        <x:v>1.542929292929293</x:v>
      </x:c>
      <x:c r="N1308" s="8" t="n">
        <x:f>M1308^2</x:f>
        <x:v>2.380630802979288</x:v>
      </x:c>
      <x:c r="O1308" s="8" t="n">
        <x:f>ABS(M1308)</x:f>
        <x:v>1.542929292929293</x:v>
      </x:c>
      <x:c r="P1308" s="7" t="n">
        <x:v>45217</x:v>
      </x:c>
    </x:row>
    <x:row r="1309" ht="26" customHeight="1">
      <x:c r="A1309" s="2"/>
      <x:c r="B1309" s="2" t="n">
        <x:v>1304</x:v>
      </x:c>
      <x:c r="C1309" s="2" t="str">
        <x:v>Grooming / organic_volume_growth</x:v>
      </x:c>
      <x:c r="D1309" s="7" t="n">
        <x:v>45291</x:v>
      </x:c>
      <x:c r="E1309" s="2" t="str">
        <x:v>Origin</x:v>
      </x:c>
      <x:c r="F1309" s="7" t="n">
        <x:v>45200</x:v>
      </x:c>
      <x:c r="G1309" s="2" t="str">
        <x:v>Last actual</x:v>
      </x:c>
      <x:c r="H1309" s="8" t="n">
        <x:f>AVERAGE('PG facts'!E70)</x:f>
        <x:v>-1</x:v>
      </x:c>
      <x:c r="I1309" s="8" t="n">
        <x:f>0</x:f>
        <x:v>0</x:v>
      </x:c>
      <x:c r="J1309" s="8" t="n">
        <x:v>0</x:v>
      </x:c>
      <x:c r="K1309" s="8" t="n">
        <x:f>H1309-I1309*J1309</x:f>
        <x:v>-1</x:v>
      </x:c>
      <x:c r="L1309" s="8" t="n">
        <x:f>'PG facts'!E84</x:f>
        <x:v>1</x:v>
      </x:c>
      <x:c r="M1309" s="8" t="n">
        <x:f>K1309-L1309</x:f>
        <x:v>-2</x:v>
      </x:c>
      <x:c r="N1309" s="8" t="n">
        <x:f>M1309^2</x:f>
        <x:v>4</x:v>
      </x:c>
      <x:c r="O1309" s="8" t="n">
        <x:f>ABS(M1309)</x:f>
        <x:v>2</x:v>
      </x:c>
      <x:c r="P1309" s="7" t="n">
        <x:v>45314</x:v>
      </x:c>
    </x:row>
    <x:row r="1310" ht="26" customHeight="1">
      <x:c r="A1310" s="2"/>
      <x:c r="B1310" s="2" t="n">
        <x:v>1305</x:v>
      </x:c>
      <x:c r="C1310" s="2" t="str">
        <x:v>Grooming / organic_volume_growth</x:v>
      </x:c>
      <x:c r="D1310" s="7" t="n">
        <x:v>45291</x:v>
      </x:c>
      <x:c r="E1310" s="2" t="str">
        <x:v>Origin</x:v>
      </x:c>
      <x:c r="F1310" s="7" t="n">
        <x:v>45200</x:v>
      </x:c>
      <x:c r="G1310" s="2" t="str">
        <x:v>Four-quarter mean</x:v>
      </x:c>
      <x:c r="H1310" s="8" t="n">
        <x:f>AVERAGE('PG facts'!E49,'PG facts'!E56,'PG facts'!E63,'PG facts'!E70)</x:f>
        <x:v>-2.25</x:v>
      </x:c>
      <x:c r="I1310" s="8" t="n">
        <x:f>0</x:f>
        <x:v>0</x:v>
      </x:c>
      <x:c r="J1310" s="8" t="n">
        <x:v>0</x:v>
      </x:c>
      <x:c r="K1310" s="8" t="n">
        <x:f>H1310-I1310*J1310</x:f>
        <x:v>-2.25</x:v>
      </x:c>
      <x:c r="L1310" s="8" t="n">
        <x:f>'PG facts'!E84</x:f>
        <x:v>1</x:v>
      </x:c>
      <x:c r="M1310" s="8" t="n">
        <x:f>K1310-L1310</x:f>
        <x:v>-3.25</x:v>
      </x:c>
      <x:c r="N1310" s="8" t="n">
        <x:f>M1310^2</x:f>
        <x:v>10.5625</x:v>
      </x:c>
      <x:c r="O1310" s="8" t="n">
        <x:f>ABS(M1310)</x:f>
        <x:v>3.25</x:v>
      </x:c>
      <x:c r="P1310" s="7" t="n">
        <x:v>45314</x:v>
      </x:c>
    </x:row>
    <x:row r="1311" ht="26" customHeight="1">
      <x:c r="A1311" s="2"/>
      <x:c r="B1311" s="2" t="n">
        <x:v>1306</x:v>
      </x:c>
      <x:c r="C1311" s="2" t="str">
        <x:v>Grooming / organic_volume_growth</x:v>
      </x:c>
      <x:c r="D1311" s="7" t="n">
        <x:v>45291</x:v>
      </x:c>
      <x:c r="E1311" s="2" t="str">
        <x:v>Origin</x:v>
      </x:c>
      <x:c r="F1311" s="7" t="n">
        <x:v>45200</x:v>
      </x:c>
      <x:c r="G1311" s="2" t="str">
        <x:v>Broad market</x:v>
      </x:c>
      <x:c r="H1311" s="8" t="n">
        <x:f>'Model fits'!AA865</x:f>
        <x:v>-1.549141624577954</x:v>
      </x:c>
      <x:c r="I1311" s="8" t="n">
        <x:f>0</x:f>
        <x:v>0</x:v>
      </x:c>
      <x:c r="J1311" s="8" t="n">
        <x:v>0</x:v>
      </x:c>
      <x:c r="K1311" s="8" t="n">
        <x:f>H1311-I1311*J1311</x:f>
        <x:v>-1.549141624577954</x:v>
      </x:c>
      <x:c r="L1311" s="8" t="n">
        <x:f>'PG facts'!E84</x:f>
        <x:v>1</x:v>
      </x:c>
      <x:c r="M1311" s="8" t="n">
        <x:f>K1311-L1311</x:f>
        <x:v>-2.549141624577954</x:v>
      </x:c>
      <x:c r="N1311" s="8" t="n">
        <x:f>M1311^2</x:f>
        <x:v>6.49812302215593</x:v>
      </x:c>
      <x:c r="O1311" s="8" t="n">
        <x:f>ABS(M1311)</x:f>
        <x:v>2.549141624577954</x:v>
      </x:c>
      <x:c r="P1311" s="7" t="n">
        <x:v>45314</x:v>
      </x:c>
    </x:row>
    <x:row r="1312" ht="26" customHeight="1">
      <x:c r="A1312" s="2"/>
      <x:c r="B1312" s="2" t="n">
        <x:v>1307</x:v>
      </x:c>
      <x:c r="C1312" s="2" t="str">
        <x:v>Grooming / organic_volume_growth</x:v>
      </x:c>
      <x:c r="D1312" s="7" t="n">
        <x:v>45291</x:v>
      </x:c>
      <x:c r="E1312" s="2" t="str">
        <x:v>Origin</x:v>
      </x:c>
      <x:c r="F1312" s="7" t="n">
        <x:v>45200</x:v>
      </x:c>
      <x:c r="G1312" s="2" t="str">
        <x:v>Broad rolling 8</x:v>
      </x:c>
      <x:c r="H1312" s="8" t="n">
        <x:f>'Model fits'!AA866</x:f>
        <x:v>-1.4923323555067556</x:v>
      </x:c>
      <x:c r="I1312" s="8" t="n">
        <x:f>0</x:f>
        <x:v>0</x:v>
      </x:c>
      <x:c r="J1312" s="8" t="n">
        <x:v>0</x:v>
      </x:c>
      <x:c r="K1312" s="8" t="n">
        <x:f>H1312-I1312*J1312</x:f>
        <x:v>-1.4923323555067556</x:v>
      </x:c>
      <x:c r="L1312" s="8" t="n">
        <x:f>'PG facts'!E84</x:f>
        <x:v>1</x:v>
      </x:c>
      <x:c r="M1312" s="8" t="n">
        <x:f>K1312-L1312</x:f>
        <x:v>-2.492332355506756</x:v>
      </x:c>
      <x:c r="N1312" s="8" t="n">
        <x:f>M1312^2</x:f>
        <x:v>6.211720570305854</x:v>
      </x:c>
      <x:c r="O1312" s="8" t="n">
        <x:f>ABS(M1312)</x:f>
        <x:v>2.492332355506756</x:v>
      </x:c>
      <x:c r="P1312" s="7" t="n">
        <x:v>45314</x:v>
      </x:c>
    </x:row>
    <x:row r="1313" ht="26" customHeight="1">
      <x:c r="A1313" s="2"/>
      <x:c r="B1313" s="2" t="n">
        <x:v>1308</x:v>
      </x:c>
      <x:c r="C1313" s="2" t="str">
        <x:v>Grooming / organic_volume_growth</x:v>
      </x:c>
      <x:c r="D1313" s="7" t="n">
        <x:v>45291</x:v>
      </x:c>
      <x:c r="E1313" s="2" t="str">
        <x:v>Origin</x:v>
      </x:c>
      <x:c r="F1313" s="7" t="n">
        <x:v>45200</x:v>
      </x:c>
      <x:c r="G1313" s="2" t="str">
        <x:v>Own history</x:v>
      </x:c>
      <x:c r="H1313" s="8" t="n">
        <x:f>'Model fits'!AA867</x:f>
        <x:v>-1.2142857142857144</x:v>
      </x:c>
      <x:c r="I1313" s="8" t="n">
        <x:f>0</x:f>
        <x:v>0</x:v>
      </x:c>
      <x:c r="J1313" s="8" t="n">
        <x:v>0</x:v>
      </x:c>
      <x:c r="K1313" s="8" t="n">
        <x:f>H1313-I1313*J1313</x:f>
        <x:v>-1.2142857142857144</x:v>
      </x:c>
      <x:c r="L1313" s="8" t="n">
        <x:f>'PG facts'!E84</x:f>
        <x:v>1</x:v>
      </x:c>
      <x:c r="M1313" s="8" t="n">
        <x:f>K1313-L1313</x:f>
        <x:v>-2.2142857142857144</x:v>
      </x:c>
      <x:c r="N1313" s="8" t="n">
        <x:f>M1313^2</x:f>
        <x:v>4.903061224489797</x:v>
      </x:c>
      <x:c r="O1313" s="8" t="n">
        <x:f>ABS(M1313)</x:f>
        <x:v>2.2142857142857144</x:v>
      </x:c>
      <x:c r="P1313" s="7" t="n">
        <x:v>45314</x:v>
      </x:c>
    </x:row>
    <x:row r="1314" ht="26" customHeight="1">
      <x:c r="A1314" s="2"/>
      <x:c r="B1314" s="2" t="n">
        <x:v>1309</x:v>
      </x:c>
      <x:c r="C1314" s="2" t="str">
        <x:v>Grooming / organic_volume_growth</x:v>
      </x:c>
      <x:c r="D1314" s="7" t="n">
        <x:v>45291</x:v>
      </x:c>
      <x:c r="E1314" s="2" t="str">
        <x:v>Prior report</x:v>
      </x:c>
      <x:c r="F1314" s="7" t="n">
        <x:v>45217</x:v>
      </x:c>
      <x:c r="G1314" s="2" t="str">
        <x:v>Last actual</x:v>
      </x:c>
      <x:c r="H1314" s="8" t="n">
        <x:f>AVERAGE('PG facts'!E77)</x:f>
        <x:v>-2</x:v>
      </x:c>
      <x:c r="I1314" s="8" t="n">
        <x:f>0</x:f>
        <x:v>0</x:v>
      </x:c>
      <x:c r="J1314" s="8" t="n">
        <x:v>0</x:v>
      </x:c>
      <x:c r="K1314" s="8" t="n">
        <x:f>H1314-I1314*J1314</x:f>
        <x:v>-2</x:v>
      </x:c>
      <x:c r="L1314" s="8" t="n">
        <x:f>'PG facts'!E84</x:f>
        <x:v>1</x:v>
      </x:c>
      <x:c r="M1314" s="8" t="n">
        <x:f>K1314-L1314</x:f>
        <x:v>-3</x:v>
      </x:c>
      <x:c r="N1314" s="8" t="n">
        <x:f>M1314^2</x:f>
        <x:v>9</x:v>
      </x:c>
      <x:c r="O1314" s="8" t="n">
        <x:f>ABS(M1314)</x:f>
        <x:v>3</x:v>
      </x:c>
      <x:c r="P1314" s="7" t="n">
        <x:v>45314</x:v>
      </x:c>
    </x:row>
    <x:row r="1315" ht="26" customHeight="1">
      <x:c r="A1315" s="2"/>
      <x:c r="B1315" s="2" t="n">
        <x:v>1310</x:v>
      </x:c>
      <x:c r="C1315" s="2" t="str">
        <x:v>Grooming / organic_volume_growth</x:v>
      </x:c>
      <x:c r="D1315" s="7" t="n">
        <x:v>45291</x:v>
      </x:c>
      <x:c r="E1315" s="2" t="str">
        <x:v>Prior report</x:v>
      </x:c>
      <x:c r="F1315" s="7" t="n">
        <x:v>45217</x:v>
      </x:c>
      <x:c r="G1315" s="2" t="str">
        <x:v>Four-quarter mean</x:v>
      </x:c>
      <x:c r="H1315" s="8" t="n">
        <x:f>AVERAGE('PG facts'!E56,'PG facts'!E63,'PG facts'!E70,'PG facts'!E77)</x:f>
        <x:v>-3</x:v>
      </x:c>
      <x:c r="I1315" s="8" t="n">
        <x:f>0</x:f>
        <x:v>0</x:v>
      </x:c>
      <x:c r="J1315" s="8" t="n">
        <x:v>0</x:v>
      </x:c>
      <x:c r="K1315" s="8" t="n">
        <x:f>H1315-I1315*J1315</x:f>
        <x:v>-3</x:v>
      </x:c>
      <x:c r="L1315" s="8" t="n">
        <x:f>'PG facts'!E84</x:f>
        <x:v>1</x:v>
      </x:c>
      <x:c r="M1315" s="8" t="n">
        <x:f>K1315-L1315</x:f>
        <x:v>-4</x:v>
      </x:c>
      <x:c r="N1315" s="8" t="n">
        <x:f>M1315^2</x:f>
        <x:v>16</x:v>
      </x:c>
      <x:c r="O1315" s="8" t="n">
        <x:f>ABS(M1315)</x:f>
        <x:v>4</x:v>
      </x:c>
      <x:c r="P1315" s="7" t="n">
        <x:v>45314</x:v>
      </x:c>
    </x:row>
    <x:row r="1316" ht="26" customHeight="1">
      <x:c r="A1316" s="2"/>
      <x:c r="B1316" s="2" t="n">
        <x:v>1311</x:v>
      </x:c>
      <x:c r="C1316" s="2" t="str">
        <x:v>Grooming / organic_volume_growth</x:v>
      </x:c>
      <x:c r="D1316" s="7" t="n">
        <x:v>45291</x:v>
      </x:c>
      <x:c r="E1316" s="2" t="str">
        <x:v>Prior report</x:v>
      </x:c>
      <x:c r="F1316" s="7" t="n">
        <x:v>45217</x:v>
      </x:c>
      <x:c r="G1316" s="2" t="str">
        <x:v>Broad market</x:v>
      </x:c>
      <x:c r="H1316" s="8" t="n">
        <x:f>'Model fits'!AA868</x:f>
        <x:v>-1.549141624577954</x:v>
      </x:c>
      <x:c r="I1316" s="8" t="n">
        <x:f>0</x:f>
        <x:v>0</x:v>
      </x:c>
      <x:c r="J1316" s="8" t="n">
        <x:v>0</x:v>
      </x:c>
      <x:c r="K1316" s="8" t="n">
        <x:f>H1316-I1316*J1316</x:f>
        <x:v>-1.549141624577954</x:v>
      </x:c>
      <x:c r="L1316" s="8" t="n">
        <x:f>'PG facts'!E84</x:f>
        <x:v>1</x:v>
      </x:c>
      <x:c r="M1316" s="8" t="n">
        <x:f>K1316-L1316</x:f>
        <x:v>-2.549141624577954</x:v>
      </x:c>
      <x:c r="N1316" s="8" t="n">
        <x:f>M1316^2</x:f>
        <x:v>6.49812302215593</x:v>
      </x:c>
      <x:c r="O1316" s="8" t="n">
        <x:f>ABS(M1316)</x:f>
        <x:v>2.549141624577954</x:v>
      </x:c>
      <x:c r="P1316" s="7" t="n">
        <x:v>45314</x:v>
      </x:c>
    </x:row>
    <x:row r="1317" ht="26" customHeight="1">
      <x:c r="A1317" s="2"/>
      <x:c r="B1317" s="2" t="n">
        <x:v>1312</x:v>
      </x:c>
      <x:c r="C1317" s="2" t="str">
        <x:v>Grooming / organic_volume_growth</x:v>
      </x:c>
      <x:c r="D1317" s="7" t="n">
        <x:v>45291</x:v>
      </x:c>
      <x:c r="E1317" s="2" t="str">
        <x:v>Prior report</x:v>
      </x:c>
      <x:c r="F1317" s="7" t="n">
        <x:v>45217</x:v>
      </x:c>
      <x:c r="G1317" s="2" t="str">
        <x:v>Broad rolling 8</x:v>
      </x:c>
      <x:c r="H1317" s="8" t="n">
        <x:f>'Model fits'!AA869</x:f>
        <x:v>-1.4923323555067556</x:v>
      </x:c>
      <x:c r="I1317" s="8" t="n">
        <x:f>0</x:f>
        <x:v>0</x:v>
      </x:c>
      <x:c r="J1317" s="8" t="n">
        <x:v>0</x:v>
      </x:c>
      <x:c r="K1317" s="8" t="n">
        <x:f>H1317-I1317*J1317</x:f>
        <x:v>-1.4923323555067556</x:v>
      </x:c>
      <x:c r="L1317" s="8" t="n">
        <x:f>'PG facts'!E84</x:f>
        <x:v>1</x:v>
      </x:c>
      <x:c r="M1317" s="8" t="n">
        <x:f>K1317-L1317</x:f>
        <x:v>-2.492332355506756</x:v>
      </x:c>
      <x:c r="N1317" s="8" t="n">
        <x:f>M1317^2</x:f>
        <x:v>6.211720570305854</x:v>
      </x:c>
      <x:c r="O1317" s="8" t="n">
        <x:f>ABS(M1317)</x:f>
        <x:v>2.492332355506756</x:v>
      </x:c>
      <x:c r="P1317" s="7" t="n">
        <x:v>45314</x:v>
      </x:c>
    </x:row>
    <x:row r="1318" ht="26" customHeight="1">
      <x:c r="A1318" s="2"/>
      <x:c r="B1318" s="2" t="n">
        <x:v>1313</x:v>
      </x:c>
      <x:c r="C1318" s="2" t="str">
        <x:v>Grooming / organic_volume_growth</x:v>
      </x:c>
      <x:c r="D1318" s="7" t="n">
        <x:v>45291</x:v>
      </x:c>
      <x:c r="E1318" s="2" t="str">
        <x:v>Prior report</x:v>
      </x:c>
      <x:c r="F1318" s="7" t="n">
        <x:v>45217</x:v>
      </x:c>
      <x:c r="G1318" s="2" t="str">
        <x:v>Own history</x:v>
      </x:c>
      <x:c r="H1318" s="8" t="n">
        <x:f>'Model fits'!AA870</x:f>
        <x:v>-0.6470588235294118</x:v>
      </x:c>
      <x:c r="I1318" s="8" t="n">
        <x:f>0</x:f>
        <x:v>0</x:v>
      </x:c>
      <x:c r="J1318" s="8" t="n">
        <x:v>0</x:v>
      </x:c>
      <x:c r="K1318" s="8" t="n">
        <x:f>H1318-I1318*J1318</x:f>
        <x:v>-0.6470588235294118</x:v>
      </x:c>
      <x:c r="L1318" s="8" t="n">
        <x:f>'PG facts'!E84</x:f>
        <x:v>1</x:v>
      </x:c>
      <x:c r="M1318" s="8" t="n">
        <x:f>K1318-L1318</x:f>
        <x:v>-1.6470588235294117</x:v>
      </x:c>
      <x:c r="N1318" s="8" t="n">
        <x:f>M1318^2</x:f>
        <x:v>2.71280276816609</x:v>
      </x:c>
      <x:c r="O1318" s="8" t="n">
        <x:f>ABS(M1318)</x:f>
        <x:v>1.6470588235294117</x:v>
      </x:c>
      <x:c r="P1318" s="7" t="n">
        <x:v>45314</x:v>
      </x:c>
    </x:row>
    <x:row r="1319" ht="26" customHeight="1">
      <x:c r="A1319" s="2"/>
      <x:c r="B1319" s="2" t="n">
        <x:v>1314</x:v>
      </x:c>
      <x:c r="C1319" s="2" t="str">
        <x:v>Grooming / organic_volume_growth</x:v>
      </x:c>
      <x:c r="D1319" s="7" t="n">
        <x:v>45291</x:v>
      </x:c>
      <x:c r="E1319" s="2" t="str">
        <x:v>Pre-earnings</x:v>
      </x:c>
      <x:c r="F1319" s="7" t="n">
        <x:v>45313</x:v>
      </x:c>
      <x:c r="G1319" s="2" t="str">
        <x:v>Last actual</x:v>
      </x:c>
      <x:c r="H1319" s="8" t="n">
        <x:f>AVERAGE('PG facts'!E77)</x:f>
        <x:v>-2</x:v>
      </x:c>
      <x:c r="I1319" s="8" t="n">
        <x:f>0</x:f>
        <x:v>0</x:v>
      </x:c>
      <x:c r="J1319" s="8" t="n">
        <x:v>0</x:v>
      </x:c>
      <x:c r="K1319" s="8" t="n">
        <x:f>H1319-I1319*J1319</x:f>
        <x:v>-2</x:v>
      </x:c>
      <x:c r="L1319" s="8" t="n">
        <x:f>'PG facts'!E84</x:f>
        <x:v>1</x:v>
      </x:c>
      <x:c r="M1319" s="8" t="n">
        <x:f>K1319-L1319</x:f>
        <x:v>-3</x:v>
      </x:c>
      <x:c r="N1319" s="8" t="n">
        <x:f>M1319^2</x:f>
        <x:v>9</x:v>
      </x:c>
      <x:c r="O1319" s="8" t="n">
        <x:f>ABS(M1319)</x:f>
        <x:v>3</x:v>
      </x:c>
      <x:c r="P1319" s="7" t="n">
        <x:v>45314</x:v>
      </x:c>
    </x:row>
    <x:row r="1320" ht="26" customHeight="1">
      <x:c r="A1320" s="2"/>
      <x:c r="B1320" s="2" t="n">
        <x:v>1315</x:v>
      </x:c>
      <x:c r="C1320" s="2" t="str">
        <x:v>Grooming / organic_volume_growth</x:v>
      </x:c>
      <x:c r="D1320" s="7" t="n">
        <x:v>45291</x:v>
      </x:c>
      <x:c r="E1320" s="2" t="str">
        <x:v>Pre-earnings</x:v>
      </x:c>
      <x:c r="F1320" s="7" t="n">
        <x:v>45313</x:v>
      </x:c>
      <x:c r="G1320" s="2" t="str">
        <x:v>Four-quarter mean</x:v>
      </x:c>
      <x:c r="H1320" s="8" t="n">
        <x:f>AVERAGE('PG facts'!E56,'PG facts'!E63,'PG facts'!E70,'PG facts'!E77)</x:f>
        <x:v>-3</x:v>
      </x:c>
      <x:c r="I1320" s="8" t="n">
        <x:f>0</x:f>
        <x:v>0</x:v>
      </x:c>
      <x:c r="J1320" s="8" t="n">
        <x:v>0</x:v>
      </x:c>
      <x:c r="K1320" s="8" t="n">
        <x:f>H1320-I1320*J1320</x:f>
        <x:v>-3</x:v>
      </x:c>
      <x:c r="L1320" s="8" t="n">
        <x:f>'PG facts'!E84</x:f>
        <x:v>1</x:v>
      </x:c>
      <x:c r="M1320" s="8" t="n">
        <x:f>K1320-L1320</x:f>
        <x:v>-4</x:v>
      </x:c>
      <x:c r="N1320" s="8" t="n">
        <x:f>M1320^2</x:f>
        <x:v>16</x:v>
      </x:c>
      <x:c r="O1320" s="8" t="n">
        <x:f>ABS(M1320)</x:f>
        <x:v>4</x:v>
      </x:c>
      <x:c r="P1320" s="7" t="n">
        <x:v>45314</x:v>
      </x:c>
    </x:row>
    <x:row r="1321" ht="26" customHeight="1">
      <x:c r="A1321" s="2"/>
      <x:c r="B1321" s="2" t="n">
        <x:v>1316</x:v>
      </x:c>
      <x:c r="C1321" s="2" t="str">
        <x:v>Grooming / organic_volume_growth</x:v>
      </x:c>
      <x:c r="D1321" s="7" t="n">
        <x:v>45291</x:v>
      </x:c>
      <x:c r="E1321" s="2" t="str">
        <x:v>Pre-earnings</x:v>
      </x:c>
      <x:c r="F1321" s="7" t="n">
        <x:v>45313</x:v>
      </x:c>
      <x:c r="G1321" s="2" t="str">
        <x:v>Broad market</x:v>
      </x:c>
      <x:c r="H1321" s="8" t="n">
        <x:f>'Model fits'!AA871</x:f>
        <x:v>-1.4362119790965364</x:v>
      </x:c>
      <x:c r="I1321" s="8" t="n">
        <x:f>0</x:f>
        <x:v>0</x:v>
      </x:c>
      <x:c r="J1321" s="8" t="n">
        <x:v>0</x:v>
      </x:c>
      <x:c r="K1321" s="8" t="n">
        <x:f>H1321-I1321*J1321</x:f>
        <x:v>-1.4362119790965364</x:v>
      </x:c>
      <x:c r="L1321" s="8" t="n">
        <x:f>'PG facts'!E84</x:f>
        <x:v>1</x:v>
      </x:c>
      <x:c r="M1321" s="8" t="n">
        <x:f>K1321-L1321</x:f>
        <x:v>-2.4362119790965364</x:v>
      </x:c>
      <x:c r="N1321" s="8" t="n">
        <x:f>M1321^2</x:f>
        <x:v>5.935128807093463</x:v>
      </x:c>
      <x:c r="O1321" s="8" t="n">
        <x:f>ABS(M1321)</x:f>
        <x:v>2.4362119790965364</x:v>
      </x:c>
      <x:c r="P1321" s="7" t="n">
        <x:v>45314</x:v>
      </x:c>
    </x:row>
    <x:row r="1322" ht="26" customHeight="1">
      <x:c r="A1322" s="2"/>
      <x:c r="B1322" s="2" t="n">
        <x:v>1317</x:v>
      </x:c>
      <x:c r="C1322" s="2" t="str">
        <x:v>Grooming / organic_volume_growth</x:v>
      </x:c>
      <x:c r="D1322" s="7" t="n">
        <x:v>45291</x:v>
      </x:c>
      <x:c r="E1322" s="2" t="str">
        <x:v>Pre-earnings</x:v>
      </x:c>
      <x:c r="F1322" s="7" t="n">
        <x:v>45313</x:v>
      </x:c>
      <x:c r="G1322" s="2" t="str">
        <x:v>Broad lag 1</x:v>
      </x:c>
      <x:c r="H1322" s="8" t="n">
        <x:f>'Model fits'!AA872</x:f>
        <x:v>-1.364716195379486</x:v>
      </x:c>
      <x:c r="I1322" s="8" t="n">
        <x:f>0</x:f>
        <x:v>0</x:v>
      </x:c>
      <x:c r="J1322" s="8" t="n">
        <x:v>0</x:v>
      </x:c>
      <x:c r="K1322" s="8" t="n">
        <x:f>H1322-I1322*J1322</x:f>
        <x:v>-1.364716195379486</x:v>
      </x:c>
      <x:c r="L1322" s="8" t="n">
        <x:f>'PG facts'!E84</x:f>
        <x:v>1</x:v>
      </x:c>
      <x:c r="M1322" s="8" t="n">
        <x:f>K1322-L1322</x:f>
        <x:v>-2.364716195379486</x:v>
      </x:c>
      <x:c r="N1322" s="8" t="n">
        <x:f>M1322^2</x:f>
        <x:v>5.591882684690031</x:v>
      </x:c>
      <x:c r="O1322" s="8" t="n">
        <x:f>ABS(M1322)</x:f>
        <x:v>2.364716195379486</x:v>
      </x:c>
      <x:c r="P1322" s="7" t="n">
        <x:v>45314</x:v>
      </x:c>
    </x:row>
    <x:row r="1323" ht="26" customHeight="1">
      <x:c r="A1323" s="2"/>
      <x:c r="B1323" s="2" t="n">
        <x:v>1318</x:v>
      </x:c>
      <x:c r="C1323" s="2" t="str">
        <x:v>Grooming / organic_volume_growth</x:v>
      </x:c>
      <x:c r="D1323" s="7" t="n">
        <x:v>45291</x:v>
      </x:c>
      <x:c r="E1323" s="2" t="str">
        <x:v>Pre-earnings</x:v>
      </x:c>
      <x:c r="F1323" s="7" t="n">
        <x:v>45313</x:v>
      </x:c>
      <x:c r="G1323" s="2" t="str">
        <x:v>Broad rolling 8</x:v>
      </x:c>
      <x:c r="H1323" s="8" t="n">
        <x:f>'Model fits'!AA873</x:f>
        <x:v>-1.2985880920814634</x:v>
      </x:c>
      <x:c r="I1323" s="8" t="n">
        <x:f>0</x:f>
        <x:v>0</x:v>
      </x:c>
      <x:c r="J1323" s="8" t="n">
        <x:v>0</x:v>
      </x:c>
      <x:c r="K1323" s="8" t="n">
        <x:f>H1323-I1323*J1323</x:f>
        <x:v>-1.2985880920814634</x:v>
      </x:c>
      <x:c r="L1323" s="8" t="n">
        <x:f>'PG facts'!E84</x:f>
        <x:v>1</x:v>
      </x:c>
      <x:c r="M1323" s="8" t="n">
        <x:f>K1323-L1323</x:f>
        <x:v>-2.2985880920814634</x:v>
      </x:c>
      <x:c r="N1323" s="8" t="n">
        <x:f>M1323^2</x:f>
        <x:v>5.283507217058702</x:v>
      </x:c>
      <x:c r="O1323" s="8" t="n">
        <x:f>ABS(M1323)</x:f>
        <x:v>2.2985880920814634</x:v>
      </x:c>
      <x:c r="P1323" s="7" t="n">
        <x:v>45314</x:v>
      </x:c>
    </x:row>
    <x:row r="1324" ht="26" customHeight="1">
      <x:c r="A1324" s="2"/>
      <x:c r="B1324" s="2" t="n">
        <x:v>1319</x:v>
      </x:c>
      <x:c r="C1324" s="2" t="str">
        <x:v>Grooming / organic_volume_growth</x:v>
      </x:c>
      <x:c r="D1324" s="7" t="n">
        <x:v>45291</x:v>
      </x:c>
      <x:c r="E1324" s="2" t="str">
        <x:v>Pre-earnings</x:v>
      </x:c>
      <x:c r="F1324" s="7" t="n">
        <x:v>45313</x:v>
      </x:c>
      <x:c r="G1324" s="2" t="str">
        <x:v>Own history</x:v>
      </x:c>
      <x:c r="H1324" s="8" t="n">
        <x:f>'Model fits'!AA874</x:f>
        <x:v>-0.6470588235294118</x:v>
      </x:c>
      <x:c r="I1324" s="8" t="n">
        <x:f>0</x:f>
        <x:v>0</x:v>
      </x:c>
      <x:c r="J1324" s="8" t="n">
        <x:v>0</x:v>
      </x:c>
      <x:c r="K1324" s="8" t="n">
        <x:f>H1324-I1324*J1324</x:f>
        <x:v>-0.6470588235294118</x:v>
      </x:c>
      <x:c r="L1324" s="8" t="n">
        <x:f>'PG facts'!E84</x:f>
        <x:v>1</x:v>
      </x:c>
      <x:c r="M1324" s="8" t="n">
        <x:f>K1324-L1324</x:f>
        <x:v>-1.6470588235294117</x:v>
      </x:c>
      <x:c r="N1324" s="8" t="n">
        <x:f>M1324^2</x:f>
        <x:v>2.71280276816609</x:v>
      </x:c>
      <x:c r="O1324" s="8" t="n">
        <x:f>ABS(M1324)</x:f>
        <x:v>1.6470588235294117</x:v>
      </x:c>
      <x:c r="P1324" s="7" t="n">
        <x:v>45314</x:v>
      </x:c>
    </x:row>
    <x:row r="1325" ht="26" customHeight="1">
      <x:c r="A1325" s="2"/>
      <x:c r="B1325" s="2" t="n">
        <x:v>1320</x:v>
      </x:c>
      <x:c r="C1325" s="2" t="str">
        <x:v>Grooming / organic_volume_growth</x:v>
      </x:c>
      <x:c r="D1325" s="7" t="n">
        <x:v>45382</x:v>
      </x:c>
      <x:c r="E1325" s="2" t="str">
        <x:v>Origin</x:v>
      </x:c>
      <x:c r="F1325" s="7" t="n">
        <x:v>45292</x:v>
      </x:c>
      <x:c r="G1325" s="2" t="str">
        <x:v>Last actual</x:v>
      </x:c>
      <x:c r="H1325" s="8" t="n">
        <x:f>AVERAGE('PG facts'!E77)</x:f>
        <x:v>-2</x:v>
      </x:c>
      <x:c r="I1325" s="8" t="n">
        <x:f>0</x:f>
        <x:v>0</x:v>
      </x:c>
      <x:c r="J1325" s="8" t="n">
        <x:v>0</x:v>
      </x:c>
      <x:c r="K1325" s="8" t="n">
        <x:f>H1325-I1325*J1325</x:f>
        <x:v>-2</x:v>
      </x:c>
      <x:c r="L1325" s="8" t="n">
        <x:f>'PG facts'!E91</x:f>
        <x:v>2</x:v>
      </x:c>
      <x:c r="M1325" s="8" t="n">
        <x:f>K1325-L1325</x:f>
        <x:v>-4</x:v>
      </x:c>
      <x:c r="N1325" s="8" t="n">
        <x:f>M1325^2</x:f>
        <x:v>16</x:v>
      </x:c>
      <x:c r="O1325" s="8" t="n">
        <x:f>ABS(M1325)</x:f>
        <x:v>4</x:v>
      </x:c>
      <x:c r="P1325" s="7" t="n">
        <x:v>45401</x:v>
      </x:c>
    </x:row>
    <x:row r="1326" ht="26" customHeight="1">
      <x:c r="A1326" s="2"/>
      <x:c r="B1326" s="2" t="n">
        <x:v>1321</x:v>
      </x:c>
      <x:c r="C1326" s="2" t="str">
        <x:v>Grooming / organic_volume_growth</x:v>
      </x:c>
      <x:c r="D1326" s="7" t="n">
        <x:v>45382</x:v>
      </x:c>
      <x:c r="E1326" s="2" t="str">
        <x:v>Origin</x:v>
      </x:c>
      <x:c r="F1326" s="7" t="n">
        <x:v>45292</x:v>
      </x:c>
      <x:c r="G1326" s="2" t="str">
        <x:v>Four-quarter mean</x:v>
      </x:c>
      <x:c r="H1326" s="8" t="n">
        <x:f>AVERAGE('PG facts'!E56,'PG facts'!E63,'PG facts'!E70,'PG facts'!E77)</x:f>
        <x:v>-3</x:v>
      </x:c>
      <x:c r="I1326" s="8" t="n">
        <x:f>0</x:f>
        <x:v>0</x:v>
      </x:c>
      <x:c r="J1326" s="8" t="n">
        <x:v>0</x:v>
      </x:c>
      <x:c r="K1326" s="8" t="n">
        <x:f>H1326-I1326*J1326</x:f>
        <x:v>-3</x:v>
      </x:c>
      <x:c r="L1326" s="8" t="n">
        <x:f>'PG facts'!E91</x:f>
        <x:v>2</x:v>
      </x:c>
      <x:c r="M1326" s="8" t="n">
        <x:f>K1326-L1326</x:f>
        <x:v>-5</x:v>
      </x:c>
      <x:c r="N1326" s="8" t="n">
        <x:f>M1326^2</x:f>
        <x:v>25</x:v>
      </x:c>
      <x:c r="O1326" s="8" t="n">
        <x:f>ABS(M1326)</x:f>
        <x:v>5</x:v>
      </x:c>
      <x:c r="P1326" s="7" t="n">
        <x:v>45401</x:v>
      </x:c>
    </x:row>
    <x:row r="1327" ht="26" customHeight="1">
      <x:c r="A1327" s="2"/>
      <x:c r="B1327" s="2" t="n">
        <x:v>1322</x:v>
      </x:c>
      <x:c r="C1327" s="2" t="str">
        <x:v>Grooming / organic_volume_growth</x:v>
      </x:c>
      <x:c r="D1327" s="7" t="n">
        <x:v>45382</x:v>
      </x:c>
      <x:c r="E1327" s="2" t="str">
        <x:v>Origin</x:v>
      </x:c>
      <x:c r="F1327" s="7" t="n">
        <x:v>45292</x:v>
      </x:c>
      <x:c r="G1327" s="2" t="str">
        <x:v>Broad market</x:v>
      </x:c>
      <x:c r="H1327" s="8" t="n">
        <x:f>'Model fits'!AA875</x:f>
        <x:v>-1.4816138082260262</x:v>
      </x:c>
      <x:c r="I1327" s="8" t="n">
        <x:f>0</x:f>
        <x:v>0</x:v>
      </x:c>
      <x:c r="J1327" s="8" t="n">
        <x:v>0</x:v>
      </x:c>
      <x:c r="K1327" s="8" t="n">
        <x:f>H1327-I1327*J1327</x:f>
        <x:v>-1.4816138082260262</x:v>
      </x:c>
      <x:c r="L1327" s="8" t="n">
        <x:f>'PG facts'!E91</x:f>
        <x:v>2</x:v>
      </x:c>
      <x:c r="M1327" s="8" t="n">
        <x:f>K1327-L1327</x:f>
        <x:v>-3.481613808226026</x:v>
      </x:c>
      <x:c r="N1327" s="8" t="n">
        <x:f>M1327^2</x:f>
        <x:v>12.121634709630131</x:v>
      </x:c>
      <x:c r="O1327" s="8" t="n">
        <x:f>ABS(M1327)</x:f>
        <x:v>3.481613808226026</x:v>
      </x:c>
      <x:c r="P1327" s="7" t="n">
        <x:v>45401</x:v>
      </x:c>
    </x:row>
    <x:row r="1328" ht="26" customHeight="1">
      <x:c r="A1328" s="2"/>
      <x:c r="B1328" s="2" t="n">
        <x:v>1323</x:v>
      </x:c>
      <x:c r="C1328" s="2" t="str">
        <x:v>Grooming / organic_volume_growth</x:v>
      </x:c>
      <x:c r="D1328" s="7" t="n">
        <x:v>45382</x:v>
      </x:c>
      <x:c r="E1328" s="2" t="str">
        <x:v>Origin</x:v>
      </x:c>
      <x:c r="F1328" s="7" t="n">
        <x:v>45292</x:v>
      </x:c>
      <x:c r="G1328" s="2" t="str">
        <x:v>Broad rolling 8</x:v>
      </x:c>
      <x:c r="H1328" s="8" t="n">
        <x:f>'Model fits'!AA876</x:f>
        <x:v>-1.356358164497525</x:v>
      </x:c>
      <x:c r="I1328" s="8" t="n">
        <x:f>0</x:f>
        <x:v>0</x:v>
      </x:c>
      <x:c r="J1328" s="8" t="n">
        <x:v>0</x:v>
      </x:c>
      <x:c r="K1328" s="8" t="n">
        <x:f>H1328-I1328*J1328</x:f>
        <x:v>-1.356358164497525</x:v>
      </x:c>
      <x:c r="L1328" s="8" t="n">
        <x:f>'PG facts'!E91</x:f>
        <x:v>2</x:v>
      </x:c>
      <x:c r="M1328" s="8" t="n">
        <x:f>K1328-L1328</x:f>
        <x:v>-3.356358164497525</x:v>
      </x:c>
      <x:c r="N1328" s="8" t="n">
        <x:f>M1328^2</x:f>
        <x:v>11.265140128389195</x:v>
      </x:c>
      <x:c r="O1328" s="8" t="n">
        <x:f>ABS(M1328)</x:f>
        <x:v>3.356358164497525</x:v>
      </x:c>
      <x:c r="P1328" s="7" t="n">
        <x:v>45401</x:v>
      </x:c>
    </x:row>
    <x:row r="1329" ht="26" customHeight="1">
      <x:c r="A1329" s="2"/>
      <x:c r="B1329" s="2" t="n">
        <x:v>1324</x:v>
      </x:c>
      <x:c r="C1329" s="2" t="str">
        <x:v>Grooming / organic_volume_growth</x:v>
      </x:c>
      <x:c r="D1329" s="7" t="n">
        <x:v>45382</x:v>
      </x:c>
      <x:c r="E1329" s="2" t="str">
        <x:v>Origin</x:v>
      </x:c>
      <x:c r="F1329" s="7" t="n">
        <x:v>45292</x:v>
      </x:c>
      <x:c r="G1329" s="2" t="str">
        <x:v>Own history</x:v>
      </x:c>
      <x:c r="H1329" s="8" t="n">
        <x:f>'Model fits'!AA877</x:f>
        <x:v>-1.5972222222222223</x:v>
      </x:c>
      <x:c r="I1329" s="8" t="n">
        <x:f>0</x:f>
        <x:v>0</x:v>
      </x:c>
      <x:c r="J1329" s="8" t="n">
        <x:v>0</x:v>
      </x:c>
      <x:c r="K1329" s="8" t="n">
        <x:f>H1329-I1329*J1329</x:f>
        <x:v>-1.5972222222222223</x:v>
      </x:c>
      <x:c r="L1329" s="8" t="n">
        <x:f>'PG facts'!E91</x:f>
        <x:v>2</x:v>
      </x:c>
      <x:c r="M1329" s="8" t="n">
        <x:f>K1329-L1329</x:f>
        <x:v>-3.5972222222222223</x:v>
      </x:c>
      <x:c r="N1329" s="8" t="n">
        <x:f>M1329^2</x:f>
        <x:v>12.940007716049383</x:v>
      </x:c>
      <x:c r="O1329" s="8" t="n">
        <x:f>ABS(M1329)</x:f>
        <x:v>3.5972222222222223</x:v>
      </x:c>
      <x:c r="P1329" s="7" t="n">
        <x:v>45401</x:v>
      </x:c>
    </x:row>
    <x:row r="1330" ht="26" customHeight="1">
      <x:c r="A1330" s="2"/>
      <x:c r="B1330" s="2" t="n">
        <x:v>1325</x:v>
      </x:c>
      <x:c r="C1330" s="2" t="str">
        <x:v>Grooming / organic_volume_growth</x:v>
      </x:c>
      <x:c r="D1330" s="7" t="n">
        <x:v>45382</x:v>
      </x:c>
      <x:c r="E1330" s="2" t="str">
        <x:v>Prior report</x:v>
      </x:c>
      <x:c r="F1330" s="7" t="n">
        <x:v>45314</x:v>
      </x:c>
      <x:c r="G1330" s="2" t="str">
        <x:v>Last actual</x:v>
      </x:c>
      <x:c r="H1330" s="8" t="n">
        <x:f>AVERAGE('PG facts'!E84)</x:f>
        <x:v>1</x:v>
      </x:c>
      <x:c r="I1330" s="8" t="n">
        <x:f>0</x:f>
        <x:v>0</x:v>
      </x:c>
      <x:c r="J1330" s="8" t="n">
        <x:v>0</x:v>
      </x:c>
      <x:c r="K1330" s="8" t="n">
        <x:f>H1330-I1330*J1330</x:f>
        <x:v>1</x:v>
      </x:c>
      <x:c r="L1330" s="8" t="n">
        <x:f>'PG facts'!E91</x:f>
        <x:v>2</x:v>
      </x:c>
      <x:c r="M1330" s="8" t="n">
        <x:f>K1330-L1330</x:f>
        <x:v>-1</x:v>
      </x:c>
      <x:c r="N1330" s="8" t="n">
        <x:f>M1330^2</x:f>
        <x:v>1</x:v>
      </x:c>
      <x:c r="O1330" s="8" t="n">
        <x:f>ABS(M1330)</x:f>
        <x:v>1</x:v>
      </x:c>
      <x:c r="P1330" s="7" t="n">
        <x:v>45401</x:v>
      </x:c>
    </x:row>
    <x:row r="1331" ht="26" customHeight="1">
      <x:c r="A1331" s="2"/>
      <x:c r="B1331" s="2" t="n">
        <x:v>1326</x:v>
      </x:c>
      <x:c r="C1331" s="2" t="str">
        <x:v>Grooming / organic_volume_growth</x:v>
      </x:c>
      <x:c r="D1331" s="7" t="n">
        <x:v>45382</x:v>
      </x:c>
      <x:c r="E1331" s="2" t="str">
        <x:v>Prior report</x:v>
      </x:c>
      <x:c r="F1331" s="7" t="n">
        <x:v>45314</x:v>
      </x:c>
      <x:c r="G1331" s="2" t="str">
        <x:v>Four-quarter mean</x:v>
      </x:c>
      <x:c r="H1331" s="8" t="n">
        <x:f>AVERAGE('PG facts'!E63,'PG facts'!E70,'PG facts'!E77,'PG facts'!E84)</x:f>
        <x:v>-0.75</x:v>
      </x:c>
      <x:c r="I1331" s="8" t="n">
        <x:f>0</x:f>
        <x:v>0</x:v>
      </x:c>
      <x:c r="J1331" s="8" t="n">
        <x:v>0</x:v>
      </x:c>
      <x:c r="K1331" s="8" t="n">
        <x:f>H1331-I1331*J1331</x:f>
        <x:v>-0.75</x:v>
      </x:c>
      <x:c r="L1331" s="8" t="n">
        <x:f>'PG facts'!E91</x:f>
        <x:v>2</x:v>
      </x:c>
      <x:c r="M1331" s="8" t="n">
        <x:f>K1331-L1331</x:f>
        <x:v>-2.75</x:v>
      </x:c>
      <x:c r="N1331" s="8" t="n">
        <x:f>M1331^2</x:f>
        <x:v>7.5625</x:v>
      </x:c>
      <x:c r="O1331" s="8" t="n">
        <x:f>ABS(M1331)</x:f>
        <x:v>2.75</x:v>
      </x:c>
      <x:c r="P1331" s="7" t="n">
        <x:v>45401</x:v>
      </x:c>
    </x:row>
    <x:row r="1332" ht="26" customHeight="1">
      <x:c r="A1332" s="2"/>
      <x:c r="B1332" s="2" t="n">
        <x:v>1327</x:v>
      </x:c>
      <x:c r="C1332" s="2" t="str">
        <x:v>Grooming / organic_volume_growth</x:v>
      </x:c>
      <x:c r="D1332" s="7" t="n">
        <x:v>45382</x:v>
      </x:c>
      <x:c r="E1332" s="2" t="str">
        <x:v>Prior report</x:v>
      </x:c>
      <x:c r="F1332" s="7" t="n">
        <x:v>45314</x:v>
      </x:c>
      <x:c r="G1332" s="2" t="str">
        <x:v>Broad market</x:v>
      </x:c>
      <x:c r="H1332" s="8" t="n">
        <x:f>'Model fits'!AA878</x:f>
        <x:v>-1.4816138082260262</x:v>
      </x:c>
      <x:c r="I1332" s="8" t="n">
        <x:f>0</x:f>
        <x:v>0</x:v>
      </x:c>
      <x:c r="J1332" s="8" t="n">
        <x:v>0</x:v>
      </x:c>
      <x:c r="K1332" s="8" t="n">
        <x:f>H1332-I1332*J1332</x:f>
        <x:v>-1.4816138082260262</x:v>
      </x:c>
      <x:c r="L1332" s="8" t="n">
        <x:f>'PG facts'!E91</x:f>
        <x:v>2</x:v>
      </x:c>
      <x:c r="M1332" s="8" t="n">
        <x:f>K1332-L1332</x:f>
        <x:v>-3.481613808226026</x:v>
      </x:c>
      <x:c r="N1332" s="8" t="n">
        <x:f>M1332^2</x:f>
        <x:v>12.121634709630131</x:v>
      </x:c>
      <x:c r="O1332" s="8" t="n">
        <x:f>ABS(M1332)</x:f>
        <x:v>3.481613808226026</x:v>
      </x:c>
      <x:c r="P1332" s="7" t="n">
        <x:v>45401</x:v>
      </x:c>
    </x:row>
    <x:row r="1333" ht="26" customHeight="1">
      <x:c r="A1333" s="2"/>
      <x:c r="B1333" s="2" t="n">
        <x:v>1328</x:v>
      </x:c>
      <x:c r="C1333" s="2" t="str">
        <x:v>Grooming / organic_volume_growth</x:v>
      </x:c>
      <x:c r="D1333" s="7" t="n">
        <x:v>45382</x:v>
      </x:c>
      <x:c r="E1333" s="2" t="str">
        <x:v>Prior report</x:v>
      </x:c>
      <x:c r="F1333" s="7" t="n">
        <x:v>45314</x:v>
      </x:c>
      <x:c r="G1333" s="2" t="str">
        <x:v>Broad rolling 8</x:v>
      </x:c>
      <x:c r="H1333" s="8" t="n">
        <x:f>'Model fits'!AA879</x:f>
        <x:v>-1.356358164497525</x:v>
      </x:c>
      <x:c r="I1333" s="8" t="n">
        <x:f>0</x:f>
        <x:v>0</x:v>
      </x:c>
      <x:c r="J1333" s="8" t="n">
        <x:v>0</x:v>
      </x:c>
      <x:c r="K1333" s="8" t="n">
        <x:f>H1333-I1333*J1333</x:f>
        <x:v>-1.356358164497525</x:v>
      </x:c>
      <x:c r="L1333" s="8" t="n">
        <x:f>'PG facts'!E91</x:f>
        <x:v>2</x:v>
      </x:c>
      <x:c r="M1333" s="8" t="n">
        <x:f>K1333-L1333</x:f>
        <x:v>-3.356358164497525</x:v>
      </x:c>
      <x:c r="N1333" s="8" t="n">
        <x:f>M1333^2</x:f>
        <x:v>11.265140128389195</x:v>
      </x:c>
      <x:c r="O1333" s="8" t="n">
        <x:f>ABS(M1333)</x:f>
        <x:v>3.356358164497525</x:v>
      </x:c>
      <x:c r="P1333" s="7" t="n">
        <x:v>45401</x:v>
      </x:c>
    </x:row>
    <x:row r="1334" ht="26" customHeight="1">
      <x:c r="A1334" s="2"/>
      <x:c r="B1334" s="2" t="n">
        <x:v>1329</x:v>
      </x:c>
      <x:c r="C1334" s="2" t="str">
        <x:v>Grooming / organic_volume_growth</x:v>
      </x:c>
      <x:c r="D1334" s="7" t="n">
        <x:v>45382</x:v>
      </x:c>
      <x:c r="E1334" s="2" t="str">
        <x:v>Prior report</x:v>
      </x:c>
      <x:c r="F1334" s="7" t="n">
        <x:v>45314</x:v>
      </x:c>
      <x:c r="G1334" s="2" t="str">
        <x:v>Own history</x:v>
      </x:c>
      <x:c r="H1334" s="8" t="n">
        <x:f>'Model fits'!AA880</x:f>
        <x:v>-0.4498997995991984</x:v>
      </x:c>
      <x:c r="I1334" s="8" t="n">
        <x:f>0</x:f>
        <x:v>0</x:v>
      </x:c>
      <x:c r="J1334" s="8" t="n">
        <x:v>0</x:v>
      </x:c>
      <x:c r="K1334" s="8" t="n">
        <x:f>H1334-I1334*J1334</x:f>
        <x:v>-0.4498997995991984</x:v>
      </x:c>
      <x:c r="L1334" s="8" t="n">
        <x:f>'PG facts'!E91</x:f>
        <x:v>2</x:v>
      </x:c>
      <x:c r="M1334" s="8" t="n">
        <x:f>K1334-L1334</x:f>
        <x:v>-2.4498997995991982</x:v>
      </x:c>
      <x:c r="N1334" s="8" t="n">
        <x:f>M1334^2</x:f>
        <x:v>6.002009028076191</x:v>
      </x:c>
      <x:c r="O1334" s="8" t="n">
        <x:f>ABS(M1334)</x:f>
        <x:v>2.4498997995991982</x:v>
      </x:c>
      <x:c r="P1334" s="7" t="n">
        <x:v>45401</x:v>
      </x:c>
    </x:row>
    <x:row r="1335" ht="26" customHeight="1">
      <x:c r="A1335" s="2"/>
      <x:c r="B1335" s="2" t="n">
        <x:v>1330</x:v>
      </x:c>
      <x:c r="C1335" s="2" t="str">
        <x:v>Grooming / organic_volume_growth</x:v>
      </x:c>
      <x:c r="D1335" s="7" t="n">
        <x:v>45382</x:v>
      </x:c>
      <x:c r="E1335" s="2" t="str">
        <x:v>Pre-earnings</x:v>
      </x:c>
      <x:c r="F1335" s="7" t="n">
        <x:v>45400</x:v>
      </x:c>
      <x:c r="G1335" s="2" t="str">
        <x:v>Last actual</x:v>
      </x:c>
      <x:c r="H1335" s="8" t="n">
        <x:f>AVERAGE('PG facts'!E84)</x:f>
        <x:v>1</x:v>
      </x:c>
      <x:c r="I1335" s="8" t="n">
        <x:f>0</x:f>
        <x:v>0</x:v>
      </x:c>
      <x:c r="J1335" s="8" t="n">
        <x:v>0</x:v>
      </x:c>
      <x:c r="K1335" s="8" t="n">
        <x:f>H1335-I1335*J1335</x:f>
        <x:v>1</x:v>
      </x:c>
      <x:c r="L1335" s="8" t="n">
        <x:f>'PG facts'!E91</x:f>
        <x:v>2</x:v>
      </x:c>
      <x:c r="M1335" s="8" t="n">
        <x:f>K1335-L1335</x:f>
        <x:v>-1</x:v>
      </x:c>
      <x:c r="N1335" s="8" t="n">
        <x:f>M1335^2</x:f>
        <x:v>1</x:v>
      </x:c>
      <x:c r="O1335" s="8" t="n">
        <x:f>ABS(M1335)</x:f>
        <x:v>1</x:v>
      </x:c>
      <x:c r="P1335" s="7" t="n">
        <x:v>45401</x:v>
      </x:c>
    </x:row>
    <x:row r="1336" ht="26" customHeight="1">
      <x:c r="A1336" s="2"/>
      <x:c r="B1336" s="2" t="n">
        <x:v>1331</x:v>
      </x:c>
      <x:c r="C1336" s="2" t="str">
        <x:v>Grooming / organic_volume_growth</x:v>
      </x:c>
      <x:c r="D1336" s="7" t="n">
        <x:v>45382</x:v>
      </x:c>
      <x:c r="E1336" s="2" t="str">
        <x:v>Pre-earnings</x:v>
      </x:c>
      <x:c r="F1336" s="7" t="n">
        <x:v>45400</x:v>
      </x:c>
      <x:c r="G1336" s="2" t="str">
        <x:v>Four-quarter mean</x:v>
      </x:c>
      <x:c r="H1336" s="8" t="n">
        <x:f>AVERAGE('PG facts'!E63,'PG facts'!E70,'PG facts'!E77,'PG facts'!E84)</x:f>
        <x:v>-0.75</x:v>
      </x:c>
      <x:c r="I1336" s="8" t="n">
        <x:f>0</x:f>
        <x:v>0</x:v>
      </x:c>
      <x:c r="J1336" s="8" t="n">
        <x:v>0</x:v>
      </x:c>
      <x:c r="K1336" s="8" t="n">
        <x:f>H1336-I1336*J1336</x:f>
        <x:v>-0.75</x:v>
      </x:c>
      <x:c r="L1336" s="8" t="n">
        <x:f>'PG facts'!E91</x:f>
        <x:v>2</x:v>
      </x:c>
      <x:c r="M1336" s="8" t="n">
        <x:f>K1336-L1336</x:f>
        <x:v>-2.75</x:v>
      </x:c>
      <x:c r="N1336" s="8" t="n">
        <x:f>M1336^2</x:f>
        <x:v>7.5625</x:v>
      </x:c>
      <x:c r="O1336" s="8" t="n">
        <x:f>ABS(M1336)</x:f>
        <x:v>2.75</x:v>
      </x:c>
      <x:c r="P1336" s="7" t="n">
        <x:v>45401</x:v>
      </x:c>
    </x:row>
    <x:row r="1337" ht="26" customHeight="1">
      <x:c r="A1337" s="2"/>
      <x:c r="B1337" s="2" t="n">
        <x:v>1332</x:v>
      </x:c>
      <x:c r="C1337" s="2" t="str">
        <x:v>Grooming / organic_volume_growth</x:v>
      </x:c>
      <x:c r="D1337" s="7" t="n">
        <x:v>45382</x:v>
      </x:c>
      <x:c r="E1337" s="2" t="str">
        <x:v>Pre-earnings</x:v>
      </x:c>
      <x:c r="F1337" s="7" t="n">
        <x:v>45400</x:v>
      </x:c>
      <x:c r="G1337" s="2" t="str">
        <x:v>Broad market</x:v>
      </x:c>
      <x:c r="H1337" s="8" t="n">
        <x:f>'Model fits'!AA881</x:f>
        <x:v>-1.2842572161933663</x:v>
      </x:c>
      <x:c r="I1337" s="8" t="n">
        <x:f>0</x:f>
        <x:v>0</x:v>
      </x:c>
      <x:c r="J1337" s="8" t="n">
        <x:v>0</x:v>
      </x:c>
      <x:c r="K1337" s="8" t="n">
        <x:f>H1337-I1337*J1337</x:f>
        <x:v>-1.2842572161933663</x:v>
      </x:c>
      <x:c r="L1337" s="8" t="n">
        <x:f>'PG facts'!E91</x:f>
        <x:v>2</x:v>
      </x:c>
      <x:c r="M1337" s="8" t="n">
        <x:f>K1337-L1337</x:f>
        <x:v>-3.2842572161933665</x:v>
      </x:c>
      <x:c r="N1337" s="8" t="n">
        <x:f>M1337^2</x:f>
        <x:v>10.786345462118202</x:v>
      </x:c>
      <x:c r="O1337" s="8" t="n">
        <x:f>ABS(M1337)</x:f>
        <x:v>3.2842572161933665</x:v>
      </x:c>
      <x:c r="P1337" s="7" t="n">
        <x:v>45401</x:v>
      </x:c>
    </x:row>
    <x:row r="1338" ht="26" customHeight="1">
      <x:c r="A1338" s="2"/>
      <x:c r="B1338" s="2" t="n">
        <x:v>1333</x:v>
      </x:c>
      <x:c r="C1338" s="2" t="str">
        <x:v>Grooming / organic_volume_growth</x:v>
      </x:c>
      <x:c r="D1338" s="7" t="n">
        <x:v>45382</x:v>
      </x:c>
      <x:c r="E1338" s="2" t="str">
        <x:v>Pre-earnings</x:v>
      </x:c>
      <x:c r="F1338" s="7" t="n">
        <x:v>45400</x:v>
      </x:c>
      <x:c r="G1338" s="2" t="str">
        <x:v>Broad lag 1</x:v>
      </x:c>
      <x:c r="H1338" s="8" t="n">
        <x:f>'Model fits'!AA882</x:f>
        <x:v>-0.9131793450607728</x:v>
      </x:c>
      <x:c r="I1338" s="8" t="n">
        <x:f>0</x:f>
        <x:v>0</x:v>
      </x:c>
      <x:c r="J1338" s="8" t="n">
        <x:v>0</x:v>
      </x:c>
      <x:c r="K1338" s="8" t="n">
        <x:f>H1338-I1338*J1338</x:f>
        <x:v>-0.9131793450607728</x:v>
      </x:c>
      <x:c r="L1338" s="8" t="n">
        <x:f>'PG facts'!E91</x:f>
        <x:v>2</x:v>
      </x:c>
      <x:c r="M1338" s="8" t="n">
        <x:f>K1338-L1338</x:f>
        <x:v>-2.913179345060773</x:v>
      </x:c>
      <x:c r="N1338" s="8" t="n">
        <x:f>M1338^2</x:f>
        <x:v>8.486613896488713</x:v>
      </x:c>
      <x:c r="O1338" s="8" t="n">
        <x:f>ABS(M1338)</x:f>
        <x:v>2.913179345060773</x:v>
      </x:c>
      <x:c r="P1338" s="7" t="n">
        <x:v>45401</x:v>
      </x:c>
    </x:row>
    <x:row r="1339" ht="26" customHeight="1">
      <x:c r="A1339" s="2"/>
      <x:c r="B1339" s="2" t="n">
        <x:v>1334</x:v>
      </x:c>
      <x:c r="C1339" s="2" t="str">
        <x:v>Grooming / organic_volume_growth</x:v>
      </x:c>
      <x:c r="D1339" s="7" t="n">
        <x:v>45382</x:v>
      </x:c>
      <x:c r="E1339" s="2" t="str">
        <x:v>Pre-earnings</x:v>
      </x:c>
      <x:c r="F1339" s="7" t="n">
        <x:v>45400</x:v>
      </x:c>
      <x:c r="G1339" s="2" t="str">
        <x:v>Broad rolling 8</x:v>
      </x:c>
      <x:c r="H1339" s="8" t="n">
        <x:f>'Model fits'!AA883</x:f>
        <x:v>-0.7137629839476132</x:v>
      </x:c>
      <x:c r="I1339" s="8" t="n">
        <x:f>0</x:f>
        <x:v>0</x:v>
      </x:c>
      <x:c r="J1339" s="8" t="n">
        <x:v>0</x:v>
      </x:c>
      <x:c r="K1339" s="8" t="n">
        <x:f>H1339-I1339*J1339</x:f>
        <x:v>-0.7137629839476132</x:v>
      </x:c>
      <x:c r="L1339" s="8" t="n">
        <x:f>'PG facts'!E91</x:f>
        <x:v>2</x:v>
      </x:c>
      <x:c r="M1339" s="8" t="n">
        <x:f>K1339-L1339</x:f>
        <x:v>-2.713762983947613</x:v>
      </x:c>
      <x:c r="N1339" s="8" t="n">
        <x:f>M1339^2</x:f>
        <x:v>7.364509533044253</x:v>
      </x:c>
      <x:c r="O1339" s="8" t="n">
        <x:f>ABS(M1339)</x:f>
        <x:v>2.713762983947613</x:v>
      </x:c>
      <x:c r="P1339" s="7" t="n">
        <x:v>45401</x:v>
      </x:c>
    </x:row>
    <x:row r="1340" ht="26" customHeight="1">
      <x:c r="A1340" s="2"/>
      <x:c r="B1340" s="2" t="n">
        <x:v>1335</x:v>
      </x:c>
      <x:c r="C1340" s="2" t="str">
        <x:v>Grooming / organic_volume_growth</x:v>
      </x:c>
      <x:c r="D1340" s="7" t="n">
        <x:v>45382</x:v>
      </x:c>
      <x:c r="E1340" s="2" t="str">
        <x:v>Pre-earnings</x:v>
      </x:c>
      <x:c r="F1340" s="7" t="n">
        <x:v>45400</x:v>
      </x:c>
      <x:c r="G1340" s="2" t="str">
        <x:v>Own history</x:v>
      </x:c>
      <x:c r="H1340" s="8" t="n">
        <x:f>'Model fits'!AA884</x:f>
        <x:v>-0.4498997995991984</x:v>
      </x:c>
      <x:c r="I1340" s="8" t="n">
        <x:f>0</x:f>
        <x:v>0</x:v>
      </x:c>
      <x:c r="J1340" s="8" t="n">
        <x:v>0</x:v>
      </x:c>
      <x:c r="K1340" s="8" t="n">
        <x:f>H1340-I1340*J1340</x:f>
        <x:v>-0.4498997995991984</x:v>
      </x:c>
      <x:c r="L1340" s="8" t="n">
        <x:f>'PG facts'!E91</x:f>
        <x:v>2</x:v>
      </x:c>
      <x:c r="M1340" s="8" t="n">
        <x:f>K1340-L1340</x:f>
        <x:v>-2.4498997995991982</x:v>
      </x:c>
      <x:c r="N1340" s="8" t="n">
        <x:f>M1340^2</x:f>
        <x:v>6.002009028076191</x:v>
      </x:c>
      <x:c r="O1340" s="8" t="n">
        <x:f>ABS(M1340)</x:f>
        <x:v>2.4498997995991982</x:v>
      </x:c>
      <x:c r="P1340" s="7" t="n">
        <x:v>45401</x:v>
      </x:c>
    </x:row>
    <x:row r="1341" ht="26" customHeight="1">
      <x:c r="A1341" s="2"/>
      <x:c r="B1341" s="2" t="n">
        <x:v>1336</x:v>
      </x:c>
      <x:c r="C1341" s="2" t="str">
        <x:v>Grooming / organic_volume_growth</x:v>
      </x:c>
      <x:c r="D1341" s="7" t="n">
        <x:v>45473</x:v>
      </x:c>
      <x:c r="E1341" s="2" t="str">
        <x:v>Origin</x:v>
      </x:c>
      <x:c r="F1341" s="7" t="n">
        <x:v>45383</x:v>
      </x:c>
      <x:c r="G1341" s="2" t="str">
        <x:v>Last actual</x:v>
      </x:c>
      <x:c r="H1341" s="8" t="n">
        <x:f>AVERAGE('PG facts'!E84)</x:f>
        <x:v>1</x:v>
      </x:c>
      <x:c r="I1341" s="8" t="n">
        <x:f>0</x:f>
        <x:v>0</x:v>
      </x:c>
      <x:c r="J1341" s="8" t="n">
        <x:v>0</x:v>
      </x:c>
      <x:c r="K1341" s="8" t="n">
        <x:f>H1341-I1341*J1341</x:f>
        <x:v>1</x:v>
      </x:c>
      <x:c r="L1341" s="8" t="n">
        <x:f>'PG facts'!E98</x:f>
        <x:v>2</x:v>
      </x:c>
      <x:c r="M1341" s="8" t="n">
        <x:f>K1341-L1341</x:f>
        <x:v>-1</x:v>
      </x:c>
      <x:c r="N1341" s="8" t="n">
        <x:f>M1341^2</x:f>
        <x:v>1</x:v>
      </x:c>
      <x:c r="O1341" s="8" t="n">
        <x:f>ABS(M1341)</x:f>
        <x:v>1</x:v>
      </x:c>
      <x:c r="P1341" s="7" t="n">
        <x:v>45503</x:v>
      </x:c>
    </x:row>
    <x:row r="1342" ht="26" customHeight="1">
      <x:c r="A1342" s="2"/>
      <x:c r="B1342" s="2" t="n">
        <x:v>1337</x:v>
      </x:c>
      <x:c r="C1342" s="2" t="str">
        <x:v>Grooming / organic_volume_growth</x:v>
      </x:c>
      <x:c r="D1342" s="7" t="n">
        <x:v>45473</x:v>
      </x:c>
      <x:c r="E1342" s="2" t="str">
        <x:v>Origin</x:v>
      </x:c>
      <x:c r="F1342" s="7" t="n">
        <x:v>45383</x:v>
      </x:c>
      <x:c r="G1342" s="2" t="str">
        <x:v>Four-quarter mean</x:v>
      </x:c>
      <x:c r="H1342" s="8" t="n">
        <x:f>AVERAGE('PG facts'!E63,'PG facts'!E70,'PG facts'!E77,'PG facts'!E84)</x:f>
        <x:v>-0.75</x:v>
      </x:c>
      <x:c r="I1342" s="8" t="n">
        <x:f>0</x:f>
        <x:v>0</x:v>
      </x:c>
      <x:c r="J1342" s="8" t="n">
        <x:v>0</x:v>
      </x:c>
      <x:c r="K1342" s="8" t="n">
        <x:f>H1342-I1342*J1342</x:f>
        <x:v>-0.75</x:v>
      </x:c>
      <x:c r="L1342" s="8" t="n">
        <x:f>'PG facts'!E98</x:f>
        <x:v>2</x:v>
      </x:c>
      <x:c r="M1342" s="8" t="n">
        <x:f>K1342-L1342</x:f>
        <x:v>-2.75</x:v>
      </x:c>
      <x:c r="N1342" s="8" t="n">
        <x:f>M1342^2</x:f>
        <x:v>7.5625</x:v>
      </x:c>
      <x:c r="O1342" s="8" t="n">
        <x:f>ABS(M1342)</x:f>
        <x:v>2.75</x:v>
      </x:c>
      <x:c r="P1342" s="7" t="n">
        <x:v>45503</x:v>
      </x:c>
    </x:row>
    <x:row r="1343" ht="26" customHeight="1">
      <x:c r="A1343" s="2"/>
      <x:c r="B1343" s="2" t="n">
        <x:v>1338</x:v>
      </x:c>
      <x:c r="C1343" s="2" t="str">
        <x:v>Grooming / organic_volume_growth</x:v>
      </x:c>
      <x:c r="D1343" s="7" t="n">
        <x:v>45473</x:v>
      </x:c>
      <x:c r="E1343" s="2" t="str">
        <x:v>Origin</x:v>
      </x:c>
      <x:c r="F1343" s="7" t="n">
        <x:v>45383</x:v>
      </x:c>
      <x:c r="G1343" s="2" t="str">
        <x:v>Broad market</x:v>
      </x:c>
      <x:c r="H1343" s="8" t="n">
        <x:f>'Model fits'!AA885</x:f>
        <x:v>-1.15078152565018</x:v>
      </x:c>
      <x:c r="I1343" s="8" t="n">
        <x:f>0</x:f>
        <x:v>0</x:v>
      </x:c>
      <x:c r="J1343" s="8" t="n">
        <x:v>0</x:v>
      </x:c>
      <x:c r="K1343" s="8" t="n">
        <x:f>H1343-I1343*J1343</x:f>
        <x:v>-1.15078152565018</x:v>
      </x:c>
      <x:c r="L1343" s="8" t="n">
        <x:f>'PG facts'!E98</x:f>
        <x:v>2</x:v>
      </x:c>
      <x:c r="M1343" s="8" t="n">
        <x:f>K1343-L1343</x:f>
        <x:v>-3.15078152565018</x:v>
      </x:c>
      <x:c r="N1343" s="8" t="n">
        <x:f>M1343^2</x:f>
        <x:v>9.927424222378477</x:v>
      </x:c>
      <x:c r="O1343" s="8" t="n">
        <x:f>ABS(M1343)</x:f>
        <x:v>3.15078152565018</x:v>
      </x:c>
      <x:c r="P1343" s="7" t="n">
        <x:v>45503</x:v>
      </x:c>
    </x:row>
    <x:row r="1344" ht="26" customHeight="1">
      <x:c r="A1344" s="2"/>
      <x:c r="B1344" s="2" t="n">
        <x:v>1339</x:v>
      </x:c>
      <x:c r="C1344" s="2" t="str">
        <x:v>Grooming / organic_volume_growth</x:v>
      </x:c>
      <x:c r="D1344" s="7" t="n">
        <x:v>45473</x:v>
      </x:c>
      <x:c r="E1344" s="2" t="str">
        <x:v>Origin</x:v>
      </x:c>
      <x:c r="F1344" s="7" t="n">
        <x:v>45383</x:v>
      </x:c>
      <x:c r="G1344" s="2" t="str">
        <x:v>Broad rolling 8</x:v>
      </x:c>
      <x:c r="H1344" s="8" t="n">
        <x:f>'Model fits'!AA886</x:f>
        <x:v>-0.39548585224189226</x:v>
      </x:c>
      <x:c r="I1344" s="8" t="n">
        <x:f>0</x:f>
        <x:v>0</x:v>
      </x:c>
      <x:c r="J1344" s="8" t="n">
        <x:v>0</x:v>
      </x:c>
      <x:c r="K1344" s="8" t="n">
        <x:f>H1344-I1344*J1344</x:f>
        <x:v>-0.39548585224189226</x:v>
      </x:c>
      <x:c r="L1344" s="8" t="n">
        <x:f>'PG facts'!E98</x:f>
        <x:v>2</x:v>
      </x:c>
      <x:c r="M1344" s="8" t="n">
        <x:f>K1344-L1344</x:f>
        <x:v>-2.395485852241892</x:v>
      </x:c>
      <x:c r="N1344" s="8" t="n">
        <x:f>M1344^2</x:f>
        <x:v>5.738352468291064</x:v>
      </x:c>
      <x:c r="O1344" s="8" t="n">
        <x:f>ABS(M1344)</x:f>
        <x:v>2.395485852241892</x:v>
      </x:c>
      <x:c r="P1344" s="7" t="n">
        <x:v>45503</x:v>
      </x:c>
    </x:row>
    <x:row r="1345" ht="26" customHeight="1">
      <x:c r="A1345" s="2"/>
      <x:c r="B1345" s="2" t="n">
        <x:v>1340</x:v>
      </x:c>
      <x:c r="C1345" s="2" t="str">
        <x:v>Grooming / organic_volume_growth</x:v>
      </x:c>
      <x:c r="D1345" s="7" t="n">
        <x:v>45473</x:v>
      </x:c>
      <x:c r="E1345" s="2" t="str">
        <x:v>Origin</x:v>
      </x:c>
      <x:c r="F1345" s="7" t="n">
        <x:v>45383</x:v>
      </x:c>
      <x:c r="G1345" s="2" t="str">
        <x:v>Own history</x:v>
      </x:c>
      <x:c r="H1345" s="8" t="n">
        <x:f>'Model fits'!AA887</x:f>
        <x:v>-0.5135746606334843</x:v>
      </x:c>
      <x:c r="I1345" s="8" t="n">
        <x:f>0</x:f>
        <x:v>0</x:v>
      </x:c>
      <x:c r="J1345" s="8" t="n">
        <x:v>0</x:v>
      </x:c>
      <x:c r="K1345" s="8" t="n">
        <x:f>H1345-I1345*J1345</x:f>
        <x:v>-0.5135746606334843</x:v>
      </x:c>
      <x:c r="L1345" s="8" t="n">
        <x:f>'PG facts'!E98</x:f>
        <x:v>2</x:v>
      </x:c>
      <x:c r="M1345" s="8" t="n">
        <x:f>K1345-L1345</x:f>
        <x:v>-2.513574660633484</x:v>
      </x:c>
      <x:c r="N1345" s="8" t="n">
        <x:f>M1345^2</x:f>
        <x:v>6.318057574578734</x:v>
      </x:c>
      <x:c r="O1345" s="8" t="n">
        <x:f>ABS(M1345)</x:f>
        <x:v>2.513574660633484</x:v>
      </x:c>
      <x:c r="P1345" s="7" t="n">
        <x:v>45503</x:v>
      </x:c>
    </x:row>
    <x:row r="1346" ht="26" customHeight="1">
      <x:c r="A1346" s="2"/>
      <x:c r="B1346" s="2" t="n">
        <x:v>1341</x:v>
      </x:c>
      <x:c r="C1346" s="2" t="str">
        <x:v>Grooming / organic_volume_growth</x:v>
      </x:c>
      <x:c r="D1346" s="7" t="n">
        <x:v>45473</x:v>
      </x:c>
      <x:c r="E1346" s="2" t="str">
        <x:v>Prior report</x:v>
      </x:c>
      <x:c r="F1346" s="7" t="n">
        <x:v>45401</x:v>
      </x:c>
      <x:c r="G1346" s="2" t="str">
        <x:v>Last actual</x:v>
      </x:c>
      <x:c r="H1346" s="8" t="n">
        <x:f>AVERAGE('PG facts'!E91)</x:f>
        <x:v>2</x:v>
      </x:c>
      <x:c r="I1346" s="8" t="n">
        <x:f>0</x:f>
        <x:v>0</x:v>
      </x:c>
      <x:c r="J1346" s="8" t="n">
        <x:v>0</x:v>
      </x:c>
      <x:c r="K1346" s="8" t="n">
        <x:f>H1346-I1346*J1346</x:f>
        <x:v>2</x:v>
      </x:c>
      <x:c r="L1346" s="8" t="n">
        <x:f>'PG facts'!E98</x:f>
        <x:v>2</x:v>
      </x:c>
      <x:c r="M1346" s="8" t="n">
        <x:f>K1346-L1346</x:f>
        <x:v>0</x:v>
      </x:c>
      <x:c r="N1346" s="8" t="n">
        <x:f>M1346^2</x:f>
        <x:v>0</x:v>
      </x:c>
      <x:c r="O1346" s="8" t="n">
        <x:f>ABS(M1346)</x:f>
        <x:v>0</x:v>
      </x:c>
      <x:c r="P1346" s="7" t="n">
        <x:v>45503</x:v>
      </x:c>
    </x:row>
    <x:row r="1347" ht="26" customHeight="1">
      <x:c r="A1347" s="2"/>
      <x:c r="B1347" s="2" t="n">
        <x:v>1342</x:v>
      </x:c>
      <x:c r="C1347" s="2" t="str">
        <x:v>Grooming / organic_volume_growth</x:v>
      </x:c>
      <x:c r="D1347" s="7" t="n">
        <x:v>45473</x:v>
      </x:c>
      <x:c r="E1347" s="2" t="str">
        <x:v>Prior report</x:v>
      </x:c>
      <x:c r="F1347" s="7" t="n">
        <x:v>45401</x:v>
      </x:c>
      <x:c r="G1347" s="2" t="str">
        <x:v>Four-quarter mean</x:v>
      </x:c>
      <x:c r="H1347" s="8" t="n">
        <x:f>AVERAGE('PG facts'!E70,'PG facts'!E77,'PG facts'!E84,'PG facts'!E91)</x:f>
        <x:v>0</x:v>
      </x:c>
      <x:c r="I1347" s="8" t="n">
        <x:f>0</x:f>
        <x:v>0</x:v>
      </x:c>
      <x:c r="J1347" s="8" t="n">
        <x:v>0</x:v>
      </x:c>
      <x:c r="K1347" s="8" t="n">
        <x:f>H1347-I1347*J1347</x:f>
        <x:v>0</x:v>
      </x:c>
      <x:c r="L1347" s="8" t="n">
        <x:f>'PG facts'!E98</x:f>
        <x:v>2</x:v>
      </x:c>
      <x:c r="M1347" s="8" t="n">
        <x:f>K1347-L1347</x:f>
        <x:v>-2</x:v>
      </x:c>
      <x:c r="N1347" s="8" t="n">
        <x:f>M1347^2</x:f>
        <x:v>4</x:v>
      </x:c>
      <x:c r="O1347" s="8" t="n">
        <x:f>ABS(M1347)</x:f>
        <x:v>2</x:v>
      </x:c>
      <x:c r="P1347" s="7" t="n">
        <x:v>45503</x:v>
      </x:c>
    </x:row>
    <x:row r="1348" ht="26" customHeight="1">
      <x:c r="A1348" s="2"/>
      <x:c r="B1348" s="2" t="n">
        <x:v>1343</x:v>
      </x:c>
      <x:c r="C1348" s="2" t="str">
        <x:v>Grooming / organic_volume_growth</x:v>
      </x:c>
      <x:c r="D1348" s="7" t="n">
        <x:v>45473</x:v>
      </x:c>
      <x:c r="E1348" s="2" t="str">
        <x:v>Prior report</x:v>
      </x:c>
      <x:c r="F1348" s="7" t="n">
        <x:v>45401</x:v>
      </x:c>
      <x:c r="G1348" s="2" t="str">
        <x:v>Broad market</x:v>
      </x:c>
      <x:c r="H1348" s="8" t="n">
        <x:f>'Model fits'!AA888</x:f>
        <x:v>-1.15078152565018</x:v>
      </x:c>
      <x:c r="I1348" s="8" t="n">
        <x:f>0</x:f>
        <x:v>0</x:v>
      </x:c>
      <x:c r="J1348" s="8" t="n">
        <x:v>0</x:v>
      </x:c>
      <x:c r="K1348" s="8" t="n">
        <x:f>H1348-I1348*J1348</x:f>
        <x:v>-1.15078152565018</x:v>
      </x:c>
      <x:c r="L1348" s="8" t="n">
        <x:f>'PG facts'!E98</x:f>
        <x:v>2</x:v>
      </x:c>
      <x:c r="M1348" s="8" t="n">
        <x:f>K1348-L1348</x:f>
        <x:v>-3.15078152565018</x:v>
      </x:c>
      <x:c r="N1348" s="8" t="n">
        <x:f>M1348^2</x:f>
        <x:v>9.927424222378477</x:v>
      </x:c>
      <x:c r="O1348" s="8" t="n">
        <x:f>ABS(M1348)</x:f>
        <x:v>3.15078152565018</x:v>
      </x:c>
      <x:c r="P1348" s="7" t="n">
        <x:v>45503</x:v>
      </x:c>
    </x:row>
    <x:row r="1349" ht="26" customHeight="1">
      <x:c r="A1349" s="2"/>
      <x:c r="B1349" s="2" t="n">
        <x:v>1344</x:v>
      </x:c>
      <x:c r="C1349" s="2" t="str">
        <x:v>Grooming / organic_volume_growth</x:v>
      </x:c>
      <x:c r="D1349" s="7" t="n">
        <x:v>45473</x:v>
      </x:c>
      <x:c r="E1349" s="2" t="str">
        <x:v>Prior report</x:v>
      </x:c>
      <x:c r="F1349" s="7" t="n">
        <x:v>45401</x:v>
      </x:c>
      <x:c r="G1349" s="2" t="str">
        <x:v>Broad rolling 8</x:v>
      </x:c>
      <x:c r="H1349" s="8" t="n">
        <x:f>'Model fits'!AA889</x:f>
        <x:v>-0.39548585224189226</x:v>
      </x:c>
      <x:c r="I1349" s="8" t="n">
        <x:f>0</x:f>
        <x:v>0</x:v>
      </x:c>
      <x:c r="J1349" s="8" t="n">
        <x:v>0</x:v>
      </x:c>
      <x:c r="K1349" s="8" t="n">
        <x:f>H1349-I1349*J1349</x:f>
        <x:v>-0.39548585224189226</x:v>
      </x:c>
      <x:c r="L1349" s="8" t="n">
        <x:f>'PG facts'!E98</x:f>
        <x:v>2</x:v>
      </x:c>
      <x:c r="M1349" s="8" t="n">
        <x:f>K1349-L1349</x:f>
        <x:v>-2.395485852241892</x:v>
      </x:c>
      <x:c r="N1349" s="8" t="n">
        <x:f>M1349^2</x:f>
        <x:v>5.738352468291064</x:v>
      </x:c>
      <x:c r="O1349" s="8" t="n">
        <x:f>ABS(M1349)</x:f>
        <x:v>2.395485852241892</x:v>
      </x:c>
      <x:c r="P1349" s="7" t="n">
        <x:v>45503</x:v>
      </x:c>
    </x:row>
    <x:row r="1350" ht="26" customHeight="1">
      <x:c r="A1350" s="2"/>
      <x:c r="B1350" s="2" t="n">
        <x:v>1345</x:v>
      </x:c>
      <x:c r="C1350" s="2" t="str">
        <x:v>Grooming / organic_volume_growth</x:v>
      </x:c>
      <x:c r="D1350" s="7" t="n">
        <x:v>45473</x:v>
      </x:c>
      <x:c r="E1350" s="2" t="str">
        <x:v>Prior report</x:v>
      </x:c>
      <x:c r="F1350" s="7" t="n">
        <x:v>45401</x:v>
      </x:c>
      <x:c r="G1350" s="2" t="str">
        <x:v>Own history</x:v>
      </x:c>
      <x:c r="H1350" s="8" t="n">
        <x:f>'Model fits'!AA890</x:f>
        <x:v>-0.15246636771300448</x:v>
      </x:c>
      <x:c r="I1350" s="8" t="n">
        <x:f>0</x:f>
        <x:v>0</x:v>
      </x:c>
      <x:c r="J1350" s="8" t="n">
        <x:v>0</x:v>
      </x:c>
      <x:c r="K1350" s="8" t="n">
        <x:f>H1350-I1350*J1350</x:f>
        <x:v>-0.15246636771300448</x:v>
      </x:c>
      <x:c r="L1350" s="8" t="n">
        <x:f>'PG facts'!E98</x:f>
        <x:v>2</x:v>
      </x:c>
      <x:c r="M1350" s="8" t="n">
        <x:f>K1350-L1350</x:f>
        <x:v>-2.1524663677130045</x:v>
      </x:c>
      <x:c r="N1350" s="8" t="n">
        <x:f>M1350^2</x:f>
        <x:v>4.633111464135615</x:v>
      </x:c>
      <x:c r="O1350" s="8" t="n">
        <x:f>ABS(M1350)</x:f>
        <x:v>2.1524663677130045</x:v>
      </x:c>
      <x:c r="P1350" s="7" t="n">
        <x:v>45503</x:v>
      </x:c>
    </x:row>
    <x:row r="1351" ht="26" customHeight="1">
      <x:c r="A1351" s="2"/>
      <x:c r="B1351" s="2" t="n">
        <x:v>1346</x:v>
      </x:c>
      <x:c r="C1351" s="2" t="str">
        <x:v>Grooming / organic_volume_growth</x:v>
      </x:c>
      <x:c r="D1351" s="7" t="n">
        <x:v>45473</x:v>
      </x:c>
      <x:c r="E1351" s="2" t="str">
        <x:v>Pre-earnings</x:v>
      </x:c>
      <x:c r="F1351" s="7" t="n">
        <x:v>45502</x:v>
      </x:c>
      <x:c r="G1351" s="2" t="str">
        <x:v>Last actual</x:v>
      </x:c>
      <x:c r="H1351" s="8" t="n">
        <x:f>AVERAGE('PG facts'!E91)</x:f>
        <x:v>2</x:v>
      </x:c>
      <x:c r="I1351" s="8" t="n">
        <x:f>0</x:f>
        <x:v>0</x:v>
      </x:c>
      <x:c r="J1351" s="8" t="n">
        <x:v>0</x:v>
      </x:c>
      <x:c r="K1351" s="8" t="n">
        <x:f>H1351-I1351*J1351</x:f>
        <x:v>2</x:v>
      </x:c>
      <x:c r="L1351" s="8" t="n">
        <x:f>'PG facts'!E98</x:f>
        <x:v>2</x:v>
      </x:c>
      <x:c r="M1351" s="8" t="n">
        <x:f>K1351-L1351</x:f>
        <x:v>0</x:v>
      </x:c>
      <x:c r="N1351" s="8" t="n">
        <x:f>M1351^2</x:f>
        <x:v>0</x:v>
      </x:c>
      <x:c r="O1351" s="8" t="n">
        <x:f>ABS(M1351)</x:f>
        <x:v>0</x:v>
      </x:c>
      <x:c r="P1351" s="7" t="n">
        <x:v>45503</x:v>
      </x:c>
    </x:row>
    <x:row r="1352" ht="26" customHeight="1">
      <x:c r="A1352" s="2"/>
      <x:c r="B1352" s="2" t="n">
        <x:v>1347</x:v>
      </x:c>
      <x:c r="C1352" s="2" t="str">
        <x:v>Grooming / organic_volume_growth</x:v>
      </x:c>
      <x:c r="D1352" s="7" t="n">
        <x:v>45473</x:v>
      </x:c>
      <x:c r="E1352" s="2" t="str">
        <x:v>Pre-earnings</x:v>
      </x:c>
      <x:c r="F1352" s="7" t="n">
        <x:v>45502</x:v>
      </x:c>
      <x:c r="G1352" s="2" t="str">
        <x:v>Four-quarter mean</x:v>
      </x:c>
      <x:c r="H1352" s="8" t="n">
        <x:f>AVERAGE('PG facts'!E70,'PG facts'!E77,'PG facts'!E84,'PG facts'!E91)</x:f>
        <x:v>0</x:v>
      </x:c>
      <x:c r="I1352" s="8" t="n">
        <x:f>0</x:f>
        <x:v>0</x:v>
      </x:c>
      <x:c r="J1352" s="8" t="n">
        <x:v>0</x:v>
      </x:c>
      <x:c r="K1352" s="8" t="n">
        <x:f>H1352-I1352*J1352</x:f>
        <x:v>0</x:v>
      </x:c>
      <x:c r="L1352" s="8" t="n">
        <x:f>'PG facts'!E98</x:f>
        <x:v>2</x:v>
      </x:c>
      <x:c r="M1352" s="8" t="n">
        <x:f>K1352-L1352</x:f>
        <x:v>-2</x:v>
      </x:c>
      <x:c r="N1352" s="8" t="n">
        <x:f>M1352^2</x:f>
        <x:v>4</x:v>
      </x:c>
      <x:c r="O1352" s="8" t="n">
        <x:f>ABS(M1352)</x:f>
        <x:v>2</x:v>
      </x:c>
      <x:c r="P1352" s="7" t="n">
        <x:v>45503</x:v>
      </x:c>
    </x:row>
    <x:row r="1353" ht="26" customHeight="1">
      <x:c r="A1353" s="2"/>
      <x:c r="B1353" s="2" t="n">
        <x:v>1348</x:v>
      </x:c>
      <x:c r="C1353" s="2" t="str">
        <x:v>Grooming / organic_volume_growth</x:v>
      </x:c>
      <x:c r="D1353" s="7" t="n">
        <x:v>45473</x:v>
      </x:c>
      <x:c r="E1353" s="2" t="str">
        <x:v>Pre-earnings</x:v>
      </x:c>
      <x:c r="F1353" s="7" t="n">
        <x:v>45502</x:v>
      </x:c>
      <x:c r="G1353" s="2" t="str">
        <x:v>Broad market</x:v>
      </x:c>
      <x:c r="H1353" s="8" t="n">
        <x:f>'Model fits'!AA891</x:f>
        <x:v>-0.8406724661000415</x:v>
      </x:c>
      <x:c r="I1353" s="8" t="n">
        <x:f>0</x:f>
        <x:v>0</x:v>
      </x:c>
      <x:c r="J1353" s="8" t="n">
        <x:v>0</x:v>
      </x:c>
      <x:c r="K1353" s="8" t="n">
        <x:f>H1353-I1353*J1353</x:f>
        <x:v>-0.8406724661000415</x:v>
      </x:c>
      <x:c r="L1353" s="8" t="n">
        <x:f>'PG facts'!E98</x:f>
        <x:v>2</x:v>
      </x:c>
      <x:c r="M1353" s="8" t="n">
        <x:f>K1353-L1353</x:f>
        <x:v>-2.8406724661000418</x:v>
      </x:c>
      <x:c r="N1353" s="8" t="n">
        <x:f>M1353^2</x:f>
        <x:v>8.069420059658892</x:v>
      </x:c>
      <x:c r="O1353" s="8" t="n">
        <x:f>ABS(M1353)</x:f>
        <x:v>2.8406724661000418</x:v>
      </x:c>
      <x:c r="P1353" s="7" t="n">
        <x:v>45503</x:v>
      </x:c>
    </x:row>
    <x:row r="1354" ht="26" customHeight="1">
      <x:c r="A1354" s="2"/>
      <x:c r="B1354" s="2" t="n">
        <x:v>1349</x:v>
      </x:c>
      <x:c r="C1354" s="2" t="str">
        <x:v>Grooming / organic_volume_growth</x:v>
      </x:c>
      <x:c r="D1354" s="7" t="n">
        <x:v>45473</x:v>
      </x:c>
      <x:c r="E1354" s="2" t="str">
        <x:v>Pre-earnings</x:v>
      </x:c>
      <x:c r="F1354" s="7" t="n">
        <x:v>45502</x:v>
      </x:c>
      <x:c r="G1354" s="2" t="str">
        <x:v>Broad lag 1</x:v>
      </x:c>
      <x:c r="H1354" s="8" t="n">
        <x:f>'Model fits'!AA892</x:f>
        <x:v>-0.7688139606991711</x:v>
      </x:c>
      <x:c r="I1354" s="8" t="n">
        <x:f>0</x:f>
        <x:v>0</x:v>
      </x:c>
      <x:c r="J1354" s="8" t="n">
        <x:v>0</x:v>
      </x:c>
      <x:c r="K1354" s="8" t="n">
        <x:f>H1354-I1354*J1354</x:f>
        <x:v>-0.7688139606991711</x:v>
      </x:c>
      <x:c r="L1354" s="8" t="n">
        <x:f>'PG facts'!E98</x:f>
        <x:v>2</x:v>
      </x:c>
      <x:c r="M1354" s="8" t="n">
        <x:f>K1354-L1354</x:f>
        <x:v>-2.768813960699171</x:v>
      </x:c>
      <x:c r="N1354" s="8" t="n">
        <x:f>M1354^2</x:f>
        <x:v>7.666330748962631</x:v>
      </x:c>
      <x:c r="O1354" s="8" t="n">
        <x:f>ABS(M1354)</x:f>
        <x:v>2.768813960699171</x:v>
      </x:c>
      <x:c r="P1354" s="7" t="n">
        <x:v>45503</x:v>
      </x:c>
    </x:row>
    <x:row r="1355" ht="26" customHeight="1">
      <x:c r="A1355" s="2"/>
      <x:c r="B1355" s="2" t="n">
        <x:v>1350</x:v>
      </x:c>
      <x:c r="C1355" s="2" t="str">
        <x:v>Grooming / organic_volume_growth</x:v>
      </x:c>
      <x:c r="D1355" s="7" t="n">
        <x:v>45473</x:v>
      </x:c>
      <x:c r="E1355" s="2" t="str">
        <x:v>Pre-earnings</x:v>
      </x:c>
      <x:c r="F1355" s="7" t="n">
        <x:v>45502</x:v>
      </x:c>
      <x:c r="G1355" s="2" t="str">
        <x:v>Broad rolling 8</x:v>
      </x:c>
      <x:c r="H1355" s="8" t="n">
        <x:f>'Model fits'!AA893</x:f>
        <x:v>0.9192980614723791</x:v>
      </x:c>
      <x:c r="I1355" s="8" t="n">
        <x:f>0</x:f>
        <x:v>0</x:v>
      </x:c>
      <x:c r="J1355" s="8" t="n">
        <x:v>0</x:v>
      </x:c>
      <x:c r="K1355" s="8" t="n">
        <x:f>H1355-I1355*J1355</x:f>
        <x:v>0.9192980614723791</x:v>
      </x:c>
      <x:c r="L1355" s="8" t="n">
        <x:f>'PG facts'!E98</x:f>
        <x:v>2</x:v>
      </x:c>
      <x:c r="M1355" s="8" t="n">
        <x:f>K1355-L1355</x:f>
        <x:v>-1.0807019385276209</x:v>
      </x:c>
      <x:c r="N1355" s="8" t="n">
        <x:f>M1355^2</x:f>
        <x:v>1.1679166799373577</x:v>
      </x:c>
      <x:c r="O1355" s="8" t="n">
        <x:f>ABS(M1355)</x:f>
        <x:v>1.0807019385276209</x:v>
      </x:c>
      <x:c r="P1355" s="7" t="n">
        <x:v>45503</x:v>
      </x:c>
    </x:row>
    <x:row r="1356" ht="26" customHeight="1">
      <x:c r="A1356" s="2"/>
      <x:c r="B1356" s="2" t="n">
        <x:v>1351</x:v>
      </x:c>
      <x:c r="C1356" s="2" t="str">
        <x:v>Grooming / organic_volume_growth</x:v>
      </x:c>
      <x:c r="D1356" s="7" t="n">
        <x:v>45473</x:v>
      </x:c>
      <x:c r="E1356" s="2" t="str">
        <x:v>Pre-earnings</x:v>
      </x:c>
      <x:c r="F1356" s="7" t="n">
        <x:v>45502</x:v>
      </x:c>
      <x:c r="G1356" s="2" t="str">
        <x:v>Own history</x:v>
      </x:c>
      <x:c r="H1356" s="8" t="n">
        <x:f>'Model fits'!AA894</x:f>
        <x:v>-0.15246636771300448</x:v>
      </x:c>
      <x:c r="I1356" s="8" t="n">
        <x:f>0</x:f>
        <x:v>0</x:v>
      </x:c>
      <x:c r="J1356" s="8" t="n">
        <x:v>0</x:v>
      </x:c>
      <x:c r="K1356" s="8" t="n">
        <x:f>H1356-I1356*J1356</x:f>
        <x:v>-0.15246636771300448</x:v>
      </x:c>
      <x:c r="L1356" s="8" t="n">
        <x:f>'PG facts'!E98</x:f>
        <x:v>2</x:v>
      </x:c>
      <x:c r="M1356" s="8" t="n">
        <x:f>K1356-L1356</x:f>
        <x:v>-2.1524663677130045</x:v>
      </x:c>
      <x:c r="N1356" s="8" t="n">
        <x:f>M1356^2</x:f>
        <x:v>4.633111464135615</x:v>
      </x:c>
      <x:c r="O1356" s="8" t="n">
        <x:f>ABS(M1356)</x:f>
        <x:v>2.1524663677130045</x:v>
      </x:c>
      <x:c r="P1356" s="7" t="n">
        <x:v>45503</x:v>
      </x:c>
    </x:row>
    <x:row r="1357" ht="26" customHeight="1">
      <x:c r="A1357" s="2"/>
      <x:c r="B1357" s="2" t="n">
        <x:v>1352</x:v>
      </x:c>
      <x:c r="C1357" s="2" t="str">
        <x:v>Grooming / organic_volume_growth</x:v>
      </x:c>
      <x:c r="D1357" s="7" t="n">
        <x:v>45565</x:v>
      </x:c>
      <x:c r="E1357" s="2" t="str">
        <x:v>Origin</x:v>
      </x:c>
      <x:c r="F1357" s="7" t="n">
        <x:v>45474</x:v>
      </x:c>
      <x:c r="G1357" s="2" t="str">
        <x:v>Last actual</x:v>
      </x:c>
      <x:c r="H1357" s="8" t="n">
        <x:f>AVERAGE('PG facts'!E91)</x:f>
        <x:v>2</x:v>
      </x:c>
      <x:c r="I1357" s="8" t="n">
        <x:f>0</x:f>
        <x:v>0</x:v>
      </x:c>
      <x:c r="J1357" s="8" t="n">
        <x:v>0</x:v>
      </x:c>
      <x:c r="K1357" s="8" t="n">
        <x:f>H1357-I1357*J1357</x:f>
        <x:v>2</x:v>
      </x:c>
      <x:c r="L1357" s="8" t="n">
        <x:f>'PG facts'!E105</x:f>
        <x:v>5</x:v>
      </x:c>
      <x:c r="M1357" s="8" t="n">
        <x:f>K1357-L1357</x:f>
        <x:v>-3</x:v>
      </x:c>
      <x:c r="N1357" s="8" t="n">
        <x:f>M1357^2</x:f>
        <x:v>9</x:v>
      </x:c>
      <x:c r="O1357" s="8" t="n">
        <x:f>ABS(M1357)</x:f>
        <x:v>3</x:v>
      </x:c>
      <x:c r="P1357" s="7" t="n">
        <x:v>45583</x:v>
      </x:c>
    </x:row>
    <x:row r="1358" ht="26" customHeight="1">
      <x:c r="A1358" s="2"/>
      <x:c r="B1358" s="2" t="n">
        <x:v>1353</x:v>
      </x:c>
      <x:c r="C1358" s="2" t="str">
        <x:v>Grooming / organic_volume_growth</x:v>
      </x:c>
      <x:c r="D1358" s="7" t="n">
        <x:v>45565</x:v>
      </x:c>
      <x:c r="E1358" s="2" t="str">
        <x:v>Origin</x:v>
      </x:c>
      <x:c r="F1358" s="7" t="n">
        <x:v>45474</x:v>
      </x:c>
      <x:c r="G1358" s="2" t="str">
        <x:v>Four-quarter mean</x:v>
      </x:c>
      <x:c r="H1358" s="8" t="n">
        <x:f>AVERAGE('PG facts'!E70,'PG facts'!E77,'PG facts'!E84,'PG facts'!E91)</x:f>
        <x:v>0</x:v>
      </x:c>
      <x:c r="I1358" s="8" t="n">
        <x:f>0</x:f>
        <x:v>0</x:v>
      </x:c>
      <x:c r="J1358" s="8" t="n">
        <x:v>0</x:v>
      </x:c>
      <x:c r="K1358" s="8" t="n">
        <x:f>H1358-I1358*J1358</x:f>
        <x:v>0</x:v>
      </x:c>
      <x:c r="L1358" s="8" t="n">
        <x:f>'PG facts'!E105</x:f>
        <x:v>5</x:v>
      </x:c>
      <x:c r="M1358" s="8" t="n">
        <x:f>K1358-L1358</x:f>
        <x:v>-5</x:v>
      </x:c>
      <x:c r="N1358" s="8" t="n">
        <x:f>M1358^2</x:f>
        <x:v>25</x:v>
      </x:c>
      <x:c r="O1358" s="8" t="n">
        <x:f>ABS(M1358)</x:f>
        <x:v>5</x:v>
      </x:c>
      <x:c r="P1358" s="7" t="n">
        <x:v>45583</x:v>
      </x:c>
    </x:row>
    <x:row r="1359" ht="26" customHeight="1">
      <x:c r="A1359" s="2"/>
      <x:c r="B1359" s="2" t="n">
        <x:v>1354</x:v>
      </x:c>
      <x:c r="C1359" s="2" t="str">
        <x:v>Grooming / organic_volume_growth</x:v>
      </x:c>
      <x:c r="D1359" s="7" t="n">
        <x:v>45565</x:v>
      </x:c>
      <x:c r="E1359" s="2" t="str">
        <x:v>Origin</x:v>
      </x:c>
      <x:c r="F1359" s="7" t="n">
        <x:v>45474</x:v>
      </x:c>
      <x:c r="G1359" s="2" t="str">
        <x:v>Broad market</x:v>
      </x:c>
      <x:c r="H1359" s="8" t="n">
        <x:f>'Model fits'!AA895</x:f>
        <x:v>-0.8148728986700945</x:v>
      </x:c>
      <x:c r="I1359" s="8" t="n">
        <x:f>0</x:f>
        <x:v>0</x:v>
      </x:c>
      <x:c r="J1359" s="8" t="n">
        <x:v>0</x:v>
      </x:c>
      <x:c r="K1359" s="8" t="n">
        <x:f>H1359-I1359*J1359</x:f>
        <x:v>-0.8148728986700945</x:v>
      </x:c>
      <x:c r="L1359" s="8" t="n">
        <x:f>'PG facts'!E105</x:f>
        <x:v>5</x:v>
      </x:c>
      <x:c r="M1359" s="8" t="n">
        <x:f>K1359-L1359</x:f>
        <x:v>-5.814872898670094</x:v>
      </x:c>
      <x:c r="N1359" s="8" t="n">
        <x:f>M1359^2</x:f>
        <x:v>33.812746827687945</x:v>
      </x:c>
      <x:c r="O1359" s="8" t="n">
        <x:f>ABS(M1359)</x:f>
        <x:v>5.814872898670094</x:v>
      </x:c>
      <x:c r="P1359" s="7" t="n">
        <x:v>45583</x:v>
      </x:c>
    </x:row>
    <x:row r="1360" ht="26" customHeight="1">
      <x:c r="A1360" s="2"/>
      <x:c r="B1360" s="2" t="n">
        <x:v>1355</x:v>
      </x:c>
      <x:c r="C1360" s="2" t="str">
        <x:v>Grooming / organic_volume_growth</x:v>
      </x:c>
      <x:c r="D1360" s="7" t="n">
        <x:v>45565</x:v>
      </x:c>
      <x:c r="E1360" s="2" t="str">
        <x:v>Origin</x:v>
      </x:c>
      <x:c r="F1360" s="7" t="n">
        <x:v>45474</x:v>
      </x:c>
      <x:c r="G1360" s="2" t="str">
        <x:v>Broad rolling 8</x:v>
      </x:c>
      <x:c r="H1360" s="8" t="n">
        <x:f>'Model fits'!AA896</x:f>
        <x:v>1.0244606578479583</x:v>
      </x:c>
      <x:c r="I1360" s="8" t="n">
        <x:f>0</x:f>
        <x:v>0</x:v>
      </x:c>
      <x:c r="J1360" s="8" t="n">
        <x:v>0</x:v>
      </x:c>
      <x:c r="K1360" s="8" t="n">
        <x:f>H1360-I1360*J1360</x:f>
        <x:v>1.0244606578479583</x:v>
      </x:c>
      <x:c r="L1360" s="8" t="n">
        <x:f>'PG facts'!E105</x:f>
        <x:v>5</x:v>
      </x:c>
      <x:c r="M1360" s="8" t="n">
        <x:f>K1360-L1360</x:f>
        <x:v>-3.9755393421520417</x:v>
      </x:c>
      <x:c r="N1360" s="8" t="n">
        <x:f>M1360^2</x:f>
        <x:v>15.80491306099869</x:v>
      </x:c>
      <x:c r="O1360" s="8" t="n">
        <x:f>ABS(M1360)</x:f>
        <x:v>3.9755393421520417</x:v>
      </x:c>
      <x:c r="P1360" s="7" t="n">
        <x:v>45583</x:v>
      </x:c>
    </x:row>
    <x:row r="1361" ht="26" customHeight="1">
      <x:c r="A1361" s="2"/>
      <x:c r="B1361" s="2" t="n">
        <x:v>1356</x:v>
      </x:c>
      <x:c r="C1361" s="2" t="str">
        <x:v>Grooming / organic_volume_growth</x:v>
      </x:c>
      <x:c r="D1361" s="7" t="n">
        <x:v>45565</x:v>
      </x:c>
      <x:c r="E1361" s="2" t="str">
        <x:v>Origin</x:v>
      </x:c>
      <x:c r="F1361" s="7" t="n">
        <x:v>45474</x:v>
      </x:c>
      <x:c r="G1361" s="2" t="str">
        <x:v>Own history</x:v>
      </x:c>
      <x:c r="H1361" s="8" t="n">
        <x:f>'Model fits'!AA897</x:f>
        <x:v>-0.07014028056112226</x:v>
      </x:c>
      <x:c r="I1361" s="8" t="n">
        <x:f>0</x:f>
        <x:v>0</x:v>
      </x:c>
      <x:c r="J1361" s="8" t="n">
        <x:v>0</x:v>
      </x:c>
      <x:c r="K1361" s="8" t="n">
        <x:f>H1361-I1361*J1361</x:f>
        <x:v>-0.07014028056112226</x:v>
      </x:c>
      <x:c r="L1361" s="8" t="n">
        <x:f>'PG facts'!E105</x:f>
        <x:v>5</x:v>
      </x:c>
      <x:c r="M1361" s="8" t="n">
        <x:f>K1361-L1361</x:f>
        <x:v>-5.070140280561122</x:v>
      </x:c>
      <x:c r="N1361" s="8" t="n">
        <x:f>M1361^2</x:f>
        <x:v>25.706322464568416</x:v>
      </x:c>
      <x:c r="O1361" s="8" t="n">
        <x:f>ABS(M1361)</x:f>
        <x:v>5.070140280561122</x:v>
      </x:c>
      <x:c r="P1361" s="7" t="n">
        <x:v>45583</x:v>
      </x:c>
    </x:row>
    <x:row r="1362" ht="26" customHeight="1">
      <x:c r="A1362" s="2"/>
      <x:c r="B1362" s="2" t="n">
        <x:v>1357</x:v>
      </x:c>
      <x:c r="C1362" s="2" t="str">
        <x:v>Grooming / organic_volume_growth</x:v>
      </x:c>
      <x:c r="D1362" s="7" t="n">
        <x:v>45565</x:v>
      </x:c>
      <x:c r="E1362" s="2" t="str">
        <x:v>Prior report</x:v>
      </x:c>
      <x:c r="F1362" s="7" t="n">
        <x:v>45503</x:v>
      </x:c>
      <x:c r="G1362" s="2" t="str">
        <x:v>Last actual</x:v>
      </x:c>
      <x:c r="H1362" s="8" t="n">
        <x:f>AVERAGE('PG facts'!E98)</x:f>
        <x:v>2</x:v>
      </x:c>
      <x:c r="I1362" s="8" t="n">
        <x:f>0</x:f>
        <x:v>0</x:v>
      </x:c>
      <x:c r="J1362" s="8" t="n">
        <x:v>0</x:v>
      </x:c>
      <x:c r="K1362" s="8" t="n">
        <x:f>H1362-I1362*J1362</x:f>
        <x:v>2</x:v>
      </x:c>
      <x:c r="L1362" s="8" t="n">
        <x:f>'PG facts'!E105</x:f>
        <x:v>5</x:v>
      </x:c>
      <x:c r="M1362" s="8" t="n">
        <x:f>K1362-L1362</x:f>
        <x:v>-3</x:v>
      </x:c>
      <x:c r="N1362" s="8" t="n">
        <x:f>M1362^2</x:f>
        <x:v>9</x:v>
      </x:c>
      <x:c r="O1362" s="8" t="n">
        <x:f>ABS(M1362)</x:f>
        <x:v>3</x:v>
      </x:c>
      <x:c r="P1362" s="7" t="n">
        <x:v>45583</x:v>
      </x:c>
    </x:row>
    <x:row r="1363" ht="26" customHeight="1">
      <x:c r="A1363" s="2"/>
      <x:c r="B1363" s="2" t="n">
        <x:v>1358</x:v>
      </x:c>
      <x:c r="C1363" s="2" t="str">
        <x:v>Grooming / organic_volume_growth</x:v>
      </x:c>
      <x:c r="D1363" s="7" t="n">
        <x:v>45565</x:v>
      </x:c>
      <x:c r="E1363" s="2" t="str">
        <x:v>Prior report</x:v>
      </x:c>
      <x:c r="F1363" s="7" t="n">
        <x:v>45503</x:v>
      </x:c>
      <x:c r="G1363" s="2" t="str">
        <x:v>Four-quarter mean</x:v>
      </x:c>
      <x:c r="H1363" s="8" t="n">
        <x:f>AVERAGE('PG facts'!E77,'PG facts'!E84,'PG facts'!E91,'PG facts'!E98)</x:f>
        <x:v>0.75</x:v>
      </x:c>
      <x:c r="I1363" s="8" t="n">
        <x:f>0</x:f>
        <x:v>0</x:v>
      </x:c>
      <x:c r="J1363" s="8" t="n">
        <x:v>0</x:v>
      </x:c>
      <x:c r="K1363" s="8" t="n">
        <x:f>H1363-I1363*J1363</x:f>
        <x:v>0.75</x:v>
      </x:c>
      <x:c r="L1363" s="8" t="n">
        <x:f>'PG facts'!E105</x:f>
        <x:v>5</x:v>
      </x:c>
      <x:c r="M1363" s="8" t="n">
        <x:f>K1363-L1363</x:f>
        <x:v>-4.25</x:v>
      </x:c>
      <x:c r="N1363" s="8" t="n">
        <x:f>M1363^2</x:f>
        <x:v>18.0625</x:v>
      </x:c>
      <x:c r="O1363" s="8" t="n">
        <x:f>ABS(M1363)</x:f>
        <x:v>4.25</x:v>
      </x:c>
      <x:c r="P1363" s="7" t="n">
        <x:v>45583</x:v>
      </x:c>
    </x:row>
    <x:row r="1364" ht="26" customHeight="1">
      <x:c r="A1364" s="2"/>
      <x:c r="B1364" s="2" t="n">
        <x:v>1359</x:v>
      </x:c>
      <x:c r="C1364" s="2" t="str">
        <x:v>Grooming / organic_volume_growth</x:v>
      </x:c>
      <x:c r="D1364" s="7" t="n">
        <x:v>45565</x:v>
      </x:c>
      <x:c r="E1364" s="2" t="str">
        <x:v>Prior report</x:v>
      </x:c>
      <x:c r="F1364" s="7" t="n">
        <x:v>45503</x:v>
      </x:c>
      <x:c r="G1364" s="2" t="str">
        <x:v>Broad market</x:v>
      </x:c>
      <x:c r="H1364" s="8" t="n">
        <x:f>'Model fits'!AA898</x:f>
        <x:v>-0.6144119927618303</x:v>
      </x:c>
      <x:c r="I1364" s="8" t="n">
        <x:f>0</x:f>
        <x:v>0</x:v>
      </x:c>
      <x:c r="J1364" s="8" t="n">
        <x:v>0</x:v>
      </x:c>
      <x:c r="K1364" s="8" t="n">
        <x:f>H1364-I1364*J1364</x:f>
        <x:v>-0.6144119927618303</x:v>
      </x:c>
      <x:c r="L1364" s="8" t="n">
        <x:f>'PG facts'!E105</x:f>
        <x:v>5</x:v>
      </x:c>
      <x:c r="M1364" s="8" t="n">
        <x:f>K1364-L1364</x:f>
        <x:v>-5.614411992761831</x:v>
      </x:c>
      <x:c r="N1364" s="8" t="n">
        <x:f>M1364^2</x:f>
        <x:v>31.52162202446787</x:v>
      </x:c>
      <x:c r="O1364" s="8" t="n">
        <x:f>ABS(M1364)</x:f>
        <x:v>5.614411992761831</x:v>
      </x:c>
      <x:c r="P1364" s="7" t="n">
        <x:v>45583</x:v>
      </x:c>
    </x:row>
    <x:row r="1365" ht="26" customHeight="1">
      <x:c r="A1365" s="2"/>
      <x:c r="B1365" s="2" t="n">
        <x:v>1360</x:v>
      </x:c>
      <x:c r="C1365" s="2" t="str">
        <x:v>Grooming / organic_volume_growth</x:v>
      </x:c>
      <x:c r="D1365" s="7" t="n">
        <x:v>45565</x:v>
      </x:c>
      <x:c r="E1365" s="2" t="str">
        <x:v>Prior report</x:v>
      </x:c>
      <x:c r="F1365" s="7" t="n">
        <x:v>45503</x:v>
      </x:c>
      <x:c r="G1365" s="2" t="str">
        <x:v>Broad lag 1</x:v>
      </x:c>
      <x:c r="H1365" s="8" t="n">
        <x:f>'Model fits'!AA899</x:f>
        <x:v>-0.4922479029424274</x:v>
      </x:c>
      <x:c r="I1365" s="8" t="n">
        <x:f>0</x:f>
        <x:v>0</x:v>
      </x:c>
      <x:c r="J1365" s="8" t="n">
        <x:v>0</x:v>
      </x:c>
      <x:c r="K1365" s="8" t="n">
        <x:f>H1365-I1365*J1365</x:f>
        <x:v>-0.4922479029424274</x:v>
      </x:c>
      <x:c r="L1365" s="8" t="n">
        <x:f>'PG facts'!E105</x:f>
        <x:v>5</x:v>
      </x:c>
      <x:c r="M1365" s="8" t="n">
        <x:f>K1365-L1365</x:f>
        <x:v>-5.492247902942427</x:v>
      </x:c>
      <x:c r="N1365" s="8" t="n">
        <x:f>M1365^2</x:f>
        <x:v>30.164787027375493</x:v>
      </x:c>
      <x:c r="O1365" s="8" t="n">
        <x:f>ABS(M1365)</x:f>
        <x:v>5.492247902942427</x:v>
      </x:c>
      <x:c r="P1365" s="7" t="n">
        <x:v>45583</x:v>
      </x:c>
    </x:row>
    <x:row r="1366" ht="26" customHeight="1">
      <x:c r="A1366" s="2"/>
      <x:c r="B1366" s="2" t="n">
        <x:v>1361</x:v>
      </x:c>
      <x:c r="C1366" s="2" t="str">
        <x:v>Grooming / organic_volume_growth</x:v>
      </x:c>
      <x:c r="D1366" s="7" t="n">
        <x:v>45565</x:v>
      </x:c>
      <x:c r="E1366" s="2" t="str">
        <x:v>Prior report</x:v>
      </x:c>
      <x:c r="F1366" s="7" t="n">
        <x:v>45503</x:v>
      </x:c>
      <x:c r="G1366" s="2" t="str">
        <x:v>Broad rolling 8</x:v>
      </x:c>
      <x:c r="H1366" s="8" t="n">
        <x:f>'Model fits'!AA900</x:f>
        <x:v>1.2112494596231815</x:v>
      </x:c>
      <x:c r="I1366" s="8" t="n">
        <x:f>0</x:f>
        <x:v>0</x:v>
      </x:c>
      <x:c r="J1366" s="8" t="n">
        <x:v>0</x:v>
      </x:c>
      <x:c r="K1366" s="8" t="n">
        <x:f>H1366-I1366*J1366</x:f>
        <x:v>1.2112494596231815</x:v>
      </x:c>
      <x:c r="L1366" s="8" t="n">
        <x:f>'PG facts'!E105</x:f>
        <x:v>5</x:v>
      </x:c>
      <x:c r="M1366" s="8" t="n">
        <x:f>K1366-L1366</x:f>
        <x:v>-3.7887505403768182</x:v>
      </x:c>
      <x:c r="N1366" s="8" t="n">
        <x:f>M1366^2</x:f>
        <x:v>14.354630657205632</x:v>
      </x:c>
      <x:c r="O1366" s="8" t="n">
        <x:f>ABS(M1366)</x:f>
        <x:v>3.7887505403768182</x:v>
      </x:c>
      <x:c r="P1366" s="7" t="n">
        <x:v>45583</x:v>
      </x:c>
    </x:row>
    <x:row r="1367" ht="26" customHeight="1">
      <x:c r="A1367" s="2"/>
      <x:c r="B1367" s="2" t="n">
        <x:v>1362</x:v>
      </x:c>
      <x:c r="C1367" s="2" t="str">
        <x:v>Grooming / organic_volume_growth</x:v>
      </x:c>
      <x:c r="D1367" s="7" t="n">
        <x:v>45565</x:v>
      </x:c>
      <x:c r="E1367" s="2" t="str">
        <x:v>Prior report</x:v>
      </x:c>
      <x:c r="F1367" s="7" t="n">
        <x:v>45503</x:v>
      </x:c>
      <x:c r="G1367" s="2" t="str">
        <x:v>Own history</x:v>
      </x:c>
      <x:c r="H1367" s="8" t="n">
        <x:f>'Model fits'!AA901</x:f>
        <x:v>0.12206572769953053</x:v>
      </x:c>
      <x:c r="I1367" s="8" t="n">
        <x:f>0</x:f>
        <x:v>0</x:v>
      </x:c>
      <x:c r="J1367" s="8" t="n">
        <x:v>0</x:v>
      </x:c>
      <x:c r="K1367" s="8" t="n">
        <x:f>H1367-I1367*J1367</x:f>
        <x:v>0.12206572769953053</x:v>
      </x:c>
      <x:c r="L1367" s="8" t="n">
        <x:f>'PG facts'!E105</x:f>
        <x:v>5</x:v>
      </x:c>
      <x:c r="M1367" s="8" t="n">
        <x:f>K1367-L1367</x:f>
        <x:v>-4.877934272300469</x:v>
      </x:c>
      <x:c r="N1367" s="8" t="n">
        <x:f>M1367^2</x:f>
        <x:v>23.794242764883506</x:v>
      </x:c>
      <x:c r="O1367" s="8" t="n">
        <x:f>ABS(M1367)</x:f>
        <x:v>4.877934272300469</x:v>
      </x:c>
      <x:c r="P1367" s="7" t="n">
        <x:v>45583</x:v>
      </x:c>
    </x:row>
    <x:row r="1368" ht="26" customHeight="1">
      <x:c r="A1368" s="2"/>
      <x:c r="B1368" s="2" t="n">
        <x:v>1363</x:v>
      </x:c>
      <x:c r="C1368" s="2" t="str">
        <x:v>Grooming / organic_volume_growth</x:v>
      </x:c>
      <x:c r="D1368" s="7" t="n">
        <x:v>45565</x:v>
      </x:c>
      <x:c r="E1368" s="2" t="str">
        <x:v>Pre-earnings</x:v>
      </x:c>
      <x:c r="F1368" s="7" t="n">
        <x:v>45582</x:v>
      </x:c>
      <x:c r="G1368" s="2" t="str">
        <x:v>Last actual</x:v>
      </x:c>
      <x:c r="H1368" s="8" t="n">
        <x:f>AVERAGE('PG facts'!E98)</x:f>
        <x:v>2</x:v>
      </x:c>
      <x:c r="I1368" s="8" t="n">
        <x:f>0</x:f>
        <x:v>0</x:v>
      </x:c>
      <x:c r="J1368" s="8" t="n">
        <x:v>0</x:v>
      </x:c>
      <x:c r="K1368" s="8" t="n">
        <x:f>H1368-I1368*J1368</x:f>
        <x:v>2</x:v>
      </x:c>
      <x:c r="L1368" s="8" t="n">
        <x:f>'PG facts'!E105</x:f>
        <x:v>5</x:v>
      </x:c>
      <x:c r="M1368" s="8" t="n">
        <x:f>K1368-L1368</x:f>
        <x:v>-3</x:v>
      </x:c>
      <x:c r="N1368" s="8" t="n">
        <x:f>M1368^2</x:f>
        <x:v>9</x:v>
      </x:c>
      <x:c r="O1368" s="8" t="n">
        <x:f>ABS(M1368)</x:f>
        <x:v>3</x:v>
      </x:c>
      <x:c r="P1368" s="7" t="n">
        <x:v>45583</x:v>
      </x:c>
    </x:row>
    <x:row r="1369" ht="26" customHeight="1">
      <x:c r="A1369" s="2"/>
      <x:c r="B1369" s="2" t="n">
        <x:v>1364</x:v>
      </x:c>
      <x:c r="C1369" s="2" t="str">
        <x:v>Grooming / organic_volume_growth</x:v>
      </x:c>
      <x:c r="D1369" s="7" t="n">
        <x:v>45565</x:v>
      </x:c>
      <x:c r="E1369" s="2" t="str">
        <x:v>Pre-earnings</x:v>
      </x:c>
      <x:c r="F1369" s="7" t="n">
        <x:v>45582</x:v>
      </x:c>
      <x:c r="G1369" s="2" t="str">
        <x:v>Four-quarter mean</x:v>
      </x:c>
      <x:c r="H1369" s="8" t="n">
        <x:f>AVERAGE('PG facts'!E77,'PG facts'!E84,'PG facts'!E91,'PG facts'!E98)</x:f>
        <x:v>0.75</x:v>
      </x:c>
      <x:c r="I1369" s="8" t="n">
        <x:f>0</x:f>
        <x:v>0</x:v>
      </x:c>
      <x:c r="J1369" s="8" t="n">
        <x:v>0</x:v>
      </x:c>
      <x:c r="K1369" s="8" t="n">
        <x:f>H1369-I1369*J1369</x:f>
        <x:v>0.75</x:v>
      </x:c>
      <x:c r="L1369" s="8" t="n">
        <x:f>'PG facts'!E105</x:f>
        <x:v>5</x:v>
      </x:c>
      <x:c r="M1369" s="8" t="n">
        <x:f>K1369-L1369</x:f>
        <x:v>-4.25</x:v>
      </x:c>
      <x:c r="N1369" s="8" t="n">
        <x:f>M1369^2</x:f>
        <x:v>18.0625</x:v>
      </x:c>
      <x:c r="O1369" s="8" t="n">
        <x:f>ABS(M1369)</x:f>
        <x:v>4.25</x:v>
      </x:c>
      <x:c r="P1369" s="7" t="n">
        <x:v>45583</x:v>
      </x:c>
    </x:row>
    <x:row r="1370" ht="26" customHeight="1">
      <x:c r="A1370" s="2"/>
      <x:c r="B1370" s="2" t="n">
        <x:v>1365</x:v>
      </x:c>
      <x:c r="C1370" s="2" t="str">
        <x:v>Grooming / organic_volume_growth</x:v>
      </x:c>
      <x:c r="D1370" s="7" t="n">
        <x:v>45565</x:v>
      </x:c>
      <x:c r="E1370" s="2" t="str">
        <x:v>Pre-earnings</x:v>
      </x:c>
      <x:c r="F1370" s="7" t="n">
        <x:v>45582</x:v>
      </x:c>
      <x:c r="G1370" s="2" t="str">
        <x:v>Broad market</x:v>
      </x:c>
      <x:c r="H1370" s="8" t="n">
        <x:f>'Model fits'!AA902</x:f>
        <x:v>-0.37164054927803114</x:v>
      </x:c>
      <x:c r="I1370" s="8" t="n">
        <x:f>0</x:f>
        <x:v>0</x:v>
      </x:c>
      <x:c r="J1370" s="8" t="n">
        <x:v>0</x:v>
      </x:c>
      <x:c r="K1370" s="8" t="n">
        <x:f>H1370-I1370*J1370</x:f>
        <x:v>-0.37164054927803114</x:v>
      </x:c>
      <x:c r="L1370" s="8" t="n">
        <x:f>'PG facts'!E105</x:f>
        <x:v>5</x:v>
      </x:c>
      <x:c r="M1370" s="8" t="n">
        <x:f>K1370-L1370</x:f>
        <x:v>-5.371640549278031</x:v>
      </x:c>
      <x:c r="N1370" s="8" t="n">
        <x:f>M1370^2</x:f>
        <x:v>28.85452219064799</x:v>
      </x:c>
      <x:c r="O1370" s="8" t="n">
        <x:f>ABS(M1370)</x:f>
        <x:v>5.371640549278031</x:v>
      </x:c>
      <x:c r="P1370" s="7" t="n">
        <x:v>45583</x:v>
      </x:c>
    </x:row>
    <x:row r="1371" ht="26" customHeight="1">
      <x:c r="A1371" s="2"/>
      <x:c r="B1371" s="2" t="n">
        <x:v>1366</x:v>
      </x:c>
      <x:c r="C1371" s="2" t="str">
        <x:v>Grooming / organic_volume_growth</x:v>
      </x:c>
      <x:c r="D1371" s="7" t="n">
        <x:v>45565</x:v>
      </x:c>
      <x:c r="E1371" s="2" t="str">
        <x:v>Pre-earnings</x:v>
      </x:c>
      <x:c r="F1371" s="7" t="n">
        <x:v>45582</x:v>
      </x:c>
      <x:c r="G1371" s="2" t="str">
        <x:v>Broad lag 1</x:v>
      </x:c>
      <x:c r="H1371" s="8" t="n">
        <x:f>'Model fits'!AA903</x:f>
        <x:v>-0.4150734556406901</x:v>
      </x:c>
      <x:c r="I1371" s="8" t="n">
        <x:f>0</x:f>
        <x:v>0</x:v>
      </x:c>
      <x:c r="J1371" s="8" t="n">
        <x:v>0</x:v>
      </x:c>
      <x:c r="K1371" s="8" t="n">
        <x:f>H1371-I1371*J1371</x:f>
        <x:v>-0.4150734556406901</x:v>
      </x:c>
      <x:c r="L1371" s="8" t="n">
        <x:f>'PG facts'!E105</x:f>
        <x:v>5</x:v>
      </x:c>
      <x:c r="M1371" s="8" t="n">
        <x:f>K1371-L1371</x:f>
        <x:v>-5.41507345564069</x:v>
      </x:c>
      <x:c r="N1371" s="8" t="n">
        <x:f>M1371^2</x:f>
        <x:v>29.323020529984404</x:v>
      </x:c>
      <x:c r="O1371" s="8" t="n">
        <x:f>ABS(M1371)</x:f>
        <x:v>5.41507345564069</x:v>
      </x:c>
      <x:c r="P1371" s="7" t="n">
        <x:v>45583</x:v>
      </x:c>
    </x:row>
    <x:row r="1372" ht="26" customHeight="1">
      <x:c r="A1372" s="2"/>
      <x:c r="B1372" s="2" t="n">
        <x:v>1367</x:v>
      </x:c>
      <x:c r="C1372" s="2" t="str">
        <x:v>Grooming / organic_volume_growth</x:v>
      </x:c>
      <x:c r="D1372" s="7" t="n">
        <x:v>45565</x:v>
      </x:c>
      <x:c r="E1372" s="2" t="str">
        <x:v>Pre-earnings</x:v>
      </x:c>
      <x:c r="F1372" s="7" t="n">
        <x:v>45582</x:v>
      </x:c>
      <x:c r="G1372" s="2" t="str">
        <x:v>Broad rolling 8</x:v>
      </x:c>
      <x:c r="H1372" s="8" t="n">
        <x:f>'Model fits'!AA904</x:f>
        <x:v>1.8877104028929041</x:v>
      </x:c>
      <x:c r="I1372" s="8" t="n">
        <x:f>0</x:f>
        <x:v>0</x:v>
      </x:c>
      <x:c r="J1372" s="8" t="n">
        <x:v>0</x:v>
      </x:c>
      <x:c r="K1372" s="8" t="n">
        <x:f>H1372-I1372*J1372</x:f>
        <x:v>1.8877104028929041</x:v>
      </x:c>
      <x:c r="L1372" s="8" t="n">
        <x:f>'PG facts'!E105</x:f>
        <x:v>5</x:v>
      </x:c>
      <x:c r="M1372" s="8" t="n">
        <x:f>K1372-L1372</x:f>
        <x:v>-3.112289597107096</x:v>
      </x:c>
      <x:c r="N1372" s="8" t="n">
        <x:f>M1372^2</x:f>
        <x:v>9.686346536261048</x:v>
      </x:c>
      <x:c r="O1372" s="8" t="n">
        <x:f>ABS(M1372)</x:f>
        <x:v>3.112289597107096</x:v>
      </x:c>
      <x:c r="P1372" s="7" t="n">
        <x:v>45583</x:v>
      </x:c>
    </x:row>
    <x:row r="1373" ht="26" customHeight="1">
      <x:c r="A1373" s="2"/>
      <x:c r="B1373" s="2" t="n">
        <x:v>1368</x:v>
      </x:c>
      <x:c r="C1373" s="2" t="str">
        <x:v>Grooming / organic_volume_growth</x:v>
      </x:c>
      <x:c r="D1373" s="7" t="n">
        <x:v>45565</x:v>
      </x:c>
      <x:c r="E1373" s="2" t="str">
        <x:v>Pre-earnings</x:v>
      </x:c>
      <x:c r="F1373" s="7" t="n">
        <x:v>45582</x:v>
      </x:c>
      <x:c r="G1373" s="2" t="str">
        <x:v>Own history</x:v>
      </x:c>
      <x:c r="H1373" s="8" t="n">
        <x:f>'Model fits'!AA905</x:f>
        <x:v>0.12206572769953053</x:v>
      </x:c>
      <x:c r="I1373" s="8" t="n">
        <x:f>0</x:f>
        <x:v>0</x:v>
      </x:c>
      <x:c r="J1373" s="8" t="n">
        <x:v>0</x:v>
      </x:c>
      <x:c r="K1373" s="8" t="n">
        <x:f>H1373-I1373*J1373</x:f>
        <x:v>0.12206572769953053</x:v>
      </x:c>
      <x:c r="L1373" s="8" t="n">
        <x:f>'PG facts'!E105</x:f>
        <x:v>5</x:v>
      </x:c>
      <x:c r="M1373" s="8" t="n">
        <x:f>K1373-L1373</x:f>
        <x:v>-4.877934272300469</x:v>
      </x:c>
      <x:c r="N1373" s="8" t="n">
        <x:f>M1373^2</x:f>
        <x:v>23.794242764883506</x:v>
      </x:c>
      <x:c r="O1373" s="8" t="n">
        <x:f>ABS(M1373)</x:f>
        <x:v>4.877934272300469</x:v>
      </x:c>
      <x:c r="P1373" s="7" t="n">
        <x:v>45583</x:v>
      </x:c>
    </x:row>
    <x:row r="1374" ht="26" customHeight="1">
      <x:c r="A1374" s="2"/>
      <x:c r="B1374" s="2" t="n">
        <x:v>1369</x:v>
      </x:c>
      <x:c r="C1374" s="2" t="str">
        <x:v>Grooming / organic_volume_growth</x:v>
      </x:c>
      <x:c r="D1374" s="7" t="n">
        <x:v>45657</x:v>
      </x:c>
      <x:c r="E1374" s="2" t="str">
        <x:v>Origin</x:v>
      </x:c>
      <x:c r="F1374" s="7" t="n">
        <x:v>45566</x:v>
      </x:c>
      <x:c r="G1374" s="2" t="str">
        <x:v>Last actual</x:v>
      </x:c>
      <x:c r="H1374" s="8" t="n">
        <x:f>AVERAGE('PG facts'!E98)</x:f>
        <x:v>2</x:v>
      </x:c>
      <x:c r="I1374" s="8" t="n">
        <x:f>0</x:f>
        <x:v>0</x:v>
      </x:c>
      <x:c r="J1374" s="8" t="n">
        <x:v>0</x:v>
      </x:c>
      <x:c r="K1374" s="8" t="n">
        <x:f>H1374-I1374*J1374</x:f>
        <x:v>2</x:v>
      </x:c>
      <x:c r="L1374" s="8" t="n">
        <x:f>'PG facts'!E112</x:f>
        <x:v>2</x:v>
      </x:c>
      <x:c r="M1374" s="8" t="n">
        <x:f>K1374-L1374</x:f>
        <x:v>0</x:v>
      </x:c>
      <x:c r="N1374" s="8" t="n">
        <x:f>M1374^2</x:f>
        <x:v>0</x:v>
      </x:c>
      <x:c r="O1374" s="8" t="n">
        <x:f>ABS(M1374)</x:f>
        <x:v>0</x:v>
      </x:c>
      <x:c r="P1374" s="7" t="n">
        <x:v>45679</x:v>
      </x:c>
    </x:row>
    <x:row r="1375" ht="26" customHeight="1">
      <x:c r="A1375" s="2"/>
      <x:c r="B1375" s="2" t="n">
        <x:v>1370</x:v>
      </x:c>
      <x:c r="C1375" s="2" t="str">
        <x:v>Grooming / organic_volume_growth</x:v>
      </x:c>
      <x:c r="D1375" s="7" t="n">
        <x:v>45657</x:v>
      </x:c>
      <x:c r="E1375" s="2" t="str">
        <x:v>Origin</x:v>
      </x:c>
      <x:c r="F1375" s="7" t="n">
        <x:v>45566</x:v>
      </x:c>
      <x:c r="G1375" s="2" t="str">
        <x:v>Four-quarter mean</x:v>
      </x:c>
      <x:c r="H1375" s="8" t="n">
        <x:f>AVERAGE('PG facts'!E77,'PG facts'!E84,'PG facts'!E91,'PG facts'!E98)</x:f>
        <x:v>0.75</x:v>
      </x:c>
      <x:c r="I1375" s="8" t="n">
        <x:f>0</x:f>
        <x:v>0</x:v>
      </x:c>
      <x:c r="J1375" s="8" t="n">
        <x:v>0</x:v>
      </x:c>
      <x:c r="K1375" s="8" t="n">
        <x:f>H1375-I1375*J1375</x:f>
        <x:v>0.75</x:v>
      </x:c>
      <x:c r="L1375" s="8" t="n">
        <x:f>'PG facts'!E112</x:f>
        <x:v>2</x:v>
      </x:c>
      <x:c r="M1375" s="8" t="n">
        <x:f>K1375-L1375</x:f>
        <x:v>-1.25</x:v>
      </x:c>
      <x:c r="N1375" s="8" t="n">
        <x:f>M1375^2</x:f>
        <x:v>1.5625</x:v>
      </x:c>
      <x:c r="O1375" s="8" t="n">
        <x:f>ABS(M1375)</x:f>
        <x:v>1.25</x:v>
      </x:c>
      <x:c r="P1375" s="7" t="n">
        <x:v>45679</x:v>
      </x:c>
    </x:row>
    <x:row r="1376" ht="26" customHeight="1">
      <x:c r="A1376" s="2"/>
      <x:c r="B1376" s="2" t="n">
        <x:v>1371</x:v>
      </x:c>
      <x:c r="C1376" s="2" t="str">
        <x:v>Grooming / organic_volume_growth</x:v>
      </x:c>
      <x:c r="D1376" s="7" t="n">
        <x:v>45657</x:v>
      </x:c>
      <x:c r="E1376" s="2" t="str">
        <x:v>Origin</x:v>
      </x:c>
      <x:c r="F1376" s="7" t="n">
        <x:v>45566</x:v>
      </x:c>
      <x:c r="G1376" s="2" t="str">
        <x:v>Broad market</x:v>
      </x:c>
      <x:c r="H1376" s="8" t="n">
        <x:f>'Model fits'!AA906</x:f>
        <x:v>-0.3738130957659963</x:v>
      </x:c>
      <x:c r="I1376" s="8" t="n">
        <x:f>0</x:f>
        <x:v>0</x:v>
      </x:c>
      <x:c r="J1376" s="8" t="n">
        <x:v>0</x:v>
      </x:c>
      <x:c r="K1376" s="8" t="n">
        <x:f>H1376-I1376*J1376</x:f>
        <x:v>-0.3738130957659963</x:v>
      </x:c>
      <x:c r="L1376" s="8" t="n">
        <x:f>'PG facts'!E112</x:f>
        <x:v>2</x:v>
      </x:c>
      <x:c r="M1376" s="8" t="n">
        <x:f>K1376-L1376</x:f>
        <x:v>-2.373813095765996</x:v>
      </x:c>
      <x:c r="N1376" s="8" t="n">
        <x:f>M1376^2</x:f>
        <x:v>5.634988613630143</x:v>
      </x:c>
      <x:c r="O1376" s="8" t="n">
        <x:f>ABS(M1376)</x:f>
        <x:v>2.373813095765996</x:v>
      </x:c>
      <x:c r="P1376" s="7" t="n">
        <x:v>45679</x:v>
      </x:c>
    </x:row>
    <x:row r="1377" ht="26" customHeight="1">
      <x:c r="A1377" s="2"/>
      <x:c r="B1377" s="2" t="n">
        <x:v>1372</x:v>
      </x:c>
      <x:c r="C1377" s="2" t="str">
        <x:v>Grooming / organic_volume_growth</x:v>
      </x:c>
      <x:c r="D1377" s="7" t="n">
        <x:v>45657</x:v>
      </x:c>
      <x:c r="E1377" s="2" t="str">
        <x:v>Origin</x:v>
      </x:c>
      <x:c r="F1377" s="7" t="n">
        <x:v>45566</x:v>
      </x:c>
      <x:c r="G1377" s="2" t="str">
        <x:v>Broad rolling 8</x:v>
      </x:c>
      <x:c r="H1377" s="8" t="n">
        <x:f>'Model fits'!AA907</x:f>
        <x:v>1.8791920113316936</x:v>
      </x:c>
      <x:c r="I1377" s="8" t="n">
        <x:f>0</x:f>
        <x:v>0</x:v>
      </x:c>
      <x:c r="J1377" s="8" t="n">
        <x:v>0</x:v>
      </x:c>
      <x:c r="K1377" s="8" t="n">
        <x:f>H1377-I1377*J1377</x:f>
        <x:v>1.8791920113316936</x:v>
      </x:c>
      <x:c r="L1377" s="8" t="n">
        <x:f>'PG facts'!E112</x:f>
        <x:v>2</x:v>
      </x:c>
      <x:c r="M1377" s="8" t="n">
        <x:f>K1377-L1377</x:f>
        <x:v>-0.12080798866830644</x:v>
      </x:c>
      <x:c r="N1377" s="8" t="n">
        <x:f>M1377^2</x:f>
        <x:v>0.014594570126081658</x:v>
      </x:c>
      <x:c r="O1377" s="8" t="n">
        <x:f>ABS(M1377)</x:f>
        <x:v>0.12080798866830644</x:v>
      </x:c>
      <x:c r="P1377" s="7" t="n">
        <x:v>45679</x:v>
      </x:c>
    </x:row>
    <x:row r="1378" ht="26" customHeight="1">
      <x:c r="A1378" s="2"/>
      <x:c r="B1378" s="2" t="n">
        <x:v>1373</x:v>
      </x:c>
      <x:c r="C1378" s="2" t="str">
        <x:v>Grooming / organic_volume_growth</x:v>
      </x:c>
      <x:c r="D1378" s="7" t="n">
        <x:v>45657</x:v>
      </x:c>
      <x:c r="E1378" s="2" t="str">
        <x:v>Origin</x:v>
      </x:c>
      <x:c r="F1378" s="7" t="n">
        <x:v>45566</x:v>
      </x:c>
      <x:c r="G1378" s="2" t="str">
        <x:v>Own history</x:v>
      </x:c>
      <x:c r="H1378" s="8" t="n">
        <x:f>'Model fits'!AA908</x:f>
        <x:v>0.20538116591928246</x:v>
      </x:c>
      <x:c r="I1378" s="8" t="n">
        <x:f>0</x:f>
        <x:v>0</x:v>
      </x:c>
      <x:c r="J1378" s="8" t="n">
        <x:v>0</x:v>
      </x:c>
      <x:c r="K1378" s="8" t="n">
        <x:f>H1378-I1378*J1378</x:f>
        <x:v>0.20538116591928246</x:v>
      </x:c>
      <x:c r="L1378" s="8" t="n">
        <x:f>'PG facts'!E112</x:f>
        <x:v>2</x:v>
      </x:c>
      <x:c r="M1378" s="8" t="n">
        <x:f>K1378-L1378</x:f>
        <x:v>-1.7946188340807177</x:v>
      </x:c>
      <x:c r="N1378" s="8" t="n">
        <x:f>M1378^2</x:f>
        <x:v>3.2206567596372344</x:v>
      </x:c>
      <x:c r="O1378" s="8" t="n">
        <x:f>ABS(M1378)</x:f>
        <x:v>1.7946188340807177</x:v>
      </x:c>
      <x:c r="P1378" s="7" t="n">
        <x:v>45679</x:v>
      </x:c>
    </x:row>
    <x:row r="1379" ht="26" customHeight="1">
      <x:c r="A1379" s="2"/>
      <x:c r="B1379" s="2" t="n">
        <x:v>1374</x:v>
      </x:c>
      <x:c r="C1379" s="2" t="str">
        <x:v>Grooming / organic_volume_growth</x:v>
      </x:c>
      <x:c r="D1379" s="7" t="n">
        <x:v>45657</x:v>
      </x:c>
      <x:c r="E1379" s="2" t="str">
        <x:v>Prior report</x:v>
      </x:c>
      <x:c r="F1379" s="7" t="n">
        <x:v>45583</x:v>
      </x:c>
      <x:c r="G1379" s="2" t="str">
        <x:v>Last actual</x:v>
      </x:c>
      <x:c r="H1379" s="8" t="n">
        <x:f>AVERAGE('PG facts'!E105)</x:f>
        <x:v>5</x:v>
      </x:c>
      <x:c r="I1379" s="8" t="n">
        <x:f>0</x:f>
        <x:v>0</x:v>
      </x:c>
      <x:c r="J1379" s="8" t="n">
        <x:v>0</x:v>
      </x:c>
      <x:c r="K1379" s="8" t="n">
        <x:f>H1379-I1379*J1379</x:f>
        <x:v>5</x:v>
      </x:c>
      <x:c r="L1379" s="8" t="n">
        <x:f>'PG facts'!E112</x:f>
        <x:v>2</x:v>
      </x:c>
      <x:c r="M1379" s="8" t="n">
        <x:f>K1379-L1379</x:f>
        <x:v>3</x:v>
      </x:c>
      <x:c r="N1379" s="8" t="n">
        <x:f>M1379^2</x:f>
        <x:v>9</x:v>
      </x:c>
      <x:c r="O1379" s="8" t="n">
        <x:f>ABS(M1379)</x:f>
        <x:v>3</x:v>
      </x:c>
      <x:c r="P1379" s="7" t="n">
        <x:v>45679</x:v>
      </x:c>
    </x:row>
    <x:row r="1380" ht="26" customHeight="1">
      <x:c r="A1380" s="2"/>
      <x:c r="B1380" s="2" t="n">
        <x:v>1375</x:v>
      </x:c>
      <x:c r="C1380" s="2" t="str">
        <x:v>Grooming / organic_volume_growth</x:v>
      </x:c>
      <x:c r="D1380" s="7" t="n">
        <x:v>45657</x:v>
      </x:c>
      <x:c r="E1380" s="2" t="str">
        <x:v>Prior report</x:v>
      </x:c>
      <x:c r="F1380" s="7" t="n">
        <x:v>45583</x:v>
      </x:c>
      <x:c r="G1380" s="2" t="str">
        <x:v>Four-quarter mean</x:v>
      </x:c>
      <x:c r="H1380" s="8" t="n">
        <x:f>AVERAGE('PG facts'!E84,'PG facts'!E91,'PG facts'!E98,'PG facts'!E105)</x:f>
        <x:v>2.5</x:v>
      </x:c>
      <x:c r="I1380" s="8" t="n">
        <x:f>0</x:f>
        <x:v>0</x:v>
      </x:c>
      <x:c r="J1380" s="8" t="n">
        <x:v>0</x:v>
      </x:c>
      <x:c r="K1380" s="8" t="n">
        <x:f>H1380-I1380*J1380</x:f>
        <x:v>2.5</x:v>
      </x:c>
      <x:c r="L1380" s="8" t="n">
        <x:f>'PG facts'!E112</x:f>
        <x:v>2</x:v>
      </x:c>
      <x:c r="M1380" s="8" t="n">
        <x:f>K1380-L1380</x:f>
        <x:v>0.5</x:v>
      </x:c>
      <x:c r="N1380" s="8" t="n">
        <x:f>M1380^2</x:f>
        <x:v>0.25</x:v>
      </x:c>
      <x:c r="O1380" s="8" t="n">
        <x:f>ABS(M1380)</x:f>
        <x:v>0.5</x:v>
      </x:c>
      <x:c r="P1380" s="7" t="n">
        <x:v>45679</x:v>
      </x:c>
    </x:row>
    <x:row r="1381" ht="26" customHeight="1">
      <x:c r="A1381" s="2"/>
      <x:c r="B1381" s="2" t="n">
        <x:v>1376</x:v>
      </x:c>
      <x:c r="C1381" s="2" t="str">
        <x:v>Grooming / organic_volume_growth</x:v>
      </x:c>
      <x:c r="D1381" s="7" t="n">
        <x:v>45657</x:v>
      </x:c>
      <x:c r="E1381" s="2" t="str">
        <x:v>Prior report</x:v>
      </x:c>
      <x:c r="F1381" s="7" t="n">
        <x:v>45583</x:v>
      </x:c>
      <x:c r="G1381" s="2" t="str">
        <x:v>Broad market</x:v>
      </x:c>
      <x:c r="H1381" s="8" t="n">
        <x:f>'Model fits'!AA909</x:f>
        <x:v>-0.3738130957659963</x:v>
      </x:c>
      <x:c r="I1381" s="8" t="n">
        <x:f>0</x:f>
        <x:v>0</x:v>
      </x:c>
      <x:c r="J1381" s="8" t="n">
        <x:v>0</x:v>
      </x:c>
      <x:c r="K1381" s="8" t="n">
        <x:f>H1381-I1381*J1381</x:f>
        <x:v>-0.3738130957659963</x:v>
      </x:c>
      <x:c r="L1381" s="8" t="n">
        <x:f>'PG facts'!E112</x:f>
        <x:v>2</x:v>
      </x:c>
      <x:c r="M1381" s="8" t="n">
        <x:f>K1381-L1381</x:f>
        <x:v>-2.373813095765996</x:v>
      </x:c>
      <x:c r="N1381" s="8" t="n">
        <x:f>M1381^2</x:f>
        <x:v>5.634988613630143</x:v>
      </x:c>
      <x:c r="O1381" s="8" t="n">
        <x:f>ABS(M1381)</x:f>
        <x:v>2.373813095765996</x:v>
      </x:c>
      <x:c r="P1381" s="7" t="n">
        <x:v>45679</x:v>
      </x:c>
    </x:row>
    <x:row r="1382" ht="26" customHeight="1">
      <x:c r="A1382" s="2"/>
      <x:c r="B1382" s="2" t="n">
        <x:v>1377</x:v>
      </x:c>
      <x:c r="C1382" s="2" t="str">
        <x:v>Grooming / organic_volume_growth</x:v>
      </x:c>
      <x:c r="D1382" s="7" t="n">
        <x:v>45657</x:v>
      </x:c>
      <x:c r="E1382" s="2" t="str">
        <x:v>Prior report</x:v>
      </x:c>
      <x:c r="F1382" s="7" t="n">
        <x:v>45583</x:v>
      </x:c>
      <x:c r="G1382" s="2" t="str">
        <x:v>Broad rolling 8</x:v>
      </x:c>
      <x:c r="H1382" s="8" t="n">
        <x:f>'Model fits'!AA910</x:f>
        <x:v>1.8791920113316936</x:v>
      </x:c>
      <x:c r="I1382" s="8" t="n">
        <x:f>0</x:f>
        <x:v>0</x:v>
      </x:c>
      <x:c r="J1382" s="8" t="n">
        <x:v>0</x:v>
      </x:c>
      <x:c r="K1382" s="8" t="n">
        <x:f>H1382-I1382*J1382</x:f>
        <x:v>1.8791920113316936</x:v>
      </x:c>
      <x:c r="L1382" s="8" t="n">
        <x:f>'PG facts'!E112</x:f>
        <x:v>2</x:v>
      </x:c>
      <x:c r="M1382" s="8" t="n">
        <x:f>K1382-L1382</x:f>
        <x:v>-0.12080798866830644</x:v>
      </x:c>
      <x:c r="N1382" s="8" t="n">
        <x:f>M1382^2</x:f>
        <x:v>0.014594570126081658</x:v>
      </x:c>
      <x:c r="O1382" s="8" t="n">
        <x:f>ABS(M1382)</x:f>
        <x:v>0.12080798866830644</x:v>
      </x:c>
      <x:c r="P1382" s="7" t="n">
        <x:v>45679</x:v>
      </x:c>
    </x:row>
    <x:row r="1383" ht="26" customHeight="1">
      <x:c r="A1383" s="2"/>
      <x:c r="B1383" s="2" t="n">
        <x:v>1378</x:v>
      </x:c>
      <x:c r="C1383" s="2" t="str">
        <x:v>Grooming / organic_volume_growth</x:v>
      </x:c>
      <x:c r="D1383" s="7" t="n">
        <x:v>45657</x:v>
      </x:c>
      <x:c r="E1383" s="2" t="str">
        <x:v>Prior report</x:v>
      </x:c>
      <x:c r="F1383" s="7" t="n">
        <x:v>45583</x:v>
      </x:c>
      <x:c r="G1383" s="2" t="str">
        <x:v>Own history</x:v>
      </x:c>
      <x:c r="H1383" s="8" t="n">
        <x:f>'Model fits'!AA911</x:f>
        <x:v>1.235947258848022</x:v>
      </x:c>
      <x:c r="I1383" s="8" t="n">
        <x:f>0</x:f>
        <x:v>0</x:v>
      </x:c>
      <x:c r="J1383" s="8" t="n">
        <x:v>0</x:v>
      </x:c>
      <x:c r="K1383" s="8" t="n">
        <x:f>H1383-I1383*J1383</x:f>
        <x:v>1.235947258848022</x:v>
      </x:c>
      <x:c r="L1383" s="8" t="n">
        <x:f>'PG facts'!E112</x:f>
        <x:v>2</x:v>
      </x:c>
      <x:c r="M1383" s="8" t="n">
        <x:f>K1383-L1383</x:f>
        <x:v>-0.764052741151978</x:v>
      </x:c>
      <x:c r="N1383" s="8" t="n">
        <x:f>M1383^2</x:f>
        <x:v>0.5837765912618514</x:v>
      </x:c>
      <x:c r="O1383" s="8" t="n">
        <x:f>ABS(M1383)</x:f>
        <x:v>0.764052741151978</x:v>
      </x:c>
      <x:c r="P1383" s="7" t="n">
        <x:v>45679</x:v>
      </x:c>
    </x:row>
    <x:row r="1384" ht="26" customHeight="1">
      <x:c r="A1384" s="2"/>
      <x:c r="B1384" s="2" t="n">
        <x:v>1379</x:v>
      </x:c>
      <x:c r="C1384" s="2" t="str">
        <x:v>Grooming / organic_volume_growth</x:v>
      </x:c>
      <x:c r="D1384" s="7" t="n">
        <x:v>45657</x:v>
      </x:c>
      <x:c r="E1384" s="2" t="str">
        <x:v>Pre-earnings</x:v>
      </x:c>
      <x:c r="F1384" s="7" t="n">
        <x:v>45678</x:v>
      </x:c>
      <x:c r="G1384" s="2" t="str">
        <x:v>Last actual</x:v>
      </x:c>
      <x:c r="H1384" s="8" t="n">
        <x:f>AVERAGE('PG facts'!E105)</x:f>
        <x:v>5</x:v>
      </x:c>
      <x:c r="I1384" s="8" t="n">
        <x:f>0</x:f>
        <x:v>0</x:v>
      </x:c>
      <x:c r="J1384" s="8" t="n">
        <x:v>0</x:v>
      </x:c>
      <x:c r="K1384" s="8" t="n">
        <x:f>H1384-I1384*J1384</x:f>
        <x:v>5</x:v>
      </x:c>
      <x:c r="L1384" s="8" t="n">
        <x:f>'PG facts'!E112</x:f>
        <x:v>2</x:v>
      </x:c>
      <x:c r="M1384" s="8" t="n">
        <x:f>K1384-L1384</x:f>
        <x:v>3</x:v>
      </x:c>
      <x:c r="N1384" s="8" t="n">
        <x:f>M1384^2</x:f>
        <x:v>9</x:v>
      </x:c>
      <x:c r="O1384" s="8" t="n">
        <x:f>ABS(M1384)</x:f>
        <x:v>3</x:v>
      </x:c>
      <x:c r="P1384" s="7" t="n">
        <x:v>45679</x:v>
      </x:c>
    </x:row>
    <x:row r="1385" ht="26" customHeight="1">
      <x:c r="A1385" s="2"/>
      <x:c r="B1385" s="2" t="n">
        <x:v>1380</x:v>
      </x:c>
      <x:c r="C1385" s="2" t="str">
        <x:v>Grooming / organic_volume_growth</x:v>
      </x:c>
      <x:c r="D1385" s="7" t="n">
        <x:v>45657</x:v>
      </x:c>
      <x:c r="E1385" s="2" t="str">
        <x:v>Pre-earnings</x:v>
      </x:c>
      <x:c r="F1385" s="7" t="n">
        <x:v>45678</x:v>
      </x:c>
      <x:c r="G1385" s="2" t="str">
        <x:v>Four-quarter mean</x:v>
      </x:c>
      <x:c r="H1385" s="8" t="n">
        <x:f>AVERAGE('PG facts'!E84,'PG facts'!E91,'PG facts'!E98,'PG facts'!E105)</x:f>
        <x:v>2.5</x:v>
      </x:c>
      <x:c r="I1385" s="8" t="n">
        <x:f>0</x:f>
        <x:v>0</x:v>
      </x:c>
      <x:c r="J1385" s="8" t="n">
        <x:v>0</x:v>
      </x:c>
      <x:c r="K1385" s="8" t="n">
        <x:f>H1385-I1385*J1385</x:f>
        <x:v>2.5</x:v>
      </x:c>
      <x:c r="L1385" s="8" t="n">
        <x:f>'PG facts'!E112</x:f>
        <x:v>2</x:v>
      </x:c>
      <x:c r="M1385" s="8" t="n">
        <x:f>K1385-L1385</x:f>
        <x:v>0.5</x:v>
      </x:c>
      <x:c r="N1385" s="8" t="n">
        <x:f>M1385^2</x:f>
        <x:v>0.25</x:v>
      </x:c>
      <x:c r="O1385" s="8" t="n">
        <x:f>ABS(M1385)</x:f>
        <x:v>0.5</x:v>
      </x:c>
      <x:c r="P1385" s="7" t="n">
        <x:v>45679</x:v>
      </x:c>
    </x:row>
    <x:row r="1386" ht="26" customHeight="1">
      <x:c r="A1386" s="2"/>
      <x:c r="B1386" s="2" t="n">
        <x:v>1381</x:v>
      </x:c>
      <x:c r="C1386" s="2" t="str">
        <x:v>Grooming / organic_volume_growth</x:v>
      </x:c>
      <x:c r="D1386" s="7" t="n">
        <x:v>45657</x:v>
      </x:c>
      <x:c r="E1386" s="2" t="str">
        <x:v>Pre-earnings</x:v>
      </x:c>
      <x:c r="F1386" s="7" t="n">
        <x:v>45678</x:v>
      </x:c>
      <x:c r="G1386" s="2" t="str">
        <x:v>Broad market</x:v>
      </x:c>
      <x:c r="H1386" s="8" t="n">
        <x:f>'Model fits'!AA912</x:f>
        <x:v>-0.0010887994774640974</x:v>
      </x:c>
      <x:c r="I1386" s="8" t="n">
        <x:f>0</x:f>
        <x:v>0</x:v>
      </x:c>
      <x:c r="J1386" s="8" t="n">
        <x:v>0</x:v>
      </x:c>
      <x:c r="K1386" s="8" t="n">
        <x:f>H1386-I1386*J1386</x:f>
        <x:v>-0.0010887994774640974</x:v>
      </x:c>
      <x:c r="L1386" s="8" t="n">
        <x:f>'PG facts'!E112</x:f>
        <x:v>2</x:v>
      </x:c>
      <x:c r="M1386" s="8" t="n">
        <x:f>K1386-L1386</x:f>
        <x:v>-2.001088799477464</x:v>
      </x:c>
      <x:c r="N1386" s="8" t="n">
        <x:f>M1386^2</x:f>
        <x:v>4.004356383394158</x:v>
      </x:c>
      <x:c r="O1386" s="8" t="n">
        <x:f>ABS(M1386)</x:f>
        <x:v>2.001088799477464</x:v>
      </x:c>
      <x:c r="P1386" s="7" t="n">
        <x:v>45679</x:v>
      </x:c>
    </x:row>
    <x:row r="1387" ht="26" customHeight="1">
      <x:c r="A1387" s="2"/>
      <x:c r="B1387" s="2" t="n">
        <x:v>1382</x:v>
      </x:c>
      <x:c r="C1387" s="2" t="str">
        <x:v>Grooming / organic_volume_growth</x:v>
      </x:c>
      <x:c r="D1387" s="7" t="n">
        <x:v>45657</x:v>
      </x:c>
      <x:c r="E1387" s="2" t="str">
        <x:v>Pre-earnings</x:v>
      </x:c>
      <x:c r="F1387" s="7" t="n">
        <x:v>45678</x:v>
      </x:c>
      <x:c r="G1387" s="2" t="str">
        <x:v>Broad lag 1</x:v>
      </x:c>
      <x:c r="H1387" s="8" t="n">
        <x:f>'Model fits'!AA913</x:f>
        <x:v>0.09636490054164926</x:v>
      </x:c>
      <x:c r="I1387" s="8" t="n">
        <x:f>0</x:f>
        <x:v>0</x:v>
      </x:c>
      <x:c r="J1387" s="8" t="n">
        <x:v>0</x:v>
      </x:c>
      <x:c r="K1387" s="8" t="n">
        <x:f>H1387-I1387*J1387</x:f>
        <x:v>0.09636490054164926</x:v>
      </x:c>
      <x:c r="L1387" s="8" t="n">
        <x:f>'PG facts'!E112</x:f>
        <x:v>2</x:v>
      </x:c>
      <x:c r="M1387" s="8" t="n">
        <x:f>K1387-L1387</x:f>
        <x:v>-1.9036350994583509</x:v>
      </x:c>
      <x:c r="N1387" s="8" t="n">
        <x:f>M1387^2</x:f>
        <x:v>3.6238265918898054</x:v>
      </x:c>
      <x:c r="O1387" s="8" t="n">
        <x:f>ABS(M1387)</x:f>
        <x:v>1.9036350994583509</x:v>
      </x:c>
      <x:c r="P1387" s="7" t="n">
        <x:v>45679</x:v>
      </x:c>
    </x:row>
    <x:row r="1388" ht="26" customHeight="1">
      <x:c r="A1388" s="2"/>
      <x:c r="B1388" s="2" t="n">
        <x:v>1383</x:v>
      </x:c>
      <x:c r="C1388" s="2" t="str">
        <x:v>Grooming / organic_volume_growth</x:v>
      </x:c>
      <x:c r="D1388" s="7" t="n">
        <x:v>45657</x:v>
      </x:c>
      <x:c r="E1388" s="2" t="str">
        <x:v>Pre-earnings</x:v>
      </x:c>
      <x:c r="F1388" s="7" t="n">
        <x:v>45678</x:v>
      </x:c>
      <x:c r="G1388" s="2" t="str">
        <x:v>Broad rolling 8</x:v>
      </x:c>
      <x:c r="H1388" s="8" t="n">
        <x:f>'Model fits'!AA914</x:f>
        <x:v>2.939438024774375</x:v>
      </x:c>
      <x:c r="I1388" s="8" t="n">
        <x:f>0</x:f>
        <x:v>0</x:v>
      </x:c>
      <x:c r="J1388" s="8" t="n">
        <x:v>0</x:v>
      </x:c>
      <x:c r="K1388" s="8" t="n">
        <x:f>H1388-I1388*J1388</x:f>
        <x:v>2.939438024774375</x:v>
      </x:c>
      <x:c r="L1388" s="8" t="n">
        <x:f>'PG facts'!E112</x:f>
        <x:v>2</x:v>
      </x:c>
      <x:c r="M1388" s="8" t="n">
        <x:f>K1388-L1388</x:f>
        <x:v>0.939438024774375</x:v>
      </x:c>
      <x:c r="N1388" s="8" t="n">
        <x:f>M1388^2</x:f>
        <x:v>0.8825438023919792</x:v>
      </x:c>
      <x:c r="O1388" s="8" t="n">
        <x:f>ABS(M1388)</x:f>
        <x:v>0.939438024774375</x:v>
      </x:c>
      <x:c r="P1388" s="7" t="n">
        <x:v>45679</x:v>
      </x:c>
    </x:row>
    <x:row r="1389" ht="26" customHeight="1">
      <x:c r="A1389" s="2"/>
      <x:c r="B1389" s="2" t="n">
        <x:v>1384</x:v>
      </x:c>
      <x:c r="C1389" s="2" t="str">
        <x:v>Grooming / organic_volume_growth</x:v>
      </x:c>
      <x:c r="D1389" s="7" t="n">
        <x:v>45657</x:v>
      </x:c>
      <x:c r="E1389" s="2" t="str">
        <x:v>Pre-earnings</x:v>
      </x:c>
      <x:c r="F1389" s="7" t="n">
        <x:v>45678</x:v>
      </x:c>
      <x:c r="G1389" s="2" t="str">
        <x:v>Own history</x:v>
      </x:c>
      <x:c r="H1389" s="8" t="n">
        <x:f>'Model fits'!AA915</x:f>
        <x:v>1.235947258848022</x:v>
      </x:c>
      <x:c r="I1389" s="8" t="n">
        <x:f>0</x:f>
        <x:v>0</x:v>
      </x:c>
      <x:c r="J1389" s="8" t="n">
        <x:v>0</x:v>
      </x:c>
      <x:c r="K1389" s="8" t="n">
        <x:f>H1389-I1389*J1389</x:f>
        <x:v>1.235947258848022</x:v>
      </x:c>
      <x:c r="L1389" s="8" t="n">
        <x:f>'PG facts'!E112</x:f>
        <x:v>2</x:v>
      </x:c>
      <x:c r="M1389" s="8" t="n">
        <x:f>K1389-L1389</x:f>
        <x:v>-0.764052741151978</x:v>
      </x:c>
      <x:c r="N1389" s="8" t="n">
        <x:f>M1389^2</x:f>
        <x:v>0.5837765912618514</x:v>
      </x:c>
      <x:c r="O1389" s="8" t="n">
        <x:f>ABS(M1389)</x:f>
        <x:v>0.764052741151978</x:v>
      </x:c>
      <x:c r="P1389" s="7" t="n">
        <x:v>45679</x:v>
      </x:c>
    </x:row>
    <x:row r="1390" ht="26" customHeight="1">
      <x:c r="A1390" s="2"/>
      <x:c r="B1390" s="2" t="n">
        <x:v>1385</x:v>
      </x:c>
      <x:c r="C1390" s="2" t="str">
        <x:v>Grooming / organic_volume_growth</x:v>
      </x:c>
      <x:c r="D1390" s="7" t="n">
        <x:v>45747</x:v>
      </x:c>
      <x:c r="E1390" s="2" t="str">
        <x:v>Origin</x:v>
      </x:c>
      <x:c r="F1390" s="7" t="n">
        <x:v>45658</x:v>
      </x:c>
      <x:c r="G1390" s="2" t="str">
        <x:v>Last actual</x:v>
      </x:c>
      <x:c r="H1390" s="8" t="n">
        <x:f>AVERAGE('PG facts'!E105)</x:f>
        <x:v>5</x:v>
      </x:c>
      <x:c r="I1390" s="8" t="n">
        <x:f>0</x:f>
        <x:v>0</x:v>
      </x:c>
      <x:c r="J1390" s="8" t="n">
        <x:v>0</x:v>
      </x:c>
      <x:c r="K1390" s="8" t="n">
        <x:f>H1390-I1390*J1390</x:f>
        <x:v>5</x:v>
      </x:c>
      <x:c r="L1390" s="8" t="n">
        <x:f>'PG facts'!E119</x:f>
        <x:v>1</x:v>
      </x:c>
      <x:c r="M1390" s="8" t="n">
        <x:f>K1390-L1390</x:f>
        <x:v>4</x:v>
      </x:c>
      <x:c r="N1390" s="8" t="n">
        <x:f>M1390^2</x:f>
        <x:v>16</x:v>
      </x:c>
      <x:c r="O1390" s="8" t="n">
        <x:f>ABS(M1390)</x:f>
        <x:v>4</x:v>
      </x:c>
      <x:c r="P1390" s="7" t="n">
        <x:v>45771</x:v>
      </x:c>
    </x:row>
    <x:row r="1391" ht="26" customHeight="1">
      <x:c r="A1391" s="2"/>
      <x:c r="B1391" s="2" t="n">
        <x:v>1386</x:v>
      </x:c>
      <x:c r="C1391" s="2" t="str">
        <x:v>Grooming / organic_volume_growth</x:v>
      </x:c>
      <x:c r="D1391" s="7" t="n">
        <x:v>45747</x:v>
      </x:c>
      <x:c r="E1391" s="2" t="str">
        <x:v>Origin</x:v>
      </x:c>
      <x:c r="F1391" s="7" t="n">
        <x:v>45658</x:v>
      </x:c>
      <x:c r="G1391" s="2" t="str">
        <x:v>Four-quarter mean</x:v>
      </x:c>
      <x:c r="H1391" s="8" t="n">
        <x:f>AVERAGE('PG facts'!E84,'PG facts'!E91,'PG facts'!E98,'PG facts'!E105)</x:f>
        <x:v>2.5</x:v>
      </x:c>
      <x:c r="I1391" s="8" t="n">
        <x:f>0</x:f>
        <x:v>0</x:v>
      </x:c>
      <x:c r="J1391" s="8" t="n">
        <x:v>0</x:v>
      </x:c>
      <x:c r="K1391" s="8" t="n">
        <x:f>H1391-I1391*J1391</x:f>
        <x:v>2.5</x:v>
      </x:c>
      <x:c r="L1391" s="8" t="n">
        <x:f>'PG facts'!E119</x:f>
        <x:v>1</x:v>
      </x:c>
      <x:c r="M1391" s="8" t="n">
        <x:f>K1391-L1391</x:f>
        <x:v>1.5</x:v>
      </x:c>
      <x:c r="N1391" s="8" t="n">
        <x:f>M1391^2</x:f>
        <x:v>2.25</x:v>
      </x:c>
      <x:c r="O1391" s="8" t="n">
        <x:f>ABS(M1391)</x:f>
        <x:v>1.5</x:v>
      </x:c>
      <x:c r="P1391" s="7" t="n">
        <x:v>45771</x:v>
      </x:c>
    </x:row>
    <x:row r="1392" ht="26" customHeight="1">
      <x:c r="A1392" s="2"/>
      <x:c r="B1392" s="2" t="n">
        <x:v>1387</x:v>
      </x:c>
      <x:c r="C1392" s="2" t="str">
        <x:v>Grooming / organic_volume_growth</x:v>
      </x:c>
      <x:c r="D1392" s="7" t="n">
        <x:v>45747</x:v>
      </x:c>
      <x:c r="E1392" s="2" t="str">
        <x:v>Origin</x:v>
      </x:c>
      <x:c r="F1392" s="7" t="n">
        <x:v>45658</x:v>
      </x:c>
      <x:c r="G1392" s="2" t="str">
        <x:v>Broad market</x:v>
      </x:c>
      <x:c r="H1392" s="8" t="n">
        <x:f>'Model fits'!AA916</x:f>
        <x:v>0.037655963445278884</x:v>
      </x:c>
      <x:c r="I1392" s="8" t="n">
        <x:f>0</x:f>
        <x:v>0</x:v>
      </x:c>
      <x:c r="J1392" s="8" t="n">
        <x:v>0</x:v>
      </x:c>
      <x:c r="K1392" s="8" t="n">
        <x:f>H1392-I1392*J1392</x:f>
        <x:v>0.037655963445278884</x:v>
      </x:c>
      <x:c r="L1392" s="8" t="n">
        <x:f>'PG facts'!E119</x:f>
        <x:v>1</x:v>
      </x:c>
      <x:c r="M1392" s="8" t="n">
        <x:f>K1392-L1392</x:f>
        <x:v>-0.9623440365547211</x:v>
      </x:c>
      <x:c r="N1392" s="8" t="n">
        <x:f>M1392^2</x:f>
        <x:v>0.9261060446924344</x:v>
      </x:c>
      <x:c r="O1392" s="8" t="n">
        <x:f>ABS(M1392)</x:f>
        <x:v>0.9623440365547211</x:v>
      </x:c>
      <x:c r="P1392" s="7" t="n">
        <x:v>45771</x:v>
      </x:c>
    </x:row>
    <x:row r="1393" ht="26" customHeight="1">
      <x:c r="A1393" s="2"/>
      <x:c r="B1393" s="2" t="n">
        <x:v>1388</x:v>
      </x:c>
      <x:c r="C1393" s="2" t="str">
        <x:v>Grooming / organic_volume_growth</x:v>
      </x:c>
      <x:c r="D1393" s="7" t="n">
        <x:v>45747</x:v>
      </x:c>
      <x:c r="E1393" s="2" t="str">
        <x:v>Origin</x:v>
      </x:c>
      <x:c r="F1393" s="7" t="n">
        <x:v>45658</x:v>
      </x:c>
      <x:c r="G1393" s="2" t="str">
        <x:v>Broad rolling 8</x:v>
      </x:c>
      <x:c r="H1393" s="8" t="n">
        <x:f>'Model fits'!AA917</x:f>
        <x:v>3.1873323934312503</x:v>
      </x:c>
      <x:c r="I1393" s="8" t="n">
        <x:f>0</x:f>
        <x:v>0</x:v>
      </x:c>
      <x:c r="J1393" s="8" t="n">
        <x:v>0</x:v>
      </x:c>
      <x:c r="K1393" s="8" t="n">
        <x:f>H1393-I1393*J1393</x:f>
        <x:v>3.1873323934312503</x:v>
      </x:c>
      <x:c r="L1393" s="8" t="n">
        <x:f>'PG facts'!E119</x:f>
        <x:v>1</x:v>
      </x:c>
      <x:c r="M1393" s="8" t="n">
        <x:f>K1393-L1393</x:f>
        <x:v>2.1873323934312503</x:v>
      </x:c>
      <x:c r="N1393" s="8" t="n">
        <x:f>M1393^2</x:f>
        <x:v>4.784422999353682</x:v>
      </x:c>
      <x:c r="O1393" s="8" t="n">
        <x:f>ABS(M1393)</x:f>
        <x:v>2.1873323934312503</x:v>
      </x:c>
      <x:c r="P1393" s="7" t="n">
        <x:v>45771</x:v>
      </x:c>
    </x:row>
    <x:row r="1394" ht="26" customHeight="1">
      <x:c r="A1394" s="2"/>
      <x:c r="B1394" s="2" t="n">
        <x:v>1389</x:v>
      </x:c>
      <x:c r="C1394" s="2" t="str">
        <x:v>Grooming / organic_volume_growth</x:v>
      </x:c>
      <x:c r="D1394" s="7" t="n">
        <x:v>45747</x:v>
      </x:c>
      <x:c r="E1394" s="2" t="str">
        <x:v>Origin</x:v>
      </x:c>
      <x:c r="F1394" s="7" t="n">
        <x:v>45658</x:v>
      </x:c>
      <x:c r="G1394" s="2" t="str">
        <x:v>Own history</x:v>
      </x:c>
      <x:c r="H1394" s="8" t="n">
        <x:f>'Model fits'!AA918</x:f>
        <x:v>1.915492957746479</x:v>
      </x:c>
      <x:c r="I1394" s="8" t="n">
        <x:f>0</x:f>
        <x:v>0</x:v>
      </x:c>
      <x:c r="J1394" s="8" t="n">
        <x:v>0</x:v>
      </x:c>
      <x:c r="K1394" s="8" t="n">
        <x:f>H1394-I1394*J1394</x:f>
        <x:v>1.915492957746479</x:v>
      </x:c>
      <x:c r="L1394" s="8" t="n">
        <x:f>'PG facts'!E119</x:f>
        <x:v>1</x:v>
      </x:c>
      <x:c r="M1394" s="8" t="n">
        <x:f>K1394-L1394</x:f>
        <x:v>0.915492957746479</x:v>
      </x:c>
      <x:c r="N1394" s="8" t="n">
        <x:f>M1394^2</x:f>
        <x:v>0.8381273556833964</x:v>
      </x:c>
      <x:c r="O1394" s="8" t="n">
        <x:f>ABS(M1394)</x:f>
        <x:v>0.915492957746479</x:v>
      </x:c>
      <x:c r="P1394" s="7" t="n">
        <x:v>45771</x:v>
      </x:c>
    </x:row>
    <x:row r="1395" ht="26" customHeight="1">
      <x:c r="A1395" s="2"/>
      <x:c r="B1395" s="2" t="n">
        <x:v>1390</x:v>
      </x:c>
      <x:c r="C1395" s="2" t="str">
        <x:v>Grooming / organic_volume_growth</x:v>
      </x:c>
      <x:c r="D1395" s="7" t="n">
        <x:v>45747</x:v>
      </x:c>
      <x:c r="E1395" s="2" t="str">
        <x:v>Prior report</x:v>
      </x:c>
      <x:c r="F1395" s="7" t="n">
        <x:v>45679</x:v>
      </x:c>
      <x:c r="G1395" s="2" t="str">
        <x:v>Last actual</x:v>
      </x:c>
      <x:c r="H1395" s="8" t="n">
        <x:f>AVERAGE('PG facts'!E112)</x:f>
        <x:v>2</x:v>
      </x:c>
      <x:c r="I1395" s="8" t="n">
        <x:f>0</x:f>
        <x:v>0</x:v>
      </x:c>
      <x:c r="J1395" s="8" t="n">
        <x:v>0</x:v>
      </x:c>
      <x:c r="K1395" s="8" t="n">
        <x:f>H1395-I1395*J1395</x:f>
        <x:v>2</x:v>
      </x:c>
      <x:c r="L1395" s="8" t="n">
        <x:f>'PG facts'!E119</x:f>
        <x:v>1</x:v>
      </x:c>
      <x:c r="M1395" s="8" t="n">
        <x:f>K1395-L1395</x:f>
        <x:v>1</x:v>
      </x:c>
      <x:c r="N1395" s="8" t="n">
        <x:f>M1395^2</x:f>
        <x:v>1</x:v>
      </x:c>
      <x:c r="O1395" s="8" t="n">
        <x:f>ABS(M1395)</x:f>
        <x:v>1</x:v>
      </x:c>
      <x:c r="P1395" s="7" t="n">
        <x:v>45771</x:v>
      </x:c>
    </x:row>
    <x:row r="1396" ht="26" customHeight="1">
      <x:c r="A1396" s="2"/>
      <x:c r="B1396" s="2" t="n">
        <x:v>1391</x:v>
      </x:c>
      <x:c r="C1396" s="2" t="str">
        <x:v>Grooming / organic_volume_growth</x:v>
      </x:c>
      <x:c r="D1396" s="7" t="n">
        <x:v>45747</x:v>
      </x:c>
      <x:c r="E1396" s="2" t="str">
        <x:v>Prior report</x:v>
      </x:c>
      <x:c r="F1396" s="7" t="n">
        <x:v>45679</x:v>
      </x:c>
      <x:c r="G1396" s="2" t="str">
        <x:v>Four-quarter mean</x:v>
      </x:c>
      <x:c r="H1396" s="8" t="n">
        <x:f>AVERAGE('PG facts'!E91,'PG facts'!E98,'PG facts'!E105,'PG facts'!E112)</x:f>
        <x:v>2.75</x:v>
      </x:c>
      <x:c r="I1396" s="8" t="n">
        <x:f>0</x:f>
        <x:v>0</x:v>
      </x:c>
      <x:c r="J1396" s="8" t="n">
        <x:v>0</x:v>
      </x:c>
      <x:c r="K1396" s="8" t="n">
        <x:f>H1396-I1396*J1396</x:f>
        <x:v>2.75</x:v>
      </x:c>
      <x:c r="L1396" s="8" t="n">
        <x:f>'PG facts'!E119</x:f>
        <x:v>1</x:v>
      </x:c>
      <x:c r="M1396" s="8" t="n">
        <x:f>K1396-L1396</x:f>
        <x:v>1.75</x:v>
      </x:c>
      <x:c r="N1396" s="8" t="n">
        <x:f>M1396^2</x:f>
        <x:v>3.0625</x:v>
      </x:c>
      <x:c r="O1396" s="8" t="n">
        <x:f>ABS(M1396)</x:f>
        <x:v>1.75</x:v>
      </x:c>
      <x:c r="P1396" s="7" t="n">
        <x:v>45771</x:v>
      </x:c>
    </x:row>
    <x:row r="1397" ht="26" customHeight="1">
      <x:c r="A1397" s="2"/>
      <x:c r="B1397" s="2" t="n">
        <x:v>1392</x:v>
      </x:c>
      <x:c r="C1397" s="2" t="str">
        <x:v>Grooming / organic_volume_growth</x:v>
      </x:c>
      <x:c r="D1397" s="7" t="n">
        <x:v>45747</x:v>
      </x:c>
      <x:c r="E1397" s="2" t="str">
        <x:v>Prior report</x:v>
      </x:c>
      <x:c r="F1397" s="7" t="n">
        <x:v>45679</x:v>
      </x:c>
      <x:c r="G1397" s="2" t="str">
        <x:v>Broad market</x:v>
      </x:c>
      <x:c r="H1397" s="8" t="n">
        <x:f>'Model fits'!AA919</x:f>
        <x:v>0.037655963445278884</x:v>
      </x:c>
      <x:c r="I1397" s="8" t="n">
        <x:f>0</x:f>
        <x:v>0</x:v>
      </x:c>
      <x:c r="J1397" s="8" t="n">
        <x:v>0</x:v>
      </x:c>
      <x:c r="K1397" s="8" t="n">
        <x:f>H1397-I1397*J1397</x:f>
        <x:v>0.037655963445278884</x:v>
      </x:c>
      <x:c r="L1397" s="8" t="n">
        <x:f>'PG facts'!E119</x:f>
        <x:v>1</x:v>
      </x:c>
      <x:c r="M1397" s="8" t="n">
        <x:f>K1397-L1397</x:f>
        <x:v>-0.9623440365547211</x:v>
      </x:c>
      <x:c r="N1397" s="8" t="n">
        <x:f>M1397^2</x:f>
        <x:v>0.9261060446924344</x:v>
      </x:c>
      <x:c r="O1397" s="8" t="n">
        <x:f>ABS(M1397)</x:f>
        <x:v>0.9623440365547211</x:v>
      </x:c>
      <x:c r="P1397" s="7" t="n">
        <x:v>45771</x:v>
      </x:c>
    </x:row>
    <x:row r="1398" ht="26" customHeight="1">
      <x:c r="A1398" s="2"/>
      <x:c r="B1398" s="2" t="n">
        <x:v>1393</x:v>
      </x:c>
      <x:c r="C1398" s="2" t="str">
        <x:v>Grooming / organic_volume_growth</x:v>
      </x:c>
      <x:c r="D1398" s="7" t="n">
        <x:v>45747</x:v>
      </x:c>
      <x:c r="E1398" s="2" t="str">
        <x:v>Prior report</x:v>
      </x:c>
      <x:c r="F1398" s="7" t="n">
        <x:v>45679</x:v>
      </x:c>
      <x:c r="G1398" s="2" t="str">
        <x:v>Broad rolling 8</x:v>
      </x:c>
      <x:c r="H1398" s="8" t="n">
        <x:f>'Model fits'!AA920</x:f>
        <x:v>3.1873323934312503</x:v>
      </x:c>
      <x:c r="I1398" s="8" t="n">
        <x:f>0</x:f>
        <x:v>0</x:v>
      </x:c>
      <x:c r="J1398" s="8" t="n">
        <x:v>0</x:v>
      </x:c>
      <x:c r="K1398" s="8" t="n">
        <x:f>H1398-I1398*J1398</x:f>
        <x:v>3.1873323934312503</x:v>
      </x:c>
      <x:c r="L1398" s="8" t="n">
        <x:f>'PG facts'!E119</x:f>
        <x:v>1</x:v>
      </x:c>
      <x:c r="M1398" s="8" t="n">
        <x:f>K1398-L1398</x:f>
        <x:v>2.1873323934312503</x:v>
      </x:c>
      <x:c r="N1398" s="8" t="n">
        <x:f>M1398^2</x:f>
        <x:v>4.784422999353682</x:v>
      </x:c>
      <x:c r="O1398" s="8" t="n">
        <x:f>ABS(M1398)</x:f>
        <x:v>2.1873323934312503</x:v>
      </x:c>
      <x:c r="P1398" s="7" t="n">
        <x:v>45771</x:v>
      </x:c>
    </x:row>
    <x:row r="1399" ht="26" customHeight="1">
      <x:c r="A1399" s="2"/>
      <x:c r="B1399" s="2" t="n">
        <x:v>1394</x:v>
      </x:c>
      <x:c r="C1399" s="2" t="str">
        <x:v>Grooming / organic_volume_growth</x:v>
      </x:c>
      <x:c r="D1399" s="7" t="n">
        <x:v>45747</x:v>
      </x:c>
      <x:c r="E1399" s="2" t="str">
        <x:v>Prior report</x:v>
      </x:c>
      <x:c r="F1399" s="7" t="n">
        <x:v>45679</x:v>
      </x:c>
      <x:c r="G1399" s="2" t="str">
        <x:v>Own history</x:v>
      </x:c>
      <x:c r="H1399" s="8" t="n">
        <x:f>'Model fits'!AA921</x:f>
        <x:v>0.7741596638655461</x:v>
      </x:c>
      <x:c r="I1399" s="8" t="n">
        <x:f>0</x:f>
        <x:v>0</x:v>
      </x:c>
      <x:c r="J1399" s="8" t="n">
        <x:v>0</x:v>
      </x:c>
      <x:c r="K1399" s="8" t="n">
        <x:f>H1399-I1399*J1399</x:f>
        <x:v>0.7741596638655461</x:v>
      </x:c>
      <x:c r="L1399" s="8" t="n">
        <x:f>'PG facts'!E119</x:f>
        <x:v>1</x:v>
      </x:c>
      <x:c r="M1399" s="8" t="n">
        <x:f>K1399-L1399</x:f>
        <x:v>-0.22584033613445387</x:v>
      </x:c>
      <x:c r="N1399" s="8" t="n">
        <x:f>M1399^2</x:f>
        <x:v>0.05100385742532311</x:v>
      </x:c>
      <x:c r="O1399" s="8" t="n">
        <x:f>ABS(M1399)</x:f>
        <x:v>0.22584033613445387</x:v>
      </x:c>
      <x:c r="P1399" s="7" t="n">
        <x:v>45771</x:v>
      </x:c>
    </x:row>
    <x:row r="1400" ht="26" customHeight="1">
      <x:c r="A1400" s="2"/>
      <x:c r="B1400" s="2" t="n">
        <x:v>1395</x:v>
      </x:c>
      <x:c r="C1400" s="2" t="str">
        <x:v>Grooming / organic_volume_growth</x:v>
      </x:c>
      <x:c r="D1400" s="7" t="n">
        <x:v>45747</x:v>
      </x:c>
      <x:c r="E1400" s="2" t="str">
        <x:v>Pre-earnings</x:v>
      </x:c>
      <x:c r="F1400" s="7" t="n">
        <x:v>45770</x:v>
      </x:c>
      <x:c r="G1400" s="2" t="str">
        <x:v>Last actual</x:v>
      </x:c>
      <x:c r="H1400" s="8" t="n">
        <x:f>AVERAGE('PG facts'!E112)</x:f>
        <x:v>2</x:v>
      </x:c>
      <x:c r="I1400" s="8" t="n">
        <x:f>0</x:f>
        <x:v>0</x:v>
      </x:c>
      <x:c r="J1400" s="8" t="n">
        <x:v>0</x:v>
      </x:c>
      <x:c r="K1400" s="8" t="n">
        <x:f>H1400-I1400*J1400</x:f>
        <x:v>2</x:v>
      </x:c>
      <x:c r="L1400" s="8" t="n">
        <x:f>'PG facts'!E119</x:f>
        <x:v>1</x:v>
      </x:c>
      <x:c r="M1400" s="8" t="n">
        <x:f>K1400-L1400</x:f>
        <x:v>1</x:v>
      </x:c>
      <x:c r="N1400" s="8" t="n">
        <x:f>M1400^2</x:f>
        <x:v>1</x:v>
      </x:c>
      <x:c r="O1400" s="8" t="n">
        <x:f>ABS(M1400)</x:f>
        <x:v>1</x:v>
      </x:c>
      <x:c r="P1400" s="7" t="n">
        <x:v>45771</x:v>
      </x:c>
    </x:row>
    <x:row r="1401" ht="26" customHeight="1">
      <x:c r="A1401" s="2"/>
      <x:c r="B1401" s="2" t="n">
        <x:v>1396</x:v>
      </x:c>
      <x:c r="C1401" s="2" t="str">
        <x:v>Grooming / organic_volume_growth</x:v>
      </x:c>
      <x:c r="D1401" s="7" t="n">
        <x:v>45747</x:v>
      </x:c>
      <x:c r="E1401" s="2" t="str">
        <x:v>Pre-earnings</x:v>
      </x:c>
      <x:c r="F1401" s="7" t="n">
        <x:v>45770</x:v>
      </x:c>
      <x:c r="G1401" s="2" t="str">
        <x:v>Four-quarter mean</x:v>
      </x:c>
      <x:c r="H1401" s="8" t="n">
        <x:f>AVERAGE('PG facts'!E91,'PG facts'!E98,'PG facts'!E105,'PG facts'!E112)</x:f>
        <x:v>2.75</x:v>
      </x:c>
      <x:c r="I1401" s="8" t="n">
        <x:f>0</x:f>
        <x:v>0</x:v>
      </x:c>
      <x:c r="J1401" s="8" t="n">
        <x:v>0</x:v>
      </x:c>
      <x:c r="K1401" s="8" t="n">
        <x:f>H1401-I1401*J1401</x:f>
        <x:v>2.75</x:v>
      </x:c>
      <x:c r="L1401" s="8" t="n">
        <x:f>'PG facts'!E119</x:f>
        <x:v>1</x:v>
      </x:c>
      <x:c r="M1401" s="8" t="n">
        <x:f>K1401-L1401</x:f>
        <x:v>1.75</x:v>
      </x:c>
      <x:c r="N1401" s="8" t="n">
        <x:f>M1401^2</x:f>
        <x:v>3.0625</x:v>
      </x:c>
      <x:c r="O1401" s="8" t="n">
        <x:f>ABS(M1401)</x:f>
        <x:v>1.75</x:v>
      </x:c>
      <x:c r="P1401" s="7" t="n">
        <x:v>45771</x:v>
      </x:c>
    </x:row>
    <x:row r="1402" ht="26" customHeight="1">
      <x:c r="A1402" s="2"/>
      <x:c r="B1402" s="2" t="n">
        <x:v>1397</x:v>
      </x:c>
      <x:c r="C1402" s="2" t="str">
        <x:v>Grooming / organic_volume_growth</x:v>
      </x:c>
      <x:c r="D1402" s="7" t="n">
        <x:v>45747</x:v>
      </x:c>
      <x:c r="E1402" s="2" t="str">
        <x:v>Pre-earnings</x:v>
      </x:c>
      <x:c r="F1402" s="7" t="n">
        <x:v>45770</x:v>
      </x:c>
      <x:c r="G1402" s="2" t="str">
        <x:v>Broad market</x:v>
      </x:c>
      <x:c r="H1402" s="8" t="n">
        <x:f>'Model fits'!AA922</x:f>
        <x:v>0.2475016210531541</x:v>
      </x:c>
      <x:c r="I1402" s="8" t="n">
        <x:f>0</x:f>
        <x:v>0</x:v>
      </x:c>
      <x:c r="J1402" s="8" t="n">
        <x:v>0</x:v>
      </x:c>
      <x:c r="K1402" s="8" t="n">
        <x:f>H1402-I1402*J1402</x:f>
        <x:v>0.2475016210531541</x:v>
      </x:c>
      <x:c r="L1402" s="8" t="n">
        <x:f>'PG facts'!E119</x:f>
        <x:v>1</x:v>
      </x:c>
      <x:c r="M1402" s="8" t="n">
        <x:f>K1402-L1402</x:f>
        <x:v>-0.7524983789468459</x:v>
      </x:c>
      <x:c r="N1402" s="8" t="n">
        <x:f>M1402^2</x:f>
        <x:v>0.5662538103176309</x:v>
      </x:c>
      <x:c r="O1402" s="8" t="n">
        <x:f>ABS(M1402)</x:f>
        <x:v>0.7524983789468459</x:v>
      </x:c>
      <x:c r="P1402" s="7" t="n">
        <x:v>45771</x:v>
      </x:c>
    </x:row>
    <x:row r="1403" ht="26" customHeight="1">
      <x:c r="A1403" s="2"/>
      <x:c r="B1403" s="2" t="n">
        <x:v>1398</x:v>
      </x:c>
      <x:c r="C1403" s="2" t="str">
        <x:v>Grooming / organic_volume_growth</x:v>
      </x:c>
      <x:c r="D1403" s="7" t="n">
        <x:v>45747</x:v>
      </x:c>
      <x:c r="E1403" s="2" t="str">
        <x:v>Pre-earnings</x:v>
      </x:c>
      <x:c r="F1403" s="7" t="n">
        <x:v>45770</x:v>
      </x:c>
      <x:c r="G1403" s="2" t="str">
        <x:v>Broad lag 1</x:v>
      </x:c>
      <x:c r="H1403" s="8" t="n">
        <x:f>'Model fits'!AA923</x:f>
        <x:v>0.1915916585690186</x:v>
      </x:c>
      <x:c r="I1403" s="8" t="n">
        <x:f>0</x:f>
        <x:v>0</x:v>
      </x:c>
      <x:c r="J1403" s="8" t="n">
        <x:v>0</x:v>
      </x:c>
      <x:c r="K1403" s="8" t="n">
        <x:f>H1403-I1403*J1403</x:f>
        <x:v>0.1915916585690186</x:v>
      </x:c>
      <x:c r="L1403" s="8" t="n">
        <x:f>'PG facts'!E119</x:f>
        <x:v>1</x:v>
      </x:c>
      <x:c r="M1403" s="8" t="n">
        <x:f>K1403-L1403</x:f>
        <x:v>-0.8084083414309814</x:v>
      </x:c>
      <x:c r="N1403" s="8" t="n">
        <x:f>M1403^2</x:f>
        <x:v>0.6535240464951901</x:v>
      </x:c>
      <x:c r="O1403" s="8" t="n">
        <x:f>ABS(M1403)</x:f>
        <x:v>0.8084083414309814</x:v>
      </x:c>
      <x:c r="P1403" s="7" t="n">
        <x:v>45771</x:v>
      </x:c>
    </x:row>
    <x:row r="1404" ht="26" customHeight="1">
      <x:c r="A1404" s="2"/>
      <x:c r="B1404" s="2" t="n">
        <x:v>1399</x:v>
      </x:c>
      <x:c r="C1404" s="2" t="str">
        <x:v>Grooming / organic_volume_growth</x:v>
      </x:c>
      <x:c r="D1404" s="7" t="n">
        <x:v>45747</x:v>
      </x:c>
      <x:c r="E1404" s="2" t="str">
        <x:v>Pre-earnings</x:v>
      </x:c>
      <x:c r="F1404" s="7" t="n">
        <x:v>45770</x:v>
      </x:c>
      <x:c r="G1404" s="2" t="str">
        <x:v>Broad rolling 8</x:v>
      </x:c>
      <x:c r="H1404" s="8" t="n">
        <x:f>'Model fits'!AA924</x:f>
        <x:v>2.8534832671085795</x:v>
      </x:c>
      <x:c r="I1404" s="8" t="n">
        <x:f>0</x:f>
        <x:v>0</x:v>
      </x:c>
      <x:c r="J1404" s="8" t="n">
        <x:v>0</x:v>
      </x:c>
      <x:c r="K1404" s="8" t="n">
        <x:f>H1404-I1404*J1404</x:f>
        <x:v>2.8534832671085795</x:v>
      </x:c>
      <x:c r="L1404" s="8" t="n">
        <x:f>'PG facts'!E119</x:f>
        <x:v>1</x:v>
      </x:c>
      <x:c r="M1404" s="8" t="n">
        <x:f>K1404-L1404</x:f>
        <x:v>1.8534832671085795</x:v>
      </x:c>
      <x:c r="N1404" s="8" t="n">
        <x:f>M1404^2</x:f>
        <x:v>3.4354002214514936</x:v>
      </x:c>
      <x:c r="O1404" s="8" t="n">
        <x:f>ABS(M1404)</x:f>
        <x:v>1.8534832671085795</x:v>
      </x:c>
      <x:c r="P1404" s="7" t="n">
        <x:v>45771</x:v>
      </x:c>
    </x:row>
    <x:row r="1405" ht="26" customHeight="1">
      <x:c r="A1405" s="2"/>
      <x:c r="B1405" s="2" t="n">
        <x:v>1400</x:v>
      </x:c>
      <x:c r="C1405" s="2" t="str">
        <x:v>Grooming / organic_volume_growth</x:v>
      </x:c>
      <x:c r="D1405" s="7" t="n">
        <x:v>45747</x:v>
      </x:c>
      <x:c r="E1405" s="2" t="str">
        <x:v>Pre-earnings</x:v>
      </x:c>
      <x:c r="F1405" s="7" t="n">
        <x:v>45770</x:v>
      </x:c>
      <x:c r="G1405" s="2" t="str">
        <x:v>Own history</x:v>
      </x:c>
      <x:c r="H1405" s="8" t="n">
        <x:f>'Model fits'!AA925</x:f>
        <x:v>0.7741596638655461</x:v>
      </x:c>
      <x:c r="I1405" s="8" t="n">
        <x:f>0</x:f>
        <x:v>0</x:v>
      </x:c>
      <x:c r="J1405" s="8" t="n">
        <x:v>0</x:v>
      </x:c>
      <x:c r="K1405" s="8" t="n">
        <x:f>H1405-I1405*J1405</x:f>
        <x:v>0.7741596638655461</x:v>
      </x:c>
      <x:c r="L1405" s="8" t="n">
        <x:f>'PG facts'!E119</x:f>
        <x:v>1</x:v>
      </x:c>
      <x:c r="M1405" s="8" t="n">
        <x:f>K1405-L1405</x:f>
        <x:v>-0.22584033613445387</x:v>
      </x:c>
      <x:c r="N1405" s="8" t="n">
        <x:f>M1405^2</x:f>
        <x:v>0.05100385742532311</x:v>
      </x:c>
      <x:c r="O1405" s="8" t="n">
        <x:f>ABS(M1405)</x:f>
        <x:v>0.22584033613445387</x:v>
      </x:c>
      <x:c r="P1405" s="7" t="n">
        <x:v>45771</x:v>
      </x:c>
    </x:row>
    <x:row r="1406" ht="26" customHeight="1">
      <x:c r="A1406" s="2"/>
      <x:c r="B1406" s="2" t="n">
        <x:v>1401</x:v>
      </x:c>
      <x:c r="C1406" s="2" t="str">
        <x:v>Grooming / organic_volume_growth</x:v>
      </x:c>
      <x:c r="D1406" s="7" t="n">
        <x:v>45838</x:v>
      </x:c>
      <x:c r="E1406" s="2" t="str">
        <x:v>Origin</x:v>
      </x:c>
      <x:c r="F1406" s="7" t="n">
        <x:v>45748</x:v>
      </x:c>
      <x:c r="G1406" s="2" t="str">
        <x:v>Last actual</x:v>
      </x:c>
      <x:c r="H1406" s="8" t="n">
        <x:f>AVERAGE('PG facts'!E112)</x:f>
        <x:v>2</x:v>
      </x:c>
      <x:c r="I1406" s="8" t="n">
        <x:f>0</x:f>
        <x:v>0</x:v>
      </x:c>
      <x:c r="J1406" s="8" t="n">
        <x:v>0</x:v>
      </x:c>
      <x:c r="K1406" s="8" t="n">
        <x:f>H1406-I1406*J1406</x:f>
        <x:v>2</x:v>
      </x:c>
      <x:c r="L1406" s="8" t="n">
        <x:f>'PG facts'!E126</x:f>
        <x:v>-1</x:v>
      </x:c>
      <x:c r="M1406" s="8" t="n">
        <x:f>K1406-L1406</x:f>
        <x:v>3</x:v>
      </x:c>
      <x:c r="N1406" s="8" t="n">
        <x:f>M1406^2</x:f>
        <x:v>9</x:v>
      </x:c>
      <x:c r="O1406" s="8" t="n">
        <x:f>ABS(M1406)</x:f>
        <x:v>3</x:v>
      </x:c>
      <x:c r="P1406" s="7" t="n">
        <x:v>45867</x:v>
      </x:c>
    </x:row>
    <x:row r="1407" ht="26" customHeight="1">
      <x:c r="A1407" s="2"/>
      <x:c r="B1407" s="2" t="n">
        <x:v>1402</x:v>
      </x:c>
      <x:c r="C1407" s="2" t="str">
        <x:v>Grooming / organic_volume_growth</x:v>
      </x:c>
      <x:c r="D1407" s="7" t="n">
        <x:v>45838</x:v>
      </x:c>
      <x:c r="E1407" s="2" t="str">
        <x:v>Origin</x:v>
      </x:c>
      <x:c r="F1407" s="7" t="n">
        <x:v>45748</x:v>
      </x:c>
      <x:c r="G1407" s="2" t="str">
        <x:v>Four-quarter mean</x:v>
      </x:c>
      <x:c r="H1407" s="8" t="n">
        <x:f>AVERAGE('PG facts'!E91,'PG facts'!E98,'PG facts'!E105,'PG facts'!E112)</x:f>
        <x:v>2.75</x:v>
      </x:c>
      <x:c r="I1407" s="8" t="n">
        <x:f>0</x:f>
        <x:v>0</x:v>
      </x:c>
      <x:c r="J1407" s="8" t="n">
        <x:v>0</x:v>
      </x:c>
      <x:c r="K1407" s="8" t="n">
        <x:f>H1407-I1407*J1407</x:f>
        <x:v>2.75</x:v>
      </x:c>
      <x:c r="L1407" s="8" t="n">
        <x:f>'PG facts'!E126</x:f>
        <x:v>-1</x:v>
      </x:c>
      <x:c r="M1407" s="8" t="n">
        <x:f>K1407-L1407</x:f>
        <x:v>3.75</x:v>
      </x:c>
      <x:c r="N1407" s="8" t="n">
        <x:f>M1407^2</x:f>
        <x:v>14.0625</x:v>
      </x:c>
      <x:c r="O1407" s="8" t="n">
        <x:f>ABS(M1407)</x:f>
        <x:v>3.75</x:v>
      </x:c>
      <x:c r="P1407" s="7" t="n">
        <x:v>45867</x:v>
      </x:c>
    </x:row>
    <x:row r="1408" ht="26" customHeight="1">
      <x:c r="A1408" s="2"/>
      <x:c r="B1408" s="2" t="n">
        <x:v>1403</x:v>
      </x:c>
      <x:c r="C1408" s="2" t="str">
        <x:v>Grooming / organic_volume_growth</x:v>
      </x:c>
      <x:c r="D1408" s="7" t="n">
        <x:v>45838</x:v>
      </x:c>
      <x:c r="E1408" s="2" t="str">
        <x:v>Origin</x:v>
      </x:c>
      <x:c r="F1408" s="7" t="n">
        <x:v>45748</x:v>
      </x:c>
      <x:c r="G1408" s="2" t="str">
        <x:v>Broad market</x:v>
      </x:c>
      <x:c r="H1408" s="8" t="n">
        <x:f>'Model fits'!AA926</x:f>
        <x:v>0.21033962032774955</x:v>
      </x:c>
      <x:c r="I1408" s="8" t="n">
        <x:f>0</x:f>
        <x:v>0</x:v>
      </x:c>
      <x:c r="J1408" s="8" t="n">
        <x:v>0</x:v>
      </x:c>
      <x:c r="K1408" s="8" t="n">
        <x:f>H1408-I1408*J1408</x:f>
        <x:v>0.21033962032774955</x:v>
      </x:c>
      <x:c r="L1408" s="8" t="n">
        <x:f>'PG facts'!E126</x:f>
        <x:v>-1</x:v>
      </x:c>
      <x:c r="M1408" s="8" t="n">
        <x:f>K1408-L1408</x:f>
        <x:v>1.2103396203277494</x:v>
      </x:c>
      <x:c r="N1408" s="8" t="n">
        <x:f>M1408^2</x:f>
        <x:v>1.4649219965351208</x:v>
      </x:c>
      <x:c r="O1408" s="8" t="n">
        <x:f>ABS(M1408)</x:f>
        <x:v>1.2103396203277494</x:v>
      </x:c>
      <x:c r="P1408" s="7" t="n">
        <x:v>45867</x:v>
      </x:c>
    </x:row>
    <x:row r="1409" ht="26" customHeight="1">
      <x:c r="A1409" s="2"/>
      <x:c r="B1409" s="2" t="n">
        <x:v>1404</x:v>
      </x:c>
      <x:c r="C1409" s="2" t="str">
        <x:v>Grooming / organic_volume_growth</x:v>
      </x:c>
      <x:c r="D1409" s="7" t="n">
        <x:v>45838</x:v>
      </x:c>
      <x:c r="E1409" s="2" t="str">
        <x:v>Origin</x:v>
      </x:c>
      <x:c r="F1409" s="7" t="n">
        <x:v>45748</x:v>
      </x:c>
      <x:c r="G1409" s="2" t="str">
        <x:v>Broad rolling 8</x:v>
      </x:c>
      <x:c r="H1409" s="8" t="n">
        <x:f>'Model fits'!AA927</x:f>
        <x:v>2.6960023362340952</x:v>
      </x:c>
      <x:c r="I1409" s="8" t="n">
        <x:f>0</x:f>
        <x:v>0</x:v>
      </x:c>
      <x:c r="J1409" s="8" t="n">
        <x:v>0</x:v>
      </x:c>
      <x:c r="K1409" s="8" t="n">
        <x:f>H1409-I1409*J1409</x:f>
        <x:v>2.6960023362340952</x:v>
      </x:c>
      <x:c r="L1409" s="8" t="n">
        <x:f>'PG facts'!E126</x:f>
        <x:v>-1</x:v>
      </x:c>
      <x:c r="M1409" s="8" t="n">
        <x:f>K1409-L1409</x:f>
        <x:v>3.6960023362340952</x:v>
      </x:c>
      <x:c r="N1409" s="8" t="n">
        <x:f>M1409^2</x:f>
        <x:v>13.66043326944789</x:v>
      </x:c>
      <x:c r="O1409" s="8" t="n">
        <x:f>ABS(M1409)</x:f>
        <x:v>3.6960023362340952</x:v>
      </x:c>
      <x:c r="P1409" s="7" t="n">
        <x:v>45867</x:v>
      </x:c>
    </x:row>
    <x:row r="1410" ht="26" customHeight="1">
      <x:c r="A1410" s="2"/>
      <x:c r="B1410" s="2" t="n">
        <x:v>1405</x:v>
      </x:c>
      <x:c r="C1410" s="2" t="str">
        <x:v>Grooming / organic_volume_growth</x:v>
      </x:c>
      <x:c r="D1410" s="7" t="n">
        <x:v>45838</x:v>
      </x:c>
      <x:c r="E1410" s="2" t="str">
        <x:v>Origin</x:v>
      </x:c>
      <x:c r="F1410" s="7" t="n">
        <x:v>45748</x:v>
      </x:c>
      <x:c r="G1410" s="2" t="str">
        <x:v>Own history</x:v>
      </x:c>
      <x:c r="H1410" s="8" t="n">
        <x:f>'Model fits'!AA928</x:f>
        <x:v>0.9507286606523249</x:v>
      </x:c>
      <x:c r="I1410" s="8" t="n">
        <x:f>0</x:f>
        <x:v>0</x:v>
      </x:c>
      <x:c r="J1410" s="8" t="n">
        <x:v>0</x:v>
      </x:c>
      <x:c r="K1410" s="8" t="n">
        <x:f>H1410-I1410*J1410</x:f>
        <x:v>0.9507286606523249</x:v>
      </x:c>
      <x:c r="L1410" s="8" t="n">
        <x:f>'PG facts'!E126</x:f>
        <x:v>-1</x:v>
      </x:c>
      <x:c r="M1410" s="8" t="n">
        <x:f>K1410-L1410</x:f>
        <x:v>1.9507286606523249</x:v>
      </x:c>
      <x:c r="N1410" s="8" t="n">
        <x:f>M1410^2</x:f>
        <x:v>3.805342307490413</x:v>
      </x:c>
      <x:c r="O1410" s="8" t="n">
        <x:f>ABS(M1410)</x:f>
        <x:v>1.9507286606523249</x:v>
      </x:c>
      <x:c r="P1410" s="7" t="n">
        <x:v>45867</x:v>
      </x:c>
    </x:row>
    <x:row r="1411" ht="26" customHeight="1">
      <x:c r="A1411" s="2"/>
      <x:c r="B1411" s="2" t="n">
        <x:v>1406</x:v>
      </x:c>
      <x:c r="C1411" s="2" t="str">
        <x:v>Grooming / organic_volume_growth</x:v>
      </x:c>
      <x:c r="D1411" s="7" t="n">
        <x:v>45838</x:v>
      </x:c>
      <x:c r="E1411" s="2" t="str">
        <x:v>Prior report</x:v>
      </x:c>
      <x:c r="F1411" s="7" t="n">
        <x:v>45771</x:v>
      </x:c>
      <x:c r="G1411" s="2" t="str">
        <x:v>Last actual</x:v>
      </x:c>
      <x:c r="H1411" s="8" t="n">
        <x:f>AVERAGE('PG facts'!E119)</x:f>
        <x:v>1</x:v>
      </x:c>
      <x:c r="I1411" s="8" t="n">
        <x:f>0</x:f>
        <x:v>0</x:v>
      </x:c>
      <x:c r="J1411" s="8" t="n">
        <x:v>0</x:v>
      </x:c>
      <x:c r="K1411" s="8" t="n">
        <x:f>H1411-I1411*J1411</x:f>
        <x:v>1</x:v>
      </x:c>
      <x:c r="L1411" s="8" t="n">
        <x:f>'PG facts'!E126</x:f>
        <x:v>-1</x:v>
      </x:c>
      <x:c r="M1411" s="8" t="n">
        <x:f>K1411-L1411</x:f>
        <x:v>2</x:v>
      </x:c>
      <x:c r="N1411" s="8" t="n">
        <x:f>M1411^2</x:f>
        <x:v>4</x:v>
      </x:c>
      <x:c r="O1411" s="8" t="n">
        <x:f>ABS(M1411)</x:f>
        <x:v>2</x:v>
      </x:c>
      <x:c r="P1411" s="7" t="n">
        <x:v>45867</x:v>
      </x:c>
    </x:row>
    <x:row r="1412" ht="26" customHeight="1">
      <x:c r="A1412" s="2"/>
      <x:c r="B1412" s="2" t="n">
        <x:v>1407</x:v>
      </x:c>
      <x:c r="C1412" s="2" t="str">
        <x:v>Grooming / organic_volume_growth</x:v>
      </x:c>
      <x:c r="D1412" s="7" t="n">
        <x:v>45838</x:v>
      </x:c>
      <x:c r="E1412" s="2" t="str">
        <x:v>Prior report</x:v>
      </x:c>
      <x:c r="F1412" s="7" t="n">
        <x:v>45771</x:v>
      </x:c>
      <x:c r="G1412" s="2" t="str">
        <x:v>Four-quarter mean</x:v>
      </x:c>
      <x:c r="H1412" s="8" t="n">
        <x:f>AVERAGE('PG facts'!E98,'PG facts'!E105,'PG facts'!E112,'PG facts'!E119)</x:f>
        <x:v>2.5</x:v>
      </x:c>
      <x:c r="I1412" s="8" t="n">
        <x:f>0</x:f>
        <x:v>0</x:v>
      </x:c>
      <x:c r="J1412" s="8" t="n">
        <x:v>0</x:v>
      </x:c>
      <x:c r="K1412" s="8" t="n">
        <x:f>H1412-I1412*J1412</x:f>
        <x:v>2.5</x:v>
      </x:c>
      <x:c r="L1412" s="8" t="n">
        <x:f>'PG facts'!E126</x:f>
        <x:v>-1</x:v>
      </x:c>
      <x:c r="M1412" s="8" t="n">
        <x:f>K1412-L1412</x:f>
        <x:v>3.5</x:v>
      </x:c>
      <x:c r="N1412" s="8" t="n">
        <x:f>M1412^2</x:f>
        <x:v>12.25</x:v>
      </x:c>
      <x:c r="O1412" s="8" t="n">
        <x:f>ABS(M1412)</x:f>
        <x:v>3.5</x:v>
      </x:c>
      <x:c r="P1412" s="7" t="n">
        <x:v>45867</x:v>
      </x:c>
    </x:row>
    <x:row r="1413" ht="26" customHeight="1">
      <x:c r="A1413" s="2"/>
      <x:c r="B1413" s="2" t="n">
        <x:v>1408</x:v>
      </x:c>
      <x:c r="C1413" s="2" t="str">
        <x:v>Grooming / organic_volume_growth</x:v>
      </x:c>
      <x:c r="D1413" s="7" t="n">
        <x:v>45838</x:v>
      </x:c>
      <x:c r="E1413" s="2" t="str">
        <x:v>Prior report</x:v>
      </x:c>
      <x:c r="F1413" s="7" t="n">
        <x:v>45771</x:v>
      </x:c>
      <x:c r="G1413" s="2" t="str">
        <x:v>Broad market</x:v>
      </x:c>
      <x:c r="H1413" s="8" t="n">
        <x:f>'Model fits'!AA929</x:f>
        <x:v>0.21033962032774955</x:v>
      </x:c>
      <x:c r="I1413" s="8" t="n">
        <x:f>0</x:f>
        <x:v>0</x:v>
      </x:c>
      <x:c r="J1413" s="8" t="n">
        <x:v>0</x:v>
      </x:c>
      <x:c r="K1413" s="8" t="n">
        <x:f>H1413-I1413*J1413</x:f>
        <x:v>0.21033962032774955</x:v>
      </x:c>
      <x:c r="L1413" s="8" t="n">
        <x:f>'PG facts'!E126</x:f>
        <x:v>-1</x:v>
      </x:c>
      <x:c r="M1413" s="8" t="n">
        <x:f>K1413-L1413</x:f>
        <x:v>1.2103396203277494</x:v>
      </x:c>
      <x:c r="N1413" s="8" t="n">
        <x:f>M1413^2</x:f>
        <x:v>1.4649219965351208</x:v>
      </x:c>
      <x:c r="O1413" s="8" t="n">
        <x:f>ABS(M1413)</x:f>
        <x:v>1.2103396203277494</x:v>
      </x:c>
      <x:c r="P1413" s="7" t="n">
        <x:v>45867</x:v>
      </x:c>
    </x:row>
    <x:row r="1414" ht="26" customHeight="1">
      <x:c r="A1414" s="2"/>
      <x:c r="B1414" s="2" t="n">
        <x:v>1409</x:v>
      </x:c>
      <x:c r="C1414" s="2" t="str">
        <x:v>Grooming / organic_volume_growth</x:v>
      </x:c>
      <x:c r="D1414" s="7" t="n">
        <x:v>45838</x:v>
      </x:c>
      <x:c r="E1414" s="2" t="str">
        <x:v>Prior report</x:v>
      </x:c>
      <x:c r="F1414" s="7" t="n">
        <x:v>45771</x:v>
      </x:c>
      <x:c r="G1414" s="2" t="str">
        <x:v>Broad rolling 8</x:v>
      </x:c>
      <x:c r="H1414" s="8" t="n">
        <x:f>'Model fits'!AA930</x:f>
        <x:v>2.6960023362340952</x:v>
      </x:c>
      <x:c r="I1414" s="8" t="n">
        <x:f>0</x:f>
        <x:v>0</x:v>
      </x:c>
      <x:c r="J1414" s="8" t="n">
        <x:v>0</x:v>
      </x:c>
      <x:c r="K1414" s="8" t="n">
        <x:f>H1414-I1414*J1414</x:f>
        <x:v>2.6960023362340952</x:v>
      </x:c>
      <x:c r="L1414" s="8" t="n">
        <x:f>'PG facts'!E126</x:f>
        <x:v>-1</x:v>
      </x:c>
      <x:c r="M1414" s="8" t="n">
        <x:f>K1414-L1414</x:f>
        <x:v>3.6960023362340952</x:v>
      </x:c>
      <x:c r="N1414" s="8" t="n">
        <x:f>M1414^2</x:f>
        <x:v>13.66043326944789</x:v>
      </x:c>
      <x:c r="O1414" s="8" t="n">
        <x:f>ABS(M1414)</x:f>
        <x:v>3.6960023362340952</x:v>
      </x:c>
      <x:c r="P1414" s="7" t="n">
        <x:v>45867</x:v>
      </x:c>
    </x:row>
    <x:row r="1415" ht="26" customHeight="1">
      <x:c r="A1415" s="2"/>
      <x:c r="B1415" s="2" t="n">
        <x:v>1410</x:v>
      </x:c>
      <x:c r="C1415" s="2" t="str">
        <x:v>Grooming / organic_volume_growth</x:v>
      </x:c>
      <x:c r="D1415" s="7" t="n">
        <x:v>45838</x:v>
      </x:c>
      <x:c r="E1415" s="2" t="str">
        <x:v>Prior report</x:v>
      </x:c>
      <x:c r="F1415" s="7" t="n">
        <x:v>45771</x:v>
      </x:c>
      <x:c r="G1415" s="2" t="str">
        <x:v>Own history</x:v>
      </x:c>
      <x:c r="H1415" s="8" t="n">
        <x:f>'Model fits'!AA931</x:f>
        <x:v>0.5741811175337187</x:v>
      </x:c>
      <x:c r="I1415" s="8" t="n">
        <x:f>0</x:f>
        <x:v>0</x:v>
      </x:c>
      <x:c r="J1415" s="8" t="n">
        <x:v>0</x:v>
      </x:c>
      <x:c r="K1415" s="8" t="n">
        <x:f>H1415-I1415*J1415</x:f>
        <x:v>0.5741811175337187</x:v>
      </x:c>
      <x:c r="L1415" s="8" t="n">
        <x:f>'PG facts'!E126</x:f>
        <x:v>-1</x:v>
      </x:c>
      <x:c r="M1415" s="8" t="n">
        <x:f>K1415-L1415</x:f>
        <x:v>1.5741811175337186</x:v>
      </x:c>
      <x:c r="N1415" s="8" t="n">
        <x:f>M1415^2</x:f>
        <x:v>2.478046190799707</x:v>
      </x:c>
      <x:c r="O1415" s="8" t="n">
        <x:f>ABS(M1415)</x:f>
        <x:v>1.5741811175337186</x:v>
      </x:c>
      <x:c r="P1415" s="7" t="n">
        <x:v>45867</x:v>
      </x:c>
    </x:row>
    <x:row r="1416" ht="26" customHeight="1">
      <x:c r="A1416" s="2"/>
      <x:c r="B1416" s="2" t="n">
        <x:v>1411</x:v>
      </x:c>
      <x:c r="C1416" s="2" t="str">
        <x:v>Grooming / organic_volume_growth</x:v>
      </x:c>
      <x:c r="D1416" s="7" t="n">
        <x:v>45838</x:v>
      </x:c>
      <x:c r="E1416" s="2" t="str">
        <x:v>Pre-earnings</x:v>
      </x:c>
      <x:c r="F1416" s="7" t="n">
        <x:v>45866</x:v>
      </x:c>
      <x:c r="G1416" s="2" t="str">
        <x:v>Last actual</x:v>
      </x:c>
      <x:c r="H1416" s="8" t="n">
        <x:f>AVERAGE('PG facts'!E119)</x:f>
        <x:v>1</x:v>
      </x:c>
      <x:c r="I1416" s="8" t="n">
        <x:f>0</x:f>
        <x:v>0</x:v>
      </x:c>
      <x:c r="J1416" s="8" t="n">
        <x:v>0</x:v>
      </x:c>
      <x:c r="K1416" s="8" t="n">
        <x:f>H1416-I1416*J1416</x:f>
        <x:v>1</x:v>
      </x:c>
      <x:c r="L1416" s="8" t="n">
        <x:f>'PG facts'!E126</x:f>
        <x:v>-1</x:v>
      </x:c>
      <x:c r="M1416" s="8" t="n">
        <x:f>K1416-L1416</x:f>
        <x:v>2</x:v>
      </x:c>
      <x:c r="N1416" s="8" t="n">
        <x:f>M1416^2</x:f>
        <x:v>4</x:v>
      </x:c>
      <x:c r="O1416" s="8" t="n">
        <x:f>ABS(M1416)</x:f>
        <x:v>2</x:v>
      </x:c>
      <x:c r="P1416" s="7" t="n">
        <x:v>45867</x:v>
      </x:c>
    </x:row>
    <x:row r="1417" ht="26" customHeight="1">
      <x:c r="A1417" s="2"/>
      <x:c r="B1417" s="2" t="n">
        <x:v>1412</x:v>
      </x:c>
      <x:c r="C1417" s="2" t="str">
        <x:v>Grooming / organic_volume_growth</x:v>
      </x:c>
      <x:c r="D1417" s="7" t="n">
        <x:v>45838</x:v>
      </x:c>
      <x:c r="E1417" s="2" t="str">
        <x:v>Pre-earnings</x:v>
      </x:c>
      <x:c r="F1417" s="7" t="n">
        <x:v>45866</x:v>
      </x:c>
      <x:c r="G1417" s="2" t="str">
        <x:v>Four-quarter mean</x:v>
      </x:c>
      <x:c r="H1417" s="8" t="n">
        <x:f>AVERAGE('PG facts'!E98,'PG facts'!E105,'PG facts'!E112,'PG facts'!E119)</x:f>
        <x:v>2.5</x:v>
      </x:c>
      <x:c r="I1417" s="8" t="n">
        <x:f>0</x:f>
        <x:v>0</x:v>
      </x:c>
      <x:c r="J1417" s="8" t="n">
        <x:v>0</x:v>
      </x:c>
      <x:c r="K1417" s="8" t="n">
        <x:f>H1417-I1417*J1417</x:f>
        <x:v>2.5</x:v>
      </x:c>
      <x:c r="L1417" s="8" t="n">
        <x:f>'PG facts'!E126</x:f>
        <x:v>-1</x:v>
      </x:c>
      <x:c r="M1417" s="8" t="n">
        <x:f>K1417-L1417</x:f>
        <x:v>3.5</x:v>
      </x:c>
      <x:c r="N1417" s="8" t="n">
        <x:f>M1417^2</x:f>
        <x:v>12.25</x:v>
      </x:c>
      <x:c r="O1417" s="8" t="n">
        <x:f>ABS(M1417)</x:f>
        <x:v>3.5</x:v>
      </x:c>
      <x:c r="P1417" s="7" t="n">
        <x:v>45867</x:v>
      </x:c>
    </x:row>
    <x:row r="1418" ht="26" customHeight="1">
      <x:c r="A1418" s="2"/>
      <x:c r="B1418" s="2" t="n">
        <x:v>1413</x:v>
      </x:c>
      <x:c r="C1418" s="2" t="str">
        <x:v>Grooming / organic_volume_growth</x:v>
      </x:c>
      <x:c r="D1418" s="7" t="n">
        <x:v>45838</x:v>
      </x:c>
      <x:c r="E1418" s="2" t="str">
        <x:v>Pre-earnings</x:v>
      </x:c>
      <x:c r="F1418" s="7" t="n">
        <x:v>45866</x:v>
      </x:c>
      <x:c r="G1418" s="2" t="str">
        <x:v>Broad market</x:v>
      </x:c>
      <x:c r="H1418" s="8" t="n">
        <x:f>'Model fits'!AA932</x:f>
        <x:v>0.4052719817144076</x:v>
      </x:c>
      <x:c r="I1418" s="8" t="n">
        <x:f>0</x:f>
        <x:v>0</x:v>
      </x:c>
      <x:c r="J1418" s="8" t="n">
        <x:v>0</x:v>
      </x:c>
      <x:c r="K1418" s="8" t="n">
        <x:f>H1418-I1418*J1418</x:f>
        <x:v>0.4052719817144076</x:v>
      </x:c>
      <x:c r="L1418" s="8" t="n">
        <x:f>'PG facts'!E126</x:f>
        <x:v>-1</x:v>
      </x:c>
      <x:c r="M1418" s="8" t="n">
        <x:f>K1418-L1418</x:f>
        <x:v>1.4052719817144075</x:v>
      </x:c>
      <x:c r="N1418" s="8" t="n">
        <x:f>M1418^2</x:f>
        <x:v>1.974789342591538</x:v>
      </x:c>
      <x:c r="O1418" s="8" t="n">
        <x:f>ABS(M1418)</x:f>
        <x:v>1.4052719817144075</x:v>
      </x:c>
      <x:c r="P1418" s="7" t="n">
        <x:v>45867</x:v>
      </x:c>
    </x:row>
    <x:row r="1419" ht="26" customHeight="1">
      <x:c r="A1419" s="2"/>
      <x:c r="B1419" s="2" t="n">
        <x:v>1414</x:v>
      </x:c>
      <x:c r="C1419" s="2" t="str">
        <x:v>Grooming / organic_volume_growth</x:v>
      </x:c>
      <x:c r="D1419" s="7" t="n">
        <x:v>45838</x:v>
      </x:c>
      <x:c r="E1419" s="2" t="str">
        <x:v>Pre-earnings</x:v>
      </x:c>
      <x:c r="F1419" s="7" t="n">
        <x:v>45866</x:v>
      </x:c>
      <x:c r="G1419" s="2" t="str">
        <x:v>Broad lag 1</x:v>
      </x:c>
      <x:c r="H1419" s="8" t="n">
        <x:f>'Model fits'!AA933</x:f>
        <x:v>0.4369544816408597</x:v>
      </x:c>
      <x:c r="I1419" s="8" t="n">
        <x:f>0</x:f>
        <x:v>0</x:v>
      </x:c>
      <x:c r="J1419" s="8" t="n">
        <x:v>0</x:v>
      </x:c>
      <x:c r="K1419" s="8" t="n">
        <x:f>H1419-I1419*J1419</x:f>
        <x:v>0.4369544816408597</x:v>
      </x:c>
      <x:c r="L1419" s="8" t="n">
        <x:f>'PG facts'!E126</x:f>
        <x:v>-1</x:v>
      </x:c>
      <x:c r="M1419" s="8" t="n">
        <x:f>K1419-L1419</x:f>
        <x:v>1.4369544816408597</x:v>
      </x:c>
      <x:c r="N1419" s="8" t="n">
        <x:f>M1419^2</x:f>
        <x:v>2.064838182307752</x:v>
      </x:c>
      <x:c r="O1419" s="8" t="n">
        <x:f>ABS(M1419)</x:f>
        <x:v>1.4369544816408597</x:v>
      </x:c>
      <x:c r="P1419" s="7" t="n">
        <x:v>45867</x:v>
      </x:c>
    </x:row>
    <x:row r="1420" ht="26" customHeight="1">
      <x:c r="A1420" s="2"/>
      <x:c r="B1420" s="2" t="n">
        <x:v>1415</x:v>
      </x:c>
      <x:c r="C1420" s="2" t="str">
        <x:v>Grooming / organic_volume_growth</x:v>
      </x:c>
      <x:c r="D1420" s="7" t="n">
        <x:v>45838</x:v>
      </x:c>
      <x:c r="E1420" s="2" t="str">
        <x:v>Pre-earnings</x:v>
      </x:c>
      <x:c r="F1420" s="7" t="n">
        <x:v>45866</x:v>
      </x:c>
      <x:c r="G1420" s="2" t="str">
        <x:v>Broad rolling 8</x:v>
      </x:c>
      <x:c r="H1420" s="8" t="n">
        <x:f>'Model fits'!AA934</x:f>
        <x:v>2.676821829116169</x:v>
      </x:c>
      <x:c r="I1420" s="8" t="n">
        <x:f>0</x:f>
        <x:v>0</x:v>
      </x:c>
      <x:c r="J1420" s="8" t="n">
        <x:v>0</x:v>
      </x:c>
      <x:c r="K1420" s="8" t="n">
        <x:f>H1420-I1420*J1420</x:f>
        <x:v>2.676821829116169</x:v>
      </x:c>
      <x:c r="L1420" s="8" t="n">
        <x:f>'PG facts'!E126</x:f>
        <x:v>-1</x:v>
      </x:c>
      <x:c r="M1420" s="8" t="n">
        <x:f>K1420-L1420</x:f>
        <x:v>3.676821829116169</x:v>
      </x:c>
      <x:c r="N1420" s="8" t="n">
        <x:f>M1420^2</x:f>
        <x:v>13.519018763065171</x:v>
      </x:c>
      <x:c r="O1420" s="8" t="n">
        <x:f>ABS(M1420)</x:f>
        <x:v>3.676821829116169</x:v>
      </x:c>
      <x:c r="P1420" s="7" t="n">
        <x:v>45867</x:v>
      </x:c>
    </x:row>
    <x:row r="1421" ht="26" customHeight="1">
      <x:c r="A1421" s="2"/>
      <x:c r="B1421" s="2" t="n">
        <x:v>1416</x:v>
      </x:c>
      <x:c r="C1421" s="2" t="str">
        <x:v>Grooming / organic_volume_growth</x:v>
      </x:c>
      <x:c r="D1421" s="7" t="n">
        <x:v>45838</x:v>
      </x:c>
      <x:c r="E1421" s="2" t="str">
        <x:v>Pre-earnings</x:v>
      </x:c>
      <x:c r="F1421" s="7" t="n">
        <x:v>45866</x:v>
      </x:c>
      <x:c r="G1421" s="2" t="str">
        <x:v>Own history</x:v>
      </x:c>
      <x:c r="H1421" s="8" t="n">
        <x:f>'Model fits'!AA935</x:f>
        <x:v>0.5741811175337187</x:v>
      </x:c>
      <x:c r="I1421" s="8" t="n">
        <x:f>0</x:f>
        <x:v>0</x:v>
      </x:c>
      <x:c r="J1421" s="8" t="n">
        <x:v>0</x:v>
      </x:c>
      <x:c r="K1421" s="8" t="n">
        <x:f>H1421-I1421*J1421</x:f>
        <x:v>0.5741811175337187</x:v>
      </x:c>
      <x:c r="L1421" s="8" t="n">
        <x:f>'PG facts'!E126</x:f>
        <x:v>-1</x:v>
      </x:c>
      <x:c r="M1421" s="8" t="n">
        <x:f>K1421-L1421</x:f>
        <x:v>1.5741811175337186</x:v>
      </x:c>
      <x:c r="N1421" s="8" t="n">
        <x:f>M1421^2</x:f>
        <x:v>2.478046190799707</x:v>
      </x:c>
      <x:c r="O1421" s="8" t="n">
        <x:f>ABS(M1421)</x:f>
        <x:v>1.5741811175337186</x:v>
      </x:c>
      <x:c r="P1421" s="7" t="n">
        <x:v>45867</x:v>
      </x:c>
    </x:row>
    <x:row r="1422" ht="26" customHeight="1">
      <x:c r="A1422" s="2"/>
      <x:c r="B1422" s="2" t="n">
        <x:v>1417</x:v>
      </x:c>
      <x:c r="C1422" s="2" t="str">
        <x:v>Grooming / organic_volume_growth</x:v>
      </x:c>
      <x:c r="D1422" s="7" t="n">
        <x:v>45930</x:v>
      </x:c>
      <x:c r="E1422" s="2" t="str">
        <x:v>Origin</x:v>
      </x:c>
      <x:c r="F1422" s="7" t="n">
        <x:v>45839</x:v>
      </x:c>
      <x:c r="G1422" s="2" t="str">
        <x:v>Last actual</x:v>
      </x:c>
      <x:c r="H1422" s="8" t="n">
        <x:f>AVERAGE('PG facts'!E119)</x:f>
        <x:v>1</x:v>
      </x:c>
      <x:c r="I1422" s="8" t="n">
        <x:f>0</x:f>
        <x:v>0</x:v>
      </x:c>
      <x:c r="J1422" s="8" t="n">
        <x:v>0</x:v>
      </x:c>
      <x:c r="K1422" s="8" t="n">
        <x:f>H1422-I1422*J1422</x:f>
        <x:v>1</x:v>
      </x:c>
      <x:c r="L1422" s="8" t="n">
        <x:f>'PG facts'!E133</x:f>
        <x:v>1</x:v>
      </x:c>
      <x:c r="M1422" s="8" t="n">
        <x:f>K1422-L1422</x:f>
        <x:v>0</x:v>
      </x:c>
      <x:c r="N1422" s="8" t="n">
        <x:f>M1422^2</x:f>
        <x:v>0</x:v>
      </x:c>
      <x:c r="O1422" s="8" t="n">
        <x:f>ABS(M1422)</x:f>
        <x:v>0</x:v>
      </x:c>
      <x:c r="P1422" s="7" t="n">
        <x:v>45954</x:v>
      </x:c>
    </x:row>
    <x:row r="1423" ht="26" customHeight="1">
      <x:c r="A1423" s="2"/>
      <x:c r="B1423" s="2" t="n">
        <x:v>1418</x:v>
      </x:c>
      <x:c r="C1423" s="2" t="str">
        <x:v>Grooming / organic_volume_growth</x:v>
      </x:c>
      <x:c r="D1423" s="7" t="n">
        <x:v>45930</x:v>
      </x:c>
      <x:c r="E1423" s="2" t="str">
        <x:v>Origin</x:v>
      </x:c>
      <x:c r="F1423" s="7" t="n">
        <x:v>45839</x:v>
      </x:c>
      <x:c r="G1423" s="2" t="str">
        <x:v>Four-quarter mean</x:v>
      </x:c>
      <x:c r="H1423" s="8" t="n">
        <x:f>AVERAGE('PG facts'!E98,'PG facts'!E105,'PG facts'!E112,'PG facts'!E119)</x:f>
        <x:v>2.5</x:v>
      </x:c>
      <x:c r="I1423" s="8" t="n">
        <x:f>0</x:f>
        <x:v>0</x:v>
      </x:c>
      <x:c r="J1423" s="8" t="n">
        <x:v>0</x:v>
      </x:c>
      <x:c r="K1423" s="8" t="n">
        <x:f>H1423-I1423*J1423</x:f>
        <x:v>2.5</x:v>
      </x:c>
      <x:c r="L1423" s="8" t="n">
        <x:f>'PG facts'!E133</x:f>
        <x:v>1</x:v>
      </x:c>
      <x:c r="M1423" s="8" t="n">
        <x:f>K1423-L1423</x:f>
        <x:v>1.5</x:v>
      </x:c>
      <x:c r="N1423" s="8" t="n">
        <x:f>M1423^2</x:f>
        <x:v>2.25</x:v>
      </x:c>
      <x:c r="O1423" s="8" t="n">
        <x:f>ABS(M1423)</x:f>
        <x:v>1.5</x:v>
      </x:c>
      <x:c r="P1423" s="7" t="n">
        <x:v>45954</x:v>
      </x:c>
    </x:row>
    <x:row r="1424" ht="26" customHeight="1">
      <x:c r="A1424" s="2"/>
      <x:c r="B1424" s="2" t="n">
        <x:v>1419</x:v>
      </x:c>
      <x:c r="C1424" s="2" t="str">
        <x:v>Grooming / organic_volume_growth</x:v>
      </x:c>
      <x:c r="D1424" s="7" t="n">
        <x:v>45930</x:v>
      </x:c>
      <x:c r="E1424" s="2" t="str">
        <x:v>Origin</x:v>
      </x:c>
      <x:c r="F1424" s="7" t="n">
        <x:v>45839</x:v>
      </x:c>
      <x:c r="G1424" s="2" t="str">
        <x:v>Broad market</x:v>
      </x:c>
      <x:c r="H1424" s="8" t="n">
        <x:f>'Model fits'!AA936</x:f>
        <x:v>0.3895827741881993</x:v>
      </x:c>
      <x:c r="I1424" s="8" t="n">
        <x:f>0</x:f>
        <x:v>0</x:v>
      </x:c>
      <x:c r="J1424" s="8" t="n">
        <x:v>0</x:v>
      </x:c>
      <x:c r="K1424" s="8" t="n">
        <x:f>H1424-I1424*J1424</x:f>
        <x:v>0.3895827741881993</x:v>
      </x:c>
      <x:c r="L1424" s="8" t="n">
        <x:f>'PG facts'!E133</x:f>
        <x:v>1</x:v>
      </x:c>
      <x:c r="M1424" s="8" t="n">
        <x:f>K1424-L1424</x:f>
        <x:v>-0.6104172258118007</x:v>
      </x:c>
      <x:c r="N1424" s="8" t="n">
        <x:f>M1424^2</x:f>
        <x:v>0.3726091895677749</x:v>
      </x:c>
      <x:c r="O1424" s="8" t="n">
        <x:f>ABS(M1424)</x:f>
        <x:v>0.6104172258118007</x:v>
      </x:c>
      <x:c r="P1424" s="7" t="n">
        <x:v>45954</x:v>
      </x:c>
    </x:row>
    <x:row r="1425" ht="26" customHeight="1">
      <x:c r="A1425" s="2"/>
      <x:c r="B1425" s="2" t="n">
        <x:v>1420</x:v>
      </x:c>
      <x:c r="C1425" s="2" t="str">
        <x:v>Grooming / organic_volume_growth</x:v>
      </x:c>
      <x:c r="D1425" s="7" t="n">
        <x:v>45930</x:v>
      </x:c>
      <x:c r="E1425" s="2" t="str">
        <x:v>Origin</x:v>
      </x:c>
      <x:c r="F1425" s="7" t="n">
        <x:v>45839</x:v>
      </x:c>
      <x:c r="G1425" s="2" t="str">
        <x:v>Broad rolling 8</x:v>
      </x:c>
      <x:c r="H1425" s="8" t="n">
        <x:f>'Model fits'!AA937</x:f>
        <x:v>2.6225690427527675</x:v>
      </x:c>
      <x:c r="I1425" s="8" t="n">
        <x:f>0</x:f>
        <x:v>0</x:v>
      </x:c>
      <x:c r="J1425" s="8" t="n">
        <x:v>0</x:v>
      </x:c>
      <x:c r="K1425" s="8" t="n">
        <x:f>H1425-I1425*J1425</x:f>
        <x:v>2.6225690427527675</x:v>
      </x:c>
      <x:c r="L1425" s="8" t="n">
        <x:f>'PG facts'!E133</x:f>
        <x:v>1</x:v>
      </x:c>
      <x:c r="M1425" s="8" t="n">
        <x:f>K1425-L1425</x:f>
        <x:v>1.6225690427527675</x:v>
      </x:c>
      <x:c r="N1425" s="8" t="n">
        <x:f>M1425^2</x:f>
        <x:v>2.632730298499632</x:v>
      </x:c>
      <x:c r="O1425" s="8" t="n">
        <x:f>ABS(M1425)</x:f>
        <x:v>1.6225690427527675</x:v>
      </x:c>
      <x:c r="P1425" s="7" t="n">
        <x:v>45954</x:v>
      </x:c>
    </x:row>
    <x:row r="1426" ht="26" customHeight="1">
      <x:c r="A1426" s="2"/>
      <x:c r="B1426" s="2" t="n">
        <x:v>1421</x:v>
      </x:c>
      <x:c r="C1426" s="2" t="str">
        <x:v>Grooming / organic_volume_growth</x:v>
      </x:c>
      <x:c r="D1426" s="7" t="n">
        <x:v>45930</x:v>
      </x:c>
      <x:c r="E1426" s="2" t="str">
        <x:v>Origin</x:v>
      </x:c>
      <x:c r="F1426" s="7" t="n">
        <x:v>45839</x:v>
      </x:c>
      <x:c r="G1426" s="2" t="str">
        <x:v>Own history</x:v>
      </x:c>
      <x:c r="H1426" s="8" t="n">
        <x:f>'Model fits'!AA938</x:f>
        <x:v>0.4553571428571429</x:v>
      </x:c>
      <x:c r="I1426" s="8" t="n">
        <x:f>0</x:f>
        <x:v>0</x:v>
      </x:c>
      <x:c r="J1426" s="8" t="n">
        <x:v>0</x:v>
      </x:c>
      <x:c r="K1426" s="8" t="n">
        <x:f>H1426-I1426*J1426</x:f>
        <x:v>0.4553571428571429</x:v>
      </x:c>
      <x:c r="L1426" s="8" t="n">
        <x:f>'PG facts'!E133</x:f>
        <x:v>1</x:v>
      </x:c>
      <x:c r="M1426" s="8" t="n">
        <x:f>K1426-L1426</x:f>
        <x:v>-0.5446428571428571</x:v>
      </x:c>
      <x:c r="N1426" s="8" t="n">
        <x:f>M1426^2</x:f>
        <x:v>0.29663584183673464</x:v>
      </x:c>
      <x:c r="O1426" s="8" t="n">
        <x:f>ABS(M1426)</x:f>
        <x:v>0.5446428571428571</x:v>
      </x:c>
      <x:c r="P1426" s="7" t="n">
        <x:v>45954</x:v>
      </x:c>
    </x:row>
    <x:row r="1427" ht="26" customHeight="1">
      <x:c r="A1427" s="2"/>
      <x:c r="B1427" s="2" t="n">
        <x:v>1422</x:v>
      </x:c>
      <x:c r="C1427" s="2" t="str">
        <x:v>Grooming / organic_volume_growth</x:v>
      </x:c>
      <x:c r="D1427" s="7" t="n">
        <x:v>45930</x:v>
      </x:c>
      <x:c r="E1427" s="2" t="str">
        <x:v>Prior report</x:v>
      </x:c>
      <x:c r="F1427" s="7" t="n">
        <x:v>45867</x:v>
      </x:c>
      <x:c r="G1427" s="2" t="str">
        <x:v>Last actual</x:v>
      </x:c>
      <x:c r="H1427" s="8" t="n">
        <x:f>AVERAGE('PG facts'!E126)</x:f>
        <x:v>-1</x:v>
      </x:c>
      <x:c r="I1427" s="8" t="n">
        <x:f>0</x:f>
        <x:v>0</x:v>
      </x:c>
      <x:c r="J1427" s="8" t="n">
        <x:v>0</x:v>
      </x:c>
      <x:c r="K1427" s="8" t="n">
        <x:f>H1427-I1427*J1427</x:f>
        <x:v>-1</x:v>
      </x:c>
      <x:c r="L1427" s="8" t="n">
        <x:f>'PG facts'!E133</x:f>
        <x:v>1</x:v>
      </x:c>
      <x:c r="M1427" s="8" t="n">
        <x:f>K1427-L1427</x:f>
        <x:v>-2</x:v>
      </x:c>
      <x:c r="N1427" s="8" t="n">
        <x:f>M1427^2</x:f>
        <x:v>4</x:v>
      </x:c>
      <x:c r="O1427" s="8" t="n">
        <x:f>ABS(M1427)</x:f>
        <x:v>2</x:v>
      </x:c>
      <x:c r="P1427" s="7" t="n">
        <x:v>45954</x:v>
      </x:c>
    </x:row>
    <x:row r="1428" ht="26" customHeight="1">
      <x:c r="A1428" s="2"/>
      <x:c r="B1428" s="2" t="n">
        <x:v>1423</x:v>
      </x:c>
      <x:c r="C1428" s="2" t="str">
        <x:v>Grooming / organic_volume_growth</x:v>
      </x:c>
      <x:c r="D1428" s="7" t="n">
        <x:v>45930</x:v>
      </x:c>
      <x:c r="E1428" s="2" t="str">
        <x:v>Prior report</x:v>
      </x:c>
      <x:c r="F1428" s="7" t="n">
        <x:v>45867</x:v>
      </x:c>
      <x:c r="G1428" s="2" t="str">
        <x:v>Four-quarter mean</x:v>
      </x:c>
      <x:c r="H1428" s="8" t="n">
        <x:f>AVERAGE('PG facts'!E105,'PG facts'!E112,'PG facts'!E119,'PG facts'!E126)</x:f>
        <x:v>1.75</x:v>
      </x:c>
      <x:c r="I1428" s="8" t="n">
        <x:f>0</x:f>
        <x:v>0</x:v>
      </x:c>
      <x:c r="J1428" s="8" t="n">
        <x:v>0</x:v>
      </x:c>
      <x:c r="K1428" s="8" t="n">
        <x:f>H1428-I1428*J1428</x:f>
        <x:v>1.75</x:v>
      </x:c>
      <x:c r="L1428" s="8" t="n">
        <x:f>'PG facts'!E133</x:f>
        <x:v>1</x:v>
      </x:c>
      <x:c r="M1428" s="8" t="n">
        <x:f>K1428-L1428</x:f>
        <x:v>0.75</x:v>
      </x:c>
      <x:c r="N1428" s="8" t="n">
        <x:f>M1428^2</x:f>
        <x:v>0.5625</x:v>
      </x:c>
      <x:c r="O1428" s="8" t="n">
        <x:f>ABS(M1428)</x:f>
        <x:v>0.75</x:v>
      </x:c>
      <x:c r="P1428" s="7" t="n">
        <x:v>45954</x:v>
      </x:c>
    </x:row>
    <x:row r="1429" ht="26" customHeight="1">
      <x:c r="A1429" s="2"/>
      <x:c r="B1429" s="2" t="n">
        <x:v>1424</x:v>
      </x:c>
      <x:c r="C1429" s="2" t="str">
        <x:v>Grooming / organic_volume_growth</x:v>
      </x:c>
      <x:c r="D1429" s="7" t="n">
        <x:v>45930</x:v>
      </x:c>
      <x:c r="E1429" s="2" t="str">
        <x:v>Prior report</x:v>
      </x:c>
      <x:c r="F1429" s="7" t="n">
        <x:v>45867</x:v>
      </x:c>
      <x:c r="G1429" s="2" t="str">
        <x:v>Broad market</x:v>
      </x:c>
      <x:c r="H1429" s="8" t="n">
        <x:f>'Model fits'!AA939</x:f>
        <x:v>0.3895827741881993</x:v>
      </x:c>
      <x:c r="I1429" s="8" t="n">
        <x:f>0</x:f>
        <x:v>0</x:v>
      </x:c>
      <x:c r="J1429" s="8" t="n">
        <x:v>0</x:v>
      </x:c>
      <x:c r="K1429" s="8" t="n">
        <x:f>H1429-I1429*J1429</x:f>
        <x:v>0.3895827741881993</x:v>
      </x:c>
      <x:c r="L1429" s="8" t="n">
        <x:f>'PG facts'!E133</x:f>
        <x:v>1</x:v>
      </x:c>
      <x:c r="M1429" s="8" t="n">
        <x:f>K1429-L1429</x:f>
        <x:v>-0.6104172258118007</x:v>
      </x:c>
      <x:c r="N1429" s="8" t="n">
        <x:f>M1429^2</x:f>
        <x:v>0.3726091895677749</x:v>
      </x:c>
      <x:c r="O1429" s="8" t="n">
        <x:f>ABS(M1429)</x:f>
        <x:v>0.6104172258118007</x:v>
      </x:c>
      <x:c r="P1429" s="7" t="n">
        <x:v>45954</x:v>
      </x:c>
    </x:row>
    <x:row r="1430" ht="26" customHeight="1">
      <x:c r="A1430" s="2"/>
      <x:c r="B1430" s="2" t="n">
        <x:v>1425</x:v>
      </x:c>
      <x:c r="C1430" s="2" t="str">
        <x:v>Grooming / organic_volume_growth</x:v>
      </x:c>
      <x:c r="D1430" s="7" t="n">
        <x:v>45930</x:v>
      </x:c>
      <x:c r="E1430" s="2" t="str">
        <x:v>Prior report</x:v>
      </x:c>
      <x:c r="F1430" s="7" t="n">
        <x:v>45867</x:v>
      </x:c>
      <x:c r="G1430" s="2" t="str">
        <x:v>Broad rolling 8</x:v>
      </x:c>
      <x:c r="H1430" s="8" t="n">
        <x:f>'Model fits'!AA940</x:f>
        <x:v>2.6225690427527675</x:v>
      </x:c>
      <x:c r="I1430" s="8" t="n">
        <x:f>0</x:f>
        <x:v>0</x:v>
      </x:c>
      <x:c r="J1430" s="8" t="n">
        <x:v>0</x:v>
      </x:c>
      <x:c r="K1430" s="8" t="n">
        <x:f>H1430-I1430*J1430</x:f>
        <x:v>2.6225690427527675</x:v>
      </x:c>
      <x:c r="L1430" s="8" t="n">
        <x:f>'PG facts'!E133</x:f>
        <x:v>1</x:v>
      </x:c>
      <x:c r="M1430" s="8" t="n">
        <x:f>K1430-L1430</x:f>
        <x:v>1.6225690427527675</x:v>
      </x:c>
      <x:c r="N1430" s="8" t="n">
        <x:f>M1430^2</x:f>
        <x:v>2.632730298499632</x:v>
      </x:c>
      <x:c r="O1430" s="8" t="n">
        <x:f>ABS(M1430)</x:f>
        <x:v>1.6225690427527675</x:v>
      </x:c>
      <x:c r="P1430" s="7" t="n">
        <x:v>45954</x:v>
      </x:c>
    </x:row>
    <x:row r="1431" ht="26" customHeight="1">
      <x:c r="A1431" s="2"/>
      <x:c r="B1431" s="2" t="n">
        <x:v>1426</x:v>
      </x:c>
      <x:c r="C1431" s="2" t="str">
        <x:v>Grooming / organic_volume_growth</x:v>
      </x:c>
      <x:c r="D1431" s="7" t="n">
        <x:v>45930</x:v>
      </x:c>
      <x:c r="E1431" s="2" t="str">
        <x:v>Prior report</x:v>
      </x:c>
      <x:c r="F1431" s="7" t="n">
        <x:v>45867</x:v>
      </x:c>
      <x:c r="G1431" s="2" t="str">
        <x:v>Own history</x:v>
      </x:c>
      <x:c r="H1431" s="8" t="n">
        <x:f>'Model fits'!AA941</x:f>
        <x:v>0.054249547920434016</x:v>
      </x:c>
      <x:c r="I1431" s="8" t="n">
        <x:f>0</x:f>
        <x:v>0</x:v>
      </x:c>
      <x:c r="J1431" s="8" t="n">
        <x:v>0</x:v>
      </x:c>
      <x:c r="K1431" s="8" t="n">
        <x:f>H1431-I1431*J1431</x:f>
        <x:v>0.054249547920434016</x:v>
      </x:c>
      <x:c r="L1431" s="8" t="n">
        <x:f>'PG facts'!E133</x:f>
        <x:v>1</x:v>
      </x:c>
      <x:c r="M1431" s="8" t="n">
        <x:f>K1431-L1431</x:f>
        <x:v>-0.945750452079566</x:v>
      </x:c>
      <x:c r="N1431" s="8" t="n">
        <x:f>M1431^2</x:f>
        <x:v>0.8944439176087035</x:v>
      </x:c>
      <x:c r="O1431" s="8" t="n">
        <x:f>ABS(M1431)</x:f>
        <x:v>0.945750452079566</x:v>
      </x:c>
      <x:c r="P1431" s="7" t="n">
        <x:v>45954</x:v>
      </x:c>
    </x:row>
    <x:row r="1432" ht="26" customHeight="1">
      <x:c r="A1432" s="2"/>
      <x:c r="B1432" s="2" t="n">
        <x:v>1427</x:v>
      </x:c>
      <x:c r="C1432" s="2" t="str">
        <x:v>Grooming / organic_volume_growth</x:v>
      </x:c>
      <x:c r="D1432" s="7" t="n">
        <x:v>45930</x:v>
      </x:c>
      <x:c r="E1432" s="2" t="str">
        <x:v>Pre-earnings</x:v>
      </x:c>
      <x:c r="F1432" s="7" t="n">
        <x:v>45953</x:v>
      </x:c>
      <x:c r="G1432" s="2" t="str">
        <x:v>Last actual</x:v>
      </x:c>
      <x:c r="H1432" s="8" t="n">
        <x:f>AVERAGE('PG facts'!E126)</x:f>
        <x:v>-1</x:v>
      </x:c>
      <x:c r="I1432" s="8" t="n">
        <x:f>0</x:f>
        <x:v>0</x:v>
      </x:c>
      <x:c r="J1432" s="8" t="n">
        <x:v>0</x:v>
      </x:c>
      <x:c r="K1432" s="8" t="n">
        <x:f>H1432-I1432*J1432</x:f>
        <x:v>-1</x:v>
      </x:c>
      <x:c r="L1432" s="8" t="n">
        <x:f>'PG facts'!E133</x:f>
        <x:v>1</x:v>
      </x:c>
      <x:c r="M1432" s="8" t="n">
        <x:f>K1432-L1432</x:f>
        <x:v>-2</x:v>
      </x:c>
      <x:c r="N1432" s="8" t="n">
        <x:f>M1432^2</x:f>
        <x:v>4</x:v>
      </x:c>
      <x:c r="O1432" s="8" t="n">
        <x:f>ABS(M1432)</x:f>
        <x:v>2</x:v>
      </x:c>
      <x:c r="P1432" s="7" t="n">
        <x:v>45954</x:v>
      </x:c>
    </x:row>
    <x:row r="1433" ht="26" customHeight="1">
      <x:c r="A1433" s="2"/>
      <x:c r="B1433" s="2" t="n">
        <x:v>1428</x:v>
      </x:c>
      <x:c r="C1433" s="2" t="str">
        <x:v>Grooming / organic_volume_growth</x:v>
      </x:c>
      <x:c r="D1433" s="7" t="n">
        <x:v>45930</x:v>
      </x:c>
      <x:c r="E1433" s="2" t="str">
        <x:v>Pre-earnings</x:v>
      </x:c>
      <x:c r="F1433" s="7" t="n">
        <x:v>45953</x:v>
      </x:c>
      <x:c r="G1433" s="2" t="str">
        <x:v>Four-quarter mean</x:v>
      </x:c>
      <x:c r="H1433" s="8" t="n">
        <x:f>AVERAGE('PG facts'!E105,'PG facts'!E112,'PG facts'!E119,'PG facts'!E126)</x:f>
        <x:v>1.75</x:v>
      </x:c>
      <x:c r="I1433" s="8" t="n">
        <x:f>0</x:f>
        <x:v>0</x:v>
      </x:c>
      <x:c r="J1433" s="8" t="n">
        <x:v>0</x:v>
      </x:c>
      <x:c r="K1433" s="8" t="n">
        <x:f>H1433-I1433*J1433</x:f>
        <x:v>1.75</x:v>
      </x:c>
      <x:c r="L1433" s="8" t="n">
        <x:f>'PG facts'!E133</x:f>
        <x:v>1</x:v>
      </x:c>
      <x:c r="M1433" s="8" t="n">
        <x:f>K1433-L1433</x:f>
        <x:v>0.75</x:v>
      </x:c>
      <x:c r="N1433" s="8" t="n">
        <x:f>M1433^2</x:f>
        <x:v>0.5625</x:v>
      </x:c>
      <x:c r="O1433" s="8" t="n">
        <x:f>ABS(M1433)</x:f>
        <x:v>0.75</x:v>
      </x:c>
      <x:c r="P1433" s="7" t="n">
        <x:v>45954</x:v>
      </x:c>
    </x:row>
    <x:row r="1434" ht="26" customHeight="1">
      <x:c r="A1434" s="2"/>
      <x:c r="B1434" s="2" t="n">
        <x:v>1429</x:v>
      </x:c>
      <x:c r="C1434" s="2" t="str">
        <x:v>Grooming / organic_volume_growth</x:v>
      </x:c>
      <x:c r="D1434" s="7" t="n">
        <x:v>45930</x:v>
      </x:c>
      <x:c r="E1434" s="2" t="str">
        <x:v>Pre-earnings</x:v>
      </x:c>
      <x:c r="F1434" s="7" t="n">
        <x:v>45953</x:v>
      </x:c>
      <x:c r="G1434" s="2" t="str">
        <x:v>Broad market</x:v>
      </x:c>
      <x:c r="H1434" s="8" t="n">
        <x:f>'Model fits'!AA942</x:f>
        <x:v>0.44220542788655903</x:v>
      </x:c>
      <x:c r="I1434" s="8" t="n">
        <x:f>0</x:f>
        <x:v>0</x:v>
      </x:c>
      <x:c r="J1434" s="8" t="n">
        <x:v>0</x:v>
      </x:c>
      <x:c r="K1434" s="8" t="n">
        <x:f>H1434-I1434*J1434</x:f>
        <x:v>0.44220542788655903</x:v>
      </x:c>
      <x:c r="L1434" s="8" t="n">
        <x:f>'PG facts'!E133</x:f>
        <x:v>1</x:v>
      </x:c>
      <x:c r="M1434" s="8" t="n">
        <x:f>K1434-L1434</x:f>
        <x:v>-0.557794572113441</x:v>
      </x:c>
      <x:c r="N1434" s="8" t="n">
        <x:f>M1434^2</x:f>
        <x:v>0.3111347846792167</x:v>
      </x:c>
      <x:c r="O1434" s="8" t="n">
        <x:f>ABS(M1434)</x:f>
        <x:v>0.557794572113441</x:v>
      </x:c>
      <x:c r="P1434" s="7" t="n">
        <x:v>45954</x:v>
      </x:c>
    </x:row>
    <x:row r="1435" ht="26" customHeight="1">
      <x:c r="A1435" s="2"/>
      <x:c r="B1435" s="2" t="n">
        <x:v>1430</x:v>
      </x:c>
      <x:c r="C1435" s="2" t="str">
        <x:v>Grooming / organic_volume_growth</x:v>
      </x:c>
      <x:c r="D1435" s="7" t="n">
        <x:v>45930</x:v>
      </x:c>
      <x:c r="E1435" s="2" t="str">
        <x:v>Pre-earnings</x:v>
      </x:c>
      <x:c r="F1435" s="7" t="n">
        <x:v>45953</x:v>
      </x:c>
      <x:c r="G1435" s="2" t="str">
        <x:v>Broad lag 1</x:v>
      </x:c>
      <x:c r="H1435" s="8" t="n">
        <x:f>'Model fits'!AA943</x:f>
        <x:v>0.4147776657135273</x:v>
      </x:c>
      <x:c r="I1435" s="8" t="n">
        <x:f>0</x:f>
        <x:v>0</x:v>
      </x:c>
      <x:c r="J1435" s="8" t="n">
        <x:v>0</x:v>
      </x:c>
      <x:c r="K1435" s="8" t="n">
        <x:f>H1435-I1435*J1435</x:f>
        <x:v>0.4147776657135273</x:v>
      </x:c>
      <x:c r="L1435" s="8" t="n">
        <x:f>'PG facts'!E133</x:f>
        <x:v>1</x:v>
      </x:c>
      <x:c r="M1435" s="8" t="n">
        <x:f>K1435-L1435</x:f>
        <x:v>-0.5852223342864726</x:v>
      </x:c>
      <x:c r="N1435" s="8" t="n">
        <x:f>M1435^2</x:f>
        <x:v>0.34248518054770793</x:v>
      </x:c>
      <x:c r="O1435" s="8" t="n">
        <x:f>ABS(M1435)</x:f>
        <x:v>0.5852223342864726</x:v>
      </x:c>
      <x:c r="P1435" s="7" t="n">
        <x:v>45954</x:v>
      </x:c>
    </x:row>
    <x:row r="1436" ht="26" customHeight="1">
      <x:c r="A1436" s="2"/>
      <x:c r="B1436" s="2" t="n">
        <x:v>1431</x:v>
      </x:c>
      <x:c r="C1436" s="2" t="str">
        <x:v>Grooming / organic_volume_growth</x:v>
      </x:c>
      <x:c r="D1436" s="7" t="n">
        <x:v>45930</x:v>
      </x:c>
      <x:c r="E1436" s="2" t="str">
        <x:v>Pre-earnings</x:v>
      </x:c>
      <x:c r="F1436" s="7" t="n">
        <x:v>45953</x:v>
      </x:c>
      <x:c r="G1436" s="2" t="str">
        <x:v>Broad rolling 8</x:v>
      </x:c>
      <x:c r="H1436" s="8" t="n">
        <x:f>'Model fits'!AA944</x:f>
        <x:v>1.594385733534558</x:v>
      </x:c>
      <x:c r="I1436" s="8" t="n">
        <x:f>0</x:f>
        <x:v>0</x:v>
      </x:c>
      <x:c r="J1436" s="8" t="n">
        <x:v>0</x:v>
      </x:c>
      <x:c r="K1436" s="8" t="n">
        <x:f>H1436-I1436*J1436</x:f>
        <x:v>1.594385733534558</x:v>
      </x:c>
      <x:c r="L1436" s="8" t="n">
        <x:f>'PG facts'!E133</x:f>
        <x:v>1</x:v>
      </x:c>
      <x:c r="M1436" s="8" t="n">
        <x:f>K1436-L1436</x:f>
        <x:v>0.5943857335345579</x:v>
      </x:c>
      <x:c r="N1436" s="8" t="n">
        <x:f>M1436^2</x:f>
        <x:v>0.3532944002294145</x:v>
      </x:c>
      <x:c r="O1436" s="8" t="n">
        <x:f>ABS(M1436)</x:f>
        <x:v>0.5943857335345579</x:v>
      </x:c>
      <x:c r="P1436" s="7" t="n">
        <x:v>45954</x:v>
      </x:c>
    </x:row>
    <x:row r="1437" ht="26" customHeight="1">
      <x:c r="A1437" s="2"/>
      <x:c r="B1437" s="2" t="n">
        <x:v>1432</x:v>
      </x:c>
      <x:c r="C1437" s="2" t="str">
        <x:v>Grooming / organic_volume_growth</x:v>
      </x:c>
      <x:c r="D1437" s="7" t="n">
        <x:v>45930</x:v>
      </x:c>
      <x:c r="E1437" s="2" t="str">
        <x:v>Pre-earnings</x:v>
      </x:c>
      <x:c r="F1437" s="7" t="n">
        <x:v>45953</x:v>
      </x:c>
      <x:c r="G1437" s="2" t="str">
        <x:v>Own history</x:v>
      </x:c>
      <x:c r="H1437" s="8" t="n">
        <x:f>'Model fits'!AA945</x:f>
        <x:v>0.054249547920434016</x:v>
      </x:c>
      <x:c r="I1437" s="8" t="n">
        <x:f>0</x:f>
        <x:v>0</x:v>
      </x:c>
      <x:c r="J1437" s="8" t="n">
        <x:v>0</x:v>
      </x:c>
      <x:c r="K1437" s="8" t="n">
        <x:f>H1437-I1437*J1437</x:f>
        <x:v>0.054249547920434016</x:v>
      </x:c>
      <x:c r="L1437" s="8" t="n">
        <x:f>'PG facts'!E133</x:f>
        <x:v>1</x:v>
      </x:c>
      <x:c r="M1437" s="8" t="n">
        <x:f>K1437-L1437</x:f>
        <x:v>-0.945750452079566</x:v>
      </x:c>
      <x:c r="N1437" s="8" t="n">
        <x:f>M1437^2</x:f>
        <x:v>0.8944439176087035</x:v>
      </x:c>
      <x:c r="O1437" s="8" t="n">
        <x:f>ABS(M1437)</x:f>
        <x:v>0.945750452079566</x:v>
      </x:c>
      <x:c r="P1437" s="7" t="n">
        <x:v>45954</x:v>
      </x:c>
    </x:row>
    <x:row r="1438" ht="26" customHeight="1">
      <x:c r="A1438" s="2"/>
      <x:c r="B1438" s="2" t="n">
        <x:v>1433</x:v>
      </x:c>
      <x:c r="C1438" s="2" t="str">
        <x:v>Grooming / organic_volume_growth</x:v>
      </x:c>
      <x:c r="D1438" s="7" t="n">
        <x:v>46022</x:v>
      </x:c>
      <x:c r="E1438" s="2" t="str">
        <x:v>Origin</x:v>
      </x:c>
      <x:c r="F1438" s="7" t="n">
        <x:v>45931</x:v>
      </x:c>
      <x:c r="G1438" s="2" t="str">
        <x:v>Last actual</x:v>
      </x:c>
      <x:c r="H1438" s="8" t="n">
        <x:f>AVERAGE('PG facts'!E126)</x:f>
        <x:v>-1</x:v>
      </x:c>
      <x:c r="I1438" s="8" t="n">
        <x:f>0</x:f>
        <x:v>0</x:v>
      </x:c>
      <x:c r="J1438" s="8" t="n">
        <x:v>0</x:v>
      </x:c>
      <x:c r="K1438" s="8" t="n">
        <x:f>H1438-I1438*J1438</x:f>
        <x:v>-1</x:v>
      </x:c>
      <x:c r="L1438" s="8" t="n">
        <x:f>'PG facts'!E140</x:f>
        <x:v>-2</x:v>
      </x:c>
      <x:c r="M1438" s="8" t="n">
        <x:f>K1438-L1438</x:f>
        <x:v>1</x:v>
      </x:c>
      <x:c r="N1438" s="8" t="n">
        <x:f>M1438^2</x:f>
        <x:v>1</x:v>
      </x:c>
      <x:c r="O1438" s="8" t="n">
        <x:f>ABS(M1438)</x:f>
        <x:v>1</x:v>
      </x:c>
      <x:c r="P1438" s="7" t="n">
        <x:v>46045</x:v>
      </x:c>
    </x:row>
    <x:row r="1439" ht="26" customHeight="1">
      <x:c r="A1439" s="2"/>
      <x:c r="B1439" s="2" t="n">
        <x:v>1434</x:v>
      </x:c>
      <x:c r="C1439" s="2" t="str">
        <x:v>Grooming / organic_volume_growth</x:v>
      </x:c>
      <x:c r="D1439" s="7" t="n">
        <x:v>46022</x:v>
      </x:c>
      <x:c r="E1439" s="2" t="str">
        <x:v>Origin</x:v>
      </x:c>
      <x:c r="F1439" s="7" t="n">
        <x:v>45931</x:v>
      </x:c>
      <x:c r="G1439" s="2" t="str">
        <x:v>Four-quarter mean</x:v>
      </x:c>
      <x:c r="H1439" s="8" t="n">
        <x:f>AVERAGE('PG facts'!E105,'PG facts'!E112,'PG facts'!E119,'PG facts'!E126)</x:f>
        <x:v>1.75</x:v>
      </x:c>
      <x:c r="I1439" s="8" t="n">
        <x:f>0</x:f>
        <x:v>0</x:v>
      </x:c>
      <x:c r="J1439" s="8" t="n">
        <x:v>0</x:v>
      </x:c>
      <x:c r="K1439" s="8" t="n">
        <x:f>H1439-I1439*J1439</x:f>
        <x:v>1.75</x:v>
      </x:c>
      <x:c r="L1439" s="8" t="n">
        <x:f>'PG facts'!E140</x:f>
        <x:v>-2</x:v>
      </x:c>
      <x:c r="M1439" s="8" t="n">
        <x:f>K1439-L1439</x:f>
        <x:v>3.75</x:v>
      </x:c>
      <x:c r="N1439" s="8" t="n">
        <x:f>M1439^2</x:f>
        <x:v>14.0625</x:v>
      </x:c>
      <x:c r="O1439" s="8" t="n">
        <x:f>ABS(M1439)</x:f>
        <x:v>3.75</x:v>
      </x:c>
      <x:c r="P1439" s="7" t="n">
        <x:v>46045</x:v>
      </x:c>
    </x:row>
    <x:row r="1440" ht="26" customHeight="1">
      <x:c r="A1440" s="2"/>
      <x:c r="B1440" s="2" t="n">
        <x:v>1435</x:v>
      </x:c>
      <x:c r="C1440" s="2" t="str">
        <x:v>Grooming / organic_volume_growth</x:v>
      </x:c>
      <x:c r="D1440" s="7" t="n">
        <x:v>46022</x:v>
      </x:c>
      <x:c r="E1440" s="2" t="str">
        <x:v>Origin</x:v>
      </x:c>
      <x:c r="F1440" s="7" t="n">
        <x:v>45931</x:v>
      </x:c>
      <x:c r="G1440" s="2" t="str">
        <x:v>Broad market</x:v>
      </x:c>
      <x:c r="H1440" s="8" t="n">
        <x:f>'Model fits'!AA946</x:f>
        <x:v>0.44650222349649327</x:v>
      </x:c>
      <x:c r="I1440" s="8" t="n">
        <x:f>0</x:f>
        <x:v>0</x:v>
      </x:c>
      <x:c r="J1440" s="8" t="n">
        <x:v>0</x:v>
      </x:c>
      <x:c r="K1440" s="8" t="n">
        <x:f>H1440-I1440*J1440</x:f>
        <x:v>0.44650222349649327</x:v>
      </x:c>
      <x:c r="L1440" s="8" t="n">
        <x:f>'PG facts'!E140</x:f>
        <x:v>-2</x:v>
      </x:c>
      <x:c r="M1440" s="8" t="n">
        <x:f>K1440-L1440</x:f>
        <x:v>2.446502223496493</x:v>
      </x:c>
      <x:c r="N1440" s="8" t="n">
        <x:f>M1440^2</x:f>
        <x:v>5.985373129573285</x:v>
      </x:c>
      <x:c r="O1440" s="8" t="n">
        <x:f>ABS(M1440)</x:f>
        <x:v>2.446502223496493</x:v>
      </x:c>
      <x:c r="P1440" s="7" t="n">
        <x:v>46045</x:v>
      </x:c>
    </x:row>
    <x:row r="1441" ht="26" customHeight="1">
      <x:c r="A1441" s="2"/>
      <x:c r="B1441" s="2" t="n">
        <x:v>1436</x:v>
      </x:c>
      <x:c r="C1441" s="2" t="str">
        <x:v>Grooming / organic_volume_growth</x:v>
      </x:c>
      <x:c r="D1441" s="7" t="n">
        <x:v>46022</x:v>
      </x:c>
      <x:c r="E1441" s="2" t="str">
        <x:v>Origin</x:v>
      </x:c>
      <x:c r="F1441" s="7" t="n">
        <x:v>45931</x:v>
      </x:c>
      <x:c r="G1441" s="2" t="str">
        <x:v>Broad rolling 8</x:v>
      </x:c>
      <x:c r="H1441" s="8" t="n">
        <x:f>'Model fits'!AA947</x:f>
        <x:v>1.5988418931352113</x:v>
      </x:c>
      <x:c r="I1441" s="8" t="n">
        <x:f>0</x:f>
        <x:v>0</x:v>
      </x:c>
      <x:c r="J1441" s="8" t="n">
        <x:v>0</x:v>
      </x:c>
      <x:c r="K1441" s="8" t="n">
        <x:f>H1441-I1441*J1441</x:f>
        <x:v>1.5988418931352113</x:v>
      </x:c>
      <x:c r="L1441" s="8" t="n">
        <x:f>'PG facts'!E140</x:f>
        <x:v>-2</x:v>
      </x:c>
      <x:c r="M1441" s="8" t="n">
        <x:f>K1441-L1441</x:f>
        <x:v>3.5988418931352113</x:v>
      </x:c>
      <x:c r="N1441" s="8" t="n">
        <x:f>M1441^2</x:f>
        <x:v>12.951662971785032</x:v>
      </x:c>
      <x:c r="O1441" s="8" t="n">
        <x:f>ABS(M1441)</x:f>
        <x:v>3.5988418931352113</x:v>
      </x:c>
      <x:c r="P1441" s="7" t="n">
        <x:v>46045</x:v>
      </x:c>
    </x:row>
    <x:row r="1442" ht="26" customHeight="1">
      <x:c r="A1442" s="2"/>
      <x:c r="B1442" s="2" t="n">
        <x:v>1437</x:v>
      </x:c>
      <x:c r="C1442" s="2" t="str">
        <x:v>Grooming / organic_volume_growth</x:v>
      </x:c>
      <x:c r="D1442" s="7" t="n">
        <x:v>46022</x:v>
      </x:c>
      <x:c r="E1442" s="2" t="str">
        <x:v>Origin</x:v>
      </x:c>
      <x:c r="F1442" s="7" t="n">
        <x:v>45931</x:v>
      </x:c>
      <x:c r="G1442" s="2" t="str">
        <x:v>Own history</x:v>
      </x:c>
      <x:c r="H1442" s="8" t="n">
        <x:f>'Model fits'!AA948</x:f>
        <x:v>-0.32273603082851643</x:v>
      </x:c>
      <x:c r="I1442" s="8" t="n">
        <x:f>0</x:f>
        <x:v>0</x:v>
      </x:c>
      <x:c r="J1442" s="8" t="n">
        <x:v>0</x:v>
      </x:c>
      <x:c r="K1442" s="8" t="n">
        <x:f>H1442-I1442*J1442</x:f>
        <x:v>-0.32273603082851643</x:v>
      </x:c>
      <x:c r="L1442" s="8" t="n">
        <x:f>'PG facts'!E140</x:f>
        <x:v>-2</x:v>
      </x:c>
      <x:c r="M1442" s="8" t="n">
        <x:f>K1442-L1442</x:f>
        <x:v>1.6772639691714835</x:v>
      </x:c>
      <x:c r="N1442" s="8" t="n">
        <x:f>M1442^2</x:f>
        <x:v>2.813214422280879</x:v>
      </x:c>
      <x:c r="O1442" s="8" t="n">
        <x:f>ABS(M1442)</x:f>
        <x:v>1.6772639691714835</x:v>
      </x:c>
      <x:c r="P1442" s="7" t="n">
        <x:v>46045</x:v>
      </x:c>
    </x:row>
    <x:row r="1443" ht="26" customHeight="1">
      <x:c r="A1443" s="2"/>
      <x:c r="B1443" s="2" t="n">
        <x:v>1438</x:v>
      </x:c>
      <x:c r="C1443" s="2" t="str">
        <x:v>Grooming / organic_volume_growth</x:v>
      </x:c>
      <x:c r="D1443" s="7" t="n">
        <x:v>46022</x:v>
      </x:c>
      <x:c r="E1443" s="2" t="str">
        <x:v>Prior report</x:v>
      </x:c>
      <x:c r="F1443" s="7" t="n">
        <x:v>45954</x:v>
      </x:c>
      <x:c r="G1443" s="2" t="str">
        <x:v>Last actual</x:v>
      </x:c>
      <x:c r="H1443" s="8" t="n">
        <x:f>AVERAGE('PG facts'!E133)</x:f>
        <x:v>1</x:v>
      </x:c>
      <x:c r="I1443" s="8" t="n">
        <x:f>0</x:f>
        <x:v>0</x:v>
      </x:c>
      <x:c r="J1443" s="8" t="n">
        <x:v>0</x:v>
      </x:c>
      <x:c r="K1443" s="8" t="n">
        <x:f>H1443-I1443*J1443</x:f>
        <x:v>1</x:v>
      </x:c>
      <x:c r="L1443" s="8" t="n">
        <x:f>'PG facts'!E140</x:f>
        <x:v>-2</x:v>
      </x:c>
      <x:c r="M1443" s="8" t="n">
        <x:f>K1443-L1443</x:f>
        <x:v>3</x:v>
      </x:c>
      <x:c r="N1443" s="8" t="n">
        <x:f>M1443^2</x:f>
        <x:v>9</x:v>
      </x:c>
      <x:c r="O1443" s="8" t="n">
        <x:f>ABS(M1443)</x:f>
        <x:v>3</x:v>
      </x:c>
      <x:c r="P1443" s="7" t="n">
        <x:v>46045</x:v>
      </x:c>
    </x:row>
    <x:row r="1444" ht="26" customHeight="1">
      <x:c r="A1444" s="2"/>
      <x:c r="B1444" s="2" t="n">
        <x:v>1439</x:v>
      </x:c>
      <x:c r="C1444" s="2" t="str">
        <x:v>Grooming / organic_volume_growth</x:v>
      </x:c>
      <x:c r="D1444" s="7" t="n">
        <x:v>46022</x:v>
      </x:c>
      <x:c r="E1444" s="2" t="str">
        <x:v>Prior report</x:v>
      </x:c>
      <x:c r="F1444" s="7" t="n">
        <x:v>45954</x:v>
      </x:c>
      <x:c r="G1444" s="2" t="str">
        <x:v>Four-quarter mean</x:v>
      </x:c>
      <x:c r="H1444" s="8" t="n">
        <x:f>AVERAGE('PG facts'!E112,'PG facts'!E119,'PG facts'!E126,'PG facts'!E133)</x:f>
        <x:v>0.75</x:v>
      </x:c>
      <x:c r="I1444" s="8" t="n">
        <x:f>0</x:f>
        <x:v>0</x:v>
      </x:c>
      <x:c r="J1444" s="8" t="n">
        <x:v>0</x:v>
      </x:c>
      <x:c r="K1444" s="8" t="n">
        <x:f>H1444-I1444*J1444</x:f>
        <x:v>0.75</x:v>
      </x:c>
      <x:c r="L1444" s="8" t="n">
        <x:f>'PG facts'!E140</x:f>
        <x:v>-2</x:v>
      </x:c>
      <x:c r="M1444" s="8" t="n">
        <x:f>K1444-L1444</x:f>
        <x:v>2.75</x:v>
      </x:c>
      <x:c r="N1444" s="8" t="n">
        <x:f>M1444^2</x:f>
        <x:v>7.5625</x:v>
      </x:c>
      <x:c r="O1444" s="8" t="n">
        <x:f>ABS(M1444)</x:f>
        <x:v>2.75</x:v>
      </x:c>
      <x:c r="P1444" s="7" t="n">
        <x:v>46045</x:v>
      </x:c>
    </x:row>
    <x:row r="1445" ht="26" customHeight="1">
      <x:c r="A1445" s="2"/>
      <x:c r="B1445" s="2" t="n">
        <x:v>1440</x:v>
      </x:c>
      <x:c r="C1445" s="2" t="str">
        <x:v>Grooming / organic_volume_growth</x:v>
      </x:c>
      <x:c r="D1445" s="7" t="n">
        <x:v>46022</x:v>
      </x:c>
      <x:c r="E1445" s="2" t="str">
        <x:v>Prior report</x:v>
      </x:c>
      <x:c r="F1445" s="7" t="n">
        <x:v>45954</x:v>
      </x:c>
      <x:c r="G1445" s="2" t="str">
        <x:v>Broad market</x:v>
      </x:c>
      <x:c r="H1445" s="8" t="n">
        <x:f>'Model fits'!AA949</x:f>
        <x:v>0.44650222349649327</x:v>
      </x:c>
      <x:c r="I1445" s="8" t="n">
        <x:f>0</x:f>
        <x:v>0</x:v>
      </x:c>
      <x:c r="J1445" s="8" t="n">
        <x:v>0</x:v>
      </x:c>
      <x:c r="K1445" s="8" t="n">
        <x:f>H1445-I1445*J1445</x:f>
        <x:v>0.44650222349649327</x:v>
      </x:c>
      <x:c r="L1445" s="8" t="n">
        <x:f>'PG facts'!E140</x:f>
        <x:v>-2</x:v>
      </x:c>
      <x:c r="M1445" s="8" t="n">
        <x:f>K1445-L1445</x:f>
        <x:v>2.446502223496493</x:v>
      </x:c>
      <x:c r="N1445" s="8" t="n">
        <x:f>M1445^2</x:f>
        <x:v>5.985373129573285</x:v>
      </x:c>
      <x:c r="O1445" s="8" t="n">
        <x:f>ABS(M1445)</x:f>
        <x:v>2.446502223496493</x:v>
      </x:c>
      <x:c r="P1445" s="7" t="n">
        <x:v>46045</x:v>
      </x:c>
    </x:row>
    <x:row r="1446" ht="26" customHeight="1">
      <x:c r="A1446" s="2"/>
      <x:c r="B1446" s="2" t="n">
        <x:v>1441</x:v>
      </x:c>
      <x:c r="C1446" s="2" t="str">
        <x:v>Grooming / organic_volume_growth</x:v>
      </x:c>
      <x:c r="D1446" s="7" t="n">
        <x:v>46022</x:v>
      </x:c>
      <x:c r="E1446" s="2" t="str">
        <x:v>Prior report</x:v>
      </x:c>
      <x:c r="F1446" s="7" t="n">
        <x:v>45954</x:v>
      </x:c>
      <x:c r="G1446" s="2" t="str">
        <x:v>Broad rolling 8</x:v>
      </x:c>
      <x:c r="H1446" s="8" t="n">
        <x:f>'Model fits'!AA950</x:f>
        <x:v>1.5988418931352113</x:v>
      </x:c>
      <x:c r="I1446" s="8" t="n">
        <x:f>0</x:f>
        <x:v>0</x:v>
      </x:c>
      <x:c r="J1446" s="8" t="n">
        <x:v>0</x:v>
      </x:c>
      <x:c r="K1446" s="8" t="n">
        <x:f>H1446-I1446*J1446</x:f>
        <x:v>1.5988418931352113</x:v>
      </x:c>
      <x:c r="L1446" s="8" t="n">
        <x:f>'PG facts'!E140</x:f>
        <x:v>-2</x:v>
      </x:c>
      <x:c r="M1446" s="8" t="n">
        <x:f>K1446-L1446</x:f>
        <x:v>3.5988418931352113</x:v>
      </x:c>
      <x:c r="N1446" s="8" t="n">
        <x:f>M1446^2</x:f>
        <x:v>12.951662971785032</x:v>
      </x:c>
      <x:c r="O1446" s="8" t="n">
        <x:f>ABS(M1446)</x:f>
        <x:v>3.5988418931352113</x:v>
      </x:c>
      <x:c r="P1446" s="7" t="n">
        <x:v>46045</x:v>
      </x:c>
    </x:row>
    <x:row r="1447" ht="26" customHeight="1">
      <x:c r="A1447" s="2"/>
      <x:c r="B1447" s="2" t="n">
        <x:v>1442</x:v>
      </x:c>
      <x:c r="C1447" s="2" t="str">
        <x:v>Grooming / organic_volume_growth</x:v>
      </x:c>
      <x:c r="D1447" s="7" t="n">
        <x:v>46022</x:v>
      </x:c>
      <x:c r="E1447" s="2" t="str">
        <x:v>Prior report</x:v>
      </x:c>
      <x:c r="F1447" s="7" t="n">
        <x:v>45954</x:v>
      </x:c>
      <x:c r="G1447" s="2" t="str">
        <x:v>Own history</x:v>
      </x:c>
      <x:c r="H1447" s="8" t="n">
        <x:f>'Model fits'!AA951</x:f>
        <x:v>0.5235690235690236</x:v>
      </x:c>
      <x:c r="I1447" s="8" t="n">
        <x:f>0</x:f>
        <x:v>0</x:v>
      </x:c>
      <x:c r="J1447" s="8" t="n">
        <x:v>0</x:v>
      </x:c>
      <x:c r="K1447" s="8" t="n">
        <x:f>H1447-I1447*J1447</x:f>
        <x:v>0.5235690235690236</x:v>
      </x:c>
      <x:c r="L1447" s="8" t="n">
        <x:f>'PG facts'!E140</x:f>
        <x:v>-2</x:v>
      </x:c>
      <x:c r="M1447" s="8" t="n">
        <x:f>K1447-L1447</x:f>
        <x:v>2.5235690235690234</x:v>
      </x:c>
      <x:c r="N1447" s="8" t="n">
        <x:f>M1447^2</x:f>
        <x:v>6.368400616717114</x:v>
      </x:c>
      <x:c r="O1447" s="8" t="n">
        <x:f>ABS(M1447)</x:f>
        <x:v>2.5235690235690234</x:v>
      </x:c>
      <x:c r="P1447" s="7" t="n">
        <x:v>46045</x:v>
      </x:c>
    </x:row>
    <x:row r="1448" ht="26" customHeight="1">
      <x:c r="A1448" s="2"/>
      <x:c r="B1448" s="2" t="n">
        <x:v>1443</x:v>
      </x:c>
      <x:c r="C1448" s="2" t="str">
        <x:v>Grooming / organic_volume_growth</x:v>
      </x:c>
      <x:c r="D1448" s="7" t="n">
        <x:v>46022</x:v>
      </x:c>
      <x:c r="E1448" s="2" t="str">
        <x:v>Pre-earnings</x:v>
      </x:c>
      <x:c r="F1448" s="7" t="n">
        <x:v>46044</x:v>
      </x:c>
      <x:c r="G1448" s="2" t="str">
        <x:v>Last actual</x:v>
      </x:c>
      <x:c r="H1448" s="8" t="n">
        <x:f>AVERAGE('PG facts'!E133)</x:f>
        <x:v>1</x:v>
      </x:c>
      <x:c r="I1448" s="8" t="n">
        <x:f>0</x:f>
        <x:v>0</x:v>
      </x:c>
      <x:c r="J1448" s="8" t="n">
        <x:v>0</x:v>
      </x:c>
      <x:c r="K1448" s="8" t="n">
        <x:f>H1448-I1448*J1448</x:f>
        <x:v>1</x:v>
      </x:c>
      <x:c r="L1448" s="8" t="n">
        <x:f>'PG facts'!E140</x:f>
        <x:v>-2</x:v>
      </x:c>
      <x:c r="M1448" s="8" t="n">
        <x:f>K1448-L1448</x:f>
        <x:v>3</x:v>
      </x:c>
      <x:c r="N1448" s="8" t="n">
        <x:f>M1448^2</x:f>
        <x:v>9</x:v>
      </x:c>
      <x:c r="O1448" s="8" t="n">
        <x:f>ABS(M1448)</x:f>
        <x:v>3</x:v>
      </x:c>
      <x:c r="P1448" s="7" t="n">
        <x:v>46045</x:v>
      </x:c>
    </x:row>
    <x:row r="1449" ht="26" customHeight="1">
      <x:c r="A1449" s="2"/>
      <x:c r="B1449" s="2" t="n">
        <x:v>1444</x:v>
      </x:c>
      <x:c r="C1449" s="2" t="str">
        <x:v>Grooming / organic_volume_growth</x:v>
      </x:c>
      <x:c r="D1449" s="7" t="n">
        <x:v>46022</x:v>
      </x:c>
      <x:c r="E1449" s="2" t="str">
        <x:v>Pre-earnings</x:v>
      </x:c>
      <x:c r="F1449" s="7" t="n">
        <x:v>46044</x:v>
      </x:c>
      <x:c r="G1449" s="2" t="str">
        <x:v>Four-quarter mean</x:v>
      </x:c>
      <x:c r="H1449" s="8" t="n">
        <x:f>AVERAGE('PG facts'!E112,'PG facts'!E119,'PG facts'!E126,'PG facts'!E133)</x:f>
        <x:v>0.75</x:v>
      </x:c>
      <x:c r="I1449" s="8" t="n">
        <x:f>0</x:f>
        <x:v>0</x:v>
      </x:c>
      <x:c r="J1449" s="8" t="n">
        <x:v>0</x:v>
      </x:c>
      <x:c r="K1449" s="8" t="n">
        <x:f>H1449-I1449*J1449</x:f>
        <x:v>0.75</x:v>
      </x:c>
      <x:c r="L1449" s="8" t="n">
        <x:f>'PG facts'!E140</x:f>
        <x:v>-2</x:v>
      </x:c>
      <x:c r="M1449" s="8" t="n">
        <x:f>K1449-L1449</x:f>
        <x:v>2.75</x:v>
      </x:c>
      <x:c r="N1449" s="8" t="n">
        <x:f>M1449^2</x:f>
        <x:v>7.5625</x:v>
      </x:c>
      <x:c r="O1449" s="8" t="n">
        <x:f>ABS(M1449)</x:f>
        <x:v>2.75</x:v>
      </x:c>
      <x:c r="P1449" s="7" t="n">
        <x:v>46045</x:v>
      </x:c>
    </x:row>
    <x:row r="1450" ht="26" customHeight="1">
      <x:c r="A1450" s="2"/>
      <x:c r="B1450" s="2" t="n">
        <x:v>1445</x:v>
      </x:c>
      <x:c r="C1450" s="2" t="str">
        <x:v>Grooming / organic_volume_growth</x:v>
      </x:c>
      <x:c r="D1450" s="7" t="n">
        <x:v>46022</x:v>
      </x:c>
      <x:c r="E1450" s="2" t="str">
        <x:v>Pre-earnings</x:v>
      </x:c>
      <x:c r="F1450" s="7" t="n">
        <x:v>46044</x:v>
      </x:c>
      <x:c r="G1450" s="2" t="str">
        <x:v>Broad market</x:v>
      </x:c>
      <x:c r="H1450" s="8" t="n">
        <x:f>'Model fits'!AA952</x:f>
        <x:v>0.33349638302684914</x:v>
      </x:c>
      <x:c r="I1450" s="8" t="n">
        <x:f>0</x:f>
        <x:v>0</x:v>
      </x:c>
      <x:c r="J1450" s="8" t="n">
        <x:v>0</x:v>
      </x:c>
      <x:c r="K1450" s="8" t="n">
        <x:f>H1450-I1450*J1450</x:f>
        <x:v>0.33349638302684914</x:v>
      </x:c>
      <x:c r="L1450" s="8" t="n">
        <x:f>'PG facts'!E140</x:f>
        <x:v>-2</x:v>
      </x:c>
      <x:c r="M1450" s="8" t="n">
        <x:f>K1450-L1450</x:f>
        <x:v>2.333496383026849</x:v>
      </x:c>
      <x:c r="N1450" s="8" t="n">
        <x:f>M1450^2</x:f>
        <x:v>5.445205369599387</x:v>
      </x:c>
      <x:c r="O1450" s="8" t="n">
        <x:f>ABS(M1450)</x:f>
        <x:v>2.333496383026849</x:v>
      </x:c>
      <x:c r="P1450" s="7" t="n">
        <x:v>46045</x:v>
      </x:c>
    </x:row>
    <x:row r="1451" ht="26" customHeight="1">
      <x:c r="A1451" s="2"/>
      <x:c r="B1451" s="2" t="n">
        <x:v>1446</x:v>
      </x:c>
      <x:c r="C1451" s="2" t="str">
        <x:v>Grooming / organic_volume_growth</x:v>
      </x:c>
      <x:c r="D1451" s="7" t="n">
        <x:v>46022</x:v>
      </x:c>
      <x:c r="E1451" s="2" t="str">
        <x:v>Pre-earnings</x:v>
      </x:c>
      <x:c r="F1451" s="7" t="n">
        <x:v>46044</x:v>
      </x:c>
      <x:c r="G1451" s="2" t="str">
        <x:v>Broad lag 1</x:v>
      </x:c>
      <x:c r="H1451" s="8" t="n">
        <x:f>'Model fits'!AA953</x:f>
        <x:v>0.38565154153884124</x:v>
      </x:c>
      <x:c r="I1451" s="8" t="n">
        <x:f>0</x:f>
        <x:v>0</x:v>
      </x:c>
      <x:c r="J1451" s="8" t="n">
        <x:v>0</x:v>
      </x:c>
      <x:c r="K1451" s="8" t="n">
        <x:f>H1451-I1451*J1451</x:f>
        <x:v>0.38565154153884124</x:v>
      </x:c>
      <x:c r="L1451" s="8" t="n">
        <x:f>'PG facts'!E140</x:f>
        <x:v>-2</x:v>
      </x:c>
      <x:c r="M1451" s="8" t="n">
        <x:f>K1451-L1451</x:f>
        <x:v>2.385651541538841</x:v>
      </x:c>
      <x:c r="N1451" s="8" t="n">
        <x:f>M1451^2</x:f>
        <x:v>5.691333277646649</x:v>
      </x:c>
      <x:c r="O1451" s="8" t="n">
        <x:f>ABS(M1451)</x:f>
        <x:v>2.385651541538841</x:v>
      </x:c>
      <x:c r="P1451" s="7" t="n">
        <x:v>46045</x:v>
      </x:c>
    </x:row>
    <x:row r="1452" ht="26" customHeight="1">
      <x:c r="A1452" s="2"/>
      <x:c r="B1452" s="2" t="n">
        <x:v>1447</x:v>
      </x:c>
      <x:c r="C1452" s="2" t="str">
        <x:v>Grooming / organic_volume_growth</x:v>
      </x:c>
      <x:c r="D1452" s="7" t="n">
        <x:v>46022</x:v>
      </x:c>
      <x:c r="E1452" s="2" t="str">
        <x:v>Pre-earnings</x:v>
      </x:c>
      <x:c r="F1452" s="7" t="n">
        <x:v>46044</x:v>
      </x:c>
      <x:c r="G1452" s="2" t="str">
        <x:v>Broad rolling 8</x:v>
      </x:c>
      <x:c r="H1452" s="8" t="n">
        <x:f>'Model fits'!AA954</x:f>
        <x:v>1.4318250538125996</x:v>
      </x:c>
      <x:c r="I1452" s="8" t="n">
        <x:f>0</x:f>
        <x:v>0</x:v>
      </x:c>
      <x:c r="J1452" s="8" t="n">
        <x:v>0</x:v>
      </x:c>
      <x:c r="K1452" s="8" t="n">
        <x:f>H1452-I1452*J1452</x:f>
        <x:v>1.4318250538125996</x:v>
      </x:c>
      <x:c r="L1452" s="8" t="n">
        <x:f>'PG facts'!E140</x:f>
        <x:v>-2</x:v>
      </x:c>
      <x:c r="M1452" s="8" t="n">
        <x:f>K1452-L1452</x:f>
        <x:v>3.4318250538125996</x:v>
      </x:c>
      <x:c r="N1452" s="8" t="n">
        <x:f>M1452^2</x:f>
        <x:v>11.777423199975852</x:v>
      </x:c>
      <x:c r="O1452" s="8" t="n">
        <x:f>ABS(M1452)</x:f>
        <x:v>3.4318250538125996</x:v>
      </x:c>
      <x:c r="P1452" s="7" t="n">
        <x:v>46045</x:v>
      </x:c>
    </x:row>
    <x:row r="1453" ht="26" customHeight="1">
      <x:c r="A1453" s="2"/>
      <x:c r="B1453" s="2" t="n">
        <x:v>1448</x:v>
      </x:c>
      <x:c r="C1453" s="2" t="str">
        <x:v>Grooming / organic_volume_growth</x:v>
      </x:c>
      <x:c r="D1453" s="7" t="n">
        <x:v>46022</x:v>
      </x:c>
      <x:c r="E1453" s="2" t="str">
        <x:v>Pre-earnings</x:v>
      </x:c>
      <x:c r="F1453" s="7" t="n">
        <x:v>46044</x:v>
      </x:c>
      <x:c r="G1453" s="2" t="str">
        <x:v>Own history</x:v>
      </x:c>
      <x:c r="H1453" s="8" t="n">
        <x:f>'Model fits'!AA955</x:f>
        <x:v>0.5235690235690236</x:v>
      </x:c>
      <x:c r="I1453" s="8" t="n">
        <x:f>0</x:f>
        <x:v>0</x:v>
      </x:c>
      <x:c r="J1453" s="8" t="n">
        <x:v>0</x:v>
      </x:c>
      <x:c r="K1453" s="8" t="n">
        <x:f>H1453-I1453*J1453</x:f>
        <x:v>0.5235690235690236</x:v>
      </x:c>
      <x:c r="L1453" s="8" t="n">
        <x:f>'PG facts'!E140</x:f>
        <x:v>-2</x:v>
      </x:c>
      <x:c r="M1453" s="8" t="n">
        <x:f>K1453-L1453</x:f>
        <x:v>2.5235690235690234</x:v>
      </x:c>
      <x:c r="N1453" s="8" t="n">
        <x:f>M1453^2</x:f>
        <x:v>6.368400616717114</x:v>
      </x:c>
      <x:c r="O1453" s="8" t="n">
        <x:f>ABS(M1453)</x:f>
        <x:v>2.5235690235690234</x:v>
      </x:c>
      <x:c r="P1453" s="7" t="n">
        <x:v>46045</x:v>
      </x:c>
    </x:row>
    <x:row r="1454" ht="26" customHeight="1">
      <x:c r="A1454" s="2"/>
      <x:c r="B1454" s="2" t="n">
        <x:v>1449</x:v>
      </x:c>
      <x:c r="C1454" s="2" t="str">
        <x:v>Grooming / organic_volume_growth</x:v>
      </x:c>
      <x:c r="D1454" s="7" t="n">
        <x:v>46112</x:v>
      </x:c>
      <x:c r="E1454" s="2" t="str">
        <x:v>Origin</x:v>
      </x:c>
      <x:c r="F1454" s="7" t="n">
        <x:v>46023</x:v>
      </x:c>
      <x:c r="G1454" s="2" t="str">
        <x:v>Last actual</x:v>
      </x:c>
      <x:c r="H1454" s="8" t="n">
        <x:f>AVERAGE('PG facts'!E133)</x:f>
        <x:v>1</x:v>
      </x:c>
      <x:c r="I1454" s="8" t="n">
        <x:f>0</x:f>
        <x:v>0</x:v>
      </x:c>
      <x:c r="J1454" s="8" t="n">
        <x:v>0</x:v>
      </x:c>
      <x:c r="K1454" s="8" t="n">
        <x:f>H1454-I1454*J1454</x:f>
        <x:v>1</x:v>
      </x:c>
      <x:c r="L1454" s="8" t="n">
        <x:f>'PG facts'!E147</x:f>
        <x:v>-2</x:v>
      </x:c>
      <x:c r="M1454" s="8" t="n">
        <x:f>K1454-L1454</x:f>
        <x:v>3</x:v>
      </x:c>
      <x:c r="N1454" s="8" t="n">
        <x:f>M1454^2</x:f>
        <x:v>9</x:v>
      </x:c>
      <x:c r="O1454" s="8" t="n">
        <x:f>ABS(M1454)</x:f>
        <x:v>3</x:v>
      </x:c>
      <x:c r="P1454" s="7" t="n">
        <x:v>46136</x:v>
      </x:c>
    </x:row>
    <x:row r="1455" ht="26" customHeight="1">
      <x:c r="A1455" s="2"/>
      <x:c r="B1455" s="2" t="n">
        <x:v>1450</x:v>
      </x:c>
      <x:c r="C1455" s="2" t="str">
        <x:v>Grooming / organic_volume_growth</x:v>
      </x:c>
      <x:c r="D1455" s="7" t="n">
        <x:v>46112</x:v>
      </x:c>
      <x:c r="E1455" s="2" t="str">
        <x:v>Origin</x:v>
      </x:c>
      <x:c r="F1455" s="7" t="n">
        <x:v>46023</x:v>
      </x:c>
      <x:c r="G1455" s="2" t="str">
        <x:v>Four-quarter mean</x:v>
      </x:c>
      <x:c r="H1455" s="8" t="n">
        <x:f>AVERAGE('PG facts'!E112,'PG facts'!E119,'PG facts'!E126,'PG facts'!E133)</x:f>
        <x:v>0.75</x:v>
      </x:c>
      <x:c r="I1455" s="8" t="n">
        <x:f>0</x:f>
        <x:v>0</x:v>
      </x:c>
      <x:c r="J1455" s="8" t="n">
        <x:v>0</x:v>
      </x:c>
      <x:c r="K1455" s="8" t="n">
        <x:f>H1455-I1455*J1455</x:f>
        <x:v>0.75</x:v>
      </x:c>
      <x:c r="L1455" s="8" t="n">
        <x:f>'PG facts'!E147</x:f>
        <x:v>-2</x:v>
      </x:c>
      <x:c r="M1455" s="8" t="n">
        <x:f>K1455-L1455</x:f>
        <x:v>2.75</x:v>
      </x:c>
      <x:c r="N1455" s="8" t="n">
        <x:f>M1455^2</x:f>
        <x:v>7.5625</x:v>
      </x:c>
      <x:c r="O1455" s="8" t="n">
        <x:f>ABS(M1455)</x:f>
        <x:v>2.75</x:v>
      </x:c>
      <x:c r="P1455" s="7" t="n">
        <x:v>46136</x:v>
      </x:c>
    </x:row>
    <x:row r="1456" ht="26" customHeight="1">
      <x:c r="A1456" s="2"/>
      <x:c r="B1456" s="2" t="n">
        <x:v>1451</x:v>
      </x:c>
      <x:c r="C1456" s="2" t="str">
        <x:v>Grooming / organic_volume_growth</x:v>
      </x:c>
      <x:c r="D1456" s="7" t="n">
        <x:v>46112</x:v>
      </x:c>
      <x:c r="E1456" s="2" t="str">
        <x:v>Origin</x:v>
      </x:c>
      <x:c r="F1456" s="7" t="n">
        <x:v>46023</x:v>
      </x:c>
      <x:c r="G1456" s="2" t="str">
        <x:v>Broad market</x:v>
      </x:c>
      <x:c r="H1456" s="8" t="n">
        <x:f>'Model fits'!AA956</x:f>
        <x:v>0.3715876794064308</x:v>
      </x:c>
      <x:c r="I1456" s="8" t="n">
        <x:f>0</x:f>
        <x:v>0</x:v>
      </x:c>
      <x:c r="J1456" s="8" t="n">
        <x:v>0</x:v>
      </x:c>
      <x:c r="K1456" s="8" t="n">
        <x:f>H1456-I1456*J1456</x:f>
        <x:v>0.3715876794064308</x:v>
      </x:c>
      <x:c r="L1456" s="8" t="n">
        <x:f>'PG facts'!E147</x:f>
        <x:v>-2</x:v>
      </x:c>
      <x:c r="M1456" s="8" t="n">
        <x:f>K1456-L1456</x:f>
        <x:v>2.3715876794064306</x:v>
      </x:c>
      <x:c r="N1456" s="8" t="n">
        <x:f>M1456^2</x:f>
        <x:v>5.624428121112379</x:v>
      </x:c>
      <x:c r="O1456" s="8" t="n">
        <x:f>ABS(M1456)</x:f>
        <x:v>2.3715876794064306</x:v>
      </x:c>
      <x:c r="P1456" s="7" t="n">
        <x:v>46136</x:v>
      </x:c>
    </x:row>
    <x:row r="1457" ht="26" customHeight="1">
      <x:c r="A1457" s="2"/>
      <x:c r="B1457" s="2" t="n">
        <x:v>1452</x:v>
      </x:c>
      <x:c r="C1457" s="2" t="str">
        <x:v>Grooming / organic_volume_growth</x:v>
      </x:c>
      <x:c r="D1457" s="7" t="n">
        <x:v>46112</x:v>
      </x:c>
      <x:c r="E1457" s="2" t="str">
        <x:v>Origin</x:v>
      </x:c>
      <x:c r="F1457" s="7" t="n">
        <x:v>46023</x:v>
      </x:c>
      <x:c r="G1457" s="2" t="str">
        <x:v>Broad rolling 8</x:v>
      </x:c>
      <x:c r="H1457" s="8" t="n">
        <x:f>'Model fits'!AA957</x:f>
        <x:v>1.3590149759583139</x:v>
      </x:c>
      <x:c r="I1457" s="8" t="n">
        <x:f>0</x:f>
        <x:v>0</x:v>
      </x:c>
      <x:c r="J1457" s="8" t="n">
        <x:v>0</x:v>
      </x:c>
      <x:c r="K1457" s="8" t="n">
        <x:f>H1457-I1457*J1457</x:f>
        <x:v>1.3590149759583139</x:v>
      </x:c>
      <x:c r="L1457" s="8" t="n">
        <x:f>'PG facts'!E147</x:f>
        <x:v>-2</x:v>
      </x:c>
      <x:c r="M1457" s="8" t="n">
        <x:f>K1457-L1457</x:f>
        <x:v>3.359014975958314</x:v>
      </x:c>
      <x:c r="N1457" s="8" t="n">
        <x:f>M1457^2</x:f>
        <x:v>11.282981608712232</x:v>
      </x:c>
      <x:c r="O1457" s="8" t="n">
        <x:f>ABS(M1457)</x:f>
        <x:v>3.359014975958314</x:v>
      </x:c>
      <x:c r="P1457" s="7" t="n">
        <x:v>46136</x:v>
      </x:c>
    </x:row>
    <x:row r="1458" ht="26" customHeight="1">
      <x:c r="A1458" s="2"/>
      <x:c r="B1458" s="2" t="n">
        <x:v>1453</x:v>
      </x:c>
      <x:c r="C1458" s="2" t="str">
        <x:v>Grooming / organic_volume_growth</x:v>
      </x:c>
      <x:c r="D1458" s="7" t="n">
        <x:v>46112</x:v>
      </x:c>
      <x:c r="E1458" s="2" t="str">
        <x:v>Origin</x:v>
      </x:c>
      <x:c r="F1458" s="7" t="n">
        <x:v>46023</x:v>
      </x:c>
      <x:c r="G1458" s="2" t="str">
        <x:v>Own history</x:v>
      </x:c>
      <x:c r="H1458" s="8" t="n">
        <x:f>'Model fits'!AA958</x:f>
        <x:v>0.36980108499095843</x:v>
      </x:c>
      <x:c r="I1458" s="8" t="n">
        <x:f>0</x:f>
        <x:v>0</x:v>
      </x:c>
      <x:c r="J1458" s="8" t="n">
        <x:v>0</x:v>
      </x:c>
      <x:c r="K1458" s="8" t="n">
        <x:f>H1458-I1458*J1458</x:f>
        <x:v>0.36980108499095843</x:v>
      </x:c>
      <x:c r="L1458" s="8" t="n">
        <x:f>'PG facts'!E147</x:f>
        <x:v>-2</x:v>
      </x:c>
      <x:c r="M1458" s="8" t="n">
        <x:f>K1458-L1458</x:f>
        <x:v>2.3698010849909585</x:v>
      </x:c>
      <x:c r="N1458" s="8" t="n">
        <x:f>M1458^2</x:f>
        <x:v>5.615957182424324</x:v>
      </x:c>
      <x:c r="O1458" s="8" t="n">
        <x:f>ABS(M1458)</x:f>
        <x:v>2.3698010849909585</x:v>
      </x:c>
      <x:c r="P1458" s="7" t="n">
        <x:v>46136</x:v>
      </x:c>
    </x:row>
    <x:row r="1459" ht="26" customHeight="1">
      <x:c r="A1459" s="2"/>
      <x:c r="B1459" s="2" t="n">
        <x:v>1454</x:v>
      </x:c>
      <x:c r="C1459" s="2" t="str">
        <x:v>Grooming / organic_volume_growth</x:v>
      </x:c>
      <x:c r="D1459" s="7" t="n">
        <x:v>46112</x:v>
      </x:c>
      <x:c r="E1459" s="2" t="str">
        <x:v>Prior report</x:v>
      </x:c>
      <x:c r="F1459" s="7" t="n">
        <x:v>46045</x:v>
      </x:c>
      <x:c r="G1459" s="2" t="str">
        <x:v>Last actual</x:v>
      </x:c>
      <x:c r="H1459" s="8" t="n">
        <x:f>AVERAGE('PG facts'!E140)</x:f>
        <x:v>-2</x:v>
      </x:c>
      <x:c r="I1459" s="8" t="n">
        <x:f>0</x:f>
        <x:v>0</x:v>
      </x:c>
      <x:c r="J1459" s="8" t="n">
        <x:v>0</x:v>
      </x:c>
      <x:c r="K1459" s="8" t="n">
        <x:f>H1459-I1459*J1459</x:f>
        <x:v>-2</x:v>
      </x:c>
      <x:c r="L1459" s="8" t="n">
        <x:f>'PG facts'!E147</x:f>
        <x:v>-2</x:v>
      </x:c>
      <x:c r="M1459" s="8" t="n">
        <x:f>K1459-L1459</x:f>
        <x:v>0</x:v>
      </x:c>
      <x:c r="N1459" s="8" t="n">
        <x:f>M1459^2</x:f>
        <x:v>0</x:v>
      </x:c>
      <x:c r="O1459" s="8" t="n">
        <x:f>ABS(M1459)</x:f>
        <x:v>0</x:v>
      </x:c>
      <x:c r="P1459" s="7" t="n">
        <x:v>46136</x:v>
      </x:c>
    </x:row>
    <x:row r="1460" ht="26" customHeight="1">
      <x:c r="A1460" s="2"/>
      <x:c r="B1460" s="2" t="n">
        <x:v>1455</x:v>
      </x:c>
      <x:c r="C1460" s="2" t="str">
        <x:v>Grooming / organic_volume_growth</x:v>
      </x:c>
      <x:c r="D1460" s="7" t="n">
        <x:v>46112</x:v>
      </x:c>
      <x:c r="E1460" s="2" t="str">
        <x:v>Prior report</x:v>
      </x:c>
      <x:c r="F1460" s="7" t="n">
        <x:v>46045</x:v>
      </x:c>
      <x:c r="G1460" s="2" t="str">
        <x:v>Four-quarter mean</x:v>
      </x:c>
      <x:c r="H1460" s="8" t="n">
        <x:f>AVERAGE('PG facts'!E119,'PG facts'!E126,'PG facts'!E133,'PG facts'!E140)</x:f>
        <x:v>-0.25</x:v>
      </x:c>
      <x:c r="I1460" s="8" t="n">
        <x:f>0</x:f>
        <x:v>0</x:v>
      </x:c>
      <x:c r="J1460" s="8" t="n">
        <x:v>0</x:v>
      </x:c>
      <x:c r="K1460" s="8" t="n">
        <x:f>H1460-I1460*J1460</x:f>
        <x:v>-0.25</x:v>
      </x:c>
      <x:c r="L1460" s="8" t="n">
        <x:f>'PG facts'!E147</x:f>
        <x:v>-2</x:v>
      </x:c>
      <x:c r="M1460" s="8" t="n">
        <x:f>K1460-L1460</x:f>
        <x:v>1.75</x:v>
      </x:c>
      <x:c r="N1460" s="8" t="n">
        <x:f>M1460^2</x:f>
        <x:v>3.0625</x:v>
      </x:c>
      <x:c r="O1460" s="8" t="n">
        <x:f>ABS(M1460)</x:f>
        <x:v>1.75</x:v>
      </x:c>
      <x:c r="P1460" s="7" t="n">
        <x:v>46136</x:v>
      </x:c>
    </x:row>
    <x:row r="1461" ht="26" customHeight="1">
      <x:c r="A1461" s="2"/>
      <x:c r="B1461" s="2" t="n">
        <x:v>1456</x:v>
      </x:c>
      <x:c r="C1461" s="2" t="str">
        <x:v>Grooming / organic_volume_growth</x:v>
      </x:c>
      <x:c r="D1461" s="7" t="n">
        <x:v>46112</x:v>
      </x:c>
      <x:c r="E1461" s="2" t="str">
        <x:v>Prior report</x:v>
      </x:c>
      <x:c r="F1461" s="7" t="n">
        <x:v>46045</x:v>
      </x:c>
      <x:c r="G1461" s="2" t="str">
        <x:v>Broad market</x:v>
      </x:c>
      <x:c r="H1461" s="8" t="n">
        <x:f>'Model fits'!AA959</x:f>
        <x:v>0.25915498263601844</x:v>
      </x:c>
      <x:c r="I1461" s="8" t="n">
        <x:f>0</x:f>
        <x:v>0</x:v>
      </x:c>
      <x:c r="J1461" s="8" t="n">
        <x:v>0</x:v>
      </x:c>
      <x:c r="K1461" s="8" t="n">
        <x:f>H1461-I1461*J1461</x:f>
        <x:v>0.25915498263601844</x:v>
      </x:c>
      <x:c r="L1461" s="8" t="n">
        <x:f>'PG facts'!E147</x:f>
        <x:v>-2</x:v>
      </x:c>
      <x:c r="M1461" s="8" t="n">
        <x:f>K1461-L1461</x:f>
        <x:v>2.2591549826360184</x:v>
      </x:c>
      <x:c r="N1461" s="8" t="n">
        <x:f>M1461^2</x:f>
        <x:v>5.103781235569149</x:v>
      </x:c>
      <x:c r="O1461" s="8" t="n">
        <x:f>ABS(M1461)</x:f>
        <x:v>2.2591549826360184</x:v>
      </x:c>
      <x:c r="P1461" s="7" t="n">
        <x:v>46136</x:v>
      </x:c>
    </x:row>
    <x:row r="1462" ht="26" customHeight="1">
      <x:c r="A1462" s="2"/>
      <x:c r="B1462" s="2" t="n">
        <x:v>1457</x:v>
      </x:c>
      <x:c r="C1462" s="2" t="str">
        <x:v>Grooming / organic_volume_growth</x:v>
      </x:c>
      <x:c r="D1462" s="7" t="n">
        <x:v>46112</x:v>
      </x:c>
      <x:c r="E1462" s="2" t="str">
        <x:v>Prior report</x:v>
      </x:c>
      <x:c r="F1462" s="7" t="n">
        <x:v>46045</x:v>
      </x:c>
      <x:c r="G1462" s="2" t="str">
        <x:v>Broad rolling 8</x:v>
      </x:c>
      <x:c r="H1462" s="8" t="n">
        <x:f>'Model fits'!AA960</x:f>
        <x:v>1.575418753036712</x:v>
      </x:c>
      <x:c r="I1462" s="8" t="n">
        <x:f>0</x:f>
        <x:v>0</x:v>
      </x:c>
      <x:c r="J1462" s="8" t="n">
        <x:v>0</x:v>
      </x:c>
      <x:c r="K1462" s="8" t="n">
        <x:f>H1462-I1462*J1462</x:f>
        <x:v>1.575418753036712</x:v>
      </x:c>
      <x:c r="L1462" s="8" t="n">
        <x:f>'PG facts'!E147</x:f>
        <x:v>-2</x:v>
      </x:c>
      <x:c r="M1462" s="8" t="n">
        <x:f>K1462-L1462</x:f>
        <x:v>3.575418753036712</x:v>
      </x:c>
      <x:c r="N1462" s="8" t="n">
        <x:f>M1462^2</x:f>
        <x:v>12.783619259566597</x:v>
      </x:c>
      <x:c r="O1462" s="8" t="n">
        <x:f>ABS(M1462)</x:f>
        <x:v>3.575418753036712</x:v>
      </x:c>
      <x:c r="P1462" s="7" t="n">
        <x:v>46136</x:v>
      </x:c>
    </x:row>
    <x:row r="1463" ht="26" customHeight="1">
      <x:c r="A1463" s="2"/>
      <x:c r="B1463" s="2" t="n">
        <x:v>1458</x:v>
      </x:c>
      <x:c r="C1463" s="2" t="str">
        <x:v>Grooming / organic_volume_growth</x:v>
      </x:c>
      <x:c r="D1463" s="7" t="n">
        <x:v>46112</x:v>
      </x:c>
      <x:c r="E1463" s="2" t="str">
        <x:v>Prior report</x:v>
      </x:c>
      <x:c r="F1463" s="7" t="n">
        <x:v>46045</x:v>
      </x:c>
      <x:c r="G1463" s="2" t="str">
        <x:v>Own history</x:v>
      </x:c>
      <x:c r="H1463" s="8" t="n">
        <x:f>'Model fits'!AA961</x:f>
        <x:v>-0.18680445151033384</x:v>
      </x:c>
      <x:c r="I1463" s="8" t="n">
        <x:f>0</x:f>
        <x:v>0</x:v>
      </x:c>
      <x:c r="J1463" s="8" t="n">
        <x:v>0</x:v>
      </x:c>
      <x:c r="K1463" s="8" t="n">
        <x:f>H1463-I1463*J1463</x:f>
        <x:v>-0.18680445151033384</x:v>
      </x:c>
      <x:c r="L1463" s="8" t="n">
        <x:f>'PG facts'!E147</x:f>
        <x:v>-2</x:v>
      </x:c>
      <x:c r="M1463" s="8" t="n">
        <x:f>K1463-L1463</x:f>
        <x:v>1.8131955484896662</x:v>
      </x:c>
      <x:c r="N1463" s="8" t="n">
        <x:f>M1463^2</x:f>
        <x:v>3.2876780970627415</x:v>
      </x:c>
      <x:c r="O1463" s="8" t="n">
        <x:f>ABS(M1463)</x:f>
        <x:v>1.8131955484896662</x:v>
      </x:c>
      <x:c r="P1463" s="7" t="n">
        <x:v>46136</x:v>
      </x:c>
    </x:row>
    <x:row r="1464" ht="26" customHeight="1">
      <x:c r="A1464" s="2"/>
      <x:c r="B1464" s="2" t="n">
        <x:v>1459</x:v>
      </x:c>
      <x:c r="C1464" s="2" t="str">
        <x:v>Grooming / organic_volume_growth</x:v>
      </x:c>
      <x:c r="D1464" s="7" t="n">
        <x:v>46112</x:v>
      </x:c>
      <x:c r="E1464" s="2" t="str">
        <x:v>Pre-earnings</x:v>
      </x:c>
      <x:c r="F1464" s="7" t="n">
        <x:v>46135</x:v>
      </x:c>
      <x:c r="G1464" s="2" t="str">
        <x:v>Last actual</x:v>
      </x:c>
      <x:c r="H1464" s="8" t="n">
        <x:f>AVERAGE('PG facts'!E140)</x:f>
        <x:v>-2</x:v>
      </x:c>
      <x:c r="I1464" s="8" t="n">
        <x:f>0</x:f>
        <x:v>0</x:v>
      </x:c>
      <x:c r="J1464" s="8" t="n">
        <x:v>0</x:v>
      </x:c>
      <x:c r="K1464" s="8" t="n">
        <x:f>H1464-I1464*J1464</x:f>
        <x:v>-2</x:v>
      </x:c>
      <x:c r="L1464" s="8" t="n">
        <x:f>'PG facts'!E147</x:f>
        <x:v>-2</x:v>
      </x:c>
      <x:c r="M1464" s="8" t="n">
        <x:f>K1464-L1464</x:f>
        <x:v>0</x:v>
      </x:c>
      <x:c r="N1464" s="8" t="n">
        <x:f>M1464^2</x:f>
        <x:v>0</x:v>
      </x:c>
      <x:c r="O1464" s="8" t="n">
        <x:f>ABS(M1464)</x:f>
        <x:v>0</x:v>
      </x:c>
      <x:c r="P1464" s="7" t="n">
        <x:v>46136</x:v>
      </x:c>
    </x:row>
    <x:row r="1465" ht="26" customHeight="1">
      <x:c r="A1465" s="2"/>
      <x:c r="B1465" s="2" t="n">
        <x:v>1460</x:v>
      </x:c>
      <x:c r="C1465" s="2" t="str">
        <x:v>Grooming / organic_volume_growth</x:v>
      </x:c>
      <x:c r="D1465" s="7" t="n">
        <x:v>46112</x:v>
      </x:c>
      <x:c r="E1465" s="2" t="str">
        <x:v>Pre-earnings</x:v>
      </x:c>
      <x:c r="F1465" s="7" t="n">
        <x:v>46135</x:v>
      </x:c>
      <x:c r="G1465" s="2" t="str">
        <x:v>Four-quarter mean</x:v>
      </x:c>
      <x:c r="H1465" s="8" t="n">
        <x:f>AVERAGE('PG facts'!E119,'PG facts'!E126,'PG facts'!E133,'PG facts'!E140)</x:f>
        <x:v>-0.25</x:v>
      </x:c>
      <x:c r="I1465" s="8" t="n">
        <x:f>0</x:f>
        <x:v>0</x:v>
      </x:c>
      <x:c r="J1465" s="8" t="n">
        <x:v>0</x:v>
      </x:c>
      <x:c r="K1465" s="8" t="n">
        <x:f>H1465-I1465*J1465</x:f>
        <x:v>-0.25</x:v>
      </x:c>
      <x:c r="L1465" s="8" t="n">
        <x:f>'PG facts'!E147</x:f>
        <x:v>-2</x:v>
      </x:c>
      <x:c r="M1465" s="8" t="n">
        <x:f>K1465-L1465</x:f>
        <x:v>1.75</x:v>
      </x:c>
      <x:c r="N1465" s="8" t="n">
        <x:f>M1465^2</x:f>
        <x:v>3.0625</x:v>
      </x:c>
      <x:c r="O1465" s="8" t="n">
        <x:f>ABS(M1465)</x:f>
        <x:v>1.75</x:v>
      </x:c>
      <x:c r="P1465" s="7" t="n">
        <x:v>46136</x:v>
      </x:c>
    </x:row>
    <x:row r="1466" ht="26" customHeight="1">
      <x:c r="A1466" s="2"/>
      <x:c r="B1466" s="2" t="n">
        <x:v>1461</x:v>
      </x:c>
      <x:c r="C1466" s="2" t="str">
        <x:v>Grooming / organic_volume_growth</x:v>
      </x:c>
      <x:c r="D1466" s="7" t="n">
        <x:v>46112</x:v>
      </x:c>
      <x:c r="E1466" s="2" t="str">
        <x:v>Pre-earnings</x:v>
      </x:c>
      <x:c r="F1466" s="7" t="n">
        <x:v>46135</x:v>
      </x:c>
      <x:c r="G1466" s="2" t="str">
        <x:v>Broad market</x:v>
      </x:c>
      <x:c r="H1466" s="8" t="n">
        <x:f>'Model fits'!AA962</x:f>
        <x:v>-0.4211496301381805</x:v>
      </x:c>
      <x:c r="I1466" s="8" t="n">
        <x:f>0</x:f>
        <x:v>0</x:v>
      </x:c>
      <x:c r="J1466" s="8" t="n">
        <x:v>0</x:v>
      </x:c>
      <x:c r="K1466" s="8" t="n">
        <x:f>H1466-I1466*J1466</x:f>
        <x:v>-0.4211496301381805</x:v>
      </x:c>
      <x:c r="L1466" s="8" t="n">
        <x:f>'PG facts'!E147</x:f>
        <x:v>-2</x:v>
      </x:c>
      <x:c r="M1466" s="8" t="n">
        <x:f>K1466-L1466</x:f>
        <x:v>1.5788503698618195</x:v>
      </x:c>
      <x:c r="N1466" s="8" t="n">
        <x:f>M1466^2</x:f>
        <x:v>2.492768490412804</x:v>
      </x:c>
      <x:c r="O1466" s="8" t="n">
        <x:f>ABS(M1466)</x:f>
        <x:v>1.5788503698618195</x:v>
      </x:c>
      <x:c r="P1466" s="7" t="n">
        <x:v>46136</x:v>
      </x:c>
    </x:row>
    <x:row r="1467" ht="26" customHeight="1">
      <x:c r="A1467" s="2"/>
      <x:c r="B1467" s="2" t="n">
        <x:v>1462</x:v>
      </x:c>
      <x:c r="C1467" s="2" t="str">
        <x:v>Grooming / organic_volume_growth</x:v>
      </x:c>
      <x:c r="D1467" s="7" t="n">
        <x:v>46112</x:v>
      </x:c>
      <x:c r="E1467" s="2" t="str">
        <x:v>Pre-earnings</x:v>
      </x:c>
      <x:c r="F1467" s="7" t="n">
        <x:v>46135</x:v>
      </x:c>
      <x:c r="G1467" s="2" t="str">
        <x:v>Broad lag 1</x:v>
      </x:c>
      <x:c r="H1467" s="8" t="n">
        <x:f>'Model fits'!AA963</x:f>
        <x:v>0.03836219251839723</x:v>
      </x:c>
      <x:c r="I1467" s="8" t="n">
        <x:f>0</x:f>
        <x:v>0</x:v>
      </x:c>
      <x:c r="J1467" s="8" t="n">
        <x:v>0</x:v>
      </x:c>
      <x:c r="K1467" s="8" t="n">
        <x:f>H1467-I1467*J1467</x:f>
        <x:v>0.03836219251839723</x:v>
      </x:c>
      <x:c r="L1467" s="8" t="n">
        <x:f>'PG facts'!E147</x:f>
        <x:v>-2</x:v>
      </x:c>
      <x:c r="M1467" s="8" t="n">
        <x:f>K1467-L1467</x:f>
        <x:v>2.038362192518397</x:v>
      </x:c>
      <x:c r="N1467" s="8" t="n">
        <x:f>M1467^2</x:f>
        <x:v>4.154920427888406</x:v>
      </x:c>
      <x:c r="O1467" s="8" t="n">
        <x:f>ABS(M1467)</x:f>
        <x:v>2.038362192518397</x:v>
      </x:c>
      <x:c r="P1467" s="7" t="n">
        <x:v>46136</x:v>
      </x:c>
    </x:row>
    <x:row r="1468" ht="26" customHeight="1">
      <x:c r="A1468" s="2"/>
      <x:c r="B1468" s="2" t="n">
        <x:v>1463</x:v>
      </x:c>
      <x:c r="C1468" s="2" t="str">
        <x:v>Grooming / organic_volume_growth</x:v>
      </x:c>
      <x:c r="D1468" s="7" t="n">
        <x:v>46112</x:v>
      </x:c>
      <x:c r="E1468" s="2" t="str">
        <x:v>Pre-earnings</x:v>
      </x:c>
      <x:c r="F1468" s="7" t="n">
        <x:v>46135</x:v>
      </x:c>
      <x:c r="G1468" s="2" t="str">
        <x:v>Broad rolling 8</x:v>
      </x:c>
      <x:c r="H1468" s="8" t="n">
        <x:f>'Model fits'!AA964</x:f>
        <x:v>1.6867883187391475</x:v>
      </x:c>
      <x:c r="I1468" s="8" t="n">
        <x:f>0</x:f>
        <x:v>0</x:v>
      </x:c>
      <x:c r="J1468" s="8" t="n">
        <x:v>0</x:v>
      </x:c>
      <x:c r="K1468" s="8" t="n">
        <x:f>H1468-I1468*J1468</x:f>
        <x:v>1.6867883187391475</x:v>
      </x:c>
      <x:c r="L1468" s="8" t="n">
        <x:f>'PG facts'!E147</x:f>
        <x:v>-2</x:v>
      </x:c>
      <x:c r="M1468" s="8" t="n">
        <x:f>K1468-L1468</x:f>
        <x:v>3.6867883187391475</x:v>
      </x:c>
      <x:c r="N1468" s="8" t="n">
        <x:f>M1468^2</x:f>
        <x:v>13.59240810719143</x:v>
      </x:c>
      <x:c r="O1468" s="8" t="n">
        <x:f>ABS(M1468)</x:f>
        <x:v>3.6867883187391475</x:v>
      </x:c>
      <x:c r="P1468" s="7" t="n">
        <x:v>46136</x:v>
      </x:c>
    </x:row>
    <x:row r="1469" ht="26" customHeight="1">
      <x:c r="A1469" s="2"/>
      <x:c r="B1469" s="2" t="n">
        <x:v>1464</x:v>
      </x:c>
      <x:c r="C1469" s="2" t="str">
        <x:v>Grooming / organic_volume_growth</x:v>
      </x:c>
      <x:c r="D1469" s="7" t="n">
        <x:v>46112</x:v>
      </x:c>
      <x:c r="E1469" s="2" t="str">
        <x:v>Pre-earnings</x:v>
      </x:c>
      <x:c r="F1469" s="7" t="n">
        <x:v>46135</x:v>
      </x:c>
      <x:c r="G1469" s="2" t="str">
        <x:v>Own history</x:v>
      </x:c>
      <x:c r="H1469" s="8" t="n">
        <x:f>'Model fits'!AA965</x:f>
        <x:v>-0.18680445151033384</x:v>
      </x:c>
      <x:c r="I1469" s="8" t="n">
        <x:f>0</x:f>
        <x:v>0</x:v>
      </x:c>
      <x:c r="J1469" s="8" t="n">
        <x:v>0</x:v>
      </x:c>
      <x:c r="K1469" s="8" t="n">
        <x:f>H1469-I1469*J1469</x:f>
        <x:v>-0.18680445151033384</x:v>
      </x:c>
      <x:c r="L1469" s="8" t="n">
        <x:f>'PG facts'!E147</x:f>
        <x:v>-2</x:v>
      </x:c>
      <x:c r="M1469" s="8" t="n">
        <x:f>K1469-L1469</x:f>
        <x:v>1.8131955484896662</x:v>
      </x:c>
      <x:c r="N1469" s="8" t="n">
        <x:f>M1469^2</x:f>
        <x:v>3.2876780970627415</x:v>
      </x:c>
      <x:c r="O1469" s="8" t="n">
        <x:f>ABS(M1469)</x:f>
        <x:v>1.8131955484896662</x:v>
      </x:c>
      <x:c r="P1469" s="7" t="n">
        <x:v>46136</x:v>
      </x:c>
    </x:row>
    <x:row r="1470" ht="26" customHeight="1">
      <x:c r="A1470" s="2"/>
      <x:c r="B1470" s="2" t="n">
        <x:v>1465</x:v>
      </x:c>
      <x:c r="C1470" s="2" t="str">
        <x:v>Health Care / organic_volume_growth</x:v>
      </x:c>
      <x:c r="D1470" s="7" t="n">
        <x:v>45107</x:v>
      </x:c>
      <x:c r="E1470" s="2" t="str">
        <x:v>Origin</x:v>
      </x:c>
      <x:c r="F1470" s="7" t="n">
        <x:v>45017</x:v>
      </x:c>
      <x:c r="G1470" s="2" t="str">
        <x:v>Last actual</x:v>
      </x:c>
      <x:c r="H1470" s="8" t="n">
        <x:f>AVERAGE('PG facts'!E57)</x:f>
        <x:v>-1</x:v>
      </x:c>
      <x:c r="I1470" s="8" t="n">
        <x:f>0</x:f>
        <x:v>0</x:v>
      </x:c>
      <x:c r="J1470" s="8" t="n">
        <x:v>0</x:v>
      </x:c>
      <x:c r="K1470" s="8" t="n">
        <x:f>H1470-I1470*J1470</x:f>
        <x:v>-1</x:v>
      </x:c>
      <x:c r="L1470" s="8" t="n">
        <x:f>'PG facts'!E71</x:f>
        <x:v>-3</x:v>
      </x:c>
      <x:c r="M1470" s="8" t="n">
        <x:f>K1470-L1470</x:f>
        <x:v>2</x:v>
      </x:c>
      <x:c r="N1470" s="8" t="n">
        <x:f>M1470^2</x:f>
        <x:v>4</x:v>
      </x:c>
      <x:c r="O1470" s="8" t="n">
        <x:f>ABS(M1470)</x:f>
        <x:v>2</x:v>
      </x:c>
      <x:c r="P1470" s="7" t="n">
        <x:v>45135</x:v>
      </x:c>
    </x:row>
    <x:row r="1471" ht="26" customHeight="1">
      <x:c r="A1471" s="2"/>
      <x:c r="B1471" s="2" t="n">
        <x:v>1466</x:v>
      </x:c>
      <x:c r="C1471" s="2" t="str">
        <x:v>Health Care / organic_volume_growth</x:v>
      </x:c>
      <x:c r="D1471" s="7" t="n">
        <x:v>45107</x:v>
      </x:c>
      <x:c r="E1471" s="2" t="str">
        <x:v>Origin</x:v>
      </x:c>
      <x:c r="F1471" s="7" t="n">
        <x:v>45017</x:v>
      </x:c>
      <x:c r="G1471" s="2" t="str">
        <x:v>Four-quarter mean</x:v>
      </x:c>
      <x:c r="H1471" s="8" t="n">
        <x:f>AVERAGE('PG facts'!E36,'PG facts'!E43,'PG facts'!E50,'PG facts'!E57)</x:f>
        <x:v>1.25</x:v>
      </x:c>
      <x:c r="I1471" s="8" t="n">
        <x:f>0</x:f>
        <x:v>0</x:v>
      </x:c>
      <x:c r="J1471" s="8" t="n">
        <x:v>0</x:v>
      </x:c>
      <x:c r="K1471" s="8" t="n">
        <x:f>H1471-I1471*J1471</x:f>
        <x:v>1.25</x:v>
      </x:c>
      <x:c r="L1471" s="8" t="n">
        <x:f>'PG facts'!E71</x:f>
        <x:v>-3</x:v>
      </x:c>
      <x:c r="M1471" s="8" t="n">
        <x:f>K1471-L1471</x:f>
        <x:v>4.25</x:v>
      </x:c>
      <x:c r="N1471" s="8" t="n">
        <x:f>M1471^2</x:f>
        <x:v>18.0625</x:v>
      </x:c>
      <x:c r="O1471" s="8" t="n">
        <x:f>ABS(M1471)</x:f>
        <x:v>4.25</x:v>
      </x:c>
      <x:c r="P1471" s="7" t="n">
        <x:v>45135</x:v>
      </x:c>
    </x:row>
    <x:row r="1472" ht="26" customHeight="1">
      <x:c r="A1472" s="2"/>
      <x:c r="B1472" s="2" t="n">
        <x:v>1467</x:v>
      </x:c>
      <x:c r="C1472" s="2" t="str">
        <x:v>Health Care / organic_volume_growth</x:v>
      </x:c>
      <x:c r="D1472" s="7" t="n">
        <x:v>45107</x:v>
      </x:c>
      <x:c r="E1472" s="2" t="str">
        <x:v>Origin</x:v>
      </x:c>
      <x:c r="F1472" s="7" t="n">
        <x:v>45017</x:v>
      </x:c>
      <x:c r="G1472" s="2" t="str">
        <x:v>Broad market</x:v>
      </x:c>
      <x:c r="H1472" s="8" t="n">
        <x:f>'Model fits'!AA966</x:f>
        <x:v>0.025793154759207154</x:v>
      </x:c>
      <x:c r="I1472" s="8" t="n">
        <x:f>0</x:f>
        <x:v>0</x:v>
      </x:c>
      <x:c r="J1472" s="8" t="n">
        <x:v>0</x:v>
      </x:c>
      <x:c r="K1472" s="8" t="n">
        <x:f>H1472-I1472*J1472</x:f>
        <x:v>0.025793154759207154</x:v>
      </x:c>
      <x:c r="L1472" s="8" t="n">
        <x:f>'PG facts'!E71</x:f>
        <x:v>-3</x:v>
      </x:c>
      <x:c r="M1472" s="8" t="n">
        <x:f>K1472-L1472</x:f>
        <x:v>3.025793154759207</x:v>
      </x:c>
      <x:c r="N1472" s="8" t="n">
        <x:f>M1472^2</x:f>
        <x:v>9.155424215387674</x:v>
      </x:c>
      <x:c r="O1472" s="8" t="n">
        <x:f>ABS(M1472)</x:f>
        <x:v>3.025793154759207</x:v>
      </x:c>
      <x:c r="P1472" s="7" t="n">
        <x:v>45135</x:v>
      </x:c>
    </x:row>
    <x:row r="1473" ht="26" customHeight="1">
      <x:c r="A1473" s="2"/>
      <x:c r="B1473" s="2" t="n">
        <x:v>1468</x:v>
      </x:c>
      <x:c r="C1473" s="2" t="str">
        <x:v>Health Care / organic_volume_growth</x:v>
      </x:c>
      <x:c r="D1473" s="7" t="n">
        <x:v>45107</x:v>
      </x:c>
      <x:c r="E1473" s="2" t="str">
        <x:v>Origin</x:v>
      </x:c>
      <x:c r="F1473" s="7" t="n">
        <x:v>45017</x:v>
      </x:c>
      <x:c r="G1473" s="2" t="str">
        <x:v>Broad rolling 8</x:v>
      </x:c>
      <x:c r="H1473" s="8" t="n">
        <x:f>'Model fits'!AA967</x:f>
        <x:v>0.025793154759207154</x:v>
      </x:c>
      <x:c r="I1473" s="8" t="n">
        <x:f>0</x:f>
        <x:v>0</x:v>
      </x:c>
      <x:c r="J1473" s="8" t="n">
        <x:v>0</x:v>
      </x:c>
      <x:c r="K1473" s="8" t="n">
        <x:f>H1473-I1473*J1473</x:f>
        <x:v>0.025793154759207154</x:v>
      </x:c>
      <x:c r="L1473" s="8" t="n">
        <x:f>'PG facts'!E71</x:f>
        <x:v>-3</x:v>
      </x:c>
      <x:c r="M1473" s="8" t="n">
        <x:f>K1473-L1473</x:f>
        <x:v>3.025793154759207</x:v>
      </x:c>
      <x:c r="N1473" s="8" t="n">
        <x:f>M1473^2</x:f>
        <x:v>9.155424215387674</x:v>
      </x:c>
      <x:c r="O1473" s="8" t="n">
        <x:f>ABS(M1473)</x:f>
        <x:v>3.025793154759207</x:v>
      </x:c>
      <x:c r="P1473" s="7" t="n">
        <x:v>45135</x:v>
      </x:c>
    </x:row>
    <x:row r="1474" ht="26" customHeight="1">
      <x:c r="A1474" s="2"/>
      <x:c r="B1474" s="2" t="n">
        <x:v>1469</x:v>
      </x:c>
      <x:c r="C1474" s="2" t="str">
        <x:v>Health Care / organic_volume_growth</x:v>
      </x:c>
      <x:c r="D1474" s="7" t="n">
        <x:v>45107</x:v>
      </x:c>
      <x:c r="E1474" s="2" t="str">
        <x:v>Prior report</x:v>
      </x:c>
      <x:c r="F1474" s="7" t="n">
        <x:v>45037</x:v>
      </x:c>
      <x:c r="G1474" s="2" t="str">
        <x:v>Last actual</x:v>
      </x:c>
      <x:c r="H1474" s="8" t="n">
        <x:f>AVERAGE('PG facts'!E64)</x:f>
        <x:v>1</x:v>
      </x:c>
      <x:c r="I1474" s="8" t="n">
        <x:f>0</x:f>
        <x:v>0</x:v>
      </x:c>
      <x:c r="J1474" s="8" t="n">
        <x:v>0</x:v>
      </x:c>
      <x:c r="K1474" s="8" t="n">
        <x:f>H1474-I1474*J1474</x:f>
        <x:v>1</x:v>
      </x:c>
      <x:c r="L1474" s="8" t="n">
        <x:f>'PG facts'!E71</x:f>
        <x:v>-3</x:v>
      </x:c>
      <x:c r="M1474" s="8" t="n">
        <x:f>K1474-L1474</x:f>
        <x:v>4</x:v>
      </x:c>
      <x:c r="N1474" s="8" t="n">
        <x:f>M1474^2</x:f>
        <x:v>16</x:v>
      </x:c>
      <x:c r="O1474" s="8" t="n">
        <x:f>ABS(M1474)</x:f>
        <x:v>4</x:v>
      </x:c>
      <x:c r="P1474" s="7" t="n">
        <x:v>45135</x:v>
      </x:c>
    </x:row>
    <x:row r="1475" ht="26" customHeight="1">
      <x:c r="A1475" s="2"/>
      <x:c r="B1475" s="2" t="n">
        <x:v>1470</x:v>
      </x:c>
      <x:c r="C1475" s="2" t="str">
        <x:v>Health Care / organic_volume_growth</x:v>
      </x:c>
      <x:c r="D1475" s="7" t="n">
        <x:v>45107</x:v>
      </x:c>
      <x:c r="E1475" s="2" t="str">
        <x:v>Prior report</x:v>
      </x:c>
      <x:c r="F1475" s="7" t="n">
        <x:v>45037</x:v>
      </x:c>
      <x:c r="G1475" s="2" t="str">
        <x:v>Four-quarter mean</x:v>
      </x:c>
      <x:c r="H1475" s="8" t="n">
        <x:f>AVERAGE('PG facts'!E43,'PG facts'!E50,'PG facts'!E57,'PG facts'!E64)</x:f>
        <x:v>-0.5</x:v>
      </x:c>
      <x:c r="I1475" s="8" t="n">
        <x:f>0</x:f>
        <x:v>0</x:v>
      </x:c>
      <x:c r="J1475" s="8" t="n">
        <x:v>0</x:v>
      </x:c>
      <x:c r="K1475" s="8" t="n">
        <x:f>H1475-I1475*J1475</x:f>
        <x:v>-0.5</x:v>
      </x:c>
      <x:c r="L1475" s="8" t="n">
        <x:f>'PG facts'!E71</x:f>
        <x:v>-3</x:v>
      </x:c>
      <x:c r="M1475" s="8" t="n">
        <x:f>K1475-L1475</x:f>
        <x:v>2.5</x:v>
      </x:c>
      <x:c r="N1475" s="8" t="n">
        <x:f>M1475^2</x:f>
        <x:v>6.25</x:v>
      </x:c>
      <x:c r="O1475" s="8" t="n">
        <x:f>ABS(M1475)</x:f>
        <x:v>2.5</x:v>
      </x:c>
      <x:c r="P1475" s="7" t="n">
        <x:v>45135</x:v>
      </x:c>
    </x:row>
    <x:row r="1476" ht="26" customHeight="1">
      <x:c r="A1476" s="2"/>
      <x:c r="B1476" s="2" t="n">
        <x:v>1471</x:v>
      </x:c>
      <x:c r="C1476" s="2" t="str">
        <x:v>Health Care / organic_volume_growth</x:v>
      </x:c>
      <x:c r="D1476" s="7" t="n">
        <x:v>45107</x:v>
      </x:c>
      <x:c r="E1476" s="2" t="str">
        <x:v>Prior report</x:v>
      </x:c>
      <x:c r="F1476" s="7" t="n">
        <x:v>45037</x:v>
      </x:c>
      <x:c r="G1476" s="2" t="str">
        <x:v>Broad market</x:v>
      </x:c>
      <x:c r="H1476" s="8" t="n">
        <x:f>'Model fits'!AA968</x:f>
        <x:v>0.025793154759207154</x:v>
      </x:c>
      <x:c r="I1476" s="8" t="n">
        <x:f>0</x:f>
        <x:v>0</x:v>
      </x:c>
      <x:c r="J1476" s="8" t="n">
        <x:v>0</x:v>
      </x:c>
      <x:c r="K1476" s="8" t="n">
        <x:f>H1476-I1476*J1476</x:f>
        <x:v>0.025793154759207154</x:v>
      </x:c>
      <x:c r="L1476" s="8" t="n">
        <x:f>'PG facts'!E71</x:f>
        <x:v>-3</x:v>
      </x:c>
      <x:c r="M1476" s="8" t="n">
        <x:f>K1476-L1476</x:f>
        <x:v>3.025793154759207</x:v>
      </x:c>
      <x:c r="N1476" s="8" t="n">
        <x:f>M1476^2</x:f>
        <x:v>9.155424215387674</x:v>
      </x:c>
      <x:c r="O1476" s="8" t="n">
        <x:f>ABS(M1476)</x:f>
        <x:v>3.025793154759207</x:v>
      </x:c>
      <x:c r="P1476" s="7" t="n">
        <x:v>45135</x:v>
      </x:c>
    </x:row>
    <x:row r="1477" ht="26" customHeight="1">
      <x:c r="A1477" s="2"/>
      <x:c r="B1477" s="2" t="n">
        <x:v>1472</x:v>
      </x:c>
      <x:c r="C1477" s="2" t="str">
        <x:v>Health Care / organic_volume_growth</x:v>
      </x:c>
      <x:c r="D1477" s="7" t="n">
        <x:v>45107</x:v>
      </x:c>
      <x:c r="E1477" s="2" t="str">
        <x:v>Prior report</x:v>
      </x:c>
      <x:c r="F1477" s="7" t="n">
        <x:v>45037</x:v>
      </x:c>
      <x:c r="G1477" s="2" t="str">
        <x:v>Broad rolling 8</x:v>
      </x:c>
      <x:c r="H1477" s="8" t="n">
        <x:f>'Model fits'!AA969</x:f>
        <x:v>0.025793154759207154</x:v>
      </x:c>
      <x:c r="I1477" s="8" t="n">
        <x:f>0</x:f>
        <x:v>0</x:v>
      </x:c>
      <x:c r="J1477" s="8" t="n">
        <x:v>0</x:v>
      </x:c>
      <x:c r="K1477" s="8" t="n">
        <x:f>H1477-I1477*J1477</x:f>
        <x:v>0.025793154759207154</x:v>
      </x:c>
      <x:c r="L1477" s="8" t="n">
        <x:f>'PG facts'!E71</x:f>
        <x:v>-3</x:v>
      </x:c>
      <x:c r="M1477" s="8" t="n">
        <x:f>K1477-L1477</x:f>
        <x:v>3.025793154759207</x:v>
      </x:c>
      <x:c r="N1477" s="8" t="n">
        <x:f>M1477^2</x:f>
        <x:v>9.155424215387674</x:v>
      </x:c>
      <x:c r="O1477" s="8" t="n">
        <x:f>ABS(M1477)</x:f>
        <x:v>3.025793154759207</x:v>
      </x:c>
      <x:c r="P1477" s="7" t="n">
        <x:v>45135</x:v>
      </x:c>
    </x:row>
    <x:row r="1478" ht="26" customHeight="1">
      <x:c r="A1478" s="2"/>
      <x:c r="B1478" s="2" t="n">
        <x:v>1473</x:v>
      </x:c>
      <x:c r="C1478" s="2" t="str">
        <x:v>Health Care / organic_volume_growth</x:v>
      </x:c>
      <x:c r="D1478" s="7" t="n">
        <x:v>45107</x:v>
      </x:c>
      <x:c r="E1478" s="2" t="str">
        <x:v>Prior report</x:v>
      </x:c>
      <x:c r="F1478" s="7" t="n">
        <x:v>45037</x:v>
      </x:c>
      <x:c r="G1478" s="2" t="str">
        <x:v>Own history</x:v>
      </x:c>
      <x:c r="H1478" s="8" t="n">
        <x:f>'Model fits'!AA970</x:f>
        <x:v>3.218390804597701</x:v>
      </x:c>
      <x:c r="I1478" s="8" t="n">
        <x:f>0</x:f>
        <x:v>0</x:v>
      </x:c>
      <x:c r="J1478" s="8" t="n">
        <x:v>0</x:v>
      </x:c>
      <x:c r="K1478" s="8" t="n">
        <x:f>H1478-I1478*J1478</x:f>
        <x:v>3.218390804597701</x:v>
      </x:c>
      <x:c r="L1478" s="8" t="n">
        <x:f>'PG facts'!E71</x:f>
        <x:v>-3</x:v>
      </x:c>
      <x:c r="M1478" s="8" t="n">
        <x:f>K1478-L1478</x:f>
        <x:v>6.218390804597702</x:v>
      </x:c>
      <x:c r="N1478" s="8" t="n">
        <x:f>M1478^2</x:f>
        <x:v>38.668384198705255</x:v>
      </x:c>
      <x:c r="O1478" s="8" t="n">
        <x:f>ABS(M1478)</x:f>
        <x:v>6.218390804597702</x:v>
      </x:c>
      <x:c r="P1478" s="7" t="n">
        <x:v>45135</x:v>
      </x:c>
    </x:row>
    <x:row r="1479" ht="26" customHeight="1">
      <x:c r="A1479" s="2"/>
      <x:c r="B1479" s="2" t="n">
        <x:v>1474</x:v>
      </x:c>
      <x:c r="C1479" s="2" t="str">
        <x:v>Health Care / organic_volume_growth</x:v>
      </x:c>
      <x:c r="D1479" s="7" t="n">
        <x:v>45107</x:v>
      </x:c>
      <x:c r="E1479" s="2" t="str">
        <x:v>Pre-earnings</x:v>
      </x:c>
      <x:c r="F1479" s="7" t="n">
        <x:v>45134</x:v>
      </x:c>
      <x:c r="G1479" s="2" t="str">
        <x:v>Last actual</x:v>
      </x:c>
      <x:c r="H1479" s="8" t="n">
        <x:f>AVERAGE('PG facts'!E64)</x:f>
        <x:v>1</x:v>
      </x:c>
      <x:c r="I1479" s="8" t="n">
        <x:f>0</x:f>
        <x:v>0</x:v>
      </x:c>
      <x:c r="J1479" s="8" t="n">
        <x:v>0</x:v>
      </x:c>
      <x:c r="K1479" s="8" t="n">
        <x:f>H1479-I1479*J1479</x:f>
        <x:v>1</x:v>
      </x:c>
      <x:c r="L1479" s="8" t="n">
        <x:f>'PG facts'!E71</x:f>
        <x:v>-3</x:v>
      </x:c>
      <x:c r="M1479" s="8" t="n">
        <x:f>K1479-L1479</x:f>
        <x:v>4</x:v>
      </x:c>
      <x:c r="N1479" s="8" t="n">
        <x:f>M1479^2</x:f>
        <x:v>16</x:v>
      </x:c>
      <x:c r="O1479" s="8" t="n">
        <x:f>ABS(M1479)</x:f>
        <x:v>4</x:v>
      </x:c>
      <x:c r="P1479" s="7" t="n">
        <x:v>45135</x:v>
      </x:c>
    </x:row>
    <x:row r="1480" ht="26" customHeight="1">
      <x:c r="A1480" s="2"/>
      <x:c r="B1480" s="2" t="n">
        <x:v>1475</x:v>
      </x:c>
      <x:c r="C1480" s="2" t="str">
        <x:v>Health Care / organic_volume_growth</x:v>
      </x:c>
      <x:c r="D1480" s="7" t="n">
        <x:v>45107</x:v>
      </x:c>
      <x:c r="E1480" s="2" t="str">
        <x:v>Pre-earnings</x:v>
      </x:c>
      <x:c r="F1480" s="7" t="n">
        <x:v>45134</x:v>
      </x:c>
      <x:c r="G1480" s="2" t="str">
        <x:v>Four-quarter mean</x:v>
      </x:c>
      <x:c r="H1480" s="8" t="n">
        <x:f>AVERAGE('PG facts'!E43,'PG facts'!E50,'PG facts'!E57,'PG facts'!E64)</x:f>
        <x:v>-0.5</x:v>
      </x:c>
      <x:c r="I1480" s="8" t="n">
        <x:f>0</x:f>
        <x:v>0</x:v>
      </x:c>
      <x:c r="J1480" s="8" t="n">
        <x:v>0</x:v>
      </x:c>
      <x:c r="K1480" s="8" t="n">
        <x:f>H1480-I1480*J1480</x:f>
        <x:v>-0.5</x:v>
      </x:c>
      <x:c r="L1480" s="8" t="n">
        <x:f>'PG facts'!E71</x:f>
        <x:v>-3</x:v>
      </x:c>
      <x:c r="M1480" s="8" t="n">
        <x:f>K1480-L1480</x:f>
        <x:v>2.5</x:v>
      </x:c>
      <x:c r="N1480" s="8" t="n">
        <x:f>M1480^2</x:f>
        <x:v>6.25</x:v>
      </x:c>
      <x:c r="O1480" s="8" t="n">
        <x:f>ABS(M1480)</x:f>
        <x:v>2.5</x:v>
      </x:c>
      <x:c r="P1480" s="7" t="n">
        <x:v>45135</x:v>
      </x:c>
    </x:row>
    <x:row r="1481" ht="26" customHeight="1">
      <x:c r="A1481" s="2"/>
      <x:c r="B1481" s="2" t="n">
        <x:v>1476</x:v>
      </x:c>
      <x:c r="C1481" s="2" t="str">
        <x:v>Health Care / organic_volume_growth</x:v>
      </x:c>
      <x:c r="D1481" s="7" t="n">
        <x:v>45107</x:v>
      </x:c>
      <x:c r="E1481" s="2" t="str">
        <x:v>Pre-earnings</x:v>
      </x:c>
      <x:c r="F1481" s="7" t="n">
        <x:v>45134</x:v>
      </x:c>
      <x:c r="G1481" s="2" t="str">
        <x:v>Broad market</x:v>
      </x:c>
      <x:c r="H1481" s="8" t="n">
        <x:f>'Model fits'!AA971</x:f>
        <x:v>0.6264343065013497</x:v>
      </x:c>
      <x:c r="I1481" s="8" t="n">
        <x:f>0</x:f>
        <x:v>0</x:v>
      </x:c>
      <x:c r="J1481" s="8" t="n">
        <x:v>0</x:v>
      </x:c>
      <x:c r="K1481" s="8" t="n">
        <x:f>H1481-I1481*J1481</x:f>
        <x:v>0.6264343065013497</x:v>
      </x:c>
      <x:c r="L1481" s="8" t="n">
        <x:f>'PG facts'!E71</x:f>
        <x:v>-3</x:v>
      </x:c>
      <x:c r="M1481" s="8" t="n">
        <x:f>K1481-L1481</x:f>
        <x:v>3.62643430650135</x:v>
      </x:c>
      <x:c r="N1481" s="8" t="n">
        <x:f>M1481^2</x:f>
        <x:v>13.151025779369926</x:v>
      </x:c>
      <x:c r="O1481" s="8" t="n">
        <x:f>ABS(M1481)</x:f>
        <x:v>3.62643430650135</x:v>
      </x:c>
      <x:c r="P1481" s="7" t="n">
        <x:v>45135</x:v>
      </x:c>
    </x:row>
    <x:row r="1482" ht="26" customHeight="1">
      <x:c r="A1482" s="2"/>
      <x:c r="B1482" s="2" t="n">
        <x:v>1477</x:v>
      </x:c>
      <x:c r="C1482" s="2" t="str">
        <x:v>Health Care / organic_volume_growth</x:v>
      </x:c>
      <x:c r="D1482" s="7" t="n">
        <x:v>45107</x:v>
      </x:c>
      <x:c r="E1482" s="2" t="str">
        <x:v>Pre-earnings</x:v>
      </x:c>
      <x:c r="F1482" s="7" t="n">
        <x:v>45134</x:v>
      </x:c>
      <x:c r="G1482" s="2" t="str">
        <x:v>Broad lag 1</x:v>
      </x:c>
      <x:c r="H1482" s="8" t="n">
        <x:f>'Model fits'!AA972</x:f>
        <x:v>1.0846541971116812</x:v>
      </x:c>
      <x:c r="I1482" s="8" t="n">
        <x:f>0</x:f>
        <x:v>0</x:v>
      </x:c>
      <x:c r="J1482" s="8" t="n">
        <x:v>0</x:v>
      </x:c>
      <x:c r="K1482" s="8" t="n">
        <x:f>H1482-I1482*J1482</x:f>
        <x:v>1.0846541971116812</x:v>
      </x:c>
      <x:c r="L1482" s="8" t="n">
        <x:f>'PG facts'!E71</x:f>
        <x:v>-3</x:v>
      </x:c>
      <x:c r="M1482" s="8" t="n">
        <x:f>K1482-L1482</x:f>
        <x:v>4.084654197111681</x:v>
      </x:c>
      <x:c r="N1482" s="8" t="n">
        <x:f>M1482^2</x:f>
        <x:v>16.684399909982073</x:v>
      </x:c>
      <x:c r="O1482" s="8" t="n">
        <x:f>ABS(M1482)</x:f>
        <x:v>4.084654197111681</x:v>
      </x:c>
      <x:c r="P1482" s="7" t="n">
        <x:v>45135</x:v>
      </x:c>
    </x:row>
    <x:row r="1483" ht="26" customHeight="1">
      <x:c r="A1483" s="2"/>
      <x:c r="B1483" s="2" t="n">
        <x:v>1478</x:v>
      </x:c>
      <x:c r="C1483" s="2" t="str">
        <x:v>Health Care / organic_volume_growth</x:v>
      </x:c>
      <x:c r="D1483" s="7" t="n">
        <x:v>45107</x:v>
      </x:c>
      <x:c r="E1483" s="2" t="str">
        <x:v>Pre-earnings</x:v>
      </x:c>
      <x:c r="F1483" s="7" t="n">
        <x:v>45134</x:v>
      </x:c>
      <x:c r="G1483" s="2" t="str">
        <x:v>Broad rolling 8</x:v>
      </x:c>
      <x:c r="H1483" s="8" t="n">
        <x:f>'Model fits'!AA973</x:f>
        <x:v>1.0334694785971925</x:v>
      </x:c>
      <x:c r="I1483" s="8" t="n">
        <x:f>0</x:f>
        <x:v>0</x:v>
      </x:c>
      <x:c r="J1483" s="8" t="n">
        <x:v>0</x:v>
      </x:c>
      <x:c r="K1483" s="8" t="n">
        <x:f>H1483-I1483*J1483</x:f>
        <x:v>1.0334694785971925</x:v>
      </x:c>
      <x:c r="L1483" s="8" t="n">
        <x:f>'PG facts'!E71</x:f>
        <x:v>-3</x:v>
      </x:c>
      <x:c r="M1483" s="8" t="n">
        <x:f>K1483-L1483</x:f>
        <x:v>4.033469478597192</x:v>
      </x:c>
      <x:c r="N1483" s="8" t="n">
        <x:f>M1483^2</x:f>
        <x:v>16.268876034775108</x:v>
      </x:c>
      <x:c r="O1483" s="8" t="n">
        <x:f>ABS(M1483)</x:f>
        <x:v>4.033469478597192</x:v>
      </x:c>
      <x:c r="P1483" s="7" t="n">
        <x:v>45135</x:v>
      </x:c>
    </x:row>
    <x:row r="1484" ht="26" customHeight="1">
      <x:c r="A1484" s="2"/>
      <x:c r="B1484" s="2" t="n">
        <x:v>1479</x:v>
      </x:c>
      <x:c r="C1484" s="2" t="str">
        <x:v>Health Care / organic_volume_growth</x:v>
      </x:c>
      <x:c r="D1484" s="7" t="n">
        <x:v>45107</x:v>
      </x:c>
      <x:c r="E1484" s="2" t="str">
        <x:v>Pre-earnings</x:v>
      </x:c>
      <x:c r="F1484" s="7" t="n">
        <x:v>45134</x:v>
      </x:c>
      <x:c r="G1484" s="2" t="str">
        <x:v>Own history</x:v>
      </x:c>
      <x:c r="H1484" s="8" t="n">
        <x:f>'Model fits'!AA974</x:f>
        <x:v>3.218390804597701</x:v>
      </x:c>
      <x:c r="I1484" s="8" t="n">
        <x:f>0</x:f>
        <x:v>0</x:v>
      </x:c>
      <x:c r="J1484" s="8" t="n">
        <x:v>0</x:v>
      </x:c>
      <x:c r="K1484" s="8" t="n">
        <x:f>H1484-I1484*J1484</x:f>
        <x:v>3.218390804597701</x:v>
      </x:c>
      <x:c r="L1484" s="8" t="n">
        <x:f>'PG facts'!E71</x:f>
        <x:v>-3</x:v>
      </x:c>
      <x:c r="M1484" s="8" t="n">
        <x:f>K1484-L1484</x:f>
        <x:v>6.218390804597702</x:v>
      </x:c>
      <x:c r="N1484" s="8" t="n">
        <x:f>M1484^2</x:f>
        <x:v>38.668384198705255</x:v>
      </x:c>
      <x:c r="O1484" s="8" t="n">
        <x:f>ABS(M1484)</x:f>
        <x:v>6.218390804597702</x:v>
      </x:c>
      <x:c r="P1484" s="7" t="n">
        <x:v>45135</x:v>
      </x:c>
    </x:row>
    <x:row r="1485" ht="26" customHeight="1">
      <x:c r="A1485" s="2"/>
      <x:c r="B1485" s="2" t="n">
        <x:v>1480</x:v>
      </x:c>
      <x:c r="C1485" s="2" t="str">
        <x:v>Health Care / organic_volume_growth</x:v>
      </x:c>
      <x:c r="D1485" s="7" t="n">
        <x:v>45199</x:v>
      </x:c>
      <x:c r="E1485" s="2" t="str">
        <x:v>Origin</x:v>
      </x:c>
      <x:c r="F1485" s="7" t="n">
        <x:v>45108</x:v>
      </x:c>
      <x:c r="G1485" s="2" t="str">
        <x:v>Last actual</x:v>
      </x:c>
      <x:c r="H1485" s="8" t="n">
        <x:f>AVERAGE('PG facts'!E64)</x:f>
        <x:v>1</x:v>
      </x:c>
      <x:c r="I1485" s="8" t="n">
        <x:f>0</x:f>
        <x:v>0</x:v>
      </x:c>
      <x:c r="J1485" s="8" t="n">
        <x:v>0</x:v>
      </x:c>
      <x:c r="K1485" s="8" t="n">
        <x:f>H1485-I1485*J1485</x:f>
        <x:v>1</x:v>
      </x:c>
      <x:c r="L1485" s="8" t="n">
        <x:f>'PG facts'!E78</x:f>
        <x:v>2</x:v>
      </x:c>
      <x:c r="M1485" s="8" t="n">
        <x:f>K1485-L1485</x:f>
        <x:v>-1</x:v>
      </x:c>
      <x:c r="N1485" s="8" t="n">
        <x:f>M1485^2</x:f>
        <x:v>1</x:v>
      </x:c>
      <x:c r="O1485" s="8" t="n">
        <x:f>ABS(M1485)</x:f>
        <x:v>1</x:v>
      </x:c>
      <x:c r="P1485" s="7" t="n">
        <x:v>45217</x:v>
      </x:c>
    </x:row>
    <x:row r="1486" ht="26" customHeight="1">
      <x:c r="A1486" s="2"/>
      <x:c r="B1486" s="2" t="n">
        <x:v>1481</x:v>
      </x:c>
      <x:c r="C1486" s="2" t="str">
        <x:v>Health Care / organic_volume_growth</x:v>
      </x:c>
      <x:c r="D1486" s="7" t="n">
        <x:v>45199</x:v>
      </x:c>
      <x:c r="E1486" s="2" t="str">
        <x:v>Origin</x:v>
      </x:c>
      <x:c r="F1486" s="7" t="n">
        <x:v>45108</x:v>
      </x:c>
      <x:c r="G1486" s="2" t="str">
        <x:v>Four-quarter mean</x:v>
      </x:c>
      <x:c r="H1486" s="8" t="n">
        <x:f>AVERAGE('PG facts'!E43,'PG facts'!E50,'PG facts'!E57,'PG facts'!E64)</x:f>
        <x:v>-0.5</x:v>
      </x:c>
      <x:c r="I1486" s="8" t="n">
        <x:f>0</x:f>
        <x:v>0</x:v>
      </x:c>
      <x:c r="J1486" s="8" t="n">
        <x:v>0</x:v>
      </x:c>
      <x:c r="K1486" s="8" t="n">
        <x:f>H1486-I1486*J1486</x:f>
        <x:v>-0.5</x:v>
      </x:c>
      <x:c r="L1486" s="8" t="n">
        <x:f>'PG facts'!E78</x:f>
        <x:v>2</x:v>
      </x:c>
      <x:c r="M1486" s="8" t="n">
        <x:f>K1486-L1486</x:f>
        <x:v>-2.5</x:v>
      </x:c>
      <x:c r="N1486" s="8" t="n">
        <x:f>M1486^2</x:f>
        <x:v>6.25</x:v>
      </x:c>
      <x:c r="O1486" s="8" t="n">
        <x:f>ABS(M1486)</x:f>
        <x:v>2.5</x:v>
      </x:c>
      <x:c r="P1486" s="7" t="n">
        <x:v>45217</x:v>
      </x:c>
    </x:row>
    <x:row r="1487" ht="26" customHeight="1">
      <x:c r="A1487" s="2"/>
      <x:c r="B1487" s="2" t="n">
        <x:v>1482</x:v>
      </x:c>
      <x:c r="C1487" s="2" t="str">
        <x:v>Health Care / organic_volume_growth</x:v>
      </x:c>
      <x:c r="D1487" s="7" t="n">
        <x:v>45199</x:v>
      </x:c>
      <x:c r="E1487" s="2" t="str">
        <x:v>Origin</x:v>
      </x:c>
      <x:c r="F1487" s="7" t="n">
        <x:v>45108</x:v>
      </x:c>
      <x:c r="G1487" s="2" t="str">
        <x:v>Broad market</x:v>
      </x:c>
      <x:c r="H1487" s="8" t="n">
        <x:f>'Model fits'!AA975</x:f>
        <x:v>0.5149668630519174</x:v>
      </x:c>
      <x:c r="I1487" s="8" t="n">
        <x:f>0</x:f>
        <x:v>0</x:v>
      </x:c>
      <x:c r="J1487" s="8" t="n">
        <x:v>0</x:v>
      </x:c>
      <x:c r="K1487" s="8" t="n">
        <x:f>H1487-I1487*J1487</x:f>
        <x:v>0.5149668630519174</x:v>
      </x:c>
      <x:c r="L1487" s="8" t="n">
        <x:f>'PG facts'!E78</x:f>
        <x:v>2</x:v>
      </x:c>
      <x:c r="M1487" s="8" t="n">
        <x:f>K1487-L1487</x:f>
        <x:v>-1.4850331369480827</x:v>
      </x:c>
      <x:c r="N1487" s="8" t="n">
        <x:f>M1487^2</x:f>
        <x:v>2.205323417833863</x:v>
      </x:c>
      <x:c r="O1487" s="8" t="n">
        <x:f>ABS(M1487)</x:f>
        <x:v>1.4850331369480827</x:v>
      </x:c>
      <x:c r="P1487" s="7" t="n">
        <x:v>45217</x:v>
      </x:c>
    </x:row>
    <x:row r="1488" ht="26" customHeight="1">
      <x:c r="A1488" s="2"/>
      <x:c r="B1488" s="2" t="n">
        <x:v>1483</x:v>
      </x:c>
      <x:c r="C1488" s="2" t="str">
        <x:v>Health Care / organic_volume_growth</x:v>
      </x:c>
      <x:c r="D1488" s="7" t="n">
        <x:v>45199</x:v>
      </x:c>
      <x:c r="E1488" s="2" t="str">
        <x:v>Origin</x:v>
      </x:c>
      <x:c r="F1488" s="7" t="n">
        <x:v>45108</x:v>
      </x:c>
      <x:c r="G1488" s="2" t="str">
        <x:v>Broad rolling 8</x:v>
      </x:c>
      <x:c r="H1488" s="8" t="n">
        <x:f>'Model fits'!AA976</x:f>
        <x:v>0.910836372079706</x:v>
      </x:c>
      <x:c r="I1488" s="8" t="n">
        <x:f>0</x:f>
        <x:v>0</x:v>
      </x:c>
      <x:c r="J1488" s="8" t="n">
        <x:v>0</x:v>
      </x:c>
      <x:c r="K1488" s="8" t="n">
        <x:f>H1488-I1488*J1488</x:f>
        <x:v>0.910836372079706</x:v>
      </x:c>
      <x:c r="L1488" s="8" t="n">
        <x:f>'PG facts'!E78</x:f>
        <x:v>2</x:v>
      </x:c>
      <x:c r="M1488" s="8" t="n">
        <x:f>K1488-L1488</x:f>
        <x:v>-1.089163627920294</x:v>
      </x:c>
      <x:c r="N1488" s="8" t="n">
        <x:f>M1488^2</x:f>
        <x:v>1.186277408384497</x:v>
      </x:c>
      <x:c r="O1488" s="8" t="n">
        <x:f>ABS(M1488)</x:f>
        <x:v>1.089163627920294</x:v>
      </x:c>
      <x:c r="P1488" s="7" t="n">
        <x:v>45217</x:v>
      </x:c>
    </x:row>
    <x:row r="1489" ht="26" customHeight="1">
      <x:c r="A1489" s="2"/>
      <x:c r="B1489" s="2" t="n">
        <x:v>1484</x:v>
      </x:c>
      <x:c r="C1489" s="2" t="str">
        <x:v>Health Care / organic_volume_growth</x:v>
      </x:c>
      <x:c r="D1489" s="7" t="n">
        <x:v>45199</x:v>
      </x:c>
      <x:c r="E1489" s="2" t="str">
        <x:v>Prior report</x:v>
      </x:c>
      <x:c r="F1489" s="7" t="n">
        <x:v>45135</x:v>
      </x:c>
      <x:c r="G1489" s="2" t="str">
        <x:v>Last actual</x:v>
      </x:c>
      <x:c r="H1489" s="8" t="n">
        <x:f>AVERAGE('PG facts'!E71)</x:f>
        <x:v>-3</x:v>
      </x:c>
      <x:c r="I1489" s="8" t="n">
        <x:f>0</x:f>
        <x:v>0</x:v>
      </x:c>
      <x:c r="J1489" s="8" t="n">
        <x:v>0</x:v>
      </x:c>
      <x:c r="K1489" s="8" t="n">
        <x:f>H1489-I1489*J1489</x:f>
        <x:v>-3</x:v>
      </x:c>
      <x:c r="L1489" s="8" t="n">
        <x:f>'PG facts'!E78</x:f>
        <x:v>2</x:v>
      </x:c>
      <x:c r="M1489" s="8" t="n">
        <x:f>K1489-L1489</x:f>
        <x:v>-5</x:v>
      </x:c>
      <x:c r="N1489" s="8" t="n">
        <x:f>M1489^2</x:f>
        <x:v>25</x:v>
      </x:c>
      <x:c r="O1489" s="8" t="n">
        <x:f>ABS(M1489)</x:f>
        <x:v>5</x:v>
      </x:c>
      <x:c r="P1489" s="7" t="n">
        <x:v>45217</x:v>
      </x:c>
    </x:row>
    <x:row r="1490" ht="26" customHeight="1">
      <x:c r="A1490" s="2"/>
      <x:c r="B1490" s="2" t="n">
        <x:v>1485</x:v>
      </x:c>
      <x:c r="C1490" s="2" t="str">
        <x:v>Health Care / organic_volume_growth</x:v>
      </x:c>
      <x:c r="D1490" s="7" t="n">
        <x:v>45199</x:v>
      </x:c>
      <x:c r="E1490" s="2" t="str">
        <x:v>Prior report</x:v>
      </x:c>
      <x:c r="F1490" s="7" t="n">
        <x:v>45135</x:v>
      </x:c>
      <x:c r="G1490" s="2" t="str">
        <x:v>Four-quarter mean</x:v>
      </x:c>
      <x:c r="H1490" s="8" t="n">
        <x:f>AVERAGE('PG facts'!E50,'PG facts'!E57,'PG facts'!E64,'PG facts'!E71)</x:f>
        <x:v>-1.25</x:v>
      </x:c>
      <x:c r="I1490" s="8" t="n">
        <x:f>0</x:f>
        <x:v>0</x:v>
      </x:c>
      <x:c r="J1490" s="8" t="n">
        <x:v>0</x:v>
      </x:c>
      <x:c r="K1490" s="8" t="n">
        <x:f>H1490-I1490*J1490</x:f>
        <x:v>-1.25</x:v>
      </x:c>
      <x:c r="L1490" s="8" t="n">
        <x:f>'PG facts'!E78</x:f>
        <x:v>2</x:v>
      </x:c>
      <x:c r="M1490" s="8" t="n">
        <x:f>K1490-L1490</x:f>
        <x:v>-3.25</x:v>
      </x:c>
      <x:c r="N1490" s="8" t="n">
        <x:f>M1490^2</x:f>
        <x:v>10.5625</x:v>
      </x:c>
      <x:c r="O1490" s="8" t="n">
        <x:f>ABS(M1490)</x:f>
        <x:v>3.25</x:v>
      </x:c>
      <x:c r="P1490" s="7" t="n">
        <x:v>45217</x:v>
      </x:c>
    </x:row>
    <x:row r="1491" ht="26" customHeight="1">
      <x:c r="A1491" s="2"/>
      <x:c r="B1491" s="2" t="n">
        <x:v>1486</x:v>
      </x:c>
      <x:c r="C1491" s="2" t="str">
        <x:v>Health Care / organic_volume_growth</x:v>
      </x:c>
      <x:c r="D1491" s="7" t="n">
        <x:v>45199</x:v>
      </x:c>
      <x:c r="E1491" s="2" t="str">
        <x:v>Prior report</x:v>
      </x:c>
      <x:c r="F1491" s="7" t="n">
        <x:v>45135</x:v>
      </x:c>
      <x:c r="G1491" s="2" t="str">
        <x:v>Broad market</x:v>
      </x:c>
      <x:c r="H1491" s="8" t="n">
        <x:f>'Model fits'!AA977</x:f>
        <x:v>0.23092395581157504</x:v>
      </x:c>
      <x:c r="I1491" s="8" t="n">
        <x:f>0</x:f>
        <x:v>0</x:v>
      </x:c>
      <x:c r="J1491" s="8" t="n">
        <x:v>0</x:v>
      </x:c>
      <x:c r="K1491" s="8" t="n">
        <x:f>H1491-I1491*J1491</x:f>
        <x:v>0.23092395581157504</x:v>
      </x:c>
      <x:c r="L1491" s="8" t="n">
        <x:f>'PG facts'!E78</x:f>
        <x:v>2</x:v>
      </x:c>
      <x:c r="M1491" s="8" t="n">
        <x:f>K1491-L1491</x:f>
        <x:v>-1.769076044188425</x:v>
      </x:c>
      <x:c r="N1491" s="8" t="n">
        <x:f>M1491^2</x:f>
        <x:v>3.1296300501213663</x:v>
      </x:c>
      <x:c r="O1491" s="8" t="n">
        <x:f>ABS(M1491)</x:f>
        <x:v>1.769076044188425</x:v>
      </x:c>
      <x:c r="P1491" s="7" t="n">
        <x:v>45217</x:v>
      </x:c>
    </x:row>
    <x:row r="1492" ht="26" customHeight="1">
      <x:c r="A1492" s="2"/>
      <x:c r="B1492" s="2" t="n">
        <x:v>1487</x:v>
      </x:c>
      <x:c r="C1492" s="2" t="str">
        <x:v>Health Care / organic_volume_growth</x:v>
      </x:c>
      <x:c r="D1492" s="7" t="n">
        <x:v>45199</x:v>
      </x:c>
      <x:c r="E1492" s="2" t="str">
        <x:v>Prior report</x:v>
      </x:c>
      <x:c r="F1492" s="7" t="n">
        <x:v>45135</x:v>
      </x:c>
      <x:c r="G1492" s="2" t="str">
        <x:v>Broad lag 1</x:v>
      </x:c>
      <x:c r="H1492" s="8" t="n">
        <x:f>'Model fits'!AA978</x:f>
        <x:v>0.819231907502834</x:v>
      </x:c>
      <x:c r="I1492" s="8" t="n">
        <x:f>0</x:f>
        <x:v>0</x:v>
      </x:c>
      <x:c r="J1492" s="8" t="n">
        <x:v>0</x:v>
      </x:c>
      <x:c r="K1492" s="8" t="n">
        <x:f>H1492-I1492*J1492</x:f>
        <x:v>0.819231907502834</x:v>
      </x:c>
      <x:c r="L1492" s="8" t="n">
        <x:f>'PG facts'!E78</x:f>
        <x:v>2</x:v>
      </x:c>
      <x:c r="M1492" s="8" t="n">
        <x:f>K1492-L1492</x:f>
        <x:v>-1.180768092497166</x:v>
      </x:c>
      <x:c r="N1492" s="8" t="n">
        <x:f>M1492^2</x:f>
        <x:v>1.3942132882593958</x:v>
      </x:c>
      <x:c r="O1492" s="8" t="n">
        <x:f>ABS(M1492)</x:f>
        <x:v>1.180768092497166</x:v>
      </x:c>
      <x:c r="P1492" s="7" t="n">
        <x:v>45217</x:v>
      </x:c>
    </x:row>
    <x:row r="1493" ht="26" customHeight="1">
      <x:c r="A1493" s="2"/>
      <x:c r="B1493" s="2" t="n">
        <x:v>1488</x:v>
      </x:c>
      <x:c r="C1493" s="2" t="str">
        <x:v>Health Care / organic_volume_growth</x:v>
      </x:c>
      <x:c r="D1493" s="7" t="n">
        <x:v>45199</x:v>
      </x:c>
      <x:c r="E1493" s="2" t="str">
        <x:v>Prior report</x:v>
      </x:c>
      <x:c r="F1493" s="7" t="n">
        <x:v>45135</x:v>
      </x:c>
      <x:c r="G1493" s="2" t="str">
        <x:v>Broad rolling 8</x:v>
      </x:c>
      <x:c r="H1493" s="8" t="n">
        <x:f>'Model fits'!AA979</x:f>
        <x:v>0.6054917341683056</x:v>
      </x:c>
      <x:c r="I1493" s="8" t="n">
        <x:f>0</x:f>
        <x:v>0</x:v>
      </x:c>
      <x:c r="J1493" s="8" t="n">
        <x:v>0</x:v>
      </x:c>
      <x:c r="K1493" s="8" t="n">
        <x:f>H1493-I1493*J1493</x:f>
        <x:v>0.6054917341683056</x:v>
      </x:c>
      <x:c r="L1493" s="8" t="n">
        <x:f>'PG facts'!E78</x:f>
        <x:v>2</x:v>
      </x:c>
      <x:c r="M1493" s="8" t="n">
        <x:f>K1493-L1493</x:f>
        <x:v>-1.3945082658316945</x:v>
      </x:c>
      <x:c r="N1493" s="8" t="n">
        <x:f>M1493^2</x:f>
        <x:v>1.9446533034729199</x:v>
      </x:c>
      <x:c r="O1493" s="8" t="n">
        <x:f>ABS(M1493)</x:f>
        <x:v>1.3945082658316945</x:v>
      </x:c>
      <x:c r="P1493" s="7" t="n">
        <x:v>45217</x:v>
      </x:c>
    </x:row>
    <x:row r="1494" ht="26" customHeight="1">
      <x:c r="A1494" s="2"/>
      <x:c r="B1494" s="2" t="n">
        <x:v>1489</x:v>
      </x:c>
      <x:c r="C1494" s="2" t="str">
        <x:v>Health Care / organic_volume_growth</x:v>
      </x:c>
      <x:c r="D1494" s="7" t="n">
        <x:v>45199</x:v>
      </x:c>
      <x:c r="E1494" s="2" t="str">
        <x:v>Prior report</x:v>
      </x:c>
      <x:c r="F1494" s="7" t="n">
        <x:v>45135</x:v>
      </x:c>
      <x:c r="G1494" s="2" t="str">
        <x:v>Own history</x:v>
      </x:c>
      <x:c r="H1494" s="8" t="n">
        <x:f>'Model fits'!AA980</x:f>
        <x:v>2.1017647058823528</x:v>
      </x:c>
      <x:c r="I1494" s="8" t="n">
        <x:f>0</x:f>
        <x:v>0</x:v>
      </x:c>
      <x:c r="J1494" s="8" t="n">
        <x:v>0</x:v>
      </x:c>
      <x:c r="K1494" s="8" t="n">
        <x:f>H1494-I1494*J1494</x:f>
        <x:v>2.1017647058823528</x:v>
      </x:c>
      <x:c r="L1494" s="8" t="n">
        <x:f>'PG facts'!E78</x:f>
        <x:v>2</x:v>
      </x:c>
      <x:c r="M1494" s="8" t="n">
        <x:f>K1494-L1494</x:f>
        <x:v>0.10176470588235276</x:v>
      </x:c>
      <x:c r="N1494" s="8" t="n">
        <x:f>M1494^2</x:f>
        <x:v>0.010356055363321763</x:v>
      </x:c>
      <x:c r="O1494" s="8" t="n">
        <x:f>ABS(M1494)</x:f>
        <x:v>0.10176470588235276</x:v>
      </x:c>
      <x:c r="P1494" s="7" t="n">
        <x:v>45217</x:v>
      </x:c>
    </x:row>
    <x:row r="1495" ht="26" customHeight="1">
      <x:c r="A1495" s="2"/>
      <x:c r="B1495" s="2" t="n">
        <x:v>1490</x:v>
      </x:c>
      <x:c r="C1495" s="2" t="str">
        <x:v>Health Care / organic_volume_growth</x:v>
      </x:c>
      <x:c r="D1495" s="7" t="n">
        <x:v>45199</x:v>
      </x:c>
      <x:c r="E1495" s="2" t="str">
        <x:v>Pre-earnings</x:v>
      </x:c>
      <x:c r="F1495" s="7" t="n">
        <x:v>45216</x:v>
      </x:c>
      <x:c r="G1495" s="2" t="str">
        <x:v>Last actual</x:v>
      </x:c>
      <x:c r="H1495" s="8" t="n">
        <x:f>AVERAGE('PG facts'!E71)</x:f>
        <x:v>-3</x:v>
      </x:c>
      <x:c r="I1495" s="8" t="n">
        <x:f>0</x:f>
        <x:v>0</x:v>
      </x:c>
      <x:c r="J1495" s="8" t="n">
        <x:v>0</x:v>
      </x:c>
      <x:c r="K1495" s="8" t="n">
        <x:f>H1495-I1495*J1495</x:f>
        <x:v>-3</x:v>
      </x:c>
      <x:c r="L1495" s="8" t="n">
        <x:f>'PG facts'!E78</x:f>
        <x:v>2</x:v>
      </x:c>
      <x:c r="M1495" s="8" t="n">
        <x:f>K1495-L1495</x:f>
        <x:v>-5</x:v>
      </x:c>
      <x:c r="N1495" s="8" t="n">
        <x:f>M1495^2</x:f>
        <x:v>25</x:v>
      </x:c>
      <x:c r="O1495" s="8" t="n">
        <x:f>ABS(M1495)</x:f>
        <x:v>5</x:v>
      </x:c>
      <x:c r="P1495" s="7" t="n">
        <x:v>45217</x:v>
      </x:c>
    </x:row>
    <x:row r="1496" ht="26" customHeight="1">
      <x:c r="A1496" s="2"/>
      <x:c r="B1496" s="2" t="n">
        <x:v>1491</x:v>
      </x:c>
      <x:c r="C1496" s="2" t="str">
        <x:v>Health Care / organic_volume_growth</x:v>
      </x:c>
      <x:c r="D1496" s="7" t="n">
        <x:v>45199</x:v>
      </x:c>
      <x:c r="E1496" s="2" t="str">
        <x:v>Pre-earnings</x:v>
      </x:c>
      <x:c r="F1496" s="7" t="n">
        <x:v>45216</x:v>
      </x:c>
      <x:c r="G1496" s="2" t="str">
        <x:v>Four-quarter mean</x:v>
      </x:c>
      <x:c r="H1496" s="8" t="n">
        <x:f>AVERAGE('PG facts'!E50,'PG facts'!E57,'PG facts'!E64,'PG facts'!E71)</x:f>
        <x:v>-1.25</x:v>
      </x:c>
      <x:c r="I1496" s="8" t="n">
        <x:f>0</x:f>
        <x:v>0</x:v>
      </x:c>
      <x:c r="J1496" s="8" t="n">
        <x:v>0</x:v>
      </x:c>
      <x:c r="K1496" s="8" t="n">
        <x:f>H1496-I1496*J1496</x:f>
        <x:v>-1.25</x:v>
      </x:c>
      <x:c r="L1496" s="8" t="n">
        <x:f>'PG facts'!E78</x:f>
        <x:v>2</x:v>
      </x:c>
      <x:c r="M1496" s="8" t="n">
        <x:f>K1496-L1496</x:f>
        <x:v>-3.25</x:v>
      </x:c>
      <x:c r="N1496" s="8" t="n">
        <x:f>M1496^2</x:f>
        <x:v>10.5625</x:v>
      </x:c>
      <x:c r="O1496" s="8" t="n">
        <x:f>ABS(M1496)</x:f>
        <x:v>3.25</x:v>
      </x:c>
      <x:c r="P1496" s="7" t="n">
        <x:v>45217</x:v>
      </x:c>
    </x:row>
    <x:row r="1497" ht="26" customHeight="1">
      <x:c r="A1497" s="2"/>
      <x:c r="B1497" s="2" t="n">
        <x:v>1492</x:v>
      </x:c>
      <x:c r="C1497" s="2" t="str">
        <x:v>Health Care / organic_volume_growth</x:v>
      </x:c>
      <x:c r="D1497" s="7" t="n">
        <x:v>45199</x:v>
      </x:c>
      <x:c r="E1497" s="2" t="str">
        <x:v>Pre-earnings</x:v>
      </x:c>
      <x:c r="F1497" s="7" t="n">
        <x:v>45216</x:v>
      </x:c>
      <x:c r="G1497" s="2" t="str">
        <x:v>Broad market</x:v>
      </x:c>
      <x:c r="H1497" s="8" t="n">
        <x:f>'Model fits'!AA981</x:f>
        <x:v>0.3418496343565194</x:v>
      </x:c>
      <x:c r="I1497" s="8" t="n">
        <x:f>0</x:f>
        <x:v>0</x:v>
      </x:c>
      <x:c r="J1497" s="8" t="n">
        <x:v>0</x:v>
      </x:c>
      <x:c r="K1497" s="8" t="n">
        <x:f>H1497-I1497*J1497</x:f>
        <x:v>0.3418496343565194</x:v>
      </x:c>
      <x:c r="L1497" s="8" t="n">
        <x:f>'PG facts'!E78</x:f>
        <x:v>2</x:v>
      </x:c>
      <x:c r="M1497" s="8" t="n">
        <x:f>K1497-L1497</x:f>
        <x:v>-1.6581503656434806</x:v>
      </x:c>
      <x:c r="N1497" s="8" t="n">
        <x:f>M1497^2</x:f>
        <x:v>2.7494626350836087</x:v>
      </x:c>
      <x:c r="O1497" s="8" t="n">
        <x:f>ABS(M1497)</x:f>
        <x:v>1.6581503656434806</x:v>
      </x:c>
      <x:c r="P1497" s="7" t="n">
        <x:v>45217</x:v>
      </x:c>
    </x:row>
    <x:row r="1498" ht="26" customHeight="1">
      <x:c r="A1498" s="2"/>
      <x:c r="B1498" s="2" t="n">
        <x:v>1493</x:v>
      </x:c>
      <x:c r="C1498" s="2" t="str">
        <x:v>Health Care / organic_volume_growth</x:v>
      </x:c>
      <x:c r="D1498" s="7" t="n">
        <x:v>45199</x:v>
      </x:c>
      <x:c r="E1498" s="2" t="str">
        <x:v>Pre-earnings</x:v>
      </x:c>
      <x:c r="F1498" s="7" t="n">
        <x:v>45216</x:v>
      </x:c>
      <x:c r="G1498" s="2" t="str">
        <x:v>Broad lag 1</x:v>
      </x:c>
      <x:c r="H1498" s="8" t="n">
        <x:f>'Model fits'!AA982</x:f>
        <x:v>0.23191348818411645</x:v>
      </x:c>
      <x:c r="I1498" s="8" t="n">
        <x:f>0</x:f>
        <x:v>0</x:v>
      </x:c>
      <x:c r="J1498" s="8" t="n">
        <x:v>0</x:v>
      </x:c>
      <x:c r="K1498" s="8" t="n">
        <x:f>H1498-I1498*J1498</x:f>
        <x:v>0.23191348818411645</x:v>
      </x:c>
      <x:c r="L1498" s="8" t="n">
        <x:f>'PG facts'!E78</x:f>
        <x:v>2</x:v>
      </x:c>
      <x:c r="M1498" s="8" t="n">
        <x:f>K1498-L1498</x:f>
        <x:v>-1.7680865118158835</x:v>
      </x:c>
      <x:c r="N1498" s="8" t="n">
        <x:f>M1498^2</x:f>
        <x:v>3.1261299132652582</x:v>
      </x:c>
      <x:c r="O1498" s="8" t="n">
        <x:f>ABS(M1498)</x:f>
        <x:v>1.7680865118158835</x:v>
      </x:c>
      <x:c r="P1498" s="7" t="n">
        <x:v>45217</x:v>
      </x:c>
    </x:row>
    <x:row r="1499" ht="26" customHeight="1">
      <x:c r="A1499" s="2"/>
      <x:c r="B1499" s="2" t="n">
        <x:v>1494</x:v>
      </x:c>
      <x:c r="C1499" s="2" t="str">
        <x:v>Health Care / organic_volume_growth</x:v>
      </x:c>
      <x:c r="D1499" s="7" t="n">
        <x:v>45199</x:v>
      </x:c>
      <x:c r="E1499" s="2" t="str">
        <x:v>Pre-earnings</x:v>
      </x:c>
      <x:c r="F1499" s="7" t="n">
        <x:v>45216</x:v>
      </x:c>
      <x:c r="G1499" s="2" t="str">
        <x:v>Broad rolling 8</x:v>
      </x:c>
      <x:c r="H1499" s="8" t="n">
        <x:f>'Model fits'!AA983</x:f>
        <x:v>0.6984056531503569</x:v>
      </x:c>
      <x:c r="I1499" s="8" t="n">
        <x:f>0</x:f>
        <x:v>0</x:v>
      </x:c>
      <x:c r="J1499" s="8" t="n">
        <x:v>0</x:v>
      </x:c>
      <x:c r="K1499" s="8" t="n">
        <x:f>H1499-I1499*J1499</x:f>
        <x:v>0.6984056531503569</x:v>
      </x:c>
      <x:c r="L1499" s="8" t="n">
        <x:f>'PG facts'!E78</x:f>
        <x:v>2</x:v>
      </x:c>
      <x:c r="M1499" s="8" t="n">
        <x:f>K1499-L1499</x:f>
        <x:v>-1.3015943468496431</x:v>
      </x:c>
      <x:c r="N1499" s="8" t="n">
        <x:f>M1499^2</x:f>
        <x:v>1.6941478437509492</x:v>
      </x:c>
      <x:c r="O1499" s="8" t="n">
        <x:f>ABS(M1499)</x:f>
        <x:v>1.3015943468496431</x:v>
      </x:c>
      <x:c r="P1499" s="7" t="n">
        <x:v>45217</x:v>
      </x:c>
    </x:row>
    <x:row r="1500" ht="26" customHeight="1">
      <x:c r="A1500" s="2"/>
      <x:c r="B1500" s="2" t="n">
        <x:v>1495</x:v>
      </x:c>
      <x:c r="C1500" s="2" t="str">
        <x:v>Health Care / organic_volume_growth</x:v>
      </x:c>
      <x:c r="D1500" s="7" t="n">
        <x:v>45199</x:v>
      </x:c>
      <x:c r="E1500" s="2" t="str">
        <x:v>Pre-earnings</x:v>
      </x:c>
      <x:c r="F1500" s="7" t="n">
        <x:v>45216</x:v>
      </x:c>
      <x:c r="G1500" s="2" t="str">
        <x:v>Own history</x:v>
      </x:c>
      <x:c r="H1500" s="8" t="n">
        <x:f>'Model fits'!AA984</x:f>
        <x:v>2.1017647058823528</x:v>
      </x:c>
      <x:c r="I1500" s="8" t="n">
        <x:f>0</x:f>
        <x:v>0</x:v>
      </x:c>
      <x:c r="J1500" s="8" t="n">
        <x:v>0</x:v>
      </x:c>
      <x:c r="K1500" s="8" t="n">
        <x:f>H1500-I1500*J1500</x:f>
        <x:v>2.1017647058823528</x:v>
      </x:c>
      <x:c r="L1500" s="8" t="n">
        <x:f>'PG facts'!E78</x:f>
        <x:v>2</x:v>
      </x:c>
      <x:c r="M1500" s="8" t="n">
        <x:f>K1500-L1500</x:f>
        <x:v>0.10176470588235276</x:v>
      </x:c>
      <x:c r="N1500" s="8" t="n">
        <x:f>M1500^2</x:f>
        <x:v>0.010356055363321763</x:v>
      </x:c>
      <x:c r="O1500" s="8" t="n">
        <x:f>ABS(M1500)</x:f>
        <x:v>0.10176470588235276</x:v>
      </x:c>
      <x:c r="P1500" s="7" t="n">
        <x:v>45217</x:v>
      </x:c>
    </x:row>
    <x:row r="1501" ht="26" customHeight="1">
      <x:c r="A1501" s="2"/>
      <x:c r="B1501" s="2" t="n">
        <x:v>1496</x:v>
      </x:c>
      <x:c r="C1501" s="2" t="str">
        <x:v>Health Care / organic_volume_growth</x:v>
      </x:c>
      <x:c r="D1501" s="7" t="n">
        <x:v>45291</x:v>
      </x:c>
      <x:c r="E1501" s="2" t="str">
        <x:v>Origin</x:v>
      </x:c>
      <x:c r="F1501" s="7" t="n">
        <x:v>45200</x:v>
      </x:c>
      <x:c r="G1501" s="2" t="str">
        <x:v>Last actual</x:v>
      </x:c>
      <x:c r="H1501" s="8" t="n">
        <x:f>AVERAGE('PG facts'!E71)</x:f>
        <x:v>-3</x:v>
      </x:c>
      <x:c r="I1501" s="8" t="n">
        <x:f>0</x:f>
        <x:v>0</x:v>
      </x:c>
      <x:c r="J1501" s="8" t="n">
        <x:v>0</x:v>
      </x:c>
      <x:c r="K1501" s="8" t="n">
        <x:f>H1501-I1501*J1501</x:f>
        <x:v>-3</x:v>
      </x:c>
      <x:c r="L1501" s="8" t="n">
        <x:f>'PG facts'!E85</x:f>
        <x:v>-4</x:v>
      </x:c>
      <x:c r="M1501" s="8" t="n">
        <x:f>K1501-L1501</x:f>
        <x:v>1</x:v>
      </x:c>
      <x:c r="N1501" s="8" t="n">
        <x:f>M1501^2</x:f>
        <x:v>1</x:v>
      </x:c>
      <x:c r="O1501" s="8" t="n">
        <x:f>ABS(M1501)</x:f>
        <x:v>1</x:v>
      </x:c>
      <x:c r="P1501" s="7" t="n">
        <x:v>45314</x:v>
      </x:c>
    </x:row>
    <x:row r="1502" ht="26" customHeight="1">
      <x:c r="A1502" s="2"/>
      <x:c r="B1502" s="2" t="n">
        <x:v>1497</x:v>
      </x:c>
      <x:c r="C1502" s="2" t="str">
        <x:v>Health Care / organic_volume_growth</x:v>
      </x:c>
      <x:c r="D1502" s="7" t="n">
        <x:v>45291</x:v>
      </x:c>
      <x:c r="E1502" s="2" t="str">
        <x:v>Origin</x:v>
      </x:c>
      <x:c r="F1502" s="7" t="n">
        <x:v>45200</x:v>
      </x:c>
      <x:c r="G1502" s="2" t="str">
        <x:v>Four-quarter mean</x:v>
      </x:c>
      <x:c r="H1502" s="8" t="n">
        <x:f>AVERAGE('PG facts'!E50,'PG facts'!E57,'PG facts'!E64,'PG facts'!E71)</x:f>
        <x:v>-1.25</x:v>
      </x:c>
      <x:c r="I1502" s="8" t="n">
        <x:f>0</x:f>
        <x:v>0</x:v>
      </x:c>
      <x:c r="J1502" s="8" t="n">
        <x:v>0</x:v>
      </x:c>
      <x:c r="K1502" s="8" t="n">
        <x:f>H1502-I1502*J1502</x:f>
        <x:v>-1.25</x:v>
      </x:c>
      <x:c r="L1502" s="8" t="n">
        <x:f>'PG facts'!E85</x:f>
        <x:v>-4</x:v>
      </x:c>
      <x:c r="M1502" s="8" t="n">
        <x:f>K1502-L1502</x:f>
        <x:v>2.75</x:v>
      </x:c>
      <x:c r="N1502" s="8" t="n">
        <x:f>M1502^2</x:f>
        <x:v>7.5625</x:v>
      </x:c>
      <x:c r="O1502" s="8" t="n">
        <x:f>ABS(M1502)</x:f>
        <x:v>2.75</x:v>
      </x:c>
      <x:c r="P1502" s="7" t="n">
        <x:v>45314</x:v>
      </x:c>
    </x:row>
    <x:row r="1503" ht="26" customHeight="1">
      <x:c r="A1503" s="2"/>
      <x:c r="B1503" s="2" t="n">
        <x:v>1498</x:v>
      </x:c>
      <x:c r="C1503" s="2" t="str">
        <x:v>Health Care / organic_volume_growth</x:v>
      </x:c>
      <x:c r="D1503" s="7" t="n">
        <x:v>45291</x:v>
      </x:c>
      <x:c r="E1503" s="2" t="str">
        <x:v>Origin</x:v>
      </x:c>
      <x:c r="F1503" s="7" t="n">
        <x:v>45200</x:v>
      </x:c>
      <x:c r="G1503" s="2" t="str">
        <x:v>Broad market</x:v>
      </x:c>
      <x:c r="H1503" s="8" t="n">
        <x:f>'Model fits'!AA985</x:f>
        <x:v>0.1583179948361434</x:v>
      </x:c>
      <x:c r="I1503" s="8" t="n">
        <x:f>0</x:f>
        <x:v>0</x:v>
      </x:c>
      <x:c r="J1503" s="8" t="n">
        <x:v>0</x:v>
      </x:c>
      <x:c r="K1503" s="8" t="n">
        <x:f>H1503-I1503*J1503</x:f>
        <x:v>0.1583179948361434</x:v>
      </x:c>
      <x:c r="L1503" s="8" t="n">
        <x:f>'PG facts'!E85</x:f>
        <x:v>-4</x:v>
      </x:c>
      <x:c r="M1503" s="8" t="n">
        <x:f>K1503-L1503</x:f>
        <x:v>4.1583179948361435</x:v>
      </x:c>
      <x:c r="N1503" s="8" t="n">
        <x:f>M1503^2</x:f>
        <x:v>17.291608546178086</x:v>
      </x:c>
      <x:c r="O1503" s="8" t="n">
        <x:f>ABS(M1503)</x:f>
        <x:v>4.1583179948361435</x:v>
      </x:c>
      <x:c r="P1503" s="7" t="n">
        <x:v>45314</x:v>
      </x:c>
    </x:row>
    <x:row r="1504" ht="26" customHeight="1">
      <x:c r="A1504" s="2"/>
      <x:c r="B1504" s="2" t="n">
        <x:v>1499</x:v>
      </x:c>
      <x:c r="C1504" s="2" t="str">
        <x:v>Health Care / organic_volume_growth</x:v>
      </x:c>
      <x:c r="D1504" s="7" t="n">
        <x:v>45291</x:v>
      </x:c>
      <x:c r="E1504" s="2" t="str">
        <x:v>Origin</x:v>
      </x:c>
      <x:c r="F1504" s="7" t="n">
        <x:v>45200</x:v>
      </x:c>
      <x:c r="G1504" s="2" t="str">
        <x:v>Broad rolling 8</x:v>
      </x:c>
      <x:c r="H1504" s="8" t="n">
        <x:f>'Model fits'!AA986</x:f>
        <x:v>0.5294631007260755</x:v>
      </x:c>
      <x:c r="I1504" s="8" t="n">
        <x:f>0</x:f>
        <x:v>0</x:v>
      </x:c>
      <x:c r="J1504" s="8" t="n">
        <x:v>0</x:v>
      </x:c>
      <x:c r="K1504" s="8" t="n">
        <x:f>H1504-I1504*J1504</x:f>
        <x:v>0.5294631007260755</x:v>
      </x:c>
      <x:c r="L1504" s="8" t="n">
        <x:f>'PG facts'!E85</x:f>
        <x:v>-4</x:v>
      </x:c>
      <x:c r="M1504" s="8" t="n">
        <x:f>K1504-L1504</x:f>
        <x:v>4.529463100726075</x:v>
      </x:c>
      <x:c r="N1504" s="8" t="n">
        <x:f>M1504^2</x:f>
        <x:v>20.51603598083907</x:v>
      </x:c>
      <x:c r="O1504" s="8" t="n">
        <x:f>ABS(M1504)</x:f>
        <x:v>4.529463100726075</x:v>
      </x:c>
      <x:c r="P1504" s="7" t="n">
        <x:v>45314</x:v>
      </x:c>
    </x:row>
    <x:row r="1505" ht="26" customHeight="1">
      <x:c r="A1505" s="2"/>
      <x:c r="B1505" s="2" t="n">
        <x:v>1500</x:v>
      </x:c>
      <x:c r="C1505" s="2" t="str">
        <x:v>Health Care / organic_volume_growth</x:v>
      </x:c>
      <x:c r="D1505" s="7" t="n">
        <x:v>45291</x:v>
      </x:c>
      <x:c r="E1505" s="2" t="str">
        <x:v>Origin</x:v>
      </x:c>
      <x:c r="F1505" s="7" t="n">
        <x:v>45200</x:v>
      </x:c>
      <x:c r="G1505" s="2" t="str">
        <x:v>Own history</x:v>
      </x:c>
      <x:c r="H1505" s="8" t="n">
        <x:f>'Model fits'!AA987</x:f>
        <x:v>0.26436781609195403</x:v>
      </x:c>
      <x:c r="I1505" s="8" t="n">
        <x:f>0</x:f>
        <x:v>0</x:v>
      </x:c>
      <x:c r="J1505" s="8" t="n">
        <x:v>0</x:v>
      </x:c>
      <x:c r="K1505" s="8" t="n">
        <x:f>H1505-I1505*J1505</x:f>
        <x:v>0.26436781609195403</x:v>
      </x:c>
      <x:c r="L1505" s="8" t="n">
        <x:f>'PG facts'!E85</x:f>
        <x:v>-4</x:v>
      </x:c>
      <x:c r="M1505" s="8" t="n">
        <x:f>K1505-L1505</x:f>
        <x:v>4.264367816091954</x:v>
      </x:c>
      <x:c r="N1505" s="8" t="n">
        <x:f>M1505^2</x:f>
        <x:v>18.18483287092086</x:v>
      </x:c>
      <x:c r="O1505" s="8" t="n">
        <x:f>ABS(M1505)</x:f>
        <x:v>4.264367816091954</x:v>
      </x:c>
      <x:c r="P1505" s="7" t="n">
        <x:v>45314</x:v>
      </x:c>
    </x:row>
    <x:row r="1506" ht="26" customHeight="1">
      <x:c r="A1506" s="2"/>
      <x:c r="B1506" s="2" t="n">
        <x:v>1501</x:v>
      </x:c>
      <x:c r="C1506" s="2" t="str">
        <x:v>Health Care / organic_volume_growth</x:v>
      </x:c>
      <x:c r="D1506" s="7" t="n">
        <x:v>45291</x:v>
      </x:c>
      <x:c r="E1506" s="2" t="str">
        <x:v>Prior report</x:v>
      </x:c>
      <x:c r="F1506" s="7" t="n">
        <x:v>45217</x:v>
      </x:c>
      <x:c r="G1506" s="2" t="str">
        <x:v>Last actual</x:v>
      </x:c>
      <x:c r="H1506" s="8" t="n">
        <x:f>AVERAGE('PG facts'!E78)</x:f>
        <x:v>2</x:v>
      </x:c>
      <x:c r="I1506" s="8" t="n">
        <x:f>0</x:f>
        <x:v>0</x:v>
      </x:c>
      <x:c r="J1506" s="8" t="n">
        <x:v>0</x:v>
      </x:c>
      <x:c r="K1506" s="8" t="n">
        <x:f>H1506-I1506*J1506</x:f>
        <x:v>2</x:v>
      </x:c>
      <x:c r="L1506" s="8" t="n">
        <x:f>'PG facts'!E85</x:f>
        <x:v>-4</x:v>
      </x:c>
      <x:c r="M1506" s="8" t="n">
        <x:f>K1506-L1506</x:f>
        <x:v>6</x:v>
      </x:c>
      <x:c r="N1506" s="8" t="n">
        <x:f>M1506^2</x:f>
        <x:v>36</x:v>
      </x:c>
      <x:c r="O1506" s="8" t="n">
        <x:f>ABS(M1506)</x:f>
        <x:v>6</x:v>
      </x:c>
      <x:c r="P1506" s="7" t="n">
        <x:v>45314</x:v>
      </x:c>
    </x:row>
    <x:row r="1507" ht="26" customHeight="1">
      <x:c r="A1507" s="2"/>
      <x:c r="B1507" s="2" t="n">
        <x:v>1502</x:v>
      </x:c>
      <x:c r="C1507" s="2" t="str">
        <x:v>Health Care / organic_volume_growth</x:v>
      </x:c>
      <x:c r="D1507" s="7" t="n">
        <x:v>45291</x:v>
      </x:c>
      <x:c r="E1507" s="2" t="str">
        <x:v>Prior report</x:v>
      </x:c>
      <x:c r="F1507" s="7" t="n">
        <x:v>45217</x:v>
      </x:c>
      <x:c r="G1507" s="2" t="str">
        <x:v>Four-quarter mean</x:v>
      </x:c>
      <x:c r="H1507" s="8" t="n">
        <x:f>AVERAGE('PG facts'!E57,'PG facts'!E64,'PG facts'!E71,'PG facts'!E78)</x:f>
        <x:v>-0.25</x:v>
      </x:c>
      <x:c r="I1507" s="8" t="n">
        <x:f>0</x:f>
        <x:v>0</x:v>
      </x:c>
      <x:c r="J1507" s="8" t="n">
        <x:v>0</x:v>
      </x:c>
      <x:c r="K1507" s="8" t="n">
        <x:f>H1507-I1507*J1507</x:f>
        <x:v>-0.25</x:v>
      </x:c>
      <x:c r="L1507" s="8" t="n">
        <x:f>'PG facts'!E85</x:f>
        <x:v>-4</x:v>
      </x:c>
      <x:c r="M1507" s="8" t="n">
        <x:f>K1507-L1507</x:f>
        <x:v>3.75</x:v>
      </x:c>
      <x:c r="N1507" s="8" t="n">
        <x:f>M1507^2</x:f>
        <x:v>14.0625</x:v>
      </x:c>
      <x:c r="O1507" s="8" t="n">
        <x:f>ABS(M1507)</x:f>
        <x:v>3.75</x:v>
      </x:c>
      <x:c r="P1507" s="7" t="n">
        <x:v>45314</x:v>
      </x:c>
    </x:row>
    <x:row r="1508" ht="26" customHeight="1">
      <x:c r="A1508" s="2"/>
      <x:c r="B1508" s="2" t="n">
        <x:v>1503</x:v>
      </x:c>
      <x:c r="C1508" s="2" t="str">
        <x:v>Health Care / organic_volume_growth</x:v>
      </x:c>
      <x:c r="D1508" s="7" t="n">
        <x:v>45291</x:v>
      </x:c>
      <x:c r="E1508" s="2" t="str">
        <x:v>Prior report</x:v>
      </x:c>
      <x:c r="F1508" s="7" t="n">
        <x:v>45217</x:v>
      </x:c>
      <x:c r="G1508" s="2" t="str">
        <x:v>Broad market</x:v>
      </x:c>
      <x:c r="H1508" s="8" t="n">
        <x:f>'Model fits'!AA988</x:f>
        <x:v>0.1583179948361434</x:v>
      </x:c>
      <x:c r="I1508" s="8" t="n">
        <x:f>0</x:f>
        <x:v>0</x:v>
      </x:c>
      <x:c r="J1508" s="8" t="n">
        <x:v>0</x:v>
      </x:c>
      <x:c r="K1508" s="8" t="n">
        <x:f>H1508-I1508*J1508</x:f>
        <x:v>0.1583179948361434</x:v>
      </x:c>
      <x:c r="L1508" s="8" t="n">
        <x:f>'PG facts'!E85</x:f>
        <x:v>-4</x:v>
      </x:c>
      <x:c r="M1508" s="8" t="n">
        <x:f>K1508-L1508</x:f>
        <x:v>4.1583179948361435</x:v>
      </x:c>
      <x:c r="N1508" s="8" t="n">
        <x:f>M1508^2</x:f>
        <x:v>17.291608546178086</x:v>
      </x:c>
      <x:c r="O1508" s="8" t="n">
        <x:f>ABS(M1508)</x:f>
        <x:v>4.1583179948361435</x:v>
      </x:c>
      <x:c r="P1508" s="7" t="n">
        <x:v>45314</x:v>
      </x:c>
    </x:row>
    <x:row r="1509" ht="26" customHeight="1">
      <x:c r="A1509" s="2"/>
      <x:c r="B1509" s="2" t="n">
        <x:v>1504</x:v>
      </x:c>
      <x:c r="C1509" s="2" t="str">
        <x:v>Health Care / organic_volume_growth</x:v>
      </x:c>
      <x:c r="D1509" s="7" t="n">
        <x:v>45291</x:v>
      </x:c>
      <x:c r="E1509" s="2" t="str">
        <x:v>Prior report</x:v>
      </x:c>
      <x:c r="F1509" s="7" t="n">
        <x:v>45217</x:v>
      </x:c>
      <x:c r="G1509" s="2" t="str">
        <x:v>Broad rolling 8</x:v>
      </x:c>
      <x:c r="H1509" s="8" t="n">
        <x:f>'Model fits'!AA989</x:f>
        <x:v>0.5294631007260755</x:v>
      </x:c>
      <x:c r="I1509" s="8" t="n">
        <x:f>0</x:f>
        <x:v>0</x:v>
      </x:c>
      <x:c r="J1509" s="8" t="n">
        <x:v>0</x:v>
      </x:c>
      <x:c r="K1509" s="8" t="n">
        <x:f>H1509-I1509*J1509</x:f>
        <x:v>0.5294631007260755</x:v>
      </x:c>
      <x:c r="L1509" s="8" t="n">
        <x:f>'PG facts'!E85</x:f>
        <x:v>-4</x:v>
      </x:c>
      <x:c r="M1509" s="8" t="n">
        <x:f>K1509-L1509</x:f>
        <x:v>4.529463100726075</x:v>
      </x:c>
      <x:c r="N1509" s="8" t="n">
        <x:f>M1509^2</x:f>
        <x:v>20.51603598083907</x:v>
      </x:c>
      <x:c r="O1509" s="8" t="n">
        <x:f>ABS(M1509)</x:f>
        <x:v>4.529463100726075</x:v>
      </x:c>
      <x:c r="P1509" s="7" t="n">
        <x:v>45314</x:v>
      </x:c>
    </x:row>
    <x:row r="1510" ht="26" customHeight="1">
      <x:c r="A1510" s="2"/>
      <x:c r="B1510" s="2" t="n">
        <x:v>1505</x:v>
      </x:c>
      <x:c r="C1510" s="2" t="str">
        <x:v>Health Care / organic_volume_growth</x:v>
      </x:c>
      <x:c r="D1510" s="7" t="n">
        <x:v>45291</x:v>
      </x:c>
      <x:c r="E1510" s="2" t="str">
        <x:v>Prior report</x:v>
      </x:c>
      <x:c r="F1510" s="7" t="n">
        <x:v>45217</x:v>
      </x:c>
      <x:c r="G1510" s="2" t="str">
        <x:v>Own history</x:v>
      </x:c>
      <x:c r="H1510" s="8" t="n">
        <x:f>'Model fits'!AA990</x:f>
        <x:v>2.476147205815538</x:v>
      </x:c>
      <x:c r="I1510" s="8" t="n">
        <x:f>0</x:f>
        <x:v>0</x:v>
      </x:c>
      <x:c r="J1510" s="8" t="n">
        <x:v>0</x:v>
      </x:c>
      <x:c r="K1510" s="8" t="n">
        <x:f>H1510-I1510*J1510</x:f>
        <x:v>2.476147205815538</x:v>
      </x:c>
      <x:c r="L1510" s="8" t="n">
        <x:f>'PG facts'!E85</x:f>
        <x:v>-4</x:v>
      </x:c>
      <x:c r="M1510" s="8" t="n">
        <x:f>K1510-L1510</x:f>
        <x:v>6.476147205815538</x:v>
      </x:c>
      <x:c r="N1510" s="8" t="n">
        <x:f>M1510^2</x:f>
        <x:v>41.9404826313924</x:v>
      </x:c>
      <x:c r="O1510" s="8" t="n">
        <x:f>ABS(M1510)</x:f>
        <x:v>6.476147205815538</x:v>
      </x:c>
      <x:c r="P1510" s="7" t="n">
        <x:v>45314</x:v>
      </x:c>
    </x:row>
    <x:row r="1511" ht="26" customHeight="1">
      <x:c r="A1511" s="2"/>
      <x:c r="B1511" s="2" t="n">
        <x:v>1506</x:v>
      </x:c>
      <x:c r="C1511" s="2" t="str">
        <x:v>Health Care / organic_volume_growth</x:v>
      </x:c>
      <x:c r="D1511" s="7" t="n">
        <x:v>45291</x:v>
      </x:c>
      <x:c r="E1511" s="2" t="str">
        <x:v>Pre-earnings</x:v>
      </x:c>
      <x:c r="F1511" s="7" t="n">
        <x:v>45313</x:v>
      </x:c>
      <x:c r="G1511" s="2" t="str">
        <x:v>Last actual</x:v>
      </x:c>
      <x:c r="H1511" s="8" t="n">
        <x:f>AVERAGE('PG facts'!E78)</x:f>
        <x:v>2</x:v>
      </x:c>
      <x:c r="I1511" s="8" t="n">
        <x:f>0</x:f>
        <x:v>0</x:v>
      </x:c>
      <x:c r="J1511" s="8" t="n">
        <x:v>0</x:v>
      </x:c>
      <x:c r="K1511" s="8" t="n">
        <x:f>H1511-I1511*J1511</x:f>
        <x:v>2</x:v>
      </x:c>
      <x:c r="L1511" s="8" t="n">
        <x:f>'PG facts'!E85</x:f>
        <x:v>-4</x:v>
      </x:c>
      <x:c r="M1511" s="8" t="n">
        <x:f>K1511-L1511</x:f>
        <x:v>6</x:v>
      </x:c>
      <x:c r="N1511" s="8" t="n">
        <x:f>M1511^2</x:f>
        <x:v>36</x:v>
      </x:c>
      <x:c r="O1511" s="8" t="n">
        <x:f>ABS(M1511)</x:f>
        <x:v>6</x:v>
      </x:c>
      <x:c r="P1511" s="7" t="n">
        <x:v>45314</x:v>
      </x:c>
    </x:row>
    <x:row r="1512" ht="26" customHeight="1">
      <x:c r="A1512" s="2"/>
      <x:c r="B1512" s="2" t="n">
        <x:v>1507</x:v>
      </x:c>
      <x:c r="C1512" s="2" t="str">
        <x:v>Health Care / organic_volume_growth</x:v>
      </x:c>
      <x:c r="D1512" s="7" t="n">
        <x:v>45291</x:v>
      </x:c>
      <x:c r="E1512" s="2" t="str">
        <x:v>Pre-earnings</x:v>
      </x:c>
      <x:c r="F1512" s="7" t="n">
        <x:v>45313</x:v>
      </x:c>
      <x:c r="G1512" s="2" t="str">
        <x:v>Four-quarter mean</x:v>
      </x:c>
      <x:c r="H1512" s="8" t="n">
        <x:f>AVERAGE('PG facts'!E57,'PG facts'!E64,'PG facts'!E71,'PG facts'!E78)</x:f>
        <x:v>-0.25</x:v>
      </x:c>
      <x:c r="I1512" s="8" t="n">
        <x:f>0</x:f>
        <x:v>0</x:v>
      </x:c>
      <x:c r="J1512" s="8" t="n">
        <x:v>0</x:v>
      </x:c>
      <x:c r="K1512" s="8" t="n">
        <x:f>H1512-I1512*J1512</x:f>
        <x:v>-0.25</x:v>
      </x:c>
      <x:c r="L1512" s="8" t="n">
        <x:f>'PG facts'!E85</x:f>
        <x:v>-4</x:v>
      </x:c>
      <x:c r="M1512" s="8" t="n">
        <x:f>K1512-L1512</x:f>
        <x:v>3.75</x:v>
      </x:c>
      <x:c r="N1512" s="8" t="n">
        <x:f>M1512^2</x:f>
        <x:v>14.0625</x:v>
      </x:c>
      <x:c r="O1512" s="8" t="n">
        <x:f>ABS(M1512)</x:f>
        <x:v>3.75</x:v>
      </x:c>
      <x:c r="P1512" s="7" t="n">
        <x:v>45314</x:v>
      </x:c>
    </x:row>
    <x:row r="1513" ht="26" customHeight="1">
      <x:c r="A1513" s="2"/>
      <x:c r="B1513" s="2" t="n">
        <x:v>1508</x:v>
      </x:c>
      <x:c r="C1513" s="2" t="str">
        <x:v>Health Care / organic_volume_growth</x:v>
      </x:c>
      <x:c r="D1513" s="7" t="n">
        <x:v>45291</x:v>
      </x:c>
      <x:c r="E1513" s="2" t="str">
        <x:v>Pre-earnings</x:v>
      </x:c>
      <x:c r="F1513" s="7" t="n">
        <x:v>45313</x:v>
      </x:c>
      <x:c r="G1513" s="2" t="str">
        <x:v>Broad market</x:v>
      </x:c>
      <x:c r="H1513" s="8" t="n">
        <x:f>'Model fits'!AA991</x:f>
        <x:v>0.6618598356146099</x:v>
      </x:c>
      <x:c r="I1513" s="8" t="n">
        <x:f>0</x:f>
        <x:v>0</x:v>
      </x:c>
      <x:c r="J1513" s="8" t="n">
        <x:v>0</x:v>
      </x:c>
      <x:c r="K1513" s="8" t="n">
        <x:f>H1513-I1513*J1513</x:f>
        <x:v>0.6618598356146099</x:v>
      </x:c>
      <x:c r="L1513" s="8" t="n">
        <x:f>'PG facts'!E85</x:f>
        <x:v>-4</x:v>
      </x:c>
      <x:c r="M1513" s="8" t="n">
        <x:f>K1513-L1513</x:f>
        <x:v>4.66185983561461</x:v>
      </x:c>
      <x:c r="N1513" s="8" t="n">
        <x:f>M1513^2</x:f>
        <x:v>21.73293712691668</x:v>
      </x:c>
      <x:c r="O1513" s="8" t="n">
        <x:f>ABS(M1513)</x:f>
        <x:v>4.66185983561461</x:v>
      </x:c>
      <x:c r="P1513" s="7" t="n">
        <x:v>45314</x:v>
      </x:c>
    </x:row>
    <x:row r="1514" ht="26" customHeight="1">
      <x:c r="A1514" s="2"/>
      <x:c r="B1514" s="2" t="n">
        <x:v>1509</x:v>
      </x:c>
      <x:c r="C1514" s="2" t="str">
        <x:v>Health Care / organic_volume_growth</x:v>
      </x:c>
      <x:c r="D1514" s="7" t="n">
        <x:v>45291</x:v>
      </x:c>
      <x:c r="E1514" s="2" t="str">
        <x:v>Pre-earnings</x:v>
      </x:c>
      <x:c r="F1514" s="7" t="n">
        <x:v>45313</x:v>
      </x:c>
      <x:c r="G1514" s="2" t="str">
        <x:v>Broad lag 1</x:v>
      </x:c>
      <x:c r="H1514" s="8" t="n">
        <x:f>'Model fits'!AA992</x:f>
        <x:v>1.273626450862489</x:v>
      </x:c>
      <x:c r="I1514" s="8" t="n">
        <x:f>0</x:f>
        <x:v>0</x:v>
      </x:c>
      <x:c r="J1514" s="8" t="n">
        <x:v>0</x:v>
      </x:c>
      <x:c r="K1514" s="8" t="n">
        <x:f>H1514-I1514*J1514</x:f>
        <x:v>1.273626450862489</x:v>
      </x:c>
      <x:c r="L1514" s="8" t="n">
        <x:f>'PG facts'!E85</x:f>
        <x:v>-4</x:v>
      </x:c>
      <x:c r="M1514" s="8" t="n">
        <x:f>K1514-L1514</x:f>
        <x:v>5.273626450862489</x:v>
      </x:c>
      <x:c r="N1514" s="8" t="n">
        <x:f>M1514^2</x:f>
        <x:v>27.81113594323649</x:v>
      </x:c>
      <x:c r="O1514" s="8" t="n">
        <x:f>ABS(M1514)</x:f>
        <x:v>5.273626450862489</x:v>
      </x:c>
      <x:c r="P1514" s="7" t="n">
        <x:v>45314</x:v>
      </x:c>
    </x:row>
    <x:row r="1515" ht="26" customHeight="1">
      <x:c r="A1515" s="2"/>
      <x:c r="B1515" s="2" t="n">
        <x:v>1510</x:v>
      </x:c>
      <x:c r="C1515" s="2" t="str">
        <x:v>Health Care / organic_volume_growth</x:v>
      </x:c>
      <x:c r="D1515" s="7" t="n">
        <x:v>45291</x:v>
      </x:c>
      <x:c r="E1515" s="2" t="str">
        <x:v>Pre-earnings</x:v>
      </x:c>
      <x:c r="F1515" s="7" t="n">
        <x:v>45313</x:v>
      </x:c>
      <x:c r="G1515" s="2" t="str">
        <x:v>Broad rolling 8</x:v>
      </x:c>
      <x:c r="H1515" s="8" t="n">
        <x:f>'Model fits'!AA993</x:f>
        <x:v>1.2536579946146063</x:v>
      </x:c>
      <x:c r="I1515" s="8" t="n">
        <x:f>0</x:f>
        <x:v>0</x:v>
      </x:c>
      <x:c r="J1515" s="8" t="n">
        <x:v>0</x:v>
      </x:c>
      <x:c r="K1515" s="8" t="n">
        <x:f>H1515-I1515*J1515</x:f>
        <x:v>1.2536579946146063</x:v>
      </x:c>
      <x:c r="L1515" s="8" t="n">
        <x:f>'PG facts'!E85</x:f>
        <x:v>-4</x:v>
      </x:c>
      <x:c r="M1515" s="8" t="n">
        <x:f>K1515-L1515</x:f>
        <x:v>5.253657994614606</x:v>
      </x:c>
      <x:c r="N1515" s="8" t="n">
        <x:f>M1515^2</x:f>
        <x:v>27.600922324377965</x:v>
      </x:c>
      <x:c r="O1515" s="8" t="n">
        <x:f>ABS(M1515)</x:f>
        <x:v>5.253657994614606</x:v>
      </x:c>
      <x:c r="P1515" s="7" t="n">
        <x:v>45314</x:v>
      </x:c>
    </x:row>
    <x:row r="1516" ht="26" customHeight="1">
      <x:c r="A1516" s="2"/>
      <x:c r="B1516" s="2" t="n">
        <x:v>1511</x:v>
      </x:c>
      <x:c r="C1516" s="2" t="str">
        <x:v>Health Care / organic_volume_growth</x:v>
      </x:c>
      <x:c r="D1516" s="7" t="n">
        <x:v>45291</x:v>
      </x:c>
      <x:c r="E1516" s="2" t="str">
        <x:v>Pre-earnings</x:v>
      </x:c>
      <x:c r="F1516" s="7" t="n">
        <x:v>45313</x:v>
      </x:c>
      <x:c r="G1516" s="2" t="str">
        <x:v>Own history</x:v>
      </x:c>
      <x:c r="H1516" s="8" t="n">
        <x:f>'Model fits'!AA994</x:f>
        <x:v>2.476147205815538</x:v>
      </x:c>
      <x:c r="I1516" s="8" t="n">
        <x:f>0</x:f>
        <x:v>0</x:v>
      </x:c>
      <x:c r="J1516" s="8" t="n">
        <x:v>0</x:v>
      </x:c>
      <x:c r="K1516" s="8" t="n">
        <x:f>H1516-I1516*J1516</x:f>
        <x:v>2.476147205815538</x:v>
      </x:c>
      <x:c r="L1516" s="8" t="n">
        <x:f>'PG facts'!E85</x:f>
        <x:v>-4</x:v>
      </x:c>
      <x:c r="M1516" s="8" t="n">
        <x:f>K1516-L1516</x:f>
        <x:v>6.476147205815538</x:v>
      </x:c>
      <x:c r="N1516" s="8" t="n">
        <x:f>M1516^2</x:f>
        <x:v>41.9404826313924</x:v>
      </x:c>
      <x:c r="O1516" s="8" t="n">
        <x:f>ABS(M1516)</x:f>
        <x:v>6.476147205815538</x:v>
      </x:c>
      <x:c r="P1516" s="7" t="n">
        <x:v>45314</x:v>
      </x:c>
    </x:row>
    <x:row r="1517" ht="26" customHeight="1">
      <x:c r="A1517" s="2"/>
      <x:c r="B1517" s="2" t="n">
        <x:v>1512</x:v>
      </x:c>
      <x:c r="C1517" s="2" t="str">
        <x:v>Health Care / organic_volume_growth</x:v>
      </x:c>
      <x:c r="D1517" s="7" t="n">
        <x:v>45382</x:v>
      </x:c>
      <x:c r="E1517" s="2" t="str">
        <x:v>Origin</x:v>
      </x:c>
      <x:c r="F1517" s="7" t="n">
        <x:v>45292</x:v>
      </x:c>
      <x:c r="G1517" s="2" t="str">
        <x:v>Last actual</x:v>
      </x:c>
      <x:c r="H1517" s="8" t="n">
        <x:f>AVERAGE('PG facts'!E78)</x:f>
        <x:v>2</x:v>
      </x:c>
      <x:c r="I1517" s="8" t="n">
        <x:f>0</x:f>
        <x:v>0</x:v>
      </x:c>
      <x:c r="J1517" s="8" t="n">
        <x:v>0</x:v>
      </x:c>
      <x:c r="K1517" s="8" t="n">
        <x:f>H1517-I1517*J1517</x:f>
        <x:v>2</x:v>
      </x:c>
      <x:c r="L1517" s="8" t="n">
        <x:f>'PG facts'!E92</x:f>
        <x:v>-4</x:v>
      </x:c>
      <x:c r="M1517" s="8" t="n">
        <x:f>K1517-L1517</x:f>
        <x:v>6</x:v>
      </x:c>
      <x:c r="N1517" s="8" t="n">
        <x:f>M1517^2</x:f>
        <x:v>36</x:v>
      </x:c>
      <x:c r="O1517" s="8" t="n">
        <x:f>ABS(M1517)</x:f>
        <x:v>6</x:v>
      </x:c>
      <x:c r="P1517" s="7" t="n">
        <x:v>45401</x:v>
      </x:c>
    </x:row>
    <x:row r="1518" ht="26" customHeight="1">
      <x:c r="A1518" s="2"/>
      <x:c r="B1518" s="2" t="n">
        <x:v>1513</x:v>
      </x:c>
      <x:c r="C1518" s="2" t="str">
        <x:v>Health Care / organic_volume_growth</x:v>
      </x:c>
      <x:c r="D1518" s="7" t="n">
        <x:v>45382</x:v>
      </x:c>
      <x:c r="E1518" s="2" t="str">
        <x:v>Origin</x:v>
      </x:c>
      <x:c r="F1518" s="7" t="n">
        <x:v>45292</x:v>
      </x:c>
      <x:c r="G1518" s="2" t="str">
        <x:v>Four-quarter mean</x:v>
      </x:c>
      <x:c r="H1518" s="8" t="n">
        <x:f>AVERAGE('PG facts'!E57,'PG facts'!E64,'PG facts'!E71,'PG facts'!E78)</x:f>
        <x:v>-0.25</x:v>
      </x:c>
      <x:c r="I1518" s="8" t="n">
        <x:f>0</x:f>
        <x:v>0</x:v>
      </x:c>
      <x:c r="J1518" s="8" t="n">
        <x:v>0</x:v>
      </x:c>
      <x:c r="K1518" s="8" t="n">
        <x:f>H1518-I1518*J1518</x:f>
        <x:v>-0.25</x:v>
      </x:c>
      <x:c r="L1518" s="8" t="n">
        <x:f>'PG facts'!E92</x:f>
        <x:v>-4</x:v>
      </x:c>
      <x:c r="M1518" s="8" t="n">
        <x:f>K1518-L1518</x:f>
        <x:v>3.75</x:v>
      </x:c>
      <x:c r="N1518" s="8" t="n">
        <x:f>M1518^2</x:f>
        <x:v>14.0625</x:v>
      </x:c>
      <x:c r="O1518" s="8" t="n">
        <x:f>ABS(M1518)</x:f>
        <x:v>3.75</x:v>
      </x:c>
      <x:c r="P1518" s="7" t="n">
        <x:v>45401</x:v>
      </x:c>
    </x:row>
    <x:row r="1519" ht="26" customHeight="1">
      <x:c r="A1519" s="2"/>
      <x:c r="B1519" s="2" t="n">
        <x:v>1514</x:v>
      </x:c>
      <x:c r="C1519" s="2" t="str">
        <x:v>Health Care / organic_volume_growth</x:v>
      </x:c>
      <x:c r="D1519" s="7" t="n">
        <x:v>45382</x:v>
      </x:c>
      <x:c r="E1519" s="2" t="str">
        <x:v>Origin</x:v>
      </x:c>
      <x:c r="F1519" s="7" t="n">
        <x:v>45292</x:v>
      </x:c>
      <x:c r="G1519" s="2" t="str">
        <x:v>Broad market</x:v>
      </x:c>
      <x:c r="H1519" s="8" t="n">
        <x:f>'Model fits'!AA995</x:f>
        <x:v>0.579754062069707</x:v>
      </x:c>
      <x:c r="I1519" s="8" t="n">
        <x:f>0</x:f>
        <x:v>0</x:v>
      </x:c>
      <x:c r="J1519" s="8" t="n">
        <x:v>0</x:v>
      </x:c>
      <x:c r="K1519" s="8" t="n">
        <x:f>H1519-I1519*J1519</x:f>
        <x:v>0.579754062069707</x:v>
      </x:c>
      <x:c r="L1519" s="8" t="n">
        <x:f>'PG facts'!E92</x:f>
        <x:v>-4</x:v>
      </x:c>
      <x:c r="M1519" s="8" t="n">
        <x:f>K1519-L1519</x:f>
        <x:v>4.579754062069707</x:v>
      </x:c>
      <x:c r="N1519" s="8" t="n">
        <x:f>M1519^2</x:f>
        <x:v>20.974147269043982</x:v>
      </x:c>
      <x:c r="O1519" s="8" t="n">
        <x:f>ABS(M1519)</x:f>
        <x:v>4.579754062069707</x:v>
      </x:c>
      <x:c r="P1519" s="7" t="n">
        <x:v>45401</x:v>
      </x:c>
    </x:row>
    <x:row r="1520" ht="26" customHeight="1">
      <x:c r="A1520" s="2"/>
      <x:c r="B1520" s="2" t="n">
        <x:v>1515</x:v>
      </x:c>
      <x:c r="C1520" s="2" t="str">
        <x:v>Health Care / organic_volume_growth</x:v>
      </x:c>
      <x:c r="D1520" s="7" t="n">
        <x:v>45382</x:v>
      </x:c>
      <x:c r="E1520" s="2" t="str">
        <x:v>Origin</x:v>
      </x:c>
      <x:c r="F1520" s="7" t="n">
        <x:v>45292</x:v>
      </x:c>
      <x:c r="G1520" s="2" t="str">
        <x:v>Broad rolling 8</x:v>
      </x:c>
      <x:c r="H1520" s="8" t="n">
        <x:f>'Model fits'!AA996</x:f>
        <x:v>1.156388055042949</x:v>
      </x:c>
      <x:c r="I1520" s="8" t="n">
        <x:f>0</x:f>
        <x:v>0</x:v>
      </x:c>
      <x:c r="J1520" s="8" t="n">
        <x:v>0</x:v>
      </x:c>
      <x:c r="K1520" s="8" t="n">
        <x:f>H1520-I1520*J1520</x:f>
        <x:v>1.156388055042949</x:v>
      </x:c>
      <x:c r="L1520" s="8" t="n">
        <x:f>'PG facts'!E92</x:f>
        <x:v>-4</x:v>
      </x:c>
      <x:c r="M1520" s="8" t="n">
        <x:f>K1520-L1520</x:f>
        <x:v>5.1563880550429495</x:v>
      </x:c>
      <x:c r="N1520" s="8" t="n">
        <x:f>M1520^2</x:f>
        <x:v>26.58833777418961</x:v>
      </x:c>
      <x:c r="O1520" s="8" t="n">
        <x:f>ABS(M1520)</x:f>
        <x:v>5.1563880550429495</x:v>
      </x:c>
      <x:c r="P1520" s="7" t="n">
        <x:v>45401</x:v>
      </x:c>
    </x:row>
    <x:row r="1521" ht="26" customHeight="1">
      <x:c r="A1521" s="2"/>
      <x:c r="B1521" s="2" t="n">
        <x:v>1516</x:v>
      </x:c>
      <x:c r="C1521" s="2" t="str">
        <x:v>Health Care / organic_volume_growth</x:v>
      </x:c>
      <x:c r="D1521" s="7" t="n">
        <x:v>45382</x:v>
      </x:c>
      <x:c r="E1521" s="2" t="str">
        <x:v>Origin</x:v>
      </x:c>
      <x:c r="F1521" s="7" t="n">
        <x:v>45292</x:v>
      </x:c>
      <x:c r="G1521" s="2" t="str">
        <x:v>Own history</x:v>
      </x:c>
      <x:c r="H1521" s="8" t="n">
        <x:f>'Model fits'!AA997</x:f>
        <x:v>1.2</x:v>
      </x:c>
      <x:c r="I1521" s="8" t="n">
        <x:f>0</x:f>
        <x:v>0</x:v>
      </x:c>
      <x:c r="J1521" s="8" t="n">
        <x:v>0</x:v>
      </x:c>
      <x:c r="K1521" s="8" t="n">
        <x:f>H1521-I1521*J1521</x:f>
        <x:v>1.2</x:v>
      </x:c>
      <x:c r="L1521" s="8" t="n">
        <x:f>'PG facts'!E92</x:f>
        <x:v>-4</x:v>
      </x:c>
      <x:c r="M1521" s="8" t="n">
        <x:f>K1521-L1521</x:f>
        <x:v>5.2</x:v>
      </x:c>
      <x:c r="N1521" s="8" t="n">
        <x:f>M1521^2</x:f>
        <x:v>27.040000000000003</x:v>
      </x:c>
      <x:c r="O1521" s="8" t="n">
        <x:f>ABS(M1521)</x:f>
        <x:v>5.2</x:v>
      </x:c>
      <x:c r="P1521" s="7" t="n">
        <x:v>45401</x:v>
      </x:c>
    </x:row>
    <x:row r="1522" ht="26" customHeight="1">
      <x:c r="A1522" s="2"/>
      <x:c r="B1522" s="2" t="n">
        <x:v>1517</x:v>
      </x:c>
      <x:c r="C1522" s="2" t="str">
        <x:v>Health Care / organic_volume_growth</x:v>
      </x:c>
      <x:c r="D1522" s="7" t="n">
        <x:v>45382</x:v>
      </x:c>
      <x:c r="E1522" s="2" t="str">
        <x:v>Prior report</x:v>
      </x:c>
      <x:c r="F1522" s="7" t="n">
        <x:v>45314</x:v>
      </x:c>
      <x:c r="G1522" s="2" t="str">
        <x:v>Last actual</x:v>
      </x:c>
      <x:c r="H1522" s="8" t="n">
        <x:f>AVERAGE('PG facts'!E85)</x:f>
        <x:v>-4</x:v>
      </x:c>
      <x:c r="I1522" s="8" t="n">
        <x:f>0</x:f>
        <x:v>0</x:v>
      </x:c>
      <x:c r="J1522" s="8" t="n">
        <x:v>0</x:v>
      </x:c>
      <x:c r="K1522" s="8" t="n">
        <x:f>H1522-I1522*J1522</x:f>
        <x:v>-4</x:v>
      </x:c>
      <x:c r="L1522" s="8" t="n">
        <x:f>'PG facts'!E92</x:f>
        <x:v>-4</x:v>
      </x:c>
      <x:c r="M1522" s="8" t="n">
        <x:f>K1522-L1522</x:f>
        <x:v>0</x:v>
      </x:c>
      <x:c r="N1522" s="8" t="n">
        <x:f>M1522^2</x:f>
        <x:v>0</x:v>
      </x:c>
      <x:c r="O1522" s="8" t="n">
        <x:f>ABS(M1522)</x:f>
        <x:v>0</x:v>
      </x:c>
      <x:c r="P1522" s="7" t="n">
        <x:v>45401</x:v>
      </x:c>
    </x:row>
    <x:row r="1523" ht="26" customHeight="1">
      <x:c r="A1523" s="2"/>
      <x:c r="B1523" s="2" t="n">
        <x:v>1518</x:v>
      </x:c>
      <x:c r="C1523" s="2" t="str">
        <x:v>Health Care / organic_volume_growth</x:v>
      </x:c>
      <x:c r="D1523" s="7" t="n">
        <x:v>45382</x:v>
      </x:c>
      <x:c r="E1523" s="2" t="str">
        <x:v>Prior report</x:v>
      </x:c>
      <x:c r="F1523" s="7" t="n">
        <x:v>45314</x:v>
      </x:c>
      <x:c r="G1523" s="2" t="str">
        <x:v>Four-quarter mean</x:v>
      </x:c>
      <x:c r="H1523" s="8" t="n">
        <x:f>AVERAGE('PG facts'!E64,'PG facts'!E71,'PG facts'!E78,'PG facts'!E85)</x:f>
        <x:v>-1</x:v>
      </x:c>
      <x:c r="I1523" s="8" t="n">
        <x:f>0</x:f>
        <x:v>0</x:v>
      </x:c>
      <x:c r="J1523" s="8" t="n">
        <x:v>0</x:v>
      </x:c>
      <x:c r="K1523" s="8" t="n">
        <x:f>H1523-I1523*J1523</x:f>
        <x:v>-1</x:v>
      </x:c>
      <x:c r="L1523" s="8" t="n">
        <x:f>'PG facts'!E92</x:f>
        <x:v>-4</x:v>
      </x:c>
      <x:c r="M1523" s="8" t="n">
        <x:f>K1523-L1523</x:f>
        <x:v>3</x:v>
      </x:c>
      <x:c r="N1523" s="8" t="n">
        <x:f>M1523^2</x:f>
        <x:v>9</x:v>
      </x:c>
      <x:c r="O1523" s="8" t="n">
        <x:f>ABS(M1523)</x:f>
        <x:v>3</x:v>
      </x:c>
      <x:c r="P1523" s="7" t="n">
        <x:v>45401</x:v>
      </x:c>
    </x:row>
    <x:row r="1524" ht="26" customHeight="1">
      <x:c r="A1524" s="2"/>
      <x:c r="B1524" s="2" t="n">
        <x:v>1519</x:v>
      </x:c>
      <x:c r="C1524" s="2" t="str">
        <x:v>Health Care / organic_volume_growth</x:v>
      </x:c>
      <x:c r="D1524" s="7" t="n">
        <x:v>45382</x:v>
      </x:c>
      <x:c r="E1524" s="2" t="str">
        <x:v>Prior report</x:v>
      </x:c>
      <x:c r="F1524" s="7" t="n">
        <x:v>45314</x:v>
      </x:c>
      <x:c r="G1524" s="2" t="str">
        <x:v>Broad market</x:v>
      </x:c>
      <x:c r="H1524" s="8" t="n">
        <x:f>'Model fits'!AA998</x:f>
        <x:v>0.579754062069707</x:v>
      </x:c>
      <x:c r="I1524" s="8" t="n">
        <x:f>0</x:f>
        <x:v>0</x:v>
      </x:c>
      <x:c r="J1524" s="8" t="n">
        <x:v>0</x:v>
      </x:c>
      <x:c r="K1524" s="8" t="n">
        <x:f>H1524-I1524*J1524</x:f>
        <x:v>0.579754062069707</x:v>
      </x:c>
      <x:c r="L1524" s="8" t="n">
        <x:f>'PG facts'!E92</x:f>
        <x:v>-4</x:v>
      </x:c>
      <x:c r="M1524" s="8" t="n">
        <x:f>K1524-L1524</x:f>
        <x:v>4.579754062069707</x:v>
      </x:c>
      <x:c r="N1524" s="8" t="n">
        <x:f>M1524^2</x:f>
        <x:v>20.974147269043982</x:v>
      </x:c>
      <x:c r="O1524" s="8" t="n">
        <x:f>ABS(M1524)</x:f>
        <x:v>4.579754062069707</x:v>
      </x:c>
      <x:c r="P1524" s="7" t="n">
        <x:v>45401</x:v>
      </x:c>
    </x:row>
    <x:row r="1525" ht="26" customHeight="1">
      <x:c r="A1525" s="2"/>
      <x:c r="B1525" s="2" t="n">
        <x:v>1520</x:v>
      </x:c>
      <x:c r="C1525" s="2" t="str">
        <x:v>Health Care / organic_volume_growth</x:v>
      </x:c>
      <x:c r="D1525" s="7" t="n">
        <x:v>45382</x:v>
      </x:c>
      <x:c r="E1525" s="2" t="str">
        <x:v>Prior report</x:v>
      </x:c>
      <x:c r="F1525" s="7" t="n">
        <x:v>45314</x:v>
      </x:c>
      <x:c r="G1525" s="2" t="str">
        <x:v>Broad rolling 8</x:v>
      </x:c>
      <x:c r="H1525" s="8" t="n">
        <x:f>'Model fits'!AA999</x:f>
        <x:v>1.156388055042949</x:v>
      </x:c>
      <x:c r="I1525" s="8" t="n">
        <x:f>0</x:f>
        <x:v>0</x:v>
      </x:c>
      <x:c r="J1525" s="8" t="n">
        <x:v>0</x:v>
      </x:c>
      <x:c r="K1525" s="8" t="n">
        <x:f>H1525-I1525*J1525</x:f>
        <x:v>1.156388055042949</x:v>
      </x:c>
      <x:c r="L1525" s="8" t="n">
        <x:f>'PG facts'!E92</x:f>
        <x:v>-4</x:v>
      </x:c>
      <x:c r="M1525" s="8" t="n">
        <x:f>K1525-L1525</x:f>
        <x:v>5.1563880550429495</x:v>
      </x:c>
      <x:c r="N1525" s="8" t="n">
        <x:f>M1525^2</x:f>
        <x:v>26.58833777418961</x:v>
      </x:c>
      <x:c r="O1525" s="8" t="n">
        <x:f>ABS(M1525)</x:f>
        <x:v>5.1563880550429495</x:v>
      </x:c>
      <x:c r="P1525" s="7" t="n">
        <x:v>45401</x:v>
      </x:c>
    </x:row>
    <x:row r="1526" ht="26" customHeight="1">
      <x:c r="A1526" s="2"/>
      <x:c r="B1526" s="2" t="n">
        <x:v>1521</x:v>
      </x:c>
      <x:c r="C1526" s="2" t="str">
        <x:v>Health Care / organic_volume_growth</x:v>
      </x:c>
      <x:c r="D1526" s="7" t="n">
        <x:v>45382</x:v>
      </x:c>
      <x:c r="E1526" s="2" t="str">
        <x:v>Prior report</x:v>
      </x:c>
      <x:c r="F1526" s="7" t="n">
        <x:v>45314</x:v>
      </x:c>
      <x:c r="G1526" s="2" t="str">
        <x:v>Own history</x:v>
      </x:c>
      <x:c r="H1526" s="8" t="n">
        <x:f>'Model fits'!AA1000</x:f>
        <x:v>1.3600330305532617</x:v>
      </x:c>
      <x:c r="I1526" s="8" t="n">
        <x:f>0</x:f>
        <x:v>0</x:v>
      </x:c>
      <x:c r="J1526" s="8" t="n">
        <x:v>0</x:v>
      </x:c>
      <x:c r="K1526" s="8" t="n">
        <x:f>H1526-I1526*J1526</x:f>
        <x:v>1.3600330305532617</x:v>
      </x:c>
      <x:c r="L1526" s="8" t="n">
        <x:f>'PG facts'!E92</x:f>
        <x:v>-4</x:v>
      </x:c>
      <x:c r="M1526" s="8" t="n">
        <x:f>K1526-L1526</x:f>
        <x:v>5.360033030553262</x:v>
      </x:c>
      <x:c r="N1526" s="8" t="n">
        <x:f>M1526^2</x:f>
        <x:v>28.729954088621984</x:v>
      </x:c>
      <x:c r="O1526" s="8" t="n">
        <x:f>ABS(M1526)</x:f>
        <x:v>5.360033030553262</x:v>
      </x:c>
      <x:c r="P1526" s="7" t="n">
        <x:v>45401</x:v>
      </x:c>
    </x:row>
    <x:row r="1527" ht="26" customHeight="1">
      <x:c r="A1527" s="2"/>
      <x:c r="B1527" s="2" t="n">
        <x:v>1522</x:v>
      </x:c>
      <x:c r="C1527" s="2" t="str">
        <x:v>Health Care / organic_volume_growth</x:v>
      </x:c>
      <x:c r="D1527" s="7" t="n">
        <x:v>45382</x:v>
      </x:c>
      <x:c r="E1527" s="2" t="str">
        <x:v>Pre-earnings</x:v>
      </x:c>
      <x:c r="F1527" s="7" t="n">
        <x:v>45400</x:v>
      </x:c>
      <x:c r="G1527" s="2" t="str">
        <x:v>Last actual</x:v>
      </x:c>
      <x:c r="H1527" s="8" t="n">
        <x:f>AVERAGE('PG facts'!E85)</x:f>
        <x:v>-4</x:v>
      </x:c>
      <x:c r="I1527" s="8" t="n">
        <x:f>0</x:f>
        <x:v>0</x:v>
      </x:c>
      <x:c r="J1527" s="8" t="n">
        <x:v>0</x:v>
      </x:c>
      <x:c r="K1527" s="8" t="n">
        <x:f>H1527-I1527*J1527</x:f>
        <x:v>-4</x:v>
      </x:c>
      <x:c r="L1527" s="8" t="n">
        <x:f>'PG facts'!E92</x:f>
        <x:v>-4</x:v>
      </x:c>
      <x:c r="M1527" s="8" t="n">
        <x:f>K1527-L1527</x:f>
        <x:v>0</x:v>
      </x:c>
      <x:c r="N1527" s="8" t="n">
        <x:f>M1527^2</x:f>
        <x:v>0</x:v>
      </x:c>
      <x:c r="O1527" s="8" t="n">
        <x:f>ABS(M1527)</x:f>
        <x:v>0</x:v>
      </x:c>
      <x:c r="P1527" s="7" t="n">
        <x:v>45401</x:v>
      </x:c>
    </x:row>
    <x:row r="1528" ht="26" customHeight="1">
      <x:c r="A1528" s="2"/>
      <x:c r="B1528" s="2" t="n">
        <x:v>1523</x:v>
      </x:c>
      <x:c r="C1528" s="2" t="str">
        <x:v>Health Care / organic_volume_growth</x:v>
      </x:c>
      <x:c r="D1528" s="7" t="n">
        <x:v>45382</x:v>
      </x:c>
      <x:c r="E1528" s="2" t="str">
        <x:v>Pre-earnings</x:v>
      </x:c>
      <x:c r="F1528" s="7" t="n">
        <x:v>45400</x:v>
      </x:c>
      <x:c r="G1528" s="2" t="str">
        <x:v>Four-quarter mean</x:v>
      </x:c>
      <x:c r="H1528" s="8" t="n">
        <x:f>AVERAGE('PG facts'!E64,'PG facts'!E71,'PG facts'!E78,'PG facts'!E85)</x:f>
        <x:v>-1</x:v>
      </x:c>
      <x:c r="I1528" s="8" t="n">
        <x:f>0</x:f>
        <x:v>0</x:v>
      </x:c>
      <x:c r="J1528" s="8" t="n">
        <x:v>0</x:v>
      </x:c>
      <x:c r="K1528" s="8" t="n">
        <x:f>H1528-I1528*J1528</x:f>
        <x:v>-1</x:v>
      </x:c>
      <x:c r="L1528" s="8" t="n">
        <x:f>'PG facts'!E92</x:f>
        <x:v>-4</x:v>
      </x:c>
      <x:c r="M1528" s="8" t="n">
        <x:f>K1528-L1528</x:f>
        <x:v>3</x:v>
      </x:c>
      <x:c r="N1528" s="8" t="n">
        <x:f>M1528^2</x:f>
        <x:v>9</x:v>
      </x:c>
      <x:c r="O1528" s="8" t="n">
        <x:f>ABS(M1528)</x:f>
        <x:v>3</x:v>
      </x:c>
      <x:c r="P1528" s="7" t="n">
        <x:v>45401</x:v>
      </x:c>
    </x:row>
    <x:row r="1529" ht="26" customHeight="1">
      <x:c r="A1529" s="2"/>
      <x:c r="B1529" s="2" t="n">
        <x:v>1524</x:v>
      </x:c>
      <x:c r="C1529" s="2" t="str">
        <x:v>Health Care / organic_volume_growth</x:v>
      </x:c>
      <x:c r="D1529" s="7" t="n">
        <x:v>45382</x:v>
      </x:c>
      <x:c r="E1529" s="2" t="str">
        <x:v>Pre-earnings</x:v>
      </x:c>
      <x:c r="F1529" s="7" t="n">
        <x:v>45400</x:v>
      </x:c>
      <x:c r="G1529" s="2" t="str">
        <x:v>Broad market</x:v>
      </x:c>
      <x:c r="H1529" s="8" t="n">
        <x:f>'Model fits'!AA1001</x:f>
        <x:v>0.07398758679223838</x:v>
      </x:c>
      <x:c r="I1529" s="8" t="n">
        <x:f>0</x:f>
        <x:v>0</x:v>
      </x:c>
      <x:c r="J1529" s="8" t="n">
        <x:v>0</x:v>
      </x:c>
      <x:c r="K1529" s="8" t="n">
        <x:f>H1529-I1529*J1529</x:f>
        <x:v>0.07398758679223838</x:v>
      </x:c>
      <x:c r="L1529" s="8" t="n">
        <x:f>'PG facts'!E92</x:f>
        <x:v>-4</x:v>
      </x:c>
      <x:c r="M1529" s="8" t="n">
        <x:f>K1529-L1529</x:f>
        <x:v>4.073987586792239</x:v>
      </x:c>
      <x:c r="N1529" s="8" t="n">
        <x:f>M1529^2</x:f>
        <x:v>16.597374857337247</x:v>
      </x:c>
      <x:c r="O1529" s="8" t="n">
        <x:f>ABS(M1529)</x:f>
        <x:v>4.073987586792239</x:v>
      </x:c>
      <x:c r="P1529" s="7" t="n">
        <x:v>45401</x:v>
      </x:c>
    </x:row>
    <x:row r="1530" ht="26" customHeight="1">
      <x:c r="A1530" s="2"/>
      <x:c r="B1530" s="2" t="n">
        <x:v>1525</x:v>
      </x:c>
      <x:c r="C1530" s="2" t="str">
        <x:v>Health Care / organic_volume_growth</x:v>
      </x:c>
      <x:c r="D1530" s="7" t="n">
        <x:v>45382</x:v>
      </x:c>
      <x:c r="E1530" s="2" t="str">
        <x:v>Pre-earnings</x:v>
      </x:c>
      <x:c r="F1530" s="7" t="n">
        <x:v>45400</x:v>
      </x:c>
      <x:c r="G1530" s="2" t="str">
        <x:v>Broad lag 1</x:v>
      </x:c>
      <x:c r="H1530" s="8" t="n">
        <x:f>'Model fits'!AA1002</x:f>
        <x:v>1.052721568569508</x:v>
      </x:c>
      <x:c r="I1530" s="8" t="n">
        <x:f>0</x:f>
        <x:v>0</x:v>
      </x:c>
      <x:c r="J1530" s="8" t="n">
        <x:v>0</x:v>
      </x:c>
      <x:c r="K1530" s="8" t="n">
        <x:f>H1530-I1530*J1530</x:f>
        <x:v>1.052721568569508</x:v>
      </x:c>
      <x:c r="L1530" s="8" t="n">
        <x:f>'PG facts'!E92</x:f>
        <x:v>-4</x:v>
      </x:c>
      <x:c r="M1530" s="8" t="n">
        <x:f>K1530-L1530</x:f>
        <x:v>5.052721568569508</x:v>
      </x:c>
      <x:c r="N1530" s="8" t="n">
        <x:f>M1530^2</x:f>
        <x:v>25.52999524948751</x:v>
      </x:c>
      <x:c r="O1530" s="8" t="n">
        <x:f>ABS(M1530)</x:f>
        <x:v>5.052721568569508</x:v>
      </x:c>
      <x:c r="P1530" s="7" t="n">
        <x:v>45401</x:v>
      </x:c>
    </x:row>
    <x:row r="1531" ht="26" customHeight="1">
      <x:c r="A1531" s="2"/>
      <x:c r="B1531" s="2" t="n">
        <x:v>1526</x:v>
      </x:c>
      <x:c r="C1531" s="2" t="str">
        <x:v>Health Care / organic_volume_growth</x:v>
      </x:c>
      <x:c r="D1531" s="7" t="n">
        <x:v>45382</x:v>
      </x:c>
      <x:c r="E1531" s="2" t="str">
        <x:v>Pre-earnings</x:v>
      </x:c>
      <x:c r="F1531" s="7" t="n">
        <x:v>45400</x:v>
      </x:c>
      <x:c r="G1531" s="2" t="str">
        <x:v>Broad rolling 8</x:v>
      </x:c>
      <x:c r="H1531" s="8" t="n">
        <x:f>'Model fits'!AA1003</x:f>
        <x:v>1.063896499286233</x:v>
      </x:c>
      <x:c r="I1531" s="8" t="n">
        <x:f>0</x:f>
        <x:v>0</x:v>
      </x:c>
      <x:c r="J1531" s="8" t="n">
        <x:v>0</x:v>
      </x:c>
      <x:c r="K1531" s="8" t="n">
        <x:f>H1531-I1531*J1531</x:f>
        <x:v>1.063896499286233</x:v>
      </x:c>
      <x:c r="L1531" s="8" t="n">
        <x:f>'PG facts'!E92</x:f>
        <x:v>-4</x:v>
      </x:c>
      <x:c r="M1531" s="8" t="n">
        <x:f>K1531-L1531</x:f>
        <x:v>5.063896499286233</x:v>
      </x:c>
      <x:c r="N1531" s="8" t="n">
        <x:f>M1531^2</x:f>
        <x:v>25.64304775548337</x:v>
      </x:c>
      <x:c r="O1531" s="8" t="n">
        <x:f>ABS(M1531)</x:f>
        <x:v>5.063896499286233</x:v>
      </x:c>
      <x:c r="P1531" s="7" t="n">
        <x:v>45401</x:v>
      </x:c>
    </x:row>
    <x:row r="1532" ht="26" customHeight="1">
      <x:c r="A1532" s="2"/>
      <x:c r="B1532" s="2" t="n">
        <x:v>1527</x:v>
      </x:c>
      <x:c r="C1532" s="2" t="str">
        <x:v>Health Care / organic_volume_growth</x:v>
      </x:c>
      <x:c r="D1532" s="7" t="n">
        <x:v>45382</x:v>
      </x:c>
      <x:c r="E1532" s="2" t="str">
        <x:v>Pre-earnings</x:v>
      </x:c>
      <x:c r="F1532" s="7" t="n">
        <x:v>45400</x:v>
      </x:c>
      <x:c r="G1532" s="2" t="str">
        <x:v>Own history</x:v>
      </x:c>
      <x:c r="H1532" s="8" t="n">
        <x:f>'Model fits'!AA1004</x:f>
        <x:v>1.3600330305532617</x:v>
      </x:c>
      <x:c r="I1532" s="8" t="n">
        <x:f>0</x:f>
        <x:v>0</x:v>
      </x:c>
      <x:c r="J1532" s="8" t="n">
        <x:v>0</x:v>
      </x:c>
      <x:c r="K1532" s="8" t="n">
        <x:f>H1532-I1532*J1532</x:f>
        <x:v>1.3600330305532617</x:v>
      </x:c>
      <x:c r="L1532" s="8" t="n">
        <x:f>'PG facts'!E92</x:f>
        <x:v>-4</x:v>
      </x:c>
      <x:c r="M1532" s="8" t="n">
        <x:f>K1532-L1532</x:f>
        <x:v>5.360033030553262</x:v>
      </x:c>
      <x:c r="N1532" s="8" t="n">
        <x:f>M1532^2</x:f>
        <x:v>28.729954088621984</x:v>
      </x:c>
      <x:c r="O1532" s="8" t="n">
        <x:f>ABS(M1532)</x:f>
        <x:v>5.360033030553262</x:v>
      </x:c>
      <x:c r="P1532" s="7" t="n">
        <x:v>45401</x:v>
      </x:c>
    </x:row>
    <x:row r="1533" ht="26" customHeight="1">
      <x:c r="A1533" s="2"/>
      <x:c r="B1533" s="2" t="n">
        <x:v>1528</x:v>
      </x:c>
      <x:c r="C1533" s="2" t="str">
        <x:v>Health Care / organic_volume_growth</x:v>
      </x:c>
      <x:c r="D1533" s="7" t="n">
        <x:v>45473</x:v>
      </x:c>
      <x:c r="E1533" s="2" t="str">
        <x:v>Origin</x:v>
      </x:c>
      <x:c r="F1533" s="7" t="n">
        <x:v>45383</x:v>
      </x:c>
      <x:c r="G1533" s="2" t="str">
        <x:v>Last actual</x:v>
      </x:c>
      <x:c r="H1533" s="8" t="n">
        <x:f>AVERAGE('PG facts'!E85)</x:f>
        <x:v>-4</x:v>
      </x:c>
      <x:c r="I1533" s="8" t="n">
        <x:f>0</x:f>
        <x:v>0</x:v>
      </x:c>
      <x:c r="J1533" s="8" t="n">
        <x:v>0</x:v>
      </x:c>
      <x:c r="K1533" s="8" t="n">
        <x:f>H1533-I1533*J1533</x:f>
        <x:v>-4</x:v>
      </x:c>
      <x:c r="L1533" s="8" t="n">
        <x:f>'PG facts'!E99</x:f>
        <x:v>1</x:v>
      </x:c>
      <x:c r="M1533" s="8" t="n">
        <x:f>K1533-L1533</x:f>
        <x:v>-5</x:v>
      </x:c>
      <x:c r="N1533" s="8" t="n">
        <x:f>M1533^2</x:f>
        <x:v>25</x:v>
      </x:c>
      <x:c r="O1533" s="8" t="n">
        <x:f>ABS(M1533)</x:f>
        <x:v>5</x:v>
      </x:c>
      <x:c r="P1533" s="7" t="n">
        <x:v>45503</x:v>
      </x:c>
    </x:row>
    <x:row r="1534" ht="26" customHeight="1">
      <x:c r="A1534" s="2"/>
      <x:c r="B1534" s="2" t="n">
        <x:v>1529</x:v>
      </x:c>
      <x:c r="C1534" s="2" t="str">
        <x:v>Health Care / organic_volume_growth</x:v>
      </x:c>
      <x:c r="D1534" s="7" t="n">
        <x:v>45473</x:v>
      </x:c>
      <x:c r="E1534" s="2" t="str">
        <x:v>Origin</x:v>
      </x:c>
      <x:c r="F1534" s="7" t="n">
        <x:v>45383</x:v>
      </x:c>
      <x:c r="G1534" s="2" t="str">
        <x:v>Four-quarter mean</x:v>
      </x:c>
      <x:c r="H1534" s="8" t="n">
        <x:f>AVERAGE('PG facts'!E64,'PG facts'!E71,'PG facts'!E78,'PG facts'!E85)</x:f>
        <x:v>-1</x:v>
      </x:c>
      <x:c r="I1534" s="8" t="n">
        <x:f>0</x:f>
        <x:v>0</x:v>
      </x:c>
      <x:c r="J1534" s="8" t="n">
        <x:v>0</x:v>
      </x:c>
      <x:c r="K1534" s="8" t="n">
        <x:f>H1534-I1534*J1534</x:f>
        <x:v>-1</x:v>
      </x:c>
      <x:c r="L1534" s="8" t="n">
        <x:f>'PG facts'!E99</x:f>
        <x:v>1</x:v>
      </x:c>
      <x:c r="M1534" s="8" t="n">
        <x:f>K1534-L1534</x:f>
        <x:v>-2</x:v>
      </x:c>
      <x:c r="N1534" s="8" t="n">
        <x:f>M1534^2</x:f>
        <x:v>4</x:v>
      </x:c>
      <x:c r="O1534" s="8" t="n">
        <x:f>ABS(M1534)</x:f>
        <x:v>2</x:v>
      </x:c>
      <x:c r="P1534" s="7" t="n">
        <x:v>45503</x:v>
      </x:c>
    </x:row>
    <x:row r="1535" ht="26" customHeight="1">
      <x:c r="A1535" s="2"/>
      <x:c r="B1535" s="2" t="n">
        <x:v>1530</x:v>
      </x:c>
      <x:c r="C1535" s="2" t="str">
        <x:v>Health Care / organic_volume_growth</x:v>
      </x:c>
      <x:c r="D1535" s="7" t="n">
        <x:v>45473</x:v>
      </x:c>
      <x:c r="E1535" s="2" t="str">
        <x:v>Origin</x:v>
      </x:c>
      <x:c r="F1535" s="7" t="n">
        <x:v>45383</x:v>
      </x:c>
      <x:c r="G1535" s="2" t="str">
        <x:v>Broad market</x:v>
      </x:c>
      <x:c r="H1535" s="8" t="n">
        <x:f>'Model fits'!AA1005</x:f>
        <x:v>0.33183607803490767</x:v>
      </x:c>
      <x:c r="I1535" s="8" t="n">
        <x:f>0</x:f>
        <x:v>0</x:v>
      </x:c>
      <x:c r="J1535" s="8" t="n">
        <x:v>0</x:v>
      </x:c>
      <x:c r="K1535" s="8" t="n">
        <x:f>H1535-I1535*J1535</x:f>
        <x:v>0.33183607803490767</x:v>
      </x:c>
      <x:c r="L1535" s="8" t="n">
        <x:f>'PG facts'!E99</x:f>
        <x:v>1</x:v>
      </x:c>
      <x:c r="M1535" s="8" t="n">
        <x:f>K1535-L1535</x:f>
        <x:v>-0.6681639219650923</x:v>
      </x:c>
      <x:c r="N1535" s="8" t="n">
        <x:f>M1535^2</x:f>
        <x:v>0.446443026615774</x:v>
      </x:c>
      <x:c r="O1535" s="8" t="n">
        <x:f>ABS(M1535)</x:f>
        <x:v>0.6681639219650923</x:v>
      </x:c>
      <x:c r="P1535" s="7" t="n">
        <x:v>45503</x:v>
      </x:c>
    </x:row>
    <x:row r="1536" ht="26" customHeight="1">
      <x:c r="A1536" s="2"/>
      <x:c r="B1536" s="2" t="n">
        <x:v>1531</x:v>
      </x:c>
      <x:c r="C1536" s="2" t="str">
        <x:v>Health Care / organic_volume_growth</x:v>
      </x:c>
      <x:c r="D1536" s="7" t="n">
        <x:v>45473</x:v>
      </x:c>
      <x:c r="E1536" s="2" t="str">
        <x:v>Origin</x:v>
      </x:c>
      <x:c r="F1536" s="7" t="n">
        <x:v>45383</x:v>
      </x:c>
      <x:c r="G1536" s="2" t="str">
        <x:v>Broad rolling 8</x:v>
      </x:c>
      <x:c r="H1536" s="8" t="n">
        <x:f>'Model fits'!AA1006</x:f>
        <x:v>1.5158211155840142</x:v>
      </x:c>
      <x:c r="I1536" s="8" t="n">
        <x:f>0</x:f>
        <x:v>0</x:v>
      </x:c>
      <x:c r="J1536" s="8" t="n">
        <x:v>0</x:v>
      </x:c>
      <x:c r="K1536" s="8" t="n">
        <x:f>H1536-I1536*J1536</x:f>
        <x:v>1.5158211155840142</x:v>
      </x:c>
      <x:c r="L1536" s="8" t="n">
        <x:f>'PG facts'!E99</x:f>
        <x:v>1</x:v>
      </x:c>
      <x:c r="M1536" s="8" t="n">
        <x:f>K1536-L1536</x:f>
        <x:v>0.5158211155840142</x:v>
      </x:c>
      <x:c r="N1536" s="8" t="n">
        <x:f>M1536^2</x:f>
        <x:v>0.26607142328233696</x:v>
      </x:c>
      <x:c r="O1536" s="8" t="n">
        <x:f>ABS(M1536)</x:f>
        <x:v>0.5158211155840142</x:v>
      </x:c>
      <x:c r="P1536" s="7" t="n">
        <x:v>45503</x:v>
      </x:c>
    </x:row>
    <x:row r="1537" ht="26" customHeight="1">
      <x:c r="A1537" s="2"/>
      <x:c r="B1537" s="2" t="n">
        <x:v>1532</x:v>
      </x:c>
      <x:c r="C1537" s="2" t="str">
        <x:v>Health Care / organic_volume_growth</x:v>
      </x:c>
      <x:c r="D1537" s="7" t="n">
        <x:v>45473</x:v>
      </x:c>
      <x:c r="E1537" s="2" t="str">
        <x:v>Origin</x:v>
      </x:c>
      <x:c r="F1537" s="7" t="n">
        <x:v>45383</x:v>
      </x:c>
      <x:c r="G1537" s="2" t="str">
        <x:v>Own history</x:v>
      </x:c>
      <x:c r="H1537" s="8" t="n">
        <x:f>'Model fits'!AA1007</x:f>
        <x:v>-0.8200817810086325</x:v>
      </x:c>
      <x:c r="I1537" s="8" t="n">
        <x:f>0</x:f>
        <x:v>0</x:v>
      </x:c>
      <x:c r="J1537" s="8" t="n">
        <x:v>0</x:v>
      </x:c>
      <x:c r="K1537" s="8" t="n">
        <x:f>H1537-I1537*J1537</x:f>
        <x:v>-0.8200817810086325</x:v>
      </x:c>
      <x:c r="L1537" s="8" t="n">
        <x:f>'PG facts'!E99</x:f>
        <x:v>1</x:v>
      </x:c>
      <x:c r="M1537" s="8" t="n">
        <x:f>K1537-L1537</x:f>
        <x:v>-1.8200817810086325</x:v>
      </x:c>
      <x:c r="N1537" s="8" t="n">
        <x:f>M1537^2</x:f>
        <x:v>3.3126976895595557</x:v>
      </x:c>
      <x:c r="O1537" s="8" t="n">
        <x:f>ABS(M1537)</x:f>
        <x:v>1.8200817810086325</x:v>
      </x:c>
      <x:c r="P1537" s="7" t="n">
        <x:v>45503</x:v>
      </x:c>
    </x:row>
    <x:row r="1538" ht="26" customHeight="1">
      <x:c r="A1538" s="2"/>
      <x:c r="B1538" s="2" t="n">
        <x:v>1533</x:v>
      </x:c>
      <x:c r="C1538" s="2" t="str">
        <x:v>Health Care / organic_volume_growth</x:v>
      </x:c>
      <x:c r="D1538" s="7" t="n">
        <x:v>45473</x:v>
      </x:c>
      <x:c r="E1538" s="2" t="str">
        <x:v>Prior report</x:v>
      </x:c>
      <x:c r="F1538" s="7" t="n">
        <x:v>45401</x:v>
      </x:c>
      <x:c r="G1538" s="2" t="str">
        <x:v>Last actual</x:v>
      </x:c>
      <x:c r="H1538" s="8" t="n">
        <x:f>AVERAGE('PG facts'!E92)</x:f>
        <x:v>-4</x:v>
      </x:c>
      <x:c r="I1538" s="8" t="n">
        <x:f>0</x:f>
        <x:v>0</x:v>
      </x:c>
      <x:c r="J1538" s="8" t="n">
        <x:v>0</x:v>
      </x:c>
      <x:c r="K1538" s="8" t="n">
        <x:f>H1538-I1538*J1538</x:f>
        <x:v>-4</x:v>
      </x:c>
      <x:c r="L1538" s="8" t="n">
        <x:f>'PG facts'!E99</x:f>
        <x:v>1</x:v>
      </x:c>
      <x:c r="M1538" s="8" t="n">
        <x:f>K1538-L1538</x:f>
        <x:v>-5</x:v>
      </x:c>
      <x:c r="N1538" s="8" t="n">
        <x:f>M1538^2</x:f>
        <x:v>25</x:v>
      </x:c>
      <x:c r="O1538" s="8" t="n">
        <x:f>ABS(M1538)</x:f>
        <x:v>5</x:v>
      </x:c>
      <x:c r="P1538" s="7" t="n">
        <x:v>45503</x:v>
      </x:c>
    </x:row>
    <x:row r="1539" ht="26" customHeight="1">
      <x:c r="A1539" s="2"/>
      <x:c r="B1539" s="2" t="n">
        <x:v>1534</x:v>
      </x:c>
      <x:c r="C1539" s="2" t="str">
        <x:v>Health Care / organic_volume_growth</x:v>
      </x:c>
      <x:c r="D1539" s="7" t="n">
        <x:v>45473</x:v>
      </x:c>
      <x:c r="E1539" s="2" t="str">
        <x:v>Prior report</x:v>
      </x:c>
      <x:c r="F1539" s="7" t="n">
        <x:v>45401</x:v>
      </x:c>
      <x:c r="G1539" s="2" t="str">
        <x:v>Four-quarter mean</x:v>
      </x:c>
      <x:c r="H1539" s="8" t="n">
        <x:f>AVERAGE('PG facts'!E71,'PG facts'!E78,'PG facts'!E85,'PG facts'!E92)</x:f>
        <x:v>-2.25</x:v>
      </x:c>
      <x:c r="I1539" s="8" t="n">
        <x:f>0</x:f>
        <x:v>0</x:v>
      </x:c>
      <x:c r="J1539" s="8" t="n">
        <x:v>0</x:v>
      </x:c>
      <x:c r="K1539" s="8" t="n">
        <x:f>H1539-I1539*J1539</x:f>
        <x:v>-2.25</x:v>
      </x:c>
      <x:c r="L1539" s="8" t="n">
        <x:f>'PG facts'!E99</x:f>
        <x:v>1</x:v>
      </x:c>
      <x:c r="M1539" s="8" t="n">
        <x:f>K1539-L1539</x:f>
        <x:v>-3.25</x:v>
      </x:c>
      <x:c r="N1539" s="8" t="n">
        <x:f>M1539^2</x:f>
        <x:v>10.5625</x:v>
      </x:c>
      <x:c r="O1539" s="8" t="n">
        <x:f>ABS(M1539)</x:f>
        <x:v>3.25</x:v>
      </x:c>
      <x:c r="P1539" s="7" t="n">
        <x:v>45503</x:v>
      </x:c>
    </x:row>
    <x:row r="1540" ht="26" customHeight="1">
      <x:c r="A1540" s="2"/>
      <x:c r="B1540" s="2" t="n">
        <x:v>1535</x:v>
      </x:c>
      <x:c r="C1540" s="2" t="str">
        <x:v>Health Care / organic_volume_growth</x:v>
      </x:c>
      <x:c r="D1540" s="7" t="n">
        <x:v>45473</x:v>
      </x:c>
      <x:c r="E1540" s="2" t="str">
        <x:v>Prior report</x:v>
      </x:c>
      <x:c r="F1540" s="7" t="n">
        <x:v>45401</x:v>
      </x:c>
      <x:c r="G1540" s="2" t="str">
        <x:v>Broad market</x:v>
      </x:c>
      <x:c r="H1540" s="8" t="n">
        <x:f>'Model fits'!AA1008</x:f>
        <x:v>0.33183607803490767</x:v>
      </x:c>
      <x:c r="I1540" s="8" t="n">
        <x:f>0</x:f>
        <x:v>0</x:v>
      </x:c>
      <x:c r="J1540" s="8" t="n">
        <x:v>0</x:v>
      </x:c>
      <x:c r="K1540" s="8" t="n">
        <x:f>H1540-I1540*J1540</x:f>
        <x:v>0.33183607803490767</x:v>
      </x:c>
      <x:c r="L1540" s="8" t="n">
        <x:f>'PG facts'!E99</x:f>
        <x:v>1</x:v>
      </x:c>
      <x:c r="M1540" s="8" t="n">
        <x:f>K1540-L1540</x:f>
        <x:v>-0.6681639219650923</x:v>
      </x:c>
      <x:c r="N1540" s="8" t="n">
        <x:f>M1540^2</x:f>
        <x:v>0.446443026615774</x:v>
      </x:c>
      <x:c r="O1540" s="8" t="n">
        <x:f>ABS(M1540)</x:f>
        <x:v>0.6681639219650923</x:v>
      </x:c>
      <x:c r="P1540" s="7" t="n">
        <x:v>45503</x:v>
      </x:c>
    </x:row>
    <x:row r="1541" ht="26" customHeight="1">
      <x:c r="A1541" s="2"/>
      <x:c r="B1541" s="2" t="n">
        <x:v>1536</x:v>
      </x:c>
      <x:c r="C1541" s="2" t="str">
        <x:v>Health Care / organic_volume_growth</x:v>
      </x:c>
      <x:c r="D1541" s="7" t="n">
        <x:v>45473</x:v>
      </x:c>
      <x:c r="E1541" s="2" t="str">
        <x:v>Prior report</x:v>
      </x:c>
      <x:c r="F1541" s="7" t="n">
        <x:v>45401</x:v>
      </x:c>
      <x:c r="G1541" s="2" t="str">
        <x:v>Broad rolling 8</x:v>
      </x:c>
      <x:c r="H1541" s="8" t="n">
        <x:f>'Model fits'!AA1009</x:f>
        <x:v>1.5158211155840142</x:v>
      </x:c>
      <x:c r="I1541" s="8" t="n">
        <x:f>0</x:f>
        <x:v>0</x:v>
      </x:c>
      <x:c r="J1541" s="8" t="n">
        <x:v>0</x:v>
      </x:c>
      <x:c r="K1541" s="8" t="n">
        <x:f>H1541-I1541*J1541</x:f>
        <x:v>1.5158211155840142</x:v>
      </x:c>
      <x:c r="L1541" s="8" t="n">
        <x:f>'PG facts'!E99</x:f>
        <x:v>1</x:v>
      </x:c>
      <x:c r="M1541" s="8" t="n">
        <x:f>K1541-L1541</x:f>
        <x:v>0.5158211155840142</x:v>
      </x:c>
      <x:c r="N1541" s="8" t="n">
        <x:f>M1541^2</x:f>
        <x:v>0.26607142328233696</x:v>
      </x:c>
      <x:c r="O1541" s="8" t="n">
        <x:f>ABS(M1541)</x:f>
        <x:v>0.5158211155840142</x:v>
      </x:c>
      <x:c r="P1541" s="7" t="n">
        <x:v>45503</x:v>
      </x:c>
    </x:row>
    <x:row r="1542" ht="26" customHeight="1">
      <x:c r="A1542" s="2"/>
      <x:c r="B1542" s="2" t="n">
        <x:v>1537</x:v>
      </x:c>
      <x:c r="C1542" s="2" t="str">
        <x:v>Health Care / organic_volume_growth</x:v>
      </x:c>
      <x:c r="D1542" s="7" t="n">
        <x:v>45473</x:v>
      </x:c>
      <x:c r="E1542" s="2" t="str">
        <x:v>Prior report</x:v>
      </x:c>
      <x:c r="F1542" s="7" t="n">
        <x:v>45401</x:v>
      </x:c>
      <x:c r="G1542" s="2" t="str">
        <x:v>Own history</x:v>
      </x:c>
      <x:c r="H1542" s="8" t="n">
        <x:f>'Model fits'!AA1010</x:f>
        <x:v>0.2217886178861791</x:v>
      </x:c>
      <x:c r="I1542" s="8" t="n">
        <x:f>0</x:f>
        <x:v>0</x:v>
      </x:c>
      <x:c r="J1542" s="8" t="n">
        <x:v>0</x:v>
      </x:c>
      <x:c r="K1542" s="8" t="n">
        <x:f>H1542-I1542*J1542</x:f>
        <x:v>0.2217886178861791</x:v>
      </x:c>
      <x:c r="L1542" s="8" t="n">
        <x:f>'PG facts'!E99</x:f>
        <x:v>1</x:v>
      </x:c>
      <x:c r="M1542" s="8" t="n">
        <x:f>K1542-L1542</x:f>
        <x:v>-0.7782113821138209</x:v>
      </x:c>
      <x:c r="N1542" s="8" t="n">
        <x:f>M1542^2</x:f>
        <x:v>0.6056129552515034</x:v>
      </x:c>
      <x:c r="O1542" s="8" t="n">
        <x:f>ABS(M1542)</x:f>
        <x:v>0.7782113821138209</x:v>
      </x:c>
      <x:c r="P1542" s="7" t="n">
        <x:v>45503</x:v>
      </x:c>
    </x:row>
    <x:row r="1543" ht="26" customHeight="1">
      <x:c r="A1543" s="2"/>
      <x:c r="B1543" s="2" t="n">
        <x:v>1538</x:v>
      </x:c>
      <x:c r="C1543" s="2" t="str">
        <x:v>Health Care / organic_volume_growth</x:v>
      </x:c>
      <x:c r="D1543" s="7" t="n">
        <x:v>45473</x:v>
      </x:c>
      <x:c r="E1543" s="2" t="str">
        <x:v>Pre-earnings</x:v>
      </x:c>
      <x:c r="F1543" s="7" t="n">
        <x:v>45502</x:v>
      </x:c>
      <x:c r="G1543" s="2" t="str">
        <x:v>Last actual</x:v>
      </x:c>
      <x:c r="H1543" s="8" t="n">
        <x:f>AVERAGE('PG facts'!E92)</x:f>
        <x:v>-4</x:v>
      </x:c>
      <x:c r="I1543" s="8" t="n">
        <x:f>0</x:f>
        <x:v>0</x:v>
      </x:c>
      <x:c r="J1543" s="8" t="n">
        <x:v>0</x:v>
      </x:c>
      <x:c r="K1543" s="8" t="n">
        <x:f>H1543-I1543*J1543</x:f>
        <x:v>-4</x:v>
      </x:c>
      <x:c r="L1543" s="8" t="n">
        <x:f>'PG facts'!E99</x:f>
        <x:v>1</x:v>
      </x:c>
      <x:c r="M1543" s="8" t="n">
        <x:f>K1543-L1543</x:f>
        <x:v>-5</x:v>
      </x:c>
      <x:c r="N1543" s="8" t="n">
        <x:f>M1543^2</x:f>
        <x:v>25</x:v>
      </x:c>
      <x:c r="O1543" s="8" t="n">
        <x:f>ABS(M1543)</x:f>
        <x:v>5</x:v>
      </x:c>
      <x:c r="P1543" s="7" t="n">
        <x:v>45503</x:v>
      </x:c>
    </x:row>
    <x:row r="1544" ht="26" customHeight="1">
      <x:c r="A1544" s="2"/>
      <x:c r="B1544" s="2" t="n">
        <x:v>1539</x:v>
      </x:c>
      <x:c r="C1544" s="2" t="str">
        <x:v>Health Care / organic_volume_growth</x:v>
      </x:c>
      <x:c r="D1544" s="7" t="n">
        <x:v>45473</x:v>
      </x:c>
      <x:c r="E1544" s="2" t="str">
        <x:v>Pre-earnings</x:v>
      </x:c>
      <x:c r="F1544" s="7" t="n">
        <x:v>45502</x:v>
      </x:c>
      <x:c r="G1544" s="2" t="str">
        <x:v>Four-quarter mean</x:v>
      </x:c>
      <x:c r="H1544" s="8" t="n">
        <x:f>AVERAGE('PG facts'!E71,'PG facts'!E78,'PG facts'!E85,'PG facts'!E92)</x:f>
        <x:v>-2.25</x:v>
      </x:c>
      <x:c r="I1544" s="8" t="n">
        <x:f>0</x:f>
        <x:v>0</x:v>
      </x:c>
      <x:c r="J1544" s="8" t="n">
        <x:v>0</x:v>
      </x:c>
      <x:c r="K1544" s="8" t="n">
        <x:f>H1544-I1544*J1544</x:f>
        <x:v>-2.25</x:v>
      </x:c>
      <x:c r="L1544" s="8" t="n">
        <x:f>'PG facts'!E99</x:f>
        <x:v>1</x:v>
      </x:c>
      <x:c r="M1544" s="8" t="n">
        <x:f>K1544-L1544</x:f>
        <x:v>-3.25</x:v>
      </x:c>
      <x:c r="N1544" s="8" t="n">
        <x:f>M1544^2</x:f>
        <x:v>10.5625</x:v>
      </x:c>
      <x:c r="O1544" s="8" t="n">
        <x:f>ABS(M1544)</x:f>
        <x:v>3.25</x:v>
      </x:c>
      <x:c r="P1544" s="7" t="n">
        <x:v>45503</x:v>
      </x:c>
    </x:row>
    <x:row r="1545" ht="26" customHeight="1">
      <x:c r="A1545" s="2"/>
      <x:c r="B1545" s="2" t="n">
        <x:v>1540</x:v>
      </x:c>
      <x:c r="C1545" s="2" t="str">
        <x:v>Health Care / organic_volume_growth</x:v>
      </x:c>
      <x:c r="D1545" s="7" t="n">
        <x:v>45473</x:v>
      </x:c>
      <x:c r="E1545" s="2" t="str">
        <x:v>Pre-earnings</x:v>
      </x:c>
      <x:c r="F1545" s="7" t="n">
        <x:v>45502</x:v>
      </x:c>
      <x:c r="G1545" s="2" t="str">
        <x:v>Broad market</x:v>
      </x:c>
      <x:c r="H1545" s="8" t="n">
        <x:f>'Model fits'!AA1011</x:f>
        <x:v>0.021047742639373812</x:v>
      </x:c>
      <x:c r="I1545" s="8" t="n">
        <x:f>0</x:f>
        <x:v>0</x:v>
      </x:c>
      <x:c r="J1545" s="8" t="n">
        <x:v>0</x:v>
      </x:c>
      <x:c r="K1545" s="8" t="n">
        <x:f>H1545-I1545*J1545</x:f>
        <x:v>0.021047742639373812</x:v>
      </x:c>
      <x:c r="L1545" s="8" t="n">
        <x:f>'PG facts'!E99</x:f>
        <x:v>1</x:v>
      </x:c>
      <x:c r="M1545" s="8" t="n">
        <x:f>K1545-L1545</x:f>
        <x:v>-0.9789522573606262</x:v>
      </x:c>
      <x:c r="N1545" s="8" t="n">
        <x:f>M1545^2</x:f>
        <x:v>0.9583475221914657</x:v>
      </x:c>
      <x:c r="O1545" s="8" t="n">
        <x:f>ABS(M1545)</x:f>
        <x:v>0.9789522573606262</x:v>
      </x:c>
      <x:c r="P1545" s="7" t="n">
        <x:v>45503</x:v>
      </x:c>
    </x:row>
    <x:row r="1546" ht="26" customHeight="1">
      <x:c r="A1546" s="2"/>
      <x:c r="B1546" s="2" t="n">
        <x:v>1541</x:v>
      </x:c>
      <x:c r="C1546" s="2" t="str">
        <x:v>Health Care / organic_volume_growth</x:v>
      </x:c>
      <x:c r="D1546" s="7" t="n">
        <x:v>45473</x:v>
      </x:c>
      <x:c r="E1546" s="2" t="str">
        <x:v>Pre-earnings</x:v>
      </x:c>
      <x:c r="F1546" s="7" t="n">
        <x:v>45502</x:v>
      </x:c>
      <x:c r="G1546" s="2" t="str">
        <x:v>Broad lag 1</x:v>
      </x:c>
      <x:c r="H1546" s="8" t="n">
        <x:f>'Model fits'!AA1012</x:f>
        <x:v>0.34072041180314083</x:v>
      </x:c>
      <x:c r="I1546" s="8" t="n">
        <x:f>0</x:f>
        <x:v>0</x:v>
      </x:c>
      <x:c r="J1546" s="8" t="n">
        <x:v>0</x:v>
      </x:c>
      <x:c r="K1546" s="8" t="n">
        <x:f>H1546-I1546*J1546</x:f>
        <x:v>0.34072041180314083</x:v>
      </x:c>
      <x:c r="L1546" s="8" t="n">
        <x:f>'PG facts'!E99</x:f>
        <x:v>1</x:v>
      </x:c>
      <x:c r="M1546" s="8" t="n">
        <x:f>K1546-L1546</x:f>
        <x:v>-0.6592795881968592</x:v>
      </x:c>
      <x:c r="N1546" s="8" t="n">
        <x:f>M1546^2</x:f>
        <x:v>0.4346495754130202</x:v>
      </x:c>
      <x:c r="O1546" s="8" t="n">
        <x:f>ABS(M1546)</x:f>
        <x:v>0.6592795881968592</x:v>
      </x:c>
      <x:c r="P1546" s="7" t="n">
        <x:v>45503</x:v>
      </x:c>
    </x:row>
    <x:row r="1547" ht="26" customHeight="1">
      <x:c r="A1547" s="2"/>
      <x:c r="B1547" s="2" t="n">
        <x:v>1542</x:v>
      </x:c>
      <x:c r="C1547" s="2" t="str">
        <x:v>Health Care / organic_volume_growth</x:v>
      </x:c>
      <x:c r="D1547" s="7" t="n">
        <x:v>45473</x:v>
      </x:c>
      <x:c r="E1547" s="2" t="str">
        <x:v>Pre-earnings</x:v>
      </x:c>
      <x:c r="F1547" s="7" t="n">
        <x:v>45502</x:v>
      </x:c>
      <x:c r="G1547" s="2" t="str">
        <x:v>Broad rolling 8</x:v>
      </x:c>
      <x:c r="H1547" s="8" t="n">
        <x:f>'Model fits'!AA1013</x:f>
        <x:v>-2.1492530009994986</x:v>
      </x:c>
      <x:c r="I1547" s="8" t="n">
        <x:f>0</x:f>
        <x:v>0</x:v>
      </x:c>
      <x:c r="J1547" s="8" t="n">
        <x:v>0</x:v>
      </x:c>
      <x:c r="K1547" s="8" t="n">
        <x:f>H1547-I1547*J1547</x:f>
        <x:v>-2.1492530009994986</x:v>
      </x:c>
      <x:c r="L1547" s="8" t="n">
        <x:f>'PG facts'!E99</x:f>
        <x:v>1</x:v>
      </x:c>
      <x:c r="M1547" s="8" t="n">
        <x:f>K1547-L1547</x:f>
        <x:v>-3.1492530009994986</x:v>
      </x:c>
      <x:c r="N1547" s="8" t="n">
        <x:f>M1547^2</x:f>
        <x:v>9.917794464304349</x:v>
      </x:c>
      <x:c r="O1547" s="8" t="n">
        <x:f>ABS(M1547)</x:f>
        <x:v>3.1492530009994986</x:v>
      </x:c>
      <x:c r="P1547" s="7" t="n">
        <x:v>45503</x:v>
      </x:c>
    </x:row>
    <x:row r="1548" ht="26" customHeight="1">
      <x:c r="A1548" s="2"/>
      <x:c r="B1548" s="2" t="n">
        <x:v>1543</x:v>
      </x:c>
      <x:c r="C1548" s="2" t="str">
        <x:v>Health Care / organic_volume_growth</x:v>
      </x:c>
      <x:c r="D1548" s="7" t="n">
        <x:v>45473</x:v>
      </x:c>
      <x:c r="E1548" s="2" t="str">
        <x:v>Pre-earnings</x:v>
      </x:c>
      <x:c r="F1548" s="7" t="n">
        <x:v>45502</x:v>
      </x:c>
      <x:c r="G1548" s="2" t="str">
        <x:v>Own history</x:v>
      </x:c>
      <x:c r="H1548" s="8" t="n">
        <x:f>'Model fits'!AA1014</x:f>
        <x:v>0.2217886178861791</x:v>
      </x:c>
      <x:c r="I1548" s="8" t="n">
        <x:f>0</x:f>
        <x:v>0</x:v>
      </x:c>
      <x:c r="J1548" s="8" t="n">
        <x:v>0</x:v>
      </x:c>
      <x:c r="K1548" s="8" t="n">
        <x:f>H1548-I1548*J1548</x:f>
        <x:v>0.2217886178861791</x:v>
      </x:c>
      <x:c r="L1548" s="8" t="n">
        <x:f>'PG facts'!E99</x:f>
        <x:v>1</x:v>
      </x:c>
      <x:c r="M1548" s="8" t="n">
        <x:f>K1548-L1548</x:f>
        <x:v>-0.7782113821138209</x:v>
      </x:c>
      <x:c r="N1548" s="8" t="n">
        <x:f>M1548^2</x:f>
        <x:v>0.6056129552515034</x:v>
      </x:c>
      <x:c r="O1548" s="8" t="n">
        <x:f>ABS(M1548)</x:f>
        <x:v>0.7782113821138209</x:v>
      </x:c>
      <x:c r="P1548" s="7" t="n">
        <x:v>45503</x:v>
      </x:c>
    </x:row>
    <x:row r="1549" ht="26" customHeight="1">
      <x:c r="A1549" s="2"/>
      <x:c r="B1549" s="2" t="n">
        <x:v>1544</x:v>
      </x:c>
      <x:c r="C1549" s="2" t="str">
        <x:v>Health Care / organic_volume_growth</x:v>
      </x:c>
      <x:c r="D1549" s="7" t="n">
        <x:v>45565</x:v>
      </x:c>
      <x:c r="E1549" s="2" t="str">
        <x:v>Origin</x:v>
      </x:c>
      <x:c r="F1549" s="7" t="n">
        <x:v>45474</x:v>
      </x:c>
      <x:c r="G1549" s="2" t="str">
        <x:v>Last actual</x:v>
      </x:c>
      <x:c r="H1549" s="8" t="n">
        <x:f>AVERAGE('PG facts'!E92)</x:f>
        <x:v>-4</x:v>
      </x:c>
      <x:c r="I1549" s="8" t="n">
        <x:f>0</x:f>
        <x:v>0</x:v>
      </x:c>
      <x:c r="J1549" s="8" t="n">
        <x:v>0</x:v>
      </x:c>
      <x:c r="K1549" s="8" t="n">
        <x:f>H1549-I1549*J1549</x:f>
        <x:v>-4</x:v>
      </x:c>
      <x:c r="L1549" s="8" t="n">
        <x:f>'PG facts'!E106</x:f>
        <x:v>-1</x:v>
      </x:c>
      <x:c r="M1549" s="8" t="n">
        <x:f>K1549-L1549</x:f>
        <x:v>-3</x:v>
      </x:c>
      <x:c r="N1549" s="8" t="n">
        <x:f>M1549^2</x:f>
        <x:v>9</x:v>
      </x:c>
      <x:c r="O1549" s="8" t="n">
        <x:f>ABS(M1549)</x:f>
        <x:v>3</x:v>
      </x:c>
      <x:c r="P1549" s="7" t="n">
        <x:v>45583</x:v>
      </x:c>
    </x:row>
    <x:row r="1550" ht="26" customHeight="1">
      <x:c r="A1550" s="2"/>
      <x:c r="B1550" s="2" t="n">
        <x:v>1545</x:v>
      </x:c>
      <x:c r="C1550" s="2" t="str">
        <x:v>Health Care / organic_volume_growth</x:v>
      </x:c>
      <x:c r="D1550" s="7" t="n">
        <x:v>45565</x:v>
      </x:c>
      <x:c r="E1550" s="2" t="str">
        <x:v>Origin</x:v>
      </x:c>
      <x:c r="F1550" s="7" t="n">
        <x:v>45474</x:v>
      </x:c>
      <x:c r="G1550" s="2" t="str">
        <x:v>Four-quarter mean</x:v>
      </x:c>
      <x:c r="H1550" s="8" t="n">
        <x:f>AVERAGE('PG facts'!E71,'PG facts'!E78,'PG facts'!E85,'PG facts'!E92)</x:f>
        <x:v>-2.25</x:v>
      </x:c>
      <x:c r="I1550" s="8" t="n">
        <x:f>0</x:f>
        <x:v>0</x:v>
      </x:c>
      <x:c r="J1550" s="8" t="n">
        <x:v>0</x:v>
      </x:c>
      <x:c r="K1550" s="8" t="n">
        <x:f>H1550-I1550*J1550</x:f>
        <x:v>-2.25</x:v>
      </x:c>
      <x:c r="L1550" s="8" t="n">
        <x:f>'PG facts'!E106</x:f>
        <x:v>-1</x:v>
      </x:c>
      <x:c r="M1550" s="8" t="n">
        <x:f>K1550-L1550</x:f>
        <x:v>-1.25</x:v>
      </x:c>
      <x:c r="N1550" s="8" t="n">
        <x:f>M1550^2</x:f>
        <x:v>1.5625</x:v>
      </x:c>
      <x:c r="O1550" s="8" t="n">
        <x:f>ABS(M1550)</x:f>
        <x:v>1.25</x:v>
      </x:c>
      <x:c r="P1550" s="7" t="n">
        <x:v>45583</x:v>
      </x:c>
    </x:row>
    <x:row r="1551" ht="26" customHeight="1">
      <x:c r="A1551" s="2"/>
      <x:c r="B1551" s="2" t="n">
        <x:v>1546</x:v>
      </x:c>
      <x:c r="C1551" s="2" t="str">
        <x:v>Health Care / organic_volume_growth</x:v>
      </x:c>
      <x:c r="D1551" s="7" t="n">
        <x:v>45565</x:v>
      </x:c>
      <x:c r="E1551" s="2" t="str">
        <x:v>Origin</x:v>
      </x:c>
      <x:c r="F1551" s="7" t="n">
        <x:v>45474</x:v>
      </x:c>
      <x:c r="G1551" s="2" t="str">
        <x:v>Broad market</x:v>
      </x:c>
      <x:c r="H1551" s="8" t="n">
        <x:f>'Model fits'!AA1015</x:f>
        <x:v>0.07547420128318327</x:v>
      </x:c>
      <x:c r="I1551" s="8" t="n">
        <x:f>0</x:f>
        <x:v>0</x:v>
      </x:c>
      <x:c r="J1551" s="8" t="n">
        <x:v>0</x:v>
      </x:c>
      <x:c r="K1551" s="8" t="n">
        <x:f>H1551-I1551*J1551</x:f>
        <x:v>0.07547420128318327</x:v>
      </x:c>
      <x:c r="L1551" s="8" t="n">
        <x:f>'PG facts'!E106</x:f>
        <x:v>-1</x:v>
      </x:c>
      <x:c r="M1551" s="8" t="n">
        <x:f>K1551-L1551</x:f>
        <x:v>1.0754742012831833</x:v>
      </x:c>
      <x:c r="N1551" s="8" t="n">
        <x:f>M1551^2</x:f>
        <x:v>1.156644757625701</x:v>
      </x:c>
      <x:c r="O1551" s="8" t="n">
        <x:f>ABS(M1551)</x:f>
        <x:v>1.0754742012831833</x:v>
      </x:c>
      <x:c r="P1551" s="7" t="n">
        <x:v>45583</x:v>
      </x:c>
    </x:row>
    <x:row r="1552" ht="26" customHeight="1">
      <x:c r="A1552" s="2"/>
      <x:c r="B1552" s="2" t="n">
        <x:v>1547</x:v>
      </x:c>
      <x:c r="C1552" s="2" t="str">
        <x:v>Health Care / organic_volume_growth</x:v>
      </x:c>
      <x:c r="D1552" s="7" t="n">
        <x:v>45565</x:v>
      </x:c>
      <x:c r="E1552" s="2" t="str">
        <x:v>Origin</x:v>
      </x:c>
      <x:c r="F1552" s="7" t="n">
        <x:v>45474</x:v>
      </x:c>
      <x:c r="G1552" s="2" t="str">
        <x:v>Broad rolling 8</x:v>
      </x:c>
      <x:c r="H1552" s="8" t="n">
        <x:f>'Model fits'!AA1016</x:f>
        <x:v>-2.186787011324215</x:v>
      </x:c>
      <x:c r="I1552" s="8" t="n">
        <x:f>0</x:f>
        <x:v>0</x:v>
      </x:c>
      <x:c r="J1552" s="8" t="n">
        <x:v>0</x:v>
      </x:c>
      <x:c r="K1552" s="8" t="n">
        <x:f>H1552-I1552*J1552</x:f>
        <x:v>-2.186787011324215</x:v>
      </x:c>
      <x:c r="L1552" s="8" t="n">
        <x:f>'PG facts'!E106</x:f>
        <x:v>-1</x:v>
      </x:c>
      <x:c r="M1552" s="8" t="n">
        <x:f>K1552-L1552</x:f>
        <x:v>-1.1867870113242152</x:v>
      </x:c>
      <x:c r="N1552" s="8" t="n">
        <x:f>M1552^2</x:f>
        <x:v>1.4084634102478628</x:v>
      </x:c>
      <x:c r="O1552" s="8" t="n">
        <x:f>ABS(M1552)</x:f>
        <x:v>1.1867870113242152</x:v>
      </x:c>
      <x:c r="P1552" s="7" t="n">
        <x:v>45583</x:v>
      </x:c>
    </x:row>
    <x:row r="1553" ht="26" customHeight="1">
      <x:c r="A1553" s="2"/>
      <x:c r="B1553" s="2" t="n">
        <x:v>1548</x:v>
      </x:c>
      <x:c r="C1553" s="2" t="str">
        <x:v>Health Care / organic_volume_growth</x:v>
      </x:c>
      <x:c r="D1553" s="7" t="n">
        <x:v>45565</x:v>
      </x:c>
      <x:c r="E1553" s="2" t="str">
        <x:v>Origin</x:v>
      </x:c>
      <x:c r="F1553" s="7" t="n">
        <x:v>45474</x:v>
      </x:c>
      <x:c r="G1553" s="2" t="str">
        <x:v>Own history</x:v>
      </x:c>
      <x:c r="H1553" s="8" t="n">
        <x:f>'Model fits'!AA1017</x:f>
        <x:v>-1.2861271676300579</x:v>
      </x:c>
      <x:c r="I1553" s="8" t="n">
        <x:f>0</x:f>
        <x:v>0</x:v>
      </x:c>
      <x:c r="J1553" s="8" t="n">
        <x:v>0</x:v>
      </x:c>
      <x:c r="K1553" s="8" t="n">
        <x:f>H1553-I1553*J1553</x:f>
        <x:v>-1.2861271676300579</x:v>
      </x:c>
      <x:c r="L1553" s="8" t="n">
        <x:f>'PG facts'!E106</x:f>
        <x:v>-1</x:v>
      </x:c>
      <x:c r="M1553" s="8" t="n">
        <x:f>K1553-L1553</x:f>
        <x:v>-0.28612716763005785</x:v>
      </x:c>
      <x:c r="N1553" s="8" t="n">
        <x:f>M1553^2</x:f>
        <x:v>0.08186875605599923</x:v>
      </x:c>
      <x:c r="O1553" s="8" t="n">
        <x:f>ABS(M1553)</x:f>
        <x:v>0.28612716763005785</x:v>
      </x:c>
      <x:c r="P1553" s="7" t="n">
        <x:v>45583</x:v>
      </x:c>
    </x:row>
    <x:row r="1554" ht="26" customHeight="1">
      <x:c r="A1554" s="2"/>
      <x:c r="B1554" s="2" t="n">
        <x:v>1549</x:v>
      </x:c>
      <x:c r="C1554" s="2" t="str">
        <x:v>Health Care / organic_volume_growth</x:v>
      </x:c>
      <x:c r="D1554" s="7" t="n">
        <x:v>45565</x:v>
      </x:c>
      <x:c r="E1554" s="2" t="str">
        <x:v>Prior report</x:v>
      </x:c>
      <x:c r="F1554" s="7" t="n">
        <x:v>45503</x:v>
      </x:c>
      <x:c r="G1554" s="2" t="str">
        <x:v>Last actual</x:v>
      </x:c>
      <x:c r="H1554" s="8" t="n">
        <x:f>AVERAGE('PG facts'!E99)</x:f>
        <x:v>1</x:v>
      </x:c>
      <x:c r="I1554" s="8" t="n">
        <x:f>0</x:f>
        <x:v>0</x:v>
      </x:c>
      <x:c r="J1554" s="8" t="n">
        <x:v>0</x:v>
      </x:c>
      <x:c r="K1554" s="8" t="n">
        <x:f>H1554-I1554*J1554</x:f>
        <x:v>1</x:v>
      </x:c>
      <x:c r="L1554" s="8" t="n">
        <x:f>'PG facts'!E106</x:f>
        <x:v>-1</x:v>
      </x:c>
      <x:c r="M1554" s="8" t="n">
        <x:f>K1554-L1554</x:f>
        <x:v>2</x:v>
      </x:c>
      <x:c r="N1554" s="8" t="n">
        <x:f>M1554^2</x:f>
        <x:v>4</x:v>
      </x:c>
      <x:c r="O1554" s="8" t="n">
        <x:f>ABS(M1554)</x:f>
        <x:v>2</x:v>
      </x:c>
      <x:c r="P1554" s="7" t="n">
        <x:v>45583</x:v>
      </x:c>
    </x:row>
    <x:row r="1555" ht="26" customHeight="1">
      <x:c r="A1555" s="2"/>
      <x:c r="B1555" s="2" t="n">
        <x:v>1550</x:v>
      </x:c>
      <x:c r="C1555" s="2" t="str">
        <x:v>Health Care / organic_volume_growth</x:v>
      </x:c>
      <x:c r="D1555" s="7" t="n">
        <x:v>45565</x:v>
      </x:c>
      <x:c r="E1555" s="2" t="str">
        <x:v>Prior report</x:v>
      </x:c>
      <x:c r="F1555" s="7" t="n">
        <x:v>45503</x:v>
      </x:c>
      <x:c r="G1555" s="2" t="str">
        <x:v>Four-quarter mean</x:v>
      </x:c>
      <x:c r="H1555" s="8" t="n">
        <x:f>AVERAGE('PG facts'!E78,'PG facts'!E85,'PG facts'!E92,'PG facts'!E99)</x:f>
        <x:v>-1.25</x:v>
      </x:c>
      <x:c r="I1555" s="8" t="n">
        <x:f>0</x:f>
        <x:v>0</x:v>
      </x:c>
      <x:c r="J1555" s="8" t="n">
        <x:v>0</x:v>
      </x:c>
      <x:c r="K1555" s="8" t="n">
        <x:f>H1555-I1555*J1555</x:f>
        <x:v>-1.25</x:v>
      </x:c>
      <x:c r="L1555" s="8" t="n">
        <x:f>'PG facts'!E106</x:f>
        <x:v>-1</x:v>
      </x:c>
      <x:c r="M1555" s="8" t="n">
        <x:f>K1555-L1555</x:f>
        <x:v>-0.25</x:v>
      </x:c>
      <x:c r="N1555" s="8" t="n">
        <x:f>M1555^2</x:f>
        <x:v>0.0625</x:v>
      </x:c>
      <x:c r="O1555" s="8" t="n">
        <x:f>ABS(M1555)</x:f>
        <x:v>0.25</x:v>
      </x:c>
      <x:c r="P1555" s="7" t="n">
        <x:v>45583</x:v>
      </x:c>
    </x:row>
    <x:row r="1556" ht="26" customHeight="1">
      <x:c r="A1556" s="2"/>
      <x:c r="B1556" s="2" t="n">
        <x:v>1551</x:v>
      </x:c>
      <x:c r="C1556" s="2" t="str">
        <x:v>Health Care / organic_volume_growth</x:v>
      </x:c>
      <x:c r="D1556" s="7" t="n">
        <x:v>45565</x:v>
      </x:c>
      <x:c r="E1556" s="2" t="str">
        <x:v>Prior report</x:v>
      </x:c>
      <x:c r="F1556" s="7" t="n">
        <x:v>45503</x:v>
      </x:c>
      <x:c r="G1556" s="2" t="str">
        <x:v>Broad market</x:v>
      </x:c>
      <x:c r="H1556" s="8" t="n">
        <x:f>'Model fits'!AA1018</x:f>
        <x:v>0.09888097265660445</x:v>
      </x:c>
      <x:c r="I1556" s="8" t="n">
        <x:f>0</x:f>
        <x:v>0</x:v>
      </x:c>
      <x:c r="J1556" s="8" t="n">
        <x:v>0</x:v>
      </x:c>
      <x:c r="K1556" s="8" t="n">
        <x:f>H1556-I1556*J1556</x:f>
        <x:v>0.09888097265660445</x:v>
      </x:c>
      <x:c r="L1556" s="8" t="n">
        <x:f>'PG facts'!E106</x:f>
        <x:v>-1</x:v>
      </x:c>
      <x:c r="M1556" s="8" t="n">
        <x:f>K1556-L1556</x:f>
        <x:v>1.0988809726566044</x:v>
      </x:c>
      <x:c r="N1556" s="8" t="n">
        <x:f>M1556^2</x:f>
        <x:v>1.207539392066725</x:v>
      </x:c>
      <x:c r="O1556" s="8" t="n">
        <x:f>ABS(M1556)</x:f>
        <x:v>1.0988809726566044</x:v>
      </x:c>
      <x:c r="P1556" s="7" t="n">
        <x:v>45583</x:v>
      </x:c>
    </x:row>
    <x:row r="1557" ht="26" customHeight="1">
      <x:c r="A1557" s="2"/>
      <x:c r="B1557" s="2" t="n">
        <x:v>1552</x:v>
      </x:c>
      <x:c r="C1557" s="2" t="str">
        <x:v>Health Care / organic_volume_growth</x:v>
      </x:c>
      <x:c r="D1557" s="7" t="n">
        <x:v>45565</x:v>
      </x:c>
      <x:c r="E1557" s="2" t="str">
        <x:v>Prior report</x:v>
      </x:c>
      <x:c r="F1557" s="7" t="n">
        <x:v>45503</x:v>
      </x:c>
      <x:c r="G1557" s="2" t="str">
        <x:v>Broad lag 1</x:v>
      </x:c>
      <x:c r="H1557" s="8" t="n">
        <x:f>'Model fits'!AA1019</x:f>
        <x:v>0.4703901282909255</x:v>
      </x:c>
      <x:c r="I1557" s="8" t="n">
        <x:f>0</x:f>
        <x:v>0</x:v>
      </x:c>
      <x:c r="J1557" s="8" t="n">
        <x:v>0</x:v>
      </x:c>
      <x:c r="K1557" s="8" t="n">
        <x:f>H1557-I1557*J1557</x:f>
        <x:v>0.4703901282909255</x:v>
      </x:c>
      <x:c r="L1557" s="8" t="n">
        <x:f>'PG facts'!E106</x:f>
        <x:v>-1</x:v>
      </x:c>
      <x:c r="M1557" s="8" t="n">
        <x:f>K1557-L1557</x:f>
        <x:v>1.4703901282909255</x:v>
      </x:c>
      <x:c r="N1557" s="8" t="n">
        <x:f>M1557^2</x:f>
        <x:v>2.1620471293754044</x:v>
      </x:c>
      <x:c r="O1557" s="8" t="n">
        <x:f>ABS(M1557)</x:f>
        <x:v>1.4703901282909255</x:v>
      </x:c>
      <x:c r="P1557" s="7" t="n">
        <x:v>45583</x:v>
      </x:c>
    </x:row>
    <x:row r="1558" ht="26" customHeight="1">
      <x:c r="A1558" s="2"/>
      <x:c r="B1558" s="2" t="n">
        <x:v>1553</x:v>
      </x:c>
      <x:c r="C1558" s="2" t="str">
        <x:v>Health Care / organic_volume_growth</x:v>
      </x:c>
      <x:c r="D1558" s="7" t="n">
        <x:v>45565</x:v>
      </x:c>
      <x:c r="E1558" s="2" t="str">
        <x:v>Prior report</x:v>
      </x:c>
      <x:c r="F1558" s="7" t="n">
        <x:v>45503</x:v>
      </x:c>
      <x:c r="G1558" s="2" t="str">
        <x:v>Broad rolling 8</x:v>
      </x:c>
      <x:c r="H1558" s="8" t="n">
        <x:f>'Model fits'!AA1020</x:f>
        <x:v>-1.4613354485700467</x:v>
      </x:c>
      <x:c r="I1558" s="8" t="n">
        <x:f>0</x:f>
        <x:v>0</x:v>
      </x:c>
      <x:c r="J1558" s="8" t="n">
        <x:v>0</x:v>
      </x:c>
      <x:c r="K1558" s="8" t="n">
        <x:f>H1558-I1558*J1558</x:f>
        <x:v>-1.4613354485700467</x:v>
      </x:c>
      <x:c r="L1558" s="8" t="n">
        <x:f>'PG facts'!E106</x:f>
        <x:v>-1</x:v>
      </x:c>
      <x:c r="M1558" s="8" t="n">
        <x:f>K1558-L1558</x:f>
        <x:v>-0.4613354485700467</x:v>
      </x:c>
      <x:c r="N1558" s="8" t="n">
        <x:f>M1558^2</x:f>
        <x:v>0.2128303961073262</x:v>
      </x:c>
      <x:c r="O1558" s="8" t="n">
        <x:f>ABS(M1558)</x:f>
        <x:v>0.4613354485700467</x:v>
      </x:c>
      <x:c r="P1558" s="7" t="n">
        <x:v>45583</x:v>
      </x:c>
    </x:row>
    <x:row r="1559" ht="26" customHeight="1">
      <x:c r="A1559" s="2"/>
      <x:c r="B1559" s="2" t="n">
        <x:v>1554</x:v>
      </x:c>
      <x:c r="C1559" s="2" t="str">
        <x:v>Health Care / organic_volume_growth</x:v>
      </x:c>
      <x:c r="D1559" s="7" t="n">
        <x:v>45565</x:v>
      </x:c>
      <x:c r="E1559" s="2" t="str">
        <x:v>Prior report</x:v>
      </x:c>
      <x:c r="F1559" s="7" t="n">
        <x:v>45503</x:v>
      </x:c>
      <x:c r="G1559" s="2" t="str">
        <x:v>Own history</x:v>
      </x:c>
      <x:c r="H1559" s="8" t="n">
        <x:f>'Model fits'!AA1021</x:f>
        <x:v>1.3251072961373391</x:v>
      </x:c>
      <x:c r="I1559" s="8" t="n">
        <x:f>0</x:f>
        <x:v>0</x:v>
      </x:c>
      <x:c r="J1559" s="8" t="n">
        <x:v>0</x:v>
      </x:c>
      <x:c r="K1559" s="8" t="n">
        <x:f>H1559-I1559*J1559</x:f>
        <x:v>1.3251072961373391</x:v>
      </x:c>
      <x:c r="L1559" s="8" t="n">
        <x:f>'PG facts'!E106</x:f>
        <x:v>-1</x:v>
      </x:c>
      <x:c r="M1559" s="8" t="n">
        <x:f>K1559-L1559</x:f>
        <x:v>2.325107296137339</x:v>
      </x:c>
      <x:c r="N1559" s="8" t="n">
        <x:f>M1559^2</x:f>
        <x:v>5.406123938551088</x:v>
      </x:c>
      <x:c r="O1559" s="8" t="n">
        <x:f>ABS(M1559)</x:f>
        <x:v>2.325107296137339</x:v>
      </x:c>
      <x:c r="P1559" s="7" t="n">
        <x:v>45583</x:v>
      </x:c>
    </x:row>
    <x:row r="1560" ht="26" customHeight="1">
      <x:c r="A1560" s="2"/>
      <x:c r="B1560" s="2" t="n">
        <x:v>1555</x:v>
      </x:c>
      <x:c r="C1560" s="2" t="str">
        <x:v>Health Care / organic_volume_growth</x:v>
      </x:c>
      <x:c r="D1560" s="7" t="n">
        <x:v>45565</x:v>
      </x:c>
      <x:c r="E1560" s="2" t="str">
        <x:v>Pre-earnings</x:v>
      </x:c>
      <x:c r="F1560" s="7" t="n">
        <x:v>45582</x:v>
      </x:c>
      <x:c r="G1560" s="2" t="str">
        <x:v>Last actual</x:v>
      </x:c>
      <x:c r="H1560" s="8" t="n">
        <x:f>AVERAGE('PG facts'!E99)</x:f>
        <x:v>1</x:v>
      </x:c>
      <x:c r="I1560" s="8" t="n">
        <x:f>0</x:f>
        <x:v>0</x:v>
      </x:c>
      <x:c r="J1560" s="8" t="n">
        <x:v>0</x:v>
      </x:c>
      <x:c r="K1560" s="8" t="n">
        <x:f>H1560-I1560*J1560</x:f>
        <x:v>1</x:v>
      </x:c>
      <x:c r="L1560" s="8" t="n">
        <x:f>'PG facts'!E106</x:f>
        <x:v>-1</x:v>
      </x:c>
      <x:c r="M1560" s="8" t="n">
        <x:f>K1560-L1560</x:f>
        <x:v>2</x:v>
      </x:c>
      <x:c r="N1560" s="8" t="n">
        <x:f>M1560^2</x:f>
        <x:v>4</x:v>
      </x:c>
      <x:c r="O1560" s="8" t="n">
        <x:f>ABS(M1560)</x:f>
        <x:v>2</x:v>
      </x:c>
      <x:c r="P1560" s="7" t="n">
        <x:v>45583</x:v>
      </x:c>
    </x:row>
    <x:row r="1561" ht="26" customHeight="1">
      <x:c r="A1561" s="2"/>
      <x:c r="B1561" s="2" t="n">
        <x:v>1556</x:v>
      </x:c>
      <x:c r="C1561" s="2" t="str">
        <x:v>Health Care / organic_volume_growth</x:v>
      </x:c>
      <x:c r="D1561" s="7" t="n">
        <x:v>45565</x:v>
      </x:c>
      <x:c r="E1561" s="2" t="str">
        <x:v>Pre-earnings</x:v>
      </x:c>
      <x:c r="F1561" s="7" t="n">
        <x:v>45582</x:v>
      </x:c>
      <x:c r="G1561" s="2" t="str">
        <x:v>Four-quarter mean</x:v>
      </x:c>
      <x:c r="H1561" s="8" t="n">
        <x:f>AVERAGE('PG facts'!E78,'PG facts'!E85,'PG facts'!E92,'PG facts'!E99)</x:f>
        <x:v>-1.25</x:v>
      </x:c>
      <x:c r="I1561" s="8" t="n">
        <x:f>0</x:f>
        <x:v>0</x:v>
      </x:c>
      <x:c r="J1561" s="8" t="n">
        <x:v>0</x:v>
      </x:c>
      <x:c r="K1561" s="8" t="n">
        <x:f>H1561-I1561*J1561</x:f>
        <x:v>-1.25</x:v>
      </x:c>
      <x:c r="L1561" s="8" t="n">
        <x:f>'PG facts'!E106</x:f>
        <x:v>-1</x:v>
      </x:c>
      <x:c r="M1561" s="8" t="n">
        <x:f>K1561-L1561</x:f>
        <x:v>-0.25</x:v>
      </x:c>
      <x:c r="N1561" s="8" t="n">
        <x:f>M1561^2</x:f>
        <x:v>0.0625</x:v>
      </x:c>
      <x:c r="O1561" s="8" t="n">
        <x:f>ABS(M1561)</x:f>
        <x:v>0.25</x:v>
      </x:c>
      <x:c r="P1561" s="7" t="n">
        <x:v>45583</x:v>
      </x:c>
    </x:row>
    <x:row r="1562" ht="26" customHeight="1">
      <x:c r="A1562" s="2"/>
      <x:c r="B1562" s="2" t="n">
        <x:v>1557</x:v>
      </x:c>
      <x:c r="C1562" s="2" t="str">
        <x:v>Health Care / organic_volume_growth</x:v>
      </x:c>
      <x:c r="D1562" s="7" t="n">
        <x:v>45565</x:v>
      </x:c>
      <x:c r="E1562" s="2" t="str">
        <x:v>Pre-earnings</x:v>
      </x:c>
      <x:c r="F1562" s="7" t="n">
        <x:v>45582</x:v>
      </x:c>
      <x:c r="G1562" s="2" t="str">
        <x:v>Broad market</x:v>
      </x:c>
      <x:c r="H1562" s="8" t="n">
        <x:f>'Model fits'!AA1022</x:f>
        <x:v>0.6566016615914689</x:v>
      </x:c>
      <x:c r="I1562" s="8" t="n">
        <x:f>0</x:f>
        <x:v>0</x:v>
      </x:c>
      <x:c r="J1562" s="8" t="n">
        <x:v>0</x:v>
      </x:c>
      <x:c r="K1562" s="8" t="n">
        <x:f>H1562-I1562*J1562</x:f>
        <x:v>0.6566016615914689</x:v>
      </x:c>
      <x:c r="L1562" s="8" t="n">
        <x:f>'PG facts'!E106</x:f>
        <x:v>-1</x:v>
      </x:c>
      <x:c r="M1562" s="8" t="n">
        <x:f>K1562-L1562</x:f>
        <x:v>1.656601661591469</x:v>
      </x:c>
      <x:c r="N1562" s="8" t="n">
        <x:f>M1562^2</x:f>
        <x:v>2.7443290651876158</x:v>
      </x:c>
      <x:c r="O1562" s="8" t="n">
        <x:f>ABS(M1562)</x:f>
        <x:v>1.656601661591469</x:v>
      </x:c>
      <x:c r="P1562" s="7" t="n">
        <x:v>45583</x:v>
      </x:c>
    </x:row>
    <x:row r="1563" ht="26" customHeight="1">
      <x:c r="A1563" s="2"/>
      <x:c r="B1563" s="2" t="n">
        <x:v>1558</x:v>
      </x:c>
      <x:c r="C1563" s="2" t="str">
        <x:v>Health Care / organic_volume_growth</x:v>
      </x:c>
      <x:c r="D1563" s="7" t="n">
        <x:v>45565</x:v>
      </x:c>
      <x:c r="E1563" s="2" t="str">
        <x:v>Pre-earnings</x:v>
      </x:c>
      <x:c r="F1563" s="7" t="n">
        <x:v>45582</x:v>
      </x:c>
      <x:c r="G1563" s="2" t="str">
        <x:v>Broad lag 1</x:v>
      </x:c>
      <x:c r="H1563" s="8" t="n">
        <x:f>'Model fits'!AA1023</x:f>
        <x:v>0.672680209764986</x:v>
      </x:c>
      <x:c r="I1563" s="8" t="n">
        <x:f>0</x:f>
        <x:v>0</x:v>
      </x:c>
      <x:c r="J1563" s="8" t="n">
        <x:v>0</x:v>
      </x:c>
      <x:c r="K1563" s="8" t="n">
        <x:f>H1563-I1563*J1563</x:f>
        <x:v>0.672680209764986</x:v>
      </x:c>
      <x:c r="L1563" s="8" t="n">
        <x:f>'PG facts'!E106</x:f>
        <x:v>-1</x:v>
      </x:c>
      <x:c r="M1563" s="8" t="n">
        <x:f>K1563-L1563</x:f>
        <x:v>1.672680209764986</x:v>
      </x:c>
      <x:c r="N1563" s="8" t="n">
        <x:f>M1563^2</x:f>
        <x:v>2.7978590841394375</x:v>
      </x:c>
      <x:c r="O1563" s="8" t="n">
        <x:f>ABS(M1563)</x:f>
        <x:v>1.672680209764986</x:v>
      </x:c>
      <x:c r="P1563" s="7" t="n">
        <x:v>45583</x:v>
      </x:c>
    </x:row>
    <x:row r="1564" ht="26" customHeight="1">
      <x:c r="A1564" s="2"/>
      <x:c r="B1564" s="2" t="n">
        <x:v>1559</x:v>
      </x:c>
      <x:c r="C1564" s="2" t="str">
        <x:v>Health Care / organic_volume_growth</x:v>
      </x:c>
      <x:c r="D1564" s="7" t="n">
        <x:v>45565</x:v>
      </x:c>
      <x:c r="E1564" s="2" t="str">
        <x:v>Pre-earnings</x:v>
      </x:c>
      <x:c r="F1564" s="7" t="n">
        <x:v>45582</x:v>
      </x:c>
      <x:c r="G1564" s="2" t="str">
        <x:v>Broad rolling 8</x:v>
      </x:c>
      <x:c r="H1564" s="8" t="n">
        <x:f>'Model fits'!AA1024</x:f>
        <x:v>-1.436376253188863</x:v>
      </x:c>
      <x:c r="I1564" s="8" t="n">
        <x:f>0</x:f>
        <x:v>0</x:v>
      </x:c>
      <x:c r="J1564" s="8" t="n">
        <x:v>0</x:v>
      </x:c>
      <x:c r="K1564" s="8" t="n">
        <x:f>H1564-I1564*J1564</x:f>
        <x:v>-1.436376253188863</x:v>
      </x:c>
      <x:c r="L1564" s="8" t="n">
        <x:f>'PG facts'!E106</x:f>
        <x:v>-1</x:v>
      </x:c>
      <x:c r="M1564" s="8" t="n">
        <x:f>K1564-L1564</x:f>
        <x:v>-0.4363762531888631</x:v>
      </x:c>
      <x:c r="N1564" s="8" t="n">
        <x:f>M1564^2</x:f>
        <x:v>0.19042423434715075</x:v>
      </x:c>
      <x:c r="O1564" s="8" t="n">
        <x:f>ABS(M1564)</x:f>
        <x:v>0.4363762531888631</x:v>
      </x:c>
      <x:c r="P1564" s="7" t="n">
        <x:v>45583</x:v>
      </x:c>
    </x:row>
    <x:row r="1565" ht="26" customHeight="1">
      <x:c r="A1565" s="2"/>
      <x:c r="B1565" s="2" t="n">
        <x:v>1560</x:v>
      </x:c>
      <x:c r="C1565" s="2" t="str">
        <x:v>Health Care / organic_volume_growth</x:v>
      </x:c>
      <x:c r="D1565" s="7" t="n">
        <x:v>45565</x:v>
      </x:c>
      <x:c r="E1565" s="2" t="str">
        <x:v>Pre-earnings</x:v>
      </x:c>
      <x:c r="F1565" s="7" t="n">
        <x:v>45582</x:v>
      </x:c>
      <x:c r="G1565" s="2" t="str">
        <x:v>Own history</x:v>
      </x:c>
      <x:c r="H1565" s="8" t="n">
        <x:f>'Model fits'!AA1025</x:f>
        <x:v>1.3251072961373391</x:v>
      </x:c>
      <x:c r="I1565" s="8" t="n">
        <x:f>0</x:f>
        <x:v>0</x:v>
      </x:c>
      <x:c r="J1565" s="8" t="n">
        <x:v>0</x:v>
      </x:c>
      <x:c r="K1565" s="8" t="n">
        <x:f>H1565-I1565*J1565</x:f>
        <x:v>1.3251072961373391</x:v>
      </x:c>
      <x:c r="L1565" s="8" t="n">
        <x:f>'PG facts'!E106</x:f>
        <x:v>-1</x:v>
      </x:c>
      <x:c r="M1565" s="8" t="n">
        <x:f>K1565-L1565</x:f>
        <x:v>2.325107296137339</x:v>
      </x:c>
      <x:c r="N1565" s="8" t="n">
        <x:f>M1565^2</x:f>
        <x:v>5.406123938551088</x:v>
      </x:c>
      <x:c r="O1565" s="8" t="n">
        <x:f>ABS(M1565)</x:f>
        <x:v>2.325107296137339</x:v>
      </x:c>
      <x:c r="P1565" s="7" t="n">
        <x:v>45583</x:v>
      </x:c>
    </x:row>
    <x:row r="1566" ht="26" customHeight="1">
      <x:c r="A1566" s="2"/>
      <x:c r="B1566" s="2" t="n">
        <x:v>1561</x:v>
      </x:c>
      <x:c r="C1566" s="2" t="str">
        <x:v>Health Care / organic_volume_growth</x:v>
      </x:c>
      <x:c r="D1566" s="7" t="n">
        <x:v>45657</x:v>
      </x:c>
      <x:c r="E1566" s="2" t="str">
        <x:v>Origin</x:v>
      </x:c>
      <x:c r="F1566" s="7" t="n">
        <x:v>45566</x:v>
      </x:c>
      <x:c r="G1566" s="2" t="str">
        <x:v>Last actual</x:v>
      </x:c>
      <x:c r="H1566" s="8" t="n">
        <x:f>AVERAGE('PG facts'!E99)</x:f>
        <x:v>1</x:v>
      </x:c>
      <x:c r="I1566" s="8" t="n">
        <x:f>0</x:f>
        <x:v>0</x:v>
      </x:c>
      <x:c r="J1566" s="8" t="n">
        <x:v>0</x:v>
      </x:c>
      <x:c r="K1566" s="8" t="n">
        <x:f>H1566-I1566*J1566</x:f>
        <x:v>1</x:v>
      </x:c>
      <x:c r="L1566" s="8" t="n">
        <x:f>'PG facts'!E113</x:f>
        <x:v>0</x:v>
      </x:c>
      <x:c r="M1566" s="8" t="n">
        <x:f>K1566-L1566</x:f>
        <x:v>1</x:v>
      </x:c>
      <x:c r="N1566" s="8" t="n">
        <x:f>M1566^2</x:f>
        <x:v>1</x:v>
      </x:c>
      <x:c r="O1566" s="8" t="n">
        <x:f>ABS(M1566)</x:f>
        <x:v>1</x:v>
      </x:c>
      <x:c r="P1566" s="7" t="n">
        <x:v>45679</x:v>
      </x:c>
    </x:row>
    <x:row r="1567" ht="26" customHeight="1">
      <x:c r="A1567" s="2"/>
      <x:c r="B1567" s="2" t="n">
        <x:v>1562</x:v>
      </x:c>
      <x:c r="C1567" s="2" t="str">
        <x:v>Health Care / organic_volume_growth</x:v>
      </x:c>
      <x:c r="D1567" s="7" t="n">
        <x:v>45657</x:v>
      </x:c>
      <x:c r="E1567" s="2" t="str">
        <x:v>Origin</x:v>
      </x:c>
      <x:c r="F1567" s="7" t="n">
        <x:v>45566</x:v>
      </x:c>
      <x:c r="G1567" s="2" t="str">
        <x:v>Four-quarter mean</x:v>
      </x:c>
      <x:c r="H1567" s="8" t="n">
        <x:f>AVERAGE('PG facts'!E78,'PG facts'!E85,'PG facts'!E92,'PG facts'!E99)</x:f>
        <x:v>-1.25</x:v>
      </x:c>
      <x:c r="I1567" s="8" t="n">
        <x:f>0</x:f>
        <x:v>0</x:v>
      </x:c>
      <x:c r="J1567" s="8" t="n">
        <x:v>0</x:v>
      </x:c>
      <x:c r="K1567" s="8" t="n">
        <x:f>H1567-I1567*J1567</x:f>
        <x:v>-1.25</x:v>
      </x:c>
      <x:c r="L1567" s="8" t="n">
        <x:f>'PG facts'!E113</x:f>
        <x:v>0</x:v>
      </x:c>
      <x:c r="M1567" s="8" t="n">
        <x:f>K1567-L1567</x:f>
        <x:v>-1.25</x:v>
      </x:c>
      <x:c r="N1567" s="8" t="n">
        <x:f>M1567^2</x:f>
        <x:v>1.5625</x:v>
      </x:c>
      <x:c r="O1567" s="8" t="n">
        <x:f>ABS(M1567)</x:f>
        <x:v>1.25</x:v>
      </x:c>
      <x:c r="P1567" s="7" t="n">
        <x:v>45679</x:v>
      </x:c>
    </x:row>
    <x:row r="1568" ht="26" customHeight="1">
      <x:c r="A1568" s="2"/>
      <x:c r="B1568" s="2" t="n">
        <x:v>1563</x:v>
      </x:c>
      <x:c r="C1568" s="2" t="str">
        <x:v>Health Care / organic_volume_growth</x:v>
      </x:c>
      <x:c r="D1568" s="7" t="n">
        <x:v>45657</x:v>
      </x:c>
      <x:c r="E1568" s="2" t="str">
        <x:v>Origin</x:v>
      </x:c>
      <x:c r="F1568" s="7" t="n">
        <x:v>45566</x:v>
      </x:c>
      <x:c r="G1568" s="2" t="str">
        <x:v>Broad market</x:v>
      </x:c>
      <x:c r="H1568" s="8" t="n">
        <x:f>'Model fits'!AA1026</x:f>
        <x:v>0.6520489570929231</x:v>
      </x:c>
      <x:c r="I1568" s="8" t="n">
        <x:f>0</x:f>
        <x:v>0</x:v>
      </x:c>
      <x:c r="J1568" s="8" t="n">
        <x:v>0</x:v>
      </x:c>
      <x:c r="K1568" s="8" t="n">
        <x:f>H1568-I1568*J1568</x:f>
        <x:v>0.6520489570929231</x:v>
      </x:c>
      <x:c r="L1568" s="8" t="n">
        <x:f>'PG facts'!E113</x:f>
        <x:v>0</x:v>
      </x:c>
      <x:c r="M1568" s="8" t="n">
        <x:f>K1568-L1568</x:f>
        <x:v>0.6520489570929231</x:v>
      </x:c>
      <x:c r="N1568" s="8" t="n">
        <x:f>M1568^2</x:f>
        <x:v>0.42516784244596867</x:v>
      </x:c>
      <x:c r="O1568" s="8" t="n">
        <x:f>ABS(M1568)</x:f>
        <x:v>0.6520489570929231</x:v>
      </x:c>
      <x:c r="P1568" s="7" t="n">
        <x:v>45679</x:v>
      </x:c>
    </x:row>
    <x:row r="1569" ht="26" customHeight="1">
      <x:c r="A1569" s="2"/>
      <x:c r="B1569" s="2" t="n">
        <x:v>1564</x:v>
      </x:c>
      <x:c r="C1569" s="2" t="str">
        <x:v>Health Care / organic_volume_growth</x:v>
      </x:c>
      <x:c r="D1569" s="7" t="n">
        <x:v>45657</x:v>
      </x:c>
      <x:c r="E1569" s="2" t="str">
        <x:v>Origin</x:v>
      </x:c>
      <x:c r="F1569" s="7" t="n">
        <x:v>45566</x:v>
      </x:c>
      <x:c r="G1569" s="2" t="str">
        <x:v>Broad rolling 8</x:v>
      </x:c>
      <x:c r="H1569" s="8" t="n">
        <x:f>'Model fits'!AA1027</x:f>
        <x:v>-1.435774357734141</x:v>
      </x:c>
      <x:c r="I1569" s="8" t="n">
        <x:f>0</x:f>
        <x:v>0</x:v>
      </x:c>
      <x:c r="J1569" s="8" t="n">
        <x:v>0</x:v>
      </x:c>
      <x:c r="K1569" s="8" t="n">
        <x:f>H1569-I1569*J1569</x:f>
        <x:v>-1.435774357734141</x:v>
      </x:c>
      <x:c r="L1569" s="8" t="n">
        <x:f>'PG facts'!E113</x:f>
        <x:v>0</x:v>
      </x:c>
      <x:c r="M1569" s="8" t="n">
        <x:f>K1569-L1569</x:f>
        <x:v>-1.435774357734141</x:v>
      </x:c>
      <x:c r="N1569" s="8" t="n">
        <x:f>M1569^2</x:f>
        <x:v>2.061448006326885</x:v>
      </x:c>
      <x:c r="O1569" s="8" t="n">
        <x:f>ABS(M1569)</x:f>
        <x:v>1.435774357734141</x:v>
      </x:c>
      <x:c r="P1569" s="7" t="n">
        <x:v>45679</x:v>
      </x:c>
    </x:row>
    <x:row r="1570" ht="26" customHeight="1">
      <x:c r="A1570" s="2"/>
      <x:c r="B1570" s="2" t="n">
        <x:v>1565</x:v>
      </x:c>
      <x:c r="C1570" s="2" t="str">
        <x:v>Health Care / organic_volume_growth</x:v>
      </x:c>
      <x:c r="D1570" s="7" t="n">
        <x:v>45657</x:v>
      </x:c>
      <x:c r="E1570" s="2" t="str">
        <x:v>Origin</x:v>
      </x:c>
      <x:c r="F1570" s="7" t="n">
        <x:v>45566</x:v>
      </x:c>
      <x:c r="G1570" s="2" t="str">
        <x:v>Own history</x:v>
      </x:c>
      <x:c r="H1570" s="8" t="n">
        <x:f>'Model fits'!AA1028</x:f>
        <x:v>0.25788617886178866</x:v>
      </x:c>
      <x:c r="I1570" s="8" t="n">
        <x:f>0</x:f>
        <x:v>0</x:v>
      </x:c>
      <x:c r="J1570" s="8" t="n">
        <x:v>0</x:v>
      </x:c>
      <x:c r="K1570" s="8" t="n">
        <x:f>H1570-I1570*J1570</x:f>
        <x:v>0.25788617886178866</x:v>
      </x:c>
      <x:c r="L1570" s="8" t="n">
        <x:f>'PG facts'!E113</x:f>
        <x:v>0</x:v>
      </x:c>
      <x:c r="M1570" s="8" t="n">
        <x:f>K1570-L1570</x:f>
        <x:v>0.25788617886178866</x:v>
      </x:c>
      <x:c r="N1570" s="8" t="n">
        <x:f>M1570^2</x:f>
        <x:v>0.06650528124793445</x:v>
      </x:c>
      <x:c r="O1570" s="8" t="n">
        <x:f>ABS(M1570)</x:f>
        <x:v>0.25788617886178866</x:v>
      </x:c>
      <x:c r="P1570" s="7" t="n">
        <x:v>45679</x:v>
      </x:c>
    </x:row>
    <x:row r="1571" ht="26" customHeight="1">
      <x:c r="A1571" s="2"/>
      <x:c r="B1571" s="2" t="n">
        <x:v>1566</x:v>
      </x:c>
      <x:c r="C1571" s="2" t="str">
        <x:v>Health Care / organic_volume_growth</x:v>
      </x:c>
      <x:c r="D1571" s="7" t="n">
        <x:v>45657</x:v>
      </x:c>
      <x:c r="E1571" s="2" t="str">
        <x:v>Prior report</x:v>
      </x:c>
      <x:c r="F1571" s="7" t="n">
        <x:v>45583</x:v>
      </x:c>
      <x:c r="G1571" s="2" t="str">
        <x:v>Last actual</x:v>
      </x:c>
      <x:c r="H1571" s="8" t="n">
        <x:f>AVERAGE('PG facts'!E106)</x:f>
        <x:v>-1</x:v>
      </x:c>
      <x:c r="I1571" s="8" t="n">
        <x:f>0</x:f>
        <x:v>0</x:v>
      </x:c>
      <x:c r="J1571" s="8" t="n">
        <x:v>0</x:v>
      </x:c>
      <x:c r="K1571" s="8" t="n">
        <x:f>H1571-I1571*J1571</x:f>
        <x:v>-1</x:v>
      </x:c>
      <x:c r="L1571" s="8" t="n">
        <x:f>'PG facts'!E113</x:f>
        <x:v>0</x:v>
      </x:c>
      <x:c r="M1571" s="8" t="n">
        <x:f>K1571-L1571</x:f>
        <x:v>-1</x:v>
      </x:c>
      <x:c r="N1571" s="8" t="n">
        <x:f>M1571^2</x:f>
        <x:v>1</x:v>
      </x:c>
      <x:c r="O1571" s="8" t="n">
        <x:f>ABS(M1571)</x:f>
        <x:v>1</x:v>
      </x:c>
      <x:c r="P1571" s="7" t="n">
        <x:v>45679</x:v>
      </x:c>
    </x:row>
    <x:row r="1572" ht="26" customHeight="1">
      <x:c r="A1572" s="2"/>
      <x:c r="B1572" s="2" t="n">
        <x:v>1567</x:v>
      </x:c>
      <x:c r="C1572" s="2" t="str">
        <x:v>Health Care / organic_volume_growth</x:v>
      </x:c>
      <x:c r="D1572" s="7" t="n">
        <x:v>45657</x:v>
      </x:c>
      <x:c r="E1572" s="2" t="str">
        <x:v>Prior report</x:v>
      </x:c>
      <x:c r="F1572" s="7" t="n">
        <x:v>45583</x:v>
      </x:c>
      <x:c r="G1572" s="2" t="str">
        <x:v>Four-quarter mean</x:v>
      </x:c>
      <x:c r="H1572" s="8" t="n">
        <x:f>AVERAGE('PG facts'!E85,'PG facts'!E92,'PG facts'!E99,'PG facts'!E106)</x:f>
        <x:v>-2</x:v>
      </x:c>
      <x:c r="I1572" s="8" t="n">
        <x:f>0</x:f>
        <x:v>0</x:v>
      </x:c>
      <x:c r="J1572" s="8" t="n">
        <x:v>0</x:v>
      </x:c>
      <x:c r="K1572" s="8" t="n">
        <x:f>H1572-I1572*J1572</x:f>
        <x:v>-2</x:v>
      </x:c>
      <x:c r="L1572" s="8" t="n">
        <x:f>'PG facts'!E113</x:f>
        <x:v>0</x:v>
      </x:c>
      <x:c r="M1572" s="8" t="n">
        <x:f>K1572-L1572</x:f>
        <x:v>-2</x:v>
      </x:c>
      <x:c r="N1572" s="8" t="n">
        <x:f>M1572^2</x:f>
        <x:v>4</x:v>
      </x:c>
      <x:c r="O1572" s="8" t="n">
        <x:f>ABS(M1572)</x:f>
        <x:v>2</x:v>
      </x:c>
      <x:c r="P1572" s="7" t="n">
        <x:v>45679</x:v>
      </x:c>
    </x:row>
    <x:row r="1573" ht="26" customHeight="1">
      <x:c r="A1573" s="2"/>
      <x:c r="B1573" s="2" t="n">
        <x:v>1568</x:v>
      </x:c>
      <x:c r="C1573" s="2" t="str">
        <x:v>Health Care / organic_volume_growth</x:v>
      </x:c>
      <x:c r="D1573" s="7" t="n">
        <x:v>45657</x:v>
      </x:c>
      <x:c r="E1573" s="2" t="str">
        <x:v>Prior report</x:v>
      </x:c>
      <x:c r="F1573" s="7" t="n">
        <x:v>45583</x:v>
      </x:c>
      <x:c r="G1573" s="2" t="str">
        <x:v>Broad market</x:v>
      </x:c>
      <x:c r="H1573" s="8" t="n">
        <x:f>'Model fits'!AA1029</x:f>
        <x:v>0.6520489570929231</x:v>
      </x:c>
      <x:c r="I1573" s="8" t="n">
        <x:f>0</x:f>
        <x:v>0</x:v>
      </x:c>
      <x:c r="J1573" s="8" t="n">
        <x:v>0</x:v>
      </x:c>
      <x:c r="K1573" s="8" t="n">
        <x:f>H1573-I1573*J1573</x:f>
        <x:v>0.6520489570929231</x:v>
      </x:c>
      <x:c r="L1573" s="8" t="n">
        <x:f>'PG facts'!E113</x:f>
        <x:v>0</x:v>
      </x:c>
      <x:c r="M1573" s="8" t="n">
        <x:f>K1573-L1573</x:f>
        <x:v>0.6520489570929231</x:v>
      </x:c>
      <x:c r="N1573" s="8" t="n">
        <x:f>M1573^2</x:f>
        <x:v>0.42516784244596867</x:v>
      </x:c>
      <x:c r="O1573" s="8" t="n">
        <x:f>ABS(M1573)</x:f>
        <x:v>0.6520489570929231</x:v>
      </x:c>
      <x:c r="P1573" s="7" t="n">
        <x:v>45679</x:v>
      </x:c>
    </x:row>
    <x:row r="1574" ht="26" customHeight="1">
      <x:c r="A1574" s="2"/>
      <x:c r="B1574" s="2" t="n">
        <x:v>1569</x:v>
      </x:c>
      <x:c r="C1574" s="2" t="str">
        <x:v>Health Care / organic_volume_growth</x:v>
      </x:c>
      <x:c r="D1574" s="7" t="n">
        <x:v>45657</x:v>
      </x:c>
      <x:c r="E1574" s="2" t="str">
        <x:v>Prior report</x:v>
      </x:c>
      <x:c r="F1574" s="7" t="n">
        <x:v>45583</x:v>
      </x:c>
      <x:c r="G1574" s="2" t="str">
        <x:v>Broad rolling 8</x:v>
      </x:c>
      <x:c r="H1574" s="8" t="n">
        <x:f>'Model fits'!AA1030</x:f>
        <x:v>-1.435774357734141</x:v>
      </x:c>
      <x:c r="I1574" s="8" t="n">
        <x:f>0</x:f>
        <x:v>0</x:v>
      </x:c>
      <x:c r="J1574" s="8" t="n">
        <x:v>0</x:v>
      </x:c>
      <x:c r="K1574" s="8" t="n">
        <x:f>H1574-I1574*J1574</x:f>
        <x:v>-1.435774357734141</x:v>
      </x:c>
      <x:c r="L1574" s="8" t="n">
        <x:f>'PG facts'!E113</x:f>
        <x:v>0</x:v>
      </x:c>
      <x:c r="M1574" s="8" t="n">
        <x:f>K1574-L1574</x:f>
        <x:v>-1.435774357734141</x:v>
      </x:c>
      <x:c r="N1574" s="8" t="n">
        <x:f>M1574^2</x:f>
        <x:v>2.061448006326885</x:v>
      </x:c>
      <x:c r="O1574" s="8" t="n">
        <x:f>ABS(M1574)</x:f>
        <x:v>1.435774357734141</x:v>
      </x:c>
      <x:c r="P1574" s="7" t="n">
        <x:v>45679</x:v>
      </x:c>
    </x:row>
    <x:row r="1575" ht="26" customHeight="1">
      <x:c r="A1575" s="2"/>
      <x:c r="B1575" s="2" t="n">
        <x:v>1570</x:v>
      </x:c>
      <x:c r="C1575" s="2" t="str">
        <x:v>Health Care / organic_volume_growth</x:v>
      </x:c>
      <x:c r="D1575" s="7" t="n">
        <x:v>45657</x:v>
      </x:c>
      <x:c r="E1575" s="2" t="str">
        <x:v>Prior report</x:v>
      </x:c>
      <x:c r="F1575" s="7" t="n">
        <x:v>45583</x:v>
      </x:c>
      <x:c r="G1575" s="2" t="str">
        <x:v>Own history</x:v>
      </x:c>
      <x:c r="H1575" s="8" t="n">
        <x:f>'Model fits'!AA1031</x:f>
        <x:v>0.7669322709163346</x:v>
      </x:c>
      <x:c r="I1575" s="8" t="n">
        <x:f>0</x:f>
        <x:v>0</x:v>
      </x:c>
      <x:c r="J1575" s="8" t="n">
        <x:v>0</x:v>
      </x:c>
      <x:c r="K1575" s="8" t="n">
        <x:f>H1575-I1575*J1575</x:f>
        <x:v>0.7669322709163346</x:v>
      </x:c>
      <x:c r="L1575" s="8" t="n">
        <x:f>'PG facts'!E113</x:f>
        <x:v>0</x:v>
      </x:c>
      <x:c r="M1575" s="8" t="n">
        <x:f>K1575-L1575</x:f>
        <x:v>0.7669322709163346</x:v>
      </x:c>
      <x:c r="N1575" s="8" t="n">
        <x:f>M1575^2</x:f>
        <x:v>0.5881851081728862</x:v>
      </x:c>
      <x:c r="O1575" s="8" t="n">
        <x:f>ABS(M1575)</x:f>
        <x:v>0.7669322709163346</x:v>
      </x:c>
      <x:c r="P1575" s="7" t="n">
        <x:v>45679</x:v>
      </x:c>
    </x:row>
    <x:row r="1576" ht="26" customHeight="1">
      <x:c r="A1576" s="2"/>
      <x:c r="B1576" s="2" t="n">
        <x:v>1571</x:v>
      </x:c>
      <x:c r="C1576" s="2" t="str">
        <x:v>Health Care / organic_volume_growth</x:v>
      </x:c>
      <x:c r="D1576" s="7" t="n">
        <x:v>45657</x:v>
      </x:c>
      <x:c r="E1576" s="2" t="str">
        <x:v>Pre-earnings</x:v>
      </x:c>
      <x:c r="F1576" s="7" t="n">
        <x:v>45678</x:v>
      </x:c>
      <x:c r="G1576" s="2" t="str">
        <x:v>Last actual</x:v>
      </x:c>
      <x:c r="H1576" s="8" t="n">
        <x:f>AVERAGE('PG facts'!E106)</x:f>
        <x:v>-1</x:v>
      </x:c>
      <x:c r="I1576" s="8" t="n">
        <x:f>0</x:f>
        <x:v>0</x:v>
      </x:c>
      <x:c r="J1576" s="8" t="n">
        <x:v>0</x:v>
      </x:c>
      <x:c r="K1576" s="8" t="n">
        <x:f>H1576-I1576*J1576</x:f>
        <x:v>-1</x:v>
      </x:c>
      <x:c r="L1576" s="8" t="n">
        <x:f>'PG facts'!E113</x:f>
        <x:v>0</x:v>
      </x:c>
      <x:c r="M1576" s="8" t="n">
        <x:f>K1576-L1576</x:f>
        <x:v>-1</x:v>
      </x:c>
      <x:c r="N1576" s="8" t="n">
        <x:f>M1576^2</x:f>
        <x:v>1</x:v>
      </x:c>
      <x:c r="O1576" s="8" t="n">
        <x:f>ABS(M1576)</x:f>
        <x:v>1</x:v>
      </x:c>
      <x:c r="P1576" s="7" t="n">
        <x:v>45679</x:v>
      </x:c>
    </x:row>
    <x:row r="1577" ht="26" customHeight="1">
      <x:c r="A1577" s="2"/>
      <x:c r="B1577" s="2" t="n">
        <x:v>1572</x:v>
      </x:c>
      <x:c r="C1577" s="2" t="str">
        <x:v>Health Care / organic_volume_growth</x:v>
      </x:c>
      <x:c r="D1577" s="7" t="n">
        <x:v>45657</x:v>
      </x:c>
      <x:c r="E1577" s="2" t="str">
        <x:v>Pre-earnings</x:v>
      </x:c>
      <x:c r="F1577" s="7" t="n">
        <x:v>45678</x:v>
      </x:c>
      <x:c r="G1577" s="2" t="str">
        <x:v>Four-quarter mean</x:v>
      </x:c>
      <x:c r="H1577" s="8" t="n">
        <x:f>AVERAGE('PG facts'!E85,'PG facts'!E92,'PG facts'!E99,'PG facts'!E106)</x:f>
        <x:v>-2</x:v>
      </x:c>
      <x:c r="I1577" s="8" t="n">
        <x:f>0</x:f>
        <x:v>0</x:v>
      </x:c>
      <x:c r="J1577" s="8" t="n">
        <x:v>0</x:v>
      </x:c>
      <x:c r="K1577" s="8" t="n">
        <x:f>H1577-I1577*J1577</x:f>
        <x:v>-2</x:v>
      </x:c>
      <x:c r="L1577" s="8" t="n">
        <x:f>'PG facts'!E113</x:f>
        <x:v>0</x:v>
      </x:c>
      <x:c r="M1577" s="8" t="n">
        <x:f>K1577-L1577</x:f>
        <x:v>-2</x:v>
      </x:c>
      <x:c r="N1577" s="8" t="n">
        <x:f>M1577^2</x:f>
        <x:v>4</x:v>
      </x:c>
      <x:c r="O1577" s="8" t="n">
        <x:f>ABS(M1577)</x:f>
        <x:v>2</x:v>
      </x:c>
      <x:c r="P1577" s="7" t="n">
        <x:v>45679</x:v>
      </x:c>
    </x:row>
    <x:row r="1578" ht="26" customHeight="1">
      <x:c r="A1578" s="2"/>
      <x:c r="B1578" s="2" t="n">
        <x:v>1573</x:v>
      </x:c>
      <x:c r="C1578" s="2" t="str">
        <x:v>Health Care / organic_volume_growth</x:v>
      </x:c>
      <x:c r="D1578" s="7" t="n">
        <x:v>45657</x:v>
      </x:c>
      <x:c r="E1578" s="2" t="str">
        <x:v>Pre-earnings</x:v>
      </x:c>
      <x:c r="F1578" s="7" t="n">
        <x:v>45678</x:v>
      </x:c>
      <x:c r="G1578" s="2" t="str">
        <x:v>Broad market</x:v>
      </x:c>
      <x:c r="H1578" s="8" t="n">
        <x:f>'Model fits'!AA1032</x:f>
        <x:v>0.5467818578375752</x:v>
      </x:c>
      <x:c r="I1578" s="8" t="n">
        <x:f>0</x:f>
        <x:v>0</x:v>
      </x:c>
      <x:c r="J1578" s="8" t="n">
        <x:v>0</x:v>
      </x:c>
      <x:c r="K1578" s="8" t="n">
        <x:f>H1578-I1578*J1578</x:f>
        <x:v>0.5467818578375752</x:v>
      </x:c>
      <x:c r="L1578" s="8" t="n">
        <x:f>'PG facts'!E113</x:f>
        <x:v>0</x:v>
      </x:c>
      <x:c r="M1578" s="8" t="n">
        <x:f>K1578-L1578</x:f>
        <x:v>0.5467818578375752</x:v>
      </x:c>
      <x:c r="N1578" s="8" t="n">
        <x:f>M1578^2</x:f>
        <x:v>0.2989704000603102</x:v>
      </x:c>
      <x:c r="O1578" s="8" t="n">
        <x:f>ABS(M1578)</x:f>
        <x:v>0.5467818578375752</x:v>
      </x:c>
      <x:c r="P1578" s="7" t="n">
        <x:v>45679</x:v>
      </x:c>
    </x:row>
    <x:row r="1579" ht="26" customHeight="1">
      <x:c r="A1579" s="2"/>
      <x:c r="B1579" s="2" t="n">
        <x:v>1574</x:v>
      </x:c>
      <x:c r="C1579" s="2" t="str">
        <x:v>Health Care / organic_volume_growth</x:v>
      </x:c>
      <x:c r="D1579" s="7" t="n">
        <x:v>45657</x:v>
      </x:c>
      <x:c r="E1579" s="2" t="str">
        <x:v>Pre-earnings</x:v>
      </x:c>
      <x:c r="F1579" s="7" t="n">
        <x:v>45678</x:v>
      </x:c>
      <x:c r="G1579" s="2" t="str">
        <x:v>Broad lag 1</x:v>
      </x:c>
      <x:c r="H1579" s="8" t="n">
        <x:f>'Model fits'!AA1033</x:f>
        <x:v>0.773022294961051</x:v>
      </x:c>
      <x:c r="I1579" s="8" t="n">
        <x:f>0</x:f>
        <x:v>0</x:v>
      </x:c>
      <x:c r="J1579" s="8" t="n">
        <x:v>0</x:v>
      </x:c>
      <x:c r="K1579" s="8" t="n">
        <x:f>H1579-I1579*J1579</x:f>
        <x:v>0.773022294961051</x:v>
      </x:c>
      <x:c r="L1579" s="8" t="n">
        <x:f>'PG facts'!E113</x:f>
        <x:v>0</x:v>
      </x:c>
      <x:c r="M1579" s="8" t="n">
        <x:f>K1579-L1579</x:f>
        <x:v>0.773022294961051</x:v>
      </x:c>
      <x:c r="N1579" s="8" t="n">
        <x:f>M1579^2</x:f>
        <x:v>0.5975634685068502</x:v>
      </x:c>
      <x:c r="O1579" s="8" t="n">
        <x:f>ABS(M1579)</x:f>
        <x:v>0.773022294961051</x:v>
      </x:c>
      <x:c r="P1579" s="7" t="n">
        <x:v>45679</x:v>
      </x:c>
    </x:row>
    <x:row r="1580" ht="26" customHeight="1">
      <x:c r="A1580" s="2"/>
      <x:c r="B1580" s="2" t="n">
        <x:v>1575</x:v>
      </x:c>
      <x:c r="C1580" s="2" t="str">
        <x:v>Health Care / organic_volume_growth</x:v>
      </x:c>
      <x:c r="D1580" s="7" t="n">
        <x:v>45657</x:v>
      </x:c>
      <x:c r="E1580" s="2" t="str">
        <x:v>Pre-earnings</x:v>
      </x:c>
      <x:c r="F1580" s="7" t="n">
        <x:v>45678</x:v>
      </x:c>
      <x:c r="G1580" s="2" t="str">
        <x:v>Broad rolling 8</x:v>
      </x:c>
      <x:c r="H1580" s="8" t="n">
        <x:f>'Model fits'!AA1034</x:f>
        <x:v>-1.3776481041568234</x:v>
      </x:c>
      <x:c r="I1580" s="8" t="n">
        <x:f>0</x:f>
        <x:v>0</x:v>
      </x:c>
      <x:c r="J1580" s="8" t="n">
        <x:v>0</x:v>
      </x:c>
      <x:c r="K1580" s="8" t="n">
        <x:f>H1580-I1580*J1580</x:f>
        <x:v>-1.3776481041568234</x:v>
      </x:c>
      <x:c r="L1580" s="8" t="n">
        <x:f>'PG facts'!E113</x:f>
        <x:v>0</x:v>
      </x:c>
      <x:c r="M1580" s="8" t="n">
        <x:f>K1580-L1580</x:f>
        <x:v>-1.3776481041568234</x:v>
      </x:c>
      <x:c r="N1580" s="8" t="n">
        <x:f>M1580^2</x:f>
        <x:v>1.8979142988868896</x:v>
      </x:c>
      <x:c r="O1580" s="8" t="n">
        <x:f>ABS(M1580)</x:f>
        <x:v>1.3776481041568234</x:v>
      </x:c>
      <x:c r="P1580" s="7" t="n">
        <x:v>45679</x:v>
      </x:c>
    </x:row>
    <x:row r="1581" ht="26" customHeight="1">
      <x:c r="A1581" s="2"/>
      <x:c r="B1581" s="2" t="n">
        <x:v>1576</x:v>
      </x:c>
      <x:c r="C1581" s="2" t="str">
        <x:v>Health Care / organic_volume_growth</x:v>
      </x:c>
      <x:c r="D1581" s="7" t="n">
        <x:v>45657</x:v>
      </x:c>
      <x:c r="E1581" s="2" t="str">
        <x:v>Pre-earnings</x:v>
      </x:c>
      <x:c r="F1581" s="7" t="n">
        <x:v>45678</x:v>
      </x:c>
      <x:c r="G1581" s="2" t="str">
        <x:v>Own history</x:v>
      </x:c>
      <x:c r="H1581" s="8" t="n">
        <x:f>'Model fits'!AA1035</x:f>
        <x:v>0.7669322709163346</x:v>
      </x:c>
      <x:c r="I1581" s="8" t="n">
        <x:f>0</x:f>
        <x:v>0</x:v>
      </x:c>
      <x:c r="J1581" s="8" t="n">
        <x:v>0</x:v>
      </x:c>
      <x:c r="K1581" s="8" t="n">
        <x:f>H1581-I1581*J1581</x:f>
        <x:v>0.7669322709163346</x:v>
      </x:c>
      <x:c r="L1581" s="8" t="n">
        <x:f>'PG facts'!E113</x:f>
        <x:v>0</x:v>
      </x:c>
      <x:c r="M1581" s="8" t="n">
        <x:f>K1581-L1581</x:f>
        <x:v>0.7669322709163346</x:v>
      </x:c>
      <x:c r="N1581" s="8" t="n">
        <x:f>M1581^2</x:f>
        <x:v>0.5881851081728862</x:v>
      </x:c>
      <x:c r="O1581" s="8" t="n">
        <x:f>ABS(M1581)</x:f>
        <x:v>0.7669322709163346</x:v>
      </x:c>
      <x:c r="P1581" s="7" t="n">
        <x:v>45679</x:v>
      </x:c>
    </x:row>
    <x:row r="1582" ht="26" customHeight="1">
      <x:c r="A1582" s="2"/>
      <x:c r="B1582" s="2" t="n">
        <x:v>1577</x:v>
      </x:c>
      <x:c r="C1582" s="2" t="str">
        <x:v>Health Care / organic_volume_growth</x:v>
      </x:c>
      <x:c r="D1582" s="7" t="n">
        <x:v>45747</x:v>
      </x:c>
      <x:c r="E1582" s="2" t="str">
        <x:v>Origin</x:v>
      </x:c>
      <x:c r="F1582" s="7" t="n">
        <x:v>45658</x:v>
      </x:c>
      <x:c r="G1582" s="2" t="str">
        <x:v>Last actual</x:v>
      </x:c>
      <x:c r="H1582" s="8" t="n">
        <x:f>AVERAGE('PG facts'!E106)</x:f>
        <x:v>-1</x:v>
      </x:c>
      <x:c r="I1582" s="8" t="n">
        <x:f>0</x:f>
        <x:v>0</x:v>
      </x:c>
      <x:c r="J1582" s="8" t="n">
        <x:v>0</x:v>
      </x:c>
      <x:c r="K1582" s="8" t="n">
        <x:f>H1582-I1582*J1582</x:f>
        <x:v>-1</x:v>
      </x:c>
      <x:c r="L1582" s="8" t="n">
        <x:f>'PG facts'!E120</x:f>
        <x:v>-1</x:v>
      </x:c>
      <x:c r="M1582" s="8" t="n">
        <x:f>K1582-L1582</x:f>
        <x:v>0</x:v>
      </x:c>
      <x:c r="N1582" s="8" t="n">
        <x:f>M1582^2</x:f>
        <x:v>0</x:v>
      </x:c>
      <x:c r="O1582" s="8" t="n">
        <x:f>ABS(M1582)</x:f>
        <x:v>0</x:v>
      </x:c>
      <x:c r="P1582" s="7" t="n">
        <x:v>45771</x:v>
      </x:c>
    </x:row>
    <x:row r="1583" ht="26" customHeight="1">
      <x:c r="A1583" s="2"/>
      <x:c r="B1583" s="2" t="n">
        <x:v>1578</x:v>
      </x:c>
      <x:c r="C1583" s="2" t="str">
        <x:v>Health Care / organic_volume_growth</x:v>
      </x:c>
      <x:c r="D1583" s="7" t="n">
        <x:v>45747</x:v>
      </x:c>
      <x:c r="E1583" s="2" t="str">
        <x:v>Origin</x:v>
      </x:c>
      <x:c r="F1583" s="7" t="n">
        <x:v>45658</x:v>
      </x:c>
      <x:c r="G1583" s="2" t="str">
        <x:v>Four-quarter mean</x:v>
      </x:c>
      <x:c r="H1583" s="8" t="n">
        <x:f>AVERAGE('PG facts'!E85,'PG facts'!E92,'PG facts'!E99,'PG facts'!E106)</x:f>
        <x:v>-2</x:v>
      </x:c>
      <x:c r="I1583" s="8" t="n">
        <x:f>0</x:f>
        <x:v>0</x:v>
      </x:c>
      <x:c r="J1583" s="8" t="n">
        <x:v>0</x:v>
      </x:c>
      <x:c r="K1583" s="8" t="n">
        <x:f>H1583-I1583*J1583</x:f>
        <x:v>-2</x:v>
      </x:c>
      <x:c r="L1583" s="8" t="n">
        <x:f>'PG facts'!E120</x:f>
        <x:v>-1</x:v>
      </x:c>
      <x:c r="M1583" s="8" t="n">
        <x:f>K1583-L1583</x:f>
        <x:v>-1</x:v>
      </x:c>
      <x:c r="N1583" s="8" t="n">
        <x:f>M1583^2</x:f>
        <x:v>1</x:v>
      </x:c>
      <x:c r="O1583" s="8" t="n">
        <x:f>ABS(M1583)</x:f>
        <x:v>1</x:v>
      </x:c>
      <x:c r="P1583" s="7" t="n">
        <x:v>45771</x:v>
      </x:c>
    </x:row>
    <x:row r="1584" ht="26" customHeight="1">
      <x:c r="A1584" s="2"/>
      <x:c r="B1584" s="2" t="n">
        <x:v>1579</x:v>
      </x:c>
      <x:c r="C1584" s="2" t="str">
        <x:v>Health Care / organic_volume_growth</x:v>
      </x:c>
      <x:c r="D1584" s="7" t="n">
        <x:v>45747</x:v>
      </x:c>
      <x:c r="E1584" s="2" t="str">
        <x:v>Origin</x:v>
      </x:c>
      <x:c r="F1584" s="7" t="n">
        <x:v>45658</x:v>
      </x:c>
      <x:c r="G1584" s="2" t="str">
        <x:v>Broad market</x:v>
      </x:c>
      <x:c r="H1584" s="8" t="n">
        <x:f>'Model fits'!AA1036</x:f>
        <x:v>0.6316570545509643</x:v>
      </x:c>
      <x:c r="I1584" s="8" t="n">
        <x:f>0</x:f>
        <x:v>0</x:v>
      </x:c>
      <x:c r="J1584" s="8" t="n">
        <x:v>0</x:v>
      </x:c>
      <x:c r="K1584" s="8" t="n">
        <x:f>H1584-I1584*J1584</x:f>
        <x:v>0.6316570545509643</x:v>
      </x:c>
      <x:c r="L1584" s="8" t="n">
        <x:f>'PG facts'!E120</x:f>
        <x:v>-1</x:v>
      </x:c>
      <x:c r="M1584" s="8" t="n">
        <x:f>K1584-L1584</x:f>
        <x:v>1.6316570545509643</x:v>
      </x:c>
      <x:c r="N1584" s="8" t="n">
        <x:f>M1584^2</x:f>
        <x:v>2.6623047436659286</x:v>
      </x:c>
      <x:c r="O1584" s="8" t="n">
        <x:f>ABS(M1584)</x:f>
        <x:v>1.6316570545509643</x:v>
      </x:c>
      <x:c r="P1584" s="7" t="n">
        <x:v>45771</x:v>
      </x:c>
    </x:row>
    <x:row r="1585" ht="26" customHeight="1">
      <x:c r="A1585" s="2"/>
      <x:c r="B1585" s="2" t="n">
        <x:v>1580</x:v>
      </x:c>
      <x:c r="C1585" s="2" t="str">
        <x:v>Health Care / organic_volume_growth</x:v>
      </x:c>
      <x:c r="D1585" s="7" t="n">
        <x:v>45747</x:v>
      </x:c>
      <x:c r="E1585" s="2" t="str">
        <x:v>Origin</x:v>
      </x:c>
      <x:c r="F1585" s="7" t="n">
        <x:v>45658</x:v>
      </x:c>
      <x:c r="G1585" s="2" t="str">
        <x:v>Broad rolling 8</x:v>
      </x:c>
      <x:c r="H1585" s="8" t="n">
        <x:f>'Model fits'!AA1037</x:f>
        <x:v>-1.3972848056026033</x:v>
      </x:c>
      <x:c r="I1585" s="8" t="n">
        <x:f>0</x:f>
        <x:v>0</x:v>
      </x:c>
      <x:c r="J1585" s="8" t="n">
        <x:v>0</x:v>
      </x:c>
      <x:c r="K1585" s="8" t="n">
        <x:f>H1585-I1585*J1585</x:f>
        <x:v>-1.3972848056026033</x:v>
      </x:c>
      <x:c r="L1585" s="8" t="n">
        <x:f>'PG facts'!E120</x:f>
        <x:v>-1</x:v>
      </x:c>
      <x:c r="M1585" s="8" t="n">
        <x:f>K1585-L1585</x:f>
        <x:v>-0.39728480560260326</x:v>
      </x:c>
      <x:c r="N1585" s="8" t="n">
        <x:f>M1585^2</x:f>
        <x:v>0.15783521676269827</x:v>
      </x:c>
      <x:c r="O1585" s="8" t="n">
        <x:f>ABS(M1585)</x:f>
        <x:v>0.39728480560260326</x:v>
      </x:c>
      <x:c r="P1585" s="7" t="n">
        <x:v>45771</x:v>
      </x:c>
    </x:row>
    <x:row r="1586" ht="26" customHeight="1">
      <x:c r="A1586" s="2"/>
      <x:c r="B1586" s="2" t="n">
        <x:v>1581</x:v>
      </x:c>
      <x:c r="C1586" s="2" t="str">
        <x:v>Health Care / organic_volume_growth</x:v>
      </x:c>
      <x:c r="D1586" s="7" t="n">
        <x:v>45747</x:v>
      </x:c>
      <x:c r="E1586" s="2" t="str">
        <x:v>Origin</x:v>
      </x:c>
      <x:c r="F1586" s="7" t="n">
        <x:v>45658</x:v>
      </x:c>
      <x:c r="G1586" s="2" t="str">
        <x:v>Own history</x:v>
      </x:c>
      <x:c r="H1586" s="8" t="n">
        <x:f>'Model fits'!AA1038</x:f>
        <x:v>-0.18937768240343342</x:v>
      </x:c>
      <x:c r="I1586" s="8" t="n">
        <x:f>0</x:f>
        <x:v>0</x:v>
      </x:c>
      <x:c r="J1586" s="8" t="n">
        <x:v>0</x:v>
      </x:c>
      <x:c r="K1586" s="8" t="n">
        <x:f>H1586-I1586*J1586</x:f>
        <x:v>-0.18937768240343342</x:v>
      </x:c>
      <x:c r="L1586" s="8" t="n">
        <x:f>'PG facts'!E120</x:f>
        <x:v>-1</x:v>
      </x:c>
      <x:c r="M1586" s="8" t="n">
        <x:f>K1586-L1586</x:f>
        <x:v>0.8106223175965666</x:v>
      </x:c>
      <x:c r="N1586" s="8" t="n">
        <x:f>M1586^2</x:f>
        <x:v>0.6571085417856288</x:v>
      </x:c>
      <x:c r="O1586" s="8" t="n">
        <x:f>ABS(M1586)</x:f>
        <x:v>0.8106223175965666</x:v>
      </x:c>
      <x:c r="P1586" s="7" t="n">
        <x:v>45771</x:v>
      </x:c>
    </x:row>
    <x:row r="1587" ht="26" customHeight="1">
      <x:c r="A1587" s="2"/>
      <x:c r="B1587" s="2" t="n">
        <x:v>1582</x:v>
      </x:c>
      <x:c r="C1587" s="2" t="str">
        <x:v>Health Care / organic_volume_growth</x:v>
      </x:c>
      <x:c r="D1587" s="7" t="n">
        <x:v>45747</x:v>
      </x:c>
      <x:c r="E1587" s="2" t="str">
        <x:v>Prior report</x:v>
      </x:c>
      <x:c r="F1587" s="7" t="n">
        <x:v>45679</x:v>
      </x:c>
      <x:c r="G1587" s="2" t="str">
        <x:v>Last actual</x:v>
      </x:c>
      <x:c r="H1587" s="8" t="n">
        <x:f>AVERAGE('PG facts'!E113)</x:f>
        <x:v>0</x:v>
      </x:c>
      <x:c r="I1587" s="8" t="n">
        <x:f>0</x:f>
        <x:v>0</x:v>
      </x:c>
      <x:c r="J1587" s="8" t="n">
        <x:v>0</x:v>
      </x:c>
      <x:c r="K1587" s="8" t="n">
        <x:f>H1587-I1587*J1587</x:f>
        <x:v>0</x:v>
      </x:c>
      <x:c r="L1587" s="8" t="n">
        <x:f>'PG facts'!E120</x:f>
        <x:v>-1</x:v>
      </x:c>
      <x:c r="M1587" s="8" t="n">
        <x:f>K1587-L1587</x:f>
        <x:v>1</x:v>
      </x:c>
      <x:c r="N1587" s="8" t="n">
        <x:f>M1587^2</x:f>
        <x:v>1</x:v>
      </x:c>
      <x:c r="O1587" s="8" t="n">
        <x:f>ABS(M1587)</x:f>
        <x:v>1</x:v>
      </x:c>
      <x:c r="P1587" s="7" t="n">
        <x:v>45771</x:v>
      </x:c>
    </x:row>
    <x:row r="1588" ht="26" customHeight="1">
      <x:c r="A1588" s="2"/>
      <x:c r="B1588" s="2" t="n">
        <x:v>1583</x:v>
      </x:c>
      <x:c r="C1588" s="2" t="str">
        <x:v>Health Care / organic_volume_growth</x:v>
      </x:c>
      <x:c r="D1588" s="7" t="n">
        <x:v>45747</x:v>
      </x:c>
      <x:c r="E1588" s="2" t="str">
        <x:v>Prior report</x:v>
      </x:c>
      <x:c r="F1588" s="7" t="n">
        <x:v>45679</x:v>
      </x:c>
      <x:c r="G1588" s="2" t="str">
        <x:v>Four-quarter mean</x:v>
      </x:c>
      <x:c r="H1588" s="8" t="n">
        <x:f>AVERAGE('PG facts'!E92,'PG facts'!E99,'PG facts'!E106,'PG facts'!E113)</x:f>
        <x:v>-1</x:v>
      </x:c>
      <x:c r="I1588" s="8" t="n">
        <x:f>0</x:f>
        <x:v>0</x:v>
      </x:c>
      <x:c r="J1588" s="8" t="n">
        <x:v>0</x:v>
      </x:c>
      <x:c r="K1588" s="8" t="n">
        <x:f>H1588-I1588*J1588</x:f>
        <x:v>-1</x:v>
      </x:c>
      <x:c r="L1588" s="8" t="n">
        <x:f>'PG facts'!E120</x:f>
        <x:v>-1</x:v>
      </x:c>
      <x:c r="M1588" s="8" t="n">
        <x:f>K1588-L1588</x:f>
        <x:v>0</x:v>
      </x:c>
      <x:c r="N1588" s="8" t="n">
        <x:f>M1588^2</x:f>
        <x:v>0</x:v>
      </x:c>
      <x:c r="O1588" s="8" t="n">
        <x:f>ABS(M1588)</x:f>
        <x:v>0</x:v>
      </x:c>
      <x:c r="P1588" s="7" t="n">
        <x:v>45771</x:v>
      </x:c>
    </x:row>
    <x:row r="1589" ht="26" customHeight="1">
      <x:c r="A1589" s="2"/>
      <x:c r="B1589" s="2" t="n">
        <x:v>1584</x:v>
      </x:c>
      <x:c r="C1589" s="2" t="str">
        <x:v>Health Care / organic_volume_growth</x:v>
      </x:c>
      <x:c r="D1589" s="7" t="n">
        <x:v>45747</x:v>
      </x:c>
      <x:c r="E1589" s="2" t="str">
        <x:v>Prior report</x:v>
      </x:c>
      <x:c r="F1589" s="7" t="n">
        <x:v>45679</x:v>
      </x:c>
      <x:c r="G1589" s="2" t="str">
        <x:v>Broad market</x:v>
      </x:c>
      <x:c r="H1589" s="8" t="n">
        <x:f>'Model fits'!AA1039</x:f>
        <x:v>0.6316570545509643</x:v>
      </x:c>
      <x:c r="I1589" s="8" t="n">
        <x:f>0</x:f>
        <x:v>0</x:v>
      </x:c>
      <x:c r="J1589" s="8" t="n">
        <x:v>0</x:v>
      </x:c>
      <x:c r="K1589" s="8" t="n">
        <x:f>H1589-I1589*J1589</x:f>
        <x:v>0.6316570545509643</x:v>
      </x:c>
      <x:c r="L1589" s="8" t="n">
        <x:f>'PG facts'!E120</x:f>
        <x:v>-1</x:v>
      </x:c>
      <x:c r="M1589" s="8" t="n">
        <x:f>K1589-L1589</x:f>
        <x:v>1.6316570545509643</x:v>
      </x:c>
      <x:c r="N1589" s="8" t="n">
        <x:f>M1589^2</x:f>
        <x:v>2.6623047436659286</x:v>
      </x:c>
      <x:c r="O1589" s="8" t="n">
        <x:f>ABS(M1589)</x:f>
        <x:v>1.6316570545509643</x:v>
      </x:c>
      <x:c r="P1589" s="7" t="n">
        <x:v>45771</x:v>
      </x:c>
    </x:row>
    <x:row r="1590" ht="26" customHeight="1">
      <x:c r="A1590" s="2"/>
      <x:c r="B1590" s="2" t="n">
        <x:v>1585</x:v>
      </x:c>
      <x:c r="C1590" s="2" t="str">
        <x:v>Health Care / organic_volume_growth</x:v>
      </x:c>
      <x:c r="D1590" s="7" t="n">
        <x:v>45747</x:v>
      </x:c>
      <x:c r="E1590" s="2" t="str">
        <x:v>Prior report</x:v>
      </x:c>
      <x:c r="F1590" s="7" t="n">
        <x:v>45679</x:v>
      </x:c>
      <x:c r="G1590" s="2" t="str">
        <x:v>Broad rolling 8</x:v>
      </x:c>
      <x:c r="H1590" s="8" t="n">
        <x:f>'Model fits'!AA1040</x:f>
        <x:v>-1.3972848056026033</x:v>
      </x:c>
      <x:c r="I1590" s="8" t="n">
        <x:f>0</x:f>
        <x:v>0</x:v>
      </x:c>
      <x:c r="J1590" s="8" t="n">
        <x:v>0</x:v>
      </x:c>
      <x:c r="K1590" s="8" t="n">
        <x:f>H1590-I1590*J1590</x:f>
        <x:v>-1.3972848056026033</x:v>
      </x:c>
      <x:c r="L1590" s="8" t="n">
        <x:f>'PG facts'!E120</x:f>
        <x:v>-1</x:v>
      </x:c>
      <x:c r="M1590" s="8" t="n">
        <x:f>K1590-L1590</x:f>
        <x:v>-0.39728480560260326</x:v>
      </x:c>
      <x:c r="N1590" s="8" t="n">
        <x:f>M1590^2</x:f>
        <x:v>0.15783521676269827</x:v>
      </x:c>
      <x:c r="O1590" s="8" t="n">
        <x:f>ABS(M1590)</x:f>
        <x:v>0.39728480560260326</x:v>
      </x:c>
      <x:c r="P1590" s="7" t="n">
        <x:v>45771</x:v>
      </x:c>
    </x:row>
    <x:row r="1591" ht="26" customHeight="1">
      <x:c r="A1591" s="2"/>
      <x:c r="B1591" s="2" t="n">
        <x:v>1586</x:v>
      </x:c>
      <x:c r="C1591" s="2" t="str">
        <x:v>Health Care / organic_volume_growth</x:v>
      </x:c>
      <x:c r="D1591" s="7" t="n">
        <x:v>45747</x:v>
      </x:c>
      <x:c r="E1591" s="2" t="str">
        <x:v>Prior report</x:v>
      </x:c>
      <x:c r="F1591" s="7" t="n">
        <x:v>45679</x:v>
      </x:c>
      <x:c r="G1591" s="2" t="str">
        <x:v>Own history</x:v>
      </x:c>
      <x:c r="H1591" s="8" t="n">
        <x:f>'Model fits'!AA1041</x:f>
        <x:v>0.9051645338208409</x:v>
      </x:c>
      <x:c r="I1591" s="8" t="n">
        <x:f>0</x:f>
        <x:v>0</x:v>
      </x:c>
      <x:c r="J1591" s="8" t="n">
        <x:v>0</x:v>
      </x:c>
      <x:c r="K1591" s="8" t="n">
        <x:f>H1591-I1591*J1591</x:f>
        <x:v>0.9051645338208409</x:v>
      </x:c>
      <x:c r="L1591" s="8" t="n">
        <x:f>'PG facts'!E120</x:f>
        <x:v>-1</x:v>
      </x:c>
      <x:c r="M1591" s="8" t="n">
        <x:f>K1591-L1591</x:f>
        <x:v>1.905164533820841</x:v>
      </x:c>
      <x:c r="N1591" s="8" t="n">
        <x:f>M1591^2</x:f>
        <x:v>3.629651900928782</x:v>
      </x:c>
      <x:c r="O1591" s="8" t="n">
        <x:f>ABS(M1591)</x:f>
        <x:v>1.905164533820841</x:v>
      </x:c>
      <x:c r="P1591" s="7" t="n">
        <x:v>45771</x:v>
      </x:c>
    </x:row>
    <x:row r="1592" ht="26" customHeight="1">
      <x:c r="A1592" s="2"/>
      <x:c r="B1592" s="2" t="n">
        <x:v>1587</x:v>
      </x:c>
      <x:c r="C1592" s="2" t="str">
        <x:v>Health Care / organic_volume_growth</x:v>
      </x:c>
      <x:c r="D1592" s="7" t="n">
        <x:v>45747</x:v>
      </x:c>
      <x:c r="E1592" s="2" t="str">
        <x:v>Pre-earnings</x:v>
      </x:c>
      <x:c r="F1592" s="7" t="n">
        <x:v>45770</x:v>
      </x:c>
      <x:c r="G1592" s="2" t="str">
        <x:v>Last actual</x:v>
      </x:c>
      <x:c r="H1592" s="8" t="n">
        <x:f>AVERAGE('PG facts'!E113)</x:f>
        <x:v>0</x:v>
      </x:c>
      <x:c r="I1592" s="8" t="n">
        <x:f>0</x:f>
        <x:v>0</x:v>
      </x:c>
      <x:c r="J1592" s="8" t="n">
        <x:v>0</x:v>
      </x:c>
      <x:c r="K1592" s="8" t="n">
        <x:f>H1592-I1592*J1592</x:f>
        <x:v>0</x:v>
      </x:c>
      <x:c r="L1592" s="8" t="n">
        <x:f>'PG facts'!E120</x:f>
        <x:v>-1</x:v>
      </x:c>
      <x:c r="M1592" s="8" t="n">
        <x:f>K1592-L1592</x:f>
        <x:v>1</x:v>
      </x:c>
      <x:c r="N1592" s="8" t="n">
        <x:f>M1592^2</x:f>
        <x:v>1</x:v>
      </x:c>
      <x:c r="O1592" s="8" t="n">
        <x:f>ABS(M1592)</x:f>
        <x:v>1</x:v>
      </x:c>
      <x:c r="P1592" s="7" t="n">
        <x:v>45771</x:v>
      </x:c>
    </x:row>
    <x:row r="1593" ht="26" customHeight="1">
      <x:c r="A1593" s="2"/>
      <x:c r="B1593" s="2" t="n">
        <x:v>1588</x:v>
      </x:c>
      <x:c r="C1593" s="2" t="str">
        <x:v>Health Care / organic_volume_growth</x:v>
      </x:c>
      <x:c r="D1593" s="7" t="n">
        <x:v>45747</x:v>
      </x:c>
      <x:c r="E1593" s="2" t="str">
        <x:v>Pre-earnings</x:v>
      </x:c>
      <x:c r="F1593" s="7" t="n">
        <x:v>45770</x:v>
      </x:c>
      <x:c r="G1593" s="2" t="str">
        <x:v>Four-quarter mean</x:v>
      </x:c>
      <x:c r="H1593" s="8" t="n">
        <x:f>AVERAGE('PG facts'!E92,'PG facts'!E99,'PG facts'!E106,'PG facts'!E113)</x:f>
        <x:v>-1</x:v>
      </x:c>
      <x:c r="I1593" s="8" t="n">
        <x:f>0</x:f>
        <x:v>0</x:v>
      </x:c>
      <x:c r="J1593" s="8" t="n">
        <x:v>0</x:v>
      </x:c>
      <x:c r="K1593" s="8" t="n">
        <x:f>H1593-I1593*J1593</x:f>
        <x:v>-1</x:v>
      </x:c>
      <x:c r="L1593" s="8" t="n">
        <x:f>'PG facts'!E120</x:f>
        <x:v>-1</x:v>
      </x:c>
      <x:c r="M1593" s="8" t="n">
        <x:f>K1593-L1593</x:f>
        <x:v>0</x:v>
      </x:c>
      <x:c r="N1593" s="8" t="n">
        <x:f>M1593^2</x:f>
        <x:v>0</x:v>
      </x:c>
      <x:c r="O1593" s="8" t="n">
        <x:f>ABS(M1593)</x:f>
        <x:v>0</x:v>
      </x:c>
      <x:c r="P1593" s="7" t="n">
        <x:v>45771</x:v>
      </x:c>
    </x:row>
    <x:row r="1594" ht="26" customHeight="1">
      <x:c r="A1594" s="2"/>
      <x:c r="B1594" s="2" t="n">
        <x:v>1589</x:v>
      </x:c>
      <x:c r="C1594" s="2" t="str">
        <x:v>Health Care / organic_volume_growth</x:v>
      </x:c>
      <x:c r="D1594" s="7" t="n">
        <x:v>45747</x:v>
      </x:c>
      <x:c r="E1594" s="2" t="str">
        <x:v>Pre-earnings</x:v>
      </x:c>
      <x:c r="F1594" s="7" t="n">
        <x:v>45770</x:v>
      </x:c>
      <x:c r="G1594" s="2" t="str">
        <x:v>Broad market</x:v>
      </x:c>
      <x:c r="H1594" s="8" t="n">
        <x:f>'Model fits'!AA1042</x:f>
        <x:v>0.7779014893638667</x:v>
      </x:c>
      <x:c r="I1594" s="8" t="n">
        <x:f>0</x:f>
        <x:v>0</x:v>
      </x:c>
      <x:c r="J1594" s="8" t="n">
        <x:v>0</x:v>
      </x:c>
      <x:c r="K1594" s="8" t="n">
        <x:f>H1594-I1594*J1594</x:f>
        <x:v>0.7779014893638667</x:v>
      </x:c>
      <x:c r="L1594" s="8" t="n">
        <x:f>'PG facts'!E120</x:f>
        <x:v>-1</x:v>
      </x:c>
      <x:c r="M1594" s="8" t="n">
        <x:f>K1594-L1594</x:f>
        <x:v>1.7779014893638667</x:v>
      </x:c>
      <x:c r="N1594" s="8" t="n">
        <x:f>M1594^2</x:f>
        <x:v>3.1609337058822553</x:v>
      </x:c>
      <x:c r="O1594" s="8" t="n">
        <x:f>ABS(M1594)</x:f>
        <x:v>1.7779014893638667</x:v>
      </x:c>
      <x:c r="P1594" s="7" t="n">
        <x:v>45771</x:v>
      </x:c>
    </x:row>
    <x:row r="1595" ht="26" customHeight="1">
      <x:c r="A1595" s="2"/>
      <x:c r="B1595" s="2" t="n">
        <x:v>1590</x:v>
      </x:c>
      <x:c r="C1595" s="2" t="str">
        <x:v>Health Care / organic_volume_growth</x:v>
      </x:c>
      <x:c r="D1595" s="7" t="n">
        <x:v>45747</x:v>
      </x:c>
      <x:c r="E1595" s="2" t="str">
        <x:v>Pre-earnings</x:v>
      </x:c>
      <x:c r="F1595" s="7" t="n">
        <x:v>45770</x:v>
      </x:c>
      <x:c r="G1595" s="2" t="str">
        <x:v>Broad lag 1</x:v>
      </x:c>
      <x:c r="H1595" s="8" t="n">
        <x:f>'Model fits'!AA1043</x:f>
        <x:v>0.6359434665497832</x:v>
      </x:c>
      <x:c r="I1595" s="8" t="n">
        <x:f>0</x:f>
        <x:v>0</x:v>
      </x:c>
      <x:c r="J1595" s="8" t="n">
        <x:v>0</x:v>
      </x:c>
      <x:c r="K1595" s="8" t="n">
        <x:f>H1595-I1595*J1595</x:f>
        <x:v>0.6359434665497832</x:v>
      </x:c>
      <x:c r="L1595" s="8" t="n">
        <x:f>'PG facts'!E120</x:f>
        <x:v>-1</x:v>
      </x:c>
      <x:c r="M1595" s="8" t="n">
        <x:f>K1595-L1595</x:f>
        <x:v>1.6359434665497832</x:v>
      </x:c>
      <x:c r="N1595" s="8" t="n">
        <x:f>M1595^2</x:f>
        <x:v>2.6763110257469216</x:v>
      </x:c>
      <x:c r="O1595" s="8" t="n">
        <x:f>ABS(M1595)</x:f>
        <x:v>1.6359434665497832</x:v>
      </x:c>
      <x:c r="P1595" s="7" t="n">
        <x:v>45771</x:v>
      </x:c>
    </x:row>
    <x:row r="1596" ht="26" customHeight="1">
      <x:c r="A1596" s="2"/>
      <x:c r="B1596" s="2" t="n">
        <x:v>1591</x:v>
      </x:c>
      <x:c r="C1596" s="2" t="str">
        <x:v>Health Care / organic_volume_growth</x:v>
      </x:c>
      <x:c r="D1596" s="7" t="n">
        <x:v>45747</x:v>
      </x:c>
      <x:c r="E1596" s="2" t="str">
        <x:v>Pre-earnings</x:v>
      </x:c>
      <x:c r="F1596" s="7" t="n">
        <x:v>45770</x:v>
      </x:c>
      <x:c r="G1596" s="2" t="str">
        <x:v>Broad rolling 8</x:v>
      </x:c>
      <x:c r="H1596" s="8" t="n">
        <x:f>'Model fits'!AA1044</x:f>
        <x:v>-1.217056452643482</x:v>
      </x:c>
      <x:c r="I1596" s="8" t="n">
        <x:f>0</x:f>
        <x:v>0</x:v>
      </x:c>
      <x:c r="J1596" s="8" t="n">
        <x:v>0</x:v>
      </x:c>
      <x:c r="K1596" s="8" t="n">
        <x:f>H1596-I1596*J1596</x:f>
        <x:v>-1.217056452643482</x:v>
      </x:c>
      <x:c r="L1596" s="8" t="n">
        <x:f>'PG facts'!E120</x:f>
        <x:v>-1</x:v>
      </x:c>
      <x:c r="M1596" s="8" t="n">
        <x:f>K1596-L1596</x:f>
        <x:v>-0.21705645264348195</x:v>
      </x:c>
      <x:c r="N1596" s="8" t="n">
        <x:f>M1596^2</x:f>
        <x:v>0.04711350363417212</x:v>
      </x:c>
      <x:c r="O1596" s="8" t="n">
        <x:f>ABS(M1596)</x:f>
        <x:v>0.21705645264348195</x:v>
      </x:c>
      <x:c r="P1596" s="7" t="n">
        <x:v>45771</x:v>
      </x:c>
    </x:row>
    <x:row r="1597" ht="26" customHeight="1">
      <x:c r="A1597" s="2"/>
      <x:c r="B1597" s="2" t="n">
        <x:v>1592</x:v>
      </x:c>
      <x:c r="C1597" s="2" t="str">
        <x:v>Health Care / organic_volume_growth</x:v>
      </x:c>
      <x:c r="D1597" s="7" t="n">
        <x:v>45747</x:v>
      </x:c>
      <x:c r="E1597" s="2" t="str">
        <x:v>Pre-earnings</x:v>
      </x:c>
      <x:c r="F1597" s="7" t="n">
        <x:v>45770</x:v>
      </x:c>
      <x:c r="G1597" s="2" t="str">
        <x:v>Own history</x:v>
      </x:c>
      <x:c r="H1597" s="8" t="n">
        <x:f>'Model fits'!AA1045</x:f>
        <x:v>0.9051645338208409</x:v>
      </x:c>
      <x:c r="I1597" s="8" t="n">
        <x:f>0</x:f>
        <x:v>0</x:v>
      </x:c>
      <x:c r="J1597" s="8" t="n">
        <x:v>0</x:v>
      </x:c>
      <x:c r="K1597" s="8" t="n">
        <x:f>H1597-I1597*J1597</x:f>
        <x:v>0.9051645338208409</x:v>
      </x:c>
      <x:c r="L1597" s="8" t="n">
        <x:f>'PG facts'!E120</x:f>
        <x:v>-1</x:v>
      </x:c>
      <x:c r="M1597" s="8" t="n">
        <x:f>K1597-L1597</x:f>
        <x:v>1.905164533820841</x:v>
      </x:c>
      <x:c r="N1597" s="8" t="n">
        <x:f>M1597^2</x:f>
        <x:v>3.629651900928782</x:v>
      </x:c>
      <x:c r="O1597" s="8" t="n">
        <x:f>ABS(M1597)</x:f>
        <x:v>1.905164533820841</x:v>
      </x:c>
      <x:c r="P1597" s="7" t="n">
        <x:v>45771</x:v>
      </x:c>
    </x:row>
    <x:row r="1598" ht="26" customHeight="1">
      <x:c r="A1598" s="2"/>
      <x:c r="B1598" s="2" t="n">
        <x:v>1593</x:v>
      </x:c>
      <x:c r="C1598" s="2" t="str">
        <x:v>Health Care / organic_volume_growth</x:v>
      </x:c>
      <x:c r="D1598" s="7" t="n">
        <x:v>45838</x:v>
      </x:c>
      <x:c r="E1598" s="2" t="str">
        <x:v>Origin</x:v>
      </x:c>
      <x:c r="F1598" s="7" t="n">
        <x:v>45748</x:v>
      </x:c>
      <x:c r="G1598" s="2" t="str">
        <x:v>Last actual</x:v>
      </x:c>
      <x:c r="H1598" s="8" t="n">
        <x:f>AVERAGE('PG facts'!E113)</x:f>
        <x:v>0</x:v>
      </x:c>
      <x:c r="I1598" s="8" t="n">
        <x:f>0</x:f>
        <x:v>0</x:v>
      </x:c>
      <x:c r="J1598" s="8" t="n">
        <x:v>0</x:v>
      </x:c>
      <x:c r="K1598" s="8" t="n">
        <x:f>H1598-I1598*J1598</x:f>
        <x:v>0</x:v>
      </x:c>
      <x:c r="L1598" s="8" t="n">
        <x:f>'PG facts'!E127</x:f>
        <x:v>-2</x:v>
      </x:c>
      <x:c r="M1598" s="8" t="n">
        <x:f>K1598-L1598</x:f>
        <x:v>2</x:v>
      </x:c>
      <x:c r="N1598" s="8" t="n">
        <x:f>M1598^2</x:f>
        <x:v>4</x:v>
      </x:c>
      <x:c r="O1598" s="8" t="n">
        <x:f>ABS(M1598)</x:f>
        <x:v>2</x:v>
      </x:c>
      <x:c r="P1598" s="7" t="n">
        <x:v>45867</x:v>
      </x:c>
    </x:row>
    <x:row r="1599" ht="26" customHeight="1">
      <x:c r="A1599" s="2"/>
      <x:c r="B1599" s="2" t="n">
        <x:v>1594</x:v>
      </x:c>
      <x:c r="C1599" s="2" t="str">
        <x:v>Health Care / organic_volume_growth</x:v>
      </x:c>
      <x:c r="D1599" s="7" t="n">
        <x:v>45838</x:v>
      </x:c>
      <x:c r="E1599" s="2" t="str">
        <x:v>Origin</x:v>
      </x:c>
      <x:c r="F1599" s="7" t="n">
        <x:v>45748</x:v>
      </x:c>
      <x:c r="G1599" s="2" t="str">
        <x:v>Four-quarter mean</x:v>
      </x:c>
      <x:c r="H1599" s="8" t="n">
        <x:f>AVERAGE('PG facts'!E92,'PG facts'!E99,'PG facts'!E106,'PG facts'!E113)</x:f>
        <x:v>-1</x:v>
      </x:c>
      <x:c r="I1599" s="8" t="n">
        <x:f>0</x:f>
        <x:v>0</x:v>
      </x:c>
      <x:c r="J1599" s="8" t="n">
        <x:v>0</x:v>
      </x:c>
      <x:c r="K1599" s="8" t="n">
        <x:f>H1599-I1599*J1599</x:f>
        <x:v>-1</x:v>
      </x:c>
      <x:c r="L1599" s="8" t="n">
        <x:f>'PG facts'!E127</x:f>
        <x:v>-2</x:v>
      </x:c>
      <x:c r="M1599" s="8" t="n">
        <x:f>K1599-L1599</x:f>
        <x:v>1</x:v>
      </x:c>
      <x:c r="N1599" s="8" t="n">
        <x:f>M1599^2</x:f>
        <x:v>1</x:v>
      </x:c>
      <x:c r="O1599" s="8" t="n">
        <x:f>ABS(M1599)</x:f>
        <x:v>1</x:v>
      </x:c>
      <x:c r="P1599" s="7" t="n">
        <x:v>45867</x:v>
      </x:c>
    </x:row>
    <x:row r="1600" ht="26" customHeight="1">
      <x:c r="A1600" s="2"/>
      <x:c r="B1600" s="2" t="n">
        <x:v>1595</x:v>
      </x:c>
      <x:c r="C1600" s="2" t="str">
        <x:v>Health Care / organic_volume_growth</x:v>
      </x:c>
      <x:c r="D1600" s="7" t="n">
        <x:v>45838</x:v>
      </x:c>
      <x:c r="E1600" s="2" t="str">
        <x:v>Origin</x:v>
      </x:c>
      <x:c r="F1600" s="7" t="n">
        <x:v>45748</x:v>
      </x:c>
      <x:c r="G1600" s="2" t="str">
        <x:v>Broad market</x:v>
      </x:c>
      <x:c r="H1600" s="8" t="n">
        <x:f>'Model fits'!AA1046</x:f>
        <x:v>0.6949494538472556</x:v>
      </x:c>
      <x:c r="I1600" s="8" t="n">
        <x:f>0</x:f>
        <x:v>0</x:v>
      </x:c>
      <x:c r="J1600" s="8" t="n">
        <x:v>0</x:v>
      </x:c>
      <x:c r="K1600" s="8" t="n">
        <x:f>H1600-I1600*J1600</x:f>
        <x:v>0.6949494538472556</x:v>
      </x:c>
      <x:c r="L1600" s="8" t="n">
        <x:f>'PG facts'!E127</x:f>
        <x:v>-2</x:v>
      </x:c>
      <x:c r="M1600" s="8" t="n">
        <x:f>K1600-L1600</x:f>
        <x:v>2.6949494538472556</x:v>
      </x:c>
      <x:c r="N1600" s="8" t="n">
        <x:f>M1600^2</x:f>
        <x:v>7.262752558791621</x:v>
      </x:c>
      <x:c r="O1600" s="8" t="n">
        <x:f>ABS(M1600)</x:f>
        <x:v>2.6949494538472556</x:v>
      </x:c>
      <x:c r="P1600" s="7" t="n">
        <x:v>45867</x:v>
      </x:c>
    </x:row>
    <x:row r="1601" ht="26" customHeight="1">
      <x:c r="A1601" s="2"/>
      <x:c r="B1601" s="2" t="n">
        <x:v>1596</x:v>
      </x:c>
      <x:c r="C1601" s="2" t="str">
        <x:v>Health Care / organic_volume_growth</x:v>
      </x:c>
      <x:c r="D1601" s="7" t="n">
        <x:v>45838</x:v>
      </x:c>
      <x:c r="E1601" s="2" t="str">
        <x:v>Origin</x:v>
      </x:c>
      <x:c r="F1601" s="7" t="n">
        <x:v>45748</x:v>
      </x:c>
      <x:c r="G1601" s="2" t="str">
        <x:v>Broad rolling 8</x:v>
      </x:c>
      <x:c r="H1601" s="8" t="n">
        <x:f>'Model fits'!AA1047</x:f>
        <x:v>-1.198614283339233</x:v>
      </x:c>
      <x:c r="I1601" s="8" t="n">
        <x:f>0</x:f>
        <x:v>0</x:v>
      </x:c>
      <x:c r="J1601" s="8" t="n">
        <x:v>0</x:v>
      </x:c>
      <x:c r="K1601" s="8" t="n">
        <x:f>H1601-I1601*J1601</x:f>
        <x:v>-1.198614283339233</x:v>
      </x:c>
      <x:c r="L1601" s="8" t="n">
        <x:f>'PG facts'!E127</x:f>
        <x:v>-2</x:v>
      </x:c>
      <x:c r="M1601" s="8" t="n">
        <x:f>K1601-L1601</x:f>
        <x:v>0.801385716660767</x:v>
      </x:c>
      <x:c r="N1601" s="8" t="n">
        <x:f>M1601^2</x:f>
        <x:v>0.6422190668678911</x:v>
      </x:c>
      <x:c r="O1601" s="8" t="n">
        <x:f>ABS(M1601)</x:f>
        <x:v>0.801385716660767</x:v>
      </x:c>
      <x:c r="P1601" s="7" t="n">
        <x:v>45867</x:v>
      </x:c>
    </x:row>
    <x:row r="1602" ht="26" customHeight="1">
      <x:c r="A1602" s="2"/>
      <x:c r="B1602" s="2" t="n">
        <x:v>1597</x:v>
      </x:c>
      <x:c r="C1602" s="2" t="str">
        <x:v>Health Care / organic_volume_growth</x:v>
      </x:c>
      <x:c r="D1602" s="7" t="n">
        <x:v>45838</x:v>
      </x:c>
      <x:c r="E1602" s="2" t="str">
        <x:v>Origin</x:v>
      </x:c>
      <x:c r="F1602" s="7" t="n">
        <x:v>45748</x:v>
      </x:c>
      <x:c r="G1602" s="2" t="str">
        <x:v>Own history</x:v>
      </x:c>
      <x:c r="H1602" s="8" t="n">
        <x:f>'Model fits'!AA1048</x:f>
        <x:v>0.008466135458167323</x:v>
      </x:c>
      <x:c r="I1602" s="8" t="n">
        <x:f>0</x:f>
        <x:v>0</x:v>
      </x:c>
      <x:c r="J1602" s="8" t="n">
        <x:v>0</x:v>
      </x:c>
      <x:c r="K1602" s="8" t="n">
        <x:f>H1602-I1602*J1602</x:f>
        <x:v>0.008466135458167323</x:v>
      </x:c>
      <x:c r="L1602" s="8" t="n">
        <x:f>'PG facts'!E127</x:f>
        <x:v>-2</x:v>
      </x:c>
      <x:c r="M1602" s="8" t="n">
        <x:f>K1602-L1602</x:f>
        <x:v>2.008466135458167</x:v>
      </x:c>
      <x:c r="N1602" s="8" t="n">
        <x:f>M1602^2</x:f>
        <x:v>4.033936217282265</x:v>
      </x:c>
      <x:c r="O1602" s="8" t="n">
        <x:f>ABS(M1602)</x:f>
        <x:v>2.008466135458167</x:v>
      </x:c>
      <x:c r="P1602" s="7" t="n">
        <x:v>45867</x:v>
      </x:c>
    </x:row>
    <x:row r="1603" ht="26" customHeight="1">
      <x:c r="A1603" s="2"/>
      <x:c r="B1603" s="2" t="n">
        <x:v>1598</x:v>
      </x:c>
      <x:c r="C1603" s="2" t="str">
        <x:v>Health Care / organic_volume_growth</x:v>
      </x:c>
      <x:c r="D1603" s="7" t="n">
        <x:v>45838</x:v>
      </x:c>
      <x:c r="E1603" s="2" t="str">
        <x:v>Prior report</x:v>
      </x:c>
      <x:c r="F1603" s="7" t="n">
        <x:v>45771</x:v>
      </x:c>
      <x:c r="G1603" s="2" t="str">
        <x:v>Last actual</x:v>
      </x:c>
      <x:c r="H1603" s="8" t="n">
        <x:f>AVERAGE('PG facts'!E120)</x:f>
        <x:v>-1</x:v>
      </x:c>
      <x:c r="I1603" s="8" t="n">
        <x:f>0</x:f>
        <x:v>0</x:v>
      </x:c>
      <x:c r="J1603" s="8" t="n">
        <x:v>0</x:v>
      </x:c>
      <x:c r="K1603" s="8" t="n">
        <x:f>H1603-I1603*J1603</x:f>
        <x:v>-1</x:v>
      </x:c>
      <x:c r="L1603" s="8" t="n">
        <x:f>'PG facts'!E127</x:f>
        <x:v>-2</x:v>
      </x:c>
      <x:c r="M1603" s="8" t="n">
        <x:f>K1603-L1603</x:f>
        <x:v>1</x:v>
      </x:c>
      <x:c r="N1603" s="8" t="n">
        <x:f>M1603^2</x:f>
        <x:v>1</x:v>
      </x:c>
      <x:c r="O1603" s="8" t="n">
        <x:f>ABS(M1603)</x:f>
        <x:v>1</x:v>
      </x:c>
      <x:c r="P1603" s="7" t="n">
        <x:v>45867</x:v>
      </x:c>
    </x:row>
    <x:row r="1604" ht="26" customHeight="1">
      <x:c r="A1604" s="2"/>
      <x:c r="B1604" s="2" t="n">
        <x:v>1599</x:v>
      </x:c>
      <x:c r="C1604" s="2" t="str">
        <x:v>Health Care / organic_volume_growth</x:v>
      </x:c>
      <x:c r="D1604" s="7" t="n">
        <x:v>45838</x:v>
      </x:c>
      <x:c r="E1604" s="2" t="str">
        <x:v>Prior report</x:v>
      </x:c>
      <x:c r="F1604" s="7" t="n">
        <x:v>45771</x:v>
      </x:c>
      <x:c r="G1604" s="2" t="str">
        <x:v>Four-quarter mean</x:v>
      </x:c>
      <x:c r="H1604" s="8" t="n">
        <x:f>AVERAGE('PG facts'!E99,'PG facts'!E106,'PG facts'!E113,'PG facts'!E120)</x:f>
        <x:v>-0.25</x:v>
      </x:c>
      <x:c r="I1604" s="8" t="n">
        <x:f>0</x:f>
        <x:v>0</x:v>
      </x:c>
      <x:c r="J1604" s="8" t="n">
        <x:v>0</x:v>
      </x:c>
      <x:c r="K1604" s="8" t="n">
        <x:f>H1604-I1604*J1604</x:f>
        <x:v>-0.25</x:v>
      </x:c>
      <x:c r="L1604" s="8" t="n">
        <x:f>'PG facts'!E127</x:f>
        <x:v>-2</x:v>
      </x:c>
      <x:c r="M1604" s="8" t="n">
        <x:f>K1604-L1604</x:f>
        <x:v>1.75</x:v>
      </x:c>
      <x:c r="N1604" s="8" t="n">
        <x:f>M1604^2</x:f>
        <x:v>3.0625</x:v>
      </x:c>
      <x:c r="O1604" s="8" t="n">
        <x:f>ABS(M1604)</x:f>
        <x:v>1.75</x:v>
      </x:c>
      <x:c r="P1604" s="7" t="n">
        <x:v>45867</x:v>
      </x:c>
    </x:row>
    <x:row r="1605" ht="26" customHeight="1">
      <x:c r="A1605" s="2"/>
      <x:c r="B1605" s="2" t="n">
        <x:v>1600</x:v>
      </x:c>
      <x:c r="C1605" s="2" t="str">
        <x:v>Health Care / organic_volume_growth</x:v>
      </x:c>
      <x:c r="D1605" s="7" t="n">
        <x:v>45838</x:v>
      </x:c>
      <x:c r="E1605" s="2" t="str">
        <x:v>Prior report</x:v>
      </x:c>
      <x:c r="F1605" s="7" t="n">
        <x:v>45771</x:v>
      </x:c>
      <x:c r="G1605" s="2" t="str">
        <x:v>Broad market</x:v>
      </x:c>
      <x:c r="H1605" s="8" t="n">
        <x:f>'Model fits'!AA1049</x:f>
        <x:v>0.6949494538472556</x:v>
      </x:c>
      <x:c r="I1605" s="8" t="n">
        <x:f>0</x:f>
        <x:v>0</x:v>
      </x:c>
      <x:c r="J1605" s="8" t="n">
        <x:v>0</x:v>
      </x:c>
      <x:c r="K1605" s="8" t="n">
        <x:f>H1605-I1605*J1605</x:f>
        <x:v>0.6949494538472556</x:v>
      </x:c>
      <x:c r="L1605" s="8" t="n">
        <x:f>'PG facts'!E127</x:f>
        <x:v>-2</x:v>
      </x:c>
      <x:c r="M1605" s="8" t="n">
        <x:f>K1605-L1605</x:f>
        <x:v>2.6949494538472556</x:v>
      </x:c>
      <x:c r="N1605" s="8" t="n">
        <x:f>M1605^2</x:f>
        <x:v>7.262752558791621</x:v>
      </x:c>
      <x:c r="O1605" s="8" t="n">
        <x:f>ABS(M1605)</x:f>
        <x:v>2.6949494538472556</x:v>
      </x:c>
      <x:c r="P1605" s="7" t="n">
        <x:v>45867</x:v>
      </x:c>
    </x:row>
    <x:row r="1606" ht="26" customHeight="1">
      <x:c r="A1606" s="2"/>
      <x:c r="B1606" s="2" t="n">
        <x:v>1601</x:v>
      </x:c>
      <x:c r="C1606" s="2" t="str">
        <x:v>Health Care / organic_volume_growth</x:v>
      </x:c>
      <x:c r="D1606" s="7" t="n">
        <x:v>45838</x:v>
      </x:c>
      <x:c r="E1606" s="2" t="str">
        <x:v>Prior report</x:v>
      </x:c>
      <x:c r="F1606" s="7" t="n">
        <x:v>45771</x:v>
      </x:c>
      <x:c r="G1606" s="2" t="str">
        <x:v>Broad rolling 8</x:v>
      </x:c>
      <x:c r="H1606" s="8" t="n">
        <x:f>'Model fits'!AA1050</x:f>
        <x:v>-1.198614283339233</x:v>
      </x:c>
      <x:c r="I1606" s="8" t="n">
        <x:f>0</x:f>
        <x:v>0</x:v>
      </x:c>
      <x:c r="J1606" s="8" t="n">
        <x:v>0</x:v>
      </x:c>
      <x:c r="K1606" s="8" t="n">
        <x:f>H1606-I1606*J1606</x:f>
        <x:v>-1.198614283339233</x:v>
      </x:c>
      <x:c r="L1606" s="8" t="n">
        <x:f>'PG facts'!E127</x:f>
        <x:v>-2</x:v>
      </x:c>
      <x:c r="M1606" s="8" t="n">
        <x:f>K1606-L1606</x:f>
        <x:v>0.801385716660767</x:v>
      </x:c>
      <x:c r="N1606" s="8" t="n">
        <x:f>M1606^2</x:f>
        <x:v>0.6422190668678911</x:v>
      </x:c>
      <x:c r="O1606" s="8" t="n">
        <x:f>ABS(M1606)</x:f>
        <x:v>0.801385716660767</x:v>
      </x:c>
      <x:c r="P1606" s="7" t="n">
        <x:v>45867</x:v>
      </x:c>
    </x:row>
    <x:row r="1607" ht="26" customHeight="1">
      <x:c r="A1607" s="2"/>
      <x:c r="B1607" s="2" t="n">
        <x:v>1602</x:v>
      </x:c>
      <x:c r="C1607" s="2" t="str">
        <x:v>Health Care / organic_volume_growth</x:v>
      </x:c>
      <x:c r="D1607" s="7" t="n">
        <x:v>45838</x:v>
      </x:c>
      <x:c r="E1607" s="2" t="str">
        <x:v>Prior report</x:v>
      </x:c>
      <x:c r="F1607" s="7" t="n">
        <x:v>45771</x:v>
      </x:c>
      <x:c r="G1607" s="2" t="str">
        <x:v>Own history</x:v>
      </x:c>
      <x:c r="H1607" s="8" t="n">
        <x:f>'Model fits'!AA1051</x:f>
        <x:v>0.5705141881800725</x:v>
      </x:c>
      <x:c r="I1607" s="8" t="n">
        <x:f>0</x:f>
        <x:v>0</x:v>
      </x:c>
      <x:c r="J1607" s="8" t="n">
        <x:v>0</x:v>
      </x:c>
      <x:c r="K1607" s="8" t="n">
        <x:f>H1607-I1607*J1607</x:f>
        <x:v>0.5705141881800725</x:v>
      </x:c>
      <x:c r="L1607" s="8" t="n">
        <x:f>'PG facts'!E127</x:f>
        <x:v>-2</x:v>
      </x:c>
      <x:c r="M1607" s="8" t="n">
        <x:f>K1607-L1607</x:f>
        <x:v>2.5705141881800726</x:v>
      </x:c>
      <x:c r="N1607" s="8" t="n">
        <x:f>M1607^2</x:f>
        <x:v>6.607543191635058</x:v>
      </x:c>
      <x:c r="O1607" s="8" t="n">
        <x:f>ABS(M1607)</x:f>
        <x:v>2.5705141881800726</x:v>
      </x:c>
      <x:c r="P1607" s="7" t="n">
        <x:v>45867</x:v>
      </x:c>
    </x:row>
    <x:row r="1608" ht="26" customHeight="1">
      <x:c r="A1608" s="2"/>
      <x:c r="B1608" s="2" t="n">
        <x:v>1603</x:v>
      </x:c>
      <x:c r="C1608" s="2" t="str">
        <x:v>Health Care / organic_volume_growth</x:v>
      </x:c>
      <x:c r="D1608" s="7" t="n">
        <x:v>45838</x:v>
      </x:c>
      <x:c r="E1608" s="2" t="str">
        <x:v>Pre-earnings</x:v>
      </x:c>
      <x:c r="F1608" s="7" t="n">
        <x:v>45866</x:v>
      </x:c>
      <x:c r="G1608" s="2" t="str">
        <x:v>Last actual</x:v>
      </x:c>
      <x:c r="H1608" s="8" t="n">
        <x:f>AVERAGE('PG facts'!E120)</x:f>
        <x:v>-1</x:v>
      </x:c>
      <x:c r="I1608" s="8" t="n">
        <x:f>0</x:f>
        <x:v>0</x:v>
      </x:c>
      <x:c r="J1608" s="8" t="n">
        <x:v>0</x:v>
      </x:c>
      <x:c r="K1608" s="8" t="n">
        <x:f>H1608-I1608*J1608</x:f>
        <x:v>-1</x:v>
      </x:c>
      <x:c r="L1608" s="8" t="n">
        <x:f>'PG facts'!E127</x:f>
        <x:v>-2</x:v>
      </x:c>
      <x:c r="M1608" s="8" t="n">
        <x:f>K1608-L1608</x:f>
        <x:v>1</x:v>
      </x:c>
      <x:c r="N1608" s="8" t="n">
        <x:f>M1608^2</x:f>
        <x:v>1</x:v>
      </x:c>
      <x:c r="O1608" s="8" t="n">
        <x:f>ABS(M1608)</x:f>
        <x:v>1</x:v>
      </x:c>
      <x:c r="P1608" s="7" t="n">
        <x:v>45867</x:v>
      </x:c>
    </x:row>
    <x:row r="1609" ht="26" customHeight="1">
      <x:c r="A1609" s="2"/>
      <x:c r="B1609" s="2" t="n">
        <x:v>1604</x:v>
      </x:c>
      <x:c r="C1609" s="2" t="str">
        <x:v>Health Care / organic_volume_growth</x:v>
      </x:c>
      <x:c r="D1609" s="7" t="n">
        <x:v>45838</x:v>
      </x:c>
      <x:c r="E1609" s="2" t="str">
        <x:v>Pre-earnings</x:v>
      </x:c>
      <x:c r="F1609" s="7" t="n">
        <x:v>45866</x:v>
      </x:c>
      <x:c r="G1609" s="2" t="str">
        <x:v>Four-quarter mean</x:v>
      </x:c>
      <x:c r="H1609" s="8" t="n">
        <x:f>AVERAGE('PG facts'!E99,'PG facts'!E106,'PG facts'!E113,'PG facts'!E120)</x:f>
        <x:v>-0.25</x:v>
      </x:c>
      <x:c r="I1609" s="8" t="n">
        <x:f>0</x:f>
        <x:v>0</x:v>
      </x:c>
      <x:c r="J1609" s="8" t="n">
        <x:v>0</x:v>
      </x:c>
      <x:c r="K1609" s="8" t="n">
        <x:f>H1609-I1609*J1609</x:f>
        <x:v>-0.25</x:v>
      </x:c>
      <x:c r="L1609" s="8" t="n">
        <x:f>'PG facts'!E127</x:f>
        <x:v>-2</x:v>
      </x:c>
      <x:c r="M1609" s="8" t="n">
        <x:f>K1609-L1609</x:f>
        <x:v>1.75</x:v>
      </x:c>
      <x:c r="N1609" s="8" t="n">
        <x:f>M1609^2</x:f>
        <x:v>3.0625</x:v>
      </x:c>
      <x:c r="O1609" s="8" t="n">
        <x:f>ABS(M1609)</x:f>
        <x:v>1.75</x:v>
      </x:c>
      <x:c r="P1609" s="7" t="n">
        <x:v>45867</x:v>
      </x:c>
    </x:row>
    <x:row r="1610" ht="26" customHeight="1">
      <x:c r="A1610" s="2"/>
      <x:c r="B1610" s="2" t="n">
        <x:v>1605</x:v>
      </x:c>
      <x:c r="C1610" s="2" t="str">
        <x:v>Health Care / organic_volume_growth</x:v>
      </x:c>
      <x:c r="D1610" s="7" t="n">
        <x:v>45838</x:v>
      </x:c>
      <x:c r="E1610" s="2" t="str">
        <x:v>Pre-earnings</x:v>
      </x:c>
      <x:c r="F1610" s="7" t="n">
        <x:v>45866</x:v>
      </x:c>
      <x:c r="G1610" s="2" t="str">
        <x:v>Broad market</x:v>
      </x:c>
      <x:c r="H1610" s="8" t="n">
        <x:f>'Model fits'!AA1052</x:f>
        <x:v>0.9266830812785611</x:v>
      </x:c>
      <x:c r="I1610" s="8" t="n">
        <x:f>0</x:f>
        <x:v>0</x:v>
      </x:c>
      <x:c r="J1610" s="8" t="n">
        <x:v>0</x:v>
      </x:c>
      <x:c r="K1610" s="8" t="n">
        <x:f>H1610-I1610*J1610</x:f>
        <x:v>0.9266830812785611</x:v>
      </x:c>
      <x:c r="L1610" s="8" t="n">
        <x:f>'PG facts'!E127</x:f>
        <x:v>-2</x:v>
      </x:c>
      <x:c r="M1610" s="8" t="n">
        <x:f>K1610-L1610</x:f>
        <x:v>2.9266830812785614</x:v>
      </x:c>
      <x:c r="N1610" s="8" t="n">
        <x:f>M1610^2</x:f>
        <x:v>8.565473858242175</x:v>
      </x:c>
      <x:c r="O1610" s="8" t="n">
        <x:f>ABS(M1610)</x:f>
        <x:v>2.9266830812785614</x:v>
      </x:c>
      <x:c r="P1610" s="7" t="n">
        <x:v>45867</x:v>
      </x:c>
    </x:row>
    <x:row r="1611" ht="26" customHeight="1">
      <x:c r="A1611" s="2"/>
      <x:c r="B1611" s="2" t="n">
        <x:v>1606</x:v>
      </x:c>
      <x:c r="C1611" s="2" t="str">
        <x:v>Health Care / organic_volume_growth</x:v>
      </x:c>
      <x:c r="D1611" s="7" t="n">
        <x:v>45838</x:v>
      </x:c>
      <x:c r="E1611" s="2" t="str">
        <x:v>Pre-earnings</x:v>
      </x:c>
      <x:c r="F1611" s="7" t="n">
        <x:v>45866</x:v>
      </x:c>
      <x:c r="G1611" s="2" t="str">
        <x:v>Broad lag 1</x:v>
      </x:c>
      <x:c r="H1611" s="8" t="n">
        <x:f>'Model fits'!AA1053</x:f>
        <x:v>0.9986742138244711</x:v>
      </x:c>
      <x:c r="I1611" s="8" t="n">
        <x:f>0</x:f>
        <x:v>0</x:v>
      </x:c>
      <x:c r="J1611" s="8" t="n">
        <x:v>0</x:v>
      </x:c>
      <x:c r="K1611" s="8" t="n">
        <x:f>H1611-I1611*J1611</x:f>
        <x:v>0.9986742138244711</x:v>
      </x:c>
      <x:c r="L1611" s="8" t="n">
        <x:f>'PG facts'!E127</x:f>
        <x:v>-2</x:v>
      </x:c>
      <x:c r="M1611" s="8" t="n">
        <x:f>K1611-L1611</x:f>
        <x:v>2.9986742138244713</x:v>
      </x:c>
      <x:c r="N1611" s="8" t="n">
        <x:f>M1611^2</x:f>
        <x:v>8.99204704065581</x:v>
      </x:c>
      <x:c r="O1611" s="8" t="n">
        <x:f>ABS(M1611)</x:f>
        <x:v>2.9986742138244713</x:v>
      </x:c>
      <x:c r="P1611" s="7" t="n">
        <x:v>45867</x:v>
      </x:c>
    </x:row>
    <x:row r="1612" ht="26" customHeight="1">
      <x:c r="A1612" s="2"/>
      <x:c r="B1612" s="2" t="n">
        <x:v>1607</x:v>
      </x:c>
      <x:c r="C1612" s="2" t="str">
        <x:v>Health Care / organic_volume_growth</x:v>
      </x:c>
      <x:c r="D1612" s="7" t="n">
        <x:v>45838</x:v>
      </x:c>
      <x:c r="E1612" s="2" t="str">
        <x:v>Pre-earnings</x:v>
      </x:c>
      <x:c r="F1612" s="7" t="n">
        <x:v>45866</x:v>
      </x:c>
      <x:c r="G1612" s="2" t="str">
        <x:v>Broad rolling 8</x:v>
      </x:c>
      <x:c r="H1612" s="8" t="n">
        <x:f>'Model fits'!AA1054</x:f>
        <x:v>-0.6966530314626971</x:v>
      </x:c>
      <x:c r="I1612" s="8" t="n">
        <x:f>0</x:f>
        <x:v>0</x:v>
      </x:c>
      <x:c r="J1612" s="8" t="n">
        <x:v>0</x:v>
      </x:c>
      <x:c r="K1612" s="8" t="n">
        <x:f>H1612-I1612*J1612</x:f>
        <x:v>-0.6966530314626971</x:v>
      </x:c>
      <x:c r="L1612" s="8" t="n">
        <x:f>'PG facts'!E127</x:f>
        <x:v>-2</x:v>
      </x:c>
      <x:c r="M1612" s="8" t="n">
        <x:f>K1612-L1612</x:f>
        <x:v>1.303346968537303</x:v>
      </x:c>
      <x:c r="N1612" s="8" t="n">
        <x:f>M1612^2</x:f>
        <x:v>1.6987133203953773</x:v>
      </x:c>
      <x:c r="O1612" s="8" t="n">
        <x:f>ABS(M1612)</x:f>
        <x:v>1.303346968537303</x:v>
      </x:c>
      <x:c r="P1612" s="7" t="n">
        <x:v>45867</x:v>
      </x:c>
    </x:row>
    <x:row r="1613" ht="26" customHeight="1">
      <x:c r="A1613" s="2"/>
      <x:c r="B1613" s="2" t="n">
        <x:v>1608</x:v>
      </x:c>
      <x:c r="C1613" s="2" t="str">
        <x:v>Health Care / organic_volume_growth</x:v>
      </x:c>
      <x:c r="D1613" s="7" t="n">
        <x:v>45838</x:v>
      </x:c>
      <x:c r="E1613" s="2" t="str">
        <x:v>Pre-earnings</x:v>
      </x:c>
      <x:c r="F1613" s="7" t="n">
        <x:v>45866</x:v>
      </x:c>
      <x:c r="G1613" s="2" t="str">
        <x:v>Own history</x:v>
      </x:c>
      <x:c r="H1613" s="8" t="n">
        <x:f>'Model fits'!AA1055</x:f>
        <x:v>0.5705141881800725</x:v>
      </x:c>
      <x:c r="I1613" s="8" t="n">
        <x:f>0</x:f>
        <x:v>0</x:v>
      </x:c>
      <x:c r="J1613" s="8" t="n">
        <x:v>0</x:v>
      </x:c>
      <x:c r="K1613" s="8" t="n">
        <x:f>H1613-I1613*J1613</x:f>
        <x:v>0.5705141881800725</x:v>
      </x:c>
      <x:c r="L1613" s="8" t="n">
        <x:f>'PG facts'!E127</x:f>
        <x:v>-2</x:v>
      </x:c>
      <x:c r="M1613" s="8" t="n">
        <x:f>K1613-L1613</x:f>
        <x:v>2.5705141881800726</x:v>
      </x:c>
      <x:c r="N1613" s="8" t="n">
        <x:f>M1613^2</x:f>
        <x:v>6.607543191635058</x:v>
      </x:c>
      <x:c r="O1613" s="8" t="n">
        <x:f>ABS(M1613)</x:f>
        <x:v>2.5705141881800726</x:v>
      </x:c>
      <x:c r="P1613" s="7" t="n">
        <x:v>45867</x:v>
      </x:c>
    </x:row>
    <x:row r="1614" ht="26" customHeight="1">
      <x:c r="A1614" s="2"/>
      <x:c r="B1614" s="2" t="n">
        <x:v>1609</x:v>
      </x:c>
      <x:c r="C1614" s="2" t="str">
        <x:v>Health Care / organic_volume_growth</x:v>
      </x:c>
      <x:c r="D1614" s="7" t="n">
        <x:v>45930</x:v>
      </x:c>
      <x:c r="E1614" s="2" t="str">
        <x:v>Origin</x:v>
      </x:c>
      <x:c r="F1614" s="7" t="n">
        <x:v>45839</x:v>
      </x:c>
      <x:c r="G1614" s="2" t="str">
        <x:v>Last actual</x:v>
      </x:c>
      <x:c r="H1614" s="8" t="n">
        <x:f>AVERAGE('PG facts'!E120)</x:f>
        <x:v>-1</x:v>
      </x:c>
      <x:c r="I1614" s="8" t="n">
        <x:f>0</x:f>
        <x:v>0</x:v>
      </x:c>
      <x:c r="J1614" s="8" t="n">
        <x:v>0</x:v>
      </x:c>
      <x:c r="K1614" s="8" t="n">
        <x:f>H1614-I1614*J1614</x:f>
        <x:v>-1</x:v>
      </x:c>
      <x:c r="L1614" s="8" t="n">
        <x:f>'PG facts'!E134</x:f>
        <x:v>-2</x:v>
      </x:c>
      <x:c r="M1614" s="8" t="n">
        <x:f>K1614-L1614</x:f>
        <x:v>1</x:v>
      </x:c>
      <x:c r="N1614" s="8" t="n">
        <x:f>M1614^2</x:f>
        <x:v>1</x:v>
      </x:c>
      <x:c r="O1614" s="8" t="n">
        <x:f>ABS(M1614)</x:f>
        <x:v>1</x:v>
      </x:c>
      <x:c r="P1614" s="7" t="n">
        <x:v>45954</x:v>
      </x:c>
    </x:row>
    <x:row r="1615" ht="26" customHeight="1">
      <x:c r="A1615" s="2"/>
      <x:c r="B1615" s="2" t="n">
        <x:v>1610</x:v>
      </x:c>
      <x:c r="C1615" s="2" t="str">
        <x:v>Health Care / organic_volume_growth</x:v>
      </x:c>
      <x:c r="D1615" s="7" t="n">
        <x:v>45930</x:v>
      </x:c>
      <x:c r="E1615" s="2" t="str">
        <x:v>Origin</x:v>
      </x:c>
      <x:c r="F1615" s="7" t="n">
        <x:v>45839</x:v>
      </x:c>
      <x:c r="G1615" s="2" t="str">
        <x:v>Four-quarter mean</x:v>
      </x:c>
      <x:c r="H1615" s="8" t="n">
        <x:f>AVERAGE('PG facts'!E99,'PG facts'!E106,'PG facts'!E113,'PG facts'!E120)</x:f>
        <x:v>-0.25</x:v>
      </x:c>
      <x:c r="I1615" s="8" t="n">
        <x:f>0</x:f>
        <x:v>0</x:v>
      </x:c>
      <x:c r="J1615" s="8" t="n">
        <x:v>0</x:v>
      </x:c>
      <x:c r="K1615" s="8" t="n">
        <x:f>H1615-I1615*J1615</x:f>
        <x:v>-0.25</x:v>
      </x:c>
      <x:c r="L1615" s="8" t="n">
        <x:f>'PG facts'!E134</x:f>
        <x:v>-2</x:v>
      </x:c>
      <x:c r="M1615" s="8" t="n">
        <x:f>K1615-L1615</x:f>
        <x:v>1.75</x:v>
      </x:c>
      <x:c r="N1615" s="8" t="n">
        <x:f>M1615^2</x:f>
        <x:v>3.0625</x:v>
      </x:c>
      <x:c r="O1615" s="8" t="n">
        <x:f>ABS(M1615)</x:f>
        <x:v>1.75</x:v>
      </x:c>
      <x:c r="P1615" s="7" t="n">
        <x:v>45954</x:v>
      </x:c>
    </x:row>
    <x:row r="1616" ht="26" customHeight="1">
      <x:c r="A1616" s="2"/>
      <x:c r="B1616" s="2" t="n">
        <x:v>1611</x:v>
      </x:c>
      <x:c r="C1616" s="2" t="str">
        <x:v>Health Care / organic_volume_growth</x:v>
      </x:c>
      <x:c r="D1616" s="7" t="n">
        <x:v>45930</x:v>
      </x:c>
      <x:c r="E1616" s="2" t="str">
        <x:v>Origin</x:v>
      </x:c>
      <x:c r="F1616" s="7" t="n">
        <x:v>45839</x:v>
      </x:c>
      <x:c r="G1616" s="2" t="str">
        <x:v>Broad market</x:v>
      </x:c>
      <x:c r="H1616" s="8" t="n">
        <x:f>'Model fits'!AA1056</x:f>
        <x:v>0.8916608337972602</x:v>
      </x:c>
      <x:c r="I1616" s="8" t="n">
        <x:f>0</x:f>
        <x:v>0</x:v>
      </x:c>
      <x:c r="J1616" s="8" t="n">
        <x:v>0</x:v>
      </x:c>
      <x:c r="K1616" s="8" t="n">
        <x:f>H1616-I1616*J1616</x:f>
        <x:v>0.8916608337972602</x:v>
      </x:c>
      <x:c r="L1616" s="8" t="n">
        <x:f>'PG facts'!E134</x:f>
        <x:v>-2</x:v>
      </x:c>
      <x:c r="M1616" s="8" t="n">
        <x:f>K1616-L1616</x:f>
        <x:v>2.8916608337972605</x:v>
      </x:c>
      <x:c r="N1616" s="8" t="n">
        <x:f>M1616^2</x:f>
        <x:v>8.361702377717068</x:v>
      </x:c>
      <x:c r="O1616" s="8" t="n">
        <x:f>ABS(M1616)</x:f>
        <x:v>2.8916608337972605</x:v>
      </x:c>
      <x:c r="P1616" s="7" t="n">
        <x:v>45954</x:v>
      </x:c>
    </x:row>
    <x:row r="1617" ht="26" customHeight="1">
      <x:c r="A1617" s="2"/>
      <x:c r="B1617" s="2" t="n">
        <x:v>1612</x:v>
      </x:c>
      <x:c r="C1617" s="2" t="str">
        <x:v>Health Care / organic_volume_growth</x:v>
      </x:c>
      <x:c r="D1617" s="7" t="n">
        <x:v>45930</x:v>
      </x:c>
      <x:c r="E1617" s="2" t="str">
        <x:v>Origin</x:v>
      </x:c>
      <x:c r="F1617" s="7" t="n">
        <x:v>45839</x:v>
      </x:c>
      <x:c r="G1617" s="2" t="str">
        <x:v>Broad rolling 8</x:v>
      </x:c>
      <x:c r="H1617" s="8" t="n">
        <x:f>'Model fits'!AA1057</x:f>
        <x:v>-0.7176932302151133</x:v>
      </x:c>
      <x:c r="I1617" s="8" t="n">
        <x:f>0</x:f>
        <x:v>0</x:v>
      </x:c>
      <x:c r="J1617" s="8" t="n">
        <x:v>0</x:v>
      </x:c>
      <x:c r="K1617" s="8" t="n">
        <x:f>H1617-I1617*J1617</x:f>
        <x:v>-0.7176932302151133</x:v>
      </x:c>
      <x:c r="L1617" s="8" t="n">
        <x:f>'PG facts'!E134</x:f>
        <x:v>-2</x:v>
      </x:c>
      <x:c r="M1617" s="8" t="n">
        <x:f>K1617-L1617</x:f>
        <x:v>1.2823067697848867</x:v>
      </x:c>
      <x:c r="N1617" s="8" t="n">
        <x:f>M1617^2</x:f>
        <x:v>1.6443106518361503</x:v>
      </x:c>
      <x:c r="O1617" s="8" t="n">
        <x:f>ABS(M1617)</x:f>
        <x:v>1.2823067697848867</x:v>
      </x:c>
      <x:c r="P1617" s="7" t="n">
        <x:v>45954</x:v>
      </x:c>
    </x:row>
    <x:row r="1618" ht="26" customHeight="1">
      <x:c r="A1618" s="2"/>
      <x:c r="B1618" s="2" t="n">
        <x:v>1613</x:v>
      </x:c>
      <x:c r="C1618" s="2" t="str">
        <x:v>Health Care / organic_volume_growth</x:v>
      </x:c>
      <x:c r="D1618" s="7" t="n">
        <x:v>45930</x:v>
      </x:c>
      <x:c r="E1618" s="2" t="str">
        <x:v>Origin</x:v>
      </x:c>
      <x:c r="F1618" s="7" t="n">
        <x:v>45839</x:v>
      </x:c>
      <x:c r="G1618" s="2" t="str">
        <x:v>Own history</x:v>
      </x:c>
      <x:c r="H1618" s="8" t="n">
        <x:f>'Model fits'!AA1058</x:f>
        <x:v>-0.2723948811700182</x:v>
      </x:c>
      <x:c r="I1618" s="8" t="n">
        <x:f>0</x:f>
        <x:v>0</x:v>
      </x:c>
      <x:c r="J1618" s="8" t="n">
        <x:v>0</x:v>
      </x:c>
      <x:c r="K1618" s="8" t="n">
        <x:f>H1618-I1618*J1618</x:f>
        <x:v>-0.2723948811700182</x:v>
      </x:c>
      <x:c r="L1618" s="8" t="n">
        <x:f>'PG facts'!E134</x:f>
        <x:v>-2</x:v>
      </x:c>
      <x:c r="M1618" s="8" t="n">
        <x:f>K1618-L1618</x:f>
        <x:v>1.727605118829982</x:v>
      </x:c>
      <x:c r="N1618" s="8" t="n">
        <x:f>M1618^2</x:f>
        <x:v>2.9846194466075557</x:v>
      </x:c>
      <x:c r="O1618" s="8" t="n">
        <x:f>ABS(M1618)</x:f>
        <x:v>1.727605118829982</x:v>
      </x:c>
      <x:c r="P1618" s="7" t="n">
        <x:v>45954</x:v>
      </x:c>
    </x:row>
    <x:row r="1619" ht="26" customHeight="1">
      <x:c r="A1619" s="2"/>
      <x:c r="B1619" s="2" t="n">
        <x:v>1614</x:v>
      </x:c>
      <x:c r="C1619" s="2" t="str">
        <x:v>Health Care / organic_volume_growth</x:v>
      </x:c>
      <x:c r="D1619" s="7" t="n">
        <x:v>45930</x:v>
      </x:c>
      <x:c r="E1619" s="2" t="str">
        <x:v>Prior report</x:v>
      </x:c>
      <x:c r="F1619" s="7" t="n">
        <x:v>45867</x:v>
      </x:c>
      <x:c r="G1619" s="2" t="str">
        <x:v>Last actual</x:v>
      </x:c>
      <x:c r="H1619" s="8" t="n">
        <x:f>AVERAGE('PG facts'!E127)</x:f>
        <x:v>-2</x:v>
      </x:c>
      <x:c r="I1619" s="8" t="n">
        <x:f>0</x:f>
        <x:v>0</x:v>
      </x:c>
      <x:c r="J1619" s="8" t="n">
        <x:v>0</x:v>
      </x:c>
      <x:c r="K1619" s="8" t="n">
        <x:f>H1619-I1619*J1619</x:f>
        <x:v>-2</x:v>
      </x:c>
      <x:c r="L1619" s="8" t="n">
        <x:f>'PG facts'!E134</x:f>
        <x:v>-2</x:v>
      </x:c>
      <x:c r="M1619" s="8" t="n">
        <x:f>K1619-L1619</x:f>
        <x:v>0</x:v>
      </x:c>
      <x:c r="N1619" s="8" t="n">
        <x:f>M1619^2</x:f>
        <x:v>0</x:v>
      </x:c>
      <x:c r="O1619" s="8" t="n">
        <x:f>ABS(M1619)</x:f>
        <x:v>0</x:v>
      </x:c>
      <x:c r="P1619" s="7" t="n">
        <x:v>45954</x:v>
      </x:c>
    </x:row>
    <x:row r="1620" ht="26" customHeight="1">
      <x:c r="A1620" s="2"/>
      <x:c r="B1620" s="2" t="n">
        <x:v>1615</x:v>
      </x:c>
      <x:c r="C1620" s="2" t="str">
        <x:v>Health Care / organic_volume_growth</x:v>
      </x:c>
      <x:c r="D1620" s="7" t="n">
        <x:v>45930</x:v>
      </x:c>
      <x:c r="E1620" s="2" t="str">
        <x:v>Prior report</x:v>
      </x:c>
      <x:c r="F1620" s="7" t="n">
        <x:v>45867</x:v>
      </x:c>
      <x:c r="G1620" s="2" t="str">
        <x:v>Four-quarter mean</x:v>
      </x:c>
      <x:c r="H1620" s="8" t="n">
        <x:f>AVERAGE('PG facts'!E106,'PG facts'!E113,'PG facts'!E120,'PG facts'!E127)</x:f>
        <x:v>-1</x:v>
      </x:c>
      <x:c r="I1620" s="8" t="n">
        <x:f>0</x:f>
        <x:v>0</x:v>
      </x:c>
      <x:c r="J1620" s="8" t="n">
        <x:v>0</x:v>
      </x:c>
      <x:c r="K1620" s="8" t="n">
        <x:f>H1620-I1620*J1620</x:f>
        <x:v>-1</x:v>
      </x:c>
      <x:c r="L1620" s="8" t="n">
        <x:f>'PG facts'!E134</x:f>
        <x:v>-2</x:v>
      </x:c>
      <x:c r="M1620" s="8" t="n">
        <x:f>K1620-L1620</x:f>
        <x:v>1</x:v>
      </x:c>
      <x:c r="N1620" s="8" t="n">
        <x:f>M1620^2</x:f>
        <x:v>1</x:v>
      </x:c>
      <x:c r="O1620" s="8" t="n">
        <x:f>ABS(M1620)</x:f>
        <x:v>1</x:v>
      </x:c>
      <x:c r="P1620" s="7" t="n">
        <x:v>45954</x:v>
      </x:c>
    </x:row>
    <x:row r="1621" ht="26" customHeight="1">
      <x:c r="A1621" s="2"/>
      <x:c r="B1621" s="2" t="n">
        <x:v>1616</x:v>
      </x:c>
      <x:c r="C1621" s="2" t="str">
        <x:v>Health Care / organic_volume_growth</x:v>
      </x:c>
      <x:c r="D1621" s="7" t="n">
        <x:v>45930</x:v>
      </x:c>
      <x:c r="E1621" s="2" t="str">
        <x:v>Prior report</x:v>
      </x:c>
      <x:c r="F1621" s="7" t="n">
        <x:v>45867</x:v>
      </x:c>
      <x:c r="G1621" s="2" t="str">
        <x:v>Broad market</x:v>
      </x:c>
      <x:c r="H1621" s="8" t="n">
        <x:f>'Model fits'!AA1059</x:f>
        <x:v>0.8916608337972602</x:v>
      </x:c>
      <x:c r="I1621" s="8" t="n">
        <x:f>0</x:f>
        <x:v>0</x:v>
      </x:c>
      <x:c r="J1621" s="8" t="n">
        <x:v>0</x:v>
      </x:c>
      <x:c r="K1621" s="8" t="n">
        <x:f>H1621-I1621*J1621</x:f>
        <x:v>0.8916608337972602</x:v>
      </x:c>
      <x:c r="L1621" s="8" t="n">
        <x:f>'PG facts'!E134</x:f>
        <x:v>-2</x:v>
      </x:c>
      <x:c r="M1621" s="8" t="n">
        <x:f>K1621-L1621</x:f>
        <x:v>2.8916608337972605</x:v>
      </x:c>
      <x:c r="N1621" s="8" t="n">
        <x:f>M1621^2</x:f>
        <x:v>8.361702377717068</x:v>
      </x:c>
      <x:c r="O1621" s="8" t="n">
        <x:f>ABS(M1621)</x:f>
        <x:v>2.8916608337972605</x:v>
      </x:c>
      <x:c r="P1621" s="7" t="n">
        <x:v>45954</x:v>
      </x:c>
    </x:row>
    <x:row r="1622" ht="26" customHeight="1">
      <x:c r="A1622" s="2"/>
      <x:c r="B1622" s="2" t="n">
        <x:v>1617</x:v>
      </x:c>
      <x:c r="C1622" s="2" t="str">
        <x:v>Health Care / organic_volume_growth</x:v>
      </x:c>
      <x:c r="D1622" s="7" t="n">
        <x:v>45930</x:v>
      </x:c>
      <x:c r="E1622" s="2" t="str">
        <x:v>Prior report</x:v>
      </x:c>
      <x:c r="F1622" s="7" t="n">
        <x:v>45867</x:v>
      </x:c>
      <x:c r="G1622" s="2" t="str">
        <x:v>Broad rolling 8</x:v>
      </x:c>
      <x:c r="H1622" s="8" t="n">
        <x:f>'Model fits'!AA1060</x:f>
        <x:v>-0.7176932302151133</x:v>
      </x:c>
      <x:c r="I1622" s="8" t="n">
        <x:f>0</x:f>
        <x:v>0</x:v>
      </x:c>
      <x:c r="J1622" s="8" t="n">
        <x:v>0</x:v>
      </x:c>
      <x:c r="K1622" s="8" t="n">
        <x:f>H1622-I1622*J1622</x:f>
        <x:v>-0.7176932302151133</x:v>
      </x:c>
      <x:c r="L1622" s="8" t="n">
        <x:f>'PG facts'!E134</x:f>
        <x:v>-2</x:v>
      </x:c>
      <x:c r="M1622" s="8" t="n">
        <x:f>K1622-L1622</x:f>
        <x:v>1.2823067697848867</x:v>
      </x:c>
      <x:c r="N1622" s="8" t="n">
        <x:f>M1622^2</x:f>
        <x:v>1.6443106518361503</x:v>
      </x:c>
      <x:c r="O1622" s="8" t="n">
        <x:f>ABS(M1622)</x:f>
        <x:v>1.2823067697848867</x:v>
      </x:c>
      <x:c r="P1622" s="7" t="n">
        <x:v>45954</x:v>
      </x:c>
    </x:row>
    <x:row r="1623" ht="26" customHeight="1">
      <x:c r="A1623" s="2"/>
      <x:c r="B1623" s="2" t="n">
        <x:v>1618</x:v>
      </x:c>
      <x:c r="C1623" s="2" t="str">
        <x:v>Health Care / organic_volume_growth</x:v>
      </x:c>
      <x:c r="D1623" s="7" t="n">
        <x:v>45930</x:v>
      </x:c>
      <x:c r="E1623" s="2" t="str">
        <x:v>Prior report</x:v>
      </x:c>
      <x:c r="F1623" s="7" t="n">
        <x:v>45867</x:v>
      </x:c>
      <x:c r="G1623" s="2" t="str">
        <x:v>Own history</x:v>
      </x:c>
      <x:c r="H1623" s="8" t="n">
        <x:f>'Model fits'!AA1061</x:f>
        <x:v>0.16164817749603794</x:v>
      </x:c>
      <x:c r="I1623" s="8" t="n">
        <x:f>0</x:f>
        <x:v>0</x:v>
      </x:c>
      <x:c r="J1623" s="8" t="n">
        <x:v>0</x:v>
      </x:c>
      <x:c r="K1623" s="8" t="n">
        <x:f>H1623-I1623*J1623</x:f>
        <x:v>0.16164817749603794</x:v>
      </x:c>
      <x:c r="L1623" s="8" t="n">
        <x:f>'PG facts'!E134</x:f>
        <x:v>-2</x:v>
      </x:c>
      <x:c r="M1623" s="8" t="n">
        <x:f>K1623-L1623</x:f>
        <x:v>2.161648177496038</x:v>
      </x:c>
      <x:c r="N1623" s="8" t="n">
        <x:f>M1623^2</x:f>
        <x:v>4.672722843271942</x:v>
      </x:c>
      <x:c r="O1623" s="8" t="n">
        <x:f>ABS(M1623)</x:f>
        <x:v>2.161648177496038</x:v>
      </x:c>
      <x:c r="P1623" s="7" t="n">
        <x:v>45954</x:v>
      </x:c>
    </x:row>
    <x:row r="1624" ht="26" customHeight="1">
      <x:c r="A1624" s="2"/>
      <x:c r="B1624" s="2" t="n">
        <x:v>1619</x:v>
      </x:c>
      <x:c r="C1624" s="2" t="str">
        <x:v>Health Care / organic_volume_growth</x:v>
      </x:c>
      <x:c r="D1624" s="7" t="n">
        <x:v>45930</x:v>
      </x:c>
      <x:c r="E1624" s="2" t="str">
        <x:v>Pre-earnings</x:v>
      </x:c>
      <x:c r="F1624" s="7" t="n">
        <x:v>45953</x:v>
      </x:c>
      <x:c r="G1624" s="2" t="str">
        <x:v>Last actual</x:v>
      </x:c>
      <x:c r="H1624" s="8" t="n">
        <x:f>AVERAGE('PG facts'!E127)</x:f>
        <x:v>-2</x:v>
      </x:c>
      <x:c r="I1624" s="8" t="n">
        <x:f>0</x:f>
        <x:v>0</x:v>
      </x:c>
      <x:c r="J1624" s="8" t="n">
        <x:v>0</x:v>
      </x:c>
      <x:c r="K1624" s="8" t="n">
        <x:f>H1624-I1624*J1624</x:f>
        <x:v>-2</x:v>
      </x:c>
      <x:c r="L1624" s="8" t="n">
        <x:f>'PG facts'!E134</x:f>
        <x:v>-2</x:v>
      </x:c>
      <x:c r="M1624" s="8" t="n">
        <x:f>K1624-L1624</x:f>
        <x:v>0</x:v>
      </x:c>
      <x:c r="N1624" s="8" t="n">
        <x:f>M1624^2</x:f>
        <x:v>0</x:v>
      </x:c>
      <x:c r="O1624" s="8" t="n">
        <x:f>ABS(M1624)</x:f>
        <x:v>0</x:v>
      </x:c>
      <x:c r="P1624" s="7" t="n">
        <x:v>45954</x:v>
      </x:c>
    </x:row>
    <x:row r="1625" ht="26" customHeight="1">
      <x:c r="A1625" s="2"/>
      <x:c r="B1625" s="2" t="n">
        <x:v>1620</x:v>
      </x:c>
      <x:c r="C1625" s="2" t="str">
        <x:v>Health Care / organic_volume_growth</x:v>
      </x:c>
      <x:c r="D1625" s="7" t="n">
        <x:v>45930</x:v>
      </x:c>
      <x:c r="E1625" s="2" t="str">
        <x:v>Pre-earnings</x:v>
      </x:c>
      <x:c r="F1625" s="7" t="n">
        <x:v>45953</x:v>
      </x:c>
      <x:c r="G1625" s="2" t="str">
        <x:v>Four-quarter mean</x:v>
      </x:c>
      <x:c r="H1625" s="8" t="n">
        <x:f>AVERAGE('PG facts'!E106,'PG facts'!E113,'PG facts'!E120,'PG facts'!E127)</x:f>
        <x:v>-1</x:v>
      </x:c>
      <x:c r="I1625" s="8" t="n">
        <x:f>0</x:f>
        <x:v>0</x:v>
      </x:c>
      <x:c r="J1625" s="8" t="n">
        <x:v>0</x:v>
      </x:c>
      <x:c r="K1625" s="8" t="n">
        <x:f>H1625-I1625*J1625</x:f>
        <x:v>-1</x:v>
      </x:c>
      <x:c r="L1625" s="8" t="n">
        <x:f>'PG facts'!E134</x:f>
        <x:v>-2</x:v>
      </x:c>
      <x:c r="M1625" s="8" t="n">
        <x:f>K1625-L1625</x:f>
        <x:v>1</x:v>
      </x:c>
      <x:c r="N1625" s="8" t="n">
        <x:f>M1625^2</x:f>
        <x:v>1</x:v>
      </x:c>
      <x:c r="O1625" s="8" t="n">
        <x:f>ABS(M1625)</x:f>
        <x:v>1</x:v>
      </x:c>
      <x:c r="P1625" s="7" t="n">
        <x:v>45954</x:v>
      </x:c>
    </x:row>
    <x:row r="1626" ht="26" customHeight="1">
      <x:c r="A1626" s="2"/>
      <x:c r="B1626" s="2" t="n">
        <x:v>1621</x:v>
      </x:c>
      <x:c r="C1626" s="2" t="str">
        <x:v>Health Care / organic_volume_growth</x:v>
      </x:c>
      <x:c r="D1626" s="7" t="n">
        <x:v>45930</x:v>
      </x:c>
      <x:c r="E1626" s="2" t="str">
        <x:v>Pre-earnings</x:v>
      </x:c>
      <x:c r="F1626" s="7" t="n">
        <x:v>45953</x:v>
      </x:c>
      <x:c r="G1626" s="2" t="str">
        <x:v>Broad market</x:v>
      </x:c>
      <x:c r="H1626" s="8" t="n">
        <x:f>'Model fits'!AA1062</x:f>
        <x:v>1.004868663765909</x:v>
      </x:c>
      <x:c r="I1626" s="8" t="n">
        <x:f>0</x:f>
        <x:v>0</x:v>
      </x:c>
      <x:c r="J1626" s="8" t="n">
        <x:v>0</x:v>
      </x:c>
      <x:c r="K1626" s="8" t="n">
        <x:f>H1626-I1626*J1626</x:f>
        <x:v>1.004868663765909</x:v>
      </x:c>
      <x:c r="L1626" s="8" t="n">
        <x:f>'PG facts'!E134</x:f>
        <x:v>-2</x:v>
      </x:c>
      <x:c r="M1626" s="8" t="n">
        <x:f>K1626-L1626</x:f>
        <x:v>3.004868663765909</x:v>
      </x:c>
      <x:c r="N1626" s="8" t="n">
        <x:f>M1626^2</x:f>
        <x:v>9.02923568648232</x:v>
      </x:c>
      <x:c r="O1626" s="8" t="n">
        <x:f>ABS(M1626)</x:f>
        <x:v>3.004868663765909</x:v>
      </x:c>
      <x:c r="P1626" s="7" t="n">
        <x:v>45954</x:v>
      </x:c>
    </x:row>
    <x:row r="1627" ht="26" customHeight="1">
      <x:c r="A1627" s="2"/>
      <x:c r="B1627" s="2" t="n">
        <x:v>1622</x:v>
      </x:c>
      <x:c r="C1627" s="2" t="str">
        <x:v>Health Care / organic_volume_growth</x:v>
      </x:c>
      <x:c r="D1627" s="7" t="n">
        <x:v>45930</x:v>
      </x:c>
      <x:c r="E1627" s="2" t="str">
        <x:v>Pre-earnings</x:v>
      </x:c>
      <x:c r="F1627" s="7" t="n">
        <x:v>45953</x:v>
      </x:c>
      <x:c r="G1627" s="2" t="str">
        <x:v>Broad lag 1</x:v>
      </x:c>
      <x:c r="H1627" s="8" t="n">
        <x:f>'Model fits'!AA1063</x:f>
        <x:v>0.9640002423349814</x:v>
      </x:c>
      <x:c r="I1627" s="8" t="n">
        <x:f>0</x:f>
        <x:v>0</x:v>
      </x:c>
      <x:c r="J1627" s="8" t="n">
        <x:v>0</x:v>
      </x:c>
      <x:c r="K1627" s="8" t="n">
        <x:f>H1627-I1627*J1627</x:f>
        <x:v>0.9640002423349814</x:v>
      </x:c>
      <x:c r="L1627" s="8" t="n">
        <x:f>'PG facts'!E134</x:f>
        <x:v>-2</x:v>
      </x:c>
      <x:c r="M1627" s="8" t="n">
        <x:f>K1627-L1627</x:f>
        <x:v>2.9640002423349814</x:v>
      </x:c>
      <x:c r="N1627" s="8" t="n">
        <x:f>M1627^2</x:f>
        <x:v>8.785297436561828</x:v>
      </x:c>
      <x:c r="O1627" s="8" t="n">
        <x:f>ABS(M1627)</x:f>
        <x:v>2.9640002423349814</x:v>
      </x:c>
      <x:c r="P1627" s="7" t="n">
        <x:v>45954</x:v>
      </x:c>
    </x:row>
    <x:row r="1628" ht="26" customHeight="1">
      <x:c r="A1628" s="2"/>
      <x:c r="B1628" s="2" t="n">
        <x:v>1623</x:v>
      </x:c>
      <x:c r="C1628" s="2" t="str">
        <x:v>Health Care / organic_volume_growth</x:v>
      </x:c>
      <x:c r="D1628" s="7" t="n">
        <x:v>45930</x:v>
      </x:c>
      <x:c r="E1628" s="2" t="str">
        <x:v>Pre-earnings</x:v>
      </x:c>
      <x:c r="F1628" s="7" t="n">
        <x:v>45953</x:v>
      </x:c>
      <x:c r="G1628" s="2" t="str">
        <x:v>Broad rolling 8</x:v>
      </x:c>
      <x:c r="H1628" s="8" t="n">
        <x:f>'Model fits'!AA1064</x:f>
        <x:v>-1.2339428865144106</x:v>
      </x:c>
      <x:c r="I1628" s="8" t="n">
        <x:f>0</x:f>
        <x:v>0</x:v>
      </x:c>
      <x:c r="J1628" s="8" t="n">
        <x:v>0</x:v>
      </x:c>
      <x:c r="K1628" s="8" t="n">
        <x:f>H1628-I1628*J1628</x:f>
        <x:v>-1.2339428865144106</x:v>
      </x:c>
      <x:c r="L1628" s="8" t="n">
        <x:f>'PG facts'!E134</x:f>
        <x:v>-2</x:v>
      </x:c>
      <x:c r="M1628" s="8" t="n">
        <x:f>K1628-L1628</x:f>
        <x:v>0.7660571134855894</x:v>
      </x:c>
      <x:c r="N1628" s="8" t="n">
        <x:f>M1628^2</x:f>
        <x:v>0.5868435011218731</x:v>
      </x:c>
      <x:c r="O1628" s="8" t="n">
        <x:f>ABS(M1628)</x:f>
        <x:v>0.7660571134855894</x:v>
      </x:c>
      <x:c r="P1628" s="7" t="n">
        <x:v>45954</x:v>
      </x:c>
    </x:row>
    <x:row r="1629" ht="26" customHeight="1">
      <x:c r="A1629" s="2"/>
      <x:c r="B1629" s="2" t="n">
        <x:v>1624</x:v>
      </x:c>
      <x:c r="C1629" s="2" t="str">
        <x:v>Health Care / organic_volume_growth</x:v>
      </x:c>
      <x:c r="D1629" s="7" t="n">
        <x:v>45930</x:v>
      </x:c>
      <x:c r="E1629" s="2" t="str">
        <x:v>Pre-earnings</x:v>
      </x:c>
      <x:c r="F1629" s="7" t="n">
        <x:v>45953</x:v>
      </x:c>
      <x:c r="G1629" s="2" t="str">
        <x:v>Own history</x:v>
      </x:c>
      <x:c r="H1629" s="8" t="n">
        <x:f>'Model fits'!AA1065</x:f>
        <x:v>0.16164817749603794</x:v>
      </x:c>
      <x:c r="I1629" s="8" t="n">
        <x:f>0</x:f>
        <x:v>0</x:v>
      </x:c>
      <x:c r="J1629" s="8" t="n">
        <x:v>0</x:v>
      </x:c>
      <x:c r="K1629" s="8" t="n">
        <x:f>H1629-I1629*J1629</x:f>
        <x:v>0.16164817749603794</x:v>
      </x:c>
      <x:c r="L1629" s="8" t="n">
        <x:f>'PG facts'!E134</x:f>
        <x:v>-2</x:v>
      </x:c>
      <x:c r="M1629" s="8" t="n">
        <x:f>K1629-L1629</x:f>
        <x:v>2.161648177496038</x:v>
      </x:c>
      <x:c r="N1629" s="8" t="n">
        <x:f>M1629^2</x:f>
        <x:v>4.672722843271942</x:v>
      </x:c>
      <x:c r="O1629" s="8" t="n">
        <x:f>ABS(M1629)</x:f>
        <x:v>2.161648177496038</x:v>
      </x:c>
      <x:c r="P1629" s="7" t="n">
        <x:v>45954</x:v>
      </x:c>
    </x:row>
    <x:row r="1630" ht="26" customHeight="1">
      <x:c r="A1630" s="2"/>
      <x:c r="B1630" s="2" t="n">
        <x:v>1625</x:v>
      </x:c>
      <x:c r="C1630" s="2" t="str">
        <x:v>Health Care / organic_volume_growth</x:v>
      </x:c>
      <x:c r="D1630" s="7" t="n">
        <x:v>46022</x:v>
      </x:c>
      <x:c r="E1630" s="2" t="str">
        <x:v>Origin</x:v>
      </x:c>
      <x:c r="F1630" s="7" t="n">
        <x:v>45931</x:v>
      </x:c>
      <x:c r="G1630" s="2" t="str">
        <x:v>Last actual</x:v>
      </x:c>
      <x:c r="H1630" s="8" t="n">
        <x:f>AVERAGE('PG facts'!E127)</x:f>
        <x:v>-2</x:v>
      </x:c>
      <x:c r="I1630" s="8" t="n">
        <x:f>0</x:f>
        <x:v>0</x:v>
      </x:c>
      <x:c r="J1630" s="8" t="n">
        <x:v>0</x:v>
      </x:c>
      <x:c r="K1630" s="8" t="n">
        <x:f>H1630-I1630*J1630</x:f>
        <x:v>-2</x:v>
      </x:c>
      <x:c r="L1630" s="8" t="n">
        <x:f>'PG facts'!E141</x:f>
        <x:v>-1</x:v>
      </x:c>
      <x:c r="M1630" s="8" t="n">
        <x:f>K1630-L1630</x:f>
        <x:v>-1</x:v>
      </x:c>
      <x:c r="N1630" s="8" t="n">
        <x:f>M1630^2</x:f>
        <x:v>1</x:v>
      </x:c>
      <x:c r="O1630" s="8" t="n">
        <x:f>ABS(M1630)</x:f>
        <x:v>1</x:v>
      </x:c>
      <x:c r="P1630" s="7" t="n">
        <x:v>46045</x:v>
      </x:c>
    </x:row>
    <x:row r="1631" ht="26" customHeight="1">
      <x:c r="A1631" s="2"/>
      <x:c r="B1631" s="2" t="n">
        <x:v>1626</x:v>
      </x:c>
      <x:c r="C1631" s="2" t="str">
        <x:v>Health Care / organic_volume_growth</x:v>
      </x:c>
      <x:c r="D1631" s="7" t="n">
        <x:v>46022</x:v>
      </x:c>
      <x:c r="E1631" s="2" t="str">
        <x:v>Origin</x:v>
      </x:c>
      <x:c r="F1631" s="7" t="n">
        <x:v>45931</x:v>
      </x:c>
      <x:c r="G1631" s="2" t="str">
        <x:v>Four-quarter mean</x:v>
      </x:c>
      <x:c r="H1631" s="8" t="n">
        <x:f>AVERAGE('PG facts'!E106,'PG facts'!E113,'PG facts'!E120,'PG facts'!E127)</x:f>
        <x:v>-1</x:v>
      </x:c>
      <x:c r="I1631" s="8" t="n">
        <x:f>0</x:f>
        <x:v>0</x:v>
      </x:c>
      <x:c r="J1631" s="8" t="n">
        <x:v>0</x:v>
      </x:c>
      <x:c r="K1631" s="8" t="n">
        <x:f>H1631-I1631*J1631</x:f>
        <x:v>-1</x:v>
      </x:c>
      <x:c r="L1631" s="8" t="n">
        <x:f>'PG facts'!E141</x:f>
        <x:v>-1</x:v>
      </x:c>
      <x:c r="M1631" s="8" t="n">
        <x:f>K1631-L1631</x:f>
        <x:v>0</x:v>
      </x:c>
      <x:c r="N1631" s="8" t="n">
        <x:f>M1631^2</x:f>
        <x:v>0</x:v>
      </x:c>
      <x:c r="O1631" s="8" t="n">
        <x:f>ABS(M1631)</x:f>
        <x:v>0</x:v>
      </x:c>
      <x:c r="P1631" s="7" t="n">
        <x:v>46045</x:v>
      </x:c>
    </x:row>
    <x:row r="1632" ht="26" customHeight="1">
      <x:c r="A1632" s="2"/>
      <x:c r="B1632" s="2" t="n">
        <x:v>1627</x:v>
      </x:c>
      <x:c r="C1632" s="2" t="str">
        <x:v>Health Care / organic_volume_growth</x:v>
      </x:c>
      <x:c r="D1632" s="7" t="n">
        <x:v>46022</x:v>
      </x:c>
      <x:c r="E1632" s="2" t="str">
        <x:v>Origin</x:v>
      </x:c>
      <x:c r="F1632" s="7" t="n">
        <x:v>45931</x:v>
      </x:c>
      <x:c r="G1632" s="2" t="str">
        <x:v>Broad market</x:v>
      </x:c>
      <x:c r="H1632" s="8" t="n">
        <x:f>'Model fits'!AA1066</x:f>
        <x:v>1.013831135976755</x:v>
      </x:c>
      <x:c r="I1632" s="8" t="n">
        <x:f>0</x:f>
        <x:v>0</x:v>
      </x:c>
      <x:c r="J1632" s="8" t="n">
        <x:v>0</x:v>
      </x:c>
      <x:c r="K1632" s="8" t="n">
        <x:f>H1632-I1632*J1632</x:f>
        <x:v>1.013831135976755</x:v>
      </x:c>
      <x:c r="L1632" s="8" t="n">
        <x:f>'PG facts'!E141</x:f>
        <x:v>-1</x:v>
      </x:c>
      <x:c r="M1632" s="8" t="n">
        <x:f>K1632-L1632</x:f>
        <x:v>2.013831135976755</x:v>
      </x:c>
      <x:c r="N1632" s="8" t="n">
        <x:f>M1632^2</x:f>
        <x:v>4.0555158442294275</x:v>
      </x:c>
      <x:c r="O1632" s="8" t="n">
        <x:f>ABS(M1632)</x:f>
        <x:v>2.013831135976755</x:v>
      </x:c>
      <x:c r="P1632" s="7" t="n">
        <x:v>46045</x:v>
      </x:c>
    </x:row>
    <x:row r="1633" ht="26" customHeight="1">
      <x:c r="A1633" s="2"/>
      <x:c r="B1633" s="2" t="n">
        <x:v>1628</x:v>
      </x:c>
      <x:c r="C1633" s="2" t="str">
        <x:v>Health Care / organic_volume_growth</x:v>
      </x:c>
      <x:c r="D1633" s="7" t="n">
        <x:v>46022</x:v>
      </x:c>
      <x:c r="E1633" s="2" t="str">
        <x:v>Origin</x:v>
      </x:c>
      <x:c r="F1633" s="7" t="n">
        <x:v>45931</x:v>
      </x:c>
      <x:c r="G1633" s="2" t="str">
        <x:v>Broad rolling 8</x:v>
      </x:c>
      <x:c r="H1633" s="8" t="n">
        <x:f>'Model fits'!AA1067</x:f>
        <x:v>-1.2353525467947062</x:v>
      </x:c>
      <x:c r="I1633" s="8" t="n">
        <x:f>0</x:f>
        <x:v>0</x:v>
      </x:c>
      <x:c r="J1633" s="8" t="n">
        <x:v>0</x:v>
      </x:c>
      <x:c r="K1633" s="8" t="n">
        <x:f>H1633-I1633*J1633</x:f>
        <x:v>-1.2353525467947062</x:v>
      </x:c>
      <x:c r="L1633" s="8" t="n">
        <x:f>'PG facts'!E141</x:f>
        <x:v>-1</x:v>
      </x:c>
      <x:c r="M1633" s="8" t="n">
        <x:f>K1633-L1633</x:f>
        <x:v>-0.23535254679470619</x:v>
      </x:c>
      <x:c r="N1633" s="8" t="n">
        <x:f>M1633^2</x:f>
        <x:v>0.05539082128275436</x:v>
      </x:c>
      <x:c r="O1633" s="8" t="n">
        <x:f>ABS(M1633)</x:f>
        <x:v>0.23535254679470619</x:v>
      </x:c>
      <x:c r="P1633" s="7" t="n">
        <x:v>46045</x:v>
      </x:c>
    </x:row>
    <x:row r="1634" ht="26" customHeight="1">
      <x:c r="A1634" s="2"/>
      <x:c r="B1634" s="2" t="n">
        <x:v>1629</x:v>
      </x:c>
      <x:c r="C1634" s="2" t="str">
        <x:v>Health Care / organic_volume_growth</x:v>
      </x:c>
      <x:c r="D1634" s="7" t="n">
        <x:v>46022</x:v>
      </x:c>
      <x:c r="E1634" s="2" t="str">
        <x:v>Origin</x:v>
      </x:c>
      <x:c r="F1634" s="7" t="n">
        <x:v>45931</x:v>
      </x:c>
      <x:c r="G1634" s="2" t="str">
        <x:v>Own history</x:v>
      </x:c>
      <x:c r="H1634" s="8" t="n">
        <x:f>'Model fits'!AA1068</x:f>
        <x:v>-0.637294644762108</x:v>
      </x:c>
      <x:c r="I1634" s="8" t="n">
        <x:f>0</x:f>
        <x:v>0</x:v>
      </x:c>
      <x:c r="J1634" s="8" t="n">
        <x:v>0</x:v>
      </x:c>
      <x:c r="K1634" s="8" t="n">
        <x:f>H1634-I1634*J1634</x:f>
        <x:v>-0.637294644762108</x:v>
      </x:c>
      <x:c r="L1634" s="8" t="n">
        <x:f>'PG facts'!E141</x:f>
        <x:v>-1</x:v>
      </x:c>
      <x:c r="M1634" s="8" t="n">
        <x:f>K1634-L1634</x:f>
        <x:v>0.36270535523789205</x:v>
      </x:c>
      <x:c r="N1634" s="8" t="n">
        <x:f>M1634^2</x:f>
        <x:v>0.13155517471824546</x:v>
      </x:c>
      <x:c r="O1634" s="8" t="n">
        <x:f>ABS(M1634)</x:f>
        <x:v>0.36270535523789205</x:v>
      </x:c>
      <x:c r="P1634" s="7" t="n">
        <x:v>46045</x:v>
      </x:c>
    </x:row>
    <x:row r="1635" ht="26" customHeight="1">
      <x:c r="A1635" s="2"/>
      <x:c r="B1635" s="2" t="n">
        <x:v>1630</x:v>
      </x:c>
      <x:c r="C1635" s="2" t="str">
        <x:v>Health Care / organic_volume_growth</x:v>
      </x:c>
      <x:c r="D1635" s="7" t="n">
        <x:v>46022</x:v>
      </x:c>
      <x:c r="E1635" s="2" t="str">
        <x:v>Prior report</x:v>
      </x:c>
      <x:c r="F1635" s="7" t="n">
        <x:v>45954</x:v>
      </x:c>
      <x:c r="G1635" s="2" t="str">
        <x:v>Last actual</x:v>
      </x:c>
      <x:c r="H1635" s="8" t="n">
        <x:f>AVERAGE('PG facts'!E134)</x:f>
        <x:v>-2</x:v>
      </x:c>
      <x:c r="I1635" s="8" t="n">
        <x:f>0</x:f>
        <x:v>0</x:v>
      </x:c>
      <x:c r="J1635" s="8" t="n">
        <x:v>0</x:v>
      </x:c>
      <x:c r="K1635" s="8" t="n">
        <x:f>H1635-I1635*J1635</x:f>
        <x:v>-2</x:v>
      </x:c>
      <x:c r="L1635" s="8" t="n">
        <x:f>'PG facts'!E141</x:f>
        <x:v>-1</x:v>
      </x:c>
      <x:c r="M1635" s="8" t="n">
        <x:f>K1635-L1635</x:f>
        <x:v>-1</x:v>
      </x:c>
      <x:c r="N1635" s="8" t="n">
        <x:f>M1635^2</x:f>
        <x:v>1</x:v>
      </x:c>
      <x:c r="O1635" s="8" t="n">
        <x:f>ABS(M1635)</x:f>
        <x:v>1</x:v>
      </x:c>
      <x:c r="P1635" s="7" t="n">
        <x:v>46045</x:v>
      </x:c>
    </x:row>
    <x:row r="1636" ht="26" customHeight="1">
      <x:c r="A1636" s="2"/>
      <x:c r="B1636" s="2" t="n">
        <x:v>1631</x:v>
      </x:c>
      <x:c r="C1636" s="2" t="str">
        <x:v>Health Care / organic_volume_growth</x:v>
      </x:c>
      <x:c r="D1636" s="7" t="n">
        <x:v>46022</x:v>
      </x:c>
      <x:c r="E1636" s="2" t="str">
        <x:v>Prior report</x:v>
      </x:c>
      <x:c r="F1636" s="7" t="n">
        <x:v>45954</x:v>
      </x:c>
      <x:c r="G1636" s="2" t="str">
        <x:v>Four-quarter mean</x:v>
      </x:c>
      <x:c r="H1636" s="8" t="n">
        <x:f>AVERAGE('PG facts'!E113,'PG facts'!E120,'PG facts'!E127,'PG facts'!E134)</x:f>
        <x:v>-1.25</x:v>
      </x:c>
      <x:c r="I1636" s="8" t="n">
        <x:f>0</x:f>
        <x:v>0</x:v>
      </x:c>
      <x:c r="J1636" s="8" t="n">
        <x:v>0</x:v>
      </x:c>
      <x:c r="K1636" s="8" t="n">
        <x:f>H1636-I1636*J1636</x:f>
        <x:v>-1.25</x:v>
      </x:c>
      <x:c r="L1636" s="8" t="n">
        <x:f>'PG facts'!E141</x:f>
        <x:v>-1</x:v>
      </x:c>
      <x:c r="M1636" s="8" t="n">
        <x:f>K1636-L1636</x:f>
        <x:v>-0.25</x:v>
      </x:c>
      <x:c r="N1636" s="8" t="n">
        <x:f>M1636^2</x:f>
        <x:v>0.0625</x:v>
      </x:c>
      <x:c r="O1636" s="8" t="n">
        <x:f>ABS(M1636)</x:f>
        <x:v>0.25</x:v>
      </x:c>
      <x:c r="P1636" s="7" t="n">
        <x:v>46045</x:v>
      </x:c>
    </x:row>
    <x:row r="1637" ht="26" customHeight="1">
      <x:c r="A1637" s="2"/>
      <x:c r="B1637" s="2" t="n">
        <x:v>1632</x:v>
      </x:c>
      <x:c r="C1637" s="2" t="str">
        <x:v>Health Care / organic_volume_growth</x:v>
      </x:c>
      <x:c r="D1637" s="7" t="n">
        <x:v>46022</x:v>
      </x:c>
      <x:c r="E1637" s="2" t="str">
        <x:v>Prior report</x:v>
      </x:c>
      <x:c r="F1637" s="7" t="n">
        <x:v>45954</x:v>
      </x:c>
      <x:c r="G1637" s="2" t="str">
        <x:v>Broad market</x:v>
      </x:c>
      <x:c r="H1637" s="8" t="n">
        <x:f>'Model fits'!AA1069</x:f>
        <x:v>1.013831135976755</x:v>
      </x:c>
      <x:c r="I1637" s="8" t="n">
        <x:f>0</x:f>
        <x:v>0</x:v>
      </x:c>
      <x:c r="J1637" s="8" t="n">
        <x:v>0</x:v>
      </x:c>
      <x:c r="K1637" s="8" t="n">
        <x:f>H1637-I1637*J1637</x:f>
        <x:v>1.013831135976755</x:v>
      </x:c>
      <x:c r="L1637" s="8" t="n">
        <x:f>'PG facts'!E141</x:f>
        <x:v>-1</x:v>
      </x:c>
      <x:c r="M1637" s="8" t="n">
        <x:f>K1637-L1637</x:f>
        <x:v>2.013831135976755</x:v>
      </x:c>
      <x:c r="N1637" s="8" t="n">
        <x:f>M1637^2</x:f>
        <x:v>4.0555158442294275</x:v>
      </x:c>
      <x:c r="O1637" s="8" t="n">
        <x:f>ABS(M1637)</x:f>
        <x:v>2.013831135976755</x:v>
      </x:c>
      <x:c r="P1637" s="7" t="n">
        <x:v>46045</x:v>
      </x:c>
    </x:row>
    <x:row r="1638" ht="26" customHeight="1">
      <x:c r="A1638" s="2"/>
      <x:c r="B1638" s="2" t="n">
        <x:v>1633</x:v>
      </x:c>
      <x:c r="C1638" s="2" t="str">
        <x:v>Health Care / organic_volume_growth</x:v>
      </x:c>
      <x:c r="D1638" s="7" t="n">
        <x:v>46022</x:v>
      </x:c>
      <x:c r="E1638" s="2" t="str">
        <x:v>Prior report</x:v>
      </x:c>
      <x:c r="F1638" s="7" t="n">
        <x:v>45954</x:v>
      </x:c>
      <x:c r="G1638" s="2" t="str">
        <x:v>Broad rolling 8</x:v>
      </x:c>
      <x:c r="H1638" s="8" t="n">
        <x:f>'Model fits'!AA1070</x:f>
        <x:v>-1.2353525467947062</x:v>
      </x:c>
      <x:c r="I1638" s="8" t="n">
        <x:f>0</x:f>
        <x:v>0</x:v>
      </x:c>
      <x:c r="J1638" s="8" t="n">
        <x:v>0</x:v>
      </x:c>
      <x:c r="K1638" s="8" t="n">
        <x:f>H1638-I1638*J1638</x:f>
        <x:v>-1.2353525467947062</x:v>
      </x:c>
      <x:c r="L1638" s="8" t="n">
        <x:f>'PG facts'!E141</x:f>
        <x:v>-1</x:v>
      </x:c>
      <x:c r="M1638" s="8" t="n">
        <x:f>K1638-L1638</x:f>
        <x:v>-0.23535254679470619</x:v>
      </x:c>
      <x:c r="N1638" s="8" t="n">
        <x:f>M1638^2</x:f>
        <x:v>0.05539082128275436</x:v>
      </x:c>
      <x:c r="O1638" s="8" t="n">
        <x:f>ABS(M1638)</x:f>
        <x:v>0.23535254679470619</x:v>
      </x:c>
      <x:c r="P1638" s="7" t="n">
        <x:v>46045</x:v>
      </x:c>
    </x:row>
    <x:row r="1639" ht="26" customHeight="1">
      <x:c r="A1639" s="2"/>
      <x:c r="B1639" s="2" t="n">
        <x:v>1634</x:v>
      </x:c>
      <x:c r="C1639" s="2" t="str">
        <x:v>Health Care / organic_volume_growth</x:v>
      </x:c>
      <x:c r="D1639" s="7" t="n">
        <x:v>46022</x:v>
      </x:c>
      <x:c r="E1639" s="2" t="str">
        <x:v>Prior report</x:v>
      </x:c>
      <x:c r="F1639" s="7" t="n">
        <x:v>45954</x:v>
      </x:c>
      <x:c r="G1639" s="2" t="str">
        <x:v>Own history</x:v>
      </x:c>
      <x:c r="H1639" s="8" t="n">
        <x:f>'Model fits'!AA1071</x:f>
        <x:v>-0.01310997815003656</x:v>
      </x:c>
      <x:c r="I1639" s="8" t="n">
        <x:f>0</x:f>
        <x:v>0</x:v>
      </x:c>
      <x:c r="J1639" s="8" t="n">
        <x:v>0</x:v>
      </x:c>
      <x:c r="K1639" s="8" t="n">
        <x:f>H1639-I1639*J1639</x:f>
        <x:v>-0.01310997815003656</x:v>
      </x:c>
      <x:c r="L1639" s="8" t="n">
        <x:f>'PG facts'!E141</x:f>
        <x:v>-1</x:v>
      </x:c>
      <x:c r="M1639" s="8" t="n">
        <x:f>K1639-L1639</x:f>
        <x:v>0.9868900218499634</x:v>
      </x:c>
      <x:c r="N1639" s="8" t="n">
        <x:f>M1639^2</x:f>
        <x:v>0.9739519152270213</x:v>
      </x:c>
      <x:c r="O1639" s="8" t="n">
        <x:f>ABS(M1639)</x:f>
        <x:v>0.9868900218499634</x:v>
      </x:c>
      <x:c r="P1639" s="7" t="n">
        <x:v>46045</x:v>
      </x:c>
    </x:row>
    <x:row r="1640" ht="26" customHeight="1">
      <x:c r="A1640" s="2"/>
      <x:c r="B1640" s="2" t="n">
        <x:v>1635</x:v>
      </x:c>
      <x:c r="C1640" s="2" t="str">
        <x:v>Health Care / organic_volume_growth</x:v>
      </x:c>
      <x:c r="D1640" s="7" t="n">
        <x:v>46022</x:v>
      </x:c>
      <x:c r="E1640" s="2" t="str">
        <x:v>Pre-earnings</x:v>
      </x:c>
      <x:c r="F1640" s="7" t="n">
        <x:v>46044</x:v>
      </x:c>
      <x:c r="G1640" s="2" t="str">
        <x:v>Last actual</x:v>
      </x:c>
      <x:c r="H1640" s="8" t="n">
        <x:f>AVERAGE('PG facts'!E134)</x:f>
        <x:v>-2</x:v>
      </x:c>
      <x:c r="I1640" s="8" t="n">
        <x:f>0</x:f>
        <x:v>0</x:v>
      </x:c>
      <x:c r="J1640" s="8" t="n">
        <x:v>0</x:v>
      </x:c>
      <x:c r="K1640" s="8" t="n">
        <x:f>H1640-I1640*J1640</x:f>
        <x:v>-2</x:v>
      </x:c>
      <x:c r="L1640" s="8" t="n">
        <x:f>'PG facts'!E141</x:f>
        <x:v>-1</x:v>
      </x:c>
      <x:c r="M1640" s="8" t="n">
        <x:f>K1640-L1640</x:f>
        <x:v>-1</x:v>
      </x:c>
      <x:c r="N1640" s="8" t="n">
        <x:f>M1640^2</x:f>
        <x:v>1</x:v>
      </x:c>
      <x:c r="O1640" s="8" t="n">
        <x:f>ABS(M1640)</x:f>
        <x:v>1</x:v>
      </x:c>
      <x:c r="P1640" s="7" t="n">
        <x:v>46045</x:v>
      </x:c>
    </x:row>
    <x:row r="1641" ht="26" customHeight="1">
      <x:c r="A1641" s="2"/>
      <x:c r="B1641" s="2" t="n">
        <x:v>1636</x:v>
      </x:c>
      <x:c r="C1641" s="2" t="str">
        <x:v>Health Care / organic_volume_growth</x:v>
      </x:c>
      <x:c r="D1641" s="7" t="n">
        <x:v>46022</x:v>
      </x:c>
      <x:c r="E1641" s="2" t="str">
        <x:v>Pre-earnings</x:v>
      </x:c>
      <x:c r="F1641" s="7" t="n">
        <x:v>46044</x:v>
      </x:c>
      <x:c r="G1641" s="2" t="str">
        <x:v>Four-quarter mean</x:v>
      </x:c>
      <x:c r="H1641" s="8" t="n">
        <x:f>AVERAGE('PG facts'!E113,'PG facts'!E120,'PG facts'!E127,'PG facts'!E134)</x:f>
        <x:v>-1.25</x:v>
      </x:c>
      <x:c r="I1641" s="8" t="n">
        <x:f>0</x:f>
        <x:v>0</x:v>
      </x:c>
      <x:c r="J1641" s="8" t="n">
        <x:v>0</x:v>
      </x:c>
      <x:c r="K1641" s="8" t="n">
        <x:f>H1641-I1641*J1641</x:f>
        <x:v>-1.25</x:v>
      </x:c>
      <x:c r="L1641" s="8" t="n">
        <x:f>'PG facts'!E141</x:f>
        <x:v>-1</x:v>
      </x:c>
      <x:c r="M1641" s="8" t="n">
        <x:f>K1641-L1641</x:f>
        <x:v>-0.25</x:v>
      </x:c>
      <x:c r="N1641" s="8" t="n">
        <x:f>M1641^2</x:f>
        <x:v>0.0625</x:v>
      </x:c>
      <x:c r="O1641" s="8" t="n">
        <x:f>ABS(M1641)</x:f>
        <x:v>0.25</x:v>
      </x:c>
      <x:c r="P1641" s="7" t="n">
        <x:v>46045</x:v>
      </x:c>
    </x:row>
    <x:row r="1642" ht="26" customHeight="1">
      <x:c r="A1642" s="2"/>
      <x:c r="B1642" s="2" t="n">
        <x:v>1637</x:v>
      </x:c>
      <x:c r="C1642" s="2" t="str">
        <x:v>Health Care / organic_volume_growth</x:v>
      </x:c>
      <x:c r="D1642" s="7" t="n">
        <x:v>46022</x:v>
      </x:c>
      <x:c r="E1642" s="2" t="str">
        <x:v>Pre-earnings</x:v>
      </x:c>
      <x:c r="F1642" s="7" t="n">
        <x:v>46044</x:v>
      </x:c>
      <x:c r="G1642" s="2" t="str">
        <x:v>Broad market</x:v>
      </x:c>
      <x:c r="H1642" s="8" t="n">
        <x:f>'Model fits'!AA1072</x:f>
        <x:v>0.55871347731186</x:v>
      </x:c>
      <x:c r="I1642" s="8" t="n">
        <x:f>0</x:f>
        <x:v>0</x:v>
      </x:c>
      <x:c r="J1642" s="8" t="n">
        <x:v>0</x:v>
      </x:c>
      <x:c r="K1642" s="8" t="n">
        <x:f>H1642-I1642*J1642</x:f>
        <x:v>0.55871347731186</x:v>
      </x:c>
      <x:c r="L1642" s="8" t="n">
        <x:f>'PG facts'!E141</x:f>
        <x:v>-1</x:v>
      </x:c>
      <x:c r="M1642" s="8" t="n">
        <x:f>K1642-L1642</x:f>
        <x:v>1.55871347731186</x:v>
      </x:c>
      <x:c r="N1642" s="8" t="n">
        <x:f>M1642^2</x:f>
        <x:v>2.4295877043536303</x:v>
      </x:c>
      <x:c r="O1642" s="8" t="n">
        <x:f>ABS(M1642)</x:f>
        <x:v>1.55871347731186</x:v>
      </x:c>
      <x:c r="P1642" s="7" t="n">
        <x:v>46045</x:v>
      </x:c>
    </x:row>
    <x:row r="1643" ht="26" customHeight="1">
      <x:c r="A1643" s="2"/>
      <x:c r="B1643" s="2" t="n">
        <x:v>1638</x:v>
      </x:c>
      <x:c r="C1643" s="2" t="str">
        <x:v>Health Care / organic_volume_growth</x:v>
      </x:c>
      <x:c r="D1643" s="7" t="n">
        <x:v>46022</x:v>
      </x:c>
      <x:c r="E1643" s="2" t="str">
        <x:v>Pre-earnings</x:v>
      </x:c>
      <x:c r="F1643" s="7" t="n">
        <x:v>46044</x:v>
      </x:c>
      <x:c r="G1643" s="2" t="str">
        <x:v>Broad lag 1</x:v>
      </x:c>
      <x:c r="H1643" s="8" t="n">
        <x:f>'Model fits'!AA1073</x:f>
        <x:v>0.6593610284948823</x:v>
      </x:c>
      <x:c r="I1643" s="8" t="n">
        <x:f>0</x:f>
        <x:v>0</x:v>
      </x:c>
      <x:c r="J1643" s="8" t="n">
        <x:v>0</x:v>
      </x:c>
      <x:c r="K1643" s="8" t="n">
        <x:f>H1643-I1643*J1643</x:f>
        <x:v>0.6593610284948823</x:v>
      </x:c>
      <x:c r="L1643" s="8" t="n">
        <x:f>'PG facts'!E141</x:f>
        <x:v>-1</x:v>
      </x:c>
      <x:c r="M1643" s="8" t="n">
        <x:f>K1643-L1643</x:f>
        <x:v>1.6593610284948823</x:v>
      </x:c>
      <x:c r="N1643" s="8" t="n">
        <x:f>M1643^2</x:f>
        <x:v>2.7534790228875936</x:v>
      </x:c>
      <x:c r="O1643" s="8" t="n">
        <x:f>ABS(M1643)</x:f>
        <x:v>1.6593610284948823</x:v>
      </x:c>
      <x:c r="P1643" s="7" t="n">
        <x:v>46045</x:v>
      </x:c>
    </x:row>
    <x:row r="1644" ht="26" customHeight="1">
      <x:c r="A1644" s="2"/>
      <x:c r="B1644" s="2" t="n">
        <x:v>1639</x:v>
      </x:c>
      <x:c r="C1644" s="2" t="str">
        <x:v>Health Care / organic_volume_growth</x:v>
      </x:c>
      <x:c r="D1644" s="7" t="n">
        <x:v>46022</x:v>
      </x:c>
      <x:c r="E1644" s="2" t="str">
        <x:v>Pre-earnings</x:v>
      </x:c>
      <x:c r="F1644" s="7" t="n">
        <x:v>46044</x:v>
      </x:c>
      <x:c r="G1644" s="2" t="str">
        <x:v>Broad rolling 8</x:v>
      </x:c>
      <x:c r="H1644" s="8" t="n">
        <x:f>'Model fits'!AA1074</x:f>
        <x:v>-1.3683547691083726</x:v>
      </x:c>
      <x:c r="I1644" s="8" t="n">
        <x:f>0</x:f>
        <x:v>0</x:v>
      </x:c>
      <x:c r="J1644" s="8" t="n">
        <x:v>0</x:v>
      </x:c>
      <x:c r="K1644" s="8" t="n">
        <x:f>H1644-I1644*J1644</x:f>
        <x:v>-1.3683547691083726</x:v>
      </x:c>
      <x:c r="L1644" s="8" t="n">
        <x:f>'PG facts'!E141</x:f>
        <x:v>-1</x:v>
      </x:c>
      <x:c r="M1644" s="8" t="n">
        <x:f>K1644-L1644</x:f>
        <x:v>-0.3683547691083726</x:v>
      </x:c>
      <x:c r="N1644" s="8" t="n">
        <x:f>M1644^2</x:f>
        <x:v>0.1356852359248825</x:v>
      </x:c>
      <x:c r="O1644" s="8" t="n">
        <x:f>ABS(M1644)</x:f>
        <x:v>0.3683547691083726</x:v>
      </x:c>
      <x:c r="P1644" s="7" t="n">
        <x:v>46045</x:v>
      </x:c>
    </x:row>
    <x:row r="1645" ht="26" customHeight="1">
      <x:c r="A1645" s="2"/>
      <x:c r="B1645" s="2" t="n">
        <x:v>1640</x:v>
      </x:c>
      <x:c r="C1645" s="2" t="str">
        <x:v>Health Care / organic_volume_growth</x:v>
      </x:c>
      <x:c r="D1645" s="7" t="n">
        <x:v>46022</x:v>
      </x:c>
      <x:c r="E1645" s="2" t="str">
        <x:v>Pre-earnings</x:v>
      </x:c>
      <x:c r="F1645" s="7" t="n">
        <x:v>46044</x:v>
      </x:c>
      <x:c r="G1645" s="2" t="str">
        <x:v>Own history</x:v>
      </x:c>
      <x:c r="H1645" s="8" t="n">
        <x:f>'Model fits'!AA1075</x:f>
        <x:v>-0.01310997815003656</x:v>
      </x:c>
      <x:c r="I1645" s="8" t="n">
        <x:f>0</x:f>
        <x:v>0</x:v>
      </x:c>
      <x:c r="J1645" s="8" t="n">
        <x:v>0</x:v>
      </x:c>
      <x:c r="K1645" s="8" t="n">
        <x:f>H1645-I1645*J1645</x:f>
        <x:v>-0.01310997815003656</x:v>
      </x:c>
      <x:c r="L1645" s="8" t="n">
        <x:f>'PG facts'!E141</x:f>
        <x:v>-1</x:v>
      </x:c>
      <x:c r="M1645" s="8" t="n">
        <x:f>K1645-L1645</x:f>
        <x:v>0.9868900218499634</x:v>
      </x:c>
      <x:c r="N1645" s="8" t="n">
        <x:f>M1645^2</x:f>
        <x:v>0.9739519152270213</x:v>
      </x:c>
      <x:c r="O1645" s="8" t="n">
        <x:f>ABS(M1645)</x:f>
        <x:v>0.9868900218499634</x:v>
      </x:c>
      <x:c r="P1645" s="7" t="n">
        <x:v>46045</x:v>
      </x:c>
    </x:row>
    <x:row r="1646" ht="26" customHeight="1">
      <x:c r="A1646" s="2"/>
      <x:c r="B1646" s="2" t="n">
        <x:v>1641</x:v>
      </x:c>
      <x:c r="C1646" s="2" t="str">
        <x:v>Health Care / organic_volume_growth</x:v>
      </x:c>
      <x:c r="D1646" s="7" t="n">
        <x:v>46112</x:v>
      </x:c>
      <x:c r="E1646" s="2" t="str">
        <x:v>Origin</x:v>
      </x:c>
      <x:c r="F1646" s="7" t="n">
        <x:v>46023</x:v>
      </x:c>
      <x:c r="G1646" s="2" t="str">
        <x:v>Last actual</x:v>
      </x:c>
      <x:c r="H1646" s="8" t="n">
        <x:f>AVERAGE('PG facts'!E134)</x:f>
        <x:v>-2</x:v>
      </x:c>
      <x:c r="I1646" s="8" t="n">
        <x:f>0</x:f>
        <x:v>0</x:v>
      </x:c>
      <x:c r="J1646" s="8" t="n">
        <x:v>0</x:v>
      </x:c>
      <x:c r="K1646" s="8" t="n">
        <x:f>H1646-I1646*J1646</x:f>
        <x:v>-2</x:v>
      </x:c>
      <x:c r="L1646" s="8" t="n">
        <x:f>'PG facts'!E148</x:f>
        <x:v>-2</x:v>
      </x:c>
      <x:c r="M1646" s="8" t="n">
        <x:f>K1646-L1646</x:f>
        <x:v>0</x:v>
      </x:c>
      <x:c r="N1646" s="8" t="n">
        <x:f>M1646^2</x:f>
        <x:v>0</x:v>
      </x:c>
      <x:c r="O1646" s="8" t="n">
        <x:f>ABS(M1646)</x:f>
        <x:v>0</x:v>
      </x:c>
      <x:c r="P1646" s="7" t="n">
        <x:v>46136</x:v>
      </x:c>
    </x:row>
    <x:row r="1647" ht="26" customHeight="1">
      <x:c r="A1647" s="2"/>
      <x:c r="B1647" s="2" t="n">
        <x:v>1642</x:v>
      </x:c>
      <x:c r="C1647" s="2" t="str">
        <x:v>Health Care / organic_volume_growth</x:v>
      </x:c>
      <x:c r="D1647" s="7" t="n">
        <x:v>46112</x:v>
      </x:c>
      <x:c r="E1647" s="2" t="str">
        <x:v>Origin</x:v>
      </x:c>
      <x:c r="F1647" s="7" t="n">
        <x:v>46023</x:v>
      </x:c>
      <x:c r="G1647" s="2" t="str">
        <x:v>Four-quarter mean</x:v>
      </x:c>
      <x:c r="H1647" s="8" t="n">
        <x:f>AVERAGE('PG facts'!E113,'PG facts'!E120,'PG facts'!E127,'PG facts'!E134)</x:f>
        <x:v>-1.25</x:v>
      </x:c>
      <x:c r="I1647" s="8" t="n">
        <x:f>0</x:f>
        <x:v>0</x:v>
      </x:c>
      <x:c r="J1647" s="8" t="n">
        <x:v>0</x:v>
      </x:c>
      <x:c r="K1647" s="8" t="n">
        <x:f>H1647-I1647*J1647</x:f>
        <x:v>-1.25</x:v>
      </x:c>
      <x:c r="L1647" s="8" t="n">
        <x:f>'PG facts'!E148</x:f>
        <x:v>-2</x:v>
      </x:c>
      <x:c r="M1647" s="8" t="n">
        <x:f>K1647-L1647</x:f>
        <x:v>0.75</x:v>
      </x:c>
      <x:c r="N1647" s="8" t="n">
        <x:f>M1647^2</x:f>
        <x:v>0.5625</x:v>
      </x:c>
      <x:c r="O1647" s="8" t="n">
        <x:f>ABS(M1647)</x:f>
        <x:v>0.75</x:v>
      </x:c>
      <x:c r="P1647" s="7" t="n">
        <x:v>46136</x:v>
      </x:c>
    </x:row>
    <x:row r="1648" ht="26" customHeight="1">
      <x:c r="A1648" s="2"/>
      <x:c r="B1648" s="2" t="n">
        <x:v>1643</x:v>
      </x:c>
      <x:c r="C1648" s="2" t="str">
        <x:v>Health Care / organic_volume_growth</x:v>
      </x:c>
      <x:c r="D1648" s="7" t="n">
        <x:v>46112</x:v>
      </x:c>
      <x:c r="E1648" s="2" t="str">
        <x:v>Origin</x:v>
      </x:c>
      <x:c r="F1648" s="7" t="n">
        <x:v>46023</x:v>
      </x:c>
      <x:c r="G1648" s="2" t="str">
        <x:v>Broad market</x:v>
      </x:c>
      <x:c r="H1648" s="8" t="n">
        <x:f>'Model fits'!AA1076</x:f>
        <x:v>0.6381833978464366</x:v>
      </x:c>
      <x:c r="I1648" s="8" t="n">
        <x:f>0</x:f>
        <x:v>0</x:v>
      </x:c>
      <x:c r="J1648" s="8" t="n">
        <x:v>0</x:v>
      </x:c>
      <x:c r="K1648" s="8" t="n">
        <x:f>H1648-I1648*J1648</x:f>
        <x:v>0.6381833978464366</x:v>
      </x:c>
      <x:c r="L1648" s="8" t="n">
        <x:f>'PG facts'!E148</x:f>
        <x:v>-2</x:v>
      </x:c>
      <x:c r="M1648" s="8" t="n">
        <x:f>K1648-L1648</x:f>
        <x:v>2.6381833978464364</x:v>
      </x:c>
      <x:c r="N1648" s="8" t="n">
        <x:f>M1648^2</x:f>
        <x:v>6.960011640672569</x:v>
      </x:c>
      <x:c r="O1648" s="8" t="n">
        <x:f>ABS(M1648)</x:f>
        <x:v>2.6381833978464364</x:v>
      </x:c>
      <x:c r="P1648" s="7" t="n">
        <x:v>46136</x:v>
      </x:c>
    </x:row>
    <x:row r="1649" ht="26" customHeight="1">
      <x:c r="A1649" s="2"/>
      <x:c r="B1649" s="2" t="n">
        <x:v>1644</x:v>
      </x:c>
      <x:c r="C1649" s="2" t="str">
        <x:v>Health Care / organic_volume_growth</x:v>
      </x:c>
      <x:c r="D1649" s="7" t="n">
        <x:v>46112</x:v>
      </x:c>
      <x:c r="E1649" s="2" t="str">
        <x:v>Origin</x:v>
      </x:c>
      <x:c r="F1649" s="7" t="n">
        <x:v>46023</x:v>
      </x:c>
      <x:c r="G1649" s="2" t="str">
        <x:v>Broad rolling 8</x:v>
      </x:c>
      <x:c r="H1649" s="8" t="n">
        <x:f>'Model fits'!AA1077</x:f>
        <x:v>-1.2736592447220896</x:v>
      </x:c>
      <x:c r="I1649" s="8" t="n">
        <x:f>0</x:f>
        <x:v>0</x:v>
      </x:c>
      <x:c r="J1649" s="8" t="n">
        <x:v>0</x:v>
      </x:c>
      <x:c r="K1649" s="8" t="n">
        <x:f>H1649-I1649*J1649</x:f>
        <x:v>-1.2736592447220896</x:v>
      </x:c>
      <x:c r="L1649" s="8" t="n">
        <x:f>'PG facts'!E148</x:f>
        <x:v>-2</x:v>
      </x:c>
      <x:c r="M1649" s="8" t="n">
        <x:f>K1649-L1649</x:f>
        <x:v>0.7263407552779104</x:v>
      </x:c>
      <x:c r="N1649" s="8" t="n">
        <x:f>M1649^2</x:f>
        <x:v>0.5275708927776853</x:v>
      </x:c>
      <x:c r="O1649" s="8" t="n">
        <x:f>ABS(M1649)</x:f>
        <x:v>0.7263407552779104</x:v>
      </x:c>
      <x:c r="P1649" s="7" t="n">
        <x:v>46136</x:v>
      </x:c>
    </x:row>
    <x:row r="1650" ht="26" customHeight="1">
      <x:c r="A1650" s="2"/>
      <x:c r="B1650" s="2" t="n">
        <x:v>1645</x:v>
      </x:c>
      <x:c r="C1650" s="2" t="str">
        <x:v>Health Care / organic_volume_growth</x:v>
      </x:c>
      <x:c r="D1650" s="7" t="n">
        <x:v>46112</x:v>
      </x:c>
      <x:c r="E1650" s="2" t="str">
        <x:v>Origin</x:v>
      </x:c>
      <x:c r="F1650" s="7" t="n">
        <x:v>46023</x:v>
      </x:c>
      <x:c r="G1650" s="2" t="str">
        <x:v>Own history</x:v>
      </x:c>
      <x:c r="H1650" s="8" t="n">
        <x:f>'Model fits'!AA1078</x:f>
        <x:v>-0.7614896988906497</x:v>
      </x:c>
      <x:c r="I1650" s="8" t="n">
        <x:f>0</x:f>
        <x:v>0</x:v>
      </x:c>
      <x:c r="J1650" s="8" t="n">
        <x:v>0</x:v>
      </x:c>
      <x:c r="K1650" s="8" t="n">
        <x:f>H1650-I1650*J1650</x:f>
        <x:v>-0.7614896988906497</x:v>
      </x:c>
      <x:c r="L1650" s="8" t="n">
        <x:f>'PG facts'!E148</x:f>
        <x:v>-2</x:v>
      </x:c>
      <x:c r="M1650" s="8" t="n">
        <x:f>K1650-L1650</x:f>
        <x:v>1.2385103011093503</x:v>
      </x:c>
      <x:c r="N1650" s="8" t="n">
        <x:f>M1650^2</x:f>
        <x:v>1.5339077659539737</x:v>
      </x:c>
      <x:c r="O1650" s="8" t="n">
        <x:f>ABS(M1650)</x:f>
        <x:v>1.2385103011093503</x:v>
      </x:c>
      <x:c r="P1650" s="7" t="n">
        <x:v>46136</x:v>
      </x:c>
    </x:row>
    <x:row r="1651" ht="26" customHeight="1">
      <x:c r="A1651" s="2"/>
      <x:c r="B1651" s="2" t="n">
        <x:v>1646</x:v>
      </x:c>
      <x:c r="C1651" s="2" t="str">
        <x:v>Health Care / organic_volume_growth</x:v>
      </x:c>
      <x:c r="D1651" s="7" t="n">
        <x:v>46112</x:v>
      </x:c>
      <x:c r="E1651" s="2" t="str">
        <x:v>Prior report</x:v>
      </x:c>
      <x:c r="F1651" s="7" t="n">
        <x:v>46045</x:v>
      </x:c>
      <x:c r="G1651" s="2" t="str">
        <x:v>Last actual</x:v>
      </x:c>
      <x:c r="H1651" s="8" t="n">
        <x:f>AVERAGE('PG facts'!E141)</x:f>
        <x:v>-1</x:v>
      </x:c>
      <x:c r="I1651" s="8" t="n">
        <x:f>0</x:f>
        <x:v>0</x:v>
      </x:c>
      <x:c r="J1651" s="8" t="n">
        <x:v>0</x:v>
      </x:c>
      <x:c r="K1651" s="8" t="n">
        <x:f>H1651-I1651*J1651</x:f>
        <x:v>-1</x:v>
      </x:c>
      <x:c r="L1651" s="8" t="n">
        <x:f>'PG facts'!E148</x:f>
        <x:v>-2</x:v>
      </x:c>
      <x:c r="M1651" s="8" t="n">
        <x:f>K1651-L1651</x:f>
        <x:v>1</x:v>
      </x:c>
      <x:c r="N1651" s="8" t="n">
        <x:f>M1651^2</x:f>
        <x:v>1</x:v>
      </x:c>
      <x:c r="O1651" s="8" t="n">
        <x:f>ABS(M1651)</x:f>
        <x:v>1</x:v>
      </x:c>
      <x:c r="P1651" s="7" t="n">
        <x:v>46136</x:v>
      </x:c>
    </x:row>
    <x:row r="1652" ht="26" customHeight="1">
      <x:c r="A1652" s="2"/>
      <x:c r="B1652" s="2" t="n">
        <x:v>1647</x:v>
      </x:c>
      <x:c r="C1652" s="2" t="str">
        <x:v>Health Care / organic_volume_growth</x:v>
      </x:c>
      <x:c r="D1652" s="7" t="n">
        <x:v>46112</x:v>
      </x:c>
      <x:c r="E1652" s="2" t="str">
        <x:v>Prior report</x:v>
      </x:c>
      <x:c r="F1652" s="7" t="n">
        <x:v>46045</x:v>
      </x:c>
      <x:c r="G1652" s="2" t="str">
        <x:v>Four-quarter mean</x:v>
      </x:c>
      <x:c r="H1652" s="8" t="n">
        <x:f>AVERAGE('PG facts'!E120,'PG facts'!E127,'PG facts'!E134,'PG facts'!E141)</x:f>
        <x:v>-1.5</x:v>
      </x:c>
      <x:c r="I1652" s="8" t="n">
        <x:f>0</x:f>
        <x:v>0</x:v>
      </x:c>
      <x:c r="J1652" s="8" t="n">
        <x:v>0</x:v>
      </x:c>
      <x:c r="K1652" s="8" t="n">
        <x:f>H1652-I1652*J1652</x:f>
        <x:v>-1.5</x:v>
      </x:c>
      <x:c r="L1652" s="8" t="n">
        <x:f>'PG facts'!E148</x:f>
        <x:v>-2</x:v>
      </x:c>
      <x:c r="M1652" s="8" t="n">
        <x:f>K1652-L1652</x:f>
        <x:v>0.5</x:v>
      </x:c>
      <x:c r="N1652" s="8" t="n">
        <x:f>M1652^2</x:f>
        <x:v>0.25</x:v>
      </x:c>
      <x:c r="O1652" s="8" t="n">
        <x:f>ABS(M1652)</x:f>
        <x:v>0.5</x:v>
      </x:c>
      <x:c r="P1652" s="7" t="n">
        <x:v>46136</x:v>
      </x:c>
    </x:row>
    <x:row r="1653" ht="26" customHeight="1">
      <x:c r="A1653" s="2"/>
      <x:c r="B1653" s="2" t="n">
        <x:v>1648</x:v>
      </x:c>
      <x:c r="C1653" s="2" t="str">
        <x:v>Health Care / organic_volume_growth</x:v>
      </x:c>
      <x:c r="D1653" s="7" t="n">
        <x:v>46112</x:v>
      </x:c>
      <x:c r="E1653" s="2" t="str">
        <x:v>Prior report</x:v>
      </x:c>
      <x:c r="F1653" s="7" t="n">
        <x:v>46045</x:v>
      </x:c>
      <x:c r="G1653" s="2" t="str">
        <x:v>Broad market</x:v>
      </x:c>
      <x:c r="H1653" s="8" t="n">
        <x:f>'Model fits'!AA1079</x:f>
        <x:v>0.40361047575312115</x:v>
      </x:c>
      <x:c r="I1653" s="8" t="n">
        <x:f>0</x:f>
        <x:v>0</x:v>
      </x:c>
      <x:c r="J1653" s="8" t="n">
        <x:v>0</x:v>
      </x:c>
      <x:c r="K1653" s="8" t="n">
        <x:f>H1653-I1653*J1653</x:f>
        <x:v>0.40361047575312115</x:v>
      </x:c>
      <x:c r="L1653" s="8" t="n">
        <x:f>'PG facts'!E148</x:f>
        <x:v>-2</x:v>
      </x:c>
      <x:c r="M1653" s="8" t="n">
        <x:f>K1653-L1653</x:f>
        <x:v>2.403610475753121</x:v>
      </x:c>
      <x:c r="N1653" s="8" t="n">
        <x:f>M1653^2</x:f>
        <x:v>5.777343319150145</x:v>
      </x:c>
      <x:c r="O1653" s="8" t="n">
        <x:f>ABS(M1653)</x:f>
        <x:v>2.403610475753121</x:v>
      </x:c>
      <x:c r="P1653" s="7" t="n">
        <x:v>46136</x:v>
      </x:c>
    </x:row>
    <x:row r="1654" ht="26" customHeight="1">
      <x:c r="A1654" s="2"/>
      <x:c r="B1654" s="2" t="n">
        <x:v>1649</x:v>
      </x:c>
      <x:c r="C1654" s="2" t="str">
        <x:v>Health Care / organic_volume_growth</x:v>
      </x:c>
      <x:c r="D1654" s="7" t="n">
        <x:v>46112</x:v>
      </x:c>
      <x:c r="E1654" s="2" t="str">
        <x:v>Prior report</x:v>
      </x:c>
      <x:c r="F1654" s="7" t="n">
        <x:v>46045</x:v>
      </x:c>
      <x:c r="G1654" s="2" t="str">
        <x:v>Broad rolling 8</x:v>
      </x:c>
      <x:c r="H1654" s="8" t="n">
        <x:f>'Model fits'!AA1080</x:f>
        <x:v>-1.5591281526102079</x:v>
      </x:c>
      <x:c r="I1654" s="8" t="n">
        <x:f>0</x:f>
        <x:v>0</x:v>
      </x:c>
      <x:c r="J1654" s="8" t="n">
        <x:v>0</x:v>
      </x:c>
      <x:c r="K1654" s="8" t="n">
        <x:f>H1654-I1654*J1654</x:f>
        <x:v>-1.5591281526102079</x:v>
      </x:c>
      <x:c r="L1654" s="8" t="n">
        <x:f>'PG facts'!E148</x:f>
        <x:v>-2</x:v>
      </x:c>
      <x:c r="M1654" s="8" t="n">
        <x:f>K1654-L1654</x:f>
        <x:v>0.4408718473897921</x:v>
      </x:c>
      <x:c r="N1654" s="8" t="n">
        <x:f>M1654^2</x:f>
        <x:v>0.19436798582088816</x:v>
      </x:c>
      <x:c r="O1654" s="8" t="n">
        <x:f>ABS(M1654)</x:f>
        <x:v>0.4408718473897921</x:v>
      </x:c>
      <x:c r="P1654" s="7" t="n">
        <x:v>46136</x:v>
      </x:c>
    </x:row>
    <x:row r="1655" ht="26" customHeight="1">
      <x:c r="A1655" s="2"/>
      <x:c r="B1655" s="2" t="n">
        <x:v>1650</x:v>
      </x:c>
      <x:c r="C1655" s="2" t="str">
        <x:v>Health Care / organic_volume_growth</x:v>
      </x:c>
      <x:c r="D1655" s="7" t="n">
        <x:v>46112</x:v>
      </x:c>
      <x:c r="E1655" s="2" t="str">
        <x:v>Prior report</x:v>
      </x:c>
      <x:c r="F1655" s="7" t="n">
        <x:v>46045</x:v>
      </x:c>
      <x:c r="G1655" s="2" t="str">
        <x:v>Own history</x:v>
      </x:c>
      <x:c r="H1655" s="8" t="n">
        <x:f>'Model fits'!AA1081</x:f>
        <x:v>0.16610512129380056</x:v>
      </x:c>
      <x:c r="I1655" s="8" t="n">
        <x:f>0</x:f>
        <x:v>0</x:v>
      </x:c>
      <x:c r="J1655" s="8" t="n">
        <x:v>0</x:v>
      </x:c>
      <x:c r="K1655" s="8" t="n">
        <x:f>H1655-I1655*J1655</x:f>
        <x:v>0.16610512129380056</x:v>
      </x:c>
      <x:c r="L1655" s="8" t="n">
        <x:f>'PG facts'!E148</x:f>
        <x:v>-2</x:v>
      </x:c>
      <x:c r="M1655" s="8" t="n">
        <x:f>K1655-L1655</x:f>
        <x:v>2.1661051212938007</x:v>
      </x:c>
      <x:c r="N1655" s="8" t="n">
        <x:f>M1655^2</x:f>
        <x:v>4.692011396495231</x:v>
      </x:c>
      <x:c r="O1655" s="8" t="n">
        <x:f>ABS(M1655)</x:f>
        <x:v>2.1661051212938007</x:v>
      </x:c>
      <x:c r="P1655" s="7" t="n">
        <x:v>46136</x:v>
      </x:c>
    </x:row>
    <x:row r="1656" ht="26" customHeight="1">
      <x:c r="A1656" s="2"/>
      <x:c r="B1656" s="2" t="n">
        <x:v>1651</x:v>
      </x:c>
      <x:c r="C1656" s="2" t="str">
        <x:v>Health Care / organic_volume_growth</x:v>
      </x:c>
      <x:c r="D1656" s="7" t="n">
        <x:v>46112</x:v>
      </x:c>
      <x:c r="E1656" s="2" t="str">
        <x:v>Pre-earnings</x:v>
      </x:c>
      <x:c r="F1656" s="7" t="n">
        <x:v>46135</x:v>
      </x:c>
      <x:c r="G1656" s="2" t="str">
        <x:v>Last actual</x:v>
      </x:c>
      <x:c r="H1656" s="8" t="n">
        <x:f>AVERAGE('PG facts'!E141)</x:f>
        <x:v>-1</x:v>
      </x:c>
      <x:c r="I1656" s="8" t="n">
        <x:f>0</x:f>
        <x:v>0</x:v>
      </x:c>
      <x:c r="J1656" s="8" t="n">
        <x:v>0</x:v>
      </x:c>
      <x:c r="K1656" s="8" t="n">
        <x:f>H1656-I1656*J1656</x:f>
        <x:v>-1</x:v>
      </x:c>
      <x:c r="L1656" s="8" t="n">
        <x:f>'PG facts'!E148</x:f>
        <x:v>-2</x:v>
      </x:c>
      <x:c r="M1656" s="8" t="n">
        <x:f>K1656-L1656</x:f>
        <x:v>1</x:v>
      </x:c>
      <x:c r="N1656" s="8" t="n">
        <x:f>M1656^2</x:f>
        <x:v>1</x:v>
      </x:c>
      <x:c r="O1656" s="8" t="n">
        <x:f>ABS(M1656)</x:f>
        <x:v>1</x:v>
      </x:c>
      <x:c r="P1656" s="7" t="n">
        <x:v>46136</x:v>
      </x:c>
    </x:row>
    <x:row r="1657" ht="26" customHeight="1">
      <x:c r="A1657" s="2"/>
      <x:c r="B1657" s="2" t="n">
        <x:v>1652</x:v>
      </x:c>
      <x:c r="C1657" s="2" t="str">
        <x:v>Health Care / organic_volume_growth</x:v>
      </x:c>
      <x:c r="D1657" s="7" t="n">
        <x:v>46112</x:v>
      </x:c>
      <x:c r="E1657" s="2" t="str">
        <x:v>Pre-earnings</x:v>
      </x:c>
      <x:c r="F1657" s="7" t="n">
        <x:v>46135</x:v>
      </x:c>
      <x:c r="G1657" s="2" t="str">
        <x:v>Four-quarter mean</x:v>
      </x:c>
      <x:c r="H1657" s="8" t="n">
        <x:f>AVERAGE('PG facts'!E120,'PG facts'!E127,'PG facts'!E134,'PG facts'!E141)</x:f>
        <x:v>-1.5</x:v>
      </x:c>
      <x:c r="I1657" s="8" t="n">
        <x:f>0</x:f>
        <x:v>0</x:v>
      </x:c>
      <x:c r="J1657" s="8" t="n">
        <x:v>0</x:v>
      </x:c>
      <x:c r="K1657" s="8" t="n">
        <x:f>H1657-I1657*J1657</x:f>
        <x:v>-1.5</x:v>
      </x:c>
      <x:c r="L1657" s="8" t="n">
        <x:f>'PG facts'!E148</x:f>
        <x:v>-2</x:v>
      </x:c>
      <x:c r="M1657" s="8" t="n">
        <x:f>K1657-L1657</x:f>
        <x:v>0.5</x:v>
      </x:c>
      <x:c r="N1657" s="8" t="n">
        <x:f>M1657^2</x:f>
        <x:v>0.25</x:v>
      </x:c>
      <x:c r="O1657" s="8" t="n">
        <x:f>ABS(M1657)</x:f>
        <x:v>0.5</x:v>
      </x:c>
      <x:c r="P1657" s="7" t="n">
        <x:v>46136</x:v>
      </x:c>
    </x:row>
    <x:row r="1658" ht="26" customHeight="1">
      <x:c r="A1658" s="2"/>
      <x:c r="B1658" s="2" t="n">
        <x:v>1653</x:v>
      </x:c>
      <x:c r="C1658" s="2" t="str">
        <x:v>Health Care / organic_volume_growth</x:v>
      </x:c>
      <x:c r="D1658" s="7" t="n">
        <x:v>46112</x:v>
      </x:c>
      <x:c r="E1658" s="2" t="str">
        <x:v>Pre-earnings</x:v>
      </x:c>
      <x:c r="F1658" s="7" t="n">
        <x:v>46135</x:v>
      </x:c>
      <x:c r="G1658" s="2" t="str">
        <x:v>Broad market</x:v>
      </x:c>
      <x:c r="H1658" s="8" t="n">
        <x:f>'Model fits'!AA1082</x:f>
        <x:v>-0.8316897672784656</x:v>
      </x:c>
      <x:c r="I1658" s="8" t="n">
        <x:f>0</x:f>
        <x:v>0</x:v>
      </x:c>
      <x:c r="J1658" s="8" t="n">
        <x:v>0</x:v>
      </x:c>
      <x:c r="K1658" s="8" t="n">
        <x:f>H1658-I1658*J1658</x:f>
        <x:v>-0.8316897672784656</x:v>
      </x:c>
      <x:c r="L1658" s="8" t="n">
        <x:f>'PG facts'!E148</x:f>
        <x:v>-2</x:v>
      </x:c>
      <x:c r="M1658" s="8" t="n">
        <x:f>K1658-L1658</x:f>
        <x:v>1.1683102327215344</x:v>
      </x:c>
      <x:c r="N1658" s="8" t="n">
        <x:f>M1658^2</x:f>
        <x:v>1.364948799881846</x:v>
      </x:c>
      <x:c r="O1658" s="8" t="n">
        <x:f>ABS(M1658)</x:f>
        <x:v>1.1683102327215344</x:v>
      </x:c>
      <x:c r="P1658" s="7" t="n">
        <x:v>46136</x:v>
      </x:c>
    </x:row>
    <x:row r="1659" ht="26" customHeight="1">
      <x:c r="A1659" s="2"/>
      <x:c r="B1659" s="2" t="n">
        <x:v>1654</x:v>
      </x:c>
      <x:c r="C1659" s="2" t="str">
        <x:v>Health Care / organic_volume_growth</x:v>
      </x:c>
      <x:c r="D1659" s="7" t="n">
        <x:v>46112</x:v>
      </x:c>
      <x:c r="E1659" s="2" t="str">
        <x:v>Pre-earnings</x:v>
      </x:c>
      <x:c r="F1659" s="7" t="n">
        <x:v>46135</x:v>
      </x:c>
      <x:c r="G1659" s="2" t="str">
        <x:v>Broad lag 1</x:v>
      </x:c>
      <x:c r="H1659" s="8" t="n">
        <x:f>'Model fits'!AA1083</x:f>
        <x:v>0.07180968416291411</x:v>
      </x:c>
      <x:c r="I1659" s="8" t="n">
        <x:f>0</x:f>
        <x:v>0</x:v>
      </x:c>
      <x:c r="J1659" s="8" t="n">
        <x:v>0</x:v>
      </x:c>
      <x:c r="K1659" s="8" t="n">
        <x:f>H1659-I1659*J1659</x:f>
        <x:v>0.07180968416291411</x:v>
      </x:c>
      <x:c r="L1659" s="8" t="n">
        <x:f>'PG facts'!E148</x:f>
        <x:v>-2</x:v>
      </x:c>
      <x:c r="M1659" s="8" t="n">
        <x:f>K1659-L1659</x:f>
        <x:v>2.071809684162914</x:v>
      </x:c>
      <x:c r="N1659" s="8" t="n">
        <x:f>M1659^2</x:f>
        <x:v>4.292395367391233</x:v>
      </x:c>
      <x:c r="O1659" s="8" t="n">
        <x:f>ABS(M1659)</x:f>
        <x:v>2.071809684162914</x:v>
      </x:c>
      <x:c r="P1659" s="7" t="n">
        <x:v>46136</x:v>
      </x:c>
    </x:row>
    <x:row r="1660" ht="26" customHeight="1">
      <x:c r="A1660" s="2"/>
      <x:c r="B1660" s="2" t="n">
        <x:v>1655</x:v>
      </x:c>
      <x:c r="C1660" s="2" t="str">
        <x:v>Health Care / organic_volume_growth</x:v>
      </x:c>
      <x:c r="D1660" s="7" t="n">
        <x:v>46112</x:v>
      </x:c>
      <x:c r="E1660" s="2" t="str">
        <x:v>Pre-earnings</x:v>
      </x:c>
      <x:c r="F1660" s="7" t="n">
        <x:v>46135</x:v>
      </x:c>
      <x:c r="G1660" s="2" t="str">
        <x:v>Broad rolling 8</x:v>
      </x:c>
      <x:c r="H1660" s="8" t="n">
        <x:f>'Model fits'!AA1084</x:f>
        <x:v>-2.1081418831570558</x:v>
      </x:c>
      <x:c r="I1660" s="8" t="n">
        <x:f>0</x:f>
        <x:v>0</x:v>
      </x:c>
      <x:c r="J1660" s="8" t="n">
        <x:v>0</x:v>
      </x:c>
      <x:c r="K1660" s="8" t="n">
        <x:f>H1660-I1660*J1660</x:f>
        <x:v>-2.1081418831570558</x:v>
      </x:c>
      <x:c r="L1660" s="8" t="n">
        <x:f>'PG facts'!E148</x:f>
        <x:v>-2</x:v>
      </x:c>
      <x:c r="M1660" s="8" t="n">
        <x:f>K1660-L1660</x:f>
        <x:v>-0.10814188315705575</x:v>
      </x:c>
      <x:c r="N1660" s="8" t="n">
        <x:f>M1660^2</x:f>
        <x:v>0.011694666892754299</x:v>
      </x:c>
      <x:c r="O1660" s="8" t="n">
        <x:f>ABS(M1660)</x:f>
        <x:v>0.10814188315705575</x:v>
      </x:c>
      <x:c r="P1660" s="7" t="n">
        <x:v>46136</x:v>
      </x:c>
    </x:row>
    <x:row r="1661" ht="26" customHeight="1">
      <x:c r="A1661" s="2"/>
      <x:c r="B1661" s="2" t="n">
        <x:v>1656</x:v>
      </x:c>
      <x:c r="C1661" s="2" t="str">
        <x:v>Health Care / organic_volume_growth</x:v>
      </x:c>
      <x:c r="D1661" s="7" t="n">
        <x:v>46112</x:v>
      </x:c>
      <x:c r="E1661" s="2" t="str">
        <x:v>Pre-earnings</x:v>
      </x:c>
      <x:c r="F1661" s="7" t="n">
        <x:v>46135</x:v>
      </x:c>
      <x:c r="G1661" s="2" t="str">
        <x:v>Own history</x:v>
      </x:c>
      <x:c r="H1661" s="8" t="n">
        <x:f>'Model fits'!AA1085</x:f>
        <x:v>0.16610512129380056</x:v>
      </x:c>
      <x:c r="I1661" s="8" t="n">
        <x:f>0</x:f>
        <x:v>0</x:v>
      </x:c>
      <x:c r="J1661" s="8" t="n">
        <x:v>0</x:v>
      </x:c>
      <x:c r="K1661" s="8" t="n">
        <x:f>H1661-I1661*J1661</x:f>
        <x:v>0.16610512129380056</x:v>
      </x:c>
      <x:c r="L1661" s="8" t="n">
        <x:f>'PG facts'!E148</x:f>
        <x:v>-2</x:v>
      </x:c>
      <x:c r="M1661" s="8" t="n">
        <x:f>K1661-L1661</x:f>
        <x:v>2.1661051212938007</x:v>
      </x:c>
      <x:c r="N1661" s="8" t="n">
        <x:f>M1661^2</x:f>
        <x:v>4.692011396495231</x:v>
      </x:c>
      <x:c r="O1661" s="8" t="n">
        <x:f>ABS(M1661)</x:f>
        <x:v>2.1661051212938007</x:v>
      </x:c>
      <x:c r="P1661" s="7" t="n">
        <x:v>46136</x:v>
      </x:c>
    </x:row>
    <x:row r="1662" ht="26" customHeight="1">
      <x:c r="A1662" s="2"/>
      <x:c r="B1662" s="2" t="n">
        <x:v>1657</x:v>
      </x:c>
      <x:c r="C1662" s="2" t="str">
        <x:v>Fabric &amp; Home Care / organic_volume_growth</x:v>
      </x:c>
      <x:c r="D1662" s="7" t="n">
        <x:v>45107</x:v>
      </x:c>
      <x:c r="E1662" s="2" t="str">
        <x:v>Origin</x:v>
      </x:c>
      <x:c r="F1662" s="7" t="n">
        <x:v>45017</x:v>
      </x:c>
      <x:c r="G1662" s="2" t="str">
        <x:v>Last actual</x:v>
      </x:c>
      <x:c r="H1662" s="8" t="n">
        <x:f>AVERAGE('PG facts'!E58)</x:f>
        <x:v>-7</x:v>
      </x:c>
      <x:c r="I1662" s="8" t="n">
        <x:f>0</x:f>
        <x:v>0</x:v>
      </x:c>
      <x:c r="J1662" s="8" t="n">
        <x:v>0</x:v>
      </x:c>
      <x:c r="K1662" s="8" t="n">
        <x:f>H1662-I1662*J1662</x:f>
        <x:v>-7</x:v>
      </x:c>
      <x:c r="L1662" s="8" t="n">
        <x:f>'PG facts'!E72</x:f>
        <x:v>-2</x:v>
      </x:c>
      <x:c r="M1662" s="8" t="n">
        <x:f>K1662-L1662</x:f>
        <x:v>-5</x:v>
      </x:c>
      <x:c r="N1662" s="8" t="n">
        <x:f>M1662^2</x:f>
        <x:v>25</x:v>
      </x:c>
      <x:c r="O1662" s="8" t="n">
        <x:f>ABS(M1662)</x:f>
        <x:v>5</x:v>
      </x:c>
      <x:c r="P1662" s="7" t="n">
        <x:v>45135</x:v>
      </x:c>
    </x:row>
    <x:row r="1663" ht="26" customHeight="1">
      <x:c r="A1663" s="2"/>
      <x:c r="B1663" s="2" t="n">
        <x:v>1658</x:v>
      </x:c>
      <x:c r="C1663" s="2" t="str">
        <x:v>Fabric &amp; Home Care / organic_volume_growth</x:v>
      </x:c>
      <x:c r="D1663" s="7" t="n">
        <x:v>45107</x:v>
      </x:c>
      <x:c r="E1663" s="2" t="str">
        <x:v>Origin</x:v>
      </x:c>
      <x:c r="F1663" s="7" t="n">
        <x:v>45017</x:v>
      </x:c>
      <x:c r="G1663" s="2" t="str">
        <x:v>Four-quarter mean</x:v>
      </x:c>
      <x:c r="H1663" s="8" t="n">
        <x:f>AVERAGE('PG facts'!E37,'PG facts'!E44,'PG facts'!E51,'PG facts'!E58)</x:f>
        <x:v>-1.75</x:v>
      </x:c>
      <x:c r="I1663" s="8" t="n">
        <x:f>0</x:f>
        <x:v>0</x:v>
      </x:c>
      <x:c r="J1663" s="8" t="n">
        <x:v>0</x:v>
      </x:c>
      <x:c r="K1663" s="8" t="n">
        <x:f>H1663-I1663*J1663</x:f>
        <x:v>-1.75</x:v>
      </x:c>
      <x:c r="L1663" s="8" t="n">
        <x:f>'PG facts'!E72</x:f>
        <x:v>-2</x:v>
      </x:c>
      <x:c r="M1663" s="8" t="n">
        <x:f>K1663-L1663</x:f>
        <x:v>0.25</x:v>
      </x:c>
      <x:c r="N1663" s="8" t="n">
        <x:f>M1663^2</x:f>
        <x:v>0.0625</x:v>
      </x:c>
      <x:c r="O1663" s="8" t="n">
        <x:f>ABS(M1663)</x:f>
        <x:v>0.25</x:v>
      </x:c>
      <x:c r="P1663" s="7" t="n">
        <x:v>45135</x:v>
      </x:c>
    </x:row>
    <x:row r="1664" ht="26" customHeight="1">
      <x:c r="A1664" s="2"/>
      <x:c r="B1664" s="2" t="n">
        <x:v>1659</x:v>
      </x:c>
      <x:c r="C1664" s="2" t="str">
        <x:v>Fabric &amp; Home Care / organic_volume_growth</x:v>
      </x:c>
      <x:c r="D1664" s="7" t="n">
        <x:v>45107</x:v>
      </x:c>
      <x:c r="E1664" s="2" t="str">
        <x:v>Origin</x:v>
      </x:c>
      <x:c r="F1664" s="7" t="n">
        <x:v>45017</x:v>
      </x:c>
      <x:c r="G1664" s="2" t="str">
        <x:v>Broad market</x:v>
      </x:c>
      <x:c r="H1664" s="8" t="n">
        <x:f>'Model fits'!AA1086</x:f>
        <x:v>-1.2868627097929086</x:v>
      </x:c>
      <x:c r="I1664" s="8" t="n">
        <x:f>0</x:f>
        <x:v>0</x:v>
      </x:c>
      <x:c r="J1664" s="8" t="n">
        <x:v>0</x:v>
      </x:c>
      <x:c r="K1664" s="8" t="n">
        <x:f>H1664-I1664*J1664</x:f>
        <x:v>-1.2868627097929086</x:v>
      </x:c>
      <x:c r="L1664" s="8" t="n">
        <x:f>'PG facts'!E72</x:f>
        <x:v>-2</x:v>
      </x:c>
      <x:c r="M1664" s="8" t="n">
        <x:f>K1664-L1664</x:f>
        <x:v>0.7131372902070914</x:v>
      </x:c>
      <x:c r="N1664" s="8" t="n">
        <x:f>M1664^2</x:f>
        <x:v>0.5085647946839132</x:v>
      </x:c>
      <x:c r="O1664" s="8" t="n">
        <x:f>ABS(M1664)</x:f>
        <x:v>0.7131372902070914</x:v>
      </x:c>
      <x:c r="P1664" s="7" t="n">
        <x:v>45135</x:v>
      </x:c>
    </x:row>
    <x:row r="1665" ht="26" customHeight="1">
      <x:c r="A1665" s="2"/>
      <x:c r="B1665" s="2" t="n">
        <x:v>1660</x:v>
      </x:c>
      <x:c r="C1665" s="2" t="str">
        <x:v>Fabric &amp; Home Care / organic_volume_growth</x:v>
      </x:c>
      <x:c r="D1665" s="7" t="n">
        <x:v>45107</x:v>
      </x:c>
      <x:c r="E1665" s="2" t="str">
        <x:v>Origin</x:v>
      </x:c>
      <x:c r="F1665" s="7" t="n">
        <x:v>45017</x:v>
      </x:c>
      <x:c r="G1665" s="2" t="str">
        <x:v>Broad rolling 8</x:v>
      </x:c>
      <x:c r="H1665" s="8" t="n">
        <x:f>'Model fits'!AA1087</x:f>
        <x:v>-1.2868627097929086</x:v>
      </x:c>
      <x:c r="I1665" s="8" t="n">
        <x:f>0</x:f>
        <x:v>0</x:v>
      </x:c>
      <x:c r="J1665" s="8" t="n">
        <x:v>0</x:v>
      </x:c>
      <x:c r="K1665" s="8" t="n">
        <x:f>H1665-I1665*J1665</x:f>
        <x:v>-1.2868627097929086</x:v>
      </x:c>
      <x:c r="L1665" s="8" t="n">
        <x:f>'PG facts'!E72</x:f>
        <x:v>-2</x:v>
      </x:c>
      <x:c r="M1665" s="8" t="n">
        <x:f>K1665-L1665</x:f>
        <x:v>0.7131372902070914</x:v>
      </x:c>
      <x:c r="N1665" s="8" t="n">
        <x:f>M1665^2</x:f>
        <x:v>0.5085647946839132</x:v>
      </x:c>
      <x:c r="O1665" s="8" t="n">
        <x:f>ABS(M1665)</x:f>
        <x:v>0.7131372902070914</x:v>
      </x:c>
      <x:c r="P1665" s="7" t="n">
        <x:v>45135</x:v>
      </x:c>
    </x:row>
    <x:row r="1666" ht="26" customHeight="1">
      <x:c r="A1666" s="2"/>
      <x:c r="B1666" s="2" t="n">
        <x:v>1661</x:v>
      </x:c>
      <x:c r="C1666" s="2" t="str">
        <x:v>Fabric &amp; Home Care / organic_volume_growth</x:v>
      </x:c>
      <x:c r="D1666" s="7" t="n">
        <x:v>45107</x:v>
      </x:c>
      <x:c r="E1666" s="2" t="str">
        <x:v>Prior report</x:v>
      </x:c>
      <x:c r="F1666" s="7" t="n">
        <x:v>45037</x:v>
      </x:c>
      <x:c r="G1666" s="2" t="str">
        <x:v>Last actual</x:v>
      </x:c>
      <x:c r="H1666" s="8" t="n">
        <x:f>AVERAGE('PG facts'!E65)</x:f>
        <x:v>-5</x:v>
      </x:c>
      <x:c r="I1666" s="8" t="n">
        <x:f>0</x:f>
        <x:v>0</x:v>
      </x:c>
      <x:c r="J1666" s="8" t="n">
        <x:v>0</x:v>
      </x:c>
      <x:c r="K1666" s="8" t="n">
        <x:f>H1666-I1666*J1666</x:f>
        <x:v>-5</x:v>
      </x:c>
      <x:c r="L1666" s="8" t="n">
        <x:f>'PG facts'!E72</x:f>
        <x:v>-2</x:v>
      </x:c>
      <x:c r="M1666" s="8" t="n">
        <x:f>K1666-L1666</x:f>
        <x:v>-3</x:v>
      </x:c>
      <x:c r="N1666" s="8" t="n">
        <x:f>M1666^2</x:f>
        <x:v>9</x:v>
      </x:c>
      <x:c r="O1666" s="8" t="n">
        <x:f>ABS(M1666)</x:f>
        <x:v>3</x:v>
      </x:c>
      <x:c r="P1666" s="7" t="n">
        <x:v>45135</x:v>
      </x:c>
    </x:row>
    <x:row r="1667" ht="26" customHeight="1">
      <x:c r="A1667" s="2"/>
      <x:c r="B1667" s="2" t="n">
        <x:v>1662</x:v>
      </x:c>
      <x:c r="C1667" s="2" t="str">
        <x:v>Fabric &amp; Home Care / organic_volume_growth</x:v>
      </x:c>
      <x:c r="D1667" s="7" t="n">
        <x:v>45107</x:v>
      </x:c>
      <x:c r="E1667" s="2" t="str">
        <x:v>Prior report</x:v>
      </x:c>
      <x:c r="F1667" s="7" t="n">
        <x:v>45037</x:v>
      </x:c>
      <x:c r="G1667" s="2" t="str">
        <x:v>Four-quarter mean</x:v>
      </x:c>
      <x:c r="H1667" s="8" t="n">
        <x:f>AVERAGE('PG facts'!E44,'PG facts'!E51,'PG facts'!E58,'PG facts'!E65)</x:f>
        <x:v>-4.25</x:v>
      </x:c>
      <x:c r="I1667" s="8" t="n">
        <x:f>0</x:f>
        <x:v>0</x:v>
      </x:c>
      <x:c r="J1667" s="8" t="n">
        <x:v>0</x:v>
      </x:c>
      <x:c r="K1667" s="8" t="n">
        <x:f>H1667-I1667*J1667</x:f>
        <x:v>-4.25</x:v>
      </x:c>
      <x:c r="L1667" s="8" t="n">
        <x:f>'PG facts'!E72</x:f>
        <x:v>-2</x:v>
      </x:c>
      <x:c r="M1667" s="8" t="n">
        <x:f>K1667-L1667</x:f>
        <x:v>-2.25</x:v>
      </x:c>
      <x:c r="N1667" s="8" t="n">
        <x:f>M1667^2</x:f>
        <x:v>5.0625</x:v>
      </x:c>
      <x:c r="O1667" s="8" t="n">
        <x:f>ABS(M1667)</x:f>
        <x:v>2.25</x:v>
      </x:c>
      <x:c r="P1667" s="7" t="n">
        <x:v>45135</x:v>
      </x:c>
    </x:row>
    <x:row r="1668" ht="26" customHeight="1">
      <x:c r="A1668" s="2"/>
      <x:c r="B1668" s="2" t="n">
        <x:v>1663</x:v>
      </x:c>
      <x:c r="C1668" s="2" t="str">
        <x:v>Fabric &amp; Home Care / organic_volume_growth</x:v>
      </x:c>
      <x:c r="D1668" s="7" t="n">
        <x:v>45107</x:v>
      </x:c>
      <x:c r="E1668" s="2" t="str">
        <x:v>Prior report</x:v>
      </x:c>
      <x:c r="F1668" s="7" t="n">
        <x:v>45037</x:v>
      </x:c>
      <x:c r="G1668" s="2" t="str">
        <x:v>Broad market</x:v>
      </x:c>
      <x:c r="H1668" s="8" t="n">
        <x:f>'Model fits'!AA1088</x:f>
        <x:v>-1.2868627097929086</x:v>
      </x:c>
      <x:c r="I1668" s="8" t="n">
        <x:f>0</x:f>
        <x:v>0</x:v>
      </x:c>
      <x:c r="J1668" s="8" t="n">
        <x:v>0</x:v>
      </x:c>
      <x:c r="K1668" s="8" t="n">
        <x:f>H1668-I1668*J1668</x:f>
        <x:v>-1.2868627097929086</x:v>
      </x:c>
      <x:c r="L1668" s="8" t="n">
        <x:f>'PG facts'!E72</x:f>
        <x:v>-2</x:v>
      </x:c>
      <x:c r="M1668" s="8" t="n">
        <x:f>K1668-L1668</x:f>
        <x:v>0.7131372902070914</x:v>
      </x:c>
      <x:c r="N1668" s="8" t="n">
        <x:f>M1668^2</x:f>
        <x:v>0.5085647946839132</x:v>
      </x:c>
      <x:c r="O1668" s="8" t="n">
        <x:f>ABS(M1668)</x:f>
        <x:v>0.7131372902070914</x:v>
      </x:c>
      <x:c r="P1668" s="7" t="n">
        <x:v>45135</x:v>
      </x:c>
    </x:row>
    <x:row r="1669" ht="26" customHeight="1">
      <x:c r="A1669" s="2"/>
      <x:c r="B1669" s="2" t="n">
        <x:v>1664</x:v>
      </x:c>
      <x:c r="C1669" s="2" t="str">
        <x:v>Fabric &amp; Home Care / organic_volume_growth</x:v>
      </x:c>
      <x:c r="D1669" s="7" t="n">
        <x:v>45107</x:v>
      </x:c>
      <x:c r="E1669" s="2" t="str">
        <x:v>Prior report</x:v>
      </x:c>
      <x:c r="F1669" s="7" t="n">
        <x:v>45037</x:v>
      </x:c>
      <x:c r="G1669" s="2" t="str">
        <x:v>Broad rolling 8</x:v>
      </x:c>
      <x:c r="H1669" s="8" t="n">
        <x:f>'Model fits'!AA1089</x:f>
        <x:v>-1.2868627097929086</x:v>
      </x:c>
      <x:c r="I1669" s="8" t="n">
        <x:f>0</x:f>
        <x:v>0</x:v>
      </x:c>
      <x:c r="J1669" s="8" t="n">
        <x:v>0</x:v>
      </x:c>
      <x:c r="K1669" s="8" t="n">
        <x:f>H1669-I1669*J1669</x:f>
        <x:v>-1.2868627097929086</x:v>
      </x:c>
      <x:c r="L1669" s="8" t="n">
        <x:f>'PG facts'!E72</x:f>
        <x:v>-2</x:v>
      </x:c>
      <x:c r="M1669" s="8" t="n">
        <x:f>K1669-L1669</x:f>
        <x:v>0.7131372902070914</x:v>
      </x:c>
      <x:c r="N1669" s="8" t="n">
        <x:f>M1669^2</x:f>
        <x:v>0.5085647946839132</x:v>
      </x:c>
      <x:c r="O1669" s="8" t="n">
        <x:f>ABS(M1669)</x:f>
        <x:v>0.7131372902070914</x:v>
      </x:c>
      <x:c r="P1669" s="7" t="n">
        <x:v>45135</x:v>
      </x:c>
    </x:row>
    <x:row r="1670" ht="26" customHeight="1">
      <x:c r="A1670" s="2"/>
      <x:c r="B1670" s="2" t="n">
        <x:v>1665</x:v>
      </x:c>
      <x:c r="C1670" s="2" t="str">
        <x:v>Fabric &amp; Home Care / organic_volume_growth</x:v>
      </x:c>
      <x:c r="D1670" s="7" t="n">
        <x:v>45107</x:v>
      </x:c>
      <x:c r="E1670" s="2" t="str">
        <x:v>Prior report</x:v>
      </x:c>
      <x:c r="F1670" s="7" t="n">
        <x:v>45037</x:v>
      </x:c>
      <x:c r="G1670" s="2" t="str">
        <x:v>Own history</x:v>
      </x:c>
      <x:c r="H1670" s="8" t="n">
        <x:f>'Model fits'!AA1090</x:f>
        <x:v>-4.769230769230769</x:v>
      </x:c>
      <x:c r="I1670" s="8" t="n">
        <x:f>0</x:f>
        <x:v>0</x:v>
      </x:c>
      <x:c r="J1670" s="8" t="n">
        <x:v>0</x:v>
      </x:c>
      <x:c r="K1670" s="8" t="n">
        <x:f>H1670-I1670*J1670</x:f>
        <x:v>-4.769230769230769</x:v>
      </x:c>
      <x:c r="L1670" s="8" t="n">
        <x:f>'PG facts'!E72</x:f>
        <x:v>-2</x:v>
      </x:c>
      <x:c r="M1670" s="8" t="n">
        <x:f>K1670-L1670</x:f>
        <x:v>-2.769230769230769</x:v>
      </x:c>
      <x:c r="N1670" s="8" t="n">
        <x:f>M1670^2</x:f>
        <x:v>7.668639053254437</x:v>
      </x:c>
      <x:c r="O1670" s="8" t="n">
        <x:f>ABS(M1670)</x:f>
        <x:v>2.769230769230769</x:v>
      </x:c>
      <x:c r="P1670" s="7" t="n">
        <x:v>45135</x:v>
      </x:c>
    </x:row>
    <x:row r="1671" ht="26" customHeight="1">
      <x:c r="A1671" s="2"/>
      <x:c r="B1671" s="2" t="n">
        <x:v>1666</x:v>
      </x:c>
      <x:c r="C1671" s="2" t="str">
        <x:v>Fabric &amp; Home Care / organic_volume_growth</x:v>
      </x:c>
      <x:c r="D1671" s="7" t="n">
        <x:v>45107</x:v>
      </x:c>
      <x:c r="E1671" s="2" t="str">
        <x:v>Pre-earnings</x:v>
      </x:c>
      <x:c r="F1671" s="7" t="n">
        <x:v>45134</x:v>
      </x:c>
      <x:c r="G1671" s="2" t="str">
        <x:v>Last actual</x:v>
      </x:c>
      <x:c r="H1671" s="8" t="n">
        <x:f>AVERAGE('PG facts'!E65)</x:f>
        <x:v>-5</x:v>
      </x:c>
      <x:c r="I1671" s="8" t="n">
        <x:f>0</x:f>
        <x:v>0</x:v>
      </x:c>
      <x:c r="J1671" s="8" t="n">
        <x:v>0</x:v>
      </x:c>
      <x:c r="K1671" s="8" t="n">
        <x:f>H1671-I1671*J1671</x:f>
        <x:v>-5</x:v>
      </x:c>
      <x:c r="L1671" s="8" t="n">
        <x:f>'PG facts'!E72</x:f>
        <x:v>-2</x:v>
      </x:c>
      <x:c r="M1671" s="8" t="n">
        <x:f>K1671-L1671</x:f>
        <x:v>-3</x:v>
      </x:c>
      <x:c r="N1671" s="8" t="n">
        <x:f>M1671^2</x:f>
        <x:v>9</x:v>
      </x:c>
      <x:c r="O1671" s="8" t="n">
        <x:f>ABS(M1671)</x:f>
        <x:v>3</x:v>
      </x:c>
      <x:c r="P1671" s="7" t="n">
        <x:v>45135</x:v>
      </x:c>
    </x:row>
    <x:row r="1672" ht="26" customHeight="1">
      <x:c r="A1672" s="2"/>
      <x:c r="B1672" s="2" t="n">
        <x:v>1667</x:v>
      </x:c>
      <x:c r="C1672" s="2" t="str">
        <x:v>Fabric &amp; Home Care / organic_volume_growth</x:v>
      </x:c>
      <x:c r="D1672" s="7" t="n">
        <x:v>45107</x:v>
      </x:c>
      <x:c r="E1672" s="2" t="str">
        <x:v>Pre-earnings</x:v>
      </x:c>
      <x:c r="F1672" s="7" t="n">
        <x:v>45134</x:v>
      </x:c>
      <x:c r="G1672" s="2" t="str">
        <x:v>Four-quarter mean</x:v>
      </x:c>
      <x:c r="H1672" s="8" t="n">
        <x:f>AVERAGE('PG facts'!E44,'PG facts'!E51,'PG facts'!E58,'PG facts'!E65)</x:f>
        <x:v>-4.25</x:v>
      </x:c>
      <x:c r="I1672" s="8" t="n">
        <x:f>0</x:f>
        <x:v>0</x:v>
      </x:c>
      <x:c r="J1672" s="8" t="n">
        <x:v>0</x:v>
      </x:c>
      <x:c r="K1672" s="8" t="n">
        <x:f>H1672-I1672*J1672</x:f>
        <x:v>-4.25</x:v>
      </x:c>
      <x:c r="L1672" s="8" t="n">
        <x:f>'PG facts'!E72</x:f>
        <x:v>-2</x:v>
      </x:c>
      <x:c r="M1672" s="8" t="n">
        <x:f>K1672-L1672</x:f>
        <x:v>-2.25</x:v>
      </x:c>
      <x:c r="N1672" s="8" t="n">
        <x:f>M1672^2</x:f>
        <x:v>5.0625</x:v>
      </x:c>
      <x:c r="O1672" s="8" t="n">
        <x:f>ABS(M1672)</x:f>
        <x:v>2.25</x:v>
      </x:c>
      <x:c r="P1672" s="7" t="n">
        <x:v>45135</x:v>
      </x:c>
    </x:row>
    <x:row r="1673" ht="26" customHeight="1">
      <x:c r="A1673" s="2"/>
      <x:c r="B1673" s="2" t="n">
        <x:v>1668</x:v>
      </x:c>
      <x:c r="C1673" s="2" t="str">
        <x:v>Fabric &amp; Home Care / organic_volume_growth</x:v>
      </x:c>
      <x:c r="D1673" s="7" t="n">
        <x:v>45107</x:v>
      </x:c>
      <x:c r="E1673" s="2" t="str">
        <x:v>Pre-earnings</x:v>
      </x:c>
      <x:c r="F1673" s="7" t="n">
        <x:v>45134</x:v>
      </x:c>
      <x:c r="G1673" s="2" t="str">
        <x:v>Broad market</x:v>
      </x:c>
      <x:c r="H1673" s="8" t="n">
        <x:f>'Model fits'!AA1091</x:f>
        <x:v>-1.6148210851557177</x:v>
      </x:c>
      <x:c r="I1673" s="8" t="n">
        <x:f>0</x:f>
        <x:v>0</x:v>
      </x:c>
      <x:c r="J1673" s="8" t="n">
        <x:v>0</x:v>
      </x:c>
      <x:c r="K1673" s="8" t="n">
        <x:f>H1673-I1673*J1673</x:f>
        <x:v>-1.6148210851557177</x:v>
      </x:c>
      <x:c r="L1673" s="8" t="n">
        <x:f>'PG facts'!E72</x:f>
        <x:v>-2</x:v>
      </x:c>
      <x:c r="M1673" s="8" t="n">
        <x:f>K1673-L1673</x:f>
        <x:v>0.38517891484428235</x:v>
      </x:c>
      <x:c r="N1673" s="8" t="n">
        <x:f>M1673^2</x:f>
        <x:v>0.14836279644061892</x:v>
      </x:c>
      <x:c r="O1673" s="8" t="n">
        <x:f>ABS(M1673)</x:f>
        <x:v>0.38517891484428235</x:v>
      </x:c>
      <x:c r="P1673" s="7" t="n">
        <x:v>45135</x:v>
      </x:c>
    </x:row>
    <x:row r="1674" ht="26" customHeight="1">
      <x:c r="A1674" s="2"/>
      <x:c r="B1674" s="2" t="n">
        <x:v>1669</x:v>
      </x:c>
      <x:c r="C1674" s="2" t="str">
        <x:v>Fabric &amp; Home Care / organic_volume_growth</x:v>
      </x:c>
      <x:c r="D1674" s="7" t="n">
        <x:v>45107</x:v>
      </x:c>
      <x:c r="E1674" s="2" t="str">
        <x:v>Pre-earnings</x:v>
      </x:c>
      <x:c r="F1674" s="7" t="n">
        <x:v>45134</x:v>
      </x:c>
      <x:c r="G1674" s="2" t="str">
        <x:v>Broad lag 1</x:v>
      </x:c>
      <x:c r="H1674" s="8" t="n">
        <x:f>'Model fits'!AA1092</x:f>
        <x:v>-3.2448653018241416</x:v>
      </x:c>
      <x:c r="I1674" s="8" t="n">
        <x:f>0</x:f>
        <x:v>0</x:v>
      </x:c>
      <x:c r="J1674" s="8" t="n">
        <x:v>0</x:v>
      </x:c>
      <x:c r="K1674" s="8" t="n">
        <x:f>H1674-I1674*J1674</x:f>
        <x:v>-3.2448653018241416</x:v>
      </x:c>
      <x:c r="L1674" s="8" t="n">
        <x:f>'PG facts'!E72</x:f>
        <x:v>-2</x:v>
      </x:c>
      <x:c r="M1674" s="8" t="n">
        <x:f>K1674-L1674</x:f>
        <x:v>-1.2448653018241416</x:v>
      </x:c>
      <x:c r="N1674" s="8" t="n">
        <x:f>M1674^2</x:f>
        <x:v>1.549689619685711</x:v>
      </x:c>
      <x:c r="O1674" s="8" t="n">
        <x:f>ABS(M1674)</x:f>
        <x:v>1.2448653018241416</x:v>
      </x:c>
      <x:c r="P1674" s="7" t="n">
        <x:v>45135</x:v>
      </x:c>
    </x:row>
    <x:row r="1675" ht="26" customHeight="1">
      <x:c r="A1675" s="2"/>
      <x:c r="B1675" s="2" t="n">
        <x:v>1670</x:v>
      </x:c>
      <x:c r="C1675" s="2" t="str">
        <x:v>Fabric &amp; Home Care / organic_volume_growth</x:v>
      </x:c>
      <x:c r="D1675" s="7" t="n">
        <x:v>45107</x:v>
      </x:c>
      <x:c r="E1675" s="2" t="str">
        <x:v>Pre-earnings</x:v>
      </x:c>
      <x:c r="F1675" s="7" t="n">
        <x:v>45134</x:v>
      </x:c>
      <x:c r="G1675" s="2" t="str">
        <x:v>Broad rolling 8</x:v>
      </x:c>
      <x:c r="H1675" s="8" t="n">
        <x:f>'Model fits'!AA1093</x:f>
        <x:v>-1.7298904647870557</x:v>
      </x:c>
      <x:c r="I1675" s="8" t="n">
        <x:f>0</x:f>
        <x:v>0</x:v>
      </x:c>
      <x:c r="J1675" s="8" t="n">
        <x:v>0</x:v>
      </x:c>
      <x:c r="K1675" s="8" t="n">
        <x:f>H1675-I1675*J1675</x:f>
        <x:v>-1.7298904647870557</x:v>
      </x:c>
      <x:c r="L1675" s="8" t="n">
        <x:f>'PG facts'!E72</x:f>
        <x:v>-2</x:v>
      </x:c>
      <x:c r="M1675" s="8" t="n">
        <x:f>K1675-L1675</x:f>
        <x:v>0.27010953521294434</x:v>
      </x:c>
      <x:c r="N1675" s="8" t="n">
        <x:f>M1675^2</x:f>
        <x:v>0.07295916101295281</x:v>
      </x:c>
      <x:c r="O1675" s="8" t="n">
        <x:f>ABS(M1675)</x:f>
        <x:v>0.27010953521294434</x:v>
      </x:c>
      <x:c r="P1675" s="7" t="n">
        <x:v>45135</x:v>
      </x:c>
    </x:row>
    <x:row r="1676" ht="26" customHeight="1">
      <x:c r="A1676" s="2"/>
      <x:c r="B1676" s="2" t="n">
        <x:v>1671</x:v>
      </x:c>
      <x:c r="C1676" s="2" t="str">
        <x:v>Fabric &amp; Home Care / organic_volume_growth</x:v>
      </x:c>
      <x:c r="D1676" s="7" t="n">
        <x:v>45107</x:v>
      </x:c>
      <x:c r="E1676" s="2" t="str">
        <x:v>Pre-earnings</x:v>
      </x:c>
      <x:c r="F1676" s="7" t="n">
        <x:v>45134</x:v>
      </x:c>
      <x:c r="G1676" s="2" t="str">
        <x:v>Own history</x:v>
      </x:c>
      <x:c r="H1676" s="8" t="n">
        <x:f>'Model fits'!AA1094</x:f>
        <x:v>-4.769230769230769</x:v>
      </x:c>
      <x:c r="I1676" s="8" t="n">
        <x:f>0</x:f>
        <x:v>0</x:v>
      </x:c>
      <x:c r="J1676" s="8" t="n">
        <x:v>0</x:v>
      </x:c>
      <x:c r="K1676" s="8" t="n">
        <x:f>H1676-I1676*J1676</x:f>
        <x:v>-4.769230769230769</x:v>
      </x:c>
      <x:c r="L1676" s="8" t="n">
        <x:f>'PG facts'!E72</x:f>
        <x:v>-2</x:v>
      </x:c>
      <x:c r="M1676" s="8" t="n">
        <x:f>K1676-L1676</x:f>
        <x:v>-2.769230769230769</x:v>
      </x:c>
      <x:c r="N1676" s="8" t="n">
        <x:f>M1676^2</x:f>
        <x:v>7.668639053254437</x:v>
      </x:c>
      <x:c r="O1676" s="8" t="n">
        <x:f>ABS(M1676)</x:f>
        <x:v>2.769230769230769</x:v>
      </x:c>
      <x:c r="P1676" s="7" t="n">
        <x:v>45135</x:v>
      </x:c>
    </x:row>
    <x:row r="1677" ht="26" customHeight="1">
      <x:c r="A1677" s="2"/>
      <x:c r="B1677" s="2" t="n">
        <x:v>1672</x:v>
      </x:c>
      <x:c r="C1677" s="2" t="str">
        <x:v>Fabric &amp; Home Care / organic_volume_growth</x:v>
      </x:c>
      <x:c r="D1677" s="7" t="n">
        <x:v>45199</x:v>
      </x:c>
      <x:c r="E1677" s="2" t="str">
        <x:v>Origin</x:v>
      </x:c>
      <x:c r="F1677" s="7" t="n">
        <x:v>45108</x:v>
      </x:c>
      <x:c r="G1677" s="2" t="str">
        <x:v>Last actual</x:v>
      </x:c>
      <x:c r="H1677" s="8" t="n">
        <x:f>AVERAGE('PG facts'!E65)</x:f>
        <x:v>-5</x:v>
      </x:c>
      <x:c r="I1677" s="8" t="n">
        <x:f>0</x:f>
        <x:v>0</x:v>
      </x:c>
      <x:c r="J1677" s="8" t="n">
        <x:v>0</x:v>
      </x:c>
      <x:c r="K1677" s="8" t="n">
        <x:f>H1677-I1677*J1677</x:f>
        <x:v>-5</x:v>
      </x:c>
      <x:c r="L1677" s="8" t="n">
        <x:f>'PG facts'!E79</x:f>
        <x:v>0</x:v>
      </x:c>
      <x:c r="M1677" s="8" t="n">
        <x:f>K1677-L1677</x:f>
        <x:v>-5</x:v>
      </x:c>
      <x:c r="N1677" s="8" t="n">
        <x:f>M1677^2</x:f>
        <x:v>25</x:v>
      </x:c>
      <x:c r="O1677" s="8" t="n">
        <x:f>ABS(M1677)</x:f>
        <x:v>5</x:v>
      </x:c>
      <x:c r="P1677" s="7" t="n">
        <x:v>45217</x:v>
      </x:c>
    </x:row>
    <x:row r="1678" ht="26" customHeight="1">
      <x:c r="A1678" s="2"/>
      <x:c r="B1678" s="2" t="n">
        <x:v>1673</x:v>
      </x:c>
      <x:c r="C1678" s="2" t="str">
        <x:v>Fabric &amp; Home Care / organic_volume_growth</x:v>
      </x:c>
      <x:c r="D1678" s="7" t="n">
        <x:v>45199</x:v>
      </x:c>
      <x:c r="E1678" s="2" t="str">
        <x:v>Origin</x:v>
      </x:c>
      <x:c r="F1678" s="7" t="n">
        <x:v>45108</x:v>
      </x:c>
      <x:c r="G1678" s="2" t="str">
        <x:v>Four-quarter mean</x:v>
      </x:c>
      <x:c r="H1678" s="8" t="n">
        <x:f>AVERAGE('PG facts'!E44,'PG facts'!E51,'PG facts'!E58,'PG facts'!E65)</x:f>
        <x:v>-4.25</x:v>
      </x:c>
      <x:c r="I1678" s="8" t="n">
        <x:f>0</x:f>
        <x:v>0</x:v>
      </x:c>
      <x:c r="J1678" s="8" t="n">
        <x:v>0</x:v>
      </x:c>
      <x:c r="K1678" s="8" t="n">
        <x:f>H1678-I1678*J1678</x:f>
        <x:v>-4.25</x:v>
      </x:c>
      <x:c r="L1678" s="8" t="n">
        <x:f>'PG facts'!E79</x:f>
        <x:v>0</x:v>
      </x:c>
      <x:c r="M1678" s="8" t="n">
        <x:f>K1678-L1678</x:f>
        <x:v>-4.25</x:v>
      </x:c>
      <x:c r="N1678" s="8" t="n">
        <x:f>M1678^2</x:f>
        <x:v>18.0625</x:v>
      </x:c>
      <x:c r="O1678" s="8" t="n">
        <x:f>ABS(M1678)</x:f>
        <x:v>4.25</x:v>
      </x:c>
      <x:c r="P1678" s="7" t="n">
        <x:v>45217</x:v>
      </x:c>
    </x:row>
    <x:row r="1679" ht="26" customHeight="1">
      <x:c r="A1679" s="2"/>
      <x:c r="B1679" s="2" t="n">
        <x:v>1674</x:v>
      </x:c>
      <x:c r="C1679" s="2" t="str">
        <x:v>Fabric &amp; Home Care / organic_volume_growth</x:v>
      </x:c>
      <x:c r="D1679" s="7" t="n">
        <x:v>45199</x:v>
      </x:c>
      <x:c r="E1679" s="2" t="str">
        <x:v>Origin</x:v>
      </x:c>
      <x:c r="F1679" s="7" t="n">
        <x:v>45108</x:v>
      </x:c>
      <x:c r="G1679" s="2" t="str">
        <x:v>Broad market</x:v>
      </x:c>
      <x:c r="H1679" s="8" t="n">
        <x:f>'Model fits'!AA1095</x:f>
        <x:v>-1.699854946600974</x:v>
      </x:c>
      <x:c r="I1679" s="8" t="n">
        <x:f>0</x:f>
        <x:v>0</x:v>
      </x:c>
      <x:c r="J1679" s="8" t="n">
        <x:v>0</x:v>
      </x:c>
      <x:c r="K1679" s="8" t="n">
        <x:f>H1679-I1679*J1679</x:f>
        <x:v>-1.699854946600974</x:v>
      </x:c>
      <x:c r="L1679" s="8" t="n">
        <x:f>'PG facts'!E79</x:f>
        <x:v>0</x:v>
      </x:c>
      <x:c r="M1679" s="8" t="n">
        <x:f>K1679-L1679</x:f>
        <x:v>-1.699854946600974</x:v>
      </x:c>
      <x:c r="N1679" s="8" t="n">
        <x:f>M1679^2</x:f>
        <x:v>2.8895068394838</x:v>
      </x:c>
      <x:c r="O1679" s="8" t="n">
        <x:f>ABS(M1679)</x:f>
        <x:v>1.699854946600974</x:v>
      </x:c>
      <x:c r="P1679" s="7" t="n">
        <x:v>45217</x:v>
      </x:c>
    </x:row>
    <x:row r="1680" ht="26" customHeight="1">
      <x:c r="A1680" s="2"/>
      <x:c r="B1680" s="2" t="n">
        <x:v>1675</x:v>
      </x:c>
      <x:c r="C1680" s="2" t="str">
        <x:v>Fabric &amp; Home Care / organic_volume_growth</x:v>
      </x:c>
      <x:c r="D1680" s="7" t="n">
        <x:v>45199</x:v>
      </x:c>
      <x:c r="E1680" s="2" t="str">
        <x:v>Origin</x:v>
      </x:c>
      <x:c r="F1680" s="7" t="n">
        <x:v>45108</x:v>
      </x:c>
      <x:c r="G1680" s="2" t="str">
        <x:v>Broad rolling 8</x:v>
      </x:c>
      <x:c r="H1680" s="8" t="n">
        <x:f>'Model fits'!AA1096</x:f>
        <x:v>-1.8117677785664237</x:v>
      </x:c>
      <x:c r="I1680" s="8" t="n">
        <x:f>0</x:f>
        <x:v>0</x:v>
      </x:c>
      <x:c r="J1680" s="8" t="n">
        <x:v>0</x:v>
      </x:c>
      <x:c r="K1680" s="8" t="n">
        <x:f>H1680-I1680*J1680</x:f>
        <x:v>-1.8117677785664237</x:v>
      </x:c>
      <x:c r="L1680" s="8" t="n">
        <x:f>'PG facts'!E79</x:f>
        <x:v>0</x:v>
      </x:c>
      <x:c r="M1680" s="8" t="n">
        <x:f>K1680-L1680</x:f>
        <x:v>-1.8117677785664237</x:v>
      </x:c>
      <x:c r="N1680" s="8" t="n">
        <x:f>M1680^2</x:f>
        <x:v>3.2825024834515135</x:v>
      </x:c>
      <x:c r="O1680" s="8" t="n">
        <x:f>ABS(M1680)</x:f>
        <x:v>1.8117677785664237</x:v>
      </x:c>
      <x:c r="P1680" s="7" t="n">
        <x:v>45217</x:v>
      </x:c>
    </x:row>
    <x:row r="1681" ht="26" customHeight="1">
      <x:c r="A1681" s="2"/>
      <x:c r="B1681" s="2" t="n">
        <x:v>1676</x:v>
      </x:c>
      <x:c r="C1681" s="2" t="str">
        <x:v>Fabric &amp; Home Care / organic_volume_growth</x:v>
      </x:c>
      <x:c r="D1681" s="7" t="n">
        <x:v>45199</x:v>
      </x:c>
      <x:c r="E1681" s="2" t="str">
        <x:v>Prior report</x:v>
      </x:c>
      <x:c r="F1681" s="7" t="n">
        <x:v>45135</x:v>
      </x:c>
      <x:c r="G1681" s="2" t="str">
        <x:v>Last actual</x:v>
      </x:c>
      <x:c r="H1681" s="8" t="n">
        <x:f>AVERAGE('PG facts'!E72)</x:f>
        <x:v>-2</x:v>
      </x:c>
      <x:c r="I1681" s="8" t="n">
        <x:f>0</x:f>
        <x:v>0</x:v>
      </x:c>
      <x:c r="J1681" s="8" t="n">
        <x:v>0</x:v>
      </x:c>
      <x:c r="K1681" s="8" t="n">
        <x:f>H1681-I1681*J1681</x:f>
        <x:v>-2</x:v>
      </x:c>
      <x:c r="L1681" s="8" t="n">
        <x:f>'PG facts'!E79</x:f>
        <x:v>0</x:v>
      </x:c>
      <x:c r="M1681" s="8" t="n">
        <x:f>K1681-L1681</x:f>
        <x:v>-2</x:v>
      </x:c>
      <x:c r="N1681" s="8" t="n">
        <x:f>M1681^2</x:f>
        <x:v>4</x:v>
      </x:c>
      <x:c r="O1681" s="8" t="n">
        <x:f>ABS(M1681)</x:f>
        <x:v>2</x:v>
      </x:c>
      <x:c r="P1681" s="7" t="n">
        <x:v>45217</x:v>
      </x:c>
    </x:row>
    <x:row r="1682" ht="26" customHeight="1">
      <x:c r="A1682" s="2"/>
      <x:c r="B1682" s="2" t="n">
        <x:v>1677</x:v>
      </x:c>
      <x:c r="C1682" s="2" t="str">
        <x:v>Fabric &amp; Home Care / organic_volume_growth</x:v>
      </x:c>
      <x:c r="D1682" s="7" t="n">
        <x:v>45199</x:v>
      </x:c>
      <x:c r="E1682" s="2" t="str">
        <x:v>Prior report</x:v>
      </x:c>
      <x:c r="F1682" s="7" t="n">
        <x:v>45135</x:v>
      </x:c>
      <x:c r="G1682" s="2" t="str">
        <x:v>Four-quarter mean</x:v>
      </x:c>
      <x:c r="H1682" s="8" t="n">
        <x:f>AVERAGE('PG facts'!E51,'PG facts'!E58,'PG facts'!E65,'PG facts'!E72)</x:f>
        <x:v>-4.5</x:v>
      </x:c>
      <x:c r="I1682" s="8" t="n">
        <x:f>0</x:f>
        <x:v>0</x:v>
      </x:c>
      <x:c r="J1682" s="8" t="n">
        <x:v>0</x:v>
      </x:c>
      <x:c r="K1682" s="8" t="n">
        <x:f>H1682-I1682*J1682</x:f>
        <x:v>-4.5</x:v>
      </x:c>
      <x:c r="L1682" s="8" t="n">
        <x:f>'PG facts'!E79</x:f>
        <x:v>0</x:v>
      </x:c>
      <x:c r="M1682" s="8" t="n">
        <x:f>K1682-L1682</x:f>
        <x:v>-4.5</x:v>
      </x:c>
      <x:c r="N1682" s="8" t="n">
        <x:f>M1682^2</x:f>
        <x:v>20.25</x:v>
      </x:c>
      <x:c r="O1682" s="8" t="n">
        <x:f>ABS(M1682)</x:f>
        <x:v>4.5</x:v>
      </x:c>
      <x:c r="P1682" s="7" t="n">
        <x:v>45217</x:v>
      </x:c>
    </x:row>
    <x:row r="1683" ht="26" customHeight="1">
      <x:c r="A1683" s="2"/>
      <x:c r="B1683" s="2" t="n">
        <x:v>1678</x:v>
      </x:c>
      <x:c r="C1683" s="2" t="str">
        <x:v>Fabric &amp; Home Care / organic_volume_growth</x:v>
      </x:c>
      <x:c r="D1683" s="7" t="n">
        <x:v>45199</x:v>
      </x:c>
      <x:c r="E1683" s="2" t="str">
        <x:v>Prior report</x:v>
      </x:c>
      <x:c r="F1683" s="7" t="n">
        <x:v>45135</x:v>
      </x:c>
      <x:c r="G1683" s="2" t="str">
        <x:v>Broad market</x:v>
      </x:c>
      <x:c r="H1683" s="8" t="n">
        <x:f>'Model fits'!AA1097</x:f>
        <x:v>-1.6011909543988254</x:v>
      </x:c>
      <x:c r="I1683" s="8" t="n">
        <x:f>0</x:f>
        <x:v>0</x:v>
      </x:c>
      <x:c r="J1683" s="8" t="n">
        <x:v>0</x:v>
      </x:c>
      <x:c r="K1683" s="8" t="n">
        <x:f>H1683-I1683*J1683</x:f>
        <x:v>-1.6011909543988254</x:v>
      </x:c>
      <x:c r="L1683" s="8" t="n">
        <x:f>'PG facts'!E79</x:f>
        <x:v>0</x:v>
      </x:c>
      <x:c r="M1683" s="8" t="n">
        <x:f>K1683-L1683</x:f>
        <x:v>-1.6011909543988254</x:v>
      </x:c>
      <x:c r="N1683" s="8" t="n">
        <x:f>M1683^2</x:f>
        <x:v>2.5638124724486215</x:v>
      </x:c>
      <x:c r="O1683" s="8" t="n">
        <x:f>ABS(M1683)</x:f>
        <x:v>1.6011909543988254</x:v>
      </x:c>
      <x:c r="P1683" s="7" t="n">
        <x:v>45217</x:v>
      </x:c>
    </x:row>
    <x:row r="1684" ht="26" customHeight="1">
      <x:c r="A1684" s="2"/>
      <x:c r="B1684" s="2" t="n">
        <x:v>1679</x:v>
      </x:c>
      <x:c r="C1684" s="2" t="str">
        <x:v>Fabric &amp; Home Care / organic_volume_growth</x:v>
      </x:c>
      <x:c r="D1684" s="7" t="n">
        <x:v>45199</x:v>
      </x:c>
      <x:c r="E1684" s="2" t="str">
        <x:v>Prior report</x:v>
      </x:c>
      <x:c r="F1684" s="7" t="n">
        <x:v>45135</x:v>
      </x:c>
      <x:c r="G1684" s="2" t="str">
        <x:v>Broad lag 1</x:v>
      </x:c>
      <x:c r="H1684" s="8" t="n">
        <x:f>'Model fits'!AA1098</x:f>
        <x:v>-2.4837838323707024</x:v>
      </x:c>
      <x:c r="I1684" s="8" t="n">
        <x:f>0</x:f>
        <x:v>0</x:v>
      </x:c>
      <x:c r="J1684" s="8" t="n">
        <x:v>0</x:v>
      </x:c>
      <x:c r="K1684" s="8" t="n">
        <x:f>H1684-I1684*J1684</x:f>
        <x:v>-2.4837838323707024</x:v>
      </x:c>
      <x:c r="L1684" s="8" t="n">
        <x:f>'PG facts'!E79</x:f>
        <x:v>0</x:v>
      </x:c>
      <x:c r="M1684" s="8" t="n">
        <x:f>K1684-L1684</x:f>
        <x:v>-2.4837838323707024</x:v>
      </x:c>
      <x:c r="N1684" s="8" t="n">
        <x:f>M1684^2</x:f>
        <x:v>6.169182125946094</x:v>
      </x:c>
      <x:c r="O1684" s="8" t="n">
        <x:f>ABS(M1684)</x:f>
        <x:v>2.4837838323707024</x:v>
      </x:c>
      <x:c r="P1684" s="7" t="n">
        <x:v>45217</x:v>
      </x:c>
    </x:row>
    <x:row r="1685" ht="26" customHeight="1">
      <x:c r="A1685" s="2"/>
      <x:c r="B1685" s="2" t="n">
        <x:v>1680</x:v>
      </x:c>
      <x:c r="C1685" s="2" t="str">
        <x:v>Fabric &amp; Home Care / organic_volume_growth</x:v>
      </x:c>
      <x:c r="D1685" s="7" t="n">
        <x:v>45199</x:v>
      </x:c>
      <x:c r="E1685" s="2" t="str">
        <x:v>Prior report</x:v>
      </x:c>
      <x:c r="F1685" s="7" t="n">
        <x:v>45135</x:v>
      </x:c>
      <x:c r="G1685" s="2" t="str">
        <x:v>Broad rolling 8</x:v>
      </x:c>
      <x:c r="H1685" s="8" t="n">
        <x:f>'Model fits'!AA1099</x:f>
        <x:v>-1.8091203750677698</x:v>
      </x:c>
      <x:c r="I1685" s="8" t="n">
        <x:f>0</x:f>
        <x:v>0</x:v>
      </x:c>
      <x:c r="J1685" s="8" t="n">
        <x:v>0</x:v>
      </x:c>
      <x:c r="K1685" s="8" t="n">
        <x:f>H1685-I1685*J1685</x:f>
        <x:v>-1.8091203750677698</x:v>
      </x:c>
      <x:c r="L1685" s="8" t="n">
        <x:f>'PG facts'!E79</x:f>
        <x:v>0</x:v>
      </x:c>
      <x:c r="M1685" s="8" t="n">
        <x:f>K1685-L1685</x:f>
        <x:v>-1.8091203750677698</x:v>
      </x:c>
      <x:c r="N1685" s="8" t="n">
        <x:f>M1685^2</x:f>
        <x:v>3.272916531485348</x:v>
      </x:c>
      <x:c r="O1685" s="8" t="n">
        <x:f>ABS(M1685)</x:f>
        <x:v>1.8091203750677698</x:v>
      </x:c>
      <x:c r="P1685" s="7" t="n">
        <x:v>45217</x:v>
      </x:c>
    </x:row>
    <x:row r="1686" ht="26" customHeight="1">
      <x:c r="A1686" s="2"/>
      <x:c r="B1686" s="2" t="n">
        <x:v>1681</x:v>
      </x:c>
      <x:c r="C1686" s="2" t="str">
        <x:v>Fabric &amp; Home Care / organic_volume_growth</x:v>
      </x:c>
      <x:c r="D1686" s="7" t="n">
        <x:v>45199</x:v>
      </x:c>
      <x:c r="E1686" s="2" t="str">
        <x:v>Prior report</x:v>
      </x:c>
      <x:c r="F1686" s="7" t="n">
        <x:v>45135</x:v>
      </x:c>
      <x:c r="G1686" s="2" t="str">
        <x:v>Own history</x:v>
      </x:c>
      <x:c r="H1686" s="8" t="n">
        <x:f>'Model fits'!AA1100</x:f>
        <x:v>-1.9366459627329191</x:v>
      </x:c>
      <x:c r="I1686" s="8" t="n">
        <x:f>0</x:f>
        <x:v>0</x:v>
      </x:c>
      <x:c r="J1686" s="8" t="n">
        <x:v>0</x:v>
      </x:c>
      <x:c r="K1686" s="8" t="n">
        <x:f>H1686-I1686*J1686</x:f>
        <x:v>-1.9366459627329191</x:v>
      </x:c>
      <x:c r="L1686" s="8" t="n">
        <x:f>'PG facts'!E79</x:f>
        <x:v>0</x:v>
      </x:c>
      <x:c r="M1686" s="8" t="n">
        <x:f>K1686-L1686</x:f>
        <x:v>-1.9366459627329191</x:v>
      </x:c>
      <x:c r="N1686" s="8" t="n">
        <x:f>M1686^2</x:f>
        <x:v>3.7505975849697153</x:v>
      </x:c>
      <x:c r="O1686" s="8" t="n">
        <x:f>ABS(M1686)</x:f>
        <x:v>1.9366459627329191</x:v>
      </x:c>
      <x:c r="P1686" s="7" t="n">
        <x:v>45217</x:v>
      </x:c>
    </x:row>
    <x:row r="1687" ht="26" customHeight="1">
      <x:c r="A1687" s="2"/>
      <x:c r="B1687" s="2" t="n">
        <x:v>1682</x:v>
      </x:c>
      <x:c r="C1687" s="2" t="str">
        <x:v>Fabric &amp; Home Care / organic_volume_growth</x:v>
      </x:c>
      <x:c r="D1687" s="7" t="n">
        <x:v>45199</x:v>
      </x:c>
      <x:c r="E1687" s="2" t="str">
        <x:v>Pre-earnings</x:v>
      </x:c>
      <x:c r="F1687" s="7" t="n">
        <x:v>45216</x:v>
      </x:c>
      <x:c r="G1687" s="2" t="str">
        <x:v>Last actual</x:v>
      </x:c>
      <x:c r="H1687" s="8" t="n">
        <x:f>AVERAGE('PG facts'!E72)</x:f>
        <x:v>-2</x:v>
      </x:c>
      <x:c r="I1687" s="8" t="n">
        <x:f>0</x:f>
        <x:v>0</x:v>
      </x:c>
      <x:c r="J1687" s="8" t="n">
        <x:v>0</x:v>
      </x:c>
      <x:c r="K1687" s="8" t="n">
        <x:f>H1687-I1687*J1687</x:f>
        <x:v>-2</x:v>
      </x:c>
      <x:c r="L1687" s="8" t="n">
        <x:f>'PG facts'!E79</x:f>
        <x:v>0</x:v>
      </x:c>
      <x:c r="M1687" s="8" t="n">
        <x:f>K1687-L1687</x:f>
        <x:v>-2</x:v>
      </x:c>
      <x:c r="N1687" s="8" t="n">
        <x:f>M1687^2</x:f>
        <x:v>4</x:v>
      </x:c>
      <x:c r="O1687" s="8" t="n">
        <x:f>ABS(M1687)</x:f>
        <x:v>2</x:v>
      </x:c>
      <x:c r="P1687" s="7" t="n">
        <x:v>45217</x:v>
      </x:c>
    </x:row>
    <x:row r="1688" ht="26" customHeight="1">
      <x:c r="A1688" s="2"/>
      <x:c r="B1688" s="2" t="n">
        <x:v>1683</x:v>
      </x:c>
      <x:c r="C1688" s="2" t="str">
        <x:v>Fabric &amp; Home Care / organic_volume_growth</x:v>
      </x:c>
      <x:c r="D1688" s="7" t="n">
        <x:v>45199</x:v>
      </x:c>
      <x:c r="E1688" s="2" t="str">
        <x:v>Pre-earnings</x:v>
      </x:c>
      <x:c r="F1688" s="7" t="n">
        <x:v>45216</x:v>
      </x:c>
      <x:c r="G1688" s="2" t="str">
        <x:v>Four-quarter mean</x:v>
      </x:c>
      <x:c r="H1688" s="8" t="n">
        <x:f>AVERAGE('PG facts'!E51,'PG facts'!E58,'PG facts'!E65,'PG facts'!E72)</x:f>
        <x:v>-4.5</x:v>
      </x:c>
      <x:c r="I1688" s="8" t="n">
        <x:f>0</x:f>
        <x:v>0</x:v>
      </x:c>
      <x:c r="J1688" s="8" t="n">
        <x:v>0</x:v>
      </x:c>
      <x:c r="K1688" s="8" t="n">
        <x:f>H1688-I1688*J1688</x:f>
        <x:v>-4.5</x:v>
      </x:c>
      <x:c r="L1688" s="8" t="n">
        <x:f>'PG facts'!E79</x:f>
        <x:v>0</x:v>
      </x:c>
      <x:c r="M1688" s="8" t="n">
        <x:f>K1688-L1688</x:f>
        <x:v>-4.5</x:v>
      </x:c>
      <x:c r="N1688" s="8" t="n">
        <x:f>M1688^2</x:f>
        <x:v>20.25</x:v>
      </x:c>
      <x:c r="O1688" s="8" t="n">
        <x:f>ABS(M1688)</x:f>
        <x:v>4.5</x:v>
      </x:c>
      <x:c r="P1688" s="7" t="n">
        <x:v>45217</x:v>
      </x:c>
    </x:row>
    <x:row r="1689" ht="26" customHeight="1">
      <x:c r="A1689" s="2"/>
      <x:c r="B1689" s="2" t="n">
        <x:v>1684</x:v>
      </x:c>
      <x:c r="C1689" s="2" t="str">
        <x:v>Fabric &amp; Home Care / organic_volume_growth</x:v>
      </x:c>
      <x:c r="D1689" s="7" t="n">
        <x:v>45199</x:v>
      </x:c>
      <x:c r="E1689" s="2" t="str">
        <x:v>Pre-earnings</x:v>
      </x:c>
      <x:c r="F1689" s="7" t="n">
        <x:v>45216</x:v>
      </x:c>
      <x:c r="G1689" s="2" t="str">
        <x:v>Broad market</x:v>
      </x:c>
      <x:c r="H1689" s="8" t="n">
        <x:f>'Model fits'!AA1101</x:f>
        <x:v>-1.5115853378374213</x:v>
      </x:c>
      <x:c r="I1689" s="8" t="n">
        <x:f>0</x:f>
        <x:v>0</x:v>
      </x:c>
      <x:c r="J1689" s="8" t="n">
        <x:v>0</x:v>
      </x:c>
      <x:c r="K1689" s="8" t="n">
        <x:f>H1689-I1689*J1689</x:f>
        <x:v>-1.5115853378374213</x:v>
      </x:c>
      <x:c r="L1689" s="8" t="n">
        <x:f>'PG facts'!E79</x:f>
        <x:v>0</x:v>
      </x:c>
      <x:c r="M1689" s="8" t="n">
        <x:f>K1689-L1689</x:f>
        <x:v>-1.5115853378374213</x:v>
      </x:c>
      <x:c r="N1689" s="8" t="n">
        <x:f>M1689^2</x:f>
        <x:v>2.284890233565071</x:v>
      </x:c>
      <x:c r="O1689" s="8" t="n">
        <x:f>ABS(M1689)</x:f>
        <x:v>1.5115853378374213</x:v>
      </x:c>
      <x:c r="P1689" s="7" t="n">
        <x:v>45217</x:v>
      </x:c>
    </x:row>
    <x:row r="1690" ht="26" customHeight="1">
      <x:c r="A1690" s="2"/>
      <x:c r="B1690" s="2" t="n">
        <x:v>1685</x:v>
      </x:c>
      <x:c r="C1690" s="2" t="str">
        <x:v>Fabric &amp; Home Care / organic_volume_growth</x:v>
      </x:c>
      <x:c r="D1690" s="7" t="n">
        <x:v>45199</x:v>
      </x:c>
      <x:c r="E1690" s="2" t="str">
        <x:v>Pre-earnings</x:v>
      </x:c>
      <x:c r="F1690" s="7" t="n">
        <x:v>45216</x:v>
      </x:c>
      <x:c r="G1690" s="2" t="str">
        <x:v>Broad lag 1</x:v>
      </x:c>
      <x:c r="H1690" s="8" t="n">
        <x:f>'Model fits'!AA1102</x:f>
        <x:v>-3.2165819369653206</x:v>
      </x:c>
      <x:c r="I1690" s="8" t="n">
        <x:f>0</x:f>
        <x:v>0</x:v>
      </x:c>
      <x:c r="J1690" s="8" t="n">
        <x:v>0</x:v>
      </x:c>
      <x:c r="K1690" s="8" t="n">
        <x:f>H1690-I1690*J1690</x:f>
        <x:v>-3.2165819369653206</x:v>
      </x:c>
      <x:c r="L1690" s="8" t="n">
        <x:f>'PG facts'!E79</x:f>
        <x:v>0</x:v>
      </x:c>
      <x:c r="M1690" s="8" t="n">
        <x:f>K1690-L1690</x:f>
        <x:v>-3.2165819369653206</x:v>
      </x:c>
      <x:c r="N1690" s="8" t="n">
        <x:f>M1690^2</x:f>
        <x:v>10.346399357211574</x:v>
      </x:c>
      <x:c r="O1690" s="8" t="n">
        <x:f>ABS(M1690)</x:f>
        <x:v>3.2165819369653206</x:v>
      </x:c>
      <x:c r="P1690" s="7" t="n">
        <x:v>45217</x:v>
      </x:c>
    </x:row>
    <x:row r="1691" ht="26" customHeight="1">
      <x:c r="A1691" s="2"/>
      <x:c r="B1691" s="2" t="n">
        <x:v>1686</x:v>
      </x:c>
      <x:c r="C1691" s="2" t="str">
        <x:v>Fabric &amp; Home Care / organic_volume_growth</x:v>
      </x:c>
      <x:c r="D1691" s="7" t="n">
        <x:v>45199</x:v>
      </x:c>
      <x:c r="E1691" s="2" t="str">
        <x:v>Pre-earnings</x:v>
      </x:c>
      <x:c r="F1691" s="7" t="n">
        <x:v>45216</x:v>
      </x:c>
      <x:c r="G1691" s="2" t="str">
        <x:v>Broad rolling 8</x:v>
      </x:c>
      <x:c r="H1691" s="8" t="n">
        <x:f>'Model fits'!AA1103</x:f>
        <x:v>-1.5557558045932585</x:v>
      </x:c>
      <x:c r="I1691" s="8" t="n">
        <x:f>0</x:f>
        <x:v>0</x:v>
      </x:c>
      <x:c r="J1691" s="8" t="n">
        <x:v>0</x:v>
      </x:c>
      <x:c r="K1691" s="8" t="n">
        <x:f>H1691-I1691*J1691</x:f>
        <x:v>-1.5557558045932585</x:v>
      </x:c>
      <x:c r="L1691" s="8" t="n">
        <x:f>'PG facts'!E79</x:f>
        <x:v>0</x:v>
      </x:c>
      <x:c r="M1691" s="8" t="n">
        <x:f>K1691-L1691</x:f>
        <x:v>-1.5557558045932585</x:v>
      </x:c>
      <x:c r="N1691" s="8" t="n">
        <x:f>M1691^2</x:f>
        <x:v>2.420376123525617</x:v>
      </x:c>
      <x:c r="O1691" s="8" t="n">
        <x:f>ABS(M1691)</x:f>
        <x:v>1.5557558045932585</x:v>
      </x:c>
      <x:c r="P1691" s="7" t="n">
        <x:v>45217</x:v>
      </x:c>
    </x:row>
    <x:row r="1692" ht="26" customHeight="1">
      <x:c r="A1692" s="2"/>
      <x:c r="B1692" s="2" t="n">
        <x:v>1687</x:v>
      </x:c>
      <x:c r="C1692" s="2" t="str">
        <x:v>Fabric &amp; Home Care / organic_volume_growth</x:v>
      </x:c>
      <x:c r="D1692" s="7" t="n">
        <x:v>45199</x:v>
      </x:c>
      <x:c r="E1692" s="2" t="str">
        <x:v>Pre-earnings</x:v>
      </x:c>
      <x:c r="F1692" s="7" t="n">
        <x:v>45216</x:v>
      </x:c>
      <x:c r="G1692" s="2" t="str">
        <x:v>Own history</x:v>
      </x:c>
      <x:c r="H1692" s="8" t="n">
        <x:f>'Model fits'!AA1104</x:f>
        <x:v>-1.9366459627329191</x:v>
      </x:c>
      <x:c r="I1692" s="8" t="n">
        <x:f>0</x:f>
        <x:v>0</x:v>
      </x:c>
      <x:c r="J1692" s="8" t="n">
        <x:v>0</x:v>
      </x:c>
      <x:c r="K1692" s="8" t="n">
        <x:f>H1692-I1692*J1692</x:f>
        <x:v>-1.9366459627329191</x:v>
      </x:c>
      <x:c r="L1692" s="8" t="n">
        <x:f>'PG facts'!E79</x:f>
        <x:v>0</x:v>
      </x:c>
      <x:c r="M1692" s="8" t="n">
        <x:f>K1692-L1692</x:f>
        <x:v>-1.9366459627329191</x:v>
      </x:c>
      <x:c r="N1692" s="8" t="n">
        <x:f>M1692^2</x:f>
        <x:v>3.7505975849697153</x:v>
      </x:c>
      <x:c r="O1692" s="8" t="n">
        <x:f>ABS(M1692)</x:f>
        <x:v>1.9366459627329191</x:v>
      </x:c>
      <x:c r="P1692" s="7" t="n">
        <x:v>45217</x:v>
      </x:c>
    </x:row>
    <x:row r="1693" ht="26" customHeight="1">
      <x:c r="A1693" s="2"/>
      <x:c r="B1693" s="2" t="n">
        <x:v>1688</x:v>
      </x:c>
      <x:c r="C1693" s="2" t="str">
        <x:v>Fabric &amp; Home Care / organic_volume_growth</x:v>
      </x:c>
      <x:c r="D1693" s="7" t="n">
        <x:v>45291</x:v>
      </x:c>
      <x:c r="E1693" s="2" t="str">
        <x:v>Origin</x:v>
      </x:c>
      <x:c r="F1693" s="7" t="n">
        <x:v>45200</x:v>
      </x:c>
      <x:c r="G1693" s="2" t="str">
        <x:v>Last actual</x:v>
      </x:c>
      <x:c r="H1693" s="8" t="n">
        <x:f>AVERAGE('PG facts'!E72)</x:f>
        <x:v>-2</x:v>
      </x:c>
      <x:c r="I1693" s="8" t="n">
        <x:f>0</x:f>
        <x:v>0</x:v>
      </x:c>
      <x:c r="J1693" s="8" t="n">
        <x:v>0</x:v>
      </x:c>
      <x:c r="K1693" s="8" t="n">
        <x:f>H1693-I1693*J1693</x:f>
        <x:v>-2</x:v>
      </x:c>
      <x:c r="L1693" s="8" t="n">
        <x:f>'PG facts'!E86</x:f>
        <x:v>1</x:v>
      </x:c>
      <x:c r="M1693" s="8" t="n">
        <x:f>K1693-L1693</x:f>
        <x:v>-3</x:v>
      </x:c>
      <x:c r="N1693" s="8" t="n">
        <x:f>M1693^2</x:f>
        <x:v>9</x:v>
      </x:c>
      <x:c r="O1693" s="8" t="n">
        <x:f>ABS(M1693)</x:f>
        <x:v>3</x:v>
      </x:c>
      <x:c r="P1693" s="7" t="n">
        <x:v>45314</x:v>
      </x:c>
    </x:row>
    <x:row r="1694" ht="26" customHeight="1">
      <x:c r="A1694" s="2"/>
      <x:c r="B1694" s="2" t="n">
        <x:v>1689</x:v>
      </x:c>
      <x:c r="C1694" s="2" t="str">
        <x:v>Fabric &amp; Home Care / organic_volume_growth</x:v>
      </x:c>
      <x:c r="D1694" s="7" t="n">
        <x:v>45291</x:v>
      </x:c>
      <x:c r="E1694" s="2" t="str">
        <x:v>Origin</x:v>
      </x:c>
      <x:c r="F1694" s="7" t="n">
        <x:v>45200</x:v>
      </x:c>
      <x:c r="G1694" s="2" t="str">
        <x:v>Four-quarter mean</x:v>
      </x:c>
      <x:c r="H1694" s="8" t="n">
        <x:f>AVERAGE('PG facts'!E51,'PG facts'!E58,'PG facts'!E65,'PG facts'!E72)</x:f>
        <x:v>-4.5</x:v>
      </x:c>
      <x:c r="I1694" s="8" t="n">
        <x:f>0</x:f>
        <x:v>0</x:v>
      </x:c>
      <x:c r="J1694" s="8" t="n">
        <x:v>0</x:v>
      </x:c>
      <x:c r="K1694" s="8" t="n">
        <x:f>H1694-I1694*J1694</x:f>
        <x:v>-4.5</x:v>
      </x:c>
      <x:c r="L1694" s="8" t="n">
        <x:f>'PG facts'!E86</x:f>
        <x:v>1</x:v>
      </x:c>
      <x:c r="M1694" s="8" t="n">
        <x:f>K1694-L1694</x:f>
        <x:v>-5.5</x:v>
      </x:c>
      <x:c r="N1694" s="8" t="n">
        <x:f>M1694^2</x:f>
        <x:v>30.25</x:v>
      </x:c>
      <x:c r="O1694" s="8" t="n">
        <x:f>ABS(M1694)</x:f>
        <x:v>5.5</x:v>
      </x:c>
      <x:c r="P1694" s="7" t="n">
        <x:v>45314</x:v>
      </x:c>
    </x:row>
    <x:row r="1695" ht="26" customHeight="1">
      <x:c r="A1695" s="2"/>
      <x:c r="B1695" s="2" t="n">
        <x:v>1690</x:v>
      </x:c>
      <x:c r="C1695" s="2" t="str">
        <x:v>Fabric &amp; Home Care / organic_volume_growth</x:v>
      </x:c>
      <x:c r="D1695" s="7" t="n">
        <x:v>45291</x:v>
      </x:c>
      <x:c r="E1695" s="2" t="str">
        <x:v>Origin</x:v>
      </x:c>
      <x:c r="F1695" s="7" t="n">
        <x:v>45200</x:v>
      </x:c>
      <x:c r="G1695" s="2" t="str">
        <x:v>Broad market</x:v>
      </x:c>
      <x:c r="H1695" s="8" t="n">
        <x:f>'Model fits'!AA1105</x:f>
        <x:v>-1.643889054611026</x:v>
      </x:c>
      <x:c r="I1695" s="8" t="n">
        <x:f>0</x:f>
        <x:v>0</x:v>
      </x:c>
      <x:c r="J1695" s="8" t="n">
        <x:v>0</x:v>
      </x:c>
      <x:c r="K1695" s="8" t="n">
        <x:f>H1695-I1695*J1695</x:f>
        <x:v>-1.643889054611026</x:v>
      </x:c>
      <x:c r="L1695" s="8" t="n">
        <x:f>'PG facts'!E86</x:f>
        <x:v>1</x:v>
      </x:c>
      <x:c r="M1695" s="8" t="n">
        <x:f>K1695-L1695</x:f>
        <x:v>-2.643889054611026</x:v>
      </x:c>
      <x:c r="N1695" s="8" t="n">
        <x:f>M1695^2</x:f>
        <x:v>6.990149333091985</x:v>
      </x:c>
      <x:c r="O1695" s="8" t="n">
        <x:f>ABS(M1695)</x:f>
        <x:v>2.643889054611026</x:v>
      </x:c>
      <x:c r="P1695" s="7" t="n">
        <x:v>45314</x:v>
      </x:c>
    </x:row>
    <x:row r="1696" ht="26" customHeight="1">
      <x:c r="A1696" s="2"/>
      <x:c r="B1696" s="2" t="n">
        <x:v>1691</x:v>
      </x:c>
      <x:c r="C1696" s="2" t="str">
        <x:v>Fabric &amp; Home Care / organic_volume_growth</x:v>
      </x:c>
      <x:c r="D1696" s="7" t="n">
        <x:v>45291</x:v>
      </x:c>
      <x:c r="E1696" s="2" t="str">
        <x:v>Origin</x:v>
      </x:c>
      <x:c r="F1696" s="7" t="n">
        <x:v>45200</x:v>
      </x:c>
      <x:c r="G1696" s="2" t="str">
        <x:v>Broad rolling 8</x:v>
      </x:c>
      <x:c r="H1696" s="8" t="n">
        <x:f>'Model fits'!AA1106</x:f>
        <x:v>-1.840828090431176</x:v>
      </x:c>
      <x:c r="I1696" s="8" t="n">
        <x:f>0</x:f>
        <x:v>0</x:v>
      </x:c>
      <x:c r="J1696" s="8" t="n">
        <x:v>0</x:v>
      </x:c>
      <x:c r="K1696" s="8" t="n">
        <x:f>H1696-I1696*J1696</x:f>
        <x:v>-1.840828090431176</x:v>
      </x:c>
      <x:c r="L1696" s="8" t="n">
        <x:f>'PG facts'!E86</x:f>
        <x:v>1</x:v>
      </x:c>
      <x:c r="M1696" s="8" t="n">
        <x:f>K1696-L1696</x:f>
        <x:v>-2.840828090431176</x:v>
      </x:c>
      <x:c r="N1696" s="8" t="n">
        <x:f>M1696^2</x:f>
        <x:v>8.070304239382843</x:v>
      </x:c>
      <x:c r="O1696" s="8" t="n">
        <x:f>ABS(M1696)</x:f>
        <x:v>2.840828090431176</x:v>
      </x:c>
      <x:c r="P1696" s="7" t="n">
        <x:v>45314</x:v>
      </x:c>
    </x:row>
    <x:row r="1697" ht="26" customHeight="1">
      <x:c r="A1697" s="2"/>
      <x:c r="B1697" s="2" t="n">
        <x:v>1692</x:v>
      </x:c>
      <x:c r="C1697" s="2" t="str">
        <x:v>Fabric &amp; Home Care / organic_volume_growth</x:v>
      </x:c>
      <x:c r="D1697" s="7" t="n">
        <x:v>45291</x:v>
      </x:c>
      <x:c r="E1697" s="2" t="str">
        <x:v>Origin</x:v>
      </x:c>
      <x:c r="F1697" s="7" t="n">
        <x:v>45200</x:v>
      </x:c>
      <x:c r="G1697" s="2" t="str">
        <x:v>Own history</x:v>
      </x:c>
      <x:c r="H1697" s="8" t="n">
        <x:f>'Model fits'!AA1107</x:f>
        <x:v>-1.374581939799331</x:v>
      </x:c>
      <x:c r="I1697" s="8" t="n">
        <x:f>0</x:f>
        <x:v>0</x:v>
      </x:c>
      <x:c r="J1697" s="8" t="n">
        <x:v>0</x:v>
      </x:c>
      <x:c r="K1697" s="8" t="n">
        <x:f>H1697-I1697*J1697</x:f>
        <x:v>-1.374581939799331</x:v>
      </x:c>
      <x:c r="L1697" s="8" t="n">
        <x:f>'PG facts'!E86</x:f>
        <x:v>1</x:v>
      </x:c>
      <x:c r="M1697" s="8" t="n">
        <x:f>K1697-L1697</x:f>
        <x:v>-2.374581939799331</x:v>
      </x:c>
      <x:c r="N1697" s="8" t="n">
        <x:f>M1697^2</x:f>
        <x:v>5.638639388821153</x:v>
      </x:c>
      <x:c r="O1697" s="8" t="n">
        <x:f>ABS(M1697)</x:f>
        <x:v>2.374581939799331</x:v>
      </x:c>
      <x:c r="P1697" s="7" t="n">
        <x:v>45314</x:v>
      </x:c>
    </x:row>
    <x:row r="1698" ht="26" customHeight="1">
      <x:c r="A1698" s="2"/>
      <x:c r="B1698" s="2" t="n">
        <x:v>1693</x:v>
      </x:c>
      <x:c r="C1698" s="2" t="str">
        <x:v>Fabric &amp; Home Care / organic_volume_growth</x:v>
      </x:c>
      <x:c r="D1698" s="7" t="n">
        <x:v>45291</x:v>
      </x:c>
      <x:c r="E1698" s="2" t="str">
        <x:v>Prior report</x:v>
      </x:c>
      <x:c r="F1698" s="7" t="n">
        <x:v>45217</x:v>
      </x:c>
      <x:c r="G1698" s="2" t="str">
        <x:v>Last actual</x:v>
      </x:c>
      <x:c r="H1698" s="8" t="n">
        <x:f>AVERAGE('PG facts'!E79)</x:f>
        <x:v>0</x:v>
      </x:c>
      <x:c r="I1698" s="8" t="n">
        <x:f>0</x:f>
        <x:v>0</x:v>
      </x:c>
      <x:c r="J1698" s="8" t="n">
        <x:v>0</x:v>
      </x:c>
      <x:c r="K1698" s="8" t="n">
        <x:f>H1698-I1698*J1698</x:f>
        <x:v>0</x:v>
      </x:c>
      <x:c r="L1698" s="8" t="n">
        <x:f>'PG facts'!E86</x:f>
        <x:v>1</x:v>
      </x:c>
      <x:c r="M1698" s="8" t="n">
        <x:f>K1698-L1698</x:f>
        <x:v>-1</x:v>
      </x:c>
      <x:c r="N1698" s="8" t="n">
        <x:f>M1698^2</x:f>
        <x:v>1</x:v>
      </x:c>
      <x:c r="O1698" s="8" t="n">
        <x:f>ABS(M1698)</x:f>
        <x:v>1</x:v>
      </x:c>
      <x:c r="P1698" s="7" t="n">
        <x:v>45314</x:v>
      </x:c>
    </x:row>
    <x:row r="1699" ht="26" customHeight="1">
      <x:c r="A1699" s="2"/>
      <x:c r="B1699" s="2" t="n">
        <x:v>1694</x:v>
      </x:c>
      <x:c r="C1699" s="2" t="str">
        <x:v>Fabric &amp; Home Care / organic_volume_growth</x:v>
      </x:c>
      <x:c r="D1699" s="7" t="n">
        <x:v>45291</x:v>
      </x:c>
      <x:c r="E1699" s="2" t="str">
        <x:v>Prior report</x:v>
      </x:c>
      <x:c r="F1699" s="7" t="n">
        <x:v>45217</x:v>
      </x:c>
      <x:c r="G1699" s="2" t="str">
        <x:v>Four-quarter mean</x:v>
      </x:c>
      <x:c r="H1699" s="8" t="n">
        <x:f>AVERAGE('PG facts'!E58,'PG facts'!E65,'PG facts'!E72,'PG facts'!E79)</x:f>
        <x:v>-3.5</x:v>
      </x:c>
      <x:c r="I1699" s="8" t="n">
        <x:f>0</x:f>
        <x:v>0</x:v>
      </x:c>
      <x:c r="J1699" s="8" t="n">
        <x:v>0</x:v>
      </x:c>
      <x:c r="K1699" s="8" t="n">
        <x:f>H1699-I1699*J1699</x:f>
        <x:v>-3.5</x:v>
      </x:c>
      <x:c r="L1699" s="8" t="n">
        <x:f>'PG facts'!E86</x:f>
        <x:v>1</x:v>
      </x:c>
      <x:c r="M1699" s="8" t="n">
        <x:f>K1699-L1699</x:f>
        <x:v>-4.5</x:v>
      </x:c>
      <x:c r="N1699" s="8" t="n">
        <x:f>M1699^2</x:f>
        <x:v>20.25</x:v>
      </x:c>
      <x:c r="O1699" s="8" t="n">
        <x:f>ABS(M1699)</x:f>
        <x:v>4.5</x:v>
      </x:c>
      <x:c r="P1699" s="7" t="n">
        <x:v>45314</x:v>
      </x:c>
    </x:row>
    <x:row r="1700" ht="26" customHeight="1">
      <x:c r="A1700" s="2"/>
      <x:c r="B1700" s="2" t="n">
        <x:v>1695</x:v>
      </x:c>
      <x:c r="C1700" s="2" t="str">
        <x:v>Fabric &amp; Home Care / organic_volume_growth</x:v>
      </x:c>
      <x:c r="D1700" s="7" t="n">
        <x:v>45291</x:v>
      </x:c>
      <x:c r="E1700" s="2" t="str">
        <x:v>Prior report</x:v>
      </x:c>
      <x:c r="F1700" s="7" t="n">
        <x:v>45217</x:v>
      </x:c>
      <x:c r="G1700" s="2" t="str">
        <x:v>Broad market</x:v>
      </x:c>
      <x:c r="H1700" s="8" t="n">
        <x:f>'Model fits'!AA1108</x:f>
        <x:v>-1.643889054611026</x:v>
      </x:c>
      <x:c r="I1700" s="8" t="n">
        <x:f>0</x:f>
        <x:v>0</x:v>
      </x:c>
      <x:c r="J1700" s="8" t="n">
        <x:v>0</x:v>
      </x:c>
      <x:c r="K1700" s="8" t="n">
        <x:f>H1700-I1700*J1700</x:f>
        <x:v>-1.643889054611026</x:v>
      </x:c>
      <x:c r="L1700" s="8" t="n">
        <x:f>'PG facts'!E86</x:f>
        <x:v>1</x:v>
      </x:c>
      <x:c r="M1700" s="8" t="n">
        <x:f>K1700-L1700</x:f>
        <x:v>-2.643889054611026</x:v>
      </x:c>
      <x:c r="N1700" s="8" t="n">
        <x:f>M1700^2</x:f>
        <x:v>6.990149333091985</x:v>
      </x:c>
      <x:c r="O1700" s="8" t="n">
        <x:f>ABS(M1700)</x:f>
        <x:v>2.643889054611026</x:v>
      </x:c>
      <x:c r="P1700" s="7" t="n">
        <x:v>45314</x:v>
      </x:c>
    </x:row>
    <x:row r="1701" ht="26" customHeight="1">
      <x:c r="A1701" s="2"/>
      <x:c r="B1701" s="2" t="n">
        <x:v>1696</x:v>
      </x:c>
      <x:c r="C1701" s="2" t="str">
        <x:v>Fabric &amp; Home Care / organic_volume_growth</x:v>
      </x:c>
      <x:c r="D1701" s="7" t="n">
        <x:v>45291</x:v>
      </x:c>
      <x:c r="E1701" s="2" t="str">
        <x:v>Prior report</x:v>
      </x:c>
      <x:c r="F1701" s="7" t="n">
        <x:v>45217</x:v>
      </x:c>
      <x:c r="G1701" s="2" t="str">
        <x:v>Broad rolling 8</x:v>
      </x:c>
      <x:c r="H1701" s="8" t="n">
        <x:f>'Model fits'!AA1109</x:f>
        <x:v>-1.840828090431176</x:v>
      </x:c>
      <x:c r="I1701" s="8" t="n">
        <x:f>0</x:f>
        <x:v>0</x:v>
      </x:c>
      <x:c r="J1701" s="8" t="n">
        <x:v>0</x:v>
      </x:c>
      <x:c r="K1701" s="8" t="n">
        <x:f>H1701-I1701*J1701</x:f>
        <x:v>-1.840828090431176</x:v>
      </x:c>
      <x:c r="L1701" s="8" t="n">
        <x:f>'PG facts'!E86</x:f>
        <x:v>1</x:v>
      </x:c>
      <x:c r="M1701" s="8" t="n">
        <x:f>K1701-L1701</x:f>
        <x:v>-2.840828090431176</x:v>
      </x:c>
      <x:c r="N1701" s="8" t="n">
        <x:f>M1701^2</x:f>
        <x:v>8.070304239382843</x:v>
      </x:c>
      <x:c r="O1701" s="8" t="n">
        <x:f>ABS(M1701)</x:f>
        <x:v>2.840828090431176</x:v>
      </x:c>
      <x:c r="P1701" s="7" t="n">
        <x:v>45314</x:v>
      </x:c>
    </x:row>
    <x:row r="1702" ht="26" customHeight="1">
      <x:c r="A1702" s="2"/>
      <x:c r="B1702" s="2" t="n">
        <x:v>1697</x:v>
      </x:c>
      <x:c r="C1702" s="2" t="str">
        <x:v>Fabric &amp; Home Care / organic_volume_growth</x:v>
      </x:c>
      <x:c r="D1702" s="7" t="n">
        <x:v>45291</x:v>
      </x:c>
      <x:c r="E1702" s="2" t="str">
        <x:v>Prior report</x:v>
      </x:c>
      <x:c r="F1702" s="7" t="n">
        <x:v>45217</x:v>
      </x:c>
      <x:c r="G1702" s="2" t="str">
        <x:v>Own history</x:v>
      </x:c>
      <x:c r="H1702" s="8" t="n">
        <x:f>'Model fits'!AA1110</x:f>
        <x:v>-0.3313285948605796</x:v>
      </x:c>
      <x:c r="I1702" s="8" t="n">
        <x:f>0</x:f>
        <x:v>0</x:v>
      </x:c>
      <x:c r="J1702" s="8" t="n">
        <x:v>0</x:v>
      </x:c>
      <x:c r="K1702" s="8" t="n">
        <x:f>H1702-I1702*J1702</x:f>
        <x:v>-0.3313285948605796</x:v>
      </x:c>
      <x:c r="L1702" s="8" t="n">
        <x:f>'PG facts'!E86</x:f>
        <x:v>1</x:v>
      </x:c>
      <x:c r="M1702" s="8" t="n">
        <x:f>K1702-L1702</x:f>
        <x:v>-1.3313285948605795</x:v>
      </x:c>
      <x:c r="N1702" s="8" t="n">
        <x:f>M1702^2</x:f>
        <x:v>1.772435827493445</x:v>
      </x:c>
      <x:c r="O1702" s="8" t="n">
        <x:f>ABS(M1702)</x:f>
        <x:v>1.3313285948605795</x:v>
      </x:c>
      <x:c r="P1702" s="7" t="n">
        <x:v>45314</x:v>
      </x:c>
    </x:row>
    <x:row r="1703" ht="26" customHeight="1">
      <x:c r="A1703" s="2"/>
      <x:c r="B1703" s="2" t="n">
        <x:v>1698</x:v>
      </x:c>
      <x:c r="C1703" s="2" t="str">
        <x:v>Fabric &amp; Home Care / organic_volume_growth</x:v>
      </x:c>
      <x:c r="D1703" s="7" t="n">
        <x:v>45291</x:v>
      </x:c>
      <x:c r="E1703" s="2" t="str">
        <x:v>Pre-earnings</x:v>
      </x:c>
      <x:c r="F1703" s="7" t="n">
        <x:v>45313</x:v>
      </x:c>
      <x:c r="G1703" s="2" t="str">
        <x:v>Last actual</x:v>
      </x:c>
      <x:c r="H1703" s="8" t="n">
        <x:f>AVERAGE('PG facts'!E79)</x:f>
        <x:v>0</x:v>
      </x:c>
      <x:c r="I1703" s="8" t="n">
        <x:f>0</x:f>
        <x:v>0</x:v>
      </x:c>
      <x:c r="J1703" s="8" t="n">
        <x:v>0</x:v>
      </x:c>
      <x:c r="K1703" s="8" t="n">
        <x:f>H1703-I1703*J1703</x:f>
        <x:v>0</x:v>
      </x:c>
      <x:c r="L1703" s="8" t="n">
        <x:f>'PG facts'!E86</x:f>
        <x:v>1</x:v>
      </x:c>
      <x:c r="M1703" s="8" t="n">
        <x:f>K1703-L1703</x:f>
        <x:v>-1</x:v>
      </x:c>
      <x:c r="N1703" s="8" t="n">
        <x:f>M1703^2</x:f>
        <x:v>1</x:v>
      </x:c>
      <x:c r="O1703" s="8" t="n">
        <x:f>ABS(M1703)</x:f>
        <x:v>1</x:v>
      </x:c>
      <x:c r="P1703" s="7" t="n">
        <x:v>45314</x:v>
      </x:c>
    </x:row>
    <x:row r="1704" ht="26" customHeight="1">
      <x:c r="A1704" s="2"/>
      <x:c r="B1704" s="2" t="n">
        <x:v>1699</x:v>
      </x:c>
      <x:c r="C1704" s="2" t="str">
        <x:v>Fabric &amp; Home Care / organic_volume_growth</x:v>
      </x:c>
      <x:c r="D1704" s="7" t="n">
        <x:v>45291</x:v>
      </x:c>
      <x:c r="E1704" s="2" t="str">
        <x:v>Pre-earnings</x:v>
      </x:c>
      <x:c r="F1704" s="7" t="n">
        <x:v>45313</x:v>
      </x:c>
      <x:c r="G1704" s="2" t="str">
        <x:v>Four-quarter mean</x:v>
      </x:c>
      <x:c r="H1704" s="8" t="n">
        <x:f>AVERAGE('PG facts'!E58,'PG facts'!E65,'PG facts'!E72,'PG facts'!E79)</x:f>
        <x:v>-3.5</x:v>
      </x:c>
      <x:c r="I1704" s="8" t="n">
        <x:f>0</x:f>
        <x:v>0</x:v>
      </x:c>
      <x:c r="J1704" s="8" t="n">
        <x:v>0</x:v>
      </x:c>
      <x:c r="K1704" s="8" t="n">
        <x:f>H1704-I1704*J1704</x:f>
        <x:v>-3.5</x:v>
      </x:c>
      <x:c r="L1704" s="8" t="n">
        <x:f>'PG facts'!E86</x:f>
        <x:v>1</x:v>
      </x:c>
      <x:c r="M1704" s="8" t="n">
        <x:f>K1704-L1704</x:f>
        <x:v>-4.5</x:v>
      </x:c>
      <x:c r="N1704" s="8" t="n">
        <x:f>M1704^2</x:f>
        <x:v>20.25</x:v>
      </x:c>
      <x:c r="O1704" s="8" t="n">
        <x:f>ABS(M1704)</x:f>
        <x:v>4.5</x:v>
      </x:c>
      <x:c r="P1704" s="7" t="n">
        <x:v>45314</x:v>
      </x:c>
    </x:row>
    <x:row r="1705" ht="26" customHeight="1">
      <x:c r="A1705" s="2"/>
      <x:c r="B1705" s="2" t="n">
        <x:v>1700</x:v>
      </x:c>
      <x:c r="C1705" s="2" t="str">
        <x:v>Fabric &amp; Home Care / organic_volume_growth</x:v>
      </x:c>
      <x:c r="D1705" s="7" t="n">
        <x:v>45291</x:v>
      </x:c>
      <x:c r="E1705" s="2" t="str">
        <x:v>Pre-earnings</x:v>
      </x:c>
      <x:c r="F1705" s="7" t="n">
        <x:v>45313</x:v>
      </x:c>
      <x:c r="G1705" s="2" t="str">
        <x:v>Broad market</x:v>
      </x:c>
      <x:c r="H1705" s="8" t="n">
        <x:f>'Model fits'!AA1111</x:f>
        <x:v>-1.2463375746074887</x:v>
      </x:c>
      <x:c r="I1705" s="8" t="n">
        <x:f>0</x:f>
        <x:v>0</x:v>
      </x:c>
      <x:c r="J1705" s="8" t="n">
        <x:v>0</x:v>
      </x:c>
      <x:c r="K1705" s="8" t="n">
        <x:f>H1705-I1705*J1705</x:f>
        <x:v>-1.2463375746074887</x:v>
      </x:c>
      <x:c r="L1705" s="8" t="n">
        <x:f>'PG facts'!E86</x:f>
        <x:v>1</x:v>
      </x:c>
      <x:c r="M1705" s="8" t="n">
        <x:f>K1705-L1705</x:f>
        <x:v>-2.2463375746074887</x:v>
      </x:c>
      <x:c r="N1705" s="8" t="n">
        <x:f>M1705^2</x:f>
        <x:v>5.046032499093455</x:v>
      </x:c>
      <x:c r="O1705" s="8" t="n">
        <x:f>ABS(M1705)</x:f>
        <x:v>2.2463375746074887</x:v>
      </x:c>
      <x:c r="P1705" s="7" t="n">
        <x:v>45314</x:v>
      </x:c>
    </x:row>
    <x:row r="1706" ht="26" customHeight="1">
      <x:c r="A1706" s="2"/>
      <x:c r="B1706" s="2" t="n">
        <x:v>1701</x:v>
      </x:c>
      <x:c r="C1706" s="2" t="str">
        <x:v>Fabric &amp; Home Care / organic_volume_growth</x:v>
      </x:c>
      <x:c r="D1706" s="7" t="n">
        <x:v>45291</x:v>
      </x:c>
      <x:c r="E1706" s="2" t="str">
        <x:v>Pre-earnings</x:v>
      </x:c>
      <x:c r="F1706" s="7" t="n">
        <x:v>45313</x:v>
      </x:c>
      <x:c r="G1706" s="2" t="str">
        <x:v>Broad lag 1</x:v>
      </x:c>
      <x:c r="H1706" s="8" t="n">
        <x:f>'Model fits'!AA1112</x:f>
        <x:v>-1.8212454112325593</x:v>
      </x:c>
      <x:c r="I1706" s="8" t="n">
        <x:f>0</x:f>
        <x:v>0</x:v>
      </x:c>
      <x:c r="J1706" s="8" t="n">
        <x:v>0</x:v>
      </x:c>
      <x:c r="K1706" s="8" t="n">
        <x:f>H1706-I1706*J1706</x:f>
        <x:v>-1.8212454112325593</x:v>
      </x:c>
      <x:c r="L1706" s="8" t="n">
        <x:f>'PG facts'!E86</x:f>
        <x:v>1</x:v>
      </x:c>
      <x:c r="M1706" s="8" t="n">
        <x:f>K1706-L1706</x:f>
        <x:v>-2.8212454112325593</x:v>
      </x:c>
      <x:c r="N1706" s="8" t="n">
        <x:f>M1706^2</x:f>
        <x:v>7.959425670400773</x:v>
      </x:c>
      <x:c r="O1706" s="8" t="n">
        <x:f>ABS(M1706)</x:f>
        <x:v>2.8212454112325593</x:v>
      </x:c>
      <x:c r="P1706" s="7" t="n">
        <x:v>45314</x:v>
      </x:c>
    </x:row>
    <x:row r="1707" ht="26" customHeight="1">
      <x:c r="A1707" s="2"/>
      <x:c r="B1707" s="2" t="n">
        <x:v>1702</x:v>
      </x:c>
      <x:c r="C1707" s="2" t="str">
        <x:v>Fabric &amp; Home Care / organic_volume_growth</x:v>
      </x:c>
      <x:c r="D1707" s="7" t="n">
        <x:v>45291</x:v>
      </x:c>
      <x:c r="E1707" s="2" t="str">
        <x:v>Pre-earnings</x:v>
      </x:c>
      <x:c r="F1707" s="7" t="n">
        <x:v>45313</x:v>
      </x:c>
      <x:c r="G1707" s="2" t="str">
        <x:v>Broad rolling 8</x:v>
      </x:c>
      <x:c r="H1707" s="8" t="n">
        <x:f>'Model fits'!AA1113</x:f>
        <x:v>-0.6534551692045611</x:v>
      </x:c>
      <x:c r="I1707" s="8" t="n">
        <x:f>0</x:f>
        <x:v>0</x:v>
      </x:c>
      <x:c r="J1707" s="8" t="n">
        <x:v>0</x:v>
      </x:c>
      <x:c r="K1707" s="8" t="n">
        <x:f>H1707-I1707*J1707</x:f>
        <x:v>-0.6534551692045611</x:v>
      </x:c>
      <x:c r="L1707" s="8" t="n">
        <x:f>'PG facts'!E86</x:f>
        <x:v>1</x:v>
      </x:c>
      <x:c r="M1707" s="8" t="n">
        <x:f>K1707-L1707</x:f>
        <x:v>-1.6534551692045611</x:v>
      </x:c>
      <x:c r="N1707" s="8" t="n">
        <x:f>M1707^2</x:f>
        <x:v>2.733913996569284</x:v>
      </x:c>
      <x:c r="O1707" s="8" t="n">
        <x:f>ABS(M1707)</x:f>
        <x:v>1.6534551692045611</x:v>
      </x:c>
      <x:c r="P1707" s="7" t="n">
        <x:v>45314</x:v>
      </x:c>
    </x:row>
    <x:row r="1708" ht="26" customHeight="1">
      <x:c r="A1708" s="2"/>
      <x:c r="B1708" s="2" t="n">
        <x:v>1703</x:v>
      </x:c>
      <x:c r="C1708" s="2" t="str">
        <x:v>Fabric &amp; Home Care / organic_volume_growth</x:v>
      </x:c>
      <x:c r="D1708" s="7" t="n">
        <x:v>45291</x:v>
      </x:c>
      <x:c r="E1708" s="2" t="str">
        <x:v>Pre-earnings</x:v>
      </x:c>
      <x:c r="F1708" s="7" t="n">
        <x:v>45313</x:v>
      </x:c>
      <x:c r="G1708" s="2" t="str">
        <x:v>Own history</x:v>
      </x:c>
      <x:c r="H1708" s="8" t="n">
        <x:f>'Model fits'!AA1114</x:f>
        <x:v>-0.3313285948605796</x:v>
      </x:c>
      <x:c r="I1708" s="8" t="n">
        <x:f>0</x:f>
        <x:v>0</x:v>
      </x:c>
      <x:c r="J1708" s="8" t="n">
        <x:v>0</x:v>
      </x:c>
      <x:c r="K1708" s="8" t="n">
        <x:f>H1708-I1708*J1708</x:f>
        <x:v>-0.3313285948605796</x:v>
      </x:c>
      <x:c r="L1708" s="8" t="n">
        <x:f>'PG facts'!E86</x:f>
        <x:v>1</x:v>
      </x:c>
      <x:c r="M1708" s="8" t="n">
        <x:f>K1708-L1708</x:f>
        <x:v>-1.3313285948605795</x:v>
      </x:c>
      <x:c r="N1708" s="8" t="n">
        <x:f>M1708^2</x:f>
        <x:v>1.772435827493445</x:v>
      </x:c>
      <x:c r="O1708" s="8" t="n">
        <x:f>ABS(M1708)</x:f>
        <x:v>1.3313285948605795</x:v>
      </x:c>
      <x:c r="P1708" s="7" t="n">
        <x:v>45314</x:v>
      </x:c>
    </x:row>
    <x:row r="1709" ht="26" customHeight="1">
      <x:c r="A1709" s="2"/>
      <x:c r="B1709" s="2" t="n">
        <x:v>1704</x:v>
      </x:c>
      <x:c r="C1709" s="2" t="str">
        <x:v>Fabric &amp; Home Care / organic_volume_growth</x:v>
      </x:c>
      <x:c r="D1709" s="7" t="n">
        <x:v>45382</x:v>
      </x:c>
      <x:c r="E1709" s="2" t="str">
        <x:v>Origin</x:v>
      </x:c>
      <x:c r="F1709" s="7" t="n">
        <x:v>45292</x:v>
      </x:c>
      <x:c r="G1709" s="2" t="str">
        <x:v>Last actual</x:v>
      </x:c>
      <x:c r="H1709" s="8" t="n">
        <x:f>AVERAGE('PG facts'!E79)</x:f>
        <x:v>0</x:v>
      </x:c>
      <x:c r="I1709" s="8" t="n">
        <x:f>0</x:f>
        <x:v>0</x:v>
      </x:c>
      <x:c r="J1709" s="8" t="n">
        <x:v>0</x:v>
      </x:c>
      <x:c r="K1709" s="8" t="n">
        <x:f>H1709-I1709*J1709</x:f>
        <x:v>0</x:v>
      </x:c>
      <x:c r="L1709" s="8" t="n">
        <x:f>'PG facts'!E93</x:f>
        <x:v>1</x:v>
      </x:c>
      <x:c r="M1709" s="8" t="n">
        <x:f>K1709-L1709</x:f>
        <x:v>-1</x:v>
      </x:c>
      <x:c r="N1709" s="8" t="n">
        <x:f>M1709^2</x:f>
        <x:v>1</x:v>
      </x:c>
      <x:c r="O1709" s="8" t="n">
        <x:f>ABS(M1709)</x:f>
        <x:v>1</x:v>
      </x:c>
      <x:c r="P1709" s="7" t="n">
        <x:v>45401</x:v>
      </x:c>
    </x:row>
    <x:row r="1710" ht="26" customHeight="1">
      <x:c r="A1710" s="2"/>
      <x:c r="B1710" s="2" t="n">
        <x:v>1705</x:v>
      </x:c>
      <x:c r="C1710" s="2" t="str">
        <x:v>Fabric &amp; Home Care / organic_volume_growth</x:v>
      </x:c>
      <x:c r="D1710" s="7" t="n">
        <x:v>45382</x:v>
      </x:c>
      <x:c r="E1710" s="2" t="str">
        <x:v>Origin</x:v>
      </x:c>
      <x:c r="F1710" s="7" t="n">
        <x:v>45292</x:v>
      </x:c>
      <x:c r="G1710" s="2" t="str">
        <x:v>Four-quarter mean</x:v>
      </x:c>
      <x:c r="H1710" s="8" t="n">
        <x:f>AVERAGE('PG facts'!E58,'PG facts'!E65,'PG facts'!E72,'PG facts'!E79)</x:f>
        <x:v>-3.5</x:v>
      </x:c>
      <x:c r="I1710" s="8" t="n">
        <x:f>0</x:f>
        <x:v>0</x:v>
      </x:c>
      <x:c r="J1710" s="8" t="n">
        <x:v>0</x:v>
      </x:c>
      <x:c r="K1710" s="8" t="n">
        <x:f>H1710-I1710*J1710</x:f>
        <x:v>-3.5</x:v>
      </x:c>
      <x:c r="L1710" s="8" t="n">
        <x:f>'PG facts'!E93</x:f>
        <x:v>1</x:v>
      </x:c>
      <x:c r="M1710" s="8" t="n">
        <x:f>K1710-L1710</x:f>
        <x:v>-4.5</x:v>
      </x:c>
      <x:c r="N1710" s="8" t="n">
        <x:f>M1710^2</x:f>
        <x:v>20.25</x:v>
      </x:c>
      <x:c r="O1710" s="8" t="n">
        <x:f>ABS(M1710)</x:f>
        <x:v>4.5</x:v>
      </x:c>
      <x:c r="P1710" s="7" t="n">
        <x:v>45401</x:v>
      </x:c>
    </x:row>
    <x:row r="1711" ht="26" customHeight="1">
      <x:c r="A1711" s="2"/>
      <x:c r="B1711" s="2" t="n">
        <x:v>1706</x:v>
      </x:c>
      <x:c r="C1711" s="2" t="str">
        <x:v>Fabric &amp; Home Care / organic_volume_growth</x:v>
      </x:c>
      <x:c r="D1711" s="7" t="n">
        <x:v>45382</x:v>
      </x:c>
      <x:c r="E1711" s="2" t="str">
        <x:v>Origin</x:v>
      </x:c>
      <x:c r="F1711" s="7" t="n">
        <x:v>45292</x:v>
      </x:c>
      <x:c r="G1711" s="2" t="str">
        <x:v>Broad market</x:v>
      </x:c>
      <x:c r="H1711" s="8" t="n">
        <x:f>'Model fits'!AA1115</x:f>
        <x:v>-1.305229664201101</x:v>
      </x:c>
      <x:c r="I1711" s="8" t="n">
        <x:f>0</x:f>
        <x:v>0</x:v>
      </x:c>
      <x:c r="J1711" s="8" t="n">
        <x:v>0</x:v>
      </x:c>
      <x:c r="K1711" s="8" t="n">
        <x:f>H1711-I1711*J1711</x:f>
        <x:v>-1.305229664201101</x:v>
      </x:c>
      <x:c r="L1711" s="8" t="n">
        <x:f>'PG facts'!E93</x:f>
        <x:v>1</x:v>
      </x:c>
      <x:c r="M1711" s="8" t="n">
        <x:f>K1711-L1711</x:f>
        <x:v>-2.305229664201101</x:v>
      </x:c>
      <x:c r="N1711" s="8" t="n">
        <x:f>M1711^2</x:f>
        <x:v>5.314083804712721</x:v>
      </x:c>
      <x:c r="O1711" s="8" t="n">
        <x:f>ABS(M1711)</x:f>
        <x:v>2.305229664201101</x:v>
      </x:c>
      <x:c r="P1711" s="7" t="n">
        <x:v>45401</x:v>
      </x:c>
    </x:row>
    <x:row r="1712" ht="26" customHeight="1">
      <x:c r="A1712" s="2"/>
      <x:c r="B1712" s="2" t="n">
        <x:v>1707</x:v>
      </x:c>
      <x:c r="C1712" s="2" t="str">
        <x:v>Fabric &amp; Home Care / organic_volume_growth</x:v>
      </x:c>
      <x:c r="D1712" s="7" t="n">
        <x:v>45382</x:v>
      </x:c>
      <x:c r="E1712" s="2" t="str">
        <x:v>Origin</x:v>
      </x:c>
      <x:c r="F1712" s="7" t="n">
        <x:v>45292</x:v>
      </x:c>
      <x:c r="G1712" s="2" t="str">
        <x:v>Broad rolling 8</x:v>
      </x:c>
      <x:c r="H1712" s="8" t="n">
        <x:f>'Model fits'!AA1116</x:f>
        <x:v>-0.8209508026351702</x:v>
      </x:c>
      <x:c r="I1712" s="8" t="n">
        <x:f>0</x:f>
        <x:v>0</x:v>
      </x:c>
      <x:c r="J1712" s="8" t="n">
        <x:v>0</x:v>
      </x:c>
      <x:c r="K1712" s="8" t="n">
        <x:f>H1712-I1712*J1712</x:f>
        <x:v>-0.8209508026351702</x:v>
      </x:c>
      <x:c r="L1712" s="8" t="n">
        <x:f>'PG facts'!E93</x:f>
        <x:v>1</x:v>
      </x:c>
      <x:c r="M1712" s="8" t="n">
        <x:f>K1712-L1712</x:f>
        <x:v>-1.8209508026351702</x:v>
      </x:c>
      <x:c r="N1712" s="8" t="n">
        <x:f>M1712^2</x:f>
        <x:v>3.3158618256176706</x:v>
      </x:c>
      <x:c r="O1712" s="8" t="n">
        <x:f>ABS(M1712)</x:f>
        <x:v>1.8209508026351702</x:v>
      </x:c>
      <x:c r="P1712" s="7" t="n">
        <x:v>45401</x:v>
      </x:c>
    </x:row>
    <x:row r="1713" ht="26" customHeight="1">
      <x:c r="A1713" s="2"/>
      <x:c r="B1713" s="2" t="n">
        <x:v>1708</x:v>
      </x:c>
      <x:c r="C1713" s="2" t="str">
        <x:v>Fabric &amp; Home Care / organic_volume_growth</x:v>
      </x:c>
      <x:c r="D1713" s="7" t="n">
        <x:v>45382</x:v>
      </x:c>
      <x:c r="E1713" s="2" t="str">
        <x:v>Origin</x:v>
      </x:c>
      <x:c r="F1713" s="7" t="n">
        <x:v>45292</x:v>
      </x:c>
      <x:c r="G1713" s="2" t="str">
        <x:v>Own history</x:v>
      </x:c>
      <x:c r="H1713" s="8" t="n">
        <x:f>'Model fits'!AA1117</x:f>
        <x:v>-0.5788819875776398</x:v>
      </x:c>
      <x:c r="I1713" s="8" t="n">
        <x:f>0</x:f>
        <x:v>0</x:v>
      </x:c>
      <x:c r="J1713" s="8" t="n">
        <x:v>0</x:v>
      </x:c>
      <x:c r="K1713" s="8" t="n">
        <x:f>H1713-I1713*J1713</x:f>
        <x:v>-0.5788819875776398</x:v>
      </x:c>
      <x:c r="L1713" s="8" t="n">
        <x:f>'PG facts'!E93</x:f>
        <x:v>1</x:v>
      </x:c>
      <x:c r="M1713" s="8" t="n">
        <x:f>K1713-L1713</x:f>
        <x:v>-1.5788819875776396</x:v>
      </x:c>
      <x:c r="N1713" s="8" t="n">
        <x:f>M1713^2</x:f>
        <x:v>2.4928683306971178</x:v>
      </x:c>
      <x:c r="O1713" s="8" t="n">
        <x:f>ABS(M1713)</x:f>
        <x:v>1.5788819875776396</x:v>
      </x:c>
      <x:c r="P1713" s="7" t="n">
        <x:v>45401</x:v>
      </x:c>
    </x:row>
    <x:row r="1714" ht="26" customHeight="1">
      <x:c r="A1714" s="2"/>
      <x:c r="B1714" s="2" t="n">
        <x:v>1709</x:v>
      </x:c>
      <x:c r="C1714" s="2" t="str">
        <x:v>Fabric &amp; Home Care / organic_volume_growth</x:v>
      </x:c>
      <x:c r="D1714" s="7" t="n">
        <x:v>45382</x:v>
      </x:c>
      <x:c r="E1714" s="2" t="str">
        <x:v>Prior report</x:v>
      </x:c>
      <x:c r="F1714" s="7" t="n">
        <x:v>45314</x:v>
      </x:c>
      <x:c r="G1714" s="2" t="str">
        <x:v>Last actual</x:v>
      </x:c>
      <x:c r="H1714" s="8" t="n">
        <x:f>AVERAGE('PG facts'!E86)</x:f>
        <x:v>1</x:v>
      </x:c>
      <x:c r="I1714" s="8" t="n">
        <x:f>0</x:f>
        <x:v>0</x:v>
      </x:c>
      <x:c r="J1714" s="8" t="n">
        <x:v>0</x:v>
      </x:c>
      <x:c r="K1714" s="8" t="n">
        <x:f>H1714-I1714*J1714</x:f>
        <x:v>1</x:v>
      </x:c>
      <x:c r="L1714" s="8" t="n">
        <x:f>'PG facts'!E93</x:f>
        <x:v>1</x:v>
      </x:c>
      <x:c r="M1714" s="8" t="n">
        <x:f>K1714-L1714</x:f>
        <x:v>0</x:v>
      </x:c>
      <x:c r="N1714" s="8" t="n">
        <x:f>M1714^2</x:f>
        <x:v>0</x:v>
      </x:c>
      <x:c r="O1714" s="8" t="n">
        <x:f>ABS(M1714)</x:f>
        <x:v>0</x:v>
      </x:c>
      <x:c r="P1714" s="7" t="n">
        <x:v>45401</x:v>
      </x:c>
    </x:row>
    <x:row r="1715" ht="26" customHeight="1">
      <x:c r="A1715" s="2"/>
      <x:c r="B1715" s="2" t="n">
        <x:v>1710</x:v>
      </x:c>
      <x:c r="C1715" s="2" t="str">
        <x:v>Fabric &amp; Home Care / organic_volume_growth</x:v>
      </x:c>
      <x:c r="D1715" s="7" t="n">
        <x:v>45382</x:v>
      </x:c>
      <x:c r="E1715" s="2" t="str">
        <x:v>Prior report</x:v>
      </x:c>
      <x:c r="F1715" s="7" t="n">
        <x:v>45314</x:v>
      </x:c>
      <x:c r="G1715" s="2" t="str">
        <x:v>Four-quarter mean</x:v>
      </x:c>
      <x:c r="H1715" s="8" t="n">
        <x:f>AVERAGE('PG facts'!E65,'PG facts'!E72,'PG facts'!E79,'PG facts'!E86)</x:f>
        <x:v>-1.5</x:v>
      </x:c>
      <x:c r="I1715" s="8" t="n">
        <x:f>0</x:f>
        <x:v>0</x:v>
      </x:c>
      <x:c r="J1715" s="8" t="n">
        <x:v>0</x:v>
      </x:c>
      <x:c r="K1715" s="8" t="n">
        <x:f>H1715-I1715*J1715</x:f>
        <x:v>-1.5</x:v>
      </x:c>
      <x:c r="L1715" s="8" t="n">
        <x:f>'PG facts'!E93</x:f>
        <x:v>1</x:v>
      </x:c>
      <x:c r="M1715" s="8" t="n">
        <x:f>K1715-L1715</x:f>
        <x:v>-2.5</x:v>
      </x:c>
      <x:c r="N1715" s="8" t="n">
        <x:f>M1715^2</x:f>
        <x:v>6.25</x:v>
      </x:c>
      <x:c r="O1715" s="8" t="n">
        <x:f>ABS(M1715)</x:f>
        <x:v>2.5</x:v>
      </x:c>
      <x:c r="P1715" s="7" t="n">
        <x:v>45401</x:v>
      </x:c>
    </x:row>
    <x:row r="1716" ht="26" customHeight="1">
      <x:c r="A1716" s="2"/>
      <x:c r="B1716" s="2" t="n">
        <x:v>1711</x:v>
      </x:c>
      <x:c r="C1716" s="2" t="str">
        <x:v>Fabric &amp; Home Care / organic_volume_growth</x:v>
      </x:c>
      <x:c r="D1716" s="7" t="n">
        <x:v>45382</x:v>
      </x:c>
      <x:c r="E1716" s="2" t="str">
        <x:v>Prior report</x:v>
      </x:c>
      <x:c r="F1716" s="7" t="n">
        <x:v>45314</x:v>
      </x:c>
      <x:c r="G1716" s="2" t="str">
        <x:v>Broad market</x:v>
      </x:c>
      <x:c r="H1716" s="8" t="n">
        <x:f>'Model fits'!AA1118</x:f>
        <x:v>-1.305229664201101</x:v>
      </x:c>
      <x:c r="I1716" s="8" t="n">
        <x:f>0</x:f>
        <x:v>0</x:v>
      </x:c>
      <x:c r="J1716" s="8" t="n">
        <x:v>0</x:v>
      </x:c>
      <x:c r="K1716" s="8" t="n">
        <x:f>H1716-I1716*J1716</x:f>
        <x:v>-1.305229664201101</x:v>
      </x:c>
      <x:c r="L1716" s="8" t="n">
        <x:f>'PG facts'!E93</x:f>
        <x:v>1</x:v>
      </x:c>
      <x:c r="M1716" s="8" t="n">
        <x:f>K1716-L1716</x:f>
        <x:v>-2.305229664201101</x:v>
      </x:c>
      <x:c r="N1716" s="8" t="n">
        <x:f>M1716^2</x:f>
        <x:v>5.314083804712721</x:v>
      </x:c>
      <x:c r="O1716" s="8" t="n">
        <x:f>ABS(M1716)</x:f>
        <x:v>2.305229664201101</x:v>
      </x:c>
      <x:c r="P1716" s="7" t="n">
        <x:v>45401</x:v>
      </x:c>
    </x:row>
    <x:row r="1717" ht="26" customHeight="1">
      <x:c r="A1717" s="2"/>
      <x:c r="B1717" s="2" t="n">
        <x:v>1712</x:v>
      </x:c>
      <x:c r="C1717" s="2" t="str">
        <x:v>Fabric &amp; Home Care / organic_volume_growth</x:v>
      </x:c>
      <x:c r="D1717" s="7" t="n">
        <x:v>45382</x:v>
      </x:c>
      <x:c r="E1717" s="2" t="str">
        <x:v>Prior report</x:v>
      </x:c>
      <x:c r="F1717" s="7" t="n">
        <x:v>45314</x:v>
      </x:c>
      <x:c r="G1717" s="2" t="str">
        <x:v>Broad rolling 8</x:v>
      </x:c>
      <x:c r="H1717" s="8" t="n">
        <x:f>'Model fits'!AA1119</x:f>
        <x:v>-0.8209508026351702</x:v>
      </x:c>
      <x:c r="I1717" s="8" t="n">
        <x:f>0</x:f>
        <x:v>0</x:v>
      </x:c>
      <x:c r="J1717" s="8" t="n">
        <x:v>0</x:v>
      </x:c>
      <x:c r="K1717" s="8" t="n">
        <x:f>H1717-I1717*J1717</x:f>
        <x:v>-0.8209508026351702</x:v>
      </x:c>
      <x:c r="L1717" s="8" t="n">
        <x:f>'PG facts'!E93</x:f>
        <x:v>1</x:v>
      </x:c>
      <x:c r="M1717" s="8" t="n">
        <x:f>K1717-L1717</x:f>
        <x:v>-1.8209508026351702</x:v>
      </x:c>
      <x:c r="N1717" s="8" t="n">
        <x:f>M1717^2</x:f>
        <x:v>3.3158618256176706</x:v>
      </x:c>
      <x:c r="O1717" s="8" t="n">
        <x:f>ABS(M1717)</x:f>
        <x:v>1.8209508026351702</x:v>
      </x:c>
      <x:c r="P1717" s="7" t="n">
        <x:v>45401</x:v>
      </x:c>
    </x:row>
    <x:row r="1718" ht="26" customHeight="1">
      <x:c r="A1718" s="2"/>
      <x:c r="B1718" s="2" t="n">
        <x:v>1713</x:v>
      </x:c>
      <x:c r="C1718" s="2" t="str">
        <x:v>Fabric &amp; Home Care / organic_volume_growth</x:v>
      </x:c>
      <x:c r="D1718" s="7" t="n">
        <x:v>45382</x:v>
      </x:c>
      <x:c r="E1718" s="2" t="str">
        <x:v>Prior report</x:v>
      </x:c>
      <x:c r="F1718" s="7" t="n">
        <x:v>45314</x:v>
      </x:c>
      <x:c r="G1718" s="2" t="str">
        <x:v>Own history</x:v>
      </x:c>
      <x:c r="H1718" s="8" t="n">
        <x:f>'Model fits'!AA1120</x:f>
        <x:v>0.4771371769383698</x:v>
      </x:c>
      <x:c r="I1718" s="8" t="n">
        <x:f>0</x:f>
        <x:v>0</x:v>
      </x:c>
      <x:c r="J1718" s="8" t="n">
        <x:v>0</x:v>
      </x:c>
      <x:c r="K1718" s="8" t="n">
        <x:f>H1718-I1718*J1718</x:f>
        <x:v>0.4771371769383698</x:v>
      </x:c>
      <x:c r="L1718" s="8" t="n">
        <x:f>'PG facts'!E93</x:f>
        <x:v>1</x:v>
      </x:c>
      <x:c r="M1718" s="8" t="n">
        <x:f>K1718-L1718</x:f>
        <x:v>-0.5228628230616301</x:v>
      </x:c>
      <x:c r="N1718" s="8" t="n">
        <x:f>M1718^2</x:f>
        <x:v>0.27338553173997754</x:v>
      </x:c>
      <x:c r="O1718" s="8" t="n">
        <x:f>ABS(M1718)</x:f>
        <x:v>0.5228628230616301</x:v>
      </x:c>
      <x:c r="P1718" s="7" t="n">
        <x:v>45401</x:v>
      </x:c>
    </x:row>
    <x:row r="1719" ht="26" customHeight="1">
      <x:c r="A1719" s="2"/>
      <x:c r="B1719" s="2" t="n">
        <x:v>1714</x:v>
      </x:c>
      <x:c r="C1719" s="2" t="str">
        <x:v>Fabric &amp; Home Care / organic_volume_growth</x:v>
      </x:c>
      <x:c r="D1719" s="7" t="n">
        <x:v>45382</x:v>
      </x:c>
      <x:c r="E1719" s="2" t="str">
        <x:v>Pre-earnings</x:v>
      </x:c>
      <x:c r="F1719" s="7" t="n">
        <x:v>45400</x:v>
      </x:c>
      <x:c r="G1719" s="2" t="str">
        <x:v>Last actual</x:v>
      </x:c>
      <x:c r="H1719" s="8" t="n">
        <x:f>AVERAGE('PG facts'!E86)</x:f>
        <x:v>1</x:v>
      </x:c>
      <x:c r="I1719" s="8" t="n">
        <x:f>0</x:f>
        <x:v>0</x:v>
      </x:c>
      <x:c r="J1719" s="8" t="n">
        <x:v>0</x:v>
      </x:c>
      <x:c r="K1719" s="8" t="n">
        <x:f>H1719-I1719*J1719</x:f>
        <x:v>1</x:v>
      </x:c>
      <x:c r="L1719" s="8" t="n">
        <x:f>'PG facts'!E93</x:f>
        <x:v>1</x:v>
      </x:c>
      <x:c r="M1719" s="8" t="n">
        <x:f>K1719-L1719</x:f>
        <x:v>0</x:v>
      </x:c>
      <x:c r="N1719" s="8" t="n">
        <x:f>M1719^2</x:f>
        <x:v>0</x:v>
      </x:c>
      <x:c r="O1719" s="8" t="n">
        <x:f>ABS(M1719)</x:f>
        <x:v>0</x:v>
      </x:c>
      <x:c r="P1719" s="7" t="n">
        <x:v>45401</x:v>
      </x:c>
    </x:row>
    <x:row r="1720" ht="26" customHeight="1">
      <x:c r="A1720" s="2"/>
      <x:c r="B1720" s="2" t="n">
        <x:v>1715</x:v>
      </x:c>
      <x:c r="C1720" s="2" t="str">
        <x:v>Fabric &amp; Home Care / organic_volume_growth</x:v>
      </x:c>
      <x:c r="D1720" s="7" t="n">
        <x:v>45382</x:v>
      </x:c>
      <x:c r="E1720" s="2" t="str">
        <x:v>Pre-earnings</x:v>
      </x:c>
      <x:c r="F1720" s="7" t="n">
        <x:v>45400</x:v>
      </x:c>
      <x:c r="G1720" s="2" t="str">
        <x:v>Four-quarter mean</x:v>
      </x:c>
      <x:c r="H1720" s="8" t="n">
        <x:f>AVERAGE('PG facts'!E65,'PG facts'!E72,'PG facts'!E79,'PG facts'!E86)</x:f>
        <x:v>-1.5</x:v>
      </x:c>
      <x:c r="I1720" s="8" t="n">
        <x:f>0</x:f>
        <x:v>0</x:v>
      </x:c>
      <x:c r="J1720" s="8" t="n">
        <x:v>0</x:v>
      </x:c>
      <x:c r="K1720" s="8" t="n">
        <x:f>H1720-I1720*J1720</x:f>
        <x:v>-1.5</x:v>
      </x:c>
      <x:c r="L1720" s="8" t="n">
        <x:f>'PG facts'!E93</x:f>
        <x:v>1</x:v>
      </x:c>
      <x:c r="M1720" s="8" t="n">
        <x:f>K1720-L1720</x:f>
        <x:v>-2.5</x:v>
      </x:c>
      <x:c r="N1720" s="8" t="n">
        <x:f>M1720^2</x:f>
        <x:v>6.25</x:v>
      </x:c>
      <x:c r="O1720" s="8" t="n">
        <x:f>ABS(M1720)</x:f>
        <x:v>2.5</x:v>
      </x:c>
      <x:c r="P1720" s="7" t="n">
        <x:v>45401</x:v>
      </x:c>
    </x:row>
    <x:row r="1721" ht="26" customHeight="1">
      <x:c r="A1721" s="2"/>
      <x:c r="B1721" s="2" t="n">
        <x:v>1716</x:v>
      </x:c>
      <x:c r="C1721" s="2" t="str">
        <x:v>Fabric &amp; Home Care / organic_volume_growth</x:v>
      </x:c>
      <x:c r="D1721" s="7" t="n">
        <x:v>45382</x:v>
      </x:c>
      <x:c r="E1721" s="2" t="str">
        <x:v>Pre-earnings</x:v>
      </x:c>
      <x:c r="F1721" s="7" t="n">
        <x:v>45400</x:v>
      </x:c>
      <x:c r="G1721" s="2" t="str">
        <x:v>Broad market</x:v>
      </x:c>
      <x:c r="H1721" s="8" t="n">
        <x:f>'Model fits'!AA1121</x:f>
        <x:v>-1.1361645888857579</x:v>
      </x:c>
      <x:c r="I1721" s="8" t="n">
        <x:f>0</x:f>
        <x:v>0</x:v>
      </x:c>
      <x:c r="J1721" s="8" t="n">
        <x:v>0</x:v>
      </x:c>
      <x:c r="K1721" s="8" t="n">
        <x:f>H1721-I1721*J1721</x:f>
        <x:v>-1.1361645888857579</x:v>
      </x:c>
      <x:c r="L1721" s="8" t="n">
        <x:f>'PG facts'!E93</x:f>
        <x:v>1</x:v>
      </x:c>
      <x:c r="M1721" s="8" t="n">
        <x:f>K1721-L1721</x:f>
        <x:v>-2.136164588885758</x:v>
      </x:c>
      <x:c r="N1721" s="8" t="n">
        <x:f>M1721^2</x:f>
        <x:v>4.563199150809459</x:v>
      </x:c>
      <x:c r="O1721" s="8" t="n">
        <x:f>ABS(M1721)</x:f>
        <x:v>2.136164588885758</x:v>
      </x:c>
      <x:c r="P1721" s="7" t="n">
        <x:v>45401</x:v>
      </x:c>
    </x:row>
    <x:row r="1722" ht="26" customHeight="1">
      <x:c r="A1722" s="2"/>
      <x:c r="B1722" s="2" t="n">
        <x:v>1717</x:v>
      </x:c>
      <x:c r="C1722" s="2" t="str">
        <x:v>Fabric &amp; Home Care / organic_volume_growth</x:v>
      </x:c>
      <x:c r="D1722" s="7" t="n">
        <x:v>45382</x:v>
      </x:c>
      <x:c r="E1722" s="2" t="str">
        <x:v>Pre-earnings</x:v>
      </x:c>
      <x:c r="F1722" s="7" t="n">
        <x:v>45400</x:v>
      </x:c>
      <x:c r="G1722" s="2" t="str">
        <x:v>Broad lag 1</x:v>
      </x:c>
      <x:c r="H1722" s="8" t="n">
        <x:f>'Model fits'!AA1122</x:f>
        <x:v>-1.1460890652403417</x:v>
      </x:c>
      <x:c r="I1722" s="8" t="n">
        <x:f>0</x:f>
        <x:v>0</x:v>
      </x:c>
      <x:c r="J1722" s="8" t="n">
        <x:v>0</x:v>
      </x:c>
      <x:c r="K1722" s="8" t="n">
        <x:f>H1722-I1722*J1722</x:f>
        <x:v>-1.1460890652403417</x:v>
      </x:c>
      <x:c r="L1722" s="8" t="n">
        <x:f>'PG facts'!E93</x:f>
        <x:v>1</x:v>
      </x:c>
      <x:c r="M1722" s="8" t="n">
        <x:f>K1722-L1722</x:f>
        <x:v>-2.146089065240342</x:v>
      </x:c>
      <x:c r="N1722" s="8" t="n">
        <x:f>M1722^2</x:f>
        <x:v>4.605698275944165</x:v>
      </x:c>
      <x:c r="O1722" s="8" t="n">
        <x:f>ABS(M1722)</x:f>
        <x:v>2.146089065240342</x:v>
      </x:c>
      <x:c r="P1722" s="7" t="n">
        <x:v>45401</x:v>
      </x:c>
    </x:row>
    <x:row r="1723" ht="26" customHeight="1">
      <x:c r="A1723" s="2"/>
      <x:c r="B1723" s="2" t="n">
        <x:v>1718</x:v>
      </x:c>
      <x:c r="C1723" s="2" t="str">
        <x:v>Fabric &amp; Home Care / organic_volume_growth</x:v>
      </x:c>
      <x:c r="D1723" s="7" t="n">
        <x:v>45382</x:v>
      </x:c>
      <x:c r="E1723" s="2" t="str">
        <x:v>Pre-earnings</x:v>
      </x:c>
      <x:c r="F1723" s="7" t="n">
        <x:v>45400</x:v>
      </x:c>
      <x:c r="G1723" s="2" t="str">
        <x:v>Broad rolling 8</x:v>
      </x:c>
      <x:c r="H1723" s="8" t="n">
        <x:f>'Model fits'!AA1123</x:f>
        <x:v>-0.17347451650181744</x:v>
      </x:c>
      <x:c r="I1723" s="8" t="n">
        <x:f>0</x:f>
        <x:v>0</x:v>
      </x:c>
      <x:c r="J1723" s="8" t="n">
        <x:v>0</x:v>
      </x:c>
      <x:c r="K1723" s="8" t="n">
        <x:f>H1723-I1723*J1723</x:f>
        <x:v>-0.17347451650181744</x:v>
      </x:c>
      <x:c r="L1723" s="8" t="n">
        <x:f>'PG facts'!E93</x:f>
        <x:v>1</x:v>
      </x:c>
      <x:c r="M1723" s="8" t="n">
        <x:f>K1723-L1723</x:f>
        <x:v>-1.1734745165018174</x:v>
      </x:c>
      <x:c r="N1723" s="8" t="n">
        <x:f>M1723^2</x:f>
        <x:v>1.3770424408791742</x:v>
      </x:c>
      <x:c r="O1723" s="8" t="n">
        <x:f>ABS(M1723)</x:f>
        <x:v>1.1734745165018174</x:v>
      </x:c>
      <x:c r="P1723" s="7" t="n">
        <x:v>45401</x:v>
      </x:c>
    </x:row>
    <x:row r="1724" ht="26" customHeight="1">
      <x:c r="A1724" s="2"/>
      <x:c r="B1724" s="2" t="n">
        <x:v>1719</x:v>
      </x:c>
      <x:c r="C1724" s="2" t="str">
        <x:v>Fabric &amp; Home Care / organic_volume_growth</x:v>
      </x:c>
      <x:c r="D1724" s="7" t="n">
        <x:v>45382</x:v>
      </x:c>
      <x:c r="E1724" s="2" t="str">
        <x:v>Pre-earnings</x:v>
      </x:c>
      <x:c r="F1724" s="7" t="n">
        <x:v>45400</x:v>
      </x:c>
      <x:c r="G1724" s="2" t="str">
        <x:v>Own history</x:v>
      </x:c>
      <x:c r="H1724" s="8" t="n">
        <x:f>'Model fits'!AA1124</x:f>
        <x:v>0.4771371769383698</x:v>
      </x:c>
      <x:c r="I1724" s="8" t="n">
        <x:f>0</x:f>
        <x:v>0</x:v>
      </x:c>
      <x:c r="J1724" s="8" t="n">
        <x:v>0</x:v>
      </x:c>
      <x:c r="K1724" s="8" t="n">
        <x:f>H1724-I1724*J1724</x:f>
        <x:v>0.4771371769383698</x:v>
      </x:c>
      <x:c r="L1724" s="8" t="n">
        <x:f>'PG facts'!E93</x:f>
        <x:v>1</x:v>
      </x:c>
      <x:c r="M1724" s="8" t="n">
        <x:f>K1724-L1724</x:f>
        <x:v>-0.5228628230616301</x:v>
      </x:c>
      <x:c r="N1724" s="8" t="n">
        <x:f>M1724^2</x:f>
        <x:v>0.27338553173997754</x:v>
      </x:c>
      <x:c r="O1724" s="8" t="n">
        <x:f>ABS(M1724)</x:f>
        <x:v>0.5228628230616301</x:v>
      </x:c>
      <x:c r="P1724" s="7" t="n">
        <x:v>45401</x:v>
      </x:c>
    </x:row>
    <x:row r="1725" ht="26" customHeight="1">
      <x:c r="A1725" s="2"/>
      <x:c r="B1725" s="2" t="n">
        <x:v>1720</x:v>
      </x:c>
      <x:c r="C1725" s="2" t="str">
        <x:v>Fabric &amp; Home Care / organic_volume_growth</x:v>
      </x:c>
      <x:c r="D1725" s="7" t="n">
        <x:v>45473</x:v>
      </x:c>
      <x:c r="E1725" s="2" t="str">
        <x:v>Origin</x:v>
      </x:c>
      <x:c r="F1725" s="7" t="n">
        <x:v>45383</x:v>
      </x:c>
      <x:c r="G1725" s="2" t="str">
        <x:v>Last actual</x:v>
      </x:c>
      <x:c r="H1725" s="8" t="n">
        <x:f>AVERAGE('PG facts'!E86)</x:f>
        <x:v>1</x:v>
      </x:c>
      <x:c r="I1725" s="8" t="n">
        <x:f>0</x:f>
        <x:v>0</x:v>
      </x:c>
      <x:c r="J1725" s="8" t="n">
        <x:v>0</x:v>
      </x:c>
      <x:c r="K1725" s="8" t="n">
        <x:f>H1725-I1725*J1725</x:f>
        <x:v>1</x:v>
      </x:c>
      <x:c r="L1725" s="8" t="n">
        <x:f>'PG facts'!E100</x:f>
        <x:v>3</x:v>
      </x:c>
      <x:c r="M1725" s="8" t="n">
        <x:f>K1725-L1725</x:f>
        <x:v>-2</x:v>
      </x:c>
      <x:c r="N1725" s="8" t="n">
        <x:f>M1725^2</x:f>
        <x:v>4</x:v>
      </x:c>
      <x:c r="O1725" s="8" t="n">
        <x:f>ABS(M1725)</x:f>
        <x:v>2</x:v>
      </x:c>
      <x:c r="P1725" s="7" t="n">
        <x:v>45503</x:v>
      </x:c>
    </x:row>
    <x:row r="1726" ht="26" customHeight="1">
      <x:c r="A1726" s="2"/>
      <x:c r="B1726" s="2" t="n">
        <x:v>1721</x:v>
      </x:c>
      <x:c r="C1726" s="2" t="str">
        <x:v>Fabric &amp; Home Care / organic_volume_growth</x:v>
      </x:c>
      <x:c r="D1726" s="7" t="n">
        <x:v>45473</x:v>
      </x:c>
      <x:c r="E1726" s="2" t="str">
        <x:v>Origin</x:v>
      </x:c>
      <x:c r="F1726" s="7" t="n">
        <x:v>45383</x:v>
      </x:c>
      <x:c r="G1726" s="2" t="str">
        <x:v>Four-quarter mean</x:v>
      </x:c>
      <x:c r="H1726" s="8" t="n">
        <x:f>AVERAGE('PG facts'!E65,'PG facts'!E72,'PG facts'!E79,'PG facts'!E86)</x:f>
        <x:v>-1.5</x:v>
      </x:c>
      <x:c r="I1726" s="8" t="n">
        <x:f>0</x:f>
        <x:v>0</x:v>
      </x:c>
      <x:c r="J1726" s="8" t="n">
        <x:v>0</x:v>
      </x:c>
      <x:c r="K1726" s="8" t="n">
        <x:f>H1726-I1726*J1726</x:f>
        <x:v>-1.5</x:v>
      </x:c>
      <x:c r="L1726" s="8" t="n">
        <x:f>'PG facts'!E100</x:f>
        <x:v>3</x:v>
      </x:c>
      <x:c r="M1726" s="8" t="n">
        <x:f>K1726-L1726</x:f>
        <x:v>-4.5</x:v>
      </x:c>
      <x:c r="N1726" s="8" t="n">
        <x:f>M1726^2</x:f>
        <x:v>20.25</x:v>
      </x:c>
      <x:c r="O1726" s="8" t="n">
        <x:f>ABS(M1726)</x:f>
        <x:v>4.5</x:v>
      </x:c>
      <x:c r="P1726" s="7" t="n">
        <x:v>45503</x:v>
      </x:c>
    </x:row>
    <x:row r="1727" ht="26" customHeight="1">
      <x:c r="A1727" s="2"/>
      <x:c r="B1727" s="2" t="n">
        <x:v>1722</x:v>
      </x:c>
      <x:c r="C1727" s="2" t="str">
        <x:v>Fabric &amp; Home Care / organic_volume_growth</x:v>
      </x:c>
      <x:c r="D1727" s="7" t="n">
        <x:v>45473</x:v>
      </x:c>
      <x:c r="E1727" s="2" t="str">
        <x:v>Origin</x:v>
      </x:c>
      <x:c r="F1727" s="7" t="n">
        <x:v>45383</x:v>
      </x:c>
      <x:c r="G1727" s="2" t="str">
        <x:v>Broad market</x:v>
      </x:c>
      <x:c r="H1727" s="8" t="n">
        <x:f>'Model fits'!AA1125</x:f>
        <x:v>-0.9613697468315513</x:v>
      </x:c>
      <x:c r="I1727" s="8" t="n">
        <x:f>0</x:f>
        <x:v>0</x:v>
      </x:c>
      <x:c r="J1727" s="8" t="n">
        <x:v>0</x:v>
      </x:c>
      <x:c r="K1727" s="8" t="n">
        <x:f>H1727-I1727*J1727</x:f>
        <x:v>-0.9613697468315513</x:v>
      </x:c>
      <x:c r="L1727" s="8" t="n">
        <x:f>'PG facts'!E100</x:f>
        <x:v>3</x:v>
      </x:c>
      <x:c r="M1727" s="8" t="n">
        <x:f>K1727-L1727</x:f>
        <x:v>-3.961369746831551</x:v>
      </x:c>
      <x:c r="N1727" s="8" t="n">
        <x:f>M1727^2</x:f>
        <x:v>15.692450271112268</x:v>
      </x:c>
      <x:c r="O1727" s="8" t="n">
        <x:f>ABS(M1727)</x:f>
        <x:v>3.961369746831551</x:v>
      </x:c>
      <x:c r="P1727" s="7" t="n">
        <x:v>45503</x:v>
      </x:c>
    </x:row>
    <x:row r="1728" ht="26" customHeight="1">
      <x:c r="A1728" s="2"/>
      <x:c r="B1728" s="2" t="n">
        <x:v>1723</x:v>
      </x:c>
      <x:c r="C1728" s="2" t="str">
        <x:v>Fabric &amp; Home Care / organic_volume_growth</x:v>
      </x:c>
      <x:c r="D1728" s="7" t="n">
        <x:v>45473</x:v>
      </x:c>
      <x:c r="E1728" s="2" t="str">
        <x:v>Origin</x:v>
      </x:c>
      <x:c r="F1728" s="7" t="n">
        <x:v>45383</x:v>
      </x:c>
      <x:c r="G1728" s="2" t="str">
        <x:v>Broad rolling 8</x:v>
      </x:c>
      <x:c r="H1728" s="8" t="n">
        <x:f>'Model fits'!AA1126</x:f>
        <x:v>0.5251968468221015</x:v>
      </x:c>
      <x:c r="I1728" s="8" t="n">
        <x:f>0</x:f>
        <x:v>0</x:v>
      </x:c>
      <x:c r="J1728" s="8" t="n">
        <x:v>0</x:v>
      </x:c>
      <x:c r="K1728" s="8" t="n">
        <x:f>H1728-I1728*J1728</x:f>
        <x:v>0.5251968468221015</x:v>
      </x:c>
      <x:c r="L1728" s="8" t="n">
        <x:f>'PG facts'!E100</x:f>
        <x:v>3</x:v>
      </x:c>
      <x:c r="M1728" s="8" t="n">
        <x:f>K1728-L1728</x:f>
        <x:v>-2.4748031531778985</x:v>
      </x:c>
      <x:c r="N1728" s="8" t="n">
        <x:f>M1728^2</x:f>
        <x:v>6.124650646979268</x:v>
      </x:c>
      <x:c r="O1728" s="8" t="n">
        <x:f>ABS(M1728)</x:f>
        <x:v>2.4748031531778985</x:v>
      </x:c>
      <x:c r="P1728" s="7" t="n">
        <x:v>45503</x:v>
      </x:c>
    </x:row>
    <x:row r="1729" ht="26" customHeight="1">
      <x:c r="A1729" s="2"/>
      <x:c r="B1729" s="2" t="n">
        <x:v>1724</x:v>
      </x:c>
      <x:c r="C1729" s="2" t="str">
        <x:v>Fabric &amp; Home Care / organic_volume_growth</x:v>
      </x:c>
      <x:c r="D1729" s="7" t="n">
        <x:v>45473</x:v>
      </x:c>
      <x:c r="E1729" s="2" t="str">
        <x:v>Origin</x:v>
      </x:c>
      <x:c r="F1729" s="7" t="n">
        <x:v>45383</x:v>
      </x:c>
      <x:c r="G1729" s="2" t="str">
        <x:v>Own history</x:v>
      </x:c>
      <x:c r="H1729" s="8" t="n">
        <x:f>'Model fits'!AA1127</x:f>
        <x:v>-0.1919081465281575</x:v>
      </x:c>
      <x:c r="I1729" s="8" t="n">
        <x:f>0</x:f>
        <x:v>0</x:v>
      </x:c>
      <x:c r="J1729" s="8" t="n">
        <x:v>0</x:v>
      </x:c>
      <x:c r="K1729" s="8" t="n">
        <x:f>H1729-I1729*J1729</x:f>
        <x:v>-0.1919081465281575</x:v>
      </x:c>
      <x:c r="L1729" s="8" t="n">
        <x:f>'PG facts'!E100</x:f>
        <x:v>3</x:v>
      </x:c>
      <x:c r="M1729" s="8" t="n">
        <x:f>K1729-L1729</x:f>
        <x:v>-3.1919081465281574</x:v>
      </x:c>
      <x:c r="N1729" s="8" t="n">
        <x:f>M1729^2</x:f>
        <x:v>10.188277615872817</x:v>
      </x:c>
      <x:c r="O1729" s="8" t="n">
        <x:f>ABS(M1729)</x:f>
        <x:v>3.1919081465281574</x:v>
      </x:c>
      <x:c r="P1729" s="7" t="n">
        <x:v>45503</x:v>
      </x:c>
    </x:row>
    <x:row r="1730" ht="26" customHeight="1">
      <x:c r="A1730" s="2"/>
      <x:c r="B1730" s="2" t="n">
        <x:v>1725</x:v>
      </x:c>
      <x:c r="C1730" s="2" t="str">
        <x:v>Fabric &amp; Home Care / organic_volume_growth</x:v>
      </x:c>
      <x:c r="D1730" s="7" t="n">
        <x:v>45473</x:v>
      </x:c>
      <x:c r="E1730" s="2" t="str">
        <x:v>Prior report</x:v>
      </x:c>
      <x:c r="F1730" s="7" t="n">
        <x:v>45401</x:v>
      </x:c>
      <x:c r="G1730" s="2" t="str">
        <x:v>Last actual</x:v>
      </x:c>
      <x:c r="H1730" s="8" t="n">
        <x:f>AVERAGE('PG facts'!E93)</x:f>
        <x:v>1</x:v>
      </x:c>
      <x:c r="I1730" s="8" t="n">
        <x:f>0</x:f>
        <x:v>0</x:v>
      </x:c>
      <x:c r="J1730" s="8" t="n">
        <x:v>0</x:v>
      </x:c>
      <x:c r="K1730" s="8" t="n">
        <x:f>H1730-I1730*J1730</x:f>
        <x:v>1</x:v>
      </x:c>
      <x:c r="L1730" s="8" t="n">
        <x:f>'PG facts'!E100</x:f>
        <x:v>3</x:v>
      </x:c>
      <x:c r="M1730" s="8" t="n">
        <x:f>K1730-L1730</x:f>
        <x:v>-2</x:v>
      </x:c>
      <x:c r="N1730" s="8" t="n">
        <x:f>M1730^2</x:f>
        <x:v>4</x:v>
      </x:c>
      <x:c r="O1730" s="8" t="n">
        <x:f>ABS(M1730)</x:f>
        <x:v>2</x:v>
      </x:c>
      <x:c r="P1730" s="7" t="n">
        <x:v>45503</x:v>
      </x:c>
    </x:row>
    <x:row r="1731" ht="26" customHeight="1">
      <x:c r="A1731" s="2"/>
      <x:c r="B1731" s="2" t="n">
        <x:v>1726</x:v>
      </x:c>
      <x:c r="C1731" s="2" t="str">
        <x:v>Fabric &amp; Home Care / organic_volume_growth</x:v>
      </x:c>
      <x:c r="D1731" s="7" t="n">
        <x:v>45473</x:v>
      </x:c>
      <x:c r="E1731" s="2" t="str">
        <x:v>Prior report</x:v>
      </x:c>
      <x:c r="F1731" s="7" t="n">
        <x:v>45401</x:v>
      </x:c>
      <x:c r="G1731" s="2" t="str">
        <x:v>Four-quarter mean</x:v>
      </x:c>
      <x:c r="H1731" s="8" t="n">
        <x:f>AVERAGE('PG facts'!E72,'PG facts'!E79,'PG facts'!E86,'PG facts'!E93)</x:f>
        <x:v>0</x:v>
      </x:c>
      <x:c r="I1731" s="8" t="n">
        <x:f>0</x:f>
        <x:v>0</x:v>
      </x:c>
      <x:c r="J1731" s="8" t="n">
        <x:v>0</x:v>
      </x:c>
      <x:c r="K1731" s="8" t="n">
        <x:f>H1731-I1731*J1731</x:f>
        <x:v>0</x:v>
      </x:c>
      <x:c r="L1731" s="8" t="n">
        <x:f>'PG facts'!E100</x:f>
        <x:v>3</x:v>
      </x:c>
      <x:c r="M1731" s="8" t="n">
        <x:f>K1731-L1731</x:f>
        <x:v>-3</x:v>
      </x:c>
      <x:c r="N1731" s="8" t="n">
        <x:f>M1731^2</x:f>
        <x:v>9</x:v>
      </x:c>
      <x:c r="O1731" s="8" t="n">
        <x:f>ABS(M1731)</x:f>
        <x:v>3</x:v>
      </x:c>
      <x:c r="P1731" s="7" t="n">
        <x:v>45503</x:v>
      </x:c>
    </x:row>
    <x:row r="1732" ht="26" customHeight="1">
      <x:c r="A1732" s="2"/>
      <x:c r="B1732" s="2" t="n">
        <x:v>1727</x:v>
      </x:c>
      <x:c r="C1732" s="2" t="str">
        <x:v>Fabric &amp; Home Care / organic_volume_growth</x:v>
      </x:c>
      <x:c r="D1732" s="7" t="n">
        <x:v>45473</x:v>
      </x:c>
      <x:c r="E1732" s="2" t="str">
        <x:v>Prior report</x:v>
      </x:c>
      <x:c r="F1732" s="7" t="n">
        <x:v>45401</x:v>
      </x:c>
      <x:c r="G1732" s="2" t="str">
        <x:v>Broad market</x:v>
      </x:c>
      <x:c r="H1732" s="8" t="n">
        <x:f>'Model fits'!AA1128</x:f>
        <x:v>-0.9613697468315513</x:v>
      </x:c>
      <x:c r="I1732" s="8" t="n">
        <x:f>0</x:f>
        <x:v>0</x:v>
      </x:c>
      <x:c r="J1732" s="8" t="n">
        <x:v>0</x:v>
      </x:c>
      <x:c r="K1732" s="8" t="n">
        <x:f>H1732-I1732*J1732</x:f>
        <x:v>-0.9613697468315513</x:v>
      </x:c>
      <x:c r="L1732" s="8" t="n">
        <x:f>'PG facts'!E100</x:f>
        <x:v>3</x:v>
      </x:c>
      <x:c r="M1732" s="8" t="n">
        <x:f>K1732-L1732</x:f>
        <x:v>-3.961369746831551</x:v>
      </x:c>
      <x:c r="N1732" s="8" t="n">
        <x:f>M1732^2</x:f>
        <x:v>15.692450271112268</x:v>
      </x:c>
      <x:c r="O1732" s="8" t="n">
        <x:f>ABS(M1732)</x:f>
        <x:v>3.961369746831551</x:v>
      </x:c>
      <x:c r="P1732" s="7" t="n">
        <x:v>45503</x:v>
      </x:c>
    </x:row>
    <x:row r="1733" ht="26" customHeight="1">
      <x:c r="A1733" s="2"/>
      <x:c r="B1733" s="2" t="n">
        <x:v>1728</x:v>
      </x:c>
      <x:c r="C1733" s="2" t="str">
        <x:v>Fabric &amp; Home Care / organic_volume_growth</x:v>
      </x:c>
      <x:c r="D1733" s="7" t="n">
        <x:v>45473</x:v>
      </x:c>
      <x:c r="E1733" s="2" t="str">
        <x:v>Prior report</x:v>
      </x:c>
      <x:c r="F1733" s="7" t="n">
        <x:v>45401</x:v>
      </x:c>
      <x:c r="G1733" s="2" t="str">
        <x:v>Broad rolling 8</x:v>
      </x:c>
      <x:c r="H1733" s="8" t="n">
        <x:f>'Model fits'!AA1129</x:f>
        <x:v>0.5251968468221015</x:v>
      </x:c>
      <x:c r="I1733" s="8" t="n">
        <x:f>0</x:f>
        <x:v>0</x:v>
      </x:c>
      <x:c r="J1733" s="8" t="n">
        <x:v>0</x:v>
      </x:c>
      <x:c r="K1733" s="8" t="n">
        <x:f>H1733-I1733*J1733</x:f>
        <x:v>0.5251968468221015</x:v>
      </x:c>
      <x:c r="L1733" s="8" t="n">
        <x:f>'PG facts'!E100</x:f>
        <x:v>3</x:v>
      </x:c>
      <x:c r="M1733" s="8" t="n">
        <x:f>K1733-L1733</x:f>
        <x:v>-2.4748031531778985</x:v>
      </x:c>
      <x:c r="N1733" s="8" t="n">
        <x:f>M1733^2</x:f>
        <x:v>6.124650646979268</x:v>
      </x:c>
      <x:c r="O1733" s="8" t="n">
        <x:f>ABS(M1733)</x:f>
        <x:v>2.4748031531778985</x:v>
      </x:c>
      <x:c r="P1733" s="7" t="n">
        <x:v>45503</x:v>
      </x:c>
    </x:row>
    <x:row r="1734" ht="26" customHeight="1">
      <x:c r="A1734" s="2"/>
      <x:c r="B1734" s="2" t="n">
        <x:v>1729</x:v>
      </x:c>
      <x:c r="C1734" s="2" t="str">
        <x:v>Fabric &amp; Home Care / organic_volume_growth</x:v>
      </x:c>
      <x:c r="D1734" s="7" t="n">
        <x:v>45473</x:v>
      </x:c>
      <x:c r="E1734" s="2" t="str">
        <x:v>Prior report</x:v>
      </x:c>
      <x:c r="F1734" s="7" t="n">
        <x:v>45401</x:v>
      </x:c>
      <x:c r="G1734" s="2" t="str">
        <x:v>Own history</x:v>
      </x:c>
      <x:c r="H1734" s="8" t="n">
        <x:f>'Model fits'!AA1130</x:f>
        <x:v>0.5235507246376812</x:v>
      </x:c>
      <x:c r="I1734" s="8" t="n">
        <x:f>0</x:f>
        <x:v>0</x:v>
      </x:c>
      <x:c r="J1734" s="8" t="n">
        <x:v>0</x:v>
      </x:c>
      <x:c r="K1734" s="8" t="n">
        <x:f>H1734-I1734*J1734</x:f>
        <x:v>0.5235507246376812</x:v>
      </x:c>
      <x:c r="L1734" s="8" t="n">
        <x:f>'PG facts'!E100</x:f>
        <x:v>3</x:v>
      </x:c>
      <x:c r="M1734" s="8" t="n">
        <x:f>K1734-L1734</x:f>
        <x:v>-2.476449275362319</x:v>
      </x:c>
      <x:c r="N1734" s="8" t="n">
        <x:f>M1734^2</x:f>
        <x:v>6.132801013442554</x:v>
      </x:c>
      <x:c r="O1734" s="8" t="n">
        <x:f>ABS(M1734)</x:f>
        <x:v>2.476449275362319</x:v>
      </x:c>
      <x:c r="P1734" s="7" t="n">
        <x:v>45503</x:v>
      </x:c>
    </x:row>
    <x:row r="1735" ht="26" customHeight="1">
      <x:c r="A1735" s="2"/>
      <x:c r="B1735" s="2" t="n">
        <x:v>1730</x:v>
      </x:c>
      <x:c r="C1735" s="2" t="str">
        <x:v>Fabric &amp; Home Care / organic_volume_growth</x:v>
      </x:c>
      <x:c r="D1735" s="7" t="n">
        <x:v>45473</x:v>
      </x:c>
      <x:c r="E1735" s="2" t="str">
        <x:v>Pre-earnings</x:v>
      </x:c>
      <x:c r="F1735" s="7" t="n">
        <x:v>45502</x:v>
      </x:c>
      <x:c r="G1735" s="2" t="str">
        <x:v>Last actual</x:v>
      </x:c>
      <x:c r="H1735" s="8" t="n">
        <x:f>AVERAGE('PG facts'!E93)</x:f>
        <x:v>1</x:v>
      </x:c>
      <x:c r="I1735" s="8" t="n">
        <x:f>0</x:f>
        <x:v>0</x:v>
      </x:c>
      <x:c r="J1735" s="8" t="n">
        <x:v>0</x:v>
      </x:c>
      <x:c r="K1735" s="8" t="n">
        <x:f>H1735-I1735*J1735</x:f>
        <x:v>1</x:v>
      </x:c>
      <x:c r="L1735" s="8" t="n">
        <x:f>'PG facts'!E100</x:f>
        <x:v>3</x:v>
      </x:c>
      <x:c r="M1735" s="8" t="n">
        <x:f>K1735-L1735</x:f>
        <x:v>-2</x:v>
      </x:c>
      <x:c r="N1735" s="8" t="n">
        <x:f>M1735^2</x:f>
        <x:v>4</x:v>
      </x:c>
      <x:c r="O1735" s="8" t="n">
        <x:f>ABS(M1735)</x:f>
        <x:v>2</x:v>
      </x:c>
      <x:c r="P1735" s="7" t="n">
        <x:v>45503</x:v>
      </x:c>
    </x:row>
    <x:row r="1736" ht="26" customHeight="1">
      <x:c r="A1736" s="2"/>
      <x:c r="B1736" s="2" t="n">
        <x:v>1731</x:v>
      </x:c>
      <x:c r="C1736" s="2" t="str">
        <x:v>Fabric &amp; Home Care / organic_volume_growth</x:v>
      </x:c>
      <x:c r="D1736" s="7" t="n">
        <x:v>45473</x:v>
      </x:c>
      <x:c r="E1736" s="2" t="str">
        <x:v>Pre-earnings</x:v>
      </x:c>
      <x:c r="F1736" s="7" t="n">
        <x:v>45502</x:v>
      </x:c>
      <x:c r="G1736" s="2" t="str">
        <x:v>Four-quarter mean</x:v>
      </x:c>
      <x:c r="H1736" s="8" t="n">
        <x:f>AVERAGE('PG facts'!E72,'PG facts'!E79,'PG facts'!E86,'PG facts'!E93)</x:f>
        <x:v>0</x:v>
      </x:c>
      <x:c r="I1736" s="8" t="n">
        <x:f>0</x:f>
        <x:v>0</x:v>
      </x:c>
      <x:c r="J1736" s="8" t="n">
        <x:v>0</x:v>
      </x:c>
      <x:c r="K1736" s="8" t="n">
        <x:f>H1736-I1736*J1736</x:f>
        <x:v>0</x:v>
      </x:c>
      <x:c r="L1736" s="8" t="n">
        <x:f>'PG facts'!E100</x:f>
        <x:v>3</x:v>
      </x:c>
      <x:c r="M1736" s="8" t="n">
        <x:f>K1736-L1736</x:f>
        <x:v>-3</x:v>
      </x:c>
      <x:c r="N1736" s="8" t="n">
        <x:f>M1736^2</x:f>
        <x:v>9</x:v>
      </x:c>
      <x:c r="O1736" s="8" t="n">
        <x:f>ABS(M1736)</x:f>
        <x:v>3</x:v>
      </x:c>
      <x:c r="P1736" s="7" t="n">
        <x:v>45503</x:v>
      </x:c>
    </x:row>
    <x:row r="1737" ht="26" customHeight="1">
      <x:c r="A1737" s="2"/>
      <x:c r="B1737" s="2" t="n">
        <x:v>1732</x:v>
      </x:c>
      <x:c r="C1737" s="2" t="str">
        <x:v>Fabric &amp; Home Care / organic_volume_growth</x:v>
      </x:c>
      <x:c r="D1737" s="7" t="n">
        <x:v>45473</x:v>
      </x:c>
      <x:c r="E1737" s="2" t="str">
        <x:v>Pre-earnings</x:v>
      </x:c>
      <x:c r="F1737" s="7" t="n">
        <x:v>45502</x:v>
      </x:c>
      <x:c r="G1737" s="2" t="str">
        <x:v>Broad market</x:v>
      </x:c>
      <x:c r="H1737" s="8" t="n">
        <x:f>'Model fits'!AA1131</x:f>
        <x:v>-0.7443140582282405</x:v>
      </x:c>
      <x:c r="I1737" s="8" t="n">
        <x:f>0</x:f>
        <x:v>0</x:v>
      </x:c>
      <x:c r="J1737" s="8" t="n">
        <x:v>0</x:v>
      </x:c>
      <x:c r="K1737" s="8" t="n">
        <x:f>H1737-I1737*J1737</x:f>
        <x:v>-0.7443140582282405</x:v>
      </x:c>
      <x:c r="L1737" s="8" t="n">
        <x:f>'PG facts'!E100</x:f>
        <x:v>3</x:v>
      </x:c>
      <x:c r="M1737" s="8" t="n">
        <x:f>K1737-L1737</x:f>
        <x:v>-3.7443140582282406</x:v>
      </x:c>
      <x:c r="N1737" s="8" t="n">
        <x:f>M1737^2</x:f>
        <x:v>14.019887766645637</x:v>
      </x:c>
      <x:c r="O1737" s="8" t="n">
        <x:f>ABS(M1737)</x:f>
        <x:v>3.7443140582282406</x:v>
      </x:c>
      <x:c r="P1737" s="7" t="n">
        <x:v>45503</x:v>
      </x:c>
    </x:row>
    <x:row r="1738" ht="26" customHeight="1">
      <x:c r="A1738" s="2"/>
      <x:c r="B1738" s="2" t="n">
        <x:v>1733</x:v>
      </x:c>
      <x:c r="C1738" s="2" t="str">
        <x:v>Fabric &amp; Home Care / organic_volume_growth</x:v>
      </x:c>
      <x:c r="D1738" s="7" t="n">
        <x:v>45473</x:v>
      </x:c>
      <x:c r="E1738" s="2" t="str">
        <x:v>Pre-earnings</x:v>
      </x:c>
      <x:c r="F1738" s="7" t="n">
        <x:v>45502</x:v>
      </x:c>
      <x:c r="G1738" s="2" t="str">
        <x:v>Broad lag 1</x:v>
      </x:c>
      <x:c r="H1738" s="8" t="n">
        <x:f>'Model fits'!AA1132</x:f>
        <x:v>-1.1893820355403197</x:v>
      </x:c>
      <x:c r="I1738" s="8" t="n">
        <x:f>0</x:f>
        <x:v>0</x:v>
      </x:c>
      <x:c r="J1738" s="8" t="n">
        <x:v>0</x:v>
      </x:c>
      <x:c r="K1738" s="8" t="n">
        <x:f>H1738-I1738*J1738</x:f>
        <x:v>-1.1893820355403197</x:v>
      </x:c>
      <x:c r="L1738" s="8" t="n">
        <x:f>'PG facts'!E100</x:f>
        <x:v>3</x:v>
      </x:c>
      <x:c r="M1738" s="8" t="n">
        <x:f>K1738-L1738</x:f>
        <x:v>-4.189382035540319</x:v>
      </x:c>
      <x:c r="N1738" s="8" t="n">
        <x:f>M1738^2</x:f>
        <x:v>17.55092183970795</x:v>
      </x:c>
      <x:c r="O1738" s="8" t="n">
        <x:f>ABS(M1738)</x:f>
        <x:v>4.189382035540319</x:v>
      </x:c>
      <x:c r="P1738" s="7" t="n">
        <x:v>45503</x:v>
      </x:c>
    </x:row>
    <x:row r="1739" ht="26" customHeight="1">
      <x:c r="A1739" s="2"/>
      <x:c r="B1739" s="2" t="n">
        <x:v>1734</x:v>
      </x:c>
      <x:c r="C1739" s="2" t="str">
        <x:v>Fabric &amp; Home Care / organic_volume_growth</x:v>
      </x:c>
      <x:c r="D1739" s="7" t="n">
        <x:v>45473</x:v>
      </x:c>
      <x:c r="E1739" s="2" t="str">
        <x:v>Pre-earnings</x:v>
      </x:c>
      <x:c r="F1739" s="7" t="n">
        <x:v>45502</x:v>
      </x:c>
      <x:c r="G1739" s="2" t="str">
        <x:v>Broad rolling 8</x:v>
      </x:c>
      <x:c r="H1739" s="8" t="n">
        <x:f>'Model fits'!AA1133</x:f>
        <x:v>1.074740457513574</x:v>
      </x:c>
      <x:c r="I1739" s="8" t="n">
        <x:f>0</x:f>
        <x:v>0</x:v>
      </x:c>
      <x:c r="J1739" s="8" t="n">
        <x:v>0</x:v>
      </x:c>
      <x:c r="K1739" s="8" t="n">
        <x:f>H1739-I1739*J1739</x:f>
        <x:v>1.074740457513574</x:v>
      </x:c>
      <x:c r="L1739" s="8" t="n">
        <x:f>'PG facts'!E100</x:f>
        <x:v>3</x:v>
      </x:c>
      <x:c r="M1739" s="8" t="n">
        <x:f>K1739-L1739</x:f>
        <x:v>-1.925259542486426</x:v>
      </x:c>
      <x:c r="N1739" s="8" t="n">
        <x:f>M1739^2</x:f>
        <x:v>3.7066243059350428</x:v>
      </x:c>
      <x:c r="O1739" s="8" t="n">
        <x:f>ABS(M1739)</x:f>
        <x:v>1.925259542486426</x:v>
      </x:c>
      <x:c r="P1739" s="7" t="n">
        <x:v>45503</x:v>
      </x:c>
    </x:row>
    <x:row r="1740" ht="26" customHeight="1">
      <x:c r="A1740" s="2"/>
      <x:c r="B1740" s="2" t="n">
        <x:v>1735</x:v>
      </x:c>
      <x:c r="C1740" s="2" t="str">
        <x:v>Fabric &amp; Home Care / organic_volume_growth</x:v>
      </x:c>
      <x:c r="D1740" s="7" t="n">
        <x:v>45473</x:v>
      </x:c>
      <x:c r="E1740" s="2" t="str">
        <x:v>Pre-earnings</x:v>
      </x:c>
      <x:c r="F1740" s="7" t="n">
        <x:v>45502</x:v>
      </x:c>
      <x:c r="G1740" s="2" t="str">
        <x:v>Own history</x:v>
      </x:c>
      <x:c r="H1740" s="8" t="n">
        <x:f>'Model fits'!AA1134</x:f>
        <x:v>0.5235507246376812</x:v>
      </x:c>
      <x:c r="I1740" s="8" t="n">
        <x:f>0</x:f>
        <x:v>0</x:v>
      </x:c>
      <x:c r="J1740" s="8" t="n">
        <x:v>0</x:v>
      </x:c>
      <x:c r="K1740" s="8" t="n">
        <x:f>H1740-I1740*J1740</x:f>
        <x:v>0.5235507246376812</x:v>
      </x:c>
      <x:c r="L1740" s="8" t="n">
        <x:f>'PG facts'!E100</x:f>
        <x:v>3</x:v>
      </x:c>
      <x:c r="M1740" s="8" t="n">
        <x:f>K1740-L1740</x:f>
        <x:v>-2.476449275362319</x:v>
      </x:c>
      <x:c r="N1740" s="8" t="n">
        <x:f>M1740^2</x:f>
        <x:v>6.132801013442554</x:v>
      </x:c>
      <x:c r="O1740" s="8" t="n">
        <x:f>ABS(M1740)</x:f>
        <x:v>2.476449275362319</x:v>
      </x:c>
      <x:c r="P1740" s="7" t="n">
        <x:v>45503</x:v>
      </x:c>
    </x:row>
    <x:row r="1741" ht="26" customHeight="1">
      <x:c r="A1741" s="2"/>
      <x:c r="B1741" s="2" t="n">
        <x:v>1736</x:v>
      </x:c>
      <x:c r="C1741" s="2" t="str">
        <x:v>Fabric &amp; Home Care / organic_volume_growth</x:v>
      </x:c>
      <x:c r="D1741" s="7" t="n">
        <x:v>45565</x:v>
      </x:c>
      <x:c r="E1741" s="2" t="str">
        <x:v>Origin</x:v>
      </x:c>
      <x:c r="F1741" s="7" t="n">
        <x:v>45474</x:v>
      </x:c>
      <x:c r="G1741" s="2" t="str">
        <x:v>Last actual</x:v>
      </x:c>
      <x:c r="H1741" s="8" t="n">
        <x:f>AVERAGE('PG facts'!E93)</x:f>
        <x:v>1</x:v>
      </x:c>
      <x:c r="I1741" s="8" t="n">
        <x:f>0</x:f>
        <x:v>0</x:v>
      </x:c>
      <x:c r="J1741" s="8" t="n">
        <x:v>0</x:v>
      </x:c>
      <x:c r="K1741" s="8" t="n">
        <x:f>H1741-I1741*J1741</x:f>
        <x:v>1</x:v>
      </x:c>
      <x:c r="L1741" s="8" t="n">
        <x:f>'PG facts'!E107</x:f>
        <x:v>1</x:v>
      </x:c>
      <x:c r="M1741" s="8" t="n">
        <x:f>K1741-L1741</x:f>
        <x:v>0</x:v>
      </x:c>
      <x:c r="N1741" s="8" t="n">
        <x:f>M1741^2</x:f>
        <x:v>0</x:v>
      </x:c>
      <x:c r="O1741" s="8" t="n">
        <x:f>ABS(M1741)</x:f>
        <x:v>0</x:v>
      </x:c>
      <x:c r="P1741" s="7" t="n">
        <x:v>45583</x:v>
      </x:c>
    </x:row>
    <x:row r="1742" ht="26" customHeight="1">
      <x:c r="A1742" s="2"/>
      <x:c r="B1742" s="2" t="n">
        <x:v>1737</x:v>
      </x:c>
      <x:c r="C1742" s="2" t="str">
        <x:v>Fabric &amp; Home Care / organic_volume_growth</x:v>
      </x:c>
      <x:c r="D1742" s="7" t="n">
        <x:v>45565</x:v>
      </x:c>
      <x:c r="E1742" s="2" t="str">
        <x:v>Origin</x:v>
      </x:c>
      <x:c r="F1742" s="7" t="n">
        <x:v>45474</x:v>
      </x:c>
      <x:c r="G1742" s="2" t="str">
        <x:v>Four-quarter mean</x:v>
      </x:c>
      <x:c r="H1742" s="8" t="n">
        <x:f>AVERAGE('PG facts'!E72,'PG facts'!E79,'PG facts'!E86,'PG facts'!E93)</x:f>
        <x:v>0</x:v>
      </x:c>
      <x:c r="I1742" s="8" t="n">
        <x:f>0</x:f>
        <x:v>0</x:v>
      </x:c>
      <x:c r="J1742" s="8" t="n">
        <x:v>0</x:v>
      </x:c>
      <x:c r="K1742" s="8" t="n">
        <x:f>H1742-I1742*J1742</x:f>
        <x:v>0</x:v>
      </x:c>
      <x:c r="L1742" s="8" t="n">
        <x:f>'PG facts'!E107</x:f>
        <x:v>1</x:v>
      </x:c>
      <x:c r="M1742" s="8" t="n">
        <x:f>K1742-L1742</x:f>
        <x:v>-1</x:v>
      </x:c>
      <x:c r="N1742" s="8" t="n">
        <x:f>M1742^2</x:f>
        <x:v>1</x:v>
      </x:c>
      <x:c r="O1742" s="8" t="n">
        <x:f>ABS(M1742)</x:f>
        <x:v>1</x:v>
      </x:c>
      <x:c r="P1742" s="7" t="n">
        <x:v>45583</x:v>
      </x:c>
    </x:row>
    <x:row r="1743" ht="26" customHeight="1">
      <x:c r="A1743" s="2"/>
      <x:c r="B1743" s="2" t="n">
        <x:v>1738</x:v>
      </x:c>
      <x:c r="C1743" s="2" t="str">
        <x:v>Fabric &amp; Home Care / organic_volume_growth</x:v>
      </x:c>
      <x:c r="D1743" s="7" t="n">
        <x:v>45565</x:v>
      </x:c>
      <x:c r="E1743" s="2" t="str">
        <x:v>Origin</x:v>
      </x:c>
      <x:c r="F1743" s="7" t="n">
        <x:v>45474</x:v>
      </x:c>
      <x:c r="G1743" s="2" t="str">
        <x:v>Broad market</x:v>
      </x:c>
      <x:c r="H1743" s="8" t="n">
        <x:f>'Model fits'!AA1135</x:f>
        <x:v>-0.7095748379438607</x:v>
      </x:c>
      <x:c r="I1743" s="8" t="n">
        <x:f>0</x:f>
        <x:v>0</x:v>
      </x:c>
      <x:c r="J1743" s="8" t="n">
        <x:v>0</x:v>
      </x:c>
      <x:c r="K1743" s="8" t="n">
        <x:f>H1743-I1743*J1743</x:f>
        <x:v>-0.7095748379438607</x:v>
      </x:c>
      <x:c r="L1743" s="8" t="n">
        <x:f>'PG facts'!E107</x:f>
        <x:v>1</x:v>
      </x:c>
      <x:c r="M1743" s="8" t="n">
        <x:f>K1743-L1743</x:f>
        <x:v>-1.7095748379438607</x:v>
      </x:c>
      <x:c r="N1743" s="8" t="n">
        <x:f>M1743^2</x:f>
        <x:v>2.9226461265307773</x:v>
      </x:c>
      <x:c r="O1743" s="8" t="n">
        <x:f>ABS(M1743)</x:f>
        <x:v>1.7095748379438607</x:v>
      </x:c>
      <x:c r="P1743" s="7" t="n">
        <x:v>45583</x:v>
      </x:c>
    </x:row>
    <x:row r="1744" ht="26" customHeight="1">
      <x:c r="A1744" s="2"/>
      <x:c r="B1744" s="2" t="n">
        <x:v>1739</x:v>
      </x:c>
      <x:c r="C1744" s="2" t="str">
        <x:v>Fabric &amp; Home Care / organic_volume_growth</x:v>
      </x:c>
      <x:c r="D1744" s="7" t="n">
        <x:v>45565</x:v>
      </x:c>
      <x:c r="E1744" s="2" t="str">
        <x:v>Origin</x:v>
      </x:c>
      <x:c r="F1744" s="7" t="n">
        <x:v>45474</x:v>
      </x:c>
      <x:c r="G1744" s="2" t="str">
        <x:v>Broad rolling 8</x:v>
      </x:c>
      <x:c r="H1744" s="8" t="n">
        <x:f>'Model fits'!AA1136</x:f>
        <x:v>1.2298565387088525</x:v>
      </x:c>
      <x:c r="I1744" s="8" t="n">
        <x:f>0</x:f>
        <x:v>0</x:v>
      </x:c>
      <x:c r="J1744" s="8" t="n">
        <x:v>0</x:v>
      </x:c>
      <x:c r="K1744" s="8" t="n">
        <x:f>H1744-I1744*J1744</x:f>
        <x:v>1.2298565387088525</x:v>
      </x:c>
      <x:c r="L1744" s="8" t="n">
        <x:f>'PG facts'!E107</x:f>
        <x:v>1</x:v>
      </x:c>
      <x:c r="M1744" s="8" t="n">
        <x:f>K1744-L1744</x:f>
        <x:v>0.22985653870885248</x:v>
      </x:c>
      <x:c r="N1744" s="8" t="n">
        <x:f>M1744^2</x:f>
        <x:v>0.052834028387214196</x:v>
      </x:c>
      <x:c r="O1744" s="8" t="n">
        <x:f>ABS(M1744)</x:f>
        <x:v>0.22985653870885248</x:v>
      </x:c>
      <x:c r="P1744" s="7" t="n">
        <x:v>45583</x:v>
      </x:c>
    </x:row>
    <x:row r="1745" ht="26" customHeight="1">
      <x:c r="A1745" s="2"/>
      <x:c r="B1745" s="2" t="n">
        <x:v>1740</x:v>
      </x:c>
      <x:c r="C1745" s="2" t="str">
        <x:v>Fabric &amp; Home Care / organic_volume_growth</x:v>
      </x:c>
      <x:c r="D1745" s="7" t="n">
        <x:v>45565</x:v>
      </x:c>
      <x:c r="E1745" s="2" t="str">
        <x:v>Origin</x:v>
      </x:c>
      <x:c r="F1745" s="7" t="n">
        <x:v>45474</x:v>
      </x:c>
      <x:c r="G1745" s="2" t="str">
        <x:v>Own history</x:v>
      </x:c>
      <x:c r="H1745" s="8" t="n">
        <x:f>'Model fits'!AA1137</x:f>
        <x:v>-0.06560636182902582</x:v>
      </x:c>
      <x:c r="I1745" s="8" t="n">
        <x:f>0</x:f>
        <x:v>0</x:v>
      </x:c>
      <x:c r="J1745" s="8" t="n">
        <x:v>0</x:v>
      </x:c>
      <x:c r="K1745" s="8" t="n">
        <x:f>H1745-I1745*J1745</x:f>
        <x:v>-0.06560636182902582</x:v>
      </x:c>
      <x:c r="L1745" s="8" t="n">
        <x:f>'PG facts'!E107</x:f>
        <x:v>1</x:v>
      </x:c>
      <x:c r="M1745" s="8" t="n">
        <x:f>K1745-L1745</x:f>
        <x:v>-1.065606361829026</x:v>
      </x:c>
      <x:c r="N1745" s="8" t="n">
        <x:f>M1745^2</x:f>
        <x:v>1.135516918370493</x:v>
      </x:c>
      <x:c r="O1745" s="8" t="n">
        <x:f>ABS(M1745)</x:f>
        <x:v>1.065606361829026</x:v>
      </x:c>
      <x:c r="P1745" s="7" t="n">
        <x:v>45583</x:v>
      </x:c>
    </x:row>
    <x:row r="1746" ht="26" customHeight="1">
      <x:c r="A1746" s="2"/>
      <x:c r="B1746" s="2" t="n">
        <x:v>1741</x:v>
      </x:c>
      <x:c r="C1746" s="2" t="str">
        <x:v>Fabric &amp; Home Care / organic_volume_growth</x:v>
      </x:c>
      <x:c r="D1746" s="7" t="n">
        <x:v>45565</x:v>
      </x:c>
      <x:c r="E1746" s="2" t="str">
        <x:v>Prior report</x:v>
      </x:c>
      <x:c r="F1746" s="7" t="n">
        <x:v>45503</x:v>
      </x:c>
      <x:c r="G1746" s="2" t="str">
        <x:v>Last actual</x:v>
      </x:c>
      <x:c r="H1746" s="8" t="n">
        <x:f>AVERAGE('PG facts'!E100)</x:f>
        <x:v>3</x:v>
      </x:c>
      <x:c r="I1746" s="8" t="n">
        <x:f>0</x:f>
        <x:v>0</x:v>
      </x:c>
      <x:c r="J1746" s="8" t="n">
        <x:v>0</x:v>
      </x:c>
      <x:c r="K1746" s="8" t="n">
        <x:f>H1746-I1746*J1746</x:f>
        <x:v>3</x:v>
      </x:c>
      <x:c r="L1746" s="8" t="n">
        <x:f>'PG facts'!E107</x:f>
        <x:v>1</x:v>
      </x:c>
      <x:c r="M1746" s="8" t="n">
        <x:f>K1746-L1746</x:f>
        <x:v>2</x:v>
      </x:c>
      <x:c r="N1746" s="8" t="n">
        <x:f>M1746^2</x:f>
        <x:v>4</x:v>
      </x:c>
      <x:c r="O1746" s="8" t="n">
        <x:f>ABS(M1746)</x:f>
        <x:v>2</x:v>
      </x:c>
      <x:c r="P1746" s="7" t="n">
        <x:v>45583</x:v>
      </x:c>
    </x:row>
    <x:row r="1747" ht="26" customHeight="1">
      <x:c r="A1747" s="2"/>
      <x:c r="B1747" s="2" t="n">
        <x:v>1742</x:v>
      </x:c>
      <x:c r="C1747" s="2" t="str">
        <x:v>Fabric &amp; Home Care / organic_volume_growth</x:v>
      </x:c>
      <x:c r="D1747" s="7" t="n">
        <x:v>45565</x:v>
      </x:c>
      <x:c r="E1747" s="2" t="str">
        <x:v>Prior report</x:v>
      </x:c>
      <x:c r="F1747" s="7" t="n">
        <x:v>45503</x:v>
      </x:c>
      <x:c r="G1747" s="2" t="str">
        <x:v>Four-quarter mean</x:v>
      </x:c>
      <x:c r="H1747" s="8" t="n">
        <x:f>AVERAGE('PG facts'!E79,'PG facts'!E86,'PG facts'!E93,'PG facts'!E100)</x:f>
        <x:v>1.25</x:v>
      </x:c>
      <x:c r="I1747" s="8" t="n">
        <x:f>0</x:f>
        <x:v>0</x:v>
      </x:c>
      <x:c r="J1747" s="8" t="n">
        <x:v>0</x:v>
      </x:c>
      <x:c r="K1747" s="8" t="n">
        <x:f>H1747-I1747*J1747</x:f>
        <x:v>1.25</x:v>
      </x:c>
      <x:c r="L1747" s="8" t="n">
        <x:f>'PG facts'!E107</x:f>
        <x:v>1</x:v>
      </x:c>
      <x:c r="M1747" s="8" t="n">
        <x:f>K1747-L1747</x:f>
        <x:v>0.25</x:v>
      </x:c>
      <x:c r="N1747" s="8" t="n">
        <x:f>M1747^2</x:f>
        <x:v>0.0625</x:v>
      </x:c>
      <x:c r="O1747" s="8" t="n">
        <x:f>ABS(M1747)</x:f>
        <x:v>0.25</x:v>
      </x:c>
      <x:c r="P1747" s="7" t="n">
        <x:v>45583</x:v>
      </x:c>
    </x:row>
    <x:row r="1748" ht="26" customHeight="1">
      <x:c r="A1748" s="2"/>
      <x:c r="B1748" s="2" t="n">
        <x:v>1743</x:v>
      </x:c>
      <x:c r="C1748" s="2" t="str">
        <x:v>Fabric &amp; Home Care / organic_volume_growth</x:v>
      </x:c>
      <x:c r="D1748" s="7" t="n">
        <x:v>45565</x:v>
      </x:c>
      <x:c r="E1748" s="2" t="str">
        <x:v>Prior report</x:v>
      </x:c>
      <x:c r="F1748" s="7" t="n">
        <x:v>45503</x:v>
      </x:c>
      <x:c r="G1748" s="2" t="str">
        <x:v>Broad market</x:v>
      </x:c>
      <x:c r="H1748" s="8" t="n">
        <x:f>'Model fits'!AA1138</x:f>
        <x:v>-0.4460805046931833</x:v>
      </x:c>
      <x:c r="I1748" s="8" t="n">
        <x:f>0</x:f>
        <x:v>0</x:v>
      </x:c>
      <x:c r="J1748" s="8" t="n">
        <x:v>0</x:v>
      </x:c>
      <x:c r="K1748" s="8" t="n">
        <x:f>H1748-I1748*J1748</x:f>
        <x:v>-0.4460805046931833</x:v>
      </x:c>
      <x:c r="L1748" s="8" t="n">
        <x:f>'PG facts'!E107</x:f>
        <x:v>1</x:v>
      </x:c>
      <x:c r="M1748" s="8" t="n">
        <x:f>K1748-L1748</x:f>
        <x:v>-1.4460805046931833</x:v>
      </x:c>
      <x:c r="N1748" s="8" t="n">
        <x:f>M1748^2</x:f>
        <x:v>2.0911488260536917</x:v>
      </x:c>
      <x:c r="O1748" s="8" t="n">
        <x:f>ABS(M1748)</x:f>
        <x:v>1.4460805046931833</x:v>
      </x:c>
      <x:c r="P1748" s="7" t="n">
        <x:v>45583</x:v>
      </x:c>
    </x:row>
    <x:row r="1749" ht="26" customHeight="1">
      <x:c r="A1749" s="2"/>
      <x:c r="B1749" s="2" t="n">
        <x:v>1744</x:v>
      </x:c>
      <x:c r="C1749" s="2" t="str">
        <x:v>Fabric &amp; Home Care / organic_volume_growth</x:v>
      </x:c>
      <x:c r="D1749" s="7" t="n">
        <x:v>45565</x:v>
      </x:c>
      <x:c r="E1749" s="2" t="str">
        <x:v>Prior report</x:v>
      </x:c>
      <x:c r="F1749" s="7" t="n">
        <x:v>45503</x:v>
      </x:c>
      <x:c r="G1749" s="2" t="str">
        <x:v>Broad lag 1</x:v>
      </x:c>
      <x:c r="H1749" s="8" t="n">
        <x:f>'Model fits'!AA1139</x:f>
        <x:v>-0.7549925005286781</x:v>
      </x:c>
      <x:c r="I1749" s="8" t="n">
        <x:f>0</x:f>
        <x:v>0</x:v>
      </x:c>
      <x:c r="J1749" s="8" t="n">
        <x:v>0</x:v>
      </x:c>
      <x:c r="K1749" s="8" t="n">
        <x:f>H1749-I1749*J1749</x:f>
        <x:v>-0.7549925005286781</x:v>
      </x:c>
      <x:c r="L1749" s="8" t="n">
        <x:f>'PG facts'!E107</x:f>
        <x:v>1</x:v>
      </x:c>
      <x:c r="M1749" s="8" t="n">
        <x:f>K1749-L1749</x:f>
        <x:v>-1.7549925005286782</x:v>
      </x:c>
      <x:c r="N1749" s="8" t="n">
        <x:f>M1749^2</x:f>
        <x:v>3.0799986769119023</x:v>
      </x:c>
      <x:c r="O1749" s="8" t="n">
        <x:f>ABS(M1749)</x:f>
        <x:v>1.7549925005286782</x:v>
      </x:c>
      <x:c r="P1749" s="7" t="n">
        <x:v>45583</x:v>
      </x:c>
    </x:row>
    <x:row r="1750" ht="26" customHeight="1">
      <x:c r="A1750" s="2"/>
      <x:c r="B1750" s="2" t="n">
        <x:v>1745</x:v>
      </x:c>
      <x:c r="C1750" s="2" t="str">
        <x:v>Fabric &amp; Home Care / organic_volume_growth</x:v>
      </x:c>
      <x:c r="D1750" s="7" t="n">
        <x:v>45565</x:v>
      </x:c>
      <x:c r="E1750" s="2" t="str">
        <x:v>Prior report</x:v>
      </x:c>
      <x:c r="F1750" s="7" t="n">
        <x:v>45503</x:v>
      </x:c>
      <x:c r="G1750" s="2" t="str">
        <x:v>Broad rolling 8</x:v>
      </x:c>
      <x:c r="H1750" s="8" t="n">
        <x:f>'Model fits'!AA1140</x:f>
        <x:v>1.419346418151557</x:v>
      </x:c>
      <x:c r="I1750" s="8" t="n">
        <x:f>0</x:f>
        <x:v>0</x:v>
      </x:c>
      <x:c r="J1750" s="8" t="n">
        <x:v>0</x:v>
      </x:c>
      <x:c r="K1750" s="8" t="n">
        <x:f>H1750-I1750*J1750</x:f>
        <x:v>1.419346418151557</x:v>
      </x:c>
      <x:c r="L1750" s="8" t="n">
        <x:f>'PG facts'!E107</x:f>
        <x:v>1</x:v>
      </x:c>
      <x:c r="M1750" s="8" t="n">
        <x:f>K1750-L1750</x:f>
        <x:v>0.41934641815155693</x:v>
      </x:c>
      <x:c r="N1750" s="8" t="n">
        <x:f>M1750^2</x:f>
        <x:v>0.17585141841654045</x:v>
      </x:c>
      <x:c r="O1750" s="8" t="n">
        <x:f>ABS(M1750)</x:f>
        <x:v>0.41934641815155693</x:v>
      </x:c>
      <x:c r="P1750" s="7" t="n">
        <x:v>45583</x:v>
      </x:c>
    </x:row>
    <x:row r="1751" ht="26" customHeight="1">
      <x:c r="A1751" s="2"/>
      <x:c r="B1751" s="2" t="n">
        <x:v>1746</x:v>
      </x:c>
      <x:c r="C1751" s="2" t="str">
        <x:v>Fabric &amp; Home Care / organic_volume_growth</x:v>
      </x:c>
      <x:c r="D1751" s="7" t="n">
        <x:v>45565</x:v>
      </x:c>
      <x:c r="E1751" s="2" t="str">
        <x:v>Prior report</x:v>
      </x:c>
      <x:c r="F1751" s="7" t="n">
        <x:v>45503</x:v>
      </x:c>
      <x:c r="G1751" s="2" t="str">
        <x:v>Own history</x:v>
      </x:c>
      <x:c r="H1751" s="8" t="n">
        <x:f>'Model fits'!AA1141</x:f>
        <x:v>2.130615640599002</x:v>
      </x:c>
      <x:c r="I1751" s="8" t="n">
        <x:f>0</x:f>
        <x:v>0</x:v>
      </x:c>
      <x:c r="J1751" s="8" t="n">
        <x:v>0</x:v>
      </x:c>
      <x:c r="K1751" s="8" t="n">
        <x:f>H1751-I1751*J1751</x:f>
        <x:v>2.130615640599002</x:v>
      </x:c>
      <x:c r="L1751" s="8" t="n">
        <x:f>'PG facts'!E107</x:f>
        <x:v>1</x:v>
      </x:c>
      <x:c r="M1751" s="8" t="n">
        <x:f>K1751-L1751</x:f>
        <x:v>1.130615640599002</x:v>
      </x:c>
      <x:c r="N1751" s="8" t="n">
        <x:f>M1751^2</x:f>
        <x:v>1.2782917267670917</x:v>
      </x:c>
      <x:c r="O1751" s="8" t="n">
        <x:f>ABS(M1751)</x:f>
        <x:v>1.130615640599002</x:v>
      </x:c>
      <x:c r="P1751" s="7" t="n">
        <x:v>45583</x:v>
      </x:c>
    </x:row>
    <x:row r="1752" ht="26" customHeight="1">
      <x:c r="A1752" s="2"/>
      <x:c r="B1752" s="2" t="n">
        <x:v>1747</x:v>
      </x:c>
      <x:c r="C1752" s="2" t="str">
        <x:v>Fabric &amp; Home Care / organic_volume_growth</x:v>
      </x:c>
      <x:c r="D1752" s="7" t="n">
        <x:v>45565</x:v>
      </x:c>
      <x:c r="E1752" s="2" t="str">
        <x:v>Pre-earnings</x:v>
      </x:c>
      <x:c r="F1752" s="7" t="n">
        <x:v>45582</x:v>
      </x:c>
      <x:c r="G1752" s="2" t="str">
        <x:v>Last actual</x:v>
      </x:c>
      <x:c r="H1752" s="8" t="n">
        <x:f>AVERAGE('PG facts'!E100)</x:f>
        <x:v>3</x:v>
      </x:c>
      <x:c r="I1752" s="8" t="n">
        <x:f>0</x:f>
        <x:v>0</x:v>
      </x:c>
      <x:c r="J1752" s="8" t="n">
        <x:v>0</x:v>
      </x:c>
      <x:c r="K1752" s="8" t="n">
        <x:f>H1752-I1752*J1752</x:f>
        <x:v>3</x:v>
      </x:c>
      <x:c r="L1752" s="8" t="n">
        <x:f>'PG facts'!E107</x:f>
        <x:v>1</x:v>
      </x:c>
      <x:c r="M1752" s="8" t="n">
        <x:f>K1752-L1752</x:f>
        <x:v>2</x:v>
      </x:c>
      <x:c r="N1752" s="8" t="n">
        <x:f>M1752^2</x:f>
        <x:v>4</x:v>
      </x:c>
      <x:c r="O1752" s="8" t="n">
        <x:f>ABS(M1752)</x:f>
        <x:v>2</x:v>
      </x:c>
      <x:c r="P1752" s="7" t="n">
        <x:v>45583</x:v>
      </x:c>
    </x:row>
    <x:row r="1753" ht="26" customHeight="1">
      <x:c r="A1753" s="2"/>
      <x:c r="B1753" s="2" t="n">
        <x:v>1748</x:v>
      </x:c>
      <x:c r="C1753" s="2" t="str">
        <x:v>Fabric &amp; Home Care / organic_volume_growth</x:v>
      </x:c>
      <x:c r="D1753" s="7" t="n">
        <x:v>45565</x:v>
      </x:c>
      <x:c r="E1753" s="2" t="str">
        <x:v>Pre-earnings</x:v>
      </x:c>
      <x:c r="F1753" s="7" t="n">
        <x:v>45582</x:v>
      </x:c>
      <x:c r="G1753" s="2" t="str">
        <x:v>Four-quarter mean</x:v>
      </x:c>
      <x:c r="H1753" s="8" t="n">
        <x:f>AVERAGE('PG facts'!E79,'PG facts'!E86,'PG facts'!E93,'PG facts'!E100)</x:f>
        <x:v>1.25</x:v>
      </x:c>
      <x:c r="I1753" s="8" t="n">
        <x:f>0</x:f>
        <x:v>0</x:v>
      </x:c>
      <x:c r="J1753" s="8" t="n">
        <x:v>0</x:v>
      </x:c>
      <x:c r="K1753" s="8" t="n">
        <x:f>H1753-I1753*J1753</x:f>
        <x:v>1.25</x:v>
      </x:c>
      <x:c r="L1753" s="8" t="n">
        <x:f>'PG facts'!E107</x:f>
        <x:v>1</x:v>
      </x:c>
      <x:c r="M1753" s="8" t="n">
        <x:f>K1753-L1753</x:f>
        <x:v>0.25</x:v>
      </x:c>
      <x:c r="N1753" s="8" t="n">
        <x:f>M1753^2</x:f>
        <x:v>0.0625</x:v>
      </x:c>
      <x:c r="O1753" s="8" t="n">
        <x:f>ABS(M1753)</x:f>
        <x:v>0.25</x:v>
      </x:c>
      <x:c r="P1753" s="7" t="n">
        <x:v>45583</x:v>
      </x:c>
    </x:row>
    <x:row r="1754" ht="26" customHeight="1">
      <x:c r="A1754" s="2"/>
      <x:c r="B1754" s="2" t="n">
        <x:v>1749</x:v>
      </x:c>
      <x:c r="C1754" s="2" t="str">
        <x:v>Fabric &amp; Home Care / organic_volume_growth</x:v>
      </x:c>
      <x:c r="D1754" s="7" t="n">
        <x:v>45565</x:v>
      </x:c>
      <x:c r="E1754" s="2" t="str">
        <x:v>Pre-earnings</x:v>
      </x:c>
      <x:c r="F1754" s="7" t="n">
        <x:v>45582</x:v>
      </x:c>
      <x:c r="G1754" s="2" t="str">
        <x:v>Broad market</x:v>
      </x:c>
      <x:c r="H1754" s="8" t="n">
        <x:f>'Model fits'!AA1142</x:f>
        <x:v>-0.11554772025798465</x:v>
      </x:c>
      <x:c r="I1754" s="8" t="n">
        <x:f>0</x:f>
        <x:v>0</x:v>
      </x:c>
      <x:c r="J1754" s="8" t="n">
        <x:v>0</x:v>
      </x:c>
      <x:c r="K1754" s="8" t="n">
        <x:f>H1754-I1754*J1754</x:f>
        <x:v>-0.11554772025798465</x:v>
      </x:c>
      <x:c r="L1754" s="8" t="n">
        <x:f>'PG facts'!E107</x:f>
        <x:v>1</x:v>
      </x:c>
      <x:c r="M1754" s="8" t="n">
        <x:f>K1754-L1754</x:f>
        <x:v>-1.1155477202579847</x:v>
      </x:c>
      <x:c r="N1754" s="8" t="n">
        <x:f>M1754^2</x:f>
        <x:v>1.2444467161727868</x:v>
      </x:c>
      <x:c r="O1754" s="8" t="n">
        <x:f>ABS(M1754)</x:f>
        <x:v>1.1155477202579847</x:v>
      </x:c>
      <x:c r="P1754" s="7" t="n">
        <x:v>45583</x:v>
      </x:c>
    </x:row>
    <x:row r="1755" ht="26" customHeight="1">
      <x:c r="A1755" s="2"/>
      <x:c r="B1755" s="2" t="n">
        <x:v>1750</x:v>
      </x:c>
      <x:c r="C1755" s="2" t="str">
        <x:v>Fabric &amp; Home Care / organic_volume_growth</x:v>
      </x:c>
      <x:c r="D1755" s="7" t="n">
        <x:v>45565</x:v>
      </x:c>
      <x:c r="E1755" s="2" t="str">
        <x:v>Pre-earnings</x:v>
      </x:c>
      <x:c r="F1755" s="7" t="n">
        <x:v>45582</x:v>
      </x:c>
      <x:c r="G1755" s="2" t="str">
        <x:v>Broad lag 1</x:v>
      </x:c>
      <x:c r="H1755" s="8" t="n">
        <x:f>'Model fits'!AA1143</x:f>
        <x:v>-0.5787442701238812</x:v>
      </x:c>
      <x:c r="I1755" s="8" t="n">
        <x:f>0</x:f>
        <x:v>0</x:v>
      </x:c>
      <x:c r="J1755" s="8" t="n">
        <x:v>0</x:v>
      </x:c>
      <x:c r="K1755" s="8" t="n">
        <x:f>H1755-I1755*J1755</x:f>
        <x:v>-0.5787442701238812</x:v>
      </x:c>
      <x:c r="L1755" s="8" t="n">
        <x:f>'PG facts'!E107</x:f>
        <x:v>1</x:v>
      </x:c>
      <x:c r="M1755" s="8" t="n">
        <x:f>K1755-L1755</x:f>
        <x:v>-1.5787442701238812</x:v>
      </x:c>
      <x:c r="N1755" s="8" t="n">
        <x:f>M1755^2</x:f>
        <x:v>2.492433470448986</x:v>
      </x:c>
      <x:c r="O1755" s="8" t="n">
        <x:f>ABS(M1755)</x:f>
        <x:v>1.5787442701238812</x:v>
      </x:c>
      <x:c r="P1755" s="7" t="n">
        <x:v>45583</x:v>
      </x:c>
    </x:row>
    <x:row r="1756" ht="26" customHeight="1">
      <x:c r="A1756" s="2"/>
      <x:c r="B1756" s="2" t="n">
        <x:v>1751</x:v>
      </x:c>
      <x:c r="C1756" s="2" t="str">
        <x:v>Fabric &amp; Home Care / organic_volume_growth</x:v>
      </x:c>
      <x:c r="D1756" s="7" t="n">
        <x:v>45565</x:v>
      </x:c>
      <x:c r="E1756" s="2" t="str">
        <x:v>Pre-earnings</x:v>
      </x:c>
      <x:c r="F1756" s="7" t="n">
        <x:v>45582</x:v>
      </x:c>
      <x:c r="G1756" s="2" t="str">
        <x:v>Broad rolling 8</x:v>
      </x:c>
      <x:c r="H1756" s="8" t="n">
        <x:f>'Model fits'!AA1144</x:f>
        <x:v>2.4149956725195834</x:v>
      </x:c>
      <x:c r="I1756" s="8" t="n">
        <x:f>0</x:f>
        <x:v>0</x:v>
      </x:c>
      <x:c r="J1756" s="8" t="n">
        <x:v>0</x:v>
      </x:c>
      <x:c r="K1756" s="8" t="n">
        <x:f>H1756-I1756*J1756</x:f>
        <x:v>2.4149956725195834</x:v>
      </x:c>
      <x:c r="L1756" s="8" t="n">
        <x:f>'PG facts'!E107</x:f>
        <x:v>1</x:v>
      </x:c>
      <x:c r="M1756" s="8" t="n">
        <x:f>K1756-L1756</x:f>
        <x:v>1.4149956725195834</x:v>
      </x:c>
      <x:c r="N1756" s="8" t="n">
        <x:f>M1756^2</x:f>
        <x:v>2.002212753249148</x:v>
      </x:c>
      <x:c r="O1756" s="8" t="n">
        <x:f>ABS(M1756)</x:f>
        <x:v>1.4149956725195834</x:v>
      </x:c>
      <x:c r="P1756" s="7" t="n">
        <x:v>45583</x:v>
      </x:c>
    </x:row>
    <x:row r="1757" ht="26" customHeight="1">
      <x:c r="A1757" s="2"/>
      <x:c r="B1757" s="2" t="n">
        <x:v>1752</x:v>
      </x:c>
      <x:c r="C1757" s="2" t="str">
        <x:v>Fabric &amp; Home Care / organic_volume_growth</x:v>
      </x:c>
      <x:c r="D1757" s="7" t="n">
        <x:v>45565</x:v>
      </x:c>
      <x:c r="E1757" s="2" t="str">
        <x:v>Pre-earnings</x:v>
      </x:c>
      <x:c r="F1757" s="7" t="n">
        <x:v>45582</x:v>
      </x:c>
      <x:c r="G1757" s="2" t="str">
        <x:v>Own history</x:v>
      </x:c>
      <x:c r="H1757" s="8" t="n">
        <x:f>'Model fits'!AA1145</x:f>
        <x:v>2.130615640599002</x:v>
      </x:c>
      <x:c r="I1757" s="8" t="n">
        <x:f>0</x:f>
        <x:v>0</x:v>
      </x:c>
      <x:c r="J1757" s="8" t="n">
        <x:v>0</x:v>
      </x:c>
      <x:c r="K1757" s="8" t="n">
        <x:f>H1757-I1757*J1757</x:f>
        <x:v>2.130615640599002</x:v>
      </x:c>
      <x:c r="L1757" s="8" t="n">
        <x:f>'PG facts'!E107</x:f>
        <x:v>1</x:v>
      </x:c>
      <x:c r="M1757" s="8" t="n">
        <x:f>K1757-L1757</x:f>
        <x:v>1.130615640599002</x:v>
      </x:c>
      <x:c r="N1757" s="8" t="n">
        <x:f>M1757^2</x:f>
        <x:v>1.2782917267670917</x:v>
      </x:c>
      <x:c r="O1757" s="8" t="n">
        <x:f>ABS(M1757)</x:f>
        <x:v>1.130615640599002</x:v>
      </x:c>
      <x:c r="P1757" s="7" t="n">
        <x:v>45583</x:v>
      </x:c>
    </x:row>
    <x:row r="1758" ht="26" customHeight="1">
      <x:c r="A1758" s="2"/>
      <x:c r="B1758" s="2" t="n">
        <x:v>1753</x:v>
      </x:c>
      <x:c r="C1758" s="2" t="str">
        <x:v>Fabric &amp; Home Care / organic_volume_growth</x:v>
      </x:c>
      <x:c r="D1758" s="7" t="n">
        <x:v>45657</x:v>
      </x:c>
      <x:c r="E1758" s="2" t="str">
        <x:v>Origin</x:v>
      </x:c>
      <x:c r="F1758" s="7" t="n">
        <x:v>45566</x:v>
      </x:c>
      <x:c r="G1758" s="2" t="str">
        <x:v>Last actual</x:v>
      </x:c>
      <x:c r="H1758" s="8" t="n">
        <x:f>AVERAGE('PG facts'!E100)</x:f>
        <x:v>3</x:v>
      </x:c>
      <x:c r="I1758" s="8" t="n">
        <x:f>0</x:f>
        <x:v>0</x:v>
      </x:c>
      <x:c r="J1758" s="8" t="n">
        <x:v>0</x:v>
      </x:c>
      <x:c r="K1758" s="8" t="n">
        <x:f>H1758-I1758*J1758</x:f>
        <x:v>3</x:v>
      </x:c>
      <x:c r="L1758" s="8" t="n">
        <x:f>'PG facts'!E114</x:f>
        <x:v>2</x:v>
      </x:c>
      <x:c r="M1758" s="8" t="n">
        <x:f>K1758-L1758</x:f>
        <x:v>1</x:v>
      </x:c>
      <x:c r="N1758" s="8" t="n">
        <x:f>M1758^2</x:f>
        <x:v>1</x:v>
      </x:c>
      <x:c r="O1758" s="8" t="n">
        <x:f>ABS(M1758)</x:f>
        <x:v>1</x:v>
      </x:c>
      <x:c r="P1758" s="7" t="n">
        <x:v>45679</x:v>
      </x:c>
    </x:row>
    <x:row r="1759" ht="26" customHeight="1">
      <x:c r="A1759" s="2"/>
      <x:c r="B1759" s="2" t="n">
        <x:v>1754</x:v>
      </x:c>
      <x:c r="C1759" s="2" t="str">
        <x:v>Fabric &amp; Home Care / organic_volume_growth</x:v>
      </x:c>
      <x:c r="D1759" s="7" t="n">
        <x:v>45657</x:v>
      </x:c>
      <x:c r="E1759" s="2" t="str">
        <x:v>Origin</x:v>
      </x:c>
      <x:c r="F1759" s="7" t="n">
        <x:v>45566</x:v>
      </x:c>
      <x:c r="G1759" s="2" t="str">
        <x:v>Four-quarter mean</x:v>
      </x:c>
      <x:c r="H1759" s="8" t="n">
        <x:f>AVERAGE('PG facts'!E79,'PG facts'!E86,'PG facts'!E93,'PG facts'!E100)</x:f>
        <x:v>1.25</x:v>
      </x:c>
      <x:c r="I1759" s="8" t="n">
        <x:f>0</x:f>
        <x:v>0</x:v>
      </x:c>
      <x:c r="J1759" s="8" t="n">
        <x:v>0</x:v>
      </x:c>
      <x:c r="K1759" s="8" t="n">
        <x:f>H1759-I1759*J1759</x:f>
        <x:v>1.25</x:v>
      </x:c>
      <x:c r="L1759" s="8" t="n">
        <x:f>'PG facts'!E114</x:f>
        <x:v>2</x:v>
      </x:c>
      <x:c r="M1759" s="8" t="n">
        <x:f>K1759-L1759</x:f>
        <x:v>-0.75</x:v>
      </x:c>
      <x:c r="N1759" s="8" t="n">
        <x:f>M1759^2</x:f>
        <x:v>0.5625</x:v>
      </x:c>
      <x:c r="O1759" s="8" t="n">
        <x:f>ABS(M1759)</x:f>
        <x:v>0.75</x:v>
      </x:c>
      <x:c r="P1759" s="7" t="n">
        <x:v>45679</x:v>
      </x:c>
    </x:row>
    <x:row r="1760" ht="26" customHeight="1">
      <x:c r="A1760" s="2"/>
      <x:c r="B1760" s="2" t="n">
        <x:v>1755</x:v>
      </x:c>
      <x:c r="C1760" s="2" t="str">
        <x:v>Fabric &amp; Home Care / organic_volume_growth</x:v>
      </x:c>
      <x:c r="D1760" s="7" t="n">
        <x:v>45657</x:v>
      </x:c>
      <x:c r="E1760" s="2" t="str">
        <x:v>Origin</x:v>
      </x:c>
      <x:c r="F1760" s="7" t="n">
        <x:v>45566</x:v>
      </x:c>
      <x:c r="G1760" s="2" t="str">
        <x:v>Broad market</x:v>
      </x:c>
      <x:c r="H1760" s="8" t="n">
        <x:f>'Model fits'!AA1146</x:f>
        <x:v>-0.11845153631513772</x:v>
      </x:c>
      <x:c r="I1760" s="8" t="n">
        <x:f>0</x:f>
        <x:v>0</x:v>
      </x:c>
      <x:c r="J1760" s="8" t="n">
        <x:v>0</x:v>
      </x:c>
      <x:c r="K1760" s="8" t="n">
        <x:f>H1760-I1760*J1760</x:f>
        <x:v>-0.11845153631513772</x:v>
      </x:c>
      <x:c r="L1760" s="8" t="n">
        <x:f>'PG facts'!E114</x:f>
        <x:v>2</x:v>
      </x:c>
      <x:c r="M1760" s="8" t="n">
        <x:f>K1760-L1760</x:f>
        <x:v>-2.1184515363151375</x:v>
      </x:c>
      <x:c r="N1760" s="8" t="n">
        <x:f>M1760^2</x:f>
        <x:v>4.487836911715966</x:v>
      </x:c>
      <x:c r="O1760" s="8" t="n">
        <x:f>ABS(M1760)</x:f>
        <x:v>2.1184515363151375</x:v>
      </x:c>
      <x:c r="P1760" s="7" t="n">
        <x:v>45679</x:v>
      </x:c>
    </x:row>
    <x:row r="1761" ht="26" customHeight="1">
      <x:c r="A1761" s="2"/>
      <x:c r="B1761" s="2" t="n">
        <x:v>1756</x:v>
      </x:c>
      <x:c r="C1761" s="2" t="str">
        <x:v>Fabric &amp; Home Care / organic_volume_growth</x:v>
      </x:c>
      <x:c r="D1761" s="7" t="n">
        <x:v>45657</x:v>
      </x:c>
      <x:c r="E1761" s="2" t="str">
        <x:v>Origin</x:v>
      </x:c>
      <x:c r="F1761" s="7" t="n">
        <x:v>45566</x:v>
      </x:c>
      <x:c r="G1761" s="2" t="str">
        <x:v>Broad rolling 8</x:v>
      </x:c>
      <x:c r="H1761" s="8" t="n">
        <x:f>'Model fits'!AA1147</x:f>
        <x:v>2.4019486507516232</x:v>
      </x:c>
      <x:c r="I1761" s="8" t="n">
        <x:f>0</x:f>
        <x:v>0</x:v>
      </x:c>
      <x:c r="J1761" s="8" t="n">
        <x:v>0</x:v>
      </x:c>
      <x:c r="K1761" s="8" t="n">
        <x:f>H1761-I1761*J1761</x:f>
        <x:v>2.4019486507516232</x:v>
      </x:c>
      <x:c r="L1761" s="8" t="n">
        <x:f>'PG facts'!E114</x:f>
        <x:v>2</x:v>
      </x:c>
      <x:c r="M1761" s="8" t="n">
        <x:f>K1761-L1761</x:f>
        <x:v>0.4019486507516232</x:v>
      </x:c>
      <x:c r="N1761" s="8" t="n">
        <x:f>M1761^2</x:f>
        <x:v>0.1615627178410504</x:v>
      </x:c>
      <x:c r="O1761" s="8" t="n">
        <x:f>ABS(M1761)</x:f>
        <x:v>0.4019486507516232</x:v>
      </x:c>
      <x:c r="P1761" s="7" t="n">
        <x:v>45679</x:v>
      </x:c>
    </x:row>
    <x:row r="1762" ht="26" customHeight="1">
      <x:c r="A1762" s="2"/>
      <x:c r="B1762" s="2" t="n">
        <x:v>1757</x:v>
      </x:c>
      <x:c r="C1762" s="2" t="str">
        <x:v>Fabric &amp; Home Care / organic_volume_growth</x:v>
      </x:c>
      <x:c r="D1762" s="7" t="n">
        <x:v>45657</x:v>
      </x:c>
      <x:c r="E1762" s="2" t="str">
        <x:v>Origin</x:v>
      </x:c>
      <x:c r="F1762" s="7" t="n">
        <x:v>45566</x:v>
      </x:c>
      <x:c r="G1762" s="2" t="str">
        <x:v>Own history</x:v>
      </x:c>
      <x:c r="H1762" s="8" t="n">
        <x:f>'Model fits'!AA1148</x:f>
        <x:v>0.6195652173913043</x:v>
      </x:c>
      <x:c r="I1762" s="8" t="n">
        <x:f>0</x:f>
        <x:v>0</x:v>
      </x:c>
      <x:c r="J1762" s="8" t="n">
        <x:v>0</x:v>
      </x:c>
      <x:c r="K1762" s="8" t="n">
        <x:f>H1762-I1762*J1762</x:f>
        <x:v>0.6195652173913043</x:v>
      </x:c>
      <x:c r="L1762" s="8" t="n">
        <x:f>'PG facts'!E114</x:f>
        <x:v>2</x:v>
      </x:c>
      <x:c r="M1762" s="8" t="n">
        <x:f>K1762-L1762</x:f>
        <x:v>-1.3804347826086958</x:v>
      </x:c>
      <x:c r="N1762" s="8" t="n">
        <x:f>M1762^2</x:f>
        <x:v>1.905600189035917</x:v>
      </x:c>
      <x:c r="O1762" s="8" t="n">
        <x:f>ABS(M1762)</x:f>
        <x:v>1.3804347826086958</x:v>
      </x:c>
      <x:c r="P1762" s="7" t="n">
        <x:v>45679</x:v>
      </x:c>
    </x:row>
    <x:row r="1763" ht="26" customHeight="1">
      <x:c r="A1763" s="2"/>
      <x:c r="B1763" s="2" t="n">
        <x:v>1758</x:v>
      </x:c>
      <x:c r="C1763" s="2" t="str">
        <x:v>Fabric &amp; Home Care / organic_volume_growth</x:v>
      </x:c>
      <x:c r="D1763" s="7" t="n">
        <x:v>45657</x:v>
      </x:c>
      <x:c r="E1763" s="2" t="str">
        <x:v>Prior report</x:v>
      </x:c>
      <x:c r="F1763" s="7" t="n">
        <x:v>45583</x:v>
      </x:c>
      <x:c r="G1763" s="2" t="str">
        <x:v>Last actual</x:v>
      </x:c>
      <x:c r="H1763" s="8" t="n">
        <x:f>AVERAGE('PG facts'!E107)</x:f>
        <x:v>1</x:v>
      </x:c>
      <x:c r="I1763" s="8" t="n">
        <x:f>0</x:f>
        <x:v>0</x:v>
      </x:c>
      <x:c r="J1763" s="8" t="n">
        <x:v>0</x:v>
      </x:c>
      <x:c r="K1763" s="8" t="n">
        <x:f>H1763-I1763*J1763</x:f>
        <x:v>1</x:v>
      </x:c>
      <x:c r="L1763" s="8" t="n">
        <x:f>'PG facts'!E114</x:f>
        <x:v>2</x:v>
      </x:c>
      <x:c r="M1763" s="8" t="n">
        <x:f>K1763-L1763</x:f>
        <x:v>-1</x:v>
      </x:c>
      <x:c r="N1763" s="8" t="n">
        <x:f>M1763^2</x:f>
        <x:v>1</x:v>
      </x:c>
      <x:c r="O1763" s="8" t="n">
        <x:f>ABS(M1763)</x:f>
        <x:v>1</x:v>
      </x:c>
      <x:c r="P1763" s="7" t="n">
        <x:v>45679</x:v>
      </x:c>
    </x:row>
    <x:row r="1764" ht="26" customHeight="1">
      <x:c r="A1764" s="2"/>
      <x:c r="B1764" s="2" t="n">
        <x:v>1759</x:v>
      </x:c>
      <x:c r="C1764" s="2" t="str">
        <x:v>Fabric &amp; Home Care / organic_volume_growth</x:v>
      </x:c>
      <x:c r="D1764" s="7" t="n">
        <x:v>45657</x:v>
      </x:c>
      <x:c r="E1764" s="2" t="str">
        <x:v>Prior report</x:v>
      </x:c>
      <x:c r="F1764" s="7" t="n">
        <x:v>45583</x:v>
      </x:c>
      <x:c r="G1764" s="2" t="str">
        <x:v>Four-quarter mean</x:v>
      </x:c>
      <x:c r="H1764" s="8" t="n">
        <x:f>AVERAGE('PG facts'!E86,'PG facts'!E93,'PG facts'!E100,'PG facts'!E107)</x:f>
        <x:v>1.5</x:v>
      </x:c>
      <x:c r="I1764" s="8" t="n">
        <x:f>0</x:f>
        <x:v>0</x:v>
      </x:c>
      <x:c r="J1764" s="8" t="n">
        <x:v>0</x:v>
      </x:c>
      <x:c r="K1764" s="8" t="n">
        <x:f>H1764-I1764*J1764</x:f>
        <x:v>1.5</x:v>
      </x:c>
      <x:c r="L1764" s="8" t="n">
        <x:f>'PG facts'!E114</x:f>
        <x:v>2</x:v>
      </x:c>
      <x:c r="M1764" s="8" t="n">
        <x:f>K1764-L1764</x:f>
        <x:v>-0.5</x:v>
      </x:c>
      <x:c r="N1764" s="8" t="n">
        <x:f>M1764^2</x:f>
        <x:v>0.25</x:v>
      </x:c>
      <x:c r="O1764" s="8" t="n">
        <x:f>ABS(M1764)</x:f>
        <x:v>0.5</x:v>
      </x:c>
      <x:c r="P1764" s="7" t="n">
        <x:v>45679</x:v>
      </x:c>
    </x:row>
    <x:row r="1765" ht="26" customHeight="1">
      <x:c r="A1765" s="2"/>
      <x:c r="B1765" s="2" t="n">
        <x:v>1760</x:v>
      </x:c>
      <x:c r="C1765" s="2" t="str">
        <x:v>Fabric &amp; Home Care / organic_volume_growth</x:v>
      </x:c>
      <x:c r="D1765" s="7" t="n">
        <x:v>45657</x:v>
      </x:c>
      <x:c r="E1765" s="2" t="str">
        <x:v>Prior report</x:v>
      </x:c>
      <x:c r="F1765" s="7" t="n">
        <x:v>45583</x:v>
      </x:c>
      <x:c r="G1765" s="2" t="str">
        <x:v>Broad market</x:v>
      </x:c>
      <x:c r="H1765" s="8" t="n">
        <x:f>'Model fits'!AA1149</x:f>
        <x:v>-0.11845153631513772</x:v>
      </x:c>
      <x:c r="I1765" s="8" t="n">
        <x:f>0</x:f>
        <x:v>0</x:v>
      </x:c>
      <x:c r="J1765" s="8" t="n">
        <x:v>0</x:v>
      </x:c>
      <x:c r="K1765" s="8" t="n">
        <x:f>H1765-I1765*J1765</x:f>
        <x:v>-0.11845153631513772</x:v>
      </x:c>
      <x:c r="L1765" s="8" t="n">
        <x:f>'PG facts'!E114</x:f>
        <x:v>2</x:v>
      </x:c>
      <x:c r="M1765" s="8" t="n">
        <x:f>K1765-L1765</x:f>
        <x:v>-2.1184515363151375</x:v>
      </x:c>
      <x:c r="N1765" s="8" t="n">
        <x:f>M1765^2</x:f>
        <x:v>4.487836911715966</x:v>
      </x:c>
      <x:c r="O1765" s="8" t="n">
        <x:f>ABS(M1765)</x:f>
        <x:v>2.1184515363151375</x:v>
      </x:c>
      <x:c r="P1765" s="7" t="n">
        <x:v>45679</x:v>
      </x:c>
    </x:row>
    <x:row r="1766" ht="26" customHeight="1">
      <x:c r="A1766" s="2"/>
      <x:c r="B1766" s="2" t="n">
        <x:v>1761</x:v>
      </x:c>
      <x:c r="C1766" s="2" t="str">
        <x:v>Fabric &amp; Home Care / organic_volume_growth</x:v>
      </x:c>
      <x:c r="D1766" s="7" t="n">
        <x:v>45657</x:v>
      </x:c>
      <x:c r="E1766" s="2" t="str">
        <x:v>Prior report</x:v>
      </x:c>
      <x:c r="F1766" s="7" t="n">
        <x:v>45583</x:v>
      </x:c>
      <x:c r="G1766" s="2" t="str">
        <x:v>Broad rolling 8</x:v>
      </x:c>
      <x:c r="H1766" s="8" t="n">
        <x:f>'Model fits'!AA1150</x:f>
        <x:v>2.4019486507516232</x:v>
      </x:c>
      <x:c r="I1766" s="8" t="n">
        <x:f>0</x:f>
        <x:v>0</x:v>
      </x:c>
      <x:c r="J1766" s="8" t="n">
        <x:v>0</x:v>
      </x:c>
      <x:c r="K1766" s="8" t="n">
        <x:f>H1766-I1766*J1766</x:f>
        <x:v>2.4019486507516232</x:v>
      </x:c>
      <x:c r="L1766" s="8" t="n">
        <x:f>'PG facts'!E114</x:f>
        <x:v>2</x:v>
      </x:c>
      <x:c r="M1766" s="8" t="n">
        <x:f>K1766-L1766</x:f>
        <x:v>0.4019486507516232</x:v>
      </x:c>
      <x:c r="N1766" s="8" t="n">
        <x:f>M1766^2</x:f>
        <x:v>0.1615627178410504</x:v>
      </x:c>
      <x:c r="O1766" s="8" t="n">
        <x:f>ABS(M1766)</x:f>
        <x:v>0.4019486507516232</x:v>
      </x:c>
      <x:c r="P1766" s="7" t="n">
        <x:v>45679</x:v>
      </x:c>
    </x:row>
    <x:row r="1767" ht="26" customHeight="1">
      <x:c r="A1767" s="2"/>
      <x:c r="B1767" s="2" t="n">
        <x:v>1762</x:v>
      </x:c>
      <x:c r="C1767" s="2" t="str">
        <x:v>Fabric &amp; Home Care / organic_volume_growth</x:v>
      </x:c>
      <x:c r="D1767" s="7" t="n">
        <x:v>45657</x:v>
      </x:c>
      <x:c r="E1767" s="2" t="str">
        <x:v>Prior report</x:v>
      </x:c>
      <x:c r="F1767" s="7" t="n">
        <x:v>45583</x:v>
      </x:c>
      <x:c r="G1767" s="2" t="str">
        <x:v>Own history</x:v>
      </x:c>
      <x:c r="H1767" s="8" t="n">
        <x:f>'Model fits'!AA1151</x:f>
        <x:v>0.6333333333333332</x:v>
      </x:c>
      <x:c r="I1767" s="8" t="n">
        <x:f>0</x:f>
        <x:v>0</x:v>
      </x:c>
      <x:c r="J1767" s="8" t="n">
        <x:v>0</x:v>
      </x:c>
      <x:c r="K1767" s="8" t="n">
        <x:f>H1767-I1767*J1767</x:f>
        <x:v>0.6333333333333332</x:v>
      </x:c>
      <x:c r="L1767" s="8" t="n">
        <x:f>'PG facts'!E114</x:f>
        <x:v>2</x:v>
      </x:c>
      <x:c r="M1767" s="8" t="n">
        <x:f>K1767-L1767</x:f>
        <x:v>-1.3666666666666667</x:v>
      </x:c>
      <x:c r="N1767" s="8" t="n">
        <x:f>M1767^2</x:f>
        <x:v>1.8677777777777778</x:v>
      </x:c>
      <x:c r="O1767" s="8" t="n">
        <x:f>ABS(M1767)</x:f>
        <x:v>1.3666666666666667</x:v>
      </x:c>
      <x:c r="P1767" s="7" t="n">
        <x:v>45679</x:v>
      </x:c>
    </x:row>
    <x:row r="1768" ht="26" customHeight="1">
      <x:c r="A1768" s="2"/>
      <x:c r="B1768" s="2" t="n">
        <x:v>1763</x:v>
      </x:c>
      <x:c r="C1768" s="2" t="str">
        <x:v>Fabric &amp; Home Care / organic_volume_growth</x:v>
      </x:c>
      <x:c r="D1768" s="7" t="n">
        <x:v>45657</x:v>
      </x:c>
      <x:c r="E1768" s="2" t="str">
        <x:v>Pre-earnings</x:v>
      </x:c>
      <x:c r="F1768" s="7" t="n">
        <x:v>45678</x:v>
      </x:c>
      <x:c r="G1768" s="2" t="str">
        <x:v>Last actual</x:v>
      </x:c>
      <x:c r="H1768" s="8" t="n">
        <x:f>AVERAGE('PG facts'!E107)</x:f>
        <x:v>1</x:v>
      </x:c>
      <x:c r="I1768" s="8" t="n">
        <x:f>0</x:f>
        <x:v>0</x:v>
      </x:c>
      <x:c r="J1768" s="8" t="n">
        <x:v>0</x:v>
      </x:c>
      <x:c r="K1768" s="8" t="n">
        <x:f>H1768-I1768*J1768</x:f>
        <x:v>1</x:v>
      </x:c>
      <x:c r="L1768" s="8" t="n">
        <x:f>'PG facts'!E114</x:f>
        <x:v>2</x:v>
      </x:c>
      <x:c r="M1768" s="8" t="n">
        <x:f>K1768-L1768</x:f>
        <x:v>-1</x:v>
      </x:c>
      <x:c r="N1768" s="8" t="n">
        <x:f>M1768^2</x:f>
        <x:v>1</x:v>
      </x:c>
      <x:c r="O1768" s="8" t="n">
        <x:f>ABS(M1768)</x:f>
        <x:v>1</x:v>
      </x:c>
      <x:c r="P1768" s="7" t="n">
        <x:v>45679</x:v>
      </x:c>
    </x:row>
    <x:row r="1769" ht="26" customHeight="1">
      <x:c r="A1769" s="2"/>
      <x:c r="B1769" s="2" t="n">
        <x:v>1764</x:v>
      </x:c>
      <x:c r="C1769" s="2" t="str">
        <x:v>Fabric &amp; Home Care / organic_volume_growth</x:v>
      </x:c>
      <x:c r="D1769" s="7" t="n">
        <x:v>45657</x:v>
      </x:c>
      <x:c r="E1769" s="2" t="str">
        <x:v>Pre-earnings</x:v>
      </x:c>
      <x:c r="F1769" s="7" t="n">
        <x:v>45678</x:v>
      </x:c>
      <x:c r="G1769" s="2" t="str">
        <x:v>Four-quarter mean</x:v>
      </x:c>
      <x:c r="H1769" s="8" t="n">
        <x:f>AVERAGE('PG facts'!E86,'PG facts'!E93,'PG facts'!E100,'PG facts'!E107)</x:f>
        <x:v>1.5</x:v>
      </x:c>
      <x:c r="I1769" s="8" t="n">
        <x:f>0</x:f>
        <x:v>0</x:v>
      </x:c>
      <x:c r="J1769" s="8" t="n">
        <x:v>0</x:v>
      </x:c>
      <x:c r="K1769" s="8" t="n">
        <x:f>H1769-I1769*J1769</x:f>
        <x:v>1.5</x:v>
      </x:c>
      <x:c r="L1769" s="8" t="n">
        <x:f>'PG facts'!E114</x:f>
        <x:v>2</x:v>
      </x:c>
      <x:c r="M1769" s="8" t="n">
        <x:f>K1769-L1769</x:f>
        <x:v>-0.5</x:v>
      </x:c>
      <x:c r="N1769" s="8" t="n">
        <x:f>M1769^2</x:f>
        <x:v>0.25</x:v>
      </x:c>
      <x:c r="O1769" s="8" t="n">
        <x:f>ABS(M1769)</x:f>
        <x:v>0.5</x:v>
      </x:c>
      <x:c r="P1769" s="7" t="n">
        <x:v>45679</x:v>
      </x:c>
    </x:row>
    <x:row r="1770" ht="26" customHeight="1">
      <x:c r="A1770" s="2"/>
      <x:c r="B1770" s="2" t="n">
        <x:v>1765</x:v>
      </x:c>
      <x:c r="C1770" s="2" t="str">
        <x:v>Fabric &amp; Home Care / organic_volume_growth</x:v>
      </x:c>
      <x:c r="D1770" s="7" t="n">
        <x:v>45657</x:v>
      </x:c>
      <x:c r="E1770" s="2" t="str">
        <x:v>Pre-earnings</x:v>
      </x:c>
      <x:c r="F1770" s="7" t="n">
        <x:v>45678</x:v>
      </x:c>
      <x:c r="G1770" s="2" t="str">
        <x:v>Broad market</x:v>
      </x:c>
      <x:c r="H1770" s="8" t="n">
        <x:f>'Model fits'!AA1152</x:f>
        <x:v>-0.036500630557793956</x:v>
      </x:c>
      <x:c r="I1770" s="8" t="n">
        <x:f>0</x:f>
        <x:v>0</x:v>
      </x:c>
      <x:c r="J1770" s="8" t="n">
        <x:v>0</x:v>
      </x:c>
      <x:c r="K1770" s="8" t="n">
        <x:f>H1770-I1770*J1770</x:f>
        <x:v>-0.036500630557793956</x:v>
      </x:c>
      <x:c r="L1770" s="8" t="n">
        <x:f>'PG facts'!E114</x:f>
        <x:v>2</x:v>
      </x:c>
      <x:c r="M1770" s="8" t="n">
        <x:f>K1770-L1770</x:f>
        <x:v>-2.0365006305577937</x:v>
      </x:c>
      <x:c r="N1770" s="8" t="n">
        <x:f>M1770^2</x:f>
        <x:v>4.1473348182622916</x:v>
      </x:c>
      <x:c r="O1770" s="8" t="n">
        <x:f>ABS(M1770)</x:f>
        <x:v>2.0365006305577937</x:v>
      </x:c>
      <x:c r="P1770" s="7" t="n">
        <x:v>45679</x:v>
      </x:c>
    </x:row>
    <x:row r="1771" ht="26" customHeight="1">
      <x:c r="A1771" s="2"/>
      <x:c r="B1771" s="2" t="n">
        <x:v>1766</x:v>
      </x:c>
      <x:c r="C1771" s="2" t="str">
        <x:v>Fabric &amp; Home Care / organic_volume_growth</x:v>
      </x:c>
      <x:c r="D1771" s="7" t="n">
        <x:v>45657</x:v>
      </x:c>
      <x:c r="E1771" s="2" t="str">
        <x:v>Pre-earnings</x:v>
      </x:c>
      <x:c r="F1771" s="7" t="n">
        <x:v>45678</x:v>
      </x:c>
      <x:c r="G1771" s="2" t="str">
        <x:v>Broad lag 1</x:v>
      </x:c>
      <x:c r="H1771" s="8" t="n">
        <x:f>'Model fits'!AA1153</x:f>
        <x:v>-0.2533643776328136</x:v>
      </x:c>
      <x:c r="I1771" s="8" t="n">
        <x:f>0</x:f>
        <x:v>0</x:v>
      </x:c>
      <x:c r="J1771" s="8" t="n">
        <x:v>0</x:v>
      </x:c>
      <x:c r="K1771" s="8" t="n">
        <x:f>H1771-I1771*J1771</x:f>
        <x:v>-0.2533643776328136</x:v>
      </x:c>
      <x:c r="L1771" s="8" t="n">
        <x:f>'PG facts'!E114</x:f>
        <x:v>2</x:v>
      </x:c>
      <x:c r="M1771" s="8" t="n">
        <x:f>K1771-L1771</x:f>
        <x:v>-2.2533643776328134</x:v>
      </x:c>
      <x:c r="N1771" s="8" t="n">
        <x:f>M1771^2</x:f>
        <x:v>5.0776510183845165</x:v>
      </x:c>
      <x:c r="O1771" s="8" t="n">
        <x:f>ABS(M1771)</x:f>
        <x:v>2.2533643776328134</x:v>
      </x:c>
      <x:c r="P1771" s="7" t="n">
        <x:v>45679</x:v>
      </x:c>
    </x:row>
    <x:row r="1772" ht="26" customHeight="1">
      <x:c r="A1772" s="2"/>
      <x:c r="B1772" s="2" t="n">
        <x:v>1767</x:v>
      </x:c>
      <x:c r="C1772" s="2" t="str">
        <x:v>Fabric &amp; Home Care / organic_volume_growth</x:v>
      </x:c>
      <x:c r="D1772" s="7" t="n">
        <x:v>45657</x:v>
      </x:c>
      <x:c r="E1772" s="2" t="str">
        <x:v>Pre-earnings</x:v>
      </x:c>
      <x:c r="F1772" s="7" t="n">
        <x:v>45678</x:v>
      </x:c>
      <x:c r="G1772" s="2" t="str">
        <x:v>Broad rolling 8</x:v>
      </x:c>
      <x:c r="H1772" s="8" t="n">
        <x:f>'Model fits'!AA1154</x:f>
        <x:v>2.1006570475042596</x:v>
      </x:c>
      <x:c r="I1772" s="8" t="n">
        <x:f>0</x:f>
        <x:v>0</x:v>
      </x:c>
      <x:c r="J1772" s="8" t="n">
        <x:v>0</x:v>
      </x:c>
      <x:c r="K1772" s="8" t="n">
        <x:f>H1772-I1772*J1772</x:f>
        <x:v>2.1006570475042596</x:v>
      </x:c>
      <x:c r="L1772" s="8" t="n">
        <x:f>'PG facts'!E114</x:f>
        <x:v>2</x:v>
      </x:c>
      <x:c r="M1772" s="8" t="n">
        <x:f>K1772-L1772</x:f>
        <x:v>0.10065704750425963</x:v>
      </x:c>
      <x:c r="N1772" s="8" t="n">
        <x:f>M1772^2</x:f>
        <x:v>0.01013184121227478</x:v>
      </x:c>
      <x:c r="O1772" s="8" t="n">
        <x:f>ABS(M1772)</x:f>
        <x:v>0.10065704750425963</x:v>
      </x:c>
      <x:c r="P1772" s="7" t="n">
        <x:v>45679</x:v>
      </x:c>
    </x:row>
    <x:row r="1773" ht="26" customHeight="1">
      <x:c r="A1773" s="2"/>
      <x:c r="B1773" s="2" t="n">
        <x:v>1768</x:v>
      </x:c>
      <x:c r="C1773" s="2" t="str">
        <x:v>Fabric &amp; Home Care / organic_volume_growth</x:v>
      </x:c>
      <x:c r="D1773" s="7" t="n">
        <x:v>45657</x:v>
      </x:c>
      <x:c r="E1773" s="2" t="str">
        <x:v>Pre-earnings</x:v>
      </x:c>
      <x:c r="F1773" s="7" t="n">
        <x:v>45678</x:v>
      </x:c>
      <x:c r="G1773" s="2" t="str">
        <x:v>Own history</x:v>
      </x:c>
      <x:c r="H1773" s="8" t="n">
        <x:f>'Model fits'!AA1155</x:f>
        <x:v>0.6333333333333332</x:v>
      </x:c>
      <x:c r="I1773" s="8" t="n">
        <x:f>0</x:f>
        <x:v>0</x:v>
      </x:c>
      <x:c r="J1773" s="8" t="n">
        <x:v>0</x:v>
      </x:c>
      <x:c r="K1773" s="8" t="n">
        <x:f>H1773-I1773*J1773</x:f>
        <x:v>0.6333333333333332</x:v>
      </x:c>
      <x:c r="L1773" s="8" t="n">
        <x:f>'PG facts'!E114</x:f>
        <x:v>2</x:v>
      </x:c>
      <x:c r="M1773" s="8" t="n">
        <x:f>K1773-L1773</x:f>
        <x:v>-1.3666666666666667</x:v>
      </x:c>
      <x:c r="N1773" s="8" t="n">
        <x:f>M1773^2</x:f>
        <x:v>1.8677777777777778</x:v>
      </x:c>
      <x:c r="O1773" s="8" t="n">
        <x:f>ABS(M1773)</x:f>
        <x:v>1.3666666666666667</x:v>
      </x:c>
      <x:c r="P1773" s="7" t="n">
        <x:v>45679</x:v>
      </x:c>
    </x:row>
    <x:row r="1774" ht="26" customHeight="1">
      <x:c r="A1774" s="2"/>
      <x:c r="B1774" s="2" t="n">
        <x:v>1769</x:v>
      </x:c>
      <x:c r="C1774" s="2" t="str">
        <x:v>Fabric &amp; Home Care / organic_volume_growth</x:v>
      </x:c>
      <x:c r="D1774" s="7" t="n">
        <x:v>45747</x:v>
      </x:c>
      <x:c r="E1774" s="2" t="str">
        <x:v>Origin</x:v>
      </x:c>
      <x:c r="F1774" s="7" t="n">
        <x:v>45658</x:v>
      </x:c>
      <x:c r="G1774" s="2" t="str">
        <x:v>Last actual</x:v>
      </x:c>
      <x:c r="H1774" s="8" t="n">
        <x:f>AVERAGE('PG facts'!E107)</x:f>
        <x:v>1</x:v>
      </x:c>
      <x:c r="I1774" s="8" t="n">
        <x:f>0</x:f>
        <x:v>0</x:v>
      </x:c>
      <x:c r="J1774" s="8" t="n">
        <x:v>0</x:v>
      </x:c>
      <x:c r="K1774" s="8" t="n">
        <x:f>H1774-I1774*J1774</x:f>
        <x:v>1</x:v>
      </x:c>
      <x:c r="L1774" s="8" t="n">
        <x:f>'PG facts'!E121</x:f>
        <x:v>0</x:v>
      </x:c>
      <x:c r="M1774" s="8" t="n">
        <x:f>K1774-L1774</x:f>
        <x:v>1</x:v>
      </x:c>
      <x:c r="N1774" s="8" t="n">
        <x:f>M1774^2</x:f>
        <x:v>1</x:v>
      </x:c>
      <x:c r="O1774" s="8" t="n">
        <x:f>ABS(M1774)</x:f>
        <x:v>1</x:v>
      </x:c>
      <x:c r="P1774" s="7" t="n">
        <x:v>45771</x:v>
      </x:c>
    </x:row>
    <x:row r="1775" ht="26" customHeight="1">
      <x:c r="A1775" s="2"/>
      <x:c r="B1775" s="2" t="n">
        <x:v>1770</x:v>
      </x:c>
      <x:c r="C1775" s="2" t="str">
        <x:v>Fabric &amp; Home Care / organic_volume_growth</x:v>
      </x:c>
      <x:c r="D1775" s="7" t="n">
        <x:v>45747</x:v>
      </x:c>
      <x:c r="E1775" s="2" t="str">
        <x:v>Origin</x:v>
      </x:c>
      <x:c r="F1775" s="7" t="n">
        <x:v>45658</x:v>
      </x:c>
      <x:c r="G1775" s="2" t="str">
        <x:v>Four-quarter mean</x:v>
      </x:c>
      <x:c r="H1775" s="8" t="n">
        <x:f>AVERAGE('PG facts'!E86,'PG facts'!E93,'PG facts'!E100,'PG facts'!E107)</x:f>
        <x:v>1.5</x:v>
      </x:c>
      <x:c r="I1775" s="8" t="n">
        <x:f>0</x:f>
        <x:v>0</x:v>
      </x:c>
      <x:c r="J1775" s="8" t="n">
        <x:v>0</x:v>
      </x:c>
      <x:c r="K1775" s="8" t="n">
        <x:f>H1775-I1775*J1775</x:f>
        <x:v>1.5</x:v>
      </x:c>
      <x:c r="L1775" s="8" t="n">
        <x:f>'PG facts'!E121</x:f>
        <x:v>0</x:v>
      </x:c>
      <x:c r="M1775" s="8" t="n">
        <x:f>K1775-L1775</x:f>
        <x:v>1.5</x:v>
      </x:c>
      <x:c r="N1775" s="8" t="n">
        <x:f>M1775^2</x:f>
        <x:v>2.25</x:v>
      </x:c>
      <x:c r="O1775" s="8" t="n">
        <x:f>ABS(M1775)</x:f>
        <x:v>1.5</x:v>
      </x:c>
      <x:c r="P1775" s="7" t="n">
        <x:v>45771</x:v>
      </x:c>
    </x:row>
    <x:row r="1776" ht="26" customHeight="1">
      <x:c r="A1776" s="2"/>
      <x:c r="B1776" s="2" t="n">
        <x:v>1771</x:v>
      </x:c>
      <x:c r="C1776" s="2" t="str">
        <x:v>Fabric &amp; Home Care / organic_volume_growth</x:v>
      </x:c>
      <x:c r="D1776" s="7" t="n">
        <x:v>45747</x:v>
      </x:c>
      <x:c r="E1776" s="2" t="str">
        <x:v>Origin</x:v>
      </x:c>
      <x:c r="F1776" s="7" t="n">
        <x:v>45658</x:v>
      </x:c>
      <x:c r="G1776" s="2" t="str">
        <x:v>Broad market</x:v>
      </x:c>
      <x:c r="H1776" s="8" t="n">
        <x:f>'Model fits'!AA1156</x:f>
        <x:v>0.017015099515207632</x:v>
      </x:c>
      <x:c r="I1776" s="8" t="n">
        <x:f>0</x:f>
        <x:v>0</x:v>
      </x:c>
      <x:c r="J1776" s="8" t="n">
        <x:v>0</x:v>
      </x:c>
      <x:c r="K1776" s="8" t="n">
        <x:f>H1776-I1776*J1776</x:f>
        <x:v>0.017015099515207632</x:v>
      </x:c>
      <x:c r="L1776" s="8" t="n">
        <x:f>'PG facts'!E121</x:f>
        <x:v>0</x:v>
      </x:c>
      <x:c r="M1776" s="8" t="n">
        <x:f>K1776-L1776</x:f>
        <x:v>0.017015099515207632</x:v>
      </x:c>
      <x:c r="N1776" s="8" t="n">
        <x:f>M1776^2</x:f>
        <x:v>0.000289513611512419</x:v>
      </x:c>
      <x:c r="O1776" s="8" t="n">
        <x:f>ABS(M1776)</x:f>
        <x:v>0.017015099515207632</x:v>
      </x:c>
      <x:c r="P1776" s="7" t="n">
        <x:v>45771</x:v>
      </x:c>
    </x:row>
    <x:row r="1777" ht="26" customHeight="1">
      <x:c r="A1777" s="2"/>
      <x:c r="B1777" s="2" t="n">
        <x:v>1772</x:v>
      </x:c>
      <x:c r="C1777" s="2" t="str">
        <x:v>Fabric &amp; Home Care / organic_volume_growth</x:v>
      </x:c>
      <x:c r="D1777" s="7" t="n">
        <x:v>45747</x:v>
      </x:c>
      <x:c r="E1777" s="2" t="str">
        <x:v>Origin</x:v>
      </x:c>
      <x:c r="F1777" s="7" t="n">
        <x:v>45658</x:v>
      </x:c>
      <x:c r="G1777" s="2" t="str">
        <x:v>Broad rolling 8</x:v>
      </x:c>
      <x:c r="H1777" s="8" t="n">
        <x:f>'Model fits'!AA1157</x:f>
        <x:v>2.3416510455823176</x:v>
      </x:c>
      <x:c r="I1777" s="8" t="n">
        <x:f>0</x:f>
        <x:v>0</x:v>
      </x:c>
      <x:c r="J1777" s="8" t="n">
        <x:v>0</x:v>
      </x:c>
      <x:c r="K1777" s="8" t="n">
        <x:f>H1777-I1777*J1777</x:f>
        <x:v>2.3416510455823176</x:v>
      </x:c>
      <x:c r="L1777" s="8" t="n">
        <x:f>'PG facts'!E121</x:f>
        <x:v>0</x:v>
      </x:c>
      <x:c r="M1777" s="8" t="n">
        <x:f>K1777-L1777</x:f>
        <x:v>2.3416510455823176</x:v>
      </x:c>
      <x:c r="N1777" s="8" t="n">
        <x:f>M1777^2</x:f>
        <x:v>5.483329619276762</x:v>
      </x:c>
      <x:c r="O1777" s="8" t="n">
        <x:f>ABS(M1777)</x:f>
        <x:v>2.3416510455823176</x:v>
      </x:c>
      <x:c r="P1777" s="7" t="n">
        <x:v>45771</x:v>
      </x:c>
    </x:row>
    <x:row r="1778" ht="26" customHeight="1">
      <x:c r="A1778" s="2"/>
      <x:c r="B1778" s="2" t="n">
        <x:v>1773</x:v>
      </x:c>
      <x:c r="C1778" s="2" t="str">
        <x:v>Fabric &amp; Home Care / organic_volume_growth</x:v>
      </x:c>
      <x:c r="D1778" s="7" t="n">
        <x:v>45747</x:v>
      </x:c>
      <x:c r="E1778" s="2" t="str">
        <x:v>Origin</x:v>
      </x:c>
      <x:c r="F1778" s="7" t="n">
        <x:v>45658</x:v>
      </x:c>
      <x:c r="G1778" s="2" t="str">
        <x:v>Own history</x:v>
      </x:c>
      <x:c r="H1778" s="8" t="n">
        <x:f>'Model fits'!AA1158</x:f>
        <x:v>0.27121464226289516</x:v>
      </x:c>
      <x:c r="I1778" s="8" t="n">
        <x:f>0</x:f>
        <x:v>0</x:v>
      </x:c>
      <x:c r="J1778" s="8" t="n">
        <x:v>0</x:v>
      </x:c>
      <x:c r="K1778" s="8" t="n">
        <x:f>H1778-I1778*J1778</x:f>
        <x:v>0.27121464226289516</x:v>
      </x:c>
      <x:c r="L1778" s="8" t="n">
        <x:f>'PG facts'!E121</x:f>
        <x:v>0</x:v>
      </x:c>
      <x:c r="M1778" s="8" t="n">
        <x:f>K1778-L1778</x:f>
        <x:v>0.27121464226289516</x:v>
      </x:c>
      <x:c r="N1778" s="8" t="n">
        <x:f>M1778^2</x:f>
        <x:v>0.07355738217779019</x:v>
      </x:c>
      <x:c r="O1778" s="8" t="n">
        <x:f>ABS(M1778)</x:f>
        <x:v>0.27121464226289516</x:v>
      </x:c>
      <x:c r="P1778" s="7" t="n">
        <x:v>45771</x:v>
      </x:c>
    </x:row>
    <x:row r="1779" ht="26" customHeight="1">
      <x:c r="A1779" s="2"/>
      <x:c r="B1779" s="2" t="n">
        <x:v>1774</x:v>
      </x:c>
      <x:c r="C1779" s="2" t="str">
        <x:v>Fabric &amp; Home Care / organic_volume_growth</x:v>
      </x:c>
      <x:c r="D1779" s="7" t="n">
        <x:v>45747</x:v>
      </x:c>
      <x:c r="E1779" s="2" t="str">
        <x:v>Prior report</x:v>
      </x:c>
      <x:c r="F1779" s="7" t="n">
        <x:v>45679</x:v>
      </x:c>
      <x:c r="G1779" s="2" t="str">
        <x:v>Last actual</x:v>
      </x:c>
      <x:c r="H1779" s="8" t="n">
        <x:f>AVERAGE('PG facts'!E114)</x:f>
        <x:v>2</x:v>
      </x:c>
      <x:c r="I1779" s="8" t="n">
        <x:f>0</x:f>
        <x:v>0</x:v>
      </x:c>
      <x:c r="J1779" s="8" t="n">
        <x:v>0</x:v>
      </x:c>
      <x:c r="K1779" s="8" t="n">
        <x:f>H1779-I1779*J1779</x:f>
        <x:v>2</x:v>
      </x:c>
      <x:c r="L1779" s="8" t="n">
        <x:f>'PG facts'!E121</x:f>
        <x:v>0</x:v>
      </x:c>
      <x:c r="M1779" s="8" t="n">
        <x:f>K1779-L1779</x:f>
        <x:v>2</x:v>
      </x:c>
      <x:c r="N1779" s="8" t="n">
        <x:f>M1779^2</x:f>
        <x:v>4</x:v>
      </x:c>
      <x:c r="O1779" s="8" t="n">
        <x:f>ABS(M1779)</x:f>
        <x:v>2</x:v>
      </x:c>
      <x:c r="P1779" s="7" t="n">
        <x:v>45771</x:v>
      </x:c>
    </x:row>
    <x:row r="1780" ht="26" customHeight="1">
      <x:c r="A1780" s="2"/>
      <x:c r="B1780" s="2" t="n">
        <x:v>1775</x:v>
      </x:c>
      <x:c r="C1780" s="2" t="str">
        <x:v>Fabric &amp; Home Care / organic_volume_growth</x:v>
      </x:c>
      <x:c r="D1780" s="7" t="n">
        <x:v>45747</x:v>
      </x:c>
      <x:c r="E1780" s="2" t="str">
        <x:v>Prior report</x:v>
      </x:c>
      <x:c r="F1780" s="7" t="n">
        <x:v>45679</x:v>
      </x:c>
      <x:c r="G1780" s="2" t="str">
        <x:v>Four-quarter mean</x:v>
      </x:c>
      <x:c r="H1780" s="8" t="n">
        <x:f>AVERAGE('PG facts'!E93,'PG facts'!E100,'PG facts'!E107,'PG facts'!E114)</x:f>
        <x:v>1.75</x:v>
      </x:c>
      <x:c r="I1780" s="8" t="n">
        <x:f>0</x:f>
        <x:v>0</x:v>
      </x:c>
      <x:c r="J1780" s="8" t="n">
        <x:v>0</x:v>
      </x:c>
      <x:c r="K1780" s="8" t="n">
        <x:f>H1780-I1780*J1780</x:f>
        <x:v>1.75</x:v>
      </x:c>
      <x:c r="L1780" s="8" t="n">
        <x:f>'PG facts'!E121</x:f>
        <x:v>0</x:v>
      </x:c>
      <x:c r="M1780" s="8" t="n">
        <x:f>K1780-L1780</x:f>
        <x:v>1.75</x:v>
      </x:c>
      <x:c r="N1780" s="8" t="n">
        <x:f>M1780^2</x:f>
        <x:v>3.0625</x:v>
      </x:c>
      <x:c r="O1780" s="8" t="n">
        <x:f>ABS(M1780)</x:f>
        <x:v>1.75</x:v>
      </x:c>
      <x:c r="P1780" s="7" t="n">
        <x:v>45771</x:v>
      </x:c>
    </x:row>
    <x:row r="1781" ht="26" customHeight="1">
      <x:c r="A1781" s="2"/>
      <x:c r="B1781" s="2" t="n">
        <x:v>1776</x:v>
      </x:c>
      <x:c r="C1781" s="2" t="str">
        <x:v>Fabric &amp; Home Care / organic_volume_growth</x:v>
      </x:c>
      <x:c r="D1781" s="7" t="n">
        <x:v>45747</x:v>
      </x:c>
      <x:c r="E1781" s="2" t="str">
        <x:v>Prior report</x:v>
      </x:c>
      <x:c r="F1781" s="7" t="n">
        <x:v>45679</x:v>
      </x:c>
      <x:c r="G1781" s="2" t="str">
        <x:v>Broad market</x:v>
      </x:c>
      <x:c r="H1781" s="8" t="n">
        <x:f>'Model fits'!AA1159</x:f>
        <x:v>0.017015099515207632</x:v>
      </x:c>
      <x:c r="I1781" s="8" t="n">
        <x:f>0</x:f>
        <x:v>0</x:v>
      </x:c>
      <x:c r="J1781" s="8" t="n">
        <x:v>0</x:v>
      </x:c>
      <x:c r="K1781" s="8" t="n">
        <x:f>H1781-I1781*J1781</x:f>
        <x:v>0.017015099515207632</x:v>
      </x:c>
      <x:c r="L1781" s="8" t="n">
        <x:f>'PG facts'!E121</x:f>
        <x:v>0</x:v>
      </x:c>
      <x:c r="M1781" s="8" t="n">
        <x:f>K1781-L1781</x:f>
        <x:v>0.017015099515207632</x:v>
      </x:c>
      <x:c r="N1781" s="8" t="n">
        <x:f>M1781^2</x:f>
        <x:v>0.000289513611512419</x:v>
      </x:c>
      <x:c r="O1781" s="8" t="n">
        <x:f>ABS(M1781)</x:f>
        <x:v>0.017015099515207632</x:v>
      </x:c>
      <x:c r="P1781" s="7" t="n">
        <x:v>45771</x:v>
      </x:c>
    </x:row>
    <x:row r="1782" ht="26" customHeight="1">
      <x:c r="A1782" s="2"/>
      <x:c r="B1782" s="2" t="n">
        <x:v>1777</x:v>
      </x:c>
      <x:c r="C1782" s="2" t="str">
        <x:v>Fabric &amp; Home Care / organic_volume_growth</x:v>
      </x:c>
      <x:c r="D1782" s="7" t="n">
        <x:v>45747</x:v>
      </x:c>
      <x:c r="E1782" s="2" t="str">
        <x:v>Prior report</x:v>
      </x:c>
      <x:c r="F1782" s="7" t="n">
        <x:v>45679</x:v>
      </x:c>
      <x:c r="G1782" s="2" t="str">
        <x:v>Broad rolling 8</x:v>
      </x:c>
      <x:c r="H1782" s="8" t="n">
        <x:f>'Model fits'!AA1160</x:f>
        <x:v>2.3416510455823176</x:v>
      </x:c>
      <x:c r="I1782" s="8" t="n">
        <x:f>0</x:f>
        <x:v>0</x:v>
      </x:c>
      <x:c r="J1782" s="8" t="n">
        <x:v>0</x:v>
      </x:c>
      <x:c r="K1782" s="8" t="n">
        <x:f>H1782-I1782*J1782</x:f>
        <x:v>2.3416510455823176</x:v>
      </x:c>
      <x:c r="L1782" s="8" t="n">
        <x:f>'PG facts'!E121</x:f>
        <x:v>0</x:v>
      </x:c>
      <x:c r="M1782" s="8" t="n">
        <x:f>K1782-L1782</x:f>
        <x:v>2.3416510455823176</x:v>
      </x:c>
      <x:c r="N1782" s="8" t="n">
        <x:f>M1782^2</x:f>
        <x:v>5.483329619276762</x:v>
      </x:c>
      <x:c r="O1782" s="8" t="n">
        <x:f>ABS(M1782)</x:f>
        <x:v>2.3416510455823176</x:v>
      </x:c>
      <x:c r="P1782" s="7" t="n">
        <x:v>45771</x:v>
      </x:c>
    </x:row>
    <x:row r="1783" ht="26" customHeight="1">
      <x:c r="A1783" s="2"/>
      <x:c r="B1783" s="2" t="n">
        <x:v>1778</x:v>
      </x:c>
      <x:c r="C1783" s="2" t="str">
        <x:v>Fabric &amp; Home Care / organic_volume_growth</x:v>
      </x:c>
      <x:c r="D1783" s="7" t="n">
        <x:v>45747</x:v>
      </x:c>
      <x:c r="E1783" s="2" t="str">
        <x:v>Prior report</x:v>
      </x:c>
      <x:c r="F1783" s="7" t="n">
        <x:v>45679</x:v>
      </x:c>
      <x:c r="G1783" s="2" t="str">
        <x:v>Own history</x:v>
      </x:c>
      <x:c r="H1783" s="8" t="n">
        <x:f>'Model fits'!AA1161</x:f>
        <x:v>1.418965517241379</x:v>
      </x:c>
      <x:c r="I1783" s="8" t="n">
        <x:f>0</x:f>
        <x:v>0</x:v>
      </x:c>
      <x:c r="J1783" s="8" t="n">
        <x:v>0</x:v>
      </x:c>
      <x:c r="K1783" s="8" t="n">
        <x:f>H1783-I1783*J1783</x:f>
        <x:v>1.418965517241379</x:v>
      </x:c>
      <x:c r="L1783" s="8" t="n">
        <x:f>'PG facts'!E121</x:f>
        <x:v>0</x:v>
      </x:c>
      <x:c r="M1783" s="8" t="n">
        <x:f>K1783-L1783</x:f>
        <x:v>1.418965517241379</x:v>
      </x:c>
      <x:c r="N1783" s="8" t="n">
        <x:f>M1783^2</x:f>
        <x:v>2.0134631391200943</x:v>
      </x:c>
      <x:c r="O1783" s="8" t="n">
        <x:f>ABS(M1783)</x:f>
        <x:v>1.418965517241379</x:v>
      </x:c>
      <x:c r="P1783" s="7" t="n">
        <x:v>45771</x:v>
      </x:c>
    </x:row>
    <x:row r="1784" ht="26" customHeight="1">
      <x:c r="A1784" s="2"/>
      <x:c r="B1784" s="2" t="n">
        <x:v>1779</x:v>
      </x:c>
      <x:c r="C1784" s="2" t="str">
        <x:v>Fabric &amp; Home Care / organic_volume_growth</x:v>
      </x:c>
      <x:c r="D1784" s="7" t="n">
        <x:v>45747</x:v>
      </x:c>
      <x:c r="E1784" s="2" t="str">
        <x:v>Pre-earnings</x:v>
      </x:c>
      <x:c r="F1784" s="7" t="n">
        <x:v>45770</x:v>
      </x:c>
      <x:c r="G1784" s="2" t="str">
        <x:v>Last actual</x:v>
      </x:c>
      <x:c r="H1784" s="8" t="n">
        <x:f>AVERAGE('PG facts'!E114)</x:f>
        <x:v>2</x:v>
      </x:c>
      <x:c r="I1784" s="8" t="n">
        <x:f>0</x:f>
        <x:v>0</x:v>
      </x:c>
      <x:c r="J1784" s="8" t="n">
        <x:v>0</x:v>
      </x:c>
      <x:c r="K1784" s="8" t="n">
        <x:f>H1784-I1784*J1784</x:f>
        <x:v>2</x:v>
      </x:c>
      <x:c r="L1784" s="8" t="n">
        <x:f>'PG facts'!E121</x:f>
        <x:v>0</x:v>
      </x:c>
      <x:c r="M1784" s="8" t="n">
        <x:f>K1784-L1784</x:f>
        <x:v>2</x:v>
      </x:c>
      <x:c r="N1784" s="8" t="n">
        <x:f>M1784^2</x:f>
        <x:v>4</x:v>
      </x:c>
      <x:c r="O1784" s="8" t="n">
        <x:f>ABS(M1784)</x:f>
        <x:v>2</x:v>
      </x:c>
      <x:c r="P1784" s="7" t="n">
        <x:v>45771</x:v>
      </x:c>
    </x:row>
    <x:row r="1785" ht="26" customHeight="1">
      <x:c r="A1785" s="2"/>
      <x:c r="B1785" s="2" t="n">
        <x:v>1780</x:v>
      </x:c>
      <x:c r="C1785" s="2" t="str">
        <x:v>Fabric &amp; Home Care / organic_volume_growth</x:v>
      </x:c>
      <x:c r="D1785" s="7" t="n">
        <x:v>45747</x:v>
      </x:c>
      <x:c r="E1785" s="2" t="str">
        <x:v>Pre-earnings</x:v>
      </x:c>
      <x:c r="F1785" s="7" t="n">
        <x:v>45770</x:v>
      </x:c>
      <x:c r="G1785" s="2" t="str">
        <x:v>Four-quarter mean</x:v>
      </x:c>
      <x:c r="H1785" s="8" t="n">
        <x:f>AVERAGE('PG facts'!E93,'PG facts'!E100,'PG facts'!E107,'PG facts'!E114)</x:f>
        <x:v>1.75</x:v>
      </x:c>
      <x:c r="I1785" s="8" t="n">
        <x:f>0</x:f>
        <x:v>0</x:v>
      </x:c>
      <x:c r="J1785" s="8" t="n">
        <x:v>0</x:v>
      </x:c>
      <x:c r="K1785" s="8" t="n">
        <x:f>H1785-I1785*J1785</x:f>
        <x:v>1.75</x:v>
      </x:c>
      <x:c r="L1785" s="8" t="n">
        <x:f>'PG facts'!E121</x:f>
        <x:v>0</x:v>
      </x:c>
      <x:c r="M1785" s="8" t="n">
        <x:f>K1785-L1785</x:f>
        <x:v>1.75</x:v>
      </x:c>
      <x:c r="N1785" s="8" t="n">
        <x:f>M1785^2</x:f>
        <x:v>3.0625</x:v>
      </x:c>
      <x:c r="O1785" s="8" t="n">
        <x:f>ABS(M1785)</x:f>
        <x:v>1.75</x:v>
      </x:c>
      <x:c r="P1785" s="7" t="n">
        <x:v>45771</x:v>
      </x:c>
    </x:row>
    <x:row r="1786" ht="26" customHeight="1">
      <x:c r="A1786" s="2"/>
      <x:c r="B1786" s="2" t="n">
        <x:v>1781</x:v>
      </x:c>
      <x:c r="C1786" s="2" t="str">
        <x:v>Fabric &amp; Home Care / organic_volume_growth</x:v>
      </x:c>
      <x:c r="D1786" s="7" t="n">
        <x:v>45747</x:v>
      </x:c>
      <x:c r="E1786" s="2" t="str">
        <x:v>Pre-earnings</x:v>
      </x:c>
      <x:c r="F1786" s="7" t="n">
        <x:v>45770</x:v>
      </x:c>
      <x:c r="G1786" s="2" t="str">
        <x:v>Broad market</x:v>
      </x:c>
      <x:c r="H1786" s="8" t="n">
        <x:f>'Model fits'!AA1162</x:f>
        <x:v>0.26061277543627304</x:v>
      </x:c>
      <x:c r="I1786" s="8" t="n">
        <x:f>0</x:f>
        <x:v>0</x:v>
      </x:c>
      <x:c r="J1786" s="8" t="n">
        <x:v>0</x:v>
      </x:c>
      <x:c r="K1786" s="8" t="n">
        <x:f>H1786-I1786*J1786</x:f>
        <x:v>0.26061277543627304</x:v>
      </x:c>
      <x:c r="L1786" s="8" t="n">
        <x:f>'PG facts'!E121</x:f>
        <x:v>0</x:v>
      </x:c>
      <x:c r="M1786" s="8" t="n">
        <x:f>K1786-L1786</x:f>
        <x:v>0.26061277543627304</x:v>
      </x:c>
      <x:c r="N1786" s="8" t="n">
        <x:f>M1786^2</x:f>
        <x:v>0.06791901872059727</x:v>
      </x:c>
      <x:c r="O1786" s="8" t="n">
        <x:f>ABS(M1786)</x:f>
        <x:v>0.26061277543627304</x:v>
      </x:c>
      <x:c r="P1786" s="7" t="n">
        <x:v>45771</x:v>
      </x:c>
    </x:row>
    <x:row r="1787" ht="26" customHeight="1">
      <x:c r="A1787" s="2"/>
      <x:c r="B1787" s="2" t="n">
        <x:v>1782</x:v>
      </x:c>
      <x:c r="C1787" s="2" t="str">
        <x:v>Fabric &amp; Home Care / organic_volume_growth</x:v>
      </x:c>
      <x:c r="D1787" s="7" t="n">
        <x:v>45747</x:v>
      </x:c>
      <x:c r="E1787" s="2" t="str">
        <x:v>Pre-earnings</x:v>
      </x:c>
      <x:c r="F1787" s="7" t="n">
        <x:v>45770</x:v>
      </x:c>
      <x:c r="G1787" s="2" t="str">
        <x:v>Broad lag 1</x:v>
      </x:c>
      <x:c r="H1787" s="8" t="n">
        <x:f>'Model fits'!AA1163</x:f>
        <x:v>-0.17332592176485528</x:v>
      </x:c>
      <x:c r="I1787" s="8" t="n">
        <x:f>0</x:f>
        <x:v>0</x:v>
      </x:c>
      <x:c r="J1787" s="8" t="n">
        <x:v>0</x:v>
      </x:c>
      <x:c r="K1787" s="8" t="n">
        <x:f>H1787-I1787*J1787</x:f>
        <x:v>-0.17332592176485528</x:v>
      </x:c>
      <x:c r="L1787" s="8" t="n">
        <x:f>'PG facts'!E121</x:f>
        <x:v>0</x:v>
      </x:c>
      <x:c r="M1787" s="8" t="n">
        <x:f>K1787-L1787</x:f>
        <x:v>-0.17332592176485528</x:v>
      </x:c>
      <x:c r="N1787" s="8" t="n">
        <x:f>M1787^2</x:f>
        <x:v>0.030041875155636735</x:v>
      </x:c>
      <x:c r="O1787" s="8" t="n">
        <x:f>ABS(M1787)</x:f>
        <x:v>0.17332592176485528</x:v>
      </x:c>
      <x:c r="P1787" s="7" t="n">
        <x:v>45771</x:v>
      </x:c>
    </x:row>
    <x:row r="1788" ht="26" customHeight="1">
      <x:c r="A1788" s="2"/>
      <x:c r="B1788" s="2" t="n">
        <x:v>1783</x:v>
      </x:c>
      <x:c r="C1788" s="2" t="str">
        <x:v>Fabric &amp; Home Care / organic_volume_growth</x:v>
      </x:c>
      <x:c r="D1788" s="7" t="n">
        <x:v>45747</x:v>
      </x:c>
      <x:c r="E1788" s="2" t="str">
        <x:v>Pre-earnings</x:v>
      </x:c>
      <x:c r="F1788" s="7" t="n">
        <x:v>45770</x:v>
      </x:c>
      <x:c r="G1788" s="2" t="str">
        <x:v>Broad rolling 8</x:v>
      </x:c>
      <x:c r="H1788" s="8" t="n">
        <x:f>'Model fits'!AA1164</x:f>
        <x:v>2.774145298950521</x:v>
      </x:c>
      <x:c r="I1788" s="8" t="n">
        <x:f>0</x:f>
        <x:v>0</x:v>
      </x:c>
      <x:c r="J1788" s="8" t="n">
        <x:v>0</x:v>
      </x:c>
      <x:c r="K1788" s="8" t="n">
        <x:f>H1788-I1788*J1788</x:f>
        <x:v>2.774145298950521</x:v>
      </x:c>
      <x:c r="L1788" s="8" t="n">
        <x:f>'PG facts'!E121</x:f>
        <x:v>0</x:v>
      </x:c>
      <x:c r="M1788" s="8" t="n">
        <x:f>K1788-L1788</x:f>
        <x:v>2.774145298950521</x:v>
      </x:c>
      <x:c r="N1788" s="8" t="n">
        <x:f>M1788^2</x:f>
        <x:v>7.695882139689276</x:v>
      </x:c>
      <x:c r="O1788" s="8" t="n">
        <x:f>ABS(M1788)</x:f>
        <x:v>2.774145298950521</x:v>
      </x:c>
      <x:c r="P1788" s="7" t="n">
        <x:v>45771</x:v>
      </x:c>
    </x:row>
    <x:row r="1789" ht="26" customHeight="1">
      <x:c r="A1789" s="2"/>
      <x:c r="B1789" s="2" t="n">
        <x:v>1784</x:v>
      </x:c>
      <x:c r="C1789" s="2" t="str">
        <x:v>Fabric &amp; Home Care / organic_volume_growth</x:v>
      </x:c>
      <x:c r="D1789" s="7" t="n">
        <x:v>45747</x:v>
      </x:c>
      <x:c r="E1789" s="2" t="str">
        <x:v>Pre-earnings</x:v>
      </x:c>
      <x:c r="F1789" s="7" t="n">
        <x:v>45770</x:v>
      </x:c>
      <x:c r="G1789" s="2" t="str">
        <x:v>Own history</x:v>
      </x:c>
      <x:c r="H1789" s="8" t="n">
        <x:f>'Model fits'!AA1165</x:f>
        <x:v>1.418965517241379</x:v>
      </x:c>
      <x:c r="I1789" s="8" t="n">
        <x:f>0</x:f>
        <x:v>0</x:v>
      </x:c>
      <x:c r="J1789" s="8" t="n">
        <x:v>0</x:v>
      </x:c>
      <x:c r="K1789" s="8" t="n">
        <x:f>H1789-I1789*J1789</x:f>
        <x:v>1.418965517241379</x:v>
      </x:c>
      <x:c r="L1789" s="8" t="n">
        <x:f>'PG facts'!E121</x:f>
        <x:v>0</x:v>
      </x:c>
      <x:c r="M1789" s="8" t="n">
        <x:f>K1789-L1789</x:f>
        <x:v>1.418965517241379</x:v>
      </x:c>
      <x:c r="N1789" s="8" t="n">
        <x:f>M1789^2</x:f>
        <x:v>2.0134631391200943</x:v>
      </x:c>
      <x:c r="O1789" s="8" t="n">
        <x:f>ABS(M1789)</x:f>
        <x:v>1.418965517241379</x:v>
      </x:c>
      <x:c r="P1789" s="7" t="n">
        <x:v>45771</x:v>
      </x:c>
    </x:row>
    <x:row r="1790" ht="26" customHeight="1">
      <x:c r="A1790" s="2"/>
      <x:c r="B1790" s="2" t="n">
        <x:v>1785</x:v>
      </x:c>
      <x:c r="C1790" s="2" t="str">
        <x:v>Fabric &amp; Home Care / organic_volume_growth</x:v>
      </x:c>
      <x:c r="D1790" s="7" t="n">
        <x:v>45838</x:v>
      </x:c>
      <x:c r="E1790" s="2" t="str">
        <x:v>Origin</x:v>
      </x:c>
      <x:c r="F1790" s="7" t="n">
        <x:v>45748</x:v>
      </x:c>
      <x:c r="G1790" s="2" t="str">
        <x:v>Last actual</x:v>
      </x:c>
      <x:c r="H1790" s="8" t="n">
        <x:f>AVERAGE('PG facts'!E114)</x:f>
        <x:v>2</x:v>
      </x:c>
      <x:c r="I1790" s="8" t="n">
        <x:f>0</x:f>
        <x:v>0</x:v>
      </x:c>
      <x:c r="J1790" s="8" t="n">
        <x:v>0</x:v>
      </x:c>
      <x:c r="K1790" s="8" t="n">
        <x:f>H1790-I1790*J1790</x:f>
        <x:v>2</x:v>
      </x:c>
      <x:c r="L1790" s="8" t="n">
        <x:f>'PG facts'!E128</x:f>
        <x:v>0</x:v>
      </x:c>
      <x:c r="M1790" s="8" t="n">
        <x:f>K1790-L1790</x:f>
        <x:v>2</x:v>
      </x:c>
      <x:c r="N1790" s="8" t="n">
        <x:f>M1790^2</x:f>
        <x:v>4</x:v>
      </x:c>
      <x:c r="O1790" s="8" t="n">
        <x:f>ABS(M1790)</x:f>
        <x:v>2</x:v>
      </x:c>
      <x:c r="P1790" s="7" t="n">
        <x:v>45867</x:v>
      </x:c>
    </x:row>
    <x:row r="1791" ht="26" customHeight="1">
      <x:c r="A1791" s="2"/>
      <x:c r="B1791" s="2" t="n">
        <x:v>1786</x:v>
      </x:c>
      <x:c r="C1791" s="2" t="str">
        <x:v>Fabric &amp; Home Care / organic_volume_growth</x:v>
      </x:c>
      <x:c r="D1791" s="7" t="n">
        <x:v>45838</x:v>
      </x:c>
      <x:c r="E1791" s="2" t="str">
        <x:v>Origin</x:v>
      </x:c>
      <x:c r="F1791" s="7" t="n">
        <x:v>45748</x:v>
      </x:c>
      <x:c r="G1791" s="2" t="str">
        <x:v>Four-quarter mean</x:v>
      </x:c>
      <x:c r="H1791" s="8" t="n">
        <x:f>AVERAGE('PG facts'!E93,'PG facts'!E100,'PG facts'!E107,'PG facts'!E114)</x:f>
        <x:v>1.75</x:v>
      </x:c>
      <x:c r="I1791" s="8" t="n">
        <x:f>0</x:f>
        <x:v>0</x:v>
      </x:c>
      <x:c r="J1791" s="8" t="n">
        <x:v>0</x:v>
      </x:c>
      <x:c r="K1791" s="8" t="n">
        <x:f>H1791-I1791*J1791</x:f>
        <x:v>1.75</x:v>
      </x:c>
      <x:c r="L1791" s="8" t="n">
        <x:f>'PG facts'!E128</x:f>
        <x:v>0</x:v>
      </x:c>
      <x:c r="M1791" s="8" t="n">
        <x:f>K1791-L1791</x:f>
        <x:v>1.75</x:v>
      </x:c>
      <x:c r="N1791" s="8" t="n">
        <x:f>M1791^2</x:f>
        <x:v>3.0625</x:v>
      </x:c>
      <x:c r="O1791" s="8" t="n">
        <x:f>ABS(M1791)</x:f>
        <x:v>1.75</x:v>
      </x:c>
      <x:c r="P1791" s="7" t="n">
        <x:v>45867</x:v>
      </x:c>
    </x:row>
    <x:row r="1792" ht="26" customHeight="1">
      <x:c r="A1792" s="2"/>
      <x:c r="B1792" s="2" t="n">
        <x:v>1787</x:v>
      </x:c>
      <x:c r="C1792" s="2" t="str">
        <x:v>Fabric &amp; Home Care / organic_volume_growth</x:v>
      </x:c>
      <x:c r="D1792" s="7" t="n">
        <x:v>45838</x:v>
      </x:c>
      <x:c r="E1792" s="2" t="str">
        <x:v>Origin</x:v>
      </x:c>
      <x:c r="F1792" s="7" t="n">
        <x:v>45748</x:v>
      </x:c>
      <x:c r="G1792" s="2" t="str">
        <x:v>Broad market</x:v>
      </x:c>
      <x:c r="H1792" s="8" t="n">
        <x:f>'Model fits'!AA1166</x:f>
        <x:v>0.20905538920242517</x:v>
      </x:c>
      <x:c r="I1792" s="8" t="n">
        <x:f>0</x:f>
        <x:v>0</x:v>
      </x:c>
      <x:c r="J1792" s="8" t="n">
        <x:v>0</x:v>
      </x:c>
      <x:c r="K1792" s="8" t="n">
        <x:f>H1792-I1792*J1792</x:f>
        <x:v>0.20905538920242517</x:v>
      </x:c>
      <x:c r="L1792" s="8" t="n">
        <x:f>'PG facts'!E128</x:f>
        <x:v>0</x:v>
      </x:c>
      <x:c r="M1792" s="8" t="n">
        <x:f>K1792-L1792</x:f>
        <x:v>0.20905538920242517</x:v>
      </x:c>
      <x:c r="N1792" s="8" t="n">
        <x:f>M1792^2</x:f>
        <x:v>0.043704155754577464</x:v>
      </x:c>
      <x:c r="O1792" s="8" t="n">
        <x:f>ABS(M1792)</x:f>
        <x:v>0.20905538920242517</x:v>
      </x:c>
      <x:c r="P1792" s="7" t="n">
        <x:v>45867</x:v>
      </x:c>
    </x:row>
    <x:row r="1793" ht="26" customHeight="1">
      <x:c r="A1793" s="2"/>
      <x:c r="B1793" s="2" t="n">
        <x:v>1788</x:v>
      </x:c>
      <x:c r="C1793" s="2" t="str">
        <x:v>Fabric &amp; Home Care / organic_volume_growth</x:v>
      </x:c>
      <x:c r="D1793" s="7" t="n">
        <x:v>45838</x:v>
      </x:c>
      <x:c r="E1793" s="2" t="str">
        <x:v>Origin</x:v>
      </x:c>
      <x:c r="F1793" s="7" t="n">
        <x:v>45748</x:v>
      </x:c>
      <x:c r="G1793" s="2" t="str">
        <x:v>Broad rolling 8</x:v>
      </x:c>
      <x:c r="H1793" s="8" t="n">
        <x:f>'Model fits'!AA1167</x:f>
        <x:v>2.5490610615560794</x:v>
      </x:c>
      <x:c r="I1793" s="8" t="n">
        <x:f>0</x:f>
        <x:v>0</x:v>
      </x:c>
      <x:c r="J1793" s="8" t="n">
        <x:v>0</x:v>
      </x:c>
      <x:c r="K1793" s="8" t="n">
        <x:f>H1793-I1793*J1793</x:f>
        <x:v>2.5490610615560794</x:v>
      </x:c>
      <x:c r="L1793" s="8" t="n">
        <x:f>'PG facts'!E128</x:f>
        <x:v>0</x:v>
      </x:c>
      <x:c r="M1793" s="8" t="n">
        <x:f>K1793-L1793</x:f>
        <x:v>2.5490610615560794</x:v>
      </x:c>
      <x:c r="N1793" s="8" t="n">
        <x:f>M1793^2</x:f>
        <x:v>6.497712295541406</x:v>
      </x:c>
      <x:c r="O1793" s="8" t="n">
        <x:f>ABS(M1793)</x:f>
        <x:v>2.5490610615560794</x:v>
      </x:c>
      <x:c r="P1793" s="7" t="n">
        <x:v>45867</x:v>
      </x:c>
    </x:row>
    <x:row r="1794" ht="26" customHeight="1">
      <x:c r="A1794" s="2"/>
      <x:c r="B1794" s="2" t="n">
        <x:v>1789</x:v>
      </x:c>
      <x:c r="C1794" s="2" t="str">
        <x:v>Fabric &amp; Home Care / organic_volume_growth</x:v>
      </x:c>
      <x:c r="D1794" s="7" t="n">
        <x:v>45838</x:v>
      </x:c>
      <x:c r="E1794" s="2" t="str">
        <x:v>Origin</x:v>
      </x:c>
      <x:c r="F1794" s="7" t="n">
        <x:v>45748</x:v>
      </x:c>
      <x:c r="G1794" s="2" t="str">
        <x:v>Own history</x:v>
      </x:c>
      <x:c r="H1794" s="8" t="n">
        <x:f>'Model fits'!AA1168</x:f>
        <x:v>0.6066666666666667</x:v>
      </x:c>
      <x:c r="I1794" s="8" t="n">
        <x:f>0</x:f>
        <x:v>0</x:v>
      </x:c>
      <x:c r="J1794" s="8" t="n">
        <x:v>0</x:v>
      </x:c>
      <x:c r="K1794" s="8" t="n">
        <x:f>H1794-I1794*J1794</x:f>
        <x:v>0.6066666666666667</x:v>
      </x:c>
      <x:c r="L1794" s="8" t="n">
        <x:f>'PG facts'!E128</x:f>
        <x:v>0</x:v>
      </x:c>
      <x:c r="M1794" s="8" t="n">
        <x:f>K1794-L1794</x:f>
        <x:v>0.6066666666666667</x:v>
      </x:c>
      <x:c r="N1794" s="8" t="n">
        <x:f>M1794^2</x:f>
        <x:v>0.36804444444444445</x:v>
      </x:c>
      <x:c r="O1794" s="8" t="n">
        <x:f>ABS(M1794)</x:f>
        <x:v>0.6066666666666667</x:v>
      </x:c>
      <x:c r="P1794" s="7" t="n">
        <x:v>45867</x:v>
      </x:c>
    </x:row>
    <x:row r="1795" ht="26" customHeight="1">
      <x:c r="A1795" s="2"/>
      <x:c r="B1795" s="2" t="n">
        <x:v>1790</x:v>
      </x:c>
      <x:c r="C1795" s="2" t="str">
        <x:v>Fabric &amp; Home Care / organic_volume_growth</x:v>
      </x:c>
      <x:c r="D1795" s="7" t="n">
        <x:v>45838</x:v>
      </x:c>
      <x:c r="E1795" s="2" t="str">
        <x:v>Prior report</x:v>
      </x:c>
      <x:c r="F1795" s="7" t="n">
        <x:v>45771</x:v>
      </x:c>
      <x:c r="G1795" s="2" t="str">
        <x:v>Last actual</x:v>
      </x:c>
      <x:c r="H1795" s="8" t="n">
        <x:f>AVERAGE('PG facts'!E121)</x:f>
        <x:v>0</x:v>
      </x:c>
      <x:c r="I1795" s="8" t="n">
        <x:f>0</x:f>
        <x:v>0</x:v>
      </x:c>
      <x:c r="J1795" s="8" t="n">
        <x:v>0</x:v>
      </x:c>
      <x:c r="K1795" s="8" t="n">
        <x:f>H1795-I1795*J1795</x:f>
        <x:v>0</x:v>
      </x:c>
      <x:c r="L1795" s="8" t="n">
        <x:f>'PG facts'!E128</x:f>
        <x:v>0</x:v>
      </x:c>
      <x:c r="M1795" s="8" t="n">
        <x:f>K1795-L1795</x:f>
        <x:v>0</x:v>
      </x:c>
      <x:c r="N1795" s="8" t="n">
        <x:f>M1795^2</x:f>
        <x:v>0</x:v>
      </x:c>
      <x:c r="O1795" s="8" t="n">
        <x:f>ABS(M1795)</x:f>
        <x:v>0</x:v>
      </x:c>
      <x:c r="P1795" s="7" t="n">
        <x:v>45867</x:v>
      </x:c>
    </x:row>
    <x:row r="1796" ht="26" customHeight="1">
      <x:c r="A1796" s="2"/>
      <x:c r="B1796" s="2" t="n">
        <x:v>1791</x:v>
      </x:c>
      <x:c r="C1796" s="2" t="str">
        <x:v>Fabric &amp; Home Care / organic_volume_growth</x:v>
      </x:c>
      <x:c r="D1796" s="7" t="n">
        <x:v>45838</x:v>
      </x:c>
      <x:c r="E1796" s="2" t="str">
        <x:v>Prior report</x:v>
      </x:c>
      <x:c r="F1796" s="7" t="n">
        <x:v>45771</x:v>
      </x:c>
      <x:c r="G1796" s="2" t="str">
        <x:v>Four-quarter mean</x:v>
      </x:c>
      <x:c r="H1796" s="8" t="n">
        <x:f>AVERAGE('PG facts'!E100,'PG facts'!E107,'PG facts'!E114,'PG facts'!E121)</x:f>
        <x:v>1.5</x:v>
      </x:c>
      <x:c r="I1796" s="8" t="n">
        <x:f>0</x:f>
        <x:v>0</x:v>
      </x:c>
      <x:c r="J1796" s="8" t="n">
        <x:v>0</x:v>
      </x:c>
      <x:c r="K1796" s="8" t="n">
        <x:f>H1796-I1796*J1796</x:f>
        <x:v>1.5</x:v>
      </x:c>
      <x:c r="L1796" s="8" t="n">
        <x:f>'PG facts'!E128</x:f>
        <x:v>0</x:v>
      </x:c>
      <x:c r="M1796" s="8" t="n">
        <x:f>K1796-L1796</x:f>
        <x:v>1.5</x:v>
      </x:c>
      <x:c r="N1796" s="8" t="n">
        <x:f>M1796^2</x:f>
        <x:v>2.25</x:v>
      </x:c>
      <x:c r="O1796" s="8" t="n">
        <x:f>ABS(M1796)</x:f>
        <x:v>1.5</x:v>
      </x:c>
      <x:c r="P1796" s="7" t="n">
        <x:v>45867</x:v>
      </x:c>
    </x:row>
    <x:row r="1797" ht="26" customHeight="1">
      <x:c r="A1797" s="2"/>
      <x:c r="B1797" s="2" t="n">
        <x:v>1792</x:v>
      </x:c>
      <x:c r="C1797" s="2" t="str">
        <x:v>Fabric &amp; Home Care / organic_volume_growth</x:v>
      </x:c>
      <x:c r="D1797" s="7" t="n">
        <x:v>45838</x:v>
      </x:c>
      <x:c r="E1797" s="2" t="str">
        <x:v>Prior report</x:v>
      </x:c>
      <x:c r="F1797" s="7" t="n">
        <x:v>45771</x:v>
      </x:c>
      <x:c r="G1797" s="2" t="str">
        <x:v>Broad market</x:v>
      </x:c>
      <x:c r="H1797" s="8" t="n">
        <x:f>'Model fits'!AA1169</x:f>
        <x:v>0.20905538920242517</x:v>
      </x:c>
      <x:c r="I1797" s="8" t="n">
        <x:f>0</x:f>
        <x:v>0</x:v>
      </x:c>
      <x:c r="J1797" s="8" t="n">
        <x:v>0</x:v>
      </x:c>
      <x:c r="K1797" s="8" t="n">
        <x:f>H1797-I1797*J1797</x:f>
        <x:v>0.20905538920242517</x:v>
      </x:c>
      <x:c r="L1797" s="8" t="n">
        <x:f>'PG facts'!E128</x:f>
        <x:v>0</x:v>
      </x:c>
      <x:c r="M1797" s="8" t="n">
        <x:f>K1797-L1797</x:f>
        <x:v>0.20905538920242517</x:v>
      </x:c>
      <x:c r="N1797" s="8" t="n">
        <x:f>M1797^2</x:f>
        <x:v>0.043704155754577464</x:v>
      </x:c>
      <x:c r="O1797" s="8" t="n">
        <x:f>ABS(M1797)</x:f>
        <x:v>0.20905538920242517</x:v>
      </x:c>
      <x:c r="P1797" s="7" t="n">
        <x:v>45867</x:v>
      </x:c>
    </x:row>
    <x:row r="1798" ht="26" customHeight="1">
      <x:c r="A1798" s="2"/>
      <x:c r="B1798" s="2" t="n">
        <x:v>1793</x:v>
      </x:c>
      <x:c r="C1798" s="2" t="str">
        <x:v>Fabric &amp; Home Care / organic_volume_growth</x:v>
      </x:c>
      <x:c r="D1798" s="7" t="n">
        <x:v>45838</x:v>
      </x:c>
      <x:c r="E1798" s="2" t="str">
        <x:v>Prior report</x:v>
      </x:c>
      <x:c r="F1798" s="7" t="n">
        <x:v>45771</x:v>
      </x:c>
      <x:c r="G1798" s="2" t="str">
        <x:v>Broad rolling 8</x:v>
      </x:c>
      <x:c r="H1798" s="8" t="n">
        <x:f>'Model fits'!AA1170</x:f>
        <x:v>2.5490610615560794</x:v>
      </x:c>
      <x:c r="I1798" s="8" t="n">
        <x:f>0</x:f>
        <x:v>0</x:v>
      </x:c>
      <x:c r="J1798" s="8" t="n">
        <x:v>0</x:v>
      </x:c>
      <x:c r="K1798" s="8" t="n">
        <x:f>H1798-I1798*J1798</x:f>
        <x:v>2.5490610615560794</x:v>
      </x:c>
      <x:c r="L1798" s="8" t="n">
        <x:f>'PG facts'!E128</x:f>
        <x:v>0</x:v>
      </x:c>
      <x:c r="M1798" s="8" t="n">
        <x:f>K1798-L1798</x:f>
        <x:v>2.5490610615560794</x:v>
      </x:c>
      <x:c r="N1798" s="8" t="n">
        <x:f>M1798^2</x:f>
        <x:v>6.497712295541406</x:v>
      </x:c>
      <x:c r="O1798" s="8" t="n">
        <x:f>ABS(M1798)</x:f>
        <x:v>2.5490610615560794</x:v>
      </x:c>
      <x:c r="P1798" s="7" t="n">
        <x:v>45867</x:v>
      </x:c>
    </x:row>
    <x:row r="1799" ht="26" customHeight="1">
      <x:c r="A1799" s="2"/>
      <x:c r="B1799" s="2" t="n">
        <x:v>1794</x:v>
      </x:c>
      <x:c r="C1799" s="2" t="str">
        <x:v>Fabric &amp; Home Care / organic_volume_growth</x:v>
      </x:c>
      <x:c r="D1799" s="7" t="n">
        <x:v>45838</x:v>
      </x:c>
      <x:c r="E1799" s="2" t="str">
        <x:v>Prior report</x:v>
      </x:c>
      <x:c r="F1799" s="7" t="n">
        <x:v>45771</x:v>
      </x:c>
      <x:c r="G1799" s="2" t="str">
        <x:v>Own history</x:v>
      </x:c>
      <x:c r="H1799" s="8" t="n">
        <x:f>'Model fits'!AA1171</x:f>
        <x:v>-0.04752791068580542</x:v>
      </x:c>
      <x:c r="I1799" s="8" t="n">
        <x:f>0</x:f>
        <x:v>0</x:v>
      </x:c>
      <x:c r="J1799" s="8" t="n">
        <x:v>0</x:v>
      </x:c>
      <x:c r="K1799" s="8" t="n">
        <x:f>H1799-I1799*J1799</x:f>
        <x:v>-0.04752791068580542</x:v>
      </x:c>
      <x:c r="L1799" s="8" t="n">
        <x:f>'PG facts'!E128</x:f>
        <x:v>0</x:v>
      </x:c>
      <x:c r="M1799" s="8" t="n">
        <x:f>K1799-L1799</x:f>
        <x:v>-0.04752791068580542</x:v>
      </x:c>
      <x:c r="N1799" s="8" t="n">
        <x:f>M1799^2</x:f>
        <x:v>0.002258902294157897</x:v>
      </x:c>
      <x:c r="O1799" s="8" t="n">
        <x:f>ABS(M1799)</x:f>
        <x:v>0.04752791068580542</x:v>
      </x:c>
      <x:c r="P1799" s="7" t="n">
        <x:v>45867</x:v>
      </x:c>
    </x:row>
    <x:row r="1800" ht="26" customHeight="1">
      <x:c r="A1800" s="2"/>
      <x:c r="B1800" s="2" t="n">
        <x:v>1795</x:v>
      </x:c>
      <x:c r="C1800" s="2" t="str">
        <x:v>Fabric &amp; Home Care / organic_volume_growth</x:v>
      </x:c>
      <x:c r="D1800" s="7" t="n">
        <x:v>45838</x:v>
      </x:c>
      <x:c r="E1800" s="2" t="str">
        <x:v>Pre-earnings</x:v>
      </x:c>
      <x:c r="F1800" s="7" t="n">
        <x:v>45866</x:v>
      </x:c>
      <x:c r="G1800" s="2" t="str">
        <x:v>Last actual</x:v>
      </x:c>
      <x:c r="H1800" s="8" t="n">
        <x:f>AVERAGE('PG facts'!E121)</x:f>
        <x:v>0</x:v>
      </x:c>
      <x:c r="I1800" s="8" t="n">
        <x:f>0</x:f>
        <x:v>0</x:v>
      </x:c>
      <x:c r="J1800" s="8" t="n">
        <x:v>0</x:v>
      </x:c>
      <x:c r="K1800" s="8" t="n">
        <x:f>H1800-I1800*J1800</x:f>
        <x:v>0</x:v>
      </x:c>
      <x:c r="L1800" s="8" t="n">
        <x:f>'PG facts'!E128</x:f>
        <x:v>0</x:v>
      </x:c>
      <x:c r="M1800" s="8" t="n">
        <x:f>K1800-L1800</x:f>
        <x:v>0</x:v>
      </x:c>
      <x:c r="N1800" s="8" t="n">
        <x:f>M1800^2</x:f>
        <x:v>0</x:v>
      </x:c>
      <x:c r="O1800" s="8" t="n">
        <x:f>ABS(M1800)</x:f>
        <x:v>0</x:v>
      </x:c>
      <x:c r="P1800" s="7" t="n">
        <x:v>45867</x:v>
      </x:c>
    </x:row>
    <x:row r="1801" ht="26" customHeight="1">
      <x:c r="A1801" s="2"/>
      <x:c r="B1801" s="2" t="n">
        <x:v>1796</x:v>
      </x:c>
      <x:c r="C1801" s="2" t="str">
        <x:v>Fabric &amp; Home Care / organic_volume_growth</x:v>
      </x:c>
      <x:c r="D1801" s="7" t="n">
        <x:v>45838</x:v>
      </x:c>
      <x:c r="E1801" s="2" t="str">
        <x:v>Pre-earnings</x:v>
      </x:c>
      <x:c r="F1801" s="7" t="n">
        <x:v>45866</x:v>
      </x:c>
      <x:c r="G1801" s="2" t="str">
        <x:v>Four-quarter mean</x:v>
      </x:c>
      <x:c r="H1801" s="8" t="n">
        <x:f>AVERAGE('PG facts'!E100,'PG facts'!E107,'PG facts'!E114,'PG facts'!E121)</x:f>
        <x:v>1.5</x:v>
      </x:c>
      <x:c r="I1801" s="8" t="n">
        <x:f>0</x:f>
        <x:v>0</x:v>
      </x:c>
      <x:c r="J1801" s="8" t="n">
        <x:v>0</x:v>
      </x:c>
      <x:c r="K1801" s="8" t="n">
        <x:f>H1801-I1801*J1801</x:f>
        <x:v>1.5</x:v>
      </x:c>
      <x:c r="L1801" s="8" t="n">
        <x:f>'PG facts'!E128</x:f>
        <x:v>0</x:v>
      </x:c>
      <x:c r="M1801" s="8" t="n">
        <x:f>K1801-L1801</x:f>
        <x:v>1.5</x:v>
      </x:c>
      <x:c r="N1801" s="8" t="n">
        <x:f>M1801^2</x:f>
        <x:v>2.25</x:v>
      </x:c>
      <x:c r="O1801" s="8" t="n">
        <x:f>ABS(M1801)</x:f>
        <x:v>1.5</x:v>
      </x:c>
      <x:c r="P1801" s="7" t="n">
        <x:v>45867</x:v>
      </x:c>
    </x:row>
    <x:row r="1802" ht="26" customHeight="1">
      <x:c r="A1802" s="2"/>
      <x:c r="B1802" s="2" t="n">
        <x:v>1797</x:v>
      </x:c>
      <x:c r="C1802" s="2" t="str">
        <x:v>Fabric &amp; Home Care / organic_volume_growth</x:v>
      </x:c>
      <x:c r="D1802" s="7" t="n">
        <x:v>45838</x:v>
      </x:c>
      <x:c r="E1802" s="2" t="str">
        <x:v>Pre-earnings</x:v>
      </x:c>
      <x:c r="F1802" s="7" t="n">
        <x:v>45866</x:v>
      </x:c>
      <x:c r="G1802" s="2" t="str">
        <x:v>Broad market</x:v>
      </x:c>
      <x:c r="H1802" s="8" t="n">
        <x:f>'Model fits'!AA1172</x:f>
        <x:v>0.4027567159697676</x:v>
      </x:c>
      <x:c r="I1802" s="8" t="n">
        <x:f>0</x:f>
        <x:v>0</x:v>
      </x:c>
      <x:c r="J1802" s="8" t="n">
        <x:v>0</x:v>
      </x:c>
      <x:c r="K1802" s="8" t="n">
        <x:f>H1802-I1802*J1802</x:f>
        <x:v>0.4027567159697676</x:v>
      </x:c>
      <x:c r="L1802" s="8" t="n">
        <x:f>'PG facts'!E128</x:f>
        <x:v>0</x:v>
      </x:c>
      <x:c r="M1802" s="8" t="n">
        <x:f>K1802-L1802</x:f>
        <x:v>0.4027567159697676</x:v>
      </x:c>
      <x:c r="N1802" s="8" t="n">
        <x:f>M1802^2</x:f>
        <x:v>0.16221297225875203</x:v>
      </x:c>
      <x:c r="O1802" s="8" t="n">
        <x:f>ABS(M1802)</x:f>
        <x:v>0.4027567159697676</x:v>
      </x:c>
      <x:c r="P1802" s="7" t="n">
        <x:v>45867</x:v>
      </x:c>
    </x:row>
    <x:row r="1803" ht="26" customHeight="1">
      <x:c r="A1803" s="2"/>
      <x:c r="B1803" s="2" t="n">
        <x:v>1798</x:v>
      </x:c>
      <x:c r="C1803" s="2" t="str">
        <x:v>Fabric &amp; Home Care / organic_volume_growth</x:v>
      </x:c>
      <x:c r="D1803" s="7" t="n">
        <x:v>45838</x:v>
      </x:c>
      <x:c r="E1803" s="2" t="str">
        <x:v>Pre-earnings</x:v>
      </x:c>
      <x:c r="F1803" s="7" t="n">
        <x:v>45866</x:v>
      </x:c>
      <x:c r="G1803" s="2" t="str">
        <x:v>Broad lag 1</x:v>
      </x:c>
      <x:c r="H1803" s="8" t="n">
        <x:f>'Model fits'!AA1173</x:f>
        <x:v>0.2488380436660329</x:v>
      </x:c>
      <x:c r="I1803" s="8" t="n">
        <x:f>0</x:f>
        <x:v>0</x:v>
      </x:c>
      <x:c r="J1803" s="8" t="n">
        <x:v>0</x:v>
      </x:c>
      <x:c r="K1803" s="8" t="n">
        <x:f>H1803-I1803*J1803</x:f>
        <x:v>0.2488380436660329</x:v>
      </x:c>
      <x:c r="L1803" s="8" t="n">
        <x:f>'PG facts'!E128</x:f>
        <x:v>0</x:v>
      </x:c>
      <x:c r="M1803" s="8" t="n">
        <x:f>K1803-L1803</x:f>
        <x:v>0.2488380436660329</x:v>
      </x:c>
      <x:c r="N1803" s="8" t="n">
        <x:f>M1803^2</x:f>
        <x:v>0.0619203719755385</x:v>
      </x:c>
      <x:c r="O1803" s="8" t="n">
        <x:f>ABS(M1803)</x:f>
        <x:v>0.2488380436660329</x:v>
      </x:c>
      <x:c r="P1803" s="7" t="n">
        <x:v>45867</x:v>
      </x:c>
    </x:row>
    <x:row r="1804" ht="26" customHeight="1">
      <x:c r="A1804" s="2"/>
      <x:c r="B1804" s="2" t="n">
        <x:v>1799</x:v>
      </x:c>
      <x:c r="C1804" s="2" t="str">
        <x:v>Fabric &amp; Home Care / organic_volume_growth</x:v>
      </x:c>
      <x:c r="D1804" s="7" t="n">
        <x:v>45838</x:v>
      </x:c>
      <x:c r="E1804" s="2" t="str">
        <x:v>Pre-earnings</x:v>
      </x:c>
      <x:c r="F1804" s="7" t="n">
        <x:v>45866</x:v>
      </x:c>
      <x:c r="G1804" s="2" t="str">
        <x:v>Broad rolling 8</x:v>
      </x:c>
      <x:c r="H1804" s="8" t="n">
        <x:f>'Model fits'!AA1174</x:f>
        <x:v>1.8360718337538935</x:v>
      </x:c>
      <x:c r="I1804" s="8" t="n">
        <x:f>0</x:f>
        <x:v>0</x:v>
      </x:c>
      <x:c r="J1804" s="8" t="n">
        <x:v>0</x:v>
      </x:c>
      <x:c r="K1804" s="8" t="n">
        <x:f>H1804-I1804*J1804</x:f>
        <x:v>1.8360718337538935</x:v>
      </x:c>
      <x:c r="L1804" s="8" t="n">
        <x:f>'PG facts'!E128</x:f>
        <x:v>0</x:v>
      </x:c>
      <x:c r="M1804" s="8" t="n">
        <x:f>K1804-L1804</x:f>
        <x:v>1.8360718337538935</x:v>
      </x:c>
      <x:c r="N1804" s="8" t="n">
        <x:f>M1804^2</x:f>
        <x:v>3.371159778704385</x:v>
      </x:c>
      <x:c r="O1804" s="8" t="n">
        <x:f>ABS(M1804)</x:f>
        <x:v>1.8360718337538935</x:v>
      </x:c>
      <x:c r="P1804" s="7" t="n">
        <x:v>45867</x:v>
      </x:c>
    </x:row>
    <x:row r="1805" ht="26" customHeight="1">
      <x:c r="A1805" s="2"/>
      <x:c r="B1805" s="2" t="n">
        <x:v>1800</x:v>
      </x:c>
      <x:c r="C1805" s="2" t="str">
        <x:v>Fabric &amp; Home Care / organic_volume_growth</x:v>
      </x:c>
      <x:c r="D1805" s="7" t="n">
        <x:v>45838</x:v>
      </x:c>
      <x:c r="E1805" s="2" t="str">
        <x:v>Pre-earnings</x:v>
      </x:c>
      <x:c r="F1805" s="7" t="n">
        <x:v>45866</x:v>
      </x:c>
      <x:c r="G1805" s="2" t="str">
        <x:v>Own history</x:v>
      </x:c>
      <x:c r="H1805" s="8" t="n">
        <x:f>'Model fits'!AA1175</x:f>
        <x:v>-0.04752791068580542</x:v>
      </x:c>
      <x:c r="I1805" s="8" t="n">
        <x:f>0</x:f>
        <x:v>0</x:v>
      </x:c>
      <x:c r="J1805" s="8" t="n">
        <x:v>0</x:v>
      </x:c>
      <x:c r="K1805" s="8" t="n">
        <x:f>H1805-I1805*J1805</x:f>
        <x:v>-0.04752791068580542</x:v>
      </x:c>
      <x:c r="L1805" s="8" t="n">
        <x:f>'PG facts'!E128</x:f>
        <x:v>0</x:v>
      </x:c>
      <x:c r="M1805" s="8" t="n">
        <x:f>K1805-L1805</x:f>
        <x:v>-0.04752791068580542</x:v>
      </x:c>
      <x:c r="N1805" s="8" t="n">
        <x:f>M1805^2</x:f>
        <x:v>0.002258902294157897</x:v>
      </x:c>
      <x:c r="O1805" s="8" t="n">
        <x:f>ABS(M1805)</x:f>
        <x:v>0.04752791068580542</x:v>
      </x:c>
      <x:c r="P1805" s="7" t="n">
        <x:v>45867</x:v>
      </x:c>
    </x:row>
    <x:row r="1806" ht="26" customHeight="1">
      <x:c r="A1806" s="2"/>
      <x:c r="B1806" s="2" t="n">
        <x:v>1801</x:v>
      </x:c>
      <x:c r="C1806" s="2" t="str">
        <x:v>Fabric &amp; Home Care / organic_volume_growth</x:v>
      </x:c>
      <x:c r="D1806" s="7" t="n">
        <x:v>45930</x:v>
      </x:c>
      <x:c r="E1806" s="2" t="str">
        <x:v>Origin</x:v>
      </x:c>
      <x:c r="F1806" s="7" t="n">
        <x:v>45839</x:v>
      </x:c>
      <x:c r="G1806" s="2" t="str">
        <x:v>Last actual</x:v>
      </x:c>
      <x:c r="H1806" s="8" t="n">
        <x:f>AVERAGE('PG facts'!E121)</x:f>
        <x:v>0</x:v>
      </x:c>
      <x:c r="I1806" s="8" t="n">
        <x:f>0</x:f>
        <x:v>0</x:v>
      </x:c>
      <x:c r="J1806" s="8" t="n">
        <x:v>0</x:v>
      </x:c>
      <x:c r="K1806" s="8" t="n">
        <x:f>H1806-I1806*J1806</x:f>
        <x:v>0</x:v>
      </x:c>
      <x:c r="L1806" s="8" t="n">
        <x:f>'PG facts'!E135</x:f>
        <x:v>-2</x:v>
      </x:c>
      <x:c r="M1806" s="8" t="n">
        <x:f>K1806-L1806</x:f>
        <x:v>2</x:v>
      </x:c>
      <x:c r="N1806" s="8" t="n">
        <x:f>M1806^2</x:f>
        <x:v>4</x:v>
      </x:c>
      <x:c r="O1806" s="8" t="n">
        <x:f>ABS(M1806)</x:f>
        <x:v>2</x:v>
      </x:c>
      <x:c r="P1806" s="7" t="n">
        <x:v>45954</x:v>
      </x:c>
    </x:row>
    <x:row r="1807" ht="26" customHeight="1">
      <x:c r="A1807" s="2"/>
      <x:c r="B1807" s="2" t="n">
        <x:v>1802</x:v>
      </x:c>
      <x:c r="C1807" s="2" t="str">
        <x:v>Fabric &amp; Home Care / organic_volume_growth</x:v>
      </x:c>
      <x:c r="D1807" s="7" t="n">
        <x:v>45930</x:v>
      </x:c>
      <x:c r="E1807" s="2" t="str">
        <x:v>Origin</x:v>
      </x:c>
      <x:c r="F1807" s="7" t="n">
        <x:v>45839</x:v>
      </x:c>
      <x:c r="G1807" s="2" t="str">
        <x:v>Four-quarter mean</x:v>
      </x:c>
      <x:c r="H1807" s="8" t="n">
        <x:f>AVERAGE('PG facts'!E100,'PG facts'!E107,'PG facts'!E114,'PG facts'!E121)</x:f>
        <x:v>1.5</x:v>
      </x:c>
      <x:c r="I1807" s="8" t="n">
        <x:f>0</x:f>
        <x:v>0</x:v>
      </x:c>
      <x:c r="J1807" s="8" t="n">
        <x:v>0</x:v>
      </x:c>
      <x:c r="K1807" s="8" t="n">
        <x:f>H1807-I1807*J1807</x:f>
        <x:v>1.5</x:v>
      </x:c>
      <x:c r="L1807" s="8" t="n">
        <x:f>'PG facts'!E135</x:f>
        <x:v>-2</x:v>
      </x:c>
      <x:c r="M1807" s="8" t="n">
        <x:f>K1807-L1807</x:f>
        <x:v>3.5</x:v>
      </x:c>
      <x:c r="N1807" s="8" t="n">
        <x:f>M1807^2</x:f>
        <x:v>12.25</x:v>
      </x:c>
      <x:c r="O1807" s="8" t="n">
        <x:f>ABS(M1807)</x:f>
        <x:v>3.5</x:v>
      </x:c>
      <x:c r="P1807" s="7" t="n">
        <x:v>45954</x:v>
      </x:c>
    </x:row>
    <x:row r="1808" ht="26" customHeight="1">
      <x:c r="A1808" s="2"/>
      <x:c r="B1808" s="2" t="n">
        <x:v>1803</x:v>
      </x:c>
      <x:c r="C1808" s="2" t="str">
        <x:v>Fabric &amp; Home Care / organic_volume_growth</x:v>
      </x:c>
      <x:c r="D1808" s="7" t="n">
        <x:v>45930</x:v>
      </x:c>
      <x:c r="E1808" s="2" t="str">
        <x:v>Origin</x:v>
      </x:c>
      <x:c r="F1808" s="7" t="n">
        <x:v>45839</x:v>
      </x:c>
      <x:c r="G1808" s="2" t="str">
        <x:v>Broad market</x:v>
      </x:c>
      <x:c r="H1808" s="8" t="n">
        <x:f>'Model fits'!AA1176</x:f>
        <x:v>0.38098954713942</x:v>
      </x:c>
      <x:c r="I1808" s="8" t="n">
        <x:f>0</x:f>
        <x:v>0</x:v>
      </x:c>
      <x:c r="J1808" s="8" t="n">
        <x:v>0</x:v>
      </x:c>
      <x:c r="K1808" s="8" t="n">
        <x:f>H1808-I1808*J1808</x:f>
        <x:v>0.38098954713942</x:v>
      </x:c>
      <x:c r="L1808" s="8" t="n">
        <x:f>'PG facts'!E135</x:f>
        <x:v>-2</x:v>
      </x:c>
      <x:c r="M1808" s="8" t="n">
        <x:f>K1808-L1808</x:f>
        <x:v>2.38098954713942</x:v>
      </x:c>
      <x:c r="N1808" s="8" t="n">
        <x:f>M1808^2</x:f>
        <x:v>5.669111223587181</x:v>
      </x:c>
      <x:c r="O1808" s="8" t="n">
        <x:f>ABS(M1808)</x:f>
        <x:v>2.38098954713942</x:v>
      </x:c>
      <x:c r="P1808" s="7" t="n">
        <x:v>45954</x:v>
      </x:c>
    </x:row>
    <x:row r="1809" ht="26" customHeight="1">
      <x:c r="A1809" s="2"/>
      <x:c r="B1809" s="2" t="n">
        <x:v>1804</x:v>
      </x:c>
      <x:c r="C1809" s="2" t="str">
        <x:v>Fabric &amp; Home Care / organic_volume_growth</x:v>
      </x:c>
      <x:c r="D1809" s="7" t="n">
        <x:v>45930</x:v>
      </x:c>
      <x:c r="E1809" s="2" t="str">
        <x:v>Origin</x:v>
      </x:c>
      <x:c r="F1809" s="7" t="n">
        <x:v>45839</x:v>
      </x:c>
      <x:c r="G1809" s="2" t="str">
        <x:v>Broad rolling 8</x:v>
      </x:c>
      <x:c r="H1809" s="8" t="n">
        <x:f>'Model fits'!AA1177</x:f>
        <x:v>1.7947755611783216</x:v>
      </x:c>
      <x:c r="I1809" s="8" t="n">
        <x:f>0</x:f>
        <x:v>0</x:v>
      </x:c>
      <x:c r="J1809" s="8" t="n">
        <x:v>0</x:v>
      </x:c>
      <x:c r="K1809" s="8" t="n">
        <x:f>H1809-I1809*J1809</x:f>
        <x:v>1.7947755611783216</x:v>
      </x:c>
      <x:c r="L1809" s="8" t="n">
        <x:f>'PG facts'!E135</x:f>
        <x:v>-2</x:v>
      </x:c>
      <x:c r="M1809" s="8" t="n">
        <x:f>K1809-L1809</x:f>
        <x:v>3.7947755611783216</x:v>
      </x:c>
      <x:c r="N1809" s="8" t="n">
        <x:f>M1809^2</x:f>
        <x:v>14.400321559716245</x:v>
      </x:c>
      <x:c r="O1809" s="8" t="n">
        <x:f>ABS(M1809)</x:f>
        <x:v>3.7947755611783216</x:v>
      </x:c>
      <x:c r="P1809" s="7" t="n">
        <x:v>45954</x:v>
      </x:c>
    </x:row>
    <x:row r="1810" ht="26" customHeight="1">
      <x:c r="A1810" s="2"/>
      <x:c r="B1810" s="2" t="n">
        <x:v>1805</x:v>
      </x:c>
      <x:c r="C1810" s="2" t="str">
        <x:v>Fabric &amp; Home Care / organic_volume_growth</x:v>
      </x:c>
      <x:c r="D1810" s="7" t="n">
        <x:v>45930</x:v>
      </x:c>
      <x:c r="E1810" s="2" t="str">
        <x:v>Origin</x:v>
      </x:c>
      <x:c r="F1810" s="7" t="n">
        <x:v>45839</x:v>
      </x:c>
      <x:c r="G1810" s="2" t="str">
        <x:v>Own history</x:v>
      </x:c>
      <x:c r="H1810" s="8" t="n">
        <x:f>'Model fits'!AA1178</x:f>
        <x:v>0.12413793103448278</x:v>
      </x:c>
      <x:c r="I1810" s="8" t="n">
        <x:f>0</x:f>
        <x:v>0</x:v>
      </x:c>
      <x:c r="J1810" s="8" t="n">
        <x:v>0</x:v>
      </x:c>
      <x:c r="K1810" s="8" t="n">
        <x:f>H1810-I1810*J1810</x:f>
        <x:v>0.12413793103448278</x:v>
      </x:c>
      <x:c r="L1810" s="8" t="n">
        <x:f>'PG facts'!E135</x:f>
        <x:v>-2</x:v>
      </x:c>
      <x:c r="M1810" s="8" t="n">
        <x:f>K1810-L1810</x:f>
        <x:v>2.1241379310344826</x:v>
      </x:c>
      <x:c r="N1810" s="8" t="n">
        <x:f>M1810^2</x:f>
        <x:v>4.511961950059452</x:v>
      </x:c>
      <x:c r="O1810" s="8" t="n">
        <x:f>ABS(M1810)</x:f>
        <x:v>2.1241379310344826</x:v>
      </x:c>
      <x:c r="P1810" s="7" t="n">
        <x:v>45954</x:v>
      </x:c>
    </x:row>
    <x:row r="1811" ht="26" customHeight="1">
      <x:c r="A1811" s="2"/>
      <x:c r="B1811" s="2" t="n">
        <x:v>1806</x:v>
      </x:c>
      <x:c r="C1811" s="2" t="str">
        <x:v>Fabric &amp; Home Care / organic_volume_growth</x:v>
      </x:c>
      <x:c r="D1811" s="7" t="n">
        <x:v>45930</x:v>
      </x:c>
      <x:c r="E1811" s="2" t="str">
        <x:v>Prior report</x:v>
      </x:c>
      <x:c r="F1811" s="7" t="n">
        <x:v>45867</x:v>
      </x:c>
      <x:c r="G1811" s="2" t="str">
        <x:v>Last actual</x:v>
      </x:c>
      <x:c r="H1811" s="8" t="n">
        <x:f>AVERAGE('PG facts'!E128)</x:f>
        <x:v>0</x:v>
      </x:c>
      <x:c r="I1811" s="8" t="n">
        <x:f>0</x:f>
        <x:v>0</x:v>
      </x:c>
      <x:c r="J1811" s="8" t="n">
        <x:v>0</x:v>
      </x:c>
      <x:c r="K1811" s="8" t="n">
        <x:f>H1811-I1811*J1811</x:f>
        <x:v>0</x:v>
      </x:c>
      <x:c r="L1811" s="8" t="n">
        <x:f>'PG facts'!E135</x:f>
        <x:v>-2</x:v>
      </x:c>
      <x:c r="M1811" s="8" t="n">
        <x:f>K1811-L1811</x:f>
        <x:v>2</x:v>
      </x:c>
      <x:c r="N1811" s="8" t="n">
        <x:f>M1811^2</x:f>
        <x:v>4</x:v>
      </x:c>
      <x:c r="O1811" s="8" t="n">
        <x:f>ABS(M1811)</x:f>
        <x:v>2</x:v>
      </x:c>
      <x:c r="P1811" s="7" t="n">
        <x:v>45954</x:v>
      </x:c>
    </x:row>
    <x:row r="1812" ht="26" customHeight="1">
      <x:c r="A1812" s="2"/>
      <x:c r="B1812" s="2" t="n">
        <x:v>1807</x:v>
      </x:c>
      <x:c r="C1812" s="2" t="str">
        <x:v>Fabric &amp; Home Care / organic_volume_growth</x:v>
      </x:c>
      <x:c r="D1812" s="7" t="n">
        <x:v>45930</x:v>
      </x:c>
      <x:c r="E1812" s="2" t="str">
        <x:v>Prior report</x:v>
      </x:c>
      <x:c r="F1812" s="7" t="n">
        <x:v>45867</x:v>
      </x:c>
      <x:c r="G1812" s="2" t="str">
        <x:v>Four-quarter mean</x:v>
      </x:c>
      <x:c r="H1812" s="8" t="n">
        <x:f>AVERAGE('PG facts'!E107,'PG facts'!E114,'PG facts'!E121,'PG facts'!E128)</x:f>
        <x:v>0.75</x:v>
      </x:c>
      <x:c r="I1812" s="8" t="n">
        <x:f>0</x:f>
        <x:v>0</x:v>
      </x:c>
      <x:c r="J1812" s="8" t="n">
        <x:v>0</x:v>
      </x:c>
      <x:c r="K1812" s="8" t="n">
        <x:f>H1812-I1812*J1812</x:f>
        <x:v>0.75</x:v>
      </x:c>
      <x:c r="L1812" s="8" t="n">
        <x:f>'PG facts'!E135</x:f>
        <x:v>-2</x:v>
      </x:c>
      <x:c r="M1812" s="8" t="n">
        <x:f>K1812-L1812</x:f>
        <x:v>2.75</x:v>
      </x:c>
      <x:c r="N1812" s="8" t="n">
        <x:f>M1812^2</x:f>
        <x:v>7.5625</x:v>
      </x:c>
      <x:c r="O1812" s="8" t="n">
        <x:f>ABS(M1812)</x:f>
        <x:v>2.75</x:v>
      </x:c>
      <x:c r="P1812" s="7" t="n">
        <x:v>45954</x:v>
      </x:c>
    </x:row>
    <x:row r="1813" ht="26" customHeight="1">
      <x:c r="A1813" s="2"/>
      <x:c r="B1813" s="2" t="n">
        <x:v>1808</x:v>
      </x:c>
      <x:c r="C1813" s="2" t="str">
        <x:v>Fabric &amp; Home Care / organic_volume_growth</x:v>
      </x:c>
      <x:c r="D1813" s="7" t="n">
        <x:v>45930</x:v>
      </x:c>
      <x:c r="E1813" s="2" t="str">
        <x:v>Prior report</x:v>
      </x:c>
      <x:c r="F1813" s="7" t="n">
        <x:v>45867</x:v>
      </x:c>
      <x:c r="G1813" s="2" t="str">
        <x:v>Broad market</x:v>
      </x:c>
      <x:c r="H1813" s="8" t="n">
        <x:f>'Model fits'!AA1179</x:f>
        <x:v>0.38098954713942</x:v>
      </x:c>
      <x:c r="I1813" s="8" t="n">
        <x:f>0</x:f>
        <x:v>0</x:v>
      </x:c>
      <x:c r="J1813" s="8" t="n">
        <x:v>0</x:v>
      </x:c>
      <x:c r="K1813" s="8" t="n">
        <x:f>H1813-I1813*J1813</x:f>
        <x:v>0.38098954713942</x:v>
      </x:c>
      <x:c r="L1813" s="8" t="n">
        <x:f>'PG facts'!E135</x:f>
        <x:v>-2</x:v>
      </x:c>
      <x:c r="M1813" s="8" t="n">
        <x:f>K1813-L1813</x:f>
        <x:v>2.38098954713942</x:v>
      </x:c>
      <x:c r="N1813" s="8" t="n">
        <x:f>M1813^2</x:f>
        <x:v>5.669111223587181</x:v>
      </x:c>
      <x:c r="O1813" s="8" t="n">
        <x:f>ABS(M1813)</x:f>
        <x:v>2.38098954713942</x:v>
      </x:c>
      <x:c r="P1813" s="7" t="n">
        <x:v>45954</x:v>
      </x:c>
    </x:row>
    <x:row r="1814" ht="26" customHeight="1">
      <x:c r="A1814" s="2"/>
      <x:c r="B1814" s="2" t="n">
        <x:v>1809</x:v>
      </x:c>
      <x:c r="C1814" s="2" t="str">
        <x:v>Fabric &amp; Home Care / organic_volume_growth</x:v>
      </x:c>
      <x:c r="D1814" s="7" t="n">
        <x:v>45930</x:v>
      </x:c>
      <x:c r="E1814" s="2" t="str">
        <x:v>Prior report</x:v>
      </x:c>
      <x:c r="F1814" s="7" t="n">
        <x:v>45867</x:v>
      </x:c>
      <x:c r="G1814" s="2" t="str">
        <x:v>Broad rolling 8</x:v>
      </x:c>
      <x:c r="H1814" s="8" t="n">
        <x:f>'Model fits'!AA1180</x:f>
        <x:v>1.7947755611783216</x:v>
      </x:c>
      <x:c r="I1814" s="8" t="n">
        <x:f>0</x:f>
        <x:v>0</x:v>
      </x:c>
      <x:c r="J1814" s="8" t="n">
        <x:v>0</x:v>
      </x:c>
      <x:c r="K1814" s="8" t="n">
        <x:f>H1814-I1814*J1814</x:f>
        <x:v>1.7947755611783216</x:v>
      </x:c>
      <x:c r="L1814" s="8" t="n">
        <x:f>'PG facts'!E135</x:f>
        <x:v>-2</x:v>
      </x:c>
      <x:c r="M1814" s="8" t="n">
        <x:f>K1814-L1814</x:f>
        <x:v>3.7947755611783216</x:v>
      </x:c>
      <x:c r="N1814" s="8" t="n">
        <x:f>M1814^2</x:f>
        <x:v>14.400321559716245</x:v>
      </x:c>
      <x:c r="O1814" s="8" t="n">
        <x:f>ABS(M1814)</x:f>
        <x:v>3.7947755611783216</x:v>
      </x:c>
      <x:c r="P1814" s="7" t="n">
        <x:v>45954</x:v>
      </x:c>
    </x:row>
    <x:row r="1815" ht="26" customHeight="1">
      <x:c r="A1815" s="2"/>
      <x:c r="B1815" s="2" t="n">
        <x:v>1810</x:v>
      </x:c>
      <x:c r="C1815" s="2" t="str">
        <x:v>Fabric &amp; Home Care / organic_volume_growth</x:v>
      </x:c>
      <x:c r="D1815" s="7" t="n">
        <x:v>45930</x:v>
      </x:c>
      <x:c r="E1815" s="2" t="str">
        <x:v>Prior report</x:v>
      </x:c>
      <x:c r="F1815" s="7" t="n">
        <x:v>45867</x:v>
      </x:c>
      <x:c r="G1815" s="2" t="str">
        <x:v>Own history</x:v>
      </x:c>
      <x:c r="H1815" s="8" t="n">
        <x:f>'Model fits'!AA1181</x:f>
        <x:v>-0.04469106178764243</x:v>
      </x:c>
      <x:c r="I1815" s="8" t="n">
        <x:f>0</x:f>
        <x:v>0</x:v>
      </x:c>
      <x:c r="J1815" s="8" t="n">
        <x:v>0</x:v>
      </x:c>
      <x:c r="K1815" s="8" t="n">
        <x:f>H1815-I1815*J1815</x:f>
        <x:v>-0.04469106178764243</x:v>
      </x:c>
      <x:c r="L1815" s="8" t="n">
        <x:f>'PG facts'!E135</x:f>
        <x:v>-2</x:v>
      </x:c>
      <x:c r="M1815" s="8" t="n">
        <x:f>K1815-L1815</x:f>
        <x:v>1.9553089382123576</x:v>
      </x:c>
      <x:c r="N1815" s="8" t="n">
        <x:f>M1815^2</x:f>
        <x:v>3.8232330438531372</x:v>
      </x:c>
      <x:c r="O1815" s="8" t="n">
        <x:f>ABS(M1815)</x:f>
        <x:v>1.9553089382123576</x:v>
      </x:c>
      <x:c r="P1815" s="7" t="n">
        <x:v>45954</x:v>
      </x:c>
    </x:row>
    <x:row r="1816" ht="26" customHeight="1">
      <x:c r="A1816" s="2"/>
      <x:c r="B1816" s="2" t="n">
        <x:v>1811</x:v>
      </x:c>
      <x:c r="C1816" s="2" t="str">
        <x:v>Fabric &amp; Home Care / organic_volume_growth</x:v>
      </x:c>
      <x:c r="D1816" s="7" t="n">
        <x:v>45930</x:v>
      </x:c>
      <x:c r="E1816" s="2" t="str">
        <x:v>Pre-earnings</x:v>
      </x:c>
      <x:c r="F1816" s="7" t="n">
        <x:v>45953</x:v>
      </x:c>
      <x:c r="G1816" s="2" t="str">
        <x:v>Last actual</x:v>
      </x:c>
      <x:c r="H1816" s="8" t="n">
        <x:f>AVERAGE('PG facts'!E128)</x:f>
        <x:v>0</x:v>
      </x:c>
      <x:c r="I1816" s="8" t="n">
        <x:f>0</x:f>
        <x:v>0</x:v>
      </x:c>
      <x:c r="J1816" s="8" t="n">
        <x:v>0</x:v>
      </x:c>
      <x:c r="K1816" s="8" t="n">
        <x:f>H1816-I1816*J1816</x:f>
        <x:v>0</x:v>
      </x:c>
      <x:c r="L1816" s="8" t="n">
        <x:f>'PG facts'!E135</x:f>
        <x:v>-2</x:v>
      </x:c>
      <x:c r="M1816" s="8" t="n">
        <x:f>K1816-L1816</x:f>
        <x:v>2</x:v>
      </x:c>
      <x:c r="N1816" s="8" t="n">
        <x:f>M1816^2</x:f>
        <x:v>4</x:v>
      </x:c>
      <x:c r="O1816" s="8" t="n">
        <x:f>ABS(M1816)</x:f>
        <x:v>2</x:v>
      </x:c>
      <x:c r="P1816" s="7" t="n">
        <x:v>45954</x:v>
      </x:c>
    </x:row>
    <x:row r="1817" ht="26" customHeight="1">
      <x:c r="A1817" s="2"/>
      <x:c r="B1817" s="2" t="n">
        <x:v>1812</x:v>
      </x:c>
      <x:c r="C1817" s="2" t="str">
        <x:v>Fabric &amp; Home Care / organic_volume_growth</x:v>
      </x:c>
      <x:c r="D1817" s="7" t="n">
        <x:v>45930</x:v>
      </x:c>
      <x:c r="E1817" s="2" t="str">
        <x:v>Pre-earnings</x:v>
      </x:c>
      <x:c r="F1817" s="7" t="n">
        <x:v>45953</x:v>
      </x:c>
      <x:c r="G1817" s="2" t="str">
        <x:v>Four-quarter mean</x:v>
      </x:c>
      <x:c r="H1817" s="8" t="n">
        <x:f>AVERAGE('PG facts'!E107,'PG facts'!E114,'PG facts'!E121,'PG facts'!E128)</x:f>
        <x:v>0.75</x:v>
      </x:c>
      <x:c r="I1817" s="8" t="n">
        <x:f>0</x:f>
        <x:v>0</x:v>
      </x:c>
      <x:c r="J1817" s="8" t="n">
        <x:v>0</x:v>
      </x:c>
      <x:c r="K1817" s="8" t="n">
        <x:f>H1817-I1817*J1817</x:f>
        <x:v>0.75</x:v>
      </x:c>
      <x:c r="L1817" s="8" t="n">
        <x:f>'PG facts'!E135</x:f>
        <x:v>-2</x:v>
      </x:c>
      <x:c r="M1817" s="8" t="n">
        <x:f>K1817-L1817</x:f>
        <x:v>2.75</x:v>
      </x:c>
      <x:c r="N1817" s="8" t="n">
        <x:f>M1817^2</x:f>
        <x:v>7.5625</x:v>
      </x:c>
      <x:c r="O1817" s="8" t="n">
        <x:f>ABS(M1817)</x:f>
        <x:v>2.75</x:v>
      </x:c>
      <x:c r="P1817" s="7" t="n">
        <x:v>45954</x:v>
      </x:c>
    </x:row>
    <x:row r="1818" ht="26" customHeight="1">
      <x:c r="A1818" s="2"/>
      <x:c r="B1818" s="2" t="n">
        <x:v>1813</x:v>
      </x:c>
      <x:c r="C1818" s="2" t="str">
        <x:v>Fabric &amp; Home Care / organic_volume_growth</x:v>
      </x:c>
      <x:c r="D1818" s="7" t="n">
        <x:v>45930</x:v>
      </x:c>
      <x:c r="E1818" s="2" t="str">
        <x:v>Pre-earnings</x:v>
      </x:c>
      <x:c r="F1818" s="7" t="n">
        <x:v>45953</x:v>
      </x:c>
      <x:c r="G1818" s="2" t="str">
        <x:v>Broad market</x:v>
      </x:c>
      <x:c r="H1818" s="8" t="n">
        <x:f>'Model fits'!AA1182</x:f>
        <x:v>0.5390946832161896</x:v>
      </x:c>
      <x:c r="I1818" s="8" t="n">
        <x:f>0</x:f>
        <x:v>0</x:v>
      </x:c>
      <x:c r="J1818" s="8" t="n">
        <x:v>0</x:v>
      </x:c>
      <x:c r="K1818" s="8" t="n">
        <x:f>H1818-I1818*J1818</x:f>
        <x:v>0.5390946832161896</x:v>
      </x:c>
      <x:c r="L1818" s="8" t="n">
        <x:f>'PG facts'!E135</x:f>
        <x:v>-2</x:v>
      </x:c>
      <x:c r="M1818" s="8" t="n">
        <x:f>K1818-L1818</x:f>
        <x:v>2.53909468321619</x:v>
      </x:c>
      <x:c r="N1818" s="8" t="n">
        <x:f>M1818^2</x:f>
        <x:v>6.447001810336723</x:v>
      </x:c>
      <x:c r="O1818" s="8" t="n">
        <x:f>ABS(M1818)</x:f>
        <x:v>2.53909468321619</x:v>
      </x:c>
      <x:c r="P1818" s="7" t="n">
        <x:v>45954</x:v>
      </x:c>
    </x:row>
    <x:row r="1819" ht="26" customHeight="1">
      <x:c r="A1819" s="2"/>
      <x:c r="B1819" s="2" t="n">
        <x:v>1814</x:v>
      </x:c>
      <x:c r="C1819" s="2" t="str">
        <x:v>Fabric &amp; Home Care / organic_volume_growth</x:v>
      </x:c>
      <x:c r="D1819" s="7" t="n">
        <x:v>45930</x:v>
      </x:c>
      <x:c r="E1819" s="2" t="str">
        <x:v>Pre-earnings</x:v>
      </x:c>
      <x:c r="F1819" s="7" t="n">
        <x:v>45953</x:v>
      </x:c>
      <x:c r="G1819" s="2" t="str">
        <x:v>Broad lag 1</x:v>
      </x:c>
      <x:c r="H1819" s="8" t="n">
        <x:f>'Model fits'!AA1183</x:f>
        <x:v>0.3656877777610843</x:v>
      </x:c>
      <x:c r="I1819" s="8" t="n">
        <x:f>0</x:f>
        <x:v>0</x:v>
      </x:c>
      <x:c r="J1819" s="8" t="n">
        <x:v>0</x:v>
      </x:c>
      <x:c r="K1819" s="8" t="n">
        <x:f>H1819-I1819*J1819</x:f>
        <x:v>0.3656877777610843</x:v>
      </x:c>
      <x:c r="L1819" s="8" t="n">
        <x:f>'PG facts'!E135</x:f>
        <x:v>-2</x:v>
      </x:c>
      <x:c r="M1819" s="8" t="n">
        <x:f>K1819-L1819</x:f>
        <x:v>2.3656877777610843</x:v>
      </x:c>
      <x:c r="N1819" s="8" t="n">
        <x:f>M1819^2</x:f>
        <x:v>5.596478661848177</x:v>
      </x:c>
      <x:c r="O1819" s="8" t="n">
        <x:f>ABS(M1819)</x:f>
        <x:v>2.3656877777610843</x:v>
      </x:c>
      <x:c r="P1819" s="7" t="n">
        <x:v>45954</x:v>
      </x:c>
    </x:row>
    <x:row r="1820" ht="26" customHeight="1">
      <x:c r="A1820" s="2"/>
      <x:c r="B1820" s="2" t="n">
        <x:v>1815</x:v>
      </x:c>
      <x:c r="C1820" s="2" t="str">
        <x:v>Fabric &amp; Home Care / organic_volume_growth</x:v>
      </x:c>
      <x:c r="D1820" s="7" t="n">
        <x:v>45930</x:v>
      </x:c>
      <x:c r="E1820" s="2" t="str">
        <x:v>Pre-earnings</x:v>
      </x:c>
      <x:c r="F1820" s="7" t="n">
        <x:v>45953</x:v>
      </x:c>
      <x:c r="G1820" s="2" t="str">
        <x:v>Broad rolling 8</x:v>
      </x:c>
      <x:c r="H1820" s="8" t="n">
        <x:f>'Model fits'!AA1184</x:f>
        <x:v>0.8670630475807619</x:v>
      </x:c>
      <x:c r="I1820" s="8" t="n">
        <x:f>0</x:f>
        <x:v>0</x:v>
      </x:c>
      <x:c r="J1820" s="8" t="n">
        <x:v>0</x:v>
      </x:c>
      <x:c r="K1820" s="8" t="n">
        <x:f>H1820-I1820*J1820</x:f>
        <x:v>0.8670630475807619</x:v>
      </x:c>
      <x:c r="L1820" s="8" t="n">
        <x:f>'PG facts'!E135</x:f>
        <x:v>-2</x:v>
      </x:c>
      <x:c r="M1820" s="8" t="n">
        <x:f>K1820-L1820</x:f>
        <x:v>2.867063047580762</x:v>
      </x:c>
      <x:c r="N1820" s="8" t="n">
        <x:f>M1820^2</x:f>
        <x:v>8.220050518803086</x:v>
      </x:c>
      <x:c r="O1820" s="8" t="n">
        <x:f>ABS(M1820)</x:f>
        <x:v>2.867063047580762</x:v>
      </x:c>
      <x:c r="P1820" s="7" t="n">
        <x:v>45954</x:v>
      </x:c>
    </x:row>
    <x:row r="1821" ht="26" customHeight="1">
      <x:c r="A1821" s="2"/>
      <x:c r="B1821" s="2" t="n">
        <x:v>1816</x:v>
      </x:c>
      <x:c r="C1821" s="2" t="str">
        <x:v>Fabric &amp; Home Care / organic_volume_growth</x:v>
      </x:c>
      <x:c r="D1821" s="7" t="n">
        <x:v>45930</x:v>
      </x:c>
      <x:c r="E1821" s="2" t="str">
        <x:v>Pre-earnings</x:v>
      </x:c>
      <x:c r="F1821" s="7" t="n">
        <x:v>45953</x:v>
      </x:c>
      <x:c r="G1821" s="2" t="str">
        <x:v>Own history</x:v>
      </x:c>
      <x:c r="H1821" s="8" t="n">
        <x:f>'Model fits'!AA1185</x:f>
        <x:v>-0.04469106178764243</x:v>
      </x:c>
      <x:c r="I1821" s="8" t="n">
        <x:f>0</x:f>
        <x:v>0</x:v>
      </x:c>
      <x:c r="J1821" s="8" t="n">
        <x:v>0</x:v>
      </x:c>
      <x:c r="K1821" s="8" t="n">
        <x:f>H1821-I1821*J1821</x:f>
        <x:v>-0.04469106178764243</x:v>
      </x:c>
      <x:c r="L1821" s="8" t="n">
        <x:f>'PG facts'!E135</x:f>
        <x:v>-2</x:v>
      </x:c>
      <x:c r="M1821" s="8" t="n">
        <x:f>K1821-L1821</x:f>
        <x:v>1.9553089382123576</x:v>
      </x:c>
      <x:c r="N1821" s="8" t="n">
        <x:f>M1821^2</x:f>
        <x:v>3.8232330438531372</x:v>
      </x:c>
      <x:c r="O1821" s="8" t="n">
        <x:f>ABS(M1821)</x:f>
        <x:v>1.9553089382123576</x:v>
      </x:c>
      <x:c r="P1821" s="7" t="n">
        <x:v>45954</x:v>
      </x:c>
    </x:row>
    <x:row r="1822" ht="26" customHeight="1">
      <x:c r="A1822" s="2"/>
      <x:c r="B1822" s="2" t="n">
        <x:v>1817</x:v>
      </x:c>
      <x:c r="C1822" s="2" t="str">
        <x:v>Fabric &amp; Home Care / organic_volume_growth</x:v>
      </x:c>
      <x:c r="D1822" s="7" t="n">
        <x:v>46022</x:v>
      </x:c>
      <x:c r="E1822" s="2" t="str">
        <x:v>Origin</x:v>
      </x:c>
      <x:c r="F1822" s="7" t="n">
        <x:v>45931</x:v>
      </x:c>
      <x:c r="G1822" s="2" t="str">
        <x:v>Last actual</x:v>
      </x:c>
      <x:c r="H1822" s="8" t="n">
        <x:f>AVERAGE('PG facts'!E128)</x:f>
        <x:v>0</x:v>
      </x:c>
      <x:c r="I1822" s="8" t="n">
        <x:f>0</x:f>
        <x:v>0</x:v>
      </x:c>
      <x:c r="J1822" s="8" t="n">
        <x:v>0</x:v>
      </x:c>
      <x:c r="K1822" s="8" t="n">
        <x:f>H1822-I1822*J1822</x:f>
        <x:v>0</x:v>
      </x:c>
      <x:c r="L1822" s="8" t="n">
        <x:f>'PG facts'!E142</x:f>
        <x:v>0</x:v>
      </x:c>
      <x:c r="M1822" s="8" t="n">
        <x:f>K1822-L1822</x:f>
        <x:v>0</x:v>
      </x:c>
      <x:c r="N1822" s="8" t="n">
        <x:f>M1822^2</x:f>
        <x:v>0</x:v>
      </x:c>
      <x:c r="O1822" s="8" t="n">
        <x:f>ABS(M1822)</x:f>
        <x:v>0</x:v>
      </x:c>
      <x:c r="P1822" s="7" t="n">
        <x:v>46045</x:v>
      </x:c>
    </x:row>
    <x:row r="1823" ht="26" customHeight="1">
      <x:c r="A1823" s="2"/>
      <x:c r="B1823" s="2" t="n">
        <x:v>1818</x:v>
      </x:c>
      <x:c r="C1823" s="2" t="str">
        <x:v>Fabric &amp; Home Care / organic_volume_growth</x:v>
      </x:c>
      <x:c r="D1823" s="7" t="n">
        <x:v>46022</x:v>
      </x:c>
      <x:c r="E1823" s="2" t="str">
        <x:v>Origin</x:v>
      </x:c>
      <x:c r="F1823" s="7" t="n">
        <x:v>45931</x:v>
      </x:c>
      <x:c r="G1823" s="2" t="str">
        <x:v>Four-quarter mean</x:v>
      </x:c>
      <x:c r="H1823" s="8" t="n">
        <x:f>AVERAGE('PG facts'!E107,'PG facts'!E114,'PG facts'!E121,'PG facts'!E128)</x:f>
        <x:v>0.75</x:v>
      </x:c>
      <x:c r="I1823" s="8" t="n">
        <x:f>0</x:f>
        <x:v>0</x:v>
      </x:c>
      <x:c r="J1823" s="8" t="n">
        <x:v>0</x:v>
      </x:c>
      <x:c r="K1823" s="8" t="n">
        <x:f>H1823-I1823*J1823</x:f>
        <x:v>0.75</x:v>
      </x:c>
      <x:c r="L1823" s="8" t="n">
        <x:f>'PG facts'!E142</x:f>
        <x:v>0</x:v>
      </x:c>
      <x:c r="M1823" s="8" t="n">
        <x:f>K1823-L1823</x:f>
        <x:v>0.75</x:v>
      </x:c>
      <x:c r="N1823" s="8" t="n">
        <x:f>M1823^2</x:f>
        <x:v>0.5625</x:v>
      </x:c>
      <x:c r="O1823" s="8" t="n">
        <x:f>ABS(M1823)</x:f>
        <x:v>0.75</x:v>
      </x:c>
      <x:c r="P1823" s="7" t="n">
        <x:v>46045</x:v>
      </x:c>
    </x:row>
    <x:row r="1824" ht="26" customHeight="1">
      <x:c r="A1824" s="2"/>
      <x:c r="B1824" s="2" t="n">
        <x:v>1819</x:v>
      </x:c>
      <x:c r="C1824" s="2" t="str">
        <x:v>Fabric &amp; Home Care / organic_volume_growth</x:v>
      </x:c>
      <x:c r="D1824" s="7" t="n">
        <x:v>46022</x:v>
      </x:c>
      <x:c r="E1824" s="2" t="str">
        <x:v>Origin</x:v>
      </x:c>
      <x:c r="F1824" s="7" t="n">
        <x:v>45931</x:v>
      </x:c>
      <x:c r="G1824" s="2" t="str">
        <x:v>Broad market</x:v>
      </x:c>
      <x:c r="H1824" s="8" t="n">
        <x:f>'Model fits'!AA1186</x:f>
        <x:v>0.5450227734242521</x:v>
      </x:c>
      <x:c r="I1824" s="8" t="n">
        <x:f>0</x:f>
        <x:v>0</x:v>
      </x:c>
      <x:c r="J1824" s="8" t="n">
        <x:v>0</x:v>
      </x:c>
      <x:c r="K1824" s="8" t="n">
        <x:f>H1824-I1824*J1824</x:f>
        <x:v>0.5450227734242521</x:v>
      </x:c>
      <x:c r="L1824" s="8" t="n">
        <x:f>'PG facts'!E142</x:f>
        <x:v>0</x:v>
      </x:c>
      <x:c r="M1824" s="8" t="n">
        <x:f>K1824-L1824</x:f>
        <x:v>0.5450227734242521</x:v>
      </x:c>
      <x:c r="N1824" s="8" t="n">
        <x:f>M1824^2</x:f>
        <x:v>0.29704982355106363</x:v>
      </x:c>
      <x:c r="O1824" s="8" t="n">
        <x:f>ABS(M1824)</x:f>
        <x:v>0.5450227734242521</x:v>
      </x:c>
      <x:c r="P1824" s="7" t="n">
        <x:v>46045</x:v>
      </x:c>
    </x:row>
    <x:row r="1825" ht="26" customHeight="1">
      <x:c r="A1825" s="2"/>
      <x:c r="B1825" s="2" t="n">
        <x:v>1820</x:v>
      </x:c>
      <x:c r="C1825" s="2" t="str">
        <x:v>Fabric &amp; Home Care / organic_volume_growth</x:v>
      </x:c>
      <x:c r="D1825" s="7" t="n">
        <x:v>46022</x:v>
      </x:c>
      <x:c r="E1825" s="2" t="str">
        <x:v>Origin</x:v>
      </x:c>
      <x:c r="F1825" s="7" t="n">
        <x:v>45931</x:v>
      </x:c>
      <x:c r="G1825" s="2" t="str">
        <x:v>Broad rolling 8</x:v>
      </x:c>
      <x:c r="H1825" s="8" t="n">
        <x:f>'Model fits'!AA1187</x:f>
        <x:v>0.8653429174501532</x:v>
      </x:c>
      <x:c r="I1825" s="8" t="n">
        <x:f>0</x:f>
        <x:v>0</x:v>
      </x:c>
      <x:c r="J1825" s="8" t="n">
        <x:v>0</x:v>
      </x:c>
      <x:c r="K1825" s="8" t="n">
        <x:f>H1825-I1825*J1825</x:f>
        <x:v>0.8653429174501532</x:v>
      </x:c>
      <x:c r="L1825" s="8" t="n">
        <x:f>'PG facts'!E142</x:f>
        <x:v>0</x:v>
      </x:c>
      <x:c r="M1825" s="8" t="n">
        <x:f>K1825-L1825</x:f>
        <x:v>0.8653429174501532</x:v>
      </x:c>
      <x:c r="N1825" s="8" t="n">
        <x:f>M1825^2</x:f>
        <x:v>0.7488183647811427</x:v>
      </x:c>
      <x:c r="O1825" s="8" t="n">
        <x:f>ABS(M1825)</x:f>
        <x:v>0.8653429174501532</x:v>
      </x:c>
      <x:c r="P1825" s="7" t="n">
        <x:v>46045</x:v>
      </x:c>
    </x:row>
    <x:row r="1826" ht="26" customHeight="1">
      <x:c r="A1826" s="2"/>
      <x:c r="B1826" s="2" t="n">
        <x:v>1821</x:v>
      </x:c>
      <x:c r="C1826" s="2" t="str">
        <x:v>Fabric &amp; Home Care / organic_volume_growth</x:v>
      </x:c>
      <x:c r="D1826" s="7" t="n">
        <x:v>46022</x:v>
      </x:c>
      <x:c r="E1826" s="2" t="str">
        <x:v>Origin</x:v>
      </x:c>
      <x:c r="F1826" s="7" t="n">
        <x:v>45931</x:v>
      </x:c>
      <x:c r="G1826" s="2" t="str">
        <x:v>Own history</x:v>
      </x:c>
      <x:c r="H1826" s="8" t="n">
        <x:f>'Model fits'!AA1188</x:f>
        <x:v>0.08995215311004785</x:v>
      </x:c>
      <x:c r="I1826" s="8" t="n">
        <x:f>0</x:f>
        <x:v>0</x:v>
      </x:c>
      <x:c r="J1826" s="8" t="n">
        <x:v>0</x:v>
      </x:c>
      <x:c r="K1826" s="8" t="n">
        <x:f>H1826-I1826*J1826</x:f>
        <x:v>0.08995215311004785</x:v>
      </x:c>
      <x:c r="L1826" s="8" t="n">
        <x:f>'PG facts'!E142</x:f>
        <x:v>0</x:v>
      </x:c>
      <x:c r="M1826" s="8" t="n">
        <x:f>K1826-L1826</x:f>
        <x:v>0.08995215311004785</x:v>
      </x:c>
      <x:c r="N1826" s="8" t="n">
        <x:f>M1826^2</x:f>
        <x:v>0.008091389849133492</x:v>
      </x:c>
      <x:c r="O1826" s="8" t="n">
        <x:f>ABS(M1826)</x:f>
        <x:v>0.08995215311004785</x:v>
      </x:c>
      <x:c r="P1826" s="7" t="n">
        <x:v>46045</x:v>
      </x:c>
    </x:row>
    <x:row r="1827" ht="26" customHeight="1">
      <x:c r="A1827" s="2"/>
      <x:c r="B1827" s="2" t="n">
        <x:v>1822</x:v>
      </x:c>
      <x:c r="C1827" s="2" t="str">
        <x:v>Fabric &amp; Home Care / organic_volume_growth</x:v>
      </x:c>
      <x:c r="D1827" s="7" t="n">
        <x:v>46022</x:v>
      </x:c>
      <x:c r="E1827" s="2" t="str">
        <x:v>Prior report</x:v>
      </x:c>
      <x:c r="F1827" s="7" t="n">
        <x:v>45954</x:v>
      </x:c>
      <x:c r="G1827" s="2" t="str">
        <x:v>Last actual</x:v>
      </x:c>
      <x:c r="H1827" s="8" t="n">
        <x:f>AVERAGE('PG facts'!E135)</x:f>
        <x:v>-2</x:v>
      </x:c>
      <x:c r="I1827" s="8" t="n">
        <x:f>0</x:f>
        <x:v>0</x:v>
      </x:c>
      <x:c r="J1827" s="8" t="n">
        <x:v>0</x:v>
      </x:c>
      <x:c r="K1827" s="8" t="n">
        <x:f>H1827-I1827*J1827</x:f>
        <x:v>-2</x:v>
      </x:c>
      <x:c r="L1827" s="8" t="n">
        <x:f>'PG facts'!E142</x:f>
        <x:v>0</x:v>
      </x:c>
      <x:c r="M1827" s="8" t="n">
        <x:f>K1827-L1827</x:f>
        <x:v>-2</x:v>
      </x:c>
      <x:c r="N1827" s="8" t="n">
        <x:f>M1827^2</x:f>
        <x:v>4</x:v>
      </x:c>
      <x:c r="O1827" s="8" t="n">
        <x:f>ABS(M1827)</x:f>
        <x:v>2</x:v>
      </x:c>
      <x:c r="P1827" s="7" t="n">
        <x:v>46045</x:v>
      </x:c>
    </x:row>
    <x:row r="1828" ht="26" customHeight="1">
      <x:c r="A1828" s="2"/>
      <x:c r="B1828" s="2" t="n">
        <x:v>1823</x:v>
      </x:c>
      <x:c r="C1828" s="2" t="str">
        <x:v>Fabric &amp; Home Care / organic_volume_growth</x:v>
      </x:c>
      <x:c r="D1828" s="7" t="n">
        <x:v>46022</x:v>
      </x:c>
      <x:c r="E1828" s="2" t="str">
        <x:v>Prior report</x:v>
      </x:c>
      <x:c r="F1828" s="7" t="n">
        <x:v>45954</x:v>
      </x:c>
      <x:c r="G1828" s="2" t="str">
        <x:v>Four-quarter mean</x:v>
      </x:c>
      <x:c r="H1828" s="8" t="n">
        <x:f>AVERAGE('PG facts'!E114,'PG facts'!E121,'PG facts'!E128,'PG facts'!E135)</x:f>
        <x:v>0</x:v>
      </x:c>
      <x:c r="I1828" s="8" t="n">
        <x:f>0</x:f>
        <x:v>0</x:v>
      </x:c>
      <x:c r="J1828" s="8" t="n">
        <x:v>0</x:v>
      </x:c>
      <x:c r="K1828" s="8" t="n">
        <x:f>H1828-I1828*J1828</x:f>
        <x:v>0</x:v>
      </x:c>
      <x:c r="L1828" s="8" t="n">
        <x:f>'PG facts'!E142</x:f>
        <x:v>0</x:v>
      </x:c>
      <x:c r="M1828" s="8" t="n">
        <x:f>K1828-L1828</x:f>
        <x:v>0</x:v>
      </x:c>
      <x:c r="N1828" s="8" t="n">
        <x:f>M1828^2</x:f>
        <x:v>0</x:v>
      </x:c>
      <x:c r="O1828" s="8" t="n">
        <x:f>ABS(M1828)</x:f>
        <x:v>0</x:v>
      </x:c>
      <x:c r="P1828" s="7" t="n">
        <x:v>46045</x:v>
      </x:c>
    </x:row>
    <x:row r="1829" ht="26" customHeight="1">
      <x:c r="A1829" s="2"/>
      <x:c r="B1829" s="2" t="n">
        <x:v>1824</x:v>
      </x:c>
      <x:c r="C1829" s="2" t="str">
        <x:v>Fabric &amp; Home Care / organic_volume_growth</x:v>
      </x:c>
      <x:c r="D1829" s="7" t="n">
        <x:v>46022</x:v>
      </x:c>
      <x:c r="E1829" s="2" t="str">
        <x:v>Prior report</x:v>
      </x:c>
      <x:c r="F1829" s="7" t="n">
        <x:v>45954</x:v>
      </x:c>
      <x:c r="G1829" s="2" t="str">
        <x:v>Broad market</x:v>
      </x:c>
      <x:c r="H1829" s="8" t="n">
        <x:f>'Model fits'!AA1189</x:f>
        <x:v>0.5450227734242521</x:v>
      </x:c>
      <x:c r="I1829" s="8" t="n">
        <x:f>0</x:f>
        <x:v>0</x:v>
      </x:c>
      <x:c r="J1829" s="8" t="n">
        <x:v>0</x:v>
      </x:c>
      <x:c r="K1829" s="8" t="n">
        <x:f>H1829-I1829*J1829</x:f>
        <x:v>0.5450227734242521</x:v>
      </x:c>
      <x:c r="L1829" s="8" t="n">
        <x:f>'PG facts'!E142</x:f>
        <x:v>0</x:v>
      </x:c>
      <x:c r="M1829" s="8" t="n">
        <x:f>K1829-L1829</x:f>
        <x:v>0.5450227734242521</x:v>
      </x:c>
      <x:c r="N1829" s="8" t="n">
        <x:f>M1829^2</x:f>
        <x:v>0.29704982355106363</x:v>
      </x:c>
      <x:c r="O1829" s="8" t="n">
        <x:f>ABS(M1829)</x:f>
        <x:v>0.5450227734242521</x:v>
      </x:c>
      <x:c r="P1829" s="7" t="n">
        <x:v>46045</x:v>
      </x:c>
    </x:row>
    <x:row r="1830" ht="26" customHeight="1">
      <x:c r="A1830" s="2"/>
      <x:c r="B1830" s="2" t="n">
        <x:v>1825</x:v>
      </x:c>
      <x:c r="C1830" s="2" t="str">
        <x:v>Fabric &amp; Home Care / organic_volume_growth</x:v>
      </x:c>
      <x:c r="D1830" s="7" t="n">
        <x:v>46022</x:v>
      </x:c>
      <x:c r="E1830" s="2" t="str">
        <x:v>Prior report</x:v>
      </x:c>
      <x:c r="F1830" s="7" t="n">
        <x:v>45954</x:v>
      </x:c>
      <x:c r="G1830" s="2" t="str">
        <x:v>Broad rolling 8</x:v>
      </x:c>
      <x:c r="H1830" s="8" t="n">
        <x:f>'Model fits'!AA1190</x:f>
        <x:v>0.8653429174501532</x:v>
      </x:c>
      <x:c r="I1830" s="8" t="n">
        <x:f>0</x:f>
        <x:v>0</x:v>
      </x:c>
      <x:c r="J1830" s="8" t="n">
        <x:v>0</x:v>
      </x:c>
      <x:c r="K1830" s="8" t="n">
        <x:f>H1830-I1830*J1830</x:f>
        <x:v>0.8653429174501532</x:v>
      </x:c>
      <x:c r="L1830" s="8" t="n">
        <x:f>'PG facts'!E142</x:f>
        <x:v>0</x:v>
      </x:c>
      <x:c r="M1830" s="8" t="n">
        <x:f>K1830-L1830</x:f>
        <x:v>0.8653429174501532</x:v>
      </x:c>
      <x:c r="N1830" s="8" t="n">
        <x:f>M1830^2</x:f>
        <x:v>0.7488183647811427</x:v>
      </x:c>
      <x:c r="O1830" s="8" t="n">
        <x:f>ABS(M1830)</x:f>
        <x:v>0.8653429174501532</x:v>
      </x:c>
      <x:c r="P1830" s="7" t="n">
        <x:v>46045</x:v>
      </x:c>
    </x:row>
    <x:row r="1831" ht="26" customHeight="1">
      <x:c r="A1831" s="2"/>
      <x:c r="B1831" s="2" t="n">
        <x:v>1826</x:v>
      </x:c>
      <x:c r="C1831" s="2" t="str">
        <x:v>Fabric &amp; Home Care / organic_volume_growth</x:v>
      </x:c>
      <x:c r="D1831" s="7" t="n">
        <x:v>46022</x:v>
      </x:c>
      <x:c r="E1831" s="2" t="str">
        <x:v>Prior report</x:v>
      </x:c>
      <x:c r="F1831" s="7" t="n">
        <x:v>45954</x:v>
      </x:c>
      <x:c r="G1831" s="2" t="str">
        <x:v>Own history</x:v>
      </x:c>
      <x:c r="H1831" s="8" t="n">
        <x:f>'Model fits'!AA1191</x:f>
        <x:v>-1.5225021228417777</x:v>
      </x:c>
      <x:c r="I1831" s="8" t="n">
        <x:f>0</x:f>
        <x:v>0</x:v>
      </x:c>
      <x:c r="J1831" s="8" t="n">
        <x:v>0</x:v>
      </x:c>
      <x:c r="K1831" s="8" t="n">
        <x:f>H1831-I1831*J1831</x:f>
        <x:v>-1.5225021228417777</x:v>
      </x:c>
      <x:c r="L1831" s="8" t="n">
        <x:f>'PG facts'!E142</x:f>
        <x:v>0</x:v>
      </x:c>
      <x:c r="M1831" s="8" t="n">
        <x:f>K1831-L1831</x:f>
        <x:v>-1.5225021228417777</x:v>
      </x:c>
      <x:c r="N1831" s="8" t="n">
        <x:f>M1831^2</x:f>
        <x:v>2.3180127140577196</x:v>
      </x:c>
      <x:c r="O1831" s="8" t="n">
        <x:f>ABS(M1831)</x:f>
        <x:v>1.5225021228417777</x:v>
      </x:c>
      <x:c r="P1831" s="7" t="n">
        <x:v>46045</x:v>
      </x:c>
    </x:row>
    <x:row r="1832" ht="26" customHeight="1">
      <x:c r="A1832" s="2"/>
      <x:c r="B1832" s="2" t="n">
        <x:v>1827</x:v>
      </x:c>
      <x:c r="C1832" s="2" t="str">
        <x:v>Fabric &amp; Home Care / organic_volume_growth</x:v>
      </x:c>
      <x:c r="D1832" s="7" t="n">
        <x:v>46022</x:v>
      </x:c>
      <x:c r="E1832" s="2" t="str">
        <x:v>Pre-earnings</x:v>
      </x:c>
      <x:c r="F1832" s="7" t="n">
        <x:v>46044</x:v>
      </x:c>
      <x:c r="G1832" s="2" t="str">
        <x:v>Last actual</x:v>
      </x:c>
      <x:c r="H1832" s="8" t="n">
        <x:f>AVERAGE('PG facts'!E135)</x:f>
        <x:v>-2</x:v>
      </x:c>
      <x:c r="I1832" s="8" t="n">
        <x:f>0</x:f>
        <x:v>0</x:v>
      </x:c>
      <x:c r="J1832" s="8" t="n">
        <x:v>0</x:v>
      </x:c>
      <x:c r="K1832" s="8" t="n">
        <x:f>H1832-I1832*J1832</x:f>
        <x:v>-2</x:v>
      </x:c>
      <x:c r="L1832" s="8" t="n">
        <x:f>'PG facts'!E142</x:f>
        <x:v>0</x:v>
      </x:c>
      <x:c r="M1832" s="8" t="n">
        <x:f>K1832-L1832</x:f>
        <x:v>-2</x:v>
      </x:c>
      <x:c r="N1832" s="8" t="n">
        <x:f>M1832^2</x:f>
        <x:v>4</x:v>
      </x:c>
      <x:c r="O1832" s="8" t="n">
        <x:f>ABS(M1832)</x:f>
        <x:v>2</x:v>
      </x:c>
      <x:c r="P1832" s="7" t="n">
        <x:v>46045</x:v>
      </x:c>
    </x:row>
    <x:row r="1833" ht="26" customHeight="1">
      <x:c r="A1833" s="2"/>
      <x:c r="B1833" s="2" t="n">
        <x:v>1828</x:v>
      </x:c>
      <x:c r="C1833" s="2" t="str">
        <x:v>Fabric &amp; Home Care / organic_volume_growth</x:v>
      </x:c>
      <x:c r="D1833" s="7" t="n">
        <x:v>46022</x:v>
      </x:c>
      <x:c r="E1833" s="2" t="str">
        <x:v>Pre-earnings</x:v>
      </x:c>
      <x:c r="F1833" s="7" t="n">
        <x:v>46044</x:v>
      </x:c>
      <x:c r="G1833" s="2" t="str">
        <x:v>Four-quarter mean</x:v>
      </x:c>
      <x:c r="H1833" s="8" t="n">
        <x:f>AVERAGE('PG facts'!E114,'PG facts'!E121,'PG facts'!E128,'PG facts'!E135)</x:f>
        <x:v>0</x:v>
      </x:c>
      <x:c r="I1833" s="8" t="n">
        <x:f>0</x:f>
        <x:v>0</x:v>
      </x:c>
      <x:c r="J1833" s="8" t="n">
        <x:v>0</x:v>
      </x:c>
      <x:c r="K1833" s="8" t="n">
        <x:f>H1833-I1833*J1833</x:f>
        <x:v>0</x:v>
      </x:c>
      <x:c r="L1833" s="8" t="n">
        <x:f>'PG facts'!E142</x:f>
        <x:v>0</x:v>
      </x:c>
      <x:c r="M1833" s="8" t="n">
        <x:f>K1833-L1833</x:f>
        <x:v>0</x:v>
      </x:c>
      <x:c r="N1833" s="8" t="n">
        <x:f>M1833^2</x:f>
        <x:v>0</x:v>
      </x:c>
      <x:c r="O1833" s="8" t="n">
        <x:f>ABS(M1833)</x:f>
        <x:v>0</x:v>
      </x:c>
      <x:c r="P1833" s="7" t="n">
        <x:v>46045</x:v>
      </x:c>
    </x:row>
    <x:row r="1834" ht="26" customHeight="1">
      <x:c r="A1834" s="2"/>
      <x:c r="B1834" s="2" t="n">
        <x:v>1829</x:v>
      </x:c>
      <x:c r="C1834" s="2" t="str">
        <x:v>Fabric &amp; Home Care / organic_volume_growth</x:v>
      </x:c>
      <x:c r="D1834" s="7" t="n">
        <x:v>46022</x:v>
      </x:c>
      <x:c r="E1834" s="2" t="str">
        <x:v>Pre-earnings</x:v>
      </x:c>
      <x:c r="F1834" s="7" t="n">
        <x:v>46044</x:v>
      </x:c>
      <x:c r="G1834" s="2" t="str">
        <x:v>Broad market</x:v>
      </x:c>
      <x:c r="H1834" s="8" t="n">
        <x:f>'Model fits'!AA1192</x:f>
        <x:v>0.21495978314173536</x:v>
      </x:c>
      <x:c r="I1834" s="8" t="n">
        <x:f>0</x:f>
        <x:v>0</x:v>
      </x:c>
      <x:c r="J1834" s="8" t="n">
        <x:v>0</x:v>
      </x:c>
      <x:c r="K1834" s="8" t="n">
        <x:f>H1834-I1834*J1834</x:f>
        <x:v>0.21495978314173536</x:v>
      </x:c>
      <x:c r="L1834" s="8" t="n">
        <x:f>'PG facts'!E142</x:f>
        <x:v>0</x:v>
      </x:c>
      <x:c r="M1834" s="8" t="n">
        <x:f>K1834-L1834</x:f>
        <x:v>0.21495978314173536</x:v>
      </x:c>
      <x:c r="N1834" s="8" t="n">
        <x:f>M1834^2</x:f>
        <x:v>0.04620770836834189</x:v>
      </x:c>
      <x:c r="O1834" s="8" t="n">
        <x:f>ABS(M1834)</x:f>
        <x:v>0.21495978314173536</x:v>
      </x:c>
      <x:c r="P1834" s="7" t="n">
        <x:v>46045</x:v>
      </x:c>
    </x:row>
    <x:row r="1835" ht="26" customHeight="1">
      <x:c r="A1835" s="2"/>
      <x:c r="B1835" s="2" t="n">
        <x:v>1830</x:v>
      </x:c>
      <x:c r="C1835" s="2" t="str">
        <x:v>Fabric &amp; Home Care / organic_volume_growth</x:v>
      </x:c>
      <x:c r="D1835" s="7" t="n">
        <x:v>46022</x:v>
      </x:c>
      <x:c r="E1835" s="2" t="str">
        <x:v>Pre-earnings</x:v>
      </x:c>
      <x:c r="F1835" s="7" t="n">
        <x:v>46044</x:v>
      </x:c>
      <x:c r="G1835" s="2" t="str">
        <x:v>Broad lag 1</x:v>
      </x:c>
      <x:c r="H1835" s="8" t="n">
        <x:f>'Model fits'!AA1193</x:f>
        <x:v>0.10432521365252079</x:v>
      </x:c>
      <x:c r="I1835" s="8" t="n">
        <x:f>0</x:f>
        <x:v>0</x:v>
      </x:c>
      <x:c r="J1835" s="8" t="n">
        <x:v>0</x:v>
      </x:c>
      <x:c r="K1835" s="8" t="n">
        <x:f>H1835-I1835*J1835</x:f>
        <x:v>0.10432521365252079</x:v>
      </x:c>
      <x:c r="L1835" s="8" t="n">
        <x:f>'PG facts'!E142</x:f>
        <x:v>0</x:v>
      </x:c>
      <x:c r="M1835" s="8" t="n">
        <x:f>K1835-L1835</x:f>
        <x:v>0.10432521365252079</x:v>
      </x:c>
      <x:c r="N1835" s="8" t="n">
        <x:f>M1835^2</x:f>
        <x:v>0.01088375020364411</x:v>
      </x:c>
      <x:c r="O1835" s="8" t="n">
        <x:f>ABS(M1835)</x:f>
        <x:v>0.10432521365252079</x:v>
      </x:c>
      <x:c r="P1835" s="7" t="n">
        <x:v>46045</x:v>
      </x:c>
    </x:row>
    <x:row r="1836" ht="26" customHeight="1">
      <x:c r="A1836" s="2"/>
      <x:c r="B1836" s="2" t="n">
        <x:v>1831</x:v>
      </x:c>
      <x:c r="C1836" s="2" t="str">
        <x:v>Fabric &amp; Home Care / organic_volume_growth</x:v>
      </x:c>
      <x:c r="D1836" s="7" t="n">
        <x:v>46022</x:v>
      </x:c>
      <x:c r="E1836" s="2" t="str">
        <x:v>Pre-earnings</x:v>
      </x:c>
      <x:c r="F1836" s="7" t="n">
        <x:v>46044</x:v>
      </x:c>
      <x:c r="G1836" s="2" t="str">
        <x:v>Broad rolling 8</x:v>
      </x:c>
      <x:c r="H1836" s="8" t="n">
        <x:f>'Model fits'!AA1194</x:f>
        <x:v>0.5168843974161943</x:v>
      </x:c>
      <x:c r="I1836" s="8" t="n">
        <x:f>0</x:f>
        <x:v>0</x:v>
      </x:c>
      <x:c r="J1836" s="8" t="n">
        <x:v>0</x:v>
      </x:c>
      <x:c r="K1836" s="8" t="n">
        <x:f>H1836-I1836*J1836</x:f>
        <x:v>0.5168843974161943</x:v>
      </x:c>
      <x:c r="L1836" s="8" t="n">
        <x:f>'PG facts'!E142</x:f>
        <x:v>0</x:v>
      </x:c>
      <x:c r="M1836" s="8" t="n">
        <x:f>K1836-L1836</x:f>
        <x:v>0.5168843974161943</x:v>
      </x:c>
      <x:c r="N1836" s="8" t="n">
        <x:f>M1836^2</x:f>
        <x:v>0.2671694802923023</x:v>
      </x:c>
      <x:c r="O1836" s="8" t="n">
        <x:f>ABS(M1836)</x:f>
        <x:v>0.5168843974161943</x:v>
      </x:c>
      <x:c r="P1836" s="7" t="n">
        <x:v>46045</x:v>
      </x:c>
    </x:row>
    <x:row r="1837" ht="26" customHeight="1">
      <x:c r="A1837" s="2"/>
      <x:c r="B1837" s="2" t="n">
        <x:v>1832</x:v>
      </x:c>
      <x:c r="C1837" s="2" t="str">
        <x:v>Fabric &amp; Home Care / organic_volume_growth</x:v>
      </x:c>
      <x:c r="D1837" s="7" t="n">
        <x:v>46022</x:v>
      </x:c>
      <x:c r="E1837" s="2" t="str">
        <x:v>Pre-earnings</x:v>
      </x:c>
      <x:c r="F1837" s="7" t="n">
        <x:v>46044</x:v>
      </x:c>
      <x:c r="G1837" s="2" t="str">
        <x:v>Own history</x:v>
      </x:c>
      <x:c r="H1837" s="8" t="n">
        <x:f>'Model fits'!AA1195</x:f>
        <x:v>-1.5225021228417777</x:v>
      </x:c>
      <x:c r="I1837" s="8" t="n">
        <x:f>0</x:f>
        <x:v>0</x:v>
      </x:c>
      <x:c r="J1837" s="8" t="n">
        <x:v>0</x:v>
      </x:c>
      <x:c r="K1837" s="8" t="n">
        <x:f>H1837-I1837*J1837</x:f>
        <x:v>-1.5225021228417777</x:v>
      </x:c>
      <x:c r="L1837" s="8" t="n">
        <x:f>'PG facts'!E142</x:f>
        <x:v>0</x:v>
      </x:c>
      <x:c r="M1837" s="8" t="n">
        <x:f>K1837-L1837</x:f>
        <x:v>-1.5225021228417777</x:v>
      </x:c>
      <x:c r="N1837" s="8" t="n">
        <x:f>M1837^2</x:f>
        <x:v>2.3180127140577196</x:v>
      </x:c>
      <x:c r="O1837" s="8" t="n">
        <x:f>ABS(M1837)</x:f>
        <x:v>1.5225021228417777</x:v>
      </x:c>
      <x:c r="P1837" s="7" t="n">
        <x:v>46045</x:v>
      </x:c>
    </x:row>
    <x:row r="1838" ht="26" customHeight="1">
      <x:c r="A1838" s="2"/>
      <x:c r="B1838" s="2" t="n">
        <x:v>1833</x:v>
      </x:c>
      <x:c r="C1838" s="2" t="str">
        <x:v>Fabric &amp; Home Care / organic_volume_growth</x:v>
      </x:c>
      <x:c r="D1838" s="7" t="n">
        <x:v>46112</x:v>
      </x:c>
      <x:c r="E1838" s="2" t="str">
        <x:v>Origin</x:v>
      </x:c>
      <x:c r="F1838" s="7" t="n">
        <x:v>46023</x:v>
      </x:c>
      <x:c r="G1838" s="2" t="str">
        <x:v>Last actual</x:v>
      </x:c>
      <x:c r="H1838" s="8" t="n">
        <x:f>AVERAGE('PG facts'!E135)</x:f>
        <x:v>-2</x:v>
      </x:c>
      <x:c r="I1838" s="8" t="n">
        <x:f>0</x:f>
        <x:v>0</x:v>
      </x:c>
      <x:c r="J1838" s="8" t="n">
        <x:v>0</x:v>
      </x:c>
      <x:c r="K1838" s="8" t="n">
        <x:f>H1838-I1838*J1838</x:f>
        <x:v>-2</x:v>
      </x:c>
      <x:c r="L1838" s="8" t="n">
        <x:f>'PG facts'!E149</x:f>
        <x:v>2</x:v>
      </x:c>
      <x:c r="M1838" s="8" t="n">
        <x:f>K1838-L1838</x:f>
        <x:v>-4</x:v>
      </x:c>
      <x:c r="N1838" s="8" t="n">
        <x:f>M1838^2</x:f>
        <x:v>16</x:v>
      </x:c>
      <x:c r="O1838" s="8" t="n">
        <x:f>ABS(M1838)</x:f>
        <x:v>4</x:v>
      </x:c>
      <x:c r="P1838" s="7" t="n">
        <x:v>46136</x:v>
      </x:c>
    </x:row>
    <x:row r="1839" ht="26" customHeight="1">
      <x:c r="A1839" s="2"/>
      <x:c r="B1839" s="2" t="n">
        <x:v>1834</x:v>
      </x:c>
      <x:c r="C1839" s="2" t="str">
        <x:v>Fabric &amp; Home Care / organic_volume_growth</x:v>
      </x:c>
      <x:c r="D1839" s="7" t="n">
        <x:v>46112</x:v>
      </x:c>
      <x:c r="E1839" s="2" t="str">
        <x:v>Origin</x:v>
      </x:c>
      <x:c r="F1839" s="7" t="n">
        <x:v>46023</x:v>
      </x:c>
      <x:c r="G1839" s="2" t="str">
        <x:v>Four-quarter mean</x:v>
      </x:c>
      <x:c r="H1839" s="8" t="n">
        <x:f>AVERAGE('PG facts'!E114,'PG facts'!E121,'PG facts'!E128,'PG facts'!E135)</x:f>
        <x:v>0</x:v>
      </x:c>
      <x:c r="I1839" s="8" t="n">
        <x:f>0</x:f>
        <x:v>0</x:v>
      </x:c>
      <x:c r="J1839" s="8" t="n">
        <x:v>0</x:v>
      </x:c>
      <x:c r="K1839" s="8" t="n">
        <x:f>H1839-I1839*J1839</x:f>
        <x:v>0</x:v>
      </x:c>
      <x:c r="L1839" s="8" t="n">
        <x:f>'PG facts'!E149</x:f>
        <x:v>2</x:v>
      </x:c>
      <x:c r="M1839" s="8" t="n">
        <x:f>K1839-L1839</x:f>
        <x:v>-2</x:v>
      </x:c>
      <x:c r="N1839" s="8" t="n">
        <x:f>M1839^2</x:f>
        <x:v>4</x:v>
      </x:c>
      <x:c r="O1839" s="8" t="n">
        <x:f>ABS(M1839)</x:f>
        <x:v>2</x:v>
      </x:c>
      <x:c r="P1839" s="7" t="n">
        <x:v>46136</x:v>
      </x:c>
    </x:row>
    <x:row r="1840" ht="26" customHeight="1">
      <x:c r="A1840" s="2"/>
      <x:c r="B1840" s="2" t="n">
        <x:v>1835</x:v>
      </x:c>
      <x:c r="C1840" s="2" t="str">
        <x:v>Fabric &amp; Home Care / organic_volume_growth</x:v>
      </x:c>
      <x:c r="D1840" s="7" t="n">
        <x:v>46112</x:v>
      </x:c>
      <x:c r="E1840" s="2" t="str">
        <x:v>Origin</x:v>
      </x:c>
      <x:c r="F1840" s="7" t="n">
        <x:v>46023</x:v>
      </x:c>
      <x:c r="G1840" s="2" t="str">
        <x:v>Broad market</x:v>
      </x:c>
      <x:c r="H1840" s="8" t="n">
        <x:f>'Model fits'!AA1196</x:f>
        <x:v>0.26752622035137863</x:v>
      </x:c>
      <x:c r="I1840" s="8" t="n">
        <x:f>0</x:f>
        <x:v>0</x:v>
      </x:c>
      <x:c r="J1840" s="8" t="n">
        <x:v>0</x:v>
      </x:c>
      <x:c r="K1840" s="8" t="n">
        <x:f>H1840-I1840*J1840</x:f>
        <x:v>0.26752622035137863</x:v>
      </x:c>
      <x:c r="L1840" s="8" t="n">
        <x:f>'PG facts'!E149</x:f>
        <x:v>2</x:v>
      </x:c>
      <x:c r="M1840" s="8" t="n">
        <x:f>K1840-L1840</x:f>
        <x:v>-1.7324737796486214</x:v>
      </x:c>
      <x:c r="N1840" s="8" t="n">
        <x:f>M1840^2</x:f>
        <x:v>3.00146539716998</x:v>
      </x:c>
      <x:c r="O1840" s="8" t="n">
        <x:f>ABS(M1840)</x:f>
        <x:v>1.7324737796486214</x:v>
      </x:c>
      <x:c r="P1840" s="7" t="n">
        <x:v>46136</x:v>
      </x:c>
    </x:row>
    <x:row r="1841" ht="26" customHeight="1">
      <x:c r="A1841" s="2"/>
      <x:c r="B1841" s="2" t="n">
        <x:v>1836</x:v>
      </x:c>
      <x:c r="C1841" s="2" t="str">
        <x:v>Fabric &amp; Home Care / organic_volume_growth</x:v>
      </x:c>
      <x:c r="D1841" s="7" t="n">
        <x:v>46112</x:v>
      </x:c>
      <x:c r="E1841" s="2" t="str">
        <x:v>Origin</x:v>
      </x:c>
      <x:c r="F1841" s="7" t="n">
        <x:v>46023</x:v>
      </x:c>
      <x:c r="G1841" s="2" t="str">
        <x:v>Broad rolling 8</x:v>
      </x:c>
      <x:c r="H1841" s="8" t="n">
        <x:f>'Model fits'!AA1197</x:f>
        <x:v>0.4256468898668957</x:v>
      </x:c>
      <x:c r="I1841" s="8" t="n">
        <x:f>0</x:f>
        <x:v>0</x:v>
      </x:c>
      <x:c r="J1841" s="8" t="n">
        <x:v>0</x:v>
      </x:c>
      <x:c r="K1841" s="8" t="n">
        <x:f>H1841-I1841*J1841</x:f>
        <x:v>0.4256468898668957</x:v>
      </x:c>
      <x:c r="L1841" s="8" t="n">
        <x:f>'PG facts'!E149</x:f>
        <x:v>2</x:v>
      </x:c>
      <x:c r="M1841" s="8" t="n">
        <x:f>K1841-L1841</x:f>
        <x:v>-1.5743531101331043</x:v>
      </x:c>
      <x:c r="N1841" s="8" t="n">
        <x:f>M1841^2</x:f>
        <x:v>2.4785877153857783</x:v>
      </x:c>
      <x:c r="O1841" s="8" t="n">
        <x:f>ABS(M1841)</x:f>
        <x:v>1.5743531101331043</x:v>
      </x:c>
      <x:c r="P1841" s="7" t="n">
        <x:v>46136</x:v>
      </x:c>
    </x:row>
    <x:row r="1842" ht="26" customHeight="1">
      <x:c r="A1842" s="2"/>
      <x:c r="B1842" s="2" t="n">
        <x:v>1837</x:v>
      </x:c>
      <x:c r="C1842" s="2" t="str">
        <x:v>Fabric &amp; Home Care / organic_volume_growth</x:v>
      </x:c>
      <x:c r="D1842" s="7" t="n">
        <x:v>46112</x:v>
      </x:c>
      <x:c r="E1842" s="2" t="str">
        <x:v>Origin</x:v>
      </x:c>
      <x:c r="F1842" s="7" t="n">
        <x:v>46023</x:v>
      </x:c>
      <x:c r="G1842" s="2" t="str">
        <x:v>Own history</x:v>
      </x:c>
      <x:c r="H1842" s="8" t="n">
        <x:f>'Model fits'!AA1198</x:f>
        <x:v>-0.4895020995800839</x:v>
      </x:c>
      <x:c r="I1842" s="8" t="n">
        <x:f>0</x:f>
        <x:v>0</x:v>
      </x:c>
      <x:c r="J1842" s="8" t="n">
        <x:v>0</x:v>
      </x:c>
      <x:c r="K1842" s="8" t="n">
        <x:f>H1842-I1842*J1842</x:f>
        <x:v>-0.4895020995800839</x:v>
      </x:c>
      <x:c r="L1842" s="8" t="n">
        <x:f>'PG facts'!E149</x:f>
        <x:v>2</x:v>
      </x:c>
      <x:c r="M1842" s="8" t="n">
        <x:f>K1842-L1842</x:f>
        <x:v>-2.489502099580084</x:v>
      </x:c>
      <x:c r="N1842" s="8" t="n">
        <x:f>M1842^2</x:f>
        <x:v>6.197620703813647</x:v>
      </x:c>
      <x:c r="O1842" s="8" t="n">
        <x:f>ABS(M1842)</x:f>
        <x:v>2.489502099580084</x:v>
      </x:c>
      <x:c r="P1842" s="7" t="n">
        <x:v>46136</x:v>
      </x:c>
    </x:row>
    <x:row r="1843" ht="26" customHeight="1">
      <x:c r="A1843" s="2"/>
      <x:c r="B1843" s="2" t="n">
        <x:v>1838</x:v>
      </x:c>
      <x:c r="C1843" s="2" t="str">
        <x:v>Fabric &amp; Home Care / organic_volume_growth</x:v>
      </x:c>
      <x:c r="D1843" s="7" t="n">
        <x:v>46112</x:v>
      </x:c>
      <x:c r="E1843" s="2" t="str">
        <x:v>Prior report</x:v>
      </x:c>
      <x:c r="F1843" s="7" t="n">
        <x:v>46045</x:v>
      </x:c>
      <x:c r="G1843" s="2" t="str">
        <x:v>Last actual</x:v>
      </x:c>
      <x:c r="H1843" s="8" t="n">
        <x:f>AVERAGE('PG facts'!E142)</x:f>
        <x:v>0</x:v>
      </x:c>
      <x:c r="I1843" s="8" t="n">
        <x:f>0</x:f>
        <x:v>0</x:v>
      </x:c>
      <x:c r="J1843" s="8" t="n">
        <x:v>0</x:v>
      </x:c>
      <x:c r="K1843" s="8" t="n">
        <x:f>H1843-I1843*J1843</x:f>
        <x:v>0</x:v>
      </x:c>
      <x:c r="L1843" s="8" t="n">
        <x:f>'PG facts'!E149</x:f>
        <x:v>2</x:v>
      </x:c>
      <x:c r="M1843" s="8" t="n">
        <x:f>K1843-L1843</x:f>
        <x:v>-2</x:v>
      </x:c>
      <x:c r="N1843" s="8" t="n">
        <x:f>M1843^2</x:f>
        <x:v>4</x:v>
      </x:c>
      <x:c r="O1843" s="8" t="n">
        <x:f>ABS(M1843)</x:f>
        <x:v>2</x:v>
      </x:c>
      <x:c r="P1843" s="7" t="n">
        <x:v>46136</x:v>
      </x:c>
    </x:row>
    <x:row r="1844" ht="26" customHeight="1">
      <x:c r="A1844" s="2"/>
      <x:c r="B1844" s="2" t="n">
        <x:v>1839</x:v>
      </x:c>
      <x:c r="C1844" s="2" t="str">
        <x:v>Fabric &amp; Home Care / organic_volume_growth</x:v>
      </x:c>
      <x:c r="D1844" s="7" t="n">
        <x:v>46112</x:v>
      </x:c>
      <x:c r="E1844" s="2" t="str">
        <x:v>Prior report</x:v>
      </x:c>
      <x:c r="F1844" s="7" t="n">
        <x:v>46045</x:v>
      </x:c>
      <x:c r="G1844" s="2" t="str">
        <x:v>Four-quarter mean</x:v>
      </x:c>
      <x:c r="H1844" s="8" t="n">
        <x:f>AVERAGE('PG facts'!E121,'PG facts'!E128,'PG facts'!E135,'PG facts'!E142)</x:f>
        <x:v>-0.5</x:v>
      </x:c>
      <x:c r="I1844" s="8" t="n">
        <x:f>0</x:f>
        <x:v>0</x:v>
      </x:c>
      <x:c r="J1844" s="8" t="n">
        <x:v>0</x:v>
      </x:c>
      <x:c r="K1844" s="8" t="n">
        <x:f>H1844-I1844*J1844</x:f>
        <x:v>-0.5</x:v>
      </x:c>
      <x:c r="L1844" s="8" t="n">
        <x:f>'PG facts'!E149</x:f>
        <x:v>2</x:v>
      </x:c>
      <x:c r="M1844" s="8" t="n">
        <x:f>K1844-L1844</x:f>
        <x:v>-2.5</x:v>
      </x:c>
      <x:c r="N1844" s="8" t="n">
        <x:f>M1844^2</x:f>
        <x:v>6.25</x:v>
      </x:c>
      <x:c r="O1844" s="8" t="n">
        <x:f>ABS(M1844)</x:f>
        <x:v>2.5</x:v>
      </x:c>
      <x:c r="P1844" s="7" t="n">
        <x:v>46136</x:v>
      </x:c>
    </x:row>
    <x:row r="1845" ht="26" customHeight="1">
      <x:c r="A1845" s="2"/>
      <x:c r="B1845" s="2" t="n">
        <x:v>1840</x:v>
      </x:c>
      <x:c r="C1845" s="2" t="str">
        <x:v>Fabric &amp; Home Care / organic_volume_growth</x:v>
      </x:c>
      <x:c r="D1845" s="7" t="n">
        <x:v>46112</x:v>
      </x:c>
      <x:c r="E1845" s="2" t="str">
        <x:v>Prior report</x:v>
      </x:c>
      <x:c r="F1845" s="7" t="n">
        <x:v>46045</x:v>
      </x:c>
      <x:c r="G1845" s="2" t="str">
        <x:v>Broad market</x:v>
      </x:c>
      <x:c r="H1845" s="8" t="n">
        <x:f>'Model fits'!AA1199</x:f>
        <x:v>0.11236424959119007</x:v>
      </x:c>
      <x:c r="I1845" s="8" t="n">
        <x:f>0</x:f>
        <x:v>0</x:v>
      </x:c>
      <x:c r="J1845" s="8" t="n">
        <x:v>0</x:v>
      </x:c>
      <x:c r="K1845" s="8" t="n">
        <x:f>H1845-I1845*J1845</x:f>
        <x:v>0.11236424959119007</x:v>
      </x:c>
      <x:c r="L1845" s="8" t="n">
        <x:f>'PG facts'!E149</x:f>
        <x:v>2</x:v>
      </x:c>
      <x:c r="M1845" s="8" t="n">
        <x:f>K1845-L1845</x:f>
        <x:v>-1.88763575040881</x:v>
      </x:c>
      <x:c r="N1845" s="8" t="n">
        <x:f>M1845^2</x:f>
        <x:v>3.563168726221431</x:v>
      </x:c>
      <x:c r="O1845" s="8" t="n">
        <x:f>ABS(M1845)</x:f>
        <x:v>1.88763575040881</x:v>
      </x:c>
      <x:c r="P1845" s="7" t="n">
        <x:v>46136</x:v>
      </x:c>
    </x:row>
    <x:row r="1846" ht="26" customHeight="1">
      <x:c r="A1846" s="2"/>
      <x:c r="B1846" s="2" t="n">
        <x:v>1841</x:v>
      </x:c>
      <x:c r="C1846" s="2" t="str">
        <x:v>Fabric &amp; Home Care / organic_volume_growth</x:v>
      </x:c>
      <x:c r="D1846" s="7" t="n">
        <x:v>46112</x:v>
      </x:c>
      <x:c r="E1846" s="2" t="str">
        <x:v>Prior report</x:v>
      </x:c>
      <x:c r="F1846" s="7" t="n">
        <x:v>46045</x:v>
      </x:c>
      <x:c r="G1846" s="2" t="str">
        <x:v>Broad rolling 8</x:v>
      </x:c>
      <x:c r="H1846" s="8" t="n">
        <x:f>'Model fits'!AA1200</x:f>
        <x:v>0.6901673845867635</x:v>
      </x:c>
      <x:c r="I1846" s="8" t="n">
        <x:f>0</x:f>
        <x:v>0</x:v>
      </x:c>
      <x:c r="J1846" s="8" t="n">
        <x:v>0</x:v>
      </x:c>
      <x:c r="K1846" s="8" t="n">
        <x:f>H1846-I1846*J1846</x:f>
        <x:v>0.6901673845867635</x:v>
      </x:c>
      <x:c r="L1846" s="8" t="n">
        <x:f>'PG facts'!E149</x:f>
        <x:v>2</x:v>
      </x:c>
      <x:c r="M1846" s="8" t="n">
        <x:f>K1846-L1846</x:f>
        <x:v>-1.3098326154132365</x:v>
      </x:c>
      <x:c r="N1846" s="8" t="n">
        <x:f>M1846^2</x:f>
        <x:v>1.7156614804002794</x:v>
      </x:c>
      <x:c r="O1846" s="8" t="n">
        <x:f>ABS(M1846)</x:f>
        <x:v>1.3098326154132365</x:v>
      </x:c>
      <x:c r="P1846" s="7" t="n">
        <x:v>46136</x:v>
      </x:c>
    </x:row>
    <x:row r="1847" ht="26" customHeight="1">
      <x:c r="A1847" s="2"/>
      <x:c r="B1847" s="2" t="n">
        <x:v>1842</x:v>
      </x:c>
      <x:c r="C1847" s="2" t="str">
        <x:v>Fabric &amp; Home Care / organic_volume_growth</x:v>
      </x:c>
      <x:c r="D1847" s="7" t="n">
        <x:v>46112</x:v>
      </x:c>
      <x:c r="E1847" s="2" t="str">
        <x:v>Prior report</x:v>
      </x:c>
      <x:c r="F1847" s="7" t="n">
        <x:v>46045</x:v>
      </x:c>
      <x:c r="G1847" s="2" t="str">
        <x:v>Own history</x:v>
      </x:c>
      <x:c r="H1847" s="8" t="n">
        <x:f>'Model fits'!AA1201</x:f>
        <x:v>-0.07019832985386223</x:v>
      </x:c>
      <x:c r="I1847" s="8" t="n">
        <x:f>0</x:f>
        <x:v>0</x:v>
      </x:c>
      <x:c r="J1847" s="8" t="n">
        <x:v>0</x:v>
      </x:c>
      <x:c r="K1847" s="8" t="n">
        <x:f>H1847-I1847*J1847</x:f>
        <x:v>-0.07019832985386223</x:v>
      </x:c>
      <x:c r="L1847" s="8" t="n">
        <x:f>'PG facts'!E149</x:f>
        <x:v>2</x:v>
      </x:c>
      <x:c r="M1847" s="8" t="n">
        <x:f>K1847-L1847</x:f>
        <x:v>-2.0701983298538624</x:v>
      </x:c>
      <x:c r="N1847" s="8" t="n">
        <x:f>M1847^2</x:f>
        <x:v>4.285721124929721</x:v>
      </x:c>
      <x:c r="O1847" s="8" t="n">
        <x:f>ABS(M1847)</x:f>
        <x:v>2.0701983298538624</x:v>
      </x:c>
      <x:c r="P1847" s="7" t="n">
        <x:v>46136</x:v>
      </x:c>
    </x:row>
    <x:row r="1848" ht="26" customHeight="1">
      <x:c r="A1848" s="2"/>
      <x:c r="B1848" s="2" t="n">
        <x:v>1843</x:v>
      </x:c>
      <x:c r="C1848" s="2" t="str">
        <x:v>Fabric &amp; Home Care / organic_volume_growth</x:v>
      </x:c>
      <x:c r="D1848" s="7" t="n">
        <x:v>46112</x:v>
      </x:c>
      <x:c r="E1848" s="2" t="str">
        <x:v>Pre-earnings</x:v>
      </x:c>
      <x:c r="F1848" s="7" t="n">
        <x:v>46135</x:v>
      </x:c>
      <x:c r="G1848" s="2" t="str">
        <x:v>Last actual</x:v>
      </x:c>
      <x:c r="H1848" s="8" t="n">
        <x:f>AVERAGE('PG facts'!E142)</x:f>
        <x:v>0</x:v>
      </x:c>
      <x:c r="I1848" s="8" t="n">
        <x:f>0</x:f>
        <x:v>0</x:v>
      </x:c>
      <x:c r="J1848" s="8" t="n">
        <x:v>0</x:v>
      </x:c>
      <x:c r="K1848" s="8" t="n">
        <x:f>H1848-I1848*J1848</x:f>
        <x:v>0</x:v>
      </x:c>
      <x:c r="L1848" s="8" t="n">
        <x:f>'PG facts'!E149</x:f>
        <x:v>2</x:v>
      </x:c>
      <x:c r="M1848" s="8" t="n">
        <x:f>K1848-L1848</x:f>
        <x:v>-2</x:v>
      </x:c>
      <x:c r="N1848" s="8" t="n">
        <x:f>M1848^2</x:f>
        <x:v>4</x:v>
      </x:c>
      <x:c r="O1848" s="8" t="n">
        <x:f>ABS(M1848)</x:f>
        <x:v>2</x:v>
      </x:c>
      <x:c r="P1848" s="7" t="n">
        <x:v>46136</x:v>
      </x:c>
    </x:row>
    <x:row r="1849" ht="26" customHeight="1">
      <x:c r="A1849" s="2"/>
      <x:c r="B1849" s="2" t="n">
        <x:v>1844</x:v>
      </x:c>
      <x:c r="C1849" s="2" t="str">
        <x:v>Fabric &amp; Home Care / organic_volume_growth</x:v>
      </x:c>
      <x:c r="D1849" s="7" t="n">
        <x:v>46112</x:v>
      </x:c>
      <x:c r="E1849" s="2" t="str">
        <x:v>Pre-earnings</x:v>
      </x:c>
      <x:c r="F1849" s="7" t="n">
        <x:v>46135</x:v>
      </x:c>
      <x:c r="G1849" s="2" t="str">
        <x:v>Four-quarter mean</x:v>
      </x:c>
      <x:c r="H1849" s="8" t="n">
        <x:f>AVERAGE('PG facts'!E121,'PG facts'!E128,'PG facts'!E135,'PG facts'!E142)</x:f>
        <x:v>-0.5</x:v>
      </x:c>
      <x:c r="I1849" s="8" t="n">
        <x:f>0</x:f>
        <x:v>0</x:v>
      </x:c>
      <x:c r="J1849" s="8" t="n">
        <x:v>0</x:v>
      </x:c>
      <x:c r="K1849" s="8" t="n">
        <x:f>H1849-I1849*J1849</x:f>
        <x:v>-0.5</x:v>
      </x:c>
      <x:c r="L1849" s="8" t="n">
        <x:f>'PG facts'!E149</x:f>
        <x:v>2</x:v>
      </x:c>
      <x:c r="M1849" s="8" t="n">
        <x:f>K1849-L1849</x:f>
        <x:v>-2.5</x:v>
      </x:c>
      <x:c r="N1849" s="8" t="n">
        <x:f>M1849^2</x:f>
        <x:v>6.25</x:v>
      </x:c>
      <x:c r="O1849" s="8" t="n">
        <x:f>ABS(M1849)</x:f>
        <x:v>2.5</x:v>
      </x:c>
      <x:c r="P1849" s="7" t="n">
        <x:v>46136</x:v>
      </x:c>
    </x:row>
    <x:row r="1850" ht="26" customHeight="1">
      <x:c r="A1850" s="2"/>
      <x:c r="B1850" s="2" t="n">
        <x:v>1845</x:v>
      </x:c>
      <x:c r="C1850" s="2" t="str">
        <x:v>Fabric &amp; Home Care / organic_volume_growth</x:v>
      </x:c>
      <x:c r="D1850" s="7" t="n">
        <x:v>46112</x:v>
      </x:c>
      <x:c r="E1850" s="2" t="str">
        <x:v>Pre-earnings</x:v>
      </x:c>
      <x:c r="F1850" s="7" t="n">
        <x:v>46135</x:v>
      </x:c>
      <x:c r="G1850" s="2" t="str">
        <x:v>Broad market</x:v>
      </x:c>
      <x:c r="H1850" s="8" t="n">
        <x:f>'Model fits'!AA1202</x:f>
        <x:v>-0.6593634731123954</x:v>
      </x:c>
      <x:c r="I1850" s="8" t="n">
        <x:f>0</x:f>
        <x:v>0</x:v>
      </x:c>
      <x:c r="J1850" s="8" t="n">
        <x:v>0</x:v>
      </x:c>
      <x:c r="K1850" s="8" t="n">
        <x:f>H1850-I1850*J1850</x:f>
        <x:v>-0.6593634731123954</x:v>
      </x:c>
      <x:c r="L1850" s="8" t="n">
        <x:f>'PG facts'!E149</x:f>
        <x:v>2</x:v>
      </x:c>
      <x:c r="M1850" s="8" t="n">
        <x:f>K1850-L1850</x:f>
        <x:v>-2.6593634731123954</x:v>
      </x:c>
      <x:c r="N1850" s="8" t="n">
        <x:f>M1850^2</x:f>
        <x:v>7.072214082124423</x:v>
      </x:c>
      <x:c r="O1850" s="8" t="n">
        <x:f>ABS(M1850)</x:f>
        <x:v>2.6593634731123954</x:v>
      </x:c>
      <x:c r="P1850" s="7" t="n">
        <x:v>46136</x:v>
      </x:c>
    </x:row>
    <x:row r="1851" ht="26" customHeight="1">
      <x:c r="A1851" s="2"/>
      <x:c r="B1851" s="2" t="n">
        <x:v>1846</x:v>
      </x:c>
      <x:c r="C1851" s="2" t="str">
        <x:v>Fabric &amp; Home Care / organic_volume_growth</x:v>
      </x:c>
      <x:c r="D1851" s="7" t="n">
        <x:v>46112</x:v>
      </x:c>
      <x:c r="E1851" s="2" t="str">
        <x:v>Pre-earnings</x:v>
      </x:c>
      <x:c r="F1851" s="7" t="n">
        <x:v>46135</x:v>
      </x:c>
      <x:c r="G1851" s="2" t="str">
        <x:v>Broad lag 1</x:v>
      </x:c>
      <x:c r="H1851" s="8" t="n">
        <x:f>'Model fits'!AA1203</x:f>
        <x:v>-0.36573650554824266</x:v>
      </x:c>
      <x:c r="I1851" s="8" t="n">
        <x:f>0</x:f>
        <x:v>0</x:v>
      </x:c>
      <x:c r="J1851" s="8" t="n">
        <x:v>0</x:v>
      </x:c>
      <x:c r="K1851" s="8" t="n">
        <x:f>H1851-I1851*J1851</x:f>
        <x:v>-0.36573650554824266</x:v>
      </x:c>
      <x:c r="L1851" s="8" t="n">
        <x:f>'PG facts'!E149</x:f>
        <x:v>2</x:v>
      </x:c>
      <x:c r="M1851" s="8" t="n">
        <x:f>K1851-L1851</x:f>
        <x:v>-2.3657365055482424</x:v>
      </x:c>
      <x:c r="N1851" s="8" t="n">
        <x:f>M1851^2</x:f>
        <x:v>5.596709213683609</x:v>
      </x:c>
      <x:c r="O1851" s="8" t="n">
        <x:f>ABS(M1851)</x:f>
        <x:v>2.3657365055482424</x:v>
      </x:c>
      <x:c r="P1851" s="7" t="n">
        <x:v>46136</x:v>
      </x:c>
    </x:row>
    <x:row r="1852" ht="26" customHeight="1">
      <x:c r="A1852" s="2"/>
      <x:c r="B1852" s="2" t="n">
        <x:v>1847</x:v>
      </x:c>
      <x:c r="C1852" s="2" t="str">
        <x:v>Fabric &amp; Home Care / organic_volume_growth</x:v>
      </x:c>
      <x:c r="D1852" s="7" t="n">
        <x:v>46112</x:v>
      </x:c>
      <x:c r="E1852" s="2" t="str">
        <x:v>Pre-earnings</x:v>
      </x:c>
      <x:c r="F1852" s="7" t="n">
        <x:v>46135</x:v>
      </x:c>
      <x:c r="G1852" s="2" t="str">
        <x:v>Broad rolling 8</x:v>
      </x:c>
      <x:c r="H1852" s="8" t="n">
        <x:f>'Model fits'!AA1204</x:f>
        <x:v>1.6732419868482797</x:v>
      </x:c>
      <x:c r="I1852" s="8" t="n">
        <x:f>0</x:f>
        <x:v>0</x:v>
      </x:c>
      <x:c r="J1852" s="8" t="n">
        <x:v>0</x:v>
      </x:c>
      <x:c r="K1852" s="8" t="n">
        <x:f>H1852-I1852*J1852</x:f>
        <x:v>1.6732419868482797</x:v>
      </x:c>
      <x:c r="L1852" s="8" t="n">
        <x:f>'PG facts'!E149</x:f>
        <x:v>2</x:v>
      </x:c>
      <x:c r="M1852" s="8" t="n">
        <x:f>K1852-L1852</x:f>
        <x:v>-0.32675801315172026</x:v>
      </x:c>
      <x:c r="N1852" s="8" t="n">
        <x:f>M1852^2</x:f>
        <x:v>0.10677079915885979</x:v>
      </x:c>
      <x:c r="O1852" s="8" t="n">
        <x:f>ABS(M1852)</x:f>
        <x:v>0.32675801315172026</x:v>
      </x:c>
      <x:c r="P1852" s="7" t="n">
        <x:v>46136</x:v>
      </x:c>
    </x:row>
    <x:row r="1853" ht="26" customHeight="1">
      <x:c r="A1853" s="2"/>
      <x:c r="B1853" s="2" t="n">
        <x:v>1848</x:v>
      </x:c>
      <x:c r="C1853" s="2" t="str">
        <x:v>Fabric &amp; Home Care / organic_volume_growth</x:v>
      </x:c>
      <x:c r="D1853" s="7" t="n">
        <x:v>46112</x:v>
      </x:c>
      <x:c r="E1853" s="2" t="str">
        <x:v>Pre-earnings</x:v>
      </x:c>
      <x:c r="F1853" s="7" t="n">
        <x:v>46135</x:v>
      </x:c>
      <x:c r="G1853" s="2" t="str">
        <x:v>Own history</x:v>
      </x:c>
      <x:c r="H1853" s="8" t="n">
        <x:f>'Model fits'!AA1205</x:f>
        <x:v>-0.07019832985386223</x:v>
      </x:c>
      <x:c r="I1853" s="8" t="n">
        <x:f>0</x:f>
        <x:v>0</x:v>
      </x:c>
      <x:c r="J1853" s="8" t="n">
        <x:v>0</x:v>
      </x:c>
      <x:c r="K1853" s="8" t="n">
        <x:f>H1853-I1853*J1853</x:f>
        <x:v>-0.07019832985386223</x:v>
      </x:c>
      <x:c r="L1853" s="8" t="n">
        <x:f>'PG facts'!E149</x:f>
        <x:v>2</x:v>
      </x:c>
      <x:c r="M1853" s="8" t="n">
        <x:f>K1853-L1853</x:f>
        <x:v>-2.0701983298538624</x:v>
      </x:c>
      <x:c r="N1853" s="8" t="n">
        <x:f>M1853^2</x:f>
        <x:v>4.285721124929721</x:v>
      </x:c>
      <x:c r="O1853" s="8" t="n">
        <x:f>ABS(M1853)</x:f>
        <x:v>2.0701983298538624</x:v>
      </x:c>
      <x:c r="P1853" s="7" t="n">
        <x:v>46136</x:v>
      </x:c>
    </x:row>
    <x:row r="1854" ht="26" customHeight="1">
      <x:c r="A1854" s="2"/>
      <x:c r="B1854" s="2" t="n">
        <x:v>1849</x:v>
      </x:c>
      <x:c r="C1854" s="2" t="str">
        <x:v>Baby, Feminine &amp; Family Care / organic_volume_growth</x:v>
      </x:c>
      <x:c r="D1854" s="7" t="n">
        <x:v>45107</x:v>
      </x:c>
      <x:c r="E1854" s="2" t="str">
        <x:v>Origin</x:v>
      </x:c>
      <x:c r="F1854" s="7" t="n">
        <x:v>45017</x:v>
      </x:c>
      <x:c r="G1854" s="2" t="str">
        <x:v>Last actual</x:v>
      </x:c>
      <x:c r="H1854" s="8" t="n">
        <x:f>AVERAGE('PG facts'!E59)</x:f>
        <x:v>-6</x:v>
      </x:c>
      <x:c r="I1854" s="8" t="n">
        <x:f>0</x:f>
        <x:v>0</x:v>
      </x:c>
      <x:c r="J1854" s="8" t="n">
        <x:v>0</x:v>
      </x:c>
      <x:c r="K1854" s="8" t="n">
        <x:f>H1854-I1854*J1854</x:f>
        <x:v>-6</x:v>
      </x:c>
      <x:c r="L1854" s="8" t="n">
        <x:f>'PG facts'!E73</x:f>
        <x:v>0</x:v>
      </x:c>
      <x:c r="M1854" s="8" t="n">
        <x:f>K1854-L1854</x:f>
        <x:v>-6</x:v>
      </x:c>
      <x:c r="N1854" s="8" t="n">
        <x:f>M1854^2</x:f>
        <x:v>36</x:v>
      </x:c>
      <x:c r="O1854" s="8" t="n">
        <x:f>ABS(M1854)</x:f>
        <x:v>6</x:v>
      </x:c>
      <x:c r="P1854" s="7" t="n">
        <x:v>45135</x:v>
      </x:c>
    </x:row>
    <x:row r="1855" ht="26" customHeight="1">
      <x:c r="A1855" s="2"/>
      <x:c r="B1855" s="2" t="n">
        <x:v>1850</x:v>
      </x:c>
      <x:c r="C1855" s="2" t="str">
        <x:v>Baby, Feminine &amp; Family Care / organic_volume_growth</x:v>
      </x:c>
      <x:c r="D1855" s="7" t="n">
        <x:v>45107</x:v>
      </x:c>
      <x:c r="E1855" s="2" t="str">
        <x:v>Origin</x:v>
      </x:c>
      <x:c r="F1855" s="7" t="n">
        <x:v>45017</x:v>
      </x:c>
      <x:c r="G1855" s="2" t="str">
        <x:v>Four-quarter mean</x:v>
      </x:c>
      <x:c r="H1855" s="8" t="n">
        <x:f>AVERAGE('PG facts'!E38,'PG facts'!E45,'PG facts'!E52,'PG facts'!E59)</x:f>
        <x:v>-1.75</x:v>
      </x:c>
      <x:c r="I1855" s="8" t="n">
        <x:f>0</x:f>
        <x:v>0</x:v>
      </x:c>
      <x:c r="J1855" s="8" t="n">
        <x:v>0</x:v>
      </x:c>
      <x:c r="K1855" s="8" t="n">
        <x:f>H1855-I1855*J1855</x:f>
        <x:v>-1.75</x:v>
      </x:c>
      <x:c r="L1855" s="8" t="n">
        <x:f>'PG facts'!E73</x:f>
        <x:v>0</x:v>
      </x:c>
      <x:c r="M1855" s="8" t="n">
        <x:f>K1855-L1855</x:f>
        <x:v>-1.75</x:v>
      </x:c>
      <x:c r="N1855" s="8" t="n">
        <x:f>M1855^2</x:f>
        <x:v>3.0625</x:v>
      </x:c>
      <x:c r="O1855" s="8" t="n">
        <x:f>ABS(M1855)</x:f>
        <x:v>1.75</x:v>
      </x:c>
      <x:c r="P1855" s="7" t="n">
        <x:v>45135</x:v>
      </x:c>
    </x:row>
    <x:row r="1856" ht="26" customHeight="1">
      <x:c r="A1856" s="2"/>
      <x:c r="B1856" s="2" t="n">
        <x:v>1851</x:v>
      </x:c>
      <x:c r="C1856" s="2" t="str">
        <x:v>Baby, Feminine &amp; Family Care / organic_volume_growth</x:v>
      </x:c>
      <x:c r="D1856" s="7" t="n">
        <x:v>45107</x:v>
      </x:c>
      <x:c r="E1856" s="2" t="str">
        <x:v>Origin</x:v>
      </x:c>
      <x:c r="F1856" s="7" t="n">
        <x:v>45017</x:v>
      </x:c>
      <x:c r="G1856" s="2" t="str">
        <x:v>Broad market</x:v>
      </x:c>
      <x:c r="H1856" s="8" t="n">
        <x:f>'Model fits'!AA1206</x:f>
        <x:v>-1.7602551208360495</x:v>
      </x:c>
      <x:c r="I1856" s="8" t="n">
        <x:f>0</x:f>
        <x:v>0</x:v>
      </x:c>
      <x:c r="J1856" s="8" t="n">
        <x:v>0</x:v>
      </x:c>
      <x:c r="K1856" s="8" t="n">
        <x:f>H1856-I1856*J1856</x:f>
        <x:v>-1.7602551208360495</x:v>
      </x:c>
      <x:c r="L1856" s="8" t="n">
        <x:f>'PG facts'!E73</x:f>
        <x:v>0</x:v>
      </x:c>
      <x:c r="M1856" s="8" t="n">
        <x:f>K1856-L1856</x:f>
        <x:v>-1.7602551208360495</x:v>
      </x:c>
      <x:c r="N1856" s="8" t="n">
        <x:f>M1856^2</x:f>
        <x:v>3.098498090429535</x:v>
      </x:c>
      <x:c r="O1856" s="8" t="n">
        <x:f>ABS(M1856)</x:f>
        <x:v>1.7602551208360495</x:v>
      </x:c>
      <x:c r="P1856" s="7" t="n">
        <x:v>45135</x:v>
      </x:c>
    </x:row>
    <x:row r="1857" ht="26" customHeight="1">
      <x:c r="A1857" s="2"/>
      <x:c r="B1857" s="2" t="n">
        <x:v>1852</x:v>
      </x:c>
      <x:c r="C1857" s="2" t="str">
        <x:v>Baby, Feminine &amp; Family Care / organic_volume_growth</x:v>
      </x:c>
      <x:c r="D1857" s="7" t="n">
        <x:v>45107</x:v>
      </x:c>
      <x:c r="E1857" s="2" t="str">
        <x:v>Origin</x:v>
      </x:c>
      <x:c r="F1857" s="7" t="n">
        <x:v>45017</x:v>
      </x:c>
      <x:c r="G1857" s="2" t="str">
        <x:v>Broad rolling 8</x:v>
      </x:c>
      <x:c r="H1857" s="8" t="n">
        <x:f>'Model fits'!AA1207</x:f>
        <x:v>-1.7602551208360495</x:v>
      </x:c>
      <x:c r="I1857" s="8" t="n">
        <x:f>0</x:f>
        <x:v>0</x:v>
      </x:c>
      <x:c r="J1857" s="8" t="n">
        <x:v>0</x:v>
      </x:c>
      <x:c r="K1857" s="8" t="n">
        <x:f>H1857-I1857*J1857</x:f>
        <x:v>-1.7602551208360495</x:v>
      </x:c>
      <x:c r="L1857" s="8" t="n">
        <x:f>'PG facts'!E73</x:f>
        <x:v>0</x:v>
      </x:c>
      <x:c r="M1857" s="8" t="n">
        <x:f>K1857-L1857</x:f>
        <x:v>-1.7602551208360495</x:v>
      </x:c>
      <x:c r="N1857" s="8" t="n">
        <x:f>M1857^2</x:f>
        <x:v>3.098498090429535</x:v>
      </x:c>
      <x:c r="O1857" s="8" t="n">
        <x:f>ABS(M1857)</x:f>
        <x:v>1.7602551208360495</x:v>
      </x:c>
      <x:c r="P1857" s="7" t="n">
        <x:v>45135</x:v>
      </x:c>
    </x:row>
    <x:row r="1858" ht="26" customHeight="1">
      <x:c r="A1858" s="2"/>
      <x:c r="B1858" s="2" t="n">
        <x:v>1853</x:v>
      </x:c>
      <x:c r="C1858" s="2" t="str">
        <x:v>Baby, Feminine &amp; Family Care / organic_volume_growth</x:v>
      </x:c>
      <x:c r="D1858" s="7" t="n">
        <x:v>45107</x:v>
      </x:c>
      <x:c r="E1858" s="2" t="str">
        <x:v>Prior report</x:v>
      </x:c>
      <x:c r="F1858" s="7" t="n">
        <x:v>45037</x:v>
      </x:c>
      <x:c r="G1858" s="2" t="str">
        <x:v>Last actual</x:v>
      </x:c>
      <x:c r="H1858" s="8" t="n">
        <x:f>AVERAGE('PG facts'!E66)</x:f>
        <x:v>-4</x:v>
      </x:c>
      <x:c r="I1858" s="8" t="n">
        <x:f>0</x:f>
        <x:v>0</x:v>
      </x:c>
      <x:c r="J1858" s="8" t="n">
        <x:v>0</x:v>
      </x:c>
      <x:c r="K1858" s="8" t="n">
        <x:f>H1858-I1858*J1858</x:f>
        <x:v>-4</x:v>
      </x:c>
      <x:c r="L1858" s="8" t="n">
        <x:f>'PG facts'!E73</x:f>
        <x:v>0</x:v>
      </x:c>
      <x:c r="M1858" s="8" t="n">
        <x:f>K1858-L1858</x:f>
        <x:v>-4</x:v>
      </x:c>
      <x:c r="N1858" s="8" t="n">
        <x:f>M1858^2</x:f>
        <x:v>16</x:v>
      </x:c>
      <x:c r="O1858" s="8" t="n">
        <x:f>ABS(M1858)</x:f>
        <x:v>4</x:v>
      </x:c>
      <x:c r="P1858" s="7" t="n">
        <x:v>45135</x:v>
      </x:c>
    </x:row>
    <x:row r="1859" ht="26" customHeight="1">
      <x:c r="A1859" s="2"/>
      <x:c r="B1859" s="2" t="n">
        <x:v>1854</x:v>
      </x:c>
      <x:c r="C1859" s="2" t="str">
        <x:v>Baby, Feminine &amp; Family Care / organic_volume_growth</x:v>
      </x:c>
      <x:c r="D1859" s="7" t="n">
        <x:v>45107</x:v>
      </x:c>
      <x:c r="E1859" s="2" t="str">
        <x:v>Prior report</x:v>
      </x:c>
      <x:c r="F1859" s="7" t="n">
        <x:v>45037</x:v>
      </x:c>
      <x:c r="G1859" s="2" t="str">
        <x:v>Four-quarter mean</x:v>
      </x:c>
      <x:c r="H1859" s="8" t="n">
        <x:f>AVERAGE('PG facts'!E45,'PG facts'!E52,'PG facts'!E59,'PG facts'!E66)</x:f>
        <x:v>-3.25</x:v>
      </x:c>
      <x:c r="I1859" s="8" t="n">
        <x:f>0</x:f>
        <x:v>0</x:v>
      </x:c>
      <x:c r="J1859" s="8" t="n">
        <x:v>0</x:v>
      </x:c>
      <x:c r="K1859" s="8" t="n">
        <x:f>H1859-I1859*J1859</x:f>
        <x:v>-3.25</x:v>
      </x:c>
      <x:c r="L1859" s="8" t="n">
        <x:f>'PG facts'!E73</x:f>
        <x:v>0</x:v>
      </x:c>
      <x:c r="M1859" s="8" t="n">
        <x:f>K1859-L1859</x:f>
        <x:v>-3.25</x:v>
      </x:c>
      <x:c r="N1859" s="8" t="n">
        <x:f>M1859^2</x:f>
        <x:v>10.5625</x:v>
      </x:c>
      <x:c r="O1859" s="8" t="n">
        <x:f>ABS(M1859)</x:f>
        <x:v>3.25</x:v>
      </x:c>
      <x:c r="P1859" s="7" t="n">
        <x:v>45135</x:v>
      </x:c>
    </x:row>
    <x:row r="1860" ht="26" customHeight="1">
      <x:c r="A1860" s="2"/>
      <x:c r="B1860" s="2" t="n">
        <x:v>1855</x:v>
      </x:c>
      <x:c r="C1860" s="2" t="str">
        <x:v>Baby, Feminine &amp; Family Care / organic_volume_growth</x:v>
      </x:c>
      <x:c r="D1860" s="7" t="n">
        <x:v>45107</x:v>
      </x:c>
      <x:c r="E1860" s="2" t="str">
        <x:v>Prior report</x:v>
      </x:c>
      <x:c r="F1860" s="7" t="n">
        <x:v>45037</x:v>
      </x:c>
      <x:c r="G1860" s="2" t="str">
        <x:v>Broad market</x:v>
      </x:c>
      <x:c r="H1860" s="8" t="n">
        <x:f>'Model fits'!AA1208</x:f>
        <x:v>-1.7602551208360495</x:v>
      </x:c>
      <x:c r="I1860" s="8" t="n">
        <x:f>0</x:f>
        <x:v>0</x:v>
      </x:c>
      <x:c r="J1860" s="8" t="n">
        <x:v>0</x:v>
      </x:c>
      <x:c r="K1860" s="8" t="n">
        <x:f>H1860-I1860*J1860</x:f>
        <x:v>-1.7602551208360495</x:v>
      </x:c>
      <x:c r="L1860" s="8" t="n">
        <x:f>'PG facts'!E73</x:f>
        <x:v>0</x:v>
      </x:c>
      <x:c r="M1860" s="8" t="n">
        <x:f>K1860-L1860</x:f>
        <x:v>-1.7602551208360495</x:v>
      </x:c>
      <x:c r="N1860" s="8" t="n">
        <x:f>M1860^2</x:f>
        <x:v>3.098498090429535</x:v>
      </x:c>
      <x:c r="O1860" s="8" t="n">
        <x:f>ABS(M1860)</x:f>
        <x:v>1.7602551208360495</x:v>
      </x:c>
      <x:c r="P1860" s="7" t="n">
        <x:v>45135</x:v>
      </x:c>
    </x:row>
    <x:row r="1861" ht="26" customHeight="1">
      <x:c r="A1861" s="2"/>
      <x:c r="B1861" s="2" t="n">
        <x:v>1856</x:v>
      </x:c>
      <x:c r="C1861" s="2" t="str">
        <x:v>Baby, Feminine &amp; Family Care / organic_volume_growth</x:v>
      </x:c>
      <x:c r="D1861" s="7" t="n">
        <x:v>45107</x:v>
      </x:c>
      <x:c r="E1861" s="2" t="str">
        <x:v>Prior report</x:v>
      </x:c>
      <x:c r="F1861" s="7" t="n">
        <x:v>45037</x:v>
      </x:c>
      <x:c r="G1861" s="2" t="str">
        <x:v>Broad rolling 8</x:v>
      </x:c>
      <x:c r="H1861" s="8" t="n">
        <x:f>'Model fits'!AA1209</x:f>
        <x:v>-1.7602551208360495</x:v>
      </x:c>
      <x:c r="I1861" s="8" t="n">
        <x:f>0</x:f>
        <x:v>0</x:v>
      </x:c>
      <x:c r="J1861" s="8" t="n">
        <x:v>0</x:v>
      </x:c>
      <x:c r="K1861" s="8" t="n">
        <x:f>H1861-I1861*J1861</x:f>
        <x:v>-1.7602551208360495</x:v>
      </x:c>
      <x:c r="L1861" s="8" t="n">
        <x:f>'PG facts'!E73</x:f>
        <x:v>0</x:v>
      </x:c>
      <x:c r="M1861" s="8" t="n">
        <x:f>K1861-L1861</x:f>
        <x:v>-1.7602551208360495</x:v>
      </x:c>
      <x:c r="N1861" s="8" t="n">
        <x:f>M1861^2</x:f>
        <x:v>3.098498090429535</x:v>
      </x:c>
      <x:c r="O1861" s="8" t="n">
        <x:f>ABS(M1861)</x:f>
        <x:v>1.7602551208360495</x:v>
      </x:c>
      <x:c r="P1861" s="7" t="n">
        <x:v>45135</x:v>
      </x:c>
    </x:row>
    <x:row r="1862" ht="26" customHeight="1">
      <x:c r="A1862" s="2"/>
      <x:c r="B1862" s="2" t="n">
        <x:v>1857</x:v>
      </x:c>
      <x:c r="C1862" s="2" t="str">
        <x:v>Baby, Feminine &amp; Family Care / organic_volume_growth</x:v>
      </x:c>
      <x:c r="D1862" s="7" t="n">
        <x:v>45107</x:v>
      </x:c>
      <x:c r="E1862" s="2" t="str">
        <x:v>Prior report</x:v>
      </x:c>
      <x:c r="F1862" s="7" t="n">
        <x:v>45037</x:v>
      </x:c>
      <x:c r="G1862" s="2" t="str">
        <x:v>Own history</x:v>
      </x:c>
      <x:c r="H1862" s="8" t="n">
        <x:f>'Model fits'!AA1210</x:f>
        <x:v>-3.0517241379310347</x:v>
      </x:c>
      <x:c r="I1862" s="8" t="n">
        <x:f>0</x:f>
        <x:v>0</x:v>
      </x:c>
      <x:c r="J1862" s="8" t="n">
        <x:v>0</x:v>
      </x:c>
      <x:c r="K1862" s="8" t="n">
        <x:f>H1862-I1862*J1862</x:f>
        <x:v>-3.0517241379310347</x:v>
      </x:c>
      <x:c r="L1862" s="8" t="n">
        <x:f>'PG facts'!E73</x:f>
        <x:v>0</x:v>
      </x:c>
      <x:c r="M1862" s="8" t="n">
        <x:f>K1862-L1862</x:f>
        <x:v>-3.0517241379310347</x:v>
      </x:c>
      <x:c r="N1862" s="8" t="n">
        <x:f>M1862^2</x:f>
        <x:v>9.313020214030917</x:v>
      </x:c>
      <x:c r="O1862" s="8" t="n">
        <x:f>ABS(M1862)</x:f>
        <x:v>3.0517241379310347</x:v>
      </x:c>
      <x:c r="P1862" s="7" t="n">
        <x:v>45135</x:v>
      </x:c>
    </x:row>
    <x:row r="1863" ht="26" customHeight="1">
      <x:c r="A1863" s="2"/>
      <x:c r="B1863" s="2" t="n">
        <x:v>1858</x:v>
      </x:c>
      <x:c r="C1863" s="2" t="str">
        <x:v>Baby, Feminine &amp; Family Care / organic_volume_growth</x:v>
      </x:c>
      <x:c r="D1863" s="7" t="n">
        <x:v>45107</x:v>
      </x:c>
      <x:c r="E1863" s="2" t="str">
        <x:v>Pre-earnings</x:v>
      </x:c>
      <x:c r="F1863" s="7" t="n">
        <x:v>45134</x:v>
      </x:c>
      <x:c r="G1863" s="2" t="str">
        <x:v>Last actual</x:v>
      </x:c>
      <x:c r="H1863" s="8" t="n">
        <x:f>AVERAGE('PG facts'!E66)</x:f>
        <x:v>-4</x:v>
      </x:c>
      <x:c r="I1863" s="8" t="n">
        <x:f>0</x:f>
        <x:v>0</x:v>
      </x:c>
      <x:c r="J1863" s="8" t="n">
        <x:v>0</x:v>
      </x:c>
      <x:c r="K1863" s="8" t="n">
        <x:f>H1863-I1863*J1863</x:f>
        <x:v>-4</x:v>
      </x:c>
      <x:c r="L1863" s="8" t="n">
        <x:f>'PG facts'!E73</x:f>
        <x:v>0</x:v>
      </x:c>
      <x:c r="M1863" s="8" t="n">
        <x:f>K1863-L1863</x:f>
        <x:v>-4</x:v>
      </x:c>
      <x:c r="N1863" s="8" t="n">
        <x:f>M1863^2</x:f>
        <x:v>16</x:v>
      </x:c>
      <x:c r="O1863" s="8" t="n">
        <x:f>ABS(M1863)</x:f>
        <x:v>4</x:v>
      </x:c>
      <x:c r="P1863" s="7" t="n">
        <x:v>45135</x:v>
      </x:c>
    </x:row>
    <x:row r="1864" ht="26" customHeight="1">
      <x:c r="A1864" s="2"/>
      <x:c r="B1864" s="2" t="n">
        <x:v>1859</x:v>
      </x:c>
      <x:c r="C1864" s="2" t="str">
        <x:v>Baby, Feminine &amp; Family Care / organic_volume_growth</x:v>
      </x:c>
      <x:c r="D1864" s="7" t="n">
        <x:v>45107</x:v>
      </x:c>
      <x:c r="E1864" s="2" t="str">
        <x:v>Pre-earnings</x:v>
      </x:c>
      <x:c r="F1864" s="7" t="n">
        <x:v>45134</x:v>
      </x:c>
      <x:c r="G1864" s="2" t="str">
        <x:v>Four-quarter mean</x:v>
      </x:c>
      <x:c r="H1864" s="8" t="n">
        <x:f>AVERAGE('PG facts'!E45,'PG facts'!E52,'PG facts'!E59,'PG facts'!E66)</x:f>
        <x:v>-3.25</x:v>
      </x:c>
      <x:c r="I1864" s="8" t="n">
        <x:f>0</x:f>
        <x:v>0</x:v>
      </x:c>
      <x:c r="J1864" s="8" t="n">
        <x:v>0</x:v>
      </x:c>
      <x:c r="K1864" s="8" t="n">
        <x:f>H1864-I1864*J1864</x:f>
        <x:v>-3.25</x:v>
      </x:c>
      <x:c r="L1864" s="8" t="n">
        <x:f>'PG facts'!E73</x:f>
        <x:v>0</x:v>
      </x:c>
      <x:c r="M1864" s="8" t="n">
        <x:f>K1864-L1864</x:f>
        <x:v>-3.25</x:v>
      </x:c>
      <x:c r="N1864" s="8" t="n">
        <x:f>M1864^2</x:f>
        <x:v>10.5625</x:v>
      </x:c>
      <x:c r="O1864" s="8" t="n">
        <x:f>ABS(M1864)</x:f>
        <x:v>3.25</x:v>
      </x:c>
      <x:c r="P1864" s="7" t="n">
        <x:v>45135</x:v>
      </x:c>
    </x:row>
    <x:row r="1865" ht="26" customHeight="1">
      <x:c r="A1865" s="2"/>
      <x:c r="B1865" s="2" t="n">
        <x:v>1860</x:v>
      </x:c>
      <x:c r="C1865" s="2" t="str">
        <x:v>Baby, Feminine &amp; Family Care / organic_volume_growth</x:v>
      </x:c>
      <x:c r="D1865" s="7" t="n">
        <x:v>45107</x:v>
      </x:c>
      <x:c r="E1865" s="2" t="str">
        <x:v>Pre-earnings</x:v>
      </x:c>
      <x:c r="F1865" s="7" t="n">
        <x:v>45134</x:v>
      </x:c>
      <x:c r="G1865" s="2" t="str">
        <x:v>Broad market</x:v>
      </x:c>
      <x:c r="H1865" s="8" t="n">
        <x:f>'Model fits'!AA1211</x:f>
        <x:v>-2.0952192511317516</x:v>
      </x:c>
      <x:c r="I1865" s="8" t="n">
        <x:f>0</x:f>
        <x:v>0</x:v>
      </x:c>
      <x:c r="J1865" s="8" t="n">
        <x:v>0</x:v>
      </x:c>
      <x:c r="K1865" s="8" t="n">
        <x:f>H1865-I1865*J1865</x:f>
        <x:v>-2.0952192511317516</x:v>
      </x:c>
      <x:c r="L1865" s="8" t="n">
        <x:f>'PG facts'!E73</x:f>
        <x:v>0</x:v>
      </x:c>
      <x:c r="M1865" s="8" t="n">
        <x:f>K1865-L1865</x:f>
        <x:v>-2.0952192511317516</x:v>
      </x:c>
      <x:c r="N1865" s="8" t="n">
        <x:f>M1865^2</x:f>
        <x:v>4.389943710313098</x:v>
      </x:c>
      <x:c r="O1865" s="8" t="n">
        <x:f>ABS(M1865)</x:f>
        <x:v>2.0952192511317516</x:v>
      </x:c>
      <x:c r="P1865" s="7" t="n">
        <x:v>45135</x:v>
      </x:c>
    </x:row>
    <x:row r="1866" ht="26" customHeight="1">
      <x:c r="A1866" s="2"/>
      <x:c r="B1866" s="2" t="n">
        <x:v>1861</x:v>
      </x:c>
      <x:c r="C1866" s="2" t="str">
        <x:v>Baby, Feminine &amp; Family Care / organic_volume_growth</x:v>
      </x:c>
      <x:c r="D1866" s="7" t="n">
        <x:v>45107</x:v>
      </x:c>
      <x:c r="E1866" s="2" t="str">
        <x:v>Pre-earnings</x:v>
      </x:c>
      <x:c r="F1866" s="7" t="n">
        <x:v>45134</x:v>
      </x:c>
      <x:c r="G1866" s="2" t="str">
        <x:v>Broad lag 1</x:v>
      </x:c>
      <x:c r="H1866" s="8" t="n">
        <x:f>'Model fits'!AA1212</x:f>
        <x:v>-3.204423743994065</x:v>
      </x:c>
      <x:c r="I1866" s="8" t="n">
        <x:f>0</x:f>
        <x:v>0</x:v>
      </x:c>
      <x:c r="J1866" s="8" t="n">
        <x:v>0</x:v>
      </x:c>
      <x:c r="K1866" s="8" t="n">
        <x:f>H1866-I1866*J1866</x:f>
        <x:v>-3.204423743994065</x:v>
      </x:c>
      <x:c r="L1866" s="8" t="n">
        <x:f>'PG facts'!E73</x:f>
        <x:v>0</x:v>
      </x:c>
      <x:c r="M1866" s="8" t="n">
        <x:f>K1866-L1866</x:f>
        <x:v>-3.204423743994065</x:v>
      </x:c>
      <x:c r="N1866" s="8" t="n">
        <x:f>M1866^2</x:f>
        <x:v>10.26833153107294</x:v>
      </x:c>
      <x:c r="O1866" s="8" t="n">
        <x:f>ABS(M1866)</x:f>
        <x:v>3.204423743994065</x:v>
      </x:c>
      <x:c r="P1866" s="7" t="n">
        <x:v>45135</x:v>
      </x:c>
    </x:row>
    <x:row r="1867" ht="26" customHeight="1">
      <x:c r="A1867" s="2"/>
      <x:c r="B1867" s="2" t="n">
        <x:v>1862</x:v>
      </x:c>
      <x:c r="C1867" s="2" t="str">
        <x:v>Baby, Feminine &amp; Family Care / organic_volume_growth</x:v>
      </x:c>
      <x:c r="D1867" s="7" t="n">
        <x:v>45107</x:v>
      </x:c>
      <x:c r="E1867" s="2" t="str">
        <x:v>Pre-earnings</x:v>
      </x:c>
      <x:c r="F1867" s="7" t="n">
        <x:v>45134</x:v>
      </x:c>
      <x:c r="G1867" s="2" t="str">
        <x:v>Broad rolling 8</x:v>
      </x:c>
      <x:c r="H1867" s="8" t="n">
        <x:f>'Model fits'!AA1213</x:f>
        <x:v>-1.8862778187213842</x:v>
      </x:c>
      <x:c r="I1867" s="8" t="n">
        <x:f>0</x:f>
        <x:v>0</x:v>
      </x:c>
      <x:c r="J1867" s="8" t="n">
        <x:v>0</x:v>
      </x:c>
      <x:c r="K1867" s="8" t="n">
        <x:f>H1867-I1867*J1867</x:f>
        <x:v>-1.8862778187213842</x:v>
      </x:c>
      <x:c r="L1867" s="8" t="n">
        <x:f>'PG facts'!E73</x:f>
        <x:v>0</x:v>
      </x:c>
      <x:c r="M1867" s="8" t="n">
        <x:f>K1867-L1867</x:f>
        <x:v>-1.8862778187213842</x:v>
      </x:c>
      <x:c r="N1867" s="8" t="n">
        <x:f>M1867^2</x:f>
        <x:v>3.5580440094003034</x:v>
      </x:c>
      <x:c r="O1867" s="8" t="n">
        <x:f>ABS(M1867)</x:f>
        <x:v>1.8862778187213842</x:v>
      </x:c>
      <x:c r="P1867" s="7" t="n">
        <x:v>45135</x:v>
      </x:c>
    </x:row>
    <x:row r="1868" ht="26" customHeight="1">
      <x:c r="A1868" s="2"/>
      <x:c r="B1868" s="2" t="n">
        <x:v>1863</x:v>
      </x:c>
      <x:c r="C1868" s="2" t="str">
        <x:v>Baby, Feminine &amp; Family Care / organic_volume_growth</x:v>
      </x:c>
      <x:c r="D1868" s="7" t="n">
        <x:v>45107</x:v>
      </x:c>
      <x:c r="E1868" s="2" t="str">
        <x:v>Pre-earnings</x:v>
      </x:c>
      <x:c r="F1868" s="7" t="n">
        <x:v>45134</x:v>
      </x:c>
      <x:c r="G1868" s="2" t="str">
        <x:v>Own history</x:v>
      </x:c>
      <x:c r="H1868" s="8" t="n">
        <x:f>'Model fits'!AA1214</x:f>
        <x:v>-3.0517241379310347</x:v>
      </x:c>
      <x:c r="I1868" s="8" t="n">
        <x:f>0</x:f>
        <x:v>0</x:v>
      </x:c>
      <x:c r="J1868" s="8" t="n">
        <x:v>0</x:v>
      </x:c>
      <x:c r="K1868" s="8" t="n">
        <x:f>H1868-I1868*J1868</x:f>
        <x:v>-3.0517241379310347</x:v>
      </x:c>
      <x:c r="L1868" s="8" t="n">
        <x:f>'PG facts'!E73</x:f>
        <x:v>0</x:v>
      </x:c>
      <x:c r="M1868" s="8" t="n">
        <x:f>K1868-L1868</x:f>
        <x:v>-3.0517241379310347</x:v>
      </x:c>
      <x:c r="N1868" s="8" t="n">
        <x:f>M1868^2</x:f>
        <x:v>9.313020214030917</x:v>
      </x:c>
      <x:c r="O1868" s="8" t="n">
        <x:f>ABS(M1868)</x:f>
        <x:v>3.0517241379310347</x:v>
      </x:c>
      <x:c r="P1868" s="7" t="n">
        <x:v>45135</x:v>
      </x:c>
    </x:row>
    <x:row r="1869" ht="26" customHeight="1">
      <x:c r="A1869" s="2"/>
      <x:c r="B1869" s="2" t="n">
        <x:v>1864</x:v>
      </x:c>
      <x:c r="C1869" s="2" t="str">
        <x:v>Baby, Feminine &amp; Family Care / organic_volume_growth</x:v>
      </x:c>
      <x:c r="D1869" s="7" t="n">
        <x:v>45199</x:v>
      </x:c>
      <x:c r="E1869" s="2" t="str">
        <x:v>Origin</x:v>
      </x:c>
      <x:c r="F1869" s="7" t="n">
        <x:v>45108</x:v>
      </x:c>
      <x:c r="G1869" s="2" t="str">
        <x:v>Last actual</x:v>
      </x:c>
      <x:c r="H1869" s="8" t="n">
        <x:f>AVERAGE('PG facts'!E66)</x:f>
        <x:v>-4</x:v>
      </x:c>
      <x:c r="I1869" s="8" t="n">
        <x:f>0</x:f>
        <x:v>0</x:v>
      </x:c>
      <x:c r="J1869" s="8" t="n">
        <x:v>0</x:v>
      </x:c>
      <x:c r="K1869" s="8" t="n">
        <x:f>H1869-I1869*J1869</x:f>
        <x:v>-4</x:v>
      </x:c>
      <x:c r="L1869" s="8" t="n">
        <x:f>'PG facts'!E80</x:f>
        <x:v>-3</x:v>
      </x:c>
      <x:c r="M1869" s="8" t="n">
        <x:f>K1869-L1869</x:f>
        <x:v>-1</x:v>
      </x:c>
      <x:c r="N1869" s="8" t="n">
        <x:f>M1869^2</x:f>
        <x:v>1</x:v>
      </x:c>
      <x:c r="O1869" s="8" t="n">
        <x:f>ABS(M1869)</x:f>
        <x:v>1</x:v>
      </x:c>
      <x:c r="P1869" s="7" t="n">
        <x:v>45217</x:v>
      </x:c>
    </x:row>
    <x:row r="1870" ht="26" customHeight="1">
      <x:c r="A1870" s="2"/>
      <x:c r="B1870" s="2" t="n">
        <x:v>1865</x:v>
      </x:c>
      <x:c r="C1870" s="2" t="str">
        <x:v>Baby, Feminine &amp; Family Care / organic_volume_growth</x:v>
      </x:c>
      <x:c r="D1870" s="7" t="n">
        <x:v>45199</x:v>
      </x:c>
      <x:c r="E1870" s="2" t="str">
        <x:v>Origin</x:v>
      </x:c>
      <x:c r="F1870" s="7" t="n">
        <x:v>45108</x:v>
      </x:c>
      <x:c r="G1870" s="2" t="str">
        <x:v>Four-quarter mean</x:v>
      </x:c>
      <x:c r="H1870" s="8" t="n">
        <x:f>AVERAGE('PG facts'!E45,'PG facts'!E52,'PG facts'!E59,'PG facts'!E66)</x:f>
        <x:v>-3.25</x:v>
      </x:c>
      <x:c r="I1870" s="8" t="n">
        <x:f>0</x:f>
        <x:v>0</x:v>
      </x:c>
      <x:c r="J1870" s="8" t="n">
        <x:v>0</x:v>
      </x:c>
      <x:c r="K1870" s="8" t="n">
        <x:f>H1870-I1870*J1870</x:f>
        <x:v>-3.25</x:v>
      </x:c>
      <x:c r="L1870" s="8" t="n">
        <x:f>'PG facts'!E80</x:f>
        <x:v>-3</x:v>
      </x:c>
      <x:c r="M1870" s="8" t="n">
        <x:f>K1870-L1870</x:f>
        <x:v>-0.25</x:v>
      </x:c>
      <x:c r="N1870" s="8" t="n">
        <x:f>M1870^2</x:f>
        <x:v>0.0625</x:v>
      </x:c>
      <x:c r="O1870" s="8" t="n">
        <x:f>ABS(M1870)</x:f>
        <x:v>0.25</x:v>
      </x:c>
      <x:c r="P1870" s="7" t="n">
        <x:v>45217</x:v>
      </x:c>
    </x:row>
    <x:row r="1871" ht="26" customHeight="1">
      <x:c r="A1871" s="2"/>
      <x:c r="B1871" s="2" t="n">
        <x:v>1866</x:v>
      </x:c>
      <x:c r="C1871" s="2" t="str">
        <x:v>Baby, Feminine &amp; Family Care / organic_volume_growth</x:v>
      </x:c>
      <x:c r="D1871" s="7" t="n">
        <x:v>45199</x:v>
      </x:c>
      <x:c r="E1871" s="2" t="str">
        <x:v>Origin</x:v>
      </x:c>
      <x:c r="F1871" s="7" t="n">
        <x:v>45108</x:v>
      </x:c>
      <x:c r="G1871" s="2" t="str">
        <x:v>Broad market</x:v>
      </x:c>
      <x:c r="H1871" s="8" t="n">
        <x:f>'Model fits'!AA1215</x:f>
        <x:v>-2.1108590742491056</x:v>
      </x:c>
      <x:c r="I1871" s="8" t="n">
        <x:f>0</x:f>
        <x:v>0</x:v>
      </x:c>
      <x:c r="J1871" s="8" t="n">
        <x:v>0</x:v>
      </x:c>
      <x:c r="K1871" s="8" t="n">
        <x:f>H1871-I1871*J1871</x:f>
        <x:v>-2.1108590742491056</x:v>
      </x:c>
      <x:c r="L1871" s="8" t="n">
        <x:f>'PG facts'!E80</x:f>
        <x:v>-3</x:v>
      </x:c>
      <x:c r="M1871" s="8" t="n">
        <x:f>K1871-L1871</x:f>
        <x:v>0.8891409257508944</x:v>
      </x:c>
      <x:c r="N1871" s="8" t="n">
        <x:f>M1871^2</x:f>
        <x:v>0.7905715858451575</x:v>
      </x:c>
      <x:c r="O1871" s="8" t="n">
        <x:f>ABS(M1871)</x:f>
        <x:v>0.8891409257508944</x:v>
      </x:c>
      <x:c r="P1871" s="7" t="n">
        <x:v>45217</x:v>
      </x:c>
    </x:row>
    <x:row r="1872" ht="26" customHeight="1">
      <x:c r="A1872" s="2"/>
      <x:c r="B1872" s="2" t="n">
        <x:v>1867</x:v>
      </x:c>
      <x:c r="C1872" s="2" t="str">
        <x:v>Baby, Feminine &amp; Family Care / organic_volume_growth</x:v>
      </x:c>
      <x:c r="D1872" s="7" t="n">
        <x:v>45199</x:v>
      </x:c>
      <x:c r="E1872" s="2" t="str">
        <x:v>Origin</x:v>
      </x:c>
      <x:c r="F1872" s="7" t="n">
        <x:v>45108</x:v>
      </x:c>
      <x:c r="G1872" s="2" t="str">
        <x:v>Broad rolling 8</x:v>
      </x:c>
      <x:c r="H1872" s="8" t="n">
        <x:f>'Model fits'!AA1216</x:f>
        <x:v>-1.9076492586502247</x:v>
      </x:c>
      <x:c r="I1872" s="8" t="n">
        <x:f>0</x:f>
        <x:v>0</x:v>
      </x:c>
      <x:c r="J1872" s="8" t="n">
        <x:v>0</x:v>
      </x:c>
      <x:c r="K1872" s="8" t="n">
        <x:f>H1872-I1872*J1872</x:f>
        <x:v>-1.9076492586502247</x:v>
      </x:c>
      <x:c r="L1872" s="8" t="n">
        <x:f>'PG facts'!E80</x:f>
        <x:v>-3</x:v>
      </x:c>
      <x:c r="M1872" s="8" t="n">
        <x:f>K1872-L1872</x:f>
        <x:v>1.0923507413497753</x:v>
      </x:c>
      <x:c r="N1872" s="8" t="n">
        <x:f>M1872^2</x:f>
        <x:v>1.1932301421274036</x:v>
      </x:c>
      <x:c r="O1872" s="8" t="n">
        <x:f>ABS(M1872)</x:f>
        <x:v>1.0923507413497753</x:v>
      </x:c>
      <x:c r="P1872" s="7" t="n">
        <x:v>45217</x:v>
      </x:c>
    </x:row>
    <x:row r="1873" ht="26" customHeight="1">
      <x:c r="A1873" s="2"/>
      <x:c r="B1873" s="2" t="n">
        <x:v>1868</x:v>
      </x:c>
      <x:c r="C1873" s="2" t="str">
        <x:v>Baby, Feminine &amp; Family Care / organic_volume_growth</x:v>
      </x:c>
      <x:c r="D1873" s="7" t="n">
        <x:v>45199</x:v>
      </x:c>
      <x:c r="E1873" s="2" t="str">
        <x:v>Prior report</x:v>
      </x:c>
      <x:c r="F1873" s="7" t="n">
        <x:v>45135</x:v>
      </x:c>
      <x:c r="G1873" s="2" t="str">
        <x:v>Last actual</x:v>
      </x:c>
      <x:c r="H1873" s="8" t="n">
        <x:f>AVERAGE('PG facts'!E73)</x:f>
        <x:v>0</x:v>
      </x:c>
      <x:c r="I1873" s="8" t="n">
        <x:f>0</x:f>
        <x:v>0</x:v>
      </x:c>
      <x:c r="J1873" s="8" t="n">
        <x:v>0</x:v>
      </x:c>
      <x:c r="K1873" s="8" t="n">
        <x:f>H1873-I1873*J1873</x:f>
        <x:v>0</x:v>
      </x:c>
      <x:c r="L1873" s="8" t="n">
        <x:f>'PG facts'!E80</x:f>
        <x:v>-3</x:v>
      </x:c>
      <x:c r="M1873" s="8" t="n">
        <x:f>K1873-L1873</x:f>
        <x:v>3</x:v>
      </x:c>
      <x:c r="N1873" s="8" t="n">
        <x:f>M1873^2</x:f>
        <x:v>9</x:v>
      </x:c>
      <x:c r="O1873" s="8" t="n">
        <x:f>ABS(M1873)</x:f>
        <x:v>3</x:v>
      </x:c>
      <x:c r="P1873" s="7" t="n">
        <x:v>45217</x:v>
      </x:c>
    </x:row>
    <x:row r="1874" ht="26" customHeight="1">
      <x:c r="A1874" s="2"/>
      <x:c r="B1874" s="2" t="n">
        <x:v>1869</x:v>
      </x:c>
      <x:c r="C1874" s="2" t="str">
        <x:v>Baby, Feminine &amp; Family Care / organic_volume_growth</x:v>
      </x:c>
      <x:c r="D1874" s="7" t="n">
        <x:v>45199</x:v>
      </x:c>
      <x:c r="E1874" s="2" t="str">
        <x:v>Prior report</x:v>
      </x:c>
      <x:c r="F1874" s="7" t="n">
        <x:v>45135</x:v>
      </x:c>
      <x:c r="G1874" s="2" t="str">
        <x:v>Four-quarter mean</x:v>
      </x:c>
      <x:c r="H1874" s="8" t="n">
        <x:f>AVERAGE('PG facts'!E52,'PG facts'!E59,'PG facts'!E66,'PG facts'!E73)</x:f>
        <x:v>-3.25</x:v>
      </x:c>
      <x:c r="I1874" s="8" t="n">
        <x:f>0</x:f>
        <x:v>0</x:v>
      </x:c>
      <x:c r="J1874" s="8" t="n">
        <x:v>0</x:v>
      </x:c>
      <x:c r="K1874" s="8" t="n">
        <x:f>H1874-I1874*J1874</x:f>
        <x:v>-3.25</x:v>
      </x:c>
      <x:c r="L1874" s="8" t="n">
        <x:f>'PG facts'!E80</x:f>
        <x:v>-3</x:v>
      </x:c>
      <x:c r="M1874" s="8" t="n">
        <x:f>K1874-L1874</x:f>
        <x:v>-0.25</x:v>
      </x:c>
      <x:c r="N1874" s="8" t="n">
        <x:f>M1874^2</x:f>
        <x:v>0.0625</x:v>
      </x:c>
      <x:c r="O1874" s="8" t="n">
        <x:f>ABS(M1874)</x:f>
        <x:v>0.25</x:v>
      </x:c>
      <x:c r="P1874" s="7" t="n">
        <x:v>45217</x:v>
      </x:c>
    </x:row>
    <x:row r="1875" ht="26" customHeight="1">
      <x:c r="A1875" s="2"/>
      <x:c r="B1875" s="2" t="n">
        <x:v>1870</x:v>
      </x:c>
      <x:c r="C1875" s="2" t="str">
        <x:v>Baby, Feminine &amp; Family Care / organic_volume_growth</x:v>
      </x:c>
      <x:c r="D1875" s="7" t="n">
        <x:v>45199</x:v>
      </x:c>
      <x:c r="E1875" s="2" t="str">
        <x:v>Prior report</x:v>
      </x:c>
      <x:c r="F1875" s="7" t="n">
        <x:v>45135</x:v>
      </x:c>
      <x:c r="G1875" s="2" t="str">
        <x:v>Broad market</x:v>
      </x:c>
      <x:c r="H1875" s="8" t="n">
        <x:f>'Model fits'!AA1217</x:f>
        <x:v>-1.805864205141373</x:v>
      </x:c>
      <x:c r="I1875" s="8" t="n">
        <x:f>0</x:f>
        <x:v>0</x:v>
      </x:c>
      <x:c r="J1875" s="8" t="n">
        <x:v>0</x:v>
      </x:c>
      <x:c r="K1875" s="8" t="n">
        <x:f>H1875-I1875*J1875</x:f>
        <x:v>-1.805864205141373</x:v>
      </x:c>
      <x:c r="L1875" s="8" t="n">
        <x:f>'PG facts'!E80</x:f>
        <x:v>-3</x:v>
      </x:c>
      <x:c r="M1875" s="8" t="n">
        <x:f>K1875-L1875</x:f>
        <x:v>1.194135794858627</x:v>
      </x:c>
      <x:c r="N1875" s="8" t="n">
        <x:f>M1875^2</x:f>
        <x:v>1.425960296562645</x:v>
      </x:c>
      <x:c r="O1875" s="8" t="n">
        <x:f>ABS(M1875)</x:f>
        <x:v>1.194135794858627</x:v>
      </x:c>
      <x:c r="P1875" s="7" t="n">
        <x:v>45217</x:v>
      </x:c>
    </x:row>
    <x:row r="1876" ht="26" customHeight="1">
      <x:c r="A1876" s="2"/>
      <x:c r="B1876" s="2" t="n">
        <x:v>1871</x:v>
      </x:c>
      <x:c r="C1876" s="2" t="str">
        <x:v>Baby, Feminine &amp; Family Care / organic_volume_growth</x:v>
      </x:c>
      <x:c r="D1876" s="7" t="n">
        <x:v>45199</x:v>
      </x:c>
      <x:c r="E1876" s="2" t="str">
        <x:v>Prior report</x:v>
      </x:c>
      <x:c r="F1876" s="7" t="n">
        <x:v>45135</x:v>
      </x:c>
      <x:c r="G1876" s="2" t="str">
        <x:v>Broad lag 1</x:v>
      </x:c>
      <x:c r="H1876" s="8" t="n">
        <x:f>'Model fits'!AA1218</x:f>
        <x:v>-2.3628430320469858</x:v>
      </x:c>
      <x:c r="I1876" s="8" t="n">
        <x:f>0</x:f>
        <x:v>0</x:v>
      </x:c>
      <x:c r="J1876" s="8" t="n">
        <x:v>0</x:v>
      </x:c>
      <x:c r="K1876" s="8" t="n">
        <x:f>H1876-I1876*J1876</x:f>
        <x:v>-2.3628430320469858</x:v>
      </x:c>
      <x:c r="L1876" s="8" t="n">
        <x:f>'PG facts'!E80</x:f>
        <x:v>-3</x:v>
      </x:c>
      <x:c r="M1876" s="8" t="n">
        <x:f>K1876-L1876</x:f>
        <x:v>0.6371569679530142</x:v>
      </x:c>
      <x:c r="N1876" s="8" t="n">
        <x:f>M1876^2</x:f>
        <x:v>0.4059690018110784</x:v>
      </x:c>
      <x:c r="O1876" s="8" t="n">
        <x:f>ABS(M1876)</x:f>
        <x:v>0.6371569679530142</x:v>
      </x:c>
      <x:c r="P1876" s="7" t="n">
        <x:v>45217</x:v>
      </x:c>
    </x:row>
    <x:row r="1877" ht="26" customHeight="1">
      <x:c r="A1877" s="2"/>
      <x:c r="B1877" s="2" t="n">
        <x:v>1872</x:v>
      </x:c>
      <x:c r="C1877" s="2" t="str">
        <x:v>Baby, Feminine &amp; Family Care / organic_volume_growth</x:v>
      </x:c>
      <x:c r="D1877" s="7" t="n">
        <x:v>45199</x:v>
      </x:c>
      <x:c r="E1877" s="2" t="str">
        <x:v>Prior report</x:v>
      </x:c>
      <x:c r="F1877" s="7" t="n">
        <x:v>45135</x:v>
      </x:c>
      <x:c r="G1877" s="2" t="str">
        <x:v>Broad rolling 8</x:v>
      </x:c>
      <x:c r="H1877" s="8" t="n">
        <x:f>'Model fits'!AA1219</x:f>
        <x:v>-1.6820852701577846</x:v>
      </x:c>
      <x:c r="I1877" s="8" t="n">
        <x:f>0</x:f>
        <x:v>0</x:v>
      </x:c>
      <x:c r="J1877" s="8" t="n">
        <x:v>0</x:v>
      </x:c>
      <x:c r="K1877" s="8" t="n">
        <x:f>H1877-I1877*J1877</x:f>
        <x:v>-1.6820852701577846</x:v>
      </x:c>
      <x:c r="L1877" s="8" t="n">
        <x:f>'PG facts'!E80</x:f>
        <x:v>-3</x:v>
      </x:c>
      <x:c r="M1877" s="8" t="n">
        <x:f>K1877-L1877</x:f>
        <x:v>1.3179147298422154</x:v>
      </x:c>
      <x:c r="N1877" s="8" t="n">
        <x:f>M1877^2</x:f>
        <x:v>1.7368992351350796</x:v>
      </x:c>
      <x:c r="O1877" s="8" t="n">
        <x:f>ABS(M1877)</x:f>
        <x:v>1.3179147298422154</x:v>
      </x:c>
      <x:c r="P1877" s="7" t="n">
        <x:v>45217</x:v>
      </x:c>
    </x:row>
    <x:row r="1878" ht="26" customHeight="1">
      <x:c r="A1878" s="2"/>
      <x:c r="B1878" s="2" t="n">
        <x:v>1873</x:v>
      </x:c>
      <x:c r="C1878" s="2" t="str">
        <x:v>Baby, Feminine &amp; Family Care / organic_volume_growth</x:v>
      </x:c>
      <x:c r="D1878" s="7" t="n">
        <x:v>45199</x:v>
      </x:c>
      <x:c r="E1878" s="2" t="str">
        <x:v>Prior report</x:v>
      </x:c>
      <x:c r="F1878" s="7" t="n">
        <x:v>45135</x:v>
      </x:c>
      <x:c r="G1878" s="2" t="str">
        <x:v>Own history</x:v>
      </x:c>
      <x:c r="H1878" s="8" t="n">
        <x:f>'Model fits'!AA1220</x:f>
        <x:v>-0.41958041958041936</x:v>
      </x:c>
      <x:c r="I1878" s="8" t="n">
        <x:f>0</x:f>
        <x:v>0</x:v>
      </x:c>
      <x:c r="J1878" s="8" t="n">
        <x:v>0</x:v>
      </x:c>
      <x:c r="K1878" s="8" t="n">
        <x:f>H1878-I1878*J1878</x:f>
        <x:v>-0.41958041958041936</x:v>
      </x:c>
      <x:c r="L1878" s="8" t="n">
        <x:f>'PG facts'!E80</x:f>
        <x:v>-3</x:v>
      </x:c>
      <x:c r="M1878" s="8" t="n">
        <x:f>K1878-L1878</x:f>
        <x:v>2.580419580419581</x:v>
      </x:c>
      <x:c r="N1878" s="8" t="n">
        <x:f>M1878^2</x:f>
        <x:v>6.658565211012766</x:v>
      </x:c>
      <x:c r="O1878" s="8" t="n">
        <x:f>ABS(M1878)</x:f>
        <x:v>2.580419580419581</x:v>
      </x:c>
      <x:c r="P1878" s="7" t="n">
        <x:v>45217</x:v>
      </x:c>
    </x:row>
    <x:row r="1879" ht="26" customHeight="1">
      <x:c r="A1879" s="2"/>
      <x:c r="B1879" s="2" t="n">
        <x:v>1874</x:v>
      </x:c>
      <x:c r="C1879" s="2" t="str">
        <x:v>Baby, Feminine &amp; Family Care / organic_volume_growth</x:v>
      </x:c>
      <x:c r="D1879" s="7" t="n">
        <x:v>45199</x:v>
      </x:c>
      <x:c r="E1879" s="2" t="str">
        <x:v>Pre-earnings</x:v>
      </x:c>
      <x:c r="F1879" s="7" t="n">
        <x:v>45216</x:v>
      </x:c>
      <x:c r="G1879" s="2" t="str">
        <x:v>Last actual</x:v>
      </x:c>
      <x:c r="H1879" s="8" t="n">
        <x:f>AVERAGE('PG facts'!E73)</x:f>
        <x:v>0</x:v>
      </x:c>
      <x:c r="I1879" s="8" t="n">
        <x:f>0</x:f>
        <x:v>0</x:v>
      </x:c>
      <x:c r="J1879" s="8" t="n">
        <x:v>0</x:v>
      </x:c>
      <x:c r="K1879" s="8" t="n">
        <x:f>H1879-I1879*J1879</x:f>
        <x:v>0</x:v>
      </x:c>
      <x:c r="L1879" s="8" t="n">
        <x:f>'PG facts'!E80</x:f>
        <x:v>-3</x:v>
      </x:c>
      <x:c r="M1879" s="8" t="n">
        <x:f>K1879-L1879</x:f>
        <x:v>3</x:v>
      </x:c>
      <x:c r="N1879" s="8" t="n">
        <x:f>M1879^2</x:f>
        <x:v>9</x:v>
      </x:c>
      <x:c r="O1879" s="8" t="n">
        <x:f>ABS(M1879)</x:f>
        <x:v>3</x:v>
      </x:c>
      <x:c r="P1879" s="7" t="n">
        <x:v>45217</x:v>
      </x:c>
    </x:row>
    <x:row r="1880" ht="26" customHeight="1">
      <x:c r="A1880" s="2"/>
      <x:c r="B1880" s="2" t="n">
        <x:v>1875</x:v>
      </x:c>
      <x:c r="C1880" s="2" t="str">
        <x:v>Baby, Feminine &amp; Family Care / organic_volume_growth</x:v>
      </x:c>
      <x:c r="D1880" s="7" t="n">
        <x:v>45199</x:v>
      </x:c>
      <x:c r="E1880" s="2" t="str">
        <x:v>Pre-earnings</x:v>
      </x:c>
      <x:c r="F1880" s="7" t="n">
        <x:v>45216</x:v>
      </x:c>
      <x:c r="G1880" s="2" t="str">
        <x:v>Four-quarter mean</x:v>
      </x:c>
      <x:c r="H1880" s="8" t="n">
        <x:f>AVERAGE('PG facts'!E52,'PG facts'!E59,'PG facts'!E66,'PG facts'!E73)</x:f>
        <x:v>-3.25</x:v>
      </x:c>
      <x:c r="I1880" s="8" t="n">
        <x:f>0</x:f>
        <x:v>0</x:v>
      </x:c>
      <x:c r="J1880" s="8" t="n">
        <x:v>0</x:v>
      </x:c>
      <x:c r="K1880" s="8" t="n">
        <x:f>H1880-I1880*J1880</x:f>
        <x:v>-3.25</x:v>
      </x:c>
      <x:c r="L1880" s="8" t="n">
        <x:f>'PG facts'!E80</x:f>
        <x:v>-3</x:v>
      </x:c>
      <x:c r="M1880" s="8" t="n">
        <x:f>K1880-L1880</x:f>
        <x:v>-0.25</x:v>
      </x:c>
      <x:c r="N1880" s="8" t="n">
        <x:f>M1880^2</x:f>
        <x:v>0.0625</x:v>
      </x:c>
      <x:c r="O1880" s="8" t="n">
        <x:f>ABS(M1880)</x:f>
        <x:v>0.25</x:v>
      </x:c>
      <x:c r="P1880" s="7" t="n">
        <x:v>45217</x:v>
      </x:c>
    </x:row>
    <x:row r="1881" ht="26" customHeight="1">
      <x:c r="A1881" s="2"/>
      <x:c r="B1881" s="2" t="n">
        <x:v>1876</x:v>
      </x:c>
      <x:c r="C1881" s="2" t="str">
        <x:v>Baby, Feminine &amp; Family Care / organic_volume_growth</x:v>
      </x:c>
      <x:c r="D1881" s="7" t="n">
        <x:v>45199</x:v>
      </x:c>
      <x:c r="E1881" s="2" t="str">
        <x:v>Pre-earnings</x:v>
      </x:c>
      <x:c r="F1881" s="7" t="n">
        <x:v>45216</x:v>
      </x:c>
      <x:c r="G1881" s="2" t="str">
        <x:v>Broad market</x:v>
      </x:c>
      <x:c r="H1881" s="8" t="n">
        <x:f>'Model fits'!AA1221</x:f>
        <x:v>-1.8247719261328652</x:v>
      </x:c>
      <x:c r="I1881" s="8" t="n">
        <x:f>0</x:f>
        <x:v>0</x:v>
      </x:c>
      <x:c r="J1881" s="8" t="n">
        <x:v>0</x:v>
      </x:c>
      <x:c r="K1881" s="8" t="n">
        <x:f>H1881-I1881*J1881</x:f>
        <x:v>-1.8247719261328652</x:v>
      </x:c>
      <x:c r="L1881" s="8" t="n">
        <x:f>'PG facts'!E80</x:f>
        <x:v>-3</x:v>
      </x:c>
      <x:c r="M1881" s="8" t="n">
        <x:f>K1881-L1881</x:f>
        <x:v>1.1752280738671348</x:v>
      </x:c>
      <x:c r="N1881" s="8" t="n">
        <x:f>M1881^2</x:f>
        <x:v>1.3811610256054556</x:v>
      </x:c>
      <x:c r="O1881" s="8" t="n">
        <x:f>ABS(M1881)</x:f>
        <x:v>1.1752280738671348</x:v>
      </x:c>
      <x:c r="P1881" s="7" t="n">
        <x:v>45217</x:v>
      </x:c>
    </x:row>
    <x:row r="1882" ht="26" customHeight="1">
      <x:c r="A1882" s="2"/>
      <x:c r="B1882" s="2" t="n">
        <x:v>1877</x:v>
      </x:c>
      <x:c r="C1882" s="2" t="str">
        <x:v>Baby, Feminine &amp; Family Care / organic_volume_growth</x:v>
      </x:c>
      <x:c r="D1882" s="7" t="n">
        <x:v>45199</x:v>
      </x:c>
      <x:c r="E1882" s="2" t="str">
        <x:v>Pre-earnings</x:v>
      </x:c>
      <x:c r="F1882" s="7" t="n">
        <x:v>45216</x:v>
      </x:c>
      <x:c r="G1882" s="2" t="str">
        <x:v>Broad lag 1</x:v>
      </x:c>
      <x:c r="H1882" s="8" t="n">
        <x:f>'Model fits'!AA1222</x:f>
        <x:v>-2.7534223328606786</x:v>
      </x:c>
      <x:c r="I1882" s="8" t="n">
        <x:f>0</x:f>
        <x:v>0</x:v>
      </x:c>
      <x:c r="J1882" s="8" t="n">
        <x:v>0</x:v>
      </x:c>
      <x:c r="K1882" s="8" t="n">
        <x:f>H1882-I1882*J1882</x:f>
        <x:v>-2.7534223328606786</x:v>
      </x:c>
      <x:c r="L1882" s="8" t="n">
        <x:f>'PG facts'!E80</x:f>
        <x:v>-3</x:v>
      </x:c>
      <x:c r="M1882" s="8" t="n">
        <x:f>K1882-L1882</x:f>
        <x:v>0.2465776671393214</x:v>
      </x:c>
      <x:c r="N1882" s="8" t="n">
        <x:f>M1882^2</x:f>
        <x:v>0.060800545931869975</x:v>
      </x:c>
      <x:c r="O1882" s="8" t="n">
        <x:f>ABS(M1882)</x:f>
        <x:v>0.2465776671393214</x:v>
      </x:c>
      <x:c r="P1882" s="7" t="n">
        <x:v>45217</x:v>
      </x:c>
    </x:row>
    <x:row r="1883" ht="26" customHeight="1">
      <x:c r="A1883" s="2"/>
      <x:c r="B1883" s="2" t="n">
        <x:v>1878</x:v>
      </x:c>
      <x:c r="C1883" s="2" t="str">
        <x:v>Baby, Feminine &amp; Family Care / organic_volume_growth</x:v>
      </x:c>
      <x:c r="D1883" s="7" t="n">
        <x:v>45199</x:v>
      </x:c>
      <x:c r="E1883" s="2" t="str">
        <x:v>Pre-earnings</x:v>
      </x:c>
      <x:c r="F1883" s="7" t="n">
        <x:v>45216</x:v>
      </x:c>
      <x:c r="G1883" s="2" t="str">
        <x:v>Broad rolling 8</x:v>
      </x:c>
      <x:c r="H1883" s="8" t="n">
        <x:f>'Model fits'!AA1223</x:f>
        <x:v>-1.563779306234895</x:v>
      </x:c>
      <x:c r="I1883" s="8" t="n">
        <x:f>0</x:f>
        <x:v>0</x:v>
      </x:c>
      <x:c r="J1883" s="8" t="n">
        <x:v>0</x:v>
      </x:c>
      <x:c r="K1883" s="8" t="n">
        <x:f>H1883-I1883*J1883</x:f>
        <x:v>-1.563779306234895</x:v>
      </x:c>
      <x:c r="L1883" s="8" t="n">
        <x:f>'PG facts'!E80</x:f>
        <x:v>-3</x:v>
      </x:c>
      <x:c r="M1883" s="8" t="n">
        <x:f>K1883-L1883</x:f>
        <x:v>1.436220693765105</x:v>
      </x:c>
      <x:c r="N1883" s="8" t="n">
        <x:f>M1883^2</x:f>
        <x:v>2.0627298811991195</x:v>
      </x:c>
      <x:c r="O1883" s="8" t="n">
        <x:f>ABS(M1883)</x:f>
        <x:v>1.436220693765105</x:v>
      </x:c>
      <x:c r="P1883" s="7" t="n">
        <x:v>45217</x:v>
      </x:c>
    </x:row>
    <x:row r="1884" ht="26" customHeight="1">
      <x:c r="A1884" s="2"/>
      <x:c r="B1884" s="2" t="n">
        <x:v>1879</x:v>
      </x:c>
      <x:c r="C1884" s="2" t="str">
        <x:v>Baby, Feminine &amp; Family Care / organic_volume_growth</x:v>
      </x:c>
      <x:c r="D1884" s="7" t="n">
        <x:v>45199</x:v>
      </x:c>
      <x:c r="E1884" s="2" t="str">
        <x:v>Pre-earnings</x:v>
      </x:c>
      <x:c r="F1884" s="7" t="n">
        <x:v>45216</x:v>
      </x:c>
      <x:c r="G1884" s="2" t="str">
        <x:v>Own history</x:v>
      </x:c>
      <x:c r="H1884" s="8" t="n">
        <x:f>'Model fits'!AA1224</x:f>
        <x:v>-0.41958041958041936</x:v>
      </x:c>
      <x:c r="I1884" s="8" t="n">
        <x:f>0</x:f>
        <x:v>0</x:v>
      </x:c>
      <x:c r="J1884" s="8" t="n">
        <x:v>0</x:v>
      </x:c>
      <x:c r="K1884" s="8" t="n">
        <x:f>H1884-I1884*J1884</x:f>
        <x:v>-0.41958041958041936</x:v>
      </x:c>
      <x:c r="L1884" s="8" t="n">
        <x:f>'PG facts'!E80</x:f>
        <x:v>-3</x:v>
      </x:c>
      <x:c r="M1884" s="8" t="n">
        <x:f>K1884-L1884</x:f>
        <x:v>2.580419580419581</x:v>
      </x:c>
      <x:c r="N1884" s="8" t="n">
        <x:f>M1884^2</x:f>
        <x:v>6.658565211012766</x:v>
      </x:c>
      <x:c r="O1884" s="8" t="n">
        <x:f>ABS(M1884)</x:f>
        <x:v>2.580419580419581</x:v>
      </x:c>
      <x:c r="P1884" s="7" t="n">
        <x:v>45217</x:v>
      </x:c>
    </x:row>
    <x:row r="1885" ht="26" customHeight="1">
      <x:c r="A1885" s="2"/>
      <x:c r="B1885" s="2" t="n">
        <x:v>1880</x:v>
      </x:c>
      <x:c r="C1885" s="2" t="str">
        <x:v>Baby, Feminine &amp; Family Care / organic_volume_growth</x:v>
      </x:c>
      <x:c r="D1885" s="7" t="n">
        <x:v>45291</x:v>
      </x:c>
      <x:c r="E1885" s="2" t="str">
        <x:v>Origin</x:v>
      </x:c>
      <x:c r="F1885" s="7" t="n">
        <x:v>45200</x:v>
      </x:c>
      <x:c r="G1885" s="2" t="str">
        <x:v>Last actual</x:v>
      </x:c>
      <x:c r="H1885" s="8" t="n">
        <x:f>AVERAGE('PG facts'!E73)</x:f>
        <x:v>0</x:v>
      </x:c>
      <x:c r="I1885" s="8" t="n">
        <x:f>0</x:f>
        <x:v>0</x:v>
      </x:c>
      <x:c r="J1885" s="8" t="n">
        <x:v>0</x:v>
      </x:c>
      <x:c r="K1885" s="8" t="n">
        <x:f>H1885-I1885*J1885</x:f>
        <x:v>0</x:v>
      </x:c>
      <x:c r="L1885" s="8" t="n">
        <x:f>'PG facts'!E87</x:f>
        <x:v>-2</x:v>
      </x:c>
      <x:c r="M1885" s="8" t="n">
        <x:f>K1885-L1885</x:f>
        <x:v>2</x:v>
      </x:c>
      <x:c r="N1885" s="8" t="n">
        <x:f>M1885^2</x:f>
        <x:v>4</x:v>
      </x:c>
      <x:c r="O1885" s="8" t="n">
        <x:f>ABS(M1885)</x:f>
        <x:v>2</x:v>
      </x:c>
      <x:c r="P1885" s="7" t="n">
        <x:v>45314</x:v>
      </x:c>
    </x:row>
    <x:row r="1886" ht="26" customHeight="1">
      <x:c r="A1886" s="2"/>
      <x:c r="B1886" s="2" t="n">
        <x:v>1881</x:v>
      </x:c>
      <x:c r="C1886" s="2" t="str">
        <x:v>Baby, Feminine &amp; Family Care / organic_volume_growth</x:v>
      </x:c>
      <x:c r="D1886" s="7" t="n">
        <x:v>45291</x:v>
      </x:c>
      <x:c r="E1886" s="2" t="str">
        <x:v>Origin</x:v>
      </x:c>
      <x:c r="F1886" s="7" t="n">
        <x:v>45200</x:v>
      </x:c>
      <x:c r="G1886" s="2" t="str">
        <x:v>Four-quarter mean</x:v>
      </x:c>
      <x:c r="H1886" s="8" t="n">
        <x:f>AVERAGE('PG facts'!E52,'PG facts'!E59,'PG facts'!E66,'PG facts'!E73)</x:f>
        <x:v>-3.25</x:v>
      </x:c>
      <x:c r="I1886" s="8" t="n">
        <x:f>0</x:f>
        <x:v>0</x:v>
      </x:c>
      <x:c r="J1886" s="8" t="n">
        <x:v>0</x:v>
      </x:c>
      <x:c r="K1886" s="8" t="n">
        <x:f>H1886-I1886*J1886</x:f>
        <x:v>-3.25</x:v>
      </x:c>
      <x:c r="L1886" s="8" t="n">
        <x:f>'PG facts'!E87</x:f>
        <x:v>-2</x:v>
      </x:c>
      <x:c r="M1886" s="8" t="n">
        <x:f>K1886-L1886</x:f>
        <x:v>-1.25</x:v>
      </x:c>
      <x:c r="N1886" s="8" t="n">
        <x:f>M1886^2</x:f>
        <x:v>1.5625</x:v>
      </x:c>
      <x:c r="O1886" s="8" t="n">
        <x:f>ABS(M1886)</x:f>
        <x:v>1.25</x:v>
      </x:c>
      <x:c r="P1886" s="7" t="n">
        <x:v>45314</x:v>
      </x:c>
    </x:row>
    <x:row r="1887" ht="26" customHeight="1">
      <x:c r="A1887" s="2"/>
      <x:c r="B1887" s="2" t="n">
        <x:v>1882</x:v>
      </x:c>
      <x:c r="C1887" s="2" t="str">
        <x:v>Baby, Feminine &amp; Family Care / organic_volume_growth</x:v>
      </x:c>
      <x:c r="D1887" s="7" t="n">
        <x:v>45291</x:v>
      </x:c>
      <x:c r="E1887" s="2" t="str">
        <x:v>Origin</x:v>
      </x:c>
      <x:c r="F1887" s="7" t="n">
        <x:v>45200</x:v>
      </x:c>
      <x:c r="G1887" s="2" t="str">
        <x:v>Broad market</x:v>
      </x:c>
      <x:c r="H1887" s="8" t="n">
        <x:f>'Model fits'!AA1225</x:f>
        <x:v>-1.8458391336594748</x:v>
      </x:c>
      <x:c r="I1887" s="8" t="n">
        <x:f>0</x:f>
        <x:v>0</x:v>
      </x:c>
      <x:c r="J1887" s="8" t="n">
        <x:v>0</x:v>
      </x:c>
      <x:c r="K1887" s="8" t="n">
        <x:f>H1887-I1887*J1887</x:f>
        <x:v>-1.8458391336594748</x:v>
      </x:c>
      <x:c r="L1887" s="8" t="n">
        <x:f>'PG facts'!E87</x:f>
        <x:v>-2</x:v>
      </x:c>
      <x:c r="M1887" s="8" t="n">
        <x:f>K1887-L1887</x:f>
        <x:v>0.15416086634052517</x:v>
      </x:c>
      <x:c r="N1887" s="8" t="n">
        <x:f>M1887^2</x:f>
        <x:v>0.023765572710861268</x:v>
      </x:c>
      <x:c r="O1887" s="8" t="n">
        <x:f>ABS(M1887)</x:f>
        <x:v>0.15416086634052517</x:v>
      </x:c>
      <x:c r="P1887" s="7" t="n">
        <x:v>45314</x:v>
      </x:c>
    </x:row>
    <x:row r="1888" ht="26" customHeight="1">
      <x:c r="A1888" s="2"/>
      <x:c r="B1888" s="2" t="n">
        <x:v>1883</x:v>
      </x:c>
      <x:c r="C1888" s="2" t="str">
        <x:v>Baby, Feminine &amp; Family Care / organic_volume_growth</x:v>
      </x:c>
      <x:c r="D1888" s="7" t="n">
        <x:v>45291</x:v>
      </x:c>
      <x:c r="E1888" s="2" t="str">
        <x:v>Origin</x:v>
      </x:c>
      <x:c r="F1888" s="7" t="n">
        <x:v>45200</x:v>
      </x:c>
      <x:c r="G1888" s="2" t="str">
        <x:v>Broad rolling 8</x:v>
      </x:c>
      <x:c r="H1888" s="8" t="n">
        <x:f>'Model fits'!AA1226</x:f>
        <x:v>-1.6981688197780516</x:v>
      </x:c>
      <x:c r="I1888" s="8" t="n">
        <x:f>0</x:f>
        <x:v>0</x:v>
      </x:c>
      <x:c r="J1888" s="8" t="n">
        <x:v>0</x:v>
      </x:c>
      <x:c r="K1888" s="8" t="n">
        <x:f>H1888-I1888*J1888</x:f>
        <x:v>-1.6981688197780516</x:v>
      </x:c>
      <x:c r="L1888" s="8" t="n">
        <x:f>'PG facts'!E87</x:f>
        <x:v>-2</x:v>
      </x:c>
      <x:c r="M1888" s="8" t="n">
        <x:f>K1888-L1888</x:f>
        <x:v>0.30183118022194844</x:v>
      </x:c>
      <x:c r="N1888" s="8" t="n">
        <x:f>M1888^2</x:f>
        <x:v>0.09110206135417431</x:v>
      </x:c>
      <x:c r="O1888" s="8" t="n">
        <x:f>ABS(M1888)</x:f>
        <x:v>0.30183118022194844</x:v>
      </x:c>
      <x:c r="P1888" s="7" t="n">
        <x:v>45314</x:v>
      </x:c>
    </x:row>
    <x:row r="1889" ht="26" customHeight="1">
      <x:c r="A1889" s="2"/>
      <x:c r="B1889" s="2" t="n">
        <x:v>1884</x:v>
      </x:c>
      <x:c r="C1889" s="2" t="str">
        <x:v>Baby, Feminine &amp; Family Care / organic_volume_growth</x:v>
      </x:c>
      <x:c r="D1889" s="7" t="n">
        <x:v>45291</x:v>
      </x:c>
      <x:c r="E1889" s="2" t="str">
        <x:v>Origin</x:v>
      </x:c>
      <x:c r="F1889" s="7" t="n">
        <x:v>45200</x:v>
      </x:c>
      <x:c r="G1889" s="2" t="str">
        <x:v>Own history</x:v>
      </x:c>
      <x:c r="H1889" s="8" t="n">
        <x:f>'Model fits'!AA1227</x:f>
        <x:v>-1.4482758620689655</x:v>
      </x:c>
      <x:c r="I1889" s="8" t="n">
        <x:f>0</x:f>
        <x:v>0</x:v>
      </x:c>
      <x:c r="J1889" s="8" t="n">
        <x:v>0</x:v>
      </x:c>
      <x:c r="K1889" s="8" t="n">
        <x:f>H1889-I1889*J1889</x:f>
        <x:v>-1.4482758620689655</x:v>
      </x:c>
      <x:c r="L1889" s="8" t="n">
        <x:f>'PG facts'!E87</x:f>
        <x:v>-2</x:v>
      </x:c>
      <x:c r="M1889" s="8" t="n">
        <x:f>K1889-L1889</x:f>
        <x:v>0.5517241379310345</x:v>
      </x:c>
      <x:c r="N1889" s="8" t="n">
        <x:f>M1889^2</x:f>
        <x:v>0.30439952437574314</x:v>
      </x:c>
      <x:c r="O1889" s="8" t="n">
        <x:f>ABS(M1889)</x:f>
        <x:v>0.5517241379310345</x:v>
      </x:c>
      <x:c r="P1889" s="7" t="n">
        <x:v>45314</x:v>
      </x:c>
    </x:row>
    <x:row r="1890" ht="26" customHeight="1">
      <x:c r="A1890" s="2"/>
      <x:c r="B1890" s="2" t="n">
        <x:v>1885</x:v>
      </x:c>
      <x:c r="C1890" s="2" t="str">
        <x:v>Baby, Feminine &amp; Family Care / organic_volume_growth</x:v>
      </x:c>
      <x:c r="D1890" s="7" t="n">
        <x:v>45291</x:v>
      </x:c>
      <x:c r="E1890" s="2" t="str">
        <x:v>Prior report</x:v>
      </x:c>
      <x:c r="F1890" s="7" t="n">
        <x:v>45217</x:v>
      </x:c>
      <x:c r="G1890" s="2" t="str">
        <x:v>Last actual</x:v>
      </x:c>
      <x:c r="H1890" s="8" t="n">
        <x:f>AVERAGE('PG facts'!E80)</x:f>
        <x:v>-3</x:v>
      </x:c>
      <x:c r="I1890" s="8" t="n">
        <x:f>0</x:f>
        <x:v>0</x:v>
      </x:c>
      <x:c r="J1890" s="8" t="n">
        <x:v>0</x:v>
      </x:c>
      <x:c r="K1890" s="8" t="n">
        <x:f>H1890-I1890*J1890</x:f>
        <x:v>-3</x:v>
      </x:c>
      <x:c r="L1890" s="8" t="n">
        <x:f>'PG facts'!E87</x:f>
        <x:v>-2</x:v>
      </x:c>
      <x:c r="M1890" s="8" t="n">
        <x:f>K1890-L1890</x:f>
        <x:v>-1</x:v>
      </x:c>
      <x:c r="N1890" s="8" t="n">
        <x:f>M1890^2</x:f>
        <x:v>1</x:v>
      </x:c>
      <x:c r="O1890" s="8" t="n">
        <x:f>ABS(M1890)</x:f>
        <x:v>1</x:v>
      </x:c>
      <x:c r="P1890" s="7" t="n">
        <x:v>45314</x:v>
      </x:c>
    </x:row>
    <x:row r="1891" ht="26" customHeight="1">
      <x:c r="A1891" s="2"/>
      <x:c r="B1891" s="2" t="n">
        <x:v>1886</x:v>
      </x:c>
      <x:c r="C1891" s="2" t="str">
        <x:v>Baby, Feminine &amp; Family Care / organic_volume_growth</x:v>
      </x:c>
      <x:c r="D1891" s="7" t="n">
        <x:v>45291</x:v>
      </x:c>
      <x:c r="E1891" s="2" t="str">
        <x:v>Prior report</x:v>
      </x:c>
      <x:c r="F1891" s="7" t="n">
        <x:v>45217</x:v>
      </x:c>
      <x:c r="G1891" s="2" t="str">
        <x:v>Four-quarter mean</x:v>
      </x:c>
      <x:c r="H1891" s="8" t="n">
        <x:f>AVERAGE('PG facts'!E59,'PG facts'!E66,'PG facts'!E73,'PG facts'!E80)</x:f>
        <x:v>-3.25</x:v>
      </x:c>
      <x:c r="I1891" s="8" t="n">
        <x:f>0</x:f>
        <x:v>0</x:v>
      </x:c>
      <x:c r="J1891" s="8" t="n">
        <x:v>0</x:v>
      </x:c>
      <x:c r="K1891" s="8" t="n">
        <x:f>H1891-I1891*J1891</x:f>
        <x:v>-3.25</x:v>
      </x:c>
      <x:c r="L1891" s="8" t="n">
        <x:f>'PG facts'!E87</x:f>
        <x:v>-2</x:v>
      </x:c>
      <x:c r="M1891" s="8" t="n">
        <x:f>K1891-L1891</x:f>
        <x:v>-1.25</x:v>
      </x:c>
      <x:c r="N1891" s="8" t="n">
        <x:f>M1891^2</x:f>
        <x:v>1.5625</x:v>
      </x:c>
      <x:c r="O1891" s="8" t="n">
        <x:f>ABS(M1891)</x:f>
        <x:v>1.25</x:v>
      </x:c>
      <x:c r="P1891" s="7" t="n">
        <x:v>45314</x:v>
      </x:c>
    </x:row>
    <x:row r="1892" ht="26" customHeight="1">
      <x:c r="A1892" s="2"/>
      <x:c r="B1892" s="2" t="n">
        <x:v>1887</x:v>
      </x:c>
      <x:c r="C1892" s="2" t="str">
        <x:v>Baby, Feminine &amp; Family Care / organic_volume_growth</x:v>
      </x:c>
      <x:c r="D1892" s="7" t="n">
        <x:v>45291</x:v>
      </x:c>
      <x:c r="E1892" s="2" t="str">
        <x:v>Prior report</x:v>
      </x:c>
      <x:c r="F1892" s="7" t="n">
        <x:v>45217</x:v>
      </x:c>
      <x:c r="G1892" s="2" t="str">
        <x:v>Broad market</x:v>
      </x:c>
      <x:c r="H1892" s="8" t="n">
        <x:f>'Model fits'!AA1228</x:f>
        <x:v>-1.8458391336594748</x:v>
      </x:c>
      <x:c r="I1892" s="8" t="n">
        <x:f>0</x:f>
        <x:v>0</x:v>
      </x:c>
      <x:c r="J1892" s="8" t="n">
        <x:v>0</x:v>
      </x:c>
      <x:c r="K1892" s="8" t="n">
        <x:f>H1892-I1892*J1892</x:f>
        <x:v>-1.8458391336594748</x:v>
      </x:c>
      <x:c r="L1892" s="8" t="n">
        <x:f>'PG facts'!E87</x:f>
        <x:v>-2</x:v>
      </x:c>
      <x:c r="M1892" s="8" t="n">
        <x:f>K1892-L1892</x:f>
        <x:v>0.15416086634052517</x:v>
      </x:c>
      <x:c r="N1892" s="8" t="n">
        <x:f>M1892^2</x:f>
        <x:v>0.023765572710861268</x:v>
      </x:c>
      <x:c r="O1892" s="8" t="n">
        <x:f>ABS(M1892)</x:f>
        <x:v>0.15416086634052517</x:v>
      </x:c>
      <x:c r="P1892" s="7" t="n">
        <x:v>45314</x:v>
      </x:c>
    </x:row>
    <x:row r="1893" ht="26" customHeight="1">
      <x:c r="A1893" s="2"/>
      <x:c r="B1893" s="2" t="n">
        <x:v>1888</x:v>
      </x:c>
      <x:c r="C1893" s="2" t="str">
        <x:v>Baby, Feminine &amp; Family Care / organic_volume_growth</x:v>
      </x:c>
      <x:c r="D1893" s="7" t="n">
        <x:v>45291</x:v>
      </x:c>
      <x:c r="E1893" s="2" t="str">
        <x:v>Prior report</x:v>
      </x:c>
      <x:c r="F1893" s="7" t="n">
        <x:v>45217</x:v>
      </x:c>
      <x:c r="G1893" s="2" t="str">
        <x:v>Broad rolling 8</x:v>
      </x:c>
      <x:c r="H1893" s="8" t="n">
        <x:f>'Model fits'!AA1229</x:f>
        <x:v>-1.6981688197780516</x:v>
      </x:c>
      <x:c r="I1893" s="8" t="n">
        <x:f>0</x:f>
        <x:v>0</x:v>
      </x:c>
      <x:c r="J1893" s="8" t="n">
        <x:v>0</x:v>
      </x:c>
      <x:c r="K1893" s="8" t="n">
        <x:f>H1893-I1893*J1893</x:f>
        <x:v>-1.6981688197780516</x:v>
      </x:c>
      <x:c r="L1893" s="8" t="n">
        <x:f>'PG facts'!E87</x:f>
        <x:v>-2</x:v>
      </x:c>
      <x:c r="M1893" s="8" t="n">
        <x:f>K1893-L1893</x:f>
        <x:v>0.30183118022194844</x:v>
      </x:c>
      <x:c r="N1893" s="8" t="n">
        <x:f>M1893^2</x:f>
        <x:v>0.09110206135417431</x:v>
      </x:c>
      <x:c r="O1893" s="8" t="n">
        <x:f>ABS(M1893)</x:f>
        <x:v>0.30183118022194844</x:v>
      </x:c>
      <x:c r="P1893" s="7" t="n">
        <x:v>45314</x:v>
      </x:c>
    </x:row>
    <x:row r="1894" ht="26" customHeight="1">
      <x:c r="A1894" s="2"/>
      <x:c r="B1894" s="2" t="n">
        <x:v>1889</x:v>
      </x:c>
      <x:c r="C1894" s="2" t="str">
        <x:v>Baby, Feminine &amp; Family Care / organic_volume_growth</x:v>
      </x:c>
      <x:c r="D1894" s="7" t="n">
        <x:v>45291</x:v>
      </x:c>
      <x:c r="E1894" s="2" t="str">
        <x:v>Prior report</x:v>
      </x:c>
      <x:c r="F1894" s="7" t="n">
        <x:v>45217</x:v>
      </x:c>
      <x:c r="G1894" s="2" t="str">
        <x:v>Own history</x:v>
      </x:c>
      <x:c r="H1894" s="8" t="n">
        <x:f>'Model fits'!AA1230</x:f>
        <x:v>-2.1325301204819276</x:v>
      </x:c>
      <x:c r="I1894" s="8" t="n">
        <x:f>0</x:f>
        <x:v>0</x:v>
      </x:c>
      <x:c r="J1894" s="8" t="n">
        <x:v>0</x:v>
      </x:c>
      <x:c r="K1894" s="8" t="n">
        <x:f>H1894-I1894*J1894</x:f>
        <x:v>-2.1325301204819276</x:v>
      </x:c>
      <x:c r="L1894" s="8" t="n">
        <x:f>'PG facts'!E87</x:f>
        <x:v>-2</x:v>
      </x:c>
      <x:c r="M1894" s="8" t="n">
        <x:f>K1894-L1894</x:f>
        <x:v>-0.13253012048192758</x:v>
      </x:c>
      <x:c r="N1894" s="8" t="n">
        <x:f>M1894^2</x:f>
        <x:v>0.01756423283495424</x:v>
      </x:c>
      <x:c r="O1894" s="8" t="n">
        <x:f>ABS(M1894)</x:f>
        <x:v>0.13253012048192758</x:v>
      </x:c>
      <x:c r="P1894" s="7" t="n">
        <x:v>45314</x:v>
      </x:c>
    </x:row>
    <x:row r="1895" ht="26" customHeight="1">
      <x:c r="A1895" s="2"/>
      <x:c r="B1895" s="2" t="n">
        <x:v>1890</x:v>
      </x:c>
      <x:c r="C1895" s="2" t="str">
        <x:v>Baby, Feminine &amp; Family Care / organic_volume_growth</x:v>
      </x:c>
      <x:c r="D1895" s="7" t="n">
        <x:v>45291</x:v>
      </x:c>
      <x:c r="E1895" s="2" t="str">
        <x:v>Pre-earnings</x:v>
      </x:c>
      <x:c r="F1895" s="7" t="n">
        <x:v>45313</x:v>
      </x:c>
      <x:c r="G1895" s="2" t="str">
        <x:v>Last actual</x:v>
      </x:c>
      <x:c r="H1895" s="8" t="n">
        <x:f>AVERAGE('PG facts'!E80)</x:f>
        <x:v>-3</x:v>
      </x:c>
      <x:c r="I1895" s="8" t="n">
        <x:f>0</x:f>
        <x:v>0</x:v>
      </x:c>
      <x:c r="J1895" s="8" t="n">
        <x:v>0</x:v>
      </x:c>
      <x:c r="K1895" s="8" t="n">
        <x:f>H1895-I1895*J1895</x:f>
        <x:v>-3</x:v>
      </x:c>
      <x:c r="L1895" s="8" t="n">
        <x:f>'PG facts'!E87</x:f>
        <x:v>-2</x:v>
      </x:c>
      <x:c r="M1895" s="8" t="n">
        <x:f>K1895-L1895</x:f>
        <x:v>-1</x:v>
      </x:c>
      <x:c r="N1895" s="8" t="n">
        <x:f>M1895^2</x:f>
        <x:v>1</x:v>
      </x:c>
      <x:c r="O1895" s="8" t="n">
        <x:f>ABS(M1895)</x:f>
        <x:v>1</x:v>
      </x:c>
      <x:c r="P1895" s="7" t="n">
        <x:v>45314</x:v>
      </x:c>
    </x:row>
    <x:row r="1896" ht="26" customHeight="1">
      <x:c r="A1896" s="2"/>
      <x:c r="B1896" s="2" t="n">
        <x:v>1891</x:v>
      </x:c>
      <x:c r="C1896" s="2" t="str">
        <x:v>Baby, Feminine &amp; Family Care / organic_volume_growth</x:v>
      </x:c>
      <x:c r="D1896" s="7" t="n">
        <x:v>45291</x:v>
      </x:c>
      <x:c r="E1896" s="2" t="str">
        <x:v>Pre-earnings</x:v>
      </x:c>
      <x:c r="F1896" s="7" t="n">
        <x:v>45313</x:v>
      </x:c>
      <x:c r="G1896" s="2" t="str">
        <x:v>Four-quarter mean</x:v>
      </x:c>
      <x:c r="H1896" s="8" t="n">
        <x:f>AVERAGE('PG facts'!E59,'PG facts'!E66,'PG facts'!E73,'PG facts'!E80)</x:f>
        <x:v>-3.25</x:v>
      </x:c>
      <x:c r="I1896" s="8" t="n">
        <x:f>0</x:f>
        <x:v>0</x:v>
      </x:c>
      <x:c r="J1896" s="8" t="n">
        <x:v>0</x:v>
      </x:c>
      <x:c r="K1896" s="8" t="n">
        <x:f>H1896-I1896*J1896</x:f>
        <x:v>-3.25</x:v>
      </x:c>
      <x:c r="L1896" s="8" t="n">
        <x:f>'PG facts'!E87</x:f>
        <x:v>-2</x:v>
      </x:c>
      <x:c r="M1896" s="8" t="n">
        <x:f>K1896-L1896</x:f>
        <x:v>-1.25</x:v>
      </x:c>
      <x:c r="N1896" s="8" t="n">
        <x:f>M1896^2</x:f>
        <x:v>1.5625</x:v>
      </x:c>
      <x:c r="O1896" s="8" t="n">
        <x:f>ABS(M1896)</x:f>
        <x:v>1.25</x:v>
      </x:c>
      <x:c r="P1896" s="7" t="n">
        <x:v>45314</x:v>
      </x:c>
    </x:row>
    <x:row r="1897" ht="26" customHeight="1">
      <x:c r="A1897" s="2"/>
      <x:c r="B1897" s="2" t="n">
        <x:v>1892</x:v>
      </x:c>
      <x:c r="C1897" s="2" t="str">
        <x:v>Baby, Feminine &amp; Family Care / organic_volume_growth</x:v>
      </x:c>
      <x:c r="D1897" s="7" t="n">
        <x:v>45291</x:v>
      </x:c>
      <x:c r="E1897" s="2" t="str">
        <x:v>Pre-earnings</x:v>
      </x:c>
      <x:c r="F1897" s="7" t="n">
        <x:v>45313</x:v>
      </x:c>
      <x:c r="G1897" s="2" t="str">
        <x:v>Broad market</x:v>
      </x:c>
      <x:c r="H1897" s="8" t="n">
        <x:f>'Model fits'!AA1231</x:f>
        <x:v>-1.9372612884945715</x:v>
      </x:c>
      <x:c r="I1897" s="8" t="n">
        <x:f>0</x:f>
        <x:v>0</x:v>
      </x:c>
      <x:c r="J1897" s="8" t="n">
        <x:v>0</x:v>
      </x:c>
      <x:c r="K1897" s="8" t="n">
        <x:f>H1897-I1897*J1897</x:f>
        <x:v>-1.9372612884945715</x:v>
      </x:c>
      <x:c r="L1897" s="8" t="n">
        <x:f>'PG facts'!E87</x:f>
        <x:v>-2</x:v>
      </x:c>
      <x:c r="M1897" s="8" t="n">
        <x:f>K1897-L1897</x:f>
        <x:v>0.06273871150542853</x:v>
      </x:c>
      <x:c r="N1897" s="8" t="n">
        <x:f>M1897^2</x:f>
        <x:v>0.003936145921361391</x:v>
      </x:c>
      <x:c r="O1897" s="8" t="n">
        <x:f>ABS(M1897)</x:f>
        <x:v>0.06273871150542853</x:v>
      </x:c>
      <x:c r="P1897" s="7" t="n">
        <x:v>45314</x:v>
      </x:c>
    </x:row>
    <x:row r="1898" ht="26" customHeight="1">
      <x:c r="A1898" s="2"/>
      <x:c r="B1898" s="2" t="n">
        <x:v>1893</x:v>
      </x:c>
      <x:c r="C1898" s="2" t="str">
        <x:v>Baby, Feminine &amp; Family Care / organic_volume_growth</x:v>
      </x:c>
      <x:c r="D1898" s="7" t="n">
        <x:v>45291</x:v>
      </x:c>
      <x:c r="E1898" s="2" t="str">
        <x:v>Pre-earnings</x:v>
      </x:c>
      <x:c r="F1898" s="7" t="n">
        <x:v>45313</x:v>
      </x:c>
      <x:c r="G1898" s="2" t="str">
        <x:v>Broad lag 1</x:v>
      </x:c>
      <x:c r="H1898" s="8" t="n">
        <x:f>'Model fits'!AA1232</x:f>
        <x:v>-2.299640067793622</x:v>
      </x:c>
      <x:c r="I1898" s="8" t="n">
        <x:f>0</x:f>
        <x:v>0</x:v>
      </x:c>
      <x:c r="J1898" s="8" t="n">
        <x:v>0</x:v>
      </x:c>
      <x:c r="K1898" s="8" t="n">
        <x:f>H1898-I1898*J1898</x:f>
        <x:v>-2.299640067793622</x:v>
      </x:c>
      <x:c r="L1898" s="8" t="n">
        <x:f>'PG facts'!E87</x:f>
        <x:v>-2</x:v>
      </x:c>
      <x:c r="M1898" s="8" t="n">
        <x:f>K1898-L1898</x:f>
        <x:v>-0.29964006779362196</x:v>
      </x:c>
      <x:c r="N1898" s="8" t="n">
        <x:f>M1898^2</x:f>
        <x:v>0.08978417022736636</x:v>
      </x:c>
      <x:c r="O1898" s="8" t="n">
        <x:f>ABS(M1898)</x:f>
        <x:v>0.29964006779362196</x:v>
      </x:c>
      <x:c r="P1898" s="7" t="n">
        <x:v>45314</x:v>
      </x:c>
    </x:row>
    <x:row r="1899" ht="26" customHeight="1">
      <x:c r="A1899" s="2"/>
      <x:c r="B1899" s="2" t="n">
        <x:v>1894</x:v>
      </x:c>
      <x:c r="C1899" s="2" t="str">
        <x:v>Baby, Feminine &amp; Family Care / organic_volume_growth</x:v>
      </x:c>
      <x:c r="D1899" s="7" t="n">
        <x:v>45291</x:v>
      </x:c>
      <x:c r="E1899" s="2" t="str">
        <x:v>Pre-earnings</x:v>
      </x:c>
      <x:c r="F1899" s="7" t="n">
        <x:v>45313</x:v>
      </x:c>
      <x:c r="G1899" s="2" t="str">
        <x:v>Broad rolling 8</x:v>
      </x:c>
      <x:c r="H1899" s="8" t="n">
        <x:f>'Model fits'!AA1233</x:f>
        <x:v>-1.5333429956664795</x:v>
      </x:c>
      <x:c r="I1899" s="8" t="n">
        <x:f>0</x:f>
        <x:v>0</x:v>
      </x:c>
      <x:c r="J1899" s="8" t="n">
        <x:v>0</x:v>
      </x:c>
      <x:c r="K1899" s="8" t="n">
        <x:f>H1899-I1899*J1899</x:f>
        <x:v>-1.5333429956664795</x:v>
      </x:c>
      <x:c r="L1899" s="8" t="n">
        <x:f>'PG facts'!E87</x:f>
        <x:v>-2</x:v>
      </x:c>
      <x:c r="M1899" s="8" t="n">
        <x:f>K1899-L1899</x:f>
        <x:v>0.46665700433352053</x:v>
      </x:c>
      <x:c r="N1899" s="8" t="n">
        <x:f>M1899^2</x:f>
        <x:v>0.2177687596935354</x:v>
      </x:c>
      <x:c r="O1899" s="8" t="n">
        <x:f>ABS(M1899)</x:f>
        <x:v>0.46665700433352053</x:v>
      </x:c>
      <x:c r="P1899" s="7" t="n">
        <x:v>45314</x:v>
      </x:c>
    </x:row>
    <x:row r="1900" ht="26" customHeight="1">
      <x:c r="A1900" s="2"/>
      <x:c r="B1900" s="2" t="n">
        <x:v>1895</x:v>
      </x:c>
      <x:c r="C1900" s="2" t="str">
        <x:v>Baby, Feminine &amp; Family Care / organic_volume_growth</x:v>
      </x:c>
      <x:c r="D1900" s="7" t="n">
        <x:v>45291</x:v>
      </x:c>
      <x:c r="E1900" s="2" t="str">
        <x:v>Pre-earnings</x:v>
      </x:c>
      <x:c r="F1900" s="7" t="n">
        <x:v>45313</x:v>
      </x:c>
      <x:c r="G1900" s="2" t="str">
        <x:v>Own history</x:v>
      </x:c>
      <x:c r="H1900" s="8" t="n">
        <x:f>'Model fits'!AA1234</x:f>
        <x:v>-2.1325301204819276</x:v>
      </x:c>
      <x:c r="I1900" s="8" t="n">
        <x:f>0</x:f>
        <x:v>0</x:v>
      </x:c>
      <x:c r="J1900" s="8" t="n">
        <x:v>0</x:v>
      </x:c>
      <x:c r="K1900" s="8" t="n">
        <x:f>H1900-I1900*J1900</x:f>
        <x:v>-2.1325301204819276</x:v>
      </x:c>
      <x:c r="L1900" s="8" t="n">
        <x:f>'PG facts'!E87</x:f>
        <x:v>-2</x:v>
      </x:c>
      <x:c r="M1900" s="8" t="n">
        <x:f>K1900-L1900</x:f>
        <x:v>-0.13253012048192758</x:v>
      </x:c>
      <x:c r="N1900" s="8" t="n">
        <x:f>M1900^2</x:f>
        <x:v>0.01756423283495424</x:v>
      </x:c>
      <x:c r="O1900" s="8" t="n">
        <x:f>ABS(M1900)</x:f>
        <x:v>0.13253012048192758</x:v>
      </x:c>
      <x:c r="P1900" s="7" t="n">
        <x:v>45314</x:v>
      </x:c>
    </x:row>
    <x:row r="1901" ht="26" customHeight="1">
      <x:c r="A1901" s="2"/>
      <x:c r="B1901" s="2" t="n">
        <x:v>1896</x:v>
      </x:c>
      <x:c r="C1901" s="2" t="str">
        <x:v>Baby, Feminine &amp; Family Care / organic_volume_growth</x:v>
      </x:c>
      <x:c r="D1901" s="7" t="n">
        <x:v>45382</x:v>
      </x:c>
      <x:c r="E1901" s="2" t="str">
        <x:v>Origin</x:v>
      </x:c>
      <x:c r="F1901" s="7" t="n">
        <x:v>45292</x:v>
      </x:c>
      <x:c r="G1901" s="2" t="str">
        <x:v>Last actual</x:v>
      </x:c>
      <x:c r="H1901" s="8" t="n">
        <x:f>AVERAGE('PG facts'!E80)</x:f>
        <x:v>-3</x:v>
      </x:c>
      <x:c r="I1901" s="8" t="n">
        <x:f>0</x:f>
        <x:v>0</x:v>
      </x:c>
      <x:c r="J1901" s="8" t="n">
        <x:v>0</x:v>
      </x:c>
      <x:c r="K1901" s="8" t="n">
        <x:f>H1901-I1901*J1901</x:f>
        <x:v>-3</x:v>
      </x:c>
      <x:c r="L1901" s="8" t="n">
        <x:f>'PG facts'!E94</x:f>
        <x:v>-3</x:v>
      </x:c>
      <x:c r="M1901" s="8" t="n">
        <x:f>K1901-L1901</x:f>
        <x:v>0</x:v>
      </x:c>
      <x:c r="N1901" s="8" t="n">
        <x:f>M1901^2</x:f>
        <x:v>0</x:v>
      </x:c>
      <x:c r="O1901" s="8" t="n">
        <x:f>ABS(M1901)</x:f>
        <x:v>0</x:v>
      </x:c>
      <x:c r="P1901" s="7" t="n">
        <x:v>45401</x:v>
      </x:c>
    </x:row>
    <x:row r="1902" ht="26" customHeight="1">
      <x:c r="A1902" s="2"/>
      <x:c r="B1902" s="2" t="n">
        <x:v>1897</x:v>
      </x:c>
      <x:c r="C1902" s="2" t="str">
        <x:v>Baby, Feminine &amp; Family Care / organic_volume_growth</x:v>
      </x:c>
      <x:c r="D1902" s="7" t="n">
        <x:v>45382</x:v>
      </x:c>
      <x:c r="E1902" s="2" t="str">
        <x:v>Origin</x:v>
      </x:c>
      <x:c r="F1902" s="7" t="n">
        <x:v>45292</x:v>
      </x:c>
      <x:c r="G1902" s="2" t="str">
        <x:v>Four-quarter mean</x:v>
      </x:c>
      <x:c r="H1902" s="8" t="n">
        <x:f>AVERAGE('PG facts'!E59,'PG facts'!E66,'PG facts'!E73,'PG facts'!E80)</x:f>
        <x:v>-3.25</x:v>
      </x:c>
      <x:c r="I1902" s="8" t="n">
        <x:f>0</x:f>
        <x:v>0</x:v>
      </x:c>
      <x:c r="J1902" s="8" t="n">
        <x:v>0</x:v>
      </x:c>
      <x:c r="K1902" s="8" t="n">
        <x:f>H1902-I1902*J1902</x:f>
        <x:v>-3.25</x:v>
      </x:c>
      <x:c r="L1902" s="8" t="n">
        <x:f>'PG facts'!E94</x:f>
        <x:v>-3</x:v>
      </x:c>
      <x:c r="M1902" s="8" t="n">
        <x:f>K1902-L1902</x:f>
        <x:v>-0.25</x:v>
      </x:c>
      <x:c r="N1902" s="8" t="n">
        <x:f>M1902^2</x:f>
        <x:v>0.0625</x:v>
      </x:c>
      <x:c r="O1902" s="8" t="n">
        <x:f>ABS(M1902)</x:f>
        <x:v>0.25</x:v>
      </x:c>
      <x:c r="P1902" s="7" t="n">
        <x:v>45401</x:v>
      </x:c>
    </x:row>
    <x:row r="1903" ht="26" customHeight="1">
      <x:c r="A1903" s="2"/>
      <x:c r="B1903" s="2" t="n">
        <x:v>1898</x:v>
      </x:c>
      <x:c r="C1903" s="2" t="str">
        <x:v>Baby, Feminine &amp; Family Care / organic_volume_growth</x:v>
      </x:c>
      <x:c r="D1903" s="7" t="n">
        <x:v>45382</x:v>
      </x:c>
      <x:c r="E1903" s="2" t="str">
        <x:v>Origin</x:v>
      </x:c>
      <x:c r="F1903" s="7" t="n">
        <x:v>45292</x:v>
      </x:c>
      <x:c r="G1903" s="2" t="str">
        <x:v>Broad market</x:v>
      </x:c>
      <x:c r="H1903" s="8" t="n">
        <x:f>'Model fits'!AA1235</x:f>
        <x:v>-1.9479643872458903</x:v>
      </x:c>
      <x:c r="I1903" s="8" t="n">
        <x:f>0</x:f>
        <x:v>0</x:v>
      </x:c>
      <x:c r="J1903" s="8" t="n">
        <x:v>0</x:v>
      </x:c>
      <x:c r="K1903" s="8" t="n">
        <x:f>H1903-I1903*J1903</x:f>
        <x:v>-1.9479643872458903</x:v>
      </x:c>
      <x:c r="L1903" s="8" t="n">
        <x:f>'PG facts'!E94</x:f>
        <x:v>-3</x:v>
      </x:c>
      <x:c r="M1903" s="8" t="n">
        <x:f>K1903-L1903</x:f>
        <x:v>1.0520356127541097</x:v>
      </x:c>
      <x:c r="N1903" s="8" t="n">
        <x:f>M1903^2</x:f>
        <x:v>1.1067789305029152</x:v>
      </x:c>
      <x:c r="O1903" s="8" t="n">
        <x:f>ABS(M1903)</x:f>
        <x:v>1.0520356127541097</x:v>
      </x:c>
      <x:c r="P1903" s="7" t="n">
        <x:v>45401</x:v>
      </x:c>
    </x:row>
    <x:row r="1904" ht="26" customHeight="1">
      <x:c r="A1904" s="2"/>
      <x:c r="B1904" s="2" t="n">
        <x:v>1899</x:v>
      </x:c>
      <x:c r="C1904" s="2" t="str">
        <x:v>Baby, Feminine &amp; Family Care / organic_volume_growth</x:v>
      </x:c>
      <x:c r="D1904" s="7" t="n">
        <x:v>45382</x:v>
      </x:c>
      <x:c r="E1904" s="2" t="str">
        <x:v>Origin</x:v>
      </x:c>
      <x:c r="F1904" s="7" t="n">
        <x:v>45292</x:v>
      </x:c>
      <x:c r="G1904" s="2" t="str">
        <x:v>Broad rolling 8</x:v>
      </x:c>
      <x:c r="H1904" s="8" t="n">
        <x:f>'Model fits'!AA1236</x:f>
        <x:v>-1.6026388936753584</x:v>
      </x:c>
      <x:c r="I1904" s="8" t="n">
        <x:f>0</x:f>
        <x:v>0</x:v>
      </x:c>
      <x:c r="J1904" s="8" t="n">
        <x:v>0</x:v>
      </x:c>
      <x:c r="K1904" s="8" t="n">
        <x:f>H1904-I1904*J1904</x:f>
        <x:v>-1.6026388936753584</x:v>
      </x:c>
      <x:c r="L1904" s="8" t="n">
        <x:f>'PG facts'!E94</x:f>
        <x:v>-3</x:v>
      </x:c>
      <x:c r="M1904" s="8" t="n">
        <x:f>K1904-L1904</x:f>
        <x:v>1.3973611063246416</x:v>
      </x:c>
      <x:c r="N1904" s="8" t="n">
        <x:f>M1904^2</x:f>
        <x:v>1.9526180614688264</x:v>
      </x:c>
      <x:c r="O1904" s="8" t="n">
        <x:f>ABS(M1904)</x:f>
        <x:v>1.3973611063246416</x:v>
      </x:c>
      <x:c r="P1904" s="7" t="n">
        <x:v>45401</x:v>
      </x:c>
    </x:row>
    <x:row r="1905" ht="26" customHeight="1">
      <x:c r="A1905" s="2"/>
      <x:c r="B1905" s="2" t="n">
        <x:v>1900</x:v>
      </x:c>
      <x:c r="C1905" s="2" t="str">
        <x:v>Baby, Feminine &amp; Family Care / organic_volume_growth</x:v>
      </x:c>
      <x:c r="D1905" s="7" t="n">
        <x:v>45382</x:v>
      </x:c>
      <x:c r="E1905" s="2" t="str">
        <x:v>Origin</x:v>
      </x:c>
      <x:c r="F1905" s="7" t="n">
        <x:v>45292</x:v>
      </x:c>
      <x:c r="G1905" s="2" t="str">
        <x:v>Own history</x:v>
      </x:c>
      <x:c r="H1905" s="8" t="n">
        <x:f>'Model fits'!AA1237</x:f>
        <x:v>-1.173076923076923</x:v>
      </x:c>
      <x:c r="I1905" s="8" t="n">
        <x:f>0</x:f>
        <x:v>0</x:v>
      </x:c>
      <x:c r="J1905" s="8" t="n">
        <x:v>0</x:v>
      </x:c>
      <x:c r="K1905" s="8" t="n">
        <x:f>H1905-I1905*J1905</x:f>
        <x:v>-1.173076923076923</x:v>
      </x:c>
      <x:c r="L1905" s="8" t="n">
        <x:f>'PG facts'!E94</x:f>
        <x:v>-3</x:v>
      </x:c>
      <x:c r="M1905" s="8" t="n">
        <x:f>K1905-L1905</x:f>
        <x:v>1.826923076923077</x:v>
      </x:c>
      <x:c r="N1905" s="8" t="n">
        <x:f>M1905^2</x:f>
        <x:v>3.3376479289940835</x:v>
      </x:c>
      <x:c r="O1905" s="8" t="n">
        <x:f>ABS(M1905)</x:f>
        <x:v>1.826923076923077</x:v>
      </x:c>
      <x:c r="P1905" s="7" t="n">
        <x:v>45401</x:v>
      </x:c>
    </x:row>
    <x:row r="1906" ht="26" customHeight="1">
      <x:c r="A1906" s="2"/>
      <x:c r="B1906" s="2" t="n">
        <x:v>1901</x:v>
      </x:c>
      <x:c r="C1906" s="2" t="str">
        <x:v>Baby, Feminine &amp; Family Care / organic_volume_growth</x:v>
      </x:c>
      <x:c r="D1906" s="7" t="n">
        <x:v>45382</x:v>
      </x:c>
      <x:c r="E1906" s="2" t="str">
        <x:v>Prior report</x:v>
      </x:c>
      <x:c r="F1906" s="7" t="n">
        <x:v>45314</x:v>
      </x:c>
      <x:c r="G1906" s="2" t="str">
        <x:v>Last actual</x:v>
      </x:c>
      <x:c r="H1906" s="8" t="n">
        <x:f>AVERAGE('PG facts'!E87)</x:f>
        <x:v>-2</x:v>
      </x:c>
      <x:c r="I1906" s="8" t="n">
        <x:f>0</x:f>
        <x:v>0</x:v>
      </x:c>
      <x:c r="J1906" s="8" t="n">
        <x:v>0</x:v>
      </x:c>
      <x:c r="K1906" s="8" t="n">
        <x:f>H1906-I1906*J1906</x:f>
        <x:v>-2</x:v>
      </x:c>
      <x:c r="L1906" s="8" t="n">
        <x:f>'PG facts'!E94</x:f>
        <x:v>-3</x:v>
      </x:c>
      <x:c r="M1906" s="8" t="n">
        <x:f>K1906-L1906</x:f>
        <x:v>1</x:v>
      </x:c>
      <x:c r="N1906" s="8" t="n">
        <x:f>M1906^2</x:f>
        <x:v>1</x:v>
      </x:c>
      <x:c r="O1906" s="8" t="n">
        <x:f>ABS(M1906)</x:f>
        <x:v>1</x:v>
      </x:c>
      <x:c r="P1906" s="7" t="n">
        <x:v>45401</x:v>
      </x:c>
    </x:row>
    <x:row r="1907" ht="26" customHeight="1">
      <x:c r="A1907" s="2"/>
      <x:c r="B1907" s="2" t="n">
        <x:v>1902</x:v>
      </x:c>
      <x:c r="C1907" s="2" t="str">
        <x:v>Baby, Feminine &amp; Family Care / organic_volume_growth</x:v>
      </x:c>
      <x:c r="D1907" s="7" t="n">
        <x:v>45382</x:v>
      </x:c>
      <x:c r="E1907" s="2" t="str">
        <x:v>Prior report</x:v>
      </x:c>
      <x:c r="F1907" s="7" t="n">
        <x:v>45314</x:v>
      </x:c>
      <x:c r="G1907" s="2" t="str">
        <x:v>Four-quarter mean</x:v>
      </x:c>
      <x:c r="H1907" s="8" t="n">
        <x:f>AVERAGE('PG facts'!E66,'PG facts'!E73,'PG facts'!E80,'PG facts'!E87)</x:f>
        <x:v>-2.25</x:v>
      </x:c>
      <x:c r="I1907" s="8" t="n">
        <x:f>0</x:f>
        <x:v>0</x:v>
      </x:c>
      <x:c r="J1907" s="8" t="n">
        <x:v>0</x:v>
      </x:c>
      <x:c r="K1907" s="8" t="n">
        <x:f>H1907-I1907*J1907</x:f>
        <x:v>-2.25</x:v>
      </x:c>
      <x:c r="L1907" s="8" t="n">
        <x:f>'PG facts'!E94</x:f>
        <x:v>-3</x:v>
      </x:c>
      <x:c r="M1907" s="8" t="n">
        <x:f>K1907-L1907</x:f>
        <x:v>0.75</x:v>
      </x:c>
      <x:c r="N1907" s="8" t="n">
        <x:f>M1907^2</x:f>
        <x:v>0.5625</x:v>
      </x:c>
      <x:c r="O1907" s="8" t="n">
        <x:f>ABS(M1907)</x:f>
        <x:v>0.75</x:v>
      </x:c>
      <x:c r="P1907" s="7" t="n">
        <x:v>45401</x:v>
      </x:c>
    </x:row>
    <x:row r="1908" ht="26" customHeight="1">
      <x:c r="A1908" s="2"/>
      <x:c r="B1908" s="2" t="n">
        <x:v>1903</x:v>
      </x:c>
      <x:c r="C1908" s="2" t="str">
        <x:v>Baby, Feminine &amp; Family Care / organic_volume_growth</x:v>
      </x:c>
      <x:c r="D1908" s="7" t="n">
        <x:v>45382</x:v>
      </x:c>
      <x:c r="E1908" s="2" t="str">
        <x:v>Prior report</x:v>
      </x:c>
      <x:c r="F1908" s="7" t="n">
        <x:v>45314</x:v>
      </x:c>
      <x:c r="G1908" s="2" t="str">
        <x:v>Broad market</x:v>
      </x:c>
      <x:c r="H1908" s="8" t="n">
        <x:f>'Model fits'!AA1238</x:f>
        <x:v>-1.9479643872458903</x:v>
      </x:c>
      <x:c r="I1908" s="8" t="n">
        <x:f>0</x:f>
        <x:v>0</x:v>
      </x:c>
      <x:c r="J1908" s="8" t="n">
        <x:v>0</x:v>
      </x:c>
      <x:c r="K1908" s="8" t="n">
        <x:f>H1908-I1908*J1908</x:f>
        <x:v>-1.9479643872458903</x:v>
      </x:c>
      <x:c r="L1908" s="8" t="n">
        <x:f>'PG facts'!E94</x:f>
        <x:v>-3</x:v>
      </x:c>
      <x:c r="M1908" s="8" t="n">
        <x:f>K1908-L1908</x:f>
        <x:v>1.0520356127541097</x:v>
      </x:c>
      <x:c r="N1908" s="8" t="n">
        <x:f>M1908^2</x:f>
        <x:v>1.1067789305029152</x:v>
      </x:c>
      <x:c r="O1908" s="8" t="n">
        <x:f>ABS(M1908)</x:f>
        <x:v>1.0520356127541097</x:v>
      </x:c>
      <x:c r="P1908" s="7" t="n">
        <x:v>45401</x:v>
      </x:c>
    </x:row>
    <x:row r="1909" ht="26" customHeight="1">
      <x:c r="A1909" s="2"/>
      <x:c r="B1909" s="2" t="n">
        <x:v>1904</x:v>
      </x:c>
      <x:c r="C1909" s="2" t="str">
        <x:v>Baby, Feminine &amp; Family Care / organic_volume_growth</x:v>
      </x:c>
      <x:c r="D1909" s="7" t="n">
        <x:v>45382</x:v>
      </x:c>
      <x:c r="E1909" s="2" t="str">
        <x:v>Prior report</x:v>
      </x:c>
      <x:c r="F1909" s="7" t="n">
        <x:v>45314</x:v>
      </x:c>
      <x:c r="G1909" s="2" t="str">
        <x:v>Broad rolling 8</x:v>
      </x:c>
      <x:c r="H1909" s="8" t="n">
        <x:f>'Model fits'!AA1239</x:f>
        <x:v>-1.6026388936753584</x:v>
      </x:c>
      <x:c r="I1909" s="8" t="n">
        <x:f>0</x:f>
        <x:v>0</x:v>
      </x:c>
      <x:c r="J1909" s="8" t="n">
        <x:v>0</x:v>
      </x:c>
      <x:c r="K1909" s="8" t="n">
        <x:f>H1909-I1909*J1909</x:f>
        <x:v>-1.6026388936753584</x:v>
      </x:c>
      <x:c r="L1909" s="8" t="n">
        <x:f>'PG facts'!E94</x:f>
        <x:v>-3</x:v>
      </x:c>
      <x:c r="M1909" s="8" t="n">
        <x:f>K1909-L1909</x:f>
        <x:v>1.3973611063246416</x:v>
      </x:c>
      <x:c r="N1909" s="8" t="n">
        <x:f>M1909^2</x:f>
        <x:v>1.9526180614688264</x:v>
      </x:c>
      <x:c r="O1909" s="8" t="n">
        <x:f>ABS(M1909)</x:f>
        <x:v>1.3973611063246416</x:v>
      </x:c>
      <x:c r="P1909" s="7" t="n">
        <x:v>45401</x:v>
      </x:c>
    </x:row>
    <x:row r="1910" ht="26" customHeight="1">
      <x:c r="A1910" s="2"/>
      <x:c r="B1910" s="2" t="n">
        <x:v>1905</x:v>
      </x:c>
      <x:c r="C1910" s="2" t="str">
        <x:v>Baby, Feminine &amp; Family Care / organic_volume_growth</x:v>
      </x:c>
      <x:c r="D1910" s="7" t="n">
        <x:v>45382</x:v>
      </x:c>
      <x:c r="E1910" s="2" t="str">
        <x:v>Prior report</x:v>
      </x:c>
      <x:c r="F1910" s="7" t="n">
        <x:v>45314</x:v>
      </x:c>
      <x:c r="G1910" s="2" t="str">
        <x:v>Own history</x:v>
      </x:c>
      <x:c r="H1910" s="8" t="n">
        <x:f>'Model fits'!AA1240</x:f>
        <x:v>-1.668</x:v>
      </x:c>
      <x:c r="I1910" s="8" t="n">
        <x:f>0</x:f>
        <x:v>0</x:v>
      </x:c>
      <x:c r="J1910" s="8" t="n">
        <x:v>0</x:v>
      </x:c>
      <x:c r="K1910" s="8" t="n">
        <x:f>H1910-I1910*J1910</x:f>
        <x:v>-1.668</x:v>
      </x:c>
      <x:c r="L1910" s="8" t="n">
        <x:f>'PG facts'!E94</x:f>
        <x:v>-3</x:v>
      </x:c>
      <x:c r="M1910" s="8" t="n">
        <x:f>K1910-L1910</x:f>
        <x:v>1.332</x:v>
      </x:c>
      <x:c r="N1910" s="8" t="n">
        <x:f>M1910^2</x:f>
        <x:v>1.7742240000000002</x:v>
      </x:c>
      <x:c r="O1910" s="8" t="n">
        <x:f>ABS(M1910)</x:f>
        <x:v>1.332</x:v>
      </x:c>
      <x:c r="P1910" s="7" t="n">
        <x:v>45401</x:v>
      </x:c>
    </x:row>
    <x:row r="1911" ht="26" customHeight="1">
      <x:c r="A1911" s="2"/>
      <x:c r="B1911" s="2" t="n">
        <x:v>1906</x:v>
      </x:c>
      <x:c r="C1911" s="2" t="str">
        <x:v>Baby, Feminine &amp; Family Care / organic_volume_growth</x:v>
      </x:c>
      <x:c r="D1911" s="7" t="n">
        <x:v>45382</x:v>
      </x:c>
      <x:c r="E1911" s="2" t="str">
        <x:v>Pre-earnings</x:v>
      </x:c>
      <x:c r="F1911" s="7" t="n">
        <x:v>45400</x:v>
      </x:c>
      <x:c r="G1911" s="2" t="str">
        <x:v>Last actual</x:v>
      </x:c>
      <x:c r="H1911" s="8" t="n">
        <x:f>AVERAGE('PG facts'!E87)</x:f>
        <x:v>-2</x:v>
      </x:c>
      <x:c r="I1911" s="8" t="n">
        <x:f>0</x:f>
        <x:v>0</x:v>
      </x:c>
      <x:c r="J1911" s="8" t="n">
        <x:v>0</x:v>
      </x:c>
      <x:c r="K1911" s="8" t="n">
        <x:f>H1911-I1911*J1911</x:f>
        <x:v>-2</x:v>
      </x:c>
      <x:c r="L1911" s="8" t="n">
        <x:f>'PG facts'!E94</x:f>
        <x:v>-3</x:v>
      </x:c>
      <x:c r="M1911" s="8" t="n">
        <x:f>K1911-L1911</x:f>
        <x:v>1</x:v>
      </x:c>
      <x:c r="N1911" s="8" t="n">
        <x:f>M1911^2</x:f>
        <x:v>1</x:v>
      </x:c>
      <x:c r="O1911" s="8" t="n">
        <x:f>ABS(M1911)</x:f>
        <x:v>1</x:v>
      </x:c>
      <x:c r="P1911" s="7" t="n">
        <x:v>45401</x:v>
      </x:c>
    </x:row>
    <x:row r="1912" ht="26" customHeight="1">
      <x:c r="A1912" s="2"/>
      <x:c r="B1912" s="2" t="n">
        <x:v>1907</x:v>
      </x:c>
      <x:c r="C1912" s="2" t="str">
        <x:v>Baby, Feminine &amp; Family Care / organic_volume_growth</x:v>
      </x:c>
      <x:c r="D1912" s="7" t="n">
        <x:v>45382</x:v>
      </x:c>
      <x:c r="E1912" s="2" t="str">
        <x:v>Pre-earnings</x:v>
      </x:c>
      <x:c r="F1912" s="7" t="n">
        <x:v>45400</x:v>
      </x:c>
      <x:c r="G1912" s="2" t="str">
        <x:v>Four-quarter mean</x:v>
      </x:c>
      <x:c r="H1912" s="8" t="n">
        <x:f>AVERAGE('PG facts'!E66,'PG facts'!E73,'PG facts'!E80,'PG facts'!E87)</x:f>
        <x:v>-2.25</x:v>
      </x:c>
      <x:c r="I1912" s="8" t="n">
        <x:f>0</x:f>
        <x:v>0</x:v>
      </x:c>
      <x:c r="J1912" s="8" t="n">
        <x:v>0</x:v>
      </x:c>
      <x:c r="K1912" s="8" t="n">
        <x:f>H1912-I1912*J1912</x:f>
        <x:v>-2.25</x:v>
      </x:c>
      <x:c r="L1912" s="8" t="n">
        <x:f>'PG facts'!E94</x:f>
        <x:v>-3</x:v>
      </x:c>
      <x:c r="M1912" s="8" t="n">
        <x:f>K1912-L1912</x:f>
        <x:v>0.75</x:v>
      </x:c>
      <x:c r="N1912" s="8" t="n">
        <x:f>M1912^2</x:f>
        <x:v>0.5625</x:v>
      </x:c>
      <x:c r="O1912" s="8" t="n">
        <x:f>ABS(M1912)</x:f>
        <x:v>0.75</x:v>
      </x:c>
      <x:c r="P1912" s="7" t="n">
        <x:v>45401</x:v>
      </x:c>
    </x:row>
    <x:row r="1913" ht="26" customHeight="1">
      <x:c r="A1913" s="2"/>
      <x:c r="B1913" s="2" t="n">
        <x:v>1908</x:v>
      </x:c>
      <x:c r="C1913" s="2" t="str">
        <x:v>Baby, Feminine &amp; Family Care / organic_volume_growth</x:v>
      </x:c>
      <x:c r="D1913" s="7" t="n">
        <x:v>45382</x:v>
      </x:c>
      <x:c r="E1913" s="2" t="str">
        <x:v>Pre-earnings</x:v>
      </x:c>
      <x:c r="F1913" s="7" t="n">
        <x:v>45400</x:v>
      </x:c>
      <x:c r="G1913" s="2" t="str">
        <x:v>Broad market</x:v>
      </x:c>
      <x:c r="H1913" s="8" t="n">
        <x:f>'Model fits'!AA1241</x:f>
        <x:v>-1.9620474542005142</x:v>
      </x:c>
      <x:c r="I1913" s="8" t="n">
        <x:f>0</x:f>
        <x:v>0</x:v>
      </x:c>
      <x:c r="J1913" s="8" t="n">
        <x:v>0</x:v>
      </x:c>
      <x:c r="K1913" s="8" t="n">
        <x:f>H1913-I1913*J1913</x:f>
        <x:v>-1.9620474542005142</x:v>
      </x:c>
      <x:c r="L1913" s="8" t="n">
        <x:f>'PG facts'!E94</x:f>
        <x:v>-3</x:v>
      </x:c>
      <x:c r="M1913" s="8" t="n">
        <x:f>K1913-L1913</x:f>
        <x:v>1.0379525457994858</x:v>
      </x:c>
      <x:c r="N1913" s="8" t="n">
        <x:f>M1913^2</x:f>
        <x:v>1.0773454873316337</x:v>
      </x:c>
      <x:c r="O1913" s="8" t="n">
        <x:f>ABS(M1913)</x:f>
        <x:v>1.0379525457994858</x:v>
      </x:c>
      <x:c r="P1913" s="7" t="n">
        <x:v>45401</x:v>
      </x:c>
    </x:row>
    <x:row r="1914" ht="26" customHeight="1">
      <x:c r="A1914" s="2"/>
      <x:c r="B1914" s="2" t="n">
        <x:v>1909</x:v>
      </x:c>
      <x:c r="C1914" s="2" t="str">
        <x:v>Baby, Feminine &amp; Family Care / organic_volume_growth</x:v>
      </x:c>
      <x:c r="D1914" s="7" t="n">
        <x:v>45382</x:v>
      </x:c>
      <x:c r="E1914" s="2" t="str">
        <x:v>Pre-earnings</x:v>
      </x:c>
      <x:c r="F1914" s="7" t="n">
        <x:v>45400</x:v>
      </x:c>
      <x:c r="G1914" s="2" t="str">
        <x:v>Broad lag 1</x:v>
      </x:c>
      <x:c r="H1914" s="8" t="n">
        <x:f>'Model fits'!AA1242</x:f>
        <x:v>-2.054003385530775</x:v>
      </x:c>
      <x:c r="I1914" s="8" t="n">
        <x:f>0</x:f>
        <x:v>0</x:v>
      </x:c>
      <x:c r="J1914" s="8" t="n">
        <x:v>0</x:v>
      </x:c>
      <x:c r="K1914" s="8" t="n">
        <x:f>H1914-I1914*J1914</x:f>
        <x:v>-2.054003385530775</x:v>
      </x:c>
      <x:c r="L1914" s="8" t="n">
        <x:f>'PG facts'!E94</x:f>
        <x:v>-3</x:v>
      </x:c>
      <x:c r="M1914" s="8" t="n">
        <x:f>K1914-L1914</x:f>
        <x:v>0.9459966144692249</x:v>
      </x:c>
      <x:c r="N1914" s="8" t="n">
        <x:f>M1914^2</x:f>
        <x:v>0.8949095945872353</x:v>
      </x:c>
      <x:c r="O1914" s="8" t="n">
        <x:f>ABS(M1914)</x:f>
        <x:v>0.9459966144692249</x:v>
      </x:c>
      <x:c r="P1914" s="7" t="n">
        <x:v>45401</x:v>
      </x:c>
    </x:row>
    <x:row r="1915" ht="26" customHeight="1">
      <x:c r="A1915" s="2"/>
      <x:c r="B1915" s="2" t="n">
        <x:v>1910</x:v>
      </x:c>
      <x:c r="C1915" s="2" t="str">
        <x:v>Baby, Feminine &amp; Family Care / organic_volume_growth</x:v>
      </x:c>
      <x:c r="D1915" s="7" t="n">
        <x:v>45382</x:v>
      </x:c>
      <x:c r="E1915" s="2" t="str">
        <x:v>Pre-earnings</x:v>
      </x:c>
      <x:c r="F1915" s="7" t="n">
        <x:v>45400</x:v>
      </x:c>
      <x:c r="G1915" s="2" t="str">
        <x:v>Broad rolling 8</x:v>
      </x:c>
      <x:c r="H1915" s="8" t="n">
        <x:f>'Model fits'!AA1243</x:f>
        <x:v>-1.3083738060219363</x:v>
      </x:c>
      <x:c r="I1915" s="8" t="n">
        <x:f>0</x:f>
        <x:v>0</x:v>
      </x:c>
      <x:c r="J1915" s="8" t="n">
        <x:v>0</x:v>
      </x:c>
      <x:c r="K1915" s="8" t="n">
        <x:f>H1915-I1915*J1915</x:f>
        <x:v>-1.3083738060219363</x:v>
      </x:c>
      <x:c r="L1915" s="8" t="n">
        <x:f>'PG facts'!E94</x:f>
        <x:v>-3</x:v>
      </x:c>
      <x:c r="M1915" s="8" t="n">
        <x:f>K1915-L1915</x:f>
        <x:v>1.6916261939780637</x:v>
      </x:c>
      <x:c r="N1915" s="8" t="n">
        <x:f>M1915^2</x:f>
        <x:v>2.8615991801527096</x:v>
      </x:c>
      <x:c r="O1915" s="8" t="n">
        <x:f>ABS(M1915)</x:f>
        <x:v>1.6916261939780637</x:v>
      </x:c>
      <x:c r="P1915" s="7" t="n">
        <x:v>45401</x:v>
      </x:c>
    </x:row>
    <x:row r="1916" ht="26" customHeight="1">
      <x:c r="A1916" s="2"/>
      <x:c r="B1916" s="2" t="n">
        <x:v>1911</x:v>
      </x:c>
      <x:c r="C1916" s="2" t="str">
        <x:v>Baby, Feminine &amp; Family Care / organic_volume_growth</x:v>
      </x:c>
      <x:c r="D1916" s="7" t="n">
        <x:v>45382</x:v>
      </x:c>
      <x:c r="E1916" s="2" t="str">
        <x:v>Pre-earnings</x:v>
      </x:c>
      <x:c r="F1916" s="7" t="n">
        <x:v>45400</x:v>
      </x:c>
      <x:c r="G1916" s="2" t="str">
        <x:v>Own history</x:v>
      </x:c>
      <x:c r="H1916" s="8" t="n">
        <x:f>'Model fits'!AA1244</x:f>
        <x:v>-1.668</x:v>
      </x:c>
      <x:c r="I1916" s="8" t="n">
        <x:f>0</x:f>
        <x:v>0</x:v>
      </x:c>
      <x:c r="J1916" s="8" t="n">
        <x:v>0</x:v>
      </x:c>
      <x:c r="K1916" s="8" t="n">
        <x:f>H1916-I1916*J1916</x:f>
        <x:v>-1.668</x:v>
      </x:c>
      <x:c r="L1916" s="8" t="n">
        <x:f>'PG facts'!E94</x:f>
        <x:v>-3</x:v>
      </x:c>
      <x:c r="M1916" s="8" t="n">
        <x:f>K1916-L1916</x:f>
        <x:v>1.332</x:v>
      </x:c>
      <x:c r="N1916" s="8" t="n">
        <x:f>M1916^2</x:f>
        <x:v>1.7742240000000002</x:v>
      </x:c>
      <x:c r="O1916" s="8" t="n">
        <x:f>ABS(M1916)</x:f>
        <x:v>1.332</x:v>
      </x:c>
      <x:c r="P1916" s="7" t="n">
        <x:v>45401</x:v>
      </x:c>
    </x:row>
    <x:row r="1917" ht="26" customHeight="1">
      <x:c r="A1917" s="2"/>
      <x:c r="B1917" s="2" t="n">
        <x:v>1912</x:v>
      </x:c>
      <x:c r="C1917" s="2" t="str">
        <x:v>Baby, Feminine &amp; Family Care / organic_volume_growth</x:v>
      </x:c>
      <x:c r="D1917" s="7" t="n">
        <x:v>45473</x:v>
      </x:c>
      <x:c r="E1917" s="2" t="str">
        <x:v>Origin</x:v>
      </x:c>
      <x:c r="F1917" s="7" t="n">
        <x:v>45383</x:v>
      </x:c>
      <x:c r="G1917" s="2" t="str">
        <x:v>Last actual</x:v>
      </x:c>
      <x:c r="H1917" s="8" t="n">
        <x:f>AVERAGE('PG facts'!E87)</x:f>
        <x:v>-2</x:v>
      </x:c>
      <x:c r="I1917" s="8" t="n">
        <x:f>0</x:f>
        <x:v>0</x:v>
      </x:c>
      <x:c r="J1917" s="8" t="n">
        <x:v>0</x:v>
      </x:c>
      <x:c r="K1917" s="8" t="n">
        <x:f>H1917-I1917*J1917</x:f>
        <x:v>-2</x:v>
      </x:c>
      <x:c r="L1917" s="8" t="n">
        <x:f>'PG facts'!E101</x:f>
        <x:v>-1</x:v>
      </x:c>
      <x:c r="M1917" s="8" t="n">
        <x:f>K1917-L1917</x:f>
        <x:v>-1</x:v>
      </x:c>
      <x:c r="N1917" s="8" t="n">
        <x:f>M1917^2</x:f>
        <x:v>1</x:v>
      </x:c>
      <x:c r="O1917" s="8" t="n">
        <x:f>ABS(M1917)</x:f>
        <x:v>1</x:v>
      </x:c>
      <x:c r="P1917" s="7" t="n">
        <x:v>45503</x:v>
      </x:c>
    </x:row>
    <x:row r="1918" ht="26" customHeight="1">
      <x:c r="A1918" s="2"/>
      <x:c r="B1918" s="2" t="n">
        <x:v>1913</x:v>
      </x:c>
      <x:c r="C1918" s="2" t="str">
        <x:v>Baby, Feminine &amp; Family Care / organic_volume_growth</x:v>
      </x:c>
      <x:c r="D1918" s="7" t="n">
        <x:v>45473</x:v>
      </x:c>
      <x:c r="E1918" s="2" t="str">
        <x:v>Origin</x:v>
      </x:c>
      <x:c r="F1918" s="7" t="n">
        <x:v>45383</x:v>
      </x:c>
      <x:c r="G1918" s="2" t="str">
        <x:v>Four-quarter mean</x:v>
      </x:c>
      <x:c r="H1918" s="8" t="n">
        <x:f>AVERAGE('PG facts'!E66,'PG facts'!E73,'PG facts'!E80,'PG facts'!E87)</x:f>
        <x:v>-2.25</x:v>
      </x:c>
      <x:c r="I1918" s="8" t="n">
        <x:f>0</x:f>
        <x:v>0</x:v>
      </x:c>
      <x:c r="J1918" s="8" t="n">
        <x:v>0</x:v>
      </x:c>
      <x:c r="K1918" s="8" t="n">
        <x:f>H1918-I1918*J1918</x:f>
        <x:v>-2.25</x:v>
      </x:c>
      <x:c r="L1918" s="8" t="n">
        <x:f>'PG facts'!E101</x:f>
        <x:v>-1</x:v>
      </x:c>
      <x:c r="M1918" s="8" t="n">
        <x:f>K1918-L1918</x:f>
        <x:v>-1.25</x:v>
      </x:c>
      <x:c r="N1918" s="8" t="n">
        <x:f>M1918^2</x:f>
        <x:v>1.5625</x:v>
      </x:c>
      <x:c r="O1918" s="8" t="n">
        <x:f>ABS(M1918)</x:f>
        <x:v>1.25</x:v>
      </x:c>
      <x:c r="P1918" s="7" t="n">
        <x:v>45503</x:v>
      </x:c>
    </x:row>
    <x:row r="1919" ht="26" customHeight="1">
      <x:c r="A1919" s="2"/>
      <x:c r="B1919" s="2" t="n">
        <x:v>1914</x:v>
      </x:c>
      <x:c r="C1919" s="2" t="str">
        <x:v>Baby, Feminine &amp; Family Care / organic_volume_growth</x:v>
      </x:c>
      <x:c r="D1919" s="7" t="n">
        <x:v>45473</x:v>
      </x:c>
      <x:c r="E1919" s="2" t="str">
        <x:v>Origin</x:v>
      </x:c>
      <x:c r="F1919" s="7" t="n">
        <x:v>45383</x:v>
      </x:c>
      <x:c r="G1919" s="2" t="str">
        <x:v>Broad market</x:v>
      </x:c>
      <x:c r="H1919" s="8" t="n">
        <x:f>'Model fits'!AA1245</x:f>
        <x:v>-1.929424714830222</x:v>
      </x:c>
      <x:c r="I1919" s="8" t="n">
        <x:f>0</x:f>
        <x:v>0</x:v>
      </x:c>
      <x:c r="J1919" s="8" t="n">
        <x:v>0</x:v>
      </x:c>
      <x:c r="K1919" s="8" t="n">
        <x:f>H1919-I1919*J1919</x:f>
        <x:v>-1.929424714830222</x:v>
      </x:c>
      <x:c r="L1919" s="8" t="n">
        <x:f>'PG facts'!E101</x:f>
        <x:v>-1</x:v>
      </x:c>
      <x:c r="M1919" s="8" t="n">
        <x:f>K1919-L1919</x:f>
        <x:v>-0.9294247148302219</x:v>
      </x:c>
      <x:c r="N1919" s="8" t="n">
        <x:f>M1919^2</x:f>
        <x:v>0.8638303005372394</x:v>
      </x:c>
      <x:c r="O1919" s="8" t="n">
        <x:f>ABS(M1919)</x:f>
        <x:v>0.9294247148302219</x:v>
      </x:c>
      <x:c r="P1919" s="7" t="n">
        <x:v>45503</x:v>
      </x:c>
    </x:row>
    <x:row r="1920" ht="26" customHeight="1">
      <x:c r="A1920" s="2"/>
      <x:c r="B1920" s="2" t="n">
        <x:v>1915</x:v>
      </x:c>
      <x:c r="C1920" s="2" t="str">
        <x:v>Baby, Feminine &amp; Family Care / organic_volume_growth</x:v>
      </x:c>
      <x:c r="D1920" s="7" t="n">
        <x:v>45473</x:v>
      </x:c>
      <x:c r="E1920" s="2" t="str">
        <x:v>Origin</x:v>
      </x:c>
      <x:c r="F1920" s="7" t="n">
        <x:v>45383</x:v>
      </x:c>
      <x:c r="G1920" s="2" t="str">
        <x:v>Broad rolling 8</x:v>
      </x:c>
      <x:c r="H1920" s="8" t="n">
        <x:f>'Model fits'!AA1246</x:f>
        <x:v>-0.9754692712061739</x:v>
      </x:c>
      <x:c r="I1920" s="8" t="n">
        <x:f>0</x:f>
        <x:v>0</x:v>
      </x:c>
      <x:c r="J1920" s="8" t="n">
        <x:v>0</x:v>
      </x:c>
      <x:c r="K1920" s="8" t="n">
        <x:f>H1920-I1920*J1920</x:f>
        <x:v>-0.9754692712061739</x:v>
      </x:c>
      <x:c r="L1920" s="8" t="n">
        <x:f>'PG facts'!E101</x:f>
        <x:v>-1</x:v>
      </x:c>
      <x:c r="M1920" s="8" t="n">
        <x:f>K1920-L1920</x:f>
        <x:v>0.024530728793826118</x:v>
      </x:c>
      <x:c r="N1920" s="8" t="n">
        <x:f>M1920^2</x:f>
        <x:v>0.0006017566551562497</x:v>
      </x:c>
      <x:c r="O1920" s="8" t="n">
        <x:f>ABS(M1920)</x:f>
        <x:v>0.024530728793826118</x:v>
      </x:c>
      <x:c r="P1920" s="7" t="n">
        <x:v>45503</x:v>
      </x:c>
    </x:row>
    <x:row r="1921" ht="26" customHeight="1">
      <x:c r="A1921" s="2"/>
      <x:c r="B1921" s="2" t="n">
        <x:v>1916</x:v>
      </x:c>
      <x:c r="C1921" s="2" t="str">
        <x:v>Baby, Feminine &amp; Family Care / organic_volume_growth</x:v>
      </x:c>
      <x:c r="D1921" s="7" t="n">
        <x:v>45473</x:v>
      </x:c>
      <x:c r="E1921" s="2" t="str">
        <x:v>Origin</x:v>
      </x:c>
      <x:c r="F1921" s="7" t="n">
        <x:v>45383</x:v>
      </x:c>
      <x:c r="G1921" s="2" t="str">
        <x:v>Own history</x:v>
      </x:c>
      <x:c r="H1921" s="8" t="n">
        <x:f>'Model fits'!AA1247</x:f>
        <x:v>-1.3433734939759034</x:v>
      </x:c>
      <x:c r="I1921" s="8" t="n">
        <x:f>0</x:f>
        <x:v>0</x:v>
      </x:c>
      <x:c r="J1921" s="8" t="n">
        <x:v>0</x:v>
      </x:c>
      <x:c r="K1921" s="8" t="n">
        <x:f>H1921-I1921*J1921</x:f>
        <x:v>-1.3433734939759034</x:v>
      </x:c>
      <x:c r="L1921" s="8" t="n">
        <x:f>'PG facts'!E101</x:f>
        <x:v>-1</x:v>
      </x:c>
      <x:c r="M1921" s="8" t="n">
        <x:f>K1921-L1921</x:f>
        <x:v>-0.34337349397590344</x:v>
      </x:c>
      <x:c r="N1921" s="8" t="n">
        <x:f>M1921^2</x:f>
        <x:v>0.1179053563652198</x:v>
      </x:c>
      <x:c r="O1921" s="8" t="n">
        <x:f>ABS(M1921)</x:f>
        <x:v>0.34337349397590344</x:v>
      </x:c>
      <x:c r="P1921" s="7" t="n">
        <x:v>45503</x:v>
      </x:c>
    </x:row>
    <x:row r="1922" ht="26" customHeight="1">
      <x:c r="A1922" s="2"/>
      <x:c r="B1922" s="2" t="n">
        <x:v>1917</x:v>
      </x:c>
      <x:c r="C1922" s="2" t="str">
        <x:v>Baby, Feminine &amp; Family Care / organic_volume_growth</x:v>
      </x:c>
      <x:c r="D1922" s="7" t="n">
        <x:v>45473</x:v>
      </x:c>
      <x:c r="E1922" s="2" t="str">
        <x:v>Prior report</x:v>
      </x:c>
      <x:c r="F1922" s="7" t="n">
        <x:v>45401</x:v>
      </x:c>
      <x:c r="G1922" s="2" t="str">
        <x:v>Last actual</x:v>
      </x:c>
      <x:c r="H1922" s="8" t="n">
        <x:f>AVERAGE('PG facts'!E94)</x:f>
        <x:v>-3</x:v>
      </x:c>
      <x:c r="I1922" s="8" t="n">
        <x:f>0</x:f>
        <x:v>0</x:v>
      </x:c>
      <x:c r="J1922" s="8" t="n">
        <x:v>0</x:v>
      </x:c>
      <x:c r="K1922" s="8" t="n">
        <x:f>H1922-I1922*J1922</x:f>
        <x:v>-3</x:v>
      </x:c>
      <x:c r="L1922" s="8" t="n">
        <x:f>'PG facts'!E101</x:f>
        <x:v>-1</x:v>
      </x:c>
      <x:c r="M1922" s="8" t="n">
        <x:f>K1922-L1922</x:f>
        <x:v>-2</x:v>
      </x:c>
      <x:c r="N1922" s="8" t="n">
        <x:f>M1922^2</x:f>
        <x:v>4</x:v>
      </x:c>
      <x:c r="O1922" s="8" t="n">
        <x:f>ABS(M1922)</x:f>
        <x:v>2</x:v>
      </x:c>
      <x:c r="P1922" s="7" t="n">
        <x:v>45503</x:v>
      </x:c>
    </x:row>
    <x:row r="1923" ht="26" customHeight="1">
      <x:c r="A1923" s="2"/>
      <x:c r="B1923" s="2" t="n">
        <x:v>1918</x:v>
      </x:c>
      <x:c r="C1923" s="2" t="str">
        <x:v>Baby, Feminine &amp; Family Care / organic_volume_growth</x:v>
      </x:c>
      <x:c r="D1923" s="7" t="n">
        <x:v>45473</x:v>
      </x:c>
      <x:c r="E1923" s="2" t="str">
        <x:v>Prior report</x:v>
      </x:c>
      <x:c r="F1923" s="7" t="n">
        <x:v>45401</x:v>
      </x:c>
      <x:c r="G1923" s="2" t="str">
        <x:v>Four-quarter mean</x:v>
      </x:c>
      <x:c r="H1923" s="8" t="n">
        <x:f>AVERAGE('PG facts'!E73,'PG facts'!E80,'PG facts'!E87,'PG facts'!E94)</x:f>
        <x:v>-2</x:v>
      </x:c>
      <x:c r="I1923" s="8" t="n">
        <x:f>0</x:f>
        <x:v>0</x:v>
      </x:c>
      <x:c r="J1923" s="8" t="n">
        <x:v>0</x:v>
      </x:c>
      <x:c r="K1923" s="8" t="n">
        <x:f>H1923-I1923*J1923</x:f>
        <x:v>-2</x:v>
      </x:c>
      <x:c r="L1923" s="8" t="n">
        <x:f>'PG facts'!E101</x:f>
        <x:v>-1</x:v>
      </x:c>
      <x:c r="M1923" s="8" t="n">
        <x:f>K1923-L1923</x:f>
        <x:v>-1</x:v>
      </x:c>
      <x:c r="N1923" s="8" t="n">
        <x:f>M1923^2</x:f>
        <x:v>1</x:v>
      </x:c>
      <x:c r="O1923" s="8" t="n">
        <x:f>ABS(M1923)</x:f>
        <x:v>1</x:v>
      </x:c>
      <x:c r="P1923" s="7" t="n">
        <x:v>45503</x:v>
      </x:c>
    </x:row>
    <x:row r="1924" ht="26" customHeight="1">
      <x:c r="A1924" s="2"/>
      <x:c r="B1924" s="2" t="n">
        <x:v>1919</x:v>
      </x:c>
      <x:c r="C1924" s="2" t="str">
        <x:v>Baby, Feminine &amp; Family Care / organic_volume_growth</x:v>
      </x:c>
      <x:c r="D1924" s="7" t="n">
        <x:v>45473</x:v>
      </x:c>
      <x:c r="E1924" s="2" t="str">
        <x:v>Prior report</x:v>
      </x:c>
      <x:c r="F1924" s="7" t="n">
        <x:v>45401</x:v>
      </x:c>
      <x:c r="G1924" s="2" t="str">
        <x:v>Broad market</x:v>
      </x:c>
      <x:c r="H1924" s="8" t="n">
        <x:f>'Model fits'!AA1248</x:f>
        <x:v>-1.929424714830222</x:v>
      </x:c>
      <x:c r="I1924" s="8" t="n">
        <x:f>0</x:f>
        <x:v>0</x:v>
      </x:c>
      <x:c r="J1924" s="8" t="n">
        <x:v>0</x:v>
      </x:c>
      <x:c r="K1924" s="8" t="n">
        <x:f>H1924-I1924*J1924</x:f>
        <x:v>-1.929424714830222</x:v>
      </x:c>
      <x:c r="L1924" s="8" t="n">
        <x:f>'PG facts'!E101</x:f>
        <x:v>-1</x:v>
      </x:c>
      <x:c r="M1924" s="8" t="n">
        <x:f>K1924-L1924</x:f>
        <x:v>-0.9294247148302219</x:v>
      </x:c>
      <x:c r="N1924" s="8" t="n">
        <x:f>M1924^2</x:f>
        <x:v>0.8638303005372394</x:v>
      </x:c>
      <x:c r="O1924" s="8" t="n">
        <x:f>ABS(M1924)</x:f>
        <x:v>0.9294247148302219</x:v>
      </x:c>
      <x:c r="P1924" s="7" t="n">
        <x:v>45503</x:v>
      </x:c>
    </x:row>
    <x:row r="1925" ht="26" customHeight="1">
      <x:c r="A1925" s="2"/>
      <x:c r="B1925" s="2" t="n">
        <x:v>1920</x:v>
      </x:c>
      <x:c r="C1925" s="2" t="str">
        <x:v>Baby, Feminine &amp; Family Care / organic_volume_growth</x:v>
      </x:c>
      <x:c r="D1925" s="7" t="n">
        <x:v>45473</x:v>
      </x:c>
      <x:c r="E1925" s="2" t="str">
        <x:v>Prior report</x:v>
      </x:c>
      <x:c r="F1925" s="7" t="n">
        <x:v>45401</x:v>
      </x:c>
      <x:c r="G1925" s="2" t="str">
        <x:v>Broad rolling 8</x:v>
      </x:c>
      <x:c r="H1925" s="8" t="n">
        <x:f>'Model fits'!AA1249</x:f>
        <x:v>-0.9754692712061739</x:v>
      </x:c>
      <x:c r="I1925" s="8" t="n">
        <x:f>0</x:f>
        <x:v>0</x:v>
      </x:c>
      <x:c r="J1925" s="8" t="n">
        <x:v>0</x:v>
      </x:c>
      <x:c r="K1925" s="8" t="n">
        <x:f>H1925-I1925*J1925</x:f>
        <x:v>-0.9754692712061739</x:v>
      </x:c>
      <x:c r="L1925" s="8" t="n">
        <x:f>'PG facts'!E101</x:f>
        <x:v>-1</x:v>
      </x:c>
      <x:c r="M1925" s="8" t="n">
        <x:f>K1925-L1925</x:f>
        <x:v>0.024530728793826118</x:v>
      </x:c>
      <x:c r="N1925" s="8" t="n">
        <x:f>M1925^2</x:f>
        <x:v>0.0006017566551562497</x:v>
      </x:c>
      <x:c r="O1925" s="8" t="n">
        <x:f>ABS(M1925)</x:f>
        <x:v>0.024530728793826118</x:v>
      </x:c>
      <x:c r="P1925" s="7" t="n">
        <x:v>45503</x:v>
      </x:c>
    </x:row>
    <x:row r="1926" ht="26" customHeight="1">
      <x:c r="A1926" s="2"/>
      <x:c r="B1926" s="2" t="n">
        <x:v>1921</x:v>
      </x:c>
      <x:c r="C1926" s="2" t="str">
        <x:v>Baby, Feminine &amp; Family Care / organic_volume_growth</x:v>
      </x:c>
      <x:c r="D1926" s="7" t="n">
        <x:v>45473</x:v>
      </x:c>
      <x:c r="E1926" s="2" t="str">
        <x:v>Prior report</x:v>
      </x:c>
      <x:c r="F1926" s="7" t="n">
        <x:v>45401</x:v>
      </x:c>
      <x:c r="G1926" s="2" t="str">
        <x:v>Own history</x:v>
      </x:c>
      <x:c r="H1926" s="8" t="n">
        <x:f>'Model fits'!AA1250</x:f>
        <x:v>-2.2344322344322345</x:v>
      </x:c>
      <x:c r="I1926" s="8" t="n">
        <x:f>0</x:f>
        <x:v>0</x:v>
      </x:c>
      <x:c r="J1926" s="8" t="n">
        <x:v>0</x:v>
      </x:c>
      <x:c r="K1926" s="8" t="n">
        <x:f>H1926-I1926*J1926</x:f>
        <x:v>-2.2344322344322345</x:v>
      </x:c>
      <x:c r="L1926" s="8" t="n">
        <x:f>'PG facts'!E101</x:f>
        <x:v>-1</x:v>
      </x:c>
      <x:c r="M1926" s="8" t="n">
        <x:f>K1926-L1926</x:f>
        <x:v>-1.2344322344322345</x:v>
      </x:c>
      <x:c r="N1926" s="8" t="n">
        <x:f>M1926^2</x:f>
        <x:v>1.5238229414053592</x:v>
      </x:c>
      <x:c r="O1926" s="8" t="n">
        <x:f>ABS(M1926)</x:f>
        <x:v>1.2344322344322345</x:v>
      </x:c>
      <x:c r="P1926" s="7" t="n">
        <x:v>45503</x:v>
      </x:c>
    </x:row>
    <x:row r="1927" ht="26" customHeight="1">
      <x:c r="A1927" s="2"/>
      <x:c r="B1927" s="2" t="n">
        <x:v>1922</x:v>
      </x:c>
      <x:c r="C1927" s="2" t="str">
        <x:v>Baby, Feminine &amp; Family Care / organic_volume_growth</x:v>
      </x:c>
      <x:c r="D1927" s="7" t="n">
        <x:v>45473</x:v>
      </x:c>
      <x:c r="E1927" s="2" t="str">
        <x:v>Pre-earnings</x:v>
      </x:c>
      <x:c r="F1927" s="7" t="n">
        <x:v>45502</x:v>
      </x:c>
      <x:c r="G1927" s="2" t="str">
        <x:v>Last actual</x:v>
      </x:c>
      <x:c r="H1927" s="8" t="n">
        <x:f>AVERAGE('PG facts'!E94)</x:f>
        <x:v>-3</x:v>
      </x:c>
      <x:c r="I1927" s="8" t="n">
        <x:f>0</x:f>
        <x:v>0</x:v>
      </x:c>
      <x:c r="J1927" s="8" t="n">
        <x:v>0</x:v>
      </x:c>
      <x:c r="K1927" s="8" t="n">
        <x:f>H1927-I1927*J1927</x:f>
        <x:v>-3</x:v>
      </x:c>
      <x:c r="L1927" s="8" t="n">
        <x:f>'PG facts'!E101</x:f>
        <x:v>-1</x:v>
      </x:c>
      <x:c r="M1927" s="8" t="n">
        <x:f>K1927-L1927</x:f>
        <x:v>-2</x:v>
      </x:c>
      <x:c r="N1927" s="8" t="n">
        <x:f>M1927^2</x:f>
        <x:v>4</x:v>
      </x:c>
      <x:c r="O1927" s="8" t="n">
        <x:f>ABS(M1927)</x:f>
        <x:v>2</x:v>
      </x:c>
      <x:c r="P1927" s="7" t="n">
        <x:v>45503</x:v>
      </x:c>
    </x:row>
    <x:row r="1928" ht="26" customHeight="1">
      <x:c r="A1928" s="2"/>
      <x:c r="B1928" s="2" t="n">
        <x:v>1923</x:v>
      </x:c>
      <x:c r="C1928" s="2" t="str">
        <x:v>Baby, Feminine &amp; Family Care / organic_volume_growth</x:v>
      </x:c>
      <x:c r="D1928" s="7" t="n">
        <x:v>45473</x:v>
      </x:c>
      <x:c r="E1928" s="2" t="str">
        <x:v>Pre-earnings</x:v>
      </x:c>
      <x:c r="F1928" s="7" t="n">
        <x:v>45502</x:v>
      </x:c>
      <x:c r="G1928" s="2" t="str">
        <x:v>Four-quarter mean</x:v>
      </x:c>
      <x:c r="H1928" s="8" t="n">
        <x:f>AVERAGE('PG facts'!E73,'PG facts'!E80,'PG facts'!E87,'PG facts'!E94)</x:f>
        <x:v>-2</x:v>
      </x:c>
      <x:c r="I1928" s="8" t="n">
        <x:f>0</x:f>
        <x:v>0</x:v>
      </x:c>
      <x:c r="J1928" s="8" t="n">
        <x:v>0</x:v>
      </x:c>
      <x:c r="K1928" s="8" t="n">
        <x:f>H1928-I1928*J1928</x:f>
        <x:v>-2</x:v>
      </x:c>
      <x:c r="L1928" s="8" t="n">
        <x:f>'PG facts'!E101</x:f>
        <x:v>-1</x:v>
      </x:c>
      <x:c r="M1928" s="8" t="n">
        <x:f>K1928-L1928</x:f>
        <x:v>-1</x:v>
      </x:c>
      <x:c r="N1928" s="8" t="n">
        <x:f>M1928^2</x:f>
        <x:v>1</x:v>
      </x:c>
      <x:c r="O1928" s="8" t="n">
        <x:f>ABS(M1928)</x:f>
        <x:v>1</x:v>
      </x:c>
      <x:c r="P1928" s="7" t="n">
        <x:v>45503</x:v>
      </x:c>
    </x:row>
    <x:row r="1929" ht="26" customHeight="1">
      <x:c r="A1929" s="2"/>
      <x:c r="B1929" s="2" t="n">
        <x:v>1924</x:v>
      </x:c>
      <x:c r="C1929" s="2" t="str">
        <x:v>Baby, Feminine &amp; Family Care / organic_volume_growth</x:v>
      </x:c>
      <x:c r="D1929" s="7" t="n">
        <x:v>45473</x:v>
      </x:c>
      <x:c r="E1929" s="2" t="str">
        <x:v>Pre-earnings</x:v>
      </x:c>
      <x:c r="F1929" s="7" t="n">
        <x:v>45502</x:v>
      </x:c>
      <x:c r="G1929" s="2" t="str">
        <x:v>Broad market</x:v>
      </x:c>
      <x:c r="H1929" s="8" t="n">
        <x:f>'Model fits'!AA1251</x:f>
        <x:v>-2.0143770448392844</x:v>
      </x:c>
      <x:c r="I1929" s="8" t="n">
        <x:f>0</x:f>
        <x:v>0</x:v>
      </x:c>
      <x:c r="J1929" s="8" t="n">
        <x:v>0</x:v>
      </x:c>
      <x:c r="K1929" s="8" t="n">
        <x:f>H1929-I1929*J1929</x:f>
        <x:v>-2.0143770448392844</x:v>
      </x:c>
      <x:c r="L1929" s="8" t="n">
        <x:f>'PG facts'!E101</x:f>
        <x:v>-1</x:v>
      </x:c>
      <x:c r="M1929" s="8" t="n">
        <x:f>K1929-L1929</x:f>
        <x:v>-1.0143770448392844</x:v>
      </x:c>
      <x:c r="N1929" s="8" t="n">
        <x:f>M1929^2</x:f>
        <x:v>1.0289607890968795</x:v>
      </x:c>
      <x:c r="O1929" s="8" t="n">
        <x:f>ABS(M1929)</x:f>
        <x:v>1.0143770448392844</x:v>
      </x:c>
      <x:c r="P1929" s="7" t="n">
        <x:v>45503</x:v>
      </x:c>
    </x:row>
    <x:row r="1930" ht="26" customHeight="1">
      <x:c r="A1930" s="2"/>
      <x:c r="B1930" s="2" t="n">
        <x:v>1925</x:v>
      </x:c>
      <x:c r="C1930" s="2" t="str">
        <x:v>Baby, Feminine &amp; Family Care / organic_volume_growth</x:v>
      </x:c>
      <x:c r="D1930" s="7" t="n">
        <x:v>45473</x:v>
      </x:c>
      <x:c r="E1930" s="2" t="str">
        <x:v>Pre-earnings</x:v>
      </x:c>
      <x:c r="F1930" s="7" t="n">
        <x:v>45502</x:v>
      </x:c>
      <x:c r="G1930" s="2" t="str">
        <x:v>Broad lag 1</x:v>
      </x:c>
      <x:c r="H1930" s="8" t="n">
        <x:f>'Model fits'!AA1252</x:f>
        <x:v>-2.284616999595552</x:v>
      </x:c>
      <x:c r="I1930" s="8" t="n">
        <x:f>0</x:f>
        <x:v>0</x:v>
      </x:c>
      <x:c r="J1930" s="8" t="n">
        <x:v>0</x:v>
      </x:c>
      <x:c r="K1930" s="8" t="n">
        <x:f>H1930-I1930*J1930</x:f>
        <x:v>-2.284616999595552</x:v>
      </x:c>
      <x:c r="L1930" s="8" t="n">
        <x:f>'PG facts'!E101</x:f>
        <x:v>-1</x:v>
      </x:c>
      <x:c r="M1930" s="8" t="n">
        <x:f>K1930-L1930</x:f>
        <x:v>-1.2846169995955519</x:v>
      </x:c>
      <x:c r="N1930" s="8" t="n">
        <x:f>M1930^2</x:f>
        <x:v>1.6502408356498781</x:v>
      </x:c>
      <x:c r="O1930" s="8" t="n">
        <x:f>ABS(M1930)</x:f>
        <x:v>1.2846169995955519</x:v>
      </x:c>
      <x:c r="P1930" s="7" t="n">
        <x:v>45503</x:v>
      </x:c>
    </x:row>
    <x:row r="1931" ht="26" customHeight="1">
      <x:c r="A1931" s="2"/>
      <x:c r="B1931" s="2" t="n">
        <x:v>1926</x:v>
      </x:c>
      <x:c r="C1931" s="2" t="str">
        <x:v>Baby, Feminine &amp; Family Care / organic_volume_growth</x:v>
      </x:c>
      <x:c r="D1931" s="7" t="n">
        <x:v>45473</x:v>
      </x:c>
      <x:c r="E1931" s="2" t="str">
        <x:v>Pre-earnings</x:v>
      </x:c>
      <x:c r="F1931" s="7" t="n">
        <x:v>45502</x:v>
      </x:c>
      <x:c r="G1931" s="2" t="str">
        <x:v>Broad rolling 8</x:v>
      </x:c>
      <x:c r="H1931" s="8" t="n">
        <x:f>'Model fits'!AA1253</x:f>
        <x:v>-1.925644294014027</x:v>
      </x:c>
      <x:c r="I1931" s="8" t="n">
        <x:f>0</x:f>
        <x:v>0</x:v>
      </x:c>
      <x:c r="J1931" s="8" t="n">
        <x:v>0</x:v>
      </x:c>
      <x:c r="K1931" s="8" t="n">
        <x:f>H1931-I1931*J1931</x:f>
        <x:v>-1.925644294014027</x:v>
      </x:c>
      <x:c r="L1931" s="8" t="n">
        <x:f>'PG facts'!E101</x:f>
        <x:v>-1</x:v>
      </x:c>
      <x:c r="M1931" s="8" t="n">
        <x:f>K1931-L1931</x:f>
        <x:v>-0.925644294014027</x:v>
      </x:c>
      <x:c r="N1931" s="8" t="n">
        <x:f>M1931^2</x:f>
        <x:v>0.8568173590407265</x:v>
      </x:c>
      <x:c r="O1931" s="8" t="n">
        <x:f>ABS(M1931)</x:f>
        <x:v>0.925644294014027</x:v>
      </x:c>
      <x:c r="P1931" s="7" t="n">
        <x:v>45503</x:v>
      </x:c>
    </x:row>
    <x:row r="1932" ht="26" customHeight="1">
      <x:c r="A1932" s="2"/>
      <x:c r="B1932" s="2" t="n">
        <x:v>1927</x:v>
      </x:c>
      <x:c r="C1932" s="2" t="str">
        <x:v>Baby, Feminine &amp; Family Care / organic_volume_growth</x:v>
      </x:c>
      <x:c r="D1932" s="7" t="n">
        <x:v>45473</x:v>
      </x:c>
      <x:c r="E1932" s="2" t="str">
        <x:v>Pre-earnings</x:v>
      </x:c>
      <x:c r="F1932" s="7" t="n">
        <x:v>45502</x:v>
      </x:c>
      <x:c r="G1932" s="2" t="str">
        <x:v>Own history</x:v>
      </x:c>
      <x:c r="H1932" s="8" t="n">
        <x:f>'Model fits'!AA1254</x:f>
        <x:v>-2.2344322344322345</x:v>
      </x:c>
      <x:c r="I1932" s="8" t="n">
        <x:f>0</x:f>
        <x:v>0</x:v>
      </x:c>
      <x:c r="J1932" s="8" t="n">
        <x:v>0</x:v>
      </x:c>
      <x:c r="K1932" s="8" t="n">
        <x:f>H1932-I1932*J1932</x:f>
        <x:v>-2.2344322344322345</x:v>
      </x:c>
      <x:c r="L1932" s="8" t="n">
        <x:f>'PG facts'!E101</x:f>
        <x:v>-1</x:v>
      </x:c>
      <x:c r="M1932" s="8" t="n">
        <x:f>K1932-L1932</x:f>
        <x:v>-1.2344322344322345</x:v>
      </x:c>
      <x:c r="N1932" s="8" t="n">
        <x:f>M1932^2</x:f>
        <x:v>1.5238229414053592</x:v>
      </x:c>
      <x:c r="O1932" s="8" t="n">
        <x:f>ABS(M1932)</x:f>
        <x:v>1.2344322344322345</x:v>
      </x:c>
      <x:c r="P1932" s="7" t="n">
        <x:v>45503</x:v>
      </x:c>
    </x:row>
    <x:row r="1933" ht="26" customHeight="1">
      <x:c r="A1933" s="2"/>
      <x:c r="B1933" s="2" t="n">
        <x:v>1928</x:v>
      </x:c>
      <x:c r="C1933" s="2" t="str">
        <x:v>Baby, Feminine &amp; Family Care / organic_volume_growth</x:v>
      </x:c>
      <x:c r="D1933" s="7" t="n">
        <x:v>45565</x:v>
      </x:c>
      <x:c r="E1933" s="2" t="str">
        <x:v>Origin</x:v>
      </x:c>
      <x:c r="F1933" s="7" t="n">
        <x:v>45474</x:v>
      </x:c>
      <x:c r="G1933" s="2" t="str">
        <x:v>Last actual</x:v>
      </x:c>
      <x:c r="H1933" s="8" t="n">
        <x:f>AVERAGE('PG facts'!E94)</x:f>
        <x:v>-3</x:v>
      </x:c>
      <x:c r="I1933" s="8" t="n">
        <x:f>0</x:f>
        <x:v>0</x:v>
      </x:c>
      <x:c r="J1933" s="8" t="n">
        <x:v>0</x:v>
      </x:c>
      <x:c r="K1933" s="8" t="n">
        <x:f>H1933-I1933*J1933</x:f>
        <x:v>-3</x:v>
      </x:c>
      <x:c r="L1933" s="8" t="n">
        <x:f>'PG facts'!E108</x:f>
        <x:v>-1</x:v>
      </x:c>
      <x:c r="M1933" s="8" t="n">
        <x:f>K1933-L1933</x:f>
        <x:v>-2</x:v>
      </x:c>
      <x:c r="N1933" s="8" t="n">
        <x:f>M1933^2</x:f>
        <x:v>4</x:v>
      </x:c>
      <x:c r="O1933" s="8" t="n">
        <x:f>ABS(M1933)</x:f>
        <x:v>2</x:v>
      </x:c>
      <x:c r="P1933" s="7" t="n">
        <x:v>45583</x:v>
      </x:c>
    </x:row>
    <x:row r="1934" ht="26" customHeight="1">
      <x:c r="A1934" s="2"/>
      <x:c r="B1934" s="2" t="n">
        <x:v>1929</x:v>
      </x:c>
      <x:c r="C1934" s="2" t="str">
        <x:v>Baby, Feminine &amp; Family Care / organic_volume_growth</x:v>
      </x:c>
      <x:c r="D1934" s="7" t="n">
        <x:v>45565</x:v>
      </x:c>
      <x:c r="E1934" s="2" t="str">
        <x:v>Origin</x:v>
      </x:c>
      <x:c r="F1934" s="7" t="n">
        <x:v>45474</x:v>
      </x:c>
      <x:c r="G1934" s="2" t="str">
        <x:v>Four-quarter mean</x:v>
      </x:c>
      <x:c r="H1934" s="8" t="n">
        <x:f>AVERAGE('PG facts'!E73,'PG facts'!E80,'PG facts'!E87,'PG facts'!E94)</x:f>
        <x:v>-2</x:v>
      </x:c>
      <x:c r="I1934" s="8" t="n">
        <x:f>0</x:f>
        <x:v>0</x:v>
      </x:c>
      <x:c r="J1934" s="8" t="n">
        <x:v>0</x:v>
      </x:c>
      <x:c r="K1934" s="8" t="n">
        <x:f>H1934-I1934*J1934</x:f>
        <x:v>-2</x:v>
      </x:c>
      <x:c r="L1934" s="8" t="n">
        <x:f>'PG facts'!E108</x:f>
        <x:v>-1</x:v>
      </x:c>
      <x:c r="M1934" s="8" t="n">
        <x:f>K1934-L1934</x:f>
        <x:v>-1</x:v>
      </x:c>
      <x:c r="N1934" s="8" t="n">
        <x:f>M1934^2</x:f>
        <x:v>1</x:v>
      </x:c>
      <x:c r="O1934" s="8" t="n">
        <x:f>ABS(M1934)</x:f>
        <x:v>1</x:v>
      </x:c>
      <x:c r="P1934" s="7" t="n">
        <x:v>45583</x:v>
      </x:c>
    </x:row>
    <x:row r="1935" ht="26" customHeight="1">
      <x:c r="A1935" s="2"/>
      <x:c r="B1935" s="2" t="n">
        <x:v>1930</x:v>
      </x:c>
      <x:c r="C1935" s="2" t="str">
        <x:v>Baby, Feminine &amp; Family Care / organic_volume_growth</x:v>
      </x:c>
      <x:c r="D1935" s="7" t="n">
        <x:v>45565</x:v>
      </x:c>
      <x:c r="E1935" s="2" t="str">
        <x:v>Origin</x:v>
      </x:c>
      <x:c r="F1935" s="7" t="n">
        <x:v>45474</x:v>
      </x:c>
      <x:c r="G1935" s="2" t="str">
        <x:v>Broad market</x:v>
      </x:c>
      <x:c r="H1935" s="8" t="n">
        <x:f>'Model fits'!AA1255</x:f>
        <x:v>-2.0072610213353066</x:v>
      </x:c>
      <x:c r="I1935" s="8" t="n">
        <x:f>0</x:f>
        <x:v>0</x:v>
      </x:c>
      <x:c r="J1935" s="8" t="n">
        <x:v>0</x:v>
      </x:c>
      <x:c r="K1935" s="8" t="n">
        <x:f>H1935-I1935*J1935</x:f>
        <x:v>-2.0072610213353066</x:v>
      </x:c>
      <x:c r="L1935" s="8" t="n">
        <x:f>'PG facts'!E108</x:f>
        <x:v>-1</x:v>
      </x:c>
      <x:c r="M1935" s="8" t="n">
        <x:f>K1935-L1935</x:f>
        <x:v>-1.0072610213353066</x:v>
      </x:c>
      <x:c r="N1935" s="8" t="n">
        <x:f>M1935^2</x:f>
        <x:v>1.014574765101445</x:v>
      </x:c>
      <x:c r="O1935" s="8" t="n">
        <x:f>ABS(M1935)</x:f>
        <x:v>1.0072610213353066</x:v>
      </x:c>
      <x:c r="P1935" s="7" t="n">
        <x:v>45583</x:v>
      </x:c>
    </x:row>
    <x:row r="1936" ht="26" customHeight="1">
      <x:c r="A1936" s="2"/>
      <x:c r="B1936" s="2" t="n">
        <x:v>1931</x:v>
      </x:c>
      <x:c r="C1936" s="2" t="str">
        <x:v>Baby, Feminine &amp; Family Care / organic_volume_growth</x:v>
      </x:c>
      <x:c r="D1936" s="7" t="n">
        <x:v>45565</x:v>
      </x:c>
      <x:c r="E1936" s="2" t="str">
        <x:v>Origin</x:v>
      </x:c>
      <x:c r="F1936" s="7" t="n">
        <x:v>45474</x:v>
      </x:c>
      <x:c r="G1936" s="2" t="str">
        <x:v>Broad rolling 8</x:v>
      </x:c>
      <x:c r="H1936" s="8" t="n">
        <x:f>'Model fits'!AA1256</x:f>
        <x:v>-1.8917411328312606</x:v>
      </x:c>
      <x:c r="I1936" s="8" t="n">
        <x:f>0</x:f>
        <x:v>0</x:v>
      </x:c>
      <x:c r="J1936" s="8" t="n">
        <x:v>0</x:v>
      </x:c>
      <x:c r="K1936" s="8" t="n">
        <x:f>H1936-I1936*J1936</x:f>
        <x:v>-1.8917411328312606</x:v>
      </x:c>
      <x:c r="L1936" s="8" t="n">
        <x:f>'PG facts'!E108</x:f>
        <x:v>-1</x:v>
      </x:c>
      <x:c r="M1936" s="8" t="n">
        <x:f>K1936-L1936</x:f>
        <x:v>-0.8917411328312606</x:v>
      </x:c>
      <x:c r="N1936" s="8" t="n">
        <x:f>M1936^2</x:f>
        <x:v>0.7952022479831798</x:v>
      </x:c>
      <x:c r="O1936" s="8" t="n">
        <x:f>ABS(M1936)</x:f>
        <x:v>0.8917411328312606</x:v>
      </x:c>
      <x:c r="P1936" s="7" t="n">
        <x:v>45583</x:v>
      </x:c>
    </x:row>
    <x:row r="1937" ht="26" customHeight="1">
      <x:c r="A1937" s="2"/>
      <x:c r="B1937" s="2" t="n">
        <x:v>1932</x:v>
      </x:c>
      <x:c r="C1937" s="2" t="str">
        <x:v>Baby, Feminine &amp; Family Care / organic_volume_growth</x:v>
      </x:c>
      <x:c r="D1937" s="7" t="n">
        <x:v>45565</x:v>
      </x:c>
      <x:c r="E1937" s="2" t="str">
        <x:v>Origin</x:v>
      </x:c>
      <x:c r="F1937" s="7" t="n">
        <x:v>45474</x:v>
      </x:c>
      <x:c r="G1937" s="2" t="str">
        <x:v>Own history</x:v>
      </x:c>
      <x:c r="H1937" s="8" t="n">
        <x:f>'Model fits'!AA1257</x:f>
        <x:v>-1.408</x:v>
      </x:c>
      <x:c r="I1937" s="8" t="n">
        <x:f>0</x:f>
        <x:v>0</x:v>
      </x:c>
      <x:c r="J1937" s="8" t="n">
        <x:v>0</x:v>
      </x:c>
      <x:c r="K1937" s="8" t="n">
        <x:f>H1937-I1937*J1937</x:f>
        <x:v>-1.408</x:v>
      </x:c>
      <x:c r="L1937" s="8" t="n">
        <x:f>'PG facts'!E108</x:f>
        <x:v>-1</x:v>
      </x:c>
      <x:c r="M1937" s="8" t="n">
        <x:f>K1937-L1937</x:f>
        <x:v>-0.4079999999999999</x:v>
      </x:c>
      <x:c r="N1937" s="8" t="n">
        <x:f>M1937^2</x:f>
        <x:v>0.16646399999999995</x:v>
      </x:c>
      <x:c r="O1937" s="8" t="n">
        <x:f>ABS(M1937)</x:f>
        <x:v>0.4079999999999999</x:v>
      </x:c>
      <x:c r="P1937" s="7" t="n">
        <x:v>45583</x:v>
      </x:c>
    </x:row>
    <x:row r="1938" ht="26" customHeight="1">
      <x:c r="A1938" s="2"/>
      <x:c r="B1938" s="2" t="n">
        <x:v>1933</x:v>
      </x:c>
      <x:c r="C1938" s="2" t="str">
        <x:v>Baby, Feminine &amp; Family Care / organic_volume_growth</x:v>
      </x:c>
      <x:c r="D1938" s="7" t="n">
        <x:v>45565</x:v>
      </x:c>
      <x:c r="E1938" s="2" t="str">
        <x:v>Prior report</x:v>
      </x:c>
      <x:c r="F1938" s="7" t="n">
        <x:v>45503</x:v>
      </x:c>
      <x:c r="G1938" s="2" t="str">
        <x:v>Last actual</x:v>
      </x:c>
      <x:c r="H1938" s="8" t="n">
        <x:f>AVERAGE('PG facts'!E101)</x:f>
        <x:v>-1</x:v>
      </x:c>
      <x:c r="I1938" s="8" t="n">
        <x:f>0</x:f>
        <x:v>0</x:v>
      </x:c>
      <x:c r="J1938" s="8" t="n">
        <x:v>0</x:v>
      </x:c>
      <x:c r="K1938" s="8" t="n">
        <x:f>H1938-I1938*J1938</x:f>
        <x:v>-1</x:v>
      </x:c>
      <x:c r="L1938" s="8" t="n">
        <x:f>'PG facts'!E108</x:f>
        <x:v>-1</x:v>
      </x:c>
      <x:c r="M1938" s="8" t="n">
        <x:f>K1938-L1938</x:f>
        <x:v>0</x:v>
      </x:c>
      <x:c r="N1938" s="8" t="n">
        <x:f>M1938^2</x:f>
        <x:v>0</x:v>
      </x:c>
      <x:c r="O1938" s="8" t="n">
        <x:f>ABS(M1938)</x:f>
        <x:v>0</x:v>
      </x:c>
      <x:c r="P1938" s="7" t="n">
        <x:v>45583</x:v>
      </x:c>
    </x:row>
    <x:row r="1939" ht="26" customHeight="1">
      <x:c r="A1939" s="2"/>
      <x:c r="B1939" s="2" t="n">
        <x:v>1934</x:v>
      </x:c>
      <x:c r="C1939" s="2" t="str">
        <x:v>Baby, Feminine &amp; Family Care / organic_volume_growth</x:v>
      </x:c>
      <x:c r="D1939" s="7" t="n">
        <x:v>45565</x:v>
      </x:c>
      <x:c r="E1939" s="2" t="str">
        <x:v>Prior report</x:v>
      </x:c>
      <x:c r="F1939" s="7" t="n">
        <x:v>45503</x:v>
      </x:c>
      <x:c r="G1939" s="2" t="str">
        <x:v>Four-quarter mean</x:v>
      </x:c>
      <x:c r="H1939" s="8" t="n">
        <x:f>AVERAGE('PG facts'!E80,'PG facts'!E87,'PG facts'!E94,'PG facts'!E101)</x:f>
        <x:v>-2.25</x:v>
      </x:c>
      <x:c r="I1939" s="8" t="n">
        <x:f>0</x:f>
        <x:v>0</x:v>
      </x:c>
      <x:c r="J1939" s="8" t="n">
        <x:v>0</x:v>
      </x:c>
      <x:c r="K1939" s="8" t="n">
        <x:f>H1939-I1939*J1939</x:f>
        <x:v>-2.25</x:v>
      </x:c>
      <x:c r="L1939" s="8" t="n">
        <x:f>'PG facts'!E108</x:f>
        <x:v>-1</x:v>
      </x:c>
      <x:c r="M1939" s="8" t="n">
        <x:f>K1939-L1939</x:f>
        <x:v>-1.25</x:v>
      </x:c>
      <x:c r="N1939" s="8" t="n">
        <x:f>M1939^2</x:f>
        <x:v>1.5625</x:v>
      </x:c>
      <x:c r="O1939" s="8" t="n">
        <x:f>ABS(M1939)</x:f>
        <x:v>1.25</x:v>
      </x:c>
      <x:c r="P1939" s="7" t="n">
        <x:v>45583</x:v>
      </x:c>
    </x:row>
    <x:row r="1940" ht="26" customHeight="1">
      <x:c r="A1940" s="2"/>
      <x:c r="B1940" s="2" t="n">
        <x:v>1935</x:v>
      </x:c>
      <x:c r="C1940" s="2" t="str">
        <x:v>Baby, Feminine &amp; Family Care / organic_volume_growth</x:v>
      </x:c>
      <x:c r="D1940" s="7" t="n">
        <x:v>45565</x:v>
      </x:c>
      <x:c r="E1940" s="2" t="str">
        <x:v>Prior report</x:v>
      </x:c>
      <x:c r="F1940" s="7" t="n">
        <x:v>45503</x:v>
      </x:c>
      <x:c r="G1940" s="2" t="str">
        <x:v>Broad market</x:v>
      </x:c>
      <x:c r="H1940" s="8" t="n">
        <x:f>'Model fits'!AA1258</x:f>
        <x:v>-1.9335751121489584</x:v>
      </x:c>
      <x:c r="I1940" s="8" t="n">
        <x:f>0</x:f>
        <x:v>0</x:v>
      </x:c>
      <x:c r="J1940" s="8" t="n">
        <x:v>0</x:v>
      </x:c>
      <x:c r="K1940" s="8" t="n">
        <x:f>H1940-I1940*J1940</x:f>
        <x:v>-1.9335751121489584</x:v>
      </x:c>
      <x:c r="L1940" s="8" t="n">
        <x:f>'PG facts'!E108</x:f>
        <x:v>-1</x:v>
      </x:c>
      <x:c r="M1940" s="8" t="n">
        <x:f>K1940-L1940</x:f>
        <x:v>-0.9335751121489584</x:v>
      </x:c>
      <x:c r="N1940" s="8" t="n">
        <x:f>M1940^2</x:f>
        <x:v>0.8715624900239403</x:v>
      </x:c>
      <x:c r="O1940" s="8" t="n">
        <x:f>ABS(M1940)</x:f>
        <x:v>0.9335751121489584</x:v>
      </x:c>
      <x:c r="P1940" s="7" t="n">
        <x:v>45583</x:v>
      </x:c>
    </x:row>
    <x:row r="1941" ht="26" customHeight="1">
      <x:c r="A1941" s="2"/>
      <x:c r="B1941" s="2" t="n">
        <x:v>1936</x:v>
      </x:c>
      <x:c r="C1941" s="2" t="str">
        <x:v>Baby, Feminine &amp; Family Care / organic_volume_growth</x:v>
      </x:c>
      <x:c r="D1941" s="7" t="n">
        <x:v>45565</x:v>
      </x:c>
      <x:c r="E1941" s="2" t="str">
        <x:v>Prior report</x:v>
      </x:c>
      <x:c r="F1941" s="7" t="n">
        <x:v>45503</x:v>
      </x:c>
      <x:c r="G1941" s="2" t="str">
        <x:v>Broad lag 1</x:v>
      </x:c>
      <x:c r="H1941" s="8" t="n">
        <x:f>'Model fits'!AA1259</x:f>
        <x:v>-2.1310243295263094</x:v>
      </x:c>
      <x:c r="I1941" s="8" t="n">
        <x:f>0</x:f>
        <x:v>0</x:v>
      </x:c>
      <x:c r="J1941" s="8" t="n">
        <x:v>0</x:v>
      </x:c>
      <x:c r="K1941" s="8" t="n">
        <x:f>H1941-I1941*J1941</x:f>
        <x:v>-2.1310243295263094</x:v>
      </x:c>
      <x:c r="L1941" s="8" t="n">
        <x:f>'PG facts'!E108</x:f>
        <x:v>-1</x:v>
      </x:c>
      <x:c r="M1941" s="8" t="n">
        <x:f>K1941-L1941</x:f>
        <x:v>-1.1310243295263094</x:v>
      </x:c>
      <x:c r="N1941" s="8" t="n">
        <x:f>M1941^2</x:f>
        <x:v>1.2792160339804377</x:v>
      </x:c>
      <x:c r="O1941" s="8" t="n">
        <x:f>ABS(M1941)</x:f>
        <x:v>1.1310243295263094</x:v>
      </x:c>
      <x:c r="P1941" s="7" t="n">
        <x:v>45583</x:v>
      </x:c>
    </x:row>
    <x:row r="1942" ht="26" customHeight="1">
      <x:c r="A1942" s="2"/>
      <x:c r="B1942" s="2" t="n">
        <x:v>1937</x:v>
      </x:c>
      <x:c r="C1942" s="2" t="str">
        <x:v>Baby, Feminine &amp; Family Care / organic_volume_growth</x:v>
      </x:c>
      <x:c r="D1942" s="7" t="n">
        <x:v>45565</x:v>
      </x:c>
      <x:c r="E1942" s="2" t="str">
        <x:v>Prior report</x:v>
      </x:c>
      <x:c r="F1942" s="7" t="n">
        <x:v>45503</x:v>
      </x:c>
      <x:c r="G1942" s="2" t="str">
        <x:v>Broad rolling 8</x:v>
      </x:c>
      <x:c r="H1942" s="8" t="n">
        <x:f>'Model fits'!AA1260</x:f>
        <x:v>-1.9044820013514256</x:v>
      </x:c>
      <x:c r="I1942" s="8" t="n">
        <x:f>0</x:f>
        <x:v>0</x:v>
      </x:c>
      <x:c r="J1942" s="8" t="n">
        <x:v>0</x:v>
      </x:c>
      <x:c r="K1942" s="8" t="n">
        <x:f>H1942-I1942*J1942</x:f>
        <x:v>-1.9044820013514256</x:v>
      </x:c>
      <x:c r="L1942" s="8" t="n">
        <x:f>'PG facts'!E108</x:f>
        <x:v>-1</x:v>
      </x:c>
      <x:c r="M1942" s="8" t="n">
        <x:f>K1942-L1942</x:f>
        <x:v>-0.9044820013514256</x:v>
      </x:c>
      <x:c r="N1942" s="8" t="n">
        <x:f>M1942^2</x:f>
        <x:v>0.8180876907686804</x:v>
      </x:c>
      <x:c r="O1942" s="8" t="n">
        <x:f>ABS(M1942)</x:f>
        <x:v>0.9044820013514256</x:v>
      </x:c>
      <x:c r="P1942" s="7" t="n">
        <x:v>45583</x:v>
      </x:c>
    </x:row>
    <x:row r="1943" ht="26" customHeight="1">
      <x:c r="A1943" s="2"/>
      <x:c r="B1943" s="2" t="n">
        <x:v>1938</x:v>
      </x:c>
      <x:c r="C1943" s="2" t="str">
        <x:v>Baby, Feminine &amp; Family Care / organic_volume_growth</x:v>
      </x:c>
      <x:c r="D1943" s="7" t="n">
        <x:v>45565</x:v>
      </x:c>
      <x:c r="E1943" s="2" t="str">
        <x:v>Prior report</x:v>
      </x:c>
      <x:c r="F1943" s="7" t="n">
        <x:v>45503</x:v>
      </x:c>
      <x:c r="G1943" s="2" t="str">
        <x:v>Own history</x:v>
      </x:c>
      <x:c r="H1943" s="8" t="n">
        <x:f>'Model fits'!AA1261</x:f>
        <x:v>-1.2483443708609272</x:v>
      </x:c>
      <x:c r="I1943" s="8" t="n">
        <x:f>0</x:f>
        <x:v>0</x:v>
      </x:c>
      <x:c r="J1943" s="8" t="n">
        <x:v>0</x:v>
      </x:c>
      <x:c r="K1943" s="8" t="n">
        <x:f>H1943-I1943*J1943</x:f>
        <x:v>-1.2483443708609272</x:v>
      </x:c>
      <x:c r="L1943" s="8" t="n">
        <x:f>'PG facts'!E108</x:f>
        <x:v>-1</x:v>
      </x:c>
      <x:c r="M1943" s="8" t="n">
        <x:f>K1943-L1943</x:f>
        <x:v>-0.2483443708609272</x:v>
      </x:c>
      <x:c r="N1943" s="8" t="n">
        <x:f>M1943^2</x:f>
        <x:v>0.06167492653830975</x:v>
      </x:c>
      <x:c r="O1943" s="8" t="n">
        <x:f>ABS(M1943)</x:f>
        <x:v>0.2483443708609272</x:v>
      </x:c>
      <x:c r="P1943" s="7" t="n">
        <x:v>45583</x:v>
      </x:c>
    </x:row>
    <x:row r="1944" ht="26" customHeight="1">
      <x:c r="A1944" s="2"/>
      <x:c r="B1944" s="2" t="n">
        <x:v>1939</x:v>
      </x:c>
      <x:c r="C1944" s="2" t="str">
        <x:v>Baby, Feminine &amp; Family Care / organic_volume_growth</x:v>
      </x:c>
      <x:c r="D1944" s="7" t="n">
        <x:v>45565</x:v>
      </x:c>
      <x:c r="E1944" s="2" t="str">
        <x:v>Pre-earnings</x:v>
      </x:c>
      <x:c r="F1944" s="7" t="n">
        <x:v>45582</x:v>
      </x:c>
      <x:c r="G1944" s="2" t="str">
        <x:v>Last actual</x:v>
      </x:c>
      <x:c r="H1944" s="8" t="n">
        <x:f>AVERAGE('PG facts'!E101)</x:f>
        <x:v>-1</x:v>
      </x:c>
      <x:c r="I1944" s="8" t="n">
        <x:f>0</x:f>
        <x:v>0</x:v>
      </x:c>
      <x:c r="J1944" s="8" t="n">
        <x:v>0</x:v>
      </x:c>
      <x:c r="K1944" s="8" t="n">
        <x:f>H1944-I1944*J1944</x:f>
        <x:v>-1</x:v>
      </x:c>
      <x:c r="L1944" s="8" t="n">
        <x:f>'PG facts'!E108</x:f>
        <x:v>-1</x:v>
      </x:c>
      <x:c r="M1944" s="8" t="n">
        <x:f>K1944-L1944</x:f>
        <x:v>0</x:v>
      </x:c>
      <x:c r="N1944" s="8" t="n">
        <x:f>M1944^2</x:f>
        <x:v>0</x:v>
      </x:c>
      <x:c r="O1944" s="8" t="n">
        <x:f>ABS(M1944)</x:f>
        <x:v>0</x:v>
      </x:c>
      <x:c r="P1944" s="7" t="n">
        <x:v>45583</x:v>
      </x:c>
    </x:row>
    <x:row r="1945" ht="26" customHeight="1">
      <x:c r="A1945" s="2"/>
      <x:c r="B1945" s="2" t="n">
        <x:v>1940</x:v>
      </x:c>
      <x:c r="C1945" s="2" t="str">
        <x:v>Baby, Feminine &amp; Family Care / organic_volume_growth</x:v>
      </x:c>
      <x:c r="D1945" s="7" t="n">
        <x:v>45565</x:v>
      </x:c>
      <x:c r="E1945" s="2" t="str">
        <x:v>Pre-earnings</x:v>
      </x:c>
      <x:c r="F1945" s="7" t="n">
        <x:v>45582</x:v>
      </x:c>
      <x:c r="G1945" s="2" t="str">
        <x:v>Four-quarter mean</x:v>
      </x:c>
      <x:c r="H1945" s="8" t="n">
        <x:f>AVERAGE('PG facts'!E80,'PG facts'!E87,'PG facts'!E94,'PG facts'!E101)</x:f>
        <x:v>-2.25</x:v>
      </x:c>
      <x:c r="I1945" s="8" t="n">
        <x:f>0</x:f>
        <x:v>0</x:v>
      </x:c>
      <x:c r="J1945" s="8" t="n">
        <x:v>0</x:v>
      </x:c>
      <x:c r="K1945" s="8" t="n">
        <x:f>H1945-I1945*J1945</x:f>
        <x:v>-2.25</x:v>
      </x:c>
      <x:c r="L1945" s="8" t="n">
        <x:f>'PG facts'!E108</x:f>
        <x:v>-1</x:v>
      </x:c>
      <x:c r="M1945" s="8" t="n">
        <x:f>K1945-L1945</x:f>
        <x:v>-1.25</x:v>
      </x:c>
      <x:c r="N1945" s="8" t="n">
        <x:f>M1945^2</x:f>
        <x:v>1.5625</x:v>
      </x:c>
      <x:c r="O1945" s="8" t="n">
        <x:f>ABS(M1945)</x:f>
        <x:v>1.25</x:v>
      </x:c>
      <x:c r="P1945" s="7" t="n">
        <x:v>45583</x:v>
      </x:c>
    </x:row>
    <x:row r="1946" ht="26" customHeight="1">
      <x:c r="A1946" s="2"/>
      <x:c r="B1946" s="2" t="n">
        <x:v>1941</x:v>
      </x:c>
      <x:c r="C1946" s="2" t="str">
        <x:v>Baby, Feminine &amp; Family Care / organic_volume_growth</x:v>
      </x:c>
      <x:c r="D1946" s="7" t="n">
        <x:v>45565</x:v>
      </x:c>
      <x:c r="E1946" s="2" t="str">
        <x:v>Pre-earnings</x:v>
      </x:c>
      <x:c r="F1946" s="7" t="n">
        <x:v>45582</x:v>
      </x:c>
      <x:c r="G1946" s="2" t="str">
        <x:v>Broad market</x:v>
      </x:c>
      <x:c r="H1946" s="8" t="n">
        <x:f>'Model fits'!AA1262</x:f>
        <x:v>-1.8619377972414963</x:v>
      </x:c>
      <x:c r="I1946" s="8" t="n">
        <x:f>0</x:f>
        <x:v>0</x:v>
      </x:c>
      <x:c r="J1946" s="8" t="n">
        <x:v>0</x:v>
      </x:c>
      <x:c r="K1946" s="8" t="n">
        <x:f>H1946-I1946*J1946</x:f>
        <x:v>-1.8619377972414963</x:v>
      </x:c>
      <x:c r="L1946" s="8" t="n">
        <x:f>'PG facts'!E108</x:f>
        <x:v>-1</x:v>
      </x:c>
      <x:c r="M1946" s="8" t="n">
        <x:f>K1946-L1946</x:f>
        <x:v>-0.8619377972414963</x:v>
      </x:c>
      <x:c r="N1946" s="8" t="n">
        <x:f>M1946^2</x:f>
        <x:v>0.7429367663135228</x:v>
      </x:c>
      <x:c r="O1946" s="8" t="n">
        <x:f>ABS(M1946)</x:f>
        <x:v>0.8619377972414963</x:v>
      </x:c>
      <x:c r="P1946" s="7" t="n">
        <x:v>45583</x:v>
      </x:c>
    </x:row>
    <x:row r="1947" ht="26" customHeight="1">
      <x:c r="A1947" s="2"/>
      <x:c r="B1947" s="2" t="n">
        <x:v>1942</x:v>
      </x:c>
      <x:c r="C1947" s="2" t="str">
        <x:v>Baby, Feminine &amp; Family Care / organic_volume_growth</x:v>
      </x:c>
      <x:c r="D1947" s="7" t="n">
        <x:v>45565</x:v>
      </x:c>
      <x:c r="E1947" s="2" t="str">
        <x:v>Pre-earnings</x:v>
      </x:c>
      <x:c r="F1947" s="7" t="n">
        <x:v>45582</x:v>
      </x:c>
      <x:c r="G1947" s="2" t="str">
        <x:v>Broad lag 1</x:v>
      </x:c>
      <x:c r="H1947" s="8" t="n">
        <x:f>'Model fits'!AA1263</x:f>
        <x:v>-2.010351840243592</x:v>
      </x:c>
      <x:c r="I1947" s="8" t="n">
        <x:f>0</x:f>
        <x:v>0</x:v>
      </x:c>
      <x:c r="J1947" s="8" t="n">
        <x:v>0</x:v>
      </x:c>
      <x:c r="K1947" s="8" t="n">
        <x:f>H1947-I1947*J1947</x:f>
        <x:v>-2.010351840243592</x:v>
      </x:c>
      <x:c r="L1947" s="8" t="n">
        <x:f>'PG facts'!E108</x:f>
        <x:v>-1</x:v>
      </x:c>
      <x:c r="M1947" s="8" t="n">
        <x:f>K1947-L1947</x:f>
        <x:v>-1.010351840243592</x:v>
      </x:c>
      <x:c r="N1947" s="8" t="n">
        <x:f>M1947^2</x:f>
        <x:v>1.020810841083613</x:v>
      </x:c>
      <x:c r="O1947" s="8" t="n">
        <x:f>ABS(M1947)</x:f>
        <x:v>1.010351840243592</x:v>
      </x:c>
      <x:c r="P1947" s="7" t="n">
        <x:v>45583</x:v>
      </x:c>
    </x:row>
    <x:row r="1948" ht="26" customHeight="1">
      <x:c r="A1948" s="2"/>
      <x:c r="B1948" s="2" t="n">
        <x:v>1943</x:v>
      </x:c>
      <x:c r="C1948" s="2" t="str">
        <x:v>Baby, Feminine &amp; Family Care / organic_volume_growth</x:v>
      </x:c>
      <x:c r="D1948" s="7" t="n">
        <x:v>45565</x:v>
      </x:c>
      <x:c r="E1948" s="2" t="str">
        <x:v>Pre-earnings</x:v>
      </x:c>
      <x:c r="F1948" s="7" t="n">
        <x:v>45582</x:v>
      </x:c>
      <x:c r="G1948" s="2" t="str">
        <x:v>Broad rolling 8</x:v>
      </x:c>
      <x:c r="H1948" s="8" t="n">
        <x:f>'Model fits'!AA1264</x:f>
        <x:v>-1.517058065690051</x:v>
      </x:c>
      <x:c r="I1948" s="8" t="n">
        <x:f>0</x:f>
        <x:v>0</x:v>
      </x:c>
      <x:c r="J1948" s="8" t="n">
        <x:v>0</x:v>
      </x:c>
      <x:c r="K1948" s="8" t="n">
        <x:f>H1948-I1948*J1948</x:f>
        <x:v>-1.517058065690051</x:v>
      </x:c>
      <x:c r="L1948" s="8" t="n">
        <x:f>'PG facts'!E108</x:f>
        <x:v>-1</x:v>
      </x:c>
      <x:c r="M1948" s="8" t="n">
        <x:f>K1948-L1948</x:f>
        <x:v>-0.517058065690051</x:v>
      </x:c>
      <x:c r="N1948" s="8" t="n">
        <x:f>M1948^2</x:f>
        <x:v>0.2673490432951371</x:v>
      </x:c>
      <x:c r="O1948" s="8" t="n">
        <x:f>ABS(M1948)</x:f>
        <x:v>0.517058065690051</x:v>
      </x:c>
      <x:c r="P1948" s="7" t="n">
        <x:v>45583</x:v>
      </x:c>
    </x:row>
    <x:row r="1949" ht="26" customHeight="1">
      <x:c r="A1949" s="2"/>
      <x:c r="B1949" s="2" t="n">
        <x:v>1944</x:v>
      </x:c>
      <x:c r="C1949" s="2" t="str">
        <x:v>Baby, Feminine &amp; Family Care / organic_volume_growth</x:v>
      </x:c>
      <x:c r="D1949" s="7" t="n">
        <x:v>45565</x:v>
      </x:c>
      <x:c r="E1949" s="2" t="str">
        <x:v>Pre-earnings</x:v>
      </x:c>
      <x:c r="F1949" s="7" t="n">
        <x:v>45582</x:v>
      </x:c>
      <x:c r="G1949" s="2" t="str">
        <x:v>Own history</x:v>
      </x:c>
      <x:c r="H1949" s="8" t="n">
        <x:f>'Model fits'!AA1265</x:f>
        <x:v>-1.2483443708609272</x:v>
      </x:c>
      <x:c r="I1949" s="8" t="n">
        <x:f>0</x:f>
        <x:v>0</x:v>
      </x:c>
      <x:c r="J1949" s="8" t="n">
        <x:v>0</x:v>
      </x:c>
      <x:c r="K1949" s="8" t="n">
        <x:f>H1949-I1949*J1949</x:f>
        <x:v>-1.2483443708609272</x:v>
      </x:c>
      <x:c r="L1949" s="8" t="n">
        <x:f>'PG facts'!E108</x:f>
        <x:v>-1</x:v>
      </x:c>
      <x:c r="M1949" s="8" t="n">
        <x:f>K1949-L1949</x:f>
        <x:v>-0.2483443708609272</x:v>
      </x:c>
      <x:c r="N1949" s="8" t="n">
        <x:f>M1949^2</x:f>
        <x:v>0.06167492653830975</x:v>
      </x:c>
      <x:c r="O1949" s="8" t="n">
        <x:f>ABS(M1949)</x:f>
        <x:v>0.2483443708609272</x:v>
      </x:c>
      <x:c r="P1949" s="7" t="n">
        <x:v>45583</x:v>
      </x:c>
    </x:row>
    <x:row r="1950" ht="26" customHeight="1">
      <x:c r="A1950" s="2"/>
      <x:c r="B1950" s="2" t="n">
        <x:v>1945</x:v>
      </x:c>
      <x:c r="C1950" s="2" t="str">
        <x:v>Baby, Feminine &amp; Family Care / organic_volume_growth</x:v>
      </x:c>
      <x:c r="D1950" s="7" t="n">
        <x:v>45657</x:v>
      </x:c>
      <x:c r="E1950" s="2" t="str">
        <x:v>Origin</x:v>
      </x:c>
      <x:c r="F1950" s="7" t="n">
        <x:v>45566</x:v>
      </x:c>
      <x:c r="G1950" s="2" t="str">
        <x:v>Last actual</x:v>
      </x:c>
      <x:c r="H1950" s="8" t="n">
        <x:f>AVERAGE('PG facts'!E101)</x:f>
        <x:v>-1</x:v>
      </x:c>
      <x:c r="I1950" s="8" t="n">
        <x:f>0</x:f>
        <x:v>0</x:v>
      </x:c>
      <x:c r="J1950" s="8" t="n">
        <x:v>0</x:v>
      </x:c>
      <x:c r="K1950" s="8" t="n">
        <x:f>H1950-I1950*J1950</x:f>
        <x:v>-1</x:v>
      </x:c>
      <x:c r="L1950" s="8" t="n">
        <x:f>'PG facts'!E115</x:f>
        <x:v>4</x:v>
      </x:c>
      <x:c r="M1950" s="8" t="n">
        <x:f>K1950-L1950</x:f>
        <x:v>-5</x:v>
      </x:c>
      <x:c r="N1950" s="8" t="n">
        <x:f>M1950^2</x:f>
        <x:v>25</x:v>
      </x:c>
      <x:c r="O1950" s="8" t="n">
        <x:f>ABS(M1950)</x:f>
        <x:v>5</x:v>
      </x:c>
      <x:c r="P1950" s="7" t="n">
        <x:v>45679</x:v>
      </x:c>
    </x:row>
    <x:row r="1951" ht="26" customHeight="1">
      <x:c r="A1951" s="2"/>
      <x:c r="B1951" s="2" t="n">
        <x:v>1946</x:v>
      </x:c>
      <x:c r="C1951" s="2" t="str">
        <x:v>Baby, Feminine &amp; Family Care / organic_volume_growth</x:v>
      </x:c>
      <x:c r="D1951" s="7" t="n">
        <x:v>45657</x:v>
      </x:c>
      <x:c r="E1951" s="2" t="str">
        <x:v>Origin</x:v>
      </x:c>
      <x:c r="F1951" s="7" t="n">
        <x:v>45566</x:v>
      </x:c>
      <x:c r="G1951" s="2" t="str">
        <x:v>Four-quarter mean</x:v>
      </x:c>
      <x:c r="H1951" s="8" t="n">
        <x:f>AVERAGE('PG facts'!E80,'PG facts'!E87,'PG facts'!E94,'PG facts'!E101)</x:f>
        <x:v>-2.25</x:v>
      </x:c>
      <x:c r="I1951" s="8" t="n">
        <x:f>0</x:f>
        <x:v>0</x:v>
      </x:c>
      <x:c r="J1951" s="8" t="n">
        <x:v>0</x:v>
      </x:c>
      <x:c r="K1951" s="8" t="n">
        <x:f>H1951-I1951*J1951</x:f>
        <x:v>-2.25</x:v>
      </x:c>
      <x:c r="L1951" s="8" t="n">
        <x:f>'PG facts'!E115</x:f>
        <x:v>4</x:v>
      </x:c>
      <x:c r="M1951" s="8" t="n">
        <x:f>K1951-L1951</x:f>
        <x:v>-6.25</x:v>
      </x:c>
      <x:c r="N1951" s="8" t="n">
        <x:f>M1951^2</x:f>
        <x:v>39.0625</x:v>
      </x:c>
      <x:c r="O1951" s="8" t="n">
        <x:f>ABS(M1951)</x:f>
        <x:v>6.25</x:v>
      </x:c>
      <x:c r="P1951" s="7" t="n">
        <x:v>45679</x:v>
      </x:c>
    </x:row>
    <x:row r="1952" ht="26" customHeight="1">
      <x:c r="A1952" s="2"/>
      <x:c r="B1952" s="2" t="n">
        <x:v>1947</x:v>
      </x:c>
      <x:c r="C1952" s="2" t="str">
        <x:v>Baby, Feminine &amp; Family Care / organic_volume_growth</x:v>
      </x:c>
      <x:c r="D1952" s="7" t="n">
        <x:v>45657</x:v>
      </x:c>
      <x:c r="E1952" s="2" t="str">
        <x:v>Origin</x:v>
      </x:c>
      <x:c r="F1952" s="7" t="n">
        <x:v>45566</x:v>
      </x:c>
      <x:c r="G1952" s="2" t="str">
        <x:v>Broad market</x:v>
      </x:c>
      <x:c r="H1952" s="8" t="n">
        <x:f>'Model fits'!AA1266</x:f>
        <x:v>-1.862489404553953</x:v>
      </x:c>
      <x:c r="I1952" s="8" t="n">
        <x:f>0</x:f>
        <x:v>0</x:v>
      </x:c>
      <x:c r="J1952" s="8" t="n">
        <x:v>0</x:v>
      </x:c>
      <x:c r="K1952" s="8" t="n">
        <x:f>H1952-I1952*J1952</x:f>
        <x:v>-1.862489404553953</x:v>
      </x:c>
      <x:c r="L1952" s="8" t="n">
        <x:f>'PG facts'!E115</x:f>
        <x:v>4</x:v>
      </x:c>
      <x:c r="M1952" s="8" t="n">
        <x:f>K1952-L1952</x:f>
        <x:v>-5.862489404553953</x:v>
      </x:c>
      <x:c r="N1952" s="8" t="n">
        <x:f>M1952^2</x:f>
        <x:v>34.36878201850736</x:v>
      </x:c>
      <x:c r="O1952" s="8" t="n">
        <x:f>ABS(M1952)</x:f>
        <x:v>5.862489404553953</x:v>
      </x:c>
      <x:c r="P1952" s="7" t="n">
        <x:v>45679</x:v>
      </x:c>
    </x:row>
    <x:row r="1953" ht="26" customHeight="1">
      <x:c r="A1953" s="2"/>
      <x:c r="B1953" s="2" t="n">
        <x:v>1948</x:v>
      </x:c>
      <x:c r="C1953" s="2" t="str">
        <x:v>Baby, Feminine &amp; Family Care / organic_volume_growth</x:v>
      </x:c>
      <x:c r="D1953" s="7" t="n">
        <x:v>45657</x:v>
      </x:c>
      <x:c r="E1953" s="2" t="str">
        <x:v>Origin</x:v>
      </x:c>
      <x:c r="F1953" s="7" t="n">
        <x:v>45566</x:v>
      </x:c>
      <x:c r="G1953" s="2" t="str">
        <x:v>Broad rolling 8</x:v>
      </x:c>
      <x:c r="H1953" s="8" t="n">
        <x:f>'Model fits'!AA1267</x:f>
        <x:v>-1.5210398076421507</x:v>
      </x:c>
      <x:c r="I1953" s="8" t="n">
        <x:f>0</x:f>
        <x:v>0</x:v>
      </x:c>
      <x:c r="J1953" s="8" t="n">
        <x:v>0</x:v>
      </x:c>
      <x:c r="K1953" s="8" t="n">
        <x:f>H1953-I1953*J1953</x:f>
        <x:v>-1.5210398076421507</x:v>
      </x:c>
      <x:c r="L1953" s="8" t="n">
        <x:f>'PG facts'!E115</x:f>
        <x:v>4</x:v>
      </x:c>
      <x:c r="M1953" s="8" t="n">
        <x:f>K1953-L1953</x:f>
        <x:v>-5.5210398076421505</x:v>
      </x:c>
      <x:c r="N1953" s="8" t="n">
        <x:f>M1953^2</x:f>
        <x:v>30.481880557569273</x:v>
      </x:c>
      <x:c r="O1953" s="8" t="n">
        <x:f>ABS(M1953)</x:f>
        <x:v>5.5210398076421505</x:v>
      </x:c>
      <x:c r="P1953" s="7" t="n">
        <x:v>45679</x:v>
      </x:c>
    </x:row>
    <x:row r="1954" ht="26" customHeight="1">
      <x:c r="A1954" s="2"/>
      <x:c r="B1954" s="2" t="n">
        <x:v>1949</x:v>
      </x:c>
      <x:c r="C1954" s="2" t="str">
        <x:v>Baby, Feminine &amp; Family Care / organic_volume_growth</x:v>
      </x:c>
      <x:c r="D1954" s="7" t="n">
        <x:v>45657</x:v>
      </x:c>
      <x:c r="E1954" s="2" t="str">
        <x:v>Origin</x:v>
      </x:c>
      <x:c r="F1954" s="7" t="n">
        <x:v>45566</x:v>
      </x:c>
      <x:c r="G1954" s="2" t="str">
        <x:v>Own history</x:v>
      </x:c>
      <x:c r="H1954" s="8" t="n">
        <x:f>'Model fits'!AA1268</x:f>
        <x:v>-1.5824175824175823</x:v>
      </x:c>
      <x:c r="I1954" s="8" t="n">
        <x:f>0</x:f>
        <x:v>0</x:v>
      </x:c>
      <x:c r="J1954" s="8" t="n">
        <x:v>0</x:v>
      </x:c>
      <x:c r="K1954" s="8" t="n">
        <x:f>H1954-I1954*J1954</x:f>
        <x:v>-1.5824175824175823</x:v>
      </x:c>
      <x:c r="L1954" s="8" t="n">
        <x:f>'PG facts'!E115</x:f>
        <x:v>4</x:v>
      </x:c>
      <x:c r="M1954" s="8" t="n">
        <x:f>K1954-L1954</x:f>
        <x:v>-5.582417582417582</x:v>
      </x:c>
      <x:c r="N1954" s="8" t="n">
        <x:f>M1954^2</x:f>
        <x:v>31.163386064484964</x:v>
      </x:c>
      <x:c r="O1954" s="8" t="n">
        <x:f>ABS(M1954)</x:f>
        <x:v>5.582417582417582</x:v>
      </x:c>
      <x:c r="P1954" s="7" t="n">
        <x:v>45679</x:v>
      </x:c>
    </x:row>
    <x:row r="1955" ht="26" customHeight="1">
      <x:c r="A1955" s="2"/>
      <x:c r="B1955" s="2" t="n">
        <x:v>1950</x:v>
      </x:c>
      <x:c r="C1955" s="2" t="str">
        <x:v>Baby, Feminine &amp; Family Care / organic_volume_growth</x:v>
      </x:c>
      <x:c r="D1955" s="7" t="n">
        <x:v>45657</x:v>
      </x:c>
      <x:c r="E1955" s="2" t="str">
        <x:v>Prior report</x:v>
      </x:c>
      <x:c r="F1955" s="7" t="n">
        <x:v>45583</x:v>
      </x:c>
      <x:c r="G1955" s="2" t="str">
        <x:v>Last actual</x:v>
      </x:c>
      <x:c r="H1955" s="8" t="n">
        <x:f>AVERAGE('PG facts'!E108)</x:f>
        <x:v>-1</x:v>
      </x:c>
      <x:c r="I1955" s="8" t="n">
        <x:f>0</x:f>
        <x:v>0</x:v>
      </x:c>
      <x:c r="J1955" s="8" t="n">
        <x:v>0</x:v>
      </x:c>
      <x:c r="K1955" s="8" t="n">
        <x:f>H1955-I1955*J1955</x:f>
        <x:v>-1</x:v>
      </x:c>
      <x:c r="L1955" s="8" t="n">
        <x:f>'PG facts'!E115</x:f>
        <x:v>4</x:v>
      </x:c>
      <x:c r="M1955" s="8" t="n">
        <x:f>K1955-L1955</x:f>
        <x:v>-5</x:v>
      </x:c>
      <x:c r="N1955" s="8" t="n">
        <x:f>M1955^2</x:f>
        <x:v>25</x:v>
      </x:c>
      <x:c r="O1955" s="8" t="n">
        <x:f>ABS(M1955)</x:f>
        <x:v>5</x:v>
      </x:c>
      <x:c r="P1955" s="7" t="n">
        <x:v>45679</x:v>
      </x:c>
    </x:row>
    <x:row r="1956" ht="26" customHeight="1">
      <x:c r="A1956" s="2"/>
      <x:c r="B1956" s="2" t="n">
        <x:v>1951</x:v>
      </x:c>
      <x:c r="C1956" s="2" t="str">
        <x:v>Baby, Feminine &amp; Family Care / organic_volume_growth</x:v>
      </x:c>
      <x:c r="D1956" s="7" t="n">
        <x:v>45657</x:v>
      </x:c>
      <x:c r="E1956" s="2" t="str">
        <x:v>Prior report</x:v>
      </x:c>
      <x:c r="F1956" s="7" t="n">
        <x:v>45583</x:v>
      </x:c>
      <x:c r="G1956" s="2" t="str">
        <x:v>Four-quarter mean</x:v>
      </x:c>
      <x:c r="H1956" s="8" t="n">
        <x:f>AVERAGE('PG facts'!E87,'PG facts'!E94,'PG facts'!E101,'PG facts'!E108)</x:f>
        <x:v>-1.75</x:v>
      </x:c>
      <x:c r="I1956" s="8" t="n">
        <x:f>0</x:f>
        <x:v>0</x:v>
      </x:c>
      <x:c r="J1956" s="8" t="n">
        <x:v>0</x:v>
      </x:c>
      <x:c r="K1956" s="8" t="n">
        <x:f>H1956-I1956*J1956</x:f>
        <x:v>-1.75</x:v>
      </x:c>
      <x:c r="L1956" s="8" t="n">
        <x:f>'PG facts'!E115</x:f>
        <x:v>4</x:v>
      </x:c>
      <x:c r="M1956" s="8" t="n">
        <x:f>K1956-L1956</x:f>
        <x:v>-5.75</x:v>
      </x:c>
      <x:c r="N1956" s="8" t="n">
        <x:f>M1956^2</x:f>
        <x:v>33.0625</x:v>
      </x:c>
      <x:c r="O1956" s="8" t="n">
        <x:f>ABS(M1956)</x:f>
        <x:v>5.75</x:v>
      </x:c>
      <x:c r="P1956" s="7" t="n">
        <x:v>45679</x:v>
      </x:c>
    </x:row>
    <x:row r="1957" ht="26" customHeight="1">
      <x:c r="A1957" s="2"/>
      <x:c r="B1957" s="2" t="n">
        <x:v>1952</x:v>
      </x:c>
      <x:c r="C1957" s="2" t="str">
        <x:v>Baby, Feminine &amp; Family Care / organic_volume_growth</x:v>
      </x:c>
      <x:c r="D1957" s="7" t="n">
        <x:v>45657</x:v>
      </x:c>
      <x:c r="E1957" s="2" t="str">
        <x:v>Prior report</x:v>
      </x:c>
      <x:c r="F1957" s="7" t="n">
        <x:v>45583</x:v>
      </x:c>
      <x:c r="G1957" s="2" t="str">
        <x:v>Broad market</x:v>
      </x:c>
      <x:c r="H1957" s="8" t="n">
        <x:f>'Model fits'!AA1269</x:f>
        <x:v>-1.862489404553953</x:v>
      </x:c>
      <x:c r="I1957" s="8" t="n">
        <x:f>0</x:f>
        <x:v>0</x:v>
      </x:c>
      <x:c r="J1957" s="8" t="n">
        <x:v>0</x:v>
      </x:c>
      <x:c r="K1957" s="8" t="n">
        <x:f>H1957-I1957*J1957</x:f>
        <x:v>-1.862489404553953</x:v>
      </x:c>
      <x:c r="L1957" s="8" t="n">
        <x:f>'PG facts'!E115</x:f>
        <x:v>4</x:v>
      </x:c>
      <x:c r="M1957" s="8" t="n">
        <x:f>K1957-L1957</x:f>
        <x:v>-5.862489404553953</x:v>
      </x:c>
      <x:c r="N1957" s="8" t="n">
        <x:f>M1957^2</x:f>
        <x:v>34.36878201850736</x:v>
      </x:c>
      <x:c r="O1957" s="8" t="n">
        <x:f>ABS(M1957)</x:f>
        <x:v>5.862489404553953</x:v>
      </x:c>
      <x:c r="P1957" s="7" t="n">
        <x:v>45679</x:v>
      </x:c>
    </x:row>
    <x:row r="1958" ht="26" customHeight="1">
      <x:c r="A1958" s="2"/>
      <x:c r="B1958" s="2" t="n">
        <x:v>1953</x:v>
      </x:c>
      <x:c r="C1958" s="2" t="str">
        <x:v>Baby, Feminine &amp; Family Care / organic_volume_growth</x:v>
      </x:c>
      <x:c r="D1958" s="7" t="n">
        <x:v>45657</x:v>
      </x:c>
      <x:c r="E1958" s="2" t="str">
        <x:v>Prior report</x:v>
      </x:c>
      <x:c r="F1958" s="7" t="n">
        <x:v>45583</x:v>
      </x:c>
      <x:c r="G1958" s="2" t="str">
        <x:v>Broad rolling 8</x:v>
      </x:c>
      <x:c r="H1958" s="8" t="n">
        <x:f>'Model fits'!AA1270</x:f>
        <x:v>-1.5210398076421507</x:v>
      </x:c>
      <x:c r="I1958" s="8" t="n">
        <x:f>0</x:f>
        <x:v>0</x:v>
      </x:c>
      <x:c r="J1958" s="8" t="n">
        <x:v>0</x:v>
      </x:c>
      <x:c r="K1958" s="8" t="n">
        <x:f>H1958-I1958*J1958</x:f>
        <x:v>-1.5210398076421507</x:v>
      </x:c>
      <x:c r="L1958" s="8" t="n">
        <x:f>'PG facts'!E115</x:f>
        <x:v>4</x:v>
      </x:c>
      <x:c r="M1958" s="8" t="n">
        <x:f>K1958-L1958</x:f>
        <x:v>-5.5210398076421505</x:v>
      </x:c>
      <x:c r="N1958" s="8" t="n">
        <x:f>M1958^2</x:f>
        <x:v>30.481880557569273</x:v>
      </x:c>
      <x:c r="O1958" s="8" t="n">
        <x:f>ABS(M1958)</x:f>
        <x:v>5.5210398076421505</x:v>
      </x:c>
      <x:c r="P1958" s="7" t="n">
        <x:v>45679</x:v>
      </x:c>
    </x:row>
    <x:row r="1959" ht="26" customHeight="1">
      <x:c r="A1959" s="2"/>
      <x:c r="B1959" s="2" t="n">
        <x:v>1954</x:v>
      </x:c>
      <x:c r="C1959" s="2" t="str">
        <x:v>Baby, Feminine &amp; Family Care / organic_volume_growth</x:v>
      </x:c>
      <x:c r="D1959" s="7" t="n">
        <x:v>45657</x:v>
      </x:c>
      <x:c r="E1959" s="2" t="str">
        <x:v>Prior report</x:v>
      </x:c>
      <x:c r="F1959" s="7" t="n">
        <x:v>45583</x:v>
      </x:c>
      <x:c r="G1959" s="2" t="str">
        <x:v>Own history</x:v>
      </x:c>
      <x:c r="H1959" s="8" t="n">
        <x:f>'Model fits'!AA1271</x:f>
        <x:v>-1.2284263959390862</x:v>
      </x:c>
      <x:c r="I1959" s="8" t="n">
        <x:f>0</x:f>
        <x:v>0</x:v>
      </x:c>
      <x:c r="J1959" s="8" t="n">
        <x:v>0</x:v>
      </x:c>
      <x:c r="K1959" s="8" t="n">
        <x:f>H1959-I1959*J1959</x:f>
        <x:v>-1.2284263959390862</x:v>
      </x:c>
      <x:c r="L1959" s="8" t="n">
        <x:f>'PG facts'!E115</x:f>
        <x:v>4</x:v>
      </x:c>
      <x:c r="M1959" s="8" t="n">
        <x:f>K1959-L1959</x:f>
        <x:v>-5.228426395939087</x:v>
      </x:c>
      <x:c r="N1959" s="8" t="n">
        <x:f>M1959^2</x:f>
        <x:v>27.336442577752585</x:v>
      </x:c>
      <x:c r="O1959" s="8" t="n">
        <x:f>ABS(M1959)</x:f>
        <x:v>5.228426395939087</x:v>
      </x:c>
      <x:c r="P1959" s="7" t="n">
        <x:v>45679</x:v>
      </x:c>
    </x:row>
    <x:row r="1960" ht="26" customHeight="1">
      <x:c r="A1960" s="2"/>
      <x:c r="B1960" s="2" t="n">
        <x:v>1955</x:v>
      </x:c>
      <x:c r="C1960" s="2" t="str">
        <x:v>Baby, Feminine &amp; Family Care / organic_volume_growth</x:v>
      </x:c>
      <x:c r="D1960" s="7" t="n">
        <x:v>45657</x:v>
      </x:c>
      <x:c r="E1960" s="2" t="str">
        <x:v>Pre-earnings</x:v>
      </x:c>
      <x:c r="F1960" s="7" t="n">
        <x:v>45678</x:v>
      </x:c>
      <x:c r="G1960" s="2" t="str">
        <x:v>Last actual</x:v>
      </x:c>
      <x:c r="H1960" s="8" t="n">
        <x:f>AVERAGE('PG facts'!E108)</x:f>
        <x:v>-1</x:v>
      </x:c>
      <x:c r="I1960" s="8" t="n">
        <x:f>0</x:f>
        <x:v>0</x:v>
      </x:c>
      <x:c r="J1960" s="8" t="n">
        <x:v>0</x:v>
      </x:c>
      <x:c r="K1960" s="8" t="n">
        <x:f>H1960-I1960*J1960</x:f>
        <x:v>-1</x:v>
      </x:c>
      <x:c r="L1960" s="8" t="n">
        <x:f>'PG facts'!E115</x:f>
        <x:v>4</x:v>
      </x:c>
      <x:c r="M1960" s="8" t="n">
        <x:f>K1960-L1960</x:f>
        <x:v>-5</x:v>
      </x:c>
      <x:c r="N1960" s="8" t="n">
        <x:f>M1960^2</x:f>
        <x:v>25</x:v>
      </x:c>
      <x:c r="O1960" s="8" t="n">
        <x:f>ABS(M1960)</x:f>
        <x:v>5</x:v>
      </x:c>
      <x:c r="P1960" s="7" t="n">
        <x:v>45679</x:v>
      </x:c>
    </x:row>
    <x:row r="1961" ht="26" customHeight="1">
      <x:c r="A1961" s="2"/>
      <x:c r="B1961" s="2" t="n">
        <x:v>1956</x:v>
      </x:c>
      <x:c r="C1961" s="2" t="str">
        <x:v>Baby, Feminine &amp; Family Care / organic_volume_growth</x:v>
      </x:c>
      <x:c r="D1961" s="7" t="n">
        <x:v>45657</x:v>
      </x:c>
      <x:c r="E1961" s="2" t="str">
        <x:v>Pre-earnings</x:v>
      </x:c>
      <x:c r="F1961" s="7" t="n">
        <x:v>45678</x:v>
      </x:c>
      <x:c r="G1961" s="2" t="str">
        <x:v>Four-quarter mean</x:v>
      </x:c>
      <x:c r="H1961" s="8" t="n">
        <x:f>AVERAGE('PG facts'!E87,'PG facts'!E94,'PG facts'!E101,'PG facts'!E108)</x:f>
        <x:v>-1.75</x:v>
      </x:c>
      <x:c r="I1961" s="8" t="n">
        <x:f>0</x:f>
        <x:v>0</x:v>
      </x:c>
      <x:c r="J1961" s="8" t="n">
        <x:v>0</x:v>
      </x:c>
      <x:c r="K1961" s="8" t="n">
        <x:f>H1961-I1961*J1961</x:f>
        <x:v>-1.75</x:v>
      </x:c>
      <x:c r="L1961" s="8" t="n">
        <x:f>'PG facts'!E115</x:f>
        <x:v>4</x:v>
      </x:c>
      <x:c r="M1961" s="8" t="n">
        <x:f>K1961-L1961</x:f>
        <x:v>-5.75</x:v>
      </x:c>
      <x:c r="N1961" s="8" t="n">
        <x:f>M1961^2</x:f>
        <x:v>33.0625</x:v>
      </x:c>
      <x:c r="O1961" s="8" t="n">
        <x:f>ABS(M1961)</x:f>
        <x:v>5.75</x:v>
      </x:c>
      <x:c r="P1961" s="7" t="n">
        <x:v>45679</x:v>
      </x:c>
    </x:row>
    <x:row r="1962" ht="26" customHeight="1">
      <x:c r="A1962" s="2"/>
      <x:c r="B1962" s="2" t="n">
        <x:v>1957</x:v>
      </x:c>
      <x:c r="C1962" s="2" t="str">
        <x:v>Baby, Feminine &amp; Family Care / organic_volume_growth</x:v>
      </x:c>
      <x:c r="D1962" s="7" t="n">
        <x:v>45657</x:v>
      </x:c>
      <x:c r="E1962" s="2" t="str">
        <x:v>Pre-earnings</x:v>
      </x:c>
      <x:c r="F1962" s="7" t="n">
        <x:v>45678</x:v>
      </x:c>
      <x:c r="G1962" s="2" t="str">
        <x:v>Broad market</x:v>
      </x:c>
      <x:c r="H1962" s="8" t="n">
        <x:f>'Model fits'!AA1272</x:f>
        <x:v>-1.8023055066317553</x:v>
      </x:c>
      <x:c r="I1962" s="8" t="n">
        <x:f>0</x:f>
        <x:v>0</x:v>
      </x:c>
      <x:c r="J1962" s="8" t="n">
        <x:v>0</x:v>
      </x:c>
      <x:c r="K1962" s="8" t="n">
        <x:f>H1962-I1962*J1962</x:f>
        <x:v>-1.8023055066317553</x:v>
      </x:c>
      <x:c r="L1962" s="8" t="n">
        <x:f>'PG facts'!E115</x:f>
        <x:v>4</x:v>
      </x:c>
      <x:c r="M1962" s="8" t="n">
        <x:f>K1962-L1962</x:f>
        <x:v>-5.802305506631756</x:v>
      </x:c>
      <x:c r="N1962" s="8" t="n">
        <x:f>M1962^2</x:f>
        <x:v>33.666749192289195</x:v>
      </x:c>
      <x:c r="O1962" s="8" t="n">
        <x:f>ABS(M1962)</x:f>
        <x:v>5.802305506631756</x:v>
      </x:c>
      <x:c r="P1962" s="7" t="n">
        <x:v>45679</x:v>
      </x:c>
    </x:row>
    <x:row r="1963" ht="26" customHeight="1">
      <x:c r="A1963" s="2"/>
      <x:c r="B1963" s="2" t="n">
        <x:v>1958</x:v>
      </x:c>
      <x:c r="C1963" s="2" t="str">
        <x:v>Baby, Feminine &amp; Family Care / organic_volume_growth</x:v>
      </x:c>
      <x:c r="D1963" s="7" t="n">
        <x:v>45657</x:v>
      </x:c>
      <x:c r="E1963" s="2" t="str">
        <x:v>Pre-earnings</x:v>
      </x:c>
      <x:c r="F1963" s="7" t="n">
        <x:v>45678</x:v>
      </x:c>
      <x:c r="G1963" s="2" t="str">
        <x:v>Broad lag 1</x:v>
      </x:c>
      <x:c r="H1963" s="8" t="n">
        <x:f>'Model fits'!AA1273</x:f>
        <x:v>-1.8099149297152939</x:v>
      </x:c>
      <x:c r="I1963" s="8" t="n">
        <x:f>0</x:f>
        <x:v>0</x:v>
      </x:c>
      <x:c r="J1963" s="8" t="n">
        <x:v>0</x:v>
      </x:c>
      <x:c r="K1963" s="8" t="n">
        <x:f>H1963-I1963*J1963</x:f>
        <x:v>-1.8099149297152939</x:v>
      </x:c>
      <x:c r="L1963" s="8" t="n">
        <x:f>'PG facts'!E115</x:f>
        <x:v>4</x:v>
      </x:c>
      <x:c r="M1963" s="8" t="n">
        <x:f>K1963-L1963</x:f>
        <x:v>-5.809914929715294</x:v>
      </x:c>
      <x:c r="N1963" s="8" t="n">
        <x:f>M1963^2</x:f>
        <x:v>33.75511149052867</x:v>
      </x:c>
      <x:c r="O1963" s="8" t="n">
        <x:f>ABS(M1963)</x:f>
        <x:v>5.809914929715294</x:v>
      </x:c>
      <x:c r="P1963" s="7" t="n">
        <x:v>45679</x:v>
      </x:c>
    </x:row>
    <x:row r="1964" ht="26" customHeight="1">
      <x:c r="A1964" s="2"/>
      <x:c r="B1964" s="2" t="n">
        <x:v>1959</x:v>
      </x:c>
      <x:c r="C1964" s="2" t="str">
        <x:v>Baby, Feminine &amp; Family Care / organic_volume_growth</x:v>
      </x:c>
      <x:c r="D1964" s="7" t="n">
        <x:v>45657</x:v>
      </x:c>
      <x:c r="E1964" s="2" t="str">
        <x:v>Pre-earnings</x:v>
      </x:c>
      <x:c r="F1964" s="7" t="n">
        <x:v>45678</x:v>
      </x:c>
      <x:c r="G1964" s="2" t="str">
        <x:v>Broad rolling 8</x:v>
      </x:c>
      <x:c r="H1964" s="8" t="n">
        <x:f>'Model fits'!AA1274</x:f>
        <x:v>-1.3359533838839563</x:v>
      </x:c>
      <x:c r="I1964" s="8" t="n">
        <x:f>0</x:f>
        <x:v>0</x:v>
      </x:c>
      <x:c r="J1964" s="8" t="n">
        <x:v>0</x:v>
      </x:c>
      <x:c r="K1964" s="8" t="n">
        <x:f>H1964-I1964*J1964</x:f>
        <x:v>-1.3359533838839563</x:v>
      </x:c>
      <x:c r="L1964" s="8" t="n">
        <x:f>'PG facts'!E115</x:f>
        <x:v>4</x:v>
      </x:c>
      <x:c r="M1964" s="8" t="n">
        <x:f>K1964-L1964</x:f>
        <x:v>-5.335953383883957</x:v>
      </x:c>
      <x:c r="N1964" s="8" t="n">
        <x:f>M1964^2</x:f>
        <x:v>28.472398514982647</x:v>
      </x:c>
      <x:c r="O1964" s="8" t="n">
        <x:f>ABS(M1964)</x:f>
        <x:v>5.335953383883957</x:v>
      </x:c>
      <x:c r="P1964" s="7" t="n">
        <x:v>45679</x:v>
      </x:c>
    </x:row>
    <x:row r="1965" ht="26" customHeight="1">
      <x:c r="A1965" s="2"/>
      <x:c r="B1965" s="2" t="n">
        <x:v>1960</x:v>
      </x:c>
      <x:c r="C1965" s="2" t="str">
        <x:v>Baby, Feminine &amp; Family Care / organic_volume_growth</x:v>
      </x:c>
      <x:c r="D1965" s="7" t="n">
        <x:v>45657</x:v>
      </x:c>
      <x:c r="E1965" s="2" t="str">
        <x:v>Pre-earnings</x:v>
      </x:c>
      <x:c r="F1965" s="7" t="n">
        <x:v>45678</x:v>
      </x:c>
      <x:c r="G1965" s="2" t="str">
        <x:v>Own history</x:v>
      </x:c>
      <x:c r="H1965" s="8" t="n">
        <x:f>'Model fits'!AA1275</x:f>
        <x:v>-1.2284263959390862</x:v>
      </x:c>
      <x:c r="I1965" s="8" t="n">
        <x:f>0</x:f>
        <x:v>0</x:v>
      </x:c>
      <x:c r="J1965" s="8" t="n">
        <x:v>0</x:v>
      </x:c>
      <x:c r="K1965" s="8" t="n">
        <x:f>H1965-I1965*J1965</x:f>
        <x:v>-1.2284263959390862</x:v>
      </x:c>
      <x:c r="L1965" s="8" t="n">
        <x:f>'PG facts'!E115</x:f>
        <x:v>4</x:v>
      </x:c>
      <x:c r="M1965" s="8" t="n">
        <x:f>K1965-L1965</x:f>
        <x:v>-5.228426395939087</x:v>
      </x:c>
      <x:c r="N1965" s="8" t="n">
        <x:f>M1965^2</x:f>
        <x:v>27.336442577752585</x:v>
      </x:c>
      <x:c r="O1965" s="8" t="n">
        <x:f>ABS(M1965)</x:f>
        <x:v>5.228426395939087</x:v>
      </x:c>
      <x:c r="P1965" s="7" t="n">
        <x:v>45679</x:v>
      </x:c>
    </x:row>
    <x:row r="1966" ht="26" customHeight="1">
      <x:c r="A1966" s="2"/>
      <x:c r="B1966" s="2" t="n">
        <x:v>1961</x:v>
      </x:c>
      <x:c r="C1966" s="2" t="str">
        <x:v>Baby, Feminine &amp; Family Care / organic_volume_growth</x:v>
      </x:c>
      <x:c r="D1966" s="7" t="n">
        <x:v>45747</x:v>
      </x:c>
      <x:c r="E1966" s="2" t="str">
        <x:v>Origin</x:v>
      </x:c>
      <x:c r="F1966" s="7" t="n">
        <x:v>45658</x:v>
      </x:c>
      <x:c r="G1966" s="2" t="str">
        <x:v>Last actual</x:v>
      </x:c>
      <x:c r="H1966" s="8" t="n">
        <x:f>AVERAGE('PG facts'!E108)</x:f>
        <x:v>-1</x:v>
      </x:c>
      <x:c r="I1966" s="8" t="n">
        <x:f>0</x:f>
        <x:v>0</x:v>
      </x:c>
      <x:c r="J1966" s="8" t="n">
        <x:v>0</x:v>
      </x:c>
      <x:c r="K1966" s="8" t="n">
        <x:f>H1966-I1966*J1966</x:f>
        <x:v>-1</x:v>
      </x:c>
      <x:c r="L1966" s="8" t="n">
        <x:f>'PG facts'!E122</x:f>
        <x:v>-2</x:v>
      </x:c>
      <x:c r="M1966" s="8" t="n">
        <x:f>K1966-L1966</x:f>
        <x:v>1</x:v>
      </x:c>
      <x:c r="N1966" s="8" t="n">
        <x:f>M1966^2</x:f>
        <x:v>1</x:v>
      </x:c>
      <x:c r="O1966" s="8" t="n">
        <x:f>ABS(M1966)</x:f>
        <x:v>1</x:v>
      </x:c>
      <x:c r="P1966" s="7" t="n">
        <x:v>45771</x:v>
      </x:c>
    </x:row>
    <x:row r="1967" ht="26" customHeight="1">
      <x:c r="A1967" s="2"/>
      <x:c r="B1967" s="2" t="n">
        <x:v>1962</x:v>
      </x:c>
      <x:c r="C1967" s="2" t="str">
        <x:v>Baby, Feminine &amp; Family Care / organic_volume_growth</x:v>
      </x:c>
      <x:c r="D1967" s="7" t="n">
        <x:v>45747</x:v>
      </x:c>
      <x:c r="E1967" s="2" t="str">
        <x:v>Origin</x:v>
      </x:c>
      <x:c r="F1967" s="7" t="n">
        <x:v>45658</x:v>
      </x:c>
      <x:c r="G1967" s="2" t="str">
        <x:v>Four-quarter mean</x:v>
      </x:c>
      <x:c r="H1967" s="8" t="n">
        <x:f>AVERAGE('PG facts'!E87,'PG facts'!E94,'PG facts'!E101,'PG facts'!E108)</x:f>
        <x:v>-1.75</x:v>
      </x:c>
      <x:c r="I1967" s="8" t="n">
        <x:f>0</x:f>
        <x:v>0</x:v>
      </x:c>
      <x:c r="J1967" s="8" t="n">
        <x:v>0</x:v>
      </x:c>
      <x:c r="K1967" s="8" t="n">
        <x:f>H1967-I1967*J1967</x:f>
        <x:v>-1.75</x:v>
      </x:c>
      <x:c r="L1967" s="8" t="n">
        <x:f>'PG facts'!E122</x:f>
        <x:v>-2</x:v>
      </x:c>
      <x:c r="M1967" s="8" t="n">
        <x:f>K1967-L1967</x:f>
        <x:v>0.25</x:v>
      </x:c>
      <x:c r="N1967" s="8" t="n">
        <x:f>M1967^2</x:f>
        <x:v>0.0625</x:v>
      </x:c>
      <x:c r="O1967" s="8" t="n">
        <x:f>ABS(M1967)</x:f>
        <x:v>0.25</x:v>
      </x:c>
      <x:c r="P1967" s="7" t="n">
        <x:v>45771</x:v>
      </x:c>
    </x:row>
    <x:row r="1968" ht="26" customHeight="1">
      <x:c r="A1968" s="2"/>
      <x:c r="B1968" s="2" t="n">
        <x:v>1963</x:v>
      </x:c>
      <x:c r="C1968" s="2" t="str">
        <x:v>Baby, Feminine &amp; Family Care / organic_volume_growth</x:v>
      </x:c>
      <x:c r="D1968" s="7" t="n">
        <x:v>45747</x:v>
      </x:c>
      <x:c r="E1968" s="2" t="str">
        <x:v>Origin</x:v>
      </x:c>
      <x:c r="F1968" s="7" t="n">
        <x:v>45658</x:v>
      </x:c>
      <x:c r="G1968" s="2" t="str">
        <x:v>Broad market</x:v>
      </x:c>
      <x:c r="H1968" s="8" t="n">
        <x:f>'Model fits'!AA1276</x:f>
        <x:v>-1.7923250922589065</x:v>
      </x:c>
      <x:c r="I1968" s="8" t="n">
        <x:f>0</x:f>
        <x:v>0</x:v>
      </x:c>
      <x:c r="J1968" s="8" t="n">
        <x:v>0</x:v>
      </x:c>
      <x:c r="K1968" s="8" t="n">
        <x:f>H1968-I1968*J1968</x:f>
        <x:v>-1.7923250922589065</x:v>
      </x:c>
      <x:c r="L1968" s="8" t="n">
        <x:f>'PG facts'!E122</x:f>
        <x:v>-2</x:v>
      </x:c>
      <x:c r="M1968" s="8" t="n">
        <x:f>K1968-L1968</x:f>
        <x:v>0.20767490774109354</x:v>
      </x:c>
      <x:c r="N1968" s="8" t="n">
        <x:f>M1968^2</x:f>
        <x:v>0.04312886730527171</x:v>
      </x:c>
      <x:c r="O1968" s="8" t="n">
        <x:f>ABS(M1968)</x:f>
        <x:v>0.20767490774109354</x:v>
      </x:c>
      <x:c r="P1968" s="7" t="n">
        <x:v>45771</x:v>
      </x:c>
    </x:row>
    <x:row r="1969" ht="26" customHeight="1">
      <x:c r="A1969" s="2"/>
      <x:c r="B1969" s="2" t="n">
        <x:v>1964</x:v>
      </x:c>
      <x:c r="C1969" s="2" t="str">
        <x:v>Baby, Feminine &amp; Family Care / organic_volume_growth</x:v>
      </x:c>
      <x:c r="D1969" s="7" t="n">
        <x:v>45747</x:v>
      </x:c>
      <x:c r="E1969" s="2" t="str">
        <x:v>Origin</x:v>
      </x:c>
      <x:c r="F1969" s="7" t="n">
        <x:v>45658</x:v>
      </x:c>
      <x:c r="G1969" s="2" t="str">
        <x:v>Broad rolling 8</x:v>
      </x:c>
      <x:c r="H1969" s="8" t="n">
        <x:f>'Model fits'!AA1277</x:f>
        <x:v>-1.2454795766653093</x:v>
      </x:c>
      <x:c r="I1969" s="8" t="n">
        <x:f>0</x:f>
        <x:v>0</x:v>
      </x:c>
      <x:c r="J1969" s="8" t="n">
        <x:v>0</x:v>
      </x:c>
      <x:c r="K1969" s="8" t="n">
        <x:f>H1969-I1969*J1969</x:f>
        <x:v>-1.2454795766653093</x:v>
      </x:c>
      <x:c r="L1969" s="8" t="n">
        <x:f>'PG facts'!E122</x:f>
        <x:v>-2</x:v>
      </x:c>
      <x:c r="M1969" s="8" t="n">
        <x:f>K1969-L1969</x:f>
        <x:v>0.7545204233346907</x:v>
      </x:c>
      <x:c r="N1969" s="8" t="n">
        <x:f>M1969^2</x:f>
        <x:v>0.5693010692291609</x:v>
      </x:c>
      <x:c r="O1969" s="8" t="n">
        <x:f>ABS(M1969)</x:f>
        <x:v>0.7545204233346907</x:v>
      </x:c>
      <x:c r="P1969" s="7" t="n">
        <x:v>45771</x:v>
      </x:c>
    </x:row>
    <x:row r="1970" ht="26" customHeight="1">
      <x:c r="A1970" s="2"/>
      <x:c r="B1970" s="2" t="n">
        <x:v>1965</x:v>
      </x:c>
      <x:c r="C1970" s="2" t="str">
        <x:v>Baby, Feminine &amp; Family Care / organic_volume_growth</x:v>
      </x:c>
      <x:c r="D1970" s="7" t="n">
        <x:v>45747</x:v>
      </x:c>
      <x:c r="E1970" s="2" t="str">
        <x:v>Origin</x:v>
      </x:c>
      <x:c r="F1970" s="7" t="n">
        <x:v>45658</x:v>
      </x:c>
      <x:c r="G1970" s="2" t="str">
        <x:v>Own history</x:v>
      </x:c>
      <x:c r="H1970" s="8" t="n">
        <x:f>'Model fits'!AA1278</x:f>
        <x:v>-1.5596026490066224</x:v>
      </x:c>
      <x:c r="I1970" s="8" t="n">
        <x:f>0</x:f>
        <x:v>0</x:v>
      </x:c>
      <x:c r="J1970" s="8" t="n">
        <x:v>0</x:v>
      </x:c>
      <x:c r="K1970" s="8" t="n">
        <x:f>H1970-I1970*J1970</x:f>
        <x:v>-1.5596026490066224</x:v>
      </x:c>
      <x:c r="L1970" s="8" t="n">
        <x:f>'PG facts'!E122</x:f>
        <x:v>-2</x:v>
      </x:c>
      <x:c r="M1970" s="8" t="n">
        <x:f>K1970-L1970</x:f>
        <x:v>0.4403973509933776</x:v>
      </x:c>
      <x:c r="N1970" s="8" t="n">
        <x:f>M1970^2</x:f>
        <x:v>0.19394982676198425</x:v>
      </x:c>
      <x:c r="O1970" s="8" t="n">
        <x:f>ABS(M1970)</x:f>
        <x:v>0.4403973509933776</x:v>
      </x:c>
      <x:c r="P1970" s="7" t="n">
        <x:v>45771</x:v>
      </x:c>
    </x:row>
    <x:row r="1971" ht="26" customHeight="1">
      <x:c r="A1971" s="2"/>
      <x:c r="B1971" s="2" t="n">
        <x:v>1966</x:v>
      </x:c>
      <x:c r="C1971" s="2" t="str">
        <x:v>Baby, Feminine &amp; Family Care / organic_volume_growth</x:v>
      </x:c>
      <x:c r="D1971" s="7" t="n">
        <x:v>45747</x:v>
      </x:c>
      <x:c r="E1971" s="2" t="str">
        <x:v>Prior report</x:v>
      </x:c>
      <x:c r="F1971" s="7" t="n">
        <x:v>45679</x:v>
      </x:c>
      <x:c r="G1971" s="2" t="str">
        <x:v>Last actual</x:v>
      </x:c>
      <x:c r="H1971" s="8" t="n">
        <x:f>AVERAGE('PG facts'!E115)</x:f>
        <x:v>4</x:v>
      </x:c>
      <x:c r="I1971" s="8" t="n">
        <x:f>0</x:f>
        <x:v>0</x:v>
      </x:c>
      <x:c r="J1971" s="8" t="n">
        <x:v>0</x:v>
      </x:c>
      <x:c r="K1971" s="8" t="n">
        <x:f>H1971-I1971*J1971</x:f>
        <x:v>4</x:v>
      </x:c>
      <x:c r="L1971" s="8" t="n">
        <x:f>'PG facts'!E122</x:f>
        <x:v>-2</x:v>
      </x:c>
      <x:c r="M1971" s="8" t="n">
        <x:f>K1971-L1971</x:f>
        <x:v>6</x:v>
      </x:c>
      <x:c r="N1971" s="8" t="n">
        <x:f>M1971^2</x:f>
        <x:v>36</x:v>
      </x:c>
      <x:c r="O1971" s="8" t="n">
        <x:f>ABS(M1971)</x:f>
        <x:v>6</x:v>
      </x:c>
      <x:c r="P1971" s="7" t="n">
        <x:v>45771</x:v>
      </x:c>
    </x:row>
    <x:row r="1972" ht="26" customHeight="1">
      <x:c r="A1972" s="2"/>
      <x:c r="B1972" s="2" t="n">
        <x:v>1967</x:v>
      </x:c>
      <x:c r="C1972" s="2" t="str">
        <x:v>Baby, Feminine &amp; Family Care / organic_volume_growth</x:v>
      </x:c>
      <x:c r="D1972" s="7" t="n">
        <x:v>45747</x:v>
      </x:c>
      <x:c r="E1972" s="2" t="str">
        <x:v>Prior report</x:v>
      </x:c>
      <x:c r="F1972" s="7" t="n">
        <x:v>45679</x:v>
      </x:c>
      <x:c r="G1972" s="2" t="str">
        <x:v>Four-quarter mean</x:v>
      </x:c>
      <x:c r="H1972" s="8" t="n">
        <x:f>AVERAGE('PG facts'!E94,'PG facts'!E101,'PG facts'!E108,'PG facts'!E115)</x:f>
        <x:v>-0.25</x:v>
      </x:c>
      <x:c r="I1972" s="8" t="n">
        <x:f>0</x:f>
        <x:v>0</x:v>
      </x:c>
      <x:c r="J1972" s="8" t="n">
        <x:v>0</x:v>
      </x:c>
      <x:c r="K1972" s="8" t="n">
        <x:f>H1972-I1972*J1972</x:f>
        <x:v>-0.25</x:v>
      </x:c>
      <x:c r="L1972" s="8" t="n">
        <x:f>'PG facts'!E122</x:f>
        <x:v>-2</x:v>
      </x:c>
      <x:c r="M1972" s="8" t="n">
        <x:f>K1972-L1972</x:f>
        <x:v>1.75</x:v>
      </x:c>
      <x:c r="N1972" s="8" t="n">
        <x:f>M1972^2</x:f>
        <x:v>3.0625</x:v>
      </x:c>
      <x:c r="O1972" s="8" t="n">
        <x:f>ABS(M1972)</x:f>
        <x:v>1.75</x:v>
      </x:c>
      <x:c r="P1972" s="7" t="n">
        <x:v>45771</x:v>
      </x:c>
    </x:row>
    <x:row r="1973" ht="26" customHeight="1">
      <x:c r="A1973" s="2"/>
      <x:c r="B1973" s="2" t="n">
        <x:v>1968</x:v>
      </x:c>
      <x:c r="C1973" s="2" t="str">
        <x:v>Baby, Feminine &amp; Family Care / organic_volume_growth</x:v>
      </x:c>
      <x:c r="D1973" s="7" t="n">
        <x:v>45747</x:v>
      </x:c>
      <x:c r="E1973" s="2" t="str">
        <x:v>Prior report</x:v>
      </x:c>
      <x:c r="F1973" s="7" t="n">
        <x:v>45679</x:v>
      </x:c>
      <x:c r="G1973" s="2" t="str">
        <x:v>Broad market</x:v>
      </x:c>
      <x:c r="H1973" s="8" t="n">
        <x:f>'Model fits'!AA1279</x:f>
        <x:v>-1.7923250922589065</x:v>
      </x:c>
      <x:c r="I1973" s="8" t="n">
        <x:f>0</x:f>
        <x:v>0</x:v>
      </x:c>
      <x:c r="J1973" s="8" t="n">
        <x:v>0</x:v>
      </x:c>
      <x:c r="K1973" s="8" t="n">
        <x:f>H1973-I1973*J1973</x:f>
        <x:v>-1.7923250922589065</x:v>
      </x:c>
      <x:c r="L1973" s="8" t="n">
        <x:f>'PG facts'!E122</x:f>
        <x:v>-2</x:v>
      </x:c>
      <x:c r="M1973" s="8" t="n">
        <x:f>K1973-L1973</x:f>
        <x:v>0.20767490774109354</x:v>
      </x:c>
      <x:c r="N1973" s="8" t="n">
        <x:f>M1973^2</x:f>
        <x:v>0.04312886730527171</x:v>
      </x:c>
      <x:c r="O1973" s="8" t="n">
        <x:f>ABS(M1973)</x:f>
        <x:v>0.20767490774109354</x:v>
      </x:c>
      <x:c r="P1973" s="7" t="n">
        <x:v>45771</x:v>
      </x:c>
    </x:row>
    <x:row r="1974" ht="26" customHeight="1">
      <x:c r="A1974" s="2"/>
      <x:c r="B1974" s="2" t="n">
        <x:v>1969</x:v>
      </x:c>
      <x:c r="C1974" s="2" t="str">
        <x:v>Baby, Feminine &amp; Family Care / organic_volume_growth</x:v>
      </x:c>
      <x:c r="D1974" s="7" t="n">
        <x:v>45747</x:v>
      </x:c>
      <x:c r="E1974" s="2" t="str">
        <x:v>Prior report</x:v>
      </x:c>
      <x:c r="F1974" s="7" t="n">
        <x:v>45679</x:v>
      </x:c>
      <x:c r="G1974" s="2" t="str">
        <x:v>Broad rolling 8</x:v>
      </x:c>
      <x:c r="H1974" s="8" t="n">
        <x:f>'Model fits'!AA1280</x:f>
        <x:v>-1.2454795766653093</x:v>
      </x:c>
      <x:c r="I1974" s="8" t="n">
        <x:f>0</x:f>
        <x:v>0</x:v>
      </x:c>
      <x:c r="J1974" s="8" t="n">
        <x:v>0</x:v>
      </x:c>
      <x:c r="K1974" s="8" t="n">
        <x:f>H1974-I1974*J1974</x:f>
        <x:v>-1.2454795766653093</x:v>
      </x:c>
      <x:c r="L1974" s="8" t="n">
        <x:f>'PG facts'!E122</x:f>
        <x:v>-2</x:v>
      </x:c>
      <x:c r="M1974" s="8" t="n">
        <x:f>K1974-L1974</x:f>
        <x:v>0.7545204233346907</x:v>
      </x:c>
      <x:c r="N1974" s="8" t="n">
        <x:f>M1974^2</x:f>
        <x:v>0.5693010692291609</x:v>
      </x:c>
      <x:c r="O1974" s="8" t="n">
        <x:f>ABS(M1974)</x:f>
        <x:v>0.7545204233346907</x:v>
      </x:c>
      <x:c r="P1974" s="7" t="n">
        <x:v>45771</x:v>
      </x:c>
    </x:row>
    <x:row r="1975" ht="26" customHeight="1">
      <x:c r="A1975" s="2"/>
      <x:c r="B1975" s="2" t="n">
        <x:v>1970</x:v>
      </x:c>
      <x:c r="C1975" s="2" t="str">
        <x:v>Baby, Feminine &amp; Family Care / organic_volume_growth</x:v>
      </x:c>
      <x:c r="D1975" s="7" t="n">
        <x:v>45747</x:v>
      </x:c>
      <x:c r="E1975" s="2" t="str">
        <x:v>Prior report</x:v>
      </x:c>
      <x:c r="F1975" s="7" t="n">
        <x:v>45679</x:v>
      </x:c>
      <x:c r="G1975" s="2" t="str">
        <x:v>Own history</x:v>
      </x:c>
      <x:c r="H1975" s="8" t="n">
        <x:f>'Model fits'!AA1281</x:f>
        <x:v>1.6127819548872178</x:v>
      </x:c>
      <x:c r="I1975" s="8" t="n">
        <x:f>0</x:f>
        <x:v>0</x:v>
      </x:c>
      <x:c r="J1975" s="8" t="n">
        <x:v>0</x:v>
      </x:c>
      <x:c r="K1975" s="8" t="n">
        <x:f>H1975-I1975*J1975</x:f>
        <x:v>1.6127819548872178</x:v>
      </x:c>
      <x:c r="L1975" s="8" t="n">
        <x:f>'PG facts'!E122</x:f>
        <x:v>-2</x:v>
      </x:c>
      <x:c r="M1975" s="8" t="n">
        <x:f>K1975-L1975</x:f>
        <x:v>3.6127819548872178</x:v>
      </x:c>
      <x:c r="N1975" s="8" t="n">
        <x:f>M1975^2</x:f>
        <x:v>13.052193453558706</x:v>
      </x:c>
      <x:c r="O1975" s="8" t="n">
        <x:f>ABS(M1975)</x:f>
        <x:v>3.6127819548872178</x:v>
      </x:c>
      <x:c r="P1975" s="7" t="n">
        <x:v>45771</x:v>
      </x:c>
    </x:row>
    <x:row r="1976" ht="26" customHeight="1">
      <x:c r="A1976" s="2"/>
      <x:c r="B1976" s="2" t="n">
        <x:v>1971</x:v>
      </x:c>
      <x:c r="C1976" s="2" t="str">
        <x:v>Baby, Feminine &amp; Family Care / organic_volume_growth</x:v>
      </x:c>
      <x:c r="D1976" s="7" t="n">
        <x:v>45747</x:v>
      </x:c>
      <x:c r="E1976" s="2" t="str">
        <x:v>Pre-earnings</x:v>
      </x:c>
      <x:c r="F1976" s="7" t="n">
        <x:v>45770</x:v>
      </x:c>
      <x:c r="G1976" s="2" t="str">
        <x:v>Last actual</x:v>
      </x:c>
      <x:c r="H1976" s="8" t="n">
        <x:f>AVERAGE('PG facts'!E115)</x:f>
        <x:v>4</x:v>
      </x:c>
      <x:c r="I1976" s="8" t="n">
        <x:f>0</x:f>
        <x:v>0</x:v>
      </x:c>
      <x:c r="J1976" s="8" t="n">
        <x:v>0</x:v>
      </x:c>
      <x:c r="K1976" s="8" t="n">
        <x:f>H1976-I1976*J1976</x:f>
        <x:v>4</x:v>
      </x:c>
      <x:c r="L1976" s="8" t="n">
        <x:f>'PG facts'!E122</x:f>
        <x:v>-2</x:v>
      </x:c>
      <x:c r="M1976" s="8" t="n">
        <x:f>K1976-L1976</x:f>
        <x:v>6</x:v>
      </x:c>
      <x:c r="N1976" s="8" t="n">
        <x:f>M1976^2</x:f>
        <x:v>36</x:v>
      </x:c>
      <x:c r="O1976" s="8" t="n">
        <x:f>ABS(M1976)</x:f>
        <x:v>6</x:v>
      </x:c>
      <x:c r="P1976" s="7" t="n">
        <x:v>45771</x:v>
      </x:c>
    </x:row>
    <x:row r="1977" ht="26" customHeight="1">
      <x:c r="A1977" s="2"/>
      <x:c r="B1977" s="2" t="n">
        <x:v>1972</x:v>
      </x:c>
      <x:c r="C1977" s="2" t="str">
        <x:v>Baby, Feminine &amp; Family Care / organic_volume_growth</x:v>
      </x:c>
      <x:c r="D1977" s="7" t="n">
        <x:v>45747</x:v>
      </x:c>
      <x:c r="E1977" s="2" t="str">
        <x:v>Pre-earnings</x:v>
      </x:c>
      <x:c r="F1977" s="7" t="n">
        <x:v>45770</x:v>
      </x:c>
      <x:c r="G1977" s="2" t="str">
        <x:v>Four-quarter mean</x:v>
      </x:c>
      <x:c r="H1977" s="8" t="n">
        <x:f>AVERAGE('PG facts'!E94,'PG facts'!E101,'PG facts'!E108,'PG facts'!E115)</x:f>
        <x:v>-0.25</x:v>
      </x:c>
      <x:c r="I1977" s="8" t="n">
        <x:f>0</x:f>
        <x:v>0</x:v>
      </x:c>
      <x:c r="J1977" s="8" t="n">
        <x:v>0</x:v>
      </x:c>
      <x:c r="K1977" s="8" t="n">
        <x:f>H1977-I1977*J1977</x:f>
        <x:v>-0.25</x:v>
      </x:c>
      <x:c r="L1977" s="8" t="n">
        <x:f>'PG facts'!E122</x:f>
        <x:v>-2</x:v>
      </x:c>
      <x:c r="M1977" s="8" t="n">
        <x:f>K1977-L1977</x:f>
        <x:v>1.75</x:v>
      </x:c>
      <x:c r="N1977" s="8" t="n">
        <x:f>M1977^2</x:f>
        <x:v>3.0625</x:v>
      </x:c>
      <x:c r="O1977" s="8" t="n">
        <x:f>ABS(M1977)</x:f>
        <x:v>1.75</x:v>
      </x:c>
      <x:c r="P1977" s="7" t="n">
        <x:v>45771</x:v>
      </x:c>
    </x:row>
    <x:row r="1978" ht="26" customHeight="1">
      <x:c r="A1978" s="2"/>
      <x:c r="B1978" s="2" t="n">
        <x:v>1973</x:v>
      </x:c>
      <x:c r="C1978" s="2" t="str">
        <x:v>Baby, Feminine &amp; Family Care / organic_volume_growth</x:v>
      </x:c>
      <x:c r="D1978" s="7" t="n">
        <x:v>45747</x:v>
      </x:c>
      <x:c r="E1978" s="2" t="str">
        <x:v>Pre-earnings</x:v>
      </x:c>
      <x:c r="F1978" s="7" t="n">
        <x:v>45770</x:v>
      </x:c>
      <x:c r="G1978" s="2" t="str">
        <x:v>Broad market</x:v>
      </x:c>
      <x:c r="H1978" s="8" t="n">
        <x:f>'Model fits'!AA1282</x:f>
        <x:v>-1.4021623042685762</x:v>
      </x:c>
      <x:c r="I1978" s="8" t="n">
        <x:f>0</x:f>
        <x:v>0</x:v>
      </x:c>
      <x:c r="J1978" s="8" t="n">
        <x:v>0</x:v>
      </x:c>
      <x:c r="K1978" s="8" t="n">
        <x:f>H1978-I1978*J1978</x:f>
        <x:v>-1.4021623042685762</x:v>
      </x:c>
      <x:c r="L1978" s="8" t="n">
        <x:f>'PG facts'!E122</x:f>
        <x:v>-2</x:v>
      </x:c>
      <x:c r="M1978" s="8" t="n">
        <x:f>K1978-L1978</x:f>
        <x:v>0.5978376957314238</x:v>
      </x:c>
      <x:c r="N1978" s="8" t="n">
        <x:f>M1978^2</x:f>
        <x:v>0.3574099104374584</x:v>
      </x:c>
      <x:c r="O1978" s="8" t="n">
        <x:f>ABS(M1978)</x:f>
        <x:v>0.5978376957314238</x:v>
      </x:c>
      <x:c r="P1978" s="7" t="n">
        <x:v>45771</x:v>
      </x:c>
    </x:row>
    <x:row r="1979" ht="26" customHeight="1">
      <x:c r="A1979" s="2"/>
      <x:c r="B1979" s="2" t="n">
        <x:v>1974</x:v>
      </x:c>
      <x:c r="C1979" s="2" t="str">
        <x:v>Baby, Feminine &amp; Family Care / organic_volume_growth</x:v>
      </x:c>
      <x:c r="D1979" s="7" t="n">
        <x:v>45747</x:v>
      </x:c>
      <x:c r="E1979" s="2" t="str">
        <x:v>Pre-earnings</x:v>
      </x:c>
      <x:c r="F1979" s="7" t="n">
        <x:v>45770</x:v>
      </x:c>
      <x:c r="G1979" s="2" t="str">
        <x:v>Broad lag 1</x:v>
      </x:c>
      <x:c r="H1979" s="8" t="n">
        <x:f>'Model fits'!AA1283</x:f>
        <x:v>-1.454819994456745</x:v>
      </x:c>
      <x:c r="I1979" s="8" t="n">
        <x:f>0</x:f>
        <x:v>0</x:v>
      </x:c>
      <x:c r="J1979" s="8" t="n">
        <x:v>0</x:v>
      </x:c>
      <x:c r="K1979" s="8" t="n">
        <x:f>H1979-I1979*J1979</x:f>
        <x:v>-1.454819994456745</x:v>
      </x:c>
      <x:c r="L1979" s="8" t="n">
        <x:f>'PG facts'!E122</x:f>
        <x:v>-2</x:v>
      </x:c>
      <x:c r="M1979" s="8" t="n">
        <x:f>K1979-L1979</x:f>
        <x:v>0.545180005543255</x:v>
      </x:c>
      <x:c r="N1979" s="8" t="n">
        <x:f>M1979^2</x:f>
        <x:v>0.2972212384441435</x:v>
      </x:c>
      <x:c r="O1979" s="8" t="n">
        <x:f>ABS(M1979)</x:f>
        <x:v>0.545180005543255</x:v>
      </x:c>
      <x:c r="P1979" s="7" t="n">
        <x:v>45771</x:v>
      </x:c>
    </x:row>
    <x:row r="1980" ht="26" customHeight="1">
      <x:c r="A1980" s="2"/>
      <x:c r="B1980" s="2" t="n">
        <x:v>1975</x:v>
      </x:c>
      <x:c r="C1980" s="2" t="str">
        <x:v>Baby, Feminine &amp; Family Care / organic_volume_growth</x:v>
      </x:c>
      <x:c r="D1980" s="7" t="n">
        <x:v>45747</x:v>
      </x:c>
      <x:c r="E1980" s="2" t="str">
        <x:v>Pre-earnings</x:v>
      </x:c>
      <x:c r="F1980" s="7" t="n">
        <x:v>45770</x:v>
      </x:c>
      <x:c r="G1980" s="2" t="str">
        <x:v>Broad rolling 8</x:v>
      </x:c>
      <x:c r="H1980" s="8" t="n">
        <x:f>'Model fits'!AA1284</x:f>
        <x:v>-0.1727400635896652</x:v>
      </x:c>
      <x:c r="I1980" s="8" t="n">
        <x:f>0</x:f>
        <x:v>0</x:v>
      </x:c>
      <x:c r="J1980" s="8" t="n">
        <x:v>0</x:v>
      </x:c>
      <x:c r="K1980" s="8" t="n">
        <x:f>H1980-I1980*J1980</x:f>
        <x:v>-0.1727400635896652</x:v>
      </x:c>
      <x:c r="L1980" s="8" t="n">
        <x:f>'PG facts'!E122</x:f>
        <x:v>-2</x:v>
      </x:c>
      <x:c r="M1980" s="8" t="n">
        <x:f>K1980-L1980</x:f>
        <x:v>1.8272599364103348</x:v>
      </x:c>
      <x:c r="N1980" s="8" t="n">
        <x:f>M1980^2</x:f>
        <x:v>3.338878875210301</x:v>
      </x:c>
      <x:c r="O1980" s="8" t="n">
        <x:f>ABS(M1980)</x:f>
        <x:v>1.8272599364103348</x:v>
      </x:c>
      <x:c r="P1980" s="7" t="n">
        <x:v>45771</x:v>
      </x:c>
    </x:row>
    <x:row r="1981" ht="26" customHeight="1">
      <x:c r="A1981" s="2"/>
      <x:c r="B1981" s="2" t="n">
        <x:v>1976</x:v>
      </x:c>
      <x:c r="C1981" s="2" t="str">
        <x:v>Baby, Feminine &amp; Family Care / organic_volume_growth</x:v>
      </x:c>
      <x:c r="D1981" s="7" t="n">
        <x:v>45747</x:v>
      </x:c>
      <x:c r="E1981" s="2" t="str">
        <x:v>Pre-earnings</x:v>
      </x:c>
      <x:c r="F1981" s="7" t="n">
        <x:v>45770</x:v>
      </x:c>
      <x:c r="G1981" s="2" t="str">
        <x:v>Own history</x:v>
      </x:c>
      <x:c r="H1981" s="8" t="n">
        <x:f>'Model fits'!AA1285</x:f>
        <x:v>1.6127819548872178</x:v>
      </x:c>
      <x:c r="I1981" s="8" t="n">
        <x:f>0</x:f>
        <x:v>0</x:v>
      </x:c>
      <x:c r="J1981" s="8" t="n">
        <x:v>0</x:v>
      </x:c>
      <x:c r="K1981" s="8" t="n">
        <x:f>H1981-I1981*J1981</x:f>
        <x:v>1.6127819548872178</x:v>
      </x:c>
      <x:c r="L1981" s="8" t="n">
        <x:f>'PG facts'!E122</x:f>
        <x:v>-2</x:v>
      </x:c>
      <x:c r="M1981" s="8" t="n">
        <x:f>K1981-L1981</x:f>
        <x:v>3.6127819548872178</x:v>
      </x:c>
      <x:c r="N1981" s="8" t="n">
        <x:f>M1981^2</x:f>
        <x:v>13.052193453558706</x:v>
      </x:c>
      <x:c r="O1981" s="8" t="n">
        <x:f>ABS(M1981)</x:f>
        <x:v>3.6127819548872178</x:v>
      </x:c>
      <x:c r="P1981" s="7" t="n">
        <x:v>45771</x:v>
      </x:c>
    </x:row>
    <x:row r="1982" ht="26" customHeight="1">
      <x:c r="A1982" s="2"/>
      <x:c r="B1982" s="2" t="n">
        <x:v>1977</x:v>
      </x:c>
      <x:c r="C1982" s="2" t="str">
        <x:v>Baby, Feminine &amp; Family Care / organic_volume_growth</x:v>
      </x:c>
      <x:c r="D1982" s="7" t="n">
        <x:v>45838</x:v>
      </x:c>
      <x:c r="E1982" s="2" t="str">
        <x:v>Origin</x:v>
      </x:c>
      <x:c r="F1982" s="7" t="n">
        <x:v>45748</x:v>
      </x:c>
      <x:c r="G1982" s="2" t="str">
        <x:v>Last actual</x:v>
      </x:c>
      <x:c r="H1982" s="8" t="n">
        <x:f>AVERAGE('PG facts'!E115)</x:f>
        <x:v>4</x:v>
      </x:c>
      <x:c r="I1982" s="8" t="n">
        <x:f>0</x:f>
        <x:v>0</x:v>
      </x:c>
      <x:c r="J1982" s="8" t="n">
        <x:v>0</x:v>
      </x:c>
      <x:c r="K1982" s="8" t="n">
        <x:f>H1982-I1982*J1982</x:f>
        <x:v>4</x:v>
      </x:c>
      <x:c r="L1982" s="8" t="n">
        <x:f>'PG facts'!E129</x:f>
        <x:v>0</x:v>
      </x:c>
      <x:c r="M1982" s="8" t="n">
        <x:f>K1982-L1982</x:f>
        <x:v>4</x:v>
      </x:c>
      <x:c r="N1982" s="8" t="n">
        <x:f>M1982^2</x:f>
        <x:v>16</x:v>
      </x:c>
      <x:c r="O1982" s="8" t="n">
        <x:f>ABS(M1982)</x:f>
        <x:v>4</x:v>
      </x:c>
      <x:c r="P1982" s="7" t="n">
        <x:v>45867</x:v>
      </x:c>
    </x:row>
    <x:row r="1983" ht="26" customHeight="1">
      <x:c r="A1983" s="2"/>
      <x:c r="B1983" s="2" t="n">
        <x:v>1978</x:v>
      </x:c>
      <x:c r="C1983" s="2" t="str">
        <x:v>Baby, Feminine &amp; Family Care / organic_volume_growth</x:v>
      </x:c>
      <x:c r="D1983" s="7" t="n">
        <x:v>45838</x:v>
      </x:c>
      <x:c r="E1983" s="2" t="str">
        <x:v>Origin</x:v>
      </x:c>
      <x:c r="F1983" s="7" t="n">
        <x:v>45748</x:v>
      </x:c>
      <x:c r="G1983" s="2" t="str">
        <x:v>Four-quarter mean</x:v>
      </x:c>
      <x:c r="H1983" s="8" t="n">
        <x:f>AVERAGE('PG facts'!E94,'PG facts'!E101,'PG facts'!E108,'PG facts'!E115)</x:f>
        <x:v>-0.25</x:v>
      </x:c>
      <x:c r="I1983" s="8" t="n">
        <x:f>0</x:f>
        <x:v>0</x:v>
      </x:c>
      <x:c r="J1983" s="8" t="n">
        <x:v>0</x:v>
      </x:c>
      <x:c r="K1983" s="8" t="n">
        <x:f>H1983-I1983*J1983</x:f>
        <x:v>-0.25</x:v>
      </x:c>
      <x:c r="L1983" s="8" t="n">
        <x:f>'PG facts'!E129</x:f>
        <x:v>0</x:v>
      </x:c>
      <x:c r="M1983" s="8" t="n">
        <x:f>K1983-L1983</x:f>
        <x:v>-0.25</x:v>
      </x:c>
      <x:c r="N1983" s="8" t="n">
        <x:f>M1983^2</x:f>
        <x:v>0.0625</x:v>
      </x:c>
      <x:c r="O1983" s="8" t="n">
        <x:f>ABS(M1983)</x:f>
        <x:v>0.25</x:v>
      </x:c>
      <x:c r="P1983" s="7" t="n">
        <x:v>45867</x:v>
      </x:c>
    </x:row>
    <x:row r="1984" ht="26" customHeight="1">
      <x:c r="A1984" s="2"/>
      <x:c r="B1984" s="2" t="n">
        <x:v>1979</x:v>
      </x:c>
      <x:c r="C1984" s="2" t="str">
        <x:v>Baby, Feminine &amp; Family Care / organic_volume_growth</x:v>
      </x:c>
      <x:c r="D1984" s="7" t="n">
        <x:v>45838</x:v>
      </x:c>
      <x:c r="E1984" s="2" t="str">
        <x:v>Origin</x:v>
      </x:c>
      <x:c r="F1984" s="7" t="n">
        <x:v>45748</x:v>
      </x:c>
      <x:c r="G1984" s="2" t="str">
        <x:v>Broad market</x:v>
      </x:c>
      <x:c r="H1984" s="8" t="n">
        <x:f>'Model fits'!AA1286</x:f>
        <x:v>-1.410079311365218</x:v>
      </x:c>
      <x:c r="I1984" s="8" t="n">
        <x:f>0</x:f>
        <x:v>0</x:v>
      </x:c>
      <x:c r="J1984" s="8" t="n">
        <x:v>0</x:v>
      </x:c>
      <x:c r="K1984" s="8" t="n">
        <x:f>H1984-I1984*J1984</x:f>
        <x:v>-1.410079311365218</x:v>
      </x:c>
      <x:c r="L1984" s="8" t="n">
        <x:f>'PG facts'!E129</x:f>
        <x:v>0</x:v>
      </x:c>
      <x:c r="M1984" s="8" t="n">
        <x:f>K1984-L1984</x:f>
        <x:v>-1.410079311365218</x:v>
      </x:c>
      <x:c r="N1984" s="8" t="n">
        <x:f>M1984^2</x:f>
        <x:v>1.9883236643402071</x:v>
      </x:c>
      <x:c r="O1984" s="8" t="n">
        <x:f>ABS(M1984)</x:f>
        <x:v>1.410079311365218</x:v>
      </x:c>
      <x:c r="P1984" s="7" t="n">
        <x:v>45867</x:v>
      </x:c>
    </x:row>
    <x:row r="1985" ht="26" customHeight="1">
      <x:c r="A1985" s="2"/>
      <x:c r="B1985" s="2" t="n">
        <x:v>1980</x:v>
      </x:c>
      <x:c r="C1985" s="2" t="str">
        <x:v>Baby, Feminine &amp; Family Care / organic_volume_growth</x:v>
      </x:c>
      <x:c r="D1985" s="7" t="n">
        <x:v>45838</x:v>
      </x:c>
      <x:c r="E1985" s="2" t="str">
        <x:v>Origin</x:v>
      </x:c>
      <x:c r="F1985" s="7" t="n">
        <x:v>45748</x:v>
      </x:c>
      <x:c r="G1985" s="2" t="str">
        <x:v>Broad rolling 8</x:v>
      </x:c>
      <x:c r="H1985" s="8" t="n">
        <x:f>'Model fits'!AA1287</x:f>
        <x:v>-0.26426929430364776</x:v>
      </x:c>
      <x:c r="I1985" s="8" t="n">
        <x:f>0</x:f>
        <x:v>0</x:v>
      </x:c>
      <x:c r="J1985" s="8" t="n">
        <x:v>0</x:v>
      </x:c>
      <x:c r="K1985" s="8" t="n">
        <x:f>H1985-I1985*J1985</x:f>
        <x:v>-0.26426929430364776</x:v>
      </x:c>
      <x:c r="L1985" s="8" t="n">
        <x:f>'PG facts'!E129</x:f>
        <x:v>0</x:v>
      </x:c>
      <x:c r="M1985" s="8" t="n">
        <x:f>K1985-L1985</x:f>
        <x:v>-0.26426929430364776</x:v>
      </x:c>
      <x:c r="N1985" s="8" t="n">
        <x:f>M1985^2</x:f>
        <x:v>0.069838259911748</x:v>
      </x:c>
      <x:c r="O1985" s="8" t="n">
        <x:f>ABS(M1985)</x:f>
        <x:v>0.26426929430364776</x:v>
      </x:c>
      <x:c r="P1985" s="7" t="n">
        <x:v>45867</x:v>
      </x:c>
    </x:row>
    <x:row r="1986" ht="26" customHeight="1">
      <x:c r="A1986" s="2"/>
      <x:c r="B1986" s="2" t="n">
        <x:v>1981</x:v>
      </x:c>
      <x:c r="C1986" s="2" t="str">
        <x:v>Baby, Feminine &amp; Family Care / organic_volume_growth</x:v>
      </x:c>
      <x:c r="D1986" s="7" t="n">
        <x:v>45838</x:v>
      </x:c>
      <x:c r="E1986" s="2" t="str">
        <x:v>Origin</x:v>
      </x:c>
      <x:c r="F1986" s="7" t="n">
        <x:v>45748</x:v>
      </x:c>
      <x:c r="G1986" s="2" t="str">
        <x:v>Own history</x:v>
      </x:c>
      <x:c r="H1986" s="8" t="n">
        <x:f>'Model fits'!AA1288</x:f>
        <x:v>-1.3827411167512689</x:v>
      </x:c>
      <x:c r="I1986" s="8" t="n">
        <x:f>0</x:f>
        <x:v>0</x:v>
      </x:c>
      <x:c r="J1986" s="8" t="n">
        <x:v>0</x:v>
      </x:c>
      <x:c r="K1986" s="8" t="n">
        <x:f>H1986-I1986*J1986</x:f>
        <x:v>-1.3827411167512689</x:v>
      </x:c>
      <x:c r="L1986" s="8" t="n">
        <x:f>'PG facts'!E129</x:f>
        <x:v>0</x:v>
      </x:c>
      <x:c r="M1986" s="8" t="n">
        <x:f>K1986-L1986</x:f>
        <x:v>-1.3827411167512689</x:v>
      </x:c>
      <x:c r="N1986" s="8" t="n">
        <x:f>M1986^2</x:f>
        <x:v>1.9119729959545462</x:v>
      </x:c>
      <x:c r="O1986" s="8" t="n">
        <x:f>ABS(M1986)</x:f>
        <x:v>1.3827411167512689</x:v>
      </x:c>
      <x:c r="P1986" s="7" t="n">
        <x:v>45867</x:v>
      </x:c>
    </x:row>
    <x:row r="1987" ht="26" customHeight="1">
      <x:c r="A1987" s="2"/>
      <x:c r="B1987" s="2" t="n">
        <x:v>1982</x:v>
      </x:c>
      <x:c r="C1987" s="2" t="str">
        <x:v>Baby, Feminine &amp; Family Care / organic_volume_growth</x:v>
      </x:c>
      <x:c r="D1987" s="7" t="n">
        <x:v>45838</x:v>
      </x:c>
      <x:c r="E1987" s="2" t="str">
        <x:v>Prior report</x:v>
      </x:c>
      <x:c r="F1987" s="7" t="n">
        <x:v>45771</x:v>
      </x:c>
      <x:c r="G1987" s="2" t="str">
        <x:v>Last actual</x:v>
      </x:c>
      <x:c r="H1987" s="8" t="n">
        <x:f>AVERAGE('PG facts'!E122)</x:f>
        <x:v>-2</x:v>
      </x:c>
      <x:c r="I1987" s="8" t="n">
        <x:f>0</x:f>
        <x:v>0</x:v>
      </x:c>
      <x:c r="J1987" s="8" t="n">
        <x:v>0</x:v>
      </x:c>
      <x:c r="K1987" s="8" t="n">
        <x:f>H1987-I1987*J1987</x:f>
        <x:v>-2</x:v>
      </x:c>
      <x:c r="L1987" s="8" t="n">
        <x:f>'PG facts'!E129</x:f>
        <x:v>0</x:v>
      </x:c>
      <x:c r="M1987" s="8" t="n">
        <x:f>K1987-L1987</x:f>
        <x:v>-2</x:v>
      </x:c>
      <x:c r="N1987" s="8" t="n">
        <x:f>M1987^2</x:f>
        <x:v>4</x:v>
      </x:c>
      <x:c r="O1987" s="8" t="n">
        <x:f>ABS(M1987)</x:f>
        <x:v>2</x:v>
      </x:c>
      <x:c r="P1987" s="7" t="n">
        <x:v>45867</x:v>
      </x:c>
    </x:row>
    <x:row r="1988" ht="26" customHeight="1">
      <x:c r="A1988" s="2"/>
      <x:c r="B1988" s="2" t="n">
        <x:v>1983</x:v>
      </x:c>
      <x:c r="C1988" s="2" t="str">
        <x:v>Baby, Feminine &amp; Family Care / organic_volume_growth</x:v>
      </x:c>
      <x:c r="D1988" s="7" t="n">
        <x:v>45838</x:v>
      </x:c>
      <x:c r="E1988" s="2" t="str">
        <x:v>Prior report</x:v>
      </x:c>
      <x:c r="F1988" s="7" t="n">
        <x:v>45771</x:v>
      </x:c>
      <x:c r="G1988" s="2" t="str">
        <x:v>Four-quarter mean</x:v>
      </x:c>
      <x:c r="H1988" s="8" t="n">
        <x:f>AVERAGE('PG facts'!E101,'PG facts'!E108,'PG facts'!E115,'PG facts'!E122)</x:f>
        <x:v>0</x:v>
      </x:c>
      <x:c r="I1988" s="8" t="n">
        <x:f>0</x:f>
        <x:v>0</x:v>
      </x:c>
      <x:c r="J1988" s="8" t="n">
        <x:v>0</x:v>
      </x:c>
      <x:c r="K1988" s="8" t="n">
        <x:f>H1988-I1988*J1988</x:f>
        <x:v>0</x:v>
      </x:c>
      <x:c r="L1988" s="8" t="n">
        <x:f>'PG facts'!E129</x:f>
        <x:v>0</x:v>
      </x:c>
      <x:c r="M1988" s="8" t="n">
        <x:f>K1988-L1988</x:f>
        <x:v>0</x:v>
      </x:c>
      <x:c r="N1988" s="8" t="n">
        <x:f>M1988^2</x:f>
        <x:v>0</x:v>
      </x:c>
      <x:c r="O1988" s="8" t="n">
        <x:f>ABS(M1988)</x:f>
        <x:v>0</x:v>
      </x:c>
      <x:c r="P1988" s="7" t="n">
        <x:v>45867</x:v>
      </x:c>
    </x:row>
    <x:row r="1989" ht="26" customHeight="1">
      <x:c r="A1989" s="2"/>
      <x:c r="B1989" s="2" t="n">
        <x:v>1984</x:v>
      </x:c>
      <x:c r="C1989" s="2" t="str">
        <x:v>Baby, Feminine &amp; Family Care / organic_volume_growth</x:v>
      </x:c>
      <x:c r="D1989" s="7" t="n">
        <x:v>45838</x:v>
      </x:c>
      <x:c r="E1989" s="2" t="str">
        <x:v>Prior report</x:v>
      </x:c>
      <x:c r="F1989" s="7" t="n">
        <x:v>45771</x:v>
      </x:c>
      <x:c r="G1989" s="2" t="str">
        <x:v>Broad market</x:v>
      </x:c>
      <x:c r="H1989" s="8" t="n">
        <x:f>'Model fits'!AA1289</x:f>
        <x:v>-1.410079311365218</x:v>
      </x:c>
      <x:c r="I1989" s="8" t="n">
        <x:f>0</x:f>
        <x:v>0</x:v>
      </x:c>
      <x:c r="J1989" s="8" t="n">
        <x:v>0</x:v>
      </x:c>
      <x:c r="K1989" s="8" t="n">
        <x:f>H1989-I1989*J1989</x:f>
        <x:v>-1.410079311365218</x:v>
      </x:c>
      <x:c r="L1989" s="8" t="n">
        <x:f>'PG facts'!E129</x:f>
        <x:v>0</x:v>
      </x:c>
      <x:c r="M1989" s="8" t="n">
        <x:f>K1989-L1989</x:f>
        <x:v>-1.410079311365218</x:v>
      </x:c>
      <x:c r="N1989" s="8" t="n">
        <x:f>M1989^2</x:f>
        <x:v>1.9883236643402071</x:v>
      </x:c>
      <x:c r="O1989" s="8" t="n">
        <x:f>ABS(M1989)</x:f>
        <x:v>1.410079311365218</x:v>
      </x:c>
      <x:c r="P1989" s="7" t="n">
        <x:v>45867</x:v>
      </x:c>
    </x:row>
    <x:row r="1990" ht="26" customHeight="1">
      <x:c r="A1990" s="2"/>
      <x:c r="B1990" s="2" t="n">
        <x:v>1985</x:v>
      </x:c>
      <x:c r="C1990" s="2" t="str">
        <x:v>Baby, Feminine &amp; Family Care / organic_volume_growth</x:v>
      </x:c>
      <x:c r="D1990" s="7" t="n">
        <x:v>45838</x:v>
      </x:c>
      <x:c r="E1990" s="2" t="str">
        <x:v>Prior report</x:v>
      </x:c>
      <x:c r="F1990" s="7" t="n">
        <x:v>45771</x:v>
      </x:c>
      <x:c r="G1990" s="2" t="str">
        <x:v>Broad rolling 8</x:v>
      </x:c>
      <x:c r="H1990" s="8" t="n">
        <x:f>'Model fits'!AA1290</x:f>
        <x:v>-0.26426929430364776</x:v>
      </x:c>
      <x:c r="I1990" s="8" t="n">
        <x:f>0</x:f>
        <x:v>0</x:v>
      </x:c>
      <x:c r="J1990" s="8" t="n">
        <x:v>0</x:v>
      </x:c>
      <x:c r="K1990" s="8" t="n">
        <x:f>H1990-I1990*J1990</x:f>
        <x:v>-0.26426929430364776</x:v>
      </x:c>
      <x:c r="L1990" s="8" t="n">
        <x:f>'PG facts'!E129</x:f>
        <x:v>0</x:v>
      </x:c>
      <x:c r="M1990" s="8" t="n">
        <x:f>K1990-L1990</x:f>
        <x:v>-0.26426929430364776</x:v>
      </x:c>
      <x:c r="N1990" s="8" t="n">
        <x:f>M1990^2</x:f>
        <x:v>0.069838259911748</x:v>
      </x:c>
      <x:c r="O1990" s="8" t="n">
        <x:f>ABS(M1990)</x:f>
        <x:v>0.26426929430364776</x:v>
      </x:c>
      <x:c r="P1990" s="7" t="n">
        <x:v>45867</x:v>
      </x:c>
    </x:row>
    <x:row r="1991" ht="26" customHeight="1">
      <x:c r="A1991" s="2"/>
      <x:c r="B1991" s="2" t="n">
        <x:v>1986</x:v>
      </x:c>
      <x:c r="C1991" s="2" t="str">
        <x:v>Baby, Feminine &amp; Family Care / organic_volume_growth</x:v>
      </x:c>
      <x:c r="D1991" s="7" t="n">
        <x:v>45838</x:v>
      </x:c>
      <x:c r="E1991" s="2" t="str">
        <x:v>Prior report</x:v>
      </x:c>
      <x:c r="F1991" s="7" t="n">
        <x:v>45771</x:v>
      </x:c>
      <x:c r="G1991" s="2" t="str">
        <x:v>Own history</x:v>
      </x:c>
      <x:c r="H1991" s="8" t="n">
        <x:f>'Model fits'!AA1291</x:f>
        <x:v>-1.4373464373464375</x:v>
      </x:c>
      <x:c r="I1991" s="8" t="n">
        <x:f>0</x:f>
        <x:v>0</x:v>
      </x:c>
      <x:c r="J1991" s="8" t="n">
        <x:v>0</x:v>
      </x:c>
      <x:c r="K1991" s="8" t="n">
        <x:f>H1991-I1991*J1991</x:f>
        <x:v>-1.4373464373464375</x:v>
      </x:c>
      <x:c r="L1991" s="8" t="n">
        <x:f>'PG facts'!E129</x:f>
        <x:v>0</x:v>
      </x:c>
      <x:c r="M1991" s="8" t="n">
        <x:f>K1991-L1991</x:f>
        <x:v>-1.4373464373464375</x:v>
      </x:c>
      <x:c r="N1991" s="8" t="n">
        <x:f>M1991^2</x:f>
        <x:v>2.0659647809524966</x:v>
      </x:c>
      <x:c r="O1991" s="8" t="n">
        <x:f>ABS(M1991)</x:f>
        <x:v>1.4373464373464375</x:v>
      </x:c>
      <x:c r="P1991" s="7" t="n">
        <x:v>45867</x:v>
      </x:c>
    </x:row>
    <x:row r="1992" ht="26" customHeight="1">
      <x:c r="A1992" s="2"/>
      <x:c r="B1992" s="2" t="n">
        <x:v>1987</x:v>
      </x:c>
      <x:c r="C1992" s="2" t="str">
        <x:v>Baby, Feminine &amp; Family Care / organic_volume_growth</x:v>
      </x:c>
      <x:c r="D1992" s="7" t="n">
        <x:v>45838</x:v>
      </x:c>
      <x:c r="E1992" s="2" t="str">
        <x:v>Pre-earnings</x:v>
      </x:c>
      <x:c r="F1992" s="7" t="n">
        <x:v>45866</x:v>
      </x:c>
      <x:c r="G1992" s="2" t="str">
        <x:v>Last actual</x:v>
      </x:c>
      <x:c r="H1992" s="8" t="n">
        <x:f>AVERAGE('PG facts'!E122)</x:f>
        <x:v>-2</x:v>
      </x:c>
      <x:c r="I1992" s="8" t="n">
        <x:f>0</x:f>
        <x:v>0</x:v>
      </x:c>
      <x:c r="J1992" s="8" t="n">
        <x:v>0</x:v>
      </x:c>
      <x:c r="K1992" s="8" t="n">
        <x:f>H1992-I1992*J1992</x:f>
        <x:v>-2</x:v>
      </x:c>
      <x:c r="L1992" s="8" t="n">
        <x:f>'PG facts'!E129</x:f>
        <x:v>0</x:v>
      </x:c>
      <x:c r="M1992" s="8" t="n">
        <x:f>K1992-L1992</x:f>
        <x:v>-2</x:v>
      </x:c>
      <x:c r="N1992" s="8" t="n">
        <x:f>M1992^2</x:f>
        <x:v>4</x:v>
      </x:c>
      <x:c r="O1992" s="8" t="n">
        <x:f>ABS(M1992)</x:f>
        <x:v>2</x:v>
      </x:c>
      <x:c r="P1992" s="7" t="n">
        <x:v>45867</x:v>
      </x:c>
    </x:row>
    <x:row r="1993" ht="26" customHeight="1">
      <x:c r="A1993" s="2"/>
      <x:c r="B1993" s="2" t="n">
        <x:v>1988</x:v>
      </x:c>
      <x:c r="C1993" s="2" t="str">
        <x:v>Baby, Feminine &amp; Family Care / organic_volume_growth</x:v>
      </x:c>
      <x:c r="D1993" s="7" t="n">
        <x:v>45838</x:v>
      </x:c>
      <x:c r="E1993" s="2" t="str">
        <x:v>Pre-earnings</x:v>
      </x:c>
      <x:c r="F1993" s="7" t="n">
        <x:v>45866</x:v>
      </x:c>
      <x:c r="G1993" s="2" t="str">
        <x:v>Four-quarter mean</x:v>
      </x:c>
      <x:c r="H1993" s="8" t="n">
        <x:f>AVERAGE('PG facts'!E101,'PG facts'!E108,'PG facts'!E115,'PG facts'!E122)</x:f>
        <x:v>0</x:v>
      </x:c>
      <x:c r="I1993" s="8" t="n">
        <x:f>0</x:f>
        <x:v>0</x:v>
      </x:c>
      <x:c r="J1993" s="8" t="n">
        <x:v>0</x:v>
      </x:c>
      <x:c r="K1993" s="8" t="n">
        <x:f>H1993-I1993*J1993</x:f>
        <x:v>0</x:v>
      </x:c>
      <x:c r="L1993" s="8" t="n">
        <x:f>'PG facts'!E129</x:f>
        <x:v>0</x:v>
      </x:c>
      <x:c r="M1993" s="8" t="n">
        <x:f>K1993-L1993</x:f>
        <x:v>0</x:v>
      </x:c>
      <x:c r="N1993" s="8" t="n">
        <x:f>M1993^2</x:f>
        <x:v>0</x:v>
      </x:c>
      <x:c r="O1993" s="8" t="n">
        <x:f>ABS(M1993)</x:f>
        <x:v>0</x:v>
      </x:c>
      <x:c r="P1993" s="7" t="n">
        <x:v>45867</x:v>
      </x:c>
    </x:row>
    <x:row r="1994" ht="26" customHeight="1">
      <x:c r="A1994" s="2"/>
      <x:c r="B1994" s="2" t="n">
        <x:v>1989</x:v>
      </x:c>
      <x:c r="C1994" s="2" t="str">
        <x:v>Baby, Feminine &amp; Family Care / organic_volume_growth</x:v>
      </x:c>
      <x:c r="D1994" s="7" t="n">
        <x:v>45838</x:v>
      </x:c>
      <x:c r="E1994" s="2" t="str">
        <x:v>Pre-earnings</x:v>
      </x:c>
      <x:c r="F1994" s="7" t="n">
        <x:v>45866</x:v>
      </x:c>
      <x:c r="G1994" s="2" t="str">
        <x:v>Broad market</x:v>
      </x:c>
      <x:c r="H1994" s="8" t="n">
        <x:f>'Model fits'!AA1292</x:f>
        <x:v>-1.413148028456753</x:v>
      </x:c>
      <x:c r="I1994" s="8" t="n">
        <x:f>0</x:f>
        <x:v>0</x:v>
      </x:c>
      <x:c r="J1994" s="8" t="n">
        <x:v>0</x:v>
      </x:c>
      <x:c r="K1994" s="8" t="n">
        <x:f>H1994-I1994*J1994</x:f>
        <x:v>-1.413148028456753</x:v>
      </x:c>
      <x:c r="L1994" s="8" t="n">
        <x:f>'PG facts'!E129</x:f>
        <x:v>0</x:v>
      </x:c>
      <x:c r="M1994" s="8" t="n">
        <x:f>K1994-L1994</x:f>
        <x:v>-1.413148028456753</x:v>
      </x:c>
      <x:c r="N1994" s="8" t="n">
        <x:f>M1994^2</x:f>
        <x:v>1.996987350331208</x:v>
      </x:c>
      <x:c r="O1994" s="8" t="n">
        <x:f>ABS(M1994)</x:f>
        <x:v>1.413148028456753</x:v>
      </x:c>
      <x:c r="P1994" s="7" t="n">
        <x:v>45867</x:v>
      </x:c>
    </x:row>
    <x:row r="1995" ht="26" customHeight="1">
      <x:c r="A1995" s="2"/>
      <x:c r="B1995" s="2" t="n">
        <x:v>1990</x:v>
      </x:c>
      <x:c r="C1995" s="2" t="str">
        <x:v>Baby, Feminine &amp; Family Care / organic_volume_growth</x:v>
      </x:c>
      <x:c r="D1995" s="7" t="n">
        <x:v>45838</x:v>
      </x:c>
      <x:c r="E1995" s="2" t="str">
        <x:v>Pre-earnings</x:v>
      </x:c>
      <x:c r="F1995" s="7" t="n">
        <x:v>45866</x:v>
      </x:c>
      <x:c r="G1995" s="2" t="str">
        <x:v>Broad lag 1</x:v>
      </x:c>
      <x:c r="H1995" s="8" t="n">
        <x:f>'Model fits'!AA1293</x:f>
        <x:v>-1.250677260132056</x:v>
      </x:c>
      <x:c r="I1995" s="8" t="n">
        <x:f>0</x:f>
        <x:v>0</x:v>
      </x:c>
      <x:c r="J1995" s="8" t="n">
        <x:v>0</x:v>
      </x:c>
      <x:c r="K1995" s="8" t="n">
        <x:f>H1995-I1995*J1995</x:f>
        <x:v>-1.250677260132056</x:v>
      </x:c>
      <x:c r="L1995" s="8" t="n">
        <x:f>'PG facts'!E129</x:f>
        <x:v>0</x:v>
      </x:c>
      <x:c r="M1995" s="8" t="n">
        <x:f>K1995-L1995</x:f>
        <x:v>-1.250677260132056</x:v>
      </x:c>
      <x:c r="N1995" s="8" t="n">
        <x:f>M1995^2</x:f>
        <x:v>1.5641936090114263</x:v>
      </x:c>
      <x:c r="O1995" s="8" t="n">
        <x:f>ABS(M1995)</x:f>
        <x:v>1.250677260132056</x:v>
      </x:c>
      <x:c r="P1995" s="7" t="n">
        <x:v>45867</x:v>
      </x:c>
    </x:row>
    <x:row r="1996" ht="26" customHeight="1">
      <x:c r="A1996" s="2"/>
      <x:c r="B1996" s="2" t="n">
        <x:v>1991</x:v>
      </x:c>
      <x:c r="C1996" s="2" t="str">
        <x:v>Baby, Feminine &amp; Family Care / organic_volume_growth</x:v>
      </x:c>
      <x:c r="D1996" s="7" t="n">
        <x:v>45838</x:v>
      </x:c>
      <x:c r="E1996" s="2" t="str">
        <x:v>Pre-earnings</x:v>
      </x:c>
      <x:c r="F1996" s="7" t="n">
        <x:v>45866</x:v>
      </x:c>
      <x:c r="G1996" s="2" t="str">
        <x:v>Broad rolling 8</x:v>
      </x:c>
      <x:c r="H1996" s="8" t="n">
        <x:f>'Model fits'!AA1294</x:f>
        <x:v>-0.9897502181944293</x:v>
      </x:c>
      <x:c r="I1996" s="8" t="n">
        <x:f>0</x:f>
        <x:v>0</x:v>
      </x:c>
      <x:c r="J1996" s="8" t="n">
        <x:v>0</x:v>
      </x:c>
      <x:c r="K1996" s="8" t="n">
        <x:f>H1996-I1996*J1996</x:f>
        <x:v>-0.9897502181944293</x:v>
      </x:c>
      <x:c r="L1996" s="8" t="n">
        <x:f>'PG facts'!E129</x:f>
        <x:v>0</x:v>
      </x:c>
      <x:c r="M1996" s="8" t="n">
        <x:f>K1996-L1996</x:f>
        <x:v>-0.9897502181944293</x:v>
      </x:c>
      <x:c r="N1996" s="8" t="n">
        <x:f>M1996^2</x:f>
        <x:v>0.9796054944159205</x:v>
      </x:c>
      <x:c r="O1996" s="8" t="n">
        <x:f>ABS(M1996)</x:f>
        <x:v>0.9897502181944293</x:v>
      </x:c>
      <x:c r="P1996" s="7" t="n">
        <x:v>45867</x:v>
      </x:c>
    </x:row>
    <x:row r="1997" ht="26" customHeight="1">
      <x:c r="A1997" s="2"/>
      <x:c r="B1997" s="2" t="n">
        <x:v>1992</x:v>
      </x:c>
      <x:c r="C1997" s="2" t="str">
        <x:v>Baby, Feminine &amp; Family Care / organic_volume_growth</x:v>
      </x:c>
      <x:c r="D1997" s="7" t="n">
        <x:v>45838</x:v>
      </x:c>
      <x:c r="E1997" s="2" t="str">
        <x:v>Pre-earnings</x:v>
      </x:c>
      <x:c r="F1997" s="7" t="n">
        <x:v>45866</x:v>
      </x:c>
      <x:c r="G1997" s="2" t="str">
        <x:v>Own history</x:v>
      </x:c>
      <x:c r="H1997" s="8" t="n">
        <x:f>'Model fits'!AA1295</x:f>
        <x:v>-1.4373464373464375</x:v>
      </x:c>
      <x:c r="I1997" s="8" t="n">
        <x:f>0</x:f>
        <x:v>0</x:v>
      </x:c>
      <x:c r="J1997" s="8" t="n">
        <x:v>0</x:v>
      </x:c>
      <x:c r="K1997" s="8" t="n">
        <x:f>H1997-I1997*J1997</x:f>
        <x:v>-1.4373464373464375</x:v>
      </x:c>
      <x:c r="L1997" s="8" t="n">
        <x:f>'PG facts'!E129</x:f>
        <x:v>0</x:v>
      </x:c>
      <x:c r="M1997" s="8" t="n">
        <x:f>K1997-L1997</x:f>
        <x:v>-1.4373464373464375</x:v>
      </x:c>
      <x:c r="N1997" s="8" t="n">
        <x:f>M1997^2</x:f>
        <x:v>2.0659647809524966</x:v>
      </x:c>
      <x:c r="O1997" s="8" t="n">
        <x:f>ABS(M1997)</x:f>
        <x:v>1.4373464373464375</x:v>
      </x:c>
      <x:c r="P1997" s="7" t="n">
        <x:v>45867</x:v>
      </x:c>
    </x:row>
    <x:row r="1998" ht="26" customHeight="1">
      <x:c r="A1998" s="2"/>
      <x:c r="B1998" s="2" t="n">
        <x:v>1993</x:v>
      </x:c>
      <x:c r="C1998" s="2" t="str">
        <x:v>Baby, Feminine &amp; Family Care / organic_volume_growth</x:v>
      </x:c>
      <x:c r="D1998" s="7" t="n">
        <x:v>45930</x:v>
      </x:c>
      <x:c r="E1998" s="2" t="str">
        <x:v>Origin</x:v>
      </x:c>
      <x:c r="F1998" s="7" t="n">
        <x:v>45839</x:v>
      </x:c>
      <x:c r="G1998" s="2" t="str">
        <x:v>Last actual</x:v>
      </x:c>
      <x:c r="H1998" s="8" t="n">
        <x:f>AVERAGE('PG facts'!E122)</x:f>
        <x:v>-2</x:v>
      </x:c>
      <x:c r="I1998" s="8" t="n">
        <x:f>0</x:f>
        <x:v>0</x:v>
      </x:c>
      <x:c r="J1998" s="8" t="n">
        <x:v>0</x:v>
      </x:c>
      <x:c r="K1998" s="8" t="n">
        <x:f>H1998-I1998*J1998</x:f>
        <x:v>-2</x:v>
      </x:c>
      <x:c r="L1998" s="8" t="n">
        <x:f>'PG facts'!E136</x:f>
        <x:v>0</x:v>
      </x:c>
      <x:c r="M1998" s="8" t="n">
        <x:f>K1998-L1998</x:f>
        <x:v>-2</x:v>
      </x:c>
      <x:c r="N1998" s="8" t="n">
        <x:f>M1998^2</x:f>
        <x:v>4</x:v>
      </x:c>
      <x:c r="O1998" s="8" t="n">
        <x:f>ABS(M1998)</x:f>
        <x:v>2</x:v>
      </x:c>
      <x:c r="P1998" s="7" t="n">
        <x:v>45954</x:v>
      </x:c>
    </x:row>
    <x:row r="1999" ht="26" customHeight="1">
      <x:c r="A1999" s="2"/>
      <x:c r="B1999" s="2" t="n">
        <x:v>1994</x:v>
      </x:c>
      <x:c r="C1999" s="2" t="str">
        <x:v>Baby, Feminine &amp; Family Care / organic_volume_growth</x:v>
      </x:c>
      <x:c r="D1999" s="7" t="n">
        <x:v>45930</x:v>
      </x:c>
      <x:c r="E1999" s="2" t="str">
        <x:v>Origin</x:v>
      </x:c>
      <x:c r="F1999" s="7" t="n">
        <x:v>45839</x:v>
      </x:c>
      <x:c r="G1999" s="2" t="str">
        <x:v>Four-quarter mean</x:v>
      </x:c>
      <x:c r="H1999" s="8" t="n">
        <x:f>AVERAGE('PG facts'!E101,'PG facts'!E108,'PG facts'!E115,'PG facts'!E122)</x:f>
        <x:v>0</x:v>
      </x:c>
      <x:c r="I1999" s="8" t="n">
        <x:f>0</x:f>
        <x:v>0</x:v>
      </x:c>
      <x:c r="J1999" s="8" t="n">
        <x:v>0</x:v>
      </x:c>
      <x:c r="K1999" s="8" t="n">
        <x:f>H1999-I1999*J1999</x:f>
        <x:v>0</x:v>
      </x:c>
      <x:c r="L1999" s="8" t="n">
        <x:f>'PG facts'!E136</x:f>
        <x:v>0</x:v>
      </x:c>
      <x:c r="M1999" s="8" t="n">
        <x:f>K1999-L1999</x:f>
        <x:v>0</x:v>
      </x:c>
      <x:c r="N1999" s="8" t="n">
        <x:f>M1999^2</x:f>
        <x:v>0</x:v>
      </x:c>
      <x:c r="O1999" s="8" t="n">
        <x:f>ABS(M1999)</x:f>
        <x:v>0</x:v>
      </x:c>
      <x:c r="P1999" s="7" t="n">
        <x:v>45954</x:v>
      </x:c>
    </x:row>
    <x:row r="2000" ht="26" customHeight="1">
      <x:c r="A2000" s="2"/>
      <x:c r="B2000" s="2" t="n">
        <x:v>1995</x:v>
      </x:c>
      <x:c r="C2000" s="2" t="str">
        <x:v>Baby, Feminine &amp; Family Care / organic_volume_growth</x:v>
      </x:c>
      <x:c r="D2000" s="7" t="n">
        <x:v>45930</x:v>
      </x:c>
      <x:c r="E2000" s="2" t="str">
        <x:v>Origin</x:v>
      </x:c>
      <x:c r="F2000" s="7" t="n">
        <x:v>45839</x:v>
      </x:c>
      <x:c r="G2000" s="2" t="str">
        <x:v>Broad market</x:v>
      </x:c>
      <x:c r="H2000" s="8" t="n">
        <x:f>'Model fits'!AA1296</x:f>
        <x:v>-1.416490729360728</x:v>
      </x:c>
      <x:c r="I2000" s="8" t="n">
        <x:f>0</x:f>
        <x:v>0</x:v>
      </x:c>
      <x:c r="J2000" s="8" t="n">
        <x:v>0</x:v>
      </x:c>
      <x:c r="K2000" s="8" t="n">
        <x:f>H2000-I2000*J2000</x:f>
        <x:v>-1.416490729360728</x:v>
      </x:c>
      <x:c r="L2000" s="8" t="n">
        <x:f>'PG facts'!E136</x:f>
        <x:v>0</x:v>
      </x:c>
      <x:c r="M2000" s="8" t="n">
        <x:f>K2000-L2000</x:f>
        <x:v>-1.416490729360728</x:v>
      </x:c>
      <x:c r="N2000" s="8" t="n">
        <x:f>M2000^2</x:f>
        <x:v>2.0064459863648874</x:v>
      </x:c>
      <x:c r="O2000" s="8" t="n">
        <x:f>ABS(M2000)</x:f>
        <x:v>1.416490729360728</x:v>
      </x:c>
      <x:c r="P2000" s="7" t="n">
        <x:v>45954</x:v>
      </x:c>
    </x:row>
    <x:row r="2001" ht="26" customHeight="1">
      <x:c r="A2001" s="2"/>
      <x:c r="B2001" s="2" t="n">
        <x:v>1996</x:v>
      </x:c>
      <x:c r="C2001" s="2" t="str">
        <x:v>Baby, Feminine &amp; Family Care / organic_volume_growth</x:v>
      </x:c>
      <x:c r="D2001" s="7" t="n">
        <x:v>45930</x:v>
      </x:c>
      <x:c r="E2001" s="2" t="str">
        <x:v>Origin</x:v>
      </x:c>
      <x:c r="F2001" s="7" t="n">
        <x:v>45839</x:v>
      </x:c>
      <x:c r="G2001" s="2" t="str">
        <x:v>Broad rolling 8</x:v>
      </x:c>
      <x:c r="H2001" s="8" t="n">
        <x:f>'Model fits'!AA1297</x:f>
        <x:v>-0.9901399509635962</x:v>
      </x:c>
      <x:c r="I2001" s="8" t="n">
        <x:f>0</x:f>
        <x:v>0</x:v>
      </x:c>
      <x:c r="J2001" s="8" t="n">
        <x:v>0</x:v>
      </x:c>
      <x:c r="K2001" s="8" t="n">
        <x:f>H2001-I2001*J2001</x:f>
        <x:v>-0.9901399509635962</x:v>
      </x:c>
      <x:c r="L2001" s="8" t="n">
        <x:f>'PG facts'!E136</x:f>
        <x:v>0</x:v>
      </x:c>
      <x:c r="M2001" s="8" t="n">
        <x:f>K2001-L2001</x:f>
        <x:v>-0.9901399509635962</x:v>
      </x:c>
      <x:c r="N2001" s="8" t="n">
        <x:f>M2001^2</x:f>
        <x:v>0.9803771224941926</x:v>
      </x:c>
      <x:c r="O2001" s="8" t="n">
        <x:f>ABS(M2001)</x:f>
        <x:v>0.9901399509635962</x:v>
      </x:c>
      <x:c r="P2001" s="7" t="n">
        <x:v>45954</x:v>
      </x:c>
    </x:row>
    <x:row r="2002" ht="26" customHeight="1">
      <x:c r="A2002" s="2"/>
      <x:c r="B2002" s="2" t="n">
        <x:v>1997</x:v>
      </x:c>
      <x:c r="C2002" s="2" t="str">
        <x:v>Baby, Feminine &amp; Family Care / organic_volume_growth</x:v>
      </x:c>
      <x:c r="D2002" s="7" t="n">
        <x:v>45930</x:v>
      </x:c>
      <x:c r="E2002" s="2" t="str">
        <x:v>Origin</x:v>
      </x:c>
      <x:c r="F2002" s="7" t="n">
        <x:v>45839</x:v>
      </x:c>
      <x:c r="G2002" s="2" t="str">
        <x:v>Own history</x:v>
      </x:c>
      <x:c r="H2002" s="8" t="n">
        <x:f>'Model fits'!AA1298</x:f>
        <x:v>-1.1165413533834587</x:v>
      </x:c>
      <x:c r="I2002" s="8" t="n">
        <x:f>0</x:f>
        <x:v>0</x:v>
      </x:c>
      <x:c r="J2002" s="8" t="n">
        <x:v>0</x:v>
      </x:c>
      <x:c r="K2002" s="8" t="n">
        <x:f>H2002-I2002*J2002</x:f>
        <x:v>-1.1165413533834587</x:v>
      </x:c>
      <x:c r="L2002" s="8" t="n">
        <x:f>'PG facts'!E136</x:f>
        <x:v>0</x:v>
      </x:c>
      <x:c r="M2002" s="8" t="n">
        <x:f>K2002-L2002</x:f>
        <x:v>-1.1165413533834587</x:v>
      </x:c>
      <x:c r="N2002" s="8" t="n">
        <x:f>M2002^2</x:f>
        <x:v>1.2466645938153658</x:v>
      </x:c>
      <x:c r="O2002" s="8" t="n">
        <x:f>ABS(M2002)</x:f>
        <x:v>1.1165413533834587</x:v>
      </x:c>
      <x:c r="P2002" s="7" t="n">
        <x:v>45954</x:v>
      </x:c>
    </x:row>
    <x:row r="2003" ht="26" customHeight="1">
      <x:c r="A2003" s="2"/>
      <x:c r="B2003" s="2" t="n">
        <x:v>1998</x:v>
      </x:c>
      <x:c r="C2003" s="2" t="str">
        <x:v>Baby, Feminine &amp; Family Care / organic_volume_growth</x:v>
      </x:c>
      <x:c r="D2003" s="7" t="n">
        <x:v>45930</x:v>
      </x:c>
      <x:c r="E2003" s="2" t="str">
        <x:v>Prior report</x:v>
      </x:c>
      <x:c r="F2003" s="7" t="n">
        <x:v>45867</x:v>
      </x:c>
      <x:c r="G2003" s="2" t="str">
        <x:v>Last actual</x:v>
      </x:c>
      <x:c r="H2003" s="8" t="n">
        <x:f>AVERAGE('PG facts'!E129)</x:f>
        <x:v>0</x:v>
      </x:c>
      <x:c r="I2003" s="8" t="n">
        <x:f>0</x:f>
        <x:v>0</x:v>
      </x:c>
      <x:c r="J2003" s="8" t="n">
        <x:v>0</x:v>
      </x:c>
      <x:c r="K2003" s="8" t="n">
        <x:f>H2003-I2003*J2003</x:f>
        <x:v>0</x:v>
      </x:c>
      <x:c r="L2003" s="8" t="n">
        <x:f>'PG facts'!E136</x:f>
        <x:v>0</x:v>
      </x:c>
      <x:c r="M2003" s="8" t="n">
        <x:f>K2003-L2003</x:f>
        <x:v>0</x:v>
      </x:c>
      <x:c r="N2003" s="8" t="n">
        <x:f>M2003^2</x:f>
        <x:v>0</x:v>
      </x:c>
      <x:c r="O2003" s="8" t="n">
        <x:f>ABS(M2003)</x:f>
        <x:v>0</x:v>
      </x:c>
      <x:c r="P2003" s="7" t="n">
        <x:v>45954</x:v>
      </x:c>
    </x:row>
    <x:row r="2004" ht="26" customHeight="1">
      <x:c r="A2004" s="2"/>
      <x:c r="B2004" s="2" t="n">
        <x:v>1999</x:v>
      </x:c>
      <x:c r="C2004" s="2" t="str">
        <x:v>Baby, Feminine &amp; Family Care / organic_volume_growth</x:v>
      </x:c>
      <x:c r="D2004" s="7" t="n">
        <x:v>45930</x:v>
      </x:c>
      <x:c r="E2004" s="2" t="str">
        <x:v>Prior report</x:v>
      </x:c>
      <x:c r="F2004" s="7" t="n">
        <x:v>45867</x:v>
      </x:c>
      <x:c r="G2004" s="2" t="str">
        <x:v>Four-quarter mean</x:v>
      </x:c>
      <x:c r="H2004" s="8" t="n">
        <x:f>AVERAGE('PG facts'!E108,'PG facts'!E115,'PG facts'!E122,'PG facts'!E129)</x:f>
        <x:v>0.25</x:v>
      </x:c>
      <x:c r="I2004" s="8" t="n">
        <x:f>0</x:f>
        <x:v>0</x:v>
      </x:c>
      <x:c r="J2004" s="8" t="n">
        <x:v>0</x:v>
      </x:c>
      <x:c r="K2004" s="8" t="n">
        <x:f>H2004-I2004*J2004</x:f>
        <x:v>0.25</x:v>
      </x:c>
      <x:c r="L2004" s="8" t="n">
        <x:f>'PG facts'!E136</x:f>
        <x:v>0</x:v>
      </x:c>
      <x:c r="M2004" s="8" t="n">
        <x:f>K2004-L2004</x:f>
        <x:v>0.25</x:v>
      </x:c>
      <x:c r="N2004" s="8" t="n">
        <x:f>M2004^2</x:f>
        <x:v>0.0625</x:v>
      </x:c>
      <x:c r="O2004" s="8" t="n">
        <x:f>ABS(M2004)</x:f>
        <x:v>0.25</x:v>
      </x:c>
      <x:c r="P2004" s="7" t="n">
        <x:v>45954</x:v>
      </x:c>
    </x:row>
    <x:row r="2005" ht="26" customHeight="1">
      <x:c r="A2005" s="2"/>
      <x:c r="B2005" s="2" t="n">
        <x:v>2000</x:v>
      </x:c>
      <x:c r="C2005" s="2" t="str">
        <x:v>Baby, Feminine &amp; Family Care / organic_volume_growth</x:v>
      </x:c>
      <x:c r="D2005" s="7" t="n">
        <x:v>45930</x:v>
      </x:c>
      <x:c r="E2005" s="2" t="str">
        <x:v>Prior report</x:v>
      </x:c>
      <x:c r="F2005" s="7" t="n">
        <x:v>45867</x:v>
      </x:c>
      <x:c r="G2005" s="2" t="str">
        <x:v>Broad market</x:v>
      </x:c>
      <x:c r="H2005" s="8" t="n">
        <x:f>'Model fits'!AA1299</x:f>
        <x:v>-1.416490729360728</x:v>
      </x:c>
      <x:c r="I2005" s="8" t="n">
        <x:f>0</x:f>
        <x:v>0</x:v>
      </x:c>
      <x:c r="J2005" s="8" t="n">
        <x:v>0</x:v>
      </x:c>
      <x:c r="K2005" s="8" t="n">
        <x:f>H2005-I2005*J2005</x:f>
        <x:v>-1.416490729360728</x:v>
      </x:c>
      <x:c r="L2005" s="8" t="n">
        <x:f>'PG facts'!E136</x:f>
        <x:v>0</x:v>
      </x:c>
      <x:c r="M2005" s="8" t="n">
        <x:f>K2005-L2005</x:f>
        <x:v>-1.416490729360728</x:v>
      </x:c>
      <x:c r="N2005" s="8" t="n">
        <x:f>M2005^2</x:f>
        <x:v>2.0064459863648874</x:v>
      </x:c>
      <x:c r="O2005" s="8" t="n">
        <x:f>ABS(M2005)</x:f>
        <x:v>1.416490729360728</x:v>
      </x:c>
      <x:c r="P2005" s="7" t="n">
        <x:v>45954</x:v>
      </x:c>
    </x:row>
    <x:row r="2006" ht="26" customHeight="1">
      <x:c r="A2006" s="2"/>
      <x:c r="B2006" s="2" t="n">
        <x:v>2001</x:v>
      </x:c>
      <x:c r="C2006" s="2" t="str">
        <x:v>Baby, Feminine &amp; Family Care / organic_volume_growth</x:v>
      </x:c>
      <x:c r="D2006" s="7" t="n">
        <x:v>45930</x:v>
      </x:c>
      <x:c r="E2006" s="2" t="str">
        <x:v>Prior report</x:v>
      </x:c>
      <x:c r="F2006" s="7" t="n">
        <x:v>45867</x:v>
      </x:c>
      <x:c r="G2006" s="2" t="str">
        <x:v>Broad rolling 8</x:v>
      </x:c>
      <x:c r="H2006" s="8" t="n">
        <x:f>'Model fits'!AA1300</x:f>
        <x:v>-0.9901399509635962</x:v>
      </x:c>
      <x:c r="I2006" s="8" t="n">
        <x:f>0</x:f>
        <x:v>0</x:v>
      </x:c>
      <x:c r="J2006" s="8" t="n">
        <x:v>0</x:v>
      </x:c>
      <x:c r="K2006" s="8" t="n">
        <x:f>H2006-I2006*J2006</x:f>
        <x:v>-0.9901399509635962</x:v>
      </x:c>
      <x:c r="L2006" s="8" t="n">
        <x:f>'PG facts'!E136</x:f>
        <x:v>0</x:v>
      </x:c>
      <x:c r="M2006" s="8" t="n">
        <x:f>K2006-L2006</x:f>
        <x:v>-0.9901399509635962</x:v>
      </x:c>
      <x:c r="N2006" s="8" t="n">
        <x:f>M2006^2</x:f>
        <x:v>0.9803771224941926</x:v>
      </x:c>
      <x:c r="O2006" s="8" t="n">
        <x:f>ABS(M2006)</x:f>
        <x:v>0.9901399509635962</x:v>
      </x:c>
      <x:c r="P2006" s="7" t="n">
        <x:v>45954</x:v>
      </x:c>
    </x:row>
    <x:row r="2007" ht="26" customHeight="1">
      <x:c r="A2007" s="2"/>
      <x:c r="B2007" s="2" t="n">
        <x:v>2002</x:v>
      </x:c>
      <x:c r="C2007" s="2" t="str">
        <x:v>Baby, Feminine &amp; Family Care / organic_volume_growth</x:v>
      </x:c>
      <x:c r="D2007" s="7" t="n">
        <x:v>45930</x:v>
      </x:c>
      <x:c r="E2007" s="2" t="str">
        <x:v>Prior report</x:v>
      </x:c>
      <x:c r="F2007" s="7" t="n">
        <x:v>45867</x:v>
      </x:c>
      <x:c r="G2007" s="2" t="str">
        <x:v>Own history</x:v>
      </x:c>
      <x:c r="H2007" s="8" t="n">
        <x:f>'Model fits'!AA1301</x:f>
        <x:v>-0.7649769585253456</x:v>
      </x:c>
      <x:c r="I2007" s="8" t="n">
        <x:f>0</x:f>
        <x:v>0</x:v>
      </x:c>
      <x:c r="J2007" s="8" t="n">
        <x:v>0</x:v>
      </x:c>
      <x:c r="K2007" s="8" t="n">
        <x:f>H2007-I2007*J2007</x:f>
        <x:v>-0.7649769585253456</x:v>
      </x:c>
      <x:c r="L2007" s="8" t="n">
        <x:f>'PG facts'!E136</x:f>
        <x:v>0</x:v>
      </x:c>
      <x:c r="M2007" s="8" t="n">
        <x:f>K2007-L2007</x:f>
        <x:v>-0.7649769585253456</x:v>
      </x:c>
      <x:c r="N2007" s="8" t="n">
        <x:f>M2007^2</x:f>
        <x:v>0.5851897470746884</x:v>
      </x:c>
      <x:c r="O2007" s="8" t="n">
        <x:f>ABS(M2007)</x:f>
        <x:v>0.7649769585253456</x:v>
      </x:c>
      <x:c r="P2007" s="7" t="n">
        <x:v>45954</x:v>
      </x:c>
    </x:row>
    <x:row r="2008" ht="26" customHeight="1">
      <x:c r="A2008" s="2"/>
      <x:c r="B2008" s="2" t="n">
        <x:v>2003</x:v>
      </x:c>
      <x:c r="C2008" s="2" t="str">
        <x:v>Baby, Feminine &amp; Family Care / organic_volume_growth</x:v>
      </x:c>
      <x:c r="D2008" s="7" t="n">
        <x:v>45930</x:v>
      </x:c>
      <x:c r="E2008" s="2" t="str">
        <x:v>Pre-earnings</x:v>
      </x:c>
      <x:c r="F2008" s="7" t="n">
        <x:v>45953</x:v>
      </x:c>
      <x:c r="G2008" s="2" t="str">
        <x:v>Last actual</x:v>
      </x:c>
      <x:c r="H2008" s="8" t="n">
        <x:f>AVERAGE('PG facts'!E129)</x:f>
        <x:v>0</x:v>
      </x:c>
      <x:c r="I2008" s="8" t="n">
        <x:f>0</x:f>
        <x:v>0</x:v>
      </x:c>
      <x:c r="J2008" s="8" t="n">
        <x:v>0</x:v>
      </x:c>
      <x:c r="K2008" s="8" t="n">
        <x:f>H2008-I2008*J2008</x:f>
        <x:v>0</x:v>
      </x:c>
      <x:c r="L2008" s="8" t="n">
        <x:f>'PG facts'!E136</x:f>
        <x:v>0</x:v>
      </x:c>
      <x:c r="M2008" s="8" t="n">
        <x:f>K2008-L2008</x:f>
        <x:v>0</x:v>
      </x:c>
      <x:c r="N2008" s="8" t="n">
        <x:f>M2008^2</x:f>
        <x:v>0</x:v>
      </x:c>
      <x:c r="O2008" s="8" t="n">
        <x:f>ABS(M2008)</x:f>
        <x:v>0</x:v>
      </x:c>
      <x:c r="P2008" s="7" t="n">
        <x:v>45954</x:v>
      </x:c>
    </x:row>
    <x:row r="2009" ht="26" customHeight="1">
      <x:c r="A2009" s="2"/>
      <x:c r="B2009" s="2" t="n">
        <x:v>2004</x:v>
      </x:c>
      <x:c r="C2009" s="2" t="str">
        <x:v>Baby, Feminine &amp; Family Care / organic_volume_growth</x:v>
      </x:c>
      <x:c r="D2009" s="7" t="n">
        <x:v>45930</x:v>
      </x:c>
      <x:c r="E2009" s="2" t="str">
        <x:v>Pre-earnings</x:v>
      </x:c>
      <x:c r="F2009" s="7" t="n">
        <x:v>45953</x:v>
      </x:c>
      <x:c r="G2009" s="2" t="str">
        <x:v>Four-quarter mean</x:v>
      </x:c>
      <x:c r="H2009" s="8" t="n">
        <x:f>AVERAGE('PG facts'!E108,'PG facts'!E115,'PG facts'!E122,'PG facts'!E129)</x:f>
        <x:v>0.25</x:v>
      </x:c>
      <x:c r="I2009" s="8" t="n">
        <x:f>0</x:f>
        <x:v>0</x:v>
      </x:c>
      <x:c r="J2009" s="8" t="n">
        <x:v>0</x:v>
      </x:c>
      <x:c r="K2009" s="8" t="n">
        <x:f>H2009-I2009*J2009</x:f>
        <x:v>0.25</x:v>
      </x:c>
      <x:c r="L2009" s="8" t="n">
        <x:f>'PG facts'!E136</x:f>
        <x:v>0</x:v>
      </x:c>
      <x:c r="M2009" s="8" t="n">
        <x:f>K2009-L2009</x:f>
        <x:v>0.25</x:v>
      </x:c>
      <x:c r="N2009" s="8" t="n">
        <x:f>M2009^2</x:f>
        <x:v>0.0625</x:v>
      </x:c>
      <x:c r="O2009" s="8" t="n">
        <x:f>ABS(M2009)</x:f>
        <x:v>0.25</x:v>
      </x:c>
      <x:c r="P2009" s="7" t="n">
        <x:v>45954</x:v>
      </x:c>
    </x:row>
    <x:row r="2010" ht="26" customHeight="1">
      <x:c r="A2010" s="2"/>
      <x:c r="B2010" s="2" t="n">
        <x:v>2005</x:v>
      </x:c>
      <x:c r="C2010" s="2" t="str">
        <x:v>Baby, Feminine &amp; Family Care / organic_volume_growth</x:v>
      </x:c>
      <x:c r="D2010" s="7" t="n">
        <x:v>45930</x:v>
      </x:c>
      <x:c r="E2010" s="2" t="str">
        <x:v>Pre-earnings</x:v>
      </x:c>
      <x:c r="F2010" s="7" t="n">
        <x:v>45953</x:v>
      </x:c>
      <x:c r="G2010" s="2" t="str">
        <x:v>Broad market</x:v>
      </x:c>
      <x:c r="H2010" s="8" t="n">
        <x:f>'Model fits'!AA1302</x:f>
        <x:v>-1.3026930744795668</x:v>
      </x:c>
      <x:c r="I2010" s="8" t="n">
        <x:f>0</x:f>
        <x:v>0</x:v>
      </x:c>
      <x:c r="J2010" s="8" t="n">
        <x:v>0</x:v>
      </x:c>
      <x:c r="K2010" s="8" t="n">
        <x:f>H2010-I2010*J2010</x:f>
        <x:v>-1.3026930744795668</x:v>
      </x:c>
      <x:c r="L2010" s="8" t="n">
        <x:f>'PG facts'!E136</x:f>
        <x:v>0</x:v>
      </x:c>
      <x:c r="M2010" s="8" t="n">
        <x:f>K2010-L2010</x:f>
        <x:v>-1.3026930744795668</x:v>
      </x:c>
      <x:c r="N2010" s="8" t="n">
        <x:f>M2010^2</x:f>
        <x:v>1.6970092462970263</x:v>
      </x:c>
      <x:c r="O2010" s="8" t="n">
        <x:f>ABS(M2010)</x:f>
        <x:v>1.3026930744795668</x:v>
      </x:c>
      <x:c r="P2010" s="7" t="n">
        <x:v>45954</x:v>
      </x:c>
    </x:row>
    <x:row r="2011" ht="26" customHeight="1">
      <x:c r="A2011" s="2"/>
      <x:c r="B2011" s="2" t="n">
        <x:v>2006</x:v>
      </x:c>
      <x:c r="C2011" s="2" t="str">
        <x:v>Baby, Feminine &amp; Family Care / organic_volume_growth</x:v>
      </x:c>
      <x:c r="D2011" s="7" t="n">
        <x:v>45930</x:v>
      </x:c>
      <x:c r="E2011" s="2" t="str">
        <x:v>Pre-earnings</x:v>
      </x:c>
      <x:c r="F2011" s="7" t="n">
        <x:v>45953</x:v>
      </x:c>
      <x:c r="G2011" s="2" t="str">
        <x:v>Broad lag 1</x:v>
      </x:c>
      <x:c r="H2011" s="8" t="n">
        <x:f>'Model fits'!AA1303</x:f>
        <x:v>-1.097702780323418</x:v>
      </x:c>
      <x:c r="I2011" s="8" t="n">
        <x:f>0</x:f>
        <x:v>0</x:v>
      </x:c>
      <x:c r="J2011" s="8" t="n">
        <x:v>0</x:v>
      </x:c>
      <x:c r="K2011" s="8" t="n">
        <x:f>H2011-I2011*J2011</x:f>
        <x:v>-1.097702780323418</x:v>
      </x:c>
      <x:c r="L2011" s="8" t="n">
        <x:f>'PG facts'!E136</x:f>
        <x:v>0</x:v>
      </x:c>
      <x:c r="M2011" s="8" t="n">
        <x:f>K2011-L2011</x:f>
        <x:v>-1.097702780323418</x:v>
      </x:c>
      <x:c r="N2011" s="8" t="n">
        <x:f>M2011^2</x:f>
        <x:v>1.2049513939297622</x:v>
      </x:c>
      <x:c r="O2011" s="8" t="n">
        <x:f>ABS(M2011)</x:f>
        <x:v>1.097702780323418</x:v>
      </x:c>
      <x:c r="P2011" s="7" t="n">
        <x:v>45954</x:v>
      </x:c>
    </x:row>
    <x:row r="2012" ht="26" customHeight="1">
      <x:c r="A2012" s="2"/>
      <x:c r="B2012" s="2" t="n">
        <x:v>2007</x:v>
      </x:c>
      <x:c r="C2012" s="2" t="str">
        <x:v>Baby, Feminine &amp; Family Care / organic_volume_growth</x:v>
      </x:c>
      <x:c r="D2012" s="7" t="n">
        <x:v>45930</x:v>
      </x:c>
      <x:c r="E2012" s="2" t="str">
        <x:v>Pre-earnings</x:v>
      </x:c>
      <x:c r="F2012" s="7" t="n">
        <x:v>45953</x:v>
      </x:c>
      <x:c r="G2012" s="2" t="str">
        <x:v>Broad rolling 8</x:v>
      </x:c>
      <x:c r="H2012" s="8" t="n">
        <x:f>'Model fits'!AA1304</x:f>
        <x:v>-0.02067447668082556</x:v>
      </x:c>
      <x:c r="I2012" s="8" t="n">
        <x:f>0</x:f>
        <x:v>0</x:v>
      </x:c>
      <x:c r="J2012" s="8" t="n">
        <x:v>0</x:v>
      </x:c>
      <x:c r="K2012" s="8" t="n">
        <x:f>H2012-I2012*J2012</x:f>
        <x:v>-0.02067447668082556</x:v>
      </x:c>
      <x:c r="L2012" s="8" t="n">
        <x:f>'PG facts'!E136</x:f>
        <x:v>0</x:v>
      </x:c>
      <x:c r="M2012" s="8" t="n">
        <x:f>K2012-L2012</x:f>
        <x:v>-0.02067447668082556</x:v>
      </x:c>
      <x:c r="N2012" s="8" t="n">
        <x:f>M2012^2</x:f>
        <x:v>0.00042743398602599985</x:v>
      </x:c>
      <x:c r="O2012" s="8" t="n">
        <x:f>ABS(M2012)</x:f>
        <x:v>0.02067447668082556</x:v>
      </x:c>
      <x:c r="P2012" s="7" t="n">
        <x:v>45954</x:v>
      </x:c>
    </x:row>
    <x:row r="2013" ht="26" customHeight="1">
      <x:c r="A2013" s="2"/>
      <x:c r="B2013" s="2" t="n">
        <x:v>2008</x:v>
      </x:c>
      <x:c r="C2013" s="2" t="str">
        <x:v>Baby, Feminine &amp; Family Care / organic_volume_growth</x:v>
      </x:c>
      <x:c r="D2013" s="7" t="n">
        <x:v>45930</x:v>
      </x:c>
      <x:c r="E2013" s="2" t="str">
        <x:v>Pre-earnings</x:v>
      </x:c>
      <x:c r="F2013" s="7" t="n">
        <x:v>45953</x:v>
      </x:c>
      <x:c r="G2013" s="2" t="str">
        <x:v>Own history</x:v>
      </x:c>
      <x:c r="H2013" s="8" t="n">
        <x:f>'Model fits'!AA1305</x:f>
        <x:v>-0.7649769585253456</x:v>
      </x:c>
      <x:c r="I2013" s="8" t="n">
        <x:f>0</x:f>
        <x:v>0</x:v>
      </x:c>
      <x:c r="J2013" s="8" t="n">
        <x:v>0</x:v>
      </x:c>
      <x:c r="K2013" s="8" t="n">
        <x:f>H2013-I2013*J2013</x:f>
        <x:v>-0.7649769585253456</x:v>
      </x:c>
      <x:c r="L2013" s="8" t="n">
        <x:f>'PG facts'!E136</x:f>
        <x:v>0</x:v>
      </x:c>
      <x:c r="M2013" s="8" t="n">
        <x:f>K2013-L2013</x:f>
        <x:v>-0.7649769585253456</x:v>
      </x:c>
      <x:c r="N2013" s="8" t="n">
        <x:f>M2013^2</x:f>
        <x:v>0.5851897470746884</x:v>
      </x:c>
      <x:c r="O2013" s="8" t="n">
        <x:f>ABS(M2013)</x:f>
        <x:v>0.7649769585253456</x:v>
      </x:c>
      <x:c r="P2013" s="7" t="n">
        <x:v>45954</x:v>
      </x:c>
    </x:row>
    <x:row r="2014" ht="26" customHeight="1">
      <x:c r="A2014" s="2"/>
      <x:c r="B2014" s="2" t="n">
        <x:v>2009</x:v>
      </x:c>
      <x:c r="C2014" s="2" t="str">
        <x:v>Baby, Feminine &amp; Family Care / organic_volume_growth</x:v>
      </x:c>
      <x:c r="D2014" s="7" t="n">
        <x:v>46022</x:v>
      </x:c>
      <x:c r="E2014" s="2" t="str">
        <x:v>Origin</x:v>
      </x:c>
      <x:c r="F2014" s="7" t="n">
        <x:v>45931</x:v>
      </x:c>
      <x:c r="G2014" s="2" t="str">
        <x:v>Last actual</x:v>
      </x:c>
      <x:c r="H2014" s="8" t="n">
        <x:f>AVERAGE('PG facts'!E129)</x:f>
        <x:v>0</x:v>
      </x:c>
      <x:c r="I2014" s="8" t="n">
        <x:f>0</x:f>
        <x:v>0</x:v>
      </x:c>
      <x:c r="J2014" s="8" t="n">
        <x:v>0</x:v>
      </x:c>
      <x:c r="K2014" s="8" t="n">
        <x:f>H2014-I2014*J2014</x:f>
        <x:v>0</x:v>
      </x:c>
      <x:c r="L2014" s="8" t="n">
        <x:f>'PG facts'!E143</x:f>
        <x:v>-5</x:v>
      </x:c>
      <x:c r="M2014" s="8" t="n">
        <x:f>K2014-L2014</x:f>
        <x:v>5</x:v>
      </x:c>
      <x:c r="N2014" s="8" t="n">
        <x:f>M2014^2</x:f>
        <x:v>25</x:v>
      </x:c>
      <x:c r="O2014" s="8" t="n">
        <x:f>ABS(M2014)</x:f>
        <x:v>5</x:v>
      </x:c>
      <x:c r="P2014" s="7" t="n">
        <x:v>46045</x:v>
      </x:c>
    </x:row>
    <x:row r="2015" ht="26" customHeight="1">
      <x:c r="A2015" s="2"/>
      <x:c r="B2015" s="2" t="n">
        <x:v>2010</x:v>
      </x:c>
      <x:c r="C2015" s="2" t="str">
        <x:v>Baby, Feminine &amp; Family Care / organic_volume_growth</x:v>
      </x:c>
      <x:c r="D2015" s="7" t="n">
        <x:v>46022</x:v>
      </x:c>
      <x:c r="E2015" s="2" t="str">
        <x:v>Origin</x:v>
      </x:c>
      <x:c r="F2015" s="7" t="n">
        <x:v>45931</x:v>
      </x:c>
      <x:c r="G2015" s="2" t="str">
        <x:v>Four-quarter mean</x:v>
      </x:c>
      <x:c r="H2015" s="8" t="n">
        <x:f>AVERAGE('PG facts'!E108,'PG facts'!E115,'PG facts'!E122,'PG facts'!E129)</x:f>
        <x:v>0.25</x:v>
      </x:c>
      <x:c r="I2015" s="8" t="n">
        <x:f>0</x:f>
        <x:v>0</x:v>
      </x:c>
      <x:c r="J2015" s="8" t="n">
        <x:v>0</x:v>
      </x:c>
      <x:c r="K2015" s="8" t="n">
        <x:f>H2015-I2015*J2015</x:f>
        <x:v>0.25</x:v>
      </x:c>
      <x:c r="L2015" s="8" t="n">
        <x:f>'PG facts'!E143</x:f>
        <x:v>-5</x:v>
      </x:c>
      <x:c r="M2015" s="8" t="n">
        <x:f>K2015-L2015</x:f>
        <x:v>5.25</x:v>
      </x:c>
      <x:c r="N2015" s="8" t="n">
        <x:f>M2015^2</x:f>
        <x:v>27.5625</x:v>
      </x:c>
      <x:c r="O2015" s="8" t="n">
        <x:f>ABS(M2015)</x:f>
        <x:v>5.25</x:v>
      </x:c>
      <x:c r="P2015" s="7" t="n">
        <x:v>46045</x:v>
      </x:c>
    </x:row>
    <x:row r="2016" ht="26" customHeight="1">
      <x:c r="A2016" s="2"/>
      <x:c r="B2016" s="2" t="n">
        <x:v>2011</x:v>
      </x:c>
      <x:c r="C2016" s="2" t="str">
        <x:v>Baby, Feminine &amp; Family Care / organic_volume_growth</x:v>
      </x:c>
      <x:c r="D2016" s="7" t="n">
        <x:v>46022</x:v>
      </x:c>
      <x:c r="E2016" s="2" t="str">
        <x:v>Origin</x:v>
      </x:c>
      <x:c r="F2016" s="7" t="n">
        <x:v>45931</x:v>
      </x:c>
      <x:c r="G2016" s="2" t="str">
        <x:v>Broad market</x:v>
      </x:c>
      <x:c r="H2016" s="8" t="n">
        <x:f>'Model fits'!AA1306</x:f>
        <x:v>-1.3014838120852832</x:v>
      </x:c>
      <x:c r="I2016" s="8" t="n">
        <x:f>0</x:f>
        <x:v>0</x:v>
      </x:c>
      <x:c r="J2016" s="8" t="n">
        <x:v>0</x:v>
      </x:c>
      <x:c r="K2016" s="8" t="n">
        <x:f>H2016-I2016*J2016</x:f>
        <x:v>-1.3014838120852832</x:v>
      </x:c>
      <x:c r="L2016" s="8" t="n">
        <x:f>'PG facts'!E143</x:f>
        <x:v>-5</x:v>
      </x:c>
      <x:c r="M2016" s="8" t="n">
        <x:f>K2016-L2016</x:f>
        <x:v>3.698516187914717</x:v>
      </x:c>
      <x:c r="N2016" s="8" t="n">
        <x:f>M2016^2</x:f>
        <x:v>13.67902199226721</x:v>
      </x:c>
      <x:c r="O2016" s="8" t="n">
        <x:f>ABS(M2016)</x:f>
        <x:v>3.698516187914717</x:v>
      </x:c>
      <x:c r="P2016" s="7" t="n">
        <x:v>46045</x:v>
      </x:c>
    </x:row>
    <x:row r="2017" ht="26" customHeight="1">
      <x:c r="A2017" s="2"/>
      <x:c r="B2017" s="2" t="n">
        <x:v>2012</x:v>
      </x:c>
      <x:c r="C2017" s="2" t="str">
        <x:v>Baby, Feminine &amp; Family Care / organic_volume_growth</x:v>
      </x:c>
      <x:c r="D2017" s="7" t="n">
        <x:v>46022</x:v>
      </x:c>
      <x:c r="E2017" s="2" t="str">
        <x:v>Origin</x:v>
      </x:c>
      <x:c r="F2017" s="7" t="n">
        <x:v>45931</x:v>
      </x:c>
      <x:c r="G2017" s="2" t="str">
        <x:v>Broad rolling 8</x:v>
      </x:c>
      <x:c r="H2017" s="8" t="n">
        <x:f>'Model fits'!AA1307</x:f>
        <x:v>-0.008002549803617143</x:v>
      </x:c>
      <x:c r="I2017" s="8" t="n">
        <x:f>0</x:f>
        <x:v>0</x:v>
      </x:c>
      <x:c r="J2017" s="8" t="n">
        <x:v>0</x:v>
      </x:c>
      <x:c r="K2017" s="8" t="n">
        <x:f>H2017-I2017*J2017</x:f>
        <x:v>-0.008002549803617143</x:v>
      </x:c>
      <x:c r="L2017" s="8" t="n">
        <x:f>'PG facts'!E143</x:f>
        <x:v>-5</x:v>
      </x:c>
      <x:c r="M2017" s="8" t="n">
        <x:f>K2017-L2017</x:f>
        <x:v>4.991997450196383</x:v>
      </x:c>
      <x:c r="N2017" s="8" t="n">
        <x:f>M2017^2</x:f>
        <x:v>24.920038542767188</x:v>
      </x:c>
      <x:c r="O2017" s="8" t="n">
        <x:f>ABS(M2017)</x:f>
        <x:v>4.991997450196383</x:v>
      </x:c>
      <x:c r="P2017" s="7" t="n">
        <x:v>46045</x:v>
      </x:c>
    </x:row>
    <x:row r="2018" ht="26" customHeight="1">
      <x:c r="A2018" s="2"/>
      <x:c r="B2018" s="2" t="n">
        <x:v>2013</x:v>
      </x:c>
      <x:c r="C2018" s="2" t="str">
        <x:v>Baby, Feminine &amp; Family Care / organic_volume_growth</x:v>
      </x:c>
      <x:c r="D2018" s="7" t="n">
        <x:v>46022</x:v>
      </x:c>
      <x:c r="E2018" s="2" t="str">
        <x:v>Origin</x:v>
      </x:c>
      <x:c r="F2018" s="7" t="n">
        <x:v>45931</x:v>
      </x:c>
      <x:c r="G2018" s="2" t="str">
        <x:v>Own history</x:v>
      </x:c>
      <x:c r="H2018" s="8" t="n">
        <x:f>'Model fits'!AA1308</x:f>
        <x:v>-1.0405405405405406</x:v>
      </x:c>
      <x:c r="I2018" s="8" t="n">
        <x:f>0</x:f>
        <x:v>0</x:v>
      </x:c>
      <x:c r="J2018" s="8" t="n">
        <x:v>0</x:v>
      </x:c>
      <x:c r="K2018" s="8" t="n">
        <x:f>H2018-I2018*J2018</x:f>
        <x:v>-1.0405405405405406</x:v>
      </x:c>
      <x:c r="L2018" s="8" t="n">
        <x:f>'PG facts'!E143</x:f>
        <x:v>-5</x:v>
      </x:c>
      <x:c r="M2018" s="8" t="n">
        <x:f>K2018-L2018</x:f>
        <x:v>3.9594594594594597</x:v>
      </x:c>
      <x:c r="N2018" s="8" t="n">
        <x:f>M2018^2</x:f>
        <x:v>15.677319211102997</x:v>
      </x:c>
      <x:c r="O2018" s="8" t="n">
        <x:f>ABS(M2018)</x:f>
        <x:v>3.9594594594594597</x:v>
      </x:c>
      <x:c r="P2018" s="7" t="n">
        <x:v>46045</x:v>
      </x:c>
    </x:row>
    <x:row r="2019" ht="26" customHeight="1">
      <x:c r="A2019" s="2"/>
      <x:c r="B2019" s="2" t="n">
        <x:v>2014</x:v>
      </x:c>
      <x:c r="C2019" s="2" t="str">
        <x:v>Baby, Feminine &amp; Family Care / organic_volume_growth</x:v>
      </x:c>
      <x:c r="D2019" s="7" t="n">
        <x:v>46022</x:v>
      </x:c>
      <x:c r="E2019" s="2" t="str">
        <x:v>Prior report</x:v>
      </x:c>
      <x:c r="F2019" s="7" t="n">
        <x:v>45954</x:v>
      </x:c>
      <x:c r="G2019" s="2" t="str">
        <x:v>Last actual</x:v>
      </x:c>
      <x:c r="H2019" s="8" t="n">
        <x:f>AVERAGE('PG facts'!E136)</x:f>
        <x:v>0</x:v>
      </x:c>
      <x:c r="I2019" s="8" t="n">
        <x:f>0</x:f>
        <x:v>0</x:v>
      </x:c>
      <x:c r="J2019" s="8" t="n">
        <x:v>0</x:v>
      </x:c>
      <x:c r="K2019" s="8" t="n">
        <x:f>H2019-I2019*J2019</x:f>
        <x:v>0</x:v>
      </x:c>
      <x:c r="L2019" s="8" t="n">
        <x:f>'PG facts'!E143</x:f>
        <x:v>-5</x:v>
      </x:c>
      <x:c r="M2019" s="8" t="n">
        <x:f>K2019-L2019</x:f>
        <x:v>5</x:v>
      </x:c>
      <x:c r="N2019" s="8" t="n">
        <x:f>M2019^2</x:f>
        <x:v>25</x:v>
      </x:c>
      <x:c r="O2019" s="8" t="n">
        <x:f>ABS(M2019)</x:f>
        <x:v>5</x:v>
      </x:c>
      <x:c r="P2019" s="7" t="n">
        <x:v>46045</x:v>
      </x:c>
    </x:row>
    <x:row r="2020" ht="26" customHeight="1">
      <x:c r="A2020" s="2"/>
      <x:c r="B2020" s="2" t="n">
        <x:v>2015</x:v>
      </x:c>
      <x:c r="C2020" s="2" t="str">
        <x:v>Baby, Feminine &amp; Family Care / organic_volume_growth</x:v>
      </x:c>
      <x:c r="D2020" s="7" t="n">
        <x:v>46022</x:v>
      </x:c>
      <x:c r="E2020" s="2" t="str">
        <x:v>Prior report</x:v>
      </x:c>
      <x:c r="F2020" s="7" t="n">
        <x:v>45954</x:v>
      </x:c>
      <x:c r="G2020" s="2" t="str">
        <x:v>Four-quarter mean</x:v>
      </x:c>
      <x:c r="H2020" s="8" t="n">
        <x:f>AVERAGE('PG facts'!E115,'PG facts'!E122,'PG facts'!E129,'PG facts'!E136)</x:f>
        <x:v>0.5</x:v>
      </x:c>
      <x:c r="I2020" s="8" t="n">
        <x:f>0</x:f>
        <x:v>0</x:v>
      </x:c>
      <x:c r="J2020" s="8" t="n">
        <x:v>0</x:v>
      </x:c>
      <x:c r="K2020" s="8" t="n">
        <x:f>H2020-I2020*J2020</x:f>
        <x:v>0.5</x:v>
      </x:c>
      <x:c r="L2020" s="8" t="n">
        <x:f>'PG facts'!E143</x:f>
        <x:v>-5</x:v>
      </x:c>
      <x:c r="M2020" s="8" t="n">
        <x:f>K2020-L2020</x:f>
        <x:v>5.5</x:v>
      </x:c>
      <x:c r="N2020" s="8" t="n">
        <x:f>M2020^2</x:f>
        <x:v>30.25</x:v>
      </x:c>
      <x:c r="O2020" s="8" t="n">
        <x:f>ABS(M2020)</x:f>
        <x:v>5.5</x:v>
      </x:c>
      <x:c r="P2020" s="7" t="n">
        <x:v>46045</x:v>
      </x:c>
    </x:row>
    <x:row r="2021" ht="26" customHeight="1">
      <x:c r="A2021" s="2"/>
      <x:c r="B2021" s="2" t="n">
        <x:v>2016</x:v>
      </x:c>
      <x:c r="C2021" s="2" t="str">
        <x:v>Baby, Feminine &amp; Family Care / organic_volume_growth</x:v>
      </x:c>
      <x:c r="D2021" s="7" t="n">
        <x:v>46022</x:v>
      </x:c>
      <x:c r="E2021" s="2" t="str">
        <x:v>Prior report</x:v>
      </x:c>
      <x:c r="F2021" s="7" t="n">
        <x:v>45954</x:v>
      </x:c>
      <x:c r="G2021" s="2" t="str">
        <x:v>Broad market</x:v>
      </x:c>
      <x:c r="H2021" s="8" t="n">
        <x:f>'Model fits'!AA1309</x:f>
        <x:v>-1.3014838120852832</x:v>
      </x:c>
      <x:c r="I2021" s="8" t="n">
        <x:f>0</x:f>
        <x:v>0</x:v>
      </x:c>
      <x:c r="J2021" s="8" t="n">
        <x:v>0</x:v>
      </x:c>
      <x:c r="K2021" s="8" t="n">
        <x:f>H2021-I2021*J2021</x:f>
        <x:v>-1.3014838120852832</x:v>
      </x:c>
      <x:c r="L2021" s="8" t="n">
        <x:f>'PG facts'!E143</x:f>
        <x:v>-5</x:v>
      </x:c>
      <x:c r="M2021" s="8" t="n">
        <x:f>K2021-L2021</x:f>
        <x:v>3.698516187914717</x:v>
      </x:c>
      <x:c r="N2021" s="8" t="n">
        <x:f>M2021^2</x:f>
        <x:v>13.67902199226721</x:v>
      </x:c>
      <x:c r="O2021" s="8" t="n">
        <x:f>ABS(M2021)</x:f>
        <x:v>3.698516187914717</x:v>
      </x:c>
      <x:c r="P2021" s="7" t="n">
        <x:v>46045</x:v>
      </x:c>
    </x:row>
    <x:row r="2022" ht="26" customHeight="1">
      <x:c r="A2022" s="2"/>
      <x:c r="B2022" s="2" t="n">
        <x:v>2017</x:v>
      </x:c>
      <x:c r="C2022" s="2" t="str">
        <x:v>Baby, Feminine &amp; Family Care / organic_volume_growth</x:v>
      </x:c>
      <x:c r="D2022" s="7" t="n">
        <x:v>46022</x:v>
      </x:c>
      <x:c r="E2022" s="2" t="str">
        <x:v>Prior report</x:v>
      </x:c>
      <x:c r="F2022" s="7" t="n">
        <x:v>45954</x:v>
      </x:c>
      <x:c r="G2022" s="2" t="str">
        <x:v>Broad rolling 8</x:v>
      </x:c>
      <x:c r="H2022" s="8" t="n">
        <x:f>'Model fits'!AA1310</x:f>
        <x:v>-0.008002549803617143</x:v>
      </x:c>
      <x:c r="I2022" s="8" t="n">
        <x:f>0</x:f>
        <x:v>0</x:v>
      </x:c>
      <x:c r="J2022" s="8" t="n">
        <x:v>0</x:v>
      </x:c>
      <x:c r="K2022" s="8" t="n">
        <x:f>H2022-I2022*J2022</x:f>
        <x:v>-0.008002549803617143</x:v>
      </x:c>
      <x:c r="L2022" s="8" t="n">
        <x:f>'PG facts'!E143</x:f>
        <x:v>-5</x:v>
      </x:c>
      <x:c r="M2022" s="8" t="n">
        <x:f>K2022-L2022</x:f>
        <x:v>4.991997450196383</x:v>
      </x:c>
      <x:c r="N2022" s="8" t="n">
        <x:f>M2022^2</x:f>
        <x:v>24.920038542767188</x:v>
      </x:c>
      <x:c r="O2022" s="8" t="n">
        <x:f>ABS(M2022)</x:f>
        <x:v>4.991997450196383</x:v>
      </x:c>
      <x:c r="P2022" s="7" t="n">
        <x:v>46045</x:v>
      </x:c>
    </x:row>
    <x:row r="2023" ht="26" customHeight="1">
      <x:c r="A2023" s="2"/>
      <x:c r="B2023" s="2" t="n">
        <x:v>2018</x:v>
      </x:c>
      <x:c r="C2023" s="2" t="str">
        <x:v>Baby, Feminine &amp; Family Care / organic_volume_growth</x:v>
      </x:c>
      <x:c r="D2023" s="7" t="n">
        <x:v>46022</x:v>
      </x:c>
      <x:c r="E2023" s="2" t="str">
        <x:v>Prior report</x:v>
      </x:c>
      <x:c r="F2023" s="7" t="n">
        <x:v>45954</x:v>
      </x:c>
      <x:c r="G2023" s="2" t="str">
        <x:v>Own history</x:v>
      </x:c>
      <x:c r="H2023" s="8" t="n">
        <x:f>'Model fits'!AA1311</x:f>
        <x:v>-0.7094017094017095</x:v>
      </x:c>
      <x:c r="I2023" s="8" t="n">
        <x:f>0</x:f>
        <x:v>0</x:v>
      </x:c>
      <x:c r="J2023" s="8" t="n">
        <x:v>0</x:v>
      </x:c>
      <x:c r="K2023" s="8" t="n">
        <x:f>H2023-I2023*J2023</x:f>
        <x:v>-0.7094017094017095</x:v>
      </x:c>
      <x:c r="L2023" s="8" t="n">
        <x:f>'PG facts'!E143</x:f>
        <x:v>-5</x:v>
      </x:c>
      <x:c r="M2023" s="8" t="n">
        <x:f>K2023-L2023</x:f>
        <x:v>4.2905982905982905</x:v>
      </x:c>
      <x:c r="N2023" s="8" t="n">
        <x:f>M2023^2</x:f>
        <x:v>18.40923369128497</x:v>
      </x:c>
      <x:c r="O2023" s="8" t="n">
        <x:f>ABS(M2023)</x:f>
        <x:v>4.2905982905982905</x:v>
      </x:c>
      <x:c r="P2023" s="7" t="n">
        <x:v>46045</x:v>
      </x:c>
    </x:row>
    <x:row r="2024" ht="26" customHeight="1">
      <x:c r="A2024" s="2"/>
      <x:c r="B2024" s="2" t="n">
        <x:v>2019</x:v>
      </x:c>
      <x:c r="C2024" s="2" t="str">
        <x:v>Baby, Feminine &amp; Family Care / organic_volume_growth</x:v>
      </x:c>
      <x:c r="D2024" s="7" t="n">
        <x:v>46022</x:v>
      </x:c>
      <x:c r="E2024" s="2" t="str">
        <x:v>Pre-earnings</x:v>
      </x:c>
      <x:c r="F2024" s="7" t="n">
        <x:v>46044</x:v>
      </x:c>
      <x:c r="G2024" s="2" t="str">
        <x:v>Last actual</x:v>
      </x:c>
      <x:c r="H2024" s="8" t="n">
        <x:f>AVERAGE('PG facts'!E136)</x:f>
        <x:v>0</x:v>
      </x:c>
      <x:c r="I2024" s="8" t="n">
        <x:f>0</x:f>
        <x:v>0</x:v>
      </x:c>
      <x:c r="J2024" s="8" t="n">
        <x:v>0</x:v>
      </x:c>
      <x:c r="K2024" s="8" t="n">
        <x:f>H2024-I2024*J2024</x:f>
        <x:v>0</x:v>
      </x:c>
      <x:c r="L2024" s="8" t="n">
        <x:f>'PG facts'!E143</x:f>
        <x:v>-5</x:v>
      </x:c>
      <x:c r="M2024" s="8" t="n">
        <x:f>K2024-L2024</x:f>
        <x:v>5</x:v>
      </x:c>
      <x:c r="N2024" s="8" t="n">
        <x:f>M2024^2</x:f>
        <x:v>25</x:v>
      </x:c>
      <x:c r="O2024" s="8" t="n">
        <x:f>ABS(M2024)</x:f>
        <x:v>5</x:v>
      </x:c>
      <x:c r="P2024" s="7" t="n">
        <x:v>46045</x:v>
      </x:c>
    </x:row>
    <x:row r="2025" ht="26" customHeight="1">
      <x:c r="A2025" s="2"/>
      <x:c r="B2025" s="2" t="n">
        <x:v>2020</x:v>
      </x:c>
      <x:c r="C2025" s="2" t="str">
        <x:v>Baby, Feminine &amp; Family Care / organic_volume_growth</x:v>
      </x:c>
      <x:c r="D2025" s="7" t="n">
        <x:v>46022</x:v>
      </x:c>
      <x:c r="E2025" s="2" t="str">
        <x:v>Pre-earnings</x:v>
      </x:c>
      <x:c r="F2025" s="7" t="n">
        <x:v>46044</x:v>
      </x:c>
      <x:c r="G2025" s="2" t="str">
        <x:v>Four-quarter mean</x:v>
      </x:c>
      <x:c r="H2025" s="8" t="n">
        <x:f>AVERAGE('PG facts'!E115,'PG facts'!E122,'PG facts'!E129,'PG facts'!E136)</x:f>
        <x:v>0.5</x:v>
      </x:c>
      <x:c r="I2025" s="8" t="n">
        <x:f>0</x:f>
        <x:v>0</x:v>
      </x:c>
      <x:c r="J2025" s="8" t="n">
        <x:v>0</x:v>
      </x:c>
      <x:c r="K2025" s="8" t="n">
        <x:f>H2025-I2025*J2025</x:f>
        <x:v>0.5</x:v>
      </x:c>
      <x:c r="L2025" s="8" t="n">
        <x:f>'PG facts'!E143</x:f>
        <x:v>-5</x:v>
      </x:c>
      <x:c r="M2025" s="8" t="n">
        <x:f>K2025-L2025</x:f>
        <x:v>5.5</x:v>
      </x:c>
      <x:c r="N2025" s="8" t="n">
        <x:f>M2025^2</x:f>
        <x:v>30.25</x:v>
      </x:c>
      <x:c r="O2025" s="8" t="n">
        <x:f>ABS(M2025)</x:f>
        <x:v>5.5</x:v>
      </x:c>
      <x:c r="P2025" s="7" t="n">
        <x:v>46045</x:v>
      </x:c>
    </x:row>
    <x:row r="2026" ht="26" customHeight="1">
      <x:c r="A2026" s="2"/>
      <x:c r="B2026" s="2" t="n">
        <x:v>2021</x:v>
      </x:c>
      <x:c r="C2026" s="2" t="str">
        <x:v>Baby, Feminine &amp; Family Care / organic_volume_growth</x:v>
      </x:c>
      <x:c r="D2026" s="7" t="n">
        <x:v>46022</x:v>
      </x:c>
      <x:c r="E2026" s="2" t="str">
        <x:v>Pre-earnings</x:v>
      </x:c>
      <x:c r="F2026" s="7" t="n">
        <x:v>46044</x:v>
      </x:c>
      <x:c r="G2026" s="2" t="str">
        <x:v>Broad market</x:v>
      </x:c>
      <x:c r="H2026" s="8" t="n">
        <x:f>'Model fits'!AA1312</x:f>
        <x:v>-1.2729819648380343</x:v>
      </x:c>
      <x:c r="I2026" s="8" t="n">
        <x:f>0</x:f>
        <x:v>0</x:v>
      </x:c>
      <x:c r="J2026" s="8" t="n">
        <x:v>0</x:v>
      </x:c>
      <x:c r="K2026" s="8" t="n">
        <x:f>H2026-I2026*J2026</x:f>
        <x:v>-1.2729819648380343</x:v>
      </x:c>
      <x:c r="L2026" s="8" t="n">
        <x:f>'PG facts'!E143</x:f>
        <x:v>-5</x:v>
      </x:c>
      <x:c r="M2026" s="8" t="n">
        <x:f>K2026-L2026</x:f>
        <x:v>3.727018035161966</x:v>
      </x:c>
      <x:c r="N2026" s="8" t="n">
        <x:f>M2026^2</x:f>
        <x:v>13.890663434422562</x:v>
      </x:c>
      <x:c r="O2026" s="8" t="n">
        <x:f>ABS(M2026)</x:f>
        <x:v>3.727018035161966</x:v>
      </x:c>
      <x:c r="P2026" s="7" t="n">
        <x:v>46045</x:v>
      </x:c>
    </x:row>
    <x:row r="2027" ht="26" customHeight="1">
      <x:c r="A2027" s="2"/>
      <x:c r="B2027" s="2" t="n">
        <x:v>2022</x:v>
      </x:c>
      <x:c r="C2027" s="2" t="str">
        <x:v>Baby, Feminine &amp; Family Care / organic_volume_growth</x:v>
      </x:c>
      <x:c r="D2027" s="7" t="n">
        <x:v>46022</x:v>
      </x:c>
      <x:c r="E2027" s="2" t="str">
        <x:v>Pre-earnings</x:v>
      </x:c>
      <x:c r="F2027" s="7" t="n">
        <x:v>46044</x:v>
      </x:c>
      <x:c r="G2027" s="2" t="str">
        <x:v>Broad lag 1</x:v>
      </x:c>
      <x:c r="H2027" s="8" t="n">
        <x:f>'Model fits'!AA1313</x:f>
        <x:v>-1.1152388471479227</x:v>
      </x:c>
      <x:c r="I2027" s="8" t="n">
        <x:f>0</x:f>
        <x:v>0</x:v>
      </x:c>
      <x:c r="J2027" s="8" t="n">
        <x:v>0</x:v>
      </x:c>
      <x:c r="K2027" s="8" t="n">
        <x:f>H2027-I2027*J2027</x:f>
        <x:v>-1.1152388471479227</x:v>
      </x:c>
      <x:c r="L2027" s="8" t="n">
        <x:f>'PG facts'!E143</x:f>
        <x:v>-5</x:v>
      </x:c>
      <x:c r="M2027" s="8" t="n">
        <x:f>K2027-L2027</x:f>
        <x:v>3.8847611528520773</x:v>
      </x:c>
      <x:c r="N2027" s="8" t="n">
        <x:f>M2027^2</x:f>
        <x:v>15.091369214708601</x:v>
      </x:c>
      <x:c r="O2027" s="8" t="n">
        <x:f>ABS(M2027)</x:f>
        <x:v>3.8847611528520773</x:v>
      </x:c>
      <x:c r="P2027" s="7" t="n">
        <x:v>46045</x:v>
      </x:c>
    </x:row>
    <x:row r="2028" ht="26" customHeight="1">
      <x:c r="A2028" s="2"/>
      <x:c r="B2028" s="2" t="n">
        <x:v>2023</x:v>
      </x:c>
      <x:c r="C2028" s="2" t="str">
        <x:v>Baby, Feminine &amp; Family Care / organic_volume_growth</x:v>
      </x:c>
      <x:c r="D2028" s="7" t="n">
        <x:v>46022</x:v>
      </x:c>
      <x:c r="E2028" s="2" t="str">
        <x:v>Pre-earnings</x:v>
      </x:c>
      <x:c r="F2028" s="7" t="n">
        <x:v>46044</x:v>
      </x:c>
      <x:c r="G2028" s="2" t="str">
        <x:v>Broad rolling 8</x:v>
      </x:c>
      <x:c r="H2028" s="8" t="n">
        <x:f>'Model fits'!AA1314</x:f>
        <x:v>-0.3806748397805646</x:v>
      </x:c>
      <x:c r="I2028" s="8" t="n">
        <x:f>0</x:f>
        <x:v>0</x:v>
      </x:c>
      <x:c r="J2028" s="8" t="n">
        <x:v>0</x:v>
      </x:c>
      <x:c r="K2028" s="8" t="n">
        <x:f>H2028-I2028*J2028</x:f>
        <x:v>-0.3806748397805646</x:v>
      </x:c>
      <x:c r="L2028" s="8" t="n">
        <x:f>'PG facts'!E143</x:f>
        <x:v>-5</x:v>
      </x:c>
      <x:c r="M2028" s="8" t="n">
        <x:f>K2028-L2028</x:f>
        <x:v>4.619325160219436</x:v>
      </x:c>
      <x:c r="N2028" s="8" t="n">
        <x:f>M2028^2</x:f>
        <x:v>21.338164935836318</x:v>
      </x:c>
      <x:c r="O2028" s="8" t="n">
        <x:f>ABS(M2028)</x:f>
        <x:v>4.619325160219436</x:v>
      </x:c>
      <x:c r="P2028" s="7" t="n">
        <x:v>46045</x:v>
      </x:c>
    </x:row>
    <x:row r="2029" ht="26" customHeight="1">
      <x:c r="A2029" s="2"/>
      <x:c r="B2029" s="2" t="n">
        <x:v>2024</x:v>
      </x:c>
      <x:c r="C2029" s="2" t="str">
        <x:v>Baby, Feminine &amp; Family Care / organic_volume_growth</x:v>
      </x:c>
      <x:c r="D2029" s="7" t="n">
        <x:v>46022</x:v>
      </x:c>
      <x:c r="E2029" s="2" t="str">
        <x:v>Pre-earnings</x:v>
      </x:c>
      <x:c r="F2029" s="7" t="n">
        <x:v>46044</x:v>
      </x:c>
      <x:c r="G2029" s="2" t="str">
        <x:v>Own history</x:v>
      </x:c>
      <x:c r="H2029" s="8" t="n">
        <x:f>'Model fits'!AA1315</x:f>
        <x:v>-0.7094017094017095</x:v>
      </x:c>
      <x:c r="I2029" s="8" t="n">
        <x:f>0</x:f>
        <x:v>0</x:v>
      </x:c>
      <x:c r="J2029" s="8" t="n">
        <x:v>0</x:v>
      </x:c>
      <x:c r="K2029" s="8" t="n">
        <x:f>H2029-I2029*J2029</x:f>
        <x:v>-0.7094017094017095</x:v>
      </x:c>
      <x:c r="L2029" s="8" t="n">
        <x:f>'PG facts'!E143</x:f>
        <x:v>-5</x:v>
      </x:c>
      <x:c r="M2029" s="8" t="n">
        <x:f>K2029-L2029</x:f>
        <x:v>4.2905982905982905</x:v>
      </x:c>
      <x:c r="N2029" s="8" t="n">
        <x:f>M2029^2</x:f>
        <x:v>18.40923369128497</x:v>
      </x:c>
      <x:c r="O2029" s="8" t="n">
        <x:f>ABS(M2029)</x:f>
        <x:v>4.2905982905982905</x:v>
      </x:c>
      <x:c r="P2029" s="7" t="n">
        <x:v>46045</x:v>
      </x:c>
    </x:row>
    <x:row r="2030" ht="26" customHeight="1">
      <x:c r="A2030" s="2"/>
      <x:c r="B2030" s="2" t="n">
        <x:v>2025</x:v>
      </x:c>
      <x:c r="C2030" s="2" t="str">
        <x:v>Baby, Feminine &amp; Family Care / organic_volume_growth</x:v>
      </x:c>
      <x:c r="D2030" s="7" t="n">
        <x:v>46112</x:v>
      </x:c>
      <x:c r="E2030" s="2" t="str">
        <x:v>Origin</x:v>
      </x:c>
      <x:c r="F2030" s="7" t="n">
        <x:v>46023</x:v>
      </x:c>
      <x:c r="G2030" s="2" t="str">
        <x:v>Last actual</x:v>
      </x:c>
      <x:c r="H2030" s="8" t="n">
        <x:f>AVERAGE('PG facts'!E136)</x:f>
        <x:v>0</x:v>
      </x:c>
      <x:c r="I2030" s="8" t="n">
        <x:f>0</x:f>
        <x:v>0</x:v>
      </x:c>
      <x:c r="J2030" s="8" t="n">
        <x:v>0</x:v>
      </x:c>
      <x:c r="K2030" s="8" t="n">
        <x:f>H2030-I2030*J2030</x:f>
        <x:v>0</x:v>
      </x:c>
      <x:c r="L2030" s="8" t="n">
        <x:f>'PG facts'!E150</x:f>
        <x:v>3</x:v>
      </x:c>
      <x:c r="M2030" s="8" t="n">
        <x:f>K2030-L2030</x:f>
        <x:v>-3</x:v>
      </x:c>
      <x:c r="N2030" s="8" t="n">
        <x:f>M2030^2</x:f>
        <x:v>9</x:v>
      </x:c>
      <x:c r="O2030" s="8" t="n">
        <x:f>ABS(M2030)</x:f>
        <x:v>3</x:v>
      </x:c>
      <x:c r="P2030" s="7" t="n">
        <x:v>46136</x:v>
      </x:c>
    </x:row>
    <x:row r="2031" ht="26" customHeight="1">
      <x:c r="A2031" s="2"/>
      <x:c r="B2031" s="2" t="n">
        <x:v>2026</x:v>
      </x:c>
      <x:c r="C2031" s="2" t="str">
        <x:v>Baby, Feminine &amp; Family Care / organic_volume_growth</x:v>
      </x:c>
      <x:c r="D2031" s="7" t="n">
        <x:v>46112</x:v>
      </x:c>
      <x:c r="E2031" s="2" t="str">
        <x:v>Origin</x:v>
      </x:c>
      <x:c r="F2031" s="7" t="n">
        <x:v>46023</x:v>
      </x:c>
      <x:c r="G2031" s="2" t="str">
        <x:v>Four-quarter mean</x:v>
      </x:c>
      <x:c r="H2031" s="8" t="n">
        <x:f>AVERAGE('PG facts'!E115,'PG facts'!E122,'PG facts'!E129,'PG facts'!E136)</x:f>
        <x:v>0.5</x:v>
      </x:c>
      <x:c r="I2031" s="8" t="n">
        <x:f>0</x:f>
        <x:v>0</x:v>
      </x:c>
      <x:c r="J2031" s="8" t="n">
        <x:v>0</x:v>
      </x:c>
      <x:c r="K2031" s="8" t="n">
        <x:f>H2031-I2031*J2031</x:f>
        <x:v>0.5</x:v>
      </x:c>
      <x:c r="L2031" s="8" t="n">
        <x:f>'PG facts'!E150</x:f>
        <x:v>3</x:v>
      </x:c>
      <x:c r="M2031" s="8" t="n">
        <x:f>K2031-L2031</x:f>
        <x:v>-2.5</x:v>
      </x:c>
      <x:c r="N2031" s="8" t="n">
        <x:f>M2031^2</x:f>
        <x:v>6.25</x:v>
      </x:c>
      <x:c r="O2031" s="8" t="n">
        <x:f>ABS(M2031)</x:f>
        <x:v>2.5</x:v>
      </x:c>
      <x:c r="P2031" s="7" t="n">
        <x:v>46136</x:v>
      </x:c>
    </x:row>
    <x:row r="2032" ht="26" customHeight="1">
      <x:c r="A2032" s="2"/>
      <x:c r="B2032" s="2" t="n">
        <x:v>2027</x:v>
      </x:c>
      <x:c r="C2032" s="2" t="str">
        <x:v>Baby, Feminine &amp; Family Care / organic_volume_growth</x:v>
      </x:c>
      <x:c r="D2032" s="7" t="n">
        <x:v>46112</x:v>
      </x:c>
      <x:c r="E2032" s="2" t="str">
        <x:v>Origin</x:v>
      </x:c>
      <x:c r="F2032" s="7" t="n">
        <x:v>46023</x:v>
      </x:c>
      <x:c r="G2032" s="2" t="str">
        <x:v>Broad market</x:v>
      </x:c>
      <x:c r="H2032" s="8" t="n">
        <x:f>'Model fits'!AA1316</x:f>
        <x:v>-1.2622665186845357</x:v>
      </x:c>
      <x:c r="I2032" s="8" t="n">
        <x:f>0</x:f>
        <x:v>0</x:v>
      </x:c>
      <x:c r="J2032" s="8" t="n">
        <x:v>0</x:v>
      </x:c>
      <x:c r="K2032" s="8" t="n">
        <x:f>H2032-I2032*J2032</x:f>
        <x:v>-1.2622665186845357</x:v>
      </x:c>
      <x:c r="L2032" s="8" t="n">
        <x:f>'PG facts'!E150</x:f>
        <x:v>3</x:v>
      </x:c>
      <x:c r="M2032" s="8" t="n">
        <x:f>K2032-L2032</x:f>
        <x:v>-4.262266518684536</x:v>
      </x:c>
      <x:c r="N2032" s="8" t="n">
        <x:f>M2032^2</x:f>
        <x:v>18.166915876299193</x:v>
      </x:c>
      <x:c r="O2032" s="8" t="n">
        <x:f>ABS(M2032)</x:f>
        <x:v>4.262266518684536</x:v>
      </x:c>
      <x:c r="P2032" s="7" t="n">
        <x:v>46136</x:v>
      </x:c>
    </x:row>
    <x:row r="2033" ht="26" customHeight="1">
      <x:c r="A2033" s="2"/>
      <x:c r="B2033" s="2" t="n">
        <x:v>2028</x:v>
      </x:c>
      <x:c r="C2033" s="2" t="str">
        <x:v>Baby, Feminine &amp; Family Care / organic_volume_growth</x:v>
      </x:c>
      <x:c r="D2033" s="7" t="n">
        <x:v>46112</x:v>
      </x:c>
      <x:c r="E2033" s="2" t="str">
        <x:v>Origin</x:v>
      </x:c>
      <x:c r="F2033" s="7" t="n">
        <x:v>46023</x:v>
      </x:c>
      <x:c r="G2033" s="2" t="str">
        <x:v>Broad rolling 8</x:v>
      </x:c>
      <x:c r="H2033" s="8" t="n">
        <x:f>'Model fits'!AA1317</x:f>
        <x:v>-0.28886531700229945</x:v>
      </x:c>
      <x:c r="I2033" s="8" t="n">
        <x:f>0</x:f>
        <x:v>0</x:v>
      </x:c>
      <x:c r="J2033" s="8" t="n">
        <x:v>0</x:v>
      </x:c>
      <x:c r="K2033" s="8" t="n">
        <x:f>H2033-I2033*J2033</x:f>
        <x:v>-0.28886531700229945</x:v>
      </x:c>
      <x:c r="L2033" s="8" t="n">
        <x:f>'PG facts'!E150</x:f>
        <x:v>3</x:v>
      </x:c>
      <x:c r="M2033" s="8" t="n">
        <x:f>K2033-L2033</x:f>
        <x:v>-3.2888653170022994</x:v>
      </x:c>
      <x:c r="N2033" s="8" t="n">
        <x:f>M2033^2</x:f>
        <x:v>10.816635073380636</x:v>
      </x:c>
      <x:c r="O2033" s="8" t="n">
        <x:f>ABS(M2033)</x:f>
        <x:v>3.2888653170022994</x:v>
      </x:c>
      <x:c r="P2033" s="7" t="n">
        <x:v>46136</x:v>
      </x:c>
    </x:row>
    <x:row r="2034" ht="26" customHeight="1">
      <x:c r="A2034" s="2"/>
      <x:c r="B2034" s="2" t="n">
        <x:v>2029</x:v>
      </x:c>
      <x:c r="C2034" s="2" t="str">
        <x:v>Baby, Feminine &amp; Family Care / organic_volume_growth</x:v>
      </x:c>
      <x:c r="D2034" s="7" t="n">
        <x:v>46112</x:v>
      </x:c>
      <x:c r="E2034" s="2" t="str">
        <x:v>Origin</x:v>
      </x:c>
      <x:c r="F2034" s="7" t="n">
        <x:v>46023</x:v>
      </x:c>
      <x:c r="G2034" s="2" t="str">
        <x:v>Own history</x:v>
      </x:c>
      <x:c r="H2034" s="8" t="n">
        <x:f>'Model fits'!AA1318</x:f>
        <x:v>-0.9861751152073732</x:v>
      </x:c>
      <x:c r="I2034" s="8" t="n">
        <x:f>0</x:f>
        <x:v>0</x:v>
      </x:c>
      <x:c r="J2034" s="8" t="n">
        <x:v>0</x:v>
      </x:c>
      <x:c r="K2034" s="8" t="n">
        <x:f>H2034-I2034*J2034</x:f>
        <x:v>-0.9861751152073732</x:v>
      </x:c>
      <x:c r="L2034" s="8" t="n">
        <x:f>'PG facts'!E150</x:f>
        <x:v>3</x:v>
      </x:c>
      <x:c r="M2034" s="8" t="n">
        <x:f>K2034-L2034</x:f>
        <x:v>-3.986175115207373</x:v>
      </x:c>
      <x:c r="N2034" s="8" t="n">
        <x:f>M2034^2</x:f>
        <x:v>15.889592049098516</x:v>
      </x:c>
      <x:c r="O2034" s="8" t="n">
        <x:f>ABS(M2034)</x:f>
        <x:v>3.986175115207373</x:v>
      </x:c>
      <x:c r="P2034" s="7" t="n">
        <x:v>46136</x:v>
      </x:c>
    </x:row>
    <x:row r="2035" ht="26" customHeight="1">
      <x:c r="A2035" s="2"/>
      <x:c r="B2035" s="2" t="n">
        <x:v>2030</x:v>
      </x:c>
      <x:c r="C2035" s="2" t="str">
        <x:v>Baby, Feminine &amp; Family Care / organic_volume_growth</x:v>
      </x:c>
      <x:c r="D2035" s="7" t="n">
        <x:v>46112</x:v>
      </x:c>
      <x:c r="E2035" s="2" t="str">
        <x:v>Prior report</x:v>
      </x:c>
      <x:c r="F2035" s="7" t="n">
        <x:v>46045</x:v>
      </x:c>
      <x:c r="G2035" s="2" t="str">
        <x:v>Last actual</x:v>
      </x:c>
      <x:c r="H2035" s="8" t="n">
        <x:f>AVERAGE('PG facts'!E143)</x:f>
        <x:v>-5</x:v>
      </x:c>
      <x:c r="I2035" s="8" t="n">
        <x:f>0</x:f>
        <x:v>0</x:v>
      </x:c>
      <x:c r="J2035" s="8" t="n">
        <x:v>0</x:v>
      </x:c>
      <x:c r="K2035" s="8" t="n">
        <x:f>H2035-I2035*J2035</x:f>
        <x:v>-5</x:v>
      </x:c>
      <x:c r="L2035" s="8" t="n">
        <x:f>'PG facts'!E150</x:f>
        <x:v>3</x:v>
      </x:c>
      <x:c r="M2035" s="8" t="n">
        <x:f>K2035-L2035</x:f>
        <x:v>-8</x:v>
      </x:c>
      <x:c r="N2035" s="8" t="n">
        <x:f>M2035^2</x:f>
        <x:v>64</x:v>
      </x:c>
      <x:c r="O2035" s="8" t="n">
        <x:f>ABS(M2035)</x:f>
        <x:v>8</x:v>
      </x:c>
      <x:c r="P2035" s="7" t="n">
        <x:v>46136</x:v>
      </x:c>
    </x:row>
    <x:row r="2036" ht="26" customHeight="1">
      <x:c r="A2036" s="2"/>
      <x:c r="B2036" s="2" t="n">
        <x:v>2031</x:v>
      </x:c>
      <x:c r="C2036" s="2" t="str">
        <x:v>Baby, Feminine &amp; Family Care / organic_volume_growth</x:v>
      </x:c>
      <x:c r="D2036" s="7" t="n">
        <x:v>46112</x:v>
      </x:c>
      <x:c r="E2036" s="2" t="str">
        <x:v>Prior report</x:v>
      </x:c>
      <x:c r="F2036" s="7" t="n">
        <x:v>46045</x:v>
      </x:c>
      <x:c r="G2036" s="2" t="str">
        <x:v>Four-quarter mean</x:v>
      </x:c>
      <x:c r="H2036" s="8" t="n">
        <x:f>AVERAGE('PG facts'!E122,'PG facts'!E129,'PG facts'!E136,'PG facts'!E143)</x:f>
        <x:v>-1.75</x:v>
      </x:c>
      <x:c r="I2036" s="8" t="n">
        <x:f>0</x:f>
        <x:v>0</x:v>
      </x:c>
      <x:c r="J2036" s="8" t="n">
        <x:v>0</x:v>
      </x:c>
      <x:c r="K2036" s="8" t="n">
        <x:f>H2036-I2036*J2036</x:f>
        <x:v>-1.75</x:v>
      </x:c>
      <x:c r="L2036" s="8" t="n">
        <x:f>'PG facts'!E150</x:f>
        <x:v>3</x:v>
      </x:c>
      <x:c r="M2036" s="8" t="n">
        <x:f>K2036-L2036</x:f>
        <x:v>-4.75</x:v>
      </x:c>
      <x:c r="N2036" s="8" t="n">
        <x:f>M2036^2</x:f>
        <x:v>22.5625</x:v>
      </x:c>
      <x:c r="O2036" s="8" t="n">
        <x:f>ABS(M2036)</x:f>
        <x:v>4.75</x:v>
      </x:c>
      <x:c r="P2036" s="7" t="n">
        <x:v>46136</x:v>
      </x:c>
    </x:row>
    <x:row r="2037" ht="26" customHeight="1">
      <x:c r="A2037" s="2"/>
      <x:c r="B2037" s="2" t="n">
        <x:v>2032</x:v>
      </x:c>
      <x:c r="C2037" s="2" t="str">
        <x:v>Baby, Feminine &amp; Family Care / organic_volume_growth</x:v>
      </x:c>
      <x:c r="D2037" s="7" t="n">
        <x:v>46112</x:v>
      </x:c>
      <x:c r="E2037" s="2" t="str">
        <x:v>Prior report</x:v>
      </x:c>
      <x:c r="F2037" s="7" t="n">
        <x:v>46045</x:v>
      </x:c>
      <x:c r="G2037" s="2" t="str">
        <x:v>Broad market</x:v>
      </x:c>
      <x:c r="H2037" s="8" t="n">
        <x:f>'Model fits'!AA1319</x:f>
        <x:v>-1.293893691051227</x:v>
      </x:c>
      <x:c r="I2037" s="8" t="n">
        <x:f>0</x:f>
        <x:v>0</x:v>
      </x:c>
      <x:c r="J2037" s="8" t="n">
        <x:v>0</x:v>
      </x:c>
      <x:c r="K2037" s="8" t="n">
        <x:f>H2037-I2037*J2037</x:f>
        <x:v>-1.293893691051227</x:v>
      </x:c>
      <x:c r="L2037" s="8" t="n">
        <x:f>'PG facts'!E150</x:f>
        <x:v>3</x:v>
      </x:c>
      <x:c r="M2037" s="8" t="n">
        <x:f>K2037-L2037</x:f>
        <x:v>-4.2938936910512275</x:v>
      </x:c>
      <x:c r="N2037" s="8" t="n">
        <x:f>M2037^2</x:f>
        <x:v>18.437523030049533</x:v>
      </x:c>
      <x:c r="O2037" s="8" t="n">
        <x:f>ABS(M2037)</x:f>
        <x:v>4.2938936910512275</x:v>
      </x:c>
      <x:c r="P2037" s="7" t="n">
        <x:v>46136</x:v>
      </x:c>
    </x:row>
    <x:row r="2038" ht="26" customHeight="1">
      <x:c r="A2038" s="2"/>
      <x:c r="B2038" s="2" t="n">
        <x:v>2033</x:v>
      </x:c>
      <x:c r="C2038" s="2" t="str">
        <x:v>Baby, Feminine &amp; Family Care / organic_volume_growth</x:v>
      </x:c>
      <x:c r="D2038" s="7" t="n">
        <x:v>46112</x:v>
      </x:c>
      <x:c r="E2038" s="2" t="str">
        <x:v>Prior report</x:v>
      </x:c>
      <x:c r="F2038" s="7" t="n">
        <x:v>46045</x:v>
      </x:c>
      <x:c r="G2038" s="2" t="str">
        <x:v>Broad rolling 8</x:v>
      </x:c>
      <x:c r="H2038" s="8" t="n">
        <x:f>'Model fits'!AA1320</x:f>
        <x:v>-0.5622902835110257</x:v>
      </x:c>
      <x:c r="I2038" s="8" t="n">
        <x:f>0</x:f>
        <x:v>0</x:v>
      </x:c>
      <x:c r="J2038" s="8" t="n">
        <x:v>0</x:v>
      </x:c>
      <x:c r="K2038" s="8" t="n">
        <x:f>H2038-I2038*J2038</x:f>
        <x:v>-0.5622902835110257</x:v>
      </x:c>
      <x:c r="L2038" s="8" t="n">
        <x:f>'PG facts'!E150</x:f>
        <x:v>3</x:v>
      </x:c>
      <x:c r="M2038" s="8" t="n">
        <x:f>K2038-L2038</x:f>
        <x:v>-3.5622902835110257</x:v>
      </x:c>
      <x:c r="N2038" s="8" t="n">
        <x:f>M2038^2</x:f>
        <x:v>12.689912063997063</x:v>
      </x:c>
      <x:c r="O2038" s="8" t="n">
        <x:f>ABS(M2038)</x:f>
        <x:v>3.5622902835110257</x:v>
      </x:c>
      <x:c r="P2038" s="7" t="n">
        <x:v>46136</x:v>
      </x:c>
    </x:row>
    <x:row r="2039" ht="26" customHeight="1">
      <x:c r="A2039" s="2"/>
      <x:c r="B2039" s="2" t="n">
        <x:v>2034</x:v>
      </x:c>
      <x:c r="C2039" s="2" t="str">
        <x:v>Baby, Feminine &amp; Family Care / organic_volume_growth</x:v>
      </x:c>
      <x:c r="D2039" s="7" t="n">
        <x:v>46112</x:v>
      </x:c>
      <x:c r="E2039" s="2" t="str">
        <x:v>Prior report</x:v>
      </x:c>
      <x:c r="F2039" s="7" t="n">
        <x:v>46045</x:v>
      </x:c>
      <x:c r="G2039" s="2" t="str">
        <x:v>Own history</x:v>
      </x:c>
      <x:c r="H2039" s="8" t="n">
        <x:f>'Model fits'!AA1321</x:f>
        <x:v>-2.25</x:v>
      </x:c>
      <x:c r="I2039" s="8" t="n">
        <x:f>0</x:f>
        <x:v>0</x:v>
      </x:c>
      <x:c r="J2039" s="8" t="n">
        <x:v>0</x:v>
      </x:c>
      <x:c r="K2039" s="8" t="n">
        <x:f>H2039-I2039*J2039</x:f>
        <x:v>-2.25</x:v>
      </x:c>
      <x:c r="L2039" s="8" t="n">
        <x:f>'PG facts'!E150</x:f>
        <x:v>3</x:v>
      </x:c>
      <x:c r="M2039" s="8" t="n">
        <x:f>K2039-L2039</x:f>
        <x:v>-5.25</x:v>
      </x:c>
      <x:c r="N2039" s="8" t="n">
        <x:f>M2039^2</x:f>
        <x:v>27.5625</x:v>
      </x:c>
      <x:c r="O2039" s="8" t="n">
        <x:f>ABS(M2039)</x:f>
        <x:v>5.25</x:v>
      </x:c>
      <x:c r="P2039" s="7" t="n">
        <x:v>46136</x:v>
      </x:c>
    </x:row>
    <x:row r="2040" ht="26" customHeight="1">
      <x:c r="A2040" s="2"/>
      <x:c r="B2040" s="2" t="n">
        <x:v>2035</x:v>
      </x:c>
      <x:c r="C2040" s="2" t="str">
        <x:v>Baby, Feminine &amp; Family Care / organic_volume_growth</x:v>
      </x:c>
      <x:c r="D2040" s="7" t="n">
        <x:v>46112</x:v>
      </x:c>
      <x:c r="E2040" s="2" t="str">
        <x:v>Pre-earnings</x:v>
      </x:c>
      <x:c r="F2040" s="7" t="n">
        <x:v>46135</x:v>
      </x:c>
      <x:c r="G2040" s="2" t="str">
        <x:v>Last actual</x:v>
      </x:c>
      <x:c r="H2040" s="8" t="n">
        <x:f>AVERAGE('PG facts'!E143)</x:f>
        <x:v>-5</x:v>
      </x:c>
      <x:c r="I2040" s="8" t="n">
        <x:f>0</x:f>
        <x:v>0</x:v>
      </x:c>
      <x:c r="J2040" s="8" t="n">
        <x:v>0</x:v>
      </x:c>
      <x:c r="K2040" s="8" t="n">
        <x:f>H2040-I2040*J2040</x:f>
        <x:v>-5</x:v>
      </x:c>
      <x:c r="L2040" s="8" t="n">
        <x:f>'PG facts'!E150</x:f>
        <x:v>3</x:v>
      </x:c>
      <x:c r="M2040" s="8" t="n">
        <x:f>K2040-L2040</x:f>
        <x:v>-8</x:v>
      </x:c>
      <x:c r="N2040" s="8" t="n">
        <x:f>M2040^2</x:f>
        <x:v>64</x:v>
      </x:c>
      <x:c r="O2040" s="8" t="n">
        <x:f>ABS(M2040)</x:f>
        <x:v>8</x:v>
      </x:c>
      <x:c r="P2040" s="7" t="n">
        <x:v>46136</x:v>
      </x:c>
    </x:row>
    <x:row r="2041" ht="26" customHeight="1">
      <x:c r="A2041" s="2"/>
      <x:c r="B2041" s="2" t="n">
        <x:v>2036</x:v>
      </x:c>
      <x:c r="C2041" s="2" t="str">
        <x:v>Baby, Feminine &amp; Family Care / organic_volume_growth</x:v>
      </x:c>
      <x:c r="D2041" s="7" t="n">
        <x:v>46112</x:v>
      </x:c>
      <x:c r="E2041" s="2" t="str">
        <x:v>Pre-earnings</x:v>
      </x:c>
      <x:c r="F2041" s="7" t="n">
        <x:v>46135</x:v>
      </x:c>
      <x:c r="G2041" s="2" t="str">
        <x:v>Four-quarter mean</x:v>
      </x:c>
      <x:c r="H2041" s="8" t="n">
        <x:f>AVERAGE('PG facts'!E122,'PG facts'!E129,'PG facts'!E136,'PG facts'!E143)</x:f>
        <x:v>-1.75</x:v>
      </x:c>
      <x:c r="I2041" s="8" t="n">
        <x:f>0</x:f>
        <x:v>0</x:v>
      </x:c>
      <x:c r="J2041" s="8" t="n">
        <x:v>0</x:v>
      </x:c>
      <x:c r="K2041" s="8" t="n">
        <x:f>H2041-I2041*J2041</x:f>
        <x:v>-1.75</x:v>
      </x:c>
      <x:c r="L2041" s="8" t="n">
        <x:f>'PG facts'!E150</x:f>
        <x:v>3</x:v>
      </x:c>
      <x:c r="M2041" s="8" t="n">
        <x:f>K2041-L2041</x:f>
        <x:v>-4.75</x:v>
      </x:c>
      <x:c r="N2041" s="8" t="n">
        <x:f>M2041^2</x:f>
        <x:v>22.5625</x:v>
      </x:c>
      <x:c r="O2041" s="8" t="n">
        <x:f>ABS(M2041)</x:f>
        <x:v>4.75</x:v>
      </x:c>
      <x:c r="P2041" s="7" t="n">
        <x:v>46136</x:v>
      </x:c>
    </x:row>
    <x:row r="2042" ht="26" customHeight="1">
      <x:c r="A2042" s="2"/>
      <x:c r="B2042" s="2" t="n">
        <x:v>2037</x:v>
      </x:c>
      <x:c r="C2042" s="2" t="str">
        <x:v>Baby, Feminine &amp; Family Care / organic_volume_growth</x:v>
      </x:c>
      <x:c r="D2042" s="7" t="n">
        <x:v>46112</x:v>
      </x:c>
      <x:c r="E2042" s="2" t="str">
        <x:v>Pre-earnings</x:v>
      </x:c>
      <x:c r="F2042" s="7" t="n">
        <x:v>46135</x:v>
      </x:c>
      <x:c r="G2042" s="2" t="str">
        <x:v>Broad market</x:v>
      </x:c>
      <x:c r="H2042" s="8" t="n">
        <x:f>'Model fits'!AA1322</x:f>
        <x:v>-1.6560184643891116</x:v>
      </x:c>
      <x:c r="I2042" s="8" t="n">
        <x:f>0</x:f>
        <x:v>0</x:v>
      </x:c>
      <x:c r="J2042" s="8" t="n">
        <x:v>0</x:v>
      </x:c>
      <x:c r="K2042" s="8" t="n">
        <x:f>H2042-I2042*J2042</x:f>
        <x:v>-1.6560184643891116</x:v>
      </x:c>
      <x:c r="L2042" s="8" t="n">
        <x:f>'PG facts'!E150</x:f>
        <x:v>3</x:v>
      </x:c>
      <x:c r="M2042" s="8" t="n">
        <x:f>K2042-L2042</x:f>
        <x:v>-4.656018464389112</x:v>
      </x:c>
      <x:c r="N2042" s="8" t="n">
        <x:f>M2042^2</x:f>
        <x:v>21.67850794073234</x:v>
      </x:c>
      <x:c r="O2042" s="8" t="n">
        <x:f>ABS(M2042)</x:f>
        <x:v>4.656018464389112</x:v>
      </x:c>
      <x:c r="P2042" s="7" t="n">
        <x:v>46136</x:v>
      </x:c>
    </x:row>
    <x:row r="2043" ht="26" customHeight="1">
      <x:c r="A2043" s="2"/>
      <x:c r="B2043" s="2" t="n">
        <x:v>2038</x:v>
      </x:c>
      <x:c r="C2043" s="2" t="str">
        <x:v>Baby, Feminine &amp; Family Care / organic_volume_growth</x:v>
      </x:c>
      <x:c r="D2043" s="7" t="n">
        <x:v>46112</x:v>
      </x:c>
      <x:c r="E2043" s="2" t="str">
        <x:v>Pre-earnings</x:v>
      </x:c>
      <x:c r="F2043" s="7" t="n">
        <x:v>46135</x:v>
      </x:c>
      <x:c r="G2043" s="2" t="str">
        <x:v>Broad lag 1</x:v>
      </x:c>
      <x:c r="H2043" s="8" t="n">
        <x:f>'Model fits'!AA1323</x:f>
        <x:v>-1.6024468236211076</x:v>
      </x:c>
      <x:c r="I2043" s="8" t="n">
        <x:f>0</x:f>
        <x:v>0</x:v>
      </x:c>
      <x:c r="J2043" s="8" t="n">
        <x:v>0</x:v>
      </x:c>
      <x:c r="K2043" s="8" t="n">
        <x:f>H2043-I2043*J2043</x:f>
        <x:v>-1.6024468236211076</x:v>
      </x:c>
      <x:c r="L2043" s="8" t="n">
        <x:f>'PG facts'!E150</x:f>
        <x:v>3</x:v>
      </x:c>
      <x:c r="M2043" s="8" t="n">
        <x:f>K2043-L2043</x:f>
        <x:v>-4.602446823621108</x:v>
      </x:c>
      <x:c r="N2043" s="8" t="n">
        <x:f>M2043^2</x:f>
        <x:v>21.182516764260026</x:v>
      </x:c>
      <x:c r="O2043" s="8" t="n">
        <x:f>ABS(M2043)</x:f>
        <x:v>4.602446823621108</x:v>
      </x:c>
      <x:c r="P2043" s="7" t="n">
        <x:v>46136</x:v>
      </x:c>
    </x:row>
    <x:row r="2044" ht="26" customHeight="1">
      <x:c r="A2044" s="2"/>
      <x:c r="B2044" s="2" t="n">
        <x:v>2039</x:v>
      </x:c>
      <x:c r="C2044" s="2" t="str">
        <x:v>Baby, Feminine &amp; Family Care / organic_volume_growth</x:v>
      </x:c>
      <x:c r="D2044" s="7" t="n">
        <x:v>46112</x:v>
      </x:c>
      <x:c r="E2044" s="2" t="str">
        <x:v>Pre-earnings</x:v>
      </x:c>
      <x:c r="F2044" s="7" t="n">
        <x:v>46135</x:v>
      </x:c>
      <x:c r="G2044" s="2" t="str">
        <x:v>Broad rolling 8</x:v>
      </x:c>
      <x:c r="H2044" s="8" t="n">
        <x:f>'Model fits'!AA1324</x:f>
        <x:v>-2.891082676679792</x:v>
      </x:c>
      <x:c r="I2044" s="8" t="n">
        <x:f>0</x:f>
        <x:v>0</x:v>
      </x:c>
      <x:c r="J2044" s="8" t="n">
        <x:v>0</x:v>
      </x:c>
      <x:c r="K2044" s="8" t="n">
        <x:f>H2044-I2044*J2044</x:f>
        <x:v>-2.891082676679792</x:v>
      </x:c>
      <x:c r="L2044" s="8" t="n">
        <x:f>'PG facts'!E150</x:f>
        <x:v>3</x:v>
      </x:c>
      <x:c r="M2044" s="8" t="n">
        <x:f>K2044-L2044</x:f>
        <x:v>-5.891082676679792</x:v>
      </x:c>
      <x:c r="N2044" s="8" t="n">
        <x:f>M2044^2</x:f>
        <x:v>34.704855103476746</x:v>
      </x:c>
      <x:c r="O2044" s="8" t="n">
        <x:f>ABS(M2044)</x:f>
        <x:v>5.891082676679792</x:v>
      </x:c>
      <x:c r="P2044" s="7" t="n">
        <x:v>46136</x:v>
      </x:c>
    </x:row>
    <x:row r="2045" ht="26" customHeight="1">
      <x:c r="A2045" s="2"/>
      <x:c r="B2045" s="2" t="n">
        <x:v>2040</x:v>
      </x:c>
      <x:c r="C2045" s="2" t="str">
        <x:v>Baby, Feminine &amp; Family Care / organic_volume_growth</x:v>
      </x:c>
      <x:c r="D2045" s="7" t="n">
        <x:v>46112</x:v>
      </x:c>
      <x:c r="E2045" s="2" t="str">
        <x:v>Pre-earnings</x:v>
      </x:c>
      <x:c r="F2045" s="7" t="n">
        <x:v>46135</x:v>
      </x:c>
      <x:c r="G2045" s="2" t="str">
        <x:v>Own history</x:v>
      </x:c>
      <x:c r="H2045" s="8" t="n">
        <x:f>'Model fits'!AA1325</x:f>
        <x:v>-2.25</x:v>
      </x:c>
      <x:c r="I2045" s="8" t="n">
        <x:f>0</x:f>
        <x:v>0</x:v>
      </x:c>
      <x:c r="J2045" s="8" t="n">
        <x:v>0</x:v>
      </x:c>
      <x:c r="K2045" s="8" t="n">
        <x:f>H2045-I2045*J2045</x:f>
        <x:v>-2.25</x:v>
      </x:c>
      <x:c r="L2045" s="8" t="n">
        <x:f>'PG facts'!E150</x:f>
        <x:v>3</x:v>
      </x:c>
      <x:c r="M2045" s="8" t="n">
        <x:f>K2045-L2045</x:f>
        <x:v>-5.25</x:v>
      </x:c>
      <x:c r="N2045" s="8" t="n">
        <x:f>M2045^2</x:f>
        <x:v>27.5625</x:v>
      </x:c>
      <x:c r="O2045" s="8" t="n">
        <x:f>ABS(M2045)</x:f>
        <x:v>5.25</x:v>
      </x:c>
      <x:c r="P2045" s="7" t="n">
        <x:v>46136</x:v>
      </x:c>
    </x:row>
    <x:row r="2046" ht="26" customHeight="1">
      <x:c r="A2046" s="2"/>
      <x:c r="B2046" s="2" t="n">
        <x:v>2041</x:v>
      </x:c>
      <x:c r="C2046" s="2" t="str">
        <x:v>Beauty / organic_sales_growth</x:v>
      </x:c>
      <x:c r="D2046" s="7" t="n">
        <x:v>45107</x:v>
      </x:c>
      <x:c r="E2046" s="2" t="str">
        <x:v>Origin</x:v>
      </x:c>
      <x:c r="F2046" s="7" t="n">
        <x:v>45017</x:v>
      </x:c>
      <x:c r="G2046" s="2" t="str">
        <x:v>Last actual</x:v>
      </x:c>
      <x:c r="H2046" s="8" t="n">
        <x:f>AVERAGE('PG facts'!F55)</x:f>
        <x:v>3</x:v>
      </x:c>
      <x:c r="I2046" s="8" t="n">
        <x:f>0</x:f>
        <x:v>0</x:v>
      </x:c>
      <x:c r="J2046" s="8" t="n">
        <x:v>0</x:v>
      </x:c>
      <x:c r="K2046" s="8" t="n">
        <x:f>H2046-I2046*J2046</x:f>
        <x:v>3</x:v>
      </x:c>
      <x:c r="L2046" s="8" t="n">
        <x:f>'PG facts'!F69</x:f>
        <x:v>11</x:v>
      </x:c>
      <x:c r="M2046" s="8" t="n">
        <x:f>K2046-L2046</x:f>
        <x:v>-8</x:v>
      </x:c>
      <x:c r="N2046" s="8" t="n">
        <x:f>M2046^2</x:f>
        <x:v>64</x:v>
      </x:c>
      <x:c r="O2046" s="8" t="n">
        <x:f>ABS(M2046)</x:f>
        <x:v>8</x:v>
      </x:c>
      <x:c r="P2046" s="7" t="n">
        <x:v>45135</x:v>
      </x:c>
    </x:row>
    <x:row r="2047" ht="26" customHeight="1">
      <x:c r="A2047" s="2"/>
      <x:c r="B2047" s="2" t="n">
        <x:v>2042</x:v>
      </x:c>
      <x:c r="C2047" s="2" t="str">
        <x:v>Beauty / organic_sales_growth</x:v>
      </x:c>
      <x:c r="D2047" s="7" t="n">
        <x:v>45107</x:v>
      </x:c>
      <x:c r="E2047" s="2" t="str">
        <x:v>Origin</x:v>
      </x:c>
      <x:c r="F2047" s="7" t="n">
        <x:v>45017</x:v>
      </x:c>
      <x:c r="G2047" s="2" t="str">
        <x:v>Four-quarter mean</x:v>
      </x:c>
      <x:c r="H2047" s="8" t="n">
        <x:f>AVERAGE('PG facts'!F34,'PG facts'!F41,'PG facts'!F48,'PG facts'!F55)</x:f>
        <x:v>2.5</x:v>
      </x:c>
      <x:c r="I2047" s="8" t="n">
        <x:f>0</x:f>
        <x:v>0</x:v>
      </x:c>
      <x:c r="J2047" s="8" t="n">
        <x:v>0</x:v>
      </x:c>
      <x:c r="K2047" s="8" t="n">
        <x:f>H2047-I2047*J2047</x:f>
        <x:v>2.5</x:v>
      </x:c>
      <x:c r="L2047" s="8" t="n">
        <x:f>'PG facts'!F69</x:f>
        <x:v>11</x:v>
      </x:c>
      <x:c r="M2047" s="8" t="n">
        <x:f>K2047-L2047</x:f>
        <x:v>-8.5</x:v>
      </x:c>
      <x:c r="N2047" s="8" t="n">
        <x:f>M2047^2</x:f>
        <x:v>72.25</x:v>
      </x:c>
      <x:c r="O2047" s="8" t="n">
        <x:f>ABS(M2047)</x:f>
        <x:v>8.5</x:v>
      </x:c>
      <x:c r="P2047" s="7" t="n">
        <x:v>45135</x:v>
      </x:c>
    </x:row>
    <x:row r="2048" ht="26" customHeight="1">
      <x:c r="A2048" s="2"/>
      <x:c r="B2048" s="2" t="n">
        <x:v>2043</x:v>
      </x:c>
      <x:c r="C2048" s="2" t="str">
        <x:v>Beauty / organic_sales_growth</x:v>
      </x:c>
      <x:c r="D2048" s="7" t="n">
        <x:v>45107</x:v>
      </x:c>
      <x:c r="E2048" s="2" t="str">
        <x:v>Origin</x:v>
      </x:c>
      <x:c r="F2048" s="7" t="n">
        <x:v>45017</x:v>
      </x:c>
      <x:c r="G2048" s="2" t="str">
        <x:v>Broad market</x:v>
      </x:c>
      <x:c r="H2048" s="8" t="n">
        <x:f>'Model fits'!AA1326</x:f>
        <x:v>3.1078068657282985</x:v>
      </x:c>
      <x:c r="I2048" s="8" t="n">
        <x:f>0</x:f>
        <x:v>0</x:v>
      </x:c>
      <x:c r="J2048" s="8" t="n">
        <x:v>0</x:v>
      </x:c>
      <x:c r="K2048" s="8" t="n">
        <x:f>H2048-I2048*J2048</x:f>
        <x:v>3.1078068657282985</x:v>
      </x:c>
      <x:c r="L2048" s="8" t="n">
        <x:f>'PG facts'!F69</x:f>
        <x:v>11</x:v>
      </x:c>
      <x:c r="M2048" s="8" t="n">
        <x:f>K2048-L2048</x:f>
        <x:v>-7.892193134271702</x:v>
      </x:c>
      <x:c r="N2048" s="8" t="n">
        <x:f>M2048^2</x:f>
        <x:v>62.28671246864539</x:v>
      </x:c>
      <x:c r="O2048" s="8" t="n">
        <x:f>ABS(M2048)</x:f>
        <x:v>7.892193134271702</x:v>
      </x:c>
      <x:c r="P2048" s="7" t="n">
        <x:v>45135</x:v>
      </x:c>
    </x:row>
    <x:row r="2049" ht="26" customHeight="1">
      <x:c r="A2049" s="2"/>
      <x:c r="B2049" s="2" t="n">
        <x:v>2044</x:v>
      </x:c>
      <x:c r="C2049" s="2" t="str">
        <x:v>Beauty / organic_sales_growth</x:v>
      </x:c>
      <x:c r="D2049" s="7" t="n">
        <x:v>45107</x:v>
      </x:c>
      <x:c r="E2049" s="2" t="str">
        <x:v>Origin</x:v>
      </x:c>
      <x:c r="F2049" s="7" t="n">
        <x:v>45017</x:v>
      </x:c>
      <x:c r="G2049" s="2" t="str">
        <x:v>Broad rolling 8</x:v>
      </x:c>
      <x:c r="H2049" s="8" t="n">
        <x:f>'Model fits'!AA1327</x:f>
        <x:v>3.1078068657282985</x:v>
      </x:c>
      <x:c r="I2049" s="8" t="n">
        <x:f>0</x:f>
        <x:v>0</x:v>
      </x:c>
      <x:c r="J2049" s="8" t="n">
        <x:v>0</x:v>
      </x:c>
      <x:c r="K2049" s="8" t="n">
        <x:f>H2049-I2049*J2049</x:f>
        <x:v>3.1078068657282985</x:v>
      </x:c>
      <x:c r="L2049" s="8" t="n">
        <x:f>'PG facts'!F69</x:f>
        <x:v>11</x:v>
      </x:c>
      <x:c r="M2049" s="8" t="n">
        <x:f>K2049-L2049</x:f>
        <x:v>-7.892193134271702</x:v>
      </x:c>
      <x:c r="N2049" s="8" t="n">
        <x:f>M2049^2</x:f>
        <x:v>62.28671246864539</x:v>
      </x:c>
      <x:c r="O2049" s="8" t="n">
        <x:f>ABS(M2049)</x:f>
        <x:v>7.892193134271702</x:v>
      </x:c>
      <x:c r="P2049" s="7" t="n">
        <x:v>45135</x:v>
      </x:c>
    </x:row>
    <x:row r="2050" ht="26" customHeight="1">
      <x:c r="A2050" s="2"/>
      <x:c r="B2050" s="2" t="n">
        <x:v>2045</x:v>
      </x:c>
      <x:c r="C2050" s="2" t="str">
        <x:v>Beauty / organic_sales_growth</x:v>
      </x:c>
      <x:c r="D2050" s="7" t="n">
        <x:v>45107</x:v>
      </x:c>
      <x:c r="E2050" s="2" t="str">
        <x:v>Prior report</x:v>
      </x:c>
      <x:c r="F2050" s="7" t="n">
        <x:v>45037</x:v>
      </x:c>
      <x:c r="G2050" s="2" t="str">
        <x:v>Last actual</x:v>
      </x:c>
      <x:c r="H2050" s="8" t="n">
        <x:f>AVERAGE('PG facts'!F62)</x:f>
        <x:v>7</x:v>
      </x:c>
      <x:c r="I2050" s="8" t="n">
        <x:f>0</x:f>
        <x:v>0</x:v>
      </x:c>
      <x:c r="J2050" s="8" t="n">
        <x:v>0</x:v>
      </x:c>
      <x:c r="K2050" s="8" t="n">
        <x:f>H2050-I2050*J2050</x:f>
        <x:v>7</x:v>
      </x:c>
      <x:c r="L2050" s="8" t="n">
        <x:f>'PG facts'!F69</x:f>
        <x:v>11</x:v>
      </x:c>
      <x:c r="M2050" s="8" t="n">
        <x:f>K2050-L2050</x:f>
        <x:v>-4</x:v>
      </x:c>
      <x:c r="N2050" s="8" t="n">
        <x:f>M2050^2</x:f>
        <x:v>16</x:v>
      </x:c>
      <x:c r="O2050" s="8" t="n">
        <x:f>ABS(M2050)</x:f>
        <x:v>4</x:v>
      </x:c>
      <x:c r="P2050" s="7" t="n">
        <x:v>45135</x:v>
      </x:c>
    </x:row>
    <x:row r="2051" ht="26" customHeight="1">
      <x:c r="A2051" s="2"/>
      <x:c r="B2051" s="2" t="n">
        <x:v>2046</x:v>
      </x:c>
      <x:c r="C2051" s="2" t="str">
        <x:v>Beauty / organic_sales_growth</x:v>
      </x:c>
      <x:c r="D2051" s="7" t="n">
        <x:v>45107</x:v>
      </x:c>
      <x:c r="E2051" s="2" t="str">
        <x:v>Prior report</x:v>
      </x:c>
      <x:c r="F2051" s="7" t="n">
        <x:v>45037</x:v>
      </x:c>
      <x:c r="G2051" s="2" t="str">
        <x:v>Four-quarter mean</x:v>
      </x:c>
      <x:c r="H2051" s="8" t="n">
        <x:f>AVERAGE('PG facts'!F41,'PG facts'!F48,'PG facts'!F55,'PG facts'!F62)</x:f>
        <x:v>3.5</x:v>
      </x:c>
      <x:c r="I2051" s="8" t="n">
        <x:f>0</x:f>
        <x:v>0</x:v>
      </x:c>
      <x:c r="J2051" s="8" t="n">
        <x:v>0</x:v>
      </x:c>
      <x:c r="K2051" s="8" t="n">
        <x:f>H2051-I2051*J2051</x:f>
        <x:v>3.5</x:v>
      </x:c>
      <x:c r="L2051" s="8" t="n">
        <x:f>'PG facts'!F69</x:f>
        <x:v>11</x:v>
      </x:c>
      <x:c r="M2051" s="8" t="n">
        <x:f>K2051-L2051</x:f>
        <x:v>-7.5</x:v>
      </x:c>
      <x:c r="N2051" s="8" t="n">
        <x:f>M2051^2</x:f>
        <x:v>56.25</x:v>
      </x:c>
      <x:c r="O2051" s="8" t="n">
        <x:f>ABS(M2051)</x:f>
        <x:v>7.5</x:v>
      </x:c>
      <x:c r="P2051" s="7" t="n">
        <x:v>45135</x:v>
      </x:c>
    </x:row>
    <x:row r="2052" ht="26" customHeight="1">
      <x:c r="A2052" s="2"/>
      <x:c r="B2052" s="2" t="n">
        <x:v>2047</x:v>
      </x:c>
      <x:c r="C2052" s="2" t="str">
        <x:v>Beauty / organic_sales_growth</x:v>
      </x:c>
      <x:c r="D2052" s="7" t="n">
        <x:v>45107</x:v>
      </x:c>
      <x:c r="E2052" s="2" t="str">
        <x:v>Prior report</x:v>
      </x:c>
      <x:c r="F2052" s="7" t="n">
        <x:v>45037</x:v>
      </x:c>
      <x:c r="G2052" s="2" t="str">
        <x:v>Broad market</x:v>
      </x:c>
      <x:c r="H2052" s="8" t="n">
        <x:f>'Model fits'!AA1328</x:f>
        <x:v>3.759469960038232</x:v>
      </x:c>
      <x:c r="I2052" s="8" t="n">
        <x:f>0</x:f>
        <x:v>0</x:v>
      </x:c>
      <x:c r="J2052" s="8" t="n">
        <x:v>0</x:v>
      </x:c>
      <x:c r="K2052" s="8" t="n">
        <x:f>H2052-I2052*J2052</x:f>
        <x:v>3.759469960038232</x:v>
      </x:c>
      <x:c r="L2052" s="8" t="n">
        <x:f>'PG facts'!F69</x:f>
        <x:v>11</x:v>
      </x:c>
      <x:c r="M2052" s="8" t="n">
        <x:f>K2052-L2052</x:f>
        <x:v>-7.240530039961768</x:v>
      </x:c>
      <x:c r="N2052" s="8" t="n">
        <x:f>M2052^2</x:f>
        <x:v>52.42527525958876</x:v>
      </x:c>
      <x:c r="O2052" s="8" t="n">
        <x:f>ABS(M2052)</x:f>
        <x:v>7.240530039961768</x:v>
      </x:c>
      <x:c r="P2052" s="7" t="n">
        <x:v>45135</x:v>
      </x:c>
    </x:row>
    <x:row r="2053" ht="26" customHeight="1">
      <x:c r="A2053" s="2"/>
      <x:c r="B2053" s="2" t="n">
        <x:v>2048</x:v>
      </x:c>
      <x:c r="C2053" s="2" t="str">
        <x:v>Beauty / organic_sales_growth</x:v>
      </x:c>
      <x:c r="D2053" s="7" t="n">
        <x:v>45107</x:v>
      </x:c>
      <x:c r="E2053" s="2" t="str">
        <x:v>Prior report</x:v>
      </x:c>
      <x:c r="F2053" s="7" t="n">
        <x:v>45037</x:v>
      </x:c>
      <x:c r="G2053" s="2" t="str">
        <x:v>Broad lag 1</x:v>
      </x:c>
      <x:c r="H2053" s="8" t="n">
        <x:f>'Model fits'!AA1329</x:f>
        <x:v>3.407552473581749</x:v>
      </x:c>
      <x:c r="I2053" s="8" t="n">
        <x:f>0</x:f>
        <x:v>0</x:v>
      </x:c>
      <x:c r="J2053" s="8" t="n">
        <x:v>0</x:v>
      </x:c>
      <x:c r="K2053" s="8" t="n">
        <x:f>H2053-I2053*J2053</x:f>
        <x:v>3.407552473581749</x:v>
      </x:c>
      <x:c r="L2053" s="8" t="n">
        <x:f>'PG facts'!F69</x:f>
        <x:v>11</x:v>
      </x:c>
      <x:c r="M2053" s="8" t="n">
        <x:f>K2053-L2053</x:f>
        <x:v>-7.592447526418251</x:v>
      </x:c>
      <x:c r="N2053" s="8" t="n">
        <x:f>M2053^2</x:f>
        <x:v>57.64525944141462</x:v>
      </x:c>
      <x:c r="O2053" s="8" t="n">
        <x:f>ABS(M2053)</x:f>
        <x:v>7.592447526418251</x:v>
      </x:c>
      <x:c r="P2053" s="7" t="n">
        <x:v>45135</x:v>
      </x:c>
    </x:row>
    <x:row r="2054" ht="26" customHeight="1">
      <x:c r="A2054" s="2"/>
      <x:c r="B2054" s="2" t="n">
        <x:v>2049</x:v>
      </x:c>
      <x:c r="C2054" s="2" t="str">
        <x:v>Beauty / organic_sales_growth</x:v>
      </x:c>
      <x:c r="D2054" s="7" t="n">
        <x:v>45107</x:v>
      </x:c>
      <x:c r="E2054" s="2" t="str">
        <x:v>Prior report</x:v>
      </x:c>
      <x:c r="F2054" s="7" t="n">
        <x:v>45037</x:v>
      </x:c>
      <x:c r="G2054" s="2" t="str">
        <x:v>Broad rolling 8</x:v>
      </x:c>
      <x:c r="H2054" s="8" t="n">
        <x:f>'Model fits'!AA1330</x:f>
        <x:v>3.257169688092765</x:v>
      </x:c>
      <x:c r="I2054" s="8" t="n">
        <x:f>0</x:f>
        <x:v>0</x:v>
      </x:c>
      <x:c r="J2054" s="8" t="n">
        <x:v>0</x:v>
      </x:c>
      <x:c r="K2054" s="8" t="n">
        <x:f>H2054-I2054*J2054</x:f>
        <x:v>3.257169688092765</x:v>
      </x:c>
      <x:c r="L2054" s="8" t="n">
        <x:f>'PG facts'!F69</x:f>
        <x:v>11</x:v>
      </x:c>
      <x:c r="M2054" s="8" t="n">
        <x:f>K2054-L2054</x:f>
        <x:v>-7.742830311907235</x:v>
      </x:c>
      <x:c r="N2054" s="8" t="n">
        <x:f>M2054^2</x:f>
        <x:v>59.95142123898949</x:v>
      </x:c>
      <x:c r="O2054" s="8" t="n">
        <x:f>ABS(M2054)</x:f>
        <x:v>7.742830311907235</x:v>
      </x:c>
      <x:c r="P2054" s="7" t="n">
        <x:v>45135</x:v>
      </x:c>
    </x:row>
    <x:row r="2055" ht="26" customHeight="1">
      <x:c r="A2055" s="2"/>
      <x:c r="B2055" s="2" t="n">
        <x:v>2050</x:v>
      </x:c>
      <x:c r="C2055" s="2" t="str">
        <x:v>Beauty / organic_sales_growth</x:v>
      </x:c>
      <x:c r="D2055" s="7" t="n">
        <x:v>45107</x:v>
      </x:c>
      <x:c r="E2055" s="2" t="str">
        <x:v>Prior report</x:v>
      </x:c>
      <x:c r="F2055" s="7" t="n">
        <x:v>45037</x:v>
      </x:c>
      <x:c r="G2055" s="2" t="str">
        <x:v>Own history</x:v>
      </x:c>
      <x:c r="H2055" s="8" t="n">
        <x:f>'Model fits'!AA1331</x:f>
        <x:v>3.968641114982578</x:v>
      </x:c>
      <x:c r="I2055" s="8" t="n">
        <x:f>0</x:f>
        <x:v>0</x:v>
      </x:c>
      <x:c r="J2055" s="8" t="n">
        <x:v>0</x:v>
      </x:c>
      <x:c r="K2055" s="8" t="n">
        <x:f>H2055-I2055*J2055</x:f>
        <x:v>3.968641114982578</x:v>
      </x:c>
      <x:c r="L2055" s="8" t="n">
        <x:f>'PG facts'!F69</x:f>
        <x:v>11</x:v>
      </x:c>
      <x:c r="M2055" s="8" t="n">
        <x:f>K2055-L2055</x:f>
        <x:v>-7.031358885017422</x:v>
      </x:c>
      <x:c r="N2055" s="8" t="n">
        <x:f>M2055^2</x:f>
        <x:v>49.44000776991344</x:v>
      </x:c>
      <x:c r="O2055" s="8" t="n">
        <x:f>ABS(M2055)</x:f>
        <x:v>7.031358885017422</x:v>
      </x:c>
      <x:c r="P2055" s="7" t="n">
        <x:v>45135</x:v>
      </x:c>
    </x:row>
    <x:row r="2056" ht="26" customHeight="1">
      <x:c r="A2056" s="2"/>
      <x:c r="B2056" s="2" t="n">
        <x:v>2051</x:v>
      </x:c>
      <x:c r="C2056" s="2" t="str">
        <x:v>Beauty / organic_sales_growth</x:v>
      </x:c>
      <x:c r="D2056" s="7" t="n">
        <x:v>45107</x:v>
      </x:c>
      <x:c r="E2056" s="2" t="str">
        <x:v>Pre-earnings</x:v>
      </x:c>
      <x:c r="F2056" s="7" t="n">
        <x:v>45134</x:v>
      </x:c>
      <x:c r="G2056" s="2" t="str">
        <x:v>Last actual</x:v>
      </x:c>
      <x:c r="H2056" s="8" t="n">
        <x:f>AVERAGE('PG facts'!F62)</x:f>
        <x:v>7</x:v>
      </x:c>
      <x:c r="I2056" s="8" t="n">
        <x:f>0</x:f>
        <x:v>0</x:v>
      </x:c>
      <x:c r="J2056" s="8" t="n">
        <x:v>0</x:v>
      </x:c>
      <x:c r="K2056" s="8" t="n">
        <x:f>H2056-I2056*J2056</x:f>
        <x:v>7</x:v>
      </x:c>
      <x:c r="L2056" s="8" t="n">
        <x:f>'PG facts'!F69</x:f>
        <x:v>11</x:v>
      </x:c>
      <x:c r="M2056" s="8" t="n">
        <x:f>K2056-L2056</x:f>
        <x:v>-4</x:v>
      </x:c>
      <x:c r="N2056" s="8" t="n">
        <x:f>M2056^2</x:f>
        <x:v>16</x:v>
      </x:c>
      <x:c r="O2056" s="8" t="n">
        <x:f>ABS(M2056)</x:f>
        <x:v>4</x:v>
      </x:c>
      <x:c r="P2056" s="7" t="n">
        <x:v>45135</x:v>
      </x:c>
    </x:row>
    <x:row r="2057" ht="26" customHeight="1">
      <x:c r="A2057" s="2"/>
      <x:c r="B2057" s="2" t="n">
        <x:v>2052</x:v>
      </x:c>
      <x:c r="C2057" s="2" t="str">
        <x:v>Beauty / organic_sales_growth</x:v>
      </x:c>
      <x:c r="D2057" s="7" t="n">
        <x:v>45107</x:v>
      </x:c>
      <x:c r="E2057" s="2" t="str">
        <x:v>Pre-earnings</x:v>
      </x:c>
      <x:c r="F2057" s="7" t="n">
        <x:v>45134</x:v>
      </x:c>
      <x:c r="G2057" s="2" t="str">
        <x:v>Four-quarter mean</x:v>
      </x:c>
      <x:c r="H2057" s="8" t="n">
        <x:f>AVERAGE('PG facts'!F41,'PG facts'!F48,'PG facts'!F55,'PG facts'!F62)</x:f>
        <x:v>3.5</x:v>
      </x:c>
      <x:c r="I2057" s="8" t="n">
        <x:f>0</x:f>
        <x:v>0</x:v>
      </x:c>
      <x:c r="J2057" s="8" t="n">
        <x:v>0</x:v>
      </x:c>
      <x:c r="K2057" s="8" t="n">
        <x:f>H2057-I2057*J2057</x:f>
        <x:v>3.5</x:v>
      </x:c>
      <x:c r="L2057" s="8" t="n">
        <x:f>'PG facts'!F69</x:f>
        <x:v>11</x:v>
      </x:c>
      <x:c r="M2057" s="8" t="n">
        <x:f>K2057-L2057</x:f>
        <x:v>-7.5</x:v>
      </x:c>
      <x:c r="N2057" s="8" t="n">
        <x:f>M2057^2</x:f>
        <x:v>56.25</x:v>
      </x:c>
      <x:c r="O2057" s="8" t="n">
        <x:f>ABS(M2057)</x:f>
        <x:v>7.5</x:v>
      </x:c>
      <x:c r="P2057" s="7" t="n">
        <x:v>45135</x:v>
      </x:c>
    </x:row>
    <x:row r="2058" ht="26" customHeight="1">
      <x:c r="A2058" s="2"/>
      <x:c r="B2058" s="2" t="n">
        <x:v>2053</x:v>
      </x:c>
      <x:c r="C2058" s="2" t="str">
        <x:v>Beauty / organic_sales_growth</x:v>
      </x:c>
      <x:c r="D2058" s="7" t="n">
        <x:v>45107</x:v>
      </x:c>
      <x:c r="E2058" s="2" t="str">
        <x:v>Pre-earnings</x:v>
      </x:c>
      <x:c r="F2058" s="7" t="n">
        <x:v>45134</x:v>
      </x:c>
      <x:c r="G2058" s="2" t="str">
        <x:v>Broad market</x:v>
      </x:c>
      <x:c r="H2058" s="8" t="n">
        <x:f>'Model fits'!AA1332</x:f>
        <x:v>3.976359325176576</x:v>
      </x:c>
      <x:c r="I2058" s="8" t="n">
        <x:f>0</x:f>
        <x:v>0</x:v>
      </x:c>
      <x:c r="J2058" s="8" t="n">
        <x:v>0</x:v>
      </x:c>
      <x:c r="K2058" s="8" t="n">
        <x:f>H2058-I2058*J2058</x:f>
        <x:v>3.976359325176576</x:v>
      </x:c>
      <x:c r="L2058" s="8" t="n">
        <x:f>'PG facts'!F69</x:f>
        <x:v>11</x:v>
      </x:c>
      <x:c r="M2058" s="8" t="n">
        <x:f>K2058-L2058</x:f>
        <x:v>-7.023640674823424</x:v>
      </x:c>
      <x:c r="N2058" s="8" t="n">
        <x:f>M2058^2</x:f>
        <x:v>49.33152832903404</x:v>
      </x:c>
      <x:c r="O2058" s="8" t="n">
        <x:f>ABS(M2058)</x:f>
        <x:v>7.023640674823424</x:v>
      </x:c>
      <x:c r="P2058" s="7" t="n">
        <x:v>45135</x:v>
      </x:c>
    </x:row>
    <x:row r="2059" ht="26" customHeight="1">
      <x:c r="A2059" s="2"/>
      <x:c r="B2059" s="2" t="n">
        <x:v>2054</x:v>
      </x:c>
      <x:c r="C2059" s="2" t="str">
        <x:v>Beauty / organic_sales_growth</x:v>
      </x:c>
      <x:c r="D2059" s="7" t="n">
        <x:v>45107</x:v>
      </x:c>
      <x:c r="E2059" s="2" t="str">
        <x:v>Pre-earnings</x:v>
      </x:c>
      <x:c r="F2059" s="7" t="n">
        <x:v>45134</x:v>
      </x:c>
      <x:c r="G2059" s="2" t="str">
        <x:v>Broad lag 1</x:v>
      </x:c>
      <x:c r="H2059" s="8" t="n">
        <x:f>'Model fits'!AA1333</x:f>
        <x:v>3.1693509642115556</x:v>
      </x:c>
      <x:c r="I2059" s="8" t="n">
        <x:f>0</x:f>
        <x:v>0</x:v>
      </x:c>
      <x:c r="J2059" s="8" t="n">
        <x:v>0</x:v>
      </x:c>
      <x:c r="K2059" s="8" t="n">
        <x:f>H2059-I2059*J2059</x:f>
        <x:v>3.1693509642115556</x:v>
      </x:c>
      <x:c r="L2059" s="8" t="n">
        <x:f>'PG facts'!F69</x:f>
        <x:v>11</x:v>
      </x:c>
      <x:c r="M2059" s="8" t="n">
        <x:f>K2059-L2059</x:f>
        <x:v>-7.830649035788444</x:v>
      </x:c>
      <x:c r="N2059" s="8" t="n">
        <x:f>M2059^2</x:f>
        <x:v>61.31906432169449</x:v>
      </x:c>
      <x:c r="O2059" s="8" t="n">
        <x:f>ABS(M2059)</x:f>
        <x:v>7.830649035788444</x:v>
      </x:c>
      <x:c r="P2059" s="7" t="n">
        <x:v>45135</x:v>
      </x:c>
    </x:row>
    <x:row r="2060" ht="26" customHeight="1">
      <x:c r="A2060" s="2"/>
      <x:c r="B2060" s="2" t="n">
        <x:v>2055</x:v>
      </x:c>
      <x:c r="C2060" s="2" t="str">
        <x:v>Beauty / organic_sales_growth</x:v>
      </x:c>
      <x:c r="D2060" s="7" t="n">
        <x:v>45107</x:v>
      </x:c>
      <x:c r="E2060" s="2" t="str">
        <x:v>Pre-earnings</x:v>
      </x:c>
      <x:c r="F2060" s="7" t="n">
        <x:v>45134</x:v>
      </x:c>
      <x:c r="G2060" s="2" t="str">
        <x:v>Broad rolling 8</x:v>
      </x:c>
      <x:c r="H2060" s="8" t="n">
        <x:f>'Model fits'!AA1334</x:f>
        <x:v>3.5599202010946582</x:v>
      </x:c>
      <x:c r="I2060" s="8" t="n">
        <x:f>0</x:f>
        <x:v>0</x:v>
      </x:c>
      <x:c r="J2060" s="8" t="n">
        <x:v>0</x:v>
      </x:c>
      <x:c r="K2060" s="8" t="n">
        <x:f>H2060-I2060*J2060</x:f>
        <x:v>3.5599202010946582</x:v>
      </x:c>
      <x:c r="L2060" s="8" t="n">
        <x:f>'PG facts'!F69</x:f>
        <x:v>11</x:v>
      </x:c>
      <x:c r="M2060" s="8" t="n">
        <x:f>K2060-L2060</x:f>
        <x:v>-7.440079798905342</x:v>
      </x:c>
      <x:c r="N2060" s="8" t="n">
        <x:f>M2060^2</x:f>
        <x:v>55.354787414079354</x:v>
      </x:c>
      <x:c r="O2060" s="8" t="n">
        <x:f>ABS(M2060)</x:f>
        <x:v>7.440079798905342</x:v>
      </x:c>
      <x:c r="P2060" s="7" t="n">
        <x:v>45135</x:v>
      </x:c>
    </x:row>
    <x:row r="2061" ht="26" customHeight="1">
      <x:c r="A2061" s="2"/>
      <x:c r="B2061" s="2" t="n">
        <x:v>2056</x:v>
      </x:c>
      <x:c r="C2061" s="2" t="str">
        <x:v>Beauty / organic_sales_growth</x:v>
      </x:c>
      <x:c r="D2061" s="7" t="n">
        <x:v>45107</x:v>
      </x:c>
      <x:c r="E2061" s="2" t="str">
        <x:v>Pre-earnings</x:v>
      </x:c>
      <x:c r="F2061" s="7" t="n">
        <x:v>45134</x:v>
      </x:c>
      <x:c r="G2061" s="2" t="str">
        <x:v>Own history</x:v>
      </x:c>
      <x:c r="H2061" s="8" t="n">
        <x:f>'Model fits'!AA1335</x:f>
        <x:v>3.968641114982578</x:v>
      </x:c>
      <x:c r="I2061" s="8" t="n">
        <x:f>0</x:f>
        <x:v>0</x:v>
      </x:c>
      <x:c r="J2061" s="8" t="n">
        <x:v>0</x:v>
      </x:c>
      <x:c r="K2061" s="8" t="n">
        <x:f>H2061-I2061*J2061</x:f>
        <x:v>3.968641114982578</x:v>
      </x:c>
      <x:c r="L2061" s="8" t="n">
        <x:f>'PG facts'!F69</x:f>
        <x:v>11</x:v>
      </x:c>
      <x:c r="M2061" s="8" t="n">
        <x:f>K2061-L2061</x:f>
        <x:v>-7.031358885017422</x:v>
      </x:c>
      <x:c r="N2061" s="8" t="n">
        <x:f>M2061^2</x:f>
        <x:v>49.44000776991344</x:v>
      </x:c>
      <x:c r="O2061" s="8" t="n">
        <x:f>ABS(M2061)</x:f>
        <x:v>7.031358885017422</x:v>
      </x:c>
      <x:c r="P2061" s="7" t="n">
        <x:v>45135</x:v>
      </x:c>
    </x:row>
    <x:row r="2062" ht="26" customHeight="1">
      <x:c r="A2062" s="2"/>
      <x:c r="B2062" s="2" t="n">
        <x:v>2057</x:v>
      </x:c>
      <x:c r="C2062" s="2" t="str">
        <x:v>Beauty / organic_sales_growth</x:v>
      </x:c>
      <x:c r="D2062" s="7" t="n">
        <x:v>45199</x:v>
      </x:c>
      <x:c r="E2062" s="2" t="str">
        <x:v>Origin</x:v>
      </x:c>
      <x:c r="F2062" s="7" t="n">
        <x:v>45108</x:v>
      </x:c>
      <x:c r="G2062" s="2" t="str">
        <x:v>Last actual</x:v>
      </x:c>
      <x:c r="H2062" s="8" t="n">
        <x:f>AVERAGE('PG facts'!F62)</x:f>
        <x:v>7</x:v>
      </x:c>
      <x:c r="I2062" s="8" t="n">
        <x:f>0</x:f>
        <x:v>0</x:v>
      </x:c>
      <x:c r="J2062" s="8" t="n">
        <x:v>0</x:v>
      </x:c>
      <x:c r="K2062" s="8" t="n">
        <x:f>H2062-I2062*J2062</x:f>
        <x:v>7</x:v>
      </x:c>
      <x:c r="L2062" s="8" t="n">
        <x:f>'PG facts'!F76</x:f>
        <x:v>5</x:v>
      </x:c>
      <x:c r="M2062" s="8" t="n">
        <x:f>K2062-L2062</x:f>
        <x:v>2</x:v>
      </x:c>
      <x:c r="N2062" s="8" t="n">
        <x:f>M2062^2</x:f>
        <x:v>4</x:v>
      </x:c>
      <x:c r="O2062" s="8" t="n">
        <x:f>ABS(M2062)</x:f>
        <x:v>2</x:v>
      </x:c>
      <x:c r="P2062" s="7" t="n">
        <x:v>45217</x:v>
      </x:c>
    </x:row>
    <x:row r="2063" ht="26" customHeight="1">
      <x:c r="A2063" s="2"/>
      <x:c r="B2063" s="2" t="n">
        <x:v>2058</x:v>
      </x:c>
      <x:c r="C2063" s="2" t="str">
        <x:v>Beauty / organic_sales_growth</x:v>
      </x:c>
      <x:c r="D2063" s="7" t="n">
        <x:v>45199</x:v>
      </x:c>
      <x:c r="E2063" s="2" t="str">
        <x:v>Origin</x:v>
      </x:c>
      <x:c r="F2063" s="7" t="n">
        <x:v>45108</x:v>
      </x:c>
      <x:c r="G2063" s="2" t="str">
        <x:v>Four-quarter mean</x:v>
      </x:c>
      <x:c r="H2063" s="8" t="n">
        <x:f>AVERAGE('PG facts'!F41,'PG facts'!F48,'PG facts'!F55,'PG facts'!F62)</x:f>
        <x:v>3.5</x:v>
      </x:c>
      <x:c r="I2063" s="8" t="n">
        <x:f>0</x:f>
        <x:v>0</x:v>
      </x:c>
      <x:c r="J2063" s="8" t="n">
        <x:v>0</x:v>
      </x:c>
      <x:c r="K2063" s="8" t="n">
        <x:f>H2063-I2063*J2063</x:f>
        <x:v>3.5</x:v>
      </x:c>
      <x:c r="L2063" s="8" t="n">
        <x:f>'PG facts'!F76</x:f>
        <x:v>5</x:v>
      </x:c>
      <x:c r="M2063" s="8" t="n">
        <x:f>K2063-L2063</x:f>
        <x:v>-1.5</x:v>
      </x:c>
      <x:c r="N2063" s="8" t="n">
        <x:f>M2063^2</x:f>
        <x:v>2.25</x:v>
      </x:c>
      <x:c r="O2063" s="8" t="n">
        <x:f>ABS(M2063)</x:f>
        <x:v>1.5</x:v>
      </x:c>
      <x:c r="P2063" s="7" t="n">
        <x:v>45217</x:v>
      </x:c>
    </x:row>
    <x:row r="2064" ht="26" customHeight="1">
      <x:c r="A2064" s="2"/>
      <x:c r="B2064" s="2" t="n">
        <x:v>2059</x:v>
      </x:c>
      <x:c r="C2064" s="2" t="str">
        <x:v>Beauty / organic_sales_growth</x:v>
      </x:c>
      <x:c r="D2064" s="7" t="n">
        <x:v>45199</x:v>
      </x:c>
      <x:c r="E2064" s="2" t="str">
        <x:v>Origin</x:v>
      </x:c>
      <x:c r="F2064" s="7" t="n">
        <x:v>45108</x:v>
      </x:c>
      <x:c r="G2064" s="2" t="str">
        <x:v>Broad market</x:v>
      </x:c>
      <x:c r="H2064" s="8" t="n">
        <x:f>'Model fits'!AA1336</x:f>
        <x:v>4.027418595588318</x:v>
      </x:c>
      <x:c r="I2064" s="8" t="n">
        <x:f>0</x:f>
        <x:v>0</x:v>
      </x:c>
      <x:c r="J2064" s="8" t="n">
        <x:v>0</x:v>
      </x:c>
      <x:c r="K2064" s="8" t="n">
        <x:f>H2064-I2064*J2064</x:f>
        <x:v>4.027418595588318</x:v>
      </x:c>
      <x:c r="L2064" s="8" t="n">
        <x:f>'PG facts'!F76</x:f>
        <x:v>5</x:v>
      </x:c>
      <x:c r="M2064" s="8" t="n">
        <x:f>K2064-L2064</x:f>
        <x:v>-0.9725814044116818</x:v>
      </x:c>
      <x:c r="N2064" s="8" t="n">
        <x:f>M2064^2</x:f>
        <x:v>0.9459145882073994</x:v>
      </x:c>
      <x:c r="O2064" s="8" t="n">
        <x:f>ABS(M2064)</x:f>
        <x:v>0.9725814044116818</x:v>
      </x:c>
      <x:c r="P2064" s="7" t="n">
        <x:v>45217</x:v>
      </x:c>
    </x:row>
    <x:row r="2065" ht="26" customHeight="1">
      <x:c r="A2065" s="2"/>
      <x:c r="B2065" s="2" t="n">
        <x:v>2060</x:v>
      </x:c>
      <x:c r="C2065" s="2" t="str">
        <x:v>Beauty / organic_sales_growth</x:v>
      </x:c>
      <x:c r="D2065" s="7" t="n">
        <x:v>45199</x:v>
      </x:c>
      <x:c r="E2065" s="2" t="str">
        <x:v>Origin</x:v>
      </x:c>
      <x:c r="F2065" s="7" t="n">
        <x:v>45108</x:v>
      </x:c>
      <x:c r="G2065" s="2" t="str">
        <x:v>Broad rolling 8</x:v>
      </x:c>
      <x:c r="H2065" s="8" t="n">
        <x:f>'Model fits'!AA1337</x:f>
        <x:v>3.632175128729836</x:v>
      </x:c>
      <x:c r="I2065" s="8" t="n">
        <x:f>0</x:f>
        <x:v>0</x:v>
      </x:c>
      <x:c r="J2065" s="8" t="n">
        <x:v>0</x:v>
      </x:c>
      <x:c r="K2065" s="8" t="n">
        <x:f>H2065-I2065*J2065</x:f>
        <x:v>3.632175128729836</x:v>
      </x:c>
      <x:c r="L2065" s="8" t="n">
        <x:f>'PG facts'!F76</x:f>
        <x:v>5</x:v>
      </x:c>
      <x:c r="M2065" s="8" t="n">
        <x:f>K2065-L2065</x:f>
        <x:v>-1.3678248712701642</x:v>
      </x:c>
      <x:c r="N2065" s="8" t="n">
        <x:f>M2065^2</x:f>
        <x:v>1.8709448784652412</x:v>
      </x:c>
      <x:c r="O2065" s="8" t="n">
        <x:f>ABS(M2065)</x:f>
        <x:v>1.3678248712701642</x:v>
      </x:c>
      <x:c r="P2065" s="7" t="n">
        <x:v>45217</x:v>
      </x:c>
    </x:row>
    <x:row r="2066" ht="26" customHeight="1">
      <x:c r="A2066" s="2"/>
      <x:c r="B2066" s="2" t="n">
        <x:v>2061</x:v>
      </x:c>
      <x:c r="C2066" s="2" t="str">
        <x:v>Beauty / organic_sales_growth</x:v>
      </x:c>
      <x:c r="D2066" s="7" t="n">
        <x:v>45199</x:v>
      </x:c>
      <x:c r="E2066" s="2" t="str">
        <x:v>Prior report</x:v>
      </x:c>
      <x:c r="F2066" s="7" t="n">
        <x:v>45135</x:v>
      </x:c>
      <x:c r="G2066" s="2" t="str">
        <x:v>Last actual</x:v>
      </x:c>
      <x:c r="H2066" s="8" t="n">
        <x:f>AVERAGE('PG facts'!F69)</x:f>
        <x:v>11</x:v>
      </x:c>
      <x:c r="I2066" s="8" t="n">
        <x:f>0</x:f>
        <x:v>0</x:v>
      </x:c>
      <x:c r="J2066" s="8" t="n">
        <x:v>0</x:v>
      </x:c>
      <x:c r="K2066" s="8" t="n">
        <x:f>H2066-I2066*J2066</x:f>
        <x:v>11</x:v>
      </x:c>
      <x:c r="L2066" s="8" t="n">
        <x:f>'PG facts'!F76</x:f>
        <x:v>5</x:v>
      </x:c>
      <x:c r="M2066" s="8" t="n">
        <x:f>K2066-L2066</x:f>
        <x:v>6</x:v>
      </x:c>
      <x:c r="N2066" s="8" t="n">
        <x:f>M2066^2</x:f>
        <x:v>36</x:v>
      </x:c>
      <x:c r="O2066" s="8" t="n">
        <x:f>ABS(M2066)</x:f>
        <x:v>6</x:v>
      </x:c>
      <x:c r="P2066" s="7" t="n">
        <x:v>45217</x:v>
      </x:c>
    </x:row>
    <x:row r="2067" ht="26" customHeight="1">
      <x:c r="A2067" s="2"/>
      <x:c r="B2067" s="2" t="n">
        <x:v>2062</x:v>
      </x:c>
      <x:c r="C2067" s="2" t="str">
        <x:v>Beauty / organic_sales_growth</x:v>
      </x:c>
      <x:c r="D2067" s="7" t="n">
        <x:v>45199</x:v>
      </x:c>
      <x:c r="E2067" s="2" t="str">
        <x:v>Prior report</x:v>
      </x:c>
      <x:c r="F2067" s="7" t="n">
        <x:v>45135</x:v>
      </x:c>
      <x:c r="G2067" s="2" t="str">
        <x:v>Four-quarter mean</x:v>
      </x:c>
      <x:c r="H2067" s="8" t="n">
        <x:f>AVERAGE('PG facts'!F48,'PG facts'!F55,'PG facts'!F62,'PG facts'!F69)</x:f>
        <x:v>6.25</x:v>
      </x:c>
      <x:c r="I2067" s="8" t="n">
        <x:f>0</x:f>
        <x:v>0</x:v>
      </x:c>
      <x:c r="J2067" s="8" t="n">
        <x:v>0</x:v>
      </x:c>
      <x:c r="K2067" s="8" t="n">
        <x:f>H2067-I2067*J2067</x:f>
        <x:v>6.25</x:v>
      </x:c>
      <x:c r="L2067" s="8" t="n">
        <x:f>'PG facts'!F76</x:f>
        <x:v>5</x:v>
      </x:c>
      <x:c r="M2067" s="8" t="n">
        <x:f>K2067-L2067</x:f>
        <x:v>1.25</x:v>
      </x:c>
      <x:c r="N2067" s="8" t="n">
        <x:f>M2067^2</x:f>
        <x:v>1.5625</x:v>
      </x:c>
      <x:c r="O2067" s="8" t="n">
        <x:f>ABS(M2067)</x:f>
        <x:v>1.25</x:v>
      </x:c>
      <x:c r="P2067" s="7" t="n">
        <x:v>45217</x:v>
      </x:c>
    </x:row>
    <x:row r="2068" ht="26" customHeight="1">
      <x:c r="A2068" s="2"/>
      <x:c r="B2068" s="2" t="n">
        <x:v>2063</x:v>
      </x:c>
      <x:c r="C2068" s="2" t="str">
        <x:v>Beauty / organic_sales_growth</x:v>
      </x:c>
      <x:c r="D2068" s="7" t="n">
        <x:v>45199</x:v>
      </x:c>
      <x:c r="E2068" s="2" t="str">
        <x:v>Prior report</x:v>
      </x:c>
      <x:c r="F2068" s="7" t="n">
        <x:v>45135</x:v>
      </x:c>
      <x:c r="G2068" s="2" t="str">
        <x:v>Broad market</x:v>
      </x:c>
      <x:c r="H2068" s="8" t="n">
        <x:f>'Model fits'!AA1338</x:f>
        <x:v>4.717588723531948</x:v>
      </x:c>
      <x:c r="I2068" s="8" t="n">
        <x:f>0</x:f>
        <x:v>0</x:v>
      </x:c>
      <x:c r="J2068" s="8" t="n">
        <x:v>0</x:v>
      </x:c>
      <x:c r="K2068" s="8" t="n">
        <x:f>H2068-I2068*J2068</x:f>
        <x:v>4.717588723531948</x:v>
      </x:c>
      <x:c r="L2068" s="8" t="n">
        <x:f>'PG facts'!F76</x:f>
        <x:v>5</x:v>
      </x:c>
      <x:c r="M2068" s="8" t="n">
        <x:f>K2068-L2068</x:f>
        <x:v>-0.28241127646805175</x:v>
      </x:c>
      <x:c r="N2068" s="8" t="n">
        <x:f>M2068^2</x:f>
        <x:v>0.07975612907631437</x:v>
      </x:c>
      <x:c r="O2068" s="8" t="n">
        <x:f>ABS(M2068)</x:f>
        <x:v>0.28241127646805175</x:v>
      </x:c>
      <x:c r="P2068" s="7" t="n">
        <x:v>45217</x:v>
      </x:c>
    </x:row>
    <x:row r="2069" ht="26" customHeight="1">
      <x:c r="A2069" s="2"/>
      <x:c r="B2069" s="2" t="n">
        <x:v>2064</x:v>
      </x:c>
      <x:c r="C2069" s="2" t="str">
        <x:v>Beauty / organic_sales_growth</x:v>
      </x:c>
      <x:c r="D2069" s="7" t="n">
        <x:v>45199</x:v>
      </x:c>
      <x:c r="E2069" s="2" t="str">
        <x:v>Prior report</x:v>
      </x:c>
      <x:c r="F2069" s="7" t="n">
        <x:v>45135</x:v>
      </x:c>
      <x:c r="G2069" s="2" t="str">
        <x:v>Broad lag 1</x:v>
      </x:c>
      <x:c r="H2069" s="8" t="n">
        <x:f>'Model fits'!AA1339</x:f>
        <x:v>4.056752145497606</x:v>
      </x:c>
      <x:c r="I2069" s="8" t="n">
        <x:f>0</x:f>
        <x:v>0</x:v>
      </x:c>
      <x:c r="J2069" s="8" t="n">
        <x:v>0</x:v>
      </x:c>
      <x:c r="K2069" s="8" t="n">
        <x:f>H2069-I2069*J2069</x:f>
        <x:v>4.056752145497606</x:v>
      </x:c>
      <x:c r="L2069" s="8" t="n">
        <x:f>'PG facts'!F76</x:f>
        <x:v>5</x:v>
      </x:c>
      <x:c r="M2069" s="8" t="n">
        <x:f>K2069-L2069</x:f>
        <x:v>-0.9432478545023937</x:v>
      </x:c>
      <x:c r="N2069" s="8" t="n">
        <x:f>M2069^2</x:f>
        <x:v>0.8897165150233688</x:v>
      </x:c>
      <x:c r="O2069" s="8" t="n">
        <x:f>ABS(M2069)</x:f>
        <x:v>0.9432478545023937</x:v>
      </x:c>
      <x:c r="P2069" s="7" t="n">
        <x:v>45217</x:v>
      </x:c>
    </x:row>
    <x:row r="2070" ht="26" customHeight="1">
      <x:c r="A2070" s="2"/>
      <x:c r="B2070" s="2" t="n">
        <x:v>2065</x:v>
      </x:c>
      <x:c r="C2070" s="2" t="str">
        <x:v>Beauty / organic_sales_growth</x:v>
      </x:c>
      <x:c r="D2070" s="7" t="n">
        <x:v>45199</x:v>
      </x:c>
      <x:c r="E2070" s="2" t="str">
        <x:v>Prior report</x:v>
      </x:c>
      <x:c r="F2070" s="7" t="n">
        <x:v>45135</x:v>
      </x:c>
      <x:c r="G2070" s="2" t="str">
        <x:v>Broad rolling 8</x:v>
      </x:c>
      <x:c r="H2070" s="8" t="n">
        <x:f>'Model fits'!AA1340</x:f>
        <x:v>5.412016643678621</x:v>
      </x:c>
      <x:c r="I2070" s="8" t="n">
        <x:f>0</x:f>
        <x:v>0</x:v>
      </x:c>
      <x:c r="J2070" s="8" t="n">
        <x:v>0</x:v>
      </x:c>
      <x:c r="K2070" s="8" t="n">
        <x:f>H2070-I2070*J2070</x:f>
        <x:v>5.412016643678621</x:v>
      </x:c>
      <x:c r="L2070" s="8" t="n">
        <x:f>'PG facts'!F76</x:f>
        <x:v>5</x:v>
      </x:c>
      <x:c r="M2070" s="8" t="n">
        <x:f>K2070-L2070</x:f>
        <x:v>0.412016643678621</x:v>
      </x:c>
      <x:c r="N2070" s="8" t="n">
        <x:f>M2070^2</x:f>
        <x:v>0.16975771466819575</x:v>
      </x:c>
      <x:c r="O2070" s="8" t="n">
        <x:f>ABS(M2070)</x:f>
        <x:v>0.412016643678621</x:v>
      </x:c>
      <x:c r="P2070" s="7" t="n">
        <x:v>45217</x:v>
      </x:c>
    </x:row>
    <x:row r="2071" ht="26" customHeight="1">
      <x:c r="A2071" s="2"/>
      <x:c r="B2071" s="2" t="n">
        <x:v>2066</x:v>
      </x:c>
      <x:c r="C2071" s="2" t="str">
        <x:v>Beauty / organic_sales_growth</x:v>
      </x:c>
      <x:c r="D2071" s="7" t="n">
        <x:v>45199</x:v>
      </x:c>
      <x:c r="E2071" s="2" t="str">
        <x:v>Prior report</x:v>
      </x:c>
      <x:c r="F2071" s="7" t="n">
        <x:v>45135</x:v>
      </x:c>
      <x:c r="G2071" s="2" t="str">
        <x:v>Own history</x:v>
      </x:c>
      <x:c r="H2071" s="8" t="n">
        <x:f>'Model fits'!AA1341</x:f>
        <x:v>8.845794392523368</x:v>
      </x:c>
      <x:c r="I2071" s="8" t="n">
        <x:f>0</x:f>
        <x:v>0</x:v>
      </x:c>
      <x:c r="J2071" s="8" t="n">
        <x:v>0</x:v>
      </x:c>
      <x:c r="K2071" s="8" t="n">
        <x:f>H2071-I2071*J2071</x:f>
        <x:v>8.845794392523368</x:v>
      </x:c>
      <x:c r="L2071" s="8" t="n">
        <x:f>'PG facts'!F76</x:f>
        <x:v>5</x:v>
      </x:c>
      <x:c r="M2071" s="8" t="n">
        <x:f>K2071-L2071</x:f>
        <x:v>3.845794392523368</x:v>
      </x:c>
      <x:c r="N2071" s="8" t="n">
        <x:f>M2071^2</x:f>
        <x:v>14.790134509564183</x:v>
      </x:c>
      <x:c r="O2071" s="8" t="n">
        <x:f>ABS(M2071)</x:f>
        <x:v>3.845794392523368</x:v>
      </x:c>
      <x:c r="P2071" s="7" t="n">
        <x:v>45217</x:v>
      </x:c>
    </x:row>
    <x:row r="2072" ht="26" customHeight="1">
      <x:c r="A2072" s="2"/>
      <x:c r="B2072" s="2" t="n">
        <x:v>2067</x:v>
      </x:c>
      <x:c r="C2072" s="2" t="str">
        <x:v>Beauty / organic_sales_growth</x:v>
      </x:c>
      <x:c r="D2072" s="7" t="n">
        <x:v>45199</x:v>
      </x:c>
      <x:c r="E2072" s="2" t="str">
        <x:v>Pre-earnings</x:v>
      </x:c>
      <x:c r="F2072" s="7" t="n">
        <x:v>45216</x:v>
      </x:c>
      <x:c r="G2072" s="2" t="str">
        <x:v>Last actual</x:v>
      </x:c>
      <x:c r="H2072" s="8" t="n">
        <x:f>AVERAGE('PG facts'!F69)</x:f>
        <x:v>11</x:v>
      </x:c>
      <x:c r="I2072" s="8" t="n">
        <x:f>0</x:f>
        <x:v>0</x:v>
      </x:c>
      <x:c r="J2072" s="8" t="n">
        <x:v>0</x:v>
      </x:c>
      <x:c r="K2072" s="8" t="n">
        <x:f>H2072-I2072*J2072</x:f>
        <x:v>11</x:v>
      </x:c>
      <x:c r="L2072" s="8" t="n">
        <x:f>'PG facts'!F76</x:f>
        <x:v>5</x:v>
      </x:c>
      <x:c r="M2072" s="8" t="n">
        <x:f>K2072-L2072</x:f>
        <x:v>6</x:v>
      </x:c>
      <x:c r="N2072" s="8" t="n">
        <x:f>M2072^2</x:f>
        <x:v>36</x:v>
      </x:c>
      <x:c r="O2072" s="8" t="n">
        <x:f>ABS(M2072)</x:f>
        <x:v>6</x:v>
      </x:c>
      <x:c r="P2072" s="7" t="n">
        <x:v>45217</x:v>
      </x:c>
    </x:row>
    <x:row r="2073" ht="26" customHeight="1">
      <x:c r="A2073" s="2"/>
      <x:c r="B2073" s="2" t="n">
        <x:v>2068</x:v>
      </x:c>
      <x:c r="C2073" s="2" t="str">
        <x:v>Beauty / organic_sales_growth</x:v>
      </x:c>
      <x:c r="D2073" s="7" t="n">
        <x:v>45199</x:v>
      </x:c>
      <x:c r="E2073" s="2" t="str">
        <x:v>Pre-earnings</x:v>
      </x:c>
      <x:c r="F2073" s="7" t="n">
        <x:v>45216</x:v>
      </x:c>
      <x:c r="G2073" s="2" t="str">
        <x:v>Four-quarter mean</x:v>
      </x:c>
      <x:c r="H2073" s="8" t="n">
        <x:f>AVERAGE('PG facts'!F48,'PG facts'!F55,'PG facts'!F62,'PG facts'!F69)</x:f>
        <x:v>6.25</x:v>
      </x:c>
      <x:c r="I2073" s="8" t="n">
        <x:f>0</x:f>
        <x:v>0</x:v>
      </x:c>
      <x:c r="J2073" s="8" t="n">
        <x:v>0</x:v>
      </x:c>
      <x:c r="K2073" s="8" t="n">
        <x:f>H2073-I2073*J2073</x:f>
        <x:v>6.25</x:v>
      </x:c>
      <x:c r="L2073" s="8" t="n">
        <x:f>'PG facts'!F76</x:f>
        <x:v>5</x:v>
      </x:c>
      <x:c r="M2073" s="8" t="n">
        <x:f>K2073-L2073</x:f>
        <x:v>1.25</x:v>
      </x:c>
      <x:c r="N2073" s="8" t="n">
        <x:f>M2073^2</x:f>
        <x:v>1.5625</x:v>
      </x:c>
      <x:c r="O2073" s="8" t="n">
        <x:f>ABS(M2073)</x:f>
        <x:v>1.25</x:v>
      </x:c>
      <x:c r="P2073" s="7" t="n">
        <x:v>45217</x:v>
      </x:c>
    </x:row>
    <x:row r="2074" ht="26" customHeight="1">
      <x:c r="A2074" s="2"/>
      <x:c r="B2074" s="2" t="n">
        <x:v>2069</x:v>
      </x:c>
      <x:c r="C2074" s="2" t="str">
        <x:v>Beauty / organic_sales_growth</x:v>
      </x:c>
      <x:c r="D2074" s="7" t="n">
        <x:v>45199</x:v>
      </x:c>
      <x:c r="E2074" s="2" t="str">
        <x:v>Pre-earnings</x:v>
      </x:c>
      <x:c r="F2074" s="7" t="n">
        <x:v>45216</x:v>
      </x:c>
      <x:c r="G2074" s="2" t="str">
        <x:v>Broad market</x:v>
      </x:c>
      <x:c r="H2074" s="8" t="n">
        <x:f>'Model fits'!AA1342</x:f>
        <x:v>4.860913990359522</x:v>
      </x:c>
      <x:c r="I2074" s="8" t="n">
        <x:f>0</x:f>
        <x:v>0</x:v>
      </x:c>
      <x:c r="J2074" s="8" t="n">
        <x:v>0</x:v>
      </x:c>
      <x:c r="K2074" s="8" t="n">
        <x:f>H2074-I2074*J2074</x:f>
        <x:v>4.860913990359522</x:v>
      </x:c>
      <x:c r="L2074" s="8" t="n">
        <x:f>'PG facts'!F76</x:f>
        <x:v>5</x:v>
      </x:c>
      <x:c r="M2074" s="8" t="n">
        <x:f>K2074-L2074</x:f>
        <x:v>-0.13908600964047757</x:v>
      </x:c>
      <x:c r="N2074" s="8" t="n">
        <x:f>M2074^2</x:f>
        <x:v>0.01934491807771102</x:v>
      </x:c>
      <x:c r="O2074" s="8" t="n">
        <x:f>ABS(M2074)</x:f>
        <x:v>0.13908600964047757</x:v>
      </x:c>
      <x:c r="P2074" s="7" t="n">
        <x:v>45217</x:v>
      </x:c>
    </x:row>
    <x:row r="2075" ht="26" customHeight="1">
      <x:c r="A2075" s="2"/>
      <x:c r="B2075" s="2" t="n">
        <x:v>2070</x:v>
      </x:c>
      <x:c r="C2075" s="2" t="str">
        <x:v>Beauty / organic_sales_growth</x:v>
      </x:c>
      <x:c r="D2075" s="7" t="n">
        <x:v>45199</x:v>
      </x:c>
      <x:c r="E2075" s="2" t="str">
        <x:v>Pre-earnings</x:v>
      </x:c>
      <x:c r="F2075" s="7" t="n">
        <x:v>45216</x:v>
      </x:c>
      <x:c r="G2075" s="2" t="str">
        <x:v>Broad lag 1</x:v>
      </x:c>
      <x:c r="H2075" s="8" t="n">
        <x:f>'Model fits'!AA1343</x:f>
        <x:v>3.935808392169945</x:v>
      </x:c>
      <x:c r="I2075" s="8" t="n">
        <x:f>0</x:f>
        <x:v>0</x:v>
      </x:c>
      <x:c r="J2075" s="8" t="n">
        <x:v>0</x:v>
      </x:c>
      <x:c r="K2075" s="8" t="n">
        <x:f>H2075-I2075*J2075</x:f>
        <x:v>3.935808392169945</x:v>
      </x:c>
      <x:c r="L2075" s="8" t="n">
        <x:f>'PG facts'!F76</x:f>
        <x:v>5</x:v>
      </x:c>
      <x:c r="M2075" s="8" t="n">
        <x:f>K2075-L2075</x:f>
        <x:v>-1.0641916078300548</x:v>
      </x:c>
      <x:c r="N2075" s="8" t="n">
        <x:f>M2075^2</x:f>
        <x:v>1.1325037781759173</x:v>
      </x:c>
      <x:c r="O2075" s="8" t="n">
        <x:f>ABS(M2075)</x:f>
        <x:v>1.0641916078300548</x:v>
      </x:c>
      <x:c r="P2075" s="7" t="n">
        <x:v>45217</x:v>
      </x:c>
    </x:row>
    <x:row r="2076" ht="26" customHeight="1">
      <x:c r="A2076" s="2"/>
      <x:c r="B2076" s="2" t="n">
        <x:v>2071</x:v>
      </x:c>
      <x:c r="C2076" s="2" t="str">
        <x:v>Beauty / organic_sales_growth</x:v>
      </x:c>
      <x:c r="D2076" s="7" t="n">
        <x:v>45199</x:v>
      </x:c>
      <x:c r="E2076" s="2" t="str">
        <x:v>Pre-earnings</x:v>
      </x:c>
      <x:c r="F2076" s="7" t="n">
        <x:v>45216</x:v>
      </x:c>
      <x:c r="G2076" s="2" t="str">
        <x:v>Broad rolling 8</x:v>
      </x:c>
      <x:c r="H2076" s="8" t="n">
        <x:f>'Model fits'!AA1344</x:f>
        <x:v>5.888010838445409</x:v>
      </x:c>
      <x:c r="I2076" s="8" t="n">
        <x:f>0</x:f>
        <x:v>0</x:v>
      </x:c>
      <x:c r="J2076" s="8" t="n">
        <x:v>0</x:v>
      </x:c>
      <x:c r="K2076" s="8" t="n">
        <x:f>H2076-I2076*J2076</x:f>
        <x:v>5.888010838445409</x:v>
      </x:c>
      <x:c r="L2076" s="8" t="n">
        <x:f>'PG facts'!F76</x:f>
        <x:v>5</x:v>
      </x:c>
      <x:c r="M2076" s="8" t="n">
        <x:f>K2076-L2076</x:f>
        <x:v>0.8880108384454086</x:v>
      </x:c>
      <x:c r="N2076" s="8" t="n">
        <x:f>M2076^2</x:f>
        <x:v>0.7885632491965177</x:v>
      </x:c>
      <x:c r="O2076" s="8" t="n">
        <x:f>ABS(M2076)</x:f>
        <x:v>0.8880108384454086</x:v>
      </x:c>
      <x:c r="P2076" s="7" t="n">
        <x:v>45217</x:v>
      </x:c>
    </x:row>
    <x:row r="2077" ht="26" customHeight="1">
      <x:c r="A2077" s="2"/>
      <x:c r="B2077" s="2" t="n">
        <x:v>2072</x:v>
      </x:c>
      <x:c r="C2077" s="2" t="str">
        <x:v>Beauty / organic_sales_growth</x:v>
      </x:c>
      <x:c r="D2077" s="7" t="n">
        <x:v>45199</x:v>
      </x:c>
      <x:c r="E2077" s="2" t="str">
        <x:v>Pre-earnings</x:v>
      </x:c>
      <x:c r="F2077" s="7" t="n">
        <x:v>45216</x:v>
      </x:c>
      <x:c r="G2077" s="2" t="str">
        <x:v>Own history</x:v>
      </x:c>
      <x:c r="H2077" s="8" t="n">
        <x:f>'Model fits'!AA1345</x:f>
        <x:v>8.845794392523368</x:v>
      </x:c>
      <x:c r="I2077" s="8" t="n">
        <x:f>0</x:f>
        <x:v>0</x:v>
      </x:c>
      <x:c r="J2077" s="8" t="n">
        <x:v>0</x:v>
      </x:c>
      <x:c r="K2077" s="8" t="n">
        <x:f>H2077-I2077*J2077</x:f>
        <x:v>8.845794392523368</x:v>
      </x:c>
      <x:c r="L2077" s="8" t="n">
        <x:f>'PG facts'!F76</x:f>
        <x:v>5</x:v>
      </x:c>
      <x:c r="M2077" s="8" t="n">
        <x:f>K2077-L2077</x:f>
        <x:v>3.845794392523368</x:v>
      </x:c>
      <x:c r="N2077" s="8" t="n">
        <x:f>M2077^2</x:f>
        <x:v>14.790134509564183</x:v>
      </x:c>
      <x:c r="O2077" s="8" t="n">
        <x:f>ABS(M2077)</x:f>
        <x:v>3.845794392523368</x:v>
      </x:c>
      <x:c r="P2077" s="7" t="n">
        <x:v>45217</x:v>
      </x:c>
    </x:row>
    <x:row r="2078" ht="26" customHeight="1">
      <x:c r="A2078" s="2"/>
      <x:c r="B2078" s="2" t="n">
        <x:v>2073</x:v>
      </x:c>
      <x:c r="C2078" s="2" t="str">
        <x:v>Beauty / organic_sales_growth</x:v>
      </x:c>
      <x:c r="D2078" s="7" t="n">
        <x:v>45291</x:v>
      </x:c>
      <x:c r="E2078" s="2" t="str">
        <x:v>Origin</x:v>
      </x:c>
      <x:c r="F2078" s="7" t="n">
        <x:v>45200</x:v>
      </x:c>
      <x:c r="G2078" s="2" t="str">
        <x:v>Last actual</x:v>
      </x:c>
      <x:c r="H2078" s="8" t="n">
        <x:f>AVERAGE('PG facts'!F69)</x:f>
        <x:v>11</x:v>
      </x:c>
      <x:c r="I2078" s="8" t="n">
        <x:f>0</x:f>
        <x:v>0</x:v>
      </x:c>
      <x:c r="J2078" s="8" t="n">
        <x:v>0</x:v>
      </x:c>
      <x:c r="K2078" s="8" t="n">
        <x:f>H2078-I2078*J2078</x:f>
        <x:v>11</x:v>
      </x:c>
      <x:c r="L2078" s="8" t="n">
        <x:f>'PG facts'!F83</x:f>
        <x:v>1</x:v>
      </x:c>
      <x:c r="M2078" s="8" t="n">
        <x:f>K2078-L2078</x:f>
        <x:v>10</x:v>
      </x:c>
      <x:c r="N2078" s="8" t="n">
        <x:f>M2078^2</x:f>
        <x:v>100</x:v>
      </x:c>
      <x:c r="O2078" s="8" t="n">
        <x:f>ABS(M2078)</x:f>
        <x:v>10</x:v>
      </x:c>
      <x:c r="P2078" s="7" t="n">
        <x:v>45314</x:v>
      </x:c>
    </x:row>
    <x:row r="2079" ht="26" customHeight="1">
      <x:c r="A2079" s="2"/>
      <x:c r="B2079" s="2" t="n">
        <x:v>2074</x:v>
      </x:c>
      <x:c r="C2079" s="2" t="str">
        <x:v>Beauty / organic_sales_growth</x:v>
      </x:c>
      <x:c r="D2079" s="7" t="n">
        <x:v>45291</x:v>
      </x:c>
      <x:c r="E2079" s="2" t="str">
        <x:v>Origin</x:v>
      </x:c>
      <x:c r="F2079" s="7" t="n">
        <x:v>45200</x:v>
      </x:c>
      <x:c r="G2079" s="2" t="str">
        <x:v>Four-quarter mean</x:v>
      </x:c>
      <x:c r="H2079" s="8" t="n">
        <x:f>AVERAGE('PG facts'!F48,'PG facts'!F55,'PG facts'!F62,'PG facts'!F69)</x:f>
        <x:v>6.25</x:v>
      </x:c>
      <x:c r="I2079" s="8" t="n">
        <x:f>0</x:f>
        <x:v>0</x:v>
      </x:c>
      <x:c r="J2079" s="8" t="n">
        <x:v>0</x:v>
      </x:c>
      <x:c r="K2079" s="8" t="n">
        <x:f>H2079-I2079*J2079</x:f>
        <x:v>6.25</x:v>
      </x:c>
      <x:c r="L2079" s="8" t="n">
        <x:f>'PG facts'!F83</x:f>
        <x:v>1</x:v>
      </x:c>
      <x:c r="M2079" s="8" t="n">
        <x:f>K2079-L2079</x:f>
        <x:v>5.25</x:v>
      </x:c>
      <x:c r="N2079" s="8" t="n">
        <x:f>M2079^2</x:f>
        <x:v>27.5625</x:v>
      </x:c>
      <x:c r="O2079" s="8" t="n">
        <x:f>ABS(M2079)</x:f>
        <x:v>5.25</x:v>
      </x:c>
      <x:c r="P2079" s="7" t="n">
        <x:v>45314</x:v>
      </x:c>
    </x:row>
    <x:row r="2080" ht="26" customHeight="1">
      <x:c r="A2080" s="2"/>
      <x:c r="B2080" s="2" t="n">
        <x:v>2075</x:v>
      </x:c>
      <x:c r="C2080" s="2" t="str">
        <x:v>Beauty / organic_sales_growth</x:v>
      </x:c>
      <x:c r="D2080" s="7" t="n">
        <x:v>45291</x:v>
      </x:c>
      <x:c r="E2080" s="2" t="str">
        <x:v>Origin</x:v>
      </x:c>
      <x:c r="F2080" s="7" t="n">
        <x:v>45200</x:v>
      </x:c>
      <x:c r="G2080" s="2" t="str">
        <x:v>Broad market</x:v>
      </x:c>
      <x:c r="H2080" s="8" t="n">
        <x:f>'Model fits'!AA1346</x:f>
        <x:v>4.768975935426245</x:v>
      </x:c>
      <x:c r="I2080" s="8" t="n">
        <x:f>0</x:f>
        <x:v>0</x:v>
      </x:c>
      <x:c r="J2080" s="8" t="n">
        <x:v>0</x:v>
      </x:c>
      <x:c r="K2080" s="8" t="n">
        <x:f>H2080-I2080*J2080</x:f>
        <x:v>4.768975935426245</x:v>
      </x:c>
      <x:c r="L2080" s="8" t="n">
        <x:f>'PG facts'!F83</x:f>
        <x:v>1</x:v>
      </x:c>
      <x:c r="M2080" s="8" t="n">
        <x:f>K2080-L2080</x:f>
        <x:v>3.768975935426245</x:v>
      </x:c>
      <x:c r="N2080" s="8" t="n">
        <x:f>M2080^2</x:f>
        <x:v>14.20517960182214</x:v>
      </x:c>
      <x:c r="O2080" s="8" t="n">
        <x:f>ABS(M2080)</x:f>
        <x:v>3.768975935426245</x:v>
      </x:c>
      <x:c r="P2080" s="7" t="n">
        <x:v>45314</x:v>
      </x:c>
    </x:row>
    <x:row r="2081" ht="26" customHeight="1">
      <x:c r="A2081" s="2"/>
      <x:c r="B2081" s="2" t="n">
        <x:v>2076</x:v>
      </x:c>
      <x:c r="C2081" s="2" t="str">
        <x:v>Beauty / organic_sales_growth</x:v>
      </x:c>
      <x:c r="D2081" s="7" t="n">
        <x:v>45291</x:v>
      </x:c>
      <x:c r="E2081" s="2" t="str">
        <x:v>Origin</x:v>
      </x:c>
      <x:c r="F2081" s="7" t="n">
        <x:v>45200</x:v>
      </x:c>
      <x:c r="G2081" s="2" t="str">
        <x:v>Broad rolling 8</x:v>
      </x:c>
      <x:c r="H2081" s="8" t="n">
        <x:f>'Model fits'!AA1347</x:f>
        <x:v>5.613456261944662</x:v>
      </x:c>
      <x:c r="I2081" s="8" t="n">
        <x:f>0</x:f>
        <x:v>0</x:v>
      </x:c>
      <x:c r="J2081" s="8" t="n">
        <x:v>0</x:v>
      </x:c>
      <x:c r="K2081" s="8" t="n">
        <x:f>H2081-I2081*J2081</x:f>
        <x:v>5.613456261944662</x:v>
      </x:c>
      <x:c r="L2081" s="8" t="n">
        <x:f>'PG facts'!F83</x:f>
        <x:v>1</x:v>
      </x:c>
      <x:c r="M2081" s="8" t="n">
        <x:f>K2081-L2081</x:f>
        <x:v>4.613456261944662</x:v>
      </x:c>
      <x:c r="N2081" s="8" t="n">
        <x:f>M2081^2</x:f>
        <x:v>21.283978680876412</x:v>
      </x:c>
      <x:c r="O2081" s="8" t="n">
        <x:f>ABS(M2081)</x:f>
        <x:v>4.613456261944662</x:v>
      </x:c>
      <x:c r="P2081" s="7" t="n">
        <x:v>45314</x:v>
      </x:c>
    </x:row>
    <x:row r="2082" ht="26" customHeight="1">
      <x:c r="A2082" s="2"/>
      <x:c r="B2082" s="2" t="n">
        <x:v>2077</x:v>
      </x:c>
      <x:c r="C2082" s="2" t="str">
        <x:v>Beauty / organic_sales_growth</x:v>
      </x:c>
      <x:c r="D2082" s="7" t="n">
        <x:v>45291</x:v>
      </x:c>
      <x:c r="E2082" s="2" t="str">
        <x:v>Origin</x:v>
      </x:c>
      <x:c r="F2082" s="7" t="n">
        <x:v>45200</x:v>
      </x:c>
      <x:c r="G2082" s="2" t="str">
        <x:v>Own history</x:v>
      </x:c>
      <x:c r="H2082" s="8" t="n">
        <x:f>'Model fits'!AA1348</x:f>
        <x:v>3.362369337979094</x:v>
      </x:c>
      <x:c r="I2082" s="8" t="n">
        <x:f>0</x:f>
        <x:v>0</x:v>
      </x:c>
      <x:c r="J2082" s="8" t="n">
        <x:v>0</x:v>
      </x:c>
      <x:c r="K2082" s="8" t="n">
        <x:f>H2082-I2082*J2082</x:f>
        <x:v>3.362369337979094</x:v>
      </x:c>
      <x:c r="L2082" s="8" t="n">
        <x:f>'PG facts'!F83</x:f>
        <x:v>1</x:v>
      </x:c>
      <x:c r="M2082" s="8" t="n">
        <x:f>K2082-L2082</x:f>
        <x:v>2.362369337979094</x:v>
      </x:c>
      <x:c r="N2082" s="8" t="n">
        <x:f>M2082^2</x:f>
        <x:v>5.580788889023784</x:v>
      </x:c>
      <x:c r="O2082" s="8" t="n">
        <x:f>ABS(M2082)</x:f>
        <x:v>2.362369337979094</x:v>
      </x:c>
      <x:c r="P2082" s="7" t="n">
        <x:v>45314</x:v>
      </x:c>
    </x:row>
    <x:row r="2083" ht="26" customHeight="1">
      <x:c r="A2083" s="2"/>
      <x:c r="B2083" s="2" t="n">
        <x:v>2078</x:v>
      </x:c>
      <x:c r="C2083" s="2" t="str">
        <x:v>Beauty / organic_sales_growth</x:v>
      </x:c>
      <x:c r="D2083" s="7" t="n">
        <x:v>45291</x:v>
      </x:c>
      <x:c r="E2083" s="2" t="str">
        <x:v>Prior report</x:v>
      </x:c>
      <x:c r="F2083" s="7" t="n">
        <x:v>45217</x:v>
      </x:c>
      <x:c r="G2083" s="2" t="str">
        <x:v>Last actual</x:v>
      </x:c>
      <x:c r="H2083" s="8" t="n">
        <x:f>AVERAGE('PG facts'!F76)</x:f>
        <x:v>5</x:v>
      </x:c>
      <x:c r="I2083" s="8" t="n">
        <x:f>0</x:f>
        <x:v>0</x:v>
      </x:c>
      <x:c r="J2083" s="8" t="n">
        <x:v>0</x:v>
      </x:c>
      <x:c r="K2083" s="8" t="n">
        <x:f>H2083-I2083*J2083</x:f>
        <x:v>5</x:v>
      </x:c>
      <x:c r="L2083" s="8" t="n">
        <x:f>'PG facts'!F83</x:f>
        <x:v>1</x:v>
      </x:c>
      <x:c r="M2083" s="8" t="n">
        <x:f>K2083-L2083</x:f>
        <x:v>4</x:v>
      </x:c>
      <x:c r="N2083" s="8" t="n">
        <x:f>M2083^2</x:f>
        <x:v>16</x:v>
      </x:c>
      <x:c r="O2083" s="8" t="n">
        <x:f>ABS(M2083)</x:f>
        <x:v>4</x:v>
      </x:c>
      <x:c r="P2083" s="7" t="n">
        <x:v>45314</x:v>
      </x:c>
    </x:row>
    <x:row r="2084" ht="26" customHeight="1">
      <x:c r="A2084" s="2"/>
      <x:c r="B2084" s="2" t="n">
        <x:v>2079</x:v>
      </x:c>
      <x:c r="C2084" s="2" t="str">
        <x:v>Beauty / organic_sales_growth</x:v>
      </x:c>
      <x:c r="D2084" s="7" t="n">
        <x:v>45291</x:v>
      </x:c>
      <x:c r="E2084" s="2" t="str">
        <x:v>Prior report</x:v>
      </x:c>
      <x:c r="F2084" s="7" t="n">
        <x:v>45217</x:v>
      </x:c>
      <x:c r="G2084" s="2" t="str">
        <x:v>Four-quarter mean</x:v>
      </x:c>
      <x:c r="H2084" s="8" t="n">
        <x:f>AVERAGE('PG facts'!F55,'PG facts'!F62,'PG facts'!F69,'PG facts'!F76)</x:f>
        <x:v>6.5</x:v>
      </x:c>
      <x:c r="I2084" s="8" t="n">
        <x:f>0</x:f>
        <x:v>0</x:v>
      </x:c>
      <x:c r="J2084" s="8" t="n">
        <x:v>0</x:v>
      </x:c>
      <x:c r="K2084" s="8" t="n">
        <x:f>H2084-I2084*J2084</x:f>
        <x:v>6.5</x:v>
      </x:c>
      <x:c r="L2084" s="8" t="n">
        <x:f>'PG facts'!F83</x:f>
        <x:v>1</x:v>
      </x:c>
      <x:c r="M2084" s="8" t="n">
        <x:f>K2084-L2084</x:f>
        <x:v>5.5</x:v>
      </x:c>
      <x:c r="N2084" s="8" t="n">
        <x:f>M2084^2</x:f>
        <x:v>30.25</x:v>
      </x:c>
      <x:c r="O2084" s="8" t="n">
        <x:f>ABS(M2084)</x:f>
        <x:v>5.5</x:v>
      </x:c>
      <x:c r="P2084" s="7" t="n">
        <x:v>45314</x:v>
      </x:c>
    </x:row>
    <x:row r="2085" ht="26" customHeight="1">
      <x:c r="A2085" s="2"/>
      <x:c r="B2085" s="2" t="n">
        <x:v>2080</x:v>
      </x:c>
      <x:c r="C2085" s="2" t="str">
        <x:v>Beauty / organic_sales_growth</x:v>
      </x:c>
      <x:c r="D2085" s="7" t="n">
        <x:v>45291</x:v>
      </x:c>
      <x:c r="E2085" s="2" t="str">
        <x:v>Prior report</x:v>
      </x:c>
      <x:c r="F2085" s="7" t="n">
        <x:v>45217</x:v>
      </x:c>
      <x:c r="G2085" s="2" t="str">
        <x:v>Broad market</x:v>
      </x:c>
      <x:c r="H2085" s="8" t="n">
        <x:f>'Model fits'!AA1349</x:f>
        <x:v>4.87460271310613</x:v>
      </x:c>
      <x:c r="I2085" s="8" t="n">
        <x:f>0</x:f>
        <x:v>0</x:v>
      </x:c>
      <x:c r="J2085" s="8" t="n">
        <x:v>0</x:v>
      </x:c>
      <x:c r="K2085" s="8" t="n">
        <x:f>H2085-I2085*J2085</x:f>
        <x:v>4.87460271310613</x:v>
      </x:c>
      <x:c r="L2085" s="8" t="n">
        <x:f>'PG facts'!F83</x:f>
        <x:v>1</x:v>
      </x:c>
      <x:c r="M2085" s="8" t="n">
        <x:f>K2085-L2085</x:f>
        <x:v>3.87460271310613</x:v>
      </x:c>
      <x:c r="N2085" s="8" t="n">
        <x:f>M2085^2</x:f>
        <x:v>15.012546184409384</x:v>
      </x:c>
      <x:c r="O2085" s="8" t="n">
        <x:f>ABS(M2085)</x:f>
        <x:v>3.87460271310613</x:v>
      </x:c>
      <x:c r="P2085" s="7" t="n">
        <x:v>45314</x:v>
      </x:c>
    </x:row>
    <x:row r="2086" ht="26" customHeight="1">
      <x:c r="A2086" s="2"/>
      <x:c r="B2086" s="2" t="n">
        <x:v>2081</x:v>
      </x:c>
      <x:c r="C2086" s="2" t="str">
        <x:v>Beauty / organic_sales_growth</x:v>
      </x:c>
      <x:c r="D2086" s="7" t="n">
        <x:v>45291</x:v>
      </x:c>
      <x:c r="E2086" s="2" t="str">
        <x:v>Prior report</x:v>
      </x:c>
      <x:c r="F2086" s="7" t="n">
        <x:v>45217</x:v>
      </x:c>
      <x:c r="G2086" s="2" t="str">
        <x:v>Broad lag 1</x:v>
      </x:c>
      <x:c r="H2086" s="8" t="n">
        <x:f>'Model fits'!AA1350</x:f>
        <x:v>4.0942089196339495</x:v>
      </x:c>
      <x:c r="I2086" s="8" t="n">
        <x:f>0</x:f>
        <x:v>0</x:v>
      </x:c>
      <x:c r="J2086" s="8" t="n">
        <x:v>0</x:v>
      </x:c>
      <x:c r="K2086" s="8" t="n">
        <x:f>H2086-I2086*J2086</x:f>
        <x:v>4.0942089196339495</x:v>
      </x:c>
      <x:c r="L2086" s="8" t="n">
        <x:f>'PG facts'!F83</x:f>
        <x:v>1</x:v>
      </x:c>
      <x:c r="M2086" s="8" t="n">
        <x:f>K2086-L2086</x:f>
        <x:v>3.0942089196339495</x:v>
      </x:c>
      <x:c r="N2086" s="8" t="n">
        <x:f>M2086^2</x:f>
        <x:v>9.574128838342293</x:v>
      </x:c>
      <x:c r="O2086" s="8" t="n">
        <x:f>ABS(M2086)</x:f>
        <x:v>3.0942089196339495</x:v>
      </x:c>
      <x:c r="P2086" s="7" t="n">
        <x:v>45314</x:v>
      </x:c>
    </x:row>
    <x:row r="2087" ht="26" customHeight="1">
      <x:c r="A2087" s="2"/>
      <x:c r="B2087" s="2" t="n">
        <x:v>2082</x:v>
      </x:c>
      <x:c r="C2087" s="2" t="str">
        <x:v>Beauty / organic_sales_growth</x:v>
      </x:c>
      <x:c r="D2087" s="7" t="n">
        <x:v>45291</x:v>
      </x:c>
      <x:c r="E2087" s="2" t="str">
        <x:v>Prior report</x:v>
      </x:c>
      <x:c r="F2087" s="7" t="n">
        <x:v>45217</x:v>
      </x:c>
      <x:c r="G2087" s="2" t="str">
        <x:v>Broad rolling 8</x:v>
      </x:c>
      <x:c r="H2087" s="8" t="n">
        <x:f>'Model fits'!AA1351</x:f>
        <x:v>6.400658402045884</x:v>
      </x:c>
      <x:c r="I2087" s="8" t="n">
        <x:f>0</x:f>
        <x:v>0</x:v>
      </x:c>
      <x:c r="J2087" s="8" t="n">
        <x:v>0</x:v>
      </x:c>
      <x:c r="K2087" s="8" t="n">
        <x:f>H2087-I2087*J2087</x:f>
        <x:v>6.400658402045884</x:v>
      </x:c>
      <x:c r="L2087" s="8" t="n">
        <x:f>'PG facts'!F83</x:f>
        <x:v>1</x:v>
      </x:c>
      <x:c r="M2087" s="8" t="n">
        <x:f>K2087-L2087</x:f>
        <x:v>5.400658402045884</x:v>
      </x:c>
      <x:c r="N2087" s="8" t="n">
        <x:f>M2087^2</x:f>
        <x:v>29.167111175588797</x:v>
      </x:c>
      <x:c r="O2087" s="8" t="n">
        <x:f>ABS(M2087)</x:f>
        <x:v>5.400658402045884</x:v>
      </x:c>
      <x:c r="P2087" s="7" t="n">
        <x:v>45314</x:v>
      </x:c>
    </x:row>
    <x:row r="2088" ht="26" customHeight="1">
      <x:c r="A2088" s="2"/>
      <x:c r="B2088" s="2" t="n">
        <x:v>2083</x:v>
      </x:c>
      <x:c r="C2088" s="2" t="str">
        <x:v>Beauty / organic_sales_growth</x:v>
      </x:c>
      <x:c r="D2088" s="7" t="n">
        <x:v>45291</x:v>
      </x:c>
      <x:c r="E2088" s="2" t="str">
        <x:v>Prior report</x:v>
      </x:c>
      <x:c r="F2088" s="7" t="n">
        <x:v>45217</x:v>
      </x:c>
      <x:c r="G2088" s="2" t="str">
        <x:v>Own history</x:v>
      </x:c>
      <x:c r="H2088" s="8" t="n">
        <x:f>'Model fits'!AA1352</x:f>
        <x:v>4.487830687830687</x:v>
      </x:c>
      <x:c r="I2088" s="8" t="n">
        <x:f>0</x:f>
        <x:v>0</x:v>
      </x:c>
      <x:c r="J2088" s="8" t="n">
        <x:v>0</x:v>
      </x:c>
      <x:c r="K2088" s="8" t="n">
        <x:f>H2088-I2088*J2088</x:f>
        <x:v>4.487830687830687</x:v>
      </x:c>
      <x:c r="L2088" s="8" t="n">
        <x:f>'PG facts'!F83</x:f>
        <x:v>1</x:v>
      </x:c>
      <x:c r="M2088" s="8" t="n">
        <x:f>K2088-L2088</x:f>
        <x:v>3.4878306878306873</x:v>
      </x:c>
      <x:c r="N2088" s="8" t="n">
        <x:f>M2088^2</x:f>
        <x:v>12.164962906973486</x:v>
      </x:c>
      <x:c r="O2088" s="8" t="n">
        <x:f>ABS(M2088)</x:f>
        <x:v>3.4878306878306873</x:v>
      </x:c>
      <x:c r="P2088" s="7" t="n">
        <x:v>45314</x:v>
      </x:c>
    </x:row>
    <x:row r="2089" ht="26" customHeight="1">
      <x:c r="A2089" s="2"/>
      <x:c r="B2089" s="2" t="n">
        <x:v>2084</x:v>
      </x:c>
      <x:c r="C2089" s="2" t="str">
        <x:v>Beauty / organic_sales_growth</x:v>
      </x:c>
      <x:c r="D2089" s="7" t="n">
        <x:v>45291</x:v>
      </x:c>
      <x:c r="E2089" s="2" t="str">
        <x:v>Pre-earnings</x:v>
      </x:c>
      <x:c r="F2089" s="7" t="n">
        <x:v>45313</x:v>
      </x:c>
      <x:c r="G2089" s="2" t="str">
        <x:v>Last actual</x:v>
      </x:c>
      <x:c r="H2089" s="8" t="n">
        <x:f>AVERAGE('PG facts'!F76)</x:f>
        <x:v>5</x:v>
      </x:c>
      <x:c r="I2089" s="8" t="n">
        <x:f>0</x:f>
        <x:v>0</x:v>
      </x:c>
      <x:c r="J2089" s="8" t="n">
        <x:v>0</x:v>
      </x:c>
      <x:c r="K2089" s="8" t="n">
        <x:f>H2089-I2089*J2089</x:f>
        <x:v>5</x:v>
      </x:c>
      <x:c r="L2089" s="8" t="n">
        <x:f>'PG facts'!F83</x:f>
        <x:v>1</x:v>
      </x:c>
      <x:c r="M2089" s="8" t="n">
        <x:f>K2089-L2089</x:f>
        <x:v>4</x:v>
      </x:c>
      <x:c r="N2089" s="8" t="n">
        <x:f>M2089^2</x:f>
        <x:v>16</x:v>
      </x:c>
      <x:c r="O2089" s="8" t="n">
        <x:f>ABS(M2089)</x:f>
        <x:v>4</x:v>
      </x:c>
      <x:c r="P2089" s="7" t="n">
        <x:v>45314</x:v>
      </x:c>
    </x:row>
    <x:row r="2090" ht="26" customHeight="1">
      <x:c r="A2090" s="2"/>
      <x:c r="B2090" s="2" t="n">
        <x:v>2085</x:v>
      </x:c>
      <x:c r="C2090" s="2" t="str">
        <x:v>Beauty / organic_sales_growth</x:v>
      </x:c>
      <x:c r="D2090" s="7" t="n">
        <x:v>45291</x:v>
      </x:c>
      <x:c r="E2090" s="2" t="str">
        <x:v>Pre-earnings</x:v>
      </x:c>
      <x:c r="F2090" s="7" t="n">
        <x:v>45313</x:v>
      </x:c>
      <x:c r="G2090" s="2" t="str">
        <x:v>Four-quarter mean</x:v>
      </x:c>
      <x:c r="H2090" s="8" t="n">
        <x:f>AVERAGE('PG facts'!F55,'PG facts'!F62,'PG facts'!F69,'PG facts'!F76)</x:f>
        <x:v>6.5</x:v>
      </x:c>
      <x:c r="I2090" s="8" t="n">
        <x:f>0</x:f>
        <x:v>0</x:v>
      </x:c>
      <x:c r="J2090" s="8" t="n">
        <x:v>0</x:v>
      </x:c>
      <x:c r="K2090" s="8" t="n">
        <x:f>H2090-I2090*J2090</x:f>
        <x:v>6.5</x:v>
      </x:c>
      <x:c r="L2090" s="8" t="n">
        <x:f>'PG facts'!F83</x:f>
        <x:v>1</x:v>
      </x:c>
      <x:c r="M2090" s="8" t="n">
        <x:f>K2090-L2090</x:f>
        <x:v>5.5</x:v>
      </x:c>
      <x:c r="N2090" s="8" t="n">
        <x:f>M2090^2</x:f>
        <x:v>30.25</x:v>
      </x:c>
      <x:c r="O2090" s="8" t="n">
        <x:f>ABS(M2090)</x:f>
        <x:v>5.5</x:v>
      </x:c>
      <x:c r="P2090" s="7" t="n">
        <x:v>45314</x:v>
      </x:c>
    </x:row>
    <x:row r="2091" ht="26" customHeight="1">
      <x:c r="A2091" s="2"/>
      <x:c r="B2091" s="2" t="n">
        <x:v>2086</x:v>
      </x:c>
      <x:c r="C2091" s="2" t="str">
        <x:v>Beauty / organic_sales_growth</x:v>
      </x:c>
      <x:c r="D2091" s="7" t="n">
        <x:v>45291</x:v>
      </x:c>
      <x:c r="E2091" s="2" t="str">
        <x:v>Pre-earnings</x:v>
      </x:c>
      <x:c r="F2091" s="7" t="n">
        <x:v>45313</x:v>
      </x:c>
      <x:c r="G2091" s="2" t="str">
        <x:v>Broad market</x:v>
      </x:c>
      <x:c r="H2091" s="8" t="n">
        <x:f>'Model fits'!AA1353</x:f>
        <x:v>5.386995939613458</x:v>
      </x:c>
      <x:c r="I2091" s="8" t="n">
        <x:f>0</x:f>
        <x:v>0</x:v>
      </x:c>
      <x:c r="J2091" s="8" t="n">
        <x:v>0</x:v>
      </x:c>
      <x:c r="K2091" s="8" t="n">
        <x:f>H2091-I2091*J2091</x:f>
        <x:v>5.386995939613458</x:v>
      </x:c>
      <x:c r="L2091" s="8" t="n">
        <x:f>'PG facts'!F83</x:f>
        <x:v>1</x:v>
      </x:c>
      <x:c r="M2091" s="8" t="n">
        <x:f>K2091-L2091</x:f>
        <x:v>4.386995939613458</x:v>
      </x:c>
      <x:c r="N2091" s="8" t="n">
        <x:f>M2091^2</x:f>
        <x:v>19.245733374184965</x:v>
      </x:c>
      <x:c r="O2091" s="8" t="n">
        <x:f>ABS(M2091)</x:f>
        <x:v>4.386995939613458</x:v>
      </x:c>
      <x:c r="P2091" s="7" t="n">
        <x:v>45314</x:v>
      </x:c>
    </x:row>
    <x:row r="2092" ht="26" customHeight="1">
      <x:c r="A2092" s="2"/>
      <x:c r="B2092" s="2" t="n">
        <x:v>2087</x:v>
      </x:c>
      <x:c r="C2092" s="2" t="str">
        <x:v>Beauty / organic_sales_growth</x:v>
      </x:c>
      <x:c r="D2092" s="7" t="n">
        <x:v>45291</x:v>
      </x:c>
      <x:c r="E2092" s="2" t="str">
        <x:v>Pre-earnings</x:v>
      </x:c>
      <x:c r="F2092" s="7" t="n">
        <x:v>45313</x:v>
      </x:c>
      <x:c r="G2092" s="2" t="str">
        <x:v>Broad lag 1</x:v>
      </x:c>
      <x:c r="H2092" s="8" t="n">
        <x:f>'Model fits'!AA1354</x:f>
        <x:v>4.0628512829215815</x:v>
      </x:c>
      <x:c r="I2092" s="8" t="n">
        <x:f>0</x:f>
        <x:v>0</x:v>
      </x:c>
      <x:c r="J2092" s="8" t="n">
        <x:v>0</x:v>
      </x:c>
      <x:c r="K2092" s="8" t="n">
        <x:f>H2092-I2092*J2092</x:f>
        <x:v>4.0628512829215815</x:v>
      </x:c>
      <x:c r="L2092" s="8" t="n">
        <x:f>'PG facts'!F83</x:f>
        <x:v>1</x:v>
      </x:c>
      <x:c r="M2092" s="8" t="n">
        <x:f>K2092-L2092</x:f>
        <x:v>3.0628512829215815</x:v>
      </x:c>
      <x:c r="N2092" s="8" t="n">
        <x:f>M2092^2</x:f>
        <x:v>9.381057981294378</x:v>
      </x:c>
      <x:c r="O2092" s="8" t="n">
        <x:f>ABS(M2092)</x:f>
        <x:v>3.0628512829215815</x:v>
      </x:c>
      <x:c r="P2092" s="7" t="n">
        <x:v>45314</x:v>
      </x:c>
    </x:row>
    <x:row r="2093" ht="26" customHeight="1">
      <x:c r="A2093" s="2"/>
      <x:c r="B2093" s="2" t="n">
        <x:v>2088</x:v>
      </x:c>
      <x:c r="C2093" s="2" t="str">
        <x:v>Beauty / organic_sales_growth</x:v>
      </x:c>
      <x:c r="D2093" s="7" t="n">
        <x:v>45291</x:v>
      </x:c>
      <x:c r="E2093" s="2" t="str">
        <x:v>Pre-earnings</x:v>
      </x:c>
      <x:c r="F2093" s="7" t="n">
        <x:v>45313</x:v>
      </x:c>
      <x:c r="G2093" s="2" t="str">
        <x:v>Broad rolling 8</x:v>
      </x:c>
      <x:c r="H2093" s="8" t="n">
        <x:f>'Model fits'!AA1355</x:f>
        <x:v>8.094437775599417</x:v>
      </x:c>
      <x:c r="I2093" s="8" t="n">
        <x:f>0</x:f>
        <x:v>0</x:v>
      </x:c>
      <x:c r="J2093" s="8" t="n">
        <x:v>0</x:v>
      </x:c>
      <x:c r="K2093" s="8" t="n">
        <x:f>H2093-I2093*J2093</x:f>
        <x:v>8.094437775599417</x:v>
      </x:c>
      <x:c r="L2093" s="8" t="n">
        <x:f>'PG facts'!F83</x:f>
        <x:v>1</x:v>
      </x:c>
      <x:c r="M2093" s="8" t="n">
        <x:f>K2093-L2093</x:f>
        <x:v>7.094437775599417</x:v>
      </x:c>
      <x:c r="N2093" s="8" t="n">
        <x:f>M2093^2</x:f>
        <x:v>50.331047351852</x:v>
      </x:c>
      <x:c r="O2093" s="8" t="n">
        <x:f>ABS(M2093)</x:f>
        <x:v>7.094437775599417</x:v>
      </x:c>
      <x:c r="P2093" s="7" t="n">
        <x:v>45314</x:v>
      </x:c>
    </x:row>
    <x:row r="2094" ht="26" customHeight="1">
      <x:c r="A2094" s="2"/>
      <x:c r="B2094" s="2" t="n">
        <x:v>2089</x:v>
      </x:c>
      <x:c r="C2094" s="2" t="str">
        <x:v>Beauty / organic_sales_growth</x:v>
      </x:c>
      <x:c r="D2094" s="7" t="n">
        <x:v>45291</x:v>
      </x:c>
      <x:c r="E2094" s="2" t="str">
        <x:v>Pre-earnings</x:v>
      </x:c>
      <x:c r="F2094" s="7" t="n">
        <x:v>45313</x:v>
      </x:c>
      <x:c r="G2094" s="2" t="str">
        <x:v>Own history</x:v>
      </x:c>
      <x:c r="H2094" s="8" t="n">
        <x:f>'Model fits'!AA1356</x:f>
        <x:v>4.487830687830687</x:v>
      </x:c>
      <x:c r="I2094" s="8" t="n">
        <x:f>0</x:f>
        <x:v>0</x:v>
      </x:c>
      <x:c r="J2094" s="8" t="n">
        <x:v>0</x:v>
      </x:c>
      <x:c r="K2094" s="8" t="n">
        <x:f>H2094-I2094*J2094</x:f>
        <x:v>4.487830687830687</x:v>
      </x:c>
      <x:c r="L2094" s="8" t="n">
        <x:f>'PG facts'!F83</x:f>
        <x:v>1</x:v>
      </x:c>
      <x:c r="M2094" s="8" t="n">
        <x:f>K2094-L2094</x:f>
        <x:v>3.4878306878306873</x:v>
      </x:c>
      <x:c r="N2094" s="8" t="n">
        <x:f>M2094^2</x:f>
        <x:v>12.164962906973486</x:v>
      </x:c>
      <x:c r="O2094" s="8" t="n">
        <x:f>ABS(M2094)</x:f>
        <x:v>3.4878306878306873</x:v>
      </x:c>
      <x:c r="P2094" s="7" t="n">
        <x:v>45314</x:v>
      </x:c>
    </x:row>
    <x:row r="2095" ht="26" customHeight="1">
      <x:c r="A2095" s="2"/>
      <x:c r="B2095" s="2" t="n">
        <x:v>2090</x:v>
      </x:c>
      <x:c r="C2095" s="2" t="str">
        <x:v>Beauty / organic_sales_growth</x:v>
      </x:c>
      <x:c r="D2095" s="7" t="n">
        <x:v>45382</x:v>
      </x:c>
      <x:c r="E2095" s="2" t="str">
        <x:v>Origin</x:v>
      </x:c>
      <x:c r="F2095" s="7" t="n">
        <x:v>45292</x:v>
      </x:c>
      <x:c r="G2095" s="2" t="str">
        <x:v>Last actual</x:v>
      </x:c>
      <x:c r="H2095" s="8" t="n">
        <x:f>AVERAGE('PG facts'!F76)</x:f>
        <x:v>5</x:v>
      </x:c>
      <x:c r="I2095" s="8" t="n">
        <x:f>0</x:f>
        <x:v>0</x:v>
      </x:c>
      <x:c r="J2095" s="8" t="n">
        <x:v>0</x:v>
      </x:c>
      <x:c r="K2095" s="8" t="n">
        <x:f>H2095-I2095*J2095</x:f>
        <x:v>5</x:v>
      </x:c>
      <x:c r="L2095" s="8" t="n">
        <x:f>'PG facts'!F90</x:f>
        <x:v>3</x:v>
      </x:c>
      <x:c r="M2095" s="8" t="n">
        <x:f>K2095-L2095</x:f>
        <x:v>2</x:v>
      </x:c>
      <x:c r="N2095" s="8" t="n">
        <x:f>M2095^2</x:f>
        <x:v>4</x:v>
      </x:c>
      <x:c r="O2095" s="8" t="n">
        <x:f>ABS(M2095)</x:f>
        <x:v>2</x:v>
      </x:c>
      <x:c r="P2095" s="7" t="n">
        <x:v>45401</x:v>
      </x:c>
    </x:row>
    <x:row r="2096" ht="26" customHeight="1">
      <x:c r="A2096" s="2"/>
      <x:c r="B2096" s="2" t="n">
        <x:v>2091</x:v>
      </x:c>
      <x:c r="C2096" s="2" t="str">
        <x:v>Beauty / organic_sales_growth</x:v>
      </x:c>
      <x:c r="D2096" s="7" t="n">
        <x:v>45382</x:v>
      </x:c>
      <x:c r="E2096" s="2" t="str">
        <x:v>Origin</x:v>
      </x:c>
      <x:c r="F2096" s="7" t="n">
        <x:v>45292</x:v>
      </x:c>
      <x:c r="G2096" s="2" t="str">
        <x:v>Four-quarter mean</x:v>
      </x:c>
      <x:c r="H2096" s="8" t="n">
        <x:f>AVERAGE('PG facts'!F55,'PG facts'!F62,'PG facts'!F69,'PG facts'!F76)</x:f>
        <x:v>6.5</x:v>
      </x:c>
      <x:c r="I2096" s="8" t="n">
        <x:f>0</x:f>
        <x:v>0</x:v>
      </x:c>
      <x:c r="J2096" s="8" t="n">
        <x:v>0</x:v>
      </x:c>
      <x:c r="K2096" s="8" t="n">
        <x:f>H2096-I2096*J2096</x:f>
        <x:v>6.5</x:v>
      </x:c>
      <x:c r="L2096" s="8" t="n">
        <x:f>'PG facts'!F90</x:f>
        <x:v>3</x:v>
      </x:c>
      <x:c r="M2096" s="8" t="n">
        <x:f>K2096-L2096</x:f>
        <x:v>3.5</x:v>
      </x:c>
      <x:c r="N2096" s="8" t="n">
        <x:f>M2096^2</x:f>
        <x:v>12.25</x:v>
      </x:c>
      <x:c r="O2096" s="8" t="n">
        <x:f>ABS(M2096)</x:f>
        <x:v>3.5</x:v>
      </x:c>
      <x:c r="P2096" s="7" t="n">
        <x:v>45401</x:v>
      </x:c>
    </x:row>
    <x:row r="2097" ht="26" customHeight="1">
      <x:c r="A2097" s="2"/>
      <x:c r="B2097" s="2" t="n">
        <x:v>2092</x:v>
      </x:c>
      <x:c r="C2097" s="2" t="str">
        <x:v>Beauty / organic_sales_growth</x:v>
      </x:c>
      <x:c r="D2097" s="7" t="n">
        <x:v>45382</x:v>
      </x:c>
      <x:c r="E2097" s="2" t="str">
        <x:v>Origin</x:v>
      </x:c>
      <x:c r="F2097" s="7" t="n">
        <x:v>45292</x:v>
      </x:c>
      <x:c r="G2097" s="2" t="str">
        <x:v>Broad market</x:v>
      </x:c>
      <x:c r="H2097" s="8" t="n">
        <x:f>'Model fits'!AA1357</x:f>
        <x:v>5.365908053815813</x:v>
      </x:c>
      <x:c r="I2097" s="8" t="n">
        <x:f>0</x:f>
        <x:v>0</x:v>
      </x:c>
      <x:c r="J2097" s="8" t="n">
        <x:v>0</x:v>
      </x:c>
      <x:c r="K2097" s="8" t="n">
        <x:f>H2097-I2097*J2097</x:f>
        <x:v>5.365908053815813</x:v>
      </x:c>
      <x:c r="L2097" s="8" t="n">
        <x:f>'PG facts'!F90</x:f>
        <x:v>3</x:v>
      </x:c>
      <x:c r="M2097" s="8" t="n">
        <x:f>K2097-L2097</x:f>
        <x:v>2.3659080538158133</x:v>
      </x:c>
      <x:c r="N2097" s="8" t="n">
        <x:f>M2097^2</x:f>
        <x:v>5.597520919110529</x:v>
      </x:c>
      <x:c r="O2097" s="8" t="n">
        <x:f>ABS(M2097)</x:f>
        <x:v>2.3659080538158133</x:v>
      </x:c>
      <x:c r="P2097" s="7" t="n">
        <x:v>45401</x:v>
      </x:c>
    </x:row>
    <x:row r="2098" ht="26" customHeight="1">
      <x:c r="A2098" s="2"/>
      <x:c r="B2098" s="2" t="n">
        <x:v>2093</x:v>
      </x:c>
      <x:c r="C2098" s="2" t="str">
        <x:v>Beauty / organic_sales_growth</x:v>
      </x:c>
      <x:c r="D2098" s="7" t="n">
        <x:v>45382</x:v>
      </x:c>
      <x:c r="E2098" s="2" t="str">
        <x:v>Origin</x:v>
      </x:c>
      <x:c r="F2098" s="7" t="n">
        <x:v>45292</x:v>
      </x:c>
      <x:c r="G2098" s="2" t="str">
        <x:v>Broad rolling 8</x:v>
      </x:c>
      <x:c r="H2098" s="8" t="n">
        <x:f>'Model fits'!AA1358</x:f>
        <x:v>7.981727473806548</x:v>
      </x:c>
      <x:c r="I2098" s="8" t="n">
        <x:f>0</x:f>
        <x:v>0</x:v>
      </x:c>
      <x:c r="J2098" s="8" t="n">
        <x:v>0</x:v>
      </x:c>
      <x:c r="K2098" s="8" t="n">
        <x:f>H2098-I2098*J2098</x:f>
        <x:v>7.981727473806548</x:v>
      </x:c>
      <x:c r="L2098" s="8" t="n">
        <x:f>'PG facts'!F90</x:f>
        <x:v>3</x:v>
      </x:c>
      <x:c r="M2098" s="8" t="n">
        <x:f>K2098-L2098</x:f>
        <x:v>4.981727473806548</x:v>
      </x:c>
      <x:c r="N2098" s="8" t="n">
        <x:f>M2098^2</x:f>
        <x:v>24.81760862327897</x:v>
      </x:c>
      <x:c r="O2098" s="8" t="n">
        <x:f>ABS(M2098)</x:f>
        <x:v>4.981727473806548</x:v>
      </x:c>
      <x:c r="P2098" s="7" t="n">
        <x:v>45401</x:v>
      </x:c>
    </x:row>
    <x:row r="2099" ht="26" customHeight="1">
      <x:c r="A2099" s="2"/>
      <x:c r="B2099" s="2" t="n">
        <x:v>2094</x:v>
      </x:c>
      <x:c r="C2099" s="2" t="str">
        <x:v>Beauty / organic_sales_growth</x:v>
      </x:c>
      <x:c r="D2099" s="7" t="n">
        <x:v>45382</x:v>
      </x:c>
      <x:c r="E2099" s="2" t="str">
        <x:v>Origin</x:v>
      </x:c>
      <x:c r="F2099" s="7" t="n">
        <x:v>45292</x:v>
      </x:c>
      <x:c r="G2099" s="2" t="str">
        <x:v>Own history</x:v>
      </x:c>
      <x:c r="H2099" s="8" t="n">
        <x:f>'Model fits'!AA1359</x:f>
        <x:v>4.116822429906542</x:v>
      </x:c>
      <x:c r="I2099" s="8" t="n">
        <x:f>0</x:f>
        <x:v>0</x:v>
      </x:c>
      <x:c r="J2099" s="8" t="n">
        <x:v>0</x:v>
      </x:c>
      <x:c r="K2099" s="8" t="n">
        <x:f>H2099-I2099*J2099</x:f>
        <x:v>4.116822429906542</x:v>
      </x:c>
      <x:c r="L2099" s="8" t="n">
        <x:f>'PG facts'!F90</x:f>
        <x:v>3</x:v>
      </x:c>
      <x:c r="M2099" s="8" t="n">
        <x:f>K2099-L2099</x:f>
        <x:v>1.1168224299065423</x:v>
      </x:c>
      <x:c r="N2099" s="8" t="n">
        <x:f>M2099^2</x:f>
        <x:v>1.2472923399423537</x:v>
      </x:c>
      <x:c r="O2099" s="8" t="n">
        <x:f>ABS(M2099)</x:f>
        <x:v>1.1168224299065423</x:v>
      </x:c>
      <x:c r="P2099" s="7" t="n">
        <x:v>45401</x:v>
      </x:c>
    </x:row>
    <x:row r="2100" ht="26" customHeight="1">
      <x:c r="A2100" s="2"/>
      <x:c r="B2100" s="2" t="n">
        <x:v>2095</x:v>
      </x:c>
      <x:c r="C2100" s="2" t="str">
        <x:v>Beauty / organic_sales_growth</x:v>
      </x:c>
      <x:c r="D2100" s="7" t="n">
        <x:v>45382</x:v>
      </x:c>
      <x:c r="E2100" s="2" t="str">
        <x:v>Prior report</x:v>
      </x:c>
      <x:c r="F2100" s="7" t="n">
        <x:v>45314</x:v>
      </x:c>
      <x:c r="G2100" s="2" t="str">
        <x:v>Last actual</x:v>
      </x:c>
      <x:c r="H2100" s="8" t="n">
        <x:f>AVERAGE('PG facts'!F83)</x:f>
        <x:v>1</x:v>
      </x:c>
      <x:c r="I2100" s="8" t="n">
        <x:f>0</x:f>
        <x:v>0</x:v>
      </x:c>
      <x:c r="J2100" s="8" t="n">
        <x:v>0</x:v>
      </x:c>
      <x:c r="K2100" s="8" t="n">
        <x:f>H2100-I2100*J2100</x:f>
        <x:v>1</x:v>
      </x:c>
      <x:c r="L2100" s="8" t="n">
        <x:f>'PG facts'!F90</x:f>
        <x:v>3</x:v>
      </x:c>
      <x:c r="M2100" s="8" t="n">
        <x:f>K2100-L2100</x:f>
        <x:v>-2</x:v>
      </x:c>
      <x:c r="N2100" s="8" t="n">
        <x:f>M2100^2</x:f>
        <x:v>4</x:v>
      </x:c>
      <x:c r="O2100" s="8" t="n">
        <x:f>ABS(M2100)</x:f>
        <x:v>2</x:v>
      </x:c>
      <x:c r="P2100" s="7" t="n">
        <x:v>45401</x:v>
      </x:c>
    </x:row>
    <x:row r="2101" ht="26" customHeight="1">
      <x:c r="A2101" s="2"/>
      <x:c r="B2101" s="2" t="n">
        <x:v>2096</x:v>
      </x:c>
      <x:c r="C2101" s="2" t="str">
        <x:v>Beauty / organic_sales_growth</x:v>
      </x:c>
      <x:c r="D2101" s="7" t="n">
        <x:v>45382</x:v>
      </x:c>
      <x:c r="E2101" s="2" t="str">
        <x:v>Prior report</x:v>
      </x:c>
      <x:c r="F2101" s="7" t="n">
        <x:v>45314</x:v>
      </x:c>
      <x:c r="G2101" s="2" t="str">
        <x:v>Four-quarter mean</x:v>
      </x:c>
      <x:c r="H2101" s="8" t="n">
        <x:f>AVERAGE('PG facts'!F62,'PG facts'!F69,'PG facts'!F76,'PG facts'!F83)</x:f>
        <x:v>6</x:v>
      </x:c>
      <x:c r="I2101" s="8" t="n">
        <x:f>0</x:f>
        <x:v>0</x:v>
      </x:c>
      <x:c r="J2101" s="8" t="n">
        <x:v>0</x:v>
      </x:c>
      <x:c r="K2101" s="8" t="n">
        <x:f>H2101-I2101*J2101</x:f>
        <x:v>6</x:v>
      </x:c>
      <x:c r="L2101" s="8" t="n">
        <x:f>'PG facts'!F90</x:f>
        <x:v>3</x:v>
      </x:c>
      <x:c r="M2101" s="8" t="n">
        <x:f>K2101-L2101</x:f>
        <x:v>3</x:v>
      </x:c>
      <x:c r="N2101" s="8" t="n">
        <x:f>M2101^2</x:f>
        <x:v>9</x:v>
      </x:c>
      <x:c r="O2101" s="8" t="n">
        <x:f>ABS(M2101)</x:f>
        <x:v>3</x:v>
      </x:c>
      <x:c r="P2101" s="7" t="n">
        <x:v>45401</x:v>
      </x:c>
    </x:row>
    <x:row r="2102" ht="26" customHeight="1">
      <x:c r="A2102" s="2"/>
      <x:c r="B2102" s="2" t="n">
        <x:v>2097</x:v>
      </x:c>
      <x:c r="C2102" s="2" t="str">
        <x:v>Beauty / organic_sales_growth</x:v>
      </x:c>
      <x:c r="D2102" s="7" t="n">
        <x:v>45382</x:v>
      </x:c>
      <x:c r="E2102" s="2" t="str">
        <x:v>Prior report</x:v>
      </x:c>
      <x:c r="F2102" s="7" t="n">
        <x:v>45314</x:v>
      </x:c>
      <x:c r="G2102" s="2" t="str">
        <x:v>Broad market</x:v>
      </x:c>
      <x:c r="H2102" s="8" t="n">
        <x:f>'Model fits'!AA1360</x:f>
        <x:v>4.804771487370274</x:v>
      </x:c>
      <x:c r="I2102" s="8" t="n">
        <x:f>0</x:f>
        <x:v>0</x:v>
      </x:c>
      <x:c r="J2102" s="8" t="n">
        <x:v>0</x:v>
      </x:c>
      <x:c r="K2102" s="8" t="n">
        <x:f>H2102-I2102*J2102</x:f>
        <x:v>4.804771487370274</x:v>
      </x:c>
      <x:c r="L2102" s="8" t="n">
        <x:f>'PG facts'!F90</x:f>
        <x:v>3</x:v>
      </x:c>
      <x:c r="M2102" s="8" t="n">
        <x:f>K2102-L2102</x:f>
        <x:v>1.8047714873702736</x:v>
      </x:c>
      <x:c r="N2102" s="8" t="n">
        <x:f>M2102^2</x:f>
        <x:v>3.2572001216247095</x:v>
      </x:c>
      <x:c r="O2102" s="8" t="n">
        <x:f>ABS(M2102)</x:f>
        <x:v>1.8047714873702736</x:v>
      </x:c>
      <x:c r="P2102" s="7" t="n">
        <x:v>45401</x:v>
      </x:c>
    </x:row>
    <x:row r="2103" ht="26" customHeight="1">
      <x:c r="A2103" s="2"/>
      <x:c r="B2103" s="2" t="n">
        <x:v>2098</x:v>
      </x:c>
      <x:c r="C2103" s="2" t="str">
        <x:v>Beauty / organic_sales_growth</x:v>
      </x:c>
      <x:c r="D2103" s="7" t="n">
        <x:v>45382</x:v>
      </x:c>
      <x:c r="E2103" s="2" t="str">
        <x:v>Prior report</x:v>
      </x:c>
      <x:c r="F2103" s="7" t="n">
        <x:v>45314</x:v>
      </x:c>
      <x:c r="G2103" s="2" t="str">
        <x:v>Broad lag 1</x:v>
      </x:c>
      <x:c r="H2103" s="8" t="n">
        <x:f>'Model fits'!AA1361</x:f>
        <x:v>3.432986167221422</x:v>
      </x:c>
      <x:c r="I2103" s="8" t="n">
        <x:f>0</x:f>
        <x:v>0</x:v>
      </x:c>
      <x:c r="J2103" s="8" t="n">
        <x:v>0</x:v>
      </x:c>
      <x:c r="K2103" s="8" t="n">
        <x:f>H2103-I2103*J2103</x:f>
        <x:v>3.432986167221422</x:v>
      </x:c>
      <x:c r="L2103" s="8" t="n">
        <x:f>'PG facts'!F90</x:f>
        <x:v>3</x:v>
      </x:c>
      <x:c r="M2103" s="8" t="n">
        <x:f>K2103-L2103</x:f>
        <x:v>0.43298616722142214</x:v>
      </x:c>
      <x:c r="N2103" s="8" t="n">
        <x:f>M2103^2</x:f>
        <x:v>0.18747702100509733</x:v>
      </x:c>
      <x:c r="O2103" s="8" t="n">
        <x:f>ABS(M2103)</x:f>
        <x:v>0.43298616722142214</x:v>
      </x:c>
      <x:c r="P2103" s="7" t="n">
        <x:v>45401</x:v>
      </x:c>
    </x:row>
    <x:row r="2104" ht="26" customHeight="1">
      <x:c r="A2104" s="2"/>
      <x:c r="B2104" s="2" t="n">
        <x:v>2099</x:v>
      </x:c>
      <x:c r="C2104" s="2" t="str">
        <x:v>Beauty / organic_sales_growth</x:v>
      </x:c>
      <x:c r="D2104" s="7" t="n">
        <x:v>45382</x:v>
      </x:c>
      <x:c r="E2104" s="2" t="str">
        <x:v>Prior report</x:v>
      </x:c>
      <x:c r="F2104" s="7" t="n">
        <x:v>45314</x:v>
      </x:c>
      <x:c r="G2104" s="2" t="str">
        <x:v>Broad rolling 8</x:v>
      </x:c>
      <x:c r="H2104" s="8" t="n">
        <x:f>'Model fits'!AA1362</x:f>
        <x:v>6.2010943482260235</x:v>
      </x:c>
      <x:c r="I2104" s="8" t="n">
        <x:f>0</x:f>
        <x:v>0</x:v>
      </x:c>
      <x:c r="J2104" s="8" t="n">
        <x:v>0</x:v>
      </x:c>
      <x:c r="K2104" s="8" t="n">
        <x:f>H2104-I2104*J2104</x:f>
        <x:v>6.2010943482260235</x:v>
      </x:c>
      <x:c r="L2104" s="8" t="n">
        <x:f>'PG facts'!F90</x:f>
        <x:v>3</x:v>
      </x:c>
      <x:c r="M2104" s="8" t="n">
        <x:f>K2104-L2104</x:f>
        <x:v>3.2010943482260235</x:v>
      </x:c>
      <x:c r="N2104" s="8" t="n">
        <x:f>M2104^2</x:f>
        <x:v>10.24700502624459</x:v>
      </x:c>
      <x:c r="O2104" s="8" t="n">
        <x:f>ABS(M2104)</x:f>
        <x:v>3.2010943482260235</x:v>
      </x:c>
      <x:c r="P2104" s="7" t="n">
        <x:v>45401</x:v>
      </x:c>
    </x:row>
    <x:row r="2105" ht="26" customHeight="1">
      <x:c r="A2105" s="2"/>
      <x:c r="B2105" s="2" t="n">
        <x:v>2100</x:v>
      </x:c>
      <x:c r="C2105" s="2" t="str">
        <x:v>Beauty / organic_sales_growth</x:v>
      </x:c>
      <x:c r="D2105" s="7" t="n">
        <x:v>45382</x:v>
      </x:c>
      <x:c r="E2105" s="2" t="str">
        <x:v>Prior report</x:v>
      </x:c>
      <x:c r="F2105" s="7" t="n">
        <x:v>45314</x:v>
      </x:c>
      <x:c r="G2105" s="2" t="str">
        <x:v>Own history</x:v>
      </x:c>
      <x:c r="H2105" s="8" t="n">
        <x:f>'Model fits'!AA1363</x:f>
        <x:v>2.7274472168905946</x:v>
      </x:c>
      <x:c r="I2105" s="8" t="n">
        <x:f>0</x:f>
        <x:v>0</x:v>
      </x:c>
      <x:c r="J2105" s="8" t="n">
        <x:v>0</x:v>
      </x:c>
      <x:c r="K2105" s="8" t="n">
        <x:f>H2105-I2105*J2105</x:f>
        <x:v>2.7274472168905946</x:v>
      </x:c>
      <x:c r="L2105" s="8" t="n">
        <x:f>'PG facts'!F90</x:f>
        <x:v>3</x:v>
      </x:c>
      <x:c r="M2105" s="8" t="n">
        <x:f>K2105-L2105</x:f>
        <x:v>-0.27255278310940545</x:v>
      </x:c>
      <x:c r="N2105" s="8" t="n">
        <x:f>M2105^2</x:f>
        <x:v>0.0742850195806826</x:v>
      </x:c>
      <x:c r="O2105" s="8" t="n">
        <x:f>ABS(M2105)</x:f>
        <x:v>0.27255278310940545</x:v>
      </x:c>
      <x:c r="P2105" s="7" t="n">
        <x:v>45401</x:v>
      </x:c>
    </x:row>
    <x:row r="2106" ht="26" customHeight="1">
      <x:c r="A2106" s="2"/>
      <x:c r="B2106" s="2" t="n">
        <x:v>2101</x:v>
      </x:c>
      <x:c r="C2106" s="2" t="str">
        <x:v>Beauty / organic_sales_growth</x:v>
      </x:c>
      <x:c r="D2106" s="7" t="n">
        <x:v>45382</x:v>
      </x:c>
      <x:c r="E2106" s="2" t="str">
        <x:v>Pre-earnings</x:v>
      </x:c>
      <x:c r="F2106" s="7" t="n">
        <x:v>45400</x:v>
      </x:c>
      <x:c r="G2106" s="2" t="str">
        <x:v>Last actual</x:v>
      </x:c>
      <x:c r="H2106" s="8" t="n">
        <x:f>AVERAGE('PG facts'!F83)</x:f>
        <x:v>1</x:v>
      </x:c>
      <x:c r="I2106" s="8" t="n">
        <x:f>0</x:f>
        <x:v>0</x:v>
      </x:c>
      <x:c r="J2106" s="8" t="n">
        <x:v>0</x:v>
      </x:c>
      <x:c r="K2106" s="8" t="n">
        <x:f>H2106-I2106*J2106</x:f>
        <x:v>1</x:v>
      </x:c>
      <x:c r="L2106" s="8" t="n">
        <x:f>'PG facts'!F90</x:f>
        <x:v>3</x:v>
      </x:c>
      <x:c r="M2106" s="8" t="n">
        <x:f>K2106-L2106</x:f>
        <x:v>-2</x:v>
      </x:c>
      <x:c r="N2106" s="8" t="n">
        <x:f>M2106^2</x:f>
        <x:v>4</x:v>
      </x:c>
      <x:c r="O2106" s="8" t="n">
        <x:f>ABS(M2106)</x:f>
        <x:v>2</x:v>
      </x:c>
      <x:c r="P2106" s="7" t="n">
        <x:v>45401</x:v>
      </x:c>
    </x:row>
    <x:row r="2107" ht="26" customHeight="1">
      <x:c r="A2107" s="2"/>
      <x:c r="B2107" s="2" t="n">
        <x:v>2102</x:v>
      </x:c>
      <x:c r="C2107" s="2" t="str">
        <x:v>Beauty / organic_sales_growth</x:v>
      </x:c>
      <x:c r="D2107" s="7" t="n">
        <x:v>45382</x:v>
      </x:c>
      <x:c r="E2107" s="2" t="str">
        <x:v>Pre-earnings</x:v>
      </x:c>
      <x:c r="F2107" s="7" t="n">
        <x:v>45400</x:v>
      </x:c>
      <x:c r="G2107" s="2" t="str">
        <x:v>Four-quarter mean</x:v>
      </x:c>
      <x:c r="H2107" s="8" t="n">
        <x:f>AVERAGE('PG facts'!F62,'PG facts'!F69,'PG facts'!F76,'PG facts'!F83)</x:f>
        <x:v>6</x:v>
      </x:c>
      <x:c r="I2107" s="8" t="n">
        <x:f>0</x:f>
        <x:v>0</x:v>
      </x:c>
      <x:c r="J2107" s="8" t="n">
        <x:v>0</x:v>
      </x:c>
      <x:c r="K2107" s="8" t="n">
        <x:f>H2107-I2107*J2107</x:f>
        <x:v>6</x:v>
      </x:c>
      <x:c r="L2107" s="8" t="n">
        <x:f>'PG facts'!F90</x:f>
        <x:v>3</x:v>
      </x:c>
      <x:c r="M2107" s="8" t="n">
        <x:f>K2107-L2107</x:f>
        <x:v>3</x:v>
      </x:c>
      <x:c r="N2107" s="8" t="n">
        <x:f>M2107^2</x:f>
        <x:v>9</x:v>
      </x:c>
      <x:c r="O2107" s="8" t="n">
        <x:f>ABS(M2107)</x:f>
        <x:v>3</x:v>
      </x:c>
      <x:c r="P2107" s="7" t="n">
        <x:v>45401</x:v>
      </x:c>
    </x:row>
    <x:row r="2108" ht="26" customHeight="1">
      <x:c r="A2108" s="2"/>
      <x:c r="B2108" s="2" t="n">
        <x:v>2103</x:v>
      </x:c>
      <x:c r="C2108" s="2" t="str">
        <x:v>Beauty / organic_sales_growth</x:v>
      </x:c>
      <x:c r="D2108" s="7" t="n">
        <x:v>45382</x:v>
      </x:c>
      <x:c r="E2108" s="2" t="str">
        <x:v>Pre-earnings</x:v>
      </x:c>
      <x:c r="F2108" s="7" t="n">
        <x:v>45400</x:v>
      </x:c>
      <x:c r="G2108" s="2" t="str">
        <x:v>Broad market</x:v>
      </x:c>
      <x:c r="H2108" s="8" t="n">
        <x:f>'Model fits'!AA1364</x:f>
        <x:v>3.4720924812404004</x:v>
      </x:c>
      <x:c r="I2108" s="8" t="n">
        <x:f>0</x:f>
        <x:v>0</x:v>
      </x:c>
      <x:c r="J2108" s="8" t="n">
        <x:v>0</x:v>
      </x:c>
      <x:c r="K2108" s="8" t="n">
        <x:f>H2108-I2108*J2108</x:f>
        <x:v>3.4720924812404004</x:v>
      </x:c>
      <x:c r="L2108" s="8" t="n">
        <x:f>'PG facts'!F90</x:f>
        <x:v>3</x:v>
      </x:c>
      <x:c r="M2108" s="8" t="n">
        <x:f>K2108-L2108</x:f>
        <x:v>0.4720924812404004</x:v>
      </x:c>
      <x:c r="N2108" s="8" t="n">
        <x:f>M2108^2</x:f>
        <x:v>0.22287131084371778</x:v>
      </x:c>
      <x:c r="O2108" s="8" t="n">
        <x:f>ABS(M2108)</x:f>
        <x:v>0.4720924812404004</x:v>
      </x:c>
      <x:c r="P2108" s="7" t="n">
        <x:v>45401</x:v>
      </x:c>
    </x:row>
    <x:row r="2109" ht="26" customHeight="1">
      <x:c r="A2109" s="2"/>
      <x:c r="B2109" s="2" t="n">
        <x:v>2104</x:v>
      </x:c>
      <x:c r="C2109" s="2" t="str">
        <x:v>Beauty / organic_sales_growth</x:v>
      </x:c>
      <x:c r="D2109" s="7" t="n">
        <x:v>45382</x:v>
      </x:c>
      <x:c r="E2109" s="2" t="str">
        <x:v>Pre-earnings</x:v>
      </x:c>
      <x:c r="F2109" s="7" t="n">
        <x:v>45400</x:v>
      </x:c>
      <x:c r="G2109" s="2" t="str">
        <x:v>Broad lag 1</x:v>
      </x:c>
      <x:c r="H2109" s="8" t="n">
        <x:f>'Model fits'!AA1365</x:f>
        <x:v>3.507818959200616</x:v>
      </x:c>
      <x:c r="I2109" s="8" t="n">
        <x:f>0</x:f>
        <x:v>0</x:v>
      </x:c>
      <x:c r="J2109" s="8" t="n">
        <x:v>0</x:v>
      </x:c>
      <x:c r="K2109" s="8" t="n">
        <x:f>H2109-I2109*J2109</x:f>
        <x:v>3.507818959200616</x:v>
      </x:c>
      <x:c r="L2109" s="8" t="n">
        <x:f>'PG facts'!F90</x:f>
        <x:v>3</x:v>
      </x:c>
      <x:c r="M2109" s="8" t="n">
        <x:f>K2109-L2109</x:f>
        <x:v>0.5078189592006161</x:v>
      </x:c>
      <x:c r="N2109" s="8" t="n">
        <x:f>M2109^2</x:f>
        <x:v>0.25788009532359707</x:v>
      </x:c>
      <x:c r="O2109" s="8" t="n">
        <x:f>ABS(M2109)</x:f>
        <x:v>0.5078189592006161</x:v>
      </x:c>
      <x:c r="P2109" s="7" t="n">
        <x:v>45401</x:v>
      </x:c>
    </x:row>
    <x:row r="2110" ht="26" customHeight="1">
      <x:c r="A2110" s="2"/>
      <x:c r="B2110" s="2" t="n">
        <x:v>2105</x:v>
      </x:c>
      <x:c r="C2110" s="2" t="str">
        <x:v>Beauty / organic_sales_growth</x:v>
      </x:c>
      <x:c r="D2110" s="7" t="n">
        <x:v>45382</x:v>
      </x:c>
      <x:c r="E2110" s="2" t="str">
        <x:v>Pre-earnings</x:v>
      </x:c>
      <x:c r="F2110" s="7" t="n">
        <x:v>45400</x:v>
      </x:c>
      <x:c r="G2110" s="2" t="str">
        <x:v>Broad rolling 8</x:v>
      </x:c>
      <x:c r="H2110" s="8" t="n">
        <x:f>'Model fits'!AA1366</x:f>
        <x:v>2.7346890610528827</x:v>
      </x:c>
      <x:c r="I2110" s="8" t="n">
        <x:f>0</x:f>
        <x:v>0</x:v>
      </x:c>
      <x:c r="J2110" s="8" t="n">
        <x:v>0</x:v>
      </x:c>
      <x:c r="K2110" s="8" t="n">
        <x:f>H2110-I2110*J2110</x:f>
        <x:v>2.7346890610528827</x:v>
      </x:c>
      <x:c r="L2110" s="8" t="n">
        <x:f>'PG facts'!F90</x:f>
        <x:v>3</x:v>
      </x:c>
      <x:c r="M2110" s="8" t="n">
        <x:f>K2110-L2110</x:f>
        <x:v>-0.2653109389471173</x:v>
      </x:c>
      <x:c r="N2110" s="8" t="n">
        <x:f>M2110^2</x:f>
        <x:v>0.07038989432500102</x:v>
      </x:c>
      <x:c r="O2110" s="8" t="n">
        <x:f>ABS(M2110)</x:f>
        <x:v>0.2653109389471173</x:v>
      </x:c>
      <x:c r="P2110" s="7" t="n">
        <x:v>45401</x:v>
      </x:c>
    </x:row>
    <x:row r="2111" ht="26" customHeight="1">
      <x:c r="A2111" s="2"/>
      <x:c r="B2111" s="2" t="n">
        <x:v>2106</x:v>
      </x:c>
      <x:c r="C2111" s="2" t="str">
        <x:v>Beauty / organic_sales_growth</x:v>
      </x:c>
      <x:c r="D2111" s="7" t="n">
        <x:v>45382</x:v>
      </x:c>
      <x:c r="E2111" s="2" t="str">
        <x:v>Pre-earnings</x:v>
      </x:c>
      <x:c r="F2111" s="7" t="n">
        <x:v>45400</x:v>
      </x:c>
      <x:c r="G2111" s="2" t="str">
        <x:v>Own history</x:v>
      </x:c>
      <x:c r="H2111" s="8" t="n">
        <x:f>'Model fits'!AA1367</x:f>
        <x:v>2.7274472168905946</x:v>
      </x:c>
      <x:c r="I2111" s="8" t="n">
        <x:f>0</x:f>
        <x:v>0</x:v>
      </x:c>
      <x:c r="J2111" s="8" t="n">
        <x:v>0</x:v>
      </x:c>
      <x:c r="K2111" s="8" t="n">
        <x:f>H2111-I2111*J2111</x:f>
        <x:v>2.7274472168905946</x:v>
      </x:c>
      <x:c r="L2111" s="8" t="n">
        <x:f>'PG facts'!F90</x:f>
        <x:v>3</x:v>
      </x:c>
      <x:c r="M2111" s="8" t="n">
        <x:f>K2111-L2111</x:f>
        <x:v>-0.27255278310940545</x:v>
      </x:c>
      <x:c r="N2111" s="8" t="n">
        <x:f>M2111^2</x:f>
        <x:v>0.0742850195806826</x:v>
      </x:c>
      <x:c r="O2111" s="8" t="n">
        <x:f>ABS(M2111)</x:f>
        <x:v>0.27255278310940545</x:v>
      </x:c>
      <x:c r="P2111" s="7" t="n">
        <x:v>45401</x:v>
      </x:c>
    </x:row>
    <x:row r="2112" ht="26" customHeight="1">
      <x:c r="A2112" s="2"/>
      <x:c r="B2112" s="2" t="n">
        <x:v>2107</x:v>
      </x:c>
      <x:c r="C2112" s="2" t="str">
        <x:v>Beauty / organic_sales_growth</x:v>
      </x:c>
      <x:c r="D2112" s="7" t="n">
        <x:v>45473</x:v>
      </x:c>
      <x:c r="E2112" s="2" t="str">
        <x:v>Origin</x:v>
      </x:c>
      <x:c r="F2112" s="7" t="n">
        <x:v>45383</x:v>
      </x:c>
      <x:c r="G2112" s="2" t="str">
        <x:v>Last actual</x:v>
      </x:c>
      <x:c r="H2112" s="8" t="n">
        <x:f>AVERAGE('PG facts'!F83)</x:f>
        <x:v>1</x:v>
      </x:c>
      <x:c r="I2112" s="8" t="n">
        <x:f>0</x:f>
        <x:v>0</x:v>
      </x:c>
      <x:c r="J2112" s="8" t="n">
        <x:v>0</x:v>
      </x:c>
      <x:c r="K2112" s="8" t="n">
        <x:f>H2112-I2112*J2112</x:f>
        <x:v>1</x:v>
      </x:c>
      <x:c r="L2112" s="8" t="n">
        <x:f>'PG facts'!F97</x:f>
        <x:v>3</x:v>
      </x:c>
      <x:c r="M2112" s="8" t="n">
        <x:f>K2112-L2112</x:f>
        <x:v>-2</x:v>
      </x:c>
      <x:c r="N2112" s="8" t="n">
        <x:f>M2112^2</x:f>
        <x:v>4</x:v>
      </x:c>
      <x:c r="O2112" s="8" t="n">
        <x:f>ABS(M2112)</x:f>
        <x:v>2</x:v>
      </x:c>
      <x:c r="P2112" s="7" t="n">
        <x:v>45503</x:v>
      </x:c>
    </x:row>
    <x:row r="2113" ht="26" customHeight="1">
      <x:c r="A2113" s="2"/>
      <x:c r="B2113" s="2" t="n">
        <x:v>2108</x:v>
      </x:c>
      <x:c r="C2113" s="2" t="str">
        <x:v>Beauty / organic_sales_growth</x:v>
      </x:c>
      <x:c r="D2113" s="7" t="n">
        <x:v>45473</x:v>
      </x:c>
      <x:c r="E2113" s="2" t="str">
        <x:v>Origin</x:v>
      </x:c>
      <x:c r="F2113" s="7" t="n">
        <x:v>45383</x:v>
      </x:c>
      <x:c r="G2113" s="2" t="str">
        <x:v>Four-quarter mean</x:v>
      </x:c>
      <x:c r="H2113" s="8" t="n">
        <x:f>AVERAGE('PG facts'!F62,'PG facts'!F69,'PG facts'!F76,'PG facts'!F83)</x:f>
        <x:v>6</x:v>
      </x:c>
      <x:c r="I2113" s="8" t="n">
        <x:f>0</x:f>
        <x:v>0</x:v>
      </x:c>
      <x:c r="J2113" s="8" t="n">
        <x:v>0</x:v>
      </x:c>
      <x:c r="K2113" s="8" t="n">
        <x:f>H2113-I2113*J2113</x:f>
        <x:v>6</x:v>
      </x:c>
      <x:c r="L2113" s="8" t="n">
        <x:f>'PG facts'!F97</x:f>
        <x:v>3</x:v>
      </x:c>
      <x:c r="M2113" s="8" t="n">
        <x:f>K2113-L2113</x:f>
        <x:v>3</x:v>
      </x:c>
      <x:c r="N2113" s="8" t="n">
        <x:f>M2113^2</x:f>
        <x:v>9</x:v>
      </x:c>
      <x:c r="O2113" s="8" t="n">
        <x:f>ABS(M2113)</x:f>
        <x:v>3</x:v>
      </x:c>
      <x:c r="P2113" s="7" t="n">
        <x:v>45503</x:v>
      </x:c>
    </x:row>
    <x:row r="2114" ht="26" customHeight="1">
      <x:c r="A2114" s="2"/>
      <x:c r="B2114" s="2" t="n">
        <x:v>2109</x:v>
      </x:c>
      <x:c r="C2114" s="2" t="str">
        <x:v>Beauty / organic_sales_growth</x:v>
      </x:c>
      <x:c r="D2114" s="7" t="n">
        <x:v>45473</x:v>
      </x:c>
      <x:c r="E2114" s="2" t="str">
        <x:v>Origin</x:v>
      </x:c>
      <x:c r="F2114" s="7" t="n">
        <x:v>45383</x:v>
      </x:c>
      <x:c r="G2114" s="2" t="str">
        <x:v>Broad market</x:v>
      </x:c>
      <x:c r="H2114" s="8" t="n">
        <x:f>'Model fits'!AA1368</x:f>
        <x:v>3.9677297019940623</x:v>
      </x:c>
      <x:c r="I2114" s="8" t="n">
        <x:f>0</x:f>
        <x:v>0</x:v>
      </x:c>
      <x:c r="J2114" s="8" t="n">
        <x:v>0</x:v>
      </x:c>
      <x:c r="K2114" s="8" t="n">
        <x:f>H2114-I2114*J2114</x:f>
        <x:v>3.9677297019940623</x:v>
      </x:c>
      <x:c r="L2114" s="8" t="n">
        <x:f>'PG facts'!F97</x:f>
        <x:v>3</x:v>
      </x:c>
      <x:c r="M2114" s="8" t="n">
        <x:f>K2114-L2114</x:f>
        <x:v>0.9677297019940623</x:v>
      </x:c>
      <x:c r="N2114" s="8" t="n">
        <x:f>M2114^2</x:f>
        <x:v>0.9365007761215166</x:v>
      </x:c>
      <x:c r="O2114" s="8" t="n">
        <x:f>ABS(M2114)</x:f>
        <x:v>0.9677297019940623</x:v>
      </x:c>
      <x:c r="P2114" s="7" t="n">
        <x:v>45503</x:v>
      </x:c>
    </x:row>
    <x:row r="2115" ht="26" customHeight="1">
      <x:c r="A2115" s="2"/>
      <x:c r="B2115" s="2" t="n">
        <x:v>2110</x:v>
      </x:c>
      <x:c r="C2115" s="2" t="str">
        <x:v>Beauty / organic_sales_growth</x:v>
      </x:c>
      <x:c r="D2115" s="7" t="n">
        <x:v>45473</x:v>
      </x:c>
      <x:c r="E2115" s="2" t="str">
        <x:v>Origin</x:v>
      </x:c>
      <x:c r="F2115" s="7" t="n">
        <x:v>45383</x:v>
      </x:c>
      <x:c r="G2115" s="2" t="str">
        <x:v>Broad rolling 8</x:v>
      </x:c>
      <x:c r="H2115" s="8" t="n">
        <x:f>'Model fits'!AA1369</x:f>
        <x:v>3.99821031631611</x:v>
      </x:c>
      <x:c r="I2115" s="8" t="n">
        <x:f>0</x:f>
        <x:v>0</x:v>
      </x:c>
      <x:c r="J2115" s="8" t="n">
        <x:v>0</x:v>
      </x:c>
      <x:c r="K2115" s="8" t="n">
        <x:f>H2115-I2115*J2115</x:f>
        <x:v>3.99821031631611</x:v>
      </x:c>
      <x:c r="L2115" s="8" t="n">
        <x:f>'PG facts'!F97</x:f>
        <x:v>3</x:v>
      </x:c>
      <x:c r="M2115" s="8" t="n">
        <x:f>K2115-L2115</x:f>
        <x:v>0.99821031631611</x:v>
      </x:c>
      <x:c r="N2115" s="8" t="n">
        <x:f>M2115^2</x:f>
        <x:v>0.9964238355999084</x:v>
      </x:c>
      <x:c r="O2115" s="8" t="n">
        <x:f>ABS(M2115)</x:f>
        <x:v>0.99821031631611</x:v>
      </x:c>
      <x:c r="P2115" s="7" t="n">
        <x:v>45503</x:v>
      </x:c>
    </x:row>
    <x:row r="2116" ht="26" customHeight="1">
      <x:c r="A2116" s="2"/>
      <x:c r="B2116" s="2" t="n">
        <x:v>2111</x:v>
      </x:c>
      <x:c r="C2116" s="2" t="str">
        <x:v>Beauty / organic_sales_growth</x:v>
      </x:c>
      <x:c r="D2116" s="7" t="n">
        <x:v>45473</x:v>
      </x:c>
      <x:c r="E2116" s="2" t="str">
        <x:v>Origin</x:v>
      </x:c>
      <x:c r="F2116" s="7" t="n">
        <x:v>45383</x:v>
      </x:c>
      <x:c r="G2116" s="2" t="str">
        <x:v>Own history</x:v>
      </x:c>
      <x:c r="H2116" s="8" t="n">
        <x:f>'Model fits'!AA1370</x:f>
        <x:v>4.540740740740741</x:v>
      </x:c>
      <x:c r="I2116" s="8" t="n">
        <x:f>0</x:f>
        <x:v>0</x:v>
      </x:c>
      <x:c r="J2116" s="8" t="n">
        <x:v>0</x:v>
      </x:c>
      <x:c r="K2116" s="8" t="n">
        <x:f>H2116-I2116*J2116</x:f>
        <x:v>4.540740740740741</x:v>
      </x:c>
      <x:c r="L2116" s="8" t="n">
        <x:f>'PG facts'!F97</x:f>
        <x:v>3</x:v>
      </x:c>
      <x:c r="M2116" s="8" t="n">
        <x:f>K2116-L2116</x:f>
        <x:v>1.5407407407407412</x:v>
      </x:c>
      <x:c r="N2116" s="8" t="n">
        <x:f>M2116^2</x:f>
        <x:v>2.373882030178328</x:v>
      </x:c>
      <x:c r="O2116" s="8" t="n">
        <x:f>ABS(M2116)</x:f>
        <x:v>1.5407407407407412</x:v>
      </x:c>
      <x:c r="P2116" s="7" t="n">
        <x:v>45503</x:v>
      </x:c>
    </x:row>
    <x:row r="2117" ht="26" customHeight="1">
      <x:c r="A2117" s="2"/>
      <x:c r="B2117" s="2" t="n">
        <x:v>2112</x:v>
      </x:c>
      <x:c r="C2117" s="2" t="str">
        <x:v>Beauty / organic_sales_growth</x:v>
      </x:c>
      <x:c r="D2117" s="7" t="n">
        <x:v>45473</x:v>
      </x:c>
      <x:c r="E2117" s="2" t="str">
        <x:v>Prior report</x:v>
      </x:c>
      <x:c r="F2117" s="7" t="n">
        <x:v>45401</x:v>
      </x:c>
      <x:c r="G2117" s="2" t="str">
        <x:v>Last actual</x:v>
      </x:c>
      <x:c r="H2117" s="8" t="n">
        <x:f>AVERAGE('PG facts'!F90)</x:f>
        <x:v>3</x:v>
      </x:c>
      <x:c r="I2117" s="8" t="n">
        <x:f>0</x:f>
        <x:v>0</x:v>
      </x:c>
      <x:c r="J2117" s="8" t="n">
        <x:v>0</x:v>
      </x:c>
      <x:c r="K2117" s="8" t="n">
        <x:f>H2117-I2117*J2117</x:f>
        <x:v>3</x:v>
      </x:c>
      <x:c r="L2117" s="8" t="n">
        <x:f>'PG facts'!F97</x:f>
        <x:v>3</x:v>
      </x:c>
      <x:c r="M2117" s="8" t="n">
        <x:f>K2117-L2117</x:f>
        <x:v>0</x:v>
      </x:c>
      <x:c r="N2117" s="8" t="n">
        <x:f>M2117^2</x:f>
        <x:v>0</x:v>
      </x:c>
      <x:c r="O2117" s="8" t="n">
        <x:f>ABS(M2117)</x:f>
        <x:v>0</x:v>
      </x:c>
      <x:c r="P2117" s="7" t="n">
        <x:v>45503</x:v>
      </x:c>
    </x:row>
    <x:row r="2118" ht="26" customHeight="1">
      <x:c r="A2118" s="2"/>
      <x:c r="B2118" s="2" t="n">
        <x:v>2113</x:v>
      </x:c>
      <x:c r="C2118" s="2" t="str">
        <x:v>Beauty / organic_sales_growth</x:v>
      </x:c>
      <x:c r="D2118" s="7" t="n">
        <x:v>45473</x:v>
      </x:c>
      <x:c r="E2118" s="2" t="str">
        <x:v>Prior report</x:v>
      </x:c>
      <x:c r="F2118" s="7" t="n">
        <x:v>45401</x:v>
      </x:c>
      <x:c r="G2118" s="2" t="str">
        <x:v>Four-quarter mean</x:v>
      </x:c>
      <x:c r="H2118" s="8" t="n">
        <x:f>AVERAGE('PG facts'!F69,'PG facts'!F76,'PG facts'!F83,'PG facts'!F90)</x:f>
        <x:v>5</x:v>
      </x:c>
      <x:c r="I2118" s="8" t="n">
        <x:f>0</x:f>
        <x:v>0</x:v>
      </x:c>
      <x:c r="J2118" s="8" t="n">
        <x:v>0</x:v>
      </x:c>
      <x:c r="K2118" s="8" t="n">
        <x:f>H2118-I2118*J2118</x:f>
        <x:v>5</x:v>
      </x:c>
      <x:c r="L2118" s="8" t="n">
        <x:f>'PG facts'!F97</x:f>
        <x:v>3</x:v>
      </x:c>
      <x:c r="M2118" s="8" t="n">
        <x:f>K2118-L2118</x:f>
        <x:v>2</x:v>
      </x:c>
      <x:c r="N2118" s="8" t="n">
        <x:f>M2118^2</x:f>
        <x:v>4</x:v>
      </x:c>
      <x:c r="O2118" s="8" t="n">
        <x:f>ABS(M2118)</x:f>
        <x:v>2</x:v>
      </x:c>
      <x:c r="P2118" s="7" t="n">
        <x:v>45503</x:v>
      </x:c>
    </x:row>
    <x:row r="2119" ht="26" customHeight="1">
      <x:c r="A2119" s="2"/>
      <x:c r="B2119" s="2" t="n">
        <x:v>2114</x:v>
      </x:c>
      <x:c r="C2119" s="2" t="str">
        <x:v>Beauty / organic_sales_growth</x:v>
      </x:c>
      <x:c r="D2119" s="7" t="n">
        <x:v>45473</x:v>
      </x:c>
      <x:c r="E2119" s="2" t="str">
        <x:v>Prior report</x:v>
      </x:c>
      <x:c r="F2119" s="7" t="n">
        <x:v>45401</x:v>
      </x:c>
      <x:c r="G2119" s="2" t="str">
        <x:v>Broad market</x:v>
      </x:c>
      <x:c r="H2119" s="8" t="n">
        <x:f>'Model fits'!AA1371</x:f>
        <x:v>3.403781165179676</x:v>
      </x:c>
      <x:c r="I2119" s="8" t="n">
        <x:f>0</x:f>
        <x:v>0</x:v>
      </x:c>
      <x:c r="J2119" s="8" t="n">
        <x:v>0</x:v>
      </x:c>
      <x:c r="K2119" s="8" t="n">
        <x:f>H2119-I2119*J2119</x:f>
        <x:v>3.403781165179676</x:v>
      </x:c>
      <x:c r="L2119" s="8" t="n">
        <x:f>'PG facts'!F97</x:f>
        <x:v>3</x:v>
      </x:c>
      <x:c r="M2119" s="8" t="n">
        <x:f>K2119-L2119</x:f>
        <x:v>0.4037811651796761</x:v>
      </x:c>
      <x:c r="N2119" s="8" t="n">
        <x:f>M2119^2</x:f>
        <x:v>0.16303922935385687</x:v>
      </x:c>
      <x:c r="O2119" s="8" t="n">
        <x:f>ABS(M2119)</x:f>
        <x:v>0.4037811651796761</x:v>
      </x:c>
      <x:c r="P2119" s="7" t="n">
        <x:v>45503</x:v>
      </x:c>
    </x:row>
    <x:row r="2120" ht="26" customHeight="1">
      <x:c r="A2120" s="2"/>
      <x:c r="B2120" s="2" t="n">
        <x:v>2115</x:v>
      </x:c>
      <x:c r="C2120" s="2" t="str">
        <x:v>Beauty / organic_sales_growth</x:v>
      </x:c>
      <x:c r="D2120" s="7" t="n">
        <x:v>45473</x:v>
      </x:c>
      <x:c r="E2120" s="2" t="str">
        <x:v>Prior report</x:v>
      </x:c>
      <x:c r="F2120" s="7" t="n">
        <x:v>45401</x:v>
      </x:c>
      <x:c r="G2120" s="2" t="str">
        <x:v>Broad lag 1</x:v>
      </x:c>
      <x:c r="H2120" s="8" t="n">
        <x:f>'Model fits'!AA1372</x:f>
        <x:v>4.557798942490287</x:v>
      </x:c>
      <x:c r="I2120" s="8" t="n">
        <x:f>0</x:f>
        <x:v>0</x:v>
      </x:c>
      <x:c r="J2120" s="8" t="n">
        <x:v>0</x:v>
      </x:c>
      <x:c r="K2120" s="8" t="n">
        <x:f>H2120-I2120*J2120</x:f>
        <x:v>4.557798942490287</x:v>
      </x:c>
      <x:c r="L2120" s="8" t="n">
        <x:f>'PG facts'!F97</x:f>
        <x:v>3</x:v>
      </x:c>
      <x:c r="M2120" s="8" t="n">
        <x:f>K2120-L2120</x:f>
        <x:v>1.5577989424902867</x:v>
      </x:c>
      <x:c r="N2120" s="8" t="n">
        <x:f>M2120^2</x:f>
        <x:v>2.4267375452238555</x:v>
      </x:c>
      <x:c r="O2120" s="8" t="n">
        <x:f>ABS(M2120)</x:f>
        <x:v>1.5577989424902867</x:v>
      </x:c>
      <x:c r="P2120" s="7" t="n">
        <x:v>45503</x:v>
      </x:c>
    </x:row>
    <x:row r="2121" ht="26" customHeight="1">
      <x:c r="A2121" s="2"/>
      <x:c r="B2121" s="2" t="n">
        <x:v>2116</x:v>
      </x:c>
      <x:c r="C2121" s="2" t="str">
        <x:v>Beauty / organic_sales_growth</x:v>
      </x:c>
      <x:c r="D2121" s="7" t="n">
        <x:v>45473</x:v>
      </x:c>
      <x:c r="E2121" s="2" t="str">
        <x:v>Prior report</x:v>
      </x:c>
      <x:c r="F2121" s="7" t="n">
        <x:v>45401</x:v>
      </x:c>
      <x:c r="G2121" s="2" t="str">
        <x:v>Broad rolling 8</x:v>
      </x:c>
      <x:c r="H2121" s="8" t="n">
        <x:f>'Model fits'!AA1373</x:f>
        <x:v>2.931631000588202</x:v>
      </x:c>
      <x:c r="I2121" s="8" t="n">
        <x:f>0</x:f>
        <x:v>0</x:v>
      </x:c>
      <x:c r="J2121" s="8" t="n">
        <x:v>0</x:v>
      </x:c>
      <x:c r="K2121" s="8" t="n">
        <x:f>H2121-I2121*J2121</x:f>
        <x:v>2.931631000588202</x:v>
      </x:c>
      <x:c r="L2121" s="8" t="n">
        <x:f>'PG facts'!F97</x:f>
        <x:v>3</x:v>
      </x:c>
      <x:c r="M2121" s="8" t="n">
        <x:f>K2121-L2121</x:f>
        <x:v>-0.06836899941179819</x:v>
      </x:c>
      <x:c r="N2121" s="8" t="n">
        <x:f>M2121^2</x:f>
        <x:v>0.004674320080570462</x:v>
      </x:c>
      <x:c r="O2121" s="8" t="n">
        <x:f>ABS(M2121)</x:f>
        <x:v>0.06836899941179819</x:v>
      </x:c>
      <x:c r="P2121" s="7" t="n">
        <x:v>45503</x:v>
      </x:c>
    </x:row>
    <x:row r="2122" ht="26" customHeight="1">
      <x:c r="A2122" s="2"/>
      <x:c r="B2122" s="2" t="n">
        <x:v>2117</x:v>
      </x:c>
      <x:c r="C2122" s="2" t="str">
        <x:v>Beauty / organic_sales_growth</x:v>
      </x:c>
      <x:c r="D2122" s="7" t="n">
        <x:v>45473</x:v>
      </x:c>
      <x:c r="E2122" s="2" t="str">
        <x:v>Prior report</x:v>
      </x:c>
      <x:c r="F2122" s="7" t="n">
        <x:v>45401</x:v>
      </x:c>
      <x:c r="G2122" s="2" t="str">
        <x:v>Own history</x:v>
      </x:c>
      <x:c r="H2122" s="8" t="n">
        <x:f>'Model fits'!AA1374</x:f>
        <x:v>3.4784313725490197</x:v>
      </x:c>
      <x:c r="I2122" s="8" t="n">
        <x:f>0</x:f>
        <x:v>0</x:v>
      </x:c>
      <x:c r="J2122" s="8" t="n">
        <x:v>0</x:v>
      </x:c>
      <x:c r="K2122" s="8" t="n">
        <x:f>H2122-I2122*J2122</x:f>
        <x:v>3.4784313725490197</x:v>
      </x:c>
      <x:c r="L2122" s="8" t="n">
        <x:f>'PG facts'!F97</x:f>
        <x:v>3</x:v>
      </x:c>
      <x:c r="M2122" s="8" t="n">
        <x:f>K2122-L2122</x:f>
        <x:v>0.4784313725490197</x:v>
      </x:c>
      <x:c r="N2122" s="8" t="n">
        <x:f>M2122^2</x:f>
        <x:v>0.22889657823913886</x:v>
      </x:c>
      <x:c r="O2122" s="8" t="n">
        <x:f>ABS(M2122)</x:f>
        <x:v>0.4784313725490197</x:v>
      </x:c>
      <x:c r="P2122" s="7" t="n">
        <x:v>45503</x:v>
      </x:c>
    </x:row>
    <x:row r="2123" ht="26" customHeight="1">
      <x:c r="A2123" s="2"/>
      <x:c r="B2123" s="2" t="n">
        <x:v>2118</x:v>
      </x:c>
      <x:c r="C2123" s="2" t="str">
        <x:v>Beauty / organic_sales_growth</x:v>
      </x:c>
      <x:c r="D2123" s="7" t="n">
        <x:v>45473</x:v>
      </x:c>
      <x:c r="E2123" s="2" t="str">
        <x:v>Pre-earnings</x:v>
      </x:c>
      <x:c r="F2123" s="7" t="n">
        <x:v>45502</x:v>
      </x:c>
      <x:c r="G2123" s="2" t="str">
        <x:v>Last actual</x:v>
      </x:c>
      <x:c r="H2123" s="8" t="n">
        <x:f>AVERAGE('PG facts'!F90)</x:f>
        <x:v>3</x:v>
      </x:c>
      <x:c r="I2123" s="8" t="n">
        <x:f>0</x:f>
        <x:v>0</x:v>
      </x:c>
      <x:c r="J2123" s="8" t="n">
        <x:v>0</x:v>
      </x:c>
      <x:c r="K2123" s="8" t="n">
        <x:f>H2123-I2123*J2123</x:f>
        <x:v>3</x:v>
      </x:c>
      <x:c r="L2123" s="8" t="n">
        <x:f>'PG facts'!F97</x:f>
        <x:v>3</x:v>
      </x:c>
      <x:c r="M2123" s="8" t="n">
        <x:f>K2123-L2123</x:f>
        <x:v>0</x:v>
      </x:c>
      <x:c r="N2123" s="8" t="n">
        <x:f>M2123^2</x:f>
        <x:v>0</x:v>
      </x:c>
      <x:c r="O2123" s="8" t="n">
        <x:f>ABS(M2123)</x:f>
        <x:v>0</x:v>
      </x:c>
      <x:c r="P2123" s="7" t="n">
        <x:v>45503</x:v>
      </x:c>
    </x:row>
    <x:row r="2124" ht="26" customHeight="1">
      <x:c r="A2124" s="2"/>
      <x:c r="B2124" s="2" t="n">
        <x:v>2119</x:v>
      </x:c>
      <x:c r="C2124" s="2" t="str">
        <x:v>Beauty / organic_sales_growth</x:v>
      </x:c>
      <x:c r="D2124" s="7" t="n">
        <x:v>45473</x:v>
      </x:c>
      <x:c r="E2124" s="2" t="str">
        <x:v>Pre-earnings</x:v>
      </x:c>
      <x:c r="F2124" s="7" t="n">
        <x:v>45502</x:v>
      </x:c>
      <x:c r="G2124" s="2" t="str">
        <x:v>Four-quarter mean</x:v>
      </x:c>
      <x:c r="H2124" s="8" t="n">
        <x:f>AVERAGE('PG facts'!F69,'PG facts'!F76,'PG facts'!F83,'PG facts'!F90)</x:f>
        <x:v>5</x:v>
      </x:c>
      <x:c r="I2124" s="8" t="n">
        <x:f>0</x:f>
        <x:v>0</x:v>
      </x:c>
      <x:c r="J2124" s="8" t="n">
        <x:v>0</x:v>
      </x:c>
      <x:c r="K2124" s="8" t="n">
        <x:f>H2124-I2124*J2124</x:f>
        <x:v>5</x:v>
      </x:c>
      <x:c r="L2124" s="8" t="n">
        <x:f>'PG facts'!F97</x:f>
        <x:v>3</x:v>
      </x:c>
      <x:c r="M2124" s="8" t="n">
        <x:f>K2124-L2124</x:f>
        <x:v>2</x:v>
      </x:c>
      <x:c r="N2124" s="8" t="n">
        <x:f>M2124^2</x:f>
        <x:v>4</x:v>
      </x:c>
      <x:c r="O2124" s="8" t="n">
        <x:f>ABS(M2124)</x:f>
        <x:v>2</x:v>
      </x:c>
      <x:c r="P2124" s="7" t="n">
        <x:v>45503</x:v>
      </x:c>
    </x:row>
    <x:row r="2125" ht="26" customHeight="1">
      <x:c r="A2125" s="2"/>
      <x:c r="B2125" s="2" t="n">
        <x:v>2120</x:v>
      </x:c>
      <x:c r="C2125" s="2" t="str">
        <x:v>Beauty / organic_sales_growth</x:v>
      </x:c>
      <x:c r="D2125" s="7" t="n">
        <x:v>45473</x:v>
      </x:c>
      <x:c r="E2125" s="2" t="str">
        <x:v>Pre-earnings</x:v>
      </x:c>
      <x:c r="F2125" s="7" t="n">
        <x:v>45502</x:v>
      </x:c>
      <x:c r="G2125" s="2" t="str">
        <x:v>Broad market</x:v>
      </x:c>
      <x:c r="H2125" s="8" t="n">
        <x:f>'Model fits'!AA1375</x:f>
        <x:v>3.0986496663646004</x:v>
      </x:c>
      <x:c r="I2125" s="8" t="n">
        <x:f>0</x:f>
        <x:v>0</x:v>
      </x:c>
      <x:c r="J2125" s="8" t="n">
        <x:v>0</x:v>
      </x:c>
      <x:c r="K2125" s="8" t="n">
        <x:f>H2125-I2125*J2125</x:f>
        <x:v>3.0986496663646004</x:v>
      </x:c>
      <x:c r="L2125" s="8" t="n">
        <x:f>'PG facts'!F97</x:f>
        <x:v>3</x:v>
      </x:c>
      <x:c r="M2125" s="8" t="n">
        <x:f>K2125-L2125</x:f>
        <x:v>0.09864966636460037</x:v>
      </x:c>
      <x:c r="N2125" s="8" t="n">
        <x:f>M2125^2</x:f>
        <x:v>0.009731756673846967</x:v>
      </x:c>
      <x:c r="O2125" s="8" t="n">
        <x:f>ABS(M2125)</x:f>
        <x:v>0.09864966636460037</x:v>
      </x:c>
      <x:c r="P2125" s="7" t="n">
        <x:v>45503</x:v>
      </x:c>
    </x:row>
    <x:row r="2126" ht="26" customHeight="1">
      <x:c r="A2126" s="2"/>
      <x:c r="B2126" s="2" t="n">
        <x:v>2121</x:v>
      </x:c>
      <x:c r="C2126" s="2" t="str">
        <x:v>Beauty / organic_sales_growth</x:v>
      </x:c>
      <x:c r="D2126" s="7" t="n">
        <x:v>45473</x:v>
      </x:c>
      <x:c r="E2126" s="2" t="str">
        <x:v>Pre-earnings</x:v>
      </x:c>
      <x:c r="F2126" s="7" t="n">
        <x:v>45502</x:v>
      </x:c>
      <x:c r="G2126" s="2" t="str">
        <x:v>Broad lag 1</x:v>
      </x:c>
      <x:c r="H2126" s="8" t="n">
        <x:f>'Model fits'!AA1376</x:f>
        <x:v>4.96694260687009</x:v>
      </x:c>
      <x:c r="I2126" s="8" t="n">
        <x:f>0</x:f>
        <x:v>0</x:v>
      </x:c>
      <x:c r="J2126" s="8" t="n">
        <x:v>0</x:v>
      </x:c>
      <x:c r="K2126" s="8" t="n">
        <x:f>H2126-I2126*J2126</x:f>
        <x:v>4.96694260687009</x:v>
      </x:c>
      <x:c r="L2126" s="8" t="n">
        <x:f>'PG facts'!F97</x:f>
        <x:v>3</x:v>
      </x:c>
      <x:c r="M2126" s="8" t="n">
        <x:f>K2126-L2126</x:f>
        <x:v>1.9669426068700897</x:v>
      </x:c>
      <x:c r="N2126" s="8" t="n">
        <x:f>M2126^2</x:f>
        <x:v>3.868863218720904</x:v>
      </x:c>
      <x:c r="O2126" s="8" t="n">
        <x:f>ABS(M2126)</x:f>
        <x:v>1.9669426068700897</x:v>
      </x:c>
      <x:c r="P2126" s="7" t="n">
        <x:v>45503</x:v>
      </x:c>
    </x:row>
    <x:row r="2127" ht="26" customHeight="1">
      <x:c r="A2127" s="2"/>
      <x:c r="B2127" s="2" t="n">
        <x:v>2122</x:v>
      </x:c>
      <x:c r="C2127" s="2" t="str">
        <x:v>Beauty / organic_sales_growth</x:v>
      </x:c>
      <x:c r="D2127" s="7" t="n">
        <x:v>45473</x:v>
      </x:c>
      <x:c r="E2127" s="2" t="str">
        <x:v>Pre-earnings</x:v>
      </x:c>
      <x:c r="F2127" s="7" t="n">
        <x:v>45502</x:v>
      </x:c>
      <x:c r="G2127" s="2" t="str">
        <x:v>Broad rolling 8</x:v>
      </x:c>
      <x:c r="H2127" s="8" t="n">
        <x:f>'Model fits'!AA1377</x:f>
        <x:v>1.1639889656365823</x:v>
      </x:c>
      <x:c r="I2127" s="8" t="n">
        <x:f>0</x:f>
        <x:v>0</x:v>
      </x:c>
      <x:c r="J2127" s="8" t="n">
        <x:v>0</x:v>
      </x:c>
      <x:c r="K2127" s="8" t="n">
        <x:f>H2127-I2127*J2127</x:f>
        <x:v>1.1639889656365823</x:v>
      </x:c>
      <x:c r="L2127" s="8" t="n">
        <x:f>'PG facts'!F97</x:f>
        <x:v>3</x:v>
      </x:c>
      <x:c r="M2127" s="8" t="n">
        <x:f>K2127-L2127</x:f>
        <x:v>-1.8360110343634177</x:v>
      </x:c>
      <x:c r="N2127" s="8" t="n">
        <x:f>M2127^2</x:f>
        <x:v>3.370936518304227</x:v>
      </x:c>
      <x:c r="O2127" s="8" t="n">
        <x:f>ABS(M2127)</x:f>
        <x:v>1.8360110343634177</x:v>
      </x:c>
      <x:c r="P2127" s="7" t="n">
        <x:v>45503</x:v>
      </x:c>
    </x:row>
    <x:row r="2128" ht="26" customHeight="1">
      <x:c r="A2128" s="2"/>
      <x:c r="B2128" s="2" t="n">
        <x:v>2123</x:v>
      </x:c>
      <x:c r="C2128" s="2" t="str">
        <x:v>Beauty / organic_sales_growth</x:v>
      </x:c>
      <x:c r="D2128" s="7" t="n">
        <x:v>45473</x:v>
      </x:c>
      <x:c r="E2128" s="2" t="str">
        <x:v>Pre-earnings</x:v>
      </x:c>
      <x:c r="F2128" s="7" t="n">
        <x:v>45502</x:v>
      </x:c>
      <x:c r="G2128" s="2" t="str">
        <x:v>Own history</x:v>
      </x:c>
      <x:c r="H2128" s="8" t="n">
        <x:f>'Model fits'!AA1378</x:f>
        <x:v>3.4784313725490197</x:v>
      </x:c>
      <x:c r="I2128" s="8" t="n">
        <x:f>0</x:f>
        <x:v>0</x:v>
      </x:c>
      <x:c r="J2128" s="8" t="n">
        <x:v>0</x:v>
      </x:c>
      <x:c r="K2128" s="8" t="n">
        <x:f>H2128-I2128*J2128</x:f>
        <x:v>3.4784313725490197</x:v>
      </x:c>
      <x:c r="L2128" s="8" t="n">
        <x:f>'PG facts'!F97</x:f>
        <x:v>3</x:v>
      </x:c>
      <x:c r="M2128" s="8" t="n">
        <x:f>K2128-L2128</x:f>
        <x:v>0.4784313725490197</x:v>
      </x:c>
      <x:c r="N2128" s="8" t="n">
        <x:f>M2128^2</x:f>
        <x:v>0.22889657823913886</x:v>
      </x:c>
      <x:c r="O2128" s="8" t="n">
        <x:f>ABS(M2128)</x:f>
        <x:v>0.4784313725490197</x:v>
      </x:c>
      <x:c r="P2128" s="7" t="n">
        <x:v>45503</x:v>
      </x:c>
    </x:row>
    <x:row r="2129" ht="26" customHeight="1">
      <x:c r="A2129" s="2"/>
      <x:c r="B2129" s="2" t="n">
        <x:v>2124</x:v>
      </x:c>
      <x:c r="C2129" s="2" t="str">
        <x:v>Beauty / organic_sales_growth</x:v>
      </x:c>
      <x:c r="D2129" s="7" t="n">
        <x:v>45565</x:v>
      </x:c>
      <x:c r="E2129" s="2" t="str">
        <x:v>Origin</x:v>
      </x:c>
      <x:c r="F2129" s="7" t="n">
        <x:v>45474</x:v>
      </x:c>
      <x:c r="G2129" s="2" t="str">
        <x:v>Last actual</x:v>
      </x:c>
      <x:c r="H2129" s="8" t="n">
        <x:f>AVERAGE('PG facts'!F90)</x:f>
        <x:v>3</x:v>
      </x:c>
      <x:c r="I2129" s="8" t="n">
        <x:f>0</x:f>
        <x:v>0</x:v>
      </x:c>
      <x:c r="J2129" s="8" t="n">
        <x:v>0</x:v>
      </x:c>
      <x:c r="K2129" s="8" t="n">
        <x:f>H2129-I2129*J2129</x:f>
        <x:v>3</x:v>
      </x:c>
      <x:c r="L2129" s="8" t="n">
        <x:f>'PG facts'!F104</x:f>
        <x:v>-2</x:v>
      </x:c>
      <x:c r="M2129" s="8" t="n">
        <x:f>K2129-L2129</x:f>
        <x:v>5</x:v>
      </x:c>
      <x:c r="N2129" s="8" t="n">
        <x:f>M2129^2</x:f>
        <x:v>25</x:v>
      </x:c>
      <x:c r="O2129" s="8" t="n">
        <x:f>ABS(M2129)</x:f>
        <x:v>5</x:v>
      </x:c>
      <x:c r="P2129" s="7" t="n">
        <x:v>45583</x:v>
      </x:c>
    </x:row>
    <x:row r="2130" ht="26" customHeight="1">
      <x:c r="A2130" s="2"/>
      <x:c r="B2130" s="2" t="n">
        <x:v>2125</x:v>
      </x:c>
      <x:c r="C2130" s="2" t="str">
        <x:v>Beauty / organic_sales_growth</x:v>
      </x:c>
      <x:c r="D2130" s="7" t="n">
        <x:v>45565</x:v>
      </x:c>
      <x:c r="E2130" s="2" t="str">
        <x:v>Origin</x:v>
      </x:c>
      <x:c r="F2130" s="7" t="n">
        <x:v>45474</x:v>
      </x:c>
      <x:c r="G2130" s="2" t="str">
        <x:v>Four-quarter mean</x:v>
      </x:c>
      <x:c r="H2130" s="8" t="n">
        <x:f>AVERAGE('PG facts'!F69,'PG facts'!F76,'PG facts'!F83,'PG facts'!F90)</x:f>
        <x:v>5</x:v>
      </x:c>
      <x:c r="I2130" s="8" t="n">
        <x:f>0</x:f>
        <x:v>0</x:v>
      </x:c>
      <x:c r="J2130" s="8" t="n">
        <x:v>0</x:v>
      </x:c>
      <x:c r="K2130" s="8" t="n">
        <x:f>H2130-I2130*J2130</x:f>
        <x:v>5</x:v>
      </x:c>
      <x:c r="L2130" s="8" t="n">
        <x:f>'PG facts'!F104</x:f>
        <x:v>-2</x:v>
      </x:c>
      <x:c r="M2130" s="8" t="n">
        <x:f>K2130-L2130</x:f>
        <x:v>7</x:v>
      </x:c>
      <x:c r="N2130" s="8" t="n">
        <x:f>M2130^2</x:f>
        <x:v>49</x:v>
      </x:c>
      <x:c r="O2130" s="8" t="n">
        <x:f>ABS(M2130)</x:f>
        <x:v>7</x:v>
      </x:c>
      <x:c r="P2130" s="7" t="n">
        <x:v>45583</x:v>
      </x:c>
    </x:row>
    <x:row r="2131" ht="26" customHeight="1">
      <x:c r="A2131" s="2"/>
      <x:c r="B2131" s="2" t="n">
        <x:v>2126</x:v>
      </x:c>
      <x:c r="C2131" s="2" t="str">
        <x:v>Beauty / organic_sales_growth</x:v>
      </x:c>
      <x:c r="D2131" s="7" t="n">
        <x:v>45565</x:v>
      </x:c>
      <x:c r="E2131" s="2" t="str">
        <x:v>Origin</x:v>
      </x:c>
      <x:c r="F2131" s="7" t="n">
        <x:v>45474</x:v>
      </x:c>
      <x:c r="G2131" s="2" t="str">
        <x:v>Broad market</x:v>
      </x:c>
      <x:c r="H2131" s="8" t="n">
        <x:f>'Model fits'!AA1379</x:f>
        <x:v>3.1362292402848473</x:v>
      </x:c>
      <x:c r="I2131" s="8" t="n">
        <x:f>0</x:f>
        <x:v>0</x:v>
      </x:c>
      <x:c r="J2131" s="8" t="n">
        <x:v>0</x:v>
      </x:c>
      <x:c r="K2131" s="8" t="n">
        <x:f>H2131-I2131*J2131</x:f>
        <x:v>3.1362292402848473</x:v>
      </x:c>
      <x:c r="L2131" s="8" t="n">
        <x:f>'PG facts'!F104</x:f>
        <x:v>-2</x:v>
      </x:c>
      <x:c r="M2131" s="8" t="n">
        <x:f>K2131-L2131</x:f>
        <x:v>5.136229240284847</x:v>
      </x:c>
      <x:c r="N2131" s="8" t="n">
        <x:f>M2131^2</x:f>
        <x:v>26.38085080875706</x:v>
      </x:c>
      <x:c r="O2131" s="8" t="n">
        <x:f>ABS(M2131)</x:f>
        <x:v>5.136229240284847</x:v>
      </x:c>
      <x:c r="P2131" s="7" t="n">
        <x:v>45583</x:v>
      </x:c>
    </x:row>
    <x:row r="2132" ht="26" customHeight="1">
      <x:c r="A2132" s="2"/>
      <x:c r="B2132" s="2" t="n">
        <x:v>2127</x:v>
      </x:c>
      <x:c r="C2132" s="2" t="str">
        <x:v>Beauty / organic_sales_growth</x:v>
      </x:c>
      <x:c r="D2132" s="7" t="n">
        <x:v>45565</x:v>
      </x:c>
      <x:c r="E2132" s="2" t="str">
        <x:v>Origin</x:v>
      </x:c>
      <x:c r="F2132" s="7" t="n">
        <x:v>45474</x:v>
      </x:c>
      <x:c r="G2132" s="2" t="str">
        <x:v>Broad rolling 8</x:v>
      </x:c>
      <x:c r="H2132" s="8" t="n">
        <x:f>'Model fits'!AA1380</x:f>
        <x:v>1.2863702164096105</x:v>
      </x:c>
      <x:c r="I2132" s="8" t="n">
        <x:f>0</x:f>
        <x:v>0</x:v>
      </x:c>
      <x:c r="J2132" s="8" t="n">
        <x:v>0</x:v>
      </x:c>
      <x:c r="K2132" s="8" t="n">
        <x:f>H2132-I2132*J2132</x:f>
        <x:v>1.2863702164096105</x:v>
      </x:c>
      <x:c r="L2132" s="8" t="n">
        <x:f>'PG facts'!F104</x:f>
        <x:v>-2</x:v>
      </x:c>
      <x:c r="M2132" s="8" t="n">
        <x:f>K2132-L2132</x:f>
        <x:v>3.2863702164096105</x:v>
      </x:c>
      <x:c r="N2132" s="8" t="n">
        <x:f>M2132^2</x:f>
        <x:v>10.80022919930415</x:v>
      </x:c>
      <x:c r="O2132" s="8" t="n">
        <x:f>ABS(M2132)</x:f>
        <x:v>3.2863702164096105</x:v>
      </x:c>
      <x:c r="P2132" s="7" t="n">
        <x:v>45583</x:v>
      </x:c>
    </x:row>
    <x:row r="2133" ht="26" customHeight="1">
      <x:c r="A2133" s="2"/>
      <x:c r="B2133" s="2" t="n">
        <x:v>2128</x:v>
      </x:c>
      <x:c r="C2133" s="2" t="str">
        <x:v>Beauty / organic_sales_growth</x:v>
      </x:c>
      <x:c r="D2133" s="7" t="n">
        <x:v>45565</x:v>
      </x:c>
      <x:c r="E2133" s="2" t="str">
        <x:v>Origin</x:v>
      </x:c>
      <x:c r="F2133" s="7" t="n">
        <x:v>45474</x:v>
      </x:c>
      <x:c r="G2133" s="2" t="str">
        <x:v>Own history</x:v>
      </x:c>
      <x:c r="H2133" s="8" t="n">
        <x:f>'Model fits'!AA1381</x:f>
        <x:v>4.059500959692898</x:v>
      </x:c>
      <x:c r="I2133" s="8" t="n">
        <x:f>0</x:f>
        <x:v>0</x:v>
      </x:c>
      <x:c r="J2133" s="8" t="n">
        <x:v>0</x:v>
      </x:c>
      <x:c r="K2133" s="8" t="n">
        <x:f>H2133-I2133*J2133</x:f>
        <x:v>4.059500959692898</x:v>
      </x:c>
      <x:c r="L2133" s="8" t="n">
        <x:f>'PG facts'!F104</x:f>
        <x:v>-2</x:v>
      </x:c>
      <x:c r="M2133" s="8" t="n">
        <x:f>K2133-L2133</x:f>
        <x:v>6.059500959692898</x:v>
      </x:c>
      <x:c r="N2133" s="8" t="n">
        <x:f>M2133^2</x:f>
        <x:v>36.71755188051915</x:v>
      </x:c>
      <x:c r="O2133" s="8" t="n">
        <x:f>ABS(M2133)</x:f>
        <x:v>6.059500959692898</x:v>
      </x:c>
      <x:c r="P2133" s="7" t="n">
        <x:v>45583</x:v>
      </x:c>
    </x:row>
    <x:row r="2134" ht="26" customHeight="1">
      <x:c r="A2134" s="2"/>
      <x:c r="B2134" s="2" t="n">
        <x:v>2129</x:v>
      </x:c>
      <x:c r="C2134" s="2" t="str">
        <x:v>Beauty / organic_sales_growth</x:v>
      </x:c>
      <x:c r="D2134" s="7" t="n">
        <x:v>45565</x:v>
      </x:c>
      <x:c r="E2134" s="2" t="str">
        <x:v>Prior report</x:v>
      </x:c>
      <x:c r="F2134" s="7" t="n">
        <x:v>45503</x:v>
      </x:c>
      <x:c r="G2134" s="2" t="str">
        <x:v>Last actual</x:v>
      </x:c>
      <x:c r="H2134" s="8" t="n">
        <x:f>AVERAGE('PG facts'!F97)</x:f>
        <x:v>3</x:v>
      </x:c>
      <x:c r="I2134" s="8" t="n">
        <x:f>0</x:f>
        <x:v>0</x:v>
      </x:c>
      <x:c r="J2134" s="8" t="n">
        <x:v>0</x:v>
      </x:c>
      <x:c r="K2134" s="8" t="n">
        <x:f>H2134-I2134*J2134</x:f>
        <x:v>3</x:v>
      </x:c>
      <x:c r="L2134" s="8" t="n">
        <x:f>'PG facts'!F104</x:f>
        <x:v>-2</x:v>
      </x:c>
      <x:c r="M2134" s="8" t="n">
        <x:f>K2134-L2134</x:f>
        <x:v>5</x:v>
      </x:c>
      <x:c r="N2134" s="8" t="n">
        <x:f>M2134^2</x:f>
        <x:v>25</x:v>
      </x:c>
      <x:c r="O2134" s="8" t="n">
        <x:f>ABS(M2134)</x:f>
        <x:v>5</x:v>
      </x:c>
      <x:c r="P2134" s="7" t="n">
        <x:v>45583</x:v>
      </x:c>
    </x:row>
    <x:row r="2135" ht="26" customHeight="1">
      <x:c r="A2135" s="2"/>
      <x:c r="B2135" s="2" t="n">
        <x:v>2130</x:v>
      </x:c>
      <x:c r="C2135" s="2" t="str">
        <x:v>Beauty / organic_sales_growth</x:v>
      </x:c>
      <x:c r="D2135" s="7" t="n">
        <x:v>45565</x:v>
      </x:c>
      <x:c r="E2135" s="2" t="str">
        <x:v>Prior report</x:v>
      </x:c>
      <x:c r="F2135" s="7" t="n">
        <x:v>45503</x:v>
      </x:c>
      <x:c r="G2135" s="2" t="str">
        <x:v>Four-quarter mean</x:v>
      </x:c>
      <x:c r="H2135" s="8" t="n">
        <x:f>AVERAGE('PG facts'!F76,'PG facts'!F83,'PG facts'!F90,'PG facts'!F97)</x:f>
        <x:v>3</x:v>
      </x:c>
      <x:c r="I2135" s="8" t="n">
        <x:f>0</x:f>
        <x:v>0</x:v>
      </x:c>
      <x:c r="J2135" s="8" t="n">
        <x:v>0</x:v>
      </x:c>
      <x:c r="K2135" s="8" t="n">
        <x:f>H2135-I2135*J2135</x:f>
        <x:v>3</x:v>
      </x:c>
      <x:c r="L2135" s="8" t="n">
        <x:f>'PG facts'!F104</x:f>
        <x:v>-2</x:v>
      </x:c>
      <x:c r="M2135" s="8" t="n">
        <x:f>K2135-L2135</x:f>
        <x:v>5</x:v>
      </x:c>
      <x:c r="N2135" s="8" t="n">
        <x:f>M2135^2</x:f>
        <x:v>25</x:v>
      </x:c>
      <x:c r="O2135" s="8" t="n">
        <x:f>ABS(M2135)</x:f>
        <x:v>5</x:v>
      </x:c>
      <x:c r="P2135" s="7" t="n">
        <x:v>45583</x:v>
      </x:c>
    </x:row>
    <x:row r="2136" ht="26" customHeight="1">
      <x:c r="A2136" s="2"/>
      <x:c r="B2136" s="2" t="n">
        <x:v>2131</x:v>
      </x:c>
      <x:c r="C2136" s="2" t="str">
        <x:v>Beauty / organic_sales_growth</x:v>
      </x:c>
      <x:c r="D2136" s="7" t="n">
        <x:v>45565</x:v>
      </x:c>
      <x:c r="E2136" s="2" t="str">
        <x:v>Prior report</x:v>
      </x:c>
      <x:c r="F2136" s="7" t="n">
        <x:v>45503</x:v>
      </x:c>
      <x:c r="G2136" s="2" t="str">
        <x:v>Broad market</x:v>
      </x:c>
      <x:c r="H2136" s="8" t="n">
        <x:f>'Model fits'!AA1382</x:f>
        <x:v>3.0760223197901704</x:v>
      </x:c>
      <x:c r="I2136" s="8" t="n">
        <x:f>0</x:f>
        <x:v>0</x:v>
      </x:c>
      <x:c r="J2136" s="8" t="n">
        <x:v>0</x:v>
      </x:c>
      <x:c r="K2136" s="8" t="n">
        <x:f>H2136-I2136*J2136</x:f>
        <x:v>3.0760223197901704</x:v>
      </x:c>
      <x:c r="L2136" s="8" t="n">
        <x:f>'PG facts'!F104</x:f>
        <x:v>-2</x:v>
      </x:c>
      <x:c r="M2136" s="8" t="n">
        <x:f>K2136-L2136</x:f>
        <x:v>5.07602231979017</x:v>
      </x:c>
      <x:c r="N2136" s="8" t="n">
        <x:f>M2136^2</x:f>
        <x:v>25.766002591007982</x:v>
      </x:c>
      <x:c r="O2136" s="8" t="n">
        <x:f>ABS(M2136)</x:f>
        <x:v>5.07602231979017</x:v>
      </x:c>
      <x:c r="P2136" s="7" t="n">
        <x:v>45583</x:v>
      </x:c>
    </x:row>
    <x:row r="2137" ht="26" customHeight="1">
      <x:c r="A2137" s="2"/>
      <x:c r="B2137" s="2" t="n">
        <x:v>2132</x:v>
      </x:c>
      <x:c r="C2137" s="2" t="str">
        <x:v>Beauty / organic_sales_growth</x:v>
      </x:c>
      <x:c r="D2137" s="7" t="n">
        <x:v>45565</x:v>
      </x:c>
      <x:c r="E2137" s="2" t="str">
        <x:v>Prior report</x:v>
      </x:c>
      <x:c r="F2137" s="7" t="n">
        <x:v>45503</x:v>
      </x:c>
      <x:c r="G2137" s="2" t="str">
        <x:v>Broad lag 1</x:v>
      </x:c>
      <x:c r="H2137" s="8" t="n">
        <x:f>'Model fits'!AA1383</x:f>
        <x:v>4.9264820155476325</x:v>
      </x:c>
      <x:c r="I2137" s="8" t="n">
        <x:f>0</x:f>
        <x:v>0</x:v>
      </x:c>
      <x:c r="J2137" s="8" t="n">
        <x:v>0</x:v>
      </x:c>
      <x:c r="K2137" s="8" t="n">
        <x:f>H2137-I2137*J2137</x:f>
        <x:v>4.9264820155476325</x:v>
      </x:c>
      <x:c r="L2137" s="8" t="n">
        <x:f>'PG facts'!F104</x:f>
        <x:v>-2</x:v>
      </x:c>
      <x:c r="M2137" s="8" t="n">
        <x:f>K2137-L2137</x:f>
        <x:v>6.9264820155476325</x:v>
      </x:c>
      <x:c r="N2137" s="8" t="n">
        <x:f>M2137^2</x:f>
        <x:v>47.9761531117048</x:v>
      </x:c>
      <x:c r="O2137" s="8" t="n">
        <x:f>ABS(M2137)</x:f>
        <x:v>6.9264820155476325</x:v>
      </x:c>
      <x:c r="P2137" s="7" t="n">
        <x:v>45583</x:v>
      </x:c>
    </x:row>
    <x:row r="2138" ht="26" customHeight="1">
      <x:c r="A2138" s="2"/>
      <x:c r="B2138" s="2" t="n">
        <x:v>2133</x:v>
      </x:c>
      <x:c r="C2138" s="2" t="str">
        <x:v>Beauty / organic_sales_growth</x:v>
      </x:c>
      <x:c r="D2138" s="7" t="n">
        <x:v>45565</x:v>
      </x:c>
      <x:c r="E2138" s="2" t="str">
        <x:v>Prior report</x:v>
      </x:c>
      <x:c r="F2138" s="7" t="n">
        <x:v>45503</x:v>
      </x:c>
      <x:c r="G2138" s="2" t="str">
        <x:v>Broad rolling 8</x:v>
      </x:c>
      <x:c r="H2138" s="8" t="n">
        <x:f>'Model fits'!AA1384</x:f>
        <x:v>2.7915231204875095</x:v>
      </x:c>
      <x:c r="I2138" s="8" t="n">
        <x:f>0</x:f>
        <x:v>0</x:v>
      </x:c>
      <x:c r="J2138" s="8" t="n">
        <x:v>0</x:v>
      </x:c>
      <x:c r="K2138" s="8" t="n">
        <x:f>H2138-I2138*J2138</x:f>
        <x:v>2.7915231204875095</x:v>
      </x:c>
      <x:c r="L2138" s="8" t="n">
        <x:f>'PG facts'!F104</x:f>
        <x:v>-2</x:v>
      </x:c>
      <x:c r="M2138" s="8" t="n">
        <x:f>K2138-L2138</x:f>
        <x:v>4.7915231204875095</x:v>
      </x:c>
      <x:c r="N2138" s="8" t="n">
        <x:f>M2138^2</x:f>
        <x:v>22.95869381416636</x:v>
      </x:c>
      <x:c r="O2138" s="8" t="n">
        <x:f>ABS(M2138)</x:f>
        <x:v>4.7915231204875095</x:v>
      </x:c>
      <x:c r="P2138" s="7" t="n">
        <x:v>45583</x:v>
      </x:c>
    </x:row>
    <x:row r="2139" ht="26" customHeight="1">
      <x:c r="A2139" s="2"/>
      <x:c r="B2139" s="2" t="n">
        <x:v>2134</x:v>
      </x:c>
      <x:c r="C2139" s="2" t="str">
        <x:v>Beauty / organic_sales_growth</x:v>
      </x:c>
      <x:c r="D2139" s="7" t="n">
        <x:v>45565</x:v>
      </x:c>
      <x:c r="E2139" s="2" t="str">
        <x:v>Prior report</x:v>
      </x:c>
      <x:c r="F2139" s="7" t="n">
        <x:v>45503</x:v>
      </x:c>
      <x:c r="G2139" s="2" t="str">
        <x:v>Own history</x:v>
      </x:c>
      <x:c r="H2139" s="8" t="n">
        <x:f>'Model fits'!AA1385</x:f>
        <x:v>3.4357142857142855</x:v>
      </x:c>
      <x:c r="I2139" s="8" t="n">
        <x:f>0</x:f>
        <x:v>0</x:v>
      </x:c>
      <x:c r="J2139" s="8" t="n">
        <x:v>0</x:v>
      </x:c>
      <x:c r="K2139" s="8" t="n">
        <x:f>H2139-I2139*J2139</x:f>
        <x:v>3.4357142857142855</x:v>
      </x:c>
      <x:c r="L2139" s="8" t="n">
        <x:f>'PG facts'!F104</x:f>
        <x:v>-2</x:v>
      </x:c>
      <x:c r="M2139" s="8" t="n">
        <x:f>K2139-L2139</x:f>
        <x:v>5.435714285714285</x:v>
      </x:c>
      <x:c r="N2139" s="8" t="n">
        <x:f>M2139^2</x:f>
        <x:v>29.54698979591836</x:v>
      </x:c>
      <x:c r="O2139" s="8" t="n">
        <x:f>ABS(M2139)</x:f>
        <x:v>5.435714285714285</x:v>
      </x:c>
      <x:c r="P2139" s="7" t="n">
        <x:v>45583</x:v>
      </x:c>
    </x:row>
    <x:row r="2140" ht="26" customHeight="1">
      <x:c r="A2140" s="2"/>
      <x:c r="B2140" s="2" t="n">
        <x:v>2135</x:v>
      </x:c>
      <x:c r="C2140" s="2" t="str">
        <x:v>Beauty / organic_sales_growth</x:v>
      </x:c>
      <x:c r="D2140" s="7" t="n">
        <x:v>45565</x:v>
      </x:c>
      <x:c r="E2140" s="2" t="str">
        <x:v>Pre-earnings</x:v>
      </x:c>
      <x:c r="F2140" s="7" t="n">
        <x:v>45582</x:v>
      </x:c>
      <x:c r="G2140" s="2" t="str">
        <x:v>Last actual</x:v>
      </x:c>
      <x:c r="H2140" s="8" t="n">
        <x:f>AVERAGE('PG facts'!F97)</x:f>
        <x:v>3</x:v>
      </x:c>
      <x:c r="I2140" s="8" t="n">
        <x:f>0</x:f>
        <x:v>0</x:v>
      </x:c>
      <x:c r="J2140" s="8" t="n">
        <x:v>0</x:v>
      </x:c>
      <x:c r="K2140" s="8" t="n">
        <x:f>H2140-I2140*J2140</x:f>
        <x:v>3</x:v>
      </x:c>
      <x:c r="L2140" s="8" t="n">
        <x:f>'PG facts'!F104</x:f>
        <x:v>-2</x:v>
      </x:c>
      <x:c r="M2140" s="8" t="n">
        <x:f>K2140-L2140</x:f>
        <x:v>5</x:v>
      </x:c>
      <x:c r="N2140" s="8" t="n">
        <x:f>M2140^2</x:f>
        <x:v>25</x:v>
      </x:c>
      <x:c r="O2140" s="8" t="n">
        <x:f>ABS(M2140)</x:f>
        <x:v>5</x:v>
      </x:c>
      <x:c r="P2140" s="7" t="n">
        <x:v>45583</x:v>
      </x:c>
    </x:row>
    <x:row r="2141" ht="26" customHeight="1">
      <x:c r="A2141" s="2"/>
      <x:c r="B2141" s="2" t="n">
        <x:v>2136</x:v>
      </x:c>
      <x:c r="C2141" s="2" t="str">
        <x:v>Beauty / organic_sales_growth</x:v>
      </x:c>
      <x:c r="D2141" s="7" t="n">
        <x:v>45565</x:v>
      </x:c>
      <x:c r="E2141" s="2" t="str">
        <x:v>Pre-earnings</x:v>
      </x:c>
      <x:c r="F2141" s="7" t="n">
        <x:v>45582</x:v>
      </x:c>
      <x:c r="G2141" s="2" t="str">
        <x:v>Four-quarter mean</x:v>
      </x:c>
      <x:c r="H2141" s="8" t="n">
        <x:f>AVERAGE('PG facts'!F76,'PG facts'!F83,'PG facts'!F90,'PG facts'!F97)</x:f>
        <x:v>3</x:v>
      </x:c>
      <x:c r="I2141" s="8" t="n">
        <x:f>0</x:f>
        <x:v>0</x:v>
      </x:c>
      <x:c r="J2141" s="8" t="n">
        <x:v>0</x:v>
      </x:c>
      <x:c r="K2141" s="8" t="n">
        <x:f>H2141-I2141*J2141</x:f>
        <x:v>3</x:v>
      </x:c>
      <x:c r="L2141" s="8" t="n">
        <x:f>'PG facts'!F104</x:f>
        <x:v>-2</x:v>
      </x:c>
      <x:c r="M2141" s="8" t="n">
        <x:f>K2141-L2141</x:f>
        <x:v>5</x:v>
      </x:c>
      <x:c r="N2141" s="8" t="n">
        <x:f>M2141^2</x:f>
        <x:v>25</x:v>
      </x:c>
      <x:c r="O2141" s="8" t="n">
        <x:f>ABS(M2141)</x:f>
        <x:v>5</x:v>
      </x:c>
      <x:c r="P2141" s="7" t="n">
        <x:v>45583</x:v>
      </x:c>
    </x:row>
    <x:row r="2142" ht="26" customHeight="1">
      <x:c r="A2142" s="2"/>
      <x:c r="B2142" s="2" t="n">
        <x:v>2137</x:v>
      </x:c>
      <x:c r="C2142" s="2" t="str">
        <x:v>Beauty / organic_sales_growth</x:v>
      </x:c>
      <x:c r="D2142" s="7" t="n">
        <x:v>45565</x:v>
      </x:c>
      <x:c r="E2142" s="2" t="str">
        <x:v>Pre-earnings</x:v>
      </x:c>
      <x:c r="F2142" s="7" t="n">
        <x:v>45582</x:v>
      </x:c>
      <x:c r="G2142" s="2" t="str">
        <x:v>Broad market</x:v>
      </x:c>
      <x:c r="H2142" s="8" t="n">
        <x:f>'Model fits'!AA1386</x:f>
        <x:v>3.72020600712463</x:v>
      </x:c>
      <x:c r="I2142" s="8" t="n">
        <x:f>0</x:f>
        <x:v>0</x:v>
      </x:c>
      <x:c r="J2142" s="8" t="n">
        <x:v>0</x:v>
      </x:c>
      <x:c r="K2142" s="8" t="n">
        <x:f>H2142-I2142*J2142</x:f>
        <x:v>3.72020600712463</x:v>
      </x:c>
      <x:c r="L2142" s="8" t="n">
        <x:f>'PG facts'!F104</x:f>
        <x:v>-2</x:v>
      </x:c>
      <x:c r="M2142" s="8" t="n">
        <x:f>K2142-L2142</x:f>
        <x:v>5.72020600712463</x:v>
      </x:c>
      <x:c r="N2142" s="8" t="n">
        <x:f>M2142^2</x:f>
        <x:v>32.7207567639447</x:v>
      </x:c>
      <x:c r="O2142" s="8" t="n">
        <x:f>ABS(M2142)</x:f>
        <x:v>5.72020600712463</x:v>
      </x:c>
      <x:c r="P2142" s="7" t="n">
        <x:v>45583</x:v>
      </x:c>
    </x:row>
    <x:row r="2143" ht="26" customHeight="1">
      <x:c r="A2143" s="2"/>
      <x:c r="B2143" s="2" t="n">
        <x:v>2138</x:v>
      </x:c>
      <x:c r="C2143" s="2" t="str">
        <x:v>Beauty / organic_sales_growth</x:v>
      </x:c>
      <x:c r="D2143" s="7" t="n">
        <x:v>45565</x:v>
      </x:c>
      <x:c r="E2143" s="2" t="str">
        <x:v>Pre-earnings</x:v>
      </x:c>
      <x:c r="F2143" s="7" t="n">
        <x:v>45582</x:v>
      </x:c>
      <x:c r="G2143" s="2" t="str">
        <x:v>Broad lag 1</x:v>
      </x:c>
      <x:c r="H2143" s="8" t="n">
        <x:f>'Model fits'!AA1387</x:f>
        <x:v>4.776021135599103</x:v>
      </x:c>
      <x:c r="I2143" s="8" t="n">
        <x:f>0</x:f>
        <x:v>0</x:v>
      </x:c>
      <x:c r="J2143" s="8" t="n">
        <x:v>0</x:v>
      </x:c>
      <x:c r="K2143" s="8" t="n">
        <x:f>H2143-I2143*J2143</x:f>
        <x:v>4.776021135599103</x:v>
      </x:c>
      <x:c r="L2143" s="8" t="n">
        <x:f>'PG facts'!F104</x:f>
        <x:v>-2</x:v>
      </x:c>
      <x:c r="M2143" s="8" t="n">
        <x:f>K2143-L2143</x:f>
        <x:v>6.776021135599103</x:v>
      </x:c>
      <x:c r="N2143" s="8" t="n">
        <x:f>M2143^2</x:f>
        <x:v>45.914462430085756</x:v>
      </x:c>
      <x:c r="O2143" s="8" t="n">
        <x:f>ABS(M2143)</x:f>
        <x:v>6.776021135599103</x:v>
      </x:c>
      <x:c r="P2143" s="7" t="n">
        <x:v>45583</x:v>
      </x:c>
    </x:row>
    <x:row r="2144" ht="26" customHeight="1">
      <x:c r="A2144" s="2"/>
      <x:c r="B2144" s="2" t="n">
        <x:v>2139</x:v>
      </x:c>
      <x:c r="C2144" s="2" t="str">
        <x:v>Beauty / organic_sales_growth</x:v>
      </x:c>
      <x:c r="D2144" s="7" t="n">
        <x:v>45565</x:v>
      </x:c>
      <x:c r="E2144" s="2" t="str">
        <x:v>Pre-earnings</x:v>
      </x:c>
      <x:c r="F2144" s="7" t="n">
        <x:v>45582</x:v>
      </x:c>
      <x:c r="G2144" s="2" t="str">
        <x:v>Broad rolling 8</x:v>
      </x:c>
      <x:c r="H2144" s="8" t="n">
        <x:f>'Model fits'!AA1388</x:f>
        <x:v>4.210848424277034</x:v>
      </x:c>
      <x:c r="I2144" s="8" t="n">
        <x:f>0</x:f>
        <x:v>0</x:v>
      </x:c>
      <x:c r="J2144" s="8" t="n">
        <x:v>0</x:v>
      </x:c>
      <x:c r="K2144" s="8" t="n">
        <x:f>H2144-I2144*J2144</x:f>
        <x:v>4.210848424277034</x:v>
      </x:c>
      <x:c r="L2144" s="8" t="n">
        <x:f>'PG facts'!F104</x:f>
        <x:v>-2</x:v>
      </x:c>
      <x:c r="M2144" s="8" t="n">
        <x:f>K2144-L2144</x:f>
        <x:v>6.210848424277034</x:v>
      </x:c>
      <x:c r="N2144" s="8" t="n">
        <x:f>M2144^2</x:f>
        <x:v>38.57463814934452</x:v>
      </x:c>
      <x:c r="O2144" s="8" t="n">
        <x:f>ABS(M2144)</x:f>
        <x:v>6.210848424277034</x:v>
      </x:c>
      <x:c r="P2144" s="7" t="n">
        <x:v>45583</x:v>
      </x:c>
    </x:row>
    <x:row r="2145" ht="26" customHeight="1">
      <x:c r="A2145" s="2"/>
      <x:c r="B2145" s="2" t="n">
        <x:v>2140</x:v>
      </x:c>
      <x:c r="C2145" s="2" t="str">
        <x:v>Beauty / organic_sales_growth</x:v>
      </x:c>
      <x:c r="D2145" s="7" t="n">
        <x:v>45565</x:v>
      </x:c>
      <x:c r="E2145" s="2" t="str">
        <x:v>Pre-earnings</x:v>
      </x:c>
      <x:c r="F2145" s="7" t="n">
        <x:v>45582</x:v>
      </x:c>
      <x:c r="G2145" s="2" t="str">
        <x:v>Own history</x:v>
      </x:c>
      <x:c r="H2145" s="8" t="n">
        <x:f>'Model fits'!AA1389</x:f>
        <x:v>3.4357142857142855</x:v>
      </x:c>
      <x:c r="I2145" s="8" t="n">
        <x:f>0</x:f>
        <x:v>0</x:v>
      </x:c>
      <x:c r="J2145" s="8" t="n">
        <x:v>0</x:v>
      </x:c>
      <x:c r="K2145" s="8" t="n">
        <x:f>H2145-I2145*J2145</x:f>
        <x:v>3.4357142857142855</x:v>
      </x:c>
      <x:c r="L2145" s="8" t="n">
        <x:f>'PG facts'!F104</x:f>
        <x:v>-2</x:v>
      </x:c>
      <x:c r="M2145" s="8" t="n">
        <x:f>K2145-L2145</x:f>
        <x:v>5.435714285714285</x:v>
      </x:c>
      <x:c r="N2145" s="8" t="n">
        <x:f>M2145^2</x:f>
        <x:v>29.54698979591836</x:v>
      </x:c>
      <x:c r="O2145" s="8" t="n">
        <x:f>ABS(M2145)</x:f>
        <x:v>5.435714285714285</x:v>
      </x:c>
      <x:c r="P2145" s="7" t="n">
        <x:v>45583</x:v>
      </x:c>
    </x:row>
    <x:row r="2146" ht="26" customHeight="1">
      <x:c r="A2146" s="2"/>
      <x:c r="B2146" s="2" t="n">
        <x:v>2141</x:v>
      </x:c>
      <x:c r="C2146" s="2" t="str">
        <x:v>Beauty / organic_sales_growth</x:v>
      </x:c>
      <x:c r="D2146" s="7" t="n">
        <x:v>45657</x:v>
      </x:c>
      <x:c r="E2146" s="2" t="str">
        <x:v>Origin</x:v>
      </x:c>
      <x:c r="F2146" s="7" t="n">
        <x:v>45566</x:v>
      </x:c>
      <x:c r="G2146" s="2" t="str">
        <x:v>Last actual</x:v>
      </x:c>
      <x:c r="H2146" s="8" t="n">
        <x:f>AVERAGE('PG facts'!F97)</x:f>
        <x:v>3</x:v>
      </x:c>
      <x:c r="I2146" s="8" t="n">
        <x:f>0</x:f>
        <x:v>0</x:v>
      </x:c>
      <x:c r="J2146" s="8" t="n">
        <x:v>0</x:v>
      </x:c>
      <x:c r="K2146" s="8" t="n">
        <x:f>H2146-I2146*J2146</x:f>
        <x:v>3</x:v>
      </x:c>
      <x:c r="L2146" s="8" t="n">
        <x:f>'PG facts'!F111</x:f>
        <x:v>2</x:v>
      </x:c>
      <x:c r="M2146" s="8" t="n">
        <x:f>K2146-L2146</x:f>
        <x:v>1</x:v>
      </x:c>
      <x:c r="N2146" s="8" t="n">
        <x:f>M2146^2</x:f>
        <x:v>1</x:v>
      </x:c>
      <x:c r="O2146" s="8" t="n">
        <x:f>ABS(M2146)</x:f>
        <x:v>1</x:v>
      </x:c>
      <x:c r="P2146" s="7" t="n">
        <x:v>45679</x:v>
      </x:c>
    </x:row>
    <x:row r="2147" ht="26" customHeight="1">
      <x:c r="A2147" s="2"/>
      <x:c r="B2147" s="2" t="n">
        <x:v>2142</x:v>
      </x:c>
      <x:c r="C2147" s="2" t="str">
        <x:v>Beauty / organic_sales_growth</x:v>
      </x:c>
      <x:c r="D2147" s="7" t="n">
        <x:v>45657</x:v>
      </x:c>
      <x:c r="E2147" s="2" t="str">
        <x:v>Origin</x:v>
      </x:c>
      <x:c r="F2147" s="7" t="n">
        <x:v>45566</x:v>
      </x:c>
      <x:c r="G2147" s="2" t="str">
        <x:v>Four-quarter mean</x:v>
      </x:c>
      <x:c r="H2147" s="8" t="n">
        <x:f>AVERAGE('PG facts'!F76,'PG facts'!F83,'PG facts'!F90,'PG facts'!F97)</x:f>
        <x:v>3</x:v>
      </x:c>
      <x:c r="I2147" s="8" t="n">
        <x:f>0</x:f>
        <x:v>0</x:v>
      </x:c>
      <x:c r="J2147" s="8" t="n">
        <x:v>0</x:v>
      </x:c>
      <x:c r="K2147" s="8" t="n">
        <x:f>H2147-I2147*J2147</x:f>
        <x:v>3</x:v>
      </x:c>
      <x:c r="L2147" s="8" t="n">
        <x:f>'PG facts'!F111</x:f>
        <x:v>2</x:v>
      </x:c>
      <x:c r="M2147" s="8" t="n">
        <x:f>K2147-L2147</x:f>
        <x:v>1</x:v>
      </x:c>
      <x:c r="N2147" s="8" t="n">
        <x:f>M2147^2</x:f>
        <x:v>1</x:v>
      </x:c>
      <x:c r="O2147" s="8" t="n">
        <x:f>ABS(M2147)</x:f>
        <x:v>1</x:v>
      </x:c>
      <x:c r="P2147" s="7" t="n">
        <x:v>45679</x:v>
      </x:c>
    </x:row>
    <x:row r="2148" ht="26" customHeight="1">
      <x:c r="A2148" s="2"/>
      <x:c r="B2148" s="2" t="n">
        <x:v>2143</x:v>
      </x:c>
      <x:c r="C2148" s="2" t="str">
        <x:v>Beauty / organic_sales_growth</x:v>
      </x:c>
      <x:c r="D2148" s="7" t="n">
        <x:v>45657</x:v>
      </x:c>
      <x:c r="E2148" s="2" t="str">
        <x:v>Origin</x:v>
      </x:c>
      <x:c r="F2148" s="7" t="n">
        <x:v>45566</x:v>
      </x:c>
      <x:c r="G2148" s="2" t="str">
        <x:v>Broad market</x:v>
      </x:c>
      <x:c r="H2148" s="8" t="n">
        <x:f>'Model fits'!AA1390</x:f>
        <x:v>3.5590885170282993</x:v>
      </x:c>
      <x:c r="I2148" s="8" t="n">
        <x:f>0</x:f>
        <x:v>0</x:v>
      </x:c>
      <x:c r="J2148" s="8" t="n">
        <x:v>0</x:v>
      </x:c>
      <x:c r="K2148" s="8" t="n">
        <x:f>H2148-I2148*J2148</x:f>
        <x:v>3.5590885170282993</x:v>
      </x:c>
      <x:c r="L2148" s="8" t="n">
        <x:f>'PG facts'!F111</x:f>
        <x:v>2</x:v>
      </x:c>
      <x:c r="M2148" s="8" t="n">
        <x:f>K2148-L2148</x:f>
        <x:v>1.5590885170282993</x:v>
      </x:c>
      <x:c r="N2148" s="8" t="n">
        <x:f>M2148^2</x:f>
        <x:v>2.4307570039295014</x:v>
      </x:c>
      <x:c r="O2148" s="8" t="n">
        <x:f>ABS(M2148)</x:f>
        <x:v>1.5590885170282993</x:v>
      </x:c>
      <x:c r="P2148" s="7" t="n">
        <x:v>45679</x:v>
      </x:c>
    </x:row>
    <x:row r="2149" ht="26" customHeight="1">
      <x:c r="A2149" s="2"/>
      <x:c r="B2149" s="2" t="n">
        <x:v>2144</x:v>
      </x:c>
      <x:c r="C2149" s="2" t="str">
        <x:v>Beauty / organic_sales_growth</x:v>
      </x:c>
      <x:c r="D2149" s="7" t="n">
        <x:v>45657</x:v>
      </x:c>
      <x:c r="E2149" s="2" t="str">
        <x:v>Origin</x:v>
      </x:c>
      <x:c r="F2149" s="7" t="n">
        <x:v>45566</x:v>
      </x:c>
      <x:c r="G2149" s="2" t="str">
        <x:v>Broad rolling 8</x:v>
      </x:c>
      <x:c r="H2149" s="8" t="n">
        <x:f>'Model fits'!AA1391</x:f>
        <x:v>3.8324517959248663</x:v>
      </x:c>
      <x:c r="I2149" s="8" t="n">
        <x:f>0</x:f>
        <x:v>0</x:v>
      </x:c>
      <x:c r="J2149" s="8" t="n">
        <x:v>0</x:v>
      </x:c>
      <x:c r="K2149" s="8" t="n">
        <x:f>H2149-I2149*J2149</x:f>
        <x:v>3.8324517959248663</x:v>
      </x:c>
      <x:c r="L2149" s="8" t="n">
        <x:f>'PG facts'!F111</x:f>
        <x:v>2</x:v>
      </x:c>
      <x:c r="M2149" s="8" t="n">
        <x:f>K2149-L2149</x:f>
        <x:v>1.8324517959248663</x:v>
      </x:c>
      <x:c r="N2149" s="8" t="n">
        <x:f>M2149^2</x:f>
        <x:v>3.3578795843882676</x:v>
      </x:c>
      <x:c r="O2149" s="8" t="n">
        <x:f>ABS(M2149)</x:f>
        <x:v>1.8324517959248663</x:v>
      </x:c>
      <x:c r="P2149" s="7" t="n">
        <x:v>45679</x:v>
      </x:c>
    </x:row>
    <x:row r="2150" ht="26" customHeight="1">
      <x:c r="A2150" s="2"/>
      <x:c r="B2150" s="2" t="n">
        <x:v>2145</x:v>
      </x:c>
      <x:c r="C2150" s="2" t="str">
        <x:v>Beauty / organic_sales_growth</x:v>
      </x:c>
      <x:c r="D2150" s="7" t="n">
        <x:v>45657</x:v>
      </x:c>
      <x:c r="E2150" s="2" t="str">
        <x:v>Origin</x:v>
      </x:c>
      <x:c r="F2150" s="7" t="n">
        <x:v>45566</x:v>
      </x:c>
      <x:c r="G2150" s="2" t="str">
        <x:v>Own history</x:v>
      </x:c>
      <x:c r="H2150" s="8" t="n">
        <x:f>'Model fits'!AA1392</x:f>
        <x:v>3.8784313725490196</x:v>
      </x:c>
      <x:c r="I2150" s="8" t="n">
        <x:f>0</x:f>
        <x:v>0</x:v>
      </x:c>
      <x:c r="J2150" s="8" t="n">
        <x:v>0</x:v>
      </x:c>
      <x:c r="K2150" s="8" t="n">
        <x:f>H2150-I2150*J2150</x:f>
        <x:v>3.8784313725490196</x:v>
      </x:c>
      <x:c r="L2150" s="8" t="n">
        <x:f>'PG facts'!F111</x:f>
        <x:v>2</x:v>
      </x:c>
      <x:c r="M2150" s="8" t="n">
        <x:f>K2150-L2150</x:f>
        <x:v>1.8784313725490196</x:v>
      </x:c>
      <x:c r="N2150" s="8" t="n">
        <x:f>M2150^2</x:f>
        <x:v>3.5285044213763936</x:v>
      </x:c>
      <x:c r="O2150" s="8" t="n">
        <x:f>ABS(M2150)</x:f>
        <x:v>1.8784313725490196</x:v>
      </x:c>
      <x:c r="P2150" s="7" t="n">
        <x:v>45679</x:v>
      </x:c>
    </x:row>
    <x:row r="2151" ht="26" customHeight="1">
      <x:c r="A2151" s="2"/>
      <x:c r="B2151" s="2" t="n">
        <x:v>2146</x:v>
      </x:c>
      <x:c r="C2151" s="2" t="str">
        <x:v>Beauty / organic_sales_growth</x:v>
      </x:c>
      <x:c r="D2151" s="7" t="n">
        <x:v>45657</x:v>
      </x:c>
      <x:c r="E2151" s="2" t="str">
        <x:v>Prior report</x:v>
      </x:c>
      <x:c r="F2151" s="7" t="n">
        <x:v>45583</x:v>
      </x:c>
      <x:c r="G2151" s="2" t="str">
        <x:v>Last actual</x:v>
      </x:c>
      <x:c r="H2151" s="8" t="n">
        <x:f>AVERAGE('PG facts'!F104)</x:f>
        <x:v>-2</x:v>
      </x:c>
      <x:c r="I2151" s="8" t="n">
        <x:f>0</x:f>
        <x:v>0</x:v>
      </x:c>
      <x:c r="J2151" s="8" t="n">
        <x:v>0</x:v>
      </x:c>
      <x:c r="K2151" s="8" t="n">
        <x:f>H2151-I2151*J2151</x:f>
        <x:v>-2</x:v>
      </x:c>
      <x:c r="L2151" s="8" t="n">
        <x:f>'PG facts'!F111</x:f>
        <x:v>2</x:v>
      </x:c>
      <x:c r="M2151" s="8" t="n">
        <x:f>K2151-L2151</x:f>
        <x:v>-4</x:v>
      </x:c>
      <x:c r="N2151" s="8" t="n">
        <x:f>M2151^2</x:f>
        <x:v>16</x:v>
      </x:c>
      <x:c r="O2151" s="8" t="n">
        <x:f>ABS(M2151)</x:f>
        <x:v>4</x:v>
      </x:c>
      <x:c r="P2151" s="7" t="n">
        <x:v>45679</x:v>
      </x:c>
    </x:row>
    <x:row r="2152" ht="26" customHeight="1">
      <x:c r="A2152" s="2"/>
      <x:c r="B2152" s="2" t="n">
        <x:v>2147</x:v>
      </x:c>
      <x:c r="C2152" s="2" t="str">
        <x:v>Beauty / organic_sales_growth</x:v>
      </x:c>
      <x:c r="D2152" s="7" t="n">
        <x:v>45657</x:v>
      </x:c>
      <x:c r="E2152" s="2" t="str">
        <x:v>Prior report</x:v>
      </x:c>
      <x:c r="F2152" s="7" t="n">
        <x:v>45583</x:v>
      </x:c>
      <x:c r="G2152" s="2" t="str">
        <x:v>Four-quarter mean</x:v>
      </x:c>
      <x:c r="H2152" s="8" t="n">
        <x:f>AVERAGE('PG facts'!F83,'PG facts'!F90,'PG facts'!F97,'PG facts'!F104)</x:f>
        <x:v>1.25</x:v>
      </x:c>
      <x:c r="I2152" s="8" t="n">
        <x:f>0</x:f>
        <x:v>0</x:v>
      </x:c>
      <x:c r="J2152" s="8" t="n">
        <x:v>0</x:v>
      </x:c>
      <x:c r="K2152" s="8" t="n">
        <x:f>H2152-I2152*J2152</x:f>
        <x:v>1.25</x:v>
      </x:c>
      <x:c r="L2152" s="8" t="n">
        <x:f>'PG facts'!F111</x:f>
        <x:v>2</x:v>
      </x:c>
      <x:c r="M2152" s="8" t="n">
        <x:f>K2152-L2152</x:f>
        <x:v>-0.75</x:v>
      </x:c>
      <x:c r="N2152" s="8" t="n">
        <x:f>M2152^2</x:f>
        <x:v>0.5625</x:v>
      </x:c>
      <x:c r="O2152" s="8" t="n">
        <x:f>ABS(M2152)</x:f>
        <x:v>0.75</x:v>
      </x:c>
      <x:c r="P2152" s="7" t="n">
        <x:v>45679</x:v>
      </x:c>
    </x:row>
    <x:row r="2153" ht="26" customHeight="1">
      <x:c r="A2153" s="2"/>
      <x:c r="B2153" s="2" t="n">
        <x:v>2148</x:v>
      </x:c>
      <x:c r="C2153" s="2" t="str">
        <x:v>Beauty / organic_sales_growth</x:v>
      </x:c>
      <x:c r="D2153" s="7" t="n">
        <x:v>45657</x:v>
      </x:c>
      <x:c r="E2153" s="2" t="str">
        <x:v>Prior report</x:v>
      </x:c>
      <x:c r="F2153" s="7" t="n">
        <x:v>45583</x:v>
      </x:c>
      <x:c r="G2153" s="2" t="str">
        <x:v>Broad market</x:v>
      </x:c>
      <x:c r="H2153" s="8" t="n">
        <x:f>'Model fits'!AA1393</x:f>
        <x:v>3.242048712994393</x:v>
      </x:c>
      <x:c r="I2153" s="8" t="n">
        <x:f>0</x:f>
        <x:v>0</x:v>
      </x:c>
      <x:c r="J2153" s="8" t="n">
        <x:v>0</x:v>
      </x:c>
      <x:c r="K2153" s="8" t="n">
        <x:f>H2153-I2153*J2153</x:f>
        <x:v>3.242048712994393</x:v>
      </x:c>
      <x:c r="L2153" s="8" t="n">
        <x:f>'PG facts'!F111</x:f>
        <x:v>2</x:v>
      </x:c>
      <x:c r="M2153" s="8" t="n">
        <x:f>K2153-L2153</x:f>
        <x:v>1.242048712994393</x:v>
      </x:c>
      <x:c r="N2153" s="8" t="n">
        <x:f>M2153^2</x:f>
        <x:v>1.5426850054510277</x:v>
      </x:c>
      <x:c r="O2153" s="8" t="n">
        <x:f>ABS(M2153)</x:f>
        <x:v>1.242048712994393</x:v>
      </x:c>
      <x:c r="P2153" s="7" t="n">
        <x:v>45679</x:v>
      </x:c>
    </x:row>
    <x:row r="2154" ht="26" customHeight="1">
      <x:c r="A2154" s="2"/>
      <x:c r="B2154" s="2" t="n">
        <x:v>2149</x:v>
      </x:c>
      <x:c r="C2154" s="2" t="str">
        <x:v>Beauty / organic_sales_growth</x:v>
      </x:c>
      <x:c r="D2154" s="7" t="n">
        <x:v>45657</x:v>
      </x:c>
      <x:c r="E2154" s="2" t="str">
        <x:v>Prior report</x:v>
      </x:c>
      <x:c r="F2154" s="7" t="n">
        <x:v>45583</x:v>
      </x:c>
      <x:c r="G2154" s="2" t="str">
        <x:v>Broad lag 1</x:v>
      </x:c>
      <x:c r="H2154" s="8" t="n">
        <x:f>'Model fits'!AA1394</x:f>
        <x:v>3.418488019781978</x:v>
      </x:c>
      <x:c r="I2154" s="8" t="n">
        <x:f>0</x:f>
        <x:v>0</x:v>
      </x:c>
      <x:c r="J2154" s="8" t="n">
        <x:v>0</x:v>
      </x:c>
      <x:c r="K2154" s="8" t="n">
        <x:f>H2154-I2154*J2154</x:f>
        <x:v>3.418488019781978</x:v>
      </x:c>
      <x:c r="L2154" s="8" t="n">
        <x:f>'PG facts'!F111</x:f>
        <x:v>2</x:v>
      </x:c>
      <x:c r="M2154" s="8" t="n">
        <x:f>K2154-L2154</x:f>
        <x:v>1.4184880197819778</x:v>
      </x:c>
      <x:c r="N2154" s="8" t="n">
        <x:f>M2154^2</x:f>
        <x:v>2.012108262264997</x:v>
      </x:c>
      <x:c r="O2154" s="8" t="n">
        <x:f>ABS(M2154)</x:f>
        <x:v>1.4184880197819778</x:v>
      </x:c>
      <x:c r="P2154" s="7" t="n">
        <x:v>45679</x:v>
      </x:c>
    </x:row>
    <x:row r="2155" ht="26" customHeight="1">
      <x:c r="A2155" s="2"/>
      <x:c r="B2155" s="2" t="n">
        <x:v>2150</x:v>
      </x:c>
      <x:c r="C2155" s="2" t="str">
        <x:v>Beauty / organic_sales_growth</x:v>
      </x:c>
      <x:c r="D2155" s="7" t="n">
        <x:v>45657</x:v>
      </x:c>
      <x:c r="E2155" s="2" t="str">
        <x:v>Prior report</x:v>
      </x:c>
      <x:c r="F2155" s="7" t="n">
        <x:v>45583</x:v>
      </x:c>
      <x:c r="G2155" s="2" t="str">
        <x:v>Broad rolling 8</x:v>
      </x:c>
      <x:c r="H2155" s="8" t="n">
        <x:f>'Model fits'!AA1395</x:f>
        <x:v>3.3165772969110883</x:v>
      </x:c>
      <x:c r="I2155" s="8" t="n">
        <x:f>0</x:f>
        <x:v>0</x:v>
      </x:c>
      <x:c r="J2155" s="8" t="n">
        <x:v>0</x:v>
      </x:c>
      <x:c r="K2155" s="8" t="n">
        <x:f>H2155-I2155*J2155</x:f>
        <x:v>3.3165772969110883</x:v>
      </x:c>
      <x:c r="L2155" s="8" t="n">
        <x:f>'PG facts'!F111</x:f>
        <x:v>2</x:v>
      </x:c>
      <x:c r="M2155" s="8" t="n">
        <x:f>K2155-L2155</x:f>
        <x:v>1.3165772969110883</x:v>
      </x:c>
      <x:c r="N2155" s="8" t="n">
        <x:f>M2155^2</x:f>
        <x:v>1.733375778741708</x:v>
      </x:c>
      <x:c r="O2155" s="8" t="n">
        <x:f>ABS(M2155)</x:f>
        <x:v>1.3165772969110883</x:v>
      </x:c>
      <x:c r="P2155" s="7" t="n">
        <x:v>45679</x:v>
      </x:c>
    </x:row>
    <x:row r="2156" ht="26" customHeight="1">
      <x:c r="A2156" s="2"/>
      <x:c r="B2156" s="2" t="n">
        <x:v>2151</x:v>
      </x:c>
      <x:c r="C2156" s="2" t="str">
        <x:v>Beauty / organic_sales_growth</x:v>
      </x:c>
      <x:c r="D2156" s="7" t="n">
        <x:v>45657</x:v>
      </x:c>
      <x:c r="E2156" s="2" t="str">
        <x:v>Prior report</x:v>
      </x:c>
      <x:c r="F2156" s="7" t="n">
        <x:v>45583</x:v>
      </x:c>
      <x:c r="G2156" s="2" t="str">
        <x:v>Own history</x:v>
      </x:c>
      <x:c r="H2156" s="8" t="n">
        <x:f>'Model fits'!AA1396</x:f>
        <x:v>0.9442622950819661</x:v>
      </x:c>
      <x:c r="I2156" s="8" t="n">
        <x:f>0</x:f>
        <x:v>0</x:v>
      </x:c>
      <x:c r="J2156" s="8" t="n">
        <x:v>0</x:v>
      </x:c>
      <x:c r="K2156" s="8" t="n">
        <x:f>H2156-I2156*J2156</x:f>
        <x:v>0.9442622950819661</x:v>
      </x:c>
      <x:c r="L2156" s="8" t="n">
        <x:f>'PG facts'!F111</x:f>
        <x:v>2</x:v>
      </x:c>
      <x:c r="M2156" s="8" t="n">
        <x:f>K2156-L2156</x:f>
        <x:v>-1.0557377049180339</x:v>
      </x:c>
      <x:c r="N2156" s="8" t="n">
        <x:f>M2156^2</x:f>
        <x:v>1.1145821015855975</x:v>
      </x:c>
      <x:c r="O2156" s="8" t="n">
        <x:f>ABS(M2156)</x:f>
        <x:v>1.0557377049180339</x:v>
      </x:c>
      <x:c r="P2156" s="7" t="n">
        <x:v>45679</x:v>
      </x:c>
    </x:row>
    <x:row r="2157" ht="26" customHeight="1">
      <x:c r="A2157" s="2"/>
      <x:c r="B2157" s="2" t="n">
        <x:v>2152</x:v>
      </x:c>
      <x:c r="C2157" s="2" t="str">
        <x:v>Beauty / organic_sales_growth</x:v>
      </x:c>
      <x:c r="D2157" s="7" t="n">
        <x:v>45657</x:v>
      </x:c>
      <x:c r="E2157" s="2" t="str">
        <x:v>Pre-earnings</x:v>
      </x:c>
      <x:c r="F2157" s="7" t="n">
        <x:v>45678</x:v>
      </x:c>
      <x:c r="G2157" s="2" t="str">
        <x:v>Last actual</x:v>
      </x:c>
      <x:c r="H2157" s="8" t="n">
        <x:f>AVERAGE('PG facts'!F104)</x:f>
        <x:v>-2</x:v>
      </x:c>
      <x:c r="I2157" s="8" t="n">
        <x:f>0</x:f>
        <x:v>0</x:v>
      </x:c>
      <x:c r="J2157" s="8" t="n">
        <x:v>0</x:v>
      </x:c>
      <x:c r="K2157" s="8" t="n">
        <x:f>H2157-I2157*J2157</x:f>
        <x:v>-2</x:v>
      </x:c>
      <x:c r="L2157" s="8" t="n">
        <x:f>'PG facts'!F111</x:f>
        <x:v>2</x:v>
      </x:c>
      <x:c r="M2157" s="8" t="n">
        <x:f>K2157-L2157</x:f>
        <x:v>-4</x:v>
      </x:c>
      <x:c r="N2157" s="8" t="n">
        <x:f>M2157^2</x:f>
        <x:v>16</x:v>
      </x:c>
      <x:c r="O2157" s="8" t="n">
        <x:f>ABS(M2157)</x:f>
        <x:v>4</x:v>
      </x:c>
      <x:c r="P2157" s="7" t="n">
        <x:v>45679</x:v>
      </x:c>
    </x:row>
    <x:row r="2158" ht="26" customHeight="1">
      <x:c r="A2158" s="2"/>
      <x:c r="B2158" s="2" t="n">
        <x:v>2153</x:v>
      </x:c>
      <x:c r="C2158" s="2" t="str">
        <x:v>Beauty / organic_sales_growth</x:v>
      </x:c>
      <x:c r="D2158" s="7" t="n">
        <x:v>45657</x:v>
      </x:c>
      <x:c r="E2158" s="2" t="str">
        <x:v>Pre-earnings</x:v>
      </x:c>
      <x:c r="F2158" s="7" t="n">
        <x:v>45678</x:v>
      </x:c>
      <x:c r="G2158" s="2" t="str">
        <x:v>Four-quarter mean</x:v>
      </x:c>
      <x:c r="H2158" s="8" t="n">
        <x:f>AVERAGE('PG facts'!F83,'PG facts'!F90,'PG facts'!F97,'PG facts'!F104)</x:f>
        <x:v>1.25</x:v>
      </x:c>
      <x:c r="I2158" s="8" t="n">
        <x:f>0</x:f>
        <x:v>0</x:v>
      </x:c>
      <x:c r="J2158" s="8" t="n">
        <x:v>0</x:v>
      </x:c>
      <x:c r="K2158" s="8" t="n">
        <x:f>H2158-I2158*J2158</x:f>
        <x:v>1.25</x:v>
      </x:c>
      <x:c r="L2158" s="8" t="n">
        <x:f>'PG facts'!F111</x:f>
        <x:v>2</x:v>
      </x:c>
      <x:c r="M2158" s="8" t="n">
        <x:f>K2158-L2158</x:f>
        <x:v>-0.75</x:v>
      </x:c>
      <x:c r="N2158" s="8" t="n">
        <x:f>M2158^2</x:f>
        <x:v>0.5625</x:v>
      </x:c>
      <x:c r="O2158" s="8" t="n">
        <x:f>ABS(M2158)</x:f>
        <x:v>0.75</x:v>
      </x:c>
      <x:c r="P2158" s="7" t="n">
        <x:v>45679</x:v>
      </x:c>
    </x:row>
    <x:row r="2159" ht="26" customHeight="1">
      <x:c r="A2159" s="2"/>
      <x:c r="B2159" s="2" t="n">
        <x:v>2154</x:v>
      </x:c>
      <x:c r="C2159" s="2" t="str">
        <x:v>Beauty / organic_sales_growth</x:v>
      </x:c>
      <x:c r="D2159" s="7" t="n">
        <x:v>45657</x:v>
      </x:c>
      <x:c r="E2159" s="2" t="str">
        <x:v>Pre-earnings</x:v>
      </x:c>
      <x:c r="F2159" s="7" t="n">
        <x:v>45678</x:v>
      </x:c>
      <x:c r="G2159" s="2" t="str">
        <x:v>Broad market</x:v>
      </x:c>
      <x:c r="H2159" s="8" t="n">
        <x:f>'Model fits'!AA1397</x:f>
        <x:v>2.8458220700894685</x:v>
      </x:c>
      <x:c r="I2159" s="8" t="n">
        <x:f>0</x:f>
        <x:v>0</x:v>
      </x:c>
      <x:c r="J2159" s="8" t="n">
        <x:v>0</x:v>
      </x:c>
      <x:c r="K2159" s="8" t="n">
        <x:f>H2159-I2159*J2159</x:f>
        <x:v>2.8458220700894685</x:v>
      </x:c>
      <x:c r="L2159" s="8" t="n">
        <x:f>'PG facts'!F111</x:f>
        <x:v>2</x:v>
      </x:c>
      <x:c r="M2159" s="8" t="n">
        <x:f>K2159-L2159</x:f>
        <x:v>0.8458220700894685</x:v>
      </x:c>
      <x:c r="N2159" s="8" t="n">
        <x:f>M2159^2</x:f>
        <x:v>0.7154149742504338</x:v>
      </x:c>
      <x:c r="O2159" s="8" t="n">
        <x:f>ABS(M2159)</x:f>
        <x:v>0.8458220700894685</x:v>
      </x:c>
      <x:c r="P2159" s="7" t="n">
        <x:v>45679</x:v>
      </x:c>
    </x:row>
    <x:row r="2160" ht="26" customHeight="1">
      <x:c r="A2160" s="2"/>
      <x:c r="B2160" s="2" t="n">
        <x:v>2155</x:v>
      </x:c>
      <x:c r="C2160" s="2" t="str">
        <x:v>Beauty / organic_sales_growth</x:v>
      </x:c>
      <x:c r="D2160" s="7" t="n">
        <x:v>45657</x:v>
      </x:c>
      <x:c r="E2160" s="2" t="str">
        <x:v>Pre-earnings</x:v>
      </x:c>
      <x:c r="F2160" s="7" t="n">
        <x:v>45678</x:v>
      </x:c>
      <x:c r="G2160" s="2" t="str">
        <x:v>Broad lag 1</x:v>
      </x:c>
      <x:c r="H2160" s="8" t="n">
        <x:f>'Model fits'!AA1398</x:f>
        <x:v>3.4188033726384903</x:v>
      </x:c>
      <x:c r="I2160" s="8" t="n">
        <x:f>0</x:f>
        <x:v>0</x:v>
      </x:c>
      <x:c r="J2160" s="8" t="n">
        <x:v>0</x:v>
      </x:c>
      <x:c r="K2160" s="8" t="n">
        <x:f>H2160-I2160*J2160</x:f>
        <x:v>3.4188033726384903</x:v>
      </x:c>
      <x:c r="L2160" s="8" t="n">
        <x:f>'PG facts'!F111</x:f>
        <x:v>2</x:v>
      </x:c>
      <x:c r="M2160" s="8" t="n">
        <x:f>K2160-L2160</x:f>
        <x:v>1.4188033726384903</x:v>
      </x:c>
      <x:c r="N2160" s="8" t="n">
        <x:f>M2160^2</x:f>
        <x:v>2.0130030102103547</x:v>
      </x:c>
      <x:c r="O2160" s="8" t="n">
        <x:f>ABS(M2160)</x:f>
        <x:v>1.4188033726384903</x:v>
      </x:c>
      <x:c r="P2160" s="7" t="n">
        <x:v>45679</x:v>
      </x:c>
    </x:row>
    <x:row r="2161" ht="26" customHeight="1">
      <x:c r="A2161" s="2"/>
      <x:c r="B2161" s="2" t="n">
        <x:v>2156</x:v>
      </x:c>
      <x:c r="C2161" s="2" t="str">
        <x:v>Beauty / organic_sales_growth</x:v>
      </x:c>
      <x:c r="D2161" s="7" t="n">
        <x:v>45657</x:v>
      </x:c>
      <x:c r="E2161" s="2" t="str">
        <x:v>Pre-earnings</x:v>
      </x:c>
      <x:c r="F2161" s="7" t="n">
        <x:v>45678</x:v>
      </x:c>
      <x:c r="G2161" s="2" t="str">
        <x:v>Broad rolling 8</x:v>
      </x:c>
      <x:c r="H2161" s="8" t="n">
        <x:f>'Model fits'!AA1399</x:f>
        <x:v>2.3704640632015357</x:v>
      </x:c>
      <x:c r="I2161" s="8" t="n">
        <x:f>0</x:f>
        <x:v>0</x:v>
      </x:c>
      <x:c r="J2161" s="8" t="n">
        <x:v>0</x:v>
      </x:c>
      <x:c r="K2161" s="8" t="n">
        <x:f>H2161-I2161*J2161</x:f>
        <x:v>2.3704640632015357</x:v>
      </x:c>
      <x:c r="L2161" s="8" t="n">
        <x:f>'PG facts'!F111</x:f>
        <x:v>2</x:v>
      </x:c>
      <x:c r="M2161" s="8" t="n">
        <x:f>K2161-L2161</x:f>
        <x:v>0.3704640632015357</x:v>
      </x:c>
      <x:c r="N2161" s="8" t="n">
        <x:f>M2161^2</x:f>
        <x:v>0.13724362212379143</x:v>
      </x:c>
      <x:c r="O2161" s="8" t="n">
        <x:f>ABS(M2161)</x:f>
        <x:v>0.3704640632015357</x:v>
      </x:c>
      <x:c r="P2161" s="7" t="n">
        <x:v>45679</x:v>
      </x:c>
    </x:row>
    <x:row r="2162" ht="26" customHeight="1">
      <x:c r="A2162" s="2"/>
      <x:c r="B2162" s="2" t="n">
        <x:v>2157</x:v>
      </x:c>
      <x:c r="C2162" s="2" t="str">
        <x:v>Beauty / organic_sales_growth</x:v>
      </x:c>
      <x:c r="D2162" s="7" t="n">
        <x:v>45657</x:v>
      </x:c>
      <x:c r="E2162" s="2" t="str">
        <x:v>Pre-earnings</x:v>
      </x:c>
      <x:c r="F2162" s="7" t="n">
        <x:v>45678</x:v>
      </x:c>
      <x:c r="G2162" s="2" t="str">
        <x:v>Own history</x:v>
      </x:c>
      <x:c r="H2162" s="8" t="n">
        <x:f>'Model fits'!AA1400</x:f>
        <x:v>0.9442622950819661</x:v>
      </x:c>
      <x:c r="I2162" s="8" t="n">
        <x:f>0</x:f>
        <x:v>0</x:v>
      </x:c>
      <x:c r="J2162" s="8" t="n">
        <x:v>0</x:v>
      </x:c>
      <x:c r="K2162" s="8" t="n">
        <x:f>H2162-I2162*J2162</x:f>
        <x:v>0.9442622950819661</x:v>
      </x:c>
      <x:c r="L2162" s="8" t="n">
        <x:f>'PG facts'!F111</x:f>
        <x:v>2</x:v>
      </x:c>
      <x:c r="M2162" s="8" t="n">
        <x:f>K2162-L2162</x:f>
        <x:v>-1.0557377049180339</x:v>
      </x:c>
      <x:c r="N2162" s="8" t="n">
        <x:f>M2162^2</x:f>
        <x:v>1.1145821015855975</x:v>
      </x:c>
      <x:c r="O2162" s="8" t="n">
        <x:f>ABS(M2162)</x:f>
        <x:v>1.0557377049180339</x:v>
      </x:c>
      <x:c r="P2162" s="7" t="n">
        <x:v>45679</x:v>
      </x:c>
    </x:row>
    <x:row r="2163" ht="26" customHeight="1">
      <x:c r="A2163" s="2"/>
      <x:c r="B2163" s="2" t="n">
        <x:v>2158</x:v>
      </x:c>
      <x:c r="C2163" s="2" t="str">
        <x:v>Beauty / organic_sales_growth</x:v>
      </x:c>
      <x:c r="D2163" s="7" t="n">
        <x:v>45747</x:v>
      </x:c>
      <x:c r="E2163" s="2" t="str">
        <x:v>Origin</x:v>
      </x:c>
      <x:c r="F2163" s="7" t="n">
        <x:v>45658</x:v>
      </x:c>
      <x:c r="G2163" s="2" t="str">
        <x:v>Last actual</x:v>
      </x:c>
      <x:c r="H2163" s="8" t="n">
        <x:f>AVERAGE('PG facts'!F104)</x:f>
        <x:v>-2</x:v>
      </x:c>
      <x:c r="I2163" s="8" t="n">
        <x:f>0</x:f>
        <x:v>0</x:v>
      </x:c>
      <x:c r="J2163" s="8" t="n">
        <x:v>0</x:v>
      </x:c>
      <x:c r="K2163" s="8" t="n">
        <x:f>H2163-I2163*J2163</x:f>
        <x:v>-2</x:v>
      </x:c>
      <x:c r="L2163" s="8" t="n">
        <x:f>'PG facts'!F118</x:f>
        <x:v>2</x:v>
      </x:c>
      <x:c r="M2163" s="8" t="n">
        <x:f>K2163-L2163</x:f>
        <x:v>-4</x:v>
      </x:c>
      <x:c r="N2163" s="8" t="n">
        <x:f>M2163^2</x:f>
        <x:v>16</x:v>
      </x:c>
      <x:c r="O2163" s="8" t="n">
        <x:f>ABS(M2163)</x:f>
        <x:v>4</x:v>
      </x:c>
      <x:c r="P2163" s="7" t="n">
        <x:v>45771</x:v>
      </x:c>
    </x:row>
    <x:row r="2164" ht="26" customHeight="1">
      <x:c r="A2164" s="2"/>
      <x:c r="B2164" s="2" t="n">
        <x:v>2159</x:v>
      </x:c>
      <x:c r="C2164" s="2" t="str">
        <x:v>Beauty / organic_sales_growth</x:v>
      </x:c>
      <x:c r="D2164" s="7" t="n">
        <x:v>45747</x:v>
      </x:c>
      <x:c r="E2164" s="2" t="str">
        <x:v>Origin</x:v>
      </x:c>
      <x:c r="F2164" s="7" t="n">
        <x:v>45658</x:v>
      </x:c>
      <x:c r="G2164" s="2" t="str">
        <x:v>Four-quarter mean</x:v>
      </x:c>
      <x:c r="H2164" s="8" t="n">
        <x:f>AVERAGE('PG facts'!F83,'PG facts'!F90,'PG facts'!F97,'PG facts'!F104)</x:f>
        <x:v>1.25</x:v>
      </x:c>
      <x:c r="I2164" s="8" t="n">
        <x:f>0</x:f>
        <x:v>0</x:v>
      </x:c>
      <x:c r="J2164" s="8" t="n">
        <x:v>0</x:v>
      </x:c>
      <x:c r="K2164" s="8" t="n">
        <x:f>H2164-I2164*J2164</x:f>
        <x:v>1.25</x:v>
      </x:c>
      <x:c r="L2164" s="8" t="n">
        <x:f>'PG facts'!F118</x:f>
        <x:v>2</x:v>
      </x:c>
      <x:c r="M2164" s="8" t="n">
        <x:f>K2164-L2164</x:f>
        <x:v>-0.75</x:v>
      </x:c>
      <x:c r="N2164" s="8" t="n">
        <x:f>M2164^2</x:f>
        <x:v>0.5625</x:v>
      </x:c>
      <x:c r="O2164" s="8" t="n">
        <x:f>ABS(M2164)</x:f>
        <x:v>0.75</x:v>
      </x:c>
      <x:c r="P2164" s="7" t="n">
        <x:v>45771</x:v>
      </x:c>
    </x:row>
    <x:row r="2165" ht="26" customHeight="1">
      <x:c r="A2165" s="2"/>
      <x:c r="B2165" s="2" t="n">
        <x:v>2160</x:v>
      </x:c>
      <x:c r="C2165" s="2" t="str">
        <x:v>Beauty / organic_sales_growth</x:v>
      </x:c>
      <x:c r="D2165" s="7" t="n">
        <x:v>45747</x:v>
      </x:c>
      <x:c r="E2165" s="2" t="str">
        <x:v>Origin</x:v>
      </x:c>
      <x:c r="F2165" s="7" t="n">
        <x:v>45658</x:v>
      </x:c>
      <x:c r="G2165" s="2" t="str">
        <x:v>Broad market</x:v>
      </x:c>
      <x:c r="H2165" s="8" t="n">
        <x:f>'Model fits'!AA1401</x:f>
        <x:v>2.9647515036389636</x:v>
      </x:c>
      <x:c r="I2165" s="8" t="n">
        <x:f>0</x:f>
        <x:v>0</x:v>
      </x:c>
      <x:c r="J2165" s="8" t="n">
        <x:v>0</x:v>
      </x:c>
      <x:c r="K2165" s="8" t="n">
        <x:f>H2165-I2165*J2165</x:f>
        <x:v>2.9647515036389636</x:v>
      </x:c>
      <x:c r="L2165" s="8" t="n">
        <x:f>'PG facts'!F118</x:f>
        <x:v>2</x:v>
      </x:c>
      <x:c r="M2165" s="8" t="n">
        <x:f>K2165-L2165</x:f>
        <x:v>0.9647515036389636</x:v>
      </x:c>
      <x:c r="N2165" s="8" t="n">
        <x:f>M2165^2</x:f>
        <x:v>0.9307454637736411</x:v>
      </x:c>
      <x:c r="O2165" s="8" t="n">
        <x:f>ABS(M2165)</x:f>
        <x:v>0.9647515036389636</x:v>
      </x:c>
      <x:c r="P2165" s="7" t="n">
        <x:v>45771</x:v>
      </x:c>
    </x:row>
    <x:row r="2166" ht="26" customHeight="1">
      <x:c r="A2166" s="2"/>
      <x:c r="B2166" s="2" t="n">
        <x:v>2161</x:v>
      </x:c>
      <x:c r="C2166" s="2" t="str">
        <x:v>Beauty / organic_sales_growth</x:v>
      </x:c>
      <x:c r="D2166" s="7" t="n">
        <x:v>45747</x:v>
      </x:c>
      <x:c r="E2166" s="2" t="str">
        <x:v>Origin</x:v>
      </x:c>
      <x:c r="F2166" s="7" t="n">
        <x:v>45658</x:v>
      </x:c>
      <x:c r="G2166" s="2" t="str">
        <x:v>Broad rolling 8</x:v>
      </x:c>
      <x:c r="H2166" s="8" t="n">
        <x:f>'Model fits'!AA1402</x:f>
        <x:v>2.6585220457709045</x:v>
      </x:c>
      <x:c r="I2166" s="8" t="n">
        <x:f>0</x:f>
        <x:v>0</x:v>
      </x:c>
      <x:c r="J2166" s="8" t="n">
        <x:v>0</x:v>
      </x:c>
      <x:c r="K2166" s="8" t="n">
        <x:f>H2166-I2166*J2166</x:f>
        <x:v>2.6585220457709045</x:v>
      </x:c>
      <x:c r="L2166" s="8" t="n">
        <x:f>'PG facts'!F118</x:f>
        <x:v>2</x:v>
      </x:c>
      <x:c r="M2166" s="8" t="n">
        <x:f>K2166-L2166</x:f>
        <x:v>0.6585220457709045</x:v>
      </x:c>
      <x:c r="N2166" s="8" t="n">
        <x:f>M2166^2</x:f>
        <x:v>0.43365128476629716</x:v>
      </x:c>
      <x:c r="O2166" s="8" t="n">
        <x:f>ABS(M2166)</x:f>
        <x:v>0.6585220457709045</x:v>
      </x:c>
      <x:c r="P2166" s="7" t="n">
        <x:v>45771</x:v>
      </x:c>
    </x:row>
    <x:row r="2167" ht="26" customHeight="1">
      <x:c r="A2167" s="2"/>
      <x:c r="B2167" s="2" t="n">
        <x:v>2162</x:v>
      </x:c>
      <x:c r="C2167" s="2" t="str">
        <x:v>Beauty / organic_sales_growth</x:v>
      </x:c>
      <x:c r="D2167" s="7" t="n">
        <x:v>45747</x:v>
      </x:c>
      <x:c r="E2167" s="2" t="str">
        <x:v>Origin</x:v>
      </x:c>
      <x:c r="F2167" s="7" t="n">
        <x:v>45658</x:v>
      </x:c>
      <x:c r="G2167" s="2" t="str">
        <x:v>Own history</x:v>
      </x:c>
      <x:c r="H2167" s="8" t="n">
        <x:f>'Model fits'!AA1403</x:f>
        <x:v>3.8857142857142852</x:v>
      </x:c>
      <x:c r="I2167" s="8" t="n">
        <x:f>0</x:f>
        <x:v>0</x:v>
      </x:c>
      <x:c r="J2167" s="8" t="n">
        <x:v>0</x:v>
      </x:c>
      <x:c r="K2167" s="8" t="n">
        <x:f>H2167-I2167*J2167</x:f>
        <x:v>3.8857142857142852</x:v>
      </x:c>
      <x:c r="L2167" s="8" t="n">
        <x:f>'PG facts'!F118</x:f>
        <x:v>2</x:v>
      </x:c>
      <x:c r="M2167" s="8" t="n">
        <x:f>K2167-L2167</x:f>
        <x:v>1.8857142857142852</x:v>
      </x:c>
      <x:c r="N2167" s="8" t="n">
        <x:f>M2167^2</x:f>
        <x:v>3.555918367346937</x:v>
      </x:c>
      <x:c r="O2167" s="8" t="n">
        <x:f>ABS(M2167)</x:f>
        <x:v>1.8857142857142852</x:v>
      </x:c>
      <x:c r="P2167" s="7" t="n">
        <x:v>45771</x:v>
      </x:c>
    </x:row>
    <x:row r="2168" ht="26" customHeight="1">
      <x:c r="A2168" s="2"/>
      <x:c r="B2168" s="2" t="n">
        <x:v>2163</x:v>
      </x:c>
      <x:c r="C2168" s="2" t="str">
        <x:v>Beauty / organic_sales_growth</x:v>
      </x:c>
      <x:c r="D2168" s="7" t="n">
        <x:v>45747</x:v>
      </x:c>
      <x:c r="E2168" s="2" t="str">
        <x:v>Prior report</x:v>
      </x:c>
      <x:c r="F2168" s="7" t="n">
        <x:v>45679</x:v>
      </x:c>
      <x:c r="G2168" s="2" t="str">
        <x:v>Last actual</x:v>
      </x:c>
      <x:c r="H2168" s="8" t="n">
        <x:f>AVERAGE('PG facts'!F111)</x:f>
        <x:v>2</x:v>
      </x:c>
      <x:c r="I2168" s="8" t="n">
        <x:f>0</x:f>
        <x:v>0</x:v>
      </x:c>
      <x:c r="J2168" s="8" t="n">
        <x:v>0</x:v>
      </x:c>
      <x:c r="K2168" s="8" t="n">
        <x:f>H2168-I2168*J2168</x:f>
        <x:v>2</x:v>
      </x:c>
      <x:c r="L2168" s="8" t="n">
        <x:f>'PG facts'!F118</x:f>
        <x:v>2</x:v>
      </x:c>
      <x:c r="M2168" s="8" t="n">
        <x:f>K2168-L2168</x:f>
        <x:v>0</x:v>
      </x:c>
      <x:c r="N2168" s="8" t="n">
        <x:f>M2168^2</x:f>
        <x:v>0</x:v>
      </x:c>
      <x:c r="O2168" s="8" t="n">
        <x:f>ABS(M2168)</x:f>
        <x:v>0</x:v>
      </x:c>
      <x:c r="P2168" s="7" t="n">
        <x:v>45771</x:v>
      </x:c>
    </x:row>
    <x:row r="2169" ht="26" customHeight="1">
      <x:c r="A2169" s="2"/>
      <x:c r="B2169" s="2" t="n">
        <x:v>2164</x:v>
      </x:c>
      <x:c r="C2169" s="2" t="str">
        <x:v>Beauty / organic_sales_growth</x:v>
      </x:c>
      <x:c r="D2169" s="7" t="n">
        <x:v>45747</x:v>
      </x:c>
      <x:c r="E2169" s="2" t="str">
        <x:v>Prior report</x:v>
      </x:c>
      <x:c r="F2169" s="7" t="n">
        <x:v>45679</x:v>
      </x:c>
      <x:c r="G2169" s="2" t="str">
        <x:v>Four-quarter mean</x:v>
      </x:c>
      <x:c r="H2169" s="8" t="n">
        <x:f>AVERAGE('PG facts'!F90,'PG facts'!F97,'PG facts'!F104,'PG facts'!F111)</x:f>
        <x:v>1.5</x:v>
      </x:c>
      <x:c r="I2169" s="8" t="n">
        <x:f>0</x:f>
        <x:v>0</x:v>
      </x:c>
      <x:c r="J2169" s="8" t="n">
        <x:v>0</x:v>
      </x:c>
      <x:c r="K2169" s="8" t="n">
        <x:f>H2169-I2169*J2169</x:f>
        <x:v>1.5</x:v>
      </x:c>
      <x:c r="L2169" s="8" t="n">
        <x:f>'PG facts'!F118</x:f>
        <x:v>2</x:v>
      </x:c>
      <x:c r="M2169" s="8" t="n">
        <x:f>K2169-L2169</x:f>
        <x:v>-0.5</x:v>
      </x:c>
      <x:c r="N2169" s="8" t="n">
        <x:f>M2169^2</x:f>
        <x:v>0.25</x:v>
      </x:c>
      <x:c r="O2169" s="8" t="n">
        <x:f>ABS(M2169)</x:f>
        <x:v>0.5</x:v>
      </x:c>
      <x:c r="P2169" s="7" t="n">
        <x:v>45771</x:v>
      </x:c>
    </x:row>
    <x:row r="2170" ht="26" customHeight="1">
      <x:c r="A2170" s="2"/>
      <x:c r="B2170" s="2" t="n">
        <x:v>2165</x:v>
      </x:c>
      <x:c r="C2170" s="2" t="str">
        <x:v>Beauty / organic_sales_growth</x:v>
      </x:c>
      <x:c r="D2170" s="7" t="n">
        <x:v>45747</x:v>
      </x:c>
      <x:c r="E2170" s="2" t="str">
        <x:v>Prior report</x:v>
      </x:c>
      <x:c r="F2170" s="7" t="n">
        <x:v>45679</x:v>
      </x:c>
      <x:c r="G2170" s="2" t="str">
        <x:v>Broad market</x:v>
      </x:c>
      <x:c r="H2170" s="8" t="n">
        <x:f>'Model fits'!AA1404</x:f>
        <x:v>2.7490708245247584</x:v>
      </x:c>
      <x:c r="I2170" s="8" t="n">
        <x:f>0</x:f>
        <x:v>0</x:v>
      </x:c>
      <x:c r="J2170" s="8" t="n">
        <x:v>0</x:v>
      </x:c>
      <x:c r="K2170" s="8" t="n">
        <x:f>H2170-I2170*J2170</x:f>
        <x:v>2.7490708245247584</x:v>
      </x:c>
      <x:c r="L2170" s="8" t="n">
        <x:f>'PG facts'!F118</x:f>
        <x:v>2</x:v>
      </x:c>
      <x:c r="M2170" s="8" t="n">
        <x:f>K2170-L2170</x:f>
        <x:v>0.7490708245247584</x:v>
      </x:c>
      <x:c r="N2170" s="8" t="n">
        <x:f>M2170^2</x:f>
        <x:v>0.5611071001542014</x:v>
      </x:c>
      <x:c r="O2170" s="8" t="n">
        <x:f>ABS(M2170)</x:f>
        <x:v>0.7490708245247584</x:v>
      </x:c>
      <x:c r="P2170" s="7" t="n">
        <x:v>45771</x:v>
      </x:c>
    </x:row>
    <x:row r="2171" ht="26" customHeight="1">
      <x:c r="A2171" s="2"/>
      <x:c r="B2171" s="2" t="n">
        <x:v>2166</x:v>
      </x:c>
      <x:c r="C2171" s="2" t="str">
        <x:v>Beauty / organic_sales_growth</x:v>
      </x:c>
      <x:c r="D2171" s="7" t="n">
        <x:v>45747</x:v>
      </x:c>
      <x:c r="E2171" s="2" t="str">
        <x:v>Prior report</x:v>
      </x:c>
      <x:c r="F2171" s="7" t="n">
        <x:v>45679</x:v>
      </x:c>
      <x:c r="G2171" s="2" t="str">
        <x:v>Broad lag 1</x:v>
      </x:c>
      <x:c r="H2171" s="8" t="n">
        <x:f>'Model fits'!AA1405</x:f>
        <x:v>3.271015456930237</x:v>
      </x:c>
      <x:c r="I2171" s="8" t="n">
        <x:f>0</x:f>
        <x:v>0</x:v>
      </x:c>
      <x:c r="J2171" s="8" t="n">
        <x:v>0</x:v>
      </x:c>
      <x:c r="K2171" s="8" t="n">
        <x:f>H2171-I2171*J2171</x:f>
        <x:v>3.271015456930237</x:v>
      </x:c>
      <x:c r="L2171" s="8" t="n">
        <x:f>'PG facts'!F118</x:f>
        <x:v>2</x:v>
      </x:c>
      <x:c r="M2171" s="8" t="n">
        <x:f>K2171-L2171</x:f>
        <x:v>1.271015456930237</x:v>
      </x:c>
      <x:c r="N2171" s="8" t="n">
        <x:f>M2171^2</x:f>
        <x:v>1.615480291755579</x:v>
      </x:c>
      <x:c r="O2171" s="8" t="n">
        <x:f>ABS(M2171)</x:f>
        <x:v>1.271015456930237</x:v>
      </x:c>
      <x:c r="P2171" s="7" t="n">
        <x:v>45771</x:v>
      </x:c>
    </x:row>
    <x:row r="2172" ht="26" customHeight="1">
      <x:c r="A2172" s="2"/>
      <x:c r="B2172" s="2" t="n">
        <x:v>2167</x:v>
      </x:c>
      <x:c r="C2172" s="2" t="str">
        <x:v>Beauty / organic_sales_growth</x:v>
      </x:c>
      <x:c r="D2172" s="7" t="n">
        <x:v>45747</x:v>
      </x:c>
      <x:c r="E2172" s="2" t="str">
        <x:v>Prior report</x:v>
      </x:c>
      <x:c r="F2172" s="7" t="n">
        <x:v>45679</x:v>
      </x:c>
      <x:c r="G2172" s="2" t="str">
        <x:v>Broad rolling 8</x:v>
      </x:c>
      <x:c r="H2172" s="8" t="n">
        <x:f>'Model fits'!AA1406</x:f>
        <x:v>2.3041283130017187</x:v>
      </x:c>
      <x:c r="I2172" s="8" t="n">
        <x:f>0</x:f>
        <x:v>0</x:v>
      </x:c>
      <x:c r="J2172" s="8" t="n">
        <x:v>0</x:v>
      </x:c>
      <x:c r="K2172" s="8" t="n">
        <x:f>H2172-I2172*J2172</x:f>
        <x:v>2.3041283130017187</x:v>
      </x:c>
      <x:c r="L2172" s="8" t="n">
        <x:f>'PG facts'!F118</x:f>
        <x:v>2</x:v>
      </x:c>
      <x:c r="M2172" s="8" t="n">
        <x:f>K2172-L2172</x:f>
        <x:v>0.3041283130017187</x:v>
      </x:c>
      <x:c r="N2172" s="8" t="n">
        <x:f>M2172^2</x:f>
        <x:v>0.09249403076927139</x:v>
      </x:c>
      <x:c r="O2172" s="8" t="n">
        <x:f>ABS(M2172)</x:f>
        <x:v>0.3041283130017187</x:v>
      </x:c>
      <x:c r="P2172" s="7" t="n">
        <x:v>45771</x:v>
      </x:c>
    </x:row>
    <x:row r="2173" ht="26" customHeight="1">
      <x:c r="A2173" s="2"/>
      <x:c r="B2173" s="2" t="n">
        <x:v>2168</x:v>
      </x:c>
      <x:c r="C2173" s="2" t="str">
        <x:v>Beauty / organic_sales_growth</x:v>
      </x:c>
      <x:c r="D2173" s="7" t="n">
        <x:v>45747</x:v>
      </x:c>
      <x:c r="E2173" s="2" t="str">
        <x:v>Prior report</x:v>
      </x:c>
      <x:c r="F2173" s="7" t="n">
        <x:v>45679</x:v>
      </x:c>
      <x:c r="G2173" s="2" t="str">
        <x:v>Own history</x:v>
      </x:c>
      <x:c r="H2173" s="8" t="n">
        <x:f>'Model fits'!AA1407</x:f>
        <x:v>2.72093023255814</x:v>
      </x:c>
      <x:c r="I2173" s="8" t="n">
        <x:f>0</x:f>
        <x:v>0</x:v>
      </x:c>
      <x:c r="J2173" s="8" t="n">
        <x:v>0</x:v>
      </x:c>
      <x:c r="K2173" s="8" t="n">
        <x:f>H2173-I2173*J2173</x:f>
        <x:v>2.72093023255814</x:v>
      </x:c>
      <x:c r="L2173" s="8" t="n">
        <x:f>'PG facts'!F118</x:f>
        <x:v>2</x:v>
      </x:c>
      <x:c r="M2173" s="8" t="n">
        <x:f>K2173-L2173</x:f>
        <x:v>0.7209302325581399</x:v>
      </x:c>
      <x:c r="N2173" s="8" t="n">
        <x:f>M2173^2</x:f>
        <x:v>0.5197404002163337</x:v>
      </x:c>
      <x:c r="O2173" s="8" t="n">
        <x:f>ABS(M2173)</x:f>
        <x:v>0.7209302325581399</x:v>
      </x:c>
      <x:c r="P2173" s="7" t="n">
        <x:v>45771</x:v>
      </x:c>
    </x:row>
    <x:row r="2174" ht="26" customHeight="1">
      <x:c r="A2174" s="2"/>
      <x:c r="B2174" s="2" t="n">
        <x:v>2169</x:v>
      </x:c>
      <x:c r="C2174" s="2" t="str">
        <x:v>Beauty / organic_sales_growth</x:v>
      </x:c>
      <x:c r="D2174" s="7" t="n">
        <x:v>45747</x:v>
      </x:c>
      <x:c r="E2174" s="2" t="str">
        <x:v>Pre-earnings</x:v>
      </x:c>
      <x:c r="F2174" s="7" t="n">
        <x:v>45770</x:v>
      </x:c>
      <x:c r="G2174" s="2" t="str">
        <x:v>Last actual</x:v>
      </x:c>
      <x:c r="H2174" s="8" t="n">
        <x:f>AVERAGE('PG facts'!F111)</x:f>
        <x:v>2</x:v>
      </x:c>
      <x:c r="I2174" s="8" t="n">
        <x:f>0</x:f>
        <x:v>0</x:v>
      </x:c>
      <x:c r="J2174" s="8" t="n">
        <x:v>0</x:v>
      </x:c>
      <x:c r="K2174" s="8" t="n">
        <x:f>H2174-I2174*J2174</x:f>
        <x:v>2</x:v>
      </x:c>
      <x:c r="L2174" s="8" t="n">
        <x:f>'PG facts'!F118</x:f>
        <x:v>2</x:v>
      </x:c>
      <x:c r="M2174" s="8" t="n">
        <x:f>K2174-L2174</x:f>
        <x:v>0</x:v>
      </x:c>
      <x:c r="N2174" s="8" t="n">
        <x:f>M2174^2</x:f>
        <x:v>0</x:v>
      </x:c>
      <x:c r="O2174" s="8" t="n">
        <x:f>ABS(M2174)</x:f>
        <x:v>0</x:v>
      </x:c>
      <x:c r="P2174" s="7" t="n">
        <x:v>45771</x:v>
      </x:c>
    </x:row>
    <x:row r="2175" ht="26" customHeight="1">
      <x:c r="A2175" s="2"/>
      <x:c r="B2175" s="2" t="n">
        <x:v>2170</x:v>
      </x:c>
      <x:c r="C2175" s="2" t="str">
        <x:v>Beauty / organic_sales_growth</x:v>
      </x:c>
      <x:c r="D2175" s="7" t="n">
        <x:v>45747</x:v>
      </x:c>
      <x:c r="E2175" s="2" t="str">
        <x:v>Pre-earnings</x:v>
      </x:c>
      <x:c r="F2175" s="7" t="n">
        <x:v>45770</x:v>
      </x:c>
      <x:c r="G2175" s="2" t="str">
        <x:v>Four-quarter mean</x:v>
      </x:c>
      <x:c r="H2175" s="8" t="n">
        <x:f>AVERAGE('PG facts'!F90,'PG facts'!F97,'PG facts'!F104,'PG facts'!F111)</x:f>
        <x:v>1.5</x:v>
      </x:c>
      <x:c r="I2175" s="8" t="n">
        <x:f>0</x:f>
        <x:v>0</x:v>
      </x:c>
      <x:c r="J2175" s="8" t="n">
        <x:v>0</x:v>
      </x:c>
      <x:c r="K2175" s="8" t="n">
        <x:f>H2175-I2175*J2175</x:f>
        <x:v>1.5</x:v>
      </x:c>
      <x:c r="L2175" s="8" t="n">
        <x:f>'PG facts'!F118</x:f>
        <x:v>2</x:v>
      </x:c>
      <x:c r="M2175" s="8" t="n">
        <x:f>K2175-L2175</x:f>
        <x:v>-0.5</x:v>
      </x:c>
      <x:c r="N2175" s="8" t="n">
        <x:f>M2175^2</x:f>
        <x:v>0.25</x:v>
      </x:c>
      <x:c r="O2175" s="8" t="n">
        <x:f>ABS(M2175)</x:f>
        <x:v>0.5</x:v>
      </x:c>
      <x:c r="P2175" s="7" t="n">
        <x:v>45771</x:v>
      </x:c>
    </x:row>
    <x:row r="2176" ht="26" customHeight="1">
      <x:c r="A2176" s="2"/>
      <x:c r="B2176" s="2" t="n">
        <x:v>2171</x:v>
      </x:c>
      <x:c r="C2176" s="2" t="str">
        <x:v>Beauty / organic_sales_growth</x:v>
      </x:c>
      <x:c r="D2176" s="7" t="n">
        <x:v>45747</x:v>
      </x:c>
      <x:c r="E2176" s="2" t="str">
        <x:v>Pre-earnings</x:v>
      </x:c>
      <x:c r="F2176" s="7" t="n">
        <x:v>45770</x:v>
      </x:c>
      <x:c r="G2176" s="2" t="str">
        <x:v>Broad market</x:v>
      </x:c>
      <x:c r="H2176" s="8" t="n">
        <x:f>'Model fits'!AA1408</x:f>
        <x:v>3.5363997315021862</x:v>
      </x:c>
      <x:c r="I2176" s="8" t="n">
        <x:f>0</x:f>
        <x:v>0</x:v>
      </x:c>
      <x:c r="J2176" s="8" t="n">
        <x:v>0</x:v>
      </x:c>
      <x:c r="K2176" s="8" t="n">
        <x:f>H2176-I2176*J2176</x:f>
        <x:v>3.5363997315021862</x:v>
      </x:c>
      <x:c r="L2176" s="8" t="n">
        <x:f>'PG facts'!F118</x:f>
        <x:v>2</x:v>
      </x:c>
      <x:c r="M2176" s="8" t="n">
        <x:f>K2176-L2176</x:f>
        <x:v>1.5363997315021862</x:v>
      </x:c>
      <x:c r="N2176" s="8" t="n">
        <x:f>M2176^2</x:f>
        <x:v>2.36052413495999</x:v>
      </x:c>
      <x:c r="O2176" s="8" t="n">
        <x:f>ABS(M2176)</x:f>
        <x:v>1.5363997315021862</x:v>
      </x:c>
      <x:c r="P2176" s="7" t="n">
        <x:v>45771</x:v>
      </x:c>
    </x:row>
    <x:row r="2177" ht="26" customHeight="1">
      <x:c r="A2177" s="2"/>
      <x:c r="B2177" s="2" t="n">
        <x:v>2172</x:v>
      </x:c>
      <x:c r="C2177" s="2" t="str">
        <x:v>Beauty / organic_sales_growth</x:v>
      </x:c>
      <x:c r="D2177" s="7" t="n">
        <x:v>45747</x:v>
      </x:c>
      <x:c r="E2177" s="2" t="str">
        <x:v>Pre-earnings</x:v>
      </x:c>
      <x:c r="F2177" s="7" t="n">
        <x:v>45770</x:v>
      </x:c>
      <x:c r="G2177" s="2" t="str">
        <x:v>Broad lag 1</x:v>
      </x:c>
      <x:c r="H2177" s="8" t="n">
        <x:f>'Model fits'!AA1409</x:f>
        <x:v>3.277896264227138</x:v>
      </x:c>
      <x:c r="I2177" s="8" t="n">
        <x:f>0</x:f>
        <x:v>0</x:v>
      </x:c>
      <x:c r="J2177" s="8" t="n">
        <x:v>0</x:v>
      </x:c>
      <x:c r="K2177" s="8" t="n">
        <x:f>H2177-I2177*J2177</x:f>
        <x:v>3.277896264227138</x:v>
      </x:c>
      <x:c r="L2177" s="8" t="n">
        <x:f>'PG facts'!F118</x:f>
        <x:v>2</x:v>
      </x:c>
      <x:c r="M2177" s="8" t="n">
        <x:f>K2177-L2177</x:f>
        <x:v>1.277896264227138</x:v>
      </x:c>
      <x:c r="N2177" s="8" t="n">
        <x:f>M2177^2</x:f>
        <x:v>1.6330188621256756</x:v>
      </x:c>
      <x:c r="O2177" s="8" t="n">
        <x:f>ABS(M2177)</x:f>
        <x:v>1.277896264227138</x:v>
      </x:c>
      <x:c r="P2177" s="7" t="n">
        <x:v>45771</x:v>
      </x:c>
    </x:row>
    <x:row r="2178" ht="26" customHeight="1">
      <x:c r="A2178" s="2"/>
      <x:c r="B2178" s="2" t="n">
        <x:v>2173</x:v>
      </x:c>
      <x:c r="C2178" s="2" t="str">
        <x:v>Beauty / organic_sales_growth</x:v>
      </x:c>
      <x:c r="D2178" s="7" t="n">
        <x:v>45747</x:v>
      </x:c>
      <x:c r="E2178" s="2" t="str">
        <x:v>Pre-earnings</x:v>
      </x:c>
      <x:c r="F2178" s="7" t="n">
        <x:v>45770</x:v>
      </x:c>
      <x:c r="G2178" s="2" t="str">
        <x:v>Broad rolling 8</x:v>
      </x:c>
      <x:c r="H2178" s="8" t="n">
        <x:f>'Model fits'!AA1410</x:f>
        <x:v>4.106988212516983</x:v>
      </x:c>
      <x:c r="I2178" s="8" t="n">
        <x:f>0</x:f>
        <x:v>0</x:v>
      </x:c>
      <x:c r="J2178" s="8" t="n">
        <x:v>0</x:v>
      </x:c>
      <x:c r="K2178" s="8" t="n">
        <x:f>H2178-I2178*J2178</x:f>
        <x:v>4.106988212516983</x:v>
      </x:c>
      <x:c r="L2178" s="8" t="n">
        <x:f>'PG facts'!F118</x:f>
        <x:v>2</x:v>
      </x:c>
      <x:c r="M2178" s="8" t="n">
        <x:f>K2178-L2178</x:f>
        <x:v>2.106988212516983</x:v>
      </x:c>
      <x:c r="N2178" s="8" t="n">
        <x:f>M2178^2</x:f>
        <x:v>4.4393993276855115</x:v>
      </x:c>
      <x:c r="O2178" s="8" t="n">
        <x:f>ABS(M2178)</x:f>
        <x:v>2.106988212516983</x:v>
      </x:c>
      <x:c r="P2178" s="7" t="n">
        <x:v>45771</x:v>
      </x:c>
    </x:row>
    <x:row r="2179" ht="26" customHeight="1">
      <x:c r="A2179" s="2"/>
      <x:c r="B2179" s="2" t="n">
        <x:v>2174</x:v>
      </x:c>
      <x:c r="C2179" s="2" t="str">
        <x:v>Beauty / organic_sales_growth</x:v>
      </x:c>
      <x:c r="D2179" s="7" t="n">
        <x:v>45747</x:v>
      </x:c>
      <x:c r="E2179" s="2" t="str">
        <x:v>Pre-earnings</x:v>
      </x:c>
      <x:c r="F2179" s="7" t="n">
        <x:v>45770</x:v>
      </x:c>
      <x:c r="G2179" s="2" t="str">
        <x:v>Own history</x:v>
      </x:c>
      <x:c r="H2179" s="8" t="n">
        <x:f>'Model fits'!AA1411</x:f>
        <x:v>2.72093023255814</x:v>
      </x:c>
      <x:c r="I2179" s="8" t="n">
        <x:f>0</x:f>
        <x:v>0</x:v>
      </x:c>
      <x:c r="J2179" s="8" t="n">
        <x:v>0</x:v>
      </x:c>
      <x:c r="K2179" s="8" t="n">
        <x:f>H2179-I2179*J2179</x:f>
        <x:v>2.72093023255814</x:v>
      </x:c>
      <x:c r="L2179" s="8" t="n">
        <x:f>'PG facts'!F118</x:f>
        <x:v>2</x:v>
      </x:c>
      <x:c r="M2179" s="8" t="n">
        <x:f>K2179-L2179</x:f>
        <x:v>0.7209302325581399</x:v>
      </x:c>
      <x:c r="N2179" s="8" t="n">
        <x:f>M2179^2</x:f>
        <x:v>0.5197404002163337</x:v>
      </x:c>
      <x:c r="O2179" s="8" t="n">
        <x:f>ABS(M2179)</x:f>
        <x:v>0.7209302325581399</x:v>
      </x:c>
      <x:c r="P2179" s="7" t="n">
        <x:v>45771</x:v>
      </x:c>
    </x:row>
    <x:row r="2180" ht="26" customHeight="1">
      <x:c r="A2180" s="2"/>
      <x:c r="B2180" s="2" t="n">
        <x:v>2175</x:v>
      </x:c>
      <x:c r="C2180" s="2" t="str">
        <x:v>Beauty / organic_sales_growth</x:v>
      </x:c>
      <x:c r="D2180" s="7" t="n">
        <x:v>45838</x:v>
      </x:c>
      <x:c r="E2180" s="2" t="str">
        <x:v>Origin</x:v>
      </x:c>
      <x:c r="F2180" s="7" t="n">
        <x:v>45748</x:v>
      </x:c>
      <x:c r="G2180" s="2" t="str">
        <x:v>Last actual</x:v>
      </x:c>
      <x:c r="H2180" s="8" t="n">
        <x:f>AVERAGE('PG facts'!F111)</x:f>
        <x:v>2</x:v>
      </x:c>
      <x:c r="I2180" s="8" t="n">
        <x:f>0</x:f>
        <x:v>0</x:v>
      </x:c>
      <x:c r="J2180" s="8" t="n">
        <x:v>0</x:v>
      </x:c>
      <x:c r="K2180" s="8" t="n">
        <x:f>H2180-I2180*J2180</x:f>
        <x:v>2</x:v>
      </x:c>
      <x:c r="L2180" s="8" t="n">
        <x:f>'PG facts'!F125</x:f>
        <x:v>1</x:v>
      </x:c>
      <x:c r="M2180" s="8" t="n">
        <x:f>K2180-L2180</x:f>
        <x:v>1</x:v>
      </x:c>
      <x:c r="N2180" s="8" t="n">
        <x:f>M2180^2</x:f>
        <x:v>1</x:v>
      </x:c>
      <x:c r="O2180" s="8" t="n">
        <x:f>ABS(M2180)</x:f>
        <x:v>1</x:v>
      </x:c>
      <x:c r="P2180" s="7" t="n">
        <x:v>45867</x:v>
      </x:c>
    </x:row>
    <x:row r="2181" ht="26" customHeight="1">
      <x:c r="A2181" s="2"/>
      <x:c r="B2181" s="2" t="n">
        <x:v>2176</x:v>
      </x:c>
      <x:c r="C2181" s="2" t="str">
        <x:v>Beauty / organic_sales_growth</x:v>
      </x:c>
      <x:c r="D2181" s="7" t="n">
        <x:v>45838</x:v>
      </x:c>
      <x:c r="E2181" s="2" t="str">
        <x:v>Origin</x:v>
      </x:c>
      <x:c r="F2181" s="7" t="n">
        <x:v>45748</x:v>
      </x:c>
      <x:c r="G2181" s="2" t="str">
        <x:v>Four-quarter mean</x:v>
      </x:c>
      <x:c r="H2181" s="8" t="n">
        <x:f>AVERAGE('PG facts'!F90,'PG facts'!F97,'PG facts'!F104,'PG facts'!F111)</x:f>
        <x:v>1.5</x:v>
      </x:c>
      <x:c r="I2181" s="8" t="n">
        <x:f>0</x:f>
        <x:v>0</x:v>
      </x:c>
      <x:c r="J2181" s="8" t="n">
        <x:v>0</x:v>
      </x:c>
      <x:c r="K2181" s="8" t="n">
        <x:f>H2181-I2181*J2181</x:f>
        <x:v>1.5</x:v>
      </x:c>
      <x:c r="L2181" s="8" t="n">
        <x:f>'PG facts'!F125</x:f>
        <x:v>1</x:v>
      </x:c>
      <x:c r="M2181" s="8" t="n">
        <x:f>K2181-L2181</x:f>
        <x:v>0.5</x:v>
      </x:c>
      <x:c r="N2181" s="8" t="n">
        <x:f>M2181^2</x:f>
        <x:v>0.25</x:v>
      </x:c>
      <x:c r="O2181" s="8" t="n">
        <x:f>ABS(M2181)</x:f>
        <x:v>0.5</x:v>
      </x:c>
      <x:c r="P2181" s="7" t="n">
        <x:v>45867</x:v>
      </x:c>
    </x:row>
    <x:row r="2182" ht="26" customHeight="1">
      <x:c r="A2182" s="2"/>
      <x:c r="B2182" s="2" t="n">
        <x:v>2177</x:v>
      </x:c>
      <x:c r="C2182" s="2" t="str">
        <x:v>Beauty / organic_sales_growth</x:v>
      </x:c>
      <x:c r="D2182" s="7" t="n">
        <x:v>45838</x:v>
      </x:c>
      <x:c r="E2182" s="2" t="str">
        <x:v>Origin</x:v>
      </x:c>
      <x:c r="F2182" s="7" t="n">
        <x:v>45748</x:v>
      </x:c>
      <x:c r="G2182" s="2" t="str">
        <x:v>Broad market</x:v>
      </x:c>
      <x:c r="H2182" s="8" t="n">
        <x:f>'Model fits'!AA1412</x:f>
        <x:v>3.37370771585804</x:v>
      </x:c>
      <x:c r="I2182" s="8" t="n">
        <x:f>0</x:f>
        <x:v>0</x:v>
      </x:c>
      <x:c r="J2182" s="8" t="n">
        <x:v>0</x:v>
      </x:c>
      <x:c r="K2182" s="8" t="n">
        <x:f>H2182-I2182*J2182</x:f>
        <x:v>3.37370771585804</x:v>
      </x:c>
      <x:c r="L2182" s="8" t="n">
        <x:f>'PG facts'!F125</x:f>
        <x:v>1</x:v>
      </x:c>
      <x:c r="M2182" s="8" t="n">
        <x:f>K2182-L2182</x:f>
        <x:v>2.37370771585804</x:v>
      </x:c>
      <x:c r="N2182" s="8" t="n">
        <x:f>M2182^2</x:f>
        <x:v>5.634488320323993</x:v>
      </x:c>
      <x:c r="O2182" s="8" t="n">
        <x:f>ABS(M2182)</x:f>
        <x:v>2.37370771585804</x:v>
      </x:c>
      <x:c r="P2182" s="7" t="n">
        <x:v>45867</x:v>
      </x:c>
    </x:row>
    <x:row r="2183" ht="26" customHeight="1">
      <x:c r="A2183" s="2"/>
      <x:c r="B2183" s="2" t="n">
        <x:v>2178</x:v>
      </x:c>
      <x:c r="C2183" s="2" t="str">
        <x:v>Beauty / organic_sales_growth</x:v>
      </x:c>
      <x:c r="D2183" s="7" t="n">
        <x:v>45838</x:v>
      </x:c>
      <x:c r="E2183" s="2" t="str">
        <x:v>Origin</x:v>
      </x:c>
      <x:c r="F2183" s="7" t="n">
        <x:v>45748</x:v>
      </x:c>
      <x:c r="G2183" s="2" t="str">
        <x:v>Broad rolling 8</x:v>
      </x:c>
      <x:c r="H2183" s="8" t="n">
        <x:f>'Model fits'!AA1413</x:f>
        <x:v>3.721791472565227</x:v>
      </x:c>
      <x:c r="I2183" s="8" t="n">
        <x:f>0</x:f>
        <x:v>0</x:v>
      </x:c>
      <x:c r="J2183" s="8" t="n">
        <x:v>0</x:v>
      </x:c>
      <x:c r="K2183" s="8" t="n">
        <x:f>H2183-I2183*J2183</x:f>
        <x:v>3.721791472565227</x:v>
      </x:c>
      <x:c r="L2183" s="8" t="n">
        <x:f>'PG facts'!F125</x:f>
        <x:v>1</x:v>
      </x:c>
      <x:c r="M2183" s="8" t="n">
        <x:f>K2183-L2183</x:f>
        <x:v>2.721791472565227</x:v>
      </x:c>
      <x:c r="N2183" s="8" t="n">
        <x:f>M2183^2</x:f>
        <x:v>7.408148820128787</x:v>
      </x:c>
      <x:c r="O2183" s="8" t="n">
        <x:f>ABS(M2183)</x:f>
        <x:v>2.721791472565227</x:v>
      </x:c>
      <x:c r="P2183" s="7" t="n">
        <x:v>45867</x:v>
      </x:c>
    </x:row>
    <x:row r="2184" ht="26" customHeight="1">
      <x:c r="A2184" s="2"/>
      <x:c r="B2184" s="2" t="n">
        <x:v>2179</x:v>
      </x:c>
      <x:c r="C2184" s="2" t="str">
        <x:v>Beauty / organic_sales_growth</x:v>
      </x:c>
      <x:c r="D2184" s="7" t="n">
        <x:v>45838</x:v>
      </x:c>
      <x:c r="E2184" s="2" t="str">
        <x:v>Origin</x:v>
      </x:c>
      <x:c r="F2184" s="7" t="n">
        <x:v>45748</x:v>
      </x:c>
      <x:c r="G2184" s="2" t="str">
        <x:v>Own history</x:v>
      </x:c>
      <x:c r="H2184" s="8" t="n">
        <x:f>'Model fits'!AA1414</x:f>
        <x:v>3.335737704918033</x:v>
      </x:c>
      <x:c r="I2184" s="8" t="n">
        <x:f>0</x:f>
        <x:v>0</x:v>
      </x:c>
      <x:c r="J2184" s="8" t="n">
        <x:v>0</x:v>
      </x:c>
      <x:c r="K2184" s="8" t="n">
        <x:f>H2184-I2184*J2184</x:f>
        <x:v>3.335737704918033</x:v>
      </x:c>
      <x:c r="L2184" s="8" t="n">
        <x:f>'PG facts'!F125</x:f>
        <x:v>1</x:v>
      </x:c>
      <x:c r="M2184" s="8" t="n">
        <x:f>K2184-L2184</x:f>
        <x:v>2.335737704918033</x:v>
      </x:c>
      <x:c r="N2184" s="8" t="n">
        <x:f>M2184^2</x:f>
        <x:v>5.455670626175759</x:v>
      </x:c>
      <x:c r="O2184" s="8" t="n">
        <x:f>ABS(M2184)</x:f>
        <x:v>2.335737704918033</x:v>
      </x:c>
      <x:c r="P2184" s="7" t="n">
        <x:v>45867</x:v>
      </x:c>
    </x:row>
    <x:row r="2185" ht="26" customHeight="1">
      <x:c r="A2185" s="2"/>
      <x:c r="B2185" s="2" t="n">
        <x:v>2180</x:v>
      </x:c>
      <x:c r="C2185" s="2" t="str">
        <x:v>Beauty / organic_sales_growth</x:v>
      </x:c>
      <x:c r="D2185" s="7" t="n">
        <x:v>45838</x:v>
      </x:c>
      <x:c r="E2185" s="2" t="str">
        <x:v>Prior report</x:v>
      </x:c>
      <x:c r="F2185" s="7" t="n">
        <x:v>45771</x:v>
      </x:c>
      <x:c r="G2185" s="2" t="str">
        <x:v>Last actual</x:v>
      </x:c>
      <x:c r="H2185" s="8" t="n">
        <x:f>AVERAGE('PG facts'!F118)</x:f>
        <x:v>2</x:v>
      </x:c>
      <x:c r="I2185" s="8" t="n">
        <x:f>0</x:f>
        <x:v>0</x:v>
      </x:c>
      <x:c r="J2185" s="8" t="n">
        <x:v>0</x:v>
      </x:c>
      <x:c r="K2185" s="8" t="n">
        <x:f>H2185-I2185*J2185</x:f>
        <x:v>2</x:v>
      </x:c>
      <x:c r="L2185" s="8" t="n">
        <x:f>'PG facts'!F125</x:f>
        <x:v>1</x:v>
      </x:c>
      <x:c r="M2185" s="8" t="n">
        <x:f>K2185-L2185</x:f>
        <x:v>1</x:v>
      </x:c>
      <x:c r="N2185" s="8" t="n">
        <x:f>M2185^2</x:f>
        <x:v>1</x:v>
      </x:c>
      <x:c r="O2185" s="8" t="n">
        <x:f>ABS(M2185)</x:f>
        <x:v>1</x:v>
      </x:c>
      <x:c r="P2185" s="7" t="n">
        <x:v>45867</x:v>
      </x:c>
    </x:row>
    <x:row r="2186" ht="26" customHeight="1">
      <x:c r="A2186" s="2"/>
      <x:c r="B2186" s="2" t="n">
        <x:v>2181</x:v>
      </x:c>
      <x:c r="C2186" s="2" t="str">
        <x:v>Beauty / organic_sales_growth</x:v>
      </x:c>
      <x:c r="D2186" s="7" t="n">
        <x:v>45838</x:v>
      </x:c>
      <x:c r="E2186" s="2" t="str">
        <x:v>Prior report</x:v>
      </x:c>
      <x:c r="F2186" s="7" t="n">
        <x:v>45771</x:v>
      </x:c>
      <x:c r="G2186" s="2" t="str">
        <x:v>Four-quarter mean</x:v>
      </x:c>
      <x:c r="H2186" s="8" t="n">
        <x:f>AVERAGE('PG facts'!F97,'PG facts'!F104,'PG facts'!F111,'PG facts'!F118)</x:f>
        <x:v>1.25</x:v>
      </x:c>
      <x:c r="I2186" s="8" t="n">
        <x:f>0</x:f>
        <x:v>0</x:v>
      </x:c>
      <x:c r="J2186" s="8" t="n">
        <x:v>0</x:v>
      </x:c>
      <x:c r="K2186" s="8" t="n">
        <x:f>H2186-I2186*J2186</x:f>
        <x:v>1.25</x:v>
      </x:c>
      <x:c r="L2186" s="8" t="n">
        <x:f>'PG facts'!F125</x:f>
        <x:v>1</x:v>
      </x:c>
      <x:c r="M2186" s="8" t="n">
        <x:f>K2186-L2186</x:f>
        <x:v>0.25</x:v>
      </x:c>
      <x:c r="N2186" s="8" t="n">
        <x:f>M2186^2</x:f>
        <x:v>0.0625</x:v>
      </x:c>
      <x:c r="O2186" s="8" t="n">
        <x:f>ABS(M2186)</x:f>
        <x:v>0.25</x:v>
      </x:c>
      <x:c r="P2186" s="7" t="n">
        <x:v>45867</x:v>
      </x:c>
    </x:row>
    <x:row r="2187" ht="26" customHeight="1">
      <x:c r="A2187" s="2"/>
      <x:c r="B2187" s="2" t="n">
        <x:v>2182</x:v>
      </x:c>
      <x:c r="C2187" s="2" t="str">
        <x:v>Beauty / organic_sales_growth</x:v>
      </x:c>
      <x:c r="D2187" s="7" t="n">
        <x:v>45838</x:v>
      </x:c>
      <x:c r="E2187" s="2" t="str">
        <x:v>Prior report</x:v>
      </x:c>
      <x:c r="F2187" s="7" t="n">
        <x:v>45771</x:v>
      </x:c>
      <x:c r="G2187" s="2" t="str">
        <x:v>Broad market</x:v>
      </x:c>
      <x:c r="H2187" s="8" t="n">
        <x:f>'Model fits'!AA1415</x:f>
        <x:v>3.446189402362312</x:v>
      </x:c>
      <x:c r="I2187" s="8" t="n">
        <x:f>0</x:f>
        <x:v>0</x:v>
      </x:c>
      <x:c r="J2187" s="8" t="n">
        <x:v>0</x:v>
      </x:c>
      <x:c r="K2187" s="8" t="n">
        <x:f>H2187-I2187*J2187</x:f>
        <x:v>3.446189402362312</x:v>
      </x:c>
      <x:c r="L2187" s="8" t="n">
        <x:f>'PG facts'!F125</x:f>
        <x:v>1</x:v>
      </x:c>
      <x:c r="M2187" s="8" t="n">
        <x:f>K2187-L2187</x:f>
        <x:v>2.446189402362312</x:v>
      </x:c>
      <x:c r="N2187" s="8" t="n">
        <x:f>M2187^2</x:f>
        <x:v>5.983842592229684</x:v>
      </x:c>
      <x:c r="O2187" s="8" t="n">
        <x:f>ABS(M2187)</x:f>
        <x:v>2.446189402362312</x:v>
      </x:c>
      <x:c r="P2187" s="7" t="n">
        <x:v>45867</x:v>
      </x:c>
    </x:row>
    <x:row r="2188" ht="26" customHeight="1">
      <x:c r="A2188" s="2"/>
      <x:c r="B2188" s="2" t="n">
        <x:v>2183</x:v>
      </x:c>
      <x:c r="C2188" s="2" t="str">
        <x:v>Beauty / organic_sales_growth</x:v>
      </x:c>
      <x:c r="D2188" s="7" t="n">
        <x:v>45838</x:v>
      </x:c>
      <x:c r="E2188" s="2" t="str">
        <x:v>Prior report</x:v>
      </x:c>
      <x:c r="F2188" s="7" t="n">
        <x:v>45771</x:v>
      </x:c>
      <x:c r="G2188" s="2" t="str">
        <x:v>Broad lag 1</x:v>
      </x:c>
      <x:c r="H2188" s="8" t="n">
        <x:f>'Model fits'!AA1416</x:f>
        <x:v>3.246184530517114</x:v>
      </x:c>
      <x:c r="I2188" s="8" t="n">
        <x:f>0</x:f>
        <x:v>0</x:v>
      </x:c>
      <x:c r="J2188" s="8" t="n">
        <x:v>0</x:v>
      </x:c>
      <x:c r="K2188" s="8" t="n">
        <x:f>H2188-I2188*J2188</x:f>
        <x:v>3.246184530517114</x:v>
      </x:c>
      <x:c r="L2188" s="8" t="n">
        <x:f>'PG facts'!F125</x:f>
        <x:v>1</x:v>
      </x:c>
      <x:c r="M2188" s="8" t="n">
        <x:f>K2188-L2188</x:f>
        <x:v>2.246184530517114</x:v>
      </x:c>
      <x:c r="N2188" s="8" t="n">
        <x:f>M2188^2</x:f>
        <x:v>5.045344945134389</x:v>
      </x:c>
      <x:c r="O2188" s="8" t="n">
        <x:f>ABS(M2188)</x:f>
        <x:v>2.246184530517114</x:v>
      </x:c>
      <x:c r="P2188" s="7" t="n">
        <x:v>45867</x:v>
      </x:c>
    </x:row>
    <x:row r="2189" ht="26" customHeight="1">
      <x:c r="A2189" s="2"/>
      <x:c r="B2189" s="2" t="n">
        <x:v>2184</x:v>
      </x:c>
      <x:c r="C2189" s="2" t="str">
        <x:v>Beauty / organic_sales_growth</x:v>
      </x:c>
      <x:c r="D2189" s="7" t="n">
        <x:v>45838</x:v>
      </x:c>
      <x:c r="E2189" s="2" t="str">
        <x:v>Prior report</x:v>
      </x:c>
      <x:c r="F2189" s="7" t="n">
        <x:v>45771</x:v>
      </x:c>
      <x:c r="G2189" s="2" t="str">
        <x:v>Broad rolling 8</x:v>
      </x:c>
      <x:c r="H2189" s="8" t="n">
        <x:f>'Model fits'!AA1417</x:f>
        <x:v>3.4859710658582417</x:v>
      </x:c>
      <x:c r="I2189" s="8" t="n">
        <x:f>0</x:f>
        <x:v>0</x:v>
      </x:c>
      <x:c r="J2189" s="8" t="n">
        <x:v>0</x:v>
      </x:c>
      <x:c r="K2189" s="8" t="n">
        <x:f>H2189-I2189*J2189</x:f>
        <x:v>3.4859710658582417</x:v>
      </x:c>
      <x:c r="L2189" s="8" t="n">
        <x:f>'PG facts'!F125</x:f>
        <x:v>1</x:v>
      </x:c>
      <x:c r="M2189" s="8" t="n">
        <x:f>K2189-L2189</x:f>
        <x:v>2.4859710658582417</x:v>
      </x:c>
      <x:c r="N2189" s="8" t="n">
        <x:f>M2189^2</x:f>
        <x:v>6.180052140284362</x:v>
      </x:c>
      <x:c r="O2189" s="8" t="n">
        <x:f>ABS(M2189)</x:f>
        <x:v>2.4859710658582417</x:v>
      </x:c>
      <x:c r="P2189" s="7" t="n">
        <x:v>45867</x:v>
      </x:c>
    </x:row>
    <x:row r="2190" ht="26" customHeight="1">
      <x:c r="A2190" s="2"/>
      <x:c r="B2190" s="2" t="n">
        <x:v>2185</x:v>
      </x:c>
      <x:c r="C2190" s="2" t="str">
        <x:v>Beauty / organic_sales_growth</x:v>
      </x:c>
      <x:c r="D2190" s="7" t="n">
        <x:v>45838</x:v>
      </x:c>
      <x:c r="E2190" s="2" t="str">
        <x:v>Prior report</x:v>
      </x:c>
      <x:c r="F2190" s="7" t="n">
        <x:v>45771</x:v>
      </x:c>
      <x:c r="G2190" s="2" t="str">
        <x:v>Own history</x:v>
      </x:c>
      <x:c r="H2190" s="8" t="n">
        <x:f>'Model fits'!AA1418</x:f>
        <x:v>2.663811563169165</x:v>
      </x:c>
      <x:c r="I2190" s="8" t="n">
        <x:f>0</x:f>
        <x:v>0</x:v>
      </x:c>
      <x:c r="J2190" s="8" t="n">
        <x:v>0</x:v>
      </x:c>
      <x:c r="K2190" s="8" t="n">
        <x:f>H2190-I2190*J2190</x:f>
        <x:v>2.663811563169165</x:v>
      </x:c>
      <x:c r="L2190" s="8" t="n">
        <x:f>'PG facts'!F125</x:f>
        <x:v>1</x:v>
      </x:c>
      <x:c r="M2190" s="8" t="n">
        <x:f>K2190-L2190</x:f>
        <x:v>1.663811563169165</x:v>
      </x:c>
      <x:c r="N2190" s="8" t="n">
        <x:f>M2190^2</x:f>
        <x:v>2.7682689177354205</x:v>
      </x:c>
      <x:c r="O2190" s="8" t="n">
        <x:f>ABS(M2190)</x:f>
        <x:v>1.663811563169165</x:v>
      </x:c>
      <x:c r="P2190" s="7" t="n">
        <x:v>45867</x:v>
      </x:c>
    </x:row>
    <x:row r="2191" ht="26" customHeight="1">
      <x:c r="A2191" s="2"/>
      <x:c r="B2191" s="2" t="n">
        <x:v>2186</x:v>
      </x:c>
      <x:c r="C2191" s="2" t="str">
        <x:v>Beauty / organic_sales_growth</x:v>
      </x:c>
      <x:c r="D2191" s="7" t="n">
        <x:v>45838</x:v>
      </x:c>
      <x:c r="E2191" s="2" t="str">
        <x:v>Pre-earnings</x:v>
      </x:c>
      <x:c r="F2191" s="7" t="n">
        <x:v>45866</x:v>
      </x:c>
      <x:c r="G2191" s="2" t="str">
        <x:v>Last actual</x:v>
      </x:c>
      <x:c r="H2191" s="8" t="n">
        <x:f>AVERAGE('PG facts'!F118)</x:f>
        <x:v>2</x:v>
      </x:c>
      <x:c r="I2191" s="8" t="n">
        <x:f>0</x:f>
        <x:v>0</x:v>
      </x:c>
      <x:c r="J2191" s="8" t="n">
        <x:v>0</x:v>
      </x:c>
      <x:c r="K2191" s="8" t="n">
        <x:f>H2191-I2191*J2191</x:f>
        <x:v>2</x:v>
      </x:c>
      <x:c r="L2191" s="8" t="n">
        <x:f>'PG facts'!F125</x:f>
        <x:v>1</x:v>
      </x:c>
      <x:c r="M2191" s="8" t="n">
        <x:f>K2191-L2191</x:f>
        <x:v>1</x:v>
      </x:c>
      <x:c r="N2191" s="8" t="n">
        <x:f>M2191^2</x:f>
        <x:v>1</x:v>
      </x:c>
      <x:c r="O2191" s="8" t="n">
        <x:f>ABS(M2191)</x:f>
        <x:v>1</x:v>
      </x:c>
      <x:c r="P2191" s="7" t="n">
        <x:v>45867</x:v>
      </x:c>
    </x:row>
    <x:row r="2192" ht="26" customHeight="1">
      <x:c r="A2192" s="2"/>
      <x:c r="B2192" s="2" t="n">
        <x:v>2187</x:v>
      </x:c>
      <x:c r="C2192" s="2" t="str">
        <x:v>Beauty / organic_sales_growth</x:v>
      </x:c>
      <x:c r="D2192" s="7" t="n">
        <x:v>45838</x:v>
      </x:c>
      <x:c r="E2192" s="2" t="str">
        <x:v>Pre-earnings</x:v>
      </x:c>
      <x:c r="F2192" s="7" t="n">
        <x:v>45866</x:v>
      </x:c>
      <x:c r="G2192" s="2" t="str">
        <x:v>Four-quarter mean</x:v>
      </x:c>
      <x:c r="H2192" s="8" t="n">
        <x:f>AVERAGE('PG facts'!F97,'PG facts'!F104,'PG facts'!F111,'PG facts'!F118)</x:f>
        <x:v>1.25</x:v>
      </x:c>
      <x:c r="I2192" s="8" t="n">
        <x:f>0</x:f>
        <x:v>0</x:v>
      </x:c>
      <x:c r="J2192" s="8" t="n">
        <x:v>0</x:v>
      </x:c>
      <x:c r="K2192" s="8" t="n">
        <x:f>H2192-I2192*J2192</x:f>
        <x:v>1.25</x:v>
      </x:c>
      <x:c r="L2192" s="8" t="n">
        <x:f>'PG facts'!F125</x:f>
        <x:v>1</x:v>
      </x:c>
      <x:c r="M2192" s="8" t="n">
        <x:f>K2192-L2192</x:f>
        <x:v>0.25</x:v>
      </x:c>
      <x:c r="N2192" s="8" t="n">
        <x:f>M2192^2</x:f>
        <x:v>0.0625</x:v>
      </x:c>
      <x:c r="O2192" s="8" t="n">
        <x:f>ABS(M2192)</x:f>
        <x:v>0.25</x:v>
      </x:c>
      <x:c r="P2192" s="7" t="n">
        <x:v>45867</x:v>
      </x:c>
    </x:row>
    <x:row r="2193" ht="26" customHeight="1">
      <x:c r="A2193" s="2"/>
      <x:c r="B2193" s="2" t="n">
        <x:v>2188</x:v>
      </x:c>
      <x:c r="C2193" s="2" t="str">
        <x:v>Beauty / organic_sales_growth</x:v>
      </x:c>
      <x:c r="D2193" s="7" t="n">
        <x:v>45838</x:v>
      </x:c>
      <x:c r="E2193" s="2" t="str">
        <x:v>Pre-earnings</x:v>
      </x:c>
      <x:c r="F2193" s="7" t="n">
        <x:v>45866</x:v>
      </x:c>
      <x:c r="G2193" s="2" t="str">
        <x:v>Broad market</x:v>
      </x:c>
      <x:c r="H2193" s="8" t="n">
        <x:f>'Model fits'!AA1419</x:f>
        <x:v>3.806294727842398</x:v>
      </x:c>
      <x:c r="I2193" s="8" t="n">
        <x:f>0</x:f>
        <x:v>0</x:v>
      </x:c>
      <x:c r="J2193" s="8" t="n">
        <x:v>0</x:v>
      </x:c>
      <x:c r="K2193" s="8" t="n">
        <x:f>H2193-I2193*J2193</x:f>
        <x:v>3.806294727842398</x:v>
      </x:c>
      <x:c r="L2193" s="8" t="n">
        <x:f>'PG facts'!F125</x:f>
        <x:v>1</x:v>
      </x:c>
      <x:c r="M2193" s="8" t="n">
        <x:f>K2193-L2193</x:f>
        <x:v>2.806294727842398</x:v>
      </x:c>
      <x:c r="N2193" s="8" t="n">
        <x:f>M2193^2</x:f>
        <x:v>7.8752900995160395</x:v>
      </x:c>
      <x:c r="O2193" s="8" t="n">
        <x:f>ABS(M2193)</x:f>
        <x:v>2.806294727842398</x:v>
      </x:c>
      <x:c r="P2193" s="7" t="n">
        <x:v>45867</x:v>
      </x:c>
    </x:row>
    <x:row r="2194" ht="26" customHeight="1">
      <x:c r="A2194" s="2"/>
      <x:c r="B2194" s="2" t="n">
        <x:v>2189</x:v>
      </x:c>
      <x:c r="C2194" s="2" t="str">
        <x:v>Beauty / organic_sales_growth</x:v>
      </x:c>
      <x:c r="D2194" s="7" t="n">
        <x:v>45838</x:v>
      </x:c>
      <x:c r="E2194" s="2" t="str">
        <x:v>Pre-earnings</x:v>
      </x:c>
      <x:c r="F2194" s="7" t="n">
        <x:v>45866</x:v>
      </x:c>
      <x:c r="G2194" s="2" t="str">
        <x:v>Broad lag 1</x:v>
      </x:c>
      <x:c r="H2194" s="8" t="n">
        <x:f>'Model fits'!AA1420</x:f>
        <x:v>3.2710205917600574</x:v>
      </x:c>
      <x:c r="I2194" s="8" t="n">
        <x:f>0</x:f>
        <x:v>0</x:v>
      </x:c>
      <x:c r="J2194" s="8" t="n">
        <x:v>0</x:v>
      </x:c>
      <x:c r="K2194" s="8" t="n">
        <x:f>H2194-I2194*J2194</x:f>
        <x:v>3.2710205917600574</x:v>
      </x:c>
      <x:c r="L2194" s="8" t="n">
        <x:f>'PG facts'!F125</x:f>
        <x:v>1</x:v>
      </x:c>
      <x:c r="M2194" s="8" t="n">
        <x:f>K2194-L2194</x:f>
        <x:v>2.2710205917600574</x:v>
      </x:c>
      <x:c r="N2194" s="8" t="n">
        <x:f>M2194^2</x:f>
        <x:v>5.157534528198202</x:v>
      </x:c>
      <x:c r="O2194" s="8" t="n">
        <x:f>ABS(M2194)</x:f>
        <x:v>2.2710205917600574</x:v>
      </x:c>
      <x:c r="P2194" s="7" t="n">
        <x:v>45867</x:v>
      </x:c>
    </x:row>
    <x:row r="2195" ht="26" customHeight="1">
      <x:c r="A2195" s="2"/>
      <x:c r="B2195" s="2" t="n">
        <x:v>2190</x:v>
      </x:c>
      <x:c r="C2195" s="2" t="str">
        <x:v>Beauty / organic_sales_growth</x:v>
      </x:c>
      <x:c r="D2195" s="7" t="n">
        <x:v>45838</x:v>
      </x:c>
      <x:c r="E2195" s="2" t="str">
        <x:v>Pre-earnings</x:v>
      </x:c>
      <x:c r="F2195" s="7" t="n">
        <x:v>45866</x:v>
      </x:c>
      <x:c r="G2195" s="2" t="str">
        <x:v>Broad rolling 8</x:v>
      </x:c>
      <x:c r="H2195" s="8" t="n">
        <x:f>'Model fits'!AA1421</x:f>
        <x:v>3.7002563060782023</x:v>
      </x:c>
      <x:c r="I2195" s="8" t="n">
        <x:f>0</x:f>
        <x:v>0</x:v>
      </x:c>
      <x:c r="J2195" s="8" t="n">
        <x:v>0</x:v>
      </x:c>
      <x:c r="K2195" s="8" t="n">
        <x:f>H2195-I2195*J2195</x:f>
        <x:v>3.7002563060782023</x:v>
      </x:c>
      <x:c r="L2195" s="8" t="n">
        <x:f>'PG facts'!F125</x:f>
        <x:v>1</x:v>
      </x:c>
      <x:c r="M2195" s="8" t="n">
        <x:f>K2195-L2195</x:f>
        <x:v>2.7002563060782023</x:v>
      </x:c>
      <x:c r="N2195" s="8" t="n">
        <x:f>M2195^2</x:f>
        <x:v>7.291384118515098</x:v>
      </x:c>
      <x:c r="O2195" s="8" t="n">
        <x:f>ABS(M2195)</x:f>
        <x:v>2.7002563060782023</x:v>
      </x:c>
      <x:c r="P2195" s="7" t="n">
        <x:v>45867</x:v>
      </x:c>
    </x:row>
    <x:row r="2196" ht="26" customHeight="1">
      <x:c r="A2196" s="2"/>
      <x:c r="B2196" s="2" t="n">
        <x:v>2191</x:v>
      </x:c>
      <x:c r="C2196" s="2" t="str">
        <x:v>Beauty / organic_sales_growth</x:v>
      </x:c>
      <x:c r="D2196" s="7" t="n">
        <x:v>45838</x:v>
      </x:c>
      <x:c r="E2196" s="2" t="str">
        <x:v>Pre-earnings</x:v>
      </x:c>
      <x:c r="F2196" s="7" t="n">
        <x:v>45866</x:v>
      </x:c>
      <x:c r="G2196" s="2" t="str">
        <x:v>Own history</x:v>
      </x:c>
      <x:c r="H2196" s="8" t="n">
        <x:f>'Model fits'!AA1422</x:f>
        <x:v>2.663811563169165</x:v>
      </x:c>
      <x:c r="I2196" s="8" t="n">
        <x:f>0</x:f>
        <x:v>0</x:v>
      </x:c>
      <x:c r="J2196" s="8" t="n">
        <x:v>0</x:v>
      </x:c>
      <x:c r="K2196" s="8" t="n">
        <x:f>H2196-I2196*J2196</x:f>
        <x:v>2.663811563169165</x:v>
      </x:c>
      <x:c r="L2196" s="8" t="n">
        <x:f>'PG facts'!F125</x:f>
        <x:v>1</x:v>
      </x:c>
      <x:c r="M2196" s="8" t="n">
        <x:f>K2196-L2196</x:f>
        <x:v>1.663811563169165</x:v>
      </x:c>
      <x:c r="N2196" s="8" t="n">
        <x:f>M2196^2</x:f>
        <x:v>2.7682689177354205</x:v>
      </x:c>
      <x:c r="O2196" s="8" t="n">
        <x:f>ABS(M2196)</x:f>
        <x:v>1.663811563169165</x:v>
      </x:c>
      <x:c r="P2196" s="7" t="n">
        <x:v>45867</x:v>
      </x:c>
    </x:row>
    <x:row r="2197" ht="26" customHeight="1">
      <x:c r="A2197" s="2"/>
      <x:c r="B2197" s="2" t="n">
        <x:v>2192</x:v>
      </x:c>
      <x:c r="C2197" s="2" t="str">
        <x:v>Beauty / organic_sales_growth</x:v>
      </x:c>
      <x:c r="D2197" s="7" t="n">
        <x:v>45930</x:v>
      </x:c>
      <x:c r="E2197" s="2" t="str">
        <x:v>Origin</x:v>
      </x:c>
      <x:c r="F2197" s="7" t="n">
        <x:v>45839</x:v>
      </x:c>
      <x:c r="G2197" s="2" t="str">
        <x:v>Last actual</x:v>
      </x:c>
      <x:c r="H2197" s="8" t="n">
        <x:f>AVERAGE('PG facts'!F118)</x:f>
        <x:v>2</x:v>
      </x:c>
      <x:c r="I2197" s="8" t="n">
        <x:f>0</x:f>
        <x:v>0</x:v>
      </x:c>
      <x:c r="J2197" s="8" t="n">
        <x:v>0</x:v>
      </x:c>
      <x:c r="K2197" s="8" t="n">
        <x:f>H2197-I2197*J2197</x:f>
        <x:v>2</x:v>
      </x:c>
      <x:c r="L2197" s="8" t="n">
        <x:f>'PG facts'!F132</x:f>
        <x:v>6</x:v>
      </x:c>
      <x:c r="M2197" s="8" t="n">
        <x:f>K2197-L2197</x:f>
        <x:v>-4</x:v>
      </x:c>
      <x:c r="N2197" s="8" t="n">
        <x:f>M2197^2</x:f>
        <x:v>16</x:v>
      </x:c>
      <x:c r="O2197" s="8" t="n">
        <x:f>ABS(M2197)</x:f>
        <x:v>4</x:v>
      </x:c>
      <x:c r="P2197" s="7" t="n">
        <x:v>45954</x:v>
      </x:c>
    </x:row>
    <x:row r="2198" ht="26" customHeight="1">
      <x:c r="A2198" s="2"/>
      <x:c r="B2198" s="2" t="n">
        <x:v>2193</x:v>
      </x:c>
      <x:c r="C2198" s="2" t="str">
        <x:v>Beauty / organic_sales_growth</x:v>
      </x:c>
      <x:c r="D2198" s="7" t="n">
        <x:v>45930</x:v>
      </x:c>
      <x:c r="E2198" s="2" t="str">
        <x:v>Origin</x:v>
      </x:c>
      <x:c r="F2198" s="7" t="n">
        <x:v>45839</x:v>
      </x:c>
      <x:c r="G2198" s="2" t="str">
        <x:v>Four-quarter mean</x:v>
      </x:c>
      <x:c r="H2198" s="8" t="n">
        <x:f>AVERAGE('PG facts'!F97,'PG facts'!F104,'PG facts'!F111,'PG facts'!F118)</x:f>
        <x:v>1.25</x:v>
      </x:c>
      <x:c r="I2198" s="8" t="n">
        <x:f>0</x:f>
        <x:v>0</x:v>
      </x:c>
      <x:c r="J2198" s="8" t="n">
        <x:v>0</x:v>
      </x:c>
      <x:c r="K2198" s="8" t="n">
        <x:f>H2198-I2198*J2198</x:f>
        <x:v>1.25</x:v>
      </x:c>
      <x:c r="L2198" s="8" t="n">
        <x:f>'PG facts'!F132</x:f>
        <x:v>6</x:v>
      </x:c>
      <x:c r="M2198" s="8" t="n">
        <x:f>K2198-L2198</x:f>
        <x:v>-4.75</x:v>
      </x:c>
      <x:c r="N2198" s="8" t="n">
        <x:f>M2198^2</x:f>
        <x:v>22.5625</x:v>
      </x:c>
      <x:c r="O2198" s="8" t="n">
        <x:f>ABS(M2198)</x:f>
        <x:v>4.75</x:v>
      </x:c>
      <x:c r="P2198" s="7" t="n">
        <x:v>45954</x:v>
      </x:c>
    </x:row>
    <x:row r="2199" ht="26" customHeight="1">
      <x:c r="A2199" s="2"/>
      <x:c r="B2199" s="2" t="n">
        <x:v>2194</x:v>
      </x:c>
      <x:c r="C2199" s="2" t="str">
        <x:v>Beauty / organic_sales_growth</x:v>
      </x:c>
      <x:c r="D2199" s="7" t="n">
        <x:v>45930</x:v>
      </x:c>
      <x:c r="E2199" s="2" t="str">
        <x:v>Origin</x:v>
      </x:c>
      <x:c r="F2199" s="7" t="n">
        <x:v>45839</x:v>
      </x:c>
      <x:c r="G2199" s="2" t="str">
        <x:v>Broad market</x:v>
      </x:c>
      <x:c r="H2199" s="8" t="n">
        <x:f>'Model fits'!AA1423</x:f>
        <x:v>3.8642642532877547</x:v>
      </x:c>
      <x:c r="I2199" s="8" t="n">
        <x:f>0</x:f>
        <x:v>0</x:v>
      </x:c>
      <x:c r="J2199" s="8" t="n">
        <x:v>0</x:v>
      </x:c>
      <x:c r="K2199" s="8" t="n">
        <x:f>H2199-I2199*J2199</x:f>
        <x:v>3.8642642532877547</x:v>
      </x:c>
      <x:c r="L2199" s="8" t="n">
        <x:f>'PG facts'!F132</x:f>
        <x:v>6</x:v>
      </x:c>
      <x:c r="M2199" s="8" t="n">
        <x:f>K2199-L2199</x:f>
        <x:v>-2.1357357467122453</x:v>
      </x:c>
      <x:c r="N2199" s="8" t="n">
        <x:f>M2199^2</x:f>
        <x:v>4.561367179784512</x:v>
      </x:c>
      <x:c r="O2199" s="8" t="n">
        <x:f>ABS(M2199)</x:f>
        <x:v>2.1357357467122453</x:v>
      </x:c>
      <x:c r="P2199" s="7" t="n">
        <x:v>45954</x:v>
      </x:c>
    </x:row>
    <x:row r="2200" ht="26" customHeight="1">
      <x:c r="A2200" s="2"/>
      <x:c r="B2200" s="2" t="n">
        <x:v>2195</x:v>
      </x:c>
      <x:c r="C2200" s="2" t="str">
        <x:v>Beauty / organic_sales_growth</x:v>
      </x:c>
      <x:c r="D2200" s="7" t="n">
        <x:v>45930</x:v>
      </x:c>
      <x:c r="E2200" s="2" t="str">
        <x:v>Origin</x:v>
      </x:c>
      <x:c r="F2200" s="7" t="n">
        <x:v>45839</x:v>
      </x:c>
      <x:c r="G2200" s="2" t="str">
        <x:v>Broad rolling 8</x:v>
      </x:c>
      <x:c r="H2200" s="8" t="n">
        <x:f>'Model fits'!AA1424</x:f>
        <x:v>3.775926139630486</x:v>
      </x:c>
      <x:c r="I2200" s="8" t="n">
        <x:f>0</x:f>
        <x:v>0</x:v>
      </x:c>
      <x:c r="J2200" s="8" t="n">
        <x:v>0</x:v>
      </x:c>
      <x:c r="K2200" s="8" t="n">
        <x:f>H2200-I2200*J2200</x:f>
        <x:v>3.775926139630486</x:v>
      </x:c>
      <x:c r="L2200" s="8" t="n">
        <x:f>'PG facts'!F132</x:f>
        <x:v>6</x:v>
      </x:c>
      <x:c r="M2200" s="8" t="n">
        <x:f>K2200-L2200</x:f>
        <x:v>-2.224073860369514</x:v>
      </x:c>
      <x:c r="N2200" s="8" t="n">
        <x:f>M2200^2</x:f>
        <x:v>4.946504536378953</x:v>
      </x:c>
      <x:c r="O2200" s="8" t="n">
        <x:f>ABS(M2200)</x:f>
        <x:v>2.224073860369514</x:v>
      </x:c>
      <x:c r="P2200" s="7" t="n">
        <x:v>45954</x:v>
      </x:c>
    </x:row>
    <x:row r="2201" ht="26" customHeight="1">
      <x:c r="A2201" s="2"/>
      <x:c r="B2201" s="2" t="n">
        <x:v>2196</x:v>
      </x:c>
      <x:c r="C2201" s="2" t="str">
        <x:v>Beauty / organic_sales_growth</x:v>
      </x:c>
      <x:c r="D2201" s="7" t="n">
        <x:v>45930</x:v>
      </x:c>
      <x:c r="E2201" s="2" t="str">
        <x:v>Origin</x:v>
      </x:c>
      <x:c r="F2201" s="7" t="n">
        <x:v>45839</x:v>
      </x:c>
      <x:c r="G2201" s="2" t="str">
        <x:v>Own history</x:v>
      </x:c>
      <x:c r="H2201" s="8" t="n">
        <x:f>'Model fits'!AA1425</x:f>
        <x:v>3.1093023255813956</x:v>
      </x:c>
      <x:c r="I2201" s="8" t="n">
        <x:f>0</x:f>
        <x:v>0</x:v>
      </x:c>
      <x:c r="J2201" s="8" t="n">
        <x:v>0</x:v>
      </x:c>
      <x:c r="K2201" s="8" t="n">
        <x:f>H2201-I2201*J2201</x:f>
        <x:v>3.1093023255813956</x:v>
      </x:c>
      <x:c r="L2201" s="8" t="n">
        <x:f>'PG facts'!F132</x:f>
        <x:v>6</x:v>
      </x:c>
      <x:c r="M2201" s="8" t="n">
        <x:f>K2201-L2201</x:f>
        <x:v>-2.8906976744186044</x:v>
      </x:c>
      <x:c r="N2201" s="8" t="n">
        <x:f>M2201^2</x:f>
        <x:v>8.356133044889127</x:v>
      </x:c>
      <x:c r="O2201" s="8" t="n">
        <x:f>ABS(M2201)</x:f>
        <x:v>2.8906976744186044</x:v>
      </x:c>
      <x:c r="P2201" s="7" t="n">
        <x:v>45954</x:v>
      </x:c>
    </x:row>
    <x:row r="2202" ht="26" customHeight="1">
      <x:c r="A2202" s="2"/>
      <x:c r="B2202" s="2" t="n">
        <x:v>2197</x:v>
      </x:c>
      <x:c r="C2202" s="2" t="str">
        <x:v>Beauty / organic_sales_growth</x:v>
      </x:c>
      <x:c r="D2202" s="7" t="n">
        <x:v>45930</x:v>
      </x:c>
      <x:c r="E2202" s="2" t="str">
        <x:v>Prior report</x:v>
      </x:c>
      <x:c r="F2202" s="7" t="n">
        <x:v>45867</x:v>
      </x:c>
      <x:c r="G2202" s="2" t="str">
        <x:v>Last actual</x:v>
      </x:c>
      <x:c r="H2202" s="8" t="n">
        <x:f>AVERAGE('PG facts'!F125)</x:f>
        <x:v>1</x:v>
      </x:c>
      <x:c r="I2202" s="8" t="n">
        <x:f>0</x:f>
        <x:v>0</x:v>
      </x:c>
      <x:c r="J2202" s="8" t="n">
        <x:v>0</x:v>
      </x:c>
      <x:c r="K2202" s="8" t="n">
        <x:f>H2202-I2202*J2202</x:f>
        <x:v>1</x:v>
      </x:c>
      <x:c r="L2202" s="8" t="n">
        <x:f>'PG facts'!F132</x:f>
        <x:v>6</x:v>
      </x:c>
      <x:c r="M2202" s="8" t="n">
        <x:f>K2202-L2202</x:f>
        <x:v>-5</x:v>
      </x:c>
      <x:c r="N2202" s="8" t="n">
        <x:f>M2202^2</x:f>
        <x:v>25</x:v>
      </x:c>
      <x:c r="O2202" s="8" t="n">
        <x:f>ABS(M2202)</x:f>
        <x:v>5</x:v>
      </x:c>
      <x:c r="P2202" s="7" t="n">
        <x:v>45954</x:v>
      </x:c>
    </x:row>
    <x:row r="2203" ht="26" customHeight="1">
      <x:c r="A2203" s="2"/>
      <x:c r="B2203" s="2" t="n">
        <x:v>2198</x:v>
      </x:c>
      <x:c r="C2203" s="2" t="str">
        <x:v>Beauty / organic_sales_growth</x:v>
      </x:c>
      <x:c r="D2203" s="7" t="n">
        <x:v>45930</x:v>
      </x:c>
      <x:c r="E2203" s="2" t="str">
        <x:v>Prior report</x:v>
      </x:c>
      <x:c r="F2203" s="7" t="n">
        <x:v>45867</x:v>
      </x:c>
      <x:c r="G2203" s="2" t="str">
        <x:v>Four-quarter mean</x:v>
      </x:c>
      <x:c r="H2203" s="8" t="n">
        <x:f>AVERAGE('PG facts'!F104,'PG facts'!F111,'PG facts'!F118,'PG facts'!F125)</x:f>
        <x:v>0.75</x:v>
      </x:c>
      <x:c r="I2203" s="8" t="n">
        <x:f>0</x:f>
        <x:v>0</x:v>
      </x:c>
      <x:c r="J2203" s="8" t="n">
        <x:v>0</x:v>
      </x:c>
      <x:c r="K2203" s="8" t="n">
        <x:f>H2203-I2203*J2203</x:f>
        <x:v>0.75</x:v>
      </x:c>
      <x:c r="L2203" s="8" t="n">
        <x:f>'PG facts'!F132</x:f>
        <x:v>6</x:v>
      </x:c>
      <x:c r="M2203" s="8" t="n">
        <x:f>K2203-L2203</x:f>
        <x:v>-5.25</x:v>
      </x:c>
      <x:c r="N2203" s="8" t="n">
        <x:f>M2203^2</x:f>
        <x:v>27.5625</x:v>
      </x:c>
      <x:c r="O2203" s="8" t="n">
        <x:f>ABS(M2203)</x:f>
        <x:v>5.25</x:v>
      </x:c>
      <x:c r="P2203" s="7" t="n">
        <x:v>45954</x:v>
      </x:c>
    </x:row>
    <x:row r="2204" ht="26" customHeight="1">
      <x:c r="A2204" s="2"/>
      <x:c r="B2204" s="2" t="n">
        <x:v>2199</x:v>
      </x:c>
      <x:c r="C2204" s="2" t="str">
        <x:v>Beauty / organic_sales_growth</x:v>
      </x:c>
      <x:c r="D2204" s="7" t="n">
        <x:v>45930</x:v>
      </x:c>
      <x:c r="E2204" s="2" t="str">
        <x:v>Prior report</x:v>
      </x:c>
      <x:c r="F2204" s="7" t="n">
        <x:v>45867</x:v>
      </x:c>
      <x:c r="G2204" s="2" t="str">
        <x:v>Broad market</x:v>
      </x:c>
      <x:c r="H2204" s="8" t="n">
        <x:f>'Model fits'!AA1426</x:f>
        <x:v>3.6131265025384898</x:v>
      </x:c>
      <x:c r="I2204" s="8" t="n">
        <x:f>0</x:f>
        <x:v>0</x:v>
      </x:c>
      <x:c r="J2204" s="8" t="n">
        <x:v>0</x:v>
      </x:c>
      <x:c r="K2204" s="8" t="n">
        <x:f>H2204-I2204*J2204</x:f>
        <x:v>3.6131265025384898</x:v>
      </x:c>
      <x:c r="L2204" s="8" t="n">
        <x:f>'PG facts'!F132</x:f>
        <x:v>6</x:v>
      </x:c>
      <x:c r="M2204" s="8" t="n">
        <x:f>K2204-L2204</x:f>
        <x:v>-2.3868734974615102</x:v>
      </x:c>
      <x:c r="N2204" s="8" t="n">
        <x:f>M2204^2</x:f>
        <x:v>5.697165092884142</x:v>
      </x:c>
      <x:c r="O2204" s="8" t="n">
        <x:f>ABS(M2204)</x:f>
        <x:v>2.3868734974615102</x:v>
      </x:c>
      <x:c r="P2204" s="7" t="n">
        <x:v>45954</x:v>
      </x:c>
    </x:row>
    <x:row r="2205" ht="26" customHeight="1">
      <x:c r="A2205" s="2"/>
      <x:c r="B2205" s="2" t="n">
        <x:v>2200</x:v>
      </x:c>
      <x:c r="C2205" s="2" t="str">
        <x:v>Beauty / organic_sales_growth</x:v>
      </x:c>
      <x:c r="D2205" s="7" t="n">
        <x:v>45930</x:v>
      </x:c>
      <x:c r="E2205" s="2" t="str">
        <x:v>Prior report</x:v>
      </x:c>
      <x:c r="F2205" s="7" t="n">
        <x:v>45867</x:v>
      </x:c>
      <x:c r="G2205" s="2" t="str">
        <x:v>Broad lag 1</x:v>
      </x:c>
      <x:c r="H2205" s="8" t="n">
        <x:f>'Model fits'!AA1427</x:f>
        <x:v>3.139658236346581</x:v>
      </x:c>
      <x:c r="I2205" s="8" t="n">
        <x:f>0</x:f>
        <x:v>0</x:v>
      </x:c>
      <x:c r="J2205" s="8" t="n">
        <x:v>0</x:v>
      </x:c>
      <x:c r="K2205" s="8" t="n">
        <x:f>H2205-I2205*J2205</x:f>
        <x:v>3.139658236346581</x:v>
      </x:c>
      <x:c r="L2205" s="8" t="n">
        <x:f>'PG facts'!F132</x:f>
        <x:v>6</x:v>
      </x:c>
      <x:c r="M2205" s="8" t="n">
        <x:f>K2205-L2205</x:f>
        <x:v>-2.860341763653419</x:v>
      </x:c>
      <x:c r="N2205" s="8" t="n">
        <x:f>M2205^2</x:f>
        <x:v>8.181555004899952</x:v>
      </x:c>
      <x:c r="O2205" s="8" t="n">
        <x:f>ABS(M2205)</x:f>
        <x:v>2.860341763653419</x:v>
      </x:c>
      <x:c r="P2205" s="7" t="n">
        <x:v>45954</x:v>
      </x:c>
    </x:row>
    <x:row r="2206" ht="26" customHeight="1">
      <x:c r="A2206" s="2"/>
      <x:c r="B2206" s="2" t="n">
        <x:v>2201</x:v>
      </x:c>
      <x:c r="C2206" s="2" t="str">
        <x:v>Beauty / organic_sales_growth</x:v>
      </x:c>
      <x:c r="D2206" s="7" t="n">
        <x:v>45930</x:v>
      </x:c>
      <x:c r="E2206" s="2" t="str">
        <x:v>Prior report</x:v>
      </x:c>
      <x:c r="F2206" s="7" t="n">
        <x:v>45867</x:v>
      </x:c>
      <x:c r="G2206" s="2" t="str">
        <x:v>Broad rolling 8</x:v>
      </x:c>
      <x:c r="H2206" s="8" t="n">
        <x:f>'Model fits'!AA1428</x:f>
        <x:v>1.4507916323828522</x:v>
      </x:c>
      <x:c r="I2206" s="8" t="n">
        <x:f>0</x:f>
        <x:v>0</x:v>
      </x:c>
      <x:c r="J2206" s="8" t="n">
        <x:v>0</x:v>
      </x:c>
      <x:c r="K2206" s="8" t="n">
        <x:f>H2206-I2206*J2206</x:f>
        <x:v>1.4507916323828522</x:v>
      </x:c>
      <x:c r="L2206" s="8" t="n">
        <x:f>'PG facts'!F132</x:f>
        <x:v>6</x:v>
      </x:c>
      <x:c r="M2206" s="8" t="n">
        <x:f>K2206-L2206</x:f>
        <x:v>-4.5492083676171475</x:v>
      </x:c>
      <x:c r="N2206" s="8" t="n">
        <x:f>M2206^2</x:f>
        <x:v>20.69529677199787</x:v>
      </x:c>
      <x:c r="O2206" s="8" t="n">
        <x:f>ABS(M2206)</x:f>
        <x:v>4.5492083676171475</x:v>
      </x:c>
      <x:c r="P2206" s="7" t="n">
        <x:v>45954</x:v>
      </x:c>
    </x:row>
    <x:row r="2207" ht="26" customHeight="1">
      <x:c r="A2207" s="2"/>
      <x:c r="B2207" s="2" t="n">
        <x:v>2202</x:v>
      </x:c>
      <x:c r="C2207" s="2" t="str">
        <x:v>Beauty / organic_sales_growth</x:v>
      </x:c>
      <x:c r="D2207" s="7" t="n">
        <x:v>45930</x:v>
      </x:c>
      <x:c r="E2207" s="2" t="str">
        <x:v>Prior report</x:v>
      </x:c>
      <x:c r="F2207" s="7" t="n">
        <x:v>45867</x:v>
      </x:c>
      <x:c r="G2207" s="2" t="str">
        <x:v>Own history</x:v>
      </x:c>
      <x:c r="H2207" s="8" t="n">
        <x:f>'Model fits'!AA1429</x:f>
        <x:v>2.15</x:v>
      </x:c>
      <x:c r="I2207" s="8" t="n">
        <x:f>0</x:f>
        <x:v>0</x:v>
      </x:c>
      <x:c r="J2207" s="8" t="n">
        <x:v>0</x:v>
      </x:c>
      <x:c r="K2207" s="8" t="n">
        <x:f>H2207-I2207*J2207</x:f>
        <x:v>2.15</x:v>
      </x:c>
      <x:c r="L2207" s="8" t="n">
        <x:f>'PG facts'!F132</x:f>
        <x:v>6</x:v>
      </x:c>
      <x:c r="M2207" s="8" t="n">
        <x:f>K2207-L2207</x:f>
        <x:v>-3.85</x:v>
      </x:c>
      <x:c r="N2207" s="8" t="n">
        <x:f>M2207^2</x:f>
        <x:v>14.822500000000002</x:v>
      </x:c>
      <x:c r="O2207" s="8" t="n">
        <x:f>ABS(M2207)</x:f>
        <x:v>3.85</x:v>
      </x:c>
      <x:c r="P2207" s="7" t="n">
        <x:v>45954</x:v>
      </x:c>
    </x:row>
    <x:row r="2208" ht="26" customHeight="1">
      <x:c r="A2208" s="2"/>
      <x:c r="B2208" s="2" t="n">
        <x:v>2203</x:v>
      </x:c>
      <x:c r="C2208" s="2" t="str">
        <x:v>Beauty / organic_sales_growth</x:v>
      </x:c>
      <x:c r="D2208" s="7" t="n">
        <x:v>45930</x:v>
      </x:c>
      <x:c r="E2208" s="2" t="str">
        <x:v>Pre-earnings</x:v>
      </x:c>
      <x:c r="F2208" s="7" t="n">
        <x:v>45953</x:v>
      </x:c>
      <x:c r="G2208" s="2" t="str">
        <x:v>Last actual</x:v>
      </x:c>
      <x:c r="H2208" s="8" t="n">
        <x:f>AVERAGE('PG facts'!F125)</x:f>
        <x:v>1</x:v>
      </x:c>
      <x:c r="I2208" s="8" t="n">
        <x:f>0</x:f>
        <x:v>0</x:v>
      </x:c>
      <x:c r="J2208" s="8" t="n">
        <x:v>0</x:v>
      </x:c>
      <x:c r="K2208" s="8" t="n">
        <x:f>H2208-I2208*J2208</x:f>
        <x:v>1</x:v>
      </x:c>
      <x:c r="L2208" s="8" t="n">
        <x:f>'PG facts'!F132</x:f>
        <x:v>6</x:v>
      </x:c>
      <x:c r="M2208" s="8" t="n">
        <x:f>K2208-L2208</x:f>
        <x:v>-5</x:v>
      </x:c>
      <x:c r="N2208" s="8" t="n">
        <x:f>M2208^2</x:f>
        <x:v>25</x:v>
      </x:c>
      <x:c r="O2208" s="8" t="n">
        <x:f>ABS(M2208)</x:f>
        <x:v>5</x:v>
      </x:c>
      <x:c r="P2208" s="7" t="n">
        <x:v>45954</x:v>
      </x:c>
    </x:row>
    <x:row r="2209" ht="26" customHeight="1">
      <x:c r="A2209" s="2"/>
      <x:c r="B2209" s="2" t="n">
        <x:v>2204</x:v>
      </x:c>
      <x:c r="C2209" s="2" t="str">
        <x:v>Beauty / organic_sales_growth</x:v>
      </x:c>
      <x:c r="D2209" s="7" t="n">
        <x:v>45930</x:v>
      </x:c>
      <x:c r="E2209" s="2" t="str">
        <x:v>Pre-earnings</x:v>
      </x:c>
      <x:c r="F2209" s="7" t="n">
        <x:v>45953</x:v>
      </x:c>
      <x:c r="G2209" s="2" t="str">
        <x:v>Four-quarter mean</x:v>
      </x:c>
      <x:c r="H2209" s="8" t="n">
        <x:f>AVERAGE('PG facts'!F104,'PG facts'!F111,'PG facts'!F118,'PG facts'!F125)</x:f>
        <x:v>0.75</x:v>
      </x:c>
      <x:c r="I2209" s="8" t="n">
        <x:f>0</x:f>
        <x:v>0</x:v>
      </x:c>
      <x:c r="J2209" s="8" t="n">
        <x:v>0</x:v>
      </x:c>
      <x:c r="K2209" s="8" t="n">
        <x:f>H2209-I2209*J2209</x:f>
        <x:v>0.75</x:v>
      </x:c>
      <x:c r="L2209" s="8" t="n">
        <x:f>'PG facts'!F132</x:f>
        <x:v>6</x:v>
      </x:c>
      <x:c r="M2209" s="8" t="n">
        <x:f>K2209-L2209</x:f>
        <x:v>-5.25</x:v>
      </x:c>
      <x:c r="N2209" s="8" t="n">
        <x:f>M2209^2</x:f>
        <x:v>27.5625</x:v>
      </x:c>
      <x:c r="O2209" s="8" t="n">
        <x:f>ABS(M2209)</x:f>
        <x:v>5.25</x:v>
      </x:c>
      <x:c r="P2209" s="7" t="n">
        <x:v>45954</x:v>
      </x:c>
    </x:row>
    <x:row r="2210" ht="26" customHeight="1">
      <x:c r="A2210" s="2"/>
      <x:c r="B2210" s="2" t="n">
        <x:v>2205</x:v>
      </x:c>
      <x:c r="C2210" s="2" t="str">
        <x:v>Beauty / organic_sales_growth</x:v>
      </x:c>
      <x:c r="D2210" s="7" t="n">
        <x:v>45930</x:v>
      </x:c>
      <x:c r="E2210" s="2" t="str">
        <x:v>Pre-earnings</x:v>
      </x:c>
      <x:c r="F2210" s="7" t="n">
        <x:v>45953</x:v>
      </x:c>
      <x:c r="G2210" s="2" t="str">
        <x:v>Broad market</x:v>
      </x:c>
      <x:c r="H2210" s="8" t="n">
        <x:f>'Model fits'!AA1430</x:f>
        <x:v>3.2545191737167074</x:v>
      </x:c>
      <x:c r="I2210" s="8" t="n">
        <x:f>0</x:f>
        <x:v>0</x:v>
      </x:c>
      <x:c r="J2210" s="8" t="n">
        <x:v>0</x:v>
      </x:c>
      <x:c r="K2210" s="8" t="n">
        <x:f>H2210-I2210*J2210</x:f>
        <x:v>3.2545191737167074</x:v>
      </x:c>
      <x:c r="L2210" s="8" t="n">
        <x:f>'PG facts'!F132</x:f>
        <x:v>6</x:v>
      </x:c>
      <x:c r="M2210" s="8" t="n">
        <x:f>K2210-L2210</x:f>
        <x:v>-2.7454808262832926</x:v>
      </x:c>
      <x:c r="N2210" s="8" t="n">
        <x:f>M2210^2</x:f>
        <x:v>7.537664967489191</x:v>
      </x:c>
      <x:c r="O2210" s="8" t="n">
        <x:f>ABS(M2210)</x:f>
        <x:v>2.7454808262832926</x:v>
      </x:c>
      <x:c r="P2210" s="7" t="n">
        <x:v>45954</x:v>
      </x:c>
    </x:row>
    <x:row r="2211" ht="26" customHeight="1">
      <x:c r="A2211" s="2"/>
      <x:c r="B2211" s="2" t="n">
        <x:v>2206</x:v>
      </x:c>
      <x:c r="C2211" s="2" t="str">
        <x:v>Beauty / organic_sales_growth</x:v>
      </x:c>
      <x:c r="D2211" s="7" t="n">
        <x:v>45930</x:v>
      </x:c>
      <x:c r="E2211" s="2" t="str">
        <x:v>Pre-earnings</x:v>
      </x:c>
      <x:c r="F2211" s="7" t="n">
        <x:v>45953</x:v>
      </x:c>
      <x:c r="G2211" s="2" t="str">
        <x:v>Broad lag 1</x:v>
      </x:c>
      <x:c r="H2211" s="8" t="n">
        <x:f>'Model fits'!AA1431</x:f>
        <x:v>3.151511316719254</x:v>
      </x:c>
      <x:c r="I2211" s="8" t="n">
        <x:f>0</x:f>
        <x:v>0</x:v>
      </x:c>
      <x:c r="J2211" s="8" t="n">
        <x:v>0</x:v>
      </x:c>
      <x:c r="K2211" s="8" t="n">
        <x:f>H2211-I2211*J2211</x:f>
        <x:v>3.151511316719254</x:v>
      </x:c>
      <x:c r="L2211" s="8" t="n">
        <x:f>'PG facts'!F132</x:f>
        <x:v>6</x:v>
      </x:c>
      <x:c r="M2211" s="8" t="n">
        <x:f>K2211-L2211</x:f>
        <x:v>-2.848488683280746</x:v>
      </x:c>
      <x:c r="N2211" s="8" t="n">
        <x:f>M2211^2</x:f>
        <x:v>8.113887778778478</x:v>
      </x:c>
      <x:c r="O2211" s="8" t="n">
        <x:f>ABS(M2211)</x:f>
        <x:v>2.848488683280746</x:v>
      </x:c>
      <x:c r="P2211" s="7" t="n">
        <x:v>45954</x:v>
      </x:c>
    </x:row>
    <x:row r="2212" ht="26" customHeight="1">
      <x:c r="A2212" s="2"/>
      <x:c r="B2212" s="2" t="n">
        <x:v>2207</x:v>
      </x:c>
      <x:c r="C2212" s="2" t="str">
        <x:v>Beauty / organic_sales_growth</x:v>
      </x:c>
      <x:c r="D2212" s="7" t="n">
        <x:v>45930</x:v>
      </x:c>
      <x:c r="E2212" s="2" t="str">
        <x:v>Pre-earnings</x:v>
      </x:c>
      <x:c r="F2212" s="7" t="n">
        <x:v>45953</x:v>
      </x:c>
      <x:c r="G2212" s="2" t="str">
        <x:v>Broad rolling 8</x:v>
      </x:c>
      <x:c r="H2212" s="8" t="n">
        <x:f>'Model fits'!AA1432</x:f>
        <x:v>1.8418836824915625</x:v>
      </x:c>
      <x:c r="I2212" s="8" t="n">
        <x:f>0</x:f>
        <x:v>0</x:v>
      </x:c>
      <x:c r="J2212" s="8" t="n">
        <x:v>0</x:v>
      </x:c>
      <x:c r="K2212" s="8" t="n">
        <x:f>H2212-I2212*J2212</x:f>
        <x:v>1.8418836824915625</x:v>
      </x:c>
      <x:c r="L2212" s="8" t="n">
        <x:f>'PG facts'!F132</x:f>
        <x:v>6</x:v>
      </x:c>
      <x:c r="M2212" s="8" t="n">
        <x:f>K2212-L2212</x:f>
        <x:v>-4.158116317508437</x:v>
      </x:c>
      <x:c r="N2212" s="8" t="n">
        <x:f>M2212^2</x:f>
        <x:v>17.289931309929926</x:v>
      </x:c>
      <x:c r="O2212" s="8" t="n">
        <x:f>ABS(M2212)</x:f>
        <x:v>4.158116317508437</x:v>
      </x:c>
      <x:c r="P2212" s="7" t="n">
        <x:v>45954</x:v>
      </x:c>
    </x:row>
    <x:row r="2213" ht="26" customHeight="1">
      <x:c r="A2213" s="2"/>
      <x:c r="B2213" s="2" t="n">
        <x:v>2208</x:v>
      </x:c>
      <x:c r="C2213" s="2" t="str">
        <x:v>Beauty / organic_sales_growth</x:v>
      </x:c>
      <x:c r="D2213" s="7" t="n">
        <x:v>45930</x:v>
      </x:c>
      <x:c r="E2213" s="2" t="str">
        <x:v>Pre-earnings</x:v>
      </x:c>
      <x:c r="F2213" s="7" t="n">
        <x:v>45953</x:v>
      </x:c>
      <x:c r="G2213" s="2" t="str">
        <x:v>Own history</x:v>
      </x:c>
      <x:c r="H2213" s="8" t="n">
        <x:f>'Model fits'!AA1433</x:f>
        <x:v>2.15</x:v>
      </x:c>
      <x:c r="I2213" s="8" t="n">
        <x:f>0</x:f>
        <x:v>0</x:v>
      </x:c>
      <x:c r="J2213" s="8" t="n">
        <x:v>0</x:v>
      </x:c>
      <x:c r="K2213" s="8" t="n">
        <x:f>H2213-I2213*J2213</x:f>
        <x:v>2.15</x:v>
      </x:c>
      <x:c r="L2213" s="8" t="n">
        <x:f>'PG facts'!F132</x:f>
        <x:v>6</x:v>
      </x:c>
      <x:c r="M2213" s="8" t="n">
        <x:f>K2213-L2213</x:f>
        <x:v>-3.85</x:v>
      </x:c>
      <x:c r="N2213" s="8" t="n">
        <x:f>M2213^2</x:f>
        <x:v>14.822500000000002</x:v>
      </x:c>
      <x:c r="O2213" s="8" t="n">
        <x:f>ABS(M2213)</x:f>
        <x:v>3.85</x:v>
      </x:c>
      <x:c r="P2213" s="7" t="n">
        <x:v>45954</x:v>
      </x:c>
    </x:row>
    <x:row r="2214" ht="26" customHeight="1">
      <x:c r="A2214" s="2"/>
      <x:c r="B2214" s="2" t="n">
        <x:v>2209</x:v>
      </x:c>
      <x:c r="C2214" s="2" t="str">
        <x:v>Beauty / organic_sales_growth</x:v>
      </x:c>
      <x:c r="D2214" s="7" t="n">
        <x:v>46022</x:v>
      </x:c>
      <x:c r="E2214" s="2" t="str">
        <x:v>Origin</x:v>
      </x:c>
      <x:c r="F2214" s="7" t="n">
        <x:v>45931</x:v>
      </x:c>
      <x:c r="G2214" s="2" t="str">
        <x:v>Last actual</x:v>
      </x:c>
      <x:c r="H2214" s="8" t="n">
        <x:f>AVERAGE('PG facts'!F125)</x:f>
        <x:v>1</x:v>
      </x:c>
      <x:c r="I2214" s="8" t="n">
        <x:f>0</x:f>
        <x:v>0</x:v>
      </x:c>
      <x:c r="J2214" s="8" t="n">
        <x:v>0</x:v>
      </x:c>
      <x:c r="K2214" s="8" t="n">
        <x:f>H2214-I2214*J2214</x:f>
        <x:v>1</x:v>
      </x:c>
      <x:c r="L2214" s="8" t="n">
        <x:f>'PG facts'!F139</x:f>
        <x:v>4</x:v>
      </x:c>
      <x:c r="M2214" s="8" t="n">
        <x:f>K2214-L2214</x:f>
        <x:v>-3</x:v>
      </x:c>
      <x:c r="N2214" s="8" t="n">
        <x:f>M2214^2</x:f>
        <x:v>9</x:v>
      </x:c>
      <x:c r="O2214" s="8" t="n">
        <x:f>ABS(M2214)</x:f>
        <x:v>3</x:v>
      </x:c>
      <x:c r="P2214" s="7" t="n">
        <x:v>46045</x:v>
      </x:c>
    </x:row>
    <x:row r="2215" ht="26" customHeight="1">
      <x:c r="A2215" s="2"/>
      <x:c r="B2215" s="2" t="n">
        <x:v>2210</x:v>
      </x:c>
      <x:c r="C2215" s="2" t="str">
        <x:v>Beauty / organic_sales_growth</x:v>
      </x:c>
      <x:c r="D2215" s="7" t="n">
        <x:v>46022</x:v>
      </x:c>
      <x:c r="E2215" s="2" t="str">
        <x:v>Origin</x:v>
      </x:c>
      <x:c r="F2215" s="7" t="n">
        <x:v>45931</x:v>
      </x:c>
      <x:c r="G2215" s="2" t="str">
        <x:v>Four-quarter mean</x:v>
      </x:c>
      <x:c r="H2215" s="8" t="n">
        <x:f>AVERAGE('PG facts'!F104,'PG facts'!F111,'PG facts'!F118,'PG facts'!F125)</x:f>
        <x:v>0.75</x:v>
      </x:c>
      <x:c r="I2215" s="8" t="n">
        <x:f>0</x:f>
        <x:v>0</x:v>
      </x:c>
      <x:c r="J2215" s="8" t="n">
        <x:v>0</x:v>
      </x:c>
      <x:c r="K2215" s="8" t="n">
        <x:f>H2215-I2215*J2215</x:f>
        <x:v>0.75</x:v>
      </x:c>
      <x:c r="L2215" s="8" t="n">
        <x:f>'PG facts'!F139</x:f>
        <x:v>4</x:v>
      </x:c>
      <x:c r="M2215" s="8" t="n">
        <x:f>K2215-L2215</x:f>
        <x:v>-3.25</x:v>
      </x:c>
      <x:c r="N2215" s="8" t="n">
        <x:f>M2215^2</x:f>
        <x:v>10.5625</x:v>
      </x:c>
      <x:c r="O2215" s="8" t="n">
        <x:f>ABS(M2215)</x:f>
        <x:v>3.25</x:v>
      </x:c>
      <x:c r="P2215" s="7" t="n">
        <x:v>46045</x:v>
      </x:c>
    </x:row>
    <x:row r="2216" ht="26" customHeight="1">
      <x:c r="A2216" s="2"/>
      <x:c r="B2216" s="2" t="n">
        <x:v>2211</x:v>
      </x:c>
      <x:c r="C2216" s="2" t="str">
        <x:v>Beauty / organic_sales_growth</x:v>
      </x:c>
      <x:c r="D2216" s="7" t="n">
        <x:v>46022</x:v>
      </x:c>
      <x:c r="E2216" s="2" t="str">
        <x:v>Origin</x:v>
      </x:c>
      <x:c r="F2216" s="7" t="n">
        <x:v>45931</x:v>
      </x:c>
      <x:c r="G2216" s="2" t="str">
        <x:v>Broad market</x:v>
      </x:c>
      <x:c r="H2216" s="8" t="n">
        <x:f>'Model fits'!AA1434</x:f>
        <x:v>3.3929083122113997</x:v>
      </x:c>
      <x:c r="I2216" s="8" t="n">
        <x:f>0</x:f>
        <x:v>0</x:v>
      </x:c>
      <x:c r="J2216" s="8" t="n">
        <x:v>0</x:v>
      </x:c>
      <x:c r="K2216" s="8" t="n">
        <x:f>H2216-I2216*J2216</x:f>
        <x:v>3.3929083122113997</x:v>
      </x:c>
      <x:c r="L2216" s="8" t="n">
        <x:f>'PG facts'!F139</x:f>
        <x:v>4</x:v>
      </x:c>
      <x:c r="M2216" s="8" t="n">
        <x:f>K2216-L2216</x:f>
        <x:v>-0.6070916877886003</x:v>
      </x:c>
      <x:c r="N2216" s="8" t="n">
        <x:f>M2216^2</x:f>
        <x:v>0.3685603173820114</x:v>
      </x:c>
      <x:c r="O2216" s="8" t="n">
        <x:f>ABS(M2216)</x:f>
        <x:v>0.6070916877886003</x:v>
      </x:c>
      <x:c r="P2216" s="7" t="n">
        <x:v>46045</x:v>
      </x:c>
    </x:row>
    <x:row r="2217" ht="26" customHeight="1">
      <x:c r="A2217" s="2"/>
      <x:c r="B2217" s="2" t="n">
        <x:v>2212</x:v>
      </x:c>
      <x:c r="C2217" s="2" t="str">
        <x:v>Beauty / organic_sales_growth</x:v>
      </x:c>
      <x:c r="D2217" s="7" t="n">
        <x:v>46022</x:v>
      </x:c>
      <x:c r="E2217" s="2" t="str">
        <x:v>Origin</x:v>
      </x:c>
      <x:c r="F2217" s="7" t="n">
        <x:v>45931</x:v>
      </x:c>
      <x:c r="G2217" s="2" t="str">
        <x:v>Broad rolling 8</x:v>
      </x:c>
      <x:c r="H2217" s="8" t="n">
        <x:f>'Model fits'!AA1435</x:f>
        <x:v>1.6970729880100828</x:v>
      </x:c>
      <x:c r="I2217" s="8" t="n">
        <x:f>0</x:f>
        <x:v>0</x:v>
      </x:c>
      <x:c r="J2217" s="8" t="n">
        <x:v>0</x:v>
      </x:c>
      <x:c r="K2217" s="8" t="n">
        <x:f>H2217-I2217*J2217</x:f>
        <x:v>1.6970729880100828</x:v>
      </x:c>
      <x:c r="L2217" s="8" t="n">
        <x:f>'PG facts'!F139</x:f>
        <x:v>4</x:v>
      </x:c>
      <x:c r="M2217" s="8" t="n">
        <x:f>K2217-L2217</x:f>
        <x:v>-2.302927011989917</x:v>
      </x:c>
      <x:c r="N2217" s="8" t="n">
        <x:f>M2217^2</x:f>
        <x:v>5.303472822552807</x:v>
      </x:c>
      <x:c r="O2217" s="8" t="n">
        <x:f>ABS(M2217)</x:f>
        <x:v>2.302927011989917</x:v>
      </x:c>
      <x:c r="P2217" s="7" t="n">
        <x:v>46045</x:v>
      </x:c>
    </x:row>
    <x:row r="2218" ht="26" customHeight="1">
      <x:c r="A2218" s="2"/>
      <x:c r="B2218" s="2" t="n">
        <x:v>2213</x:v>
      </x:c>
      <x:c r="C2218" s="2" t="str">
        <x:v>Beauty / organic_sales_growth</x:v>
      </x:c>
      <x:c r="D2218" s="7" t="n">
        <x:v>46022</x:v>
      </x:c>
      <x:c r="E2218" s="2" t="str">
        <x:v>Origin</x:v>
      </x:c>
      <x:c r="F2218" s="7" t="n">
        <x:v>45931</x:v>
      </x:c>
      <x:c r="G2218" s="2" t="str">
        <x:v>Own history</x:v>
      </x:c>
      <x:c r="H2218" s="8" t="n">
        <x:f>'Model fits'!AA1436</x:f>
        <x:v>2.9451820128479658</x:v>
      </x:c>
      <x:c r="I2218" s="8" t="n">
        <x:f>0</x:f>
        <x:v>0</x:v>
      </x:c>
      <x:c r="J2218" s="8" t="n">
        <x:v>0</x:v>
      </x:c>
      <x:c r="K2218" s="8" t="n">
        <x:f>H2218-I2218*J2218</x:f>
        <x:v>2.9451820128479658</x:v>
      </x:c>
      <x:c r="L2218" s="8" t="n">
        <x:f>'PG facts'!F139</x:f>
        <x:v>4</x:v>
      </x:c>
      <x:c r="M2218" s="8" t="n">
        <x:f>K2218-L2218</x:f>
        <x:v>-1.0548179871520342</x:v>
      </x:c>
      <x:c r="N2218" s="8" t="n">
        <x:f>M2218^2</x:f>
        <x:v>1.112640986019469</x:v>
      </x:c>
      <x:c r="O2218" s="8" t="n">
        <x:f>ABS(M2218)</x:f>
        <x:v>1.0548179871520342</x:v>
      </x:c>
      <x:c r="P2218" s="7" t="n">
        <x:v>46045</x:v>
      </x:c>
    </x:row>
    <x:row r="2219" ht="26" customHeight="1">
      <x:c r="A2219" s="2"/>
      <x:c r="B2219" s="2" t="n">
        <x:v>2214</x:v>
      </x:c>
      <x:c r="C2219" s="2" t="str">
        <x:v>Beauty / organic_sales_growth</x:v>
      </x:c>
      <x:c r="D2219" s="7" t="n">
        <x:v>46022</x:v>
      </x:c>
      <x:c r="E2219" s="2" t="str">
        <x:v>Prior report</x:v>
      </x:c>
      <x:c r="F2219" s="7" t="n">
        <x:v>45954</x:v>
      </x:c>
      <x:c r="G2219" s="2" t="str">
        <x:v>Last actual</x:v>
      </x:c>
      <x:c r="H2219" s="8" t="n">
        <x:f>AVERAGE('PG facts'!F132)</x:f>
        <x:v>6</x:v>
      </x:c>
      <x:c r="I2219" s="8" t="n">
        <x:f>0</x:f>
        <x:v>0</x:v>
      </x:c>
      <x:c r="J2219" s="8" t="n">
        <x:v>0</x:v>
      </x:c>
      <x:c r="K2219" s="8" t="n">
        <x:f>H2219-I2219*J2219</x:f>
        <x:v>6</x:v>
      </x:c>
      <x:c r="L2219" s="8" t="n">
        <x:f>'PG facts'!F139</x:f>
        <x:v>4</x:v>
      </x:c>
      <x:c r="M2219" s="8" t="n">
        <x:f>K2219-L2219</x:f>
        <x:v>2</x:v>
      </x:c>
      <x:c r="N2219" s="8" t="n">
        <x:f>M2219^2</x:f>
        <x:v>4</x:v>
      </x:c>
      <x:c r="O2219" s="8" t="n">
        <x:f>ABS(M2219)</x:f>
        <x:v>2</x:v>
      </x:c>
      <x:c r="P2219" s="7" t="n">
        <x:v>46045</x:v>
      </x:c>
    </x:row>
    <x:row r="2220" ht="26" customHeight="1">
      <x:c r="A2220" s="2"/>
      <x:c r="B2220" s="2" t="n">
        <x:v>2215</x:v>
      </x:c>
      <x:c r="C2220" s="2" t="str">
        <x:v>Beauty / organic_sales_growth</x:v>
      </x:c>
      <x:c r="D2220" s="7" t="n">
        <x:v>46022</x:v>
      </x:c>
      <x:c r="E2220" s="2" t="str">
        <x:v>Prior report</x:v>
      </x:c>
      <x:c r="F2220" s="7" t="n">
        <x:v>45954</x:v>
      </x:c>
      <x:c r="G2220" s="2" t="str">
        <x:v>Four-quarter mean</x:v>
      </x:c>
      <x:c r="H2220" s="8" t="n">
        <x:f>AVERAGE('PG facts'!F111,'PG facts'!F118,'PG facts'!F125,'PG facts'!F132)</x:f>
        <x:v>2.75</x:v>
      </x:c>
      <x:c r="I2220" s="8" t="n">
        <x:f>0</x:f>
        <x:v>0</x:v>
      </x:c>
      <x:c r="J2220" s="8" t="n">
        <x:v>0</x:v>
      </x:c>
      <x:c r="K2220" s="8" t="n">
        <x:f>H2220-I2220*J2220</x:f>
        <x:v>2.75</x:v>
      </x:c>
      <x:c r="L2220" s="8" t="n">
        <x:f>'PG facts'!F139</x:f>
        <x:v>4</x:v>
      </x:c>
      <x:c r="M2220" s="8" t="n">
        <x:f>K2220-L2220</x:f>
        <x:v>-1.25</x:v>
      </x:c>
      <x:c r="N2220" s="8" t="n">
        <x:f>M2220^2</x:f>
        <x:v>1.5625</x:v>
      </x:c>
      <x:c r="O2220" s="8" t="n">
        <x:f>ABS(M2220)</x:f>
        <x:v>1.25</x:v>
      </x:c>
      <x:c r="P2220" s="7" t="n">
        <x:v>46045</x:v>
      </x:c>
    </x:row>
    <x:row r="2221" ht="26" customHeight="1">
      <x:c r="A2221" s="2"/>
      <x:c r="B2221" s="2" t="n">
        <x:v>2216</x:v>
      </x:c>
      <x:c r="C2221" s="2" t="str">
        <x:v>Beauty / organic_sales_growth</x:v>
      </x:c>
      <x:c r="D2221" s="7" t="n">
        <x:v>46022</x:v>
      </x:c>
      <x:c r="E2221" s="2" t="str">
        <x:v>Prior report</x:v>
      </x:c>
      <x:c r="F2221" s="7" t="n">
        <x:v>45954</x:v>
      </x:c>
      <x:c r="G2221" s="2" t="str">
        <x:v>Broad market</x:v>
      </x:c>
      <x:c r="H2221" s="8" t="n">
        <x:f>'Model fits'!AA1437</x:f>
        <x:v>3.3929083122113997</x:v>
      </x:c>
      <x:c r="I2221" s="8" t="n">
        <x:f>0</x:f>
        <x:v>0</x:v>
      </x:c>
      <x:c r="J2221" s="8" t="n">
        <x:v>0</x:v>
      </x:c>
      <x:c r="K2221" s="8" t="n">
        <x:f>H2221-I2221*J2221</x:f>
        <x:v>3.3929083122113997</x:v>
      </x:c>
      <x:c r="L2221" s="8" t="n">
        <x:f>'PG facts'!F139</x:f>
        <x:v>4</x:v>
      </x:c>
      <x:c r="M2221" s="8" t="n">
        <x:f>K2221-L2221</x:f>
        <x:v>-0.6070916877886003</x:v>
      </x:c>
      <x:c r="N2221" s="8" t="n">
        <x:f>M2221^2</x:f>
        <x:v>0.3685603173820114</x:v>
      </x:c>
      <x:c r="O2221" s="8" t="n">
        <x:f>ABS(M2221)</x:f>
        <x:v>0.6070916877886003</x:v>
      </x:c>
      <x:c r="P2221" s="7" t="n">
        <x:v>46045</x:v>
      </x:c>
    </x:row>
    <x:row r="2222" ht="26" customHeight="1">
      <x:c r="A2222" s="2"/>
      <x:c r="B2222" s="2" t="n">
        <x:v>2217</x:v>
      </x:c>
      <x:c r="C2222" s="2" t="str">
        <x:v>Beauty / organic_sales_growth</x:v>
      </x:c>
      <x:c r="D2222" s="7" t="n">
        <x:v>46022</x:v>
      </x:c>
      <x:c r="E2222" s="2" t="str">
        <x:v>Prior report</x:v>
      </x:c>
      <x:c r="F2222" s="7" t="n">
        <x:v>45954</x:v>
      </x:c>
      <x:c r="G2222" s="2" t="str">
        <x:v>Broad rolling 8</x:v>
      </x:c>
      <x:c r="H2222" s="8" t="n">
        <x:f>'Model fits'!AA1438</x:f>
        <x:v>1.6970729880100828</x:v>
      </x:c>
      <x:c r="I2222" s="8" t="n">
        <x:f>0</x:f>
        <x:v>0</x:v>
      </x:c>
      <x:c r="J2222" s="8" t="n">
        <x:v>0</x:v>
      </x:c>
      <x:c r="K2222" s="8" t="n">
        <x:f>H2222-I2222*J2222</x:f>
        <x:v>1.6970729880100828</x:v>
      </x:c>
      <x:c r="L2222" s="8" t="n">
        <x:f>'PG facts'!F139</x:f>
        <x:v>4</x:v>
      </x:c>
      <x:c r="M2222" s="8" t="n">
        <x:f>K2222-L2222</x:f>
        <x:v>-2.302927011989917</x:v>
      </x:c>
      <x:c r="N2222" s="8" t="n">
        <x:f>M2222^2</x:f>
        <x:v>5.303472822552807</x:v>
      </x:c>
      <x:c r="O2222" s="8" t="n">
        <x:f>ABS(M2222)</x:f>
        <x:v>2.302927011989917</x:v>
      </x:c>
      <x:c r="P2222" s="7" t="n">
        <x:v>46045</x:v>
      </x:c>
    </x:row>
    <x:row r="2223" ht="26" customHeight="1">
      <x:c r="A2223" s="2"/>
      <x:c r="B2223" s="2" t="n">
        <x:v>2218</x:v>
      </x:c>
      <x:c r="C2223" s="2" t="str">
        <x:v>Beauty / organic_sales_growth</x:v>
      </x:c>
      <x:c r="D2223" s="7" t="n">
        <x:v>46022</x:v>
      </x:c>
      <x:c r="E2223" s="2" t="str">
        <x:v>Prior report</x:v>
      </x:c>
      <x:c r="F2223" s="7" t="n">
        <x:v>45954</x:v>
      </x:c>
      <x:c r="G2223" s="2" t="str">
        <x:v>Own history</x:v>
      </x:c>
      <x:c r="H2223" s="8" t="n">
        <x:f>'Model fits'!AA1439</x:f>
        <x:v>4.166666666666666</x:v>
      </x:c>
      <x:c r="I2223" s="8" t="n">
        <x:f>0</x:f>
        <x:v>0</x:v>
      </x:c>
      <x:c r="J2223" s="8" t="n">
        <x:v>0</x:v>
      </x:c>
      <x:c r="K2223" s="8" t="n">
        <x:f>H2223-I2223*J2223</x:f>
        <x:v>4.166666666666666</x:v>
      </x:c>
      <x:c r="L2223" s="8" t="n">
        <x:f>'PG facts'!F139</x:f>
        <x:v>4</x:v>
      </x:c>
      <x:c r="M2223" s="8" t="n">
        <x:f>K2223-L2223</x:f>
        <x:v>0.16666666666666607</x:v>
      </x:c>
      <x:c r="N2223" s="8" t="n">
        <x:f>M2223^2</x:f>
        <x:v>0.027777777777777582</x:v>
      </x:c>
      <x:c r="O2223" s="8" t="n">
        <x:f>ABS(M2223)</x:f>
        <x:v>0.16666666666666607</x:v>
      </x:c>
      <x:c r="P2223" s="7" t="n">
        <x:v>46045</x:v>
      </x:c>
    </x:row>
    <x:row r="2224" ht="26" customHeight="1">
      <x:c r="A2224" s="2"/>
      <x:c r="B2224" s="2" t="n">
        <x:v>2219</x:v>
      </x:c>
      <x:c r="C2224" s="2" t="str">
        <x:v>Beauty / organic_sales_growth</x:v>
      </x:c>
      <x:c r="D2224" s="7" t="n">
        <x:v>46022</x:v>
      </x:c>
      <x:c r="E2224" s="2" t="str">
        <x:v>Pre-earnings</x:v>
      </x:c>
      <x:c r="F2224" s="7" t="n">
        <x:v>46044</x:v>
      </x:c>
      <x:c r="G2224" s="2" t="str">
        <x:v>Last actual</x:v>
      </x:c>
      <x:c r="H2224" s="8" t="n">
        <x:f>AVERAGE('PG facts'!F132)</x:f>
        <x:v>6</x:v>
      </x:c>
      <x:c r="I2224" s="8" t="n">
        <x:f>0</x:f>
        <x:v>0</x:v>
      </x:c>
      <x:c r="J2224" s="8" t="n">
        <x:v>0</x:v>
      </x:c>
      <x:c r="K2224" s="8" t="n">
        <x:f>H2224-I2224*J2224</x:f>
        <x:v>6</x:v>
      </x:c>
      <x:c r="L2224" s="8" t="n">
        <x:f>'PG facts'!F139</x:f>
        <x:v>4</x:v>
      </x:c>
      <x:c r="M2224" s="8" t="n">
        <x:f>K2224-L2224</x:f>
        <x:v>2</x:v>
      </x:c>
      <x:c r="N2224" s="8" t="n">
        <x:f>M2224^2</x:f>
        <x:v>4</x:v>
      </x:c>
      <x:c r="O2224" s="8" t="n">
        <x:f>ABS(M2224)</x:f>
        <x:v>2</x:v>
      </x:c>
      <x:c r="P2224" s="7" t="n">
        <x:v>46045</x:v>
      </x:c>
    </x:row>
    <x:row r="2225" ht="26" customHeight="1">
      <x:c r="A2225" s="2"/>
      <x:c r="B2225" s="2" t="n">
        <x:v>2220</x:v>
      </x:c>
      <x:c r="C2225" s="2" t="str">
        <x:v>Beauty / organic_sales_growth</x:v>
      </x:c>
      <x:c r="D2225" s="7" t="n">
        <x:v>46022</x:v>
      </x:c>
      <x:c r="E2225" s="2" t="str">
        <x:v>Pre-earnings</x:v>
      </x:c>
      <x:c r="F2225" s="7" t="n">
        <x:v>46044</x:v>
      </x:c>
      <x:c r="G2225" s="2" t="str">
        <x:v>Four-quarter mean</x:v>
      </x:c>
      <x:c r="H2225" s="8" t="n">
        <x:f>AVERAGE('PG facts'!F111,'PG facts'!F118,'PG facts'!F125,'PG facts'!F132)</x:f>
        <x:v>2.75</x:v>
      </x:c>
      <x:c r="I2225" s="8" t="n">
        <x:f>0</x:f>
        <x:v>0</x:v>
      </x:c>
      <x:c r="J2225" s="8" t="n">
        <x:v>0</x:v>
      </x:c>
      <x:c r="K2225" s="8" t="n">
        <x:f>H2225-I2225*J2225</x:f>
        <x:v>2.75</x:v>
      </x:c>
      <x:c r="L2225" s="8" t="n">
        <x:f>'PG facts'!F139</x:f>
        <x:v>4</x:v>
      </x:c>
      <x:c r="M2225" s="8" t="n">
        <x:f>K2225-L2225</x:f>
        <x:v>-1.25</x:v>
      </x:c>
      <x:c r="N2225" s="8" t="n">
        <x:f>M2225^2</x:f>
        <x:v>1.5625</x:v>
      </x:c>
      <x:c r="O2225" s="8" t="n">
        <x:f>ABS(M2225)</x:f>
        <x:v>1.25</x:v>
      </x:c>
      <x:c r="P2225" s="7" t="n">
        <x:v>46045</x:v>
      </x:c>
    </x:row>
    <x:row r="2226" ht="26" customHeight="1">
      <x:c r="A2226" s="2"/>
      <x:c r="B2226" s="2" t="n">
        <x:v>2221</x:v>
      </x:c>
      <x:c r="C2226" s="2" t="str">
        <x:v>Beauty / organic_sales_growth</x:v>
      </x:c>
      <x:c r="D2226" s="7" t="n">
        <x:v>46022</x:v>
      </x:c>
      <x:c r="E2226" s="2" t="str">
        <x:v>Pre-earnings</x:v>
      </x:c>
      <x:c r="F2226" s="7" t="n">
        <x:v>46044</x:v>
      </x:c>
      <x:c r="G2226" s="2" t="str">
        <x:v>Broad market</x:v>
      </x:c>
      <x:c r="H2226" s="8" t="n">
        <x:f>'Model fits'!AA1440</x:f>
        <x:v>3.466341408081217</x:v>
      </x:c>
      <x:c r="I2226" s="8" t="n">
        <x:f>0</x:f>
        <x:v>0</x:v>
      </x:c>
      <x:c r="J2226" s="8" t="n">
        <x:v>0</x:v>
      </x:c>
      <x:c r="K2226" s="8" t="n">
        <x:f>H2226-I2226*J2226</x:f>
        <x:v>3.466341408081217</x:v>
      </x:c>
      <x:c r="L2226" s="8" t="n">
        <x:f>'PG facts'!F139</x:f>
        <x:v>4</x:v>
      </x:c>
      <x:c r="M2226" s="8" t="n">
        <x:f>K2226-L2226</x:f>
        <x:v>-0.5336585919187828</x:v>
      </x:c>
      <x:c r="N2226" s="8" t="n">
        <x:f>M2226^2</x:f>
        <x:v>0.284791492728738</x:v>
      </x:c>
      <x:c r="O2226" s="8" t="n">
        <x:f>ABS(M2226)</x:f>
        <x:v>0.5336585919187828</x:v>
      </x:c>
      <x:c r="P2226" s="7" t="n">
        <x:v>46045</x:v>
      </x:c>
    </x:row>
    <x:row r="2227" ht="26" customHeight="1">
      <x:c r="A2227" s="2"/>
      <x:c r="B2227" s="2" t="n">
        <x:v>2222</x:v>
      </x:c>
      <x:c r="C2227" s="2" t="str">
        <x:v>Beauty / organic_sales_growth</x:v>
      </x:c>
      <x:c r="D2227" s="7" t="n">
        <x:v>46022</x:v>
      </x:c>
      <x:c r="E2227" s="2" t="str">
        <x:v>Pre-earnings</x:v>
      </x:c>
      <x:c r="F2227" s="7" t="n">
        <x:v>46044</x:v>
      </x:c>
      <x:c r="G2227" s="2" t="str">
        <x:v>Broad lag 1</x:v>
      </x:c>
      <x:c r="H2227" s="8" t="n">
        <x:f>'Model fits'!AA1441</x:f>
        <x:v>3.280079338830926</x:v>
      </x:c>
      <x:c r="I2227" s="8" t="n">
        <x:f>0</x:f>
        <x:v>0</x:v>
      </x:c>
      <x:c r="J2227" s="8" t="n">
        <x:v>0</x:v>
      </x:c>
      <x:c r="K2227" s="8" t="n">
        <x:f>H2227-I2227*J2227</x:f>
        <x:v>3.280079338830926</x:v>
      </x:c>
      <x:c r="L2227" s="8" t="n">
        <x:f>'PG facts'!F139</x:f>
        <x:v>4</x:v>
      </x:c>
      <x:c r="M2227" s="8" t="n">
        <x:f>K2227-L2227</x:f>
        <x:v>-0.7199206611690738</x:v>
      </x:c>
      <x:c r="N2227" s="8" t="n">
        <x:f>M2227^2</x:f>
        <x:v>0.5182857583781164</x:v>
      </x:c>
      <x:c r="O2227" s="8" t="n">
        <x:f>ABS(M2227)</x:f>
        <x:v>0.7199206611690738</x:v>
      </x:c>
      <x:c r="P2227" s="7" t="n">
        <x:v>46045</x:v>
      </x:c>
    </x:row>
    <x:row r="2228" ht="26" customHeight="1">
      <x:c r="A2228" s="2"/>
      <x:c r="B2228" s="2" t="n">
        <x:v>2223</x:v>
      </x:c>
      <x:c r="C2228" s="2" t="str">
        <x:v>Beauty / organic_sales_growth</x:v>
      </x:c>
      <x:c r="D2228" s="7" t="n">
        <x:v>46022</x:v>
      </x:c>
      <x:c r="E2228" s="2" t="str">
        <x:v>Pre-earnings</x:v>
      </x:c>
      <x:c r="F2228" s="7" t="n">
        <x:v>46044</x:v>
      </x:c>
      <x:c r="G2228" s="2" t="str">
        <x:v>Broad rolling 8</x:v>
      </x:c>
      <x:c r="H2228" s="8" t="n">
        <x:f>'Model fits'!AA1442</x:f>
        <x:v>1.8632182371644033</x:v>
      </x:c>
      <x:c r="I2228" s="8" t="n">
        <x:f>0</x:f>
        <x:v>0</x:v>
      </x:c>
      <x:c r="J2228" s="8" t="n">
        <x:v>0</x:v>
      </x:c>
      <x:c r="K2228" s="8" t="n">
        <x:f>H2228-I2228*J2228</x:f>
        <x:v>1.8632182371644033</x:v>
      </x:c>
      <x:c r="L2228" s="8" t="n">
        <x:f>'PG facts'!F139</x:f>
        <x:v>4</x:v>
      </x:c>
      <x:c r="M2228" s="8" t="n">
        <x:f>K2228-L2228</x:f>
        <x:v>-2.1367817628355965</x:v>
      </x:c>
      <x:c r="N2228" s="8" t="n">
        <x:f>M2228^2</x:f>
        <x:v>4.565836301986799</x:v>
      </x:c>
      <x:c r="O2228" s="8" t="n">
        <x:f>ABS(M2228)</x:f>
        <x:v>2.1367817628355965</x:v>
      </x:c>
      <x:c r="P2228" s="7" t="n">
        <x:v>46045</x:v>
      </x:c>
    </x:row>
    <x:row r="2229" ht="26" customHeight="1">
      <x:c r="A2229" s="2"/>
      <x:c r="B2229" s="2" t="n">
        <x:v>2224</x:v>
      </x:c>
      <x:c r="C2229" s="2" t="str">
        <x:v>Beauty / organic_sales_growth</x:v>
      </x:c>
      <x:c r="D2229" s="7" t="n">
        <x:v>46022</x:v>
      </x:c>
      <x:c r="E2229" s="2" t="str">
        <x:v>Pre-earnings</x:v>
      </x:c>
      <x:c r="F2229" s="7" t="n">
        <x:v>46044</x:v>
      </x:c>
      <x:c r="G2229" s="2" t="str">
        <x:v>Own history</x:v>
      </x:c>
      <x:c r="H2229" s="8" t="n">
        <x:f>'Model fits'!AA1443</x:f>
        <x:v>4.166666666666666</x:v>
      </x:c>
      <x:c r="I2229" s="8" t="n">
        <x:f>0</x:f>
        <x:v>0</x:v>
      </x:c>
      <x:c r="J2229" s="8" t="n">
        <x:v>0</x:v>
      </x:c>
      <x:c r="K2229" s="8" t="n">
        <x:f>H2229-I2229*J2229</x:f>
        <x:v>4.166666666666666</x:v>
      </x:c>
      <x:c r="L2229" s="8" t="n">
        <x:f>'PG facts'!F139</x:f>
        <x:v>4</x:v>
      </x:c>
      <x:c r="M2229" s="8" t="n">
        <x:f>K2229-L2229</x:f>
        <x:v>0.16666666666666607</x:v>
      </x:c>
      <x:c r="N2229" s="8" t="n">
        <x:f>M2229^2</x:f>
        <x:v>0.027777777777777582</x:v>
      </x:c>
      <x:c r="O2229" s="8" t="n">
        <x:f>ABS(M2229)</x:f>
        <x:v>0.16666666666666607</x:v>
      </x:c>
      <x:c r="P2229" s="7" t="n">
        <x:v>46045</x:v>
      </x:c>
    </x:row>
    <x:row r="2230" ht="26" customHeight="1">
      <x:c r="A2230" s="2"/>
      <x:c r="B2230" s="2" t="n">
        <x:v>2225</x:v>
      </x:c>
      <x:c r="C2230" s="2" t="str">
        <x:v>Beauty / organic_sales_growth</x:v>
      </x:c>
      <x:c r="D2230" s="7" t="n">
        <x:v>46112</x:v>
      </x:c>
      <x:c r="E2230" s="2" t="str">
        <x:v>Origin</x:v>
      </x:c>
      <x:c r="F2230" s="7" t="n">
        <x:v>46023</x:v>
      </x:c>
      <x:c r="G2230" s="2" t="str">
        <x:v>Last actual</x:v>
      </x:c>
      <x:c r="H2230" s="8" t="n">
        <x:f>AVERAGE('PG facts'!F132)</x:f>
        <x:v>6</x:v>
      </x:c>
      <x:c r="I2230" s="8" t="n">
        <x:f>0</x:f>
        <x:v>0</x:v>
      </x:c>
      <x:c r="J2230" s="8" t="n">
        <x:v>0</x:v>
      </x:c>
      <x:c r="K2230" s="8" t="n">
        <x:f>H2230-I2230*J2230</x:f>
        <x:v>6</x:v>
      </x:c>
      <x:c r="L2230" s="8" t="n">
        <x:f>'PG facts'!F146</x:f>
        <x:v>7</x:v>
      </x:c>
      <x:c r="M2230" s="8" t="n">
        <x:f>K2230-L2230</x:f>
        <x:v>-1</x:v>
      </x:c>
      <x:c r="N2230" s="8" t="n">
        <x:f>M2230^2</x:f>
        <x:v>1</x:v>
      </x:c>
      <x:c r="O2230" s="8" t="n">
        <x:f>ABS(M2230)</x:f>
        <x:v>1</x:v>
      </x:c>
      <x:c r="P2230" s="7" t="n">
        <x:v>46136</x:v>
      </x:c>
    </x:row>
    <x:row r="2231" ht="26" customHeight="1">
      <x:c r="A2231" s="2"/>
      <x:c r="B2231" s="2" t="n">
        <x:v>2226</x:v>
      </x:c>
      <x:c r="C2231" s="2" t="str">
        <x:v>Beauty / organic_sales_growth</x:v>
      </x:c>
      <x:c r="D2231" s="7" t="n">
        <x:v>46112</x:v>
      </x:c>
      <x:c r="E2231" s="2" t="str">
        <x:v>Origin</x:v>
      </x:c>
      <x:c r="F2231" s="7" t="n">
        <x:v>46023</x:v>
      </x:c>
      <x:c r="G2231" s="2" t="str">
        <x:v>Four-quarter mean</x:v>
      </x:c>
      <x:c r="H2231" s="8" t="n">
        <x:f>AVERAGE('PG facts'!F111,'PG facts'!F118,'PG facts'!F125,'PG facts'!F132)</x:f>
        <x:v>2.75</x:v>
      </x:c>
      <x:c r="I2231" s="8" t="n">
        <x:f>0</x:f>
        <x:v>0</x:v>
      </x:c>
      <x:c r="J2231" s="8" t="n">
        <x:v>0</x:v>
      </x:c>
      <x:c r="K2231" s="8" t="n">
        <x:f>H2231-I2231*J2231</x:f>
        <x:v>2.75</x:v>
      </x:c>
      <x:c r="L2231" s="8" t="n">
        <x:f>'PG facts'!F146</x:f>
        <x:v>7</x:v>
      </x:c>
      <x:c r="M2231" s="8" t="n">
        <x:f>K2231-L2231</x:f>
        <x:v>-4.25</x:v>
      </x:c>
      <x:c r="N2231" s="8" t="n">
        <x:f>M2231^2</x:f>
        <x:v>18.0625</x:v>
      </x:c>
      <x:c r="O2231" s="8" t="n">
        <x:f>ABS(M2231)</x:f>
        <x:v>4.25</x:v>
      </x:c>
      <x:c r="P2231" s="7" t="n">
        <x:v>46136</x:v>
      </x:c>
    </x:row>
    <x:row r="2232" ht="26" customHeight="1">
      <x:c r="A2232" s="2"/>
      <x:c r="B2232" s="2" t="n">
        <x:v>2227</x:v>
      </x:c>
      <x:c r="C2232" s="2" t="str">
        <x:v>Beauty / organic_sales_growth</x:v>
      </x:c>
      <x:c r="D2232" s="7" t="n">
        <x:v>46112</x:v>
      </x:c>
      <x:c r="E2232" s="2" t="str">
        <x:v>Origin</x:v>
      </x:c>
      <x:c r="F2232" s="7" t="n">
        <x:v>46023</x:v>
      </x:c>
      <x:c r="G2232" s="2" t="str">
        <x:v>Broad market</x:v>
      </x:c>
      <x:c r="H2232" s="8" t="n">
        <x:f>'Model fits'!AA1444</x:f>
        <x:v>3.41135357731915</x:v>
      </x:c>
      <x:c r="I2232" s="8" t="n">
        <x:f>0</x:f>
        <x:v>0</x:v>
      </x:c>
      <x:c r="J2232" s="8" t="n">
        <x:v>0</x:v>
      </x:c>
      <x:c r="K2232" s="8" t="n">
        <x:f>H2232-I2232*J2232</x:f>
        <x:v>3.41135357731915</x:v>
      </x:c>
      <x:c r="L2232" s="8" t="n">
        <x:f>'PG facts'!F146</x:f>
        <x:v>7</x:v>
      </x:c>
      <x:c r="M2232" s="8" t="n">
        <x:f>K2232-L2232</x:f>
        <x:v>-3.58864642268085</x:v>
      </x:c>
      <x:c r="N2232" s="8" t="n">
        <x:f>M2232^2</x:f>
        <x:v>12.878383147020063</x:v>
      </x:c>
      <x:c r="O2232" s="8" t="n">
        <x:f>ABS(M2232)</x:f>
        <x:v>3.58864642268085</x:v>
      </x:c>
      <x:c r="P2232" s="7" t="n">
        <x:v>46136</x:v>
      </x:c>
    </x:row>
    <x:row r="2233" ht="26" customHeight="1">
      <x:c r="A2233" s="2"/>
      <x:c r="B2233" s="2" t="n">
        <x:v>2228</x:v>
      </x:c>
      <x:c r="C2233" s="2" t="str">
        <x:v>Beauty / organic_sales_growth</x:v>
      </x:c>
      <x:c r="D2233" s="7" t="n">
        <x:v>46112</x:v>
      </x:c>
      <x:c r="E2233" s="2" t="str">
        <x:v>Origin</x:v>
      </x:c>
      <x:c r="F2233" s="7" t="n">
        <x:v>46023</x:v>
      </x:c>
      <x:c r="G2233" s="2" t="str">
        <x:v>Broad rolling 8</x:v>
      </x:c>
      <x:c r="H2233" s="8" t="n">
        <x:f>'Model fits'!AA1445</x:f>
        <x:v>1.9234707970148917</x:v>
      </x:c>
      <x:c r="I2233" s="8" t="n">
        <x:f>0</x:f>
        <x:v>0</x:v>
      </x:c>
      <x:c r="J2233" s="8" t="n">
        <x:v>0</x:v>
      </x:c>
      <x:c r="K2233" s="8" t="n">
        <x:f>H2233-I2233*J2233</x:f>
        <x:v>1.9234707970148917</x:v>
      </x:c>
      <x:c r="L2233" s="8" t="n">
        <x:f>'PG facts'!F146</x:f>
        <x:v>7</x:v>
      </x:c>
      <x:c r="M2233" s="8" t="n">
        <x:f>K2233-L2233</x:f>
        <x:v>-5.076529202985109</x:v>
      </x:c>
      <x:c r="N2233" s="8" t="n">
        <x:f>M2233^2</x:f>
        <x:v>25.77114874876062</x:v>
      </x:c>
      <x:c r="O2233" s="8" t="n">
        <x:f>ABS(M2233)</x:f>
        <x:v>5.076529202985109</x:v>
      </x:c>
      <x:c r="P2233" s="7" t="n">
        <x:v>46136</x:v>
      </x:c>
    </x:row>
    <x:row r="2234" ht="26" customHeight="1">
      <x:c r="A2234" s="2"/>
      <x:c r="B2234" s="2" t="n">
        <x:v>2229</x:v>
      </x:c>
      <x:c r="C2234" s="2" t="str">
        <x:v>Beauty / organic_sales_growth</x:v>
      </x:c>
      <x:c r="D2234" s="7" t="n">
        <x:v>46112</x:v>
      </x:c>
      <x:c r="E2234" s="2" t="str">
        <x:v>Origin</x:v>
      </x:c>
      <x:c r="F2234" s="7" t="n">
        <x:v>46023</x:v>
      </x:c>
      <x:c r="G2234" s="2" t="str">
        <x:v>Own history</x:v>
      </x:c>
      <x:c r="H2234" s="8" t="n">
        <x:f>'Model fits'!AA1446</x:f>
        <x:v>3.0333333333333337</x:v>
      </x:c>
      <x:c r="I2234" s="8" t="n">
        <x:f>0</x:f>
        <x:v>0</x:v>
      </x:c>
      <x:c r="J2234" s="8" t="n">
        <x:v>0</x:v>
      </x:c>
      <x:c r="K2234" s="8" t="n">
        <x:f>H2234-I2234*J2234</x:f>
        <x:v>3.0333333333333337</x:v>
      </x:c>
      <x:c r="L2234" s="8" t="n">
        <x:f>'PG facts'!F146</x:f>
        <x:v>7</x:v>
      </x:c>
      <x:c r="M2234" s="8" t="n">
        <x:f>K2234-L2234</x:f>
        <x:v>-3.9666666666666663</x:v>
      </x:c>
      <x:c r="N2234" s="8" t="n">
        <x:f>M2234^2</x:f>
        <x:v>15.734444444444442</x:v>
      </x:c>
      <x:c r="O2234" s="8" t="n">
        <x:f>ABS(M2234)</x:f>
        <x:v>3.9666666666666663</x:v>
      </x:c>
      <x:c r="P2234" s="7" t="n">
        <x:v>46136</x:v>
      </x:c>
    </x:row>
    <x:row r="2235" ht="26" customHeight="1">
      <x:c r="A2235" s="2"/>
      <x:c r="B2235" s="2" t="n">
        <x:v>2230</x:v>
      </x:c>
      <x:c r="C2235" s="2" t="str">
        <x:v>Beauty / organic_sales_growth</x:v>
      </x:c>
      <x:c r="D2235" s="7" t="n">
        <x:v>46112</x:v>
      </x:c>
      <x:c r="E2235" s="2" t="str">
        <x:v>Prior report</x:v>
      </x:c>
      <x:c r="F2235" s="7" t="n">
        <x:v>46045</x:v>
      </x:c>
      <x:c r="G2235" s="2" t="str">
        <x:v>Last actual</x:v>
      </x:c>
      <x:c r="H2235" s="8" t="n">
        <x:f>AVERAGE('PG facts'!F139)</x:f>
        <x:v>4</x:v>
      </x:c>
      <x:c r="I2235" s="8" t="n">
        <x:f>0</x:f>
        <x:v>0</x:v>
      </x:c>
      <x:c r="J2235" s="8" t="n">
        <x:v>0</x:v>
      </x:c>
      <x:c r="K2235" s="8" t="n">
        <x:f>H2235-I2235*J2235</x:f>
        <x:v>4</x:v>
      </x:c>
      <x:c r="L2235" s="8" t="n">
        <x:f>'PG facts'!F146</x:f>
        <x:v>7</x:v>
      </x:c>
      <x:c r="M2235" s="8" t="n">
        <x:f>K2235-L2235</x:f>
        <x:v>-3</x:v>
      </x:c>
      <x:c r="N2235" s="8" t="n">
        <x:f>M2235^2</x:f>
        <x:v>9</x:v>
      </x:c>
      <x:c r="O2235" s="8" t="n">
        <x:f>ABS(M2235)</x:f>
        <x:v>3</x:v>
      </x:c>
      <x:c r="P2235" s="7" t="n">
        <x:v>46136</x:v>
      </x:c>
    </x:row>
    <x:row r="2236" ht="26" customHeight="1">
      <x:c r="A2236" s="2"/>
      <x:c r="B2236" s="2" t="n">
        <x:v>2231</x:v>
      </x:c>
      <x:c r="C2236" s="2" t="str">
        <x:v>Beauty / organic_sales_growth</x:v>
      </x:c>
      <x:c r="D2236" s="7" t="n">
        <x:v>46112</x:v>
      </x:c>
      <x:c r="E2236" s="2" t="str">
        <x:v>Prior report</x:v>
      </x:c>
      <x:c r="F2236" s="7" t="n">
        <x:v>46045</x:v>
      </x:c>
      <x:c r="G2236" s="2" t="str">
        <x:v>Four-quarter mean</x:v>
      </x:c>
      <x:c r="H2236" s="8" t="n">
        <x:f>AVERAGE('PG facts'!F118,'PG facts'!F125,'PG facts'!F132,'PG facts'!F139)</x:f>
        <x:v>3.25</x:v>
      </x:c>
      <x:c r="I2236" s="8" t="n">
        <x:f>0</x:f>
        <x:v>0</x:v>
      </x:c>
      <x:c r="J2236" s="8" t="n">
        <x:v>0</x:v>
      </x:c>
      <x:c r="K2236" s="8" t="n">
        <x:f>H2236-I2236*J2236</x:f>
        <x:v>3.25</x:v>
      </x:c>
      <x:c r="L2236" s="8" t="n">
        <x:f>'PG facts'!F146</x:f>
        <x:v>7</x:v>
      </x:c>
      <x:c r="M2236" s="8" t="n">
        <x:f>K2236-L2236</x:f>
        <x:v>-3.75</x:v>
      </x:c>
      <x:c r="N2236" s="8" t="n">
        <x:f>M2236^2</x:f>
        <x:v>14.0625</x:v>
      </x:c>
      <x:c r="O2236" s="8" t="n">
        <x:f>ABS(M2236)</x:f>
        <x:v>3.75</x:v>
      </x:c>
      <x:c r="P2236" s="7" t="n">
        <x:v>46136</x:v>
      </x:c>
    </x:row>
    <x:row r="2237" ht="26" customHeight="1">
      <x:c r="A2237" s="2"/>
      <x:c r="B2237" s="2" t="n">
        <x:v>2232</x:v>
      </x:c>
      <x:c r="C2237" s="2" t="str">
        <x:v>Beauty / organic_sales_growth</x:v>
      </x:c>
      <x:c r="D2237" s="7" t="n">
        <x:v>46112</x:v>
      </x:c>
      <x:c r="E2237" s="2" t="str">
        <x:v>Prior report</x:v>
      </x:c>
      <x:c r="F2237" s="7" t="n">
        <x:v>46045</x:v>
      </x:c>
      <x:c r="G2237" s="2" t="str">
        <x:v>Broad market</x:v>
      </x:c>
      <x:c r="H2237" s="8" t="n">
        <x:f>'Model fits'!AA1447</x:f>
        <x:v>3.449420181372833</x:v>
      </x:c>
      <x:c r="I2237" s="8" t="n">
        <x:f>0</x:f>
        <x:v>0</x:v>
      </x:c>
      <x:c r="J2237" s="8" t="n">
        <x:v>0</x:v>
      </x:c>
      <x:c r="K2237" s="8" t="n">
        <x:f>H2237-I2237*J2237</x:f>
        <x:v>3.449420181372833</x:v>
      </x:c>
      <x:c r="L2237" s="8" t="n">
        <x:f>'PG facts'!F146</x:f>
        <x:v>7</x:v>
      </x:c>
      <x:c r="M2237" s="8" t="n">
        <x:f>K2237-L2237</x:f>
        <x:v>-3.550579818627167</x:v>
      </x:c>
      <x:c r="N2237" s="8" t="n">
        <x:f>M2237^2</x:f>
        <x:v>12.606617048442525</x:v>
      </x:c>
      <x:c r="O2237" s="8" t="n">
        <x:f>ABS(M2237)</x:f>
        <x:v>3.550579818627167</x:v>
      </x:c>
      <x:c r="P2237" s="7" t="n">
        <x:v>46136</x:v>
      </x:c>
    </x:row>
    <x:row r="2238" ht="26" customHeight="1">
      <x:c r="A2238" s="2"/>
      <x:c r="B2238" s="2" t="n">
        <x:v>2233</x:v>
      </x:c>
      <x:c r="C2238" s="2" t="str">
        <x:v>Beauty / organic_sales_growth</x:v>
      </x:c>
      <x:c r="D2238" s="7" t="n">
        <x:v>46112</x:v>
      </x:c>
      <x:c r="E2238" s="2" t="str">
        <x:v>Prior report</x:v>
      </x:c>
      <x:c r="F2238" s="7" t="n">
        <x:v>46045</x:v>
      </x:c>
      <x:c r="G2238" s="2" t="str">
        <x:v>Broad rolling 8</x:v>
      </x:c>
      <x:c r="H2238" s="8" t="n">
        <x:f>'Model fits'!AA1448</x:f>
        <x:v>1.8818501305908277</x:v>
      </x:c>
      <x:c r="I2238" s="8" t="n">
        <x:f>0</x:f>
        <x:v>0</x:v>
      </x:c>
      <x:c r="J2238" s="8" t="n">
        <x:v>0</x:v>
      </x:c>
      <x:c r="K2238" s="8" t="n">
        <x:f>H2238-I2238*J2238</x:f>
        <x:v>1.8818501305908277</x:v>
      </x:c>
      <x:c r="L2238" s="8" t="n">
        <x:f>'PG facts'!F146</x:f>
        <x:v>7</x:v>
      </x:c>
      <x:c r="M2238" s="8" t="n">
        <x:f>K2238-L2238</x:f>
        <x:v>-5.118149869409172</x:v>
      </x:c>
      <x:c r="N2238" s="8" t="n">
        <x:f>M2238^2</x:f>
        <x:v>26.195458085733126</x:v>
      </x:c>
      <x:c r="O2238" s="8" t="n">
        <x:f>ABS(M2238)</x:f>
        <x:v>5.118149869409172</x:v>
      </x:c>
      <x:c r="P2238" s="7" t="n">
        <x:v>46136</x:v>
      </x:c>
    </x:row>
    <x:row r="2239" ht="26" customHeight="1">
      <x:c r="A2239" s="2"/>
      <x:c r="B2239" s="2" t="n">
        <x:v>2234</x:v>
      </x:c>
      <x:c r="C2239" s="2" t="str">
        <x:v>Beauty / organic_sales_growth</x:v>
      </x:c>
      <x:c r="D2239" s="7" t="n">
        <x:v>46112</x:v>
      </x:c>
      <x:c r="E2239" s="2" t="str">
        <x:v>Prior report</x:v>
      </x:c>
      <x:c r="F2239" s="7" t="n">
        <x:v>46045</x:v>
      </x:c>
      <x:c r="G2239" s="2" t="str">
        <x:v>Own history</x:v>
      </x:c>
      <x:c r="H2239" s="8" t="n">
        <x:f>'Model fits'!AA1449</x:f>
        <x:v>3.489849377865095</x:v>
      </x:c>
      <x:c r="I2239" s="8" t="n">
        <x:f>0</x:f>
        <x:v>0</x:v>
      </x:c>
      <x:c r="J2239" s="8" t="n">
        <x:v>0</x:v>
      </x:c>
      <x:c r="K2239" s="8" t="n">
        <x:f>H2239-I2239*J2239</x:f>
        <x:v>3.489849377865095</x:v>
      </x:c>
      <x:c r="L2239" s="8" t="n">
        <x:f>'PG facts'!F146</x:f>
        <x:v>7</x:v>
      </x:c>
      <x:c r="M2239" s="8" t="n">
        <x:f>K2239-L2239</x:f>
        <x:v>-3.510150622134905</x:v>
      </x:c>
      <x:c r="N2239" s="8" t="n">
        <x:f>M2239^2</x:f>
        <x:v>12.32115739007406</x:v>
      </x:c>
      <x:c r="O2239" s="8" t="n">
        <x:f>ABS(M2239)</x:f>
        <x:v>3.510150622134905</x:v>
      </x:c>
      <x:c r="P2239" s="7" t="n">
        <x:v>46136</x:v>
      </x:c>
    </x:row>
    <x:row r="2240" ht="26" customHeight="1">
      <x:c r="A2240" s="2"/>
      <x:c r="B2240" s="2" t="n">
        <x:v>2235</x:v>
      </x:c>
      <x:c r="C2240" s="2" t="str">
        <x:v>Beauty / organic_sales_growth</x:v>
      </x:c>
      <x:c r="D2240" s="7" t="n">
        <x:v>46112</x:v>
      </x:c>
      <x:c r="E2240" s="2" t="str">
        <x:v>Pre-earnings</x:v>
      </x:c>
      <x:c r="F2240" s="7" t="n">
        <x:v>46135</x:v>
      </x:c>
      <x:c r="G2240" s="2" t="str">
        <x:v>Last actual</x:v>
      </x:c>
      <x:c r="H2240" s="8" t="n">
        <x:f>AVERAGE('PG facts'!F139)</x:f>
        <x:v>4</x:v>
      </x:c>
      <x:c r="I2240" s="8" t="n">
        <x:f>0</x:f>
        <x:v>0</x:v>
      </x:c>
      <x:c r="J2240" s="8" t="n">
        <x:v>0</x:v>
      </x:c>
      <x:c r="K2240" s="8" t="n">
        <x:f>H2240-I2240*J2240</x:f>
        <x:v>4</x:v>
      </x:c>
      <x:c r="L2240" s="8" t="n">
        <x:f>'PG facts'!F146</x:f>
        <x:v>7</x:v>
      </x:c>
      <x:c r="M2240" s="8" t="n">
        <x:f>K2240-L2240</x:f>
        <x:v>-3</x:v>
      </x:c>
      <x:c r="N2240" s="8" t="n">
        <x:f>M2240^2</x:f>
        <x:v>9</x:v>
      </x:c>
      <x:c r="O2240" s="8" t="n">
        <x:f>ABS(M2240)</x:f>
        <x:v>3</x:v>
      </x:c>
      <x:c r="P2240" s="7" t="n">
        <x:v>46136</x:v>
      </x:c>
    </x:row>
    <x:row r="2241" ht="26" customHeight="1">
      <x:c r="A2241" s="2"/>
      <x:c r="B2241" s="2" t="n">
        <x:v>2236</x:v>
      </x:c>
      <x:c r="C2241" s="2" t="str">
        <x:v>Beauty / organic_sales_growth</x:v>
      </x:c>
      <x:c r="D2241" s="7" t="n">
        <x:v>46112</x:v>
      </x:c>
      <x:c r="E2241" s="2" t="str">
        <x:v>Pre-earnings</x:v>
      </x:c>
      <x:c r="F2241" s="7" t="n">
        <x:v>46135</x:v>
      </x:c>
      <x:c r="G2241" s="2" t="str">
        <x:v>Four-quarter mean</x:v>
      </x:c>
      <x:c r="H2241" s="8" t="n">
        <x:f>AVERAGE('PG facts'!F118,'PG facts'!F125,'PG facts'!F132,'PG facts'!F139)</x:f>
        <x:v>3.25</x:v>
      </x:c>
      <x:c r="I2241" s="8" t="n">
        <x:f>0</x:f>
        <x:v>0</x:v>
      </x:c>
      <x:c r="J2241" s="8" t="n">
        <x:v>0</x:v>
      </x:c>
      <x:c r="K2241" s="8" t="n">
        <x:f>H2241-I2241*J2241</x:f>
        <x:v>3.25</x:v>
      </x:c>
      <x:c r="L2241" s="8" t="n">
        <x:f>'PG facts'!F146</x:f>
        <x:v>7</x:v>
      </x:c>
      <x:c r="M2241" s="8" t="n">
        <x:f>K2241-L2241</x:f>
        <x:v>-3.75</x:v>
      </x:c>
      <x:c r="N2241" s="8" t="n">
        <x:f>M2241^2</x:f>
        <x:v>14.0625</x:v>
      </x:c>
      <x:c r="O2241" s="8" t="n">
        <x:f>ABS(M2241)</x:f>
        <x:v>3.75</x:v>
      </x:c>
      <x:c r="P2241" s="7" t="n">
        <x:v>46136</x:v>
      </x:c>
    </x:row>
    <x:row r="2242" ht="26" customHeight="1">
      <x:c r="A2242" s="2"/>
      <x:c r="B2242" s="2" t="n">
        <x:v>2237</x:v>
      </x:c>
      <x:c r="C2242" s="2" t="str">
        <x:v>Beauty / organic_sales_growth</x:v>
      </x:c>
      <x:c r="D2242" s="7" t="n">
        <x:v>46112</x:v>
      </x:c>
      <x:c r="E2242" s="2" t="str">
        <x:v>Pre-earnings</x:v>
      </x:c>
      <x:c r="F2242" s="7" t="n">
        <x:v>46135</x:v>
      </x:c>
      <x:c r="G2242" s="2" t="str">
        <x:v>Broad market</x:v>
      </x:c>
      <x:c r="H2242" s="8" t="n">
        <x:f>'Model fits'!AA1450</x:f>
        <x:v>2.8910374136602592</x:v>
      </x:c>
      <x:c r="I2242" s="8" t="n">
        <x:f>0</x:f>
        <x:v>0</x:v>
      </x:c>
      <x:c r="J2242" s="8" t="n">
        <x:v>0</x:v>
      </x:c>
      <x:c r="K2242" s="8" t="n">
        <x:f>H2242-I2242*J2242</x:f>
        <x:v>2.8910374136602592</x:v>
      </x:c>
      <x:c r="L2242" s="8" t="n">
        <x:f>'PG facts'!F146</x:f>
        <x:v>7</x:v>
      </x:c>
      <x:c r="M2242" s="8" t="n">
        <x:f>K2242-L2242</x:f>
        <x:v>-4.108962586339741</x:v>
      </x:c>
      <x:c r="N2242" s="8" t="n">
        <x:f>M2242^2</x:f>
        <x:v>16.883573535939775</x:v>
      </x:c>
      <x:c r="O2242" s="8" t="n">
        <x:f>ABS(M2242)</x:f>
        <x:v>4.108962586339741</x:v>
      </x:c>
      <x:c r="P2242" s="7" t="n">
        <x:v>46136</x:v>
      </x:c>
    </x:row>
    <x:row r="2243" ht="26" customHeight="1">
      <x:c r="A2243" s="2"/>
      <x:c r="B2243" s="2" t="n">
        <x:v>2238</x:v>
      </x:c>
      <x:c r="C2243" s="2" t="str">
        <x:v>Beauty / organic_sales_growth</x:v>
      </x:c>
      <x:c r="D2243" s="7" t="n">
        <x:v>46112</x:v>
      </x:c>
      <x:c r="E2243" s="2" t="str">
        <x:v>Pre-earnings</x:v>
      </x:c>
      <x:c r="F2243" s="7" t="n">
        <x:v>46135</x:v>
      </x:c>
      <x:c r="G2243" s="2" t="str">
        <x:v>Broad lag 1</x:v>
      </x:c>
      <x:c r="H2243" s="8" t="n">
        <x:f>'Model fits'!AA1451</x:f>
        <x:v>3.294599281466423</x:v>
      </x:c>
      <x:c r="I2243" s="8" t="n">
        <x:f>0</x:f>
        <x:v>0</x:v>
      </x:c>
      <x:c r="J2243" s="8" t="n">
        <x:v>0</x:v>
      </x:c>
      <x:c r="K2243" s="8" t="n">
        <x:f>H2243-I2243*J2243</x:f>
        <x:v>3.294599281466423</x:v>
      </x:c>
      <x:c r="L2243" s="8" t="n">
        <x:f>'PG facts'!F146</x:f>
        <x:v>7</x:v>
      </x:c>
      <x:c r="M2243" s="8" t="n">
        <x:f>K2243-L2243</x:f>
        <x:v>-3.705400718533577</x:v>
      </x:c>
      <x:c r="N2243" s="8" t="n">
        <x:f>M2243^2</x:f>
        <x:v>13.729994484909149</x:v>
      </x:c>
      <x:c r="O2243" s="8" t="n">
        <x:f>ABS(M2243)</x:f>
        <x:v>3.705400718533577</x:v>
      </x:c>
      <x:c r="P2243" s="7" t="n">
        <x:v>46136</x:v>
      </x:c>
    </x:row>
    <x:row r="2244" ht="26" customHeight="1">
      <x:c r="A2244" s="2"/>
      <x:c r="B2244" s="2" t="n">
        <x:v>2239</x:v>
      </x:c>
      <x:c r="C2244" s="2" t="str">
        <x:v>Beauty / organic_sales_growth</x:v>
      </x:c>
      <x:c r="D2244" s="7" t="n">
        <x:v>46112</x:v>
      </x:c>
      <x:c r="E2244" s="2" t="str">
        <x:v>Pre-earnings</x:v>
      </x:c>
      <x:c r="F2244" s="7" t="n">
        <x:v>46135</x:v>
      </x:c>
      <x:c r="G2244" s="2" t="str">
        <x:v>Broad rolling 8</x:v>
      </x:c>
      <x:c r="H2244" s="8" t="n">
        <x:f>'Model fits'!AA1452</x:f>
        <x:v>2.6848344727890363</x:v>
      </x:c>
      <x:c r="I2244" s="8" t="n">
        <x:f>0</x:f>
        <x:v>0</x:v>
      </x:c>
      <x:c r="J2244" s="8" t="n">
        <x:v>0</x:v>
      </x:c>
      <x:c r="K2244" s="8" t="n">
        <x:f>H2244-I2244*J2244</x:f>
        <x:v>2.6848344727890363</x:v>
      </x:c>
      <x:c r="L2244" s="8" t="n">
        <x:f>'PG facts'!F146</x:f>
        <x:v>7</x:v>
      </x:c>
      <x:c r="M2244" s="8" t="n">
        <x:f>K2244-L2244</x:f>
        <x:v>-4.315165527210963</x:v>
      </x:c>
      <x:c r="N2244" s="8" t="n">
        <x:f>M2244^2</x:f>
        <x:v>18.62065352722987</x:v>
      </x:c>
      <x:c r="O2244" s="8" t="n">
        <x:f>ABS(M2244)</x:f>
        <x:v>4.315165527210963</x:v>
      </x:c>
      <x:c r="P2244" s="7" t="n">
        <x:v>46136</x:v>
      </x:c>
    </x:row>
    <x:row r="2245" ht="26" customHeight="1">
      <x:c r="A2245" s="2"/>
      <x:c r="B2245" s="2" t="n">
        <x:v>2240</x:v>
      </x:c>
      <x:c r="C2245" s="2" t="str">
        <x:v>Beauty / organic_sales_growth</x:v>
      </x:c>
      <x:c r="D2245" s="7" t="n">
        <x:v>46112</x:v>
      </x:c>
      <x:c r="E2245" s="2" t="str">
        <x:v>Pre-earnings</x:v>
      </x:c>
      <x:c r="F2245" s="7" t="n">
        <x:v>46135</x:v>
      </x:c>
      <x:c r="G2245" s="2" t="str">
        <x:v>Own history</x:v>
      </x:c>
      <x:c r="H2245" s="8" t="n">
        <x:f>'Model fits'!AA1453</x:f>
        <x:v>3.489849377865095</x:v>
      </x:c>
      <x:c r="I2245" s="8" t="n">
        <x:f>0</x:f>
        <x:v>0</x:v>
      </x:c>
      <x:c r="J2245" s="8" t="n">
        <x:v>0</x:v>
      </x:c>
      <x:c r="K2245" s="8" t="n">
        <x:f>H2245-I2245*J2245</x:f>
        <x:v>3.489849377865095</x:v>
      </x:c>
      <x:c r="L2245" s="8" t="n">
        <x:f>'PG facts'!F146</x:f>
        <x:v>7</x:v>
      </x:c>
      <x:c r="M2245" s="8" t="n">
        <x:f>K2245-L2245</x:f>
        <x:v>-3.510150622134905</x:v>
      </x:c>
      <x:c r="N2245" s="8" t="n">
        <x:f>M2245^2</x:f>
        <x:v>12.32115739007406</x:v>
      </x:c>
      <x:c r="O2245" s="8" t="n">
        <x:f>ABS(M2245)</x:f>
        <x:v>3.510150622134905</x:v>
      </x:c>
      <x:c r="P2245" s="7" t="n">
        <x:v>46136</x:v>
      </x:c>
    </x:row>
    <x:row r="2246" ht="26" customHeight="1">
      <x:c r="A2246" s="2"/>
      <x:c r="B2246" s="2" t="n">
        <x:v>2241</x:v>
      </x:c>
      <x:c r="C2246" s="2" t="str">
        <x:v>Health Care / organic_sales_growth</x:v>
      </x:c>
      <x:c r="D2246" s="7" t="n">
        <x:v>45107</x:v>
      </x:c>
      <x:c r="E2246" s="2" t="str">
        <x:v>Origin</x:v>
      </x:c>
      <x:c r="F2246" s="7" t="n">
        <x:v>45017</x:v>
      </x:c>
      <x:c r="G2246" s="2" t="str">
        <x:v>Last actual</x:v>
      </x:c>
      <x:c r="H2246" s="8" t="n">
        <x:f>AVERAGE('PG facts'!F57)</x:f>
        <x:v>8</x:v>
      </x:c>
      <x:c r="I2246" s="8" t="n">
        <x:f>0</x:f>
        <x:v>0</x:v>
      </x:c>
      <x:c r="J2246" s="8" t="n">
        <x:v>0</x:v>
      </x:c>
      <x:c r="K2246" s="8" t="n">
        <x:f>H2246-I2246*J2246</x:f>
        <x:v>8</x:v>
      </x:c>
      <x:c r="L2246" s="8" t="n">
        <x:f>'PG facts'!F71</x:f>
        <x:v>5</x:v>
      </x:c>
      <x:c r="M2246" s="8" t="n">
        <x:f>K2246-L2246</x:f>
        <x:v>3</x:v>
      </x:c>
      <x:c r="N2246" s="8" t="n">
        <x:f>M2246^2</x:f>
        <x:v>9</x:v>
      </x:c>
      <x:c r="O2246" s="8" t="n">
        <x:f>ABS(M2246)</x:f>
        <x:v>3</x:v>
      </x:c>
      <x:c r="P2246" s="7" t="n">
        <x:v>45135</x:v>
      </x:c>
    </x:row>
    <x:row r="2247" ht="26" customHeight="1">
      <x:c r="A2247" s="2"/>
      <x:c r="B2247" s="2" t="n">
        <x:v>2242</x:v>
      </x:c>
      <x:c r="C2247" s="2" t="str">
        <x:v>Health Care / organic_sales_growth</x:v>
      </x:c>
      <x:c r="D2247" s="7" t="n">
        <x:v>45107</x:v>
      </x:c>
      <x:c r="E2247" s="2" t="str">
        <x:v>Origin</x:v>
      </x:c>
      <x:c r="F2247" s="7" t="n">
        <x:v>45017</x:v>
      </x:c>
      <x:c r="G2247" s="2" t="str">
        <x:v>Four-quarter mean</x:v>
      </x:c>
      <x:c r="H2247" s="8" t="n">
        <x:f>AVERAGE('PG facts'!F36,'PG facts'!F43,'PG facts'!F50,'PG facts'!F57)</x:f>
        <x:v>10.25</x:v>
      </x:c>
      <x:c r="I2247" s="8" t="n">
        <x:f>0</x:f>
        <x:v>0</x:v>
      </x:c>
      <x:c r="J2247" s="8" t="n">
        <x:v>0</x:v>
      </x:c>
      <x:c r="K2247" s="8" t="n">
        <x:f>H2247-I2247*J2247</x:f>
        <x:v>10.25</x:v>
      </x:c>
      <x:c r="L2247" s="8" t="n">
        <x:f>'PG facts'!F71</x:f>
        <x:v>5</x:v>
      </x:c>
      <x:c r="M2247" s="8" t="n">
        <x:f>K2247-L2247</x:f>
        <x:v>5.25</x:v>
      </x:c>
      <x:c r="N2247" s="8" t="n">
        <x:f>M2247^2</x:f>
        <x:v>27.5625</x:v>
      </x:c>
      <x:c r="O2247" s="8" t="n">
        <x:f>ABS(M2247)</x:f>
        <x:v>5.25</x:v>
      </x:c>
      <x:c r="P2247" s="7" t="n">
        <x:v>45135</x:v>
      </x:c>
    </x:row>
    <x:row r="2248" ht="26" customHeight="1">
      <x:c r="A2248" s="2"/>
      <x:c r="B2248" s="2" t="n">
        <x:v>2243</x:v>
      </x:c>
      <x:c r="C2248" s="2" t="str">
        <x:v>Health Care / organic_sales_growth</x:v>
      </x:c>
      <x:c r="D2248" s="7" t="n">
        <x:v>45107</x:v>
      </x:c>
      <x:c r="E2248" s="2" t="str">
        <x:v>Origin</x:v>
      </x:c>
      <x:c r="F2248" s="7" t="n">
        <x:v>45017</x:v>
      </x:c>
      <x:c r="G2248" s="2" t="str">
        <x:v>Broad market</x:v>
      </x:c>
      <x:c r="H2248" s="8" t="n">
        <x:f>'Model fits'!AA1454</x:f>
        <x:v>8.358457008040164</x:v>
      </x:c>
      <x:c r="I2248" s="8" t="n">
        <x:f>0</x:f>
        <x:v>0</x:v>
      </x:c>
      <x:c r="J2248" s="8" t="n">
        <x:v>0</x:v>
      </x:c>
      <x:c r="K2248" s="8" t="n">
        <x:f>H2248-I2248*J2248</x:f>
        <x:v>8.358457008040164</x:v>
      </x:c>
      <x:c r="L2248" s="8" t="n">
        <x:f>'PG facts'!F71</x:f>
        <x:v>5</x:v>
      </x:c>
      <x:c r="M2248" s="8" t="n">
        <x:f>K2248-L2248</x:f>
        <x:v>3.3584570080401637</x:v>
      </x:c>
      <x:c r="N2248" s="8" t="n">
        <x:f>M2248^2</x:f>
        <x:v>11.279233474854088</x:v>
      </x:c>
      <x:c r="O2248" s="8" t="n">
        <x:f>ABS(M2248)</x:f>
        <x:v>3.3584570080401637</x:v>
      </x:c>
      <x:c r="P2248" s="7" t="n">
        <x:v>45135</x:v>
      </x:c>
    </x:row>
    <x:row r="2249" ht="26" customHeight="1">
      <x:c r="A2249" s="2"/>
      <x:c r="B2249" s="2" t="n">
        <x:v>2244</x:v>
      </x:c>
      <x:c r="C2249" s="2" t="str">
        <x:v>Health Care / organic_sales_growth</x:v>
      </x:c>
      <x:c r="D2249" s="7" t="n">
        <x:v>45107</x:v>
      </x:c>
      <x:c r="E2249" s="2" t="str">
        <x:v>Origin</x:v>
      </x:c>
      <x:c r="F2249" s="7" t="n">
        <x:v>45017</x:v>
      </x:c>
      <x:c r="G2249" s="2" t="str">
        <x:v>Broad rolling 8</x:v>
      </x:c>
      <x:c r="H2249" s="8" t="n">
        <x:f>'Model fits'!AA1455</x:f>
        <x:v>8.358457008040164</x:v>
      </x:c>
      <x:c r="I2249" s="8" t="n">
        <x:f>0</x:f>
        <x:v>0</x:v>
      </x:c>
      <x:c r="J2249" s="8" t="n">
        <x:v>0</x:v>
      </x:c>
      <x:c r="K2249" s="8" t="n">
        <x:f>H2249-I2249*J2249</x:f>
        <x:v>8.358457008040164</x:v>
      </x:c>
      <x:c r="L2249" s="8" t="n">
        <x:f>'PG facts'!F71</x:f>
        <x:v>5</x:v>
      </x:c>
      <x:c r="M2249" s="8" t="n">
        <x:f>K2249-L2249</x:f>
        <x:v>3.3584570080401637</x:v>
      </x:c>
      <x:c r="N2249" s="8" t="n">
        <x:f>M2249^2</x:f>
        <x:v>11.279233474854088</x:v>
      </x:c>
      <x:c r="O2249" s="8" t="n">
        <x:f>ABS(M2249)</x:f>
        <x:v>3.3584570080401637</x:v>
      </x:c>
      <x:c r="P2249" s="7" t="n">
        <x:v>45135</x:v>
      </x:c>
    </x:row>
    <x:row r="2250" ht="26" customHeight="1">
      <x:c r="A2250" s="2"/>
      <x:c r="B2250" s="2" t="n">
        <x:v>2245</x:v>
      </x:c>
      <x:c r="C2250" s="2" t="str">
        <x:v>Health Care / organic_sales_growth</x:v>
      </x:c>
      <x:c r="D2250" s="7" t="n">
        <x:v>45107</x:v>
      </x:c>
      <x:c r="E2250" s="2" t="str">
        <x:v>Prior report</x:v>
      </x:c>
      <x:c r="F2250" s="7" t="n">
        <x:v>45037</x:v>
      </x:c>
      <x:c r="G2250" s="2" t="str">
        <x:v>Last actual</x:v>
      </x:c>
      <x:c r="H2250" s="8" t="n">
        <x:f>AVERAGE('PG facts'!F64)</x:f>
        <x:v>9</x:v>
      </x:c>
      <x:c r="I2250" s="8" t="n">
        <x:f>0</x:f>
        <x:v>0</x:v>
      </x:c>
      <x:c r="J2250" s="8" t="n">
        <x:v>0</x:v>
      </x:c>
      <x:c r="K2250" s="8" t="n">
        <x:f>H2250-I2250*J2250</x:f>
        <x:v>9</x:v>
      </x:c>
      <x:c r="L2250" s="8" t="n">
        <x:f>'PG facts'!F71</x:f>
        <x:v>5</x:v>
      </x:c>
      <x:c r="M2250" s="8" t="n">
        <x:f>K2250-L2250</x:f>
        <x:v>4</x:v>
      </x:c>
      <x:c r="N2250" s="8" t="n">
        <x:f>M2250^2</x:f>
        <x:v>16</x:v>
      </x:c>
      <x:c r="O2250" s="8" t="n">
        <x:f>ABS(M2250)</x:f>
        <x:v>4</x:v>
      </x:c>
      <x:c r="P2250" s="7" t="n">
        <x:v>45135</x:v>
      </x:c>
    </x:row>
    <x:row r="2251" ht="26" customHeight="1">
      <x:c r="A2251" s="2"/>
      <x:c r="B2251" s="2" t="n">
        <x:v>2246</x:v>
      </x:c>
      <x:c r="C2251" s="2" t="str">
        <x:v>Health Care / organic_sales_growth</x:v>
      </x:c>
      <x:c r="D2251" s="7" t="n">
        <x:v>45107</x:v>
      </x:c>
      <x:c r="E2251" s="2" t="str">
        <x:v>Prior report</x:v>
      </x:c>
      <x:c r="F2251" s="7" t="n">
        <x:v>45037</x:v>
      </x:c>
      <x:c r="G2251" s="2" t="str">
        <x:v>Four-quarter mean</x:v>
      </x:c>
      <x:c r="H2251" s="8" t="n">
        <x:f>AVERAGE('PG facts'!F43,'PG facts'!F50,'PG facts'!F57,'PG facts'!F64)</x:f>
        <x:v>8.5</x:v>
      </x:c>
      <x:c r="I2251" s="8" t="n">
        <x:f>0</x:f>
        <x:v>0</x:v>
      </x:c>
      <x:c r="J2251" s="8" t="n">
        <x:v>0</x:v>
      </x:c>
      <x:c r="K2251" s="8" t="n">
        <x:f>H2251-I2251*J2251</x:f>
        <x:v>8.5</x:v>
      </x:c>
      <x:c r="L2251" s="8" t="n">
        <x:f>'PG facts'!F71</x:f>
        <x:v>5</x:v>
      </x:c>
      <x:c r="M2251" s="8" t="n">
        <x:f>K2251-L2251</x:f>
        <x:v>3.5</x:v>
      </x:c>
      <x:c r="N2251" s="8" t="n">
        <x:f>M2251^2</x:f>
        <x:v>12.25</x:v>
      </x:c>
      <x:c r="O2251" s="8" t="n">
        <x:f>ABS(M2251)</x:f>
        <x:v>3.5</x:v>
      </x:c>
      <x:c r="P2251" s="7" t="n">
        <x:v>45135</x:v>
      </x:c>
    </x:row>
    <x:row r="2252" ht="26" customHeight="1">
      <x:c r="A2252" s="2"/>
      <x:c r="B2252" s="2" t="n">
        <x:v>2247</x:v>
      </x:c>
      <x:c r="C2252" s="2" t="str">
        <x:v>Health Care / organic_sales_growth</x:v>
      </x:c>
      <x:c r="D2252" s="7" t="n">
        <x:v>45107</x:v>
      </x:c>
      <x:c r="E2252" s="2" t="str">
        <x:v>Prior report</x:v>
      </x:c>
      <x:c r="F2252" s="7" t="n">
        <x:v>45037</x:v>
      </x:c>
      <x:c r="G2252" s="2" t="str">
        <x:v>Broad market</x:v>
      </x:c>
      <x:c r="H2252" s="8" t="n">
        <x:f>'Model fits'!AA1456</x:f>
        <x:v>9.057673998735398</x:v>
      </x:c>
      <x:c r="I2252" s="8" t="n">
        <x:f>0</x:f>
        <x:v>0</x:v>
      </x:c>
      <x:c r="J2252" s="8" t="n">
        <x:v>0</x:v>
      </x:c>
      <x:c r="K2252" s="8" t="n">
        <x:f>H2252-I2252*J2252</x:f>
        <x:v>9.057673998735398</x:v>
      </x:c>
      <x:c r="L2252" s="8" t="n">
        <x:f>'PG facts'!F71</x:f>
        <x:v>5</x:v>
      </x:c>
      <x:c r="M2252" s="8" t="n">
        <x:f>K2252-L2252</x:f>
        <x:v>4.057673998735398</x:v>
      </x:c>
      <x:c r="N2252" s="8" t="n">
        <x:f>M2252^2</x:f>
        <x:v>16.46471828001331</x:v>
      </x:c>
      <x:c r="O2252" s="8" t="n">
        <x:f>ABS(M2252)</x:f>
        <x:v>4.057673998735398</x:v>
      </x:c>
      <x:c r="P2252" s="7" t="n">
        <x:v>45135</x:v>
      </x:c>
    </x:row>
    <x:row r="2253" ht="26" customHeight="1">
      <x:c r="A2253" s="2"/>
      <x:c r="B2253" s="2" t="n">
        <x:v>2248</x:v>
      </x:c>
      <x:c r="C2253" s="2" t="str">
        <x:v>Health Care / organic_sales_growth</x:v>
      </x:c>
      <x:c r="D2253" s="7" t="n">
        <x:v>45107</x:v>
      </x:c>
      <x:c r="E2253" s="2" t="str">
        <x:v>Prior report</x:v>
      </x:c>
      <x:c r="F2253" s="7" t="n">
        <x:v>45037</x:v>
      </x:c>
      <x:c r="G2253" s="2" t="str">
        <x:v>Broad lag 1</x:v>
      </x:c>
      <x:c r="H2253" s="8" t="n">
        <x:f>'Model fits'!AA1457</x:f>
        <x:v>9.89236024794601</x:v>
      </x:c>
      <x:c r="I2253" s="8" t="n">
        <x:f>0</x:f>
        <x:v>0</x:v>
      </x:c>
      <x:c r="J2253" s="8" t="n">
        <x:v>0</x:v>
      </x:c>
      <x:c r="K2253" s="8" t="n">
        <x:f>H2253-I2253*J2253</x:f>
        <x:v>9.89236024794601</x:v>
      </x:c>
      <x:c r="L2253" s="8" t="n">
        <x:f>'PG facts'!F71</x:f>
        <x:v>5</x:v>
      </x:c>
      <x:c r="M2253" s="8" t="n">
        <x:f>K2253-L2253</x:f>
        <x:v>4.89236024794601</x:v>
      </x:c>
      <x:c r="N2253" s="8" t="n">
        <x:f>M2253^2</x:f>
        <x:v>23.93518879568235</x:v>
      </x:c>
      <x:c r="O2253" s="8" t="n">
        <x:f>ABS(M2253)</x:f>
        <x:v>4.89236024794601</x:v>
      </x:c>
      <x:c r="P2253" s="7" t="n">
        <x:v>45135</x:v>
      </x:c>
    </x:row>
    <x:row r="2254" ht="26" customHeight="1">
      <x:c r="A2254" s="2"/>
      <x:c r="B2254" s="2" t="n">
        <x:v>2249</x:v>
      </x:c>
      <x:c r="C2254" s="2" t="str">
        <x:v>Health Care / organic_sales_growth</x:v>
      </x:c>
      <x:c r="D2254" s="7" t="n">
        <x:v>45107</x:v>
      </x:c>
      <x:c r="E2254" s="2" t="str">
        <x:v>Prior report</x:v>
      </x:c>
      <x:c r="F2254" s="7" t="n">
        <x:v>45037</x:v>
      </x:c>
      <x:c r="G2254" s="2" t="str">
        <x:v>Broad rolling 8</x:v>
      </x:c>
      <x:c r="H2254" s="8" t="n">
        <x:f>'Model fits'!AA1458</x:f>
        <x:v>9.71401424913138</x:v>
      </x:c>
      <x:c r="I2254" s="8" t="n">
        <x:f>0</x:f>
        <x:v>0</x:v>
      </x:c>
      <x:c r="J2254" s="8" t="n">
        <x:v>0</x:v>
      </x:c>
      <x:c r="K2254" s="8" t="n">
        <x:f>H2254-I2254*J2254</x:f>
        <x:v>9.71401424913138</x:v>
      </x:c>
      <x:c r="L2254" s="8" t="n">
        <x:f>'PG facts'!F71</x:f>
        <x:v>5</x:v>
      </x:c>
      <x:c r="M2254" s="8" t="n">
        <x:f>K2254-L2254</x:f>
        <x:v>4.714014249131379</x:v>
      </x:c>
      <x:c r="N2254" s="8" t="n">
        <x:f>M2254^2</x:f>
        <x:v>22.22193034101368</x:v>
      </x:c>
      <x:c r="O2254" s="8" t="n">
        <x:f>ABS(M2254)</x:f>
        <x:v>4.714014249131379</x:v>
      </x:c>
      <x:c r="P2254" s="7" t="n">
        <x:v>45135</x:v>
      </x:c>
    </x:row>
    <x:row r="2255" ht="26" customHeight="1">
      <x:c r="A2255" s="2"/>
      <x:c r="B2255" s="2" t="n">
        <x:v>2250</x:v>
      </x:c>
      <x:c r="C2255" s="2" t="str">
        <x:v>Health Care / organic_sales_growth</x:v>
      </x:c>
      <x:c r="D2255" s="7" t="n">
        <x:v>45107</x:v>
      </x:c>
      <x:c r="E2255" s="2" t="str">
        <x:v>Prior report</x:v>
      </x:c>
      <x:c r="F2255" s="7" t="n">
        <x:v>45037</x:v>
      </x:c>
      <x:c r="G2255" s="2" t="str">
        <x:v>Own history</x:v>
      </x:c>
      <x:c r="H2255" s="8" t="n">
        <x:f>'Model fits'!AA1459</x:f>
        <x:v>9.922994652406418</x:v>
      </x:c>
      <x:c r="I2255" s="8" t="n">
        <x:f>0</x:f>
        <x:v>0</x:v>
      </x:c>
      <x:c r="J2255" s="8" t="n">
        <x:v>0</x:v>
      </x:c>
      <x:c r="K2255" s="8" t="n">
        <x:f>H2255-I2255*J2255</x:f>
        <x:v>9.922994652406418</x:v>
      </x:c>
      <x:c r="L2255" s="8" t="n">
        <x:f>'PG facts'!F71</x:f>
        <x:v>5</x:v>
      </x:c>
      <x:c r="M2255" s="8" t="n">
        <x:f>K2255-L2255</x:f>
        <x:v>4.922994652406418</x:v>
      </x:c>
      <x:c r="N2255" s="8" t="n">
        <x:f>M2255^2</x:f>
        <x:v>24.235876347622188</x:v>
      </x:c>
      <x:c r="O2255" s="8" t="n">
        <x:f>ABS(M2255)</x:f>
        <x:v>4.922994652406418</x:v>
      </x:c>
      <x:c r="P2255" s="7" t="n">
        <x:v>45135</x:v>
      </x:c>
    </x:row>
    <x:row r="2256" ht="26" customHeight="1">
      <x:c r="A2256" s="2"/>
      <x:c r="B2256" s="2" t="n">
        <x:v>2251</x:v>
      </x:c>
      <x:c r="C2256" s="2" t="str">
        <x:v>Health Care / organic_sales_growth</x:v>
      </x:c>
      <x:c r="D2256" s="7" t="n">
        <x:v>45107</x:v>
      </x:c>
      <x:c r="E2256" s="2" t="str">
        <x:v>Pre-earnings</x:v>
      </x:c>
      <x:c r="F2256" s="7" t="n">
        <x:v>45134</x:v>
      </x:c>
      <x:c r="G2256" s="2" t="str">
        <x:v>Last actual</x:v>
      </x:c>
      <x:c r="H2256" s="8" t="n">
        <x:f>AVERAGE('PG facts'!F64)</x:f>
        <x:v>9</x:v>
      </x:c>
      <x:c r="I2256" s="8" t="n">
        <x:f>0</x:f>
        <x:v>0</x:v>
      </x:c>
      <x:c r="J2256" s="8" t="n">
        <x:v>0</x:v>
      </x:c>
      <x:c r="K2256" s="8" t="n">
        <x:f>H2256-I2256*J2256</x:f>
        <x:v>9</x:v>
      </x:c>
      <x:c r="L2256" s="8" t="n">
        <x:f>'PG facts'!F71</x:f>
        <x:v>5</x:v>
      </x:c>
      <x:c r="M2256" s="8" t="n">
        <x:f>K2256-L2256</x:f>
        <x:v>4</x:v>
      </x:c>
      <x:c r="N2256" s="8" t="n">
        <x:f>M2256^2</x:f>
        <x:v>16</x:v>
      </x:c>
      <x:c r="O2256" s="8" t="n">
        <x:f>ABS(M2256)</x:f>
        <x:v>4</x:v>
      </x:c>
      <x:c r="P2256" s="7" t="n">
        <x:v>45135</x:v>
      </x:c>
    </x:row>
    <x:row r="2257" ht="26" customHeight="1">
      <x:c r="A2257" s="2"/>
      <x:c r="B2257" s="2" t="n">
        <x:v>2252</x:v>
      </x:c>
      <x:c r="C2257" s="2" t="str">
        <x:v>Health Care / organic_sales_growth</x:v>
      </x:c>
      <x:c r="D2257" s="7" t="n">
        <x:v>45107</x:v>
      </x:c>
      <x:c r="E2257" s="2" t="str">
        <x:v>Pre-earnings</x:v>
      </x:c>
      <x:c r="F2257" s="7" t="n">
        <x:v>45134</x:v>
      </x:c>
      <x:c r="G2257" s="2" t="str">
        <x:v>Four-quarter mean</x:v>
      </x:c>
      <x:c r="H2257" s="8" t="n">
        <x:f>AVERAGE('PG facts'!F43,'PG facts'!F50,'PG facts'!F57,'PG facts'!F64)</x:f>
        <x:v>8.5</x:v>
      </x:c>
      <x:c r="I2257" s="8" t="n">
        <x:f>0</x:f>
        <x:v>0</x:v>
      </x:c>
      <x:c r="J2257" s="8" t="n">
        <x:v>0</x:v>
      </x:c>
      <x:c r="K2257" s="8" t="n">
        <x:f>H2257-I2257*J2257</x:f>
        <x:v>8.5</x:v>
      </x:c>
      <x:c r="L2257" s="8" t="n">
        <x:f>'PG facts'!F71</x:f>
        <x:v>5</x:v>
      </x:c>
      <x:c r="M2257" s="8" t="n">
        <x:f>K2257-L2257</x:f>
        <x:v>3.5</x:v>
      </x:c>
      <x:c r="N2257" s="8" t="n">
        <x:f>M2257^2</x:f>
        <x:v>12.25</x:v>
      </x:c>
      <x:c r="O2257" s="8" t="n">
        <x:f>ABS(M2257)</x:f>
        <x:v>3.5</x:v>
      </x:c>
      <x:c r="P2257" s="7" t="n">
        <x:v>45135</x:v>
      </x:c>
    </x:row>
    <x:row r="2258" ht="26" customHeight="1">
      <x:c r="A2258" s="2"/>
      <x:c r="B2258" s="2" t="n">
        <x:v>2253</x:v>
      </x:c>
      <x:c r="C2258" s="2" t="str">
        <x:v>Health Care / organic_sales_growth</x:v>
      </x:c>
      <x:c r="D2258" s="7" t="n">
        <x:v>45107</x:v>
      </x:c>
      <x:c r="E2258" s="2" t="str">
        <x:v>Pre-earnings</x:v>
      </x:c>
      <x:c r="F2258" s="7" t="n">
        <x:v>45134</x:v>
      </x:c>
      <x:c r="G2258" s="2" t="str">
        <x:v>Broad market</x:v>
      </x:c>
      <x:c r="H2258" s="8" t="n">
        <x:f>'Model fits'!AA1460</x:f>
        <x:v>9.535528683466486</x:v>
      </x:c>
      <x:c r="I2258" s="8" t="n">
        <x:f>0</x:f>
        <x:v>0</x:v>
      </x:c>
      <x:c r="J2258" s="8" t="n">
        <x:v>0</x:v>
      </x:c>
      <x:c r="K2258" s="8" t="n">
        <x:f>H2258-I2258*J2258</x:f>
        <x:v>9.535528683466486</x:v>
      </x:c>
      <x:c r="L2258" s="8" t="n">
        <x:f>'PG facts'!F71</x:f>
        <x:v>5</x:v>
      </x:c>
      <x:c r="M2258" s="8" t="n">
        <x:f>K2258-L2258</x:f>
        <x:v>4.535528683466486</x:v>
      </x:c>
      <x:c r="N2258" s="8" t="n">
        <x:f>M2258^2</x:f>
        <x:v>20.57102043854724</x:v>
      </x:c>
      <x:c r="O2258" s="8" t="n">
        <x:f>ABS(M2258)</x:f>
        <x:v>4.535528683466486</x:v>
      </x:c>
      <x:c r="P2258" s="7" t="n">
        <x:v>45135</x:v>
      </x:c>
    </x:row>
    <x:row r="2259" ht="26" customHeight="1">
      <x:c r="A2259" s="2"/>
      <x:c r="B2259" s="2" t="n">
        <x:v>2254</x:v>
      </x:c>
      <x:c r="C2259" s="2" t="str">
        <x:v>Health Care / organic_sales_growth</x:v>
      </x:c>
      <x:c r="D2259" s="7" t="n">
        <x:v>45107</x:v>
      </x:c>
      <x:c r="E2259" s="2" t="str">
        <x:v>Pre-earnings</x:v>
      </x:c>
      <x:c r="F2259" s="7" t="n">
        <x:v>45134</x:v>
      </x:c>
      <x:c r="G2259" s="2" t="str">
        <x:v>Broad lag 1</x:v>
      </x:c>
      <x:c r="H2259" s="8" t="n">
        <x:f>'Model fits'!AA1461</x:f>
        <x:v>9.753619189797025</x:v>
      </x:c>
      <x:c r="I2259" s="8" t="n">
        <x:f>0</x:f>
        <x:v>0</x:v>
      </x:c>
      <x:c r="J2259" s="8" t="n">
        <x:v>0</x:v>
      </x:c>
      <x:c r="K2259" s="8" t="n">
        <x:f>H2259-I2259*J2259</x:f>
        <x:v>9.753619189797025</x:v>
      </x:c>
      <x:c r="L2259" s="8" t="n">
        <x:f>'PG facts'!F71</x:f>
        <x:v>5</x:v>
      </x:c>
      <x:c r="M2259" s="8" t="n">
        <x:f>K2259-L2259</x:f>
        <x:v>4.753619189797025</x:v>
      </x:c>
      <x:c r="N2259" s="8" t="n">
        <x:f>M2259^2</x:f>
        <x:v>22.596895401606524</x:v>
      </x:c>
      <x:c r="O2259" s="8" t="n">
        <x:f>ABS(M2259)</x:f>
        <x:v>4.753619189797025</x:v>
      </x:c>
      <x:c r="P2259" s="7" t="n">
        <x:v>45135</x:v>
      </x:c>
    </x:row>
    <x:row r="2260" ht="26" customHeight="1">
      <x:c r="A2260" s="2"/>
      <x:c r="B2260" s="2" t="n">
        <x:v>2255</x:v>
      </x:c>
      <x:c r="C2260" s="2" t="str">
        <x:v>Health Care / organic_sales_growth</x:v>
      </x:c>
      <x:c r="D2260" s="7" t="n">
        <x:v>45107</x:v>
      </x:c>
      <x:c r="E2260" s="2" t="str">
        <x:v>Pre-earnings</x:v>
      </x:c>
      <x:c r="F2260" s="7" t="n">
        <x:v>45134</x:v>
      </x:c>
      <x:c r="G2260" s="2" t="str">
        <x:v>Broad rolling 8</x:v>
      </x:c>
      <x:c r="H2260" s="8" t="n">
        <x:f>'Model fits'!AA1462</x:f>
        <x:v>10.088383383401396</x:v>
      </x:c>
      <x:c r="I2260" s="8" t="n">
        <x:f>0</x:f>
        <x:v>0</x:v>
      </x:c>
      <x:c r="J2260" s="8" t="n">
        <x:v>0</x:v>
      </x:c>
      <x:c r="K2260" s="8" t="n">
        <x:f>H2260-I2260*J2260</x:f>
        <x:v>10.088383383401396</x:v>
      </x:c>
      <x:c r="L2260" s="8" t="n">
        <x:f>'PG facts'!F71</x:f>
        <x:v>5</x:v>
      </x:c>
      <x:c r="M2260" s="8" t="n">
        <x:f>K2260-L2260</x:f>
        <x:v>5.088383383401396</x:v>
      </x:c>
      <x:c r="N2260" s="8" t="n">
        <x:f>M2260^2</x:f>
        <x:v>25.89164545647544</x:v>
      </x:c>
      <x:c r="O2260" s="8" t="n">
        <x:f>ABS(M2260)</x:f>
        <x:v>5.088383383401396</x:v>
      </x:c>
      <x:c r="P2260" s="7" t="n">
        <x:v>45135</x:v>
      </x:c>
    </x:row>
    <x:row r="2261" ht="26" customHeight="1">
      <x:c r="A2261" s="2"/>
      <x:c r="B2261" s="2" t="n">
        <x:v>2256</x:v>
      </x:c>
      <x:c r="C2261" s="2" t="str">
        <x:v>Health Care / organic_sales_growth</x:v>
      </x:c>
      <x:c r="D2261" s="7" t="n">
        <x:v>45107</x:v>
      </x:c>
      <x:c r="E2261" s="2" t="str">
        <x:v>Pre-earnings</x:v>
      </x:c>
      <x:c r="F2261" s="7" t="n">
        <x:v>45134</x:v>
      </x:c>
      <x:c r="G2261" s="2" t="str">
        <x:v>Own history</x:v>
      </x:c>
      <x:c r="H2261" s="8" t="n">
        <x:f>'Model fits'!AA1463</x:f>
        <x:v>9.922994652406418</x:v>
      </x:c>
      <x:c r="I2261" s="8" t="n">
        <x:f>0</x:f>
        <x:v>0</x:v>
      </x:c>
      <x:c r="J2261" s="8" t="n">
        <x:v>0</x:v>
      </x:c>
      <x:c r="K2261" s="8" t="n">
        <x:f>H2261-I2261*J2261</x:f>
        <x:v>9.922994652406418</x:v>
      </x:c>
      <x:c r="L2261" s="8" t="n">
        <x:f>'PG facts'!F71</x:f>
        <x:v>5</x:v>
      </x:c>
      <x:c r="M2261" s="8" t="n">
        <x:f>K2261-L2261</x:f>
        <x:v>4.922994652406418</x:v>
      </x:c>
      <x:c r="N2261" s="8" t="n">
        <x:f>M2261^2</x:f>
        <x:v>24.235876347622188</x:v>
      </x:c>
      <x:c r="O2261" s="8" t="n">
        <x:f>ABS(M2261)</x:f>
        <x:v>4.922994652406418</x:v>
      </x:c>
      <x:c r="P2261" s="7" t="n">
        <x:v>45135</x:v>
      </x:c>
    </x:row>
    <x:row r="2262" ht="26" customHeight="1">
      <x:c r="A2262" s="2"/>
      <x:c r="B2262" s="2" t="n">
        <x:v>2257</x:v>
      </x:c>
      <x:c r="C2262" s="2" t="str">
        <x:v>Health Care / organic_sales_growth</x:v>
      </x:c>
      <x:c r="D2262" s="7" t="n">
        <x:v>45199</x:v>
      </x:c>
      <x:c r="E2262" s="2" t="str">
        <x:v>Origin</x:v>
      </x:c>
      <x:c r="F2262" s="7" t="n">
        <x:v>45108</x:v>
      </x:c>
      <x:c r="G2262" s="2" t="str">
        <x:v>Last actual</x:v>
      </x:c>
      <x:c r="H2262" s="8" t="n">
        <x:f>AVERAGE('PG facts'!F64)</x:f>
        <x:v>9</x:v>
      </x:c>
      <x:c r="I2262" s="8" t="n">
        <x:f>0</x:f>
        <x:v>0</x:v>
      </x:c>
      <x:c r="J2262" s="8" t="n">
        <x:v>0</x:v>
      </x:c>
      <x:c r="K2262" s="8" t="n">
        <x:f>H2262-I2262*J2262</x:f>
        <x:v>9</x:v>
      </x:c>
      <x:c r="L2262" s="8" t="n">
        <x:f>'PG facts'!F78</x:f>
        <x:v>10</x:v>
      </x:c>
      <x:c r="M2262" s="8" t="n">
        <x:f>K2262-L2262</x:f>
        <x:v>-1</x:v>
      </x:c>
      <x:c r="N2262" s="8" t="n">
        <x:f>M2262^2</x:f>
        <x:v>1</x:v>
      </x:c>
      <x:c r="O2262" s="8" t="n">
        <x:f>ABS(M2262)</x:f>
        <x:v>1</x:v>
      </x:c>
      <x:c r="P2262" s="7" t="n">
        <x:v>45217</x:v>
      </x:c>
    </x:row>
    <x:row r="2263" ht="26" customHeight="1">
      <x:c r="A2263" s="2"/>
      <x:c r="B2263" s="2" t="n">
        <x:v>2258</x:v>
      </x:c>
      <x:c r="C2263" s="2" t="str">
        <x:v>Health Care / organic_sales_growth</x:v>
      </x:c>
      <x:c r="D2263" s="7" t="n">
        <x:v>45199</x:v>
      </x:c>
      <x:c r="E2263" s="2" t="str">
        <x:v>Origin</x:v>
      </x:c>
      <x:c r="F2263" s="7" t="n">
        <x:v>45108</x:v>
      </x:c>
      <x:c r="G2263" s="2" t="str">
        <x:v>Four-quarter mean</x:v>
      </x:c>
      <x:c r="H2263" s="8" t="n">
        <x:f>AVERAGE('PG facts'!F43,'PG facts'!F50,'PG facts'!F57,'PG facts'!F64)</x:f>
        <x:v>8.5</x:v>
      </x:c>
      <x:c r="I2263" s="8" t="n">
        <x:f>0</x:f>
        <x:v>0</x:v>
      </x:c>
      <x:c r="J2263" s="8" t="n">
        <x:v>0</x:v>
      </x:c>
      <x:c r="K2263" s="8" t="n">
        <x:f>H2263-I2263*J2263</x:f>
        <x:v>8.5</x:v>
      </x:c>
      <x:c r="L2263" s="8" t="n">
        <x:f>'PG facts'!F78</x:f>
        <x:v>10</x:v>
      </x:c>
      <x:c r="M2263" s="8" t="n">
        <x:f>K2263-L2263</x:f>
        <x:v>-1.5</x:v>
      </x:c>
      <x:c r="N2263" s="8" t="n">
        <x:f>M2263^2</x:f>
        <x:v>2.25</x:v>
      </x:c>
      <x:c r="O2263" s="8" t="n">
        <x:f>ABS(M2263)</x:f>
        <x:v>1.5</x:v>
      </x:c>
      <x:c r="P2263" s="7" t="n">
        <x:v>45217</x:v>
      </x:c>
    </x:row>
    <x:row r="2264" ht="26" customHeight="1">
      <x:c r="A2264" s="2"/>
      <x:c r="B2264" s="2" t="n">
        <x:v>2259</x:v>
      </x:c>
      <x:c r="C2264" s="2" t="str">
        <x:v>Health Care / organic_sales_growth</x:v>
      </x:c>
      <x:c r="D2264" s="7" t="n">
        <x:v>45199</x:v>
      </x:c>
      <x:c r="E2264" s="2" t="str">
        <x:v>Origin</x:v>
      </x:c>
      <x:c r="F2264" s="7" t="n">
        <x:v>45108</x:v>
      </x:c>
      <x:c r="G2264" s="2" t="str">
        <x:v>Broad market</x:v>
      </x:c>
      <x:c r="H2264" s="8" t="n">
        <x:f>'Model fits'!AA1464</x:f>
        <x:v>9.648740732907909</x:v>
      </x:c>
      <x:c r="I2264" s="8" t="n">
        <x:f>0</x:f>
        <x:v>0</x:v>
      </x:c>
      <x:c r="J2264" s="8" t="n">
        <x:v>0</x:v>
      </x:c>
      <x:c r="K2264" s="8" t="n">
        <x:f>H2264-I2264*J2264</x:f>
        <x:v>9.648740732907909</x:v>
      </x:c>
      <x:c r="L2264" s="8" t="n">
        <x:f>'PG facts'!F78</x:f>
        <x:v>10</x:v>
      </x:c>
      <x:c r="M2264" s="8" t="n">
        <x:f>K2264-L2264</x:f>
        <x:v>-0.3512592670920913</x:v>
      </x:c>
      <x:c r="N2264" s="8" t="n">
        <x:f>M2264^2</x:f>
        <x:v>0.12338307271807315</x:v>
      </x:c>
      <x:c r="O2264" s="8" t="n">
        <x:f>ABS(M2264)</x:f>
        <x:v>0.3512592670920913</x:v>
      </x:c>
      <x:c r="P2264" s="7" t="n">
        <x:v>45217</x:v>
      </x:c>
    </x:row>
    <x:row r="2265" ht="26" customHeight="1">
      <x:c r="A2265" s="2"/>
      <x:c r="B2265" s="2" t="n">
        <x:v>2260</x:v>
      </x:c>
      <x:c r="C2265" s="2" t="str">
        <x:v>Health Care / organic_sales_growth</x:v>
      </x:c>
      <x:c r="D2265" s="7" t="n">
        <x:v>45199</x:v>
      </x:c>
      <x:c r="E2265" s="2" t="str">
        <x:v>Origin</x:v>
      </x:c>
      <x:c r="F2265" s="7" t="n">
        <x:v>45108</x:v>
      </x:c>
      <x:c r="G2265" s="2" t="str">
        <x:v>Broad rolling 8</x:v>
      </x:c>
      <x:c r="H2265" s="8" t="n">
        <x:f>'Model fits'!AA1465</x:f>
        <x:v>10.172963861966727</x:v>
      </x:c>
      <x:c r="I2265" s="8" t="n">
        <x:f>0</x:f>
        <x:v>0</x:v>
      </x:c>
      <x:c r="J2265" s="8" t="n">
        <x:v>0</x:v>
      </x:c>
      <x:c r="K2265" s="8" t="n">
        <x:f>H2265-I2265*J2265</x:f>
        <x:v>10.172963861966727</x:v>
      </x:c>
      <x:c r="L2265" s="8" t="n">
        <x:f>'PG facts'!F78</x:f>
        <x:v>10</x:v>
      </x:c>
      <x:c r="M2265" s="8" t="n">
        <x:f>K2265-L2265</x:f>
        <x:v>0.17296386196672664</x:v>
      </x:c>
      <x:c r="N2265" s="8" t="n">
        <x:f>M2265^2</x:f>
        <x:v>0.029916497546444865</x:v>
      </x:c>
      <x:c r="O2265" s="8" t="n">
        <x:f>ABS(M2265)</x:f>
        <x:v>0.17296386196672664</x:v>
      </x:c>
      <x:c r="P2265" s="7" t="n">
        <x:v>45217</x:v>
      </x:c>
    </x:row>
    <x:row r="2266" ht="26" customHeight="1">
      <x:c r="A2266" s="2"/>
      <x:c r="B2266" s="2" t="n">
        <x:v>2261</x:v>
      </x:c>
      <x:c r="C2266" s="2" t="str">
        <x:v>Health Care / organic_sales_growth</x:v>
      </x:c>
      <x:c r="D2266" s="7" t="n">
        <x:v>45199</x:v>
      </x:c>
      <x:c r="E2266" s="2" t="str">
        <x:v>Prior report</x:v>
      </x:c>
      <x:c r="F2266" s="7" t="n">
        <x:v>45135</x:v>
      </x:c>
      <x:c r="G2266" s="2" t="str">
        <x:v>Last actual</x:v>
      </x:c>
      <x:c r="H2266" s="8" t="n">
        <x:f>AVERAGE('PG facts'!F71)</x:f>
        <x:v>5</x:v>
      </x:c>
      <x:c r="I2266" s="8" t="n">
        <x:f>0</x:f>
        <x:v>0</x:v>
      </x:c>
      <x:c r="J2266" s="8" t="n">
        <x:v>0</x:v>
      </x:c>
      <x:c r="K2266" s="8" t="n">
        <x:f>H2266-I2266*J2266</x:f>
        <x:v>5</x:v>
      </x:c>
      <x:c r="L2266" s="8" t="n">
        <x:f>'PG facts'!F78</x:f>
        <x:v>10</x:v>
      </x:c>
      <x:c r="M2266" s="8" t="n">
        <x:f>K2266-L2266</x:f>
        <x:v>-5</x:v>
      </x:c>
      <x:c r="N2266" s="8" t="n">
        <x:f>M2266^2</x:f>
        <x:v>25</x:v>
      </x:c>
      <x:c r="O2266" s="8" t="n">
        <x:f>ABS(M2266)</x:f>
        <x:v>5</x:v>
      </x:c>
      <x:c r="P2266" s="7" t="n">
        <x:v>45217</x:v>
      </x:c>
    </x:row>
    <x:row r="2267" ht="26" customHeight="1">
      <x:c r="A2267" s="2"/>
      <x:c r="B2267" s="2" t="n">
        <x:v>2262</x:v>
      </x:c>
      <x:c r="C2267" s="2" t="str">
        <x:v>Health Care / organic_sales_growth</x:v>
      </x:c>
      <x:c r="D2267" s="7" t="n">
        <x:v>45199</x:v>
      </x:c>
      <x:c r="E2267" s="2" t="str">
        <x:v>Prior report</x:v>
      </x:c>
      <x:c r="F2267" s="7" t="n">
        <x:v>45135</x:v>
      </x:c>
      <x:c r="G2267" s="2" t="str">
        <x:v>Four-quarter mean</x:v>
      </x:c>
      <x:c r="H2267" s="8" t="n">
        <x:f>AVERAGE('PG facts'!F50,'PG facts'!F57,'PG facts'!F64,'PG facts'!F71)</x:f>
        <x:v>7.5</x:v>
      </x:c>
      <x:c r="I2267" s="8" t="n">
        <x:f>0</x:f>
        <x:v>0</x:v>
      </x:c>
      <x:c r="J2267" s="8" t="n">
        <x:v>0</x:v>
      </x:c>
      <x:c r="K2267" s="8" t="n">
        <x:f>H2267-I2267*J2267</x:f>
        <x:v>7.5</x:v>
      </x:c>
      <x:c r="L2267" s="8" t="n">
        <x:f>'PG facts'!F78</x:f>
        <x:v>10</x:v>
      </x:c>
      <x:c r="M2267" s="8" t="n">
        <x:f>K2267-L2267</x:f>
        <x:v>-2.5</x:v>
      </x:c>
      <x:c r="N2267" s="8" t="n">
        <x:f>M2267^2</x:f>
        <x:v>6.25</x:v>
      </x:c>
      <x:c r="O2267" s="8" t="n">
        <x:f>ABS(M2267)</x:f>
        <x:v>2.5</x:v>
      </x:c>
      <x:c r="P2267" s="7" t="n">
        <x:v>45217</x:v>
      </x:c>
    </x:row>
    <x:row r="2268" ht="26" customHeight="1">
      <x:c r="A2268" s="2"/>
      <x:c r="B2268" s="2" t="n">
        <x:v>2263</x:v>
      </x:c>
      <x:c r="C2268" s="2" t="str">
        <x:v>Health Care / organic_sales_growth</x:v>
      </x:c>
      <x:c r="D2268" s="7" t="n">
        <x:v>45199</x:v>
      </x:c>
      <x:c r="E2268" s="2" t="str">
        <x:v>Prior report</x:v>
      </x:c>
      <x:c r="F2268" s="7" t="n">
        <x:v>45135</x:v>
      </x:c>
      <x:c r="G2268" s="2" t="str">
        <x:v>Broad market</x:v>
      </x:c>
      <x:c r="H2268" s="8" t="n">
        <x:f>'Model fits'!AA1466</x:f>
        <x:v>9.060066212908776</x:v>
      </x:c>
      <x:c r="I2268" s="8" t="n">
        <x:f>0</x:f>
        <x:v>0</x:v>
      </x:c>
      <x:c r="J2268" s="8" t="n">
        <x:v>0</x:v>
      </x:c>
      <x:c r="K2268" s="8" t="n">
        <x:f>H2268-I2268*J2268</x:f>
        <x:v>9.060066212908776</x:v>
      </x:c>
      <x:c r="L2268" s="8" t="n">
        <x:f>'PG facts'!F78</x:f>
        <x:v>10</x:v>
      </x:c>
      <x:c r="M2268" s="8" t="n">
        <x:f>K2268-L2268</x:f>
        <x:v>-0.9399337870912241</x:v>
      </x:c>
      <x:c r="N2268" s="8" t="n">
        <x:f>M2268^2</x:f>
        <x:v>0.8834755241156506</x:v>
      </x:c>
      <x:c r="O2268" s="8" t="n">
        <x:f>ABS(M2268)</x:f>
        <x:v>0.9399337870912241</x:v>
      </x:c>
      <x:c r="P2268" s="7" t="n">
        <x:v>45217</x:v>
      </x:c>
    </x:row>
    <x:row r="2269" ht="26" customHeight="1">
      <x:c r="A2269" s="2"/>
      <x:c r="B2269" s="2" t="n">
        <x:v>2264</x:v>
      </x:c>
      <x:c r="C2269" s="2" t="str">
        <x:v>Health Care / organic_sales_growth</x:v>
      </x:c>
      <x:c r="D2269" s="7" t="n">
        <x:v>45199</x:v>
      </x:c>
      <x:c r="E2269" s="2" t="str">
        <x:v>Prior report</x:v>
      </x:c>
      <x:c r="F2269" s="7" t="n">
        <x:v>45135</x:v>
      </x:c>
      <x:c r="G2269" s="2" t="str">
        <x:v>Broad lag 1</x:v>
      </x:c>
      <x:c r="H2269" s="8" t="n">
        <x:f>'Model fits'!AA1467</x:f>
        <x:v>9.181717983721974</x:v>
      </x:c>
      <x:c r="I2269" s="8" t="n">
        <x:f>0</x:f>
        <x:v>0</x:v>
      </x:c>
      <x:c r="J2269" s="8" t="n">
        <x:v>0</x:v>
      </x:c>
      <x:c r="K2269" s="8" t="n">
        <x:f>H2269-I2269*J2269</x:f>
        <x:v>9.181717983721974</x:v>
      </x:c>
      <x:c r="L2269" s="8" t="n">
        <x:f>'PG facts'!F78</x:f>
        <x:v>10</x:v>
      </x:c>
      <x:c r="M2269" s="8" t="n">
        <x:f>K2269-L2269</x:f>
        <x:v>-0.818282016278026</x:v>
      </x:c>
      <x:c r="N2269" s="8" t="n">
        <x:f>M2269^2</x:f>
        <x:v>0.6695854581640316</x:v>
      </x:c>
      <x:c r="O2269" s="8" t="n">
        <x:f>ABS(M2269)</x:f>
        <x:v>0.818282016278026</x:v>
      </x:c>
      <x:c r="P2269" s="7" t="n">
        <x:v>45217</x:v>
      </x:c>
    </x:row>
    <x:row r="2270" ht="26" customHeight="1">
      <x:c r="A2270" s="2"/>
      <x:c r="B2270" s="2" t="n">
        <x:v>2265</x:v>
      </x:c>
      <x:c r="C2270" s="2" t="str">
        <x:v>Health Care / organic_sales_growth</x:v>
      </x:c>
      <x:c r="D2270" s="7" t="n">
        <x:v>45199</x:v>
      </x:c>
      <x:c r="E2270" s="2" t="str">
        <x:v>Prior report</x:v>
      </x:c>
      <x:c r="F2270" s="7" t="n">
        <x:v>45135</x:v>
      </x:c>
      <x:c r="G2270" s="2" t="str">
        <x:v>Broad rolling 8</x:v>
      </x:c>
      <x:c r="H2270" s="8" t="n">
        <x:f>'Model fits'!AA1468</x:f>
        <x:v>8.197585781394412</x:v>
      </x:c>
      <x:c r="I2270" s="8" t="n">
        <x:f>0</x:f>
        <x:v>0</x:v>
      </x:c>
      <x:c r="J2270" s="8" t="n">
        <x:v>0</x:v>
      </x:c>
      <x:c r="K2270" s="8" t="n">
        <x:f>H2270-I2270*J2270</x:f>
        <x:v>8.197585781394412</x:v>
      </x:c>
      <x:c r="L2270" s="8" t="n">
        <x:f>'PG facts'!F78</x:f>
        <x:v>10</x:v>
      </x:c>
      <x:c r="M2270" s="8" t="n">
        <x:f>K2270-L2270</x:f>
        <x:v>-1.8024142186055876</x:v>
      </x:c>
      <x:c r="N2270" s="8" t="n">
        <x:f>M2270^2</x:f>
        <x:v>3.248697015431591</x:v>
      </x:c>
      <x:c r="O2270" s="8" t="n">
        <x:f>ABS(M2270)</x:f>
        <x:v>1.8024142186055876</x:v>
      </x:c>
      <x:c r="P2270" s="7" t="n">
        <x:v>45217</x:v>
      </x:c>
    </x:row>
    <x:row r="2271" ht="26" customHeight="1">
      <x:c r="A2271" s="2"/>
      <x:c r="B2271" s="2" t="n">
        <x:v>2266</x:v>
      </x:c>
      <x:c r="C2271" s="2" t="str">
        <x:v>Health Care / organic_sales_growth</x:v>
      </x:c>
      <x:c r="D2271" s="7" t="n">
        <x:v>45199</x:v>
      </x:c>
      <x:c r="E2271" s="2" t="str">
        <x:v>Prior report</x:v>
      </x:c>
      <x:c r="F2271" s="7" t="n">
        <x:v>45135</x:v>
      </x:c>
      <x:c r="G2271" s="2" t="str">
        <x:v>Own history</x:v>
      </x:c>
      <x:c r="H2271" s="8" t="n">
        <x:f>'Model fits'!AA1469</x:f>
        <x:v>10.8925855513308</x:v>
      </x:c>
      <x:c r="I2271" s="8" t="n">
        <x:f>0</x:f>
        <x:v>0</x:v>
      </x:c>
      <x:c r="J2271" s="8" t="n">
        <x:v>0</x:v>
      </x:c>
      <x:c r="K2271" s="8" t="n">
        <x:f>H2271-I2271*J2271</x:f>
        <x:v>10.8925855513308</x:v>
      </x:c>
      <x:c r="L2271" s="8" t="n">
        <x:f>'PG facts'!F78</x:f>
        <x:v>10</x:v>
      </x:c>
      <x:c r="M2271" s="8" t="n">
        <x:f>K2271-L2271</x:f>
        <x:v>0.8925855513308001</x:v>
      </x:c>
      <x:c r="N2271" s="8" t="n">
        <x:f>M2271^2</x:f>
        <x:v>0.7967089664445084</x:v>
      </x:c>
      <x:c r="O2271" s="8" t="n">
        <x:f>ABS(M2271)</x:f>
        <x:v>0.8925855513308001</x:v>
      </x:c>
      <x:c r="P2271" s="7" t="n">
        <x:v>45217</x:v>
      </x:c>
    </x:row>
    <x:row r="2272" ht="26" customHeight="1">
      <x:c r="A2272" s="2"/>
      <x:c r="B2272" s="2" t="n">
        <x:v>2267</x:v>
      </x:c>
      <x:c r="C2272" s="2" t="str">
        <x:v>Health Care / organic_sales_growth</x:v>
      </x:c>
      <x:c r="D2272" s="7" t="n">
        <x:v>45199</x:v>
      </x:c>
      <x:c r="E2272" s="2" t="str">
        <x:v>Pre-earnings</x:v>
      </x:c>
      <x:c r="F2272" s="7" t="n">
        <x:v>45216</x:v>
      </x:c>
      <x:c r="G2272" s="2" t="str">
        <x:v>Last actual</x:v>
      </x:c>
      <x:c r="H2272" s="8" t="n">
        <x:f>AVERAGE('PG facts'!F71)</x:f>
        <x:v>5</x:v>
      </x:c>
      <x:c r="I2272" s="8" t="n">
        <x:f>0</x:f>
        <x:v>0</x:v>
      </x:c>
      <x:c r="J2272" s="8" t="n">
        <x:v>0</x:v>
      </x:c>
      <x:c r="K2272" s="8" t="n">
        <x:f>H2272-I2272*J2272</x:f>
        <x:v>5</x:v>
      </x:c>
      <x:c r="L2272" s="8" t="n">
        <x:f>'PG facts'!F78</x:f>
        <x:v>10</x:v>
      </x:c>
      <x:c r="M2272" s="8" t="n">
        <x:f>K2272-L2272</x:f>
        <x:v>-5</x:v>
      </x:c>
      <x:c r="N2272" s="8" t="n">
        <x:f>M2272^2</x:f>
        <x:v>25</x:v>
      </x:c>
      <x:c r="O2272" s="8" t="n">
        <x:f>ABS(M2272)</x:f>
        <x:v>5</x:v>
      </x:c>
      <x:c r="P2272" s="7" t="n">
        <x:v>45217</x:v>
      </x:c>
    </x:row>
    <x:row r="2273" ht="26" customHeight="1">
      <x:c r="A2273" s="2"/>
      <x:c r="B2273" s="2" t="n">
        <x:v>2268</x:v>
      </x:c>
      <x:c r="C2273" s="2" t="str">
        <x:v>Health Care / organic_sales_growth</x:v>
      </x:c>
      <x:c r="D2273" s="7" t="n">
        <x:v>45199</x:v>
      </x:c>
      <x:c r="E2273" s="2" t="str">
        <x:v>Pre-earnings</x:v>
      </x:c>
      <x:c r="F2273" s="7" t="n">
        <x:v>45216</x:v>
      </x:c>
      <x:c r="G2273" s="2" t="str">
        <x:v>Four-quarter mean</x:v>
      </x:c>
      <x:c r="H2273" s="8" t="n">
        <x:f>AVERAGE('PG facts'!F50,'PG facts'!F57,'PG facts'!F64,'PG facts'!F71)</x:f>
        <x:v>7.5</x:v>
      </x:c>
      <x:c r="I2273" s="8" t="n">
        <x:f>0</x:f>
        <x:v>0</x:v>
      </x:c>
      <x:c r="J2273" s="8" t="n">
        <x:v>0</x:v>
      </x:c>
      <x:c r="K2273" s="8" t="n">
        <x:f>H2273-I2273*J2273</x:f>
        <x:v>7.5</x:v>
      </x:c>
      <x:c r="L2273" s="8" t="n">
        <x:f>'PG facts'!F78</x:f>
        <x:v>10</x:v>
      </x:c>
      <x:c r="M2273" s="8" t="n">
        <x:f>K2273-L2273</x:f>
        <x:v>-2.5</x:v>
      </x:c>
      <x:c r="N2273" s="8" t="n">
        <x:f>M2273^2</x:f>
        <x:v>6.25</x:v>
      </x:c>
      <x:c r="O2273" s="8" t="n">
        <x:f>ABS(M2273)</x:f>
        <x:v>2.5</x:v>
      </x:c>
      <x:c r="P2273" s="7" t="n">
        <x:v>45217</x:v>
      </x:c>
    </x:row>
    <x:row r="2274" ht="26" customHeight="1">
      <x:c r="A2274" s="2"/>
      <x:c r="B2274" s="2" t="n">
        <x:v>2269</x:v>
      </x:c>
      <x:c r="C2274" s="2" t="str">
        <x:v>Health Care / organic_sales_growth</x:v>
      </x:c>
      <x:c r="D2274" s="7" t="n">
        <x:v>45199</x:v>
      </x:c>
      <x:c r="E2274" s="2" t="str">
        <x:v>Pre-earnings</x:v>
      </x:c>
      <x:c r="F2274" s="7" t="n">
        <x:v>45216</x:v>
      </x:c>
      <x:c r="G2274" s="2" t="str">
        <x:v>Broad market</x:v>
      </x:c>
      <x:c r="H2274" s="8" t="n">
        <x:f>'Model fits'!AA1470</x:f>
        <x:v>9.202463815850948</x:v>
      </x:c>
      <x:c r="I2274" s="8" t="n">
        <x:f>0</x:f>
        <x:v>0</x:v>
      </x:c>
      <x:c r="J2274" s="8" t="n">
        <x:v>0</x:v>
      </x:c>
      <x:c r="K2274" s="8" t="n">
        <x:f>H2274-I2274*J2274</x:f>
        <x:v>9.202463815850948</x:v>
      </x:c>
      <x:c r="L2274" s="8" t="n">
        <x:f>'PG facts'!F78</x:f>
        <x:v>10</x:v>
      </x:c>
      <x:c r="M2274" s="8" t="n">
        <x:f>K2274-L2274</x:f>
        <x:v>-0.7975361841490525</x:v>
      </x:c>
      <x:c r="N2274" s="8" t="n">
        <x:f>M2274^2</x:f>
        <x:v>0.6360639650270313</x:v>
      </x:c>
      <x:c r="O2274" s="8" t="n">
        <x:f>ABS(M2274)</x:f>
        <x:v>0.7975361841490525</x:v>
      </x:c>
      <x:c r="P2274" s="7" t="n">
        <x:v>45217</x:v>
      </x:c>
    </x:row>
    <x:row r="2275" ht="26" customHeight="1">
      <x:c r="A2275" s="2"/>
      <x:c r="B2275" s="2" t="n">
        <x:v>2270</x:v>
      </x:c>
      <x:c r="C2275" s="2" t="str">
        <x:v>Health Care / organic_sales_growth</x:v>
      </x:c>
      <x:c r="D2275" s="7" t="n">
        <x:v>45199</x:v>
      </x:c>
      <x:c r="E2275" s="2" t="str">
        <x:v>Pre-earnings</x:v>
      </x:c>
      <x:c r="F2275" s="7" t="n">
        <x:v>45216</x:v>
      </x:c>
      <x:c r="G2275" s="2" t="str">
        <x:v>Broad lag 1</x:v>
      </x:c>
      <x:c r="H2275" s="8" t="n">
        <x:f>'Model fits'!AA1471</x:f>
        <x:v>9.071540520698523</x:v>
      </x:c>
      <x:c r="I2275" s="8" t="n">
        <x:f>0</x:f>
        <x:v>0</x:v>
      </x:c>
      <x:c r="J2275" s="8" t="n">
        <x:v>0</x:v>
      </x:c>
      <x:c r="K2275" s="8" t="n">
        <x:f>H2275-I2275*J2275</x:f>
        <x:v>9.071540520698523</x:v>
      </x:c>
      <x:c r="L2275" s="8" t="n">
        <x:f>'PG facts'!F78</x:f>
        <x:v>10</x:v>
      </x:c>
      <x:c r="M2275" s="8" t="n">
        <x:f>K2275-L2275</x:f>
        <x:v>-0.9284594793014769</x:v>
      </x:c>
      <x:c r="N2275" s="8" t="n">
        <x:f>M2275^2</x:f>
        <x:v>0.8620370047047695</x:v>
      </x:c>
      <x:c r="O2275" s="8" t="n">
        <x:f>ABS(M2275)</x:f>
        <x:v>0.9284594793014769</x:v>
      </x:c>
      <x:c r="P2275" s="7" t="n">
        <x:v>45217</x:v>
      </x:c>
    </x:row>
    <x:row r="2276" ht="26" customHeight="1">
      <x:c r="A2276" s="2"/>
      <x:c r="B2276" s="2" t="n">
        <x:v>2271</x:v>
      </x:c>
      <x:c r="C2276" s="2" t="str">
        <x:v>Health Care / organic_sales_growth</x:v>
      </x:c>
      <x:c r="D2276" s="7" t="n">
        <x:v>45199</x:v>
      </x:c>
      <x:c r="E2276" s="2" t="str">
        <x:v>Pre-earnings</x:v>
      </x:c>
      <x:c r="F2276" s="7" t="n">
        <x:v>45216</x:v>
      </x:c>
      <x:c r="G2276" s="2" t="str">
        <x:v>Broad rolling 8</x:v>
      </x:c>
      <x:c r="H2276" s="8" t="n">
        <x:f>'Model fits'!AA1472</x:f>
        <x:v>7.970908857175895</x:v>
      </x:c>
      <x:c r="I2276" s="8" t="n">
        <x:f>0</x:f>
        <x:v>0</x:v>
      </x:c>
      <x:c r="J2276" s="8" t="n">
        <x:v>0</x:v>
      </x:c>
      <x:c r="K2276" s="8" t="n">
        <x:f>H2276-I2276*J2276</x:f>
        <x:v>7.970908857175895</x:v>
      </x:c>
      <x:c r="L2276" s="8" t="n">
        <x:f>'PG facts'!F78</x:f>
        <x:v>10</x:v>
      </x:c>
      <x:c r="M2276" s="8" t="n">
        <x:f>K2276-L2276</x:f>
        <x:v>-2.0290911428241047</x:v>
      </x:c>
      <x:c r="N2276" s="8" t="n">
        <x:f>M2276^2</x:f>
        <x:v>4.117210865887231</x:v>
      </x:c>
      <x:c r="O2276" s="8" t="n">
        <x:f>ABS(M2276)</x:f>
        <x:v>2.0290911428241047</x:v>
      </x:c>
      <x:c r="P2276" s="7" t="n">
        <x:v>45217</x:v>
      </x:c>
    </x:row>
    <x:row r="2277" ht="26" customHeight="1">
      <x:c r="A2277" s="2"/>
      <x:c r="B2277" s="2" t="n">
        <x:v>2272</x:v>
      </x:c>
      <x:c r="C2277" s="2" t="str">
        <x:v>Health Care / organic_sales_growth</x:v>
      </x:c>
      <x:c r="D2277" s="7" t="n">
        <x:v>45199</x:v>
      </x:c>
      <x:c r="E2277" s="2" t="str">
        <x:v>Pre-earnings</x:v>
      </x:c>
      <x:c r="F2277" s="7" t="n">
        <x:v>45216</x:v>
      </x:c>
      <x:c r="G2277" s="2" t="str">
        <x:v>Own history</x:v>
      </x:c>
      <x:c r="H2277" s="8" t="n">
        <x:f>'Model fits'!AA1473</x:f>
        <x:v>10.8925855513308</x:v>
      </x:c>
      <x:c r="I2277" s="8" t="n">
        <x:f>0</x:f>
        <x:v>0</x:v>
      </x:c>
      <x:c r="J2277" s="8" t="n">
        <x:v>0</x:v>
      </x:c>
      <x:c r="K2277" s="8" t="n">
        <x:f>H2277-I2277*J2277</x:f>
        <x:v>10.8925855513308</x:v>
      </x:c>
      <x:c r="L2277" s="8" t="n">
        <x:f>'PG facts'!F78</x:f>
        <x:v>10</x:v>
      </x:c>
      <x:c r="M2277" s="8" t="n">
        <x:f>K2277-L2277</x:f>
        <x:v>0.8925855513308001</x:v>
      </x:c>
      <x:c r="N2277" s="8" t="n">
        <x:f>M2277^2</x:f>
        <x:v>0.7967089664445084</x:v>
      </x:c>
      <x:c r="O2277" s="8" t="n">
        <x:f>ABS(M2277)</x:f>
        <x:v>0.8925855513308001</x:v>
      </x:c>
      <x:c r="P2277" s="7" t="n">
        <x:v>45217</x:v>
      </x:c>
    </x:row>
    <x:row r="2278" ht="26" customHeight="1">
      <x:c r="A2278" s="2"/>
      <x:c r="B2278" s="2" t="n">
        <x:v>2273</x:v>
      </x:c>
      <x:c r="C2278" s="2" t="str">
        <x:v>Health Care / organic_sales_growth</x:v>
      </x:c>
      <x:c r="D2278" s="7" t="n">
        <x:v>45291</x:v>
      </x:c>
      <x:c r="E2278" s="2" t="str">
        <x:v>Origin</x:v>
      </x:c>
      <x:c r="F2278" s="7" t="n">
        <x:v>45200</x:v>
      </x:c>
      <x:c r="G2278" s="2" t="str">
        <x:v>Last actual</x:v>
      </x:c>
      <x:c r="H2278" s="8" t="n">
        <x:f>AVERAGE('PG facts'!F71)</x:f>
        <x:v>5</x:v>
      </x:c>
      <x:c r="I2278" s="8" t="n">
        <x:f>0</x:f>
        <x:v>0</x:v>
      </x:c>
      <x:c r="J2278" s="8" t="n">
        <x:v>0</x:v>
      </x:c>
      <x:c r="K2278" s="8" t="n">
        <x:f>H2278-I2278*J2278</x:f>
        <x:v>5</x:v>
      </x:c>
      <x:c r="L2278" s="8" t="n">
        <x:f>'PG facts'!F85</x:f>
        <x:v>2</x:v>
      </x:c>
      <x:c r="M2278" s="8" t="n">
        <x:f>K2278-L2278</x:f>
        <x:v>3</x:v>
      </x:c>
      <x:c r="N2278" s="8" t="n">
        <x:f>M2278^2</x:f>
        <x:v>9</x:v>
      </x:c>
      <x:c r="O2278" s="8" t="n">
        <x:f>ABS(M2278)</x:f>
        <x:v>3</x:v>
      </x:c>
      <x:c r="P2278" s="7" t="n">
        <x:v>45314</x:v>
      </x:c>
    </x:row>
    <x:row r="2279" ht="26" customHeight="1">
      <x:c r="A2279" s="2"/>
      <x:c r="B2279" s="2" t="n">
        <x:v>2274</x:v>
      </x:c>
      <x:c r="C2279" s="2" t="str">
        <x:v>Health Care / organic_sales_growth</x:v>
      </x:c>
      <x:c r="D2279" s="7" t="n">
        <x:v>45291</x:v>
      </x:c>
      <x:c r="E2279" s="2" t="str">
        <x:v>Origin</x:v>
      </x:c>
      <x:c r="F2279" s="7" t="n">
        <x:v>45200</x:v>
      </x:c>
      <x:c r="G2279" s="2" t="str">
        <x:v>Four-quarter mean</x:v>
      </x:c>
      <x:c r="H2279" s="8" t="n">
        <x:f>AVERAGE('PG facts'!F50,'PG facts'!F57,'PG facts'!F64,'PG facts'!F71)</x:f>
        <x:v>7.5</x:v>
      </x:c>
      <x:c r="I2279" s="8" t="n">
        <x:f>0</x:f>
        <x:v>0</x:v>
      </x:c>
      <x:c r="J2279" s="8" t="n">
        <x:v>0</x:v>
      </x:c>
      <x:c r="K2279" s="8" t="n">
        <x:f>H2279-I2279*J2279</x:f>
        <x:v>7.5</x:v>
      </x:c>
      <x:c r="L2279" s="8" t="n">
        <x:f>'PG facts'!F85</x:f>
        <x:v>2</x:v>
      </x:c>
      <x:c r="M2279" s="8" t="n">
        <x:f>K2279-L2279</x:f>
        <x:v>5.5</x:v>
      </x:c>
      <x:c r="N2279" s="8" t="n">
        <x:f>M2279^2</x:f>
        <x:v>30.25</x:v>
      </x:c>
      <x:c r="O2279" s="8" t="n">
        <x:f>ABS(M2279)</x:f>
        <x:v>5.5</x:v>
      </x:c>
      <x:c r="P2279" s="7" t="n">
        <x:v>45314</x:v>
      </x:c>
    </x:row>
    <x:row r="2280" ht="26" customHeight="1">
      <x:c r="A2280" s="2"/>
      <x:c r="B2280" s="2" t="n">
        <x:v>2275</x:v>
      </x:c>
      <x:c r="C2280" s="2" t="str">
        <x:v>Health Care / organic_sales_growth</x:v>
      </x:c>
      <x:c r="D2280" s="7" t="n">
        <x:v>45291</x:v>
      </x:c>
      <x:c r="E2280" s="2" t="str">
        <x:v>Origin</x:v>
      </x:c>
      <x:c r="F2280" s="7" t="n">
        <x:v>45200</x:v>
      </x:c>
      <x:c r="G2280" s="2" t="str">
        <x:v>Broad market</x:v>
      </x:c>
      <x:c r="H2280" s="8" t="n">
        <x:f>'Model fits'!AA1474</x:f>
        <x:v>9.074466218197708</x:v>
      </x:c>
      <x:c r="I2280" s="8" t="n">
        <x:f>0</x:f>
        <x:v>0</x:v>
      </x:c>
      <x:c r="J2280" s="8" t="n">
        <x:v>0</x:v>
      </x:c>
      <x:c r="K2280" s="8" t="n">
        <x:f>H2280-I2280*J2280</x:f>
        <x:v>9.074466218197708</x:v>
      </x:c>
      <x:c r="L2280" s="8" t="n">
        <x:f>'PG facts'!F85</x:f>
        <x:v>2</x:v>
      </x:c>
      <x:c r="M2280" s="8" t="n">
        <x:f>K2280-L2280</x:f>
        <x:v>7.074466218197708</x:v>
      </x:c>
      <x:c r="N2280" s="8" t="n">
        <x:f>M2280^2</x:f>
        <x:v>50.04807227242058</x:v>
      </x:c>
      <x:c r="O2280" s="8" t="n">
        <x:f>ABS(M2280)</x:f>
        <x:v>7.074466218197708</x:v>
      </x:c>
      <x:c r="P2280" s="7" t="n">
        <x:v>45314</x:v>
      </x:c>
    </x:row>
    <x:row r="2281" ht="26" customHeight="1">
      <x:c r="A2281" s="2"/>
      <x:c r="B2281" s="2" t="n">
        <x:v>2276</x:v>
      </x:c>
      <x:c r="C2281" s="2" t="str">
        <x:v>Health Care / organic_sales_growth</x:v>
      </x:c>
      <x:c r="D2281" s="7" t="n">
        <x:v>45291</x:v>
      </x:c>
      <x:c r="E2281" s="2" t="str">
        <x:v>Origin</x:v>
      </x:c>
      <x:c r="F2281" s="7" t="n">
        <x:v>45200</x:v>
      </x:c>
      <x:c r="G2281" s="2" t="str">
        <x:v>Broad rolling 8</x:v>
      </x:c>
      <x:c r="H2281" s="8" t="n">
        <x:f>'Model fits'!AA1475</x:f>
        <x:v>8.08161208594451</x:v>
      </x:c>
      <x:c r="I2281" s="8" t="n">
        <x:f>0</x:f>
        <x:v>0</x:v>
      </x:c>
      <x:c r="J2281" s="8" t="n">
        <x:v>0</x:v>
      </x:c>
      <x:c r="K2281" s="8" t="n">
        <x:f>H2281-I2281*J2281</x:f>
        <x:v>8.08161208594451</x:v>
      </x:c>
      <x:c r="L2281" s="8" t="n">
        <x:f>'PG facts'!F85</x:f>
        <x:v>2</x:v>
      </x:c>
      <x:c r="M2281" s="8" t="n">
        <x:f>K2281-L2281</x:f>
        <x:v>6.08161208594451</x:v>
      </x:c>
      <x:c r="N2281" s="8" t="n">
        <x:f>M2281^2</x:f>
        <x:v>36.98600556390633</x:v>
      </x:c>
      <x:c r="O2281" s="8" t="n">
        <x:f>ABS(M2281)</x:f>
        <x:v>6.08161208594451</x:v>
      </x:c>
      <x:c r="P2281" s="7" t="n">
        <x:v>45314</x:v>
      </x:c>
    </x:row>
    <x:row r="2282" ht="26" customHeight="1">
      <x:c r="A2282" s="2"/>
      <x:c r="B2282" s="2" t="n">
        <x:v>2277</x:v>
      </x:c>
      <x:c r="C2282" s="2" t="str">
        <x:v>Health Care / organic_sales_growth</x:v>
      </x:c>
      <x:c r="D2282" s="7" t="n">
        <x:v>45291</x:v>
      </x:c>
      <x:c r="E2282" s="2" t="str">
        <x:v>Origin</x:v>
      </x:c>
      <x:c r="F2282" s="7" t="n">
        <x:v>45200</x:v>
      </x:c>
      <x:c r="G2282" s="2" t="str">
        <x:v>Own history</x:v>
      </x:c>
      <x:c r="H2282" s="8" t="n">
        <x:f>'Model fits'!AA1476</x:f>
        <x:v>9.094117647058823</x:v>
      </x:c>
      <x:c r="I2282" s="8" t="n">
        <x:f>0</x:f>
        <x:v>0</x:v>
      </x:c>
      <x:c r="J2282" s="8" t="n">
        <x:v>0</x:v>
      </x:c>
      <x:c r="K2282" s="8" t="n">
        <x:f>H2282-I2282*J2282</x:f>
        <x:v>9.094117647058823</x:v>
      </x:c>
      <x:c r="L2282" s="8" t="n">
        <x:f>'PG facts'!F85</x:f>
        <x:v>2</x:v>
      </x:c>
      <x:c r="M2282" s="8" t="n">
        <x:f>K2282-L2282</x:f>
        <x:v>7.094117647058823</x:v>
      </x:c>
      <x:c r="N2282" s="8" t="n">
        <x:f>M2282^2</x:f>
        <x:v>50.326505190311416</x:v>
      </x:c>
      <x:c r="O2282" s="8" t="n">
        <x:f>ABS(M2282)</x:f>
        <x:v>7.094117647058823</x:v>
      </x:c>
      <x:c r="P2282" s="7" t="n">
        <x:v>45314</x:v>
      </x:c>
    </x:row>
    <x:row r="2283" ht="26" customHeight="1">
      <x:c r="A2283" s="2"/>
      <x:c r="B2283" s="2" t="n">
        <x:v>2278</x:v>
      </x:c>
      <x:c r="C2283" s="2" t="str">
        <x:v>Health Care / organic_sales_growth</x:v>
      </x:c>
      <x:c r="D2283" s="7" t="n">
        <x:v>45291</x:v>
      </x:c>
      <x:c r="E2283" s="2" t="str">
        <x:v>Prior report</x:v>
      </x:c>
      <x:c r="F2283" s="7" t="n">
        <x:v>45217</x:v>
      </x:c>
      <x:c r="G2283" s="2" t="str">
        <x:v>Last actual</x:v>
      </x:c>
      <x:c r="H2283" s="8" t="n">
        <x:f>AVERAGE('PG facts'!F78)</x:f>
        <x:v>10</x:v>
      </x:c>
      <x:c r="I2283" s="8" t="n">
        <x:f>0</x:f>
        <x:v>0</x:v>
      </x:c>
      <x:c r="J2283" s="8" t="n">
        <x:v>0</x:v>
      </x:c>
      <x:c r="K2283" s="8" t="n">
        <x:f>H2283-I2283*J2283</x:f>
        <x:v>10</x:v>
      </x:c>
      <x:c r="L2283" s="8" t="n">
        <x:f>'PG facts'!F85</x:f>
        <x:v>2</x:v>
      </x:c>
      <x:c r="M2283" s="8" t="n">
        <x:f>K2283-L2283</x:f>
        <x:v>8</x:v>
      </x:c>
      <x:c r="N2283" s="8" t="n">
        <x:f>M2283^2</x:f>
        <x:v>64</x:v>
      </x:c>
      <x:c r="O2283" s="8" t="n">
        <x:f>ABS(M2283)</x:f>
        <x:v>8</x:v>
      </x:c>
      <x:c r="P2283" s="7" t="n">
        <x:v>45314</x:v>
      </x:c>
    </x:row>
    <x:row r="2284" ht="26" customHeight="1">
      <x:c r="A2284" s="2"/>
      <x:c r="B2284" s="2" t="n">
        <x:v>2279</x:v>
      </x:c>
      <x:c r="C2284" s="2" t="str">
        <x:v>Health Care / organic_sales_growth</x:v>
      </x:c>
      <x:c r="D2284" s="7" t="n">
        <x:v>45291</x:v>
      </x:c>
      <x:c r="E2284" s="2" t="str">
        <x:v>Prior report</x:v>
      </x:c>
      <x:c r="F2284" s="7" t="n">
        <x:v>45217</x:v>
      </x:c>
      <x:c r="G2284" s="2" t="str">
        <x:v>Four-quarter mean</x:v>
      </x:c>
      <x:c r="H2284" s="8" t="n">
        <x:f>AVERAGE('PG facts'!F57,'PG facts'!F64,'PG facts'!F71,'PG facts'!F78)</x:f>
        <x:v>8</x:v>
      </x:c>
      <x:c r="I2284" s="8" t="n">
        <x:f>0</x:f>
        <x:v>0</x:v>
      </x:c>
      <x:c r="J2284" s="8" t="n">
        <x:v>0</x:v>
      </x:c>
      <x:c r="K2284" s="8" t="n">
        <x:f>H2284-I2284*J2284</x:f>
        <x:v>8</x:v>
      </x:c>
      <x:c r="L2284" s="8" t="n">
        <x:f>'PG facts'!F85</x:f>
        <x:v>2</x:v>
      </x:c>
      <x:c r="M2284" s="8" t="n">
        <x:f>K2284-L2284</x:f>
        <x:v>6</x:v>
      </x:c>
      <x:c r="N2284" s="8" t="n">
        <x:f>M2284^2</x:f>
        <x:v>36</x:v>
      </x:c>
      <x:c r="O2284" s="8" t="n">
        <x:f>ABS(M2284)</x:f>
        <x:v>6</x:v>
      </x:c>
      <x:c r="P2284" s="7" t="n">
        <x:v>45314</x:v>
      </x:c>
    </x:row>
    <x:row r="2285" ht="26" customHeight="1">
      <x:c r="A2285" s="2"/>
      <x:c r="B2285" s="2" t="n">
        <x:v>2280</x:v>
      </x:c>
      <x:c r="C2285" s="2" t="str">
        <x:v>Health Care / organic_sales_growth</x:v>
      </x:c>
      <x:c r="D2285" s="7" t="n">
        <x:v>45291</x:v>
      </x:c>
      <x:c r="E2285" s="2" t="str">
        <x:v>Prior report</x:v>
      </x:c>
      <x:c r="F2285" s="7" t="n">
        <x:v>45217</x:v>
      </x:c>
      <x:c r="G2285" s="2" t="str">
        <x:v>Broad market</x:v>
      </x:c>
      <x:c r="H2285" s="8" t="n">
        <x:f>'Model fits'!AA1477</x:f>
        <x:v>9.282204969975112</x:v>
      </x:c>
      <x:c r="I2285" s="8" t="n">
        <x:f>0</x:f>
        <x:v>0</x:v>
      </x:c>
      <x:c r="J2285" s="8" t="n">
        <x:v>0</x:v>
      </x:c>
      <x:c r="K2285" s="8" t="n">
        <x:f>H2285-I2285*J2285</x:f>
        <x:v>9.282204969975112</x:v>
      </x:c>
      <x:c r="L2285" s="8" t="n">
        <x:f>'PG facts'!F85</x:f>
        <x:v>2</x:v>
      </x:c>
      <x:c r="M2285" s="8" t="n">
        <x:f>K2285-L2285</x:f>
        <x:v>7.282204969975112</x:v>
      </x:c>
      <x:c r="N2285" s="8" t="n">
        <x:f>M2285^2</x:f>
        <x:v>53.03050922473022</x:v>
      </x:c>
      <x:c r="O2285" s="8" t="n">
        <x:f>ABS(M2285)</x:f>
        <x:v>7.282204969975112</x:v>
      </x:c>
      <x:c r="P2285" s="7" t="n">
        <x:v>45314</x:v>
      </x:c>
    </x:row>
    <x:row r="2286" ht="26" customHeight="1">
      <x:c r="A2286" s="2"/>
      <x:c r="B2286" s="2" t="n">
        <x:v>2281</x:v>
      </x:c>
      <x:c r="C2286" s="2" t="str">
        <x:v>Health Care / organic_sales_growth</x:v>
      </x:c>
      <x:c r="D2286" s="7" t="n">
        <x:v>45291</x:v>
      </x:c>
      <x:c r="E2286" s="2" t="str">
        <x:v>Prior report</x:v>
      </x:c>
      <x:c r="F2286" s="7" t="n">
        <x:v>45217</x:v>
      </x:c>
      <x:c r="G2286" s="2" t="str">
        <x:v>Broad lag 1</x:v>
      </x:c>
      <x:c r="H2286" s="8" t="n">
        <x:f>'Model fits'!AA1478</x:f>
        <x:v>9.21129263535355</x:v>
      </x:c>
      <x:c r="I2286" s="8" t="n">
        <x:f>0</x:f>
        <x:v>0</x:v>
      </x:c>
      <x:c r="J2286" s="8" t="n">
        <x:v>0</x:v>
      </x:c>
      <x:c r="K2286" s="8" t="n">
        <x:f>H2286-I2286*J2286</x:f>
        <x:v>9.21129263535355</x:v>
      </x:c>
      <x:c r="L2286" s="8" t="n">
        <x:f>'PG facts'!F85</x:f>
        <x:v>2</x:v>
      </x:c>
      <x:c r="M2286" s="8" t="n">
        <x:f>K2286-L2286</x:f>
        <x:v>7.21129263535355</x:v>
      </x:c>
      <x:c r="N2286" s="8" t="n">
        <x:f>M2286^2</x:f>
        <x:v>52.00274147270434</x:v>
      </x:c>
      <x:c r="O2286" s="8" t="n">
        <x:f>ABS(M2286)</x:f>
        <x:v>7.21129263535355</x:v>
      </x:c>
      <x:c r="P2286" s="7" t="n">
        <x:v>45314</x:v>
      </x:c>
    </x:row>
    <x:row r="2287" ht="26" customHeight="1">
      <x:c r="A2287" s="2"/>
      <x:c r="B2287" s="2" t="n">
        <x:v>2282</x:v>
      </x:c>
      <x:c r="C2287" s="2" t="str">
        <x:v>Health Care / organic_sales_growth</x:v>
      </x:c>
      <x:c r="D2287" s="7" t="n">
        <x:v>45291</x:v>
      </x:c>
      <x:c r="E2287" s="2" t="str">
        <x:v>Prior report</x:v>
      </x:c>
      <x:c r="F2287" s="7" t="n">
        <x:v>45217</x:v>
      </x:c>
      <x:c r="G2287" s="2" t="str">
        <x:v>Broad rolling 8</x:v>
      </x:c>
      <x:c r="H2287" s="8" t="n">
        <x:f>'Model fits'!AA1479</x:f>
        <x:v>8.739562387056193</x:v>
      </x:c>
      <x:c r="I2287" s="8" t="n">
        <x:f>0</x:f>
        <x:v>0</x:v>
      </x:c>
      <x:c r="J2287" s="8" t="n">
        <x:v>0</x:v>
      </x:c>
      <x:c r="K2287" s="8" t="n">
        <x:f>H2287-I2287*J2287</x:f>
        <x:v>8.739562387056193</x:v>
      </x:c>
      <x:c r="L2287" s="8" t="n">
        <x:f>'PG facts'!F85</x:f>
        <x:v>2</x:v>
      </x:c>
      <x:c r="M2287" s="8" t="n">
        <x:f>K2287-L2287</x:f>
        <x:v>6.739562387056193</x:v>
      </x:c>
      <x:c r="N2287" s="8" t="n">
        <x:f>M2287^2</x:f>
        <x:v>45.42170116902257</x:v>
      </x:c>
      <x:c r="O2287" s="8" t="n">
        <x:f>ABS(M2287)</x:f>
        <x:v>6.739562387056193</x:v>
      </x:c>
      <x:c r="P2287" s="7" t="n">
        <x:v>45314</x:v>
      </x:c>
    </x:row>
    <x:row r="2288" ht="26" customHeight="1">
      <x:c r="A2288" s="2"/>
      <x:c r="B2288" s="2" t="n">
        <x:v>2283</x:v>
      </x:c>
      <x:c r="C2288" s="2" t="str">
        <x:v>Health Care / organic_sales_growth</x:v>
      </x:c>
      <x:c r="D2288" s="7" t="n">
        <x:v>45291</x:v>
      </x:c>
      <x:c r="E2288" s="2" t="str">
        <x:v>Prior report</x:v>
      </x:c>
      <x:c r="F2288" s="7" t="n">
        <x:v>45217</x:v>
      </x:c>
      <x:c r="G2288" s="2" t="str">
        <x:v>Own history</x:v>
      </x:c>
      <x:c r="H2288" s="8" t="n">
        <x:f>'Model fits'!AA1480</x:f>
        <x:v>8.939439818319457</x:v>
      </x:c>
      <x:c r="I2288" s="8" t="n">
        <x:f>0</x:f>
        <x:v>0</x:v>
      </x:c>
      <x:c r="J2288" s="8" t="n">
        <x:v>0</x:v>
      </x:c>
      <x:c r="K2288" s="8" t="n">
        <x:f>H2288-I2288*J2288</x:f>
        <x:v>8.939439818319457</x:v>
      </x:c>
      <x:c r="L2288" s="8" t="n">
        <x:f>'PG facts'!F85</x:f>
        <x:v>2</x:v>
      </x:c>
      <x:c r="M2288" s="8" t="n">
        <x:f>K2288-L2288</x:f>
        <x:v>6.939439818319457</x:v>
      </x:c>
      <x:c r="N2288" s="8" t="n">
        <x:f>M2288^2</x:f>
        <x:v>48.15582499207758</x:v>
      </x:c>
      <x:c r="O2288" s="8" t="n">
        <x:f>ABS(M2288)</x:f>
        <x:v>6.939439818319457</x:v>
      </x:c>
      <x:c r="P2288" s="7" t="n">
        <x:v>45314</x:v>
      </x:c>
    </x:row>
    <x:row r="2289" ht="26" customHeight="1">
      <x:c r="A2289" s="2"/>
      <x:c r="B2289" s="2" t="n">
        <x:v>2284</x:v>
      </x:c>
      <x:c r="C2289" s="2" t="str">
        <x:v>Health Care / organic_sales_growth</x:v>
      </x:c>
      <x:c r="D2289" s="7" t="n">
        <x:v>45291</x:v>
      </x:c>
      <x:c r="E2289" s="2" t="str">
        <x:v>Pre-earnings</x:v>
      </x:c>
      <x:c r="F2289" s="7" t="n">
        <x:v>45313</x:v>
      </x:c>
      <x:c r="G2289" s="2" t="str">
        <x:v>Last actual</x:v>
      </x:c>
      <x:c r="H2289" s="8" t="n">
        <x:f>AVERAGE('PG facts'!F78)</x:f>
        <x:v>10</x:v>
      </x:c>
      <x:c r="I2289" s="8" t="n">
        <x:f>0</x:f>
        <x:v>0</x:v>
      </x:c>
      <x:c r="J2289" s="8" t="n">
        <x:v>0</x:v>
      </x:c>
      <x:c r="K2289" s="8" t="n">
        <x:f>H2289-I2289*J2289</x:f>
        <x:v>10</x:v>
      </x:c>
      <x:c r="L2289" s="8" t="n">
        <x:f>'PG facts'!F85</x:f>
        <x:v>2</x:v>
      </x:c>
      <x:c r="M2289" s="8" t="n">
        <x:f>K2289-L2289</x:f>
        <x:v>8</x:v>
      </x:c>
      <x:c r="N2289" s="8" t="n">
        <x:f>M2289^2</x:f>
        <x:v>64</x:v>
      </x:c>
      <x:c r="O2289" s="8" t="n">
        <x:f>ABS(M2289)</x:f>
        <x:v>8</x:v>
      </x:c>
      <x:c r="P2289" s="7" t="n">
        <x:v>45314</x:v>
      </x:c>
    </x:row>
    <x:row r="2290" ht="26" customHeight="1">
      <x:c r="A2290" s="2"/>
      <x:c r="B2290" s="2" t="n">
        <x:v>2285</x:v>
      </x:c>
      <x:c r="C2290" s="2" t="str">
        <x:v>Health Care / organic_sales_growth</x:v>
      </x:c>
      <x:c r="D2290" s="7" t="n">
        <x:v>45291</x:v>
      </x:c>
      <x:c r="E2290" s="2" t="str">
        <x:v>Pre-earnings</x:v>
      </x:c>
      <x:c r="F2290" s="7" t="n">
        <x:v>45313</x:v>
      </x:c>
      <x:c r="G2290" s="2" t="str">
        <x:v>Four-quarter mean</x:v>
      </x:c>
      <x:c r="H2290" s="8" t="n">
        <x:f>AVERAGE('PG facts'!F57,'PG facts'!F64,'PG facts'!F71,'PG facts'!F78)</x:f>
        <x:v>8</x:v>
      </x:c>
      <x:c r="I2290" s="8" t="n">
        <x:f>0</x:f>
        <x:v>0</x:v>
      </x:c>
      <x:c r="J2290" s="8" t="n">
        <x:v>0</x:v>
      </x:c>
      <x:c r="K2290" s="8" t="n">
        <x:f>H2290-I2290*J2290</x:f>
        <x:v>8</x:v>
      </x:c>
      <x:c r="L2290" s="8" t="n">
        <x:f>'PG facts'!F85</x:f>
        <x:v>2</x:v>
      </x:c>
      <x:c r="M2290" s="8" t="n">
        <x:f>K2290-L2290</x:f>
        <x:v>6</x:v>
      </x:c>
      <x:c r="N2290" s="8" t="n">
        <x:f>M2290^2</x:f>
        <x:v>36</x:v>
      </x:c>
      <x:c r="O2290" s="8" t="n">
        <x:f>ABS(M2290)</x:f>
        <x:v>6</x:v>
      </x:c>
      <x:c r="P2290" s="7" t="n">
        <x:v>45314</x:v>
      </x:c>
    </x:row>
    <x:row r="2291" ht="26" customHeight="1">
      <x:c r="A2291" s="2"/>
      <x:c r="B2291" s="2" t="n">
        <x:v>2286</x:v>
      </x:c>
      <x:c r="C2291" s="2" t="str">
        <x:v>Health Care / organic_sales_growth</x:v>
      </x:c>
      <x:c r="D2291" s="7" t="n">
        <x:v>45291</x:v>
      </x:c>
      <x:c r="E2291" s="2" t="str">
        <x:v>Pre-earnings</x:v>
      </x:c>
      <x:c r="F2291" s="7" t="n">
        <x:v>45313</x:v>
      </x:c>
      <x:c r="G2291" s="2" t="str">
        <x:v>Broad market</x:v>
      </x:c>
      <x:c r="H2291" s="8" t="n">
        <x:f>'Model fits'!AA1481</x:f>
        <x:v>10.005896982453617</x:v>
      </x:c>
      <x:c r="I2291" s="8" t="n">
        <x:f>0</x:f>
        <x:v>0</x:v>
      </x:c>
      <x:c r="J2291" s="8" t="n">
        <x:v>0</x:v>
      </x:c>
      <x:c r="K2291" s="8" t="n">
        <x:f>H2291-I2291*J2291</x:f>
        <x:v>10.005896982453617</x:v>
      </x:c>
      <x:c r="L2291" s="8" t="n">
        <x:f>'PG facts'!F85</x:f>
        <x:v>2</x:v>
      </x:c>
      <x:c r="M2291" s="8" t="n">
        <x:f>K2291-L2291</x:f>
        <x:v>8.005896982453617</x:v>
      </x:c>
      <x:c r="N2291" s="8" t="n">
        <x:f>M2291^2</x:f>
        <x:v>64.09438649365993</x:v>
      </x:c>
      <x:c r="O2291" s="8" t="n">
        <x:f>ABS(M2291)</x:f>
        <x:v>8.005896982453617</x:v>
      </x:c>
      <x:c r="P2291" s="7" t="n">
        <x:v>45314</x:v>
      </x:c>
    </x:row>
    <x:row r="2292" ht="26" customHeight="1">
      <x:c r="A2292" s="2"/>
      <x:c r="B2292" s="2" t="n">
        <x:v>2287</x:v>
      </x:c>
      <x:c r="C2292" s="2" t="str">
        <x:v>Health Care / organic_sales_growth</x:v>
      </x:c>
      <x:c r="D2292" s="7" t="n">
        <x:v>45291</x:v>
      </x:c>
      <x:c r="E2292" s="2" t="str">
        <x:v>Pre-earnings</x:v>
      </x:c>
      <x:c r="F2292" s="7" t="n">
        <x:v>45313</x:v>
      </x:c>
      <x:c r="G2292" s="2" t="str">
        <x:v>Broad lag 1</x:v>
      </x:c>
      <x:c r="H2292" s="8" t="n">
        <x:f>'Model fits'!AA1482</x:f>
        <x:v>9.18316927797282</x:v>
      </x:c>
      <x:c r="I2292" s="8" t="n">
        <x:f>0</x:f>
        <x:v>0</x:v>
      </x:c>
      <x:c r="J2292" s="8" t="n">
        <x:v>0</x:v>
      </x:c>
      <x:c r="K2292" s="8" t="n">
        <x:f>H2292-I2292*J2292</x:f>
        <x:v>9.18316927797282</x:v>
      </x:c>
      <x:c r="L2292" s="8" t="n">
        <x:f>'PG facts'!F85</x:f>
        <x:v>2</x:v>
      </x:c>
      <x:c r="M2292" s="8" t="n">
        <x:f>K2292-L2292</x:f>
        <x:v>7.183169277972819</x:v>
      </x:c>
      <x:c r="N2292" s="8" t="n">
        <x:f>M2292^2</x:f>
        <x:v>51.59792087601255</x:v>
      </x:c>
      <x:c r="O2292" s="8" t="n">
        <x:f>ABS(M2292)</x:f>
        <x:v>7.183169277972819</x:v>
      </x:c>
      <x:c r="P2292" s="7" t="n">
        <x:v>45314</x:v>
      </x:c>
    </x:row>
    <x:row r="2293" ht="26" customHeight="1">
      <x:c r="A2293" s="2"/>
      <x:c r="B2293" s="2" t="n">
        <x:v>2288</x:v>
      </x:c>
      <x:c r="C2293" s="2" t="str">
        <x:v>Health Care / organic_sales_growth</x:v>
      </x:c>
      <x:c r="D2293" s="7" t="n">
        <x:v>45291</x:v>
      </x:c>
      <x:c r="E2293" s="2" t="str">
        <x:v>Pre-earnings</x:v>
      </x:c>
      <x:c r="F2293" s="7" t="n">
        <x:v>45313</x:v>
      </x:c>
      <x:c r="G2293" s="2" t="str">
        <x:v>Broad rolling 8</x:v>
      </x:c>
      <x:c r="H2293" s="8" t="n">
        <x:f>'Model fits'!AA1483</x:f>
        <x:v>8.43387535428326</x:v>
      </x:c>
      <x:c r="I2293" s="8" t="n">
        <x:f>0</x:f>
        <x:v>0</x:v>
      </x:c>
      <x:c r="J2293" s="8" t="n">
        <x:v>0</x:v>
      </x:c>
      <x:c r="K2293" s="8" t="n">
        <x:f>H2293-I2293*J2293</x:f>
        <x:v>8.43387535428326</x:v>
      </x:c>
      <x:c r="L2293" s="8" t="n">
        <x:f>'PG facts'!F85</x:f>
        <x:v>2</x:v>
      </x:c>
      <x:c r="M2293" s="8" t="n">
        <x:f>K2293-L2293</x:f>
        <x:v>6.433875354283259</x:v>
      </x:c>
      <x:c r="N2293" s="8" t="n">
        <x:f>M2293^2</x:f>
        <x:v>41.394752074453535</x:v>
      </x:c>
      <x:c r="O2293" s="8" t="n">
        <x:f>ABS(M2293)</x:f>
        <x:v>6.433875354283259</x:v>
      </x:c>
      <x:c r="P2293" s="7" t="n">
        <x:v>45314</x:v>
      </x:c>
    </x:row>
    <x:row r="2294" ht="26" customHeight="1">
      <x:c r="A2294" s="2"/>
      <x:c r="B2294" s="2" t="n">
        <x:v>2289</x:v>
      </x:c>
      <x:c r="C2294" s="2" t="str">
        <x:v>Health Care / organic_sales_growth</x:v>
      </x:c>
      <x:c r="D2294" s="7" t="n">
        <x:v>45291</x:v>
      </x:c>
      <x:c r="E2294" s="2" t="str">
        <x:v>Pre-earnings</x:v>
      </x:c>
      <x:c r="F2294" s="7" t="n">
        <x:v>45313</x:v>
      </x:c>
      <x:c r="G2294" s="2" t="str">
        <x:v>Own history</x:v>
      </x:c>
      <x:c r="H2294" s="8" t="n">
        <x:f>'Model fits'!AA1484</x:f>
        <x:v>8.939439818319457</x:v>
      </x:c>
      <x:c r="I2294" s="8" t="n">
        <x:f>0</x:f>
        <x:v>0</x:v>
      </x:c>
      <x:c r="J2294" s="8" t="n">
        <x:v>0</x:v>
      </x:c>
      <x:c r="K2294" s="8" t="n">
        <x:f>H2294-I2294*J2294</x:f>
        <x:v>8.939439818319457</x:v>
      </x:c>
      <x:c r="L2294" s="8" t="n">
        <x:f>'PG facts'!F85</x:f>
        <x:v>2</x:v>
      </x:c>
      <x:c r="M2294" s="8" t="n">
        <x:f>K2294-L2294</x:f>
        <x:v>6.939439818319457</x:v>
      </x:c>
      <x:c r="N2294" s="8" t="n">
        <x:f>M2294^2</x:f>
        <x:v>48.15582499207758</x:v>
      </x:c>
      <x:c r="O2294" s="8" t="n">
        <x:f>ABS(M2294)</x:f>
        <x:v>6.939439818319457</x:v>
      </x:c>
      <x:c r="P2294" s="7" t="n">
        <x:v>45314</x:v>
      </x:c>
    </x:row>
    <x:row r="2295" ht="26" customHeight="1">
      <x:c r="A2295" s="2"/>
      <x:c r="B2295" s="2" t="n">
        <x:v>2290</x:v>
      </x:c>
      <x:c r="C2295" s="2" t="str">
        <x:v>Health Care / organic_sales_growth</x:v>
      </x:c>
      <x:c r="D2295" s="7" t="n">
        <x:v>45382</x:v>
      </x:c>
      <x:c r="E2295" s="2" t="str">
        <x:v>Origin</x:v>
      </x:c>
      <x:c r="F2295" s="7" t="n">
        <x:v>45292</x:v>
      </x:c>
      <x:c r="G2295" s="2" t="str">
        <x:v>Last actual</x:v>
      </x:c>
      <x:c r="H2295" s="8" t="n">
        <x:f>AVERAGE('PG facts'!F78)</x:f>
        <x:v>10</x:v>
      </x:c>
      <x:c r="I2295" s="8" t="n">
        <x:f>0</x:f>
        <x:v>0</x:v>
      </x:c>
      <x:c r="J2295" s="8" t="n">
        <x:v>0</x:v>
      </x:c>
      <x:c r="K2295" s="8" t="n">
        <x:f>H2295-I2295*J2295</x:f>
        <x:v>10</x:v>
      </x:c>
      <x:c r="L2295" s="8" t="n">
        <x:f>'PG facts'!F92</x:f>
        <x:v>2</x:v>
      </x:c>
      <x:c r="M2295" s="8" t="n">
        <x:f>K2295-L2295</x:f>
        <x:v>8</x:v>
      </x:c>
      <x:c r="N2295" s="8" t="n">
        <x:f>M2295^2</x:f>
        <x:v>64</x:v>
      </x:c>
      <x:c r="O2295" s="8" t="n">
        <x:f>ABS(M2295)</x:f>
        <x:v>8</x:v>
      </x:c>
      <x:c r="P2295" s="7" t="n">
        <x:v>45401</x:v>
      </x:c>
    </x:row>
    <x:row r="2296" ht="26" customHeight="1">
      <x:c r="A2296" s="2"/>
      <x:c r="B2296" s="2" t="n">
        <x:v>2291</x:v>
      </x:c>
      <x:c r="C2296" s="2" t="str">
        <x:v>Health Care / organic_sales_growth</x:v>
      </x:c>
      <x:c r="D2296" s="7" t="n">
        <x:v>45382</x:v>
      </x:c>
      <x:c r="E2296" s="2" t="str">
        <x:v>Origin</x:v>
      </x:c>
      <x:c r="F2296" s="7" t="n">
        <x:v>45292</x:v>
      </x:c>
      <x:c r="G2296" s="2" t="str">
        <x:v>Four-quarter mean</x:v>
      </x:c>
      <x:c r="H2296" s="8" t="n">
        <x:f>AVERAGE('PG facts'!F57,'PG facts'!F64,'PG facts'!F71,'PG facts'!F78)</x:f>
        <x:v>8</x:v>
      </x:c>
      <x:c r="I2296" s="8" t="n">
        <x:f>0</x:f>
        <x:v>0</x:v>
      </x:c>
      <x:c r="J2296" s="8" t="n">
        <x:v>0</x:v>
      </x:c>
      <x:c r="K2296" s="8" t="n">
        <x:f>H2296-I2296*J2296</x:f>
        <x:v>8</x:v>
      </x:c>
      <x:c r="L2296" s="8" t="n">
        <x:f>'PG facts'!F92</x:f>
        <x:v>2</x:v>
      </x:c>
      <x:c r="M2296" s="8" t="n">
        <x:f>K2296-L2296</x:f>
        <x:v>6</x:v>
      </x:c>
      <x:c r="N2296" s="8" t="n">
        <x:f>M2296^2</x:f>
        <x:v>36</x:v>
      </x:c>
      <x:c r="O2296" s="8" t="n">
        <x:f>ABS(M2296)</x:f>
        <x:v>6</x:v>
      </x:c>
      <x:c r="P2296" s="7" t="n">
        <x:v>45401</x:v>
      </x:c>
    </x:row>
    <x:row r="2297" ht="26" customHeight="1">
      <x:c r="A2297" s="2"/>
      <x:c r="B2297" s="2" t="n">
        <x:v>2292</x:v>
      </x:c>
      <x:c r="C2297" s="2" t="str">
        <x:v>Health Care / organic_sales_growth</x:v>
      </x:c>
      <x:c r="D2297" s="7" t="n">
        <x:v>45382</x:v>
      </x:c>
      <x:c r="E2297" s="2" t="str">
        <x:v>Origin</x:v>
      </x:c>
      <x:c r="F2297" s="7" t="n">
        <x:v>45292</x:v>
      </x:c>
      <x:c r="G2297" s="2" t="str">
        <x:v>Broad market</x:v>
      </x:c>
      <x:c r="H2297" s="8" t="n">
        <x:f>'Model fits'!AA1485</x:f>
        <x:v>9.971856079778938</x:v>
      </x:c>
      <x:c r="I2297" s="8" t="n">
        <x:f>0</x:f>
        <x:v>0</x:v>
      </x:c>
      <x:c r="J2297" s="8" t="n">
        <x:v>0</x:v>
      </x:c>
      <x:c r="K2297" s="8" t="n">
        <x:f>H2297-I2297*J2297</x:f>
        <x:v>9.971856079778938</x:v>
      </x:c>
      <x:c r="L2297" s="8" t="n">
        <x:f>'PG facts'!F92</x:f>
        <x:v>2</x:v>
      </x:c>
      <x:c r="M2297" s="8" t="n">
        <x:f>K2297-L2297</x:f>
        <x:v>7.971856079778938</x:v>
      </x:c>
      <x:c r="N2297" s="8" t="n">
        <x:f>M2297^2</x:f>
        <x:v>63.55048935670842</x:v>
      </x:c>
      <x:c r="O2297" s="8" t="n">
        <x:f>ABS(M2297)</x:f>
        <x:v>7.971856079778938</x:v>
      </x:c>
      <x:c r="P2297" s="7" t="n">
        <x:v>45401</x:v>
      </x:c>
    </x:row>
    <x:row r="2298" ht="26" customHeight="1">
      <x:c r="A2298" s="2"/>
      <x:c r="B2298" s="2" t="n">
        <x:v>2293</x:v>
      </x:c>
      <x:c r="C2298" s="2" t="str">
        <x:v>Health Care / organic_sales_growth</x:v>
      </x:c>
      <x:c r="D2298" s="7" t="n">
        <x:v>45382</x:v>
      </x:c>
      <x:c r="E2298" s="2" t="str">
        <x:v>Origin</x:v>
      </x:c>
      <x:c r="F2298" s="7" t="n">
        <x:v>45292</x:v>
      </x:c>
      <x:c r="G2298" s="2" t="str">
        <x:v>Broad rolling 8</x:v>
      </x:c>
      <x:c r="H2298" s="8" t="n">
        <x:f>'Model fits'!AA1486</x:f>
        <x:v>8.477738335491155</x:v>
      </x:c>
      <x:c r="I2298" s="8" t="n">
        <x:f>0</x:f>
        <x:v>0</x:v>
      </x:c>
      <x:c r="J2298" s="8" t="n">
        <x:v>0</x:v>
      </x:c>
      <x:c r="K2298" s="8" t="n">
        <x:f>H2298-I2298*J2298</x:f>
        <x:v>8.477738335491155</x:v>
      </x:c>
      <x:c r="L2298" s="8" t="n">
        <x:f>'PG facts'!F92</x:f>
        <x:v>2</x:v>
      </x:c>
      <x:c r="M2298" s="8" t="n">
        <x:f>K2298-L2298</x:f>
        <x:v>6.477738335491155</x:v>
      </x:c>
      <x:c r="N2298" s="8" t="n">
        <x:f>M2298^2</x:f>
        <x:v>41.961093943091726</x:v>
      </x:c>
      <x:c r="O2298" s="8" t="n">
        <x:f>ABS(M2298)</x:f>
        <x:v>6.477738335491155</x:v>
      </x:c>
      <x:c r="P2298" s="7" t="n">
        <x:v>45401</x:v>
      </x:c>
    </x:row>
    <x:row r="2299" ht="26" customHeight="1">
      <x:c r="A2299" s="2"/>
      <x:c r="B2299" s="2" t="n">
        <x:v>2294</x:v>
      </x:c>
      <x:c r="C2299" s="2" t="str">
        <x:v>Health Care / organic_sales_growth</x:v>
      </x:c>
      <x:c r="D2299" s="7" t="n">
        <x:v>45382</x:v>
      </x:c>
      <x:c r="E2299" s="2" t="str">
        <x:v>Origin</x:v>
      </x:c>
      <x:c r="F2299" s="7" t="n">
        <x:v>45292</x:v>
      </x:c>
      <x:c r="G2299" s="2" t="str">
        <x:v>Own history</x:v>
      </x:c>
      <x:c r="H2299" s="8" t="n">
        <x:f>'Model fits'!AA1487</x:f>
        <x:v>8.813688212927756</x:v>
      </x:c>
      <x:c r="I2299" s="8" t="n">
        <x:f>0</x:f>
        <x:v>0</x:v>
      </x:c>
      <x:c r="J2299" s="8" t="n">
        <x:v>0</x:v>
      </x:c>
      <x:c r="K2299" s="8" t="n">
        <x:f>H2299-I2299*J2299</x:f>
        <x:v>8.813688212927756</x:v>
      </x:c>
      <x:c r="L2299" s="8" t="n">
        <x:f>'PG facts'!F92</x:f>
        <x:v>2</x:v>
      </x:c>
      <x:c r="M2299" s="8" t="n">
        <x:f>K2299-L2299</x:f>
        <x:v>6.813688212927756</x:v>
      </x:c>
      <x:c r="N2299" s="8" t="n">
        <x:f>M2299^2</x:f>
        <x:v>46.426347062990644</x:v>
      </x:c>
      <x:c r="O2299" s="8" t="n">
        <x:f>ABS(M2299)</x:f>
        <x:v>6.813688212927756</x:v>
      </x:c>
      <x:c r="P2299" s="7" t="n">
        <x:v>45401</x:v>
      </x:c>
    </x:row>
    <x:row r="2300" ht="26" customHeight="1">
      <x:c r="A2300" s="2"/>
      <x:c r="B2300" s="2" t="n">
        <x:v>2295</x:v>
      </x:c>
      <x:c r="C2300" s="2" t="str">
        <x:v>Health Care / organic_sales_growth</x:v>
      </x:c>
      <x:c r="D2300" s="7" t="n">
        <x:v>45382</x:v>
      </x:c>
      <x:c r="E2300" s="2" t="str">
        <x:v>Prior report</x:v>
      </x:c>
      <x:c r="F2300" s="7" t="n">
        <x:v>45314</x:v>
      </x:c>
      <x:c r="G2300" s="2" t="str">
        <x:v>Last actual</x:v>
      </x:c>
      <x:c r="H2300" s="8" t="n">
        <x:f>AVERAGE('PG facts'!F85)</x:f>
        <x:v>2</x:v>
      </x:c>
      <x:c r="I2300" s="8" t="n">
        <x:f>0</x:f>
        <x:v>0</x:v>
      </x:c>
      <x:c r="J2300" s="8" t="n">
        <x:v>0</x:v>
      </x:c>
      <x:c r="K2300" s="8" t="n">
        <x:f>H2300-I2300*J2300</x:f>
        <x:v>2</x:v>
      </x:c>
      <x:c r="L2300" s="8" t="n">
        <x:f>'PG facts'!F92</x:f>
        <x:v>2</x:v>
      </x:c>
      <x:c r="M2300" s="8" t="n">
        <x:f>K2300-L2300</x:f>
        <x:v>0</x:v>
      </x:c>
      <x:c r="N2300" s="8" t="n">
        <x:f>M2300^2</x:f>
        <x:v>0</x:v>
      </x:c>
      <x:c r="O2300" s="8" t="n">
        <x:f>ABS(M2300)</x:f>
        <x:v>0</x:v>
      </x:c>
      <x:c r="P2300" s="7" t="n">
        <x:v>45401</x:v>
      </x:c>
    </x:row>
    <x:row r="2301" ht="26" customHeight="1">
      <x:c r="A2301" s="2"/>
      <x:c r="B2301" s="2" t="n">
        <x:v>2296</x:v>
      </x:c>
      <x:c r="C2301" s="2" t="str">
        <x:v>Health Care / organic_sales_growth</x:v>
      </x:c>
      <x:c r="D2301" s="7" t="n">
        <x:v>45382</x:v>
      </x:c>
      <x:c r="E2301" s="2" t="str">
        <x:v>Prior report</x:v>
      </x:c>
      <x:c r="F2301" s="7" t="n">
        <x:v>45314</x:v>
      </x:c>
      <x:c r="G2301" s="2" t="str">
        <x:v>Four-quarter mean</x:v>
      </x:c>
      <x:c r="H2301" s="8" t="n">
        <x:f>AVERAGE('PG facts'!F64,'PG facts'!F71,'PG facts'!F78,'PG facts'!F85)</x:f>
        <x:v>6.5</x:v>
      </x:c>
      <x:c r="I2301" s="8" t="n">
        <x:f>0</x:f>
        <x:v>0</x:v>
      </x:c>
      <x:c r="J2301" s="8" t="n">
        <x:v>0</x:v>
      </x:c>
      <x:c r="K2301" s="8" t="n">
        <x:f>H2301-I2301*J2301</x:f>
        <x:v>6.5</x:v>
      </x:c>
      <x:c r="L2301" s="8" t="n">
        <x:f>'PG facts'!F92</x:f>
        <x:v>2</x:v>
      </x:c>
      <x:c r="M2301" s="8" t="n">
        <x:f>K2301-L2301</x:f>
        <x:v>4.5</x:v>
      </x:c>
      <x:c r="N2301" s="8" t="n">
        <x:f>M2301^2</x:f>
        <x:v>20.25</x:v>
      </x:c>
      <x:c r="O2301" s="8" t="n">
        <x:f>ABS(M2301)</x:f>
        <x:v>4.5</x:v>
      </x:c>
      <x:c r="P2301" s="7" t="n">
        <x:v>45401</x:v>
      </x:c>
    </x:row>
    <x:row r="2302" ht="26" customHeight="1">
      <x:c r="A2302" s="2"/>
      <x:c r="B2302" s="2" t="n">
        <x:v>2297</x:v>
      </x:c>
      <x:c r="C2302" s="2" t="str">
        <x:v>Health Care / organic_sales_growth</x:v>
      </x:c>
      <x:c r="D2302" s="7" t="n">
        <x:v>45382</x:v>
      </x:c>
      <x:c r="E2302" s="2" t="str">
        <x:v>Prior report</x:v>
      </x:c>
      <x:c r="F2302" s="7" t="n">
        <x:v>45314</x:v>
      </x:c>
      <x:c r="G2302" s="2" t="str">
        <x:v>Broad market</x:v>
      </x:c>
      <x:c r="H2302" s="8" t="n">
        <x:f>'Model fits'!AA1488</x:f>
        <x:v>8.942908974189999</x:v>
      </x:c>
      <x:c r="I2302" s="8" t="n">
        <x:f>0</x:f>
        <x:v>0</x:v>
      </x:c>
      <x:c r="J2302" s="8" t="n">
        <x:v>0</x:v>
      </x:c>
      <x:c r="K2302" s="8" t="n">
        <x:f>H2302-I2302*J2302</x:f>
        <x:v>8.942908974189999</x:v>
      </x:c>
      <x:c r="L2302" s="8" t="n">
        <x:f>'PG facts'!F92</x:f>
        <x:v>2</x:v>
      </x:c>
      <x:c r="M2302" s="8" t="n">
        <x:f>K2302-L2302</x:f>
        <x:v>6.942908974189999</x:v>
      </x:c>
      <x:c r="N2302" s="8" t="n">
        <x:f>M2302^2</x:f>
        <x:v>48.20398502388802</x:v>
      </x:c>
      <x:c r="O2302" s="8" t="n">
        <x:f>ABS(M2302)</x:f>
        <x:v>6.942908974189999</x:v>
      </x:c>
      <x:c r="P2302" s="7" t="n">
        <x:v>45401</x:v>
      </x:c>
    </x:row>
    <x:row r="2303" ht="26" customHeight="1">
      <x:c r="A2303" s="2"/>
      <x:c r="B2303" s="2" t="n">
        <x:v>2298</x:v>
      </x:c>
      <x:c r="C2303" s="2" t="str">
        <x:v>Health Care / organic_sales_growth</x:v>
      </x:c>
      <x:c r="D2303" s="7" t="n">
        <x:v>45382</x:v>
      </x:c>
      <x:c r="E2303" s="2" t="str">
        <x:v>Prior report</x:v>
      </x:c>
      <x:c r="F2303" s="7" t="n">
        <x:v>45314</x:v>
      </x:c>
      <x:c r="G2303" s="2" t="str">
        <x:v>Broad lag 1</x:v>
      </x:c>
      <x:c r="H2303" s="8" t="n">
        <x:f>'Model fits'!AA1489</x:f>
        <x:v>8.08644771941858</x:v>
      </x:c>
      <x:c r="I2303" s="8" t="n">
        <x:f>0</x:f>
        <x:v>0</x:v>
      </x:c>
      <x:c r="J2303" s="8" t="n">
        <x:v>0</x:v>
      </x:c>
      <x:c r="K2303" s="8" t="n">
        <x:f>H2303-I2303*J2303</x:f>
        <x:v>8.08644771941858</x:v>
      </x:c>
      <x:c r="L2303" s="8" t="n">
        <x:f>'PG facts'!F92</x:f>
        <x:v>2</x:v>
      </x:c>
      <x:c r="M2303" s="8" t="n">
        <x:f>K2303-L2303</x:f>
        <x:v>6.0864477194185795</x:v>
      </x:c>
      <x:c r="N2303" s="8" t="n">
        <x:f>M2303^2</x:f>
        <x:v>37.044845841215626</x:v>
      </x:c>
      <x:c r="O2303" s="8" t="n">
        <x:f>ABS(M2303)</x:f>
        <x:v>6.0864477194185795</x:v>
      </x:c>
      <x:c r="P2303" s="7" t="n">
        <x:v>45401</x:v>
      </x:c>
    </x:row>
    <x:row r="2304" ht="26" customHeight="1">
      <x:c r="A2304" s="2"/>
      <x:c r="B2304" s="2" t="n">
        <x:v>2299</x:v>
      </x:c>
      <x:c r="C2304" s="2" t="str">
        <x:v>Health Care / organic_sales_growth</x:v>
      </x:c>
      <x:c r="D2304" s="7" t="n">
        <x:v>45382</x:v>
      </x:c>
      <x:c r="E2304" s="2" t="str">
        <x:v>Prior report</x:v>
      </x:c>
      <x:c r="F2304" s="7" t="n">
        <x:v>45314</x:v>
      </x:c>
      <x:c r="G2304" s="2" t="str">
        <x:v>Broad rolling 8</x:v>
      </x:c>
      <x:c r="H2304" s="8" t="n">
        <x:f>'Model fits'!AA1490</x:f>
        <x:v>5.9880313473317734</x:v>
      </x:c>
      <x:c r="I2304" s="8" t="n">
        <x:f>0</x:f>
        <x:v>0</x:v>
      </x:c>
      <x:c r="J2304" s="8" t="n">
        <x:v>0</x:v>
      </x:c>
      <x:c r="K2304" s="8" t="n">
        <x:f>H2304-I2304*J2304</x:f>
        <x:v>5.9880313473317734</x:v>
      </x:c>
      <x:c r="L2304" s="8" t="n">
        <x:f>'PG facts'!F92</x:f>
        <x:v>2</x:v>
      </x:c>
      <x:c r="M2304" s="8" t="n">
        <x:f>K2304-L2304</x:f>
        <x:v>3.9880313473317734</x:v>
      </x:c>
      <x:c r="N2304" s="8" t="n">
        <x:f>M2304^2</x:f>
        <x:v>15.90439402730088</x:v>
      </x:c>
      <x:c r="O2304" s="8" t="n">
        <x:f>ABS(M2304)</x:f>
        <x:v>3.9880313473317734</x:v>
      </x:c>
      <x:c r="P2304" s="7" t="n">
        <x:v>45401</x:v>
      </x:c>
    </x:row>
    <x:row r="2305" ht="26" customHeight="1">
      <x:c r="A2305" s="2"/>
      <x:c r="B2305" s="2" t="n">
        <x:v>2300</x:v>
      </x:c>
      <x:c r="C2305" s="2" t="str">
        <x:v>Health Care / organic_sales_growth</x:v>
      </x:c>
      <x:c r="D2305" s="7" t="n">
        <x:v>45382</x:v>
      </x:c>
      <x:c r="E2305" s="2" t="str">
        <x:v>Prior report</x:v>
      </x:c>
      <x:c r="F2305" s="7" t="n">
        <x:v>45314</x:v>
      </x:c>
      <x:c r="G2305" s="2" t="str">
        <x:v>Own history</x:v>
      </x:c>
      <x:c r="H2305" s="8" t="n">
        <x:f>'Model fits'!AA1491</x:f>
        <x:v>11.561224489795915</x:v>
      </x:c>
      <x:c r="I2305" s="8" t="n">
        <x:f>0</x:f>
        <x:v>0</x:v>
      </x:c>
      <x:c r="J2305" s="8" t="n">
        <x:v>0</x:v>
      </x:c>
      <x:c r="K2305" s="8" t="n">
        <x:f>H2305-I2305*J2305</x:f>
        <x:v>11.561224489795915</x:v>
      </x:c>
      <x:c r="L2305" s="8" t="n">
        <x:f>'PG facts'!F92</x:f>
        <x:v>2</x:v>
      </x:c>
      <x:c r="M2305" s="8" t="n">
        <x:f>K2305-L2305</x:f>
        <x:v>9.561224489795915</x:v>
      </x:c>
      <x:c r="N2305" s="8" t="n">
        <x:f>M2305^2</x:f>
        <x:v>91.41701374427316</x:v>
      </x:c>
      <x:c r="O2305" s="8" t="n">
        <x:f>ABS(M2305)</x:f>
        <x:v>9.561224489795915</x:v>
      </x:c>
      <x:c r="P2305" s="7" t="n">
        <x:v>45401</x:v>
      </x:c>
    </x:row>
    <x:row r="2306" ht="26" customHeight="1">
      <x:c r="A2306" s="2"/>
      <x:c r="B2306" s="2" t="n">
        <x:v>2301</x:v>
      </x:c>
      <x:c r="C2306" s="2" t="str">
        <x:v>Health Care / organic_sales_growth</x:v>
      </x:c>
      <x:c r="D2306" s="7" t="n">
        <x:v>45382</x:v>
      </x:c>
      <x:c r="E2306" s="2" t="str">
        <x:v>Pre-earnings</x:v>
      </x:c>
      <x:c r="F2306" s="7" t="n">
        <x:v>45400</x:v>
      </x:c>
      <x:c r="G2306" s="2" t="str">
        <x:v>Last actual</x:v>
      </x:c>
      <x:c r="H2306" s="8" t="n">
        <x:f>AVERAGE('PG facts'!F85)</x:f>
        <x:v>2</x:v>
      </x:c>
      <x:c r="I2306" s="8" t="n">
        <x:f>0</x:f>
        <x:v>0</x:v>
      </x:c>
      <x:c r="J2306" s="8" t="n">
        <x:v>0</x:v>
      </x:c>
      <x:c r="K2306" s="8" t="n">
        <x:f>H2306-I2306*J2306</x:f>
        <x:v>2</x:v>
      </x:c>
      <x:c r="L2306" s="8" t="n">
        <x:f>'PG facts'!F92</x:f>
        <x:v>2</x:v>
      </x:c>
      <x:c r="M2306" s="8" t="n">
        <x:f>K2306-L2306</x:f>
        <x:v>0</x:v>
      </x:c>
      <x:c r="N2306" s="8" t="n">
        <x:f>M2306^2</x:f>
        <x:v>0</x:v>
      </x:c>
      <x:c r="O2306" s="8" t="n">
        <x:f>ABS(M2306)</x:f>
        <x:v>0</x:v>
      </x:c>
      <x:c r="P2306" s="7" t="n">
        <x:v>45401</x:v>
      </x:c>
    </x:row>
    <x:row r="2307" ht="26" customHeight="1">
      <x:c r="A2307" s="2"/>
      <x:c r="B2307" s="2" t="n">
        <x:v>2302</x:v>
      </x:c>
      <x:c r="C2307" s="2" t="str">
        <x:v>Health Care / organic_sales_growth</x:v>
      </x:c>
      <x:c r="D2307" s="7" t="n">
        <x:v>45382</x:v>
      </x:c>
      <x:c r="E2307" s="2" t="str">
        <x:v>Pre-earnings</x:v>
      </x:c>
      <x:c r="F2307" s="7" t="n">
        <x:v>45400</x:v>
      </x:c>
      <x:c r="G2307" s="2" t="str">
        <x:v>Four-quarter mean</x:v>
      </x:c>
      <x:c r="H2307" s="8" t="n">
        <x:f>AVERAGE('PG facts'!F64,'PG facts'!F71,'PG facts'!F78,'PG facts'!F85)</x:f>
        <x:v>6.5</x:v>
      </x:c>
      <x:c r="I2307" s="8" t="n">
        <x:f>0</x:f>
        <x:v>0</x:v>
      </x:c>
      <x:c r="J2307" s="8" t="n">
        <x:v>0</x:v>
      </x:c>
      <x:c r="K2307" s="8" t="n">
        <x:f>H2307-I2307*J2307</x:f>
        <x:v>6.5</x:v>
      </x:c>
      <x:c r="L2307" s="8" t="n">
        <x:f>'PG facts'!F92</x:f>
        <x:v>2</x:v>
      </x:c>
      <x:c r="M2307" s="8" t="n">
        <x:f>K2307-L2307</x:f>
        <x:v>4.5</x:v>
      </x:c>
      <x:c r="N2307" s="8" t="n">
        <x:f>M2307^2</x:f>
        <x:v>20.25</x:v>
      </x:c>
      <x:c r="O2307" s="8" t="n">
        <x:f>ABS(M2307)</x:f>
        <x:v>4.5</x:v>
      </x:c>
      <x:c r="P2307" s="7" t="n">
        <x:v>45401</x:v>
      </x:c>
    </x:row>
    <x:row r="2308" ht="26" customHeight="1">
      <x:c r="A2308" s="2"/>
      <x:c r="B2308" s="2" t="n">
        <x:v>2303</x:v>
      </x:c>
      <x:c r="C2308" s="2" t="str">
        <x:v>Health Care / organic_sales_growth</x:v>
      </x:c>
      <x:c r="D2308" s="7" t="n">
        <x:v>45382</x:v>
      </x:c>
      <x:c r="E2308" s="2" t="str">
        <x:v>Pre-earnings</x:v>
      </x:c>
      <x:c r="F2308" s="7" t="n">
        <x:v>45400</x:v>
      </x:c>
      <x:c r="G2308" s="2" t="str">
        <x:v>Broad market</x:v>
      </x:c>
      <x:c r="H2308" s="8" t="n">
        <x:f>'Model fits'!AA1492</x:f>
        <x:v>7.320120551233946</x:v>
      </x:c>
      <x:c r="I2308" s="8" t="n">
        <x:f>0</x:f>
        <x:v>0</x:v>
      </x:c>
      <x:c r="J2308" s="8" t="n">
        <x:v>0</x:v>
      </x:c>
      <x:c r="K2308" s="8" t="n">
        <x:f>H2308-I2308*J2308</x:f>
        <x:v>7.320120551233946</x:v>
      </x:c>
      <x:c r="L2308" s="8" t="n">
        <x:f>'PG facts'!F92</x:f>
        <x:v>2</x:v>
      </x:c>
      <x:c r="M2308" s="8" t="n">
        <x:f>K2308-L2308</x:f>
        <x:v>5.320120551233946</x:v>
      </x:c>
      <x:c r="N2308" s="8" t="n">
        <x:f>M2308^2</x:f>
        <x:v>28.303682679661783</x:v>
      </x:c>
      <x:c r="O2308" s="8" t="n">
        <x:f>ABS(M2308)</x:f>
        <x:v>5.320120551233946</x:v>
      </x:c>
      <x:c r="P2308" s="7" t="n">
        <x:v>45401</x:v>
      </x:c>
    </x:row>
    <x:row r="2309" ht="26" customHeight="1">
      <x:c r="A2309" s="2"/>
      <x:c r="B2309" s="2" t="n">
        <x:v>2304</x:v>
      </x:c>
      <x:c r="C2309" s="2" t="str">
        <x:v>Health Care / organic_sales_growth</x:v>
      </x:c>
      <x:c r="D2309" s="7" t="n">
        <x:v>45382</x:v>
      </x:c>
      <x:c r="E2309" s="2" t="str">
        <x:v>Pre-earnings</x:v>
      </x:c>
      <x:c r="F2309" s="7" t="n">
        <x:v>45400</x:v>
      </x:c>
      <x:c r="G2309" s="2" t="str">
        <x:v>Broad lag 1</x:v>
      </x:c>
      <x:c r="H2309" s="8" t="n">
        <x:f>'Model fits'!AA1493</x:f>
        <x:v>8.043883386870021</x:v>
      </x:c>
      <x:c r="I2309" s="8" t="n">
        <x:f>0</x:f>
        <x:v>0</x:v>
      </x:c>
      <x:c r="J2309" s="8" t="n">
        <x:v>0</x:v>
      </x:c>
      <x:c r="K2309" s="8" t="n">
        <x:f>H2309-I2309*J2309</x:f>
        <x:v>8.043883386870021</x:v>
      </x:c>
      <x:c r="L2309" s="8" t="n">
        <x:f>'PG facts'!F92</x:f>
        <x:v>2</x:v>
      </x:c>
      <x:c r="M2309" s="8" t="n">
        <x:f>K2309-L2309</x:f>
        <x:v>6.0438833868700215</x:v>
      </x:c>
      <x:c r="N2309" s="8" t="n">
        <x:f>M2309^2</x:f>
        <x:v>36.52852639408344</x:v>
      </x:c>
      <x:c r="O2309" s="8" t="n">
        <x:f>ABS(M2309)</x:f>
        <x:v>6.0438833868700215</x:v>
      </x:c>
      <x:c r="P2309" s="7" t="n">
        <x:v>45401</x:v>
      </x:c>
    </x:row>
    <x:row r="2310" ht="26" customHeight="1">
      <x:c r="A2310" s="2"/>
      <x:c r="B2310" s="2" t="n">
        <x:v>2305</x:v>
      </x:c>
      <x:c r="C2310" s="2" t="str">
        <x:v>Health Care / organic_sales_growth</x:v>
      </x:c>
      <x:c r="D2310" s="7" t="n">
        <x:v>45382</x:v>
      </x:c>
      <x:c r="E2310" s="2" t="str">
        <x:v>Pre-earnings</x:v>
      </x:c>
      <x:c r="F2310" s="7" t="n">
        <x:v>45400</x:v>
      </x:c>
      <x:c r="G2310" s="2" t="str">
        <x:v>Broad rolling 8</x:v>
      </x:c>
      <x:c r="H2310" s="8" t="n">
        <x:f>'Model fits'!AA1494</x:f>
        <x:v>10.136762220074566</x:v>
      </x:c>
      <x:c r="I2310" s="8" t="n">
        <x:f>0</x:f>
        <x:v>0</x:v>
      </x:c>
      <x:c r="J2310" s="8" t="n">
        <x:v>0</x:v>
      </x:c>
      <x:c r="K2310" s="8" t="n">
        <x:f>H2310-I2310*J2310</x:f>
        <x:v>10.136762220074566</x:v>
      </x:c>
      <x:c r="L2310" s="8" t="n">
        <x:f>'PG facts'!F92</x:f>
        <x:v>2</x:v>
      </x:c>
      <x:c r="M2310" s="8" t="n">
        <x:f>K2310-L2310</x:f>
        <x:v>8.136762220074566</x:v>
      </x:c>
      <x:c r="N2310" s="8" t="n">
        <x:f>M2310^2</x:f>
        <x:v>66.20689942603278</x:v>
      </x:c>
      <x:c r="O2310" s="8" t="n">
        <x:f>ABS(M2310)</x:f>
        <x:v>8.136762220074566</x:v>
      </x:c>
      <x:c r="P2310" s="7" t="n">
        <x:v>45401</x:v>
      </x:c>
    </x:row>
    <x:row r="2311" ht="26" customHeight="1">
      <x:c r="A2311" s="2"/>
      <x:c r="B2311" s="2" t="n">
        <x:v>2306</x:v>
      </x:c>
      <x:c r="C2311" s="2" t="str">
        <x:v>Health Care / organic_sales_growth</x:v>
      </x:c>
      <x:c r="D2311" s="7" t="n">
        <x:v>45382</x:v>
      </x:c>
      <x:c r="E2311" s="2" t="str">
        <x:v>Pre-earnings</x:v>
      </x:c>
      <x:c r="F2311" s="7" t="n">
        <x:v>45400</x:v>
      </x:c>
      <x:c r="G2311" s="2" t="str">
        <x:v>Own history</x:v>
      </x:c>
      <x:c r="H2311" s="8" t="n">
        <x:f>'Model fits'!AA1495</x:f>
        <x:v>11.561224489795915</x:v>
      </x:c>
      <x:c r="I2311" s="8" t="n">
        <x:f>0</x:f>
        <x:v>0</x:v>
      </x:c>
      <x:c r="J2311" s="8" t="n">
        <x:v>0</x:v>
      </x:c>
      <x:c r="K2311" s="8" t="n">
        <x:f>H2311-I2311*J2311</x:f>
        <x:v>11.561224489795915</x:v>
      </x:c>
      <x:c r="L2311" s="8" t="n">
        <x:f>'PG facts'!F92</x:f>
        <x:v>2</x:v>
      </x:c>
      <x:c r="M2311" s="8" t="n">
        <x:f>K2311-L2311</x:f>
        <x:v>9.561224489795915</x:v>
      </x:c>
      <x:c r="N2311" s="8" t="n">
        <x:f>M2311^2</x:f>
        <x:v>91.41701374427316</x:v>
      </x:c>
      <x:c r="O2311" s="8" t="n">
        <x:f>ABS(M2311)</x:f>
        <x:v>9.561224489795915</x:v>
      </x:c>
      <x:c r="P2311" s="7" t="n">
        <x:v>45401</x:v>
      </x:c>
    </x:row>
    <x:row r="2312" ht="26" customHeight="1">
      <x:c r="A2312" s="2"/>
      <x:c r="B2312" s="2" t="n">
        <x:v>2307</x:v>
      </x:c>
      <x:c r="C2312" s="2" t="str">
        <x:v>Health Care / organic_sales_growth</x:v>
      </x:c>
      <x:c r="D2312" s="7" t="n">
        <x:v>45473</x:v>
      </x:c>
      <x:c r="E2312" s="2" t="str">
        <x:v>Origin</x:v>
      </x:c>
      <x:c r="F2312" s="7" t="n">
        <x:v>45383</x:v>
      </x:c>
      <x:c r="G2312" s="2" t="str">
        <x:v>Last actual</x:v>
      </x:c>
      <x:c r="H2312" s="8" t="n">
        <x:f>AVERAGE('PG facts'!F85)</x:f>
        <x:v>2</x:v>
      </x:c>
      <x:c r="I2312" s="8" t="n">
        <x:f>0</x:f>
        <x:v>0</x:v>
      </x:c>
      <x:c r="J2312" s="8" t="n">
        <x:v>0</x:v>
      </x:c>
      <x:c r="K2312" s="8" t="n">
        <x:f>H2312-I2312*J2312</x:f>
        <x:v>2</x:v>
      </x:c>
      <x:c r="L2312" s="8" t="n">
        <x:f>'PG facts'!F99</x:f>
        <x:v>4</x:v>
      </x:c>
      <x:c r="M2312" s="8" t="n">
        <x:f>K2312-L2312</x:f>
        <x:v>-2</x:v>
      </x:c>
      <x:c r="N2312" s="8" t="n">
        <x:f>M2312^2</x:f>
        <x:v>4</x:v>
      </x:c>
      <x:c r="O2312" s="8" t="n">
        <x:f>ABS(M2312)</x:f>
        <x:v>2</x:v>
      </x:c>
      <x:c r="P2312" s="7" t="n">
        <x:v>45503</x:v>
      </x:c>
    </x:row>
    <x:row r="2313" ht="26" customHeight="1">
      <x:c r="A2313" s="2"/>
      <x:c r="B2313" s="2" t="n">
        <x:v>2308</x:v>
      </x:c>
      <x:c r="C2313" s="2" t="str">
        <x:v>Health Care / organic_sales_growth</x:v>
      </x:c>
      <x:c r="D2313" s="7" t="n">
        <x:v>45473</x:v>
      </x:c>
      <x:c r="E2313" s="2" t="str">
        <x:v>Origin</x:v>
      </x:c>
      <x:c r="F2313" s="7" t="n">
        <x:v>45383</x:v>
      </x:c>
      <x:c r="G2313" s="2" t="str">
        <x:v>Four-quarter mean</x:v>
      </x:c>
      <x:c r="H2313" s="8" t="n">
        <x:f>AVERAGE('PG facts'!F64,'PG facts'!F71,'PG facts'!F78,'PG facts'!F85)</x:f>
        <x:v>6.5</x:v>
      </x:c>
      <x:c r="I2313" s="8" t="n">
        <x:f>0</x:f>
        <x:v>0</x:v>
      </x:c>
      <x:c r="J2313" s="8" t="n">
        <x:v>0</x:v>
      </x:c>
      <x:c r="K2313" s="8" t="n">
        <x:f>H2313-I2313*J2313</x:f>
        <x:v>6.5</x:v>
      </x:c>
      <x:c r="L2313" s="8" t="n">
        <x:f>'PG facts'!F99</x:f>
        <x:v>4</x:v>
      </x:c>
      <x:c r="M2313" s="8" t="n">
        <x:f>K2313-L2313</x:f>
        <x:v>2.5</x:v>
      </x:c>
      <x:c r="N2313" s="8" t="n">
        <x:f>M2313^2</x:f>
        <x:v>6.25</x:v>
      </x:c>
      <x:c r="O2313" s="8" t="n">
        <x:f>ABS(M2313)</x:f>
        <x:v>2.5</x:v>
      </x:c>
      <x:c r="P2313" s="7" t="n">
        <x:v>45503</x:v>
      </x:c>
    </x:row>
    <x:row r="2314" ht="26" customHeight="1">
      <x:c r="A2314" s="2"/>
      <x:c r="B2314" s="2" t="n">
        <x:v>2309</x:v>
      </x:c>
      <x:c r="C2314" s="2" t="str">
        <x:v>Health Care / organic_sales_growth</x:v>
      </x:c>
      <x:c r="D2314" s="7" t="n">
        <x:v>45473</x:v>
      </x:c>
      <x:c r="E2314" s="2" t="str">
        <x:v>Origin</x:v>
      </x:c>
      <x:c r="F2314" s="7" t="n">
        <x:v>45383</x:v>
      </x:c>
      <x:c r="G2314" s="2" t="str">
        <x:v>Broad market</x:v>
      </x:c>
      <x:c r="H2314" s="8" t="n">
        <x:f>'Model fits'!AA1496</x:f>
        <x:v>7.908376340623098</x:v>
      </x:c>
      <x:c r="I2314" s="8" t="n">
        <x:f>0</x:f>
        <x:v>0</x:v>
      </x:c>
      <x:c r="J2314" s="8" t="n">
        <x:v>0</x:v>
      </x:c>
      <x:c r="K2314" s="8" t="n">
        <x:f>H2314-I2314*J2314</x:f>
        <x:v>7.908376340623098</x:v>
      </x:c>
      <x:c r="L2314" s="8" t="n">
        <x:f>'PG facts'!F99</x:f>
        <x:v>4</x:v>
      </x:c>
      <x:c r="M2314" s="8" t="n">
        <x:f>K2314-L2314</x:f>
        <x:v>3.9083763406230982</x:v>
      </x:c>
      <x:c r="N2314" s="8" t="n">
        <x:f>M2314^2</x:f>
        <x:v>15.2754056199424</x:v>
      </x:c>
      <x:c r="O2314" s="8" t="n">
        <x:f>ABS(M2314)</x:f>
        <x:v>3.9083763406230982</x:v>
      </x:c>
      <x:c r="P2314" s="7" t="n">
        <x:v>45503</x:v>
      </x:c>
    </x:row>
    <x:row r="2315" ht="26" customHeight="1">
      <x:c r="A2315" s="2"/>
      <x:c r="B2315" s="2" t="n">
        <x:v>2310</x:v>
      </x:c>
      <x:c r="C2315" s="2" t="str">
        <x:v>Health Care / organic_sales_growth</x:v>
      </x:c>
      <x:c r="D2315" s="7" t="n">
        <x:v>45473</x:v>
      </x:c>
      <x:c r="E2315" s="2" t="str">
        <x:v>Origin</x:v>
      </x:c>
      <x:c r="F2315" s="7" t="n">
        <x:v>45383</x:v>
      </x:c>
      <x:c r="G2315" s="2" t="str">
        <x:v>Broad rolling 8</x:v>
      </x:c>
      <x:c r="H2315" s="8" t="n">
        <x:f>'Model fits'!AA1497</x:f>
        <x:v>8.67465104957645</x:v>
      </x:c>
      <x:c r="I2315" s="8" t="n">
        <x:f>0</x:f>
        <x:v>0</x:v>
      </x:c>
      <x:c r="J2315" s="8" t="n">
        <x:v>0</x:v>
      </x:c>
      <x:c r="K2315" s="8" t="n">
        <x:f>H2315-I2315*J2315</x:f>
        <x:v>8.67465104957645</x:v>
      </x:c>
      <x:c r="L2315" s="8" t="n">
        <x:f>'PG facts'!F99</x:f>
        <x:v>4</x:v>
      </x:c>
      <x:c r="M2315" s="8" t="n">
        <x:f>K2315-L2315</x:f>
        <x:v>4.67465104957645</x:v>
      </x:c>
      <x:c r="N2315" s="8" t="n">
        <x:f>M2315^2</x:f>
        <x:v>21.85236243530621</x:v>
      </x:c>
      <x:c r="O2315" s="8" t="n">
        <x:f>ABS(M2315)</x:f>
        <x:v>4.67465104957645</x:v>
      </x:c>
      <x:c r="P2315" s="7" t="n">
        <x:v>45503</x:v>
      </x:c>
    </x:row>
    <x:row r="2316" ht="26" customHeight="1">
      <x:c r="A2316" s="2"/>
      <x:c r="B2316" s="2" t="n">
        <x:v>2311</x:v>
      </x:c>
      <x:c r="C2316" s="2" t="str">
        <x:v>Health Care / organic_sales_growth</x:v>
      </x:c>
      <x:c r="D2316" s="7" t="n">
        <x:v>45473</x:v>
      </x:c>
      <x:c r="E2316" s="2" t="str">
        <x:v>Origin</x:v>
      </x:c>
      <x:c r="F2316" s="7" t="n">
        <x:v>45383</x:v>
      </x:c>
      <x:c r="G2316" s="2" t="str">
        <x:v>Own history</x:v>
      </x:c>
      <x:c r="H2316" s="8" t="n">
        <x:f>'Model fits'!AA1498</x:f>
        <x:v>7.408781226343677</x:v>
      </x:c>
      <x:c r="I2316" s="8" t="n">
        <x:f>0</x:f>
        <x:v>0</x:v>
      </x:c>
      <x:c r="J2316" s="8" t="n">
        <x:v>0</x:v>
      </x:c>
      <x:c r="K2316" s="8" t="n">
        <x:f>H2316-I2316*J2316</x:f>
        <x:v>7.408781226343677</x:v>
      </x:c>
      <x:c r="L2316" s="8" t="n">
        <x:f>'PG facts'!F99</x:f>
        <x:v>4</x:v>
      </x:c>
      <x:c r="M2316" s="8" t="n">
        <x:f>K2316-L2316</x:f>
        <x:v>3.4087812263436774</x:v>
      </x:c>
      <x:c r="N2316" s="8" t="n">
        <x:f>M2316^2</x:f>
        <x:v>11.619789449073105</x:v>
      </x:c>
      <x:c r="O2316" s="8" t="n">
        <x:f>ABS(M2316)</x:f>
        <x:v>3.4087812263436774</x:v>
      </x:c>
      <x:c r="P2316" s="7" t="n">
        <x:v>45503</x:v>
      </x:c>
    </x:row>
    <x:row r="2317" ht="26" customHeight="1">
      <x:c r="A2317" s="2"/>
      <x:c r="B2317" s="2" t="n">
        <x:v>2312</x:v>
      </x:c>
      <x:c r="C2317" s="2" t="str">
        <x:v>Health Care / organic_sales_growth</x:v>
      </x:c>
      <x:c r="D2317" s="7" t="n">
        <x:v>45473</x:v>
      </x:c>
      <x:c r="E2317" s="2" t="str">
        <x:v>Prior report</x:v>
      </x:c>
      <x:c r="F2317" s="7" t="n">
        <x:v>45401</x:v>
      </x:c>
      <x:c r="G2317" s="2" t="str">
        <x:v>Last actual</x:v>
      </x:c>
      <x:c r="H2317" s="8" t="n">
        <x:f>AVERAGE('PG facts'!F92)</x:f>
        <x:v>2</x:v>
      </x:c>
      <x:c r="I2317" s="8" t="n">
        <x:f>0</x:f>
        <x:v>0</x:v>
      </x:c>
      <x:c r="J2317" s="8" t="n">
        <x:v>0</x:v>
      </x:c>
      <x:c r="K2317" s="8" t="n">
        <x:f>H2317-I2317*J2317</x:f>
        <x:v>2</x:v>
      </x:c>
      <x:c r="L2317" s="8" t="n">
        <x:f>'PG facts'!F99</x:f>
        <x:v>4</x:v>
      </x:c>
      <x:c r="M2317" s="8" t="n">
        <x:f>K2317-L2317</x:f>
        <x:v>-2</x:v>
      </x:c>
      <x:c r="N2317" s="8" t="n">
        <x:f>M2317^2</x:f>
        <x:v>4</x:v>
      </x:c>
      <x:c r="O2317" s="8" t="n">
        <x:f>ABS(M2317)</x:f>
        <x:v>2</x:v>
      </x:c>
      <x:c r="P2317" s="7" t="n">
        <x:v>45503</x:v>
      </x:c>
    </x:row>
    <x:row r="2318" ht="26" customHeight="1">
      <x:c r="A2318" s="2"/>
      <x:c r="B2318" s="2" t="n">
        <x:v>2313</x:v>
      </x:c>
      <x:c r="C2318" s="2" t="str">
        <x:v>Health Care / organic_sales_growth</x:v>
      </x:c>
      <x:c r="D2318" s="7" t="n">
        <x:v>45473</x:v>
      </x:c>
      <x:c r="E2318" s="2" t="str">
        <x:v>Prior report</x:v>
      </x:c>
      <x:c r="F2318" s="7" t="n">
        <x:v>45401</x:v>
      </x:c>
      <x:c r="G2318" s="2" t="str">
        <x:v>Four-quarter mean</x:v>
      </x:c>
      <x:c r="H2318" s="8" t="n">
        <x:f>AVERAGE('PG facts'!F71,'PG facts'!F78,'PG facts'!F85,'PG facts'!F92)</x:f>
        <x:v>4.75</x:v>
      </x:c>
      <x:c r="I2318" s="8" t="n">
        <x:f>0</x:f>
        <x:v>0</x:v>
      </x:c>
      <x:c r="J2318" s="8" t="n">
        <x:v>0</x:v>
      </x:c>
      <x:c r="K2318" s="8" t="n">
        <x:f>H2318-I2318*J2318</x:f>
        <x:v>4.75</x:v>
      </x:c>
      <x:c r="L2318" s="8" t="n">
        <x:f>'PG facts'!F99</x:f>
        <x:v>4</x:v>
      </x:c>
      <x:c r="M2318" s="8" t="n">
        <x:f>K2318-L2318</x:f>
        <x:v>0.75</x:v>
      </x:c>
      <x:c r="N2318" s="8" t="n">
        <x:f>M2318^2</x:f>
        <x:v>0.5625</x:v>
      </x:c>
      <x:c r="O2318" s="8" t="n">
        <x:f>ABS(M2318)</x:f>
        <x:v>0.75</x:v>
      </x:c>
      <x:c r="P2318" s="7" t="n">
        <x:v>45503</x:v>
      </x:c>
    </x:row>
    <x:row r="2319" ht="26" customHeight="1">
      <x:c r="A2319" s="2"/>
      <x:c r="B2319" s="2" t="n">
        <x:v>2314</x:v>
      </x:c>
      <x:c r="C2319" s="2" t="str">
        <x:v>Health Care / organic_sales_growth</x:v>
      </x:c>
      <x:c r="D2319" s="7" t="n">
        <x:v>45473</x:v>
      </x:c>
      <x:c r="E2319" s="2" t="str">
        <x:v>Prior report</x:v>
      </x:c>
      <x:c r="F2319" s="7" t="n">
        <x:v>45401</x:v>
      </x:c>
      <x:c r="G2319" s="2" t="str">
        <x:v>Broad market</x:v>
      </x:c>
      <x:c r="H2319" s="8" t="n">
        <x:f>'Model fits'!AA1499</x:f>
        <x:v>6.53498380344166</x:v>
      </x:c>
      <x:c r="I2319" s="8" t="n">
        <x:f>0</x:f>
        <x:v>0</x:v>
      </x:c>
      <x:c r="J2319" s="8" t="n">
        <x:v>0</x:v>
      </x:c>
      <x:c r="K2319" s="8" t="n">
        <x:f>H2319-I2319*J2319</x:f>
        <x:v>6.53498380344166</x:v>
      </x:c>
      <x:c r="L2319" s="8" t="n">
        <x:f>'PG facts'!F99</x:f>
        <x:v>4</x:v>
      </x:c>
      <x:c r="M2319" s="8" t="n">
        <x:f>K2319-L2319</x:f>
        <x:v>2.5349838034416603</x:v>
      </x:c>
      <x:c r="N2319" s="8" t="n">
        <x:f>M2319^2</x:f>
        <x:v>6.426142883711546</x:v>
      </x:c>
      <x:c r="O2319" s="8" t="n">
        <x:f>ABS(M2319)</x:f>
        <x:v>2.5349838034416603</x:v>
      </x:c>
      <x:c r="P2319" s="7" t="n">
        <x:v>45503</x:v>
      </x:c>
    </x:row>
    <x:row r="2320" ht="26" customHeight="1">
      <x:c r="A2320" s="2"/>
      <x:c r="B2320" s="2" t="n">
        <x:v>2315</x:v>
      </x:c>
      <x:c r="C2320" s="2" t="str">
        <x:v>Health Care / organic_sales_growth</x:v>
      </x:c>
      <x:c r="D2320" s="7" t="n">
        <x:v>45473</x:v>
      </x:c>
      <x:c r="E2320" s="2" t="str">
        <x:v>Prior report</x:v>
      </x:c>
      <x:c r="F2320" s="7" t="n">
        <x:v>45401</x:v>
      </x:c>
      <x:c r="G2320" s="2" t="str">
        <x:v>Broad lag 1</x:v>
      </x:c>
      <x:c r="H2320" s="8" t="n">
        <x:f>'Model fits'!AA1500</x:f>
        <x:v>9.415898279305898</x:v>
      </x:c>
      <x:c r="I2320" s="8" t="n">
        <x:f>0</x:f>
        <x:v>0</x:v>
      </x:c>
      <x:c r="J2320" s="8" t="n">
        <x:v>0</x:v>
      </x:c>
      <x:c r="K2320" s="8" t="n">
        <x:f>H2320-I2320*J2320</x:f>
        <x:v>9.415898279305898</x:v>
      </x:c>
      <x:c r="L2320" s="8" t="n">
        <x:f>'PG facts'!F99</x:f>
        <x:v>4</x:v>
      </x:c>
      <x:c r="M2320" s="8" t="n">
        <x:f>K2320-L2320</x:f>
        <x:v>5.415898279305898</x:v>
      </x:c>
      <x:c r="N2320" s="8" t="n">
        <x:f>M2320^2</x:f>
        <x:v>29.331954171788585</x:v>
      </x:c>
      <x:c r="O2320" s="8" t="n">
        <x:f>ABS(M2320)</x:f>
        <x:v>5.415898279305898</x:v>
      </x:c>
      <x:c r="P2320" s="7" t="n">
        <x:v>45503</x:v>
      </x:c>
    </x:row>
    <x:row r="2321" ht="26" customHeight="1">
      <x:c r="A2321" s="2"/>
      <x:c r="B2321" s="2" t="n">
        <x:v>2316</x:v>
      </x:c>
      <x:c r="C2321" s="2" t="str">
        <x:v>Health Care / organic_sales_growth</x:v>
      </x:c>
      <x:c r="D2321" s="7" t="n">
        <x:v>45473</x:v>
      </x:c>
      <x:c r="E2321" s="2" t="str">
        <x:v>Prior report</x:v>
      </x:c>
      <x:c r="F2321" s="7" t="n">
        <x:v>45401</x:v>
      </x:c>
      <x:c r="G2321" s="2" t="str">
        <x:v>Broad rolling 8</x:v>
      </x:c>
      <x:c r="H2321" s="8" t="n">
        <x:f>'Model fits'!AA1501</x:f>
        <x:v>7.152982906880548</x:v>
      </x:c>
      <x:c r="I2321" s="8" t="n">
        <x:f>0</x:f>
        <x:v>0</x:v>
      </x:c>
      <x:c r="J2321" s="8" t="n">
        <x:v>0</x:v>
      </x:c>
      <x:c r="K2321" s="8" t="n">
        <x:f>H2321-I2321*J2321</x:f>
        <x:v>7.152982906880548</x:v>
      </x:c>
      <x:c r="L2321" s="8" t="n">
        <x:f>'PG facts'!F99</x:f>
        <x:v>4</x:v>
      </x:c>
      <x:c r="M2321" s="8" t="n">
        <x:f>K2321-L2321</x:f>
        <x:v>3.152982906880548</x:v>
      </x:c>
      <x:c r="N2321" s="8" t="n">
        <x:f>M2321^2</x:f>
        <x:v>9.941301211080912</x:v>
      </x:c>
      <x:c r="O2321" s="8" t="n">
        <x:f>ABS(M2321)</x:f>
        <x:v>3.152982906880548</x:v>
      </x:c>
      <x:c r="P2321" s="7" t="n">
        <x:v>45503</x:v>
      </x:c>
    </x:row>
    <x:row r="2322" ht="26" customHeight="1">
      <x:c r="A2322" s="2"/>
      <x:c r="B2322" s="2" t="n">
        <x:v>2317</x:v>
      </x:c>
      <x:c r="C2322" s="2" t="str">
        <x:v>Health Care / organic_sales_growth</x:v>
      </x:c>
      <x:c r="D2322" s="7" t="n">
        <x:v>45473</x:v>
      </x:c>
      <x:c r="E2322" s="2" t="str">
        <x:v>Prior report</x:v>
      </x:c>
      <x:c r="F2322" s="7" t="n">
        <x:v>45401</x:v>
      </x:c>
      <x:c r="G2322" s="2" t="str">
        <x:v>Own history</x:v>
      </x:c>
      <x:c r="H2322" s="8" t="n">
        <x:f>'Model fits'!AA1502</x:f>
        <x:v>8.645390070921984</x:v>
      </x:c>
      <x:c r="I2322" s="8" t="n">
        <x:f>0</x:f>
        <x:v>0</x:v>
      </x:c>
      <x:c r="J2322" s="8" t="n">
        <x:v>0</x:v>
      </x:c>
      <x:c r="K2322" s="8" t="n">
        <x:f>H2322-I2322*J2322</x:f>
        <x:v>8.645390070921984</x:v>
      </x:c>
      <x:c r="L2322" s="8" t="n">
        <x:f>'PG facts'!F99</x:f>
        <x:v>4</x:v>
      </x:c>
      <x:c r="M2322" s="8" t="n">
        <x:f>K2322-L2322</x:f>
        <x:v>4.645390070921984</x:v>
      </x:c>
      <x:c r="N2322" s="8" t="n">
        <x:f>M2322^2</x:f>
        <x:v>21.579648911020552</x:v>
      </x:c>
      <x:c r="O2322" s="8" t="n">
        <x:f>ABS(M2322)</x:f>
        <x:v>4.645390070921984</x:v>
      </x:c>
      <x:c r="P2322" s="7" t="n">
        <x:v>45503</x:v>
      </x:c>
    </x:row>
    <x:row r="2323" ht="26" customHeight="1">
      <x:c r="A2323" s="2"/>
      <x:c r="B2323" s="2" t="n">
        <x:v>2318</x:v>
      </x:c>
      <x:c r="C2323" s="2" t="str">
        <x:v>Health Care / organic_sales_growth</x:v>
      </x:c>
      <x:c r="D2323" s="7" t="n">
        <x:v>45473</x:v>
      </x:c>
      <x:c r="E2323" s="2" t="str">
        <x:v>Pre-earnings</x:v>
      </x:c>
      <x:c r="F2323" s="7" t="n">
        <x:v>45502</x:v>
      </x:c>
      <x:c r="G2323" s="2" t="str">
        <x:v>Last actual</x:v>
      </x:c>
      <x:c r="H2323" s="8" t="n">
        <x:f>AVERAGE('PG facts'!F92)</x:f>
        <x:v>2</x:v>
      </x:c>
      <x:c r="I2323" s="8" t="n">
        <x:f>0</x:f>
        <x:v>0</x:v>
      </x:c>
      <x:c r="J2323" s="8" t="n">
        <x:v>0</x:v>
      </x:c>
      <x:c r="K2323" s="8" t="n">
        <x:f>H2323-I2323*J2323</x:f>
        <x:v>2</x:v>
      </x:c>
      <x:c r="L2323" s="8" t="n">
        <x:f>'PG facts'!F99</x:f>
        <x:v>4</x:v>
      </x:c>
      <x:c r="M2323" s="8" t="n">
        <x:f>K2323-L2323</x:f>
        <x:v>-2</x:v>
      </x:c>
      <x:c r="N2323" s="8" t="n">
        <x:f>M2323^2</x:f>
        <x:v>4</x:v>
      </x:c>
      <x:c r="O2323" s="8" t="n">
        <x:f>ABS(M2323)</x:f>
        <x:v>2</x:v>
      </x:c>
      <x:c r="P2323" s="7" t="n">
        <x:v>45503</x:v>
      </x:c>
    </x:row>
    <x:row r="2324" ht="26" customHeight="1">
      <x:c r="A2324" s="2"/>
      <x:c r="B2324" s="2" t="n">
        <x:v>2319</x:v>
      </x:c>
      <x:c r="C2324" s="2" t="str">
        <x:v>Health Care / organic_sales_growth</x:v>
      </x:c>
      <x:c r="D2324" s="7" t="n">
        <x:v>45473</x:v>
      </x:c>
      <x:c r="E2324" s="2" t="str">
        <x:v>Pre-earnings</x:v>
      </x:c>
      <x:c r="F2324" s="7" t="n">
        <x:v>45502</x:v>
      </x:c>
      <x:c r="G2324" s="2" t="str">
        <x:v>Four-quarter mean</x:v>
      </x:c>
      <x:c r="H2324" s="8" t="n">
        <x:f>AVERAGE('PG facts'!F71,'PG facts'!F78,'PG facts'!F85,'PG facts'!F92)</x:f>
        <x:v>4.75</x:v>
      </x:c>
      <x:c r="I2324" s="8" t="n">
        <x:f>0</x:f>
        <x:v>0</x:v>
      </x:c>
      <x:c r="J2324" s="8" t="n">
        <x:v>0</x:v>
      </x:c>
      <x:c r="K2324" s="8" t="n">
        <x:f>H2324-I2324*J2324</x:f>
        <x:v>4.75</x:v>
      </x:c>
      <x:c r="L2324" s="8" t="n">
        <x:f>'PG facts'!F99</x:f>
        <x:v>4</x:v>
      </x:c>
      <x:c r="M2324" s="8" t="n">
        <x:f>K2324-L2324</x:f>
        <x:v>0.75</x:v>
      </x:c>
      <x:c r="N2324" s="8" t="n">
        <x:f>M2324^2</x:f>
        <x:v>0.5625</x:v>
      </x:c>
      <x:c r="O2324" s="8" t="n">
        <x:f>ABS(M2324)</x:f>
        <x:v>0.75</x:v>
      </x:c>
      <x:c r="P2324" s="7" t="n">
        <x:v>45503</x:v>
      </x:c>
    </x:row>
    <x:row r="2325" ht="26" customHeight="1">
      <x:c r="A2325" s="2"/>
      <x:c r="B2325" s="2" t="n">
        <x:v>2320</x:v>
      </x:c>
      <x:c r="C2325" s="2" t="str">
        <x:v>Health Care / organic_sales_growth</x:v>
      </x:c>
      <x:c r="D2325" s="7" t="n">
        <x:v>45473</x:v>
      </x:c>
      <x:c r="E2325" s="2" t="str">
        <x:v>Pre-earnings</x:v>
      </x:c>
      <x:c r="F2325" s="7" t="n">
        <x:v>45502</x:v>
      </x:c>
      <x:c r="G2325" s="2" t="str">
        <x:v>Broad market</x:v>
      </x:c>
      <x:c r="H2325" s="8" t="n">
        <x:f>'Model fits'!AA1503</x:f>
        <x:v>4.883582178643543</x:v>
      </x:c>
      <x:c r="I2325" s="8" t="n">
        <x:f>0</x:f>
        <x:v>0</x:v>
      </x:c>
      <x:c r="J2325" s="8" t="n">
        <x:v>0</x:v>
      </x:c>
      <x:c r="K2325" s="8" t="n">
        <x:f>H2325-I2325*J2325</x:f>
        <x:v>4.883582178643543</x:v>
      </x:c>
      <x:c r="L2325" s="8" t="n">
        <x:f>'PG facts'!F99</x:f>
        <x:v>4</x:v>
      </x:c>
      <x:c r="M2325" s="8" t="n">
        <x:f>K2325-L2325</x:f>
        <x:v>0.8835821786435432</x:v>
      </x:c>
      <x:c r="N2325" s="8" t="n">
        <x:f>M2325^2</x:f>
        <x:v>0.7807174664164702</x:v>
      </x:c>
      <x:c r="O2325" s="8" t="n">
        <x:f>ABS(M2325)</x:f>
        <x:v>0.8835821786435432</x:v>
      </x:c>
      <x:c r="P2325" s="7" t="n">
        <x:v>45503</x:v>
      </x:c>
    </x:row>
    <x:row r="2326" ht="26" customHeight="1">
      <x:c r="A2326" s="2"/>
      <x:c r="B2326" s="2" t="n">
        <x:v>2321</x:v>
      </x:c>
      <x:c r="C2326" s="2" t="str">
        <x:v>Health Care / organic_sales_growth</x:v>
      </x:c>
      <x:c r="D2326" s="7" t="n">
        <x:v>45473</x:v>
      </x:c>
      <x:c r="E2326" s="2" t="str">
        <x:v>Pre-earnings</x:v>
      </x:c>
      <x:c r="F2326" s="7" t="n">
        <x:v>45502</x:v>
      </x:c>
      <x:c r="G2326" s="2" t="str">
        <x:v>Broad lag 1</x:v>
      </x:c>
      <x:c r="H2326" s="8" t="n">
        <x:f>'Model fits'!AA1504</x:f>
        <x:v>9.341683567146095</x:v>
      </x:c>
      <x:c r="I2326" s="8" t="n">
        <x:f>0</x:f>
        <x:v>0</x:v>
      </x:c>
      <x:c r="J2326" s="8" t="n">
        <x:v>0</x:v>
      </x:c>
      <x:c r="K2326" s="8" t="n">
        <x:f>H2326-I2326*J2326</x:f>
        <x:v>9.341683567146095</x:v>
      </x:c>
      <x:c r="L2326" s="8" t="n">
        <x:f>'PG facts'!F99</x:f>
        <x:v>4</x:v>
      </x:c>
      <x:c r="M2326" s="8" t="n">
        <x:f>K2326-L2326</x:f>
        <x:v>5.341683567146095</x:v>
      </x:c>
      <x:c r="N2326" s="8" t="n">
        <x:f>M2326^2</x:f>
        <x:v>28.53358333151863</x:v>
      </x:c>
      <x:c r="O2326" s="8" t="n">
        <x:f>ABS(M2326)</x:f>
        <x:v>5.341683567146095</x:v>
      </x:c>
      <x:c r="P2326" s="7" t="n">
        <x:v>45503</x:v>
      </x:c>
    </x:row>
    <x:row r="2327" ht="26" customHeight="1">
      <x:c r="A2327" s="2"/>
      <x:c r="B2327" s="2" t="n">
        <x:v>2322</x:v>
      </x:c>
      <x:c r="C2327" s="2" t="str">
        <x:v>Health Care / organic_sales_growth</x:v>
      </x:c>
      <x:c r="D2327" s="7" t="n">
        <x:v>45473</x:v>
      </x:c>
      <x:c r="E2327" s="2" t="str">
        <x:v>Pre-earnings</x:v>
      </x:c>
      <x:c r="F2327" s="7" t="n">
        <x:v>45502</x:v>
      </x:c>
      <x:c r="G2327" s="2" t="str">
        <x:v>Broad rolling 8</x:v>
      </x:c>
      <x:c r="H2327" s="8" t="n">
        <x:f>'Model fits'!AA1505</x:f>
        <x:v>7.466846027953859</x:v>
      </x:c>
      <x:c r="I2327" s="8" t="n">
        <x:f>0</x:f>
        <x:v>0</x:v>
      </x:c>
      <x:c r="J2327" s="8" t="n">
        <x:v>0</x:v>
      </x:c>
      <x:c r="K2327" s="8" t="n">
        <x:f>H2327-I2327*J2327</x:f>
        <x:v>7.466846027953859</x:v>
      </x:c>
      <x:c r="L2327" s="8" t="n">
        <x:f>'PG facts'!F99</x:f>
        <x:v>4</x:v>
      </x:c>
      <x:c r="M2327" s="8" t="n">
        <x:f>K2327-L2327</x:f>
        <x:v>3.466846027953859</x:v>
      </x:c>
      <x:c r="N2327" s="8" t="n">
        <x:f>M2327^2</x:f>
        <x:v>12.01902138153945</x:v>
      </x:c>
      <x:c r="O2327" s="8" t="n">
        <x:f>ABS(M2327)</x:f>
        <x:v>3.466846027953859</x:v>
      </x:c>
      <x:c r="P2327" s="7" t="n">
        <x:v>45503</x:v>
      </x:c>
    </x:row>
    <x:row r="2328" ht="26" customHeight="1">
      <x:c r="A2328" s="2"/>
      <x:c r="B2328" s="2" t="n">
        <x:v>2323</x:v>
      </x:c>
      <x:c r="C2328" s="2" t="str">
        <x:v>Health Care / organic_sales_growth</x:v>
      </x:c>
      <x:c r="D2328" s="7" t="n">
        <x:v>45473</x:v>
      </x:c>
      <x:c r="E2328" s="2" t="str">
        <x:v>Pre-earnings</x:v>
      </x:c>
      <x:c r="F2328" s="7" t="n">
        <x:v>45502</x:v>
      </x:c>
      <x:c r="G2328" s="2" t="str">
        <x:v>Own history</x:v>
      </x:c>
      <x:c r="H2328" s="8" t="n">
        <x:f>'Model fits'!AA1506</x:f>
        <x:v>8.645390070921984</x:v>
      </x:c>
      <x:c r="I2328" s="8" t="n">
        <x:f>0</x:f>
        <x:v>0</x:v>
      </x:c>
      <x:c r="J2328" s="8" t="n">
        <x:v>0</x:v>
      </x:c>
      <x:c r="K2328" s="8" t="n">
        <x:f>H2328-I2328*J2328</x:f>
        <x:v>8.645390070921984</x:v>
      </x:c>
      <x:c r="L2328" s="8" t="n">
        <x:f>'PG facts'!F99</x:f>
        <x:v>4</x:v>
      </x:c>
      <x:c r="M2328" s="8" t="n">
        <x:f>K2328-L2328</x:f>
        <x:v>4.645390070921984</x:v>
      </x:c>
      <x:c r="N2328" s="8" t="n">
        <x:f>M2328^2</x:f>
        <x:v>21.579648911020552</x:v>
      </x:c>
      <x:c r="O2328" s="8" t="n">
        <x:f>ABS(M2328)</x:f>
        <x:v>4.645390070921984</x:v>
      </x:c>
      <x:c r="P2328" s="7" t="n">
        <x:v>45503</x:v>
      </x:c>
    </x:row>
    <x:row r="2329" ht="26" customHeight="1">
      <x:c r="A2329" s="2"/>
      <x:c r="B2329" s="2" t="n">
        <x:v>2324</x:v>
      </x:c>
      <x:c r="C2329" s="2" t="str">
        <x:v>Health Care / organic_sales_growth</x:v>
      </x:c>
      <x:c r="D2329" s="7" t="n">
        <x:v>45565</x:v>
      </x:c>
      <x:c r="E2329" s="2" t="str">
        <x:v>Origin</x:v>
      </x:c>
      <x:c r="F2329" s="7" t="n">
        <x:v>45474</x:v>
      </x:c>
      <x:c r="G2329" s="2" t="str">
        <x:v>Last actual</x:v>
      </x:c>
      <x:c r="H2329" s="8" t="n">
        <x:f>AVERAGE('PG facts'!F92)</x:f>
        <x:v>2</x:v>
      </x:c>
      <x:c r="I2329" s="8" t="n">
        <x:f>0</x:f>
        <x:v>0</x:v>
      </x:c>
      <x:c r="J2329" s="8" t="n">
        <x:v>0</x:v>
      </x:c>
      <x:c r="K2329" s="8" t="n">
        <x:f>H2329-I2329*J2329</x:f>
        <x:v>2</x:v>
      </x:c>
      <x:c r="L2329" s="8" t="n">
        <x:f>'PG facts'!F106</x:f>
        <x:v>4</x:v>
      </x:c>
      <x:c r="M2329" s="8" t="n">
        <x:f>K2329-L2329</x:f>
        <x:v>-2</x:v>
      </x:c>
      <x:c r="N2329" s="8" t="n">
        <x:f>M2329^2</x:f>
        <x:v>4</x:v>
      </x:c>
      <x:c r="O2329" s="8" t="n">
        <x:f>ABS(M2329)</x:f>
        <x:v>2</x:v>
      </x:c>
      <x:c r="P2329" s="7" t="n">
        <x:v>45583</x:v>
      </x:c>
    </x:row>
    <x:row r="2330" ht="26" customHeight="1">
      <x:c r="A2330" s="2"/>
      <x:c r="B2330" s="2" t="n">
        <x:v>2325</x:v>
      </x:c>
      <x:c r="C2330" s="2" t="str">
        <x:v>Health Care / organic_sales_growth</x:v>
      </x:c>
      <x:c r="D2330" s="7" t="n">
        <x:v>45565</x:v>
      </x:c>
      <x:c r="E2330" s="2" t="str">
        <x:v>Origin</x:v>
      </x:c>
      <x:c r="F2330" s="7" t="n">
        <x:v>45474</x:v>
      </x:c>
      <x:c r="G2330" s="2" t="str">
        <x:v>Four-quarter mean</x:v>
      </x:c>
      <x:c r="H2330" s="8" t="n">
        <x:f>AVERAGE('PG facts'!F71,'PG facts'!F78,'PG facts'!F85,'PG facts'!F92)</x:f>
        <x:v>4.75</x:v>
      </x:c>
      <x:c r="I2330" s="8" t="n">
        <x:f>0</x:f>
        <x:v>0</x:v>
      </x:c>
      <x:c r="J2330" s="8" t="n">
        <x:v>0</x:v>
      </x:c>
      <x:c r="K2330" s="8" t="n">
        <x:f>H2330-I2330*J2330</x:f>
        <x:v>4.75</x:v>
      </x:c>
      <x:c r="L2330" s="8" t="n">
        <x:f>'PG facts'!F106</x:f>
        <x:v>4</x:v>
      </x:c>
      <x:c r="M2330" s="8" t="n">
        <x:f>K2330-L2330</x:f>
        <x:v>0.75</x:v>
      </x:c>
      <x:c r="N2330" s="8" t="n">
        <x:f>M2330^2</x:f>
        <x:v>0.5625</x:v>
      </x:c>
      <x:c r="O2330" s="8" t="n">
        <x:f>ABS(M2330)</x:f>
        <x:v>0.75</x:v>
      </x:c>
      <x:c r="P2330" s="7" t="n">
        <x:v>45583</x:v>
      </x:c>
    </x:row>
    <x:row r="2331" ht="26" customHeight="1">
      <x:c r="A2331" s="2"/>
      <x:c r="B2331" s="2" t="n">
        <x:v>2326</x:v>
      </x:c>
      <x:c r="C2331" s="2" t="str">
        <x:v>Health Care / organic_sales_growth</x:v>
      </x:c>
      <x:c r="D2331" s="7" t="n">
        <x:v>45565</x:v>
      </x:c>
      <x:c r="E2331" s="2" t="str">
        <x:v>Origin</x:v>
      </x:c>
      <x:c r="F2331" s="7" t="n">
        <x:v>45474</x:v>
      </x:c>
      <x:c r="G2331" s="2" t="str">
        <x:v>Broad market</x:v>
      </x:c>
      <x:c r="H2331" s="8" t="n">
        <x:f>'Model fits'!AA1507</x:f>
        <x:v>4.962058503689353</x:v>
      </x:c>
      <x:c r="I2331" s="8" t="n">
        <x:f>0</x:f>
        <x:v>0</x:v>
      </x:c>
      <x:c r="J2331" s="8" t="n">
        <x:v>0</x:v>
      </x:c>
      <x:c r="K2331" s="8" t="n">
        <x:f>H2331-I2331*J2331</x:f>
        <x:v>4.962058503689353</x:v>
      </x:c>
      <x:c r="L2331" s="8" t="n">
        <x:f>'PG facts'!F106</x:f>
        <x:v>4</x:v>
      </x:c>
      <x:c r="M2331" s="8" t="n">
        <x:f>K2331-L2331</x:f>
        <x:v>0.9620585036893532</x:v>
      </x:c>
      <x:c r="N2331" s="8" t="n">
        <x:f>M2331^2</x:f>
        <x:v>0.9255565645209972</x:v>
      </x:c>
      <x:c r="O2331" s="8" t="n">
        <x:f>ABS(M2331)</x:f>
        <x:v>0.9620585036893532</x:v>
      </x:c>
      <x:c r="P2331" s="7" t="n">
        <x:v>45583</x:v>
      </x:c>
    </x:row>
    <x:row r="2332" ht="26" customHeight="1">
      <x:c r="A2332" s="2"/>
      <x:c r="B2332" s="2" t="n">
        <x:v>2327</x:v>
      </x:c>
      <x:c r="C2332" s="2" t="str">
        <x:v>Health Care / organic_sales_growth</x:v>
      </x:c>
      <x:c r="D2332" s="7" t="n">
        <x:v>45565</x:v>
      </x:c>
      <x:c r="E2332" s="2" t="str">
        <x:v>Origin</x:v>
      </x:c>
      <x:c r="F2332" s="7" t="n">
        <x:v>45474</x:v>
      </x:c>
      <x:c r="G2332" s="2" t="str">
        <x:v>Broad rolling 8</x:v>
      </x:c>
      <x:c r="H2332" s="8" t="n">
        <x:f>'Model fits'!AA1508</x:f>
        <x:v>7.434241865041733</x:v>
      </x:c>
      <x:c r="I2332" s="8" t="n">
        <x:f>0</x:f>
        <x:v>0</x:v>
      </x:c>
      <x:c r="J2332" s="8" t="n">
        <x:v>0</x:v>
      </x:c>
      <x:c r="K2332" s="8" t="n">
        <x:f>H2332-I2332*J2332</x:f>
        <x:v>7.434241865041733</x:v>
      </x:c>
      <x:c r="L2332" s="8" t="n">
        <x:f>'PG facts'!F106</x:f>
        <x:v>4</x:v>
      </x:c>
      <x:c r="M2332" s="8" t="n">
        <x:f>K2332-L2332</x:f>
        <x:v>3.4342418650417326</x:v>
      </x:c>
      <x:c r="N2332" s="8" t="n">
        <x:f>M2332^2</x:f>
        <x:v>11.794017187605318</x:v>
      </x:c>
      <x:c r="O2332" s="8" t="n">
        <x:f>ABS(M2332)</x:f>
        <x:v>3.4342418650417326</x:v>
      </x:c>
      <x:c r="P2332" s="7" t="n">
        <x:v>45583</x:v>
      </x:c>
    </x:row>
    <x:row r="2333" ht="26" customHeight="1">
      <x:c r="A2333" s="2"/>
      <x:c r="B2333" s="2" t="n">
        <x:v>2328</x:v>
      </x:c>
      <x:c r="C2333" s="2" t="str">
        <x:v>Health Care / organic_sales_growth</x:v>
      </x:c>
      <x:c r="D2333" s="7" t="n">
        <x:v>45565</x:v>
      </x:c>
      <x:c r="E2333" s="2" t="str">
        <x:v>Origin</x:v>
      </x:c>
      <x:c r="F2333" s="7" t="n">
        <x:v>45474</x:v>
      </x:c>
      <x:c r="G2333" s="2" t="str">
        <x:v>Own history</x:v>
      </x:c>
      <x:c r="H2333" s="8" t="n">
        <x:f>'Model fits'!AA1509</x:f>
        <x:v>7.214285714285715</x:v>
      </x:c>
      <x:c r="I2333" s="8" t="n">
        <x:f>0</x:f>
        <x:v>0</x:v>
      </x:c>
      <x:c r="J2333" s="8" t="n">
        <x:v>0</x:v>
      </x:c>
      <x:c r="K2333" s="8" t="n">
        <x:f>H2333-I2333*J2333</x:f>
        <x:v>7.214285714285715</x:v>
      </x:c>
      <x:c r="L2333" s="8" t="n">
        <x:f>'PG facts'!F106</x:f>
        <x:v>4</x:v>
      </x:c>
      <x:c r="M2333" s="8" t="n">
        <x:f>K2333-L2333</x:f>
        <x:v>3.2142857142857153</x:v>
      </x:c>
      <x:c r="N2333" s="8" t="n">
        <x:f>M2333^2</x:f>
        <x:v>10.33163265306123</x:v>
      </x:c>
      <x:c r="O2333" s="8" t="n">
        <x:f>ABS(M2333)</x:f>
        <x:v>3.2142857142857153</x:v>
      </x:c>
      <x:c r="P2333" s="7" t="n">
        <x:v>45583</x:v>
      </x:c>
    </x:row>
    <x:row r="2334" ht="26" customHeight="1">
      <x:c r="A2334" s="2"/>
      <x:c r="B2334" s="2" t="n">
        <x:v>2329</x:v>
      </x:c>
      <x:c r="C2334" s="2" t="str">
        <x:v>Health Care / organic_sales_growth</x:v>
      </x:c>
      <x:c r="D2334" s="7" t="n">
        <x:v>45565</x:v>
      </x:c>
      <x:c r="E2334" s="2" t="str">
        <x:v>Prior report</x:v>
      </x:c>
      <x:c r="F2334" s="7" t="n">
        <x:v>45503</x:v>
      </x:c>
      <x:c r="G2334" s="2" t="str">
        <x:v>Last actual</x:v>
      </x:c>
      <x:c r="H2334" s="8" t="n">
        <x:f>AVERAGE('PG facts'!F99)</x:f>
        <x:v>4</x:v>
      </x:c>
      <x:c r="I2334" s="8" t="n">
        <x:f>0</x:f>
        <x:v>0</x:v>
      </x:c>
      <x:c r="J2334" s="8" t="n">
        <x:v>0</x:v>
      </x:c>
      <x:c r="K2334" s="8" t="n">
        <x:f>H2334-I2334*J2334</x:f>
        <x:v>4</x:v>
      </x:c>
      <x:c r="L2334" s="8" t="n">
        <x:f>'PG facts'!F106</x:f>
        <x:v>4</x:v>
      </x:c>
      <x:c r="M2334" s="8" t="n">
        <x:f>K2334-L2334</x:f>
        <x:v>0</x:v>
      </x:c>
      <x:c r="N2334" s="8" t="n">
        <x:f>M2334^2</x:f>
        <x:v>0</x:v>
      </x:c>
      <x:c r="O2334" s="8" t="n">
        <x:f>ABS(M2334)</x:f>
        <x:v>0</x:v>
      </x:c>
      <x:c r="P2334" s="7" t="n">
        <x:v>45583</x:v>
      </x:c>
    </x:row>
    <x:row r="2335" ht="26" customHeight="1">
      <x:c r="A2335" s="2"/>
      <x:c r="B2335" s="2" t="n">
        <x:v>2330</x:v>
      </x:c>
      <x:c r="C2335" s="2" t="str">
        <x:v>Health Care / organic_sales_growth</x:v>
      </x:c>
      <x:c r="D2335" s="7" t="n">
        <x:v>45565</x:v>
      </x:c>
      <x:c r="E2335" s="2" t="str">
        <x:v>Prior report</x:v>
      </x:c>
      <x:c r="F2335" s="7" t="n">
        <x:v>45503</x:v>
      </x:c>
      <x:c r="G2335" s="2" t="str">
        <x:v>Four-quarter mean</x:v>
      </x:c>
      <x:c r="H2335" s="8" t="n">
        <x:f>AVERAGE('PG facts'!F78,'PG facts'!F85,'PG facts'!F92,'PG facts'!F99)</x:f>
        <x:v>4.5</x:v>
      </x:c>
      <x:c r="I2335" s="8" t="n">
        <x:f>0</x:f>
        <x:v>0</x:v>
      </x:c>
      <x:c r="J2335" s="8" t="n">
        <x:v>0</x:v>
      </x:c>
      <x:c r="K2335" s="8" t="n">
        <x:f>H2335-I2335*J2335</x:f>
        <x:v>4.5</x:v>
      </x:c>
      <x:c r="L2335" s="8" t="n">
        <x:f>'PG facts'!F106</x:f>
        <x:v>4</x:v>
      </x:c>
      <x:c r="M2335" s="8" t="n">
        <x:f>K2335-L2335</x:f>
        <x:v>0.5</x:v>
      </x:c>
      <x:c r="N2335" s="8" t="n">
        <x:f>M2335^2</x:f>
        <x:v>0.25</x:v>
      </x:c>
      <x:c r="O2335" s="8" t="n">
        <x:f>ABS(M2335)</x:f>
        <x:v>0.5</x:v>
      </x:c>
      <x:c r="P2335" s="7" t="n">
        <x:v>45583</x:v>
      </x:c>
    </x:row>
    <x:row r="2336" ht="26" customHeight="1">
      <x:c r="A2336" s="2"/>
      <x:c r="B2336" s="2" t="n">
        <x:v>2331</x:v>
      </x:c>
      <x:c r="C2336" s="2" t="str">
        <x:v>Health Care / organic_sales_growth</x:v>
      </x:c>
      <x:c r="D2336" s="7" t="n">
        <x:v>45565</x:v>
      </x:c>
      <x:c r="E2336" s="2" t="str">
        <x:v>Prior report</x:v>
      </x:c>
      <x:c r="F2336" s="7" t="n">
        <x:v>45503</x:v>
      </x:c>
      <x:c r="G2336" s="2" t="str">
        <x:v>Broad market</x:v>
      </x:c>
      <x:c r="H2336" s="8" t="n">
        <x:f>'Model fits'!AA1510</x:f>
        <x:v>4.6802593713959</x:v>
      </x:c>
      <x:c r="I2336" s="8" t="n">
        <x:f>0</x:f>
        <x:v>0</x:v>
      </x:c>
      <x:c r="J2336" s="8" t="n">
        <x:v>0</x:v>
      </x:c>
      <x:c r="K2336" s="8" t="n">
        <x:f>H2336-I2336*J2336</x:f>
        <x:v>4.6802593713959</x:v>
      </x:c>
      <x:c r="L2336" s="8" t="n">
        <x:f>'PG facts'!F106</x:f>
        <x:v>4</x:v>
      </x:c>
      <x:c r="M2336" s="8" t="n">
        <x:f>K2336-L2336</x:f>
        <x:v>0.6802593713959002</x:v>
      </x:c>
      <x:c r="N2336" s="8" t="n">
        <x:f>M2336^2</x:f>
        <x:v>0.46275281237194527</x:v>
      </x:c>
      <x:c r="O2336" s="8" t="n">
        <x:f>ABS(M2336)</x:f>
        <x:v>0.6802593713959002</x:v>
      </x:c>
      <x:c r="P2336" s="7" t="n">
        <x:v>45583</x:v>
      </x:c>
    </x:row>
    <x:row r="2337" ht="26" customHeight="1">
      <x:c r="A2337" s="2"/>
      <x:c r="B2337" s="2" t="n">
        <x:v>2332</x:v>
      </x:c>
      <x:c r="C2337" s="2" t="str">
        <x:v>Health Care / organic_sales_growth</x:v>
      </x:c>
      <x:c r="D2337" s="7" t="n">
        <x:v>45565</x:v>
      </x:c>
      <x:c r="E2337" s="2" t="str">
        <x:v>Prior report</x:v>
      </x:c>
      <x:c r="F2337" s="7" t="n">
        <x:v>45503</x:v>
      </x:c>
      <x:c r="G2337" s="2" t="str">
        <x:v>Broad lag 1</x:v>
      </x:c>
      <x:c r="H2337" s="8" t="n">
        <x:f>'Model fits'!AA1511</x:f>
        <x:v>8.565970719567842</x:v>
      </x:c>
      <x:c r="I2337" s="8" t="n">
        <x:f>0</x:f>
        <x:v>0</x:v>
      </x:c>
      <x:c r="J2337" s="8" t="n">
        <x:v>0</x:v>
      </x:c>
      <x:c r="K2337" s="8" t="n">
        <x:f>H2337-I2337*J2337</x:f>
        <x:v>8.565970719567842</x:v>
      </x:c>
      <x:c r="L2337" s="8" t="n">
        <x:f>'PG facts'!F106</x:f>
        <x:v>4</x:v>
      </x:c>
      <x:c r="M2337" s="8" t="n">
        <x:f>K2337-L2337</x:f>
        <x:v>4.565970719567842</x:v>
      </x:c>
      <x:c r="N2337" s="8" t="n">
        <x:f>M2337^2</x:f>
        <x:v>20.848088611950875</x:v>
      </x:c>
      <x:c r="O2337" s="8" t="n">
        <x:f>ABS(M2337)</x:f>
        <x:v>4.565970719567842</x:v>
      </x:c>
      <x:c r="P2337" s="7" t="n">
        <x:v>45583</x:v>
      </x:c>
    </x:row>
    <x:row r="2338" ht="26" customHeight="1">
      <x:c r="A2338" s="2"/>
      <x:c r="B2338" s="2" t="n">
        <x:v>2333</x:v>
      </x:c>
      <x:c r="C2338" s="2" t="str">
        <x:v>Health Care / organic_sales_growth</x:v>
      </x:c>
      <x:c r="D2338" s="7" t="n">
        <x:v>45565</x:v>
      </x:c>
      <x:c r="E2338" s="2" t="str">
        <x:v>Prior report</x:v>
      </x:c>
      <x:c r="F2338" s="7" t="n">
        <x:v>45503</x:v>
      </x:c>
      <x:c r="G2338" s="2" t="str">
        <x:v>Broad rolling 8</x:v>
      </x:c>
      <x:c r="H2338" s="8" t="n">
        <x:f>'Model fits'!AA1512</x:f>
        <x:v>5.304008942430925</x:v>
      </x:c>
      <x:c r="I2338" s="8" t="n">
        <x:f>0</x:f>
        <x:v>0</x:v>
      </x:c>
      <x:c r="J2338" s="8" t="n">
        <x:v>0</x:v>
      </x:c>
      <x:c r="K2338" s="8" t="n">
        <x:f>H2338-I2338*J2338</x:f>
        <x:v>5.304008942430925</x:v>
      </x:c>
      <x:c r="L2338" s="8" t="n">
        <x:f>'PG facts'!F106</x:f>
        <x:v>4</x:v>
      </x:c>
      <x:c r="M2338" s="8" t="n">
        <x:f>K2338-L2338</x:f>
        <x:v>1.304008942430925</x:v>
      </x:c>
      <x:c r="N2338" s="8" t="n">
        <x:f>M2338^2</x:f>
        <x:v>1.7004393219398193</x:v>
      </x:c>
      <x:c r="O2338" s="8" t="n">
        <x:f>ABS(M2338)</x:f>
        <x:v>1.304008942430925</x:v>
      </x:c>
      <x:c r="P2338" s="7" t="n">
        <x:v>45583</x:v>
      </x:c>
    </x:row>
    <x:row r="2339" ht="26" customHeight="1">
      <x:c r="A2339" s="2"/>
      <x:c r="B2339" s="2" t="n">
        <x:v>2334</x:v>
      </x:c>
      <x:c r="C2339" s="2" t="str">
        <x:v>Health Care / organic_sales_growth</x:v>
      </x:c>
      <x:c r="D2339" s="7" t="n">
        <x:v>45565</x:v>
      </x:c>
      <x:c r="E2339" s="2" t="str">
        <x:v>Prior report</x:v>
      </x:c>
      <x:c r="F2339" s="7" t="n">
        <x:v>45503</x:v>
      </x:c>
      <x:c r="G2339" s="2" t="str">
        <x:v>Own history</x:v>
      </x:c>
      <x:c r="H2339" s="8" t="n">
        <x:f>'Model fits'!AA1513</x:f>
        <x:v>7.659057971014493</x:v>
      </x:c>
      <x:c r="I2339" s="8" t="n">
        <x:f>0</x:f>
        <x:v>0</x:v>
      </x:c>
      <x:c r="J2339" s="8" t="n">
        <x:v>0</x:v>
      </x:c>
      <x:c r="K2339" s="8" t="n">
        <x:f>H2339-I2339*J2339</x:f>
        <x:v>7.659057971014493</x:v>
      </x:c>
      <x:c r="L2339" s="8" t="n">
        <x:f>'PG facts'!F106</x:f>
        <x:v>4</x:v>
      </x:c>
      <x:c r="M2339" s="8" t="n">
        <x:f>K2339-L2339</x:f>
        <x:v>3.6590579710144926</x:v>
      </x:c>
      <x:c r="N2339" s="8" t="n">
        <x:f>M2339^2</x:f>
        <x:v>13.388705235244695</x:v>
      </x:c>
      <x:c r="O2339" s="8" t="n">
        <x:f>ABS(M2339)</x:f>
        <x:v>3.6590579710144926</x:v>
      </x:c>
      <x:c r="P2339" s="7" t="n">
        <x:v>45583</x:v>
      </x:c>
    </x:row>
    <x:row r="2340" ht="26" customHeight="1">
      <x:c r="A2340" s="2"/>
      <x:c r="B2340" s="2" t="n">
        <x:v>2335</x:v>
      </x:c>
      <x:c r="C2340" s="2" t="str">
        <x:v>Health Care / organic_sales_growth</x:v>
      </x:c>
      <x:c r="D2340" s="7" t="n">
        <x:v>45565</x:v>
      </x:c>
      <x:c r="E2340" s="2" t="str">
        <x:v>Pre-earnings</x:v>
      </x:c>
      <x:c r="F2340" s="7" t="n">
        <x:v>45582</x:v>
      </x:c>
      <x:c r="G2340" s="2" t="str">
        <x:v>Last actual</x:v>
      </x:c>
      <x:c r="H2340" s="8" t="n">
        <x:f>AVERAGE('PG facts'!F99)</x:f>
        <x:v>4</x:v>
      </x:c>
      <x:c r="I2340" s="8" t="n">
        <x:f>0</x:f>
        <x:v>0</x:v>
      </x:c>
      <x:c r="J2340" s="8" t="n">
        <x:v>0</x:v>
      </x:c>
      <x:c r="K2340" s="8" t="n">
        <x:f>H2340-I2340*J2340</x:f>
        <x:v>4</x:v>
      </x:c>
      <x:c r="L2340" s="8" t="n">
        <x:f>'PG facts'!F106</x:f>
        <x:v>4</x:v>
      </x:c>
      <x:c r="M2340" s="8" t="n">
        <x:f>K2340-L2340</x:f>
        <x:v>0</x:v>
      </x:c>
      <x:c r="N2340" s="8" t="n">
        <x:f>M2340^2</x:f>
        <x:v>0</x:v>
      </x:c>
      <x:c r="O2340" s="8" t="n">
        <x:f>ABS(M2340)</x:f>
        <x:v>0</x:v>
      </x:c>
      <x:c r="P2340" s="7" t="n">
        <x:v>45583</x:v>
      </x:c>
    </x:row>
    <x:row r="2341" ht="26" customHeight="1">
      <x:c r="A2341" s="2"/>
      <x:c r="B2341" s="2" t="n">
        <x:v>2336</x:v>
      </x:c>
      <x:c r="C2341" s="2" t="str">
        <x:v>Health Care / organic_sales_growth</x:v>
      </x:c>
      <x:c r="D2341" s="7" t="n">
        <x:v>45565</x:v>
      </x:c>
      <x:c r="E2341" s="2" t="str">
        <x:v>Pre-earnings</x:v>
      </x:c>
      <x:c r="F2341" s="7" t="n">
        <x:v>45582</x:v>
      </x:c>
      <x:c r="G2341" s="2" t="str">
        <x:v>Four-quarter mean</x:v>
      </x:c>
      <x:c r="H2341" s="8" t="n">
        <x:f>AVERAGE('PG facts'!F78,'PG facts'!F85,'PG facts'!F92,'PG facts'!F99)</x:f>
        <x:v>4.5</x:v>
      </x:c>
      <x:c r="I2341" s="8" t="n">
        <x:f>0</x:f>
        <x:v>0</x:v>
      </x:c>
      <x:c r="J2341" s="8" t="n">
        <x:v>0</x:v>
      </x:c>
      <x:c r="K2341" s="8" t="n">
        <x:f>H2341-I2341*J2341</x:f>
        <x:v>4.5</x:v>
      </x:c>
      <x:c r="L2341" s="8" t="n">
        <x:f>'PG facts'!F106</x:f>
        <x:v>4</x:v>
      </x:c>
      <x:c r="M2341" s="8" t="n">
        <x:f>K2341-L2341</x:f>
        <x:v>0.5</x:v>
      </x:c>
      <x:c r="N2341" s="8" t="n">
        <x:f>M2341^2</x:f>
        <x:v>0.25</x:v>
      </x:c>
      <x:c r="O2341" s="8" t="n">
        <x:f>ABS(M2341)</x:f>
        <x:v>0.5</x:v>
      </x:c>
      <x:c r="P2341" s="7" t="n">
        <x:v>45583</x:v>
      </x:c>
    </x:row>
    <x:row r="2342" ht="26" customHeight="1">
      <x:c r="A2342" s="2"/>
      <x:c r="B2342" s="2" t="n">
        <x:v>2337</x:v>
      </x:c>
      <x:c r="C2342" s="2" t="str">
        <x:v>Health Care / organic_sales_growth</x:v>
      </x:c>
      <x:c r="D2342" s="7" t="n">
        <x:v>45565</x:v>
      </x:c>
      <x:c r="E2342" s="2" t="str">
        <x:v>Pre-earnings</x:v>
      </x:c>
      <x:c r="F2342" s="7" t="n">
        <x:v>45582</x:v>
      </x:c>
      <x:c r="G2342" s="2" t="str">
        <x:v>Broad market</x:v>
      </x:c>
      <x:c r="H2342" s="8" t="n">
        <x:f>'Model fits'!AA1514</x:f>
        <x:v>6.51491490202646</x:v>
      </x:c>
      <x:c r="I2342" s="8" t="n">
        <x:f>0</x:f>
        <x:v>0</x:v>
      </x:c>
      <x:c r="J2342" s="8" t="n">
        <x:v>0</x:v>
      </x:c>
      <x:c r="K2342" s="8" t="n">
        <x:f>H2342-I2342*J2342</x:f>
        <x:v>6.51491490202646</x:v>
      </x:c>
      <x:c r="L2342" s="8" t="n">
        <x:f>'PG facts'!F106</x:f>
        <x:v>4</x:v>
      </x:c>
      <x:c r="M2342" s="8" t="n">
        <x:f>K2342-L2342</x:f>
        <x:v>2.51491490202646</x:v>
      </x:c>
      <x:c r="N2342" s="8" t="n">
        <x:f>M2342^2</x:f>
        <x:v>6.324796964434758</x:v>
      </x:c>
      <x:c r="O2342" s="8" t="n">
        <x:f>ABS(M2342)</x:f>
        <x:v>2.51491490202646</x:v>
      </x:c>
      <x:c r="P2342" s="7" t="n">
        <x:v>45583</x:v>
      </x:c>
    </x:row>
    <x:row r="2343" ht="26" customHeight="1">
      <x:c r="A2343" s="2"/>
      <x:c r="B2343" s="2" t="n">
        <x:v>2338</x:v>
      </x:c>
      <x:c r="C2343" s="2" t="str">
        <x:v>Health Care / organic_sales_growth</x:v>
      </x:c>
      <x:c r="D2343" s="7" t="n">
        <x:v>45565</x:v>
      </x:c>
      <x:c r="E2343" s="2" t="str">
        <x:v>Pre-earnings</x:v>
      </x:c>
      <x:c r="F2343" s="7" t="n">
        <x:v>45582</x:v>
      </x:c>
      <x:c r="G2343" s="2" t="str">
        <x:v>Broad lag 1</x:v>
      </x:c>
      <x:c r="H2343" s="8" t="n">
        <x:f>'Model fits'!AA1515</x:f>
        <x:v>8.41848610272234</x:v>
      </x:c>
      <x:c r="I2343" s="8" t="n">
        <x:f>0</x:f>
        <x:v>0</x:v>
      </x:c>
      <x:c r="J2343" s="8" t="n">
        <x:v>0</x:v>
      </x:c>
      <x:c r="K2343" s="8" t="n">
        <x:f>H2343-I2343*J2343</x:f>
        <x:v>8.41848610272234</x:v>
      </x:c>
      <x:c r="L2343" s="8" t="n">
        <x:f>'PG facts'!F106</x:f>
        <x:v>4</x:v>
      </x:c>
      <x:c r="M2343" s="8" t="n">
        <x:f>K2343-L2343</x:f>
        <x:v>4.4184861027223405</x:v>
      </x:c>
      <x:c r="N2343" s="8" t="n">
        <x:f>M2343^2</x:f>
        <x:v>19.523019439950456</x:v>
      </x:c>
      <x:c r="O2343" s="8" t="n">
        <x:f>ABS(M2343)</x:f>
        <x:v>4.4184861027223405</x:v>
      </x:c>
      <x:c r="P2343" s="7" t="n">
        <x:v>45583</x:v>
      </x:c>
    </x:row>
    <x:row r="2344" ht="26" customHeight="1">
      <x:c r="A2344" s="2"/>
      <x:c r="B2344" s="2" t="n">
        <x:v>2339</x:v>
      </x:c>
      <x:c r="C2344" s="2" t="str">
        <x:v>Health Care / organic_sales_growth</x:v>
      </x:c>
      <x:c r="D2344" s="7" t="n">
        <x:v>45565</x:v>
      </x:c>
      <x:c r="E2344" s="2" t="str">
        <x:v>Pre-earnings</x:v>
      </x:c>
      <x:c r="F2344" s="7" t="n">
        <x:v>45582</x:v>
      </x:c>
      <x:c r="G2344" s="2" t="str">
        <x:v>Broad rolling 8</x:v>
      </x:c>
      <x:c r="H2344" s="8" t="n">
        <x:f>'Model fits'!AA1516</x:f>
        <x:v>5.884155131340274</x:v>
      </x:c>
      <x:c r="I2344" s="8" t="n">
        <x:f>0</x:f>
        <x:v>0</x:v>
      </x:c>
      <x:c r="J2344" s="8" t="n">
        <x:v>0</x:v>
      </x:c>
      <x:c r="K2344" s="8" t="n">
        <x:f>H2344-I2344*J2344</x:f>
        <x:v>5.884155131340274</x:v>
      </x:c>
      <x:c r="L2344" s="8" t="n">
        <x:f>'PG facts'!F106</x:f>
        <x:v>4</x:v>
      </x:c>
      <x:c r="M2344" s="8" t="n">
        <x:f>K2344-L2344</x:f>
        <x:v>1.8841551313402736</x:v>
      </x:c>
      <x:c r="N2344" s="8" t="n">
        <x:f>M2344^2</x:f>
        <x:v>3.5500405589558834</x:v>
      </x:c>
      <x:c r="O2344" s="8" t="n">
        <x:f>ABS(M2344)</x:f>
        <x:v>1.8841551313402736</x:v>
      </x:c>
      <x:c r="P2344" s="7" t="n">
        <x:v>45583</x:v>
      </x:c>
    </x:row>
    <x:row r="2345" ht="26" customHeight="1">
      <x:c r="A2345" s="2"/>
      <x:c r="B2345" s="2" t="n">
        <x:v>2340</x:v>
      </x:c>
      <x:c r="C2345" s="2" t="str">
        <x:v>Health Care / organic_sales_growth</x:v>
      </x:c>
      <x:c r="D2345" s="7" t="n">
        <x:v>45565</x:v>
      </x:c>
      <x:c r="E2345" s="2" t="str">
        <x:v>Pre-earnings</x:v>
      </x:c>
      <x:c r="F2345" s="7" t="n">
        <x:v>45582</x:v>
      </x:c>
      <x:c r="G2345" s="2" t="str">
        <x:v>Own history</x:v>
      </x:c>
      <x:c r="H2345" s="8" t="n">
        <x:f>'Model fits'!AA1517</x:f>
        <x:v>7.659057971014493</x:v>
      </x:c>
      <x:c r="I2345" s="8" t="n">
        <x:f>0</x:f>
        <x:v>0</x:v>
      </x:c>
      <x:c r="J2345" s="8" t="n">
        <x:v>0</x:v>
      </x:c>
      <x:c r="K2345" s="8" t="n">
        <x:f>H2345-I2345*J2345</x:f>
        <x:v>7.659057971014493</x:v>
      </x:c>
      <x:c r="L2345" s="8" t="n">
        <x:f>'PG facts'!F106</x:f>
        <x:v>4</x:v>
      </x:c>
      <x:c r="M2345" s="8" t="n">
        <x:f>K2345-L2345</x:f>
        <x:v>3.6590579710144926</x:v>
      </x:c>
      <x:c r="N2345" s="8" t="n">
        <x:f>M2345^2</x:f>
        <x:v>13.388705235244695</x:v>
      </x:c>
      <x:c r="O2345" s="8" t="n">
        <x:f>ABS(M2345)</x:f>
        <x:v>3.6590579710144926</x:v>
      </x:c>
      <x:c r="P2345" s="7" t="n">
        <x:v>45583</x:v>
      </x:c>
    </x:row>
    <x:row r="2346" ht="26" customHeight="1">
      <x:c r="A2346" s="2"/>
      <x:c r="B2346" s="2" t="n">
        <x:v>2341</x:v>
      </x:c>
      <x:c r="C2346" s="2" t="str">
        <x:v>Health Care / organic_sales_growth</x:v>
      </x:c>
      <x:c r="D2346" s="7" t="n">
        <x:v>45657</x:v>
      </x:c>
      <x:c r="E2346" s="2" t="str">
        <x:v>Origin</x:v>
      </x:c>
      <x:c r="F2346" s="7" t="n">
        <x:v>45566</x:v>
      </x:c>
      <x:c r="G2346" s="2" t="str">
        <x:v>Last actual</x:v>
      </x:c>
      <x:c r="H2346" s="8" t="n">
        <x:f>AVERAGE('PG facts'!F99)</x:f>
        <x:v>4</x:v>
      </x:c>
      <x:c r="I2346" s="8" t="n">
        <x:f>0</x:f>
        <x:v>0</x:v>
      </x:c>
      <x:c r="J2346" s="8" t="n">
        <x:v>0</x:v>
      </x:c>
      <x:c r="K2346" s="8" t="n">
        <x:f>H2346-I2346*J2346</x:f>
        <x:v>4</x:v>
      </x:c>
      <x:c r="L2346" s="8" t="n">
        <x:f>'PG facts'!F113</x:f>
        <x:v>3</x:v>
      </x:c>
      <x:c r="M2346" s="8" t="n">
        <x:f>K2346-L2346</x:f>
        <x:v>1</x:v>
      </x:c>
      <x:c r="N2346" s="8" t="n">
        <x:f>M2346^2</x:f>
        <x:v>1</x:v>
      </x:c>
      <x:c r="O2346" s="8" t="n">
        <x:f>ABS(M2346)</x:f>
        <x:v>1</x:v>
      </x:c>
      <x:c r="P2346" s="7" t="n">
        <x:v>45679</x:v>
      </x:c>
    </x:row>
    <x:row r="2347" ht="26" customHeight="1">
      <x:c r="A2347" s="2"/>
      <x:c r="B2347" s="2" t="n">
        <x:v>2342</x:v>
      </x:c>
      <x:c r="C2347" s="2" t="str">
        <x:v>Health Care / organic_sales_growth</x:v>
      </x:c>
      <x:c r="D2347" s="7" t="n">
        <x:v>45657</x:v>
      </x:c>
      <x:c r="E2347" s="2" t="str">
        <x:v>Origin</x:v>
      </x:c>
      <x:c r="F2347" s="7" t="n">
        <x:v>45566</x:v>
      </x:c>
      <x:c r="G2347" s="2" t="str">
        <x:v>Four-quarter mean</x:v>
      </x:c>
      <x:c r="H2347" s="8" t="n">
        <x:f>AVERAGE('PG facts'!F78,'PG facts'!F85,'PG facts'!F92,'PG facts'!F99)</x:f>
        <x:v>4.5</x:v>
      </x:c>
      <x:c r="I2347" s="8" t="n">
        <x:f>0</x:f>
        <x:v>0</x:v>
      </x:c>
      <x:c r="J2347" s="8" t="n">
        <x:v>0</x:v>
      </x:c>
      <x:c r="K2347" s="8" t="n">
        <x:f>H2347-I2347*J2347</x:f>
        <x:v>4.5</x:v>
      </x:c>
      <x:c r="L2347" s="8" t="n">
        <x:f>'PG facts'!F113</x:f>
        <x:v>3</x:v>
      </x:c>
      <x:c r="M2347" s="8" t="n">
        <x:f>K2347-L2347</x:f>
        <x:v>1.5</x:v>
      </x:c>
      <x:c r="N2347" s="8" t="n">
        <x:f>M2347^2</x:f>
        <x:v>2.25</x:v>
      </x:c>
      <x:c r="O2347" s="8" t="n">
        <x:f>ABS(M2347)</x:f>
        <x:v>1.5</x:v>
      </x:c>
      <x:c r="P2347" s="7" t="n">
        <x:v>45679</x:v>
      </x:c>
    </x:row>
    <x:row r="2348" ht="26" customHeight="1">
      <x:c r="A2348" s="2"/>
      <x:c r="B2348" s="2" t="n">
        <x:v>2343</x:v>
      </x:c>
      <x:c r="C2348" s="2" t="str">
        <x:v>Health Care / organic_sales_growth</x:v>
      </x:c>
      <x:c r="D2348" s="7" t="n">
        <x:v>45657</x:v>
      </x:c>
      <x:c r="E2348" s="2" t="str">
        <x:v>Origin</x:v>
      </x:c>
      <x:c r="F2348" s="7" t="n">
        <x:v>45566</x:v>
      </x:c>
      <x:c r="G2348" s="2" t="str">
        <x:v>Broad market</x:v>
      </x:c>
      <x:c r="H2348" s="8" t="n">
        <x:f>'Model fits'!AA1518</x:f>
        <x:v>6.063177438182196</x:v>
      </x:c>
      <x:c r="I2348" s="8" t="n">
        <x:f>0</x:f>
        <x:v>0</x:v>
      </x:c>
      <x:c r="J2348" s="8" t="n">
        <x:v>0</x:v>
      </x:c>
      <x:c r="K2348" s="8" t="n">
        <x:f>H2348-I2348*J2348</x:f>
        <x:v>6.063177438182196</x:v>
      </x:c>
      <x:c r="L2348" s="8" t="n">
        <x:f>'PG facts'!F113</x:f>
        <x:v>3</x:v>
      </x:c>
      <x:c r="M2348" s="8" t="n">
        <x:f>K2348-L2348</x:f>
        <x:v>3.063177438182196</x:v>
      </x:c>
      <x:c r="N2348" s="8" t="n">
        <x:f>M2348^2</x:f>
        <x:v>9.38305601778844</x:v>
      </x:c>
      <x:c r="O2348" s="8" t="n">
        <x:f>ABS(M2348)</x:f>
        <x:v>3.063177438182196</x:v>
      </x:c>
      <x:c r="P2348" s="7" t="n">
        <x:v>45679</x:v>
      </x:c>
    </x:row>
    <x:row r="2349" ht="26" customHeight="1">
      <x:c r="A2349" s="2"/>
      <x:c r="B2349" s="2" t="n">
        <x:v>2344</x:v>
      </x:c>
      <x:c r="C2349" s="2" t="str">
        <x:v>Health Care / organic_sales_growth</x:v>
      </x:c>
      <x:c r="D2349" s="7" t="n">
        <x:v>45657</x:v>
      </x:c>
      <x:c r="E2349" s="2" t="str">
        <x:v>Origin</x:v>
      </x:c>
      <x:c r="F2349" s="7" t="n">
        <x:v>45566</x:v>
      </x:c>
      <x:c r="G2349" s="2" t="str">
        <x:v>Broad rolling 8</x:v>
      </x:c>
      <x:c r="H2349" s="8" t="n">
        <x:f>'Model fits'!AA1519</x:f>
        <x:v>5.765241948741821</x:v>
      </x:c>
      <x:c r="I2349" s="8" t="n">
        <x:f>0</x:f>
        <x:v>0</x:v>
      </x:c>
      <x:c r="J2349" s="8" t="n">
        <x:v>0</x:v>
      </x:c>
      <x:c r="K2349" s="8" t="n">
        <x:f>H2349-I2349*J2349</x:f>
        <x:v>5.765241948741821</x:v>
      </x:c>
      <x:c r="L2349" s="8" t="n">
        <x:f>'PG facts'!F113</x:f>
        <x:v>3</x:v>
      </x:c>
      <x:c r="M2349" s="8" t="n">
        <x:f>K2349-L2349</x:f>
        <x:v>2.7652419487418207</x:v>
      </x:c>
      <x:c r="N2349" s="8" t="n">
        <x:f>M2349^2</x:f>
        <x:v>7.646563035081463</x:v>
      </x:c>
      <x:c r="O2349" s="8" t="n">
        <x:f>ABS(M2349)</x:f>
        <x:v>2.7652419487418207</x:v>
      </x:c>
      <x:c r="P2349" s="7" t="n">
        <x:v>45679</x:v>
      </x:c>
    </x:row>
    <x:row r="2350" ht="26" customHeight="1">
      <x:c r="A2350" s="2"/>
      <x:c r="B2350" s="2" t="n">
        <x:v>2345</x:v>
      </x:c>
      <x:c r="C2350" s="2" t="str">
        <x:v>Health Care / organic_sales_growth</x:v>
      </x:c>
      <x:c r="D2350" s="7" t="n">
        <x:v>45657</x:v>
      </x:c>
      <x:c r="E2350" s="2" t="str">
        <x:v>Origin</x:v>
      </x:c>
      <x:c r="F2350" s="7" t="n">
        <x:v>45566</x:v>
      </x:c>
      <x:c r="G2350" s="2" t="str">
        <x:v>Own history</x:v>
      </x:c>
      <x:c r="H2350" s="8" t="n">
        <x:f>'Model fits'!AA1520</x:f>
        <x:v>6.585815602836879</x:v>
      </x:c>
      <x:c r="I2350" s="8" t="n">
        <x:f>0</x:f>
        <x:v>0</x:v>
      </x:c>
      <x:c r="J2350" s="8" t="n">
        <x:v>0</x:v>
      </x:c>
      <x:c r="K2350" s="8" t="n">
        <x:f>H2350-I2350*J2350</x:f>
        <x:v>6.585815602836879</x:v>
      </x:c>
      <x:c r="L2350" s="8" t="n">
        <x:f>'PG facts'!F113</x:f>
        <x:v>3</x:v>
      </x:c>
      <x:c r="M2350" s="8" t="n">
        <x:f>K2350-L2350</x:f>
        <x:v>3.5858156028368793</x:v>
      </x:c>
      <x:c r="N2350" s="8" t="n">
        <x:f>M2350^2</x:f>
        <x:v>12.858073537548412</x:v>
      </x:c>
      <x:c r="O2350" s="8" t="n">
        <x:f>ABS(M2350)</x:f>
        <x:v>3.5858156028368793</x:v>
      </x:c>
      <x:c r="P2350" s="7" t="n">
        <x:v>45679</x:v>
      </x:c>
    </x:row>
    <x:row r="2351" ht="26" customHeight="1">
      <x:c r="A2351" s="2"/>
      <x:c r="B2351" s="2" t="n">
        <x:v>2346</x:v>
      </x:c>
      <x:c r="C2351" s="2" t="str">
        <x:v>Health Care / organic_sales_growth</x:v>
      </x:c>
      <x:c r="D2351" s="7" t="n">
        <x:v>45657</x:v>
      </x:c>
      <x:c r="E2351" s="2" t="str">
        <x:v>Prior report</x:v>
      </x:c>
      <x:c r="F2351" s="7" t="n">
        <x:v>45583</x:v>
      </x:c>
      <x:c r="G2351" s="2" t="str">
        <x:v>Last actual</x:v>
      </x:c>
      <x:c r="H2351" s="8" t="n">
        <x:f>AVERAGE('PG facts'!F106)</x:f>
        <x:v>4</x:v>
      </x:c>
      <x:c r="I2351" s="8" t="n">
        <x:f>0</x:f>
        <x:v>0</x:v>
      </x:c>
      <x:c r="J2351" s="8" t="n">
        <x:v>0</x:v>
      </x:c>
      <x:c r="K2351" s="8" t="n">
        <x:f>H2351-I2351*J2351</x:f>
        <x:v>4</x:v>
      </x:c>
      <x:c r="L2351" s="8" t="n">
        <x:f>'PG facts'!F113</x:f>
        <x:v>3</x:v>
      </x:c>
      <x:c r="M2351" s="8" t="n">
        <x:f>K2351-L2351</x:f>
        <x:v>1</x:v>
      </x:c>
      <x:c r="N2351" s="8" t="n">
        <x:f>M2351^2</x:f>
        <x:v>1</x:v>
      </x:c>
      <x:c r="O2351" s="8" t="n">
        <x:f>ABS(M2351)</x:f>
        <x:v>1</x:v>
      </x:c>
      <x:c r="P2351" s="7" t="n">
        <x:v>45679</x:v>
      </x:c>
    </x:row>
    <x:row r="2352" ht="26" customHeight="1">
      <x:c r="A2352" s="2"/>
      <x:c r="B2352" s="2" t="n">
        <x:v>2347</x:v>
      </x:c>
      <x:c r="C2352" s="2" t="str">
        <x:v>Health Care / organic_sales_growth</x:v>
      </x:c>
      <x:c r="D2352" s="7" t="n">
        <x:v>45657</x:v>
      </x:c>
      <x:c r="E2352" s="2" t="str">
        <x:v>Prior report</x:v>
      </x:c>
      <x:c r="F2352" s="7" t="n">
        <x:v>45583</x:v>
      </x:c>
      <x:c r="G2352" s="2" t="str">
        <x:v>Four-quarter mean</x:v>
      </x:c>
      <x:c r="H2352" s="8" t="n">
        <x:f>AVERAGE('PG facts'!F85,'PG facts'!F92,'PG facts'!F99,'PG facts'!F106)</x:f>
        <x:v>3</x:v>
      </x:c>
      <x:c r="I2352" s="8" t="n">
        <x:f>0</x:f>
        <x:v>0</x:v>
      </x:c>
      <x:c r="J2352" s="8" t="n">
        <x:v>0</x:v>
      </x:c>
      <x:c r="K2352" s="8" t="n">
        <x:f>H2352-I2352*J2352</x:f>
        <x:v>3</x:v>
      </x:c>
      <x:c r="L2352" s="8" t="n">
        <x:f>'PG facts'!F113</x:f>
        <x:v>3</x:v>
      </x:c>
      <x:c r="M2352" s="8" t="n">
        <x:f>K2352-L2352</x:f>
        <x:v>0</x:v>
      </x:c>
      <x:c r="N2352" s="8" t="n">
        <x:f>M2352^2</x:f>
        <x:v>0</x:v>
      </x:c>
      <x:c r="O2352" s="8" t="n">
        <x:f>ABS(M2352)</x:f>
        <x:v>0</x:v>
      </x:c>
      <x:c r="P2352" s="7" t="n">
        <x:v>45679</x:v>
      </x:c>
    </x:row>
    <x:row r="2353" ht="26" customHeight="1">
      <x:c r="A2353" s="2"/>
      <x:c r="B2353" s="2" t="n">
        <x:v>2348</x:v>
      </x:c>
      <x:c r="C2353" s="2" t="str">
        <x:v>Health Care / organic_sales_growth</x:v>
      </x:c>
      <x:c r="D2353" s="7" t="n">
        <x:v>45657</x:v>
      </x:c>
      <x:c r="E2353" s="2" t="str">
        <x:v>Prior report</x:v>
      </x:c>
      <x:c r="F2353" s="7" t="n">
        <x:v>45583</x:v>
      </x:c>
      <x:c r="G2353" s="2" t="str">
        <x:v>Broad market</x:v>
      </x:c>
      <x:c r="H2353" s="8" t="n">
        <x:f>'Model fits'!AA1521</x:f>
        <x:v>6.306347425121383</x:v>
      </x:c>
      <x:c r="I2353" s="8" t="n">
        <x:f>0</x:f>
        <x:v>0</x:v>
      </x:c>
      <x:c r="J2353" s="8" t="n">
        <x:v>0</x:v>
      </x:c>
      <x:c r="K2353" s="8" t="n">
        <x:f>H2353-I2353*J2353</x:f>
        <x:v>6.306347425121383</x:v>
      </x:c>
      <x:c r="L2353" s="8" t="n">
        <x:f>'PG facts'!F113</x:f>
        <x:v>3</x:v>
      </x:c>
      <x:c r="M2353" s="8" t="n">
        <x:f>K2353-L2353</x:f>
        <x:v>3.306347425121383</x:v>
      </x:c>
      <x:c r="N2353" s="8" t="n">
        <x:f>M2353^2</x:f>
        <x:v>10.9319332956068</x:v>
      </x:c>
      <x:c r="O2353" s="8" t="n">
        <x:f>ABS(M2353)</x:f>
        <x:v>3.306347425121383</x:v>
      </x:c>
      <x:c r="P2353" s="7" t="n">
        <x:v>45679</x:v>
      </x:c>
    </x:row>
    <x:row r="2354" ht="26" customHeight="1">
      <x:c r="A2354" s="2"/>
      <x:c r="B2354" s="2" t="n">
        <x:v>2349</x:v>
      </x:c>
      <x:c r="C2354" s="2" t="str">
        <x:v>Health Care / organic_sales_growth</x:v>
      </x:c>
      <x:c r="D2354" s="7" t="n">
        <x:v>45657</x:v>
      </x:c>
      <x:c r="E2354" s="2" t="str">
        <x:v>Prior report</x:v>
      </x:c>
      <x:c r="F2354" s="7" t="n">
        <x:v>45583</x:v>
      </x:c>
      <x:c r="G2354" s="2" t="str">
        <x:v>Broad lag 1</x:v>
      </x:c>
      <x:c r="H2354" s="8" t="n">
        <x:f>'Model fits'!AA1522</x:f>
        <x:v>7.552531463805612</x:v>
      </x:c>
      <x:c r="I2354" s="8" t="n">
        <x:f>0</x:f>
        <x:v>0</x:v>
      </x:c>
      <x:c r="J2354" s="8" t="n">
        <x:v>0</x:v>
      </x:c>
      <x:c r="K2354" s="8" t="n">
        <x:f>H2354-I2354*J2354</x:f>
        <x:v>7.552531463805612</x:v>
      </x:c>
      <x:c r="L2354" s="8" t="n">
        <x:f>'PG facts'!F113</x:f>
        <x:v>3</x:v>
      </x:c>
      <x:c r="M2354" s="8" t="n">
        <x:f>K2354-L2354</x:f>
        <x:v>4.552531463805612</x:v>
      </x:c>
      <x:c r="N2354" s="8" t="n">
        <x:f>M2354^2</x:f>
        <x:v>20.725542728940066</x:v>
      </x:c>
      <x:c r="O2354" s="8" t="n">
        <x:f>ABS(M2354)</x:f>
        <x:v>4.552531463805612</x:v>
      </x:c>
      <x:c r="P2354" s="7" t="n">
        <x:v>45679</x:v>
      </x:c>
    </x:row>
    <x:row r="2355" ht="26" customHeight="1">
      <x:c r="A2355" s="2"/>
      <x:c r="B2355" s="2" t="n">
        <x:v>2350</x:v>
      </x:c>
      <x:c r="C2355" s="2" t="str">
        <x:v>Health Care / organic_sales_growth</x:v>
      </x:c>
      <x:c r="D2355" s="7" t="n">
        <x:v>45657</x:v>
      </x:c>
      <x:c r="E2355" s="2" t="str">
        <x:v>Prior report</x:v>
      </x:c>
      <x:c r="F2355" s="7" t="n">
        <x:v>45583</x:v>
      </x:c>
      <x:c r="G2355" s="2" t="str">
        <x:v>Broad rolling 8</x:v>
      </x:c>
      <x:c r="H2355" s="8" t="n">
        <x:f>'Model fits'!AA1523</x:f>
        <x:v>5.279201913745264</x:v>
      </x:c>
      <x:c r="I2355" s="8" t="n">
        <x:f>0</x:f>
        <x:v>0</x:v>
      </x:c>
      <x:c r="J2355" s="8" t="n">
        <x:v>0</x:v>
      </x:c>
      <x:c r="K2355" s="8" t="n">
        <x:f>H2355-I2355*J2355</x:f>
        <x:v>5.279201913745264</x:v>
      </x:c>
      <x:c r="L2355" s="8" t="n">
        <x:f>'PG facts'!F113</x:f>
        <x:v>3</x:v>
      </x:c>
      <x:c r="M2355" s="8" t="n">
        <x:f>K2355-L2355</x:f>
        <x:v>2.279201913745264</x:v>
      </x:c>
      <x:c r="N2355" s="8" t="n">
        <x:f>M2355^2</x:f>
        <x:v>5.194761363620073</x:v>
      </x:c>
      <x:c r="O2355" s="8" t="n">
        <x:f>ABS(M2355)</x:f>
        <x:v>2.279201913745264</x:v>
      </x:c>
      <x:c r="P2355" s="7" t="n">
        <x:v>45679</x:v>
      </x:c>
    </x:row>
    <x:row r="2356" ht="26" customHeight="1">
      <x:c r="A2356" s="2"/>
      <x:c r="B2356" s="2" t="n">
        <x:v>2351</x:v>
      </x:c>
      <x:c r="C2356" s="2" t="str">
        <x:v>Health Care / organic_sales_growth</x:v>
      </x:c>
      <x:c r="D2356" s="7" t="n">
        <x:v>45657</x:v>
      </x:c>
      <x:c r="E2356" s="2" t="str">
        <x:v>Prior report</x:v>
      </x:c>
      <x:c r="F2356" s="7" t="n">
        <x:v>45583</x:v>
      </x:c>
      <x:c r="G2356" s="2" t="str">
        <x:v>Own history</x:v>
      </x:c>
      <x:c r="H2356" s="8" t="n">
        <x:f>'Model fits'!AA1524</x:f>
        <x:v>7.198923028191321</x:v>
      </x:c>
      <x:c r="I2356" s="8" t="n">
        <x:f>0</x:f>
        <x:v>0</x:v>
      </x:c>
      <x:c r="J2356" s="8" t="n">
        <x:v>0</x:v>
      </x:c>
      <x:c r="K2356" s="8" t="n">
        <x:f>H2356-I2356*J2356</x:f>
        <x:v>7.198923028191321</x:v>
      </x:c>
      <x:c r="L2356" s="8" t="n">
        <x:f>'PG facts'!F113</x:f>
        <x:v>3</x:v>
      </x:c>
      <x:c r="M2356" s="8" t="n">
        <x:f>K2356-L2356</x:f>
        <x:v>4.198923028191321</x:v>
      </x:c>
      <x:c r="N2356" s="8" t="n">
        <x:f>M2356^2</x:f>
        <x:v>17.630954596675373</x:v>
      </x:c>
      <x:c r="O2356" s="8" t="n">
        <x:f>ABS(M2356)</x:f>
        <x:v>4.198923028191321</x:v>
      </x:c>
      <x:c r="P2356" s="7" t="n">
        <x:v>45679</x:v>
      </x:c>
    </x:row>
    <x:row r="2357" ht="26" customHeight="1">
      <x:c r="A2357" s="2"/>
      <x:c r="B2357" s="2" t="n">
        <x:v>2352</x:v>
      </x:c>
      <x:c r="C2357" s="2" t="str">
        <x:v>Health Care / organic_sales_growth</x:v>
      </x:c>
      <x:c r="D2357" s="7" t="n">
        <x:v>45657</x:v>
      </x:c>
      <x:c r="E2357" s="2" t="str">
        <x:v>Pre-earnings</x:v>
      </x:c>
      <x:c r="F2357" s="7" t="n">
        <x:v>45678</x:v>
      </x:c>
      <x:c r="G2357" s="2" t="str">
        <x:v>Last actual</x:v>
      </x:c>
      <x:c r="H2357" s="8" t="n">
        <x:f>AVERAGE('PG facts'!F106)</x:f>
        <x:v>4</x:v>
      </x:c>
      <x:c r="I2357" s="8" t="n">
        <x:f>0</x:f>
        <x:v>0</x:v>
      </x:c>
      <x:c r="J2357" s="8" t="n">
        <x:v>0</x:v>
      </x:c>
      <x:c r="K2357" s="8" t="n">
        <x:f>H2357-I2357*J2357</x:f>
        <x:v>4</x:v>
      </x:c>
      <x:c r="L2357" s="8" t="n">
        <x:f>'PG facts'!F113</x:f>
        <x:v>3</x:v>
      </x:c>
      <x:c r="M2357" s="8" t="n">
        <x:f>K2357-L2357</x:f>
        <x:v>1</x:v>
      </x:c>
      <x:c r="N2357" s="8" t="n">
        <x:f>M2357^2</x:f>
        <x:v>1</x:v>
      </x:c>
      <x:c r="O2357" s="8" t="n">
        <x:f>ABS(M2357)</x:f>
        <x:v>1</x:v>
      </x:c>
      <x:c r="P2357" s="7" t="n">
        <x:v>45679</x:v>
      </x:c>
    </x:row>
    <x:row r="2358" ht="26" customHeight="1">
      <x:c r="A2358" s="2"/>
      <x:c r="B2358" s="2" t="n">
        <x:v>2353</x:v>
      </x:c>
      <x:c r="C2358" s="2" t="str">
        <x:v>Health Care / organic_sales_growth</x:v>
      </x:c>
      <x:c r="D2358" s="7" t="n">
        <x:v>45657</x:v>
      </x:c>
      <x:c r="E2358" s="2" t="str">
        <x:v>Pre-earnings</x:v>
      </x:c>
      <x:c r="F2358" s="7" t="n">
        <x:v>45678</x:v>
      </x:c>
      <x:c r="G2358" s="2" t="str">
        <x:v>Four-quarter mean</x:v>
      </x:c>
      <x:c r="H2358" s="8" t="n">
        <x:f>AVERAGE('PG facts'!F85,'PG facts'!F92,'PG facts'!F99,'PG facts'!F106)</x:f>
        <x:v>3</x:v>
      </x:c>
      <x:c r="I2358" s="8" t="n">
        <x:f>0</x:f>
        <x:v>0</x:v>
      </x:c>
      <x:c r="J2358" s="8" t="n">
        <x:v>0</x:v>
      </x:c>
      <x:c r="K2358" s="8" t="n">
        <x:f>H2358-I2358*J2358</x:f>
        <x:v>3</x:v>
      </x:c>
      <x:c r="L2358" s="8" t="n">
        <x:f>'PG facts'!F113</x:f>
        <x:v>3</x:v>
      </x:c>
      <x:c r="M2358" s="8" t="n">
        <x:f>K2358-L2358</x:f>
        <x:v>0</x:v>
      </x:c>
      <x:c r="N2358" s="8" t="n">
        <x:f>M2358^2</x:f>
        <x:v>0</x:v>
      </x:c>
      <x:c r="O2358" s="8" t="n">
        <x:f>ABS(M2358)</x:f>
        <x:v>0</x:v>
      </x:c>
      <x:c r="P2358" s="7" t="n">
        <x:v>45679</x:v>
      </x:c>
    </x:row>
    <x:row r="2359" ht="26" customHeight="1">
      <x:c r="A2359" s="2"/>
      <x:c r="B2359" s="2" t="n">
        <x:v>2354</x:v>
      </x:c>
      <x:c r="C2359" s="2" t="str">
        <x:v>Health Care / organic_sales_growth</x:v>
      </x:c>
      <x:c r="D2359" s="7" t="n">
        <x:v>45657</x:v>
      </x:c>
      <x:c r="E2359" s="2" t="str">
        <x:v>Pre-earnings</x:v>
      </x:c>
      <x:c r="F2359" s="7" t="n">
        <x:v>45678</x:v>
      </x:c>
      <x:c r="G2359" s="2" t="str">
        <x:v>Broad market</x:v>
      </x:c>
      <x:c r="H2359" s="8" t="n">
        <x:f>'Model fits'!AA1525</x:f>
        <x:v>5.380759104261251</x:v>
      </x:c>
      <x:c r="I2359" s="8" t="n">
        <x:f>0</x:f>
        <x:v>0</x:v>
      </x:c>
      <x:c r="J2359" s="8" t="n">
        <x:v>0</x:v>
      </x:c>
      <x:c r="K2359" s="8" t="n">
        <x:f>H2359-I2359*J2359</x:f>
        <x:v>5.380759104261251</x:v>
      </x:c>
      <x:c r="L2359" s="8" t="n">
        <x:f>'PG facts'!F113</x:f>
        <x:v>3</x:v>
      </x:c>
      <x:c r="M2359" s="8" t="n">
        <x:f>K2359-L2359</x:f>
        <x:v>2.3807591042612506</x:v>
      </x:c>
      <x:c r="N2359" s="8" t="n">
        <x:f>M2359^2</x:f>
        <x:v>5.668013912522833</x:v>
      </x:c>
      <x:c r="O2359" s="8" t="n">
        <x:f>ABS(M2359)</x:f>
        <x:v>2.3807591042612506</x:v>
      </x:c>
      <x:c r="P2359" s="7" t="n">
        <x:v>45679</x:v>
      </x:c>
    </x:row>
    <x:row r="2360" ht="26" customHeight="1">
      <x:c r="A2360" s="2"/>
      <x:c r="B2360" s="2" t="n">
        <x:v>2355</x:v>
      </x:c>
      <x:c r="C2360" s="2" t="str">
        <x:v>Health Care / organic_sales_growth</x:v>
      </x:c>
      <x:c r="D2360" s="7" t="n">
        <x:v>45657</x:v>
      </x:c>
      <x:c r="E2360" s="2" t="str">
        <x:v>Pre-earnings</x:v>
      </x:c>
      <x:c r="F2360" s="7" t="n">
        <x:v>45678</x:v>
      </x:c>
      <x:c r="G2360" s="2" t="str">
        <x:v>Broad lag 1</x:v>
      </x:c>
      <x:c r="H2360" s="8" t="n">
        <x:f>'Model fits'!AA1526</x:f>
        <x:v>7.546010165118704</x:v>
      </x:c>
      <x:c r="I2360" s="8" t="n">
        <x:f>0</x:f>
        <x:v>0</x:v>
      </x:c>
      <x:c r="J2360" s="8" t="n">
        <x:v>0</x:v>
      </x:c>
      <x:c r="K2360" s="8" t="n">
        <x:f>H2360-I2360*J2360</x:f>
        <x:v>7.546010165118704</x:v>
      </x:c>
      <x:c r="L2360" s="8" t="n">
        <x:f>'PG facts'!F113</x:f>
        <x:v>3</x:v>
      </x:c>
      <x:c r="M2360" s="8" t="n">
        <x:f>K2360-L2360</x:f>
        <x:v>4.546010165118704</x:v>
      </x:c>
      <x:c r="N2360" s="8" t="n">
        <x:f>M2360^2</x:f>
        <x:v>20.66620842136259</x:v>
      </x:c>
      <x:c r="O2360" s="8" t="n">
        <x:f>ABS(M2360)</x:f>
        <x:v>4.546010165118704</x:v>
      </x:c>
      <x:c r="P2360" s="7" t="n">
        <x:v>45679</x:v>
      </x:c>
    </x:row>
    <x:row r="2361" ht="26" customHeight="1">
      <x:c r="A2361" s="2"/>
      <x:c r="B2361" s="2" t="n">
        <x:v>2356</x:v>
      </x:c>
      <x:c r="C2361" s="2" t="str">
        <x:v>Health Care / organic_sales_growth</x:v>
      </x:c>
      <x:c r="D2361" s="7" t="n">
        <x:v>45657</x:v>
      </x:c>
      <x:c r="E2361" s="2" t="str">
        <x:v>Pre-earnings</x:v>
      </x:c>
      <x:c r="F2361" s="7" t="n">
        <x:v>45678</x:v>
      </x:c>
      <x:c r="G2361" s="2" t="str">
        <x:v>Broad rolling 8</x:v>
      </x:c>
      <x:c r="H2361" s="8" t="n">
        <x:f>'Model fits'!AA1527</x:f>
        <x:v>4.87728404507537</x:v>
      </x:c>
      <x:c r="I2361" s="8" t="n">
        <x:f>0</x:f>
        <x:v>0</x:v>
      </x:c>
      <x:c r="J2361" s="8" t="n">
        <x:v>0</x:v>
      </x:c>
      <x:c r="K2361" s="8" t="n">
        <x:f>H2361-I2361*J2361</x:f>
        <x:v>4.87728404507537</x:v>
      </x:c>
      <x:c r="L2361" s="8" t="n">
        <x:f>'PG facts'!F113</x:f>
        <x:v>3</x:v>
      </x:c>
      <x:c r="M2361" s="8" t="n">
        <x:f>K2361-L2361</x:f>
        <x:v>1.8772840450753696</x:v>
      </x:c>
      <x:c r="N2361" s="8" t="n">
        <x:f>M2361^2</x:f>
        <x:v>3.5241953858945423</x:v>
      </x:c>
      <x:c r="O2361" s="8" t="n">
        <x:f>ABS(M2361)</x:f>
        <x:v>1.8772840450753696</x:v>
      </x:c>
      <x:c r="P2361" s="7" t="n">
        <x:v>45679</x:v>
      </x:c>
    </x:row>
    <x:row r="2362" ht="26" customHeight="1">
      <x:c r="A2362" s="2"/>
      <x:c r="B2362" s="2" t="n">
        <x:v>2357</x:v>
      </x:c>
      <x:c r="C2362" s="2" t="str">
        <x:v>Health Care / organic_sales_growth</x:v>
      </x:c>
      <x:c r="D2362" s="7" t="n">
        <x:v>45657</x:v>
      </x:c>
      <x:c r="E2362" s="2" t="str">
        <x:v>Pre-earnings</x:v>
      </x:c>
      <x:c r="F2362" s="7" t="n">
        <x:v>45678</x:v>
      </x:c>
      <x:c r="G2362" s="2" t="str">
        <x:v>Own history</x:v>
      </x:c>
      <x:c r="H2362" s="8" t="n">
        <x:f>'Model fits'!AA1528</x:f>
        <x:v>7.198923028191321</x:v>
      </x:c>
      <x:c r="I2362" s="8" t="n">
        <x:f>0</x:f>
        <x:v>0</x:v>
      </x:c>
      <x:c r="J2362" s="8" t="n">
        <x:v>0</x:v>
      </x:c>
      <x:c r="K2362" s="8" t="n">
        <x:f>H2362-I2362*J2362</x:f>
        <x:v>7.198923028191321</x:v>
      </x:c>
      <x:c r="L2362" s="8" t="n">
        <x:f>'PG facts'!F113</x:f>
        <x:v>3</x:v>
      </x:c>
      <x:c r="M2362" s="8" t="n">
        <x:f>K2362-L2362</x:f>
        <x:v>4.198923028191321</x:v>
      </x:c>
      <x:c r="N2362" s="8" t="n">
        <x:f>M2362^2</x:f>
        <x:v>17.630954596675373</x:v>
      </x:c>
      <x:c r="O2362" s="8" t="n">
        <x:f>ABS(M2362)</x:f>
        <x:v>4.198923028191321</x:v>
      </x:c>
      <x:c r="P2362" s="7" t="n">
        <x:v>45679</x:v>
      </x:c>
    </x:row>
    <x:row r="2363" ht="26" customHeight="1">
      <x:c r="A2363" s="2"/>
      <x:c r="B2363" s="2" t="n">
        <x:v>2358</x:v>
      </x:c>
      <x:c r="C2363" s="2" t="str">
        <x:v>Health Care / organic_sales_growth</x:v>
      </x:c>
      <x:c r="D2363" s="7" t="n">
        <x:v>45747</x:v>
      </x:c>
      <x:c r="E2363" s="2" t="str">
        <x:v>Origin</x:v>
      </x:c>
      <x:c r="F2363" s="7" t="n">
        <x:v>45658</x:v>
      </x:c>
      <x:c r="G2363" s="2" t="str">
        <x:v>Last actual</x:v>
      </x:c>
      <x:c r="H2363" s="8" t="n">
        <x:f>AVERAGE('PG facts'!F106)</x:f>
        <x:v>4</x:v>
      </x:c>
      <x:c r="I2363" s="8" t="n">
        <x:f>0</x:f>
        <x:v>0</x:v>
      </x:c>
      <x:c r="J2363" s="8" t="n">
        <x:v>0</x:v>
      </x:c>
      <x:c r="K2363" s="8" t="n">
        <x:f>H2363-I2363*J2363</x:f>
        <x:v>4</x:v>
      </x:c>
      <x:c r="L2363" s="8" t="n">
        <x:f>'PG facts'!F120</x:f>
        <x:v>4</x:v>
      </x:c>
      <x:c r="M2363" s="8" t="n">
        <x:f>K2363-L2363</x:f>
        <x:v>0</x:v>
      </x:c>
      <x:c r="N2363" s="8" t="n">
        <x:f>M2363^2</x:f>
        <x:v>0</x:v>
      </x:c>
      <x:c r="O2363" s="8" t="n">
        <x:f>ABS(M2363)</x:f>
        <x:v>0</x:v>
      </x:c>
      <x:c r="P2363" s="7" t="n">
        <x:v>45771</x:v>
      </x:c>
    </x:row>
    <x:row r="2364" ht="26" customHeight="1">
      <x:c r="A2364" s="2"/>
      <x:c r="B2364" s="2" t="n">
        <x:v>2359</x:v>
      </x:c>
      <x:c r="C2364" s="2" t="str">
        <x:v>Health Care / organic_sales_growth</x:v>
      </x:c>
      <x:c r="D2364" s="7" t="n">
        <x:v>45747</x:v>
      </x:c>
      <x:c r="E2364" s="2" t="str">
        <x:v>Origin</x:v>
      </x:c>
      <x:c r="F2364" s="7" t="n">
        <x:v>45658</x:v>
      </x:c>
      <x:c r="G2364" s="2" t="str">
        <x:v>Four-quarter mean</x:v>
      </x:c>
      <x:c r="H2364" s="8" t="n">
        <x:f>AVERAGE('PG facts'!F85,'PG facts'!F92,'PG facts'!F99,'PG facts'!F106)</x:f>
        <x:v>3</x:v>
      </x:c>
      <x:c r="I2364" s="8" t="n">
        <x:f>0</x:f>
        <x:v>0</x:v>
      </x:c>
      <x:c r="J2364" s="8" t="n">
        <x:v>0</x:v>
      </x:c>
      <x:c r="K2364" s="8" t="n">
        <x:f>H2364-I2364*J2364</x:f>
        <x:v>3</x:v>
      </x:c>
      <x:c r="L2364" s="8" t="n">
        <x:f>'PG facts'!F120</x:f>
        <x:v>4</x:v>
      </x:c>
      <x:c r="M2364" s="8" t="n">
        <x:f>K2364-L2364</x:f>
        <x:v>-1</x:v>
      </x:c>
      <x:c r="N2364" s="8" t="n">
        <x:f>M2364^2</x:f>
        <x:v>1</x:v>
      </x:c>
      <x:c r="O2364" s="8" t="n">
        <x:f>ABS(M2364)</x:f>
        <x:v>1</x:v>
      </x:c>
      <x:c r="P2364" s="7" t="n">
        <x:v>45771</x:v>
      </x:c>
    </x:row>
    <x:row r="2365" ht="26" customHeight="1">
      <x:c r="A2365" s="2"/>
      <x:c r="B2365" s="2" t="n">
        <x:v>2360</x:v>
      </x:c>
      <x:c r="C2365" s="2" t="str">
        <x:v>Health Care / organic_sales_growth</x:v>
      </x:c>
      <x:c r="D2365" s="7" t="n">
        <x:v>45747</x:v>
      </x:c>
      <x:c r="E2365" s="2" t="str">
        <x:v>Origin</x:v>
      </x:c>
      <x:c r="F2365" s="7" t="n">
        <x:v>45658</x:v>
      </x:c>
      <x:c r="G2365" s="2" t="str">
        <x:v>Broad market</x:v>
      </x:c>
      <x:c r="H2365" s="8" t="n">
        <x:f>'Model fits'!AA1529</x:f>
        <x:v>5.653128186666685</x:v>
      </x:c>
      <x:c r="I2365" s="8" t="n">
        <x:f>0</x:f>
        <x:v>0</x:v>
      </x:c>
      <x:c r="J2365" s="8" t="n">
        <x:v>0</x:v>
      </x:c>
      <x:c r="K2365" s="8" t="n">
        <x:f>H2365-I2365*J2365</x:f>
        <x:v>5.653128186666685</x:v>
      </x:c>
      <x:c r="L2365" s="8" t="n">
        <x:f>'PG facts'!F120</x:f>
        <x:v>4</x:v>
      </x:c>
      <x:c r="M2365" s="8" t="n">
        <x:f>K2365-L2365</x:f>
        <x:v>1.6531281866666854</x:v>
      </x:c>
      <x:c r="N2365" s="8" t="n">
        <x:f>M2365^2</x:f>
        <x:v>2.7328328015518832</x:v>
      </x:c>
      <x:c r="O2365" s="8" t="n">
        <x:f>ABS(M2365)</x:f>
        <x:v>1.6531281866666854</x:v>
      </x:c>
      <x:c r="P2365" s="7" t="n">
        <x:v>45771</x:v>
      </x:c>
    </x:row>
    <x:row r="2366" ht="26" customHeight="1">
      <x:c r="A2366" s="2"/>
      <x:c r="B2366" s="2" t="n">
        <x:v>2361</x:v>
      </x:c>
      <x:c r="C2366" s="2" t="str">
        <x:v>Health Care / organic_sales_growth</x:v>
      </x:c>
      <x:c r="D2366" s="7" t="n">
        <x:v>45747</x:v>
      </x:c>
      <x:c r="E2366" s="2" t="str">
        <x:v>Origin</x:v>
      </x:c>
      <x:c r="F2366" s="7" t="n">
        <x:v>45658</x:v>
      </x:c>
      <x:c r="G2366" s="2" t="str">
        <x:v>Broad rolling 8</x:v>
      </x:c>
      <x:c r="H2366" s="8" t="n">
        <x:f>'Model fits'!AA1530</x:f>
        <x:v>5.002886653214134</x:v>
      </x:c>
      <x:c r="I2366" s="8" t="n">
        <x:f>0</x:f>
        <x:v>0</x:v>
      </x:c>
      <x:c r="J2366" s="8" t="n">
        <x:v>0</x:v>
      </x:c>
      <x:c r="K2366" s="8" t="n">
        <x:f>H2366-I2366*J2366</x:f>
        <x:v>5.002886653214134</x:v>
      </x:c>
      <x:c r="L2366" s="8" t="n">
        <x:f>'PG facts'!F120</x:f>
        <x:v>4</x:v>
      </x:c>
      <x:c r="M2366" s="8" t="n">
        <x:f>K2366-L2366</x:f>
        <x:v>1.0028866532141336</x:v>
      </x:c>
      <x:c r="N2366" s="8" t="n">
        <x:f>M2366^2</x:f>
        <x:v>1.0057816391950458</x:v>
      </x:c>
      <x:c r="O2366" s="8" t="n">
        <x:f>ABS(M2366)</x:f>
        <x:v>1.0028866532141336</x:v>
      </x:c>
      <x:c r="P2366" s="7" t="n">
        <x:v>45771</x:v>
      </x:c>
    </x:row>
    <x:row r="2367" ht="26" customHeight="1">
      <x:c r="A2367" s="2"/>
      <x:c r="B2367" s="2" t="n">
        <x:v>2362</x:v>
      </x:c>
      <x:c r="C2367" s="2" t="str">
        <x:v>Health Care / organic_sales_growth</x:v>
      </x:c>
      <x:c r="D2367" s="7" t="n">
        <x:v>45747</x:v>
      </x:c>
      <x:c r="E2367" s="2" t="str">
        <x:v>Origin</x:v>
      </x:c>
      <x:c r="F2367" s="7" t="n">
        <x:v>45658</x:v>
      </x:c>
      <x:c r="G2367" s="2" t="str">
        <x:v>Own history</x:v>
      </x:c>
      <x:c r="H2367" s="8" t="n">
        <x:f>'Model fits'!AA1531</x:f>
        <x:v>6.18514492753623</x:v>
      </x:c>
      <x:c r="I2367" s="8" t="n">
        <x:f>0</x:f>
        <x:v>0</x:v>
      </x:c>
      <x:c r="J2367" s="8" t="n">
        <x:v>0</x:v>
      </x:c>
      <x:c r="K2367" s="8" t="n">
        <x:f>H2367-I2367*J2367</x:f>
        <x:v>6.18514492753623</x:v>
      </x:c>
      <x:c r="L2367" s="8" t="n">
        <x:f>'PG facts'!F120</x:f>
        <x:v>4</x:v>
      </x:c>
      <x:c r="M2367" s="8" t="n">
        <x:f>K2367-L2367</x:f>
        <x:v>2.1851449275362302</x:v>
      </x:c>
      <x:c r="N2367" s="8" t="n">
        <x:f>M2367^2</x:f>
        <x:v>4.774858354337317</x:v>
      </x:c>
      <x:c r="O2367" s="8" t="n">
        <x:f>ABS(M2367)</x:f>
        <x:v>2.1851449275362302</x:v>
      </x:c>
      <x:c r="P2367" s="7" t="n">
        <x:v>45771</x:v>
      </x:c>
    </x:row>
    <x:row r="2368" ht="26" customHeight="1">
      <x:c r="A2368" s="2"/>
      <x:c r="B2368" s="2" t="n">
        <x:v>2363</x:v>
      </x:c>
      <x:c r="C2368" s="2" t="str">
        <x:v>Health Care / organic_sales_growth</x:v>
      </x:c>
      <x:c r="D2368" s="7" t="n">
        <x:v>45747</x:v>
      </x:c>
      <x:c r="E2368" s="2" t="str">
        <x:v>Prior report</x:v>
      </x:c>
      <x:c r="F2368" s="7" t="n">
        <x:v>45679</x:v>
      </x:c>
      <x:c r="G2368" s="2" t="str">
        <x:v>Last actual</x:v>
      </x:c>
      <x:c r="H2368" s="8" t="n">
        <x:f>AVERAGE('PG facts'!F113)</x:f>
        <x:v>3</x:v>
      </x:c>
      <x:c r="I2368" s="8" t="n">
        <x:f>0</x:f>
        <x:v>0</x:v>
      </x:c>
      <x:c r="J2368" s="8" t="n">
        <x:v>0</x:v>
      </x:c>
      <x:c r="K2368" s="8" t="n">
        <x:f>H2368-I2368*J2368</x:f>
        <x:v>3</x:v>
      </x:c>
      <x:c r="L2368" s="8" t="n">
        <x:f>'PG facts'!F120</x:f>
        <x:v>4</x:v>
      </x:c>
      <x:c r="M2368" s="8" t="n">
        <x:f>K2368-L2368</x:f>
        <x:v>-1</x:v>
      </x:c>
      <x:c r="N2368" s="8" t="n">
        <x:f>M2368^2</x:f>
        <x:v>1</x:v>
      </x:c>
      <x:c r="O2368" s="8" t="n">
        <x:f>ABS(M2368)</x:f>
        <x:v>1</x:v>
      </x:c>
      <x:c r="P2368" s="7" t="n">
        <x:v>45771</x:v>
      </x:c>
    </x:row>
    <x:row r="2369" ht="26" customHeight="1">
      <x:c r="A2369" s="2"/>
      <x:c r="B2369" s="2" t="n">
        <x:v>2364</x:v>
      </x:c>
      <x:c r="C2369" s="2" t="str">
        <x:v>Health Care / organic_sales_growth</x:v>
      </x:c>
      <x:c r="D2369" s="7" t="n">
        <x:v>45747</x:v>
      </x:c>
      <x:c r="E2369" s="2" t="str">
        <x:v>Prior report</x:v>
      </x:c>
      <x:c r="F2369" s="7" t="n">
        <x:v>45679</x:v>
      </x:c>
      <x:c r="G2369" s="2" t="str">
        <x:v>Four-quarter mean</x:v>
      </x:c>
      <x:c r="H2369" s="8" t="n">
        <x:f>AVERAGE('PG facts'!F92,'PG facts'!F99,'PG facts'!F106,'PG facts'!F113)</x:f>
        <x:v>3.25</x:v>
      </x:c>
      <x:c r="I2369" s="8" t="n">
        <x:f>0</x:f>
        <x:v>0</x:v>
      </x:c>
      <x:c r="J2369" s="8" t="n">
        <x:v>0</x:v>
      </x:c>
      <x:c r="K2369" s="8" t="n">
        <x:f>H2369-I2369*J2369</x:f>
        <x:v>3.25</x:v>
      </x:c>
      <x:c r="L2369" s="8" t="n">
        <x:f>'PG facts'!F120</x:f>
        <x:v>4</x:v>
      </x:c>
      <x:c r="M2369" s="8" t="n">
        <x:f>K2369-L2369</x:f>
        <x:v>-0.75</x:v>
      </x:c>
      <x:c r="N2369" s="8" t="n">
        <x:f>M2369^2</x:f>
        <x:v>0.5625</x:v>
      </x:c>
      <x:c r="O2369" s="8" t="n">
        <x:f>ABS(M2369)</x:f>
        <x:v>0.75</x:v>
      </x:c>
      <x:c r="P2369" s="7" t="n">
        <x:v>45771</x:v>
      </x:c>
    </x:row>
    <x:row r="2370" ht="26" customHeight="1">
      <x:c r="A2370" s="2"/>
      <x:c r="B2370" s="2" t="n">
        <x:v>2365</x:v>
      </x:c>
      <x:c r="C2370" s="2" t="str">
        <x:v>Health Care / organic_sales_growth</x:v>
      </x:c>
      <x:c r="D2370" s="7" t="n">
        <x:v>45747</x:v>
      </x:c>
      <x:c r="E2370" s="2" t="str">
        <x:v>Prior report</x:v>
      </x:c>
      <x:c r="F2370" s="7" t="n">
        <x:v>45679</x:v>
      </x:c>
      <x:c r="G2370" s="2" t="str">
        <x:v>Broad market</x:v>
      </x:c>
      <x:c r="H2370" s="8" t="n">
        <x:f>'Model fits'!AA1532</x:f>
        <x:v>5.107697570696529</x:v>
      </x:c>
      <x:c r="I2370" s="8" t="n">
        <x:f>0</x:f>
        <x:v>0</x:v>
      </x:c>
      <x:c r="J2370" s="8" t="n">
        <x:v>0</x:v>
      </x:c>
      <x:c r="K2370" s="8" t="n">
        <x:f>H2370-I2370*J2370</x:f>
        <x:v>5.107697570696529</x:v>
      </x:c>
      <x:c r="L2370" s="8" t="n">
        <x:f>'PG facts'!F120</x:f>
        <x:v>4</x:v>
      </x:c>
      <x:c r="M2370" s="8" t="n">
        <x:f>K2370-L2370</x:f>
        <x:v>1.107697570696529</x:v>
      </x:c>
      <x:c r="N2370" s="8" t="n">
        <x:f>M2370^2</x:f>
        <x:v>1.226993908126992</x:v>
      </x:c>
      <x:c r="O2370" s="8" t="n">
        <x:f>ABS(M2370)</x:f>
        <x:v>1.107697570696529</x:v>
      </x:c>
      <x:c r="P2370" s="7" t="n">
        <x:v>45771</x:v>
      </x:c>
    </x:row>
    <x:row r="2371" ht="26" customHeight="1">
      <x:c r="A2371" s="2"/>
      <x:c r="B2371" s="2" t="n">
        <x:v>2366</x:v>
      </x:c>
      <x:c r="C2371" s="2" t="str">
        <x:v>Health Care / organic_sales_growth</x:v>
      </x:c>
      <x:c r="D2371" s="7" t="n">
        <x:v>45747</x:v>
      </x:c>
      <x:c r="E2371" s="2" t="str">
        <x:v>Prior report</x:v>
      </x:c>
      <x:c r="F2371" s="7" t="n">
        <x:v>45679</x:v>
      </x:c>
      <x:c r="G2371" s="2" t="str">
        <x:v>Broad lag 1</x:v>
      </x:c>
      <x:c r="H2371" s="8" t="n">
        <x:f>'Model fits'!AA1533</x:f>
        <x:v>7.078801786479593</x:v>
      </x:c>
      <x:c r="I2371" s="8" t="n">
        <x:f>0</x:f>
        <x:v>0</x:v>
      </x:c>
      <x:c r="J2371" s="8" t="n">
        <x:v>0</x:v>
      </x:c>
      <x:c r="K2371" s="8" t="n">
        <x:f>H2371-I2371*J2371</x:f>
        <x:v>7.078801786479593</x:v>
      </x:c>
      <x:c r="L2371" s="8" t="n">
        <x:f>'PG facts'!F120</x:f>
        <x:v>4</x:v>
      </x:c>
      <x:c r="M2371" s="8" t="n">
        <x:f>K2371-L2371</x:f>
        <x:v>3.078801786479593</x:v>
      </x:c>
      <x:c r="N2371" s="8" t="n">
        <x:f>M2371^2</x:f>
        <x:v>9.479020440429933</x:v>
      </x:c>
      <x:c r="O2371" s="8" t="n">
        <x:f>ABS(M2371)</x:f>
        <x:v>3.078801786479593</x:v>
      </x:c>
      <x:c r="P2371" s="7" t="n">
        <x:v>45771</x:v>
      </x:c>
    </x:row>
    <x:row r="2372" ht="26" customHeight="1">
      <x:c r="A2372" s="2"/>
      <x:c r="B2372" s="2" t="n">
        <x:v>2367</x:v>
      </x:c>
      <x:c r="C2372" s="2" t="str">
        <x:v>Health Care / organic_sales_growth</x:v>
      </x:c>
      <x:c r="D2372" s="7" t="n">
        <x:v>45747</x:v>
      </x:c>
      <x:c r="E2372" s="2" t="str">
        <x:v>Prior report</x:v>
      </x:c>
      <x:c r="F2372" s="7" t="n">
        <x:v>45679</x:v>
      </x:c>
      <x:c r="G2372" s="2" t="str">
        <x:v>Broad rolling 8</x:v>
      </x:c>
      <x:c r="H2372" s="8" t="n">
        <x:f>'Model fits'!AA1534</x:f>
        <x:v>3.9209420179379295</x:v>
      </x:c>
      <x:c r="I2372" s="8" t="n">
        <x:f>0</x:f>
        <x:v>0</x:v>
      </x:c>
      <x:c r="J2372" s="8" t="n">
        <x:v>0</x:v>
      </x:c>
      <x:c r="K2372" s="8" t="n">
        <x:f>H2372-I2372*J2372</x:f>
        <x:v>3.9209420179379295</x:v>
      </x:c>
      <x:c r="L2372" s="8" t="n">
        <x:f>'PG facts'!F120</x:f>
        <x:v>4</x:v>
      </x:c>
      <x:c r="M2372" s="8" t="n">
        <x:f>K2372-L2372</x:f>
        <x:v>-0.07905798206207049</x:v>
      </x:c>
      <x:c r="N2372" s="8" t="n">
        <x:f>M2372^2</x:f>
        <x:v>0.006250164527726659</x:v>
      </x:c>
      <x:c r="O2372" s="8" t="n">
        <x:f>ABS(M2372)</x:f>
        <x:v>0.07905798206207049</x:v>
      </x:c>
      <x:c r="P2372" s="7" t="n">
        <x:v>45771</x:v>
      </x:c>
    </x:row>
    <x:row r="2373" ht="26" customHeight="1">
      <x:c r="A2373" s="2"/>
      <x:c r="B2373" s="2" t="n">
        <x:v>2368</x:v>
      </x:c>
      <x:c r="C2373" s="2" t="str">
        <x:v>Health Care / organic_sales_growth</x:v>
      </x:c>
      <x:c r="D2373" s="7" t="n">
        <x:v>45747</x:v>
      </x:c>
      <x:c r="E2373" s="2" t="str">
        <x:v>Prior report</x:v>
      </x:c>
      <x:c r="F2373" s="7" t="n">
        <x:v>45679</x:v>
      </x:c>
      <x:c r="G2373" s="2" t="str">
        <x:v>Own history</x:v>
      </x:c>
      <x:c r="H2373" s="8" t="n">
        <x:f>'Model fits'!AA1535</x:f>
        <x:v>6.565559932470457</x:v>
      </x:c>
      <x:c r="I2373" s="8" t="n">
        <x:f>0</x:f>
        <x:v>0</x:v>
      </x:c>
      <x:c r="J2373" s="8" t="n">
        <x:v>0</x:v>
      </x:c>
      <x:c r="K2373" s="8" t="n">
        <x:f>H2373-I2373*J2373</x:f>
        <x:v>6.565559932470457</x:v>
      </x:c>
      <x:c r="L2373" s="8" t="n">
        <x:f>'PG facts'!F120</x:f>
        <x:v>4</x:v>
      </x:c>
      <x:c r="M2373" s="8" t="n">
        <x:f>K2373-L2373</x:f>
        <x:v>2.5655599324704568</x:v>
      </x:c>
      <x:c r="N2373" s="8" t="n">
        <x:f>M2373^2</x:f>
        <x:v>6.582097767097815</x:v>
      </x:c>
      <x:c r="O2373" s="8" t="n">
        <x:f>ABS(M2373)</x:f>
        <x:v>2.5655599324704568</x:v>
      </x:c>
      <x:c r="P2373" s="7" t="n">
        <x:v>45771</x:v>
      </x:c>
    </x:row>
    <x:row r="2374" ht="26" customHeight="1">
      <x:c r="A2374" s="2"/>
      <x:c r="B2374" s="2" t="n">
        <x:v>2369</x:v>
      </x:c>
      <x:c r="C2374" s="2" t="str">
        <x:v>Health Care / organic_sales_growth</x:v>
      </x:c>
      <x:c r="D2374" s="7" t="n">
        <x:v>45747</x:v>
      </x:c>
      <x:c r="E2374" s="2" t="str">
        <x:v>Pre-earnings</x:v>
      </x:c>
      <x:c r="F2374" s="7" t="n">
        <x:v>45770</x:v>
      </x:c>
      <x:c r="G2374" s="2" t="str">
        <x:v>Last actual</x:v>
      </x:c>
      <x:c r="H2374" s="8" t="n">
        <x:f>AVERAGE('PG facts'!F113)</x:f>
        <x:v>3</x:v>
      </x:c>
      <x:c r="I2374" s="8" t="n">
        <x:f>0</x:f>
        <x:v>0</x:v>
      </x:c>
      <x:c r="J2374" s="8" t="n">
        <x:v>0</x:v>
      </x:c>
      <x:c r="K2374" s="8" t="n">
        <x:f>H2374-I2374*J2374</x:f>
        <x:v>3</x:v>
      </x:c>
      <x:c r="L2374" s="8" t="n">
        <x:f>'PG facts'!F120</x:f>
        <x:v>4</x:v>
      </x:c>
      <x:c r="M2374" s="8" t="n">
        <x:f>K2374-L2374</x:f>
        <x:v>-1</x:v>
      </x:c>
      <x:c r="N2374" s="8" t="n">
        <x:f>M2374^2</x:f>
        <x:v>1</x:v>
      </x:c>
      <x:c r="O2374" s="8" t="n">
        <x:f>ABS(M2374)</x:f>
        <x:v>1</x:v>
      </x:c>
      <x:c r="P2374" s="7" t="n">
        <x:v>45771</x:v>
      </x:c>
    </x:row>
    <x:row r="2375" ht="26" customHeight="1">
      <x:c r="A2375" s="2"/>
      <x:c r="B2375" s="2" t="n">
        <x:v>2370</x:v>
      </x:c>
      <x:c r="C2375" s="2" t="str">
        <x:v>Health Care / organic_sales_growth</x:v>
      </x:c>
      <x:c r="D2375" s="7" t="n">
        <x:v>45747</x:v>
      </x:c>
      <x:c r="E2375" s="2" t="str">
        <x:v>Pre-earnings</x:v>
      </x:c>
      <x:c r="F2375" s="7" t="n">
        <x:v>45770</x:v>
      </x:c>
      <x:c r="G2375" s="2" t="str">
        <x:v>Four-quarter mean</x:v>
      </x:c>
      <x:c r="H2375" s="8" t="n">
        <x:f>AVERAGE('PG facts'!F92,'PG facts'!F99,'PG facts'!F106,'PG facts'!F113)</x:f>
        <x:v>3.25</x:v>
      </x:c>
      <x:c r="I2375" s="8" t="n">
        <x:f>0</x:f>
        <x:v>0</x:v>
      </x:c>
      <x:c r="J2375" s="8" t="n">
        <x:v>0</x:v>
      </x:c>
      <x:c r="K2375" s="8" t="n">
        <x:f>H2375-I2375*J2375</x:f>
        <x:v>3.25</x:v>
      </x:c>
      <x:c r="L2375" s="8" t="n">
        <x:f>'PG facts'!F120</x:f>
        <x:v>4</x:v>
      </x:c>
      <x:c r="M2375" s="8" t="n">
        <x:f>K2375-L2375</x:f>
        <x:v>-0.75</x:v>
      </x:c>
      <x:c r="N2375" s="8" t="n">
        <x:f>M2375^2</x:f>
        <x:v>0.5625</x:v>
      </x:c>
      <x:c r="O2375" s="8" t="n">
        <x:f>ABS(M2375)</x:f>
        <x:v>0.75</x:v>
      </x:c>
      <x:c r="P2375" s="7" t="n">
        <x:v>45771</x:v>
      </x:c>
    </x:row>
    <x:row r="2376" ht="26" customHeight="1">
      <x:c r="A2376" s="2"/>
      <x:c r="B2376" s="2" t="n">
        <x:v>2371</x:v>
      </x:c>
      <x:c r="C2376" s="2" t="str">
        <x:v>Health Care / organic_sales_growth</x:v>
      </x:c>
      <x:c r="D2376" s="7" t="n">
        <x:v>45747</x:v>
      </x:c>
      <x:c r="E2376" s="2" t="str">
        <x:v>Pre-earnings</x:v>
      </x:c>
      <x:c r="F2376" s="7" t="n">
        <x:v>45770</x:v>
      </x:c>
      <x:c r="G2376" s="2" t="str">
        <x:v>Broad market</x:v>
      </x:c>
      <x:c r="H2376" s="8" t="n">
        <x:f>'Model fits'!AA1536</x:f>
        <x:v>6.940002617283943</x:v>
      </x:c>
      <x:c r="I2376" s="8" t="n">
        <x:f>0</x:f>
        <x:v>0</x:v>
      </x:c>
      <x:c r="J2376" s="8" t="n">
        <x:v>0</x:v>
      </x:c>
      <x:c r="K2376" s="8" t="n">
        <x:f>H2376-I2376*J2376</x:f>
        <x:v>6.940002617283943</x:v>
      </x:c>
      <x:c r="L2376" s="8" t="n">
        <x:f>'PG facts'!F120</x:f>
        <x:v>4</x:v>
      </x:c>
      <x:c r="M2376" s="8" t="n">
        <x:f>K2376-L2376</x:f>
        <x:v>2.940002617283943</x:v>
      </x:c>
      <x:c r="N2376" s="8" t="n">
        <x:f>M2376^2</x:f>
        <x:v>8.643615389636434</x:v>
      </x:c>
      <x:c r="O2376" s="8" t="n">
        <x:f>ABS(M2376)</x:f>
        <x:v>2.940002617283943</x:v>
      </x:c>
      <x:c r="P2376" s="7" t="n">
        <x:v>45771</x:v>
      </x:c>
    </x:row>
    <x:row r="2377" ht="26" customHeight="1">
      <x:c r="A2377" s="2"/>
      <x:c r="B2377" s="2" t="n">
        <x:v>2372</x:v>
      </x:c>
      <x:c r="C2377" s="2" t="str">
        <x:v>Health Care / organic_sales_growth</x:v>
      </x:c>
      <x:c r="D2377" s="7" t="n">
        <x:v>45747</x:v>
      </x:c>
      <x:c r="E2377" s="2" t="str">
        <x:v>Pre-earnings</x:v>
      </x:c>
      <x:c r="F2377" s="7" t="n">
        <x:v>45770</x:v>
      </x:c>
      <x:c r="G2377" s="2" t="str">
        <x:v>Broad lag 1</x:v>
      </x:c>
      <x:c r="H2377" s="8" t="n">
        <x:f>'Model fits'!AA1537</x:f>
        <x:v>7.1028679846111675</x:v>
      </x:c>
      <x:c r="I2377" s="8" t="n">
        <x:f>0</x:f>
        <x:v>0</x:v>
      </x:c>
      <x:c r="J2377" s="8" t="n">
        <x:v>0</x:v>
      </x:c>
      <x:c r="K2377" s="8" t="n">
        <x:f>H2377-I2377*J2377</x:f>
        <x:v>7.1028679846111675</x:v>
      </x:c>
      <x:c r="L2377" s="8" t="n">
        <x:f>'PG facts'!F120</x:f>
        <x:v>4</x:v>
      </x:c>
      <x:c r="M2377" s="8" t="n">
        <x:f>K2377-L2377</x:f>
        <x:v>3.1028679846111675</x:v>
      </x:c>
      <x:c r="N2377" s="8" t="n">
        <x:f>M2377^2</x:f>
        <x:v>9.627789729924968</x:v>
      </x:c>
      <x:c r="O2377" s="8" t="n">
        <x:f>ABS(M2377)</x:f>
        <x:v>3.1028679846111675</x:v>
      </x:c>
      <x:c r="P2377" s="7" t="n">
        <x:v>45771</x:v>
      </x:c>
    </x:row>
    <x:row r="2378" ht="26" customHeight="1">
      <x:c r="A2378" s="2"/>
      <x:c r="B2378" s="2" t="n">
        <x:v>2373</x:v>
      </x:c>
      <x:c r="C2378" s="2" t="str">
        <x:v>Health Care / organic_sales_growth</x:v>
      </x:c>
      <x:c r="D2378" s="7" t="n">
        <x:v>45747</x:v>
      </x:c>
      <x:c r="E2378" s="2" t="str">
        <x:v>Pre-earnings</x:v>
      </x:c>
      <x:c r="F2378" s="7" t="n">
        <x:v>45770</x:v>
      </x:c>
      <x:c r="G2378" s="2" t="str">
        <x:v>Broad rolling 8</x:v>
      </x:c>
      <x:c r="H2378" s="8" t="n">
        <x:f>'Model fits'!AA1538</x:f>
        <x:v>5.1006448866925025</x:v>
      </x:c>
      <x:c r="I2378" s="8" t="n">
        <x:f>0</x:f>
        <x:v>0</x:v>
      </x:c>
      <x:c r="J2378" s="8" t="n">
        <x:v>0</x:v>
      </x:c>
      <x:c r="K2378" s="8" t="n">
        <x:f>H2378-I2378*J2378</x:f>
        <x:v>5.1006448866925025</x:v>
      </x:c>
      <x:c r="L2378" s="8" t="n">
        <x:f>'PG facts'!F120</x:f>
        <x:v>4</x:v>
      </x:c>
      <x:c r="M2378" s="8" t="n">
        <x:f>K2378-L2378</x:f>
        <x:v>1.1006448866925025</x:v>
      </x:c>
      <x:c r="N2378" s="8" t="n">
        <x:f>M2378^2</x:f>
        <x:v>1.2114191666023517</x:v>
      </x:c>
      <x:c r="O2378" s="8" t="n">
        <x:f>ABS(M2378)</x:f>
        <x:v>1.1006448866925025</x:v>
      </x:c>
      <x:c r="P2378" s="7" t="n">
        <x:v>45771</x:v>
      </x:c>
    </x:row>
    <x:row r="2379" ht="26" customHeight="1">
      <x:c r="A2379" s="2"/>
      <x:c r="B2379" s="2" t="n">
        <x:v>2374</x:v>
      </x:c>
      <x:c r="C2379" s="2" t="str">
        <x:v>Health Care / organic_sales_growth</x:v>
      </x:c>
      <x:c r="D2379" s="7" t="n">
        <x:v>45747</x:v>
      </x:c>
      <x:c r="E2379" s="2" t="str">
        <x:v>Pre-earnings</x:v>
      </x:c>
      <x:c r="F2379" s="7" t="n">
        <x:v>45770</x:v>
      </x:c>
      <x:c r="G2379" s="2" t="str">
        <x:v>Own history</x:v>
      </x:c>
      <x:c r="H2379" s="8" t="n">
        <x:f>'Model fits'!AA1539</x:f>
        <x:v>6.565559932470457</x:v>
      </x:c>
      <x:c r="I2379" s="8" t="n">
        <x:f>0</x:f>
        <x:v>0</x:v>
      </x:c>
      <x:c r="J2379" s="8" t="n">
        <x:v>0</x:v>
      </x:c>
      <x:c r="K2379" s="8" t="n">
        <x:f>H2379-I2379*J2379</x:f>
        <x:v>6.565559932470457</x:v>
      </x:c>
      <x:c r="L2379" s="8" t="n">
        <x:f>'PG facts'!F120</x:f>
        <x:v>4</x:v>
      </x:c>
      <x:c r="M2379" s="8" t="n">
        <x:f>K2379-L2379</x:f>
        <x:v>2.5655599324704568</x:v>
      </x:c>
      <x:c r="N2379" s="8" t="n">
        <x:f>M2379^2</x:f>
        <x:v>6.582097767097815</x:v>
      </x:c>
      <x:c r="O2379" s="8" t="n">
        <x:f>ABS(M2379)</x:f>
        <x:v>2.5655599324704568</x:v>
      </x:c>
      <x:c r="P2379" s="7" t="n">
        <x:v>45771</x:v>
      </x:c>
    </x:row>
    <x:row r="2380" ht="26" customHeight="1">
      <x:c r="A2380" s="2"/>
      <x:c r="B2380" s="2" t="n">
        <x:v>2375</x:v>
      </x:c>
      <x:c r="C2380" s="2" t="str">
        <x:v>Health Care / organic_sales_growth</x:v>
      </x:c>
      <x:c r="D2380" s="7" t="n">
        <x:v>45838</x:v>
      </x:c>
      <x:c r="E2380" s="2" t="str">
        <x:v>Origin</x:v>
      </x:c>
      <x:c r="F2380" s="7" t="n">
        <x:v>45748</x:v>
      </x:c>
      <x:c r="G2380" s="2" t="str">
        <x:v>Last actual</x:v>
      </x:c>
      <x:c r="H2380" s="8" t="n">
        <x:f>AVERAGE('PG facts'!F113)</x:f>
        <x:v>3</x:v>
      </x:c>
      <x:c r="I2380" s="8" t="n">
        <x:f>0</x:f>
        <x:v>0</x:v>
      </x:c>
      <x:c r="J2380" s="8" t="n">
        <x:v>0</x:v>
      </x:c>
      <x:c r="K2380" s="8" t="n">
        <x:f>H2380-I2380*J2380</x:f>
        <x:v>3</x:v>
      </x:c>
      <x:c r="L2380" s="8" t="n">
        <x:f>'PG facts'!F127</x:f>
        <x:v>2</x:v>
      </x:c>
      <x:c r="M2380" s="8" t="n">
        <x:f>K2380-L2380</x:f>
        <x:v>1</x:v>
      </x:c>
      <x:c r="N2380" s="8" t="n">
        <x:f>M2380^2</x:f>
        <x:v>1</x:v>
      </x:c>
      <x:c r="O2380" s="8" t="n">
        <x:f>ABS(M2380)</x:f>
        <x:v>1</x:v>
      </x:c>
      <x:c r="P2380" s="7" t="n">
        <x:v>45867</x:v>
      </x:c>
    </x:row>
    <x:row r="2381" ht="26" customHeight="1">
      <x:c r="A2381" s="2"/>
      <x:c r="B2381" s="2" t="n">
        <x:v>2376</x:v>
      </x:c>
      <x:c r="C2381" s="2" t="str">
        <x:v>Health Care / organic_sales_growth</x:v>
      </x:c>
      <x:c r="D2381" s="7" t="n">
        <x:v>45838</x:v>
      </x:c>
      <x:c r="E2381" s="2" t="str">
        <x:v>Origin</x:v>
      </x:c>
      <x:c r="F2381" s="7" t="n">
        <x:v>45748</x:v>
      </x:c>
      <x:c r="G2381" s="2" t="str">
        <x:v>Four-quarter mean</x:v>
      </x:c>
      <x:c r="H2381" s="8" t="n">
        <x:f>AVERAGE('PG facts'!F92,'PG facts'!F99,'PG facts'!F106,'PG facts'!F113)</x:f>
        <x:v>3.25</x:v>
      </x:c>
      <x:c r="I2381" s="8" t="n">
        <x:f>0</x:f>
        <x:v>0</x:v>
      </x:c>
      <x:c r="J2381" s="8" t="n">
        <x:v>0</x:v>
      </x:c>
      <x:c r="K2381" s="8" t="n">
        <x:f>H2381-I2381*J2381</x:f>
        <x:v>3.25</x:v>
      </x:c>
      <x:c r="L2381" s="8" t="n">
        <x:f>'PG facts'!F127</x:f>
        <x:v>2</x:v>
      </x:c>
      <x:c r="M2381" s="8" t="n">
        <x:f>K2381-L2381</x:f>
        <x:v>1.25</x:v>
      </x:c>
      <x:c r="N2381" s="8" t="n">
        <x:f>M2381^2</x:f>
        <x:v>1.5625</x:v>
      </x:c>
      <x:c r="O2381" s="8" t="n">
        <x:f>ABS(M2381)</x:f>
        <x:v>1.25</x:v>
      </x:c>
      <x:c r="P2381" s="7" t="n">
        <x:v>45867</x:v>
      </x:c>
    </x:row>
    <x:row r="2382" ht="26" customHeight="1">
      <x:c r="A2382" s="2"/>
      <x:c r="B2382" s="2" t="n">
        <x:v>2377</x:v>
      </x:c>
      <x:c r="C2382" s="2" t="str">
        <x:v>Health Care / organic_sales_growth</x:v>
      </x:c>
      <x:c r="D2382" s="7" t="n">
        <x:v>45838</x:v>
      </x:c>
      <x:c r="E2382" s="2" t="str">
        <x:v>Origin</x:v>
      </x:c>
      <x:c r="F2382" s="7" t="n">
        <x:v>45748</x:v>
      </x:c>
      <x:c r="G2382" s="2" t="str">
        <x:v>Broad market</x:v>
      </x:c>
      <x:c r="H2382" s="8" t="n">
        <x:f>'Model fits'!AA1540</x:f>
        <x:v>6.5643135254752565</x:v>
      </x:c>
      <x:c r="I2382" s="8" t="n">
        <x:f>0</x:f>
        <x:v>0</x:v>
      </x:c>
      <x:c r="J2382" s="8" t="n">
        <x:v>0</x:v>
      </x:c>
      <x:c r="K2382" s="8" t="n">
        <x:f>H2382-I2382*J2382</x:f>
        <x:v>6.5643135254752565</x:v>
      </x:c>
      <x:c r="L2382" s="8" t="n">
        <x:f>'PG facts'!F127</x:f>
        <x:v>2</x:v>
      </x:c>
      <x:c r="M2382" s="8" t="n">
        <x:f>K2382-L2382</x:f>
        <x:v>4.5643135254752565</x:v>
      </x:c>
      <x:c r="N2382" s="8" t="n">
        <x:f>M2382^2</x:f>
        <x:v>20.832957958836364</x:v>
      </x:c>
      <x:c r="O2382" s="8" t="n">
        <x:f>ABS(M2382)</x:f>
        <x:v>4.5643135254752565</x:v>
      </x:c>
      <x:c r="P2382" s="7" t="n">
        <x:v>45867</x:v>
      </x:c>
    </x:row>
    <x:row r="2383" ht="26" customHeight="1">
      <x:c r="A2383" s="2"/>
      <x:c r="B2383" s="2" t="n">
        <x:v>2378</x:v>
      </x:c>
      <x:c r="C2383" s="2" t="str">
        <x:v>Health Care / organic_sales_growth</x:v>
      </x:c>
      <x:c r="D2383" s="7" t="n">
        <x:v>45838</x:v>
      </x:c>
      <x:c r="E2383" s="2" t="str">
        <x:v>Origin</x:v>
      </x:c>
      <x:c r="F2383" s="7" t="n">
        <x:v>45748</x:v>
      </x:c>
      <x:c r="G2383" s="2" t="str">
        <x:v>Broad rolling 8</x:v>
      </x:c>
      <x:c r="H2383" s="8" t="n">
        <x:f>'Model fits'!AA1541</x:f>
        <x:v>4.85691184608066</x:v>
      </x:c>
      <x:c r="I2383" s="8" t="n">
        <x:f>0</x:f>
        <x:v>0</x:v>
      </x:c>
      <x:c r="J2383" s="8" t="n">
        <x:v>0</x:v>
      </x:c>
      <x:c r="K2383" s="8" t="n">
        <x:f>H2383-I2383*J2383</x:f>
        <x:v>4.85691184608066</x:v>
      </x:c>
      <x:c r="L2383" s="8" t="n">
        <x:f>'PG facts'!F127</x:f>
        <x:v>2</x:v>
      </x:c>
      <x:c r="M2383" s="8" t="n">
        <x:f>K2383-L2383</x:f>
        <x:v>2.85691184608066</x:v>
      </x:c>
      <x:c r="N2383" s="8" t="n">
        <x:f>M2383^2</x:f>
        <x:v>8.161945296276004</x:v>
      </x:c>
      <x:c r="O2383" s="8" t="n">
        <x:f>ABS(M2383)</x:f>
        <x:v>2.85691184608066</x:v>
      </x:c>
      <x:c r="P2383" s="7" t="n">
        <x:v>45867</x:v>
      </x:c>
    </x:row>
    <x:row r="2384" ht="26" customHeight="1">
      <x:c r="A2384" s="2"/>
      <x:c r="B2384" s="2" t="n">
        <x:v>2379</x:v>
      </x:c>
      <x:c r="C2384" s="2" t="str">
        <x:v>Health Care / organic_sales_growth</x:v>
      </x:c>
      <x:c r="D2384" s="7" t="n">
        <x:v>45838</x:v>
      </x:c>
      <x:c r="E2384" s="2" t="str">
        <x:v>Origin</x:v>
      </x:c>
      <x:c r="F2384" s="7" t="n">
        <x:v>45748</x:v>
      </x:c>
      <x:c r="G2384" s="2" t="str">
        <x:v>Own history</x:v>
      </x:c>
      <x:c r="H2384" s="8" t="n">
        <x:f>'Model fits'!AA1542</x:f>
        <x:v>5.498574596135572</x:v>
      </x:c>
      <x:c r="I2384" s="8" t="n">
        <x:f>0</x:f>
        <x:v>0</x:v>
      </x:c>
      <x:c r="J2384" s="8" t="n">
        <x:v>0</x:v>
      </x:c>
      <x:c r="K2384" s="8" t="n">
        <x:f>H2384-I2384*J2384</x:f>
        <x:v>5.498574596135572</x:v>
      </x:c>
      <x:c r="L2384" s="8" t="n">
        <x:f>'PG facts'!F127</x:f>
        <x:v>2</x:v>
      </x:c>
      <x:c r="M2384" s="8" t="n">
        <x:f>K2384-L2384</x:f>
        <x:v>3.4985745961355716</x:v>
      </x:c>
      <x:c r="N2384" s="8" t="n">
        <x:f>M2384^2</x:f>
        <x:v>12.240024204725179</x:v>
      </x:c>
      <x:c r="O2384" s="8" t="n">
        <x:f>ABS(M2384)</x:f>
        <x:v>3.4985745961355716</x:v>
      </x:c>
      <x:c r="P2384" s="7" t="n">
        <x:v>45867</x:v>
      </x:c>
    </x:row>
    <x:row r="2385" ht="26" customHeight="1">
      <x:c r="A2385" s="2"/>
      <x:c r="B2385" s="2" t="n">
        <x:v>2380</x:v>
      </x:c>
      <x:c r="C2385" s="2" t="str">
        <x:v>Health Care / organic_sales_growth</x:v>
      </x:c>
      <x:c r="D2385" s="7" t="n">
        <x:v>45838</x:v>
      </x:c>
      <x:c r="E2385" s="2" t="str">
        <x:v>Prior report</x:v>
      </x:c>
      <x:c r="F2385" s="7" t="n">
        <x:v>45771</x:v>
      </x:c>
      <x:c r="G2385" s="2" t="str">
        <x:v>Last actual</x:v>
      </x:c>
      <x:c r="H2385" s="8" t="n">
        <x:f>AVERAGE('PG facts'!F120)</x:f>
        <x:v>4</x:v>
      </x:c>
      <x:c r="I2385" s="8" t="n">
        <x:f>0</x:f>
        <x:v>0</x:v>
      </x:c>
      <x:c r="J2385" s="8" t="n">
        <x:v>0</x:v>
      </x:c>
      <x:c r="K2385" s="8" t="n">
        <x:f>H2385-I2385*J2385</x:f>
        <x:v>4</x:v>
      </x:c>
      <x:c r="L2385" s="8" t="n">
        <x:f>'PG facts'!F127</x:f>
        <x:v>2</x:v>
      </x:c>
      <x:c r="M2385" s="8" t="n">
        <x:f>K2385-L2385</x:f>
        <x:v>2</x:v>
      </x:c>
      <x:c r="N2385" s="8" t="n">
        <x:f>M2385^2</x:f>
        <x:v>4</x:v>
      </x:c>
      <x:c r="O2385" s="8" t="n">
        <x:f>ABS(M2385)</x:f>
        <x:v>2</x:v>
      </x:c>
      <x:c r="P2385" s="7" t="n">
        <x:v>45867</x:v>
      </x:c>
    </x:row>
    <x:row r="2386" ht="26" customHeight="1">
      <x:c r="A2386" s="2"/>
      <x:c r="B2386" s="2" t="n">
        <x:v>2381</x:v>
      </x:c>
      <x:c r="C2386" s="2" t="str">
        <x:v>Health Care / organic_sales_growth</x:v>
      </x:c>
      <x:c r="D2386" s="7" t="n">
        <x:v>45838</x:v>
      </x:c>
      <x:c r="E2386" s="2" t="str">
        <x:v>Prior report</x:v>
      </x:c>
      <x:c r="F2386" s="7" t="n">
        <x:v>45771</x:v>
      </x:c>
      <x:c r="G2386" s="2" t="str">
        <x:v>Four-quarter mean</x:v>
      </x:c>
      <x:c r="H2386" s="8" t="n">
        <x:f>AVERAGE('PG facts'!F99,'PG facts'!F106,'PG facts'!F113,'PG facts'!F120)</x:f>
        <x:v>3.75</x:v>
      </x:c>
      <x:c r="I2386" s="8" t="n">
        <x:f>0</x:f>
        <x:v>0</x:v>
      </x:c>
      <x:c r="J2386" s="8" t="n">
        <x:v>0</x:v>
      </x:c>
      <x:c r="K2386" s="8" t="n">
        <x:f>H2386-I2386*J2386</x:f>
        <x:v>3.75</x:v>
      </x:c>
      <x:c r="L2386" s="8" t="n">
        <x:f>'PG facts'!F127</x:f>
        <x:v>2</x:v>
      </x:c>
      <x:c r="M2386" s="8" t="n">
        <x:f>K2386-L2386</x:f>
        <x:v>1.75</x:v>
      </x:c>
      <x:c r="N2386" s="8" t="n">
        <x:f>M2386^2</x:f>
        <x:v>3.0625</x:v>
      </x:c>
      <x:c r="O2386" s="8" t="n">
        <x:f>ABS(M2386)</x:f>
        <x:v>1.75</x:v>
      </x:c>
      <x:c r="P2386" s="7" t="n">
        <x:v>45867</x:v>
      </x:c>
    </x:row>
    <x:row r="2387" ht="26" customHeight="1">
      <x:c r="A2387" s="2"/>
      <x:c r="B2387" s="2" t="n">
        <x:v>2382</x:v>
      </x:c>
      <x:c r="C2387" s="2" t="str">
        <x:v>Health Care / organic_sales_growth</x:v>
      </x:c>
      <x:c r="D2387" s="7" t="n">
        <x:v>45838</x:v>
      </x:c>
      <x:c r="E2387" s="2" t="str">
        <x:v>Prior report</x:v>
      </x:c>
      <x:c r="F2387" s="7" t="n">
        <x:v>45771</x:v>
      </x:c>
      <x:c r="G2387" s="2" t="str">
        <x:v>Broad market</x:v>
      </x:c>
      <x:c r="H2387" s="8" t="n">
        <x:f>'Model fits'!AA1543</x:f>
        <x:v>6.7674715647634045</x:v>
      </x:c>
      <x:c r="I2387" s="8" t="n">
        <x:f>0</x:f>
        <x:v>0</x:v>
      </x:c>
      <x:c r="J2387" s="8" t="n">
        <x:v>0</x:v>
      </x:c>
      <x:c r="K2387" s="8" t="n">
        <x:f>H2387-I2387*J2387</x:f>
        <x:v>6.7674715647634045</x:v>
      </x:c>
      <x:c r="L2387" s="8" t="n">
        <x:f>'PG facts'!F127</x:f>
        <x:v>2</x:v>
      </x:c>
      <x:c r="M2387" s="8" t="n">
        <x:f>K2387-L2387</x:f>
        <x:v>4.7674715647634045</x:v>
      </x:c>
      <x:c r="N2387" s="8" t="n">
        <x:f>M2387^2</x:f>
        <x:v>22.728785120827624</x:v>
      </x:c>
      <x:c r="O2387" s="8" t="n">
        <x:f>ABS(M2387)</x:f>
        <x:v>4.7674715647634045</x:v>
      </x:c>
      <x:c r="P2387" s="7" t="n">
        <x:v>45867</x:v>
      </x:c>
    </x:row>
    <x:row r="2388" ht="26" customHeight="1">
      <x:c r="A2388" s="2"/>
      <x:c r="B2388" s="2" t="n">
        <x:v>2383</x:v>
      </x:c>
      <x:c r="C2388" s="2" t="str">
        <x:v>Health Care / organic_sales_growth</x:v>
      </x:c>
      <x:c r="D2388" s="7" t="n">
        <x:v>45838</x:v>
      </x:c>
      <x:c r="E2388" s="2" t="str">
        <x:v>Prior report</x:v>
      </x:c>
      <x:c r="F2388" s="7" t="n">
        <x:v>45771</x:v>
      </x:c>
      <x:c r="G2388" s="2" t="str">
        <x:v>Broad lag 1</x:v>
      </x:c>
      <x:c r="H2388" s="8" t="n">
        <x:f>'Model fits'!AA1544</x:f>
        <x:v>7.052269863415955</x:v>
      </x:c>
      <x:c r="I2388" s="8" t="n">
        <x:f>0</x:f>
        <x:v>0</x:v>
      </x:c>
      <x:c r="J2388" s="8" t="n">
        <x:v>0</x:v>
      </x:c>
      <x:c r="K2388" s="8" t="n">
        <x:f>H2388-I2388*J2388</x:f>
        <x:v>7.052269863415955</x:v>
      </x:c>
      <x:c r="L2388" s="8" t="n">
        <x:f>'PG facts'!F127</x:f>
        <x:v>2</x:v>
      </x:c>
      <x:c r="M2388" s="8" t="n">
        <x:f>K2388-L2388</x:f>
        <x:v>5.052269863415955</x:v>
      </x:c>
      <x:c r="N2388" s="8" t="n">
        <x:f>M2388^2</x:f>
        <x:v>25.525430772781068</x:v>
      </x:c>
      <x:c r="O2388" s="8" t="n">
        <x:f>ABS(M2388)</x:f>
        <x:v>5.052269863415955</x:v>
      </x:c>
      <x:c r="P2388" s="7" t="n">
        <x:v>45867</x:v>
      </x:c>
    </x:row>
    <x:row r="2389" ht="26" customHeight="1">
      <x:c r="A2389" s="2"/>
      <x:c r="B2389" s="2" t="n">
        <x:v>2384</x:v>
      </x:c>
      <x:c r="C2389" s="2" t="str">
        <x:v>Health Care / organic_sales_growth</x:v>
      </x:c>
      <x:c r="D2389" s="7" t="n">
        <x:v>45838</x:v>
      </x:c>
      <x:c r="E2389" s="2" t="str">
        <x:v>Prior report</x:v>
      </x:c>
      <x:c r="F2389" s="7" t="n">
        <x:v>45771</x:v>
      </x:c>
      <x:c r="G2389" s="2" t="str">
        <x:v>Broad rolling 8</x:v>
      </x:c>
      <x:c r="H2389" s="8" t="n">
        <x:f>'Model fits'!AA1545</x:f>
        <x:v>4.419624232674712</x:v>
      </x:c>
      <x:c r="I2389" s="8" t="n">
        <x:f>0</x:f>
        <x:v>0</x:v>
      </x:c>
      <x:c r="J2389" s="8" t="n">
        <x:v>0</x:v>
      </x:c>
      <x:c r="K2389" s="8" t="n">
        <x:f>H2389-I2389*J2389</x:f>
        <x:v>4.419624232674712</x:v>
      </x:c>
      <x:c r="L2389" s="8" t="n">
        <x:f>'PG facts'!F127</x:f>
        <x:v>2</x:v>
      </x:c>
      <x:c r="M2389" s="8" t="n">
        <x:f>K2389-L2389</x:f>
        <x:v>2.419624232674712</x:v>
      </x:c>
      <x:c r="N2389" s="8" t="n">
        <x:f>M2389^2</x:f>
        <x:v>5.854581427346689</x:v>
      </x:c>
      <x:c r="O2389" s="8" t="n">
        <x:f>ABS(M2389)</x:f>
        <x:v>2.419624232674712</x:v>
      </x:c>
      <x:c r="P2389" s="7" t="n">
        <x:v>45867</x:v>
      </x:c>
    </x:row>
    <x:row r="2390" ht="26" customHeight="1">
      <x:c r="A2390" s="2"/>
      <x:c r="B2390" s="2" t="n">
        <x:v>2385</x:v>
      </x:c>
      <x:c r="C2390" s="2" t="str">
        <x:v>Health Care / organic_sales_growth</x:v>
      </x:c>
      <x:c r="D2390" s="7" t="n">
        <x:v>45838</x:v>
      </x:c>
      <x:c r="E2390" s="2" t="str">
        <x:v>Prior report</x:v>
      </x:c>
      <x:c r="F2390" s="7" t="n">
        <x:v>45771</x:v>
      </x:c>
      <x:c r="G2390" s="2" t="str">
        <x:v>Own history</x:v>
      </x:c>
      <x:c r="H2390" s="8" t="n">
        <x:f>'Model fits'!AA1546</x:f>
        <x:v>6.4483267716535435</x:v>
      </x:c>
      <x:c r="I2390" s="8" t="n">
        <x:f>0</x:f>
        <x:v>0</x:v>
      </x:c>
      <x:c r="J2390" s="8" t="n">
        <x:v>0</x:v>
      </x:c>
      <x:c r="K2390" s="8" t="n">
        <x:f>H2390-I2390*J2390</x:f>
        <x:v>6.4483267716535435</x:v>
      </x:c>
      <x:c r="L2390" s="8" t="n">
        <x:f>'PG facts'!F127</x:f>
        <x:v>2</x:v>
      </x:c>
      <x:c r="M2390" s="8" t="n">
        <x:f>K2390-L2390</x:f>
        <x:v>4.4483267716535435</x:v>
      </x:c>
      <x:c r="N2390" s="8" t="n">
        <x:f>M2390^2</x:f>
        <x:v>19.787611067409635</x:v>
      </x:c>
      <x:c r="O2390" s="8" t="n">
        <x:f>ABS(M2390)</x:f>
        <x:v>4.4483267716535435</x:v>
      </x:c>
      <x:c r="P2390" s="7" t="n">
        <x:v>45867</x:v>
      </x:c>
    </x:row>
    <x:row r="2391" ht="26" customHeight="1">
      <x:c r="A2391" s="2"/>
      <x:c r="B2391" s="2" t="n">
        <x:v>2386</x:v>
      </x:c>
      <x:c r="C2391" s="2" t="str">
        <x:v>Health Care / organic_sales_growth</x:v>
      </x:c>
      <x:c r="D2391" s="7" t="n">
        <x:v>45838</x:v>
      </x:c>
      <x:c r="E2391" s="2" t="str">
        <x:v>Pre-earnings</x:v>
      </x:c>
      <x:c r="F2391" s="7" t="n">
        <x:v>45866</x:v>
      </x:c>
      <x:c r="G2391" s="2" t="str">
        <x:v>Last actual</x:v>
      </x:c>
      <x:c r="H2391" s="8" t="n">
        <x:f>AVERAGE('PG facts'!F120)</x:f>
        <x:v>4</x:v>
      </x:c>
      <x:c r="I2391" s="8" t="n">
        <x:f>0</x:f>
        <x:v>0</x:v>
      </x:c>
      <x:c r="J2391" s="8" t="n">
        <x:v>0</x:v>
      </x:c>
      <x:c r="K2391" s="8" t="n">
        <x:f>H2391-I2391*J2391</x:f>
        <x:v>4</x:v>
      </x:c>
      <x:c r="L2391" s="8" t="n">
        <x:f>'PG facts'!F127</x:f>
        <x:v>2</x:v>
      </x:c>
      <x:c r="M2391" s="8" t="n">
        <x:f>K2391-L2391</x:f>
        <x:v>2</x:v>
      </x:c>
      <x:c r="N2391" s="8" t="n">
        <x:f>M2391^2</x:f>
        <x:v>4</x:v>
      </x:c>
      <x:c r="O2391" s="8" t="n">
        <x:f>ABS(M2391)</x:f>
        <x:v>2</x:v>
      </x:c>
      <x:c r="P2391" s="7" t="n">
        <x:v>45867</x:v>
      </x:c>
    </x:row>
    <x:row r="2392" ht="26" customHeight="1">
      <x:c r="A2392" s="2"/>
      <x:c r="B2392" s="2" t="n">
        <x:v>2387</x:v>
      </x:c>
      <x:c r="C2392" s="2" t="str">
        <x:v>Health Care / organic_sales_growth</x:v>
      </x:c>
      <x:c r="D2392" s="7" t="n">
        <x:v>45838</x:v>
      </x:c>
      <x:c r="E2392" s="2" t="str">
        <x:v>Pre-earnings</x:v>
      </x:c>
      <x:c r="F2392" s="7" t="n">
        <x:v>45866</x:v>
      </x:c>
      <x:c r="G2392" s="2" t="str">
        <x:v>Four-quarter mean</x:v>
      </x:c>
      <x:c r="H2392" s="8" t="n">
        <x:f>AVERAGE('PG facts'!F99,'PG facts'!F106,'PG facts'!F113,'PG facts'!F120)</x:f>
        <x:v>3.75</x:v>
      </x:c>
      <x:c r="I2392" s="8" t="n">
        <x:f>0</x:f>
        <x:v>0</x:v>
      </x:c>
      <x:c r="J2392" s="8" t="n">
        <x:v>0</x:v>
      </x:c>
      <x:c r="K2392" s="8" t="n">
        <x:f>H2392-I2392*J2392</x:f>
        <x:v>3.75</x:v>
      </x:c>
      <x:c r="L2392" s="8" t="n">
        <x:f>'PG facts'!F127</x:f>
        <x:v>2</x:v>
      </x:c>
      <x:c r="M2392" s="8" t="n">
        <x:f>K2392-L2392</x:f>
        <x:v>1.75</x:v>
      </x:c>
      <x:c r="N2392" s="8" t="n">
        <x:f>M2392^2</x:f>
        <x:v>3.0625</x:v>
      </x:c>
      <x:c r="O2392" s="8" t="n">
        <x:f>ABS(M2392)</x:f>
        <x:v>1.75</x:v>
      </x:c>
      <x:c r="P2392" s="7" t="n">
        <x:v>45867</x:v>
      </x:c>
    </x:row>
    <x:row r="2393" ht="26" customHeight="1">
      <x:c r="A2393" s="2"/>
      <x:c r="B2393" s="2" t="n">
        <x:v>2388</x:v>
      </x:c>
      <x:c r="C2393" s="2" t="str">
        <x:v>Health Care / organic_sales_growth</x:v>
      </x:c>
      <x:c r="D2393" s="7" t="n">
        <x:v>45838</x:v>
      </x:c>
      <x:c r="E2393" s="2" t="str">
        <x:v>Pre-earnings</x:v>
      </x:c>
      <x:c r="F2393" s="7" t="n">
        <x:v>45866</x:v>
      </x:c>
      <x:c r="G2393" s="2" t="str">
        <x:v>Broad market</x:v>
      </x:c>
      <x:c r="H2393" s="8" t="n">
        <x:f>'Model fits'!AA1547</x:f>
        <x:v>7.738078414159862</x:v>
      </x:c>
      <x:c r="I2393" s="8" t="n">
        <x:f>0</x:f>
        <x:v>0</x:v>
      </x:c>
      <x:c r="J2393" s="8" t="n">
        <x:v>0</x:v>
      </x:c>
      <x:c r="K2393" s="8" t="n">
        <x:f>H2393-I2393*J2393</x:f>
        <x:v>7.738078414159862</x:v>
      </x:c>
      <x:c r="L2393" s="8" t="n">
        <x:f>'PG facts'!F127</x:f>
        <x:v>2</x:v>
      </x:c>
      <x:c r="M2393" s="8" t="n">
        <x:f>K2393-L2393</x:f>
        <x:v>5.738078414159862</x:v>
      </x:c>
      <x:c r="N2393" s="8" t="n">
        <x:f>M2393^2</x:f>
        <x:v>32.925543887047354</x:v>
      </x:c>
      <x:c r="O2393" s="8" t="n">
        <x:f>ABS(M2393)</x:f>
        <x:v>5.738078414159862</x:v>
      </x:c>
      <x:c r="P2393" s="7" t="n">
        <x:v>45867</x:v>
      </x:c>
    </x:row>
    <x:row r="2394" ht="26" customHeight="1">
      <x:c r="A2394" s="2"/>
      <x:c r="B2394" s="2" t="n">
        <x:v>2389</x:v>
      </x:c>
      <x:c r="C2394" s="2" t="str">
        <x:v>Health Care / organic_sales_growth</x:v>
      </x:c>
      <x:c r="D2394" s="7" t="n">
        <x:v>45838</x:v>
      </x:c>
      <x:c r="E2394" s="2" t="str">
        <x:v>Pre-earnings</x:v>
      </x:c>
      <x:c r="F2394" s="7" t="n">
        <x:v>45866</x:v>
      </x:c>
      <x:c r="G2394" s="2" t="str">
        <x:v>Broad lag 1</x:v>
      </x:c>
      <x:c r="H2394" s="8" t="n">
        <x:f>'Model fits'!AA1548</x:f>
        <x:v>7.103602432904318</x:v>
      </x:c>
      <x:c r="I2394" s="8" t="n">
        <x:f>0</x:f>
        <x:v>0</x:v>
      </x:c>
      <x:c r="J2394" s="8" t="n">
        <x:v>0</x:v>
      </x:c>
      <x:c r="K2394" s="8" t="n">
        <x:f>H2394-I2394*J2394</x:f>
        <x:v>7.103602432904318</x:v>
      </x:c>
      <x:c r="L2394" s="8" t="n">
        <x:f>'PG facts'!F127</x:f>
        <x:v>2</x:v>
      </x:c>
      <x:c r="M2394" s="8" t="n">
        <x:f>K2394-L2394</x:f>
        <x:v>5.103602432904318</x:v>
      </x:c>
      <x:c r="N2394" s="8" t="n">
        <x:f>M2394^2</x:f>
        <x:v>26.046757793146874</x:v>
      </x:c>
      <x:c r="O2394" s="8" t="n">
        <x:f>ABS(M2394)</x:f>
        <x:v>5.103602432904318</x:v>
      </x:c>
      <x:c r="P2394" s="7" t="n">
        <x:v>45867</x:v>
      </x:c>
    </x:row>
    <x:row r="2395" ht="26" customHeight="1">
      <x:c r="A2395" s="2"/>
      <x:c r="B2395" s="2" t="n">
        <x:v>2390</x:v>
      </x:c>
      <x:c r="C2395" s="2" t="str">
        <x:v>Health Care / organic_sales_growth</x:v>
      </x:c>
      <x:c r="D2395" s="7" t="n">
        <x:v>45838</x:v>
      </x:c>
      <x:c r="E2395" s="2" t="str">
        <x:v>Pre-earnings</x:v>
      </x:c>
      <x:c r="F2395" s="7" t="n">
        <x:v>45866</x:v>
      </x:c>
      <x:c r="G2395" s="2" t="str">
        <x:v>Broad rolling 8</x:v>
      </x:c>
      <x:c r="H2395" s="8" t="n">
        <x:f>'Model fits'!AA1549</x:f>
        <x:v>4.729184809746759</x:v>
      </x:c>
      <x:c r="I2395" s="8" t="n">
        <x:f>0</x:f>
        <x:v>0</x:v>
      </x:c>
      <x:c r="J2395" s="8" t="n">
        <x:v>0</x:v>
      </x:c>
      <x:c r="K2395" s="8" t="n">
        <x:f>H2395-I2395*J2395</x:f>
        <x:v>4.729184809746759</x:v>
      </x:c>
      <x:c r="L2395" s="8" t="n">
        <x:f>'PG facts'!F127</x:f>
        <x:v>2</x:v>
      </x:c>
      <x:c r="M2395" s="8" t="n">
        <x:f>K2395-L2395</x:f>
        <x:v>2.7291848097467586</x:v>
      </x:c>
      <x:c r="N2395" s="8" t="n">
        <x:f>M2395^2</x:f>
        <x:v>7.448449725752451</x:v>
      </x:c>
      <x:c r="O2395" s="8" t="n">
        <x:f>ABS(M2395)</x:f>
        <x:v>2.7291848097467586</x:v>
      </x:c>
      <x:c r="P2395" s="7" t="n">
        <x:v>45867</x:v>
      </x:c>
    </x:row>
    <x:row r="2396" ht="26" customHeight="1">
      <x:c r="A2396" s="2"/>
      <x:c r="B2396" s="2" t="n">
        <x:v>2391</x:v>
      </x:c>
      <x:c r="C2396" s="2" t="str">
        <x:v>Health Care / organic_sales_growth</x:v>
      </x:c>
      <x:c r="D2396" s="7" t="n">
        <x:v>45838</x:v>
      </x:c>
      <x:c r="E2396" s="2" t="str">
        <x:v>Pre-earnings</x:v>
      </x:c>
      <x:c r="F2396" s="7" t="n">
        <x:v>45866</x:v>
      </x:c>
      <x:c r="G2396" s="2" t="str">
        <x:v>Own history</x:v>
      </x:c>
      <x:c r="H2396" s="8" t="n">
        <x:f>'Model fits'!AA1550</x:f>
        <x:v>6.4483267716535435</x:v>
      </x:c>
      <x:c r="I2396" s="8" t="n">
        <x:f>0</x:f>
        <x:v>0</x:v>
      </x:c>
      <x:c r="J2396" s="8" t="n">
        <x:v>0</x:v>
      </x:c>
      <x:c r="K2396" s="8" t="n">
        <x:f>H2396-I2396*J2396</x:f>
        <x:v>6.4483267716535435</x:v>
      </x:c>
      <x:c r="L2396" s="8" t="n">
        <x:f>'PG facts'!F127</x:f>
        <x:v>2</x:v>
      </x:c>
      <x:c r="M2396" s="8" t="n">
        <x:f>K2396-L2396</x:f>
        <x:v>4.4483267716535435</x:v>
      </x:c>
      <x:c r="N2396" s="8" t="n">
        <x:f>M2396^2</x:f>
        <x:v>19.787611067409635</x:v>
      </x:c>
      <x:c r="O2396" s="8" t="n">
        <x:f>ABS(M2396)</x:f>
        <x:v>4.4483267716535435</x:v>
      </x:c>
      <x:c r="P2396" s="7" t="n">
        <x:v>45867</x:v>
      </x:c>
    </x:row>
    <x:row r="2397" ht="26" customHeight="1">
      <x:c r="A2397" s="2"/>
      <x:c r="B2397" s="2" t="n">
        <x:v>2392</x:v>
      </x:c>
      <x:c r="C2397" s="2" t="str">
        <x:v>Health Care / organic_sales_growth</x:v>
      </x:c>
      <x:c r="D2397" s="7" t="n">
        <x:v>45930</x:v>
      </x:c>
      <x:c r="E2397" s="2" t="str">
        <x:v>Origin</x:v>
      </x:c>
      <x:c r="F2397" s="7" t="n">
        <x:v>45839</x:v>
      </x:c>
      <x:c r="G2397" s="2" t="str">
        <x:v>Last actual</x:v>
      </x:c>
      <x:c r="H2397" s="8" t="n">
        <x:f>AVERAGE('PG facts'!F120)</x:f>
        <x:v>4</x:v>
      </x:c>
      <x:c r="I2397" s="8" t="n">
        <x:f>0</x:f>
        <x:v>0</x:v>
      </x:c>
      <x:c r="J2397" s="8" t="n">
        <x:v>0</x:v>
      </x:c>
      <x:c r="K2397" s="8" t="n">
        <x:f>H2397-I2397*J2397</x:f>
        <x:v>4</x:v>
      </x:c>
      <x:c r="L2397" s="8" t="n">
        <x:f>'PG facts'!F134</x:f>
        <x:v>1</x:v>
      </x:c>
      <x:c r="M2397" s="8" t="n">
        <x:f>K2397-L2397</x:f>
        <x:v>3</x:v>
      </x:c>
      <x:c r="N2397" s="8" t="n">
        <x:f>M2397^2</x:f>
        <x:v>9</x:v>
      </x:c>
      <x:c r="O2397" s="8" t="n">
        <x:f>ABS(M2397)</x:f>
        <x:v>3</x:v>
      </x:c>
      <x:c r="P2397" s="7" t="n">
        <x:v>45954</x:v>
      </x:c>
    </x:row>
    <x:row r="2398" ht="26" customHeight="1">
      <x:c r="A2398" s="2"/>
      <x:c r="B2398" s="2" t="n">
        <x:v>2393</x:v>
      </x:c>
      <x:c r="C2398" s="2" t="str">
        <x:v>Health Care / organic_sales_growth</x:v>
      </x:c>
      <x:c r="D2398" s="7" t="n">
        <x:v>45930</x:v>
      </x:c>
      <x:c r="E2398" s="2" t="str">
        <x:v>Origin</x:v>
      </x:c>
      <x:c r="F2398" s="7" t="n">
        <x:v>45839</x:v>
      </x:c>
      <x:c r="G2398" s="2" t="str">
        <x:v>Four-quarter mean</x:v>
      </x:c>
      <x:c r="H2398" s="8" t="n">
        <x:f>AVERAGE('PG facts'!F99,'PG facts'!F106,'PG facts'!F113,'PG facts'!F120)</x:f>
        <x:v>3.75</x:v>
      </x:c>
      <x:c r="I2398" s="8" t="n">
        <x:f>0</x:f>
        <x:v>0</x:v>
      </x:c>
      <x:c r="J2398" s="8" t="n">
        <x:v>0</x:v>
      </x:c>
      <x:c r="K2398" s="8" t="n">
        <x:f>H2398-I2398*J2398</x:f>
        <x:v>3.75</x:v>
      </x:c>
      <x:c r="L2398" s="8" t="n">
        <x:f>'PG facts'!F134</x:f>
        <x:v>1</x:v>
      </x:c>
      <x:c r="M2398" s="8" t="n">
        <x:f>K2398-L2398</x:f>
        <x:v>2.75</x:v>
      </x:c>
      <x:c r="N2398" s="8" t="n">
        <x:f>M2398^2</x:f>
        <x:v>7.5625</x:v>
      </x:c>
      <x:c r="O2398" s="8" t="n">
        <x:f>ABS(M2398)</x:f>
        <x:v>2.75</x:v>
      </x:c>
      <x:c r="P2398" s="7" t="n">
        <x:v>45954</x:v>
      </x:c>
    </x:row>
    <x:row r="2399" ht="26" customHeight="1">
      <x:c r="A2399" s="2"/>
      <x:c r="B2399" s="2" t="n">
        <x:v>2394</x:v>
      </x:c>
      <x:c r="C2399" s="2" t="str">
        <x:v>Health Care / organic_sales_growth</x:v>
      </x:c>
      <x:c r="D2399" s="7" t="n">
        <x:v>45930</x:v>
      </x:c>
      <x:c r="E2399" s="2" t="str">
        <x:v>Origin</x:v>
      </x:c>
      <x:c r="F2399" s="7" t="n">
        <x:v>45839</x:v>
      </x:c>
      <x:c r="G2399" s="2" t="str">
        <x:v>Broad market</x:v>
      </x:c>
      <x:c r="H2399" s="8" t="n">
        <x:f>'Model fits'!AA1551</x:f>
        <x:v>7.8955145480331375</x:v>
      </x:c>
      <x:c r="I2399" s="8" t="n">
        <x:f>0</x:f>
        <x:v>0</x:v>
      </x:c>
      <x:c r="J2399" s="8" t="n">
        <x:v>0</x:v>
      </x:c>
      <x:c r="K2399" s="8" t="n">
        <x:f>H2399-I2399*J2399</x:f>
        <x:v>7.8955145480331375</x:v>
      </x:c>
      <x:c r="L2399" s="8" t="n">
        <x:f>'PG facts'!F134</x:f>
        <x:v>1</x:v>
      </x:c>
      <x:c r="M2399" s="8" t="n">
        <x:f>K2399-L2399</x:f>
        <x:v>6.8955145480331375</x:v>
      </x:c>
      <x:c r="N2399" s="8" t="n">
        <x:f>M2399^2</x:f>
        <x:v>47.548120882136644</x:v>
      </x:c>
      <x:c r="O2399" s="8" t="n">
        <x:f>ABS(M2399)</x:f>
        <x:v>6.8955145480331375</x:v>
      </x:c>
      <x:c r="P2399" s="7" t="n">
        <x:v>45954</x:v>
      </x:c>
    </x:row>
    <x:row r="2400" ht="26" customHeight="1">
      <x:c r="A2400" s="2"/>
      <x:c r="B2400" s="2" t="n">
        <x:v>2395</x:v>
      </x:c>
      <x:c r="C2400" s="2" t="str">
        <x:v>Health Care / organic_sales_growth</x:v>
      </x:c>
      <x:c r="D2400" s="7" t="n">
        <x:v>45930</x:v>
      </x:c>
      <x:c r="E2400" s="2" t="str">
        <x:v>Origin</x:v>
      </x:c>
      <x:c r="F2400" s="7" t="n">
        <x:v>45839</x:v>
      </x:c>
      <x:c r="G2400" s="2" t="str">
        <x:v>Broad rolling 8</x:v>
      </x:c>
      <x:c r="H2400" s="8" t="n">
        <x:f>'Model fits'!AA1552</x:f>
        <x:v>4.792009618095547</x:v>
      </x:c>
      <x:c r="I2400" s="8" t="n">
        <x:f>0</x:f>
        <x:v>0</x:v>
      </x:c>
      <x:c r="J2400" s="8" t="n">
        <x:v>0</x:v>
      </x:c>
      <x:c r="K2400" s="8" t="n">
        <x:f>H2400-I2400*J2400</x:f>
        <x:v>4.792009618095547</x:v>
      </x:c>
      <x:c r="L2400" s="8" t="n">
        <x:f>'PG facts'!F134</x:f>
        <x:v>1</x:v>
      </x:c>
      <x:c r="M2400" s="8" t="n">
        <x:f>K2400-L2400</x:f>
        <x:v>3.7920096180955474</x:v>
      </x:c>
      <x:c r="N2400" s="8" t="n">
        <x:f>M2400^2</x:f>
        <x:v>14.37933694372914</x:v>
      </x:c>
      <x:c r="O2400" s="8" t="n">
        <x:f>ABS(M2400)</x:f>
        <x:v>3.7920096180955474</x:v>
      </x:c>
      <x:c r="P2400" s="7" t="n">
        <x:v>45954</x:v>
      </x:c>
    </x:row>
    <x:row r="2401" ht="26" customHeight="1">
      <x:c r="A2401" s="2"/>
      <x:c r="B2401" s="2" t="n">
        <x:v>2396</x:v>
      </x:c>
      <x:c r="C2401" s="2" t="str">
        <x:v>Health Care / organic_sales_growth</x:v>
      </x:c>
      <x:c r="D2401" s="7" t="n">
        <x:v>45930</x:v>
      </x:c>
      <x:c r="E2401" s="2" t="str">
        <x:v>Origin</x:v>
      </x:c>
      <x:c r="F2401" s="7" t="n">
        <x:v>45839</x:v>
      </x:c>
      <x:c r="G2401" s="2" t="str">
        <x:v>Own history</x:v>
      </x:c>
      <x:c r="H2401" s="8" t="n">
        <x:f>'Model fits'!AA1553</x:f>
        <x:v>5.585256049521665</x:v>
      </x:c>
      <x:c r="I2401" s="8" t="n">
        <x:f>0</x:f>
        <x:v>0</x:v>
      </x:c>
      <x:c r="J2401" s="8" t="n">
        <x:v>0</x:v>
      </x:c>
      <x:c r="K2401" s="8" t="n">
        <x:f>H2401-I2401*J2401</x:f>
        <x:v>5.585256049521665</x:v>
      </x:c>
      <x:c r="L2401" s="8" t="n">
        <x:f>'PG facts'!F134</x:f>
        <x:v>1</x:v>
      </x:c>
      <x:c r="M2401" s="8" t="n">
        <x:f>K2401-L2401</x:f>
        <x:v>4.585256049521665</x:v>
      </x:c>
      <x:c r="N2401" s="8" t="n">
        <x:f>M2401^2</x:f>
        <x:v>21.024573039675026</x:v>
      </x:c>
      <x:c r="O2401" s="8" t="n">
        <x:f>ABS(M2401)</x:f>
        <x:v>4.585256049521665</x:v>
      </x:c>
      <x:c r="P2401" s="7" t="n">
        <x:v>45954</x:v>
      </x:c>
    </x:row>
    <x:row r="2402" ht="26" customHeight="1">
      <x:c r="A2402" s="2"/>
      <x:c r="B2402" s="2" t="n">
        <x:v>2397</x:v>
      </x:c>
      <x:c r="C2402" s="2" t="str">
        <x:v>Health Care / organic_sales_growth</x:v>
      </x:c>
      <x:c r="D2402" s="7" t="n">
        <x:v>45930</x:v>
      </x:c>
      <x:c r="E2402" s="2" t="str">
        <x:v>Prior report</x:v>
      </x:c>
      <x:c r="F2402" s="7" t="n">
        <x:v>45867</x:v>
      </x:c>
      <x:c r="G2402" s="2" t="str">
        <x:v>Last actual</x:v>
      </x:c>
      <x:c r="H2402" s="8" t="n">
        <x:f>AVERAGE('PG facts'!F127)</x:f>
        <x:v>2</x:v>
      </x:c>
      <x:c r="I2402" s="8" t="n">
        <x:f>0</x:f>
        <x:v>0</x:v>
      </x:c>
      <x:c r="J2402" s="8" t="n">
        <x:v>0</x:v>
      </x:c>
      <x:c r="K2402" s="8" t="n">
        <x:f>H2402-I2402*J2402</x:f>
        <x:v>2</x:v>
      </x:c>
      <x:c r="L2402" s="8" t="n">
        <x:f>'PG facts'!F134</x:f>
        <x:v>1</x:v>
      </x:c>
      <x:c r="M2402" s="8" t="n">
        <x:f>K2402-L2402</x:f>
        <x:v>1</x:v>
      </x:c>
      <x:c r="N2402" s="8" t="n">
        <x:f>M2402^2</x:f>
        <x:v>1</x:v>
      </x:c>
      <x:c r="O2402" s="8" t="n">
        <x:f>ABS(M2402)</x:f>
        <x:v>1</x:v>
      </x:c>
      <x:c r="P2402" s="7" t="n">
        <x:v>45954</x:v>
      </x:c>
    </x:row>
    <x:row r="2403" ht="26" customHeight="1">
      <x:c r="A2403" s="2"/>
      <x:c r="B2403" s="2" t="n">
        <x:v>2398</x:v>
      </x:c>
      <x:c r="C2403" s="2" t="str">
        <x:v>Health Care / organic_sales_growth</x:v>
      </x:c>
      <x:c r="D2403" s="7" t="n">
        <x:v>45930</x:v>
      </x:c>
      <x:c r="E2403" s="2" t="str">
        <x:v>Prior report</x:v>
      </x:c>
      <x:c r="F2403" s="7" t="n">
        <x:v>45867</x:v>
      </x:c>
      <x:c r="G2403" s="2" t="str">
        <x:v>Four-quarter mean</x:v>
      </x:c>
      <x:c r="H2403" s="8" t="n">
        <x:f>AVERAGE('PG facts'!F106,'PG facts'!F113,'PG facts'!F120,'PG facts'!F127)</x:f>
        <x:v>3.25</x:v>
      </x:c>
      <x:c r="I2403" s="8" t="n">
        <x:f>0</x:f>
        <x:v>0</x:v>
      </x:c>
      <x:c r="J2403" s="8" t="n">
        <x:v>0</x:v>
      </x:c>
      <x:c r="K2403" s="8" t="n">
        <x:f>H2403-I2403*J2403</x:f>
        <x:v>3.25</x:v>
      </x:c>
      <x:c r="L2403" s="8" t="n">
        <x:f>'PG facts'!F134</x:f>
        <x:v>1</x:v>
      </x:c>
      <x:c r="M2403" s="8" t="n">
        <x:f>K2403-L2403</x:f>
        <x:v>2.25</x:v>
      </x:c>
      <x:c r="N2403" s="8" t="n">
        <x:f>M2403^2</x:f>
        <x:v>5.0625</x:v>
      </x:c>
      <x:c r="O2403" s="8" t="n">
        <x:f>ABS(M2403)</x:f>
        <x:v>2.25</x:v>
      </x:c>
      <x:c r="P2403" s="7" t="n">
        <x:v>45954</x:v>
      </x:c>
    </x:row>
    <x:row r="2404" ht="26" customHeight="1">
      <x:c r="A2404" s="2"/>
      <x:c r="B2404" s="2" t="n">
        <x:v>2399</x:v>
      </x:c>
      <x:c r="C2404" s="2" t="str">
        <x:v>Health Care / organic_sales_growth</x:v>
      </x:c>
      <x:c r="D2404" s="7" t="n">
        <x:v>45930</x:v>
      </x:c>
      <x:c r="E2404" s="2" t="str">
        <x:v>Prior report</x:v>
      </x:c>
      <x:c r="F2404" s="7" t="n">
        <x:v>45867</x:v>
      </x:c>
      <x:c r="G2404" s="2" t="str">
        <x:v>Broad market</x:v>
      </x:c>
      <x:c r="H2404" s="8" t="n">
        <x:f>'Model fits'!AA1554</x:f>
        <x:v>7.3432191970703276</x:v>
      </x:c>
      <x:c r="I2404" s="8" t="n">
        <x:f>0</x:f>
        <x:v>0</x:v>
      </x:c>
      <x:c r="J2404" s="8" t="n">
        <x:v>0</x:v>
      </x:c>
      <x:c r="K2404" s="8" t="n">
        <x:f>H2404-I2404*J2404</x:f>
        <x:v>7.3432191970703276</x:v>
      </x:c>
      <x:c r="L2404" s="8" t="n">
        <x:f>'PG facts'!F134</x:f>
        <x:v>1</x:v>
      </x:c>
      <x:c r="M2404" s="8" t="n">
        <x:f>K2404-L2404</x:f>
        <x:v>6.3432191970703276</x:v>
      </x:c>
      <x:c r="N2404" s="8" t="n">
        <x:f>M2404^2</x:f>
        <x:v>40.23642978208153</x:v>
      </x:c>
      <x:c r="O2404" s="8" t="n">
        <x:f>ABS(M2404)</x:f>
        <x:v>6.3432191970703276</x:v>
      </x:c>
      <x:c r="P2404" s="7" t="n">
        <x:v>45954</x:v>
      </x:c>
    </x:row>
    <x:row r="2405" ht="26" customHeight="1">
      <x:c r="A2405" s="2"/>
      <x:c r="B2405" s="2" t="n">
        <x:v>2400</x:v>
      </x:c>
      <x:c r="C2405" s="2" t="str">
        <x:v>Health Care / organic_sales_growth</x:v>
      </x:c>
      <x:c r="D2405" s="7" t="n">
        <x:v>45930</x:v>
      </x:c>
      <x:c r="E2405" s="2" t="str">
        <x:v>Prior report</x:v>
      </x:c>
      <x:c r="F2405" s="7" t="n">
        <x:v>45867</x:v>
      </x:c>
      <x:c r="G2405" s="2" t="str">
        <x:v>Broad lag 1</x:v>
      </x:c>
      <x:c r="H2405" s="8" t="n">
        <x:f>'Model fits'!AA1555</x:f>
        <x:v>6.802689357184898</x:v>
      </x:c>
      <x:c r="I2405" s="8" t="n">
        <x:f>0</x:f>
        <x:v>0</x:v>
      </x:c>
      <x:c r="J2405" s="8" t="n">
        <x:v>0</x:v>
      </x:c>
      <x:c r="K2405" s="8" t="n">
        <x:f>H2405-I2405*J2405</x:f>
        <x:v>6.802689357184898</x:v>
      </x:c>
      <x:c r="L2405" s="8" t="n">
        <x:f>'PG facts'!F134</x:f>
        <x:v>1</x:v>
      </x:c>
      <x:c r="M2405" s="8" t="n">
        <x:f>K2405-L2405</x:f>
        <x:v>5.802689357184898</x:v>
      </x:c>
      <x:c r="N2405" s="8" t="n">
        <x:f>M2405^2</x:f>
        <x:v>33.67120377598688</x:v>
      </x:c>
      <x:c r="O2405" s="8" t="n">
        <x:f>ABS(M2405)</x:f>
        <x:v>5.802689357184898</x:v>
      </x:c>
      <x:c r="P2405" s="7" t="n">
        <x:v>45954</x:v>
      </x:c>
    </x:row>
    <x:row r="2406" ht="26" customHeight="1">
      <x:c r="A2406" s="2"/>
      <x:c r="B2406" s="2" t="n">
        <x:v>2401</x:v>
      </x:c>
      <x:c r="C2406" s="2" t="str">
        <x:v>Health Care / organic_sales_growth</x:v>
      </x:c>
      <x:c r="D2406" s="7" t="n">
        <x:v>45930</x:v>
      </x:c>
      <x:c r="E2406" s="2" t="str">
        <x:v>Prior report</x:v>
      </x:c>
      <x:c r="F2406" s="7" t="n">
        <x:v>45867</x:v>
      </x:c>
      <x:c r="G2406" s="2" t="str">
        <x:v>Broad rolling 8</x:v>
      </x:c>
      <x:c r="H2406" s="8" t="n">
        <x:f>'Model fits'!AA1556</x:f>
        <x:v>4.066839926597588</x:v>
      </x:c>
      <x:c r="I2406" s="8" t="n">
        <x:f>0</x:f>
        <x:v>0</x:v>
      </x:c>
      <x:c r="J2406" s="8" t="n">
        <x:v>0</x:v>
      </x:c>
      <x:c r="K2406" s="8" t="n">
        <x:f>H2406-I2406*J2406</x:f>
        <x:v>4.066839926597588</x:v>
      </x:c>
      <x:c r="L2406" s="8" t="n">
        <x:f>'PG facts'!F134</x:f>
        <x:v>1</x:v>
      </x:c>
      <x:c r="M2406" s="8" t="n">
        <x:f>K2406-L2406</x:f>
        <x:v>3.066839926597588</x:v>
      </x:c>
      <x:c r="N2406" s="8" t="n">
        <x:f>M2406^2</x:f>
        <x:v>9.405507135373098</x:v>
      </x:c>
      <x:c r="O2406" s="8" t="n">
        <x:f>ABS(M2406)</x:f>
        <x:v>3.066839926597588</x:v>
      </x:c>
      <x:c r="P2406" s="7" t="n">
        <x:v>45954</x:v>
      </x:c>
    </x:row>
    <x:row r="2407" ht="26" customHeight="1">
      <x:c r="A2407" s="2"/>
      <x:c r="B2407" s="2" t="n">
        <x:v>2402</x:v>
      </x:c>
      <x:c r="C2407" s="2" t="str">
        <x:v>Health Care / organic_sales_growth</x:v>
      </x:c>
      <x:c r="D2407" s="7" t="n">
        <x:v>45930</x:v>
      </x:c>
      <x:c r="E2407" s="2" t="str">
        <x:v>Prior report</x:v>
      </x:c>
      <x:c r="F2407" s="7" t="n">
        <x:v>45867</x:v>
      </x:c>
      <x:c r="G2407" s="2" t="str">
        <x:v>Own history</x:v>
      </x:c>
      <x:c r="H2407" s="8" t="n">
        <x:f>'Model fits'!AA1557</x:f>
        <x:v>5.54639175257732</x:v>
      </x:c>
      <x:c r="I2407" s="8" t="n">
        <x:f>0</x:f>
        <x:v>0</x:v>
      </x:c>
      <x:c r="J2407" s="8" t="n">
        <x:v>0</x:v>
      </x:c>
      <x:c r="K2407" s="8" t="n">
        <x:f>H2407-I2407*J2407</x:f>
        <x:v>5.54639175257732</x:v>
      </x:c>
      <x:c r="L2407" s="8" t="n">
        <x:f>'PG facts'!F134</x:f>
        <x:v>1</x:v>
      </x:c>
      <x:c r="M2407" s="8" t="n">
        <x:f>K2407-L2407</x:f>
        <x:v>4.54639175257732</x:v>
      </x:c>
      <x:c r="N2407" s="8" t="n">
        <x:f>M2407^2</x:f>
        <x:v>20.669677967903077</x:v>
      </x:c>
      <x:c r="O2407" s="8" t="n">
        <x:f>ABS(M2407)</x:f>
        <x:v>4.54639175257732</x:v>
      </x:c>
      <x:c r="P2407" s="7" t="n">
        <x:v>45954</x:v>
      </x:c>
    </x:row>
    <x:row r="2408" ht="26" customHeight="1">
      <x:c r="A2408" s="2"/>
      <x:c r="B2408" s="2" t="n">
        <x:v>2403</x:v>
      </x:c>
      <x:c r="C2408" s="2" t="str">
        <x:v>Health Care / organic_sales_growth</x:v>
      </x:c>
      <x:c r="D2408" s="7" t="n">
        <x:v>45930</x:v>
      </x:c>
      <x:c r="E2408" s="2" t="str">
        <x:v>Pre-earnings</x:v>
      </x:c>
      <x:c r="F2408" s="7" t="n">
        <x:v>45953</x:v>
      </x:c>
      <x:c r="G2408" s="2" t="str">
        <x:v>Last actual</x:v>
      </x:c>
      <x:c r="H2408" s="8" t="n">
        <x:f>AVERAGE('PG facts'!F127)</x:f>
        <x:v>2</x:v>
      </x:c>
      <x:c r="I2408" s="8" t="n">
        <x:f>0</x:f>
        <x:v>0</x:v>
      </x:c>
      <x:c r="J2408" s="8" t="n">
        <x:v>0</x:v>
      </x:c>
      <x:c r="K2408" s="8" t="n">
        <x:f>H2408-I2408*J2408</x:f>
        <x:v>2</x:v>
      </x:c>
      <x:c r="L2408" s="8" t="n">
        <x:f>'PG facts'!F134</x:f>
        <x:v>1</x:v>
      </x:c>
      <x:c r="M2408" s="8" t="n">
        <x:f>K2408-L2408</x:f>
        <x:v>1</x:v>
      </x:c>
      <x:c r="N2408" s="8" t="n">
        <x:f>M2408^2</x:f>
        <x:v>1</x:v>
      </x:c>
      <x:c r="O2408" s="8" t="n">
        <x:f>ABS(M2408)</x:f>
        <x:v>1</x:v>
      </x:c>
      <x:c r="P2408" s="7" t="n">
        <x:v>45954</x:v>
      </x:c>
    </x:row>
    <x:row r="2409" ht="26" customHeight="1">
      <x:c r="A2409" s="2"/>
      <x:c r="B2409" s="2" t="n">
        <x:v>2404</x:v>
      </x:c>
      <x:c r="C2409" s="2" t="str">
        <x:v>Health Care / organic_sales_growth</x:v>
      </x:c>
      <x:c r="D2409" s="7" t="n">
        <x:v>45930</x:v>
      </x:c>
      <x:c r="E2409" s="2" t="str">
        <x:v>Pre-earnings</x:v>
      </x:c>
      <x:c r="F2409" s="7" t="n">
        <x:v>45953</x:v>
      </x:c>
      <x:c r="G2409" s="2" t="str">
        <x:v>Four-quarter mean</x:v>
      </x:c>
      <x:c r="H2409" s="8" t="n">
        <x:f>AVERAGE('PG facts'!F106,'PG facts'!F113,'PG facts'!F120,'PG facts'!F127)</x:f>
        <x:v>3.25</x:v>
      </x:c>
      <x:c r="I2409" s="8" t="n">
        <x:f>0</x:f>
        <x:v>0</x:v>
      </x:c>
      <x:c r="J2409" s="8" t="n">
        <x:v>0</x:v>
      </x:c>
      <x:c r="K2409" s="8" t="n">
        <x:f>H2409-I2409*J2409</x:f>
        <x:v>3.25</x:v>
      </x:c>
      <x:c r="L2409" s="8" t="n">
        <x:f>'PG facts'!F134</x:f>
        <x:v>1</x:v>
      </x:c>
      <x:c r="M2409" s="8" t="n">
        <x:f>K2409-L2409</x:f>
        <x:v>2.25</x:v>
      </x:c>
      <x:c r="N2409" s="8" t="n">
        <x:f>M2409^2</x:f>
        <x:v>5.0625</x:v>
      </x:c>
      <x:c r="O2409" s="8" t="n">
        <x:f>ABS(M2409)</x:f>
        <x:v>2.25</x:v>
      </x:c>
      <x:c r="P2409" s="7" t="n">
        <x:v>45954</x:v>
      </x:c>
    </x:row>
    <x:row r="2410" ht="26" customHeight="1">
      <x:c r="A2410" s="2"/>
      <x:c r="B2410" s="2" t="n">
        <x:v>2405</x:v>
      </x:c>
      <x:c r="C2410" s="2" t="str">
        <x:v>Health Care / organic_sales_growth</x:v>
      </x:c>
      <x:c r="D2410" s="7" t="n">
        <x:v>45930</x:v>
      </x:c>
      <x:c r="E2410" s="2" t="str">
        <x:v>Pre-earnings</x:v>
      </x:c>
      <x:c r="F2410" s="7" t="n">
        <x:v>45953</x:v>
      </x:c>
      <x:c r="G2410" s="2" t="str">
        <x:v>Broad market</x:v>
      </x:c>
      <x:c r="H2410" s="8" t="n">
        <x:f>'Model fits'!AA1558</x:f>
        <x:v>6.334193147953765</x:v>
      </x:c>
      <x:c r="I2410" s="8" t="n">
        <x:f>0</x:f>
        <x:v>0</x:v>
      </x:c>
      <x:c r="J2410" s="8" t="n">
        <x:v>0</x:v>
      </x:c>
      <x:c r="K2410" s="8" t="n">
        <x:f>H2410-I2410*J2410</x:f>
        <x:v>6.334193147953765</x:v>
      </x:c>
      <x:c r="L2410" s="8" t="n">
        <x:f>'PG facts'!F134</x:f>
        <x:v>1</x:v>
      </x:c>
      <x:c r="M2410" s="8" t="n">
        <x:f>K2410-L2410</x:f>
        <x:v>5.334193147953765</x:v>
      </x:c>
      <x:c r="N2410" s="8" t="n">
        <x:f>M2410^2</x:f>
        <x:v>28.453616539676894</x:v>
      </x:c>
      <x:c r="O2410" s="8" t="n">
        <x:f>ABS(M2410)</x:f>
        <x:v>5.334193147953765</x:v>
      </x:c>
      <x:c r="P2410" s="7" t="n">
        <x:v>45954</x:v>
      </x:c>
    </x:row>
    <x:row r="2411" ht="26" customHeight="1">
      <x:c r="A2411" s="2"/>
      <x:c r="B2411" s="2" t="n">
        <x:v>2406</x:v>
      </x:c>
      <x:c r="C2411" s="2" t="str">
        <x:v>Health Care / organic_sales_growth</x:v>
      </x:c>
      <x:c r="D2411" s="7" t="n">
        <x:v>45930</x:v>
      </x:c>
      <x:c r="E2411" s="2" t="str">
        <x:v>Pre-earnings</x:v>
      </x:c>
      <x:c r="F2411" s="7" t="n">
        <x:v>45953</x:v>
      </x:c>
      <x:c r="G2411" s="2" t="str">
        <x:v>Broad lag 1</x:v>
      </x:c>
      <x:c r="H2411" s="8" t="n">
        <x:f>'Model fits'!AA1559</x:f>
        <x:v>6.823675451167832</x:v>
      </x:c>
      <x:c r="I2411" s="8" t="n">
        <x:f>0</x:f>
        <x:v>0</x:v>
      </x:c>
      <x:c r="J2411" s="8" t="n">
        <x:v>0</x:v>
      </x:c>
      <x:c r="K2411" s="8" t="n">
        <x:f>H2411-I2411*J2411</x:f>
        <x:v>6.823675451167832</x:v>
      </x:c>
      <x:c r="L2411" s="8" t="n">
        <x:f>'PG facts'!F134</x:f>
        <x:v>1</x:v>
      </x:c>
      <x:c r="M2411" s="8" t="n">
        <x:f>K2411-L2411</x:f>
        <x:v>5.823675451167832</x:v>
      </x:c>
      <x:c r="N2411" s="8" t="n">
        <x:f>M2411^2</x:f>
        <x:v>33.91519576053485</x:v>
      </x:c>
      <x:c r="O2411" s="8" t="n">
        <x:f>ABS(M2411)</x:f>
        <x:v>5.823675451167832</x:v>
      </x:c>
      <x:c r="P2411" s="7" t="n">
        <x:v>45954</x:v>
      </x:c>
    </x:row>
    <x:row r="2412" ht="26" customHeight="1">
      <x:c r="A2412" s="2"/>
      <x:c r="B2412" s="2" t="n">
        <x:v>2407</x:v>
      </x:c>
      <x:c r="C2412" s="2" t="str">
        <x:v>Health Care / organic_sales_growth</x:v>
      </x:c>
      <x:c r="D2412" s="7" t="n">
        <x:v>45930</x:v>
      </x:c>
      <x:c r="E2412" s="2" t="str">
        <x:v>Pre-earnings</x:v>
      </x:c>
      <x:c r="F2412" s="7" t="n">
        <x:v>45953</x:v>
      </x:c>
      <x:c r="G2412" s="2" t="str">
        <x:v>Broad rolling 8</x:v>
      </x:c>
      <x:c r="H2412" s="8" t="n">
        <x:f>'Model fits'!AA1560</x:f>
        <x:v>3.885870815107733</x:v>
      </x:c>
      <x:c r="I2412" s="8" t="n">
        <x:f>0</x:f>
        <x:v>0</x:v>
      </x:c>
      <x:c r="J2412" s="8" t="n">
        <x:v>0</x:v>
      </x:c>
      <x:c r="K2412" s="8" t="n">
        <x:f>H2412-I2412*J2412</x:f>
        <x:v>3.885870815107733</x:v>
      </x:c>
      <x:c r="L2412" s="8" t="n">
        <x:f>'PG facts'!F134</x:f>
        <x:v>1</x:v>
      </x:c>
      <x:c r="M2412" s="8" t="n">
        <x:f>K2412-L2412</x:f>
        <x:v>2.885870815107733</x:v>
      </x:c>
      <x:c r="N2412" s="8" t="n">
        <x:f>M2412^2</x:f>
        <x:v>8.328250361490571</x:v>
      </x:c>
      <x:c r="O2412" s="8" t="n">
        <x:f>ABS(M2412)</x:f>
        <x:v>2.885870815107733</x:v>
      </x:c>
      <x:c r="P2412" s="7" t="n">
        <x:v>45954</x:v>
      </x:c>
    </x:row>
    <x:row r="2413" ht="26" customHeight="1">
      <x:c r="A2413" s="2"/>
      <x:c r="B2413" s="2" t="n">
        <x:v>2408</x:v>
      </x:c>
      <x:c r="C2413" s="2" t="str">
        <x:v>Health Care / organic_sales_growth</x:v>
      </x:c>
      <x:c r="D2413" s="7" t="n">
        <x:v>45930</x:v>
      </x:c>
      <x:c r="E2413" s="2" t="str">
        <x:v>Pre-earnings</x:v>
      </x:c>
      <x:c r="F2413" s="7" t="n">
        <x:v>45953</x:v>
      </x:c>
      <x:c r="G2413" s="2" t="str">
        <x:v>Own history</x:v>
      </x:c>
      <x:c r="H2413" s="8" t="n">
        <x:f>'Model fits'!AA1561</x:f>
        <x:v>5.54639175257732</x:v>
      </x:c>
      <x:c r="I2413" s="8" t="n">
        <x:f>0</x:f>
        <x:v>0</x:v>
      </x:c>
      <x:c r="J2413" s="8" t="n">
        <x:v>0</x:v>
      </x:c>
      <x:c r="K2413" s="8" t="n">
        <x:f>H2413-I2413*J2413</x:f>
        <x:v>5.54639175257732</x:v>
      </x:c>
      <x:c r="L2413" s="8" t="n">
        <x:f>'PG facts'!F134</x:f>
        <x:v>1</x:v>
      </x:c>
      <x:c r="M2413" s="8" t="n">
        <x:f>K2413-L2413</x:f>
        <x:v>4.54639175257732</x:v>
      </x:c>
      <x:c r="N2413" s="8" t="n">
        <x:f>M2413^2</x:f>
        <x:v>20.669677967903077</x:v>
      </x:c>
      <x:c r="O2413" s="8" t="n">
        <x:f>ABS(M2413)</x:f>
        <x:v>4.54639175257732</x:v>
      </x:c>
      <x:c r="P2413" s="7" t="n">
        <x:v>45954</x:v>
      </x:c>
    </x:row>
    <x:row r="2414" ht="26" customHeight="1">
      <x:c r="A2414" s="2"/>
      <x:c r="B2414" s="2" t="n">
        <x:v>2409</x:v>
      </x:c>
      <x:c r="C2414" s="2" t="str">
        <x:v>Health Care / organic_sales_growth</x:v>
      </x:c>
      <x:c r="D2414" s="7" t="n">
        <x:v>46022</x:v>
      </x:c>
      <x:c r="E2414" s="2" t="str">
        <x:v>Origin</x:v>
      </x:c>
      <x:c r="F2414" s="7" t="n">
        <x:v>45931</x:v>
      </x:c>
      <x:c r="G2414" s="2" t="str">
        <x:v>Last actual</x:v>
      </x:c>
      <x:c r="H2414" s="8" t="n">
        <x:f>AVERAGE('PG facts'!F127)</x:f>
        <x:v>2</x:v>
      </x:c>
      <x:c r="I2414" s="8" t="n">
        <x:f>0</x:f>
        <x:v>0</x:v>
      </x:c>
      <x:c r="J2414" s="8" t="n">
        <x:v>0</x:v>
      </x:c>
      <x:c r="K2414" s="8" t="n">
        <x:f>H2414-I2414*J2414</x:f>
        <x:v>2</x:v>
      </x:c>
      <x:c r="L2414" s="8" t="n">
        <x:f>'PG facts'!F141</x:f>
        <x:v>3</x:v>
      </x:c>
      <x:c r="M2414" s="8" t="n">
        <x:f>K2414-L2414</x:f>
        <x:v>-1</x:v>
      </x:c>
      <x:c r="N2414" s="8" t="n">
        <x:f>M2414^2</x:f>
        <x:v>1</x:v>
      </x:c>
      <x:c r="O2414" s="8" t="n">
        <x:f>ABS(M2414)</x:f>
        <x:v>1</x:v>
      </x:c>
      <x:c r="P2414" s="7" t="n">
        <x:v>46045</x:v>
      </x:c>
    </x:row>
    <x:row r="2415" ht="26" customHeight="1">
      <x:c r="A2415" s="2"/>
      <x:c r="B2415" s="2" t="n">
        <x:v>2410</x:v>
      </x:c>
      <x:c r="C2415" s="2" t="str">
        <x:v>Health Care / organic_sales_growth</x:v>
      </x:c>
      <x:c r="D2415" s="7" t="n">
        <x:v>46022</x:v>
      </x:c>
      <x:c r="E2415" s="2" t="str">
        <x:v>Origin</x:v>
      </x:c>
      <x:c r="F2415" s="7" t="n">
        <x:v>45931</x:v>
      </x:c>
      <x:c r="G2415" s="2" t="str">
        <x:v>Four-quarter mean</x:v>
      </x:c>
      <x:c r="H2415" s="8" t="n">
        <x:f>AVERAGE('PG facts'!F106,'PG facts'!F113,'PG facts'!F120,'PG facts'!F127)</x:f>
        <x:v>3.25</x:v>
      </x:c>
      <x:c r="I2415" s="8" t="n">
        <x:f>0</x:f>
        <x:v>0</x:v>
      </x:c>
      <x:c r="J2415" s="8" t="n">
        <x:v>0</x:v>
      </x:c>
      <x:c r="K2415" s="8" t="n">
        <x:f>H2415-I2415*J2415</x:f>
        <x:v>3.25</x:v>
      </x:c>
      <x:c r="L2415" s="8" t="n">
        <x:f>'PG facts'!F141</x:f>
        <x:v>3</x:v>
      </x:c>
      <x:c r="M2415" s="8" t="n">
        <x:f>K2415-L2415</x:f>
        <x:v>0.25</x:v>
      </x:c>
      <x:c r="N2415" s="8" t="n">
        <x:f>M2415^2</x:f>
        <x:v>0.0625</x:v>
      </x:c>
      <x:c r="O2415" s="8" t="n">
        <x:f>ABS(M2415)</x:f>
        <x:v>0.25</x:v>
      </x:c>
      <x:c r="P2415" s="7" t="n">
        <x:v>46045</x:v>
      </x:c>
    </x:row>
    <x:row r="2416" ht="26" customHeight="1">
      <x:c r="A2416" s="2"/>
      <x:c r="B2416" s="2" t="n">
        <x:v>2411</x:v>
      </x:c>
      <x:c r="C2416" s="2" t="str">
        <x:v>Health Care / organic_sales_growth</x:v>
      </x:c>
      <x:c r="D2416" s="7" t="n">
        <x:v>46022</x:v>
      </x:c>
      <x:c r="E2416" s="2" t="str">
        <x:v>Origin</x:v>
      </x:c>
      <x:c r="F2416" s="7" t="n">
        <x:v>45931</x:v>
      </x:c>
      <x:c r="G2416" s="2" t="str">
        <x:v>Broad market</x:v>
      </x:c>
      <x:c r="H2416" s="8" t="n">
        <x:f>'Model fits'!AA1562</x:f>
        <x:v>6.7228815896263745</x:v>
      </x:c>
      <x:c r="I2416" s="8" t="n">
        <x:f>0</x:f>
        <x:v>0</x:v>
      </x:c>
      <x:c r="J2416" s="8" t="n">
        <x:v>0</x:v>
      </x:c>
      <x:c r="K2416" s="8" t="n">
        <x:f>H2416-I2416*J2416</x:f>
        <x:v>6.7228815896263745</x:v>
      </x:c>
      <x:c r="L2416" s="8" t="n">
        <x:f>'PG facts'!F141</x:f>
        <x:v>3</x:v>
      </x:c>
      <x:c r="M2416" s="8" t="n">
        <x:f>K2416-L2416</x:f>
        <x:v>3.7228815896263745</x:v>
      </x:c>
      <x:c r="N2416" s="8" t="n">
        <x:f>M2416^2</x:f>
        <x:v>13.859847330379</x:v>
      </x:c>
      <x:c r="O2416" s="8" t="n">
        <x:f>ABS(M2416)</x:f>
        <x:v>3.7228815896263745</x:v>
      </x:c>
      <x:c r="P2416" s="7" t="n">
        <x:v>46045</x:v>
      </x:c>
    </x:row>
    <x:row r="2417" ht="26" customHeight="1">
      <x:c r="A2417" s="2"/>
      <x:c r="B2417" s="2" t="n">
        <x:v>2412</x:v>
      </x:c>
      <x:c r="C2417" s="2" t="str">
        <x:v>Health Care / organic_sales_growth</x:v>
      </x:c>
      <x:c r="D2417" s="7" t="n">
        <x:v>46022</x:v>
      </x:c>
      <x:c r="E2417" s="2" t="str">
        <x:v>Origin</x:v>
      </x:c>
      <x:c r="F2417" s="7" t="n">
        <x:v>45931</x:v>
      </x:c>
      <x:c r="G2417" s="2" t="str">
        <x:v>Broad rolling 8</x:v>
      </x:c>
      <x:c r="H2417" s="8" t="n">
        <x:f>'Model fits'!AA1563</x:f>
        <x:v>3.933406604222253</x:v>
      </x:c>
      <x:c r="I2417" s="8" t="n">
        <x:f>0</x:f>
        <x:v>0</x:v>
      </x:c>
      <x:c r="J2417" s="8" t="n">
        <x:v>0</x:v>
      </x:c>
      <x:c r="K2417" s="8" t="n">
        <x:f>H2417-I2417*J2417</x:f>
        <x:v>3.933406604222253</x:v>
      </x:c>
      <x:c r="L2417" s="8" t="n">
        <x:f>'PG facts'!F141</x:f>
        <x:v>3</x:v>
      </x:c>
      <x:c r="M2417" s="8" t="n">
        <x:f>K2417-L2417</x:f>
        <x:v>0.9334066042222529</x:v>
      </x:c>
      <x:c r="N2417" s="8" t="n">
        <x:f>M2417^2</x:f>
        <x:v>0.8712478888057174</x:v>
      </x:c>
      <x:c r="O2417" s="8" t="n">
        <x:f>ABS(M2417)</x:f>
        <x:v>0.9334066042222529</x:v>
      </x:c>
      <x:c r="P2417" s="7" t="n">
        <x:v>46045</x:v>
      </x:c>
    </x:row>
    <x:row r="2418" ht="26" customHeight="1">
      <x:c r="A2418" s="2"/>
      <x:c r="B2418" s="2" t="n">
        <x:v>2413</x:v>
      </x:c>
      <x:c r="C2418" s="2" t="str">
        <x:v>Health Care / organic_sales_growth</x:v>
      </x:c>
      <x:c r="D2418" s="7" t="n">
        <x:v>46022</x:v>
      </x:c>
      <x:c r="E2418" s="2" t="str">
        <x:v>Origin</x:v>
      </x:c>
      <x:c r="F2418" s="7" t="n">
        <x:v>45931</x:v>
      </x:c>
      <x:c r="G2418" s="2" t="str">
        <x:v>Own history</x:v>
      </x:c>
      <x:c r="H2418" s="8" t="n">
        <x:f>'Model fits'!AA1564</x:f>
        <x:v>4.501476377952756</x:v>
      </x:c>
      <x:c r="I2418" s="8" t="n">
        <x:f>0</x:f>
        <x:v>0</x:v>
      </x:c>
      <x:c r="J2418" s="8" t="n">
        <x:v>0</x:v>
      </x:c>
      <x:c r="K2418" s="8" t="n">
        <x:f>H2418-I2418*J2418</x:f>
        <x:v>4.501476377952756</x:v>
      </x:c>
      <x:c r="L2418" s="8" t="n">
        <x:f>'PG facts'!F141</x:f>
        <x:v>3</x:v>
      </x:c>
      <x:c r="M2418" s="8" t="n">
        <x:f>K2418-L2418</x:f>
        <x:v>1.5014763779527556</x:v>
      </x:c>
      <x:c r="N2418" s="8" t="n">
        <x:f>M2418^2</x:f>
        <x:v>2.254431313550126</x:v>
      </x:c>
      <x:c r="O2418" s="8" t="n">
        <x:f>ABS(M2418)</x:f>
        <x:v>1.5014763779527556</x:v>
      </x:c>
      <x:c r="P2418" s="7" t="n">
        <x:v>46045</x:v>
      </x:c>
    </x:row>
    <x:row r="2419" ht="26" customHeight="1">
      <x:c r="A2419" s="2"/>
      <x:c r="B2419" s="2" t="n">
        <x:v>2414</x:v>
      </x:c>
      <x:c r="C2419" s="2" t="str">
        <x:v>Health Care / organic_sales_growth</x:v>
      </x:c>
      <x:c r="D2419" s="7" t="n">
        <x:v>46022</x:v>
      </x:c>
      <x:c r="E2419" s="2" t="str">
        <x:v>Prior report</x:v>
      </x:c>
      <x:c r="F2419" s="7" t="n">
        <x:v>45954</x:v>
      </x:c>
      <x:c r="G2419" s="2" t="str">
        <x:v>Last actual</x:v>
      </x:c>
      <x:c r="H2419" s="8" t="n">
        <x:f>AVERAGE('PG facts'!F134)</x:f>
        <x:v>1</x:v>
      </x:c>
      <x:c r="I2419" s="8" t="n">
        <x:f>0</x:f>
        <x:v>0</x:v>
      </x:c>
      <x:c r="J2419" s="8" t="n">
        <x:v>0</x:v>
      </x:c>
      <x:c r="K2419" s="8" t="n">
        <x:f>H2419-I2419*J2419</x:f>
        <x:v>1</x:v>
      </x:c>
      <x:c r="L2419" s="8" t="n">
        <x:f>'PG facts'!F141</x:f>
        <x:v>3</x:v>
      </x:c>
      <x:c r="M2419" s="8" t="n">
        <x:f>K2419-L2419</x:f>
        <x:v>-2</x:v>
      </x:c>
      <x:c r="N2419" s="8" t="n">
        <x:f>M2419^2</x:f>
        <x:v>4</x:v>
      </x:c>
      <x:c r="O2419" s="8" t="n">
        <x:f>ABS(M2419)</x:f>
        <x:v>2</x:v>
      </x:c>
      <x:c r="P2419" s="7" t="n">
        <x:v>46045</x:v>
      </x:c>
    </x:row>
    <x:row r="2420" ht="26" customHeight="1">
      <x:c r="A2420" s="2"/>
      <x:c r="B2420" s="2" t="n">
        <x:v>2415</x:v>
      </x:c>
      <x:c r="C2420" s="2" t="str">
        <x:v>Health Care / organic_sales_growth</x:v>
      </x:c>
      <x:c r="D2420" s="7" t="n">
        <x:v>46022</x:v>
      </x:c>
      <x:c r="E2420" s="2" t="str">
        <x:v>Prior report</x:v>
      </x:c>
      <x:c r="F2420" s="7" t="n">
        <x:v>45954</x:v>
      </x:c>
      <x:c r="G2420" s="2" t="str">
        <x:v>Four-quarter mean</x:v>
      </x:c>
      <x:c r="H2420" s="8" t="n">
        <x:f>AVERAGE('PG facts'!F113,'PG facts'!F120,'PG facts'!F127,'PG facts'!F134)</x:f>
        <x:v>2.5</x:v>
      </x:c>
      <x:c r="I2420" s="8" t="n">
        <x:f>0</x:f>
        <x:v>0</x:v>
      </x:c>
      <x:c r="J2420" s="8" t="n">
        <x:v>0</x:v>
      </x:c>
      <x:c r="K2420" s="8" t="n">
        <x:f>H2420-I2420*J2420</x:f>
        <x:v>2.5</x:v>
      </x:c>
      <x:c r="L2420" s="8" t="n">
        <x:f>'PG facts'!F141</x:f>
        <x:v>3</x:v>
      </x:c>
      <x:c r="M2420" s="8" t="n">
        <x:f>K2420-L2420</x:f>
        <x:v>-0.5</x:v>
      </x:c>
      <x:c r="N2420" s="8" t="n">
        <x:f>M2420^2</x:f>
        <x:v>0.25</x:v>
      </x:c>
      <x:c r="O2420" s="8" t="n">
        <x:f>ABS(M2420)</x:f>
        <x:v>0.5</x:v>
      </x:c>
      <x:c r="P2420" s="7" t="n">
        <x:v>46045</x:v>
      </x:c>
    </x:row>
    <x:row r="2421" ht="26" customHeight="1">
      <x:c r="A2421" s="2"/>
      <x:c r="B2421" s="2" t="n">
        <x:v>2416</x:v>
      </x:c>
      <x:c r="C2421" s="2" t="str">
        <x:v>Health Care / organic_sales_growth</x:v>
      </x:c>
      <x:c r="D2421" s="7" t="n">
        <x:v>46022</x:v>
      </x:c>
      <x:c r="E2421" s="2" t="str">
        <x:v>Prior report</x:v>
      </x:c>
      <x:c r="F2421" s="7" t="n">
        <x:v>45954</x:v>
      </x:c>
      <x:c r="G2421" s="2" t="str">
        <x:v>Broad market</x:v>
      </x:c>
      <x:c r="H2421" s="8" t="n">
        <x:f>'Model fits'!AA1565</x:f>
        <x:v>6.7228815896263745</x:v>
      </x:c>
      <x:c r="I2421" s="8" t="n">
        <x:f>0</x:f>
        <x:v>0</x:v>
      </x:c>
      <x:c r="J2421" s="8" t="n">
        <x:v>0</x:v>
      </x:c>
      <x:c r="K2421" s="8" t="n">
        <x:f>H2421-I2421*J2421</x:f>
        <x:v>6.7228815896263745</x:v>
      </x:c>
      <x:c r="L2421" s="8" t="n">
        <x:f>'PG facts'!F141</x:f>
        <x:v>3</x:v>
      </x:c>
      <x:c r="M2421" s="8" t="n">
        <x:f>K2421-L2421</x:f>
        <x:v>3.7228815896263745</x:v>
      </x:c>
      <x:c r="N2421" s="8" t="n">
        <x:f>M2421^2</x:f>
        <x:v>13.859847330379</x:v>
      </x:c>
      <x:c r="O2421" s="8" t="n">
        <x:f>ABS(M2421)</x:f>
        <x:v>3.7228815896263745</x:v>
      </x:c>
      <x:c r="P2421" s="7" t="n">
        <x:v>46045</x:v>
      </x:c>
    </x:row>
    <x:row r="2422" ht="26" customHeight="1">
      <x:c r="A2422" s="2"/>
      <x:c r="B2422" s="2" t="n">
        <x:v>2417</x:v>
      </x:c>
      <x:c r="C2422" s="2" t="str">
        <x:v>Health Care / organic_sales_growth</x:v>
      </x:c>
      <x:c r="D2422" s="7" t="n">
        <x:v>46022</x:v>
      </x:c>
      <x:c r="E2422" s="2" t="str">
        <x:v>Prior report</x:v>
      </x:c>
      <x:c r="F2422" s="7" t="n">
        <x:v>45954</x:v>
      </x:c>
      <x:c r="G2422" s="2" t="str">
        <x:v>Broad rolling 8</x:v>
      </x:c>
      <x:c r="H2422" s="8" t="n">
        <x:f>'Model fits'!AA1566</x:f>
        <x:v>3.933406604222253</x:v>
      </x:c>
      <x:c r="I2422" s="8" t="n">
        <x:f>0</x:f>
        <x:v>0</x:v>
      </x:c>
      <x:c r="J2422" s="8" t="n">
        <x:v>0</x:v>
      </x:c>
      <x:c r="K2422" s="8" t="n">
        <x:f>H2422-I2422*J2422</x:f>
        <x:v>3.933406604222253</x:v>
      </x:c>
      <x:c r="L2422" s="8" t="n">
        <x:f>'PG facts'!F141</x:f>
        <x:v>3</x:v>
      </x:c>
      <x:c r="M2422" s="8" t="n">
        <x:f>K2422-L2422</x:f>
        <x:v>0.9334066042222529</x:v>
      </x:c>
      <x:c r="N2422" s="8" t="n">
        <x:f>M2422^2</x:f>
        <x:v>0.8712478888057174</x:v>
      </x:c>
      <x:c r="O2422" s="8" t="n">
        <x:f>ABS(M2422)</x:f>
        <x:v>0.9334066042222529</x:v>
      </x:c>
      <x:c r="P2422" s="7" t="n">
        <x:v>46045</x:v>
      </x:c>
    </x:row>
    <x:row r="2423" ht="26" customHeight="1">
      <x:c r="A2423" s="2"/>
      <x:c r="B2423" s="2" t="n">
        <x:v>2418</x:v>
      </x:c>
      <x:c r="C2423" s="2" t="str">
        <x:v>Health Care / organic_sales_growth</x:v>
      </x:c>
      <x:c r="D2423" s="7" t="n">
        <x:v>46022</x:v>
      </x:c>
      <x:c r="E2423" s="2" t="str">
        <x:v>Prior report</x:v>
      </x:c>
      <x:c r="F2423" s="7" t="n">
        <x:v>45954</x:v>
      </x:c>
      <x:c r="G2423" s="2" t="str">
        <x:v>Own history</x:v>
      </x:c>
      <x:c r="H2423" s="8" t="n">
        <x:f>'Model fits'!AA1567</x:f>
        <x:v>4.636718750000001</x:v>
      </x:c>
      <x:c r="I2423" s="8" t="n">
        <x:f>0</x:f>
        <x:v>0</x:v>
      </x:c>
      <x:c r="J2423" s="8" t="n">
        <x:v>0</x:v>
      </x:c>
      <x:c r="K2423" s="8" t="n">
        <x:f>H2423-I2423*J2423</x:f>
        <x:v>4.636718750000001</x:v>
      </x:c>
      <x:c r="L2423" s="8" t="n">
        <x:f>'PG facts'!F141</x:f>
        <x:v>3</x:v>
      </x:c>
      <x:c r="M2423" s="8" t="n">
        <x:f>K2423-L2423</x:f>
        <x:v>1.6367187500000009</x:v>
      </x:c>
      <x:c r="N2423" s="8" t="n">
        <x:f>M2423^2</x:f>
        <x:v>2.6788482666015656</x:v>
      </x:c>
      <x:c r="O2423" s="8" t="n">
        <x:f>ABS(M2423)</x:f>
        <x:v>1.6367187500000009</x:v>
      </x:c>
      <x:c r="P2423" s="7" t="n">
        <x:v>46045</x:v>
      </x:c>
    </x:row>
    <x:row r="2424" ht="26" customHeight="1">
      <x:c r="A2424" s="2"/>
      <x:c r="B2424" s="2" t="n">
        <x:v>2419</x:v>
      </x:c>
      <x:c r="C2424" s="2" t="str">
        <x:v>Health Care / organic_sales_growth</x:v>
      </x:c>
      <x:c r="D2424" s="7" t="n">
        <x:v>46022</x:v>
      </x:c>
      <x:c r="E2424" s="2" t="str">
        <x:v>Pre-earnings</x:v>
      </x:c>
      <x:c r="F2424" s="7" t="n">
        <x:v>46044</x:v>
      </x:c>
      <x:c r="G2424" s="2" t="str">
        <x:v>Last actual</x:v>
      </x:c>
      <x:c r="H2424" s="8" t="n">
        <x:f>AVERAGE('PG facts'!F134)</x:f>
        <x:v>1</x:v>
      </x:c>
      <x:c r="I2424" s="8" t="n">
        <x:f>0</x:f>
        <x:v>0</x:v>
      </x:c>
      <x:c r="J2424" s="8" t="n">
        <x:v>0</x:v>
      </x:c>
      <x:c r="K2424" s="8" t="n">
        <x:f>H2424-I2424*J2424</x:f>
        <x:v>1</x:v>
      </x:c>
      <x:c r="L2424" s="8" t="n">
        <x:f>'PG facts'!F141</x:f>
        <x:v>3</x:v>
      </x:c>
      <x:c r="M2424" s="8" t="n">
        <x:f>K2424-L2424</x:f>
        <x:v>-2</x:v>
      </x:c>
      <x:c r="N2424" s="8" t="n">
        <x:f>M2424^2</x:f>
        <x:v>4</x:v>
      </x:c>
      <x:c r="O2424" s="8" t="n">
        <x:f>ABS(M2424)</x:f>
        <x:v>2</x:v>
      </x:c>
      <x:c r="P2424" s="7" t="n">
        <x:v>46045</x:v>
      </x:c>
    </x:row>
    <x:row r="2425" ht="26" customHeight="1">
      <x:c r="A2425" s="2"/>
      <x:c r="B2425" s="2" t="n">
        <x:v>2420</x:v>
      </x:c>
      <x:c r="C2425" s="2" t="str">
        <x:v>Health Care / organic_sales_growth</x:v>
      </x:c>
      <x:c r="D2425" s="7" t="n">
        <x:v>46022</x:v>
      </x:c>
      <x:c r="E2425" s="2" t="str">
        <x:v>Pre-earnings</x:v>
      </x:c>
      <x:c r="F2425" s="7" t="n">
        <x:v>46044</x:v>
      </x:c>
      <x:c r="G2425" s="2" t="str">
        <x:v>Four-quarter mean</x:v>
      </x:c>
      <x:c r="H2425" s="8" t="n">
        <x:f>AVERAGE('PG facts'!F113,'PG facts'!F120,'PG facts'!F127,'PG facts'!F134)</x:f>
        <x:v>2.5</x:v>
      </x:c>
      <x:c r="I2425" s="8" t="n">
        <x:f>0</x:f>
        <x:v>0</x:v>
      </x:c>
      <x:c r="J2425" s="8" t="n">
        <x:v>0</x:v>
      </x:c>
      <x:c r="K2425" s="8" t="n">
        <x:f>H2425-I2425*J2425</x:f>
        <x:v>2.5</x:v>
      </x:c>
      <x:c r="L2425" s="8" t="n">
        <x:f>'PG facts'!F141</x:f>
        <x:v>3</x:v>
      </x:c>
      <x:c r="M2425" s="8" t="n">
        <x:f>K2425-L2425</x:f>
        <x:v>-0.5</x:v>
      </x:c>
      <x:c r="N2425" s="8" t="n">
        <x:f>M2425^2</x:f>
        <x:v>0.25</x:v>
      </x:c>
      <x:c r="O2425" s="8" t="n">
        <x:f>ABS(M2425)</x:f>
        <x:v>0.5</x:v>
      </x:c>
      <x:c r="P2425" s="7" t="n">
        <x:v>46045</x:v>
      </x:c>
    </x:row>
    <x:row r="2426" ht="26" customHeight="1">
      <x:c r="A2426" s="2"/>
      <x:c r="B2426" s="2" t="n">
        <x:v>2421</x:v>
      </x:c>
      <x:c r="C2426" s="2" t="str">
        <x:v>Health Care / organic_sales_growth</x:v>
      </x:c>
      <x:c r="D2426" s="7" t="n">
        <x:v>46022</x:v>
      </x:c>
      <x:c r="E2426" s="2" t="str">
        <x:v>Pre-earnings</x:v>
      </x:c>
      <x:c r="F2426" s="7" t="n">
        <x:v>46044</x:v>
      </x:c>
      <x:c r="G2426" s="2" t="str">
        <x:v>Broad market</x:v>
      </x:c>
      <x:c r="H2426" s="8" t="n">
        <x:f>'Model fits'!AA1568</x:f>
        <x:v>6.243170993220184</x:v>
      </x:c>
      <x:c r="I2426" s="8" t="n">
        <x:f>0</x:f>
        <x:v>0</x:v>
      </x:c>
      <x:c r="J2426" s="8" t="n">
        <x:v>0</x:v>
      </x:c>
      <x:c r="K2426" s="8" t="n">
        <x:f>H2426-I2426*J2426</x:f>
        <x:v>6.243170993220184</x:v>
      </x:c>
      <x:c r="L2426" s="8" t="n">
        <x:f>'PG facts'!F141</x:f>
        <x:v>3</x:v>
      </x:c>
      <x:c r="M2426" s="8" t="n">
        <x:f>K2426-L2426</x:f>
        <x:v>3.2431709932201844</x:v>
      </x:c>
      <x:c r="N2426" s="8" t="n">
        <x:f>M2426^2</x:f>
        <x:v>10.518158091264798</x:v>
      </x:c>
      <x:c r="O2426" s="8" t="n">
        <x:f>ABS(M2426)</x:f>
        <x:v>3.2431709932201844</x:v>
      </x:c>
      <x:c r="P2426" s="7" t="n">
        <x:v>46045</x:v>
      </x:c>
    </x:row>
    <x:row r="2427" ht="26" customHeight="1">
      <x:c r="A2427" s="2"/>
      <x:c r="B2427" s="2" t="n">
        <x:v>2422</x:v>
      </x:c>
      <x:c r="C2427" s="2" t="str">
        <x:v>Health Care / organic_sales_growth</x:v>
      </x:c>
      <x:c r="D2427" s="7" t="n">
        <x:v>46022</x:v>
      </x:c>
      <x:c r="E2427" s="2" t="str">
        <x:v>Pre-earnings</x:v>
      </x:c>
      <x:c r="F2427" s="7" t="n">
        <x:v>46044</x:v>
      </x:c>
      <x:c r="G2427" s="2" t="str">
        <x:v>Broad lag 1</x:v>
      </x:c>
      <x:c r="H2427" s="8" t="n">
        <x:f>'Model fits'!AA1569</x:f>
        <x:v>6.442652418018493</x:v>
      </x:c>
      <x:c r="I2427" s="8" t="n">
        <x:f>0</x:f>
        <x:v>0</x:v>
      </x:c>
      <x:c r="J2427" s="8" t="n">
        <x:v>0</x:v>
      </x:c>
      <x:c r="K2427" s="8" t="n">
        <x:f>H2427-I2427*J2427</x:f>
        <x:v>6.442652418018493</x:v>
      </x:c>
      <x:c r="L2427" s="8" t="n">
        <x:f>'PG facts'!F141</x:f>
        <x:v>3</x:v>
      </x:c>
      <x:c r="M2427" s="8" t="n">
        <x:f>K2427-L2427</x:f>
        <x:v>3.4426524180184934</x:v>
      </x:c>
      <x:c r="N2427" s="8" t="n">
        <x:f>M2427^2</x:f>
        <x:v>11.851855671288579</x:v>
      </x:c>
      <x:c r="O2427" s="8" t="n">
        <x:f>ABS(M2427)</x:f>
        <x:v>3.4426524180184934</x:v>
      </x:c>
      <x:c r="P2427" s="7" t="n">
        <x:v>46045</x:v>
      </x:c>
    </x:row>
    <x:row r="2428" ht="26" customHeight="1">
      <x:c r="A2428" s="2"/>
      <x:c r="B2428" s="2" t="n">
        <x:v>2423</x:v>
      </x:c>
      <x:c r="C2428" s="2" t="str">
        <x:v>Health Care / organic_sales_growth</x:v>
      </x:c>
      <x:c r="D2428" s="7" t="n">
        <x:v>46022</x:v>
      </x:c>
      <x:c r="E2428" s="2" t="str">
        <x:v>Pre-earnings</x:v>
      </x:c>
      <x:c r="F2428" s="7" t="n">
        <x:v>46044</x:v>
      </x:c>
      <x:c r="G2428" s="2" t="str">
        <x:v>Broad rolling 8</x:v>
      </x:c>
      <x:c r="H2428" s="8" t="n">
        <x:f>'Model fits'!AA1570</x:f>
        <x:v>2.6464319161580425</x:v>
      </x:c>
      <x:c r="I2428" s="8" t="n">
        <x:f>0</x:f>
        <x:v>0</x:v>
      </x:c>
      <x:c r="J2428" s="8" t="n">
        <x:v>0</x:v>
      </x:c>
      <x:c r="K2428" s="8" t="n">
        <x:f>H2428-I2428*J2428</x:f>
        <x:v>2.6464319161580425</x:v>
      </x:c>
      <x:c r="L2428" s="8" t="n">
        <x:f>'PG facts'!F141</x:f>
        <x:v>3</x:v>
      </x:c>
      <x:c r="M2428" s="8" t="n">
        <x:f>K2428-L2428</x:f>
        <x:v>-0.3535680838419575</x:v>
      </x:c>
      <x:c r="N2428" s="8" t="n">
        <x:f>M2428^2</x:f>
        <x:v>0.1250103899116735</x:v>
      </x:c>
      <x:c r="O2428" s="8" t="n">
        <x:f>ABS(M2428)</x:f>
        <x:v>0.3535680838419575</x:v>
      </x:c>
      <x:c r="P2428" s="7" t="n">
        <x:v>46045</x:v>
      </x:c>
    </x:row>
    <x:row r="2429" ht="26" customHeight="1">
      <x:c r="A2429" s="2"/>
      <x:c r="B2429" s="2" t="n">
        <x:v>2424</x:v>
      </x:c>
      <x:c r="C2429" s="2" t="str">
        <x:v>Health Care / organic_sales_growth</x:v>
      </x:c>
      <x:c r="D2429" s="7" t="n">
        <x:v>46022</x:v>
      </x:c>
      <x:c r="E2429" s="2" t="str">
        <x:v>Pre-earnings</x:v>
      </x:c>
      <x:c r="F2429" s="7" t="n">
        <x:v>46044</x:v>
      </x:c>
      <x:c r="G2429" s="2" t="str">
        <x:v>Own history</x:v>
      </x:c>
      <x:c r="H2429" s="8" t="n">
        <x:f>'Model fits'!AA1571</x:f>
        <x:v>4.636718750000001</x:v>
      </x:c>
      <x:c r="I2429" s="8" t="n">
        <x:f>0</x:f>
        <x:v>0</x:v>
      </x:c>
      <x:c r="J2429" s="8" t="n">
        <x:v>0</x:v>
      </x:c>
      <x:c r="K2429" s="8" t="n">
        <x:f>H2429-I2429*J2429</x:f>
        <x:v>4.636718750000001</x:v>
      </x:c>
      <x:c r="L2429" s="8" t="n">
        <x:f>'PG facts'!F141</x:f>
        <x:v>3</x:v>
      </x:c>
      <x:c r="M2429" s="8" t="n">
        <x:f>K2429-L2429</x:f>
        <x:v>1.6367187500000009</x:v>
      </x:c>
      <x:c r="N2429" s="8" t="n">
        <x:f>M2429^2</x:f>
        <x:v>2.6788482666015656</x:v>
      </x:c>
      <x:c r="O2429" s="8" t="n">
        <x:f>ABS(M2429)</x:f>
        <x:v>1.6367187500000009</x:v>
      </x:c>
      <x:c r="P2429" s="7" t="n">
        <x:v>46045</x:v>
      </x:c>
    </x:row>
    <x:row r="2430" ht="26" customHeight="1">
      <x:c r="A2430" s="2"/>
      <x:c r="B2430" s="2" t="n">
        <x:v>2425</x:v>
      </x:c>
      <x:c r="C2430" s="2" t="str">
        <x:v>Health Care / organic_sales_growth</x:v>
      </x:c>
      <x:c r="D2430" s="7" t="n">
        <x:v>46112</x:v>
      </x:c>
      <x:c r="E2430" s="2" t="str">
        <x:v>Origin</x:v>
      </x:c>
      <x:c r="F2430" s="7" t="n">
        <x:v>46023</x:v>
      </x:c>
      <x:c r="G2430" s="2" t="str">
        <x:v>Last actual</x:v>
      </x:c>
      <x:c r="H2430" s="8" t="n">
        <x:f>AVERAGE('PG facts'!F134)</x:f>
        <x:v>1</x:v>
      </x:c>
      <x:c r="I2430" s="8" t="n">
        <x:f>0</x:f>
        <x:v>0</x:v>
      </x:c>
      <x:c r="J2430" s="8" t="n">
        <x:v>0</x:v>
      </x:c>
      <x:c r="K2430" s="8" t="n">
        <x:f>H2430-I2430*J2430</x:f>
        <x:v>1</x:v>
      </x:c>
      <x:c r="L2430" s="8" t="n">
        <x:f>'PG facts'!F148</x:f>
        <x:v>2</x:v>
      </x:c>
      <x:c r="M2430" s="8" t="n">
        <x:f>K2430-L2430</x:f>
        <x:v>-1</x:v>
      </x:c>
      <x:c r="N2430" s="8" t="n">
        <x:f>M2430^2</x:f>
        <x:v>1</x:v>
      </x:c>
      <x:c r="O2430" s="8" t="n">
        <x:f>ABS(M2430)</x:f>
        <x:v>1</x:v>
      </x:c>
      <x:c r="P2430" s="7" t="n">
        <x:v>46136</x:v>
      </x:c>
    </x:row>
    <x:row r="2431" ht="26" customHeight="1">
      <x:c r="A2431" s="2"/>
      <x:c r="B2431" s="2" t="n">
        <x:v>2426</x:v>
      </x:c>
      <x:c r="C2431" s="2" t="str">
        <x:v>Health Care / organic_sales_growth</x:v>
      </x:c>
      <x:c r="D2431" s="7" t="n">
        <x:v>46112</x:v>
      </x:c>
      <x:c r="E2431" s="2" t="str">
        <x:v>Origin</x:v>
      </x:c>
      <x:c r="F2431" s="7" t="n">
        <x:v>46023</x:v>
      </x:c>
      <x:c r="G2431" s="2" t="str">
        <x:v>Four-quarter mean</x:v>
      </x:c>
      <x:c r="H2431" s="8" t="n">
        <x:f>AVERAGE('PG facts'!F113,'PG facts'!F120,'PG facts'!F127,'PG facts'!F134)</x:f>
        <x:v>2.5</x:v>
      </x:c>
      <x:c r="I2431" s="8" t="n">
        <x:f>0</x:f>
        <x:v>0</x:v>
      </x:c>
      <x:c r="J2431" s="8" t="n">
        <x:v>0</x:v>
      </x:c>
      <x:c r="K2431" s="8" t="n">
        <x:f>H2431-I2431*J2431</x:f>
        <x:v>2.5</x:v>
      </x:c>
      <x:c r="L2431" s="8" t="n">
        <x:f>'PG facts'!F148</x:f>
        <x:v>2</x:v>
      </x:c>
      <x:c r="M2431" s="8" t="n">
        <x:f>K2431-L2431</x:f>
        <x:v>0.5</x:v>
      </x:c>
      <x:c r="N2431" s="8" t="n">
        <x:f>M2431^2</x:f>
        <x:v>0.25</x:v>
      </x:c>
      <x:c r="O2431" s="8" t="n">
        <x:f>ABS(M2431)</x:f>
        <x:v>0.5</x:v>
      </x:c>
      <x:c r="P2431" s="7" t="n">
        <x:v>46136</x:v>
      </x:c>
    </x:row>
    <x:row r="2432" ht="26" customHeight="1">
      <x:c r="A2432" s="2"/>
      <x:c r="B2432" s="2" t="n">
        <x:v>2427</x:v>
      </x:c>
      <x:c r="C2432" s="2" t="str">
        <x:v>Health Care / organic_sales_growth</x:v>
      </x:c>
      <x:c r="D2432" s="7" t="n">
        <x:v>46112</x:v>
      </x:c>
      <x:c r="E2432" s="2" t="str">
        <x:v>Origin</x:v>
      </x:c>
      <x:c r="F2432" s="7" t="n">
        <x:v>46023</x:v>
      </x:c>
      <x:c r="G2432" s="2" t="str">
        <x:v>Broad market</x:v>
      </x:c>
      <x:c r="H2432" s="8" t="n">
        <x:f>'Model fits'!AA1572</x:f>
        <x:v>6.093344721089904</x:v>
      </x:c>
      <x:c r="I2432" s="8" t="n">
        <x:f>0</x:f>
        <x:v>0</x:v>
      </x:c>
      <x:c r="J2432" s="8" t="n">
        <x:v>0</x:v>
      </x:c>
      <x:c r="K2432" s="8" t="n">
        <x:f>H2432-I2432*J2432</x:f>
        <x:v>6.093344721089904</x:v>
      </x:c>
      <x:c r="L2432" s="8" t="n">
        <x:f>'PG facts'!F148</x:f>
        <x:v>2</x:v>
      </x:c>
      <x:c r="M2432" s="8" t="n">
        <x:f>K2432-L2432</x:f>
        <x:v>4.093344721089904</x:v>
      </x:c>
      <x:c r="N2432" s="8" t="n">
        <x:f>M2432^2</x:f>
        <x:v>16.755471005674586</x:v>
      </x:c>
      <x:c r="O2432" s="8" t="n">
        <x:f>ABS(M2432)</x:f>
        <x:v>4.093344721089904</x:v>
      </x:c>
      <x:c r="P2432" s="7" t="n">
        <x:v>46136</x:v>
      </x:c>
    </x:row>
    <x:row r="2433" ht="26" customHeight="1">
      <x:c r="A2433" s="2"/>
      <x:c r="B2433" s="2" t="n">
        <x:v>2428</x:v>
      </x:c>
      <x:c r="C2433" s="2" t="str">
        <x:v>Health Care / organic_sales_growth</x:v>
      </x:c>
      <x:c r="D2433" s="7" t="n">
        <x:v>46112</x:v>
      </x:c>
      <x:c r="E2433" s="2" t="str">
        <x:v>Origin</x:v>
      </x:c>
      <x:c r="F2433" s="7" t="n">
        <x:v>46023</x:v>
      </x:c>
      <x:c r="G2433" s="2" t="str">
        <x:v>Broad rolling 8</x:v>
      </x:c>
      <x:c r="H2433" s="8" t="n">
        <x:f>'Model fits'!AA1573</x:f>
        <x:v>2.692284888619606</x:v>
      </x:c>
      <x:c r="I2433" s="8" t="n">
        <x:f>0</x:f>
        <x:v>0</x:v>
      </x:c>
      <x:c r="J2433" s="8" t="n">
        <x:v>0</x:v>
      </x:c>
      <x:c r="K2433" s="8" t="n">
        <x:f>H2433-I2433*J2433</x:f>
        <x:v>2.692284888619606</x:v>
      </x:c>
      <x:c r="L2433" s="8" t="n">
        <x:f>'PG facts'!F148</x:f>
        <x:v>2</x:v>
      </x:c>
      <x:c r="M2433" s="8" t="n">
        <x:f>K2433-L2433</x:f>
        <x:v>0.6922848886196058</x:v>
      </x:c>
      <x:c r="N2433" s="8" t="n">
        <x:f>M2433^2</x:f>
        <x:v>0.47925836701106</x:v>
      </x:c>
      <x:c r="O2433" s="8" t="n">
        <x:f>ABS(M2433)</x:f>
        <x:v>0.6922848886196058</x:v>
      </x:c>
      <x:c r="P2433" s="7" t="n">
        <x:v>46136</x:v>
      </x:c>
    </x:row>
    <x:row r="2434" ht="26" customHeight="1">
      <x:c r="A2434" s="2"/>
      <x:c r="B2434" s="2" t="n">
        <x:v>2429</x:v>
      </x:c>
      <x:c r="C2434" s="2" t="str">
        <x:v>Health Care / organic_sales_growth</x:v>
      </x:c>
      <x:c r="D2434" s="7" t="n">
        <x:v>46112</x:v>
      </x:c>
      <x:c r="E2434" s="2" t="str">
        <x:v>Origin</x:v>
      </x:c>
      <x:c r="F2434" s="7" t="n">
        <x:v>46023</x:v>
      </x:c>
      <x:c r="G2434" s="2" t="str">
        <x:v>Own history</x:v>
      </x:c>
      <x:c r="H2434" s="8" t="n">
        <x:f>'Model fits'!AA1574</x:f>
        <x:v>3.625952487673689</x:v>
      </x:c>
      <x:c r="I2434" s="8" t="n">
        <x:f>0</x:f>
        <x:v>0</x:v>
      </x:c>
      <x:c r="J2434" s="8" t="n">
        <x:v>0</x:v>
      </x:c>
      <x:c r="K2434" s="8" t="n">
        <x:f>H2434-I2434*J2434</x:f>
        <x:v>3.625952487673689</x:v>
      </x:c>
      <x:c r="L2434" s="8" t="n">
        <x:f>'PG facts'!F148</x:f>
        <x:v>2</x:v>
      </x:c>
      <x:c r="M2434" s="8" t="n">
        <x:f>K2434-L2434</x:f>
        <x:v>1.6259524876736888</x:v>
      </x:c>
      <x:c r="N2434" s="8" t="n">
        <x:f>M2434^2</x:f>
        <x:v>2.6437214921722574</x:v>
      </x:c>
      <x:c r="O2434" s="8" t="n">
        <x:f>ABS(M2434)</x:f>
        <x:v>1.6259524876736888</x:v>
      </x:c>
      <x:c r="P2434" s="7" t="n">
        <x:v>46136</x:v>
      </x:c>
    </x:row>
    <x:row r="2435" ht="26" customHeight="1">
      <x:c r="A2435" s="2"/>
      <x:c r="B2435" s="2" t="n">
        <x:v>2430</x:v>
      </x:c>
      <x:c r="C2435" s="2" t="str">
        <x:v>Health Care / organic_sales_growth</x:v>
      </x:c>
      <x:c r="D2435" s="7" t="n">
        <x:v>46112</x:v>
      </x:c>
      <x:c r="E2435" s="2" t="str">
        <x:v>Prior report</x:v>
      </x:c>
      <x:c r="F2435" s="7" t="n">
        <x:v>46045</x:v>
      </x:c>
      <x:c r="G2435" s="2" t="str">
        <x:v>Last actual</x:v>
      </x:c>
      <x:c r="H2435" s="8" t="n">
        <x:f>AVERAGE('PG facts'!F141)</x:f>
        <x:v>3</x:v>
      </x:c>
      <x:c r="I2435" s="8" t="n">
        <x:f>0</x:f>
        <x:v>0</x:v>
      </x:c>
      <x:c r="J2435" s="8" t="n">
        <x:v>0</x:v>
      </x:c>
      <x:c r="K2435" s="8" t="n">
        <x:f>H2435-I2435*J2435</x:f>
        <x:v>3</x:v>
      </x:c>
      <x:c r="L2435" s="8" t="n">
        <x:f>'PG facts'!F148</x:f>
        <x:v>2</x:v>
      </x:c>
      <x:c r="M2435" s="8" t="n">
        <x:f>K2435-L2435</x:f>
        <x:v>1</x:v>
      </x:c>
      <x:c r="N2435" s="8" t="n">
        <x:f>M2435^2</x:f>
        <x:v>1</x:v>
      </x:c>
      <x:c r="O2435" s="8" t="n">
        <x:f>ABS(M2435)</x:f>
        <x:v>1</x:v>
      </x:c>
      <x:c r="P2435" s="7" t="n">
        <x:v>46136</x:v>
      </x:c>
    </x:row>
    <x:row r="2436" ht="26" customHeight="1">
      <x:c r="A2436" s="2"/>
      <x:c r="B2436" s="2" t="n">
        <x:v>2431</x:v>
      </x:c>
      <x:c r="C2436" s="2" t="str">
        <x:v>Health Care / organic_sales_growth</x:v>
      </x:c>
      <x:c r="D2436" s="7" t="n">
        <x:v>46112</x:v>
      </x:c>
      <x:c r="E2436" s="2" t="str">
        <x:v>Prior report</x:v>
      </x:c>
      <x:c r="F2436" s="7" t="n">
        <x:v>46045</x:v>
      </x:c>
      <x:c r="G2436" s="2" t="str">
        <x:v>Four-quarter mean</x:v>
      </x:c>
      <x:c r="H2436" s="8" t="n">
        <x:f>AVERAGE('PG facts'!F120,'PG facts'!F127,'PG facts'!F134,'PG facts'!F141)</x:f>
        <x:v>2.5</x:v>
      </x:c>
      <x:c r="I2436" s="8" t="n">
        <x:f>0</x:f>
        <x:v>0</x:v>
      </x:c>
      <x:c r="J2436" s="8" t="n">
        <x:v>0</x:v>
      </x:c>
      <x:c r="K2436" s="8" t="n">
        <x:f>H2436-I2436*J2436</x:f>
        <x:v>2.5</x:v>
      </x:c>
      <x:c r="L2436" s="8" t="n">
        <x:f>'PG facts'!F148</x:f>
        <x:v>2</x:v>
      </x:c>
      <x:c r="M2436" s="8" t="n">
        <x:f>K2436-L2436</x:f>
        <x:v>0.5</x:v>
      </x:c>
      <x:c r="N2436" s="8" t="n">
        <x:f>M2436^2</x:f>
        <x:v>0.25</x:v>
      </x:c>
      <x:c r="O2436" s="8" t="n">
        <x:f>ABS(M2436)</x:f>
        <x:v>0.5</x:v>
      </x:c>
      <x:c r="P2436" s="7" t="n">
        <x:v>46136</x:v>
      </x:c>
    </x:row>
    <x:row r="2437" ht="26" customHeight="1">
      <x:c r="A2437" s="2"/>
      <x:c r="B2437" s="2" t="n">
        <x:v>2432</x:v>
      </x:c>
      <x:c r="C2437" s="2" t="str">
        <x:v>Health Care / organic_sales_growth</x:v>
      </x:c>
      <x:c r="D2437" s="7" t="n">
        <x:v>46112</x:v>
      </x:c>
      <x:c r="E2437" s="2" t="str">
        <x:v>Prior report</x:v>
      </x:c>
      <x:c r="F2437" s="7" t="n">
        <x:v>46045</x:v>
      </x:c>
      <x:c r="G2437" s="2" t="str">
        <x:v>Broad market</x:v>
      </x:c>
      <x:c r="H2437" s="8" t="n">
        <x:f>'Model fits'!AA1575</x:f>
        <x:v>6.197111890542393</x:v>
      </x:c>
      <x:c r="I2437" s="8" t="n">
        <x:f>0</x:f>
        <x:v>0</x:v>
      </x:c>
      <x:c r="J2437" s="8" t="n">
        <x:v>0</x:v>
      </x:c>
      <x:c r="K2437" s="8" t="n">
        <x:f>H2437-I2437*J2437</x:f>
        <x:v>6.197111890542393</x:v>
      </x:c>
      <x:c r="L2437" s="8" t="n">
        <x:f>'PG facts'!F148</x:f>
        <x:v>2</x:v>
      </x:c>
      <x:c r="M2437" s="8" t="n">
        <x:f>K2437-L2437</x:f>
        <x:v>4.197111890542393</x:v>
      </x:c>
      <x:c r="N2437" s="8" t="n">
        <x:f>M2437^2</x:f>
        <x:v>17.615748221732343</x:v>
      </x:c>
      <x:c r="O2437" s="8" t="n">
        <x:f>ABS(M2437)</x:f>
        <x:v>4.197111890542393</x:v>
      </x:c>
      <x:c r="P2437" s="7" t="n">
        <x:v>46136</x:v>
      </x:c>
    </x:row>
    <x:row r="2438" ht="26" customHeight="1">
      <x:c r="A2438" s="2"/>
      <x:c r="B2438" s="2" t="n">
        <x:v>2433</x:v>
      </x:c>
      <x:c r="C2438" s="2" t="str">
        <x:v>Health Care / organic_sales_growth</x:v>
      </x:c>
      <x:c r="D2438" s="7" t="n">
        <x:v>46112</x:v>
      </x:c>
      <x:c r="E2438" s="2" t="str">
        <x:v>Prior report</x:v>
      </x:c>
      <x:c r="F2438" s="7" t="n">
        <x:v>46045</x:v>
      </x:c>
      <x:c r="G2438" s="2" t="str">
        <x:v>Broad rolling 8</x:v>
      </x:c>
      <x:c r="H2438" s="8" t="n">
        <x:f>'Model fits'!AA1576</x:f>
        <x:v>2.6605395680885247</x:v>
      </x:c>
      <x:c r="I2438" s="8" t="n">
        <x:f>0</x:f>
        <x:v>0</x:v>
      </x:c>
      <x:c r="J2438" s="8" t="n">
        <x:v>0</x:v>
      </x:c>
      <x:c r="K2438" s="8" t="n">
        <x:f>H2438-I2438*J2438</x:f>
        <x:v>2.6605395680885247</x:v>
      </x:c>
      <x:c r="L2438" s="8" t="n">
        <x:f>'PG facts'!F148</x:f>
        <x:v>2</x:v>
      </x:c>
      <x:c r="M2438" s="8" t="n">
        <x:f>K2438-L2438</x:f>
        <x:v>0.6605395680885247</x:v>
      </x:c>
      <x:c r="N2438" s="8" t="n">
        <x:f>M2438^2</x:f>
        <x:v>0.4363125210105747</x:v>
      </x:c>
      <x:c r="O2438" s="8" t="n">
        <x:f>ABS(M2438)</x:f>
        <x:v>0.6605395680885247</x:v>
      </x:c>
      <x:c r="P2438" s="7" t="n">
        <x:v>46136</x:v>
      </x:c>
    </x:row>
    <x:row r="2439" ht="26" customHeight="1">
      <x:c r="A2439" s="2"/>
      <x:c r="B2439" s="2" t="n">
        <x:v>2434</x:v>
      </x:c>
      <x:c r="C2439" s="2" t="str">
        <x:v>Health Care / organic_sales_growth</x:v>
      </x:c>
      <x:c r="D2439" s="7" t="n">
        <x:v>46112</x:v>
      </x:c>
      <x:c r="E2439" s="2" t="str">
        <x:v>Prior report</x:v>
      </x:c>
      <x:c r="F2439" s="7" t="n">
        <x:v>46045</x:v>
      </x:c>
      <x:c r="G2439" s="2" t="str">
        <x:v>Own history</x:v>
      </x:c>
      <x:c r="H2439" s="8" t="n">
        <x:f>'Model fits'!AA1577</x:f>
        <x:v>5.111744966442952</x:v>
      </x:c>
      <x:c r="I2439" s="8" t="n">
        <x:f>0</x:f>
        <x:v>0</x:v>
      </x:c>
      <x:c r="J2439" s="8" t="n">
        <x:v>0</x:v>
      </x:c>
      <x:c r="K2439" s="8" t="n">
        <x:f>H2439-I2439*J2439</x:f>
        <x:v>5.111744966442952</x:v>
      </x:c>
      <x:c r="L2439" s="8" t="n">
        <x:f>'PG facts'!F148</x:f>
        <x:v>2</x:v>
      </x:c>
      <x:c r="M2439" s="8" t="n">
        <x:f>K2439-L2439</x:f>
        <x:v>3.111744966442952</x:v>
      </x:c>
      <x:c r="N2439" s="8" t="n">
        <x:f>M2439^2</x:f>
        <x:v>9.68295673618305</x:v>
      </x:c>
      <x:c r="O2439" s="8" t="n">
        <x:f>ABS(M2439)</x:f>
        <x:v>3.111744966442952</x:v>
      </x:c>
      <x:c r="P2439" s="7" t="n">
        <x:v>46136</x:v>
      </x:c>
    </x:row>
    <x:row r="2440" ht="26" customHeight="1">
      <x:c r="A2440" s="2"/>
      <x:c r="B2440" s="2" t="n">
        <x:v>2435</x:v>
      </x:c>
      <x:c r="C2440" s="2" t="str">
        <x:v>Health Care / organic_sales_growth</x:v>
      </x:c>
      <x:c r="D2440" s="7" t="n">
        <x:v>46112</x:v>
      </x:c>
      <x:c r="E2440" s="2" t="str">
        <x:v>Pre-earnings</x:v>
      </x:c>
      <x:c r="F2440" s="7" t="n">
        <x:v>46135</x:v>
      </x:c>
      <x:c r="G2440" s="2" t="str">
        <x:v>Last actual</x:v>
      </x:c>
      <x:c r="H2440" s="8" t="n">
        <x:f>AVERAGE('PG facts'!F141)</x:f>
        <x:v>3</x:v>
      </x:c>
      <x:c r="I2440" s="8" t="n">
        <x:f>0</x:f>
        <x:v>0</x:v>
      </x:c>
      <x:c r="J2440" s="8" t="n">
        <x:v>0</x:v>
      </x:c>
      <x:c r="K2440" s="8" t="n">
        <x:f>H2440-I2440*J2440</x:f>
        <x:v>3</x:v>
      </x:c>
      <x:c r="L2440" s="8" t="n">
        <x:f>'PG facts'!F148</x:f>
        <x:v>2</x:v>
      </x:c>
      <x:c r="M2440" s="8" t="n">
        <x:f>K2440-L2440</x:f>
        <x:v>1</x:v>
      </x:c>
      <x:c r="N2440" s="8" t="n">
        <x:f>M2440^2</x:f>
        <x:v>1</x:v>
      </x:c>
      <x:c r="O2440" s="8" t="n">
        <x:f>ABS(M2440)</x:f>
        <x:v>1</x:v>
      </x:c>
      <x:c r="P2440" s="7" t="n">
        <x:v>46136</x:v>
      </x:c>
    </x:row>
    <x:row r="2441" ht="26" customHeight="1">
      <x:c r="A2441" s="2"/>
      <x:c r="B2441" s="2" t="n">
        <x:v>2436</x:v>
      </x:c>
      <x:c r="C2441" s="2" t="str">
        <x:v>Health Care / organic_sales_growth</x:v>
      </x:c>
      <x:c r="D2441" s="7" t="n">
        <x:v>46112</x:v>
      </x:c>
      <x:c r="E2441" s="2" t="str">
        <x:v>Pre-earnings</x:v>
      </x:c>
      <x:c r="F2441" s="7" t="n">
        <x:v>46135</x:v>
      </x:c>
      <x:c r="G2441" s="2" t="str">
        <x:v>Four-quarter mean</x:v>
      </x:c>
      <x:c r="H2441" s="8" t="n">
        <x:f>AVERAGE('PG facts'!F120,'PG facts'!F127,'PG facts'!F134,'PG facts'!F141)</x:f>
        <x:v>2.5</x:v>
      </x:c>
      <x:c r="I2441" s="8" t="n">
        <x:f>0</x:f>
        <x:v>0</x:v>
      </x:c>
      <x:c r="J2441" s="8" t="n">
        <x:v>0</x:v>
      </x:c>
      <x:c r="K2441" s="8" t="n">
        <x:f>H2441-I2441*J2441</x:f>
        <x:v>2.5</x:v>
      </x:c>
      <x:c r="L2441" s="8" t="n">
        <x:f>'PG facts'!F148</x:f>
        <x:v>2</x:v>
      </x:c>
      <x:c r="M2441" s="8" t="n">
        <x:f>K2441-L2441</x:f>
        <x:v>0.5</x:v>
      </x:c>
      <x:c r="N2441" s="8" t="n">
        <x:f>M2441^2</x:f>
        <x:v>0.25</x:v>
      </x:c>
      <x:c r="O2441" s="8" t="n">
        <x:f>ABS(M2441)</x:f>
        <x:v>0.5</x:v>
      </x:c>
      <x:c r="P2441" s="7" t="n">
        <x:v>46136</x:v>
      </x:c>
    </x:row>
    <x:row r="2442" ht="26" customHeight="1">
      <x:c r="A2442" s="2"/>
      <x:c r="B2442" s="2" t="n">
        <x:v>2437</x:v>
      </x:c>
      <x:c r="C2442" s="2" t="str">
        <x:v>Health Care / organic_sales_growth</x:v>
      </x:c>
      <x:c r="D2442" s="7" t="n">
        <x:v>46112</x:v>
      </x:c>
      <x:c r="E2442" s="2" t="str">
        <x:v>Pre-earnings</x:v>
      </x:c>
      <x:c r="F2442" s="7" t="n">
        <x:v>46135</x:v>
      </x:c>
      <x:c r="G2442" s="2" t="str">
        <x:v>Broad market</x:v>
      </x:c>
      <x:c r="H2442" s="8" t="n">
        <x:f>'Model fits'!AA1578</x:f>
        <x:v>4.376277667683816</x:v>
      </x:c>
      <x:c r="I2442" s="8" t="n">
        <x:f>0</x:f>
        <x:v>0</x:v>
      </x:c>
      <x:c r="J2442" s="8" t="n">
        <x:v>0</x:v>
      </x:c>
      <x:c r="K2442" s="8" t="n">
        <x:f>H2442-I2442*J2442</x:f>
        <x:v>4.376277667683816</x:v>
      </x:c>
      <x:c r="L2442" s="8" t="n">
        <x:f>'PG facts'!F148</x:f>
        <x:v>2</x:v>
      </x:c>
      <x:c r="M2442" s="8" t="n">
        <x:f>K2442-L2442</x:f>
        <x:v>2.3762776676838158</x:v>
      </x:c>
      <x:c r="N2442" s="8" t="n">
        <x:f>M2442^2</x:f>
        <x:v>5.646695553932835</x:v>
      </x:c>
      <x:c r="O2442" s="8" t="n">
        <x:f>ABS(M2442)</x:f>
        <x:v>2.3762776676838158</x:v>
      </x:c>
      <x:c r="P2442" s="7" t="n">
        <x:v>46136</x:v>
      </x:c>
    </x:row>
    <x:row r="2443" ht="26" customHeight="1">
      <x:c r="A2443" s="2"/>
      <x:c r="B2443" s="2" t="n">
        <x:v>2438</x:v>
      </x:c>
      <x:c r="C2443" s="2" t="str">
        <x:v>Health Care / organic_sales_growth</x:v>
      </x:c>
      <x:c r="D2443" s="7" t="n">
        <x:v>46112</x:v>
      </x:c>
      <x:c r="E2443" s="2" t="str">
        <x:v>Pre-earnings</x:v>
      </x:c>
      <x:c r="F2443" s="7" t="n">
        <x:v>46135</x:v>
      </x:c>
      <x:c r="G2443" s="2" t="str">
        <x:v>Broad lag 1</x:v>
      </x:c>
      <x:c r="H2443" s="8" t="n">
        <x:f>'Model fits'!AA1579</x:f>
        <x:v>6.290879756279616</x:v>
      </x:c>
      <x:c r="I2443" s="8" t="n">
        <x:f>0</x:f>
        <x:v>0</x:v>
      </x:c>
      <x:c r="J2443" s="8" t="n">
        <x:v>0</x:v>
      </x:c>
      <x:c r="K2443" s="8" t="n">
        <x:f>H2443-I2443*J2443</x:f>
        <x:v>6.290879756279616</x:v>
      </x:c>
      <x:c r="L2443" s="8" t="n">
        <x:f>'PG facts'!F148</x:f>
        <x:v>2</x:v>
      </x:c>
      <x:c r="M2443" s="8" t="n">
        <x:f>K2443-L2443</x:f>
        <x:v>4.290879756279616</x:v>
      </x:c>
      <x:c r="N2443" s="8" t="n">
        <x:f>M2443^2</x:f>
        <x:v>18.411649082850218</x:v>
      </x:c>
      <x:c r="O2443" s="8" t="n">
        <x:f>ABS(M2443)</x:f>
        <x:v>4.290879756279616</x:v>
      </x:c>
      <x:c r="P2443" s="7" t="n">
        <x:v>46136</x:v>
      </x:c>
    </x:row>
    <x:row r="2444" ht="26" customHeight="1">
      <x:c r="A2444" s="2"/>
      <x:c r="B2444" s="2" t="n">
        <x:v>2439</x:v>
      </x:c>
      <x:c r="C2444" s="2" t="str">
        <x:v>Health Care / organic_sales_growth</x:v>
      </x:c>
      <x:c r="D2444" s="7" t="n">
        <x:v>46112</x:v>
      </x:c>
      <x:c r="E2444" s="2" t="str">
        <x:v>Pre-earnings</x:v>
      </x:c>
      <x:c r="F2444" s="7" t="n">
        <x:v>46135</x:v>
      </x:c>
      <x:c r="G2444" s="2" t="str">
        <x:v>Broad rolling 8</x:v>
      </x:c>
      <x:c r="H2444" s="8" t="n">
        <x:f>'Model fits'!AA1580</x:f>
        <x:v>3.1067874596788334</x:v>
      </x:c>
      <x:c r="I2444" s="8" t="n">
        <x:f>0</x:f>
        <x:v>0</x:v>
      </x:c>
      <x:c r="J2444" s="8" t="n">
        <x:v>0</x:v>
      </x:c>
      <x:c r="K2444" s="8" t="n">
        <x:f>H2444-I2444*J2444</x:f>
        <x:v>3.1067874596788334</x:v>
      </x:c>
      <x:c r="L2444" s="8" t="n">
        <x:f>'PG facts'!F148</x:f>
        <x:v>2</x:v>
      </x:c>
      <x:c r="M2444" s="8" t="n">
        <x:f>K2444-L2444</x:f>
        <x:v>1.1067874596788334</x:v>
      </x:c>
      <x:c r="N2444" s="8" t="n">
        <x:f>M2444^2</x:f>
        <x:v>1.2249784809023252</x:v>
      </x:c>
      <x:c r="O2444" s="8" t="n">
        <x:f>ABS(M2444)</x:f>
        <x:v>1.1067874596788334</x:v>
      </x:c>
      <x:c r="P2444" s="7" t="n">
        <x:v>46136</x:v>
      </x:c>
    </x:row>
    <x:row r="2445" ht="26" customHeight="1">
      <x:c r="A2445" s="2"/>
      <x:c r="B2445" s="2" t="n">
        <x:v>2440</x:v>
      </x:c>
      <x:c r="C2445" s="2" t="str">
        <x:v>Health Care / organic_sales_growth</x:v>
      </x:c>
      <x:c r="D2445" s="7" t="n">
        <x:v>46112</x:v>
      </x:c>
      <x:c r="E2445" s="2" t="str">
        <x:v>Pre-earnings</x:v>
      </x:c>
      <x:c r="F2445" s="7" t="n">
        <x:v>46135</x:v>
      </x:c>
      <x:c r="G2445" s="2" t="str">
        <x:v>Own history</x:v>
      </x:c>
      <x:c r="H2445" s="8" t="n">
        <x:f>'Model fits'!AA1581</x:f>
        <x:v>5.111744966442952</x:v>
      </x:c>
      <x:c r="I2445" s="8" t="n">
        <x:f>0</x:f>
        <x:v>0</x:v>
      </x:c>
      <x:c r="J2445" s="8" t="n">
        <x:v>0</x:v>
      </x:c>
      <x:c r="K2445" s="8" t="n">
        <x:f>H2445-I2445*J2445</x:f>
        <x:v>5.111744966442952</x:v>
      </x:c>
      <x:c r="L2445" s="8" t="n">
        <x:f>'PG facts'!F148</x:f>
        <x:v>2</x:v>
      </x:c>
      <x:c r="M2445" s="8" t="n">
        <x:f>K2445-L2445</x:f>
        <x:v>3.111744966442952</x:v>
      </x:c>
      <x:c r="N2445" s="8" t="n">
        <x:f>M2445^2</x:f>
        <x:v>9.68295673618305</x:v>
      </x:c>
      <x:c r="O2445" s="8" t="n">
        <x:f>ABS(M2445)</x:f>
        <x:v>3.111744966442952</x:v>
      </x:c>
      <x:c r="P2445" s="7" t="n">
        <x:v>46136</x:v>
      </x:c>
    </x:row>
    <x:row r="2446" ht="26" customHeight="1">
      <x:c r="A2446" s="2"/>
      <x:c r="B2446" s="2" t="n">
        <x:v>2441</x:v>
      </x:c>
      <x:c r="C2446" s="2" t="str">
        <x:v>Beauty / price_contribution</x:v>
      </x:c>
      <x:c r="D2446" s="7" t="n">
        <x:v>45473</x:v>
      </x:c>
      <x:c r="E2446" s="2" t="str">
        <x:v>Prior report</x:v>
      </x:c>
      <x:c r="F2446" s="7" t="n">
        <x:v>45401</x:v>
      </x:c>
      <x:c r="G2446" s="2" t="str">
        <x:v>Bias correction</x:v>
      </x:c>
      <x:c r="H2446" s="8" t="n">
        <x:f>K100</x:f>
        <x:v>5.384047636285008</x:v>
      </x:c>
      <x:c r="I2446" s="8" t="n">
        <x:f>AVERAGE(M13,M34,M56,M78)</x:f>
        <x:v>1.6872136898331576</x:v>
      </x:c>
      <x:c r="J2446" s="8" t="n">
        <x:v>1</x:v>
      </x:c>
      <x:c r="K2446" s="8" t="n">
        <x:f>H2446-I2446*J2446</x:f>
        <x:v>3.69683394645185</x:v>
      </x:c>
      <x:c r="L2446" s="8" t="n">
        <x:f>'PG facts'!D97</x:f>
        <x:v>3</x:v>
      </x:c>
      <x:c r="M2446" s="8" t="n">
        <x:f>K2446-L2446</x:f>
        <x:v>0.69683394645185</x:v>
      </x:c>
      <x:c r="N2446" s="8" t="n">
        <x:f>M2446^2</x:f>
        <x:v>0.4855775489276598</x:v>
      </x:c>
      <x:c r="O2446" s="8" t="n">
        <x:f>ABS(M2446)</x:f>
        <x:v>0.69683394645185</x:v>
      </x:c>
      <x:c r="P2446" s="7" t="n">
        <x:v>45503</x:v>
      </x:c>
    </x:row>
    <x:row r="2447" ht="26" customHeight="1">
      <x:c r="A2447" s="2"/>
      <x:c r="B2447" s="2" t="n">
        <x:v>2442</x:v>
      </x:c>
      <x:c r="C2447" s="2" t="str">
        <x:v>Beauty / price_contribution</x:v>
      </x:c>
      <x:c r="D2447" s="7" t="n">
        <x:v>45473</x:v>
      </x:c>
      <x:c r="E2447" s="2" t="str">
        <x:v>Prior report</x:v>
      </x:c>
      <x:c r="F2447" s="7" t="n">
        <x:v>45401</x:v>
      </x:c>
      <x:c r="G2447" s="2" t="str">
        <x:v>Half correction</x:v>
      </x:c>
      <x:c r="H2447" s="8" t="n">
        <x:f>K100</x:f>
        <x:v>5.384047636285008</x:v>
      </x:c>
      <x:c r="I2447" s="8" t="n">
        <x:f>AVERAGE(M13,M34,M56,M78)</x:f>
        <x:v>1.6872136898331576</x:v>
      </x:c>
      <x:c r="J2447" s="8" t="n">
        <x:v>0.5</x:v>
      </x:c>
      <x:c r="K2447" s="8" t="n">
        <x:f>H2447-I2447*J2447</x:f>
        <x:v>4.540440791368429</x:v>
      </x:c>
      <x:c r="L2447" s="8" t="n">
        <x:f>'PG facts'!D97</x:f>
        <x:v>3</x:v>
      </x:c>
      <x:c r="M2447" s="8" t="n">
        <x:f>K2447-L2447</x:f>
        <x:v>1.5404407913684288</x:v>
      </x:c>
      <x:c r="N2447" s="8" t="n">
        <x:f>M2447^2</x:f>
        <x:v>2.3729578317117914</x:v>
      </x:c>
      <x:c r="O2447" s="8" t="n">
        <x:f>ABS(M2447)</x:f>
        <x:v>1.5404407913684288</x:v>
      </x:c>
      <x:c r="P2447" s="7" t="n">
        <x:v>45503</x:v>
      </x:c>
    </x:row>
    <x:row r="2448" ht="26" customHeight="1">
      <x:c r="A2448" s="2"/>
      <x:c r="B2448" s="2" t="n">
        <x:v>2443</x:v>
      </x:c>
      <x:c r="C2448" s="2" t="str">
        <x:v>Beauty / price_contribution</x:v>
      </x:c>
      <x:c r="D2448" s="7" t="n">
        <x:v>45473</x:v>
      </x:c>
      <x:c r="E2448" s="2" t="str">
        <x:v>Pre-earnings</x:v>
      </x:c>
      <x:c r="F2448" s="7" t="n">
        <x:v>45502</x:v>
      </x:c>
      <x:c r="G2448" s="2" t="str">
        <x:v>Bias correction</x:v>
      </x:c>
      <x:c r="H2448" s="8" t="n">
        <x:f>K109</x:f>
        <x:v>3.879192084995789</x:v>
      </x:c>
      <x:c r="I2448" s="8" t="n">
        <x:f>AVERAGE(M21,M42,M64,M86)</x:f>
        <x:v>1.0767107326650731</x:v>
      </x:c>
      <x:c r="J2448" s="8" t="n">
        <x:v>1</x:v>
      </x:c>
      <x:c r="K2448" s="8" t="n">
        <x:f>H2448-I2448*J2448</x:f>
        <x:v>2.802481352330716</x:v>
      </x:c>
      <x:c r="L2448" s="8" t="n">
        <x:f>'PG facts'!D97</x:f>
        <x:v>3</x:v>
      </x:c>
      <x:c r="M2448" s="8" t="n">
        <x:f>K2448-L2448</x:f>
        <x:v>-0.19751864766928406</x:v>
      </x:c>
      <x:c r="N2448" s="8" t="n">
        <x:f>M2448^2</x:f>
        <x:v>0.03901361617710278</x:v>
      </x:c>
      <x:c r="O2448" s="8" t="n">
        <x:f>ABS(M2448)</x:f>
        <x:v>0.19751864766928406</x:v>
      </x:c>
      <x:c r="P2448" s="7" t="n">
        <x:v>45503</x:v>
      </x:c>
    </x:row>
    <x:row r="2449" ht="26" customHeight="1">
      <x:c r="A2449" s="2"/>
      <x:c r="B2449" s="2" t="n">
        <x:v>2444</x:v>
      </x:c>
      <x:c r="C2449" s="2" t="str">
        <x:v>Beauty / price_contribution</x:v>
      </x:c>
      <x:c r="D2449" s="7" t="n">
        <x:v>45473</x:v>
      </x:c>
      <x:c r="E2449" s="2" t="str">
        <x:v>Pre-earnings</x:v>
      </x:c>
      <x:c r="F2449" s="7" t="n">
        <x:v>45502</x:v>
      </x:c>
      <x:c r="G2449" s="2" t="str">
        <x:v>Half correction</x:v>
      </x:c>
      <x:c r="H2449" s="8" t="n">
        <x:f>K109</x:f>
        <x:v>3.879192084995789</x:v>
      </x:c>
      <x:c r="I2449" s="8" t="n">
        <x:f>AVERAGE(M21,M42,M64,M86)</x:f>
        <x:v>1.0767107326650731</x:v>
      </x:c>
      <x:c r="J2449" s="8" t="n">
        <x:v>0.5</x:v>
      </x:c>
      <x:c r="K2449" s="8" t="n">
        <x:f>H2449-I2449*J2449</x:f>
        <x:v>3.3408367186632524</x:v>
      </x:c>
      <x:c r="L2449" s="8" t="n">
        <x:f>'PG facts'!D97</x:f>
        <x:v>3</x:v>
      </x:c>
      <x:c r="M2449" s="8" t="n">
        <x:f>K2449-L2449</x:f>
        <x:v>0.3408367186632524</x:v>
      </x:c>
      <x:c r="N2449" s="8" t="n">
        <x:f>M2449^2</x:f>
        <x:v>0.11616966878913305</x:v>
      </x:c>
      <x:c r="O2449" s="8" t="n">
        <x:f>ABS(M2449)</x:f>
        <x:v>0.3408367186632524</x:v>
      </x:c>
      <x:c r="P2449" s="7" t="n">
        <x:v>45503</x:v>
      </x:c>
    </x:row>
    <x:row r="2450" ht="26" customHeight="1">
      <x:c r="A2450" s="2"/>
      <x:c r="B2450" s="2" t="n">
        <x:v>2445</x:v>
      </x:c>
      <x:c r="C2450" s="2" t="str">
        <x:v>Beauty / price_contribution</x:v>
      </x:c>
      <x:c r="D2450" s="7" t="n">
        <x:v>45565</x:v>
      </x:c>
      <x:c r="E2450" s="2" t="str">
        <x:v>Origin</x:v>
      </x:c>
      <x:c r="F2450" s="7" t="n">
        <x:v>45474</x:v>
      </x:c>
      <x:c r="G2450" s="2" t="str">
        <x:v>Bias correction</x:v>
      </x:c>
      <x:c r="H2450" s="8" t="n">
        <x:f>K118</x:f>
        <x:v>4.478897573532703</x:v>
      </x:c>
      <x:c r="I2450" s="8" t="n">
        <x:f>AVERAGE(M8,M29,M50,M72)</x:f>
        <x:v>2.0919322811857013</x:v>
      </x:c>
      <x:c r="J2450" s="8" t="n">
        <x:v>1</x:v>
      </x:c>
      <x:c r="K2450" s="8" t="n">
        <x:f>H2450-I2450*J2450</x:f>
        <x:v>2.3869652923470017</x:v>
      </x:c>
      <x:c r="L2450" s="8" t="n">
        <x:f>'PG facts'!D104</x:f>
        <x:v>1</x:v>
      </x:c>
      <x:c r="M2450" s="8" t="n">
        <x:f>K2450-L2450</x:f>
        <x:v>1.3869652923470017</x:v>
      </x:c>
      <x:c r="N2450" s="8" t="n">
        <x:f>M2450^2</x:f>
        <x:v>1.923672722175204</x:v>
      </x:c>
      <x:c r="O2450" s="8" t="n">
        <x:f>ABS(M2450)</x:f>
        <x:v>1.3869652923470017</x:v>
      </x:c>
      <x:c r="P2450" s="7" t="n">
        <x:v>45583</x:v>
      </x:c>
    </x:row>
    <x:row r="2451" ht="26" customHeight="1">
      <x:c r="A2451" s="2"/>
      <x:c r="B2451" s="2" t="n">
        <x:v>2446</x:v>
      </x:c>
      <x:c r="C2451" s="2" t="str">
        <x:v>Beauty / price_contribution</x:v>
      </x:c>
      <x:c r="D2451" s="7" t="n">
        <x:v>45565</x:v>
      </x:c>
      <x:c r="E2451" s="2" t="str">
        <x:v>Origin</x:v>
      </x:c>
      <x:c r="F2451" s="7" t="n">
        <x:v>45474</x:v>
      </x:c>
      <x:c r="G2451" s="2" t="str">
        <x:v>Half correction</x:v>
      </x:c>
      <x:c r="H2451" s="8" t="n">
        <x:f>K118</x:f>
        <x:v>4.478897573532703</x:v>
      </x:c>
      <x:c r="I2451" s="8" t="n">
        <x:f>AVERAGE(M8,M29,M50,M72)</x:f>
        <x:v>2.0919322811857013</x:v>
      </x:c>
      <x:c r="J2451" s="8" t="n">
        <x:v>0.5</x:v>
      </x:c>
      <x:c r="K2451" s="8" t="n">
        <x:f>H2451-I2451*J2451</x:f>
        <x:v>3.4329314329398524</x:v>
      </x:c>
      <x:c r="L2451" s="8" t="n">
        <x:f>'PG facts'!D104</x:f>
        <x:v>1</x:v>
      </x:c>
      <x:c r="M2451" s="8" t="n">
        <x:f>K2451-L2451</x:f>
        <x:v>2.4329314329398524</x:v>
      </x:c>
      <x:c r="N2451" s="8" t="n">
        <x:f>M2451^2</x:f>
        <x:v>5.919155357386764</x:v>
      </x:c>
      <x:c r="O2451" s="8" t="n">
        <x:f>ABS(M2451)</x:f>
        <x:v>2.4329314329398524</x:v>
      </x:c>
      <x:c r="P2451" s="7" t="n">
        <x:v>45583</x:v>
      </x:c>
    </x:row>
    <x:row r="2452" ht="26" customHeight="1">
      <x:c r="A2452" s="2"/>
      <x:c r="B2452" s="2" t="n">
        <x:v>2447</x:v>
      </x:c>
      <x:c r="C2452" s="2" t="str">
        <x:v>Beauty / price_contribution</x:v>
      </x:c>
      <x:c r="D2452" s="7" t="n">
        <x:v>45565</x:v>
      </x:c>
      <x:c r="E2452" s="2" t="str">
        <x:v>Prior report</x:v>
      </x:c>
      <x:c r="F2452" s="7" t="n">
        <x:v>45503</x:v>
      </x:c>
      <x:c r="G2452" s="2" t="str">
        <x:v>Bias correction</x:v>
      </x:c>
      <x:c r="H2452" s="8" t="n">
        <x:f>K124</x:f>
        <x:v>3.800015665057291</x:v>
      </x:c>
      <x:c r="I2452" s="8" t="n">
        <x:f>AVERAGE(M34,M56,M78,M100)</x:f>
        <x:v>2.2110077832618185</x:v>
      </x:c>
      <x:c r="J2452" s="8" t="n">
        <x:v>1</x:v>
      </x:c>
      <x:c r="K2452" s="8" t="n">
        <x:f>H2452-I2452*J2452</x:f>
        <x:v>1.5890078817954727</x:v>
      </x:c>
      <x:c r="L2452" s="8" t="n">
        <x:f>'PG facts'!D104</x:f>
        <x:v>1</x:v>
      </x:c>
      <x:c r="M2452" s="8" t="n">
        <x:f>K2452-L2452</x:f>
        <x:v>0.5890078817954727</x:v>
      </x:c>
      <x:c r="N2452" s="8" t="n">
        <x:f>M2452^2</x:f>
        <x:v>0.3469302848171895</x:v>
      </x:c>
      <x:c r="O2452" s="8" t="n">
        <x:f>ABS(M2452)</x:f>
        <x:v>0.5890078817954727</x:v>
      </x:c>
      <x:c r="P2452" s="7" t="n">
        <x:v>45583</x:v>
      </x:c>
    </x:row>
    <x:row r="2453" ht="26" customHeight="1">
      <x:c r="A2453" s="2"/>
      <x:c r="B2453" s="2" t="n">
        <x:v>2448</x:v>
      </x:c>
      <x:c r="C2453" s="2" t="str">
        <x:v>Beauty / price_contribution</x:v>
      </x:c>
      <x:c r="D2453" s="7" t="n">
        <x:v>45565</x:v>
      </x:c>
      <x:c r="E2453" s="2" t="str">
        <x:v>Prior report</x:v>
      </x:c>
      <x:c r="F2453" s="7" t="n">
        <x:v>45503</x:v>
      </x:c>
      <x:c r="G2453" s="2" t="str">
        <x:v>Half correction</x:v>
      </x:c>
      <x:c r="H2453" s="8" t="n">
        <x:f>K124</x:f>
        <x:v>3.800015665057291</x:v>
      </x:c>
      <x:c r="I2453" s="8" t="n">
        <x:f>AVERAGE(M34,M56,M78,M100)</x:f>
        <x:v>2.2110077832618185</x:v>
      </x:c>
      <x:c r="J2453" s="8" t="n">
        <x:v>0.5</x:v>
      </x:c>
      <x:c r="K2453" s="8" t="n">
        <x:f>H2453-I2453*J2453</x:f>
        <x:v>2.694511773426382</x:v>
      </x:c>
      <x:c r="L2453" s="8" t="n">
        <x:f>'PG facts'!D104</x:f>
        <x:v>1</x:v>
      </x:c>
      <x:c r="M2453" s="8" t="n">
        <x:f>K2453-L2453</x:f>
        <x:v>1.694511773426382</x:v>
      </x:c>
      <x:c r="N2453" s="8" t="n">
        <x:f>M2453^2</x:f>
        <x:v>2.871370150280622</x:v>
      </x:c>
      <x:c r="O2453" s="8" t="n">
        <x:f>ABS(M2453)</x:f>
        <x:v>1.694511773426382</x:v>
      </x:c>
      <x:c r="P2453" s="7" t="n">
        <x:v>45583</x:v>
      </x:c>
    </x:row>
    <x:row r="2454" ht="26" customHeight="1">
      <x:c r="A2454" s="2"/>
      <x:c r="B2454" s="2" t="n">
        <x:v>2449</x:v>
      </x:c>
      <x:c r="C2454" s="2" t="str">
        <x:v>Beauty / price_contribution</x:v>
      </x:c>
      <x:c r="D2454" s="7" t="n">
        <x:v>45565</x:v>
      </x:c>
      <x:c r="E2454" s="2" t="str">
        <x:v>Pre-earnings</x:v>
      </x:c>
      <x:c r="F2454" s="7" t="n">
        <x:v>45582</x:v>
      </x:c>
      <x:c r="G2454" s="2" t="str">
        <x:v>Bias correction</x:v>
      </x:c>
      <x:c r="H2454" s="8" t="n">
        <x:f>K133</x:f>
        <x:v>2.8087919483691506</x:v>
      </x:c>
      <x:c r="I2454" s="8" t="n">
        <x:f>AVERAGE(M42,M64,M86,M109)</x:f>
        <x:v>1.1671219006621905</x:v>
      </x:c>
      <x:c r="J2454" s="8" t="n">
        <x:v>1</x:v>
      </x:c>
      <x:c r="K2454" s="8" t="n">
        <x:f>H2454-I2454*J2454</x:f>
        <x:v>1.6416700477069601</x:v>
      </x:c>
      <x:c r="L2454" s="8" t="n">
        <x:f>'PG facts'!D104</x:f>
        <x:v>1</x:v>
      </x:c>
      <x:c r="M2454" s="8" t="n">
        <x:f>K2454-L2454</x:f>
        <x:v>0.6416700477069601</x:v>
      </x:c>
      <x:c r="N2454" s="8" t="n">
        <x:f>M2454^2</x:f>
        <x:v>0.4117404501242525</x:v>
      </x:c>
      <x:c r="O2454" s="8" t="n">
        <x:f>ABS(M2454)</x:f>
        <x:v>0.6416700477069601</x:v>
      </x:c>
      <x:c r="P2454" s="7" t="n">
        <x:v>45583</x:v>
      </x:c>
    </x:row>
    <x:row r="2455" ht="26" customHeight="1">
      <x:c r="A2455" s="2"/>
      <x:c r="B2455" s="2" t="n">
        <x:v>2450</x:v>
      </x:c>
      <x:c r="C2455" s="2" t="str">
        <x:v>Beauty / price_contribution</x:v>
      </x:c>
      <x:c r="D2455" s="7" t="n">
        <x:v>45565</x:v>
      </x:c>
      <x:c r="E2455" s="2" t="str">
        <x:v>Pre-earnings</x:v>
      </x:c>
      <x:c r="F2455" s="7" t="n">
        <x:v>45582</x:v>
      </x:c>
      <x:c r="G2455" s="2" t="str">
        <x:v>Half correction</x:v>
      </x:c>
      <x:c r="H2455" s="8" t="n">
        <x:f>K133</x:f>
        <x:v>2.8087919483691506</x:v>
      </x:c>
      <x:c r="I2455" s="8" t="n">
        <x:f>AVERAGE(M42,M64,M86,M109)</x:f>
        <x:v>1.1671219006621905</x:v>
      </x:c>
      <x:c r="J2455" s="8" t="n">
        <x:v>0.5</x:v>
      </x:c>
      <x:c r="K2455" s="8" t="n">
        <x:f>H2455-I2455*J2455</x:f>
        <x:v>2.2252309980380556</x:v>
      </x:c>
      <x:c r="L2455" s="8" t="n">
        <x:f>'PG facts'!D104</x:f>
        <x:v>1</x:v>
      </x:c>
      <x:c r="M2455" s="8" t="n">
        <x:f>K2455-L2455</x:f>
        <x:v>1.2252309980380556</x:v>
      </x:c>
      <x:c r="N2455" s="8" t="n">
        <x:f>M2455^2</x:f>
        <x:v>1.5011909985533298</x:v>
      </x:c>
      <x:c r="O2455" s="8" t="n">
        <x:f>ABS(M2455)</x:f>
        <x:v>1.2252309980380556</x:v>
      </x:c>
      <x:c r="P2455" s="7" t="n">
        <x:v>45583</x:v>
      </x:c>
    </x:row>
    <x:row r="2456" ht="26" customHeight="1">
      <x:c r="A2456" s="2"/>
      <x:c r="B2456" s="2" t="n">
        <x:v>2451</x:v>
      </x:c>
      <x:c r="C2456" s="2" t="str">
        <x:v>Beauty / price_contribution</x:v>
      </x:c>
      <x:c r="D2456" s="7" t="n">
        <x:v>45657</x:v>
      </x:c>
      <x:c r="E2456" s="2" t="str">
        <x:v>Origin</x:v>
      </x:c>
      <x:c r="F2456" s="7" t="n">
        <x:v>45566</x:v>
      </x:c>
      <x:c r="G2456" s="2" t="str">
        <x:v>Bias correction</x:v>
      </x:c>
      <x:c r="H2456" s="8" t="n">
        <x:f>K142</x:f>
        <x:v>3.0394924254080866</x:v>
      </x:c>
      <x:c r="I2456" s="8" t="n">
        <x:f>AVERAGE(M29,M50,M72,M94)</x:f>
        <x:v>2.530292645909879</x:v>
      </x:c>
      <x:c r="J2456" s="8" t="n">
        <x:v>1</x:v>
      </x:c>
      <x:c r="K2456" s="8" t="n">
        <x:f>H2456-I2456*J2456</x:f>
        <x:v>0.5091997794982075</x:v>
      </x:c>
      <x:c r="L2456" s="8" t="n">
        <x:f>'PG facts'!D111</x:f>
        <x:v>2</x:v>
      </x:c>
      <x:c r="M2456" s="8" t="n">
        <x:f>K2456-L2456</x:f>
        <x:v>-1.4908002205017925</x:v>
      </x:c>
      <x:c r="N2456" s="8" t="n">
        <x:f>M2456^2</x:f>
        <x:v>2.222485297448193</x:v>
      </x:c>
      <x:c r="O2456" s="8" t="n">
        <x:f>ABS(M2456)</x:f>
        <x:v>1.4908002205017925</x:v>
      </x:c>
      <x:c r="P2456" s="7" t="n">
        <x:v>45679</x:v>
      </x:c>
    </x:row>
    <x:row r="2457" ht="26" customHeight="1">
      <x:c r="A2457" s="2"/>
      <x:c r="B2457" s="2" t="n">
        <x:v>2452</x:v>
      </x:c>
      <x:c r="C2457" s="2" t="str">
        <x:v>Beauty / price_contribution</x:v>
      </x:c>
      <x:c r="D2457" s="7" t="n">
        <x:v>45657</x:v>
      </x:c>
      <x:c r="E2457" s="2" t="str">
        <x:v>Origin</x:v>
      </x:c>
      <x:c r="F2457" s="7" t="n">
        <x:v>45566</x:v>
      </x:c>
      <x:c r="G2457" s="2" t="str">
        <x:v>Half correction</x:v>
      </x:c>
      <x:c r="H2457" s="8" t="n">
        <x:f>K142</x:f>
        <x:v>3.0394924254080866</x:v>
      </x:c>
      <x:c r="I2457" s="8" t="n">
        <x:f>AVERAGE(M29,M50,M72,M94)</x:f>
        <x:v>2.530292645909879</x:v>
      </x:c>
      <x:c r="J2457" s="8" t="n">
        <x:v>0.5</x:v>
      </x:c>
      <x:c r="K2457" s="8" t="n">
        <x:f>H2457-I2457*J2457</x:f>
        <x:v>1.774346102453147</x:v>
      </x:c>
      <x:c r="L2457" s="8" t="n">
        <x:f>'PG facts'!D111</x:f>
        <x:v>2</x:v>
      </x:c>
      <x:c r="M2457" s="8" t="n">
        <x:f>K2457-L2457</x:f>
        <x:v>-0.22565389754685294</x:v>
      </x:c>
      <x:c r="N2457" s="8" t="n">
        <x:f>M2457^2</x:f>
        <x:v>0.05091968147808561</x:v>
      </x:c>
      <x:c r="O2457" s="8" t="n">
        <x:f>ABS(M2457)</x:f>
        <x:v>0.22565389754685294</x:v>
      </x:c>
      <x:c r="P2457" s="7" t="n">
        <x:v>45679</x:v>
      </x:c>
    </x:row>
    <x:row r="2458" ht="26" customHeight="1">
      <x:c r="A2458" s="2"/>
      <x:c r="B2458" s="2" t="n">
        <x:v>2453</x:v>
      </x:c>
      <x:c r="C2458" s="2" t="str">
        <x:v>Beauty / price_contribution</x:v>
      </x:c>
      <x:c r="D2458" s="7" t="n">
        <x:v>45657</x:v>
      </x:c>
      <x:c r="E2458" s="2" t="str">
        <x:v>Prior report</x:v>
      </x:c>
      <x:c r="F2458" s="7" t="n">
        <x:v>45583</x:v>
      </x:c>
      <x:c r="G2458" s="2" t="str">
        <x:v>Bias correction</x:v>
      </x:c>
      <x:c r="H2458" s="8" t="n">
        <x:f>K149</x:f>
        <x:v>2.582105594457661</x:v>
      </x:c>
      <x:c r="I2458" s="8" t="n">
        <x:f>AVERAGE(M56,M78,M100,M124)</x:f>
        <x:v>2.5653864313056833</x:v>
      </x:c>
      <x:c r="J2458" s="8" t="n">
        <x:v>1</x:v>
      </x:c>
      <x:c r="K2458" s="8" t="n">
        <x:f>H2458-I2458*J2458</x:f>
        <x:v>0.016719163151977856</x:v>
      </x:c>
      <x:c r="L2458" s="8" t="n">
        <x:f>'PG facts'!D111</x:f>
        <x:v>2</x:v>
      </x:c>
      <x:c r="M2458" s="8" t="n">
        <x:f>K2458-L2458</x:f>
        <x:v>-1.9832808368480221</x:v>
      </x:c>
      <x:c r="N2458" s="8" t="n">
        <x:f>M2458^2</x:f>
        <x:v>3.933402877808591</x:v>
      </x:c>
      <x:c r="O2458" s="8" t="n">
        <x:f>ABS(M2458)</x:f>
        <x:v>1.9832808368480221</x:v>
      </x:c>
      <x:c r="P2458" s="7" t="n">
        <x:v>45679</x:v>
      </x:c>
    </x:row>
    <x:row r="2459" ht="26" customHeight="1">
      <x:c r="A2459" s="2"/>
      <x:c r="B2459" s="2" t="n">
        <x:v>2454</x:v>
      </x:c>
      <x:c r="C2459" s="2" t="str">
        <x:v>Beauty / price_contribution</x:v>
      </x:c>
      <x:c r="D2459" s="7" t="n">
        <x:v>45657</x:v>
      </x:c>
      <x:c r="E2459" s="2" t="str">
        <x:v>Prior report</x:v>
      </x:c>
      <x:c r="F2459" s="7" t="n">
        <x:v>45583</x:v>
      </x:c>
      <x:c r="G2459" s="2" t="str">
        <x:v>Half correction</x:v>
      </x:c>
      <x:c r="H2459" s="8" t="n">
        <x:f>K149</x:f>
        <x:v>2.582105594457661</x:v>
      </x:c>
      <x:c r="I2459" s="8" t="n">
        <x:f>AVERAGE(M56,M78,M100,M124)</x:f>
        <x:v>2.5653864313056833</x:v>
      </x:c>
      <x:c r="J2459" s="8" t="n">
        <x:v>0.5</x:v>
      </x:c>
      <x:c r="K2459" s="8" t="n">
        <x:f>H2459-I2459*J2459</x:f>
        <x:v>1.2994123788048195</x:v>
      </x:c>
      <x:c r="L2459" s="8" t="n">
        <x:f>'PG facts'!D111</x:f>
        <x:v>2</x:v>
      </x:c>
      <x:c r="M2459" s="8" t="n">
        <x:f>K2459-L2459</x:f>
        <x:v>-0.7005876211951805</x:v>
      </x:c>
      <x:c r="N2459" s="8" t="n">
        <x:f>M2459^2</x:f>
        <x:v>0.4908230149719217</x:v>
      </x:c>
      <x:c r="O2459" s="8" t="n">
        <x:f>ABS(M2459)</x:f>
        <x:v>0.7005876211951805</x:v>
      </x:c>
      <x:c r="P2459" s="7" t="n">
        <x:v>45679</x:v>
      </x:c>
    </x:row>
    <x:row r="2460" ht="26" customHeight="1">
      <x:c r="A2460" s="2"/>
      <x:c r="B2460" s="2" t="n">
        <x:v>2455</x:v>
      </x:c>
      <x:c r="C2460" s="2" t="str">
        <x:v>Beauty / price_contribution</x:v>
      </x:c>
      <x:c r="D2460" s="7" t="n">
        <x:v>45657</x:v>
      </x:c>
      <x:c r="E2460" s="2" t="str">
        <x:v>Pre-earnings</x:v>
      </x:c>
      <x:c r="F2460" s="7" t="n">
        <x:v>45678</x:v>
      </x:c>
      <x:c r="G2460" s="2" t="str">
        <x:v>Bias correction</x:v>
      </x:c>
      <x:c r="H2460" s="8" t="n">
        <x:f>K158</x:f>
        <x:v>2.555361096877106</x:v>
      </x:c>
      <x:c r="I2460" s="8" t="n">
        <x:f>AVERAGE(M64,M86,M109,M133)</x:f>
        <x:v>1.5804311422269965</x:v>
      </x:c>
      <x:c r="J2460" s="8" t="n">
        <x:v>1</x:v>
      </x:c>
      <x:c r="K2460" s="8" t="n">
        <x:f>H2460-I2460*J2460</x:f>
        <x:v>0.9749299546501093</x:v>
      </x:c>
      <x:c r="L2460" s="8" t="n">
        <x:f>'PG facts'!D111</x:f>
        <x:v>2</x:v>
      </x:c>
      <x:c r="M2460" s="8" t="n">
        <x:f>K2460-L2460</x:f>
        <x:v>-1.0250700453498907</x:v>
      </x:c>
      <x:c r="N2460" s="8" t="n">
        <x:f>M2460^2</x:f>
        <x:v>1.050768597873627</x:v>
      </x:c>
      <x:c r="O2460" s="8" t="n">
        <x:f>ABS(M2460)</x:f>
        <x:v>1.0250700453498907</x:v>
      </x:c>
      <x:c r="P2460" s="7" t="n">
        <x:v>45679</x:v>
      </x:c>
    </x:row>
    <x:row r="2461" ht="26" customHeight="1">
      <x:c r="A2461" s="2"/>
      <x:c r="B2461" s="2" t="n">
        <x:v>2456</x:v>
      </x:c>
      <x:c r="C2461" s="2" t="str">
        <x:v>Beauty / price_contribution</x:v>
      </x:c>
      <x:c r="D2461" s="7" t="n">
        <x:v>45657</x:v>
      </x:c>
      <x:c r="E2461" s="2" t="str">
        <x:v>Pre-earnings</x:v>
      </x:c>
      <x:c r="F2461" s="7" t="n">
        <x:v>45678</x:v>
      </x:c>
      <x:c r="G2461" s="2" t="str">
        <x:v>Half correction</x:v>
      </x:c>
      <x:c r="H2461" s="8" t="n">
        <x:f>K158</x:f>
        <x:v>2.555361096877106</x:v>
      </x:c>
      <x:c r="I2461" s="8" t="n">
        <x:f>AVERAGE(M64,M86,M109,M133)</x:f>
        <x:v>1.5804311422269965</x:v>
      </x:c>
      <x:c r="J2461" s="8" t="n">
        <x:v>0.5</x:v>
      </x:c>
      <x:c r="K2461" s="8" t="n">
        <x:f>H2461-I2461*J2461</x:f>
        <x:v>1.7651455257636077</x:v>
      </x:c>
      <x:c r="L2461" s="8" t="n">
        <x:f>'PG facts'!D111</x:f>
        <x:v>2</x:v>
      </x:c>
      <x:c r="M2461" s="8" t="n">
        <x:f>K2461-L2461</x:f>
        <x:v>-0.23485447423639227</x:v>
      </x:c>
      <x:c r="N2461" s="8" t="n">
        <x:f>M2461^2</x:f>
        <x:v>0.055156624068852245</x:v>
      </x:c>
      <x:c r="O2461" s="8" t="n">
        <x:f>ABS(M2461)</x:f>
        <x:v>0.23485447423639227</x:v>
      </x:c>
      <x:c r="P2461" s="7" t="n">
        <x:v>45679</x:v>
      </x:c>
    </x:row>
    <x:row r="2462" ht="26" customHeight="1">
      <x:c r="A2462" s="2"/>
      <x:c r="B2462" s="2" t="n">
        <x:v>2457</x:v>
      </x:c>
      <x:c r="C2462" s="2" t="str">
        <x:v>Beauty / price_contribution</x:v>
      </x:c>
      <x:c r="D2462" s="7" t="n">
        <x:v>45747</x:v>
      </x:c>
      <x:c r="E2462" s="2" t="str">
        <x:v>Origin</x:v>
      </x:c>
      <x:c r="F2462" s="7" t="n">
        <x:v>45658</x:v>
      </x:c>
      <x:c r="G2462" s="2" t="str">
        <x:v>Bias correction</x:v>
      </x:c>
      <x:c r="H2462" s="8" t="n">
        <x:f>K167</x:f>
        <x:v>2.454823426996117</x:v>
      </x:c>
      <x:c r="I2462" s="8" t="n">
        <x:f>AVERAGE(M50,M72,M94,M118)</x:f>
        <x:v>3.0500504077396213</x:v>
      </x:c>
      <x:c r="J2462" s="8" t="n">
        <x:v>1</x:v>
      </x:c>
      <x:c r="K2462" s="8" t="n">
        <x:f>H2462-I2462*J2462</x:f>
        <x:v>-0.5952269807435044</x:v>
      </x:c>
      <x:c r="L2462" s="8" t="n">
        <x:f>'PG facts'!D118</x:f>
        <x:v>3</x:v>
      </x:c>
      <x:c r="M2462" s="8" t="n">
        <x:f>K2462-L2462</x:f>
        <x:v>-3.5952269807435044</x:v>
      </x:c>
      <x:c r="N2462" s="8" t="n">
        <x:f>M2462^2</x:f>
        <x:v>12.925657043066055</x:v>
      </x:c>
      <x:c r="O2462" s="8" t="n">
        <x:f>ABS(M2462)</x:f>
        <x:v>3.5952269807435044</x:v>
      </x:c>
      <x:c r="P2462" s="7" t="n">
        <x:v>45771</x:v>
      </x:c>
    </x:row>
    <x:row r="2463" ht="26" customHeight="1">
      <x:c r="A2463" s="2"/>
      <x:c r="B2463" s="2" t="n">
        <x:v>2458</x:v>
      </x:c>
      <x:c r="C2463" s="2" t="str">
        <x:v>Beauty / price_contribution</x:v>
      </x:c>
      <x:c r="D2463" s="7" t="n">
        <x:v>45747</x:v>
      </x:c>
      <x:c r="E2463" s="2" t="str">
        <x:v>Origin</x:v>
      </x:c>
      <x:c r="F2463" s="7" t="n">
        <x:v>45658</x:v>
      </x:c>
      <x:c r="G2463" s="2" t="str">
        <x:v>Half correction</x:v>
      </x:c>
      <x:c r="H2463" s="8" t="n">
        <x:f>K167</x:f>
        <x:v>2.454823426996117</x:v>
      </x:c>
      <x:c r="I2463" s="8" t="n">
        <x:f>AVERAGE(M50,M72,M94,M118)</x:f>
        <x:v>3.0500504077396213</x:v>
      </x:c>
      <x:c r="J2463" s="8" t="n">
        <x:v>0.5</x:v>
      </x:c>
      <x:c r="K2463" s="8" t="n">
        <x:f>H2463-I2463*J2463</x:f>
        <x:v>0.9297982231263062</x:v>
      </x:c>
      <x:c r="L2463" s="8" t="n">
        <x:f>'PG facts'!D118</x:f>
        <x:v>3</x:v>
      </x:c>
      <x:c r="M2463" s="8" t="n">
        <x:f>K2463-L2463</x:f>
        <x:v>-2.0702017768736938</x:v>
      </x:c>
      <x:c r="N2463" s="8" t="n">
        <x:f>M2463^2</x:f>
        <x:v>4.285735396970999</x:v>
      </x:c>
      <x:c r="O2463" s="8" t="n">
        <x:f>ABS(M2463)</x:f>
        <x:v>2.0702017768736938</x:v>
      </x:c>
      <x:c r="P2463" s="7" t="n">
        <x:v>45771</x:v>
      </x:c>
    </x:row>
    <x:row r="2464" ht="26" customHeight="1">
      <x:c r="A2464" s="2"/>
      <x:c r="B2464" s="2" t="n">
        <x:v>2459</x:v>
      </x:c>
      <x:c r="C2464" s="2" t="str">
        <x:v>Beauty / price_contribution</x:v>
      </x:c>
      <x:c r="D2464" s="7" t="n">
        <x:v>45747</x:v>
      </x:c>
      <x:c r="E2464" s="2" t="str">
        <x:v>Prior report</x:v>
      </x:c>
      <x:c r="F2464" s="7" t="n">
        <x:v>45679</x:v>
      </x:c>
      <x:c r="G2464" s="2" t="str">
        <x:v>Bias correction</x:v>
      </x:c>
      <x:c r="H2464" s="8" t="n">
        <x:f>K174</x:f>
        <x:v>2.4938075863758336</x:v>
      </x:c>
      <x:c r="I2464" s="8" t="n">
        <x:f>AVERAGE(M78,M100,M124,M149)</x:f>
        <x:v>1.9264879427234478</x:v>
      </x:c>
      <x:c r="J2464" s="8" t="n">
        <x:v>1</x:v>
      </x:c>
      <x:c r="K2464" s="8" t="n">
        <x:f>H2464-I2464*J2464</x:f>
        <x:v>0.5673196436523857</x:v>
      </x:c>
      <x:c r="L2464" s="8" t="n">
        <x:f>'PG facts'!D118</x:f>
        <x:v>3</x:v>
      </x:c>
      <x:c r="M2464" s="8" t="n">
        <x:f>K2464-L2464</x:f>
        <x:v>-2.432680356347614</x:v>
      </x:c>
      <x:c r="N2464" s="8" t="n">
        <x:f>M2464^2</x:f>
        <x:v>5.917933716159554</x:v>
      </x:c>
      <x:c r="O2464" s="8" t="n">
        <x:f>ABS(M2464)</x:f>
        <x:v>2.432680356347614</x:v>
      </x:c>
      <x:c r="P2464" s="7" t="n">
        <x:v>45771</x:v>
      </x:c>
    </x:row>
    <x:row r="2465" ht="26" customHeight="1">
      <x:c r="A2465" s="2"/>
      <x:c r="B2465" s="2" t="n">
        <x:v>2460</x:v>
      </x:c>
      <x:c r="C2465" s="2" t="str">
        <x:v>Beauty / price_contribution</x:v>
      </x:c>
      <x:c r="D2465" s="7" t="n">
        <x:v>45747</x:v>
      </x:c>
      <x:c r="E2465" s="2" t="str">
        <x:v>Prior report</x:v>
      </x:c>
      <x:c r="F2465" s="7" t="n">
        <x:v>45679</x:v>
      </x:c>
      <x:c r="G2465" s="2" t="str">
        <x:v>Half correction</x:v>
      </x:c>
      <x:c r="H2465" s="8" t="n">
        <x:f>K174</x:f>
        <x:v>2.4938075863758336</x:v>
      </x:c>
      <x:c r="I2465" s="8" t="n">
        <x:f>AVERAGE(M78,M100,M124,M149)</x:f>
        <x:v>1.9264879427234478</x:v>
      </x:c>
      <x:c r="J2465" s="8" t="n">
        <x:v>0.5</x:v>
      </x:c>
      <x:c r="K2465" s="8" t="n">
        <x:f>H2465-I2465*J2465</x:f>
        <x:v>1.5305636150141098</x:v>
      </x:c>
      <x:c r="L2465" s="8" t="n">
        <x:f>'PG facts'!D118</x:f>
        <x:v>3</x:v>
      </x:c>
      <x:c r="M2465" s="8" t="n">
        <x:f>K2465-L2465</x:f>
        <x:v>-1.4694363849858902</x:v>
      </x:c>
      <x:c r="N2465" s="8" t="n">
        <x:f>M2465^2</x:f>
        <x:v>2.1592432895204015</x:v>
      </x:c>
      <x:c r="O2465" s="8" t="n">
        <x:f>ABS(M2465)</x:f>
        <x:v>1.4694363849858902</x:v>
      </x:c>
      <x:c r="P2465" s="7" t="n">
        <x:v>45771</x:v>
      </x:c>
    </x:row>
    <x:row r="2466" ht="26" customHeight="1">
      <x:c r="A2466" s="2"/>
      <x:c r="B2466" s="2" t="n">
        <x:v>2461</x:v>
      </x:c>
      <x:c r="C2466" s="2" t="str">
        <x:v>Beauty / price_contribution</x:v>
      </x:c>
      <x:c r="D2466" s="7" t="n">
        <x:v>45747</x:v>
      </x:c>
      <x:c r="E2466" s="2" t="str">
        <x:v>Pre-earnings</x:v>
      </x:c>
      <x:c r="F2466" s="7" t="n">
        <x:v>45770</x:v>
      </x:c>
      <x:c r="G2466" s="2" t="str">
        <x:v>Bias correction</x:v>
      </x:c>
      <x:c r="H2466" s="8" t="n">
        <x:f>K183</x:f>
        <x:v>2.4062558130536202</x:v>
      </x:c>
      <x:c r="I2466" s="8" t="n">
        <x:f>AVERAGE(M86,M109,M133,M158)</x:f>
        <x:v>1.1859363813483403</x:v>
      </x:c>
      <x:c r="J2466" s="8" t="n">
        <x:v>1</x:v>
      </x:c>
      <x:c r="K2466" s="8" t="n">
        <x:f>H2466-I2466*J2466</x:f>
        <x:v>1.22031943170528</x:v>
      </x:c>
      <x:c r="L2466" s="8" t="n">
        <x:f>'PG facts'!D118</x:f>
        <x:v>3</x:v>
      </x:c>
      <x:c r="M2466" s="8" t="n">
        <x:f>K2466-L2466</x:f>
        <x:v>-1.77968056829472</x:v>
      </x:c>
      <x:c r="N2466" s="8" t="n">
        <x:f>M2466^2</x:f>
        <x:v>3.1672629251658178</x:v>
      </x:c>
      <x:c r="O2466" s="8" t="n">
        <x:f>ABS(M2466)</x:f>
        <x:v>1.77968056829472</x:v>
      </x:c>
      <x:c r="P2466" s="7" t="n">
        <x:v>45771</x:v>
      </x:c>
    </x:row>
    <x:row r="2467" ht="26" customHeight="1">
      <x:c r="A2467" s="2"/>
      <x:c r="B2467" s="2" t="n">
        <x:v>2462</x:v>
      </x:c>
      <x:c r="C2467" s="2" t="str">
        <x:v>Beauty / price_contribution</x:v>
      </x:c>
      <x:c r="D2467" s="7" t="n">
        <x:v>45747</x:v>
      </x:c>
      <x:c r="E2467" s="2" t="str">
        <x:v>Pre-earnings</x:v>
      </x:c>
      <x:c r="F2467" s="7" t="n">
        <x:v>45770</x:v>
      </x:c>
      <x:c r="G2467" s="2" t="str">
        <x:v>Half correction</x:v>
      </x:c>
      <x:c r="H2467" s="8" t="n">
        <x:f>K183</x:f>
        <x:v>2.4062558130536202</x:v>
      </x:c>
      <x:c r="I2467" s="8" t="n">
        <x:f>AVERAGE(M86,M109,M133,M158)</x:f>
        <x:v>1.1859363813483403</x:v>
      </x:c>
      <x:c r="J2467" s="8" t="n">
        <x:v>0.5</x:v>
      </x:c>
      <x:c r="K2467" s="8" t="n">
        <x:f>H2467-I2467*J2467</x:f>
        <x:v>1.81328762237945</x:v>
      </x:c>
      <x:c r="L2467" s="8" t="n">
        <x:f>'PG facts'!D118</x:f>
        <x:v>3</x:v>
      </x:c>
      <x:c r="M2467" s="8" t="n">
        <x:f>K2467-L2467</x:f>
        <x:v>-1.18671237762055</x:v>
      </x:c>
      <x:c r="N2467" s="8" t="n">
        <x:f>M2467^2</x:f>
        <x:v>1.4082862671978187</x:v>
      </x:c>
      <x:c r="O2467" s="8" t="n">
        <x:f>ABS(M2467)</x:f>
        <x:v>1.18671237762055</x:v>
      </x:c>
      <x:c r="P2467" s="7" t="n">
        <x:v>45771</x:v>
      </x:c>
    </x:row>
    <x:row r="2468" ht="26" customHeight="1">
      <x:c r="A2468" s="2"/>
      <x:c r="B2468" s="2" t="n">
        <x:v>2463</x:v>
      </x:c>
      <x:c r="C2468" s="2" t="str">
        <x:v>Beauty / price_contribution</x:v>
      </x:c>
      <x:c r="D2468" s="7" t="n">
        <x:v>45838</x:v>
      </x:c>
      <x:c r="E2468" s="2" t="str">
        <x:v>Origin</x:v>
      </x:c>
      <x:c r="F2468" s="7" t="n">
        <x:v>45748</x:v>
      </x:c>
      <x:c r="G2468" s="2" t="str">
        <x:v>Bias correction</x:v>
      </x:c>
      <x:c r="H2468" s="8" t="n">
        <x:f>K192</x:f>
        <x:v>2.542950842063405</x:v>
      </x:c>
      <x:c r="I2468" s="8" t="n">
        <x:f>AVERAGE(M72,M94,M118,M142)</x:f>
        <x:v>2.3991712127219533</x:v>
      </x:c>
      <x:c r="J2468" s="8" t="n">
        <x:v>1</x:v>
      </x:c>
      <x:c r="K2468" s="8" t="n">
        <x:f>H2468-I2468*J2468</x:f>
        <x:v>0.14377962934145172</x:v>
      </x:c>
      <x:c r="L2468" s="8" t="n">
        <x:f>'PG facts'!D125</x:f>
        <x:v>1</x:v>
      </x:c>
      <x:c r="M2468" s="8" t="n">
        <x:f>K2468-L2468</x:f>
        <x:v>-0.8562203706585483</x:v>
      </x:c>
      <x:c r="N2468" s="8" t="n">
        <x:f>M2468^2</x:f>
        <x:v>0.7331133231306618</x:v>
      </x:c>
      <x:c r="O2468" s="8" t="n">
        <x:f>ABS(M2468)</x:f>
        <x:v>0.8562203706585483</x:v>
      </x:c>
      <x:c r="P2468" s="7" t="n">
        <x:v>45867</x:v>
      </x:c>
    </x:row>
    <x:row r="2469" ht="26" customHeight="1">
      <x:c r="A2469" s="2"/>
      <x:c r="B2469" s="2" t="n">
        <x:v>2464</x:v>
      </x:c>
      <x:c r="C2469" s="2" t="str">
        <x:v>Beauty / price_contribution</x:v>
      </x:c>
      <x:c r="D2469" s="7" t="n">
        <x:v>45838</x:v>
      </x:c>
      <x:c r="E2469" s="2" t="str">
        <x:v>Origin</x:v>
      </x:c>
      <x:c r="F2469" s="7" t="n">
        <x:v>45748</x:v>
      </x:c>
      <x:c r="G2469" s="2" t="str">
        <x:v>Half correction</x:v>
      </x:c>
      <x:c r="H2469" s="8" t="n">
        <x:f>K192</x:f>
        <x:v>2.542950842063405</x:v>
      </x:c>
      <x:c r="I2469" s="8" t="n">
        <x:f>AVERAGE(M72,M94,M118,M142)</x:f>
        <x:v>2.3991712127219533</x:v>
      </x:c>
      <x:c r="J2469" s="8" t="n">
        <x:v>0.5</x:v>
      </x:c>
      <x:c r="K2469" s="8" t="n">
        <x:f>H2469-I2469*J2469</x:f>
        <x:v>1.3433652357024284</x:v>
      </x:c>
      <x:c r="L2469" s="8" t="n">
        <x:f>'PG facts'!D125</x:f>
        <x:v>1</x:v>
      </x:c>
      <x:c r="M2469" s="8" t="n">
        <x:f>K2469-L2469</x:f>
        <x:v>0.3433652357024284</x:v>
      </x:c>
      <x:c r="N2469" s="8" t="n">
        <x:f>M2469^2</x:f>
        <x:v>0.1178996850889842</x:v>
      </x:c>
      <x:c r="O2469" s="8" t="n">
        <x:f>ABS(M2469)</x:f>
        <x:v>0.3433652357024284</x:v>
      </x:c>
      <x:c r="P2469" s="7" t="n">
        <x:v>45867</x:v>
      </x:c>
    </x:row>
    <x:row r="2470" ht="26" customHeight="1">
      <x:c r="A2470" s="2"/>
      <x:c r="B2470" s="2" t="n">
        <x:v>2465</x:v>
      </x:c>
      <x:c r="C2470" s="2" t="str">
        <x:v>Beauty / price_contribution</x:v>
      </x:c>
      <x:c r="D2470" s="7" t="n">
        <x:v>45838</x:v>
      </x:c>
      <x:c r="E2470" s="2" t="str">
        <x:v>Prior report</x:v>
      </x:c>
      <x:c r="F2470" s="7" t="n">
        <x:v>45771</x:v>
      </x:c>
      <x:c r="G2470" s="2" t="str">
        <x:v>Bias correction</x:v>
      </x:c>
      <x:c r="H2470" s="8" t="n">
        <x:f>K199</x:f>
        <x:v>2.4690387021913063</x:v>
      </x:c>
      <x:c r="I2470" s="8" t="n">
        <x:f>AVERAGE(M100,M124,M149,M174)</x:f>
        <x:v>1.3149941205439484</x:v>
      </x:c>
      <x:c r="J2470" s="8" t="n">
        <x:v>1</x:v>
      </x:c>
      <x:c r="K2470" s="8" t="n">
        <x:f>H2470-I2470*J2470</x:f>
        <x:v>1.154044581647358</x:v>
      </x:c>
      <x:c r="L2470" s="8" t="n">
        <x:f>'PG facts'!D125</x:f>
        <x:v>1</x:v>
      </x:c>
      <x:c r="M2470" s="8" t="n">
        <x:f>K2470-L2470</x:f>
        <x:v>0.1540445816473579</x:v>
      </x:c>
      <x:c r="N2470" s="8" t="n">
        <x:f>M2470^2</x:f>
        <x:v>0.023729733134909517</x:v>
      </x:c>
      <x:c r="O2470" s="8" t="n">
        <x:f>ABS(M2470)</x:f>
        <x:v>0.1540445816473579</x:v>
      </x:c>
      <x:c r="P2470" s="7" t="n">
        <x:v>45867</x:v>
      </x:c>
    </x:row>
    <x:row r="2471" ht="26" customHeight="1">
      <x:c r="A2471" s="2"/>
      <x:c r="B2471" s="2" t="n">
        <x:v>2466</x:v>
      </x:c>
      <x:c r="C2471" s="2" t="str">
        <x:v>Beauty / price_contribution</x:v>
      </x:c>
      <x:c r="D2471" s="7" t="n">
        <x:v>45838</x:v>
      </x:c>
      <x:c r="E2471" s="2" t="str">
        <x:v>Prior report</x:v>
      </x:c>
      <x:c r="F2471" s="7" t="n">
        <x:v>45771</x:v>
      </x:c>
      <x:c r="G2471" s="2" t="str">
        <x:v>Half correction</x:v>
      </x:c>
      <x:c r="H2471" s="8" t="n">
        <x:f>K199</x:f>
        <x:v>2.4690387021913063</x:v>
      </x:c>
      <x:c r="I2471" s="8" t="n">
        <x:f>AVERAGE(M100,M124,M149,M174)</x:f>
        <x:v>1.3149941205439484</x:v>
      </x:c>
      <x:c r="J2471" s="8" t="n">
        <x:v>0.5</x:v>
      </x:c>
      <x:c r="K2471" s="8" t="n">
        <x:f>H2471-I2471*J2471</x:f>
        <x:v>1.811541641919332</x:v>
      </x:c>
      <x:c r="L2471" s="8" t="n">
        <x:f>'PG facts'!D125</x:f>
        <x:v>1</x:v>
      </x:c>
      <x:c r="M2471" s="8" t="n">
        <x:f>K2471-L2471</x:f>
        <x:v>0.811541641919332</x:v>
      </x:c>
      <x:c r="N2471" s="8" t="n">
        <x:f>M2471^2</x:f>
        <x:v>0.6585998365691252</x:v>
      </x:c>
      <x:c r="O2471" s="8" t="n">
        <x:f>ABS(M2471)</x:f>
        <x:v>0.811541641919332</x:v>
      </x:c>
      <x:c r="P2471" s="7" t="n">
        <x:v>45867</x:v>
      </x:c>
    </x:row>
    <x:row r="2472" ht="26" customHeight="1">
      <x:c r="A2472" s="2"/>
      <x:c r="B2472" s="2" t="n">
        <x:v>2467</x:v>
      </x:c>
      <x:c r="C2472" s="2" t="str">
        <x:v>Beauty / price_contribution</x:v>
      </x:c>
      <x:c r="D2472" s="7" t="n">
        <x:v>45838</x:v>
      </x:c>
      <x:c r="E2472" s="2" t="str">
        <x:v>Pre-earnings</x:v>
      </x:c>
      <x:c r="F2472" s="7" t="n">
        <x:v>45866</x:v>
      </x:c>
      <x:c r="G2472" s="2" t="str">
        <x:v>Bias correction</x:v>
      </x:c>
      <x:c r="H2472" s="8" t="n">
        <x:f>K208</x:f>
        <x:v>2.687476176765582</x:v>
      </x:c>
      <x:c r="I2472" s="8" t="n">
        <x:f>AVERAGE(M109,M133,M158,M183)</x:f>
        <x:v>0.6624002358239164</x:v>
      </x:c>
      <x:c r="J2472" s="8" t="n">
        <x:v>1</x:v>
      </x:c>
      <x:c r="K2472" s="8" t="n">
        <x:f>H2472-I2472*J2472</x:f>
        <x:v>2.0250759409416657</x:v>
      </x:c>
      <x:c r="L2472" s="8" t="n">
        <x:f>'PG facts'!D125</x:f>
        <x:v>1</x:v>
      </x:c>
      <x:c r="M2472" s="8" t="n">
        <x:f>K2472-L2472</x:f>
        <x:v>1.0250759409416657</x:v>
      </x:c>
      <x:c r="N2472" s="8" t="n">
        <x:f>M2472^2</x:f>
        <x:v>1.0507806846974412</x:v>
      </x:c>
      <x:c r="O2472" s="8" t="n">
        <x:f>ABS(M2472)</x:f>
        <x:v>1.0250759409416657</x:v>
      </x:c>
      <x:c r="P2472" s="7" t="n">
        <x:v>45867</x:v>
      </x:c>
    </x:row>
    <x:row r="2473" ht="26" customHeight="1">
      <x:c r="A2473" s="2"/>
      <x:c r="B2473" s="2" t="n">
        <x:v>2468</x:v>
      </x:c>
      <x:c r="C2473" s="2" t="str">
        <x:v>Beauty / price_contribution</x:v>
      </x:c>
      <x:c r="D2473" s="7" t="n">
        <x:v>45838</x:v>
      </x:c>
      <x:c r="E2473" s="2" t="str">
        <x:v>Pre-earnings</x:v>
      </x:c>
      <x:c r="F2473" s="7" t="n">
        <x:v>45866</x:v>
      </x:c>
      <x:c r="G2473" s="2" t="str">
        <x:v>Half correction</x:v>
      </x:c>
      <x:c r="H2473" s="8" t="n">
        <x:f>K208</x:f>
        <x:v>2.687476176765582</x:v>
      </x:c>
      <x:c r="I2473" s="8" t="n">
        <x:f>AVERAGE(M109,M133,M158,M183)</x:f>
        <x:v>0.6624002358239164</x:v>
      </x:c>
      <x:c r="J2473" s="8" t="n">
        <x:v>0.5</x:v>
      </x:c>
      <x:c r="K2473" s="8" t="n">
        <x:f>H2473-I2473*J2473</x:f>
        <x:v>2.3562760588536236</x:v>
      </x:c>
      <x:c r="L2473" s="8" t="n">
        <x:f>'PG facts'!D125</x:f>
        <x:v>1</x:v>
      </x:c>
      <x:c r="M2473" s="8" t="n">
        <x:f>K2473-L2473</x:f>
        <x:v>1.3562760588536236</x:v>
      </x:c>
      <x:c r="N2473" s="8" t="n">
        <x:f>M2473^2</x:f>
        <x:v>1.8394847478195178</x:v>
      </x:c>
      <x:c r="O2473" s="8" t="n">
        <x:f>ABS(M2473)</x:f>
        <x:v>1.3562760588536236</x:v>
      </x:c>
      <x:c r="P2473" s="7" t="n">
        <x:v>45867</x:v>
      </x:c>
    </x:row>
    <x:row r="2474" ht="26" customHeight="1">
      <x:c r="A2474" s="2"/>
      <x:c r="B2474" s="2" t="n">
        <x:v>2469</x:v>
      </x:c>
      <x:c r="C2474" s="2" t="str">
        <x:v>Beauty / price_contribution</x:v>
      </x:c>
      <x:c r="D2474" s="7" t="n">
        <x:v>45930</x:v>
      </x:c>
      <x:c r="E2474" s="2" t="str">
        <x:v>Origin</x:v>
      </x:c>
      <x:c r="F2474" s="7" t="n">
        <x:v>45839</x:v>
      </x:c>
      <x:c r="G2474" s="2" t="str">
        <x:v>Bias correction</x:v>
      </x:c>
      <x:c r="H2474" s="8" t="n">
        <x:f>K217</x:f>
        <x:v>2.519779831859841</x:v>
      </x:c>
      <x:c r="I2474" s="8" t="n">
        <x:f>AVERAGE(M94,M118,M142,M167)</x:f>
        <x:v>1.609196701023854</x:v>
      </x:c>
      <x:c r="J2474" s="8" t="n">
        <x:v>1</x:v>
      </x:c>
      <x:c r="K2474" s="8" t="n">
        <x:f>H2474-I2474*J2474</x:f>
        <x:v>0.9105831308359869</x:v>
      </x:c>
      <x:c r="L2474" s="8" t="n">
        <x:f>'PG facts'!D132</x:f>
        <x:v>2</x:v>
      </x:c>
      <x:c r="M2474" s="8" t="n">
        <x:f>K2474-L2474</x:f>
        <x:v>-1.0894168691640131</x:v>
      </x:c>
      <x:c r="N2474" s="8" t="n">
        <x:f>M2474^2</x:f>
        <x:v>1.1868291148191206</x:v>
      </x:c>
      <x:c r="O2474" s="8" t="n">
        <x:f>ABS(M2474)</x:f>
        <x:v>1.0894168691640131</x:v>
      </x:c>
      <x:c r="P2474" s="7" t="n">
        <x:v>45954</x:v>
      </x:c>
    </x:row>
    <x:row r="2475" ht="26" customHeight="1">
      <x:c r="A2475" s="2"/>
      <x:c r="B2475" s="2" t="n">
        <x:v>2470</x:v>
      </x:c>
      <x:c r="C2475" s="2" t="str">
        <x:v>Beauty / price_contribution</x:v>
      </x:c>
      <x:c r="D2475" s="7" t="n">
        <x:v>45930</x:v>
      </x:c>
      <x:c r="E2475" s="2" t="str">
        <x:v>Origin</x:v>
      </x:c>
      <x:c r="F2475" s="7" t="n">
        <x:v>45839</x:v>
      </x:c>
      <x:c r="G2475" s="2" t="str">
        <x:v>Half correction</x:v>
      </x:c>
      <x:c r="H2475" s="8" t="n">
        <x:f>K217</x:f>
        <x:v>2.519779831859841</x:v>
      </x:c>
      <x:c r="I2475" s="8" t="n">
        <x:f>AVERAGE(M94,M118,M142,M167)</x:f>
        <x:v>1.609196701023854</x:v>
      </x:c>
      <x:c r="J2475" s="8" t="n">
        <x:v>0.5</x:v>
      </x:c>
      <x:c r="K2475" s="8" t="n">
        <x:f>H2475-I2475*J2475</x:f>
        <x:v>1.7151814813479138</x:v>
      </x:c>
      <x:c r="L2475" s="8" t="n">
        <x:f>'PG facts'!D132</x:f>
        <x:v>2</x:v>
      </x:c>
      <x:c r="M2475" s="8" t="n">
        <x:f>K2475-L2475</x:f>
        <x:v>-0.2848185186520862</x:v>
      </x:c>
      <x:c r="N2475" s="8" t="n">
        <x:f>M2475^2</x:f>
        <x:v>0.08112158856716876</x:v>
      </x:c>
      <x:c r="O2475" s="8" t="n">
        <x:f>ABS(M2475)</x:f>
        <x:v>0.2848185186520862</x:v>
      </x:c>
      <x:c r="P2475" s="7" t="n">
        <x:v>45954</x:v>
      </x:c>
    </x:row>
    <x:row r="2476" ht="26" customHeight="1">
      <x:c r="A2476" s="2"/>
      <x:c r="B2476" s="2" t="n">
        <x:v>2471</x:v>
      </x:c>
      <x:c r="C2476" s="2" t="str">
        <x:v>Beauty / price_contribution</x:v>
      </x:c>
      <x:c r="D2476" s="7" t="n">
        <x:v>45930</x:v>
      </x:c>
      <x:c r="E2476" s="2" t="str">
        <x:v>Prior report</x:v>
      </x:c>
      <x:c r="F2476" s="7" t="n">
        <x:v>45867</x:v>
      </x:c>
      <x:c r="G2476" s="2" t="str">
        <x:v>Bias correction</x:v>
      </x:c>
      <x:c r="H2476" s="8" t="n">
        <x:f>K224</x:f>
        <x:v>2.5407856229574164</x:v>
      </x:c>
      <x:c r="I2476" s="8" t="n">
        <x:f>AVERAGE(M124,M149,M174,M199)</x:f>
        <x:v>1.086241887020523</x:v>
      </x:c>
      <x:c r="J2476" s="8" t="n">
        <x:v>1</x:v>
      </x:c>
      <x:c r="K2476" s="8" t="n">
        <x:f>H2476-I2476*J2476</x:f>
        <x:v>1.4545437359368933</x:v>
      </x:c>
      <x:c r="L2476" s="8" t="n">
        <x:f>'PG facts'!D132</x:f>
        <x:v>2</x:v>
      </x:c>
      <x:c r="M2476" s="8" t="n">
        <x:f>K2476-L2476</x:f>
        <x:v>-0.5454562640631067</x:v>
      </x:c>
      <x:c r="N2476" s="8" t="n">
        <x:f>M2476^2</x:f>
        <x:v>0.2975225360056815</x:v>
      </x:c>
      <x:c r="O2476" s="8" t="n">
        <x:f>ABS(M2476)</x:f>
        <x:v>0.5454562640631067</x:v>
      </x:c>
      <x:c r="P2476" s="7" t="n">
        <x:v>45954</x:v>
      </x:c>
    </x:row>
    <x:row r="2477" ht="26" customHeight="1">
      <x:c r="A2477" s="2"/>
      <x:c r="B2477" s="2" t="n">
        <x:v>2472</x:v>
      </x:c>
      <x:c r="C2477" s="2" t="str">
        <x:v>Beauty / price_contribution</x:v>
      </x:c>
      <x:c r="D2477" s="7" t="n">
        <x:v>45930</x:v>
      </x:c>
      <x:c r="E2477" s="2" t="str">
        <x:v>Prior report</x:v>
      </x:c>
      <x:c r="F2477" s="7" t="n">
        <x:v>45867</x:v>
      </x:c>
      <x:c r="G2477" s="2" t="str">
        <x:v>Half correction</x:v>
      </x:c>
      <x:c r="H2477" s="8" t="n">
        <x:f>K224</x:f>
        <x:v>2.5407856229574164</x:v>
      </x:c>
      <x:c r="I2477" s="8" t="n">
        <x:f>AVERAGE(M124,M149,M174,M199)</x:f>
        <x:v>1.086241887020523</x:v>
      </x:c>
      <x:c r="J2477" s="8" t="n">
        <x:v>0.5</x:v>
      </x:c>
      <x:c r="K2477" s="8" t="n">
        <x:f>H2477-I2477*J2477</x:f>
        <x:v>1.9976646794471549</x:v>
      </x:c>
      <x:c r="L2477" s="8" t="n">
        <x:f>'PG facts'!D132</x:f>
        <x:v>2</x:v>
      </x:c>
      <x:c r="M2477" s="8" t="n">
        <x:f>K2477-L2477</x:f>
        <x:v>-0.0023353205528451326</x:v>
      </x:c>
      <x:c r="N2477" s="8" t="n">
        <x:f>M2477^2</x:f>
        <x:v>0.000005453722084540896</x:v>
      </x:c>
      <x:c r="O2477" s="8" t="n">
        <x:f>ABS(M2477)</x:f>
        <x:v>0.0023353205528451326</x:v>
      </x:c>
      <x:c r="P2477" s="7" t="n">
        <x:v>45954</x:v>
      </x:c>
    </x:row>
    <x:row r="2478" ht="26" customHeight="1">
      <x:c r="A2478" s="2"/>
      <x:c r="B2478" s="2" t="n">
        <x:v>2473</x:v>
      </x:c>
      <x:c r="C2478" s="2" t="str">
        <x:v>Beauty / price_contribution</x:v>
      </x:c>
      <x:c r="D2478" s="7" t="n">
        <x:v>45930</x:v>
      </x:c>
      <x:c r="E2478" s="2" t="str">
        <x:v>Pre-earnings</x:v>
      </x:c>
      <x:c r="F2478" s="7" t="n">
        <x:v>45953</x:v>
      </x:c>
      <x:c r="G2478" s="2" t="str">
        <x:v>Bias correction</x:v>
      </x:c>
      <x:c r="H2478" s="8" t="n">
        <x:f>K233</x:f>
        <x:v>2.749297738516577</x:v>
      </x:c>
      <x:c r="I2478" s="8" t="n">
        <x:f>AVERAGE(M133,M158,M183,M208)</x:f>
        <x:v>0.8644712587663647</x:v>
      </x:c>
      <x:c r="J2478" s="8" t="n">
        <x:v>1</x:v>
      </x:c>
      <x:c r="K2478" s="8" t="n">
        <x:f>H2478-I2478*J2478</x:f>
        <x:v>1.8848264797502123</x:v>
      </x:c>
      <x:c r="L2478" s="8" t="n">
        <x:f>'PG facts'!D132</x:f>
        <x:v>2</x:v>
      </x:c>
      <x:c r="M2478" s="8" t="n">
        <x:f>K2478-L2478</x:f>
        <x:v>-0.11517352024978766</x:v>
      </x:c>
      <x:c r="N2478" s="8" t="n">
        <x:f>M2478^2</x:f>
        <x:v>0.013264939766728248</x:v>
      </x:c>
      <x:c r="O2478" s="8" t="n">
        <x:f>ABS(M2478)</x:f>
        <x:v>0.11517352024978766</x:v>
      </x:c>
      <x:c r="P2478" s="7" t="n">
        <x:v>45954</x:v>
      </x:c>
    </x:row>
    <x:row r="2479" ht="26" customHeight="1">
      <x:c r="A2479" s="2"/>
      <x:c r="B2479" s="2" t="n">
        <x:v>2474</x:v>
      </x:c>
      <x:c r="C2479" s="2" t="str">
        <x:v>Beauty / price_contribution</x:v>
      </x:c>
      <x:c r="D2479" s="7" t="n">
        <x:v>45930</x:v>
      </x:c>
      <x:c r="E2479" s="2" t="str">
        <x:v>Pre-earnings</x:v>
      </x:c>
      <x:c r="F2479" s="7" t="n">
        <x:v>45953</x:v>
      </x:c>
      <x:c r="G2479" s="2" t="str">
        <x:v>Half correction</x:v>
      </x:c>
      <x:c r="H2479" s="8" t="n">
        <x:f>K233</x:f>
        <x:v>2.749297738516577</x:v>
      </x:c>
      <x:c r="I2479" s="8" t="n">
        <x:f>AVERAGE(M133,M158,M183,M208)</x:f>
        <x:v>0.8644712587663647</x:v>
      </x:c>
      <x:c r="J2479" s="8" t="n">
        <x:v>0.5</x:v>
      </x:c>
      <x:c r="K2479" s="8" t="n">
        <x:f>H2479-I2479*J2479</x:f>
        <x:v>2.3170621091333947</x:v>
      </x:c>
      <x:c r="L2479" s="8" t="n">
        <x:f>'PG facts'!D132</x:f>
        <x:v>2</x:v>
      </x:c>
      <x:c r="M2479" s="8" t="n">
        <x:f>K2479-L2479</x:f>
        <x:v>0.3170621091333947</x:v>
      </x:c>
      <x:c r="N2479" s="8" t="n">
        <x:f>M2479^2</x:f>
        <x:v>0.1005283810481167</x:v>
      </x:c>
      <x:c r="O2479" s="8" t="n">
        <x:f>ABS(M2479)</x:f>
        <x:v>0.3170621091333947</x:v>
      </x:c>
      <x:c r="P2479" s="7" t="n">
        <x:v>45954</x:v>
      </x:c>
    </x:row>
    <x:row r="2480" ht="26" customHeight="1">
      <x:c r="A2480" s="2"/>
      <x:c r="B2480" s="2" t="n">
        <x:v>2475</x:v>
      </x:c>
      <x:c r="C2480" s="2" t="str">
        <x:v>Beauty / price_contribution</x:v>
      </x:c>
      <x:c r="D2480" s="7" t="n">
        <x:v>46022</x:v>
      </x:c>
      <x:c r="E2480" s="2" t="str">
        <x:v>Origin</x:v>
      </x:c>
      <x:c r="F2480" s="7" t="n">
        <x:v>45931</x:v>
      </x:c>
      <x:c r="G2480" s="2" t="str">
        <x:v>Bias correction</x:v>
      </x:c>
      <x:c r="H2480" s="8" t="n">
        <x:f>K242</x:f>
        <x:v>2.726046246715512</x:v>
      </x:c>
      <x:c r="I2480" s="8" t="n">
        <x:f>AVERAGE(M118,M142,M167,M192)</x:f>
        <x:v>1.379041067000078</x:v>
      </x:c>
      <x:c r="J2480" s="8" t="n">
        <x:v>1</x:v>
      </x:c>
      <x:c r="K2480" s="8" t="n">
        <x:f>H2480-I2480*J2480</x:f>
        <x:v>1.3470051797154343</x:v>
      </x:c>
      <x:c r="L2480" s="8" t="n">
        <x:f>'PG facts'!D139</x:f>
        <x:v>2</x:v>
      </x:c>
      <x:c r="M2480" s="8" t="n">
        <x:f>K2480-L2480</x:f>
        <x:v>-0.6529948202845657</x:v>
      </x:c>
      <x:c r="N2480" s="8" t="n">
        <x:f>M2480^2</x:f>
        <x:v>0.4264022353184722</x:v>
      </x:c>
      <x:c r="O2480" s="8" t="n">
        <x:f>ABS(M2480)</x:f>
        <x:v>0.6529948202845657</x:v>
      </x:c>
      <x:c r="P2480" s="7" t="n">
        <x:v>46045</x:v>
      </x:c>
    </x:row>
    <x:row r="2481" ht="26" customHeight="1">
      <x:c r="A2481" s="2"/>
      <x:c r="B2481" s="2" t="n">
        <x:v>2476</x:v>
      </x:c>
      <x:c r="C2481" s="2" t="str">
        <x:v>Beauty / price_contribution</x:v>
      </x:c>
      <x:c r="D2481" s="7" t="n">
        <x:v>46022</x:v>
      </x:c>
      <x:c r="E2481" s="2" t="str">
        <x:v>Origin</x:v>
      </x:c>
      <x:c r="F2481" s="7" t="n">
        <x:v>45931</x:v>
      </x:c>
      <x:c r="G2481" s="2" t="str">
        <x:v>Half correction</x:v>
      </x:c>
      <x:c r="H2481" s="8" t="n">
        <x:f>K242</x:f>
        <x:v>2.726046246715512</x:v>
      </x:c>
      <x:c r="I2481" s="8" t="n">
        <x:f>AVERAGE(M118,M142,M167,M192)</x:f>
        <x:v>1.379041067000078</x:v>
      </x:c>
      <x:c r="J2481" s="8" t="n">
        <x:v>0.5</x:v>
      </x:c>
      <x:c r="K2481" s="8" t="n">
        <x:f>H2481-I2481*J2481</x:f>
        <x:v>2.0365257132154735</x:v>
      </x:c>
      <x:c r="L2481" s="8" t="n">
        <x:f>'PG facts'!D139</x:f>
        <x:v>2</x:v>
      </x:c>
      <x:c r="M2481" s="8" t="n">
        <x:f>K2481-L2481</x:f>
        <x:v>0.03652571321547349</x:v>
      </x:c>
      <x:c r="N2481" s="8" t="n">
        <x:f>M2481^2</x:f>
        <x:v>0.0013341277258990146</x:v>
      </x:c>
      <x:c r="O2481" s="8" t="n">
        <x:f>ABS(M2481)</x:f>
        <x:v>0.03652571321547349</x:v>
      </x:c>
      <x:c r="P2481" s="7" t="n">
        <x:v>46045</x:v>
      </x:c>
    </x:row>
    <x:row r="2482" ht="26" customHeight="1">
      <x:c r="A2482" s="2"/>
      <x:c r="B2482" s="2" t="n">
        <x:v>2477</x:v>
      </x:c>
      <x:c r="C2482" s="2" t="str">
        <x:v>Beauty / price_contribution</x:v>
      </x:c>
      <x:c r="D2482" s="7" t="n">
        <x:v>46022</x:v>
      </x:c>
      <x:c r="E2482" s="2" t="str">
        <x:v>Prior report</x:v>
      </x:c>
      <x:c r="F2482" s="7" t="n">
        <x:v>45954</x:v>
      </x:c>
      <x:c r="G2482" s="2" t="str">
        <x:v>Bias correction</x:v>
      </x:c>
      <x:c r="H2482" s="8" t="n">
        <x:f>K249</x:f>
        <x:v>2.8954957430617</x:v>
      </x:c>
      <x:c r="I2482" s="8" t="n">
        <x:f>AVERAGE(M149,M174,M199,M224)</x:f>
        <x:v>0.5214343764955544</x:v>
      </x:c>
      <x:c r="J2482" s="8" t="n">
        <x:v>1</x:v>
      </x:c>
      <x:c r="K2482" s="8" t="n">
        <x:f>H2482-I2482*J2482</x:f>
        <x:v>2.3740613665661456</x:v>
      </x:c>
      <x:c r="L2482" s="8" t="n">
        <x:f>'PG facts'!D139</x:f>
        <x:v>2</x:v>
      </x:c>
      <x:c r="M2482" s="8" t="n">
        <x:f>K2482-L2482</x:f>
        <x:v>0.37406136656614564</x:v>
      </x:c>
      <x:c r="N2482" s="8" t="n">
        <x:f>M2482^2</x:f>
        <x:v>0.13992190595733237</x:v>
      </x:c>
      <x:c r="O2482" s="8" t="n">
        <x:f>ABS(M2482)</x:f>
        <x:v>0.37406136656614564</x:v>
      </x:c>
      <x:c r="P2482" s="7" t="n">
        <x:v>46045</x:v>
      </x:c>
    </x:row>
    <x:row r="2483" ht="26" customHeight="1">
      <x:c r="A2483" s="2"/>
      <x:c r="B2483" s="2" t="n">
        <x:v>2478</x:v>
      </x:c>
      <x:c r="C2483" s="2" t="str">
        <x:v>Beauty / price_contribution</x:v>
      </x:c>
      <x:c r="D2483" s="7" t="n">
        <x:v>46022</x:v>
      </x:c>
      <x:c r="E2483" s="2" t="str">
        <x:v>Prior report</x:v>
      </x:c>
      <x:c r="F2483" s="7" t="n">
        <x:v>45954</x:v>
      </x:c>
      <x:c r="G2483" s="2" t="str">
        <x:v>Half correction</x:v>
      </x:c>
      <x:c r="H2483" s="8" t="n">
        <x:f>K249</x:f>
        <x:v>2.8954957430617</x:v>
      </x:c>
      <x:c r="I2483" s="8" t="n">
        <x:f>AVERAGE(M149,M174,M199,M224)</x:f>
        <x:v>0.5214343764955544</x:v>
      </x:c>
      <x:c r="J2483" s="8" t="n">
        <x:v>0.5</x:v>
      </x:c>
      <x:c r="K2483" s="8" t="n">
        <x:f>H2483-I2483*J2483</x:f>
        <x:v>2.634778554813923</x:v>
      </x:c>
      <x:c r="L2483" s="8" t="n">
        <x:f>'PG facts'!D139</x:f>
        <x:v>2</x:v>
      </x:c>
      <x:c r="M2483" s="8" t="n">
        <x:f>K2483-L2483</x:f>
        <x:v>0.6347785548139231</x:v>
      </x:c>
      <x:c r="N2483" s="8" t="n">
        <x:f>M2483^2</x:f>
        <x:v>0.40294381365165277</x:v>
      </x:c>
      <x:c r="O2483" s="8" t="n">
        <x:f>ABS(M2483)</x:f>
        <x:v>0.6347785548139231</x:v>
      </x:c>
      <x:c r="P2483" s="7" t="n">
        <x:v>46045</x:v>
      </x:c>
    </x:row>
    <x:row r="2484" ht="26" customHeight="1">
      <x:c r="A2484" s="2"/>
      <x:c r="B2484" s="2" t="n">
        <x:v>2479</x:v>
      </x:c>
      <x:c r="C2484" s="2" t="str">
        <x:v>Beauty / price_contribution</x:v>
      </x:c>
      <x:c r="D2484" s="7" t="n">
        <x:v>46022</x:v>
      </x:c>
      <x:c r="E2484" s="2" t="str">
        <x:v>Pre-earnings</x:v>
      </x:c>
      <x:c r="F2484" s="7" t="n">
        <x:v>46044</x:v>
      </x:c>
      <x:c r="G2484" s="2" t="str">
        <x:v>Bias correction</x:v>
      </x:c>
      <x:c r="H2484" s="8" t="n">
        <x:f>K258</x:f>
        <x:v>3.0293203733121437</x:v>
      </x:c>
      <x:c r="I2484" s="8" t="n">
        <x:f>AVERAGE(M158,M183,M208,M233)</x:f>
        <x:v>0.5995977063032213</x:v>
      </x:c>
      <x:c r="J2484" s="8" t="n">
        <x:v>1</x:v>
      </x:c>
      <x:c r="K2484" s="8" t="n">
        <x:f>H2484-I2484*J2484</x:f>
        <x:v>2.4297226670089223</x:v>
      </x:c>
      <x:c r="L2484" s="8" t="n">
        <x:f>'PG facts'!D139</x:f>
        <x:v>2</x:v>
      </x:c>
      <x:c r="M2484" s="8" t="n">
        <x:f>K2484-L2484</x:f>
        <x:v>0.42972266700892225</x:v>
      </x:c>
      <x:c r="N2484" s="8" t="n">
        <x:f>M2484^2</x:f>
        <x:v>0.1846615705412611</x:v>
      </x:c>
      <x:c r="O2484" s="8" t="n">
        <x:f>ABS(M2484)</x:f>
        <x:v>0.42972266700892225</x:v>
      </x:c>
      <x:c r="P2484" s="7" t="n">
        <x:v>46045</x:v>
      </x:c>
    </x:row>
    <x:row r="2485" ht="26" customHeight="1">
      <x:c r="A2485" s="2"/>
      <x:c r="B2485" s="2" t="n">
        <x:v>2480</x:v>
      </x:c>
      <x:c r="C2485" s="2" t="str">
        <x:v>Beauty / price_contribution</x:v>
      </x:c>
      <x:c r="D2485" s="7" t="n">
        <x:v>46022</x:v>
      </x:c>
      <x:c r="E2485" s="2" t="str">
        <x:v>Pre-earnings</x:v>
      </x:c>
      <x:c r="F2485" s="7" t="n">
        <x:v>46044</x:v>
      </x:c>
      <x:c r="G2485" s="2" t="str">
        <x:v>Half correction</x:v>
      </x:c>
      <x:c r="H2485" s="8" t="n">
        <x:f>K258</x:f>
        <x:v>3.0293203733121437</x:v>
      </x:c>
      <x:c r="I2485" s="8" t="n">
        <x:f>AVERAGE(M158,M183,M208,M233)</x:f>
        <x:v>0.5995977063032213</x:v>
      </x:c>
      <x:c r="J2485" s="8" t="n">
        <x:v>0.5</x:v>
      </x:c>
      <x:c r="K2485" s="8" t="n">
        <x:f>H2485-I2485*J2485</x:f>
        <x:v>2.729521520160533</x:v>
      </x:c>
      <x:c r="L2485" s="8" t="n">
        <x:f>'PG facts'!D139</x:f>
        <x:v>2</x:v>
      </x:c>
      <x:c r="M2485" s="8" t="n">
        <x:f>K2485-L2485</x:f>
        <x:v>0.729521520160533</x:v>
      </x:c>
      <x:c r="N2485" s="8" t="n">
        <x:f>M2485^2</x:f>
        <x:v>0.5322016483773349</x:v>
      </x:c>
      <x:c r="O2485" s="8" t="n">
        <x:f>ABS(M2485)</x:f>
        <x:v>0.729521520160533</x:v>
      </x:c>
      <x:c r="P2485" s="7" t="n">
        <x:v>46045</x:v>
      </x:c>
    </x:row>
    <x:row r="2486" ht="26" customHeight="1">
      <x:c r="A2486" s="2"/>
      <x:c r="B2486" s="2" t="n">
        <x:v>2481</x:v>
      </x:c>
      <x:c r="C2486" s="2" t="str">
        <x:v>Beauty / price_contribution</x:v>
      </x:c>
      <x:c r="D2486" s="7" t="n">
        <x:v>46112</x:v>
      </x:c>
      <x:c r="E2486" s="2" t="str">
        <x:v>Origin</x:v>
      </x:c>
      <x:c r="F2486" s="7" t="n">
        <x:v>46023</x:v>
      </x:c>
      <x:c r="G2486" s="2" t="str">
        <x:v>Bias correction</x:v>
      </x:c>
      <x:c r="H2486" s="8" t="n">
        <x:f>K267</x:f>
        <x:v>2.99130118993268</x:v>
      </x:c>
      <x:c r="I2486" s="8" t="n">
        <x:f>AVERAGE(M142,M167,M192,M217)</x:f>
        <x:v>0.6392616315818623</x:v>
      </x:c>
      <x:c r="J2486" s="8" t="n">
        <x:v>1</x:v>
      </x:c>
      <x:c r="K2486" s="8" t="n">
        <x:f>H2486-I2486*J2486</x:f>
        <x:v>2.3520395583508176</x:v>
      </x:c>
      <x:c r="L2486" s="8" t="n">
        <x:f>'PG facts'!D146</x:f>
        <x:v>1</x:v>
      </x:c>
      <x:c r="M2486" s="8" t="n">
        <x:f>K2486-L2486</x:f>
        <x:v>1.3520395583508176</x:v>
      </x:c>
      <x:c r="N2486" s="8" t="n">
        <x:f>M2486^2</x:f>
        <x:v>1.8280109673454739</x:v>
      </x:c>
      <x:c r="O2486" s="8" t="n">
        <x:f>ABS(M2486)</x:f>
        <x:v>1.3520395583508176</x:v>
      </x:c>
      <x:c r="P2486" s="7" t="n">
        <x:v>46136</x:v>
      </x:c>
    </x:row>
    <x:row r="2487" ht="26" customHeight="1">
      <x:c r="A2487" s="2"/>
      <x:c r="B2487" s="2" t="n">
        <x:v>2482</x:v>
      </x:c>
      <x:c r="C2487" s="2" t="str">
        <x:v>Beauty / price_contribution</x:v>
      </x:c>
      <x:c r="D2487" s="7" t="n">
        <x:v>46112</x:v>
      </x:c>
      <x:c r="E2487" s="2" t="str">
        <x:v>Origin</x:v>
      </x:c>
      <x:c r="F2487" s="7" t="n">
        <x:v>46023</x:v>
      </x:c>
      <x:c r="G2487" s="2" t="str">
        <x:v>Half correction</x:v>
      </x:c>
      <x:c r="H2487" s="8" t="n">
        <x:f>K267</x:f>
        <x:v>2.99130118993268</x:v>
      </x:c>
      <x:c r="I2487" s="8" t="n">
        <x:f>AVERAGE(M142,M167,M192,M217)</x:f>
        <x:v>0.6392616315818623</x:v>
      </x:c>
      <x:c r="J2487" s="8" t="n">
        <x:v>0.5</x:v>
      </x:c>
      <x:c r="K2487" s="8" t="n">
        <x:f>H2487-I2487*J2487</x:f>
        <x:v>2.6716703741417485</x:v>
      </x:c>
      <x:c r="L2487" s="8" t="n">
        <x:f>'PG facts'!D146</x:f>
        <x:v>1</x:v>
      </x:c>
      <x:c r="M2487" s="8" t="n">
        <x:f>K2487-L2487</x:f>
        <x:v>1.6716703741417485</x:v>
      </x:c>
      <x:c r="N2487" s="8" t="n">
        <x:f>M2487^2</x:f>
        <x:v>2.7944818397832134</x:v>
      </x:c>
      <x:c r="O2487" s="8" t="n">
        <x:f>ABS(M2487)</x:f>
        <x:v>1.6716703741417485</x:v>
      </x:c>
      <x:c r="P2487" s="7" t="n">
        <x:v>46136</x:v>
      </x:c>
    </x:row>
    <x:row r="2488" ht="26" customHeight="1">
      <x:c r="A2488" s="2"/>
      <x:c r="B2488" s="2" t="n">
        <x:v>2483</x:v>
      </x:c>
      <x:c r="C2488" s="2" t="str">
        <x:v>Beauty / price_contribution</x:v>
      </x:c>
      <x:c r="D2488" s="7" t="n">
        <x:v>46112</x:v>
      </x:c>
      <x:c r="E2488" s="2" t="str">
        <x:v>Prior report</x:v>
      </x:c>
      <x:c r="F2488" s="7" t="n">
        <x:v>46045</x:v>
      </x:c>
      <x:c r="G2488" s="2" t="str">
        <x:v>Bias correction</x:v>
      </x:c>
      <x:c r="H2488" s="8" t="n">
        <x:f>K274</x:f>
        <x:v>3.097834540762299</x:v>
      </x:c>
      <x:c r="I2488" s="8" t="n">
        <x:f>AVERAGE(M174,M199,M224,M249)</x:f>
        <x:v>0.5997819136465641</x:v>
      </x:c>
      <x:c r="J2488" s="8" t="n">
        <x:v>1</x:v>
      </x:c>
      <x:c r="K2488" s="8" t="n">
        <x:f>H2488-I2488*J2488</x:f>
        <x:v>2.498052627115735</x:v>
      </x:c>
      <x:c r="L2488" s="8" t="n">
        <x:f>'PG facts'!D146</x:f>
        <x:v>1</x:v>
      </x:c>
      <x:c r="M2488" s="8" t="n">
        <x:f>K2488-L2488</x:f>
        <x:v>1.4980526271157348</x:v>
      </x:c>
      <x:c r="N2488" s="8" t="n">
        <x:f>M2488^2</x:f>
        <x:v>2.244161673608355</x:v>
      </x:c>
      <x:c r="O2488" s="8" t="n">
        <x:f>ABS(M2488)</x:f>
        <x:v>1.4980526271157348</x:v>
      </x:c>
      <x:c r="P2488" s="7" t="n">
        <x:v>46136</x:v>
      </x:c>
    </x:row>
    <x:row r="2489" ht="26" customHeight="1">
      <x:c r="A2489" s="2"/>
      <x:c r="B2489" s="2" t="n">
        <x:v>2484</x:v>
      </x:c>
      <x:c r="C2489" s="2" t="str">
        <x:v>Beauty / price_contribution</x:v>
      </x:c>
      <x:c r="D2489" s="7" t="n">
        <x:v>46112</x:v>
      </x:c>
      <x:c r="E2489" s="2" t="str">
        <x:v>Prior report</x:v>
      </x:c>
      <x:c r="F2489" s="7" t="n">
        <x:v>46045</x:v>
      </x:c>
      <x:c r="G2489" s="2" t="str">
        <x:v>Half correction</x:v>
      </x:c>
      <x:c r="H2489" s="8" t="n">
        <x:f>K274</x:f>
        <x:v>3.097834540762299</x:v>
      </x:c>
      <x:c r="I2489" s="8" t="n">
        <x:f>AVERAGE(M174,M199,M224,M249)</x:f>
        <x:v>0.5997819136465641</x:v>
      </x:c>
      <x:c r="J2489" s="8" t="n">
        <x:v>0.5</x:v>
      </x:c>
      <x:c r="K2489" s="8" t="n">
        <x:f>H2489-I2489*J2489</x:f>
        <x:v>2.797943583939017</x:v>
      </x:c>
      <x:c r="L2489" s="8" t="n">
        <x:f>'PG facts'!D146</x:f>
        <x:v>1</x:v>
      </x:c>
      <x:c r="M2489" s="8" t="n">
        <x:f>K2489-L2489</x:f>
        <x:v>1.7979435839390172</x:v>
      </x:c>
      <x:c r="N2489" s="8" t="n">
        <x:f>M2489^2</x:f>
        <x:v>3.232601131027478</x:v>
      </x:c>
      <x:c r="O2489" s="8" t="n">
        <x:f>ABS(M2489)</x:f>
        <x:v>1.7979435839390172</x:v>
      </x:c>
      <x:c r="P2489" s="7" t="n">
        <x:v>46136</x:v>
      </x:c>
    </x:row>
    <x:row r="2490" ht="26" customHeight="1">
      <x:c r="A2490" s="2"/>
      <x:c r="B2490" s="2" t="n">
        <x:v>2485</x:v>
      </x:c>
      <x:c r="C2490" s="2" t="str">
        <x:v>Beauty / price_contribution</x:v>
      </x:c>
      <x:c r="D2490" s="7" t="n">
        <x:v>46112</x:v>
      </x:c>
      <x:c r="E2490" s="2" t="str">
        <x:v>Pre-earnings</x:v>
      </x:c>
      <x:c r="F2490" s="7" t="n">
        <x:v>46135</x:v>
      </x:c>
      <x:c r="G2490" s="2" t="str">
        <x:v>Bias correction</x:v>
      </x:c>
      <x:c r="H2490" s="8" t="n">
        <x:f>K281</x:f>
        <x:v>3.6928029256166774</x:v>
      </x:c>
      <x:c r="I2490" s="8" t="n">
        <x:f>AVERAGE(M183,M208,M233,M258)</x:f>
        <x:v>0.7180875254119807</x:v>
      </x:c>
      <x:c r="J2490" s="8" t="n">
        <x:v>1</x:v>
      </x:c>
      <x:c r="K2490" s="8" t="n">
        <x:f>H2490-I2490*J2490</x:f>
        <x:v>2.9747154002046967</x:v>
      </x:c>
      <x:c r="L2490" s="8" t="n">
        <x:f>'PG facts'!D146</x:f>
        <x:v>1</x:v>
      </x:c>
      <x:c r="M2490" s="8" t="n">
        <x:f>K2490-L2490</x:f>
        <x:v>1.9747154002046967</x:v>
      </x:c>
      <x:c r="N2490" s="8" t="n">
        <x:f>M2490^2</x:f>
        <x:v>3.8995009118055957</x:v>
      </x:c>
      <x:c r="O2490" s="8" t="n">
        <x:f>ABS(M2490)</x:f>
        <x:v>1.9747154002046967</x:v>
      </x:c>
      <x:c r="P2490" s="7" t="n">
        <x:v>46136</x:v>
      </x:c>
    </x:row>
    <x:row r="2491" ht="26" customHeight="1">
      <x:c r="A2491" s="2"/>
      <x:c r="B2491" s="2" t="n">
        <x:v>2486</x:v>
      </x:c>
      <x:c r="C2491" s="2" t="str">
        <x:v>Beauty / price_contribution</x:v>
      </x:c>
      <x:c r="D2491" s="7" t="n">
        <x:v>46112</x:v>
      </x:c>
      <x:c r="E2491" s="2" t="str">
        <x:v>Pre-earnings</x:v>
      </x:c>
      <x:c r="F2491" s="7" t="n">
        <x:v>46135</x:v>
      </x:c>
      <x:c r="G2491" s="2" t="str">
        <x:v>Half correction</x:v>
      </x:c>
      <x:c r="H2491" s="8" t="n">
        <x:f>K281</x:f>
        <x:v>3.6928029256166774</x:v>
      </x:c>
      <x:c r="I2491" s="8" t="n">
        <x:f>AVERAGE(M183,M208,M233,M258)</x:f>
        <x:v>0.7180875254119807</x:v>
      </x:c>
      <x:c r="J2491" s="8" t="n">
        <x:v>0.5</x:v>
      </x:c>
      <x:c r="K2491" s="8" t="n">
        <x:f>H2491-I2491*J2491</x:f>
        <x:v>3.3337591629106873</x:v>
      </x:c>
      <x:c r="L2491" s="8" t="n">
        <x:f>'PG facts'!D146</x:f>
        <x:v>1</x:v>
      </x:c>
      <x:c r="M2491" s="8" t="n">
        <x:f>K2491-L2491</x:f>
        <x:v>2.3337591629106873</x:v>
      </x:c>
      <x:c r="N2491" s="8" t="n">
        <x:f>M2491^2</x:f>
        <x:v>5.446431830469592</x:v>
      </x:c>
      <x:c r="O2491" s="8" t="n">
        <x:f>ABS(M2491)</x:f>
        <x:v>2.3337591629106873</x:v>
      </x:c>
      <x:c r="P2491" s="7" t="n">
        <x:v>46136</x:v>
      </x:c>
    </x:row>
    <x:row r="2492" ht="26" customHeight="1">
      <x:c r="A2492" s="2"/>
      <x:c r="B2492" s="2" t="n">
        <x:v>2487</x:v>
      </x:c>
      <x:c r="C2492" s="2" t="str">
        <x:v>Grooming / price_contribution</x:v>
      </x:c>
      <x:c r="D2492" s="7" t="n">
        <x:v>45473</x:v>
      </x:c>
      <x:c r="E2492" s="2" t="str">
        <x:v>Prior report</x:v>
      </x:c>
      <x:c r="F2492" s="7" t="n">
        <x:v>45401</x:v>
      </x:c>
      <x:c r="G2492" s="2" t="str">
        <x:v>Bias correction</x:v>
      </x:c>
      <x:c r="H2492" s="8" t="n">
        <x:f>K359</x:f>
        <x:v>6.916854636815909</x:v>
      </x:c>
      <x:c r="I2492" s="8" t="n">
        <x:f>AVERAGE(M292,M308,M325,M342)</x:f>
        <x:v>0.17414655532827839</x:v>
      </x:c>
      <x:c r="J2492" s="8" t="n">
        <x:v>1</x:v>
      </x:c>
      <x:c r="K2492" s="8" t="n">
        <x:f>H2492-I2492*J2492</x:f>
        <x:v>6.742708081487631</x:v>
      </x:c>
      <x:c r="L2492" s="8" t="n">
        <x:f>'PG facts'!D98</x:f>
        <x:v>5</x:v>
      </x:c>
      <x:c r="M2492" s="8" t="n">
        <x:f>K2492-L2492</x:f>
        <x:v>1.7427080814876312</x:v>
      </x:c>
      <x:c r="N2492" s="8" t="n">
        <x:f>M2492^2</x:f>
        <x:v>3.0370314572823003</x:v>
      </x:c>
      <x:c r="O2492" s="8" t="n">
        <x:f>ABS(M2492)</x:f>
        <x:v>1.7427080814876312</x:v>
      </x:c>
      <x:c r="P2492" s="7" t="n">
        <x:v>45503</x:v>
      </x:c>
    </x:row>
    <x:row r="2493" ht="26" customHeight="1">
      <x:c r="A2493" s="2"/>
      <x:c r="B2493" s="2" t="n">
        <x:v>2488</x:v>
      </x:c>
      <x:c r="C2493" s="2" t="str">
        <x:v>Grooming / price_contribution</x:v>
      </x:c>
      <x:c r="D2493" s="7" t="n">
        <x:v>45473</x:v>
      </x:c>
      <x:c r="E2493" s="2" t="str">
        <x:v>Prior report</x:v>
      </x:c>
      <x:c r="F2493" s="7" t="n">
        <x:v>45401</x:v>
      </x:c>
      <x:c r="G2493" s="2" t="str">
        <x:v>Half correction</x:v>
      </x:c>
      <x:c r="H2493" s="8" t="n">
        <x:f>K359</x:f>
        <x:v>6.916854636815909</x:v>
      </x:c>
      <x:c r="I2493" s="8" t="n">
        <x:f>AVERAGE(M292,M308,M325,M342)</x:f>
        <x:v>0.17414655532827839</x:v>
      </x:c>
      <x:c r="J2493" s="8" t="n">
        <x:v>0.5</x:v>
      </x:c>
      <x:c r="K2493" s="8" t="n">
        <x:f>H2493-I2493*J2493</x:f>
        <x:v>6.82978135915177</x:v>
      </x:c>
      <x:c r="L2493" s="8" t="n">
        <x:f>'PG facts'!D98</x:f>
        <x:v>5</x:v>
      </x:c>
      <x:c r="M2493" s="8" t="n">
        <x:f>K2493-L2493</x:f>
        <x:v>1.8297813591517702</x:v>
      </x:c>
      <x:c r="N2493" s="8" t="n">
        <x:f>M2493^2</x:f>
        <x:v>3.3480998222992993</x:v>
      </x:c>
      <x:c r="O2493" s="8" t="n">
        <x:f>ABS(M2493)</x:f>
        <x:v>1.8297813591517702</x:v>
      </x:c>
      <x:c r="P2493" s="7" t="n">
        <x:v>45503</x:v>
      </x:c>
    </x:row>
    <x:row r="2494" ht="26" customHeight="1">
      <x:c r="A2494" s="2"/>
      <x:c r="B2494" s="2" t="n">
        <x:v>2489</x:v>
      </x:c>
      <x:c r="C2494" s="2" t="str">
        <x:v>Grooming / price_contribution</x:v>
      </x:c>
      <x:c r="D2494" s="7" t="n">
        <x:v>45473</x:v>
      </x:c>
      <x:c r="E2494" s="2" t="str">
        <x:v>Pre-earnings</x:v>
      </x:c>
      <x:c r="F2494" s="7" t="n">
        <x:v>45502</x:v>
      </x:c>
      <x:c r="G2494" s="2" t="str">
        <x:v>Bias correction</x:v>
      </x:c>
      <x:c r="H2494" s="8" t="n">
        <x:f>K365</x:f>
        <x:v>4.946107834963033</x:v>
      </x:c>
      <x:c r="I2494" s="8" t="n">
        <x:f>AVERAGE(M298,M314,M331,M348)</x:f>
        <x:v>-0.5932950366317435</x:v>
      </x:c>
      <x:c r="J2494" s="8" t="n">
        <x:v>1</x:v>
      </x:c>
      <x:c r="K2494" s="8" t="n">
        <x:f>H2494-I2494*J2494</x:f>
        <x:v>5.539402871594777</x:v>
      </x:c>
      <x:c r="L2494" s="8" t="n">
        <x:f>'PG facts'!D98</x:f>
        <x:v>5</x:v>
      </x:c>
      <x:c r="M2494" s="8" t="n">
        <x:f>K2494-L2494</x:f>
        <x:v>0.5394028715947767</x:v>
      </x:c>
      <x:c r="N2494" s="8" t="n">
        <x:f>M2494^2</x:f>
        <x:v>0.2909554578846912</x:v>
      </x:c>
      <x:c r="O2494" s="8" t="n">
        <x:f>ABS(M2494)</x:f>
        <x:v>0.5394028715947767</x:v>
      </x:c>
      <x:c r="P2494" s="7" t="n">
        <x:v>45503</x:v>
      </x:c>
    </x:row>
    <x:row r="2495" ht="26" customHeight="1">
      <x:c r="A2495" s="2"/>
      <x:c r="B2495" s="2" t="n">
        <x:v>2490</x:v>
      </x:c>
      <x:c r="C2495" s="2" t="str">
        <x:v>Grooming / price_contribution</x:v>
      </x:c>
      <x:c r="D2495" s="7" t="n">
        <x:v>45473</x:v>
      </x:c>
      <x:c r="E2495" s="2" t="str">
        <x:v>Pre-earnings</x:v>
      </x:c>
      <x:c r="F2495" s="7" t="n">
        <x:v>45502</x:v>
      </x:c>
      <x:c r="G2495" s="2" t="str">
        <x:v>Half correction</x:v>
      </x:c>
      <x:c r="H2495" s="8" t="n">
        <x:f>K365</x:f>
        <x:v>4.946107834963033</x:v>
      </x:c>
      <x:c r="I2495" s="8" t="n">
        <x:f>AVERAGE(M298,M314,M331,M348)</x:f>
        <x:v>-0.5932950366317435</x:v>
      </x:c>
      <x:c r="J2495" s="8" t="n">
        <x:v>0.5</x:v>
      </x:c>
      <x:c r="K2495" s="8" t="n">
        <x:f>H2495-I2495*J2495</x:f>
        <x:v>5.2427553532789055</x:v>
      </x:c>
      <x:c r="L2495" s="8" t="n">
        <x:f>'PG facts'!D98</x:f>
        <x:v>5</x:v>
      </x:c>
      <x:c r="M2495" s="8" t="n">
        <x:f>K2495-L2495</x:f>
        <x:v>0.24275535327890552</x:v>
      </x:c>
      <x:c r="N2495" s="8" t="n">
        <x:f>M2495^2</x:f>
        <x:v>0.058930161545566226</x:v>
      </x:c>
      <x:c r="O2495" s="8" t="n">
        <x:f>ABS(M2495)</x:f>
        <x:v>0.24275535327890552</x:v>
      </x:c>
      <x:c r="P2495" s="7" t="n">
        <x:v>45503</x:v>
      </x:c>
    </x:row>
    <x:row r="2496" ht="26" customHeight="1">
      <x:c r="A2496" s="2"/>
      <x:c r="B2496" s="2" t="n">
        <x:v>2491</x:v>
      </x:c>
      <x:c r="C2496" s="2" t="str">
        <x:v>Grooming / price_contribution</x:v>
      </x:c>
      <x:c r="D2496" s="7" t="n">
        <x:v>45565</x:v>
      </x:c>
      <x:c r="E2496" s="2" t="str">
        <x:v>Origin</x:v>
      </x:c>
      <x:c r="F2496" s="7" t="n">
        <x:v>45474</x:v>
      </x:c>
      <x:c r="G2496" s="2" t="str">
        <x:v>Bias correction</x:v>
      </x:c>
      <x:c r="H2496" s="8" t="n">
        <x:f>K371</x:f>
        <x:v>5.73147734938269</x:v>
      </x:c>
      <x:c r="I2496" s="8" t="n">
        <x:f>AVERAGE(M288,M304,M320,M337)</x:f>
        <x:v>0.5974925761547645</x:v>
      </x:c>
      <x:c r="J2496" s="8" t="n">
        <x:v>1</x:v>
      </x:c>
      <x:c r="K2496" s="8" t="n">
        <x:f>H2496-I2496*J2496</x:f>
        <x:v>5.133984773227925</x:v>
      </x:c>
      <x:c r="L2496" s="8" t="n">
        <x:f>'PG facts'!D105</x:f>
        <x:v>1</x:v>
      </x:c>
      <x:c r="M2496" s="8" t="n">
        <x:f>K2496-L2496</x:f>
        <x:v>4.133984773227925</x:v>
      </x:c>
      <x:c r="N2496" s="8" t="n">
        <x:f>M2496^2</x:f>
        <x:v>17.08983010528034</x:v>
      </x:c>
      <x:c r="O2496" s="8" t="n">
        <x:f>ABS(M2496)</x:f>
        <x:v>4.133984773227925</x:v>
      </x:c>
      <x:c r="P2496" s="7" t="n">
        <x:v>45583</x:v>
      </x:c>
    </x:row>
    <x:row r="2497" ht="26" customHeight="1">
      <x:c r="A2497" s="2"/>
      <x:c r="B2497" s="2" t="n">
        <x:v>2492</x:v>
      </x:c>
      <x:c r="C2497" s="2" t="str">
        <x:v>Grooming / price_contribution</x:v>
      </x:c>
      <x:c r="D2497" s="7" t="n">
        <x:v>45565</x:v>
      </x:c>
      <x:c r="E2497" s="2" t="str">
        <x:v>Origin</x:v>
      </x:c>
      <x:c r="F2497" s="7" t="n">
        <x:v>45474</x:v>
      </x:c>
      <x:c r="G2497" s="2" t="str">
        <x:v>Half correction</x:v>
      </x:c>
      <x:c r="H2497" s="8" t="n">
        <x:f>K371</x:f>
        <x:v>5.73147734938269</x:v>
      </x:c>
      <x:c r="I2497" s="8" t="n">
        <x:f>AVERAGE(M288,M304,M320,M337)</x:f>
        <x:v>0.5974925761547645</x:v>
      </x:c>
      <x:c r="J2497" s="8" t="n">
        <x:v>0.5</x:v>
      </x:c>
      <x:c r="K2497" s="8" t="n">
        <x:f>H2497-I2497*J2497</x:f>
        <x:v>5.432731061305308</x:v>
      </x:c>
      <x:c r="L2497" s="8" t="n">
        <x:f>'PG facts'!D105</x:f>
        <x:v>1</x:v>
      </x:c>
      <x:c r="M2497" s="8" t="n">
        <x:f>K2497-L2497</x:f>
        <x:v>4.432731061305308</x:v>
      </x:c>
      <x:c r="N2497" s="8" t="n">
        <x:f>M2497^2</x:f>
        <x:v>19.649104661860882</x:v>
      </x:c>
      <x:c r="O2497" s="8" t="n">
        <x:f>ABS(M2497)</x:f>
        <x:v>4.432731061305308</x:v>
      </x:c>
      <x:c r="P2497" s="7" t="n">
        <x:v>45583</x:v>
      </x:c>
    </x:row>
    <x:row r="2498" ht="26" customHeight="1">
      <x:c r="A2498" s="2"/>
      <x:c r="B2498" s="2" t="n">
        <x:v>2493</x:v>
      </x:c>
      <x:c r="C2498" s="2" t="str">
        <x:v>Grooming / price_contribution</x:v>
      </x:c>
      <x:c r="D2498" s="7" t="n">
        <x:v>45565</x:v>
      </x:c>
      <x:c r="E2498" s="2" t="str">
        <x:v>Prior report</x:v>
      </x:c>
      <x:c r="F2498" s="7" t="n">
        <x:v>45503</x:v>
      </x:c>
      <x:c r="G2498" s="2" t="str">
        <x:v>Bias correction</x:v>
      </x:c>
      <x:c r="H2498" s="8" t="n">
        <x:f>K376</x:f>
        <x:v>4.954695685937977</x:v>
      </x:c>
      <x:c r="I2498" s="8" t="n">
        <x:f>AVERAGE(M308,M325,M342,M359)</x:f>
        <x:v>0.4027720481068058</x:v>
      </x:c>
      <x:c r="J2498" s="8" t="n">
        <x:v>1</x:v>
      </x:c>
      <x:c r="K2498" s="8" t="n">
        <x:f>H2498-I2498*J2498</x:f>
        <x:v>4.551923637831171</x:v>
      </x:c>
      <x:c r="L2498" s="8" t="n">
        <x:f>'PG facts'!D105</x:f>
        <x:v>1</x:v>
      </x:c>
      <x:c r="M2498" s="8" t="n">
        <x:f>K2498-L2498</x:f>
        <x:v>3.5519236378311714</x:v>
      </x:c>
      <x:c r="N2498" s="8" t="n">
        <x:f>M2498^2</x:f>
        <x:v>12.616161528983822</x:v>
      </x:c>
      <x:c r="O2498" s="8" t="n">
        <x:f>ABS(M2498)</x:f>
        <x:v>3.5519236378311714</x:v>
      </x:c>
      <x:c r="P2498" s="7" t="n">
        <x:v>45583</x:v>
      </x:c>
    </x:row>
    <x:row r="2499" ht="26" customHeight="1">
      <x:c r="A2499" s="2"/>
      <x:c r="B2499" s="2" t="n">
        <x:v>2494</x:v>
      </x:c>
      <x:c r="C2499" s="2" t="str">
        <x:v>Grooming / price_contribution</x:v>
      </x:c>
      <x:c r="D2499" s="7" t="n">
        <x:v>45565</x:v>
      </x:c>
      <x:c r="E2499" s="2" t="str">
        <x:v>Prior report</x:v>
      </x:c>
      <x:c r="F2499" s="7" t="n">
        <x:v>45503</x:v>
      </x:c>
      <x:c r="G2499" s="2" t="str">
        <x:v>Half correction</x:v>
      </x:c>
      <x:c r="H2499" s="8" t="n">
        <x:f>K376</x:f>
        <x:v>4.954695685937977</x:v>
      </x:c>
      <x:c r="I2499" s="8" t="n">
        <x:f>AVERAGE(M308,M325,M342,M359)</x:f>
        <x:v>0.4027720481068058</x:v>
      </x:c>
      <x:c r="J2499" s="8" t="n">
        <x:v>0.5</x:v>
      </x:c>
      <x:c r="K2499" s="8" t="n">
        <x:f>H2499-I2499*J2499</x:f>
        <x:v>4.753309661884574</x:v>
      </x:c>
      <x:c r="L2499" s="8" t="n">
        <x:f>'PG facts'!D105</x:f>
        <x:v>1</x:v>
      </x:c>
      <x:c r="M2499" s="8" t="n">
        <x:f>K2499-L2499</x:f>
        <x:v>3.7533096618845736</x:v>
      </x:c>
      <x:c r="N2499" s="8" t="n">
        <x:f>M2499^2</x:f>
        <x:v>14.087333417996092</x:v>
      </x:c>
      <x:c r="O2499" s="8" t="n">
        <x:f>ABS(M2499)</x:f>
        <x:v>3.7533096618845736</x:v>
      </x:c>
      <x:c r="P2499" s="7" t="n">
        <x:v>45583</x:v>
      </x:c>
    </x:row>
    <x:row r="2500" ht="26" customHeight="1">
      <x:c r="A2500" s="2"/>
      <x:c r="B2500" s="2" t="n">
        <x:v>2495</x:v>
      </x:c>
      <x:c r="C2500" s="2" t="str">
        <x:v>Grooming / price_contribution</x:v>
      </x:c>
      <x:c r="D2500" s="7" t="n">
        <x:v>45565</x:v>
      </x:c>
      <x:c r="E2500" s="2" t="str">
        <x:v>Pre-earnings</x:v>
      </x:c>
      <x:c r="F2500" s="7" t="n">
        <x:v>45582</x:v>
      </x:c>
      <x:c r="G2500" s="2" t="str">
        <x:v>Bias correction</x:v>
      </x:c>
      <x:c r="H2500" s="8" t="n">
        <x:f>K382</x:f>
        <x:v>3.678227117977957</x:v>
      </x:c>
      <x:c r="I2500" s="8" t="n">
        <x:f>AVERAGE(M314,M331,M348,M365)</x:f>
        <x:v>-0.9302586798876826</x:v>
      </x:c>
      <x:c r="J2500" s="8" t="n">
        <x:v>1</x:v>
      </x:c>
      <x:c r="K2500" s="8" t="n">
        <x:f>H2500-I2500*J2500</x:f>
        <x:v>4.608485797865639</x:v>
      </x:c>
      <x:c r="L2500" s="8" t="n">
        <x:f>'PG facts'!D105</x:f>
        <x:v>1</x:v>
      </x:c>
      <x:c r="M2500" s="8" t="n">
        <x:f>K2500-L2500</x:f>
        <x:v>3.6084857978656393</x:v>
      </x:c>
      <x:c r="N2500" s="8" t="n">
        <x:f>M2500^2</x:f>
        <x:v>13.02116975339802</x:v>
      </x:c>
      <x:c r="O2500" s="8" t="n">
        <x:f>ABS(M2500)</x:f>
        <x:v>3.6084857978656393</x:v>
      </x:c>
      <x:c r="P2500" s="7" t="n">
        <x:v>45583</x:v>
      </x:c>
    </x:row>
    <x:row r="2501" ht="26" customHeight="1">
      <x:c r="A2501" s="2"/>
      <x:c r="B2501" s="2" t="n">
        <x:v>2496</x:v>
      </x:c>
      <x:c r="C2501" s="2" t="str">
        <x:v>Grooming / price_contribution</x:v>
      </x:c>
      <x:c r="D2501" s="7" t="n">
        <x:v>45565</x:v>
      </x:c>
      <x:c r="E2501" s="2" t="str">
        <x:v>Pre-earnings</x:v>
      </x:c>
      <x:c r="F2501" s="7" t="n">
        <x:v>45582</x:v>
      </x:c>
      <x:c r="G2501" s="2" t="str">
        <x:v>Half correction</x:v>
      </x:c>
      <x:c r="H2501" s="8" t="n">
        <x:f>K382</x:f>
        <x:v>3.678227117977957</x:v>
      </x:c>
      <x:c r="I2501" s="8" t="n">
        <x:f>AVERAGE(M314,M331,M348,M365)</x:f>
        <x:v>-0.9302586798876826</x:v>
      </x:c>
      <x:c r="J2501" s="8" t="n">
        <x:v>0.5</x:v>
      </x:c>
      <x:c r="K2501" s="8" t="n">
        <x:f>H2501-I2501*J2501</x:f>
        <x:v>4.143356457921798</x:v>
      </x:c>
      <x:c r="L2501" s="8" t="n">
        <x:f>'PG facts'!D105</x:f>
        <x:v>1</x:v>
      </x:c>
      <x:c r="M2501" s="8" t="n">
        <x:f>K2501-L2501</x:f>
        <x:v>3.143356457921798</x:v>
      </x:c>
      <x:c r="N2501" s="8" t="n">
        <x:f>M2501^2</x:f>
        <x:v>9.880689821558672</x:v>
      </x:c>
      <x:c r="O2501" s="8" t="n">
        <x:f>ABS(M2501)</x:f>
        <x:v>3.143356457921798</x:v>
      </x:c>
      <x:c r="P2501" s="7" t="n">
        <x:v>45583</x:v>
      </x:c>
    </x:row>
    <x:row r="2502" ht="26" customHeight="1">
      <x:c r="A2502" s="2"/>
      <x:c r="B2502" s="2" t="n">
        <x:v>2497</x:v>
      </x:c>
      <x:c r="C2502" s="2" t="str">
        <x:v>Grooming / price_contribution</x:v>
      </x:c>
      <x:c r="D2502" s="7" t="n">
        <x:v>45657</x:v>
      </x:c>
      <x:c r="E2502" s="2" t="str">
        <x:v>Origin</x:v>
      </x:c>
      <x:c r="F2502" s="7" t="n">
        <x:v>45566</x:v>
      </x:c>
      <x:c r="G2502" s="2" t="str">
        <x:v>Bias correction</x:v>
      </x:c>
      <x:c r="H2502" s="8" t="n">
        <x:f>K388</x:f>
        <x:v>3.975316364931714</x:v>
      </x:c>
      <x:c r="I2502" s="8" t="n">
        <x:f>AVERAGE(M304,M320,M337,M354)</x:f>
        <x:v>0.660879333382588</x:v>
      </x:c>
      <x:c r="J2502" s="8" t="n">
        <x:v>1</x:v>
      </x:c>
      <x:c r="K2502" s="8" t="n">
        <x:f>H2502-I2502*J2502</x:f>
        <x:v>3.314437031549126</x:v>
      </x:c>
      <x:c r="L2502" s="8" t="n">
        <x:f>'PG facts'!D112</x:f>
        <x:v>1</x:v>
      </x:c>
      <x:c r="M2502" s="8" t="n">
        <x:f>K2502-L2502</x:f>
        <x:v>2.314437031549126</x:v>
      </x:c>
      <x:c r="N2502" s="8" t="n">
        <x:f>M2502^2</x:f>
        <x:v>5.35661877300593</x:v>
      </x:c>
      <x:c r="O2502" s="8" t="n">
        <x:f>ABS(M2502)</x:f>
        <x:v>2.314437031549126</x:v>
      </x:c>
      <x:c r="P2502" s="7" t="n">
        <x:v>45679</x:v>
      </x:c>
    </x:row>
    <x:row r="2503" ht="26" customHeight="1">
      <x:c r="A2503" s="2"/>
      <x:c r="B2503" s="2" t="n">
        <x:v>2498</x:v>
      </x:c>
      <x:c r="C2503" s="2" t="str">
        <x:v>Grooming / price_contribution</x:v>
      </x:c>
      <x:c r="D2503" s="7" t="n">
        <x:v>45657</x:v>
      </x:c>
      <x:c r="E2503" s="2" t="str">
        <x:v>Origin</x:v>
      </x:c>
      <x:c r="F2503" s="7" t="n">
        <x:v>45566</x:v>
      </x:c>
      <x:c r="G2503" s="2" t="str">
        <x:v>Half correction</x:v>
      </x:c>
      <x:c r="H2503" s="8" t="n">
        <x:f>K388</x:f>
        <x:v>3.975316364931714</x:v>
      </x:c>
      <x:c r="I2503" s="8" t="n">
        <x:f>AVERAGE(M304,M320,M337,M354)</x:f>
        <x:v>0.660879333382588</x:v>
      </x:c>
      <x:c r="J2503" s="8" t="n">
        <x:v>0.5</x:v>
      </x:c>
      <x:c r="K2503" s="8" t="n">
        <x:f>H2503-I2503*J2503</x:f>
        <x:v>3.64487669824042</x:v>
      </x:c>
      <x:c r="L2503" s="8" t="n">
        <x:f>'PG facts'!D112</x:f>
        <x:v>1</x:v>
      </x:c>
      <x:c r="M2503" s="8" t="n">
        <x:f>K2503-L2503</x:f>
        <x:v>2.64487669824042</x:v>
      </x:c>
      <x:c r="N2503" s="8" t="n">
        <x:f>M2503^2</x:f>
        <x:v>6.9953727488951465</x:v>
      </x:c>
      <x:c r="O2503" s="8" t="n">
        <x:f>ABS(M2503)</x:f>
        <x:v>2.64487669824042</x:v>
      </x:c>
      <x:c r="P2503" s="7" t="n">
        <x:v>45679</x:v>
      </x:c>
    </x:row>
    <x:row r="2504" ht="26" customHeight="1">
      <x:c r="A2504" s="2"/>
      <x:c r="B2504" s="2" t="n">
        <x:v>2499</x:v>
      </x:c>
      <x:c r="C2504" s="2" t="str">
        <x:v>Grooming / price_contribution</x:v>
      </x:c>
      <x:c r="D2504" s="7" t="n">
        <x:v>45657</x:v>
      </x:c>
      <x:c r="E2504" s="2" t="str">
        <x:v>Prior report</x:v>
      </x:c>
      <x:c r="F2504" s="7" t="n">
        <x:v>45583</x:v>
      </x:c>
      <x:c r="G2504" s="2" t="str">
        <x:v>Bias correction</x:v>
      </x:c>
      <x:c r="H2504" s="8" t="n">
        <x:f>K393</x:f>
        <x:v>3.3424718417992447</x:v>
      </x:c>
      <x:c r="I2504" s="8" t="n">
        <x:f>AVERAGE(M325,M342,M359,M376)</x:f>
        <x:v>1.1523522741910097</x:v>
      </x:c>
      <x:c r="J2504" s="8" t="n">
        <x:v>1</x:v>
      </x:c>
      <x:c r="K2504" s="8" t="n">
        <x:f>H2504-I2504*J2504</x:f>
        <x:v>2.1901195676082352</x:v>
      </x:c>
      <x:c r="L2504" s="8" t="n">
        <x:f>'PG facts'!D112</x:f>
        <x:v>1</x:v>
      </x:c>
      <x:c r="M2504" s="8" t="n">
        <x:f>K2504-L2504</x:f>
        <x:v>1.1901195676082352</x:v>
      </x:c>
      <x:c r="N2504" s="8" t="n">
        <x:f>M2504^2</x:f>
        <x:v>1.416384585204013</x:v>
      </x:c>
      <x:c r="O2504" s="8" t="n">
        <x:f>ABS(M2504)</x:f>
        <x:v>1.1901195676082352</x:v>
      </x:c>
      <x:c r="P2504" s="7" t="n">
        <x:v>45679</x:v>
      </x:c>
    </x:row>
    <x:row r="2505" ht="26" customHeight="1">
      <x:c r="A2505" s="2"/>
      <x:c r="B2505" s="2" t="n">
        <x:v>2500</x:v>
      </x:c>
      <x:c r="C2505" s="2" t="str">
        <x:v>Grooming / price_contribution</x:v>
      </x:c>
      <x:c r="D2505" s="7" t="n">
        <x:v>45657</x:v>
      </x:c>
      <x:c r="E2505" s="2" t="str">
        <x:v>Prior report</x:v>
      </x:c>
      <x:c r="F2505" s="7" t="n">
        <x:v>45583</x:v>
      </x:c>
      <x:c r="G2505" s="2" t="str">
        <x:v>Half correction</x:v>
      </x:c>
      <x:c r="H2505" s="8" t="n">
        <x:f>K393</x:f>
        <x:v>3.3424718417992447</x:v>
      </x:c>
      <x:c r="I2505" s="8" t="n">
        <x:f>AVERAGE(M325,M342,M359,M376)</x:f>
        <x:v>1.1523522741910097</x:v>
      </x:c>
      <x:c r="J2505" s="8" t="n">
        <x:v>0.5</x:v>
      </x:c>
      <x:c r="K2505" s="8" t="n">
        <x:f>H2505-I2505*J2505</x:f>
        <x:v>2.7662957047037398</x:v>
      </x:c>
      <x:c r="L2505" s="8" t="n">
        <x:f>'PG facts'!D112</x:f>
        <x:v>1</x:v>
      </x:c>
      <x:c r="M2505" s="8" t="n">
        <x:f>K2505-L2505</x:f>
        <x:v>1.7662957047037398</x:v>
      </x:c>
      <x:c r="N2505" s="8" t="n">
        <x:f>M2505^2</x:f>
        <x:v>3.1198005164548808</x:v>
      </x:c>
      <x:c r="O2505" s="8" t="n">
        <x:f>ABS(M2505)</x:f>
        <x:v>1.7662957047037398</x:v>
      </x:c>
      <x:c r="P2505" s="7" t="n">
        <x:v>45679</x:v>
      </x:c>
    </x:row>
    <x:row r="2506" ht="26" customHeight="1">
      <x:c r="A2506" s="2"/>
      <x:c r="B2506" s="2" t="n">
        <x:v>2501</x:v>
      </x:c>
      <x:c r="C2506" s="2" t="str">
        <x:v>Grooming / price_contribution</x:v>
      </x:c>
      <x:c r="D2506" s="7" t="n">
        <x:v>45657</x:v>
      </x:c>
      <x:c r="E2506" s="2" t="str">
        <x:v>Pre-earnings</x:v>
      </x:c>
      <x:c r="F2506" s="7" t="n">
        <x:v>45678</x:v>
      </x:c>
      <x:c r="G2506" s="2" t="str">
        <x:v>Bias correction</x:v>
      </x:c>
      <x:c r="H2506" s="8" t="n">
        <x:f>K399</x:f>
        <x:v>3.307775288264188</x:v>
      </x:c>
      <x:c r="I2506" s="8" t="n">
        <x:f>AVERAGE(M331,M348,M365,M382)</x:f>
        <x:v>-0.11847140604871376</x:v>
      </x:c>
      <x:c r="J2506" s="8" t="n">
        <x:v>1</x:v>
      </x:c>
      <x:c r="K2506" s="8" t="n">
        <x:f>H2506-I2506*J2506</x:f>
        <x:v>3.4262466943129017</x:v>
      </x:c>
      <x:c r="L2506" s="8" t="n">
        <x:f>'PG facts'!D112</x:f>
        <x:v>1</x:v>
      </x:c>
      <x:c r="M2506" s="8" t="n">
        <x:f>K2506-L2506</x:f>
        <x:v>2.4262466943129017</x:v>
      </x:c>
      <x:c r="N2506" s="8" t="n">
        <x:f>M2506^2</x:f>
        <x:v>5.886673021664283</x:v>
      </x:c>
      <x:c r="O2506" s="8" t="n">
        <x:f>ABS(M2506)</x:f>
        <x:v>2.4262466943129017</x:v>
      </x:c>
      <x:c r="P2506" s="7" t="n">
        <x:v>45679</x:v>
      </x:c>
    </x:row>
    <x:row r="2507" ht="26" customHeight="1">
      <x:c r="A2507" s="2"/>
      <x:c r="B2507" s="2" t="n">
        <x:v>2502</x:v>
      </x:c>
      <x:c r="C2507" s="2" t="str">
        <x:v>Grooming / price_contribution</x:v>
      </x:c>
      <x:c r="D2507" s="7" t="n">
        <x:v>45657</x:v>
      </x:c>
      <x:c r="E2507" s="2" t="str">
        <x:v>Pre-earnings</x:v>
      </x:c>
      <x:c r="F2507" s="7" t="n">
        <x:v>45678</x:v>
      </x:c>
      <x:c r="G2507" s="2" t="str">
        <x:v>Half correction</x:v>
      </x:c>
      <x:c r="H2507" s="8" t="n">
        <x:f>K399</x:f>
        <x:v>3.307775288264188</x:v>
      </x:c>
      <x:c r="I2507" s="8" t="n">
        <x:f>AVERAGE(M331,M348,M365,M382)</x:f>
        <x:v>-0.11847140604871376</x:v>
      </x:c>
      <x:c r="J2507" s="8" t="n">
        <x:v>0.5</x:v>
      </x:c>
      <x:c r="K2507" s="8" t="n">
        <x:f>H2507-I2507*J2507</x:f>
        <x:v>3.367010991288545</x:v>
      </x:c>
      <x:c r="L2507" s="8" t="n">
        <x:f>'PG facts'!D112</x:f>
        <x:v>1</x:v>
      </x:c>
      <x:c r="M2507" s="8" t="n">
        <x:f>K2507-L2507</x:f>
        <x:v>2.367010991288545</x:v>
      </x:c>
      <x:c r="N2507" s="8" t="n">
        <x:f>M2507^2</x:f>
        <x:v>5.602741032880781</x:v>
      </x:c>
      <x:c r="O2507" s="8" t="n">
        <x:f>ABS(M2507)</x:f>
        <x:v>2.367010991288545</x:v>
      </x:c>
      <x:c r="P2507" s="7" t="n">
        <x:v>45679</x:v>
      </x:c>
    </x:row>
    <x:row r="2508" ht="26" customHeight="1">
      <x:c r="A2508" s="2"/>
      <x:c r="B2508" s="2" t="n">
        <x:v>2503</x:v>
      </x:c>
      <x:c r="C2508" s="2" t="str">
        <x:v>Grooming / price_contribution</x:v>
      </x:c>
      <x:c r="D2508" s="7" t="n">
        <x:v>45747</x:v>
      </x:c>
      <x:c r="E2508" s="2" t="str">
        <x:v>Origin</x:v>
      </x:c>
      <x:c r="F2508" s="7" t="n">
        <x:v>45658</x:v>
      </x:c>
      <x:c r="G2508" s="2" t="str">
        <x:v>Bias correction</x:v>
      </x:c>
      <x:c r="H2508" s="8" t="n">
        <x:f>K405</x:f>
        <x:v>3.1773443226119578</x:v>
      </x:c>
      <x:c r="I2508" s="8" t="n">
        <x:f>AVERAGE(M320,M337,M354,M371)</x:f>
        <x:v>1.5577749818466538</x:v>
      </x:c>
      <x:c r="J2508" s="8" t="n">
        <x:v>1</x:v>
      </x:c>
      <x:c r="K2508" s="8" t="n">
        <x:f>H2508-I2508*J2508</x:f>
        <x:v>1.619569340765304</x:v>
      </x:c>
      <x:c r="L2508" s="8" t="n">
        <x:f>'PG facts'!D119</x:f>
        <x:v>2</x:v>
      </x:c>
      <x:c r="M2508" s="8" t="n">
        <x:f>K2508-L2508</x:f>
        <x:v>-0.380430659234696</x:v>
      </x:c>
      <x:c r="N2508" s="8" t="n">
        <x:f>M2508^2</x:f>
        <x:v>0.14472748648574538</x:v>
      </x:c>
      <x:c r="O2508" s="8" t="n">
        <x:f>ABS(M2508)</x:f>
        <x:v>0.380430659234696</x:v>
      </x:c>
      <x:c r="P2508" s="7" t="n">
        <x:v>45771</x:v>
      </x:c>
    </x:row>
    <x:row r="2509" ht="26" customHeight="1">
      <x:c r="A2509" s="2"/>
      <x:c r="B2509" s="2" t="n">
        <x:v>2504</x:v>
      </x:c>
      <x:c r="C2509" s="2" t="str">
        <x:v>Grooming / price_contribution</x:v>
      </x:c>
      <x:c r="D2509" s="7" t="n">
        <x:v>45747</x:v>
      </x:c>
      <x:c r="E2509" s="2" t="str">
        <x:v>Origin</x:v>
      </x:c>
      <x:c r="F2509" s="7" t="n">
        <x:v>45658</x:v>
      </x:c>
      <x:c r="G2509" s="2" t="str">
        <x:v>Half correction</x:v>
      </x:c>
      <x:c r="H2509" s="8" t="n">
        <x:f>K405</x:f>
        <x:v>3.1773443226119578</x:v>
      </x:c>
      <x:c r="I2509" s="8" t="n">
        <x:f>AVERAGE(M320,M337,M354,M371)</x:f>
        <x:v>1.5577749818466538</x:v>
      </x:c>
      <x:c r="J2509" s="8" t="n">
        <x:v>0.5</x:v>
      </x:c>
      <x:c r="K2509" s="8" t="n">
        <x:f>H2509-I2509*J2509</x:f>
        <x:v>2.3984568316886308</x:v>
      </x:c>
      <x:c r="L2509" s="8" t="n">
        <x:f>'PG facts'!D119</x:f>
        <x:v>2</x:v>
      </x:c>
      <x:c r="M2509" s="8" t="n">
        <x:f>K2509-L2509</x:f>
        <x:v>0.3984568316886308</x:v>
      </x:c>
      <x:c r="N2509" s="8" t="n">
        <x:f>M2509^2</x:f>
        <x:v>0.15876784671934183</x:v>
      </x:c>
      <x:c r="O2509" s="8" t="n">
        <x:f>ABS(M2509)</x:f>
        <x:v>0.3984568316886308</x:v>
      </x:c>
      <x:c r="P2509" s="7" t="n">
        <x:v>45771</x:v>
      </x:c>
    </x:row>
    <x:row r="2510" ht="26" customHeight="1">
      <x:c r="A2510" s="2"/>
      <x:c r="B2510" s="2" t="n">
        <x:v>2505</x:v>
      </x:c>
      <x:c r="C2510" s="2" t="str">
        <x:v>Grooming / price_contribution</x:v>
      </x:c>
      <x:c r="D2510" s="7" t="n">
        <x:v>45747</x:v>
      </x:c>
      <x:c r="E2510" s="2" t="str">
        <x:v>Prior report</x:v>
      </x:c>
      <x:c r="F2510" s="7" t="n">
        <x:v>45679</x:v>
      </x:c>
      <x:c r="G2510" s="2" t="str">
        <x:v>Bias correction</x:v>
      </x:c>
      <x:c r="H2510" s="8" t="n">
        <x:f>K410</x:f>
        <x:v>3.0489785728755643</x:v>
      </x:c>
      <x:c r="I2510" s="8" t="n">
        <x:f>AVERAGE(M342,M359,M376,M393)</x:f>
        <x:v>1.3593411493642304</x:v>
      </x:c>
      <x:c r="J2510" s="8" t="n">
        <x:v>1</x:v>
      </x:c>
      <x:c r="K2510" s="8" t="n">
        <x:f>H2510-I2510*J2510</x:f>
        <x:v>1.6896374235113338</x:v>
      </x:c>
      <x:c r="L2510" s="8" t="n">
        <x:f>'PG facts'!D119</x:f>
        <x:v>2</x:v>
      </x:c>
      <x:c r="M2510" s="8" t="n">
        <x:f>K2510-L2510</x:f>
        <x:v>-0.31036257648866616</x:v>
      </x:c>
      <x:c r="N2510" s="8" t="n">
        <x:f>M2510^2</x:f>
        <x:v>0.09632492888468315</x:v>
      </x:c>
      <x:c r="O2510" s="8" t="n">
        <x:f>ABS(M2510)</x:f>
        <x:v>0.31036257648866616</x:v>
      </x:c>
      <x:c r="P2510" s="7" t="n">
        <x:v>45771</x:v>
      </x:c>
    </x:row>
    <x:row r="2511" ht="26" customHeight="1">
      <x:c r="A2511" s="2"/>
      <x:c r="B2511" s="2" t="n">
        <x:v>2506</x:v>
      </x:c>
      <x:c r="C2511" s="2" t="str">
        <x:v>Grooming / price_contribution</x:v>
      </x:c>
      <x:c r="D2511" s="7" t="n">
        <x:v>45747</x:v>
      </x:c>
      <x:c r="E2511" s="2" t="str">
        <x:v>Prior report</x:v>
      </x:c>
      <x:c r="F2511" s="7" t="n">
        <x:v>45679</x:v>
      </x:c>
      <x:c r="G2511" s="2" t="str">
        <x:v>Half correction</x:v>
      </x:c>
      <x:c r="H2511" s="8" t="n">
        <x:f>K410</x:f>
        <x:v>3.0489785728755643</x:v>
      </x:c>
      <x:c r="I2511" s="8" t="n">
        <x:f>AVERAGE(M342,M359,M376,M393)</x:f>
        <x:v>1.3593411493642304</x:v>
      </x:c>
      <x:c r="J2511" s="8" t="n">
        <x:v>0.5</x:v>
      </x:c>
      <x:c r="K2511" s="8" t="n">
        <x:f>H2511-I2511*J2511</x:f>
        <x:v>2.369307998193449</x:v>
      </x:c>
      <x:c r="L2511" s="8" t="n">
        <x:f>'PG facts'!D119</x:f>
        <x:v>2</x:v>
      </x:c>
      <x:c r="M2511" s="8" t="n">
        <x:f>K2511-L2511</x:f>
        <x:v>0.36930799819344884</x:v>
      </x:c>
      <x:c r="N2511" s="8" t="n">
        <x:f>M2511^2</x:f>
        <x:v>0.1363883975296524</x:v>
      </x:c>
      <x:c r="O2511" s="8" t="n">
        <x:f>ABS(M2511)</x:f>
        <x:v>0.36930799819344884</x:v>
      </x:c>
      <x:c r="P2511" s="7" t="n">
        <x:v>45771</x:v>
      </x:c>
    </x:row>
    <x:row r="2512" ht="26" customHeight="1">
      <x:c r="A2512" s="2"/>
      <x:c r="B2512" s="2" t="n">
        <x:v>2507</x:v>
      </x:c>
      <x:c r="C2512" s="2" t="str">
        <x:v>Grooming / price_contribution</x:v>
      </x:c>
      <x:c r="D2512" s="7" t="n">
        <x:v>45747</x:v>
      </x:c>
      <x:c r="E2512" s="2" t="str">
        <x:v>Pre-earnings</x:v>
      </x:c>
      <x:c r="F2512" s="7" t="n">
        <x:v>45770</x:v>
      </x:c>
      <x:c r="G2512" s="2" t="str">
        <x:v>Bias correction</x:v>
      </x:c>
      <x:c r="H2512" s="8" t="n">
        <x:f>K416</x:f>
        <x:v>2.932020053588108</x:v>
      </x:c>
      <x:c r="I2512" s="8" t="n">
        <x:f>AVERAGE(M348,M365,M382,M399)</x:f>
        <x:v>0.39713219075852146</x:v>
      </x:c>
      <x:c r="J2512" s="8" t="n">
        <x:v>1</x:v>
      </x:c>
      <x:c r="K2512" s="8" t="n">
        <x:f>H2512-I2512*J2512</x:f>
        <x:v>2.5348878628295863</x:v>
      </x:c>
      <x:c r="L2512" s="8" t="n">
        <x:f>'PG facts'!D119</x:f>
        <x:v>2</x:v>
      </x:c>
      <x:c r="M2512" s="8" t="n">
        <x:f>K2512-L2512</x:f>
        <x:v>0.5348878628295863</x:v>
      </x:c>
      <x:c r="N2512" s="8" t="n">
        <x:f>M2512^2</x:f>
        <x:v>0.2861050258024024</x:v>
      </x:c>
      <x:c r="O2512" s="8" t="n">
        <x:f>ABS(M2512)</x:f>
        <x:v>0.5348878628295863</x:v>
      </x:c>
      <x:c r="P2512" s="7" t="n">
        <x:v>45771</x:v>
      </x:c>
    </x:row>
    <x:row r="2513" ht="26" customHeight="1">
      <x:c r="A2513" s="2"/>
      <x:c r="B2513" s="2" t="n">
        <x:v>2508</x:v>
      </x:c>
      <x:c r="C2513" s="2" t="str">
        <x:v>Grooming / price_contribution</x:v>
      </x:c>
      <x:c r="D2513" s="7" t="n">
        <x:v>45747</x:v>
      </x:c>
      <x:c r="E2513" s="2" t="str">
        <x:v>Pre-earnings</x:v>
      </x:c>
      <x:c r="F2513" s="7" t="n">
        <x:v>45770</x:v>
      </x:c>
      <x:c r="G2513" s="2" t="str">
        <x:v>Half correction</x:v>
      </x:c>
      <x:c r="H2513" s="8" t="n">
        <x:f>K416</x:f>
        <x:v>2.932020053588108</x:v>
      </x:c>
      <x:c r="I2513" s="8" t="n">
        <x:f>AVERAGE(M348,M365,M382,M399)</x:f>
        <x:v>0.39713219075852146</x:v>
      </x:c>
      <x:c r="J2513" s="8" t="n">
        <x:v>0.5</x:v>
      </x:c>
      <x:c r="K2513" s="8" t="n">
        <x:f>H2513-I2513*J2513</x:f>
        <x:v>2.7334539582088473</x:v>
      </x:c>
      <x:c r="L2513" s="8" t="n">
        <x:f>'PG facts'!D119</x:f>
        <x:v>2</x:v>
      </x:c>
      <x:c r="M2513" s="8" t="n">
        <x:f>K2513-L2513</x:f>
        <x:v>0.7334539582088473</x:v>
      </x:c>
      <x:c r="N2513" s="8" t="n">
        <x:f>M2513^2</x:f>
        <x:v>0.5379547088122255</x:v>
      </x:c>
      <x:c r="O2513" s="8" t="n">
        <x:f>ABS(M2513)</x:f>
        <x:v>0.7334539582088473</x:v>
      </x:c>
      <x:c r="P2513" s="7" t="n">
        <x:v>45771</x:v>
      </x:c>
    </x:row>
    <x:row r="2514" ht="26" customHeight="1">
      <x:c r="A2514" s="2"/>
      <x:c r="B2514" s="2" t="n">
        <x:v>2509</x:v>
      </x:c>
      <x:c r="C2514" s="2" t="str">
        <x:v>Grooming / price_contribution</x:v>
      </x:c>
      <x:c r="D2514" s="7" t="n">
        <x:v>45838</x:v>
      </x:c>
      <x:c r="E2514" s="2" t="str">
        <x:v>Origin</x:v>
      </x:c>
      <x:c r="F2514" s="7" t="n">
        <x:v>45748</x:v>
      </x:c>
      <x:c r="G2514" s="2" t="str">
        <x:v>Bias correction</x:v>
      </x:c>
      <x:c r="H2514" s="8" t="n">
        <x:f>K422</x:f>
        <x:v>3.1146279846473877</x:v>
      </x:c>
      <x:c r="I2514" s="8" t="n">
        <x:f>AVERAGE(M337,M354,M371,M388)</x:f>
        <x:v>1.7923380280391528</x:v>
      </x:c>
      <x:c r="J2514" s="8" t="n">
        <x:v>1</x:v>
      </x:c>
      <x:c r="K2514" s="8" t="n">
        <x:f>H2514-I2514*J2514</x:f>
        <x:v>1.322289956608235</x:v>
      </x:c>
      <x:c r="L2514" s="8" t="n">
        <x:f>'PG facts'!D126</x:f>
        <x:v>4</x:v>
      </x:c>
      <x:c r="M2514" s="8" t="n">
        <x:f>K2514-L2514</x:f>
        <x:v>-2.677710043391765</x:v>
      </x:c>
      <x:c r="N2514" s="8" t="n">
        <x:f>M2514^2</x:f>
        <x:v>7.170131076481129</x:v>
      </x:c>
      <x:c r="O2514" s="8" t="n">
        <x:f>ABS(M2514)</x:f>
        <x:v>2.677710043391765</x:v>
      </x:c>
      <x:c r="P2514" s="7" t="n">
        <x:v>45867</x:v>
      </x:c>
    </x:row>
    <x:row r="2515" ht="26" customHeight="1">
      <x:c r="A2515" s="2"/>
      <x:c r="B2515" s="2" t="n">
        <x:v>2510</x:v>
      </x:c>
      <x:c r="C2515" s="2" t="str">
        <x:v>Grooming / price_contribution</x:v>
      </x:c>
      <x:c r="D2515" s="7" t="n">
        <x:v>45838</x:v>
      </x:c>
      <x:c r="E2515" s="2" t="str">
        <x:v>Origin</x:v>
      </x:c>
      <x:c r="F2515" s="7" t="n">
        <x:v>45748</x:v>
      </x:c>
      <x:c r="G2515" s="2" t="str">
        <x:v>Half correction</x:v>
      </x:c>
      <x:c r="H2515" s="8" t="n">
        <x:f>K422</x:f>
        <x:v>3.1146279846473877</x:v>
      </x:c>
      <x:c r="I2515" s="8" t="n">
        <x:f>AVERAGE(M337,M354,M371,M388)</x:f>
        <x:v>1.7923380280391528</x:v>
      </x:c>
      <x:c r="J2515" s="8" t="n">
        <x:v>0.5</x:v>
      </x:c>
      <x:c r="K2515" s="8" t="n">
        <x:f>H2515-I2515*J2515</x:f>
        <x:v>2.218458970627811</x:v>
      </x:c>
      <x:c r="L2515" s="8" t="n">
        <x:f>'PG facts'!D126</x:f>
        <x:v>4</x:v>
      </x:c>
      <x:c r="M2515" s="8" t="n">
        <x:f>K2515-L2515</x:f>
        <x:v>-1.781541029372189</x:v>
      </x:c>
      <x:c r="N2515" s="8" t="n">
        <x:f>M2515^2</x:f>
        <x:v>3.1738884393365185</x:v>
      </x:c>
      <x:c r="O2515" s="8" t="n">
        <x:f>ABS(M2515)</x:f>
        <x:v>1.781541029372189</x:v>
      </x:c>
      <x:c r="P2515" s="7" t="n">
        <x:v>45867</x:v>
      </x:c>
    </x:row>
    <x:row r="2516" ht="26" customHeight="1">
      <x:c r="A2516" s="2"/>
      <x:c r="B2516" s="2" t="n">
        <x:v>2511</x:v>
      </x:c>
      <x:c r="C2516" s="2" t="str">
        <x:v>Grooming / price_contribution</x:v>
      </x:c>
      <x:c r="D2516" s="7" t="n">
        <x:v>45838</x:v>
      </x:c>
      <x:c r="E2516" s="2" t="str">
        <x:v>Prior report</x:v>
      </x:c>
      <x:c r="F2516" s="7" t="n">
        <x:v>45771</x:v>
      </x:c>
      <x:c r="G2516" s="2" t="str">
        <x:v>Bias correction</x:v>
      </x:c>
      <x:c r="H2516" s="8" t="n">
        <x:f>K427</x:f>
        <x:v>2.8351418692684414</x:v>
      </x:c>
      <x:c r="I2516" s="8" t="n">
        <x:f>AVERAGE(M359,M376,M393,M410)</x:f>
        <x:v>2.3157501843571735</x:v>
      </x:c>
      <x:c r="J2516" s="8" t="n">
        <x:v>1</x:v>
      </x:c>
      <x:c r="K2516" s="8" t="n">
        <x:f>H2516-I2516*J2516</x:f>
        <x:v>0.5193916849112679</x:v>
      </x:c>
      <x:c r="L2516" s="8" t="n">
        <x:f>'PG facts'!D126</x:f>
        <x:v>4</x:v>
      </x:c>
      <x:c r="M2516" s="8" t="n">
        <x:f>K2516-L2516</x:f>
        <x:v>-3.480608315088732</x:v>
      </x:c>
      <x:c r="N2516" s="8" t="n">
        <x:f>M2516^2</x:f>
        <x:v>12.114634243064822</x:v>
      </x:c>
      <x:c r="O2516" s="8" t="n">
        <x:f>ABS(M2516)</x:f>
        <x:v>3.480608315088732</x:v>
      </x:c>
      <x:c r="P2516" s="7" t="n">
        <x:v>45867</x:v>
      </x:c>
    </x:row>
    <x:row r="2517" ht="26" customHeight="1">
      <x:c r="A2517" s="2"/>
      <x:c r="B2517" s="2" t="n">
        <x:v>2512</x:v>
      </x:c>
      <x:c r="C2517" s="2" t="str">
        <x:v>Grooming / price_contribution</x:v>
      </x:c>
      <x:c r="D2517" s="7" t="n">
        <x:v>45838</x:v>
      </x:c>
      <x:c r="E2517" s="2" t="str">
        <x:v>Prior report</x:v>
      </x:c>
      <x:c r="F2517" s="7" t="n">
        <x:v>45771</x:v>
      </x:c>
      <x:c r="G2517" s="2" t="str">
        <x:v>Half correction</x:v>
      </x:c>
      <x:c r="H2517" s="8" t="n">
        <x:f>K427</x:f>
        <x:v>2.8351418692684414</x:v>
      </x:c>
      <x:c r="I2517" s="8" t="n">
        <x:f>AVERAGE(M359,M376,M393,M410)</x:f>
        <x:v>2.3157501843571735</x:v>
      </x:c>
      <x:c r="J2517" s="8" t="n">
        <x:v>0.5</x:v>
      </x:c>
      <x:c r="K2517" s="8" t="n">
        <x:f>H2517-I2517*J2517</x:f>
        <x:v>1.6772667770898546</x:v>
      </x:c>
      <x:c r="L2517" s="8" t="n">
        <x:f>'PG facts'!D126</x:f>
        <x:v>4</x:v>
      </x:c>
      <x:c r="M2517" s="8" t="n">
        <x:f>K2517-L2517</x:f>
        <x:v>-2.3227332229101454</x:v>
      </x:c>
      <x:c r="N2517" s="8" t="n">
        <x:f>M2517^2</x:f>
        <x:v>5.395089624810551</x:v>
      </x:c>
      <x:c r="O2517" s="8" t="n">
        <x:f>ABS(M2517)</x:f>
        <x:v>2.3227332229101454</x:v>
      </x:c>
      <x:c r="P2517" s="7" t="n">
        <x:v>45867</x:v>
      </x:c>
    </x:row>
    <x:row r="2518" ht="26" customHeight="1">
      <x:c r="A2518" s="2"/>
      <x:c r="B2518" s="2" t="n">
        <x:v>2513</x:v>
      </x:c>
      <x:c r="C2518" s="2" t="str">
        <x:v>Grooming / price_contribution</x:v>
      </x:c>
      <x:c r="D2518" s="7" t="n">
        <x:v>45838</x:v>
      </x:c>
      <x:c r="E2518" s="2" t="str">
        <x:v>Pre-earnings</x:v>
      </x:c>
      <x:c r="F2518" s="7" t="n">
        <x:v>45866</x:v>
      </x:c>
      <x:c r="G2518" s="2" t="str">
        <x:v>Bias correction</x:v>
      </x:c>
      <x:c r="H2518" s="8" t="n">
        <x:f>K433</x:f>
        <x:v>3.135598473037245</x:v>
      </x:c>
      <x:c r="I2518" s="8" t="n">
        <x:f>AVERAGE(M365,M382,M399,M416)</x:f>
        <x:v>1.4660325736983215</x:v>
      </x:c>
      <x:c r="J2518" s="8" t="n">
        <x:v>1</x:v>
      </x:c>
      <x:c r="K2518" s="8" t="n">
        <x:f>H2518-I2518*J2518</x:f>
        <x:v>1.6695658993389233</x:v>
      </x:c>
      <x:c r="L2518" s="8" t="n">
        <x:f>'PG facts'!D126</x:f>
        <x:v>4</x:v>
      </x:c>
      <x:c r="M2518" s="8" t="n">
        <x:f>K2518-L2518</x:f>
        <x:v>-2.3304341006610767</x:v>
      </x:c>
      <x:c r="N2518" s="8" t="n">
        <x:f>M2518^2</x:f>
        <x:v>5.430923097524001</x:v>
      </x:c>
      <x:c r="O2518" s="8" t="n">
        <x:f>ABS(M2518)</x:f>
        <x:v>2.3304341006610767</x:v>
      </x:c>
      <x:c r="P2518" s="7" t="n">
        <x:v>45867</x:v>
      </x:c>
    </x:row>
    <x:row r="2519" ht="26" customHeight="1">
      <x:c r="A2519" s="2"/>
      <x:c r="B2519" s="2" t="n">
        <x:v>2514</x:v>
      </x:c>
      <x:c r="C2519" s="2" t="str">
        <x:v>Grooming / price_contribution</x:v>
      </x:c>
      <x:c r="D2519" s="7" t="n">
        <x:v>45838</x:v>
      </x:c>
      <x:c r="E2519" s="2" t="str">
        <x:v>Pre-earnings</x:v>
      </x:c>
      <x:c r="F2519" s="7" t="n">
        <x:v>45866</x:v>
      </x:c>
      <x:c r="G2519" s="2" t="str">
        <x:v>Half correction</x:v>
      </x:c>
      <x:c r="H2519" s="8" t="n">
        <x:f>K433</x:f>
        <x:v>3.135598473037245</x:v>
      </x:c>
      <x:c r="I2519" s="8" t="n">
        <x:f>AVERAGE(M365,M382,M399,M416)</x:f>
        <x:v>1.4660325736983215</x:v>
      </x:c>
      <x:c r="J2519" s="8" t="n">
        <x:v>0.5</x:v>
      </x:c>
      <x:c r="K2519" s="8" t="n">
        <x:f>H2519-I2519*J2519</x:f>
        <x:v>2.4025821861880843</x:v>
      </x:c>
      <x:c r="L2519" s="8" t="n">
        <x:f>'PG facts'!D126</x:f>
        <x:v>4</x:v>
      </x:c>
      <x:c r="M2519" s="8" t="n">
        <x:f>K2519-L2519</x:f>
        <x:v>-1.5974178138119157</x:v>
      </x:c>
      <x:c r="N2519" s="8" t="n">
        <x:f>M2519^2</x:f>
        <x:v>2.5517436718836404</x:v>
      </x:c>
      <x:c r="O2519" s="8" t="n">
        <x:f>ABS(M2519)</x:f>
        <x:v>1.5974178138119157</x:v>
      </x:c>
      <x:c r="P2519" s="7" t="n">
        <x:v>45867</x:v>
      </x:c>
    </x:row>
    <x:row r="2520" ht="26" customHeight="1">
      <x:c r="A2520" s="2"/>
      <x:c r="B2520" s="2" t="n">
        <x:v>2515</x:v>
      </x:c>
      <x:c r="C2520" s="2" t="str">
        <x:v>Grooming / price_contribution</x:v>
      </x:c>
      <x:c r="D2520" s="7" t="n">
        <x:v>45930</x:v>
      </x:c>
      <x:c r="E2520" s="2" t="str">
        <x:v>Origin</x:v>
      </x:c>
      <x:c r="F2520" s="7" t="n">
        <x:v>45839</x:v>
      </x:c>
      <x:c r="G2520" s="2" t="str">
        <x:v>Bias correction</x:v>
      </x:c>
      <x:c r="H2520" s="8" t="n">
        <x:f>K439</x:f>
        <x:v>2.904935330858826</x:v>
      </x:c>
      <x:c r="I2520" s="8" t="n">
        <x:f>AVERAGE(M354,M371,M388,M405)</x:f>
        <x:v>2.623259901519424</x:v>
      </x:c>
      <x:c r="J2520" s="8" t="n">
        <x:v>1</x:v>
      </x:c>
      <x:c r="K2520" s="8" t="n">
        <x:f>H2520-I2520*J2520</x:f>
        <x:v>0.28167542933940215</x:v>
      </x:c>
      <x:c r="L2520" s="8" t="n">
        <x:f>'PG facts'!D133</x:f>
        <x:v>4</x:v>
      </x:c>
      <x:c r="M2520" s="8" t="n">
        <x:f>K2520-L2520</x:f>
        <x:v>-3.718324570660598</x:v>
      </x:c>
      <x:c r="N2520" s="8" t="n">
        <x:f>M2520^2</x:f>
        <x:v>13.825937612778318</x:v>
      </x:c>
      <x:c r="O2520" s="8" t="n">
        <x:f>ABS(M2520)</x:f>
        <x:v>3.718324570660598</x:v>
      </x:c>
      <x:c r="P2520" s="7" t="n">
        <x:v>45954</x:v>
      </x:c>
    </x:row>
    <x:row r="2521" ht="26" customHeight="1">
      <x:c r="A2521" s="2"/>
      <x:c r="B2521" s="2" t="n">
        <x:v>2516</x:v>
      </x:c>
      <x:c r="C2521" s="2" t="str">
        <x:v>Grooming / price_contribution</x:v>
      </x:c>
      <x:c r="D2521" s="7" t="n">
        <x:v>45930</x:v>
      </x:c>
      <x:c r="E2521" s="2" t="str">
        <x:v>Origin</x:v>
      </x:c>
      <x:c r="F2521" s="7" t="n">
        <x:v>45839</x:v>
      </x:c>
      <x:c r="G2521" s="2" t="str">
        <x:v>Half correction</x:v>
      </x:c>
      <x:c r="H2521" s="8" t="n">
        <x:f>K439</x:f>
        <x:v>2.904935330858826</x:v>
      </x:c>
      <x:c r="I2521" s="8" t="n">
        <x:f>AVERAGE(M354,M371,M388,M405)</x:f>
        <x:v>2.623259901519424</x:v>
      </x:c>
      <x:c r="J2521" s="8" t="n">
        <x:v>0.5</x:v>
      </x:c>
      <x:c r="K2521" s="8" t="n">
        <x:f>H2521-I2521*J2521</x:f>
        <x:v>1.5933053800991142</x:v>
      </x:c>
      <x:c r="L2521" s="8" t="n">
        <x:f>'PG facts'!D133</x:f>
        <x:v>4</x:v>
      </x:c>
      <x:c r="M2521" s="8" t="n">
        <x:f>K2521-L2521</x:f>
        <x:v>-2.406694619900886</x:v>
      </x:c>
      <x:c r="N2521" s="8" t="n">
        <x:f>M2521^2</x:f>
        <x:v>5.792178993459871</x:v>
      </x:c>
      <x:c r="O2521" s="8" t="n">
        <x:f>ABS(M2521)</x:f>
        <x:v>2.406694619900886</x:v>
      </x:c>
      <x:c r="P2521" s="7" t="n">
        <x:v>45954</x:v>
      </x:c>
    </x:row>
    <x:row r="2522" ht="26" customHeight="1">
      <x:c r="A2522" s="2"/>
      <x:c r="B2522" s="2" t="n">
        <x:v>2517</x:v>
      </x:c>
      <x:c r="C2522" s="2" t="str">
        <x:v>Grooming / price_contribution</x:v>
      </x:c>
      <x:c r="D2522" s="7" t="n">
        <x:v>45930</x:v>
      </x:c>
      <x:c r="E2522" s="2" t="str">
        <x:v>Prior report</x:v>
      </x:c>
      <x:c r="F2522" s="7" t="n">
        <x:v>45867</x:v>
      </x:c>
      <x:c r="G2522" s="2" t="str">
        <x:v>Bias correction</x:v>
      </x:c>
      <x:c r="H2522" s="8" t="n">
        <x:f>K444</x:f>
        <x:v>3.2109287911430924</x:v>
      </x:c>
      <x:c r="I2522" s="8" t="n">
        <x:f>AVERAGE(M376,M393,M410,M427)</x:f>
        <x:v>1.5453219924703065</x:v>
      </x:c>
      <x:c r="J2522" s="8" t="n">
        <x:v>1</x:v>
      </x:c>
      <x:c r="K2522" s="8" t="n">
        <x:f>H2522-I2522*J2522</x:f>
        <x:v>1.6656067986727858</x:v>
      </x:c>
      <x:c r="L2522" s="8" t="n">
        <x:f>'PG facts'!D133</x:f>
        <x:v>4</x:v>
      </x:c>
      <x:c r="M2522" s="8" t="n">
        <x:f>K2522-L2522</x:f>
        <x:v>-2.334393201327214</x:v>
      </x:c>
      <x:c r="N2522" s="8" t="n">
        <x:f>M2522^2</x:f>
        <x:v>5.449391618402719</x:v>
      </x:c>
      <x:c r="O2522" s="8" t="n">
        <x:f>ABS(M2522)</x:f>
        <x:v>2.334393201327214</x:v>
      </x:c>
      <x:c r="P2522" s="7" t="n">
        <x:v>45954</x:v>
      </x:c>
    </x:row>
    <x:row r="2523" ht="26" customHeight="1">
      <x:c r="A2523" s="2"/>
      <x:c r="B2523" s="2" t="n">
        <x:v>2518</x:v>
      </x:c>
      <x:c r="C2523" s="2" t="str">
        <x:v>Grooming / price_contribution</x:v>
      </x:c>
      <x:c r="D2523" s="7" t="n">
        <x:v>45930</x:v>
      </x:c>
      <x:c r="E2523" s="2" t="str">
        <x:v>Prior report</x:v>
      </x:c>
      <x:c r="F2523" s="7" t="n">
        <x:v>45867</x:v>
      </x:c>
      <x:c r="G2523" s="2" t="str">
        <x:v>Half correction</x:v>
      </x:c>
      <x:c r="H2523" s="8" t="n">
        <x:f>K444</x:f>
        <x:v>3.2109287911430924</x:v>
      </x:c>
      <x:c r="I2523" s="8" t="n">
        <x:f>AVERAGE(M376,M393,M410,M427)</x:f>
        <x:v>1.5453219924703065</x:v>
      </x:c>
      <x:c r="J2523" s="8" t="n">
        <x:v>0.5</x:v>
      </x:c>
      <x:c r="K2523" s="8" t="n">
        <x:f>H2523-I2523*J2523</x:f>
        <x:v>2.438267794907939</x:v>
      </x:c>
      <x:c r="L2523" s="8" t="n">
        <x:f>'PG facts'!D133</x:f>
        <x:v>4</x:v>
      </x:c>
      <x:c r="M2523" s="8" t="n">
        <x:f>K2523-L2523</x:f>
        <x:v>-1.5617322050920608</x:v>
      </x:c>
      <x:c r="N2523" s="8" t="n">
        <x:f>M2523^2</x:f>
        <x:v>2.4390074804217106</x:v>
      </x:c>
      <x:c r="O2523" s="8" t="n">
        <x:f>ABS(M2523)</x:f>
        <x:v>1.5617322050920608</x:v>
      </x:c>
      <x:c r="P2523" s="7" t="n">
        <x:v>45954</x:v>
      </x:c>
    </x:row>
    <x:row r="2524" ht="26" customHeight="1">
      <x:c r="A2524" s="2"/>
      <x:c r="B2524" s="2" t="n">
        <x:v>2519</x:v>
      </x:c>
      <x:c r="C2524" s="2" t="str">
        <x:v>Grooming / price_contribution</x:v>
      </x:c>
      <x:c r="D2524" s="7" t="n">
        <x:v>45930</x:v>
      </x:c>
      <x:c r="E2524" s="2" t="str">
        <x:v>Pre-earnings</x:v>
      </x:c>
      <x:c r="F2524" s="7" t="n">
        <x:v>45953</x:v>
      </x:c>
      <x:c r="G2524" s="2" t="str">
        <x:v>Bias correction</x:v>
      </x:c>
      <x:c r="H2524" s="8" t="n">
        <x:f>K450</x:f>
        <x:v>3.4857136133426385</x:v>
      </x:c>
      <x:c r="I2524" s="8" t="n">
        <x:f>AVERAGE(M382,M399,M416,M433)</x:f>
        <x:v>1.2634052332168744</x:v>
      </x:c>
      <x:c r="J2524" s="8" t="n">
        <x:v>1</x:v>
      </x:c>
      <x:c r="K2524" s="8" t="n">
        <x:f>H2524-I2524*J2524</x:f>
        <x:v>2.222308380125764</x:v>
      </x:c>
      <x:c r="L2524" s="8" t="n">
        <x:f>'PG facts'!D133</x:f>
        <x:v>4</x:v>
      </x:c>
      <x:c r="M2524" s="8" t="n">
        <x:f>K2524-L2524</x:f>
        <x:v>-1.7776916198742359</x:v>
      </x:c>
      <x:c r="N2524" s="8" t="n">
        <x:f>M2524^2</x:f>
        <x:v>3.1601874953710847</x:v>
      </x:c>
      <x:c r="O2524" s="8" t="n">
        <x:f>ABS(M2524)</x:f>
        <x:v>1.7776916198742359</x:v>
      </x:c>
      <x:c r="P2524" s="7" t="n">
        <x:v>45954</x:v>
      </x:c>
    </x:row>
    <x:row r="2525" ht="26" customHeight="1">
      <x:c r="A2525" s="2"/>
      <x:c r="B2525" s="2" t="n">
        <x:v>2520</x:v>
      </x:c>
      <x:c r="C2525" s="2" t="str">
        <x:v>Grooming / price_contribution</x:v>
      </x:c>
      <x:c r="D2525" s="7" t="n">
        <x:v>45930</x:v>
      </x:c>
      <x:c r="E2525" s="2" t="str">
        <x:v>Pre-earnings</x:v>
      </x:c>
      <x:c r="F2525" s="7" t="n">
        <x:v>45953</x:v>
      </x:c>
      <x:c r="G2525" s="2" t="str">
        <x:v>Half correction</x:v>
      </x:c>
      <x:c r="H2525" s="8" t="n">
        <x:f>K450</x:f>
        <x:v>3.4857136133426385</x:v>
      </x:c>
      <x:c r="I2525" s="8" t="n">
        <x:f>AVERAGE(M382,M399,M416,M433)</x:f>
        <x:v>1.2634052332168744</x:v>
      </x:c>
      <x:c r="J2525" s="8" t="n">
        <x:v>0.5</x:v>
      </x:c>
      <x:c r="K2525" s="8" t="n">
        <x:f>H2525-I2525*J2525</x:f>
        <x:v>2.8540109967342016</x:v>
      </x:c>
      <x:c r="L2525" s="8" t="n">
        <x:f>'PG facts'!D133</x:f>
        <x:v>4</x:v>
      </x:c>
      <x:c r="M2525" s="8" t="n">
        <x:f>K2525-L2525</x:f>
        <x:v>-1.1459890032657984</x:v>
      </x:c>
      <x:c r="N2525" s="8" t="n">
        <x:f>M2525^2</x:f>
        <x:v>1.3132907956061382</x:v>
      </x:c>
      <x:c r="O2525" s="8" t="n">
        <x:f>ABS(M2525)</x:f>
        <x:v>1.1459890032657984</x:v>
      </x:c>
      <x:c r="P2525" s="7" t="n">
        <x:v>45954</x:v>
      </x:c>
    </x:row>
    <x:row r="2526" ht="26" customHeight="1">
      <x:c r="A2526" s="2"/>
      <x:c r="B2526" s="2" t="n">
        <x:v>2521</x:v>
      </x:c>
      <x:c r="C2526" s="2" t="str">
        <x:v>Grooming / price_contribution</x:v>
      </x:c>
      <x:c r="D2526" s="7" t="n">
        <x:v>46022</x:v>
      </x:c>
      <x:c r="E2526" s="2" t="str">
        <x:v>Origin</x:v>
      </x:c>
      <x:c r="F2526" s="7" t="n">
        <x:v>45931</x:v>
      </x:c>
      <x:c r="G2526" s="2" t="str">
        <x:v>Bias correction</x:v>
      </x:c>
      <x:c r="H2526" s="8" t="n">
        <x:f>K456</x:f>
        <x:v>3.455071954831351</x:v>
      </x:c>
      <x:c r="I2526" s="8" t="n">
        <x:f>AVERAGE(M371,M388,M405,M422)</x:f>
        <x:v>1.9996915053934377</x:v>
      </x:c>
      <x:c r="J2526" s="8" t="n">
        <x:v>1</x:v>
      </x:c>
      <x:c r="K2526" s="8" t="n">
        <x:f>H2526-I2526*J2526</x:f>
        <x:v>1.4553804494379134</x:v>
      </x:c>
      <x:c r="L2526" s="8" t="n">
        <x:f>'PG facts'!D140</x:f>
        <x:v>2</x:v>
      </x:c>
      <x:c r="M2526" s="8" t="n">
        <x:f>K2526-L2526</x:f>
        <x:v>-0.5446195505620866</x:v>
      </x:c>
      <x:c r="N2526" s="8" t="n">
        <x:f>M2526^2</x:f>
        <x:v>0.29661045485444915</x:v>
      </x:c>
      <x:c r="O2526" s="8" t="n">
        <x:f>ABS(M2526)</x:f>
        <x:v>0.5446195505620866</x:v>
      </x:c>
      <x:c r="P2526" s="7" t="n">
        <x:v>46045</x:v>
      </x:c>
    </x:row>
    <x:row r="2527" ht="26" customHeight="1">
      <x:c r="A2527" s="2"/>
      <x:c r="B2527" s="2" t="n">
        <x:v>2522</x:v>
      </x:c>
      <x:c r="C2527" s="2" t="str">
        <x:v>Grooming / price_contribution</x:v>
      </x:c>
      <x:c r="D2527" s="7" t="n">
        <x:v>46022</x:v>
      </x:c>
      <x:c r="E2527" s="2" t="str">
        <x:v>Origin</x:v>
      </x:c>
      <x:c r="F2527" s="7" t="n">
        <x:v>45931</x:v>
      </x:c>
      <x:c r="G2527" s="2" t="str">
        <x:v>Half correction</x:v>
      </x:c>
      <x:c r="H2527" s="8" t="n">
        <x:f>K456</x:f>
        <x:v>3.455071954831351</x:v>
      </x:c>
      <x:c r="I2527" s="8" t="n">
        <x:f>AVERAGE(M371,M388,M405,M422)</x:f>
        <x:v>1.9996915053934377</x:v>
      </x:c>
      <x:c r="J2527" s="8" t="n">
        <x:v>0.5</x:v>
      </x:c>
      <x:c r="K2527" s="8" t="n">
        <x:f>H2527-I2527*J2527</x:f>
        <x:v>2.4552262021346323</x:v>
      </x:c>
      <x:c r="L2527" s="8" t="n">
        <x:f>'PG facts'!D140</x:f>
        <x:v>2</x:v>
      </x:c>
      <x:c r="M2527" s="8" t="n">
        <x:f>K2527-L2527</x:f>
        <x:v>0.4552262021346323</x:v>
      </x:c>
      <x:c r="N2527" s="8" t="n">
        <x:f>M2527^2</x:f>
        <x:v>0.20723089510992107</x:v>
      </x:c>
      <x:c r="O2527" s="8" t="n">
        <x:f>ABS(M2527)</x:f>
        <x:v>0.4552262021346323</x:v>
      </x:c>
      <x:c r="P2527" s="7" t="n">
        <x:v>46045</x:v>
      </x:c>
    </x:row>
    <x:row r="2528" ht="26" customHeight="1">
      <x:c r="A2528" s="2"/>
      <x:c r="B2528" s="2" t="n">
        <x:v>2523</x:v>
      </x:c>
      <x:c r="C2528" s="2" t="str">
        <x:v>Grooming / price_contribution</x:v>
      </x:c>
      <x:c r="D2528" s="7" t="n">
        <x:v>46022</x:v>
      </x:c>
      <x:c r="E2528" s="2" t="str">
        <x:v>Prior report</x:v>
      </x:c>
      <x:c r="F2528" s="7" t="n">
        <x:v>45954</x:v>
      </x:c>
      <x:c r="G2528" s="2" t="str">
        <x:v>Bias correction</x:v>
      </x:c>
      <x:c r="H2528" s="8" t="n">
        <x:f>K461</x:f>
        <x:v>3.781340152994686</x:v>
      </x:c>
      <x:c r="I2528" s="8" t="n">
        <x:f>AVERAGE(M393,M410,M427,M444)</x:f>
        <x:v>0.3593802687715857</x:v>
      </x:c>
      <x:c r="J2528" s="8" t="n">
        <x:v>1</x:v>
      </x:c>
      <x:c r="K2528" s="8" t="n">
        <x:f>H2528-I2528*J2528</x:f>
        <x:v>3.4219598842231003</x:v>
      </x:c>
      <x:c r="L2528" s="8" t="n">
        <x:f>'PG facts'!D140</x:f>
        <x:v>2</x:v>
      </x:c>
      <x:c r="M2528" s="8" t="n">
        <x:f>K2528-L2528</x:f>
        <x:v>1.4219598842231003</x:v>
      </x:c>
      <x:c r="N2528" s="8" t="n">
        <x:f>M2528^2</x:f>
        <x:v>2.0219699123397725</x:v>
      </x:c>
      <x:c r="O2528" s="8" t="n">
        <x:f>ABS(M2528)</x:f>
        <x:v>1.4219598842231003</x:v>
      </x:c>
      <x:c r="P2528" s="7" t="n">
        <x:v>46045</x:v>
      </x:c>
    </x:row>
    <x:row r="2529" ht="26" customHeight="1">
      <x:c r="A2529" s="2"/>
      <x:c r="B2529" s="2" t="n">
        <x:v>2524</x:v>
      </x:c>
      <x:c r="C2529" s="2" t="str">
        <x:v>Grooming / price_contribution</x:v>
      </x:c>
      <x:c r="D2529" s="7" t="n">
        <x:v>46022</x:v>
      </x:c>
      <x:c r="E2529" s="2" t="str">
        <x:v>Prior report</x:v>
      </x:c>
      <x:c r="F2529" s="7" t="n">
        <x:v>45954</x:v>
      </x:c>
      <x:c r="G2529" s="2" t="str">
        <x:v>Half correction</x:v>
      </x:c>
      <x:c r="H2529" s="8" t="n">
        <x:f>K461</x:f>
        <x:v>3.781340152994686</x:v>
      </x:c>
      <x:c r="I2529" s="8" t="n">
        <x:f>AVERAGE(M393,M410,M427,M444)</x:f>
        <x:v>0.3593802687715857</x:v>
      </x:c>
      <x:c r="J2529" s="8" t="n">
        <x:v>0.5</x:v>
      </x:c>
      <x:c r="K2529" s="8" t="n">
        <x:f>H2529-I2529*J2529</x:f>
        <x:v>3.6016500186088933</x:v>
      </x:c>
      <x:c r="L2529" s="8" t="n">
        <x:f>'PG facts'!D140</x:f>
        <x:v>2</x:v>
      </x:c>
      <x:c r="M2529" s="8" t="n">
        <x:f>K2529-L2529</x:f>
        <x:v>1.6016500186088933</x:v>
      </x:c>
      <x:c r="N2529" s="8" t="n">
        <x:f>M2529^2</x:f>
        <x:v>2.5652827821098683</x:v>
      </x:c>
      <x:c r="O2529" s="8" t="n">
        <x:f>ABS(M2529)</x:f>
        <x:v>1.6016500186088933</x:v>
      </x:c>
      <x:c r="P2529" s="7" t="n">
        <x:v>46045</x:v>
      </x:c>
    </x:row>
    <x:row r="2530" ht="26" customHeight="1">
      <x:c r="A2530" s="2"/>
      <x:c r="B2530" s="2" t="n">
        <x:v>2525</x:v>
      </x:c>
      <x:c r="C2530" s="2" t="str">
        <x:v>Grooming / price_contribution</x:v>
      </x:c>
      <x:c r="D2530" s="7" t="n">
        <x:v>46022</x:v>
      </x:c>
      <x:c r="E2530" s="2" t="str">
        <x:v>Pre-earnings</x:v>
      </x:c>
      <x:c r="F2530" s="7" t="n">
        <x:v>46044</x:v>
      </x:c>
      <x:c r="G2530" s="2" t="str">
        <x:v>Bias correction</x:v>
      </x:c>
      <x:c r="H2530" s="8" t="n">
        <x:f>K467</x:f>
        <x:v>3.955163102192749</x:v>
      </x:c>
      <x:c r="I2530" s="8" t="n">
        <x:f>AVERAGE(M399,M416,M433,M450)</x:f>
        <x:v>0.4652768570580448</x:v>
      </x:c>
      <x:c r="J2530" s="8" t="n">
        <x:v>1</x:v>
      </x:c>
      <x:c r="K2530" s="8" t="n">
        <x:f>H2530-I2530*J2530</x:f>
        <x:v>3.4898862451347044</x:v>
      </x:c>
      <x:c r="L2530" s="8" t="n">
        <x:f>'PG facts'!D140</x:f>
        <x:v>2</x:v>
      </x:c>
      <x:c r="M2530" s="8" t="n">
        <x:f>K2530-L2530</x:f>
        <x:v>1.4898862451347044</x:v>
      </x:c>
      <x:c r="N2530" s="8" t="n">
        <x:f>M2530^2</x:f>
        <x:v>2.2197610234415883</x:v>
      </x:c>
      <x:c r="O2530" s="8" t="n">
        <x:f>ABS(M2530)</x:f>
        <x:v>1.4898862451347044</x:v>
      </x:c>
      <x:c r="P2530" s="7" t="n">
        <x:v>46045</x:v>
      </x:c>
    </x:row>
    <x:row r="2531" ht="26" customHeight="1">
      <x:c r="A2531" s="2"/>
      <x:c r="B2531" s="2" t="n">
        <x:v>2526</x:v>
      </x:c>
      <x:c r="C2531" s="2" t="str">
        <x:v>Grooming / price_contribution</x:v>
      </x:c>
      <x:c r="D2531" s="7" t="n">
        <x:v>46022</x:v>
      </x:c>
      <x:c r="E2531" s="2" t="str">
        <x:v>Pre-earnings</x:v>
      </x:c>
      <x:c r="F2531" s="7" t="n">
        <x:v>46044</x:v>
      </x:c>
      <x:c r="G2531" s="2" t="str">
        <x:v>Half correction</x:v>
      </x:c>
      <x:c r="H2531" s="8" t="n">
        <x:f>K467</x:f>
        <x:v>3.955163102192749</x:v>
      </x:c>
      <x:c r="I2531" s="8" t="n">
        <x:f>AVERAGE(M399,M416,M433,M450)</x:f>
        <x:v>0.4652768570580448</x:v>
      </x:c>
      <x:c r="J2531" s="8" t="n">
        <x:v>0.5</x:v>
      </x:c>
      <x:c r="K2531" s="8" t="n">
        <x:f>H2531-I2531*J2531</x:f>
        <x:v>3.7225246736637265</x:v>
      </x:c>
      <x:c r="L2531" s="8" t="n">
        <x:f>'PG facts'!D140</x:f>
        <x:v>2</x:v>
      </x:c>
      <x:c r="M2531" s="8" t="n">
        <x:f>K2531-L2531</x:f>
        <x:v>1.7225246736637265</x:v>
      </x:c>
      <x:c r="N2531" s="8" t="n">
        <x:f>M2531^2</x:f>
        <x:v>2.9670912513803276</x:v>
      </x:c>
      <x:c r="O2531" s="8" t="n">
        <x:f>ABS(M2531)</x:f>
        <x:v>1.7225246736637265</x:v>
      </x:c>
      <x:c r="P2531" s="7" t="n">
        <x:v>46045</x:v>
      </x:c>
    </x:row>
    <x:row r="2532" ht="26" customHeight="1">
      <x:c r="A2532" s="2"/>
      <x:c r="B2532" s="2" t="n">
        <x:v>2527</x:v>
      </x:c>
      <x:c r="C2532" s="2" t="str">
        <x:v>Grooming / price_contribution</x:v>
      </x:c>
      <x:c r="D2532" s="7" t="n">
        <x:v>46112</x:v>
      </x:c>
      <x:c r="E2532" s="2" t="str">
        <x:v>Origin</x:v>
      </x:c>
      <x:c r="F2532" s="7" t="n">
        <x:v>46023</x:v>
      </x:c>
      <x:c r="G2532" s="2" t="str">
        <x:v>Bias correction</x:v>
      </x:c>
      <x:c r="H2532" s="8" t="n">
        <x:f>K473</x:f>
        <x:v>3.9057805141837045</x:v>
      </x:c>
      <x:c r="I2532" s="8" t="n">
        <x:f>AVERAGE(M388,M405,M422,M439)</x:f>
        <x:v>0.5430560007624714</x:v>
      </x:c>
      <x:c r="J2532" s="8" t="n">
        <x:v>1</x:v>
      </x:c>
      <x:c r="K2532" s="8" t="n">
        <x:f>H2532-I2532*J2532</x:f>
        <x:v>3.362724513421233</x:v>
      </x:c>
      <x:c r="L2532" s="8" t="n">
        <x:f>'PG facts'!D147</x:f>
        <x:v>3</x:v>
      </x:c>
      <x:c r="M2532" s="8" t="n">
        <x:f>K2532-L2532</x:f>
        <x:v>0.36272451342123313</x:v>
      </x:c>
      <x:c r="N2532" s="8" t="n">
        <x:f>M2532^2</x:f>
        <x:v>0.13156907263667034</x:v>
      </x:c>
      <x:c r="O2532" s="8" t="n">
        <x:f>ABS(M2532)</x:f>
        <x:v>0.36272451342123313</x:v>
      </x:c>
      <x:c r="P2532" s="7" t="n">
        <x:v>46136</x:v>
      </x:c>
    </x:row>
    <x:row r="2533" ht="26" customHeight="1">
      <x:c r="A2533" s="2"/>
      <x:c r="B2533" s="2" t="n">
        <x:v>2528</x:v>
      </x:c>
      <x:c r="C2533" s="2" t="str">
        <x:v>Grooming / price_contribution</x:v>
      </x:c>
      <x:c r="D2533" s="7" t="n">
        <x:v>46112</x:v>
      </x:c>
      <x:c r="E2533" s="2" t="str">
        <x:v>Origin</x:v>
      </x:c>
      <x:c r="F2533" s="7" t="n">
        <x:v>46023</x:v>
      </x:c>
      <x:c r="G2533" s="2" t="str">
        <x:v>Half correction</x:v>
      </x:c>
      <x:c r="H2533" s="8" t="n">
        <x:f>K473</x:f>
        <x:v>3.9057805141837045</x:v>
      </x:c>
      <x:c r="I2533" s="8" t="n">
        <x:f>AVERAGE(M388,M405,M422,M439)</x:f>
        <x:v>0.5430560007624714</x:v>
      </x:c>
      <x:c r="J2533" s="8" t="n">
        <x:v>0.5</x:v>
      </x:c>
      <x:c r="K2533" s="8" t="n">
        <x:f>H2533-I2533*J2533</x:f>
        <x:v>3.634252513802469</x:v>
      </x:c>
      <x:c r="L2533" s="8" t="n">
        <x:f>'PG facts'!D147</x:f>
        <x:v>3</x:v>
      </x:c>
      <x:c r="M2533" s="8" t="n">
        <x:f>K2533-L2533</x:f>
        <x:v>0.634252513802469</x:v>
      </x:c>
      <x:c r="N2533" s="8" t="n">
        <x:f>M2533^2</x:f>
        <x:v>0.4022762512647512</x:v>
      </x:c>
      <x:c r="O2533" s="8" t="n">
        <x:f>ABS(M2533)</x:f>
        <x:v>0.634252513802469</x:v>
      </x:c>
      <x:c r="P2533" s="7" t="n">
        <x:v>46136</x:v>
      </x:c>
    </x:row>
    <x:row r="2534" ht="26" customHeight="1">
      <x:c r="A2534" s="2"/>
      <x:c r="B2534" s="2" t="n">
        <x:v>2529</x:v>
      </x:c>
      <x:c r="C2534" s="2" t="str">
        <x:v>Grooming / price_contribution</x:v>
      </x:c>
      <x:c r="D2534" s="7" t="n">
        <x:v>46112</x:v>
      </x:c>
      <x:c r="E2534" s="2" t="str">
        <x:v>Prior report</x:v>
      </x:c>
      <x:c r="F2534" s="7" t="n">
        <x:v>46045</x:v>
      </x:c>
      <x:c r="G2534" s="2" t="str">
        <x:v>Bias correction</x:v>
      </x:c>
      <x:c r="H2534" s="8" t="n">
        <x:f>K478</x:f>
        <x:v>4.044155200476514</x:v>
      </x:c>
      <x:c r="I2534" s="8" t="n">
        <x:f>AVERAGE(M410,M427,M444,M461)</x:f>
        <x:v>0.219097346570446</x:v>
      </x:c>
      <x:c r="J2534" s="8" t="n">
        <x:v>1</x:v>
      </x:c>
      <x:c r="K2534" s="8" t="n">
        <x:f>H2534-I2534*J2534</x:f>
        <x:v>3.825057853906068</x:v>
      </x:c>
      <x:c r="L2534" s="8" t="n">
        <x:f>'PG facts'!D147</x:f>
        <x:v>3</x:v>
      </x:c>
      <x:c r="M2534" s="8" t="n">
        <x:f>K2534-L2534</x:f>
        <x:v>0.8250578539060678</x:v>
      </x:c>
      <x:c r="N2534" s="8" t="n">
        <x:f>M2534^2</x:f>
        <x:v>0.6807204622920863</x:v>
      </x:c>
      <x:c r="O2534" s="8" t="n">
        <x:f>ABS(M2534)</x:f>
        <x:v>0.8250578539060678</x:v>
      </x:c>
      <x:c r="P2534" s="7" t="n">
        <x:v>46136</x:v>
      </x:c>
    </x:row>
    <x:row r="2535" ht="26" customHeight="1">
      <x:c r="A2535" s="2"/>
      <x:c r="B2535" s="2" t="n">
        <x:v>2530</x:v>
      </x:c>
      <x:c r="C2535" s="2" t="str">
        <x:v>Grooming / price_contribution</x:v>
      </x:c>
      <x:c r="D2535" s="7" t="n">
        <x:v>46112</x:v>
      </x:c>
      <x:c r="E2535" s="2" t="str">
        <x:v>Prior report</x:v>
      </x:c>
      <x:c r="F2535" s="7" t="n">
        <x:v>46045</x:v>
      </x:c>
      <x:c r="G2535" s="2" t="str">
        <x:v>Half correction</x:v>
      </x:c>
      <x:c r="H2535" s="8" t="n">
        <x:f>K478</x:f>
        <x:v>4.044155200476514</x:v>
      </x:c>
      <x:c r="I2535" s="8" t="n">
        <x:f>AVERAGE(M410,M427,M444,M461)</x:f>
        <x:v>0.219097346570446</x:v>
      </x:c>
      <x:c r="J2535" s="8" t="n">
        <x:v>0.5</x:v>
      </x:c>
      <x:c r="K2535" s="8" t="n">
        <x:f>H2535-I2535*J2535</x:f>
        <x:v>3.9346065271912907</x:v>
      </x:c>
      <x:c r="L2535" s="8" t="n">
        <x:f>'PG facts'!D147</x:f>
        <x:v>3</x:v>
      </x:c>
      <x:c r="M2535" s="8" t="n">
        <x:f>K2535-L2535</x:f>
        <x:v>0.9346065271912907</x:v>
      </x:c>
      <x:c r="N2535" s="8" t="n">
        <x:f>M2535^2</x:f>
        <x:v>0.8734893606685648</x:v>
      </x:c>
      <x:c r="O2535" s="8" t="n">
        <x:f>ABS(M2535)</x:f>
        <x:v>0.9346065271912907</x:v>
      </x:c>
      <x:c r="P2535" s="7" t="n">
        <x:v>46136</x:v>
      </x:c>
    </x:row>
    <x:row r="2536" ht="26" customHeight="1">
      <x:c r="A2536" s="2"/>
      <x:c r="B2536" s="2" t="n">
        <x:v>2531</x:v>
      </x:c>
      <x:c r="C2536" s="2" t="str">
        <x:v>Grooming / price_contribution</x:v>
      </x:c>
      <x:c r="D2536" s="7" t="n">
        <x:v>46112</x:v>
      </x:c>
      <x:c r="E2536" s="2" t="str">
        <x:v>Pre-earnings</x:v>
      </x:c>
      <x:c r="F2536" s="7" t="n">
        <x:v>46135</x:v>
      </x:c>
      <x:c r="G2536" s="2" t="str">
        <x:v>Bias correction</x:v>
      </x:c>
      <x:c r="H2536" s="8" t="n">
        <x:f>K483</x:f>
        <x:v>4.81695135273529</x:v>
      </x:c>
      <x:c r="I2536" s="8" t="n">
        <x:f>AVERAGE(M416,M433,M450,M467)</x:f>
        <x:v>0.37712381054018507</x:v>
      </x:c>
      <x:c r="J2536" s="8" t="n">
        <x:v>1</x:v>
      </x:c>
      <x:c r="K2536" s="8" t="n">
        <x:f>H2536-I2536*J2536</x:f>
        <x:v>4.439827542195105</x:v>
      </x:c>
      <x:c r="L2536" s="8" t="n">
        <x:f>'PG facts'!D147</x:f>
        <x:v>3</x:v>
      </x:c>
      <x:c r="M2536" s="8" t="n">
        <x:f>K2536-L2536</x:f>
        <x:v>1.439827542195105</x:v>
      </x:c>
      <x:c r="N2536" s="8" t="n">
        <x:f>M2536^2</x:f>
        <x:v>2.073103351263597</x:v>
      </x:c>
      <x:c r="O2536" s="8" t="n">
        <x:f>ABS(M2536)</x:f>
        <x:v>1.439827542195105</x:v>
      </x:c>
      <x:c r="P2536" s="7" t="n">
        <x:v>46136</x:v>
      </x:c>
    </x:row>
    <x:row r="2537" ht="26" customHeight="1">
      <x:c r="A2537" s="2"/>
      <x:c r="B2537" s="2" t="n">
        <x:v>2532</x:v>
      </x:c>
      <x:c r="C2537" s="2" t="str">
        <x:v>Grooming / price_contribution</x:v>
      </x:c>
      <x:c r="D2537" s="7" t="n">
        <x:v>46112</x:v>
      </x:c>
      <x:c r="E2537" s="2" t="str">
        <x:v>Pre-earnings</x:v>
      </x:c>
      <x:c r="F2537" s="7" t="n">
        <x:v>46135</x:v>
      </x:c>
      <x:c r="G2537" s="2" t="str">
        <x:v>Half correction</x:v>
      </x:c>
      <x:c r="H2537" s="8" t="n">
        <x:f>K483</x:f>
        <x:v>4.81695135273529</x:v>
      </x:c>
      <x:c r="I2537" s="8" t="n">
        <x:f>AVERAGE(M416,M433,M450,M467)</x:f>
        <x:v>0.37712381054018507</x:v>
      </x:c>
      <x:c r="J2537" s="8" t="n">
        <x:v>0.5</x:v>
      </x:c>
      <x:c r="K2537" s="8" t="n">
        <x:f>H2537-I2537*J2537</x:f>
        <x:v>4.628389447465198</x:v>
      </x:c>
      <x:c r="L2537" s="8" t="n">
        <x:f>'PG facts'!D147</x:f>
        <x:v>3</x:v>
      </x:c>
      <x:c r="M2537" s="8" t="n">
        <x:f>K2537-L2537</x:f>
        <x:v>1.6283894474651976</x:v>
      </x:c>
      <x:c r="N2537" s="8" t="n">
        <x:f>M2537^2</x:f>
        <x:v>2.6516521926160115</x:v>
      </x:c>
      <x:c r="O2537" s="8" t="n">
        <x:f>ABS(M2537)</x:f>
        <x:v>1.6283894474651976</x:v>
      </x:c>
      <x:c r="P2537" s="7" t="n">
        <x:v>46136</x:v>
      </x:c>
    </x:row>
    <x:row r="2538" ht="26" customHeight="1">
      <x:c r="A2538" s="2"/>
      <x:c r="B2538" s="2" t="n">
        <x:v>2533</x:v>
      </x:c>
      <x:c r="C2538" s="2" t="str">
        <x:v>Health Care / price_contribution</x:v>
      </x:c>
      <x:c r="D2538" s="7" t="n">
        <x:v>45473</x:v>
      </x:c>
      <x:c r="E2538" s="2" t="str">
        <x:v>Prior report</x:v>
      </x:c>
      <x:c r="F2538" s="7" t="n">
        <x:v>45401</x:v>
      </x:c>
      <x:c r="G2538" s="2" t="str">
        <x:v>Bias correction</x:v>
      </x:c>
      <x:c r="H2538" s="8" t="n">
        <x:f>K559</x:f>
        <x:v>3.9825509359098126</x:v>
      </x:c>
      <x:c r="I2538" s="8" t="n">
        <x:f>AVERAGE(M492,M508,M525,M542)</x:f>
        <x:v>0.19380261480597993</x:v>
      </x:c>
      <x:c r="J2538" s="8" t="n">
        <x:v>1</x:v>
      </x:c>
      <x:c r="K2538" s="8" t="n">
        <x:f>H2538-I2538*J2538</x:f>
        <x:v>3.7887483211038324</x:v>
      </x:c>
      <x:c r="L2538" s="8" t="n">
        <x:f>'PG facts'!D99</x:f>
        <x:v>2</x:v>
      </x:c>
      <x:c r="M2538" s="8" t="n">
        <x:f>K2538-L2538</x:f>
        <x:v>1.7887483211038324</x:v>
      </x:c>
      <x:c r="N2538" s="8" t="n">
        <x:f>M2538^2</x:f>
        <x:v>3.199620556251779</x:v>
      </x:c>
      <x:c r="O2538" s="8" t="n">
        <x:f>ABS(M2538)</x:f>
        <x:v>1.7887483211038324</x:v>
      </x:c>
      <x:c r="P2538" s="7" t="n">
        <x:v>45503</x:v>
      </x:c>
    </x:row>
    <x:row r="2539" ht="26" customHeight="1">
      <x:c r="A2539" s="2"/>
      <x:c r="B2539" s="2" t="n">
        <x:v>2534</x:v>
      </x:c>
      <x:c r="C2539" s="2" t="str">
        <x:v>Health Care / price_contribution</x:v>
      </x:c>
      <x:c r="D2539" s="7" t="n">
        <x:v>45473</x:v>
      </x:c>
      <x:c r="E2539" s="2" t="str">
        <x:v>Prior report</x:v>
      </x:c>
      <x:c r="F2539" s="7" t="n">
        <x:v>45401</x:v>
      </x:c>
      <x:c r="G2539" s="2" t="str">
        <x:v>Half correction</x:v>
      </x:c>
      <x:c r="H2539" s="8" t="n">
        <x:f>K559</x:f>
        <x:v>3.9825509359098126</x:v>
      </x:c>
      <x:c r="I2539" s="8" t="n">
        <x:f>AVERAGE(M492,M508,M525,M542)</x:f>
        <x:v>0.19380261480597993</x:v>
      </x:c>
      <x:c r="J2539" s="8" t="n">
        <x:v>0.5</x:v>
      </x:c>
      <x:c r="K2539" s="8" t="n">
        <x:f>H2539-I2539*J2539</x:f>
        <x:v>3.8856496285068225</x:v>
      </x:c>
      <x:c r="L2539" s="8" t="n">
        <x:f>'PG facts'!D99</x:f>
        <x:v>2</x:v>
      </x:c>
      <x:c r="M2539" s="8" t="n">
        <x:f>K2539-L2539</x:f>
        <x:v>1.8856496285068225</x:v>
      </x:c>
      <x:c r="N2539" s="8" t="n">
        <x:f>M2539^2</x:f>
        <x:v>3.5556745214879175</x:v>
      </x:c>
      <x:c r="O2539" s="8" t="n">
        <x:f>ABS(M2539)</x:f>
        <x:v>1.8856496285068225</x:v>
      </x:c>
      <x:c r="P2539" s="7" t="n">
        <x:v>45503</x:v>
      </x:c>
    </x:row>
    <x:row r="2540" ht="26" customHeight="1">
      <x:c r="A2540" s="2"/>
      <x:c r="B2540" s="2" t="n">
        <x:v>2535</x:v>
      </x:c>
      <x:c r="C2540" s="2" t="str">
        <x:v>Health Care / price_contribution</x:v>
      </x:c>
      <x:c r="D2540" s="7" t="n">
        <x:v>45473</x:v>
      </x:c>
      <x:c r="E2540" s="2" t="str">
        <x:v>Pre-earnings</x:v>
      </x:c>
      <x:c r="F2540" s="7" t="n">
        <x:v>45502</x:v>
      </x:c>
      <x:c r="G2540" s="2" t="str">
        <x:v>Bias correction</x:v>
      </x:c>
      <x:c r="H2540" s="8" t="n">
        <x:f>K565</x:f>
        <x:v>2.5880506328365325</x:v>
      </x:c>
      <x:c r="I2540" s="8" t="n">
        <x:f>AVERAGE(M498,M514,M531,M548)</x:f>
        <x:v>-0.3484367041229942</x:v>
      </x:c>
      <x:c r="J2540" s="8" t="n">
        <x:v>1</x:v>
      </x:c>
      <x:c r="K2540" s="8" t="n">
        <x:f>H2540-I2540*J2540</x:f>
        <x:v>2.9364873369595266</x:v>
      </x:c>
      <x:c r="L2540" s="8" t="n">
        <x:f>'PG facts'!D99</x:f>
        <x:v>2</x:v>
      </x:c>
      <x:c r="M2540" s="8" t="n">
        <x:f>K2540-L2540</x:f>
        <x:v>0.9364873369595266</x:v>
      </x:c>
      <x:c r="N2540" s="8" t="n">
        <x:f>M2540^2</x:f>
        <x:v>0.8770085322855459</x:v>
      </x:c>
      <x:c r="O2540" s="8" t="n">
        <x:f>ABS(M2540)</x:f>
        <x:v>0.9364873369595266</x:v>
      </x:c>
      <x:c r="P2540" s="7" t="n">
        <x:v>45503</x:v>
      </x:c>
    </x:row>
    <x:row r="2541" ht="26" customHeight="1">
      <x:c r="A2541" s="2"/>
      <x:c r="B2541" s="2" t="n">
        <x:v>2536</x:v>
      </x:c>
      <x:c r="C2541" s="2" t="str">
        <x:v>Health Care / price_contribution</x:v>
      </x:c>
      <x:c r="D2541" s="7" t="n">
        <x:v>45473</x:v>
      </x:c>
      <x:c r="E2541" s="2" t="str">
        <x:v>Pre-earnings</x:v>
      </x:c>
      <x:c r="F2541" s="7" t="n">
        <x:v>45502</x:v>
      </x:c>
      <x:c r="G2541" s="2" t="str">
        <x:v>Half correction</x:v>
      </x:c>
      <x:c r="H2541" s="8" t="n">
        <x:f>K565</x:f>
        <x:v>2.5880506328365325</x:v>
      </x:c>
      <x:c r="I2541" s="8" t="n">
        <x:f>AVERAGE(M498,M514,M531,M548)</x:f>
        <x:v>-0.3484367041229942</x:v>
      </x:c>
      <x:c r="J2541" s="8" t="n">
        <x:v>0.5</x:v>
      </x:c>
      <x:c r="K2541" s="8" t="n">
        <x:f>H2541-I2541*J2541</x:f>
        <x:v>2.7622689848980295</x:v>
      </x:c>
      <x:c r="L2541" s="8" t="n">
        <x:f>'PG facts'!D99</x:f>
        <x:v>2</x:v>
      </x:c>
      <x:c r="M2541" s="8" t="n">
        <x:f>K2541-L2541</x:f>
        <x:v>0.7622689848980295</x:v>
      </x:c>
      <x:c r="N2541" s="8" t="n">
        <x:f>M2541^2</x:f>
        <x:v>0.5810540053374723</x:v>
      </x:c>
      <x:c r="O2541" s="8" t="n">
        <x:f>ABS(M2541)</x:f>
        <x:v>0.7622689848980295</x:v>
      </x:c>
      <x:c r="P2541" s="7" t="n">
        <x:v>45503</x:v>
      </x:c>
    </x:row>
    <x:row r="2542" ht="26" customHeight="1">
      <x:c r="A2542" s="2"/>
      <x:c r="B2542" s="2" t="n">
        <x:v>2537</x:v>
      </x:c>
      <x:c r="C2542" s="2" t="str">
        <x:v>Health Care / price_contribution</x:v>
      </x:c>
      <x:c r="D2542" s="7" t="n">
        <x:v>45565</x:v>
      </x:c>
      <x:c r="E2542" s="2" t="str">
        <x:v>Origin</x:v>
      </x:c>
      <x:c r="F2542" s="7" t="n">
        <x:v>45474</x:v>
      </x:c>
      <x:c r="G2542" s="2" t="str">
        <x:v>Bias correction</x:v>
      </x:c>
      <x:c r="H2542" s="8" t="n">
        <x:f>K571</x:f>
        <x:v>3.1437780478718036</x:v>
      </x:c>
      <x:c r="I2542" s="8" t="n">
        <x:f>AVERAGE(M488,M504,M520,M537)</x:f>
        <x:v>0.40828808967152685</x:v>
      </x:c>
      <x:c r="J2542" s="8" t="n">
        <x:v>1</x:v>
      </x:c>
      <x:c r="K2542" s="8" t="n">
        <x:f>H2542-I2542*J2542</x:f>
        <x:v>2.7354899582002767</x:v>
      </x:c>
      <x:c r="L2542" s="8" t="n">
        <x:f>'PG facts'!D106</x:f>
        <x:v>1</x:v>
      </x:c>
      <x:c r="M2542" s="8" t="n">
        <x:f>K2542-L2542</x:f>
        <x:v>1.7354899582002767</x:v>
      </x:c>
      <x:c r="N2542" s="8" t="n">
        <x:f>M2542^2</x:f>
        <x:v>3.011925395013998</x:v>
      </x:c>
      <x:c r="O2542" s="8" t="n">
        <x:f>ABS(M2542)</x:f>
        <x:v>1.7354899582002767</x:v>
      </x:c>
      <x:c r="P2542" s="7" t="n">
        <x:v>45583</x:v>
      </x:c>
    </x:row>
    <x:row r="2543" ht="26" customHeight="1">
      <x:c r="A2543" s="2"/>
      <x:c r="B2543" s="2" t="n">
        <x:v>2538</x:v>
      </x:c>
      <x:c r="C2543" s="2" t="str">
        <x:v>Health Care / price_contribution</x:v>
      </x:c>
      <x:c r="D2543" s="7" t="n">
        <x:v>45565</x:v>
      </x:c>
      <x:c r="E2543" s="2" t="str">
        <x:v>Origin</x:v>
      </x:c>
      <x:c r="F2543" s="7" t="n">
        <x:v>45474</x:v>
      </x:c>
      <x:c r="G2543" s="2" t="str">
        <x:v>Half correction</x:v>
      </x:c>
      <x:c r="H2543" s="8" t="n">
        <x:f>K571</x:f>
        <x:v>3.1437780478718036</x:v>
      </x:c>
      <x:c r="I2543" s="8" t="n">
        <x:f>AVERAGE(M488,M504,M520,M537)</x:f>
        <x:v>0.40828808967152685</x:v>
      </x:c>
      <x:c r="J2543" s="8" t="n">
        <x:v>0.5</x:v>
      </x:c>
      <x:c r="K2543" s="8" t="n">
        <x:f>H2543-I2543*J2543</x:f>
        <x:v>2.93963400303604</x:v>
      </x:c>
      <x:c r="L2543" s="8" t="n">
        <x:f>'PG facts'!D106</x:f>
        <x:v>1</x:v>
      </x:c>
      <x:c r="M2543" s="8" t="n">
        <x:f>K2543-L2543</x:f>
        <x:v>1.9396340030360402</x:v>
      </x:c>
      <x:c r="N2543" s="8" t="n">
        <x:f>M2543^2</x:f>
        <x:v>3.7621800657336135</x:v>
      </x:c>
      <x:c r="O2543" s="8" t="n">
        <x:f>ABS(M2543)</x:f>
        <x:v>1.9396340030360402</x:v>
      </x:c>
      <x:c r="P2543" s="7" t="n">
        <x:v>45583</x:v>
      </x:c>
    </x:row>
    <x:row r="2544" ht="26" customHeight="1">
      <x:c r="A2544" s="2"/>
      <x:c r="B2544" s="2" t="n">
        <x:v>2539</x:v>
      </x:c>
      <x:c r="C2544" s="2" t="str">
        <x:v>Health Care / price_contribution</x:v>
      </x:c>
      <x:c r="D2544" s="7" t="n">
        <x:v>45565</x:v>
      </x:c>
      <x:c r="E2544" s="2" t="str">
        <x:v>Prior report</x:v>
      </x:c>
      <x:c r="F2544" s="7" t="n">
        <x:v>45503</x:v>
      </x:c>
      <x:c r="G2544" s="2" t="str">
        <x:v>Bias correction</x:v>
      </x:c>
      <x:c r="H2544" s="8" t="n">
        <x:f>K576</x:f>
        <x:v>2.5357955438283213</x:v>
      </x:c>
      <x:c r="I2544" s="8" t="n">
        <x:f>AVERAGE(M508,M525,M542,M559)</x:f>
        <x:v>0.6860142239308344</x:v>
      </x:c>
      <x:c r="J2544" s="8" t="n">
        <x:v>1</x:v>
      </x:c>
      <x:c r="K2544" s="8" t="n">
        <x:f>H2544-I2544*J2544</x:f>
        <x:v>1.8497813198974868</x:v>
      </x:c>
      <x:c r="L2544" s="8" t="n">
        <x:f>'PG facts'!D106</x:f>
        <x:v>1</x:v>
      </x:c>
      <x:c r="M2544" s="8" t="n">
        <x:f>K2544-L2544</x:f>
        <x:v>0.8497813198974868</x:v>
      </x:c>
      <x:c r="N2544" s="8" t="n">
        <x:f>M2544^2</x:f>
        <x:v>0.7221282916467149</x:v>
      </x:c>
      <x:c r="O2544" s="8" t="n">
        <x:f>ABS(M2544)</x:f>
        <x:v>0.8497813198974868</x:v>
      </x:c>
      <x:c r="P2544" s="7" t="n">
        <x:v>45583</x:v>
      </x:c>
    </x:row>
    <x:row r="2545" ht="26" customHeight="1">
      <x:c r="A2545" s="2"/>
      <x:c r="B2545" s="2" t="n">
        <x:v>2540</x:v>
      </x:c>
      <x:c r="C2545" s="2" t="str">
        <x:v>Health Care / price_contribution</x:v>
      </x:c>
      <x:c r="D2545" s="7" t="n">
        <x:v>45565</x:v>
      </x:c>
      <x:c r="E2545" s="2" t="str">
        <x:v>Prior report</x:v>
      </x:c>
      <x:c r="F2545" s="7" t="n">
        <x:v>45503</x:v>
      </x:c>
      <x:c r="G2545" s="2" t="str">
        <x:v>Half correction</x:v>
      </x:c>
      <x:c r="H2545" s="8" t="n">
        <x:f>K576</x:f>
        <x:v>2.5357955438283213</x:v>
      </x:c>
      <x:c r="I2545" s="8" t="n">
        <x:f>AVERAGE(M508,M525,M542,M559)</x:f>
        <x:v>0.6860142239308344</x:v>
      </x:c>
      <x:c r="J2545" s="8" t="n">
        <x:v>0.5</x:v>
      </x:c>
      <x:c r="K2545" s="8" t="n">
        <x:f>H2545-I2545*J2545</x:f>
        <x:v>2.192788431862904</x:v>
      </x:c>
      <x:c r="L2545" s="8" t="n">
        <x:f>'PG facts'!D106</x:f>
        <x:v>1</x:v>
      </x:c>
      <x:c r="M2545" s="8" t="n">
        <x:f>K2545-L2545</x:f>
        <x:v>1.1927884318629038</x:v>
      </x:c>
      <x:c r="N2545" s="8" t="n">
        <x:f>M2545^2</x:f>
        <x:v>1.4227442431859652</x:v>
      </x:c>
      <x:c r="O2545" s="8" t="n">
        <x:f>ABS(M2545)</x:f>
        <x:v>1.1927884318629038</x:v>
      </x:c>
      <x:c r="P2545" s="7" t="n">
        <x:v>45583</x:v>
      </x:c>
    </x:row>
    <x:row r="2546" ht="26" customHeight="1">
      <x:c r="A2546" s="2"/>
      <x:c r="B2546" s="2" t="n">
        <x:v>2541</x:v>
      </x:c>
      <x:c r="C2546" s="2" t="str">
        <x:v>Health Care / price_contribution</x:v>
      </x:c>
      <x:c r="D2546" s="7" t="n">
        <x:v>45565</x:v>
      </x:c>
      <x:c r="E2546" s="2" t="str">
        <x:v>Pre-earnings</x:v>
      </x:c>
      <x:c r="F2546" s="7" t="n">
        <x:v>45582</x:v>
      </x:c>
      <x:c r="G2546" s="2" t="str">
        <x:v>Bias correction</x:v>
      </x:c>
      <x:c r="H2546" s="8" t="n">
        <x:f>K582</x:f>
        <x:v>1.6213288455239176</x:v>
      </x:c>
      <x:c r="I2546" s="8" t="n">
        <x:f>AVERAGE(M514,M531,M548,M565)</x:f>
        <x:v>-0.25365585630898047</x:v>
      </x:c>
      <x:c r="J2546" s="8" t="n">
        <x:v>1</x:v>
      </x:c>
      <x:c r="K2546" s="8" t="n">
        <x:f>H2546-I2546*J2546</x:f>
        <x:v>1.874984701832898</x:v>
      </x:c>
      <x:c r="L2546" s="8" t="n">
        <x:f>'PG facts'!D106</x:f>
        <x:v>1</x:v>
      </x:c>
      <x:c r="M2546" s="8" t="n">
        <x:f>K2546-L2546</x:f>
        <x:v>0.874984701832898</x:v>
      </x:c>
      <x:c r="N2546" s="8" t="n">
        <x:f>M2546^2</x:f>
        <x:v>0.7655982284416054</x:v>
      </x:c>
      <x:c r="O2546" s="8" t="n">
        <x:f>ABS(M2546)</x:f>
        <x:v>0.874984701832898</x:v>
      </x:c>
      <x:c r="P2546" s="7" t="n">
        <x:v>45583</x:v>
      </x:c>
    </x:row>
    <x:row r="2547" ht="26" customHeight="1">
      <x:c r="A2547" s="2"/>
      <x:c r="B2547" s="2" t="n">
        <x:v>2542</x:v>
      </x:c>
      <x:c r="C2547" s="2" t="str">
        <x:v>Health Care / price_contribution</x:v>
      </x:c>
      <x:c r="D2547" s="7" t="n">
        <x:v>45565</x:v>
      </x:c>
      <x:c r="E2547" s="2" t="str">
        <x:v>Pre-earnings</x:v>
      </x:c>
      <x:c r="F2547" s="7" t="n">
        <x:v>45582</x:v>
      </x:c>
      <x:c r="G2547" s="2" t="str">
        <x:v>Half correction</x:v>
      </x:c>
      <x:c r="H2547" s="8" t="n">
        <x:f>K582</x:f>
        <x:v>1.6213288455239176</x:v>
      </x:c>
      <x:c r="I2547" s="8" t="n">
        <x:f>AVERAGE(M514,M531,M548,M565)</x:f>
        <x:v>-0.25365585630898047</x:v>
      </x:c>
      <x:c r="J2547" s="8" t="n">
        <x:v>0.5</x:v>
      </x:c>
      <x:c r="K2547" s="8" t="n">
        <x:f>H2547-I2547*J2547</x:f>
        <x:v>1.7481567736784078</x:v>
      </x:c>
      <x:c r="L2547" s="8" t="n">
        <x:f>'PG facts'!D106</x:f>
        <x:v>1</x:v>
      </x:c>
      <x:c r="M2547" s="8" t="n">
        <x:f>K2547-L2547</x:f>
        <x:v>0.7481567736784078</x:v>
      </x:c>
      <x:c r="N2547" s="8" t="n">
        <x:f>M2547^2</x:f>
        <x:v>0.5597385580008843</x:v>
      </x:c>
      <x:c r="O2547" s="8" t="n">
        <x:f>ABS(M2547)</x:f>
        <x:v>0.7481567736784078</x:v>
      </x:c>
      <x:c r="P2547" s="7" t="n">
        <x:v>45583</x:v>
      </x:c>
    </x:row>
    <x:row r="2548" ht="26" customHeight="1">
      <x:c r="A2548" s="2"/>
      <x:c r="B2548" s="2" t="n">
        <x:v>2543</x:v>
      </x:c>
      <x:c r="C2548" s="2" t="str">
        <x:v>Health Care / price_contribution</x:v>
      </x:c>
      <x:c r="D2548" s="7" t="n">
        <x:v>45657</x:v>
      </x:c>
      <x:c r="E2548" s="2" t="str">
        <x:v>Origin</x:v>
      </x:c>
      <x:c r="F2548" s="7" t="n">
        <x:v>45566</x:v>
      </x:c>
      <x:c r="G2548" s="2" t="str">
        <x:v>Bias correction</x:v>
      </x:c>
      <x:c r="H2548" s="8" t="n">
        <x:f>K588</x:f>
        <x:v>1.8341646564344243</x:v>
      </x:c>
      <x:c r="I2548" s="8" t="n">
        <x:f>AVERAGE(M504,M520,M537,M554)</x:f>
        <x:v>0.8309592766777003</x:v>
      </x:c>
      <x:c r="J2548" s="8" t="n">
        <x:v>1</x:v>
      </x:c>
      <x:c r="K2548" s="8" t="n">
        <x:f>H2548-I2548*J2548</x:f>
        <x:v>1.003205379756724</x:v>
      </x:c>
      <x:c r="L2548" s="8" t="n">
        <x:f>'PG facts'!D113</x:f>
        <x:v>1</x:v>
      </x:c>
      <x:c r="M2548" s="8" t="n">
        <x:f>K2548-L2548</x:f>
        <x:v>0.0032053797567239695</x:v>
      </x:c>
      <x:c r="N2548" s="8" t="n">
        <x:f>M2548^2</x:f>
        <x:v>0.000010274459384815814</x:v>
      </x:c>
      <x:c r="O2548" s="8" t="n">
        <x:f>ABS(M2548)</x:f>
        <x:v>0.0032053797567239695</x:v>
      </x:c>
      <x:c r="P2548" s="7" t="n">
        <x:v>45679</x:v>
      </x:c>
    </x:row>
    <x:row r="2549" ht="26" customHeight="1">
      <x:c r="A2549" s="2"/>
      <x:c r="B2549" s="2" t="n">
        <x:v>2544</x:v>
      </x:c>
      <x:c r="C2549" s="2" t="str">
        <x:v>Health Care / price_contribution</x:v>
      </x:c>
      <x:c r="D2549" s="7" t="n">
        <x:v>45657</x:v>
      </x:c>
      <x:c r="E2549" s="2" t="str">
        <x:v>Origin</x:v>
      </x:c>
      <x:c r="F2549" s="7" t="n">
        <x:v>45566</x:v>
      </x:c>
      <x:c r="G2549" s="2" t="str">
        <x:v>Half correction</x:v>
      </x:c>
      <x:c r="H2549" s="8" t="n">
        <x:f>K588</x:f>
        <x:v>1.8341646564344243</x:v>
      </x:c>
      <x:c r="I2549" s="8" t="n">
        <x:f>AVERAGE(M504,M520,M537,M554)</x:f>
        <x:v>0.8309592766777003</x:v>
      </x:c>
      <x:c r="J2549" s="8" t="n">
        <x:v>0.5</x:v>
      </x:c>
      <x:c r="K2549" s="8" t="n">
        <x:f>H2549-I2549*J2549</x:f>
        <x:v>1.4186850180955741</x:v>
      </x:c>
      <x:c r="L2549" s="8" t="n">
        <x:f>'PG facts'!D113</x:f>
        <x:v>1</x:v>
      </x:c>
      <x:c r="M2549" s="8" t="n">
        <x:f>K2549-L2549</x:f>
        <x:v>0.4186850180955741</x:v>
      </x:c>
      <x:c r="N2549" s="8" t="n">
        <x:f>M2549^2</x:f>
        <x:v>0.17529714437769123</x:v>
      </x:c>
      <x:c r="O2549" s="8" t="n">
        <x:f>ABS(M2549)</x:f>
        <x:v>0.4186850180955741</x:v>
      </x:c>
      <x:c r="P2549" s="7" t="n">
        <x:v>45679</x:v>
      </x:c>
    </x:row>
    <x:row r="2550" ht="26" customHeight="1">
      <x:c r="A2550" s="2"/>
      <x:c r="B2550" s="2" t="n">
        <x:v>2545</x:v>
      </x:c>
      <x:c r="C2550" s="2" t="str">
        <x:v>Health Care / price_contribution</x:v>
      </x:c>
      <x:c r="D2550" s="7" t="n">
        <x:v>45657</x:v>
      </x:c>
      <x:c r="E2550" s="2" t="str">
        <x:v>Prior report</x:v>
      </x:c>
      <x:c r="F2550" s="7" t="n">
        <x:v>45583</x:v>
      </x:c>
      <x:c r="G2550" s="2" t="str">
        <x:v>Bias correction</x:v>
      </x:c>
      <x:c r="H2550" s="8" t="n">
        <x:f>K593</x:f>
        <x:v>1.543782771308122</x:v>
      </x:c>
      <x:c r="I2550" s="8" t="n">
        <x:f>AVERAGE(M525,M542,M559,M576)</x:f>
        <x:v>1.0313652595342917</x:v>
      </x:c>
      <x:c r="J2550" s="8" t="n">
        <x:v>1</x:v>
      </x:c>
      <x:c r="K2550" s="8" t="n">
        <x:f>H2550-I2550*J2550</x:f>
        <x:v>0.5124175117738303</x:v>
      </x:c>
      <x:c r="L2550" s="8" t="n">
        <x:f>'PG facts'!D113</x:f>
        <x:v>1</x:v>
      </x:c>
      <x:c r="M2550" s="8" t="n">
        <x:f>K2550-L2550</x:f>
        <x:v>-0.4875824882261697</x:v>
      </x:c>
      <x:c r="N2550" s="8" t="n">
        <x:f>M2550^2</x:f>
        <x:v>0.23773668282482288</x:v>
      </x:c>
      <x:c r="O2550" s="8" t="n">
        <x:f>ABS(M2550)</x:f>
        <x:v>0.4875824882261697</x:v>
      </x:c>
      <x:c r="P2550" s="7" t="n">
        <x:v>45679</x:v>
      </x:c>
    </x:row>
    <x:row r="2551" ht="26" customHeight="1">
      <x:c r="A2551" s="2"/>
      <x:c r="B2551" s="2" t="n">
        <x:v>2546</x:v>
      </x:c>
      <x:c r="C2551" s="2" t="str">
        <x:v>Health Care / price_contribution</x:v>
      </x:c>
      <x:c r="D2551" s="7" t="n">
        <x:v>45657</x:v>
      </x:c>
      <x:c r="E2551" s="2" t="str">
        <x:v>Prior report</x:v>
      </x:c>
      <x:c r="F2551" s="7" t="n">
        <x:v>45583</x:v>
      </x:c>
      <x:c r="G2551" s="2" t="str">
        <x:v>Half correction</x:v>
      </x:c>
      <x:c r="H2551" s="8" t="n">
        <x:f>K593</x:f>
        <x:v>1.543782771308122</x:v>
      </x:c>
      <x:c r="I2551" s="8" t="n">
        <x:f>AVERAGE(M525,M542,M559,M576)</x:f>
        <x:v>1.0313652595342917</x:v>
      </x:c>
      <x:c r="J2551" s="8" t="n">
        <x:v>0.5</x:v>
      </x:c>
      <x:c r="K2551" s="8" t="n">
        <x:f>H2551-I2551*J2551</x:f>
        <x:v>1.028100141540976</x:v>
      </x:c>
      <x:c r="L2551" s="8" t="n">
        <x:f>'PG facts'!D113</x:f>
        <x:v>1</x:v>
      </x:c>
      <x:c r="M2551" s="8" t="n">
        <x:f>K2551-L2551</x:f>
        <x:v>0.028100141540976065</x:v>
      </x:c>
      <x:c r="N2551" s="8" t="n">
        <x:f>M2551^2</x:f>
        <x:v>0.0007896179546228887</x:v>
      </x:c>
      <x:c r="O2551" s="8" t="n">
        <x:f>ABS(M2551)</x:f>
        <x:v>0.028100141540976065</x:v>
      </x:c>
      <x:c r="P2551" s="7" t="n">
        <x:v>45679</x:v>
      </x:c>
    </x:row>
    <x:row r="2552" ht="26" customHeight="1">
      <x:c r="A2552" s="2"/>
      <x:c r="B2552" s="2" t="n">
        <x:v>2547</x:v>
      </x:c>
      <x:c r="C2552" s="2" t="str">
        <x:v>Health Care / price_contribution</x:v>
      </x:c>
      <x:c r="D2552" s="7" t="n">
        <x:v>45657</x:v>
      </x:c>
      <x:c r="E2552" s="2" t="str">
        <x:v>Pre-earnings</x:v>
      </x:c>
      <x:c r="F2552" s="7" t="n">
        <x:v>45678</x:v>
      </x:c>
      <x:c r="G2552" s="2" t="str">
        <x:v>Bias correction</x:v>
      </x:c>
      <x:c r="H2552" s="8" t="n">
        <x:f>K599</x:f>
        <x:v>1.519877090492578</x:v>
      </x:c>
      <x:c r="I2552" s="8" t="n">
        <x:f>AVERAGE(M531,M548,M565,M582)</x:f>
        <x:v>0.1285528663154526</x:v>
      </x:c>
      <x:c r="J2552" s="8" t="n">
        <x:v>1</x:v>
      </x:c>
      <x:c r="K2552" s="8" t="n">
        <x:f>H2552-I2552*J2552</x:f>
        <x:v>1.3913242241771253</x:v>
      </x:c>
      <x:c r="L2552" s="8" t="n">
        <x:f>'PG facts'!D113</x:f>
        <x:v>1</x:v>
      </x:c>
      <x:c r="M2552" s="8" t="n">
        <x:f>K2552-L2552</x:f>
        <x:v>0.3913242241771253</x:v>
      </x:c>
      <x:c r="N2552" s="8" t="n">
        <x:f>M2552^2</x:f>
        <x:v>0.15313464842782903</x:v>
      </x:c>
      <x:c r="O2552" s="8" t="n">
        <x:f>ABS(M2552)</x:f>
        <x:v>0.3913242241771253</x:v>
      </x:c>
      <x:c r="P2552" s="7" t="n">
        <x:v>45679</x:v>
      </x:c>
    </x:row>
    <x:row r="2553" ht="26" customHeight="1">
      <x:c r="A2553" s="2"/>
      <x:c r="B2553" s="2" t="n">
        <x:v>2548</x:v>
      </x:c>
      <x:c r="C2553" s="2" t="str">
        <x:v>Health Care / price_contribution</x:v>
      </x:c>
      <x:c r="D2553" s="7" t="n">
        <x:v>45657</x:v>
      </x:c>
      <x:c r="E2553" s="2" t="str">
        <x:v>Pre-earnings</x:v>
      </x:c>
      <x:c r="F2553" s="7" t="n">
        <x:v>45678</x:v>
      </x:c>
      <x:c r="G2553" s="2" t="str">
        <x:v>Half correction</x:v>
      </x:c>
      <x:c r="H2553" s="8" t="n">
        <x:f>K599</x:f>
        <x:v>1.519877090492578</x:v>
      </x:c>
      <x:c r="I2553" s="8" t="n">
        <x:f>AVERAGE(M531,M548,M565,M582)</x:f>
        <x:v>0.1285528663154526</x:v>
      </x:c>
      <x:c r="J2553" s="8" t="n">
        <x:v>0.5</x:v>
      </x:c>
      <x:c r="K2553" s="8" t="n">
        <x:f>H2553-I2553*J2553</x:f>
        <x:v>1.4556006573348517</x:v>
      </x:c>
      <x:c r="L2553" s="8" t="n">
        <x:f>'PG facts'!D113</x:f>
        <x:v>1</x:v>
      </x:c>
      <x:c r="M2553" s="8" t="n">
        <x:f>K2553-L2553</x:f>
        <x:v>0.45560065733485167</x:v>
      </x:c>
      <x:c r="N2553" s="8" t="n">
        <x:f>M2553^2</x:f>
        <x:v>0.20757195896394892</x:v>
      </x:c>
      <x:c r="O2553" s="8" t="n">
        <x:f>ABS(M2553)</x:f>
        <x:v>0.45560065733485167</x:v>
      </x:c>
      <x:c r="P2553" s="7" t="n">
        <x:v>45679</x:v>
      </x:c>
    </x:row>
    <x:row r="2554" ht="26" customHeight="1">
      <x:c r="A2554" s="2"/>
      <x:c r="B2554" s="2" t="n">
        <x:v>2549</x:v>
      </x:c>
      <x:c r="C2554" s="2" t="str">
        <x:v>Health Care / price_contribution</x:v>
      </x:c>
      <x:c r="D2554" s="7" t="n">
        <x:v>45747</x:v>
      </x:c>
      <x:c r="E2554" s="2" t="str">
        <x:v>Origin</x:v>
      </x:c>
      <x:c r="F2554" s="7" t="n">
        <x:v>45658</x:v>
      </x:c>
      <x:c r="G2554" s="2" t="str">
        <x:v>Bias correction</x:v>
      </x:c>
      <x:c r="H2554" s="8" t="n">
        <x:f>K605</x:f>
        <x:v>1.430011074543906</x:v>
      </x:c>
      <x:c r="I2554" s="8" t="n">
        <x:f>AVERAGE(M520,M537,M554,M571)</x:f>
        <x:v>1.339788267571644</x:v>
      </x:c>
      <x:c r="J2554" s="8" t="n">
        <x:v>1</x:v>
      </x:c>
      <x:c r="K2554" s="8" t="n">
        <x:f>H2554-I2554*J2554</x:f>
        <x:v>0.09022280697226215</x:v>
      </x:c>
      <x:c r="L2554" s="8" t="n">
        <x:f>'PG facts'!D120</x:f>
        <x:v>1</x:v>
      </x:c>
      <x:c r="M2554" s="8" t="n">
        <x:f>K2554-L2554</x:f>
        <x:v>-0.9097771930277379</x:v>
      </x:c>
      <x:c r="N2554" s="8" t="n">
        <x:f>M2554^2</x:f>
        <x:v>0.8276945409534298</x:v>
      </x:c>
      <x:c r="O2554" s="8" t="n">
        <x:f>ABS(M2554)</x:f>
        <x:v>0.9097771930277379</x:v>
      </x:c>
      <x:c r="P2554" s="7" t="n">
        <x:v>45771</x:v>
      </x:c>
    </x:row>
    <x:row r="2555" ht="26" customHeight="1">
      <x:c r="A2555" s="2"/>
      <x:c r="B2555" s="2" t="n">
        <x:v>2550</x:v>
      </x:c>
      <x:c r="C2555" s="2" t="str">
        <x:v>Health Care / price_contribution</x:v>
      </x:c>
      <x:c r="D2555" s="7" t="n">
        <x:v>45747</x:v>
      </x:c>
      <x:c r="E2555" s="2" t="str">
        <x:v>Origin</x:v>
      </x:c>
      <x:c r="F2555" s="7" t="n">
        <x:v>45658</x:v>
      </x:c>
      <x:c r="G2555" s="2" t="str">
        <x:v>Half correction</x:v>
      </x:c>
      <x:c r="H2555" s="8" t="n">
        <x:f>K605</x:f>
        <x:v>1.430011074543906</x:v>
      </x:c>
      <x:c r="I2555" s="8" t="n">
        <x:f>AVERAGE(M520,M537,M554,M571)</x:f>
        <x:v>1.339788267571644</x:v>
      </x:c>
      <x:c r="J2555" s="8" t="n">
        <x:v>0.5</x:v>
      </x:c>
      <x:c r="K2555" s="8" t="n">
        <x:f>H2555-I2555*J2555</x:f>
        <x:v>0.7601169407580841</x:v>
      </x:c>
      <x:c r="L2555" s="8" t="n">
        <x:f>'PG facts'!D120</x:f>
        <x:v>1</x:v>
      </x:c>
      <x:c r="M2555" s="8" t="n">
        <x:f>K2555-L2555</x:f>
        <x:v>-0.23988305924191589</x:v>
      </x:c>
      <x:c r="N2555" s="8" t="n">
        <x:f>M2555^2</x:f>
        <x:v>0.057543882111260526</x:v>
      </x:c>
      <x:c r="O2555" s="8" t="n">
        <x:f>ABS(M2555)</x:f>
        <x:v>0.23988305924191589</x:v>
      </x:c>
      <x:c r="P2555" s="7" t="n">
        <x:v>45771</x:v>
      </x:c>
    </x:row>
    <x:row r="2556" ht="26" customHeight="1">
      <x:c r="A2556" s="2"/>
      <x:c r="B2556" s="2" t="n">
        <x:v>2551</x:v>
      </x:c>
      <x:c r="C2556" s="2" t="str">
        <x:v>Health Care / price_contribution</x:v>
      </x:c>
      <x:c r="D2556" s="7" t="n">
        <x:v>45747</x:v>
      </x:c>
      <x:c r="E2556" s="2" t="str">
        <x:v>Prior report</x:v>
      </x:c>
      <x:c r="F2556" s="7" t="n">
        <x:v>45679</x:v>
      </x:c>
      <x:c r="G2556" s="2" t="str">
        <x:v>Bias correction</x:v>
      </x:c>
      <x:c r="H2556" s="8" t="n">
        <x:f>K610</x:f>
        <x:v>1.4622118945259075</x:v>
      </x:c>
      <x:c r="I2556" s="8" t="n">
        <x:f>AVERAGE(M542,M559,M576,M593)</x:f>
        <x:v>1.1119475233150253</x:v>
      </x:c>
      <x:c r="J2556" s="8" t="n">
        <x:v>1</x:v>
      </x:c>
      <x:c r="K2556" s="8" t="n">
        <x:f>H2556-I2556*J2556</x:f>
        <x:v>0.35026437121088216</x:v>
      </x:c>
      <x:c r="L2556" s="8" t="n">
        <x:f>'PG facts'!D120</x:f>
        <x:v>1</x:v>
      </x:c>
      <x:c r="M2556" s="8" t="n">
        <x:f>K2556-L2556</x:f>
        <x:v>-0.6497356287891178</x:v>
      </x:c>
      <x:c r="N2556" s="8" t="n">
        <x:f>M2556^2</x:f>
        <x:v>0.4221563873179903</x:v>
      </x:c>
      <x:c r="O2556" s="8" t="n">
        <x:f>ABS(M2556)</x:f>
        <x:v>0.6497356287891178</x:v>
      </x:c>
      <x:c r="P2556" s="7" t="n">
        <x:v>45771</x:v>
      </x:c>
    </x:row>
    <x:row r="2557" ht="26" customHeight="1">
      <x:c r="A2557" s="2"/>
      <x:c r="B2557" s="2" t="n">
        <x:v>2552</x:v>
      </x:c>
      <x:c r="C2557" s="2" t="str">
        <x:v>Health Care / price_contribution</x:v>
      </x:c>
      <x:c r="D2557" s="7" t="n">
        <x:v>45747</x:v>
      </x:c>
      <x:c r="E2557" s="2" t="str">
        <x:v>Prior report</x:v>
      </x:c>
      <x:c r="F2557" s="7" t="n">
        <x:v>45679</x:v>
      </x:c>
      <x:c r="G2557" s="2" t="str">
        <x:v>Half correction</x:v>
      </x:c>
      <x:c r="H2557" s="8" t="n">
        <x:f>K610</x:f>
        <x:v>1.4622118945259075</x:v>
      </x:c>
      <x:c r="I2557" s="8" t="n">
        <x:f>AVERAGE(M542,M559,M576,M593)</x:f>
        <x:v>1.1119475233150253</x:v>
      </x:c>
      <x:c r="J2557" s="8" t="n">
        <x:v>0.5</x:v>
      </x:c>
      <x:c r="K2557" s="8" t="n">
        <x:f>H2557-I2557*J2557</x:f>
        <x:v>0.9062381328683948</x:v>
      </x:c>
      <x:c r="L2557" s="8" t="n">
        <x:f>'PG facts'!D120</x:f>
        <x:v>1</x:v>
      </x:c>
      <x:c r="M2557" s="8" t="n">
        <x:f>K2557-L2557</x:f>
        <x:v>-0.09376186713160517</x:v>
      </x:c>
      <x:c r="N2557" s="8" t="n">
        <x:f>M2557^2</x:f>
        <x:v>0.008791287728004782</x:v>
      </x:c>
      <x:c r="O2557" s="8" t="n">
        <x:f>ABS(M2557)</x:f>
        <x:v>0.09376186713160517</x:v>
      </x:c>
      <x:c r="P2557" s="7" t="n">
        <x:v>45771</x:v>
      </x:c>
    </x:row>
    <x:row r="2558" ht="26" customHeight="1">
      <x:c r="A2558" s="2"/>
      <x:c r="B2558" s="2" t="n">
        <x:v>2553</x:v>
      </x:c>
      <x:c r="C2558" s="2" t="str">
        <x:v>Health Care / price_contribution</x:v>
      </x:c>
      <x:c r="D2558" s="7" t="n">
        <x:v>45747</x:v>
      </x:c>
      <x:c r="E2558" s="2" t="str">
        <x:v>Pre-earnings</x:v>
      </x:c>
      <x:c r="F2558" s="7" t="n">
        <x:v>45770</x:v>
      </x:c>
      <x:c r="G2558" s="2" t="str">
        <x:v>Bias correction</x:v>
      </x:c>
      <x:c r="H2558" s="8" t="n">
        <x:f>K616</x:f>
        <x:v>1.3839034888275215</x:v>
      </x:c>
      <x:c r="I2558" s="8" t="n">
        <x:f>AVERAGE(M548,M565,M582,M599)</x:f>
        <x:v>0.42750248582823647</x:v>
      </x:c>
      <x:c r="J2558" s="8" t="n">
        <x:v>1</x:v>
      </x:c>
      <x:c r="K2558" s="8" t="n">
        <x:f>H2558-I2558*J2558</x:f>
        <x:v>0.956401002999285</x:v>
      </x:c>
      <x:c r="L2558" s="8" t="n">
        <x:f>'PG facts'!D120</x:f>
        <x:v>1</x:v>
      </x:c>
      <x:c r="M2558" s="8" t="n">
        <x:f>K2558-L2558</x:f>
        <x:v>-0.04359899700071501</x:v>
      </x:c>
      <x:c r="N2558" s="8" t="n">
        <x:f>M2558^2</x:f>
        <x:v>0.0019008725394683566</x:v>
      </x:c>
      <x:c r="O2558" s="8" t="n">
        <x:f>ABS(M2558)</x:f>
        <x:v>0.04359899700071501</x:v>
      </x:c>
      <x:c r="P2558" s="7" t="n">
        <x:v>45771</x:v>
      </x:c>
    </x:row>
    <x:row r="2559" ht="26" customHeight="1">
      <x:c r="A2559" s="2"/>
      <x:c r="B2559" s="2" t="n">
        <x:v>2554</x:v>
      </x:c>
      <x:c r="C2559" s="2" t="str">
        <x:v>Health Care / price_contribution</x:v>
      </x:c>
      <x:c r="D2559" s="7" t="n">
        <x:v>45747</x:v>
      </x:c>
      <x:c r="E2559" s="2" t="str">
        <x:v>Pre-earnings</x:v>
      </x:c>
      <x:c r="F2559" s="7" t="n">
        <x:v>45770</x:v>
      </x:c>
      <x:c r="G2559" s="2" t="str">
        <x:v>Half correction</x:v>
      </x:c>
      <x:c r="H2559" s="8" t="n">
        <x:f>K616</x:f>
        <x:v>1.3839034888275215</x:v>
      </x:c>
      <x:c r="I2559" s="8" t="n">
        <x:f>AVERAGE(M548,M565,M582,M599)</x:f>
        <x:v>0.42750248582823647</x:v>
      </x:c>
      <x:c r="J2559" s="8" t="n">
        <x:v>0.5</x:v>
      </x:c>
      <x:c r="K2559" s="8" t="n">
        <x:f>H2559-I2559*J2559</x:f>
        <x:v>1.1701522459134033</x:v>
      </x:c>
      <x:c r="L2559" s="8" t="n">
        <x:f>'PG facts'!D120</x:f>
        <x:v>1</x:v>
      </x:c>
      <x:c r="M2559" s="8" t="n">
        <x:f>K2559-L2559</x:f>
        <x:v>0.17015224591340328</x:v>
      </x:c>
      <x:c r="N2559" s="8" t="n">
        <x:f>M2559^2</x:f>
        <x:v>0.028951786789375263</x:v>
      </x:c>
      <x:c r="O2559" s="8" t="n">
        <x:f>ABS(M2559)</x:f>
        <x:v>0.17015224591340328</x:v>
      </x:c>
      <x:c r="P2559" s="7" t="n">
        <x:v>45771</x:v>
      </x:c>
    </x:row>
    <x:row r="2560" ht="26" customHeight="1">
      <x:c r="A2560" s="2"/>
      <x:c r="B2560" s="2" t="n">
        <x:v>2555</x:v>
      </x:c>
      <x:c r="C2560" s="2" t="str">
        <x:v>Health Care / price_contribution</x:v>
      </x:c>
      <x:c r="D2560" s="7" t="n">
        <x:v>45838</x:v>
      </x:c>
      <x:c r="E2560" s="2" t="str">
        <x:v>Origin</x:v>
      </x:c>
      <x:c r="F2560" s="7" t="n">
        <x:v>45748</x:v>
      </x:c>
      <x:c r="G2560" s="2" t="str">
        <x:v>Bias correction</x:v>
      </x:c>
      <x:c r="H2560" s="8" t="n">
        <x:f>K622</x:f>
        <x:v>1.5061668009509215</x:v>
      </x:c>
      <x:c r="I2560" s="8" t="n">
        <x:f>AVERAGE(M537,M554,M571,M588)</x:f>
        <x:v>1.4197354583360504</x:v>
      </x:c>
      <x:c r="J2560" s="8" t="n">
        <x:v>1</x:v>
      </x:c>
      <x:c r="K2560" s="8" t="n">
        <x:f>H2560-I2560*J2560</x:f>
        <x:v>0.08643134261487107</x:v>
      </x:c>
      <x:c r="L2560" s="8" t="n">
        <x:f>'PG facts'!D127</x:f>
        <x:v>1</x:v>
      </x:c>
      <x:c r="M2560" s="8" t="n">
        <x:f>K2560-L2560</x:f>
        <x:v>-0.9135686573851289</x:v>
      </x:c>
      <x:c r="N2560" s="8" t="n">
        <x:f>M2560^2</x:f>
        <x:v>0.8346076917564671</x:v>
      </x:c>
      <x:c r="O2560" s="8" t="n">
        <x:f>ABS(M2560)</x:f>
        <x:v>0.9135686573851289</x:v>
      </x:c>
      <x:c r="P2560" s="7" t="n">
        <x:v>45867</x:v>
      </x:c>
    </x:row>
    <x:row r="2561" ht="26" customHeight="1">
      <x:c r="A2561" s="2"/>
      <x:c r="B2561" s="2" t="n">
        <x:v>2556</x:v>
      </x:c>
      <x:c r="C2561" s="2" t="str">
        <x:v>Health Care / price_contribution</x:v>
      </x:c>
      <x:c r="D2561" s="7" t="n">
        <x:v>45838</x:v>
      </x:c>
      <x:c r="E2561" s="2" t="str">
        <x:v>Origin</x:v>
      </x:c>
      <x:c r="F2561" s="7" t="n">
        <x:v>45748</x:v>
      </x:c>
      <x:c r="G2561" s="2" t="str">
        <x:v>Half correction</x:v>
      </x:c>
      <x:c r="H2561" s="8" t="n">
        <x:f>K622</x:f>
        <x:v>1.5061668009509215</x:v>
      </x:c>
      <x:c r="I2561" s="8" t="n">
        <x:f>AVERAGE(M537,M554,M571,M588)</x:f>
        <x:v>1.4197354583360504</x:v>
      </x:c>
      <x:c r="J2561" s="8" t="n">
        <x:v>0.5</x:v>
      </x:c>
      <x:c r="K2561" s="8" t="n">
        <x:f>H2561-I2561*J2561</x:f>
        <x:v>0.7962990717828963</x:v>
      </x:c>
      <x:c r="L2561" s="8" t="n">
        <x:f>'PG facts'!D127</x:f>
        <x:v>1</x:v>
      </x:c>
      <x:c r="M2561" s="8" t="n">
        <x:f>K2561-L2561</x:f>
        <x:v>-0.20370092821710373</x:v>
      </x:c>
      <x:c r="N2561" s="8" t="n">
        <x:f>M2561^2</x:f>
        <x:v>0.04149406815650965</x:v>
      </x:c>
      <x:c r="O2561" s="8" t="n">
        <x:f>ABS(M2561)</x:f>
        <x:v>0.20370092821710373</x:v>
      </x:c>
      <x:c r="P2561" s="7" t="n">
        <x:v>45867</x:v>
      </x:c>
    </x:row>
    <x:row r="2562" ht="26" customHeight="1">
      <x:c r="A2562" s="2"/>
      <x:c r="B2562" s="2" t="n">
        <x:v>2557</x:v>
      </x:c>
      <x:c r="C2562" s="2" t="str">
        <x:v>Health Care / price_contribution</x:v>
      </x:c>
      <x:c r="D2562" s="7" t="n">
        <x:v>45838</x:v>
      </x:c>
      <x:c r="E2562" s="2" t="str">
        <x:v>Prior report</x:v>
      </x:c>
      <x:c r="F2562" s="7" t="n">
        <x:v>45771</x:v>
      </x:c>
      <x:c r="G2562" s="2" t="str">
        <x:v>Bias correction</x:v>
      </x:c>
      <x:c r="H2562" s="8" t="n">
        <x:f>K627</x:f>
        <x:v>1.3441972144160177</x:v>
      </x:c>
      <x:c r="I2562" s="8" t="n">
        <x:f>AVERAGE(M559,M576,M593,M610)</x:f>
        <x:v>1.131085286393041</x:v>
      </x:c>
      <x:c r="J2562" s="8" t="n">
        <x:v>1</x:v>
      </x:c>
      <x:c r="K2562" s="8" t="n">
        <x:f>H2562-I2562*J2562</x:f>
        <x:v>0.21311192802297674</x:v>
      </x:c>
      <x:c r="L2562" s="8" t="n">
        <x:f>'PG facts'!D127</x:f>
        <x:v>1</x:v>
      </x:c>
      <x:c r="M2562" s="8" t="n">
        <x:f>K2562-L2562</x:f>
        <x:v>-0.7868880719770233</x:v>
      </x:c>
      <x:c r="N2562" s="8" t="n">
        <x:f>M2562^2</x:f>
        <x:v>0.6191928378197169</x:v>
      </x:c>
      <x:c r="O2562" s="8" t="n">
        <x:f>ABS(M2562)</x:f>
        <x:v>0.7868880719770233</x:v>
      </x:c>
      <x:c r="P2562" s="7" t="n">
        <x:v>45867</x:v>
      </x:c>
    </x:row>
    <x:row r="2563" ht="26" customHeight="1">
      <x:c r="A2563" s="2"/>
      <x:c r="B2563" s="2" t="n">
        <x:v>2558</x:v>
      </x:c>
      <x:c r="C2563" s="2" t="str">
        <x:v>Health Care / price_contribution</x:v>
      </x:c>
      <x:c r="D2563" s="7" t="n">
        <x:v>45838</x:v>
      </x:c>
      <x:c r="E2563" s="2" t="str">
        <x:v>Prior report</x:v>
      </x:c>
      <x:c r="F2563" s="7" t="n">
        <x:v>45771</x:v>
      </x:c>
      <x:c r="G2563" s="2" t="str">
        <x:v>Half correction</x:v>
      </x:c>
      <x:c r="H2563" s="8" t="n">
        <x:f>K627</x:f>
        <x:v>1.3441972144160177</x:v>
      </x:c>
      <x:c r="I2563" s="8" t="n">
        <x:f>AVERAGE(M559,M576,M593,M610)</x:f>
        <x:v>1.131085286393041</x:v>
      </x:c>
      <x:c r="J2563" s="8" t="n">
        <x:v>0.5</x:v>
      </x:c>
      <x:c r="K2563" s="8" t="n">
        <x:f>H2563-I2563*J2563</x:f>
        <x:v>0.7786545712194972</x:v>
      </x:c>
      <x:c r="L2563" s="8" t="n">
        <x:f>'PG facts'!D127</x:f>
        <x:v>1</x:v>
      </x:c>
      <x:c r="M2563" s="8" t="n">
        <x:f>K2563-L2563</x:f>
        <x:v>-0.22134542878050278</x:v>
      </x:c>
      <x:c r="N2563" s="8" t="n">
        <x:f>M2563^2</x:f>
        <x:v>0.04899379884202463</x:v>
      </x:c>
      <x:c r="O2563" s="8" t="n">
        <x:f>ABS(M2563)</x:f>
        <x:v>0.22134542878050278</x:v>
      </x:c>
      <x:c r="P2563" s="7" t="n">
        <x:v>45867</x:v>
      </x:c>
    </x:row>
    <x:row r="2564" ht="26" customHeight="1">
      <x:c r="A2564" s="2"/>
      <x:c r="B2564" s="2" t="n">
        <x:v>2559</x:v>
      </x:c>
      <x:c r="C2564" s="2" t="str">
        <x:v>Health Care / price_contribution</x:v>
      </x:c>
      <x:c r="D2564" s="7" t="n">
        <x:v>45838</x:v>
      </x:c>
      <x:c r="E2564" s="2" t="str">
        <x:v>Pre-earnings</x:v>
      </x:c>
      <x:c r="F2564" s="7" t="n">
        <x:v>45866</x:v>
      </x:c>
      <x:c r="G2564" s="2" t="str">
        <x:v>Bias correction</x:v>
      </x:c>
      <x:c r="H2564" s="8" t="n">
        <x:f>K633</x:f>
        <x:v>1.5441608735148367</x:v>
      </x:c>
      <x:c r="I2564" s="8" t="n">
        <x:f>AVERAGE(M565,M582,M599,M616)</x:f>
        <x:v>0.5282900144201375</x:v>
      </x:c>
      <x:c r="J2564" s="8" t="n">
        <x:v>1</x:v>
      </x:c>
      <x:c r="K2564" s="8" t="n">
        <x:f>H2564-I2564*J2564</x:f>
        <x:v>1.0158708590946992</x:v>
      </x:c>
      <x:c r="L2564" s="8" t="n">
        <x:f>'PG facts'!D127</x:f>
        <x:v>1</x:v>
      </x:c>
      <x:c r="M2564" s="8" t="n">
        <x:f>K2564-L2564</x:f>
        <x:v>0.015870859094699208</x:v>
      </x:c>
      <x:c r="N2564" s="8" t="n">
        <x:f>M2564^2</x:f>
        <x:v>0.00025188416840379657</x:v>
      </x:c>
      <x:c r="O2564" s="8" t="n">
        <x:f>ABS(M2564)</x:f>
        <x:v>0.015870859094699208</x:v>
      </x:c>
      <x:c r="P2564" s="7" t="n">
        <x:v>45867</x:v>
      </x:c>
    </x:row>
    <x:row r="2565" ht="26" customHeight="1">
      <x:c r="A2565" s="2"/>
      <x:c r="B2565" s="2" t="n">
        <x:v>2560</x:v>
      </x:c>
      <x:c r="C2565" s="2" t="str">
        <x:v>Health Care / price_contribution</x:v>
      </x:c>
      <x:c r="D2565" s="7" t="n">
        <x:v>45838</x:v>
      </x:c>
      <x:c r="E2565" s="2" t="str">
        <x:v>Pre-earnings</x:v>
      </x:c>
      <x:c r="F2565" s="7" t="n">
        <x:v>45866</x:v>
      </x:c>
      <x:c r="G2565" s="2" t="str">
        <x:v>Half correction</x:v>
      </x:c>
      <x:c r="H2565" s="8" t="n">
        <x:f>K633</x:f>
        <x:v>1.5441608735148367</x:v>
      </x:c>
      <x:c r="I2565" s="8" t="n">
        <x:f>AVERAGE(M565,M582,M599,M616)</x:f>
        <x:v>0.5282900144201375</x:v>
      </x:c>
      <x:c r="J2565" s="8" t="n">
        <x:v>0.5</x:v>
      </x:c>
      <x:c r="K2565" s="8" t="n">
        <x:f>H2565-I2565*J2565</x:f>
        <x:v>1.280015866304768</x:v>
      </x:c>
      <x:c r="L2565" s="8" t="n">
        <x:f>'PG facts'!D127</x:f>
        <x:v>1</x:v>
      </x:c>
      <x:c r="M2565" s="8" t="n">
        <x:f>K2565-L2565</x:f>
        <x:v>0.28001586630476805</x:v>
      </x:c>
      <x:c r="N2565" s="8" t="n">
        <x:f>M2565^2</x:f>
        <x:v>0.07840888538240973</x:v>
      </x:c>
      <x:c r="O2565" s="8" t="n">
        <x:f>ABS(M2565)</x:f>
        <x:v>0.28001586630476805</x:v>
      </x:c>
      <x:c r="P2565" s="7" t="n">
        <x:v>45867</x:v>
      </x:c>
    </x:row>
    <x:row r="2566" ht="26" customHeight="1">
      <x:c r="A2566" s="2"/>
      <x:c r="B2566" s="2" t="n">
        <x:v>2561</x:v>
      </x:c>
      <x:c r="C2566" s="2" t="str">
        <x:v>Health Care / price_contribution</x:v>
      </x:c>
      <x:c r="D2566" s="7" t="n">
        <x:v>45930</x:v>
      </x:c>
      <x:c r="E2566" s="2" t="str">
        <x:v>Origin</x:v>
      </x:c>
      <x:c r="F2566" s="7" t="n">
        <x:v>45839</x:v>
      </x:c>
      <x:c r="G2566" s="2" t="str">
        <x:v>Bias correction</x:v>
      </x:c>
      <x:c r="H2566" s="8" t="n">
        <x:f>K639</x:f>
        <x:v>1.390647037071689</x:v>
      </x:c>
      <x:c r="I2566" s="8" t="n">
        <x:f>AVERAGE(M554,M571,M588,M605)</x:f>
        <x:v>1.3386924182876339</x:v>
      </x:c>
      <x:c r="J2566" s="8" t="n">
        <x:v>1</x:v>
      </x:c>
      <x:c r="K2566" s="8" t="n">
        <x:f>H2566-I2566*J2566</x:f>
        <x:v>0.05195461878405516</x:v>
      </x:c>
      <x:c r="L2566" s="8" t="n">
        <x:f>'PG facts'!D134</x:f>
        <x:v>1</x:v>
      </x:c>
      <x:c r="M2566" s="8" t="n">
        <x:f>K2566-L2566</x:f>
        <x:v>-0.9480453812159448</x:v>
      </x:c>
      <x:c r="N2566" s="8" t="n">
        <x:f>M2566^2</x:f>
        <x:v>0.8987900448448862</x:v>
      </x:c>
      <x:c r="O2566" s="8" t="n">
        <x:f>ABS(M2566)</x:f>
        <x:v>0.9480453812159448</x:v>
      </x:c>
      <x:c r="P2566" s="7" t="n">
        <x:v>45954</x:v>
      </x:c>
    </x:row>
    <x:row r="2567" ht="26" customHeight="1">
      <x:c r="A2567" s="2"/>
      <x:c r="B2567" s="2" t="n">
        <x:v>2562</x:v>
      </x:c>
      <x:c r="C2567" s="2" t="str">
        <x:v>Health Care / price_contribution</x:v>
      </x:c>
      <x:c r="D2567" s="7" t="n">
        <x:v>45930</x:v>
      </x:c>
      <x:c r="E2567" s="2" t="str">
        <x:v>Origin</x:v>
      </x:c>
      <x:c r="F2567" s="7" t="n">
        <x:v>45839</x:v>
      </x:c>
      <x:c r="G2567" s="2" t="str">
        <x:v>Half correction</x:v>
      </x:c>
      <x:c r="H2567" s="8" t="n">
        <x:f>K639</x:f>
        <x:v>1.390647037071689</x:v>
      </x:c>
      <x:c r="I2567" s="8" t="n">
        <x:f>AVERAGE(M554,M571,M588,M605)</x:f>
        <x:v>1.3386924182876339</x:v>
      </x:c>
      <x:c r="J2567" s="8" t="n">
        <x:v>0.5</x:v>
      </x:c>
      <x:c r="K2567" s="8" t="n">
        <x:f>H2567-I2567*J2567</x:f>
        <x:v>0.7213008279278721</x:v>
      </x:c>
      <x:c r="L2567" s="8" t="n">
        <x:f>'PG facts'!D134</x:f>
        <x:v>1</x:v>
      </x:c>
      <x:c r="M2567" s="8" t="n">
        <x:f>K2567-L2567</x:f>
        <x:v>-0.2786991720721279</x:v>
      </x:c>
      <x:c r="N2567" s="8" t="n">
        <x:f>M2567^2</x:f>
        <x:v>0.07767322851368956</x:v>
      </x:c>
      <x:c r="O2567" s="8" t="n">
        <x:f>ABS(M2567)</x:f>
        <x:v>0.2786991720721279</x:v>
      </x:c>
      <x:c r="P2567" s="7" t="n">
        <x:v>45954</x:v>
      </x:c>
    </x:row>
    <x:row r="2568" ht="26" customHeight="1">
      <x:c r="A2568" s="2"/>
      <x:c r="B2568" s="2" t="n">
        <x:v>2563</x:v>
      </x:c>
      <x:c r="C2568" s="2" t="str">
        <x:v>Health Care / price_contribution</x:v>
      </x:c>
      <x:c r="D2568" s="7" t="n">
        <x:v>45930</x:v>
      </x:c>
      <x:c r="E2568" s="2" t="str">
        <x:v>Prior report</x:v>
      </x:c>
      <x:c r="F2568" s="7" t="n">
        <x:v>45867</x:v>
      </x:c>
      <x:c r="G2568" s="2" t="str">
        <x:v>Bias correction</x:v>
      </x:c>
      <x:c r="H2568" s="8" t="n">
        <x:f>K644</x:f>
        <x:v>1.4969168343320236</x:v>
      </x:c>
      <x:c r="I2568" s="8" t="n">
        <x:f>AVERAGE(M576,M593,M610,M627)</x:f>
        <x:v>0.7214968560195921</x:v>
      </x:c>
      <x:c r="J2568" s="8" t="n">
        <x:v>1</x:v>
      </x:c>
      <x:c r="K2568" s="8" t="n">
        <x:f>H2568-I2568*J2568</x:f>
        <x:v>0.7754199783124315</x:v>
      </x:c>
      <x:c r="L2568" s="8" t="n">
        <x:f>'PG facts'!D134</x:f>
        <x:v>1</x:v>
      </x:c>
      <x:c r="M2568" s="8" t="n">
        <x:f>K2568-L2568</x:f>
        <x:v>-0.22458002168756852</x:v>
      </x:c>
      <x:c r="N2568" s="8" t="n">
        <x:f>M2568^2</x:f>
        <x:v>0.05043618614118875</x:v>
      </x:c>
      <x:c r="O2568" s="8" t="n">
        <x:f>ABS(M2568)</x:f>
        <x:v>0.22458002168756852</x:v>
      </x:c>
      <x:c r="P2568" s="7" t="n">
        <x:v>45954</x:v>
      </x:c>
    </x:row>
    <x:row r="2569" ht="26" customHeight="1">
      <x:c r="A2569" s="2"/>
      <x:c r="B2569" s="2" t="n">
        <x:v>2564</x:v>
      </x:c>
      <x:c r="C2569" s="2" t="str">
        <x:v>Health Care / price_contribution</x:v>
      </x:c>
      <x:c r="D2569" s="7" t="n">
        <x:v>45930</x:v>
      </x:c>
      <x:c r="E2569" s="2" t="str">
        <x:v>Prior report</x:v>
      </x:c>
      <x:c r="F2569" s="7" t="n">
        <x:v>45867</x:v>
      </x:c>
      <x:c r="G2569" s="2" t="str">
        <x:v>Half correction</x:v>
      </x:c>
      <x:c r="H2569" s="8" t="n">
        <x:f>K644</x:f>
        <x:v>1.4969168343320236</x:v>
      </x:c>
      <x:c r="I2569" s="8" t="n">
        <x:f>AVERAGE(M576,M593,M610,M627)</x:f>
        <x:v>0.7214968560195921</x:v>
      </x:c>
      <x:c r="J2569" s="8" t="n">
        <x:v>0.5</x:v>
      </x:c>
      <x:c r="K2569" s="8" t="n">
        <x:f>H2569-I2569*J2569</x:f>
        <x:v>1.1361684063222275</x:v>
      </x:c>
      <x:c r="L2569" s="8" t="n">
        <x:f>'PG facts'!D134</x:f>
        <x:v>1</x:v>
      </x:c>
      <x:c r="M2569" s="8" t="n">
        <x:f>K2569-L2569</x:f>
        <x:v>0.1361684063222275</x:v>
      </x:c>
      <x:c r="N2569" s="8" t="n">
        <x:f>M2569^2</x:f>
        <x:v>0.018541834880335242</x:v>
      </x:c>
      <x:c r="O2569" s="8" t="n">
        <x:f>ABS(M2569)</x:f>
        <x:v>0.1361684063222275</x:v>
      </x:c>
      <x:c r="P2569" s="7" t="n">
        <x:v>45954</x:v>
      </x:c>
    </x:row>
    <x:row r="2570" ht="26" customHeight="1">
      <x:c r="A2570" s="2"/>
      <x:c r="B2570" s="2" t="n">
        <x:v>2565</x:v>
      </x:c>
      <x:c r="C2570" s="2" t="str">
        <x:v>Health Care / price_contribution</x:v>
      </x:c>
      <x:c r="D2570" s="7" t="n">
        <x:v>45930</x:v>
      </x:c>
      <x:c r="E2570" s="2" t="str">
        <x:v>Pre-earnings</x:v>
      </x:c>
      <x:c r="F2570" s="7" t="n">
        <x:v>45953</x:v>
      </x:c>
      <x:c r="G2570" s="2" t="str">
        <x:v>Bias correction</x:v>
      </x:c>
      <x:c r="H2570" s="8" t="n">
        <x:f>K650</x:f>
        <x:v>1.6840190364075156</x:v>
      </x:c>
      <x:c r="I2570" s="8" t="n">
        <x:f>AVERAGE(M582,M599,M616,M633)</x:f>
        <x:v>0.5173175745897134</x:v>
      </x:c>
      <x:c r="J2570" s="8" t="n">
        <x:v>1</x:v>
      </x:c>
      <x:c r="K2570" s="8" t="n">
        <x:f>H2570-I2570*J2570</x:f>
        <x:v>1.1667014618178022</x:v>
      </x:c>
      <x:c r="L2570" s="8" t="n">
        <x:f>'PG facts'!D134</x:f>
        <x:v>1</x:v>
      </x:c>
      <x:c r="M2570" s="8" t="n">
        <x:f>K2570-L2570</x:f>
        <x:v>0.1667014618178022</x:v>
      </x:c>
      <x:c r="N2570" s="8" t="n">
        <x:f>M2570^2</x:f>
        <x:v>0.027789377372192166</x:v>
      </x:c>
      <x:c r="O2570" s="8" t="n">
        <x:f>ABS(M2570)</x:f>
        <x:v>0.1667014618178022</x:v>
      </x:c>
      <x:c r="P2570" s="7" t="n">
        <x:v>45954</x:v>
      </x:c>
    </x:row>
    <x:row r="2571" ht="26" customHeight="1">
      <x:c r="A2571" s="2"/>
      <x:c r="B2571" s="2" t="n">
        <x:v>2566</x:v>
      </x:c>
      <x:c r="C2571" s="2" t="str">
        <x:v>Health Care / price_contribution</x:v>
      </x:c>
      <x:c r="D2571" s="7" t="n">
        <x:v>45930</x:v>
      </x:c>
      <x:c r="E2571" s="2" t="str">
        <x:v>Pre-earnings</x:v>
      </x:c>
      <x:c r="F2571" s="7" t="n">
        <x:v>45953</x:v>
      </x:c>
      <x:c r="G2571" s="2" t="str">
        <x:v>Half correction</x:v>
      </x:c>
      <x:c r="H2571" s="8" t="n">
        <x:f>K650</x:f>
        <x:v>1.6840190364075156</x:v>
      </x:c>
      <x:c r="I2571" s="8" t="n">
        <x:f>AVERAGE(M582,M599,M616,M633)</x:f>
        <x:v>0.5173175745897134</x:v>
      </x:c>
      <x:c r="J2571" s="8" t="n">
        <x:v>0.5</x:v>
      </x:c>
      <x:c r="K2571" s="8" t="n">
        <x:f>H2571-I2571*J2571</x:f>
        <x:v>1.425360249112659</x:v>
      </x:c>
      <x:c r="L2571" s="8" t="n">
        <x:f>'PG facts'!D134</x:f>
        <x:v>1</x:v>
      </x:c>
      <x:c r="M2571" s="8" t="n">
        <x:f>K2571-L2571</x:f>
        <x:v>0.4253602491126589</x:v>
      </x:c>
      <x:c r="N2571" s="8" t="n">
        <x:f>M2571^2</x:f>
        <x:v>0.18093134152518325</x:v>
      </x:c>
      <x:c r="O2571" s="8" t="n">
        <x:f>ABS(M2571)</x:f>
        <x:v>0.4253602491126589</x:v>
      </x:c>
      <x:c r="P2571" s="7" t="n">
        <x:v>45954</x:v>
      </x:c>
    </x:row>
    <x:row r="2572" ht="26" customHeight="1">
      <x:c r="A2572" s="2"/>
      <x:c r="B2572" s="2" t="n">
        <x:v>2567</x:v>
      </x:c>
      <x:c r="C2572" s="2" t="str">
        <x:v>Health Care / price_contribution</x:v>
      </x:c>
      <x:c r="D2572" s="7" t="n">
        <x:v>46022</x:v>
      </x:c>
      <x:c r="E2572" s="2" t="str">
        <x:v>Origin</x:v>
      </x:c>
      <x:c r="F2572" s="7" t="n">
        <x:v>45931</x:v>
      </x:c>
      <x:c r="G2572" s="2" t="str">
        <x:v>Bias correction</x:v>
      </x:c>
      <x:c r="H2572" s="8" t="n">
        <x:f>K656</x:f>
        <x:v>1.6631549954578893</x:v>
      </x:c>
      <x:c r="I2572" s="8" t="n">
        <x:f>AVERAGE(M571,M588,M605,M622)</x:f>
        <x:v>0.9785301449502639</x:v>
      </x:c>
      <x:c r="J2572" s="8" t="n">
        <x:v>1</x:v>
      </x:c>
      <x:c r="K2572" s="8" t="n">
        <x:f>H2572-I2572*J2572</x:f>
        <x:v>0.6846248505076253</x:v>
      </x:c>
      <x:c r="L2572" s="8" t="n">
        <x:f>'PG facts'!D141</x:f>
        <x:v>1</x:v>
      </x:c>
      <x:c r="M2572" s="8" t="n">
        <x:f>K2572-L2572</x:f>
        <x:v>-0.31537514949237466</x:v>
      </x:c>
      <x:c r="N2572" s="8" t="n">
        <x:f>M2572^2</x:f>
        <x:v>0.09946148491733767</x:v>
      </x:c>
      <x:c r="O2572" s="8" t="n">
        <x:f>ABS(M2572)</x:f>
        <x:v>0.31537514949237466</x:v>
      </x:c>
      <x:c r="P2572" s="7" t="n">
        <x:v>46045</x:v>
      </x:c>
    </x:row>
    <x:row r="2573" ht="26" customHeight="1">
      <x:c r="A2573" s="2"/>
      <x:c r="B2573" s="2" t="n">
        <x:v>2568</x:v>
      </x:c>
      <x:c r="C2573" s="2" t="str">
        <x:v>Health Care / price_contribution</x:v>
      </x:c>
      <x:c r="D2573" s="7" t="n">
        <x:v>46022</x:v>
      </x:c>
      <x:c r="E2573" s="2" t="str">
        <x:v>Origin</x:v>
      </x:c>
      <x:c r="F2573" s="7" t="n">
        <x:v>45931</x:v>
      </x:c>
      <x:c r="G2573" s="2" t="str">
        <x:v>Half correction</x:v>
      </x:c>
      <x:c r="H2573" s="8" t="n">
        <x:f>K656</x:f>
        <x:v>1.6631549954578893</x:v>
      </x:c>
      <x:c r="I2573" s="8" t="n">
        <x:f>AVERAGE(M571,M588,M605,M622)</x:f>
        <x:v>0.9785301449502639</x:v>
      </x:c>
      <x:c r="J2573" s="8" t="n">
        <x:v>0.5</x:v>
      </x:c>
      <x:c r="K2573" s="8" t="n">
        <x:f>H2573-I2573*J2573</x:f>
        <x:v>1.1738899229827573</x:v>
      </x:c>
      <x:c r="L2573" s="8" t="n">
        <x:f>'PG facts'!D141</x:f>
        <x:v>1</x:v>
      </x:c>
      <x:c r="M2573" s="8" t="n">
        <x:f>K2573-L2573</x:f>
        <x:v>0.1738899229827573</x:v>
      </x:c>
      <x:c r="N2573" s="8" t="n">
        <x:f>M2573^2</x:f>
        <x:v>0.030237705314949265</x:v>
      </x:c>
      <x:c r="O2573" s="8" t="n">
        <x:f>ABS(M2573)</x:f>
        <x:v>0.1738899229827573</x:v>
      </x:c>
      <x:c r="P2573" s="7" t="n">
        <x:v>46045</x:v>
      </x:c>
    </x:row>
    <x:row r="2574" ht="26" customHeight="1">
      <x:c r="A2574" s="2"/>
      <x:c r="B2574" s="2" t="n">
        <x:v>2569</x:v>
      </x:c>
      <x:c r="C2574" s="2" t="str">
        <x:v>Health Care / price_contribution</x:v>
      </x:c>
      <x:c r="D2574" s="7" t="n">
        <x:v>46022</x:v>
      </x:c>
      <x:c r="E2574" s="2" t="str">
        <x:v>Prior report</x:v>
      </x:c>
      <x:c r="F2574" s="7" t="n">
        <x:v>45954</x:v>
      </x:c>
      <x:c r="G2574" s="2" t="str">
        <x:v>Bias correction</x:v>
      </x:c>
      <x:c r="H2574" s="8" t="n">
        <x:f>K661</x:f>
        <x:v>1.8144061623213321</x:v>
      </x:c>
      <x:c r="I2574" s="8" t="n">
        <x:f>AVERAGE(M593,M610,M627,M644)</x:f>
        <x:v>0.4617771786455177</x:v>
      </x:c>
      <x:c r="J2574" s="8" t="n">
        <x:v>1</x:v>
      </x:c>
      <x:c r="K2574" s="8" t="n">
        <x:f>H2574-I2574*J2574</x:f>
        <x:v>1.3526289836758143</x:v>
      </x:c>
      <x:c r="L2574" s="8" t="n">
        <x:f>'PG facts'!D141</x:f>
        <x:v>1</x:v>
      </x:c>
      <x:c r="M2574" s="8" t="n">
        <x:f>K2574-L2574</x:f>
        <x:v>0.3526289836758143</x:v>
      </x:c>
      <x:c r="N2574" s="8" t="n">
        <x:f>M2574^2</x:f>
        <x:v>0.1243472001282377</x:v>
      </x:c>
      <x:c r="O2574" s="8" t="n">
        <x:f>ABS(M2574)</x:f>
        <x:v>0.3526289836758143</x:v>
      </x:c>
      <x:c r="P2574" s="7" t="n">
        <x:v>46045</x:v>
      </x:c>
    </x:row>
    <x:row r="2575" ht="26" customHeight="1">
      <x:c r="A2575" s="2"/>
      <x:c r="B2575" s="2" t="n">
        <x:v>2570</x:v>
      </x:c>
      <x:c r="C2575" s="2" t="str">
        <x:v>Health Care / price_contribution</x:v>
      </x:c>
      <x:c r="D2575" s="7" t="n">
        <x:v>46022</x:v>
      </x:c>
      <x:c r="E2575" s="2" t="str">
        <x:v>Prior report</x:v>
      </x:c>
      <x:c r="F2575" s="7" t="n">
        <x:v>45954</x:v>
      </x:c>
      <x:c r="G2575" s="2" t="str">
        <x:v>Half correction</x:v>
      </x:c>
      <x:c r="H2575" s="8" t="n">
        <x:f>K661</x:f>
        <x:v>1.8144061623213321</x:v>
      </x:c>
      <x:c r="I2575" s="8" t="n">
        <x:f>AVERAGE(M593,M610,M627,M644)</x:f>
        <x:v>0.4617771786455177</x:v>
      </x:c>
      <x:c r="J2575" s="8" t="n">
        <x:v>0.5</x:v>
      </x:c>
      <x:c r="K2575" s="8" t="n">
        <x:f>H2575-I2575*J2575</x:f>
        <x:v>1.5835175729985733</x:v>
      </x:c>
      <x:c r="L2575" s="8" t="n">
        <x:f>'PG facts'!D141</x:f>
        <x:v>1</x:v>
      </x:c>
      <x:c r="M2575" s="8" t="n">
        <x:f>K2575-L2575</x:f>
        <x:v>0.5835175729985733</x:v>
      </x:c>
      <x:c r="N2575" s="8" t="n">
        <x:f>M2575^2</x:f>
        <x:v>0.3404927579981453</x:v>
      </x:c>
      <x:c r="O2575" s="8" t="n">
        <x:f>ABS(M2575)</x:f>
        <x:v>0.5835175729985733</x:v>
      </x:c>
      <x:c r="P2575" s="7" t="n">
        <x:v>46045</x:v>
      </x:c>
    </x:row>
    <x:row r="2576" ht="26" customHeight="1">
      <x:c r="A2576" s="2"/>
      <x:c r="B2576" s="2" t="n">
        <x:v>2571</x:v>
      </x:c>
      <x:c r="C2576" s="2" t="str">
        <x:v>Health Care / price_contribution</x:v>
      </x:c>
      <x:c r="D2576" s="7" t="n">
        <x:v>46022</x:v>
      </x:c>
      <x:c r="E2576" s="2" t="str">
        <x:v>Pre-earnings</x:v>
      </x:c>
      <x:c r="F2576" s="7" t="n">
        <x:v>46044</x:v>
      </x:c>
      <x:c r="G2576" s="2" t="str">
        <x:v>Bias correction</x:v>
      </x:c>
      <x:c r="H2576" s="8" t="n">
        <x:f>K667</x:f>
        <x:v>1.9345094387889286</x:v>
      </x:c>
      <x:c r="I2576" s="8" t="n">
        <x:f>AVERAGE(M599,M616,M633,M650)</x:f>
        <x:v>0.5329901223106129</x:v>
      </x:c>
      <x:c r="J2576" s="8" t="n">
        <x:v>1</x:v>
      </x:c>
      <x:c r="K2576" s="8" t="n">
        <x:f>H2576-I2576*J2576</x:f>
        <x:v>1.4015193164783155</x:v>
      </x:c>
      <x:c r="L2576" s="8" t="n">
        <x:f>'PG facts'!D141</x:f>
        <x:v>1</x:v>
      </x:c>
      <x:c r="M2576" s="8" t="n">
        <x:f>K2576-L2576</x:f>
        <x:v>0.4015193164783155</x:v>
      </x:c>
      <x:c r="N2576" s="8" t="n">
        <x:f>M2576^2</x:f>
        <x:v>0.1612177615052137</x:v>
      </x:c>
      <x:c r="O2576" s="8" t="n">
        <x:f>ABS(M2576)</x:f>
        <x:v>0.4015193164783155</x:v>
      </x:c>
      <x:c r="P2576" s="7" t="n">
        <x:v>46045</x:v>
      </x:c>
    </x:row>
    <x:row r="2577" ht="26" customHeight="1">
      <x:c r="A2577" s="2"/>
      <x:c r="B2577" s="2" t="n">
        <x:v>2572</x:v>
      </x:c>
      <x:c r="C2577" s="2" t="str">
        <x:v>Health Care / price_contribution</x:v>
      </x:c>
      <x:c r="D2577" s="7" t="n">
        <x:v>46022</x:v>
      </x:c>
      <x:c r="E2577" s="2" t="str">
        <x:v>Pre-earnings</x:v>
      </x:c>
      <x:c r="F2577" s="7" t="n">
        <x:v>46044</x:v>
      </x:c>
      <x:c r="G2577" s="2" t="str">
        <x:v>Half correction</x:v>
      </x:c>
      <x:c r="H2577" s="8" t="n">
        <x:f>K667</x:f>
        <x:v>1.9345094387889286</x:v>
      </x:c>
      <x:c r="I2577" s="8" t="n">
        <x:f>AVERAGE(M599,M616,M633,M650)</x:f>
        <x:v>0.5329901223106129</x:v>
      </x:c>
      <x:c r="J2577" s="8" t="n">
        <x:v>0.5</x:v>
      </x:c>
      <x:c r="K2577" s="8" t="n">
        <x:f>H2577-I2577*J2577</x:f>
        <x:v>1.668014377633622</x:v>
      </x:c>
      <x:c r="L2577" s="8" t="n">
        <x:f>'PG facts'!D141</x:f>
        <x:v>1</x:v>
      </x:c>
      <x:c r="M2577" s="8" t="n">
        <x:f>K2577-L2577</x:f>
        <x:v>0.668014377633622</x:v>
      </x:c>
      <x:c r="N2577" s="8" t="n">
        <x:f>M2577^2</x:f>
        <x:v>0.4462432087252354</x:v>
      </x:c>
      <x:c r="O2577" s="8" t="n">
        <x:f>ABS(M2577)</x:f>
        <x:v>0.668014377633622</x:v>
      </x:c>
      <x:c r="P2577" s="7" t="n">
        <x:v>46045</x:v>
      </x:c>
    </x:row>
    <x:row r="2578" ht="26" customHeight="1">
      <x:c r="A2578" s="2"/>
      <x:c r="B2578" s="2" t="n">
        <x:v>2573</x:v>
      </x:c>
      <x:c r="C2578" s="2" t="str">
        <x:v>Health Care / price_contribution</x:v>
      </x:c>
      <x:c r="D2578" s="7" t="n">
        <x:v>46112</x:v>
      </x:c>
      <x:c r="E2578" s="2" t="str">
        <x:v>Origin</x:v>
      </x:c>
      <x:c r="F2578" s="7" t="n">
        <x:v>46023</x:v>
      </x:c>
      <x:c r="G2578" s="2" t="str">
        <x:v>Bias correction</x:v>
      </x:c>
      <x:c r="H2578" s="8" t="n">
        <x:f>K673</x:f>
        <x:v>1.900388451613768</x:v>
      </x:c>
      <x:c r="I2578" s="8" t="n">
        <x:f>AVERAGE(M588,M605,M622,M639)</x:f>
        <x:v>0.5402473922502352</x:v>
      </x:c>
      <x:c r="J2578" s="8" t="n">
        <x:v>1</x:v>
      </x:c>
      <x:c r="K2578" s="8" t="n">
        <x:f>H2578-I2578*J2578</x:f>
        <x:v>1.3601410593635328</x:v>
      </x:c>
      <x:c r="L2578" s="8" t="n">
        <x:f>'PG facts'!D148</x:f>
        <x:v>2</x:v>
      </x:c>
      <x:c r="M2578" s="8" t="n">
        <x:f>K2578-L2578</x:f>
        <x:v>-0.6398589406364672</x:v>
      </x:c>
      <x:c r="N2578" s="8" t="n">
        <x:f>M2578^2</x:f>
        <x:v>0.40941946391242207</x:v>
      </x:c>
      <x:c r="O2578" s="8" t="n">
        <x:f>ABS(M2578)</x:f>
        <x:v>0.6398589406364672</x:v>
      </x:c>
      <x:c r="P2578" s="7" t="n">
        <x:v>46136</x:v>
      </x:c>
    </x:row>
    <x:row r="2579" ht="26" customHeight="1">
      <x:c r="A2579" s="2"/>
      <x:c r="B2579" s="2" t="n">
        <x:v>2574</x:v>
      </x:c>
      <x:c r="C2579" s="2" t="str">
        <x:v>Health Care / price_contribution</x:v>
      </x:c>
      <x:c r="D2579" s="7" t="n">
        <x:v>46112</x:v>
      </x:c>
      <x:c r="E2579" s="2" t="str">
        <x:v>Origin</x:v>
      </x:c>
      <x:c r="F2579" s="7" t="n">
        <x:v>46023</x:v>
      </x:c>
      <x:c r="G2579" s="2" t="str">
        <x:v>Half correction</x:v>
      </x:c>
      <x:c r="H2579" s="8" t="n">
        <x:f>K673</x:f>
        <x:v>1.900388451613768</x:v>
      </x:c>
      <x:c r="I2579" s="8" t="n">
        <x:f>AVERAGE(M588,M605,M622,M639)</x:f>
        <x:v>0.5402473922502352</x:v>
      </x:c>
      <x:c r="J2579" s="8" t="n">
        <x:v>0.5</x:v>
      </x:c>
      <x:c r="K2579" s="8" t="n">
        <x:f>H2579-I2579*J2579</x:f>
        <x:v>1.6302647554886502</x:v>
      </x:c>
      <x:c r="L2579" s="8" t="n">
        <x:f>'PG facts'!D148</x:f>
        <x:v>2</x:v>
      </x:c>
      <x:c r="M2579" s="8" t="n">
        <x:f>K2579-L2579</x:f>
        <x:v>-0.36973524451134976</x:v>
      </x:c>
      <x:c r="N2579" s="8" t="n">
        <x:f>M2579^2</x:f>
        <x:v>0.1367041510338676</x:v>
      </x:c>
      <x:c r="O2579" s="8" t="n">
        <x:f>ABS(M2579)</x:f>
        <x:v>0.36973524451134976</x:v>
      </x:c>
      <x:c r="P2579" s="7" t="n">
        <x:v>46136</x:v>
      </x:c>
    </x:row>
    <x:row r="2580" ht="26" customHeight="1">
      <x:c r="A2580" s="2"/>
      <x:c r="B2580" s="2" t="n">
        <x:v>2575</x:v>
      </x:c>
      <x:c r="C2580" s="2" t="str">
        <x:v>Health Care / price_contribution</x:v>
      </x:c>
      <x:c r="D2580" s="7" t="n">
        <x:v>46112</x:v>
      </x:c>
      <x:c r="E2580" s="2" t="str">
        <x:v>Prior report</x:v>
      </x:c>
      <x:c r="F2580" s="7" t="n">
        <x:v>46045</x:v>
      </x:c>
      <x:c r="G2580" s="2" t="str">
        <x:v>Bias correction</x:v>
      </x:c>
      <x:c r="H2580" s="8" t="n">
        <x:f>K678</x:f>
        <x:v>1.995998687664966</x:v>
      </x:c>
      <x:c r="I2580" s="8" t="n">
        <x:f>AVERAGE(M610,M627,M644,M661)</x:f>
        <x:v>0.5294330263988203</x:v>
      </x:c>
      <x:c r="J2580" s="8" t="n">
        <x:v>1</x:v>
      </x:c>
      <x:c r="K2580" s="8" t="n">
        <x:f>H2580-I2580*J2580</x:f>
        <x:v>1.4665656612661457</x:v>
      </x:c>
      <x:c r="L2580" s="8" t="n">
        <x:f>'PG facts'!D148</x:f>
        <x:v>2</x:v>
      </x:c>
      <x:c r="M2580" s="8" t="n">
        <x:f>K2580-L2580</x:f>
        <x:v>-0.5334343387338543</x:v>
      </x:c>
      <x:c r="N2580" s="8" t="n">
        <x:f>M2580^2</x:f>
        <x:v>0.2845521937404244</x:v>
      </x:c>
      <x:c r="O2580" s="8" t="n">
        <x:f>ABS(M2580)</x:f>
        <x:v>0.5334343387338543</x:v>
      </x:c>
      <x:c r="P2580" s="7" t="n">
        <x:v>46136</x:v>
      </x:c>
    </x:row>
    <x:row r="2581" ht="26" customHeight="1">
      <x:c r="A2581" s="2"/>
      <x:c r="B2581" s="2" t="n">
        <x:v>2576</x:v>
      </x:c>
      <x:c r="C2581" s="2" t="str">
        <x:v>Health Care / price_contribution</x:v>
      </x:c>
      <x:c r="D2581" s="7" t="n">
        <x:v>46112</x:v>
      </x:c>
      <x:c r="E2581" s="2" t="str">
        <x:v>Prior report</x:v>
      </x:c>
      <x:c r="F2581" s="7" t="n">
        <x:v>46045</x:v>
      </x:c>
      <x:c r="G2581" s="2" t="str">
        <x:v>Half correction</x:v>
      </x:c>
      <x:c r="H2581" s="8" t="n">
        <x:f>K678</x:f>
        <x:v>1.995998687664966</x:v>
      </x:c>
      <x:c r="I2581" s="8" t="n">
        <x:f>AVERAGE(M610,M627,M644,M661)</x:f>
        <x:v>0.5294330263988203</x:v>
      </x:c>
      <x:c r="J2581" s="8" t="n">
        <x:v>0.5</x:v>
      </x:c>
      <x:c r="K2581" s="8" t="n">
        <x:f>H2581-I2581*J2581</x:f>
        <x:v>1.731282174465556</x:v>
      </x:c>
      <x:c r="L2581" s="8" t="n">
        <x:f>'PG facts'!D148</x:f>
        <x:v>2</x:v>
      </x:c>
      <x:c r="M2581" s="8" t="n">
        <x:f>K2581-L2581</x:f>
        <x:v>-0.268717825534444</x:v>
      </x:c>
      <x:c r="N2581" s="8" t="n">
        <x:f>M2581^2</x:f>
        <x:v>0.0722092697599599</x:v>
      </x:c>
      <x:c r="O2581" s="8" t="n">
        <x:f>ABS(M2581)</x:f>
        <x:v>0.268717825534444</x:v>
      </x:c>
      <x:c r="P2581" s="7" t="n">
        <x:v>46136</x:v>
      </x:c>
    </x:row>
    <x:row r="2582" ht="26" customHeight="1">
      <x:c r="A2582" s="2"/>
      <x:c r="B2582" s="2" t="n">
        <x:v>2577</x:v>
      </x:c>
      <x:c r="C2582" s="2" t="str">
        <x:v>Health Care / price_contribution</x:v>
      </x:c>
      <x:c r="D2582" s="7" t="n">
        <x:v>46112</x:v>
      </x:c>
      <x:c r="E2582" s="2" t="str">
        <x:v>Pre-earnings</x:v>
      </x:c>
      <x:c r="F2582" s="7" t="n">
        <x:v>46135</x:v>
      </x:c>
      <x:c r="G2582" s="2" t="str">
        <x:v>Bias correction</x:v>
      </x:c>
      <x:c r="H2582" s="8" t="n">
        <x:f>K683</x:f>
        <x:v>2.52996356604286</x:v>
      </x:c>
      <x:c r="I2582" s="8" t="n">
        <x:f>AVERAGE(M616,M633,M650,M667)</x:f>
        <x:v>0.6366482093847006</x:v>
      </x:c>
      <x:c r="J2582" s="8" t="n">
        <x:v>1</x:v>
      </x:c>
      <x:c r="K2582" s="8" t="n">
        <x:f>H2582-I2582*J2582</x:f>
        <x:v>1.8933153566581595</x:v>
      </x:c>
      <x:c r="L2582" s="8" t="n">
        <x:f>'PG facts'!D148</x:f>
        <x:v>2</x:v>
      </x:c>
      <x:c r="M2582" s="8" t="n">
        <x:f>K2582-L2582</x:f>
        <x:v>-0.10668464334184047</x:v>
      </x:c>
      <x:c r="N2582" s="8" t="n">
        <x:f>M2582^2</x:f>
        <x:v>0.011381613124975706</x:v>
      </x:c>
      <x:c r="O2582" s="8" t="n">
        <x:f>ABS(M2582)</x:f>
        <x:v>0.10668464334184047</x:v>
      </x:c>
      <x:c r="P2582" s="7" t="n">
        <x:v>46136</x:v>
      </x:c>
    </x:row>
    <x:row r="2583" ht="26" customHeight="1">
      <x:c r="A2583" s="2"/>
      <x:c r="B2583" s="2" t="n">
        <x:v>2578</x:v>
      </x:c>
      <x:c r="C2583" s="2" t="str">
        <x:v>Health Care / price_contribution</x:v>
      </x:c>
      <x:c r="D2583" s="7" t="n">
        <x:v>46112</x:v>
      </x:c>
      <x:c r="E2583" s="2" t="str">
        <x:v>Pre-earnings</x:v>
      </x:c>
      <x:c r="F2583" s="7" t="n">
        <x:v>46135</x:v>
      </x:c>
      <x:c r="G2583" s="2" t="str">
        <x:v>Half correction</x:v>
      </x:c>
      <x:c r="H2583" s="8" t="n">
        <x:f>K683</x:f>
        <x:v>2.52996356604286</x:v>
      </x:c>
      <x:c r="I2583" s="8" t="n">
        <x:f>AVERAGE(M616,M633,M650,M667)</x:f>
        <x:v>0.6366482093847006</x:v>
      </x:c>
      <x:c r="J2583" s="8" t="n">
        <x:v>0.5</x:v>
      </x:c>
      <x:c r="K2583" s="8" t="n">
        <x:f>H2583-I2583*J2583</x:f>
        <x:v>2.2116394613505097</x:v>
      </x:c>
      <x:c r="L2583" s="8" t="n">
        <x:f>'PG facts'!D148</x:f>
        <x:v>2</x:v>
      </x:c>
      <x:c r="M2583" s="8" t="n">
        <x:f>K2583-L2583</x:f>
        <x:v>0.2116394613505097</x:v>
      </x:c>
      <x:c r="N2583" s="8" t="n">
        <x:f>M2583^2</x:f>
        <x:v>0.04479126160073389</x:v>
      </x:c>
      <x:c r="O2583" s="8" t="n">
        <x:f>ABS(M2583)</x:f>
        <x:v>0.2116394613505097</x:v>
      </x:c>
      <x:c r="P2583" s="7" t="n">
        <x:v>46136</x:v>
      </x:c>
    </x:row>
    <x:row r="2584" ht="26" customHeight="1">
      <x:c r="A2584" s="2"/>
      <x:c r="B2584" s="2" t="n">
        <x:v>2579</x:v>
      </x:c>
      <x:c r="C2584" s="2" t="str">
        <x:v>Fabric &amp; Home Care / price_contribution</x:v>
      </x:c>
      <x:c r="D2584" s="7" t="n">
        <x:v>45473</x:v>
      </x:c>
      <x:c r="E2584" s="2" t="str">
        <x:v>Prior report</x:v>
      </x:c>
      <x:c r="F2584" s="7" t="n">
        <x:v>45401</x:v>
      </x:c>
      <x:c r="G2584" s="2" t="str">
        <x:v>Bias correction</x:v>
      </x:c>
      <x:c r="H2584" s="8" t="n">
        <x:f>K759</x:f>
        <x:v>6.3616919039117</x:v>
      </x:c>
      <x:c r="I2584" s="8" t="n">
        <x:f>AVERAGE(M692,M708,M725,M742)</x:f>
        <x:v>5.35007578515389</x:v>
      </x:c>
      <x:c r="J2584" s="8" t="n">
        <x:v>1</x:v>
      </x:c>
      <x:c r="K2584" s="8" t="n">
        <x:f>H2584-I2584*J2584</x:f>
        <x:v>1.0116161187578099</x:v>
      </x:c>
      <x:c r="L2584" s="8" t="n">
        <x:f>'PG facts'!D100</x:f>
        <x:v>-1</x:v>
      </x:c>
      <x:c r="M2584" s="8" t="n">
        <x:f>K2584-L2584</x:f>
        <x:v>2.01161611875781</x:v>
      </x:c>
      <x:c r="N2584" s="8" t="n">
        <x:f>M2584^2</x:f>
        <x:v>4.046599409246235</x:v>
      </x:c>
      <x:c r="O2584" s="8" t="n">
        <x:f>ABS(M2584)</x:f>
        <x:v>2.01161611875781</x:v>
      </x:c>
      <x:c r="P2584" s="7" t="n">
        <x:v>45503</x:v>
      </x:c>
    </x:row>
    <x:row r="2585" ht="26" customHeight="1">
      <x:c r="A2585" s="2"/>
      <x:c r="B2585" s="2" t="n">
        <x:v>2580</x:v>
      </x:c>
      <x:c r="C2585" s="2" t="str">
        <x:v>Fabric &amp; Home Care / price_contribution</x:v>
      </x:c>
      <x:c r="D2585" s="7" t="n">
        <x:v>45473</x:v>
      </x:c>
      <x:c r="E2585" s="2" t="str">
        <x:v>Prior report</x:v>
      </x:c>
      <x:c r="F2585" s="7" t="n">
        <x:v>45401</x:v>
      </x:c>
      <x:c r="G2585" s="2" t="str">
        <x:v>Half correction</x:v>
      </x:c>
      <x:c r="H2585" s="8" t="n">
        <x:f>K759</x:f>
        <x:v>6.3616919039117</x:v>
      </x:c>
      <x:c r="I2585" s="8" t="n">
        <x:f>AVERAGE(M692,M708,M725,M742)</x:f>
        <x:v>5.35007578515389</x:v>
      </x:c>
      <x:c r="J2585" s="8" t="n">
        <x:v>0.5</x:v>
      </x:c>
      <x:c r="K2585" s="8" t="n">
        <x:f>H2585-I2585*J2585</x:f>
        <x:v>3.686654011334755</x:v>
      </x:c>
      <x:c r="L2585" s="8" t="n">
        <x:f>'PG facts'!D100</x:f>
        <x:v>-1</x:v>
      </x:c>
      <x:c r="M2585" s="8" t="n">
        <x:f>K2585-L2585</x:f>
        <x:v>4.686654011334754</x:v>
      </x:c>
      <x:c r="N2585" s="8" t="n">
        <x:f>M2585^2</x:f>
        <x:v>21.964725821960144</x:v>
      </x:c>
      <x:c r="O2585" s="8" t="n">
        <x:f>ABS(M2585)</x:f>
        <x:v>4.686654011334754</x:v>
      </x:c>
      <x:c r="P2585" s="7" t="n">
        <x:v>45503</x:v>
      </x:c>
    </x:row>
    <x:row r="2586" ht="26" customHeight="1">
      <x:c r="A2586" s="2"/>
      <x:c r="B2586" s="2" t="n">
        <x:v>2581</x:v>
      </x:c>
      <x:c r="C2586" s="2" t="str">
        <x:v>Fabric &amp; Home Care / price_contribution</x:v>
      </x:c>
      <x:c r="D2586" s="7" t="n">
        <x:v>45473</x:v>
      </x:c>
      <x:c r="E2586" s="2" t="str">
        <x:v>Pre-earnings</x:v>
      </x:c>
      <x:c r="F2586" s="7" t="n">
        <x:v>45502</x:v>
      </x:c>
      <x:c r="G2586" s="2" t="str">
        <x:v>Bias correction</x:v>
      </x:c>
      <x:c r="H2586" s="8" t="n">
        <x:f>K765</x:f>
        <x:v>3.9972672108497687</x:v>
      </x:c>
      <x:c r="I2586" s="8" t="n">
        <x:f>AVERAGE(M698,M714,M731,M748)</x:f>
        <x:v>4.393470458761264</x:v>
      </x:c>
      <x:c r="J2586" s="8" t="n">
        <x:v>1</x:v>
      </x:c>
      <x:c r="K2586" s="8" t="n">
        <x:f>H2586-I2586*J2586</x:f>
        <x:v>-0.39620324791149564</x:v>
      </x:c>
      <x:c r="L2586" s="8" t="n">
        <x:f>'PG facts'!D100</x:f>
        <x:v>-1</x:v>
      </x:c>
      <x:c r="M2586" s="8" t="n">
        <x:f>K2586-L2586</x:f>
        <x:v>0.6037967520885044</x:v>
      </x:c>
      <x:c r="N2586" s="8" t="n">
        <x:f>M2586^2</x:f>
        <x:v>0.3645705178326268</x:v>
      </x:c>
      <x:c r="O2586" s="8" t="n">
        <x:f>ABS(M2586)</x:f>
        <x:v>0.6037967520885044</x:v>
      </x:c>
      <x:c r="P2586" s="7" t="n">
        <x:v>45503</x:v>
      </x:c>
    </x:row>
    <x:row r="2587" ht="26" customHeight="1">
      <x:c r="A2587" s="2"/>
      <x:c r="B2587" s="2" t="n">
        <x:v>2582</x:v>
      </x:c>
      <x:c r="C2587" s="2" t="str">
        <x:v>Fabric &amp; Home Care / price_contribution</x:v>
      </x:c>
      <x:c r="D2587" s="7" t="n">
        <x:v>45473</x:v>
      </x:c>
      <x:c r="E2587" s="2" t="str">
        <x:v>Pre-earnings</x:v>
      </x:c>
      <x:c r="F2587" s="7" t="n">
        <x:v>45502</x:v>
      </x:c>
      <x:c r="G2587" s="2" t="str">
        <x:v>Half correction</x:v>
      </x:c>
      <x:c r="H2587" s="8" t="n">
        <x:f>K765</x:f>
        <x:v>3.9972672108497687</x:v>
      </x:c>
      <x:c r="I2587" s="8" t="n">
        <x:f>AVERAGE(M698,M714,M731,M748)</x:f>
        <x:v>4.393470458761264</x:v>
      </x:c>
      <x:c r="J2587" s="8" t="n">
        <x:v>0.5</x:v>
      </x:c>
      <x:c r="K2587" s="8" t="n">
        <x:f>H2587-I2587*J2587</x:f>
        <x:v>1.8005319814691365</x:v>
      </x:c>
      <x:c r="L2587" s="8" t="n">
        <x:f>'PG facts'!D100</x:f>
        <x:v>-1</x:v>
      </x:c>
      <x:c r="M2587" s="8" t="n">
        <x:f>K2587-L2587</x:f>
        <x:v>2.8005319814691365</x:v>
      </x:c>
      <x:c r="N2587" s="8" t="n">
        <x:f>M2587^2</x:f>
        <x:v>7.842979379231448</x:v>
      </x:c>
      <x:c r="O2587" s="8" t="n">
        <x:f>ABS(M2587)</x:f>
        <x:v>2.8005319814691365</x:v>
      </x:c>
      <x:c r="P2587" s="7" t="n">
        <x:v>45503</x:v>
      </x:c>
    </x:row>
    <x:row r="2588" ht="26" customHeight="1">
      <x:c r="A2588" s="2"/>
      <x:c r="B2588" s="2" t="n">
        <x:v>2583</x:v>
      </x:c>
      <x:c r="C2588" s="2" t="str">
        <x:v>Fabric &amp; Home Care / price_contribution</x:v>
      </x:c>
      <x:c r="D2588" s="7" t="n">
        <x:v>45565</x:v>
      </x:c>
      <x:c r="E2588" s="2" t="str">
        <x:v>Origin</x:v>
      </x:c>
      <x:c r="F2588" s="7" t="n">
        <x:v>45474</x:v>
      </x:c>
      <x:c r="G2588" s="2" t="str">
        <x:v>Bias correction</x:v>
      </x:c>
      <x:c r="H2588" s="8" t="n">
        <x:f>K771</x:f>
        <x:v>4.939522741253782</x:v>
      </x:c>
      <x:c r="I2588" s="8" t="n">
        <x:f>AVERAGE(M688,M704,M720,M737)</x:f>
        <x:v>6.451845188406205</x:v>
      </x:c>
      <x:c r="J2588" s="8" t="n">
        <x:v>1</x:v>
      </x:c>
      <x:c r="K2588" s="8" t="n">
        <x:f>H2588-I2588*J2588</x:f>
        <x:v>-1.5123224471524228</x:v>
      </x:c>
      <x:c r="L2588" s="8" t="n">
        <x:f>'PG facts'!D107</x:f>
        <x:v>0</x:v>
      </x:c>
      <x:c r="M2588" s="8" t="n">
        <x:f>K2588-L2588</x:f>
        <x:v>-1.5123224471524228</x:v>
      </x:c>
      <x:c r="N2588" s="8" t="n">
        <x:f>M2588^2</x:f>
        <x:v>2.2871191841610927</x:v>
      </x:c>
      <x:c r="O2588" s="8" t="n">
        <x:f>ABS(M2588)</x:f>
        <x:v>1.5123224471524228</x:v>
      </x:c>
      <x:c r="P2588" s="7" t="n">
        <x:v>45583</x:v>
      </x:c>
    </x:row>
    <x:row r="2589" ht="26" customHeight="1">
      <x:c r="A2589" s="2"/>
      <x:c r="B2589" s="2" t="n">
        <x:v>2584</x:v>
      </x:c>
      <x:c r="C2589" s="2" t="str">
        <x:v>Fabric &amp; Home Care / price_contribution</x:v>
      </x:c>
      <x:c r="D2589" s="7" t="n">
        <x:v>45565</x:v>
      </x:c>
      <x:c r="E2589" s="2" t="str">
        <x:v>Origin</x:v>
      </x:c>
      <x:c r="F2589" s="7" t="n">
        <x:v>45474</x:v>
      </x:c>
      <x:c r="G2589" s="2" t="str">
        <x:v>Half correction</x:v>
      </x:c>
      <x:c r="H2589" s="8" t="n">
        <x:f>K771</x:f>
        <x:v>4.939522741253782</x:v>
      </x:c>
      <x:c r="I2589" s="8" t="n">
        <x:f>AVERAGE(M688,M704,M720,M737)</x:f>
        <x:v>6.451845188406205</x:v>
      </x:c>
      <x:c r="J2589" s="8" t="n">
        <x:v>0.5</x:v>
      </x:c>
      <x:c r="K2589" s="8" t="n">
        <x:f>H2589-I2589*J2589</x:f>
        <x:v>1.7136001470506796</x:v>
      </x:c>
      <x:c r="L2589" s="8" t="n">
        <x:f>'PG facts'!D107</x:f>
        <x:v>0</x:v>
      </x:c>
      <x:c r="M2589" s="8" t="n">
        <x:f>K2589-L2589</x:f>
        <x:v>1.7136001470506796</x:v>
      </x:c>
      <x:c r="N2589" s="8" t="n">
        <x:f>M2589^2</x:f>
        <x:v>2.936425463972111</x:v>
      </x:c>
      <x:c r="O2589" s="8" t="n">
        <x:f>ABS(M2589)</x:f>
        <x:v>1.7136001470506796</x:v>
      </x:c>
      <x:c r="P2589" s="7" t="n">
        <x:v>45583</x:v>
      </x:c>
    </x:row>
    <x:row r="2590" ht="26" customHeight="1">
      <x:c r="A2590" s="2"/>
      <x:c r="B2590" s="2" t="n">
        <x:v>2585</x:v>
      </x:c>
      <x:c r="C2590" s="2" t="str">
        <x:v>Fabric &amp; Home Care / price_contribution</x:v>
      </x:c>
      <x:c r="D2590" s="7" t="n">
        <x:v>45565</x:v>
      </x:c>
      <x:c r="E2590" s="2" t="str">
        <x:v>Prior report</x:v>
      </x:c>
      <x:c r="F2590" s="7" t="n">
        <x:v>45503</x:v>
      </x:c>
      <x:c r="G2590" s="2" t="str">
        <x:v>Bias correction</x:v>
      </x:c>
      <x:c r="H2590" s="8" t="n">
        <x:f>K776</x:f>
        <x:v>3.5360300846924826</x:v>
      </x:c>
      <x:c r="I2590" s="8" t="n">
        <x:f>AVERAGE(M708,M725,M742,M759)</x:f>
        <x:v>5.423479289177047</x:v>
      </x:c>
      <x:c r="J2590" s="8" t="n">
        <x:v>1</x:v>
      </x:c>
      <x:c r="K2590" s="8" t="n">
        <x:f>H2590-I2590*J2590</x:f>
        <x:v>-1.8874492044845645</x:v>
      </x:c>
      <x:c r="L2590" s="8" t="n">
        <x:f>'PG facts'!D107</x:f>
        <x:v>0</x:v>
      </x:c>
      <x:c r="M2590" s="8" t="n">
        <x:f>K2590-L2590</x:f>
        <x:v>-1.8874492044845645</x:v>
      </x:c>
      <x:c r="N2590" s="8" t="n">
        <x:f>M2590^2</x:f>
        <x:v>3.5624644995094155</x:v>
      </x:c>
      <x:c r="O2590" s="8" t="n">
        <x:f>ABS(M2590)</x:f>
        <x:v>1.8874492044845645</x:v>
      </x:c>
      <x:c r="P2590" s="7" t="n">
        <x:v>45583</x:v>
      </x:c>
    </x:row>
    <x:row r="2591" ht="26" customHeight="1">
      <x:c r="A2591" s="2"/>
      <x:c r="B2591" s="2" t="n">
        <x:v>2586</x:v>
      </x:c>
      <x:c r="C2591" s="2" t="str">
        <x:v>Fabric &amp; Home Care / price_contribution</x:v>
      </x:c>
      <x:c r="D2591" s="7" t="n">
        <x:v>45565</x:v>
      </x:c>
      <x:c r="E2591" s="2" t="str">
        <x:v>Prior report</x:v>
      </x:c>
      <x:c r="F2591" s="7" t="n">
        <x:v>45503</x:v>
      </x:c>
      <x:c r="G2591" s="2" t="str">
        <x:v>Half correction</x:v>
      </x:c>
      <x:c r="H2591" s="8" t="n">
        <x:f>K776</x:f>
        <x:v>3.5360300846924826</x:v>
      </x:c>
      <x:c r="I2591" s="8" t="n">
        <x:f>AVERAGE(M708,M725,M742,M759)</x:f>
        <x:v>5.423479289177047</x:v>
      </x:c>
      <x:c r="J2591" s="8" t="n">
        <x:v>0.5</x:v>
      </x:c>
      <x:c r="K2591" s="8" t="n">
        <x:f>H2591-I2591*J2591</x:f>
        <x:v>0.824290440103959</x:v>
      </x:c>
      <x:c r="L2591" s="8" t="n">
        <x:f>'PG facts'!D107</x:f>
        <x:v>0</x:v>
      </x:c>
      <x:c r="M2591" s="8" t="n">
        <x:f>K2591-L2591</x:f>
        <x:v>0.824290440103959</x:v>
      </x:c>
      <x:c r="N2591" s="8" t="n">
        <x:f>M2591^2</x:f>
        <x:v>0.6794547296467784</x:v>
      </x:c>
      <x:c r="O2591" s="8" t="n">
        <x:f>ABS(M2591)</x:f>
        <x:v>0.824290440103959</x:v>
      </x:c>
      <x:c r="P2591" s="7" t="n">
        <x:v>45583</x:v>
      </x:c>
    </x:row>
    <x:row r="2592" ht="26" customHeight="1">
      <x:c r="A2592" s="2"/>
      <x:c r="B2592" s="2" t="n">
        <x:v>2587</x:v>
      </x:c>
      <x:c r="C2592" s="2" t="str">
        <x:v>Fabric &amp; Home Care / price_contribution</x:v>
      </x:c>
      <x:c r="D2592" s="7" t="n">
        <x:v>45565</x:v>
      </x:c>
      <x:c r="E2592" s="2" t="str">
        <x:v>Pre-earnings</x:v>
      </x:c>
      <x:c r="F2592" s="7" t="n">
        <x:v>45582</x:v>
      </x:c>
      <x:c r="G2592" s="2" t="str">
        <x:v>Bias correction</x:v>
      </x:c>
      <x:c r="H2592" s="8" t="n">
        <x:f>K782</x:f>
        <x:v>1.9137309410892844</x:v>
      </x:c>
      <x:c r="I2592" s="8" t="n">
        <x:f>AVERAGE(M714,M731,M748,M765)</x:f>
        <x:v>3.7643946387740175</x:v>
      </x:c>
      <x:c r="J2592" s="8" t="n">
        <x:v>1</x:v>
      </x:c>
      <x:c r="K2592" s="8" t="n">
        <x:f>H2592-I2592*J2592</x:f>
        <x:v>-1.850663697684733</x:v>
      </x:c>
      <x:c r="L2592" s="8" t="n">
        <x:f>'PG facts'!D107</x:f>
        <x:v>0</x:v>
      </x:c>
      <x:c r="M2592" s="8" t="n">
        <x:f>K2592-L2592</x:f>
        <x:v>-1.850663697684733</x:v>
      </x:c>
      <x:c r="N2592" s="8" t="n">
        <x:f>M2592^2</x:f>
        <x:v>3.424956121928129</x:v>
      </x:c>
      <x:c r="O2592" s="8" t="n">
        <x:f>ABS(M2592)</x:f>
        <x:v>1.850663697684733</x:v>
      </x:c>
      <x:c r="P2592" s="7" t="n">
        <x:v>45583</x:v>
      </x:c>
    </x:row>
    <x:row r="2593" ht="26" customHeight="1">
      <x:c r="A2593" s="2"/>
      <x:c r="B2593" s="2" t="n">
        <x:v>2588</x:v>
      </x:c>
      <x:c r="C2593" s="2" t="str">
        <x:v>Fabric &amp; Home Care / price_contribution</x:v>
      </x:c>
      <x:c r="D2593" s="7" t="n">
        <x:v>45565</x:v>
      </x:c>
      <x:c r="E2593" s="2" t="str">
        <x:v>Pre-earnings</x:v>
      </x:c>
      <x:c r="F2593" s="7" t="n">
        <x:v>45582</x:v>
      </x:c>
      <x:c r="G2593" s="2" t="str">
        <x:v>Half correction</x:v>
      </x:c>
      <x:c r="H2593" s="8" t="n">
        <x:f>K782</x:f>
        <x:v>1.9137309410892844</x:v>
      </x:c>
      <x:c r="I2593" s="8" t="n">
        <x:f>AVERAGE(M714,M731,M748,M765)</x:f>
        <x:v>3.7643946387740175</x:v>
      </x:c>
      <x:c r="J2593" s="8" t="n">
        <x:v>0.5</x:v>
      </x:c>
      <x:c r="K2593" s="8" t="n">
        <x:f>H2593-I2593*J2593</x:f>
        <x:v>0.031533621702275694</x:v>
      </x:c>
      <x:c r="L2593" s="8" t="n">
        <x:f>'PG facts'!D107</x:f>
        <x:v>0</x:v>
      </x:c>
      <x:c r="M2593" s="8" t="n">
        <x:f>K2593-L2593</x:f>
        <x:v>0.031533621702275694</x:v>
      </x:c>
      <x:c r="N2593" s="8" t="n">
        <x:f>M2593^2</x:f>
        <x:v>0.0009943692976622327</x:v>
      </x:c>
      <x:c r="O2593" s="8" t="n">
        <x:f>ABS(M2593)</x:f>
        <x:v>0.031533621702275694</x:v>
      </x:c>
      <x:c r="P2593" s="7" t="n">
        <x:v>45583</x:v>
      </x:c>
    </x:row>
    <x:row r="2594" ht="26" customHeight="1">
      <x:c r="A2594" s="2"/>
      <x:c r="B2594" s="2" t="n">
        <x:v>2589</x:v>
      </x:c>
      <x:c r="C2594" s="2" t="str">
        <x:v>Fabric &amp; Home Care / price_contribution</x:v>
      </x:c>
      <x:c r="D2594" s="7" t="n">
        <x:v>45657</x:v>
      </x:c>
      <x:c r="E2594" s="2" t="str">
        <x:v>Origin</x:v>
      </x:c>
      <x:c r="F2594" s="7" t="n">
        <x:v>45566</x:v>
      </x:c>
      <x:c r="G2594" s="2" t="str">
        <x:v>Bias correction</x:v>
      </x:c>
      <x:c r="H2594" s="8" t="n">
        <x:f>K788</x:f>
        <x:v>2.2913098670451757</x:v>
      </x:c>
      <x:c r="I2594" s="8" t="n">
        <x:f>AVERAGE(M704,M720,M737,M754)</x:f>
        <x:v>6.459578322675467</x:v>
      </x:c>
      <x:c r="J2594" s="8" t="n">
        <x:v>1</x:v>
      </x:c>
      <x:c r="K2594" s="8" t="n">
        <x:f>H2594-I2594*J2594</x:f>
        <x:v>-4.168268455630292</x:v>
      </x:c>
      <x:c r="L2594" s="8" t="n">
        <x:f>'PG facts'!D114</x:f>
        <x:v>0</x:v>
      </x:c>
      <x:c r="M2594" s="8" t="n">
        <x:f>K2594-L2594</x:f>
        <x:v>-4.168268455630292</x:v>
      </x:c>
      <x:c r="N2594" s="8" t="n">
        <x:f>M2594^2</x:f>
        <x:v>17.374461918202538</x:v>
      </x:c>
      <x:c r="O2594" s="8" t="n">
        <x:f>ABS(M2594)</x:f>
        <x:v>4.168268455630292</x:v>
      </x:c>
      <x:c r="P2594" s="7" t="n">
        <x:v>45679</x:v>
      </x:c>
    </x:row>
    <x:row r="2595" ht="26" customHeight="1">
      <x:c r="A2595" s="2"/>
      <x:c r="B2595" s="2" t="n">
        <x:v>2590</x:v>
      </x:c>
      <x:c r="C2595" s="2" t="str">
        <x:v>Fabric &amp; Home Care / price_contribution</x:v>
      </x:c>
      <x:c r="D2595" s="7" t="n">
        <x:v>45657</x:v>
      </x:c>
      <x:c r="E2595" s="2" t="str">
        <x:v>Origin</x:v>
      </x:c>
      <x:c r="F2595" s="7" t="n">
        <x:v>45566</x:v>
      </x:c>
      <x:c r="G2595" s="2" t="str">
        <x:v>Half correction</x:v>
      </x:c>
      <x:c r="H2595" s="8" t="n">
        <x:f>K788</x:f>
        <x:v>2.2913098670451757</x:v>
      </x:c>
      <x:c r="I2595" s="8" t="n">
        <x:f>AVERAGE(M704,M720,M737,M754)</x:f>
        <x:v>6.459578322675467</x:v>
      </x:c>
      <x:c r="J2595" s="8" t="n">
        <x:v>0.5</x:v>
      </x:c>
      <x:c r="K2595" s="8" t="n">
        <x:f>H2595-I2595*J2595</x:f>
        <x:v>-0.9384792942925579</x:v>
      </x:c>
      <x:c r="L2595" s="8" t="n">
        <x:f>'PG facts'!D114</x:f>
        <x:v>0</x:v>
      </x:c>
      <x:c r="M2595" s="8" t="n">
        <x:f>K2595-L2595</x:f>
        <x:v>-0.9384792942925579</x:v>
      </x:c>
      <x:c r="N2595" s="8" t="n">
        <x:f>M2595^2</x:f>
        <x:v>0.8807433858158575</x:v>
      </x:c>
      <x:c r="O2595" s="8" t="n">
        <x:f>ABS(M2595)</x:f>
        <x:v>0.9384792942925579</x:v>
      </x:c>
      <x:c r="P2595" s="7" t="n">
        <x:v>45679</x:v>
      </x:c>
    </x:row>
    <x:row r="2596" ht="26" customHeight="1">
      <x:c r="A2596" s="2"/>
      <x:c r="B2596" s="2" t="n">
        <x:v>2591</x:v>
      </x:c>
      <x:c r="C2596" s="2" t="str">
        <x:v>Fabric &amp; Home Care / price_contribution</x:v>
      </x:c>
      <x:c r="D2596" s="7" t="n">
        <x:v>45657</x:v>
      </x:c>
      <x:c r="E2596" s="2" t="str">
        <x:v>Prior report</x:v>
      </x:c>
      <x:c r="F2596" s="7" t="n">
        <x:v>45583</x:v>
      </x:c>
      <x:c r="G2596" s="2" t="str">
        <x:v>Bias correction</x:v>
      </x:c>
      <x:c r="H2596" s="8" t="n">
        <x:f>K793</x:f>
        <x:v>1.6742147006335601</x:v>
      </x:c>
      <x:c r="I2596" s="8" t="n">
        <x:f>AVERAGE(M725,M742,M759,M776)</x:f>
        <x:v>5.4190977121036585</x:v>
      </x:c>
      <x:c r="J2596" s="8" t="n">
        <x:v>1</x:v>
      </x:c>
      <x:c r="K2596" s="8" t="n">
        <x:f>H2596-I2596*J2596</x:f>
        <x:v>-3.7448830114700984</x:v>
      </x:c>
      <x:c r="L2596" s="8" t="n">
        <x:f>'PG facts'!D114</x:f>
        <x:v>0</x:v>
      </x:c>
      <x:c r="M2596" s="8" t="n">
        <x:f>K2596-L2596</x:f>
        <x:v>-3.7448830114700984</x:v>
      </x:c>
      <x:c r="N2596" s="8" t="n">
        <x:f>M2596^2</x:f>
        <x:v>14.024148769597353</x:v>
      </x:c>
      <x:c r="O2596" s="8" t="n">
        <x:f>ABS(M2596)</x:f>
        <x:v>3.7448830114700984</x:v>
      </x:c>
      <x:c r="P2596" s="7" t="n">
        <x:v>45679</x:v>
      </x:c>
    </x:row>
    <x:row r="2597" ht="26" customHeight="1">
      <x:c r="A2597" s="2"/>
      <x:c r="B2597" s="2" t="n">
        <x:v>2592</x:v>
      </x:c>
      <x:c r="C2597" s="2" t="str">
        <x:v>Fabric &amp; Home Care / price_contribution</x:v>
      </x:c>
      <x:c r="D2597" s="7" t="n">
        <x:v>45657</x:v>
      </x:c>
      <x:c r="E2597" s="2" t="str">
        <x:v>Prior report</x:v>
      </x:c>
      <x:c r="F2597" s="7" t="n">
        <x:v>45583</x:v>
      </x:c>
      <x:c r="G2597" s="2" t="str">
        <x:v>Half correction</x:v>
      </x:c>
      <x:c r="H2597" s="8" t="n">
        <x:f>K793</x:f>
        <x:v>1.6742147006335601</x:v>
      </x:c>
      <x:c r="I2597" s="8" t="n">
        <x:f>AVERAGE(M725,M742,M759,M776)</x:f>
        <x:v>5.4190977121036585</x:v>
      </x:c>
      <x:c r="J2597" s="8" t="n">
        <x:v>0.5</x:v>
      </x:c>
      <x:c r="K2597" s="8" t="n">
        <x:f>H2597-I2597*J2597</x:f>
        <x:v>-1.0353341554182691</x:v>
      </x:c>
      <x:c r="L2597" s="8" t="n">
        <x:f>'PG facts'!D114</x:f>
        <x:v>0</x:v>
      </x:c>
      <x:c r="M2597" s="8" t="n">
        <x:f>K2597-L2597</x:f>
        <x:v>-1.0353341554182691</x:v>
      </x:c>
      <x:c r="N2597" s="8" t="n">
        <x:f>M2597^2</x:f>
        <x:v>1.0719168133756607</x:v>
      </x:c>
      <x:c r="O2597" s="8" t="n">
        <x:f>ABS(M2597)</x:f>
        <x:v>1.0353341554182691</x:v>
      </x:c>
      <x:c r="P2597" s="7" t="n">
        <x:v>45679</x:v>
      </x:c>
    </x:row>
    <x:row r="2598" ht="26" customHeight="1">
      <x:c r="A2598" s="2"/>
      <x:c r="B2598" s="2" t="n">
        <x:v>2593</x:v>
      </x:c>
      <x:c r="C2598" s="2" t="str">
        <x:v>Fabric &amp; Home Care / price_contribution</x:v>
      </x:c>
      <x:c r="D2598" s="7" t="n">
        <x:v>45657</x:v>
      </x:c>
      <x:c r="E2598" s="2" t="str">
        <x:v>Pre-earnings</x:v>
      </x:c>
      <x:c r="F2598" s="7" t="n">
        <x:v>45678</x:v>
      </x:c>
      <x:c r="G2598" s="2" t="str">
        <x:v>Bias correction</x:v>
      </x:c>
      <x:c r="H2598" s="8" t="n">
        <x:f>K799</x:f>
        <x:v>1.6312102393990444</x:v>
      </x:c>
      <x:c r="I2598" s="8" t="n">
        <x:f>AVERAGE(M731,M748,M765,M782)</x:f>
        <x:v>3.8511494885490074</x:v>
      </x:c>
      <x:c r="J2598" s="8" t="n">
        <x:v>1</x:v>
      </x:c>
      <x:c r="K2598" s="8" t="n">
        <x:f>H2598-I2598*J2598</x:f>
        <x:v>-2.219939249149963</x:v>
      </x:c>
      <x:c r="L2598" s="8" t="n">
        <x:f>'PG facts'!D114</x:f>
        <x:v>0</x:v>
      </x:c>
      <x:c r="M2598" s="8" t="n">
        <x:f>K2598-L2598</x:f>
        <x:v>-2.219939249149963</x:v>
      </x:c>
      <x:c r="N2598" s="8" t="n">
        <x:f>M2598^2</x:f>
        <x:v>4.928130269916501</x:v>
      </x:c>
      <x:c r="O2598" s="8" t="n">
        <x:f>ABS(M2598)</x:f>
        <x:v>2.219939249149963</x:v>
      </x:c>
      <x:c r="P2598" s="7" t="n">
        <x:v>45679</x:v>
      </x:c>
    </x:row>
    <x:row r="2599" ht="26" customHeight="1">
      <x:c r="A2599" s="2"/>
      <x:c r="B2599" s="2" t="n">
        <x:v>2594</x:v>
      </x:c>
      <x:c r="C2599" s="2" t="str">
        <x:v>Fabric &amp; Home Care / price_contribution</x:v>
      </x:c>
      <x:c r="D2599" s="7" t="n">
        <x:v>45657</x:v>
      </x:c>
      <x:c r="E2599" s="2" t="str">
        <x:v>Pre-earnings</x:v>
      </x:c>
      <x:c r="F2599" s="7" t="n">
        <x:v>45678</x:v>
      </x:c>
      <x:c r="G2599" s="2" t="str">
        <x:v>Half correction</x:v>
      </x:c>
      <x:c r="H2599" s="8" t="n">
        <x:f>K799</x:f>
        <x:v>1.6312102393990444</x:v>
      </x:c>
      <x:c r="I2599" s="8" t="n">
        <x:f>AVERAGE(M731,M748,M765,M782)</x:f>
        <x:v>3.8511494885490074</x:v>
      </x:c>
      <x:c r="J2599" s="8" t="n">
        <x:v>0.5</x:v>
      </x:c>
      <x:c r="K2599" s="8" t="n">
        <x:f>H2599-I2599*J2599</x:f>
        <x:v>-0.2943645048754593</x:v>
      </x:c>
      <x:c r="L2599" s="8" t="n">
        <x:f>'PG facts'!D114</x:f>
        <x:v>0</x:v>
      </x:c>
      <x:c r="M2599" s="8" t="n">
        <x:f>K2599-L2599</x:f>
        <x:v>-0.2943645048754593</x:v>
      </x:c>
      <x:c r="N2599" s="8" t="n">
        <x:f>M2599^2</x:f>
        <x:v>0.0866504617305743</x:v>
      </x:c>
      <x:c r="O2599" s="8" t="n">
        <x:f>ABS(M2599)</x:f>
        <x:v>0.2943645048754593</x:v>
      </x:c>
      <x:c r="P2599" s="7" t="n">
        <x:v>45679</x:v>
      </x:c>
    </x:row>
    <x:row r="2600" ht="26" customHeight="1">
      <x:c r="A2600" s="2"/>
      <x:c r="B2600" s="2" t="n">
        <x:v>2595</x:v>
      </x:c>
      <x:c r="C2600" s="2" t="str">
        <x:v>Fabric &amp; Home Care / price_contribution</x:v>
      </x:c>
      <x:c r="D2600" s="7" t="n">
        <x:v>45747</x:v>
      </x:c>
      <x:c r="E2600" s="2" t="str">
        <x:v>Origin</x:v>
      </x:c>
      <x:c r="F2600" s="7" t="n">
        <x:v>45658</x:v>
      </x:c>
      <x:c r="G2600" s="2" t="str">
        <x:v>Bias correction</x:v>
      </x:c>
      <x:c r="H2600" s="8" t="n">
        <x:f>K805</x:f>
        <x:v>1.469548263361441</x:v>
      </x:c>
      <x:c r="I2600" s="8" t="n">
        <x:f>AVERAGE(M720,M737,M754,M771)</x:f>
        <x:v>6.373381024877191</x:v>
      </x:c>
      <x:c r="J2600" s="8" t="n">
        <x:v>1</x:v>
      </x:c>
      <x:c r="K2600" s="8" t="n">
        <x:f>H2600-I2600*J2600</x:f>
        <x:v>-4.90383276151575</x:v>
      </x:c>
      <x:c r="L2600" s="8" t="n">
        <x:f>'PG facts'!D121</x:f>
        <x:v>0</x:v>
      </x:c>
      <x:c r="M2600" s="8" t="n">
        <x:f>K2600-L2600</x:f>
        <x:v>-4.90383276151575</x:v>
      </x:c>
      <x:c r="N2600" s="8" t="n">
        <x:f>M2600^2</x:f>
        <x:v>24.04757575291519</x:v>
      </x:c>
      <x:c r="O2600" s="8" t="n">
        <x:f>ABS(M2600)</x:f>
        <x:v>4.90383276151575</x:v>
      </x:c>
      <x:c r="P2600" s="7" t="n">
        <x:v>45771</x:v>
      </x:c>
    </x:row>
    <x:row r="2601" ht="26" customHeight="1">
      <x:c r="A2601" s="2"/>
      <x:c r="B2601" s="2" t="n">
        <x:v>2596</x:v>
      </x:c>
      <x:c r="C2601" s="2" t="str">
        <x:v>Fabric &amp; Home Care / price_contribution</x:v>
      </x:c>
      <x:c r="D2601" s="7" t="n">
        <x:v>45747</x:v>
      </x:c>
      <x:c r="E2601" s="2" t="str">
        <x:v>Origin</x:v>
      </x:c>
      <x:c r="F2601" s="7" t="n">
        <x:v>45658</x:v>
      </x:c>
      <x:c r="G2601" s="2" t="str">
        <x:v>Half correction</x:v>
      </x:c>
      <x:c r="H2601" s="8" t="n">
        <x:f>K805</x:f>
        <x:v>1.469548263361441</x:v>
      </x:c>
      <x:c r="I2601" s="8" t="n">
        <x:f>AVERAGE(M720,M737,M754,M771)</x:f>
        <x:v>6.373381024877191</x:v>
      </x:c>
      <x:c r="J2601" s="8" t="n">
        <x:v>0.5</x:v>
      </x:c>
      <x:c r="K2601" s="8" t="n">
        <x:f>H2601-I2601*J2601</x:f>
        <x:v>-1.7171422490771546</x:v>
      </x:c>
      <x:c r="L2601" s="8" t="n">
        <x:f>'PG facts'!D121</x:f>
        <x:v>0</x:v>
      </x:c>
      <x:c r="M2601" s="8" t="n">
        <x:f>K2601-L2601</x:f>
        <x:v>-1.7171422490771546</x:v>
      </x:c>
      <x:c r="N2601" s="8" t="n">
        <x:f>M2601^2</x:f>
        <x:v>2.948577503565749</x:v>
      </x:c>
      <x:c r="O2601" s="8" t="n">
        <x:f>ABS(M2601)</x:f>
        <x:v>1.7171422490771546</x:v>
      </x:c>
      <x:c r="P2601" s="7" t="n">
        <x:v>45771</x:v>
      </x:c>
    </x:row>
    <x:row r="2602" ht="26" customHeight="1">
      <x:c r="A2602" s="2"/>
      <x:c r="B2602" s="2" t="n">
        <x:v>2597</x:v>
      </x:c>
      <x:c r="C2602" s="2" t="str">
        <x:v>Fabric &amp; Home Care / price_contribution</x:v>
      </x:c>
      <x:c r="D2602" s="7" t="n">
        <x:v>45747</x:v>
      </x:c>
      <x:c r="E2602" s="2" t="str">
        <x:v>Prior report</x:v>
      </x:c>
      <x:c r="F2602" s="7" t="n">
        <x:v>45679</x:v>
      </x:c>
      <x:c r="G2602" s="2" t="str">
        <x:v>Bias correction</x:v>
      </x:c>
      <x:c r="H2602" s="8" t="n">
        <x:f>K810</x:f>
        <x:v>1.4490130537407448</x:v>
      </x:c>
      <x:c r="I2602" s="8" t="n">
        <x:f>AVERAGE(M742,M759,M776,M793)</x:f>
        <x:v>4.498751916021539</x:v>
      </x:c>
      <x:c r="J2602" s="8" t="n">
        <x:v>1</x:v>
      </x:c>
      <x:c r="K2602" s="8" t="n">
        <x:f>H2602-I2602*J2602</x:f>
        <x:v>-3.049738862280794</x:v>
      </x:c>
      <x:c r="L2602" s="8" t="n">
        <x:f>'PG facts'!D121</x:f>
        <x:v>0</x:v>
      </x:c>
      <x:c r="M2602" s="8" t="n">
        <x:f>K2602-L2602</x:f>
        <x:v>-3.049738862280794</x:v>
      </x:c>
      <x:c r="N2602" s="8" t="n">
        <x:f>M2602^2</x:f>
        <x:v>9.300907128105752</x:v>
      </x:c>
      <x:c r="O2602" s="8" t="n">
        <x:f>ABS(M2602)</x:f>
        <x:v>3.049738862280794</x:v>
      </x:c>
      <x:c r="P2602" s="7" t="n">
        <x:v>45771</x:v>
      </x:c>
    </x:row>
    <x:row r="2603" ht="26" customHeight="1">
      <x:c r="A2603" s="2"/>
      <x:c r="B2603" s="2" t="n">
        <x:v>2598</x:v>
      </x:c>
      <x:c r="C2603" s="2" t="str">
        <x:v>Fabric &amp; Home Care / price_contribution</x:v>
      </x:c>
      <x:c r="D2603" s="7" t="n">
        <x:v>45747</x:v>
      </x:c>
      <x:c r="E2603" s="2" t="str">
        <x:v>Prior report</x:v>
      </x:c>
      <x:c r="F2603" s="7" t="n">
        <x:v>45679</x:v>
      </x:c>
      <x:c r="G2603" s="2" t="str">
        <x:v>Half correction</x:v>
      </x:c>
      <x:c r="H2603" s="8" t="n">
        <x:f>K810</x:f>
        <x:v>1.4490130537407448</x:v>
      </x:c>
      <x:c r="I2603" s="8" t="n">
        <x:f>AVERAGE(M742,M759,M776,M793)</x:f>
        <x:v>4.498751916021539</x:v>
      </x:c>
      <x:c r="J2603" s="8" t="n">
        <x:v>0.5</x:v>
      </x:c>
      <x:c r="K2603" s="8" t="n">
        <x:f>H2603-I2603*J2603</x:f>
        <x:v>-0.8003629042700247</x:v>
      </x:c>
      <x:c r="L2603" s="8" t="n">
        <x:f>'PG facts'!D121</x:f>
        <x:v>0</x:v>
      </x:c>
      <x:c r="M2603" s="8" t="n">
        <x:f>K2603-L2603</x:f>
        <x:v>-0.8003629042700247</x:v>
      </x:c>
      <x:c r="N2603" s="8" t="n">
        <x:f>M2603^2</x:f>
        <x:v>0.6405807785315486</x:v>
      </x:c>
      <x:c r="O2603" s="8" t="n">
        <x:f>ABS(M2603)</x:f>
        <x:v>0.8003629042700247</x:v>
      </x:c>
      <x:c r="P2603" s="7" t="n">
        <x:v>45771</x:v>
      </x:c>
    </x:row>
    <x:row r="2604" ht="26" customHeight="1">
      <x:c r="A2604" s="2"/>
      <x:c r="B2604" s="2" t="n">
        <x:v>2599</x:v>
      </x:c>
      <x:c r="C2604" s="2" t="str">
        <x:v>Fabric &amp; Home Care / price_contribution</x:v>
      </x:c>
      <x:c r="D2604" s="7" t="n">
        <x:v>45747</x:v>
      </x:c>
      <x:c r="E2604" s="2" t="str">
        <x:v>Pre-earnings</x:v>
      </x:c>
      <x:c r="F2604" s="7" t="n">
        <x:v>45770</x:v>
      </x:c>
      <x:c r="G2604" s="2" t="str">
        <x:v>Bias correction</x:v>
      </x:c>
      <x:c r="H2604" s="8" t="n">
        <x:f>K816</x:f>
        <x:v>1.3066626275721624</x:v>
      </x:c>
      <x:c r="I2604" s="8" t="n">
        <x:f>AVERAGE(M748,M765,M782,M799)</x:f>
        <x:v>3.3177827602764998</x:v>
      </x:c>
      <x:c r="J2604" s="8" t="n">
        <x:v>1</x:v>
      </x:c>
      <x:c r="K2604" s="8" t="n">
        <x:f>H2604-I2604*J2604</x:f>
        <x:v>-2.0111201327043373</x:v>
      </x:c>
      <x:c r="L2604" s="8" t="n">
        <x:f>'PG facts'!D121</x:f>
        <x:v>0</x:v>
      </x:c>
      <x:c r="M2604" s="8" t="n">
        <x:f>K2604-L2604</x:f>
        <x:v>-2.0111201327043373</x:v>
      </x:c>
      <x:c r="N2604" s="8" t="n">
        <x:f>M2604^2</x:f>
        <x:v>4.044604188168711</x:v>
      </x:c>
      <x:c r="O2604" s="8" t="n">
        <x:f>ABS(M2604)</x:f>
        <x:v>2.0111201327043373</x:v>
      </x:c>
      <x:c r="P2604" s="7" t="n">
        <x:v>45771</x:v>
      </x:c>
    </x:row>
    <x:row r="2605" ht="26" customHeight="1">
      <x:c r="A2605" s="2"/>
      <x:c r="B2605" s="2" t="n">
        <x:v>2600</x:v>
      </x:c>
      <x:c r="C2605" s="2" t="str">
        <x:v>Fabric &amp; Home Care / price_contribution</x:v>
      </x:c>
      <x:c r="D2605" s="7" t="n">
        <x:v>45747</x:v>
      </x:c>
      <x:c r="E2605" s="2" t="str">
        <x:v>Pre-earnings</x:v>
      </x:c>
      <x:c r="F2605" s="7" t="n">
        <x:v>45770</x:v>
      </x:c>
      <x:c r="G2605" s="2" t="str">
        <x:v>Half correction</x:v>
      </x:c>
      <x:c r="H2605" s="8" t="n">
        <x:f>K816</x:f>
        <x:v>1.3066626275721624</x:v>
      </x:c>
      <x:c r="I2605" s="8" t="n">
        <x:f>AVERAGE(M748,M765,M782,M799)</x:f>
        <x:v>3.3177827602764998</x:v>
      </x:c>
      <x:c r="J2605" s="8" t="n">
        <x:v>0.5</x:v>
      </x:c>
      <x:c r="K2605" s="8" t="n">
        <x:f>H2605-I2605*J2605</x:f>
        <x:v>-0.35222875256608743</x:v>
      </x:c>
      <x:c r="L2605" s="8" t="n">
        <x:f>'PG facts'!D121</x:f>
        <x:v>0</x:v>
      </x:c>
      <x:c r="M2605" s="8" t="n">
        <x:f>K2605-L2605</x:f>
        <x:v>-0.35222875256608743</x:v>
      </x:c>
      <x:c r="N2605" s="8" t="n">
        <x:f>M2605^2</x:f>
        <x:v>0.12406509413426205</x:v>
      </x:c>
      <x:c r="O2605" s="8" t="n">
        <x:f>ABS(M2605)</x:f>
        <x:v>0.35222875256608743</x:v>
      </x:c>
      <x:c r="P2605" s="7" t="n">
        <x:v>45771</x:v>
      </x:c>
    </x:row>
    <x:row r="2606" ht="26" customHeight="1">
      <x:c r="A2606" s="2"/>
      <x:c r="B2606" s="2" t="n">
        <x:v>2601</x:v>
      </x:c>
      <x:c r="C2606" s="2" t="str">
        <x:v>Fabric &amp; Home Care / price_contribution</x:v>
      </x:c>
      <x:c r="D2606" s="7" t="n">
        <x:v>45838</x:v>
      </x:c>
      <x:c r="E2606" s="2" t="str">
        <x:v>Origin</x:v>
      </x:c>
      <x:c r="F2606" s="7" t="n">
        <x:v>45748</x:v>
      </x:c>
      <x:c r="G2606" s="2" t="str">
        <x:v>Bias correction</x:v>
      </x:c>
      <x:c r="H2606" s="8" t="n">
        <x:f>K822</x:f>
        <x:v>1.5289150719978966</x:v>
      </x:c>
      <x:c r="I2606" s="8" t="n">
        <x:f>AVERAGE(M737,M754,M771,M788)</x:f>
        <x:v>5.357191880120262</x:v>
      </x:c>
      <x:c r="J2606" s="8" t="n">
        <x:v>1</x:v>
      </x:c>
      <x:c r="K2606" s="8" t="n">
        <x:f>H2606-I2606*J2606</x:f>
        <x:v>-3.8282768081223657</x:v>
      </x:c>
      <x:c r="L2606" s="8" t="n">
        <x:f>'PG facts'!D128</x:f>
        <x:v>1</x:v>
      </x:c>
      <x:c r="M2606" s="8" t="n">
        <x:f>K2606-L2606</x:f>
        <x:v>-4.828276808122366</x:v>
      </x:c>
      <x:c r="N2606" s="8" t="n">
        <x:f>M2606^2</x:f>
        <x:v>23.312256935852304</x:v>
      </x:c>
      <x:c r="O2606" s="8" t="n">
        <x:f>ABS(M2606)</x:f>
        <x:v>4.828276808122366</x:v>
      </x:c>
      <x:c r="P2606" s="7" t="n">
        <x:v>45867</x:v>
      </x:c>
    </x:row>
    <x:row r="2607" ht="26" customHeight="1">
      <x:c r="A2607" s="2"/>
      <x:c r="B2607" s="2" t="n">
        <x:v>2602</x:v>
      </x:c>
      <x:c r="C2607" s="2" t="str">
        <x:v>Fabric &amp; Home Care / price_contribution</x:v>
      </x:c>
      <x:c r="D2607" s="7" t="n">
        <x:v>45838</x:v>
      </x:c>
      <x:c r="E2607" s="2" t="str">
        <x:v>Origin</x:v>
      </x:c>
      <x:c r="F2607" s="7" t="n">
        <x:v>45748</x:v>
      </x:c>
      <x:c r="G2607" s="2" t="str">
        <x:v>Half correction</x:v>
      </x:c>
      <x:c r="H2607" s="8" t="n">
        <x:f>K822</x:f>
        <x:v>1.5289150719978966</x:v>
      </x:c>
      <x:c r="I2607" s="8" t="n">
        <x:f>AVERAGE(M737,M754,M771,M788)</x:f>
        <x:v>5.357191880120262</x:v>
      </x:c>
      <x:c r="J2607" s="8" t="n">
        <x:v>0.5</x:v>
      </x:c>
      <x:c r="K2607" s="8" t="n">
        <x:f>H2607-I2607*J2607</x:f>
        <x:v>-1.1496808680622346</x:v>
      </x:c>
      <x:c r="L2607" s="8" t="n">
        <x:f>'PG facts'!D128</x:f>
        <x:v>1</x:v>
      </x:c>
      <x:c r="M2607" s="8" t="n">
        <x:f>K2607-L2607</x:f>
        <x:v>-2.1496808680622346</x:v>
      </x:c>
      <x:c r="N2607" s="8" t="n">
        <x:f>M2607^2</x:f>
        <x:v>4.621127834512802</x:v>
      </x:c>
      <x:c r="O2607" s="8" t="n">
        <x:f>ABS(M2607)</x:f>
        <x:v>2.1496808680622346</x:v>
      </x:c>
      <x:c r="P2607" s="7" t="n">
        <x:v>45867</x:v>
      </x:c>
    </x:row>
    <x:row r="2608" ht="26" customHeight="1">
      <x:c r="A2608" s="2"/>
      <x:c r="B2608" s="2" t="n">
        <x:v>2603</x:v>
      </x:c>
      <x:c r="C2608" s="2" t="str">
        <x:v>Fabric &amp; Home Care / price_contribution</x:v>
      </x:c>
      <x:c r="D2608" s="7" t="n">
        <x:v>45838</x:v>
      </x:c>
      <x:c r="E2608" s="2" t="str">
        <x:v>Prior report</x:v>
      </x:c>
      <x:c r="F2608" s="7" t="n">
        <x:v>45771</x:v>
      </x:c>
      <x:c r="G2608" s="2" t="str">
        <x:v>Bias correction</x:v>
      </x:c>
      <x:c r="H2608" s="8" t="n">
        <x:f>K827</x:f>
        <x:v>1.1707001805471553</x:v>
      </x:c>
      <x:c r="I2608" s="8" t="n">
        <x:f>AVERAGE(M759,M776,M793,M810)</x:f>
        <x:v>3.5052374357446214</x:v>
      </x:c>
      <x:c r="J2608" s="8" t="n">
        <x:v>1</x:v>
      </x:c>
      <x:c r="K2608" s="8" t="n">
        <x:f>H2608-I2608*J2608</x:f>
        <x:v>-2.334537255197466</x:v>
      </x:c>
      <x:c r="L2608" s="8" t="n">
        <x:f>'PG facts'!D128</x:f>
        <x:v>1</x:v>
      </x:c>
      <x:c r="M2608" s="8" t="n">
        <x:f>K2608-L2608</x:f>
        <x:v>-3.334537255197466</x:v>
      </x:c>
      <x:c r="N2608" s="8" t="n">
        <x:f>M2608^2</x:f>
        <x:v>11.11913870629985</x:v>
      </x:c>
      <x:c r="O2608" s="8" t="n">
        <x:f>ABS(M2608)</x:f>
        <x:v>3.334537255197466</x:v>
      </x:c>
      <x:c r="P2608" s="7" t="n">
        <x:v>45867</x:v>
      </x:c>
    </x:row>
    <x:row r="2609" ht="26" customHeight="1">
      <x:c r="A2609" s="2"/>
      <x:c r="B2609" s="2" t="n">
        <x:v>2604</x:v>
      </x:c>
      <x:c r="C2609" s="2" t="str">
        <x:v>Fabric &amp; Home Care / price_contribution</x:v>
      </x:c>
      <x:c r="D2609" s="7" t="n">
        <x:v>45838</x:v>
      </x:c>
      <x:c r="E2609" s="2" t="str">
        <x:v>Prior report</x:v>
      </x:c>
      <x:c r="F2609" s="7" t="n">
        <x:v>45771</x:v>
      </x:c>
      <x:c r="G2609" s="2" t="str">
        <x:v>Half correction</x:v>
      </x:c>
      <x:c r="H2609" s="8" t="n">
        <x:f>K827</x:f>
        <x:v>1.1707001805471553</x:v>
      </x:c>
      <x:c r="I2609" s="8" t="n">
        <x:f>AVERAGE(M759,M776,M793,M810)</x:f>
        <x:v>3.5052374357446214</x:v>
      </x:c>
      <x:c r="J2609" s="8" t="n">
        <x:v>0.5</x:v>
      </x:c>
      <x:c r="K2609" s="8" t="n">
        <x:f>H2609-I2609*J2609</x:f>
        <x:v>-0.5819185373251554</x:v>
      </x:c>
      <x:c r="L2609" s="8" t="n">
        <x:f>'PG facts'!D128</x:f>
        <x:v>1</x:v>
      </x:c>
      <x:c r="M2609" s="8" t="n">
        <x:f>K2609-L2609</x:f>
        <x:v>-1.5819185373251554</x:v>
      </x:c>
      <x:c r="N2609" s="8" t="n">
        <x:f>M2609^2</x:f>
        <x:v>2.502466258732959</x:v>
      </x:c>
      <x:c r="O2609" s="8" t="n">
        <x:f>ABS(M2609)</x:f>
        <x:v>1.5819185373251554</x:v>
      </x:c>
      <x:c r="P2609" s="7" t="n">
        <x:v>45867</x:v>
      </x:c>
    </x:row>
    <x:row r="2610" ht="26" customHeight="1">
      <x:c r="A2610" s="2"/>
      <x:c r="B2610" s="2" t="n">
        <x:v>2605</x:v>
      </x:c>
      <x:c r="C2610" s="2" t="str">
        <x:v>Fabric &amp; Home Care / price_contribution</x:v>
      </x:c>
      <x:c r="D2610" s="7" t="n">
        <x:v>45838</x:v>
      </x:c>
      <x:c r="E2610" s="2" t="str">
        <x:v>Pre-earnings</x:v>
      </x:c>
      <x:c r="F2610" s="7" t="n">
        <x:v>45866</x:v>
      </x:c>
      <x:c r="G2610" s="2" t="str">
        <x:v>Bias correction</x:v>
      </x:c>
      <x:c r="H2610" s="8" t="n">
        <x:f>K833</x:f>
        <x:v>1.5372504278096657</x:v>
      </x:c>
      <x:c r="I2610" s="8" t="n">
        <x:f>AVERAGE(M765,M782,M799,M816)</x:f>
        <x:v>2.4622177547275648</x:v>
      </x:c>
      <x:c r="J2610" s="8" t="n">
        <x:v>1</x:v>
      </x:c>
      <x:c r="K2610" s="8" t="n">
        <x:f>H2610-I2610*J2610</x:f>
        <x:v>-0.9249673269178991</x:v>
      </x:c>
      <x:c r="L2610" s="8" t="n">
        <x:f>'PG facts'!D128</x:f>
        <x:v>1</x:v>
      </x:c>
      <x:c r="M2610" s="8" t="n">
        <x:f>K2610-L2610</x:f>
        <x:v>-1.924967326917899</x:v>
      </x:c>
      <x:c r="N2610" s="8" t="n">
        <x:f>M2610^2</x:f>
        <x:v>3.7054992097014416</x:v>
      </x:c>
      <x:c r="O2610" s="8" t="n">
        <x:f>ABS(M2610)</x:f>
        <x:v>1.924967326917899</x:v>
      </x:c>
      <x:c r="P2610" s="7" t="n">
        <x:v>45867</x:v>
      </x:c>
    </x:row>
    <x:row r="2611" ht="26" customHeight="1">
      <x:c r="A2611" s="2"/>
      <x:c r="B2611" s="2" t="n">
        <x:v>2606</x:v>
      </x:c>
      <x:c r="C2611" s="2" t="str">
        <x:v>Fabric &amp; Home Care / price_contribution</x:v>
      </x:c>
      <x:c r="D2611" s="7" t="n">
        <x:v>45838</x:v>
      </x:c>
      <x:c r="E2611" s="2" t="str">
        <x:v>Pre-earnings</x:v>
      </x:c>
      <x:c r="F2611" s="7" t="n">
        <x:v>45866</x:v>
      </x:c>
      <x:c r="G2611" s="2" t="str">
        <x:v>Half correction</x:v>
      </x:c>
      <x:c r="H2611" s="8" t="n">
        <x:f>K833</x:f>
        <x:v>1.5372504278096657</x:v>
      </x:c>
      <x:c r="I2611" s="8" t="n">
        <x:f>AVERAGE(M765,M782,M799,M816)</x:f>
        <x:v>2.4622177547275648</x:v>
      </x:c>
      <x:c r="J2611" s="8" t="n">
        <x:v>0.5</x:v>
      </x:c>
      <x:c r="K2611" s="8" t="n">
        <x:f>H2611-I2611*J2611</x:f>
        <x:v>0.3061415504458833</x:v>
      </x:c>
      <x:c r="L2611" s="8" t="n">
        <x:f>'PG facts'!D128</x:f>
        <x:v>1</x:v>
      </x:c>
      <x:c r="M2611" s="8" t="n">
        <x:f>K2611-L2611</x:f>
        <x:v>-0.6938584495541167</x:v>
      </x:c>
      <x:c r="N2611" s="8" t="n">
        <x:f>M2611^2</x:f>
        <x:v>0.4814395480176427</x:v>
      </x:c>
      <x:c r="O2611" s="8" t="n">
        <x:f>ABS(M2611)</x:f>
        <x:v>0.6938584495541167</x:v>
      </x:c>
      <x:c r="P2611" s="7" t="n">
        <x:v>45867</x:v>
      </x:c>
    </x:row>
    <x:row r="2612" ht="26" customHeight="1">
      <x:c r="A2612" s="2"/>
      <x:c r="B2612" s="2" t="n">
        <x:v>2607</x:v>
      </x:c>
      <x:c r="C2612" s="2" t="str">
        <x:v>Fabric &amp; Home Care / price_contribution</x:v>
      </x:c>
      <x:c r="D2612" s="7" t="n">
        <x:v>45930</x:v>
      </x:c>
      <x:c r="E2612" s="2" t="str">
        <x:v>Origin</x:v>
      </x:c>
      <x:c r="F2612" s="7" t="n">
        <x:v>45839</x:v>
      </x:c>
      <x:c r="G2612" s="2" t="str">
        <x:v>Bias correction</x:v>
      </x:c>
      <x:c r="H2612" s="8" t="n">
        <x:f>K839</x:f>
        <x:v>1.255846621937898</x:v>
      </x:c>
      <x:c r="I2612" s="8" t="n">
        <x:f>AVERAGE(M754,M771,M788,M805)</x:f>
        <x:v>4.092780800995573</x:v>
      </x:c>
      <x:c r="J2612" s="8" t="n">
        <x:v>1</x:v>
      </x:c>
      <x:c r="K2612" s="8" t="n">
        <x:f>H2612-I2612*J2612</x:f>
        <x:v>-2.836934179057675</x:v>
      </x:c>
      <x:c r="L2612" s="8" t="n">
        <x:f>'PG facts'!D135</x:f>
        <x:v>1</x:v>
      </x:c>
      <x:c r="M2612" s="8" t="n">
        <x:f>K2612-L2612</x:f>
        <x:v>-3.836934179057675</x:v>
      </x:c>
      <x:c r="N2612" s="8" t="n">
        <x:f>M2612^2</x:f>
        <x:v>14.722063894420996</x:v>
      </x:c>
      <x:c r="O2612" s="8" t="n">
        <x:f>ABS(M2612)</x:f>
        <x:v>3.836934179057675</x:v>
      </x:c>
      <x:c r="P2612" s="7" t="n">
        <x:v>45954</x:v>
      </x:c>
    </x:row>
    <x:row r="2613" ht="26" customHeight="1">
      <x:c r="A2613" s="2"/>
      <x:c r="B2613" s="2" t="n">
        <x:v>2608</x:v>
      </x:c>
      <x:c r="C2613" s="2" t="str">
        <x:v>Fabric &amp; Home Care / price_contribution</x:v>
      </x:c>
      <x:c r="D2613" s="7" t="n">
        <x:v>45930</x:v>
      </x:c>
      <x:c r="E2613" s="2" t="str">
        <x:v>Origin</x:v>
      </x:c>
      <x:c r="F2613" s="7" t="n">
        <x:v>45839</x:v>
      </x:c>
      <x:c r="G2613" s="2" t="str">
        <x:v>Half correction</x:v>
      </x:c>
      <x:c r="H2613" s="8" t="n">
        <x:f>K839</x:f>
        <x:v>1.255846621937898</x:v>
      </x:c>
      <x:c r="I2613" s="8" t="n">
        <x:f>AVERAGE(M754,M771,M788,M805)</x:f>
        <x:v>4.092780800995573</x:v>
      </x:c>
      <x:c r="J2613" s="8" t="n">
        <x:v>0.5</x:v>
      </x:c>
      <x:c r="K2613" s="8" t="n">
        <x:f>H2613-I2613*J2613</x:f>
        <x:v>-0.7905437785598886</x:v>
      </x:c>
      <x:c r="L2613" s="8" t="n">
        <x:f>'PG facts'!D135</x:f>
        <x:v>1</x:v>
      </x:c>
      <x:c r="M2613" s="8" t="n">
        <x:f>K2613-L2613</x:f>
        <x:v>-1.7905437785598886</x:v>
      </x:c>
      <x:c r="N2613" s="8" t="n">
        <x:f>M2613^2</x:f>
        <x:v>3.206047022939523</x:v>
      </x:c>
      <x:c r="O2613" s="8" t="n">
        <x:f>ABS(M2613)</x:f>
        <x:v>1.7905437785598886</x:v>
      </x:c>
      <x:c r="P2613" s="7" t="n">
        <x:v>45954</x:v>
      </x:c>
    </x:row>
    <x:row r="2614" ht="26" customHeight="1">
      <x:c r="A2614" s="2"/>
      <x:c r="B2614" s="2" t="n">
        <x:v>2609</x:v>
      </x:c>
      <x:c r="C2614" s="2" t="str">
        <x:v>Fabric &amp; Home Care / price_contribution</x:v>
      </x:c>
      <x:c r="D2614" s="7" t="n">
        <x:v>45930</x:v>
      </x:c>
      <x:c r="E2614" s="2" t="str">
        <x:v>Prior report</x:v>
      </x:c>
      <x:c r="F2614" s="7" t="n">
        <x:v>45867</x:v>
      </x:c>
      <x:c r="G2614" s="2" t="str">
        <x:v>Bias correction</x:v>
      </x:c>
      <x:c r="H2614" s="8" t="n">
        <x:f>K844</x:f>
        <x:v>1.4906837858682582</x:v>
      </x:c>
      <x:c r="I2614" s="8" t="n">
        <x:f>AVERAGE(M776,M793,M810,M827)</x:f>
        <x:v>1.7074895049034857</x:v>
      </x:c>
      <x:c r="J2614" s="8" t="n">
        <x:v>1</x:v>
      </x:c>
      <x:c r="K2614" s="8" t="n">
        <x:f>H2614-I2614*J2614</x:f>
        <x:v>-0.2168057190352275</x:v>
      </x:c>
      <x:c r="L2614" s="8" t="n">
        <x:f>'PG facts'!D135</x:f>
        <x:v>1</x:v>
      </x:c>
      <x:c r="M2614" s="8" t="n">
        <x:f>K2614-L2614</x:f>
        <x:v>-1.2168057190352275</x:v>
      </x:c>
      <x:c r="N2614" s="8" t="n">
        <x:f>M2614^2</x:f>
        <x:v>1.480616157876837</x:v>
      </x:c>
      <x:c r="O2614" s="8" t="n">
        <x:f>ABS(M2614)</x:f>
        <x:v>1.2168057190352275</x:v>
      </x:c>
      <x:c r="P2614" s="7" t="n">
        <x:v>45954</x:v>
      </x:c>
    </x:row>
    <x:row r="2615" ht="26" customHeight="1">
      <x:c r="A2615" s="2"/>
      <x:c r="B2615" s="2" t="n">
        <x:v>2610</x:v>
      </x:c>
      <x:c r="C2615" s="2" t="str">
        <x:v>Fabric &amp; Home Care / price_contribution</x:v>
      </x:c>
      <x:c r="D2615" s="7" t="n">
        <x:v>45930</x:v>
      </x:c>
      <x:c r="E2615" s="2" t="str">
        <x:v>Prior report</x:v>
      </x:c>
      <x:c r="F2615" s="7" t="n">
        <x:v>45867</x:v>
      </x:c>
      <x:c r="G2615" s="2" t="str">
        <x:v>Half correction</x:v>
      </x:c>
      <x:c r="H2615" s="8" t="n">
        <x:f>K844</x:f>
        <x:v>1.4906837858682582</x:v>
      </x:c>
      <x:c r="I2615" s="8" t="n">
        <x:f>AVERAGE(M776,M793,M810,M827)</x:f>
        <x:v>1.7074895049034857</x:v>
      </x:c>
      <x:c r="J2615" s="8" t="n">
        <x:v>0.5</x:v>
      </x:c>
      <x:c r="K2615" s="8" t="n">
        <x:f>H2615-I2615*J2615</x:f>
        <x:v>0.6369390334165154</x:v>
      </x:c>
      <x:c r="L2615" s="8" t="n">
        <x:f>'PG facts'!D135</x:f>
        <x:v>1</x:v>
      </x:c>
      <x:c r="M2615" s="8" t="n">
        <x:f>K2615-L2615</x:f>
        <x:v>-0.36306096658348463</x:v>
      </x:c>
      <x:c r="N2615" s="8" t="n">
        <x:f>M2615^2</x:f>
        <x:v>0.13181326545653416</x:v>
      </x:c>
      <x:c r="O2615" s="8" t="n">
        <x:f>ABS(M2615)</x:f>
        <x:v>0.36306096658348463</x:v>
      </x:c>
      <x:c r="P2615" s="7" t="n">
        <x:v>45954</x:v>
      </x:c>
    </x:row>
    <x:row r="2616" ht="26" customHeight="1">
      <x:c r="A2616" s="2"/>
      <x:c r="B2616" s="2" t="n">
        <x:v>2611</x:v>
      </x:c>
      <x:c r="C2616" s="2" t="str">
        <x:v>Fabric &amp; Home Care / price_contribution</x:v>
      </x:c>
      <x:c r="D2616" s="7" t="n">
        <x:v>45930</x:v>
      </x:c>
      <x:c r="E2616" s="2" t="str">
        <x:v>Pre-earnings</x:v>
      </x:c>
      <x:c r="F2616" s="7" t="n">
        <x:v>45953</x:v>
      </x:c>
      <x:c r="G2616" s="2" t="str">
        <x:v>Bias correction</x:v>
      </x:c>
      <x:c r="H2616" s="8" t="n">
        <x:f>K850</x:f>
        <x:v>1.8319212919159082</x:v>
      </x:c>
      <x:c r="I2616" s="8" t="n">
        <x:f>AVERAGE(M782,M799,M816,M833)</x:f>
        <x:v>1.3472135589675394</x:v>
      </x:c>
      <x:c r="J2616" s="8" t="n">
        <x:v>1</x:v>
      </x:c>
      <x:c r="K2616" s="8" t="n">
        <x:f>H2616-I2616*J2616</x:f>
        <x:v>0.4847077329483689</x:v>
      </x:c>
      <x:c r="L2616" s="8" t="n">
        <x:f>'PG facts'!D135</x:f>
        <x:v>1</x:v>
      </x:c>
      <x:c r="M2616" s="8" t="n">
        <x:f>K2616-L2616</x:f>
        <x:v>-0.5152922670516311</x:v>
      </x:c>
      <x:c r="N2616" s="8" t="n">
        <x:f>M2616^2</x:f>
        <x:v>0.2655261204832095</x:v>
      </x:c>
      <x:c r="O2616" s="8" t="n">
        <x:f>ABS(M2616)</x:f>
        <x:v>0.5152922670516311</x:v>
      </x:c>
      <x:c r="P2616" s="7" t="n">
        <x:v>45954</x:v>
      </x:c>
    </x:row>
    <x:row r="2617" ht="26" customHeight="1">
      <x:c r="A2617" s="2"/>
      <x:c r="B2617" s="2" t="n">
        <x:v>2612</x:v>
      </x:c>
      <x:c r="C2617" s="2" t="str">
        <x:v>Fabric &amp; Home Care / price_contribution</x:v>
      </x:c>
      <x:c r="D2617" s="7" t="n">
        <x:v>45930</x:v>
      </x:c>
      <x:c r="E2617" s="2" t="str">
        <x:v>Pre-earnings</x:v>
      </x:c>
      <x:c r="F2617" s="7" t="n">
        <x:v>45953</x:v>
      </x:c>
      <x:c r="G2617" s="2" t="str">
        <x:v>Half correction</x:v>
      </x:c>
      <x:c r="H2617" s="8" t="n">
        <x:f>K850</x:f>
        <x:v>1.8319212919159082</x:v>
      </x:c>
      <x:c r="I2617" s="8" t="n">
        <x:f>AVERAGE(M782,M799,M816,M833)</x:f>
        <x:v>1.3472135589675394</x:v>
      </x:c>
      <x:c r="J2617" s="8" t="n">
        <x:v>0.5</x:v>
      </x:c>
      <x:c r="K2617" s="8" t="n">
        <x:f>H2617-I2617*J2617</x:f>
        <x:v>1.1583145124321386</x:v>
      </x:c>
      <x:c r="L2617" s="8" t="n">
        <x:f>'PG facts'!D135</x:f>
        <x:v>1</x:v>
      </x:c>
      <x:c r="M2617" s="8" t="n">
        <x:f>K2617-L2617</x:f>
        <x:v>0.15831451243213857</x:v>
      </x:c>
      <x:c r="N2617" s="8" t="n">
        <x:f>M2617^2</x:f>
        <x:v>0.025063484846625756</x:v>
      </x:c>
      <x:c r="O2617" s="8" t="n">
        <x:f>ABS(M2617)</x:f>
        <x:v>0.15831451243213857</x:v>
      </x:c>
      <x:c r="P2617" s="7" t="n">
        <x:v>45954</x:v>
      </x:c>
    </x:row>
    <x:row r="2618" ht="26" customHeight="1">
      <x:c r="A2618" s="2"/>
      <x:c r="B2618" s="2" t="n">
        <x:v>2613</x:v>
      </x:c>
      <x:c r="C2618" s="2" t="str">
        <x:v>Fabric &amp; Home Care / price_contribution</x:v>
      </x:c>
      <x:c r="D2618" s="7" t="n">
        <x:v>46022</x:v>
      </x:c>
      <x:c r="E2618" s="2" t="str">
        <x:v>Origin</x:v>
      </x:c>
      <x:c r="F2618" s="7" t="n">
        <x:v>45931</x:v>
      </x:c>
      <x:c r="G2618" s="2" t="str">
        <x:v>Bias correction</x:v>
      </x:c>
      <x:c r="H2618" s="8" t="n">
        <x:f>K856</x:f>
        <x:v>1.7938693971720188</x:v>
      </x:c>
      <x:c r="I2618" s="8" t="n">
        <x:f>AVERAGE(M771,M788,M805,M822)</x:f>
        <x:v>2.3073239859145738</x:v>
      </x:c>
      <x:c r="J2618" s="8" t="n">
        <x:v>1</x:v>
      </x:c>
      <x:c r="K2618" s="8" t="n">
        <x:f>H2618-I2618*J2618</x:f>
        <x:v>-0.513454588742555</x:v>
      </x:c>
      <x:c r="L2618" s="8" t="n">
        <x:f>'PG facts'!D142</x:f>
        <x:v>1</x:v>
      </x:c>
      <x:c r="M2618" s="8" t="n">
        <x:f>K2618-L2618</x:f>
        <x:v>-1.513454588742555</x:v>
      </x:c>
      <x:c r="N2618" s="8" t="n">
        <x:f>M2618^2</x:f>
        <x:v>2.290544792185896</x:v>
      </x:c>
      <x:c r="O2618" s="8" t="n">
        <x:f>ABS(M2618)</x:f>
        <x:v>1.513454588742555</x:v>
      </x:c>
      <x:c r="P2618" s="7" t="n">
        <x:v>46045</x:v>
      </x:c>
    </x:row>
    <x:row r="2619" ht="26" customHeight="1">
      <x:c r="A2619" s="2"/>
      <x:c r="B2619" s="2" t="n">
        <x:v>2614</x:v>
      </x:c>
      <x:c r="C2619" s="2" t="str">
        <x:v>Fabric &amp; Home Care / price_contribution</x:v>
      </x:c>
      <x:c r="D2619" s="7" t="n">
        <x:v>46022</x:v>
      </x:c>
      <x:c r="E2619" s="2" t="str">
        <x:v>Origin</x:v>
      </x:c>
      <x:c r="F2619" s="7" t="n">
        <x:v>45931</x:v>
      </x:c>
      <x:c r="G2619" s="2" t="str">
        <x:v>Half correction</x:v>
      </x:c>
      <x:c r="H2619" s="8" t="n">
        <x:f>K856</x:f>
        <x:v>1.7938693971720188</x:v>
      </x:c>
      <x:c r="I2619" s="8" t="n">
        <x:f>AVERAGE(M771,M788,M805,M822)</x:f>
        <x:v>2.3073239859145738</x:v>
      </x:c>
      <x:c r="J2619" s="8" t="n">
        <x:v>0.5</x:v>
      </x:c>
      <x:c r="K2619" s="8" t="n">
        <x:f>H2619-I2619*J2619</x:f>
        <x:v>0.6402074042147319</x:v>
      </x:c>
      <x:c r="L2619" s="8" t="n">
        <x:f>'PG facts'!D142</x:f>
        <x:v>1</x:v>
      </x:c>
      <x:c r="M2619" s="8" t="n">
        <x:f>K2619-L2619</x:f>
        <x:v>-0.3597925957852681</x:v>
      </x:c>
      <x:c r="N2619" s="8" t="n">
        <x:f>M2619^2</x:f>
        <x:v>0.12945071198190133</x:v>
      </x:c>
      <x:c r="O2619" s="8" t="n">
        <x:f>ABS(M2619)</x:f>
        <x:v>0.3597925957852681</x:v>
      </x:c>
      <x:c r="P2619" s="7" t="n">
        <x:v>46045</x:v>
      </x:c>
    </x:row>
    <x:row r="2620" ht="26" customHeight="1">
      <x:c r="A2620" s="2"/>
      <x:c r="B2620" s="2" t="n">
        <x:v>2615</x:v>
      </x:c>
      <x:c r="C2620" s="2" t="str">
        <x:v>Fabric &amp; Home Care / price_contribution</x:v>
      </x:c>
      <x:c r="D2620" s="7" t="n">
        <x:v>46022</x:v>
      </x:c>
      <x:c r="E2620" s="2" t="str">
        <x:v>Prior report</x:v>
      </x:c>
      <x:c r="F2620" s="7" t="n">
        <x:v>45954</x:v>
      </x:c>
      <x:c r="G2620" s="2" t="str">
        <x:v>Bias correction</x:v>
      </x:c>
      <x:c r="H2620" s="8" t="n">
        <x:f>K861</x:f>
        <x:v>2.0982154952997014</x:v>
      </x:c>
      <x:c r="I2620" s="8" t="n">
        <x:f>AVERAGE(M793,M810,M827,M844)</x:f>
        <x:v>0.9461529301974296</x:v>
      </x:c>
      <x:c r="J2620" s="8" t="n">
        <x:v>1</x:v>
      </x:c>
      <x:c r="K2620" s="8" t="n">
        <x:f>H2620-I2620*J2620</x:f>
        <x:v>1.1520625651022718</x:v>
      </x:c>
      <x:c r="L2620" s="8" t="n">
        <x:f>'PG facts'!D142</x:f>
        <x:v>1</x:v>
      </x:c>
      <x:c r="M2620" s="8" t="n">
        <x:f>K2620-L2620</x:f>
        <x:v>0.15206256510227179</x:v>
      </x:c>
      <x:c r="N2620" s="8" t="n">
        <x:f>M2620^2</x:f>
        <x:v>0.023123023705482644</x:v>
      </x:c>
      <x:c r="O2620" s="8" t="n">
        <x:f>ABS(M2620)</x:f>
        <x:v>0.15206256510227179</x:v>
      </x:c>
      <x:c r="P2620" s="7" t="n">
        <x:v>46045</x:v>
      </x:c>
    </x:row>
    <x:row r="2621" ht="26" customHeight="1">
      <x:c r="A2621" s="2"/>
      <x:c r="B2621" s="2" t="n">
        <x:v>2616</x:v>
      </x:c>
      <x:c r="C2621" s="2" t="str">
        <x:v>Fabric &amp; Home Care / price_contribution</x:v>
      </x:c>
      <x:c r="D2621" s="7" t="n">
        <x:v>46022</x:v>
      </x:c>
      <x:c r="E2621" s="2" t="str">
        <x:v>Prior report</x:v>
      </x:c>
      <x:c r="F2621" s="7" t="n">
        <x:v>45954</x:v>
      </x:c>
      <x:c r="G2621" s="2" t="str">
        <x:v>Half correction</x:v>
      </x:c>
      <x:c r="H2621" s="8" t="n">
        <x:f>K861</x:f>
        <x:v>2.0982154952997014</x:v>
      </x:c>
      <x:c r="I2621" s="8" t="n">
        <x:f>AVERAGE(M793,M810,M827,M844)</x:f>
        <x:v>0.9461529301974296</x:v>
      </x:c>
      <x:c r="J2621" s="8" t="n">
        <x:v>0.5</x:v>
      </x:c>
      <x:c r="K2621" s="8" t="n">
        <x:f>H2621-I2621*J2621</x:f>
        <x:v>1.6251390302009865</x:v>
      </x:c>
      <x:c r="L2621" s="8" t="n">
        <x:f>'PG facts'!D142</x:f>
        <x:v>1</x:v>
      </x:c>
      <x:c r="M2621" s="8" t="n">
        <x:f>K2621-L2621</x:f>
        <x:v>0.6251390302009865</x:v>
      </x:c>
      <x:c r="N2621" s="8" t="n">
        <x:f>M2621^2</x:f>
        <x:v>0.3907988070806299</x:v>
      </x:c>
      <x:c r="O2621" s="8" t="n">
        <x:f>ABS(M2621)</x:f>
        <x:v>0.6251390302009865</x:v>
      </x:c>
      <x:c r="P2621" s="7" t="n">
        <x:v>46045</x:v>
      </x:c>
    </x:row>
    <x:row r="2622" ht="26" customHeight="1">
      <x:c r="A2622" s="2"/>
      <x:c r="B2622" s="2" t="n">
        <x:v>2617</x:v>
      </x:c>
      <x:c r="C2622" s="2" t="str">
        <x:v>Fabric &amp; Home Care / price_contribution</x:v>
      </x:c>
      <x:c r="D2622" s="7" t="n">
        <x:v>46022</x:v>
      </x:c>
      <x:c r="E2622" s="2" t="str">
        <x:v>Pre-earnings</x:v>
      </x:c>
      <x:c r="F2622" s="7" t="n">
        <x:v>46044</x:v>
      </x:c>
      <x:c r="G2622" s="2" t="str">
        <x:v>Bias correction</x:v>
      </x:c>
      <x:c r="H2622" s="8" t="n">
        <x:f>K867</x:f>
        <x:v>2.316558360187847</x:v>
      </x:c>
      <x:c r="I2622" s="8" t="n">
        <x:f>AVERAGE(M799,M816,M833,M850)</x:f>
        <x:v>1.0767611466741953</x:v>
      </x:c>
      <x:c r="J2622" s="8" t="n">
        <x:v>1</x:v>
      </x:c>
      <x:c r="K2622" s="8" t="n">
        <x:f>H2622-I2622*J2622</x:f>
        <x:v>1.239797213513652</x:v>
      </x:c>
      <x:c r="L2622" s="8" t="n">
        <x:f>'PG facts'!D142</x:f>
        <x:v>1</x:v>
      </x:c>
      <x:c r="M2622" s="8" t="n">
        <x:f>K2622-L2622</x:f>
        <x:v>0.2397972135136519</x:v>
      </x:c>
      <x:c r="N2622" s="8" t="n">
        <x:f>M2622^2</x:f>
        <x:v>0.05750270360891196</x:v>
      </x:c>
      <x:c r="O2622" s="8" t="n">
        <x:f>ABS(M2622)</x:f>
        <x:v>0.2397972135136519</x:v>
      </x:c>
      <x:c r="P2622" s="7" t="n">
        <x:v>46045</x:v>
      </x:c>
    </x:row>
    <x:row r="2623" ht="26" customHeight="1">
      <x:c r="A2623" s="2"/>
      <x:c r="B2623" s="2" t="n">
        <x:v>2618</x:v>
      </x:c>
      <x:c r="C2623" s="2" t="str">
        <x:v>Fabric &amp; Home Care / price_contribution</x:v>
      </x:c>
      <x:c r="D2623" s="7" t="n">
        <x:v>46022</x:v>
      </x:c>
      <x:c r="E2623" s="2" t="str">
        <x:v>Pre-earnings</x:v>
      </x:c>
      <x:c r="F2623" s="7" t="n">
        <x:v>46044</x:v>
      </x:c>
      <x:c r="G2623" s="2" t="str">
        <x:v>Half correction</x:v>
      </x:c>
      <x:c r="H2623" s="8" t="n">
        <x:f>K867</x:f>
        <x:v>2.316558360187847</x:v>
      </x:c>
      <x:c r="I2623" s="8" t="n">
        <x:f>AVERAGE(M799,M816,M833,M850)</x:f>
        <x:v>1.0767611466741953</x:v>
      </x:c>
      <x:c r="J2623" s="8" t="n">
        <x:v>0.5</x:v>
      </x:c>
      <x:c r="K2623" s="8" t="n">
        <x:f>H2623-I2623*J2623</x:f>
        <x:v>1.7781777868507496</x:v>
      </x:c>
      <x:c r="L2623" s="8" t="n">
        <x:f>'PG facts'!D142</x:f>
        <x:v>1</x:v>
      </x:c>
      <x:c r="M2623" s="8" t="n">
        <x:f>K2623-L2623</x:f>
        <x:v>0.7781777868507496</x:v>
      </x:c>
      <x:c r="N2623" s="8" t="n">
        <x:f>M2623^2</x:f>
        <x:v>0.6055606679479306</x:v>
      </x:c>
      <x:c r="O2623" s="8" t="n">
        <x:f>ABS(M2623)</x:f>
        <x:v>0.7781777868507496</x:v>
      </x:c>
      <x:c r="P2623" s="7" t="n">
        <x:v>46045</x:v>
      </x:c>
    </x:row>
    <x:row r="2624" ht="26" customHeight="1">
      <x:c r="A2624" s="2"/>
      <x:c r="B2624" s="2" t="n">
        <x:v>2619</x:v>
      </x:c>
      <x:c r="C2624" s="2" t="str">
        <x:v>Fabric &amp; Home Care / price_contribution</x:v>
      </x:c>
      <x:c r="D2624" s="7" t="n">
        <x:v>46112</x:v>
      </x:c>
      <x:c r="E2624" s="2" t="str">
        <x:v>Origin</x:v>
      </x:c>
      <x:c r="F2624" s="7" t="n">
        <x:v>46023</x:v>
      </x:c>
      <x:c r="G2624" s="2" t="str">
        <x:v>Bias correction</x:v>
      </x:c>
      <x:c r="H2624" s="8" t="n">
        <x:f>K873</x:f>
        <x:v>2.2545277952294778</x:v>
      </x:c>
      <x:c r="I2624" s="8" t="n">
        <x:f>AVERAGE(M788,M805,M822,M839)</x:f>
        <x:v>1.1364049560856029</x:v>
      </x:c>
      <x:c r="J2624" s="8" t="n">
        <x:v>1</x:v>
      </x:c>
      <x:c r="K2624" s="8" t="n">
        <x:f>H2624-I2624*J2624</x:f>
        <x:v>1.118122839143875</x:v>
      </x:c>
      <x:c r="L2624" s="8" t="n">
        <x:f>'PG facts'!D149</x:f>
        <x:v>1</x:v>
      </x:c>
      <x:c r="M2624" s="8" t="n">
        <x:f>K2624-L2624</x:f>
        <x:v>0.11812283914387489</x:v>
      </x:c>
      <x:c r="N2624" s="8" t="n">
        <x:f>M2624^2</x:f>
        <x:v>0.013953005127409742</x:v>
      </x:c>
      <x:c r="O2624" s="8" t="n">
        <x:f>ABS(M2624)</x:f>
        <x:v>0.11812283914387489</x:v>
      </x:c>
      <x:c r="P2624" s="7" t="n">
        <x:v>46136</x:v>
      </x:c>
    </x:row>
    <x:row r="2625" ht="26" customHeight="1">
      <x:c r="A2625" s="2"/>
      <x:c r="B2625" s="2" t="n">
        <x:v>2620</x:v>
      </x:c>
      <x:c r="C2625" s="2" t="str">
        <x:v>Fabric &amp; Home Care / price_contribution</x:v>
      </x:c>
      <x:c r="D2625" s="7" t="n">
        <x:v>46112</x:v>
      </x:c>
      <x:c r="E2625" s="2" t="str">
        <x:v>Origin</x:v>
      </x:c>
      <x:c r="F2625" s="7" t="n">
        <x:v>46023</x:v>
      </x:c>
      <x:c r="G2625" s="2" t="str">
        <x:v>Half correction</x:v>
      </x:c>
      <x:c r="H2625" s="8" t="n">
        <x:f>K873</x:f>
        <x:v>2.2545277952294778</x:v>
      </x:c>
      <x:c r="I2625" s="8" t="n">
        <x:f>AVERAGE(M788,M805,M822,M839)</x:f>
        <x:v>1.1364049560856029</x:v>
      </x:c>
      <x:c r="J2625" s="8" t="n">
        <x:v>0.5</x:v>
      </x:c>
      <x:c r="K2625" s="8" t="n">
        <x:f>H2625-I2625*J2625</x:f>
        <x:v>1.6863253171866763</x:v>
      </x:c>
      <x:c r="L2625" s="8" t="n">
        <x:f>'PG facts'!D149</x:f>
        <x:v>1</x:v>
      </x:c>
      <x:c r="M2625" s="8" t="n">
        <x:f>K2625-L2625</x:f>
        <x:v>0.6863253171866763</x:v>
      </x:c>
      <x:c r="N2625" s="8" t="n">
        <x:f>M2625^2</x:f>
        <x:v>0.47104244101139187</x:v>
      </x:c>
      <x:c r="O2625" s="8" t="n">
        <x:f>ABS(M2625)</x:f>
        <x:v>0.6863253171866763</x:v>
      </x:c>
      <x:c r="P2625" s="7" t="n">
        <x:v>46136</x:v>
      </x:c>
    </x:row>
    <x:row r="2626" ht="26" customHeight="1">
      <x:c r="A2626" s="2"/>
      <x:c r="B2626" s="2" t="n">
        <x:v>2621</x:v>
      </x:c>
      <x:c r="C2626" s="2" t="str">
        <x:v>Fabric &amp; Home Care / price_contribution</x:v>
      </x:c>
      <x:c r="D2626" s="7" t="n">
        <x:v>46112</x:v>
      </x:c>
      <x:c r="E2626" s="2" t="str">
        <x:v>Prior report</x:v>
      </x:c>
      <x:c r="F2626" s="7" t="n">
        <x:v>46045</x:v>
      </x:c>
      <x:c r="G2626" s="2" t="str">
        <x:v>Bias correction</x:v>
      </x:c>
      <x:c r="H2626" s="8" t="n">
        <x:f>K878</x:f>
        <x:v>2.4283433102265457</x:v>
      </x:c>
      <x:c r="I2626" s="8" t="n">
        <x:f>AVERAGE(M810,M827,M844,M861)</x:f>
        <x:v>0.802153128863965</x:v>
      </x:c>
      <x:c r="J2626" s="8" t="n">
        <x:v>1</x:v>
      </x:c>
      <x:c r="K2626" s="8" t="n">
        <x:f>H2626-I2626*J2626</x:f>
        <x:v>1.6261901813625808</x:v>
      </x:c>
      <x:c r="L2626" s="8" t="n">
        <x:f>'PG facts'!D149</x:f>
        <x:v>1</x:v>
      </x:c>
      <x:c r="M2626" s="8" t="n">
        <x:f>K2626-L2626</x:f>
        <x:v>0.6261901813625808</x:v>
      </x:c>
      <x:c r="N2626" s="8" t="n">
        <x:f>M2626^2</x:f>
        <x:v>0.3921141432349018</x:v>
      </x:c>
      <x:c r="O2626" s="8" t="n">
        <x:f>ABS(M2626)</x:f>
        <x:v>0.6261901813625808</x:v>
      </x:c>
      <x:c r="P2626" s="7" t="n">
        <x:v>46136</x:v>
      </x:c>
    </x:row>
    <x:row r="2627" ht="26" customHeight="1">
      <x:c r="A2627" s="2"/>
      <x:c r="B2627" s="2" t="n">
        <x:v>2622</x:v>
      </x:c>
      <x:c r="C2627" s="2" t="str">
        <x:v>Fabric &amp; Home Care / price_contribution</x:v>
      </x:c>
      <x:c r="D2627" s="7" t="n">
        <x:v>46112</x:v>
      </x:c>
      <x:c r="E2627" s="2" t="str">
        <x:v>Prior report</x:v>
      </x:c>
      <x:c r="F2627" s="7" t="n">
        <x:v>46045</x:v>
      </x:c>
      <x:c r="G2627" s="2" t="str">
        <x:v>Half correction</x:v>
      </x:c>
      <x:c r="H2627" s="8" t="n">
        <x:f>K878</x:f>
        <x:v>2.4283433102265457</x:v>
      </x:c>
      <x:c r="I2627" s="8" t="n">
        <x:f>AVERAGE(M810,M827,M844,M861)</x:f>
        <x:v>0.802153128863965</x:v>
      </x:c>
      <x:c r="J2627" s="8" t="n">
        <x:v>0.5</x:v>
      </x:c>
      <x:c r="K2627" s="8" t="n">
        <x:f>H2627-I2627*J2627</x:f>
        <x:v>2.027266745794563</x:v>
      </x:c>
      <x:c r="L2627" s="8" t="n">
        <x:f>'PG facts'!D149</x:f>
        <x:v>1</x:v>
      </x:c>
      <x:c r="M2627" s="8" t="n">
        <x:f>K2627-L2627</x:f>
        <x:v>1.027266745794563</x:v>
      </x:c>
      <x:c r="N2627" s="8" t="n">
        <x:f>M2627^2</x:f>
        <x:v>1.0552769670153512</x:v>
      </x:c>
      <x:c r="O2627" s="8" t="n">
        <x:f>ABS(M2627)</x:f>
        <x:v>1.027266745794563</x:v>
      </x:c>
      <x:c r="P2627" s="7" t="n">
        <x:v>46136</x:v>
      </x:c>
    </x:row>
    <x:row r="2628" ht="26" customHeight="1">
      <x:c r="A2628" s="2"/>
      <x:c r="B2628" s="2" t="n">
        <x:v>2623</x:v>
      </x:c>
      <x:c r="C2628" s="2" t="str">
        <x:v>Fabric &amp; Home Care / price_contribution</x:v>
      </x:c>
      <x:c r="D2628" s="7" t="n">
        <x:v>46112</x:v>
      </x:c>
      <x:c r="E2628" s="2" t="str">
        <x:v>Pre-earnings</x:v>
      </x:c>
      <x:c r="F2628" s="7" t="n">
        <x:v>46135</x:v>
      </x:c>
      <x:c r="G2628" s="2" t="str">
        <x:v>Bias correction</x:v>
      </x:c>
      <x:c r="H2628" s="8" t="n">
        <x:f>K883</x:f>
        <x:v>3.3990697110681976</x:v>
      </x:c>
      <x:c r="I2628" s="8" t="n">
        <x:f>AVERAGE(M816,M833,M850,M867)</x:f>
        <x:v>0.9980981768713959</x:v>
      </x:c>
      <x:c r="J2628" s="8" t="n">
        <x:v>1</x:v>
      </x:c>
      <x:c r="K2628" s="8" t="n">
        <x:f>H2628-I2628*J2628</x:f>
        <x:v>2.4009715341968016</x:v>
      </x:c>
      <x:c r="L2628" s="8" t="n">
        <x:f>'PG facts'!D149</x:f>
        <x:v>1</x:v>
      </x:c>
      <x:c r="M2628" s="8" t="n">
        <x:f>K2628-L2628</x:f>
        <x:v>1.4009715341968016</x:v>
      </x:c>
      <x:c r="N2628" s="8" t="n">
        <x:f>M2628^2</x:f>
        <x:v>1.9627212396297402</x:v>
      </x:c>
      <x:c r="O2628" s="8" t="n">
        <x:f>ABS(M2628)</x:f>
        <x:v>1.4009715341968016</x:v>
      </x:c>
      <x:c r="P2628" s="7" t="n">
        <x:v>46136</x:v>
      </x:c>
    </x:row>
    <x:row r="2629" ht="26" customHeight="1">
      <x:c r="A2629" s="2"/>
      <x:c r="B2629" s="2" t="n">
        <x:v>2624</x:v>
      </x:c>
      <x:c r="C2629" s="2" t="str">
        <x:v>Fabric &amp; Home Care / price_contribution</x:v>
      </x:c>
      <x:c r="D2629" s="7" t="n">
        <x:v>46112</x:v>
      </x:c>
      <x:c r="E2629" s="2" t="str">
        <x:v>Pre-earnings</x:v>
      </x:c>
      <x:c r="F2629" s="7" t="n">
        <x:v>46135</x:v>
      </x:c>
      <x:c r="G2629" s="2" t="str">
        <x:v>Half correction</x:v>
      </x:c>
      <x:c r="H2629" s="8" t="n">
        <x:f>K883</x:f>
        <x:v>3.3990697110681976</x:v>
      </x:c>
      <x:c r="I2629" s="8" t="n">
        <x:f>AVERAGE(M816,M833,M850,M867)</x:f>
        <x:v>0.9980981768713959</x:v>
      </x:c>
      <x:c r="J2629" s="8" t="n">
        <x:v>0.5</x:v>
      </x:c>
      <x:c r="K2629" s="8" t="n">
        <x:f>H2629-I2629*J2629</x:f>
        <x:v>2.9000206226325</x:v>
      </x:c>
      <x:c r="L2629" s="8" t="n">
        <x:f>'PG facts'!D149</x:f>
        <x:v>1</x:v>
      </x:c>
      <x:c r="M2629" s="8" t="n">
        <x:f>K2629-L2629</x:f>
        <x:v>1.9000206226324998</x:v>
      </x:c>
      <x:c r="N2629" s="8" t="n">
        <x:f>M2629^2</x:f>
        <x:v>3.6100783664287923</x:v>
      </x:c>
      <x:c r="O2629" s="8" t="n">
        <x:f>ABS(M2629)</x:f>
        <x:v>1.9000206226324998</x:v>
      </x:c>
      <x:c r="P2629" s="7" t="n">
        <x:v>46136</x:v>
      </x:c>
    </x:row>
    <x:row r="2630" ht="26" customHeight="1">
      <x:c r="A2630" s="2"/>
      <x:c r="B2630" s="2" t="n">
        <x:v>2625</x:v>
      </x:c>
      <x:c r="C2630" s="2" t="str">
        <x:v>Baby, Feminine &amp; Family Care / price_contribution</x:v>
      </x:c>
      <x:c r="D2630" s="7" t="n">
        <x:v>45473</x:v>
      </x:c>
      <x:c r="E2630" s="2" t="str">
        <x:v>Prior report</x:v>
      </x:c>
      <x:c r="F2630" s="7" t="n">
        <x:v>45401</x:v>
      </x:c>
      <x:c r="G2630" s="2" t="str">
        <x:v>Bias correction</x:v>
      </x:c>
      <x:c r="H2630" s="8" t="n">
        <x:f>K959</x:f>
        <x:v>5.044485484210915</x:v>
      </x:c>
      <x:c r="I2630" s="8" t="n">
        <x:f>AVERAGE(M892,M908,M925,M942)</x:f>
        <x:v>1.9931209964809535</x:v>
      </x:c>
      <x:c r="J2630" s="8" t="n">
        <x:v>1</x:v>
      </x:c>
      <x:c r="K2630" s="8" t="n">
        <x:f>H2630-I2630*J2630</x:f>
        <x:v>3.0513644877299613</x:v>
      </x:c>
      <x:c r="L2630" s="8" t="n">
        <x:f>'PG facts'!D101</x:f>
        <x:v>0</x:v>
      </x:c>
      <x:c r="M2630" s="8" t="n">
        <x:f>K2630-L2630</x:f>
        <x:v>3.0513644877299613</x:v>
      </x:c>
      <x:c r="N2630" s="8" t="n">
        <x:f>M2630^2</x:f>
        <x:v>9.310825236979529</x:v>
      </x:c>
      <x:c r="O2630" s="8" t="n">
        <x:f>ABS(M2630)</x:f>
        <x:v>3.0513644877299613</x:v>
      </x:c>
      <x:c r="P2630" s="7" t="n">
        <x:v>45503</x:v>
      </x:c>
    </x:row>
    <x:row r="2631" ht="26" customHeight="1">
      <x:c r="A2631" s="2"/>
      <x:c r="B2631" s="2" t="n">
        <x:v>2626</x:v>
      </x:c>
      <x:c r="C2631" s="2" t="str">
        <x:v>Baby, Feminine &amp; Family Care / price_contribution</x:v>
      </x:c>
      <x:c r="D2631" s="7" t="n">
        <x:v>45473</x:v>
      </x:c>
      <x:c r="E2631" s="2" t="str">
        <x:v>Prior report</x:v>
      </x:c>
      <x:c r="F2631" s="7" t="n">
        <x:v>45401</x:v>
      </x:c>
      <x:c r="G2631" s="2" t="str">
        <x:v>Half correction</x:v>
      </x:c>
      <x:c r="H2631" s="8" t="n">
        <x:f>K959</x:f>
        <x:v>5.044485484210915</x:v>
      </x:c>
      <x:c r="I2631" s="8" t="n">
        <x:f>AVERAGE(M892,M908,M925,M942)</x:f>
        <x:v>1.9931209964809535</x:v>
      </x:c>
      <x:c r="J2631" s="8" t="n">
        <x:v>0.5</x:v>
      </x:c>
      <x:c r="K2631" s="8" t="n">
        <x:f>H2631-I2631*J2631</x:f>
        <x:v>4.047924985970438</x:v>
      </x:c>
      <x:c r="L2631" s="8" t="n">
        <x:f>'PG facts'!D101</x:f>
        <x:v>0</x:v>
      </x:c>
      <x:c r="M2631" s="8" t="n">
        <x:f>K2631-L2631</x:f>
        <x:v>4.047924985970438</x:v>
      </x:c>
      <x:c r="N2631" s="8" t="n">
        <x:f>M2631^2</x:f>
        <x:v>16.38569669204377</x:v>
      </x:c>
      <x:c r="O2631" s="8" t="n">
        <x:f>ABS(M2631)</x:f>
        <x:v>4.047924985970438</x:v>
      </x:c>
      <x:c r="P2631" s="7" t="n">
        <x:v>45503</x:v>
      </x:c>
    </x:row>
    <x:row r="2632" ht="26" customHeight="1">
      <x:c r="A2632" s="2"/>
      <x:c r="B2632" s="2" t="n">
        <x:v>2627</x:v>
      </x:c>
      <x:c r="C2632" s="2" t="str">
        <x:v>Baby, Feminine &amp; Family Care / price_contribution</x:v>
      </x:c>
      <x:c r="D2632" s="7" t="n">
        <x:v>45473</x:v>
      </x:c>
      <x:c r="E2632" s="2" t="str">
        <x:v>Pre-earnings</x:v>
      </x:c>
      <x:c r="F2632" s="7" t="n">
        <x:v>45502</x:v>
      </x:c>
      <x:c r="G2632" s="2" t="str">
        <x:v>Bias correction</x:v>
      </x:c>
      <x:c r="H2632" s="8" t="n">
        <x:f>K965</x:f>
        <x:v>3.245111381716034</x:v>
      </x:c>
      <x:c r="I2632" s="8" t="n">
        <x:f>AVERAGE(M898,M914,M931,M948)</x:f>
        <x:v>1.2703518140962267</x:v>
      </x:c>
      <x:c r="J2632" s="8" t="n">
        <x:v>1</x:v>
      </x:c>
      <x:c r="K2632" s="8" t="n">
        <x:f>H2632-I2632*J2632</x:f>
        <x:v>1.9747595676198073</x:v>
      </x:c>
      <x:c r="L2632" s="8" t="n">
        <x:f>'PG facts'!D101</x:f>
        <x:v>0</x:v>
      </x:c>
      <x:c r="M2632" s="8" t="n">
        <x:f>K2632-L2632</x:f>
        <x:v>1.9747595676198073</x:v>
      </x:c>
      <x:c r="N2632" s="8" t="n">
        <x:f>M2632^2</x:f>
        <x:v>3.8996753499059684</x:v>
      </x:c>
      <x:c r="O2632" s="8" t="n">
        <x:f>ABS(M2632)</x:f>
        <x:v>1.9747595676198073</x:v>
      </x:c>
      <x:c r="P2632" s="7" t="n">
        <x:v>45503</x:v>
      </x:c>
    </x:row>
    <x:row r="2633" ht="26" customHeight="1">
      <x:c r="A2633" s="2"/>
      <x:c r="B2633" s="2" t="n">
        <x:v>2628</x:v>
      </x:c>
      <x:c r="C2633" s="2" t="str">
        <x:v>Baby, Feminine &amp; Family Care / price_contribution</x:v>
      </x:c>
      <x:c r="D2633" s="7" t="n">
        <x:v>45473</x:v>
      </x:c>
      <x:c r="E2633" s="2" t="str">
        <x:v>Pre-earnings</x:v>
      </x:c>
      <x:c r="F2633" s="7" t="n">
        <x:v>45502</x:v>
      </x:c>
      <x:c r="G2633" s="2" t="str">
        <x:v>Half correction</x:v>
      </x:c>
      <x:c r="H2633" s="8" t="n">
        <x:f>K965</x:f>
        <x:v>3.245111381716034</x:v>
      </x:c>
      <x:c r="I2633" s="8" t="n">
        <x:f>AVERAGE(M898,M914,M931,M948)</x:f>
        <x:v>1.2703518140962267</x:v>
      </x:c>
      <x:c r="J2633" s="8" t="n">
        <x:v>0.5</x:v>
      </x:c>
      <x:c r="K2633" s="8" t="n">
        <x:f>H2633-I2633*J2633</x:f>
        <x:v>2.6099354746679206</x:v>
      </x:c>
      <x:c r="L2633" s="8" t="n">
        <x:f>'PG facts'!D101</x:f>
        <x:v>0</x:v>
      </x:c>
      <x:c r="M2633" s="8" t="n">
        <x:f>K2633-L2633</x:f>
        <x:v>2.6099354746679206</x:v>
      </x:c>
      <x:c r="N2633" s="8" t="n">
        <x:f>M2633^2</x:f>
        <x:v>6.811763181930064</x:v>
      </x:c>
      <x:c r="O2633" s="8" t="n">
        <x:f>ABS(M2633)</x:f>
        <x:v>2.6099354746679206</x:v>
      </x:c>
      <x:c r="P2633" s="7" t="n">
        <x:v>45503</x:v>
      </x:c>
    </x:row>
    <x:row r="2634" ht="26" customHeight="1">
      <x:c r="A2634" s="2"/>
      <x:c r="B2634" s="2" t="n">
        <x:v>2629</x:v>
      </x:c>
      <x:c r="C2634" s="2" t="str">
        <x:v>Baby, Feminine &amp; Family Care / price_contribution</x:v>
      </x:c>
      <x:c r="D2634" s="7" t="n">
        <x:v>45565</x:v>
      </x:c>
      <x:c r="E2634" s="2" t="str">
        <x:v>Origin</x:v>
      </x:c>
      <x:c r="F2634" s="7" t="n">
        <x:v>45474</x:v>
      </x:c>
      <x:c r="G2634" s="2" t="str">
        <x:v>Bias correction</x:v>
      </x:c>
      <x:c r="H2634" s="8" t="n">
        <x:f>K971</x:f>
        <x:v>3.962186535057427</x:v>
      </x:c>
      <x:c r="I2634" s="8" t="n">
        <x:f>AVERAGE(M888,M904,M920,M937)</x:f>
        <x:v>2.4361066845388604</x:v>
      </x:c>
      <x:c r="J2634" s="8" t="n">
        <x:v>1</x:v>
      </x:c>
      <x:c r="K2634" s="8" t="n">
        <x:f>H2634-I2634*J2634</x:f>
        <x:v>1.5260798505185664</x:v>
      </x:c>
      <x:c r="L2634" s="8" t="n">
        <x:f>'PG facts'!D108</x:f>
        <x:v>0</x:v>
      </x:c>
      <x:c r="M2634" s="8" t="n">
        <x:f>K2634-L2634</x:f>
        <x:v>1.5260798505185664</x:v>
      </x:c>
      <x:c r="N2634" s="8" t="n">
        <x:f>M2634^2</x:f>
        <x:v>2.32891971015877</x:v>
      </x:c>
      <x:c r="O2634" s="8" t="n">
        <x:f>ABS(M2634)</x:f>
        <x:v>1.5260798505185664</x:v>
      </x:c>
      <x:c r="P2634" s="7" t="n">
        <x:v>45583</x:v>
      </x:c>
    </x:row>
    <x:row r="2635" ht="26" customHeight="1">
      <x:c r="A2635" s="2"/>
      <x:c r="B2635" s="2" t="n">
        <x:v>2630</x:v>
      </x:c>
      <x:c r="C2635" s="2" t="str">
        <x:v>Baby, Feminine &amp; Family Care / price_contribution</x:v>
      </x:c>
      <x:c r="D2635" s="7" t="n">
        <x:v>45565</x:v>
      </x:c>
      <x:c r="E2635" s="2" t="str">
        <x:v>Origin</x:v>
      </x:c>
      <x:c r="F2635" s="7" t="n">
        <x:v>45474</x:v>
      </x:c>
      <x:c r="G2635" s="2" t="str">
        <x:v>Half correction</x:v>
      </x:c>
      <x:c r="H2635" s="8" t="n">
        <x:f>K971</x:f>
        <x:v>3.962186535057427</x:v>
      </x:c>
      <x:c r="I2635" s="8" t="n">
        <x:f>AVERAGE(M888,M904,M920,M937)</x:f>
        <x:v>2.4361066845388604</x:v>
      </x:c>
      <x:c r="J2635" s="8" t="n">
        <x:v>0.5</x:v>
      </x:c>
      <x:c r="K2635" s="8" t="n">
        <x:f>H2635-I2635*J2635</x:f>
        <x:v>2.744133192787997</x:v>
      </x:c>
      <x:c r="L2635" s="8" t="n">
        <x:f>'PG facts'!D108</x:f>
        <x:v>0</x:v>
      </x:c>
      <x:c r="M2635" s="8" t="n">
        <x:f>K2635-L2635</x:f>
        <x:v>2.744133192787997</x:v>
      </x:c>
      <x:c r="N2635" s="8" t="n">
        <x:f>M2635^2</x:f>
        <x:v>7.530266979760845</x:v>
      </x:c>
      <x:c r="O2635" s="8" t="n">
        <x:f>ABS(M2635)</x:f>
        <x:v>2.744133192787997</x:v>
      </x:c>
      <x:c r="P2635" s="7" t="n">
        <x:v>45583</x:v>
      </x:c>
    </x:row>
    <x:row r="2636" ht="26" customHeight="1">
      <x:c r="A2636" s="2"/>
      <x:c r="B2636" s="2" t="n">
        <x:v>2631</x:v>
      </x:c>
      <x:c r="C2636" s="2" t="str">
        <x:v>Baby, Feminine &amp; Family Care / price_contribution</x:v>
      </x:c>
      <x:c r="D2636" s="7" t="n">
        <x:v>45565</x:v>
      </x:c>
      <x:c r="E2636" s="2" t="str">
        <x:v>Prior report</x:v>
      </x:c>
      <x:c r="F2636" s="7" t="n">
        <x:v>45503</x:v>
      </x:c>
      <x:c r="G2636" s="2" t="str">
        <x:v>Bias correction</x:v>
      </x:c>
      <x:c r="H2636" s="8" t="n">
        <x:f>K976</x:f>
        <x:v>2.946072363719214</x:v>
      </x:c>
      <x:c r="I2636" s="8" t="n">
        <x:f>AVERAGE(M908,M925,M942,M959)</x:f>
        <x:v>3.1486307630085983</x:v>
      </x:c>
      <x:c r="J2636" s="8" t="n">
        <x:v>1</x:v>
      </x:c>
      <x:c r="K2636" s="8" t="n">
        <x:f>H2636-I2636*J2636</x:f>
        <x:v>-0.20255839928938446</x:v>
      </x:c>
      <x:c r="L2636" s="8" t="n">
        <x:f>'PG facts'!D108</x:f>
        <x:v>0</x:v>
      </x:c>
      <x:c r="M2636" s="8" t="n">
        <x:f>K2636-L2636</x:f>
        <x:v>-0.20255839928938446</x:v>
      </x:c>
      <x:c r="N2636" s="8" t="n">
        <x:f>M2636^2</x:f>
        <x:v>0.04102990512267771</x:v>
      </x:c>
      <x:c r="O2636" s="8" t="n">
        <x:f>ABS(M2636)</x:f>
        <x:v>0.20255839928938446</x:v>
      </x:c>
      <x:c r="P2636" s="7" t="n">
        <x:v>45583</x:v>
      </x:c>
    </x:row>
    <x:row r="2637" ht="26" customHeight="1">
      <x:c r="A2637" s="2"/>
      <x:c r="B2637" s="2" t="n">
        <x:v>2632</x:v>
      </x:c>
      <x:c r="C2637" s="2" t="str">
        <x:v>Baby, Feminine &amp; Family Care / price_contribution</x:v>
      </x:c>
      <x:c r="D2637" s="7" t="n">
        <x:v>45565</x:v>
      </x:c>
      <x:c r="E2637" s="2" t="str">
        <x:v>Prior report</x:v>
      </x:c>
      <x:c r="F2637" s="7" t="n">
        <x:v>45503</x:v>
      </x:c>
      <x:c r="G2637" s="2" t="str">
        <x:v>Half correction</x:v>
      </x:c>
      <x:c r="H2637" s="8" t="n">
        <x:f>K976</x:f>
        <x:v>2.946072363719214</x:v>
      </x:c>
      <x:c r="I2637" s="8" t="n">
        <x:f>AVERAGE(M908,M925,M942,M959)</x:f>
        <x:v>3.1486307630085983</x:v>
      </x:c>
      <x:c r="J2637" s="8" t="n">
        <x:v>0.5</x:v>
      </x:c>
      <x:c r="K2637" s="8" t="n">
        <x:f>H2637-I2637*J2637</x:f>
        <x:v>1.3717569822149147</x:v>
      </x:c>
      <x:c r="L2637" s="8" t="n">
        <x:f>'PG facts'!D108</x:f>
        <x:v>0</x:v>
      </x:c>
      <x:c r="M2637" s="8" t="n">
        <x:f>K2637-L2637</x:f>
        <x:v>1.3717569822149147</x:v>
      </x:c>
      <x:c r="N2637" s="8" t="n">
        <x:f>M2637^2</x:f>
        <x:v>1.8817172182553699</x:v>
      </x:c>
      <x:c r="O2637" s="8" t="n">
        <x:f>ABS(M2637)</x:f>
        <x:v>1.3717569822149147</x:v>
      </x:c>
      <x:c r="P2637" s="7" t="n">
        <x:v>45583</x:v>
      </x:c>
    </x:row>
    <x:row r="2638" ht="26" customHeight="1">
      <x:c r="A2638" s="2"/>
      <x:c r="B2638" s="2" t="n">
        <x:v>2633</x:v>
      </x:c>
      <x:c r="C2638" s="2" t="str">
        <x:v>Baby, Feminine &amp; Family Care / price_contribution</x:v>
      </x:c>
      <x:c r="D2638" s="7" t="n">
        <x:v>45565</x:v>
      </x:c>
      <x:c r="E2638" s="2" t="str">
        <x:v>Pre-earnings</x:v>
      </x:c>
      <x:c r="F2638" s="7" t="n">
        <x:v>45582</x:v>
      </x:c>
      <x:c r="G2638" s="2" t="str">
        <x:v>Bias correction</x:v>
      </x:c>
      <x:c r="H2638" s="8" t="n">
        <x:f>K982</x:f>
        <x:v>1.7214828501238852</x:v>
      </x:c>
      <x:c r="I2638" s="8" t="n">
        <x:f>AVERAGE(M914,M931,M948,M965)</x:f>
        <x:v>1.909129901049131</x:v>
      </x:c>
      <x:c r="J2638" s="8" t="n">
        <x:v>1</x:v>
      </x:c>
      <x:c r="K2638" s="8" t="n">
        <x:f>H2638-I2638*J2638</x:f>
        <x:v>-0.1876470509252457</x:v>
      </x:c>
      <x:c r="L2638" s="8" t="n">
        <x:f>'PG facts'!D108</x:f>
        <x:v>0</x:v>
      </x:c>
      <x:c r="M2638" s="8" t="n">
        <x:f>K2638-L2638</x:f>
        <x:v>-0.1876470509252457</x:v>
      </x:c>
      <x:c r="N2638" s="8" t="n">
        <x:f>M2638^2</x:f>
        <x:v>0.035211415720941754</x:v>
      </x:c>
      <x:c r="O2638" s="8" t="n">
        <x:f>ABS(M2638)</x:f>
        <x:v>0.1876470509252457</x:v>
      </x:c>
      <x:c r="P2638" s="7" t="n">
        <x:v>45583</x:v>
      </x:c>
    </x:row>
    <x:row r="2639" ht="26" customHeight="1">
      <x:c r="A2639" s="2"/>
      <x:c r="B2639" s="2" t="n">
        <x:v>2634</x:v>
      </x:c>
      <x:c r="C2639" s="2" t="str">
        <x:v>Baby, Feminine &amp; Family Care / price_contribution</x:v>
      </x:c>
      <x:c r="D2639" s="7" t="n">
        <x:v>45565</x:v>
      </x:c>
      <x:c r="E2639" s="2" t="str">
        <x:v>Pre-earnings</x:v>
      </x:c>
      <x:c r="F2639" s="7" t="n">
        <x:v>45582</x:v>
      </x:c>
      <x:c r="G2639" s="2" t="str">
        <x:v>Half correction</x:v>
      </x:c>
      <x:c r="H2639" s="8" t="n">
        <x:f>K982</x:f>
        <x:v>1.7214828501238852</x:v>
      </x:c>
      <x:c r="I2639" s="8" t="n">
        <x:f>AVERAGE(M914,M931,M948,M965)</x:f>
        <x:v>1.909129901049131</x:v>
      </x:c>
      <x:c r="J2639" s="8" t="n">
        <x:v>0.5</x:v>
      </x:c>
      <x:c r="K2639" s="8" t="n">
        <x:f>H2639-I2639*J2639</x:f>
        <x:v>0.7669178995993198</x:v>
      </x:c>
      <x:c r="L2639" s="8" t="n">
        <x:f>'PG facts'!D108</x:f>
        <x:v>0</x:v>
      </x:c>
      <x:c r="M2639" s="8" t="n">
        <x:f>K2639-L2639</x:f>
        <x:v>0.7669178995993198</x:v>
      </x:c>
      <x:c r="N2639" s="8" t="n">
        <x:f>M2639^2</x:f>
        <x:v>0.5881630647258324</x:v>
      </x:c>
      <x:c r="O2639" s="8" t="n">
        <x:f>ABS(M2639)</x:f>
        <x:v>0.7669178995993198</x:v>
      </x:c>
      <x:c r="P2639" s="7" t="n">
        <x:v>45583</x:v>
      </x:c>
    </x:row>
    <x:row r="2640" ht="26" customHeight="1">
      <x:c r="A2640" s="2"/>
      <x:c r="B2640" s="2" t="n">
        <x:v>2635</x:v>
      </x:c>
      <x:c r="C2640" s="2" t="str">
        <x:v>Baby, Feminine &amp; Family Care / price_contribution</x:v>
      </x:c>
      <x:c r="D2640" s="7" t="n">
        <x:v>45657</x:v>
      </x:c>
      <x:c r="E2640" s="2" t="str">
        <x:v>Origin</x:v>
      </x:c>
      <x:c r="F2640" s="7" t="n">
        <x:v>45566</x:v>
      </x:c>
      <x:c r="G2640" s="2" t="str">
        <x:v>Bias correction</x:v>
      </x:c>
      <x:c r="H2640" s="8" t="n">
        <x:f>K988</x:f>
        <x:v>2.006497605326928</x:v>
      </x:c>
      <x:c r="I2640" s="8" t="n">
        <x:f>AVERAGE(M904,M920,M937,M954)</x:f>
        <x:v>3.510785017524822</x:v>
      </x:c>
      <x:c r="J2640" s="8" t="n">
        <x:v>1</x:v>
      </x:c>
      <x:c r="K2640" s="8" t="n">
        <x:f>H2640-I2640*J2640</x:f>
        <x:v>-1.5042874121978937</x:v>
      </x:c>
      <x:c r="L2640" s="8" t="n">
        <x:f>'PG facts'!D115</x:f>
        <x:v>-1</x:v>
      </x:c>
      <x:c r="M2640" s="8" t="n">
        <x:f>K2640-L2640</x:f>
        <x:v>-0.5042874121978937</x:v>
      </x:c>
      <x:c r="N2640" s="8" t="n">
        <x:f>M2640^2</x:f>
        <x:v>0.2543057941012484</x:v>
      </x:c>
      <x:c r="O2640" s="8" t="n">
        <x:f>ABS(M2640)</x:f>
        <x:v>0.5042874121978937</x:v>
      </x:c>
      <x:c r="P2640" s="7" t="n">
        <x:v>45679</x:v>
      </x:c>
    </x:row>
    <x:row r="2641" ht="26" customHeight="1">
      <x:c r="A2641" s="2"/>
      <x:c r="B2641" s="2" t="n">
        <x:v>2636</x:v>
      </x:c>
      <x:c r="C2641" s="2" t="str">
        <x:v>Baby, Feminine &amp; Family Care / price_contribution</x:v>
      </x:c>
      <x:c r="D2641" s="7" t="n">
        <x:v>45657</x:v>
      </x:c>
      <x:c r="E2641" s="2" t="str">
        <x:v>Origin</x:v>
      </x:c>
      <x:c r="F2641" s="7" t="n">
        <x:v>45566</x:v>
      </x:c>
      <x:c r="G2641" s="2" t="str">
        <x:v>Half correction</x:v>
      </x:c>
      <x:c r="H2641" s="8" t="n">
        <x:f>K988</x:f>
        <x:v>2.006497605326928</x:v>
      </x:c>
      <x:c r="I2641" s="8" t="n">
        <x:f>AVERAGE(M904,M920,M937,M954)</x:f>
        <x:v>3.510785017524822</x:v>
      </x:c>
      <x:c r="J2641" s="8" t="n">
        <x:v>0.5</x:v>
      </x:c>
      <x:c r="K2641" s="8" t="n">
        <x:f>H2641-I2641*J2641</x:f>
        <x:v>0.2511050965645172</x:v>
      </x:c>
      <x:c r="L2641" s="8" t="n">
        <x:f>'PG facts'!D115</x:f>
        <x:v>-1</x:v>
      </x:c>
      <x:c r="M2641" s="8" t="n">
        <x:f>K2641-L2641</x:f>
        <x:v>1.2511050965645172</x:v>
      </x:c>
      <x:c r="N2641" s="8" t="n">
        <x:f>M2641^2</x:f>
        <x:v>1.5652639626497098</x:v>
      </x:c>
      <x:c r="O2641" s="8" t="n">
        <x:f>ABS(M2641)</x:f>
        <x:v>1.2511050965645172</x:v>
      </x:c>
      <x:c r="P2641" s="7" t="n">
        <x:v>45679</x:v>
      </x:c>
    </x:row>
    <x:row r="2642" ht="26" customHeight="1">
      <x:c r="A2642" s="2"/>
      <x:c r="B2642" s="2" t="n">
        <x:v>2637</x:v>
      </x:c>
      <x:c r="C2642" s="2" t="str">
        <x:v>Baby, Feminine &amp; Family Care / price_contribution</x:v>
      </x:c>
      <x:c r="D2642" s="7" t="n">
        <x:v>45657</x:v>
      </x:c>
      <x:c r="E2642" s="2" t="str">
        <x:v>Prior report</x:v>
      </x:c>
      <x:c r="F2642" s="7" t="n">
        <x:v>45583</x:v>
      </x:c>
      <x:c r="G2642" s="2" t="str">
        <x:v>Bias correction</x:v>
      </x:c>
      <x:c r="H2642" s="8" t="n">
        <x:f>K993</x:f>
        <x:v>1.5058961425794612</x:v>
      </x:c>
      <x:c r="I2642" s="8" t="n">
        <x:f>AVERAGE(M925,M942,M959,M976)</x:f>
        <x:v>3.757658599296791</x:v>
      </x:c>
      <x:c r="J2642" s="8" t="n">
        <x:v>1</x:v>
      </x:c>
      <x:c r="K2642" s="8" t="n">
        <x:f>H2642-I2642*J2642</x:f>
        <x:v>-2.25176245671733</x:v>
      </x:c>
      <x:c r="L2642" s="8" t="n">
        <x:f>'PG facts'!D115</x:f>
        <x:v>-1</x:v>
      </x:c>
      <x:c r="M2642" s="8" t="n">
        <x:f>K2642-L2642</x:f>
        <x:v>-1.25176245671733</x:v>
      </x:c>
      <x:c r="N2642" s="8" t="n">
        <x:f>M2642^2</x:f>
        <x:v>1.5669092480470055</x:v>
      </x:c>
      <x:c r="O2642" s="8" t="n">
        <x:f>ABS(M2642)</x:f>
        <x:v>1.25176245671733</x:v>
      </x:c>
      <x:c r="P2642" s="7" t="n">
        <x:v>45679</x:v>
      </x:c>
    </x:row>
    <x:row r="2643" ht="26" customHeight="1">
      <x:c r="A2643" s="2"/>
      <x:c r="B2643" s="2" t="n">
        <x:v>2638</x:v>
      </x:c>
      <x:c r="C2643" s="2" t="str">
        <x:v>Baby, Feminine &amp; Family Care / price_contribution</x:v>
      </x:c>
      <x:c r="D2643" s="7" t="n">
        <x:v>45657</x:v>
      </x:c>
      <x:c r="E2643" s="2" t="str">
        <x:v>Prior report</x:v>
      </x:c>
      <x:c r="F2643" s="7" t="n">
        <x:v>45583</x:v>
      </x:c>
      <x:c r="G2643" s="2" t="str">
        <x:v>Half correction</x:v>
      </x:c>
      <x:c r="H2643" s="8" t="n">
        <x:f>K993</x:f>
        <x:v>1.5058961425794612</x:v>
      </x:c>
      <x:c r="I2643" s="8" t="n">
        <x:f>AVERAGE(M925,M942,M959,M976)</x:f>
        <x:v>3.757658599296791</x:v>
      </x:c>
      <x:c r="J2643" s="8" t="n">
        <x:v>0.5</x:v>
      </x:c>
      <x:c r="K2643" s="8" t="n">
        <x:f>H2643-I2643*J2643</x:f>
        <x:v>-0.37293315706893426</x:v>
      </x:c>
      <x:c r="L2643" s="8" t="n">
        <x:f>'PG facts'!D115</x:f>
        <x:v>-1</x:v>
      </x:c>
      <x:c r="M2643" s="8" t="n">
        <x:f>K2643-L2643</x:f>
        <x:v>0.6270668429310657</x:v>
      </x:c>
      <x:c r="N2643" s="8" t="n">
        <x:f>M2643^2</x:f>
        <x:v>0.39321282550353387</x:v>
      </x:c>
      <x:c r="O2643" s="8" t="n">
        <x:f>ABS(M2643)</x:f>
        <x:v>0.6270668429310657</x:v>
      </x:c>
      <x:c r="P2643" s="7" t="n">
        <x:v>45679</x:v>
      </x:c>
    </x:row>
    <x:row r="2644" ht="26" customHeight="1">
      <x:c r="A2644" s="2"/>
      <x:c r="B2644" s="2" t="n">
        <x:v>2639</x:v>
      </x:c>
      <x:c r="C2644" s="2" t="str">
        <x:v>Baby, Feminine &amp; Family Care / price_contribution</x:v>
      </x:c>
      <x:c r="D2644" s="7" t="n">
        <x:v>45657</x:v>
      </x:c>
      <x:c r="E2644" s="2" t="str">
        <x:v>Pre-earnings</x:v>
      </x:c>
      <x:c r="F2644" s="7" t="n">
        <x:v>45678</x:v>
      </x:c>
      <x:c r="G2644" s="2" t="str">
        <x:v>Bias correction</x:v>
      </x:c>
      <x:c r="H2644" s="8" t="n">
        <x:f>K999</x:f>
        <x:v>1.4732313129469166</x:v>
      </x:c>
      <x:c r="I2644" s="8" t="n">
        <x:f>AVERAGE(M931,M948,M965,M982)</x:f>
        <x:v>2.5695846428431612</x:v>
      </x:c>
      <x:c r="J2644" s="8" t="n">
        <x:v>1</x:v>
      </x:c>
      <x:c r="K2644" s="8" t="n">
        <x:f>H2644-I2644*J2644</x:f>
        <x:v>-1.0963533298962447</x:v>
      </x:c>
      <x:c r="L2644" s="8" t="n">
        <x:f>'PG facts'!D115</x:f>
        <x:v>-1</x:v>
      </x:c>
      <x:c r="M2644" s="8" t="n">
        <x:f>K2644-L2644</x:f>
        <x:v>-0.09635332989624468</x:v>
      </x:c>
      <x:c r="N2644" s="8" t="n">
        <x:f>M2644^2</x:f>
        <x:v>0.009283964182094559</x:v>
      </x:c>
      <x:c r="O2644" s="8" t="n">
        <x:f>ABS(M2644)</x:f>
        <x:v>0.09635332989624468</x:v>
      </x:c>
      <x:c r="P2644" s="7" t="n">
        <x:v>45679</x:v>
      </x:c>
    </x:row>
    <x:row r="2645" ht="26" customHeight="1">
      <x:c r="A2645" s="2"/>
      <x:c r="B2645" s="2" t="n">
        <x:v>2640</x:v>
      </x:c>
      <x:c r="C2645" s="2" t="str">
        <x:v>Baby, Feminine &amp; Family Care / price_contribution</x:v>
      </x:c>
      <x:c r="D2645" s="7" t="n">
        <x:v>45657</x:v>
      </x:c>
      <x:c r="E2645" s="2" t="str">
        <x:v>Pre-earnings</x:v>
      </x:c>
      <x:c r="F2645" s="7" t="n">
        <x:v>45678</x:v>
      </x:c>
      <x:c r="G2645" s="2" t="str">
        <x:v>Half correction</x:v>
      </x:c>
      <x:c r="H2645" s="8" t="n">
        <x:f>K999</x:f>
        <x:v>1.4732313129469166</x:v>
      </x:c>
      <x:c r="I2645" s="8" t="n">
        <x:f>AVERAGE(M931,M948,M965,M982)</x:f>
        <x:v>2.5695846428431612</x:v>
      </x:c>
      <x:c r="J2645" s="8" t="n">
        <x:v>0.5</x:v>
      </x:c>
      <x:c r="K2645" s="8" t="n">
        <x:f>H2645-I2645*J2645</x:f>
        <x:v>0.18843899152533594</x:v>
      </x:c>
      <x:c r="L2645" s="8" t="n">
        <x:f>'PG facts'!D115</x:f>
        <x:v>-1</x:v>
      </x:c>
      <x:c r="M2645" s="8" t="n">
        <x:f>K2645-L2645</x:f>
        <x:v>1.188438991525336</x:v>
      </x:c>
      <x:c r="N2645" s="8" t="n">
        <x:f>M2645^2</x:f>
        <x:v>1.4123872365777574</x:v>
      </x:c>
      <x:c r="O2645" s="8" t="n">
        <x:f>ABS(M2645)</x:f>
        <x:v>1.188438991525336</x:v>
      </x:c>
      <x:c r="P2645" s="7" t="n">
        <x:v>45679</x:v>
      </x:c>
    </x:row>
    <x:row r="2646" ht="26" customHeight="1">
      <x:c r="A2646" s="2"/>
      <x:c r="B2646" s="2" t="n">
        <x:v>2641</x:v>
      </x:c>
      <x:c r="C2646" s="2" t="str">
        <x:v>Baby, Feminine &amp; Family Care / price_contribution</x:v>
      </x:c>
      <x:c r="D2646" s="7" t="n">
        <x:v>45747</x:v>
      </x:c>
      <x:c r="E2646" s="2" t="str">
        <x:v>Origin</x:v>
      </x:c>
      <x:c r="F2646" s="7" t="n">
        <x:v>45658</x:v>
      </x:c>
      <x:c r="G2646" s="2" t="str">
        <x:v>Bias correction</x:v>
      </x:c>
      <x:c r="H2646" s="8" t="n">
        <x:f>K1005</x:f>
        <x:v>1.3504379851446702</x:v>
      </x:c>
      <x:c r="I2646" s="8" t="n">
        <x:f>AVERAGE(M920,M937,M954,M971)</x:f>
        <x:v>4.363253747728425</x:v>
      </x:c>
      <x:c r="J2646" s="8" t="n">
        <x:v>1</x:v>
      </x:c>
      <x:c r="K2646" s="8" t="n">
        <x:f>H2646-I2646*J2646</x:f>
        <x:v>-3.012815762583755</x:v>
      </x:c>
      <x:c r="L2646" s="8" t="n">
        <x:f>'PG facts'!D122</x:f>
        <x:v>0</x:v>
      </x:c>
      <x:c r="M2646" s="8" t="n">
        <x:f>K2646-L2646</x:f>
        <x:v>-3.012815762583755</x:v>
      </x:c>
      <x:c r="N2646" s="8" t="n">
        <x:f>M2646^2</x:f>
        <x:v>9.077058819273134</x:v>
      </x:c>
      <x:c r="O2646" s="8" t="n">
        <x:f>ABS(M2646)</x:f>
        <x:v>3.012815762583755</x:v>
      </x:c>
      <x:c r="P2646" s="7" t="n">
        <x:v>45771</x:v>
      </x:c>
    </x:row>
    <x:row r="2647" ht="26" customHeight="1">
      <x:c r="A2647" s="2"/>
      <x:c r="B2647" s="2" t="n">
        <x:v>2642</x:v>
      </x:c>
      <x:c r="C2647" s="2" t="str">
        <x:v>Baby, Feminine &amp; Family Care / price_contribution</x:v>
      </x:c>
      <x:c r="D2647" s="7" t="n">
        <x:v>45747</x:v>
      </x:c>
      <x:c r="E2647" s="2" t="str">
        <x:v>Origin</x:v>
      </x:c>
      <x:c r="F2647" s="7" t="n">
        <x:v>45658</x:v>
      </x:c>
      <x:c r="G2647" s="2" t="str">
        <x:v>Half correction</x:v>
      </x:c>
      <x:c r="H2647" s="8" t="n">
        <x:f>K1005</x:f>
        <x:v>1.3504379851446702</x:v>
      </x:c>
      <x:c r="I2647" s="8" t="n">
        <x:f>AVERAGE(M920,M937,M954,M971)</x:f>
        <x:v>4.363253747728425</x:v>
      </x:c>
      <x:c r="J2647" s="8" t="n">
        <x:v>0.5</x:v>
      </x:c>
      <x:c r="K2647" s="8" t="n">
        <x:f>H2647-I2647*J2647</x:f>
        <x:v>-0.8311888887195424</x:v>
      </x:c>
      <x:c r="L2647" s="8" t="n">
        <x:f>'PG facts'!D122</x:f>
        <x:v>0</x:v>
      </x:c>
      <x:c r="M2647" s="8" t="n">
        <x:f>K2647-L2647</x:f>
        <x:v>-0.8311888887195424</x:v>
      </x:c>
      <x:c r="N2647" s="8" t="n">
        <x:f>M2647^2</x:f>
        <x:v>0.6908749687308279</x:v>
      </x:c>
      <x:c r="O2647" s="8" t="n">
        <x:f>ABS(M2647)</x:f>
        <x:v>0.8311888887195424</x:v>
      </x:c>
      <x:c r="P2647" s="7" t="n">
        <x:v>45771</x:v>
      </x:c>
    </x:row>
    <x:row r="2648" ht="26" customHeight="1">
      <x:c r="A2648" s="2"/>
      <x:c r="B2648" s="2" t="n">
        <x:v>2643</x:v>
      </x:c>
      <x:c r="C2648" s="2" t="str">
        <x:v>Baby, Feminine &amp; Family Care / price_contribution</x:v>
      </x:c>
      <x:c r="D2648" s="7" t="n">
        <x:v>45747</x:v>
      </x:c>
      <x:c r="E2648" s="2" t="str">
        <x:v>Prior report</x:v>
      </x:c>
      <x:c r="F2648" s="7" t="n">
        <x:v>45679</x:v>
      </x:c>
      <x:c r="G2648" s="2" t="str">
        <x:v>Bias correction</x:v>
      </x:c>
      <x:c r="H2648" s="8" t="n">
        <x:f>K1010</x:f>
        <x:v>1.1957019513729714</x:v>
      </x:c>
      <x:c r="I2648" s="8" t="n">
        <x:f>AVERAGE(M942,M959,M976,M993)</x:f>
        <x:v>3.5812544688219954</x:v>
      </x:c>
      <x:c r="J2648" s="8" t="n">
        <x:v>1</x:v>
      </x:c>
      <x:c r="K2648" s="8" t="n">
        <x:f>H2648-I2648*J2648</x:f>
        <x:v>-2.3855525174490237</x:v>
      </x:c>
      <x:c r="L2648" s="8" t="n">
        <x:f>'PG facts'!D122</x:f>
        <x:v>0</x:v>
      </x:c>
      <x:c r="M2648" s="8" t="n">
        <x:f>K2648-L2648</x:f>
        <x:v>-2.3855525174490237</x:v>
      </x:c>
      <x:c r="N2648" s="8" t="n">
        <x:f>M2648^2</x:f>
        <x:v>5.690860813507375</x:v>
      </x:c>
      <x:c r="O2648" s="8" t="n">
        <x:f>ABS(M2648)</x:f>
        <x:v>2.3855525174490237</x:v>
      </x:c>
      <x:c r="P2648" s="7" t="n">
        <x:v>45771</x:v>
      </x:c>
    </x:row>
    <x:row r="2649" ht="26" customHeight="1">
      <x:c r="A2649" s="2"/>
      <x:c r="B2649" s="2" t="n">
        <x:v>2644</x:v>
      </x:c>
      <x:c r="C2649" s="2" t="str">
        <x:v>Baby, Feminine &amp; Family Care / price_contribution</x:v>
      </x:c>
      <x:c r="D2649" s="7" t="n">
        <x:v>45747</x:v>
      </x:c>
      <x:c r="E2649" s="2" t="str">
        <x:v>Prior report</x:v>
      </x:c>
      <x:c r="F2649" s="7" t="n">
        <x:v>45679</x:v>
      </x:c>
      <x:c r="G2649" s="2" t="str">
        <x:v>Half correction</x:v>
      </x:c>
      <x:c r="H2649" s="8" t="n">
        <x:f>K1010</x:f>
        <x:v>1.1957019513729714</x:v>
      </x:c>
      <x:c r="I2649" s="8" t="n">
        <x:f>AVERAGE(M942,M959,M976,M993)</x:f>
        <x:v>3.5812544688219954</x:v>
      </x:c>
      <x:c r="J2649" s="8" t="n">
        <x:v>0.5</x:v>
      </x:c>
      <x:c r="K2649" s="8" t="n">
        <x:f>H2649-I2649*J2649</x:f>
        <x:v>-0.5949252830380263</x:v>
      </x:c>
      <x:c r="L2649" s="8" t="n">
        <x:f>'PG facts'!D122</x:f>
        <x:v>0</x:v>
      </x:c>
      <x:c r="M2649" s="8" t="n">
        <x:f>K2649-L2649</x:f>
        <x:v>-0.5949252830380263</x:v>
      </x:c>
      <x:c r="N2649" s="8" t="n">
        <x:f>M2649^2</x:f>
        <x:v>0.35393609239787566</x:v>
      </x:c>
      <x:c r="O2649" s="8" t="n">
        <x:f>ABS(M2649)</x:f>
        <x:v>0.5949252830380263</x:v>
      </x:c>
      <x:c r="P2649" s="7" t="n">
        <x:v>45771</x:v>
      </x:c>
    </x:row>
    <x:row r="2650" ht="26" customHeight="1">
      <x:c r="A2650" s="2"/>
      <x:c r="B2650" s="2" t="n">
        <x:v>2645</x:v>
      </x:c>
      <x:c r="C2650" s="2" t="str">
        <x:v>Baby, Feminine &amp; Family Care / price_contribution</x:v>
      </x:c>
      <x:c r="D2650" s="7" t="n">
        <x:v>45747</x:v>
      </x:c>
      <x:c r="E2650" s="2" t="str">
        <x:v>Pre-earnings</x:v>
      </x:c>
      <x:c r="F2650" s="7" t="n">
        <x:v>45770</x:v>
      </x:c>
      <x:c r="G2650" s="2" t="str">
        <x:v>Bias correction</x:v>
      </x:c>
      <x:c r="H2650" s="8" t="n">
        <x:f>K1016</x:f>
        <x:v>1.0849530995501762</x:v>
      </x:c>
      <x:c r="I2650" s="8" t="n">
        <x:f>AVERAGE(M948,M965,M982,M999)</x:f>
        <x:v>2.6851513249404393</x:v>
      </x:c>
      <x:c r="J2650" s="8" t="n">
        <x:v>1</x:v>
      </x:c>
      <x:c r="K2650" s="8" t="n">
        <x:f>H2650-I2650*J2650</x:f>
        <x:v>-1.6001982253902631</x:v>
      </x:c>
      <x:c r="L2650" s="8" t="n">
        <x:f>'PG facts'!D122</x:f>
        <x:v>0</x:v>
      </x:c>
      <x:c r="M2650" s="8" t="n">
        <x:f>K2650-L2650</x:f>
        <x:v>-1.6001982253902631</x:v>
      </x:c>
      <x:c r="N2650" s="8" t="n">
        <x:f>M2650^2</x:f>
        <x:v>2.5606343605421475</x:v>
      </x:c>
      <x:c r="O2650" s="8" t="n">
        <x:f>ABS(M2650)</x:f>
        <x:v>1.6001982253902631</x:v>
      </x:c>
      <x:c r="P2650" s="7" t="n">
        <x:v>45771</x:v>
      </x:c>
    </x:row>
    <x:row r="2651" ht="26" customHeight="1">
      <x:c r="A2651" s="2"/>
      <x:c r="B2651" s="2" t="n">
        <x:v>2646</x:v>
      </x:c>
      <x:c r="C2651" s="2" t="str">
        <x:v>Baby, Feminine &amp; Family Care / price_contribution</x:v>
      </x:c>
      <x:c r="D2651" s="7" t="n">
        <x:v>45747</x:v>
      </x:c>
      <x:c r="E2651" s="2" t="str">
        <x:v>Pre-earnings</x:v>
      </x:c>
      <x:c r="F2651" s="7" t="n">
        <x:v>45770</x:v>
      </x:c>
      <x:c r="G2651" s="2" t="str">
        <x:v>Half correction</x:v>
      </x:c>
      <x:c r="H2651" s="8" t="n">
        <x:f>K1016</x:f>
        <x:v>1.0849530995501762</x:v>
      </x:c>
      <x:c r="I2651" s="8" t="n">
        <x:f>AVERAGE(M948,M965,M982,M999)</x:f>
        <x:v>2.6851513249404393</x:v>
      </x:c>
      <x:c r="J2651" s="8" t="n">
        <x:v>0.5</x:v>
      </x:c>
      <x:c r="K2651" s="8" t="n">
        <x:f>H2651-I2651*J2651</x:f>
        <x:v>-0.2576225629200435</x:v>
      </x:c>
      <x:c r="L2651" s="8" t="n">
        <x:f>'PG facts'!D122</x:f>
        <x:v>0</x:v>
      </x:c>
      <x:c r="M2651" s="8" t="n">
        <x:f>K2651-L2651</x:f>
        <x:v>-0.2576225629200435</x:v>
      </x:c>
      <x:c r="N2651" s="8" t="n">
        <x:f>M2651^2</x:f>
        <x:v>0.06636938492549177</x:v>
      </x:c>
      <x:c r="O2651" s="8" t="n">
        <x:f>ABS(M2651)</x:f>
        <x:v>0.2576225629200435</x:v>
      </x:c>
      <x:c r="P2651" s="7" t="n">
        <x:v>45771</x:v>
      </x:c>
    </x:row>
    <x:row r="2652" ht="26" customHeight="1">
      <x:c r="A2652" s="2"/>
      <x:c r="B2652" s="2" t="n">
        <x:v>2647</x:v>
      </x:c>
      <x:c r="C2652" s="2" t="str">
        <x:v>Baby, Feminine &amp; Family Care / price_contribution</x:v>
      </x:c>
      <x:c r="D2652" s="7" t="n">
        <x:v>45838</x:v>
      </x:c>
      <x:c r="E2652" s="2" t="str">
        <x:v>Origin</x:v>
      </x:c>
      <x:c r="F2652" s="7" t="n">
        <x:v>45748</x:v>
      </x:c>
      <x:c r="G2652" s="2" t="str">
        <x:v>Bias correction</x:v>
      </x:c>
      <x:c r="H2652" s="8" t="n">
        <x:f>K1022</x:f>
        <x:v>1.2578658452121356</x:v>
      </x:c>
      <x:c r="I2652" s="8" t="n">
        <x:f>AVERAGE(M937,M954,M971,M988)</x:f>
        <x:v>4.2029012547273314</x:v>
      </x:c>
      <x:c r="J2652" s="8" t="n">
        <x:v>1</x:v>
      </x:c>
      <x:c r="K2652" s="8" t="n">
        <x:f>H2652-I2652*J2652</x:f>
        <x:v>-2.945035409515196</x:v>
      </x:c>
      <x:c r="L2652" s="8" t="n">
        <x:f>'PG facts'!D129</x:f>
        <x:v>1</x:v>
      </x:c>
      <x:c r="M2652" s="8" t="n">
        <x:f>K2652-L2652</x:f>
        <x:v>-3.945035409515196</x:v>
      </x:c>
      <x:c r="N2652" s="8" t="n">
        <x:f>M2652^2</x:f>
        <x:v>15.56330438232873</x:v>
      </x:c>
      <x:c r="O2652" s="8" t="n">
        <x:f>ABS(M2652)</x:f>
        <x:v>3.945035409515196</x:v>
      </x:c>
      <x:c r="P2652" s="7" t="n">
        <x:v>45867</x:v>
      </x:c>
    </x:row>
    <x:row r="2653" ht="26" customHeight="1">
      <x:c r="A2653" s="2"/>
      <x:c r="B2653" s="2" t="n">
        <x:v>2648</x:v>
      </x:c>
      <x:c r="C2653" s="2" t="str">
        <x:v>Baby, Feminine &amp; Family Care / price_contribution</x:v>
      </x:c>
      <x:c r="D2653" s="7" t="n">
        <x:v>45838</x:v>
      </x:c>
      <x:c r="E2653" s="2" t="str">
        <x:v>Origin</x:v>
      </x:c>
      <x:c r="F2653" s="7" t="n">
        <x:v>45748</x:v>
      </x:c>
      <x:c r="G2653" s="2" t="str">
        <x:v>Half correction</x:v>
      </x:c>
      <x:c r="H2653" s="8" t="n">
        <x:f>K1022</x:f>
        <x:v>1.2578658452121356</x:v>
      </x:c>
      <x:c r="I2653" s="8" t="n">
        <x:f>AVERAGE(M937,M954,M971,M988)</x:f>
        <x:v>4.2029012547273314</x:v>
      </x:c>
      <x:c r="J2653" s="8" t="n">
        <x:v>0.5</x:v>
      </x:c>
      <x:c r="K2653" s="8" t="n">
        <x:f>H2653-I2653*J2653</x:f>
        <x:v>-0.8435847821515301</x:v>
      </x:c>
      <x:c r="L2653" s="8" t="n">
        <x:f>'PG facts'!D129</x:f>
        <x:v>1</x:v>
      </x:c>
      <x:c r="M2653" s="8" t="n">
        <x:f>K2653-L2653</x:f>
        <x:v>-1.84358478215153</x:v>
      </x:c>
      <x:c r="N2653" s="8" t="n">
        <x:f>M2653^2</x:f>
        <x:v>3.3988048489807046</x:v>
      </x:c>
      <x:c r="O2653" s="8" t="n">
        <x:f>ABS(M2653)</x:f>
        <x:v>1.84358478215153</x:v>
      </x:c>
      <x:c r="P2653" s="7" t="n">
        <x:v>45867</x:v>
      </x:c>
    </x:row>
    <x:row r="2654" ht="26" customHeight="1">
      <x:c r="A2654" s="2"/>
      <x:c r="B2654" s="2" t="n">
        <x:v>2649</x:v>
      </x:c>
      <x:c r="C2654" s="2" t="str">
        <x:v>Baby, Feminine &amp; Family Care / price_contribution</x:v>
      </x:c>
      <x:c r="D2654" s="7" t="n">
        <x:v>45838</x:v>
      </x:c>
      <x:c r="E2654" s="2" t="str">
        <x:v>Prior report</x:v>
      </x:c>
      <x:c r="F2654" s="7" t="n">
        <x:v>45771</x:v>
      </x:c>
      <x:c r="G2654" s="2" t="str">
        <x:v>Bias correction</x:v>
      </x:c>
      <x:c r="H2654" s="8" t="n">
        <x:f>K1027</x:f>
        <x:v>0.9720112239598018</x:v>
      </x:c>
      <x:c r="I2654" s="8" t="n">
        <x:f>AVERAGE(M959,M976,M993,M1010)</x:f>
        <x:v>2.9230389854706402</x:v>
      </x:c>
      <x:c r="J2654" s="8" t="n">
        <x:v>1</x:v>
      </x:c>
      <x:c r="K2654" s="8" t="n">
        <x:f>H2654-I2654*J2654</x:f>
        <x:v>-1.9510277615108385</x:v>
      </x:c>
      <x:c r="L2654" s="8" t="n">
        <x:f>'PG facts'!D129</x:f>
        <x:v>1</x:v>
      </x:c>
      <x:c r="M2654" s="8" t="n">
        <x:f>K2654-L2654</x:f>
        <x:v>-2.9510277615108382</x:v>
      </x:c>
      <x:c r="N2654" s="8" t="n">
        <x:f>M2654^2</x:f>
        <x:v>8.708564849207669</x:v>
      </x:c>
      <x:c r="O2654" s="8" t="n">
        <x:f>ABS(M2654)</x:f>
        <x:v>2.9510277615108382</x:v>
      </x:c>
      <x:c r="P2654" s="7" t="n">
        <x:v>45867</x:v>
      </x:c>
    </x:row>
    <x:row r="2655" ht="26" customHeight="1">
      <x:c r="A2655" s="2"/>
      <x:c r="B2655" s="2" t="n">
        <x:v>2650</x:v>
      </x:c>
      <x:c r="C2655" s="2" t="str">
        <x:v>Baby, Feminine &amp; Family Care / price_contribution</x:v>
      </x:c>
      <x:c r="D2655" s="7" t="n">
        <x:v>45838</x:v>
      </x:c>
      <x:c r="E2655" s="2" t="str">
        <x:v>Prior report</x:v>
      </x:c>
      <x:c r="F2655" s="7" t="n">
        <x:v>45771</x:v>
      </x:c>
      <x:c r="G2655" s="2" t="str">
        <x:v>Half correction</x:v>
      </x:c>
      <x:c r="H2655" s="8" t="n">
        <x:f>K1027</x:f>
        <x:v>0.9720112239598018</x:v>
      </x:c>
      <x:c r="I2655" s="8" t="n">
        <x:f>AVERAGE(M959,M976,M993,M1010)</x:f>
        <x:v>2.9230389854706402</x:v>
      </x:c>
      <x:c r="J2655" s="8" t="n">
        <x:v>0.5</x:v>
      </x:c>
      <x:c r="K2655" s="8" t="n">
        <x:f>H2655-I2655*J2655</x:f>
        <x:v>-0.48950826877551834</x:v>
      </x:c>
      <x:c r="L2655" s="8" t="n">
        <x:f>'PG facts'!D129</x:f>
        <x:v>1</x:v>
      </x:c>
      <x:c r="M2655" s="8" t="n">
        <x:f>K2655-L2655</x:f>
        <x:v>-1.4895082687755183</x:v>
      </x:c>
      <x:c r="N2655" s="8" t="n">
        <x:f>M2655^2</x:f>
        <x:v>2.2186348827506417</x:v>
      </x:c>
      <x:c r="O2655" s="8" t="n">
        <x:f>ABS(M2655)</x:f>
        <x:v>1.4895082687755183</x:v>
      </x:c>
      <x:c r="P2655" s="7" t="n">
        <x:v>45867</x:v>
      </x:c>
    </x:row>
    <x:row r="2656" ht="26" customHeight="1">
      <x:c r="A2656" s="2"/>
      <x:c r="B2656" s="2" t="n">
        <x:v>2651</x:v>
      </x:c>
      <x:c r="C2656" s="2" t="str">
        <x:v>Baby, Feminine &amp; Family Care / price_contribution</x:v>
      </x:c>
      <x:c r="D2656" s="7" t="n">
        <x:v>45838</x:v>
      </x:c>
      <x:c r="E2656" s="2" t="str">
        <x:v>Pre-earnings</x:v>
      </x:c>
      <x:c r="F2656" s="7" t="n">
        <x:v>45866</x:v>
      </x:c>
      <x:c r="G2656" s="2" t="str">
        <x:v>Bias correction</x:v>
      </x:c>
      <x:c r="H2656" s="8" t="n">
        <x:f>K1033</x:f>
        <x:v>1.2575307024209716</x:v>
      </x:c>
      <x:c r="I2656" s="8" t="n">
        <x:f>AVERAGE(M965,M982,M999,M1016)</x:f>
        <x:v>2.131194661084253</x:v>
      </x:c>
      <x:c r="J2656" s="8" t="n">
        <x:v>1</x:v>
      </x:c>
      <x:c r="K2656" s="8" t="n">
        <x:f>H2656-I2656*J2656</x:f>
        <x:v>-0.8736639586632813</x:v>
      </x:c>
      <x:c r="L2656" s="8" t="n">
        <x:f>'PG facts'!D129</x:f>
        <x:v>1</x:v>
      </x:c>
      <x:c r="M2656" s="8" t="n">
        <x:f>K2656-L2656</x:f>
        <x:v>-1.8736639586632813</x:v>
      </x:c>
      <x:c r="N2656" s="8" t="n">
        <x:f>M2656^2</x:f>
        <x:v>3.5106166299937582</x:v>
      </x:c>
      <x:c r="O2656" s="8" t="n">
        <x:f>ABS(M2656)</x:f>
        <x:v>1.8736639586632813</x:v>
      </x:c>
      <x:c r="P2656" s="7" t="n">
        <x:v>45867</x:v>
      </x:c>
    </x:row>
    <x:row r="2657" ht="26" customHeight="1">
      <x:c r="A2657" s="2"/>
      <x:c r="B2657" s="2" t="n">
        <x:v>2652</x:v>
      </x:c>
      <x:c r="C2657" s="2" t="str">
        <x:v>Baby, Feminine &amp; Family Care / price_contribution</x:v>
      </x:c>
      <x:c r="D2657" s="7" t="n">
        <x:v>45838</x:v>
      </x:c>
      <x:c r="E2657" s="2" t="str">
        <x:v>Pre-earnings</x:v>
      </x:c>
      <x:c r="F2657" s="7" t="n">
        <x:v>45866</x:v>
      </x:c>
      <x:c r="G2657" s="2" t="str">
        <x:v>Half correction</x:v>
      </x:c>
      <x:c r="H2657" s="8" t="n">
        <x:f>K1033</x:f>
        <x:v>1.2575307024209716</x:v>
      </x:c>
      <x:c r="I2657" s="8" t="n">
        <x:f>AVERAGE(M965,M982,M999,M1016)</x:f>
        <x:v>2.131194661084253</x:v>
      </x:c>
      <x:c r="J2657" s="8" t="n">
        <x:v>0.5</x:v>
      </x:c>
      <x:c r="K2657" s="8" t="n">
        <x:f>H2657-I2657*J2657</x:f>
        <x:v>0.19193337187884518</x:v>
      </x:c>
      <x:c r="L2657" s="8" t="n">
        <x:f>'PG facts'!D129</x:f>
        <x:v>1</x:v>
      </x:c>
      <x:c r="M2657" s="8" t="n">
        <x:f>K2657-L2657</x:f>
        <x:v>-0.8080666281211548</x:v>
      </x:c>
      <x:c r="N2657" s="8" t="n">
        <x:f>M2657^2</x:f>
        <x:v>0.6529716754830928</x:v>
      </x:c>
      <x:c r="O2657" s="8" t="n">
        <x:f>ABS(M2657)</x:f>
        <x:v>0.8080666281211548</x:v>
      </x:c>
      <x:c r="P2657" s="7" t="n">
        <x:v>45867</x:v>
      </x:c>
    </x:row>
    <x:row r="2658" ht="26" customHeight="1">
      <x:c r="A2658" s="2"/>
      <x:c r="B2658" s="2" t="n">
        <x:v>2653</x:v>
      </x:c>
      <x:c r="C2658" s="2" t="str">
        <x:v>Baby, Feminine &amp; Family Care / price_contribution</x:v>
      </x:c>
      <x:c r="D2658" s="7" t="n">
        <x:v>45930</x:v>
      </x:c>
      <x:c r="E2658" s="2" t="str">
        <x:v>Origin</x:v>
      </x:c>
      <x:c r="F2658" s="7" t="n">
        <x:v>45839</x:v>
      </x:c>
      <x:c r="G2658" s="2" t="str">
        <x:v>Bias correction</x:v>
      </x:c>
      <x:c r="H2658" s="8" t="n">
        <x:f>K1039</x:f>
        <x:v>1.0383349209707025</x:v>
      </x:c>
      <x:c r="I2658" s="8" t="n">
        <x:f>AVERAGE(M954,M971,M988,M1005)</x:f>
        <x:v>3.3939163610330674</x:v>
      </x:c>
      <x:c r="J2658" s="8" t="n">
        <x:v>1</x:v>
      </x:c>
      <x:c r="K2658" s="8" t="n">
        <x:f>H2658-I2658*J2658</x:f>
        <x:v>-2.355581440062365</x:v>
      </x:c>
      <x:c r="L2658" s="8" t="n">
        <x:f>'PG facts'!D136</x:f>
        <x:v>0</x:v>
      </x:c>
      <x:c r="M2658" s="8" t="n">
        <x:f>K2658-L2658</x:f>
        <x:v>-2.355581440062365</x:v>
      </x:c>
      <x:c r="N2658" s="8" t="n">
        <x:f>M2658^2</x:f>
        <x:v>5.5487639207662856</x:v>
      </x:c>
      <x:c r="O2658" s="8" t="n">
        <x:f>ABS(M2658)</x:f>
        <x:v>2.355581440062365</x:v>
      </x:c>
      <x:c r="P2658" s="7" t="n">
        <x:v>45954</x:v>
      </x:c>
    </x:row>
    <x:row r="2659" ht="26" customHeight="1">
      <x:c r="A2659" s="2"/>
      <x:c r="B2659" s="2" t="n">
        <x:v>2654</x:v>
      </x:c>
      <x:c r="C2659" s="2" t="str">
        <x:v>Baby, Feminine &amp; Family Care / price_contribution</x:v>
      </x:c>
      <x:c r="D2659" s="7" t="n">
        <x:v>45930</x:v>
      </x:c>
      <x:c r="E2659" s="2" t="str">
        <x:v>Origin</x:v>
      </x:c>
      <x:c r="F2659" s="7" t="n">
        <x:v>45839</x:v>
      </x:c>
      <x:c r="G2659" s="2" t="str">
        <x:v>Half correction</x:v>
      </x:c>
      <x:c r="H2659" s="8" t="n">
        <x:f>K1039</x:f>
        <x:v>1.0383349209707025</x:v>
      </x:c>
      <x:c r="I2659" s="8" t="n">
        <x:f>AVERAGE(M954,M971,M988,M1005)</x:f>
        <x:v>3.3939163610330674</x:v>
      </x:c>
      <x:c r="J2659" s="8" t="n">
        <x:v>0.5</x:v>
      </x:c>
      <x:c r="K2659" s="8" t="n">
        <x:f>H2659-I2659*J2659</x:f>
        <x:v>-0.6586232595458312</x:v>
      </x:c>
      <x:c r="L2659" s="8" t="n">
        <x:f>'PG facts'!D136</x:f>
        <x:v>0</x:v>
      </x:c>
      <x:c r="M2659" s="8" t="n">
        <x:f>K2659-L2659</x:f>
        <x:v>-0.6586232595458312</x:v>
      </x:c>
      <x:c r="N2659" s="8" t="n">
        <x:f>M2659^2</x:f>
        <x:v>0.43378459801477537</x:v>
      </x:c>
      <x:c r="O2659" s="8" t="n">
        <x:f>ABS(M2659)</x:f>
        <x:v>0.6586232595458312</x:v>
      </x:c>
      <x:c r="P2659" s="7" t="n">
        <x:v>45954</x:v>
      </x:c>
    </x:row>
    <x:row r="2660" ht="26" customHeight="1">
      <x:c r="A2660" s="2"/>
      <x:c r="B2660" s="2" t="n">
        <x:v>2655</x:v>
      </x:c>
      <x:c r="C2660" s="2" t="str">
        <x:v>Baby, Feminine &amp; Family Care / price_contribution</x:v>
      </x:c>
      <x:c r="D2660" s="7" t="n">
        <x:v>45930</x:v>
      </x:c>
      <x:c r="E2660" s="2" t="str">
        <x:v>Prior report</x:v>
      </x:c>
      <x:c r="F2660" s="7" t="n">
        <x:v>45867</x:v>
      </x:c>
      <x:c r="G2660" s="2" t="str">
        <x:v>Bias correction</x:v>
      </x:c>
      <x:c r="H2660" s="8" t="n">
        <x:f>K1044</x:f>
        <x:v>1.2352592847866544</x:v>
      </x:c>
      <x:c r="I2660" s="8" t="n">
        <x:f>AVERAGE(M976,M993,M1010,M1027)</x:f>
        <x:v>1.654920420407862</x:v>
      </x:c>
      <x:c r="J2660" s="8" t="n">
        <x:v>1</x:v>
      </x:c>
      <x:c r="K2660" s="8" t="n">
        <x:f>H2660-I2660*J2660</x:f>
        <x:v>-0.41966113562120766</x:v>
      </x:c>
      <x:c r="L2660" s="8" t="n">
        <x:f>'PG facts'!D136</x:f>
        <x:v>0</x:v>
      </x:c>
      <x:c r="M2660" s="8" t="n">
        <x:f>K2660-L2660</x:f>
        <x:v>-0.41966113562120766</x:v>
      </x:c>
      <x:c r="N2660" s="8" t="n">
        <x:f>M2660^2</x:f>
        <x:v>0.17611546875088166</x:v>
      </x:c>
      <x:c r="O2660" s="8" t="n">
        <x:f>ABS(M2660)</x:f>
        <x:v>0.41966113562120766</x:v>
      </x:c>
      <x:c r="P2660" s="7" t="n">
        <x:v>45954</x:v>
      </x:c>
    </x:row>
    <x:row r="2661" ht="26" customHeight="1">
      <x:c r="A2661" s="2"/>
      <x:c r="B2661" s="2" t="n">
        <x:v>2656</x:v>
      </x:c>
      <x:c r="C2661" s="2" t="str">
        <x:v>Baby, Feminine &amp; Family Care / price_contribution</x:v>
      </x:c>
      <x:c r="D2661" s="7" t="n">
        <x:v>45930</x:v>
      </x:c>
      <x:c r="E2661" s="2" t="str">
        <x:v>Prior report</x:v>
      </x:c>
      <x:c r="F2661" s="7" t="n">
        <x:v>45867</x:v>
      </x:c>
      <x:c r="G2661" s="2" t="str">
        <x:v>Half correction</x:v>
      </x:c>
      <x:c r="H2661" s="8" t="n">
        <x:f>K1044</x:f>
        <x:v>1.2352592847866544</x:v>
      </x:c>
      <x:c r="I2661" s="8" t="n">
        <x:f>AVERAGE(M976,M993,M1010,M1027)</x:f>
        <x:v>1.654920420407862</x:v>
      </x:c>
      <x:c r="J2661" s="8" t="n">
        <x:v>0.5</x:v>
      </x:c>
      <x:c r="K2661" s="8" t="n">
        <x:f>H2661-I2661*J2661</x:f>
        <x:v>0.40779907458272335</x:v>
      </x:c>
      <x:c r="L2661" s="8" t="n">
        <x:f>'PG facts'!D136</x:f>
        <x:v>0</x:v>
      </x:c>
      <x:c r="M2661" s="8" t="n">
        <x:f>K2661-L2661</x:f>
        <x:v>0.40779907458272335</x:v>
      </x:c>
      <x:c r="N2661" s="8" t="n">
        <x:f>M2661^2</x:f>
        <x:v>0.16630008523052556</x:v>
      </x:c>
      <x:c r="O2661" s="8" t="n">
        <x:f>ABS(M2661)</x:f>
        <x:v>0.40779907458272335</x:v>
      </x:c>
      <x:c r="P2661" s="7" t="n">
        <x:v>45954</x:v>
      </x:c>
    </x:row>
    <x:row r="2662" ht="26" customHeight="1">
      <x:c r="A2662" s="2"/>
      <x:c r="B2662" s="2" t="n">
        <x:v>2657</x:v>
      </x:c>
      <x:c r="C2662" s="2" t="str">
        <x:v>Baby, Feminine &amp; Family Care / price_contribution</x:v>
      </x:c>
      <x:c r="D2662" s="7" t="n">
        <x:v>45930</x:v>
      </x:c>
      <x:c r="E2662" s="2" t="str">
        <x:v>Pre-earnings</x:v>
      </x:c>
      <x:c r="F2662" s="7" t="n">
        <x:v>45953</x:v>
      </x:c>
      <x:c r="G2662" s="2" t="str">
        <x:v>Bias correction</x:v>
      </x:c>
      <x:c r="H2662" s="8" t="n">
        <x:f>K1050</x:f>
        <x:v>1.5004544211168973</x:v>
      </x:c>
      <x:c r="I2662" s="8" t="n">
        <x:f>AVERAGE(M982,M999,M1016,M1033)</x:f>
        <x:v>1.3842994912604873</x:v>
      </x:c>
      <x:c r="J2662" s="8" t="n">
        <x:v>1</x:v>
      </x:c>
      <x:c r="K2662" s="8" t="n">
        <x:f>H2662-I2662*J2662</x:f>
        <x:v>0.11615492985640996</x:v>
      </x:c>
      <x:c r="L2662" s="8" t="n">
        <x:f>'PG facts'!D136</x:f>
        <x:v>0</x:v>
      </x:c>
      <x:c r="M2662" s="8" t="n">
        <x:f>K2662-L2662</x:f>
        <x:v>0.11615492985640996</x:v>
      </x:c>
      <x:c r="N2662" s="8" t="n">
        <x:f>M2662^2</x:f>
        <x:v>0.013491967729947518</x:v>
      </x:c>
      <x:c r="O2662" s="8" t="n">
        <x:f>ABS(M2662)</x:f>
        <x:v>0.11615492985640996</x:v>
      </x:c>
      <x:c r="P2662" s="7" t="n">
        <x:v>45954</x:v>
      </x:c>
    </x:row>
    <x:row r="2663" ht="26" customHeight="1">
      <x:c r="A2663" s="2"/>
      <x:c r="B2663" s="2" t="n">
        <x:v>2658</x:v>
      </x:c>
      <x:c r="C2663" s="2" t="str">
        <x:v>Baby, Feminine &amp; Family Care / price_contribution</x:v>
      </x:c>
      <x:c r="D2663" s="7" t="n">
        <x:v>45930</x:v>
      </x:c>
      <x:c r="E2663" s="2" t="str">
        <x:v>Pre-earnings</x:v>
      </x:c>
      <x:c r="F2663" s="7" t="n">
        <x:v>45953</x:v>
      </x:c>
      <x:c r="G2663" s="2" t="str">
        <x:v>Half correction</x:v>
      </x:c>
      <x:c r="H2663" s="8" t="n">
        <x:f>K1050</x:f>
        <x:v>1.5004544211168973</x:v>
      </x:c>
      <x:c r="I2663" s="8" t="n">
        <x:f>AVERAGE(M982,M999,M1016,M1033)</x:f>
        <x:v>1.3842994912604873</x:v>
      </x:c>
      <x:c r="J2663" s="8" t="n">
        <x:v>0.5</x:v>
      </x:c>
      <x:c r="K2663" s="8" t="n">
        <x:f>H2663-I2663*J2663</x:f>
        <x:v>0.8083046754866536</x:v>
      </x:c>
      <x:c r="L2663" s="8" t="n">
        <x:f>'PG facts'!D136</x:f>
        <x:v>0</x:v>
      </x:c>
      <x:c r="M2663" s="8" t="n">
        <x:f>K2663-L2663</x:f>
        <x:v>0.8083046754866536</x:v>
      </x:c>
      <x:c r="N2663" s="8" t="n">
        <x:f>M2663^2</x:f>
        <x:v>0.6533564484135844</x:v>
      </x:c>
      <x:c r="O2663" s="8" t="n">
        <x:f>ABS(M2663)</x:f>
        <x:v>0.8083046754866536</x:v>
      </x:c>
      <x:c r="P2663" s="7" t="n">
        <x:v>45954</x:v>
      </x:c>
    </x:row>
    <x:row r="2664" ht="26" customHeight="1">
      <x:c r="A2664" s="2"/>
      <x:c r="B2664" s="2" t="n">
        <x:v>2659</x:v>
      </x:c>
      <x:c r="C2664" s="2" t="str">
        <x:v>Baby, Feminine &amp; Family Care / price_contribution</x:v>
      </x:c>
      <x:c r="D2664" s="7" t="n">
        <x:v>46022</x:v>
      </x:c>
      <x:c r="E2664" s="2" t="str">
        <x:v>Origin</x:v>
      </x:c>
      <x:c r="F2664" s="7" t="n">
        <x:v>45931</x:v>
      </x:c>
      <x:c r="G2664" s="2" t="str">
        <x:v>Bias correction</x:v>
      </x:c>
      <x:c r="H2664" s="8" t="n">
        <x:f>K1056</x:f>
        <x:v>1.470882122540724</x:v>
      </x:c>
      <x:c r="I2664" s="8" t="n">
        <x:f>AVERAGE(M971,M988,M1005,M1022)</x:f>
        <x:v>2.14424699268529</x:v>
      </x:c>
      <x:c r="J2664" s="8" t="n">
        <x:v>1</x:v>
      </x:c>
      <x:c r="K2664" s="8" t="n">
        <x:f>H2664-I2664*J2664</x:f>
        <x:v>-0.6733648701445658</x:v>
      </x:c>
      <x:c r="L2664" s="8" t="n">
        <x:f>'PG facts'!D143</x:f>
        <x:v>0</x:v>
      </x:c>
      <x:c r="M2664" s="8" t="n">
        <x:f>K2664-L2664</x:f>
        <x:v>-0.6733648701445658</x:v>
      </x:c>
      <x:c r="N2664" s="8" t="n">
        <x:f>M2664^2</x:f>
        <x:v>0.453420248344808</x:v>
      </x:c>
      <x:c r="O2664" s="8" t="n">
        <x:f>ABS(M2664)</x:f>
        <x:v>0.6733648701445658</x:v>
      </x:c>
      <x:c r="P2664" s="7" t="n">
        <x:v>46045</x:v>
      </x:c>
    </x:row>
    <x:row r="2665" ht="26" customHeight="1">
      <x:c r="A2665" s="2"/>
      <x:c r="B2665" s="2" t="n">
        <x:v>2660</x:v>
      </x:c>
      <x:c r="C2665" s="2" t="str">
        <x:v>Baby, Feminine &amp; Family Care / price_contribution</x:v>
      </x:c>
      <x:c r="D2665" s="7" t="n">
        <x:v>46022</x:v>
      </x:c>
      <x:c r="E2665" s="2" t="str">
        <x:v>Origin</x:v>
      </x:c>
      <x:c r="F2665" s="7" t="n">
        <x:v>45931</x:v>
      </x:c>
      <x:c r="G2665" s="2" t="str">
        <x:v>Half correction</x:v>
      </x:c>
      <x:c r="H2665" s="8" t="n">
        <x:f>K1056</x:f>
        <x:v>1.470882122540724</x:v>
      </x:c>
      <x:c r="I2665" s="8" t="n">
        <x:f>AVERAGE(M971,M988,M1005,M1022)</x:f>
        <x:v>2.14424699268529</x:v>
      </x:c>
      <x:c r="J2665" s="8" t="n">
        <x:v>0.5</x:v>
      </x:c>
      <x:c r="K2665" s="8" t="n">
        <x:f>H2665-I2665*J2665</x:f>
        <x:v>0.3987586261980791</x:v>
      </x:c>
      <x:c r="L2665" s="8" t="n">
        <x:f>'PG facts'!D143</x:f>
        <x:v>0</x:v>
      </x:c>
      <x:c r="M2665" s="8" t="n">
        <x:f>K2665-L2665</x:f>
        <x:v>0.3987586261980791</x:v>
      </x:c>
      <x:c r="N2665" s="8" t="n">
        <x:f>M2665^2</x:f>
        <x:v>0.1590084419673794</x:v>
      </x:c>
      <x:c r="O2665" s="8" t="n">
        <x:f>ABS(M2665)</x:f>
        <x:v>0.3987586261980791</x:v>
      </x:c>
      <x:c r="P2665" s="7" t="n">
        <x:v>46045</x:v>
      </x:c>
    </x:row>
    <x:row r="2666" ht="26" customHeight="1">
      <x:c r="A2666" s="2"/>
      <x:c r="B2666" s="2" t="n">
        <x:v>2661</x:v>
      </x:c>
      <x:c r="C2666" s="2" t="str">
        <x:v>Baby, Feminine &amp; Family Care / price_contribution</x:v>
      </x:c>
      <x:c r="D2666" s="7" t="n">
        <x:v>46022</x:v>
      </x:c>
      <x:c r="E2666" s="2" t="str">
        <x:v>Prior report</x:v>
      </x:c>
      <x:c r="F2666" s="7" t="n">
        <x:v>45954</x:v>
      </x:c>
      <x:c r="G2666" s="2" t="str">
        <x:v>Bias correction</x:v>
      </x:c>
      <x:c r="H2666" s="8" t="n">
        <x:f>K1061</x:f>
        <x:v>1.648860688179635</x:v>
      </x:c>
      <x:c r="I2666" s="8" t="n">
        <x:f>AVERAGE(M993,M1010,M1027,M1044)</x:f>
        <x:v>1.227217150674722</x:v>
      </x:c>
      <x:c r="J2666" s="8" t="n">
        <x:v>1</x:v>
      </x:c>
      <x:c r="K2666" s="8" t="n">
        <x:f>H2666-I2666*J2666</x:f>
        <x:v>0.421643537504913</x:v>
      </x:c>
      <x:c r="L2666" s="8" t="n">
        <x:f>'PG facts'!D143</x:f>
        <x:v>0</x:v>
      </x:c>
      <x:c r="M2666" s="8" t="n">
        <x:f>K2666-L2666</x:f>
        <x:v>0.421643537504913</x:v>
      </x:c>
      <x:c r="N2666" s="8" t="n">
        <x:f>M2666^2</x:f>
        <x:v>0.177783272719657</x:v>
      </x:c>
      <x:c r="O2666" s="8" t="n">
        <x:f>ABS(M2666)</x:f>
        <x:v>0.421643537504913</x:v>
      </x:c>
      <x:c r="P2666" s="7" t="n">
        <x:v>46045</x:v>
      </x:c>
    </x:row>
    <x:row r="2667" ht="26" customHeight="1">
      <x:c r="A2667" s="2"/>
      <x:c r="B2667" s="2" t="n">
        <x:v>2662</x:v>
      </x:c>
      <x:c r="C2667" s="2" t="str">
        <x:v>Baby, Feminine &amp; Family Care / price_contribution</x:v>
      </x:c>
      <x:c r="D2667" s="7" t="n">
        <x:v>46022</x:v>
      </x:c>
      <x:c r="E2667" s="2" t="str">
        <x:v>Prior report</x:v>
      </x:c>
      <x:c r="F2667" s="7" t="n">
        <x:v>45954</x:v>
      </x:c>
      <x:c r="G2667" s="2" t="str">
        <x:v>Half correction</x:v>
      </x:c>
      <x:c r="H2667" s="8" t="n">
        <x:f>K1061</x:f>
        <x:v>1.648860688179635</x:v>
      </x:c>
      <x:c r="I2667" s="8" t="n">
        <x:f>AVERAGE(M993,M1010,M1027,M1044)</x:f>
        <x:v>1.227217150674722</x:v>
      </x:c>
      <x:c r="J2667" s="8" t="n">
        <x:v>0.5</x:v>
      </x:c>
      <x:c r="K2667" s="8" t="n">
        <x:f>H2667-I2667*J2667</x:f>
        <x:v>1.035252112842274</x:v>
      </x:c>
      <x:c r="L2667" s="8" t="n">
        <x:f>'PG facts'!D143</x:f>
        <x:v>0</x:v>
      </x:c>
      <x:c r="M2667" s="8" t="n">
        <x:f>K2667-L2667</x:f>
        <x:v>1.035252112842274</x:v>
      </x:c>
      <x:c r="N2667" s="8" t="n">
        <x:f>M2667^2</x:f>
        <x:v>1.0717469371443924</x:v>
      </x:c>
      <x:c r="O2667" s="8" t="n">
        <x:f>ABS(M2667)</x:f>
        <x:v>1.035252112842274</x:v>
      </x:c>
      <x:c r="P2667" s="7" t="n">
        <x:v>46045</x:v>
      </x:c>
    </x:row>
    <x:row r="2668" ht="26" customHeight="1">
      <x:c r="A2668" s="2"/>
      <x:c r="B2668" s="2" t="n">
        <x:v>2663</x:v>
      </x:c>
      <x:c r="C2668" s="2" t="str">
        <x:v>Baby, Feminine &amp; Family Care / price_contribution</x:v>
      </x:c>
      <x:c r="D2668" s="7" t="n">
        <x:v>46022</x:v>
      </x:c>
      <x:c r="E2668" s="2" t="str">
        <x:v>Pre-earnings</x:v>
      </x:c>
      <x:c r="F2668" s="7" t="n">
        <x:v>46044</x:v>
      </x:c>
      <x:c r="G2668" s="2" t="str">
        <x:v>Bias correction</x:v>
      </x:c>
      <x:c r="H2668" s="8" t="n">
        <x:f>K1067</x:f>
        <x:v>1.8199894104347967</x:v>
      </x:c>
      <x:c r="I2668" s="8" t="n">
        <x:f>AVERAGE(M999,M1016,M1033,M1050)</x:f>
        <x:v>1.3290423840087404</x:v>
      </x:c>
      <x:c r="J2668" s="8" t="n">
        <x:v>1</x:v>
      </x:c>
      <x:c r="K2668" s="8" t="n">
        <x:f>H2668-I2668*J2668</x:f>
        <x:v>0.49094702642605625</x:v>
      </x:c>
      <x:c r="L2668" s="8" t="n">
        <x:f>'PG facts'!D143</x:f>
        <x:v>0</x:v>
      </x:c>
      <x:c r="M2668" s="8" t="n">
        <x:f>K2668-L2668</x:f>
        <x:v>0.49094702642605625</x:v>
      </x:c>
      <x:c r="N2668" s="8" t="n">
        <x:f>M2668^2</x:f>
        <x:v>0.24102898275658677</x:v>
      </x:c>
      <x:c r="O2668" s="8" t="n">
        <x:f>ABS(M2668)</x:f>
        <x:v>0.49094702642605625</x:v>
      </x:c>
      <x:c r="P2668" s="7" t="n">
        <x:v>46045</x:v>
      </x:c>
    </x:row>
    <x:row r="2669" ht="26" customHeight="1">
      <x:c r="A2669" s="2"/>
      <x:c r="B2669" s="2" t="n">
        <x:v>2664</x:v>
      </x:c>
      <x:c r="C2669" s="2" t="str">
        <x:v>Baby, Feminine &amp; Family Care / price_contribution</x:v>
      </x:c>
      <x:c r="D2669" s="7" t="n">
        <x:v>46022</x:v>
      </x:c>
      <x:c r="E2669" s="2" t="str">
        <x:v>Pre-earnings</x:v>
      </x:c>
      <x:c r="F2669" s="7" t="n">
        <x:v>46044</x:v>
      </x:c>
      <x:c r="G2669" s="2" t="str">
        <x:v>Half correction</x:v>
      </x:c>
      <x:c r="H2669" s="8" t="n">
        <x:f>K1067</x:f>
        <x:v>1.8199894104347967</x:v>
      </x:c>
      <x:c r="I2669" s="8" t="n">
        <x:f>AVERAGE(M999,M1016,M1033,M1050)</x:f>
        <x:v>1.3290423840087404</x:v>
      </x:c>
      <x:c r="J2669" s="8" t="n">
        <x:v>0.5</x:v>
      </x:c>
      <x:c r="K2669" s="8" t="n">
        <x:f>H2669-I2669*J2669</x:f>
        <x:v>1.1554682184304266</x:v>
      </x:c>
      <x:c r="L2669" s="8" t="n">
        <x:f>'PG facts'!D143</x:f>
        <x:v>0</x:v>
      </x:c>
      <x:c r="M2669" s="8" t="n">
        <x:f>K2669-L2669</x:f>
        <x:v>1.1554682184304266</x:v>
      </x:c>
      <x:c r="N2669" s="8" t="n">
        <x:f>M2669^2</x:f>
        <x:v>1.335106803802784</x:v>
      </x:c>
      <x:c r="O2669" s="8" t="n">
        <x:f>ABS(M2669)</x:f>
        <x:v>1.1554682184304266</x:v>
      </x:c>
      <x:c r="P2669" s="7" t="n">
        <x:v>46045</x:v>
      </x:c>
    </x:row>
    <x:row r="2670" ht="26" customHeight="1">
      <x:c r="A2670" s="2"/>
      <x:c r="B2670" s="2" t="n">
        <x:v>2665</x:v>
      </x:c>
      <x:c r="C2670" s="2" t="str">
        <x:v>Baby, Feminine &amp; Family Care / price_contribution</x:v>
      </x:c>
      <x:c r="D2670" s="7" t="n">
        <x:v>46112</x:v>
      </x:c>
      <x:c r="E2670" s="2" t="str">
        <x:v>Origin</x:v>
      </x:c>
      <x:c r="F2670" s="7" t="n">
        <x:v>46023</x:v>
      </x:c>
      <x:c r="G2670" s="2" t="str">
        <x:v>Bias correction</x:v>
      </x:c>
      <x:c r="H2670" s="8" t="n">
        <x:f>K1073</x:f>
        <x:v>1.771372244366514</x:v>
      </x:c>
      <x:c r="I2670" s="8" t="n">
        <x:f>AVERAGE(M988,M1005,M1022,M1039)</x:f>
        <x:v>1.4132840891636091</x:v>
      </x:c>
      <x:c r="J2670" s="8" t="n">
        <x:v>1</x:v>
      </x:c>
      <x:c r="K2670" s="8" t="n">
        <x:f>H2670-I2670*J2670</x:f>
        <x:v>0.35808815520290493</x:v>
      </x:c>
      <x:c r="L2670" s="8" t="n">
        <x:f>'PG facts'!D150</x:f>
        <x:v>0</x:v>
      </x:c>
      <x:c r="M2670" s="8" t="n">
        <x:f>K2670-L2670</x:f>
        <x:v>0.35808815520290493</x:v>
      </x:c>
      <x:c r="N2670" s="8" t="n">
        <x:f>M2670^2</x:f>
        <x:v>0.12822712689661972</x:v>
      </x:c>
      <x:c r="O2670" s="8" t="n">
        <x:f>ABS(M2670)</x:f>
        <x:v>0.35808815520290493</x:v>
      </x:c>
      <x:c r="P2670" s="7" t="n">
        <x:v>46136</x:v>
      </x:c>
    </x:row>
    <x:row r="2671" ht="26" customHeight="1">
      <x:c r="A2671" s="2"/>
      <x:c r="B2671" s="2" t="n">
        <x:v>2666</x:v>
      </x:c>
      <x:c r="C2671" s="2" t="str">
        <x:v>Baby, Feminine &amp; Family Care / price_contribution</x:v>
      </x:c>
      <x:c r="D2671" s="7" t="n">
        <x:v>46112</x:v>
      </x:c>
      <x:c r="E2671" s="2" t="str">
        <x:v>Origin</x:v>
      </x:c>
      <x:c r="F2671" s="7" t="n">
        <x:v>46023</x:v>
      </x:c>
      <x:c r="G2671" s="2" t="str">
        <x:v>Half correction</x:v>
      </x:c>
      <x:c r="H2671" s="8" t="n">
        <x:f>K1073</x:f>
        <x:v>1.771372244366514</x:v>
      </x:c>
      <x:c r="I2671" s="8" t="n">
        <x:f>AVERAGE(M988,M1005,M1022,M1039)</x:f>
        <x:v>1.4132840891636091</x:v>
      </x:c>
      <x:c r="J2671" s="8" t="n">
        <x:v>0.5</x:v>
      </x:c>
      <x:c r="K2671" s="8" t="n">
        <x:f>H2671-I2671*J2671</x:f>
        <x:v>1.0647301997847096</x:v>
      </x:c>
      <x:c r="L2671" s="8" t="n">
        <x:f>'PG facts'!D150</x:f>
        <x:v>0</x:v>
      </x:c>
      <x:c r="M2671" s="8" t="n">
        <x:f>K2671-L2671</x:f>
        <x:v>1.0647301997847096</x:v>
      </x:c>
      <x:c r="N2671" s="8" t="n">
        <x:f>M2671^2</x:f>
        <x:v>1.1336503983335877</x:v>
      </x:c>
      <x:c r="O2671" s="8" t="n">
        <x:f>ABS(M2671)</x:f>
        <x:v>1.0647301997847096</x:v>
      </x:c>
      <x:c r="P2671" s="7" t="n">
        <x:v>46136</x:v>
      </x:c>
    </x:row>
    <x:row r="2672" ht="26" customHeight="1">
      <x:c r="A2672" s="2"/>
      <x:c r="B2672" s="2" t="n">
        <x:v>2667</x:v>
      </x:c>
      <x:c r="C2672" s="2" t="str">
        <x:v>Baby, Feminine &amp; Family Care / price_contribution</x:v>
      </x:c>
      <x:c r="D2672" s="7" t="n">
        <x:v>46112</x:v>
      </x:c>
      <x:c r="E2672" s="2" t="str">
        <x:v>Prior report</x:v>
      </x:c>
      <x:c r="F2672" s="7" t="n">
        <x:v>46045</x:v>
      </x:c>
      <x:c r="G2672" s="2" t="str">
        <x:v>Bias correction</x:v>
      </x:c>
      <x:c r="H2672" s="8" t="n">
        <x:f>K1078</x:f>
        <x:v>1.907602145924364</x:v>
      </x:c>
      <x:c r="I2672" s="8" t="n">
        <x:f>AVERAGE(M1010,M1027,M1044,M1061)</x:f>
        <x:v>1.0129582870747655</x:v>
      </x:c>
      <x:c r="J2672" s="8" t="n">
        <x:v>1</x:v>
      </x:c>
      <x:c r="K2672" s="8" t="n">
        <x:f>H2672-I2672*J2672</x:f>
        <x:v>0.8946438588495984</x:v>
      </x:c>
      <x:c r="L2672" s="8" t="n">
        <x:f>'PG facts'!D150</x:f>
        <x:v>0</x:v>
      </x:c>
      <x:c r="M2672" s="8" t="n">
        <x:f>K2672-L2672</x:f>
        <x:v>0.8946438588495984</x:v>
      </x:c>
      <x:c r="N2672" s="8" t="n">
        <x:f>M2672^2</x:f>
        <x:v>0.8003876341773002</x:v>
      </x:c>
      <x:c r="O2672" s="8" t="n">
        <x:f>ABS(M2672)</x:f>
        <x:v>0.8946438588495984</x:v>
      </x:c>
      <x:c r="P2672" s="7" t="n">
        <x:v>46136</x:v>
      </x:c>
    </x:row>
    <x:row r="2673" ht="26" customHeight="1">
      <x:c r="A2673" s="2"/>
      <x:c r="B2673" s="2" t="n">
        <x:v>2668</x:v>
      </x:c>
      <x:c r="C2673" s="2" t="str">
        <x:v>Baby, Feminine &amp; Family Care / price_contribution</x:v>
      </x:c>
      <x:c r="D2673" s="7" t="n">
        <x:v>46112</x:v>
      </x:c>
      <x:c r="E2673" s="2" t="str">
        <x:v>Prior report</x:v>
      </x:c>
      <x:c r="F2673" s="7" t="n">
        <x:v>46045</x:v>
      </x:c>
      <x:c r="G2673" s="2" t="str">
        <x:v>Half correction</x:v>
      </x:c>
      <x:c r="H2673" s="8" t="n">
        <x:f>K1078</x:f>
        <x:v>1.907602145924364</x:v>
      </x:c>
      <x:c r="I2673" s="8" t="n">
        <x:f>AVERAGE(M1010,M1027,M1044,M1061)</x:f>
        <x:v>1.0129582870747655</x:v>
      </x:c>
      <x:c r="J2673" s="8" t="n">
        <x:v>0.5</x:v>
      </x:c>
      <x:c r="K2673" s="8" t="n">
        <x:f>H2673-I2673*J2673</x:f>
        <x:v>1.4011230023869812</x:v>
      </x:c>
      <x:c r="L2673" s="8" t="n">
        <x:f>'PG facts'!D150</x:f>
        <x:v>0</x:v>
      </x:c>
      <x:c r="M2673" s="8" t="n">
        <x:f>K2673-L2673</x:f>
        <x:v>1.4011230023869812</x:v>
      </x:c>
      <x:c r="N2673" s="8" t="n">
        <x:f>M2673^2</x:f>
        <x:v>1.9631456678179084</x:v>
      </x:c>
      <x:c r="O2673" s="8" t="n">
        <x:f>ABS(M2673)</x:f>
        <x:v>1.4011230023869812</x:v>
      </x:c>
      <x:c r="P2673" s="7" t="n">
        <x:v>46136</x:v>
      </x:c>
    </x:row>
    <x:row r="2674" ht="26" customHeight="1">
      <x:c r="A2674" s="2"/>
      <x:c r="B2674" s="2" t="n">
        <x:v>2669</x:v>
      </x:c>
      <x:c r="C2674" s="2" t="str">
        <x:v>Baby, Feminine &amp; Family Care / price_contribution</x:v>
      </x:c>
      <x:c r="D2674" s="7" t="n">
        <x:v>46112</x:v>
      </x:c>
      <x:c r="E2674" s="2" t="str">
        <x:v>Pre-earnings</x:v>
      </x:c>
      <x:c r="F2674" s="7" t="n">
        <x:v>46135</x:v>
      </x:c>
      <x:c r="G2674" s="2" t="str">
        <x:v>Bias correction</x:v>
      </x:c>
      <x:c r="H2674" s="8" t="n">
        <x:f>K1083</x:f>
        <x:v>2.668420085729652</x:v>
      </x:c>
      <x:c r="I2674" s="8" t="n">
        <x:f>AVERAGE(M1016,M1033,M1050,M1067)</x:f>
        <x:v>1.1657319083807105</x:v>
      </x:c>
      <x:c r="J2674" s="8" t="n">
        <x:v>1</x:v>
      </x:c>
      <x:c r="K2674" s="8" t="n">
        <x:f>H2674-I2674*J2674</x:f>
        <x:v>1.5026881773489416</x:v>
      </x:c>
      <x:c r="L2674" s="8" t="n">
        <x:f>'PG facts'!D150</x:f>
        <x:v>0</x:v>
      </x:c>
      <x:c r="M2674" s="8" t="n">
        <x:f>K2674-L2674</x:f>
        <x:v>1.5026881773489416</x:v>
      </x:c>
      <x:c r="N2674" s="8" t="n">
        <x:f>M2674^2</x:f>
        <x:v>2.258071758344284</x:v>
      </x:c>
      <x:c r="O2674" s="8" t="n">
        <x:f>ABS(M2674)</x:f>
        <x:v>1.5026881773489416</x:v>
      </x:c>
      <x:c r="P2674" s="7" t="n">
        <x:v>46136</x:v>
      </x:c>
    </x:row>
    <x:row r="2675" ht="26" customHeight="1">
      <x:c r="A2675" s="2"/>
      <x:c r="B2675" s="2" t="n">
        <x:v>2670</x:v>
      </x:c>
      <x:c r="C2675" s="2" t="str">
        <x:v>Baby, Feminine &amp; Family Care / price_contribution</x:v>
      </x:c>
      <x:c r="D2675" s="7" t="n">
        <x:v>46112</x:v>
      </x:c>
      <x:c r="E2675" s="2" t="str">
        <x:v>Pre-earnings</x:v>
      </x:c>
      <x:c r="F2675" s="7" t="n">
        <x:v>46135</x:v>
      </x:c>
      <x:c r="G2675" s="2" t="str">
        <x:v>Half correction</x:v>
      </x:c>
      <x:c r="H2675" s="8" t="n">
        <x:f>K1083</x:f>
        <x:v>2.668420085729652</x:v>
      </x:c>
      <x:c r="I2675" s="8" t="n">
        <x:f>AVERAGE(M1016,M1033,M1050,M1067)</x:f>
        <x:v>1.1657319083807105</x:v>
      </x:c>
      <x:c r="J2675" s="8" t="n">
        <x:v>0.5</x:v>
      </x:c>
      <x:c r="K2675" s="8" t="n">
        <x:f>H2675-I2675*J2675</x:f>
        <x:v>2.085554131539297</x:v>
      </x:c>
      <x:c r="L2675" s="8" t="n">
        <x:f>'PG facts'!D150</x:f>
        <x:v>0</x:v>
      </x:c>
      <x:c r="M2675" s="8" t="n">
        <x:f>K2675-L2675</x:f>
        <x:v>2.085554131539297</x:v>
      </x:c>
      <x:c r="N2675" s="8" t="n">
        <x:f>M2675^2</x:f>
        <x:v>4.349536035580631</x:v>
      </x:c>
      <x:c r="O2675" s="8" t="n">
        <x:f>ABS(M2675)</x:f>
        <x:v>2.085554131539297</x:v>
      </x:c>
      <x:c r="P2675" s="7" t="n">
        <x:v>46136</x:v>
      </x:c>
    </x:row>
    <x:row r="2676" ht="26" customHeight="1">
      <x:c r="A2676" s="2"/>
      <x:c r="B2676" s="2" t="n">
        <x:v>2671</x:v>
      </x:c>
      <x:c r="C2676" s="2" t="str">
        <x:v>Beauty / organic_volume_growth</x:v>
      </x:c>
      <x:c r="D2676" s="7" t="n">
        <x:v>45473</x:v>
      </x:c>
      <x:c r="E2676" s="2" t="str">
        <x:v>Prior report</x:v>
      </x:c>
      <x:c r="F2676" s="7" t="n">
        <x:v>45401</x:v>
      </x:c>
      <x:c r="G2676" s="2" t="str">
        <x:v>Bias correction</x:v>
      </x:c>
      <x:c r="H2676" s="8" t="n">
        <x:f>K1156</x:f>
        <x:v>-0.8963553018984822</x:v>
      </x:c>
      <x:c r="I2676" s="8" t="n">
        <x:f>AVERAGE(M1092,M1107,M1124,M1140)</x:f>
        <x:v>-0.9760688540431349</x:v>
      </x:c>
      <x:c r="J2676" s="8" t="n">
        <x:v>1</x:v>
      </x:c>
      <x:c r="K2676" s="8" t="n">
        <x:f>H2676-I2676*J2676</x:f>
        <x:v>0.0797135521446527</x:v>
      </x:c>
      <x:c r="L2676" s="8" t="n">
        <x:f>'PG facts'!E97</x:f>
        <x:v>1</x:v>
      </x:c>
      <x:c r="M2676" s="8" t="n">
        <x:f>K2676-L2676</x:f>
        <x:v>-0.9202864478553473</x:v>
      </x:c>
      <x:c r="N2676" s="8" t="n">
        <x:f>M2676^2</x:f>
        <x:v>0.8469271461062129</x:v>
      </x:c>
      <x:c r="O2676" s="8" t="n">
        <x:f>ABS(M2676)</x:f>
        <x:v>0.9202864478553473</x:v>
      </x:c>
      <x:c r="P2676" s="7" t="n">
        <x:v>45503</x:v>
      </x:c>
    </x:row>
    <x:row r="2677" ht="26" customHeight="1">
      <x:c r="A2677" s="2"/>
      <x:c r="B2677" s="2" t="n">
        <x:v>2672</x:v>
      </x:c>
      <x:c r="C2677" s="2" t="str">
        <x:v>Beauty / organic_volume_growth</x:v>
      </x:c>
      <x:c r="D2677" s="7" t="n">
        <x:v>45473</x:v>
      </x:c>
      <x:c r="E2677" s="2" t="str">
        <x:v>Prior report</x:v>
      </x:c>
      <x:c r="F2677" s="7" t="n">
        <x:v>45401</x:v>
      </x:c>
      <x:c r="G2677" s="2" t="str">
        <x:v>Half correction</x:v>
      </x:c>
      <x:c r="H2677" s="8" t="n">
        <x:f>K1156</x:f>
        <x:v>-0.8963553018984822</x:v>
      </x:c>
      <x:c r="I2677" s="8" t="n">
        <x:f>AVERAGE(M1092,M1107,M1124,M1140)</x:f>
        <x:v>-0.9760688540431349</x:v>
      </x:c>
      <x:c r="J2677" s="8" t="n">
        <x:v>0.5</x:v>
      </x:c>
      <x:c r="K2677" s="8" t="n">
        <x:f>H2677-I2677*J2677</x:f>
        <x:v>-0.40832087487691476</x:v>
      </x:c>
      <x:c r="L2677" s="8" t="n">
        <x:f>'PG facts'!E97</x:f>
        <x:v>1</x:v>
      </x:c>
      <x:c r="M2677" s="8" t="n">
        <x:f>K2677-L2677</x:f>
        <x:v>-1.4083208748769147</x:v>
      </x:c>
      <x:c r="N2677" s="8" t="n">
        <x:f>M2677^2</x:f>
        <x:v>1.9833676866140784</x:v>
      </x:c>
      <x:c r="O2677" s="8" t="n">
        <x:f>ABS(M2677)</x:f>
        <x:v>1.4083208748769147</x:v>
      </x:c>
      <x:c r="P2677" s="7" t="n">
        <x:v>45503</x:v>
      </x:c>
    </x:row>
    <x:row r="2678" ht="26" customHeight="1">
      <x:c r="A2678" s="2"/>
      <x:c r="B2678" s="2" t="n">
        <x:v>2673</x:v>
      </x:c>
      <x:c r="C2678" s="2" t="str">
        <x:v>Beauty / organic_volume_growth</x:v>
      </x:c>
      <x:c r="D2678" s="7" t="n">
        <x:v>45473</x:v>
      </x:c>
      <x:c r="E2678" s="2" t="str">
        <x:v>Pre-earnings</x:v>
      </x:c>
      <x:c r="F2678" s="7" t="n">
        <x:v>45502</x:v>
      </x:c>
      <x:c r="G2678" s="2" t="str">
        <x:v>Bias correction</x:v>
      </x:c>
      <x:c r="H2678" s="8" t="n">
        <x:f>K1161</x:f>
        <x:v>-0.7118759120134448</x:v>
      </x:c>
      <x:c r="I2678" s="8" t="n">
        <x:f>AVERAGE(M1097,M1113,M1129,M1145)</x:f>
        <x:v>-0.7972055412765785</x:v>
      </x:c>
      <x:c r="J2678" s="8" t="n">
        <x:v>1</x:v>
      </x:c>
      <x:c r="K2678" s="8" t="n">
        <x:f>H2678-I2678*J2678</x:f>
        <x:v>0.0853296292631337</x:v>
      </x:c>
      <x:c r="L2678" s="8" t="n">
        <x:f>'PG facts'!E97</x:f>
        <x:v>1</x:v>
      </x:c>
      <x:c r="M2678" s="8" t="n">
        <x:f>K2678-L2678</x:f>
        <x:v>-0.9146703707368663</x:v>
      </x:c>
      <x:c r="N2678" s="8" t="n">
        <x:f>M2678^2</x:f>
        <x:v>0.8366218871039165</x:v>
      </x:c>
      <x:c r="O2678" s="8" t="n">
        <x:f>ABS(M2678)</x:f>
        <x:v>0.9146703707368663</x:v>
      </x:c>
      <x:c r="P2678" s="7" t="n">
        <x:v>45503</x:v>
      </x:c>
    </x:row>
    <x:row r="2679" ht="26" customHeight="1">
      <x:c r="A2679" s="2"/>
      <x:c r="B2679" s="2" t="n">
        <x:v>2674</x:v>
      </x:c>
      <x:c r="C2679" s="2" t="str">
        <x:v>Beauty / organic_volume_growth</x:v>
      </x:c>
      <x:c r="D2679" s="7" t="n">
        <x:v>45473</x:v>
      </x:c>
      <x:c r="E2679" s="2" t="str">
        <x:v>Pre-earnings</x:v>
      </x:c>
      <x:c r="F2679" s="7" t="n">
        <x:v>45502</x:v>
      </x:c>
      <x:c r="G2679" s="2" t="str">
        <x:v>Half correction</x:v>
      </x:c>
      <x:c r="H2679" s="8" t="n">
        <x:f>K1161</x:f>
        <x:v>-0.7118759120134448</x:v>
      </x:c>
      <x:c r="I2679" s="8" t="n">
        <x:f>AVERAGE(M1097,M1113,M1129,M1145)</x:f>
        <x:v>-0.7972055412765785</x:v>
      </x:c>
      <x:c r="J2679" s="8" t="n">
        <x:v>0.5</x:v>
      </x:c>
      <x:c r="K2679" s="8" t="n">
        <x:f>H2679-I2679*J2679</x:f>
        <x:v>-0.31327314137515555</x:v>
      </x:c>
      <x:c r="L2679" s="8" t="n">
        <x:f>'PG facts'!E97</x:f>
        <x:v>1</x:v>
      </x:c>
      <x:c r="M2679" s="8" t="n">
        <x:f>K2679-L2679</x:f>
        <x:v>-1.3132731413751555</x:v>
      </x:c>
      <x:c r="N2679" s="8" t="n">
        <x:f>M2679^2</x:f>
        <x:v>1.7246863438573692</x:v>
      </x:c>
      <x:c r="O2679" s="8" t="n">
        <x:f>ABS(M2679)</x:f>
        <x:v>1.3132731413751555</x:v>
      </x:c>
      <x:c r="P2679" s="7" t="n">
        <x:v>45503</x:v>
      </x:c>
    </x:row>
    <x:row r="2680" ht="26" customHeight="1">
      <x:c r="A2680" s="2"/>
      <x:c r="B2680" s="2" t="n">
        <x:v>2675</x:v>
      </x:c>
      <x:c r="C2680" s="2" t="str">
        <x:v>Beauty / organic_volume_growth</x:v>
      </x:c>
      <x:c r="D2680" s="7" t="n">
        <x:v>45565</x:v>
      </x:c>
      <x:c r="E2680" s="2" t="str">
        <x:v>Origin</x:v>
      </x:c>
      <x:c r="F2680" s="7" t="n">
        <x:v>45474</x:v>
      </x:c>
      <x:c r="G2680" s="2" t="str">
        <x:v>Bias correction</x:v>
      </x:c>
      <x:c r="H2680" s="8" t="n">
        <x:f>K1167</x:f>
        <x:v>-0.6980324372543927</x:v>
      </x:c>
      <x:c r="I2680" s="8" t="n">
        <x:f>AVERAGE(M1088,M1103,M1119,M1135)</x:f>
        <x:v>-1.0003564912662193</x:v>
      </x:c>
      <x:c r="J2680" s="8" t="n">
        <x:v>1</x:v>
      </x:c>
      <x:c r="K2680" s="8" t="n">
        <x:f>H2680-I2680*J2680</x:f>
        <x:v>0.3023240540118266</x:v>
      </x:c>
      <x:c r="L2680" s="8" t="n">
        <x:f>'PG facts'!E104</x:f>
        <x:v>0</x:v>
      </x:c>
      <x:c r="M2680" s="8" t="n">
        <x:f>K2680-L2680</x:f>
        <x:v>0.3023240540118266</x:v>
      </x:c>
      <x:c r="N2680" s="8" t="n">
        <x:f>M2680^2</x:f>
        <x:v>0.09139983363414585</x:v>
      </x:c>
      <x:c r="O2680" s="8" t="n">
        <x:f>ABS(M2680)</x:f>
        <x:v>0.3023240540118266</x:v>
      </x:c>
      <x:c r="P2680" s="7" t="n">
        <x:v>45583</x:v>
      </x:c>
    </x:row>
    <x:row r="2681" ht="26" customHeight="1">
      <x:c r="A2681" s="2"/>
      <x:c r="B2681" s="2" t="n">
        <x:v>2676</x:v>
      </x:c>
      <x:c r="C2681" s="2" t="str">
        <x:v>Beauty / organic_volume_growth</x:v>
      </x:c>
      <x:c r="D2681" s="7" t="n">
        <x:v>45565</x:v>
      </x:c>
      <x:c r="E2681" s="2" t="str">
        <x:v>Origin</x:v>
      </x:c>
      <x:c r="F2681" s="7" t="n">
        <x:v>45474</x:v>
      </x:c>
      <x:c r="G2681" s="2" t="str">
        <x:v>Half correction</x:v>
      </x:c>
      <x:c r="H2681" s="8" t="n">
        <x:f>K1167</x:f>
        <x:v>-0.6980324372543927</x:v>
      </x:c>
      <x:c r="I2681" s="8" t="n">
        <x:f>AVERAGE(M1088,M1103,M1119,M1135)</x:f>
        <x:v>-1.0003564912662193</x:v>
      </x:c>
      <x:c r="J2681" s="8" t="n">
        <x:v>0.5</x:v>
      </x:c>
      <x:c r="K2681" s="8" t="n">
        <x:f>H2681-I2681*J2681</x:f>
        <x:v>-0.19785419162128304</x:v>
      </x:c>
      <x:c r="L2681" s="8" t="n">
        <x:f>'PG facts'!E104</x:f>
        <x:v>0</x:v>
      </x:c>
      <x:c r="M2681" s="8" t="n">
        <x:f>K2681-L2681</x:f>
        <x:v>-0.19785419162128304</x:v>
      </x:c>
      <x:c r="N2681" s="8" t="n">
        <x:f>M2681^2</x:f>
        <x:v>0.03914628114211139</x:v>
      </x:c>
      <x:c r="O2681" s="8" t="n">
        <x:f>ABS(M2681)</x:f>
        <x:v>0.19785419162128304</x:v>
      </x:c>
      <x:c r="P2681" s="7" t="n">
        <x:v>45583</x:v>
      </x:c>
    </x:row>
    <x:row r="2682" ht="26" customHeight="1">
      <x:c r="A2682" s="2"/>
      <x:c r="B2682" s="2" t="n">
        <x:v>2677</x:v>
      </x:c>
      <x:c r="C2682" s="2" t="str">
        <x:v>Beauty / organic_volume_growth</x:v>
      </x:c>
      <x:c r="D2682" s="7" t="n">
        <x:v>45565</x:v>
      </x:c>
      <x:c r="E2682" s="2" t="str">
        <x:v>Prior report</x:v>
      </x:c>
      <x:c r="F2682" s="7" t="n">
        <x:v>45503</x:v>
      </x:c>
      <x:c r="G2682" s="2" t="str">
        <x:v>Bias correction</x:v>
      </x:c>
      <x:c r="H2682" s="8" t="n">
        <x:f>K1172</x:f>
        <x:v>-0.5755191833427777</x:v>
      </x:c>
      <x:c r="I2682" s="8" t="n">
        <x:f>AVERAGE(M1107,M1124,M1140,M1156)</x:f>
        <x:v>-1.283956321360411</x:v>
      </x:c>
      <x:c r="J2682" s="8" t="n">
        <x:v>1</x:v>
      </x:c>
      <x:c r="K2682" s="8" t="n">
        <x:f>H2682-I2682*J2682</x:f>
        <x:v>0.7084371380176333</x:v>
      </x:c>
      <x:c r="L2682" s="8" t="n">
        <x:f>'PG facts'!E104</x:f>
        <x:v>0</x:v>
      </x:c>
      <x:c r="M2682" s="8" t="n">
        <x:f>K2682-L2682</x:f>
        <x:v>0.7084371380176333</x:v>
      </x:c>
      <x:c r="N2682" s="8" t="n">
        <x:f>M2682^2</x:f>
        <x:v>0.5018831785226152</x:v>
      </x:c>
      <x:c r="O2682" s="8" t="n">
        <x:f>ABS(M2682)</x:f>
        <x:v>0.7084371380176333</x:v>
      </x:c>
      <x:c r="P2682" s="7" t="n">
        <x:v>45583</x:v>
      </x:c>
    </x:row>
    <x:row r="2683" ht="26" customHeight="1">
      <x:c r="A2683" s="2"/>
      <x:c r="B2683" s="2" t="n">
        <x:v>2678</x:v>
      </x:c>
      <x:c r="C2683" s="2" t="str">
        <x:v>Beauty / organic_volume_growth</x:v>
      </x:c>
      <x:c r="D2683" s="7" t="n">
        <x:v>45565</x:v>
      </x:c>
      <x:c r="E2683" s="2" t="str">
        <x:v>Prior report</x:v>
      </x:c>
      <x:c r="F2683" s="7" t="n">
        <x:v>45503</x:v>
      </x:c>
      <x:c r="G2683" s="2" t="str">
        <x:v>Half correction</x:v>
      </x:c>
      <x:c r="H2683" s="8" t="n">
        <x:f>K1172</x:f>
        <x:v>-0.5755191833427777</x:v>
      </x:c>
      <x:c r="I2683" s="8" t="n">
        <x:f>AVERAGE(M1107,M1124,M1140,M1156)</x:f>
        <x:v>-1.283956321360411</x:v>
      </x:c>
      <x:c r="J2683" s="8" t="n">
        <x:v>0.5</x:v>
      </x:c>
      <x:c r="K2683" s="8" t="n">
        <x:f>H2683-I2683*J2683</x:f>
        <x:v>0.06645897733742778</x:v>
      </x:c>
      <x:c r="L2683" s="8" t="n">
        <x:f>'PG facts'!E104</x:f>
        <x:v>0</x:v>
      </x:c>
      <x:c r="M2683" s="8" t="n">
        <x:f>K2683-L2683</x:f>
        <x:v>0.06645897733742778</x:v>
      </x:c>
      <x:c r="N2683" s="8" t="n">
        <x:f>M2683^2</x:f>
        <x:v>0.00441679566873674</x:v>
      </x:c>
      <x:c r="O2683" s="8" t="n">
        <x:f>ABS(M2683)</x:f>
        <x:v>0.06645897733742778</x:v>
      </x:c>
      <x:c r="P2683" s="7" t="n">
        <x:v>45583</x:v>
      </x:c>
    </x:row>
    <x:row r="2684" ht="26" customHeight="1">
      <x:c r="A2684" s="2"/>
      <x:c r="B2684" s="2" t="n">
        <x:v>2679</x:v>
      </x:c>
      <x:c r="C2684" s="2" t="str">
        <x:v>Beauty / organic_volume_growth</x:v>
      </x:c>
      <x:c r="D2684" s="7" t="n">
        <x:v>45565</x:v>
      </x:c>
      <x:c r="E2684" s="2" t="str">
        <x:v>Pre-earnings</x:v>
      </x:c>
      <x:c r="F2684" s="7" t="n">
        <x:v>45582</x:v>
      </x:c>
      <x:c r="G2684" s="2" t="str">
        <x:v>Bias correction</x:v>
      </x:c>
      <x:c r="H2684" s="8" t="n">
        <x:f>K1178</x:f>
        <x:v>-0.44978484617976294</x:v>
      </x:c>
      <x:c r="I2684" s="8" t="n">
        <x:f>AVERAGE(M1113,M1129,M1145,M1161)</x:f>
        <x:v>-1.1693072419407307</x:v>
      </x:c>
      <x:c r="J2684" s="8" t="n">
        <x:v>1</x:v>
      </x:c>
      <x:c r="K2684" s="8" t="n">
        <x:f>H2684-I2684*J2684</x:f>
        <x:v>0.7195223957609678</x:v>
      </x:c>
      <x:c r="L2684" s="8" t="n">
        <x:f>'PG facts'!E104</x:f>
        <x:v>0</x:v>
      </x:c>
      <x:c r="M2684" s="8" t="n">
        <x:f>K2684-L2684</x:f>
        <x:v>0.7195223957609678</x:v>
      </x:c>
      <x:c r="N2684" s="8" t="n">
        <x:f>M2684^2</x:f>
        <x:v>0.5177124780016027</x:v>
      </x:c>
      <x:c r="O2684" s="8" t="n">
        <x:f>ABS(M2684)</x:f>
        <x:v>0.7195223957609678</x:v>
      </x:c>
      <x:c r="P2684" s="7" t="n">
        <x:v>45583</x:v>
      </x:c>
    </x:row>
    <x:row r="2685" ht="26" customHeight="1">
      <x:c r="A2685" s="2"/>
      <x:c r="B2685" s="2" t="n">
        <x:v>2680</x:v>
      </x:c>
      <x:c r="C2685" s="2" t="str">
        <x:v>Beauty / organic_volume_growth</x:v>
      </x:c>
      <x:c r="D2685" s="7" t="n">
        <x:v>45565</x:v>
      </x:c>
      <x:c r="E2685" s="2" t="str">
        <x:v>Pre-earnings</x:v>
      </x:c>
      <x:c r="F2685" s="7" t="n">
        <x:v>45582</x:v>
      </x:c>
      <x:c r="G2685" s="2" t="str">
        <x:v>Half correction</x:v>
      </x:c>
      <x:c r="H2685" s="8" t="n">
        <x:f>K1178</x:f>
        <x:v>-0.44978484617976294</x:v>
      </x:c>
      <x:c r="I2685" s="8" t="n">
        <x:f>AVERAGE(M1113,M1129,M1145,M1161)</x:f>
        <x:v>-1.1693072419407307</x:v>
      </x:c>
      <x:c r="J2685" s="8" t="n">
        <x:v>0.5</x:v>
      </x:c>
      <x:c r="K2685" s="8" t="n">
        <x:f>H2685-I2685*J2685</x:f>
        <x:v>0.13486877479060239</x:v>
      </x:c>
      <x:c r="L2685" s="8" t="n">
        <x:f>'PG facts'!E104</x:f>
        <x:v>0</x:v>
      </x:c>
      <x:c r="M2685" s="8" t="n">
        <x:f>K2685-L2685</x:f>
        <x:v>0.13486877479060239</x:v>
      </x:c>
      <x:c r="N2685" s="8" t="n">
        <x:f>M2685^2</x:f>
        <x:v>0.018189586413518227</x:v>
      </x:c>
      <x:c r="O2685" s="8" t="n">
        <x:f>ABS(M2685)</x:f>
        <x:v>0.13486877479060239</x:v>
      </x:c>
      <x:c r="P2685" s="7" t="n">
        <x:v>45583</x:v>
      </x:c>
    </x:row>
    <x:row r="2686" ht="26" customHeight="1">
      <x:c r="A2686" s="2"/>
      <x:c r="B2686" s="2" t="n">
        <x:v>2681</x:v>
      </x:c>
      <x:c r="C2686" s="2" t="str">
        <x:v>Beauty / organic_volume_growth</x:v>
      </x:c>
      <x:c r="D2686" s="7" t="n">
        <x:v>45657</x:v>
      </x:c>
      <x:c r="E2686" s="2" t="str">
        <x:v>Origin</x:v>
      </x:c>
      <x:c r="F2686" s="7" t="n">
        <x:v>45566</x:v>
      </x:c>
      <x:c r="G2686" s="2" t="str">
        <x:v>Bias correction</x:v>
      </x:c>
      <x:c r="H2686" s="8" t="n">
        <x:f>K1184</x:f>
        <x:v>-0.4509721769534088</x:v>
      </x:c>
      <x:c r="I2686" s="8" t="n">
        <x:f>AVERAGE(M1103,M1119,M1135,M1151)</x:f>
        <x:v>-1.3082439585834955</x:v>
      </x:c>
      <x:c r="J2686" s="8" t="n">
        <x:v>1</x:v>
      </x:c>
      <x:c r="K2686" s="8" t="n">
        <x:f>H2686-I2686*J2686</x:f>
        <x:v>0.8572717816300868</x:v>
      </x:c>
      <x:c r="L2686" s="8" t="n">
        <x:f>'PG facts'!E111</x:f>
        <x:v>0</x:v>
      </x:c>
      <x:c r="M2686" s="8" t="n">
        <x:f>K2686-L2686</x:f>
        <x:v>0.8572717816300868</x:v>
      </x:c>
      <x:c r="N2686" s="8" t="n">
        <x:f>M2686^2</x:f>
        <x:v>0.7349149075792232</x:v>
      </x:c>
      <x:c r="O2686" s="8" t="n">
        <x:f>ABS(M2686)</x:f>
        <x:v>0.8572717816300868</x:v>
      </x:c>
      <x:c r="P2686" s="7" t="n">
        <x:v>45679</x:v>
      </x:c>
    </x:row>
    <x:row r="2687" ht="26" customHeight="1">
      <x:c r="A2687" s="2"/>
      <x:c r="B2687" s="2" t="n">
        <x:v>2682</x:v>
      </x:c>
      <x:c r="C2687" s="2" t="str">
        <x:v>Beauty / organic_volume_growth</x:v>
      </x:c>
      <x:c r="D2687" s="7" t="n">
        <x:v>45657</x:v>
      </x:c>
      <x:c r="E2687" s="2" t="str">
        <x:v>Origin</x:v>
      </x:c>
      <x:c r="F2687" s="7" t="n">
        <x:v>45566</x:v>
      </x:c>
      <x:c r="G2687" s="2" t="str">
        <x:v>Half correction</x:v>
      </x:c>
      <x:c r="H2687" s="8" t="n">
        <x:f>K1184</x:f>
        <x:v>-0.4509721769534088</x:v>
      </x:c>
      <x:c r="I2687" s="8" t="n">
        <x:f>AVERAGE(M1103,M1119,M1135,M1151)</x:f>
        <x:v>-1.3082439585834955</x:v>
      </x:c>
      <x:c r="J2687" s="8" t="n">
        <x:v>0.5</x:v>
      </x:c>
      <x:c r="K2687" s="8" t="n">
        <x:f>H2687-I2687*J2687</x:f>
        <x:v>0.20314980233833896</x:v>
      </x:c>
      <x:c r="L2687" s="8" t="n">
        <x:f>'PG facts'!E111</x:f>
        <x:v>0</x:v>
      </x:c>
      <x:c r="M2687" s="8" t="n">
        <x:f>K2687-L2687</x:f>
        <x:v>0.20314980233833896</x:v>
      </x:c>
      <x:c r="N2687" s="8" t="n">
        <x:f>M2687^2</x:f>
        <x:v>0.04126984219010619</x:v>
      </x:c>
      <x:c r="O2687" s="8" t="n">
        <x:f>ABS(M2687)</x:f>
        <x:v>0.20314980233833896</x:v>
      </x:c>
      <x:c r="P2687" s="7" t="n">
        <x:v>45679</x:v>
      </x:c>
    </x:row>
    <x:row r="2688" ht="26" customHeight="1">
      <x:c r="A2688" s="2"/>
      <x:c r="B2688" s="2" t="n">
        <x:v>2683</x:v>
      </x:c>
      <x:c r="C2688" s="2" t="str">
        <x:v>Beauty / organic_volume_growth</x:v>
      </x:c>
      <x:c r="D2688" s="7" t="n">
        <x:v>45657</x:v>
      </x:c>
      <x:c r="E2688" s="2" t="str">
        <x:v>Prior report</x:v>
      </x:c>
      <x:c r="F2688" s="7" t="n">
        <x:v>45583</x:v>
      </x:c>
      <x:c r="G2688" s="2" t="str">
        <x:v>Bias correction</x:v>
      </x:c>
      <x:c r="H2688" s="8" t="n">
        <x:f>K1189</x:f>
        <x:v>-0.4509721769534088</x:v>
      </x:c>
      <x:c r="I2688" s="8" t="n">
        <x:f>AVERAGE(M1124,M1140,M1156,M1172)</x:f>
        <x:v>-1.1366611587410156</x:v>
      </x:c>
      <x:c r="J2688" s="8" t="n">
        <x:v>1</x:v>
      </x:c>
      <x:c r="K2688" s="8" t="n">
        <x:f>H2688-I2688*J2688</x:f>
        <x:v>0.6856889817876068</x:v>
      </x:c>
      <x:c r="L2688" s="8" t="n">
        <x:f>'PG facts'!E111</x:f>
        <x:v>0</x:v>
      </x:c>
      <x:c r="M2688" s="8" t="n">
        <x:f>K2688-L2688</x:f>
        <x:v>0.6856889817876068</x:v>
      </x:c>
      <x:c r="N2688" s="8" t="n">
        <x:f>M2688^2</x:f>
        <x:v>0.470169379744925</x:v>
      </x:c>
      <x:c r="O2688" s="8" t="n">
        <x:f>ABS(M2688)</x:f>
        <x:v>0.6856889817876068</x:v>
      </x:c>
      <x:c r="P2688" s="7" t="n">
        <x:v>45679</x:v>
      </x:c>
    </x:row>
    <x:row r="2689" ht="26" customHeight="1">
      <x:c r="A2689" s="2"/>
      <x:c r="B2689" s="2" t="n">
        <x:v>2684</x:v>
      </x:c>
      <x:c r="C2689" s="2" t="str">
        <x:v>Beauty / organic_volume_growth</x:v>
      </x:c>
      <x:c r="D2689" s="7" t="n">
        <x:v>45657</x:v>
      </x:c>
      <x:c r="E2689" s="2" t="str">
        <x:v>Prior report</x:v>
      </x:c>
      <x:c r="F2689" s="7" t="n">
        <x:v>45583</x:v>
      </x:c>
      <x:c r="G2689" s="2" t="str">
        <x:v>Half correction</x:v>
      </x:c>
      <x:c r="H2689" s="8" t="n">
        <x:f>K1189</x:f>
        <x:v>-0.4509721769534088</x:v>
      </x:c>
      <x:c r="I2689" s="8" t="n">
        <x:f>AVERAGE(M1124,M1140,M1156,M1172)</x:f>
        <x:v>-1.1366611587410156</x:v>
      </x:c>
      <x:c r="J2689" s="8" t="n">
        <x:v>0.5</x:v>
      </x:c>
      <x:c r="K2689" s="8" t="n">
        <x:f>H2689-I2689*J2689</x:f>
        <x:v>0.117358402417099</x:v>
      </x:c>
      <x:c r="L2689" s="8" t="n">
        <x:f>'PG facts'!E111</x:f>
        <x:v>0</x:v>
      </x:c>
      <x:c r="M2689" s="8" t="n">
        <x:f>K2689-L2689</x:f>
        <x:v>0.117358402417099</x:v>
      </x:c>
      <x:c r="N2689" s="8" t="n">
        <x:f>M2689^2</x:f>
        <x:v>0.013772994617893747</x:v>
      </x:c>
      <x:c r="O2689" s="8" t="n">
        <x:f>ABS(M2689)</x:f>
        <x:v>0.117358402417099</x:v>
      </x:c>
      <x:c r="P2689" s="7" t="n">
        <x:v>45679</x:v>
      </x:c>
    </x:row>
    <x:row r="2690" ht="26" customHeight="1">
      <x:c r="A2690" s="2"/>
      <x:c r="B2690" s="2" t="n">
        <x:v>2685</x:v>
      </x:c>
      <x:c r="C2690" s="2" t="str">
        <x:v>Beauty / organic_volume_growth</x:v>
      </x:c>
      <x:c r="D2690" s="7" t="n">
        <x:v>45657</x:v>
      </x:c>
      <x:c r="E2690" s="2" t="str">
        <x:v>Pre-earnings</x:v>
      </x:c>
      <x:c r="F2690" s="7" t="n">
        <x:v>45678</x:v>
      </x:c>
      <x:c r="G2690" s="2" t="str">
        <x:v>Bias correction</x:v>
      </x:c>
      <x:c r="H2690" s="8" t="n">
        <x:f>K1194</x:f>
        <x:v>-0.4178992409272993</x:v>
      </x:c>
      <x:c r="I2690" s="8" t="n">
        <x:f>AVERAGE(M1129,M1145,M1161,M1178)</x:f>
        <x:v>-1.012293714208001</x:v>
      </x:c>
      <x:c r="J2690" s="8" t="n">
        <x:v>1</x:v>
      </x:c>
      <x:c r="K2690" s="8" t="n">
        <x:f>H2690-I2690*J2690</x:f>
        <x:v>0.5943944732807018</x:v>
      </x:c>
      <x:c r="L2690" s="8" t="n">
        <x:f>'PG facts'!E111</x:f>
        <x:v>0</x:v>
      </x:c>
      <x:c r="M2690" s="8" t="n">
        <x:f>K2690-L2690</x:f>
        <x:v>0.5943944732807018</x:v>
      </x:c>
      <x:c r="N2690" s="8" t="n">
        <x:f>M2690^2</x:f>
        <x:v>0.353304789866643</x:v>
      </x:c>
      <x:c r="O2690" s="8" t="n">
        <x:f>ABS(M2690)</x:f>
        <x:v>0.5943944732807018</x:v>
      </x:c>
      <x:c r="P2690" s="7" t="n">
        <x:v>45679</x:v>
      </x:c>
    </x:row>
    <x:row r="2691" ht="26" customHeight="1">
      <x:c r="A2691" s="2"/>
      <x:c r="B2691" s="2" t="n">
        <x:v>2686</x:v>
      </x:c>
      <x:c r="C2691" s="2" t="str">
        <x:v>Beauty / organic_volume_growth</x:v>
      </x:c>
      <x:c r="D2691" s="7" t="n">
        <x:v>45657</x:v>
      </x:c>
      <x:c r="E2691" s="2" t="str">
        <x:v>Pre-earnings</x:v>
      </x:c>
      <x:c r="F2691" s="7" t="n">
        <x:v>45678</x:v>
      </x:c>
      <x:c r="G2691" s="2" t="str">
        <x:v>Half correction</x:v>
      </x:c>
      <x:c r="H2691" s="8" t="n">
        <x:f>K1194</x:f>
        <x:v>-0.4178992409272993</x:v>
      </x:c>
      <x:c r="I2691" s="8" t="n">
        <x:f>AVERAGE(M1129,M1145,M1161,M1178)</x:f>
        <x:v>-1.012293714208001</x:v>
      </x:c>
      <x:c r="J2691" s="8" t="n">
        <x:v>0.5</x:v>
      </x:c>
      <x:c r="K2691" s="8" t="n">
        <x:f>H2691-I2691*J2691</x:f>
        <x:v>0.08824761617670124</x:v>
      </x:c>
      <x:c r="L2691" s="8" t="n">
        <x:f>'PG facts'!E111</x:f>
        <x:v>0</x:v>
      </x:c>
      <x:c r="M2691" s="8" t="n">
        <x:f>K2691-L2691</x:f>
        <x:v>0.08824761617670124</x:v>
      </x:c>
      <x:c r="N2691" s="8" t="n">
        <x:f>M2691^2</x:f>
        <x:v>0.007787641760870382</x:v>
      </x:c>
      <x:c r="O2691" s="8" t="n">
        <x:f>ABS(M2691)</x:f>
        <x:v>0.08824761617670124</x:v>
      </x:c>
      <x:c r="P2691" s="7" t="n">
        <x:v>45679</x:v>
      </x:c>
    </x:row>
    <x:row r="2692" ht="26" customHeight="1">
      <x:c r="A2692" s="2"/>
      <x:c r="B2692" s="2" t="n">
        <x:v>2687</x:v>
      </x:c>
      <x:c r="C2692" s="2" t="str">
        <x:v>Beauty / organic_volume_growth</x:v>
      </x:c>
      <x:c r="D2692" s="7" t="n">
        <x:v>45747</x:v>
      </x:c>
      <x:c r="E2692" s="2" t="str">
        <x:v>Origin</x:v>
      </x:c>
      <x:c r="F2692" s="7" t="n">
        <x:v>45658</x:v>
      </x:c>
      <x:c r="G2692" s="2" t="str">
        <x:v>Bias correction</x:v>
      </x:c>
      <x:c r="H2692" s="8" t="n">
        <x:f>K1200</x:f>
        <x:v>-0.39601557849341934</x:v>
      </x:c>
      <x:c r="I2692" s="8" t="n">
        <x:f>AVERAGE(M1119,M1135,M1151,M1167)</x:f>
        <x:v>-1.1672894722189193</x:v>
      </x:c>
      <x:c r="J2692" s="8" t="n">
        <x:v>1</x:v>
      </x:c>
      <x:c r="K2692" s="8" t="n">
        <x:f>H2692-I2692*J2692</x:f>
        <x:v>0.7712738937254999</x:v>
      </x:c>
      <x:c r="L2692" s="8" t="n">
        <x:f>'PG facts'!E118</x:f>
        <x:v>1</x:v>
      </x:c>
      <x:c r="M2692" s="8" t="n">
        <x:f>K2692-L2692</x:f>
        <x:v>-0.22872610627450007</x:v>
      </x:c>
      <x:c r="N2692" s="8" t="n">
        <x:f>M2692^2</x:f>
        <x:v>0.052315631691493905</x:v>
      </x:c>
      <x:c r="O2692" s="8" t="n">
        <x:f>ABS(M2692)</x:f>
        <x:v>0.22872610627450007</x:v>
      </x:c>
      <x:c r="P2692" s="7" t="n">
        <x:v>45771</x:v>
      </x:c>
    </x:row>
    <x:row r="2693" ht="26" customHeight="1">
      <x:c r="A2693" s="2"/>
      <x:c r="B2693" s="2" t="n">
        <x:v>2688</x:v>
      </x:c>
      <x:c r="C2693" s="2" t="str">
        <x:v>Beauty / organic_volume_growth</x:v>
      </x:c>
      <x:c r="D2693" s="7" t="n">
        <x:v>45747</x:v>
      </x:c>
      <x:c r="E2693" s="2" t="str">
        <x:v>Origin</x:v>
      </x:c>
      <x:c r="F2693" s="7" t="n">
        <x:v>45658</x:v>
      </x:c>
      <x:c r="G2693" s="2" t="str">
        <x:v>Half correction</x:v>
      </x:c>
      <x:c r="H2693" s="8" t="n">
        <x:f>K1200</x:f>
        <x:v>-0.39601557849341934</x:v>
      </x:c>
      <x:c r="I2693" s="8" t="n">
        <x:f>AVERAGE(M1119,M1135,M1151,M1167)</x:f>
        <x:v>-1.1672894722189193</x:v>
      </x:c>
      <x:c r="J2693" s="8" t="n">
        <x:v>0.5</x:v>
      </x:c>
      <x:c r="K2693" s="8" t="n">
        <x:f>H2693-I2693*J2693</x:f>
        <x:v>0.18762915761604032</x:v>
      </x:c>
      <x:c r="L2693" s="8" t="n">
        <x:f>'PG facts'!E118</x:f>
        <x:v>1</x:v>
      </x:c>
      <x:c r="M2693" s="8" t="n">
        <x:f>K2693-L2693</x:f>
        <x:v>-0.8123708423839597</x:v>
      </x:c>
      <x:c r="N2693" s="8" t="n">
        <x:f>M2693^2</x:f>
        <x:v>0.6599463855556243</x:v>
      </x:c>
      <x:c r="O2693" s="8" t="n">
        <x:f>ABS(M2693)</x:f>
        <x:v>0.8123708423839597</x:v>
      </x:c>
      <x:c r="P2693" s="7" t="n">
        <x:v>45771</x:v>
      </x:c>
    </x:row>
    <x:row r="2694" ht="26" customHeight="1">
      <x:c r="A2694" s="2"/>
      <x:c r="B2694" s="2" t="n">
        <x:v>2689</x:v>
      </x:c>
      <x:c r="C2694" s="2" t="str">
        <x:v>Beauty / organic_volume_growth</x:v>
      </x:c>
      <x:c r="D2694" s="7" t="n">
        <x:v>45747</x:v>
      </x:c>
      <x:c r="E2694" s="2" t="str">
        <x:v>Prior report</x:v>
      </x:c>
      <x:c r="F2694" s="7" t="n">
        <x:v>45679</x:v>
      </x:c>
      <x:c r="G2694" s="2" t="str">
        <x:v>Bias correction</x:v>
      </x:c>
      <x:c r="H2694" s="8" t="n">
        <x:f>K1205</x:f>
        <x:v>-0.39601557849341934</x:v>
      </x:c>
      <x:c r="I2694" s="8" t="n">
        <x:f>AVERAGE(M1140,M1156,M1172,M1189)</x:f>
        <x:v>-1.216404679801801</x:v>
      </x:c>
      <x:c r="J2694" s="8" t="n">
        <x:v>1</x:v>
      </x:c>
      <x:c r="K2694" s="8" t="n">
        <x:f>H2694-I2694*J2694</x:f>
        <x:v>0.8203891013083815</x:v>
      </x:c>
      <x:c r="L2694" s="8" t="n">
        <x:f>'PG facts'!E118</x:f>
        <x:v>1</x:v>
      </x:c>
      <x:c r="M2694" s="8" t="n">
        <x:f>K2694-L2694</x:f>
        <x:v>-0.1796108986916185</x:v>
      </x:c>
      <x:c r="N2694" s="8" t="n">
        <x:f>M2694^2</x:f>
        <x:v>0.03226007492881085</x:v>
      </x:c>
      <x:c r="O2694" s="8" t="n">
        <x:f>ABS(M2694)</x:f>
        <x:v>0.1796108986916185</x:v>
      </x:c>
      <x:c r="P2694" s="7" t="n">
        <x:v>45771</x:v>
      </x:c>
    </x:row>
    <x:row r="2695" ht="26" customHeight="1">
      <x:c r="A2695" s="2"/>
      <x:c r="B2695" s="2" t="n">
        <x:v>2690</x:v>
      </x:c>
      <x:c r="C2695" s="2" t="str">
        <x:v>Beauty / organic_volume_growth</x:v>
      </x:c>
      <x:c r="D2695" s="7" t="n">
        <x:v>45747</x:v>
      </x:c>
      <x:c r="E2695" s="2" t="str">
        <x:v>Prior report</x:v>
      </x:c>
      <x:c r="F2695" s="7" t="n">
        <x:v>45679</x:v>
      </x:c>
      <x:c r="G2695" s="2" t="str">
        <x:v>Half correction</x:v>
      </x:c>
      <x:c r="H2695" s="8" t="n">
        <x:f>K1205</x:f>
        <x:v>-0.39601557849341934</x:v>
      </x:c>
      <x:c r="I2695" s="8" t="n">
        <x:f>AVERAGE(M1140,M1156,M1172,M1189)</x:f>
        <x:v>-1.216404679801801</x:v>
      </x:c>
      <x:c r="J2695" s="8" t="n">
        <x:v>0.5</x:v>
      </x:c>
      <x:c r="K2695" s="8" t="n">
        <x:f>H2695-I2695*J2695</x:f>
        <x:v>0.2121867614074811</x:v>
      </x:c>
      <x:c r="L2695" s="8" t="n">
        <x:f>'PG facts'!E118</x:f>
        <x:v>1</x:v>
      </x:c>
      <x:c r="M2695" s="8" t="n">
        <x:f>K2695-L2695</x:f>
        <x:v>-0.787813238592519</x:v>
      </x:c>
      <x:c r="N2695" s="8" t="n">
        <x:f>M2695^2</x:f>
        <x:v>0.6206496989016332</x:v>
      </x:c>
      <x:c r="O2695" s="8" t="n">
        <x:f>ABS(M2695)</x:f>
        <x:v>0.787813238592519</x:v>
      </x:c>
      <x:c r="P2695" s="7" t="n">
        <x:v>45771</x:v>
      </x:c>
    </x:row>
    <x:row r="2696" ht="26" customHeight="1">
      <x:c r="A2696" s="2"/>
      <x:c r="B2696" s="2" t="n">
        <x:v>2691</x:v>
      </x:c>
      <x:c r="C2696" s="2" t="str">
        <x:v>Beauty / organic_volume_growth</x:v>
      </x:c>
      <x:c r="D2696" s="7" t="n">
        <x:v>45747</x:v>
      </x:c>
      <x:c r="E2696" s="2" t="str">
        <x:v>Pre-earnings</x:v>
      </x:c>
      <x:c r="F2696" s="7" t="n">
        <x:v>45770</x:v>
      </x:c>
      <x:c r="G2696" s="2" t="str">
        <x:v>Bias correction</x:v>
      </x:c>
      <x:c r="H2696" s="8" t="n">
        <x:f>K1210</x:f>
        <x:v>-0.3227785155613184</x:v>
      </x:c>
      <x:c r="I2696" s="8" t="n">
        <x:f>AVERAGE(M1145,M1161,M1178,M1194)</x:f>
        <x:v>-1.1369950106561046</x:v>
      </x:c>
      <x:c r="J2696" s="8" t="n">
        <x:v>1</x:v>
      </x:c>
      <x:c r="K2696" s="8" t="n">
        <x:f>H2696-I2696*J2696</x:f>
        <x:v>0.8142164950947862</x:v>
      </x:c>
      <x:c r="L2696" s="8" t="n">
        <x:f>'PG facts'!E118</x:f>
        <x:v>1</x:v>
      </x:c>
      <x:c r="M2696" s="8" t="n">
        <x:f>K2696-L2696</x:f>
        <x:v>-0.18578350490521378</x:v>
      </x:c>
      <x:c r="N2696" s="8" t="n">
        <x:f>M2696^2</x:f>
        <x:v>0.034515510694865595</x:v>
      </x:c>
      <x:c r="O2696" s="8" t="n">
        <x:f>ABS(M2696)</x:f>
        <x:v>0.18578350490521378</x:v>
      </x:c>
      <x:c r="P2696" s="7" t="n">
        <x:v>45771</x:v>
      </x:c>
    </x:row>
    <x:row r="2697" ht="26" customHeight="1">
      <x:c r="A2697" s="2"/>
      <x:c r="B2697" s="2" t="n">
        <x:v>2692</x:v>
      </x:c>
      <x:c r="C2697" s="2" t="str">
        <x:v>Beauty / organic_volume_growth</x:v>
      </x:c>
      <x:c r="D2697" s="7" t="n">
        <x:v>45747</x:v>
      </x:c>
      <x:c r="E2697" s="2" t="str">
        <x:v>Pre-earnings</x:v>
      </x:c>
      <x:c r="F2697" s="7" t="n">
        <x:v>45770</x:v>
      </x:c>
      <x:c r="G2697" s="2" t="str">
        <x:v>Half correction</x:v>
      </x:c>
      <x:c r="H2697" s="8" t="n">
        <x:f>K1210</x:f>
        <x:v>-0.3227785155613184</x:v>
      </x:c>
      <x:c r="I2697" s="8" t="n">
        <x:f>AVERAGE(M1145,M1161,M1178,M1194)</x:f>
        <x:v>-1.1369950106561046</x:v>
      </x:c>
      <x:c r="J2697" s="8" t="n">
        <x:v>0.5</x:v>
      </x:c>
      <x:c r="K2697" s="8" t="n">
        <x:f>H2697-I2697*J2697</x:f>
        <x:v>0.2457189897667339</x:v>
      </x:c>
      <x:c r="L2697" s="8" t="n">
        <x:f>'PG facts'!E118</x:f>
        <x:v>1</x:v>
      </x:c>
      <x:c r="M2697" s="8" t="n">
        <x:f>K2697-L2697</x:f>
        <x:v>-0.7542810102332661</x:v>
      </x:c>
      <x:c r="N2697" s="8" t="n">
        <x:f>M2697^2</x:f>
        <x:v>0.5689398423985165</x:v>
      </x:c>
      <x:c r="O2697" s="8" t="n">
        <x:f>ABS(M2697)</x:f>
        <x:v>0.7542810102332661</x:v>
      </x:c>
      <x:c r="P2697" s="7" t="n">
        <x:v>45771</x:v>
      </x:c>
    </x:row>
    <x:row r="2698" ht="26" customHeight="1">
      <x:c r="A2698" s="2"/>
      <x:c r="B2698" s="2" t="n">
        <x:v>2693</x:v>
      </x:c>
      <x:c r="C2698" s="2" t="str">
        <x:v>Beauty / organic_volume_growth</x:v>
      </x:c>
      <x:c r="D2698" s="7" t="n">
        <x:v>45838</x:v>
      </x:c>
      <x:c r="E2698" s="2" t="str">
        <x:v>Origin</x:v>
      </x:c>
      <x:c r="F2698" s="7" t="n">
        <x:v>45748</x:v>
      </x:c>
      <x:c r="G2698" s="2" t="str">
        <x:v>Bias correction</x:v>
      </x:c>
      <x:c r="H2698" s="8" t="n">
        <x:f>K1216</x:f>
        <x:v>-0.3439912970133173</x:v>
      </x:c>
      <x:c r="I2698" s="8" t="n">
        <x:f>AVERAGE(M1135,M1151,M1167,M1184)</x:f>
        <x:v>-1.2470329932797046</x:v>
      </x:c>
      <x:c r="J2698" s="8" t="n">
        <x:v>1</x:v>
      </x:c>
      <x:c r="K2698" s="8" t="n">
        <x:f>H2698-I2698*J2698</x:f>
        <x:v>0.9030416962663873</x:v>
      </x:c>
      <x:c r="L2698" s="8" t="n">
        <x:f>'PG facts'!E125</x:f>
        <x:v>1</x:v>
      </x:c>
      <x:c r="M2698" s="8" t="n">
        <x:f>K2698-L2698</x:f>
        <x:v>-0.0969583037336127</x:v>
      </x:c>
      <x:c r="N2698" s="8" t="n">
        <x:f>M2698^2</x:f>
        <x:v>0.009400912662899493</x:v>
      </x:c>
      <x:c r="O2698" s="8" t="n">
        <x:f>ABS(M2698)</x:f>
        <x:v>0.0969583037336127</x:v>
      </x:c>
      <x:c r="P2698" s="7" t="n">
        <x:v>45867</x:v>
      </x:c>
    </x:row>
    <x:row r="2699" ht="26" customHeight="1">
      <x:c r="A2699" s="2"/>
      <x:c r="B2699" s="2" t="n">
        <x:v>2694</x:v>
      </x:c>
      <x:c r="C2699" s="2" t="str">
        <x:v>Beauty / organic_volume_growth</x:v>
      </x:c>
      <x:c r="D2699" s="7" t="n">
        <x:v>45838</x:v>
      </x:c>
      <x:c r="E2699" s="2" t="str">
        <x:v>Origin</x:v>
      </x:c>
      <x:c r="F2699" s="7" t="n">
        <x:v>45748</x:v>
      </x:c>
      <x:c r="G2699" s="2" t="str">
        <x:v>Half correction</x:v>
      </x:c>
      <x:c r="H2699" s="8" t="n">
        <x:f>K1216</x:f>
        <x:v>-0.3439912970133173</x:v>
      </x:c>
      <x:c r="I2699" s="8" t="n">
        <x:f>AVERAGE(M1135,M1151,M1167,M1184)</x:f>
        <x:v>-1.2470329932797046</x:v>
      </x:c>
      <x:c r="J2699" s="8" t="n">
        <x:v>0.5</x:v>
      </x:c>
      <x:c r="K2699" s="8" t="n">
        <x:f>H2699-I2699*J2699</x:f>
        <x:v>0.279525199626535</x:v>
      </x:c>
      <x:c r="L2699" s="8" t="n">
        <x:f>'PG facts'!E125</x:f>
        <x:v>1</x:v>
      </x:c>
      <x:c r="M2699" s="8" t="n">
        <x:f>K2699-L2699</x:f>
        <x:v>-0.720474800373465</x:v>
      </x:c>
      <x:c r="N2699" s="8" t="n">
        <x:f>M2699^2</x:f>
        <x:v>0.5190839379731843</x:v>
      </x:c>
      <x:c r="O2699" s="8" t="n">
        <x:f>ABS(M2699)</x:f>
        <x:v>0.720474800373465</x:v>
      </x:c>
      <x:c r="P2699" s="7" t="n">
        <x:v>45867</x:v>
      </x:c>
    </x:row>
    <x:row r="2700" ht="26" customHeight="1">
      <x:c r="A2700" s="2"/>
      <x:c r="B2700" s="2" t="n">
        <x:v>2695</x:v>
      </x:c>
      <x:c r="C2700" s="2" t="str">
        <x:v>Beauty / organic_volume_growth</x:v>
      </x:c>
      <x:c r="D2700" s="7" t="n">
        <x:v>45838</x:v>
      </x:c>
      <x:c r="E2700" s="2" t="str">
        <x:v>Prior report</x:v>
      </x:c>
      <x:c r="F2700" s="7" t="n">
        <x:v>45771</x:v>
      </x:c>
      <x:c r="G2700" s="2" t="str">
        <x:v>Bias correction</x:v>
      </x:c>
      <x:c r="H2700" s="8" t="n">
        <x:f>K1221</x:f>
        <x:v>-0.3439912970133173</x:v>
      </x:c>
      <x:c r="I2700" s="8" t="n">
        <x:f>AVERAGE(M1156,M1172,M1189,M1205)</x:f>
        <x:v>-1.079715560172022</x:v>
      </x:c>
      <x:c r="J2700" s="8" t="n">
        <x:v>1</x:v>
      </x:c>
      <x:c r="K2700" s="8" t="n">
        <x:f>H2700-I2700*J2700</x:f>
        <x:v>0.7357242631587048</x:v>
      </x:c>
      <x:c r="L2700" s="8" t="n">
        <x:f>'PG facts'!E125</x:f>
        <x:v>1</x:v>
      </x:c>
      <x:c r="M2700" s="8" t="n">
        <x:f>K2700-L2700</x:f>
        <x:v>-0.26427573684129524</x:v>
      </x:c>
      <x:c r="N2700" s="8" t="n">
        <x:f>M2700^2</x:f>
        <x:v>0.06984166508300953</x:v>
      </x:c>
      <x:c r="O2700" s="8" t="n">
        <x:f>ABS(M2700)</x:f>
        <x:v>0.26427573684129524</x:v>
      </x:c>
      <x:c r="P2700" s="7" t="n">
        <x:v>45867</x:v>
      </x:c>
    </x:row>
    <x:row r="2701" ht="26" customHeight="1">
      <x:c r="A2701" s="2"/>
      <x:c r="B2701" s="2" t="n">
        <x:v>2696</x:v>
      </x:c>
      <x:c r="C2701" s="2" t="str">
        <x:v>Beauty / organic_volume_growth</x:v>
      </x:c>
      <x:c r="D2701" s="7" t="n">
        <x:v>45838</x:v>
      </x:c>
      <x:c r="E2701" s="2" t="str">
        <x:v>Prior report</x:v>
      </x:c>
      <x:c r="F2701" s="7" t="n">
        <x:v>45771</x:v>
      </x:c>
      <x:c r="G2701" s="2" t="str">
        <x:v>Half correction</x:v>
      </x:c>
      <x:c r="H2701" s="8" t="n">
        <x:f>K1221</x:f>
        <x:v>-0.3439912970133173</x:v>
      </x:c>
      <x:c r="I2701" s="8" t="n">
        <x:f>AVERAGE(M1156,M1172,M1189,M1205)</x:f>
        <x:v>-1.079715560172022</x:v>
      </x:c>
      <x:c r="J2701" s="8" t="n">
        <x:v>0.5</x:v>
      </x:c>
      <x:c r="K2701" s="8" t="n">
        <x:f>H2701-I2701*J2701</x:f>
        <x:v>0.19586648307269372</x:v>
      </x:c>
      <x:c r="L2701" s="8" t="n">
        <x:f>'PG facts'!E125</x:f>
        <x:v>1</x:v>
      </x:c>
      <x:c r="M2701" s="8" t="n">
        <x:f>K2701-L2701</x:f>
        <x:v>-0.8041335169273063</x:v>
      </x:c>
      <x:c r="N2701" s="8" t="n">
        <x:f>M2701^2</x:f>
        <x:v>0.6466307130458784</x:v>
      </x:c>
      <x:c r="O2701" s="8" t="n">
        <x:f>ABS(M2701)</x:f>
        <x:v>0.8041335169273063</x:v>
      </x:c>
      <x:c r="P2701" s="7" t="n">
        <x:v>45867</x:v>
      </x:c>
    </x:row>
    <x:row r="2702" ht="26" customHeight="1">
      <x:c r="A2702" s="2"/>
      <x:c r="B2702" s="2" t="n">
        <x:v>2697</x:v>
      </x:c>
      <x:c r="C2702" s="2" t="str">
        <x:v>Beauty / organic_volume_growth</x:v>
      </x:c>
      <x:c r="D2702" s="7" t="n">
        <x:v>45838</x:v>
      </x:c>
      <x:c r="E2702" s="2" t="str">
        <x:v>Pre-earnings</x:v>
      </x:c>
      <x:c r="F2702" s="7" t="n">
        <x:v>45866</x:v>
      </x:c>
      <x:c r="G2702" s="2" t="str">
        <x:v>Bias correction</x:v>
      </x:c>
      <x:c r="H2702" s="8" t="n">
        <x:f>K1226</x:f>
        <x:v>-0.18017662978155613</x:v>
      </x:c>
      <x:c r="I2702" s="8" t="n">
        <x:f>AVERAGE(M1161,M1178,M1194,M1210)</x:f>
        <x:v>-0.9755846286704564</x:v>
      </x:c>
      <x:c r="J2702" s="8" t="n">
        <x:v>1</x:v>
      </x:c>
      <x:c r="K2702" s="8" t="n">
        <x:f>H2702-I2702*J2702</x:f>
        <x:v>0.7954079988889002</x:v>
      </x:c>
      <x:c r="L2702" s="8" t="n">
        <x:f>'PG facts'!E125</x:f>
        <x:v>1</x:v>
      </x:c>
      <x:c r="M2702" s="8" t="n">
        <x:f>K2702-L2702</x:f>
        <x:v>-0.20459200111109976</x:v>
      </x:c>
      <x:c r="N2702" s="8" t="n">
        <x:f>M2702^2</x:f>
        <x:v>0.04185788691864425</x:v>
      </x:c>
      <x:c r="O2702" s="8" t="n">
        <x:f>ABS(M2702)</x:f>
        <x:v>0.20459200111109976</x:v>
      </x:c>
      <x:c r="P2702" s="7" t="n">
        <x:v>45867</x:v>
      </x:c>
    </x:row>
    <x:row r="2703" ht="26" customHeight="1">
      <x:c r="A2703" s="2"/>
      <x:c r="B2703" s="2" t="n">
        <x:v>2698</x:v>
      </x:c>
      <x:c r="C2703" s="2" t="str">
        <x:v>Beauty / organic_volume_growth</x:v>
      </x:c>
      <x:c r="D2703" s="7" t="n">
        <x:v>45838</x:v>
      </x:c>
      <x:c r="E2703" s="2" t="str">
        <x:v>Pre-earnings</x:v>
      </x:c>
      <x:c r="F2703" s="7" t="n">
        <x:v>45866</x:v>
      </x:c>
      <x:c r="G2703" s="2" t="str">
        <x:v>Half correction</x:v>
      </x:c>
      <x:c r="H2703" s="8" t="n">
        <x:f>K1226</x:f>
        <x:v>-0.18017662978155613</x:v>
      </x:c>
      <x:c r="I2703" s="8" t="n">
        <x:f>AVERAGE(M1161,M1178,M1194,M1210)</x:f>
        <x:v>-0.9755846286704564</x:v>
      </x:c>
      <x:c r="J2703" s="8" t="n">
        <x:v>0.5</x:v>
      </x:c>
      <x:c r="K2703" s="8" t="n">
        <x:f>H2703-I2703*J2703</x:f>
        <x:v>0.30761568455367205</x:v>
      </x:c>
      <x:c r="L2703" s="8" t="n">
        <x:f>'PG facts'!E125</x:f>
        <x:v>1</x:v>
      </x:c>
      <x:c r="M2703" s="8" t="n">
        <x:f>K2703-L2703</x:f>
        <x:v>-0.692384315446328</x:v>
      </x:c>
      <x:c r="N2703" s="8" t="n">
        <x:f>M2703^2</x:f>
        <x:v>0.4793960402760802</x:v>
      </x:c>
      <x:c r="O2703" s="8" t="n">
        <x:f>ABS(M2703)</x:f>
        <x:v>0.692384315446328</x:v>
      </x:c>
      <x:c r="P2703" s="7" t="n">
        <x:v>45867</x:v>
      </x:c>
    </x:row>
    <x:row r="2704" ht="26" customHeight="1">
      <x:c r="A2704" s="2"/>
      <x:c r="B2704" s="2" t="n">
        <x:v>2699</x:v>
      </x:c>
      <x:c r="C2704" s="2" t="str">
        <x:v>Beauty / organic_volume_growth</x:v>
      </x:c>
      <x:c r="D2704" s="7" t="n">
        <x:v>45930</x:v>
      </x:c>
      <x:c r="E2704" s="2" t="str">
        <x:v>Origin</x:v>
      </x:c>
      <x:c r="F2704" s="7" t="n">
        <x:v>45839</x:v>
      </x:c>
      <x:c r="G2704" s="2" t="str">
        <x:v>Bias correction</x:v>
      </x:c>
      <x:c r="H2704" s="8" t="n">
        <x:f>K1232</x:f>
        <x:v>-0.1891320163675314</x:v>
      </x:c>
      <x:c r="I2704" s="8" t="n">
        <x:f>AVERAGE(M1151,M1167,M1184,M1200)</x:f>
        <x:v>-1.1103438736499258</x:v>
      </x:c>
      <x:c r="J2704" s="8" t="n">
        <x:v>1</x:v>
      </x:c>
      <x:c r="K2704" s="8" t="n">
        <x:f>H2704-I2704*J2704</x:f>
        <x:v>0.9212118572823944</x:v>
      </x:c>
      <x:c r="L2704" s="8" t="n">
        <x:f>'PG facts'!E132</x:f>
        <x:v>4</x:v>
      </x:c>
      <x:c r="M2704" s="8" t="n">
        <x:f>K2704-L2704</x:f>
        <x:v>-3.0787881427176056</x:v>
      </x:c>
      <x:c r="N2704" s="8" t="n">
        <x:f>M2704^2</x:f>
        <x:v>9.478936427738523</x:v>
      </x:c>
      <x:c r="O2704" s="8" t="n">
        <x:f>ABS(M2704)</x:f>
        <x:v>3.0787881427176056</x:v>
      </x:c>
      <x:c r="P2704" s="7" t="n">
        <x:v>45954</x:v>
      </x:c>
    </x:row>
    <x:row r="2705" ht="26" customHeight="1">
      <x:c r="A2705" s="2"/>
      <x:c r="B2705" s="2" t="n">
        <x:v>2700</x:v>
      </x:c>
      <x:c r="C2705" s="2" t="str">
        <x:v>Beauty / organic_volume_growth</x:v>
      </x:c>
      <x:c r="D2705" s="7" t="n">
        <x:v>45930</x:v>
      </x:c>
      <x:c r="E2705" s="2" t="str">
        <x:v>Origin</x:v>
      </x:c>
      <x:c r="F2705" s="7" t="n">
        <x:v>45839</x:v>
      </x:c>
      <x:c r="G2705" s="2" t="str">
        <x:v>Half correction</x:v>
      </x:c>
      <x:c r="H2705" s="8" t="n">
        <x:f>K1232</x:f>
        <x:v>-0.1891320163675314</x:v>
      </x:c>
      <x:c r="I2705" s="8" t="n">
        <x:f>AVERAGE(M1151,M1167,M1184,M1200)</x:f>
        <x:v>-1.1103438736499258</x:v>
      </x:c>
      <x:c r="J2705" s="8" t="n">
        <x:v>0.5</x:v>
      </x:c>
      <x:c r="K2705" s="8" t="n">
        <x:f>H2705-I2705*J2705</x:f>
        <x:v>0.3660399204574315</x:v>
      </x:c>
      <x:c r="L2705" s="8" t="n">
        <x:f>'PG facts'!E132</x:f>
        <x:v>4</x:v>
      </x:c>
      <x:c r="M2705" s="8" t="n">
        <x:f>K2705-L2705</x:f>
        <x:v>-3.6339600795425686</x:v>
      </x:c>
      <x:c r="N2705" s="8" t="n">
        <x:f>M2705^2</x:f>
        <x:v>13.20566585970903</x:v>
      </x:c>
      <x:c r="O2705" s="8" t="n">
        <x:f>ABS(M2705)</x:f>
        <x:v>3.6339600795425686</x:v>
      </x:c>
      <x:c r="P2705" s="7" t="n">
        <x:v>45954</x:v>
      </x:c>
    </x:row>
    <x:row r="2706" ht="26" customHeight="1">
      <x:c r="A2706" s="2"/>
      <x:c r="B2706" s="2" t="n">
        <x:v>2701</x:v>
      </x:c>
      <x:c r="C2706" s="2" t="str">
        <x:v>Beauty / organic_volume_growth</x:v>
      </x:c>
      <x:c r="D2706" s="7" t="n">
        <x:v>45930</x:v>
      </x:c>
      <x:c r="E2706" s="2" t="str">
        <x:v>Prior report</x:v>
      </x:c>
      <x:c r="F2706" s="7" t="n">
        <x:v>45867</x:v>
      </x:c>
      <x:c r="G2706" s="2" t="str">
        <x:v>Bias correction</x:v>
      </x:c>
      <x:c r="H2706" s="8" t="n">
        <x:f>K1237</x:f>
        <x:v>-0.1891320163675314</x:v>
      </x:c>
      <x:c r="I2706" s="8" t="n">
        <x:f>AVERAGE(M1172,M1189,M1205,M1221)</x:f>
        <x:v>-0.9416245589507308</x:v>
      </x:c>
      <x:c r="J2706" s="8" t="n">
        <x:v>1</x:v>
      </x:c>
      <x:c r="K2706" s="8" t="n">
        <x:f>H2706-I2706*J2706</x:f>
        <x:v>0.7524925425831994</x:v>
      </x:c>
      <x:c r="L2706" s="8" t="n">
        <x:f>'PG facts'!E132</x:f>
        <x:v>4</x:v>
      </x:c>
      <x:c r="M2706" s="8" t="n">
        <x:f>K2706-L2706</x:f>
        <x:v>-3.2475074574168006</x:v>
      </x:c>
      <x:c r="N2706" s="8" t="n">
        <x:f>M2706^2</x:f>
        <x:v>10.546304685977733</x:v>
      </x:c>
      <x:c r="O2706" s="8" t="n">
        <x:f>ABS(M2706)</x:f>
        <x:v>3.2475074574168006</x:v>
      </x:c>
      <x:c r="P2706" s="7" t="n">
        <x:v>45954</x:v>
      </x:c>
    </x:row>
    <x:row r="2707" ht="26" customHeight="1">
      <x:c r="A2707" s="2"/>
      <x:c r="B2707" s="2" t="n">
        <x:v>2702</x:v>
      </x:c>
      <x:c r="C2707" s="2" t="str">
        <x:v>Beauty / organic_volume_growth</x:v>
      </x:c>
      <x:c r="D2707" s="7" t="n">
        <x:v>45930</x:v>
      </x:c>
      <x:c r="E2707" s="2" t="str">
        <x:v>Prior report</x:v>
      </x:c>
      <x:c r="F2707" s="7" t="n">
        <x:v>45867</x:v>
      </x:c>
      <x:c r="G2707" s="2" t="str">
        <x:v>Half correction</x:v>
      </x:c>
      <x:c r="H2707" s="8" t="n">
        <x:f>K1237</x:f>
        <x:v>-0.1891320163675314</x:v>
      </x:c>
      <x:c r="I2707" s="8" t="n">
        <x:f>AVERAGE(M1172,M1189,M1205,M1221)</x:f>
        <x:v>-0.9416245589507308</x:v>
      </x:c>
      <x:c r="J2707" s="8" t="n">
        <x:v>0.5</x:v>
      </x:c>
      <x:c r="K2707" s="8" t="n">
        <x:f>H2707-I2707*J2707</x:f>
        <x:v>0.281680263107834</x:v>
      </x:c>
      <x:c r="L2707" s="8" t="n">
        <x:f>'PG facts'!E132</x:f>
        <x:v>4</x:v>
      </x:c>
      <x:c r="M2707" s="8" t="n">
        <x:f>K2707-L2707</x:f>
        <x:v>-3.718319736892166</x:v>
      </x:c>
      <x:c r="N2707" s="8" t="n">
        <x:f>M2707^2</x:f>
        <x:v>13.825901665761828</x:v>
      </x:c>
      <x:c r="O2707" s="8" t="n">
        <x:f>ABS(M2707)</x:f>
        <x:v>3.718319736892166</x:v>
      </x:c>
      <x:c r="P2707" s="7" t="n">
        <x:v>45954</x:v>
      </x:c>
    </x:row>
    <x:row r="2708" ht="26" customHeight="1">
      <x:c r="A2708" s="2"/>
      <x:c r="B2708" s="2" t="n">
        <x:v>2703</x:v>
      </x:c>
      <x:c r="C2708" s="2" t="str">
        <x:v>Beauty / organic_volume_growth</x:v>
      </x:c>
      <x:c r="D2708" s="7" t="n">
        <x:v>45930</x:v>
      </x:c>
      <x:c r="E2708" s="2" t="str">
        <x:v>Pre-earnings</x:v>
      </x:c>
      <x:c r="F2708" s="7" t="n">
        <x:v>45953</x:v>
      </x:c>
      <x:c r="G2708" s="2" t="str">
        <x:v>Bias correction</x:v>
      </x:c>
      <x:c r="H2708" s="8" t="n">
        <x:f>K1242</x:f>
        <x:v>-0.0505128583215827</x:v>
      </x:c>
      <x:c r="I2708" s="8" t="n">
        <x:f>AVERAGE(M1178,M1194,M1210,M1226)</x:f>
        <x:v>-0.8426598081124842</x:v>
      </x:c>
      <x:c r="J2708" s="8" t="n">
        <x:v>1</x:v>
      </x:c>
      <x:c r="K2708" s="8" t="n">
        <x:f>H2708-I2708*J2708</x:f>
        <x:v>0.7921469497909015</x:v>
      </x:c>
      <x:c r="L2708" s="8" t="n">
        <x:f>'PG facts'!E132</x:f>
        <x:v>4</x:v>
      </x:c>
      <x:c r="M2708" s="8" t="n">
        <x:f>K2708-L2708</x:f>
        <x:v>-3.2078530502090983</x:v>
      </x:c>
      <x:c r="N2708" s="8" t="n">
        <x:f>M2708^2</x:f>
        <x:v>10.290321191735815</x:v>
      </x:c>
      <x:c r="O2708" s="8" t="n">
        <x:f>ABS(M2708)</x:f>
        <x:v>3.2078530502090983</x:v>
      </x:c>
      <x:c r="P2708" s="7" t="n">
        <x:v>45954</x:v>
      </x:c>
    </x:row>
    <x:row r="2709" ht="26" customHeight="1">
      <x:c r="A2709" s="2"/>
      <x:c r="B2709" s="2" t="n">
        <x:v>2704</x:v>
      </x:c>
      <x:c r="C2709" s="2" t="str">
        <x:v>Beauty / organic_volume_growth</x:v>
      </x:c>
      <x:c r="D2709" s="7" t="n">
        <x:v>45930</x:v>
      </x:c>
      <x:c r="E2709" s="2" t="str">
        <x:v>Pre-earnings</x:v>
      </x:c>
      <x:c r="F2709" s="7" t="n">
        <x:v>45953</x:v>
      </x:c>
      <x:c r="G2709" s="2" t="str">
        <x:v>Half correction</x:v>
      </x:c>
      <x:c r="H2709" s="8" t="n">
        <x:f>K1242</x:f>
        <x:v>-0.0505128583215827</x:v>
      </x:c>
      <x:c r="I2709" s="8" t="n">
        <x:f>AVERAGE(M1178,M1194,M1210,M1226)</x:f>
        <x:v>-0.8426598081124842</x:v>
      </x:c>
      <x:c r="J2709" s="8" t="n">
        <x:v>0.5</x:v>
      </x:c>
      <x:c r="K2709" s="8" t="n">
        <x:f>H2709-I2709*J2709</x:f>
        <x:v>0.3708170457346594</x:v>
      </x:c>
      <x:c r="L2709" s="8" t="n">
        <x:f>'PG facts'!E132</x:f>
        <x:v>4</x:v>
      </x:c>
      <x:c r="M2709" s="8" t="n">
        <x:f>K2709-L2709</x:f>
        <x:v>-3.6291829542653407</x:v>
      </x:c>
      <x:c r="N2709" s="8" t="n">
        <x:f>M2709^2</x:f>
        <x:v>13.170968915530105</x:v>
      </x:c>
      <x:c r="O2709" s="8" t="n">
        <x:f>ABS(M2709)</x:f>
        <x:v>3.6291829542653407</x:v>
      </x:c>
      <x:c r="P2709" s="7" t="n">
        <x:v>45954</x:v>
      </x:c>
    </x:row>
    <x:row r="2710" ht="26" customHeight="1">
      <x:c r="A2710" s="2"/>
      <x:c r="B2710" s="2" t="n">
        <x:v>2705</x:v>
      </x:c>
      <x:c r="C2710" s="2" t="str">
        <x:v>Beauty / organic_volume_growth</x:v>
      </x:c>
      <x:c r="D2710" s="7" t="n">
        <x:v>46022</x:v>
      </x:c>
      <x:c r="E2710" s="2" t="str">
        <x:v>Origin</x:v>
      </x:c>
      <x:c r="F2710" s="7" t="n">
        <x:v>45931</x:v>
      </x:c>
      <x:c r="G2710" s="2" t="str">
        <x:v>Bias correction</x:v>
      </x:c>
      <x:c r="H2710" s="8" t="n">
        <x:f>K1248</x:f>
        <x:v>-0.04812126011063411</x:v>
      </x:c>
      <x:c r="I2710" s="8" t="n">
        <x:f>AVERAGE(M1167,M1184,M1200,M1216)</x:f>
        <x:v>-0.9722528724286346</x:v>
      </x:c>
      <x:c r="J2710" s="8" t="n">
        <x:v>1</x:v>
      </x:c>
      <x:c r="K2710" s="8" t="n">
        <x:f>H2710-I2710*J2710</x:f>
        <x:v>0.9241316123180005</x:v>
      </x:c>
      <x:c r="L2710" s="8" t="n">
        <x:f>'PG facts'!E139</x:f>
        <x:v>3</x:v>
      </x:c>
      <x:c r="M2710" s="8" t="n">
        <x:f>K2710-L2710</x:f>
        <x:v>-2.0758683876819997</x:v>
      </x:c>
      <x:c r="N2710" s="8" t="n">
        <x:f>M2710^2</x:f>
        <x:v>4.309229562977465</x:v>
      </x:c>
      <x:c r="O2710" s="8" t="n">
        <x:f>ABS(M2710)</x:f>
        <x:v>2.0758683876819997</x:v>
      </x:c>
      <x:c r="P2710" s="7" t="n">
        <x:v>46045</x:v>
      </x:c>
    </x:row>
    <x:row r="2711" ht="26" customHeight="1">
      <x:c r="A2711" s="2"/>
      <x:c r="B2711" s="2" t="n">
        <x:v>2706</x:v>
      </x:c>
      <x:c r="C2711" s="2" t="str">
        <x:v>Beauty / organic_volume_growth</x:v>
      </x:c>
      <x:c r="D2711" s="7" t="n">
        <x:v>46022</x:v>
      </x:c>
      <x:c r="E2711" s="2" t="str">
        <x:v>Origin</x:v>
      </x:c>
      <x:c r="F2711" s="7" t="n">
        <x:v>45931</x:v>
      </x:c>
      <x:c r="G2711" s="2" t="str">
        <x:v>Half correction</x:v>
      </x:c>
      <x:c r="H2711" s="8" t="n">
        <x:f>K1248</x:f>
        <x:v>-0.04812126011063411</x:v>
      </x:c>
      <x:c r="I2711" s="8" t="n">
        <x:f>AVERAGE(M1167,M1184,M1200,M1216)</x:f>
        <x:v>-0.9722528724286346</x:v>
      </x:c>
      <x:c r="J2711" s="8" t="n">
        <x:v>0.5</x:v>
      </x:c>
      <x:c r="K2711" s="8" t="n">
        <x:f>H2711-I2711*J2711</x:f>
        <x:v>0.43800517610368317</x:v>
      </x:c>
      <x:c r="L2711" s="8" t="n">
        <x:f>'PG facts'!E139</x:f>
        <x:v>3</x:v>
      </x:c>
      <x:c r="M2711" s="8" t="n">
        <x:f>K2711-L2711</x:f>
        <x:v>-2.561994823896317</x:v>
      </x:c>
      <x:c r="N2711" s="8" t="n">
        <x:f>M2711^2</x:f>
        <x:v>6.5638174776715195</x:v>
      </x:c>
      <x:c r="O2711" s="8" t="n">
        <x:f>ABS(M2711)</x:f>
        <x:v>2.561994823896317</x:v>
      </x:c>
      <x:c r="P2711" s="7" t="n">
        <x:v>46045</x:v>
      </x:c>
    </x:row>
    <x:row r="2712" ht="26" customHeight="1">
      <x:c r="A2712" s="2"/>
      <x:c r="B2712" s="2" t="n">
        <x:v>2707</x:v>
      </x:c>
      <x:c r="C2712" s="2" t="str">
        <x:v>Beauty / organic_volume_growth</x:v>
      </x:c>
      <x:c r="D2712" s="7" t="n">
        <x:v>46022</x:v>
      </x:c>
      <x:c r="E2712" s="2" t="str">
        <x:v>Prior report</x:v>
      </x:c>
      <x:c r="F2712" s="7" t="n">
        <x:v>45954</x:v>
      </x:c>
      <x:c r="G2712" s="2" t="str">
        <x:v>Bias correction</x:v>
      </x:c>
      <x:c r="H2712" s="8" t="n">
        <x:f>K1253</x:f>
        <x:v>-0.04812126011063411</x:v>
      </x:c>
      <x:c r="I2712" s="8" t="n">
        <x:f>AVERAGE(M1189,M1205,M1221,M1237)</x:f>
        <x:v>-1.8450277672069193</x:v>
      </x:c>
      <x:c r="J2712" s="8" t="n">
        <x:v>1</x:v>
      </x:c>
      <x:c r="K2712" s="8" t="n">
        <x:f>H2712-I2712*J2712</x:f>
        <x:v>1.7969065070962853</x:v>
      </x:c>
      <x:c r="L2712" s="8" t="n">
        <x:f>'PG facts'!E139</x:f>
        <x:v>3</x:v>
      </x:c>
      <x:c r="M2712" s="8" t="n">
        <x:f>K2712-L2712</x:f>
        <x:v>-1.2030934929037147</x:v>
      </x:c>
      <x:c r="N2712" s="8" t="n">
        <x:f>M2712^2</x:f>
        <x:v>1.4474339526672606</x:v>
      </x:c>
      <x:c r="O2712" s="8" t="n">
        <x:f>ABS(M2712)</x:f>
        <x:v>1.2030934929037147</x:v>
      </x:c>
      <x:c r="P2712" s="7" t="n">
        <x:v>46045</x:v>
      </x:c>
    </x:row>
    <x:row r="2713" ht="26" customHeight="1">
      <x:c r="A2713" s="2"/>
      <x:c r="B2713" s="2" t="n">
        <x:v>2708</x:v>
      </x:c>
      <x:c r="C2713" s="2" t="str">
        <x:v>Beauty / organic_volume_growth</x:v>
      </x:c>
      <x:c r="D2713" s="7" t="n">
        <x:v>46022</x:v>
      </x:c>
      <x:c r="E2713" s="2" t="str">
        <x:v>Prior report</x:v>
      </x:c>
      <x:c r="F2713" s="7" t="n">
        <x:v>45954</x:v>
      </x:c>
      <x:c r="G2713" s="2" t="str">
        <x:v>Half correction</x:v>
      </x:c>
      <x:c r="H2713" s="8" t="n">
        <x:f>K1253</x:f>
        <x:v>-0.04812126011063411</x:v>
      </x:c>
      <x:c r="I2713" s="8" t="n">
        <x:f>AVERAGE(M1189,M1205,M1221,M1237)</x:f>
        <x:v>-1.8450277672069193</x:v>
      </x:c>
      <x:c r="J2713" s="8" t="n">
        <x:v>0.5</x:v>
      </x:c>
      <x:c r="K2713" s="8" t="n">
        <x:f>H2713-I2713*J2713</x:f>
        <x:v>0.8743926234928255</x:v>
      </x:c>
      <x:c r="L2713" s="8" t="n">
        <x:f>'PG facts'!E139</x:f>
        <x:v>3</x:v>
      </x:c>
      <x:c r="M2713" s="8" t="n">
        <x:f>K2713-L2713</x:f>
        <x:v>-2.1256073765071744</x:v>
      </x:c>
      <x:c r="N2713" s="8" t="n">
        <x:f>M2713^2</x:f>
        <x:v>4.518206719061713</x:v>
      </x:c>
      <x:c r="O2713" s="8" t="n">
        <x:f>ABS(M2713)</x:f>
        <x:v>2.1256073765071744</x:v>
      </x:c>
      <x:c r="P2713" s="7" t="n">
        <x:v>46045</x:v>
      </x:c>
    </x:row>
    <x:row r="2714" ht="26" customHeight="1">
      <x:c r="A2714" s="2"/>
      <x:c r="B2714" s="2" t="n">
        <x:v>2709</x:v>
      </x:c>
      <x:c r="C2714" s="2" t="str">
        <x:v>Beauty / organic_volume_growth</x:v>
      </x:c>
      <x:c r="D2714" s="7" t="n">
        <x:v>46022</x:v>
      </x:c>
      <x:c r="E2714" s="2" t="str">
        <x:v>Pre-earnings</x:v>
      </x:c>
      <x:c r="F2714" s="7" t="n">
        <x:v>46044</x:v>
      </x:c>
      <x:c r="G2714" s="2" t="str">
        <x:v>Bias correction</x:v>
      </x:c>
      <x:c r="H2714" s="8" t="n">
        <x:f>K1258</x:f>
        <x:v>0.08584007850660424</x:v>
      </x:c>
      <x:c r="I2714" s="8" t="n">
        <x:f>AVERAGE(M1194,M1210,M1226,M1242)</x:f>
        <x:v>-1.7428418111479393</x:v>
      </x:c>
      <x:c r="J2714" s="8" t="n">
        <x:v>1</x:v>
      </x:c>
      <x:c r="K2714" s="8" t="n">
        <x:f>H2714-I2714*J2714</x:f>
        <x:v>1.8286818896545436</x:v>
      </x:c>
      <x:c r="L2714" s="8" t="n">
        <x:f>'PG facts'!E139</x:f>
        <x:v>3</x:v>
      </x:c>
      <x:c r="M2714" s="8" t="n">
        <x:f>K2714-L2714</x:f>
        <x:v>-1.1713181103454564</x:v>
      </x:c>
      <x:c r="N2714" s="8" t="n">
        <x:f>M2714^2</x:f>
        <x:v>1.371986115623251</x:v>
      </x:c>
      <x:c r="O2714" s="8" t="n">
        <x:f>ABS(M2714)</x:f>
        <x:v>1.1713181103454564</x:v>
      </x:c>
      <x:c r="P2714" s="7" t="n">
        <x:v>46045</x:v>
      </x:c>
    </x:row>
    <x:row r="2715" ht="26" customHeight="1">
      <x:c r="A2715" s="2"/>
      <x:c r="B2715" s="2" t="n">
        <x:v>2710</x:v>
      </x:c>
      <x:c r="C2715" s="2" t="str">
        <x:v>Beauty / organic_volume_growth</x:v>
      </x:c>
      <x:c r="D2715" s="7" t="n">
        <x:v>46022</x:v>
      </x:c>
      <x:c r="E2715" s="2" t="str">
        <x:v>Pre-earnings</x:v>
      </x:c>
      <x:c r="F2715" s="7" t="n">
        <x:v>46044</x:v>
      </x:c>
      <x:c r="G2715" s="2" t="str">
        <x:v>Half correction</x:v>
      </x:c>
      <x:c r="H2715" s="8" t="n">
        <x:f>K1258</x:f>
        <x:v>0.08584007850660424</x:v>
      </x:c>
      <x:c r="I2715" s="8" t="n">
        <x:f>AVERAGE(M1194,M1210,M1226,M1242)</x:f>
        <x:v>-1.7428418111479393</x:v>
      </x:c>
      <x:c r="J2715" s="8" t="n">
        <x:v>0.5</x:v>
      </x:c>
      <x:c r="K2715" s="8" t="n">
        <x:f>H2715-I2715*J2715</x:f>
        <x:v>0.9572609840805739</x:v>
      </x:c>
      <x:c r="L2715" s="8" t="n">
        <x:f>'PG facts'!E139</x:f>
        <x:v>3</x:v>
      </x:c>
      <x:c r="M2715" s="8" t="n">
        <x:f>K2715-L2715</x:f>
        <x:v>-2.042739015919426</x:v>
      </x:c>
      <x:c r="N2715" s="8" t="n">
        <x:f>M2715^2</x:f>
        <x:v>4.172782687159464</x:v>
      </x:c>
      <x:c r="O2715" s="8" t="n">
        <x:f>ABS(M2715)</x:f>
        <x:v>2.042739015919426</x:v>
      </x:c>
      <x:c r="P2715" s="7" t="n">
        <x:v>46045</x:v>
      </x:c>
    </x:row>
    <x:row r="2716" ht="26" customHeight="1">
      <x:c r="A2716" s="2"/>
      <x:c r="B2716" s="2" t="n">
        <x:v>2711</x:v>
      </x:c>
      <x:c r="C2716" s="2" t="str">
        <x:v>Beauty / organic_volume_growth</x:v>
      </x:c>
      <x:c r="D2716" s="7" t="n">
        <x:v>46112</x:v>
      </x:c>
      <x:c r="E2716" s="2" t="str">
        <x:v>Origin</x:v>
      </x:c>
      <x:c r="F2716" s="7" t="n">
        <x:v>46023</x:v>
      </x:c>
      <x:c r="G2716" s="2" t="str">
        <x:v>Bias correction</x:v>
      </x:c>
      <x:c r="H2716" s="8" t="n">
        <x:f>K1264</x:f>
        <x:v>0.10702629475705294</x:v>
      </x:c>
      <x:c r="I2716" s="8" t="n">
        <x:f>AVERAGE(M1184,M1200,M1216,M1232)</x:f>
        <x:v>-1.8450277672069193</x:v>
      </x:c>
      <x:c r="J2716" s="8" t="n">
        <x:v>1</x:v>
      </x:c>
      <x:c r="K2716" s="8" t="n">
        <x:f>H2716-I2716*J2716</x:f>
        <x:v>1.9520540619639721</x:v>
      </x:c>
      <x:c r="L2716" s="8" t="n">
        <x:f>'PG facts'!E146</x:f>
        <x:v>5</x:v>
      </x:c>
      <x:c r="M2716" s="8" t="n">
        <x:f>K2716-L2716</x:f>
        <x:v>-3.047945938036028</x:v>
      </x:c>
      <x:c r="N2716" s="8" t="n">
        <x:f>M2716^2</x:f>
        <x:v>9.289974441190322</x:v>
      </x:c>
      <x:c r="O2716" s="8" t="n">
        <x:f>ABS(M2716)</x:f>
        <x:v>3.047945938036028</x:v>
      </x:c>
      <x:c r="P2716" s="7" t="n">
        <x:v>46136</x:v>
      </x:c>
    </x:row>
    <x:row r="2717" ht="26" customHeight="1">
      <x:c r="A2717" s="2"/>
      <x:c r="B2717" s="2" t="n">
        <x:v>2712</x:v>
      </x:c>
      <x:c r="C2717" s="2" t="str">
        <x:v>Beauty / organic_volume_growth</x:v>
      </x:c>
      <x:c r="D2717" s="7" t="n">
        <x:v>46112</x:v>
      </x:c>
      <x:c r="E2717" s="2" t="str">
        <x:v>Origin</x:v>
      </x:c>
      <x:c r="F2717" s="7" t="n">
        <x:v>46023</x:v>
      </x:c>
      <x:c r="G2717" s="2" t="str">
        <x:v>Half correction</x:v>
      </x:c>
      <x:c r="H2717" s="8" t="n">
        <x:f>K1264</x:f>
        <x:v>0.10702629475705294</x:v>
      </x:c>
      <x:c r="I2717" s="8" t="n">
        <x:f>AVERAGE(M1184,M1200,M1216,M1232)</x:f>
        <x:v>-1.8450277672069193</x:v>
      </x:c>
      <x:c r="J2717" s="8" t="n">
        <x:v>0.5</x:v>
      </x:c>
      <x:c r="K2717" s="8" t="n">
        <x:f>H2717-I2717*J2717</x:f>
        <x:v>1.0295401783605125</x:v>
      </x:c>
      <x:c r="L2717" s="8" t="n">
        <x:f>'PG facts'!E146</x:f>
        <x:v>5</x:v>
      </x:c>
      <x:c r="M2717" s="8" t="n">
        <x:f>K2717-L2717</x:f>
        <x:v>-3.9704598216394875</x:v>
      </x:c>
      <x:c r="N2717" s="8" t="n">
        <x:f>M2717^2</x:f>
        <x:v>15.764551195253471</x:v>
      </x:c>
      <x:c r="O2717" s="8" t="n">
        <x:f>ABS(M2717)</x:f>
        <x:v>3.9704598216394875</x:v>
      </x:c>
      <x:c r="P2717" s="7" t="n">
        <x:v>46136</x:v>
      </x:c>
    </x:row>
    <x:row r="2718" ht="26" customHeight="1">
      <x:c r="A2718" s="2"/>
      <x:c r="B2718" s="2" t="n">
        <x:v>2713</x:v>
      </x:c>
      <x:c r="C2718" s="2" t="str">
        <x:v>Beauty / organic_volume_growth</x:v>
      </x:c>
      <x:c r="D2718" s="7" t="n">
        <x:v>46112</x:v>
      </x:c>
      <x:c r="E2718" s="2" t="str">
        <x:v>Prior report</x:v>
      </x:c>
      <x:c r="F2718" s="7" t="n">
        <x:v>46045</x:v>
      </x:c>
      <x:c r="G2718" s="2" t="str">
        <x:v>Bias correction</x:v>
      </x:c>
      <x:c r="H2718" s="8" t="n">
        <x:f>K1269</x:f>
        <x:v>0.04449569535400033</x:v>
      </x:c>
      <x:c r="I2718" s="8" t="n">
        <x:f>AVERAGE(M1205,M1221,M1237,M1253)</x:f>
        <x:v>-2.4943150379962256</x:v>
      </x:c>
      <x:c r="J2718" s="8" t="n">
        <x:v>1</x:v>
      </x:c>
      <x:c r="K2718" s="8" t="n">
        <x:f>H2718-I2718*J2718</x:f>
        <x:v>2.5388107333502257</x:v>
      </x:c>
      <x:c r="L2718" s="8" t="n">
        <x:f>'PG facts'!E146</x:f>
        <x:v>5</x:v>
      </x:c>
      <x:c r="M2718" s="8" t="n">
        <x:f>K2718-L2718</x:f>
        <x:v>-2.4611892666497743</x:v>
      </x:c>
      <x:c r="N2718" s="8" t="n">
        <x:f>M2718^2</x:f>
        <x:v>6.057452606272054</x:v>
      </x:c>
      <x:c r="O2718" s="8" t="n">
        <x:f>ABS(M2718)</x:f>
        <x:v>2.4611892666497743</x:v>
      </x:c>
      <x:c r="P2718" s="7" t="n">
        <x:v>46136</x:v>
      </x:c>
    </x:row>
    <x:row r="2719" ht="26" customHeight="1">
      <x:c r="A2719" s="2"/>
      <x:c r="B2719" s="2" t="n">
        <x:v>2714</x:v>
      </x:c>
      <x:c r="C2719" s="2" t="str">
        <x:v>Beauty / organic_volume_growth</x:v>
      </x:c>
      <x:c r="D2719" s="7" t="n">
        <x:v>46112</x:v>
      </x:c>
      <x:c r="E2719" s="2" t="str">
        <x:v>Prior report</x:v>
      </x:c>
      <x:c r="F2719" s="7" t="n">
        <x:v>46045</x:v>
      </x:c>
      <x:c r="G2719" s="2" t="str">
        <x:v>Half correction</x:v>
      </x:c>
      <x:c r="H2719" s="8" t="n">
        <x:f>K1269</x:f>
        <x:v>0.04449569535400033</x:v>
      </x:c>
      <x:c r="I2719" s="8" t="n">
        <x:f>AVERAGE(M1205,M1221,M1237,M1253)</x:f>
        <x:v>-2.4943150379962256</x:v>
      </x:c>
      <x:c r="J2719" s="8" t="n">
        <x:v>0.5</x:v>
      </x:c>
      <x:c r="K2719" s="8" t="n">
        <x:f>H2719-I2719*J2719</x:f>
        <x:v>1.291653214352113</x:v>
      </x:c>
      <x:c r="L2719" s="8" t="n">
        <x:f>'PG facts'!E146</x:f>
        <x:v>5</x:v>
      </x:c>
      <x:c r="M2719" s="8" t="n">
        <x:f>K2719-L2719</x:f>
        <x:v>-3.708346785647887</x:v>
      </x:c>
      <x:c r="N2719" s="8" t="n">
        <x:f>M2719^2</x:f>
        <x:v>13.751835882625015</x:v>
      </x:c>
      <x:c r="O2719" s="8" t="n">
        <x:f>ABS(M2719)</x:f>
        <x:v>3.708346785647887</x:v>
      </x:c>
      <x:c r="P2719" s="7" t="n">
        <x:v>46136</x:v>
      </x:c>
    </x:row>
    <x:row r="2720" ht="26" customHeight="1">
      <x:c r="A2720" s="2"/>
      <x:c r="B2720" s="2" t="n">
        <x:v>2715</x:v>
      </x:c>
      <x:c r="C2720" s="2" t="str">
        <x:v>Beauty / organic_volume_growth</x:v>
      </x:c>
      <x:c r="D2720" s="7" t="n">
        <x:v>46112</x:v>
      </x:c>
      <x:c r="E2720" s="2" t="str">
        <x:v>Pre-earnings</x:v>
      </x:c>
      <x:c r="F2720" s="7" t="n">
        <x:v>46135</x:v>
      </x:c>
      <x:c r="G2720" s="2" t="str">
        <x:v>Bias correction</x:v>
      </x:c>
      <x:c r="H2720" s="8" t="n">
        <x:f>K1274</x:f>
        <x:v>-0.09962231084616785</x:v>
      </x:c>
      <x:c r="I2720" s="8" t="n">
        <x:f>AVERAGE(M1210,M1226,M1242,M1258)</x:f>
        <x:v>-2.366906981289463</x:v>
      </x:c>
      <x:c r="J2720" s="8" t="n">
        <x:v>1</x:v>
      </x:c>
      <x:c r="K2720" s="8" t="n">
        <x:f>H2720-I2720*J2720</x:f>
        <x:v>2.267284670443295</x:v>
      </x:c>
      <x:c r="L2720" s="8" t="n">
        <x:f>'PG facts'!E146</x:f>
        <x:v>5</x:v>
      </x:c>
      <x:c r="M2720" s="8" t="n">
        <x:f>K2720-L2720</x:f>
        <x:v>-2.732715329556705</x:v>
      </x:c>
      <x:c r="N2720" s="8" t="n">
        <x:f>M2720^2</x:f>
        <x:v>7.46773307239421</x:v>
      </x:c>
      <x:c r="O2720" s="8" t="n">
        <x:f>ABS(M2720)</x:f>
        <x:v>2.732715329556705</x:v>
      </x:c>
      <x:c r="P2720" s="7" t="n">
        <x:v>46136</x:v>
      </x:c>
    </x:row>
    <x:row r="2721" ht="26" customHeight="1">
      <x:c r="A2721" s="2"/>
      <x:c r="B2721" s="2" t="n">
        <x:v>2716</x:v>
      </x:c>
      <x:c r="C2721" s="2" t="str">
        <x:v>Beauty / organic_volume_growth</x:v>
      </x:c>
      <x:c r="D2721" s="7" t="n">
        <x:v>46112</x:v>
      </x:c>
      <x:c r="E2721" s="2" t="str">
        <x:v>Pre-earnings</x:v>
      </x:c>
      <x:c r="F2721" s="7" t="n">
        <x:v>46135</x:v>
      </x:c>
      <x:c r="G2721" s="2" t="str">
        <x:v>Half correction</x:v>
      </x:c>
      <x:c r="H2721" s="8" t="n">
        <x:f>K1274</x:f>
        <x:v>-0.09962231084616785</x:v>
      </x:c>
      <x:c r="I2721" s="8" t="n">
        <x:f>AVERAGE(M1210,M1226,M1242,M1258)</x:f>
        <x:v>-2.366906981289463</x:v>
      </x:c>
      <x:c r="J2721" s="8" t="n">
        <x:v>0.5</x:v>
      </x:c>
      <x:c r="K2721" s="8" t="n">
        <x:f>H2721-I2721*J2721</x:f>
        <x:v>1.0838311797985638</x:v>
      </x:c>
      <x:c r="L2721" s="8" t="n">
        <x:f>'PG facts'!E146</x:f>
        <x:v>5</x:v>
      </x:c>
      <x:c r="M2721" s="8" t="n">
        <x:f>K2721-L2721</x:f>
        <x:v>-3.9161688202014364</x:v>
      </x:c>
      <x:c r="N2721" s="8" t="n">
        <x:f>M2721^2</x:f>
        <x:v>15.33637822831791</x:v>
      </x:c>
      <x:c r="O2721" s="8" t="n">
        <x:f>ABS(M2721)</x:f>
        <x:v>3.9161688202014364</x:v>
      </x:c>
      <x:c r="P2721" s="7" t="n">
        <x:v>46136</x:v>
      </x:c>
    </x:row>
    <x:row r="2722" ht="26" customHeight="1">
      <x:c r="A2722" s="2"/>
      <x:c r="B2722" s="2" t="n">
        <x:v>2717</x:v>
      </x:c>
      <x:c r="C2722" s="2" t="str">
        <x:v>Grooming / organic_volume_growth</x:v>
      </x:c>
      <x:c r="D2722" s="7" t="n">
        <x:v>45473</x:v>
      </x:c>
      <x:c r="E2722" s="2" t="str">
        <x:v>Prior report</x:v>
      </x:c>
      <x:c r="F2722" s="7" t="n">
        <x:v>45401</x:v>
      </x:c>
      <x:c r="G2722" s="2" t="str">
        <x:v>Bias correction</x:v>
      </x:c>
      <x:c r="H2722" s="8" t="n">
        <x:f>K1348</x:f>
        <x:v>-1.15078152565018</x:v>
      </x:c>
      <x:c r="I2722" s="8" t="n">
        <x:f>AVERAGE(M1284,M1299,M1316,M1332)</x:f>
        <x:v>-1.678895120866388</x:v>
      </x:c>
      <x:c r="J2722" s="8" t="n">
        <x:v>1</x:v>
      </x:c>
      <x:c r="K2722" s="8" t="n">
        <x:f>H2722-I2722*J2722</x:f>
        <x:v>0.5281135952162079</x:v>
      </x:c>
      <x:c r="L2722" s="8" t="n">
        <x:f>'PG facts'!E98</x:f>
        <x:v>2</x:v>
      </x:c>
      <x:c r="M2722" s="8" t="n">
        <x:f>K2722-L2722</x:f>
        <x:v>-1.471886404783792</x:v>
      </x:c>
      <x:c r="N2722" s="8" t="n">
        <x:f>M2722^2</x:f>
        <x:v>2.166449588587357</x:v>
      </x:c>
      <x:c r="O2722" s="8" t="n">
        <x:f>ABS(M2722)</x:f>
        <x:v>1.471886404783792</x:v>
      </x:c>
      <x:c r="P2722" s="7" t="n">
        <x:v>45503</x:v>
      </x:c>
    </x:row>
    <x:row r="2723" ht="26" customHeight="1">
      <x:c r="A2723" s="2"/>
      <x:c r="B2723" s="2" t="n">
        <x:v>2718</x:v>
      </x:c>
      <x:c r="C2723" s="2" t="str">
        <x:v>Grooming / organic_volume_growth</x:v>
      </x:c>
      <x:c r="D2723" s="7" t="n">
        <x:v>45473</x:v>
      </x:c>
      <x:c r="E2723" s="2" t="str">
        <x:v>Prior report</x:v>
      </x:c>
      <x:c r="F2723" s="7" t="n">
        <x:v>45401</x:v>
      </x:c>
      <x:c r="G2723" s="2" t="str">
        <x:v>Half correction</x:v>
      </x:c>
      <x:c r="H2723" s="8" t="n">
        <x:f>K1348</x:f>
        <x:v>-1.15078152565018</x:v>
      </x:c>
      <x:c r="I2723" s="8" t="n">
        <x:f>AVERAGE(M1284,M1299,M1316,M1332)</x:f>
        <x:v>-1.678895120866388</x:v>
      </x:c>
      <x:c r="J2723" s="8" t="n">
        <x:v>0.5</x:v>
      </x:c>
      <x:c r="K2723" s="8" t="n">
        <x:f>H2723-I2723*J2723</x:f>
        <x:v>-0.3113339652169861</x:v>
      </x:c>
      <x:c r="L2723" s="8" t="n">
        <x:f>'PG facts'!E98</x:f>
        <x:v>2</x:v>
      </x:c>
      <x:c r="M2723" s="8" t="n">
        <x:f>K2723-L2723</x:f>
        <x:v>-2.311333965216986</x:v>
      </x:c>
      <x:c r="N2723" s="8" t="n">
        <x:f>M2723^2</x:f>
        <x:v>5.342264698765677</x:v>
      </x:c>
      <x:c r="O2723" s="8" t="n">
        <x:f>ABS(M2723)</x:f>
        <x:v>2.311333965216986</x:v>
      </x:c>
      <x:c r="P2723" s="7" t="n">
        <x:v>45503</x:v>
      </x:c>
    </x:row>
    <x:row r="2724" ht="26" customHeight="1">
      <x:c r="A2724" s="2"/>
      <x:c r="B2724" s="2" t="n">
        <x:v>2719</x:v>
      </x:c>
      <x:c r="C2724" s="2" t="str">
        <x:v>Grooming / organic_volume_growth</x:v>
      </x:c>
      <x:c r="D2724" s="7" t="n">
        <x:v>45473</x:v>
      </x:c>
      <x:c r="E2724" s="2" t="str">
        <x:v>Pre-earnings</x:v>
      </x:c>
      <x:c r="F2724" s="7" t="n">
        <x:v>45502</x:v>
      </x:c>
      <x:c r="G2724" s="2" t="str">
        <x:v>Bias correction</x:v>
      </x:c>
      <x:c r="H2724" s="8" t="n">
        <x:f>K1353</x:f>
        <x:v>-0.8406724661000415</x:v>
      </x:c>
      <x:c r="I2724" s="8" t="n">
        <x:f>AVERAGE(M1289,M1305,M1321,M1337)</x:f>
        <x:v>-1.4638571784110976</x:v>
      </x:c>
      <x:c r="J2724" s="8" t="n">
        <x:v>1</x:v>
      </x:c>
      <x:c r="K2724" s="8" t="n">
        <x:f>H2724-I2724*J2724</x:f>
        <x:v>0.6231847123110561</x:v>
      </x:c>
      <x:c r="L2724" s="8" t="n">
        <x:f>'PG facts'!E98</x:f>
        <x:v>2</x:v>
      </x:c>
      <x:c r="M2724" s="8" t="n">
        <x:f>K2724-L2724</x:f>
        <x:v>-1.376815287688944</x:v>
      </x:c>
      <x:c r="N2724" s="8" t="n">
        <x:f>M2724^2</x:f>
        <x:v>1.8956203364139894</x:v>
      </x:c>
      <x:c r="O2724" s="8" t="n">
        <x:f>ABS(M2724)</x:f>
        <x:v>1.376815287688944</x:v>
      </x:c>
      <x:c r="P2724" s="7" t="n">
        <x:v>45503</x:v>
      </x:c>
    </x:row>
    <x:row r="2725" ht="26" customHeight="1">
      <x:c r="A2725" s="2"/>
      <x:c r="B2725" s="2" t="n">
        <x:v>2720</x:v>
      </x:c>
      <x:c r="C2725" s="2" t="str">
        <x:v>Grooming / organic_volume_growth</x:v>
      </x:c>
      <x:c r="D2725" s="7" t="n">
        <x:v>45473</x:v>
      </x:c>
      <x:c r="E2725" s="2" t="str">
        <x:v>Pre-earnings</x:v>
      </x:c>
      <x:c r="F2725" s="7" t="n">
        <x:v>45502</x:v>
      </x:c>
      <x:c r="G2725" s="2" t="str">
        <x:v>Half correction</x:v>
      </x:c>
      <x:c r="H2725" s="8" t="n">
        <x:f>K1353</x:f>
        <x:v>-0.8406724661000415</x:v>
      </x:c>
      <x:c r="I2725" s="8" t="n">
        <x:f>AVERAGE(M1289,M1305,M1321,M1337)</x:f>
        <x:v>-1.4638571784110976</x:v>
      </x:c>
      <x:c r="J2725" s="8" t="n">
        <x:v>0.5</x:v>
      </x:c>
      <x:c r="K2725" s="8" t="n">
        <x:f>H2725-I2725*J2725</x:f>
        <x:v>-0.10874387689449272</x:v>
      </x:c>
      <x:c r="L2725" s="8" t="n">
        <x:f>'PG facts'!E98</x:f>
        <x:v>2</x:v>
      </x:c>
      <x:c r="M2725" s="8" t="n">
        <x:f>K2725-L2725</x:f>
        <x:v>-2.1087438768944926</x:v>
      </x:c>
      <x:c r="N2725" s="8" t="n">
        <x:f>M2725^2</x:f>
        <x:v>4.446800738340015</x:v>
      </x:c>
      <x:c r="O2725" s="8" t="n">
        <x:f>ABS(M2725)</x:f>
        <x:v>2.1087438768944926</x:v>
      </x:c>
      <x:c r="P2725" s="7" t="n">
        <x:v>45503</x:v>
      </x:c>
    </x:row>
    <x:row r="2726" ht="26" customHeight="1">
      <x:c r="A2726" s="2"/>
      <x:c r="B2726" s="2" t="n">
        <x:v>2721</x:v>
      </x:c>
      <x:c r="C2726" s="2" t="str">
        <x:v>Grooming / organic_volume_growth</x:v>
      </x:c>
      <x:c r="D2726" s="7" t="n">
        <x:v>45565</x:v>
      </x:c>
      <x:c r="E2726" s="2" t="str">
        <x:v>Origin</x:v>
      </x:c>
      <x:c r="F2726" s="7" t="n">
        <x:v>45474</x:v>
      </x:c>
      <x:c r="G2726" s="2" t="str">
        <x:v>Bias correction</x:v>
      </x:c>
      <x:c r="H2726" s="8" t="n">
        <x:f>K1359</x:f>
        <x:v>-0.8148728986700945</x:v>
      </x:c>
      <x:c r="I2726" s="8" t="n">
        <x:f>AVERAGE(M1280,M1295,M1311,M1327)</x:f>
        <x:v>-1.7308388611913377</x:v>
      </x:c>
      <x:c r="J2726" s="8" t="n">
        <x:v>1</x:v>
      </x:c>
      <x:c r="K2726" s="8" t="n">
        <x:f>H2726-I2726*J2726</x:f>
        <x:v>0.9159659625212432</x:v>
      </x:c>
      <x:c r="L2726" s="8" t="n">
        <x:f>'PG facts'!E105</x:f>
        <x:v>5</x:v>
      </x:c>
      <x:c r="M2726" s="8" t="n">
        <x:f>K2726-L2726</x:f>
        <x:v>-4.084034037478757</x:v>
      </x:c>
      <x:c r="N2726" s="8" t="n">
        <x:f>M2726^2</x:f>
        <x:v>16.679334019285037</x:v>
      </x:c>
      <x:c r="O2726" s="8" t="n">
        <x:f>ABS(M2726)</x:f>
        <x:v>4.084034037478757</x:v>
      </x:c>
      <x:c r="P2726" s="7" t="n">
        <x:v>45583</x:v>
      </x:c>
    </x:row>
    <x:row r="2727" ht="26" customHeight="1">
      <x:c r="A2727" s="2"/>
      <x:c r="B2727" s="2" t="n">
        <x:v>2722</x:v>
      </x:c>
      <x:c r="C2727" s="2" t="str">
        <x:v>Grooming / organic_volume_growth</x:v>
      </x:c>
      <x:c r="D2727" s="7" t="n">
        <x:v>45565</x:v>
      </x:c>
      <x:c r="E2727" s="2" t="str">
        <x:v>Origin</x:v>
      </x:c>
      <x:c r="F2727" s="7" t="n">
        <x:v>45474</x:v>
      </x:c>
      <x:c r="G2727" s="2" t="str">
        <x:v>Half correction</x:v>
      </x:c>
      <x:c r="H2727" s="8" t="n">
        <x:f>K1359</x:f>
        <x:v>-0.8148728986700945</x:v>
      </x:c>
      <x:c r="I2727" s="8" t="n">
        <x:f>AVERAGE(M1280,M1295,M1311,M1327)</x:f>
        <x:v>-1.7308388611913377</x:v>
      </x:c>
      <x:c r="J2727" s="8" t="n">
        <x:v>0.5</x:v>
      </x:c>
      <x:c r="K2727" s="8" t="n">
        <x:f>H2727-I2727*J2727</x:f>
        <x:v>0.050546531925574345</x:v>
      </x:c>
      <x:c r="L2727" s="8" t="n">
        <x:f>'PG facts'!E105</x:f>
        <x:v>5</x:v>
      </x:c>
      <x:c r="M2727" s="8" t="n">
        <x:f>K2727-L2727</x:f>
        <x:v>-4.9494534680744255</x:v>
      </x:c>
      <x:c r="N2727" s="8" t="n">
        <x:f>M2727^2</x:f>
        <x:v>24.49708963263396</x:v>
      </x:c>
      <x:c r="O2727" s="8" t="n">
        <x:f>ABS(M2727)</x:f>
        <x:v>4.9494534680744255</x:v>
      </x:c>
      <x:c r="P2727" s="7" t="n">
        <x:v>45583</x:v>
      </x:c>
    </x:row>
    <x:row r="2728" ht="26" customHeight="1">
      <x:c r="A2728" s="2"/>
      <x:c r="B2728" s="2" t="n">
        <x:v>2723</x:v>
      </x:c>
      <x:c r="C2728" s="2" t="str">
        <x:v>Grooming / organic_volume_growth</x:v>
      </x:c>
      <x:c r="D2728" s="7" t="n">
        <x:v>45565</x:v>
      </x:c>
      <x:c r="E2728" s="2" t="str">
        <x:v>Prior report</x:v>
      </x:c>
      <x:c r="F2728" s="7" t="n">
        <x:v>45503</x:v>
      </x:c>
      <x:c r="G2728" s="2" t="str">
        <x:v>Bias correction</x:v>
      </x:c>
      <x:c r="H2728" s="8" t="n">
        <x:f>K1364</x:f>
        <x:v>-0.6144119927618303</x:v>
      </x:c>
      <x:c r="I2728" s="8" t="n">
        <x:f>AVERAGE(M1299,M1316,M1332,M1348)</x:f>
        <x:v>-2.1811538252624234</x:v>
      </x:c>
      <x:c r="J2728" s="8" t="n">
        <x:v>1</x:v>
      </x:c>
      <x:c r="K2728" s="8" t="n">
        <x:f>H2728-I2728*J2728</x:f>
        <x:v>1.566741832500593</x:v>
      </x:c>
      <x:c r="L2728" s="8" t="n">
        <x:f>'PG facts'!E105</x:f>
        <x:v>5</x:v>
      </x:c>
      <x:c r="M2728" s="8" t="n">
        <x:f>K2728-L2728</x:f>
        <x:v>-3.4332581674994067</x:v>
      </x:c>
      <x:c r="N2728" s="8" t="n">
        <x:f>M2728^2</x:f>
        <x:v>11.787261644701385</x:v>
      </x:c>
      <x:c r="O2728" s="8" t="n">
        <x:f>ABS(M2728)</x:f>
        <x:v>3.4332581674994067</x:v>
      </x:c>
      <x:c r="P2728" s="7" t="n">
        <x:v>45583</x:v>
      </x:c>
    </x:row>
    <x:row r="2729" ht="26" customHeight="1">
      <x:c r="A2729" s="2"/>
      <x:c r="B2729" s="2" t="n">
        <x:v>2724</x:v>
      </x:c>
      <x:c r="C2729" s="2" t="str">
        <x:v>Grooming / organic_volume_growth</x:v>
      </x:c>
      <x:c r="D2729" s="7" t="n">
        <x:v>45565</x:v>
      </x:c>
      <x:c r="E2729" s="2" t="str">
        <x:v>Prior report</x:v>
      </x:c>
      <x:c r="F2729" s="7" t="n">
        <x:v>45503</x:v>
      </x:c>
      <x:c r="G2729" s="2" t="str">
        <x:v>Half correction</x:v>
      </x:c>
      <x:c r="H2729" s="8" t="n">
        <x:f>K1364</x:f>
        <x:v>-0.6144119927618303</x:v>
      </x:c>
      <x:c r="I2729" s="8" t="n">
        <x:f>AVERAGE(M1299,M1316,M1332,M1348)</x:f>
        <x:v>-2.1811538252624234</x:v>
      </x:c>
      <x:c r="J2729" s="8" t="n">
        <x:v>0.5</x:v>
      </x:c>
      <x:c r="K2729" s="8" t="n">
        <x:f>H2729-I2729*J2729</x:f>
        <x:v>0.47616491986938136</x:v>
      </x:c>
      <x:c r="L2729" s="8" t="n">
        <x:f>'PG facts'!E105</x:f>
        <x:v>5</x:v>
      </x:c>
      <x:c r="M2729" s="8" t="n">
        <x:f>K2729-L2729</x:f>
        <x:v>-4.523835080130619</x:v>
      </x:c>
      <x:c r="N2729" s="8" t="n">
        <x:f>M2729^2</x:f>
        <x:v>20.4650838322204</x:v>
      </x:c>
      <x:c r="O2729" s="8" t="n">
        <x:f>ABS(M2729)</x:f>
        <x:v>4.523835080130619</x:v>
      </x:c>
      <x:c r="P2729" s="7" t="n">
        <x:v>45583</x:v>
      </x:c>
    </x:row>
    <x:row r="2730" ht="26" customHeight="1">
      <x:c r="A2730" s="2"/>
      <x:c r="B2730" s="2" t="n">
        <x:v>2725</x:v>
      </x:c>
      <x:c r="C2730" s="2" t="str">
        <x:v>Grooming / organic_volume_growth</x:v>
      </x:c>
      <x:c r="D2730" s="7" t="n">
        <x:v>45565</x:v>
      </x:c>
      <x:c r="E2730" s="2" t="str">
        <x:v>Pre-earnings</x:v>
      </x:c>
      <x:c r="F2730" s="7" t="n">
        <x:v>45582</x:v>
      </x:c>
      <x:c r="G2730" s="2" t="str">
        <x:v>Bias correction</x:v>
      </x:c>
      <x:c r="H2730" s="8" t="n">
        <x:f>K1370</x:f>
        <x:v>-0.37164054927803114</x:v>
      </x:c>
      <x:c r="I2730" s="8" t="n">
        <x:f>AVERAGE(M1305,M1321,M1337,M1353)</x:f>
        <x:v>-2.0029518717726202</x:v>
      </x:c>
      <x:c r="J2730" s="8" t="n">
        <x:v>1</x:v>
      </x:c>
      <x:c r="K2730" s="8" t="n">
        <x:f>H2730-I2730*J2730</x:f>
        <x:v>1.631311322494589</x:v>
      </x:c>
      <x:c r="L2730" s="8" t="n">
        <x:f>'PG facts'!E105</x:f>
        <x:v>5</x:v>
      </x:c>
      <x:c r="M2730" s="8" t="n">
        <x:f>K2730-L2730</x:f>
        <x:v>-3.368688677505411</x:v>
      </x:c>
      <x:c r="N2730" s="8" t="n">
        <x:f>M2730^2</x:f>
        <x:v>11.348063405953155</x:v>
      </x:c>
      <x:c r="O2730" s="8" t="n">
        <x:f>ABS(M2730)</x:f>
        <x:v>3.368688677505411</x:v>
      </x:c>
      <x:c r="P2730" s="7" t="n">
        <x:v>45583</x:v>
      </x:c>
    </x:row>
    <x:row r="2731" ht="26" customHeight="1">
      <x:c r="A2731" s="2"/>
      <x:c r="B2731" s="2" t="n">
        <x:v>2726</x:v>
      </x:c>
      <x:c r="C2731" s="2" t="str">
        <x:v>Grooming / organic_volume_growth</x:v>
      </x:c>
      <x:c r="D2731" s="7" t="n">
        <x:v>45565</x:v>
      </x:c>
      <x:c r="E2731" s="2" t="str">
        <x:v>Pre-earnings</x:v>
      </x:c>
      <x:c r="F2731" s="7" t="n">
        <x:v>45582</x:v>
      </x:c>
      <x:c r="G2731" s="2" t="str">
        <x:v>Half correction</x:v>
      </x:c>
      <x:c r="H2731" s="8" t="n">
        <x:f>K1370</x:f>
        <x:v>-0.37164054927803114</x:v>
      </x:c>
      <x:c r="I2731" s="8" t="n">
        <x:f>AVERAGE(M1305,M1321,M1337,M1353)</x:f>
        <x:v>-2.0029518717726202</x:v>
      </x:c>
      <x:c r="J2731" s="8" t="n">
        <x:v>0.5</x:v>
      </x:c>
      <x:c r="K2731" s="8" t="n">
        <x:f>H2731-I2731*J2731</x:f>
        <x:v>0.629835386608279</x:v>
      </x:c>
      <x:c r="L2731" s="8" t="n">
        <x:f>'PG facts'!E105</x:f>
        <x:v>5</x:v>
      </x:c>
      <x:c r="M2731" s="8" t="n">
        <x:f>K2731-L2731</x:f>
        <x:v>-4.370164613391721</x:v>
      </x:c>
      <x:c r="N2731" s="8" t="n">
        <x:f>M2731^2</x:f>
        <x:v>19.098338748141213</x:v>
      </x:c>
      <x:c r="O2731" s="8" t="n">
        <x:f>ABS(M2731)</x:f>
        <x:v>4.370164613391721</x:v>
      </x:c>
      <x:c r="P2731" s="7" t="n">
        <x:v>45583</x:v>
      </x:c>
    </x:row>
    <x:row r="2732" ht="26" customHeight="1">
      <x:c r="A2732" s="2"/>
      <x:c r="B2732" s="2" t="n">
        <x:v>2727</x:v>
      </x:c>
      <x:c r="C2732" s="2" t="str">
        <x:v>Grooming / organic_volume_growth</x:v>
      </x:c>
      <x:c r="D2732" s="7" t="n">
        <x:v>45657</x:v>
      </x:c>
      <x:c r="E2732" s="2" t="str">
        <x:v>Origin</x:v>
      </x:c>
      <x:c r="F2732" s="7" t="n">
        <x:v>45566</x:v>
      </x:c>
      <x:c r="G2732" s="2" t="str">
        <x:v>Bias correction</x:v>
      </x:c>
      <x:c r="H2732" s="8" t="n">
        <x:f>K1376</x:f>
        <x:v>-0.3738130957659963</x:v>
      </x:c>
      <x:c r="I2732" s="8" t="n">
        <x:f>AVERAGE(M1295,M1311,M1327,M1343)</x:f>
        <x:v>-2.233097565587373</x:v>
      </x:c>
      <x:c r="J2732" s="8" t="n">
        <x:v>1</x:v>
      </x:c>
      <x:c r="K2732" s="8" t="n">
        <x:f>H2732-I2732*J2732</x:f>
        <x:v>1.8592844698213766</x:v>
      </x:c>
      <x:c r="L2732" s="8" t="n">
        <x:f>'PG facts'!E112</x:f>
        <x:v>2</x:v>
      </x:c>
      <x:c r="M2732" s="8" t="n">
        <x:f>K2732-L2732</x:f>
        <x:v>-0.14071553017862337</x:v>
      </x:c>
      <x:c r="N2732" s="8" t="n">
        <x:f>M2732^2</x:f>
        <x:v>0.019800860433451063</x:v>
      </x:c>
      <x:c r="O2732" s="8" t="n">
        <x:f>ABS(M2732)</x:f>
        <x:v>0.14071553017862337</x:v>
      </x:c>
      <x:c r="P2732" s="7" t="n">
        <x:v>45679</x:v>
      </x:c>
    </x:row>
    <x:row r="2733" ht="26" customHeight="1">
      <x:c r="A2733" s="2"/>
      <x:c r="B2733" s="2" t="n">
        <x:v>2728</x:v>
      </x:c>
      <x:c r="C2733" s="2" t="str">
        <x:v>Grooming / organic_volume_growth</x:v>
      </x:c>
      <x:c r="D2733" s="7" t="n">
        <x:v>45657</x:v>
      </x:c>
      <x:c r="E2733" s="2" t="str">
        <x:v>Origin</x:v>
      </x:c>
      <x:c r="F2733" s="7" t="n">
        <x:v>45566</x:v>
      </x:c>
      <x:c r="G2733" s="2" t="str">
        <x:v>Half correction</x:v>
      </x:c>
      <x:c r="H2733" s="8" t="n">
        <x:f>K1376</x:f>
        <x:v>-0.3738130957659963</x:v>
      </x:c>
      <x:c r="I2733" s="8" t="n">
        <x:f>AVERAGE(M1295,M1311,M1327,M1343)</x:f>
        <x:v>-2.233097565587373</x:v>
      </x:c>
      <x:c r="J2733" s="8" t="n">
        <x:v>0.5</x:v>
      </x:c>
      <x:c r="K2733" s="8" t="n">
        <x:f>H2733-I2733*J2733</x:f>
        <x:v>0.7427356870276901</x:v>
      </x:c>
      <x:c r="L2733" s="8" t="n">
        <x:f>'PG facts'!E112</x:f>
        <x:v>2</x:v>
      </x:c>
      <x:c r="M2733" s="8" t="n">
        <x:f>K2733-L2733</x:f>
        <x:v>-1.25726431297231</x:v>
      </x:c>
      <x:c r="N2733" s="8" t="n">
        <x:f>M2733^2</x:f>
        <x:v>1.5807135526737346</x:v>
      </x:c>
      <x:c r="O2733" s="8" t="n">
        <x:f>ABS(M2733)</x:f>
        <x:v>1.25726431297231</x:v>
      </x:c>
      <x:c r="P2733" s="7" t="n">
        <x:v>45679</x:v>
      </x:c>
    </x:row>
    <x:row r="2734" ht="26" customHeight="1">
      <x:c r="A2734" s="2"/>
      <x:c r="B2734" s="2" t="n">
        <x:v>2729</x:v>
      </x:c>
      <x:c r="C2734" s="2" t="str">
        <x:v>Grooming / organic_volume_growth</x:v>
      </x:c>
      <x:c r="D2734" s="7" t="n">
        <x:v>45657</x:v>
      </x:c>
      <x:c r="E2734" s="2" t="str">
        <x:v>Prior report</x:v>
      </x:c>
      <x:c r="F2734" s="7" t="n">
        <x:v>45583</x:v>
      </x:c>
      <x:c r="G2734" s="2" t="str">
        <x:v>Bias correction</x:v>
      </x:c>
      <x:c r="H2734" s="8" t="n">
        <x:f>K1381</x:f>
        <x:v>-0.3738130957659963</x:v>
      </x:c>
      <x:c r="I2734" s="8" t="n">
        <x:f>AVERAGE(M1316,M1332,M1348,M1364)</x:f>
        <x:v>-3.6989872378039976</x:v>
      </x:c>
      <x:c r="J2734" s="8" t="n">
        <x:v>1</x:v>
      </x:c>
      <x:c r="K2734" s="8" t="n">
        <x:f>H2734-I2734*J2734</x:f>
        <x:v>3.3251741420380014</x:v>
      </x:c>
      <x:c r="L2734" s="8" t="n">
        <x:f>'PG facts'!E112</x:f>
        <x:v>2</x:v>
      </x:c>
      <x:c r="M2734" s="8" t="n">
        <x:f>K2734-L2734</x:f>
        <x:v>1.3251741420380014</x:v>
      </x:c>
      <x:c r="N2734" s="8" t="n">
        <x:f>M2734^2</x:f>
        <x:v>1.7560865067261533</x:v>
      </x:c>
      <x:c r="O2734" s="8" t="n">
        <x:f>ABS(M2734)</x:f>
        <x:v>1.3251741420380014</x:v>
      </x:c>
      <x:c r="P2734" s="7" t="n">
        <x:v>45679</x:v>
      </x:c>
    </x:row>
    <x:row r="2735" ht="26" customHeight="1">
      <x:c r="A2735" s="2"/>
      <x:c r="B2735" s="2" t="n">
        <x:v>2730</x:v>
      </x:c>
      <x:c r="C2735" s="2" t="str">
        <x:v>Grooming / organic_volume_growth</x:v>
      </x:c>
      <x:c r="D2735" s="7" t="n">
        <x:v>45657</x:v>
      </x:c>
      <x:c r="E2735" s="2" t="str">
        <x:v>Prior report</x:v>
      </x:c>
      <x:c r="F2735" s="7" t="n">
        <x:v>45583</x:v>
      </x:c>
      <x:c r="G2735" s="2" t="str">
        <x:v>Half correction</x:v>
      </x:c>
      <x:c r="H2735" s="8" t="n">
        <x:f>K1381</x:f>
        <x:v>-0.3738130957659963</x:v>
      </x:c>
      <x:c r="I2735" s="8" t="n">
        <x:f>AVERAGE(M1316,M1332,M1348,M1364)</x:f>
        <x:v>-3.6989872378039976</x:v>
      </x:c>
      <x:c r="J2735" s="8" t="n">
        <x:v>0.5</x:v>
      </x:c>
      <x:c r="K2735" s="8" t="n">
        <x:f>H2735-I2735*J2735</x:f>
        <x:v>1.4756805231360026</x:v>
      </x:c>
      <x:c r="L2735" s="8" t="n">
        <x:f>'PG facts'!E112</x:f>
        <x:v>2</x:v>
      </x:c>
      <x:c r="M2735" s="8" t="n">
        <x:f>K2735-L2735</x:f>
        <x:v>-0.5243194768639974</x:v>
      </x:c>
      <x:c r="N2735" s="8" t="n">
        <x:f>M2735^2</x:f>
        <x:v>0.2749109138189359</x:v>
      </x:c>
      <x:c r="O2735" s="8" t="n">
        <x:f>ABS(M2735)</x:f>
        <x:v>0.5243194768639974</x:v>
      </x:c>
      <x:c r="P2735" s="7" t="n">
        <x:v>45679</x:v>
      </x:c>
    </x:row>
    <x:row r="2736" ht="26" customHeight="1">
      <x:c r="A2736" s="2"/>
      <x:c r="B2736" s="2" t="n">
        <x:v>2731</x:v>
      </x:c>
      <x:c r="C2736" s="2" t="str">
        <x:v>Grooming / organic_volume_growth</x:v>
      </x:c>
      <x:c r="D2736" s="7" t="n">
        <x:v>45657</x:v>
      </x:c>
      <x:c r="E2736" s="2" t="str">
        <x:v>Pre-earnings</x:v>
      </x:c>
      <x:c r="F2736" s="7" t="n">
        <x:v>45678</x:v>
      </x:c>
      <x:c r="G2736" s="2" t="str">
        <x:v>Bias correction</x:v>
      </x:c>
      <x:c r="H2736" s="8" t="n">
        <x:f>K1386</x:f>
        <x:v>-0.0010887994774640974</x:v>
      </x:c>
      <x:c r="I2736" s="8" t="n">
        <x:f>AVERAGE(M1321,M1337,M1353,M1370)</x:f>
        <x:v>-3.483195552666994</x:v>
      </x:c>
      <x:c r="J2736" s="8" t="n">
        <x:v>1</x:v>
      </x:c>
      <x:c r="K2736" s="8" t="n">
        <x:f>H2736-I2736*J2736</x:f>
        <x:v>3.4821067531895302</x:v>
      </x:c>
      <x:c r="L2736" s="8" t="n">
        <x:f>'PG facts'!E112</x:f>
        <x:v>2</x:v>
      </x:c>
      <x:c r="M2736" s="8" t="n">
        <x:f>K2736-L2736</x:f>
        <x:v>1.4821067531895302</x:v>
      </x:c>
      <x:c r="N2736" s="8" t="n">
        <x:f>M2736^2</x:f>
        <x:v>2.196640427850011</x:v>
      </x:c>
      <x:c r="O2736" s="8" t="n">
        <x:f>ABS(M2736)</x:f>
        <x:v>1.4821067531895302</x:v>
      </x:c>
      <x:c r="P2736" s="7" t="n">
        <x:v>45679</x:v>
      </x:c>
    </x:row>
    <x:row r="2737" ht="26" customHeight="1">
      <x:c r="A2737" s="2"/>
      <x:c r="B2737" s="2" t="n">
        <x:v>2732</x:v>
      </x:c>
      <x:c r="C2737" s="2" t="str">
        <x:v>Grooming / organic_volume_growth</x:v>
      </x:c>
      <x:c r="D2737" s="7" t="n">
        <x:v>45657</x:v>
      </x:c>
      <x:c r="E2737" s="2" t="str">
        <x:v>Pre-earnings</x:v>
      </x:c>
      <x:c r="F2737" s="7" t="n">
        <x:v>45678</x:v>
      </x:c>
      <x:c r="G2737" s="2" t="str">
        <x:v>Half correction</x:v>
      </x:c>
      <x:c r="H2737" s="8" t="n">
        <x:f>K1386</x:f>
        <x:v>-0.0010887994774640974</x:v>
      </x:c>
      <x:c r="I2737" s="8" t="n">
        <x:f>AVERAGE(M1321,M1337,M1353,M1370)</x:f>
        <x:v>-3.483195552666994</x:v>
      </x:c>
      <x:c r="J2737" s="8" t="n">
        <x:v>0.5</x:v>
      </x:c>
      <x:c r="K2737" s="8" t="n">
        <x:f>H2737-I2737*J2737</x:f>
        <x:v>1.7405089768560331</x:v>
      </x:c>
      <x:c r="L2737" s="8" t="n">
        <x:f>'PG facts'!E112</x:f>
        <x:v>2</x:v>
      </x:c>
      <x:c r="M2737" s="8" t="n">
        <x:f>K2737-L2737</x:f>
        <x:v>-0.2594910231439669</x:v>
      </x:c>
      <x:c r="N2737" s="8" t="n">
        <x:f>M2737^2</x:f>
        <x:v>0.06733559109230275</x:v>
      </x:c>
      <x:c r="O2737" s="8" t="n">
        <x:f>ABS(M2737)</x:f>
        <x:v>0.2594910231439669</x:v>
      </x:c>
      <x:c r="P2737" s="7" t="n">
        <x:v>45679</x:v>
      </x:c>
    </x:row>
    <x:row r="2738" ht="26" customHeight="1">
      <x:c r="A2738" s="2"/>
      <x:c r="B2738" s="2" t="n">
        <x:v>2733</x:v>
      </x:c>
      <x:c r="C2738" s="2" t="str">
        <x:v>Grooming / organic_volume_growth</x:v>
      </x:c>
      <x:c r="D2738" s="7" t="n">
        <x:v>45747</x:v>
      </x:c>
      <x:c r="E2738" s="2" t="str">
        <x:v>Origin</x:v>
      </x:c>
      <x:c r="F2738" s="7" t="n">
        <x:v>45658</x:v>
      </x:c>
      <x:c r="G2738" s="2" t="str">
        <x:v>Bias correction</x:v>
      </x:c>
      <x:c r="H2738" s="8" t="n">
        <x:f>K1392</x:f>
        <x:v>0.037655963445278884</x:v>
      </x:c>
      <x:c r="I2738" s="8" t="n">
        <x:f>AVERAGE(M1311,M1327,M1343,M1359)</x:f>
        <x:v>-3.7491024642810635</x:v>
      </x:c>
      <x:c r="J2738" s="8" t="n">
        <x:v>1</x:v>
      </x:c>
      <x:c r="K2738" s="8" t="n">
        <x:f>H2738-I2738*J2738</x:f>
        <x:v>3.786758427726342</x:v>
      </x:c>
      <x:c r="L2738" s="8" t="n">
        <x:f>'PG facts'!E119</x:f>
        <x:v>1</x:v>
      </x:c>
      <x:c r="M2738" s="8" t="n">
        <x:f>K2738-L2738</x:f>
        <x:v>2.786758427726342</x:v>
      </x:c>
      <x:c r="N2738" s="8" t="n">
        <x:f>M2738^2</x:f>
        <x:v>7.7660225345037945</x:v>
      </x:c>
      <x:c r="O2738" s="8" t="n">
        <x:f>ABS(M2738)</x:f>
        <x:v>2.786758427726342</x:v>
      </x:c>
      <x:c r="P2738" s="7" t="n">
        <x:v>45771</x:v>
      </x:c>
    </x:row>
    <x:row r="2739" ht="26" customHeight="1">
      <x:c r="A2739" s="2"/>
      <x:c r="B2739" s="2" t="n">
        <x:v>2734</x:v>
      </x:c>
      <x:c r="C2739" s="2" t="str">
        <x:v>Grooming / organic_volume_growth</x:v>
      </x:c>
      <x:c r="D2739" s="7" t="n">
        <x:v>45747</x:v>
      </x:c>
      <x:c r="E2739" s="2" t="str">
        <x:v>Origin</x:v>
      </x:c>
      <x:c r="F2739" s="7" t="n">
        <x:v>45658</x:v>
      </x:c>
      <x:c r="G2739" s="2" t="str">
        <x:v>Half correction</x:v>
      </x:c>
      <x:c r="H2739" s="8" t="n">
        <x:f>K1392</x:f>
        <x:v>0.037655963445278884</x:v>
      </x:c>
      <x:c r="I2739" s="8" t="n">
        <x:f>AVERAGE(M1311,M1327,M1343,M1359)</x:f>
        <x:v>-3.7491024642810635</x:v>
      </x:c>
      <x:c r="J2739" s="8" t="n">
        <x:v>0.5</x:v>
      </x:c>
      <x:c r="K2739" s="8" t="n">
        <x:f>H2739-I2739*J2739</x:f>
        <x:v>1.9122071955858106</x:v>
      </x:c>
      <x:c r="L2739" s="8" t="n">
        <x:f>'PG facts'!E119</x:f>
        <x:v>1</x:v>
      </x:c>
      <x:c r="M2739" s="8" t="n">
        <x:f>K2739-L2739</x:f>
        <x:v>0.9122071955858106</x:v>
      </x:c>
      <x:c r="N2739" s="8" t="n">
        <x:f>M2739^2</x:f>
        <x:v>0.8321219676785294</x:v>
      </x:c>
      <x:c r="O2739" s="8" t="n">
        <x:f>ABS(M2739)</x:f>
        <x:v>0.9122071955858106</x:v>
      </x:c>
      <x:c r="P2739" s="7" t="n">
        <x:v>45771</x:v>
      </x:c>
    </x:row>
    <x:row r="2740" ht="26" customHeight="1">
      <x:c r="A2740" s="2"/>
      <x:c r="B2740" s="2" t="n">
        <x:v>2735</x:v>
      </x:c>
      <x:c r="C2740" s="2" t="str">
        <x:v>Grooming / organic_volume_growth</x:v>
      </x:c>
      <x:c r="D2740" s="7" t="n">
        <x:v>45747</x:v>
      </x:c>
      <x:c r="E2740" s="2" t="str">
        <x:v>Prior report</x:v>
      </x:c>
      <x:c r="F2740" s="7" t="n">
        <x:v>45679</x:v>
      </x:c>
      <x:c r="G2740" s="2" t="str">
        <x:v>Bias correction</x:v>
      </x:c>
      <x:c r="H2740" s="8" t="n">
        <x:f>K1397</x:f>
        <x:v>0.037655963445278884</x:v>
      </x:c>
      <x:c r="I2740" s="8" t="n">
        <x:f>AVERAGE(M1332,M1348,M1364,M1381)</x:f>
        <x:v>-3.655155105601008</x:v>
      </x:c>
      <x:c r="J2740" s="8" t="n">
        <x:v>1</x:v>
      </x:c>
      <x:c r="K2740" s="8" t="n">
        <x:f>H2740-I2740*J2740</x:f>
        <x:v>3.6928110690462868</x:v>
      </x:c>
      <x:c r="L2740" s="8" t="n">
        <x:f>'PG facts'!E119</x:f>
        <x:v>1</x:v>
      </x:c>
      <x:c r="M2740" s="8" t="n">
        <x:f>K2740-L2740</x:f>
        <x:v>2.6928110690462868</x:v>
      </x:c>
      <x:c r="N2740" s="8" t="n">
        <x:f>M2740^2</x:f>
        <x:v>7.251231453578206</x:v>
      </x:c>
      <x:c r="O2740" s="8" t="n">
        <x:f>ABS(M2740)</x:f>
        <x:v>2.6928110690462868</x:v>
      </x:c>
      <x:c r="P2740" s="7" t="n">
        <x:v>45771</x:v>
      </x:c>
    </x:row>
    <x:row r="2741" ht="26" customHeight="1">
      <x:c r="A2741" s="2"/>
      <x:c r="B2741" s="2" t="n">
        <x:v>2736</x:v>
      </x:c>
      <x:c r="C2741" s="2" t="str">
        <x:v>Grooming / organic_volume_growth</x:v>
      </x:c>
      <x:c r="D2741" s="7" t="n">
        <x:v>45747</x:v>
      </x:c>
      <x:c r="E2741" s="2" t="str">
        <x:v>Prior report</x:v>
      </x:c>
      <x:c r="F2741" s="7" t="n">
        <x:v>45679</x:v>
      </x:c>
      <x:c r="G2741" s="2" t="str">
        <x:v>Half correction</x:v>
      </x:c>
      <x:c r="H2741" s="8" t="n">
        <x:f>K1397</x:f>
        <x:v>0.037655963445278884</x:v>
      </x:c>
      <x:c r="I2741" s="8" t="n">
        <x:f>AVERAGE(M1332,M1348,M1364,M1381)</x:f>
        <x:v>-3.655155105601008</x:v>
      </x:c>
      <x:c r="J2741" s="8" t="n">
        <x:v>0.5</x:v>
      </x:c>
      <x:c r="K2741" s="8" t="n">
        <x:f>H2741-I2741*J2741</x:f>
        <x:v>1.865233516245783</x:v>
      </x:c>
      <x:c r="L2741" s="8" t="n">
        <x:f>'PG facts'!E119</x:f>
        <x:v>1</x:v>
      </x:c>
      <x:c r="M2741" s="8" t="n">
        <x:f>K2741-L2741</x:f>
        <x:v>0.8652335162457829</x:v>
      </x:c>
      <x:c r="N2741" s="8" t="n">
        <x:f>M2741^2</x:f>
        <x:v>0.7486290376350415</x:v>
      </x:c>
      <x:c r="O2741" s="8" t="n">
        <x:f>ABS(M2741)</x:f>
        <x:v>0.8652335162457829</x:v>
      </x:c>
      <x:c r="P2741" s="7" t="n">
        <x:v>45771</x:v>
      </x:c>
    </x:row>
    <x:row r="2742" ht="26" customHeight="1">
      <x:c r="A2742" s="2"/>
      <x:c r="B2742" s="2" t="n">
        <x:v>2737</x:v>
      </x:c>
      <x:c r="C2742" s="2" t="str">
        <x:v>Grooming / organic_volume_growth</x:v>
      </x:c>
      <x:c r="D2742" s="7" t="n">
        <x:v>45747</x:v>
      </x:c>
      <x:c r="E2742" s="2" t="str">
        <x:v>Pre-earnings</x:v>
      </x:c>
      <x:c r="F2742" s="7" t="n">
        <x:v>45770</x:v>
      </x:c>
      <x:c r="G2742" s="2" t="str">
        <x:v>Bias correction</x:v>
      </x:c>
      <x:c r="H2742" s="8" t="n">
        <x:f>K1402</x:f>
        <x:v>0.2475016210531541</x:v>
      </x:c>
      <x:c r="I2742" s="8" t="n">
        <x:f>AVERAGE(M1337,M1353,M1370,M1386)</x:f>
        <x:v>-3.374414757762226</x:v>
      </x:c>
      <x:c r="J2742" s="8" t="n">
        <x:v>1</x:v>
      </x:c>
      <x:c r="K2742" s="8" t="n">
        <x:f>H2742-I2742*J2742</x:f>
        <x:v>3.62191637881538</x:v>
      </x:c>
      <x:c r="L2742" s="8" t="n">
        <x:f>'PG facts'!E119</x:f>
        <x:v>1</x:v>
      </x:c>
      <x:c r="M2742" s="8" t="n">
        <x:f>K2742-L2742</x:f>
        <x:v>2.62191637881538</x:v>
      </x:c>
      <x:c r="N2742" s="8" t="n">
        <x:f>M2742^2</x:f>
        <x:v>6.874445497500355</x:v>
      </x:c>
      <x:c r="O2742" s="8" t="n">
        <x:f>ABS(M2742)</x:f>
        <x:v>2.62191637881538</x:v>
      </x:c>
      <x:c r="P2742" s="7" t="n">
        <x:v>45771</x:v>
      </x:c>
    </x:row>
    <x:row r="2743" ht="26" customHeight="1">
      <x:c r="A2743" s="2"/>
      <x:c r="B2743" s="2" t="n">
        <x:v>2738</x:v>
      </x:c>
      <x:c r="C2743" s="2" t="str">
        <x:v>Grooming / organic_volume_growth</x:v>
      </x:c>
      <x:c r="D2743" s="7" t="n">
        <x:v>45747</x:v>
      </x:c>
      <x:c r="E2743" s="2" t="str">
        <x:v>Pre-earnings</x:v>
      </x:c>
      <x:c r="F2743" s="7" t="n">
        <x:v>45770</x:v>
      </x:c>
      <x:c r="G2743" s="2" t="str">
        <x:v>Half correction</x:v>
      </x:c>
      <x:c r="H2743" s="8" t="n">
        <x:f>K1402</x:f>
        <x:v>0.2475016210531541</x:v>
      </x:c>
      <x:c r="I2743" s="8" t="n">
        <x:f>AVERAGE(M1337,M1353,M1370,M1386)</x:f>
        <x:v>-3.374414757762226</x:v>
      </x:c>
      <x:c r="J2743" s="8" t="n">
        <x:v>0.5</x:v>
      </x:c>
      <x:c r="K2743" s="8" t="n">
        <x:f>H2743-I2743*J2743</x:f>
        <x:v>1.934708999934267</x:v>
      </x:c>
      <x:c r="L2743" s="8" t="n">
        <x:f>'PG facts'!E119</x:f>
        <x:v>1</x:v>
      </x:c>
      <x:c r="M2743" s="8" t="n">
        <x:f>K2743-L2743</x:f>
        <x:v>0.934708999934267</x:v>
      </x:c>
      <x:c r="N2743" s="8" t="n">
        <x:f>M2743^2</x:f>
        <x:v>0.8736809145581176</x:v>
      </x:c>
      <x:c r="O2743" s="8" t="n">
        <x:f>ABS(M2743)</x:f>
        <x:v>0.934708999934267</x:v>
      </x:c>
      <x:c r="P2743" s="7" t="n">
        <x:v>45771</x:v>
      </x:c>
    </x:row>
    <x:row r="2744" ht="26" customHeight="1">
      <x:c r="A2744" s="2"/>
      <x:c r="B2744" s="2" t="n">
        <x:v>2739</x:v>
      </x:c>
      <x:c r="C2744" s="2" t="str">
        <x:v>Grooming / organic_volume_growth</x:v>
      </x:c>
      <x:c r="D2744" s="7" t="n">
        <x:v>45838</x:v>
      </x:c>
      <x:c r="E2744" s="2" t="str">
        <x:v>Origin</x:v>
      </x:c>
      <x:c r="F2744" s="7" t="n">
        <x:v>45748</x:v>
      </x:c>
      <x:c r="G2744" s="2" t="str">
        <x:v>Bias correction</x:v>
      </x:c>
      <x:c r="H2744" s="8" t="n">
        <x:f>K1408</x:f>
        <x:v>0.21033962032774955</x:v>
      </x:c>
      <x:c r="I2744" s="8" t="n">
        <x:f>AVERAGE(M1327,M1343,M1359,M1376)</x:f>
        <x:v>-3.705270332078074</x:v>
      </x:c>
      <x:c r="J2744" s="8" t="n">
        <x:v>1</x:v>
      </x:c>
      <x:c r="K2744" s="8" t="n">
        <x:f>H2744-I2744*J2744</x:f>
        <x:v>3.9156099524058234</x:v>
      </x:c>
      <x:c r="L2744" s="8" t="n">
        <x:f>'PG facts'!E126</x:f>
        <x:v>-1</x:v>
      </x:c>
      <x:c r="M2744" s="8" t="n">
        <x:f>K2744-L2744</x:f>
        <x:v>4.915609952405823</x:v>
      </x:c>
      <x:c r="N2744" s="8" t="n">
        <x:f>M2744^2</x:f>
        <x:v>24.16322120419118</x:v>
      </x:c>
      <x:c r="O2744" s="8" t="n">
        <x:f>ABS(M2744)</x:f>
        <x:v>4.915609952405823</x:v>
      </x:c>
      <x:c r="P2744" s="7" t="n">
        <x:v>45867</x:v>
      </x:c>
    </x:row>
    <x:row r="2745" ht="26" customHeight="1">
      <x:c r="A2745" s="2"/>
      <x:c r="B2745" s="2" t="n">
        <x:v>2740</x:v>
      </x:c>
      <x:c r="C2745" s="2" t="str">
        <x:v>Grooming / organic_volume_growth</x:v>
      </x:c>
      <x:c r="D2745" s="7" t="n">
        <x:v>45838</x:v>
      </x:c>
      <x:c r="E2745" s="2" t="str">
        <x:v>Origin</x:v>
      </x:c>
      <x:c r="F2745" s="7" t="n">
        <x:v>45748</x:v>
      </x:c>
      <x:c r="G2745" s="2" t="str">
        <x:v>Half correction</x:v>
      </x:c>
      <x:c r="H2745" s="8" t="n">
        <x:f>K1408</x:f>
        <x:v>0.21033962032774955</x:v>
      </x:c>
      <x:c r="I2745" s="8" t="n">
        <x:f>AVERAGE(M1327,M1343,M1359,M1376)</x:f>
        <x:v>-3.705270332078074</x:v>
      </x:c>
      <x:c r="J2745" s="8" t="n">
        <x:v>0.5</x:v>
      </x:c>
      <x:c r="K2745" s="8" t="n">
        <x:f>H2745-I2745*J2745</x:f>
        <x:v>2.0629747863667864</x:v>
      </x:c>
      <x:c r="L2745" s="8" t="n">
        <x:f>'PG facts'!E126</x:f>
        <x:v>-1</x:v>
      </x:c>
      <x:c r="M2745" s="8" t="n">
        <x:f>K2745-L2745</x:f>
        <x:v>3.0629747863667864</x:v>
      </x:c>
      <x:c r="N2745" s="8" t="n">
        <x:f>M2745^2</x:f>
        <x:v>9.381814541918661</x:v>
      </x:c>
      <x:c r="O2745" s="8" t="n">
        <x:f>ABS(M2745)</x:f>
        <x:v>3.0629747863667864</x:v>
      </x:c>
      <x:c r="P2745" s="7" t="n">
        <x:v>45867</x:v>
      </x:c>
    </x:row>
    <x:row r="2746" ht="26" customHeight="1">
      <x:c r="A2746" s="2"/>
      <x:c r="B2746" s="2" t="n">
        <x:v>2741</x:v>
      </x:c>
      <x:c r="C2746" s="2" t="str">
        <x:v>Grooming / organic_volume_growth</x:v>
      </x:c>
      <x:c r="D2746" s="7" t="n">
        <x:v>45838</x:v>
      </x:c>
      <x:c r="E2746" s="2" t="str">
        <x:v>Prior report</x:v>
      </x:c>
      <x:c r="F2746" s="7" t="n">
        <x:v>45771</x:v>
      </x:c>
      <x:c r="G2746" s="2" t="str">
        <x:v>Bias correction</x:v>
      </x:c>
      <x:c r="H2746" s="8" t="n">
        <x:f>K1413</x:f>
        <x:v>0.21033962032774955</x:v>
      </x:c>
      <x:c r="I2746" s="8" t="n">
        <x:f>AVERAGE(M1348,M1364,M1381,M1397)</x:f>
        <x:v>-3.025337662683182</x:v>
      </x:c>
      <x:c r="J2746" s="8" t="n">
        <x:v>1</x:v>
      </x:c>
      <x:c r="K2746" s="8" t="n">
        <x:f>H2746-I2746*J2746</x:f>
        <x:v>3.2356772830109315</x:v>
      </x:c>
      <x:c r="L2746" s="8" t="n">
        <x:f>'PG facts'!E126</x:f>
        <x:v>-1</x:v>
      </x:c>
      <x:c r="M2746" s="8" t="n">
        <x:f>K2746-L2746</x:f>
        <x:v>4.235677283010931</x:v>
      </x:c>
      <x:c r="N2746" s="8" t="n">
        <x:f>M2746^2</x:f>
        <x:v>17.940962045814864</x:v>
      </x:c>
      <x:c r="O2746" s="8" t="n">
        <x:f>ABS(M2746)</x:f>
        <x:v>4.235677283010931</x:v>
      </x:c>
      <x:c r="P2746" s="7" t="n">
        <x:v>45867</x:v>
      </x:c>
    </x:row>
    <x:row r="2747" ht="26" customHeight="1">
      <x:c r="A2747" s="2"/>
      <x:c r="B2747" s="2" t="n">
        <x:v>2742</x:v>
      </x:c>
      <x:c r="C2747" s="2" t="str">
        <x:v>Grooming / organic_volume_growth</x:v>
      </x:c>
      <x:c r="D2747" s="7" t="n">
        <x:v>45838</x:v>
      </x:c>
      <x:c r="E2747" s="2" t="str">
        <x:v>Prior report</x:v>
      </x:c>
      <x:c r="F2747" s="7" t="n">
        <x:v>45771</x:v>
      </x:c>
      <x:c r="G2747" s="2" t="str">
        <x:v>Half correction</x:v>
      </x:c>
      <x:c r="H2747" s="8" t="n">
        <x:f>K1413</x:f>
        <x:v>0.21033962032774955</x:v>
      </x:c>
      <x:c r="I2747" s="8" t="n">
        <x:f>AVERAGE(M1348,M1364,M1381,M1397)</x:f>
        <x:v>-3.025337662683182</x:v>
      </x:c>
      <x:c r="J2747" s="8" t="n">
        <x:v>0.5</x:v>
      </x:c>
      <x:c r="K2747" s="8" t="n">
        <x:f>H2747-I2747*J2747</x:f>
        <x:v>1.7230084516693407</x:v>
      </x:c>
      <x:c r="L2747" s="8" t="n">
        <x:f>'PG facts'!E126</x:f>
        <x:v>-1</x:v>
      </x:c>
      <x:c r="M2747" s="8" t="n">
        <x:f>K2747-L2747</x:f>
        <x:v>2.7230084516693407</x:v>
      </x:c>
      <x:c r="N2747" s="8" t="n">
        <x:f>M2747^2</x:f>
        <x:v>7.41477502786266</x:v>
      </x:c>
      <x:c r="O2747" s="8" t="n">
        <x:f>ABS(M2747)</x:f>
        <x:v>2.7230084516693407</x:v>
      </x:c>
      <x:c r="P2747" s="7" t="n">
        <x:v>45867</x:v>
      </x:c>
    </x:row>
    <x:row r="2748" ht="26" customHeight="1">
      <x:c r="A2748" s="2"/>
      <x:c r="B2748" s="2" t="n">
        <x:v>2743</x:v>
      </x:c>
      <x:c r="C2748" s="2" t="str">
        <x:v>Grooming / organic_volume_growth</x:v>
      </x:c>
      <x:c r="D2748" s="7" t="n">
        <x:v>45838</x:v>
      </x:c>
      <x:c r="E2748" s="2" t="str">
        <x:v>Pre-earnings</x:v>
      </x:c>
      <x:c r="F2748" s="7" t="n">
        <x:v>45866</x:v>
      </x:c>
      <x:c r="G2748" s="2" t="str">
        <x:v>Bias correction</x:v>
      </x:c>
      <x:c r="H2748" s="8" t="n">
        <x:f>K1418</x:f>
        <x:v>0.4052719817144076</x:v>
      </x:c>
      <x:c r="I2748" s="8" t="n">
        <x:f>AVERAGE(M1353,M1370,M1386,M1402)</x:f>
        <x:v>-2.741475048450596</x:v>
      </x:c>
      <x:c r="J2748" s="8" t="n">
        <x:v>1</x:v>
      </x:c>
      <x:c r="K2748" s="8" t="n">
        <x:f>H2748-I2748*J2748</x:f>
        <x:v>3.1467470301650033</x:v>
      </x:c>
      <x:c r="L2748" s="8" t="n">
        <x:f>'PG facts'!E126</x:f>
        <x:v>-1</x:v>
      </x:c>
      <x:c r="M2748" s="8" t="n">
        <x:f>K2748-L2748</x:f>
        <x:v>4.146747030165003</x:v>
      </x:c>
      <x:c r="N2748" s="8" t="n">
        <x:f>M2748^2</x:f>
        <x:v>17.195510932182277</x:v>
      </x:c>
      <x:c r="O2748" s="8" t="n">
        <x:f>ABS(M2748)</x:f>
        <x:v>4.146747030165003</x:v>
      </x:c>
      <x:c r="P2748" s="7" t="n">
        <x:v>45867</x:v>
      </x:c>
    </x:row>
    <x:row r="2749" ht="26" customHeight="1">
      <x:c r="A2749" s="2"/>
      <x:c r="B2749" s="2" t="n">
        <x:v>2744</x:v>
      </x:c>
      <x:c r="C2749" s="2" t="str">
        <x:v>Grooming / organic_volume_growth</x:v>
      </x:c>
      <x:c r="D2749" s="7" t="n">
        <x:v>45838</x:v>
      </x:c>
      <x:c r="E2749" s="2" t="str">
        <x:v>Pre-earnings</x:v>
      </x:c>
      <x:c r="F2749" s="7" t="n">
        <x:v>45866</x:v>
      </x:c>
      <x:c r="G2749" s="2" t="str">
        <x:v>Half correction</x:v>
      </x:c>
      <x:c r="H2749" s="8" t="n">
        <x:f>K1418</x:f>
        <x:v>0.4052719817144076</x:v>
      </x:c>
      <x:c r="I2749" s="8" t="n">
        <x:f>AVERAGE(M1353,M1370,M1386,M1402)</x:f>
        <x:v>-2.741475048450596</x:v>
      </x:c>
      <x:c r="J2749" s="8" t="n">
        <x:v>0.5</x:v>
      </x:c>
      <x:c r="K2749" s="8" t="n">
        <x:f>H2749-I2749*J2749</x:f>
        <x:v>1.7760095059397054</x:v>
      </x:c>
      <x:c r="L2749" s="8" t="n">
        <x:f>'PG facts'!E126</x:f>
        <x:v>-1</x:v>
      </x:c>
      <x:c r="M2749" s="8" t="n">
        <x:f>K2749-L2749</x:f>
        <x:v>2.7760095059397054</x:v>
      </x:c>
      <x:c r="N2749" s="8" t="n">
        <x:f>M2749^2</x:f>
        <x:v>7.706228777067607</x:v>
      </x:c>
      <x:c r="O2749" s="8" t="n">
        <x:f>ABS(M2749)</x:f>
        <x:v>2.7760095059397054</x:v>
      </x:c>
      <x:c r="P2749" s="7" t="n">
        <x:v>45867</x:v>
      </x:c>
    </x:row>
    <x:row r="2750" ht="26" customHeight="1">
      <x:c r="A2750" s="2"/>
      <x:c r="B2750" s="2" t="n">
        <x:v>2745</x:v>
      </x:c>
      <x:c r="C2750" s="2" t="str">
        <x:v>Grooming / organic_volume_growth</x:v>
      </x:c>
      <x:c r="D2750" s="7" t="n">
        <x:v>45930</x:v>
      </x:c>
      <x:c r="E2750" s="2" t="str">
        <x:v>Origin</x:v>
      </x:c>
      <x:c r="F2750" s="7" t="n">
        <x:v>45839</x:v>
      </x:c>
      <x:c r="G2750" s="2" t="str">
        <x:v>Bias correction</x:v>
      </x:c>
      <x:c r="H2750" s="8" t="n">
        <x:f>K1424</x:f>
        <x:v>0.3895827741881993</x:v>
      </x:c>
      <x:c r="I2750" s="8" t="n">
        <x:f>AVERAGE(M1343,M1359,M1376,M1392)</x:f>
        <x:v>-3.075452889160248</x:v>
      </x:c>
      <x:c r="J2750" s="8" t="n">
        <x:v>1</x:v>
      </x:c>
      <x:c r="K2750" s="8" t="n">
        <x:f>H2750-I2750*J2750</x:f>
        <x:v>3.465035663348447</x:v>
      </x:c>
      <x:c r="L2750" s="8" t="n">
        <x:f>'PG facts'!E133</x:f>
        <x:v>1</x:v>
      </x:c>
      <x:c r="M2750" s="8" t="n">
        <x:f>K2750-L2750</x:f>
        <x:v>2.465035663348447</x:v>
      </x:c>
      <x:c r="N2750" s="8" t="n">
        <x:f>M2750^2</x:f>
        <x:v>6.0764008215797185</x:v>
      </x:c>
      <x:c r="O2750" s="8" t="n">
        <x:f>ABS(M2750)</x:f>
        <x:v>2.465035663348447</x:v>
      </x:c>
      <x:c r="P2750" s="7" t="n">
        <x:v>45954</x:v>
      </x:c>
    </x:row>
    <x:row r="2751" ht="26" customHeight="1">
      <x:c r="A2751" s="2"/>
      <x:c r="B2751" s="2" t="n">
        <x:v>2746</x:v>
      </x:c>
      <x:c r="C2751" s="2" t="str">
        <x:v>Grooming / organic_volume_growth</x:v>
      </x:c>
      <x:c r="D2751" s="7" t="n">
        <x:v>45930</x:v>
      </x:c>
      <x:c r="E2751" s="2" t="str">
        <x:v>Origin</x:v>
      </x:c>
      <x:c r="F2751" s="7" t="n">
        <x:v>45839</x:v>
      </x:c>
      <x:c r="G2751" s="2" t="str">
        <x:v>Half correction</x:v>
      </x:c>
      <x:c r="H2751" s="8" t="n">
        <x:f>K1424</x:f>
        <x:v>0.3895827741881993</x:v>
      </x:c>
      <x:c r="I2751" s="8" t="n">
        <x:f>AVERAGE(M1343,M1359,M1376,M1392)</x:f>
        <x:v>-3.075452889160248</x:v>
      </x:c>
      <x:c r="J2751" s="8" t="n">
        <x:v>0.5</x:v>
      </x:c>
      <x:c r="K2751" s="8" t="n">
        <x:f>H2751-I2751*J2751</x:f>
        <x:v>1.9273092187683232</x:v>
      </x:c>
      <x:c r="L2751" s="8" t="n">
        <x:f>'PG facts'!E133</x:f>
        <x:v>1</x:v>
      </x:c>
      <x:c r="M2751" s="8" t="n">
        <x:f>K2751-L2751</x:f>
        <x:v>0.9273092187683232</x:v>
      </x:c>
      <x:c r="N2751" s="8" t="n">
        <x:f>M2751^2</x:f>
        <x:v>0.8599023872127178</x:v>
      </x:c>
      <x:c r="O2751" s="8" t="n">
        <x:f>ABS(M2751)</x:f>
        <x:v>0.9273092187683232</x:v>
      </x:c>
      <x:c r="P2751" s="7" t="n">
        <x:v>45954</x:v>
      </x:c>
    </x:row>
    <x:row r="2752" ht="26" customHeight="1">
      <x:c r="A2752" s="2"/>
      <x:c r="B2752" s="2" t="n">
        <x:v>2747</x:v>
      </x:c>
      <x:c r="C2752" s="2" t="str">
        <x:v>Grooming / organic_volume_growth</x:v>
      </x:c>
      <x:c r="D2752" s="7" t="n">
        <x:v>45930</x:v>
      </x:c>
      <x:c r="E2752" s="2" t="str">
        <x:v>Prior report</x:v>
      </x:c>
      <x:c r="F2752" s="7" t="n">
        <x:v>45867</x:v>
      </x:c>
      <x:c r="G2752" s="2" t="str">
        <x:v>Bias correction</x:v>
      </x:c>
      <x:c r="H2752" s="8" t="n">
        <x:f>K1429</x:f>
        <x:v>0.3895827741881993</x:v>
      </x:c>
      <x:c r="I2752" s="8" t="n">
        <x:f>AVERAGE(M1364,M1381,M1397,M1413)</x:f>
        <x:v>-1.9350573761886998</x:v>
      </x:c>
      <x:c r="J2752" s="8" t="n">
        <x:v>1</x:v>
      </x:c>
      <x:c r="K2752" s="8" t="n">
        <x:f>H2752-I2752*J2752</x:f>
        <x:v>2.324640150376899</x:v>
      </x:c>
      <x:c r="L2752" s="8" t="n">
        <x:f>'PG facts'!E133</x:f>
        <x:v>1</x:v>
      </x:c>
      <x:c r="M2752" s="8" t="n">
        <x:f>K2752-L2752</x:f>
        <x:v>1.324640150376899</x:v>
      </x:c>
      <x:c r="N2752" s="8" t="n">
        <x:f>M2752^2</x:f>
        <x:v>1.7546715279905336</x:v>
      </x:c>
      <x:c r="O2752" s="8" t="n">
        <x:f>ABS(M2752)</x:f>
        <x:v>1.324640150376899</x:v>
      </x:c>
      <x:c r="P2752" s="7" t="n">
        <x:v>45954</x:v>
      </x:c>
    </x:row>
    <x:row r="2753" ht="26" customHeight="1">
      <x:c r="A2753" s="2"/>
      <x:c r="B2753" s="2" t="n">
        <x:v>2748</x:v>
      </x:c>
      <x:c r="C2753" s="2" t="str">
        <x:v>Grooming / organic_volume_growth</x:v>
      </x:c>
      <x:c r="D2753" s="7" t="n">
        <x:v>45930</x:v>
      </x:c>
      <x:c r="E2753" s="2" t="str">
        <x:v>Prior report</x:v>
      </x:c>
      <x:c r="F2753" s="7" t="n">
        <x:v>45867</x:v>
      </x:c>
      <x:c r="G2753" s="2" t="str">
        <x:v>Half correction</x:v>
      </x:c>
      <x:c r="H2753" s="8" t="n">
        <x:f>K1429</x:f>
        <x:v>0.3895827741881993</x:v>
      </x:c>
      <x:c r="I2753" s="8" t="n">
        <x:f>AVERAGE(M1364,M1381,M1397,M1413)</x:f>
        <x:v>-1.9350573761886998</x:v>
      </x:c>
      <x:c r="J2753" s="8" t="n">
        <x:v>0.5</x:v>
      </x:c>
      <x:c r="K2753" s="8" t="n">
        <x:f>H2753-I2753*J2753</x:f>
        <x:v>1.3571114622825493</x:v>
      </x:c>
      <x:c r="L2753" s="8" t="n">
        <x:f>'PG facts'!E133</x:f>
        <x:v>1</x:v>
      </x:c>
      <x:c r="M2753" s="8" t="n">
        <x:f>K2753-L2753</x:f>
        <x:v>0.3571114622825493</x:v>
      </x:c>
      <x:c r="N2753" s="8" t="n">
        <x:f>M2753^2</x:f>
        <x:v>0.12752859649358064</x:v>
      </x:c>
      <x:c r="O2753" s="8" t="n">
        <x:f>ABS(M2753)</x:f>
        <x:v>0.3571114622825493</x:v>
      </x:c>
      <x:c r="P2753" s="7" t="n">
        <x:v>45954</x:v>
      </x:c>
    </x:row>
    <x:row r="2754" ht="26" customHeight="1">
      <x:c r="A2754" s="2"/>
      <x:c r="B2754" s="2" t="n">
        <x:v>2749</x:v>
      </x:c>
      <x:c r="C2754" s="2" t="str">
        <x:v>Grooming / organic_volume_growth</x:v>
      </x:c>
      <x:c r="D2754" s="7" t="n">
        <x:v>45930</x:v>
      </x:c>
      <x:c r="E2754" s="2" t="str">
        <x:v>Pre-earnings</x:v>
      </x:c>
      <x:c r="F2754" s="7" t="n">
        <x:v>45953</x:v>
      </x:c>
      <x:c r="G2754" s="2" t="str">
        <x:v>Bias correction</x:v>
      </x:c>
      <x:c r="H2754" s="8" t="n">
        <x:f>K1434</x:f>
        <x:v>0.44220542788655903</x:v>
      </x:c>
      <x:c r="I2754" s="8" t="n">
        <x:f>AVERAGE(M1370,M1386,M1402,M1418)</x:f>
        <x:v>-1.6799889364969836</x:v>
      </x:c>
      <x:c r="J2754" s="8" t="n">
        <x:v>1</x:v>
      </x:c>
      <x:c r="K2754" s="8" t="n">
        <x:f>H2754-I2754*J2754</x:f>
        <x:v>2.1221943643835424</x:v>
      </x:c>
      <x:c r="L2754" s="8" t="n">
        <x:f>'PG facts'!E133</x:f>
        <x:v>1</x:v>
      </x:c>
      <x:c r="M2754" s="8" t="n">
        <x:f>K2754-L2754</x:f>
        <x:v>1.1221943643835424</x:v>
      </x:c>
      <x:c r="N2754" s="8" t="n">
        <x:f>M2754^2</x:f>
        <x:v>1.2593201914541827</x:v>
      </x:c>
      <x:c r="O2754" s="8" t="n">
        <x:f>ABS(M2754)</x:f>
        <x:v>1.1221943643835424</x:v>
      </x:c>
      <x:c r="P2754" s="7" t="n">
        <x:v>45954</x:v>
      </x:c>
    </x:row>
    <x:row r="2755" ht="26" customHeight="1">
      <x:c r="A2755" s="2"/>
      <x:c r="B2755" s="2" t="n">
        <x:v>2750</x:v>
      </x:c>
      <x:c r="C2755" s="2" t="str">
        <x:v>Grooming / organic_volume_growth</x:v>
      </x:c>
      <x:c r="D2755" s="7" t="n">
        <x:v>45930</x:v>
      </x:c>
      <x:c r="E2755" s="2" t="str">
        <x:v>Pre-earnings</x:v>
      </x:c>
      <x:c r="F2755" s="7" t="n">
        <x:v>45953</x:v>
      </x:c>
      <x:c r="G2755" s="2" t="str">
        <x:v>Half correction</x:v>
      </x:c>
      <x:c r="H2755" s="8" t="n">
        <x:f>K1434</x:f>
        <x:v>0.44220542788655903</x:v>
      </x:c>
      <x:c r="I2755" s="8" t="n">
        <x:f>AVERAGE(M1370,M1386,M1402,M1418)</x:f>
        <x:v>-1.6799889364969836</x:v>
      </x:c>
      <x:c r="J2755" s="8" t="n">
        <x:v>0.5</x:v>
      </x:c>
      <x:c r="K2755" s="8" t="n">
        <x:f>H2755-I2755*J2755</x:f>
        <x:v>1.282199896135051</x:v>
      </x:c>
      <x:c r="L2755" s="8" t="n">
        <x:f>'PG facts'!E133</x:f>
        <x:v>1</x:v>
      </x:c>
      <x:c r="M2755" s="8" t="n">
        <x:f>K2755-L2755</x:f>
        <x:v>0.2821998961350509</x:v>
      </x:c>
      <x:c r="N2755" s="8" t="n">
        <x:f>M2755^2</x:f>
        <x:v>0.07963678137863353</x:v>
      </x:c>
      <x:c r="O2755" s="8" t="n">
        <x:f>ABS(M2755)</x:f>
        <x:v>0.2821998961350509</x:v>
      </x:c>
      <x:c r="P2755" s="7" t="n">
        <x:v>45954</x:v>
      </x:c>
    </x:row>
    <x:row r="2756" ht="26" customHeight="1">
      <x:c r="A2756" s="2"/>
      <x:c r="B2756" s="2" t="n">
        <x:v>2751</x:v>
      </x:c>
      <x:c r="C2756" s="2" t="str">
        <x:v>Grooming / organic_volume_growth</x:v>
      </x:c>
      <x:c r="D2756" s="7" t="n">
        <x:v>46022</x:v>
      </x:c>
      <x:c r="E2756" s="2" t="str">
        <x:v>Origin</x:v>
      </x:c>
      <x:c r="F2756" s="7" t="n">
        <x:v>45931</x:v>
      </x:c>
      <x:c r="G2756" s="2" t="str">
        <x:v>Bias correction</x:v>
      </x:c>
      <x:c r="H2756" s="8" t="n">
        <x:f>K1440</x:f>
        <x:v>0.44650222349649327</x:v>
      </x:c>
      <x:c r="I2756" s="8" t="n">
        <x:f>AVERAGE(M1359,M1376,M1392,M1408)</x:f>
        <x:v>-1.9851726026657657</x:v>
      </x:c>
      <x:c r="J2756" s="8" t="n">
        <x:v>1</x:v>
      </x:c>
      <x:c r="K2756" s="8" t="n">
        <x:f>H2756-I2756*J2756</x:f>
        <x:v>2.4316748261622587</x:v>
      </x:c>
      <x:c r="L2756" s="8" t="n">
        <x:f>'PG facts'!E140</x:f>
        <x:v>-2</x:v>
      </x:c>
      <x:c r="M2756" s="8" t="n">
        <x:f>K2756-L2756</x:f>
        <x:v>4.431674826162259</x:v>
      </x:c>
      <x:c r="N2756" s="8" t="n">
        <x:f>M2756^2</x:f>
        <x:v>19.639741764840284</x:v>
      </x:c>
      <x:c r="O2756" s="8" t="n">
        <x:f>ABS(M2756)</x:f>
        <x:v>4.431674826162259</x:v>
      </x:c>
      <x:c r="P2756" s="7" t="n">
        <x:v>46045</x:v>
      </x:c>
    </x:row>
    <x:row r="2757" ht="26" customHeight="1">
      <x:c r="A2757" s="2"/>
      <x:c r="B2757" s="2" t="n">
        <x:v>2752</x:v>
      </x:c>
      <x:c r="C2757" s="2" t="str">
        <x:v>Grooming / organic_volume_growth</x:v>
      </x:c>
      <x:c r="D2757" s="7" t="n">
        <x:v>46022</x:v>
      </x:c>
      <x:c r="E2757" s="2" t="str">
        <x:v>Origin</x:v>
      </x:c>
      <x:c r="F2757" s="7" t="n">
        <x:v>45931</x:v>
      </x:c>
      <x:c r="G2757" s="2" t="str">
        <x:v>Half correction</x:v>
      </x:c>
      <x:c r="H2757" s="8" t="n">
        <x:f>K1440</x:f>
        <x:v>0.44650222349649327</x:v>
      </x:c>
      <x:c r="I2757" s="8" t="n">
        <x:f>AVERAGE(M1359,M1376,M1392,M1408)</x:f>
        <x:v>-1.9851726026657657</x:v>
      </x:c>
      <x:c r="J2757" s="8" t="n">
        <x:v>0.5</x:v>
      </x:c>
      <x:c r="K2757" s="8" t="n">
        <x:f>H2757-I2757*J2757</x:f>
        <x:v>1.439088524829376</x:v>
      </x:c>
      <x:c r="L2757" s="8" t="n">
        <x:f>'PG facts'!E140</x:f>
        <x:v>-2</x:v>
      </x:c>
      <x:c r="M2757" s="8" t="n">
        <x:f>K2757-L2757</x:f>
        <x:v>3.4390885248293763</x:v>
      </x:c>
      <x:c r="N2757" s="8" t="n">
        <x:f>M2757^2</x:f>
        <x:v>11.827329881613096</x:v>
      </x:c>
      <x:c r="O2757" s="8" t="n">
        <x:f>ABS(M2757)</x:f>
        <x:v>3.4390885248293763</x:v>
      </x:c>
      <x:c r="P2757" s="7" t="n">
        <x:v>46045</x:v>
      </x:c>
    </x:row>
    <x:row r="2758" ht="26" customHeight="1">
      <x:c r="A2758" s="2"/>
      <x:c r="B2758" s="2" t="n">
        <x:v>2753</x:v>
      </x:c>
      <x:c r="C2758" s="2" t="str">
        <x:v>Grooming / organic_volume_growth</x:v>
      </x:c>
      <x:c r="D2758" s="7" t="n">
        <x:v>46022</x:v>
      </x:c>
      <x:c r="E2758" s="2" t="str">
        <x:v>Prior report</x:v>
      </x:c>
      <x:c r="F2758" s="7" t="n">
        <x:v>45954</x:v>
      </x:c>
      <x:c r="G2758" s="2" t="str">
        <x:v>Bias correction</x:v>
      </x:c>
      <x:c r="H2758" s="8" t="n">
        <x:f>K1445</x:f>
        <x:v>0.44650222349649327</x:v>
      </x:c>
      <x:c r="I2758" s="8" t="n">
        <x:f>AVERAGE(M1381,M1397,M1413,M1429)</x:f>
        <x:v>-0.6840586844511921</x:v>
      </x:c>
      <x:c r="J2758" s="8" t="n">
        <x:v>1</x:v>
      </x:c>
      <x:c r="K2758" s="8" t="n">
        <x:f>H2758-I2758*J2758</x:f>
        <x:v>1.1305609079476855</x:v>
      </x:c>
      <x:c r="L2758" s="8" t="n">
        <x:f>'PG facts'!E140</x:f>
        <x:v>-2</x:v>
      </x:c>
      <x:c r="M2758" s="8" t="n">
        <x:f>K2758-L2758</x:f>
        <x:v>3.1305609079476855</x:v>
      </x:c>
      <x:c r="N2758" s="8" t="n">
        <x:f>M2758^2</x:f>
        <x:v>9.800411598370237</x:v>
      </x:c>
      <x:c r="O2758" s="8" t="n">
        <x:f>ABS(M2758)</x:f>
        <x:v>3.1305609079476855</x:v>
      </x:c>
      <x:c r="P2758" s="7" t="n">
        <x:v>46045</x:v>
      </x:c>
    </x:row>
    <x:row r="2759" ht="26" customHeight="1">
      <x:c r="A2759" s="2"/>
      <x:c r="B2759" s="2" t="n">
        <x:v>2754</x:v>
      </x:c>
      <x:c r="C2759" s="2" t="str">
        <x:v>Grooming / organic_volume_growth</x:v>
      </x:c>
      <x:c r="D2759" s="7" t="n">
        <x:v>46022</x:v>
      </x:c>
      <x:c r="E2759" s="2" t="str">
        <x:v>Prior report</x:v>
      </x:c>
      <x:c r="F2759" s="7" t="n">
        <x:v>45954</x:v>
      </x:c>
      <x:c r="G2759" s="2" t="str">
        <x:v>Half correction</x:v>
      </x:c>
      <x:c r="H2759" s="8" t="n">
        <x:f>K1445</x:f>
        <x:v>0.44650222349649327</x:v>
      </x:c>
      <x:c r="I2759" s="8" t="n">
        <x:f>AVERAGE(M1381,M1397,M1413,M1429)</x:f>
        <x:v>-0.6840586844511921</x:v>
      </x:c>
      <x:c r="J2759" s="8" t="n">
        <x:v>0.5</x:v>
      </x:c>
      <x:c r="K2759" s="8" t="n">
        <x:f>H2759-I2759*J2759</x:f>
        <x:v>0.7885315657220893</x:v>
      </x:c>
      <x:c r="L2759" s="8" t="n">
        <x:f>'PG facts'!E140</x:f>
        <x:v>-2</x:v>
      </x:c>
      <x:c r="M2759" s="8" t="n">
        <x:f>K2759-L2759</x:f>
        <x:v>2.7885315657220895</x:v>
      </x:c>
      <x:c r="N2759" s="8" t="n">
        <x:f>M2759^2</x:f>
        <x:v>7.775908293028488</x:v>
      </x:c>
      <x:c r="O2759" s="8" t="n">
        <x:f>ABS(M2759)</x:f>
        <x:v>2.7885315657220895</x:v>
      </x:c>
      <x:c r="P2759" s="7" t="n">
        <x:v>46045</x:v>
      </x:c>
    </x:row>
    <x:row r="2760" ht="26" customHeight="1">
      <x:c r="A2760" s="2"/>
      <x:c r="B2760" s="2" t="n">
        <x:v>2755</x:v>
      </x:c>
      <x:c r="C2760" s="2" t="str">
        <x:v>Grooming / organic_volume_growth</x:v>
      </x:c>
      <x:c r="D2760" s="7" t="n">
        <x:v>46022</x:v>
      </x:c>
      <x:c r="E2760" s="2" t="str">
        <x:v>Pre-earnings</x:v>
      </x:c>
      <x:c r="F2760" s="7" t="n">
        <x:v>46044</x:v>
      </x:c>
      <x:c r="G2760" s="2" t="str">
        <x:v>Bias correction</x:v>
      </x:c>
      <x:c r="H2760" s="8" t="n">
        <x:f>K1450</x:f>
        <x:v>0.33349638302684914</x:v>
      </x:c>
      <x:c r="I2760" s="8" t="n">
        <x:f>AVERAGE(M1386,M1402,M1418,M1434)</x:f>
        <x:v>-0.47652744220583587</x:v>
      </x:c>
      <x:c r="J2760" s="8" t="n">
        <x:v>1</x:v>
      </x:c>
      <x:c r="K2760" s="8" t="n">
        <x:f>H2760-I2760*J2760</x:f>
        <x:v>0.810023825232685</x:v>
      </x:c>
      <x:c r="L2760" s="8" t="n">
        <x:f>'PG facts'!E140</x:f>
        <x:v>-2</x:v>
      </x:c>
      <x:c r="M2760" s="8" t="n">
        <x:f>K2760-L2760</x:f>
        <x:v>2.810023825232685</x:v>
      </x:c>
      <x:c r="N2760" s="8" t="n">
        <x:f>M2760^2</x:f>
        <x:v>7.896233898375331</x:v>
      </x:c>
      <x:c r="O2760" s="8" t="n">
        <x:f>ABS(M2760)</x:f>
        <x:v>2.810023825232685</x:v>
      </x:c>
      <x:c r="P2760" s="7" t="n">
        <x:v>46045</x:v>
      </x:c>
    </x:row>
    <x:row r="2761" ht="26" customHeight="1">
      <x:c r="A2761" s="2"/>
      <x:c r="B2761" s="2" t="n">
        <x:v>2756</x:v>
      </x:c>
      <x:c r="C2761" s="2" t="str">
        <x:v>Grooming / organic_volume_growth</x:v>
      </x:c>
      <x:c r="D2761" s="7" t="n">
        <x:v>46022</x:v>
      </x:c>
      <x:c r="E2761" s="2" t="str">
        <x:v>Pre-earnings</x:v>
      </x:c>
      <x:c r="F2761" s="7" t="n">
        <x:v>46044</x:v>
      </x:c>
      <x:c r="G2761" s="2" t="str">
        <x:v>Half correction</x:v>
      </x:c>
      <x:c r="H2761" s="8" t="n">
        <x:f>K1450</x:f>
        <x:v>0.33349638302684914</x:v>
      </x:c>
      <x:c r="I2761" s="8" t="n">
        <x:f>AVERAGE(M1386,M1402,M1418,M1434)</x:f>
        <x:v>-0.47652744220583587</x:v>
      </x:c>
      <x:c r="J2761" s="8" t="n">
        <x:v>0.5</x:v>
      </x:c>
      <x:c r="K2761" s="8" t="n">
        <x:f>H2761-I2761*J2761</x:f>
        <x:v>0.5717601041297671</x:v>
      </x:c>
      <x:c r="L2761" s="8" t="n">
        <x:f>'PG facts'!E140</x:f>
        <x:v>-2</x:v>
      </x:c>
      <x:c r="M2761" s="8" t="n">
        <x:f>K2761-L2761</x:f>
        <x:v>2.5717601041297673</x:v>
      </x:c>
      <x:c r="N2761" s="8" t="n">
        <x:f>M2761^2</x:f>
        <x:v>6.613950033193552</x:v>
      </x:c>
      <x:c r="O2761" s="8" t="n">
        <x:f>ABS(M2761)</x:f>
        <x:v>2.5717601041297673</x:v>
      </x:c>
      <x:c r="P2761" s="7" t="n">
        <x:v>46045</x:v>
      </x:c>
    </x:row>
    <x:row r="2762" ht="26" customHeight="1">
      <x:c r="A2762" s="2"/>
      <x:c r="B2762" s="2" t="n">
        <x:v>2757</x:v>
      </x:c>
      <x:c r="C2762" s="2" t="str">
        <x:v>Grooming / organic_volume_growth</x:v>
      </x:c>
      <x:c r="D2762" s="7" t="n">
        <x:v>46112</x:v>
      </x:c>
      <x:c r="E2762" s="2" t="str">
        <x:v>Origin</x:v>
      </x:c>
      <x:c r="F2762" s="7" t="n">
        <x:v>46023</x:v>
      </x:c>
      <x:c r="G2762" s="2" t="str">
        <x:v>Bias correction</x:v>
      </x:c>
      <x:c r="H2762" s="8" t="n">
        <x:f>K1456</x:f>
        <x:v>0.3715876794064308</x:v>
      </x:c>
      <x:c r="I2762" s="8" t="n">
        <x:f>AVERAGE(M1376,M1392,M1408,M1424)</x:f>
        <x:v>-0.6840586844511921</x:v>
      </x:c>
      <x:c r="J2762" s="8" t="n">
        <x:v>1</x:v>
      </x:c>
      <x:c r="K2762" s="8" t="n">
        <x:f>H2762-I2762*J2762</x:f>
        <x:v>1.055646363857623</x:v>
      </x:c>
      <x:c r="L2762" s="8" t="n">
        <x:f>'PG facts'!E147</x:f>
        <x:v>-2</x:v>
      </x:c>
      <x:c r="M2762" s="8" t="n">
        <x:f>K2762-L2762</x:f>
        <x:v>3.055646363857623</x:v>
      </x:c>
      <x:c r="N2762" s="8" t="n">
        <x:f>M2762^2</x:f>
        <x:v>9.336974700956313</x:v>
      </x:c>
      <x:c r="O2762" s="8" t="n">
        <x:f>ABS(M2762)</x:f>
        <x:v>3.055646363857623</x:v>
      </x:c>
      <x:c r="P2762" s="7" t="n">
        <x:v>46136</x:v>
      </x:c>
    </x:row>
    <x:row r="2763" ht="26" customHeight="1">
      <x:c r="A2763" s="2"/>
      <x:c r="B2763" s="2" t="n">
        <x:v>2758</x:v>
      </x:c>
      <x:c r="C2763" s="2" t="str">
        <x:v>Grooming / organic_volume_growth</x:v>
      </x:c>
      <x:c r="D2763" s="7" t="n">
        <x:v>46112</x:v>
      </x:c>
      <x:c r="E2763" s="2" t="str">
        <x:v>Origin</x:v>
      </x:c>
      <x:c r="F2763" s="7" t="n">
        <x:v>46023</x:v>
      </x:c>
      <x:c r="G2763" s="2" t="str">
        <x:v>Half correction</x:v>
      </x:c>
      <x:c r="H2763" s="8" t="n">
        <x:f>K1456</x:f>
        <x:v>0.3715876794064308</x:v>
      </x:c>
      <x:c r="I2763" s="8" t="n">
        <x:f>AVERAGE(M1376,M1392,M1408,M1424)</x:f>
        <x:v>-0.6840586844511921</x:v>
      </x:c>
      <x:c r="J2763" s="8" t="n">
        <x:v>0.5</x:v>
      </x:c>
      <x:c r="K2763" s="8" t="n">
        <x:f>H2763-I2763*J2763</x:f>
        <x:v>0.7136170216320268</x:v>
      </x:c>
      <x:c r="L2763" s="8" t="n">
        <x:f>'PG facts'!E147</x:f>
        <x:v>-2</x:v>
      </x:c>
      <x:c r="M2763" s="8" t="n">
        <x:f>K2763-L2763</x:f>
        <x:v>2.713617021632027</x:v>
      </x:c>
      <x:c r="N2763" s="8" t="n">
        <x:f>M2763^2</x:f>
        <x:v>7.363717340091073</x:v>
      </x:c>
      <x:c r="O2763" s="8" t="n">
        <x:f>ABS(M2763)</x:f>
        <x:v>2.713617021632027</x:v>
      </x:c>
      <x:c r="P2763" s="7" t="n">
        <x:v>46136</x:v>
      </x:c>
    </x:row>
    <x:row r="2764" ht="26" customHeight="1">
      <x:c r="A2764" s="2"/>
      <x:c r="B2764" s="2" t="n">
        <x:v>2759</x:v>
      </x:c>
      <x:c r="C2764" s="2" t="str">
        <x:v>Grooming / organic_volume_growth</x:v>
      </x:c>
      <x:c r="D2764" s="7" t="n">
        <x:v>46112</x:v>
      </x:c>
      <x:c r="E2764" s="2" t="str">
        <x:v>Prior report</x:v>
      </x:c>
      <x:c r="F2764" s="7" t="n">
        <x:v>46045</x:v>
      </x:c>
      <x:c r="G2764" s="2" t="str">
        <x:v>Bias correction</x:v>
      </x:c>
      <x:c r="H2764" s="8" t="n">
        <x:f>K1461</x:f>
        <x:v>0.25915498263601844</x:v>
      </x:c>
      <x:c r="I2764" s="8" t="n">
        <x:f>AVERAGE(M1397,M1413,M1429,M1445)</x:f>
        <x:v>0.5210201453644302</x:v>
      </x:c>
      <x:c r="J2764" s="8" t="n">
        <x:v>1</x:v>
      </x:c>
      <x:c r="K2764" s="8" t="n">
        <x:f>H2764-I2764*J2764</x:f>
        <x:v>-0.26186516272841176</x:v>
      </x:c>
      <x:c r="L2764" s="8" t="n">
        <x:f>'PG facts'!E147</x:f>
        <x:v>-2</x:v>
      </x:c>
      <x:c r="M2764" s="8" t="n">
        <x:f>K2764-L2764</x:f>
        <x:v>1.7381348372715881</x:v>
      </x:c>
      <x:c r="N2764" s="8" t="n">
        <x:f>M2764^2</x:f>
        <x:v>3.02111271253713</x:v>
      </x:c>
      <x:c r="O2764" s="8" t="n">
        <x:f>ABS(M2764)</x:f>
        <x:v>1.7381348372715881</x:v>
      </x:c>
      <x:c r="P2764" s="7" t="n">
        <x:v>46136</x:v>
      </x:c>
    </x:row>
    <x:row r="2765" ht="26" customHeight="1">
      <x:c r="A2765" s="2"/>
      <x:c r="B2765" s="2" t="n">
        <x:v>2760</x:v>
      </x:c>
      <x:c r="C2765" s="2" t="str">
        <x:v>Grooming / organic_volume_growth</x:v>
      </x:c>
      <x:c r="D2765" s="7" t="n">
        <x:v>46112</x:v>
      </x:c>
      <x:c r="E2765" s="2" t="str">
        <x:v>Prior report</x:v>
      </x:c>
      <x:c r="F2765" s="7" t="n">
        <x:v>46045</x:v>
      </x:c>
      <x:c r="G2765" s="2" t="str">
        <x:v>Half correction</x:v>
      </x:c>
      <x:c r="H2765" s="8" t="n">
        <x:f>K1461</x:f>
        <x:v>0.25915498263601844</x:v>
      </x:c>
      <x:c r="I2765" s="8" t="n">
        <x:f>AVERAGE(M1397,M1413,M1429,M1445)</x:f>
        <x:v>0.5210201453644302</x:v>
      </x:c>
      <x:c r="J2765" s="8" t="n">
        <x:v>0.5</x:v>
      </x:c>
      <x:c r="K2765" s="8" t="n">
        <x:f>H2765-I2765*J2765</x:f>
        <x:v>-0.0013550900461966608</x:v>
      </x:c>
      <x:c r="L2765" s="8" t="n">
        <x:f>'PG facts'!E147</x:f>
        <x:v>-2</x:v>
      </x:c>
      <x:c r="M2765" s="8" t="n">
        <x:f>K2765-L2765</x:f>
        <x:v>1.9986449099538033</x:v>
      </x:c>
      <x:c r="N2765" s="8" t="n">
        <x:f>M2765^2</x:f>
        <x:v>3.9945814760842464</x:v>
      </x:c>
      <x:c r="O2765" s="8" t="n">
        <x:f>ABS(M2765)</x:f>
        <x:v>1.9986449099538033</x:v>
      </x:c>
      <x:c r="P2765" s="7" t="n">
        <x:v>46136</x:v>
      </x:c>
    </x:row>
    <x:row r="2766" ht="26" customHeight="1">
      <x:c r="A2766" s="2"/>
      <x:c r="B2766" s="2" t="n">
        <x:v>2761</x:v>
      </x:c>
      <x:c r="C2766" s="2" t="str">
        <x:v>Grooming / organic_volume_growth</x:v>
      </x:c>
      <x:c r="D2766" s="7" t="n">
        <x:v>46112</x:v>
      </x:c>
      <x:c r="E2766" s="2" t="str">
        <x:v>Pre-earnings</x:v>
      </x:c>
      <x:c r="F2766" s="7" t="n">
        <x:v>46135</x:v>
      </x:c>
      <x:c r="G2766" s="2" t="str">
        <x:v>Bias correction</x:v>
      </x:c>
      <x:c r="H2766" s="8" t="n">
        <x:f>K1466</x:f>
        <x:v>-0.4211496301381805</x:v>
      </x:c>
      <x:c r="I2766" s="8" t="n">
        <x:f>AVERAGE(M1402,M1418,M1434,M1450)</x:f>
        <x:v>0.6071188534202424</x:v>
      </x:c>
      <x:c r="J2766" s="8" t="n">
        <x:v>1</x:v>
      </x:c>
      <x:c r="K2766" s="8" t="n">
        <x:f>H2766-I2766*J2766</x:f>
        <x:v>-1.0282684835584228</x:v>
      </x:c>
      <x:c r="L2766" s="8" t="n">
        <x:f>'PG facts'!E147</x:f>
        <x:v>-2</x:v>
      </x:c>
      <x:c r="M2766" s="8" t="n">
        <x:f>K2766-L2766</x:f>
        <x:v>0.9717315164415772</x:v>
      </x:c>
      <x:c r="N2766" s="8" t="n">
        <x:f>M2766^2</x:f>
        <x:v>0.9442621400458472</x:v>
      </x:c>
      <x:c r="O2766" s="8" t="n">
        <x:f>ABS(M2766)</x:f>
        <x:v>0.9717315164415772</x:v>
      </x:c>
      <x:c r="P2766" s="7" t="n">
        <x:v>46136</x:v>
      </x:c>
    </x:row>
    <x:row r="2767" ht="26" customHeight="1">
      <x:c r="A2767" s="2"/>
      <x:c r="B2767" s="2" t="n">
        <x:v>2762</x:v>
      </x:c>
      <x:c r="C2767" s="2" t="str">
        <x:v>Grooming / organic_volume_growth</x:v>
      </x:c>
      <x:c r="D2767" s="7" t="n">
        <x:v>46112</x:v>
      </x:c>
      <x:c r="E2767" s="2" t="str">
        <x:v>Pre-earnings</x:v>
      </x:c>
      <x:c r="F2767" s="7" t="n">
        <x:v>46135</x:v>
      </x:c>
      <x:c r="G2767" s="2" t="str">
        <x:v>Half correction</x:v>
      </x:c>
      <x:c r="H2767" s="8" t="n">
        <x:f>K1466</x:f>
        <x:v>-0.4211496301381805</x:v>
      </x:c>
      <x:c r="I2767" s="8" t="n">
        <x:f>AVERAGE(M1402,M1418,M1434,M1450)</x:f>
        <x:v>0.6071188534202424</x:v>
      </x:c>
      <x:c r="J2767" s="8" t="n">
        <x:v>0.5</x:v>
      </x:c>
      <x:c r="K2767" s="8" t="n">
        <x:f>H2767-I2767*J2767</x:f>
        <x:v>-0.7247090568483017</x:v>
      </x:c>
      <x:c r="L2767" s="8" t="n">
        <x:f>'PG facts'!E147</x:f>
        <x:v>-2</x:v>
      </x:c>
      <x:c r="M2767" s="8" t="n">
        <x:f>K2767-L2767</x:f>
        <x:v>1.2752909431516983</x:v>
      </x:c>
      <x:c r="N2767" s="8" t="n">
        <x:f>M2767^2</x:f>
        <x:v>1.6263669896847484</x:v>
      </x:c>
      <x:c r="O2767" s="8" t="n">
        <x:f>ABS(M2767)</x:f>
        <x:v>1.2752909431516983</x:v>
      </x:c>
      <x:c r="P2767" s="7" t="n">
        <x:v>46136</x:v>
      </x:c>
    </x:row>
    <x:row r="2768" ht="26" customHeight="1">
      <x:c r="A2768" s="2"/>
      <x:c r="B2768" s="2" t="n">
        <x:v>2763</x:v>
      </x:c>
      <x:c r="C2768" s="2" t="str">
        <x:v>Health Care / organic_volume_growth</x:v>
      </x:c>
      <x:c r="D2768" s="7" t="n">
        <x:v>45473</x:v>
      </x:c>
      <x:c r="E2768" s="2" t="str">
        <x:v>Prior report</x:v>
      </x:c>
      <x:c r="F2768" s="7" t="n">
        <x:v>45401</x:v>
      </x:c>
      <x:c r="G2768" s="2" t="str">
        <x:v>Bias correction</x:v>
      </x:c>
      <x:c r="H2768" s="8" t="n">
        <x:f>K1540</x:f>
        <x:v>0.33183607803490767</x:v>
      </x:c>
      <x:c r="I2768" s="8" t="n">
        <x:f>AVERAGE(M1476,M1491,M1508,M1524)</x:f>
        <x:v>2.498697291869158</x:v>
      </x:c>
      <x:c r="J2768" s="8" t="n">
        <x:v>1</x:v>
      </x:c>
      <x:c r="K2768" s="8" t="n">
        <x:f>H2768-I2768*J2768</x:f>
        <x:v>-2.1668612138342507</x:v>
      </x:c>
      <x:c r="L2768" s="8" t="n">
        <x:f>'PG facts'!E99</x:f>
        <x:v>1</x:v>
      </x:c>
      <x:c r="M2768" s="8" t="n">
        <x:f>K2768-L2768</x:f>
        <x:v>-3.1668612138342507</x:v>
      </x:c>
      <x:c r="N2768" s="8" t="n">
        <x:f>M2768^2</x:f>
        <x:v>10.029009947687744</x:v>
      </x:c>
      <x:c r="O2768" s="8" t="n">
        <x:f>ABS(M2768)</x:f>
        <x:v>3.1668612138342507</x:v>
      </x:c>
      <x:c r="P2768" s="7" t="n">
        <x:v>45503</x:v>
      </x:c>
    </x:row>
    <x:row r="2769" ht="26" customHeight="1">
      <x:c r="A2769" s="2"/>
      <x:c r="B2769" s="2" t="n">
        <x:v>2764</x:v>
      </x:c>
      <x:c r="C2769" s="2" t="str">
        <x:v>Health Care / organic_volume_growth</x:v>
      </x:c>
      <x:c r="D2769" s="7" t="n">
        <x:v>45473</x:v>
      </x:c>
      <x:c r="E2769" s="2" t="str">
        <x:v>Prior report</x:v>
      </x:c>
      <x:c r="F2769" s="7" t="n">
        <x:v>45401</x:v>
      </x:c>
      <x:c r="G2769" s="2" t="str">
        <x:v>Half correction</x:v>
      </x:c>
      <x:c r="H2769" s="8" t="n">
        <x:f>K1540</x:f>
        <x:v>0.33183607803490767</x:v>
      </x:c>
      <x:c r="I2769" s="8" t="n">
        <x:f>AVERAGE(M1476,M1491,M1508,M1524)</x:f>
        <x:v>2.498697291869158</x:v>
      </x:c>
      <x:c r="J2769" s="8" t="n">
        <x:v>0.5</x:v>
      </x:c>
      <x:c r="K2769" s="8" t="n">
        <x:f>H2769-I2769*J2769</x:f>
        <x:v>-0.9175125678996714</x:v>
      </x:c>
      <x:c r="L2769" s="8" t="n">
        <x:f>'PG facts'!E99</x:f>
        <x:v>1</x:v>
      </x:c>
      <x:c r="M2769" s="8" t="n">
        <x:f>K2769-L2769</x:f>
        <x:v>-1.9175125678996714</x:v>
      </x:c>
      <x:c r="N2769" s="8" t="n">
        <x:f>M2769^2</x:f>
        <x:v>3.676854448053192</x:v>
      </x:c>
      <x:c r="O2769" s="8" t="n">
        <x:f>ABS(M2769)</x:f>
        <x:v>1.9175125678996714</x:v>
      </x:c>
      <x:c r="P2769" s="7" t="n">
        <x:v>45503</x:v>
      </x:c>
    </x:row>
    <x:row r="2770" ht="26" customHeight="1">
      <x:c r="A2770" s="2"/>
      <x:c r="B2770" s="2" t="n">
        <x:v>2765</x:v>
      </x:c>
      <x:c r="C2770" s="2" t="str">
        <x:v>Health Care / organic_volume_growth</x:v>
      </x:c>
      <x:c r="D2770" s="7" t="n">
        <x:v>45473</x:v>
      </x:c>
      <x:c r="E2770" s="2" t="str">
        <x:v>Pre-earnings</x:v>
      </x:c>
      <x:c r="F2770" s="7" t="n">
        <x:v>45502</x:v>
      </x:c>
      <x:c r="G2770" s="2" t="str">
        <x:v>Bias correction</x:v>
      </x:c>
      <x:c r="H2770" s="8" t="n">
        <x:f>K1545</x:f>
        <x:v>0.021047742639373812</x:v>
      </x:c>
      <x:c r="I2770" s="8" t="n">
        <x:f>AVERAGE(M1481,M1497,M1513,M1529)</x:f>
        <x:v>2.6760328408161795</x:v>
      </x:c>
      <x:c r="J2770" s="8" t="n">
        <x:v>1</x:v>
      </x:c>
      <x:c r="K2770" s="8" t="n">
        <x:f>H2770-I2770*J2770</x:f>
        <x:v>-2.6549850981768057</x:v>
      </x:c>
      <x:c r="L2770" s="8" t="n">
        <x:f>'PG facts'!E99</x:f>
        <x:v>1</x:v>
      </x:c>
      <x:c r="M2770" s="8" t="n">
        <x:f>K2770-L2770</x:f>
        <x:v>-3.6549850981768057</x:v>
      </x:c>
      <x:c r="N2770" s="8" t="n">
        <x:f>M2770^2</x:f>
        <x:v>13.358916067894514</x:v>
      </x:c>
      <x:c r="O2770" s="8" t="n">
        <x:f>ABS(M2770)</x:f>
        <x:v>3.6549850981768057</x:v>
      </x:c>
      <x:c r="P2770" s="7" t="n">
        <x:v>45503</x:v>
      </x:c>
    </x:row>
    <x:row r="2771" ht="26" customHeight="1">
      <x:c r="A2771" s="2"/>
      <x:c r="B2771" s="2" t="n">
        <x:v>2766</x:v>
      </x:c>
      <x:c r="C2771" s="2" t="str">
        <x:v>Health Care / organic_volume_growth</x:v>
      </x:c>
      <x:c r="D2771" s="7" t="n">
        <x:v>45473</x:v>
      </x:c>
      <x:c r="E2771" s="2" t="str">
        <x:v>Pre-earnings</x:v>
      </x:c>
      <x:c r="F2771" s="7" t="n">
        <x:v>45502</x:v>
      </x:c>
      <x:c r="G2771" s="2" t="str">
        <x:v>Half correction</x:v>
      </x:c>
      <x:c r="H2771" s="8" t="n">
        <x:f>K1545</x:f>
        <x:v>0.021047742639373812</x:v>
      </x:c>
      <x:c r="I2771" s="8" t="n">
        <x:f>AVERAGE(M1481,M1497,M1513,M1529)</x:f>
        <x:v>2.6760328408161795</x:v>
      </x:c>
      <x:c r="J2771" s="8" t="n">
        <x:v>0.5</x:v>
      </x:c>
      <x:c r="K2771" s="8" t="n">
        <x:f>H2771-I2771*J2771</x:f>
        <x:v>-1.316968677768716</x:v>
      </x:c>
      <x:c r="L2771" s="8" t="n">
        <x:f>'PG facts'!E99</x:f>
        <x:v>1</x:v>
      </x:c>
      <x:c r="M2771" s="8" t="n">
        <x:f>K2771-L2771</x:f>
        <x:v>-2.316968677768716</x:v>
      </x:c>
      <x:c r="N2771" s="8" t="n">
        <x:f>M2771^2</x:f>
        <x:v>5.368343853761312</x:v>
      </x:c>
      <x:c r="O2771" s="8" t="n">
        <x:f>ABS(M2771)</x:f>
        <x:v>2.316968677768716</x:v>
      </x:c>
      <x:c r="P2771" s="7" t="n">
        <x:v>45503</x:v>
      </x:c>
    </x:row>
    <x:row r="2772" ht="26" customHeight="1">
      <x:c r="A2772" s="2"/>
      <x:c r="B2772" s="2" t="n">
        <x:v>2767</x:v>
      </x:c>
      <x:c r="C2772" s="2" t="str">
        <x:v>Health Care / organic_volume_growth</x:v>
      </x:c>
      <x:c r="D2772" s="7" t="n">
        <x:v>45565</x:v>
      </x:c>
      <x:c r="E2772" s="2" t="str">
        <x:v>Origin</x:v>
      </x:c>
      <x:c r="F2772" s="7" t="n">
        <x:v>45474</x:v>
      </x:c>
      <x:c r="G2772" s="2" t="str">
        <x:v>Bias correction</x:v>
      </x:c>
      <x:c r="H2772" s="8" t="n">
        <x:f>K1551</x:f>
        <x:v>0.07547420128318327</x:v>
      </x:c>
      <x:c r="I2772" s="8" t="n">
        <x:f>AVERAGE(M1472,M1487,M1503,M1519)</x:f>
        <x:v>2.569708018679244</x:v>
      </x:c>
      <x:c r="J2772" s="8" t="n">
        <x:v>1</x:v>
      </x:c>
      <x:c r="K2772" s="8" t="n">
        <x:f>H2772-I2772*J2772</x:f>
        <x:v>-2.4942338173960605</x:v>
      </x:c>
      <x:c r="L2772" s="8" t="n">
        <x:f>'PG facts'!E106</x:f>
        <x:v>-1</x:v>
      </x:c>
      <x:c r="M2772" s="8" t="n">
        <x:f>K2772-L2772</x:f>
        <x:v>-1.4942338173960605</x:v>
      </x:c>
      <x:c r="N2772" s="8" t="n">
        <x:f>M2772^2</x:f>
        <x:v>2.2327347010500036</x:v>
      </x:c>
      <x:c r="O2772" s="8" t="n">
        <x:f>ABS(M2772)</x:f>
        <x:v>1.4942338173960605</x:v>
      </x:c>
      <x:c r="P2772" s="7" t="n">
        <x:v>45583</x:v>
      </x:c>
    </x:row>
    <x:row r="2773" ht="26" customHeight="1">
      <x:c r="A2773" s="2"/>
      <x:c r="B2773" s="2" t="n">
        <x:v>2768</x:v>
      </x:c>
      <x:c r="C2773" s="2" t="str">
        <x:v>Health Care / organic_volume_growth</x:v>
      </x:c>
      <x:c r="D2773" s="7" t="n">
        <x:v>45565</x:v>
      </x:c>
      <x:c r="E2773" s="2" t="str">
        <x:v>Origin</x:v>
      </x:c>
      <x:c r="F2773" s="7" t="n">
        <x:v>45474</x:v>
      </x:c>
      <x:c r="G2773" s="2" t="str">
        <x:v>Half correction</x:v>
      </x:c>
      <x:c r="H2773" s="8" t="n">
        <x:f>K1551</x:f>
        <x:v>0.07547420128318327</x:v>
      </x:c>
      <x:c r="I2773" s="8" t="n">
        <x:f>AVERAGE(M1472,M1487,M1503,M1519)</x:f>
        <x:v>2.569708018679244</x:v>
      </x:c>
      <x:c r="J2773" s="8" t="n">
        <x:v>0.5</x:v>
      </x:c>
      <x:c r="K2773" s="8" t="n">
        <x:f>H2773-I2773*J2773</x:f>
        <x:v>-1.2093798080564386</x:v>
      </x:c>
      <x:c r="L2773" s="8" t="n">
        <x:f>'PG facts'!E106</x:f>
        <x:v>-1</x:v>
      </x:c>
      <x:c r="M2773" s="8" t="n">
        <x:f>K2773-L2773</x:f>
        <x:v>-0.20937980805643863</x:v>
      </x:c>
      <x:c r="N2773" s="8" t="n">
        <x:f>M2773^2</x:f>
        <x:v>0.043839904021751086</x:v>
      </x:c>
      <x:c r="O2773" s="8" t="n">
        <x:f>ABS(M2773)</x:f>
        <x:v>0.20937980805643863</x:v>
      </x:c>
      <x:c r="P2773" s="7" t="n">
        <x:v>45583</x:v>
      </x:c>
    </x:row>
    <x:row r="2774" ht="26" customHeight="1">
      <x:c r="A2774" s="2"/>
      <x:c r="B2774" s="2" t="n">
        <x:v>2769</x:v>
      </x:c>
      <x:c r="C2774" s="2" t="str">
        <x:v>Health Care / organic_volume_growth</x:v>
      </x:c>
      <x:c r="D2774" s="7" t="n">
        <x:v>45565</x:v>
      </x:c>
      <x:c r="E2774" s="2" t="str">
        <x:v>Prior report</x:v>
      </x:c>
      <x:c r="F2774" s="7" t="n">
        <x:v>45503</x:v>
      </x:c>
      <x:c r="G2774" s="2" t="str">
        <x:v>Bias correction</x:v>
      </x:c>
      <x:c r="H2774" s="8" t="n">
        <x:f>K1556</x:f>
        <x:v>0.09888097265660445</x:v>
      </x:c>
      <x:c r="I2774" s="8" t="n">
        <x:f>AVERAGE(M1491,M1508,M1524,M1540)</x:f>
        <x:v>1.5752080226880834</x:v>
      </x:c>
      <x:c r="J2774" s="8" t="n">
        <x:v>1</x:v>
      </x:c>
      <x:c r="K2774" s="8" t="n">
        <x:f>H2774-I2774*J2774</x:f>
        <x:v>-1.476327050031479</x:v>
      </x:c>
      <x:c r="L2774" s="8" t="n">
        <x:f>'PG facts'!E106</x:f>
        <x:v>-1</x:v>
      </x:c>
      <x:c r="M2774" s="8" t="n">
        <x:f>K2774-L2774</x:f>
        <x:v>-0.4763270500314789</x:v>
      </x:c>
      <x:c r="N2774" s="8" t="n">
        <x:f>M2774^2</x:f>
        <x:v>0.22688745859169102</x:v>
      </x:c>
      <x:c r="O2774" s="8" t="n">
        <x:f>ABS(M2774)</x:f>
        <x:v>0.4763270500314789</x:v>
      </x:c>
      <x:c r="P2774" s="7" t="n">
        <x:v>45583</x:v>
      </x:c>
    </x:row>
    <x:row r="2775" ht="26" customHeight="1">
      <x:c r="A2775" s="2"/>
      <x:c r="B2775" s="2" t="n">
        <x:v>2770</x:v>
      </x:c>
      <x:c r="C2775" s="2" t="str">
        <x:v>Health Care / organic_volume_growth</x:v>
      </x:c>
      <x:c r="D2775" s="7" t="n">
        <x:v>45565</x:v>
      </x:c>
      <x:c r="E2775" s="2" t="str">
        <x:v>Prior report</x:v>
      </x:c>
      <x:c r="F2775" s="7" t="n">
        <x:v>45503</x:v>
      </x:c>
      <x:c r="G2775" s="2" t="str">
        <x:v>Half correction</x:v>
      </x:c>
      <x:c r="H2775" s="8" t="n">
        <x:f>K1556</x:f>
        <x:v>0.09888097265660445</x:v>
      </x:c>
      <x:c r="I2775" s="8" t="n">
        <x:f>AVERAGE(M1491,M1508,M1524,M1540)</x:f>
        <x:v>1.5752080226880834</x:v>
      </x:c>
      <x:c r="J2775" s="8" t="n">
        <x:v>0.5</x:v>
      </x:c>
      <x:c r="K2775" s="8" t="n">
        <x:f>H2775-I2775*J2775</x:f>
        <x:v>-0.6887230386874372</x:v>
      </x:c>
      <x:c r="L2775" s="8" t="n">
        <x:f>'PG facts'!E106</x:f>
        <x:v>-1</x:v>
      </x:c>
      <x:c r="M2775" s="8" t="n">
        <x:f>K2775-L2775</x:f>
        <x:v>0.31127696131256277</x:v>
      </x:c>
      <x:c r="N2775" s="8" t="n">
        <x:f>M2775^2</x:f>
        <x:v>0.0968933466439827</x:v>
      </x:c>
      <x:c r="O2775" s="8" t="n">
        <x:f>ABS(M2775)</x:f>
        <x:v>0.31127696131256277</x:v>
      </x:c>
      <x:c r="P2775" s="7" t="n">
        <x:v>45583</x:v>
      </x:c>
    </x:row>
    <x:row r="2776" ht="26" customHeight="1">
      <x:c r="A2776" s="2"/>
      <x:c r="B2776" s="2" t="n">
        <x:v>2771</x:v>
      </x:c>
      <x:c r="C2776" s="2" t="str">
        <x:v>Health Care / organic_volume_growth</x:v>
      </x:c>
      <x:c r="D2776" s="7" t="n">
        <x:v>45565</x:v>
      </x:c>
      <x:c r="E2776" s="2" t="str">
        <x:v>Pre-earnings</x:v>
      </x:c>
      <x:c r="F2776" s="7" t="n">
        <x:v>45582</x:v>
      </x:c>
      <x:c r="G2776" s="2" t="str">
        <x:v>Bias correction</x:v>
      </x:c>
      <x:c r="H2776" s="8" t="n">
        <x:f>K1562</x:f>
        <x:v>0.6566016615914689</x:v>
      </x:c>
      <x:c r="I2776" s="8" t="n">
        <x:f>AVERAGE(M1497,M1513,M1529,M1545)</x:f>
        <x:v>1.5246861998506853</x:v>
      </x:c>
      <x:c r="J2776" s="8" t="n">
        <x:v>1</x:v>
      </x:c>
      <x:c r="K2776" s="8" t="n">
        <x:f>H2776-I2776*J2776</x:f>
        <x:v>-0.8680845382592164</x:v>
      </x:c>
      <x:c r="L2776" s="8" t="n">
        <x:f>'PG facts'!E106</x:f>
        <x:v>-1</x:v>
      </x:c>
      <x:c r="M2776" s="8" t="n">
        <x:f>K2776-L2776</x:f>
        <x:v>0.1319154617407836</x:v>
      </x:c>
      <x:c r="N2776" s="8" t="n">
        <x:f>M2776^2</x:f>
        <x:v>0.017401689046284145</x:v>
      </x:c>
      <x:c r="O2776" s="8" t="n">
        <x:f>ABS(M2776)</x:f>
        <x:v>0.1319154617407836</x:v>
      </x:c>
      <x:c r="P2776" s="7" t="n">
        <x:v>45583</x:v>
      </x:c>
    </x:row>
    <x:row r="2777" ht="26" customHeight="1">
      <x:c r="A2777" s="2"/>
      <x:c r="B2777" s="2" t="n">
        <x:v>2772</x:v>
      </x:c>
      <x:c r="C2777" s="2" t="str">
        <x:v>Health Care / organic_volume_growth</x:v>
      </x:c>
      <x:c r="D2777" s="7" t="n">
        <x:v>45565</x:v>
      </x:c>
      <x:c r="E2777" s="2" t="str">
        <x:v>Pre-earnings</x:v>
      </x:c>
      <x:c r="F2777" s="7" t="n">
        <x:v>45582</x:v>
      </x:c>
      <x:c r="G2777" s="2" t="str">
        <x:v>Half correction</x:v>
      </x:c>
      <x:c r="H2777" s="8" t="n">
        <x:f>K1562</x:f>
        <x:v>0.6566016615914689</x:v>
      </x:c>
      <x:c r="I2777" s="8" t="n">
        <x:f>AVERAGE(M1497,M1513,M1529,M1545)</x:f>
        <x:v>1.5246861998506853</x:v>
      </x:c>
      <x:c r="J2777" s="8" t="n">
        <x:v>0.5</x:v>
      </x:c>
      <x:c r="K2777" s="8" t="n">
        <x:f>H2777-I2777*J2777</x:f>
        <x:v>-0.10574143833387373</x:v>
      </x:c>
      <x:c r="L2777" s="8" t="n">
        <x:f>'PG facts'!E106</x:f>
        <x:v>-1</x:v>
      </x:c>
      <x:c r="M2777" s="8" t="n">
        <x:f>K2777-L2777</x:f>
        <x:v>0.8942585616661263</x:v>
      </x:c>
      <x:c r="N2777" s="8" t="n">
        <x:f>M2777^2</x:f>
        <x:v>0.799698375113169</x:v>
      </x:c>
      <x:c r="O2777" s="8" t="n">
        <x:f>ABS(M2777)</x:f>
        <x:v>0.8942585616661263</x:v>
      </x:c>
      <x:c r="P2777" s="7" t="n">
        <x:v>45583</x:v>
      </x:c>
    </x:row>
    <x:row r="2778" ht="26" customHeight="1">
      <x:c r="A2778" s="2"/>
      <x:c r="B2778" s="2" t="n">
        <x:v>2773</x:v>
      </x:c>
      <x:c r="C2778" s="2" t="str">
        <x:v>Health Care / organic_volume_growth</x:v>
      </x:c>
      <x:c r="D2778" s="7" t="n">
        <x:v>45657</x:v>
      </x:c>
      <x:c r="E2778" s="2" t="str">
        <x:v>Origin</x:v>
      </x:c>
      <x:c r="F2778" s="7" t="n">
        <x:v>45566</x:v>
      </x:c>
      <x:c r="G2778" s="2" t="str">
        <x:v>Bias correction</x:v>
      </x:c>
      <x:c r="H2778" s="8" t="n">
        <x:f>K1568</x:f>
        <x:v>0.6520489570929231</x:v>
      </x:c>
      <x:c r="I2778" s="8" t="n">
        <x:f>AVERAGE(M1487,M1503,M1519,M1535)</x:f>
        <x:v>1.6462187494981688</x:v>
      </x:c>
      <x:c r="J2778" s="8" t="n">
        <x:v>1</x:v>
      </x:c>
      <x:c r="K2778" s="8" t="n">
        <x:f>H2778-I2778*J2778</x:f>
        <x:v>-0.9941697924052457</x:v>
      </x:c>
      <x:c r="L2778" s="8" t="n">
        <x:f>'PG facts'!E113</x:f>
        <x:v>0</x:v>
      </x:c>
      <x:c r="M2778" s="8" t="n">
        <x:f>K2778-L2778</x:f>
        <x:v>-0.9941697924052457</x:v>
      </x:c>
      <x:c r="N2778" s="8" t="n">
        <x:f>M2778^2</x:f>
        <x:v>0.9883735761310893</x:v>
      </x:c>
      <x:c r="O2778" s="8" t="n">
        <x:f>ABS(M2778)</x:f>
        <x:v>0.9941697924052457</x:v>
      </x:c>
      <x:c r="P2778" s="7" t="n">
        <x:v>45679</x:v>
      </x:c>
    </x:row>
    <x:row r="2779" ht="26" customHeight="1">
      <x:c r="A2779" s="2"/>
      <x:c r="B2779" s="2" t="n">
        <x:v>2774</x:v>
      </x:c>
      <x:c r="C2779" s="2" t="str">
        <x:v>Health Care / organic_volume_growth</x:v>
      </x:c>
      <x:c r="D2779" s="7" t="n">
        <x:v>45657</x:v>
      </x:c>
      <x:c r="E2779" s="2" t="str">
        <x:v>Origin</x:v>
      </x:c>
      <x:c r="F2779" s="7" t="n">
        <x:v>45566</x:v>
      </x:c>
      <x:c r="G2779" s="2" t="str">
        <x:v>Half correction</x:v>
      </x:c>
      <x:c r="H2779" s="8" t="n">
        <x:f>K1568</x:f>
        <x:v>0.6520489570929231</x:v>
      </x:c>
      <x:c r="I2779" s="8" t="n">
        <x:f>AVERAGE(M1487,M1503,M1519,M1535)</x:f>
        <x:v>1.6462187494981688</x:v>
      </x:c>
      <x:c r="J2779" s="8" t="n">
        <x:v>0.5</x:v>
      </x:c>
      <x:c r="K2779" s="8" t="n">
        <x:f>H2779-I2779*J2779</x:f>
        <x:v>-0.1710604176561613</x:v>
      </x:c>
      <x:c r="L2779" s="8" t="n">
        <x:f>'PG facts'!E113</x:f>
        <x:v>0</x:v>
      </x:c>
      <x:c r="M2779" s="8" t="n">
        <x:f>K2779-L2779</x:f>
        <x:v>-0.1710604176561613</x:v>
      </x:c>
      <x:c r="N2779" s="8" t="n">
        <x:f>M2779^2</x:f>
        <x:v>0.029261666488700346</x:v>
      </x:c>
      <x:c r="O2779" s="8" t="n">
        <x:f>ABS(M2779)</x:f>
        <x:v>0.1710604176561613</x:v>
      </x:c>
      <x:c r="P2779" s="7" t="n">
        <x:v>45679</x:v>
      </x:c>
    </x:row>
    <x:row r="2780" ht="26" customHeight="1">
      <x:c r="A2780" s="2"/>
      <x:c r="B2780" s="2" t="n">
        <x:v>2775</x:v>
      </x:c>
      <x:c r="C2780" s="2" t="str">
        <x:v>Health Care / organic_volume_growth</x:v>
      </x:c>
      <x:c r="D2780" s="7" t="n">
        <x:v>45657</x:v>
      </x:c>
      <x:c r="E2780" s="2" t="str">
        <x:v>Prior report</x:v>
      </x:c>
      <x:c r="F2780" s="7" t="n">
        <x:v>45583</x:v>
      </x:c>
      <x:c r="G2780" s="2" t="str">
        <x:v>Bias correction</x:v>
      </x:c>
      <x:c r="H2780" s="8" t="n">
        <x:f>K1573</x:f>
        <x:v>0.6520489570929231</x:v>
      </x:c>
      <x:c r="I2780" s="8" t="n">
        <x:f>AVERAGE(M1508,M1524,M1540,M1556)</x:f>
        <x:v>2.2921972768993406</x:v>
      </x:c>
      <x:c r="J2780" s="8" t="n">
        <x:v>1</x:v>
      </x:c>
      <x:c r="K2780" s="8" t="n">
        <x:f>H2780-I2780*J2780</x:f>
        <x:v>-1.6401483198064175</x:v>
      </x:c>
      <x:c r="L2780" s="8" t="n">
        <x:f>'PG facts'!E113</x:f>
        <x:v>0</x:v>
      </x:c>
      <x:c r="M2780" s="8" t="n">
        <x:f>K2780-L2780</x:f>
        <x:v>-1.6401483198064175</x:v>
      </x:c>
      <x:c r="N2780" s="8" t="n">
        <x:f>M2780^2</x:f>
        <x:v>2.6900865109638143</x:v>
      </x:c>
      <x:c r="O2780" s="8" t="n">
        <x:f>ABS(M2780)</x:f>
        <x:v>1.6401483198064175</x:v>
      </x:c>
      <x:c r="P2780" s="7" t="n">
        <x:v>45679</x:v>
      </x:c>
    </x:row>
    <x:row r="2781" ht="26" customHeight="1">
      <x:c r="A2781" s="2"/>
      <x:c r="B2781" s="2" t="n">
        <x:v>2776</x:v>
      </x:c>
      <x:c r="C2781" s="2" t="str">
        <x:v>Health Care / organic_volume_growth</x:v>
      </x:c>
      <x:c r="D2781" s="7" t="n">
        <x:v>45657</x:v>
      </x:c>
      <x:c r="E2781" s="2" t="str">
        <x:v>Prior report</x:v>
      </x:c>
      <x:c r="F2781" s="7" t="n">
        <x:v>45583</x:v>
      </x:c>
      <x:c r="G2781" s="2" t="str">
        <x:v>Half correction</x:v>
      </x:c>
      <x:c r="H2781" s="8" t="n">
        <x:f>K1573</x:f>
        <x:v>0.6520489570929231</x:v>
      </x:c>
      <x:c r="I2781" s="8" t="n">
        <x:f>AVERAGE(M1508,M1524,M1540,M1556)</x:f>
        <x:v>2.2921972768993406</x:v>
      </x:c>
      <x:c r="J2781" s="8" t="n">
        <x:v>0.5</x:v>
      </x:c>
      <x:c r="K2781" s="8" t="n">
        <x:f>H2781-I2781*J2781</x:f>
        <x:v>-0.4940496813567472</x:v>
      </x:c>
      <x:c r="L2781" s="8" t="n">
        <x:f>'PG facts'!E113</x:f>
        <x:v>0</x:v>
      </x:c>
      <x:c r="M2781" s="8" t="n">
        <x:f>K2781-L2781</x:f>
        <x:v>-0.4940496813567472</x:v>
      </x:c>
      <x:c r="N2781" s="8" t="n">
        <x:f>M2781^2</x:f>
        <x:v>0.24408508764870346</x:v>
      </x:c>
      <x:c r="O2781" s="8" t="n">
        <x:f>ABS(M2781)</x:f>
        <x:v>0.4940496813567472</x:v>
      </x:c>
      <x:c r="P2781" s="7" t="n">
        <x:v>45679</x:v>
      </x:c>
    </x:row>
    <x:row r="2782" ht="26" customHeight="1">
      <x:c r="A2782" s="2"/>
      <x:c r="B2782" s="2" t="n">
        <x:v>2777</x:v>
      </x:c>
      <x:c r="C2782" s="2" t="str">
        <x:v>Health Care / organic_volume_growth</x:v>
      </x:c>
      <x:c r="D2782" s="7" t="n">
        <x:v>45657</x:v>
      </x:c>
      <x:c r="E2782" s="2" t="str">
        <x:v>Pre-earnings</x:v>
      </x:c>
      <x:c r="F2782" s="7" t="n">
        <x:v>45678</x:v>
      </x:c>
      <x:c r="G2782" s="2" t="str">
        <x:v>Bias correction</x:v>
      </x:c>
      <x:c r="H2782" s="8" t="n">
        <x:f>K1578</x:f>
        <x:v>0.5467818578375752</x:v>
      </x:c>
      <x:c r="I2782" s="8" t="n">
        <x:f>AVERAGE(M1513,M1529,M1545,M1562)</x:f>
        <x:v>2.3533742066594225</x:v>
      </x:c>
      <x:c r="J2782" s="8" t="n">
        <x:v>1</x:v>
      </x:c>
      <x:c r="K2782" s="8" t="n">
        <x:f>H2782-I2782*J2782</x:f>
        <x:v>-1.8065923488218474</x:v>
      </x:c>
      <x:c r="L2782" s="8" t="n">
        <x:f>'PG facts'!E113</x:f>
        <x:v>0</x:v>
      </x:c>
      <x:c r="M2782" s="8" t="n">
        <x:f>K2782-L2782</x:f>
        <x:v>-1.8065923488218474</x:v>
      </x:c>
      <x:c r="N2782" s="8" t="n">
        <x:f>M2782^2</x:f>
        <x:v>3.2637759148216396</x:v>
      </x:c>
      <x:c r="O2782" s="8" t="n">
        <x:f>ABS(M2782)</x:f>
        <x:v>1.8065923488218474</x:v>
      </x:c>
      <x:c r="P2782" s="7" t="n">
        <x:v>45679</x:v>
      </x:c>
    </x:row>
    <x:row r="2783" ht="26" customHeight="1">
      <x:c r="A2783" s="2"/>
      <x:c r="B2783" s="2" t="n">
        <x:v>2778</x:v>
      </x:c>
      <x:c r="C2783" s="2" t="str">
        <x:v>Health Care / organic_volume_growth</x:v>
      </x:c>
      <x:c r="D2783" s="7" t="n">
        <x:v>45657</x:v>
      </x:c>
      <x:c r="E2783" s="2" t="str">
        <x:v>Pre-earnings</x:v>
      </x:c>
      <x:c r="F2783" s="7" t="n">
        <x:v>45678</x:v>
      </x:c>
      <x:c r="G2783" s="2" t="str">
        <x:v>Half correction</x:v>
      </x:c>
      <x:c r="H2783" s="8" t="n">
        <x:f>K1578</x:f>
        <x:v>0.5467818578375752</x:v>
      </x:c>
      <x:c r="I2783" s="8" t="n">
        <x:f>AVERAGE(M1513,M1529,M1545,M1562)</x:f>
        <x:v>2.3533742066594225</x:v>
      </x:c>
      <x:c r="J2783" s="8" t="n">
        <x:v>0.5</x:v>
      </x:c>
      <x:c r="K2783" s="8" t="n">
        <x:f>H2783-I2783*J2783</x:f>
        <x:v>-0.6299052454921361</x:v>
      </x:c>
      <x:c r="L2783" s="8" t="n">
        <x:f>'PG facts'!E113</x:f>
        <x:v>0</x:v>
      </x:c>
      <x:c r="M2783" s="8" t="n">
        <x:f>K2783-L2783</x:f>
        <x:v>-0.6299052454921361</x:v>
      </x:c>
      <x:c r="N2783" s="8" t="n">
        <x:f>M2783^2</x:f>
        <x:v>0.39678061829850825</x:v>
      </x:c>
      <x:c r="O2783" s="8" t="n">
        <x:f>ABS(M2783)</x:f>
        <x:v>0.6299052454921361</x:v>
      </x:c>
      <x:c r="P2783" s="7" t="n">
        <x:v>45679</x:v>
      </x:c>
    </x:row>
    <x:row r="2784" ht="26" customHeight="1">
      <x:c r="A2784" s="2"/>
      <x:c r="B2784" s="2" t="n">
        <x:v>2779</x:v>
      </x:c>
      <x:c r="C2784" s="2" t="str">
        <x:v>Health Care / organic_volume_growth</x:v>
      </x:c>
      <x:c r="D2784" s="7" t="n">
        <x:v>45747</x:v>
      </x:c>
      <x:c r="E2784" s="2" t="str">
        <x:v>Origin</x:v>
      </x:c>
      <x:c r="F2784" s="7" t="n">
        <x:v>45658</x:v>
      </x:c>
      <x:c r="G2784" s="2" t="str">
        <x:v>Bias correction</x:v>
      </x:c>
      <x:c r="H2784" s="8" t="n">
        <x:f>K1584</x:f>
        <x:v>0.6316570545509643</x:v>
      </x:c>
      <x:c r="I2784" s="8" t="n">
        <x:f>AVERAGE(M1503,M1519,M1535,M1551)</x:f>
        <x:v>2.286345584055985</x:v>
      </x:c>
      <x:c r="J2784" s="8" t="n">
        <x:v>1</x:v>
      </x:c>
      <x:c r="K2784" s="8" t="n">
        <x:f>H2784-I2784*J2784</x:f>
        <x:v>-1.6546885295050209</x:v>
      </x:c>
      <x:c r="L2784" s="8" t="n">
        <x:f>'PG facts'!E120</x:f>
        <x:v>-1</x:v>
      </x:c>
      <x:c r="M2784" s="8" t="n">
        <x:f>K2784-L2784</x:f>
        <x:v>-0.6546885295050209</x:v>
      </x:c>
      <x:c r="N2784" s="8" t="n">
        <x:f>M2784^2</x:f>
        <x:v>0.4286170706654466</x:v>
      </x:c>
      <x:c r="O2784" s="8" t="n">
        <x:f>ABS(M2784)</x:f>
        <x:v>0.6546885295050209</x:v>
      </x:c>
      <x:c r="P2784" s="7" t="n">
        <x:v>45771</x:v>
      </x:c>
    </x:row>
    <x:row r="2785" ht="26" customHeight="1">
      <x:c r="A2785" s="2"/>
      <x:c r="B2785" s="2" t="n">
        <x:v>2780</x:v>
      </x:c>
      <x:c r="C2785" s="2" t="str">
        <x:v>Health Care / organic_volume_growth</x:v>
      </x:c>
      <x:c r="D2785" s="7" t="n">
        <x:v>45747</x:v>
      </x:c>
      <x:c r="E2785" s="2" t="str">
        <x:v>Origin</x:v>
      </x:c>
      <x:c r="F2785" s="7" t="n">
        <x:v>45658</x:v>
      </x:c>
      <x:c r="G2785" s="2" t="str">
        <x:v>Half correction</x:v>
      </x:c>
      <x:c r="H2785" s="8" t="n">
        <x:f>K1584</x:f>
        <x:v>0.6316570545509643</x:v>
      </x:c>
      <x:c r="I2785" s="8" t="n">
        <x:f>AVERAGE(M1503,M1519,M1535,M1551)</x:f>
        <x:v>2.286345584055985</x:v>
      </x:c>
      <x:c r="J2785" s="8" t="n">
        <x:v>0.5</x:v>
      </x:c>
      <x:c r="K2785" s="8" t="n">
        <x:f>H2785-I2785*J2785</x:f>
        <x:v>-0.5115157374770283</x:v>
      </x:c>
      <x:c r="L2785" s="8" t="n">
        <x:f>'PG facts'!E120</x:f>
        <x:v>-1</x:v>
      </x:c>
      <x:c r="M2785" s="8" t="n">
        <x:f>K2785-L2785</x:f>
        <x:v>0.4884842625229717</x:v>
      </x:c>
      <x:c r="N2785" s="8" t="n">
        <x:f>M2785^2</x:f>
        <x:v>0.23861687473261156</x:v>
      </x:c>
      <x:c r="O2785" s="8" t="n">
        <x:f>ABS(M2785)</x:f>
        <x:v>0.4884842625229717</x:v>
      </x:c>
      <x:c r="P2785" s="7" t="n">
        <x:v>45771</x:v>
      </x:c>
    </x:row>
    <x:row r="2786" ht="26" customHeight="1">
      <x:c r="A2786" s="2"/>
      <x:c r="B2786" s="2" t="n">
        <x:v>2781</x:v>
      </x:c>
      <x:c r="C2786" s="2" t="str">
        <x:v>Health Care / organic_volume_growth</x:v>
      </x:c>
      <x:c r="D2786" s="7" t="n">
        <x:v>45747</x:v>
      </x:c>
      <x:c r="E2786" s="2" t="str">
        <x:v>Prior report</x:v>
      </x:c>
      <x:c r="F2786" s="7" t="n">
        <x:v>45679</x:v>
      </x:c>
      <x:c r="G2786" s="2" t="str">
        <x:v>Bias correction</x:v>
      </x:c>
      <x:c r="H2786" s="8" t="n">
        <x:f>K1589</x:f>
        <x:v>0.6316570545509643</x:v>
      </x:c>
      <x:c r="I2786" s="8" t="n">
        <x:f>AVERAGE(M1524,M1540,M1556,M1573)</x:f>
        <x:v>1.4156300174635355</x:v>
      </x:c>
      <x:c r="J2786" s="8" t="n">
        <x:v>1</x:v>
      </x:c>
      <x:c r="K2786" s="8" t="n">
        <x:f>H2786-I2786*J2786</x:f>
        <x:v>-0.7839729629125711</x:v>
      </x:c>
      <x:c r="L2786" s="8" t="n">
        <x:f>'PG facts'!E120</x:f>
        <x:v>-1</x:v>
      </x:c>
      <x:c r="M2786" s="8" t="n">
        <x:f>K2786-L2786</x:f>
        <x:v>0.21602703708742887</x:v>
      </x:c>
      <x:c r="N2786" s="8" t="n">
        <x:f>M2786^2</x:f>
        <x:v>0.04666768075277337</x:v>
      </x:c>
      <x:c r="O2786" s="8" t="n">
        <x:f>ABS(M2786)</x:f>
        <x:v>0.21602703708742887</x:v>
      </x:c>
      <x:c r="P2786" s="7" t="n">
        <x:v>45771</x:v>
      </x:c>
    </x:row>
    <x:row r="2787" ht="26" customHeight="1">
      <x:c r="A2787" s="2"/>
      <x:c r="B2787" s="2" t="n">
        <x:v>2782</x:v>
      </x:c>
      <x:c r="C2787" s="2" t="str">
        <x:v>Health Care / organic_volume_growth</x:v>
      </x:c>
      <x:c r="D2787" s="7" t="n">
        <x:v>45747</x:v>
      </x:c>
      <x:c r="E2787" s="2" t="str">
        <x:v>Prior report</x:v>
      </x:c>
      <x:c r="F2787" s="7" t="n">
        <x:v>45679</x:v>
      </x:c>
      <x:c r="G2787" s="2" t="str">
        <x:v>Half correction</x:v>
      </x:c>
      <x:c r="H2787" s="8" t="n">
        <x:f>K1589</x:f>
        <x:v>0.6316570545509643</x:v>
      </x:c>
      <x:c r="I2787" s="8" t="n">
        <x:f>AVERAGE(M1524,M1540,M1556,M1573)</x:f>
        <x:v>1.4156300174635355</x:v>
      </x:c>
      <x:c r="J2787" s="8" t="n">
        <x:v>0.5</x:v>
      </x:c>
      <x:c r="K2787" s="8" t="n">
        <x:f>H2787-I2787*J2787</x:f>
        <x:v>-0.0761579541808034</x:v>
      </x:c>
      <x:c r="L2787" s="8" t="n">
        <x:f>'PG facts'!E120</x:f>
        <x:v>-1</x:v>
      </x:c>
      <x:c r="M2787" s="8" t="n">
        <x:f>K2787-L2787</x:f>
        <x:v>0.9238420458191966</x:v>
      </x:c>
      <x:c r="N2787" s="8" t="n">
        <x:f>M2787^2</x:f>
        <x:v>0.8534841256233986</x:v>
      </x:c>
      <x:c r="O2787" s="8" t="n">
        <x:f>ABS(M2787)</x:f>
        <x:v>0.9238420458191966</x:v>
      </x:c>
      <x:c r="P2787" s="7" t="n">
        <x:v>45771</x:v>
      </x:c>
    </x:row>
    <x:row r="2788" ht="26" customHeight="1">
      <x:c r="A2788" s="2"/>
      <x:c r="B2788" s="2" t="n">
        <x:v>2783</x:v>
      </x:c>
      <x:c r="C2788" s="2" t="str">
        <x:v>Health Care / organic_volume_growth</x:v>
      </x:c>
      <x:c r="D2788" s="7" t="n">
        <x:v>45747</x:v>
      </x:c>
      <x:c r="E2788" s="2" t="str">
        <x:v>Pre-earnings</x:v>
      </x:c>
      <x:c r="F2788" s="7" t="n">
        <x:v>45770</x:v>
      </x:c>
      <x:c r="G2788" s="2" t="str">
        <x:v>Bias correction</x:v>
      </x:c>
      <x:c r="H2788" s="8" t="n">
        <x:f>K1594</x:f>
        <x:v>0.7779014893638667</x:v>
      </x:c>
      <x:c r="I2788" s="8" t="n">
        <x:f>AVERAGE(M1529,M1545,M1562,M1578)</x:f>
        <x:v>1.3246047122151643</x:v>
      </x:c>
      <x:c r="J2788" s="8" t="n">
        <x:v>1</x:v>
      </x:c>
      <x:c r="K2788" s="8" t="n">
        <x:f>H2788-I2788*J2788</x:f>
        <x:v>-0.5467032228512976</x:v>
      </x:c>
      <x:c r="L2788" s="8" t="n">
        <x:f>'PG facts'!E120</x:f>
        <x:v>-1</x:v>
      </x:c>
      <x:c r="M2788" s="8" t="n">
        <x:f>K2788-L2788</x:f>
        <x:v>0.4532967771487024</x:v>
      </x:c>
      <x:c r="N2788" s="8" t="n">
        <x:f>M2788^2</x:f>
        <x:v>0.2054779681734004</x:v>
      </x:c>
      <x:c r="O2788" s="8" t="n">
        <x:f>ABS(M2788)</x:f>
        <x:v>0.4532967771487024</x:v>
      </x:c>
      <x:c r="P2788" s="7" t="n">
        <x:v>45771</x:v>
      </x:c>
    </x:row>
    <x:row r="2789" ht="26" customHeight="1">
      <x:c r="A2789" s="2"/>
      <x:c r="B2789" s="2" t="n">
        <x:v>2784</x:v>
      </x:c>
      <x:c r="C2789" s="2" t="str">
        <x:v>Health Care / organic_volume_growth</x:v>
      </x:c>
      <x:c r="D2789" s="7" t="n">
        <x:v>45747</x:v>
      </x:c>
      <x:c r="E2789" s="2" t="str">
        <x:v>Pre-earnings</x:v>
      </x:c>
      <x:c r="F2789" s="7" t="n">
        <x:v>45770</x:v>
      </x:c>
      <x:c r="G2789" s="2" t="str">
        <x:v>Half correction</x:v>
      </x:c>
      <x:c r="H2789" s="8" t="n">
        <x:f>K1594</x:f>
        <x:v>0.7779014893638667</x:v>
      </x:c>
      <x:c r="I2789" s="8" t="n">
        <x:f>AVERAGE(M1529,M1545,M1562,M1578)</x:f>
        <x:v>1.3246047122151643</x:v>
      </x:c>
      <x:c r="J2789" s="8" t="n">
        <x:v>0.5</x:v>
      </x:c>
      <x:c r="K2789" s="8" t="n">
        <x:f>H2789-I2789*J2789</x:f>
        <x:v>0.11559913325628457</x:v>
      </x:c>
      <x:c r="L2789" s="8" t="n">
        <x:f>'PG facts'!E120</x:f>
        <x:v>-1</x:v>
      </x:c>
      <x:c r="M2789" s="8" t="n">
        <x:f>K2789-L2789</x:f>
        <x:v>1.1155991332562847</x:v>
      </x:c>
      <x:c r="N2789" s="8" t="n">
        <x:f>M2789^2</x:f>
        <x:v>1.2445614261221736</x:v>
      </x:c>
      <x:c r="O2789" s="8" t="n">
        <x:f>ABS(M2789)</x:f>
        <x:v>1.1155991332562847</x:v>
      </x:c>
      <x:c r="P2789" s="7" t="n">
        <x:v>45771</x:v>
      </x:c>
    </x:row>
    <x:row r="2790" ht="26" customHeight="1">
      <x:c r="A2790" s="2"/>
      <x:c r="B2790" s="2" t="n">
        <x:v>2785</x:v>
      </x:c>
      <x:c r="C2790" s="2" t="str">
        <x:v>Health Care / organic_volume_growth</x:v>
      </x:c>
      <x:c r="D2790" s="7" t="n">
        <x:v>45838</x:v>
      </x:c>
      <x:c r="E2790" s="2" t="str">
        <x:v>Origin</x:v>
      </x:c>
      <x:c r="F2790" s="7" t="n">
        <x:v>45748</x:v>
      </x:c>
      <x:c r="G2790" s="2" t="str">
        <x:v>Bias correction</x:v>
      </x:c>
      <x:c r="H2790" s="8" t="n">
        <x:f>K1600</x:f>
        <x:v>0.6949494538472556</x:v>
      </x:c>
      <x:c r="I2790" s="8" t="n">
        <x:f>AVERAGE(M1519,M1535,M1551,M1568)</x:f>
        <x:v>1.4097783246201803</x:v>
      </x:c>
      <x:c r="J2790" s="8" t="n">
        <x:v>1</x:v>
      </x:c>
      <x:c r="K2790" s="8" t="n">
        <x:f>H2790-I2790*J2790</x:f>
        <x:v>-0.7148288707729247</x:v>
      </x:c>
      <x:c r="L2790" s="8" t="n">
        <x:f>'PG facts'!E127</x:f>
        <x:v>-2</x:v>
      </x:c>
      <x:c r="M2790" s="8" t="n">
        <x:f>K2790-L2790</x:f>
        <x:v>1.2851711292270753</x:v>
      </x:c>
      <x:c r="N2790" s="8" t="n">
        <x:f>M2790^2</x:f>
        <x:v>1.651664831398796</x:v>
      </x:c>
      <x:c r="O2790" s="8" t="n">
        <x:f>ABS(M2790)</x:f>
        <x:v>1.2851711292270753</x:v>
      </x:c>
      <x:c r="P2790" s="7" t="n">
        <x:v>45867</x:v>
      </x:c>
    </x:row>
    <x:row r="2791" ht="26" customHeight="1">
      <x:c r="A2791" s="2"/>
      <x:c r="B2791" s="2" t="n">
        <x:v>2786</x:v>
      </x:c>
      <x:c r="C2791" s="2" t="str">
        <x:v>Health Care / organic_volume_growth</x:v>
      </x:c>
      <x:c r="D2791" s="7" t="n">
        <x:v>45838</x:v>
      </x:c>
      <x:c r="E2791" s="2" t="str">
        <x:v>Origin</x:v>
      </x:c>
      <x:c r="F2791" s="7" t="n">
        <x:v>45748</x:v>
      </x:c>
      <x:c r="G2791" s="2" t="str">
        <x:v>Half correction</x:v>
      </x:c>
      <x:c r="H2791" s="8" t="n">
        <x:f>K1600</x:f>
        <x:v>0.6949494538472556</x:v>
      </x:c>
      <x:c r="I2791" s="8" t="n">
        <x:f>AVERAGE(M1519,M1535,M1551,M1568)</x:f>
        <x:v>1.4097783246201803</x:v>
      </x:c>
      <x:c r="J2791" s="8" t="n">
        <x:v>0.5</x:v>
      </x:c>
      <x:c r="K2791" s="8" t="n">
        <x:f>H2791-I2791*J2791</x:f>
        <x:v>-0.00993970846283454</x:v>
      </x:c>
      <x:c r="L2791" s="8" t="n">
        <x:f>'PG facts'!E127</x:f>
        <x:v>-2</x:v>
      </x:c>
      <x:c r="M2791" s="8" t="n">
        <x:f>K2791-L2791</x:f>
        <x:v>1.9900602915371655</x:v>
      </x:c>
      <x:c r="N2791" s="8" t="n">
        <x:f>M2791^2</x:f>
        <x:v>3.960339963952988</x:v>
      </x:c>
      <x:c r="O2791" s="8" t="n">
        <x:f>ABS(M2791)</x:f>
        <x:v>1.9900602915371655</x:v>
      </x:c>
      <x:c r="P2791" s="7" t="n">
        <x:v>45867</x:v>
      </x:c>
    </x:row>
    <x:row r="2792" ht="26" customHeight="1">
      <x:c r="A2792" s="2"/>
      <x:c r="B2792" s="2" t="n">
        <x:v>2787</x:v>
      </x:c>
      <x:c r="C2792" s="2" t="str">
        <x:v>Health Care / organic_volume_growth</x:v>
      </x:c>
      <x:c r="D2792" s="7" t="n">
        <x:v>45838</x:v>
      </x:c>
      <x:c r="E2792" s="2" t="str">
        <x:v>Prior report</x:v>
      </x:c>
      <x:c r="F2792" s="7" t="n">
        <x:v>45771</x:v>
      </x:c>
      <x:c r="G2792" s="2" t="str">
        <x:v>Bias correction</x:v>
      </x:c>
      <x:c r="H2792" s="8" t="n">
        <x:f>K1605</x:f>
        <x:v>0.6949494538472556</x:v>
      </x:c>
      <x:c r="I2792" s="8" t="n">
        <x:f>AVERAGE(M1540,M1556,M1573,M1589)</x:f>
        <x:v>0.6786057655838499</x:v>
      </x:c>
      <x:c r="J2792" s="8" t="n">
        <x:v>1</x:v>
      </x:c>
      <x:c r="K2792" s="8" t="n">
        <x:f>H2792-I2792*J2792</x:f>
        <x:v>0.01634368826340571</x:v>
      </x:c>
      <x:c r="L2792" s="8" t="n">
        <x:f>'PG facts'!E127</x:f>
        <x:v>-2</x:v>
      </x:c>
      <x:c r="M2792" s="8" t="n">
        <x:f>K2792-L2792</x:f>
        <x:v>2.016343688263406</x:v>
      </x:c>
      <x:c r="N2792" s="8" t="n">
        <x:f>M2792^2</x:f>
        <x:v>4.065641869199674</x:v>
      </x:c>
      <x:c r="O2792" s="8" t="n">
        <x:f>ABS(M2792)</x:f>
        <x:v>2.016343688263406</x:v>
      </x:c>
      <x:c r="P2792" s="7" t="n">
        <x:v>45867</x:v>
      </x:c>
    </x:row>
    <x:row r="2793" ht="26" customHeight="1">
      <x:c r="A2793" s="2"/>
      <x:c r="B2793" s="2" t="n">
        <x:v>2788</x:v>
      </x:c>
      <x:c r="C2793" s="2" t="str">
        <x:v>Health Care / organic_volume_growth</x:v>
      </x:c>
      <x:c r="D2793" s="7" t="n">
        <x:v>45838</x:v>
      </x:c>
      <x:c r="E2793" s="2" t="str">
        <x:v>Prior report</x:v>
      </x:c>
      <x:c r="F2793" s="7" t="n">
        <x:v>45771</x:v>
      </x:c>
      <x:c r="G2793" s="2" t="str">
        <x:v>Half correction</x:v>
      </x:c>
      <x:c r="H2793" s="8" t="n">
        <x:f>K1605</x:f>
        <x:v>0.6949494538472556</x:v>
      </x:c>
      <x:c r="I2793" s="8" t="n">
        <x:f>AVERAGE(M1540,M1556,M1573,M1589)</x:f>
        <x:v>0.6786057655838499</x:v>
      </x:c>
      <x:c r="J2793" s="8" t="n">
        <x:v>0.5</x:v>
      </x:c>
      <x:c r="K2793" s="8" t="n">
        <x:f>H2793-I2793*J2793</x:f>
        <x:v>0.35564657105533065</x:v>
      </x:c>
      <x:c r="L2793" s="8" t="n">
        <x:f>'PG facts'!E127</x:f>
        <x:v>-2</x:v>
      </x:c>
      <x:c r="M2793" s="8" t="n">
        <x:f>K2793-L2793</x:f>
        <x:v>2.3556465710553307</x:v>
      </x:c>
      <x:c r="N2793" s="8" t="n">
        <x:f>M2793^2</x:f>
        <x:v>5.5490707677247375</x:v>
      </x:c>
      <x:c r="O2793" s="8" t="n">
        <x:f>ABS(M2793)</x:f>
        <x:v>2.3556465710553307</x:v>
      </x:c>
      <x:c r="P2793" s="7" t="n">
        <x:v>45867</x:v>
      </x:c>
    </x:row>
    <x:row r="2794" ht="26" customHeight="1">
      <x:c r="A2794" s="2"/>
      <x:c r="B2794" s="2" t="n">
        <x:v>2789</x:v>
      </x:c>
      <x:c r="C2794" s="2" t="str">
        <x:v>Health Care / organic_volume_growth</x:v>
      </x:c>
      <x:c r="D2794" s="7" t="n">
        <x:v>45838</x:v>
      </x:c>
      <x:c r="E2794" s="2" t="str">
        <x:v>Pre-earnings</x:v>
      </x:c>
      <x:c r="F2794" s="7" t="n">
        <x:v>45866</x:v>
      </x:c>
      <x:c r="G2794" s="2" t="str">
        <x:v>Bias correction</x:v>
      </x:c>
      <x:c r="H2794" s="8" t="n">
        <x:f>K1610</x:f>
        <x:v>0.9266830812785611</x:v>
      </x:c>
      <x:c r="I2794" s="8" t="n">
        <x:f>AVERAGE(M1545,M1562,M1578,M1594)</x:f>
        <x:v>0.7505831878580711</x:v>
      </x:c>
      <x:c r="J2794" s="8" t="n">
        <x:v>1</x:v>
      </x:c>
      <x:c r="K2794" s="8" t="n">
        <x:f>H2794-I2794*J2794</x:f>
        <x:v>0.17609989342049004</x:v>
      </x:c>
      <x:c r="L2794" s="8" t="n">
        <x:f>'PG facts'!E127</x:f>
        <x:v>-2</x:v>
      </x:c>
      <x:c r="M2794" s="8" t="n">
        <x:f>K2794-L2794</x:f>
        <x:v>2.1760998934204903</x:v>
      </x:c>
      <x:c r="N2794" s="8" t="n">
        <x:f>M2794^2</x:f>
        <x:v>4.7354107461446695</x:v>
      </x:c>
      <x:c r="O2794" s="8" t="n">
        <x:f>ABS(M2794)</x:f>
        <x:v>2.1760998934204903</x:v>
      </x:c>
      <x:c r="P2794" s="7" t="n">
        <x:v>45867</x:v>
      </x:c>
    </x:row>
    <x:row r="2795" ht="26" customHeight="1">
      <x:c r="A2795" s="2"/>
      <x:c r="B2795" s="2" t="n">
        <x:v>2790</x:v>
      </x:c>
      <x:c r="C2795" s="2" t="str">
        <x:v>Health Care / organic_volume_growth</x:v>
      </x:c>
      <x:c r="D2795" s="7" t="n">
        <x:v>45838</x:v>
      </x:c>
      <x:c r="E2795" s="2" t="str">
        <x:v>Pre-earnings</x:v>
      </x:c>
      <x:c r="F2795" s="7" t="n">
        <x:v>45866</x:v>
      </x:c>
      <x:c r="G2795" s="2" t="str">
        <x:v>Half correction</x:v>
      </x:c>
      <x:c r="H2795" s="8" t="n">
        <x:f>K1610</x:f>
        <x:v>0.9266830812785611</x:v>
      </x:c>
      <x:c r="I2795" s="8" t="n">
        <x:f>AVERAGE(M1545,M1562,M1578,M1594)</x:f>
        <x:v>0.7505831878580711</x:v>
      </x:c>
      <x:c r="J2795" s="8" t="n">
        <x:v>0.5</x:v>
      </x:c>
      <x:c r="K2795" s="8" t="n">
        <x:f>H2795-I2795*J2795</x:f>
        <x:v>0.5513914873495256</x:v>
      </x:c>
      <x:c r="L2795" s="8" t="n">
        <x:f>'PG facts'!E127</x:f>
        <x:v>-2</x:v>
      </x:c>
      <x:c r="M2795" s="8" t="n">
        <x:f>K2795-L2795</x:f>
        <x:v>2.551391487349526</x:v>
      </x:c>
      <x:c r="N2795" s="8" t="n">
        <x:f>M2795^2</x:f>
        <x:v>6.509598521719625</x:v>
      </x:c>
      <x:c r="O2795" s="8" t="n">
        <x:f>ABS(M2795)</x:f>
        <x:v>2.551391487349526</x:v>
      </x:c>
      <x:c r="P2795" s="7" t="n">
        <x:v>45867</x:v>
      </x:c>
    </x:row>
    <x:row r="2796" ht="26" customHeight="1">
      <x:c r="A2796" s="2"/>
      <x:c r="B2796" s="2" t="n">
        <x:v>2791</x:v>
      </x:c>
      <x:c r="C2796" s="2" t="str">
        <x:v>Health Care / organic_volume_growth</x:v>
      </x:c>
      <x:c r="D2796" s="7" t="n">
        <x:v>45930</x:v>
      </x:c>
      <x:c r="E2796" s="2" t="str">
        <x:v>Origin</x:v>
      </x:c>
      <x:c r="F2796" s="7" t="n">
        <x:v>45839</x:v>
      </x:c>
      <x:c r="G2796" s="2" t="str">
        <x:v>Bias correction</x:v>
      </x:c>
      <x:c r="H2796" s="8" t="n">
        <x:f>K1616</x:f>
        <x:v>0.8916608337972602</x:v>
      </x:c>
      <x:c r="I2796" s="8" t="n">
        <x:f>AVERAGE(M1535,M1551,M1568,M1584)</x:f>
        <x:v>0.6727540727404946</x:v>
      </x:c>
      <x:c r="J2796" s="8" t="n">
        <x:v>1</x:v>
      </x:c>
      <x:c r="K2796" s="8" t="n">
        <x:f>H2796-I2796*J2796</x:f>
        <x:v>0.21890676105676565</x:v>
      </x:c>
      <x:c r="L2796" s="8" t="n">
        <x:f>'PG facts'!E134</x:f>
        <x:v>-2</x:v>
      </x:c>
      <x:c r="M2796" s="8" t="n">
        <x:f>K2796-L2796</x:f>
        <x:v>2.2189067610567657</x:v>
      </x:c>
      <x:c r="N2796" s="8" t="n">
        <x:f>M2796^2</x:f>
        <x:v>4.923547214263427</x:v>
      </x:c>
      <x:c r="O2796" s="8" t="n">
        <x:f>ABS(M2796)</x:f>
        <x:v>2.2189067610567657</x:v>
      </x:c>
      <x:c r="P2796" s="7" t="n">
        <x:v>45954</x:v>
      </x:c>
    </x:row>
    <x:row r="2797" ht="26" customHeight="1">
      <x:c r="A2797" s="2"/>
      <x:c r="B2797" s="2" t="n">
        <x:v>2792</x:v>
      </x:c>
      <x:c r="C2797" s="2" t="str">
        <x:v>Health Care / organic_volume_growth</x:v>
      </x:c>
      <x:c r="D2797" s="7" t="n">
        <x:v>45930</x:v>
      </x:c>
      <x:c r="E2797" s="2" t="str">
        <x:v>Origin</x:v>
      </x:c>
      <x:c r="F2797" s="7" t="n">
        <x:v>45839</x:v>
      </x:c>
      <x:c r="G2797" s="2" t="str">
        <x:v>Half correction</x:v>
      </x:c>
      <x:c r="H2797" s="8" t="n">
        <x:f>K1616</x:f>
        <x:v>0.8916608337972602</x:v>
      </x:c>
      <x:c r="I2797" s="8" t="n">
        <x:f>AVERAGE(M1535,M1551,M1568,M1584)</x:f>
        <x:v>0.6727540727404946</x:v>
      </x:c>
      <x:c r="J2797" s="8" t="n">
        <x:v>0.5</x:v>
      </x:c>
      <x:c r="K2797" s="8" t="n">
        <x:f>H2797-I2797*J2797</x:f>
        <x:v>0.555283797427013</x:v>
      </x:c>
      <x:c r="L2797" s="8" t="n">
        <x:f>'PG facts'!E134</x:f>
        <x:v>-2</x:v>
      </x:c>
      <x:c r="M2797" s="8" t="n">
        <x:f>K2797-L2797</x:f>
        <x:v>2.555283797427013</x:v>
      </x:c>
      <x:c r="N2797" s="8" t="n">
        <x:f>M2797^2</x:f>
        <x:v>6.5294752853930165</x:v>
      </x:c>
      <x:c r="O2797" s="8" t="n">
        <x:f>ABS(M2797)</x:f>
        <x:v>2.555283797427013</x:v>
      </x:c>
      <x:c r="P2797" s="7" t="n">
        <x:v>45954</x:v>
      </x:c>
    </x:row>
    <x:row r="2798" ht="26" customHeight="1">
      <x:c r="A2798" s="2"/>
      <x:c r="B2798" s="2" t="n">
        <x:v>2793</x:v>
      </x:c>
      <x:c r="C2798" s="2" t="str">
        <x:v>Health Care / organic_volume_growth</x:v>
      </x:c>
      <x:c r="D2798" s="7" t="n">
        <x:v>45930</x:v>
      </x:c>
      <x:c r="E2798" s="2" t="str">
        <x:v>Prior report</x:v>
      </x:c>
      <x:c r="F2798" s="7" t="n">
        <x:v>45867</x:v>
      </x:c>
      <x:c r="G2798" s="2" t="str">
        <x:v>Bias correction</x:v>
      </x:c>
      <x:c r="H2798" s="8" t="n">
        <x:f>K1621</x:f>
        <x:v>0.8916608337972602</x:v>
      </x:c>
      <x:c r="I2798" s="8" t="n">
        <x:f>AVERAGE(M1556,M1573,M1589,M1605)</x:f>
        <x:v>1.519384109536937</x:v>
      </x:c>
      <x:c r="J2798" s="8" t="n">
        <x:v>1</x:v>
      </x:c>
      <x:c r="K2798" s="8" t="n">
        <x:f>H2798-I2798*J2798</x:f>
        <x:v>-0.6277232757396767</x:v>
      </x:c>
      <x:c r="L2798" s="8" t="n">
        <x:f>'PG facts'!E134</x:f>
        <x:v>-2</x:v>
      </x:c>
      <x:c r="M2798" s="8" t="n">
        <x:f>K2798-L2798</x:f>
        <x:v>1.3722767242603233</x:v>
      </x:c>
      <x:c r="N2798" s="8" t="n">
        <x:f>M2798^2</x:f>
        <x:v>1.8831434079466434</x:v>
      </x:c>
      <x:c r="O2798" s="8" t="n">
        <x:f>ABS(M2798)</x:f>
        <x:v>1.3722767242603233</x:v>
      </x:c>
      <x:c r="P2798" s="7" t="n">
        <x:v>45954</x:v>
      </x:c>
    </x:row>
    <x:row r="2799" ht="26" customHeight="1">
      <x:c r="A2799" s="2"/>
      <x:c r="B2799" s="2" t="n">
        <x:v>2794</x:v>
      </x:c>
      <x:c r="C2799" s="2" t="str">
        <x:v>Health Care / organic_volume_growth</x:v>
      </x:c>
      <x:c r="D2799" s="7" t="n">
        <x:v>45930</x:v>
      </x:c>
      <x:c r="E2799" s="2" t="str">
        <x:v>Prior report</x:v>
      </x:c>
      <x:c r="F2799" s="7" t="n">
        <x:v>45867</x:v>
      </x:c>
      <x:c r="G2799" s="2" t="str">
        <x:v>Half correction</x:v>
      </x:c>
      <x:c r="H2799" s="8" t="n">
        <x:f>K1621</x:f>
        <x:v>0.8916608337972602</x:v>
      </x:c>
      <x:c r="I2799" s="8" t="n">
        <x:f>AVERAGE(M1556,M1573,M1589,M1605)</x:f>
        <x:v>1.519384109536937</x:v>
      </x:c>
      <x:c r="J2799" s="8" t="n">
        <x:v>0.5</x:v>
      </x:c>
      <x:c r="K2799" s="8" t="n">
        <x:f>H2799-I2799*J2799</x:f>
        <x:v>0.13196877902879178</x:v>
      </x:c>
      <x:c r="L2799" s="8" t="n">
        <x:f>'PG facts'!E134</x:f>
        <x:v>-2</x:v>
      </x:c>
      <x:c r="M2799" s="8" t="n">
        <x:f>K2799-L2799</x:f>
        <x:v>2.131968779028792</x:v>
      </x:c>
      <x:c r="N2799" s="8" t="n">
        <x:f>M2799^2</x:f>
        <x:v>4.545290874753517</x:v>
      </x:c>
      <x:c r="O2799" s="8" t="n">
        <x:f>ABS(M2799)</x:f>
        <x:v>2.131968779028792</x:v>
      </x:c>
      <x:c r="P2799" s="7" t="n">
        <x:v>45954</x:v>
      </x:c>
    </x:row>
    <x:row r="2800" ht="26" customHeight="1">
      <x:c r="A2800" s="2"/>
      <x:c r="B2800" s="2" t="n">
        <x:v>2795</x:v>
      </x:c>
      <x:c r="C2800" s="2" t="str">
        <x:v>Health Care / organic_volume_growth</x:v>
      </x:c>
      <x:c r="D2800" s="7" t="n">
        <x:v>45930</x:v>
      </x:c>
      <x:c r="E2800" s="2" t="str">
        <x:v>Pre-earnings</x:v>
      </x:c>
      <x:c r="F2800" s="7" t="n">
        <x:v>45953</x:v>
      </x:c>
      <x:c r="G2800" s="2" t="str">
        <x:v>Bias correction</x:v>
      </x:c>
      <x:c r="H2800" s="8" t="n">
        <x:f>K1626</x:f>
        <x:v>1.004868663765909</x:v>
      </x:c>
      <x:c r="I2800" s="8" t="n">
        <x:f>AVERAGE(M1562,M1578,M1594,M1610)</x:f>
        <x:v>1.726992022517868</x:v>
      </x:c>
      <x:c r="J2800" s="8" t="n">
        <x:v>1</x:v>
      </x:c>
      <x:c r="K2800" s="8" t="n">
        <x:f>H2800-I2800*J2800</x:f>
        <x:v>-0.7221233587519591</x:v>
      </x:c>
      <x:c r="L2800" s="8" t="n">
        <x:f>'PG facts'!E134</x:f>
        <x:v>-2</x:v>
      </x:c>
      <x:c r="M2800" s="8" t="n">
        <x:f>K2800-L2800</x:f>
        <x:v>1.277876641248041</x:v>
      </x:c>
      <x:c r="N2800" s="8" t="n">
        <x:f>M2800^2</x:f>
        <x:v>1.6329687102473742</x:v>
      </x:c>
      <x:c r="O2800" s="8" t="n">
        <x:f>ABS(M2800)</x:f>
        <x:v>1.277876641248041</x:v>
      </x:c>
      <x:c r="P2800" s="7" t="n">
        <x:v>45954</x:v>
      </x:c>
    </x:row>
    <x:row r="2801" ht="26" customHeight="1">
      <x:c r="A2801" s="2"/>
      <x:c r="B2801" s="2" t="n">
        <x:v>2796</x:v>
      </x:c>
      <x:c r="C2801" s="2" t="str">
        <x:v>Health Care / organic_volume_growth</x:v>
      </x:c>
      <x:c r="D2801" s="7" t="n">
        <x:v>45930</x:v>
      </x:c>
      <x:c r="E2801" s="2" t="str">
        <x:v>Pre-earnings</x:v>
      </x:c>
      <x:c r="F2801" s="7" t="n">
        <x:v>45953</x:v>
      </x:c>
      <x:c r="G2801" s="2" t="str">
        <x:v>Half correction</x:v>
      </x:c>
      <x:c r="H2801" s="8" t="n">
        <x:f>K1626</x:f>
        <x:v>1.004868663765909</x:v>
      </x:c>
      <x:c r="I2801" s="8" t="n">
        <x:f>AVERAGE(M1562,M1578,M1594,M1610)</x:f>
        <x:v>1.726992022517868</x:v>
      </x:c>
      <x:c r="J2801" s="8" t="n">
        <x:v>0.5</x:v>
      </x:c>
      <x:c r="K2801" s="8" t="n">
        <x:f>H2801-I2801*J2801</x:f>
        <x:v>0.14137265250697495</x:v>
      </x:c>
      <x:c r="L2801" s="8" t="n">
        <x:f>'PG facts'!E134</x:f>
        <x:v>-2</x:v>
      </x:c>
      <x:c r="M2801" s="8" t="n">
        <x:f>K2801-L2801</x:f>
        <x:v>2.141372652506975</x:v>
      </x:c>
      <x:c r="N2801" s="8" t="n">
        <x:f>M2801^2</x:f>
        <x:v>4.585476836904759</x:v>
      </x:c>
      <x:c r="O2801" s="8" t="n">
        <x:f>ABS(M2801)</x:f>
        <x:v>2.141372652506975</x:v>
      </x:c>
      <x:c r="P2801" s="7" t="n">
        <x:v>45954</x:v>
      </x:c>
    </x:row>
    <x:row r="2802" ht="26" customHeight="1">
      <x:c r="A2802" s="2"/>
      <x:c r="B2802" s="2" t="n">
        <x:v>2797</x:v>
      </x:c>
      <x:c r="C2802" s="2" t="str">
        <x:v>Health Care / organic_volume_growth</x:v>
      </x:c>
      <x:c r="D2802" s="7" t="n">
        <x:v>46022</x:v>
      </x:c>
      <x:c r="E2802" s="2" t="str">
        <x:v>Origin</x:v>
      </x:c>
      <x:c r="F2802" s="7" t="n">
        <x:v>45931</x:v>
      </x:c>
      <x:c r="G2802" s="2" t="str">
        <x:v>Bias correction</x:v>
      </x:c>
      <x:c r="H2802" s="8" t="n">
        <x:f>K1632</x:f>
        <x:v>1.013831135976755</x:v>
      </x:c>
      <x:c r="I2802" s="8" t="n">
        <x:f>AVERAGE(M1551,M1568,M1584,M1600)</x:f>
        <x:v>1.5135324166935815</x:v>
      </x:c>
      <x:c r="J2802" s="8" t="n">
        <x:v>1</x:v>
      </x:c>
      <x:c r="K2802" s="8" t="n">
        <x:f>H2802-I2802*J2802</x:f>
        <x:v>-0.4997012807168266</x:v>
      </x:c>
      <x:c r="L2802" s="8" t="n">
        <x:f>'PG facts'!E141</x:f>
        <x:v>-1</x:v>
      </x:c>
      <x:c r="M2802" s="8" t="n">
        <x:f>K2802-L2802</x:f>
        <x:v>0.5002987192831734</x:v>
      </x:c>
      <x:c r="N2802" s="8" t="n">
        <x:f>M2802^2</x:f>
        <x:v>0.25029880851638353</x:v>
      </x:c>
      <x:c r="O2802" s="8" t="n">
        <x:f>ABS(M2802)</x:f>
        <x:v>0.5002987192831734</x:v>
      </x:c>
      <x:c r="P2802" s="7" t="n">
        <x:v>46045</x:v>
      </x:c>
    </x:row>
    <x:row r="2803" ht="26" customHeight="1">
      <x:c r="A2803" s="2"/>
      <x:c r="B2803" s="2" t="n">
        <x:v>2798</x:v>
      </x:c>
      <x:c r="C2803" s="2" t="str">
        <x:v>Health Care / organic_volume_growth</x:v>
      </x:c>
      <x:c r="D2803" s="7" t="n">
        <x:v>46022</x:v>
      </x:c>
      <x:c r="E2803" s="2" t="str">
        <x:v>Origin</x:v>
      </x:c>
      <x:c r="F2803" s="7" t="n">
        <x:v>45931</x:v>
      </x:c>
      <x:c r="G2803" s="2" t="str">
        <x:v>Half correction</x:v>
      </x:c>
      <x:c r="H2803" s="8" t="n">
        <x:f>K1632</x:f>
        <x:v>1.013831135976755</x:v>
      </x:c>
      <x:c r="I2803" s="8" t="n">
        <x:f>AVERAGE(M1551,M1568,M1584,M1600)</x:f>
        <x:v>1.5135324166935815</x:v>
      </x:c>
      <x:c r="J2803" s="8" t="n">
        <x:v>0.5</x:v>
      </x:c>
      <x:c r="K2803" s="8" t="n">
        <x:f>H2803-I2803*J2803</x:f>
        <x:v>0.25706492762996414</x:v>
      </x:c>
      <x:c r="L2803" s="8" t="n">
        <x:f>'PG facts'!E141</x:f>
        <x:v>-1</x:v>
      </x:c>
      <x:c r="M2803" s="8" t="n">
        <x:f>K2803-L2803</x:f>
        <x:v>1.2570649276299641</x:v>
      </x:c>
      <x:c r="N2803" s="8" t="n">
        <x:f>M2803^2</x:f>
        <x:v>1.5802122322773269</x:v>
      </x:c>
      <x:c r="O2803" s="8" t="n">
        <x:f>ABS(M2803)</x:f>
        <x:v>1.2570649276299641</x:v>
      </x:c>
      <x:c r="P2803" s="7" t="n">
        <x:v>46045</x:v>
      </x:c>
    </x:row>
    <x:row r="2804" ht="26" customHeight="1">
      <x:c r="A2804" s="2"/>
      <x:c r="B2804" s="2" t="n">
        <x:v>2799</x:v>
      </x:c>
      <x:c r="C2804" s="2" t="str">
        <x:v>Health Care / organic_volume_growth</x:v>
      </x:c>
      <x:c r="D2804" s="7" t="n">
        <x:v>46022</x:v>
      </x:c>
      <x:c r="E2804" s="2" t="str">
        <x:v>Prior report</x:v>
      </x:c>
      <x:c r="F2804" s="7" t="n">
        <x:v>45954</x:v>
      </x:c>
      <x:c r="G2804" s="2" t="str">
        <x:v>Bias correction</x:v>
      </x:c>
      <x:c r="H2804" s="8" t="n">
        <x:f>K1637</x:f>
        <x:v>1.013831135976755</x:v>
      </x:c>
      <x:c r="I2804" s="8" t="n">
        <x:f>AVERAGE(M1573,M1589,M1605,M1621)</x:f>
        <x:v>1.9675790748221007</x:v>
      </x:c>
      <x:c r="J2804" s="8" t="n">
        <x:v>1</x:v>
      </x:c>
      <x:c r="K2804" s="8" t="n">
        <x:f>H2804-I2804*J2804</x:f>
        <x:v>-0.9537479388453458</x:v>
      </x:c>
      <x:c r="L2804" s="8" t="n">
        <x:f>'PG facts'!E141</x:f>
        <x:v>-1</x:v>
      </x:c>
      <x:c r="M2804" s="8" t="n">
        <x:f>K2804-L2804</x:f>
        <x:v>0.04625206115465419</x:v>
      </x:c>
      <x:c r="N2804" s="8" t="n">
        <x:f>M2804^2</x:f>
        <x:v>0.002139253161053871</x:v>
      </x:c>
      <x:c r="O2804" s="8" t="n">
        <x:f>ABS(M2804)</x:f>
        <x:v>0.04625206115465419</x:v>
      </x:c>
      <x:c r="P2804" s="7" t="n">
        <x:v>46045</x:v>
      </x:c>
    </x:row>
    <x:row r="2805" ht="26" customHeight="1">
      <x:c r="A2805" s="2"/>
      <x:c r="B2805" s="2" t="n">
        <x:v>2800</x:v>
      </x:c>
      <x:c r="C2805" s="2" t="str">
        <x:v>Health Care / organic_volume_growth</x:v>
      </x:c>
      <x:c r="D2805" s="7" t="n">
        <x:v>46022</x:v>
      </x:c>
      <x:c r="E2805" s="2" t="str">
        <x:v>Prior report</x:v>
      </x:c>
      <x:c r="F2805" s="7" t="n">
        <x:v>45954</x:v>
      </x:c>
      <x:c r="G2805" s="2" t="str">
        <x:v>Half correction</x:v>
      </x:c>
      <x:c r="H2805" s="8" t="n">
        <x:f>K1637</x:f>
        <x:v>1.013831135976755</x:v>
      </x:c>
      <x:c r="I2805" s="8" t="n">
        <x:f>AVERAGE(M1573,M1589,M1605,M1621)</x:f>
        <x:v>1.9675790748221007</x:v>
      </x:c>
      <x:c r="J2805" s="8" t="n">
        <x:v>0.5</x:v>
      </x:c>
      <x:c r="K2805" s="8" t="n">
        <x:f>H2805-I2805*J2805</x:f>
        <x:v>0.03004159856570454</x:v>
      </x:c>
      <x:c r="L2805" s="8" t="n">
        <x:f>'PG facts'!E141</x:f>
        <x:v>-1</x:v>
      </x:c>
      <x:c r="M2805" s="8" t="n">
        <x:f>K2805-L2805</x:f>
        <x:v>1.0300415985657045</x:v>
      </x:c>
      <x:c r="N2805" s="8" t="n">
        <x:f>M2805^2</x:f>
        <x:v>1.060985694775792</x:v>
      </x:c>
      <x:c r="O2805" s="8" t="n">
        <x:f>ABS(M2805)</x:f>
        <x:v>1.0300415985657045</x:v>
      </x:c>
      <x:c r="P2805" s="7" t="n">
        <x:v>46045</x:v>
      </x:c>
    </x:row>
    <x:row r="2806" ht="26" customHeight="1">
      <x:c r="A2806" s="2"/>
      <x:c r="B2806" s="2" t="n">
        <x:v>2801</x:v>
      </x:c>
      <x:c r="C2806" s="2" t="str">
        <x:v>Health Care / organic_volume_growth</x:v>
      </x:c>
      <x:c r="D2806" s="7" t="n">
        <x:v>46022</x:v>
      </x:c>
      <x:c r="E2806" s="2" t="str">
        <x:v>Pre-earnings</x:v>
      </x:c>
      <x:c r="F2806" s="7" t="n">
        <x:v>46044</x:v>
      </x:c>
      <x:c r="G2806" s="2" t="str">
        <x:v>Bias correction</x:v>
      </x:c>
      <x:c r="H2806" s="8" t="n">
        <x:f>K1642</x:f>
        <x:v>0.55871347731186</x:v>
      </x:c>
      <x:c r="I2806" s="8" t="n">
        <x:f>AVERAGE(M1578,M1594,M1610,M1626)</x:f>
        <x:v>2.064058773061478</x:v>
      </x:c>
      <x:c r="J2806" s="8" t="n">
        <x:v>1</x:v>
      </x:c>
      <x:c r="K2806" s="8" t="n">
        <x:f>H2806-I2806*J2806</x:f>
        <x:v>-1.505345295749618</x:v>
      </x:c>
      <x:c r="L2806" s="8" t="n">
        <x:f>'PG facts'!E141</x:f>
        <x:v>-1</x:v>
      </x:c>
      <x:c r="M2806" s="8" t="n">
        <x:f>K2806-L2806</x:f>
        <x:v>-0.5053452957496181</x:v>
      </x:c>
      <x:c r="N2806" s="8" t="n">
        <x:f>M2806^2</x:f>
        <x:v>0.25537386793626893</x:v>
      </x:c>
      <x:c r="O2806" s="8" t="n">
        <x:f>ABS(M2806)</x:f>
        <x:v>0.5053452957496181</x:v>
      </x:c>
      <x:c r="P2806" s="7" t="n">
        <x:v>46045</x:v>
      </x:c>
    </x:row>
    <x:row r="2807" ht="26" customHeight="1">
      <x:c r="A2807" s="2"/>
      <x:c r="B2807" s="2" t="n">
        <x:v>2802</x:v>
      </x:c>
      <x:c r="C2807" s="2" t="str">
        <x:v>Health Care / organic_volume_growth</x:v>
      </x:c>
      <x:c r="D2807" s="7" t="n">
        <x:v>46022</x:v>
      </x:c>
      <x:c r="E2807" s="2" t="str">
        <x:v>Pre-earnings</x:v>
      </x:c>
      <x:c r="F2807" s="7" t="n">
        <x:v>46044</x:v>
      </x:c>
      <x:c r="G2807" s="2" t="str">
        <x:v>Half correction</x:v>
      </x:c>
      <x:c r="H2807" s="8" t="n">
        <x:f>K1642</x:f>
        <x:v>0.55871347731186</x:v>
      </x:c>
      <x:c r="I2807" s="8" t="n">
        <x:f>AVERAGE(M1578,M1594,M1610,M1626)</x:f>
        <x:v>2.064058773061478</x:v>
      </x:c>
      <x:c r="J2807" s="8" t="n">
        <x:v>0.5</x:v>
      </x:c>
      <x:c r="K2807" s="8" t="n">
        <x:f>H2807-I2807*J2807</x:f>
        <x:v>-0.473315909218879</x:v>
      </x:c>
      <x:c r="L2807" s="8" t="n">
        <x:f>'PG facts'!E141</x:f>
        <x:v>-1</x:v>
      </x:c>
      <x:c r="M2807" s="8" t="n">
        <x:f>K2807-L2807</x:f>
        <x:v>0.526684090781121</x:v>
      </x:c>
      <x:c r="N2807" s="8" t="n">
        <x:f>M2807^2</x:f>
        <x:v>0.2773961314819361</x:v>
      </x:c>
      <x:c r="O2807" s="8" t="n">
        <x:f>ABS(M2807)</x:f>
        <x:v>0.526684090781121</x:v>
      </x:c>
      <x:c r="P2807" s="7" t="n">
        <x:v>46045</x:v>
      </x:c>
    </x:row>
    <x:row r="2808" ht="26" customHeight="1">
      <x:c r="A2808" s="2"/>
      <x:c r="B2808" s="2" t="n">
        <x:v>2803</x:v>
      </x:c>
      <x:c r="C2808" s="2" t="str">
        <x:v>Health Care / organic_volume_growth</x:v>
      </x:c>
      <x:c r="D2808" s="7" t="n">
        <x:v>46112</x:v>
      </x:c>
      <x:c r="E2808" s="2" t="str">
        <x:v>Origin</x:v>
      </x:c>
      <x:c r="F2808" s="7" t="n">
        <x:v>46023</x:v>
      </x:c>
      <x:c r="G2808" s="2" t="str">
        <x:v>Bias correction</x:v>
      </x:c>
      <x:c r="H2808" s="8" t="n">
        <x:f>K1648</x:f>
        <x:v>0.6381833978464366</x:v>
      </x:c>
      <x:c r="I2808" s="8" t="n">
        <x:f>AVERAGE(M1568,M1584,M1600,M1616)</x:f>
        <x:v>1.9675790748221007</x:v>
      </x:c>
      <x:c r="J2808" s="8" t="n">
        <x:v>1</x:v>
      </x:c>
      <x:c r="K2808" s="8" t="n">
        <x:f>H2808-I2808*J2808</x:f>
        <x:v>-1.329395676975664</x:v>
      </x:c>
      <x:c r="L2808" s="8" t="n">
        <x:f>'PG facts'!E148</x:f>
        <x:v>-2</x:v>
      </x:c>
      <x:c r="M2808" s="8" t="n">
        <x:f>K2808-L2808</x:f>
        <x:v>0.6706043230243359</x:v>
      </x:c>
      <x:c r="N2808" s="8" t="n">
        <x:f>M2808^2</x:f>
        <x:v>0.4497101580589279</x:v>
      </x:c>
      <x:c r="O2808" s="8" t="n">
        <x:f>ABS(M2808)</x:f>
        <x:v>0.6706043230243359</x:v>
      </x:c>
      <x:c r="P2808" s="7" t="n">
        <x:v>46136</x:v>
      </x:c>
    </x:row>
    <x:row r="2809" ht="26" customHeight="1">
      <x:c r="A2809" s="2"/>
      <x:c r="B2809" s="2" t="n">
        <x:v>2804</x:v>
      </x:c>
      <x:c r="C2809" s="2" t="str">
        <x:v>Health Care / organic_volume_growth</x:v>
      </x:c>
      <x:c r="D2809" s="7" t="n">
        <x:v>46112</x:v>
      </x:c>
      <x:c r="E2809" s="2" t="str">
        <x:v>Origin</x:v>
      </x:c>
      <x:c r="F2809" s="7" t="n">
        <x:v>46023</x:v>
      </x:c>
      <x:c r="G2809" s="2" t="str">
        <x:v>Half correction</x:v>
      </x:c>
      <x:c r="H2809" s="8" t="n">
        <x:f>K1648</x:f>
        <x:v>0.6381833978464366</x:v>
      </x:c>
      <x:c r="I2809" s="8" t="n">
        <x:f>AVERAGE(M1568,M1584,M1600,M1616)</x:f>
        <x:v>1.9675790748221007</x:v>
      </x:c>
      <x:c r="J2809" s="8" t="n">
        <x:v>0.5</x:v>
      </x:c>
      <x:c r="K2809" s="8" t="n">
        <x:f>H2809-I2809*J2809</x:f>
        <x:v>-0.3456061395646137</x:v>
      </x:c>
      <x:c r="L2809" s="8" t="n">
        <x:f>'PG facts'!E148</x:f>
        <x:v>-2</x:v>
      </x:c>
      <x:c r="M2809" s="8" t="n">
        <x:f>K2809-L2809</x:f>
        <x:v>1.6543938604353863</x:v>
      </x:c>
      <x:c r="N2809" s="8" t="n">
        <x:f>M2809^2</x:f>
        <x:v>2.7370190454463</x:v>
      </x:c>
      <x:c r="O2809" s="8" t="n">
        <x:f>ABS(M2809)</x:f>
        <x:v>1.6543938604353863</x:v>
      </x:c>
      <x:c r="P2809" s="7" t="n">
        <x:v>46136</x:v>
      </x:c>
    </x:row>
    <x:row r="2810" ht="26" customHeight="1">
      <x:c r="A2810" s="2"/>
      <x:c r="B2810" s="2" t="n">
        <x:v>2805</x:v>
      </x:c>
      <x:c r="C2810" s="2" t="str">
        <x:v>Health Care / organic_volume_growth</x:v>
      </x:c>
      <x:c r="D2810" s="7" t="n">
        <x:v>46112</x:v>
      </x:c>
      <x:c r="E2810" s="2" t="str">
        <x:v>Prior report</x:v>
      </x:c>
      <x:c r="F2810" s="7" t="n">
        <x:v>46045</x:v>
      </x:c>
      <x:c r="G2810" s="2" t="str">
        <x:v>Bias correction</x:v>
      </x:c>
      <x:c r="H2810" s="8" t="n">
        <x:f>K1653</x:f>
        <x:v>0.40361047575312115</x:v>
      </x:c>
      <x:c r="I2810" s="8" t="n">
        <x:f>AVERAGE(M1589,M1605,M1621,M1637)</x:f>
        <x:v>2.3080246195430587</x:v>
      </x:c>
      <x:c r="J2810" s="8" t="n">
        <x:v>1</x:v>
      </x:c>
      <x:c r="K2810" s="8" t="n">
        <x:f>H2810-I2810*J2810</x:f>
        <x:v>-1.9044141437899376</x:v>
      </x:c>
      <x:c r="L2810" s="8" t="n">
        <x:f>'PG facts'!E148</x:f>
        <x:v>-2</x:v>
      </x:c>
      <x:c r="M2810" s="8" t="n">
        <x:f>K2810-L2810</x:f>
        <x:v>0.09558585621006244</x:v>
      </x:c>
      <x:c r="N2810" s="8" t="n">
        <x:f>M2810^2</x:f>
        <x:v>0.009136655907410732</x:v>
      </x:c>
      <x:c r="O2810" s="8" t="n">
        <x:f>ABS(M2810)</x:f>
        <x:v>0.09558585621006244</x:v>
      </x:c>
      <x:c r="P2810" s="7" t="n">
        <x:v>46136</x:v>
      </x:c>
    </x:row>
    <x:row r="2811" ht="26" customHeight="1">
      <x:c r="A2811" s="2"/>
      <x:c r="B2811" s="2" t="n">
        <x:v>2806</x:v>
      </x:c>
      <x:c r="C2811" s="2" t="str">
        <x:v>Health Care / organic_volume_growth</x:v>
      </x:c>
      <x:c r="D2811" s="7" t="n">
        <x:v>46112</x:v>
      </x:c>
      <x:c r="E2811" s="2" t="str">
        <x:v>Prior report</x:v>
      </x:c>
      <x:c r="F2811" s="7" t="n">
        <x:v>46045</x:v>
      </x:c>
      <x:c r="G2811" s="2" t="str">
        <x:v>Half correction</x:v>
      </x:c>
      <x:c r="H2811" s="8" t="n">
        <x:f>K1653</x:f>
        <x:v>0.40361047575312115</x:v>
      </x:c>
      <x:c r="I2811" s="8" t="n">
        <x:f>AVERAGE(M1589,M1605,M1621,M1637)</x:f>
        <x:v>2.3080246195430587</x:v>
      </x:c>
      <x:c r="J2811" s="8" t="n">
        <x:v>0.5</x:v>
      </x:c>
      <x:c r="K2811" s="8" t="n">
        <x:f>H2811-I2811*J2811</x:f>
        <x:v>-0.7504018340184082</x:v>
      </x:c>
      <x:c r="L2811" s="8" t="n">
        <x:f>'PG facts'!E148</x:f>
        <x:v>-2</x:v>
      </x:c>
      <x:c r="M2811" s="8" t="n">
        <x:f>K2811-L2811</x:f>
        <x:v>1.2495981659815918</x:v>
      </x:c>
      <x:c r="N2811" s="8" t="n">
        <x:f>M2811^2</x:f>
        <x:v>1.5614955764245577</x:v>
      </x:c>
      <x:c r="O2811" s="8" t="n">
        <x:f>ABS(M2811)</x:f>
        <x:v>1.2495981659815918</x:v>
      </x:c>
      <x:c r="P2811" s="7" t="n">
        <x:v>46136</x:v>
      </x:c>
    </x:row>
    <x:row r="2812" ht="26" customHeight="1">
      <x:c r="A2812" s="2"/>
      <x:c r="B2812" s="2" t="n">
        <x:v>2807</x:v>
      </x:c>
      <x:c r="C2812" s="2" t="str">
        <x:v>Health Care / organic_volume_growth</x:v>
      </x:c>
      <x:c r="D2812" s="7" t="n">
        <x:v>46112</x:v>
      </x:c>
      <x:c r="E2812" s="2" t="str">
        <x:v>Pre-earnings</x:v>
      </x:c>
      <x:c r="F2812" s="7" t="n">
        <x:v>46135</x:v>
      </x:c>
      <x:c r="G2812" s="2" t="str">
        <x:v>Bias correction</x:v>
      </x:c>
      <x:c r="H2812" s="8" t="n">
        <x:f>K1658</x:f>
        <x:v>-0.8316897672784656</x:v>
      </x:c>
      <x:c r="I2812" s="8" t="n">
        <x:f>AVERAGE(M1594,M1610,M1626,M1642)</x:f>
        <x:v>2.317041677930049</x:v>
      </x:c>
      <x:c r="J2812" s="8" t="n">
        <x:v>1</x:v>
      </x:c>
      <x:c r="K2812" s="8" t="n">
        <x:f>H2812-I2812*J2812</x:f>
        <x:v>-3.1487314452085147</x:v>
      </x:c>
      <x:c r="L2812" s="8" t="n">
        <x:f>'PG facts'!E148</x:f>
        <x:v>-2</x:v>
      </x:c>
      <x:c r="M2812" s="8" t="n">
        <x:f>K2812-L2812</x:f>
        <x:v>-1.1487314452085147</x:v>
      </x:c>
      <x:c r="N2812" s="8" t="n">
        <x:f>M2812^2</x:f>
        <x:v>1.3195839332108428</x:v>
      </x:c>
      <x:c r="O2812" s="8" t="n">
        <x:f>ABS(M2812)</x:f>
        <x:v>1.1487314452085147</x:v>
      </x:c>
      <x:c r="P2812" s="7" t="n">
        <x:v>46136</x:v>
      </x:c>
    </x:row>
    <x:row r="2813" ht="26" customHeight="1">
      <x:c r="A2813" s="2"/>
      <x:c r="B2813" s="2" t="n">
        <x:v>2808</x:v>
      </x:c>
      <x:c r="C2813" s="2" t="str">
        <x:v>Health Care / organic_volume_growth</x:v>
      </x:c>
      <x:c r="D2813" s="7" t="n">
        <x:v>46112</x:v>
      </x:c>
      <x:c r="E2813" s="2" t="str">
        <x:v>Pre-earnings</x:v>
      </x:c>
      <x:c r="F2813" s="7" t="n">
        <x:v>46135</x:v>
      </x:c>
      <x:c r="G2813" s="2" t="str">
        <x:v>Half correction</x:v>
      </x:c>
      <x:c r="H2813" s="8" t="n">
        <x:f>K1658</x:f>
        <x:v>-0.8316897672784656</x:v>
      </x:c>
      <x:c r="I2813" s="8" t="n">
        <x:f>AVERAGE(M1594,M1610,M1626,M1642)</x:f>
        <x:v>2.317041677930049</x:v>
      </x:c>
      <x:c r="J2813" s="8" t="n">
        <x:v>0.5</x:v>
      </x:c>
      <x:c r="K2813" s="8" t="n">
        <x:f>H2813-I2813*J2813</x:f>
        <x:v>-1.99021060624349</x:v>
      </x:c>
      <x:c r="L2813" s="8" t="n">
        <x:f>'PG facts'!E148</x:f>
        <x:v>-2</x:v>
      </x:c>
      <x:c r="M2813" s="8" t="n">
        <x:f>K2813-L2813</x:f>
        <x:v>0.00978939375650989</x:v>
      </x:c>
      <x:c r="N2813" s="8" t="n">
        <x:f>M2813^2</x:f>
        <x:v>0.00009583223011999481</x:v>
      </x:c>
      <x:c r="O2813" s="8" t="n">
        <x:f>ABS(M2813)</x:f>
        <x:v>0.00978939375650989</x:v>
      </x:c>
      <x:c r="P2813" s="7" t="n">
        <x:v>46136</x:v>
      </x:c>
    </x:row>
    <x:row r="2814" ht="26" customHeight="1">
      <x:c r="A2814" s="2"/>
      <x:c r="B2814" s="2" t="n">
        <x:v>2809</x:v>
      </x:c>
      <x:c r="C2814" s="2" t="str">
        <x:v>Fabric &amp; Home Care / organic_volume_growth</x:v>
      </x:c>
      <x:c r="D2814" s="7" t="n">
        <x:v>45473</x:v>
      </x:c>
      <x:c r="E2814" s="2" t="str">
        <x:v>Prior report</x:v>
      </x:c>
      <x:c r="F2814" s="7" t="n">
        <x:v>45401</x:v>
      </x:c>
      <x:c r="G2814" s="2" t="str">
        <x:v>Bias correction</x:v>
      </x:c>
      <x:c r="H2814" s="8" t="n">
        <x:f>K1732</x:f>
        <x:v>-0.9613697468315513</x:v>
      </x:c>
      <x:c r="I2814" s="8" t="n">
        <x:f>AVERAGE(M1668,M1683,M1700,M1716)</x:f>
        <x:v>-1.4592930957509653</x:v>
      </x:c>
      <x:c r="J2814" s="8" t="n">
        <x:v>1</x:v>
      </x:c>
      <x:c r="K2814" s="8" t="n">
        <x:f>H2814-I2814*J2814</x:f>
        <x:v>0.49792334891941403</x:v>
      </x:c>
      <x:c r="L2814" s="8" t="n">
        <x:f>'PG facts'!E100</x:f>
        <x:v>3</x:v>
      </x:c>
      <x:c r="M2814" s="8" t="n">
        <x:f>K2814-L2814</x:f>
        <x:v>-2.502076651080586</x:v>
      </x:c>
      <x:c r="N2814" s="8" t="n">
        <x:f>M2814^2</x:f>
        <x:v>6.260387567882641</x:v>
      </x:c>
      <x:c r="O2814" s="8" t="n">
        <x:f>ABS(M2814)</x:f>
        <x:v>2.502076651080586</x:v>
      </x:c>
      <x:c r="P2814" s="7" t="n">
        <x:v>45503</x:v>
      </x:c>
    </x:row>
    <x:row r="2815" ht="26" customHeight="1">
      <x:c r="A2815" s="2"/>
      <x:c r="B2815" s="2" t="n">
        <x:v>2810</x:v>
      </x:c>
      <x:c r="C2815" s="2" t="str">
        <x:v>Fabric &amp; Home Care / organic_volume_growth</x:v>
      </x:c>
      <x:c r="D2815" s="7" t="n">
        <x:v>45473</x:v>
      </x:c>
      <x:c r="E2815" s="2" t="str">
        <x:v>Prior report</x:v>
      </x:c>
      <x:c r="F2815" s="7" t="n">
        <x:v>45401</x:v>
      </x:c>
      <x:c r="G2815" s="2" t="str">
        <x:v>Half correction</x:v>
      </x:c>
      <x:c r="H2815" s="8" t="n">
        <x:f>K1732</x:f>
        <x:v>-0.9613697468315513</x:v>
      </x:c>
      <x:c r="I2815" s="8" t="n">
        <x:f>AVERAGE(M1668,M1683,M1700,M1716)</x:f>
        <x:v>-1.4592930957509653</x:v>
      </x:c>
      <x:c r="J2815" s="8" t="n">
        <x:v>0.5</x:v>
      </x:c>
      <x:c r="K2815" s="8" t="n">
        <x:f>H2815-I2815*J2815</x:f>
        <x:v>-0.23172319895606863</x:v>
      </x:c>
      <x:c r="L2815" s="8" t="n">
        <x:f>'PG facts'!E100</x:f>
        <x:v>3</x:v>
      </x:c>
      <x:c r="M2815" s="8" t="n">
        <x:f>K2815-L2815</x:f>
        <x:v>-3.2317231989560686</x:v>
      </x:c>
      <x:c r="N2815" s="8" t="n">
        <x:f>M2815^2</x:f>
        <x:v>10.444034834670845</x:v>
      </x:c>
      <x:c r="O2815" s="8" t="n">
        <x:f>ABS(M2815)</x:f>
        <x:v>3.2317231989560686</x:v>
      </x:c>
      <x:c r="P2815" s="7" t="n">
        <x:v>45503</x:v>
      </x:c>
    </x:row>
    <x:row r="2816" ht="26" customHeight="1">
      <x:c r="A2816" s="2"/>
      <x:c r="B2816" s="2" t="n">
        <x:v>2811</x:v>
      </x:c>
      <x:c r="C2816" s="2" t="str">
        <x:v>Fabric &amp; Home Care / organic_volume_growth</x:v>
      </x:c>
      <x:c r="D2816" s="7" t="n">
        <x:v>45473</x:v>
      </x:c>
      <x:c r="E2816" s="2" t="str">
        <x:v>Pre-earnings</x:v>
      </x:c>
      <x:c r="F2816" s="7" t="n">
        <x:v>45502</x:v>
      </x:c>
      <x:c r="G2816" s="2" t="str">
        <x:v>Bias correction</x:v>
      </x:c>
      <x:c r="H2816" s="8" t="n">
        <x:f>K1737</x:f>
        <x:v>-0.7443140582282405</x:v>
      </x:c>
      <x:c r="I2816" s="8" t="n">
        <x:f>AVERAGE(M1673,M1689,M1705,M1721)</x:f>
        <x:v>-1.3772271466215964</x:v>
      </x:c>
      <x:c r="J2816" s="8" t="n">
        <x:v>1</x:v>
      </x:c>
      <x:c r="K2816" s="8" t="n">
        <x:f>H2816-I2816*J2816</x:f>
        <x:v>0.6329130883933559</x:v>
      </x:c>
      <x:c r="L2816" s="8" t="n">
        <x:f>'PG facts'!E100</x:f>
        <x:v>3</x:v>
      </x:c>
      <x:c r="M2816" s="8" t="n">
        <x:f>K2816-L2816</x:f>
        <x:v>-2.367086911606644</x:v>
      </x:c>
      <x:c r="N2816" s="8" t="n">
        <x:f>M2816^2</x:f>
        <x:v>5.60310044709948</x:v>
      </x:c>
      <x:c r="O2816" s="8" t="n">
        <x:f>ABS(M2816)</x:f>
        <x:v>2.367086911606644</x:v>
      </x:c>
      <x:c r="P2816" s="7" t="n">
        <x:v>45503</x:v>
      </x:c>
    </x:row>
    <x:row r="2817" ht="26" customHeight="1">
      <x:c r="A2817" s="2"/>
      <x:c r="B2817" s="2" t="n">
        <x:v>2812</x:v>
      </x:c>
      <x:c r="C2817" s="2" t="str">
        <x:v>Fabric &amp; Home Care / organic_volume_growth</x:v>
      </x:c>
      <x:c r="D2817" s="7" t="n">
        <x:v>45473</x:v>
      </x:c>
      <x:c r="E2817" s="2" t="str">
        <x:v>Pre-earnings</x:v>
      </x:c>
      <x:c r="F2817" s="7" t="n">
        <x:v>45502</x:v>
      </x:c>
      <x:c r="G2817" s="2" t="str">
        <x:v>Half correction</x:v>
      </x:c>
      <x:c r="H2817" s="8" t="n">
        <x:f>K1737</x:f>
        <x:v>-0.7443140582282405</x:v>
      </x:c>
      <x:c r="I2817" s="8" t="n">
        <x:f>AVERAGE(M1673,M1689,M1705,M1721)</x:f>
        <x:v>-1.3772271466215964</x:v>
      </x:c>
      <x:c r="J2817" s="8" t="n">
        <x:v>0.5</x:v>
      </x:c>
      <x:c r="K2817" s="8" t="n">
        <x:f>H2817-I2817*J2817</x:f>
        <x:v>-0.05570048491744228</x:v>
      </x:c>
      <x:c r="L2817" s="8" t="n">
        <x:f>'PG facts'!E100</x:f>
        <x:v>3</x:v>
      </x:c>
      <x:c r="M2817" s="8" t="n">
        <x:f>K2817-L2817</x:f>
        <x:v>-3.055700484917442</x:v>
      </x:c>
      <x:c r="N2817" s="8" t="n">
        <x:f>M2817^2</x:f>
        <x:v>9.33730545352469</x:v>
      </x:c>
      <x:c r="O2817" s="8" t="n">
        <x:f>ABS(M2817)</x:f>
        <x:v>3.055700484917442</x:v>
      </x:c>
      <x:c r="P2817" s="7" t="n">
        <x:v>45503</x:v>
      </x:c>
    </x:row>
    <x:row r="2818" ht="26" customHeight="1">
      <x:c r="A2818" s="2"/>
      <x:c r="B2818" s="2" t="n">
        <x:v>2813</x:v>
      </x:c>
      <x:c r="C2818" s="2" t="str">
        <x:v>Fabric &amp; Home Care / organic_volume_growth</x:v>
      </x:c>
      <x:c r="D2818" s="7" t="n">
        <x:v>45565</x:v>
      </x:c>
      <x:c r="E2818" s="2" t="str">
        <x:v>Origin</x:v>
      </x:c>
      <x:c r="F2818" s="7" t="n">
        <x:v>45474</x:v>
      </x:c>
      <x:c r="G2818" s="2" t="str">
        <x:v>Bias correction</x:v>
      </x:c>
      <x:c r="H2818" s="8" t="n">
        <x:f>K1743</x:f>
        <x:v>-0.7095748379438607</x:v>
      </x:c>
      <x:c r="I2818" s="8" t="n">
        <x:f>AVERAGE(M1664,M1679,M1695,M1711)</x:f>
        <x:v>-1.4839590938015024</x:v>
      </x:c>
      <x:c r="J2818" s="8" t="n">
        <x:v>1</x:v>
      </x:c>
      <x:c r="K2818" s="8" t="n">
        <x:f>H2818-I2818*J2818</x:f>
        <x:v>0.7743842558576417</x:v>
      </x:c>
      <x:c r="L2818" s="8" t="n">
        <x:f>'PG facts'!E107</x:f>
        <x:v>1</x:v>
      </x:c>
      <x:c r="M2818" s="8" t="n">
        <x:f>K2818-L2818</x:f>
        <x:v>-0.2256157441423583</x:v>
      </x:c>
      <x:c r="N2818" s="8" t="n">
        <x:f>M2818^2</x:f>
        <x:v>0.05090246400491008</x:v>
      </x:c>
      <x:c r="O2818" s="8" t="n">
        <x:f>ABS(M2818)</x:f>
        <x:v>0.2256157441423583</x:v>
      </x:c>
      <x:c r="P2818" s="7" t="n">
        <x:v>45583</x:v>
      </x:c>
    </x:row>
    <x:row r="2819" ht="26" customHeight="1">
      <x:c r="A2819" s="2"/>
      <x:c r="B2819" s="2" t="n">
        <x:v>2814</x:v>
      </x:c>
      <x:c r="C2819" s="2" t="str">
        <x:v>Fabric &amp; Home Care / organic_volume_growth</x:v>
      </x:c>
      <x:c r="D2819" s="7" t="n">
        <x:v>45565</x:v>
      </x:c>
      <x:c r="E2819" s="2" t="str">
        <x:v>Origin</x:v>
      </x:c>
      <x:c r="F2819" s="7" t="n">
        <x:v>45474</x:v>
      </x:c>
      <x:c r="G2819" s="2" t="str">
        <x:v>Half correction</x:v>
      </x:c>
      <x:c r="H2819" s="8" t="n">
        <x:f>K1743</x:f>
        <x:v>-0.7095748379438607</x:v>
      </x:c>
      <x:c r="I2819" s="8" t="n">
        <x:f>AVERAGE(M1664,M1679,M1695,M1711)</x:f>
        <x:v>-1.4839590938015024</x:v>
      </x:c>
      <x:c r="J2819" s="8" t="n">
        <x:v>0.5</x:v>
      </x:c>
      <x:c r="K2819" s="8" t="n">
        <x:f>H2819-I2819*J2819</x:f>
        <x:v>0.032404708956890516</x:v>
      </x:c>
      <x:c r="L2819" s="8" t="n">
        <x:f>'PG facts'!E107</x:f>
        <x:v>1</x:v>
      </x:c>
      <x:c r="M2819" s="8" t="n">
        <x:f>K2819-L2819</x:f>
        <x:v>-0.9675952910431095</x:v>
      </x:c>
      <x:c r="N2819" s="8" t="n">
        <x:f>M2819^2</x:f>
        <x:v>0.9362406472487997</x:v>
      </x:c>
      <x:c r="O2819" s="8" t="n">
        <x:f>ABS(M2819)</x:f>
        <x:v>0.9675952910431095</x:v>
      </x:c>
      <x:c r="P2819" s="7" t="n">
        <x:v>45583</x:v>
      </x:c>
    </x:row>
    <x:row r="2820" ht="26" customHeight="1">
      <x:c r="A2820" s="2"/>
      <x:c r="B2820" s="2" t="n">
        <x:v>2815</x:v>
      </x:c>
      <x:c r="C2820" s="2" t="str">
        <x:v>Fabric &amp; Home Care / organic_volume_growth</x:v>
      </x:c>
      <x:c r="D2820" s="7" t="n">
        <x:v>45565</x:v>
      </x:c>
      <x:c r="E2820" s="2" t="str">
        <x:v>Prior report</x:v>
      </x:c>
      <x:c r="F2820" s="7" t="n">
        <x:v>45503</x:v>
      </x:c>
      <x:c r="G2820" s="2" t="str">
        <x:v>Bias correction</x:v>
      </x:c>
      <x:c r="H2820" s="8" t="n">
        <x:f>K1748</x:f>
        <x:v>-0.4460805046931833</x:v>
      </x:c>
      <x:c r="I2820" s="8" t="n">
        <x:f>AVERAGE(M1683,M1700,M1716,M1732)</x:f>
        <x:v>-2.6279198550106257</x:v>
      </x:c>
      <x:c r="J2820" s="8" t="n">
        <x:v>1</x:v>
      </x:c>
      <x:c r="K2820" s="8" t="n">
        <x:f>H2820-I2820*J2820</x:f>
        <x:v>2.1818393503174427</x:v>
      </x:c>
      <x:c r="L2820" s="8" t="n">
        <x:f>'PG facts'!E107</x:f>
        <x:v>1</x:v>
      </x:c>
      <x:c r="M2820" s="8" t="n">
        <x:f>K2820-L2820</x:f>
        <x:v>1.1818393503174427</x:v>
      </x:c>
      <x:c r="N2820" s="8" t="n">
        <x:f>M2820^2</x:f>
        <x:v>1.396744249958755</x:v>
      </x:c>
      <x:c r="O2820" s="8" t="n">
        <x:f>ABS(M2820)</x:f>
        <x:v>1.1818393503174427</x:v>
      </x:c>
      <x:c r="P2820" s="7" t="n">
        <x:v>45583</x:v>
      </x:c>
    </x:row>
    <x:row r="2821" ht="26" customHeight="1">
      <x:c r="A2821" s="2"/>
      <x:c r="B2821" s="2" t="n">
        <x:v>2816</x:v>
      </x:c>
      <x:c r="C2821" s="2" t="str">
        <x:v>Fabric &amp; Home Care / organic_volume_growth</x:v>
      </x:c>
      <x:c r="D2821" s="7" t="n">
        <x:v>45565</x:v>
      </x:c>
      <x:c r="E2821" s="2" t="str">
        <x:v>Prior report</x:v>
      </x:c>
      <x:c r="F2821" s="7" t="n">
        <x:v>45503</x:v>
      </x:c>
      <x:c r="G2821" s="2" t="str">
        <x:v>Half correction</x:v>
      </x:c>
      <x:c r="H2821" s="8" t="n">
        <x:f>K1748</x:f>
        <x:v>-0.4460805046931833</x:v>
      </x:c>
      <x:c r="I2821" s="8" t="n">
        <x:f>AVERAGE(M1683,M1700,M1716,M1732)</x:f>
        <x:v>-2.6279198550106257</x:v>
      </x:c>
      <x:c r="J2821" s="8" t="n">
        <x:v>0.5</x:v>
      </x:c>
      <x:c r="K2821" s="8" t="n">
        <x:f>H2821-I2821*J2821</x:f>
        <x:v>0.8678794228121296</x:v>
      </x:c>
      <x:c r="L2821" s="8" t="n">
        <x:f>'PG facts'!E107</x:f>
        <x:v>1</x:v>
      </x:c>
      <x:c r="M2821" s="8" t="n">
        <x:f>K2821-L2821</x:f>
        <x:v>-0.1321205771878704</x:v>
      </x:c>
      <x:c r="N2821" s="8" t="n">
        <x:f>M2821^2</x:f>
        <x:v>0.017455846916456023</x:v>
      </x:c>
      <x:c r="O2821" s="8" t="n">
        <x:f>ABS(M2821)</x:f>
        <x:v>0.1321205771878704</x:v>
      </x:c>
      <x:c r="P2821" s="7" t="n">
        <x:v>45583</x:v>
      </x:c>
    </x:row>
    <x:row r="2822" ht="26" customHeight="1">
      <x:c r="A2822" s="2"/>
      <x:c r="B2822" s="2" t="n">
        <x:v>2817</x:v>
      </x:c>
      <x:c r="C2822" s="2" t="str">
        <x:v>Fabric &amp; Home Care / organic_volume_growth</x:v>
      </x:c>
      <x:c r="D2822" s="7" t="n">
        <x:v>45565</x:v>
      </x:c>
      <x:c r="E2822" s="2" t="str">
        <x:v>Pre-earnings</x:v>
      </x:c>
      <x:c r="F2822" s="7" t="n">
        <x:v>45582</x:v>
      </x:c>
      <x:c r="G2822" s="2" t="str">
        <x:v>Bias correction</x:v>
      </x:c>
      <x:c r="H2822" s="8" t="n">
        <x:f>K1754</x:f>
        <x:v>-0.11554772025798465</x:v>
      </x:c>
      <x:c r="I2822" s="8" t="n">
        <x:f>AVERAGE(M1689,M1705,M1721,M1737)</x:f>
        <x:v>-2.4096003898897274</x:v>
      </x:c>
      <x:c r="J2822" s="8" t="n">
        <x:v>1</x:v>
      </x:c>
      <x:c r="K2822" s="8" t="n">
        <x:f>H2822-I2822*J2822</x:f>
        <x:v>2.2940526696317427</x:v>
      </x:c>
      <x:c r="L2822" s="8" t="n">
        <x:f>'PG facts'!E107</x:f>
        <x:v>1</x:v>
      </x:c>
      <x:c r="M2822" s="8" t="n">
        <x:f>K2822-L2822</x:f>
        <x:v>1.2940526696317427</x:v>
      </x:c>
      <x:c r="N2822" s="8" t="n">
        <x:f>M2822^2</x:f>
        <x:v>1.6745723117810403</x:v>
      </x:c>
      <x:c r="O2822" s="8" t="n">
        <x:f>ABS(M2822)</x:f>
        <x:v>1.2940526696317427</x:v>
      </x:c>
      <x:c r="P2822" s="7" t="n">
        <x:v>45583</x:v>
      </x:c>
    </x:row>
    <x:row r="2823" ht="26" customHeight="1">
      <x:c r="A2823" s="2"/>
      <x:c r="B2823" s="2" t="n">
        <x:v>2818</x:v>
      </x:c>
      <x:c r="C2823" s="2" t="str">
        <x:v>Fabric &amp; Home Care / organic_volume_growth</x:v>
      </x:c>
      <x:c r="D2823" s="7" t="n">
        <x:v>45565</x:v>
      </x:c>
      <x:c r="E2823" s="2" t="str">
        <x:v>Pre-earnings</x:v>
      </x:c>
      <x:c r="F2823" s="7" t="n">
        <x:v>45582</x:v>
      </x:c>
      <x:c r="G2823" s="2" t="str">
        <x:v>Half correction</x:v>
      </x:c>
      <x:c r="H2823" s="8" t="n">
        <x:f>K1754</x:f>
        <x:v>-0.11554772025798465</x:v>
      </x:c>
      <x:c r="I2823" s="8" t="n">
        <x:f>AVERAGE(M1689,M1705,M1721,M1737)</x:f>
        <x:v>-2.4096003898897274</x:v>
      </x:c>
      <x:c r="J2823" s="8" t="n">
        <x:v>0.5</x:v>
      </x:c>
      <x:c r="K2823" s="8" t="n">
        <x:f>H2823-I2823*J2823</x:f>
        <x:v>1.089252474686879</x:v>
      </x:c>
      <x:c r="L2823" s="8" t="n">
        <x:f>'PG facts'!E107</x:f>
        <x:v>1</x:v>
      </x:c>
      <x:c r="M2823" s="8" t="n">
        <x:f>K2823-L2823</x:f>
        <x:v>0.08925247468687902</x:v>
      </x:c>
      <x:c r="N2823" s="8" t="n">
        <x:f>M2823^2</x:f>
        <x:v>0.00796600423773198</x:v>
      </x:c>
      <x:c r="O2823" s="8" t="n">
        <x:f>ABS(M2823)</x:f>
        <x:v>0.08925247468687902</x:v>
      </x:c>
      <x:c r="P2823" s="7" t="n">
        <x:v>45583</x:v>
      </x:c>
    </x:row>
    <x:row r="2824" ht="26" customHeight="1">
      <x:c r="A2824" s="2"/>
      <x:c r="B2824" s="2" t="n">
        <x:v>2819</x:v>
      </x:c>
      <x:c r="C2824" s="2" t="str">
        <x:v>Fabric &amp; Home Care / organic_volume_growth</x:v>
      </x:c>
      <x:c r="D2824" s="7" t="n">
        <x:v>45657</x:v>
      </x:c>
      <x:c r="E2824" s="2" t="str">
        <x:v>Origin</x:v>
      </x:c>
      <x:c r="F2824" s="7" t="n">
        <x:v>45566</x:v>
      </x:c>
      <x:c r="G2824" s="2" t="str">
        <x:v>Bias correction</x:v>
      </x:c>
      <x:c r="H2824" s="8" t="n">
        <x:f>K1760</x:f>
        <x:v>-0.11845153631513772</x:v>
      </x:c>
      <x:c r="I2824" s="8" t="n">
        <x:f>AVERAGE(M1679,M1695,M1711,M1727)</x:f>
        <x:v>-2.6525858530611632</x:v>
      </x:c>
      <x:c r="J2824" s="8" t="n">
        <x:v>1</x:v>
      </x:c>
      <x:c r="K2824" s="8" t="n">
        <x:f>H2824-I2824*J2824</x:f>
        <x:v>2.5341343167460257</x:v>
      </x:c>
      <x:c r="L2824" s="8" t="n">
        <x:f>'PG facts'!E114</x:f>
        <x:v>2</x:v>
      </x:c>
      <x:c r="M2824" s="8" t="n">
        <x:f>K2824-L2824</x:f>
        <x:v>0.5341343167460257</x:v>
      </x:c>
      <x:c r="N2824" s="8" t="n">
        <x:f>M2824^2</x:f>
        <x:v>0.28529946832574377</x:v>
      </x:c>
      <x:c r="O2824" s="8" t="n">
        <x:f>ABS(M2824)</x:f>
        <x:v>0.5341343167460257</x:v>
      </x:c>
      <x:c r="P2824" s="7" t="n">
        <x:v>45679</x:v>
      </x:c>
    </x:row>
    <x:row r="2825" ht="26" customHeight="1">
      <x:c r="A2825" s="2"/>
      <x:c r="B2825" s="2" t="n">
        <x:v>2820</x:v>
      </x:c>
      <x:c r="C2825" s="2" t="str">
        <x:v>Fabric &amp; Home Care / organic_volume_growth</x:v>
      </x:c>
      <x:c r="D2825" s="7" t="n">
        <x:v>45657</x:v>
      </x:c>
      <x:c r="E2825" s="2" t="str">
        <x:v>Origin</x:v>
      </x:c>
      <x:c r="F2825" s="7" t="n">
        <x:v>45566</x:v>
      </x:c>
      <x:c r="G2825" s="2" t="str">
        <x:v>Half correction</x:v>
      </x:c>
      <x:c r="H2825" s="8" t="n">
        <x:f>K1760</x:f>
        <x:v>-0.11845153631513772</x:v>
      </x:c>
      <x:c r="I2825" s="8" t="n">
        <x:f>AVERAGE(M1679,M1695,M1711,M1727)</x:f>
        <x:v>-2.6525858530611632</x:v>
      </x:c>
      <x:c r="J2825" s="8" t="n">
        <x:v>0.5</x:v>
      </x:c>
      <x:c r="K2825" s="8" t="n">
        <x:f>H2825-I2825*J2825</x:f>
        <x:v>1.207841390215444</x:v>
      </x:c>
      <x:c r="L2825" s="8" t="n">
        <x:f>'PG facts'!E114</x:f>
        <x:v>2</x:v>
      </x:c>
      <x:c r="M2825" s="8" t="n">
        <x:f>K2825-L2825</x:f>
        <x:v>-0.7921586097845561</x:v>
      </x:c>
      <x:c r="N2825" s="8" t="n">
        <x:f>M2825^2</x:f>
        <x:v>0.6275152630558006</x:v>
      </x:c>
      <x:c r="O2825" s="8" t="n">
        <x:f>ABS(M2825)</x:f>
        <x:v>0.7921586097845561</x:v>
      </x:c>
      <x:c r="P2825" s="7" t="n">
        <x:v>45679</x:v>
      </x:c>
    </x:row>
    <x:row r="2826" ht="26" customHeight="1">
      <x:c r="A2826" s="2"/>
      <x:c r="B2826" s="2" t="n">
        <x:v>2821</x:v>
      </x:c>
      <x:c r="C2826" s="2" t="str">
        <x:v>Fabric &amp; Home Care / organic_volume_growth</x:v>
      </x:c>
      <x:c r="D2826" s="7" t="n">
        <x:v>45657</x:v>
      </x:c>
      <x:c r="E2826" s="2" t="str">
        <x:v>Prior report</x:v>
      </x:c>
      <x:c r="F2826" s="7" t="n">
        <x:v>45583</x:v>
      </x:c>
      <x:c r="G2826" s="2" t="str">
        <x:v>Bias correction</x:v>
      </x:c>
      <x:c r="H2826" s="8" t="n">
        <x:f>K1765</x:f>
        <x:v>-0.11845153631513772</x:v>
      </x:c>
      <x:c r="I2826" s="8" t="n">
        <x:f>AVERAGE(M1700,M1716,M1732,M1748)</x:f>
        <x:v>-2.589142242584215</x:v>
      </x:c>
      <x:c r="J2826" s="8" t="n">
        <x:v>1</x:v>
      </x:c>
      <x:c r="K2826" s="8" t="n">
        <x:f>H2826-I2826*J2826</x:f>
        <x:v>2.4706907062690773</x:v>
      </x:c>
      <x:c r="L2826" s="8" t="n">
        <x:f>'PG facts'!E114</x:f>
        <x:v>2</x:v>
      </x:c>
      <x:c r="M2826" s="8" t="n">
        <x:f>K2826-L2826</x:f>
        <x:v>0.4706907062690773</x:v>
      </x:c>
      <x:c r="N2826" s="8" t="n">
        <x:f>M2826^2</x:f>
        <x:v>0.22154974096808278</x:v>
      </x:c>
      <x:c r="O2826" s="8" t="n">
        <x:f>ABS(M2826)</x:f>
        <x:v>0.4706907062690773</x:v>
      </x:c>
      <x:c r="P2826" s="7" t="n">
        <x:v>45679</x:v>
      </x:c>
    </x:row>
    <x:row r="2827" ht="26" customHeight="1">
      <x:c r="A2827" s="2"/>
      <x:c r="B2827" s="2" t="n">
        <x:v>2822</x:v>
      </x:c>
      <x:c r="C2827" s="2" t="str">
        <x:v>Fabric &amp; Home Care / organic_volume_growth</x:v>
      </x:c>
      <x:c r="D2827" s="7" t="n">
        <x:v>45657</x:v>
      </x:c>
      <x:c r="E2827" s="2" t="str">
        <x:v>Prior report</x:v>
      </x:c>
      <x:c r="F2827" s="7" t="n">
        <x:v>45583</x:v>
      </x:c>
      <x:c r="G2827" s="2" t="str">
        <x:v>Half correction</x:v>
      </x:c>
      <x:c r="H2827" s="8" t="n">
        <x:f>K1765</x:f>
        <x:v>-0.11845153631513772</x:v>
      </x:c>
      <x:c r="I2827" s="8" t="n">
        <x:f>AVERAGE(M1700,M1716,M1732,M1748)</x:f>
        <x:v>-2.589142242584215</x:v>
      </x:c>
      <x:c r="J2827" s="8" t="n">
        <x:v>0.5</x:v>
      </x:c>
      <x:c r="K2827" s="8" t="n">
        <x:f>H2827-I2827*J2827</x:f>
        <x:v>1.17611958497697</x:v>
      </x:c>
      <x:c r="L2827" s="8" t="n">
        <x:f>'PG facts'!E114</x:f>
        <x:v>2</x:v>
      </x:c>
      <x:c r="M2827" s="8" t="n">
        <x:f>K2827-L2827</x:f>
        <x:v>-0.8238804150230301</x:v>
      </x:c>
      <x:c r="N2827" s="8" t="n">
        <x:f>M2827^2</x:f>
        <x:v>0.6787789382585203</x:v>
      </x:c>
      <x:c r="O2827" s="8" t="n">
        <x:f>ABS(M2827)</x:f>
        <x:v>0.8238804150230301</x:v>
      </x:c>
      <x:c r="P2827" s="7" t="n">
        <x:v>45679</x:v>
      </x:c>
    </x:row>
    <x:row r="2828" ht="26" customHeight="1">
      <x:c r="A2828" s="2"/>
      <x:c r="B2828" s="2" t="n">
        <x:v>2823</x:v>
      </x:c>
      <x:c r="C2828" s="2" t="str">
        <x:v>Fabric &amp; Home Care / organic_volume_growth</x:v>
      </x:c>
      <x:c r="D2828" s="7" t="n">
        <x:v>45657</x:v>
      </x:c>
      <x:c r="E2828" s="2" t="str">
        <x:v>Pre-earnings</x:v>
      </x:c>
      <x:c r="F2828" s="7" t="n">
        <x:v>45678</x:v>
      </x:c>
      <x:c r="G2828" s="2" t="str">
        <x:v>Bias correction</x:v>
      </x:c>
      <x:c r="H2828" s="8" t="n">
        <x:f>K1770</x:f>
        <x:v>-0.036500630557793956</x:v>
      </x:c>
      <x:c r="I2828" s="8" t="n">
        <x:f>AVERAGE(M1705,M1721,M1737,M1754)</x:f>
        <x:v>-2.310590985494868</x:v>
      </x:c>
      <x:c r="J2828" s="8" t="n">
        <x:v>1</x:v>
      </x:c>
      <x:c r="K2828" s="8" t="n">
        <x:f>H2828-I2828*J2828</x:f>
        <x:v>2.2740903549370737</x:v>
      </x:c>
      <x:c r="L2828" s="8" t="n">
        <x:f>'PG facts'!E114</x:f>
        <x:v>2</x:v>
      </x:c>
      <x:c r="M2828" s="8" t="n">
        <x:f>K2828-L2828</x:f>
        <x:v>0.2740903549370737</x:v>
      </x:c>
      <x:c r="N2828" s="8" t="n">
        <x:f>M2828^2</x:f>
        <x:v>0.07512552266953103</x:v>
      </x:c>
      <x:c r="O2828" s="8" t="n">
        <x:f>ABS(M2828)</x:f>
        <x:v>0.2740903549370737</x:v>
      </x:c>
      <x:c r="P2828" s="7" t="n">
        <x:v>45679</x:v>
      </x:c>
    </x:row>
    <x:row r="2829" ht="26" customHeight="1">
      <x:c r="A2829" s="2"/>
      <x:c r="B2829" s="2" t="n">
        <x:v>2824</x:v>
      </x:c>
      <x:c r="C2829" s="2" t="str">
        <x:v>Fabric &amp; Home Care / organic_volume_growth</x:v>
      </x:c>
      <x:c r="D2829" s="7" t="n">
        <x:v>45657</x:v>
      </x:c>
      <x:c r="E2829" s="2" t="str">
        <x:v>Pre-earnings</x:v>
      </x:c>
      <x:c r="F2829" s="7" t="n">
        <x:v>45678</x:v>
      </x:c>
      <x:c r="G2829" s="2" t="str">
        <x:v>Half correction</x:v>
      </x:c>
      <x:c r="H2829" s="8" t="n">
        <x:f>K1770</x:f>
        <x:v>-0.036500630557793956</x:v>
      </x:c>
      <x:c r="I2829" s="8" t="n">
        <x:f>AVERAGE(M1705,M1721,M1737,M1754)</x:f>
        <x:v>-2.310590985494868</x:v>
      </x:c>
      <x:c r="J2829" s="8" t="n">
        <x:v>0.5</x:v>
      </x:c>
      <x:c r="K2829" s="8" t="n">
        <x:f>H2829-I2829*J2829</x:f>
        <x:v>1.11879486218964</x:v>
      </x:c>
      <x:c r="L2829" s="8" t="n">
        <x:f>'PG facts'!E114</x:f>
        <x:v>2</x:v>
      </x:c>
      <x:c r="M2829" s="8" t="n">
        <x:f>K2829-L2829</x:f>
        <x:v>-0.88120513781036</x:v>
      </x:c>
      <x:c r="N2829" s="8" t="n">
        <x:f>M2829^2</x:f>
        <x:v>0.7765224949033757</x:v>
      </x:c>
      <x:c r="O2829" s="8" t="n">
        <x:f>ABS(M2829)</x:f>
        <x:v>0.88120513781036</x:v>
      </x:c>
      <x:c r="P2829" s="7" t="n">
        <x:v>45679</x:v>
      </x:c>
    </x:row>
    <x:row r="2830" ht="26" customHeight="1">
      <x:c r="A2830" s="2"/>
      <x:c r="B2830" s="2" t="n">
        <x:v>2825</x:v>
      </x:c>
      <x:c r="C2830" s="2" t="str">
        <x:v>Fabric &amp; Home Care / organic_volume_growth</x:v>
      </x:c>
      <x:c r="D2830" s="7" t="n">
        <x:v>45747</x:v>
      </x:c>
      <x:c r="E2830" s="2" t="str">
        <x:v>Origin</x:v>
      </x:c>
      <x:c r="F2830" s="7" t="n">
        <x:v>45658</x:v>
      </x:c>
      <x:c r="G2830" s="2" t="str">
        <x:v>Bias correction</x:v>
      </x:c>
      <x:c r="H2830" s="8" t="n">
        <x:f>K1776</x:f>
        <x:v>0.017015099515207632</x:v>
      </x:c>
      <x:c r="I2830" s="8" t="n">
        <x:f>AVERAGE(M1695,M1711,M1727,M1743)</x:f>
        <x:v>-2.6550158258968843</x:v>
      </x:c>
      <x:c r="J2830" s="8" t="n">
        <x:v>1</x:v>
      </x:c>
      <x:c r="K2830" s="8" t="n">
        <x:f>H2830-I2830*J2830</x:f>
        <x:v>2.672030925412092</x:v>
      </x:c>
      <x:c r="L2830" s="8" t="n">
        <x:f>'PG facts'!E121</x:f>
        <x:v>0</x:v>
      </x:c>
      <x:c r="M2830" s="8" t="n">
        <x:f>K2830-L2830</x:f>
        <x:v>2.672030925412092</x:v>
      </x:c>
      <x:c r="N2830" s="8" t="n">
        <x:f>M2830^2</x:f>
        <x:v>7.139749266358602</x:v>
      </x:c>
      <x:c r="O2830" s="8" t="n">
        <x:f>ABS(M2830)</x:f>
        <x:v>2.672030925412092</x:v>
      </x:c>
      <x:c r="P2830" s="7" t="n">
        <x:v>45771</x:v>
      </x:c>
    </x:row>
    <x:row r="2831" ht="26" customHeight="1">
      <x:c r="A2831" s="2"/>
      <x:c r="B2831" s="2" t="n">
        <x:v>2826</x:v>
      </x:c>
      <x:c r="C2831" s="2" t="str">
        <x:v>Fabric &amp; Home Care / organic_volume_growth</x:v>
      </x:c>
      <x:c r="D2831" s="7" t="n">
        <x:v>45747</x:v>
      </x:c>
      <x:c r="E2831" s="2" t="str">
        <x:v>Origin</x:v>
      </x:c>
      <x:c r="F2831" s="7" t="n">
        <x:v>45658</x:v>
      </x:c>
      <x:c r="G2831" s="2" t="str">
        <x:v>Half correction</x:v>
      </x:c>
      <x:c r="H2831" s="8" t="n">
        <x:f>K1776</x:f>
        <x:v>0.017015099515207632</x:v>
      </x:c>
      <x:c r="I2831" s="8" t="n">
        <x:f>AVERAGE(M1695,M1711,M1727,M1743)</x:f>
        <x:v>-2.6550158258968843</x:v>
      </x:c>
      <x:c r="J2831" s="8" t="n">
        <x:v>0.5</x:v>
      </x:c>
      <x:c r="K2831" s="8" t="n">
        <x:f>H2831-I2831*J2831</x:f>
        <x:v>1.3445230124636498</x:v>
      </x:c>
      <x:c r="L2831" s="8" t="n">
        <x:f>'PG facts'!E121</x:f>
        <x:v>0</x:v>
      </x:c>
      <x:c r="M2831" s="8" t="n">
        <x:f>K2831-L2831</x:f>
        <x:v>1.3445230124636498</x:v>
      </x:c>
      <x:c r="N2831" s="8" t="n">
        <x:f>M2831^2</x:f>
        <x:v>1.8077421310443278</x:v>
      </x:c>
      <x:c r="O2831" s="8" t="n">
        <x:f>ABS(M2831)</x:f>
        <x:v>1.3445230124636498</x:v>
      </x:c>
      <x:c r="P2831" s="7" t="n">
        <x:v>45771</x:v>
      </x:c>
    </x:row>
    <x:row r="2832" ht="26" customHeight="1">
      <x:c r="A2832" s="2"/>
      <x:c r="B2832" s="2" t="n">
        <x:v>2827</x:v>
      </x:c>
      <x:c r="C2832" s="2" t="str">
        <x:v>Fabric &amp; Home Care / organic_volume_growth</x:v>
      </x:c>
      <x:c r="D2832" s="7" t="n">
        <x:v>45747</x:v>
      </x:c>
      <x:c r="E2832" s="2" t="str">
        <x:v>Prior report</x:v>
      </x:c>
      <x:c r="F2832" s="7" t="n">
        <x:v>45679</x:v>
      </x:c>
      <x:c r="G2832" s="2" t="str">
        <x:v>Bias correction</x:v>
      </x:c>
      <x:c r="H2832" s="8" t="n">
        <x:f>K1781</x:f>
        <x:v>0.017015099515207632</x:v>
      </x:c>
      <x:c r="I2832" s="8" t="n">
        <x:f>AVERAGE(M1716,M1732,M1748,M1765)</x:f>
        <x:v>-2.4577828630102436</x:v>
      </x:c>
      <x:c r="J2832" s="8" t="n">
        <x:v>1</x:v>
      </x:c>
      <x:c r="K2832" s="8" t="n">
        <x:f>H2832-I2832*J2832</x:f>
        <x:v>2.474797962525451</x:v>
      </x:c>
      <x:c r="L2832" s="8" t="n">
        <x:f>'PG facts'!E121</x:f>
        <x:v>0</x:v>
      </x:c>
      <x:c r="M2832" s="8" t="n">
        <x:f>K2832-L2832</x:f>
        <x:v>2.474797962525451</x:v>
      </x:c>
      <x:c r="N2832" s="8" t="n">
        <x:f>M2832^2</x:f>
        <x:v>6.124624955320123</x:v>
      </x:c>
      <x:c r="O2832" s="8" t="n">
        <x:f>ABS(M2832)</x:f>
        <x:v>2.474797962525451</x:v>
      </x:c>
      <x:c r="P2832" s="7" t="n">
        <x:v>45771</x:v>
      </x:c>
    </x:row>
    <x:row r="2833" ht="26" customHeight="1">
      <x:c r="A2833" s="2"/>
      <x:c r="B2833" s="2" t="n">
        <x:v>2828</x:v>
      </x:c>
      <x:c r="C2833" s="2" t="str">
        <x:v>Fabric &amp; Home Care / organic_volume_growth</x:v>
      </x:c>
      <x:c r="D2833" s="7" t="n">
        <x:v>45747</x:v>
      </x:c>
      <x:c r="E2833" s="2" t="str">
        <x:v>Prior report</x:v>
      </x:c>
      <x:c r="F2833" s="7" t="n">
        <x:v>45679</x:v>
      </x:c>
      <x:c r="G2833" s="2" t="str">
        <x:v>Half correction</x:v>
      </x:c>
      <x:c r="H2833" s="8" t="n">
        <x:f>K1781</x:f>
        <x:v>0.017015099515207632</x:v>
      </x:c>
      <x:c r="I2833" s="8" t="n">
        <x:f>AVERAGE(M1716,M1732,M1748,M1765)</x:f>
        <x:v>-2.4577828630102436</x:v>
      </x:c>
      <x:c r="J2833" s="8" t="n">
        <x:v>0.5</x:v>
      </x:c>
      <x:c r="K2833" s="8" t="n">
        <x:f>H2833-I2833*J2833</x:f>
        <x:v>1.2459065310203294</x:v>
      </x:c>
      <x:c r="L2833" s="8" t="n">
        <x:f>'PG facts'!E121</x:f>
        <x:v>0</x:v>
      </x:c>
      <x:c r="M2833" s="8" t="n">
        <x:f>K2833-L2833</x:f>
        <x:v>1.2459065310203294</x:v>
      </x:c>
      <x:c r="N2833" s="8" t="n">
        <x:f>M2833^2</x:f>
        <x:v>1.552283084039111</x:v>
      </x:c>
      <x:c r="O2833" s="8" t="n">
        <x:f>ABS(M2833)</x:f>
        <x:v>1.2459065310203294</x:v>
      </x:c>
      <x:c r="P2833" s="7" t="n">
        <x:v>45771</x:v>
      </x:c>
    </x:row>
    <x:row r="2834" ht="26" customHeight="1">
      <x:c r="A2834" s="2"/>
      <x:c r="B2834" s="2" t="n">
        <x:v>2829</x:v>
      </x:c>
      <x:c r="C2834" s="2" t="str">
        <x:v>Fabric &amp; Home Care / organic_volume_growth</x:v>
      </x:c>
      <x:c r="D2834" s="7" t="n">
        <x:v>45747</x:v>
      </x:c>
      <x:c r="E2834" s="2" t="str">
        <x:v>Pre-earnings</x:v>
      </x:c>
      <x:c r="F2834" s="7" t="n">
        <x:v>45770</x:v>
      </x:c>
      <x:c r="G2834" s="2" t="str">
        <x:v>Bias correction</x:v>
      </x:c>
      <x:c r="H2834" s="8" t="n">
        <x:f>K1786</x:f>
        <x:v>0.26061277543627304</x:v>
      </x:c>
      <x:c r="I2834" s="8" t="n">
        <x:f>AVERAGE(M1721,M1737,M1754,M1770)</x:f>
        <x:v>-2.2581317494824438</x:v>
      </x:c>
      <x:c r="J2834" s="8" t="n">
        <x:v>1</x:v>
      </x:c>
      <x:c r="K2834" s="8" t="n">
        <x:f>H2834-I2834*J2834</x:f>
        <x:v>2.518744524918717</x:v>
      </x:c>
      <x:c r="L2834" s="8" t="n">
        <x:f>'PG facts'!E121</x:f>
        <x:v>0</x:v>
      </x:c>
      <x:c r="M2834" s="8" t="n">
        <x:f>K2834-L2834</x:f>
        <x:v>2.518744524918717</x:v>
      </x:c>
      <x:c r="N2834" s="8" t="n">
        <x:f>M2834^2</x:f>
        <x:v>6.3440739818080125</x:v>
      </x:c>
      <x:c r="O2834" s="8" t="n">
        <x:f>ABS(M2834)</x:f>
        <x:v>2.518744524918717</x:v>
      </x:c>
      <x:c r="P2834" s="7" t="n">
        <x:v>45771</x:v>
      </x:c>
    </x:row>
    <x:row r="2835" ht="26" customHeight="1">
      <x:c r="A2835" s="2"/>
      <x:c r="B2835" s="2" t="n">
        <x:v>2830</x:v>
      </x:c>
      <x:c r="C2835" s="2" t="str">
        <x:v>Fabric &amp; Home Care / organic_volume_growth</x:v>
      </x:c>
      <x:c r="D2835" s="7" t="n">
        <x:v>45747</x:v>
      </x:c>
      <x:c r="E2835" s="2" t="str">
        <x:v>Pre-earnings</x:v>
      </x:c>
      <x:c r="F2835" s="7" t="n">
        <x:v>45770</x:v>
      </x:c>
      <x:c r="G2835" s="2" t="str">
        <x:v>Half correction</x:v>
      </x:c>
      <x:c r="H2835" s="8" t="n">
        <x:f>K1786</x:f>
        <x:v>0.26061277543627304</x:v>
      </x:c>
      <x:c r="I2835" s="8" t="n">
        <x:f>AVERAGE(M1721,M1737,M1754,M1770)</x:f>
        <x:v>-2.2581317494824438</x:v>
      </x:c>
      <x:c r="J2835" s="8" t="n">
        <x:v>0.5</x:v>
      </x:c>
      <x:c r="K2835" s="8" t="n">
        <x:f>H2835-I2835*J2835</x:f>
        <x:v>1.389678650177495</x:v>
      </x:c>
      <x:c r="L2835" s="8" t="n">
        <x:f>'PG facts'!E121</x:f>
        <x:v>0</x:v>
      </x:c>
      <x:c r="M2835" s="8" t="n">
        <x:f>K2835-L2835</x:f>
        <x:v>1.389678650177495</x:v>
      </x:c>
      <x:c r="N2835" s="8" t="n">
        <x:f>M2835^2</x:f>
        <x:v>1.9312067507591444</x:v>
      </x:c>
      <x:c r="O2835" s="8" t="n">
        <x:f>ABS(M2835)</x:f>
        <x:v>1.389678650177495</x:v>
      </x:c>
      <x:c r="P2835" s="7" t="n">
        <x:v>45771</x:v>
      </x:c>
    </x:row>
    <x:row r="2836" ht="26" customHeight="1">
      <x:c r="A2836" s="2"/>
      <x:c r="B2836" s="2" t="n">
        <x:v>2831</x:v>
      </x:c>
      <x:c r="C2836" s="2" t="str">
        <x:v>Fabric &amp; Home Care / organic_volume_growth</x:v>
      </x:c>
      <x:c r="D2836" s="7" t="n">
        <x:v>45838</x:v>
      </x:c>
      <x:c r="E2836" s="2" t="str">
        <x:v>Origin</x:v>
      </x:c>
      <x:c r="F2836" s="7" t="n">
        <x:v>45748</x:v>
      </x:c>
      <x:c r="G2836" s="2" t="str">
        <x:v>Bias correction</x:v>
      </x:c>
      <x:c r="H2836" s="8" t="n">
        <x:f>K1792</x:f>
        <x:v>0.20905538920242517</x:v>
      </x:c>
      <x:c r="I2836" s="8" t="n">
        <x:f>AVERAGE(M1711,M1727,M1743,M1760)</x:f>
        <x:v>-2.5236564463229127</x:v>
      </x:c>
      <x:c r="J2836" s="8" t="n">
        <x:v>1</x:v>
      </x:c>
      <x:c r="K2836" s="8" t="n">
        <x:f>H2836-I2836*J2836</x:f>
        <x:v>2.732711835525338</x:v>
      </x:c>
      <x:c r="L2836" s="8" t="n">
        <x:f>'PG facts'!E128</x:f>
        <x:v>0</x:v>
      </x:c>
      <x:c r="M2836" s="8" t="n">
        <x:f>K2836-L2836</x:f>
        <x:v>2.732711835525338</x:v>
      </x:c>
      <x:c r="N2836" s="8" t="n">
        <x:f>M2836^2</x:f>
        <x:v>7.467713976020262</x:v>
      </x:c>
      <x:c r="O2836" s="8" t="n">
        <x:f>ABS(M2836)</x:f>
        <x:v>2.732711835525338</x:v>
      </x:c>
      <x:c r="P2836" s="7" t="n">
        <x:v>45867</x:v>
      </x:c>
    </x:row>
    <x:row r="2837" ht="26" customHeight="1">
      <x:c r="A2837" s="2"/>
      <x:c r="B2837" s="2" t="n">
        <x:v>2832</x:v>
      </x:c>
      <x:c r="C2837" s="2" t="str">
        <x:v>Fabric &amp; Home Care / organic_volume_growth</x:v>
      </x:c>
      <x:c r="D2837" s="7" t="n">
        <x:v>45838</x:v>
      </x:c>
      <x:c r="E2837" s="2" t="str">
        <x:v>Origin</x:v>
      </x:c>
      <x:c r="F2837" s="7" t="n">
        <x:v>45748</x:v>
      </x:c>
      <x:c r="G2837" s="2" t="str">
        <x:v>Half correction</x:v>
      </x:c>
      <x:c r="H2837" s="8" t="n">
        <x:f>K1792</x:f>
        <x:v>0.20905538920242517</x:v>
      </x:c>
      <x:c r="I2837" s="8" t="n">
        <x:f>AVERAGE(M1711,M1727,M1743,M1760)</x:f>
        <x:v>-2.5236564463229127</x:v>
      </x:c>
      <x:c r="J2837" s="8" t="n">
        <x:v>0.5</x:v>
      </x:c>
      <x:c r="K2837" s="8" t="n">
        <x:f>H2837-I2837*J2837</x:f>
        <x:v>1.4708836123638815</x:v>
      </x:c>
      <x:c r="L2837" s="8" t="n">
        <x:f>'PG facts'!E128</x:f>
        <x:v>0</x:v>
      </x:c>
      <x:c r="M2837" s="8" t="n">
        <x:f>K2837-L2837</x:f>
        <x:v>1.4708836123638815</x:v>
      </x:c>
      <x:c r="N2837" s="8" t="n">
        <x:f>M2837^2</x:f>
        <x:v>2.1634986011206214</x:v>
      </x:c>
      <x:c r="O2837" s="8" t="n">
        <x:f>ABS(M2837)</x:f>
        <x:v>1.4708836123638815</x:v>
      </x:c>
      <x:c r="P2837" s="7" t="n">
        <x:v>45867</x:v>
      </x:c>
    </x:row>
    <x:row r="2838" ht="26" customHeight="1">
      <x:c r="A2838" s="2"/>
      <x:c r="B2838" s="2" t="n">
        <x:v>2833</x:v>
      </x:c>
      <x:c r="C2838" s="2" t="str">
        <x:v>Fabric &amp; Home Care / organic_volume_growth</x:v>
      </x:c>
      <x:c r="D2838" s="7" t="n">
        <x:v>45838</x:v>
      </x:c>
      <x:c r="E2838" s="2" t="str">
        <x:v>Prior report</x:v>
      </x:c>
      <x:c r="F2838" s="7" t="n">
        <x:v>45771</x:v>
      </x:c>
      <x:c r="G2838" s="2" t="str">
        <x:v>Bias correction</x:v>
      </x:c>
      <x:c r="H2838" s="8" t="n">
        <x:f>K1797</x:f>
        <x:v>0.20905538920242517</x:v>
      </x:c>
      <x:c r="I2838" s="8" t="n">
        <x:f>AVERAGE(M1732,M1748,M1765,M1781)</x:f>
        <x:v>-1.877221672081166</x:v>
      </x:c>
      <x:c r="J2838" s="8" t="n">
        <x:v>1</x:v>
      </x:c>
      <x:c r="K2838" s="8" t="n">
        <x:f>H2838-I2838*J2838</x:f>
        <x:v>2.0862770612835915</x:v>
      </x:c>
      <x:c r="L2838" s="8" t="n">
        <x:f>'PG facts'!E128</x:f>
        <x:v>0</x:v>
      </x:c>
      <x:c r="M2838" s="8" t="n">
        <x:f>K2838-L2838</x:f>
        <x:v>2.0862770612835915</x:v>
      </x:c>
      <x:c r="N2838" s="8" t="n">
        <x:f>M2838^2</x:f>
        <x:v>4.352551976438098</x:v>
      </x:c>
      <x:c r="O2838" s="8" t="n">
        <x:f>ABS(M2838)</x:f>
        <x:v>2.0862770612835915</x:v>
      </x:c>
      <x:c r="P2838" s="7" t="n">
        <x:v>45867</x:v>
      </x:c>
    </x:row>
    <x:row r="2839" ht="26" customHeight="1">
      <x:c r="A2839" s="2"/>
      <x:c r="B2839" s="2" t="n">
        <x:v>2834</x:v>
      </x:c>
      <x:c r="C2839" s="2" t="str">
        <x:v>Fabric &amp; Home Care / organic_volume_growth</x:v>
      </x:c>
      <x:c r="D2839" s="7" t="n">
        <x:v>45838</x:v>
      </x:c>
      <x:c r="E2839" s="2" t="str">
        <x:v>Prior report</x:v>
      </x:c>
      <x:c r="F2839" s="7" t="n">
        <x:v>45771</x:v>
      </x:c>
      <x:c r="G2839" s="2" t="str">
        <x:v>Half correction</x:v>
      </x:c>
      <x:c r="H2839" s="8" t="n">
        <x:f>K1797</x:f>
        <x:v>0.20905538920242517</x:v>
      </x:c>
      <x:c r="I2839" s="8" t="n">
        <x:f>AVERAGE(M1732,M1748,M1765,M1781)</x:f>
        <x:v>-1.877221672081166</x:v>
      </x:c>
      <x:c r="J2839" s="8" t="n">
        <x:v>0.5</x:v>
      </x:c>
      <x:c r="K2839" s="8" t="n">
        <x:f>H2839-I2839*J2839</x:f>
        <x:v>1.1476662252430083</x:v>
      </x:c>
      <x:c r="L2839" s="8" t="n">
        <x:f>'PG facts'!E128</x:f>
        <x:v>0</x:v>
      </x:c>
      <x:c r="M2839" s="8" t="n">
        <x:f>K2839-L2839</x:f>
        <x:v>1.1476662252430083</x:v>
      </x:c>
      <x:c r="N2839" s="8" t="n">
        <x:f>M2839^2</x:f>
        <x:v>1.3171377645635356</x:v>
      </x:c>
      <x:c r="O2839" s="8" t="n">
        <x:f>ABS(M2839)</x:f>
        <x:v>1.1476662252430083</x:v>
      </x:c>
      <x:c r="P2839" s="7" t="n">
        <x:v>45867</x:v>
      </x:c>
    </x:row>
    <x:row r="2840" ht="26" customHeight="1">
      <x:c r="A2840" s="2"/>
      <x:c r="B2840" s="2" t="n">
        <x:v>2835</x:v>
      </x:c>
      <x:c r="C2840" s="2" t="str">
        <x:v>Fabric &amp; Home Care / organic_volume_growth</x:v>
      </x:c>
      <x:c r="D2840" s="7" t="n">
        <x:v>45838</x:v>
      </x:c>
      <x:c r="E2840" s="2" t="str">
        <x:v>Pre-earnings</x:v>
      </x:c>
      <x:c r="F2840" s="7" t="n">
        <x:v>45866</x:v>
      </x:c>
      <x:c r="G2840" s="2" t="str">
        <x:v>Bias correction</x:v>
      </x:c>
      <x:c r="H2840" s="8" t="n">
        <x:f>K1802</x:f>
        <x:v>0.4027567159697676</x:v>
      </x:c>
      <x:c r="I2840" s="8" t="n">
        <x:f>AVERAGE(M1737,M1754,M1770,M1786)</x:f>
        <x:v>-1.6589374084019366</x:v>
      </x:c>
      <x:c r="J2840" s="8" t="n">
        <x:v>1</x:v>
      </x:c>
      <x:c r="K2840" s="8" t="n">
        <x:f>H2840-I2840*J2840</x:f>
        <x:v>2.061694124371704</x:v>
      </x:c>
      <x:c r="L2840" s="8" t="n">
        <x:f>'PG facts'!E128</x:f>
        <x:v>0</x:v>
      </x:c>
      <x:c r="M2840" s="8" t="n">
        <x:f>K2840-L2840</x:f>
        <x:v>2.061694124371704</x:v>
      </x:c>
      <x:c r="N2840" s="8" t="n">
        <x:f>M2840^2</x:f>
        <x:v>4.250582662468808</x:v>
      </x:c>
      <x:c r="O2840" s="8" t="n">
        <x:f>ABS(M2840)</x:f>
        <x:v>2.061694124371704</x:v>
      </x:c>
      <x:c r="P2840" s="7" t="n">
        <x:v>45867</x:v>
      </x:c>
    </x:row>
    <x:row r="2841" ht="26" customHeight="1">
      <x:c r="A2841" s="2"/>
      <x:c r="B2841" s="2" t="n">
        <x:v>2836</x:v>
      </x:c>
      <x:c r="C2841" s="2" t="str">
        <x:v>Fabric &amp; Home Care / organic_volume_growth</x:v>
      </x:c>
      <x:c r="D2841" s="7" t="n">
        <x:v>45838</x:v>
      </x:c>
      <x:c r="E2841" s="2" t="str">
        <x:v>Pre-earnings</x:v>
      </x:c>
      <x:c r="F2841" s="7" t="n">
        <x:v>45866</x:v>
      </x:c>
      <x:c r="G2841" s="2" t="str">
        <x:v>Half correction</x:v>
      </x:c>
      <x:c r="H2841" s="8" t="n">
        <x:f>K1802</x:f>
        <x:v>0.4027567159697676</x:v>
      </x:c>
      <x:c r="I2841" s="8" t="n">
        <x:f>AVERAGE(M1737,M1754,M1770,M1786)</x:f>
        <x:v>-1.6589374084019366</x:v>
      </x:c>
      <x:c r="J2841" s="8" t="n">
        <x:v>0.5</x:v>
      </x:c>
      <x:c r="K2841" s="8" t="n">
        <x:f>H2841-I2841*J2841</x:f>
        <x:v>1.2322254201707359</x:v>
      </x:c>
      <x:c r="L2841" s="8" t="n">
        <x:f>'PG facts'!E128</x:f>
        <x:v>0</x:v>
      </x:c>
      <x:c r="M2841" s="8" t="n">
        <x:f>K2841-L2841</x:f>
        <x:v>1.2322254201707359</x:v>
      </x:c>
      <x:c r="N2841" s="8" t="n">
        <x:f>M2841^2</x:f>
        <x:v>1.5183794861149467</x:v>
      </x:c>
      <x:c r="O2841" s="8" t="n">
        <x:f>ABS(M2841)</x:f>
        <x:v>1.2322254201707359</x:v>
      </x:c>
      <x:c r="P2841" s="7" t="n">
        <x:v>45867</x:v>
      </x:c>
    </x:row>
    <x:row r="2842" ht="26" customHeight="1">
      <x:c r="A2842" s="2"/>
      <x:c r="B2842" s="2" t="n">
        <x:v>2837</x:v>
      </x:c>
      <x:c r="C2842" s="2" t="str">
        <x:v>Fabric &amp; Home Care / organic_volume_growth</x:v>
      </x:c>
      <x:c r="D2842" s="7" t="n">
        <x:v>45930</x:v>
      </x:c>
      <x:c r="E2842" s="2" t="str">
        <x:v>Origin</x:v>
      </x:c>
      <x:c r="F2842" s="7" t="n">
        <x:v>45839</x:v>
      </x:c>
      <x:c r="G2842" s="2" t="str">
        <x:v>Bias correction</x:v>
      </x:c>
      <x:c r="H2842" s="8" t="n">
        <x:f>K1808</x:f>
        <x:v>0.38098954713942</x:v>
      </x:c>
      <x:c r="I2842" s="8" t="n">
        <x:f>AVERAGE(M1727,M1743,M1760,M1776)</x:f>
        <x:v>-1.9430952553938354</x:v>
      </x:c>
      <x:c r="J2842" s="8" t="n">
        <x:v>1</x:v>
      </x:c>
      <x:c r="K2842" s="8" t="n">
        <x:f>H2842-I2842*J2842</x:f>
        <x:v>2.3240848025332554</x:v>
      </x:c>
      <x:c r="L2842" s="8" t="n">
        <x:f>'PG facts'!E135</x:f>
        <x:v>-2</x:v>
      </x:c>
      <x:c r="M2842" s="8" t="n">
        <x:f>K2842-L2842</x:f>
        <x:v>4.324084802533255</x:v>
      </x:c>
      <x:c r="N2842" s="8" t="n">
        <x:f>M2842^2</x:f>
        <x:v>18.69770937949906</x:v>
      </x:c>
      <x:c r="O2842" s="8" t="n">
        <x:f>ABS(M2842)</x:f>
        <x:v>4.324084802533255</x:v>
      </x:c>
      <x:c r="P2842" s="7" t="n">
        <x:v>45954</x:v>
      </x:c>
    </x:row>
    <x:row r="2843" ht="26" customHeight="1">
      <x:c r="A2843" s="2"/>
      <x:c r="B2843" s="2" t="n">
        <x:v>2838</x:v>
      </x:c>
      <x:c r="C2843" s="2" t="str">
        <x:v>Fabric &amp; Home Care / organic_volume_growth</x:v>
      </x:c>
      <x:c r="D2843" s="7" t="n">
        <x:v>45930</x:v>
      </x:c>
      <x:c r="E2843" s="2" t="str">
        <x:v>Origin</x:v>
      </x:c>
      <x:c r="F2843" s="7" t="n">
        <x:v>45839</x:v>
      </x:c>
      <x:c r="G2843" s="2" t="str">
        <x:v>Half correction</x:v>
      </x:c>
      <x:c r="H2843" s="8" t="n">
        <x:f>K1808</x:f>
        <x:v>0.38098954713942</x:v>
      </x:c>
      <x:c r="I2843" s="8" t="n">
        <x:f>AVERAGE(M1727,M1743,M1760,M1776)</x:f>
        <x:v>-1.9430952553938354</x:v>
      </x:c>
      <x:c r="J2843" s="8" t="n">
        <x:v>0.5</x:v>
      </x:c>
      <x:c r="K2843" s="8" t="n">
        <x:f>H2843-I2843*J2843</x:f>
        <x:v>1.3525371748363377</x:v>
      </x:c>
      <x:c r="L2843" s="8" t="n">
        <x:f>'PG facts'!E135</x:f>
        <x:v>-2</x:v>
      </x:c>
      <x:c r="M2843" s="8" t="n">
        <x:f>K2843-L2843</x:f>
        <x:v>3.3525371748363377</x:v>
      </x:c>
      <x:c r="N2843" s="8" t="n">
        <x:f>M2843^2</x:f>
        <x:v>11.239505508659613</x:v>
      </x:c>
      <x:c r="O2843" s="8" t="n">
        <x:f>ABS(M2843)</x:f>
        <x:v>3.3525371748363377</x:v>
      </x:c>
      <x:c r="P2843" s="7" t="n">
        <x:v>45954</x:v>
      </x:c>
    </x:row>
    <x:row r="2844" ht="26" customHeight="1">
      <x:c r="A2844" s="2"/>
      <x:c r="B2844" s="2" t="n">
        <x:v>2839</x:v>
      </x:c>
      <x:c r="C2844" s="2" t="str">
        <x:v>Fabric &amp; Home Care / organic_volume_growth</x:v>
      </x:c>
      <x:c r="D2844" s="7" t="n">
        <x:v>45930</x:v>
      </x:c>
      <x:c r="E2844" s="2" t="str">
        <x:v>Prior report</x:v>
      </x:c>
      <x:c r="F2844" s="7" t="n">
        <x:v>45867</x:v>
      </x:c>
      <x:c r="G2844" s="2" t="str">
        <x:v>Bias correction</x:v>
      </x:c>
      <x:c r="H2844" s="8" t="n">
        <x:f>K1813</x:f>
        <x:v>0.38098954713942</x:v>
      </x:c>
      <x:c r="I2844" s="8" t="n">
        <x:f>AVERAGE(M1748,M1765,M1781,M1797)</x:f>
        <x:v>-0.8346153880726721</x:v>
      </x:c>
      <x:c r="J2844" s="8" t="n">
        <x:v>1</x:v>
      </x:c>
      <x:c r="K2844" s="8" t="n">
        <x:f>H2844-I2844*J2844</x:f>
        <x:v>1.2156049352120921</x:v>
      </x:c>
      <x:c r="L2844" s="8" t="n">
        <x:f>'PG facts'!E135</x:f>
        <x:v>-2</x:v>
      </x:c>
      <x:c r="M2844" s="8" t="n">
        <x:f>K2844-L2844</x:f>
        <x:v>3.215604935212092</x:v>
      </x:c>
      <x:c r="N2844" s="8" t="n">
        <x:f>M2844^2</x:f>
        <x:v>10.340115099360363</x:v>
      </x:c>
      <x:c r="O2844" s="8" t="n">
        <x:f>ABS(M2844)</x:f>
        <x:v>3.215604935212092</x:v>
      </x:c>
      <x:c r="P2844" s="7" t="n">
        <x:v>45954</x:v>
      </x:c>
    </x:row>
    <x:row r="2845" ht="26" customHeight="1">
      <x:c r="A2845" s="2"/>
      <x:c r="B2845" s="2" t="n">
        <x:v>2840</x:v>
      </x:c>
      <x:c r="C2845" s="2" t="str">
        <x:v>Fabric &amp; Home Care / organic_volume_growth</x:v>
      </x:c>
      <x:c r="D2845" s="7" t="n">
        <x:v>45930</x:v>
      </x:c>
      <x:c r="E2845" s="2" t="str">
        <x:v>Prior report</x:v>
      </x:c>
      <x:c r="F2845" s="7" t="n">
        <x:v>45867</x:v>
      </x:c>
      <x:c r="G2845" s="2" t="str">
        <x:v>Half correction</x:v>
      </x:c>
      <x:c r="H2845" s="8" t="n">
        <x:f>K1813</x:f>
        <x:v>0.38098954713942</x:v>
      </x:c>
      <x:c r="I2845" s="8" t="n">
        <x:f>AVERAGE(M1748,M1765,M1781,M1797)</x:f>
        <x:v>-0.8346153880726721</x:v>
      </x:c>
      <x:c r="J2845" s="8" t="n">
        <x:v>0.5</x:v>
      </x:c>
      <x:c r="K2845" s="8" t="n">
        <x:f>H2845-I2845*J2845</x:f>
        <x:v>0.7982972411757561</x:v>
      </x:c>
      <x:c r="L2845" s="8" t="n">
        <x:f>'PG facts'!E135</x:f>
        <x:v>-2</x:v>
      </x:c>
      <x:c r="M2845" s="8" t="n">
        <x:f>K2845-L2845</x:f>
        <x:v>2.798297241175756</x:v>
      </x:c>
      <x:c r="N2845" s="8" t="n">
        <x:f>M2845^2</x:f>
        <x:v>7.830467449971848</x:v>
      </x:c>
      <x:c r="O2845" s="8" t="n">
        <x:f>ABS(M2845)</x:f>
        <x:v>2.798297241175756</x:v>
      </x:c>
      <x:c r="P2845" s="7" t="n">
        <x:v>45954</x:v>
      </x:c>
    </x:row>
    <x:row r="2846" ht="26" customHeight="1">
      <x:c r="A2846" s="2"/>
      <x:c r="B2846" s="2" t="n">
        <x:v>2841</x:v>
      </x:c>
      <x:c r="C2846" s="2" t="str">
        <x:v>Fabric &amp; Home Care / organic_volume_growth</x:v>
      </x:c>
      <x:c r="D2846" s="7" t="n">
        <x:v>45930</x:v>
      </x:c>
      <x:c r="E2846" s="2" t="str">
        <x:v>Pre-earnings</x:v>
      </x:c>
      <x:c r="F2846" s="7" t="n">
        <x:v>45953</x:v>
      </x:c>
      <x:c r="G2846" s="2" t="str">
        <x:v>Bias correction</x:v>
      </x:c>
      <x:c r="H2846" s="8" t="n">
        <x:f>K1818</x:f>
        <x:v>0.5390946832161896</x:v>
      </x:c>
      <x:c r="I2846" s="8" t="n">
        <x:f>AVERAGE(M1754,M1770,M1786,M1802)</x:f>
        <x:v>-0.6221697148524344</x:v>
      </x:c>
      <x:c r="J2846" s="8" t="n">
        <x:v>1</x:v>
      </x:c>
      <x:c r="K2846" s="8" t="n">
        <x:f>H2846-I2846*J2846</x:f>
        <x:v>1.161264398068624</x:v>
      </x:c>
      <x:c r="L2846" s="8" t="n">
        <x:f>'PG facts'!E135</x:f>
        <x:v>-2</x:v>
      </x:c>
      <x:c r="M2846" s="8" t="n">
        <x:f>K2846-L2846</x:f>
        <x:v>3.161264398068624</x:v>
      </x:c>
      <x:c r="N2846" s="8" t="n">
        <x:f>M2846^2</x:f>
        <x:v>9.99359259449618</x:v>
      </x:c>
      <x:c r="O2846" s="8" t="n">
        <x:f>ABS(M2846)</x:f>
        <x:v>3.161264398068624</x:v>
      </x:c>
      <x:c r="P2846" s="7" t="n">
        <x:v>45954</x:v>
      </x:c>
    </x:row>
    <x:row r="2847" ht="26" customHeight="1">
      <x:c r="A2847" s="2"/>
      <x:c r="B2847" s="2" t="n">
        <x:v>2842</x:v>
      </x:c>
      <x:c r="C2847" s="2" t="str">
        <x:v>Fabric &amp; Home Care / organic_volume_growth</x:v>
      </x:c>
      <x:c r="D2847" s="7" t="n">
        <x:v>45930</x:v>
      </x:c>
      <x:c r="E2847" s="2" t="str">
        <x:v>Pre-earnings</x:v>
      </x:c>
      <x:c r="F2847" s="7" t="n">
        <x:v>45953</x:v>
      </x:c>
      <x:c r="G2847" s="2" t="str">
        <x:v>Half correction</x:v>
      </x:c>
      <x:c r="H2847" s="8" t="n">
        <x:f>K1818</x:f>
        <x:v>0.5390946832161896</x:v>
      </x:c>
      <x:c r="I2847" s="8" t="n">
        <x:f>AVERAGE(M1754,M1770,M1786,M1802)</x:f>
        <x:v>-0.6221697148524344</x:v>
      </x:c>
      <x:c r="J2847" s="8" t="n">
        <x:v>0.5</x:v>
      </x:c>
      <x:c r="K2847" s="8" t="n">
        <x:f>H2847-I2847*J2847</x:f>
        <x:v>0.8501795406424069</x:v>
      </x:c>
      <x:c r="L2847" s="8" t="n">
        <x:f>'PG facts'!E135</x:f>
        <x:v>-2</x:v>
      </x:c>
      <x:c r="M2847" s="8" t="n">
        <x:f>K2847-L2847</x:f>
        <x:v>2.850179540642407</x:v>
      </x:c>
      <x:c r="N2847" s="8" t="n">
        <x:f>M2847^2</x:f>
        <x:v>8.123523413896562</x:v>
      </x:c>
      <x:c r="O2847" s="8" t="n">
        <x:f>ABS(M2847)</x:f>
        <x:v>2.850179540642407</x:v>
      </x:c>
      <x:c r="P2847" s="7" t="n">
        <x:v>45954</x:v>
      </x:c>
    </x:row>
    <x:row r="2848" ht="26" customHeight="1">
      <x:c r="A2848" s="2"/>
      <x:c r="B2848" s="2" t="n">
        <x:v>2843</x:v>
      </x:c>
      <x:c r="C2848" s="2" t="str">
        <x:v>Fabric &amp; Home Care / organic_volume_growth</x:v>
      </x:c>
      <x:c r="D2848" s="7" t="n">
        <x:v>46022</x:v>
      </x:c>
      <x:c r="E2848" s="2" t="str">
        <x:v>Origin</x:v>
      </x:c>
      <x:c r="F2848" s="7" t="n">
        <x:v>45931</x:v>
      </x:c>
      <x:c r="G2848" s="2" t="str">
        <x:v>Bias correction</x:v>
      </x:c>
      <x:c r="H2848" s="8" t="n">
        <x:f>K1824</x:f>
        <x:v>0.5450227734242521</x:v>
      </x:c>
      <x:c r="I2848" s="8" t="n">
        <x:f>AVERAGE(M1743,M1760,M1776,M1792)</x:f>
        <x:v>-0.9004889713853415</x:v>
      </x:c>
      <x:c r="J2848" s="8" t="n">
        <x:v>1</x:v>
      </x:c>
      <x:c r="K2848" s="8" t="n">
        <x:f>H2848-I2848*J2848</x:f>
        <x:v>1.4455117448095935</x:v>
      </x:c>
      <x:c r="L2848" s="8" t="n">
        <x:f>'PG facts'!E142</x:f>
        <x:v>0</x:v>
      </x:c>
      <x:c r="M2848" s="8" t="n">
        <x:f>K2848-L2848</x:f>
        <x:v>1.4455117448095935</x:v>
      </x:c>
      <x:c r="N2848" s="8" t="n">
        <x:f>M2848^2</x:f>
        <x:v>2.0895042043824756</x:v>
      </x:c>
      <x:c r="O2848" s="8" t="n">
        <x:f>ABS(M2848)</x:f>
        <x:v>1.4455117448095935</x:v>
      </x:c>
      <x:c r="P2848" s="7" t="n">
        <x:v>46045</x:v>
      </x:c>
    </x:row>
    <x:row r="2849" ht="26" customHeight="1">
      <x:c r="A2849" s="2"/>
      <x:c r="B2849" s="2" t="n">
        <x:v>2844</x:v>
      </x:c>
      <x:c r="C2849" s="2" t="str">
        <x:v>Fabric &amp; Home Care / organic_volume_growth</x:v>
      </x:c>
      <x:c r="D2849" s="7" t="n">
        <x:v>46022</x:v>
      </x:c>
      <x:c r="E2849" s="2" t="str">
        <x:v>Origin</x:v>
      </x:c>
      <x:c r="F2849" s="7" t="n">
        <x:v>45931</x:v>
      </x:c>
      <x:c r="G2849" s="2" t="str">
        <x:v>Half correction</x:v>
      </x:c>
      <x:c r="H2849" s="8" t="n">
        <x:f>K1824</x:f>
        <x:v>0.5450227734242521</x:v>
      </x:c>
      <x:c r="I2849" s="8" t="n">
        <x:f>AVERAGE(M1743,M1760,M1776,M1792)</x:f>
        <x:v>-0.9004889713853415</x:v>
      </x:c>
      <x:c r="J2849" s="8" t="n">
        <x:v>0.5</x:v>
      </x:c>
      <x:c r="K2849" s="8" t="n">
        <x:f>H2849-I2849*J2849</x:f>
        <x:v>0.9952672591169228</x:v>
      </x:c>
      <x:c r="L2849" s="8" t="n">
        <x:f>'PG facts'!E142</x:f>
        <x:v>0</x:v>
      </x:c>
      <x:c r="M2849" s="8" t="n">
        <x:f>K2849-L2849</x:f>
        <x:v>0.9952672591169228</x:v>
      </x:c>
      <x:c r="N2849" s="8" t="n">
        <x:f>M2849^2</x:f>
        <x:v>0.990556917070112</x:v>
      </x:c>
      <x:c r="O2849" s="8" t="n">
        <x:f>ABS(M2849)</x:f>
        <x:v>0.9952672591169228</x:v>
      </x:c>
      <x:c r="P2849" s="7" t="n">
        <x:v>46045</x:v>
      </x:c>
    </x:row>
    <x:row r="2850" ht="26" customHeight="1">
      <x:c r="A2850" s="2"/>
      <x:c r="B2850" s="2" t="n">
        <x:v>2845</x:v>
      </x:c>
      <x:c r="C2850" s="2" t="str">
        <x:v>Fabric &amp; Home Care / organic_volume_growth</x:v>
      </x:c>
      <x:c r="D2850" s="7" t="n">
        <x:v>46022</x:v>
      </x:c>
      <x:c r="E2850" s="2" t="str">
        <x:v>Prior report</x:v>
      </x:c>
      <x:c r="F2850" s="7" t="n">
        <x:v>45954</x:v>
      </x:c>
      <x:c r="G2850" s="2" t="str">
        <x:v>Bias correction</x:v>
      </x:c>
      <x:c r="H2850" s="8" t="n">
        <x:f>K1829</x:f>
        <x:v>0.5450227734242521</x:v>
      </x:c>
      <x:c r="I2850" s="8" t="n">
        <x:f>AVERAGE(M1765,M1781,M1797,M1813)</x:f>
        <x:v>0.12215212488547877</x:v>
      </x:c>
      <x:c r="J2850" s="8" t="n">
        <x:v>1</x:v>
      </x:c>
      <x:c r="K2850" s="8" t="n">
        <x:f>H2850-I2850*J2850</x:f>
        <x:v>0.4228706485387733</x:v>
      </x:c>
      <x:c r="L2850" s="8" t="n">
        <x:f>'PG facts'!E142</x:f>
        <x:v>0</x:v>
      </x:c>
      <x:c r="M2850" s="8" t="n">
        <x:f>K2850-L2850</x:f>
        <x:v>0.4228706485387733</x:v>
      </x:c>
      <x:c r="N2850" s="8" t="n">
        <x:f>M2850^2</x:f>
        <x:v>0.17881958539560275</x:v>
      </x:c>
      <x:c r="O2850" s="8" t="n">
        <x:f>ABS(M2850)</x:f>
        <x:v>0.4228706485387733</x:v>
      </x:c>
      <x:c r="P2850" s="7" t="n">
        <x:v>46045</x:v>
      </x:c>
    </x:row>
    <x:row r="2851" ht="26" customHeight="1">
      <x:c r="A2851" s="2"/>
      <x:c r="B2851" s="2" t="n">
        <x:v>2846</x:v>
      </x:c>
      <x:c r="C2851" s="2" t="str">
        <x:v>Fabric &amp; Home Care / organic_volume_growth</x:v>
      </x:c>
      <x:c r="D2851" s="7" t="n">
        <x:v>46022</x:v>
      </x:c>
      <x:c r="E2851" s="2" t="str">
        <x:v>Prior report</x:v>
      </x:c>
      <x:c r="F2851" s="7" t="n">
        <x:v>45954</x:v>
      </x:c>
      <x:c r="G2851" s="2" t="str">
        <x:v>Half correction</x:v>
      </x:c>
      <x:c r="H2851" s="8" t="n">
        <x:f>K1829</x:f>
        <x:v>0.5450227734242521</x:v>
      </x:c>
      <x:c r="I2851" s="8" t="n">
        <x:f>AVERAGE(M1765,M1781,M1797,M1813)</x:f>
        <x:v>0.12215212488547877</x:v>
      </x:c>
      <x:c r="J2851" s="8" t="n">
        <x:v>0.5</x:v>
      </x:c>
      <x:c r="K2851" s="8" t="n">
        <x:f>H2851-I2851*J2851</x:f>
        <x:v>0.4839467109815127</x:v>
      </x:c>
      <x:c r="L2851" s="8" t="n">
        <x:f>'PG facts'!E142</x:f>
        <x:v>0</x:v>
      </x:c>
      <x:c r="M2851" s="8" t="n">
        <x:f>K2851-L2851</x:f>
        <x:v>0.4839467109815127</x:v>
      </x:c>
      <x:c r="N2851" s="8" t="n">
        <x:f>M2851^2</x:f>
        <x:v>0.23420441906982378</x:v>
      </x:c>
      <x:c r="O2851" s="8" t="n">
        <x:f>ABS(M2851)</x:f>
        <x:v>0.4839467109815127</x:v>
      </x:c>
      <x:c r="P2851" s="7" t="n">
        <x:v>46045</x:v>
      </x:c>
    </x:row>
    <x:row r="2852" ht="26" customHeight="1">
      <x:c r="A2852" s="2"/>
      <x:c r="B2852" s="2" t="n">
        <x:v>2847</x:v>
      </x:c>
      <x:c r="C2852" s="2" t="str">
        <x:v>Fabric &amp; Home Care / organic_volume_growth</x:v>
      </x:c>
      <x:c r="D2852" s="7" t="n">
        <x:v>46022</x:v>
      </x:c>
      <x:c r="E2852" s="2" t="str">
        <x:v>Pre-earnings</x:v>
      </x:c>
      <x:c r="F2852" s="7" t="n">
        <x:v>46044</x:v>
      </x:c>
      <x:c r="G2852" s="2" t="str">
        <x:v>Bias correction</x:v>
      </x:c>
      <x:c r="H2852" s="8" t="n">
        <x:f>K1834</x:f>
        <x:v>0.21495978314173536</x:v>
      </x:c>
      <x:c r="I2852" s="8" t="n">
        <x:f>AVERAGE(M1770,M1786,M1802,M1818)</x:f>
        <x:v>0.2914908860161092</x:v>
      </x:c>
      <x:c r="J2852" s="8" t="n">
        <x:v>1</x:v>
      </x:c>
      <x:c r="K2852" s="8" t="n">
        <x:f>H2852-I2852*J2852</x:f>
        <x:v>-0.07653110287437381</x:v>
      </x:c>
      <x:c r="L2852" s="8" t="n">
        <x:f>'PG facts'!E142</x:f>
        <x:v>0</x:v>
      </x:c>
      <x:c r="M2852" s="8" t="n">
        <x:f>K2852-L2852</x:f>
        <x:v>-0.07653110287437381</x:v>
      </x:c>
      <x:c r="N2852" s="8" t="n">
        <x:f>M2852^2</x:f>
        <x:v>0.005857009707167988</x:v>
      </x:c>
      <x:c r="O2852" s="8" t="n">
        <x:f>ABS(M2852)</x:f>
        <x:v>0.07653110287437381</x:v>
      </x:c>
      <x:c r="P2852" s="7" t="n">
        <x:v>46045</x:v>
      </x:c>
    </x:row>
    <x:row r="2853" ht="26" customHeight="1">
      <x:c r="A2853" s="2"/>
      <x:c r="B2853" s="2" t="n">
        <x:v>2848</x:v>
      </x:c>
      <x:c r="C2853" s="2" t="str">
        <x:v>Fabric &amp; Home Care / organic_volume_growth</x:v>
      </x:c>
      <x:c r="D2853" s="7" t="n">
        <x:v>46022</x:v>
      </x:c>
      <x:c r="E2853" s="2" t="str">
        <x:v>Pre-earnings</x:v>
      </x:c>
      <x:c r="F2853" s="7" t="n">
        <x:v>46044</x:v>
      </x:c>
      <x:c r="G2853" s="2" t="str">
        <x:v>Half correction</x:v>
      </x:c>
      <x:c r="H2853" s="8" t="n">
        <x:f>K1834</x:f>
        <x:v>0.21495978314173536</x:v>
      </x:c>
      <x:c r="I2853" s="8" t="n">
        <x:f>AVERAGE(M1770,M1786,M1802,M1818)</x:f>
        <x:v>0.2914908860161092</x:v>
      </x:c>
      <x:c r="J2853" s="8" t="n">
        <x:v>0.5</x:v>
      </x:c>
      <x:c r="K2853" s="8" t="n">
        <x:f>H2853-I2853*J2853</x:f>
        <x:v>0.06921434013368077</x:v>
      </x:c>
      <x:c r="L2853" s="8" t="n">
        <x:f>'PG facts'!E142</x:f>
        <x:v>0</x:v>
      </x:c>
      <x:c r="M2853" s="8" t="n">
        <x:f>K2853-L2853</x:f>
        <x:v>0.06921434013368077</x:v>
      </x:c>
      <x:c r="N2853" s="8" t="n">
        <x:f>M2853^2</x:f>
        <x:v>0.004790624880140853</x:v>
      </x:c>
      <x:c r="O2853" s="8" t="n">
        <x:f>ABS(M2853)</x:f>
        <x:v>0.06921434013368077</x:v>
      </x:c>
      <x:c r="P2853" s="7" t="n">
        <x:v>46045</x:v>
      </x:c>
    </x:row>
    <x:row r="2854" ht="26" customHeight="1">
      <x:c r="A2854" s="2"/>
      <x:c r="B2854" s="2" t="n">
        <x:v>2849</x:v>
      </x:c>
      <x:c r="C2854" s="2" t="str">
        <x:v>Fabric &amp; Home Care / organic_volume_growth</x:v>
      </x:c>
      <x:c r="D2854" s="7" t="n">
        <x:v>46112</x:v>
      </x:c>
      <x:c r="E2854" s="2" t="str">
        <x:v>Origin</x:v>
      </x:c>
      <x:c r="F2854" s="7" t="n">
        <x:v>46023</x:v>
      </x:c>
      <x:c r="G2854" s="2" t="str">
        <x:v>Bias correction</x:v>
      </x:c>
      <x:c r="H2854" s="8" t="n">
        <x:f>K1840</x:f>
        <x:v>0.26752622035137863</x:v>
      </x:c>
      <x:c r="I2854" s="8" t="n">
        <x:f>AVERAGE(M1760,M1776,M1792,M1808)</x:f>
        <x:v>0.12215212488547877</x:v>
      </x:c>
      <x:c r="J2854" s="8" t="n">
        <x:v>1</x:v>
      </x:c>
      <x:c r="K2854" s="8" t="n">
        <x:f>H2854-I2854*J2854</x:f>
        <x:v>0.14537409546589986</x:v>
      </x:c>
      <x:c r="L2854" s="8" t="n">
        <x:f>'PG facts'!E149</x:f>
        <x:v>2</x:v>
      </x:c>
      <x:c r="M2854" s="8" t="n">
        <x:f>K2854-L2854</x:f>
        <x:v>-1.8546259045341</x:v>
      </x:c>
      <x:c r="N2854" s="8" t="n">
        <x:f>M2854^2</x:f>
        <x:v>3.4396372457689286</x:v>
      </x:c>
      <x:c r="O2854" s="8" t="n">
        <x:f>ABS(M2854)</x:f>
        <x:v>1.8546259045341</x:v>
      </x:c>
      <x:c r="P2854" s="7" t="n">
        <x:v>46136</x:v>
      </x:c>
    </x:row>
    <x:row r="2855" ht="26" customHeight="1">
      <x:c r="A2855" s="2"/>
      <x:c r="B2855" s="2" t="n">
        <x:v>2850</x:v>
      </x:c>
      <x:c r="C2855" s="2" t="str">
        <x:v>Fabric &amp; Home Care / organic_volume_growth</x:v>
      </x:c>
      <x:c r="D2855" s="7" t="n">
        <x:v>46112</x:v>
      </x:c>
      <x:c r="E2855" s="2" t="str">
        <x:v>Origin</x:v>
      </x:c>
      <x:c r="F2855" s="7" t="n">
        <x:v>46023</x:v>
      </x:c>
      <x:c r="G2855" s="2" t="str">
        <x:v>Half correction</x:v>
      </x:c>
      <x:c r="H2855" s="8" t="n">
        <x:f>K1840</x:f>
        <x:v>0.26752622035137863</x:v>
      </x:c>
      <x:c r="I2855" s="8" t="n">
        <x:f>AVERAGE(M1760,M1776,M1792,M1808)</x:f>
        <x:v>0.12215212488547877</x:v>
      </x:c>
      <x:c r="J2855" s="8" t="n">
        <x:v>0.5</x:v>
      </x:c>
      <x:c r="K2855" s="8" t="n">
        <x:f>H2855-I2855*J2855</x:f>
        <x:v>0.20645015790863924</x:v>
      </x:c>
      <x:c r="L2855" s="8" t="n">
        <x:f>'PG facts'!E149</x:f>
        <x:v>2</x:v>
      </x:c>
      <x:c r="M2855" s="8" t="n">
        <x:f>K2855-L2855</x:f>
        <x:v>-1.7935498420913607</x:v>
      </x:c>
      <x:c r="N2855" s="8" t="n">
        <x:f>M2855^2</x:f>
        <x:v>3.216821036065945</x:v>
      </x:c>
      <x:c r="O2855" s="8" t="n">
        <x:f>ABS(M2855)</x:f>
        <x:v>1.7935498420913607</x:v>
      </x:c>
      <x:c r="P2855" s="7" t="n">
        <x:v>46136</x:v>
      </x:c>
    </x:row>
    <x:row r="2856" ht="26" customHeight="1">
      <x:c r="A2856" s="2"/>
      <x:c r="B2856" s="2" t="n">
        <x:v>2851</x:v>
      </x:c>
      <x:c r="C2856" s="2" t="str">
        <x:v>Fabric &amp; Home Care / organic_volume_growth</x:v>
      </x:c>
      <x:c r="D2856" s="7" t="n">
        <x:v>46112</x:v>
      </x:c>
      <x:c r="E2856" s="2" t="str">
        <x:v>Prior report</x:v>
      </x:c>
      <x:c r="F2856" s="7" t="n">
        <x:v>46045</x:v>
      </x:c>
      <x:c r="G2856" s="2" t="str">
        <x:v>Bias correction</x:v>
      </x:c>
      <x:c r="H2856" s="8" t="n">
        <x:f>K1845</x:f>
        <x:v>0.11236424959119007</x:v>
      </x:c>
      <x:c r="I2856" s="8" t="n">
        <x:f>AVERAGE(M1781,M1797,M1813,M1829)</x:f>
        <x:v>0.7880207023203263</x:v>
      </x:c>
      <x:c r="J2856" s="8" t="n">
        <x:v>1</x:v>
      </x:c>
      <x:c r="K2856" s="8" t="n">
        <x:f>H2856-I2856*J2856</x:f>
        <x:v>-0.6756564527291362</x:v>
      </x:c>
      <x:c r="L2856" s="8" t="n">
        <x:f>'PG facts'!E149</x:f>
        <x:v>2</x:v>
      </x:c>
      <x:c r="M2856" s="8" t="n">
        <x:f>K2856-L2856</x:f>
        <x:v>-2.675656452729136</x:v>
      </x:c>
      <x:c r="N2856" s="8" t="n">
        <x:f>M2856^2</x:f>
        <x:v>7.159137453031063</x:v>
      </x:c>
      <x:c r="O2856" s="8" t="n">
        <x:f>ABS(M2856)</x:f>
        <x:v>2.675656452729136</x:v>
      </x:c>
      <x:c r="P2856" s="7" t="n">
        <x:v>46136</x:v>
      </x:c>
    </x:row>
    <x:row r="2857" ht="26" customHeight="1">
      <x:c r="A2857" s="2"/>
      <x:c r="B2857" s="2" t="n">
        <x:v>2852</x:v>
      </x:c>
      <x:c r="C2857" s="2" t="str">
        <x:v>Fabric &amp; Home Care / organic_volume_growth</x:v>
      </x:c>
      <x:c r="D2857" s="7" t="n">
        <x:v>46112</x:v>
      </x:c>
      <x:c r="E2857" s="2" t="str">
        <x:v>Prior report</x:v>
      </x:c>
      <x:c r="F2857" s="7" t="n">
        <x:v>46045</x:v>
      </x:c>
      <x:c r="G2857" s="2" t="str">
        <x:v>Half correction</x:v>
      </x:c>
      <x:c r="H2857" s="8" t="n">
        <x:f>K1845</x:f>
        <x:v>0.11236424959119007</x:v>
      </x:c>
      <x:c r="I2857" s="8" t="n">
        <x:f>AVERAGE(M1781,M1797,M1813,M1829)</x:f>
        <x:v>0.7880207023203263</x:v>
      </x:c>
      <x:c r="J2857" s="8" t="n">
        <x:v>0.5</x:v>
      </x:c>
      <x:c r="K2857" s="8" t="n">
        <x:f>H2857-I2857*J2857</x:f>
        <x:v>-0.2816461015689731</x:v>
      </x:c>
      <x:c r="L2857" s="8" t="n">
        <x:f>'PG facts'!E149</x:f>
        <x:v>2</x:v>
      </x:c>
      <x:c r="M2857" s="8" t="n">
        <x:f>K2857-L2857</x:f>
        <x:v>-2.281646101568973</x:v>
      </x:c>
      <x:c r="N2857" s="8" t="n">
        <x:f>M2857^2</x:f>
        <x:v>5.205908932804893</x:v>
      </x:c>
      <x:c r="O2857" s="8" t="n">
        <x:f>ABS(M2857)</x:f>
        <x:v>2.281646101568973</x:v>
      </x:c>
      <x:c r="P2857" s="7" t="n">
        <x:v>46136</x:v>
      </x:c>
    </x:row>
    <x:row r="2858" ht="26" customHeight="1">
      <x:c r="A2858" s="2"/>
      <x:c r="B2858" s="2" t="n">
        <x:v>2853</x:v>
      </x:c>
      <x:c r="C2858" s="2" t="str">
        <x:v>Fabric &amp; Home Care / organic_volume_growth</x:v>
      </x:c>
      <x:c r="D2858" s="7" t="n">
        <x:v>46112</x:v>
      </x:c>
      <x:c r="E2858" s="2" t="str">
        <x:v>Pre-earnings</x:v>
      </x:c>
      <x:c r="F2858" s="7" t="n">
        <x:v>46135</x:v>
      </x:c>
      <x:c r="G2858" s="2" t="str">
        <x:v>Bias correction</x:v>
      </x:c>
      <x:c r="H2858" s="8" t="n">
        <x:f>K1850</x:f>
        <x:v>-0.6593634731123954</x:v>
      </x:c>
      <x:c r="I2858" s="8" t="n">
        <x:f>AVERAGE(M1786,M1802,M1818,M1834)</x:f>
        <x:v>0.8543559894409914</x:v>
      </x:c>
      <x:c r="J2858" s="8" t="n">
        <x:v>1</x:v>
      </x:c>
      <x:c r="K2858" s="8" t="n">
        <x:f>H2858-I2858*J2858</x:f>
        <x:v>-1.5137194625533867</x:v>
      </x:c>
      <x:c r="L2858" s="8" t="n">
        <x:f>'PG facts'!E149</x:f>
        <x:v>2</x:v>
      </x:c>
      <x:c r="M2858" s="8" t="n">
        <x:f>K2858-L2858</x:f>
        <x:v>-3.5137194625533867</x:v>
      </x:c>
      <x:c r="N2858" s="8" t="n">
        <x:f>M2858^2</x:f>
        <x:v>12.346224461526461</x:v>
      </x:c>
      <x:c r="O2858" s="8" t="n">
        <x:f>ABS(M2858)</x:f>
        <x:v>3.5137194625533867</x:v>
      </x:c>
      <x:c r="P2858" s="7" t="n">
        <x:v>46136</x:v>
      </x:c>
    </x:row>
    <x:row r="2859" ht="26" customHeight="1">
      <x:c r="A2859" s="2"/>
      <x:c r="B2859" s="2" t="n">
        <x:v>2854</x:v>
      </x:c>
      <x:c r="C2859" s="2" t="str">
        <x:v>Fabric &amp; Home Care / organic_volume_growth</x:v>
      </x:c>
      <x:c r="D2859" s="7" t="n">
        <x:v>46112</x:v>
      </x:c>
      <x:c r="E2859" s="2" t="str">
        <x:v>Pre-earnings</x:v>
      </x:c>
      <x:c r="F2859" s="7" t="n">
        <x:v>46135</x:v>
      </x:c>
      <x:c r="G2859" s="2" t="str">
        <x:v>Half correction</x:v>
      </x:c>
      <x:c r="H2859" s="8" t="n">
        <x:f>K1850</x:f>
        <x:v>-0.6593634731123954</x:v>
      </x:c>
      <x:c r="I2859" s="8" t="n">
        <x:f>AVERAGE(M1786,M1802,M1818,M1834)</x:f>
        <x:v>0.8543559894409914</x:v>
      </x:c>
      <x:c r="J2859" s="8" t="n">
        <x:v>0.5</x:v>
      </x:c>
      <x:c r="K2859" s="8" t="n">
        <x:f>H2859-I2859*J2859</x:f>
        <x:v>-1.086541467832891</x:v>
      </x:c>
      <x:c r="L2859" s="8" t="n">
        <x:f>'PG facts'!E149</x:f>
        <x:v>2</x:v>
      </x:c>
      <x:c r="M2859" s="8" t="n">
        <x:f>K2859-L2859</x:f>
        <x:v>-3.086541467832891</x:v>
      </x:c>
      <x:c r="N2859" s="8" t="n">
        <x:f>M2859^2</x:f>
        <x:v>9.526738232652018</x:v>
      </x:c>
      <x:c r="O2859" s="8" t="n">
        <x:f>ABS(M2859)</x:f>
        <x:v>3.086541467832891</x:v>
      </x:c>
      <x:c r="P2859" s="7" t="n">
        <x:v>46136</x:v>
      </x:c>
    </x:row>
    <x:row r="2860" ht="26" customHeight="1">
      <x:c r="A2860" s="2"/>
      <x:c r="B2860" s="2" t="n">
        <x:v>2855</x:v>
      </x:c>
      <x:c r="C2860" s="2" t="str">
        <x:v>Baby, Feminine &amp; Family Care / organic_volume_growth</x:v>
      </x:c>
      <x:c r="D2860" s="7" t="n">
        <x:v>45473</x:v>
      </x:c>
      <x:c r="E2860" s="2" t="str">
        <x:v>Prior report</x:v>
      </x:c>
      <x:c r="F2860" s="7" t="n">
        <x:v>45401</x:v>
      </x:c>
      <x:c r="G2860" s="2" t="str">
        <x:v>Bias correction</x:v>
      </x:c>
      <x:c r="H2860" s="8" t="n">
        <x:f>K1924</x:f>
        <x:v>-1.929424714830222</x:v>
      </x:c>
      <x:c r="I2860" s="8" t="n">
        <x:f>AVERAGE(M1860,M1875,M1892,M1908)</x:f>
        <x:v>0.16001928827930312</x:v>
      </x:c>
      <x:c r="J2860" s="8" t="n">
        <x:v>1</x:v>
      </x:c>
      <x:c r="K2860" s="8" t="n">
        <x:f>H2860-I2860*J2860</x:f>
        <x:v>-2.089444003109525</x:v>
      </x:c>
      <x:c r="L2860" s="8" t="n">
        <x:f>'PG facts'!E101</x:f>
        <x:v>-1</x:v>
      </x:c>
      <x:c r="M2860" s="8" t="n">
        <x:f>K2860-L2860</x:f>
        <x:v>-1.089444003109525</x:v>
      </x:c>
      <x:c r="N2860" s="8" t="n">
        <x:f>M2860^2</x:f>
        <x:v>1.1868882359113067</x:v>
      </x:c>
      <x:c r="O2860" s="8" t="n">
        <x:f>ABS(M2860)</x:f>
        <x:v>1.089444003109525</x:v>
      </x:c>
      <x:c r="P2860" s="7" t="n">
        <x:v>45503</x:v>
      </x:c>
    </x:row>
    <x:row r="2861" ht="26" customHeight="1">
      <x:c r="A2861" s="2"/>
      <x:c r="B2861" s="2" t="n">
        <x:v>2856</x:v>
      </x:c>
      <x:c r="C2861" s="2" t="str">
        <x:v>Baby, Feminine &amp; Family Care / organic_volume_growth</x:v>
      </x:c>
      <x:c r="D2861" s="7" t="n">
        <x:v>45473</x:v>
      </x:c>
      <x:c r="E2861" s="2" t="str">
        <x:v>Prior report</x:v>
      </x:c>
      <x:c r="F2861" s="7" t="n">
        <x:v>45401</x:v>
      </x:c>
      <x:c r="G2861" s="2" t="str">
        <x:v>Half correction</x:v>
      </x:c>
      <x:c r="H2861" s="8" t="n">
        <x:f>K1924</x:f>
        <x:v>-1.929424714830222</x:v>
      </x:c>
      <x:c r="I2861" s="8" t="n">
        <x:f>AVERAGE(M1860,M1875,M1892,M1908)</x:f>
        <x:v>0.16001928827930312</x:v>
      </x:c>
      <x:c r="J2861" s="8" t="n">
        <x:v>0.5</x:v>
      </x:c>
      <x:c r="K2861" s="8" t="n">
        <x:f>H2861-I2861*J2861</x:f>
        <x:v>-2.0094343589698735</x:v>
      </x:c>
      <x:c r="L2861" s="8" t="n">
        <x:f>'PG facts'!E101</x:f>
        <x:v>-1</x:v>
      </x:c>
      <x:c r="M2861" s="8" t="n">
        <x:f>K2861-L2861</x:f>
        <x:v>-1.0094343589698735</x:v>
      </x:c>
      <x:c r="N2861" s="8" t="n">
        <x:f>M2861^2</x:f>
        <x:v>1.0189577250689195</x:v>
      </x:c>
      <x:c r="O2861" s="8" t="n">
        <x:f>ABS(M2861)</x:f>
        <x:v>1.0094343589698735</x:v>
      </x:c>
      <x:c r="P2861" s="7" t="n">
        <x:v>45503</x:v>
      </x:c>
    </x:row>
    <x:row r="2862" ht="26" customHeight="1">
      <x:c r="A2862" s="2"/>
      <x:c r="B2862" s="2" t="n">
        <x:v>2857</x:v>
      </x:c>
      <x:c r="C2862" s="2" t="str">
        <x:v>Baby, Feminine &amp; Family Care / organic_volume_growth</x:v>
      </x:c>
      <x:c r="D2862" s="7" t="n">
        <x:v>45473</x:v>
      </x:c>
      <x:c r="E2862" s="2" t="str">
        <x:v>Pre-earnings</x:v>
      </x:c>
      <x:c r="F2862" s="7" t="n">
        <x:v>45502</x:v>
      </x:c>
      <x:c r="G2862" s="2" t="str">
        <x:v>Bias correction</x:v>
      </x:c>
      <x:c r="H2862" s="8" t="n">
        <x:f>K1929</x:f>
        <x:v>-2.0143770448392844</x:v>
      </x:c>
      <x:c r="I2862" s="8" t="n">
        <x:f>AVERAGE(M1865,M1881,M1897,M1913)</x:f>
        <x:v>0.045175020010074396</x:v>
      </x:c>
      <x:c r="J2862" s="8" t="n">
        <x:v>1</x:v>
      </x:c>
      <x:c r="K2862" s="8" t="n">
        <x:f>H2862-I2862*J2862</x:f>
        <x:v>-2.059552064849359</x:v>
      </x:c>
      <x:c r="L2862" s="8" t="n">
        <x:f>'PG facts'!E101</x:f>
        <x:v>-1</x:v>
      </x:c>
      <x:c r="M2862" s="8" t="n">
        <x:f>K2862-L2862</x:f>
        <x:v>-1.0595520648493588</x:v>
      </x:c>
      <x:c r="N2862" s="8" t="n">
        <x:f>M2862^2</x:f>
        <x:v>1.12265057812654</x:v>
      </x:c>
      <x:c r="O2862" s="8" t="n">
        <x:f>ABS(M2862)</x:f>
        <x:v>1.0595520648493588</x:v>
      </x:c>
      <x:c r="P2862" s="7" t="n">
        <x:v>45503</x:v>
      </x:c>
    </x:row>
    <x:row r="2863" ht="26" customHeight="1">
      <x:c r="A2863" s="2"/>
      <x:c r="B2863" s="2" t="n">
        <x:v>2858</x:v>
      </x:c>
      <x:c r="C2863" s="2" t="str">
        <x:v>Baby, Feminine &amp; Family Care / organic_volume_growth</x:v>
      </x:c>
      <x:c r="D2863" s="7" t="n">
        <x:v>45473</x:v>
      </x:c>
      <x:c r="E2863" s="2" t="str">
        <x:v>Pre-earnings</x:v>
      </x:c>
      <x:c r="F2863" s="7" t="n">
        <x:v>45502</x:v>
      </x:c>
      <x:c r="G2863" s="2" t="str">
        <x:v>Half correction</x:v>
      </x:c>
      <x:c r="H2863" s="8" t="n">
        <x:f>K1929</x:f>
        <x:v>-2.0143770448392844</x:v>
      </x:c>
      <x:c r="I2863" s="8" t="n">
        <x:f>AVERAGE(M1865,M1881,M1897,M1913)</x:f>
        <x:v>0.045175020010074396</x:v>
      </x:c>
      <x:c r="J2863" s="8" t="n">
        <x:v>0.5</x:v>
      </x:c>
      <x:c r="K2863" s="8" t="n">
        <x:f>H2863-I2863*J2863</x:f>
        <x:v>-2.0369645548443214</x:v>
      </x:c>
      <x:c r="L2863" s="8" t="n">
        <x:f>'PG facts'!E101</x:f>
        <x:v>-1</x:v>
      </x:c>
      <x:c r="M2863" s="8" t="n">
        <x:f>K2863-L2863</x:f>
        <x:v>-1.0369645548443214</x:v>
      </x:c>
      <x:c r="N2863" s="8" t="n">
        <x:f>M2863^2</x:f>
        <x:v>1.0752954880034815</x:v>
      </x:c>
      <x:c r="O2863" s="8" t="n">
        <x:f>ABS(M2863)</x:f>
        <x:v>1.0369645548443214</x:v>
      </x:c>
      <x:c r="P2863" s="7" t="n">
        <x:v>45503</x:v>
      </x:c>
    </x:row>
    <x:row r="2864" ht="26" customHeight="1">
      <x:c r="A2864" s="2"/>
      <x:c r="B2864" s="2" t="n">
        <x:v>2859</x:v>
      </x:c>
      <x:c r="C2864" s="2" t="str">
        <x:v>Baby, Feminine &amp; Family Care / organic_volume_growth</x:v>
      </x:c>
      <x:c r="D2864" s="7" t="n">
        <x:v>45565</x:v>
      </x:c>
      <x:c r="E2864" s="2" t="str">
        <x:v>Origin</x:v>
      </x:c>
      <x:c r="F2864" s="7" t="n">
        <x:v>45474</x:v>
      </x:c>
      <x:c r="G2864" s="2" t="str">
        <x:v>Bias correction</x:v>
      </x:c>
      <x:c r="H2864" s="8" t="n">
        <x:f>K1935</x:f>
        <x:v>-2.0072610213353066</x:v>
      </x:c>
      <x:c r="I2864" s="8" t="n">
        <x:f>AVERAGE(M1856,M1871,M1887,M1903)</x:f>
        <x:v>0.08377057100236995</x:v>
      </x:c>
      <x:c r="J2864" s="8" t="n">
        <x:v>1</x:v>
      </x:c>
      <x:c r="K2864" s="8" t="n">
        <x:f>H2864-I2864*J2864</x:f>
        <x:v>-2.0910315923376768</x:v>
      </x:c>
      <x:c r="L2864" s="8" t="n">
        <x:f>'PG facts'!E108</x:f>
        <x:v>-1</x:v>
      </x:c>
      <x:c r="M2864" s="8" t="n">
        <x:f>K2864-L2864</x:f>
        <x:v>-1.0910315923376768</x:v>
      </x:c>
      <x:c r="N2864" s="8" t="n">
        <x:f>M2864^2</x:f>
        <x:v>1.1903499354788865</x:v>
      </x:c>
      <x:c r="O2864" s="8" t="n">
        <x:f>ABS(M2864)</x:f>
        <x:v>1.0910315923376768</x:v>
      </x:c>
      <x:c r="P2864" s="7" t="n">
        <x:v>45583</x:v>
      </x:c>
    </x:row>
    <x:row r="2865" ht="26" customHeight="1">
      <x:c r="A2865" s="2"/>
      <x:c r="B2865" s="2" t="n">
        <x:v>2860</x:v>
      </x:c>
      <x:c r="C2865" s="2" t="str">
        <x:v>Baby, Feminine &amp; Family Care / organic_volume_growth</x:v>
      </x:c>
      <x:c r="D2865" s="7" t="n">
        <x:v>45565</x:v>
      </x:c>
      <x:c r="E2865" s="2" t="str">
        <x:v>Origin</x:v>
      </x:c>
      <x:c r="F2865" s="7" t="n">
        <x:v>45474</x:v>
      </x:c>
      <x:c r="G2865" s="2" t="str">
        <x:v>Half correction</x:v>
      </x:c>
      <x:c r="H2865" s="8" t="n">
        <x:f>K1935</x:f>
        <x:v>-2.0072610213353066</x:v>
      </x:c>
      <x:c r="I2865" s="8" t="n">
        <x:f>AVERAGE(M1856,M1871,M1887,M1903)</x:f>
        <x:v>0.08377057100236995</x:v>
      </x:c>
      <x:c r="J2865" s="8" t="n">
        <x:v>0.5</x:v>
      </x:c>
      <x:c r="K2865" s="8" t="n">
        <x:f>H2865-I2865*J2865</x:f>
        <x:v>-2.0491463068364917</x:v>
      </x:c>
      <x:c r="L2865" s="8" t="n">
        <x:f>'PG facts'!E108</x:f>
        <x:v>-1</x:v>
      </x:c>
      <x:c r="M2865" s="8" t="n">
        <x:f>K2865-L2865</x:f>
        <x:v>-1.0491463068364917</x:v>
      </x:c>
      <x:c r="N2865" s="8" t="n">
        <x:f>M2865^2</x:f>
        <x:v>1.10070797314865</x:v>
      </x:c>
      <x:c r="O2865" s="8" t="n">
        <x:f>ABS(M2865)</x:f>
        <x:v>1.0491463068364917</x:v>
      </x:c>
      <x:c r="P2865" s="7" t="n">
        <x:v>45583</x:v>
      </x:c>
    </x:row>
    <x:row r="2866" ht="26" customHeight="1">
      <x:c r="A2866" s="2"/>
      <x:c r="B2866" s="2" t="n">
        <x:v>2861</x:v>
      </x:c>
      <x:c r="C2866" s="2" t="str">
        <x:v>Baby, Feminine &amp; Family Care / organic_volume_growth</x:v>
      </x:c>
      <x:c r="D2866" s="7" t="n">
        <x:v>45565</x:v>
      </x:c>
      <x:c r="E2866" s="2" t="str">
        <x:v>Prior report</x:v>
      </x:c>
      <x:c r="F2866" s="7" t="n">
        <x:v>45503</x:v>
      </x:c>
      <x:c r="G2866" s="2" t="str">
        <x:v>Bias correction</x:v>
      </x:c>
      <x:c r="H2866" s="8" t="n">
        <x:f>K1940</x:f>
        <x:v>-1.9335751121489584</x:v>
      </x:c>
      <x:c r="I2866" s="8" t="n">
        <x:f>AVERAGE(M1875,M1892,M1908,M1924)</x:f>
        <x:v>0.36772688978076</x:v>
      </x:c>
      <x:c r="J2866" s="8" t="n">
        <x:v>1</x:v>
      </x:c>
      <x:c r="K2866" s="8" t="n">
        <x:f>H2866-I2866*J2866</x:f>
        <x:v>-2.3013020019297183</x:v>
      </x:c>
      <x:c r="L2866" s="8" t="n">
        <x:f>'PG facts'!E108</x:f>
        <x:v>-1</x:v>
      </x:c>
      <x:c r="M2866" s="8" t="n">
        <x:f>K2866-L2866</x:f>
        <x:v>-1.3013020019297183</x:v>
      </x:c>
      <x:c r="N2866" s="8" t="n">
        <x:f>M2866^2</x:f>
        <x:v>1.6933869002262927</x:v>
      </x:c>
      <x:c r="O2866" s="8" t="n">
        <x:f>ABS(M2866)</x:f>
        <x:v>1.3013020019297183</x:v>
      </x:c>
      <x:c r="P2866" s="7" t="n">
        <x:v>45583</x:v>
      </x:c>
    </x:row>
    <x:row r="2867" ht="26" customHeight="1">
      <x:c r="A2867" s="2"/>
      <x:c r="B2867" s="2" t="n">
        <x:v>2862</x:v>
      </x:c>
      <x:c r="C2867" s="2" t="str">
        <x:v>Baby, Feminine &amp; Family Care / organic_volume_growth</x:v>
      </x:c>
      <x:c r="D2867" s="7" t="n">
        <x:v>45565</x:v>
      </x:c>
      <x:c r="E2867" s="2" t="str">
        <x:v>Prior report</x:v>
      </x:c>
      <x:c r="F2867" s="7" t="n">
        <x:v>45503</x:v>
      </x:c>
      <x:c r="G2867" s="2" t="str">
        <x:v>Half correction</x:v>
      </x:c>
      <x:c r="H2867" s="8" t="n">
        <x:f>K1940</x:f>
        <x:v>-1.9335751121489584</x:v>
      </x:c>
      <x:c r="I2867" s="8" t="n">
        <x:f>AVERAGE(M1875,M1892,M1908,M1924)</x:f>
        <x:v>0.36772688978076</x:v>
      </x:c>
      <x:c r="J2867" s="8" t="n">
        <x:v>0.5</x:v>
      </x:c>
      <x:c r="K2867" s="8" t="n">
        <x:f>H2867-I2867*J2867</x:f>
        <x:v>-2.1174385570393386</x:v>
      </x:c>
      <x:c r="L2867" s="8" t="n">
        <x:f>'PG facts'!E108</x:f>
        <x:v>-1</x:v>
      </x:c>
      <x:c r="M2867" s="8" t="n">
        <x:f>K2867-L2867</x:f>
        <x:v>-1.1174385570393386</x:v>
      </x:c>
      <x:c r="N2867" s="8" t="n">
        <x:f>M2867^2</x:f>
        <x:v>1.2486689287581592</x:v>
      </x:c>
      <x:c r="O2867" s="8" t="n">
        <x:f>ABS(M2867)</x:f>
        <x:v>1.1174385570393386</x:v>
      </x:c>
      <x:c r="P2867" s="7" t="n">
        <x:v>45583</x:v>
      </x:c>
    </x:row>
    <x:row r="2868" ht="26" customHeight="1">
      <x:c r="A2868" s="2"/>
      <x:c r="B2868" s="2" t="n">
        <x:v>2863</x:v>
      </x:c>
      <x:c r="C2868" s="2" t="str">
        <x:v>Baby, Feminine &amp; Family Care / organic_volume_growth</x:v>
      </x:c>
      <x:c r="D2868" s="7" t="n">
        <x:v>45565</x:v>
      </x:c>
      <x:c r="E2868" s="2" t="str">
        <x:v>Pre-earnings</x:v>
      </x:c>
      <x:c r="F2868" s="7" t="n">
        <x:v>45582</x:v>
      </x:c>
      <x:c r="G2868" s="2" t="str">
        <x:v>Bias correction</x:v>
      </x:c>
      <x:c r="H2868" s="8" t="n">
        <x:f>K1946</x:f>
        <x:v>-1.8619377972414963</x:v>
      </x:c>
      <x:c r="I2868" s="8" t="n">
        <x:f>AVERAGE(M1881,M1897,M1913,M1929)</x:f>
        <x:v>0.31538557158319114</x:v>
      </x:c>
      <x:c r="J2868" s="8" t="n">
        <x:v>1</x:v>
      </x:c>
      <x:c r="K2868" s="8" t="n">
        <x:f>H2868-I2868*J2868</x:f>
        <x:v>-2.1773233688246876</x:v>
      </x:c>
      <x:c r="L2868" s="8" t="n">
        <x:f>'PG facts'!E108</x:f>
        <x:v>-1</x:v>
      </x:c>
      <x:c r="M2868" s="8" t="n">
        <x:f>K2868-L2868</x:f>
        <x:v>-1.1773233688246876</x:v>
      </x:c>
      <x:c r="N2868" s="8" t="n">
        <x:f>M2868^2</x:f>
        <x:v>1.3860903147807113</x:v>
      </x:c>
      <x:c r="O2868" s="8" t="n">
        <x:f>ABS(M2868)</x:f>
        <x:v>1.1773233688246876</x:v>
      </x:c>
      <x:c r="P2868" s="7" t="n">
        <x:v>45583</x:v>
      </x:c>
    </x:row>
    <x:row r="2869" ht="26" customHeight="1">
      <x:c r="A2869" s="2"/>
      <x:c r="B2869" s="2" t="n">
        <x:v>2864</x:v>
      </x:c>
      <x:c r="C2869" s="2" t="str">
        <x:v>Baby, Feminine &amp; Family Care / organic_volume_growth</x:v>
      </x:c>
      <x:c r="D2869" s="7" t="n">
        <x:v>45565</x:v>
      </x:c>
      <x:c r="E2869" s="2" t="str">
        <x:v>Pre-earnings</x:v>
      </x:c>
      <x:c r="F2869" s="7" t="n">
        <x:v>45582</x:v>
      </x:c>
      <x:c r="G2869" s="2" t="str">
        <x:v>Half correction</x:v>
      </x:c>
      <x:c r="H2869" s="8" t="n">
        <x:f>K1946</x:f>
        <x:v>-1.8619377972414963</x:v>
      </x:c>
      <x:c r="I2869" s="8" t="n">
        <x:f>AVERAGE(M1881,M1897,M1913,M1929)</x:f>
        <x:v>0.31538557158319114</x:v>
      </x:c>
      <x:c r="J2869" s="8" t="n">
        <x:v>0.5</x:v>
      </x:c>
      <x:c r="K2869" s="8" t="n">
        <x:f>H2869-I2869*J2869</x:f>
        <x:v>-2.019630583033092</x:v>
      </x:c>
      <x:c r="L2869" s="8" t="n">
        <x:f>'PG facts'!E108</x:f>
        <x:v>-1</x:v>
      </x:c>
      <x:c r="M2869" s="8" t="n">
        <x:f>K2869-L2869</x:f>
        <x:v>-1.0196305830330918</x:v>
      </x:c>
      <x:c r="N2869" s="8" t="n">
        <x:f>M2869^2</x:f>
        <x:v>1.0396465258564027</x:v>
      </x:c>
      <x:c r="O2869" s="8" t="n">
        <x:f>ABS(M2869)</x:f>
        <x:v>1.0196305830330918</x:v>
      </x:c>
      <x:c r="P2869" s="7" t="n">
        <x:v>45583</x:v>
      </x:c>
    </x:row>
    <x:row r="2870" ht="26" customHeight="1">
      <x:c r="A2870" s="2"/>
      <x:c r="B2870" s="2" t="n">
        <x:v>2865</x:v>
      </x:c>
      <x:c r="C2870" s="2" t="str">
        <x:v>Baby, Feminine &amp; Family Care / organic_volume_growth</x:v>
      </x:c>
      <x:c r="D2870" s="7" t="n">
        <x:v>45657</x:v>
      </x:c>
      <x:c r="E2870" s="2" t="str">
        <x:v>Origin</x:v>
      </x:c>
      <x:c r="F2870" s="7" t="n">
        <x:v>45566</x:v>
      </x:c>
      <x:c r="G2870" s="2" t="str">
        <x:v>Bias correction</x:v>
      </x:c>
      <x:c r="H2870" s="8" t="n">
        <x:f>K1952</x:f>
        <x:v>-1.862489404553953</x:v>
      </x:c>
      <x:c r="I2870" s="8" t="n">
        <x:f>AVERAGE(M1871,M1887,M1903,M1919)</x:f>
        <x:v>0.29147817250382685</x:v>
      </x:c>
      <x:c r="J2870" s="8" t="n">
        <x:v>1</x:v>
      </x:c>
      <x:c r="K2870" s="8" t="n">
        <x:f>H2870-I2870*J2870</x:f>
        <x:v>-2.15396757705778</x:v>
      </x:c>
      <x:c r="L2870" s="8" t="n">
        <x:f>'PG facts'!E115</x:f>
        <x:v>4</x:v>
      </x:c>
      <x:c r="M2870" s="8" t="n">
        <x:f>K2870-L2870</x:f>
        <x:v>-6.15396757705778</x:v>
      </x:c>
      <x:c r="N2870" s="8" t="n">
        <x:f>M2870^2</x:f>
        <x:v>37.871316939478405</x:v>
      </x:c>
      <x:c r="O2870" s="8" t="n">
        <x:f>ABS(M2870)</x:f>
        <x:v>6.15396757705778</x:v>
      </x:c>
      <x:c r="P2870" s="7" t="n">
        <x:v>45679</x:v>
      </x:c>
    </x:row>
    <x:row r="2871" ht="26" customHeight="1">
      <x:c r="A2871" s="2"/>
      <x:c r="B2871" s="2" t="n">
        <x:v>2866</x:v>
      </x:c>
      <x:c r="C2871" s="2" t="str">
        <x:v>Baby, Feminine &amp; Family Care / organic_volume_growth</x:v>
      </x:c>
      <x:c r="D2871" s="7" t="n">
        <x:v>45657</x:v>
      </x:c>
      <x:c r="E2871" s="2" t="str">
        <x:v>Origin</x:v>
      </x:c>
      <x:c r="F2871" s="7" t="n">
        <x:v>45566</x:v>
      </x:c>
      <x:c r="G2871" s="2" t="str">
        <x:v>Half correction</x:v>
      </x:c>
      <x:c r="H2871" s="8" t="n">
        <x:f>K1952</x:f>
        <x:v>-1.862489404553953</x:v>
      </x:c>
      <x:c r="I2871" s="8" t="n">
        <x:f>AVERAGE(M1871,M1887,M1903,M1919)</x:f>
        <x:v>0.29147817250382685</x:v>
      </x:c>
      <x:c r="J2871" s="8" t="n">
        <x:v>0.5</x:v>
      </x:c>
      <x:c r="K2871" s="8" t="n">
        <x:f>H2871-I2871*J2871</x:f>
        <x:v>-2.0082284908058665</x:v>
      </x:c>
      <x:c r="L2871" s="8" t="n">
        <x:f>'PG facts'!E115</x:f>
        <x:v>4</x:v>
      </x:c>
      <x:c r="M2871" s="8" t="n">
        <x:f>K2871-L2871</x:f>
        <x:v>-6.008228490805866</x:v>
      </x:c>
      <x:c r="N2871" s="8" t="n">
        <x:f>M2871^2</x:f>
        <x:v>36.09880959773133</x:v>
      </x:c>
      <x:c r="O2871" s="8" t="n">
        <x:f>ABS(M2871)</x:f>
        <x:v>6.008228490805866</x:v>
      </x:c>
      <x:c r="P2871" s="7" t="n">
        <x:v>45679</x:v>
      </x:c>
    </x:row>
    <x:row r="2872" ht="26" customHeight="1">
      <x:c r="A2872" s="2"/>
      <x:c r="B2872" s="2" t="n">
        <x:v>2867</x:v>
      </x:c>
      <x:c r="C2872" s="2" t="str">
        <x:v>Baby, Feminine &amp; Family Care / organic_volume_growth</x:v>
      </x:c>
      <x:c r="D2872" s="7" t="n">
        <x:v>45657</x:v>
      </x:c>
      <x:c r="E2872" s="2" t="str">
        <x:v>Prior report</x:v>
      </x:c>
      <x:c r="F2872" s="7" t="n">
        <x:v>45583</x:v>
      </x:c>
      <x:c r="G2872" s="2" t="str">
        <x:v>Bias correction</x:v>
      </x:c>
      <x:c r="H2872" s="8" t="n">
        <x:f>K1957</x:f>
        <x:v>-1.862489404553953</x:v>
      </x:c>
      <x:c r="I2872" s="8" t="n">
        <x:f>AVERAGE(M1892,M1908,M1924,M1940)</x:f>
        <x:v>-0.16420083697113635</x:v>
      </x:c>
      <x:c r="J2872" s="8" t="n">
        <x:v>1</x:v>
      </x:c>
      <x:c r="K2872" s="8" t="n">
        <x:f>H2872-I2872*J2872</x:f>
        <x:v>-1.6982885675828168</x:v>
      </x:c>
      <x:c r="L2872" s="8" t="n">
        <x:f>'PG facts'!E115</x:f>
        <x:v>4</x:v>
      </x:c>
      <x:c r="M2872" s="8" t="n">
        <x:f>K2872-L2872</x:f>
        <x:v>-5.698288567582817</x:v>
      </x:c>
      <x:c r="N2872" s="8" t="n">
        <x:f>M2872^2</x:f>
        <x:v>32.47049259944503</x:v>
      </x:c>
      <x:c r="O2872" s="8" t="n">
        <x:f>ABS(M2872)</x:f>
        <x:v>5.698288567582817</x:v>
      </x:c>
      <x:c r="P2872" s="7" t="n">
        <x:v>45679</x:v>
      </x:c>
    </x:row>
    <x:row r="2873" ht="26" customHeight="1">
      <x:c r="A2873" s="2"/>
      <x:c r="B2873" s="2" t="n">
        <x:v>2868</x:v>
      </x:c>
      <x:c r="C2873" s="2" t="str">
        <x:v>Baby, Feminine &amp; Family Care / organic_volume_growth</x:v>
      </x:c>
      <x:c r="D2873" s="7" t="n">
        <x:v>45657</x:v>
      </x:c>
      <x:c r="E2873" s="2" t="str">
        <x:v>Prior report</x:v>
      </x:c>
      <x:c r="F2873" s="7" t="n">
        <x:v>45583</x:v>
      </x:c>
      <x:c r="G2873" s="2" t="str">
        <x:v>Half correction</x:v>
      </x:c>
      <x:c r="H2873" s="8" t="n">
        <x:f>K1957</x:f>
        <x:v>-1.862489404553953</x:v>
      </x:c>
      <x:c r="I2873" s="8" t="n">
        <x:f>AVERAGE(M1892,M1908,M1924,M1940)</x:f>
        <x:v>-0.16420083697113635</x:v>
      </x:c>
      <x:c r="J2873" s="8" t="n">
        <x:v>0.5</x:v>
      </x:c>
      <x:c r="K2873" s="8" t="n">
        <x:f>H2873-I2873*J2873</x:f>
        <x:v>-1.7803889860683848</x:v>
      </x:c>
      <x:c r="L2873" s="8" t="n">
        <x:f>'PG facts'!E115</x:f>
        <x:v>4</x:v>
      </x:c>
      <x:c r="M2873" s="8" t="n">
        <x:f>K2873-L2873</x:f>
        <x:v>-5.780388986068385</x:v>
      </x:c>
      <x:c r="N2873" s="8" t="n">
        <x:f>M2873^2</x:f>
        <x:v>33.412896830260685</x:v>
      </x:c>
      <x:c r="O2873" s="8" t="n">
        <x:f>ABS(M2873)</x:f>
        <x:v>5.780388986068385</x:v>
      </x:c>
      <x:c r="P2873" s="7" t="n">
        <x:v>45679</x:v>
      </x:c>
    </x:row>
    <x:row r="2874" ht="26" customHeight="1">
      <x:c r="A2874" s="2"/>
      <x:c r="B2874" s="2" t="n">
        <x:v>2869</x:v>
      </x:c>
      <x:c r="C2874" s="2" t="str">
        <x:v>Baby, Feminine &amp; Family Care / organic_volume_growth</x:v>
      </x:c>
      <x:c r="D2874" s="7" t="n">
        <x:v>45657</x:v>
      </x:c>
      <x:c r="E2874" s="2" t="str">
        <x:v>Pre-earnings</x:v>
      </x:c>
      <x:c r="F2874" s="7" t="n">
        <x:v>45678</x:v>
      </x:c>
      <x:c r="G2874" s="2" t="str">
        <x:v>Bias correction</x:v>
      </x:c>
      <x:c r="H2874" s="8" t="n">
        <x:f>K1962</x:f>
        <x:v>-1.8023055066317553</x:v>
      </x:c>
      <x:c r="I2874" s="8" t="n">
        <x:f>AVERAGE(M1897,M1913,M1929,M1946)</x:f>
        <x:v>-0.1939058961939666</x:v>
      </x:c>
      <x:c r="J2874" s="8" t="n">
        <x:v>1</x:v>
      </x:c>
      <x:c r="K2874" s="8" t="n">
        <x:f>H2874-I2874*J2874</x:f>
        <x:v>-1.6083996104377887</x:v>
      </x:c>
      <x:c r="L2874" s="8" t="n">
        <x:f>'PG facts'!E115</x:f>
        <x:v>4</x:v>
      </x:c>
      <x:c r="M2874" s="8" t="n">
        <x:f>K2874-L2874</x:f>
        <x:v>-5.608399610437789</x:v>
      </x:c>
      <x:c r="N2874" s="8" t="n">
        <x:f>M2874^2</x:f>
        <x:v>31.45414619035874</x:v>
      </x:c>
      <x:c r="O2874" s="8" t="n">
        <x:f>ABS(M2874)</x:f>
        <x:v>5.608399610437789</x:v>
      </x:c>
      <x:c r="P2874" s="7" t="n">
        <x:v>45679</x:v>
      </x:c>
    </x:row>
    <x:row r="2875" ht="26" customHeight="1">
      <x:c r="A2875" s="2"/>
      <x:c r="B2875" s="2" t="n">
        <x:v>2870</x:v>
      </x:c>
      <x:c r="C2875" s="2" t="str">
        <x:v>Baby, Feminine &amp; Family Care / organic_volume_growth</x:v>
      </x:c>
      <x:c r="D2875" s="7" t="n">
        <x:v>45657</x:v>
      </x:c>
      <x:c r="E2875" s="2" t="str">
        <x:v>Pre-earnings</x:v>
      </x:c>
      <x:c r="F2875" s="7" t="n">
        <x:v>45678</x:v>
      </x:c>
      <x:c r="G2875" s="2" t="str">
        <x:v>Half correction</x:v>
      </x:c>
      <x:c r="H2875" s="8" t="n">
        <x:f>K1962</x:f>
        <x:v>-1.8023055066317553</x:v>
      </x:c>
      <x:c r="I2875" s="8" t="n">
        <x:f>AVERAGE(M1897,M1913,M1929,M1946)</x:f>
        <x:v>-0.1939058961939666</x:v>
      </x:c>
      <x:c r="J2875" s="8" t="n">
        <x:v>0.5</x:v>
      </x:c>
      <x:c r="K2875" s="8" t="n">
        <x:f>H2875-I2875*J2875</x:f>
        <x:v>-1.705352558534772</x:v>
      </x:c>
      <x:c r="L2875" s="8" t="n">
        <x:f>'PG facts'!E115</x:f>
        <x:v>4</x:v>
      </x:c>
      <x:c r="M2875" s="8" t="n">
        <x:f>K2875-L2875</x:f>
        <x:v>-5.705352558534772</x:v>
      </x:c>
      <x:c r="N2875" s="8" t="n">
        <x:f>M2875^2</x:f>
        <x:v>32.55104781717927</x:v>
      </x:c>
      <x:c r="O2875" s="8" t="n">
        <x:f>ABS(M2875)</x:f>
        <x:v>5.705352558534772</x:v>
      </x:c>
      <x:c r="P2875" s="7" t="n">
        <x:v>45679</x:v>
      </x:c>
    </x:row>
    <x:row r="2876" ht="26" customHeight="1">
      <x:c r="A2876" s="2"/>
      <x:c r="B2876" s="2" t="n">
        <x:v>2871</x:v>
      </x:c>
      <x:c r="C2876" s="2" t="str">
        <x:v>Baby, Feminine &amp; Family Care / organic_volume_growth</x:v>
      </x:c>
      <x:c r="D2876" s="7" t="n">
        <x:v>45747</x:v>
      </x:c>
      <x:c r="E2876" s="2" t="str">
        <x:v>Origin</x:v>
      </x:c>
      <x:c r="F2876" s="7" t="n">
        <x:v>45658</x:v>
      </x:c>
      <x:c r="G2876" s="2" t="str">
        <x:v>Bias correction</x:v>
      </x:c>
      <x:c r="H2876" s="8" t="n">
        <x:f>K1968</x:f>
        <x:v>-1.7923250922589065</x:v>
      </x:c>
      <x:c r="I2876" s="8" t="n">
        <x:f>AVERAGE(M1887,M1903,M1919,M1935)</x:f>
        <x:v>-0.1826223142677234</x:v>
      </x:c>
      <x:c r="J2876" s="8" t="n">
        <x:v>1</x:v>
      </x:c>
      <x:c r="K2876" s="8" t="n">
        <x:f>H2876-I2876*J2876</x:f>
        <x:v>-1.609702777991183</x:v>
      </x:c>
      <x:c r="L2876" s="8" t="n">
        <x:f>'PG facts'!E122</x:f>
        <x:v>-2</x:v>
      </x:c>
      <x:c r="M2876" s="8" t="n">
        <x:f>K2876-L2876</x:f>
        <x:v>0.390297222008817</x:v>
      </x:c>
      <x:c r="N2876" s="8" t="n">
        <x:f>M2876^2</x:f>
        <x:v>0.15233192150779978</x:v>
      </x:c>
      <x:c r="O2876" s="8" t="n">
        <x:f>ABS(M2876)</x:f>
        <x:v>0.390297222008817</x:v>
      </x:c>
      <x:c r="P2876" s="7" t="n">
        <x:v>45771</x:v>
      </x:c>
    </x:row>
    <x:row r="2877" ht="26" customHeight="1">
      <x:c r="A2877" s="2"/>
      <x:c r="B2877" s="2" t="n">
        <x:v>2872</x:v>
      </x:c>
      <x:c r="C2877" s="2" t="str">
        <x:v>Baby, Feminine &amp; Family Care / organic_volume_growth</x:v>
      </x:c>
      <x:c r="D2877" s="7" t="n">
        <x:v>45747</x:v>
      </x:c>
      <x:c r="E2877" s="2" t="str">
        <x:v>Origin</x:v>
      </x:c>
      <x:c r="F2877" s="7" t="n">
        <x:v>45658</x:v>
      </x:c>
      <x:c r="G2877" s="2" t="str">
        <x:v>Half correction</x:v>
      </x:c>
      <x:c r="H2877" s="8" t="n">
        <x:f>K1968</x:f>
        <x:v>-1.7923250922589065</x:v>
      </x:c>
      <x:c r="I2877" s="8" t="n">
        <x:f>AVERAGE(M1887,M1903,M1919,M1935)</x:f>
        <x:v>-0.1826223142677234</x:v>
      </x:c>
      <x:c r="J2877" s="8" t="n">
        <x:v>0.5</x:v>
      </x:c>
      <x:c r="K2877" s="8" t="n">
        <x:f>H2877-I2877*J2877</x:f>
        <x:v>-1.7010139351250448</x:v>
      </x:c>
      <x:c r="L2877" s="8" t="n">
        <x:f>'PG facts'!E122</x:f>
        <x:v>-2</x:v>
      </x:c>
      <x:c r="M2877" s="8" t="n">
        <x:f>K2877-L2877</x:f>
        <x:v>0.29898606487495516</x:v>
      </x:c>
      <x:c r="N2877" s="8" t="n">
        <x:f>M2877^2</x:f>
        <x:v>0.0893926669894109</x:v>
      </x:c>
      <x:c r="O2877" s="8" t="n">
        <x:f>ABS(M2877)</x:f>
        <x:v>0.29898606487495516</x:v>
      </x:c>
      <x:c r="P2877" s="7" t="n">
        <x:v>45771</x:v>
      </x:c>
    </x:row>
    <x:row r="2878" ht="26" customHeight="1">
      <x:c r="A2878" s="2"/>
      <x:c r="B2878" s="2" t="n">
        <x:v>2873</x:v>
      </x:c>
      <x:c r="C2878" s="2" t="str">
        <x:v>Baby, Feminine &amp; Family Care / organic_volume_growth</x:v>
      </x:c>
      <x:c r="D2878" s="7" t="n">
        <x:v>45747</x:v>
      </x:c>
      <x:c r="E2878" s="2" t="str">
        <x:v>Prior report</x:v>
      </x:c>
      <x:c r="F2878" s="7" t="n">
        <x:v>45679</x:v>
      </x:c>
      <x:c r="G2878" s="2" t="str">
        <x:v>Bias correction</x:v>
      </x:c>
      <x:c r="H2878" s="8" t="n">
        <x:f>K1973</x:f>
        <x:v>-1.7923250922589065</x:v>
      </x:c>
      <x:c r="I2878" s="8" t="n">
        <x:f>AVERAGE(M1908,M1924,M1940,M1957)</x:f>
        <x:v>-1.668363404694756</x:v>
      </x:c>
      <x:c r="J2878" s="8" t="n">
        <x:v>1</x:v>
      </x:c>
      <x:c r="K2878" s="8" t="n">
        <x:f>H2878-I2878*J2878</x:f>
        <x:v>-0.12396168756415049</x:v>
      </x:c>
      <x:c r="L2878" s="8" t="n">
        <x:f>'PG facts'!E122</x:f>
        <x:v>-2</x:v>
      </x:c>
      <x:c r="M2878" s="8" t="n">
        <x:f>K2878-L2878</x:f>
        <x:v>1.8760383124358495</x:v>
      </x:c>
      <x:c r="N2878" s="8" t="n">
        <x:f>M2878^2</x:f>
        <x:v>3.51951974972715</x:v>
      </x:c>
      <x:c r="O2878" s="8" t="n">
        <x:f>ABS(M2878)</x:f>
        <x:v>1.8760383124358495</x:v>
      </x:c>
      <x:c r="P2878" s="7" t="n">
        <x:v>45771</x:v>
      </x:c>
    </x:row>
    <x:row r="2879" ht="26" customHeight="1">
      <x:c r="A2879" s="2"/>
      <x:c r="B2879" s="2" t="n">
        <x:v>2874</x:v>
      </x:c>
      <x:c r="C2879" s="2" t="str">
        <x:v>Baby, Feminine &amp; Family Care / organic_volume_growth</x:v>
      </x:c>
      <x:c r="D2879" s="7" t="n">
        <x:v>45747</x:v>
      </x:c>
      <x:c r="E2879" s="2" t="str">
        <x:v>Prior report</x:v>
      </x:c>
      <x:c r="F2879" s="7" t="n">
        <x:v>45679</x:v>
      </x:c>
      <x:c r="G2879" s="2" t="str">
        <x:v>Half correction</x:v>
      </x:c>
      <x:c r="H2879" s="8" t="n">
        <x:f>K1973</x:f>
        <x:v>-1.7923250922589065</x:v>
      </x:c>
      <x:c r="I2879" s="8" t="n">
        <x:f>AVERAGE(M1908,M1924,M1940,M1957)</x:f>
        <x:v>-1.668363404694756</x:v>
      </x:c>
      <x:c r="J2879" s="8" t="n">
        <x:v>0.5</x:v>
      </x:c>
      <x:c r="K2879" s="8" t="n">
        <x:f>H2879-I2879*J2879</x:f>
        <x:v>-0.9581433899115285</x:v>
      </x:c>
      <x:c r="L2879" s="8" t="n">
        <x:f>'PG facts'!E122</x:f>
        <x:v>-2</x:v>
      </x:c>
      <x:c r="M2879" s="8" t="n">
        <x:f>K2879-L2879</x:f>
        <x:v>1.0418566100884714</x:v>
      </x:c>
      <x:c r="N2879" s="8" t="n">
        <x:f>M2879^2</x:f>
        <x:v>1.0854651959850412</x:v>
      </x:c>
      <x:c r="O2879" s="8" t="n">
        <x:f>ABS(M2879)</x:f>
        <x:v>1.0418566100884714</x:v>
      </x:c>
      <x:c r="P2879" s="7" t="n">
        <x:v>45771</x:v>
      </x:c>
    </x:row>
    <x:row r="2880" ht="26" customHeight="1">
      <x:c r="A2880" s="2"/>
      <x:c r="B2880" s="2" t="n">
        <x:v>2875</x:v>
      </x:c>
      <x:c r="C2880" s="2" t="str">
        <x:v>Baby, Feminine &amp; Family Care / organic_volume_growth</x:v>
      </x:c>
      <x:c r="D2880" s="7" t="n">
        <x:v>45747</x:v>
      </x:c>
      <x:c r="E2880" s="2" t="str">
        <x:v>Pre-earnings</x:v>
      </x:c>
      <x:c r="F2880" s="7" t="n">
        <x:v>45770</x:v>
      </x:c>
      <x:c r="G2880" s="2" t="str">
        <x:v>Bias correction</x:v>
      </x:c>
      <x:c r="H2880" s="8" t="n">
        <x:f>K1978</x:f>
        <x:v>-1.4021623042685762</x:v>
      </x:c>
      <x:c r="I2880" s="8" t="n">
        <x:f>AVERAGE(M1913,M1929,M1946,M1962)</x:f>
        <x:v>-1.6601669507282626</x:v>
      </x:c>
      <x:c r="J2880" s="8" t="n">
        <x:v>1</x:v>
      </x:c>
      <x:c r="K2880" s="8" t="n">
        <x:f>H2880-I2880*J2880</x:f>
        <x:v>0.25800464645968635</x:v>
      </x:c>
      <x:c r="L2880" s="8" t="n">
        <x:f>'PG facts'!E122</x:f>
        <x:v>-2</x:v>
      </x:c>
      <x:c r="M2880" s="8" t="n">
        <x:f>K2880-L2880</x:f>
        <x:v>2.2580046464596863</x:v>
      </x:c>
      <x:c r="N2880" s="8" t="n">
        <x:f>M2880^2</x:f>
        <x:v>5.0985849834335335</x:v>
      </x:c>
      <x:c r="O2880" s="8" t="n">
        <x:f>ABS(M2880)</x:f>
        <x:v>2.2580046464596863</x:v>
      </x:c>
      <x:c r="P2880" s="7" t="n">
        <x:v>45771</x:v>
      </x:c>
    </x:row>
    <x:row r="2881" ht="26" customHeight="1">
      <x:c r="A2881" s="2"/>
      <x:c r="B2881" s="2" t="n">
        <x:v>2876</x:v>
      </x:c>
      <x:c r="C2881" s="2" t="str">
        <x:v>Baby, Feminine &amp; Family Care / organic_volume_growth</x:v>
      </x:c>
      <x:c r="D2881" s="7" t="n">
        <x:v>45747</x:v>
      </x:c>
      <x:c r="E2881" s="2" t="str">
        <x:v>Pre-earnings</x:v>
      </x:c>
      <x:c r="F2881" s="7" t="n">
        <x:v>45770</x:v>
      </x:c>
      <x:c r="G2881" s="2" t="str">
        <x:v>Half correction</x:v>
      </x:c>
      <x:c r="H2881" s="8" t="n">
        <x:f>K1978</x:f>
        <x:v>-1.4021623042685762</x:v>
      </x:c>
      <x:c r="I2881" s="8" t="n">
        <x:f>AVERAGE(M1913,M1929,M1946,M1962)</x:f>
        <x:v>-1.6601669507282626</x:v>
      </x:c>
      <x:c r="J2881" s="8" t="n">
        <x:v>0.5</x:v>
      </x:c>
      <x:c r="K2881" s="8" t="n">
        <x:f>H2881-I2881*J2881</x:f>
        <x:v>-0.572078828904445</x:v>
      </x:c>
      <x:c r="L2881" s="8" t="n">
        <x:f>'PG facts'!E122</x:f>
        <x:v>-2</x:v>
      </x:c>
      <x:c r="M2881" s="8" t="n">
        <x:f>K2881-L2881</x:f>
        <x:v>1.427921171095555</x:v>
      </x:c>
      <x:c r="N2881" s="8" t="n">
        <x:f>M2881^2</x:f>
        <x:v>2.0389588708629014</x:v>
      </x:c>
      <x:c r="O2881" s="8" t="n">
        <x:f>ABS(M2881)</x:f>
        <x:v>1.427921171095555</x:v>
      </x:c>
      <x:c r="P2881" s="7" t="n">
        <x:v>45771</x:v>
      </x:c>
    </x:row>
    <x:row r="2882" ht="26" customHeight="1">
      <x:c r="A2882" s="2"/>
      <x:c r="B2882" s="2" t="n">
        <x:v>2877</x:v>
      </x:c>
      <x:c r="C2882" s="2" t="str">
        <x:v>Baby, Feminine &amp; Family Care / organic_volume_growth</x:v>
      </x:c>
      <x:c r="D2882" s="7" t="n">
        <x:v>45838</x:v>
      </x:c>
      <x:c r="E2882" s="2" t="str">
        <x:v>Origin</x:v>
      </x:c>
      <x:c r="F2882" s="7" t="n">
        <x:v>45748</x:v>
      </x:c>
      <x:c r="G2882" s="2" t="str">
        <x:v>Bias correction</x:v>
      </x:c>
      <x:c r="H2882" s="8" t="n">
        <x:f>K1984</x:f>
        <x:v>-1.410079311365218</x:v>
      </x:c>
      <x:c r="I2882" s="8" t="n">
        <x:f>AVERAGE(M1903,M1919,M1935,M1952)</x:f>
        <x:v>-1.686784881991343</x:v>
      </x:c>
      <x:c r="J2882" s="8" t="n">
        <x:v>1</x:v>
      </x:c>
      <x:c r="K2882" s="8" t="n">
        <x:f>H2882-I2882*J2882</x:f>
        <x:v>0.276705570626125</x:v>
      </x:c>
      <x:c r="L2882" s="8" t="n">
        <x:f>'PG facts'!E129</x:f>
        <x:v>0</x:v>
      </x:c>
      <x:c r="M2882" s="8" t="n">
        <x:f>K2882-L2882</x:f>
        <x:v>0.276705570626125</x:v>
      </x:c>
      <x:c r="N2882" s="8" t="n">
        <x:f>M2882^2</x:f>
        <x:v>0.07656597281552945</x:v>
      </x:c>
      <x:c r="O2882" s="8" t="n">
        <x:f>ABS(M2882)</x:f>
        <x:v>0.276705570626125</x:v>
      </x:c>
      <x:c r="P2882" s="7" t="n">
        <x:v>45867</x:v>
      </x:c>
    </x:row>
    <x:row r="2883" ht="26" customHeight="1">
      <x:c r="A2883" s="2"/>
      <x:c r="B2883" s="2" t="n">
        <x:v>2878</x:v>
      </x:c>
      <x:c r="C2883" s="2" t="str">
        <x:v>Baby, Feminine &amp; Family Care / organic_volume_growth</x:v>
      </x:c>
      <x:c r="D2883" s="7" t="n">
        <x:v>45838</x:v>
      </x:c>
      <x:c r="E2883" s="2" t="str">
        <x:v>Origin</x:v>
      </x:c>
      <x:c r="F2883" s="7" t="n">
        <x:v>45748</x:v>
      </x:c>
      <x:c r="G2883" s="2" t="str">
        <x:v>Half correction</x:v>
      </x:c>
      <x:c r="H2883" s="8" t="n">
        <x:f>K1984</x:f>
        <x:v>-1.410079311365218</x:v>
      </x:c>
      <x:c r="I2883" s="8" t="n">
        <x:f>AVERAGE(M1903,M1919,M1935,M1952)</x:f>
        <x:v>-1.686784881991343</x:v>
      </x:c>
      <x:c r="J2883" s="8" t="n">
        <x:v>0.5</x:v>
      </x:c>
      <x:c r="K2883" s="8" t="n">
        <x:f>H2883-I2883*J2883</x:f>
        <x:v>-0.5666868703695465</x:v>
      </x:c>
      <x:c r="L2883" s="8" t="n">
        <x:f>'PG facts'!E129</x:f>
        <x:v>0</x:v>
      </x:c>
      <x:c r="M2883" s="8" t="n">
        <x:f>K2883-L2883</x:f>
        <x:v>-0.5666868703695465</x:v>
      </x:c>
      <x:c r="N2883" s="8" t="n">
        <x:f>M2883^2</x:f>
        <x:v>0.3211340090492312</x:v>
      </x:c>
      <x:c r="O2883" s="8" t="n">
        <x:f>ABS(M2883)</x:f>
        <x:v>0.5666868703695465</x:v>
      </x:c>
      <x:c r="P2883" s="7" t="n">
        <x:v>45867</x:v>
      </x:c>
    </x:row>
    <x:row r="2884" ht="26" customHeight="1">
      <x:c r="A2884" s="2"/>
      <x:c r="B2884" s="2" t="n">
        <x:v>2879</x:v>
      </x:c>
      <x:c r="C2884" s="2" t="str">
        <x:v>Baby, Feminine &amp; Family Care / organic_volume_growth</x:v>
      </x:c>
      <x:c r="D2884" s="7" t="n">
        <x:v>45838</x:v>
      </x:c>
      <x:c r="E2884" s="2" t="str">
        <x:v>Prior report</x:v>
      </x:c>
      <x:c r="F2884" s="7" t="n">
        <x:v>45771</x:v>
      </x:c>
      <x:c r="G2884" s="2" t="str">
        <x:v>Bias correction</x:v>
      </x:c>
      <x:c r="H2884" s="8" t="n">
        <x:f>K1989</x:f>
        <x:v>-1.410079311365218</x:v>
      </x:c>
      <x:c r="I2884" s="8" t="n">
        <x:f>AVERAGE(M1924,M1940,M1957,M1973)</x:f>
        <x:v>-1.87945358094801</x:v>
      </x:c>
      <x:c r="J2884" s="8" t="n">
        <x:v>1</x:v>
      </x:c>
      <x:c r="K2884" s="8" t="n">
        <x:f>H2884-I2884*J2884</x:f>
        <x:v>0.46937426958279205</x:v>
      </x:c>
      <x:c r="L2884" s="8" t="n">
        <x:f>'PG facts'!E129</x:f>
        <x:v>0</x:v>
      </x:c>
      <x:c r="M2884" s="8" t="n">
        <x:f>K2884-L2884</x:f>
        <x:v>0.46937426958279205</x:v>
      </x:c>
      <x:c r="N2884" s="8" t="n">
        <x:f>M2884^2</x:f>
        <x:v>0.22031220494637954</x:v>
      </x:c>
      <x:c r="O2884" s="8" t="n">
        <x:f>ABS(M2884)</x:f>
        <x:v>0.46937426958279205</x:v>
      </x:c>
      <x:c r="P2884" s="7" t="n">
        <x:v>45867</x:v>
      </x:c>
    </x:row>
    <x:row r="2885" ht="26" customHeight="1">
      <x:c r="A2885" s="2"/>
      <x:c r="B2885" s="2" t="n">
        <x:v>2880</x:v>
      </x:c>
      <x:c r="C2885" s="2" t="str">
        <x:v>Baby, Feminine &amp; Family Care / organic_volume_growth</x:v>
      </x:c>
      <x:c r="D2885" s="7" t="n">
        <x:v>45838</x:v>
      </x:c>
      <x:c r="E2885" s="2" t="str">
        <x:v>Prior report</x:v>
      </x:c>
      <x:c r="F2885" s="7" t="n">
        <x:v>45771</x:v>
      </x:c>
      <x:c r="G2885" s="2" t="str">
        <x:v>Half correction</x:v>
      </x:c>
      <x:c r="H2885" s="8" t="n">
        <x:f>K1989</x:f>
        <x:v>-1.410079311365218</x:v>
      </x:c>
      <x:c r="I2885" s="8" t="n">
        <x:f>AVERAGE(M1924,M1940,M1957,M1973)</x:f>
        <x:v>-1.87945358094801</x:v>
      </x:c>
      <x:c r="J2885" s="8" t="n">
        <x:v>0.5</x:v>
      </x:c>
      <x:c r="K2885" s="8" t="n">
        <x:f>H2885-I2885*J2885</x:f>
        <x:v>-0.47035252089121293</x:v>
      </x:c>
      <x:c r="L2885" s="8" t="n">
        <x:f>'PG facts'!E129</x:f>
        <x:v>0</x:v>
      </x:c>
      <x:c r="M2885" s="8" t="n">
        <x:f>K2885-L2885</x:f>
        <x:v>-0.47035252089121293</x:v>
      </x:c>
      <x:c r="N2885" s="8" t="n">
        <x:f>M2885^2</x:f>
        <x:v>0.2212314939087189</x:v>
      </x:c>
      <x:c r="O2885" s="8" t="n">
        <x:f>ABS(M2885)</x:f>
        <x:v>0.47035252089121293</x:v>
      </x:c>
      <x:c r="P2885" s="7" t="n">
        <x:v>45867</x:v>
      </x:c>
    </x:row>
    <x:row r="2886" ht="26" customHeight="1">
      <x:c r="A2886" s="2"/>
      <x:c r="B2886" s="2" t="n">
        <x:v>2881</x:v>
      </x:c>
      <x:c r="C2886" s="2" t="str">
        <x:v>Baby, Feminine &amp; Family Care / organic_volume_growth</x:v>
      </x:c>
      <x:c r="D2886" s="7" t="n">
        <x:v>45838</x:v>
      </x:c>
      <x:c r="E2886" s="2" t="str">
        <x:v>Pre-earnings</x:v>
      </x:c>
      <x:c r="F2886" s="7" t="n">
        <x:v>45866</x:v>
      </x:c>
      <x:c r="G2886" s="2" t="str">
        <x:v>Bias correction</x:v>
      </x:c>
      <x:c r="H2886" s="8" t="n">
        <x:f>K1994</x:f>
        <x:v>-1.413148028456753</x:v>
      </x:c>
      <x:c r="I2886" s="8" t="n">
        <x:f>AVERAGE(M1929,M1946,M1962,M1978)</x:f>
        <x:v>-1.7701956632452782</x:v>
      </x:c>
      <x:c r="J2886" s="8" t="n">
        <x:v>1</x:v>
      </x:c>
      <x:c r="K2886" s="8" t="n">
        <x:f>H2886-I2886*J2886</x:f>
        <x:v>0.3570476347885252</x:v>
      </x:c>
      <x:c r="L2886" s="8" t="n">
        <x:f>'PG facts'!E129</x:f>
        <x:v>0</x:v>
      </x:c>
      <x:c r="M2886" s="8" t="n">
        <x:f>K2886-L2886</x:f>
        <x:v>0.3570476347885252</x:v>
      </x:c>
      <x:c r="N2886" s="8" t="n">
        <x:f>M2886^2</x:f>
        <x:v>0.12748301350808006</x:v>
      </x:c>
      <x:c r="O2886" s="8" t="n">
        <x:f>ABS(M2886)</x:f>
        <x:v>0.3570476347885252</x:v>
      </x:c>
      <x:c r="P2886" s="7" t="n">
        <x:v>45867</x:v>
      </x:c>
    </x:row>
    <x:row r="2887" ht="26" customHeight="1">
      <x:c r="A2887" s="2"/>
      <x:c r="B2887" s="2" t="n">
        <x:v>2882</x:v>
      </x:c>
      <x:c r="C2887" s="2" t="str">
        <x:v>Baby, Feminine &amp; Family Care / organic_volume_growth</x:v>
      </x:c>
      <x:c r="D2887" s="7" t="n">
        <x:v>45838</x:v>
      </x:c>
      <x:c r="E2887" s="2" t="str">
        <x:v>Pre-earnings</x:v>
      </x:c>
      <x:c r="F2887" s="7" t="n">
        <x:v>45866</x:v>
      </x:c>
      <x:c r="G2887" s="2" t="str">
        <x:v>Half correction</x:v>
      </x:c>
      <x:c r="H2887" s="8" t="n">
        <x:f>K1994</x:f>
        <x:v>-1.413148028456753</x:v>
      </x:c>
      <x:c r="I2887" s="8" t="n">
        <x:f>AVERAGE(M1929,M1946,M1962,M1978)</x:f>
        <x:v>-1.7701956632452782</x:v>
      </x:c>
      <x:c r="J2887" s="8" t="n">
        <x:v>0.5</x:v>
      </x:c>
      <x:c r="K2887" s="8" t="n">
        <x:f>H2887-I2887*J2887</x:f>
        <x:v>-0.5280501968341139</x:v>
      </x:c>
      <x:c r="L2887" s="8" t="n">
        <x:f>'PG facts'!E129</x:f>
        <x:v>0</x:v>
      </x:c>
      <x:c r="M2887" s="8" t="n">
        <x:f>K2887-L2887</x:f>
        <x:v>-0.5280501968341139</x:v>
      </x:c>
      <x:c r="N2887" s="8" t="n">
        <x:f>M2887^2</x:f>
        <x:v>0.27883701037654646</x:v>
      </x:c>
      <x:c r="O2887" s="8" t="n">
        <x:f>ABS(M2887)</x:f>
        <x:v>0.5280501968341139</x:v>
      </x:c>
      <x:c r="P2887" s="7" t="n">
        <x:v>45867</x:v>
      </x:c>
    </x:row>
    <x:row r="2888" ht="26" customHeight="1">
      <x:c r="A2888" s="2"/>
      <x:c r="B2888" s="2" t="n">
        <x:v>2883</x:v>
      </x:c>
      <x:c r="C2888" s="2" t="str">
        <x:v>Baby, Feminine &amp; Family Care / organic_volume_growth</x:v>
      </x:c>
      <x:c r="D2888" s="7" t="n">
        <x:v>45930</x:v>
      </x:c>
      <x:c r="E2888" s="2" t="str">
        <x:v>Origin</x:v>
      </x:c>
      <x:c r="F2888" s="7" t="n">
        <x:v>45839</x:v>
      </x:c>
      <x:c r="G2888" s="2" t="str">
        <x:v>Bias correction</x:v>
      </x:c>
      <x:c r="H2888" s="8" t="n">
        <x:f>K2000</x:f>
        <x:v>-1.416490729360728</x:v>
      </x:c>
      <x:c r="I2888" s="8" t="n">
        <x:f>AVERAGE(M1919,M1935,M1952,M1968)</x:f>
        <x:v>-1.897875058244597</x:v>
      </x:c>
      <x:c r="J2888" s="8" t="n">
        <x:v>1</x:v>
      </x:c>
      <x:c r="K2888" s="8" t="n">
        <x:f>H2888-I2888*J2888</x:f>
        <x:v>0.48138432888386884</x:v>
      </x:c>
      <x:c r="L2888" s="8" t="n">
        <x:f>'PG facts'!E136</x:f>
        <x:v>0</x:v>
      </x:c>
      <x:c r="M2888" s="8" t="n">
        <x:f>K2888-L2888</x:f>
        <x:v>0.48138432888386884</x:v>
      </x:c>
      <x:c r="N2888" s="8" t="n">
        <x:f>M2888^2</x:f>
        <x:v>0.2317308720949728</x:v>
      </x:c>
      <x:c r="O2888" s="8" t="n">
        <x:f>ABS(M2888)</x:f>
        <x:v>0.48138432888386884</x:v>
      </x:c>
      <x:c r="P2888" s="7" t="n">
        <x:v>45954</x:v>
      </x:c>
    </x:row>
    <x:row r="2889" ht="26" customHeight="1">
      <x:c r="A2889" s="2"/>
      <x:c r="B2889" s="2" t="n">
        <x:v>2884</x:v>
      </x:c>
      <x:c r="C2889" s="2" t="str">
        <x:v>Baby, Feminine &amp; Family Care / organic_volume_growth</x:v>
      </x:c>
      <x:c r="D2889" s="7" t="n">
        <x:v>45930</x:v>
      </x:c>
      <x:c r="E2889" s="2" t="str">
        <x:v>Origin</x:v>
      </x:c>
      <x:c r="F2889" s="7" t="n">
        <x:v>45839</x:v>
      </x:c>
      <x:c r="G2889" s="2" t="str">
        <x:v>Half correction</x:v>
      </x:c>
      <x:c r="H2889" s="8" t="n">
        <x:f>K2000</x:f>
        <x:v>-1.416490729360728</x:v>
      </x:c>
      <x:c r="I2889" s="8" t="n">
        <x:f>AVERAGE(M1919,M1935,M1952,M1968)</x:f>
        <x:v>-1.897875058244597</x:v>
      </x:c>
      <x:c r="J2889" s="8" t="n">
        <x:v>0.5</x:v>
      </x:c>
      <x:c r="K2889" s="8" t="n">
        <x:f>H2889-I2889*J2889</x:f>
        <x:v>-0.4675532002384296</x:v>
      </x:c>
      <x:c r="L2889" s="8" t="n">
        <x:f>'PG facts'!E136</x:f>
        <x:v>0</x:v>
      </x:c>
      <x:c r="M2889" s="8" t="n">
        <x:f>K2889-L2889</x:f>
        <x:v>-0.4675532002384296</x:v>
      </x:c>
      <x:c r="N2889" s="8" t="n">
        <x:f>M2889^2</x:f>
        <x:v>0.21860599505319706</x:v>
      </x:c>
      <x:c r="O2889" s="8" t="n">
        <x:f>ABS(M2889)</x:f>
        <x:v>0.4675532002384296</x:v>
      </x:c>
      <x:c r="P2889" s="7" t="n">
        <x:v>45954</x:v>
      </x:c>
    </x:row>
    <x:row r="2890" ht="26" customHeight="1">
      <x:c r="A2890" s="2"/>
      <x:c r="B2890" s="2" t="n">
        <x:v>2885</x:v>
      </x:c>
      <x:c r="C2890" s="2" t="str">
        <x:v>Baby, Feminine &amp; Family Care / organic_volume_growth</x:v>
      </x:c>
      <x:c r="D2890" s="7" t="n">
        <x:v>45930</x:v>
      </x:c>
      <x:c r="E2890" s="2" t="str">
        <x:v>Prior report</x:v>
      </x:c>
      <x:c r="F2890" s="7" t="n">
        <x:v>45867</x:v>
      </x:c>
      <x:c r="G2890" s="2" t="str">
        <x:v>Bias correction</x:v>
      </x:c>
      <x:c r="H2890" s="8" t="n">
        <x:f>K2005</x:f>
        <x:v>-1.416490729360728</x:v>
      </x:c>
      <x:c r="I2890" s="8" t="n">
        <x:f>AVERAGE(M1940,M1957,M1973,M1989)</x:f>
        <x:v>-1.9996172300817587</x:v>
      </x:c>
      <x:c r="J2890" s="8" t="n">
        <x:v>1</x:v>
      </x:c>
      <x:c r="K2890" s="8" t="n">
        <x:f>H2890-I2890*J2890</x:f>
        <x:v>0.5831265007210307</x:v>
      </x:c>
      <x:c r="L2890" s="8" t="n">
        <x:f>'PG facts'!E136</x:f>
        <x:v>0</x:v>
      </x:c>
      <x:c r="M2890" s="8" t="n">
        <x:f>K2890-L2890</x:f>
        <x:v>0.5831265007210307</x:v>
      </x:c>
      <x:c r="N2890" s="8" t="n">
        <x:f>M2890^2</x:f>
        <x:v>0.3400365158431542</x:v>
      </x:c>
      <x:c r="O2890" s="8" t="n">
        <x:f>ABS(M2890)</x:f>
        <x:v>0.5831265007210307</x:v>
      </x:c>
      <x:c r="P2890" s="7" t="n">
        <x:v>45954</x:v>
      </x:c>
    </x:row>
    <x:row r="2891" ht="26" customHeight="1">
      <x:c r="A2891" s="2"/>
      <x:c r="B2891" s="2" t="n">
        <x:v>2886</x:v>
      </x:c>
      <x:c r="C2891" s="2" t="str">
        <x:v>Baby, Feminine &amp; Family Care / organic_volume_growth</x:v>
      </x:c>
      <x:c r="D2891" s="7" t="n">
        <x:v>45930</x:v>
      </x:c>
      <x:c r="E2891" s="2" t="str">
        <x:v>Prior report</x:v>
      </x:c>
      <x:c r="F2891" s="7" t="n">
        <x:v>45867</x:v>
      </x:c>
      <x:c r="G2891" s="2" t="str">
        <x:v>Half correction</x:v>
      </x:c>
      <x:c r="H2891" s="8" t="n">
        <x:f>K2005</x:f>
        <x:v>-1.416490729360728</x:v>
      </x:c>
      <x:c r="I2891" s="8" t="n">
        <x:f>AVERAGE(M1940,M1957,M1973,M1989)</x:f>
        <x:v>-1.9996172300817587</x:v>
      </x:c>
      <x:c r="J2891" s="8" t="n">
        <x:v>0.5</x:v>
      </x:c>
      <x:c r="K2891" s="8" t="n">
        <x:f>H2891-I2891*J2891</x:f>
        <x:v>-0.4166821143198487</x:v>
      </x:c>
      <x:c r="L2891" s="8" t="n">
        <x:f>'PG facts'!E136</x:f>
        <x:v>0</x:v>
      </x:c>
      <x:c r="M2891" s="8" t="n">
        <x:f>K2891-L2891</x:f>
        <x:v>-0.4166821143198487</x:v>
      </x:c>
      <x:c r="N2891" s="8" t="n">
        <x:f>M2891^2</x:f>
        <x:v>0.17362398439405946</x:v>
      </x:c>
      <x:c r="O2891" s="8" t="n">
        <x:f>ABS(M2891)</x:f>
        <x:v>0.4166821143198487</x:v>
      </x:c>
      <x:c r="P2891" s="7" t="n">
        <x:v>45954</x:v>
      </x:c>
    </x:row>
    <x:row r="2892" ht="26" customHeight="1">
      <x:c r="A2892" s="2"/>
      <x:c r="B2892" s="2" t="n">
        <x:v>2887</x:v>
      </x:c>
      <x:c r="C2892" s="2" t="str">
        <x:v>Baby, Feminine &amp; Family Care / organic_volume_growth</x:v>
      </x:c>
      <x:c r="D2892" s="7" t="n">
        <x:v>45930</x:v>
      </x:c>
      <x:c r="E2892" s="2" t="str">
        <x:v>Pre-earnings</x:v>
      </x:c>
      <x:c r="F2892" s="7" t="n">
        <x:v>45953</x:v>
      </x:c>
      <x:c r="G2892" s="2" t="str">
        <x:v>Bias correction</x:v>
      </x:c>
      <x:c r="H2892" s="8" t="n">
        <x:f>K2010</x:f>
        <x:v>-1.3026930744795668</x:v>
      </x:c>
      <x:c r="I2892" s="8" t="n">
        <x:f>AVERAGE(M1946,M1962,M1978,M1994)</x:f>
        <x:v>-1.8698884091496453</x:v>
      </x:c>
      <x:c r="J2892" s="8" t="n">
        <x:v>1</x:v>
      </x:c>
      <x:c r="K2892" s="8" t="n">
        <x:f>H2892-I2892*J2892</x:f>
        <x:v>0.5671953346700784</x:v>
      </x:c>
      <x:c r="L2892" s="8" t="n">
        <x:f>'PG facts'!E136</x:f>
        <x:v>0</x:v>
      </x:c>
      <x:c r="M2892" s="8" t="n">
        <x:f>K2892-L2892</x:f>
        <x:v>0.5671953346700784</x:v>
      </x:c>
      <x:c r="N2892" s="8" t="n">
        <x:f>M2892^2</x:f>
        <x:v>0.32171054767150226</x:v>
      </x:c>
      <x:c r="O2892" s="8" t="n">
        <x:f>ABS(M2892)</x:f>
        <x:v>0.5671953346700784</x:v>
      </x:c>
      <x:c r="P2892" s="7" t="n">
        <x:v>45954</x:v>
      </x:c>
    </x:row>
    <x:row r="2893" ht="26" customHeight="1">
      <x:c r="A2893" s="2"/>
      <x:c r="B2893" s="2" t="n">
        <x:v>2888</x:v>
      </x:c>
      <x:c r="C2893" s="2" t="str">
        <x:v>Baby, Feminine &amp; Family Care / organic_volume_growth</x:v>
      </x:c>
      <x:c r="D2893" s="7" t="n">
        <x:v>45930</x:v>
      </x:c>
      <x:c r="E2893" s="2" t="str">
        <x:v>Pre-earnings</x:v>
      </x:c>
      <x:c r="F2893" s="7" t="n">
        <x:v>45953</x:v>
      </x:c>
      <x:c r="G2893" s="2" t="str">
        <x:v>Half correction</x:v>
      </x:c>
      <x:c r="H2893" s="8" t="n">
        <x:f>K2010</x:f>
        <x:v>-1.3026930744795668</x:v>
      </x:c>
      <x:c r="I2893" s="8" t="n">
        <x:f>AVERAGE(M1946,M1962,M1978,M1994)</x:f>
        <x:v>-1.8698884091496453</x:v>
      </x:c>
      <x:c r="J2893" s="8" t="n">
        <x:v>0.5</x:v>
      </x:c>
      <x:c r="K2893" s="8" t="n">
        <x:f>H2893-I2893*J2893</x:f>
        <x:v>-0.3677488699047442</x:v>
      </x:c>
      <x:c r="L2893" s="8" t="n">
        <x:f>'PG facts'!E136</x:f>
        <x:v>0</x:v>
      </x:c>
      <x:c r="M2893" s="8" t="n">
        <x:f>K2893-L2893</x:f>
        <x:v>-0.3677488699047442</x:v>
      </x:c>
      <x:c r="N2893" s="8" t="n">
        <x:f>M2893^2</x:f>
        <x:v>0.13523923131621648</x:v>
      </x:c>
      <x:c r="O2893" s="8" t="n">
        <x:f>ABS(M2893)</x:f>
        <x:v>0.3677488699047442</x:v>
      </x:c>
      <x:c r="P2893" s="7" t="n">
        <x:v>45954</x:v>
      </x:c>
    </x:row>
    <x:row r="2894" ht="26" customHeight="1">
      <x:c r="A2894" s="2"/>
      <x:c r="B2894" s="2" t="n">
        <x:v>2889</x:v>
      </x:c>
      <x:c r="C2894" s="2" t="str">
        <x:v>Baby, Feminine &amp; Family Care / organic_volume_growth</x:v>
      </x:c>
      <x:c r="D2894" s="7" t="n">
        <x:v>46022</x:v>
      </x:c>
      <x:c r="E2894" s="2" t="str">
        <x:v>Origin</x:v>
      </x:c>
      <x:c r="F2894" s="7" t="n">
        <x:v>45931</x:v>
      </x:c>
      <x:c r="G2894" s="2" t="str">
        <x:v>Bias correction</x:v>
      </x:c>
      <x:c r="H2894" s="8" t="n">
        <x:f>K2016</x:f>
        <x:v>-1.3014838120852832</x:v>
      </x:c>
      <x:c r="I2894" s="8" t="n">
        <x:f>AVERAGE(M1935,M1952,M1968,M1984)</x:f>
        <x:v>-2.018038707378346</x:v>
      </x:c>
      <x:c r="J2894" s="8" t="n">
        <x:v>1</x:v>
      </x:c>
      <x:c r="K2894" s="8" t="n">
        <x:f>H2894-I2894*J2894</x:f>
        <x:v>0.7165548952930627</x:v>
      </x:c>
      <x:c r="L2894" s="8" t="n">
        <x:f>'PG facts'!E143</x:f>
        <x:v>-5</x:v>
      </x:c>
      <x:c r="M2894" s="8" t="n">
        <x:f>K2894-L2894</x:f>
        <x:v>5.716554895293063</x:v>
      </x:c>
      <x:c r="N2894" s="8" t="n">
        <x:f>M2894^2</x:f>
        <x:v>32.678999870899084</x:v>
      </x:c>
      <x:c r="O2894" s="8" t="n">
        <x:f>ABS(M2894)</x:f>
        <x:v>5.716554895293063</x:v>
      </x:c>
      <x:c r="P2894" s="7" t="n">
        <x:v>46045</x:v>
      </x:c>
    </x:row>
    <x:row r="2895" ht="26" customHeight="1">
      <x:c r="A2895" s="2"/>
      <x:c r="B2895" s="2" t="n">
        <x:v>2890</x:v>
      </x:c>
      <x:c r="C2895" s="2" t="str">
        <x:v>Baby, Feminine &amp; Family Care / organic_volume_growth</x:v>
      </x:c>
      <x:c r="D2895" s="7" t="n">
        <x:v>46022</x:v>
      </x:c>
      <x:c r="E2895" s="2" t="str">
        <x:v>Origin</x:v>
      </x:c>
      <x:c r="F2895" s="7" t="n">
        <x:v>45931</x:v>
      </x:c>
      <x:c r="G2895" s="2" t="str">
        <x:v>Half correction</x:v>
      </x:c>
      <x:c r="H2895" s="8" t="n">
        <x:f>K2016</x:f>
        <x:v>-1.3014838120852832</x:v>
      </x:c>
      <x:c r="I2895" s="8" t="n">
        <x:f>AVERAGE(M1935,M1952,M1968,M1984)</x:f>
        <x:v>-2.018038707378346</x:v>
      </x:c>
      <x:c r="J2895" s="8" t="n">
        <x:v>0.5</x:v>
      </x:c>
      <x:c r="K2895" s="8" t="n">
        <x:f>H2895-I2895*J2895</x:f>
        <x:v>-0.29246445839611024</x:v>
      </x:c>
      <x:c r="L2895" s="8" t="n">
        <x:f>'PG facts'!E143</x:f>
        <x:v>-5</x:v>
      </x:c>
      <x:c r="M2895" s="8" t="n">
        <x:f>K2895-L2895</x:f>
        <x:v>4.70753554160389</x:v>
      </x:c>
      <x:c r="N2895" s="8" t="n">
        <x:f>M2895^2</x:f>
        <x:v>22.160890875463828</x:v>
      </x:c>
      <x:c r="O2895" s="8" t="n">
        <x:f>ABS(M2895)</x:f>
        <x:v>4.70753554160389</x:v>
      </x:c>
      <x:c r="P2895" s="7" t="n">
        <x:v>46045</x:v>
      </x:c>
    </x:row>
    <x:row r="2896" ht="26" customHeight="1">
      <x:c r="A2896" s="2"/>
      <x:c r="B2896" s="2" t="n">
        <x:v>2891</x:v>
      </x:c>
      <x:c r="C2896" s="2" t="str">
        <x:v>Baby, Feminine &amp; Family Care / organic_volume_growth</x:v>
      </x:c>
      <x:c r="D2896" s="7" t="n">
        <x:v>46022</x:v>
      </x:c>
      <x:c r="E2896" s="2" t="str">
        <x:v>Prior report</x:v>
      </x:c>
      <x:c r="F2896" s="7" t="n">
        <x:v>45954</x:v>
      </x:c>
      <x:c r="G2896" s="2" t="str">
        <x:v>Bias correction</x:v>
      </x:c>
      <x:c r="H2896" s="8" t="n">
        <x:f>K2021</x:f>
        <x:v>-1.3014838120852832</x:v>
      </x:c>
      <x:c r="I2896" s="8" t="n">
        <x:f>AVERAGE(M1957,M1973,M1989,M2005)</x:f>
        <x:v>-2.120346134384701</x:v>
      </x:c>
      <x:c r="J2896" s="8" t="n">
        <x:v>1</x:v>
      </x:c>
      <x:c r="K2896" s="8" t="n">
        <x:f>H2896-I2896*J2896</x:f>
        <x:v>0.818862322299418</x:v>
      </x:c>
      <x:c r="L2896" s="8" t="n">
        <x:f>'PG facts'!E143</x:f>
        <x:v>-5</x:v>
      </x:c>
      <x:c r="M2896" s="8" t="n">
        <x:f>K2896-L2896</x:f>
        <x:v>5.8188623222994185</x:v>
      </x:c>
      <x:c r="N2896" s="8" t="n">
        <x:f>M2896^2</x:f>
        <x:v>33.85915872587578</x:v>
      </x:c>
      <x:c r="O2896" s="8" t="n">
        <x:f>ABS(M2896)</x:f>
        <x:v>5.8188623222994185</x:v>
      </x:c>
      <x:c r="P2896" s="7" t="n">
        <x:v>46045</x:v>
      </x:c>
    </x:row>
    <x:row r="2897" ht="26" customHeight="1">
      <x:c r="A2897" s="2"/>
      <x:c r="B2897" s="2" t="n">
        <x:v>2892</x:v>
      </x:c>
      <x:c r="C2897" s="2" t="str">
        <x:v>Baby, Feminine &amp; Family Care / organic_volume_growth</x:v>
      </x:c>
      <x:c r="D2897" s="7" t="n">
        <x:v>46022</x:v>
      </x:c>
      <x:c r="E2897" s="2" t="str">
        <x:v>Prior report</x:v>
      </x:c>
      <x:c r="F2897" s="7" t="n">
        <x:v>45954</x:v>
      </x:c>
      <x:c r="G2897" s="2" t="str">
        <x:v>Half correction</x:v>
      </x:c>
      <x:c r="H2897" s="8" t="n">
        <x:f>K2021</x:f>
        <x:v>-1.3014838120852832</x:v>
      </x:c>
      <x:c r="I2897" s="8" t="n">
        <x:f>AVERAGE(M1957,M1973,M1989,M2005)</x:f>
        <x:v>-2.120346134384701</x:v>
      </x:c>
      <x:c r="J2897" s="8" t="n">
        <x:v>0.5</x:v>
      </x:c>
      <x:c r="K2897" s="8" t="n">
        <x:f>H2897-I2897*J2897</x:f>
        <x:v>-0.24131074489293258</x:v>
      </x:c>
      <x:c r="L2897" s="8" t="n">
        <x:f>'PG facts'!E143</x:f>
        <x:v>-5</x:v>
      </x:c>
      <x:c r="M2897" s="8" t="n">
        <x:f>K2897-L2897</x:f>
        <x:v>4.758689255107067</x:v>
      </x:c>
      <x:c r="N2897" s="8" t="n">
        <x:f>M2897^2</x:f>
        <x:v>22.645123426671457</x:v>
      </x:c>
      <x:c r="O2897" s="8" t="n">
        <x:f>ABS(M2897)</x:f>
        <x:v>4.758689255107067</x:v>
      </x:c>
      <x:c r="P2897" s="7" t="n">
        <x:v>46045</x:v>
      </x:c>
    </x:row>
    <x:row r="2898" ht="26" customHeight="1">
      <x:c r="A2898" s="2"/>
      <x:c r="B2898" s="2" t="n">
        <x:v>2893</x:v>
      </x:c>
      <x:c r="C2898" s="2" t="str">
        <x:v>Baby, Feminine &amp; Family Care / organic_volume_growth</x:v>
      </x:c>
      <x:c r="D2898" s="7" t="n">
        <x:v>46022</x:v>
      </x:c>
      <x:c r="E2898" s="2" t="str">
        <x:v>Pre-earnings</x:v>
      </x:c>
      <x:c r="F2898" s="7" t="n">
        <x:v>46044</x:v>
      </x:c>
      <x:c r="G2898" s="2" t="str">
        <x:v>Bias correction</x:v>
      </x:c>
      <x:c r="H2898" s="8" t="n">
        <x:f>K2026</x:f>
        <x:v>-1.2729819648380343</x:v>
      </x:c>
      <x:c r="I2898" s="8" t="n">
        <x:f>AVERAGE(M1962,M1978,M1994,M2010)</x:f>
        <x:v>-1.980077228459163</x:v>
      </x:c>
      <x:c r="J2898" s="8" t="n">
        <x:v>1</x:v>
      </x:c>
      <x:c r="K2898" s="8" t="n">
        <x:f>H2898-I2898*J2898</x:f>
        <x:v>0.7070952636211287</x:v>
      </x:c>
      <x:c r="L2898" s="8" t="n">
        <x:f>'PG facts'!E143</x:f>
        <x:v>-5</x:v>
      </x:c>
      <x:c r="M2898" s="8" t="n">
        <x:f>K2898-L2898</x:f>
        <x:v>5.707095263621129</x:v>
      </x:c>
      <x:c r="N2898" s="8" t="n">
        <x:f>M2898^2</x:f>
        <x:v>32.57093634804673</x:v>
      </x:c>
      <x:c r="O2898" s="8" t="n">
        <x:f>ABS(M2898)</x:f>
        <x:v>5.707095263621129</x:v>
      </x:c>
      <x:c r="P2898" s="7" t="n">
        <x:v>46045</x:v>
      </x:c>
    </x:row>
    <x:row r="2899" ht="26" customHeight="1">
      <x:c r="A2899" s="2"/>
      <x:c r="B2899" s="2" t="n">
        <x:v>2894</x:v>
      </x:c>
      <x:c r="C2899" s="2" t="str">
        <x:v>Baby, Feminine &amp; Family Care / organic_volume_growth</x:v>
      </x:c>
      <x:c r="D2899" s="7" t="n">
        <x:v>46022</x:v>
      </x:c>
      <x:c r="E2899" s="2" t="str">
        <x:v>Pre-earnings</x:v>
      </x:c>
      <x:c r="F2899" s="7" t="n">
        <x:v>46044</x:v>
      </x:c>
      <x:c r="G2899" s="2" t="str">
        <x:v>Half correction</x:v>
      </x:c>
      <x:c r="H2899" s="8" t="n">
        <x:f>K2026</x:f>
        <x:v>-1.2729819648380343</x:v>
      </x:c>
      <x:c r="I2899" s="8" t="n">
        <x:f>AVERAGE(M1962,M1978,M1994,M2010)</x:f>
        <x:v>-1.980077228459163</x:v>
      </x:c>
      <x:c r="J2899" s="8" t="n">
        <x:v>0.5</x:v>
      </x:c>
      <x:c r="K2899" s="8" t="n">
        <x:f>H2899-I2899*J2899</x:f>
        <x:v>-0.28294335060845277</x:v>
      </x:c>
      <x:c r="L2899" s="8" t="n">
        <x:f>'PG facts'!E143</x:f>
        <x:v>-5</x:v>
      </x:c>
      <x:c r="M2899" s="8" t="n">
        <x:f>K2899-L2899</x:f>
        <x:v>4.717056649391547</x:v>
      </x:c>
      <x:c r="N2899" s="8" t="n">
        <x:f>M2899^2</x:f>
        <x:v>22.250623433569007</x:v>
      </x:c>
      <x:c r="O2899" s="8" t="n">
        <x:f>ABS(M2899)</x:f>
        <x:v>4.717056649391547</x:v>
      </x:c>
      <x:c r="P2899" s="7" t="n">
        <x:v>46045</x:v>
      </x:c>
    </x:row>
    <x:row r="2900" ht="26" customHeight="1">
      <x:c r="A2900" s="2"/>
      <x:c r="B2900" s="2" t="n">
        <x:v>2895</x:v>
      </x:c>
      <x:c r="C2900" s="2" t="str">
        <x:v>Baby, Feminine &amp; Family Care / organic_volume_growth</x:v>
      </x:c>
      <x:c r="D2900" s="7" t="n">
        <x:v>46112</x:v>
      </x:c>
      <x:c r="E2900" s="2" t="str">
        <x:v>Origin</x:v>
      </x:c>
      <x:c r="F2900" s="7" t="n">
        <x:v>46023</x:v>
      </x:c>
      <x:c r="G2900" s="2" t="str">
        <x:v>Bias correction</x:v>
      </x:c>
      <x:c r="H2900" s="8" t="n">
        <x:f>K2032</x:f>
        <x:v>-1.2622665186845357</x:v>
      </x:c>
      <x:c r="I2900" s="8" t="n">
        <x:f>AVERAGE(M1952,M1968,M1984,M2000)</x:f>
        <x:v>-2.120346134384701</x:v>
      </x:c>
      <x:c r="J2900" s="8" t="n">
        <x:v>1</x:v>
      </x:c>
      <x:c r="K2900" s="8" t="n">
        <x:f>H2900-I2900*J2900</x:f>
        <x:v>0.8580796157001656</x:v>
      </x:c>
      <x:c r="L2900" s="8" t="n">
        <x:f>'PG facts'!E150</x:f>
        <x:v>3</x:v>
      </x:c>
      <x:c r="M2900" s="8" t="n">
        <x:f>K2900-L2900</x:f>
        <x:v>-2.1419203842998344</x:v>
      </x:c>
      <x:c r="N2900" s="8" t="n">
        <x:f>M2900^2</x:f>
        <x:v>4.587822932679151</x:v>
      </x:c>
      <x:c r="O2900" s="8" t="n">
        <x:f>ABS(M2900)</x:f>
        <x:v>2.1419203842998344</x:v>
      </x:c>
      <x:c r="P2900" s="7" t="n">
        <x:v>46136</x:v>
      </x:c>
    </x:row>
    <x:row r="2901" ht="26" customHeight="1">
      <x:c r="A2901" s="2"/>
      <x:c r="B2901" s="2" t="n">
        <x:v>2896</x:v>
      </x:c>
      <x:c r="C2901" s="2" t="str">
        <x:v>Baby, Feminine &amp; Family Care / organic_volume_growth</x:v>
      </x:c>
      <x:c r="D2901" s="7" t="n">
        <x:v>46112</x:v>
      </x:c>
      <x:c r="E2901" s="2" t="str">
        <x:v>Origin</x:v>
      </x:c>
      <x:c r="F2901" s="7" t="n">
        <x:v>46023</x:v>
      </x:c>
      <x:c r="G2901" s="2" t="str">
        <x:v>Half correction</x:v>
      </x:c>
      <x:c r="H2901" s="8" t="n">
        <x:f>K2032</x:f>
        <x:v>-1.2622665186845357</x:v>
      </x:c>
      <x:c r="I2901" s="8" t="n">
        <x:f>AVERAGE(M1952,M1968,M1984,M2000)</x:f>
        <x:v>-2.120346134384701</x:v>
      </x:c>
      <x:c r="J2901" s="8" t="n">
        <x:v>0.5</x:v>
      </x:c>
      <x:c r="K2901" s="8" t="n">
        <x:f>H2901-I2901*J2901</x:f>
        <x:v>-0.20209345149218505</x:v>
      </x:c>
      <x:c r="L2901" s="8" t="n">
        <x:f>'PG facts'!E150</x:f>
        <x:v>3</x:v>
      </x:c>
      <x:c r="M2901" s="8" t="n">
        <x:f>K2901-L2901</x:f>
        <x:v>-3.202093451492185</x:v>
      </x:c>
      <x:c r="N2901" s="8" t="n">
        <x:f>M2901^2</x:f>
        <x:v>10.253402472089135</x:v>
      </x:c>
      <x:c r="O2901" s="8" t="n">
        <x:f>ABS(M2901)</x:f>
        <x:v>3.202093451492185</x:v>
      </x:c>
      <x:c r="P2901" s="7" t="n">
        <x:v>46136</x:v>
      </x:c>
    </x:row>
    <x:row r="2902" ht="26" customHeight="1">
      <x:c r="A2902" s="2"/>
      <x:c r="B2902" s="2" t="n">
        <x:v>2897</x:v>
      </x:c>
      <x:c r="C2902" s="2" t="str">
        <x:v>Baby, Feminine &amp; Family Care / organic_volume_growth</x:v>
      </x:c>
      <x:c r="D2902" s="7" t="n">
        <x:v>46112</x:v>
      </x:c>
      <x:c r="E2902" s="2" t="str">
        <x:v>Prior report</x:v>
      </x:c>
      <x:c r="F2902" s="7" t="n">
        <x:v>46045</x:v>
      </x:c>
      <x:c r="G2902" s="2" t="str">
        <x:v>Bias correction</x:v>
      </x:c>
      <x:c r="H2902" s="8" t="n">
        <x:f>K2037</x:f>
        <x:v>-1.293893691051227</x:v>
      </x:c>
      <x:c r="I2902" s="8" t="n">
        <x:f>AVERAGE(M1973,M1989,M2005,M2021)</x:f>
        <x:v>0.26990526373246604</x:v>
      </x:c>
      <x:c r="J2902" s="8" t="n">
        <x:v>1</x:v>
      </x:c>
      <x:c r="K2902" s="8" t="n">
        <x:f>H2902-I2902*J2902</x:f>
        <x:v>-1.5637989547836932</x:v>
      </x:c>
      <x:c r="L2902" s="8" t="n">
        <x:f>'PG facts'!E150</x:f>
        <x:v>3</x:v>
      </x:c>
      <x:c r="M2902" s="8" t="n">
        <x:f>K2902-L2902</x:f>
        <x:v>-4.563798954783693</x:v>
      </x:c>
      <x:c r="N2902" s="8" t="n">
        <x:f>M2902^2</x:f>
        <x:v>20.828260899684732</x:v>
      </x:c>
      <x:c r="O2902" s="8" t="n">
        <x:f>ABS(M2902)</x:f>
        <x:v>4.563798954783693</x:v>
      </x:c>
      <x:c r="P2902" s="7" t="n">
        <x:v>46136</x:v>
      </x:c>
    </x:row>
    <x:row r="2903" ht="26" customHeight="1">
      <x:c r="A2903" s="2"/>
      <x:c r="B2903" s="2" t="n">
        <x:v>2898</x:v>
      </x:c>
      <x:c r="C2903" s="2" t="str">
        <x:v>Baby, Feminine &amp; Family Care / organic_volume_growth</x:v>
      </x:c>
      <x:c r="D2903" s="7" t="n">
        <x:v>46112</x:v>
      </x:c>
      <x:c r="E2903" s="2" t="str">
        <x:v>Prior report</x:v>
      </x:c>
      <x:c r="F2903" s="7" t="n">
        <x:v>46045</x:v>
      </x:c>
      <x:c r="G2903" s="2" t="str">
        <x:v>Half correction</x:v>
      </x:c>
      <x:c r="H2903" s="8" t="n">
        <x:f>K2037</x:f>
        <x:v>-1.293893691051227</x:v>
      </x:c>
      <x:c r="I2903" s="8" t="n">
        <x:f>AVERAGE(M1973,M1989,M2005,M2021)</x:f>
        <x:v>0.26990526373246604</x:v>
      </x:c>
      <x:c r="J2903" s="8" t="n">
        <x:v>0.5</x:v>
      </x:c>
      <x:c r="K2903" s="8" t="n">
        <x:f>H2903-I2903*J2903</x:f>
        <x:v>-1.4288463229174602</x:v>
      </x:c>
      <x:c r="L2903" s="8" t="n">
        <x:f>'PG facts'!E150</x:f>
        <x:v>3</x:v>
      </x:c>
      <x:c r="M2903" s="8" t="n">
        <x:f>K2903-L2903</x:f>
        <x:v>-4.42884632291746</x:v>
      </x:c>
      <x:c r="N2903" s="8" t="n">
        <x:f>M2903^2</x:f>
        <x:v>19.614679752019505</x:v>
      </x:c>
      <x:c r="O2903" s="8" t="n">
        <x:f>ABS(M2903)</x:f>
        <x:v>4.42884632291746</x:v>
      </x:c>
      <x:c r="P2903" s="7" t="n">
        <x:v>46136</x:v>
      </x:c>
    </x:row>
    <x:row r="2904" ht="26" customHeight="1">
      <x:c r="A2904" s="2"/>
      <x:c r="B2904" s="2" t="n">
        <x:v>2899</x:v>
      </x:c>
      <x:c r="C2904" s="2" t="str">
        <x:v>Baby, Feminine &amp; Family Care / organic_volume_growth</x:v>
      </x:c>
      <x:c r="D2904" s="7" t="n">
        <x:v>46112</x:v>
      </x:c>
      <x:c r="E2904" s="2" t="str">
        <x:v>Pre-earnings</x:v>
      </x:c>
      <x:c r="F2904" s="7" t="n">
        <x:v>46135</x:v>
      </x:c>
      <x:c r="G2904" s="2" t="str">
        <x:v>Bias correction</x:v>
      </x:c>
      <x:c r="H2904" s="8" t="n">
        <x:f>K2042</x:f>
        <x:v>-1.6560184643891116</x:v>
      </x:c>
      <x:c r="I2904" s="8" t="n">
        <x:f>AVERAGE(M1978,M1994,M2010,M2026)</x:f>
        <x:v>0.4022536569892674</x:v>
      </x:c>
      <x:c r="J2904" s="8" t="n">
        <x:v>1</x:v>
      </x:c>
      <x:c r="K2904" s="8" t="n">
        <x:f>H2904-I2904*J2904</x:f>
        <x:v>-2.058272121378379</x:v>
      </x:c>
      <x:c r="L2904" s="8" t="n">
        <x:f>'PG facts'!E150</x:f>
        <x:v>3</x:v>
      </x:c>
      <x:c r="M2904" s="8" t="n">
        <x:f>K2904-L2904</x:f>
        <x:v>-5.058272121378379</x:v>
      </x:c>
      <x:c r="N2904" s="8" t="n">
        <x:f>M2904^2</x:f>
        <x:v>25.586116853913726</x:v>
      </x:c>
      <x:c r="O2904" s="8" t="n">
        <x:f>ABS(M2904)</x:f>
        <x:v>5.058272121378379</x:v>
      </x:c>
      <x:c r="P2904" s="7" t="n">
        <x:v>46136</x:v>
      </x:c>
    </x:row>
    <x:row r="2905" ht="26" customHeight="1">
      <x:c r="A2905" s="2"/>
      <x:c r="B2905" s="2" t="n">
        <x:v>2900</x:v>
      </x:c>
      <x:c r="C2905" s="2" t="str">
        <x:v>Baby, Feminine &amp; Family Care / organic_volume_growth</x:v>
      </x:c>
      <x:c r="D2905" s="7" t="n">
        <x:v>46112</x:v>
      </x:c>
      <x:c r="E2905" s="2" t="str">
        <x:v>Pre-earnings</x:v>
      </x:c>
      <x:c r="F2905" s="7" t="n">
        <x:v>46135</x:v>
      </x:c>
      <x:c r="G2905" s="2" t="str">
        <x:v>Half correction</x:v>
      </x:c>
      <x:c r="H2905" s="8" t="n">
        <x:f>K2042</x:f>
        <x:v>-1.6560184643891116</x:v>
      </x:c>
      <x:c r="I2905" s="8" t="n">
        <x:f>AVERAGE(M1978,M1994,M2010,M2026)</x:f>
        <x:v>0.4022536569892674</x:v>
      </x:c>
      <x:c r="J2905" s="8" t="n">
        <x:v>0.5</x:v>
      </x:c>
      <x:c r="K2905" s="8" t="n">
        <x:f>H2905-I2905*J2905</x:f>
        <x:v>-1.8571452928837453</x:v>
      </x:c>
      <x:c r="L2905" s="8" t="n">
        <x:f>'PG facts'!E150</x:f>
        <x:v>3</x:v>
      </x:c>
      <x:c r="M2905" s="8" t="n">
        <x:f>K2905-L2905</x:f>
        <x:v>-4.857145292883745</x:v>
      </x:c>
      <x:c r="N2905" s="8" t="n">
        <x:f>M2905^2</x:f>
        <x:v>23.59186039618272</x:v>
      </x:c>
      <x:c r="O2905" s="8" t="n">
        <x:f>ABS(M2905)</x:f>
        <x:v>4.857145292883745</x:v>
      </x:c>
      <x:c r="P2905" s="7" t="n">
        <x:v>46136</x:v>
      </x:c>
    </x:row>
    <x:row r="2906" ht="26" customHeight="1">
      <x:c r="A2906" s="2"/>
      <x:c r="B2906" s="2" t="n">
        <x:v>2901</x:v>
      </x:c>
      <x:c r="C2906" s="2" t="str">
        <x:v>Beauty / organic_sales_growth</x:v>
      </x:c>
      <x:c r="D2906" s="7" t="n">
        <x:v>45473</x:v>
      </x:c>
      <x:c r="E2906" s="2" t="str">
        <x:v>Prior report</x:v>
      </x:c>
      <x:c r="F2906" s="7" t="n">
        <x:v>45401</x:v>
      </x:c>
      <x:c r="G2906" s="2" t="str">
        <x:v>Bias correction</x:v>
      </x:c>
      <x:c r="H2906" s="8" t="n">
        <x:f>K2119</x:f>
        <x:v>3.403781165179676</x:v>
      </x:c>
      <x:c r="I2906" s="8" t="n">
        <x:f>AVERAGE(M2052,M2068,M2085,M2102)</x:f>
        <x:v>-0.460891778988354</x:v>
      </x:c>
      <x:c r="J2906" s="8" t="n">
        <x:v>1</x:v>
      </x:c>
      <x:c r="K2906" s="8" t="n">
        <x:f>H2906-I2906*J2906</x:f>
        <x:v>3.86467294416803</x:v>
      </x:c>
      <x:c r="L2906" s="8" t="n">
        <x:f>'PG facts'!F97</x:f>
        <x:v>3</x:v>
      </x:c>
      <x:c r="M2906" s="8" t="n">
        <x:f>K2906-L2906</x:f>
        <x:v>0.8646729441680301</x:v>
      </x:c>
      <x:c r="N2906" s="8" t="n">
        <x:f>M2906^2</x:f>
        <x:v>0.7476593003762093</x:v>
      </x:c>
      <x:c r="O2906" s="8" t="n">
        <x:f>ABS(M2906)</x:f>
        <x:v>0.8646729441680301</x:v>
      </x:c>
      <x:c r="P2906" s="7" t="n">
        <x:v>45503</x:v>
      </x:c>
    </x:row>
    <x:row r="2907" ht="26" customHeight="1">
      <x:c r="A2907" s="2"/>
      <x:c r="B2907" s="2" t="n">
        <x:v>2902</x:v>
      </x:c>
      <x:c r="C2907" s="2" t="str">
        <x:v>Beauty / organic_sales_growth</x:v>
      </x:c>
      <x:c r="D2907" s="7" t="n">
        <x:v>45473</x:v>
      </x:c>
      <x:c r="E2907" s="2" t="str">
        <x:v>Prior report</x:v>
      </x:c>
      <x:c r="F2907" s="7" t="n">
        <x:v>45401</x:v>
      </x:c>
      <x:c r="G2907" s="2" t="str">
        <x:v>Half correction</x:v>
      </x:c>
      <x:c r="H2907" s="8" t="n">
        <x:f>K2119</x:f>
        <x:v>3.403781165179676</x:v>
      </x:c>
      <x:c r="I2907" s="8" t="n">
        <x:f>AVERAGE(M2052,M2068,M2085,M2102)</x:f>
        <x:v>-0.460891778988354</x:v>
      </x:c>
      <x:c r="J2907" s="8" t="n">
        <x:v>0.5</x:v>
      </x:c>
      <x:c r="K2907" s="8" t="n">
        <x:f>H2907-I2907*J2907</x:f>
        <x:v>3.634227054673853</x:v>
      </x:c>
      <x:c r="L2907" s="8" t="n">
        <x:f>'PG facts'!F97</x:f>
        <x:v>3</x:v>
      </x:c>
      <x:c r="M2907" s="8" t="n">
        <x:f>K2907-L2907</x:f>
        <x:v>0.6342270546738531</x:v>
      </x:c>
      <x:c r="N2907" s="8" t="n">
        <x:f>M2907^2</x:f>
        <x:v>0.40224395688027065</x:v>
      </x:c>
      <x:c r="O2907" s="8" t="n">
        <x:f>ABS(M2907)</x:f>
        <x:v>0.6342270546738531</x:v>
      </x:c>
      <x:c r="P2907" s="7" t="n">
        <x:v>45503</x:v>
      </x:c>
    </x:row>
    <x:row r="2908" ht="26" customHeight="1">
      <x:c r="A2908" s="2"/>
      <x:c r="B2908" s="2" t="n">
        <x:v>2903</x:v>
      </x:c>
      <x:c r="C2908" s="2" t="str">
        <x:v>Beauty / organic_sales_growth</x:v>
      </x:c>
      <x:c r="D2908" s="7" t="n">
        <x:v>45473</x:v>
      </x:c>
      <x:c r="E2908" s="2" t="str">
        <x:v>Pre-earnings</x:v>
      </x:c>
      <x:c r="F2908" s="7" t="n">
        <x:v>45502</x:v>
      </x:c>
      <x:c r="G2908" s="2" t="str">
        <x:v>Bias correction</x:v>
      </x:c>
      <x:c r="H2908" s="8" t="n">
        <x:f>K2125</x:f>
        <x:v>3.0986496663646004</x:v>
      </x:c>
      <x:c r="I2908" s="8" t="n">
        <x:f>AVERAGE(M2058,M2074,M2091,M2108)</x:f>
        <x:v>-0.5759095659025109</x:v>
      </x:c>
      <x:c r="J2908" s="8" t="n">
        <x:v>1</x:v>
      </x:c>
      <x:c r="K2908" s="8" t="n">
        <x:f>H2908-I2908*J2908</x:f>
        <x:v>3.6745592322671112</x:v>
      </x:c>
      <x:c r="L2908" s="8" t="n">
        <x:f>'PG facts'!F97</x:f>
        <x:v>3</x:v>
      </x:c>
      <x:c r="M2908" s="8" t="n">
        <x:f>K2908-L2908</x:f>
        <x:v>0.6745592322671112</x:v>
      </x:c>
      <x:c r="N2908" s="8" t="n">
        <x:f>M2908^2</x:f>
        <x:v>0.4550301578367945</x:v>
      </x:c>
      <x:c r="O2908" s="8" t="n">
        <x:f>ABS(M2908)</x:f>
        <x:v>0.6745592322671112</x:v>
      </x:c>
      <x:c r="P2908" s="7" t="n">
        <x:v>45503</x:v>
      </x:c>
    </x:row>
    <x:row r="2909" ht="26" customHeight="1">
      <x:c r="A2909" s="2"/>
      <x:c r="B2909" s="2" t="n">
        <x:v>2904</x:v>
      </x:c>
      <x:c r="C2909" s="2" t="str">
        <x:v>Beauty / organic_sales_growth</x:v>
      </x:c>
      <x:c r="D2909" s="7" t="n">
        <x:v>45473</x:v>
      </x:c>
      <x:c r="E2909" s="2" t="str">
        <x:v>Pre-earnings</x:v>
      </x:c>
      <x:c r="F2909" s="7" t="n">
        <x:v>45502</x:v>
      </x:c>
      <x:c r="G2909" s="2" t="str">
        <x:v>Half correction</x:v>
      </x:c>
      <x:c r="H2909" s="8" t="n">
        <x:f>K2125</x:f>
        <x:v>3.0986496663646004</x:v>
      </x:c>
      <x:c r="I2909" s="8" t="n">
        <x:f>AVERAGE(M2058,M2074,M2091,M2108)</x:f>
        <x:v>-0.5759095659025109</x:v>
      </x:c>
      <x:c r="J2909" s="8" t="n">
        <x:v>0.5</x:v>
      </x:c>
      <x:c r="K2909" s="8" t="n">
        <x:f>H2909-I2909*J2909</x:f>
        <x:v>3.386604449315856</x:v>
      </x:c>
      <x:c r="L2909" s="8" t="n">
        <x:f>'PG facts'!F97</x:f>
        <x:v>3</x:v>
      </x:c>
      <x:c r="M2909" s="8" t="n">
        <x:f>K2909-L2909</x:f>
        <x:v>0.3866044493158558</x:v>
      </x:c>
      <x:c r="N2909" s="8" t="n">
        <x:f>M2909^2</x:f>
        <x:v>0.14946300023081613</x:v>
      </x:c>
      <x:c r="O2909" s="8" t="n">
        <x:f>ABS(M2909)</x:f>
        <x:v>0.3866044493158558</x:v>
      </x:c>
      <x:c r="P2909" s="7" t="n">
        <x:v>45503</x:v>
      </x:c>
    </x:row>
    <x:row r="2910" ht="26" customHeight="1">
      <x:c r="A2910" s="2"/>
      <x:c r="B2910" s="2" t="n">
        <x:v>2905</x:v>
      </x:c>
      <x:c r="C2910" s="2" t="str">
        <x:v>Beauty / organic_sales_growth</x:v>
      </x:c>
      <x:c r="D2910" s="7" t="n">
        <x:v>45565</x:v>
      </x:c>
      <x:c r="E2910" s="2" t="str">
        <x:v>Origin</x:v>
      </x:c>
      <x:c r="F2910" s="7" t="n">
        <x:v>45474</x:v>
      </x:c>
      <x:c r="G2910" s="2" t="str">
        <x:v>Bias correction</x:v>
      </x:c>
      <x:c r="H2910" s="8" t="n">
        <x:f>K2131</x:f>
        <x:v>3.1362292402848473</x:v>
      </x:c>
      <x:c r="I2910" s="8" t="n">
        <x:f>AVERAGE(M2048,M2064,M2080,M2097)</x:f>
        <x:v>-0.6824726373603316</x:v>
      </x:c>
      <x:c r="J2910" s="8" t="n">
        <x:v>1</x:v>
      </x:c>
      <x:c r="K2910" s="8" t="n">
        <x:f>H2910-I2910*J2910</x:f>
        <x:v>3.8187018776451787</x:v>
      </x:c>
      <x:c r="L2910" s="8" t="n">
        <x:f>'PG facts'!F104</x:f>
        <x:v>-2</x:v>
      </x:c>
      <x:c r="M2910" s="8" t="n">
        <x:f>K2910-L2910</x:f>
        <x:v>5.818701877645179</x:v>
      </x:c>
      <x:c r="N2910" s="8" t="n">
        <x:f>M2910^2</x:f>
        <x:v>33.857291540911525</x:v>
      </x:c>
      <x:c r="O2910" s="8" t="n">
        <x:f>ABS(M2910)</x:f>
        <x:v>5.818701877645179</x:v>
      </x:c>
      <x:c r="P2910" s="7" t="n">
        <x:v>45583</x:v>
      </x:c>
    </x:row>
    <x:row r="2911" ht="26" customHeight="1">
      <x:c r="A2911" s="2"/>
      <x:c r="B2911" s="2" t="n">
        <x:v>2906</x:v>
      </x:c>
      <x:c r="C2911" s="2" t="str">
        <x:v>Beauty / organic_sales_growth</x:v>
      </x:c>
      <x:c r="D2911" s="7" t="n">
        <x:v>45565</x:v>
      </x:c>
      <x:c r="E2911" s="2" t="str">
        <x:v>Origin</x:v>
      </x:c>
      <x:c r="F2911" s="7" t="n">
        <x:v>45474</x:v>
      </x:c>
      <x:c r="G2911" s="2" t="str">
        <x:v>Half correction</x:v>
      </x:c>
      <x:c r="H2911" s="8" t="n">
        <x:f>K2131</x:f>
        <x:v>3.1362292402848473</x:v>
      </x:c>
      <x:c r="I2911" s="8" t="n">
        <x:f>AVERAGE(M2048,M2064,M2080,M2097)</x:f>
        <x:v>-0.6824726373603316</x:v>
      </x:c>
      <x:c r="J2911" s="8" t="n">
        <x:v>0.5</x:v>
      </x:c>
      <x:c r="K2911" s="8" t="n">
        <x:f>H2911-I2911*J2911</x:f>
        <x:v>3.477465558965013</x:v>
      </x:c>
      <x:c r="L2911" s="8" t="n">
        <x:f>'PG facts'!F104</x:f>
        <x:v>-2</x:v>
      </x:c>
      <x:c r="M2911" s="8" t="n">
        <x:f>K2911-L2911</x:f>
        <x:v>5.477465558965013</x:v>
      </x:c>
      <x:c r="N2911" s="8" t="n">
        <x:f>M2911^2</x:f>
        <x:v>30.002628949647907</x:v>
      </x:c>
      <x:c r="O2911" s="8" t="n">
        <x:f>ABS(M2911)</x:f>
        <x:v>5.477465558965013</x:v>
      </x:c>
      <x:c r="P2911" s="7" t="n">
        <x:v>45583</x:v>
      </x:c>
    </x:row>
    <x:row r="2912" ht="26" customHeight="1">
      <x:c r="A2912" s="2"/>
      <x:c r="B2912" s="2" t="n">
        <x:v>2907</x:v>
      </x:c>
      <x:c r="C2912" s="2" t="str">
        <x:v>Beauty / organic_sales_growth</x:v>
      </x:c>
      <x:c r="D2912" s="7" t="n">
        <x:v>45565</x:v>
      </x:c>
      <x:c r="E2912" s="2" t="str">
        <x:v>Prior report</x:v>
      </x:c>
      <x:c r="F2912" s="7" t="n">
        <x:v>45503</x:v>
      </x:c>
      <x:c r="G2912" s="2" t="str">
        <x:v>Bias correction</x:v>
      </x:c>
      <x:c r="H2912" s="8" t="n">
        <x:f>K2136</x:f>
        <x:v>3.0760223197901704</x:v>
      </x:c>
      <x:c r="I2912" s="8" t="n">
        <x:f>AVERAGE(M2068,M2085,M2102,M2119)</x:f>
        <x:v>1.4501860222970069</x:v>
      </x:c>
      <x:c r="J2912" s="8" t="n">
        <x:v>1</x:v>
      </x:c>
      <x:c r="K2912" s="8" t="n">
        <x:f>H2912-I2912*J2912</x:f>
        <x:v>1.6258362974931635</x:v>
      </x:c>
      <x:c r="L2912" s="8" t="n">
        <x:f>'PG facts'!F104</x:f>
        <x:v>-2</x:v>
      </x:c>
      <x:c r="M2912" s="8" t="n">
        <x:f>K2912-L2912</x:f>
        <x:v>3.6258362974931635</x:v>
      </x:c>
      <x:c r="N2912" s="8" t="n">
        <x:f>M2912^2</x:f>
        <x:v>13.146688856218933</x:v>
      </x:c>
      <x:c r="O2912" s="8" t="n">
        <x:f>ABS(M2912)</x:f>
        <x:v>3.6258362974931635</x:v>
      </x:c>
      <x:c r="P2912" s="7" t="n">
        <x:v>45583</x:v>
      </x:c>
    </x:row>
    <x:row r="2913" ht="26" customHeight="1">
      <x:c r="A2913" s="2"/>
      <x:c r="B2913" s="2" t="n">
        <x:v>2908</x:v>
      </x:c>
      <x:c r="C2913" s="2" t="str">
        <x:v>Beauty / organic_sales_growth</x:v>
      </x:c>
      <x:c r="D2913" s="7" t="n">
        <x:v>45565</x:v>
      </x:c>
      <x:c r="E2913" s="2" t="str">
        <x:v>Prior report</x:v>
      </x:c>
      <x:c r="F2913" s="7" t="n">
        <x:v>45503</x:v>
      </x:c>
      <x:c r="G2913" s="2" t="str">
        <x:v>Half correction</x:v>
      </x:c>
      <x:c r="H2913" s="8" t="n">
        <x:f>K2136</x:f>
        <x:v>3.0760223197901704</x:v>
      </x:c>
      <x:c r="I2913" s="8" t="n">
        <x:f>AVERAGE(M2068,M2085,M2102,M2119)</x:f>
        <x:v>1.4501860222970069</x:v>
      </x:c>
      <x:c r="J2913" s="8" t="n">
        <x:v>0.5</x:v>
      </x:c>
      <x:c r="K2913" s="8" t="n">
        <x:f>H2913-I2913*J2913</x:f>
        <x:v>2.3509293086416667</x:v>
      </x:c>
      <x:c r="L2913" s="8" t="n">
        <x:f>'PG facts'!F104</x:f>
        <x:v>-2</x:v>
      </x:c>
      <x:c r="M2913" s="8" t="n">
        <x:f>K2913-L2913</x:f>
        <x:v>4.350929308641667</x:v>
      </x:c>
      <x:c r="N2913" s="8" t="n">
        <x:f>M2913^2</x:f>
        <x:v>18.93058584879705</x:v>
      </x:c>
      <x:c r="O2913" s="8" t="n">
        <x:f>ABS(M2913)</x:f>
        <x:v>4.350929308641667</x:v>
      </x:c>
      <x:c r="P2913" s="7" t="n">
        <x:v>45583</x:v>
      </x:c>
    </x:row>
    <x:row r="2914" ht="26" customHeight="1">
      <x:c r="A2914" s="2"/>
      <x:c r="B2914" s="2" t="n">
        <x:v>2909</x:v>
      </x:c>
      <x:c r="C2914" s="2" t="str">
        <x:v>Beauty / organic_sales_growth</x:v>
      </x:c>
      <x:c r="D2914" s="7" t="n">
        <x:v>45565</x:v>
      </x:c>
      <x:c r="E2914" s="2" t="str">
        <x:v>Pre-earnings</x:v>
      </x:c>
      <x:c r="F2914" s="7" t="n">
        <x:v>45582</x:v>
      </x:c>
      <x:c r="G2914" s="2" t="str">
        <x:v>Bias correction</x:v>
      </x:c>
      <x:c r="H2914" s="8" t="n">
        <x:f>K2142</x:f>
        <x:v>3.72020600712463</x:v>
      </x:c>
      <x:c r="I2914" s="8" t="n">
        <x:f>AVERAGE(M2074,M2091,M2108,M2125)</x:f>
        <x:v>1.2046630193944954</x:v>
      </x:c>
      <x:c r="J2914" s="8" t="n">
        <x:v>1</x:v>
      </x:c>
      <x:c r="K2914" s="8" t="n">
        <x:f>H2914-I2914*J2914</x:f>
        <x:v>2.5155429877301345</x:v>
      </x:c>
      <x:c r="L2914" s="8" t="n">
        <x:f>'PG facts'!F104</x:f>
        <x:v>-2</x:v>
      </x:c>
      <x:c r="M2914" s="8" t="n">
        <x:f>K2914-L2914</x:f>
        <x:v>4.515542987730134</x:v>
      </x:c>
      <x:c r="N2914" s="8" t="n">
        <x:f>M2914^2</x:f>
        <x:v>20.390128474038786</x:v>
      </x:c>
      <x:c r="O2914" s="8" t="n">
        <x:f>ABS(M2914)</x:f>
        <x:v>4.515542987730134</x:v>
      </x:c>
      <x:c r="P2914" s="7" t="n">
        <x:v>45583</x:v>
      </x:c>
    </x:row>
    <x:row r="2915" ht="26" customHeight="1">
      <x:c r="A2915" s="2"/>
      <x:c r="B2915" s="2" t="n">
        <x:v>2910</x:v>
      </x:c>
      <x:c r="C2915" s="2" t="str">
        <x:v>Beauty / organic_sales_growth</x:v>
      </x:c>
      <x:c r="D2915" s="7" t="n">
        <x:v>45565</x:v>
      </x:c>
      <x:c r="E2915" s="2" t="str">
        <x:v>Pre-earnings</x:v>
      </x:c>
      <x:c r="F2915" s="7" t="n">
        <x:v>45582</x:v>
      </x:c>
      <x:c r="G2915" s="2" t="str">
        <x:v>Half correction</x:v>
      </x:c>
      <x:c r="H2915" s="8" t="n">
        <x:f>K2142</x:f>
        <x:v>3.72020600712463</x:v>
      </x:c>
      <x:c r="I2915" s="8" t="n">
        <x:f>AVERAGE(M2074,M2091,M2108,M2125)</x:f>
        <x:v>1.2046630193944954</x:v>
      </x:c>
      <x:c r="J2915" s="8" t="n">
        <x:v>0.5</x:v>
      </x:c>
      <x:c r="K2915" s="8" t="n">
        <x:f>H2915-I2915*J2915</x:f>
        <x:v>3.1178744974273824</x:v>
      </x:c>
      <x:c r="L2915" s="8" t="n">
        <x:f>'PG facts'!F104</x:f>
        <x:v>-2</x:v>
      </x:c>
      <x:c r="M2915" s="8" t="n">
        <x:f>K2915-L2915</x:f>
        <x:v>5.117874497427382</x:v>
      </x:c>
      <x:c r="N2915" s="8" t="n">
        <x:f>M2915^2</x:f>
        <x:v>26.19263937141758</x:v>
      </x:c>
      <x:c r="O2915" s="8" t="n">
        <x:f>ABS(M2915)</x:f>
        <x:v>5.117874497427382</x:v>
      </x:c>
      <x:c r="P2915" s="7" t="n">
        <x:v>45583</x:v>
      </x:c>
    </x:row>
    <x:row r="2916" ht="26" customHeight="1">
      <x:c r="A2916" s="2"/>
      <x:c r="B2916" s="2" t="n">
        <x:v>2911</x:v>
      </x:c>
      <x:c r="C2916" s="2" t="str">
        <x:v>Beauty / organic_sales_growth</x:v>
      </x:c>
      <x:c r="D2916" s="7" t="n">
        <x:v>45657</x:v>
      </x:c>
      <x:c r="E2916" s="2" t="str">
        <x:v>Origin</x:v>
      </x:c>
      <x:c r="F2916" s="7" t="n">
        <x:v>45566</x:v>
      </x:c>
      <x:c r="G2916" s="2" t="str">
        <x:v>Bias correction</x:v>
      </x:c>
      <x:c r="H2916" s="8" t="n">
        <x:f>K2148</x:f>
        <x:v>3.5590885170282993</x:v>
      </x:c>
      <x:c r="I2916" s="8" t="n">
        <x:f>AVERAGE(M2064,M2080,M2097,M2114)</x:f>
        <x:v>1.5325080717061097</x:v>
      </x:c>
      <x:c r="J2916" s="8" t="n">
        <x:v>1</x:v>
      </x:c>
      <x:c r="K2916" s="8" t="n">
        <x:f>H2916-I2916*J2916</x:f>
        <x:v>2.02658044532219</x:v>
      </x:c>
      <x:c r="L2916" s="8" t="n">
        <x:f>'PG facts'!F111</x:f>
        <x:v>2</x:v>
      </x:c>
      <x:c r="M2916" s="8" t="n">
        <x:f>K2916-L2916</x:f>
        <x:v>0.02658044532218984</x:v>
      </x:c>
      <x:c r="N2916" s="8" t="n">
        <x:f>M2916^2</x:f>
        <x:v>0.0007065200735259237</x:v>
      </x:c>
      <x:c r="O2916" s="8" t="n">
        <x:f>ABS(M2916)</x:f>
        <x:v>0.02658044532218984</x:v>
      </x:c>
      <x:c r="P2916" s="7" t="n">
        <x:v>45679</x:v>
      </x:c>
    </x:row>
    <x:row r="2917" ht="26" customHeight="1">
      <x:c r="A2917" s="2"/>
      <x:c r="B2917" s="2" t="n">
        <x:v>2912</x:v>
      </x:c>
      <x:c r="C2917" s="2" t="str">
        <x:v>Beauty / organic_sales_growth</x:v>
      </x:c>
      <x:c r="D2917" s="7" t="n">
        <x:v>45657</x:v>
      </x:c>
      <x:c r="E2917" s="2" t="str">
        <x:v>Origin</x:v>
      </x:c>
      <x:c r="F2917" s="7" t="n">
        <x:v>45566</x:v>
      </x:c>
      <x:c r="G2917" s="2" t="str">
        <x:v>Half correction</x:v>
      </x:c>
      <x:c r="H2917" s="8" t="n">
        <x:f>K2148</x:f>
        <x:v>3.5590885170282993</x:v>
      </x:c>
      <x:c r="I2917" s="8" t="n">
        <x:f>AVERAGE(M2064,M2080,M2097,M2114)</x:f>
        <x:v>1.5325080717061097</x:v>
      </x:c>
      <x:c r="J2917" s="8" t="n">
        <x:v>0.5</x:v>
      </x:c>
      <x:c r="K2917" s="8" t="n">
        <x:f>H2917-I2917*J2917</x:f>
        <x:v>2.7928344811752446</x:v>
      </x:c>
      <x:c r="L2917" s="8" t="n">
        <x:f>'PG facts'!F111</x:f>
        <x:v>2</x:v>
      </x:c>
      <x:c r="M2917" s="8" t="n">
        <x:f>K2917-L2917</x:f>
        <x:v>0.7928344811752446</x:v>
      </x:c>
      <x:c r="N2917" s="8" t="n">
        <x:f>M2917^2</x:f>
        <x:v>0.6285865145404192</x:v>
      </x:c>
      <x:c r="O2917" s="8" t="n">
        <x:f>ABS(M2917)</x:f>
        <x:v>0.7928344811752446</x:v>
      </x:c>
      <x:c r="P2917" s="7" t="n">
        <x:v>45679</x:v>
      </x:c>
    </x:row>
    <x:row r="2918" ht="26" customHeight="1">
      <x:c r="A2918" s="2"/>
      <x:c r="B2918" s="2" t="n">
        <x:v>2913</x:v>
      </x:c>
      <x:c r="C2918" s="2" t="str">
        <x:v>Beauty / organic_sales_growth</x:v>
      </x:c>
      <x:c r="D2918" s="7" t="n">
        <x:v>45657</x:v>
      </x:c>
      <x:c r="E2918" s="2" t="str">
        <x:v>Prior report</x:v>
      </x:c>
      <x:c r="F2918" s="7" t="n">
        <x:v>45583</x:v>
      </x:c>
      <x:c r="G2918" s="2" t="str">
        <x:v>Bias correction</x:v>
      </x:c>
      <x:c r="H2918" s="8" t="n">
        <x:f>K2153</x:f>
        <x:v>3.242048712994393</x:v>
      </x:c>
      <x:c r="I2918" s="8" t="n">
        <x:f>AVERAGE(M2085,M2102,M2119,M2136)</x:f>
        <x:v>2.789794421361562</x:v>
      </x:c>
      <x:c r="J2918" s="8" t="n">
        <x:v>1</x:v>
      </x:c>
      <x:c r="K2918" s="8" t="n">
        <x:f>H2918-I2918*J2918</x:f>
        <x:v>0.4522542916328307</x:v>
      </x:c>
      <x:c r="L2918" s="8" t="n">
        <x:f>'PG facts'!F111</x:f>
        <x:v>2</x:v>
      </x:c>
      <x:c r="M2918" s="8" t="n">
        <x:f>K2918-L2918</x:f>
        <x:v>-1.5477457083671693</x:v>
      </x:c>
      <x:c r="N2918" s="8" t="n">
        <x:f>M2918^2</x:f>
        <x:v>2.3955167777689907</x:v>
      </x:c>
      <x:c r="O2918" s="8" t="n">
        <x:f>ABS(M2918)</x:f>
        <x:v>1.5477457083671693</x:v>
      </x:c>
      <x:c r="P2918" s="7" t="n">
        <x:v>45679</x:v>
      </x:c>
    </x:row>
    <x:row r="2919" ht="26" customHeight="1">
      <x:c r="A2919" s="2"/>
      <x:c r="B2919" s="2" t="n">
        <x:v>2914</x:v>
      </x:c>
      <x:c r="C2919" s="2" t="str">
        <x:v>Beauty / organic_sales_growth</x:v>
      </x:c>
      <x:c r="D2919" s="7" t="n">
        <x:v>45657</x:v>
      </x:c>
      <x:c r="E2919" s="2" t="str">
        <x:v>Prior report</x:v>
      </x:c>
      <x:c r="F2919" s="7" t="n">
        <x:v>45583</x:v>
      </x:c>
      <x:c r="G2919" s="2" t="str">
        <x:v>Half correction</x:v>
      </x:c>
      <x:c r="H2919" s="8" t="n">
        <x:f>K2153</x:f>
        <x:v>3.242048712994393</x:v>
      </x:c>
      <x:c r="I2919" s="8" t="n">
        <x:f>AVERAGE(M2085,M2102,M2119,M2136)</x:f>
        <x:v>2.789794421361562</x:v>
      </x:c>
      <x:c r="J2919" s="8" t="n">
        <x:v>0.5</x:v>
      </x:c>
      <x:c r="K2919" s="8" t="n">
        <x:f>H2919-I2919*J2919</x:f>
        <x:v>1.8471515023136118</x:v>
      </x:c>
      <x:c r="L2919" s="8" t="n">
        <x:f>'PG facts'!F111</x:f>
        <x:v>2</x:v>
      </x:c>
      <x:c r="M2919" s="8" t="n">
        <x:f>K2919-L2919</x:f>
        <x:v>-0.1528484976863882</x:v>
      </x:c>
      <x:c r="N2919" s="8" t="n">
        <x:f>M2919^2</x:f>
        <x:v>0.02336266324498582</x:v>
      </x:c>
      <x:c r="O2919" s="8" t="n">
        <x:f>ABS(M2919)</x:f>
        <x:v>0.1528484976863882</x:v>
      </x:c>
      <x:c r="P2919" s="7" t="n">
        <x:v>45679</x:v>
      </x:c>
    </x:row>
    <x:row r="2920" ht="26" customHeight="1">
      <x:c r="A2920" s="2"/>
      <x:c r="B2920" s="2" t="n">
        <x:v>2915</x:v>
      </x:c>
      <x:c r="C2920" s="2" t="str">
        <x:v>Beauty / organic_sales_growth</x:v>
      </x:c>
      <x:c r="D2920" s="7" t="n">
        <x:v>45657</x:v>
      </x:c>
      <x:c r="E2920" s="2" t="str">
        <x:v>Pre-earnings</x:v>
      </x:c>
      <x:c r="F2920" s="7" t="n">
        <x:v>45678</x:v>
      </x:c>
      <x:c r="G2920" s="2" t="str">
        <x:v>Bias correction</x:v>
      </x:c>
      <x:c r="H2920" s="8" t="n">
        <x:f>K2159</x:f>
        <x:v>2.8458220700894685</x:v>
      </x:c>
      <x:c r="I2920" s="8" t="n">
        <x:f>AVERAGE(M2091,M2108,M2125,M2142)</x:f>
        <x:v>2.6694860235857725</x:v>
      </x:c>
      <x:c r="J2920" s="8" t="n">
        <x:v>1</x:v>
      </x:c>
      <x:c r="K2920" s="8" t="n">
        <x:f>H2920-I2920*J2920</x:f>
        <x:v>0.17633604650369605</x:v>
      </x:c>
      <x:c r="L2920" s="8" t="n">
        <x:f>'PG facts'!F111</x:f>
        <x:v>2</x:v>
      </x:c>
      <x:c r="M2920" s="8" t="n">
        <x:f>K2920-L2920</x:f>
        <x:v>-1.823663953496304</x:v>
      </x:c>
      <x:c r="N2920" s="8" t="n">
        <x:f>M2920^2</x:f>
        <x:v>3.3257502152817695</x:v>
      </x:c>
      <x:c r="O2920" s="8" t="n">
        <x:f>ABS(M2920)</x:f>
        <x:v>1.823663953496304</x:v>
      </x:c>
      <x:c r="P2920" s="7" t="n">
        <x:v>45679</x:v>
      </x:c>
    </x:row>
    <x:row r="2921" ht="26" customHeight="1">
      <x:c r="A2921" s="2"/>
      <x:c r="B2921" s="2" t="n">
        <x:v>2916</x:v>
      </x:c>
      <x:c r="C2921" s="2" t="str">
        <x:v>Beauty / organic_sales_growth</x:v>
      </x:c>
      <x:c r="D2921" s="7" t="n">
        <x:v>45657</x:v>
      </x:c>
      <x:c r="E2921" s="2" t="str">
        <x:v>Pre-earnings</x:v>
      </x:c>
      <x:c r="F2921" s="7" t="n">
        <x:v>45678</x:v>
      </x:c>
      <x:c r="G2921" s="2" t="str">
        <x:v>Half correction</x:v>
      </x:c>
      <x:c r="H2921" s="8" t="n">
        <x:f>K2159</x:f>
        <x:v>2.8458220700894685</x:v>
      </x:c>
      <x:c r="I2921" s="8" t="n">
        <x:f>AVERAGE(M2091,M2108,M2125,M2142)</x:f>
        <x:v>2.6694860235857725</x:v>
      </x:c>
      <x:c r="J2921" s="8" t="n">
        <x:v>0.5</x:v>
      </x:c>
      <x:c r="K2921" s="8" t="n">
        <x:f>H2921-I2921*J2921</x:f>
        <x:v>1.5110790582965823</x:v>
      </x:c>
      <x:c r="L2921" s="8" t="n">
        <x:f>'PG facts'!F111</x:f>
        <x:v>2</x:v>
      </x:c>
      <x:c r="M2921" s="8" t="n">
        <x:f>K2921-L2921</x:f>
        <x:v>-0.4889209417034177</x:v>
      </x:c>
      <x:c r="N2921" s="8" t="n">
        <x:f>M2921^2</x:f>
        <x:v>0.2390436872361568</x:v>
      </x:c>
      <x:c r="O2921" s="8" t="n">
        <x:f>ABS(M2921)</x:f>
        <x:v>0.4889209417034177</x:v>
      </x:c>
      <x:c r="P2921" s="7" t="n">
        <x:v>45679</x:v>
      </x:c>
    </x:row>
    <x:row r="2922" ht="26" customHeight="1">
      <x:c r="A2922" s="2"/>
      <x:c r="B2922" s="2" t="n">
        <x:v>2917</x:v>
      </x:c>
      <x:c r="C2922" s="2" t="str">
        <x:v>Beauty / organic_sales_growth</x:v>
      </x:c>
      <x:c r="D2922" s="7" t="n">
        <x:v>45747</x:v>
      </x:c>
      <x:c r="E2922" s="2" t="str">
        <x:v>Origin</x:v>
      </x:c>
      <x:c r="F2922" s="7" t="n">
        <x:v>45658</x:v>
      </x:c>
      <x:c r="G2922" s="2" t="str">
        <x:v>Bias correction</x:v>
      </x:c>
      <x:c r="H2922" s="8" t="n">
        <x:f>K2165</x:f>
        <x:v>2.9647515036389636</x:v>
      </x:c>
      <x:c r="I2922" s="8" t="n">
        <x:f>AVERAGE(M2080,M2097,M2114,M2131)</x:f>
        <x:v>3.0597107328802418</x:v>
      </x:c>
      <x:c r="J2922" s="8" t="n">
        <x:v>1</x:v>
      </x:c>
      <x:c r="K2922" s="8" t="n">
        <x:f>H2922-I2922*J2922</x:f>
        <x:v>-0.0949592292412782</x:v>
      </x:c>
      <x:c r="L2922" s="8" t="n">
        <x:f>'PG facts'!F118</x:f>
        <x:v>2</x:v>
      </x:c>
      <x:c r="M2922" s="8" t="n">
        <x:f>K2922-L2922</x:f>
        <x:v>-2.094959229241278</x:v>
      </x:c>
      <x:c r="N2922" s="8" t="n">
        <x:f>M2922^2</x:f>
        <x:v>4.38885417218321</x:v>
      </x:c>
      <x:c r="O2922" s="8" t="n">
        <x:f>ABS(M2922)</x:f>
        <x:v>2.094959229241278</x:v>
      </x:c>
      <x:c r="P2922" s="7" t="n">
        <x:v>45771</x:v>
      </x:c>
    </x:row>
    <x:row r="2923" ht="26" customHeight="1">
      <x:c r="A2923" s="2"/>
      <x:c r="B2923" s="2" t="n">
        <x:v>2918</x:v>
      </x:c>
      <x:c r="C2923" s="2" t="str">
        <x:v>Beauty / organic_sales_growth</x:v>
      </x:c>
      <x:c r="D2923" s="7" t="n">
        <x:v>45747</x:v>
      </x:c>
      <x:c r="E2923" s="2" t="str">
        <x:v>Origin</x:v>
      </x:c>
      <x:c r="F2923" s="7" t="n">
        <x:v>45658</x:v>
      </x:c>
      <x:c r="G2923" s="2" t="str">
        <x:v>Half correction</x:v>
      </x:c>
      <x:c r="H2923" s="8" t="n">
        <x:f>K2165</x:f>
        <x:v>2.9647515036389636</x:v>
      </x:c>
      <x:c r="I2923" s="8" t="n">
        <x:f>AVERAGE(M2080,M2097,M2114,M2131)</x:f>
        <x:v>3.0597107328802418</x:v>
      </x:c>
      <x:c r="J2923" s="8" t="n">
        <x:v>0.5</x:v>
      </x:c>
      <x:c r="K2923" s="8" t="n">
        <x:f>H2923-I2923*J2923</x:f>
        <x:v>1.4348961371988427</x:v>
      </x:c>
      <x:c r="L2923" s="8" t="n">
        <x:f>'PG facts'!F118</x:f>
        <x:v>2</x:v>
      </x:c>
      <x:c r="M2923" s="8" t="n">
        <x:f>K2923-L2923</x:f>
        <x:v>-0.5651038628011573</x:v>
      </x:c>
      <x:c r="N2923" s="8" t="n">
        <x:f>M2923^2</x:f>
        <x:v>0.31934237575278923</x:v>
      </x:c>
      <x:c r="O2923" s="8" t="n">
        <x:f>ABS(M2923)</x:f>
        <x:v>0.5651038628011573</x:v>
      </x:c>
      <x:c r="P2923" s="7" t="n">
        <x:v>45771</x:v>
      </x:c>
    </x:row>
    <x:row r="2924" ht="26" customHeight="1">
      <x:c r="A2924" s="2"/>
      <x:c r="B2924" s="2" t="n">
        <x:v>2919</x:v>
      </x:c>
      <x:c r="C2924" s="2" t="str">
        <x:v>Beauty / organic_sales_growth</x:v>
      </x:c>
      <x:c r="D2924" s="7" t="n">
        <x:v>45747</x:v>
      </x:c>
      <x:c r="E2924" s="2" t="str">
        <x:v>Prior report</x:v>
      </x:c>
      <x:c r="F2924" s="7" t="n">
        <x:v>45679</x:v>
      </x:c>
      <x:c r="G2924" s="2" t="str">
        <x:v>Bias correction</x:v>
      </x:c>
      <x:c r="H2924" s="8" t="n">
        <x:f>K2170</x:f>
        <x:v>2.7490708245247584</x:v>
      </x:c>
      <x:c r="I2924" s="8" t="n">
        <x:f>AVERAGE(M2102,M2119,M2136,M2153)</x:f>
        <x:v>2.1316559213336284</x:v>
      </x:c>
      <x:c r="J2924" s="8" t="n">
        <x:v>1</x:v>
      </x:c>
      <x:c r="K2924" s="8" t="n">
        <x:f>H2924-I2924*J2924</x:f>
        <x:v>0.61741490319113</x:v>
      </x:c>
      <x:c r="L2924" s="8" t="n">
        <x:f>'PG facts'!F118</x:f>
        <x:v>2</x:v>
      </x:c>
      <x:c r="M2924" s="8" t="n">
        <x:f>K2924-L2924</x:f>
        <x:v>-1.38258509680887</x:v>
      </x:c>
      <x:c r="N2924" s="8" t="n">
        <x:f>M2924^2</x:f>
        <x:v>1.9115415499179924</x:v>
      </x:c>
      <x:c r="O2924" s="8" t="n">
        <x:f>ABS(M2924)</x:f>
        <x:v>1.38258509680887</x:v>
      </x:c>
      <x:c r="P2924" s="7" t="n">
        <x:v>45771</x:v>
      </x:c>
    </x:row>
    <x:row r="2925" ht="26" customHeight="1">
      <x:c r="A2925" s="2"/>
      <x:c r="B2925" s="2" t="n">
        <x:v>2920</x:v>
      </x:c>
      <x:c r="C2925" s="2" t="str">
        <x:v>Beauty / organic_sales_growth</x:v>
      </x:c>
      <x:c r="D2925" s="7" t="n">
        <x:v>45747</x:v>
      </x:c>
      <x:c r="E2925" s="2" t="str">
        <x:v>Prior report</x:v>
      </x:c>
      <x:c r="F2925" s="7" t="n">
        <x:v>45679</x:v>
      </x:c>
      <x:c r="G2925" s="2" t="str">
        <x:v>Half correction</x:v>
      </x:c>
      <x:c r="H2925" s="8" t="n">
        <x:f>K2170</x:f>
        <x:v>2.7490708245247584</x:v>
      </x:c>
      <x:c r="I2925" s="8" t="n">
        <x:f>AVERAGE(M2102,M2119,M2136,M2153)</x:f>
        <x:v>2.1316559213336284</x:v>
      </x:c>
      <x:c r="J2925" s="8" t="n">
        <x:v>0.5</x:v>
      </x:c>
      <x:c r="K2925" s="8" t="n">
        <x:f>H2925-I2925*J2925</x:f>
        <x:v>1.6832428638579442</x:v>
      </x:c>
      <x:c r="L2925" s="8" t="n">
        <x:f>'PG facts'!F118</x:f>
        <x:v>2</x:v>
      </x:c>
      <x:c r="M2925" s="8" t="n">
        <x:f>K2925-L2925</x:f>
        <x:v>-0.3167571361420558</x:v>
      </x:c>
      <x:c r="N2925" s="8" t="n">
        <x:f>M2925^2</x:f>
        <x:v>0.10033508329691687</x:v>
      </x:c>
      <x:c r="O2925" s="8" t="n">
        <x:f>ABS(M2925)</x:f>
        <x:v>0.3167571361420558</x:v>
      </x:c>
      <x:c r="P2925" s="7" t="n">
        <x:v>45771</x:v>
      </x:c>
    </x:row>
    <x:row r="2926" ht="26" customHeight="1">
      <x:c r="A2926" s="2"/>
      <x:c r="B2926" s="2" t="n">
        <x:v>2921</x:v>
      </x:c>
      <x:c r="C2926" s="2" t="str">
        <x:v>Beauty / organic_sales_growth</x:v>
      </x:c>
      <x:c r="D2926" s="7" t="n">
        <x:v>45747</x:v>
      </x:c>
      <x:c r="E2926" s="2" t="str">
        <x:v>Pre-earnings</x:v>
      </x:c>
      <x:c r="F2926" s="7" t="n">
        <x:v>45770</x:v>
      </x:c>
      <x:c r="G2926" s="2" t="str">
        <x:v>Bias correction</x:v>
      </x:c>
      <x:c r="H2926" s="8" t="n">
        <x:f>K2176</x:f>
        <x:v>3.5363997315021862</x:v>
      </x:c>
      <x:c r="I2926" s="8" t="n">
        <x:f>AVERAGE(M2108,M2125,M2142,M2159)</x:f>
        <x:v>1.7841925562047747</x:v>
      </x:c>
      <x:c r="J2926" s="8" t="n">
        <x:v>1</x:v>
      </x:c>
      <x:c r="K2926" s="8" t="n">
        <x:f>H2926-I2926*J2926</x:f>
        <x:v>1.7522071752974115</x:v>
      </x:c>
      <x:c r="L2926" s="8" t="n">
        <x:f>'PG facts'!F118</x:f>
        <x:v>2</x:v>
      </x:c>
      <x:c r="M2926" s="8" t="n">
        <x:f>K2926-L2926</x:f>
        <x:v>-0.24779282470258845</x:v>
      </x:c>
      <x:c r="N2926" s="8" t="n">
        <x:f>M2926^2</x:f>
        <x:v>0.06140128397408773</x:v>
      </x:c>
      <x:c r="O2926" s="8" t="n">
        <x:f>ABS(M2926)</x:f>
        <x:v>0.24779282470258845</x:v>
      </x:c>
      <x:c r="P2926" s="7" t="n">
        <x:v>45771</x:v>
      </x:c>
    </x:row>
    <x:row r="2927" ht="26" customHeight="1">
      <x:c r="A2927" s="2"/>
      <x:c r="B2927" s="2" t="n">
        <x:v>2922</x:v>
      </x:c>
      <x:c r="C2927" s="2" t="str">
        <x:v>Beauty / organic_sales_growth</x:v>
      </x:c>
      <x:c r="D2927" s="7" t="n">
        <x:v>45747</x:v>
      </x:c>
      <x:c r="E2927" s="2" t="str">
        <x:v>Pre-earnings</x:v>
      </x:c>
      <x:c r="F2927" s="7" t="n">
        <x:v>45770</x:v>
      </x:c>
      <x:c r="G2927" s="2" t="str">
        <x:v>Half correction</x:v>
      </x:c>
      <x:c r="H2927" s="8" t="n">
        <x:f>K2176</x:f>
        <x:v>3.5363997315021862</x:v>
      </x:c>
      <x:c r="I2927" s="8" t="n">
        <x:f>AVERAGE(M2108,M2125,M2142,M2159)</x:f>
        <x:v>1.7841925562047747</x:v>
      </x:c>
      <x:c r="J2927" s="8" t="n">
        <x:v>0.5</x:v>
      </x:c>
      <x:c r="K2927" s="8" t="n">
        <x:f>H2927-I2927*J2927</x:f>
        <x:v>2.644303453399799</x:v>
      </x:c>
      <x:c r="L2927" s="8" t="n">
        <x:f>'PG facts'!F118</x:f>
        <x:v>2</x:v>
      </x:c>
      <x:c r="M2927" s="8" t="n">
        <x:f>K2927-L2927</x:f>
        <x:v>0.6443034533997989</x:v>
      </x:c>
      <x:c r="N2927" s="8" t="n">
        <x:f>M2927^2</x:f>
        <x:v>0.4151269400629068</x:v>
      </x:c>
      <x:c r="O2927" s="8" t="n">
        <x:f>ABS(M2927)</x:f>
        <x:v>0.6443034533997989</x:v>
      </x:c>
      <x:c r="P2927" s="7" t="n">
        <x:v>45771</x:v>
      </x:c>
    </x:row>
    <x:row r="2928" ht="26" customHeight="1">
      <x:c r="A2928" s="2"/>
      <x:c r="B2928" s="2" t="n">
        <x:v>2923</x:v>
      </x:c>
      <x:c r="C2928" s="2" t="str">
        <x:v>Beauty / organic_sales_growth</x:v>
      </x:c>
      <x:c r="D2928" s="7" t="n">
        <x:v>45838</x:v>
      </x:c>
      <x:c r="E2928" s="2" t="str">
        <x:v>Origin</x:v>
      </x:c>
      <x:c r="F2928" s="7" t="n">
        <x:v>45748</x:v>
      </x:c>
      <x:c r="G2928" s="2" t="str">
        <x:v>Bias correction</x:v>
      </x:c>
      <x:c r="H2928" s="8" t="n">
        <x:f>K2182</x:f>
        <x:v>3.37370771585804</x:v>
      </x:c>
      <x:c r="I2928" s="8" t="n">
        <x:f>AVERAGE(M2097,M2114,M2131,M2148)</x:f>
        <x:v>2.5072388782807558</x:v>
      </x:c>
      <x:c r="J2928" s="8" t="n">
        <x:v>1</x:v>
      </x:c>
      <x:c r="K2928" s="8" t="n">
        <x:f>H2928-I2928*J2928</x:f>
        <x:v>0.8664688375772842</x:v>
      </x:c>
      <x:c r="L2928" s="8" t="n">
        <x:f>'PG facts'!F125</x:f>
        <x:v>1</x:v>
      </x:c>
      <x:c r="M2928" s="8" t="n">
        <x:f>K2928-L2928</x:f>
        <x:v>-0.1335311624227158</x:v>
      </x:c>
      <x:c r="N2928" s="8" t="n">
        <x:f>M2928^2</x:f>
        <x:v>0.017830571337961704</x:v>
      </x:c>
      <x:c r="O2928" s="8" t="n">
        <x:f>ABS(M2928)</x:f>
        <x:v>0.1335311624227158</x:v>
      </x:c>
      <x:c r="P2928" s="7" t="n">
        <x:v>45867</x:v>
      </x:c>
    </x:row>
    <x:row r="2929" ht="26" customHeight="1">
      <x:c r="A2929" s="2"/>
      <x:c r="B2929" s="2" t="n">
        <x:v>2924</x:v>
      </x:c>
      <x:c r="C2929" s="2" t="str">
        <x:v>Beauty / organic_sales_growth</x:v>
      </x:c>
      <x:c r="D2929" s="7" t="n">
        <x:v>45838</x:v>
      </x:c>
      <x:c r="E2929" s="2" t="str">
        <x:v>Origin</x:v>
      </x:c>
      <x:c r="F2929" s="7" t="n">
        <x:v>45748</x:v>
      </x:c>
      <x:c r="G2929" s="2" t="str">
        <x:v>Half correction</x:v>
      </x:c>
      <x:c r="H2929" s="8" t="n">
        <x:f>K2182</x:f>
        <x:v>3.37370771585804</x:v>
      </x:c>
      <x:c r="I2929" s="8" t="n">
        <x:f>AVERAGE(M2097,M2114,M2131,M2148)</x:f>
        <x:v>2.5072388782807558</x:v>
      </x:c>
      <x:c r="J2929" s="8" t="n">
        <x:v>0.5</x:v>
      </x:c>
      <x:c r="K2929" s="8" t="n">
        <x:f>H2929-I2929*J2929</x:f>
        <x:v>2.120088276717662</x:v>
      </x:c>
      <x:c r="L2929" s="8" t="n">
        <x:f>'PG facts'!F125</x:f>
        <x:v>1</x:v>
      </x:c>
      <x:c r="M2929" s="8" t="n">
        <x:f>K2929-L2929</x:f>
        <x:v>1.120088276717662</x:v>
      </x:c>
      <x:c r="N2929" s="8" t="n">
        <x:f>M2929^2</x:f>
        <x:v>1.254597747640342</x:v>
      </x:c>
      <x:c r="O2929" s="8" t="n">
        <x:f>ABS(M2929)</x:f>
        <x:v>1.120088276717662</x:v>
      </x:c>
      <x:c r="P2929" s="7" t="n">
        <x:v>45867</x:v>
      </x:c>
    </x:row>
    <x:row r="2930" ht="26" customHeight="1">
      <x:c r="A2930" s="2"/>
      <x:c r="B2930" s="2" t="n">
        <x:v>2925</x:v>
      </x:c>
      <x:c r="C2930" s="2" t="str">
        <x:v>Beauty / organic_sales_growth</x:v>
      </x:c>
      <x:c r="D2930" s="7" t="n">
        <x:v>45838</x:v>
      </x:c>
      <x:c r="E2930" s="2" t="str">
        <x:v>Prior report</x:v>
      </x:c>
      <x:c r="F2930" s="7" t="n">
        <x:v>45771</x:v>
      </x:c>
      <x:c r="G2930" s="2" t="str">
        <x:v>Bias correction</x:v>
      </x:c>
      <x:c r="H2930" s="8" t="n">
        <x:f>K2187</x:f>
        <x:v>3.446189402362312</x:v>
      </x:c>
      <x:c r="I2930" s="8" t="n">
        <x:f>AVERAGE(M2119,M2136,M2153,M2170)</x:f>
        <x:v>1.8677307556222493</x:v>
      </x:c>
      <x:c r="J2930" s="8" t="n">
        <x:v>1</x:v>
      </x:c>
      <x:c r="K2930" s="8" t="n">
        <x:f>H2930-I2930*J2930</x:f>
        <x:v>1.5784586467400625</x:v>
      </x:c>
      <x:c r="L2930" s="8" t="n">
        <x:f>'PG facts'!F125</x:f>
        <x:v>1</x:v>
      </x:c>
      <x:c r="M2930" s="8" t="n">
        <x:f>K2930-L2930</x:f>
        <x:v>0.5784586467400625</x:v>
      </x:c>
      <x:c r="N2930" s="8" t="n">
        <x:f>M2930^2</x:f>
        <x:v>0.33461440598834447</x:v>
      </x:c>
      <x:c r="O2930" s="8" t="n">
        <x:f>ABS(M2930)</x:f>
        <x:v>0.5784586467400625</x:v>
      </x:c>
      <x:c r="P2930" s="7" t="n">
        <x:v>45867</x:v>
      </x:c>
    </x:row>
    <x:row r="2931" ht="26" customHeight="1">
      <x:c r="A2931" s="2"/>
      <x:c r="B2931" s="2" t="n">
        <x:v>2926</x:v>
      </x:c>
      <x:c r="C2931" s="2" t="str">
        <x:v>Beauty / organic_sales_growth</x:v>
      </x:c>
      <x:c r="D2931" s="7" t="n">
        <x:v>45838</x:v>
      </x:c>
      <x:c r="E2931" s="2" t="str">
        <x:v>Prior report</x:v>
      </x:c>
      <x:c r="F2931" s="7" t="n">
        <x:v>45771</x:v>
      </x:c>
      <x:c r="G2931" s="2" t="str">
        <x:v>Half correction</x:v>
      </x:c>
      <x:c r="H2931" s="8" t="n">
        <x:f>K2187</x:f>
        <x:v>3.446189402362312</x:v>
      </x:c>
      <x:c r="I2931" s="8" t="n">
        <x:f>AVERAGE(M2119,M2136,M2153,M2170)</x:f>
        <x:v>1.8677307556222493</x:v>
      </x:c>
      <x:c r="J2931" s="8" t="n">
        <x:v>0.5</x:v>
      </x:c>
      <x:c r="K2931" s="8" t="n">
        <x:f>H2931-I2931*J2931</x:f>
        <x:v>2.5123240245511873</x:v>
      </x:c>
      <x:c r="L2931" s="8" t="n">
        <x:f>'PG facts'!F125</x:f>
        <x:v>1</x:v>
      </x:c>
      <x:c r="M2931" s="8" t="n">
        <x:f>K2931-L2931</x:f>
        <x:v>1.5123240245511873</x:v>
      </x:c>
      <x:c r="N2931" s="8" t="n">
        <x:f>M2931^2</x:f>
        <x:v>2.2871239552347</x:v>
      </x:c>
      <x:c r="O2931" s="8" t="n">
        <x:f>ABS(M2931)</x:f>
        <x:v>1.5123240245511873</x:v>
      </x:c>
      <x:c r="P2931" s="7" t="n">
        <x:v>45867</x:v>
      </x:c>
    </x:row>
    <x:row r="2932" ht="26" customHeight="1">
      <x:c r="A2932" s="2"/>
      <x:c r="B2932" s="2" t="n">
        <x:v>2927</x:v>
      </x:c>
      <x:c r="C2932" s="2" t="str">
        <x:v>Beauty / organic_sales_growth</x:v>
      </x:c>
      <x:c r="D2932" s="7" t="n">
        <x:v>45838</x:v>
      </x:c>
      <x:c r="E2932" s="2" t="str">
        <x:v>Pre-earnings</x:v>
      </x:c>
      <x:c r="F2932" s="7" t="n">
        <x:v>45866</x:v>
      </x:c>
      <x:c r="G2932" s="2" t="str">
        <x:v>Bias correction</x:v>
      </x:c>
      <x:c r="H2932" s="8" t="n">
        <x:f>K2193</x:f>
        <x:v>3.806294727842398</x:v>
      </x:c>
      <x:c r="I2932" s="8" t="n">
        <x:f>AVERAGE(M2125,M2142,M2159,M2176)</x:f>
        <x:v>2.050269368770221</x:v>
      </x:c>
      <x:c r="J2932" s="8" t="n">
        <x:v>1</x:v>
      </x:c>
      <x:c r="K2932" s="8" t="n">
        <x:f>H2932-I2932*J2932</x:f>
        <x:v>1.756025359072177</x:v>
      </x:c>
      <x:c r="L2932" s="8" t="n">
        <x:f>'PG facts'!F125</x:f>
        <x:v>1</x:v>
      </x:c>
      <x:c r="M2932" s="8" t="n">
        <x:f>K2932-L2932</x:f>
        <x:v>0.756025359072177</x:v>
      </x:c>
      <x:c r="N2932" s="8" t="n">
        <x:f>M2932^2</x:f>
        <x:v>0.5715743435602142</x:v>
      </x:c>
      <x:c r="O2932" s="8" t="n">
        <x:f>ABS(M2932)</x:f>
        <x:v>0.756025359072177</x:v>
      </x:c>
      <x:c r="P2932" s="7" t="n">
        <x:v>45867</x:v>
      </x:c>
    </x:row>
    <x:row r="2933" ht="26" customHeight="1">
      <x:c r="A2933" s="2"/>
      <x:c r="B2933" s="2" t="n">
        <x:v>2928</x:v>
      </x:c>
      <x:c r="C2933" s="2" t="str">
        <x:v>Beauty / organic_sales_growth</x:v>
      </x:c>
      <x:c r="D2933" s="7" t="n">
        <x:v>45838</x:v>
      </x:c>
      <x:c r="E2933" s="2" t="str">
        <x:v>Pre-earnings</x:v>
      </x:c>
      <x:c r="F2933" s="7" t="n">
        <x:v>45866</x:v>
      </x:c>
      <x:c r="G2933" s="2" t="str">
        <x:v>Half correction</x:v>
      </x:c>
      <x:c r="H2933" s="8" t="n">
        <x:f>K2193</x:f>
        <x:v>3.806294727842398</x:v>
      </x:c>
      <x:c r="I2933" s="8" t="n">
        <x:f>AVERAGE(M2125,M2142,M2159,M2176)</x:f>
        <x:v>2.050269368770221</x:v>
      </x:c>
      <x:c r="J2933" s="8" t="n">
        <x:v>0.5</x:v>
      </x:c>
      <x:c r="K2933" s="8" t="n">
        <x:f>H2933-I2933*J2933</x:f>
        <x:v>2.7811600434572874</x:v>
      </x:c>
      <x:c r="L2933" s="8" t="n">
        <x:f>'PG facts'!F125</x:f>
        <x:v>1</x:v>
      </x:c>
      <x:c r="M2933" s="8" t="n">
        <x:f>K2933-L2933</x:f>
        <x:v>1.7811600434572874</x:v>
      </x:c>
      <x:c r="N2933" s="8" t="n">
        <x:f>M2933^2</x:f>
        <x:v>3.172531100408766</x:v>
      </x:c>
      <x:c r="O2933" s="8" t="n">
        <x:f>ABS(M2933)</x:f>
        <x:v>1.7811600434572874</x:v>
      </x:c>
      <x:c r="P2933" s="7" t="n">
        <x:v>45867</x:v>
      </x:c>
    </x:row>
    <x:row r="2934" ht="26" customHeight="1">
      <x:c r="A2934" s="2"/>
      <x:c r="B2934" s="2" t="n">
        <x:v>2929</x:v>
      </x:c>
      <x:c r="C2934" s="2" t="str">
        <x:v>Beauty / organic_sales_growth</x:v>
      </x:c>
      <x:c r="D2934" s="7" t="n">
        <x:v>45930</x:v>
      </x:c>
      <x:c r="E2934" s="2" t="str">
        <x:v>Origin</x:v>
      </x:c>
      <x:c r="F2934" s="7" t="n">
        <x:v>45839</x:v>
      </x:c>
      <x:c r="G2934" s="2" t="str">
        <x:v>Bias correction</x:v>
      </x:c>
      <x:c r="H2934" s="8" t="n">
        <x:f>K2199</x:f>
        <x:v>3.8642642532877547</x:v>
      </x:c>
      <x:c r="I2934" s="8" t="n">
        <x:f>AVERAGE(M2114,M2131,M2148,M2165)</x:f>
        <x:v>2.156949740736543</x:v>
      </x:c>
      <x:c r="J2934" s="8" t="n">
        <x:v>1</x:v>
      </x:c>
      <x:c r="K2934" s="8" t="n">
        <x:f>H2934-I2934*J2934</x:f>
        <x:v>1.7073145125512115</x:v>
      </x:c>
      <x:c r="L2934" s="8" t="n">
        <x:f>'PG facts'!F132</x:f>
        <x:v>6</x:v>
      </x:c>
      <x:c r="M2934" s="8" t="n">
        <x:f>K2934-L2934</x:f>
        <x:v>-4.2926854874487885</x:v>
      </x:c>
      <x:c r="N2934" s="8" t="n">
        <x:f>M2934^2</x:f>
        <x:v>18.427148694153445</x:v>
      </x:c>
      <x:c r="O2934" s="8" t="n">
        <x:f>ABS(M2934)</x:f>
        <x:v>4.2926854874487885</x:v>
      </x:c>
      <x:c r="P2934" s="7" t="n">
        <x:v>45954</x:v>
      </x:c>
    </x:row>
    <x:row r="2935" ht="26" customHeight="1">
      <x:c r="A2935" s="2"/>
      <x:c r="B2935" s="2" t="n">
        <x:v>2930</x:v>
      </x:c>
      <x:c r="C2935" s="2" t="str">
        <x:v>Beauty / organic_sales_growth</x:v>
      </x:c>
      <x:c r="D2935" s="7" t="n">
        <x:v>45930</x:v>
      </x:c>
      <x:c r="E2935" s="2" t="str">
        <x:v>Origin</x:v>
      </x:c>
      <x:c r="F2935" s="7" t="n">
        <x:v>45839</x:v>
      </x:c>
      <x:c r="G2935" s="2" t="str">
        <x:v>Half correction</x:v>
      </x:c>
      <x:c r="H2935" s="8" t="n">
        <x:f>K2199</x:f>
        <x:v>3.8642642532877547</x:v>
      </x:c>
      <x:c r="I2935" s="8" t="n">
        <x:f>AVERAGE(M2114,M2131,M2148,M2165)</x:f>
        <x:v>2.156949740736543</x:v>
      </x:c>
      <x:c r="J2935" s="8" t="n">
        <x:v>0.5</x:v>
      </x:c>
      <x:c r="K2935" s="8" t="n">
        <x:f>H2935-I2935*J2935</x:f>
        <x:v>2.785789382919483</x:v>
      </x:c>
      <x:c r="L2935" s="8" t="n">
        <x:f>'PG facts'!F132</x:f>
        <x:v>6</x:v>
      </x:c>
      <x:c r="M2935" s="8" t="n">
        <x:f>K2935-L2935</x:f>
        <x:v>-3.214210617080517</x:v>
      </x:c>
      <x:c r="N2935" s="8" t="n">
        <x:f>M2935^2</x:f>
        <x:v>10.331149890953117</x:v>
      </x:c>
      <x:c r="O2935" s="8" t="n">
        <x:f>ABS(M2935)</x:f>
        <x:v>3.214210617080517</x:v>
      </x:c>
      <x:c r="P2935" s="7" t="n">
        <x:v>45954</x:v>
      </x:c>
    </x:row>
    <x:row r="2936" ht="26" customHeight="1">
      <x:c r="A2936" s="2"/>
      <x:c r="B2936" s="2" t="n">
        <x:v>2931</x:v>
      </x:c>
      <x:c r="C2936" s="2" t="str">
        <x:v>Beauty / organic_sales_growth</x:v>
      </x:c>
      <x:c r="D2936" s="7" t="n">
        <x:v>45930</x:v>
      </x:c>
      <x:c r="E2936" s="2" t="str">
        <x:v>Prior report</x:v>
      </x:c>
      <x:c r="F2936" s="7" t="n">
        <x:v>45867</x:v>
      </x:c>
      <x:c r="G2936" s="2" t="str">
        <x:v>Bias correction</x:v>
      </x:c>
      <x:c r="H2936" s="8" t="n">
        <x:f>K2204</x:f>
        <x:v>3.6131265025384898</x:v>
      </x:c>
      <x:c r="I2936" s="8" t="n">
        <x:f>AVERAGE(M2136,M2153,M2170,M2187)</x:f>
        <x:v>2.3783328149179086</x:v>
      </x:c>
      <x:c r="J2936" s="8" t="n">
        <x:v>1</x:v>
      </x:c>
      <x:c r="K2936" s="8" t="n">
        <x:f>H2936-I2936*J2936</x:f>
        <x:v>1.2347936876205812</x:v>
      </x:c>
      <x:c r="L2936" s="8" t="n">
        <x:f>'PG facts'!F132</x:f>
        <x:v>6</x:v>
      </x:c>
      <x:c r="M2936" s="8" t="n">
        <x:f>K2936-L2936</x:f>
        <x:v>-4.765206312379419</x:v>
      </x:c>
      <x:c r="N2936" s="8" t="n">
        <x:f>M2936^2</x:f>
        <x:v>22.707191199540663</x:v>
      </x:c>
      <x:c r="O2936" s="8" t="n">
        <x:f>ABS(M2936)</x:f>
        <x:v>4.765206312379419</x:v>
      </x:c>
      <x:c r="P2936" s="7" t="n">
        <x:v>45954</x:v>
      </x:c>
    </x:row>
    <x:row r="2937" ht="26" customHeight="1">
      <x:c r="A2937" s="2"/>
      <x:c r="B2937" s="2" t="n">
        <x:v>2932</x:v>
      </x:c>
      <x:c r="C2937" s="2" t="str">
        <x:v>Beauty / organic_sales_growth</x:v>
      </x:c>
      <x:c r="D2937" s="7" t="n">
        <x:v>45930</x:v>
      </x:c>
      <x:c r="E2937" s="2" t="str">
        <x:v>Prior report</x:v>
      </x:c>
      <x:c r="F2937" s="7" t="n">
        <x:v>45867</x:v>
      </x:c>
      <x:c r="G2937" s="2" t="str">
        <x:v>Half correction</x:v>
      </x:c>
      <x:c r="H2937" s="8" t="n">
        <x:f>K2204</x:f>
        <x:v>3.6131265025384898</x:v>
      </x:c>
      <x:c r="I2937" s="8" t="n">
        <x:f>AVERAGE(M2136,M2153,M2170,M2187)</x:f>
        <x:v>2.3783328149179086</x:v>
      </x:c>
      <x:c r="J2937" s="8" t="n">
        <x:v>0.5</x:v>
      </x:c>
      <x:c r="K2937" s="8" t="n">
        <x:f>H2937-I2937*J2937</x:f>
        <x:v>2.4239600950795355</x:v>
      </x:c>
      <x:c r="L2937" s="8" t="n">
        <x:f>'PG facts'!F132</x:f>
        <x:v>6</x:v>
      </x:c>
      <x:c r="M2937" s="8" t="n">
        <x:f>K2937-L2937</x:f>
        <x:v>-3.5760399049204645</x:v>
      </x:c>
      <x:c r="N2937" s="8" t="n">
        <x:f>M2937^2</x:f>
        <x:v>12.788061401583565</x:v>
      </x:c>
      <x:c r="O2937" s="8" t="n">
        <x:f>ABS(M2937)</x:f>
        <x:v>3.5760399049204645</x:v>
      </x:c>
      <x:c r="P2937" s="7" t="n">
        <x:v>45954</x:v>
      </x:c>
    </x:row>
    <x:row r="2938" ht="26" customHeight="1">
      <x:c r="A2938" s="2"/>
      <x:c r="B2938" s="2" t="n">
        <x:v>2933</x:v>
      </x:c>
      <x:c r="C2938" s="2" t="str">
        <x:v>Beauty / organic_sales_growth</x:v>
      </x:c>
      <x:c r="D2938" s="7" t="n">
        <x:v>45930</x:v>
      </x:c>
      <x:c r="E2938" s="2" t="str">
        <x:v>Pre-earnings</x:v>
      </x:c>
      <x:c r="F2938" s="7" t="n">
        <x:v>45953</x:v>
      </x:c>
      <x:c r="G2938" s="2" t="str">
        <x:v>Bias correction</x:v>
      </x:c>
      <x:c r="H2938" s="8" t="n">
        <x:f>K2210</x:f>
        <x:v>3.2545191737167074</x:v>
      </x:c>
      <x:c r="I2938" s="8" t="n">
        <x:f>AVERAGE(M2142,M2159,M2176,M2193)</x:f>
        <x:v>2.727180634139671</x:v>
      </x:c>
      <x:c r="J2938" s="8" t="n">
        <x:v>1</x:v>
      </x:c>
      <x:c r="K2938" s="8" t="n">
        <x:f>H2938-I2938*J2938</x:f>
        <x:v>0.5273385395770362</x:v>
      </x:c>
      <x:c r="L2938" s="8" t="n">
        <x:f>'PG facts'!F132</x:f>
        <x:v>6</x:v>
      </x:c>
      <x:c r="M2938" s="8" t="n">
        <x:f>K2938-L2938</x:f>
        <x:v>-5.472661460422964</x:v>
      </x:c>
      <x:c r="N2938" s="8" t="n">
        <x:f>M2938^2</x:f>
        <x:v>29.95002346039881</x:v>
      </x:c>
      <x:c r="O2938" s="8" t="n">
        <x:f>ABS(M2938)</x:f>
        <x:v>5.472661460422964</x:v>
      </x:c>
      <x:c r="P2938" s="7" t="n">
        <x:v>45954</x:v>
      </x:c>
    </x:row>
    <x:row r="2939" ht="26" customHeight="1">
      <x:c r="A2939" s="2"/>
      <x:c r="B2939" s="2" t="n">
        <x:v>2934</x:v>
      </x:c>
      <x:c r="C2939" s="2" t="str">
        <x:v>Beauty / organic_sales_growth</x:v>
      </x:c>
      <x:c r="D2939" s="7" t="n">
        <x:v>45930</x:v>
      </x:c>
      <x:c r="E2939" s="2" t="str">
        <x:v>Pre-earnings</x:v>
      </x:c>
      <x:c r="F2939" s="7" t="n">
        <x:v>45953</x:v>
      </x:c>
      <x:c r="G2939" s="2" t="str">
        <x:v>Half correction</x:v>
      </x:c>
      <x:c r="H2939" s="8" t="n">
        <x:f>K2210</x:f>
        <x:v>3.2545191737167074</x:v>
      </x:c>
      <x:c r="I2939" s="8" t="n">
        <x:f>AVERAGE(M2142,M2159,M2176,M2193)</x:f>
        <x:v>2.727180634139671</x:v>
      </x:c>
      <x:c r="J2939" s="8" t="n">
        <x:v>0.5</x:v>
      </x:c>
      <x:c r="K2939" s="8" t="n">
        <x:f>H2939-I2939*J2939</x:f>
        <x:v>1.8909288566468718</x:v>
      </x:c>
      <x:c r="L2939" s="8" t="n">
        <x:f>'PG facts'!F132</x:f>
        <x:v>6</x:v>
      </x:c>
      <x:c r="M2939" s="8" t="n">
        <x:f>K2939-L2939</x:f>
        <x:v>-4.109071143353129</x:v>
      </x:c>
      <x:c r="N2939" s="8" t="n">
        <x:f>M2939^2</x:f>
        <x:v>16.884465661137387</x:v>
      </x:c>
      <x:c r="O2939" s="8" t="n">
        <x:f>ABS(M2939)</x:f>
        <x:v>4.109071143353129</x:v>
      </x:c>
      <x:c r="P2939" s="7" t="n">
        <x:v>45954</x:v>
      </x:c>
    </x:row>
    <x:row r="2940" ht="26" customHeight="1">
      <x:c r="A2940" s="2"/>
      <x:c r="B2940" s="2" t="n">
        <x:v>2935</x:v>
      </x:c>
      <x:c r="C2940" s="2" t="str">
        <x:v>Beauty / organic_sales_growth</x:v>
      </x:c>
      <x:c r="D2940" s="7" t="n">
        <x:v>46022</x:v>
      </x:c>
      <x:c r="E2940" s="2" t="str">
        <x:v>Origin</x:v>
      </x:c>
      <x:c r="F2940" s="7" t="n">
        <x:v>45931</x:v>
      </x:c>
      <x:c r="G2940" s="2" t="str">
        <x:v>Bias correction</x:v>
      </x:c>
      <x:c r="H2940" s="8" t="n">
        <x:f>K2216</x:f>
        <x:v>3.3929083122113997</x:v>
      </x:c>
      <x:c r="I2940" s="8" t="n">
        <x:f>AVERAGE(M2131,M2148,M2165,M2182)</x:f>
        <x:v>2.508444244202537</x:v>
      </x:c>
      <x:c r="J2940" s="8" t="n">
        <x:v>1</x:v>
      </x:c>
      <x:c r="K2940" s="8" t="n">
        <x:f>H2940-I2940*J2940</x:f>
        <x:v>0.8844640680088625</x:v>
      </x:c>
      <x:c r="L2940" s="8" t="n">
        <x:f>'PG facts'!F139</x:f>
        <x:v>4</x:v>
      </x:c>
      <x:c r="M2940" s="8" t="n">
        <x:f>K2940-L2940</x:f>
        <x:v>-3.1155359319911375</x:v>
      </x:c>
      <x:c r="N2940" s="8" t="n">
        <x:f>M2940^2</x:f>
        <x:v>9.706564143527887</x:v>
      </x:c>
      <x:c r="O2940" s="8" t="n">
        <x:f>ABS(M2940)</x:f>
        <x:v>3.1155359319911375</x:v>
      </x:c>
      <x:c r="P2940" s="7" t="n">
        <x:v>46045</x:v>
      </x:c>
    </x:row>
    <x:row r="2941" ht="26" customHeight="1">
      <x:c r="A2941" s="2"/>
      <x:c r="B2941" s="2" t="n">
        <x:v>2936</x:v>
      </x:c>
      <x:c r="C2941" s="2" t="str">
        <x:v>Beauty / organic_sales_growth</x:v>
      </x:c>
      <x:c r="D2941" s="7" t="n">
        <x:v>46022</x:v>
      </x:c>
      <x:c r="E2941" s="2" t="str">
        <x:v>Origin</x:v>
      </x:c>
      <x:c r="F2941" s="7" t="n">
        <x:v>45931</x:v>
      </x:c>
      <x:c r="G2941" s="2" t="str">
        <x:v>Half correction</x:v>
      </x:c>
      <x:c r="H2941" s="8" t="n">
        <x:f>K2216</x:f>
        <x:v>3.3929083122113997</x:v>
      </x:c>
      <x:c r="I2941" s="8" t="n">
        <x:f>AVERAGE(M2131,M2148,M2165,M2182)</x:f>
        <x:v>2.508444244202537</x:v>
      </x:c>
      <x:c r="J2941" s="8" t="n">
        <x:v>0.5</x:v>
      </x:c>
      <x:c r="K2941" s="8" t="n">
        <x:f>H2941-I2941*J2941</x:f>
        <x:v>2.138686190110131</x:v>
      </x:c>
      <x:c r="L2941" s="8" t="n">
        <x:f>'PG facts'!F139</x:f>
        <x:v>4</x:v>
      </x:c>
      <x:c r="M2941" s="8" t="n">
        <x:f>K2941-L2941</x:f>
        <x:v>-1.861313809889869</x:v>
      </x:c>
      <x:c r="N2941" s="8" t="n">
        <x:f>M2941^2</x:f>
        <x:v>3.464489098886739</x:v>
      </x:c>
      <x:c r="O2941" s="8" t="n">
        <x:f>ABS(M2941)</x:f>
        <x:v>1.861313809889869</x:v>
      </x:c>
      <x:c r="P2941" s="7" t="n">
        <x:v>46045</x:v>
      </x:c>
    </x:row>
    <x:row r="2942" ht="26" customHeight="1">
      <x:c r="A2942" s="2"/>
      <x:c r="B2942" s="2" t="n">
        <x:v>2937</x:v>
      </x:c>
      <x:c r="C2942" s="2" t="str">
        <x:v>Beauty / organic_sales_growth</x:v>
      </x:c>
      <x:c r="D2942" s="7" t="n">
        <x:v>46022</x:v>
      </x:c>
      <x:c r="E2942" s="2" t="str">
        <x:v>Prior report</x:v>
      </x:c>
      <x:c r="F2942" s="7" t="n">
        <x:v>45954</x:v>
      </x:c>
      <x:c r="G2942" s="2" t="str">
        <x:v>Bias correction</x:v>
      </x:c>
      <x:c r="H2942" s="8" t="n">
        <x:f>K2221</x:f>
        <x:v>3.3929083122113997</x:v>
      </x:c>
      <x:c r="I2942" s="8" t="n">
        <x:f>AVERAGE(M2153,M2170,M2187,M2204)</x:f>
        <x:v>0.5126088606049882</x:v>
      </x:c>
      <x:c r="J2942" s="8" t="n">
        <x:v>1</x:v>
      </x:c>
      <x:c r="K2942" s="8" t="n">
        <x:f>H2942-I2942*J2942</x:f>
        <x:v>2.8802994516064113</x:v>
      </x:c>
      <x:c r="L2942" s="8" t="n">
        <x:f>'PG facts'!F139</x:f>
        <x:v>4</x:v>
      </x:c>
      <x:c r="M2942" s="8" t="n">
        <x:f>K2942-L2942</x:f>
        <x:v>-1.1197005483935887</x:v>
      </x:c>
      <x:c r="N2942" s="8" t="n">
        <x:f>M2942^2</x:f>
        <x:v>1.2537293180729032</x:v>
      </x:c>
      <x:c r="O2942" s="8" t="n">
        <x:f>ABS(M2942)</x:f>
        <x:v>1.1197005483935887</x:v>
      </x:c>
      <x:c r="P2942" s="7" t="n">
        <x:v>46045</x:v>
      </x:c>
    </x:row>
    <x:row r="2943" ht="26" customHeight="1">
      <x:c r="A2943" s="2"/>
      <x:c r="B2943" s="2" t="n">
        <x:v>2938</x:v>
      </x:c>
      <x:c r="C2943" s="2" t="str">
        <x:v>Beauty / organic_sales_growth</x:v>
      </x:c>
      <x:c r="D2943" s="7" t="n">
        <x:v>46022</x:v>
      </x:c>
      <x:c r="E2943" s="2" t="str">
        <x:v>Prior report</x:v>
      </x:c>
      <x:c r="F2943" s="7" t="n">
        <x:v>45954</x:v>
      </x:c>
      <x:c r="G2943" s="2" t="str">
        <x:v>Half correction</x:v>
      </x:c>
      <x:c r="H2943" s="8" t="n">
        <x:f>K2221</x:f>
        <x:v>3.3929083122113997</x:v>
      </x:c>
      <x:c r="I2943" s="8" t="n">
        <x:f>AVERAGE(M2153,M2170,M2187,M2204)</x:f>
        <x:v>0.5126088606049882</x:v>
      </x:c>
      <x:c r="J2943" s="8" t="n">
        <x:v>0.5</x:v>
      </x:c>
      <x:c r="K2943" s="8" t="n">
        <x:f>H2943-I2943*J2943</x:f>
        <x:v>3.1366038819089055</x:v>
      </x:c>
      <x:c r="L2943" s="8" t="n">
        <x:f>'PG facts'!F139</x:f>
        <x:v>4</x:v>
      </x:c>
      <x:c r="M2943" s="8" t="n">
        <x:f>K2943-L2943</x:f>
        <x:v>-0.8633961180910945</x:v>
      </x:c>
      <x:c r="N2943" s="8" t="n">
        <x:f>M2943^2</x:f>
        <x:v>0.7454528567347712</x:v>
      </x:c>
      <x:c r="O2943" s="8" t="n">
        <x:f>ABS(M2943)</x:f>
        <x:v>0.8633961180910945</x:v>
      </x:c>
      <x:c r="P2943" s="7" t="n">
        <x:v>46045</x:v>
      </x:c>
    </x:row>
    <x:row r="2944" ht="26" customHeight="1">
      <x:c r="A2944" s="2"/>
      <x:c r="B2944" s="2" t="n">
        <x:v>2939</x:v>
      </x:c>
      <x:c r="C2944" s="2" t="str">
        <x:v>Beauty / organic_sales_growth</x:v>
      </x:c>
      <x:c r="D2944" s="7" t="n">
        <x:v>46022</x:v>
      </x:c>
      <x:c r="E2944" s="2" t="str">
        <x:v>Pre-earnings</x:v>
      </x:c>
      <x:c r="F2944" s="7" t="n">
        <x:v>46044</x:v>
      </x:c>
      <x:c r="G2944" s="2" t="str">
        <x:v>Bias correction</x:v>
      </x:c>
      <x:c r="H2944" s="8" t="n">
        <x:f>K2226</x:f>
        <x:v>3.466341408081217</x:v>
      </x:c>
      <x:c r="I2944" s="8" t="n">
        <x:f>AVERAGE(M2159,M2176,M2193,M2210)</x:f>
        <x:v>0.6107589257876901</x:v>
      </x:c>
      <x:c r="J2944" s="8" t="n">
        <x:v>1</x:v>
      </x:c>
      <x:c r="K2944" s="8" t="n">
        <x:f>H2944-I2944*J2944</x:f>
        <x:v>2.855582482293527</x:v>
      </x:c>
      <x:c r="L2944" s="8" t="n">
        <x:f>'PG facts'!F139</x:f>
        <x:v>4</x:v>
      </x:c>
      <x:c r="M2944" s="8" t="n">
        <x:f>K2944-L2944</x:f>
        <x:v>-1.144417517706473</x:v>
      </x:c>
      <x:c r="N2944" s="8" t="n">
        <x:f>M2944^2</x:f>
        <x:v>1.3096914548334455</x:v>
      </x:c>
      <x:c r="O2944" s="8" t="n">
        <x:f>ABS(M2944)</x:f>
        <x:v>1.144417517706473</x:v>
      </x:c>
      <x:c r="P2944" s="7" t="n">
        <x:v>46045</x:v>
      </x:c>
    </x:row>
    <x:row r="2945" ht="26" customHeight="1">
      <x:c r="A2945" s="2"/>
      <x:c r="B2945" s="2" t="n">
        <x:v>2940</x:v>
      </x:c>
      <x:c r="C2945" s="2" t="str">
        <x:v>Beauty / organic_sales_growth</x:v>
      </x:c>
      <x:c r="D2945" s="7" t="n">
        <x:v>46022</x:v>
      </x:c>
      <x:c r="E2945" s="2" t="str">
        <x:v>Pre-earnings</x:v>
      </x:c>
      <x:c r="F2945" s="7" t="n">
        <x:v>46044</x:v>
      </x:c>
      <x:c r="G2945" s="2" t="str">
        <x:v>Half correction</x:v>
      </x:c>
      <x:c r="H2945" s="8" t="n">
        <x:f>K2226</x:f>
        <x:v>3.466341408081217</x:v>
      </x:c>
      <x:c r="I2945" s="8" t="n">
        <x:f>AVERAGE(M2159,M2176,M2193,M2210)</x:f>
        <x:v>0.6107589257876901</x:v>
      </x:c>
      <x:c r="J2945" s="8" t="n">
        <x:v>0.5</x:v>
      </x:c>
      <x:c r="K2945" s="8" t="n">
        <x:f>H2945-I2945*J2945</x:f>
        <x:v>3.1609619451873723</x:v>
      </x:c>
      <x:c r="L2945" s="8" t="n">
        <x:f>'PG facts'!F139</x:f>
        <x:v>4</x:v>
      </x:c>
      <x:c r="M2945" s="8" t="n">
        <x:f>K2945-L2945</x:f>
        <x:v>-0.8390380548126277</x:v>
      </x:c>
      <x:c r="N2945" s="8" t="n">
        <x:f>M2945^2</x:f>
        <x:v>0.703984857423758</x:v>
      </x:c>
      <x:c r="O2945" s="8" t="n">
        <x:f>ABS(M2945)</x:f>
        <x:v>0.8390380548126277</x:v>
      </x:c>
      <x:c r="P2945" s="7" t="n">
        <x:v>46045</x:v>
      </x:c>
    </x:row>
    <x:row r="2946" ht="26" customHeight="1">
      <x:c r="A2946" s="2"/>
      <x:c r="B2946" s="2" t="n">
        <x:v>2941</x:v>
      </x:c>
      <x:c r="C2946" s="2" t="str">
        <x:v>Beauty / organic_sales_growth</x:v>
      </x:c>
      <x:c r="D2946" s="7" t="n">
        <x:v>46112</x:v>
      </x:c>
      <x:c r="E2946" s="2" t="str">
        <x:v>Origin</x:v>
      </x:c>
      <x:c r="F2946" s="7" t="n">
        <x:v>46023</x:v>
      </x:c>
      <x:c r="G2946" s="2" t="str">
        <x:v>Bias correction</x:v>
      </x:c>
      <x:c r="H2946" s="8" t="n">
        <x:f>K2232</x:f>
        <x:v>3.41135357731915</x:v>
      </x:c>
      <x:c r="I2946" s="8" t="n">
        <x:f>AVERAGE(M2148,M2165,M2182,M2199)</x:f>
        <x:v>0.6904529974532643</x:v>
      </x:c>
      <x:c r="J2946" s="8" t="n">
        <x:v>1</x:v>
      </x:c>
      <x:c r="K2946" s="8" t="n">
        <x:f>H2946-I2946*J2946</x:f>
        <x:v>2.7209005798658854</x:v>
      </x:c>
      <x:c r="L2946" s="8" t="n">
        <x:f>'PG facts'!F146</x:f>
        <x:v>7</x:v>
      </x:c>
      <x:c r="M2946" s="8" t="n">
        <x:f>K2946-L2946</x:f>
        <x:v>-4.279099420134115</x:v>
      </x:c>
      <x:c r="N2946" s="8" t="n">
        <x:f>M2946^2</x:f>
        <x:v>18.310691847392114</x:v>
      </x:c>
      <x:c r="O2946" s="8" t="n">
        <x:f>ABS(M2946)</x:f>
        <x:v>4.279099420134115</x:v>
      </x:c>
      <x:c r="P2946" s="7" t="n">
        <x:v>46136</x:v>
      </x:c>
    </x:row>
    <x:row r="2947" ht="26" customHeight="1">
      <x:c r="A2947" s="2"/>
      <x:c r="B2947" s="2" t="n">
        <x:v>2942</x:v>
      </x:c>
      <x:c r="C2947" s="2" t="str">
        <x:v>Beauty / organic_sales_growth</x:v>
      </x:c>
      <x:c r="D2947" s="7" t="n">
        <x:v>46112</x:v>
      </x:c>
      <x:c r="E2947" s="2" t="str">
        <x:v>Origin</x:v>
      </x:c>
      <x:c r="F2947" s="7" t="n">
        <x:v>46023</x:v>
      </x:c>
      <x:c r="G2947" s="2" t="str">
        <x:v>Half correction</x:v>
      </x:c>
      <x:c r="H2947" s="8" t="n">
        <x:f>K2232</x:f>
        <x:v>3.41135357731915</x:v>
      </x:c>
      <x:c r="I2947" s="8" t="n">
        <x:f>AVERAGE(M2148,M2165,M2182,M2199)</x:f>
        <x:v>0.6904529974532643</x:v>
      </x:c>
      <x:c r="J2947" s="8" t="n">
        <x:v>0.5</x:v>
      </x:c>
      <x:c r="K2947" s="8" t="n">
        <x:f>H2947-I2947*J2947</x:f>
        <x:v>3.0661270785925177</x:v>
      </x:c>
      <x:c r="L2947" s="8" t="n">
        <x:f>'PG facts'!F146</x:f>
        <x:v>7</x:v>
      </x:c>
      <x:c r="M2947" s="8" t="n">
        <x:f>K2947-L2947</x:f>
        <x:v>-3.9338729214074823</x:v>
      </x:c>
      <x:c r="N2947" s="8" t="n">
        <x:f>M2947^2</x:f>
        <x:v>15.47535616178304</x:v>
      </x:c>
      <x:c r="O2947" s="8" t="n">
        <x:f>ABS(M2947)</x:f>
        <x:v>3.9338729214074823</x:v>
      </x:c>
      <x:c r="P2947" s="7" t="n">
        <x:v>46136</x:v>
      </x:c>
    </x:row>
    <x:row r="2948" ht="26" customHeight="1">
      <x:c r="A2948" s="2"/>
      <x:c r="B2948" s="2" t="n">
        <x:v>2943</x:v>
      </x:c>
      <x:c r="C2948" s="2" t="str">
        <x:v>Beauty / organic_sales_growth</x:v>
      </x:c>
      <x:c r="D2948" s="7" t="n">
        <x:v>46112</x:v>
      </x:c>
      <x:c r="E2948" s="2" t="str">
        <x:v>Prior report</x:v>
      </x:c>
      <x:c r="F2948" s="7" t="n">
        <x:v>46045</x:v>
      </x:c>
      <x:c r="G2948" s="2" t="str">
        <x:v>Bias correction</x:v>
      </x:c>
      <x:c r="H2948" s="8" t="n">
        <x:f>K2237</x:f>
        <x:v>3.449420181372833</x:v>
      </x:c>
      <x:c r="I2948" s="8" t="n">
        <x:f>AVERAGE(M2170,M2187,M2204,M2221)</x:f>
        <x:v>0.050323760409239915</x:v>
      </x:c>
      <x:c r="J2948" s="8" t="n">
        <x:v>1</x:v>
      </x:c>
      <x:c r="K2948" s="8" t="n">
        <x:f>H2948-I2948*J2948</x:f>
        <x:v>3.399096420963593</x:v>
      </x:c>
      <x:c r="L2948" s="8" t="n">
        <x:f>'PG facts'!F146</x:f>
        <x:v>7</x:v>
      </x:c>
      <x:c r="M2948" s="8" t="n">
        <x:f>K2948-L2948</x:f>
        <x:v>-3.600903579036407</x:v>
      </x:c>
      <x:c r="N2948" s="8" t="n">
        <x:f>M2948^2</x:f>
        <x:v>12.966506585517205</x:v>
      </x:c>
      <x:c r="O2948" s="8" t="n">
        <x:f>ABS(M2948)</x:f>
        <x:v>3.600903579036407</x:v>
      </x:c>
      <x:c r="P2948" s="7" t="n">
        <x:v>46136</x:v>
      </x:c>
    </x:row>
    <x:row r="2949" ht="26" customHeight="1">
      <x:c r="A2949" s="2"/>
      <x:c r="B2949" s="2" t="n">
        <x:v>2944</x:v>
      </x:c>
      <x:c r="C2949" s="2" t="str">
        <x:v>Beauty / organic_sales_growth</x:v>
      </x:c>
      <x:c r="D2949" s="7" t="n">
        <x:v>46112</x:v>
      </x:c>
      <x:c r="E2949" s="2" t="str">
        <x:v>Prior report</x:v>
      </x:c>
      <x:c r="F2949" s="7" t="n">
        <x:v>46045</x:v>
      </x:c>
      <x:c r="G2949" s="2" t="str">
        <x:v>Half correction</x:v>
      </x:c>
      <x:c r="H2949" s="8" t="n">
        <x:f>K2237</x:f>
        <x:v>3.449420181372833</x:v>
      </x:c>
      <x:c r="I2949" s="8" t="n">
        <x:f>AVERAGE(M2170,M2187,M2204,M2221)</x:f>
        <x:v>0.050323760409239915</x:v>
      </x:c>
      <x:c r="J2949" s="8" t="n">
        <x:v>0.5</x:v>
      </x:c>
      <x:c r="K2949" s="8" t="n">
        <x:f>H2949-I2949*J2949</x:f>
        <x:v>3.424258301168213</x:v>
      </x:c>
      <x:c r="L2949" s="8" t="n">
        <x:f>'PG facts'!F146</x:f>
        <x:v>7</x:v>
      </x:c>
      <x:c r="M2949" s="8" t="n">
        <x:f>K2949-L2949</x:f>
        <x:v>-3.575741698831787</x:v>
      </x:c>
      <x:c r="N2949" s="8" t="n">
        <x:f>M2949^2</x:f>
        <x:v>12.785928696764433</x:v>
      </x:c>
      <x:c r="O2949" s="8" t="n">
        <x:f>ABS(M2949)</x:f>
        <x:v>3.575741698831787</x:v>
      </x:c>
      <x:c r="P2949" s="7" t="n">
        <x:v>46136</x:v>
      </x:c>
    </x:row>
    <x:row r="2950" ht="26" customHeight="1">
      <x:c r="A2950" s="2"/>
      <x:c r="B2950" s="2" t="n">
        <x:v>2945</x:v>
      </x:c>
      <x:c r="C2950" s="2" t="str">
        <x:v>Beauty / organic_sales_growth</x:v>
      </x:c>
      <x:c r="D2950" s="7" t="n">
        <x:v>46112</x:v>
      </x:c>
      <x:c r="E2950" s="2" t="str">
        <x:v>Pre-earnings</x:v>
      </x:c>
      <x:c r="F2950" s="7" t="n">
        <x:v>46135</x:v>
      </x:c>
      <x:c r="G2950" s="2" t="str">
        <x:v>Bias correction</x:v>
      </x:c>
      <x:c r="H2950" s="8" t="n">
        <x:f>K2242</x:f>
        <x:v>2.8910374136602592</x:v>
      </x:c>
      <x:c r="I2950" s="8" t="n">
        <x:f>AVERAGE(M2176,M2193,M2210,M2226)</x:f>
        <x:v>0.26588876028562725</x:v>
      </x:c>
      <x:c r="J2950" s="8" t="n">
        <x:v>1</x:v>
      </x:c>
      <x:c r="K2950" s="8" t="n">
        <x:f>H2950-I2950*J2950</x:f>
        <x:v>2.625148653374632</x:v>
      </x:c>
      <x:c r="L2950" s="8" t="n">
        <x:f>'PG facts'!F146</x:f>
        <x:v>7</x:v>
      </x:c>
      <x:c r="M2950" s="8" t="n">
        <x:f>K2950-L2950</x:f>
        <x:v>-4.374851346625368</x:v>
      </x:c>
      <x:c r="N2950" s="8" t="n">
        <x:f>M2950^2</x:f>
        <x:v>19.139324305069795</x:v>
      </x:c>
      <x:c r="O2950" s="8" t="n">
        <x:f>ABS(M2950)</x:f>
        <x:v>4.374851346625368</x:v>
      </x:c>
      <x:c r="P2950" s="7" t="n">
        <x:v>46136</x:v>
      </x:c>
    </x:row>
    <x:row r="2951" ht="26" customHeight="1">
      <x:c r="A2951" s="2"/>
      <x:c r="B2951" s="2" t="n">
        <x:v>2946</x:v>
      </x:c>
      <x:c r="C2951" s="2" t="str">
        <x:v>Beauty / organic_sales_growth</x:v>
      </x:c>
      <x:c r="D2951" s="7" t="n">
        <x:v>46112</x:v>
      </x:c>
      <x:c r="E2951" s="2" t="str">
        <x:v>Pre-earnings</x:v>
      </x:c>
      <x:c r="F2951" s="7" t="n">
        <x:v>46135</x:v>
      </x:c>
      <x:c r="G2951" s="2" t="str">
        <x:v>Half correction</x:v>
      </x:c>
      <x:c r="H2951" s="8" t="n">
        <x:f>K2242</x:f>
        <x:v>2.8910374136602592</x:v>
      </x:c>
      <x:c r="I2951" s="8" t="n">
        <x:f>AVERAGE(M2176,M2193,M2210,M2226)</x:f>
        <x:v>0.26588876028562725</x:v>
      </x:c>
      <x:c r="J2951" s="8" t="n">
        <x:v>0.5</x:v>
      </x:c>
      <x:c r="K2951" s="8" t="n">
        <x:f>H2951-I2951*J2951</x:f>
        <x:v>2.7580930335174454</x:v>
      </x:c>
      <x:c r="L2951" s="8" t="n">
        <x:f>'PG facts'!F146</x:f>
        <x:v>7</x:v>
      </x:c>
      <x:c r="M2951" s="8" t="n">
        <x:f>K2951-L2951</x:f>
        <x:v>-4.241906966482555</x:v>
      </x:c>
      <x:c r="N2951" s="8" t="n">
        <x:f>M2951^2</x:f>
        <x:v>17.993774712293227</x:v>
      </x:c>
      <x:c r="O2951" s="8" t="n">
        <x:f>ABS(M2951)</x:f>
        <x:v>4.241906966482555</x:v>
      </x:c>
      <x:c r="P2951" s="7" t="n">
        <x:v>46136</x:v>
      </x:c>
    </x:row>
    <x:row r="2952" ht="26" customHeight="1">
      <x:c r="A2952" s="2"/>
      <x:c r="B2952" s="2" t="n">
        <x:v>2947</x:v>
      </x:c>
      <x:c r="C2952" s="2" t="str">
        <x:v>Health Care / organic_sales_growth</x:v>
      </x:c>
      <x:c r="D2952" s="7" t="n">
        <x:v>45473</x:v>
      </x:c>
      <x:c r="E2952" s="2" t="str">
        <x:v>Prior report</x:v>
      </x:c>
      <x:c r="F2952" s="7" t="n">
        <x:v>45401</x:v>
      </x:c>
      <x:c r="G2952" s="2" t="str">
        <x:v>Bias correction</x:v>
      </x:c>
      <x:c r="H2952" s="8" t="n">
        <x:f>K2319</x:f>
        <x:v>6.53498380344166</x:v>
      </x:c>
      <x:c r="I2952" s="8" t="n">
        <x:f>AVERAGE(M2252,M2268,M2285,M2302)</x:f>
        <x:v>4.335713538952321</x:v>
      </x:c>
      <x:c r="J2952" s="8" t="n">
        <x:v>1</x:v>
      </x:c>
      <x:c r="K2952" s="8" t="n">
        <x:f>H2952-I2952*J2952</x:f>
        <x:v>2.199270264489339</x:v>
      </x:c>
      <x:c r="L2952" s="8" t="n">
        <x:f>'PG facts'!F99</x:f>
        <x:v>4</x:v>
      </x:c>
      <x:c r="M2952" s="8" t="n">
        <x:f>K2952-L2952</x:f>
        <x:v>-1.8007297355106608</x:v>
      </x:c>
      <x:c r="N2952" s="8" t="n">
        <x:f>M2952^2</x:f>
        <x:v>3.2426275803522944</x:v>
      </x:c>
      <x:c r="O2952" s="8" t="n">
        <x:f>ABS(M2952)</x:f>
        <x:v>1.8007297355106608</x:v>
      </x:c>
      <x:c r="P2952" s="7" t="n">
        <x:v>45503</x:v>
      </x:c>
    </x:row>
    <x:row r="2953" ht="26" customHeight="1">
      <x:c r="A2953" s="2"/>
      <x:c r="B2953" s="2" t="n">
        <x:v>2948</x:v>
      </x:c>
      <x:c r="C2953" s="2" t="str">
        <x:v>Health Care / organic_sales_growth</x:v>
      </x:c>
      <x:c r="D2953" s="7" t="n">
        <x:v>45473</x:v>
      </x:c>
      <x:c r="E2953" s="2" t="str">
        <x:v>Prior report</x:v>
      </x:c>
      <x:c r="F2953" s="7" t="n">
        <x:v>45401</x:v>
      </x:c>
      <x:c r="G2953" s="2" t="str">
        <x:v>Half correction</x:v>
      </x:c>
      <x:c r="H2953" s="8" t="n">
        <x:f>K2319</x:f>
        <x:v>6.53498380344166</x:v>
      </x:c>
      <x:c r="I2953" s="8" t="n">
        <x:f>AVERAGE(M2252,M2268,M2285,M2302)</x:f>
        <x:v>4.335713538952321</x:v>
      </x:c>
      <x:c r="J2953" s="8" t="n">
        <x:v>0.5</x:v>
      </x:c>
      <x:c r="K2953" s="8" t="n">
        <x:f>H2953-I2953*J2953</x:f>
        <x:v>4.3671270339655</x:v>
      </x:c>
      <x:c r="L2953" s="8" t="n">
        <x:f>'PG facts'!F99</x:f>
        <x:v>4</x:v>
      </x:c>
      <x:c r="M2953" s="8" t="n">
        <x:f>K2953-L2953</x:f>
        <x:v>0.3671270339654997</x:v>
      </x:c>
      <x:c r="N2953" s="8" t="n">
        <x:f>M2953^2</x:f>
        <x:v>0.13478225906830518</x:v>
      </x:c>
      <x:c r="O2953" s="8" t="n">
        <x:f>ABS(M2953)</x:f>
        <x:v>0.3671270339654997</x:v>
      </x:c>
      <x:c r="P2953" s="7" t="n">
        <x:v>45503</x:v>
      </x:c>
    </x:row>
    <x:row r="2954" ht="26" customHeight="1">
      <x:c r="A2954" s="2"/>
      <x:c r="B2954" s="2" t="n">
        <x:v>2949</x:v>
      </x:c>
      <x:c r="C2954" s="2" t="str">
        <x:v>Health Care / organic_sales_growth</x:v>
      </x:c>
      <x:c r="D2954" s="7" t="n">
        <x:v>45473</x:v>
      </x:c>
      <x:c r="E2954" s="2" t="str">
        <x:v>Pre-earnings</x:v>
      </x:c>
      <x:c r="F2954" s="7" t="n">
        <x:v>45502</x:v>
      </x:c>
      <x:c r="G2954" s="2" t="str">
        <x:v>Bias correction</x:v>
      </x:c>
      <x:c r="H2954" s="8" t="n">
        <x:f>K2325</x:f>
        <x:v>4.883582178643543</x:v>
      </x:c>
      <x:c r="I2954" s="8" t="n">
        <x:f>AVERAGE(M2258,M2274,M2291,M2308)</x:f>
        <x:v>4.266002508251249</x:v>
      </x:c>
      <x:c r="J2954" s="8" t="n">
        <x:v>1</x:v>
      </x:c>
      <x:c r="K2954" s="8" t="n">
        <x:f>H2954-I2954*J2954</x:f>
        <x:v>0.6175796703922938</x:v>
      </x:c>
      <x:c r="L2954" s="8" t="n">
        <x:f>'PG facts'!F99</x:f>
        <x:v>4</x:v>
      </x:c>
      <x:c r="M2954" s="8" t="n">
        <x:f>K2954-L2954</x:f>
        <x:v>-3.382420329607706</x:v>
      </x:c>
      <x:c r="N2954" s="8" t="n">
        <x:f>M2954^2</x:f>
        <x:v>11.440767286143505</x:v>
      </x:c>
      <x:c r="O2954" s="8" t="n">
        <x:f>ABS(M2954)</x:f>
        <x:v>3.382420329607706</x:v>
      </x:c>
      <x:c r="P2954" s="7" t="n">
        <x:v>45503</x:v>
      </x:c>
    </x:row>
    <x:row r="2955" ht="26" customHeight="1">
      <x:c r="A2955" s="2"/>
      <x:c r="B2955" s="2" t="n">
        <x:v>2950</x:v>
      </x:c>
      <x:c r="C2955" s="2" t="str">
        <x:v>Health Care / organic_sales_growth</x:v>
      </x:c>
      <x:c r="D2955" s="7" t="n">
        <x:v>45473</x:v>
      </x:c>
      <x:c r="E2955" s="2" t="str">
        <x:v>Pre-earnings</x:v>
      </x:c>
      <x:c r="F2955" s="7" t="n">
        <x:v>45502</x:v>
      </x:c>
      <x:c r="G2955" s="2" t="str">
        <x:v>Half correction</x:v>
      </x:c>
      <x:c r="H2955" s="8" t="n">
        <x:f>K2325</x:f>
        <x:v>4.883582178643543</x:v>
      </x:c>
      <x:c r="I2955" s="8" t="n">
        <x:f>AVERAGE(M2258,M2274,M2291,M2308)</x:f>
        <x:v>4.266002508251249</x:v>
      </x:c>
      <x:c r="J2955" s="8" t="n">
        <x:v>0.5</x:v>
      </x:c>
      <x:c r="K2955" s="8" t="n">
        <x:f>H2955-I2955*J2955</x:f>
        <x:v>2.7505809245179185</x:v>
      </x:c>
      <x:c r="L2955" s="8" t="n">
        <x:f>'PG facts'!F99</x:f>
        <x:v>4</x:v>
      </x:c>
      <x:c r="M2955" s="8" t="n">
        <x:f>K2955-L2955</x:f>
        <x:v>-1.2494190754820815</x:v>
      </x:c>
      <x:c r="N2955" s="8" t="n">
        <x:f>M2955^2</x:f>
        <x:v>1.5610480261784994</x:v>
      </x:c>
      <x:c r="O2955" s="8" t="n">
        <x:f>ABS(M2955)</x:f>
        <x:v>1.2494190754820815</x:v>
      </x:c>
      <x:c r="P2955" s="7" t="n">
        <x:v>45503</x:v>
      </x:c>
    </x:row>
    <x:row r="2956" ht="26" customHeight="1">
      <x:c r="A2956" s="2"/>
      <x:c r="B2956" s="2" t="n">
        <x:v>2951</x:v>
      </x:c>
      <x:c r="C2956" s="2" t="str">
        <x:v>Health Care / organic_sales_growth</x:v>
      </x:c>
      <x:c r="D2956" s="7" t="n">
        <x:v>45565</x:v>
      </x:c>
      <x:c r="E2956" s="2" t="str">
        <x:v>Origin</x:v>
      </x:c>
      <x:c r="F2956" s="7" t="n">
        <x:v>45474</x:v>
      </x:c>
      <x:c r="G2956" s="2" t="str">
        <x:v>Bias correction</x:v>
      </x:c>
      <x:c r="H2956" s="8" t="n">
        <x:f>K2331</x:f>
        <x:v>4.962058503689353</x:v>
      </x:c>
      <x:c r="I2956" s="8" t="n">
        <x:f>AVERAGE(M2248,M2264,M2280,M2297)</x:f>
        <x:v>4.513380009731179</x:v>
      </x:c>
      <x:c r="J2956" s="8" t="n">
        <x:v>1</x:v>
      </x:c>
      <x:c r="K2956" s="8" t="n">
        <x:f>H2956-I2956*J2956</x:f>
        <x:v>0.44867849395817405</x:v>
      </x:c>
      <x:c r="L2956" s="8" t="n">
        <x:f>'PG facts'!F106</x:f>
        <x:v>4</x:v>
      </x:c>
      <x:c r="M2956" s="8" t="n">
        <x:f>K2956-L2956</x:f>
        <x:v>-3.551321506041826</x:v>
      </x:c>
      <x:c r="N2956" s="8" t="n">
        <x:f>M2956^2</x:f>
        <x:v>12.611884439275183</x:v>
      </x:c>
      <x:c r="O2956" s="8" t="n">
        <x:f>ABS(M2956)</x:f>
        <x:v>3.551321506041826</x:v>
      </x:c>
      <x:c r="P2956" s="7" t="n">
        <x:v>45583</x:v>
      </x:c>
    </x:row>
    <x:row r="2957" ht="26" customHeight="1">
      <x:c r="A2957" s="2"/>
      <x:c r="B2957" s="2" t="n">
        <x:v>2952</x:v>
      </x:c>
      <x:c r="C2957" s="2" t="str">
        <x:v>Health Care / organic_sales_growth</x:v>
      </x:c>
      <x:c r="D2957" s="7" t="n">
        <x:v>45565</x:v>
      </x:c>
      <x:c r="E2957" s="2" t="str">
        <x:v>Origin</x:v>
      </x:c>
      <x:c r="F2957" s="7" t="n">
        <x:v>45474</x:v>
      </x:c>
      <x:c r="G2957" s="2" t="str">
        <x:v>Half correction</x:v>
      </x:c>
      <x:c r="H2957" s="8" t="n">
        <x:f>K2331</x:f>
        <x:v>4.962058503689353</x:v>
      </x:c>
      <x:c r="I2957" s="8" t="n">
        <x:f>AVERAGE(M2248,M2264,M2280,M2297)</x:f>
        <x:v>4.513380009731179</x:v>
      </x:c>
      <x:c r="J2957" s="8" t="n">
        <x:v>0.5</x:v>
      </x:c>
      <x:c r="K2957" s="8" t="n">
        <x:f>H2957-I2957*J2957</x:f>
        <x:v>2.7053684988237636</x:v>
      </x:c>
      <x:c r="L2957" s="8" t="n">
        <x:f>'PG facts'!F106</x:f>
        <x:v>4</x:v>
      </x:c>
      <x:c r="M2957" s="8" t="n">
        <x:f>K2957-L2957</x:f>
        <x:v>-1.2946315011762364</x:v>
      </x:c>
      <x:c r="N2957" s="8" t="n">
        <x:f>M2957^2</x:f>
        <x:v>1.6760707238378354</x:v>
      </x:c>
      <x:c r="O2957" s="8" t="n">
        <x:f>ABS(M2957)</x:f>
        <x:v>1.2946315011762364</x:v>
      </x:c>
      <x:c r="P2957" s="7" t="n">
        <x:v>45583</x:v>
      </x:c>
    </x:row>
    <x:row r="2958" ht="26" customHeight="1">
      <x:c r="A2958" s="2"/>
      <x:c r="B2958" s="2" t="n">
        <x:v>2953</x:v>
      </x:c>
      <x:c r="C2958" s="2" t="str">
        <x:v>Health Care / organic_sales_growth</x:v>
      </x:c>
      <x:c r="D2958" s="7" t="n">
        <x:v>45565</x:v>
      </x:c>
      <x:c r="E2958" s="2" t="str">
        <x:v>Prior report</x:v>
      </x:c>
      <x:c r="F2958" s="7" t="n">
        <x:v>45503</x:v>
      </x:c>
      <x:c r="G2958" s="2" t="str">
        <x:v>Bias correction</x:v>
      </x:c>
      <x:c r="H2958" s="8" t="n">
        <x:f>K2336</x:f>
        <x:v>4.6802593713959</x:v>
      </x:c>
      <x:c r="I2958" s="8" t="n">
        <x:f>AVERAGE(M2268,M2285,M2302,M2319)</x:f>
        <x:v>3.9550409901288868</x:v>
      </x:c>
      <x:c r="J2958" s="8" t="n">
        <x:v>1</x:v>
      </x:c>
      <x:c r="K2958" s="8" t="n">
        <x:f>H2958-I2958*J2958</x:f>
        <x:v>0.7252183812670134</x:v>
      </x:c>
      <x:c r="L2958" s="8" t="n">
        <x:f>'PG facts'!F106</x:f>
        <x:v>4</x:v>
      </x:c>
      <x:c r="M2958" s="8" t="n">
        <x:f>K2958-L2958</x:f>
        <x:v>-3.2747816187329866</x:v>
      </x:c>
      <x:c r="N2958" s="8" t="n">
        <x:f>M2958^2</x:f>
        <x:v>10.72419465039144</x:v>
      </x:c>
      <x:c r="O2958" s="8" t="n">
        <x:f>ABS(M2958)</x:f>
        <x:v>3.2747816187329866</x:v>
      </x:c>
      <x:c r="P2958" s="7" t="n">
        <x:v>45583</x:v>
      </x:c>
    </x:row>
    <x:row r="2959" ht="26" customHeight="1">
      <x:c r="A2959" s="2"/>
      <x:c r="B2959" s="2" t="n">
        <x:v>2954</x:v>
      </x:c>
      <x:c r="C2959" s="2" t="str">
        <x:v>Health Care / organic_sales_growth</x:v>
      </x:c>
      <x:c r="D2959" s="7" t="n">
        <x:v>45565</x:v>
      </x:c>
      <x:c r="E2959" s="2" t="str">
        <x:v>Prior report</x:v>
      </x:c>
      <x:c r="F2959" s="7" t="n">
        <x:v>45503</x:v>
      </x:c>
      <x:c r="G2959" s="2" t="str">
        <x:v>Half correction</x:v>
      </x:c>
      <x:c r="H2959" s="8" t="n">
        <x:f>K2336</x:f>
        <x:v>4.6802593713959</x:v>
      </x:c>
      <x:c r="I2959" s="8" t="n">
        <x:f>AVERAGE(M2268,M2285,M2302,M2319)</x:f>
        <x:v>3.9550409901288868</x:v>
      </x:c>
      <x:c r="J2959" s="8" t="n">
        <x:v>0.5</x:v>
      </x:c>
      <x:c r="K2959" s="8" t="n">
        <x:f>H2959-I2959*J2959</x:f>
        <x:v>2.702738876331457</x:v>
      </x:c>
      <x:c r="L2959" s="8" t="n">
        <x:f>'PG facts'!F106</x:f>
        <x:v>4</x:v>
      </x:c>
      <x:c r="M2959" s="8" t="n">
        <x:f>K2959-L2959</x:f>
        <x:v>-1.2972611236685432</x:v>
      </x:c>
      <x:c r="N2959" s="8" t="n">
        <x:f>M2959^2</x:f>
        <x:v>1.6828864229817713</x:v>
      </x:c>
      <x:c r="O2959" s="8" t="n">
        <x:f>ABS(M2959)</x:f>
        <x:v>1.2972611236685432</x:v>
      </x:c>
      <x:c r="P2959" s="7" t="n">
        <x:v>45583</x:v>
      </x:c>
    </x:row>
    <x:row r="2960" ht="26" customHeight="1">
      <x:c r="A2960" s="2"/>
      <x:c r="B2960" s="2" t="n">
        <x:v>2955</x:v>
      </x:c>
      <x:c r="C2960" s="2" t="str">
        <x:v>Health Care / organic_sales_growth</x:v>
      </x:c>
      <x:c r="D2960" s="7" t="n">
        <x:v>45565</x:v>
      </x:c>
      <x:c r="E2960" s="2" t="str">
        <x:v>Pre-earnings</x:v>
      </x:c>
      <x:c r="F2960" s="7" t="n">
        <x:v>45582</x:v>
      </x:c>
      <x:c r="G2960" s="2" t="str">
        <x:v>Bias correction</x:v>
      </x:c>
      <x:c r="H2960" s="8" t="n">
        <x:f>K2342</x:f>
        <x:v>6.51491490202646</x:v>
      </x:c>
      <x:c r="I2960" s="8" t="n">
        <x:f>AVERAGE(M2274,M2291,M2308,M2325)</x:f>
        <x:v>3.353015882045513</x:v>
      </x:c>
      <x:c r="J2960" s="8" t="n">
        <x:v>1</x:v>
      </x:c>
      <x:c r="K2960" s="8" t="n">
        <x:f>H2960-I2960*J2960</x:f>
        <x:v>3.1618990199809467</x:v>
      </x:c>
      <x:c r="L2960" s="8" t="n">
        <x:f>'PG facts'!F106</x:f>
        <x:v>4</x:v>
      </x:c>
      <x:c r="M2960" s="8" t="n">
        <x:f>K2960-L2960</x:f>
        <x:v>-0.8381009800190533</x:v>
      </x:c>
      <x:c r="N2960" s="8" t="n">
        <x:f>M2960^2</x:f>
        <x:v>0.7024132527088977</x:v>
      </x:c>
      <x:c r="O2960" s="8" t="n">
        <x:f>ABS(M2960)</x:f>
        <x:v>0.8381009800190533</x:v>
      </x:c>
      <x:c r="P2960" s="7" t="n">
        <x:v>45583</x:v>
      </x:c>
    </x:row>
    <x:row r="2961" ht="26" customHeight="1">
      <x:c r="A2961" s="2"/>
      <x:c r="B2961" s="2" t="n">
        <x:v>2956</x:v>
      </x:c>
      <x:c r="C2961" s="2" t="str">
        <x:v>Health Care / organic_sales_growth</x:v>
      </x:c>
      <x:c r="D2961" s="7" t="n">
        <x:v>45565</x:v>
      </x:c>
      <x:c r="E2961" s="2" t="str">
        <x:v>Pre-earnings</x:v>
      </x:c>
      <x:c r="F2961" s="7" t="n">
        <x:v>45582</x:v>
      </x:c>
      <x:c r="G2961" s="2" t="str">
        <x:v>Half correction</x:v>
      </x:c>
      <x:c r="H2961" s="8" t="n">
        <x:f>K2342</x:f>
        <x:v>6.51491490202646</x:v>
      </x:c>
      <x:c r="I2961" s="8" t="n">
        <x:f>AVERAGE(M2274,M2291,M2308,M2325)</x:f>
        <x:v>3.353015882045513</x:v>
      </x:c>
      <x:c r="J2961" s="8" t="n">
        <x:v>0.5</x:v>
      </x:c>
      <x:c r="K2961" s="8" t="n">
        <x:f>H2961-I2961*J2961</x:f>
        <x:v>4.838406961003703</x:v>
      </x:c>
      <x:c r="L2961" s="8" t="n">
        <x:f>'PG facts'!F106</x:f>
        <x:v>4</x:v>
      </x:c>
      <x:c r="M2961" s="8" t="n">
        <x:f>K2961-L2961</x:f>
        <x:v>0.8384069610037033</x:v>
      </x:c>
      <x:c r="N2961" s="8" t="n">
        <x:f>M2961^2</x:f>
        <x:v>0.7029262322594652</x:v>
      </x:c>
      <x:c r="O2961" s="8" t="n">
        <x:f>ABS(M2961)</x:f>
        <x:v>0.8384069610037033</x:v>
      </x:c>
      <x:c r="P2961" s="7" t="n">
        <x:v>45583</x:v>
      </x:c>
    </x:row>
    <x:row r="2962" ht="26" customHeight="1">
      <x:c r="A2962" s="2"/>
      <x:c r="B2962" s="2" t="n">
        <x:v>2957</x:v>
      </x:c>
      <x:c r="C2962" s="2" t="str">
        <x:v>Health Care / organic_sales_growth</x:v>
      </x:c>
      <x:c r="D2962" s="7" t="n">
        <x:v>45657</x:v>
      </x:c>
      <x:c r="E2962" s="2" t="str">
        <x:v>Origin</x:v>
      </x:c>
      <x:c r="F2962" s="7" t="n">
        <x:v>45566</x:v>
      </x:c>
      <x:c r="G2962" s="2" t="str">
        <x:v>Bias correction</x:v>
      </x:c>
      <x:c r="H2962" s="8" t="n">
        <x:f>K2348</x:f>
        <x:v>6.063177438182196</x:v>
      </x:c>
      <x:c r="I2962" s="8" t="n">
        <x:f>AVERAGE(M2264,M2280,M2297,M2314)</x:f>
        <x:v>4.650859842876914</x:v>
      </x:c>
      <x:c r="J2962" s="8" t="n">
        <x:v>1</x:v>
      </x:c>
      <x:c r="K2962" s="8" t="n">
        <x:f>H2962-I2962*J2962</x:f>
        <x:v>1.4123175953052822</x:v>
      </x:c>
      <x:c r="L2962" s="8" t="n">
        <x:f>'PG facts'!F113</x:f>
        <x:v>3</x:v>
      </x:c>
      <x:c r="M2962" s="8" t="n">
        <x:f>K2962-L2962</x:f>
        <x:v>-1.5876824046947178</x:v>
      </x:c>
      <x:c r="N2962" s="8" t="n">
        <x:f>M2962^2</x:f>
        <x:v>2.5207354181772015</x:v>
      </x:c>
      <x:c r="O2962" s="8" t="n">
        <x:f>ABS(M2962)</x:f>
        <x:v>1.5876824046947178</x:v>
      </x:c>
      <x:c r="P2962" s="7" t="n">
        <x:v>45679</x:v>
      </x:c>
    </x:row>
    <x:row r="2963" ht="26" customHeight="1">
      <x:c r="A2963" s="2"/>
      <x:c r="B2963" s="2" t="n">
        <x:v>2958</x:v>
      </x:c>
      <x:c r="C2963" s="2" t="str">
        <x:v>Health Care / organic_sales_growth</x:v>
      </x:c>
      <x:c r="D2963" s="7" t="n">
        <x:v>45657</x:v>
      </x:c>
      <x:c r="E2963" s="2" t="str">
        <x:v>Origin</x:v>
      </x:c>
      <x:c r="F2963" s="7" t="n">
        <x:v>45566</x:v>
      </x:c>
      <x:c r="G2963" s="2" t="str">
        <x:v>Half correction</x:v>
      </x:c>
      <x:c r="H2963" s="8" t="n">
        <x:f>K2348</x:f>
        <x:v>6.063177438182196</x:v>
      </x:c>
      <x:c r="I2963" s="8" t="n">
        <x:f>AVERAGE(M2264,M2280,M2297,M2314)</x:f>
        <x:v>4.650859842876914</x:v>
      </x:c>
      <x:c r="J2963" s="8" t="n">
        <x:v>0.5</x:v>
      </x:c>
      <x:c r="K2963" s="8" t="n">
        <x:f>H2963-I2963*J2963</x:f>
        <x:v>3.737747516743739</x:v>
      </x:c>
      <x:c r="L2963" s="8" t="n">
        <x:f>'PG facts'!F113</x:f>
        <x:v>3</x:v>
      </x:c>
      <x:c r="M2963" s="8" t="n">
        <x:f>K2963-L2963</x:f>
        <x:v>0.7377475167437391</x:v>
      </x:c>
      <x:c r="N2963" s="8" t="n">
        <x:f>M2963^2</x:f>
        <x:v>0.5442713984615536</x:v>
      </x:c>
      <x:c r="O2963" s="8" t="n">
        <x:f>ABS(M2963)</x:f>
        <x:v>0.7377475167437391</x:v>
      </x:c>
      <x:c r="P2963" s="7" t="n">
        <x:v>45679</x:v>
      </x:c>
    </x:row>
    <x:row r="2964" ht="26" customHeight="1">
      <x:c r="A2964" s="2"/>
      <x:c r="B2964" s="2" t="n">
        <x:v>2959</x:v>
      </x:c>
      <x:c r="C2964" s="2" t="str">
        <x:v>Health Care / organic_sales_growth</x:v>
      </x:c>
      <x:c r="D2964" s="7" t="n">
        <x:v>45657</x:v>
      </x:c>
      <x:c r="E2964" s="2" t="str">
        <x:v>Prior report</x:v>
      </x:c>
      <x:c r="F2964" s="7" t="n">
        <x:v>45583</x:v>
      </x:c>
      <x:c r="G2964" s="2" t="str">
        <x:v>Bias correction</x:v>
      </x:c>
      <x:c r="H2964" s="8" t="n">
        <x:f>K2353</x:f>
        <x:v>6.306347425121383</x:v>
      </x:c>
      <x:c r="I2964" s="8" t="n">
        <x:f>AVERAGE(M2285,M2302,M2319,M2336)</x:f>
        <x:v>4.360089279750667</x:v>
      </x:c>
      <x:c r="J2964" s="8" t="n">
        <x:v>1</x:v>
      </x:c>
      <x:c r="K2964" s="8" t="n">
        <x:f>H2964-I2964*J2964</x:f>
        <x:v>1.9462581453707157</x:v>
      </x:c>
      <x:c r="L2964" s="8" t="n">
        <x:f>'PG facts'!F113</x:f>
        <x:v>3</x:v>
      </x:c>
      <x:c r="M2964" s="8" t="n">
        <x:f>K2964-L2964</x:f>
        <x:v>-1.0537418546292843</x:v>
      </x:c>
      <x:c r="N2964" s="8" t="n">
        <x:f>M2964^2</x:f>
        <x:v>1.1103718961975637</x:v>
      </x:c>
      <x:c r="O2964" s="8" t="n">
        <x:f>ABS(M2964)</x:f>
        <x:v>1.0537418546292843</x:v>
      </x:c>
      <x:c r="P2964" s="7" t="n">
        <x:v>45679</x:v>
      </x:c>
    </x:row>
    <x:row r="2965" ht="26" customHeight="1">
      <x:c r="A2965" s="2"/>
      <x:c r="B2965" s="2" t="n">
        <x:v>2960</x:v>
      </x:c>
      <x:c r="C2965" s="2" t="str">
        <x:v>Health Care / organic_sales_growth</x:v>
      </x:c>
      <x:c r="D2965" s="7" t="n">
        <x:v>45657</x:v>
      </x:c>
      <x:c r="E2965" s="2" t="str">
        <x:v>Prior report</x:v>
      </x:c>
      <x:c r="F2965" s="7" t="n">
        <x:v>45583</x:v>
      </x:c>
      <x:c r="G2965" s="2" t="str">
        <x:v>Half correction</x:v>
      </x:c>
      <x:c r="H2965" s="8" t="n">
        <x:f>K2353</x:f>
        <x:v>6.306347425121383</x:v>
      </x:c>
      <x:c r="I2965" s="8" t="n">
        <x:f>AVERAGE(M2285,M2302,M2319,M2336)</x:f>
        <x:v>4.360089279750667</x:v>
      </x:c>
      <x:c r="J2965" s="8" t="n">
        <x:v>0.5</x:v>
      </x:c>
      <x:c r="K2965" s="8" t="n">
        <x:f>H2965-I2965*J2965</x:f>
        <x:v>4.126302785246049</x:v>
      </x:c>
      <x:c r="L2965" s="8" t="n">
        <x:f>'PG facts'!F113</x:f>
        <x:v>3</x:v>
      </x:c>
      <x:c r="M2965" s="8" t="n">
        <x:f>K2965-L2965</x:f>
        <x:v>1.1263027852460494</x:v>
      </x:c>
      <x:c r="N2965" s="8" t="n">
        <x:f>M2965^2</x:f>
        <x:v>1.2685579640530085</x:v>
      </x:c>
      <x:c r="O2965" s="8" t="n">
        <x:f>ABS(M2965)</x:f>
        <x:v>1.1263027852460494</x:v>
      </x:c>
      <x:c r="P2965" s="7" t="n">
        <x:v>45679</x:v>
      </x:c>
    </x:row>
    <x:row r="2966" ht="26" customHeight="1">
      <x:c r="A2966" s="2"/>
      <x:c r="B2966" s="2" t="n">
        <x:v>2961</x:v>
      </x:c>
      <x:c r="C2966" s="2" t="str">
        <x:v>Health Care / organic_sales_growth</x:v>
      </x:c>
      <x:c r="D2966" s="7" t="n">
        <x:v>45657</x:v>
      </x:c>
      <x:c r="E2966" s="2" t="str">
        <x:v>Pre-earnings</x:v>
      </x:c>
      <x:c r="F2966" s="7" t="n">
        <x:v>45678</x:v>
      </x:c>
      <x:c r="G2966" s="2" t="str">
        <x:v>Bias correction</x:v>
      </x:c>
      <x:c r="H2966" s="8" t="n">
        <x:f>K2359</x:f>
        <x:v>5.380759104261251</x:v>
      </x:c>
      <x:c r="I2966" s="8" t="n">
        <x:f>AVERAGE(M2291,M2308,M2325,M2342)</x:f>
        <x:v>4.181128653589392</x:v>
      </x:c>
      <x:c r="J2966" s="8" t="n">
        <x:v>1</x:v>
      </x:c>
      <x:c r="K2966" s="8" t="n">
        <x:f>H2966-I2966*J2966</x:f>
        <x:v>1.199630450671859</x:v>
      </x:c>
      <x:c r="L2966" s="8" t="n">
        <x:f>'PG facts'!F113</x:f>
        <x:v>3</x:v>
      </x:c>
      <x:c r="M2966" s="8" t="n">
        <x:f>K2966-L2966</x:f>
        <x:v>-1.800369549328141</x:v>
      </x:c>
      <x:c r="N2966" s="8" t="n">
        <x:f>M2966^2</x:f>
        <x:v>3.241330514148014</x:v>
      </x:c>
      <x:c r="O2966" s="8" t="n">
        <x:f>ABS(M2966)</x:f>
        <x:v>1.800369549328141</x:v>
      </x:c>
      <x:c r="P2966" s="7" t="n">
        <x:v>45679</x:v>
      </x:c>
    </x:row>
    <x:row r="2967" ht="26" customHeight="1">
      <x:c r="A2967" s="2"/>
      <x:c r="B2967" s="2" t="n">
        <x:v>2962</x:v>
      </x:c>
      <x:c r="C2967" s="2" t="str">
        <x:v>Health Care / organic_sales_growth</x:v>
      </x:c>
      <x:c r="D2967" s="7" t="n">
        <x:v>45657</x:v>
      </x:c>
      <x:c r="E2967" s="2" t="str">
        <x:v>Pre-earnings</x:v>
      </x:c>
      <x:c r="F2967" s="7" t="n">
        <x:v>45678</x:v>
      </x:c>
      <x:c r="G2967" s="2" t="str">
        <x:v>Half correction</x:v>
      </x:c>
      <x:c r="H2967" s="8" t="n">
        <x:f>K2359</x:f>
        <x:v>5.380759104261251</x:v>
      </x:c>
      <x:c r="I2967" s="8" t="n">
        <x:f>AVERAGE(M2291,M2308,M2325,M2342)</x:f>
        <x:v>4.181128653589392</x:v>
      </x:c>
      <x:c r="J2967" s="8" t="n">
        <x:v>0.5</x:v>
      </x:c>
      <x:c r="K2967" s="8" t="n">
        <x:f>H2967-I2967*J2967</x:f>
        <x:v>3.2901947774665548</x:v>
      </x:c>
      <x:c r="L2967" s="8" t="n">
        <x:f>'PG facts'!F113</x:f>
        <x:v>3</x:v>
      </x:c>
      <x:c r="M2967" s="8" t="n">
        <x:f>K2967-L2967</x:f>
        <x:v>0.29019477746655475</x:v>
      </x:c>
      <x:c r="N2967" s="8" t="n">
        <x:f>M2967^2</x:f>
        <x:v>0.08421300886886324</x:v>
      </x:c>
      <x:c r="O2967" s="8" t="n">
        <x:f>ABS(M2967)</x:f>
        <x:v>0.29019477746655475</x:v>
      </x:c>
      <x:c r="P2967" s="7" t="n">
        <x:v>45679</x:v>
      </x:c>
    </x:row>
    <x:row r="2968" ht="26" customHeight="1">
      <x:c r="A2968" s="2"/>
      <x:c r="B2968" s="2" t="n">
        <x:v>2963</x:v>
      </x:c>
      <x:c r="C2968" s="2" t="str">
        <x:v>Health Care / organic_sales_growth</x:v>
      </x:c>
      <x:c r="D2968" s="7" t="n">
        <x:v>45747</x:v>
      </x:c>
      <x:c r="E2968" s="2" t="str">
        <x:v>Origin</x:v>
      </x:c>
      <x:c r="F2968" s="7" t="n">
        <x:v>45658</x:v>
      </x:c>
      <x:c r="G2968" s="2" t="str">
        <x:v>Bias correction</x:v>
      </x:c>
      <x:c r="H2968" s="8" t="n">
        <x:f>K2365</x:f>
        <x:v>5.653128186666685</x:v>
      </x:c>
      <x:c r="I2968" s="8" t="n">
        <x:f>AVERAGE(M2280,M2297,M2314,M2331)</x:f>
        <x:v>4.979189285572274</x:v>
      </x:c>
      <x:c r="J2968" s="8" t="n">
        <x:v>1</x:v>
      </x:c>
      <x:c r="K2968" s="8" t="n">
        <x:f>H2968-I2968*J2968</x:f>
        <x:v>0.6739389010944112</x:v>
      </x:c>
      <x:c r="L2968" s="8" t="n">
        <x:f>'PG facts'!F120</x:f>
        <x:v>4</x:v>
      </x:c>
      <x:c r="M2968" s="8" t="n">
        <x:f>K2968-L2968</x:f>
        <x:v>-3.3260610989055888</x:v>
      </x:c>
      <x:c r="N2968" s="8" t="n">
        <x:f>M2968^2</x:f>
        <x:v>11.062682433653054</x:v>
      </x:c>
      <x:c r="O2968" s="8" t="n">
        <x:f>ABS(M2968)</x:f>
        <x:v>3.3260610989055888</x:v>
      </x:c>
      <x:c r="P2968" s="7" t="n">
        <x:v>45771</x:v>
      </x:c>
    </x:row>
    <x:row r="2969" ht="26" customHeight="1">
      <x:c r="A2969" s="2"/>
      <x:c r="B2969" s="2" t="n">
        <x:v>2964</x:v>
      </x:c>
      <x:c r="C2969" s="2" t="str">
        <x:v>Health Care / organic_sales_growth</x:v>
      </x:c>
      <x:c r="D2969" s="7" t="n">
        <x:v>45747</x:v>
      </x:c>
      <x:c r="E2969" s="2" t="str">
        <x:v>Origin</x:v>
      </x:c>
      <x:c r="F2969" s="7" t="n">
        <x:v>45658</x:v>
      </x:c>
      <x:c r="G2969" s="2" t="str">
        <x:v>Half correction</x:v>
      </x:c>
      <x:c r="H2969" s="8" t="n">
        <x:f>K2365</x:f>
        <x:v>5.653128186666685</x:v>
      </x:c>
      <x:c r="I2969" s="8" t="n">
        <x:f>AVERAGE(M2280,M2297,M2314,M2331)</x:f>
        <x:v>4.979189285572274</x:v>
      </x:c>
      <x:c r="J2969" s="8" t="n">
        <x:v>0.5</x:v>
      </x:c>
      <x:c r="K2969" s="8" t="n">
        <x:f>H2969-I2969*J2969</x:f>
        <x:v>3.1635335438805483</x:v>
      </x:c>
      <x:c r="L2969" s="8" t="n">
        <x:f>'PG facts'!F120</x:f>
        <x:v>4</x:v>
      </x:c>
      <x:c r="M2969" s="8" t="n">
        <x:f>K2969-L2969</x:f>
        <x:v>-0.8364664561194517</x:v>
      </x:c>
      <x:c r="N2969" s="8" t="n">
        <x:f>M2969^2</x:f>
        <x:v>0.6996761322130346</x:v>
      </x:c>
      <x:c r="O2969" s="8" t="n">
        <x:f>ABS(M2969)</x:f>
        <x:v>0.8364664561194517</x:v>
      </x:c>
      <x:c r="P2969" s="7" t="n">
        <x:v>45771</x:v>
      </x:c>
    </x:row>
    <x:row r="2970" ht="26" customHeight="1">
      <x:c r="A2970" s="2"/>
      <x:c r="B2970" s="2" t="n">
        <x:v>2965</x:v>
      </x:c>
      <x:c r="C2970" s="2" t="str">
        <x:v>Health Care / organic_sales_growth</x:v>
      </x:c>
      <x:c r="D2970" s="7" t="n">
        <x:v>45747</x:v>
      </x:c>
      <x:c r="E2970" s="2" t="str">
        <x:v>Prior report</x:v>
      </x:c>
      <x:c r="F2970" s="7" t="n">
        <x:v>45679</x:v>
      </x:c>
      <x:c r="G2970" s="2" t="str">
        <x:v>Bias correction</x:v>
      </x:c>
      <x:c r="H2970" s="8" t="n">
        <x:f>K2370</x:f>
        <x:v>5.107697570696529</x:v>
      </x:c>
      <x:c r="I2970" s="8" t="n">
        <x:f>AVERAGE(M2302,M2319,M2336,M2353)</x:f>
        <x:v>3.3661248935372354</x:v>
      </x:c>
      <x:c r="J2970" s="8" t="n">
        <x:v>1</x:v>
      </x:c>
      <x:c r="K2970" s="8" t="n">
        <x:f>H2970-I2970*J2970</x:f>
        <x:v>1.7415726771592936</x:v>
      </x:c>
      <x:c r="L2970" s="8" t="n">
        <x:f>'PG facts'!F120</x:f>
        <x:v>4</x:v>
      </x:c>
      <x:c r="M2970" s="8" t="n">
        <x:f>K2970-L2970</x:f>
        <x:v>-2.2584273228407064</x:v>
      </x:c>
      <x:c r="N2970" s="8" t="n">
        <x:f>M2970^2</x:f>
        <x:v>5.10049397255344</x:v>
      </x:c>
      <x:c r="O2970" s="8" t="n">
        <x:f>ABS(M2970)</x:f>
        <x:v>2.2584273228407064</x:v>
      </x:c>
      <x:c r="P2970" s="7" t="n">
        <x:v>45771</x:v>
      </x:c>
    </x:row>
    <x:row r="2971" ht="26" customHeight="1">
      <x:c r="A2971" s="2"/>
      <x:c r="B2971" s="2" t="n">
        <x:v>2966</x:v>
      </x:c>
      <x:c r="C2971" s="2" t="str">
        <x:v>Health Care / organic_sales_growth</x:v>
      </x:c>
      <x:c r="D2971" s="7" t="n">
        <x:v>45747</x:v>
      </x:c>
      <x:c r="E2971" s="2" t="str">
        <x:v>Prior report</x:v>
      </x:c>
      <x:c r="F2971" s="7" t="n">
        <x:v>45679</x:v>
      </x:c>
      <x:c r="G2971" s="2" t="str">
        <x:v>Half correction</x:v>
      </x:c>
      <x:c r="H2971" s="8" t="n">
        <x:f>K2370</x:f>
        <x:v>5.107697570696529</x:v>
      </x:c>
      <x:c r="I2971" s="8" t="n">
        <x:f>AVERAGE(M2302,M2319,M2336,M2353)</x:f>
        <x:v>3.3661248935372354</x:v>
      </x:c>
      <x:c r="J2971" s="8" t="n">
        <x:v>0.5</x:v>
      </x:c>
      <x:c r="K2971" s="8" t="n">
        <x:f>H2971-I2971*J2971</x:f>
        <x:v>3.4246351239279114</x:v>
      </x:c>
      <x:c r="L2971" s="8" t="n">
        <x:f>'PG facts'!F120</x:f>
        <x:v>4</x:v>
      </x:c>
      <x:c r="M2971" s="8" t="n">
        <x:f>K2971-L2971</x:f>
        <x:v>-0.5753648760720886</x:v>
      </x:c>
      <x:c r="N2971" s="8" t="n">
        <x:f>M2971^2</x:f>
        <x:v>0.33104474061744993</x:v>
      </x:c>
      <x:c r="O2971" s="8" t="n">
        <x:f>ABS(M2971)</x:f>
        <x:v>0.5753648760720886</x:v>
      </x:c>
      <x:c r="P2971" s="7" t="n">
        <x:v>45771</x:v>
      </x:c>
    </x:row>
    <x:row r="2972" ht="26" customHeight="1">
      <x:c r="A2972" s="2"/>
      <x:c r="B2972" s="2" t="n">
        <x:v>2967</x:v>
      </x:c>
      <x:c r="C2972" s="2" t="str">
        <x:v>Health Care / organic_sales_growth</x:v>
      </x:c>
      <x:c r="D2972" s="7" t="n">
        <x:v>45747</x:v>
      </x:c>
      <x:c r="E2972" s="2" t="str">
        <x:v>Pre-earnings</x:v>
      </x:c>
      <x:c r="F2972" s="7" t="n">
        <x:v>45770</x:v>
      </x:c>
      <x:c r="G2972" s="2" t="str">
        <x:v>Bias correction</x:v>
      </x:c>
      <x:c r="H2972" s="8" t="n">
        <x:f>K2376</x:f>
        <x:v>6.940002617283943</x:v>
      </x:c>
      <x:c r="I2972" s="8" t="n">
        <x:f>AVERAGE(M2308,M2325,M2342,M2359)</x:f>
        <x:v>2.7748441840413003</x:v>
      </x:c>
      <x:c r="J2972" s="8" t="n">
        <x:v>1</x:v>
      </x:c>
      <x:c r="K2972" s="8" t="n">
        <x:f>H2972-I2972*J2972</x:f>
        <x:v>4.165158433242643</x:v>
      </x:c>
      <x:c r="L2972" s="8" t="n">
        <x:f>'PG facts'!F120</x:f>
        <x:v>4</x:v>
      </x:c>
      <x:c r="M2972" s="8" t="n">
        <x:f>K2972-L2972</x:f>
        <x:v>0.16515843324264257</x:v>
      </x:c>
      <x:c r="N2972" s="8" t="n">
        <x:f>M2972^2</x:f>
        <x:v>0.02727730807116442</x:v>
      </x:c>
      <x:c r="O2972" s="8" t="n">
        <x:f>ABS(M2972)</x:f>
        <x:v>0.16515843324264257</x:v>
      </x:c>
      <x:c r="P2972" s="7" t="n">
        <x:v>45771</x:v>
      </x:c>
    </x:row>
    <x:row r="2973" ht="26" customHeight="1">
      <x:c r="A2973" s="2"/>
      <x:c r="B2973" s="2" t="n">
        <x:v>2968</x:v>
      </x:c>
      <x:c r="C2973" s="2" t="str">
        <x:v>Health Care / organic_sales_growth</x:v>
      </x:c>
      <x:c r="D2973" s="7" t="n">
        <x:v>45747</x:v>
      </x:c>
      <x:c r="E2973" s="2" t="str">
        <x:v>Pre-earnings</x:v>
      </x:c>
      <x:c r="F2973" s="7" t="n">
        <x:v>45770</x:v>
      </x:c>
      <x:c r="G2973" s="2" t="str">
        <x:v>Half correction</x:v>
      </x:c>
      <x:c r="H2973" s="8" t="n">
        <x:f>K2376</x:f>
        <x:v>6.940002617283943</x:v>
      </x:c>
      <x:c r="I2973" s="8" t="n">
        <x:f>AVERAGE(M2308,M2325,M2342,M2359)</x:f>
        <x:v>2.7748441840413003</x:v>
      </x:c>
      <x:c r="J2973" s="8" t="n">
        <x:v>0.5</x:v>
      </x:c>
      <x:c r="K2973" s="8" t="n">
        <x:f>H2973-I2973*J2973</x:f>
        <x:v>5.552580525263293</x:v>
      </x:c>
      <x:c r="L2973" s="8" t="n">
        <x:f>'PG facts'!F120</x:f>
        <x:v>4</x:v>
      </x:c>
      <x:c r="M2973" s="8" t="n">
        <x:f>K2973-L2973</x:f>
        <x:v>1.5525805252632932</x:v>
      </x:c>
      <x:c r="N2973" s="8" t="n">
        <x:f>M2973^2</x:f>
        <x:v>2.4105062874268435</x:v>
      </x:c>
      <x:c r="O2973" s="8" t="n">
        <x:f>ABS(M2973)</x:f>
        <x:v>1.5525805252632932</x:v>
      </x:c>
      <x:c r="P2973" s="7" t="n">
        <x:v>45771</x:v>
      </x:c>
    </x:row>
    <x:row r="2974" ht="26" customHeight="1">
      <x:c r="A2974" s="2"/>
      <x:c r="B2974" s="2" t="n">
        <x:v>2969</x:v>
      </x:c>
      <x:c r="C2974" s="2" t="str">
        <x:v>Health Care / organic_sales_growth</x:v>
      </x:c>
      <x:c r="D2974" s="7" t="n">
        <x:v>45838</x:v>
      </x:c>
      <x:c r="E2974" s="2" t="str">
        <x:v>Origin</x:v>
      </x:c>
      <x:c r="F2974" s="7" t="n">
        <x:v>45748</x:v>
      </x:c>
      <x:c r="G2974" s="2" t="str">
        <x:v>Bias correction</x:v>
      </x:c>
      <x:c r="H2974" s="8" t="n">
        <x:f>K2382</x:f>
        <x:v>6.5643135254752565</x:v>
      </x:c>
      <x:c r="I2974" s="8" t="n">
        <x:f>AVERAGE(M2297,M2314,M2331,M2348)</x:f>
        <x:v>3.9763670905683965</x:v>
      </x:c>
      <x:c r="J2974" s="8" t="n">
        <x:v>1</x:v>
      </x:c>
      <x:c r="K2974" s="8" t="n">
        <x:f>H2974-I2974*J2974</x:f>
        <x:v>2.58794643490686</x:v>
      </x:c>
      <x:c r="L2974" s="8" t="n">
        <x:f>'PG facts'!F127</x:f>
        <x:v>2</x:v>
      </x:c>
      <x:c r="M2974" s="8" t="n">
        <x:f>K2974-L2974</x:f>
        <x:v>0.5879464349068599</x:v>
      </x:c>
      <x:c r="N2974" s="8" t="n">
        <x:f>M2974^2</x:f>
        <x:v>0.3456810103196865</x:v>
      </x:c>
      <x:c r="O2974" s="8" t="n">
        <x:f>ABS(M2974)</x:f>
        <x:v>0.5879464349068599</x:v>
      </x:c>
      <x:c r="P2974" s="7" t="n">
        <x:v>45867</x:v>
      </x:c>
    </x:row>
    <x:row r="2975" ht="26" customHeight="1">
      <x:c r="A2975" s="2"/>
      <x:c r="B2975" s="2" t="n">
        <x:v>2970</x:v>
      </x:c>
      <x:c r="C2975" s="2" t="str">
        <x:v>Health Care / organic_sales_growth</x:v>
      </x:c>
      <x:c r="D2975" s="7" t="n">
        <x:v>45838</x:v>
      </x:c>
      <x:c r="E2975" s="2" t="str">
        <x:v>Origin</x:v>
      </x:c>
      <x:c r="F2975" s="7" t="n">
        <x:v>45748</x:v>
      </x:c>
      <x:c r="G2975" s="2" t="str">
        <x:v>Half correction</x:v>
      </x:c>
      <x:c r="H2975" s="8" t="n">
        <x:f>K2382</x:f>
        <x:v>6.5643135254752565</x:v>
      </x:c>
      <x:c r="I2975" s="8" t="n">
        <x:f>AVERAGE(M2297,M2314,M2331,M2348)</x:f>
        <x:v>3.9763670905683965</x:v>
      </x:c>
      <x:c r="J2975" s="8" t="n">
        <x:v>0.5</x:v>
      </x:c>
      <x:c r="K2975" s="8" t="n">
        <x:f>H2975-I2975*J2975</x:f>
        <x:v>4.576129980191058</x:v>
      </x:c>
      <x:c r="L2975" s="8" t="n">
        <x:f>'PG facts'!F127</x:f>
        <x:v>2</x:v>
      </x:c>
      <x:c r="M2975" s="8" t="n">
        <x:f>K2975-L2975</x:f>
        <x:v>2.576129980191058</x:v>
      </x:c>
      <x:c r="N2975" s="8" t="n">
        <x:f>M2975^2</x:f>
        <x:v>6.636445674839181</x:v>
      </x:c>
      <x:c r="O2975" s="8" t="n">
        <x:f>ABS(M2975)</x:f>
        <x:v>2.576129980191058</x:v>
      </x:c>
      <x:c r="P2975" s="7" t="n">
        <x:v>45867</x:v>
      </x:c>
    </x:row>
    <x:row r="2976" ht="26" customHeight="1">
      <x:c r="A2976" s="2"/>
      <x:c r="B2976" s="2" t="n">
        <x:v>2971</x:v>
      </x:c>
      <x:c r="C2976" s="2" t="str">
        <x:v>Health Care / organic_sales_growth</x:v>
      </x:c>
      <x:c r="D2976" s="7" t="n">
        <x:v>45838</x:v>
      </x:c>
      <x:c r="E2976" s="2" t="str">
        <x:v>Prior report</x:v>
      </x:c>
      <x:c r="F2976" s="7" t="n">
        <x:v>45771</x:v>
      </x:c>
      <x:c r="G2976" s="2" t="str">
        <x:v>Bias correction</x:v>
      </x:c>
      <x:c r="H2976" s="8" t="n">
        <x:f>K2387</x:f>
        <x:v>6.7674715647634045</x:v>
      </x:c>
      <x:c r="I2976" s="8" t="n">
        <x:f>AVERAGE(M2319,M2336,M2353,M2370)</x:f>
        <x:v>1.9073220426638682</x:v>
      </x:c>
      <x:c r="J2976" s="8" t="n">
        <x:v>1</x:v>
      </x:c>
      <x:c r="K2976" s="8" t="n">
        <x:f>H2976-I2976*J2976</x:f>
        <x:v>4.860149522099537</x:v>
      </x:c>
      <x:c r="L2976" s="8" t="n">
        <x:f>'PG facts'!F127</x:f>
        <x:v>2</x:v>
      </x:c>
      <x:c r="M2976" s="8" t="n">
        <x:f>K2976-L2976</x:f>
        <x:v>2.8601495220995368</x:v>
      </x:c>
      <x:c r="N2976" s="8" t="n">
        <x:f>M2976^2</x:f>
        <x:v>8.18045528876621</x:v>
      </x:c>
      <x:c r="O2976" s="8" t="n">
        <x:f>ABS(M2976)</x:f>
        <x:v>2.8601495220995368</x:v>
      </x:c>
      <x:c r="P2976" s="7" t="n">
        <x:v>45867</x:v>
      </x:c>
    </x:row>
    <x:row r="2977" ht="26" customHeight="1">
      <x:c r="A2977" s="2"/>
      <x:c r="B2977" s="2" t="n">
        <x:v>2972</x:v>
      </x:c>
      <x:c r="C2977" s="2" t="str">
        <x:v>Health Care / organic_sales_growth</x:v>
      </x:c>
      <x:c r="D2977" s="7" t="n">
        <x:v>45838</x:v>
      </x:c>
      <x:c r="E2977" s="2" t="str">
        <x:v>Prior report</x:v>
      </x:c>
      <x:c r="F2977" s="7" t="n">
        <x:v>45771</x:v>
      </x:c>
      <x:c r="G2977" s="2" t="str">
        <x:v>Half correction</x:v>
      </x:c>
      <x:c r="H2977" s="8" t="n">
        <x:f>K2387</x:f>
        <x:v>6.7674715647634045</x:v>
      </x:c>
      <x:c r="I2977" s="8" t="n">
        <x:f>AVERAGE(M2319,M2336,M2353,M2370)</x:f>
        <x:v>1.9073220426638682</x:v>
      </x:c>
      <x:c r="J2977" s="8" t="n">
        <x:v>0.5</x:v>
      </x:c>
      <x:c r="K2977" s="8" t="n">
        <x:f>H2977-I2977*J2977</x:f>
        <x:v>5.813810543431471</x:v>
      </x:c>
      <x:c r="L2977" s="8" t="n">
        <x:f>'PG facts'!F127</x:f>
        <x:v>2</x:v>
      </x:c>
      <x:c r="M2977" s="8" t="n">
        <x:f>K2977-L2977</x:f>
        <x:v>3.8138105434314706</x:v>
      </x:c>
      <x:c r="N2977" s="8" t="n">
        <x:f>M2977^2</x:f>
        <x:v>14.545150861189049</x:v>
      </x:c>
      <x:c r="O2977" s="8" t="n">
        <x:f>ABS(M2977)</x:f>
        <x:v>3.8138105434314706</x:v>
      </x:c>
      <x:c r="P2977" s="7" t="n">
        <x:v>45867</x:v>
      </x:c>
    </x:row>
    <x:row r="2978" ht="26" customHeight="1">
      <x:c r="A2978" s="2"/>
      <x:c r="B2978" s="2" t="n">
        <x:v>2973</x:v>
      </x:c>
      <x:c r="C2978" s="2" t="str">
        <x:v>Health Care / organic_sales_growth</x:v>
      </x:c>
      <x:c r="D2978" s="7" t="n">
        <x:v>45838</x:v>
      </x:c>
      <x:c r="E2978" s="2" t="str">
        <x:v>Pre-earnings</x:v>
      </x:c>
      <x:c r="F2978" s="7" t="n">
        <x:v>45866</x:v>
      </x:c>
      <x:c r="G2978" s="2" t="str">
        <x:v>Bias correction</x:v>
      </x:c>
      <x:c r="H2978" s="8" t="n">
        <x:f>K2393</x:f>
        <x:v>7.738078414159862</x:v>
      </x:c>
      <x:c r="I2978" s="8" t="n">
        <x:f>AVERAGE(M2325,M2342,M2359,M2376)</x:f>
        <x:v>2.1798147005537993</x:v>
      </x:c>
      <x:c r="J2978" s="8" t="n">
        <x:v>1</x:v>
      </x:c>
      <x:c r="K2978" s="8" t="n">
        <x:f>H2978-I2978*J2978</x:f>
        <x:v>5.558263713606062</x:v>
      </x:c>
      <x:c r="L2978" s="8" t="n">
        <x:f>'PG facts'!F127</x:f>
        <x:v>2</x:v>
      </x:c>
      <x:c r="M2978" s="8" t="n">
        <x:f>K2978-L2978</x:f>
        <x:v>3.5582637136060624</x:v>
      </x:c>
      <x:c r="N2978" s="8" t="n">
        <x:f>M2978^2</x:f>
        <x:v>12.661240655565607</x:v>
      </x:c>
      <x:c r="O2978" s="8" t="n">
        <x:f>ABS(M2978)</x:f>
        <x:v>3.5582637136060624</x:v>
      </x:c>
      <x:c r="P2978" s="7" t="n">
        <x:v>45867</x:v>
      </x:c>
    </x:row>
    <x:row r="2979" ht="26" customHeight="1">
      <x:c r="A2979" s="2"/>
      <x:c r="B2979" s="2" t="n">
        <x:v>2974</x:v>
      </x:c>
      <x:c r="C2979" s="2" t="str">
        <x:v>Health Care / organic_sales_growth</x:v>
      </x:c>
      <x:c r="D2979" s="7" t="n">
        <x:v>45838</x:v>
      </x:c>
      <x:c r="E2979" s="2" t="str">
        <x:v>Pre-earnings</x:v>
      </x:c>
      <x:c r="F2979" s="7" t="n">
        <x:v>45866</x:v>
      </x:c>
      <x:c r="G2979" s="2" t="str">
        <x:v>Half correction</x:v>
      </x:c>
      <x:c r="H2979" s="8" t="n">
        <x:f>K2393</x:f>
        <x:v>7.738078414159862</x:v>
      </x:c>
      <x:c r="I2979" s="8" t="n">
        <x:f>AVERAGE(M2325,M2342,M2359,M2376)</x:f>
        <x:v>2.1798147005537993</x:v>
      </x:c>
      <x:c r="J2979" s="8" t="n">
        <x:v>0.5</x:v>
      </x:c>
      <x:c r="K2979" s="8" t="n">
        <x:f>H2979-I2979*J2979</x:f>
        <x:v>6.6481710638829625</x:v>
      </x:c>
      <x:c r="L2979" s="8" t="n">
        <x:f>'PG facts'!F127</x:f>
        <x:v>2</x:v>
      </x:c>
      <x:c r="M2979" s="8" t="n">
        <x:f>K2979-L2979</x:f>
        <x:v>4.6481710638829625</x:v>
      </x:c>
      <x:c r="N2979" s="8" t="n">
        <x:f>M2979^2</x:f>
        <x:v>21.605494239118872</x:v>
      </x:c>
      <x:c r="O2979" s="8" t="n">
        <x:f>ABS(M2979)</x:f>
        <x:v>4.6481710638829625</x:v>
      </x:c>
      <x:c r="P2979" s="7" t="n">
        <x:v>45867</x:v>
      </x:c>
    </x:row>
    <x:row r="2980" ht="26" customHeight="1">
      <x:c r="A2980" s="2"/>
      <x:c r="B2980" s="2" t="n">
        <x:v>2975</x:v>
      </x:c>
      <x:c r="C2980" s="2" t="str">
        <x:v>Health Care / organic_sales_growth</x:v>
      </x:c>
      <x:c r="D2980" s="7" t="n">
        <x:v>45930</x:v>
      </x:c>
      <x:c r="E2980" s="2" t="str">
        <x:v>Origin</x:v>
      </x:c>
      <x:c r="F2980" s="7" t="n">
        <x:v>45839</x:v>
      </x:c>
      <x:c r="G2980" s="2" t="str">
        <x:v>Bias correction</x:v>
      </x:c>
      <x:c r="H2980" s="8" t="n">
        <x:f>K2399</x:f>
        <x:v>7.8955145480331375</x:v>
      </x:c>
      <x:c r="I2980" s="8" t="n">
        <x:f>AVERAGE(M2314,M2331,M2348,M2365)</x:f>
        <x:v>2.396685117290333</x:v>
      </x:c>
      <x:c r="J2980" s="8" t="n">
        <x:v>1</x:v>
      </x:c>
      <x:c r="K2980" s="8" t="n">
        <x:f>H2980-I2980*J2980</x:f>
        <x:v>5.498829430742804</x:v>
      </x:c>
      <x:c r="L2980" s="8" t="n">
        <x:f>'PG facts'!F134</x:f>
        <x:v>1</x:v>
      </x:c>
      <x:c r="M2980" s="8" t="n">
        <x:f>K2980-L2980</x:f>
        <x:v>4.498829430742804</x:v>
      </x:c>
      <x:c r="N2980" s="8" t="n">
        <x:f>M2980^2</x:f>
        <x:v>20.23946624691762</x:v>
      </x:c>
      <x:c r="O2980" s="8" t="n">
        <x:f>ABS(M2980)</x:f>
        <x:v>4.498829430742804</x:v>
      </x:c>
      <x:c r="P2980" s="7" t="n">
        <x:v>45954</x:v>
      </x:c>
    </x:row>
    <x:row r="2981" ht="26" customHeight="1">
      <x:c r="A2981" s="2"/>
      <x:c r="B2981" s="2" t="n">
        <x:v>2976</x:v>
      </x:c>
      <x:c r="C2981" s="2" t="str">
        <x:v>Health Care / organic_sales_growth</x:v>
      </x:c>
      <x:c r="D2981" s="7" t="n">
        <x:v>45930</x:v>
      </x:c>
      <x:c r="E2981" s="2" t="str">
        <x:v>Origin</x:v>
      </x:c>
      <x:c r="F2981" s="7" t="n">
        <x:v>45839</x:v>
      </x:c>
      <x:c r="G2981" s="2" t="str">
        <x:v>Half correction</x:v>
      </x:c>
      <x:c r="H2981" s="8" t="n">
        <x:f>K2399</x:f>
        <x:v>7.8955145480331375</x:v>
      </x:c>
      <x:c r="I2981" s="8" t="n">
        <x:f>AVERAGE(M2314,M2331,M2348,M2365)</x:f>
        <x:v>2.396685117290333</x:v>
      </x:c>
      <x:c r="J2981" s="8" t="n">
        <x:v>0.5</x:v>
      </x:c>
      <x:c r="K2981" s="8" t="n">
        <x:f>H2981-I2981*J2981</x:f>
        <x:v>6.697171989387971</x:v>
      </x:c>
      <x:c r="L2981" s="8" t="n">
        <x:f>'PG facts'!F134</x:f>
        <x:v>1</x:v>
      </x:c>
      <x:c r="M2981" s="8" t="n">
        <x:f>K2981-L2981</x:f>
        <x:v>5.697171989387971</x:v>
      </x:c>
      <x:c r="N2981" s="8" t="n">
        <x:f>M2981^2</x:f>
        <x:v>32.45776867666689</x:v>
      </x:c>
      <x:c r="O2981" s="8" t="n">
        <x:f>ABS(M2981)</x:f>
        <x:v>5.697171989387971</x:v>
      </x:c>
      <x:c r="P2981" s="7" t="n">
        <x:v>45954</x:v>
      </x:c>
    </x:row>
    <x:row r="2982" ht="26" customHeight="1">
      <x:c r="A2982" s="2"/>
      <x:c r="B2982" s="2" t="n">
        <x:v>2977</x:v>
      </x:c>
      <x:c r="C2982" s="2" t="str">
        <x:v>Health Care / organic_sales_growth</x:v>
      </x:c>
      <x:c r="D2982" s="7" t="n">
        <x:v>45930</x:v>
      </x:c>
      <x:c r="E2982" s="2" t="str">
        <x:v>Prior report</x:v>
      </x:c>
      <x:c r="F2982" s="7" t="n">
        <x:v>45867</x:v>
      </x:c>
      <x:c r="G2982" s="2" t="str">
        <x:v>Bias correction</x:v>
      </x:c>
      <x:c r="H2982" s="8" t="n">
        <x:f>K2404</x:f>
        <x:v>7.3432191970703276</x:v>
      </x:c>
      <x:c r="I2982" s="8" t="n">
        <x:f>AVERAGE(M2336,M2353,M2370,M2387)</x:f>
        <x:v>2.4654439829943042</x:v>
      </x:c>
      <x:c r="J2982" s="8" t="n">
        <x:v>1</x:v>
      </x:c>
      <x:c r="K2982" s="8" t="n">
        <x:f>H2982-I2982*J2982</x:f>
        <x:v>4.877775214076023</x:v>
      </x:c>
      <x:c r="L2982" s="8" t="n">
        <x:f>'PG facts'!F134</x:f>
        <x:v>1</x:v>
      </x:c>
      <x:c r="M2982" s="8" t="n">
        <x:f>K2982-L2982</x:f>
        <x:v>3.8777752140760233</x:v>
      </x:c>
      <x:c r="N2982" s="8" t="n">
        <x:f>M2982^2</x:f>
        <x:v>15.037140610902348</x:v>
      </x:c>
      <x:c r="O2982" s="8" t="n">
        <x:f>ABS(M2982)</x:f>
        <x:v>3.8777752140760233</x:v>
      </x:c>
      <x:c r="P2982" s="7" t="n">
        <x:v>45954</x:v>
      </x:c>
    </x:row>
    <x:row r="2983" ht="26" customHeight="1">
      <x:c r="A2983" s="2"/>
      <x:c r="B2983" s="2" t="n">
        <x:v>2978</x:v>
      </x:c>
      <x:c r="C2983" s="2" t="str">
        <x:v>Health Care / organic_sales_growth</x:v>
      </x:c>
      <x:c r="D2983" s="7" t="n">
        <x:v>45930</x:v>
      </x:c>
      <x:c r="E2983" s="2" t="str">
        <x:v>Prior report</x:v>
      </x:c>
      <x:c r="F2983" s="7" t="n">
        <x:v>45867</x:v>
      </x:c>
      <x:c r="G2983" s="2" t="str">
        <x:v>Half correction</x:v>
      </x:c>
      <x:c r="H2983" s="8" t="n">
        <x:f>K2404</x:f>
        <x:v>7.3432191970703276</x:v>
      </x:c>
      <x:c r="I2983" s="8" t="n">
        <x:f>AVERAGE(M2336,M2353,M2370,M2387)</x:f>
        <x:v>2.4654439829943042</x:v>
      </x:c>
      <x:c r="J2983" s="8" t="n">
        <x:v>0.5</x:v>
      </x:c>
      <x:c r="K2983" s="8" t="n">
        <x:f>H2983-I2983*J2983</x:f>
        <x:v>6.110497205573175</x:v>
      </x:c>
      <x:c r="L2983" s="8" t="n">
        <x:f>'PG facts'!F134</x:f>
        <x:v>1</x:v>
      </x:c>
      <x:c r="M2983" s="8" t="n">
        <x:f>K2983-L2983</x:f>
        <x:v>5.110497205573175</x:v>
      </x:c>
      <x:c r="N2983" s="8" t="n">
        <x:f>M2983^2</x:f>
        <x:v>26.11718168817123</x:v>
      </x:c>
      <x:c r="O2983" s="8" t="n">
        <x:f>ABS(M2983)</x:f>
        <x:v>5.110497205573175</x:v>
      </x:c>
      <x:c r="P2983" s="7" t="n">
        <x:v>45954</x:v>
      </x:c>
    </x:row>
    <x:row r="2984" ht="26" customHeight="1">
      <x:c r="A2984" s="2"/>
      <x:c r="B2984" s="2" t="n">
        <x:v>2979</x:v>
      </x:c>
      <x:c r="C2984" s="2" t="str">
        <x:v>Health Care / organic_sales_growth</x:v>
      </x:c>
      <x:c r="D2984" s="7" t="n">
        <x:v>45930</x:v>
      </x:c>
      <x:c r="E2984" s="2" t="str">
        <x:v>Pre-earnings</x:v>
      </x:c>
      <x:c r="F2984" s="7" t="n">
        <x:v>45953</x:v>
      </x:c>
      <x:c r="G2984" s="2" t="str">
        <x:v>Bias correction</x:v>
      </x:c>
      <x:c r="H2984" s="8" t="n">
        <x:f>K2410</x:f>
        <x:v>6.334193147953765</x:v>
      </x:c>
      <x:c r="I2984" s="8" t="n">
        <x:f>AVERAGE(M2342,M2359,M2376,M2393)</x:f>
        <x:v>3.393438759432879</x:v>
      </x:c>
      <x:c r="J2984" s="8" t="n">
        <x:v>1</x:v>
      </x:c>
      <x:c r="K2984" s="8" t="n">
        <x:f>H2984-I2984*J2984</x:f>
        <x:v>2.9407543885208858</x:v>
      </x:c>
      <x:c r="L2984" s="8" t="n">
        <x:f>'PG facts'!F134</x:f>
        <x:v>1</x:v>
      </x:c>
      <x:c r="M2984" s="8" t="n">
        <x:f>K2984-L2984</x:f>
        <x:v>1.9407543885208858</x:v>
      </x:c>
      <x:c r="N2984" s="8" t="n">
        <x:f>M2984^2</x:f>
        <x:v>3.766527596563077</x:v>
      </x:c>
      <x:c r="O2984" s="8" t="n">
        <x:f>ABS(M2984)</x:f>
        <x:v>1.9407543885208858</x:v>
      </x:c>
      <x:c r="P2984" s="7" t="n">
        <x:v>45954</x:v>
      </x:c>
    </x:row>
    <x:row r="2985" ht="26" customHeight="1">
      <x:c r="A2985" s="2"/>
      <x:c r="B2985" s="2" t="n">
        <x:v>2980</x:v>
      </x:c>
      <x:c r="C2985" s="2" t="str">
        <x:v>Health Care / organic_sales_growth</x:v>
      </x:c>
      <x:c r="D2985" s="7" t="n">
        <x:v>45930</x:v>
      </x:c>
      <x:c r="E2985" s="2" t="str">
        <x:v>Pre-earnings</x:v>
      </x:c>
      <x:c r="F2985" s="7" t="n">
        <x:v>45953</x:v>
      </x:c>
      <x:c r="G2985" s="2" t="str">
        <x:v>Half correction</x:v>
      </x:c>
      <x:c r="H2985" s="8" t="n">
        <x:f>K2410</x:f>
        <x:v>6.334193147953765</x:v>
      </x:c>
      <x:c r="I2985" s="8" t="n">
        <x:f>AVERAGE(M2342,M2359,M2376,M2393)</x:f>
        <x:v>3.393438759432879</x:v>
      </x:c>
      <x:c r="J2985" s="8" t="n">
        <x:v>0.5</x:v>
      </x:c>
      <x:c r="K2985" s="8" t="n">
        <x:f>H2985-I2985*J2985</x:f>
        <x:v>4.637473768237325</x:v>
      </x:c>
      <x:c r="L2985" s="8" t="n">
        <x:f>'PG facts'!F134</x:f>
        <x:v>1</x:v>
      </x:c>
      <x:c r="M2985" s="8" t="n">
        <x:f>K2985-L2985</x:f>
        <x:v>3.6374737682373253</x:v>
      </x:c>
      <x:c r="N2985" s="8" t="n">
        <x:f>M2985^2</x:f>
        <x:v>13.231215414614647</x:v>
      </x:c>
      <x:c r="O2985" s="8" t="n">
        <x:f>ABS(M2985)</x:f>
        <x:v>3.6374737682373253</x:v>
      </x:c>
      <x:c r="P2985" s="7" t="n">
        <x:v>45954</x:v>
      </x:c>
    </x:row>
    <x:row r="2986" ht="26" customHeight="1">
      <x:c r="A2986" s="2"/>
      <x:c r="B2986" s="2" t="n">
        <x:v>2981</x:v>
      </x:c>
      <x:c r="C2986" s="2" t="str">
        <x:v>Health Care / organic_sales_growth</x:v>
      </x:c>
      <x:c r="D2986" s="7" t="n">
        <x:v>46022</x:v>
      </x:c>
      <x:c r="E2986" s="2" t="str">
        <x:v>Origin</x:v>
      </x:c>
      <x:c r="F2986" s="7" t="n">
        <x:v>45931</x:v>
      </x:c>
      <x:c r="G2986" s="2" t="str">
        <x:v>Bias correction</x:v>
      </x:c>
      <x:c r="H2986" s="8" t="n">
        <x:f>K2416</x:f>
        <x:v>6.7228815896263745</x:v>
      </x:c>
      <x:c r="I2986" s="8" t="n">
        <x:f>AVERAGE(M2331,M2348,M2365,M2382)</x:f>
        <x:v>2.5606694135033727</x:v>
      </x:c>
      <x:c r="J2986" s="8" t="n">
        <x:v>1</x:v>
      </x:c>
      <x:c r="K2986" s="8" t="n">
        <x:f>H2986-I2986*J2986</x:f>
        <x:v>4.162212176123002</x:v>
      </x:c>
      <x:c r="L2986" s="8" t="n">
        <x:f>'PG facts'!F141</x:f>
        <x:v>3</x:v>
      </x:c>
      <x:c r="M2986" s="8" t="n">
        <x:f>K2986-L2986</x:f>
        <x:v>1.1622121761230018</x:v>
      </x:c>
      <x:c r="N2986" s="8" t="n">
        <x:f>M2986^2</x:f>
        <x:v>1.3507371423285632</x:v>
      </x:c>
      <x:c r="O2986" s="8" t="n">
        <x:f>ABS(M2986)</x:f>
        <x:v>1.1622121761230018</x:v>
      </x:c>
      <x:c r="P2986" s="7" t="n">
        <x:v>46045</x:v>
      </x:c>
    </x:row>
    <x:row r="2987" ht="26" customHeight="1">
      <x:c r="A2987" s="2"/>
      <x:c r="B2987" s="2" t="n">
        <x:v>2982</x:v>
      </x:c>
      <x:c r="C2987" s="2" t="str">
        <x:v>Health Care / organic_sales_growth</x:v>
      </x:c>
      <x:c r="D2987" s="7" t="n">
        <x:v>46022</x:v>
      </x:c>
      <x:c r="E2987" s="2" t="str">
        <x:v>Origin</x:v>
      </x:c>
      <x:c r="F2987" s="7" t="n">
        <x:v>45931</x:v>
      </x:c>
      <x:c r="G2987" s="2" t="str">
        <x:v>Half correction</x:v>
      </x:c>
      <x:c r="H2987" s="8" t="n">
        <x:f>K2416</x:f>
        <x:v>6.7228815896263745</x:v>
      </x:c>
      <x:c r="I2987" s="8" t="n">
        <x:f>AVERAGE(M2331,M2348,M2365,M2382)</x:f>
        <x:v>2.5606694135033727</x:v>
      </x:c>
      <x:c r="J2987" s="8" t="n">
        <x:v>0.5</x:v>
      </x:c>
      <x:c r="K2987" s="8" t="n">
        <x:f>H2987-I2987*J2987</x:f>
        <x:v>5.442546882874688</x:v>
      </x:c>
      <x:c r="L2987" s="8" t="n">
        <x:f>'PG facts'!F141</x:f>
        <x:v>3</x:v>
      </x:c>
      <x:c r="M2987" s="8" t="n">
        <x:f>K2987-L2987</x:f>
        <x:v>2.442546882874688</x:v>
      </x:c>
      <x:c r="N2987" s="8" t="n">
        <x:f>M2987^2</x:f>
        <x:v>5.966035275040856</x:v>
      </x:c>
      <x:c r="O2987" s="8" t="n">
        <x:f>ABS(M2987)</x:f>
        <x:v>2.442546882874688</x:v>
      </x:c>
      <x:c r="P2987" s="7" t="n">
        <x:v>46045</x:v>
      </x:c>
    </x:row>
    <x:row r="2988" ht="26" customHeight="1">
      <x:c r="A2988" s="2"/>
      <x:c r="B2988" s="2" t="n">
        <x:v>2983</x:v>
      </x:c>
      <x:c r="C2988" s="2" t="str">
        <x:v>Health Care / organic_sales_growth</x:v>
      </x:c>
      <x:c r="D2988" s="7" t="n">
        <x:v>46022</x:v>
      </x:c>
      <x:c r="E2988" s="2" t="str">
        <x:v>Prior report</x:v>
      </x:c>
      <x:c r="F2988" s="7" t="n">
        <x:v>45954</x:v>
      </x:c>
      <x:c r="G2988" s="2" t="str">
        <x:v>Bias correction</x:v>
      </x:c>
      <x:c r="H2988" s="8" t="n">
        <x:f>K2421</x:f>
        <x:v>6.7228815896263745</x:v>
      </x:c>
      <x:c r="I2988" s="8" t="n">
        <x:f>AVERAGE(M2353,M2370,M2387,M2404)</x:f>
        <x:v>3.881183939412911</x:v>
      </x:c>
      <x:c r="J2988" s="8" t="n">
        <x:v>1</x:v>
      </x:c>
      <x:c r="K2988" s="8" t="n">
        <x:f>H2988-I2988*J2988</x:f>
        <x:v>2.8416976502134634</x:v>
      </x:c>
      <x:c r="L2988" s="8" t="n">
        <x:f>'PG facts'!F141</x:f>
        <x:v>3</x:v>
      </x:c>
      <x:c r="M2988" s="8" t="n">
        <x:f>K2988-L2988</x:f>
        <x:v>-0.15830234978653657</x:v>
      </x:c>
      <x:c r="N2988" s="8" t="n">
        <x:f>M2988^2</x:f>
        <x:v>0.025059633947938975</x:v>
      </x:c>
      <x:c r="O2988" s="8" t="n">
        <x:f>ABS(M2988)</x:f>
        <x:v>0.15830234978653657</x:v>
      </x:c>
      <x:c r="P2988" s="7" t="n">
        <x:v>46045</x:v>
      </x:c>
    </x:row>
    <x:row r="2989" ht="26" customHeight="1">
      <x:c r="A2989" s="2"/>
      <x:c r="B2989" s="2" t="n">
        <x:v>2984</x:v>
      </x:c>
      <x:c r="C2989" s="2" t="str">
        <x:v>Health Care / organic_sales_growth</x:v>
      </x:c>
      <x:c r="D2989" s="7" t="n">
        <x:v>46022</x:v>
      </x:c>
      <x:c r="E2989" s="2" t="str">
        <x:v>Prior report</x:v>
      </x:c>
      <x:c r="F2989" s="7" t="n">
        <x:v>45954</x:v>
      </x:c>
      <x:c r="G2989" s="2" t="str">
        <x:v>Half correction</x:v>
      </x:c>
      <x:c r="H2989" s="8" t="n">
        <x:f>K2421</x:f>
        <x:v>6.7228815896263745</x:v>
      </x:c>
      <x:c r="I2989" s="8" t="n">
        <x:f>AVERAGE(M2353,M2370,M2387,M2404)</x:f>
        <x:v>3.881183939412911</x:v>
      </x:c>
      <x:c r="J2989" s="8" t="n">
        <x:v>0.5</x:v>
      </x:c>
      <x:c r="K2989" s="8" t="n">
        <x:f>H2989-I2989*J2989</x:f>
        <x:v>4.7822896199199185</x:v>
      </x:c>
      <x:c r="L2989" s="8" t="n">
        <x:f>'PG facts'!F141</x:f>
        <x:v>3</x:v>
      </x:c>
      <x:c r="M2989" s="8" t="n">
        <x:f>K2989-L2989</x:f>
        <x:v>1.7822896199199185</x:v>
      </x:c>
      <x:c r="N2989" s="8" t="n">
        <x:f>M2989^2</x:f>
        <x:v>3.176556289274288</x:v>
      </x:c>
      <x:c r="O2989" s="8" t="n">
        <x:f>ABS(M2989)</x:f>
        <x:v>1.7822896199199185</x:v>
      </x:c>
      <x:c r="P2989" s="7" t="n">
        <x:v>46045</x:v>
      </x:c>
    </x:row>
    <x:row r="2990" ht="26" customHeight="1">
      <x:c r="A2990" s="2"/>
      <x:c r="B2990" s="2" t="n">
        <x:v>2985</x:v>
      </x:c>
      <x:c r="C2990" s="2" t="str">
        <x:v>Health Care / organic_sales_growth</x:v>
      </x:c>
      <x:c r="D2990" s="7" t="n">
        <x:v>46022</x:v>
      </x:c>
      <x:c r="E2990" s="2" t="str">
        <x:v>Pre-earnings</x:v>
      </x:c>
      <x:c r="F2990" s="7" t="n">
        <x:v>46044</x:v>
      </x:c>
      <x:c r="G2990" s="2" t="str">
        <x:v>Bias correction</x:v>
      </x:c>
      <x:c r="H2990" s="8" t="n">
        <x:f>K2426</x:f>
        <x:v>6.243170993220184</x:v>
      </x:c>
      <x:c r="I2990" s="8" t="n">
        <x:f>AVERAGE(M2359,M2376,M2393,M2410)</x:f>
        <x:v>4.098258320914705</x:v>
      </x:c>
      <x:c r="J2990" s="8" t="n">
        <x:v>1</x:v>
      </x:c>
      <x:c r="K2990" s="8" t="n">
        <x:f>H2990-I2990*J2990</x:f>
        <x:v>2.1449126723054794</x:v>
      </x:c>
      <x:c r="L2990" s="8" t="n">
        <x:f>'PG facts'!F141</x:f>
        <x:v>3</x:v>
      </x:c>
      <x:c r="M2990" s="8" t="n">
        <x:f>K2990-L2990</x:f>
        <x:v>-0.8550873276945206</x:v>
      </x:c>
      <x:c r="N2990" s="8" t="n">
        <x:f>M2990^2</x:f>
        <x:v>0.7311743379837564</x:v>
      </x:c>
      <x:c r="O2990" s="8" t="n">
        <x:f>ABS(M2990)</x:f>
        <x:v>0.8550873276945206</x:v>
      </x:c>
      <x:c r="P2990" s="7" t="n">
        <x:v>46045</x:v>
      </x:c>
    </x:row>
    <x:row r="2991" ht="26" customHeight="1">
      <x:c r="A2991" s="2"/>
      <x:c r="B2991" s="2" t="n">
        <x:v>2986</x:v>
      </x:c>
      <x:c r="C2991" s="2" t="str">
        <x:v>Health Care / organic_sales_growth</x:v>
      </x:c>
      <x:c r="D2991" s="7" t="n">
        <x:v>46022</x:v>
      </x:c>
      <x:c r="E2991" s="2" t="str">
        <x:v>Pre-earnings</x:v>
      </x:c>
      <x:c r="F2991" s="7" t="n">
        <x:v>46044</x:v>
      </x:c>
      <x:c r="G2991" s="2" t="str">
        <x:v>Half correction</x:v>
      </x:c>
      <x:c r="H2991" s="8" t="n">
        <x:f>K2426</x:f>
        <x:v>6.243170993220184</x:v>
      </x:c>
      <x:c r="I2991" s="8" t="n">
        <x:f>AVERAGE(M2359,M2376,M2393,M2410)</x:f>
        <x:v>4.098258320914705</x:v>
      </x:c>
      <x:c r="J2991" s="8" t="n">
        <x:v>0.5</x:v>
      </x:c>
      <x:c r="K2991" s="8" t="n">
        <x:f>H2991-I2991*J2991</x:f>
        <x:v>4.1940418327628315</x:v>
      </x:c>
      <x:c r="L2991" s="8" t="n">
        <x:f>'PG facts'!F141</x:f>
        <x:v>3</x:v>
      </x:c>
      <x:c r="M2991" s="8" t="n">
        <x:f>K2991-L2991</x:f>
        <x:v>1.1940418327628315</x:v>
      </x:c>
      <x:c r="N2991" s="8" t="n">
        <x:f>M2991^2</x:f>
        <x:v>1.4257358983876216</x:v>
      </x:c>
      <x:c r="O2991" s="8" t="n">
        <x:f>ABS(M2991)</x:f>
        <x:v>1.1940418327628315</x:v>
      </x:c>
      <x:c r="P2991" s="7" t="n">
        <x:v>46045</x:v>
      </x:c>
    </x:row>
    <x:row r="2992" ht="26" customHeight="1">
      <x:c r="A2992" s="2"/>
      <x:c r="B2992" s="2" t="n">
        <x:v>2987</x:v>
      </x:c>
      <x:c r="C2992" s="2" t="str">
        <x:v>Health Care / organic_sales_growth</x:v>
      </x:c>
      <x:c r="D2992" s="7" t="n">
        <x:v>46112</x:v>
      </x:c>
      <x:c r="E2992" s="2" t="str">
        <x:v>Origin</x:v>
      </x:c>
      <x:c r="F2992" s="7" t="n">
        <x:v>46023</x:v>
      </x:c>
      <x:c r="G2992" s="2" t="str">
        <x:v>Bias correction</x:v>
      </x:c>
      <x:c r="H2992" s="8" t="n">
        <x:f>K2432</x:f>
        <x:v>6.093344721089904</x:v>
      </x:c>
      <x:c r="I2992" s="8" t="n">
        <x:f>AVERAGE(M2348,M2365,M2382,M2399)</x:f>
        <x:v>4.044033424589319</x:v>
      </x:c>
      <x:c r="J2992" s="8" t="n">
        <x:v>1</x:v>
      </x:c>
      <x:c r="K2992" s="8" t="n">
        <x:f>H2992-I2992*J2992</x:f>
        <x:v>2.0493112965005853</x:v>
      </x:c>
      <x:c r="L2992" s="8" t="n">
        <x:f>'PG facts'!F148</x:f>
        <x:v>2</x:v>
      </x:c>
      <x:c r="M2992" s="8" t="n">
        <x:f>K2992-L2992</x:f>
        <x:v>0.0493112965005853</x:v>
      </x:c>
      <x:c r="N2992" s="8" t="n">
        <x:f>M2992^2</x:f>
        <x:v>0.002431603962568636</x:v>
      </x:c>
      <x:c r="O2992" s="8" t="n">
        <x:f>ABS(M2992)</x:f>
        <x:v>0.0493112965005853</x:v>
      </x:c>
      <x:c r="P2992" s="7" t="n">
        <x:v>46136</x:v>
      </x:c>
    </x:row>
    <x:row r="2993" ht="26" customHeight="1">
      <x:c r="A2993" s="2"/>
      <x:c r="B2993" s="2" t="n">
        <x:v>2988</x:v>
      </x:c>
      <x:c r="C2993" s="2" t="str">
        <x:v>Health Care / organic_sales_growth</x:v>
      </x:c>
      <x:c r="D2993" s="7" t="n">
        <x:v>46112</x:v>
      </x:c>
      <x:c r="E2993" s="2" t="str">
        <x:v>Origin</x:v>
      </x:c>
      <x:c r="F2993" s="7" t="n">
        <x:v>46023</x:v>
      </x:c>
      <x:c r="G2993" s="2" t="str">
        <x:v>Half correction</x:v>
      </x:c>
      <x:c r="H2993" s="8" t="n">
        <x:f>K2432</x:f>
        <x:v>6.093344721089904</x:v>
      </x:c>
      <x:c r="I2993" s="8" t="n">
        <x:f>AVERAGE(M2348,M2365,M2382,M2399)</x:f>
        <x:v>4.044033424589319</x:v>
      </x:c>
      <x:c r="J2993" s="8" t="n">
        <x:v>0.5</x:v>
      </x:c>
      <x:c r="K2993" s="8" t="n">
        <x:f>H2993-I2993*J2993</x:f>
        <x:v>4.071328008795245</x:v>
      </x:c>
      <x:c r="L2993" s="8" t="n">
        <x:f>'PG facts'!F148</x:f>
        <x:v>2</x:v>
      </x:c>
      <x:c r="M2993" s="8" t="n">
        <x:f>K2993-L2993</x:f>
        <x:v>2.071328008795245</x:v>
      </x:c>
      <x:c r="N2993" s="8" t="n">
        <x:f>M2993^2</x:f>
        <x:v>4.290399720019674</x:v>
      </x:c>
      <x:c r="O2993" s="8" t="n">
        <x:f>ABS(M2993)</x:f>
        <x:v>2.071328008795245</x:v>
      </x:c>
      <x:c r="P2993" s="7" t="n">
        <x:v>46136</x:v>
      </x:c>
    </x:row>
    <x:row r="2994" ht="26" customHeight="1">
      <x:c r="A2994" s="2"/>
      <x:c r="B2994" s="2" t="n">
        <x:v>2989</x:v>
      </x:c>
      <x:c r="C2994" s="2" t="str">
        <x:v>Health Care / organic_sales_growth</x:v>
      </x:c>
      <x:c r="D2994" s="7" t="n">
        <x:v>46112</x:v>
      </x:c>
      <x:c r="E2994" s="2" t="str">
        <x:v>Prior report</x:v>
      </x:c>
      <x:c r="F2994" s="7" t="n">
        <x:v>46045</x:v>
      </x:c>
      <x:c r="G2994" s="2" t="str">
        <x:v>Bias correction</x:v>
      </x:c>
      <x:c r="H2994" s="8" t="n">
        <x:f>K2437</x:f>
        <x:v>6.197111890542393</x:v>
      </x:c>
      <x:c r="I2994" s="8" t="n">
        <x:f>AVERAGE(M2370,M2387,M2404,M2421)</x:f>
        <x:v>3.985317480539159</x:v>
      </x:c>
      <x:c r="J2994" s="8" t="n">
        <x:v>1</x:v>
      </x:c>
      <x:c r="K2994" s="8" t="n">
        <x:f>H2994-I2994*J2994</x:f>
        <x:v>2.2117944100032343</x:v>
      </x:c>
      <x:c r="L2994" s="8" t="n">
        <x:f>'PG facts'!F148</x:f>
        <x:v>2</x:v>
      </x:c>
      <x:c r="M2994" s="8" t="n">
        <x:f>K2994-L2994</x:f>
        <x:v>0.2117944100032343</x:v>
      </x:c>
      <x:c r="N2994" s="8" t="n">
        <x:f>M2994^2</x:f>
        <x:v>0.04485687210861811</x:v>
      </x:c>
      <x:c r="O2994" s="8" t="n">
        <x:f>ABS(M2994)</x:f>
        <x:v>0.2117944100032343</x:v>
      </x:c>
      <x:c r="P2994" s="7" t="n">
        <x:v>46136</x:v>
      </x:c>
    </x:row>
    <x:row r="2995" ht="26" customHeight="1">
      <x:c r="A2995" s="2"/>
      <x:c r="B2995" s="2" t="n">
        <x:v>2990</x:v>
      </x:c>
      <x:c r="C2995" s="2" t="str">
        <x:v>Health Care / organic_sales_growth</x:v>
      </x:c>
      <x:c r="D2995" s="7" t="n">
        <x:v>46112</x:v>
      </x:c>
      <x:c r="E2995" s="2" t="str">
        <x:v>Prior report</x:v>
      </x:c>
      <x:c r="F2995" s="7" t="n">
        <x:v>46045</x:v>
      </x:c>
      <x:c r="G2995" s="2" t="str">
        <x:v>Half correction</x:v>
      </x:c>
      <x:c r="H2995" s="8" t="n">
        <x:f>K2437</x:f>
        <x:v>6.197111890542393</x:v>
      </x:c>
      <x:c r="I2995" s="8" t="n">
        <x:f>AVERAGE(M2370,M2387,M2404,M2421)</x:f>
        <x:v>3.985317480539159</x:v>
      </x:c>
      <x:c r="J2995" s="8" t="n">
        <x:v>0.5</x:v>
      </x:c>
      <x:c r="K2995" s="8" t="n">
        <x:f>H2995-I2995*J2995</x:f>
        <x:v>4.204453150272814</x:v>
      </x:c>
      <x:c r="L2995" s="8" t="n">
        <x:f>'PG facts'!F148</x:f>
        <x:v>2</x:v>
      </x:c>
      <x:c r="M2995" s="8" t="n">
        <x:f>K2995-L2995</x:f>
        <x:v>2.2044531502728137</x:v>
      </x:c>
      <x:c r="N2995" s="8" t="n">
        <x:f>M2995^2</x:f>
        <x:v>4.859613691747732</x:v>
      </x:c>
      <x:c r="O2995" s="8" t="n">
        <x:f>ABS(M2995)</x:f>
        <x:v>2.2044531502728137</x:v>
      </x:c>
      <x:c r="P2995" s="7" t="n">
        <x:v>46136</x:v>
      </x:c>
    </x:row>
    <x:row r="2996" ht="26" customHeight="1">
      <x:c r="A2996" s="2"/>
      <x:c r="B2996" s="2" t="n">
        <x:v>2991</x:v>
      </x:c>
      <x:c r="C2996" s="2" t="str">
        <x:v>Health Care / organic_sales_growth</x:v>
      </x:c>
      <x:c r="D2996" s="7" t="n">
        <x:v>46112</x:v>
      </x:c>
      <x:c r="E2996" s="2" t="str">
        <x:v>Pre-earnings</x:v>
      </x:c>
      <x:c r="F2996" s="7" t="n">
        <x:v>46135</x:v>
      </x:c>
      <x:c r="G2996" s="2" t="str">
        <x:v>Bias correction</x:v>
      </x:c>
      <x:c r="H2996" s="8" t="n">
        <x:f>K2442</x:f>
        <x:v>4.376277667683816</x:v>
      </x:c>
      <x:c r="I2996" s="8" t="n">
        <x:f>AVERAGE(M2376,M2393,M2410,M2426)</x:f>
        <x:v>4.313861293154439</x:v>
      </x:c>
      <x:c r="J2996" s="8" t="n">
        <x:v>1</x:v>
      </x:c>
      <x:c r="K2996" s="8" t="n">
        <x:f>H2996-I2996*J2996</x:f>
        <x:v>0.062416374529377094</x:v>
      </x:c>
      <x:c r="L2996" s="8" t="n">
        <x:f>'PG facts'!F148</x:f>
        <x:v>2</x:v>
      </x:c>
      <x:c r="M2996" s="8" t="n">
        <x:f>K2996-L2996</x:f>
        <x:v>-1.937583625470623</x:v>
      </x:c>
      <x:c r="N2996" s="8" t="n">
        <x:f>M2996^2</x:f>
        <x:v>3.754230305691883</x:v>
      </x:c>
      <x:c r="O2996" s="8" t="n">
        <x:f>ABS(M2996)</x:f>
        <x:v>1.937583625470623</x:v>
      </x:c>
      <x:c r="P2996" s="7" t="n">
        <x:v>46136</x:v>
      </x:c>
    </x:row>
    <x:row r="2997" ht="26" customHeight="1">
      <x:c r="A2997" s="2"/>
      <x:c r="B2997" s="2" t="n">
        <x:v>2992</x:v>
      </x:c>
      <x:c r="C2997" s="2" t="str">
        <x:v>Health Care / organic_sales_growth</x:v>
      </x:c>
      <x:c r="D2997" s="7" t="n">
        <x:v>46112</x:v>
      </x:c>
      <x:c r="E2997" s="2" t="str">
        <x:v>Pre-earnings</x:v>
      </x:c>
      <x:c r="F2997" s="7" t="n">
        <x:v>46135</x:v>
      </x:c>
      <x:c r="G2997" s="2" t="str">
        <x:v>Half correction</x:v>
      </x:c>
      <x:c r="H2997" s="8" t="n">
        <x:f>K2442</x:f>
        <x:v>4.376277667683816</x:v>
      </x:c>
      <x:c r="I2997" s="8" t="n">
        <x:f>AVERAGE(M2376,M2393,M2410,M2426)</x:f>
        <x:v>4.313861293154439</x:v>
      </x:c>
      <x:c r="J2997" s="8" t="n">
        <x:v>0.5</x:v>
      </x:c>
      <x:c r="K2997" s="8" t="n">
        <x:f>H2997-I2997*J2997</x:f>
        <x:v>2.2193470211065964</x:v>
      </x:c>
      <x:c r="L2997" s="8" t="n">
        <x:f>'PG facts'!F148</x:f>
        <x:v>2</x:v>
      </x:c>
      <x:c r="M2997" s="8" t="n">
        <x:f>K2997-L2997</x:f>
        <x:v>0.21934702110659643</x:v>
      </x:c>
      <x:c r="N2997" s="8" t="n">
        <x:f>M2997^2</x:f>
        <x:v>0.04811311566833766</x:v>
      </x:c>
      <x:c r="O2997" s="8" t="n">
        <x:f>ABS(M2997)</x:f>
        <x:v>0.21934702110659643</x:v>
      </x:c>
      <x:c r="P2997" s="7" t="n">
        <x:v>46136</x:v>
      </x:c>
    </x:row>
    <x:row r="2998" ht="26" customHeight="1">
      <x:c r="A2998" s="2"/>
      <x:c r="B2998" s="2"/>
      <x:c r="C2998" s="2"/>
      <x:c r="D2998" s="2"/>
      <x:c r="E2998" s="2"/>
      <x:c r="F2998" s="2"/>
      <x:c r="G2998" s="2"/>
      <x:c r="H2998" s="2"/>
      <x:c r="I2998" s="2"/>
      <x:c r="J2998" s="2"/>
      <x:c r="K2998" s="2"/>
      <x:c r="L2998" s="2"/>
      <x:c r="M2998" s="2"/>
      <x:c r="N2998" s="2"/>
      <x:c r="O2998" s="2"/>
      <x:c r="P2998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2" hidden="0" customWidth="1"/>
    <x:col min="3" max="3" width="56" hidden="0" customWidth="1"/>
    <x:col min="4" max="4" width="23" hidden="0" customWidth="1"/>
    <x:col min="5" max="5" width="18" hidden="0" customWidth="1"/>
    <x:col min="6" max="6" width="20" hidden="0" customWidth="1"/>
    <x:col min="7" max="7" width="18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6" customHeight="1">
      <x:c r="A2" s="2"/>
      <x:c r="B2" s="3" t="str">
        <x:v>Recalculate model coefficients from historical training totals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6" customHeight="1">
      <x:c r="A3" s="2"/>
      <x:c r="B3" s="2" t="str">
        <x:v>Prepared training totals come from training.csv. To change source history or vintage dates, rerun the analysis.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48" customHeight="1">
      <x:c r="A5" s="2"/>
      <x:c r="B5" s="6" t="str">
        <x:v>Fit ID</x:v>
      </x:c>
      <x:c r="C5" s="6" t="str">
        <x:v>P&amp;G measure</x:v>
      </x:c>
      <x:c r="D5" s="6" t="str">
        <x:v>Model</x:v>
      </x:c>
      <x:c r="E5" s="6" t="str">
        <x:v>Target quarter</x:v>
      </x:c>
      <x:c r="F5" s="6" t="str">
        <x:v>Stage</x:v>
      </x:c>
      <x:c r="G5" s="6" t="str">
        <x:v>Known by</x:v>
      </x:c>
      <x:c r="H5" s="6" t="str">
        <x:v>n</x:v>
      </x:c>
      <x:c r="I5" s="6" t="str">
        <x:v>Sum x</x:v>
      </x:c>
      <x:c r="J5" s="6" t="str">
        <x:v>Sum z</x:v>
      </x:c>
      <x:c r="K5" s="6" t="str">
        <x:v>Sum y</x:v>
      </x:c>
      <x:c r="L5" s="6" t="str">
        <x:v>Sum xx</x:v>
      </x:c>
      <x:c r="M5" s="6" t="str">
        <x:v>Sum zz</x:v>
      </x:c>
      <x:c r="N5" s="6" t="str">
        <x:v>Sum xz</x:v>
      </x:c>
      <x:c r="O5" s="6" t="str">
        <x:v>Sum xy</x:v>
      </x:c>
      <x:c r="P5" s="6" t="str">
        <x:v>Sum zy</x:v>
      </x:c>
      <x:c r="Q5" s="6" t="str">
        <x:v>Target x</x:v>
      </x:c>
      <x:c r="R5" s="6" t="str">
        <x:v>Target z</x:v>
      </x:c>
      <x:c r="S5" s="6" t="str">
        <x:v>Centered xx</x:v>
      </x:c>
      <x:c r="T5" s="6" t="str">
        <x:v>Centered zz</x:v>
      </x:c>
      <x:c r="U5" s="6" t="str">
        <x:v>Centered xz</x:v>
      </x:c>
      <x:c r="V5" s="6" t="str">
        <x:v>Centered xy</x:v>
      </x:c>
      <x:c r="W5" s="6" t="str">
        <x:v>Centered zy</x:v>
      </x:c>
      <x:c r="X5" s="6" t="str">
        <x:v>Slope x</x:v>
      </x:c>
      <x:c r="Y5" s="6" t="str">
        <x:v>Slope z</x:v>
      </x:c>
      <x:c r="Z5" s="6" t="str">
        <x:v>Intercept</x:v>
      </x:c>
      <x:c r="AA5" s="6" t="str">
        <x:v>Forecast</x:v>
      </x:c>
    </x:row>
    <x:row r="6" ht="26" customHeight="1">
      <x:c r="A6" s="2"/>
      <x:c r="B6" s="2" t="n">
        <x:v>1</x:v>
      </x:c>
      <x:c r="C6" s="2" t="str">
        <x:v>Beauty / price_contribution</x:v>
      </x:c>
      <x:c r="D6" s="2" t="str">
        <x:v>Broad market</x:v>
      </x:c>
      <x:c r="E6" s="7" t="n">
        <x:v>45107</x:v>
      </x:c>
      <x:c r="F6" s="2" t="str">
        <x:v>Origin</x:v>
      </x:c>
      <x:c r="G6" s="7" t="n">
        <x:v>45017</x:v>
      </x:c>
      <x:c r="H6" s="2" t="n">
        <x:v>8</x:v>
      </x:c>
      <x:c r="I6" s="8" t="n">
        <x:v>16.168397415672132</x:v>
      </x:c>
      <x:c r="J6" s="8" t="n">
        <x:v>0</x:v>
      </x:c>
      <x:c r="K6" s="8" t="n">
        <x:v>36</x:v>
      </x:c>
      <x:c r="L6" s="8" t="n">
        <x:v>96.70113017065493</x:v>
      </x:c>
      <x:c r="M6" s="8" t="n">
        <x:v>0</x:v>
      </x:c>
      <x:c r="N6" s="8" t="n">
        <x:v>0</x:v>
      </x:c>
      <x:c r="O6" s="8" t="n">
        <x:v>125.64498659424821</x:v>
      </x:c>
      <x:c r="P6" s="8" t="n">
        <x:v>0</x:v>
      </x:c>
      <x:c r="Q6" s="8" t="n">
        <x:v>7.117736159808752</x:v>
      </x:c>
      <x:c r="R6" s="8" t="n">
        <x:v>0</x:v>
      </x:c>
      <x:c r="S6" s="8" t="n">
        <x:f>L6-I6^2/H6</x:f>
        <x:v>64.02399579676577</x:v>
      </x:c>
      <x:c r="T6" s="8" t="n">
        <x:f>M6-J6^2/H6</x:f>
        <x:v>0</x:v>
      </x:c>
      <x:c r="U6" s="8" t="n">
        <x:f>N6-I6*J6/H6</x:f>
        <x:v>0</x:v>
      </x:c>
      <x:c r="V6" s="8" t="n">
        <x:f>O6-I6*K6/H6</x:f>
        <x:v>52.887198223723615</x:v>
      </x:c>
      <x:c r="W6" s="8" t="n">
        <x:f>P6-J6*K6/H6</x:f>
        <x:v>0</x:v>
      </x:c>
      <x:c r="X6" s="8" t="n">
        <x:f>V6/S6</x:f>
        <x:v>0.8260527567133705</x:v>
      </x:c>
      <x:c r="Y6" s="8" t="n">
        <x:f>0</x:f>
        <x:v>0</x:v>
      </x:c>
      <x:c r="Z6" s="8" t="n">
        <x:f>K6/H6-X6*I6/H6-Y6*J6/H6</x:f>
        <x:v>2.8305063428933375</x:v>
      </x:c>
      <x:c r="AA6" s="8" t="n">
        <x:f>Z6+X6*Q6+Y6*R6</x:f>
        <x:v>8.710131919261798</x:v>
      </x:c>
    </x:row>
    <x:row r="7" ht="26" customHeight="1">
      <x:c r="A7" s="2"/>
      <x:c r="B7" s="2" t="n">
        <x:v>2</x:v>
      </x:c>
      <x:c r="C7" s="2" t="str">
        <x:v>Beauty / price_contribution</x:v>
      </x:c>
      <x:c r="D7" s="2" t="str">
        <x:v>Broad rolling 8</x:v>
      </x:c>
      <x:c r="E7" s="7" t="n">
        <x:v>45107</x:v>
      </x:c>
      <x:c r="F7" s="2" t="str">
        <x:v>Origin</x:v>
      </x:c>
      <x:c r="G7" s="7" t="n">
        <x:v>45017</x:v>
      </x:c>
      <x:c r="H7" s="2" t="n">
        <x:v>8</x:v>
      </x:c>
      <x:c r="I7" s="8" t="n">
        <x:v>16.168397415672132</x:v>
      </x:c>
      <x:c r="J7" s="8" t="n">
        <x:v>0</x:v>
      </x:c>
      <x:c r="K7" s="8" t="n">
        <x:v>36</x:v>
      </x:c>
      <x:c r="L7" s="8" t="n">
        <x:v>96.70113017065493</x:v>
      </x:c>
      <x:c r="M7" s="8" t="n">
        <x:v>0</x:v>
      </x:c>
      <x:c r="N7" s="8" t="n">
        <x:v>0</x:v>
      </x:c>
      <x:c r="O7" s="8" t="n">
        <x:v>125.64498659424821</x:v>
      </x:c>
      <x:c r="P7" s="8" t="n">
        <x:v>0</x:v>
      </x:c>
      <x:c r="Q7" s="8" t="n">
        <x:v>7.117736159808752</x:v>
      </x:c>
      <x:c r="R7" s="8" t="n">
        <x:v>0</x:v>
      </x:c>
      <x:c r="S7" s="8" t="n">
        <x:f>L7-I7^2/H7</x:f>
        <x:v>64.02399579676577</x:v>
      </x:c>
      <x:c r="T7" s="8" t="n">
        <x:f>M7-J7^2/H7</x:f>
        <x:v>0</x:v>
      </x:c>
      <x:c r="U7" s="8" t="n">
        <x:f>N7-I7*J7/H7</x:f>
        <x:v>0</x:v>
      </x:c>
      <x:c r="V7" s="8" t="n">
        <x:f>O7-I7*K7/H7</x:f>
        <x:v>52.887198223723615</x:v>
      </x:c>
      <x:c r="W7" s="8" t="n">
        <x:f>P7-J7*K7/H7</x:f>
        <x:v>0</x:v>
      </x:c>
      <x:c r="X7" s="8" t="n">
        <x:f>V7/S7</x:f>
        <x:v>0.8260527567133705</x:v>
      </x:c>
      <x:c r="Y7" s="8" t="n">
        <x:f>0</x:f>
        <x:v>0</x:v>
      </x:c>
      <x:c r="Z7" s="8" t="n">
        <x:f>K7/H7-X7*I7/H7-Y7*J7/H7</x:f>
        <x:v>2.8305063428933375</x:v>
      </x:c>
      <x:c r="AA7" s="8" t="n">
        <x:f>Z7+X7*Q7+Y7*R7</x:f>
        <x:v>8.710131919261798</x:v>
      </x:c>
    </x:row>
    <x:row r="8" ht="26" customHeight="1">
      <x:c r="A8" s="2"/>
      <x:c r="B8" s="2" t="n">
        <x:v>3</x:v>
      </x:c>
      <x:c r="C8" s="2" t="str">
        <x:v>Beauty / price_contribution</x:v>
      </x:c>
      <x:c r="D8" s="2" t="str">
        <x:v>Product price</x:v>
      </x:c>
      <x:c r="E8" s="7" t="n">
        <x:v>45107</x:v>
      </x:c>
      <x:c r="F8" s="2" t="str">
        <x:v>Origin</x:v>
      </x:c>
      <x:c r="G8" s="7" t="n">
        <x:v>45017</x:v>
      </x:c>
      <x:c r="H8" s="2" t="n">
        <x:v>8</x:v>
      </x:c>
      <x:c r="I8" s="8" t="n">
        <x:v>6.758332328031891</x:v>
      </x:c>
      <x:c r="J8" s="8" t="n">
        <x:v>0</x:v>
      </x:c>
      <x:c r="K8" s="8" t="n">
        <x:v>36</x:v>
      </x:c>
      <x:c r="L8" s="8" t="n">
        <x:v>43.54343710391857</x:v>
      </x:c>
      <x:c r="M8" s="8" t="n">
        <x:v>0</x:v>
      </x:c>
      <x:c r="N8" s="8" t="n">
        <x:v>0</x:v>
      </x:c>
      <x:c r="O8" s="8" t="n">
        <x:v>68.90567087948685</x:v>
      </x:c>
      <x:c r="P8" s="8" t="n">
        <x:v>0</x:v>
      </x:c>
      <x:c r="Q8" s="8" t="n">
        <x:v>5.179744202470693</x:v>
      </x:c>
      <x:c r="R8" s="8" t="n">
        <x:v>0</x:v>
      </x:c>
      <x:c r="S8" s="8" t="n">
        <x:f>L8-I8^2/H8</x:f>
        <x:v>37.834055121903454</x:v>
      </x:c>
      <x:c r="T8" s="8" t="n">
        <x:f>M8-J8^2/H8</x:f>
        <x:v>0</x:v>
      </x:c>
      <x:c r="U8" s="8" t="n">
        <x:f>N8-I8*J8/H8</x:f>
        <x:v>0</x:v>
      </x:c>
      <x:c r="V8" s="8" t="n">
        <x:f>O8-I8*K8/H8</x:f>
        <x:v>38.49317540334334</x:v>
      </x:c>
      <x:c r="W8" s="8" t="n">
        <x:f>P8-J8*K8/H8</x:f>
        <x:v>0</x:v>
      </x:c>
      <x:c r="X8" s="8" t="n">
        <x:f>V8/S8</x:f>
        <x:v>1.0174213490813018</x:v>
      </x:c>
      <x:c r="Y8" s="8" t="n">
        <x:f>0</x:f>
        <x:v>0</x:v>
      </x:c>
      <x:c r="Z8" s="8" t="n">
        <x:f>K8/H8-X8*I8/H8-Y8*J8/H8</x:f>
        <x:v>3.6404910506592523</x:v>
      </x:c>
      <x:c r="AA8" s="8" t="n">
        <x:f>Z8+X8*Q8+Y8*R8</x:f>
        <x:v>8.910473385033036</x:v>
      </x:c>
    </x:row>
    <x:row r="9" ht="26" customHeight="1">
      <x:c r="A9" s="2"/>
      <x:c r="B9" s="2" t="n">
        <x:v>4</x:v>
      </x:c>
      <x:c r="C9" s="2" t="str">
        <x:v>Beauty / price_contribution</x:v>
      </x:c>
      <x:c r="D9" s="2" t="str">
        <x:v>Broad market</x:v>
      </x:c>
      <x:c r="E9" s="7" t="n">
        <x:v>45107</x:v>
      </x:c>
      <x:c r="F9" s="2" t="str">
        <x:v>Prior report</x:v>
      </x:c>
      <x:c r="G9" s="7" t="n">
        <x:v>45037</x:v>
      </x:c>
      <x:c r="H9" s="2" t="n">
        <x:v>9</x:v>
      </x:c>
      <x:c r="I9" s="8" t="n">
        <x:v>22.94079143912051</x:v>
      </x:c>
      <x:c r="J9" s="8" t="n">
        <x:v>0</x:v>
      </x:c>
      <x:c r="K9" s="8" t="n">
        <x:v>44</x:v>
      </x:c>
      <x:c r="L9" s="8" t="n">
        <x:v>142.56645097949428</x:v>
      </x:c>
      <x:c r="M9" s="8" t="n">
        <x:v>0</x:v>
      </x:c>
      <x:c r="N9" s="8" t="n">
        <x:v>0</x:v>
      </x:c>
      <x:c r="O9" s="8" t="n">
        <x:v>179.82413878183525</x:v>
      </x:c>
      <x:c r="P9" s="8" t="n">
        <x:v>0</x:v>
      </x:c>
      <x:c r="Q9" s="8" t="n">
        <x:v>6.774056644823578</x:v>
      </x:c>
      <x:c r="R9" s="8" t="n">
        <x:v>0</x:v>
      </x:c>
      <x:c r="S9" s="8" t="n">
        <x:f>L9-I9^2/H9</x:f>
        <x:v>84.09090521802484</x:v>
      </x:c>
      <x:c r="T9" s="8" t="n">
        <x:f>M9-J9^2/H9</x:f>
        <x:v>0</x:v>
      </x:c>
      <x:c r="U9" s="8" t="n">
        <x:f>N9-I9*J9/H9</x:f>
        <x:v>0</x:v>
      </x:c>
      <x:c r="V9" s="8" t="n">
        <x:f>O9-I9*K9/H9</x:f>
        <x:v>67.66915841280165</x:v>
      </x:c>
      <x:c r="W9" s="8" t="n">
        <x:f>P9-J9*K9/H9</x:f>
        <x:v>0</x:v>
      </x:c>
      <x:c r="X9" s="8" t="n">
        <x:f>V9/S9</x:f>
        <x:v>0.8047143533222044</x:v>
      </x:c>
      <x:c r="Y9" s="8" t="n">
        <x:f>0</x:f>
        <x:v>0</x:v>
      </x:c>
      <x:c r="Z9" s="8" t="n">
        <x:f>K9/H9-X9*I9/H9-Y9*J9/H9</x:f>
        <x:v>2.837690650263175</x:v>
      </x:c>
      <x:c r="AA9" s="8" t="n">
        <x:f>Z9+X9*Q9+Y9*R9</x:f>
        <x:v>8.288871262570364</x:v>
      </x:c>
    </x:row>
    <x:row r="10" ht="26" customHeight="1">
      <x:c r="A10" s="2"/>
      <x:c r="B10" s="2" t="n">
        <x:v>5</x:v>
      </x:c>
      <x:c r="C10" s="2" t="str">
        <x:v>Beauty / price_contribution</x:v>
      </x:c>
      <x:c r="D10" s="2" t="str">
        <x:v>Broad lag 1</x:v>
      </x:c>
      <x:c r="E10" s="7" t="n">
        <x:v>45107</x:v>
      </x:c>
      <x:c r="F10" s="2" t="str">
        <x:v>Prior report</x:v>
      </x:c>
      <x:c r="G10" s="7" t="n">
        <x:v>45037</x:v>
      </x:c>
      <x:c r="H10" s="2" t="n">
        <x:v>8</x:v>
      </x:c>
      <x:c r="I10" s="8" t="n">
        <x:v>16.168397415672132</x:v>
      </x:c>
      <x:c r="J10" s="8" t="n">
        <x:v>0</x:v>
      </x:c>
      <x:c r="K10" s="8" t="n">
        <x:v>42</x:v>
      </x:c>
      <x:c r="L10" s="8" t="n">
        <x:v>96.70113017065493</x:v>
      </x:c>
      <x:c r="M10" s="8" t="n">
        <x:v>0</x:v>
      </x:c>
      <x:c r="N10" s="8" t="n">
        <x:v>0</x:v>
      </x:c>
      <x:c r="O10" s="8" t="n">
        <x:v>134.84519861217274</x:v>
      </x:c>
      <x:c r="P10" s="8" t="n">
        <x:v>0</x:v>
      </x:c>
      <x:c r="Q10" s="8" t="n">
        <x:v>6.77239402344838</x:v>
      </x:c>
      <x:c r="R10" s="8" t="n">
        <x:v>0</x:v>
      </x:c>
      <x:c r="S10" s="8" t="n">
        <x:f>L10-I10^2/H10</x:f>
        <x:v>64.02399579676577</x:v>
      </x:c>
      <x:c r="T10" s="8" t="n">
        <x:f>M10-J10^2/H10</x:f>
        <x:v>0</x:v>
      </x:c>
      <x:c r="U10" s="8" t="n">
        <x:f>N10-I10*J10/H10</x:f>
        <x:v>0</x:v>
      </x:c>
      <x:c r="V10" s="8" t="n">
        <x:f>O10-I10*K10/H10</x:f>
        <x:v>49.961112179894045</x:v>
      </x:c>
      <x:c r="W10" s="8" t="n">
        <x:f>P10-J10*K10/H10</x:f>
        <x:v>0</x:v>
      </x:c>
      <x:c r="X10" s="8" t="n">
        <x:f>V10/S10</x:f>
        <x:v>0.7803497978865273</x:v>
      </x:c>
      <x:c r="Y10" s="8" t="n">
        <x:f>0</x:f>
        <x:v>0</x:v>
      </x:c>
      <x:c r="Z10" s="8" t="n">
        <x:f>K10/H10-X10*I10/H10-Y10*J10/H10</x:f>
        <x:v>3.6728742930664002</x:v>
      </x:c>
      <x:c r="AA10" s="8" t="n">
        <x:f>Z10+X10*Q10+Y10*R10</x:f>
        <x:v>8.95771060047227</x:v>
      </x:c>
    </x:row>
    <x:row r="11" ht="26" customHeight="1">
      <x:c r="A11" s="2"/>
      <x:c r="B11" s="2" t="n">
        <x:v>6</x:v>
      </x:c>
      <x:c r="C11" s="2" t="str">
        <x:v>Beauty / price_contribution</x:v>
      </x:c>
      <x:c r="D11" s="2" t="str">
        <x:v>Broad rolling 8</x:v>
      </x:c>
      <x:c r="E11" s="7" t="n">
        <x:v>45107</x:v>
      </x:c>
      <x:c r="F11" s="2" t="str">
        <x:v>Prior report</x:v>
      </x:c>
      <x:c r="G11" s="7" t="n">
        <x:v>45037</x:v>
      </x:c>
      <x:c r="H11" s="2" t="n">
        <x:v>8</x:v>
      </x:c>
      <x:c r="I11" s="8" t="n">
        <x:v>23.298494829725136</x:v>
      </x:c>
      <x:c r="J11" s="8" t="n">
        <x:v>0</x:v>
      </x:c>
      <x:c r="K11" s="8" t="n">
        <x:v>42</x:v>
      </x:c>
      <x:c r="L11" s="8" t="n">
        <x:v>142.43849926384422</x:v>
      </x:c>
      <x:c r="M11" s="8" t="n">
        <x:v>0</x:v>
      </x:c>
      <x:c r="N11" s="8" t="n">
        <x:v>0</x:v>
      </x:c>
      <x:c r="O11" s="8" t="n">
        <x:v>180.5395455630445</x:v>
      </x:c>
      <x:c r="P11" s="8" t="n">
        <x:v>0</x:v>
      </x:c>
      <x:c r="Q11" s="8" t="n">
        <x:v>6.774056644823578</x:v>
      </x:c>
      <x:c r="R11" s="8" t="n">
        <x:v>0</x:v>
      </x:c>
      <x:c r="S11" s="8" t="n">
        <x:f>L11-I11^2/H11</x:f>
        <x:v>74.5860165975031</x:v>
      </x:c>
      <x:c r="T11" s="8" t="n">
        <x:f>M11-J11^2/H11</x:f>
        <x:v>0</x:v>
      </x:c>
      <x:c r="U11" s="8" t="n">
        <x:f>N11-I11*J11/H11</x:f>
        <x:v>0</x:v>
      </x:c>
      <x:c r="V11" s="8" t="n">
        <x:f>O11-I11*K11/H11</x:f>
        <x:v>58.22244770698754</x:v>
      </x:c>
      <x:c r="W11" s="8" t="n">
        <x:f>P11-J11*K11/H11</x:f>
        <x:v>0</x:v>
      </x:c>
      <x:c r="X11" s="8" t="n">
        <x:f>V11/S11</x:f>
        <x:v>0.7806080866495374</x:v>
      </x:c>
      <x:c r="Y11" s="8" t="n">
        <x:f>0</x:f>
        <x:v>0</x:v>
      </x:c>
      <x:c r="Z11" s="8" t="n">
        <x:f>K11/H11-X11*I11/H11-Y11*J11/H11</x:f>
        <x:v>2.9766258161442654</x:v>
      </x:c>
      <x:c r="AA11" s="8" t="n">
        <x:f>Z11+X11*Q11+Y11*R11</x:f>
        <x:v>8.264509212515584</x:v>
      </x:c>
    </x:row>
    <x:row r="12" ht="26" customHeight="1">
      <x:c r="A12" s="2"/>
      <x:c r="B12" s="2" t="n">
        <x:v>7</x:v>
      </x:c>
      <x:c r="C12" s="2" t="str">
        <x:v>Beauty / price_contribution</x:v>
      </x:c>
      <x:c r="D12" s="2" t="str">
        <x:v>Own history</x:v>
      </x:c>
      <x:c r="E12" s="7" t="n">
        <x:v>45107</x:v>
      </x:c>
      <x:c r="F12" s="2" t="str">
        <x:v>Prior report</x:v>
      </x:c>
      <x:c r="G12" s="7" t="n">
        <x:v>45037</x:v>
      </x:c>
      <x:c r="H12" s="2" t="n">
        <x:v>8</x:v>
      </x:c>
      <x:c r="I12" s="8" t="n">
        <x:v>36</x:v>
      </x:c>
      <x:c r="J12" s="8" t="n">
        <x:v>0</x:v>
      </x:c>
      <x:c r="K12" s="8" t="n">
        <x:v>42</x:v>
      </x:c>
      <x:c r="L12" s="8" t="n">
        <x:v>210</x:v>
      </x:c>
      <x:c r="M12" s="8" t="n">
        <x:v>0</x:v>
      </x:c>
      <x:c r="N12" s="8" t="n">
        <x:v>0</x:v>
      </x:c>
      <x:c r="O12" s="8" t="n">
        <x:v>229</x:v>
      </x:c>
      <x:c r="P12" s="8" t="n">
        <x:v>0</x:v>
      </x:c>
      <x:c r="Q12" s="8" t="n">
        <x:v>8</x:v>
      </x:c>
      <x:c r="R12" s="8" t="n">
        <x:v>0</x:v>
      </x:c>
      <x:c r="S12" s="8" t="n">
        <x:f>L12-I12^2/H12</x:f>
        <x:v>48</x:v>
      </x:c>
      <x:c r="T12" s="8" t="n">
        <x:f>M12-J12^2/H12</x:f>
        <x:v>0</x:v>
      </x:c>
      <x:c r="U12" s="8" t="n">
        <x:f>N12-I12*J12/H12</x:f>
        <x:v>0</x:v>
      </x:c>
      <x:c r="V12" s="8" t="n">
        <x:f>O12-I12*K12/H12</x:f>
        <x:v>40</x:v>
      </x:c>
      <x:c r="W12" s="8" t="n">
        <x:f>P12-J12*K12/H12</x:f>
        <x:v>0</x:v>
      </x:c>
      <x:c r="X12" s="8" t="n">
        <x:f>V12/S12</x:f>
        <x:v>0.8333333333333334</x:v>
      </x:c>
      <x:c r="Y12" s="8" t="n">
        <x:f>0</x:f>
        <x:v>0</x:v>
      </x:c>
      <x:c r="Z12" s="8" t="n">
        <x:f>K12/H12-X12*I12/H12-Y12*J12/H12</x:f>
        <x:v>1.5</x:v>
      </x:c>
      <x:c r="AA12" s="8" t="n">
        <x:f>Z12+X12*Q12+Y12*R12</x:f>
        <x:v>8.166666666666668</x:v>
      </x:c>
    </x:row>
    <x:row r="13" ht="26" customHeight="1">
      <x:c r="A13" s="2"/>
      <x:c r="B13" s="2" t="n">
        <x:v>8</x:v>
      </x:c>
      <x:c r="C13" s="2" t="str">
        <x:v>Beauty / price_contribution</x:v>
      </x:c>
      <x:c r="D13" s="2" t="str">
        <x:v>Product price</x:v>
      </x:c>
      <x:c r="E13" s="7" t="n">
        <x:v>45107</x:v>
      </x:c>
      <x:c r="F13" s="2" t="str">
        <x:v>Prior report</x:v>
      </x:c>
      <x:c r="G13" s="7" t="n">
        <x:v>45037</x:v>
      </x:c>
      <x:c r="H13" s="2" t="n">
        <x:v>9</x:v>
      </x:c>
      <x:c r="I13" s="8" t="n">
        <x:v>11.650100762822602</x:v>
      </x:c>
      <x:c r="J13" s="8" t="n">
        <x:v>0</x:v>
      </x:c>
      <x:c r="K13" s="8" t="n">
        <x:v>44</x:v>
      </x:c>
      <x:c r="L13" s="8" t="n">
        <x:v>67.47283552353333</x:v>
      </x:c>
      <x:c r="M13" s="8" t="n">
        <x:v>0</x:v>
      </x:c>
      <x:c r="N13" s="8" t="n">
        <x:v>0</x:v>
      </x:c>
      <x:c r="O13" s="8" t="n">
        <x:v>108.03981835781254</x:v>
      </x:c>
      <x:c r="P13" s="8" t="n">
        <x:v>0</x:v>
      </x:c>
      <x:c r="Q13" s="8" t="n">
        <x:v>4.897363269647137</x:v>
      </x:c>
      <x:c r="R13" s="8" t="n">
        <x:v>0</x:v>
      </x:c>
      <x:c r="S13" s="8" t="n">
        <x:f>L13-I13^2/H13</x:f>
        <x:v>52.392296880875584</x:v>
      </x:c>
      <x:c r="T13" s="8" t="n">
        <x:f>M13-J13^2/H13</x:f>
        <x:v>0</x:v>
      </x:c>
      <x:c r="U13" s="8" t="n">
        <x:f>N13-I13*J13/H13</x:f>
        <x:v>0</x:v>
      </x:c>
      <x:c r="V13" s="8" t="n">
        <x:f>O13-I13*K13/H13</x:f>
        <x:v>51.083770184013154</x:v>
      </x:c>
      <x:c r="W13" s="8" t="n">
        <x:f>P13-J13*K13/H13</x:f>
        <x:v>0</x:v>
      </x:c>
      <x:c r="X13" s="8" t="n">
        <x:f>V13/S13</x:f>
        <x:v>0.9750244449133881</x:v>
      </x:c>
      <x:c r="Y13" s="8" t="n">
        <x:f>0</x:f>
        <x:v>0</x:v>
      </x:c>
      <x:c r="Z13" s="8" t="n">
        <x:f>K13/H13-X13*I13/H13-Y13*J13/H13</x:f>
        <x:v>3.626762996727095</x:v>
      </x:c>
      <x:c r="AA13" s="8" t="n">
        <x:f>Z13+X13*Q13+Y13*R13</x:f>
        <x:v>8.40181190025401</x:v>
      </x:c>
    </x:row>
    <x:row r="14" ht="26" customHeight="1">
      <x:c r="A14" s="2"/>
      <x:c r="B14" s="2" t="n">
        <x:v>9</x:v>
      </x:c>
      <x:c r="C14" s="2" t="str">
        <x:v>Beauty / price_contribution</x:v>
      </x:c>
      <x:c r="D14" s="2" t="str">
        <x:v>Product lag 1</x:v>
      </x:c>
      <x:c r="E14" s="7" t="n">
        <x:v>45107</x:v>
      </x:c>
      <x:c r="F14" s="2" t="str">
        <x:v>Prior report</x:v>
      </x:c>
      <x:c r="G14" s="7" t="n">
        <x:v>45037</x:v>
      </x:c>
      <x:c r="H14" s="2" t="n">
        <x:v>8</x:v>
      </x:c>
      <x:c r="I14" s="8" t="n">
        <x:v>6.758332328031891</x:v>
      </x:c>
      <x:c r="J14" s="8" t="n">
        <x:v>0</x:v>
      </x:c>
      <x:c r="K14" s="8" t="n">
        <x:v>42</x:v>
      </x:c>
      <x:c r="L14" s="8" t="n">
        <x:v>43.54343710391857</x:v>
      </x:c>
      <x:c r="M14" s="8" t="n">
        <x:v>0</x:v>
      </x:c>
      <x:c r="N14" s="8" t="n">
        <x:v>0</x:v>
      </x:c>
      <x:c r="O14" s="8" t="n">
        <x:v>69.36375263379321</x:v>
      </x:c>
      <x:c r="P14" s="8" t="n">
        <x:v>0</x:v>
      </x:c>
      <x:c r="Q14" s="8" t="n">
        <x:v>4.891768434790711</x:v>
      </x:c>
      <x:c r="R14" s="8" t="n">
        <x:v>0</x:v>
      </x:c>
      <x:c r="S14" s="8" t="n">
        <x:f>L14-I14^2/H14</x:f>
        <x:v>37.834055121903454</x:v>
      </x:c>
      <x:c r="T14" s="8" t="n">
        <x:f>M14-J14^2/H14</x:f>
        <x:v>0</x:v>
      </x:c>
      <x:c r="U14" s="8" t="n">
        <x:f>N14-I14*J14/H14</x:f>
        <x:v>0</x:v>
      </x:c>
      <x:c r="V14" s="8" t="n">
        <x:f>O14-I14*K14/H14</x:f>
        <x:v>33.88250791162579</x:v>
      </x:c>
      <x:c r="W14" s="8" t="n">
        <x:f>P14-J14*K14/H14</x:f>
        <x:v>0</x:v>
      </x:c>
      <x:c r="X14" s="8" t="n">
        <x:f>V14/S14</x:f>
        <x:v>0.8955558108284835</x:v>
      </x:c>
      <x:c r="Y14" s="8" t="n">
        <x:f>0</x:f>
        <x:v>0</x:v>
      </x:c>
      <x:c r="Z14" s="8" t="n">
        <x:f>K14/H14-X14*I14/H14-Y14*J14/H14</x:f>
        <x:v>4.493442026515131</x:v>
      </x:c>
      <x:c r="AA14" s="8" t="n">
        <x:f>Z14+X14*Q14+Y14*R14</x:f>
        <x:v>8.874293673519308</x:v>
      </x:c>
    </x:row>
    <x:row r="15" ht="26" customHeight="1">
      <x:c r="A15" s="2"/>
      <x:c r="B15" s="2" t="n">
        <x:v>10</x:v>
      </x:c>
      <x:c r="C15" s="2" t="str">
        <x:v>Beauty / price_contribution</x:v>
      </x:c>
      <x:c r="D15" s="2" t="str">
        <x:v>Broad market</x:v>
      </x:c>
      <x:c r="E15" s="7" t="n">
        <x:v>45107</x:v>
      </x:c>
      <x:c r="F15" s="2" t="str">
        <x:v>Pre-earnings</x:v>
      </x:c>
      <x:c r="G15" s="7" t="n">
        <x:v>45134</x:v>
      </x:c>
      <x:c r="H15" s="2" t="n">
        <x:v>9</x:v>
      </x:c>
      <x:c r="I15" s="8" t="n">
        <x:v>22.94079143912051</x:v>
      </x:c>
      <x:c r="J15" s="8" t="n">
        <x:v>0</x:v>
      </x:c>
      <x:c r="K15" s="8" t="n">
        <x:v>44</x:v>
      </x:c>
      <x:c r="L15" s="8" t="n">
        <x:v>142.56645097949428</x:v>
      </x:c>
      <x:c r="M15" s="8" t="n">
        <x:v>0</x:v>
      </x:c>
      <x:c r="N15" s="8" t="n">
        <x:v>0</x:v>
      </x:c>
      <x:c r="O15" s="8" t="n">
        <x:v>179.82413878183525</x:v>
      </x:c>
      <x:c r="P15" s="8" t="n">
        <x:v>0</x:v>
      </x:c>
      <x:c r="Q15" s="8" t="n">
        <x:v>7.05822723217906</x:v>
      </x:c>
      <x:c r="R15" s="8" t="n">
        <x:v>0</x:v>
      </x:c>
      <x:c r="S15" s="8" t="n">
        <x:f>L15-I15^2/H15</x:f>
        <x:v>84.09090521802484</x:v>
      </x:c>
      <x:c r="T15" s="8" t="n">
        <x:f>M15-J15^2/H15</x:f>
        <x:v>0</x:v>
      </x:c>
      <x:c r="U15" s="8" t="n">
        <x:f>N15-I15*J15/H15</x:f>
        <x:v>0</x:v>
      </x:c>
      <x:c r="V15" s="8" t="n">
        <x:f>O15-I15*K15/H15</x:f>
        <x:v>67.66915841280165</x:v>
      </x:c>
      <x:c r="W15" s="8" t="n">
        <x:f>P15-J15*K15/H15</x:f>
        <x:v>0</x:v>
      </x:c>
      <x:c r="X15" s="8" t="n">
        <x:f>V15/S15</x:f>
        <x:v>0.8047143533222044</x:v>
      </x:c>
      <x:c r="Y15" s="8" t="n">
        <x:f>0</x:f>
        <x:v>0</x:v>
      </x:c>
      <x:c r="Z15" s="8" t="n">
        <x:f>K15/H15-X15*I15/H15-Y15*J15/H15</x:f>
        <x:v>2.837690650263175</x:v>
      </x:c>
      <x:c r="AA15" s="8" t="n">
        <x:f>Z15+X15*Q15+Y15*R15</x:f>
        <x:v>8.51754741300732</x:v>
      </x:c>
    </x:row>
    <x:row r="16" ht="26" customHeight="1">
      <x:c r="A16" s="2"/>
      <x:c r="B16" s="2" t="n">
        <x:v>11</x:v>
      </x:c>
      <x:c r="C16" s="2" t="str">
        <x:v>Beauty / price_contribution</x:v>
      </x:c>
      <x:c r="D16" s="2" t="str">
        <x:v>Broad lag 1</x:v>
      </x:c>
      <x:c r="E16" s="7" t="n">
        <x:v>45107</x:v>
      </x:c>
      <x:c r="F16" s="2" t="str">
        <x:v>Pre-earnings</x:v>
      </x:c>
      <x:c r="G16" s="7" t="n">
        <x:v>45134</x:v>
      </x:c>
      <x:c r="H16" s="2" t="n">
        <x:v>8</x:v>
      </x:c>
      <x:c r="I16" s="8" t="n">
        <x:v>16.168397415672132</x:v>
      </x:c>
      <x:c r="J16" s="8" t="n">
        <x:v>0</x:v>
      </x:c>
      <x:c r="K16" s="8" t="n">
        <x:v>42</x:v>
      </x:c>
      <x:c r="L16" s="8" t="n">
        <x:v>96.70113017065493</x:v>
      </x:c>
      <x:c r="M16" s="8" t="n">
        <x:v>0</x:v>
      </x:c>
      <x:c r="N16" s="8" t="n">
        <x:v>0</x:v>
      </x:c>
      <x:c r="O16" s="8" t="n">
        <x:v>134.84519861217274</x:v>
      </x:c>
      <x:c r="P16" s="8" t="n">
        <x:v>0</x:v>
      </x:c>
      <x:c r="Q16" s="8" t="n">
        <x:v>6.77239402344838</x:v>
      </x:c>
      <x:c r="R16" s="8" t="n">
        <x:v>0</x:v>
      </x:c>
      <x:c r="S16" s="8" t="n">
        <x:f>L16-I16^2/H16</x:f>
        <x:v>64.02399579676577</x:v>
      </x:c>
      <x:c r="T16" s="8" t="n">
        <x:f>M16-J16^2/H16</x:f>
        <x:v>0</x:v>
      </x:c>
      <x:c r="U16" s="8" t="n">
        <x:f>N16-I16*J16/H16</x:f>
        <x:v>0</x:v>
      </x:c>
      <x:c r="V16" s="8" t="n">
        <x:f>O16-I16*K16/H16</x:f>
        <x:v>49.961112179894045</x:v>
      </x:c>
      <x:c r="W16" s="8" t="n">
        <x:f>P16-J16*K16/H16</x:f>
        <x:v>0</x:v>
      </x:c>
      <x:c r="X16" s="8" t="n">
        <x:f>V16/S16</x:f>
        <x:v>0.7803497978865273</x:v>
      </x:c>
      <x:c r="Y16" s="8" t="n">
        <x:f>0</x:f>
        <x:v>0</x:v>
      </x:c>
      <x:c r="Z16" s="8" t="n">
        <x:f>K16/H16-X16*I16/H16-Y16*J16/H16</x:f>
        <x:v>3.6728742930664002</x:v>
      </x:c>
      <x:c r="AA16" s="8" t="n">
        <x:f>Z16+X16*Q16+Y16*R16</x:f>
        <x:v>8.95771060047227</x:v>
      </x:c>
    </x:row>
    <x:row r="17" ht="26" customHeight="1">
      <x:c r="A17" s="2"/>
      <x:c r="B17" s="2" t="n">
        <x:v>12</x:v>
      </x:c>
      <x:c r="C17" s="2" t="str">
        <x:v>Beauty / price_contribution</x:v>
      </x:c>
      <x:c r="D17" s="2" t="str">
        <x:v>Broad rolling 8</x:v>
      </x:c>
      <x:c r="E17" s="7" t="n">
        <x:v>45107</x:v>
      </x:c>
      <x:c r="F17" s="2" t="str">
        <x:v>Pre-earnings</x:v>
      </x:c>
      <x:c r="G17" s="7" t="n">
        <x:v>45134</x:v>
      </x:c>
      <x:c r="H17" s="2" t="n">
        <x:v>8</x:v>
      </x:c>
      <x:c r="I17" s="8" t="n">
        <x:v>23.298494829725136</x:v>
      </x:c>
      <x:c r="J17" s="8" t="n">
        <x:v>0</x:v>
      </x:c>
      <x:c r="K17" s="8" t="n">
        <x:v>42</x:v>
      </x:c>
      <x:c r="L17" s="8" t="n">
        <x:v>142.43849926384422</x:v>
      </x:c>
      <x:c r="M17" s="8" t="n">
        <x:v>0</x:v>
      </x:c>
      <x:c r="N17" s="8" t="n">
        <x:v>0</x:v>
      </x:c>
      <x:c r="O17" s="8" t="n">
        <x:v>180.5395455630445</x:v>
      </x:c>
      <x:c r="P17" s="8" t="n">
        <x:v>0</x:v>
      </x:c>
      <x:c r="Q17" s="8" t="n">
        <x:v>7.05822723217906</x:v>
      </x:c>
      <x:c r="R17" s="8" t="n">
        <x:v>0</x:v>
      </x:c>
      <x:c r="S17" s="8" t="n">
        <x:f>L17-I17^2/H17</x:f>
        <x:v>74.5860165975031</x:v>
      </x:c>
      <x:c r="T17" s="8" t="n">
        <x:f>M17-J17^2/H17</x:f>
        <x:v>0</x:v>
      </x:c>
      <x:c r="U17" s="8" t="n">
        <x:f>N17-I17*J17/H17</x:f>
        <x:v>0</x:v>
      </x:c>
      <x:c r="V17" s="8" t="n">
        <x:f>O17-I17*K17/H17</x:f>
        <x:v>58.22244770698754</x:v>
      </x:c>
      <x:c r="W17" s="8" t="n">
        <x:f>P17-J17*K17/H17</x:f>
        <x:v>0</x:v>
      </x:c>
      <x:c r="X17" s="8" t="n">
        <x:f>V17/S17</x:f>
        <x:v>0.7806080866495374</x:v>
      </x:c>
      <x:c r="Y17" s="8" t="n">
        <x:f>0</x:f>
        <x:v>0</x:v>
      </x:c>
      <x:c r="Z17" s="8" t="n">
        <x:f>K17/H17-X17*I17/H17-Y17*J17/H17</x:f>
        <x:v>2.9766258161442654</x:v>
      </x:c>
      <x:c r="AA17" s="8" t="n">
        <x:f>Z17+X17*Q17+Y17*R17</x:f>
        <x:v>8.48633507099322</x:v>
      </x:c>
    </x:row>
    <x:row r="18" ht="26" customHeight="1">
      <x:c r="A18" s="2"/>
      <x:c r="B18" s="2" t="n">
        <x:v>13</x:v>
      </x:c>
      <x:c r="C18" s="2" t="str">
        <x:v>Beauty / price_contribution</x:v>
      </x:c>
      <x:c r="D18" s="2" t="str">
        <x:v>Own history</x:v>
      </x:c>
      <x:c r="E18" s="7" t="n">
        <x:v>45107</x:v>
      </x:c>
      <x:c r="F18" s="2" t="str">
        <x:v>Pre-earnings</x:v>
      </x:c>
      <x:c r="G18" s="7" t="n">
        <x:v>45134</x:v>
      </x:c>
      <x:c r="H18" s="2" t="n">
        <x:v>8</x:v>
      </x:c>
      <x:c r="I18" s="8" t="n">
        <x:v>36</x:v>
      </x:c>
      <x:c r="J18" s="8" t="n">
        <x:v>0</x:v>
      </x:c>
      <x:c r="K18" s="8" t="n">
        <x:v>42</x:v>
      </x:c>
      <x:c r="L18" s="8" t="n">
        <x:v>210</x:v>
      </x:c>
      <x:c r="M18" s="8" t="n">
        <x:v>0</x:v>
      </x:c>
      <x:c r="N18" s="8" t="n">
        <x:v>0</x:v>
      </x:c>
      <x:c r="O18" s="8" t="n">
        <x:v>229</x:v>
      </x:c>
      <x:c r="P18" s="8" t="n">
        <x:v>0</x:v>
      </x:c>
      <x:c r="Q18" s="8" t="n">
        <x:v>8</x:v>
      </x:c>
      <x:c r="R18" s="8" t="n">
        <x:v>0</x:v>
      </x:c>
      <x:c r="S18" s="8" t="n">
        <x:f>L18-I18^2/H18</x:f>
        <x:v>48</x:v>
      </x:c>
      <x:c r="T18" s="8" t="n">
        <x:f>M18-J18^2/H18</x:f>
        <x:v>0</x:v>
      </x:c>
      <x:c r="U18" s="8" t="n">
        <x:f>N18-I18*J18/H18</x:f>
        <x:v>0</x:v>
      </x:c>
      <x:c r="V18" s="8" t="n">
        <x:f>O18-I18*K18/H18</x:f>
        <x:v>40</x:v>
      </x:c>
      <x:c r="W18" s="8" t="n">
        <x:f>P18-J18*K18/H18</x:f>
        <x:v>0</x:v>
      </x:c>
      <x:c r="X18" s="8" t="n">
        <x:f>V18/S18</x:f>
        <x:v>0.8333333333333334</x:v>
      </x:c>
      <x:c r="Y18" s="8" t="n">
        <x:f>0</x:f>
        <x:v>0</x:v>
      </x:c>
      <x:c r="Z18" s="8" t="n">
        <x:f>K18/H18-X18*I18/H18-Y18*J18/H18</x:f>
        <x:v>1.5</x:v>
      </x:c>
      <x:c r="AA18" s="8" t="n">
        <x:f>Z18+X18*Q18+Y18*R18</x:f>
        <x:v>8.166666666666668</x:v>
      </x:c>
    </x:row>
    <x:row r="19" ht="26" customHeight="1">
      <x:c r="A19" s="2"/>
      <x:c r="B19" s="2" t="n">
        <x:v>14</x:v>
      </x:c>
      <x:c r="C19" s="2" t="str">
        <x:v>Beauty / price_contribution</x:v>
      </x:c>
      <x:c r="D19" s="2" t="str">
        <x:v>Product price</x:v>
      </x:c>
      <x:c r="E19" s="7" t="n">
        <x:v>45107</x:v>
      </x:c>
      <x:c r="F19" s="2" t="str">
        <x:v>Pre-earnings</x:v>
      </x:c>
      <x:c r="G19" s="7" t="n">
        <x:v>45134</x:v>
      </x:c>
      <x:c r="H19" s="2" t="n">
        <x:v>9</x:v>
      </x:c>
      <x:c r="I19" s="8" t="n">
        <x:v>11.650100762822602</x:v>
      </x:c>
      <x:c r="J19" s="8" t="n">
        <x:v>0</x:v>
      </x:c>
      <x:c r="K19" s="8" t="n">
        <x:v>44</x:v>
      </x:c>
      <x:c r="L19" s="8" t="n">
        <x:v>67.47283552353333</x:v>
      </x:c>
      <x:c r="M19" s="8" t="n">
        <x:v>0</x:v>
      </x:c>
      <x:c r="N19" s="8" t="n">
        <x:v>0</x:v>
      </x:c>
      <x:c r="O19" s="8" t="n">
        <x:v>108.03981835781254</x:v>
      </x:c>
      <x:c r="P19" s="8" t="n">
        <x:v>0</x:v>
      </x:c>
      <x:c r="Q19" s="8" t="n">
        <x:v>5.2129322350291885</x:v>
      </x:c>
      <x:c r="R19" s="8" t="n">
        <x:v>0</x:v>
      </x:c>
      <x:c r="S19" s="8" t="n">
        <x:f>L19-I19^2/H19</x:f>
        <x:v>52.392296880875584</x:v>
      </x:c>
      <x:c r="T19" s="8" t="n">
        <x:f>M19-J19^2/H19</x:f>
        <x:v>0</x:v>
      </x:c>
      <x:c r="U19" s="8" t="n">
        <x:f>N19-I19*J19/H19</x:f>
        <x:v>0</x:v>
      </x:c>
      <x:c r="V19" s="8" t="n">
        <x:f>O19-I19*K19/H19</x:f>
        <x:v>51.083770184013154</x:v>
      </x:c>
      <x:c r="W19" s="8" t="n">
        <x:f>P19-J19*K19/H19</x:f>
        <x:v>0</x:v>
      </x:c>
      <x:c r="X19" s="8" t="n">
        <x:f>V19/S19</x:f>
        <x:v>0.9750244449133881</x:v>
      </x:c>
      <x:c r="Y19" s="8" t="n">
        <x:f>0</x:f>
        <x:v>0</x:v>
      </x:c>
      <x:c r="Z19" s="8" t="n">
        <x:f>K19/H19-X19*I19/H19-Y19*J19/H19</x:f>
        <x:v>3.626762996727095</x:v>
      </x:c>
      <x:c r="AA19" s="8" t="n">
        <x:f>Z19+X19*Q19+Y19*R19</x:f>
        <x:v>8.709499355557536</x:v>
      </x:c>
    </x:row>
    <x:row r="20" ht="26" customHeight="1">
      <x:c r="A20" s="2"/>
      <x:c r="B20" s="2" t="n">
        <x:v>15</x:v>
      </x:c>
      <x:c r="C20" s="2" t="str">
        <x:v>Beauty / price_contribution</x:v>
      </x:c>
      <x:c r="D20" s="2" t="str">
        <x:v>Product lag 1</x:v>
      </x:c>
      <x:c r="E20" s="7" t="n">
        <x:v>45107</x:v>
      </x:c>
      <x:c r="F20" s="2" t="str">
        <x:v>Pre-earnings</x:v>
      </x:c>
      <x:c r="G20" s="7" t="n">
        <x:v>45134</x:v>
      </x:c>
      <x:c r="H20" s="2" t="n">
        <x:v>8</x:v>
      </x:c>
      <x:c r="I20" s="8" t="n">
        <x:v>6.758332328031891</x:v>
      </x:c>
      <x:c r="J20" s="8" t="n">
        <x:v>0</x:v>
      </x:c>
      <x:c r="K20" s="8" t="n">
        <x:v>42</x:v>
      </x:c>
      <x:c r="L20" s="8" t="n">
        <x:v>43.54343710391857</x:v>
      </x:c>
      <x:c r="M20" s="8" t="n">
        <x:v>0</x:v>
      </x:c>
      <x:c r="N20" s="8" t="n">
        <x:v>0</x:v>
      </x:c>
      <x:c r="O20" s="8" t="n">
        <x:v>69.36375263379321</x:v>
      </x:c>
      <x:c r="P20" s="8" t="n">
        <x:v>0</x:v>
      </x:c>
      <x:c r="Q20" s="8" t="n">
        <x:v>4.891768434790711</x:v>
      </x:c>
      <x:c r="R20" s="8" t="n">
        <x:v>0</x:v>
      </x:c>
      <x:c r="S20" s="8" t="n">
        <x:f>L20-I20^2/H20</x:f>
        <x:v>37.834055121903454</x:v>
      </x:c>
      <x:c r="T20" s="8" t="n">
        <x:f>M20-J20^2/H20</x:f>
        <x:v>0</x:v>
      </x:c>
      <x:c r="U20" s="8" t="n">
        <x:f>N20-I20*J20/H20</x:f>
        <x:v>0</x:v>
      </x:c>
      <x:c r="V20" s="8" t="n">
        <x:f>O20-I20*K20/H20</x:f>
        <x:v>33.88250791162579</x:v>
      </x:c>
      <x:c r="W20" s="8" t="n">
        <x:f>P20-J20*K20/H20</x:f>
        <x:v>0</x:v>
      </x:c>
      <x:c r="X20" s="8" t="n">
        <x:f>V20/S20</x:f>
        <x:v>0.8955558108284835</x:v>
      </x:c>
      <x:c r="Y20" s="8" t="n">
        <x:f>0</x:f>
        <x:v>0</x:v>
      </x:c>
      <x:c r="Z20" s="8" t="n">
        <x:f>K20/H20-X20*I20/H20-Y20*J20/H20</x:f>
        <x:v>4.493442026515131</x:v>
      </x:c>
      <x:c r="AA20" s="8" t="n">
        <x:f>Z20+X20*Q20+Y20*R20</x:f>
        <x:v>8.874293673519308</x:v>
      </x:c>
    </x:row>
    <x:row r="21" ht="26" customHeight="1">
      <x:c r="A21" s="2"/>
      <x:c r="B21" s="2" t="n">
        <x:v>16</x:v>
      </x:c>
      <x:c r="C21" s="2" t="str">
        <x:v>Beauty / price_contribution</x:v>
      </x:c>
      <x:c r="D21" s="2" t="str">
        <x:v>Broad market</x:v>
      </x:c>
      <x:c r="E21" s="7" t="n">
        <x:v>45199</x:v>
      </x:c>
      <x:c r="F21" s="2" t="str">
        <x:v>Origin</x:v>
      </x:c>
      <x:c r="G21" s="7" t="n">
        <x:v>45108</x:v>
      </x:c>
      <x:c r="H21" s="2" t="n">
        <x:v>9</x:v>
      </x:c>
      <x:c r="I21" s="8" t="n">
        <x:v>22.94079143912051</x:v>
      </x:c>
      <x:c r="J21" s="8" t="n">
        <x:v>0</x:v>
      </x:c>
      <x:c r="K21" s="8" t="n">
        <x:v>44</x:v>
      </x:c>
      <x:c r="L21" s="8" t="n">
        <x:v>142.56645097949428</x:v>
      </x:c>
      <x:c r="M21" s="8" t="n">
        <x:v>0</x:v>
      </x:c>
      <x:c r="N21" s="8" t="n">
        <x:v>0</x:v>
      </x:c>
      <x:c r="O21" s="8" t="n">
        <x:v>179.82413878183525</x:v>
      </x:c>
      <x:c r="P21" s="8" t="n">
        <x:v>0</x:v>
      </x:c>
      <x:c r="Q21" s="8" t="n">
        <x:v>6.911987903518213</x:v>
      </x:c>
      <x:c r="R21" s="8" t="n">
        <x:v>0</x:v>
      </x:c>
      <x:c r="S21" s="8" t="n">
        <x:f>L21-I21^2/H21</x:f>
        <x:v>84.09090521802484</x:v>
      </x:c>
      <x:c r="T21" s="8" t="n">
        <x:f>M21-J21^2/H21</x:f>
        <x:v>0</x:v>
      </x:c>
      <x:c r="U21" s="8" t="n">
        <x:f>N21-I21*J21/H21</x:f>
        <x:v>0</x:v>
      </x:c>
      <x:c r="V21" s="8" t="n">
        <x:f>O21-I21*K21/H21</x:f>
        <x:v>67.66915841280165</x:v>
      </x:c>
      <x:c r="W21" s="8" t="n">
        <x:f>P21-J21*K21/H21</x:f>
        <x:v>0</x:v>
      </x:c>
      <x:c r="X21" s="8" t="n">
        <x:f>V21/S21</x:f>
        <x:v>0.8047143533222044</x:v>
      </x:c>
      <x:c r="Y21" s="8" t="n">
        <x:f>0</x:f>
        <x:v>0</x:v>
      </x:c>
      <x:c r="Z21" s="8" t="n">
        <x:f>K21/H21-X21*I21/H21-Y21*J21/H21</x:f>
        <x:v>2.837690650263175</x:v>
      </x:c>
      <x:c r="AA21" s="8" t="n">
        <x:f>Z21+X21*Q21+Y21*R21</x:f>
        <x:v>8.399866526213733</x:v>
      </x:c>
    </x:row>
    <x:row r="22" ht="26" customHeight="1">
      <x:c r="A22" s="2"/>
      <x:c r="B22" s="2" t="n">
        <x:v>17</x:v>
      </x:c>
      <x:c r="C22" s="2" t="str">
        <x:v>Beauty / price_contribution</x:v>
      </x:c>
      <x:c r="D22" s="2" t="str">
        <x:v>Broad rolling 8</x:v>
      </x:c>
      <x:c r="E22" s="7" t="n">
        <x:v>45199</x:v>
      </x:c>
      <x:c r="F22" s="2" t="str">
        <x:v>Origin</x:v>
      </x:c>
      <x:c r="G22" s="7" t="n">
        <x:v>45108</x:v>
      </x:c>
      <x:c r="H22" s="2" t="n">
        <x:v>8</x:v>
      </x:c>
      <x:c r="I22" s="8" t="n">
        <x:v>23.298494829725136</x:v>
      </x:c>
      <x:c r="J22" s="8" t="n">
        <x:v>0</x:v>
      </x:c>
      <x:c r="K22" s="8" t="n">
        <x:v>42</x:v>
      </x:c>
      <x:c r="L22" s="8" t="n">
        <x:v>142.43849926384422</x:v>
      </x:c>
      <x:c r="M22" s="8" t="n">
        <x:v>0</x:v>
      </x:c>
      <x:c r="N22" s="8" t="n">
        <x:v>0</x:v>
      </x:c>
      <x:c r="O22" s="8" t="n">
        <x:v>180.5395455630445</x:v>
      </x:c>
      <x:c r="P22" s="8" t="n">
        <x:v>0</x:v>
      </x:c>
      <x:c r="Q22" s="8" t="n">
        <x:v>6.911987903518213</x:v>
      </x:c>
      <x:c r="R22" s="8" t="n">
        <x:v>0</x:v>
      </x:c>
      <x:c r="S22" s="8" t="n">
        <x:f>L22-I22^2/H22</x:f>
        <x:v>74.5860165975031</x:v>
      </x:c>
      <x:c r="T22" s="8" t="n">
        <x:f>M22-J22^2/H22</x:f>
        <x:v>0</x:v>
      </x:c>
      <x:c r="U22" s="8" t="n">
        <x:f>N22-I22*J22/H22</x:f>
        <x:v>0</x:v>
      </x:c>
      <x:c r="V22" s="8" t="n">
        <x:f>O22-I22*K22/H22</x:f>
        <x:v>58.22244770698754</x:v>
      </x:c>
      <x:c r="W22" s="8" t="n">
        <x:f>P22-J22*K22/H22</x:f>
        <x:v>0</x:v>
      </x:c>
      <x:c r="X22" s="8" t="n">
        <x:f>V22/S22</x:f>
        <x:v>0.7806080866495374</x:v>
      </x:c>
      <x:c r="Y22" s="8" t="n">
        <x:f>0</x:f>
        <x:v>0</x:v>
      </x:c>
      <x:c r="Z22" s="8" t="n">
        <x:f>K22/H22-X22*I22/H22-Y22*J22/H22</x:f>
        <x:v>2.9766258161442654</x:v>
      </x:c>
      <x:c r="AA22" s="8" t="n">
        <x:f>Z22+X22*Q22+Y22*R22</x:f>
        <x:v>8.372179468454366</x:v>
      </x:c>
    </x:row>
    <x:row r="23" ht="26" customHeight="1">
      <x:c r="A23" s="2"/>
      <x:c r="B23" s="2" t="n">
        <x:v>18</x:v>
      </x:c>
      <x:c r="C23" s="2" t="str">
        <x:v>Beauty / price_contribution</x:v>
      </x:c>
      <x:c r="D23" s="2" t="str">
        <x:v>Product price</x:v>
      </x:c>
      <x:c r="E23" s="7" t="n">
        <x:v>45199</x:v>
      </x:c>
      <x:c r="F23" s="2" t="str">
        <x:v>Origin</x:v>
      </x:c>
      <x:c r="G23" s="7" t="n">
        <x:v>45108</x:v>
      </x:c>
      <x:c r="H23" s="2" t="n">
        <x:v>9</x:v>
      </x:c>
      <x:c r="I23" s="8" t="n">
        <x:v>11.650100762822602</x:v>
      </x:c>
      <x:c r="J23" s="8" t="n">
        <x:v>0</x:v>
      </x:c>
      <x:c r="K23" s="8" t="n">
        <x:v>44</x:v>
      </x:c>
      <x:c r="L23" s="8" t="n">
        <x:v>67.47283552353333</x:v>
      </x:c>
      <x:c r="M23" s="8" t="n">
        <x:v>0</x:v>
      </x:c>
      <x:c r="N23" s="8" t="n">
        <x:v>0</x:v>
      </x:c>
      <x:c r="O23" s="8" t="n">
        <x:v>108.03981835781254</x:v>
      </x:c>
      <x:c r="P23" s="8" t="n">
        <x:v>0</x:v>
      </x:c>
      <x:c r="Q23" s="8" t="n">
        <x:v>4.844694804269101</x:v>
      </x:c>
      <x:c r="R23" s="8" t="n">
        <x:v>0</x:v>
      </x:c>
      <x:c r="S23" s="8" t="n">
        <x:f>L23-I23^2/H23</x:f>
        <x:v>52.392296880875584</x:v>
      </x:c>
      <x:c r="T23" s="8" t="n">
        <x:f>M23-J23^2/H23</x:f>
        <x:v>0</x:v>
      </x:c>
      <x:c r="U23" s="8" t="n">
        <x:f>N23-I23*J23/H23</x:f>
        <x:v>0</x:v>
      </x:c>
      <x:c r="V23" s="8" t="n">
        <x:f>O23-I23*K23/H23</x:f>
        <x:v>51.083770184013154</x:v>
      </x:c>
      <x:c r="W23" s="8" t="n">
        <x:f>P23-J23*K23/H23</x:f>
        <x:v>0</x:v>
      </x:c>
      <x:c r="X23" s="8" t="n">
        <x:f>V23/S23</x:f>
        <x:v>0.9750244449133881</x:v>
      </x:c>
      <x:c r="Y23" s="8" t="n">
        <x:f>0</x:f>
        <x:v>0</x:v>
      </x:c>
      <x:c r="Z23" s="8" t="n">
        <x:f>K23/H23-X23*I23/H23-Y23*J23/H23</x:f>
        <x:v>3.626762996727095</x:v>
      </x:c>
      <x:c r="AA23" s="8" t="n">
        <x:f>Z23+X23*Q23+Y23*R23</x:f>
        <x:v>8.350458859034351</x:v>
      </x:c>
    </x:row>
    <x:row r="24" ht="26" customHeight="1">
      <x:c r="A24" s="2"/>
      <x:c r="B24" s="2" t="n">
        <x:v>19</x:v>
      </x:c>
      <x:c r="C24" s="2" t="str">
        <x:v>Beauty / price_contribution</x:v>
      </x:c>
      <x:c r="D24" s="2" t="str">
        <x:v>Broad market</x:v>
      </x:c>
      <x:c r="E24" s="7" t="n">
        <x:v>45199</x:v>
      </x:c>
      <x:c r="F24" s="2" t="str">
        <x:v>Prior report</x:v>
      </x:c>
      <x:c r="G24" s="7" t="n">
        <x:v>45135</x:v>
      </x:c>
      <x:c r="H24" s="2" t="n">
        <x:v>10</x:v>
      </x:c>
      <x:c r="I24" s="8" t="n">
        <x:v>29.99901867129957</x:v>
      </x:c>
      <x:c r="J24" s="8" t="n">
        <x:v>0</x:v>
      </x:c>
      <x:c r="K24" s="8" t="n">
        <x:v>52</x:v>
      </x:c>
      <x:c r="L24" s="8" t="n">
        <x:v>192.38502264056834</x:v>
      </x:c>
      <x:c r="M24" s="8" t="n">
        <x:v>0</x:v>
      </x:c>
      <x:c r="N24" s="8" t="n">
        <x:v>0</x:v>
      </x:c>
      <x:c r="O24" s="8" t="n">
        <x:v>236.28995663926773</x:v>
      </x:c>
      <x:c r="P24" s="8" t="n">
        <x:v>0</x:v>
      </x:c>
      <x:c r="Q24" s="8" t="n">
        <x:v>7.058173750908159</x:v>
      </x:c>
      <x:c r="R24" s="8" t="n">
        <x:v>0</x:v>
      </x:c>
      <x:c r="S24" s="8" t="n">
        <x:f>L24-I24^2/H24</x:f>
        <x:v>102.39091051647031</x:v>
      </x:c>
      <x:c r="T24" s="8" t="n">
        <x:f>M24-J24^2/H24</x:f>
        <x:v>0</x:v>
      </x:c>
      <x:c r="U24" s="8" t="n">
        <x:f>N24-I24*J24/H24</x:f>
        <x:v>0</x:v>
      </x:c>
      <x:c r="V24" s="8" t="n">
        <x:f>O24-I24*K24/H24</x:f>
        <x:v>80.29505954850995</x:v>
      </x:c>
      <x:c r="W24" s="8" t="n">
        <x:f>P24-J24*K24/H24</x:f>
        <x:v>0</x:v>
      </x:c>
      <x:c r="X24" s="8" t="n">
        <x:f>V24/S24</x:f>
        <x:v>0.7842010501078015</x:v>
      </x:c>
      <x:c r="Y24" s="8" t="n">
        <x:f>0</x:f>
        <x:v>0</x:v>
      </x:c>
      <x:c r="Z24" s="8" t="n">
        <x:f>K24/H24-X24*I24/H24-Y24*J24/H24</x:f>
        <x:v>2.8474738055763336</x:v>
      </x:c>
      <x:c r="AA24" s="8" t="n">
        <x:f>Z24+X24*Q24+Y24*R24</x:f>
        <x:v>8.382501072881832</x:v>
      </x:c>
    </x:row>
    <x:row r="25" ht="26" customHeight="1">
      <x:c r="A25" s="2"/>
      <x:c r="B25" s="2" t="n">
        <x:v>20</x:v>
      </x:c>
      <x:c r="C25" s="2" t="str">
        <x:v>Beauty / price_contribution</x:v>
      </x:c>
      <x:c r="D25" s="2" t="str">
        <x:v>Broad lag 1</x:v>
      </x:c>
      <x:c r="E25" s="7" t="n">
        <x:v>45199</x:v>
      </x:c>
      <x:c r="F25" s="2" t="str">
        <x:v>Prior report</x:v>
      </x:c>
      <x:c r="G25" s="7" t="n">
        <x:v>45135</x:v>
      </x:c>
      <x:c r="H25" s="2" t="n">
        <x:v>9</x:v>
      </x:c>
      <x:c r="I25" s="8" t="n">
        <x:v>22.94079143912051</x:v>
      </x:c>
      <x:c r="J25" s="8" t="n">
        <x:v>0</x:v>
      </x:c>
      <x:c r="K25" s="8" t="n">
        <x:v>50</x:v>
      </x:c>
      <x:c r="L25" s="8" t="n">
        <x:v>142.56645097949428</x:v>
      </x:c>
      <x:c r="M25" s="8" t="n">
        <x:v>0</x:v>
      </x:c>
      <x:c r="N25" s="8" t="n">
        <x:v>0</x:v>
      </x:c>
      <x:c r="O25" s="8" t="n">
        <x:v>189.02435079975976</x:v>
      </x:c>
      <x:c r="P25" s="8" t="n">
        <x:v>0</x:v>
      </x:c>
      <x:c r="Q25" s="8" t="n">
        <x:v>7.05822723217906</x:v>
      </x:c>
      <x:c r="R25" s="8" t="n">
        <x:v>0</x:v>
      </x:c>
      <x:c r="S25" s="8" t="n">
        <x:f>L25-I25^2/H25</x:f>
        <x:v>84.09090521802484</x:v>
      </x:c>
      <x:c r="T25" s="8" t="n">
        <x:f>M25-J25^2/H25</x:f>
        <x:v>0</x:v>
      </x:c>
      <x:c r="U25" s="8" t="n">
        <x:f>N25-I25*J25/H25</x:f>
        <x:v>0</x:v>
      </x:c>
      <x:c r="V25" s="8" t="n">
        <x:f>O25-I25*K25/H25</x:f>
        <x:v>61.5755094713125</x:v>
      </x:c>
      <x:c r="W25" s="8" t="n">
        <x:f>P25-J25*K25/H25</x:f>
        <x:v>0</x:v>
      </x:c>
      <x:c r="X25" s="8" t="n">
        <x:f>V25/S25</x:f>
        <x:v>0.7322493355454309</x:v>
      </x:c>
      <x:c r="Y25" s="8" t="n">
        <x:f>0</x:f>
        <x:v>0</x:v>
      </x:c>
      <x:c r="Z25" s="8" t="n">
        <x:f>K25/H25-X25*I25/H25-Y25*J25/H25</x:f>
        <x:v>3.689068967979744</x:v>
      </x:c>
      <x:c r="AA25" s="8" t="n">
        <x:f>Z25+X25*Q25+Y25*R25</x:f>
        <x:v>8.857451168871528</x:v>
      </x:c>
    </x:row>
    <x:row r="26" ht="26" customHeight="1">
      <x:c r="A26" s="2"/>
      <x:c r="B26" s="2" t="n">
        <x:v>21</x:v>
      </x:c>
      <x:c r="C26" s="2" t="str">
        <x:v>Beauty / price_contribution</x:v>
      </x:c>
      <x:c r="D26" s="2" t="str">
        <x:v>Broad rolling 8</x:v>
      </x:c>
      <x:c r="E26" s="7" t="n">
        <x:v>45199</x:v>
      </x:c>
      <x:c r="F26" s="2" t="str">
        <x:v>Prior report</x:v>
      </x:c>
      <x:c r="G26" s="7" t="n">
        <x:v>45135</x:v>
      </x:c>
      <x:c r="H26" s="2" t="n">
        <x:v>8</x:v>
      </x:c>
      <x:c r="I26" s="8" t="n">
        <x:v>30.576982710611354</x:v>
      </x:c>
      <x:c r="J26" s="8" t="n">
        <x:v>0</x:v>
      </x:c>
      <x:c r="K26" s="8" t="n">
        <x:v>46</x:v>
      </x:c>
      <x:c r="L26" s="8" t="n">
        <x:v>192.2085561715494</x:v>
      </x:c>
      <x:c r="M26" s="8" t="n">
        <x:v>0</x:v>
      </x:c>
      <x:c r="N26" s="8" t="n">
        <x:v>0</x:v>
      </x:c>
      <x:c r="O26" s="8" t="n">
        <x:v>237.88640601530562</x:v>
      </x:c>
      <x:c r="P26" s="8" t="n">
        <x:v>0</x:v>
      </x:c>
      <x:c r="Q26" s="8" t="n">
        <x:v>7.058173750908159</x:v>
      </x:c>
      <x:c r="R26" s="8" t="n">
        <x:v>0</x:v>
      </x:c>
      <x:c r="S26" s="8" t="n">
        <x:f>L26-I26^2/H26</x:f>
        <x:v>75.33957221092118</x:v>
      </x:c>
      <x:c r="T26" s="8" t="n">
        <x:f>M26-J26^2/H26</x:f>
        <x:v>0</x:v>
      </x:c>
      <x:c r="U26" s="8" t="n">
        <x:f>N26-I26*J26/H26</x:f>
        <x:v>0</x:v>
      </x:c>
      <x:c r="V26" s="8" t="n">
        <x:f>O26-I26*K26/H26</x:f>
        <x:v>62.06875542929035</x:v>
      </x:c>
      <x:c r="W26" s="8" t="n">
        <x:f>P26-J26*K26/H26</x:f>
        <x:v>0</x:v>
      </x:c>
      <x:c r="X26" s="8" t="n">
        <x:f>V26/S26</x:f>
        <x:v>0.8238533032218744</x:v>
      </x:c>
      <x:c r="Y26" s="8" t="n">
        <x:f>0</x:f>
        <x:v>0</x:v>
      </x:c>
      <x:c r="Z26" s="8" t="n">
        <x:f>K26/H26-X26*I26/H26-Y26*J26/H26</x:f>
        <x:v>2.6011314739130866</x:v>
      </x:c>
      <x:c r="AA26" s="8" t="n">
        <x:f>Z26+X26*Q26+Y26*R26</x:f>
        <x:v>8.416031233312701</x:v>
      </x:c>
    </x:row>
    <x:row r="27" ht="26" customHeight="1">
      <x:c r="A27" s="2"/>
      <x:c r="B27" s="2" t="n">
        <x:v>22</x:v>
      </x:c>
      <x:c r="C27" s="2" t="str">
        <x:v>Beauty / price_contribution</x:v>
      </x:c>
      <x:c r="D27" s="2" t="str">
        <x:v>Own history</x:v>
      </x:c>
      <x:c r="E27" s="7" t="n">
        <x:v>45199</x:v>
      </x:c>
      <x:c r="F27" s="2" t="str">
        <x:v>Prior report</x:v>
      </x:c>
      <x:c r="G27" s="7" t="n">
        <x:v>45135</x:v>
      </x:c>
      <x:c r="H27" s="2" t="n">
        <x:v>9</x:v>
      </x:c>
      <x:c r="I27" s="8" t="n">
        <x:v>44</x:v>
      </x:c>
      <x:c r="J27" s="8" t="n">
        <x:v>0</x:v>
      </x:c>
      <x:c r="K27" s="8" t="n">
        <x:v>50</x:v>
      </x:c>
      <x:c r="L27" s="8" t="n">
        <x:v>274</x:v>
      </x:c>
      <x:c r="M27" s="8" t="n">
        <x:v>0</x:v>
      </x:c>
      <x:c r="N27" s="8" t="n">
        <x:v>0</x:v>
      </x:c>
      <x:c r="O27" s="8" t="n">
        <x:v>293</x:v>
      </x:c>
      <x:c r="P27" s="8" t="n">
        <x:v>0</x:v>
      </x:c>
      <x:c r="Q27" s="8" t="n">
        <x:v>8</x:v>
      </x:c>
      <x:c r="R27" s="8" t="n">
        <x:v>0</x:v>
      </x:c>
      <x:c r="S27" s="8" t="n">
        <x:f>L27-I27^2/H27</x:f>
        <x:v>58.888888888888886</x:v>
      </x:c>
      <x:c r="T27" s="8" t="n">
        <x:f>M27-J27^2/H27</x:f>
        <x:v>0</x:v>
      </x:c>
      <x:c r="U27" s="8" t="n">
        <x:f>N27-I27*J27/H27</x:f>
        <x:v>0</x:v>
      </x:c>
      <x:c r="V27" s="8" t="n">
        <x:f>O27-I27*K27/H27</x:f>
        <x:v>48.55555555555554</x:v>
      </x:c>
      <x:c r="W27" s="8" t="n">
        <x:f>P27-J27*K27/H27</x:f>
        <x:v>0</x:v>
      </x:c>
      <x:c r="X27" s="8" t="n">
        <x:f>V27/S27</x:f>
        <x:v>0.8245283018867923</x:v>
      </x:c>
      <x:c r="Y27" s="8" t="n">
        <x:f>0</x:f>
        <x:v>0</x:v>
      </x:c>
      <x:c r="Z27" s="8" t="n">
        <x:f>K27/H27-X27*I27/H27-Y27*J27/H27</x:f>
        <x:v>1.524528301886793</x:v>
      </x:c>
      <x:c r="AA27" s="8" t="n">
        <x:f>Z27+X27*Q27+Y27*R27</x:f>
        <x:v>8.120754716981132</x:v>
      </x:c>
    </x:row>
    <x:row r="28" ht="26" customHeight="1">
      <x:c r="A28" s="2"/>
      <x:c r="B28" s="2" t="n">
        <x:v>23</x:v>
      </x:c>
      <x:c r="C28" s="2" t="str">
        <x:v>Beauty / price_contribution</x:v>
      </x:c>
      <x:c r="D28" s="2" t="str">
        <x:v>Product price</x:v>
      </x:c>
      <x:c r="E28" s="7" t="n">
        <x:v>45199</x:v>
      </x:c>
      <x:c r="F28" s="2" t="str">
        <x:v>Prior report</x:v>
      </x:c>
      <x:c r="G28" s="7" t="n">
        <x:v>45135</x:v>
      </x:c>
      <x:c r="H28" s="2" t="n">
        <x:v>10</x:v>
      </x:c>
      <x:c r="I28" s="8" t="n">
        <x:v>16.86303299785179</x:v>
      </x:c>
      <x:c r="J28" s="8" t="n">
        <x:v>0</x:v>
      </x:c>
      <x:c r="K28" s="8" t="n">
        <x:v>52</x:v>
      </x:c>
      <x:c r="L28" s="8" t="n">
        <x:v>94.64749801053973</x:v>
      </x:c>
      <x:c r="M28" s="8" t="n">
        <x:v>0</x:v>
      </x:c>
      <x:c r="N28" s="8" t="n">
        <x:v>0</x:v>
      </x:c>
      <x:c r="O28" s="8" t="n">
        <x:v>149.74327623804604</x:v>
      </x:c>
      <x:c r="P28" s="8" t="n">
        <x:v>0</x:v>
      </x:c>
      <x:c r="Q28" s="8" t="n">
        <x:v>5.212788093916432</x:v>
      </x:c>
      <x:c r="R28" s="8" t="n">
        <x:v>0</x:v>
      </x:c>
      <x:c r="S28" s="8" t="n">
        <x:f>L28-I28^2/H28</x:f>
        <x:v>66.21130982187591</x:v>
      </x:c>
      <x:c r="T28" s="8" t="n">
        <x:f>M28-J28^2/H28</x:f>
        <x:v>0</x:v>
      </x:c>
      <x:c r="U28" s="8" t="n">
        <x:f>N28-I28*J28/H28</x:f>
        <x:v>0</x:v>
      </x:c>
      <x:c r="V28" s="8" t="n">
        <x:f>O28-I28*K28/H28</x:f>
        <x:v>62.05550464921673</x:v>
      </x:c>
      <x:c r="W28" s="8" t="n">
        <x:f>P28-J28*K28/H28</x:f>
        <x:v>0</x:v>
      </x:c>
      <x:c r="X28" s="8" t="n">
        <x:f>V28/S28</x:f>
        <x:v>0.9372342099281937</x:v>
      </x:c>
      <x:c r="Y28" s="8" t="n">
        <x:f>0</x:f>
        <x:v>0</x:v>
      </x:c>
      <x:c r="Z28" s="8" t="n">
        <x:f>K28/H28-X28*I28/H28-Y28*J28/H28</x:f>
        <x:v>3.619538859126532</x:v>
      </x:c>
      <x:c r="AA28" s="8" t="n">
        <x:f>Z28+X28*Q28+Y28*R28</x:f>
        <x:v>8.505142189851394</x:v>
      </x:c>
    </x:row>
    <x:row r="29" ht="26" customHeight="1">
      <x:c r="A29" s="2"/>
      <x:c r="B29" s="2" t="n">
        <x:v>24</x:v>
      </x:c>
      <x:c r="C29" s="2" t="str">
        <x:v>Beauty / price_contribution</x:v>
      </x:c>
      <x:c r="D29" s="2" t="str">
        <x:v>Product lag 1</x:v>
      </x:c>
      <x:c r="E29" s="7" t="n">
        <x:v>45199</x:v>
      </x:c>
      <x:c r="F29" s="2" t="str">
        <x:v>Prior report</x:v>
      </x:c>
      <x:c r="G29" s="7" t="n">
        <x:v>45135</x:v>
      </x:c>
      <x:c r="H29" s="2" t="n">
        <x:v>9</x:v>
      </x:c>
      <x:c r="I29" s="8" t="n">
        <x:v>11.650100762822602</x:v>
      </x:c>
      <x:c r="J29" s="8" t="n">
        <x:v>0</x:v>
      </x:c>
      <x:c r="K29" s="8" t="n">
        <x:v>50</x:v>
      </x:c>
      <x:c r="L29" s="8" t="n">
        <x:v>67.47283552353333</x:v>
      </x:c>
      <x:c r="M29" s="8" t="n">
        <x:v>0</x:v>
      </x:c>
      <x:c r="N29" s="8" t="n">
        <x:v>0</x:v>
      </x:c>
      <x:c r="O29" s="8" t="n">
        <x:v>108.49790011211891</x:v>
      </x:c>
      <x:c r="P29" s="8" t="n">
        <x:v>0</x:v>
      </x:c>
      <x:c r="Q29" s="8" t="n">
        <x:v>5.2129322350291885</x:v>
      </x:c>
      <x:c r="R29" s="8" t="n">
        <x:v>0</x:v>
      </x:c>
      <x:c r="S29" s="8" t="n">
        <x:f>L29-I29^2/H29</x:f>
        <x:v>52.392296880875584</x:v>
      </x:c>
      <x:c r="T29" s="8" t="n">
        <x:f>M29-J29^2/H29</x:f>
        <x:v>0</x:v>
      </x:c>
      <x:c r="U29" s="8" t="n">
        <x:f>N29-I29*J29/H29</x:f>
        <x:v>0</x:v>
      </x:c>
      <x:c r="V29" s="8" t="n">
        <x:f>O29-I29*K29/H29</x:f>
        <x:v>43.775118096437794</x:v>
      </x:c>
      <x:c r="W29" s="8" t="n">
        <x:f>P29-J29*K29/H29</x:f>
        <x:v>0</x:v>
      </x:c>
      <x:c r="X29" s="8" t="n">
        <x:f>V29/S29</x:f>
        <x:v>0.8355258444952188</x:v>
      </x:c>
      <x:c r="Y29" s="8" t="n">
        <x:f>0</x:f>
        <x:v>0</x:v>
      </x:c>
      <x:c r="Z29" s="8" t="n">
        <x:f>K29/H29-X29*I29/H29-Y29*J29/H29</x:f>
        <x:v>4.474004413520917</x:v>
      </x:c>
      <x:c r="AA29" s="8" t="n">
        <x:f>Z29+X29*Q29+Y29*R29</x:f>
        <x:v>8.829544021490028</x:v>
      </x:c>
    </x:row>
    <x:row r="30" ht="26" customHeight="1">
      <x:c r="A30" s="2"/>
      <x:c r="B30" s="2" t="n">
        <x:v>25</x:v>
      </x:c>
      <x:c r="C30" s="2" t="str">
        <x:v>Beauty / price_contribution</x:v>
      </x:c>
      <x:c r="D30" s="2" t="str">
        <x:v>Broad market</x:v>
      </x:c>
      <x:c r="E30" s="7" t="n">
        <x:v>45199</x:v>
      </x:c>
      <x:c r="F30" s="2" t="str">
        <x:v>Pre-earnings</x:v>
      </x:c>
      <x:c r="G30" s="7" t="n">
        <x:v>45216</x:v>
      </x:c>
      <x:c r="H30" s="2" t="n">
        <x:v>10</x:v>
      </x:c>
      <x:c r="I30" s="8" t="n">
        <x:v>29.99901867129957</x:v>
      </x:c>
      <x:c r="J30" s="8" t="n">
        <x:v>0</x:v>
      </x:c>
      <x:c r="K30" s="8" t="n">
        <x:v>52</x:v>
      </x:c>
      <x:c r="L30" s="8" t="n">
        <x:v>192.38502264056834</x:v>
      </x:c>
      <x:c r="M30" s="8" t="n">
        <x:v>0</x:v>
      </x:c>
      <x:c r="N30" s="8" t="n">
        <x:v>0</x:v>
      </x:c>
      <x:c r="O30" s="8" t="n">
        <x:v>236.28995663926773</x:v>
      </x:c>
      <x:c r="P30" s="8" t="n">
        <x:v>0</x:v>
      </x:c>
      <x:c r="Q30" s="8" t="n">
        <x:v>5.4935927157217845</x:v>
      </x:c>
      <x:c r="R30" s="8" t="n">
        <x:v>0</x:v>
      </x:c>
      <x:c r="S30" s="8" t="n">
        <x:f>L30-I30^2/H30</x:f>
        <x:v>102.39091051647031</x:v>
      </x:c>
      <x:c r="T30" s="8" t="n">
        <x:f>M30-J30^2/H30</x:f>
        <x:v>0</x:v>
      </x:c>
      <x:c r="U30" s="8" t="n">
        <x:f>N30-I30*J30/H30</x:f>
        <x:v>0</x:v>
      </x:c>
      <x:c r="V30" s="8" t="n">
        <x:f>O30-I30*K30/H30</x:f>
        <x:v>80.29505954850995</x:v>
      </x:c>
      <x:c r="W30" s="8" t="n">
        <x:f>P30-J30*K30/H30</x:f>
        <x:v>0</x:v>
      </x:c>
      <x:c r="X30" s="8" t="n">
        <x:f>V30/S30</x:f>
        <x:v>0.7842010501078015</x:v>
      </x:c>
      <x:c r="Y30" s="8" t="n">
        <x:f>0</x:f>
        <x:v>0</x:v>
      </x:c>
      <x:c r="Z30" s="8" t="n">
        <x:f>K30/H30-X30*I30/H30-Y30*J30/H30</x:f>
        <x:v>2.8474738055763336</x:v>
      </x:c>
      <x:c r="AA30" s="8" t="n">
        <x:f>Z30+X30*Q30+Y30*R30</x:f>
        <x:v>7.155554982109926</x:v>
      </x:c>
    </x:row>
    <x:row r="31" ht="26" customHeight="1">
      <x:c r="A31" s="2"/>
      <x:c r="B31" s="2" t="n">
        <x:v>26</x:v>
      </x:c>
      <x:c r="C31" s="2" t="str">
        <x:v>Beauty / price_contribution</x:v>
      </x:c>
      <x:c r="D31" s="2" t="str">
        <x:v>Broad lag 1</x:v>
      </x:c>
      <x:c r="E31" s="7" t="n">
        <x:v>45199</x:v>
      </x:c>
      <x:c r="F31" s="2" t="str">
        <x:v>Pre-earnings</x:v>
      </x:c>
      <x:c r="G31" s="7" t="n">
        <x:v>45216</x:v>
      </x:c>
      <x:c r="H31" s="2" t="n">
        <x:v>9</x:v>
      </x:c>
      <x:c r="I31" s="8" t="n">
        <x:v>22.94079143912051</x:v>
      </x:c>
      <x:c r="J31" s="8" t="n">
        <x:v>0</x:v>
      </x:c>
      <x:c r="K31" s="8" t="n">
        <x:v>50</x:v>
      </x:c>
      <x:c r="L31" s="8" t="n">
        <x:v>142.56645097949428</x:v>
      </x:c>
      <x:c r="M31" s="8" t="n">
        <x:v>0</x:v>
      </x:c>
      <x:c r="N31" s="8" t="n">
        <x:v>0</x:v>
      </x:c>
      <x:c r="O31" s="8" t="n">
        <x:v>189.02435079975976</x:v>
      </x:c>
      <x:c r="P31" s="8" t="n">
        <x:v>0</x:v>
      </x:c>
      <x:c r="Q31" s="8" t="n">
        <x:v>7.05822723217906</x:v>
      </x:c>
      <x:c r="R31" s="8" t="n">
        <x:v>0</x:v>
      </x:c>
      <x:c r="S31" s="8" t="n">
        <x:f>L31-I31^2/H31</x:f>
        <x:v>84.09090521802484</x:v>
      </x:c>
      <x:c r="T31" s="8" t="n">
        <x:f>M31-J31^2/H31</x:f>
        <x:v>0</x:v>
      </x:c>
      <x:c r="U31" s="8" t="n">
        <x:f>N31-I31*J31/H31</x:f>
        <x:v>0</x:v>
      </x:c>
      <x:c r="V31" s="8" t="n">
        <x:f>O31-I31*K31/H31</x:f>
        <x:v>61.5755094713125</x:v>
      </x:c>
      <x:c r="W31" s="8" t="n">
        <x:f>P31-J31*K31/H31</x:f>
        <x:v>0</x:v>
      </x:c>
      <x:c r="X31" s="8" t="n">
        <x:f>V31/S31</x:f>
        <x:v>0.7322493355454309</x:v>
      </x:c>
      <x:c r="Y31" s="8" t="n">
        <x:f>0</x:f>
        <x:v>0</x:v>
      </x:c>
      <x:c r="Z31" s="8" t="n">
        <x:f>K31/H31-X31*I31/H31-Y31*J31/H31</x:f>
        <x:v>3.689068967979744</x:v>
      </x:c>
      <x:c r="AA31" s="8" t="n">
        <x:f>Z31+X31*Q31+Y31*R31</x:f>
        <x:v>8.857451168871528</x:v>
      </x:c>
    </x:row>
    <x:row r="32" ht="26" customHeight="1">
      <x:c r="A32" s="2"/>
      <x:c r="B32" s="2" t="n">
        <x:v>27</x:v>
      </x:c>
      <x:c r="C32" s="2" t="str">
        <x:v>Beauty / price_contribution</x:v>
      </x:c>
      <x:c r="D32" s="2" t="str">
        <x:v>Broad rolling 8</x:v>
      </x:c>
      <x:c r="E32" s="7" t="n">
        <x:v>45199</x:v>
      </x:c>
      <x:c r="F32" s="2" t="str">
        <x:v>Pre-earnings</x:v>
      </x:c>
      <x:c r="G32" s="7" t="n">
        <x:v>45216</x:v>
      </x:c>
      <x:c r="H32" s="2" t="n">
        <x:v>8</x:v>
      </x:c>
      <x:c r="I32" s="8" t="n">
        <x:v>30.576982710611354</x:v>
      </x:c>
      <x:c r="J32" s="8" t="n">
        <x:v>0</x:v>
      </x:c>
      <x:c r="K32" s="8" t="n">
        <x:v>46</x:v>
      </x:c>
      <x:c r="L32" s="8" t="n">
        <x:v>192.2085561715494</x:v>
      </x:c>
      <x:c r="M32" s="8" t="n">
        <x:v>0</x:v>
      </x:c>
      <x:c r="N32" s="8" t="n">
        <x:v>0</x:v>
      </x:c>
      <x:c r="O32" s="8" t="n">
        <x:v>237.88640601530562</x:v>
      </x:c>
      <x:c r="P32" s="8" t="n">
        <x:v>0</x:v>
      </x:c>
      <x:c r="Q32" s="8" t="n">
        <x:v>5.4935927157217845</x:v>
      </x:c>
      <x:c r="R32" s="8" t="n">
        <x:v>0</x:v>
      </x:c>
      <x:c r="S32" s="8" t="n">
        <x:f>L32-I32^2/H32</x:f>
        <x:v>75.33957221092118</x:v>
      </x:c>
      <x:c r="T32" s="8" t="n">
        <x:f>M32-J32^2/H32</x:f>
        <x:v>0</x:v>
      </x:c>
      <x:c r="U32" s="8" t="n">
        <x:f>N32-I32*J32/H32</x:f>
        <x:v>0</x:v>
      </x:c>
      <x:c r="V32" s="8" t="n">
        <x:f>O32-I32*K32/H32</x:f>
        <x:v>62.06875542929035</x:v>
      </x:c>
      <x:c r="W32" s="8" t="n">
        <x:f>P32-J32*K32/H32</x:f>
        <x:v>0</x:v>
      </x:c>
      <x:c r="X32" s="8" t="n">
        <x:f>V32/S32</x:f>
        <x:v>0.8238533032218744</x:v>
      </x:c>
      <x:c r="Y32" s="8" t="n">
        <x:f>0</x:f>
        <x:v>0</x:v>
      </x:c>
      <x:c r="Z32" s="8" t="n">
        <x:f>K32/H32-X32*I32/H32-Y32*J32/H32</x:f>
        <x:v>2.6011314739130866</x:v>
      </x:c>
      <x:c r="AA32" s="8" t="n">
        <x:f>Z32+X32*Q32+Y32*R32</x:f>
        <x:v>7.127045979316106</x:v>
      </x:c>
    </x:row>
    <x:row r="33" ht="26" customHeight="1">
      <x:c r="A33" s="2"/>
      <x:c r="B33" s="2" t="n">
        <x:v>28</x:v>
      </x:c>
      <x:c r="C33" s="2" t="str">
        <x:v>Beauty / price_contribution</x:v>
      </x:c>
      <x:c r="D33" s="2" t="str">
        <x:v>Own history</x:v>
      </x:c>
      <x:c r="E33" s="7" t="n">
        <x:v>45199</x:v>
      </x:c>
      <x:c r="F33" s="2" t="str">
        <x:v>Pre-earnings</x:v>
      </x:c>
      <x:c r="G33" s="7" t="n">
        <x:v>45216</x:v>
      </x:c>
      <x:c r="H33" s="2" t="n">
        <x:v>9</x:v>
      </x:c>
      <x:c r="I33" s="8" t="n">
        <x:v>44</x:v>
      </x:c>
      <x:c r="J33" s="8" t="n">
        <x:v>0</x:v>
      </x:c>
      <x:c r="K33" s="8" t="n">
        <x:v>50</x:v>
      </x:c>
      <x:c r="L33" s="8" t="n">
        <x:v>274</x:v>
      </x:c>
      <x:c r="M33" s="8" t="n">
        <x:v>0</x:v>
      </x:c>
      <x:c r="N33" s="8" t="n">
        <x:v>0</x:v>
      </x:c>
      <x:c r="O33" s="8" t="n">
        <x:v>293</x:v>
      </x:c>
      <x:c r="P33" s="8" t="n">
        <x:v>0</x:v>
      </x:c>
      <x:c r="Q33" s="8" t="n">
        <x:v>8</x:v>
      </x:c>
      <x:c r="R33" s="8" t="n">
        <x:v>0</x:v>
      </x:c>
      <x:c r="S33" s="8" t="n">
        <x:f>L33-I33^2/H33</x:f>
        <x:v>58.888888888888886</x:v>
      </x:c>
      <x:c r="T33" s="8" t="n">
        <x:f>M33-J33^2/H33</x:f>
        <x:v>0</x:v>
      </x:c>
      <x:c r="U33" s="8" t="n">
        <x:f>N33-I33*J33/H33</x:f>
        <x:v>0</x:v>
      </x:c>
      <x:c r="V33" s="8" t="n">
        <x:f>O33-I33*K33/H33</x:f>
        <x:v>48.55555555555554</x:v>
      </x:c>
      <x:c r="W33" s="8" t="n">
        <x:f>P33-J33*K33/H33</x:f>
        <x:v>0</x:v>
      </x:c>
      <x:c r="X33" s="8" t="n">
        <x:f>V33/S33</x:f>
        <x:v>0.8245283018867923</x:v>
      </x:c>
      <x:c r="Y33" s="8" t="n">
        <x:f>0</x:f>
        <x:v>0</x:v>
      </x:c>
      <x:c r="Z33" s="8" t="n">
        <x:f>K33/H33-X33*I33/H33-Y33*J33/H33</x:f>
        <x:v>1.524528301886793</x:v>
      </x:c>
      <x:c r="AA33" s="8" t="n">
        <x:f>Z33+X33*Q33+Y33*R33</x:f>
        <x:v>8.120754716981132</x:v>
      </x:c>
    </x:row>
    <x:row r="34" ht="26" customHeight="1">
      <x:c r="A34" s="2"/>
      <x:c r="B34" s="2" t="n">
        <x:v>29</x:v>
      </x:c>
      <x:c r="C34" s="2" t="str">
        <x:v>Beauty / price_contribution</x:v>
      </x:c>
      <x:c r="D34" s="2" t="str">
        <x:v>Product price</x:v>
      </x:c>
      <x:c r="E34" s="7" t="n">
        <x:v>45199</x:v>
      </x:c>
      <x:c r="F34" s="2" t="str">
        <x:v>Pre-earnings</x:v>
      </x:c>
      <x:c r="G34" s="7" t="n">
        <x:v>45216</x:v>
      </x:c>
      <x:c r="H34" s="2" t="n">
        <x:v>10</x:v>
      </x:c>
      <x:c r="I34" s="8" t="n">
        <x:v>16.86303299785179</x:v>
      </x:c>
      <x:c r="J34" s="8" t="n">
        <x:v>0</x:v>
      </x:c>
      <x:c r="K34" s="8" t="n">
        <x:v>52</x:v>
      </x:c>
      <x:c r="L34" s="8" t="n">
        <x:v>94.64749801053973</x:v>
      </x:c>
      <x:c r="M34" s="8" t="n">
        <x:v>0</x:v>
      </x:c>
      <x:c r="N34" s="8" t="n">
        <x:v>0</x:v>
      </x:c>
      <x:c r="O34" s="8" t="n">
        <x:v>149.74327623804604</x:v>
      </x:c>
      <x:c r="P34" s="8" t="n">
        <x:v>0</x:v>
      </x:c>
      <x:c r="Q34" s="8" t="n">
        <x:v>3.4916634214587683</x:v>
      </x:c>
      <x:c r="R34" s="8" t="n">
        <x:v>0</x:v>
      </x:c>
      <x:c r="S34" s="8" t="n">
        <x:f>L34-I34^2/H34</x:f>
        <x:v>66.21130982187591</x:v>
      </x:c>
      <x:c r="T34" s="8" t="n">
        <x:f>M34-J34^2/H34</x:f>
        <x:v>0</x:v>
      </x:c>
      <x:c r="U34" s="8" t="n">
        <x:f>N34-I34*J34/H34</x:f>
        <x:v>0</x:v>
      </x:c>
      <x:c r="V34" s="8" t="n">
        <x:f>O34-I34*K34/H34</x:f>
        <x:v>62.05550464921673</x:v>
      </x:c>
      <x:c r="W34" s="8" t="n">
        <x:f>P34-J34*K34/H34</x:f>
        <x:v>0</x:v>
      </x:c>
      <x:c r="X34" s="8" t="n">
        <x:f>V34/S34</x:f>
        <x:v>0.9372342099281937</x:v>
      </x:c>
      <x:c r="Y34" s="8" t="n">
        <x:f>0</x:f>
        <x:v>0</x:v>
      </x:c>
      <x:c r="Z34" s="8" t="n">
        <x:f>K34/H34-X34*I34/H34-Y34*J34/H34</x:f>
        <x:v>3.619538859126532</x:v>
      </x:c>
      <x:c r="AA34" s="8" t="n">
        <x:f>Z34+X34*Q34+Y34*R34</x:f>
        <x:v>6.892045267272614</x:v>
      </x:c>
    </x:row>
    <x:row r="35" ht="26" customHeight="1">
      <x:c r="A35" s="2"/>
      <x:c r="B35" s="2" t="n">
        <x:v>30</x:v>
      </x:c>
      <x:c r="C35" s="2" t="str">
        <x:v>Beauty / price_contribution</x:v>
      </x:c>
      <x:c r="D35" s="2" t="str">
        <x:v>Product lag 1</x:v>
      </x:c>
      <x:c r="E35" s="7" t="n">
        <x:v>45199</x:v>
      </x:c>
      <x:c r="F35" s="2" t="str">
        <x:v>Pre-earnings</x:v>
      </x:c>
      <x:c r="G35" s="7" t="n">
        <x:v>45216</x:v>
      </x:c>
      <x:c r="H35" s="2" t="n">
        <x:v>9</x:v>
      </x:c>
      <x:c r="I35" s="8" t="n">
        <x:v>11.650100762822602</x:v>
      </x:c>
      <x:c r="J35" s="8" t="n">
        <x:v>0</x:v>
      </x:c>
      <x:c r="K35" s="8" t="n">
        <x:v>50</x:v>
      </x:c>
      <x:c r="L35" s="8" t="n">
        <x:v>67.47283552353333</x:v>
      </x:c>
      <x:c r="M35" s="8" t="n">
        <x:v>0</x:v>
      </x:c>
      <x:c r="N35" s="8" t="n">
        <x:v>0</x:v>
      </x:c>
      <x:c r="O35" s="8" t="n">
        <x:v>108.49790011211891</x:v>
      </x:c>
      <x:c r="P35" s="8" t="n">
        <x:v>0</x:v>
      </x:c>
      <x:c r="Q35" s="8" t="n">
        <x:v>5.2129322350291885</x:v>
      </x:c>
      <x:c r="R35" s="8" t="n">
        <x:v>0</x:v>
      </x:c>
      <x:c r="S35" s="8" t="n">
        <x:f>L35-I35^2/H35</x:f>
        <x:v>52.392296880875584</x:v>
      </x:c>
      <x:c r="T35" s="8" t="n">
        <x:f>M35-J35^2/H35</x:f>
        <x:v>0</x:v>
      </x:c>
      <x:c r="U35" s="8" t="n">
        <x:f>N35-I35*J35/H35</x:f>
        <x:v>0</x:v>
      </x:c>
      <x:c r="V35" s="8" t="n">
        <x:f>O35-I35*K35/H35</x:f>
        <x:v>43.775118096437794</x:v>
      </x:c>
      <x:c r="W35" s="8" t="n">
        <x:f>P35-J35*K35/H35</x:f>
        <x:v>0</x:v>
      </x:c>
      <x:c r="X35" s="8" t="n">
        <x:f>V35/S35</x:f>
        <x:v>0.8355258444952188</x:v>
      </x:c>
      <x:c r="Y35" s="8" t="n">
        <x:f>0</x:f>
        <x:v>0</x:v>
      </x:c>
      <x:c r="Z35" s="8" t="n">
        <x:f>K35/H35-X35*I35/H35-Y35*J35/H35</x:f>
        <x:v>4.474004413520917</x:v>
      </x:c>
      <x:c r="AA35" s="8" t="n">
        <x:f>Z35+X35*Q35+Y35*R35</x:f>
        <x:v>8.829544021490028</x:v>
      </x:c>
    </x:row>
    <x:row r="36" ht="26" customHeight="1">
      <x:c r="A36" s="2"/>
      <x:c r="B36" s="2" t="n">
        <x:v>31</x:v>
      </x:c>
      <x:c r="C36" s="2" t="str">
        <x:v>Beauty / price_contribution</x:v>
      </x:c>
      <x:c r="D36" s="2" t="str">
        <x:v>Broad market</x:v>
      </x:c>
      <x:c r="E36" s="7" t="n">
        <x:v>45291</x:v>
      </x:c>
      <x:c r="F36" s="2" t="str">
        <x:v>Origin</x:v>
      </x:c>
      <x:c r="G36" s="7" t="n">
        <x:v>45200</x:v>
      </x:c>
      <x:c r="H36" s="2" t="n">
        <x:v>10</x:v>
      </x:c>
      <x:c r="I36" s="8" t="n">
        <x:v>29.99901867129957</x:v>
      </x:c>
      <x:c r="J36" s="8" t="n">
        <x:v>0</x:v>
      </x:c>
      <x:c r="K36" s="8" t="n">
        <x:v>52</x:v>
      </x:c>
      <x:c r="L36" s="8" t="n">
        <x:v>192.38502264056834</x:v>
      </x:c>
      <x:c r="M36" s="8" t="n">
        <x:v>0</x:v>
      </x:c>
      <x:c r="N36" s="8" t="n">
        <x:v>0</x:v>
      </x:c>
      <x:c r="O36" s="8" t="n">
        <x:v>236.28995663926773</x:v>
      </x:c>
      <x:c r="P36" s="8" t="n">
        <x:v>0</x:v>
      </x:c>
      <x:c r="Q36" s="8" t="n">
        <x:v>6.115186149321272</x:v>
      </x:c>
      <x:c r="R36" s="8" t="n">
        <x:v>0</x:v>
      </x:c>
      <x:c r="S36" s="8" t="n">
        <x:f>L36-I36^2/H36</x:f>
        <x:v>102.39091051647031</x:v>
      </x:c>
      <x:c r="T36" s="8" t="n">
        <x:f>M36-J36^2/H36</x:f>
        <x:v>0</x:v>
      </x:c>
      <x:c r="U36" s="8" t="n">
        <x:f>N36-I36*J36/H36</x:f>
        <x:v>0</x:v>
      </x:c>
      <x:c r="V36" s="8" t="n">
        <x:f>O36-I36*K36/H36</x:f>
        <x:v>80.29505954850995</x:v>
      </x:c>
      <x:c r="W36" s="8" t="n">
        <x:f>P36-J36*K36/H36</x:f>
        <x:v>0</x:v>
      </x:c>
      <x:c r="X36" s="8" t="n">
        <x:f>V36/S36</x:f>
        <x:v>0.7842010501078015</x:v>
      </x:c>
      <x:c r="Y36" s="8" t="n">
        <x:f>0</x:f>
        <x:v>0</x:v>
      </x:c>
      <x:c r="Z36" s="8" t="n">
        <x:f>K36/H36-X36*I36/H36-Y36*J36/H36</x:f>
        <x:v>2.8474738055763336</x:v>
      </x:c>
      <x:c r="AA36" s="8" t="n">
        <x:f>Z36+X36*Q36+Y36*R36</x:f>
        <x:v>7.643009205478759</x:v>
      </x:c>
    </x:row>
    <x:row r="37" ht="26" customHeight="1">
      <x:c r="A37" s="2"/>
      <x:c r="B37" s="2" t="n">
        <x:v>32</x:v>
      </x:c>
      <x:c r="C37" s="2" t="str">
        <x:v>Beauty / price_contribution</x:v>
      </x:c>
      <x:c r="D37" s="2" t="str">
        <x:v>Broad rolling 8</x:v>
      </x:c>
      <x:c r="E37" s="7" t="n">
        <x:v>45291</x:v>
      </x:c>
      <x:c r="F37" s="2" t="str">
        <x:v>Origin</x:v>
      </x:c>
      <x:c r="G37" s="7" t="n">
        <x:v>45200</x:v>
      </x:c>
      <x:c r="H37" s="2" t="n">
        <x:v>8</x:v>
      </x:c>
      <x:c r="I37" s="8" t="n">
        <x:v>30.576982710611354</x:v>
      </x:c>
      <x:c r="J37" s="8" t="n">
        <x:v>0</x:v>
      </x:c>
      <x:c r="K37" s="8" t="n">
        <x:v>46</x:v>
      </x:c>
      <x:c r="L37" s="8" t="n">
        <x:v>192.2085561715494</x:v>
      </x:c>
      <x:c r="M37" s="8" t="n">
        <x:v>0</x:v>
      </x:c>
      <x:c r="N37" s="8" t="n">
        <x:v>0</x:v>
      </x:c>
      <x:c r="O37" s="8" t="n">
        <x:v>237.88640601530562</x:v>
      </x:c>
      <x:c r="P37" s="8" t="n">
        <x:v>0</x:v>
      </x:c>
      <x:c r="Q37" s="8" t="n">
        <x:v>6.115186149321272</x:v>
      </x:c>
      <x:c r="R37" s="8" t="n">
        <x:v>0</x:v>
      </x:c>
      <x:c r="S37" s="8" t="n">
        <x:f>L37-I37^2/H37</x:f>
        <x:v>75.33957221092118</x:v>
      </x:c>
      <x:c r="T37" s="8" t="n">
        <x:f>M37-J37^2/H37</x:f>
        <x:v>0</x:v>
      </x:c>
      <x:c r="U37" s="8" t="n">
        <x:f>N37-I37*J37/H37</x:f>
        <x:v>0</x:v>
      </x:c>
      <x:c r="V37" s="8" t="n">
        <x:f>O37-I37*K37/H37</x:f>
        <x:v>62.06875542929035</x:v>
      </x:c>
      <x:c r="W37" s="8" t="n">
        <x:f>P37-J37*K37/H37</x:f>
        <x:v>0</x:v>
      </x:c>
      <x:c r="X37" s="8" t="n">
        <x:f>V37/S37</x:f>
        <x:v>0.8238533032218744</x:v>
      </x:c>
      <x:c r="Y37" s="8" t="n">
        <x:f>0</x:f>
        <x:v>0</x:v>
      </x:c>
      <x:c r="Z37" s="8" t="n">
        <x:f>K37/H37-X37*I37/H37-Y37*J37/H37</x:f>
        <x:v>2.6011314739130866</x:v>
      </x:c>
      <x:c r="AA37" s="8" t="n">
        <x:f>Z37+X37*Q37+Y37*R37</x:f>
        <x:v>7.639147782848072</x:v>
      </x:c>
    </x:row>
    <x:row r="38" ht="26" customHeight="1">
      <x:c r="A38" s="2"/>
      <x:c r="B38" s="2" t="n">
        <x:v>33</x:v>
      </x:c>
      <x:c r="C38" s="2" t="str">
        <x:v>Beauty / price_contribution</x:v>
      </x:c>
      <x:c r="D38" s="2" t="str">
        <x:v>Own history</x:v>
      </x:c>
      <x:c r="E38" s="7" t="n">
        <x:v>45291</x:v>
      </x:c>
      <x:c r="F38" s="2" t="str">
        <x:v>Origin</x:v>
      </x:c>
      <x:c r="G38" s="7" t="n">
        <x:v>45200</x:v>
      </x:c>
      <x:c r="H38" s="2" t="n">
        <x:v>8</x:v>
      </x:c>
      <x:c r="I38" s="8" t="n">
        <x:v>36</x:v>
      </x:c>
      <x:c r="J38" s="8" t="n">
        <x:v>0</x:v>
      </x:c>
      <x:c r="K38" s="8" t="n">
        <x:v>46</x:v>
      </x:c>
      <x:c r="L38" s="8" t="n">
        <x:v>210</x:v>
      </x:c>
      <x:c r="M38" s="8" t="n">
        <x:v>0</x:v>
      </x:c>
      <x:c r="N38" s="8" t="n">
        <x:v>0</x:v>
      </x:c>
      <x:c r="O38" s="8" t="n">
        <x:v>242</x:v>
      </x:c>
      <x:c r="P38" s="8" t="n">
        <x:v>0</x:v>
      </x:c>
      <x:c r="Q38" s="8" t="n">
        <x:v>8</x:v>
      </x:c>
      <x:c r="R38" s="8" t="n">
        <x:v>0</x:v>
      </x:c>
      <x:c r="S38" s="8" t="n">
        <x:f>L38-I38^2/H38</x:f>
        <x:v>48</x:v>
      </x:c>
      <x:c r="T38" s="8" t="n">
        <x:f>M38-J38^2/H38</x:f>
        <x:v>0</x:v>
      </x:c>
      <x:c r="U38" s="8" t="n">
        <x:f>N38-I38*J38/H38</x:f>
        <x:v>0</x:v>
      </x:c>
      <x:c r="V38" s="8" t="n">
        <x:f>O38-I38*K38/H38</x:f>
        <x:v>35</x:v>
      </x:c>
      <x:c r="W38" s="8" t="n">
        <x:f>P38-J38*K38/H38</x:f>
        <x:v>0</x:v>
      </x:c>
      <x:c r="X38" s="8" t="n">
        <x:f>V38/S38</x:f>
        <x:v>0.7291666666666666</x:v>
      </x:c>
      <x:c r="Y38" s="8" t="n">
        <x:f>0</x:f>
        <x:v>0</x:v>
      </x:c>
      <x:c r="Z38" s="8" t="n">
        <x:f>K38/H38-X38*I38/H38-Y38*J38/H38</x:f>
        <x:v>2.46875</x:v>
      </x:c>
      <x:c r="AA38" s="8" t="n">
        <x:f>Z38+X38*Q38+Y38*R38</x:f>
        <x:v>8.302083333333332</x:v>
      </x:c>
    </x:row>
    <x:row r="39" ht="26" customHeight="1">
      <x:c r="A39" s="2"/>
      <x:c r="B39" s="2" t="n">
        <x:v>34</x:v>
      </x:c>
      <x:c r="C39" s="2" t="str">
        <x:v>Beauty / price_contribution</x:v>
      </x:c>
      <x:c r="D39" s="2" t="str">
        <x:v>Product price</x:v>
      </x:c>
      <x:c r="E39" s="7" t="n">
        <x:v>45291</x:v>
      </x:c>
      <x:c r="F39" s="2" t="str">
        <x:v>Origin</x:v>
      </x:c>
      <x:c r="G39" s="7" t="n">
        <x:v>45200</x:v>
      </x:c>
      <x:c r="H39" s="2" t="n">
        <x:v>10</x:v>
      </x:c>
      <x:c r="I39" s="8" t="n">
        <x:v>16.86303299785179</x:v>
      </x:c>
      <x:c r="J39" s="8" t="n">
        <x:v>0</x:v>
      </x:c>
      <x:c r="K39" s="8" t="n">
        <x:v>52</x:v>
      </x:c>
      <x:c r="L39" s="8" t="n">
        <x:v>94.64749801053973</x:v>
      </x:c>
      <x:c r="M39" s="8" t="n">
        <x:v>0</x:v>
      </x:c>
      <x:c r="N39" s="8" t="n">
        <x:v>0</x:v>
      </x:c>
      <x:c r="O39" s="8" t="n">
        <x:v>149.74327623804604</x:v>
      </x:c>
      <x:c r="P39" s="8" t="n">
        <x:v>0</x:v>
      </x:c>
      <x:c r="Q39" s="8" t="n">
        <x:v>4.322222898466088</x:v>
      </x:c>
      <x:c r="R39" s="8" t="n">
        <x:v>0</x:v>
      </x:c>
      <x:c r="S39" s="8" t="n">
        <x:f>L39-I39^2/H39</x:f>
        <x:v>66.21130982187591</x:v>
      </x:c>
      <x:c r="T39" s="8" t="n">
        <x:f>M39-J39^2/H39</x:f>
        <x:v>0</x:v>
      </x:c>
      <x:c r="U39" s="8" t="n">
        <x:f>N39-I39*J39/H39</x:f>
        <x:v>0</x:v>
      </x:c>
      <x:c r="V39" s="8" t="n">
        <x:f>O39-I39*K39/H39</x:f>
        <x:v>62.05550464921673</x:v>
      </x:c>
      <x:c r="W39" s="8" t="n">
        <x:f>P39-J39*K39/H39</x:f>
        <x:v>0</x:v>
      </x:c>
      <x:c r="X39" s="8" t="n">
        <x:f>V39/S39</x:f>
        <x:v>0.9372342099281937</x:v>
      </x:c>
      <x:c r="Y39" s="8" t="n">
        <x:f>0</x:f>
        <x:v>0</x:v>
      </x:c>
      <x:c r="Z39" s="8" t="n">
        <x:f>K39/H39-X39*I39/H39-Y39*J39/H39</x:f>
        <x:v>3.619538859126532</x:v>
      </x:c>
      <x:c r="AA39" s="8" t="n">
        <x:f>Z39+X39*Q39+Y39*R39</x:f>
        <x:v>7.670474022503944</x:v>
      </x:c>
    </x:row>
    <x:row r="40" ht="26" customHeight="1">
      <x:c r="A40" s="2"/>
      <x:c r="B40" s="2" t="n">
        <x:v>35</x:v>
      </x:c>
      <x:c r="C40" s="2" t="str">
        <x:v>Beauty / price_contribution</x:v>
      </x:c>
      <x:c r="D40" s="2" t="str">
        <x:v>Broad market</x:v>
      </x:c>
      <x:c r="E40" s="7" t="n">
        <x:v>45291</x:v>
      </x:c>
      <x:c r="F40" s="2" t="str">
        <x:v>Prior report</x:v>
      </x:c>
      <x:c r="G40" s="7" t="n">
        <x:v>45217</x:v>
      </x:c>
      <x:c r="H40" s="2" t="n">
        <x:v>11</x:v>
      </x:c>
      <x:c r="I40" s="8" t="n">
        <x:v>35.492611387021356</x:v>
      </x:c>
      <x:c r="J40" s="8" t="n">
        <x:v>0</x:v>
      </x:c>
      <x:c r="K40" s="8" t="n">
        <x:v>59</x:v>
      </x:c>
      <x:c r="L40" s="8" t="n">
        <x:v>222.5645835667998</x:v>
      </x:c>
      <x:c r="M40" s="8" t="n">
        <x:v>0</x:v>
      </x:c>
      <x:c r="N40" s="8" t="n">
        <x:v>0</x:v>
      </x:c>
      <x:c r="O40" s="8" t="n">
        <x:v>274.74510564932024</x:v>
      </x:c>
      <x:c r="P40" s="8" t="n">
        <x:v>0</x:v>
      </x:c>
      <x:c r="Q40" s="8" t="n">
        <x:v>5.498311526452704</x:v>
      </x:c>
      <x:c r="R40" s="8" t="n">
        <x:v>0</x:v>
      </x:c>
      <x:c r="S40" s="8" t="n">
        <x:f>L40-I40^2/H40</x:f>
        <x:v>108.0440869240618</x:v>
      </x:c>
      <x:c r="T40" s="8" t="n">
        <x:f>M40-J40^2/H40</x:f>
        <x:v>0</x:v>
      </x:c>
      <x:c r="U40" s="8" t="n">
        <x:f>N40-I40*J40/H40</x:f>
        <x:v>0</x:v>
      </x:c>
      <x:c r="V40" s="8" t="n">
        <x:f>O40-I40*K40/H40</x:f>
        <x:v>84.37564457347841</x:v>
      </x:c>
      <x:c r="W40" s="8" t="n">
        <x:f>P40-J40*K40/H40</x:f>
        <x:v>0</x:v>
      </x:c>
      <x:c r="X40" s="8" t="n">
        <x:f>V40/S40</x:f>
        <x:v>0.7809371801418561</x:v>
      </x:c>
      <x:c r="Y40" s="8" t="n">
        <x:f>0</x:f>
        <x:v>0</x:v>
      </x:c>
      <x:c r="Z40" s="8" t="n">
        <x:f>K40/H40-X40*I40/H40-Y40*J40/H40</x:f>
        <x:v>2.8438636497771643</x:v>
      </x:c>
      <x:c r="AA40" s="8" t="n">
        <x:f>Z40+X40*Q40+Y40*R40</x:f>
        <x:v>7.137699548786603</x:v>
      </x:c>
    </x:row>
    <x:row r="41" ht="26" customHeight="1">
      <x:c r="A41" s="2"/>
      <x:c r="B41" s="2" t="n">
        <x:v>36</x:v>
      </x:c>
      <x:c r="C41" s="2" t="str">
        <x:v>Beauty / price_contribution</x:v>
      </x:c>
      <x:c r="D41" s="2" t="str">
        <x:v>Broad lag 1</x:v>
      </x:c>
      <x:c r="E41" s="7" t="n">
        <x:v>45291</x:v>
      </x:c>
      <x:c r="F41" s="2" t="str">
        <x:v>Prior report</x:v>
      </x:c>
      <x:c r="G41" s="7" t="n">
        <x:v>45217</x:v>
      </x:c>
      <x:c r="H41" s="2" t="n">
        <x:v>10</x:v>
      </x:c>
      <x:c r="I41" s="8" t="n">
        <x:v>29.99901867129957</x:v>
      </x:c>
      <x:c r="J41" s="8" t="n">
        <x:v>0</x:v>
      </x:c>
      <x:c r="K41" s="8" t="n">
        <x:v>57</x:v>
      </x:c>
      <x:c r="L41" s="8" t="n">
        <x:v>192.38502264056834</x:v>
      </x:c>
      <x:c r="M41" s="8" t="n">
        <x:v>0</x:v>
      </x:c>
      <x:c r="N41" s="8" t="n">
        <x:v>0</x:v>
      </x:c>
      <x:c r="O41" s="8" t="n">
        <x:v>238.43194142501318</x:v>
      </x:c>
      <x:c r="P41" s="8" t="n">
        <x:v>0</x:v>
      </x:c>
      <x:c r="Q41" s="8" t="n">
        <x:v>5.4935927157217845</x:v>
      </x:c>
      <x:c r="R41" s="8" t="n">
        <x:v>0</x:v>
      </x:c>
      <x:c r="S41" s="8" t="n">
        <x:f>L41-I41^2/H41</x:f>
        <x:v>102.39091051647031</x:v>
      </x:c>
      <x:c r="T41" s="8" t="n">
        <x:f>M41-J41^2/H41</x:f>
        <x:v>0</x:v>
      </x:c>
      <x:c r="U41" s="8" t="n">
        <x:f>N41-I41*J41/H41</x:f>
        <x:v>0</x:v>
      </x:c>
      <x:c r="V41" s="8" t="n">
        <x:f>O41-I41*K41/H41</x:f>
        <x:v>67.43753499860563</x:v>
      </x:c>
      <x:c r="W41" s="8" t="n">
        <x:f>P41-J41*K41/H41</x:f>
        <x:v>0</x:v>
      </x:c>
      <x:c r="X41" s="8" t="n">
        <x:f>V41/S41</x:f>
        <x:v>0.6586281405101658</x:v>
      </x:c>
      <x:c r="Y41" s="8" t="n">
        <x:f>0</x:f>
        <x:v>0</x:v>
      </x:c>
      <x:c r="Z41" s="8" t="n">
        <x:f>K41/H41-X41*I41/H41-Y41*J41/H41</x:f>
        <x:v>3.724180211539222</x:v>
      </x:c>
      <x:c r="AA41" s="8" t="n">
        <x:f>Z41+X41*Q41+Y41*R41</x:f>
        <x:v>7.342414966615253</x:v>
      </x:c>
    </x:row>
    <x:row r="42" ht="26" customHeight="1">
      <x:c r="A42" s="2"/>
      <x:c r="B42" s="2" t="n">
        <x:v>37</x:v>
      </x:c>
      <x:c r="C42" s="2" t="str">
        <x:v>Beauty / price_contribution</x:v>
      </x:c>
      <x:c r="D42" s="2" t="str">
        <x:v>Broad rolling 8</x:v>
      </x:c>
      <x:c r="E42" s="7" t="n">
        <x:v>45291</x:v>
      </x:c>
      <x:c r="F42" s="2" t="str">
        <x:v>Prior report</x:v>
      </x:c>
      <x:c r="G42" s="7" t="n">
        <x:v>45217</x:v>
      </x:c>
      <x:c r="H42" s="2" t="n">
        <x:v>8</x:v>
      </x:c>
      <x:c r="I42" s="8" t="n">
        <x:v>36.40194937934132</x:v>
      </x:c>
      <x:c r="J42" s="8" t="n">
        <x:v>0</x:v>
      </x:c>
      <x:c r="K42" s="8" t="n">
        <x:v>51</x:v>
      </x:c>
      <x:c r="L42" s="8" t="n">
        <x:v>222.27830840104858</x:v>
      </x:c>
      <x:c r="M42" s="8" t="n">
        <x:v>0</x:v>
      </x:c>
      <x:c r="N42" s="8" t="n">
        <x:v>0</x:v>
      </x:c>
      <x:c r="O42" s="8" t="n">
        <x:v>277.00430293137447</x:v>
      </x:c>
      <x:c r="P42" s="8" t="n">
        <x:v>0</x:v>
      </x:c>
      <x:c r="Q42" s="8" t="n">
        <x:v>5.498311526452704</x:v>
      </x:c>
      <x:c r="R42" s="8" t="n">
        <x:v>0</x:v>
      </x:c>
      <x:c r="S42" s="8" t="n">
        <x:f>L42-I42^2/H42</x:f>
        <x:v>56.64056857403261</x:v>
      </x:c>
      <x:c r="T42" s="8" t="n">
        <x:f>M42-J42^2/H42</x:f>
        <x:v>0</x:v>
      </x:c>
      <x:c r="U42" s="8" t="n">
        <x:f>N42-I42*J42/H42</x:f>
        <x:v>0</x:v>
      </x:c>
      <x:c r="V42" s="8" t="n">
        <x:f>O42-I42*K42/H42</x:f>
        <x:v>44.941875638073554</x:v>
      </x:c>
      <x:c r="W42" s="8" t="n">
        <x:f>P42-J42*K42/H42</x:f>
        <x:v>0</x:v>
      </x:c>
      <x:c r="X42" s="8" t="n">
        <x:f>V42/S42</x:f>
        <x:v>0.7934573534397317</x:v>
      </x:c>
      <x:c r="Y42" s="8" t="n">
        <x:f>0</x:f>
        <x:v>0</x:v>
      </x:c>
      <x:c r="Z42" s="8" t="n">
        <x:f>K42/H42-X42*I42/H42-Y42*J42/H42</x:f>
        <x:v>2.764575698177594</x:v>
      </x:c>
      <x:c r="AA42" s="8" t="n">
        <x:f>Z42+X42*Q42+Y42*R42</x:f>
        <x:v>7.127251410343927</x:v>
      </x:c>
    </x:row>
    <x:row r="43" ht="26" customHeight="1">
      <x:c r="A43" s="2"/>
      <x:c r="B43" s="2" t="n">
        <x:v>38</x:v>
      </x:c>
      <x:c r="C43" s="2" t="str">
        <x:v>Beauty / price_contribution</x:v>
      </x:c>
      <x:c r="D43" s="2" t="str">
        <x:v>Own history</x:v>
      </x:c>
      <x:c r="E43" s="7" t="n">
        <x:v>45291</x:v>
      </x:c>
      <x:c r="F43" s="2" t="str">
        <x:v>Prior report</x:v>
      </x:c>
      <x:c r="G43" s="7" t="n">
        <x:v>45217</x:v>
      </x:c>
      <x:c r="H43" s="2" t="n">
        <x:v>10</x:v>
      </x:c>
      <x:c r="I43" s="8" t="n">
        <x:v>52</x:v>
      </x:c>
      <x:c r="J43" s="8" t="n">
        <x:v>0</x:v>
      </x:c>
      <x:c r="K43" s="8" t="n">
        <x:v>57</x:v>
      </x:c>
      <x:c r="L43" s="8" t="n">
        <x:v>338</x:v>
      </x:c>
      <x:c r="M43" s="8" t="n">
        <x:v>0</x:v>
      </x:c>
      <x:c r="N43" s="8" t="n">
        <x:v>0</x:v>
      </x:c>
      <x:c r="O43" s="8" t="n">
        <x:v>349</x:v>
      </x:c>
      <x:c r="P43" s="8" t="n">
        <x:v>0</x:v>
      </x:c>
      <x:c r="Q43" s="8" t="n">
        <x:v>7</x:v>
      </x:c>
      <x:c r="R43" s="8" t="n">
        <x:v>0</x:v>
      </x:c>
      <x:c r="S43" s="8" t="n">
        <x:f>L43-I43^2/H43</x:f>
        <x:v>67.60000000000002</x:v>
      </x:c>
      <x:c r="T43" s="8" t="n">
        <x:f>M43-J43^2/H43</x:f>
        <x:v>0</x:v>
      </x:c>
      <x:c r="U43" s="8" t="n">
        <x:f>N43-I43*J43/H43</x:f>
        <x:v>0</x:v>
      </x:c>
      <x:c r="V43" s="8" t="n">
        <x:f>O43-I43*K43/H43</x:f>
        <x:v>52.60000000000002</x:v>
      </x:c>
      <x:c r="W43" s="8" t="n">
        <x:f>P43-J43*K43/H43</x:f>
        <x:v>0</x:v>
      </x:c>
      <x:c r="X43" s="8" t="n">
        <x:f>V43/S43</x:f>
        <x:v>0.7781065088757397</x:v>
      </x:c>
      <x:c r="Y43" s="8" t="n">
        <x:f>0</x:f>
        <x:v>0</x:v>
      </x:c>
      <x:c r="Z43" s="8" t="n">
        <x:f>K43/H43-X43*I43/H43-Y43*J43/H43</x:f>
        <x:v>1.6538461538461533</x:v>
      </x:c>
      <x:c r="AA43" s="8" t="n">
        <x:f>Z43+X43*Q43+Y43*R43</x:f>
        <x:v>7.100591715976331</x:v>
      </x:c>
    </x:row>
    <x:row r="44" ht="26" customHeight="1">
      <x:c r="A44" s="2"/>
      <x:c r="B44" s="2" t="n">
        <x:v>39</x:v>
      </x:c>
      <x:c r="C44" s="2" t="str">
        <x:v>Beauty / price_contribution</x:v>
      </x:c>
      <x:c r="D44" s="2" t="str">
        <x:v>Product price</x:v>
      </x:c>
      <x:c r="E44" s="7" t="n">
        <x:v>45291</x:v>
      </x:c>
      <x:c r="F44" s="2" t="str">
        <x:v>Prior report</x:v>
      </x:c>
      <x:c r="G44" s="7" t="n">
        <x:v>45217</x:v>
      </x:c>
      <x:c r="H44" s="2" t="n">
        <x:v>11</x:v>
      </x:c>
      <x:c r="I44" s="8" t="n">
        <x:v>20.354696419310557</x:v>
      </x:c>
      <x:c r="J44" s="8" t="n">
        <x:v>0</x:v>
      </x:c>
      <x:c r="K44" s="8" t="n">
        <x:v>59</x:v>
      </x:c>
      <x:c r="L44" s="8" t="n">
        <x:v>106.8392114592929</x:v>
      </x:c>
      <x:c r="M44" s="8" t="n">
        <x:v>0</x:v>
      </x:c>
      <x:c r="N44" s="8" t="n">
        <x:v>0</x:v>
      </x:c>
      <x:c r="O44" s="8" t="n">
        <x:v>174.18492018825742</x:v>
      </x:c>
      <x:c r="P44" s="8" t="n">
        <x:v>0</x:v>
      </x:c>
      <x:c r="Q44" s="8" t="n">
        <x:v>3.5043870239983343</x:v>
      </x:c>
      <x:c r="R44" s="8" t="n">
        <x:v>0</x:v>
      </x:c>
      <x:c r="S44" s="8" t="n">
        <x:f>L44-I44^2/H44</x:f>
        <x:v>69.1743327027207</x:v>
      </x:c>
      <x:c r="T44" s="8" t="n">
        <x:f>M44-J44^2/H44</x:f>
        <x:v>0</x:v>
      </x:c>
      <x:c r="U44" s="8" t="n">
        <x:f>N44-I44*J44/H44</x:f>
        <x:v>0</x:v>
      </x:c>
      <x:c r="V44" s="8" t="n">
        <x:f>O44-I44*K44/H44</x:f>
        <x:v>65.00973030286443</x:v>
      </x:c>
      <x:c r="W44" s="8" t="n">
        <x:f>P44-J44*K44/H44</x:f>
        <x:v>0</x:v>
      </x:c>
      <x:c r="X44" s="8" t="n">
        <x:f>V44/S44</x:f>
        <x:v>0.9397955536809612</x:v>
      </x:c>
      <x:c r="Y44" s="8" t="n">
        <x:f>0</x:f>
        <x:v>0</x:v>
      </x:c>
      <x:c r="Z44" s="8" t="n">
        <x:f>K44/H44-X44*I44/H44-Y44*J44/H44</x:f>
        <x:v>3.6246133462369228</x:v>
      </x:c>
      <x:c r="AA44" s="8" t="n">
        <x:f>Z44+X44*Q44+Y44*R44</x:f>
        <x:v>6.918020689767813</x:v>
      </x:c>
    </x:row>
    <x:row r="45" ht="26" customHeight="1">
      <x:c r="A45" s="2"/>
      <x:c r="B45" s="2" t="n">
        <x:v>40</x:v>
      </x:c>
      <x:c r="C45" s="2" t="str">
        <x:v>Beauty / price_contribution</x:v>
      </x:c>
      <x:c r="D45" s="2" t="str">
        <x:v>Product lag 1</x:v>
      </x:c>
      <x:c r="E45" s="7" t="n">
        <x:v>45291</x:v>
      </x:c>
      <x:c r="F45" s="2" t="str">
        <x:v>Prior report</x:v>
      </x:c>
      <x:c r="G45" s="7" t="n">
        <x:v>45217</x:v>
      </x:c>
      <x:c r="H45" s="2" t="n">
        <x:v>10</x:v>
      </x:c>
      <x:c r="I45" s="8" t="n">
        <x:v>16.86303299785179</x:v>
      </x:c>
      <x:c r="J45" s="8" t="n">
        <x:v>0</x:v>
      </x:c>
      <x:c r="K45" s="8" t="n">
        <x:v>57</x:v>
      </x:c>
      <x:c r="L45" s="8" t="n">
        <x:v>94.64749801053973</x:v>
      </x:c>
      <x:c r="M45" s="8" t="n">
        <x:v>0</x:v>
      </x:c>
      <x:c r="N45" s="8" t="n">
        <x:v>0</x:v>
      </x:c>
      <x:c r="O45" s="8" t="n">
        <x:v>144.98842575732323</x:v>
      </x:c>
      <x:c r="P45" s="8" t="n">
        <x:v>0</x:v>
      </x:c>
      <x:c r="Q45" s="8" t="n">
        <x:v>3.4916634214587683</x:v>
      </x:c>
      <x:c r="R45" s="8" t="n">
        <x:v>0</x:v>
      </x:c>
      <x:c r="S45" s="8" t="n">
        <x:f>L45-I45^2/H45</x:f>
        <x:v>66.21130982187591</x:v>
      </x:c>
      <x:c r="T45" s="8" t="n">
        <x:f>M45-J45^2/H45</x:f>
        <x:v>0</x:v>
      </x:c>
      <x:c r="U45" s="8" t="n">
        <x:f>N45-I45*J45/H45</x:f>
        <x:v>0</x:v>
      </x:c>
      <x:c r="V45" s="8" t="n">
        <x:f>O45-I45*K45/H45</x:f>
        <x:v>48.86913766956803</x:v>
      </x:c>
      <x:c r="W45" s="8" t="n">
        <x:f>P45-J45*K45/H45</x:f>
        <x:v>0</x:v>
      </x:c>
      <x:c r="X45" s="8" t="n">
        <x:f>V45/S45</x:f>
        <x:v>0.7380784008206086</x:v>
      </x:c>
      <x:c r="Y45" s="8" t="n">
        <x:f>0</x:f>
        <x:v>0</x:v>
      </x:c>
      <x:c r="Z45" s="8" t="n">
        <x:f>K45/H45-X45*I45/H45-Y45*J45/H45</x:f>
        <x:v>4.45537595719604</x:v>
      </x:c>
      <x:c r="AA45" s="8" t="n">
        <x:f>Z45+X45*Q45+Y45*R45</x:f>
        <x:v>7.032497311510142</x:v>
      </x:c>
    </x:row>
    <x:row r="46" ht="26" customHeight="1">
      <x:c r="A46" s="2"/>
      <x:c r="B46" s="2" t="n">
        <x:v>41</x:v>
      </x:c>
      <x:c r="C46" s="2" t="str">
        <x:v>Beauty / price_contribution</x:v>
      </x:c>
      <x:c r="D46" s="2" t="str">
        <x:v>Broad market</x:v>
      </x:c>
      <x:c r="E46" s="7" t="n">
        <x:v>45291</x:v>
      </x:c>
      <x:c r="F46" s="2" t="str">
        <x:v>Pre-earnings</x:v>
      </x:c>
      <x:c r="G46" s="7" t="n">
        <x:v>45313</x:v>
      </x:c>
      <x:c r="H46" s="2" t="n">
        <x:v>11</x:v>
      </x:c>
      <x:c r="I46" s="8" t="n">
        <x:v>35.492611387021356</x:v>
      </x:c>
      <x:c r="J46" s="8" t="n">
        <x:v>0</x:v>
      </x:c>
      <x:c r="K46" s="8" t="n">
        <x:v>59</x:v>
      </x:c>
      <x:c r="L46" s="8" t="n">
        <x:v>222.5645835667998</x:v>
      </x:c>
      <x:c r="M46" s="8" t="n">
        <x:v>0</x:v>
      </x:c>
      <x:c r="N46" s="8" t="n">
        <x:v>0</x:v>
      </x:c>
      <x:c r="O46" s="8" t="n">
        <x:v>274.74510564932024</x:v>
      </x:c>
      <x:c r="P46" s="8" t="n">
        <x:v>0</x:v>
      </x:c>
      <x:c r="Q46" s="8" t="n">
        <x:v>4.212216519153356</x:v>
      </x:c>
      <x:c r="R46" s="8" t="n">
        <x:v>0</x:v>
      </x:c>
      <x:c r="S46" s="8" t="n">
        <x:f>L46-I46^2/H46</x:f>
        <x:v>108.0440869240618</x:v>
      </x:c>
      <x:c r="T46" s="8" t="n">
        <x:f>M46-J46^2/H46</x:f>
        <x:v>0</x:v>
      </x:c>
      <x:c r="U46" s="8" t="n">
        <x:f>N46-I46*J46/H46</x:f>
        <x:v>0</x:v>
      </x:c>
      <x:c r="V46" s="8" t="n">
        <x:f>O46-I46*K46/H46</x:f>
        <x:v>84.37564457347841</x:v>
      </x:c>
      <x:c r="W46" s="8" t="n">
        <x:f>P46-J46*K46/H46</x:f>
        <x:v>0</x:v>
      </x:c>
      <x:c r="X46" s="8" t="n">
        <x:f>V46/S46</x:f>
        <x:v>0.7809371801418561</x:v>
      </x:c>
      <x:c r="Y46" s="8" t="n">
        <x:f>0</x:f>
        <x:v>0</x:v>
      </x:c>
      <x:c r="Z46" s="8" t="n">
        <x:f>K46/H46-X46*I46/H46-Y46*J46/H46</x:f>
        <x:v>2.8438636497771643</x:v>
      </x:c>
      <x:c r="AA46" s="8" t="n">
        <x:f>Z46+X46*Q46+Y46*R46</x:f>
        <x:v>6.133340140391731</x:v>
      </x:c>
    </x:row>
    <x:row r="47" ht="26" customHeight="1">
      <x:c r="A47" s="2"/>
      <x:c r="B47" s="2" t="n">
        <x:v>42</x:v>
      </x:c>
      <x:c r="C47" s="2" t="str">
        <x:v>Beauty / price_contribution</x:v>
      </x:c>
      <x:c r="D47" s="2" t="str">
        <x:v>Broad lag 1</x:v>
      </x:c>
      <x:c r="E47" s="7" t="n">
        <x:v>45291</x:v>
      </x:c>
      <x:c r="F47" s="2" t="str">
        <x:v>Pre-earnings</x:v>
      </x:c>
      <x:c r="G47" s="7" t="n">
        <x:v>45313</x:v>
      </x:c>
      <x:c r="H47" s="2" t="n">
        <x:v>10</x:v>
      </x:c>
      <x:c r="I47" s="8" t="n">
        <x:v>29.99901867129957</x:v>
      </x:c>
      <x:c r="J47" s="8" t="n">
        <x:v>0</x:v>
      </x:c>
      <x:c r="K47" s="8" t="n">
        <x:v>57</x:v>
      </x:c>
      <x:c r="L47" s="8" t="n">
        <x:v>192.38502264056834</x:v>
      </x:c>
      <x:c r="M47" s="8" t="n">
        <x:v>0</x:v>
      </x:c>
      <x:c r="N47" s="8" t="n">
        <x:v>0</x:v>
      </x:c>
      <x:c r="O47" s="8" t="n">
        <x:v>238.43194142501318</x:v>
      </x:c>
      <x:c r="P47" s="8" t="n">
        <x:v>0</x:v>
      </x:c>
      <x:c r="Q47" s="8" t="n">
        <x:v>5.4935927157217845</x:v>
      </x:c>
      <x:c r="R47" s="8" t="n">
        <x:v>0</x:v>
      </x:c>
      <x:c r="S47" s="8" t="n">
        <x:f>L47-I47^2/H47</x:f>
        <x:v>102.39091051647031</x:v>
      </x:c>
      <x:c r="T47" s="8" t="n">
        <x:f>M47-J47^2/H47</x:f>
        <x:v>0</x:v>
      </x:c>
      <x:c r="U47" s="8" t="n">
        <x:f>N47-I47*J47/H47</x:f>
        <x:v>0</x:v>
      </x:c>
      <x:c r="V47" s="8" t="n">
        <x:f>O47-I47*K47/H47</x:f>
        <x:v>67.43753499860563</x:v>
      </x:c>
      <x:c r="W47" s="8" t="n">
        <x:f>P47-J47*K47/H47</x:f>
        <x:v>0</x:v>
      </x:c>
      <x:c r="X47" s="8" t="n">
        <x:f>V47/S47</x:f>
        <x:v>0.6586281405101658</x:v>
      </x:c>
      <x:c r="Y47" s="8" t="n">
        <x:f>0</x:f>
        <x:v>0</x:v>
      </x:c>
      <x:c r="Z47" s="8" t="n">
        <x:f>K47/H47-X47*I47/H47-Y47*J47/H47</x:f>
        <x:v>3.724180211539222</x:v>
      </x:c>
      <x:c r="AA47" s="8" t="n">
        <x:f>Z47+X47*Q47+Y47*R47</x:f>
        <x:v>7.342414966615253</x:v>
      </x:c>
    </x:row>
    <x:row r="48" ht="26" customHeight="1">
      <x:c r="A48" s="2"/>
      <x:c r="B48" s="2" t="n">
        <x:v>43</x:v>
      </x:c>
      <x:c r="C48" s="2" t="str">
        <x:v>Beauty / price_contribution</x:v>
      </x:c>
      <x:c r="D48" s="2" t="str">
        <x:v>Broad rolling 8</x:v>
      </x:c>
      <x:c r="E48" s="7" t="n">
        <x:v>45291</x:v>
      </x:c>
      <x:c r="F48" s="2" t="str">
        <x:v>Pre-earnings</x:v>
      </x:c>
      <x:c r="G48" s="7" t="n">
        <x:v>45313</x:v>
      </x:c>
      <x:c r="H48" s="2" t="n">
        <x:v>8</x:v>
      </x:c>
      <x:c r="I48" s="8" t="n">
        <x:v>36.40194937934132</x:v>
      </x:c>
      <x:c r="J48" s="8" t="n">
        <x:v>0</x:v>
      </x:c>
      <x:c r="K48" s="8" t="n">
        <x:v>51</x:v>
      </x:c>
      <x:c r="L48" s="8" t="n">
        <x:v>222.27830840104858</x:v>
      </x:c>
      <x:c r="M48" s="8" t="n">
        <x:v>0</x:v>
      </x:c>
      <x:c r="N48" s="8" t="n">
        <x:v>0</x:v>
      </x:c>
      <x:c r="O48" s="8" t="n">
        <x:v>277.00430293137447</x:v>
      </x:c>
      <x:c r="P48" s="8" t="n">
        <x:v>0</x:v>
      </x:c>
      <x:c r="Q48" s="8" t="n">
        <x:v>4.212216519153356</x:v>
      </x:c>
      <x:c r="R48" s="8" t="n">
        <x:v>0</x:v>
      </x:c>
      <x:c r="S48" s="8" t="n">
        <x:f>L48-I48^2/H48</x:f>
        <x:v>56.64056857403261</x:v>
      </x:c>
      <x:c r="T48" s="8" t="n">
        <x:f>M48-J48^2/H48</x:f>
        <x:v>0</x:v>
      </x:c>
      <x:c r="U48" s="8" t="n">
        <x:f>N48-I48*J48/H48</x:f>
        <x:v>0</x:v>
      </x:c>
      <x:c r="V48" s="8" t="n">
        <x:f>O48-I48*K48/H48</x:f>
        <x:v>44.941875638073554</x:v>
      </x:c>
      <x:c r="W48" s="8" t="n">
        <x:f>P48-J48*K48/H48</x:f>
        <x:v>0</x:v>
      </x:c>
      <x:c r="X48" s="8" t="n">
        <x:f>V48/S48</x:f>
        <x:v>0.7934573534397317</x:v>
      </x:c>
      <x:c r="Y48" s="8" t="n">
        <x:f>0</x:f>
        <x:v>0</x:v>
      </x:c>
      <x:c r="Z48" s="8" t="n">
        <x:f>K48/H48-X48*I48/H48-Y48*J48/H48</x:f>
        <x:v>2.764575698177594</x:v>
      </x:c>
      <x:c r="AA48" s="8" t="n">
        <x:f>Z48+X48*Q48+Y48*R48</x:f>
        <x:v>6.106789869580135</x:v>
      </x:c>
    </x:row>
    <x:row r="49" ht="26" customHeight="1">
      <x:c r="A49" s="2"/>
      <x:c r="B49" s="2" t="n">
        <x:v>44</x:v>
      </x:c>
      <x:c r="C49" s="2" t="str">
        <x:v>Beauty / price_contribution</x:v>
      </x:c>
      <x:c r="D49" s="2" t="str">
        <x:v>Own history</x:v>
      </x:c>
      <x:c r="E49" s="7" t="n">
        <x:v>45291</x:v>
      </x:c>
      <x:c r="F49" s="2" t="str">
        <x:v>Pre-earnings</x:v>
      </x:c>
      <x:c r="G49" s="7" t="n">
        <x:v>45313</x:v>
      </x:c>
      <x:c r="H49" s="2" t="n">
        <x:v>10</x:v>
      </x:c>
      <x:c r="I49" s="8" t="n">
        <x:v>52</x:v>
      </x:c>
      <x:c r="J49" s="8" t="n">
        <x:v>0</x:v>
      </x:c>
      <x:c r="K49" s="8" t="n">
        <x:v>57</x:v>
      </x:c>
      <x:c r="L49" s="8" t="n">
        <x:v>338</x:v>
      </x:c>
      <x:c r="M49" s="8" t="n">
        <x:v>0</x:v>
      </x:c>
      <x:c r="N49" s="8" t="n">
        <x:v>0</x:v>
      </x:c>
      <x:c r="O49" s="8" t="n">
        <x:v>349</x:v>
      </x:c>
      <x:c r="P49" s="8" t="n">
        <x:v>0</x:v>
      </x:c>
      <x:c r="Q49" s="8" t="n">
        <x:v>7</x:v>
      </x:c>
      <x:c r="R49" s="8" t="n">
        <x:v>0</x:v>
      </x:c>
      <x:c r="S49" s="8" t="n">
        <x:f>L49-I49^2/H49</x:f>
        <x:v>67.60000000000002</x:v>
      </x:c>
      <x:c r="T49" s="8" t="n">
        <x:f>M49-J49^2/H49</x:f>
        <x:v>0</x:v>
      </x:c>
      <x:c r="U49" s="8" t="n">
        <x:f>N49-I49*J49/H49</x:f>
        <x:v>0</x:v>
      </x:c>
      <x:c r="V49" s="8" t="n">
        <x:f>O49-I49*K49/H49</x:f>
        <x:v>52.60000000000002</x:v>
      </x:c>
      <x:c r="W49" s="8" t="n">
        <x:f>P49-J49*K49/H49</x:f>
        <x:v>0</x:v>
      </x:c>
      <x:c r="X49" s="8" t="n">
        <x:f>V49/S49</x:f>
        <x:v>0.7781065088757397</x:v>
      </x:c>
      <x:c r="Y49" s="8" t="n">
        <x:f>0</x:f>
        <x:v>0</x:v>
      </x:c>
      <x:c r="Z49" s="8" t="n">
        <x:f>K49/H49-X49*I49/H49-Y49*J49/H49</x:f>
        <x:v>1.6538461538461533</x:v>
      </x:c>
      <x:c r="AA49" s="8" t="n">
        <x:f>Z49+X49*Q49+Y49*R49</x:f>
        <x:v>7.100591715976331</x:v>
      </x:c>
    </x:row>
    <x:row r="50" ht="26" customHeight="1">
      <x:c r="A50" s="2"/>
      <x:c r="B50" s="2" t="n">
        <x:v>45</x:v>
      </x:c>
      <x:c r="C50" s="2" t="str">
        <x:v>Beauty / price_contribution</x:v>
      </x:c>
      <x:c r="D50" s="2" t="str">
        <x:v>Product price</x:v>
      </x:c>
      <x:c r="E50" s="7" t="n">
        <x:v>45291</x:v>
      </x:c>
      <x:c r="F50" s="2" t="str">
        <x:v>Pre-earnings</x:v>
      </x:c>
      <x:c r="G50" s="7" t="n">
        <x:v>45313</x:v>
      </x:c>
      <x:c r="H50" s="2" t="n">
        <x:v>11</x:v>
      </x:c>
      <x:c r="I50" s="8" t="n">
        <x:v>20.354696419310557</x:v>
      </x:c>
      <x:c r="J50" s="8" t="n">
        <x:v>0</x:v>
      </x:c>
      <x:c r="K50" s="8" t="n">
        <x:v>59</x:v>
      </x:c>
      <x:c r="L50" s="8" t="n">
        <x:v>106.8392114592929</x:v>
      </x:c>
      <x:c r="M50" s="8" t="n">
        <x:v>0</x:v>
      </x:c>
      <x:c r="N50" s="8" t="n">
        <x:v>0</x:v>
      </x:c>
      <x:c r="O50" s="8" t="n">
        <x:v>174.18492018825742</x:v>
      </x:c>
      <x:c r="P50" s="8" t="n">
        <x:v>0</x:v>
      </x:c>
      <x:c r="Q50" s="8" t="n">
        <x:v>2.5297096725668045</x:v>
      </x:c>
      <x:c r="R50" s="8" t="n">
        <x:v>0</x:v>
      </x:c>
      <x:c r="S50" s="8" t="n">
        <x:f>L50-I50^2/H50</x:f>
        <x:v>69.1743327027207</x:v>
      </x:c>
      <x:c r="T50" s="8" t="n">
        <x:f>M50-J50^2/H50</x:f>
        <x:v>0</x:v>
      </x:c>
      <x:c r="U50" s="8" t="n">
        <x:f>N50-I50*J50/H50</x:f>
        <x:v>0</x:v>
      </x:c>
      <x:c r="V50" s="8" t="n">
        <x:f>O50-I50*K50/H50</x:f>
        <x:v>65.00973030286443</x:v>
      </x:c>
      <x:c r="W50" s="8" t="n">
        <x:f>P50-J50*K50/H50</x:f>
        <x:v>0</x:v>
      </x:c>
      <x:c r="X50" s="8" t="n">
        <x:f>V50/S50</x:f>
        <x:v>0.9397955536809612</x:v>
      </x:c>
      <x:c r="Y50" s="8" t="n">
        <x:f>0</x:f>
        <x:v>0</x:v>
      </x:c>
      <x:c r="Z50" s="8" t="n">
        <x:f>K50/H50-X50*I50/H50-Y50*J50/H50</x:f>
        <x:v>3.6246133462369228</x:v>
      </x:c>
      <x:c r="AA50" s="8" t="n">
        <x:f>Z50+X50*Q50+Y50*R50</x:f>
        <x:v>6.002023248618926</x:v>
      </x:c>
    </x:row>
    <x:row r="51" ht="26" customHeight="1">
      <x:c r="A51" s="2"/>
      <x:c r="B51" s="2" t="n">
        <x:v>46</x:v>
      </x:c>
      <x:c r="C51" s="2" t="str">
        <x:v>Beauty / price_contribution</x:v>
      </x:c>
      <x:c r="D51" s="2" t="str">
        <x:v>Product lag 1</x:v>
      </x:c>
      <x:c r="E51" s="7" t="n">
        <x:v>45291</x:v>
      </x:c>
      <x:c r="F51" s="2" t="str">
        <x:v>Pre-earnings</x:v>
      </x:c>
      <x:c r="G51" s="7" t="n">
        <x:v>45313</x:v>
      </x:c>
      <x:c r="H51" s="2" t="n">
        <x:v>10</x:v>
      </x:c>
      <x:c r="I51" s="8" t="n">
        <x:v>16.86303299785179</x:v>
      </x:c>
      <x:c r="J51" s="8" t="n">
        <x:v>0</x:v>
      </x:c>
      <x:c r="K51" s="8" t="n">
        <x:v>57</x:v>
      </x:c>
      <x:c r="L51" s="8" t="n">
        <x:v>94.64749801053973</x:v>
      </x:c>
      <x:c r="M51" s="8" t="n">
        <x:v>0</x:v>
      </x:c>
      <x:c r="N51" s="8" t="n">
        <x:v>0</x:v>
      </x:c>
      <x:c r="O51" s="8" t="n">
        <x:v>144.98842575732323</x:v>
      </x:c>
      <x:c r="P51" s="8" t="n">
        <x:v>0</x:v>
      </x:c>
      <x:c r="Q51" s="8" t="n">
        <x:v>3.4916634214587683</x:v>
      </x:c>
      <x:c r="R51" s="8" t="n">
        <x:v>0</x:v>
      </x:c>
      <x:c r="S51" s="8" t="n">
        <x:f>L51-I51^2/H51</x:f>
        <x:v>66.21130982187591</x:v>
      </x:c>
      <x:c r="T51" s="8" t="n">
        <x:f>M51-J51^2/H51</x:f>
        <x:v>0</x:v>
      </x:c>
      <x:c r="U51" s="8" t="n">
        <x:f>N51-I51*J51/H51</x:f>
        <x:v>0</x:v>
      </x:c>
      <x:c r="V51" s="8" t="n">
        <x:f>O51-I51*K51/H51</x:f>
        <x:v>48.86913766956803</x:v>
      </x:c>
      <x:c r="W51" s="8" t="n">
        <x:f>P51-J51*K51/H51</x:f>
        <x:v>0</x:v>
      </x:c>
      <x:c r="X51" s="8" t="n">
        <x:f>V51/S51</x:f>
        <x:v>0.7380784008206086</x:v>
      </x:c>
      <x:c r="Y51" s="8" t="n">
        <x:f>0</x:f>
        <x:v>0</x:v>
      </x:c>
      <x:c r="Z51" s="8" t="n">
        <x:f>K51/H51-X51*I51/H51-Y51*J51/H51</x:f>
        <x:v>4.45537595719604</x:v>
      </x:c>
      <x:c r="AA51" s="8" t="n">
        <x:f>Z51+X51*Q51+Y51*R51</x:f>
        <x:v>7.032497311510142</x:v>
      </x:c>
    </x:row>
    <x:row r="52" ht="26" customHeight="1">
      <x:c r="A52" s="2"/>
      <x:c r="B52" s="2" t="n">
        <x:v>47</x:v>
      </x:c>
      <x:c r="C52" s="2" t="str">
        <x:v>Beauty / price_contribution</x:v>
      </x:c>
      <x:c r="D52" s="2" t="str">
        <x:v>Broad market</x:v>
      </x:c>
      <x:c r="E52" s="7" t="n">
        <x:v>45382</x:v>
      </x:c>
      <x:c r="F52" s="2" t="str">
        <x:v>Origin</x:v>
      </x:c>
      <x:c r="G52" s="7" t="n">
        <x:v>45292</x:v>
      </x:c>
      <x:c r="H52" s="2" t="n">
        <x:v>11</x:v>
      </x:c>
      <x:c r="I52" s="8" t="n">
        <x:v>35.492611387021356</x:v>
      </x:c>
      <x:c r="J52" s="8" t="n">
        <x:v>0</x:v>
      </x:c>
      <x:c r="K52" s="8" t="n">
        <x:v>59</x:v>
      </x:c>
      <x:c r="L52" s="8" t="n">
        <x:v>222.5645835667998</x:v>
      </x:c>
      <x:c r="M52" s="8" t="n">
        <x:v>0</x:v>
      </x:c>
      <x:c r="N52" s="8" t="n">
        <x:v>0</x:v>
      </x:c>
      <x:c r="O52" s="8" t="n">
        <x:v>274.74510564932024</x:v>
      </x:c>
      <x:c r="P52" s="8" t="n">
        <x:v>0</x:v>
      </x:c>
      <x:c r="Q52" s="8" t="n">
        <x:v>4.8286314442429035</x:v>
      </x:c>
      <x:c r="R52" s="8" t="n">
        <x:v>0</x:v>
      </x:c>
      <x:c r="S52" s="8" t="n">
        <x:f>L52-I52^2/H52</x:f>
        <x:v>108.0440869240618</x:v>
      </x:c>
      <x:c r="T52" s="8" t="n">
        <x:f>M52-J52^2/H52</x:f>
        <x:v>0</x:v>
      </x:c>
      <x:c r="U52" s="8" t="n">
        <x:f>N52-I52*J52/H52</x:f>
        <x:v>0</x:v>
      </x:c>
      <x:c r="V52" s="8" t="n">
        <x:f>O52-I52*K52/H52</x:f>
        <x:v>84.37564457347841</x:v>
      </x:c>
      <x:c r="W52" s="8" t="n">
        <x:f>P52-J52*K52/H52</x:f>
        <x:v>0</x:v>
      </x:c>
      <x:c r="X52" s="8" t="n">
        <x:f>V52/S52</x:f>
        <x:v>0.7809371801418561</x:v>
      </x:c>
      <x:c r="Y52" s="8" t="n">
        <x:f>0</x:f>
        <x:v>0</x:v>
      </x:c>
      <x:c r="Z52" s="8" t="n">
        <x:f>K52/H52-X52*I52/H52-Y52*J52/H52</x:f>
        <x:v>2.8438636497771643</x:v>
      </x:c>
      <x:c r="AA52" s="8" t="n">
        <x:f>Z52+X52*Q52+Y52*R52</x:f>
        <x:v>6.614721473788515</x:v>
      </x:c>
    </x:row>
    <x:row r="53" ht="26" customHeight="1">
      <x:c r="A53" s="2"/>
      <x:c r="B53" s="2" t="n">
        <x:v>48</x:v>
      </x:c>
      <x:c r="C53" s="2" t="str">
        <x:v>Beauty / price_contribution</x:v>
      </x:c>
      <x:c r="D53" s="2" t="str">
        <x:v>Broad rolling 8</x:v>
      </x:c>
      <x:c r="E53" s="7" t="n">
        <x:v>45382</x:v>
      </x:c>
      <x:c r="F53" s="2" t="str">
        <x:v>Origin</x:v>
      </x:c>
      <x:c r="G53" s="7" t="n">
        <x:v>45292</x:v>
      </x:c>
      <x:c r="H53" s="2" t="n">
        <x:v>8</x:v>
      </x:c>
      <x:c r="I53" s="8" t="n">
        <x:v>36.40194937934132</x:v>
      </x:c>
      <x:c r="J53" s="8" t="n">
        <x:v>0</x:v>
      </x:c>
      <x:c r="K53" s="8" t="n">
        <x:v>51</x:v>
      </x:c>
      <x:c r="L53" s="8" t="n">
        <x:v>222.27830840104858</x:v>
      </x:c>
      <x:c r="M53" s="8" t="n">
        <x:v>0</x:v>
      </x:c>
      <x:c r="N53" s="8" t="n">
        <x:v>0</x:v>
      </x:c>
      <x:c r="O53" s="8" t="n">
        <x:v>277.00430293137447</x:v>
      </x:c>
      <x:c r="P53" s="8" t="n">
        <x:v>0</x:v>
      </x:c>
      <x:c r="Q53" s="8" t="n">
        <x:v>4.8286314442429035</x:v>
      </x:c>
      <x:c r="R53" s="8" t="n">
        <x:v>0</x:v>
      </x:c>
      <x:c r="S53" s="8" t="n">
        <x:f>L53-I53^2/H53</x:f>
        <x:v>56.64056857403261</x:v>
      </x:c>
      <x:c r="T53" s="8" t="n">
        <x:f>M53-J53^2/H53</x:f>
        <x:v>0</x:v>
      </x:c>
      <x:c r="U53" s="8" t="n">
        <x:f>N53-I53*J53/H53</x:f>
        <x:v>0</x:v>
      </x:c>
      <x:c r="V53" s="8" t="n">
        <x:f>O53-I53*K53/H53</x:f>
        <x:v>44.941875638073554</x:v>
      </x:c>
      <x:c r="W53" s="8" t="n">
        <x:f>P53-J53*K53/H53</x:f>
        <x:v>0</x:v>
      </x:c>
      <x:c r="X53" s="8" t="n">
        <x:f>V53/S53</x:f>
        <x:v>0.7934573534397317</x:v>
      </x:c>
      <x:c r="Y53" s="8" t="n">
        <x:f>0</x:f>
        <x:v>0</x:v>
      </x:c>
      <x:c r="Z53" s="8" t="n">
        <x:f>K53/H53-X53*I53/H53-Y53*J53/H53</x:f>
        <x:v>2.764575698177594</x:v>
      </x:c>
      <x:c r="AA53" s="8" t="n">
        <x:f>Z53+X53*Q53+Y53*R53</x:f>
        <x:v>6.595888824662437</x:v>
      </x:c>
    </x:row>
    <x:row r="54" ht="26" customHeight="1">
      <x:c r="A54" s="2"/>
      <x:c r="B54" s="2" t="n">
        <x:v>49</x:v>
      </x:c>
      <x:c r="C54" s="2" t="str">
        <x:v>Beauty / price_contribution</x:v>
      </x:c>
      <x:c r="D54" s="2" t="str">
        <x:v>Own history</x:v>
      </x:c>
      <x:c r="E54" s="7" t="n">
        <x:v>45382</x:v>
      </x:c>
      <x:c r="F54" s="2" t="str">
        <x:v>Origin</x:v>
      </x:c>
      <x:c r="G54" s="7" t="n">
        <x:v>45292</x:v>
      </x:c>
      <x:c r="H54" s="2" t="n">
        <x:v>9</x:v>
      </x:c>
      <x:c r="I54" s="8" t="n">
        <x:v>44</x:v>
      </x:c>
      <x:c r="J54" s="8" t="n">
        <x:v>0</x:v>
      </x:c>
      <x:c r="K54" s="8" t="n">
        <x:v>53</x:v>
      </x:c>
      <x:c r="L54" s="8" t="n">
        <x:v>274</x:v>
      </x:c>
      <x:c r="M54" s="8" t="n">
        <x:v>0</x:v>
      </x:c>
      <x:c r="N54" s="8" t="n">
        <x:v>0</x:v>
      </x:c>
      <x:c r="O54" s="8" t="n">
        <x:v>298</x:v>
      </x:c>
      <x:c r="P54" s="8" t="n">
        <x:v>0</x:v>
      </x:c>
      <x:c r="Q54" s="8" t="n">
        <x:v>7</x:v>
      </x:c>
      <x:c r="R54" s="8" t="n">
        <x:v>0</x:v>
      </x:c>
      <x:c r="S54" s="8" t="n">
        <x:f>L54-I54^2/H54</x:f>
        <x:v>58.888888888888886</x:v>
      </x:c>
      <x:c r="T54" s="8" t="n">
        <x:f>M54-J54^2/H54</x:f>
        <x:v>0</x:v>
      </x:c>
      <x:c r="U54" s="8" t="n">
        <x:f>N54-I54*J54/H54</x:f>
        <x:v>0</x:v>
      </x:c>
      <x:c r="V54" s="8" t="n">
        <x:f>O54-I54*K54/H54</x:f>
        <x:v>38.888888888888914</x:v>
      </x:c>
      <x:c r="W54" s="8" t="n">
        <x:f>P54-J54*K54/H54</x:f>
        <x:v>0</x:v>
      </x:c>
      <x:c r="X54" s="8" t="n">
        <x:f>V54/S54</x:f>
        <x:v>0.6603773584905666</x:v>
      </x:c>
      <x:c r="Y54" s="8" t="n">
        <x:f>0</x:f>
        <x:v>0</x:v>
      </x:c>
      <x:c r="Z54" s="8" t="n">
        <x:f>K54/H54-X54*I54/H54-Y54*J54/H54</x:f>
        <x:v>2.660377358490564</x:v>
      </x:c>
      <x:c r="AA54" s="8" t="n">
        <x:f>Z54+X54*Q54+Y54*R54</x:f>
        <x:v>7.28301886792453</x:v>
      </x:c>
    </x:row>
    <x:row r="55" ht="26" customHeight="1">
      <x:c r="A55" s="2"/>
      <x:c r="B55" s="2" t="n">
        <x:v>50</x:v>
      </x:c>
      <x:c r="C55" s="2" t="str">
        <x:v>Beauty / price_contribution</x:v>
      </x:c>
      <x:c r="D55" s="2" t="str">
        <x:v>Product price</x:v>
      </x:c>
      <x:c r="E55" s="7" t="n">
        <x:v>45382</x:v>
      </x:c>
      <x:c r="F55" s="2" t="str">
        <x:v>Origin</x:v>
      </x:c>
      <x:c r="G55" s="7" t="n">
        <x:v>45292</x:v>
      </x:c>
      <x:c r="H55" s="2" t="n">
        <x:v>11</x:v>
      </x:c>
      <x:c r="I55" s="8" t="n">
        <x:v>20.354696419310557</x:v>
      </x:c>
      <x:c r="J55" s="8" t="n">
        <x:v>0</x:v>
      </x:c>
      <x:c r="K55" s="8" t="n">
        <x:v>59</x:v>
      </x:c>
      <x:c r="L55" s="8" t="n">
        <x:v>106.8392114592929</x:v>
      </x:c>
      <x:c r="M55" s="8" t="n">
        <x:v>0</x:v>
      </x:c>
      <x:c r="N55" s="8" t="n">
        <x:v>0</x:v>
      </x:c>
      <x:c r="O55" s="8" t="n">
        <x:v>174.18492018825742</x:v>
      </x:c>
      <x:c r="P55" s="8" t="n">
        <x:v>0</x:v>
      </x:c>
      <x:c r="Q55" s="8" t="n">
        <x:v>3.0523089690066563</x:v>
      </x:c>
      <x:c r="R55" s="8" t="n">
        <x:v>0</x:v>
      </x:c>
      <x:c r="S55" s="8" t="n">
        <x:f>L55-I55^2/H55</x:f>
        <x:v>69.1743327027207</x:v>
      </x:c>
      <x:c r="T55" s="8" t="n">
        <x:f>M55-J55^2/H55</x:f>
        <x:v>0</x:v>
      </x:c>
      <x:c r="U55" s="8" t="n">
        <x:f>N55-I55*J55/H55</x:f>
        <x:v>0</x:v>
      </x:c>
      <x:c r="V55" s="8" t="n">
        <x:f>O55-I55*K55/H55</x:f>
        <x:v>65.00973030286443</x:v>
      </x:c>
      <x:c r="W55" s="8" t="n">
        <x:f>P55-J55*K55/H55</x:f>
        <x:v>0</x:v>
      </x:c>
      <x:c r="X55" s="8" t="n">
        <x:f>V55/S55</x:f>
        <x:v>0.9397955536809612</x:v>
      </x:c>
      <x:c r="Y55" s="8" t="n">
        <x:f>0</x:f>
        <x:v>0</x:v>
      </x:c>
      <x:c r="Z55" s="8" t="n">
        <x:f>K55/H55-X55*I55/H55-Y55*J55/H55</x:f>
        <x:v>3.6246133462369228</x:v>
      </x:c>
      <x:c r="AA55" s="8" t="n">
        <x:f>Z55+X55*Q55+Y55*R55</x:f>
        <x:v>6.493159743769898</x:v>
      </x:c>
    </x:row>
    <x:row r="56" ht="26" customHeight="1">
      <x:c r="A56" s="2"/>
      <x:c r="B56" s="2" t="n">
        <x:v>51</x:v>
      </x:c>
      <x:c r="C56" s="2" t="str">
        <x:v>Beauty / price_contribution</x:v>
      </x:c>
      <x:c r="D56" s="2" t="str">
        <x:v>Broad market</x:v>
      </x:c>
      <x:c r="E56" s="7" t="n">
        <x:v>45382</x:v>
      </x:c>
      <x:c r="F56" s="2" t="str">
        <x:v>Prior report</x:v>
      </x:c>
      <x:c r="G56" s="7" t="n">
        <x:v>45314</x:v>
      </x:c>
      <x:c r="H56" s="2" t="n">
        <x:v>12</x:v>
      </x:c>
      <x:c r="I56" s="8" t="n">
        <x:v>39.704827906174714</x:v>
      </x:c>
      <x:c r="J56" s="8" t="n">
        <x:v>0</x:v>
      </x:c>
      <x:c r="K56" s="8" t="n">
        <x:v>63</x:v>
      </x:c>
      <x:c r="L56" s="8" t="n">
        <x:v>240.3073515710282</x:v>
      </x:c>
      <x:c r="M56" s="8" t="n">
        <x:v>0</x:v>
      </x:c>
      <x:c r="N56" s="8" t="n">
        <x:v>0</x:v>
      </x:c>
      <x:c r="O56" s="8" t="n">
        <x:v>291.5939717259336</x:v>
      </x:c>
      <x:c r="P56" s="8" t="n">
        <x:v>0</x:v>
      </x:c>
      <x:c r="Q56" s="8" t="n">
        <x:v>4.212487471834003</x:v>
      </x:c>
      <x:c r="R56" s="8" t="n">
        <x:v>0</x:v>
      </x:c>
      <x:c r="S56" s="8" t="n">
        <x:f>L56-I56^2/H56</x:f>
        <x:v>108.934571649449</x:v>
      </x:c>
      <x:c r="T56" s="8" t="n">
        <x:f>M56-J56^2/H56</x:f>
        <x:v>0</x:v>
      </x:c>
      <x:c r="U56" s="8" t="n">
        <x:f>N56-I56*J56/H56</x:f>
        <x:v>0</x:v>
      </x:c>
      <x:c r="V56" s="8" t="n">
        <x:f>O56-I56*K56/H56</x:f>
        <x:v>83.14362521851635</x:v>
      </x:c>
      <x:c r="W56" s="8" t="n">
        <x:f>P56-J56*K56/H56</x:f>
        <x:v>0</x:v>
      </x:c>
      <x:c r="X56" s="8" t="n">
        <x:f>V56/S56</x:f>
        <x:v>0.763243697199014</x:v>
      </x:c>
      <x:c r="Y56" s="8" t="n">
        <x:f>0</x:f>
        <x:v>0</x:v>
      </x:c>
      <x:c r="Z56" s="8" t="n">
        <x:f>K56/H56-X56*I56/H56-Y56*J56/H56</x:f>
        <x:v>2.724628362686719</x:v>
      </x:c>
      <x:c r="AA56" s="8" t="n">
        <x:f>Z56+X56*Q56+Y56*R56</x:f>
        <x:v>5.939782875093831</x:v>
      </x:c>
    </x:row>
    <x:row r="57" ht="26" customHeight="1">
      <x:c r="A57" s="2"/>
      <x:c r="B57" s="2" t="n">
        <x:v>52</x:v>
      </x:c>
      <x:c r="C57" s="2" t="str">
        <x:v>Beauty / price_contribution</x:v>
      </x:c>
      <x:c r="D57" s="2" t="str">
        <x:v>Broad lag 1</x:v>
      </x:c>
      <x:c r="E57" s="7" t="n">
        <x:v>45382</x:v>
      </x:c>
      <x:c r="F57" s="2" t="str">
        <x:v>Prior report</x:v>
      </x:c>
      <x:c r="G57" s="7" t="n">
        <x:v>45314</x:v>
      </x:c>
      <x:c r="H57" s="2" t="n">
        <x:v>11</x:v>
      </x:c>
      <x:c r="I57" s="8" t="n">
        <x:v>35.492611387021356</x:v>
      </x:c>
      <x:c r="J57" s="8" t="n">
        <x:v>0</x:v>
      </x:c>
      <x:c r="K57" s="8" t="n">
        <x:v>61</x:v>
      </x:c>
      <x:c r="L57" s="8" t="n">
        <x:v>222.5645835667998</x:v>
      </x:c>
      <x:c r="M57" s="8" t="n">
        <x:v>0</x:v>
      </x:c>
      <x:c r="N57" s="8" t="n">
        <x:v>0</x:v>
      </x:c>
      <x:c r="O57" s="8" t="n">
        <x:v>260.40631228790033</x:v>
      </x:c>
      <x:c r="P57" s="8" t="n">
        <x:v>0</x:v>
      </x:c>
      <x:c r="Q57" s="8" t="n">
        <x:v>4.212216519153356</x:v>
      </x:c>
      <x:c r="R57" s="8" t="n">
        <x:v>0</x:v>
      </x:c>
      <x:c r="S57" s="8" t="n">
        <x:f>L57-I57^2/H57</x:f>
        <x:v>108.0440869240618</x:v>
      </x:c>
      <x:c r="T57" s="8" t="n">
        <x:f>M57-J57^2/H57</x:f>
        <x:v>0</x:v>
      </x:c>
      <x:c r="U57" s="8" t="n">
        <x:f>N57-I57*J57/H57</x:f>
        <x:v>0</x:v>
      </x:c>
      <x:c r="V57" s="8" t="n">
        <x:f>O57-I57*K57/H57</x:f>
        <x:v>63.583649141690984</x:v>
      </x:c>
      <x:c r="W57" s="8" t="n">
        <x:f>P57-J57*K57/H57</x:f>
        <x:v>0</x:v>
      </x:c>
      <x:c r="X57" s="8" t="n">
        <x:f>V57/S57</x:f>
        <x:v>0.5884972602561804</x:v>
      </x:c>
      <x:c r="Y57" s="8" t="n">
        <x:f>0</x:f>
        <x:v>0</x:v>
      </x:c>
      <x:c r="Z57" s="8" t="n">
        <x:f>K57/H57-X57*I57/H57-Y57*J57/H57</x:f>
        <x:v>3.646608676309148</x:v>
      </x:c>
      <x:c r="AA57" s="8" t="n">
        <x:f>Z57+X57*Q57+Y57*R57</x:f>
        <x:v>6.125486557436723</x:v>
      </x:c>
    </x:row>
    <x:row r="58" ht="26" customHeight="1">
      <x:c r="A58" s="2"/>
      <x:c r="B58" s="2" t="n">
        <x:v>53</x:v>
      </x:c>
      <x:c r="C58" s="2" t="str">
        <x:v>Beauty / price_contribution</x:v>
      </x:c>
      <x:c r="D58" s="2" t="str">
        <x:v>Broad rolling 8</x:v>
      </x:c>
      <x:c r="E58" s="7" t="n">
        <x:v>45382</x:v>
      </x:c>
      <x:c r="F58" s="2" t="str">
        <x:v>Prior report</x:v>
      </x:c>
      <x:c r="G58" s="7" t="n">
        <x:v>45314</x:v>
      </x:c>
      <x:c r="H58" s="2" t="n">
        <x:v>8</x:v>
      </x:c>
      <x:c r="I58" s="8" t="n">
        <x:v>40.58301442287644</x:v>
      </x:c>
      <x:c r="J58" s="8" t="n">
        <x:v>0</x:v>
      </x:c>
      <x:c r="K58" s="8" t="n">
        <x:v>53</x:v>
      </x:c>
      <x:c r="L58" s="8" t="n">
        <x:v>240.0201059908438</x:v>
      </x:c>
      <x:c r="M58" s="8" t="n">
        <x:v>0</x:v>
      </x:c>
      <x:c r="N58" s="8" t="n">
        <x:v>0</x:v>
      </x:c>
      <x:c r="O58" s="8" t="n">
        <x:v>293.79086605675144</x:v>
      </x:c>
      <x:c r="P58" s="8" t="n">
        <x:v>0</x:v>
      </x:c>
      <x:c r="Q58" s="8" t="n">
        <x:v>4.212487471834003</x:v>
      </x:c>
      <x:c r="R58" s="8" t="n">
        <x:v>0</x:v>
      </x:c>
      <x:c r="S58" s="8" t="n">
        <x:f>L58-I58^2/H58</x:f>
        <x:v>34.147473534919186</x:v>
      </x:c>
      <x:c r="T58" s="8" t="n">
        <x:f>M58-J58^2/H58</x:f>
        <x:v>0</x:v>
      </x:c>
      <x:c r="U58" s="8" t="n">
        <x:f>N58-I58*J58/H58</x:f>
        <x:v>0</x:v>
      </x:c>
      <x:c r="V58" s="8" t="n">
        <x:f>O58-I58*K58/H58</x:f>
        <x:v>24.928395505195056</x:v>
      </x:c>
      <x:c r="W58" s="8" t="n">
        <x:f>P58-J58*K58/H58</x:f>
        <x:v>0</x:v>
      </x:c>
      <x:c r="X58" s="8" t="n">
        <x:f>V58/S58</x:f>
        <x:v>0.7300216655766142</x:v>
      </x:c>
      <x:c r="Y58" s="8" t="n">
        <x:f>0</x:f>
        <x:v>0</x:v>
      </x:c>
      <x:c r="Z58" s="8" t="n">
        <x:f>K58/H58-X58*I58/H58-Y58*J58/H58</x:f>
        <x:v>2.9216900271114983</x:v>
      </x:c>
      <x:c r="AA58" s="8" t="n">
        <x:f>Z58+X58*Q58+Y58*R58</x:f>
        <x:v>5.996897147520378</x:v>
      </x:c>
    </x:row>
    <x:row r="59" ht="26" customHeight="1">
      <x:c r="A59" s="2"/>
      <x:c r="B59" s="2" t="n">
        <x:v>54</x:v>
      </x:c>
      <x:c r="C59" s="2" t="str">
        <x:v>Beauty / price_contribution</x:v>
      </x:c>
      <x:c r="D59" s="2" t="str">
        <x:v>Own history</x:v>
      </x:c>
      <x:c r="E59" s="7" t="n">
        <x:v>45382</x:v>
      </x:c>
      <x:c r="F59" s="2" t="str">
        <x:v>Prior report</x:v>
      </x:c>
      <x:c r="G59" s="7" t="n">
        <x:v>45314</x:v>
      </x:c>
      <x:c r="H59" s="2" t="n">
        <x:v>11</x:v>
      </x:c>
      <x:c r="I59" s="8" t="n">
        <x:v>59</x:v>
      </x:c>
      <x:c r="J59" s="8" t="n">
        <x:v>0</x:v>
      </x:c>
      <x:c r="K59" s="8" t="n">
        <x:v>61</x:v>
      </x:c>
      <x:c r="L59" s="8" t="n">
        <x:v>387</x:v>
      </x:c>
      <x:c r="M59" s="8" t="n">
        <x:v>0</x:v>
      </x:c>
      <x:c r="N59" s="8" t="n">
        <x:v>0</x:v>
      </x:c>
      <x:c r="O59" s="8" t="n">
        <x:v>377</x:v>
      </x:c>
      <x:c r="P59" s="8" t="n">
        <x:v>0</x:v>
      </x:c>
      <x:c r="Q59" s="8" t="n">
        <x:v>4</x:v>
      </x:c>
      <x:c r="R59" s="8" t="n">
        <x:v>0</x:v>
      </x:c>
      <x:c r="S59" s="8" t="n">
        <x:f>L59-I59^2/H59</x:f>
        <x:v>70.54545454545456</x:v>
      </x:c>
      <x:c r="T59" s="8" t="n">
        <x:f>M59-J59^2/H59</x:f>
        <x:v>0</x:v>
      </x:c>
      <x:c r="U59" s="8" t="n">
        <x:f>N59-I59*J59/H59</x:f>
        <x:v>0</x:v>
      </x:c>
      <x:c r="V59" s="8" t="n">
        <x:f>O59-I59*K59/H59</x:f>
        <x:v>49.81818181818181</x:v>
      </x:c>
      <x:c r="W59" s="8" t="n">
        <x:f>P59-J59*K59/H59</x:f>
        <x:v>0</x:v>
      </x:c>
      <x:c r="X59" s="8" t="n">
        <x:f>V59/S59</x:f>
        <x:v>0.7061855670103091</x:v>
      </x:c>
      <x:c r="Y59" s="8" t="n">
        <x:f>0</x:f>
        <x:v>0</x:v>
      </x:c>
      <x:c r="Z59" s="8" t="n">
        <x:f>K59/H59-X59*I59/H59-Y59*J59/H59</x:f>
        <x:v>1.757731958762888</x:v>
      </x:c>
      <x:c r="AA59" s="8" t="n">
        <x:f>Z59+X59*Q59+Y59*R59</x:f>
        <x:v>4.582474226804124</x:v>
      </x:c>
    </x:row>
    <x:row r="60" ht="26" customHeight="1">
      <x:c r="A60" s="2"/>
      <x:c r="B60" s="2" t="n">
        <x:v>55</x:v>
      </x:c>
      <x:c r="C60" s="2" t="str">
        <x:v>Beauty / price_contribution</x:v>
      </x:c>
      <x:c r="D60" s="2" t="str">
        <x:v>Product price</x:v>
      </x:c>
      <x:c r="E60" s="7" t="n">
        <x:v>45382</x:v>
      </x:c>
      <x:c r="F60" s="2" t="str">
        <x:v>Prior report</x:v>
      </x:c>
      <x:c r="G60" s="7" t="n">
        <x:v>45314</x:v>
      </x:c>
      <x:c r="H60" s="2" t="n">
        <x:v>12</x:v>
      </x:c>
      <x:c r="I60" s="8" t="n">
        <x:v>22.884406091877363</x:v>
      </x:c>
      <x:c r="J60" s="8" t="n">
        <x:v>0</x:v>
      </x:c>
      <x:c r="K60" s="8" t="n">
        <x:v>63</x:v>
      </x:c>
      <x:c r="L60" s="8" t="n">
        <x:v>113.23864248677094</x:v>
      </x:c>
      <x:c r="M60" s="8" t="n">
        <x:v>0</x:v>
      </x:c>
      <x:c r="N60" s="8" t="n">
        <x:v>0</x:v>
      </x:c>
      <x:c r="O60" s="8" t="n">
        <x:v>184.30375887852463</x:v>
      </x:c>
      <x:c r="P60" s="8" t="n">
        <x:v>0</x:v>
      </x:c>
      <x:c r="Q60" s="8" t="n">
        <x:v>2.5258039772122487</x:v>
      </x:c>
      <x:c r="R60" s="8" t="n">
        <x:v>0</x:v>
      </x:c>
      <x:c r="S60" s="8" t="n">
        <x:f>L60-I60^2/H60</x:f>
        <x:v>69.59730563860813</x:v>
      </x:c>
      <x:c r="T60" s="8" t="n">
        <x:f>M60-J60^2/H60</x:f>
        <x:v>0</x:v>
      </x:c>
      <x:c r="U60" s="8" t="n">
        <x:f>N60-I60*J60/H60</x:f>
        <x:v>0</x:v>
      </x:c>
      <x:c r="V60" s="8" t="n">
        <x:f>O60-I60*K60/H60</x:f>
        <x:v>64.16062689616847</x:v>
      </x:c>
      <x:c r="W60" s="8" t="n">
        <x:f>P60-J60*K60/H60</x:f>
        <x:v>0</x:v>
      </x:c>
      <x:c r="X60" s="8" t="n">
        <x:f>V60/S60</x:f>
        <x:v>0.9218837756353638</x:v>
      </x:c>
      <x:c r="Y60" s="8" t="n">
        <x:f>0</x:f>
        <x:v>0</x:v>
      </x:c>
      <x:c r="Z60" s="8" t="n">
        <x:f>K60/H60-X60*I60/H60-Y60*J60/H60</x:f>
        <x:v>3.491936442403931</x:v>
      </x:c>
      <x:c r="AA60" s="8" t="n">
        <x:f>Z60+X60*Q60+Y60*R60</x:f>
        <x:v>5.820434149431177</x:v>
      </x:c>
    </x:row>
    <x:row r="61" ht="26" customHeight="1">
      <x:c r="A61" s="2"/>
      <x:c r="B61" s="2" t="n">
        <x:v>56</x:v>
      </x:c>
      <x:c r="C61" s="2" t="str">
        <x:v>Beauty / price_contribution</x:v>
      </x:c>
      <x:c r="D61" s="2" t="str">
        <x:v>Product lag 1</x:v>
      </x:c>
      <x:c r="E61" s="7" t="n">
        <x:v>45382</x:v>
      </x:c>
      <x:c r="F61" s="2" t="str">
        <x:v>Prior report</x:v>
      </x:c>
      <x:c r="G61" s="7" t="n">
        <x:v>45314</x:v>
      </x:c>
      <x:c r="H61" s="2" t="n">
        <x:v>11</x:v>
      </x:c>
      <x:c r="I61" s="8" t="n">
        <x:v>20.354696419310557</x:v>
      </x:c>
      <x:c r="J61" s="8" t="n">
        <x:v>0</x:v>
      </x:c>
      <x:c r="K61" s="8" t="n">
        <x:v>61</x:v>
      </x:c>
      <x:c r="L61" s="8" t="n">
        <x:v>106.8392114592929</x:v>
      </x:c>
      <x:c r="M61" s="8" t="n">
        <x:v>0</x:v>
      </x:c>
      <x:c r="N61" s="8" t="n">
        <x:v>0</x:v>
      </x:c>
      <x:c r="O61" s="8" t="n">
        <x:v>158.9550794431583</x:v>
      </x:c>
      <x:c r="P61" s="8" t="n">
        <x:v>0</x:v>
      </x:c>
      <x:c r="Q61" s="8" t="n">
        <x:v>2.5297096725668045</x:v>
      </x:c>
      <x:c r="R61" s="8" t="n">
        <x:v>0</x:v>
      </x:c>
      <x:c r="S61" s="8" t="n">
        <x:f>L61-I61^2/H61</x:f>
        <x:v>69.1743327027207</x:v>
      </x:c>
      <x:c r="T61" s="8" t="n">
        <x:f>M61-J61^2/H61</x:f>
        <x:v>0</x:v>
      </x:c>
      <x:c r="U61" s="8" t="n">
        <x:f>N61-I61*J61/H61</x:f>
        <x:v>0</x:v>
      </x:c>
      <x:c r="V61" s="8" t="n">
        <x:f>O61-I61*K61/H61</x:f>
        <x:v>46.07903566334522</x:v>
      </x:c>
      <x:c r="W61" s="8" t="n">
        <x:f>P61-J61*K61/H61</x:f>
        <x:v>0</x:v>
      </x:c>
      <x:c r="X61" s="8" t="n">
        <x:f>V61/S61</x:f>
        <x:v>0.6661290953303679</x:v>
      </x:c>
      <x:c r="Y61" s="8" t="n">
        <x:f>0</x:f>
        <x:v>0</x:v>
      </x:c>
      <x:c r="Z61" s="8" t="n">
        <x:f>K61/H61-X61*I61/H61-Y61*J61/H61</x:f>
        <x:v>4.31283131713458</x:v>
      </x:c>
      <x:c r="AA61" s="8" t="n">
        <x:f>Z61+X61*Q61+Y61*R61</x:f>
        <x:v>5.997944532769987</x:v>
      </x:c>
    </x:row>
    <x:row r="62" ht="26" customHeight="1">
      <x:c r="A62" s="2"/>
      <x:c r="B62" s="2" t="n">
        <x:v>57</x:v>
      </x:c>
      <x:c r="C62" s="2" t="str">
        <x:v>Beauty / price_contribution</x:v>
      </x:c>
      <x:c r="D62" s="2" t="str">
        <x:v>Broad market</x:v>
      </x:c>
      <x:c r="E62" s="7" t="n">
        <x:v>45382</x:v>
      </x:c>
      <x:c r="F62" s="2" t="str">
        <x:v>Pre-earnings</x:v>
      </x:c>
      <x:c r="G62" s="7" t="n">
        <x:v>45400</x:v>
      </x:c>
      <x:c r="H62" s="2" t="n">
        <x:v>12</x:v>
      </x:c>
      <x:c r="I62" s="8" t="n">
        <x:v>39.704827906174714</x:v>
      </x:c>
      <x:c r="J62" s="8" t="n">
        <x:v>0</x:v>
      </x:c>
      <x:c r="K62" s="8" t="n">
        <x:v>63</x:v>
      </x:c>
      <x:c r="L62" s="8" t="n">
        <x:v>240.3073515710282</x:v>
      </x:c>
      <x:c r="M62" s="8" t="n">
        <x:v>0</x:v>
      </x:c>
      <x:c r="N62" s="8" t="n">
        <x:v>0</x:v>
      </x:c>
      <x:c r="O62" s="8" t="n">
        <x:v>291.5939717259336</x:v>
      </x:c>
      <x:c r="P62" s="8" t="n">
        <x:v>0</x:v>
      </x:c>
      <x:c r="Q62" s="8" t="n">
        <x:v>3.636809635836169</x:v>
      </x:c>
      <x:c r="R62" s="8" t="n">
        <x:v>0</x:v>
      </x:c>
      <x:c r="S62" s="8" t="n">
        <x:f>L62-I62^2/H62</x:f>
        <x:v>108.934571649449</x:v>
      </x:c>
      <x:c r="T62" s="8" t="n">
        <x:f>M62-J62^2/H62</x:f>
        <x:v>0</x:v>
      </x:c>
      <x:c r="U62" s="8" t="n">
        <x:f>N62-I62*J62/H62</x:f>
        <x:v>0</x:v>
      </x:c>
      <x:c r="V62" s="8" t="n">
        <x:f>O62-I62*K62/H62</x:f>
        <x:v>83.14362521851635</x:v>
      </x:c>
      <x:c r="W62" s="8" t="n">
        <x:f>P62-J62*K62/H62</x:f>
        <x:v>0</x:v>
      </x:c>
      <x:c r="X62" s="8" t="n">
        <x:f>V62/S62</x:f>
        <x:v>0.763243697199014</x:v>
      </x:c>
      <x:c r="Y62" s="8" t="n">
        <x:f>0</x:f>
        <x:v>0</x:v>
      </x:c>
      <x:c r="Z62" s="8" t="n">
        <x:f>K62/H62-X62*I62/H62-Y62*J62/H62</x:f>
        <x:v>2.724628362686719</x:v>
      </x:c>
      <x:c r="AA62" s="8" t="n">
        <x:f>Z62+X62*Q62+Y62*R62</x:f>
        <x:v>5.500400395151316</x:v>
      </x:c>
    </x:row>
    <x:row r="63" ht="26" customHeight="1">
      <x:c r="A63" s="2"/>
      <x:c r="B63" s="2" t="n">
        <x:v>58</x:v>
      </x:c>
      <x:c r="C63" s="2" t="str">
        <x:v>Beauty / price_contribution</x:v>
      </x:c>
      <x:c r="D63" s="2" t="str">
        <x:v>Broad lag 1</x:v>
      </x:c>
      <x:c r="E63" s="7" t="n">
        <x:v>45382</x:v>
      </x:c>
      <x:c r="F63" s="2" t="str">
        <x:v>Pre-earnings</x:v>
      </x:c>
      <x:c r="G63" s="7" t="n">
        <x:v>45400</x:v>
      </x:c>
      <x:c r="H63" s="2" t="n">
        <x:v>11</x:v>
      </x:c>
      <x:c r="I63" s="8" t="n">
        <x:v>35.492611387021356</x:v>
      </x:c>
      <x:c r="J63" s="8" t="n">
        <x:v>0</x:v>
      </x:c>
      <x:c r="K63" s="8" t="n">
        <x:v>61</x:v>
      </x:c>
      <x:c r="L63" s="8" t="n">
        <x:v>222.5645835667998</x:v>
      </x:c>
      <x:c r="M63" s="8" t="n">
        <x:v>0</x:v>
      </x:c>
      <x:c r="N63" s="8" t="n">
        <x:v>0</x:v>
      </x:c>
      <x:c r="O63" s="8" t="n">
        <x:v>260.40631228790033</x:v>
      </x:c>
      <x:c r="P63" s="8" t="n">
        <x:v>0</x:v>
      </x:c>
      <x:c r="Q63" s="8" t="n">
        <x:v>4.212216519153356</x:v>
      </x:c>
      <x:c r="R63" s="8" t="n">
        <x:v>0</x:v>
      </x:c>
      <x:c r="S63" s="8" t="n">
        <x:f>L63-I63^2/H63</x:f>
        <x:v>108.0440869240618</x:v>
      </x:c>
      <x:c r="T63" s="8" t="n">
        <x:f>M63-J63^2/H63</x:f>
        <x:v>0</x:v>
      </x:c>
      <x:c r="U63" s="8" t="n">
        <x:f>N63-I63*J63/H63</x:f>
        <x:v>0</x:v>
      </x:c>
      <x:c r="V63" s="8" t="n">
        <x:f>O63-I63*K63/H63</x:f>
        <x:v>63.583649141690984</x:v>
      </x:c>
      <x:c r="W63" s="8" t="n">
        <x:f>P63-J63*K63/H63</x:f>
        <x:v>0</x:v>
      </x:c>
      <x:c r="X63" s="8" t="n">
        <x:f>V63/S63</x:f>
        <x:v>0.5884972602561804</x:v>
      </x:c>
      <x:c r="Y63" s="8" t="n">
        <x:f>0</x:f>
        <x:v>0</x:v>
      </x:c>
      <x:c r="Z63" s="8" t="n">
        <x:f>K63/H63-X63*I63/H63-Y63*J63/H63</x:f>
        <x:v>3.646608676309148</x:v>
      </x:c>
      <x:c r="AA63" s="8" t="n">
        <x:f>Z63+X63*Q63+Y63*R63</x:f>
        <x:v>6.125486557436723</x:v>
      </x:c>
    </x:row>
    <x:row r="64" ht="26" customHeight="1">
      <x:c r="A64" s="2"/>
      <x:c r="B64" s="2" t="n">
        <x:v>59</x:v>
      </x:c>
      <x:c r="C64" s="2" t="str">
        <x:v>Beauty / price_contribution</x:v>
      </x:c>
      <x:c r="D64" s="2" t="str">
        <x:v>Broad rolling 8</x:v>
      </x:c>
      <x:c r="E64" s="7" t="n">
        <x:v>45382</x:v>
      </x:c>
      <x:c r="F64" s="2" t="str">
        <x:v>Pre-earnings</x:v>
      </x:c>
      <x:c r="G64" s="7" t="n">
        <x:v>45400</x:v>
      </x:c>
      <x:c r="H64" s="2" t="n">
        <x:v>8</x:v>
      </x:c>
      <x:c r="I64" s="8" t="n">
        <x:v>40.58301442287644</x:v>
      </x:c>
      <x:c r="J64" s="8" t="n">
        <x:v>0</x:v>
      </x:c>
      <x:c r="K64" s="8" t="n">
        <x:v>53</x:v>
      </x:c>
      <x:c r="L64" s="8" t="n">
        <x:v>240.0201059908438</x:v>
      </x:c>
      <x:c r="M64" s="8" t="n">
        <x:v>0</x:v>
      </x:c>
      <x:c r="N64" s="8" t="n">
        <x:v>0</x:v>
      </x:c>
      <x:c r="O64" s="8" t="n">
        <x:v>293.79086605675144</x:v>
      </x:c>
      <x:c r="P64" s="8" t="n">
        <x:v>0</x:v>
      </x:c>
      <x:c r="Q64" s="8" t="n">
        <x:v>3.636809635836169</x:v>
      </x:c>
      <x:c r="R64" s="8" t="n">
        <x:v>0</x:v>
      </x:c>
      <x:c r="S64" s="8" t="n">
        <x:f>L64-I64^2/H64</x:f>
        <x:v>34.147473534919186</x:v>
      </x:c>
      <x:c r="T64" s="8" t="n">
        <x:f>M64-J64^2/H64</x:f>
        <x:v>0</x:v>
      </x:c>
      <x:c r="U64" s="8" t="n">
        <x:f>N64-I64*J64/H64</x:f>
        <x:v>0</x:v>
      </x:c>
      <x:c r="V64" s="8" t="n">
        <x:f>O64-I64*K64/H64</x:f>
        <x:v>24.928395505195056</x:v>
      </x:c>
      <x:c r="W64" s="8" t="n">
        <x:f>P64-J64*K64/H64</x:f>
        <x:v>0</x:v>
      </x:c>
      <x:c r="X64" s="8" t="n">
        <x:f>V64/S64</x:f>
        <x:v>0.7300216655766142</x:v>
      </x:c>
      <x:c r="Y64" s="8" t="n">
        <x:f>0</x:f>
        <x:v>0</x:v>
      </x:c>
      <x:c r="Z64" s="8" t="n">
        <x:f>K64/H64-X64*I64/H64-Y64*J64/H64</x:f>
        <x:v>2.9216900271114983</x:v>
      </x:c>
      <x:c r="AA64" s="8" t="n">
        <x:f>Z64+X64*Q64+Y64*R64</x:f>
        <x:v>5.576639854849699</x:v>
      </x:c>
    </x:row>
    <x:row r="65" ht="26" customHeight="1">
      <x:c r="A65" s="2"/>
      <x:c r="B65" s="2" t="n">
        <x:v>60</x:v>
      </x:c>
      <x:c r="C65" s="2" t="str">
        <x:v>Beauty / price_contribution</x:v>
      </x:c>
      <x:c r="D65" s="2" t="str">
        <x:v>Own history</x:v>
      </x:c>
      <x:c r="E65" s="7" t="n">
        <x:v>45382</x:v>
      </x:c>
      <x:c r="F65" s="2" t="str">
        <x:v>Pre-earnings</x:v>
      </x:c>
      <x:c r="G65" s="7" t="n">
        <x:v>45400</x:v>
      </x:c>
      <x:c r="H65" s="2" t="n">
        <x:v>11</x:v>
      </x:c>
      <x:c r="I65" s="8" t="n">
        <x:v>59</x:v>
      </x:c>
      <x:c r="J65" s="8" t="n">
        <x:v>0</x:v>
      </x:c>
      <x:c r="K65" s="8" t="n">
        <x:v>61</x:v>
      </x:c>
      <x:c r="L65" s="8" t="n">
        <x:v>387</x:v>
      </x:c>
      <x:c r="M65" s="8" t="n">
        <x:v>0</x:v>
      </x:c>
      <x:c r="N65" s="8" t="n">
        <x:v>0</x:v>
      </x:c>
      <x:c r="O65" s="8" t="n">
        <x:v>377</x:v>
      </x:c>
      <x:c r="P65" s="8" t="n">
        <x:v>0</x:v>
      </x:c>
      <x:c r="Q65" s="8" t="n">
        <x:v>4</x:v>
      </x:c>
      <x:c r="R65" s="8" t="n">
        <x:v>0</x:v>
      </x:c>
      <x:c r="S65" s="8" t="n">
        <x:f>L65-I65^2/H65</x:f>
        <x:v>70.54545454545456</x:v>
      </x:c>
      <x:c r="T65" s="8" t="n">
        <x:f>M65-J65^2/H65</x:f>
        <x:v>0</x:v>
      </x:c>
      <x:c r="U65" s="8" t="n">
        <x:f>N65-I65*J65/H65</x:f>
        <x:v>0</x:v>
      </x:c>
      <x:c r="V65" s="8" t="n">
        <x:f>O65-I65*K65/H65</x:f>
        <x:v>49.81818181818181</x:v>
      </x:c>
      <x:c r="W65" s="8" t="n">
        <x:f>P65-J65*K65/H65</x:f>
        <x:v>0</x:v>
      </x:c>
      <x:c r="X65" s="8" t="n">
        <x:f>V65/S65</x:f>
        <x:v>0.7061855670103091</x:v>
      </x:c>
      <x:c r="Y65" s="8" t="n">
        <x:f>0</x:f>
        <x:v>0</x:v>
      </x:c>
      <x:c r="Z65" s="8" t="n">
        <x:f>K65/H65-X65*I65/H65-Y65*J65/H65</x:f>
        <x:v>1.757731958762888</x:v>
      </x:c>
      <x:c r="AA65" s="8" t="n">
        <x:f>Z65+X65*Q65+Y65*R65</x:f>
        <x:v>4.582474226804124</x:v>
      </x:c>
    </x:row>
    <x:row r="66" ht="26" customHeight="1">
      <x:c r="A66" s="2"/>
      <x:c r="B66" s="2" t="n">
        <x:v>61</x:v>
      </x:c>
      <x:c r="C66" s="2" t="str">
        <x:v>Beauty / price_contribution</x:v>
      </x:c>
      <x:c r="D66" s="2" t="str">
        <x:v>Product price</x:v>
      </x:c>
      <x:c r="E66" s="7" t="n">
        <x:v>45382</x:v>
      </x:c>
      <x:c r="F66" s="2" t="str">
        <x:v>Pre-earnings</x:v>
      </x:c>
      <x:c r="G66" s="7" t="n">
        <x:v>45400</x:v>
      </x:c>
      <x:c r="H66" s="2" t="n">
        <x:v>12</x:v>
      </x:c>
      <x:c r="I66" s="8" t="n">
        <x:v>22.884406091877363</x:v>
      </x:c>
      <x:c r="J66" s="8" t="n">
        <x:v>0</x:v>
      </x:c>
      <x:c r="K66" s="8" t="n">
        <x:v>63</x:v>
      </x:c>
      <x:c r="L66" s="8" t="n">
        <x:v>113.23864248677094</x:v>
      </x:c>
      <x:c r="M66" s="8" t="n">
        <x:v>0</x:v>
      </x:c>
      <x:c r="N66" s="8" t="n">
        <x:v>0</x:v>
      </x:c>
      <x:c r="O66" s="8" t="n">
        <x:v>184.30375887852463</x:v>
      </x:c>
      <x:c r="P66" s="8" t="n">
        <x:v>0</x:v>
      </x:c>
      <x:c r="Q66" s="8" t="n">
        <x:v>1.4458208241569626</x:v>
      </x:c>
      <x:c r="R66" s="8" t="n">
        <x:v>0</x:v>
      </x:c>
      <x:c r="S66" s="8" t="n">
        <x:f>L66-I66^2/H66</x:f>
        <x:v>69.59730563860813</x:v>
      </x:c>
      <x:c r="T66" s="8" t="n">
        <x:f>M66-J66^2/H66</x:f>
        <x:v>0</x:v>
      </x:c>
      <x:c r="U66" s="8" t="n">
        <x:f>N66-I66*J66/H66</x:f>
        <x:v>0</x:v>
      </x:c>
      <x:c r="V66" s="8" t="n">
        <x:f>O66-I66*K66/H66</x:f>
        <x:v>64.16062689616847</x:v>
      </x:c>
      <x:c r="W66" s="8" t="n">
        <x:f>P66-J66*K66/H66</x:f>
        <x:v>0</x:v>
      </x:c>
      <x:c r="X66" s="8" t="n">
        <x:f>V66/S66</x:f>
        <x:v>0.9218837756353638</x:v>
      </x:c>
      <x:c r="Y66" s="8" t="n">
        <x:f>0</x:f>
        <x:v>0</x:v>
      </x:c>
      <x:c r="Z66" s="8" t="n">
        <x:f>K66/H66-X66*I66/H66-Y66*J66/H66</x:f>
        <x:v>3.491936442403931</x:v>
      </x:c>
      <x:c r="AA66" s="8" t="n">
        <x:f>Z66+X66*Q66+Y66*R66</x:f>
        <x:v>4.824815202669985</x:v>
      </x:c>
    </x:row>
    <x:row r="67" ht="26" customHeight="1">
      <x:c r="A67" s="2"/>
      <x:c r="B67" s="2" t="n">
        <x:v>62</x:v>
      </x:c>
      <x:c r="C67" s="2" t="str">
        <x:v>Beauty / price_contribution</x:v>
      </x:c>
      <x:c r="D67" s="2" t="str">
        <x:v>Product lag 1</x:v>
      </x:c>
      <x:c r="E67" s="7" t="n">
        <x:v>45382</x:v>
      </x:c>
      <x:c r="F67" s="2" t="str">
        <x:v>Pre-earnings</x:v>
      </x:c>
      <x:c r="G67" s="7" t="n">
        <x:v>45400</x:v>
      </x:c>
      <x:c r="H67" s="2" t="n">
        <x:v>11</x:v>
      </x:c>
      <x:c r="I67" s="8" t="n">
        <x:v>20.354696419310557</x:v>
      </x:c>
      <x:c r="J67" s="8" t="n">
        <x:v>0</x:v>
      </x:c>
      <x:c r="K67" s="8" t="n">
        <x:v>61</x:v>
      </x:c>
      <x:c r="L67" s="8" t="n">
        <x:v>106.8392114592929</x:v>
      </x:c>
      <x:c r="M67" s="8" t="n">
        <x:v>0</x:v>
      </x:c>
      <x:c r="N67" s="8" t="n">
        <x:v>0</x:v>
      </x:c>
      <x:c r="O67" s="8" t="n">
        <x:v>158.9550794431583</x:v>
      </x:c>
      <x:c r="P67" s="8" t="n">
        <x:v>0</x:v>
      </x:c>
      <x:c r="Q67" s="8" t="n">
        <x:v>2.5297096725668045</x:v>
      </x:c>
      <x:c r="R67" s="8" t="n">
        <x:v>0</x:v>
      </x:c>
      <x:c r="S67" s="8" t="n">
        <x:f>L67-I67^2/H67</x:f>
        <x:v>69.1743327027207</x:v>
      </x:c>
      <x:c r="T67" s="8" t="n">
        <x:f>M67-J67^2/H67</x:f>
        <x:v>0</x:v>
      </x:c>
      <x:c r="U67" s="8" t="n">
        <x:f>N67-I67*J67/H67</x:f>
        <x:v>0</x:v>
      </x:c>
      <x:c r="V67" s="8" t="n">
        <x:f>O67-I67*K67/H67</x:f>
        <x:v>46.07903566334522</x:v>
      </x:c>
      <x:c r="W67" s="8" t="n">
        <x:f>P67-J67*K67/H67</x:f>
        <x:v>0</x:v>
      </x:c>
      <x:c r="X67" s="8" t="n">
        <x:f>V67/S67</x:f>
        <x:v>0.6661290953303679</x:v>
      </x:c>
      <x:c r="Y67" s="8" t="n">
        <x:f>0</x:f>
        <x:v>0</x:v>
      </x:c>
      <x:c r="Z67" s="8" t="n">
        <x:f>K67/H67-X67*I67/H67-Y67*J67/H67</x:f>
        <x:v>4.31283131713458</x:v>
      </x:c>
      <x:c r="AA67" s="8" t="n">
        <x:f>Z67+X67*Q67+Y67*R67</x:f>
        <x:v>5.997944532769987</x:v>
      </x:c>
    </x:row>
    <x:row r="68" ht="26" customHeight="1">
      <x:c r="A68" s="2"/>
      <x:c r="B68" s="2" t="n">
        <x:v>63</x:v>
      </x:c>
      <x:c r="C68" s="2" t="str">
        <x:v>Beauty / price_contribution</x:v>
      </x:c>
      <x:c r="D68" s="2" t="str">
        <x:v>Broad market</x:v>
      </x:c>
      <x:c r="E68" s="7" t="n">
        <x:v>45473</x:v>
      </x:c>
      <x:c r="F68" s="2" t="str">
        <x:v>Origin</x:v>
      </x:c>
      <x:c r="G68" s="7" t="n">
        <x:v>45383</x:v>
      </x:c>
      <x:c r="H68" s="2" t="n">
        <x:v>12</x:v>
      </x:c>
      <x:c r="I68" s="8" t="n">
        <x:v>39.704827906174714</x:v>
      </x:c>
      <x:c r="J68" s="8" t="n">
        <x:v>0</x:v>
      </x:c>
      <x:c r="K68" s="8" t="n">
        <x:v>63</x:v>
      </x:c>
      <x:c r="L68" s="8" t="n">
        <x:v>240.3073515710282</x:v>
      </x:c>
      <x:c r="M68" s="8" t="n">
        <x:v>0</x:v>
      </x:c>
      <x:c r="N68" s="8" t="n">
        <x:v>0</x:v>
      </x:c>
      <x:c r="O68" s="8" t="n">
        <x:v>291.5939717259336</x:v>
      </x:c>
      <x:c r="P68" s="8" t="n">
        <x:v>0</x:v>
      </x:c>
      <x:c r="Q68" s="8" t="n">
        <x:v>3.588558969465838</x:v>
      </x:c>
      <x:c r="R68" s="8" t="n">
        <x:v>0</x:v>
      </x:c>
      <x:c r="S68" s="8" t="n">
        <x:f>L68-I68^2/H68</x:f>
        <x:v>108.934571649449</x:v>
      </x:c>
      <x:c r="T68" s="8" t="n">
        <x:f>M68-J68^2/H68</x:f>
        <x:v>0</x:v>
      </x:c>
      <x:c r="U68" s="8" t="n">
        <x:f>N68-I68*J68/H68</x:f>
        <x:v>0</x:v>
      </x:c>
      <x:c r="V68" s="8" t="n">
        <x:f>O68-I68*K68/H68</x:f>
        <x:v>83.14362521851635</x:v>
      </x:c>
      <x:c r="W68" s="8" t="n">
        <x:f>P68-J68*K68/H68</x:f>
        <x:v>0</x:v>
      </x:c>
      <x:c r="X68" s="8" t="n">
        <x:f>V68/S68</x:f>
        <x:v>0.763243697199014</x:v>
      </x:c>
      <x:c r="Y68" s="8" t="n">
        <x:f>0</x:f>
        <x:v>0</x:v>
      </x:c>
      <x:c r="Z68" s="8" t="n">
        <x:f>K68/H68-X68*I68/H68-Y68*J68/H68</x:f>
        <x:v>2.724628362686719</x:v>
      </x:c>
      <x:c r="AA68" s="8" t="n">
        <x:f>Z68+X68*Q68+Y68*R68</x:f>
        <x:v>5.463573378158509</x:v>
      </x:c>
    </x:row>
    <x:row r="69" ht="26" customHeight="1">
      <x:c r="A69" s="2"/>
      <x:c r="B69" s="2" t="n">
        <x:v>64</x:v>
      </x:c>
      <x:c r="C69" s="2" t="str">
        <x:v>Beauty / price_contribution</x:v>
      </x:c>
      <x:c r="D69" s="2" t="str">
        <x:v>Broad rolling 8</x:v>
      </x:c>
      <x:c r="E69" s="7" t="n">
        <x:v>45473</x:v>
      </x:c>
      <x:c r="F69" s="2" t="str">
        <x:v>Origin</x:v>
      </x:c>
      <x:c r="G69" s="7" t="n">
        <x:v>45383</x:v>
      </x:c>
      <x:c r="H69" s="2" t="n">
        <x:v>8</x:v>
      </x:c>
      <x:c r="I69" s="8" t="n">
        <x:v>40.58301442287644</x:v>
      </x:c>
      <x:c r="J69" s="8" t="n">
        <x:v>0</x:v>
      </x:c>
      <x:c r="K69" s="8" t="n">
        <x:v>53</x:v>
      </x:c>
      <x:c r="L69" s="8" t="n">
        <x:v>240.0201059908438</x:v>
      </x:c>
      <x:c r="M69" s="8" t="n">
        <x:v>0</x:v>
      </x:c>
      <x:c r="N69" s="8" t="n">
        <x:v>0</x:v>
      </x:c>
      <x:c r="O69" s="8" t="n">
        <x:v>293.79086605675144</x:v>
      </x:c>
      <x:c r="P69" s="8" t="n">
        <x:v>0</x:v>
      </x:c>
      <x:c r="Q69" s="8" t="n">
        <x:v>3.588558969465838</x:v>
      </x:c>
      <x:c r="R69" s="8" t="n">
        <x:v>0</x:v>
      </x:c>
      <x:c r="S69" s="8" t="n">
        <x:f>L69-I69^2/H69</x:f>
        <x:v>34.147473534919186</x:v>
      </x:c>
      <x:c r="T69" s="8" t="n">
        <x:f>M69-J69^2/H69</x:f>
        <x:v>0</x:v>
      </x:c>
      <x:c r="U69" s="8" t="n">
        <x:f>N69-I69*J69/H69</x:f>
        <x:v>0</x:v>
      </x:c>
      <x:c r="V69" s="8" t="n">
        <x:f>O69-I69*K69/H69</x:f>
        <x:v>24.928395505195056</x:v>
      </x:c>
      <x:c r="W69" s="8" t="n">
        <x:f>P69-J69*K69/H69</x:f>
        <x:v>0</x:v>
      </x:c>
      <x:c r="X69" s="8" t="n">
        <x:f>V69/S69</x:f>
        <x:v>0.7300216655766142</x:v>
      </x:c>
      <x:c r="Y69" s="8" t="n">
        <x:f>0</x:f>
        <x:v>0</x:v>
      </x:c>
      <x:c r="Z69" s="8" t="n">
        <x:f>K69/H69-X69*I69/H69-Y69*J69/H69</x:f>
        <x:v>2.9216900271114983</x:v>
      </x:c>
      <x:c r="AA69" s="8" t="n">
        <x:f>Z69+X69*Q69+Y69*R69</x:f>
        <x:v>5.541415823020848</x:v>
      </x:c>
    </x:row>
    <x:row r="70" ht="26" customHeight="1">
      <x:c r="A70" s="2"/>
      <x:c r="B70" s="2" t="n">
        <x:v>65</x:v>
      </x:c>
      <x:c r="C70" s="2" t="str">
        <x:v>Beauty / price_contribution</x:v>
      </x:c>
      <x:c r="D70" s="2" t="str">
        <x:v>Own history</x:v>
      </x:c>
      <x:c r="E70" s="7" t="n">
        <x:v>45473</x:v>
      </x:c>
      <x:c r="F70" s="2" t="str">
        <x:v>Origin</x:v>
      </x:c>
      <x:c r="G70" s="7" t="n">
        <x:v>45383</x:v>
      </x:c>
      <x:c r="H70" s="2" t="n">
        <x:v>10</x:v>
      </x:c>
      <x:c r="I70" s="8" t="n">
        <x:v>52</x:v>
      </x:c>
      <x:c r="J70" s="8" t="n">
        <x:v>0</x:v>
      </x:c>
      <x:c r="K70" s="8" t="n">
        <x:v>57</x:v>
      </x:c>
      <x:c r="L70" s="8" t="n">
        <x:v>338</x:v>
      </x:c>
      <x:c r="M70" s="8" t="n">
        <x:v>0</x:v>
      </x:c>
      <x:c r="N70" s="8" t="n">
        <x:v>0</x:v>
      </x:c>
      <x:c r="O70" s="8" t="n">
        <x:v>330</x:v>
      </x:c>
      <x:c r="P70" s="8" t="n">
        <x:v>0</x:v>
      </x:c>
      <x:c r="Q70" s="8" t="n">
        <x:v>4</x:v>
      </x:c>
      <x:c r="R70" s="8" t="n">
        <x:v>0</x:v>
      </x:c>
      <x:c r="S70" s="8" t="n">
        <x:f>L70-I70^2/H70</x:f>
        <x:v>67.60000000000002</x:v>
      </x:c>
      <x:c r="T70" s="8" t="n">
        <x:f>M70-J70^2/H70</x:f>
        <x:v>0</x:v>
      </x:c>
      <x:c r="U70" s="8" t="n">
        <x:f>N70-I70*J70/H70</x:f>
        <x:v>0</x:v>
      </x:c>
      <x:c r="V70" s="8" t="n">
        <x:f>O70-I70*K70/H70</x:f>
        <x:v>33.60000000000002</x:v>
      </x:c>
      <x:c r="W70" s="8" t="n">
        <x:f>P70-J70*K70/H70</x:f>
        <x:v>0</x:v>
      </x:c>
      <x:c r="X70" s="8" t="n">
        <x:f>V70/S70</x:f>
        <x:v>0.49704142011834335</x:v>
      </x:c>
      <x:c r="Y70" s="8" t="n">
        <x:f>0</x:f>
        <x:v>0</x:v>
      </x:c>
      <x:c r="Z70" s="8" t="n">
        <x:f>K70/H70-X70*I70/H70-Y70*J70/H70</x:f>
        <x:v>3.115384615384615</x:v>
      </x:c>
      <x:c r="AA70" s="8" t="n">
        <x:f>Z70+X70*Q70+Y70*R70</x:f>
        <x:v>5.103550295857988</x:v>
      </x:c>
    </x:row>
    <x:row r="71" ht="26" customHeight="1">
      <x:c r="A71" s="2"/>
      <x:c r="B71" s="2" t="n">
        <x:v>66</x:v>
      </x:c>
      <x:c r="C71" s="2" t="str">
        <x:v>Beauty / price_contribution</x:v>
      </x:c>
      <x:c r="D71" s="2" t="str">
        <x:v>Product price</x:v>
      </x:c>
      <x:c r="E71" s="7" t="n">
        <x:v>45473</x:v>
      </x:c>
      <x:c r="F71" s="2" t="str">
        <x:v>Origin</x:v>
      </x:c>
      <x:c r="G71" s="7" t="n">
        <x:v>45383</x:v>
      </x:c>
      <x:c r="H71" s="2" t="n">
        <x:v>12</x:v>
      </x:c>
      <x:c r="I71" s="8" t="n">
        <x:v>22.884406091877363</x:v>
      </x:c>
      <x:c r="J71" s="8" t="n">
        <x:v>0</x:v>
      </x:c>
      <x:c r="K71" s="8" t="n">
        <x:v>63</x:v>
      </x:c>
      <x:c r="L71" s="8" t="n">
        <x:v>113.23864248677094</x:v>
      </x:c>
      <x:c r="M71" s="8" t="n">
        <x:v>0</x:v>
      </x:c>
      <x:c r="N71" s="8" t="n">
        <x:v>0</x:v>
      </x:c>
      <x:c r="O71" s="8" t="n">
        <x:v>184.30375887852463</x:v>
      </x:c>
      <x:c r="P71" s="8" t="n">
        <x:v>0</x:v>
      </x:c>
      <x:c r="Q71" s="8" t="n">
        <x:v>1.2440819623073862</x:v>
      </x:c>
      <x:c r="R71" s="8" t="n">
        <x:v>0</x:v>
      </x:c>
      <x:c r="S71" s="8" t="n">
        <x:f>L71-I71^2/H71</x:f>
        <x:v>69.59730563860813</x:v>
      </x:c>
      <x:c r="T71" s="8" t="n">
        <x:f>M71-J71^2/H71</x:f>
        <x:v>0</x:v>
      </x:c>
      <x:c r="U71" s="8" t="n">
        <x:f>N71-I71*J71/H71</x:f>
        <x:v>0</x:v>
      </x:c>
      <x:c r="V71" s="8" t="n">
        <x:f>O71-I71*K71/H71</x:f>
        <x:v>64.16062689616847</x:v>
      </x:c>
      <x:c r="W71" s="8" t="n">
        <x:f>P71-J71*K71/H71</x:f>
        <x:v>0</x:v>
      </x:c>
      <x:c r="X71" s="8" t="n">
        <x:f>V71/S71</x:f>
        <x:v>0.9218837756353638</x:v>
      </x:c>
      <x:c r="Y71" s="8" t="n">
        <x:f>0</x:f>
        <x:v>0</x:v>
      </x:c>
      <x:c r="Z71" s="8" t="n">
        <x:f>K71/H71-X71*I71/H71-Y71*J71/H71</x:f>
        <x:v>3.491936442403931</x:v>
      </x:c>
      <x:c r="AA71" s="8" t="n">
        <x:f>Z71+X71*Q71+Y71*R71</x:f>
        <x:v>4.638835419015717</x:v>
      </x:c>
    </x:row>
    <x:row r="72" ht="26" customHeight="1">
      <x:c r="A72" s="2"/>
      <x:c r="B72" s="2" t="n">
        <x:v>67</x:v>
      </x:c>
      <x:c r="C72" s="2" t="str">
        <x:v>Beauty / price_contribution</x:v>
      </x:c>
      <x:c r="D72" s="2" t="str">
        <x:v>Broad market</x:v>
      </x:c>
      <x:c r="E72" s="7" t="n">
        <x:v>45473</x:v>
      </x:c>
      <x:c r="F72" s="2" t="str">
        <x:v>Prior report</x:v>
      </x:c>
      <x:c r="G72" s="7" t="n">
        <x:v>45401</x:v>
      </x:c>
      <x:c r="H72" s="2" t="n">
        <x:v>13</x:v>
      </x:c>
      <x:c r="I72" s="8" t="n">
        <x:v>43.34163754201088</x:v>
      </x:c>
      <x:c r="J72" s="8" t="n">
        <x:v>0</x:v>
      </x:c>
      <x:c r="K72" s="8" t="n">
        <x:v>67</x:v>
      </x:c>
      <x:c r="L72" s="8" t="n">
        <x:v>253.53373589833902</x:v>
      </x:c>
      <x:c r="M72" s="8" t="n">
        <x:v>0</x:v>
      </x:c>
      <x:c r="N72" s="8" t="n">
        <x:v>0</x:v>
      </x:c>
      <x:c r="O72" s="8" t="n">
        <x:v>306.1412102692783</x:v>
      </x:c>
      <x:c r="P72" s="8" t="n">
        <x:v>0</x:v>
      </x:c>
      <x:c r="Q72" s="8" t="n">
        <x:v>3.637237355891698</x:v>
      </x:c>
      <x:c r="R72" s="8" t="n">
        <x:v>0</x:v>
      </x:c>
      <x:c r="S72" s="8" t="n">
        <x:f>L72-I72^2/H72</x:f>
        <x:v>109.03392475810463</x:v>
      </x:c>
      <x:c r="T72" s="8" t="n">
        <x:f>M72-J72^2/H72</x:f>
        <x:v>0</x:v>
      </x:c>
      <x:c r="U72" s="8" t="n">
        <x:f>N72-I72*J72/H72</x:f>
        <x:v>0</x:v>
      </x:c>
      <x:c r="V72" s="8" t="n">
        <x:f>O72-I72*K72/H72</x:f>
        <x:v>82.76507832199144</x:v>
      </x:c>
      <x:c r="W72" s="8" t="n">
        <x:f>P72-J72*K72/H72</x:f>
        <x:v>0</x:v>
      </x:c>
      <x:c r="X72" s="8" t="n">
        <x:f>V72/S72</x:f>
        <x:v>0.7590763930181226</x:v>
      </x:c>
      <x:c r="Y72" s="8" t="n">
        <x:f>0</x:f>
        <x:v>0</x:v>
      </x:c>
      <x:c r="Z72" s="8" t="n">
        <x:f>K72/H72-X72*I72/H72-Y72*J72/H72</x:f>
        <x:v>2.6231066236239644</x:v>
      </x:c>
      <x:c r="AA72" s="8" t="n">
        <x:f>Z72+X72*Q72+Y72*R72</x:f>
        <x:v>5.384047636285008</x:v>
      </x:c>
    </x:row>
    <x:row r="73" ht="26" customHeight="1">
      <x:c r="A73" s="2"/>
      <x:c r="B73" s="2" t="n">
        <x:v>68</x:v>
      </x:c>
      <x:c r="C73" s="2" t="str">
        <x:v>Beauty / price_contribution</x:v>
      </x:c>
      <x:c r="D73" s="2" t="str">
        <x:v>Broad lag 1</x:v>
      </x:c>
      <x:c r="E73" s="7" t="n">
        <x:v>45473</x:v>
      </x:c>
      <x:c r="F73" s="2" t="str">
        <x:v>Prior report</x:v>
      </x:c>
      <x:c r="G73" s="7" t="n">
        <x:v>45401</x:v>
      </x:c>
      <x:c r="H73" s="2" t="n">
        <x:v>12</x:v>
      </x:c>
      <x:c r="I73" s="8" t="n">
        <x:v>39.704827906174714</x:v>
      </x:c>
      <x:c r="J73" s="8" t="n">
        <x:v>0</x:v>
      </x:c>
      <x:c r="K73" s="8" t="n">
        <x:v>65</x:v>
      </x:c>
      <x:c r="L73" s="8" t="n">
        <x:v>240.3073515710282</x:v>
      </x:c>
      <x:c r="M73" s="8" t="n">
        <x:v>0</x:v>
      </x:c>
      <x:c r="N73" s="8" t="n">
        <x:v>0</x:v>
      </x:c>
      <x:c r="O73" s="8" t="n">
        <x:v>277.25517836451377</x:v>
      </x:c>
      <x:c r="P73" s="8" t="n">
        <x:v>0</x:v>
      </x:c>
      <x:c r="Q73" s="8" t="n">
        <x:v>3.636809635836169</x:v>
      </x:c>
      <x:c r="R73" s="8" t="n">
        <x:v>0</x:v>
      </x:c>
      <x:c r="S73" s="8" t="n">
        <x:f>L73-I73^2/H73</x:f>
        <x:v>108.934571649449</x:v>
      </x:c>
      <x:c r="T73" s="8" t="n">
        <x:f>M73-J73^2/H73</x:f>
        <x:v>0</x:v>
      </x:c>
      <x:c r="U73" s="8" t="n">
        <x:f>N73-I73*J73/H73</x:f>
        <x:v>0</x:v>
      </x:c>
      <x:c r="V73" s="8" t="n">
        <x:f>O73-I73*K73/H73</x:f>
        <x:v>62.18736053940074</x:v>
      </x:c>
      <x:c r="W73" s="8" t="n">
        <x:f>P73-J73*K73/H73</x:f>
        <x:v>0</x:v>
      </x:c>
      <x:c r="X73" s="8" t="n">
        <x:f>V73/S73</x:f>
        <x:v>0.5708689133099032</x:v>
      </x:c>
      <x:c r="Y73" s="8" t="n">
        <x:f>0</x:f>
        <x:v>0</x:v>
      </x:c>
      <x:c r="Z73" s="8" t="n">
        <x:f>K73/H73-X73*I73/H73-Y73*J73/H73</x:f>
        <x:v>3.5278123366704435</x:v>
      </x:c>
      <x:c r="AA73" s="8" t="n">
        <x:f>Z73+X73*Q73+Y73*R73</x:f>
        <x:v>5.603953901395222</x:v>
      </x:c>
    </x:row>
    <x:row r="74" ht="26" customHeight="1">
      <x:c r="A74" s="2"/>
      <x:c r="B74" s="2" t="n">
        <x:v>69</x:v>
      </x:c>
      <x:c r="C74" s="2" t="str">
        <x:v>Beauty / price_contribution</x:v>
      </x:c>
      <x:c r="D74" s="2" t="str">
        <x:v>Broad rolling 8</x:v>
      </x:c>
      <x:c r="E74" s="7" t="n">
        <x:v>45473</x:v>
      </x:c>
      <x:c r="F74" s="2" t="str">
        <x:v>Prior report</x:v>
      </x:c>
      <x:c r="G74" s="7" t="n">
        <x:v>45401</x:v>
      </x:c>
      <x:c r="H74" s="2" t="n">
        <x:v>8</x:v>
      </x:c>
      <x:c r="I74" s="8" t="n">
        <x:v>43.19182386703038</x:v>
      </x:c>
      <x:c r="J74" s="8" t="n">
        <x:v>0</x:v>
      </x:c>
      <x:c r="K74" s="8" t="n">
        <x:v>53</x:v>
      </x:c>
      <x:c r="L74" s="8" t="n">
        <x:v>252.18970592405591</x:v>
      </x:c>
      <x:c r="M74" s="8" t="n">
        <x:v>0</x:v>
      </x:c>
      <x:c r="N74" s="8" t="n">
        <x:v>0</x:v>
      </x:c>
      <x:c r="O74" s="8" t="n">
        <x:v>304.2261038333672</x:v>
      </x:c>
      <x:c r="P74" s="8" t="n">
        <x:v>0</x:v>
      </x:c>
      <x:c r="Q74" s="8" t="n">
        <x:v>3.637237355891698</x:v>
      </x:c>
      <x:c r="R74" s="8" t="n">
        <x:v>0</x:v>
      </x:c>
      <x:c r="S74" s="8" t="n">
        <x:f>L74-I74^2/H74</x:f>
        <x:v>18.997999803984015</x:v>
      </x:c>
      <x:c r="T74" s="8" t="n">
        <x:f>M74-J74^2/H74</x:f>
        <x:v>0</x:v>
      </x:c>
      <x:c r="U74" s="8" t="n">
        <x:f>N74-I74*J74/H74</x:f>
        <x:v>0</x:v>
      </x:c>
      <x:c r="V74" s="8" t="n">
        <x:f>O74-I74*K74/H74</x:f>
        <x:v>18.08027071429092</x:v>
      </x:c>
      <x:c r="W74" s="8" t="n">
        <x:f>P74-J74*K74/H74</x:f>
        <x:v>0</x:v>
      </x:c>
      <x:c r="X74" s="8" t="n">
        <x:f>V74/S74</x:f>
        <x:v>0.9516933835581658</x:v>
      </x:c>
      <x:c r="Y74" s="8" t="n">
        <x:f>0</x:f>
        <x:v>0</x:v>
      </x:c>
      <x:c r="Z74" s="8" t="n">
        <x:f>K74/H74-X74*I74/H74-Y74*J74/H74</x:f>
        <x:v>1.4868283752421894</x:v>
      </x:c>
      <x:c r="AA74" s="8" t="n">
        <x:f>Z74+X74*Q74+Y74*R74</x:f>
        <x:v>4.948363101274916</x:v>
      </x:c>
    </x:row>
    <x:row r="75" ht="26" customHeight="1">
      <x:c r="A75" s="2"/>
      <x:c r="B75" s="2" t="n">
        <x:v>70</x:v>
      </x:c>
      <x:c r="C75" s="2" t="str">
        <x:v>Beauty / price_contribution</x:v>
      </x:c>
      <x:c r="D75" s="2" t="str">
        <x:v>Own history</x:v>
      </x:c>
      <x:c r="E75" s="7" t="n">
        <x:v>45473</x:v>
      </x:c>
      <x:c r="F75" s="2" t="str">
        <x:v>Prior report</x:v>
      </x:c>
      <x:c r="G75" s="7" t="n">
        <x:v>45401</x:v>
      </x:c>
      <x:c r="H75" s="2" t="n">
        <x:v>12</x:v>
      </x:c>
      <x:c r="I75" s="8" t="n">
        <x:v>63</x:v>
      </x:c>
      <x:c r="J75" s="8" t="n">
        <x:v>0</x:v>
      </x:c>
      <x:c r="K75" s="8" t="n">
        <x:v>65</x:v>
      </x:c>
      <x:c r="L75" s="8" t="n">
        <x:v>403</x:v>
      </x:c>
      <x:c r="M75" s="8" t="n">
        <x:v>0</x:v>
      </x:c>
      <x:c r="N75" s="8" t="n">
        <x:v>0</x:v>
      </x:c>
      <x:c r="O75" s="8" t="n">
        <x:v>393</x:v>
      </x:c>
      <x:c r="P75" s="8" t="n">
        <x:v>0</x:v>
      </x:c>
      <x:c r="Q75" s="8" t="n">
        <x:v>4</x:v>
      </x:c>
      <x:c r="R75" s="8" t="n">
        <x:v>0</x:v>
      </x:c>
      <x:c r="S75" s="8" t="n">
        <x:f>L75-I75^2/H75</x:f>
        <x:v>72.25</x:v>
      </x:c>
      <x:c r="T75" s="8" t="n">
        <x:f>M75-J75^2/H75</x:f>
        <x:v>0</x:v>
      </x:c>
      <x:c r="U75" s="8" t="n">
        <x:f>N75-I75*J75/H75</x:f>
        <x:v>0</x:v>
      </x:c>
      <x:c r="V75" s="8" t="n">
        <x:f>O75-I75*K75/H75</x:f>
        <x:v>51.75</x:v>
      </x:c>
      <x:c r="W75" s="8" t="n">
        <x:f>P75-J75*K75/H75</x:f>
        <x:v>0</x:v>
      </x:c>
      <x:c r="X75" s="8" t="n">
        <x:f>V75/S75</x:f>
        <x:v>0.7162629757785467</x:v>
      </x:c>
      <x:c r="Y75" s="8" t="n">
        <x:f>0</x:f>
        <x:v>0</x:v>
      </x:c>
      <x:c r="Z75" s="8" t="n">
        <x:f>K75/H75-X75*I75/H75-Y75*J75/H75</x:f>
        <x:v>1.6562860438292968</x:v>
      </x:c>
      <x:c r="AA75" s="8" t="n">
        <x:f>Z75+X75*Q75+Y75*R75</x:f>
        <x:v>4.521337946943484</x:v>
      </x:c>
    </x:row>
    <x:row r="76" ht="26" customHeight="1">
      <x:c r="A76" s="2"/>
      <x:c r="B76" s="2" t="n">
        <x:v>71</x:v>
      </x:c>
      <x:c r="C76" s="2" t="str">
        <x:v>Beauty / price_contribution</x:v>
      </x:c>
      <x:c r="D76" s="2" t="str">
        <x:v>Product price</x:v>
      </x:c>
      <x:c r="E76" s="7" t="n">
        <x:v>45473</x:v>
      </x:c>
      <x:c r="F76" s="2" t="str">
        <x:v>Prior report</x:v>
      </x:c>
      <x:c r="G76" s="7" t="n">
        <x:v>45401</x:v>
      </x:c>
      <x:c r="H76" s="2" t="n">
        <x:v>13</x:v>
      </x:c>
      <x:c r="I76" s="8" t="n">
        <x:v>24.330226916034327</x:v>
      </x:c>
      <x:c r="J76" s="8" t="n">
        <x:v>0</x:v>
      </x:c>
      <x:c r="K76" s="8" t="n">
        <x:v>67</x:v>
      </x:c>
      <x:c r="L76" s="8" t="n">
        <x:v>115.32904034233687</x:v>
      </x:c>
      <x:c r="M76" s="8" t="n">
        <x:v>0</x:v>
      </x:c>
      <x:c r="N76" s="8" t="n">
        <x:v>0</x:v>
      </x:c>
      <x:c r="O76" s="8" t="n">
        <x:v>190.08704217515248</x:v>
      </x:c>
      <x:c r="P76" s="8" t="n">
        <x:v>0</x:v>
      </x:c>
      <x:c r="Q76" s="8" t="n">
        <x:v>1.444435628887053</x:v>
      </x:c>
      <x:c r="R76" s="8" t="n">
        <x:v>0</x:v>
      </x:c>
      <x:c r="S76" s="8" t="n">
        <x:f>L76-I76^2/H76</x:f>
        <x:v>69.79366020497369</x:v>
      </x:c>
      <x:c r="T76" s="8" t="n">
        <x:f>M76-J76^2/H76</x:f>
        <x:v>0</x:v>
      </x:c>
      <x:c r="U76" s="8" t="n">
        <x:f>N76-I76*J76/H76</x:f>
        <x:v>0</x:v>
      </x:c>
      <x:c r="V76" s="8" t="n">
        <x:f>O76-I76*K76/H76</x:f>
        <x:v>64.69279576174479</x:v>
      </x:c>
      <x:c r="W76" s="8" t="n">
        <x:f>P76-J76*K76/H76</x:f>
        <x:v>0</x:v>
      </x:c>
      <x:c r="X76" s="8" t="n">
        <x:f>V76/S76</x:f>
        <x:v>0.9269150746894717</x:v>
      </x:c>
      <x:c r="Y76" s="8" t="n">
        <x:f>0</x:f>
        <x:v>0</x:v>
      </x:c>
      <x:c r="Z76" s="8" t="n">
        <x:f>K76/H76-X76*I76/H76-Y76*J76/H76</x:f>
        <x:v>3.4190727616086347</x:v>
      </x:c>
      <x:c r="AA76" s="8" t="n">
        <x:f>Z76+X76*Q76+Y76*R76</x:f>
        <x:v>4.757941920442612</x:v>
      </x:c>
    </x:row>
    <x:row r="77" ht="26" customHeight="1">
      <x:c r="A77" s="2"/>
      <x:c r="B77" s="2" t="n">
        <x:v>72</x:v>
      </x:c>
      <x:c r="C77" s="2" t="str">
        <x:v>Beauty / price_contribution</x:v>
      </x:c>
      <x:c r="D77" s="2" t="str">
        <x:v>Product lag 1</x:v>
      </x:c>
      <x:c r="E77" s="7" t="n">
        <x:v>45473</x:v>
      </x:c>
      <x:c r="F77" s="2" t="str">
        <x:v>Prior report</x:v>
      </x:c>
      <x:c r="G77" s="7" t="n">
        <x:v>45401</x:v>
      </x:c>
      <x:c r="H77" s="2" t="n">
        <x:v>12</x:v>
      </x:c>
      <x:c r="I77" s="8" t="n">
        <x:v>22.884406091877363</x:v>
      </x:c>
      <x:c r="J77" s="8" t="n">
        <x:v>0</x:v>
      </x:c>
      <x:c r="K77" s="8" t="n">
        <x:v>65</x:v>
      </x:c>
      <x:c r="L77" s="8" t="n">
        <x:v>113.23864248677094</x:v>
      </x:c>
      <x:c r="M77" s="8" t="n">
        <x:v>0</x:v>
      </x:c>
      <x:c r="N77" s="8" t="n">
        <x:v>0</x:v>
      </x:c>
      <x:c r="O77" s="8" t="n">
        <x:v>169.0739181334255</x:v>
      </x:c>
      <x:c r="P77" s="8" t="n">
        <x:v>0</x:v>
      </x:c>
      <x:c r="Q77" s="8" t="n">
        <x:v>1.4458208241569626</x:v>
      </x:c>
      <x:c r="R77" s="8" t="n">
        <x:v>0</x:v>
      </x:c>
      <x:c r="S77" s="8" t="n">
        <x:f>L77-I77^2/H77</x:f>
        <x:v>69.59730563860813</x:v>
      </x:c>
      <x:c r="T77" s="8" t="n">
        <x:f>M77-J77^2/H77</x:f>
        <x:v>0</x:v>
      </x:c>
      <x:c r="U77" s="8" t="n">
        <x:f>N77-I77*J77/H77</x:f>
        <x:v>0</x:v>
      </x:c>
      <x:c r="V77" s="8" t="n">
        <x:f>O77-I77*K77/H77</x:f>
        <x:v>45.116718469089804</x:v>
      </x:c>
      <x:c r="W77" s="8" t="n">
        <x:f>P77-J77*K77/H77</x:f>
        <x:v>0</x:v>
      </x:c>
      <x:c r="X77" s="8" t="n">
        <x:f>V77/S77</x:f>
        <x:v>0.6482538088954687</x:v>
      </x:c>
      <x:c r="Y77" s="8" t="n">
        <x:f>0</x:f>
        <x:v>0</x:v>
      </x:c>
      <x:c r="Z77" s="8" t="n">
        <x:f>K77/H77-X77*I77/H77-Y77*J77/H77</x:f>
        <x:v>4.180424715552486</x:v>
      </x:c>
      <x:c r="AA77" s="8" t="n">
        <x:f>Z77+X77*Q77+Y77*R77</x:f>
        <x:v>5.117683571792623</x:v>
      </x:c>
    </x:row>
    <x:row r="78" ht="26" customHeight="1">
      <x:c r="A78" s="2"/>
      <x:c r="B78" s="2" t="n">
        <x:v>73</x:v>
      </x:c>
      <x:c r="C78" s="2" t="str">
        <x:v>Beauty / price_contribution</x:v>
      </x:c>
      <x:c r="D78" s="2" t="str">
        <x:v>Own + product</x:v>
      </x:c>
      <x:c r="E78" s="7" t="n">
        <x:v>45473</x:v>
      </x:c>
      <x:c r="F78" s="2" t="str">
        <x:v>Prior report</x:v>
      </x:c>
      <x:c r="G78" s="7" t="n">
        <x:v>45401</x:v>
      </x:c>
      <x:c r="H78" s="2" t="n">
        <x:v>12</x:v>
      </x:c>
      <x:c r="I78" s="8" t="n">
        <x:v>24.745000292411223</x:v>
      </x:c>
      <x:c r="J78" s="8" t="n">
        <x:v>63</x:v>
      </x:c>
      <x:c r="K78" s="8" t="n">
        <x:v>65</x:v>
      </x:c>
      <x:c r="L78" s="8" t="n">
        <x:v>115.15700338858576</x:v>
      </x:c>
      <x:c r="M78" s="8" t="n">
        <x:v>403</x:v>
      </x:c>
      <x:c r="N78" s="8" t="n">
        <x:v>192.92701753432675</x:v>
      </x:c>
      <x:c r="O78" s="8" t="n">
        <x:v>190.91658892790628</x:v>
      </x:c>
      <x:c r="P78" s="8" t="n">
        <x:v>393</x:v>
      </x:c>
      <x:c r="Q78" s="8" t="n">
        <x:v>1.444435628887053</x:v>
      </x:c>
      <x:c r="R78" s="8" t="n">
        <x:v>4</x:v>
      </x:c>
      <x:c r="S78" s="8" t="n">
        <x:f>L78-I78^2/H78</x:f>
        <x:v>64.1307500992998</x:v>
      </x:c>
      <x:c r="T78" s="8" t="n">
        <x:f>M78-J78^2/H78</x:f>
        <x:v>72.25</x:v>
      </x:c>
      <x:c r="U78" s="8" t="n">
        <x:f>N78-I78*J78/H78</x:f>
        <x:v>63.015765999167826</x:v>
      </x:c>
      <x:c r="V78" s="8" t="n">
        <x:f>O78-I78*K78/H78</x:f>
        <x:v>56.881170677345466</x:v>
      </x:c>
      <x:c r="W78" s="8" t="n">
        <x:f>P78-J78*K78/H78</x:f>
        <x:v>51.75</x:v>
      </x:c>
      <x:c r="X78" s="8" t="n">
        <x:f>(V78*T78-W78*U78)/(S78*T78-U78^2)</x:f>
        <x:v>1.280981161696862</x:v>
      </x:c>
      <x:c r="Y78" s="8" t="n">
        <x:f>(W78*S78-V78*U78)/(S78*T78-U78^2)</x:f>
        <x:v>-0.40099666622604235</x:v>
      </x:c>
      <x:c r="Z78" s="8" t="n">
        <x:f>K78/H78-X78*I78/H78-Y78*J78/H78</x:f>
        <x:v>4.88040922928988</x:v>
      </x:c>
      <x:c r="AA78" s="8" t="n">
        <x:f>Z78+X78*Q78+Y78*R78</x:f>
        <x:v>5.1267173942737845</x:v>
      </x:c>
    </x:row>
    <x:row r="79" ht="26" customHeight="1">
      <x:c r="A79" s="2"/>
      <x:c r="B79" s="2" t="n">
        <x:v>74</x:v>
      </x:c>
      <x:c r="C79" s="2" t="str">
        <x:v>Beauty / price_contribution</x:v>
      </x:c>
      <x:c r="D79" s="2" t="str">
        <x:v>Broad market</x:v>
      </x:c>
      <x:c r="E79" s="7" t="n">
        <x:v>45473</x:v>
      </x:c>
      <x:c r="F79" s="2" t="str">
        <x:v>Pre-earnings</x:v>
      </x:c>
      <x:c r="G79" s="7" t="n">
        <x:v>45502</x:v>
      </x:c>
      <x:c r="H79" s="2" t="n">
        <x:v>13</x:v>
      </x:c>
      <x:c r="I79" s="8" t="n">
        <x:v>43.34163754201088</x:v>
      </x:c>
      <x:c r="J79" s="8" t="n">
        <x:v>0</x:v>
      </x:c>
      <x:c r="K79" s="8" t="n">
        <x:v>67</x:v>
      </x:c>
      <x:c r="L79" s="8" t="n">
        <x:v>253.53373589833902</x:v>
      </x:c>
      <x:c r="M79" s="8" t="n">
        <x:v>0</x:v>
      </x:c>
      <x:c r="N79" s="8" t="n">
        <x:v>0</x:v>
      </x:c>
      <x:c r="O79" s="8" t="n">
        <x:v>306.1412102692783</x:v>
      </x:c>
      <x:c r="P79" s="8" t="n">
        <x:v>0</x:v>
      </x:c>
      <x:c r="Q79" s="8" t="n">
        <x:v>1.6547550061168037</x:v>
      </x:c>
      <x:c r="R79" s="8" t="n">
        <x:v>0</x:v>
      </x:c>
      <x:c r="S79" s="8" t="n">
        <x:f>L79-I79^2/H79</x:f>
        <x:v>109.03392475810463</x:v>
      </x:c>
      <x:c r="T79" s="8" t="n">
        <x:f>M79-J79^2/H79</x:f>
        <x:v>0</x:v>
      </x:c>
      <x:c r="U79" s="8" t="n">
        <x:f>N79-I79*J79/H79</x:f>
        <x:v>0</x:v>
      </x:c>
      <x:c r="V79" s="8" t="n">
        <x:f>O79-I79*K79/H79</x:f>
        <x:v>82.76507832199144</x:v>
      </x:c>
      <x:c r="W79" s="8" t="n">
        <x:f>P79-J79*K79/H79</x:f>
        <x:v>0</x:v>
      </x:c>
      <x:c r="X79" s="8" t="n">
        <x:f>V79/S79</x:f>
        <x:v>0.7590763930181226</x:v>
      </x:c>
      <x:c r="Y79" s="8" t="n">
        <x:f>0</x:f>
        <x:v>0</x:v>
      </x:c>
      <x:c r="Z79" s="8" t="n">
        <x:f>K79/H79-X79*I79/H79-Y79*J79/H79</x:f>
        <x:v>2.6231066236239644</x:v>
      </x:c>
      <x:c r="AA79" s="8" t="n">
        <x:f>Z79+X79*Q79+Y79*R79</x:f>
        <x:v>3.879192084995789</x:v>
      </x:c>
    </x:row>
    <x:row r="80" ht="26" customHeight="1">
      <x:c r="A80" s="2"/>
      <x:c r="B80" s="2" t="n">
        <x:v>75</x:v>
      </x:c>
      <x:c r="C80" s="2" t="str">
        <x:v>Beauty / price_contribution</x:v>
      </x:c>
      <x:c r="D80" s="2" t="str">
        <x:v>Broad lag 1</x:v>
      </x:c>
      <x:c r="E80" s="7" t="n">
        <x:v>45473</x:v>
      </x:c>
      <x:c r="F80" s="2" t="str">
        <x:v>Pre-earnings</x:v>
      </x:c>
      <x:c r="G80" s="7" t="n">
        <x:v>45502</x:v>
      </x:c>
      <x:c r="H80" s="2" t="n">
        <x:v>12</x:v>
      </x:c>
      <x:c r="I80" s="8" t="n">
        <x:v>39.704827906174714</x:v>
      </x:c>
      <x:c r="J80" s="8" t="n">
        <x:v>0</x:v>
      </x:c>
      <x:c r="K80" s="8" t="n">
        <x:v>65</x:v>
      </x:c>
      <x:c r="L80" s="8" t="n">
        <x:v>240.3073515710282</x:v>
      </x:c>
      <x:c r="M80" s="8" t="n">
        <x:v>0</x:v>
      </x:c>
      <x:c r="N80" s="8" t="n">
        <x:v>0</x:v>
      </x:c>
      <x:c r="O80" s="8" t="n">
        <x:v>277.25517836451377</x:v>
      </x:c>
      <x:c r="P80" s="8" t="n">
        <x:v>0</x:v>
      </x:c>
      <x:c r="Q80" s="8" t="n">
        <x:v>3.636809635836169</x:v>
      </x:c>
      <x:c r="R80" s="8" t="n">
        <x:v>0</x:v>
      </x:c>
      <x:c r="S80" s="8" t="n">
        <x:f>L80-I80^2/H80</x:f>
        <x:v>108.934571649449</x:v>
      </x:c>
      <x:c r="T80" s="8" t="n">
        <x:f>M80-J80^2/H80</x:f>
        <x:v>0</x:v>
      </x:c>
      <x:c r="U80" s="8" t="n">
        <x:f>N80-I80*J80/H80</x:f>
        <x:v>0</x:v>
      </x:c>
      <x:c r="V80" s="8" t="n">
        <x:f>O80-I80*K80/H80</x:f>
        <x:v>62.18736053940074</x:v>
      </x:c>
      <x:c r="W80" s="8" t="n">
        <x:f>P80-J80*K80/H80</x:f>
        <x:v>0</x:v>
      </x:c>
      <x:c r="X80" s="8" t="n">
        <x:f>V80/S80</x:f>
        <x:v>0.5708689133099032</x:v>
      </x:c>
      <x:c r="Y80" s="8" t="n">
        <x:f>0</x:f>
        <x:v>0</x:v>
      </x:c>
      <x:c r="Z80" s="8" t="n">
        <x:f>K80/H80-X80*I80/H80-Y80*J80/H80</x:f>
        <x:v>3.5278123366704435</x:v>
      </x:c>
      <x:c r="AA80" s="8" t="n">
        <x:f>Z80+X80*Q80+Y80*R80</x:f>
        <x:v>5.603953901395222</x:v>
      </x:c>
    </x:row>
    <x:row r="81" ht="26" customHeight="1">
      <x:c r="A81" s="2"/>
      <x:c r="B81" s="2" t="n">
        <x:v>76</x:v>
      </x:c>
      <x:c r="C81" s="2" t="str">
        <x:v>Beauty / price_contribution</x:v>
      </x:c>
      <x:c r="D81" s="2" t="str">
        <x:v>Broad rolling 8</x:v>
      </x:c>
      <x:c r="E81" s="7" t="n">
        <x:v>45473</x:v>
      </x:c>
      <x:c r="F81" s="2" t="str">
        <x:v>Pre-earnings</x:v>
      </x:c>
      <x:c r="G81" s="7" t="n">
        <x:v>45502</x:v>
      </x:c>
      <x:c r="H81" s="2" t="n">
        <x:v>8</x:v>
      </x:c>
      <x:c r="I81" s="8" t="n">
        <x:v>43.19182386703038</x:v>
      </x:c>
      <x:c r="J81" s="8" t="n">
        <x:v>0</x:v>
      </x:c>
      <x:c r="K81" s="8" t="n">
        <x:v>53</x:v>
      </x:c>
      <x:c r="L81" s="8" t="n">
        <x:v>252.18970592405591</x:v>
      </x:c>
      <x:c r="M81" s="8" t="n">
        <x:v>0</x:v>
      </x:c>
      <x:c r="N81" s="8" t="n">
        <x:v>0</x:v>
      </x:c>
      <x:c r="O81" s="8" t="n">
        <x:v>304.2261038333672</x:v>
      </x:c>
      <x:c r="P81" s="8" t="n">
        <x:v>0</x:v>
      </x:c>
      <x:c r="Q81" s="8" t="n">
        <x:v>1.6547550061168037</x:v>
      </x:c>
      <x:c r="R81" s="8" t="n">
        <x:v>0</x:v>
      </x:c>
      <x:c r="S81" s="8" t="n">
        <x:f>L81-I81^2/H81</x:f>
        <x:v>18.997999803984015</x:v>
      </x:c>
      <x:c r="T81" s="8" t="n">
        <x:f>M81-J81^2/H81</x:f>
        <x:v>0</x:v>
      </x:c>
      <x:c r="U81" s="8" t="n">
        <x:f>N81-I81*J81/H81</x:f>
        <x:v>0</x:v>
      </x:c>
      <x:c r="V81" s="8" t="n">
        <x:f>O81-I81*K81/H81</x:f>
        <x:v>18.08027071429092</x:v>
      </x:c>
      <x:c r="W81" s="8" t="n">
        <x:f>P81-J81*K81/H81</x:f>
        <x:v>0</x:v>
      </x:c>
      <x:c r="X81" s="8" t="n">
        <x:f>V81/S81</x:f>
        <x:v>0.9516933835581658</x:v>
      </x:c>
      <x:c r="Y81" s="8" t="n">
        <x:f>0</x:f>
        <x:v>0</x:v>
      </x:c>
      <x:c r="Z81" s="8" t="n">
        <x:f>K81/H81-X81*I81/H81-Y81*J81/H81</x:f>
        <x:v>1.4868283752421894</x:v>
      </x:c>
      <x:c r="AA81" s="8" t="n">
        <x:f>Z81+X81*Q81+Y81*R81</x:f>
        <x:v>3.0616477659733037</x:v>
      </x:c>
    </x:row>
    <x:row r="82" ht="26" customHeight="1">
      <x:c r="A82" s="2"/>
      <x:c r="B82" s="2" t="n">
        <x:v>77</x:v>
      </x:c>
      <x:c r="C82" s="2" t="str">
        <x:v>Beauty / price_contribution</x:v>
      </x:c>
      <x:c r="D82" s="2" t="str">
        <x:v>Own history</x:v>
      </x:c>
      <x:c r="E82" s="7" t="n">
        <x:v>45473</x:v>
      </x:c>
      <x:c r="F82" s="2" t="str">
        <x:v>Pre-earnings</x:v>
      </x:c>
      <x:c r="G82" s="7" t="n">
        <x:v>45502</x:v>
      </x:c>
      <x:c r="H82" s="2" t="n">
        <x:v>12</x:v>
      </x:c>
      <x:c r="I82" s="8" t="n">
        <x:v>63</x:v>
      </x:c>
      <x:c r="J82" s="8" t="n">
        <x:v>0</x:v>
      </x:c>
      <x:c r="K82" s="8" t="n">
        <x:v>65</x:v>
      </x:c>
      <x:c r="L82" s="8" t="n">
        <x:v>403</x:v>
      </x:c>
      <x:c r="M82" s="8" t="n">
        <x:v>0</x:v>
      </x:c>
      <x:c r="N82" s="8" t="n">
        <x:v>0</x:v>
      </x:c>
      <x:c r="O82" s="8" t="n">
        <x:v>393</x:v>
      </x:c>
      <x:c r="P82" s="8" t="n">
        <x:v>0</x:v>
      </x:c>
      <x:c r="Q82" s="8" t="n">
        <x:v>4</x:v>
      </x:c>
      <x:c r="R82" s="8" t="n">
        <x:v>0</x:v>
      </x:c>
      <x:c r="S82" s="8" t="n">
        <x:f>L82-I82^2/H82</x:f>
        <x:v>72.25</x:v>
      </x:c>
      <x:c r="T82" s="8" t="n">
        <x:f>M82-J82^2/H82</x:f>
        <x:v>0</x:v>
      </x:c>
      <x:c r="U82" s="8" t="n">
        <x:f>N82-I82*J82/H82</x:f>
        <x:v>0</x:v>
      </x:c>
      <x:c r="V82" s="8" t="n">
        <x:f>O82-I82*K82/H82</x:f>
        <x:v>51.75</x:v>
      </x:c>
      <x:c r="W82" s="8" t="n">
        <x:f>P82-J82*K82/H82</x:f>
        <x:v>0</x:v>
      </x:c>
      <x:c r="X82" s="8" t="n">
        <x:f>V82/S82</x:f>
        <x:v>0.7162629757785467</x:v>
      </x:c>
      <x:c r="Y82" s="8" t="n">
        <x:f>0</x:f>
        <x:v>0</x:v>
      </x:c>
      <x:c r="Z82" s="8" t="n">
        <x:f>K82/H82-X82*I82/H82-Y82*J82/H82</x:f>
        <x:v>1.6562860438292968</x:v>
      </x:c>
      <x:c r="AA82" s="8" t="n">
        <x:f>Z82+X82*Q82+Y82*R82</x:f>
        <x:v>4.521337946943484</x:v>
      </x:c>
    </x:row>
    <x:row r="83" ht="26" customHeight="1">
      <x:c r="A83" s="2"/>
      <x:c r="B83" s="2" t="n">
        <x:v>78</x:v>
      </x:c>
      <x:c r="C83" s="2" t="str">
        <x:v>Beauty / price_contribution</x:v>
      </x:c>
      <x:c r="D83" s="2" t="str">
        <x:v>Product price</x:v>
      </x:c>
      <x:c r="E83" s="7" t="n">
        <x:v>45473</x:v>
      </x:c>
      <x:c r="F83" s="2" t="str">
        <x:v>Pre-earnings</x:v>
      </x:c>
      <x:c r="G83" s="7" t="n">
        <x:v>45502</x:v>
      </x:c>
      <x:c r="H83" s="2" t="n">
        <x:v>13</x:v>
      </x:c>
      <x:c r="I83" s="8" t="n">
        <x:v>24.330226916034327</x:v>
      </x:c>
      <x:c r="J83" s="8" t="n">
        <x:v>0</x:v>
      </x:c>
      <x:c r="K83" s="8" t="n">
        <x:v>67</x:v>
      </x:c>
      <x:c r="L83" s="8" t="n">
        <x:v>115.32904034233687</x:v>
      </x:c>
      <x:c r="M83" s="8" t="n">
        <x:v>0</x:v>
      </x:c>
      <x:c r="N83" s="8" t="n">
        <x:v>0</x:v>
      </x:c>
      <x:c r="O83" s="8" t="n">
        <x:v>190.08704217515248</x:v>
      </x:c>
      <x:c r="P83" s="8" t="n">
        <x:v>0</x:v>
      </x:c>
      <x:c r="Q83" s="8" t="n">
        <x:v>0.4560551842614391</x:v>
      </x:c>
      <x:c r="R83" s="8" t="n">
        <x:v>0</x:v>
      </x:c>
      <x:c r="S83" s="8" t="n">
        <x:f>L83-I83^2/H83</x:f>
        <x:v>69.79366020497369</x:v>
      </x:c>
      <x:c r="T83" s="8" t="n">
        <x:f>M83-J83^2/H83</x:f>
        <x:v>0</x:v>
      </x:c>
      <x:c r="U83" s="8" t="n">
        <x:f>N83-I83*J83/H83</x:f>
        <x:v>0</x:v>
      </x:c>
      <x:c r="V83" s="8" t="n">
        <x:f>O83-I83*K83/H83</x:f>
        <x:v>64.69279576174479</x:v>
      </x:c>
      <x:c r="W83" s="8" t="n">
        <x:f>P83-J83*K83/H83</x:f>
        <x:v>0</x:v>
      </x:c>
      <x:c r="X83" s="8" t="n">
        <x:f>V83/S83</x:f>
        <x:v>0.9269150746894717</x:v>
      </x:c>
      <x:c r="Y83" s="8" t="n">
        <x:f>0</x:f>
        <x:v>0</x:v>
      </x:c>
      <x:c r="Z83" s="8" t="n">
        <x:f>K83/H83-X83*I83/H83-Y83*J83/H83</x:f>
        <x:v>3.4190727616086347</x:v>
      </x:c>
      <x:c r="AA83" s="8" t="n">
        <x:f>Z83+X83*Q83+Y83*R83</x:f>
        <x:v>3.8417971867908474</x:v>
      </x:c>
    </x:row>
    <x:row r="84" ht="26" customHeight="1">
      <x:c r="A84" s="2"/>
      <x:c r="B84" s="2" t="n">
        <x:v>79</x:v>
      </x:c>
      <x:c r="C84" s="2" t="str">
        <x:v>Beauty / price_contribution</x:v>
      </x:c>
      <x:c r="D84" s="2" t="str">
        <x:v>Product lag 1</x:v>
      </x:c>
      <x:c r="E84" s="7" t="n">
        <x:v>45473</x:v>
      </x:c>
      <x:c r="F84" s="2" t="str">
        <x:v>Pre-earnings</x:v>
      </x:c>
      <x:c r="G84" s="7" t="n">
        <x:v>45502</x:v>
      </x:c>
      <x:c r="H84" s="2" t="n">
        <x:v>12</x:v>
      </x:c>
      <x:c r="I84" s="8" t="n">
        <x:v>22.884406091877363</x:v>
      </x:c>
      <x:c r="J84" s="8" t="n">
        <x:v>0</x:v>
      </x:c>
      <x:c r="K84" s="8" t="n">
        <x:v>65</x:v>
      </x:c>
      <x:c r="L84" s="8" t="n">
        <x:v>113.23864248677094</x:v>
      </x:c>
      <x:c r="M84" s="8" t="n">
        <x:v>0</x:v>
      </x:c>
      <x:c r="N84" s="8" t="n">
        <x:v>0</x:v>
      </x:c>
      <x:c r="O84" s="8" t="n">
        <x:v>169.0739181334255</x:v>
      </x:c>
      <x:c r="P84" s="8" t="n">
        <x:v>0</x:v>
      </x:c>
      <x:c r="Q84" s="8" t="n">
        <x:v>1.4458208241569626</x:v>
      </x:c>
      <x:c r="R84" s="8" t="n">
        <x:v>0</x:v>
      </x:c>
      <x:c r="S84" s="8" t="n">
        <x:f>L84-I84^2/H84</x:f>
        <x:v>69.59730563860813</x:v>
      </x:c>
      <x:c r="T84" s="8" t="n">
        <x:f>M84-J84^2/H84</x:f>
        <x:v>0</x:v>
      </x:c>
      <x:c r="U84" s="8" t="n">
        <x:f>N84-I84*J84/H84</x:f>
        <x:v>0</x:v>
      </x:c>
      <x:c r="V84" s="8" t="n">
        <x:f>O84-I84*K84/H84</x:f>
        <x:v>45.116718469089804</x:v>
      </x:c>
      <x:c r="W84" s="8" t="n">
        <x:f>P84-J84*K84/H84</x:f>
        <x:v>0</x:v>
      </x:c>
      <x:c r="X84" s="8" t="n">
        <x:f>V84/S84</x:f>
        <x:v>0.6482538088954687</x:v>
      </x:c>
      <x:c r="Y84" s="8" t="n">
        <x:f>0</x:f>
        <x:v>0</x:v>
      </x:c>
      <x:c r="Z84" s="8" t="n">
        <x:f>K84/H84-X84*I84/H84-Y84*J84/H84</x:f>
        <x:v>4.180424715552486</x:v>
      </x:c>
      <x:c r="AA84" s="8" t="n">
        <x:f>Z84+X84*Q84+Y84*R84</x:f>
        <x:v>5.117683571792623</x:v>
      </x:c>
    </x:row>
    <x:row r="85" ht="26" customHeight="1">
      <x:c r="A85" s="2"/>
      <x:c r="B85" s="2" t="n">
        <x:v>80</x:v>
      </x:c>
      <x:c r="C85" s="2" t="str">
        <x:v>Beauty / price_contribution</x:v>
      </x:c>
      <x:c r="D85" s="2" t="str">
        <x:v>Own + product</x:v>
      </x:c>
      <x:c r="E85" s="7" t="n">
        <x:v>45473</x:v>
      </x:c>
      <x:c r="F85" s="2" t="str">
        <x:v>Pre-earnings</x:v>
      </x:c>
      <x:c r="G85" s="7" t="n">
        <x:v>45502</x:v>
      </x:c>
      <x:c r="H85" s="2" t="n">
        <x:v>12</x:v>
      </x:c>
      <x:c r="I85" s="8" t="n">
        <x:v>24.745000292411223</x:v>
      </x:c>
      <x:c r="J85" s="8" t="n">
        <x:v>63</x:v>
      </x:c>
      <x:c r="K85" s="8" t="n">
        <x:v>65</x:v>
      </x:c>
      <x:c r="L85" s="8" t="n">
        <x:v>115.15700338858576</x:v>
      </x:c>
      <x:c r="M85" s="8" t="n">
        <x:v>403</x:v>
      </x:c>
      <x:c r="N85" s="8" t="n">
        <x:v>192.92701753432675</x:v>
      </x:c>
      <x:c r="O85" s="8" t="n">
        <x:v>190.91658892790628</x:v>
      </x:c>
      <x:c r="P85" s="8" t="n">
        <x:v>393</x:v>
      </x:c>
      <x:c r="Q85" s="8" t="n">
        <x:v>0.4560551842614391</x:v>
      </x:c>
      <x:c r="R85" s="8" t="n">
        <x:v>4</x:v>
      </x:c>
      <x:c r="S85" s="8" t="n">
        <x:f>L85-I85^2/H85</x:f>
        <x:v>64.1307500992998</x:v>
      </x:c>
      <x:c r="T85" s="8" t="n">
        <x:f>M85-J85^2/H85</x:f>
        <x:v>72.25</x:v>
      </x:c>
      <x:c r="U85" s="8" t="n">
        <x:f>N85-I85*J85/H85</x:f>
        <x:v>63.015765999167826</x:v>
      </x:c>
      <x:c r="V85" s="8" t="n">
        <x:f>O85-I85*K85/H85</x:f>
        <x:v>56.881170677345466</x:v>
      </x:c>
      <x:c r="W85" s="8" t="n">
        <x:f>P85-J85*K85/H85</x:f>
        <x:v>51.75</x:v>
      </x:c>
      <x:c r="X85" s="8" t="n">
        <x:f>(V85*T85-W85*U85)/(S85*T85-U85^2)</x:f>
        <x:v>1.280981161696862</x:v>
      </x:c>
      <x:c r="Y85" s="8" t="n">
        <x:f>(W85*S85-V85*U85)/(S85*T85-U85^2)</x:f>
        <x:v>-0.40099666622604235</x:v>
      </x:c>
      <x:c r="Z85" s="8" t="n">
        <x:f>K85/H85-X85*I85/H85-Y85*J85/H85</x:f>
        <x:v>4.88040922928988</x:v>
      </x:c>
      <x:c r="AA85" s="8" t="n">
        <x:f>Z85+X85*Q85+Y85*R85</x:f>
        <x:v>3.860620664118805</x:v>
      </x:c>
    </x:row>
    <x:row r="86" ht="26" customHeight="1">
      <x:c r="A86" s="2"/>
      <x:c r="B86" s="2" t="n">
        <x:v>81</x:v>
      </x:c>
      <x:c r="C86" s="2" t="str">
        <x:v>Beauty / price_contribution</x:v>
      </x:c>
      <x:c r="D86" s="2" t="str">
        <x:v>Broad market</x:v>
      </x:c>
      <x:c r="E86" s="7" t="n">
        <x:v>45565</x:v>
      </x:c>
      <x:c r="F86" s="2" t="str">
        <x:v>Origin</x:v>
      </x:c>
      <x:c r="G86" s="7" t="n">
        <x:v>45474</x:v>
      </x:c>
      <x:c r="H86" s="2" t="n">
        <x:v>13</x:v>
      </x:c>
      <x:c r="I86" s="8" t="n">
        <x:v>43.34163754201088</x:v>
      </x:c>
      <x:c r="J86" s="8" t="n">
        <x:v>0</x:v>
      </x:c>
      <x:c r="K86" s="8" t="n">
        <x:v>67</x:v>
      </x:c>
      <x:c r="L86" s="8" t="n">
        <x:v>253.53373589833902</x:v>
      </x:c>
      <x:c r="M86" s="8" t="n">
        <x:v>0</x:v>
      </x:c>
      <x:c r="N86" s="8" t="n">
        <x:v>0</x:v>
      </x:c>
      <x:c r="O86" s="8" t="n">
        <x:v>306.1412102692783</x:v>
      </x:c>
      <x:c r="P86" s="8" t="n">
        <x:v>0</x:v>
      </x:c>
      <x:c r="Q86" s="8" t="n">
        <x:v>2.4448012966521437</x:v>
      </x:c>
      <x:c r="R86" s="8" t="n">
        <x:v>0</x:v>
      </x:c>
      <x:c r="S86" s="8" t="n">
        <x:f>L86-I86^2/H86</x:f>
        <x:v>109.03392475810463</x:v>
      </x:c>
      <x:c r="T86" s="8" t="n">
        <x:f>M86-J86^2/H86</x:f>
        <x:v>0</x:v>
      </x:c>
      <x:c r="U86" s="8" t="n">
        <x:f>N86-I86*J86/H86</x:f>
        <x:v>0</x:v>
      </x:c>
      <x:c r="V86" s="8" t="n">
        <x:f>O86-I86*K86/H86</x:f>
        <x:v>82.76507832199144</x:v>
      </x:c>
      <x:c r="W86" s="8" t="n">
        <x:f>P86-J86*K86/H86</x:f>
        <x:v>0</x:v>
      </x:c>
      <x:c r="X86" s="8" t="n">
        <x:f>V86/S86</x:f>
        <x:v>0.7590763930181226</x:v>
      </x:c>
      <x:c r="Y86" s="8" t="n">
        <x:f>0</x:f>
        <x:v>0</x:v>
      </x:c>
      <x:c r="Z86" s="8" t="n">
        <x:f>K86/H86-X86*I86/H86-Y86*J86/H86</x:f>
        <x:v>2.6231066236239644</x:v>
      </x:c>
      <x:c r="AA86" s="8" t="n">
        <x:f>Z86+X86*Q86+Y86*R86</x:f>
        <x:v>4.478897573532703</x:v>
      </x:c>
    </x:row>
    <x:row r="87" ht="26" customHeight="1">
      <x:c r="A87" s="2"/>
      <x:c r="B87" s="2" t="n">
        <x:v>82</x:v>
      </x:c>
      <x:c r="C87" s="2" t="str">
        <x:v>Beauty / price_contribution</x:v>
      </x:c>
      <x:c r="D87" s="2" t="str">
        <x:v>Broad rolling 8</x:v>
      </x:c>
      <x:c r="E87" s="7" t="n">
        <x:v>45565</x:v>
      </x:c>
      <x:c r="F87" s="2" t="str">
        <x:v>Origin</x:v>
      </x:c>
      <x:c r="G87" s="7" t="n">
        <x:v>45474</x:v>
      </x:c>
      <x:c r="H87" s="2" t="n">
        <x:v>8</x:v>
      </x:c>
      <x:c r="I87" s="8" t="n">
        <x:v>43.19182386703038</x:v>
      </x:c>
      <x:c r="J87" s="8" t="n">
        <x:v>0</x:v>
      </x:c>
      <x:c r="K87" s="8" t="n">
        <x:v>53</x:v>
      </x:c>
      <x:c r="L87" s="8" t="n">
        <x:v>252.18970592405591</x:v>
      </x:c>
      <x:c r="M87" s="8" t="n">
        <x:v>0</x:v>
      </x:c>
      <x:c r="N87" s="8" t="n">
        <x:v>0</x:v>
      </x:c>
      <x:c r="O87" s="8" t="n">
        <x:v>304.2261038333672</x:v>
      </x:c>
      <x:c r="P87" s="8" t="n">
        <x:v>0</x:v>
      </x:c>
      <x:c r="Q87" s="8" t="n">
        <x:v>2.4448012966521437</x:v>
      </x:c>
      <x:c r="R87" s="8" t="n">
        <x:v>0</x:v>
      </x:c>
      <x:c r="S87" s="8" t="n">
        <x:f>L87-I87^2/H87</x:f>
        <x:v>18.997999803984015</x:v>
      </x:c>
      <x:c r="T87" s="8" t="n">
        <x:f>M87-J87^2/H87</x:f>
        <x:v>0</x:v>
      </x:c>
      <x:c r="U87" s="8" t="n">
        <x:f>N87-I87*J87/H87</x:f>
        <x:v>0</x:v>
      </x:c>
      <x:c r="V87" s="8" t="n">
        <x:f>O87-I87*K87/H87</x:f>
        <x:v>18.08027071429092</x:v>
      </x:c>
      <x:c r="W87" s="8" t="n">
        <x:f>P87-J87*K87/H87</x:f>
        <x:v>0</x:v>
      </x:c>
      <x:c r="X87" s="8" t="n">
        <x:f>V87/S87</x:f>
        <x:v>0.9516933835581658</x:v>
      </x:c>
      <x:c r="Y87" s="8" t="n">
        <x:f>0</x:f>
        <x:v>0</x:v>
      </x:c>
      <x:c r="Z87" s="8" t="n">
        <x:f>K87/H87-X87*I87/H87-Y87*J87/H87</x:f>
        <x:v>1.4868283752421894</x:v>
      </x:c>
      <x:c r="AA87" s="8" t="n">
        <x:f>Z87+X87*Q87+Y87*R87</x:f>
        <x:v>3.813529593380459</x:v>
      </x:c>
    </x:row>
    <x:row r="88" ht="26" customHeight="1">
      <x:c r="A88" s="2"/>
      <x:c r="B88" s="2" t="n">
        <x:v>83</x:v>
      </x:c>
      <x:c r="C88" s="2" t="str">
        <x:v>Beauty / price_contribution</x:v>
      </x:c>
      <x:c r="D88" s="2" t="str">
        <x:v>Own history</x:v>
      </x:c>
      <x:c r="E88" s="7" t="n">
        <x:v>45565</x:v>
      </x:c>
      <x:c r="F88" s="2" t="str">
        <x:v>Origin</x:v>
      </x:c>
      <x:c r="G88" s="7" t="n">
        <x:v>45474</x:v>
      </x:c>
      <x:c r="H88" s="2" t="n">
        <x:v>11</x:v>
      </x:c>
      <x:c r="I88" s="8" t="n">
        <x:v>59</x:v>
      </x:c>
      <x:c r="J88" s="8" t="n">
        <x:v>0</x:v>
      </x:c>
      <x:c r="K88" s="8" t="n">
        <x:v>61</x:v>
      </x:c>
      <x:c r="L88" s="8" t="n">
        <x:v>387</x:v>
      </x:c>
      <x:c r="M88" s="8" t="n">
        <x:v>0</x:v>
      </x:c>
      <x:c r="N88" s="8" t="n">
        <x:v>0</x:v>
      </x:c>
      <x:c r="O88" s="8" t="n">
        <x:v>358</x:v>
      </x:c>
      <x:c r="P88" s="8" t="n">
        <x:v>0</x:v>
      </x:c>
      <x:c r="Q88" s="8" t="n">
        <x:v>4</x:v>
      </x:c>
      <x:c r="R88" s="8" t="n">
        <x:v>0</x:v>
      </x:c>
      <x:c r="S88" s="8" t="n">
        <x:f>L88-I88^2/H88</x:f>
        <x:v>70.54545454545456</x:v>
      </x:c>
      <x:c r="T88" s="8" t="n">
        <x:f>M88-J88^2/H88</x:f>
        <x:v>0</x:v>
      </x:c>
      <x:c r="U88" s="8" t="n">
        <x:f>N88-I88*J88/H88</x:f>
        <x:v>0</x:v>
      </x:c>
      <x:c r="V88" s="8" t="n">
        <x:f>O88-I88*K88/H88</x:f>
        <x:v>30.818181818181813</x:v>
      </x:c>
      <x:c r="W88" s="8" t="n">
        <x:f>P88-J88*K88/H88</x:f>
        <x:v>0</x:v>
      </x:c>
      <x:c r="X88" s="8" t="n">
        <x:f>V88/S88</x:f>
        <x:v>0.4368556701030926</x:v>
      </x:c>
      <x:c r="Y88" s="8" t="n">
        <x:f>0</x:f>
        <x:v>0</x:v>
      </x:c>
      <x:c r="Z88" s="8" t="n">
        <x:f>K88/H88-X88*I88/H88-Y88*J88/H88</x:f>
        <x:v>3.202319587628867</x:v>
      </x:c>
      <x:c r="AA88" s="8" t="n">
        <x:f>Z88+X88*Q88+Y88*R88</x:f>
        <x:v>4.949742268041238</x:v>
      </x:c>
    </x:row>
    <x:row r="89" ht="26" customHeight="1">
      <x:c r="A89" s="2"/>
      <x:c r="B89" s="2" t="n">
        <x:v>84</x:v>
      </x:c>
      <x:c r="C89" s="2" t="str">
        <x:v>Beauty / price_contribution</x:v>
      </x:c>
      <x:c r="D89" s="2" t="str">
        <x:v>Product price</x:v>
      </x:c>
      <x:c r="E89" s="7" t="n">
        <x:v>45565</x:v>
      </x:c>
      <x:c r="F89" s="2" t="str">
        <x:v>Origin</x:v>
      </x:c>
      <x:c r="G89" s="7" t="n">
        <x:v>45474</x:v>
      </x:c>
      <x:c r="H89" s="2" t="n">
        <x:v>13</x:v>
      </x:c>
      <x:c r="I89" s="8" t="n">
        <x:v>24.330226916034327</x:v>
      </x:c>
      <x:c r="J89" s="8" t="n">
        <x:v>0</x:v>
      </x:c>
      <x:c r="K89" s="8" t="n">
        <x:v>67</x:v>
      </x:c>
      <x:c r="L89" s="8" t="n">
        <x:v>115.32904034233687</x:v>
      </x:c>
      <x:c r="M89" s="8" t="n">
        <x:v>0</x:v>
      </x:c>
      <x:c r="N89" s="8" t="n">
        <x:v>0</x:v>
      </x:c>
      <x:c r="O89" s="8" t="n">
        <x:v>190.08704217515248</x:v>
      </x:c>
      <x:c r="P89" s="8" t="n">
        <x:v>0</x:v>
      </x:c>
      <x:c r="Q89" s="8" t="n">
        <x:v>0.982945840137095</x:v>
      </x:c>
      <x:c r="R89" s="8" t="n">
        <x:v>0</x:v>
      </x:c>
      <x:c r="S89" s="8" t="n">
        <x:f>L89-I89^2/H89</x:f>
        <x:v>69.79366020497369</x:v>
      </x:c>
      <x:c r="T89" s="8" t="n">
        <x:f>M89-J89^2/H89</x:f>
        <x:v>0</x:v>
      </x:c>
      <x:c r="U89" s="8" t="n">
        <x:f>N89-I89*J89/H89</x:f>
        <x:v>0</x:v>
      </x:c>
      <x:c r="V89" s="8" t="n">
        <x:f>O89-I89*K89/H89</x:f>
        <x:v>64.69279576174479</x:v>
      </x:c>
      <x:c r="W89" s="8" t="n">
        <x:f>P89-J89*K89/H89</x:f>
        <x:v>0</x:v>
      </x:c>
      <x:c r="X89" s="8" t="n">
        <x:f>V89/S89</x:f>
        <x:v>0.9269150746894717</x:v>
      </x:c>
      <x:c r="Y89" s="8" t="n">
        <x:f>0</x:f>
        <x:v>0</x:v>
      </x:c>
      <x:c r="Z89" s="8" t="n">
        <x:f>K89/H89-X89*I89/H89-Y89*J89/H89</x:f>
        <x:v>3.4190727616086347</x:v>
      </x:c>
      <x:c r="AA89" s="8" t="n">
        <x:f>Z89+X89*Q89+Y89*R89</x:f>
        <x:v>4.330180078435015</x:v>
      </x:c>
    </x:row>
    <x:row r="90" ht="26" customHeight="1">
      <x:c r="A90" s="2"/>
      <x:c r="B90" s="2" t="n">
        <x:v>85</x:v>
      </x:c>
      <x:c r="C90" s="2" t="str">
        <x:v>Beauty / price_contribution</x:v>
      </x:c>
      <x:c r="D90" s="2" t="str">
        <x:v>Broad market</x:v>
      </x:c>
      <x:c r="E90" s="7" t="n">
        <x:v>45565</x:v>
      </x:c>
      <x:c r="F90" s="2" t="str">
        <x:v>Prior report</x:v>
      </x:c>
      <x:c r="G90" s="7" t="n">
        <x:v>45503</x:v>
      </x:c>
      <x:c r="H90" s="2" t="n">
        <x:v>14</x:v>
      </x:c>
      <x:c r="I90" s="8" t="n">
        <x:v>44.99639254812769</x:v>
      </x:c>
      <x:c r="J90" s="8" t="n">
        <x:v>0</x:v>
      </x:c>
      <x:c r="K90" s="8" t="n">
        <x:v>70</x:v>
      </x:c>
      <x:c r="L90" s="8" t="n">
        <x:v>256.27195002860765</x:v>
      </x:c>
      <x:c r="M90" s="8" t="n">
        <x:v>0</x:v>
      </x:c>
      <x:c r="N90" s="8" t="n">
        <x:v>0</x:v>
      </x:c>
      <x:c r="O90" s="8" t="n">
        <x:v>311.10547528762874</x:v>
      </x:c>
      <x:c r="P90" s="8" t="n">
        <x:v>0</x:v>
      </x:c>
      <x:c r="Q90" s="8" t="n">
        <x:v>1.6583438100702175</x:v>
      </x:c>
      <x:c r="R90" s="8" t="n">
        <x:v>0</x:v>
      </x:c>
      <x:c r="S90" s="8" t="n">
        <x:f>L90-I90^2/H90</x:f>
        <x:v>111.65228271823614</x:v>
      </x:c>
      <x:c r="T90" s="8" t="n">
        <x:f>M90-J90^2/H90</x:f>
        <x:v>0</x:v>
      </x:c>
      <x:c r="U90" s="8" t="n">
        <x:f>N90-I90*J90/H90</x:f>
        <x:v>0</x:v>
      </x:c>
      <x:c r="V90" s="8" t="n">
        <x:f>O90-I90*K90/H90</x:f>
        <x:v>86.1235125469903</x:v>
      </x:c>
      <x:c r="W90" s="8" t="n">
        <x:f>P90-J90*K90/H90</x:f>
        <x:v>0</x:v>
      </x:c>
      <x:c r="X90" s="8" t="n">
        <x:f>V90/S90</x:f>
        <x:v>0.7713546955804762</x:v>
      </x:c>
      <x:c r="Y90" s="8" t="n">
        <x:f>0</x:f>
        <x:v>0</x:v>
      </x:c>
      <x:c r="Z90" s="8" t="n">
        <x:f>K90/H90-X90*I90/H90-Y90*J90/H90</x:f>
        <x:v>2.5208443802728118</x:v>
      </x:c>
      <x:c r="AA90" s="8" t="n">
        <x:f>Z90+X90*Q90+Y90*R90</x:f>
        <x:v>3.800015665057291</x:v>
      </x:c>
    </x:row>
    <x:row r="91" ht="26" customHeight="1">
      <x:c r="A91" s="2"/>
      <x:c r="B91" s="2" t="n">
        <x:v>86</x:v>
      </x:c>
      <x:c r="C91" s="2" t="str">
        <x:v>Beauty / price_contribution</x:v>
      </x:c>
      <x:c r="D91" s="2" t="str">
        <x:v>Broad lag 1</x:v>
      </x:c>
      <x:c r="E91" s="7" t="n">
        <x:v>45565</x:v>
      </x:c>
      <x:c r="F91" s="2" t="str">
        <x:v>Prior report</x:v>
      </x:c>
      <x:c r="G91" s="7" t="n">
        <x:v>45503</x:v>
      </x:c>
      <x:c r="H91" s="2" t="n">
        <x:v>13</x:v>
      </x:c>
      <x:c r="I91" s="8" t="n">
        <x:v>43.34163754201088</x:v>
      </x:c>
      <x:c r="J91" s="8" t="n">
        <x:v>0</x:v>
      </x:c>
      <x:c r="K91" s="8" t="n">
        <x:v>68</x:v>
      </x:c>
      <x:c r="L91" s="8" t="n">
        <x:v>253.53373589833902</x:v>
      </x:c>
      <x:c r="M91" s="8" t="n">
        <x:v>0</x:v>
      </x:c>
      <x:c r="N91" s="8" t="n">
        <x:v>0</x:v>
      </x:c>
      <x:c r="O91" s="8" t="n">
        <x:v>288.16560727202227</x:v>
      </x:c>
      <x:c r="P91" s="8" t="n">
        <x:v>0</x:v>
      </x:c>
      <x:c r="Q91" s="8" t="n">
        <x:v>1.6547550061168037</x:v>
      </x:c>
      <x:c r="R91" s="8" t="n">
        <x:v>0</x:v>
      </x:c>
      <x:c r="S91" s="8" t="n">
        <x:f>L91-I91^2/H91</x:f>
        <x:v>109.03392475810463</x:v>
      </x:c>
      <x:c r="T91" s="8" t="n">
        <x:f>M91-J91^2/H91</x:f>
        <x:v>0</x:v>
      </x:c>
      <x:c r="U91" s="8" t="n">
        <x:f>N91-I91*J91/H91</x:f>
        <x:v>0</x:v>
      </x:c>
      <x:c r="V91" s="8" t="n">
        <x:f>O91-I91*K91/H91</x:f>
        <x:v>61.455503206119204</x:v>
      </x:c>
      <x:c r="W91" s="8" t="n">
        <x:f>P91-J91*K91/H91</x:f>
        <x:v>0</x:v>
      </x:c>
      <x:c r="X91" s="8" t="n">
        <x:f>V91/S91</x:f>
        <x:v>0.5636365318634569</x:v>
      </x:c>
      <x:c r="Y91" s="8" t="n">
        <x:f>0</x:f>
        <x:v>0</x:v>
      </x:c>
      <x:c r="Z91" s="8" t="n">
        <x:f>K91/H91-X91*I91/H91-Y91*J91/H91</x:f>
        <x:v>3.3516207485029224</x:v>
      </x:c>
      <x:c r="AA91" s="8" t="n">
        <x:f>Z91+X91*Q91+Y91*R91</x:f>
        <x:v>4.284301121234291</x:v>
      </x:c>
    </x:row>
    <x:row r="92" ht="26" customHeight="1">
      <x:c r="A92" s="2"/>
      <x:c r="B92" s="2" t="n">
        <x:v>87</x:v>
      </x:c>
      <x:c r="C92" s="2" t="str">
        <x:v>Beauty / price_contribution</x:v>
      </x:c>
      <x:c r="D92" s="2" t="str">
        <x:v>Broad rolling 8</x:v>
      </x:c>
      <x:c r="E92" s="7" t="n">
        <x:v>45565</x:v>
      </x:c>
      <x:c r="F92" s="2" t="str">
        <x:v>Prior report</x:v>
      </x:c>
      <x:c r="G92" s="7" t="n">
        <x:v>45503</x:v>
      </x:c>
      <x:c r="H92" s="2" t="n">
        <x:v>8</x:v>
      </x:c>
      <x:c r="I92" s="8" t="n">
        <x:v>41.93430593153869</x:v>
      </x:c>
      <x:c r="J92" s="8" t="n">
        <x:v>0</x:v>
      </x:c>
      <x:c r="K92" s="8" t="n">
        <x:v>50</x:v>
      </x:c>
      <x:c r="L92" s="8" t="n">
        <x:v>246.44658636789953</x:v>
      </x:c>
      <x:c r="M92" s="8" t="n">
        <x:v>0</x:v>
      </x:c>
      <x:c r="N92" s="8" t="n">
        <x:v>0</x:v>
      </x:c>
      <x:c r="O92" s="8" t="n">
        <x:v>291.7167312020666</x:v>
      </x:c>
      <x:c r="P92" s="8" t="n">
        <x:v>0</x:v>
      </x:c>
      <x:c r="Q92" s="8" t="n">
        <x:v>1.6583438100702175</x:v>
      </x:c>
      <x:c r="R92" s="8" t="n">
        <x:v>0</x:v>
      </x:c>
      <x:c r="S92" s="8" t="n">
        <x:f>L92-I92^2/H92</x:f>
        <x:v>26.635834622914416</x:v>
      </x:c>
      <x:c r="T92" s="8" t="n">
        <x:f>M92-J92^2/H92</x:f>
        <x:v>0</x:v>
      </x:c>
      <x:c r="U92" s="8" t="n">
        <x:f>N92-I92*J92/H92</x:f>
        <x:v>0</x:v>
      </x:c>
      <x:c r="V92" s="8" t="n">
        <x:f>O92-I92*K92/H92</x:f>
        <x:v>29.627319129949797</x:v>
      </x:c>
      <x:c r="W92" s="8" t="n">
        <x:f>P92-J92*K92/H92</x:f>
        <x:v>0</x:v>
      </x:c>
      <x:c r="X92" s="8" t="n">
        <x:f>V92/S92</x:f>
        <x:v>1.112310522624354</x:v>
      </x:c>
      <x:c r="Y92" s="8" t="n">
        <x:f>0</x:f>
        <x:v>0</x:v>
      </x:c>
      <x:c r="Z92" s="8" t="n">
        <x:f>K92/H92-X92*I92/H92-Y92*J92/H92</x:f>
        <x:v>0.41950378167508173</x:v>
      </x:c>
      <x:c r="AA92" s="8" t="n">
        <x:f>Z92+X92*Q92+Y92*R92</x:f>
        <x:v>2.2640970517451477</x:v>
      </x:c>
    </x:row>
    <x:row r="93" ht="26" customHeight="1">
      <x:c r="A93" s="2"/>
      <x:c r="B93" s="2" t="n">
        <x:v>88</x:v>
      </x:c>
      <x:c r="C93" s="2" t="str">
        <x:v>Beauty / price_contribution</x:v>
      </x:c>
      <x:c r="D93" s="2" t="str">
        <x:v>Own history</x:v>
      </x:c>
      <x:c r="E93" s="7" t="n">
        <x:v>45565</x:v>
      </x:c>
      <x:c r="F93" s="2" t="str">
        <x:v>Prior report</x:v>
      </x:c>
      <x:c r="G93" s="7" t="n">
        <x:v>45503</x:v>
      </x:c>
      <x:c r="H93" s="2" t="n">
        <x:v>13</x:v>
      </x:c>
      <x:c r="I93" s="8" t="n">
        <x:v>67</x:v>
      </x:c>
      <x:c r="J93" s="8" t="n">
        <x:v>0</x:v>
      </x:c>
      <x:c r="K93" s="8" t="n">
        <x:v>68</x:v>
      </x:c>
      <x:c r="L93" s="8" t="n">
        <x:v>419</x:v>
      </x:c>
      <x:c r="M93" s="8" t="n">
        <x:v>0</x:v>
      </x:c>
      <x:c r="N93" s="8" t="n">
        <x:v>0</x:v>
      </x:c>
      <x:c r="O93" s="8" t="n">
        <x:v>405</x:v>
      </x:c>
      <x:c r="P93" s="8" t="n">
        <x:v>0</x:v>
      </x:c>
      <x:c r="Q93" s="8" t="n">
        <x:v>3</x:v>
      </x:c>
      <x:c r="R93" s="8" t="n">
        <x:v>0</x:v>
      </x:c>
      <x:c r="S93" s="8" t="n">
        <x:f>L93-I93^2/H93</x:f>
        <x:v>73.69230769230768</x:v>
      </x:c>
      <x:c r="T93" s="8" t="n">
        <x:f>M93-J93^2/H93</x:f>
        <x:v>0</x:v>
      </x:c>
      <x:c r="U93" s="8" t="n">
        <x:f>N93-I93*J93/H93</x:f>
        <x:v>0</x:v>
      </x:c>
      <x:c r="V93" s="8" t="n">
        <x:f>O93-I93*K93/H93</x:f>
        <x:v>54.53846153846155</x:v>
      </x:c>
      <x:c r="W93" s="8" t="n">
        <x:f>P93-J93*K93/H93</x:f>
        <x:v>0</x:v>
      </x:c>
      <x:c r="X93" s="8" t="n">
        <x:f>V93/S93</x:f>
        <x:v>0.7400835073068897</x:v>
      </x:c>
      <x:c r="Y93" s="8" t="n">
        <x:f>0</x:f>
        <x:v>0</x:v>
      </x:c>
      <x:c r="Z93" s="8" t="n">
        <x:f>K93/H93-X93*I93/H93-Y93*J93/H93</x:f>
        <x:v>1.4164926931106456</x:v>
      </x:c>
      <x:c r="AA93" s="8" t="n">
        <x:f>Z93+X93*Q93+Y93*R93</x:f>
        <x:v>3.6367432150313146</x:v>
      </x:c>
    </x:row>
    <x:row r="94" ht="26" customHeight="1">
      <x:c r="A94" s="2"/>
      <x:c r="B94" s="2" t="n">
        <x:v>89</x:v>
      </x:c>
      <x:c r="C94" s="2" t="str">
        <x:v>Beauty / price_contribution</x:v>
      </x:c>
      <x:c r="D94" s="2" t="str">
        <x:v>Product price</x:v>
      </x:c>
      <x:c r="E94" s="7" t="n">
        <x:v>45565</x:v>
      </x:c>
      <x:c r="F94" s="2" t="str">
        <x:v>Prior report</x:v>
      </x:c>
      <x:c r="G94" s="7" t="n">
        <x:v>45503</x:v>
      </x:c>
      <x:c r="H94" s="2" t="n">
        <x:v>14</x:v>
      </x:c>
      <x:c r="I94" s="8" t="n">
        <x:v>24.786282100295765</x:v>
      </x:c>
      <x:c r="J94" s="8" t="n">
        <x:v>0</x:v>
      </x:c>
      <x:c r="K94" s="8" t="n">
        <x:v>70</x:v>
      </x:c>
      <x:c r="L94" s="8" t="n">
        <x:v>115.5370266734286</x:v>
      </x:c>
      <x:c r="M94" s="8" t="n">
        <x:v>0</x:v>
      </x:c>
      <x:c r="N94" s="8" t="n">
        <x:v>0</x:v>
      </x:c>
      <x:c r="O94" s="8" t="n">
        <x:v>191.4552077279368</x:v>
      </x:c>
      <x:c r="P94" s="8" t="n">
        <x:v>0</x:v>
      </x:c>
      <x:c r="Q94" s="8" t="n">
        <x:v>0.45687497211508443</x:v>
      </x:c>
      <x:c r="R94" s="8" t="n">
        <x:v>0</x:v>
      </x:c>
      <x:c r="S94" s="8" t="n">
        <x:f>L94-I94^2/H94</x:f>
        <x:v>71.65418521946845</x:v>
      </x:c>
      <x:c r="T94" s="8" t="n">
        <x:f>M94-J94^2/H94</x:f>
        <x:v>0</x:v>
      </x:c>
      <x:c r="U94" s="8" t="n">
        <x:f>N94-I94*J94/H94</x:f>
        <x:v>0</x:v>
      </x:c>
      <x:c r="V94" s="8" t="n">
        <x:f>O94-I94*K94/H94</x:f>
        <x:v>67.52379722645797</x:v>
      </x:c>
      <x:c r="W94" s="8" t="n">
        <x:f>P94-J94*K94/H94</x:f>
        <x:v>0</x:v>
      </x:c>
      <x:c r="X94" s="8" t="n">
        <x:f>V94/S94</x:f>
        <x:v>0.9423566400153798</x:v>
      </x:c>
      <x:c r="Y94" s="8" t="n">
        <x:f>0</x:f>
        <x:v>0</x:v>
      </x:c>
      <x:c r="Z94" s="8" t="n">
        <x:f>K94/H94-X94*I94/H94-Y94*J94/H94</x:f>
        <x:v>3.331605891535138</x:v>
      </x:c>
      <x:c r="AA94" s="8" t="n">
        <x:f>Z94+X94*Q94+Y94*R94</x:f>
        <x:v>3.762145055164629</x:v>
      </x:c>
    </x:row>
    <x:row r="95" ht="26" customHeight="1">
      <x:c r="A95" s="2"/>
      <x:c r="B95" s="2" t="n">
        <x:v>90</x:v>
      </x:c>
      <x:c r="C95" s="2" t="str">
        <x:v>Beauty / price_contribution</x:v>
      </x:c>
      <x:c r="D95" s="2" t="str">
        <x:v>Product lag 1</x:v>
      </x:c>
      <x:c r="E95" s="7" t="n">
        <x:v>45565</x:v>
      </x:c>
      <x:c r="F95" s="2" t="str">
        <x:v>Prior report</x:v>
      </x:c>
      <x:c r="G95" s="7" t="n">
        <x:v>45503</x:v>
      </x:c>
      <x:c r="H95" s="2" t="n">
        <x:v>13</x:v>
      </x:c>
      <x:c r="I95" s="8" t="n">
        <x:v>24.330226916034327</x:v>
      </x:c>
      <x:c r="J95" s="8" t="n">
        <x:v>0</x:v>
      </x:c>
      <x:c r="K95" s="8" t="n">
        <x:v>68</x:v>
      </x:c>
      <x:c r="L95" s="8" t="n">
        <x:v>115.32904034233687</x:v>
      </x:c>
      <x:c r="M95" s="8" t="n">
        <x:v>0</x:v>
      </x:c>
      <x:c r="N95" s="8" t="n">
        <x:v>0</x:v>
      </x:c>
      <x:c r="O95" s="8" t="n">
        <x:v>173.4113806058964</x:v>
      </x:c>
      <x:c r="P95" s="8" t="n">
        <x:v>0</x:v>
      </x:c>
      <x:c r="Q95" s="8" t="n">
        <x:v>0.4560551842614391</x:v>
      </x:c>
      <x:c r="R95" s="8" t="n">
        <x:v>0</x:v>
      </x:c>
      <x:c r="S95" s="8" t="n">
        <x:f>L95-I95^2/H95</x:f>
        <x:v>69.79366020497369</x:v>
      </x:c>
      <x:c r="T95" s="8" t="n">
        <x:f>M95-J95^2/H95</x:f>
        <x:v>0</x:v>
      </x:c>
      <x:c r="U95" s="8" t="n">
        <x:f>N95-I95*J95/H95</x:f>
        <x:v>0</x:v>
      </x:c>
      <x:c r="V95" s="8" t="n">
        <x:f>O95-I95*K95/H95</x:f>
        <x:v>46.145578275870676</x:v>
      </x:c>
      <x:c r="W95" s="8" t="n">
        <x:f>P95-J95*K95/H95</x:f>
        <x:v>0</x:v>
      </x:c>
      <x:c r="X95" s="8" t="n">
        <x:f>V95/S95</x:f>
        <x:v>0.66117148950704</x:v>
      </x:c>
      <x:c r="Y95" s="8" t="n">
        <x:f>0</x:f>
        <x:v>0</x:v>
      </x:c>
      <x:c r="Z95" s="8" t="n">
        <x:f>K95/H95-X95*I95/H95-Y95*J95/H95</x:f>
        <x:v>3.9933498176831774</x:v>
      </x:c>
      <x:c r="AA95" s="8" t="n">
        <x:f>Z95+X95*Q95+Y95*R95</x:f>
        <x:v>4.294880503158721</x:v>
      </x:c>
    </x:row>
    <x:row r="96" ht="26" customHeight="1">
      <x:c r="A96" s="2"/>
      <x:c r="B96" s="2" t="n">
        <x:v>91</x:v>
      </x:c>
      <x:c r="C96" s="2" t="str">
        <x:v>Beauty / price_contribution</x:v>
      </x:c>
      <x:c r="D96" s="2" t="str">
        <x:v>Own + product</x:v>
      </x:c>
      <x:c r="E96" s="7" t="n">
        <x:v>45565</x:v>
      </x:c>
      <x:c r="F96" s="2" t="str">
        <x:v>Prior report</x:v>
      </x:c>
      <x:c r="G96" s="7" t="n">
        <x:v>45503</x:v>
      </x:c>
      <x:c r="H96" s="2" t="n">
        <x:v>13</x:v>
      </x:c>
      <x:c r="I96" s="8" t="n">
        <x:v>25.201055476672664</x:v>
      </x:c>
      <x:c r="J96" s="8" t="n">
        <x:v>67</x:v>
      </x:c>
      <x:c r="K96" s="8" t="n">
        <x:v>68</x:v>
      </x:c>
      <x:c r="L96" s="8" t="n">
        <x:v>115.36498971967751</x:v>
      </x:c>
      <x:c r="M96" s="8" t="n">
        <x:v>419</x:v>
      </x:c>
      <x:c r="N96" s="8" t="n">
        <x:v>194.7512382713725</x:v>
      </x:c>
      <x:c r="O96" s="8" t="n">
        <x:v>192.2847544806906</x:v>
      </x:c>
      <x:c r="P96" s="8" t="n">
        <x:v>405</x:v>
      </x:c>
      <x:c r="Q96" s="8" t="n">
        <x:v>0.45687497211508443</x:v>
      </x:c>
      <x:c r="R96" s="8" t="n">
        <x:v>3</x:v>
      </x:c>
      <x:c r="S96" s="8" t="n">
        <x:f>L96-I96^2/H96</x:f>
        <x:v>66.51166686288263</x:v>
      </x:c>
      <x:c r="T96" s="8" t="n">
        <x:f>M96-J96^2/H96</x:f>
        <x:v>73.69230769230768</x:v>
      </x:c>
      <x:c r="U96" s="8" t="n">
        <x:f>N96-I96*J96/H96</x:f>
        <x:v>64.86887543005955</x:v>
      </x:c>
      <x:c r="V96" s="8" t="n">
        <x:f>O96-I96*K96/H96</x:f>
        <x:v>60.46384891040282</x:v>
      </x:c>
      <x:c r="W96" s="8" t="n">
        <x:f>P96-J96*K96/H96</x:f>
        <x:v>54.53846153846155</x:v>
      </x:c>
      <x:c r="X96" s="8" t="n">
        <x:f>(V96*T96-W96*U96)/(S96*T96-U96^2)</x:f>
        <x:v>1.3236744448033184</x:v>
      </x:c>
      <x:c r="Y96" s="8" t="n">
        <x:f>(W96*S96-V96*U96)/(S96*T96-U96^2)</x:f>
        <x:v>-0.42510286504039285</x:v>
      </x:c>
      <x:c r="Z96" s="8" t="n">
        <x:f>K96/H96-X96*I96/H96-Y96*J96/H96</x:f>
        <x:v>4.855684526243385</x:v>
      </x:c>
      <x:c r="AA96" s="8" t="n">
        <x:f>Z96+X96*Q96+Y96*R96</x:f>
        <x:v>4.185129656181173</x:v>
      </x:c>
    </x:row>
    <x:row r="97" ht="26" customHeight="1">
      <x:c r="A97" s="2"/>
      <x:c r="B97" s="2" t="n">
        <x:v>92</x:v>
      </x:c>
      <x:c r="C97" s="2" t="str">
        <x:v>Beauty / price_contribution</x:v>
      </x:c>
      <x:c r="D97" s="2" t="str">
        <x:v>Broad market</x:v>
      </x:c>
      <x:c r="E97" s="7" t="n">
        <x:v>45565</x:v>
      </x:c>
      <x:c r="F97" s="2" t="str">
        <x:v>Pre-earnings</x:v>
      </x:c>
      <x:c r="G97" s="7" t="n">
        <x:v>45582</x:v>
      </x:c>
      <x:c r="H97" s="2" t="n">
        <x:v>14</x:v>
      </x:c>
      <x:c r="I97" s="8" t="n">
        <x:v>44.99639254812769</x:v>
      </x:c>
      <x:c r="J97" s="8" t="n">
        <x:v>0</x:v>
      </x:c>
      <x:c r="K97" s="8" t="n">
        <x:v>70</x:v>
      </x:c>
      <x:c r="L97" s="8" t="n">
        <x:v>256.27195002860765</x:v>
      </x:c>
      <x:c r="M97" s="8" t="n">
        <x:v>0</x:v>
      </x:c>
      <x:c r="N97" s="8" t="n">
        <x:v>0</x:v>
      </x:c>
      <x:c r="O97" s="8" t="n">
        <x:v>311.10547528762874</x:v>
      </x:c>
      <x:c r="P97" s="8" t="n">
        <x:v>0</x:v>
      </x:c>
      <x:c r="Q97" s="8" t="n">
        <x:v>0.373301115227731</x:v>
      </x:c>
      <x:c r="R97" s="8" t="n">
        <x:v>0</x:v>
      </x:c>
      <x:c r="S97" s="8" t="n">
        <x:f>L97-I97^2/H97</x:f>
        <x:v>111.65228271823614</x:v>
      </x:c>
      <x:c r="T97" s="8" t="n">
        <x:f>M97-J97^2/H97</x:f>
        <x:v>0</x:v>
      </x:c>
      <x:c r="U97" s="8" t="n">
        <x:f>N97-I97*J97/H97</x:f>
        <x:v>0</x:v>
      </x:c>
      <x:c r="V97" s="8" t="n">
        <x:f>O97-I97*K97/H97</x:f>
        <x:v>86.1235125469903</x:v>
      </x:c>
      <x:c r="W97" s="8" t="n">
        <x:f>P97-J97*K97/H97</x:f>
        <x:v>0</x:v>
      </x:c>
      <x:c r="X97" s="8" t="n">
        <x:f>V97/S97</x:f>
        <x:v>0.7713546955804762</x:v>
      </x:c>
      <x:c r="Y97" s="8" t="n">
        <x:f>0</x:f>
        <x:v>0</x:v>
      </x:c>
      <x:c r="Z97" s="8" t="n">
        <x:f>K97/H97-X97*I97/H97-Y97*J97/H97</x:f>
        <x:v>2.5208443802728118</x:v>
      </x:c>
      <x:c r="AA97" s="8" t="n">
        <x:f>Z97+X97*Q97+Y97*R97</x:f>
        <x:v>2.8087919483691506</x:v>
      </x:c>
    </x:row>
    <x:row r="98" ht="26" customHeight="1">
      <x:c r="A98" s="2"/>
      <x:c r="B98" s="2" t="n">
        <x:v>93</x:v>
      </x:c>
      <x:c r="C98" s="2" t="str">
        <x:v>Beauty / price_contribution</x:v>
      </x:c>
      <x:c r="D98" s="2" t="str">
        <x:v>Broad lag 1</x:v>
      </x:c>
      <x:c r="E98" s="7" t="n">
        <x:v>45565</x:v>
      </x:c>
      <x:c r="F98" s="2" t="str">
        <x:v>Pre-earnings</x:v>
      </x:c>
      <x:c r="G98" s="7" t="n">
        <x:v>45582</x:v>
      </x:c>
      <x:c r="H98" s="2" t="n">
        <x:v>13</x:v>
      </x:c>
      <x:c r="I98" s="8" t="n">
        <x:v>43.34163754201088</x:v>
      </x:c>
      <x:c r="J98" s="8" t="n">
        <x:v>0</x:v>
      </x:c>
      <x:c r="K98" s="8" t="n">
        <x:v>68</x:v>
      </x:c>
      <x:c r="L98" s="8" t="n">
        <x:v>253.53373589833902</x:v>
      </x:c>
      <x:c r="M98" s="8" t="n">
        <x:v>0</x:v>
      </x:c>
      <x:c r="N98" s="8" t="n">
        <x:v>0</x:v>
      </x:c>
      <x:c r="O98" s="8" t="n">
        <x:v>288.16560727202227</x:v>
      </x:c>
      <x:c r="P98" s="8" t="n">
        <x:v>0</x:v>
      </x:c>
      <x:c r="Q98" s="8" t="n">
        <x:v>1.6547550061168037</x:v>
      </x:c>
      <x:c r="R98" s="8" t="n">
        <x:v>0</x:v>
      </x:c>
      <x:c r="S98" s="8" t="n">
        <x:f>L98-I98^2/H98</x:f>
        <x:v>109.03392475810463</x:v>
      </x:c>
      <x:c r="T98" s="8" t="n">
        <x:f>M98-J98^2/H98</x:f>
        <x:v>0</x:v>
      </x:c>
      <x:c r="U98" s="8" t="n">
        <x:f>N98-I98*J98/H98</x:f>
        <x:v>0</x:v>
      </x:c>
      <x:c r="V98" s="8" t="n">
        <x:f>O98-I98*K98/H98</x:f>
        <x:v>61.455503206119204</x:v>
      </x:c>
      <x:c r="W98" s="8" t="n">
        <x:f>P98-J98*K98/H98</x:f>
        <x:v>0</x:v>
      </x:c>
      <x:c r="X98" s="8" t="n">
        <x:f>V98/S98</x:f>
        <x:v>0.5636365318634569</x:v>
      </x:c>
      <x:c r="Y98" s="8" t="n">
        <x:f>0</x:f>
        <x:v>0</x:v>
      </x:c>
      <x:c r="Z98" s="8" t="n">
        <x:f>K98/H98-X98*I98/H98-Y98*J98/H98</x:f>
        <x:v>3.3516207485029224</x:v>
      </x:c>
      <x:c r="AA98" s="8" t="n">
        <x:f>Z98+X98*Q98+Y98*R98</x:f>
        <x:v>4.284301121234291</x:v>
      </x:c>
    </x:row>
    <x:row r="99" ht="26" customHeight="1">
      <x:c r="A99" s="2"/>
      <x:c r="B99" s="2" t="n">
        <x:v>94</x:v>
      </x:c>
      <x:c r="C99" s="2" t="str">
        <x:v>Beauty / price_contribution</x:v>
      </x:c>
      <x:c r="D99" s="2" t="str">
        <x:v>Broad rolling 8</x:v>
      </x:c>
      <x:c r="E99" s="7" t="n">
        <x:v>45565</x:v>
      </x:c>
      <x:c r="F99" s="2" t="str">
        <x:v>Pre-earnings</x:v>
      </x:c>
      <x:c r="G99" s="7" t="n">
        <x:v>45582</x:v>
      </x:c>
      <x:c r="H99" s="2" t="n">
        <x:v>8</x:v>
      </x:c>
      <x:c r="I99" s="8" t="n">
        <x:v>41.93430593153869</x:v>
      </x:c>
      <x:c r="J99" s="8" t="n">
        <x:v>0</x:v>
      </x:c>
      <x:c r="K99" s="8" t="n">
        <x:v>50</x:v>
      </x:c>
      <x:c r="L99" s="8" t="n">
        <x:v>246.44658636789953</x:v>
      </x:c>
      <x:c r="M99" s="8" t="n">
        <x:v>0</x:v>
      </x:c>
      <x:c r="N99" s="8" t="n">
        <x:v>0</x:v>
      </x:c>
      <x:c r="O99" s="8" t="n">
        <x:v>291.7167312020666</x:v>
      </x:c>
      <x:c r="P99" s="8" t="n">
        <x:v>0</x:v>
      </x:c>
      <x:c r="Q99" s="8" t="n">
        <x:v>0.373301115227731</x:v>
      </x:c>
      <x:c r="R99" s="8" t="n">
        <x:v>0</x:v>
      </x:c>
      <x:c r="S99" s="8" t="n">
        <x:f>L99-I99^2/H99</x:f>
        <x:v>26.635834622914416</x:v>
      </x:c>
      <x:c r="T99" s="8" t="n">
        <x:f>M99-J99^2/H99</x:f>
        <x:v>0</x:v>
      </x:c>
      <x:c r="U99" s="8" t="n">
        <x:f>N99-I99*J99/H99</x:f>
        <x:v>0</x:v>
      </x:c>
      <x:c r="V99" s="8" t="n">
        <x:f>O99-I99*K99/H99</x:f>
        <x:v>29.627319129949797</x:v>
      </x:c>
      <x:c r="W99" s="8" t="n">
        <x:f>P99-J99*K99/H99</x:f>
        <x:v>0</x:v>
      </x:c>
      <x:c r="X99" s="8" t="n">
        <x:f>V99/S99</x:f>
        <x:v>1.112310522624354</x:v>
      </x:c>
      <x:c r="Y99" s="8" t="n">
        <x:f>0</x:f>
        <x:v>0</x:v>
      </x:c>
      <x:c r="Z99" s="8" t="n">
        <x:f>K99/H99-X99*I99/H99-Y99*J99/H99</x:f>
        <x:v>0.41950378167508173</x:v>
      </x:c>
      <x:c r="AA99" s="8" t="n">
        <x:f>Z99+X99*Q99+Y99*R99</x:f>
        <x:v>0.8347305402502934</x:v>
      </x:c>
    </x:row>
    <x:row r="100" ht="26" customHeight="1">
      <x:c r="A100" s="2"/>
      <x:c r="B100" s="2" t="n">
        <x:v>95</x:v>
      </x:c>
      <x:c r="C100" s="2" t="str">
        <x:v>Beauty / price_contribution</x:v>
      </x:c>
      <x:c r="D100" s="2" t="str">
        <x:v>Own history</x:v>
      </x:c>
      <x:c r="E100" s="7" t="n">
        <x:v>45565</x:v>
      </x:c>
      <x:c r="F100" s="2" t="str">
        <x:v>Pre-earnings</x:v>
      </x:c>
      <x:c r="G100" s="7" t="n">
        <x:v>45582</x:v>
      </x:c>
      <x:c r="H100" s="2" t="n">
        <x:v>13</x:v>
      </x:c>
      <x:c r="I100" s="8" t="n">
        <x:v>67</x:v>
      </x:c>
      <x:c r="J100" s="8" t="n">
        <x:v>0</x:v>
      </x:c>
      <x:c r="K100" s="8" t="n">
        <x:v>68</x:v>
      </x:c>
      <x:c r="L100" s="8" t="n">
        <x:v>419</x:v>
      </x:c>
      <x:c r="M100" s="8" t="n">
        <x:v>0</x:v>
      </x:c>
      <x:c r="N100" s="8" t="n">
        <x:v>0</x:v>
      </x:c>
      <x:c r="O100" s="8" t="n">
        <x:v>405</x:v>
      </x:c>
      <x:c r="P100" s="8" t="n">
        <x:v>0</x:v>
      </x:c>
      <x:c r="Q100" s="8" t="n">
        <x:v>3</x:v>
      </x:c>
      <x:c r="R100" s="8" t="n">
        <x:v>0</x:v>
      </x:c>
      <x:c r="S100" s="8" t="n">
        <x:f>L100-I100^2/H100</x:f>
        <x:v>73.69230769230768</x:v>
      </x:c>
      <x:c r="T100" s="8" t="n">
        <x:f>M100-J100^2/H100</x:f>
        <x:v>0</x:v>
      </x:c>
      <x:c r="U100" s="8" t="n">
        <x:f>N100-I100*J100/H100</x:f>
        <x:v>0</x:v>
      </x:c>
      <x:c r="V100" s="8" t="n">
        <x:f>O100-I100*K100/H100</x:f>
        <x:v>54.53846153846155</x:v>
      </x:c>
      <x:c r="W100" s="8" t="n">
        <x:f>P100-J100*K100/H100</x:f>
        <x:v>0</x:v>
      </x:c>
      <x:c r="X100" s="8" t="n">
        <x:f>V100/S100</x:f>
        <x:v>0.7400835073068897</x:v>
      </x:c>
      <x:c r="Y100" s="8" t="n">
        <x:f>0</x:f>
        <x:v>0</x:v>
      </x:c>
      <x:c r="Z100" s="8" t="n">
        <x:f>K100/H100-X100*I100/H100-Y100*J100/H100</x:f>
        <x:v>1.4164926931106456</x:v>
      </x:c>
      <x:c r="AA100" s="8" t="n">
        <x:f>Z100+X100*Q100+Y100*R100</x:f>
        <x:v>3.6367432150313146</x:v>
      </x:c>
    </x:row>
    <x:row r="101" ht="26" customHeight="1">
      <x:c r="A101" s="2"/>
      <x:c r="B101" s="2" t="n">
        <x:v>96</x:v>
      </x:c>
      <x:c r="C101" s="2" t="str">
        <x:v>Beauty / price_contribution</x:v>
      </x:c>
      <x:c r="D101" s="2" t="str">
        <x:v>Product price</x:v>
      </x:c>
      <x:c r="E101" s="7" t="n">
        <x:v>45565</x:v>
      </x:c>
      <x:c r="F101" s="2" t="str">
        <x:v>Pre-earnings</x:v>
      </x:c>
      <x:c r="G101" s="7" t="n">
        <x:v>45582</x:v>
      </x:c>
      <x:c r="H101" s="2" t="n">
        <x:v>14</x:v>
      </x:c>
      <x:c r="I101" s="8" t="n">
        <x:v>24.786282100295765</x:v>
      </x:c>
      <x:c r="J101" s="8" t="n">
        <x:v>0</x:v>
      </x:c>
      <x:c r="K101" s="8" t="n">
        <x:v>70</x:v>
      </x:c>
      <x:c r="L101" s="8" t="n">
        <x:v>115.5370266734286</x:v>
      </x:c>
      <x:c r="M101" s="8" t="n">
        <x:v>0</x:v>
      </x:c>
      <x:c r="N101" s="8" t="n">
        <x:v>0</x:v>
      </x:c>
      <x:c r="O101" s="8" t="n">
        <x:v>191.4552077279368</x:v>
      </x:c>
      <x:c r="P101" s="8" t="n">
        <x:v>0</x:v>
      </x:c>
      <x:c r="Q101" s="8" t="n">
        <x:v>-0.3714085127806688</x:v>
      </x:c>
      <x:c r="R101" s="8" t="n">
        <x:v>0</x:v>
      </x:c>
      <x:c r="S101" s="8" t="n">
        <x:f>L101-I101^2/H101</x:f>
        <x:v>71.65418521946845</x:v>
      </x:c>
      <x:c r="T101" s="8" t="n">
        <x:f>M101-J101^2/H101</x:f>
        <x:v>0</x:v>
      </x:c>
      <x:c r="U101" s="8" t="n">
        <x:f>N101-I101*J101/H101</x:f>
        <x:v>0</x:v>
      </x:c>
      <x:c r="V101" s="8" t="n">
        <x:f>O101-I101*K101/H101</x:f>
        <x:v>67.52379722645797</x:v>
      </x:c>
      <x:c r="W101" s="8" t="n">
        <x:f>P101-J101*K101/H101</x:f>
        <x:v>0</x:v>
      </x:c>
      <x:c r="X101" s="8" t="n">
        <x:f>V101/S101</x:f>
        <x:v>0.9423566400153798</x:v>
      </x:c>
      <x:c r="Y101" s="8" t="n">
        <x:f>0</x:f>
        <x:v>0</x:v>
      </x:c>
      <x:c r="Z101" s="8" t="n">
        <x:f>K101/H101-X101*I101/H101-Y101*J101/H101</x:f>
        <x:v>3.331605891535138</x:v>
      </x:c>
      <x:c r="AA101" s="8" t="n">
        <x:f>Z101+X101*Q101+Y101*R101</x:f>
        <x:v>2.9816066133580374</x:v>
      </x:c>
    </x:row>
    <x:row r="102" ht="26" customHeight="1">
      <x:c r="A102" s="2"/>
      <x:c r="B102" s="2" t="n">
        <x:v>97</x:v>
      </x:c>
      <x:c r="C102" s="2" t="str">
        <x:v>Beauty / price_contribution</x:v>
      </x:c>
      <x:c r="D102" s="2" t="str">
        <x:v>Product lag 1</x:v>
      </x:c>
      <x:c r="E102" s="7" t="n">
        <x:v>45565</x:v>
      </x:c>
      <x:c r="F102" s="2" t="str">
        <x:v>Pre-earnings</x:v>
      </x:c>
      <x:c r="G102" s="7" t="n">
        <x:v>45582</x:v>
      </x:c>
      <x:c r="H102" s="2" t="n">
        <x:v>13</x:v>
      </x:c>
      <x:c r="I102" s="8" t="n">
        <x:v>24.330226916034327</x:v>
      </x:c>
      <x:c r="J102" s="8" t="n">
        <x:v>0</x:v>
      </x:c>
      <x:c r="K102" s="8" t="n">
        <x:v>68</x:v>
      </x:c>
      <x:c r="L102" s="8" t="n">
        <x:v>115.32904034233687</x:v>
      </x:c>
      <x:c r="M102" s="8" t="n">
        <x:v>0</x:v>
      </x:c>
      <x:c r="N102" s="8" t="n">
        <x:v>0</x:v>
      </x:c>
      <x:c r="O102" s="8" t="n">
        <x:v>173.4113806058964</x:v>
      </x:c>
      <x:c r="P102" s="8" t="n">
        <x:v>0</x:v>
      </x:c>
      <x:c r="Q102" s="8" t="n">
        <x:v>0.4560551842614391</x:v>
      </x:c>
      <x:c r="R102" s="8" t="n">
        <x:v>0</x:v>
      </x:c>
      <x:c r="S102" s="8" t="n">
        <x:f>L102-I102^2/H102</x:f>
        <x:v>69.79366020497369</x:v>
      </x:c>
      <x:c r="T102" s="8" t="n">
        <x:f>M102-J102^2/H102</x:f>
        <x:v>0</x:v>
      </x:c>
      <x:c r="U102" s="8" t="n">
        <x:f>N102-I102*J102/H102</x:f>
        <x:v>0</x:v>
      </x:c>
      <x:c r="V102" s="8" t="n">
        <x:f>O102-I102*K102/H102</x:f>
        <x:v>46.145578275870676</x:v>
      </x:c>
      <x:c r="W102" s="8" t="n">
        <x:f>P102-J102*K102/H102</x:f>
        <x:v>0</x:v>
      </x:c>
      <x:c r="X102" s="8" t="n">
        <x:f>V102/S102</x:f>
        <x:v>0.66117148950704</x:v>
      </x:c>
      <x:c r="Y102" s="8" t="n">
        <x:f>0</x:f>
        <x:v>0</x:v>
      </x:c>
      <x:c r="Z102" s="8" t="n">
        <x:f>K102/H102-X102*I102/H102-Y102*J102/H102</x:f>
        <x:v>3.9933498176831774</x:v>
      </x:c>
      <x:c r="AA102" s="8" t="n">
        <x:f>Z102+X102*Q102+Y102*R102</x:f>
        <x:v>4.294880503158721</x:v>
      </x:c>
    </x:row>
    <x:row r="103" ht="26" customHeight="1">
      <x:c r="A103" s="2"/>
      <x:c r="B103" s="2" t="n">
        <x:v>98</x:v>
      </x:c>
      <x:c r="C103" s="2" t="str">
        <x:v>Beauty / price_contribution</x:v>
      </x:c>
      <x:c r="D103" s="2" t="str">
        <x:v>Own + product</x:v>
      </x:c>
      <x:c r="E103" s="7" t="n">
        <x:v>45565</x:v>
      </x:c>
      <x:c r="F103" s="2" t="str">
        <x:v>Pre-earnings</x:v>
      </x:c>
      <x:c r="G103" s="7" t="n">
        <x:v>45582</x:v>
      </x:c>
      <x:c r="H103" s="2" t="n">
        <x:v>13</x:v>
      </x:c>
      <x:c r="I103" s="8" t="n">
        <x:v>25.201055476672664</x:v>
      </x:c>
      <x:c r="J103" s="8" t="n">
        <x:v>67</x:v>
      </x:c>
      <x:c r="K103" s="8" t="n">
        <x:v>68</x:v>
      </x:c>
      <x:c r="L103" s="8" t="n">
        <x:v>115.36498971967751</x:v>
      </x:c>
      <x:c r="M103" s="8" t="n">
        <x:v>419</x:v>
      </x:c>
      <x:c r="N103" s="8" t="n">
        <x:v>194.7512382713725</x:v>
      </x:c>
      <x:c r="O103" s="8" t="n">
        <x:v>192.2847544806906</x:v>
      </x:c>
      <x:c r="P103" s="8" t="n">
        <x:v>405</x:v>
      </x:c>
      <x:c r="Q103" s="8" t="n">
        <x:v>-0.3714085127806688</x:v>
      </x:c>
      <x:c r="R103" s="8" t="n">
        <x:v>3</x:v>
      </x:c>
      <x:c r="S103" s="8" t="n">
        <x:f>L103-I103^2/H103</x:f>
        <x:v>66.51166686288263</x:v>
      </x:c>
      <x:c r="T103" s="8" t="n">
        <x:f>M103-J103^2/H103</x:f>
        <x:v>73.69230769230768</x:v>
      </x:c>
      <x:c r="U103" s="8" t="n">
        <x:f>N103-I103*J103/H103</x:f>
        <x:v>64.86887543005955</x:v>
      </x:c>
      <x:c r="V103" s="8" t="n">
        <x:f>O103-I103*K103/H103</x:f>
        <x:v>60.46384891040282</x:v>
      </x:c>
      <x:c r="W103" s="8" t="n">
        <x:f>P103-J103*K103/H103</x:f>
        <x:v>54.53846153846155</x:v>
      </x:c>
      <x:c r="X103" s="8" t="n">
        <x:f>(V103*T103-W103*U103)/(S103*T103-U103^2)</x:f>
        <x:v>1.3236744448033184</x:v>
      </x:c>
      <x:c r="Y103" s="8" t="n">
        <x:f>(W103*S103-V103*U103)/(S103*T103-U103^2)</x:f>
        <x:v>-0.42510286504039285</x:v>
      </x:c>
      <x:c r="Z103" s="8" t="n">
        <x:f>K103/H103-X103*I103/H103-Y103*J103/H103</x:f>
        <x:v>4.855684526243385</x:v>
      </x:c>
      <x:c r="AA103" s="8" t="n">
        <x:f>Z103+X103*Q103+Y103*R103</x:f>
        <x:v>3.088751974172028</x:v>
      </x:c>
    </x:row>
    <x:row r="104" ht="26" customHeight="1">
      <x:c r="A104" s="2"/>
      <x:c r="B104" s="2" t="n">
        <x:v>99</x:v>
      </x:c>
      <x:c r="C104" s="2" t="str">
        <x:v>Beauty / price_contribution</x:v>
      </x:c>
      <x:c r="D104" s="2" t="str">
        <x:v>Broad market</x:v>
      </x:c>
      <x:c r="E104" s="7" t="n">
        <x:v>45657</x:v>
      </x:c>
      <x:c r="F104" s="2" t="str">
        <x:v>Origin</x:v>
      </x:c>
      <x:c r="G104" s="7" t="n">
        <x:v>45566</x:v>
      </x:c>
      <x:c r="H104" s="2" t="n">
        <x:v>14</x:v>
      </x:c>
      <x:c r="I104" s="8" t="n">
        <x:v>44.99639254812769</x:v>
      </x:c>
      <x:c r="J104" s="8" t="n">
        <x:v>0</x:v>
      </x:c>
      <x:c r="K104" s="8" t="n">
        <x:v>70</x:v>
      </x:c>
      <x:c r="L104" s="8" t="n">
        <x:v>256.27195002860765</x:v>
      </x:c>
      <x:c r="M104" s="8" t="n">
        <x:v>0</x:v>
      </x:c>
      <x:c r="N104" s="8" t="n">
        <x:v>0</x:v>
      </x:c>
      <x:c r="O104" s="8" t="n">
        <x:v>311.10547528762874</x:v>
      </x:c>
      <x:c r="P104" s="8" t="n">
        <x:v>0</x:v>
      </x:c>
      <x:c r="Q104" s="8" t="n">
        <x:v>0.672385931020969</x:v>
      </x:c>
      <x:c r="R104" s="8" t="n">
        <x:v>0</x:v>
      </x:c>
      <x:c r="S104" s="8" t="n">
        <x:f>L104-I104^2/H104</x:f>
        <x:v>111.65228271823614</x:v>
      </x:c>
      <x:c r="T104" s="8" t="n">
        <x:f>M104-J104^2/H104</x:f>
        <x:v>0</x:v>
      </x:c>
      <x:c r="U104" s="8" t="n">
        <x:f>N104-I104*J104/H104</x:f>
        <x:v>0</x:v>
      </x:c>
      <x:c r="V104" s="8" t="n">
        <x:f>O104-I104*K104/H104</x:f>
        <x:v>86.1235125469903</x:v>
      </x:c>
      <x:c r="W104" s="8" t="n">
        <x:f>P104-J104*K104/H104</x:f>
        <x:v>0</x:v>
      </x:c>
      <x:c r="X104" s="8" t="n">
        <x:f>V104/S104</x:f>
        <x:v>0.7713546955804762</x:v>
      </x:c>
      <x:c r="Y104" s="8" t="n">
        <x:f>0</x:f>
        <x:v>0</x:v>
      </x:c>
      <x:c r="Z104" s="8" t="n">
        <x:f>K104/H104-X104*I104/H104-Y104*J104/H104</x:f>
        <x:v>2.5208443802728118</x:v>
      </x:c>
      <x:c r="AA104" s="8" t="n">
        <x:f>Z104+X104*Q104+Y104*R104</x:f>
        <x:v>3.0394924254080866</x:v>
      </x:c>
    </x:row>
    <x:row r="105" ht="26" customHeight="1">
      <x:c r="A105" s="2"/>
      <x:c r="B105" s="2" t="n">
        <x:v>100</x:v>
      </x:c>
      <x:c r="C105" s="2" t="str">
        <x:v>Beauty / price_contribution</x:v>
      </x:c>
      <x:c r="D105" s="2" t="str">
        <x:v>Broad rolling 8</x:v>
      </x:c>
      <x:c r="E105" s="7" t="n">
        <x:v>45657</x:v>
      </x:c>
      <x:c r="F105" s="2" t="str">
        <x:v>Origin</x:v>
      </x:c>
      <x:c r="G105" s="7" t="n">
        <x:v>45566</x:v>
      </x:c>
      <x:c r="H105" s="2" t="n">
        <x:v>8</x:v>
      </x:c>
      <x:c r="I105" s="8" t="n">
        <x:v>41.93430593153869</x:v>
      </x:c>
      <x:c r="J105" s="8" t="n">
        <x:v>0</x:v>
      </x:c>
      <x:c r="K105" s="8" t="n">
        <x:v>50</x:v>
      </x:c>
      <x:c r="L105" s="8" t="n">
        <x:v>246.44658636789953</x:v>
      </x:c>
      <x:c r="M105" s="8" t="n">
        <x:v>0</x:v>
      </x:c>
      <x:c r="N105" s="8" t="n">
        <x:v>0</x:v>
      </x:c>
      <x:c r="O105" s="8" t="n">
        <x:v>291.7167312020666</x:v>
      </x:c>
      <x:c r="P105" s="8" t="n">
        <x:v>0</x:v>
      </x:c>
      <x:c r="Q105" s="8" t="n">
        <x:v>0.672385931020969</x:v>
      </x:c>
      <x:c r="R105" s="8" t="n">
        <x:v>0</x:v>
      </x:c>
      <x:c r="S105" s="8" t="n">
        <x:f>L105-I105^2/H105</x:f>
        <x:v>26.635834622914416</x:v>
      </x:c>
      <x:c r="T105" s="8" t="n">
        <x:f>M105-J105^2/H105</x:f>
        <x:v>0</x:v>
      </x:c>
      <x:c r="U105" s="8" t="n">
        <x:f>N105-I105*J105/H105</x:f>
        <x:v>0</x:v>
      </x:c>
      <x:c r="V105" s="8" t="n">
        <x:f>O105-I105*K105/H105</x:f>
        <x:v>29.627319129949797</x:v>
      </x:c>
      <x:c r="W105" s="8" t="n">
        <x:f>P105-J105*K105/H105</x:f>
        <x:v>0</x:v>
      </x:c>
      <x:c r="X105" s="8" t="n">
        <x:f>V105/S105</x:f>
        <x:v>1.112310522624354</x:v>
      </x:c>
      <x:c r="Y105" s="8" t="n">
        <x:f>0</x:f>
        <x:v>0</x:v>
      </x:c>
      <x:c r="Z105" s="8" t="n">
        <x:f>K105/H105-X105*I105/H105-Y105*J105/H105</x:f>
        <x:v>0.41950378167508173</x:v>
      </x:c>
      <x:c r="AA105" s="8" t="n">
        <x:f>Z105+X105*Q105+Y105*R105</x:f>
        <x:v>1.1674057280142787</x:v>
      </x:c>
    </x:row>
    <x:row r="106" ht="26" customHeight="1">
      <x:c r="A106" s="2"/>
      <x:c r="B106" s="2" t="n">
        <x:v>101</x:v>
      </x:c>
      <x:c r="C106" s="2" t="str">
        <x:v>Beauty / price_contribution</x:v>
      </x:c>
      <x:c r="D106" s="2" t="str">
        <x:v>Own history</x:v>
      </x:c>
      <x:c r="E106" s="7" t="n">
        <x:v>45657</x:v>
      </x:c>
      <x:c r="F106" s="2" t="str">
        <x:v>Origin</x:v>
      </x:c>
      <x:c r="G106" s="7" t="n">
        <x:v>45566</x:v>
      </x:c>
      <x:c r="H106" s="2" t="n">
        <x:v>12</x:v>
      </x:c>
      <x:c r="I106" s="8" t="n">
        <x:v>63</x:v>
      </x:c>
      <x:c r="J106" s="8" t="n">
        <x:v>0</x:v>
      </x:c>
      <x:c r="K106" s="8" t="n">
        <x:v>64</x:v>
      </x:c>
      <x:c r="L106" s="8" t="n">
        <x:v>403</x:v>
      </x:c>
      <x:c r="M106" s="8" t="n">
        <x:v>0</x:v>
      </x:c>
      <x:c r="N106" s="8" t="n">
        <x:v>0</x:v>
      </x:c>
      <x:c r="O106" s="8" t="n">
        <x:v>370</x:v>
      </x:c>
      <x:c r="P106" s="8" t="n">
        <x:v>0</x:v>
      </x:c>
      <x:c r="Q106" s="8" t="n">
        <x:v>3</x:v>
      </x:c>
      <x:c r="R106" s="8" t="n">
        <x:v>0</x:v>
      </x:c>
      <x:c r="S106" s="8" t="n">
        <x:f>L106-I106^2/H106</x:f>
        <x:v>72.25</x:v>
      </x:c>
      <x:c r="T106" s="8" t="n">
        <x:f>M106-J106^2/H106</x:f>
        <x:v>0</x:v>
      </x:c>
      <x:c r="U106" s="8" t="n">
        <x:f>N106-I106*J106/H106</x:f>
        <x:v>0</x:v>
      </x:c>
      <x:c r="V106" s="8" t="n">
        <x:f>O106-I106*K106/H106</x:f>
        <x:v>34</x:v>
      </x:c>
      <x:c r="W106" s="8" t="n">
        <x:f>P106-J106*K106/H106</x:f>
        <x:v>0</x:v>
      </x:c>
      <x:c r="X106" s="8" t="n">
        <x:f>V106/S106</x:f>
        <x:v>0.47058823529411764</x:v>
      </x:c>
      <x:c r="Y106" s="8" t="n">
        <x:f>0</x:f>
        <x:v>0</x:v>
      </x:c>
      <x:c r="Z106" s="8" t="n">
        <x:f>K106/H106-X106*I106/H106-Y106*J106/H106</x:f>
        <x:v>2.8627450980392153</x:v>
      </x:c>
      <x:c r="AA106" s="8" t="n">
        <x:f>Z106+X106*Q106+Y106*R106</x:f>
        <x:v>4.274509803921568</x:v>
      </x:c>
    </x:row>
    <x:row r="107" ht="26" customHeight="1">
      <x:c r="A107" s="2"/>
      <x:c r="B107" s="2" t="n">
        <x:v>102</x:v>
      </x:c>
      <x:c r="C107" s="2" t="str">
        <x:v>Beauty / price_contribution</x:v>
      </x:c>
      <x:c r="D107" s="2" t="str">
        <x:v>Product price</x:v>
      </x:c>
      <x:c r="E107" s="7" t="n">
        <x:v>45657</x:v>
      </x:c>
      <x:c r="F107" s="2" t="str">
        <x:v>Origin</x:v>
      </x:c>
      <x:c r="G107" s="7" t="n">
        <x:v>45566</x:v>
      </x:c>
      <x:c r="H107" s="2" t="n">
        <x:v>14</x:v>
      </x:c>
      <x:c r="I107" s="8" t="n">
        <x:v>24.786282100295765</x:v>
      </x:c>
      <x:c r="J107" s="8" t="n">
        <x:v>0</x:v>
      </x:c>
      <x:c r="K107" s="8" t="n">
        <x:v>70</x:v>
      </x:c>
      <x:c r="L107" s="8" t="n">
        <x:v>115.5370266734286</x:v>
      </x:c>
      <x:c r="M107" s="8" t="n">
        <x:v>0</x:v>
      </x:c>
      <x:c r="N107" s="8" t="n">
        <x:v>0</x:v>
      </x:c>
      <x:c r="O107" s="8" t="n">
        <x:v>191.4552077279368</x:v>
      </x:c>
      <x:c r="P107" s="8" t="n">
        <x:v>0</x:v>
      </x:c>
      <x:c r="Q107" s="8" t="n">
        <x:v>-0.12100028060593182</x:v>
      </x:c>
      <x:c r="R107" s="8" t="n">
        <x:v>0</x:v>
      </x:c>
      <x:c r="S107" s="8" t="n">
        <x:f>L107-I107^2/H107</x:f>
        <x:v>71.65418521946845</x:v>
      </x:c>
      <x:c r="T107" s="8" t="n">
        <x:f>M107-J107^2/H107</x:f>
        <x:v>0</x:v>
      </x:c>
      <x:c r="U107" s="8" t="n">
        <x:f>N107-I107*J107/H107</x:f>
        <x:v>0</x:v>
      </x:c>
      <x:c r="V107" s="8" t="n">
        <x:f>O107-I107*K107/H107</x:f>
        <x:v>67.52379722645797</x:v>
      </x:c>
      <x:c r="W107" s="8" t="n">
        <x:f>P107-J107*K107/H107</x:f>
        <x:v>0</x:v>
      </x:c>
      <x:c r="X107" s="8" t="n">
        <x:f>V107/S107</x:f>
        <x:v>0.9423566400153798</x:v>
      </x:c>
      <x:c r="Y107" s="8" t="n">
        <x:f>0</x:f>
        <x:v>0</x:v>
      </x:c>
      <x:c r="Z107" s="8" t="n">
        <x:f>K107/H107-X107*I107/H107-Y107*J107/H107</x:f>
        <x:v>3.331605891535138</x:v>
      </x:c>
      <x:c r="AA107" s="8" t="n">
        <x:f>Z107+X107*Q107+Y107*R107</x:f>
        <x:v>3.2175804736624136</x:v>
      </x:c>
    </x:row>
    <x:row r="108" ht="26" customHeight="1">
      <x:c r="A108" s="2"/>
      <x:c r="B108" s="2" t="n">
        <x:v>103</x:v>
      </x:c>
      <x:c r="C108" s="2" t="str">
        <x:v>Beauty / price_contribution</x:v>
      </x:c>
      <x:c r="D108" s="2" t="str">
        <x:v>Own + product</x:v>
      </x:c>
      <x:c r="E108" s="7" t="n">
        <x:v>45657</x:v>
      </x:c>
      <x:c r="F108" s="2" t="str">
        <x:v>Origin</x:v>
      </x:c>
      <x:c r="G108" s="7" t="n">
        <x:v>45566</x:v>
      </x:c>
      <x:c r="H108" s="2" t="n">
        <x:v>12</x:v>
      </x:c>
      <x:c r="I108" s="8" t="n">
        <x:v>25.636363281596875</x:v>
      </x:c>
      <x:c r="J108" s="8" t="n">
        <x:v>63</x:v>
      </x:c>
      <x:c r="K108" s="8" t="n">
        <x:v>64</x:v>
      </x:c>
      <x:c r="L108" s="8" t="n">
        <x:v>115.17549683464956</x:v>
      </x:c>
      <x:c r="M108" s="8" t="n">
        <x:v>403</x:v>
      </x:c>
      <x:c r="N108" s="8" t="n">
        <x:v>183.07367770848253</x:v>
      </x:c>
      <x:c r="O108" s="8" t="n">
        <x:v>194.02598570038745</x:v>
      </x:c>
      <x:c r="P108" s="8" t="n">
        <x:v>370</x:v>
      </x:c>
      <x:c r="Q108" s="8" t="n">
        <x:v>-0.12100028060593182</x:v>
      </x:c>
      <x:c r="R108" s="8" t="n">
        <x:v>3</x:v>
      </x:c>
      <x:c r="S108" s="8" t="n">
        <x:f>L108-I108^2/H108</x:f>
        <x:v>60.40690330914886</x:v>
      </x:c>
      <x:c r="T108" s="8" t="n">
        <x:f>M108-J108^2/H108</x:f>
        <x:v>72.25</x:v>
      </x:c>
      <x:c r="U108" s="8" t="n">
        <x:f>N108-I108*J108/H108</x:f>
        <x:v>48.482770480098935</x:v>
      </x:c>
      <x:c r="V108" s="8" t="n">
        <x:f>O108-I108*K108/H108</x:f>
        <x:v>57.29871486520412</x:v>
      </x:c>
      <x:c r="W108" s="8" t="n">
        <x:f>P108-J108*K108/H108</x:f>
        <x:v>34</x:v>
      </x:c>
      <x:c r="X108" s="8" t="n">
        <x:f>(V108*T108-W108*U108)/(S108*T108-U108^2)</x:f>
        <x:v>1.2371603648311873</x:v>
      </x:c>
      <x:c r="Y108" s="8" t="n">
        <x:f>(W108*S108-V108*U108)/(S108*T108-U108^2)</x:f>
        <x:v>-0.3595980901755836</x:v>
      </x:c>
      <x:c r="Z108" s="8" t="n">
        <x:f>K108/H108-X108*I108/H108-Y108*J108/H108</x:f>
        <x:v>4.57819892755471</x:v>
      </x:c>
      <x:c r="AA108" s="8" t="n">
        <x:f>Z108+X108*Q108+Y108*R108</x:f>
        <x:v>3.349707905728849</x:v>
      </x:c>
    </x:row>
    <x:row r="109" ht="26" customHeight="1">
      <x:c r="A109" s="2"/>
      <x:c r="B109" s="2" t="n">
        <x:v>104</x:v>
      </x:c>
      <x:c r="C109" s="2" t="str">
        <x:v>Beauty / price_contribution</x:v>
      </x:c>
      <x:c r="D109" s="2" t="str">
        <x:v>Broad market</x:v>
      </x:c>
      <x:c r="E109" s="7" t="n">
        <x:v>45657</x:v>
      </x:c>
      <x:c r="F109" s="2" t="str">
        <x:v>Prior report</x:v>
      </x:c>
      <x:c r="G109" s="7" t="n">
        <x:v>45583</x:v>
      </x:c>
      <x:c r="H109" s="2" t="n">
        <x:v>15</x:v>
      </x:c>
      <x:c r="I109" s="8" t="n">
        <x:v>45.36969366335541</x:v>
      </x:c>
      <x:c r="J109" s="8" t="n">
        <x:v>0</x:v>
      </x:c>
      <x:c r="K109" s="8" t="n">
        <x:v>71</x:v>
      </x:c>
      <x:c r="L109" s="8" t="n">
        <x:v>256.4113037512379</x:v>
      </x:c>
      <x:c r="M109" s="8" t="n">
        <x:v>0</x:v>
      </x:c>
      <x:c r="N109" s="8" t="n">
        <x:v>0</x:v>
      </x:c>
      <x:c r="O109" s="8" t="n">
        <x:v>311.47877640285645</x:v>
      </x:c>
      <x:c r="P109" s="8" t="n">
        <x:v>0</x:v>
      </x:c>
      <x:c r="Q109" s="8" t="n">
        <x:v>0.374021558034765</x:v>
      </x:c>
      <x:c r="R109" s="8" t="n">
        <x:v>0</x:v>
      </x:c>
      <x:c r="S109" s="8" t="n">
        <x:f>L109-I109^2/H109</x:f>
        <x:v>119.18403021079038</x:v>
      </x:c>
      <x:c r="T109" s="8" t="n">
        <x:f>M109-J109^2/H109</x:f>
        <x:v>0</x:v>
      </x:c>
      <x:c r="U109" s="8" t="n">
        <x:f>N109-I109*J109/H109</x:f>
        <x:v>0</x:v>
      </x:c>
      <x:c r="V109" s="8" t="n">
        <x:f>O109-I109*K109/H109</x:f>
        <x:v>96.72889306297418</x:v>
      </x:c>
      <x:c r="W109" s="8" t="n">
        <x:f>P109-J109*K109/H109</x:f>
        <x:v>0</x:v>
      </x:c>
      <x:c r="X109" s="8" t="n">
        <x:f>V109/S109</x:f>
        <x:v>0.8115927351332073</x:v>
      </x:c>
      <x:c r="Y109" s="8" t="n">
        <x:f>0</x:f>
        <x:v>0</x:v>
      </x:c>
      <x:c r="Z109" s="8" t="n">
        <x:f>K109/H109-X109*I109/H109-Y109*J109/H109</x:f>
        <x:v>2.2785524151734426</x:v>
      </x:c>
      <x:c r="AA109" s="8" t="n">
        <x:f>Z109+X109*Q109+Y109*R109</x:f>
        <x:v>2.582105594457661</x:v>
      </x:c>
    </x:row>
    <x:row r="110" ht="26" customHeight="1">
      <x:c r="A110" s="2"/>
      <x:c r="B110" s="2" t="n">
        <x:v>105</x:v>
      </x:c>
      <x:c r="C110" s="2" t="str">
        <x:v>Beauty / price_contribution</x:v>
      </x:c>
      <x:c r="D110" s="2" t="str">
        <x:v>Broad lag 1</x:v>
      </x:c>
      <x:c r="E110" s="7" t="n">
        <x:v>45657</x:v>
      </x:c>
      <x:c r="F110" s="2" t="str">
        <x:v>Prior report</x:v>
      </x:c>
      <x:c r="G110" s="7" t="n">
        <x:v>45583</x:v>
      </x:c>
      <x:c r="H110" s="2" t="n">
        <x:v>14</x:v>
      </x:c>
      <x:c r="I110" s="8" t="n">
        <x:v>44.99639254812769</x:v>
      </x:c>
      <x:c r="J110" s="8" t="n">
        <x:v>0</x:v>
      </x:c>
      <x:c r="K110" s="8" t="n">
        <x:v>69</x:v>
      </x:c>
      <x:c r="L110" s="8" t="n">
        <x:v>256.27195002860765</x:v>
      </x:c>
      <x:c r="M110" s="8" t="n">
        <x:v>0</x:v>
      </x:c>
      <x:c r="N110" s="8" t="n">
        <x:v>0</x:v>
      </x:c>
      <x:c r="O110" s="8" t="n">
        <x:v>289.82036227813904</x:v>
      </x:c>
      <x:c r="P110" s="8" t="n">
        <x:v>0</x:v>
      </x:c>
      <x:c r="Q110" s="8" t="n">
        <x:v>0.373301115227731</x:v>
      </x:c>
      <x:c r="R110" s="8" t="n">
        <x:v>0</x:v>
      </x:c>
      <x:c r="S110" s="8" t="n">
        <x:f>L110-I110^2/H110</x:f>
        <x:v>111.65228271823614</x:v>
      </x:c>
      <x:c r="T110" s="8" t="n">
        <x:f>M110-J110^2/H110</x:f>
        <x:v>0</x:v>
      </x:c>
      <x:c r="U110" s="8" t="n">
        <x:f>N110-I110*J110/H110</x:f>
        <x:v>0</x:v>
      </x:c>
      <x:c r="V110" s="8" t="n">
        <x:f>O110-I110*K110/H110</x:f>
        <x:v>68.05242757665258</x:v>
      </x:c>
      <x:c r="W110" s="8" t="n">
        <x:f>P110-J110*K110/H110</x:f>
        <x:v>0</x:v>
      </x:c>
      <x:c r="X110" s="8" t="n">
        <x:f>V110/S110</x:f>
        <x:v>0.6095032355799528</x:v>
      </x:c>
      <x:c r="Y110" s="8" t="n">
        <x:f>0</x:f>
        <x:v>0</x:v>
      </x:c>
      <x:c r="Z110" s="8" t="n">
        <x:f>K110/H110-X110*I110/H110-Y110*J110/H110</x:f>
        <x:v>2.969610939463607</x:v>
      </x:c>
      <x:c r="AA110" s="8" t="n">
        <x:f>Z110+X110*Q110+Y110*R110</x:f>
        <x:v>3.197139177040514</x:v>
      </x:c>
    </x:row>
    <x:row r="111" ht="26" customHeight="1">
      <x:c r="A111" s="2"/>
      <x:c r="B111" s="2" t="n">
        <x:v>106</x:v>
      </x:c>
      <x:c r="C111" s="2" t="str">
        <x:v>Beauty / price_contribution</x:v>
      </x:c>
      <x:c r="D111" s="2" t="str">
        <x:v>Broad rolling 8</x:v>
      </x:c>
      <x:c r="E111" s="7" t="n">
        <x:v>45657</x:v>
      </x:c>
      <x:c r="F111" s="2" t="str">
        <x:v>Prior report</x:v>
      </x:c>
      <x:c r="G111" s="7" t="n">
        <x:v>45583</x:v>
      </x:c>
      <x:c r="H111" s="2" t="n">
        <x:v>8</x:v>
      </x:c>
      <x:c r="I111" s="8" t="n">
        <x:v>36.45732970523537</x:v>
      </x:c>
      <x:c r="J111" s="8" t="n">
        <x:v>0</x:v>
      </x:c>
      <x:c r="K111" s="8" t="n">
        <x:v>44</x:v>
      </x:c>
      <x:c r="L111" s="8" t="n">
        <x:v>212.36019511769817</x:v>
      </x:c>
      <x:c r="M111" s="8" t="n">
        <x:v>0</x:v>
      </x:c>
      <x:c r="N111" s="8" t="n">
        <x:v>0</x:v>
      </x:c>
      <x:c r="O111" s="8" t="n">
        <x:v>251.13809092657698</x:v>
      </x:c>
      <x:c r="P111" s="8" t="n">
        <x:v>0</x:v>
      </x:c>
      <x:c r="Q111" s="8" t="n">
        <x:v>0.374021558034765</x:v>
      </x:c>
      <x:c r="R111" s="8" t="n">
        <x:v>0</x:v>
      </x:c>
      <x:c r="S111" s="8" t="n">
        <x:f>L111-I111^2/H111</x:f>
        <x:v>46.21808396316854</x:v>
      </x:c>
      <x:c r="T111" s="8" t="n">
        <x:f>M111-J111^2/H111</x:f>
        <x:v>0</x:v>
      </x:c>
      <x:c r="U111" s="8" t="n">
        <x:f>N111-I111*J111/H111</x:f>
        <x:v>0</x:v>
      </x:c>
      <x:c r="V111" s="8" t="n">
        <x:f>O111-I111*K111/H111</x:f>
        <x:v>50.62277754778245</x:v>
      </x:c>
      <x:c r="W111" s="8" t="n">
        <x:f>P111-J111*K111/H111</x:f>
        <x:v>0</x:v>
      </x:c>
      <x:c r="X111" s="8" t="n">
        <x:f>V111/S111</x:f>
        <x:v>1.0953023839786182</x:v>
      </x:c>
      <x:c r="Y111" s="8" t="n">
        <x:f>0</x:f>
        <x:v>0</x:v>
      </x:c>
      <x:c r="Z111" s="8" t="n">
        <x:f>K111/H111-X111*I111/H111-Y111*J111/H111</x:f>
        <x:v>0.5085249825451506</x:v>
      </x:c>
      <x:c r="AA111" s="8" t="n">
        <x:f>Z111+X111*Q111+Y111*R111</x:f>
        <x:v>0.9181916867200257</x:v>
      </x:c>
    </x:row>
    <x:row r="112" ht="26" customHeight="1">
      <x:c r="A112" s="2"/>
      <x:c r="B112" s="2" t="n">
        <x:v>107</x:v>
      </x:c>
      <x:c r="C112" s="2" t="str">
        <x:v>Beauty / price_contribution</x:v>
      </x:c>
      <x:c r="D112" s="2" t="str">
        <x:v>Own history</x:v>
      </x:c>
      <x:c r="E112" s="7" t="n">
        <x:v>45657</x:v>
      </x:c>
      <x:c r="F112" s="2" t="str">
        <x:v>Prior report</x:v>
      </x:c>
      <x:c r="G112" s="7" t="n">
        <x:v>45583</x:v>
      </x:c>
      <x:c r="H112" s="2" t="n">
        <x:v>14</x:v>
      </x:c>
      <x:c r="I112" s="8" t="n">
        <x:v>70</x:v>
      </x:c>
      <x:c r="J112" s="8" t="n">
        <x:v>0</x:v>
      </x:c>
      <x:c r="K112" s="8" t="n">
        <x:v>69</x:v>
      </x:c>
      <x:c r="L112" s="8" t="n">
        <x:v>428</x:v>
      </x:c>
      <x:c r="M112" s="8" t="n">
        <x:v>0</x:v>
      </x:c>
      <x:c r="N112" s="8" t="n">
        <x:v>0</x:v>
      </x:c>
      <x:c r="O112" s="8" t="n">
        <x:v>408</x:v>
      </x:c>
      <x:c r="P112" s="8" t="n">
        <x:v>0</x:v>
      </x:c>
      <x:c r="Q112" s="8" t="n">
        <x:v>1</x:v>
      </x:c>
      <x:c r="R112" s="8" t="n">
        <x:v>0</x:v>
      </x:c>
      <x:c r="S112" s="8" t="n">
        <x:f>L112-I112^2/H112</x:f>
        <x:v>78</x:v>
      </x:c>
      <x:c r="T112" s="8" t="n">
        <x:f>M112-J112^2/H112</x:f>
        <x:v>0</x:v>
      </x:c>
      <x:c r="U112" s="8" t="n">
        <x:f>N112-I112*J112/H112</x:f>
        <x:v>0</x:v>
      </x:c>
      <x:c r="V112" s="8" t="n">
        <x:f>O112-I112*K112/H112</x:f>
        <x:v>63</x:v>
      </x:c>
      <x:c r="W112" s="8" t="n">
        <x:f>P112-J112*K112/H112</x:f>
        <x:v>0</x:v>
      </x:c>
      <x:c r="X112" s="8" t="n">
        <x:f>V112/S112</x:f>
        <x:v>0.8076923076923077</x:v>
      </x:c>
      <x:c r="Y112" s="8" t="n">
        <x:f>0</x:f>
        <x:v>0</x:v>
      </x:c>
      <x:c r="Z112" s="8" t="n">
        <x:f>K112/H112-X112*I112/H112-Y112*J112/H112</x:f>
        <x:v>0.8901098901098905</x:v>
      </x:c>
      <x:c r="AA112" s="8" t="n">
        <x:f>Z112+X112*Q112+Y112*R112</x:f>
        <x:v>1.6978021978021982</x:v>
      </x:c>
    </x:row>
    <x:row r="113" ht="26" customHeight="1">
      <x:c r="A113" s="2"/>
      <x:c r="B113" s="2" t="n">
        <x:v>108</x:v>
      </x:c>
      <x:c r="C113" s="2" t="str">
        <x:v>Beauty / price_contribution</x:v>
      </x:c>
      <x:c r="D113" s="2" t="str">
        <x:v>Product price</x:v>
      </x:c>
      <x:c r="E113" s="7" t="n">
        <x:v>45657</x:v>
      </x:c>
      <x:c r="F113" s="2" t="str">
        <x:v>Prior report</x:v>
      </x:c>
      <x:c r="G113" s="7" t="n">
        <x:v>45583</x:v>
      </x:c>
      <x:c r="H113" s="2" t="n">
        <x:v>15</x:v>
      </x:c>
      <x:c r="I113" s="8" t="n">
        <x:v>24.414873587515096</x:v>
      </x:c>
      <x:c r="J113" s="8" t="n">
        <x:v>0</x:v>
      </x:c>
      <x:c r="K113" s="8" t="n">
        <x:v>71</x:v>
      </x:c>
      <x:c r="L113" s="8" t="n">
        <x:v>115.67497095679454</x:v>
      </x:c>
      <x:c r="M113" s="8" t="n">
        <x:v>0</x:v>
      </x:c>
      <x:c r="N113" s="8" t="n">
        <x:v>0</x:v>
      </x:c>
      <x:c r="O113" s="8" t="n">
        <x:v>191.08379921515615</x:v>
      </x:c>
      <x:c r="P113" s="8" t="n">
        <x:v>0</x:v>
      </x:c>
      <x:c r="Q113" s="8" t="n">
        <x:v>-0.37116945127098067</x:v>
      </x:c>
      <x:c r="R113" s="8" t="n">
        <x:v>0</x:v>
      </x:c>
      <x:c r="S113" s="8" t="n">
        <x:f>L113-I113^2/H113</x:f>
        <x:v>75.9359008038384</x:v>
      </x:c>
      <x:c r="T113" s="8" t="n">
        <x:f>M113-J113^2/H113</x:f>
        <x:v>0</x:v>
      </x:c>
      <x:c r="U113" s="8" t="n">
        <x:f>N113-I113*J113/H113</x:f>
        <x:v>0</x:v>
      </x:c>
      <x:c r="V113" s="8" t="n">
        <x:f>O113-I113*K113/H113</x:f>
        <x:v>75.52006423425135</x:v>
      </x:c>
      <x:c r="W113" s="8" t="n">
        <x:f>P113-J113*K113/H113</x:f>
        <x:v>0</x:v>
      </x:c>
      <x:c r="X113" s="8" t="n">
        <x:f>V113/S113</x:f>
        <x:v>0.9945238475452968</x:v>
      </x:c>
      <x:c r="Y113" s="8" t="n">
        <x:f>0</x:f>
        <x:v>0</x:v>
      </x:c>
      <x:c r="Z113" s="8" t="n">
        <x:f>K113/H113-X113*I113/H113-Y113*J113/H113</x:f>
        <x:v>3.1145883988274963</x:v>
      </x:c>
      <x:c r="AA113" s="8" t="n">
        <x:f>Z113+X113*Q113+Y113*R113</x:f>
        <x:v>2.745451528058204</x:v>
      </x:c>
    </x:row>
    <x:row r="114" ht="26" customHeight="1">
      <x:c r="A114" s="2"/>
      <x:c r="B114" s="2" t="n">
        <x:v>109</x:v>
      </x:c>
      <x:c r="C114" s="2" t="str">
        <x:v>Beauty / price_contribution</x:v>
      </x:c>
      <x:c r="D114" s="2" t="str">
        <x:v>Product lag 1</x:v>
      </x:c>
      <x:c r="E114" s="7" t="n">
        <x:v>45657</x:v>
      </x:c>
      <x:c r="F114" s="2" t="str">
        <x:v>Prior report</x:v>
      </x:c>
      <x:c r="G114" s="7" t="n">
        <x:v>45583</x:v>
      </x:c>
      <x:c r="H114" s="2" t="n">
        <x:v>14</x:v>
      </x:c>
      <x:c r="I114" s="8" t="n">
        <x:v>24.786282100295765</x:v>
      </x:c>
      <x:c r="J114" s="8" t="n">
        <x:v>0</x:v>
      </x:c>
      <x:c r="K114" s="8" t="n">
        <x:v>69</x:v>
      </x:c>
      <x:c r="L114" s="8" t="n">
        <x:v>115.5370266734286</x:v>
      </x:c>
      <x:c r="M114" s="8" t="n">
        <x:v>0</x:v>
      </x:c>
      <x:c r="N114" s="8" t="n">
        <x:v>0</x:v>
      </x:c>
      <x:c r="O114" s="8" t="n">
        <x:v>173.86743579015786</x:v>
      </x:c>
      <x:c r="P114" s="8" t="n">
        <x:v>0</x:v>
      </x:c>
      <x:c r="Q114" s="8" t="n">
        <x:v>-0.3714085127806688</x:v>
      </x:c>
      <x:c r="R114" s="8" t="n">
        <x:v>0</x:v>
      </x:c>
      <x:c r="S114" s="8" t="n">
        <x:f>L114-I114^2/H114</x:f>
        <x:v>71.65418521946845</x:v>
      </x:c>
      <x:c r="T114" s="8" t="n">
        <x:f>M114-J114^2/H114</x:f>
        <x:v>0</x:v>
      </x:c>
      <x:c r="U114" s="8" t="n">
        <x:f>N114-I114*J114/H114</x:f>
        <x:v>0</x:v>
      </x:c>
      <x:c r="V114" s="8" t="n">
        <x:f>O114-I114*K114/H114</x:f>
        <x:v>51.70647401012873</x:v>
      </x:c>
      <x:c r="W114" s="8" t="n">
        <x:f>P114-J114*K114/H114</x:f>
        <x:v>0</x:v>
      </x:c>
      <x:c r="X114" s="8" t="n">
        <x:f>V114/S114</x:f>
        <x:v>0.7216113595006043</x:v>
      </x:c>
      <x:c r="Y114" s="8" t="n">
        <x:f>0</x:f>
        <x:v>0</x:v>
      </x:c>
      <x:c r="Z114" s="8" t="n">
        <x:f>K114/H114-X114*I114/H114-Y114*J114/H114</x:f>
        <x:v>3.6509955197600057</x:v>
      </x:c>
      <x:c r="AA114" s="8" t="n">
        <x:f>Z114+X114*Q114+Y114*R114</x:f>
        <x:v>3.38298291792225</x:v>
      </x:c>
    </x:row>
    <x:row r="115" ht="26" customHeight="1">
      <x:c r="A115" s="2"/>
      <x:c r="B115" s="2" t="n">
        <x:v>110</x:v>
      </x:c>
      <x:c r="C115" s="2" t="str">
        <x:v>Beauty / price_contribution</x:v>
      </x:c>
      <x:c r="D115" s="2" t="str">
        <x:v>Own + product</x:v>
      </x:c>
      <x:c r="E115" s="7" t="n">
        <x:v>45657</x:v>
      </x:c>
      <x:c r="F115" s="2" t="str">
        <x:v>Prior report</x:v>
      </x:c>
      <x:c r="G115" s="7" t="n">
        <x:v>45583</x:v>
      </x:c>
      <x:c r="H115" s="2" t="n">
        <x:v>14</x:v>
      </x:c>
      <x:c r="I115" s="8" t="n">
        <x:v>24.829646963891992</x:v>
      </x:c>
      <x:c r="J115" s="8" t="n">
        <x:v>70</x:v>
      </x:c>
      <x:c r="K115" s="8" t="n">
        <x:v>69</x:v>
      </x:c>
      <x:c r="L115" s="8" t="n">
        <x:v>115.50293400304345</x:v>
      </x:c>
      <x:c r="M115" s="8" t="n">
        <x:v>428</x:v>
      </x:c>
      <x:c r="N115" s="8" t="n">
        <x:v>193.6370127330305</x:v>
      </x:c>
      <x:c r="O115" s="8" t="n">
        <x:v>191.91334596790992</x:v>
      </x:c>
      <x:c r="P115" s="8" t="n">
        <x:v>408</x:v>
      </x:c>
      <x:c r="Q115" s="8" t="n">
        <x:v>-0.37116945127098067</x:v>
      </x:c>
      <x:c r="R115" s="8" t="n">
        <x:v>1</x:v>
      </x:c>
      <x:c r="S115" s="8" t="n">
        <x:f>L115-I115^2/H115</x:f>
        <x:v>71.46640769222125</x:v>
      </x:c>
      <x:c r="T115" s="8" t="n">
        <x:f>M115-J115^2/H115</x:f>
        <x:v>78</x:v>
      </x:c>
      <x:c r="U115" s="8" t="n">
        <x:f>N115-I115*J115/H115</x:f>
        <x:v>69.48877791357054</x:v>
      </x:c>
      <x:c r="V115" s="8" t="n">
        <x:f>O115-I115*K115/H115</x:f>
        <x:v>69.53865736015653</x:v>
      </x:c>
      <x:c r="W115" s="8" t="n">
        <x:f>P115-J115*K115/H115</x:f>
        <x:v>63</x:v>
      </x:c>
      <x:c r="X115" s="8" t="n">
        <x:f>(V115*T115-W115*U115)/(S115*T115-U115^2)</x:f>
        <x:v>1.4030265998159535</x:v>
      </x:c>
      <x:c r="Y115" s="8" t="n">
        <x:f>(W115*S115-V115*U115)/(S115*T115-U115^2)</x:f>
        <x:v>-0.4422385102749072</x:v>
      </x:c>
      <x:c r="Z115" s="8" t="n">
        <x:f>K115/H115-X115*I115/H115-Y115*J115/H115</x:f>
        <x:v>4.65143146891883</x:v>
      </x:c>
      <x:c r="AA115" s="8" t="n">
        <x:f>Z115+X115*Q115+Y115*R115</x:f>
        <x:v>3.688432345471645</x:v>
      </x:c>
    </x:row>
    <x:row r="116" ht="26" customHeight="1">
      <x:c r="A116" s="2"/>
      <x:c r="B116" s="2" t="n">
        <x:v>111</x:v>
      </x:c>
      <x:c r="C116" s="2" t="str">
        <x:v>Beauty / price_contribution</x:v>
      </x:c>
      <x:c r="D116" s="2" t="str">
        <x:v>Broad market</x:v>
      </x:c>
      <x:c r="E116" s="7" t="n">
        <x:v>45657</x:v>
      </x:c>
      <x:c r="F116" s="2" t="str">
        <x:v>Pre-earnings</x:v>
      </x:c>
      <x:c r="G116" s="7" t="n">
        <x:v>45678</x:v>
      </x:c>
      <x:c r="H116" s="2" t="n">
        <x:v>15</x:v>
      </x:c>
      <x:c r="I116" s="8" t="n">
        <x:v>45.36969366335541</x:v>
      </x:c>
      <x:c r="J116" s="8" t="n">
        <x:v>0</x:v>
      </x:c>
      <x:c r="K116" s="8" t="n">
        <x:v>71</x:v>
      </x:c>
      <x:c r="L116" s="8" t="n">
        <x:v>256.4113037512379</x:v>
      </x:c>
      <x:c r="M116" s="8" t="n">
        <x:v>0</x:v>
      </x:c>
      <x:c r="N116" s="8" t="n">
        <x:v>0</x:v>
      </x:c>
      <x:c r="O116" s="8" t="n">
        <x:v>311.47877640285645</x:v>
      </x:c>
      <x:c r="P116" s="8" t="n">
        <x:v>0</x:v>
      </x:c>
      <x:c r="Q116" s="8" t="n">
        <x:v>0.341068456777438</x:v>
      </x:c>
      <x:c r="R116" s="8" t="n">
        <x:v>0</x:v>
      </x:c>
      <x:c r="S116" s="8" t="n">
        <x:f>L116-I116^2/H116</x:f>
        <x:v>119.18403021079038</x:v>
      </x:c>
      <x:c r="T116" s="8" t="n">
        <x:f>M116-J116^2/H116</x:f>
        <x:v>0</x:v>
      </x:c>
      <x:c r="U116" s="8" t="n">
        <x:f>N116-I116*J116/H116</x:f>
        <x:v>0</x:v>
      </x:c>
      <x:c r="V116" s="8" t="n">
        <x:f>O116-I116*K116/H116</x:f>
        <x:v>96.72889306297418</x:v>
      </x:c>
      <x:c r="W116" s="8" t="n">
        <x:f>P116-J116*K116/H116</x:f>
        <x:v>0</x:v>
      </x:c>
      <x:c r="X116" s="8" t="n">
        <x:f>V116/S116</x:f>
        <x:v>0.8115927351332073</x:v>
      </x:c>
      <x:c r="Y116" s="8" t="n">
        <x:f>0</x:f>
        <x:v>0</x:v>
      </x:c>
      <x:c r="Z116" s="8" t="n">
        <x:f>K116/H116-X116*I116/H116-Y116*J116/H116</x:f>
        <x:v>2.2785524151734426</x:v>
      </x:c>
      <x:c r="AA116" s="8" t="n">
        <x:f>Z116+X116*Q116+Y116*R116</x:f>
        <x:v>2.555361096877106</x:v>
      </x:c>
    </x:row>
    <x:row r="117" ht="26" customHeight="1">
      <x:c r="A117" s="2"/>
      <x:c r="B117" s="2" t="n">
        <x:v>112</x:v>
      </x:c>
      <x:c r="C117" s="2" t="str">
        <x:v>Beauty / price_contribution</x:v>
      </x:c>
      <x:c r="D117" s="2" t="str">
        <x:v>Broad lag 1</x:v>
      </x:c>
      <x:c r="E117" s="7" t="n">
        <x:v>45657</x:v>
      </x:c>
      <x:c r="F117" s="2" t="str">
        <x:v>Pre-earnings</x:v>
      </x:c>
      <x:c r="G117" s="7" t="n">
        <x:v>45678</x:v>
      </x:c>
      <x:c r="H117" s="2" t="n">
        <x:v>14</x:v>
      </x:c>
      <x:c r="I117" s="8" t="n">
        <x:v>44.99639254812769</x:v>
      </x:c>
      <x:c r="J117" s="8" t="n">
        <x:v>0</x:v>
      </x:c>
      <x:c r="K117" s="8" t="n">
        <x:v>69</x:v>
      </x:c>
      <x:c r="L117" s="8" t="n">
        <x:v>256.27195002860765</x:v>
      </x:c>
      <x:c r="M117" s="8" t="n">
        <x:v>0</x:v>
      </x:c>
      <x:c r="N117" s="8" t="n">
        <x:v>0</x:v>
      </x:c>
      <x:c r="O117" s="8" t="n">
        <x:v>289.82036227813904</x:v>
      </x:c>
      <x:c r="P117" s="8" t="n">
        <x:v>0</x:v>
      </x:c>
      <x:c r="Q117" s="8" t="n">
        <x:v>0.373301115227731</x:v>
      </x:c>
      <x:c r="R117" s="8" t="n">
        <x:v>0</x:v>
      </x:c>
      <x:c r="S117" s="8" t="n">
        <x:f>L117-I117^2/H117</x:f>
        <x:v>111.65228271823614</x:v>
      </x:c>
      <x:c r="T117" s="8" t="n">
        <x:f>M117-J117^2/H117</x:f>
        <x:v>0</x:v>
      </x:c>
      <x:c r="U117" s="8" t="n">
        <x:f>N117-I117*J117/H117</x:f>
        <x:v>0</x:v>
      </x:c>
      <x:c r="V117" s="8" t="n">
        <x:f>O117-I117*K117/H117</x:f>
        <x:v>68.05242757665258</x:v>
      </x:c>
      <x:c r="W117" s="8" t="n">
        <x:f>P117-J117*K117/H117</x:f>
        <x:v>0</x:v>
      </x:c>
      <x:c r="X117" s="8" t="n">
        <x:f>V117/S117</x:f>
        <x:v>0.6095032355799528</x:v>
      </x:c>
      <x:c r="Y117" s="8" t="n">
        <x:f>0</x:f>
        <x:v>0</x:v>
      </x:c>
      <x:c r="Z117" s="8" t="n">
        <x:f>K117/H117-X117*I117/H117-Y117*J117/H117</x:f>
        <x:v>2.969610939463607</x:v>
      </x:c>
      <x:c r="AA117" s="8" t="n">
        <x:f>Z117+X117*Q117+Y117*R117</x:f>
        <x:v>3.197139177040514</x:v>
      </x:c>
    </x:row>
    <x:row r="118" ht="26" customHeight="1">
      <x:c r="A118" s="2"/>
      <x:c r="B118" s="2" t="n">
        <x:v>113</x:v>
      </x:c>
      <x:c r="C118" s="2" t="str">
        <x:v>Beauty / price_contribution</x:v>
      </x:c>
      <x:c r="D118" s="2" t="str">
        <x:v>Broad rolling 8</x:v>
      </x:c>
      <x:c r="E118" s="7" t="n">
        <x:v>45657</x:v>
      </x:c>
      <x:c r="F118" s="2" t="str">
        <x:v>Pre-earnings</x:v>
      </x:c>
      <x:c r="G118" s="7" t="n">
        <x:v>45678</x:v>
      </x:c>
      <x:c r="H118" s="2" t="n">
        <x:v>8</x:v>
      </x:c>
      <x:c r="I118" s="8" t="n">
        <x:v>36.45732970523537</x:v>
      </x:c>
      <x:c r="J118" s="8" t="n">
        <x:v>0</x:v>
      </x:c>
      <x:c r="K118" s="8" t="n">
        <x:v>44</x:v>
      </x:c>
      <x:c r="L118" s="8" t="n">
        <x:v>212.36019511769817</x:v>
      </x:c>
      <x:c r="M118" s="8" t="n">
        <x:v>0</x:v>
      </x:c>
      <x:c r="N118" s="8" t="n">
        <x:v>0</x:v>
      </x:c>
      <x:c r="O118" s="8" t="n">
        <x:v>251.13809092657698</x:v>
      </x:c>
      <x:c r="P118" s="8" t="n">
        <x:v>0</x:v>
      </x:c>
      <x:c r="Q118" s="8" t="n">
        <x:v>0.341068456777438</x:v>
      </x:c>
      <x:c r="R118" s="8" t="n">
        <x:v>0</x:v>
      </x:c>
      <x:c r="S118" s="8" t="n">
        <x:f>L118-I118^2/H118</x:f>
        <x:v>46.21808396316854</x:v>
      </x:c>
      <x:c r="T118" s="8" t="n">
        <x:f>M118-J118^2/H118</x:f>
        <x:v>0</x:v>
      </x:c>
      <x:c r="U118" s="8" t="n">
        <x:f>N118-I118*J118/H118</x:f>
        <x:v>0</x:v>
      </x:c>
      <x:c r="V118" s="8" t="n">
        <x:f>O118-I118*K118/H118</x:f>
        <x:v>50.62277754778245</x:v>
      </x:c>
      <x:c r="W118" s="8" t="n">
        <x:f>P118-J118*K118/H118</x:f>
        <x:v>0</x:v>
      </x:c>
      <x:c r="X118" s="8" t="n">
        <x:f>V118/S118</x:f>
        <x:v>1.0953023839786182</x:v>
      </x:c>
      <x:c r="Y118" s="8" t="n">
        <x:f>0</x:f>
        <x:v>0</x:v>
      </x:c>
      <x:c r="Z118" s="8" t="n">
        <x:f>K118/H118-X118*I118/H118-Y118*J118/H118</x:f>
        <x:v>0.5085249825451506</x:v>
      </x:c>
      <x:c r="AA118" s="8" t="n">
        <x:f>Z118+X118*Q118+Y118*R118</x:f>
        <x:v>0.8820980763533868</x:v>
      </x:c>
    </x:row>
    <x:row r="119" ht="26" customHeight="1">
      <x:c r="A119" s="2"/>
      <x:c r="B119" s="2" t="n">
        <x:v>114</x:v>
      </x:c>
      <x:c r="C119" s="2" t="str">
        <x:v>Beauty / price_contribution</x:v>
      </x:c>
      <x:c r="D119" s="2" t="str">
        <x:v>Own history</x:v>
      </x:c>
      <x:c r="E119" s="7" t="n">
        <x:v>45657</x:v>
      </x:c>
      <x:c r="F119" s="2" t="str">
        <x:v>Pre-earnings</x:v>
      </x:c>
      <x:c r="G119" s="7" t="n">
        <x:v>45678</x:v>
      </x:c>
      <x:c r="H119" s="2" t="n">
        <x:v>14</x:v>
      </x:c>
      <x:c r="I119" s="8" t="n">
        <x:v>70</x:v>
      </x:c>
      <x:c r="J119" s="8" t="n">
        <x:v>0</x:v>
      </x:c>
      <x:c r="K119" s="8" t="n">
        <x:v>69</x:v>
      </x:c>
      <x:c r="L119" s="8" t="n">
        <x:v>428</x:v>
      </x:c>
      <x:c r="M119" s="8" t="n">
        <x:v>0</x:v>
      </x:c>
      <x:c r="N119" s="8" t="n">
        <x:v>0</x:v>
      </x:c>
      <x:c r="O119" s="8" t="n">
        <x:v>408</x:v>
      </x:c>
      <x:c r="P119" s="8" t="n">
        <x:v>0</x:v>
      </x:c>
      <x:c r="Q119" s="8" t="n">
        <x:v>1</x:v>
      </x:c>
      <x:c r="R119" s="8" t="n">
        <x:v>0</x:v>
      </x:c>
      <x:c r="S119" s="8" t="n">
        <x:f>L119-I119^2/H119</x:f>
        <x:v>78</x:v>
      </x:c>
      <x:c r="T119" s="8" t="n">
        <x:f>M119-J119^2/H119</x:f>
        <x:v>0</x:v>
      </x:c>
      <x:c r="U119" s="8" t="n">
        <x:f>N119-I119*J119/H119</x:f>
        <x:v>0</x:v>
      </x:c>
      <x:c r="V119" s="8" t="n">
        <x:f>O119-I119*K119/H119</x:f>
        <x:v>63</x:v>
      </x:c>
      <x:c r="W119" s="8" t="n">
        <x:f>P119-J119*K119/H119</x:f>
        <x:v>0</x:v>
      </x:c>
      <x:c r="X119" s="8" t="n">
        <x:f>V119/S119</x:f>
        <x:v>0.8076923076923077</x:v>
      </x:c>
      <x:c r="Y119" s="8" t="n">
        <x:f>0</x:f>
        <x:v>0</x:v>
      </x:c>
      <x:c r="Z119" s="8" t="n">
        <x:f>K119/H119-X119*I119/H119-Y119*J119/H119</x:f>
        <x:v>0.8901098901098905</x:v>
      </x:c>
      <x:c r="AA119" s="8" t="n">
        <x:f>Z119+X119*Q119+Y119*R119</x:f>
        <x:v>1.6978021978021982</x:v>
      </x:c>
    </x:row>
    <x:row r="120" ht="26" customHeight="1">
      <x:c r="A120" s="2"/>
      <x:c r="B120" s="2" t="n">
        <x:v>115</x:v>
      </x:c>
      <x:c r="C120" s="2" t="str">
        <x:v>Beauty / price_contribution</x:v>
      </x:c>
      <x:c r="D120" s="2" t="str">
        <x:v>Product price</x:v>
      </x:c>
      <x:c r="E120" s="7" t="n">
        <x:v>45657</x:v>
      </x:c>
      <x:c r="F120" s="2" t="str">
        <x:v>Pre-earnings</x:v>
      </x:c>
      <x:c r="G120" s="7" t="n">
        <x:v>45678</x:v>
      </x:c>
      <x:c r="H120" s="2" t="n">
        <x:v>15</x:v>
      </x:c>
      <x:c r="I120" s="8" t="n">
        <x:v>24.414873587515096</x:v>
      </x:c>
      <x:c r="J120" s="8" t="n">
        <x:v>0</x:v>
      </x:c>
      <x:c r="K120" s="8" t="n">
        <x:v>71</x:v>
      </x:c>
      <x:c r="L120" s="8" t="n">
        <x:v>115.67497095679454</x:v>
      </x:c>
      <x:c r="M120" s="8" t="n">
        <x:v>0</x:v>
      </x:c>
      <x:c r="N120" s="8" t="n">
        <x:v>0</x:v>
      </x:c>
      <x:c r="O120" s="8" t="n">
        <x:v>191.08379921515615</x:v>
      </x:c>
      <x:c r="P120" s="8" t="n">
        <x:v>0</x:v>
      </x:c>
      <x:c r="Q120" s="8" t="n">
        <x:v>-0.5082703089794416</x:v>
      </x:c>
      <x:c r="R120" s="8" t="n">
        <x:v>0</x:v>
      </x:c>
      <x:c r="S120" s="8" t="n">
        <x:f>L120-I120^2/H120</x:f>
        <x:v>75.9359008038384</x:v>
      </x:c>
      <x:c r="T120" s="8" t="n">
        <x:f>M120-J120^2/H120</x:f>
        <x:v>0</x:v>
      </x:c>
      <x:c r="U120" s="8" t="n">
        <x:f>N120-I120*J120/H120</x:f>
        <x:v>0</x:v>
      </x:c>
      <x:c r="V120" s="8" t="n">
        <x:f>O120-I120*K120/H120</x:f>
        <x:v>75.52006423425135</x:v>
      </x:c>
      <x:c r="W120" s="8" t="n">
        <x:f>P120-J120*K120/H120</x:f>
        <x:v>0</x:v>
      </x:c>
      <x:c r="X120" s="8" t="n">
        <x:f>V120/S120</x:f>
        <x:v>0.9945238475452968</x:v>
      </x:c>
      <x:c r="Y120" s="8" t="n">
        <x:f>0</x:f>
        <x:v>0</x:v>
      </x:c>
      <x:c r="Z120" s="8" t="n">
        <x:f>K120/H120-X120*I120/H120-Y120*J120/H120</x:f>
        <x:v>3.1145883988274963</x:v>
      </x:c>
      <x:c r="AA120" s="8" t="n">
        <x:f>Z120+X120*Q120+Y120*R120</x:f>
        <x:v>2.6091014555482253</x:v>
      </x:c>
    </x:row>
    <x:row r="121" ht="26" customHeight="1">
      <x:c r="A121" s="2"/>
      <x:c r="B121" s="2" t="n">
        <x:v>116</x:v>
      </x:c>
      <x:c r="C121" s="2" t="str">
        <x:v>Beauty / price_contribution</x:v>
      </x:c>
      <x:c r="D121" s="2" t="str">
        <x:v>Product lag 1</x:v>
      </x:c>
      <x:c r="E121" s="7" t="n">
        <x:v>45657</x:v>
      </x:c>
      <x:c r="F121" s="2" t="str">
        <x:v>Pre-earnings</x:v>
      </x:c>
      <x:c r="G121" s="7" t="n">
        <x:v>45678</x:v>
      </x:c>
      <x:c r="H121" s="2" t="n">
        <x:v>14</x:v>
      </x:c>
      <x:c r="I121" s="8" t="n">
        <x:v>24.786282100295765</x:v>
      </x:c>
      <x:c r="J121" s="8" t="n">
        <x:v>0</x:v>
      </x:c>
      <x:c r="K121" s="8" t="n">
        <x:v>69</x:v>
      </x:c>
      <x:c r="L121" s="8" t="n">
        <x:v>115.5370266734286</x:v>
      </x:c>
      <x:c r="M121" s="8" t="n">
        <x:v>0</x:v>
      </x:c>
      <x:c r="N121" s="8" t="n">
        <x:v>0</x:v>
      </x:c>
      <x:c r="O121" s="8" t="n">
        <x:v>173.86743579015786</x:v>
      </x:c>
      <x:c r="P121" s="8" t="n">
        <x:v>0</x:v>
      </x:c>
      <x:c r="Q121" s="8" t="n">
        <x:v>-0.3714085127806688</x:v>
      </x:c>
      <x:c r="R121" s="8" t="n">
        <x:v>0</x:v>
      </x:c>
      <x:c r="S121" s="8" t="n">
        <x:f>L121-I121^2/H121</x:f>
        <x:v>71.65418521946845</x:v>
      </x:c>
      <x:c r="T121" s="8" t="n">
        <x:f>M121-J121^2/H121</x:f>
        <x:v>0</x:v>
      </x:c>
      <x:c r="U121" s="8" t="n">
        <x:f>N121-I121*J121/H121</x:f>
        <x:v>0</x:v>
      </x:c>
      <x:c r="V121" s="8" t="n">
        <x:f>O121-I121*K121/H121</x:f>
        <x:v>51.70647401012873</x:v>
      </x:c>
      <x:c r="W121" s="8" t="n">
        <x:f>P121-J121*K121/H121</x:f>
        <x:v>0</x:v>
      </x:c>
      <x:c r="X121" s="8" t="n">
        <x:f>V121/S121</x:f>
        <x:v>0.7216113595006043</x:v>
      </x:c>
      <x:c r="Y121" s="8" t="n">
        <x:f>0</x:f>
        <x:v>0</x:v>
      </x:c>
      <x:c r="Z121" s="8" t="n">
        <x:f>K121/H121-X121*I121/H121-Y121*J121/H121</x:f>
        <x:v>3.6509955197600057</x:v>
      </x:c>
      <x:c r="AA121" s="8" t="n">
        <x:f>Z121+X121*Q121+Y121*R121</x:f>
        <x:v>3.38298291792225</x:v>
      </x:c>
    </x:row>
    <x:row r="122" ht="26" customHeight="1">
      <x:c r="A122" s="2"/>
      <x:c r="B122" s="2" t="n">
        <x:v>117</x:v>
      </x:c>
      <x:c r="C122" s="2" t="str">
        <x:v>Beauty / price_contribution</x:v>
      </x:c>
      <x:c r="D122" s="2" t="str">
        <x:v>Own + product</x:v>
      </x:c>
      <x:c r="E122" s="7" t="n">
        <x:v>45657</x:v>
      </x:c>
      <x:c r="F122" s="2" t="str">
        <x:v>Pre-earnings</x:v>
      </x:c>
      <x:c r="G122" s="7" t="n">
        <x:v>45678</x:v>
      </x:c>
      <x:c r="H122" s="2" t="n">
        <x:v>14</x:v>
      </x:c>
      <x:c r="I122" s="8" t="n">
        <x:v>24.829646963891992</x:v>
      </x:c>
      <x:c r="J122" s="8" t="n">
        <x:v>70</x:v>
      </x:c>
      <x:c r="K122" s="8" t="n">
        <x:v>69</x:v>
      </x:c>
      <x:c r="L122" s="8" t="n">
        <x:v>115.50293400304345</x:v>
      </x:c>
      <x:c r="M122" s="8" t="n">
        <x:v>428</x:v>
      </x:c>
      <x:c r="N122" s="8" t="n">
        <x:v>193.6370127330305</x:v>
      </x:c>
      <x:c r="O122" s="8" t="n">
        <x:v>191.91334596790992</x:v>
      </x:c>
      <x:c r="P122" s="8" t="n">
        <x:v>408</x:v>
      </x:c>
      <x:c r="Q122" s="8" t="n">
        <x:v>-0.5082703089794416</x:v>
      </x:c>
      <x:c r="R122" s="8" t="n">
        <x:v>1</x:v>
      </x:c>
      <x:c r="S122" s="8" t="n">
        <x:f>L122-I122^2/H122</x:f>
        <x:v>71.46640769222125</x:v>
      </x:c>
      <x:c r="T122" s="8" t="n">
        <x:f>M122-J122^2/H122</x:f>
        <x:v>78</x:v>
      </x:c>
      <x:c r="U122" s="8" t="n">
        <x:f>N122-I122*J122/H122</x:f>
        <x:v>69.48877791357054</x:v>
      </x:c>
      <x:c r="V122" s="8" t="n">
        <x:f>O122-I122*K122/H122</x:f>
        <x:v>69.53865736015653</x:v>
      </x:c>
      <x:c r="W122" s="8" t="n">
        <x:f>P122-J122*K122/H122</x:f>
        <x:v>63</x:v>
      </x:c>
      <x:c r="X122" s="8" t="n">
        <x:f>(V122*T122-W122*U122)/(S122*T122-U122^2)</x:f>
        <x:v>1.4030265998159535</x:v>
      </x:c>
      <x:c r="Y122" s="8" t="n">
        <x:f>(W122*S122-V122*U122)/(S122*T122-U122^2)</x:f>
        <x:v>-0.4422385102749072</x:v>
      </x:c>
      <x:c r="Z122" s="8" t="n">
        <x:f>K122/H122-X122*I122/H122-Y122*J122/H122</x:f>
        <x:v>4.65143146891883</x:v>
      </x:c>
      <x:c r="AA122" s="8" t="n">
        <x:f>Z122+X122*Q122+Y122*R122</x:f>
        <x:v>3.4960761952490924</x:v>
      </x:c>
    </x:row>
    <x:row r="123" ht="26" customHeight="1">
      <x:c r="A123" s="2"/>
      <x:c r="B123" s="2" t="n">
        <x:v>118</x:v>
      </x:c>
      <x:c r="C123" s="2" t="str">
        <x:v>Beauty / price_contribution</x:v>
      </x:c>
      <x:c r="D123" s="2" t="str">
        <x:v>Broad market</x:v>
      </x:c>
      <x:c r="E123" s="7" t="n">
        <x:v>45747</x:v>
      </x:c>
      <x:c r="F123" s="2" t="str">
        <x:v>Origin</x:v>
      </x:c>
      <x:c r="G123" s="7" t="n">
        <x:v>45658</x:v>
      </x:c>
      <x:c r="H123" s="2" t="n">
        <x:v>15</x:v>
      </x:c>
      <x:c r="I123" s="8" t="n">
        <x:v>45.36969366335541</x:v>
      </x:c>
      <x:c r="J123" s="8" t="n">
        <x:v>0</x:v>
      </x:c>
      <x:c r="K123" s="8" t="n">
        <x:v>71</x:v>
      </x:c>
      <x:c r="L123" s="8" t="n">
        <x:v>256.4113037512379</x:v>
      </x:c>
      <x:c r="M123" s="8" t="n">
        <x:v>0</x:v>
      </x:c>
      <x:c r="N123" s="8" t="n">
        <x:v>0</x:v>
      </x:c>
      <x:c r="O123" s="8" t="n">
        <x:v>311.47877640285645</x:v>
      </x:c>
      <x:c r="P123" s="8" t="n">
        <x:v>0</x:v>
      </x:c>
      <x:c r="Q123" s="8" t="n">
        <x:v>0.21719146092866737</x:v>
      </x:c>
      <x:c r="R123" s="8" t="n">
        <x:v>0</x:v>
      </x:c>
      <x:c r="S123" s="8" t="n">
        <x:f>L123-I123^2/H123</x:f>
        <x:v>119.18403021079038</x:v>
      </x:c>
      <x:c r="T123" s="8" t="n">
        <x:f>M123-J123^2/H123</x:f>
        <x:v>0</x:v>
      </x:c>
      <x:c r="U123" s="8" t="n">
        <x:f>N123-I123*J123/H123</x:f>
        <x:v>0</x:v>
      </x:c>
      <x:c r="V123" s="8" t="n">
        <x:f>O123-I123*K123/H123</x:f>
        <x:v>96.72889306297418</x:v>
      </x:c>
      <x:c r="W123" s="8" t="n">
        <x:f>P123-J123*K123/H123</x:f>
        <x:v>0</x:v>
      </x:c>
      <x:c r="X123" s="8" t="n">
        <x:f>V123/S123</x:f>
        <x:v>0.8115927351332073</x:v>
      </x:c>
      <x:c r="Y123" s="8" t="n">
        <x:f>0</x:f>
        <x:v>0</x:v>
      </x:c>
      <x:c r="Z123" s="8" t="n">
        <x:f>K123/H123-X123*I123/H123-Y123*J123/H123</x:f>
        <x:v>2.2785524151734426</x:v>
      </x:c>
      <x:c r="AA123" s="8" t="n">
        <x:f>Z123+X123*Q123+Y123*R123</x:f>
        <x:v>2.454823426996117</x:v>
      </x:c>
    </x:row>
    <x:row r="124" ht="26" customHeight="1">
      <x:c r="A124" s="2"/>
      <x:c r="B124" s="2" t="n">
        <x:v>119</x:v>
      </x:c>
      <x:c r="C124" s="2" t="str">
        <x:v>Beauty / price_contribution</x:v>
      </x:c>
      <x:c r="D124" s="2" t="str">
        <x:v>Broad rolling 8</x:v>
      </x:c>
      <x:c r="E124" s="7" t="n">
        <x:v>45747</x:v>
      </x:c>
      <x:c r="F124" s="2" t="str">
        <x:v>Origin</x:v>
      </x:c>
      <x:c r="G124" s="7" t="n">
        <x:v>45658</x:v>
      </x:c>
      <x:c r="H124" s="2" t="n">
        <x:v>8</x:v>
      </x:c>
      <x:c r="I124" s="8" t="n">
        <x:v>36.45732970523537</x:v>
      </x:c>
      <x:c r="J124" s="8" t="n">
        <x:v>0</x:v>
      </x:c>
      <x:c r="K124" s="8" t="n">
        <x:v>44</x:v>
      </x:c>
      <x:c r="L124" s="8" t="n">
        <x:v>212.36019511769817</x:v>
      </x:c>
      <x:c r="M124" s="8" t="n">
        <x:v>0</x:v>
      </x:c>
      <x:c r="N124" s="8" t="n">
        <x:v>0</x:v>
      </x:c>
      <x:c r="O124" s="8" t="n">
        <x:v>251.13809092657698</x:v>
      </x:c>
      <x:c r="P124" s="8" t="n">
        <x:v>0</x:v>
      </x:c>
      <x:c r="Q124" s="8" t="n">
        <x:v>0.21719146092866737</x:v>
      </x:c>
      <x:c r="R124" s="8" t="n">
        <x:v>0</x:v>
      </x:c>
      <x:c r="S124" s="8" t="n">
        <x:f>L124-I124^2/H124</x:f>
        <x:v>46.21808396316854</x:v>
      </x:c>
      <x:c r="T124" s="8" t="n">
        <x:f>M124-J124^2/H124</x:f>
        <x:v>0</x:v>
      </x:c>
      <x:c r="U124" s="8" t="n">
        <x:f>N124-I124*J124/H124</x:f>
        <x:v>0</x:v>
      </x:c>
      <x:c r="V124" s="8" t="n">
        <x:f>O124-I124*K124/H124</x:f>
        <x:v>50.62277754778245</x:v>
      </x:c>
      <x:c r="W124" s="8" t="n">
        <x:f>P124-J124*K124/H124</x:f>
        <x:v>0</x:v>
      </x:c>
      <x:c r="X124" s="8" t="n">
        <x:f>V124/S124</x:f>
        <x:v>1.0953023839786182</x:v>
      </x:c>
      <x:c r="Y124" s="8" t="n">
        <x:f>0</x:f>
        <x:v>0</x:v>
      </x:c>
      <x:c r="Z124" s="8" t="n">
        <x:f>K124/H124-X124*I124/H124-Y124*J124/H124</x:f>
        <x:v>0.5085249825451506</x:v>
      </x:c>
      <x:c r="AA124" s="8" t="n">
        <x:f>Z124+X124*Q124+Y124*R124</x:f>
        <x:v>0.7464153074801189</x:v>
      </x:c>
    </x:row>
    <x:row r="125" ht="26" customHeight="1">
      <x:c r="A125" s="2"/>
      <x:c r="B125" s="2" t="n">
        <x:v>120</x:v>
      </x:c>
      <x:c r="C125" s="2" t="str">
        <x:v>Beauty / price_contribution</x:v>
      </x:c>
      <x:c r="D125" s="2" t="str">
        <x:v>Own history</x:v>
      </x:c>
      <x:c r="E125" s="7" t="n">
        <x:v>45747</x:v>
      </x:c>
      <x:c r="F125" s="2" t="str">
        <x:v>Origin</x:v>
      </x:c>
      <x:c r="G125" s="7" t="n">
        <x:v>45658</x:v>
      </x:c>
      <x:c r="H125" s="2" t="n">
        <x:v>13</x:v>
      </x:c>
      <x:c r="I125" s="8" t="n">
        <x:v>67</x:v>
      </x:c>
      <x:c r="J125" s="8" t="n">
        <x:v>0</x:v>
      </x:c>
      <x:c r="K125" s="8" t="n">
        <x:v>65</x:v>
      </x:c>
      <x:c r="L125" s="8" t="n">
        <x:v>419</x:v>
      </x:c>
      <x:c r="M125" s="8" t="n">
        <x:v>0</x:v>
      </x:c>
      <x:c r="N125" s="8" t="n">
        <x:v>0</x:v>
      </x:c>
      <x:c r="O125" s="8" t="n">
        <x:v>374</x:v>
      </x:c>
      <x:c r="P125" s="8" t="n">
        <x:v>0</x:v>
      </x:c>
      <x:c r="Q125" s="8" t="n">
        <x:v>1</x:v>
      </x:c>
      <x:c r="R125" s="8" t="n">
        <x:v>0</x:v>
      </x:c>
      <x:c r="S125" s="8" t="n">
        <x:f>L125-I125^2/H125</x:f>
        <x:v>73.69230769230768</x:v>
      </x:c>
      <x:c r="T125" s="8" t="n">
        <x:f>M125-J125^2/H125</x:f>
        <x:v>0</x:v>
      </x:c>
      <x:c r="U125" s="8" t="n">
        <x:f>N125-I125*J125/H125</x:f>
        <x:v>0</x:v>
      </x:c>
      <x:c r="V125" s="8" t="n">
        <x:f>O125-I125*K125/H125</x:f>
        <x:v>39</x:v>
      </x:c>
      <x:c r="W125" s="8" t="n">
        <x:f>P125-J125*K125/H125</x:f>
        <x:v>0</x:v>
      </x:c>
      <x:c r="X125" s="8" t="n">
        <x:f>V125/S125</x:f>
        <x:v>0.5292275574112736</x:v>
      </x:c>
      <x:c r="Y125" s="8" t="n">
        <x:f>0</x:f>
        <x:v>0</x:v>
      </x:c>
      <x:c r="Z125" s="8" t="n">
        <x:f>K125/H125-X125*I125/H125-Y125*J125/H125</x:f>
        <x:v>2.272442588726513</x:v>
      </x:c>
      <x:c r="AA125" s="8" t="n">
        <x:f>Z125+X125*Q125+Y125*R125</x:f>
        <x:v>2.801670146137787</x:v>
      </x:c>
    </x:row>
    <x:row r="126" ht="26" customHeight="1">
      <x:c r="A126" s="2"/>
      <x:c r="B126" s="2" t="n">
        <x:v>121</x:v>
      </x:c>
      <x:c r="C126" s="2" t="str">
        <x:v>Beauty / price_contribution</x:v>
      </x:c>
      <x:c r="D126" s="2" t="str">
        <x:v>Product price</x:v>
      </x:c>
      <x:c r="E126" s="7" t="n">
        <x:v>45747</x:v>
      </x:c>
      <x:c r="F126" s="2" t="str">
        <x:v>Origin</x:v>
      </x:c>
      <x:c r="G126" s="7" t="n">
        <x:v>45658</x:v>
      </x:c>
      <x:c r="H126" s="2" t="n">
        <x:v>15</x:v>
      </x:c>
      <x:c r="I126" s="8" t="n">
        <x:v>24.414873587515096</x:v>
      </x:c>
      <x:c r="J126" s="8" t="n">
        <x:v>0</x:v>
      </x:c>
      <x:c r="K126" s="8" t="n">
        <x:v>71</x:v>
      </x:c>
      <x:c r="L126" s="8" t="n">
        <x:v>115.67497095679454</x:v>
      </x:c>
      <x:c r="M126" s="8" t="n">
        <x:v>0</x:v>
      </x:c>
      <x:c r="N126" s="8" t="n">
        <x:v>0</x:v>
      </x:c>
      <x:c r="O126" s="8" t="n">
        <x:v>191.08379921515615</x:v>
      </x:c>
      <x:c r="P126" s="8" t="n">
        <x:v>0</x:v>
      </x:c>
      <x:c r="Q126" s="8" t="n">
        <x:v>-0.7502964547350666</x:v>
      </x:c>
      <x:c r="R126" s="8" t="n">
        <x:v>0</x:v>
      </x:c>
      <x:c r="S126" s="8" t="n">
        <x:f>L126-I126^2/H126</x:f>
        <x:v>75.9359008038384</x:v>
      </x:c>
      <x:c r="T126" s="8" t="n">
        <x:f>M126-J126^2/H126</x:f>
        <x:v>0</x:v>
      </x:c>
      <x:c r="U126" s="8" t="n">
        <x:f>N126-I126*J126/H126</x:f>
        <x:v>0</x:v>
      </x:c>
      <x:c r="V126" s="8" t="n">
        <x:f>O126-I126*K126/H126</x:f>
        <x:v>75.52006423425135</x:v>
      </x:c>
      <x:c r="W126" s="8" t="n">
        <x:f>P126-J126*K126/H126</x:f>
        <x:v>0</x:v>
      </x:c>
      <x:c r="X126" s="8" t="n">
        <x:f>V126/S126</x:f>
        <x:v>0.9945238475452968</x:v>
      </x:c>
      <x:c r="Y126" s="8" t="n">
        <x:f>0</x:f>
        <x:v>0</x:v>
      </x:c>
      <x:c r="Z126" s="8" t="n">
        <x:f>K126/H126-X126*I126/H126-Y126*J126/H126</x:f>
        <x:v>3.1145883988274963</x:v>
      </x:c>
      <x:c r="AA126" s="8" t="n">
        <x:f>Z126+X126*Q126+Y126*R126</x:f>
        <x:v>2.3684006818647823</x:v>
      </x:c>
    </x:row>
    <x:row r="127" ht="26" customHeight="1">
      <x:c r="A127" s="2"/>
      <x:c r="B127" s="2" t="n">
        <x:v>122</x:v>
      </x:c>
      <x:c r="C127" s="2" t="str">
        <x:v>Beauty / price_contribution</x:v>
      </x:c>
      <x:c r="D127" s="2" t="str">
        <x:v>Own + product</x:v>
      </x:c>
      <x:c r="E127" s="7" t="n">
        <x:v>45747</x:v>
      </x:c>
      <x:c r="F127" s="2" t="str">
        <x:v>Origin</x:v>
      </x:c>
      <x:c r="G127" s="7" t="n">
        <x:v>45658</x:v>
      </x:c>
      <x:c r="H127" s="2" t="n">
        <x:v>13</x:v>
      </x:c>
      <x:c r="I127" s="8" t="n">
        <x:v>25.264954768816207</x:v>
      </x:c>
      <x:c r="J127" s="8" t="n">
        <x:v>67</x:v>
      </x:c>
      <x:c r="K127" s="8" t="n">
        <x:v>65</x:v>
      </x:c>
      <x:c r="L127" s="8" t="n">
        <x:v>115.31344111801552</x:v>
      </x:c>
      <x:c r="M127" s="8" t="n">
        <x:v>419</x:v>
      </x:c>
      <x:c r="N127" s="8" t="n">
        <x:v>181.58804365735986</x:v>
      </x:c>
      <x:c r="O127" s="8" t="n">
        <x:v>193.65457718760678</x:v>
      </x:c>
      <x:c r="P127" s="8" t="n">
        <x:v>374</x:v>
      </x:c>
      <x:c r="Q127" s="8" t="n">
        <x:v>-0.7502964547350666</x:v>
      </x:c>
      <x:c r="R127" s="8" t="n">
        <x:v>1</x:v>
      </x:c>
      <x:c r="S127" s="8" t="n">
        <x:f>L127-I127^2/H127</x:f>
        <x:v>66.21206115875947</x:v>
      </x:c>
      <x:c r="T127" s="8" t="n">
        <x:f>M127-J127^2/H127</x:f>
        <x:v>73.69230769230768</x:v>
      </x:c>
      <x:c r="U127" s="8" t="n">
        <x:f>N127-I127*J127/H127</x:f>
        <x:v>51.37635369499941</x:v>
      </x:c>
      <x:c r="V127" s="8" t="n">
        <x:f>O127-I127*K127/H127</x:f>
        <x:v>67.32980334352575</x:v>
      </x:c>
      <x:c r="W127" s="8" t="n">
        <x:f>P127-J127*K127/H127</x:f>
        <x:v>39</x:v>
      </x:c>
      <x:c r="X127" s="8" t="n">
        <x:f>(V127*T127-W127*U127)/(S127*T127-U127^2)</x:f>
        <x:v>1.3206644235503853</x:v>
      </x:c>
      <x:c r="Y127" s="8" t="n">
        <x:f>(W127*S127-V127*U127)/(S127*T127-U127^2)</x:f>
        <x:v>-0.3915052118762549</x:v>
      </x:c>
      <x:c r="Z127" s="8" t="n">
        <x:f>K127/H127-X127*I127/H127-Y127*J127/H127</x:f>
        <x:v>4.451101713071067</x:v>
      </x:c>
      <x:c r="AA127" s="8" t="n">
        <x:f>Z127+X127*Q127+Y127*R127</x:f>
        <x:v>3.0687066663102276</x:v>
      </x:c>
    </x:row>
    <x:row r="128" ht="26" customHeight="1">
      <x:c r="A128" s="2"/>
      <x:c r="B128" s="2" t="n">
        <x:v>123</x:v>
      </x:c>
      <x:c r="C128" s="2" t="str">
        <x:v>Beauty / price_contribution</x:v>
      </x:c>
      <x:c r="D128" s="2" t="str">
        <x:v>Broad market</x:v>
      </x:c>
      <x:c r="E128" s="7" t="n">
        <x:v>45747</x:v>
      </x:c>
      <x:c r="F128" s="2" t="str">
        <x:v>Prior report</x:v>
      </x:c>
      <x:c r="G128" s="7" t="n">
        <x:v>45679</x:v>
      </x:c>
      <x:c r="H128" s="2" t="n">
        <x:v>16</x:v>
      </x:c>
      <x:c r="I128" s="8" t="n">
        <x:v>45.710762120132856</x:v>
      </x:c>
      <x:c r="J128" s="8" t="n">
        <x:v>0</x:v>
      </x:c>
      <x:c r="K128" s="8" t="n">
        <x:v>73</x:v>
      </x:c>
      <x:c r="L128" s="8" t="n">
        <x:v>256.52763144344647</x:v>
      </x:c>
      <x:c r="M128" s="8" t="n">
        <x:v>0</x:v>
      </x:c>
      <x:c r="N128" s="8" t="n">
        <x:v>0</x:v>
      </x:c>
      <x:c r="O128" s="8" t="n">
        <x:v>312.1609133164113</x:v>
      </x:c>
      <x:c r="P128" s="8" t="n">
        <x:v>0</x:v>
      </x:c>
      <x:c r="Q128" s="8" t="n">
        <x:v>0.34236788098596094</x:v>
      </x:c>
      <x:c r="R128" s="8" t="n">
        <x:v>0</x:v>
      </x:c>
      <x:c r="S128" s="8" t="n">
        <x:f>L128-I128^2/H128</x:f>
        <x:v>125.93552059323568</x:v>
      </x:c>
      <x:c r="T128" s="8" t="n">
        <x:f>M128-J128^2/H128</x:f>
        <x:v>0</x:v>
      </x:c>
      <x:c r="U128" s="8" t="n">
        <x:f>N128-I128*J128/H128</x:f>
        <x:v>0</x:v>
      </x:c>
      <x:c r="V128" s="8" t="n">
        <x:f>O128-I128*K128/H128</x:f>
        <x:v>103.60556114330518</x:v>
      </x:c>
      <x:c r="W128" s="8" t="n">
        <x:f>P128-J128*K128/H128</x:f>
        <x:v>0</x:v>
      </x:c>
      <x:c r="X128" s="8" t="n">
        <x:f>V128/S128</x:f>
        <x:v>0.8226873613993708</x:v>
      </x:c>
      <x:c r="Y128" s="8" t="n">
        <x:f>0</x:f>
        <x:v>0</x:v>
      </x:c>
      <x:c r="Z128" s="8" t="n">
        <x:f>K128/H128-X128*I128/H128-Y128*J128/H128</x:f>
        <x:v>2.2121458577395994</x:v>
      </x:c>
      <x:c r="AA128" s="8" t="n">
        <x:f>Z128+X128*Q128+Y128*R128</x:f>
        <x:v>2.4938075863758336</x:v>
      </x:c>
    </x:row>
    <x:row r="129" ht="26" customHeight="1">
      <x:c r="A129" s="2"/>
      <x:c r="B129" s="2" t="n">
        <x:v>124</x:v>
      </x:c>
      <x:c r="C129" s="2" t="str">
        <x:v>Beauty / price_contribution</x:v>
      </x:c>
      <x:c r="D129" s="2" t="str">
        <x:v>Broad lag 1</x:v>
      </x:c>
      <x:c r="E129" s="7" t="n">
        <x:v>45747</x:v>
      </x:c>
      <x:c r="F129" s="2" t="str">
        <x:v>Prior report</x:v>
      </x:c>
      <x:c r="G129" s="7" t="n">
        <x:v>45679</x:v>
      </x:c>
      <x:c r="H129" s="2" t="n">
        <x:v>15</x:v>
      </x:c>
      <x:c r="I129" s="8" t="n">
        <x:v>45.36969366335541</x:v>
      </x:c>
      <x:c r="J129" s="8" t="n">
        <x:v>0</x:v>
      </x:c>
      <x:c r="K129" s="8" t="n">
        <x:v>71</x:v>
      </x:c>
      <x:c r="L129" s="8" t="n">
        <x:v>256.4113037512379</x:v>
      </x:c>
      <x:c r="M129" s="8" t="n">
        <x:v>0</x:v>
      </x:c>
      <x:c r="N129" s="8" t="n">
        <x:v>0</x:v>
      </x:c>
      <x:c r="O129" s="8" t="n">
        <x:v>290.56696450859454</x:v>
      </x:c>
      <x:c r="P129" s="8" t="n">
        <x:v>0</x:v>
      </x:c>
      <x:c r="Q129" s="8" t="n">
        <x:v>0.341068456777438</x:v>
      </x:c>
      <x:c r="R129" s="8" t="n">
        <x:v>0</x:v>
      </x:c>
      <x:c r="S129" s="8" t="n">
        <x:f>L129-I129^2/H129</x:f>
        <x:v>119.18403021079038</x:v>
      </x:c>
      <x:c r="T129" s="8" t="n">
        <x:f>M129-J129^2/H129</x:f>
        <x:v>0</x:v>
      </x:c>
      <x:c r="U129" s="8" t="n">
        <x:f>N129-I129*J129/H129</x:f>
        <x:v>0</x:v>
      </x:c>
      <x:c r="V129" s="8" t="n">
        <x:f>O129-I129*K129/H129</x:f>
        <x:v>75.81708116871226</x:v>
      </x:c>
      <x:c r="W129" s="8" t="n">
        <x:f>P129-J129*K129/H129</x:f>
        <x:v>0</x:v>
      </x:c>
      <x:c r="X129" s="8" t="n">
        <x:f>V129/S129</x:f>
        <x:v>0.6361345646276705</x:v>
      </x:c>
      <x:c r="Y129" s="8" t="n">
        <x:f>0</x:f>
        <x:v>0</x:v>
      </x:c>
      <x:c r="Z129" s="8" t="n">
        <x:f>K129/H129-X129*I129/H129-Y129*J129/H129</x:f>
        <x:v>2.809251311611375</x:v>
      </x:c>
      <x:c r="AA129" s="8" t="n">
        <x:f>Z129+X129*Q129+Y129*R129</x:f>
        <x:v>3.026216745871722</x:v>
      </x:c>
    </x:row>
    <x:row r="130" ht="26" customHeight="1">
      <x:c r="A130" s="2"/>
      <x:c r="B130" s="2" t="n">
        <x:v>125</x:v>
      </x:c>
      <x:c r="C130" s="2" t="str">
        <x:v>Beauty / price_contribution</x:v>
      </x:c>
      <x:c r="D130" s="2" t="str">
        <x:v>Broad rolling 8</x:v>
      </x:c>
      <x:c r="E130" s="7" t="n">
        <x:v>45747</x:v>
      </x:c>
      <x:c r="F130" s="2" t="str">
        <x:v>Prior report</x:v>
      </x:c>
      <x:c r="G130" s="7" t="n">
        <x:v>45679</x:v>
      </x:c>
      <x:c r="H130" s="2" t="n">
        <x:v>8</x:v>
      </x:c>
      <x:c r="I130" s="8" t="n">
        <x:v>29.542364704460724</x:v>
      </x:c>
      <x:c r="J130" s="8" t="n">
        <x:v>0</x:v>
      </x:c>
      <x:c r="K130" s="8" t="n">
        <x:v>37</x:v>
      </x:c>
      <x:c r="L130" s="8" t="n">
        <x:v>159.82650127279152</x:v>
      </x:c>
      <x:c r="M130" s="8" t="n">
        <x:v>0</x:v>
      </x:c>
      <x:c r="N130" s="8" t="n">
        <x:v>0</x:v>
      </x:c>
      <x:c r="O130" s="8" t="n">
        <x:v>186.51592672216313</x:v>
      </x:c>
      <x:c r="P130" s="8" t="n">
        <x:v>0</x:v>
      </x:c>
      <x:c r="Q130" s="8" t="n">
        <x:v>0.34236788098596094</x:v>
      </x:c>
      <x:c r="R130" s="8" t="n">
        <x:v>0</x:v>
      </x:c>
      <x:c r="S130" s="8" t="n">
        <x:f>L130-I130^2/H130</x:f>
        <x:v>50.73258723137067</x:v>
      </x:c>
      <x:c r="T130" s="8" t="n">
        <x:f>M130-J130^2/H130</x:f>
        <x:v>0</x:v>
      </x:c>
      <x:c r="U130" s="8" t="n">
        <x:f>N130-I130*J130/H130</x:f>
        <x:v>0</x:v>
      </x:c>
      <x:c r="V130" s="8" t="n">
        <x:f>O130-I130*K130/H130</x:f>
        <x:v>49.88248996403229</x:v>
      </x:c>
      <x:c r="W130" s="8" t="n">
        <x:f>P130-J130*K130/H130</x:f>
        <x:v>0</x:v>
      </x:c>
      <x:c r="X130" s="8" t="n">
        <x:f>V130/S130</x:f>
        <x:v>0.9832435656501918</x:v>
      </x:c>
      <x:c r="Y130" s="8" t="n">
        <x:f>0</x:f>
        <x:v>0</x:v>
      </x:c>
      <x:c r="Z130" s="8" t="n">
        <x:f>K130/H130-X130*I130/H130-Y130*J130/H130</x:f>
        <x:v>0.994082498780958</x:v>
      </x:c>
      <x:c r="AA130" s="8" t="n">
        <x:f>Z130+X130*Q130+Y130*R130</x:f>
        <x:v>1.3307135148456948</x:v>
      </x:c>
    </x:row>
    <x:row r="131" ht="26" customHeight="1">
      <x:c r="A131" s="2"/>
      <x:c r="B131" s="2" t="n">
        <x:v>126</x:v>
      </x:c>
      <x:c r="C131" s="2" t="str">
        <x:v>Beauty / price_contribution</x:v>
      </x:c>
      <x:c r="D131" s="2" t="str">
        <x:v>Own history</x:v>
      </x:c>
      <x:c r="E131" s="7" t="n">
        <x:v>45747</x:v>
      </x:c>
      <x:c r="F131" s="2" t="str">
        <x:v>Prior report</x:v>
      </x:c>
      <x:c r="G131" s="7" t="n">
        <x:v>45679</x:v>
      </x:c>
      <x:c r="H131" s="2" t="n">
        <x:v>15</x:v>
      </x:c>
      <x:c r="I131" s="8" t="n">
        <x:v>71</x:v>
      </x:c>
      <x:c r="J131" s="8" t="n">
        <x:v>0</x:v>
      </x:c>
      <x:c r="K131" s="8" t="n">
        <x:v>71</x:v>
      </x:c>
      <x:c r="L131" s="8" t="n">
        <x:v>429</x:v>
      </x:c>
      <x:c r="M131" s="8" t="n">
        <x:v>0</x:v>
      </x:c>
      <x:c r="N131" s="8" t="n">
        <x:v>0</x:v>
      </x:c>
      <x:c r="O131" s="8" t="n">
        <x:v>410</x:v>
      </x:c>
      <x:c r="P131" s="8" t="n">
        <x:v>0</x:v>
      </x:c>
      <x:c r="Q131" s="8" t="n">
        <x:v>2</x:v>
      </x:c>
      <x:c r="R131" s="8" t="n">
        <x:v>0</x:v>
      </x:c>
      <x:c r="S131" s="8" t="n">
        <x:f>L131-I131^2/H131</x:f>
        <x:v>92.93333333333334</x:v>
      </x:c>
      <x:c r="T131" s="8" t="n">
        <x:f>M131-J131^2/H131</x:f>
        <x:v>0</x:v>
      </x:c>
      <x:c r="U131" s="8" t="n">
        <x:f>N131-I131*J131/H131</x:f>
        <x:v>0</x:v>
      </x:c>
      <x:c r="V131" s="8" t="n">
        <x:f>O131-I131*K131/H131</x:f>
        <x:v>73.93333333333334</x:v>
      </x:c>
      <x:c r="W131" s="8" t="n">
        <x:f>P131-J131*K131/H131</x:f>
        <x:v>0</x:v>
      </x:c>
      <x:c r="X131" s="8" t="n">
        <x:f>V131/S131</x:f>
        <x:v>0.7955523672883787</x:v>
      </x:c>
      <x:c r="Y131" s="8" t="n">
        <x:f>0</x:f>
        <x:v>0</x:v>
      </x:c>
      <x:c r="Z131" s="8" t="n">
        <x:f>K131/H131-X131*I131/H131-Y131*J131/H131</x:f>
        <x:v>0.9677187948350072</x:v>
      </x:c>
      <x:c r="AA131" s="8" t="n">
        <x:f>Z131+X131*Q131+Y131*R131</x:f>
        <x:v>2.5588235294117645</x:v>
      </x:c>
    </x:row>
    <x:row r="132" ht="26" customHeight="1">
      <x:c r="A132" s="2"/>
      <x:c r="B132" s="2" t="n">
        <x:v>127</x:v>
      </x:c>
      <x:c r="C132" s="2" t="str">
        <x:v>Beauty / price_contribution</x:v>
      </x:c>
      <x:c r="D132" s="2" t="str">
        <x:v>Product price</x:v>
      </x:c>
      <x:c r="E132" s="7" t="n">
        <x:v>45747</x:v>
      </x:c>
      <x:c r="F132" s="2" t="str">
        <x:v>Prior report</x:v>
      </x:c>
      <x:c r="G132" s="7" t="n">
        <x:v>45679</x:v>
      </x:c>
      <x:c r="H132" s="2" t="n">
        <x:v>16</x:v>
      </x:c>
      <x:c r="I132" s="8" t="n">
        <x:v>23.906603278535655</x:v>
      </x:c>
      <x:c r="J132" s="8" t="n">
        <x:v>0</x:v>
      </x:c>
      <x:c r="K132" s="8" t="n">
        <x:v>73</x:v>
      </x:c>
      <x:c r="L132" s="8" t="n">
        <x:v>115.9333096637846</x:v>
      </x:c>
      <x:c r="M132" s="8" t="n">
        <x:v>0</x:v>
      </x:c>
      <x:c r="N132" s="8" t="n">
        <x:v>0</x:v>
      </x:c>
      <x:c r="O132" s="8" t="n">
        <x:v>190.06725859719725</x:v>
      </x:c>
      <x:c r="P132" s="8" t="n">
        <x:v>0</x:v>
      </x:c>
      <x:c r="Q132" s="8" t="n">
        <x:v>-0.5014448293709339</x:v>
      </x:c>
      <x:c r="R132" s="8" t="n">
        <x:v>0</x:v>
      </x:c>
      <x:c r="S132" s="8" t="n">
        <x:f>L132-I132^2/H132</x:f>
        <x:v>80.21295464395386</x:v>
      </x:c>
      <x:c r="T132" s="8" t="n">
        <x:f>M132-J132^2/H132</x:f>
        <x:v>0</x:v>
      </x:c>
      <x:c r="U132" s="8" t="n">
        <x:f>N132-I132*J132/H132</x:f>
        <x:v>0</x:v>
      </x:c>
      <x:c r="V132" s="8" t="n">
        <x:f>O132-I132*K132/H132</x:f>
        <x:v>80.99338113887832</x:v>
      </x:c>
      <x:c r="W132" s="8" t="n">
        <x:f>P132-J132*K132/H132</x:f>
        <x:v>0</x:v>
      </x:c>
      <x:c r="X132" s="8" t="n">
        <x:f>V132/S132</x:f>
        <x:v>1.0097294320897239</x:v>
      </x:c>
      <x:c r="Y132" s="8" t="n">
        <x:f>0</x:f>
        <x:v>0</x:v>
      </x:c>
      <x:c r="Z132" s="8" t="n">
        <x:f>K132/H132-X132*I132/H132-Y132*J132/H132</x:f>
        <x:v>3.0537999405231164</x:v>
      </x:c>
      <x:c r="AA132" s="8" t="n">
        <x:f>Z132+X132*Q132+Y132*R132</x:f>
        <x:v>2.547476337738075</x:v>
      </x:c>
    </x:row>
    <x:row r="133" ht="26" customHeight="1">
      <x:c r="A133" s="2"/>
      <x:c r="B133" s="2" t="n">
        <x:v>128</x:v>
      </x:c>
      <x:c r="C133" s="2" t="str">
        <x:v>Beauty / price_contribution</x:v>
      </x:c>
      <x:c r="D133" s="2" t="str">
        <x:v>Product lag 1</x:v>
      </x:c>
      <x:c r="E133" s="7" t="n">
        <x:v>45747</x:v>
      </x:c>
      <x:c r="F133" s="2" t="str">
        <x:v>Prior report</x:v>
      </x:c>
      <x:c r="G133" s="7" t="n">
        <x:v>45679</x:v>
      </x:c>
      <x:c r="H133" s="2" t="n">
        <x:v>15</x:v>
      </x:c>
      <x:c r="I133" s="8" t="n">
        <x:v>24.414873587515096</x:v>
      </x:c>
      <x:c r="J133" s="8" t="n">
        <x:v>0</x:v>
      </x:c>
      <x:c r="K133" s="8" t="n">
        <x:v>71</x:v>
      </x:c>
      <x:c r="L133" s="8" t="n">
        <x:v>115.67497095679454</x:v>
      </x:c>
      <x:c r="M133" s="8" t="n">
        <x:v>0</x:v>
      </x:c>
      <x:c r="N133" s="8" t="n">
        <x:v>0</x:v>
      </x:c>
      <x:c r="O133" s="8" t="n">
        <x:v>173.1246187645965</x:v>
      </x:c>
      <x:c r="P133" s="8" t="n">
        <x:v>0</x:v>
      </x:c>
      <x:c r="Q133" s="8" t="n">
        <x:v>-0.5082703089794416</x:v>
      </x:c>
      <x:c r="R133" s="8" t="n">
        <x:v>0</x:v>
      </x:c>
      <x:c r="S133" s="8" t="n">
        <x:f>L133-I133^2/H133</x:f>
        <x:v>75.9359008038384</x:v>
      </x:c>
      <x:c r="T133" s="8" t="n">
        <x:f>M133-J133^2/H133</x:f>
        <x:v>0</x:v>
      </x:c>
      <x:c r="U133" s="8" t="n">
        <x:f>N133-I133*J133/H133</x:f>
        <x:v>0</x:v>
      </x:c>
      <x:c r="V133" s="8" t="n">
        <x:f>O133-I133*K133/H133</x:f>
        <x:v>57.56088378369171</x:v>
      </x:c>
      <x:c r="W133" s="8" t="n">
        <x:f>P133-J133*K133/H133</x:f>
        <x:v>0</x:v>
      </x:c>
      <x:c r="X133" s="8" t="n">
        <x:f>V133/S133</x:f>
        <x:v>0.7580193712640086</x:v>
      </x:c>
      <x:c r="Y133" s="8" t="n">
        <x:f>0</x:f>
        <x:v>0</x:v>
      </x:c>
      <x:c r="Z133" s="8" t="n">
        <x:f>K133/H133-X133*I133/H133-Y133*J133/H133</x:f>
        <x:v>3.4995368582467705</x:v>
      </x:c>
      <x:c r="AA133" s="8" t="n">
        <x:f>Z133+X133*Q133+Y133*R133</x:f>
        <x:v>3.114258118202011</x:v>
      </x:c>
    </x:row>
    <x:row r="134" ht="26" customHeight="1">
      <x:c r="A134" s="2"/>
      <x:c r="B134" s="2" t="n">
        <x:v>129</x:v>
      </x:c>
      <x:c r="C134" s="2" t="str">
        <x:v>Beauty / price_contribution</x:v>
      </x:c>
      <x:c r="D134" s="2" t="str">
        <x:v>Own + product</x:v>
      </x:c>
      <x:c r="E134" s="7" t="n">
        <x:v>45747</x:v>
      </x:c>
      <x:c r="F134" s="2" t="str">
        <x:v>Prior report</x:v>
      </x:c>
      <x:c r="G134" s="7" t="n">
        <x:v>45679</x:v>
      </x:c>
      <x:c r="H134" s="2" t="n">
        <x:v>15</x:v>
      </x:c>
      <x:c r="I134" s="8" t="n">
        <x:v>24.32137665491255</x:v>
      </x:c>
      <x:c r="J134" s="8" t="n">
        <x:v>71</x:v>
      </x:c>
      <x:c r="K134" s="8" t="n">
        <x:v>71</x:v>
      </x:c>
      <x:c r="L134" s="8" t="n">
        <x:v>115.76127271003351</x:v>
      </x:c>
      <x:c r="M134" s="8" t="n">
        <x:v>429</x:v>
      </x:c>
      <x:c r="N134" s="8" t="n">
        <x:v>193.12874242405107</x:v>
      </x:c>
      <x:c r="O134" s="8" t="n">
        <x:v>190.89680534995105</x:v>
      </x:c>
      <x:c r="P134" s="8" t="n">
        <x:v>410</x:v>
      </x:c>
      <x:c r="Q134" s="8" t="n">
        <x:v>-0.5014448293709339</x:v>
      </x:c>
      <x:c r="R134" s="8" t="n">
        <x:v>2</x:v>
      </x:c>
      <x:c r="S134" s="8" t="n">
        <x:f>L134-I134^2/H134</x:f>
        <x:v>76.32598188402517</x:v>
      </x:c>
      <x:c r="T134" s="8" t="n">
        <x:f>M134-J134^2/H134</x:f>
        <x:v>92.93333333333334</x:v>
      </x:c>
      <x:c r="U134" s="8" t="n">
        <x:f>N134-I134*J134/H134</x:f>
        <x:v>78.00755959079832</x:v>
      </x:c>
      <x:c r="V134" s="8" t="n">
        <x:f>O134-I134*K134/H134</x:f>
        <x:v>75.7756225166983</x:v>
      </x:c>
      <x:c r="W134" s="8" t="n">
        <x:f>P134-J134*K134/H134</x:f>
        <x:v>73.93333333333334</x:v>
      </x:c>
      <x:c r="X134" s="8" t="n">
        <x:f>(V134*T134-W134*U134)/(S134*T134-U134^2)</x:f>
        <x:v>1.2645445138138192</x:v>
      </x:c>
      <x:c r="Y134" s="8" t="n">
        <x:f>(W134*S134-V134*U134)/(S134*T134-U134^2)</x:f>
        <x:v>-0.26589703927419495</x:v>
      </x:c>
      <x:c r="Z134" s="8" t="n">
        <x:f>K134/H134-X134*I134/H134-Y134*J134/H134</x:f>
        <x:v>3.9415484247399117</x:v>
      </x:c>
      <x:c r="AA134" s="8" t="n">
        <x:f>Z134+X134*Q134+Y134*R134</x:f>
        <x:v>2.7756550382302008</x:v>
      </x:c>
    </x:row>
    <x:row r="135" ht="26" customHeight="1">
      <x:c r="A135" s="2"/>
      <x:c r="B135" s="2" t="n">
        <x:v>130</x:v>
      </x:c>
      <x:c r="C135" s="2" t="str">
        <x:v>Beauty / price_contribution</x:v>
      </x:c>
      <x:c r="D135" s="2" t="str">
        <x:v>Broad market</x:v>
      </x:c>
      <x:c r="E135" s="7" t="n">
        <x:v>45747</x:v>
      </x:c>
      <x:c r="F135" s="2" t="str">
        <x:v>Pre-earnings</x:v>
      </x:c>
      <x:c r="G135" s="7" t="n">
        <x:v>45770</x:v>
      </x:c>
      <x:c r="H135" s="2" t="n">
        <x:v>16</x:v>
      </x:c>
      <x:c r="I135" s="8" t="n">
        <x:v>45.710762120132856</x:v>
      </x:c>
      <x:c r="J135" s="8" t="n">
        <x:v>0</x:v>
      </x:c>
      <x:c r="K135" s="8" t="n">
        <x:v>73</x:v>
      </x:c>
      <x:c r="L135" s="8" t="n">
        <x:v>256.52763144344647</x:v>
      </x:c>
      <x:c r="M135" s="8" t="n">
        <x:v>0</x:v>
      </x:c>
      <x:c r="N135" s="8" t="n">
        <x:v>0</x:v>
      </x:c>
      <x:c r="O135" s="8" t="n">
        <x:v>312.1609133164113</x:v>
      </x:c>
      <x:c r="P135" s="8" t="n">
        <x:v>0</x:v>
      </x:c>
      <x:c r="Q135" s="8" t="n">
        <x:v>0.23594619830289432</x:v>
      </x:c>
      <x:c r="R135" s="8" t="n">
        <x:v>0</x:v>
      </x:c>
      <x:c r="S135" s="8" t="n">
        <x:f>L135-I135^2/H135</x:f>
        <x:v>125.93552059323568</x:v>
      </x:c>
      <x:c r="T135" s="8" t="n">
        <x:f>M135-J135^2/H135</x:f>
        <x:v>0</x:v>
      </x:c>
      <x:c r="U135" s="8" t="n">
        <x:f>N135-I135*J135/H135</x:f>
        <x:v>0</x:v>
      </x:c>
      <x:c r="V135" s="8" t="n">
        <x:f>O135-I135*K135/H135</x:f>
        <x:v>103.60556114330518</x:v>
      </x:c>
      <x:c r="W135" s="8" t="n">
        <x:f>P135-J135*K135/H135</x:f>
        <x:v>0</x:v>
      </x:c>
      <x:c r="X135" s="8" t="n">
        <x:f>V135/S135</x:f>
        <x:v>0.8226873613993708</x:v>
      </x:c>
      <x:c r="Y135" s="8" t="n">
        <x:f>0</x:f>
        <x:v>0</x:v>
      </x:c>
      <x:c r="Z135" s="8" t="n">
        <x:f>K135/H135-X135*I135/H135-Y135*J135/H135</x:f>
        <x:v>2.2121458577395994</x:v>
      </x:c>
      <x:c r="AA135" s="8" t="n">
        <x:f>Z135+X135*Q135+Y135*R135</x:f>
        <x:v>2.4062558130536202</x:v>
      </x:c>
    </x:row>
    <x:row r="136" ht="26" customHeight="1">
      <x:c r="A136" s="2"/>
      <x:c r="B136" s="2" t="n">
        <x:v>131</x:v>
      </x:c>
      <x:c r="C136" s="2" t="str">
        <x:v>Beauty / price_contribution</x:v>
      </x:c>
      <x:c r="D136" s="2" t="str">
        <x:v>Broad lag 1</x:v>
      </x:c>
      <x:c r="E136" s="7" t="n">
        <x:v>45747</x:v>
      </x:c>
      <x:c r="F136" s="2" t="str">
        <x:v>Pre-earnings</x:v>
      </x:c>
      <x:c r="G136" s="7" t="n">
        <x:v>45770</x:v>
      </x:c>
      <x:c r="H136" s="2" t="n">
        <x:v>15</x:v>
      </x:c>
      <x:c r="I136" s="8" t="n">
        <x:v>45.36969366335541</x:v>
      </x:c>
      <x:c r="J136" s="8" t="n">
        <x:v>0</x:v>
      </x:c>
      <x:c r="K136" s="8" t="n">
        <x:v>71</x:v>
      </x:c>
      <x:c r="L136" s="8" t="n">
        <x:v>256.4113037512379</x:v>
      </x:c>
      <x:c r="M136" s="8" t="n">
        <x:v>0</x:v>
      </x:c>
      <x:c r="N136" s="8" t="n">
        <x:v>0</x:v>
      </x:c>
      <x:c r="O136" s="8" t="n">
        <x:v>290.56696450859454</x:v>
      </x:c>
      <x:c r="P136" s="8" t="n">
        <x:v>0</x:v>
      </x:c>
      <x:c r="Q136" s="8" t="n">
        <x:v>0.341068456777438</x:v>
      </x:c>
      <x:c r="R136" s="8" t="n">
        <x:v>0</x:v>
      </x:c>
      <x:c r="S136" s="8" t="n">
        <x:f>L136-I136^2/H136</x:f>
        <x:v>119.18403021079038</x:v>
      </x:c>
      <x:c r="T136" s="8" t="n">
        <x:f>M136-J136^2/H136</x:f>
        <x:v>0</x:v>
      </x:c>
      <x:c r="U136" s="8" t="n">
        <x:f>N136-I136*J136/H136</x:f>
        <x:v>0</x:v>
      </x:c>
      <x:c r="V136" s="8" t="n">
        <x:f>O136-I136*K136/H136</x:f>
        <x:v>75.81708116871226</x:v>
      </x:c>
      <x:c r="W136" s="8" t="n">
        <x:f>P136-J136*K136/H136</x:f>
        <x:v>0</x:v>
      </x:c>
      <x:c r="X136" s="8" t="n">
        <x:f>V136/S136</x:f>
        <x:v>0.6361345646276705</x:v>
      </x:c>
      <x:c r="Y136" s="8" t="n">
        <x:f>0</x:f>
        <x:v>0</x:v>
      </x:c>
      <x:c r="Z136" s="8" t="n">
        <x:f>K136/H136-X136*I136/H136-Y136*J136/H136</x:f>
        <x:v>2.809251311611375</x:v>
      </x:c>
      <x:c r="AA136" s="8" t="n">
        <x:f>Z136+X136*Q136+Y136*R136</x:f>
        <x:v>3.026216745871722</x:v>
      </x:c>
    </x:row>
    <x:row r="137" ht="26" customHeight="1">
      <x:c r="A137" s="2"/>
      <x:c r="B137" s="2" t="n">
        <x:v>132</x:v>
      </x:c>
      <x:c r="C137" s="2" t="str">
        <x:v>Beauty / price_contribution</x:v>
      </x:c>
      <x:c r="D137" s="2" t="str">
        <x:v>Broad rolling 8</x:v>
      </x:c>
      <x:c r="E137" s="7" t="n">
        <x:v>45747</x:v>
      </x:c>
      <x:c r="F137" s="2" t="str">
        <x:v>Pre-earnings</x:v>
      </x:c>
      <x:c r="G137" s="7" t="n">
        <x:v>45770</x:v>
      </x:c>
      <x:c r="H137" s="2" t="n">
        <x:v>8</x:v>
      </x:c>
      <x:c r="I137" s="8" t="n">
        <x:v>29.542364704460724</x:v>
      </x:c>
      <x:c r="J137" s="8" t="n">
        <x:v>0</x:v>
      </x:c>
      <x:c r="K137" s="8" t="n">
        <x:v>37</x:v>
      </x:c>
      <x:c r="L137" s="8" t="n">
        <x:v>159.82650127279152</x:v>
      </x:c>
      <x:c r="M137" s="8" t="n">
        <x:v>0</x:v>
      </x:c>
      <x:c r="N137" s="8" t="n">
        <x:v>0</x:v>
      </x:c>
      <x:c r="O137" s="8" t="n">
        <x:v>186.51592672216313</x:v>
      </x:c>
      <x:c r="P137" s="8" t="n">
        <x:v>0</x:v>
      </x:c>
      <x:c r="Q137" s="8" t="n">
        <x:v>0.23594619830289432</x:v>
      </x:c>
      <x:c r="R137" s="8" t="n">
        <x:v>0</x:v>
      </x:c>
      <x:c r="S137" s="8" t="n">
        <x:f>L137-I137^2/H137</x:f>
        <x:v>50.73258723137067</x:v>
      </x:c>
      <x:c r="T137" s="8" t="n">
        <x:f>M137-J137^2/H137</x:f>
        <x:v>0</x:v>
      </x:c>
      <x:c r="U137" s="8" t="n">
        <x:f>N137-I137*J137/H137</x:f>
        <x:v>0</x:v>
      </x:c>
      <x:c r="V137" s="8" t="n">
        <x:f>O137-I137*K137/H137</x:f>
        <x:v>49.88248996403229</x:v>
      </x:c>
      <x:c r="W137" s="8" t="n">
        <x:f>P137-J137*K137/H137</x:f>
        <x:v>0</x:v>
      </x:c>
      <x:c r="X137" s="8" t="n">
        <x:f>V137/S137</x:f>
        <x:v>0.9832435656501918</x:v>
      </x:c>
      <x:c r="Y137" s="8" t="n">
        <x:f>0</x:f>
        <x:v>0</x:v>
      </x:c>
      <x:c r="Z137" s="8" t="n">
        <x:f>K137/H137-X137*I137/H137-Y137*J137/H137</x:f>
        <x:v>0.994082498780958</x:v>
      </x:c>
      <x:c r="AA137" s="8" t="n">
        <x:f>Z137+X137*Q137+Y137*R137</x:f>
        <x:v>1.2260750801019031</x:v>
      </x:c>
    </x:row>
    <x:row r="138" ht="26" customHeight="1">
      <x:c r="A138" s="2"/>
      <x:c r="B138" s="2" t="n">
        <x:v>133</x:v>
      </x:c>
      <x:c r="C138" s="2" t="str">
        <x:v>Beauty / price_contribution</x:v>
      </x:c>
      <x:c r="D138" s="2" t="str">
        <x:v>Own history</x:v>
      </x:c>
      <x:c r="E138" s="7" t="n">
        <x:v>45747</x:v>
      </x:c>
      <x:c r="F138" s="2" t="str">
        <x:v>Pre-earnings</x:v>
      </x:c>
      <x:c r="G138" s="7" t="n">
        <x:v>45770</x:v>
      </x:c>
      <x:c r="H138" s="2" t="n">
        <x:v>15</x:v>
      </x:c>
      <x:c r="I138" s="8" t="n">
        <x:v>71</x:v>
      </x:c>
      <x:c r="J138" s="8" t="n">
        <x:v>0</x:v>
      </x:c>
      <x:c r="K138" s="8" t="n">
        <x:v>71</x:v>
      </x:c>
      <x:c r="L138" s="8" t="n">
        <x:v>429</x:v>
      </x:c>
      <x:c r="M138" s="8" t="n">
        <x:v>0</x:v>
      </x:c>
      <x:c r="N138" s="8" t="n">
        <x:v>0</x:v>
      </x:c>
      <x:c r="O138" s="8" t="n">
        <x:v>410</x:v>
      </x:c>
      <x:c r="P138" s="8" t="n">
        <x:v>0</x:v>
      </x:c>
      <x:c r="Q138" s="8" t="n">
        <x:v>2</x:v>
      </x:c>
      <x:c r="R138" s="8" t="n">
        <x:v>0</x:v>
      </x:c>
      <x:c r="S138" s="8" t="n">
        <x:f>L138-I138^2/H138</x:f>
        <x:v>92.93333333333334</x:v>
      </x:c>
      <x:c r="T138" s="8" t="n">
        <x:f>M138-J138^2/H138</x:f>
        <x:v>0</x:v>
      </x:c>
      <x:c r="U138" s="8" t="n">
        <x:f>N138-I138*J138/H138</x:f>
        <x:v>0</x:v>
      </x:c>
      <x:c r="V138" s="8" t="n">
        <x:f>O138-I138*K138/H138</x:f>
        <x:v>73.93333333333334</x:v>
      </x:c>
      <x:c r="W138" s="8" t="n">
        <x:f>P138-J138*K138/H138</x:f>
        <x:v>0</x:v>
      </x:c>
      <x:c r="X138" s="8" t="n">
        <x:f>V138/S138</x:f>
        <x:v>0.7955523672883787</x:v>
      </x:c>
      <x:c r="Y138" s="8" t="n">
        <x:f>0</x:f>
        <x:v>0</x:v>
      </x:c>
      <x:c r="Z138" s="8" t="n">
        <x:f>K138/H138-X138*I138/H138-Y138*J138/H138</x:f>
        <x:v>0.9677187948350072</x:v>
      </x:c>
      <x:c r="AA138" s="8" t="n">
        <x:f>Z138+X138*Q138+Y138*R138</x:f>
        <x:v>2.5588235294117645</x:v>
      </x:c>
    </x:row>
    <x:row r="139" ht="26" customHeight="1">
      <x:c r="A139" s="2"/>
      <x:c r="B139" s="2" t="n">
        <x:v>134</x:v>
      </x:c>
      <x:c r="C139" s="2" t="str">
        <x:v>Beauty / price_contribution</x:v>
      </x:c>
      <x:c r="D139" s="2" t="str">
        <x:v>Product price</x:v>
      </x:c>
      <x:c r="E139" s="7" t="n">
        <x:v>45747</x:v>
      </x:c>
      <x:c r="F139" s="2" t="str">
        <x:v>Pre-earnings</x:v>
      </x:c>
      <x:c r="G139" s="7" t="n">
        <x:v>45770</x:v>
      </x:c>
      <x:c r="H139" s="2" t="n">
        <x:v>16</x:v>
      </x:c>
      <x:c r="I139" s="8" t="n">
        <x:v>23.906603278535655</x:v>
      </x:c>
      <x:c r="J139" s="8" t="n">
        <x:v>0</x:v>
      </x:c>
      <x:c r="K139" s="8" t="n">
        <x:v>73</x:v>
      </x:c>
      <x:c r="L139" s="8" t="n">
        <x:v>115.9333096637846</x:v>
      </x:c>
      <x:c r="M139" s="8" t="n">
        <x:v>0</x:v>
      </x:c>
      <x:c r="N139" s="8" t="n">
        <x:v>0</x:v>
      </x:c>
      <x:c r="O139" s="8" t="n">
        <x:v>190.06725859719725</x:v>
      </x:c>
      <x:c r="P139" s="8" t="n">
        <x:v>0</x:v>
      </x:c>
      <x:c r="Q139" s="8" t="n">
        <x:v>-0.42034549280647315</x:v>
      </x:c>
      <x:c r="R139" s="8" t="n">
        <x:v>0</x:v>
      </x:c>
      <x:c r="S139" s="8" t="n">
        <x:f>L139-I139^2/H139</x:f>
        <x:v>80.21295464395386</x:v>
      </x:c>
      <x:c r="T139" s="8" t="n">
        <x:f>M139-J139^2/H139</x:f>
        <x:v>0</x:v>
      </x:c>
      <x:c r="U139" s="8" t="n">
        <x:f>N139-I139*J139/H139</x:f>
        <x:v>0</x:v>
      </x:c>
      <x:c r="V139" s="8" t="n">
        <x:f>O139-I139*K139/H139</x:f>
        <x:v>80.99338113887832</x:v>
      </x:c>
      <x:c r="W139" s="8" t="n">
        <x:f>P139-J139*K139/H139</x:f>
        <x:v>0</x:v>
      </x:c>
      <x:c r="X139" s="8" t="n">
        <x:f>V139/S139</x:f>
        <x:v>1.0097294320897239</x:v>
      </x:c>
      <x:c r="Y139" s="8" t="n">
        <x:f>0</x:f>
        <x:v>0</x:v>
      </x:c>
      <x:c r="Z139" s="8" t="n">
        <x:f>K139/H139-X139*I139/H139-Y139*J139/H139</x:f>
        <x:v>3.0537999405231164</x:v>
      </x:c>
      <x:c r="AA139" s="8" t="n">
        <x:f>Z139+X139*Q139+Y139*R139</x:f>
        <x:v>2.629364724790161</x:v>
      </x:c>
    </x:row>
    <x:row r="140" ht="26" customHeight="1">
      <x:c r="A140" s="2"/>
      <x:c r="B140" s="2" t="n">
        <x:v>135</x:v>
      </x:c>
      <x:c r="C140" s="2" t="str">
        <x:v>Beauty / price_contribution</x:v>
      </x:c>
      <x:c r="D140" s="2" t="str">
        <x:v>Product lag 1</x:v>
      </x:c>
      <x:c r="E140" s="7" t="n">
        <x:v>45747</x:v>
      </x:c>
      <x:c r="F140" s="2" t="str">
        <x:v>Pre-earnings</x:v>
      </x:c>
      <x:c r="G140" s="7" t="n">
        <x:v>45770</x:v>
      </x:c>
      <x:c r="H140" s="2" t="n">
        <x:v>15</x:v>
      </x:c>
      <x:c r="I140" s="8" t="n">
        <x:v>24.414873587515096</x:v>
      </x:c>
      <x:c r="J140" s="8" t="n">
        <x:v>0</x:v>
      </x:c>
      <x:c r="K140" s="8" t="n">
        <x:v>71</x:v>
      </x:c>
      <x:c r="L140" s="8" t="n">
        <x:v>115.67497095679454</x:v>
      </x:c>
      <x:c r="M140" s="8" t="n">
        <x:v>0</x:v>
      </x:c>
      <x:c r="N140" s="8" t="n">
        <x:v>0</x:v>
      </x:c>
      <x:c r="O140" s="8" t="n">
        <x:v>173.1246187645965</x:v>
      </x:c>
      <x:c r="P140" s="8" t="n">
        <x:v>0</x:v>
      </x:c>
      <x:c r="Q140" s="8" t="n">
        <x:v>-0.5082703089794416</x:v>
      </x:c>
      <x:c r="R140" s="8" t="n">
        <x:v>0</x:v>
      </x:c>
      <x:c r="S140" s="8" t="n">
        <x:f>L140-I140^2/H140</x:f>
        <x:v>75.9359008038384</x:v>
      </x:c>
      <x:c r="T140" s="8" t="n">
        <x:f>M140-J140^2/H140</x:f>
        <x:v>0</x:v>
      </x:c>
      <x:c r="U140" s="8" t="n">
        <x:f>N140-I140*J140/H140</x:f>
        <x:v>0</x:v>
      </x:c>
      <x:c r="V140" s="8" t="n">
        <x:f>O140-I140*K140/H140</x:f>
        <x:v>57.56088378369171</x:v>
      </x:c>
      <x:c r="W140" s="8" t="n">
        <x:f>P140-J140*K140/H140</x:f>
        <x:v>0</x:v>
      </x:c>
      <x:c r="X140" s="8" t="n">
        <x:f>V140/S140</x:f>
        <x:v>0.7580193712640086</x:v>
      </x:c>
      <x:c r="Y140" s="8" t="n">
        <x:f>0</x:f>
        <x:v>0</x:v>
      </x:c>
      <x:c r="Z140" s="8" t="n">
        <x:f>K140/H140-X140*I140/H140-Y140*J140/H140</x:f>
        <x:v>3.4995368582467705</x:v>
      </x:c>
      <x:c r="AA140" s="8" t="n">
        <x:f>Z140+X140*Q140+Y140*R140</x:f>
        <x:v>3.114258118202011</x:v>
      </x:c>
    </x:row>
    <x:row r="141" ht="26" customHeight="1">
      <x:c r="A141" s="2"/>
      <x:c r="B141" s="2" t="n">
        <x:v>136</x:v>
      </x:c>
      <x:c r="C141" s="2" t="str">
        <x:v>Beauty / price_contribution</x:v>
      </x:c>
      <x:c r="D141" s="2" t="str">
        <x:v>Own + product</x:v>
      </x:c>
      <x:c r="E141" s="7" t="n">
        <x:v>45747</x:v>
      </x:c>
      <x:c r="F141" s="2" t="str">
        <x:v>Pre-earnings</x:v>
      </x:c>
      <x:c r="G141" s="7" t="n">
        <x:v>45770</x:v>
      </x:c>
      <x:c r="H141" s="2" t="n">
        <x:v>15</x:v>
      </x:c>
      <x:c r="I141" s="8" t="n">
        <x:v>24.32137665491255</x:v>
      </x:c>
      <x:c r="J141" s="8" t="n">
        <x:v>71</x:v>
      </x:c>
      <x:c r="K141" s="8" t="n">
        <x:v>71</x:v>
      </x:c>
      <x:c r="L141" s="8" t="n">
        <x:v>115.76127271003351</x:v>
      </x:c>
      <x:c r="M141" s="8" t="n">
        <x:v>429</x:v>
      </x:c>
      <x:c r="N141" s="8" t="n">
        <x:v>193.12874242405107</x:v>
      </x:c>
      <x:c r="O141" s="8" t="n">
        <x:v>190.89680534995105</x:v>
      </x:c>
      <x:c r="P141" s="8" t="n">
        <x:v>410</x:v>
      </x:c>
      <x:c r="Q141" s="8" t="n">
        <x:v>-0.42034549280647315</x:v>
      </x:c>
      <x:c r="R141" s="8" t="n">
        <x:v>2</x:v>
      </x:c>
      <x:c r="S141" s="8" t="n">
        <x:f>L141-I141^2/H141</x:f>
        <x:v>76.32598188402517</x:v>
      </x:c>
      <x:c r="T141" s="8" t="n">
        <x:f>M141-J141^2/H141</x:f>
        <x:v>92.93333333333334</x:v>
      </x:c>
      <x:c r="U141" s="8" t="n">
        <x:f>N141-I141*J141/H141</x:f>
        <x:v>78.00755959079832</x:v>
      </x:c>
      <x:c r="V141" s="8" t="n">
        <x:f>O141-I141*K141/H141</x:f>
        <x:v>75.7756225166983</x:v>
      </x:c>
      <x:c r="W141" s="8" t="n">
        <x:f>P141-J141*K141/H141</x:f>
        <x:v>73.93333333333334</x:v>
      </x:c>
      <x:c r="X141" s="8" t="n">
        <x:f>(V141*T141-W141*U141)/(S141*T141-U141^2)</x:f>
        <x:v>1.2645445138138192</x:v>
      </x:c>
      <x:c r="Y141" s="8" t="n">
        <x:f>(W141*S141-V141*U141)/(S141*T141-U141^2)</x:f>
        <x:v>-0.26589703927419495</x:v>
      </x:c>
      <x:c r="Z141" s="8" t="n">
        <x:f>K141/H141-X141*I141/H141-Y141*J141/H141</x:f>
        <x:v>3.9415484247399117</x:v>
      </x:c>
      <x:c r="AA141" s="8" t="n">
        <x:f>Z141+X141*Q141+Y141*R141</x:f>
        <x:v>2.8782087593567303</x:v>
      </x:c>
    </x:row>
    <x:row r="142" ht="26" customHeight="1">
      <x:c r="A142" s="2"/>
      <x:c r="B142" s="2" t="n">
        <x:v>137</x:v>
      </x:c>
      <x:c r="C142" s="2" t="str">
        <x:v>Beauty / price_contribution</x:v>
      </x:c>
      <x:c r="D142" s="2" t="str">
        <x:v>Broad market</x:v>
      </x:c>
      <x:c r="E142" s="7" t="n">
        <x:v>45838</x:v>
      </x:c>
      <x:c r="F142" s="2" t="str">
        <x:v>Origin</x:v>
      </x:c>
      <x:c r="G142" s="7" t="n">
        <x:v>45748</x:v>
      </x:c>
      <x:c r="H142" s="2" t="n">
        <x:v>16</x:v>
      </x:c>
      <x:c r="I142" s="8" t="n">
        <x:v>45.710762120132856</x:v>
      </x:c>
      <x:c r="J142" s="8" t="n">
        <x:v>0</x:v>
      </x:c>
      <x:c r="K142" s="8" t="n">
        <x:v>73</x:v>
      </x:c>
      <x:c r="L142" s="8" t="n">
        <x:v>256.52763144344647</x:v>
      </x:c>
      <x:c r="M142" s="8" t="n">
        <x:v>0</x:v>
      </x:c>
      <x:c r="N142" s="8" t="n">
        <x:v>0</x:v>
      </x:c>
      <x:c r="O142" s="8" t="n">
        <x:v>312.1609133164113</x:v>
      </x:c>
      <x:c r="P142" s="8" t="n">
        <x:v>0</x:v>
      </x:c>
      <x:c r="Q142" s="8" t="n">
        <x:v>0.4021029127773579</x:v>
      </x:c>
      <x:c r="R142" s="8" t="n">
        <x:v>0</x:v>
      </x:c>
      <x:c r="S142" s="8" t="n">
        <x:f>L142-I142^2/H142</x:f>
        <x:v>125.93552059323568</x:v>
      </x:c>
      <x:c r="T142" s="8" t="n">
        <x:f>M142-J142^2/H142</x:f>
        <x:v>0</x:v>
      </x:c>
      <x:c r="U142" s="8" t="n">
        <x:f>N142-I142*J142/H142</x:f>
        <x:v>0</x:v>
      </x:c>
      <x:c r="V142" s="8" t="n">
        <x:f>O142-I142*K142/H142</x:f>
        <x:v>103.60556114330518</x:v>
      </x:c>
      <x:c r="W142" s="8" t="n">
        <x:f>P142-J142*K142/H142</x:f>
        <x:v>0</x:v>
      </x:c>
      <x:c r="X142" s="8" t="n">
        <x:f>V142/S142</x:f>
        <x:v>0.8226873613993708</x:v>
      </x:c>
      <x:c r="Y142" s="8" t="n">
        <x:f>0</x:f>
        <x:v>0</x:v>
      </x:c>
      <x:c r="Z142" s="8" t="n">
        <x:f>K142/H142-X142*I142/H142-Y142*J142/H142</x:f>
        <x:v>2.2121458577395994</x:v>
      </x:c>
      <x:c r="AA142" s="8" t="n">
        <x:f>Z142+X142*Q142+Y142*R142</x:f>
        <x:v>2.542950842063405</x:v>
      </x:c>
    </x:row>
    <x:row r="143" ht="26" customHeight="1">
      <x:c r="A143" s="2"/>
      <x:c r="B143" s="2" t="n">
        <x:v>138</x:v>
      </x:c>
      <x:c r="C143" s="2" t="str">
        <x:v>Beauty / price_contribution</x:v>
      </x:c>
      <x:c r="D143" s="2" t="str">
        <x:v>Broad rolling 8</x:v>
      </x:c>
      <x:c r="E143" s="7" t="n">
        <x:v>45838</x:v>
      </x:c>
      <x:c r="F143" s="2" t="str">
        <x:v>Origin</x:v>
      </x:c>
      <x:c r="G143" s="7" t="n">
        <x:v>45748</x:v>
      </x:c>
      <x:c r="H143" s="2" t="n">
        <x:v>8</x:v>
      </x:c>
      <x:c r="I143" s="8" t="n">
        <x:v>29.542364704460724</x:v>
      </x:c>
      <x:c r="J143" s="8" t="n">
        <x:v>0</x:v>
      </x:c>
      <x:c r="K143" s="8" t="n">
        <x:v>37</x:v>
      </x:c>
      <x:c r="L143" s="8" t="n">
        <x:v>159.82650127279152</x:v>
      </x:c>
      <x:c r="M143" s="8" t="n">
        <x:v>0</x:v>
      </x:c>
      <x:c r="N143" s="8" t="n">
        <x:v>0</x:v>
      </x:c>
      <x:c r="O143" s="8" t="n">
        <x:v>186.51592672216313</x:v>
      </x:c>
      <x:c r="P143" s="8" t="n">
        <x:v>0</x:v>
      </x:c>
      <x:c r="Q143" s="8" t="n">
        <x:v>0.4021029127773579</x:v>
      </x:c>
      <x:c r="R143" s="8" t="n">
        <x:v>0</x:v>
      </x:c>
      <x:c r="S143" s="8" t="n">
        <x:f>L143-I143^2/H143</x:f>
        <x:v>50.73258723137067</x:v>
      </x:c>
      <x:c r="T143" s="8" t="n">
        <x:f>M143-J143^2/H143</x:f>
        <x:v>0</x:v>
      </x:c>
      <x:c r="U143" s="8" t="n">
        <x:f>N143-I143*J143/H143</x:f>
        <x:v>0</x:v>
      </x:c>
      <x:c r="V143" s="8" t="n">
        <x:f>O143-I143*K143/H143</x:f>
        <x:v>49.88248996403229</x:v>
      </x:c>
      <x:c r="W143" s="8" t="n">
        <x:f>P143-J143*K143/H143</x:f>
        <x:v>0</x:v>
      </x:c>
      <x:c r="X143" s="8" t="n">
        <x:f>V143/S143</x:f>
        <x:v>0.9832435656501918</x:v>
      </x:c>
      <x:c r="Y143" s="8" t="n">
        <x:f>0</x:f>
        <x:v>0</x:v>
      </x:c>
      <x:c r="Z143" s="8" t="n">
        <x:f>K143/H143-X143*I143/H143-Y143*J143/H143</x:f>
        <x:v>0.994082498780958</x:v>
      </x:c>
      <x:c r="AA143" s="8" t="n">
        <x:f>Z143+X143*Q143+Y143*R143</x:f>
        <x:v>1.3894476004984955</x:v>
      </x:c>
    </x:row>
    <x:row r="144" ht="26" customHeight="1">
      <x:c r="A144" s="2"/>
      <x:c r="B144" s="2" t="n">
        <x:v>139</x:v>
      </x:c>
      <x:c r="C144" s="2" t="str">
        <x:v>Beauty / price_contribution</x:v>
      </x:c>
      <x:c r="D144" s="2" t="str">
        <x:v>Own history</x:v>
      </x:c>
      <x:c r="E144" s="7" t="n">
        <x:v>45838</x:v>
      </x:c>
      <x:c r="F144" s="2" t="str">
        <x:v>Origin</x:v>
      </x:c>
      <x:c r="G144" s="7" t="n">
        <x:v>45748</x:v>
      </x:c>
      <x:c r="H144" s="2" t="n">
        <x:v>14</x:v>
      </x:c>
      <x:c r="I144" s="8" t="n">
        <x:v>70</x:v>
      </x:c>
      <x:c r="J144" s="8" t="n">
        <x:v>0</x:v>
      </x:c>
      <x:c r="K144" s="8" t="n">
        <x:v>67</x:v>
      </x:c>
      <x:c r="L144" s="8" t="n">
        <x:v>428</x:v>
      </x:c>
      <x:c r="M144" s="8" t="n">
        <x:v>0</x:v>
      </x:c>
      <x:c r="N144" s="8" t="n">
        <x:v>0</x:v>
      </x:c>
      <x:c r="O144" s="8" t="n">
        <x:v>380</x:v>
      </x:c>
      <x:c r="P144" s="8" t="n">
        <x:v>0</x:v>
      </x:c>
      <x:c r="Q144" s="8" t="n">
        <x:v>2</x:v>
      </x:c>
      <x:c r="R144" s="8" t="n">
        <x:v>0</x:v>
      </x:c>
      <x:c r="S144" s="8" t="n">
        <x:f>L144-I144^2/H144</x:f>
        <x:v>78</x:v>
      </x:c>
      <x:c r="T144" s="8" t="n">
        <x:f>M144-J144^2/H144</x:f>
        <x:v>0</x:v>
      </x:c>
      <x:c r="U144" s="8" t="n">
        <x:f>N144-I144*J144/H144</x:f>
        <x:v>0</x:v>
      </x:c>
      <x:c r="V144" s="8" t="n">
        <x:f>O144-I144*K144/H144</x:f>
        <x:v>45</x:v>
      </x:c>
      <x:c r="W144" s="8" t="n">
        <x:f>P144-J144*K144/H144</x:f>
        <x:v>0</x:v>
      </x:c>
      <x:c r="X144" s="8" t="n">
        <x:f>V144/S144</x:f>
        <x:v>0.5769230769230769</x:v>
      </x:c>
      <x:c r="Y144" s="8" t="n">
        <x:f>0</x:f>
        <x:v>0</x:v>
      </x:c>
      <x:c r="Z144" s="8" t="n">
        <x:f>K144/H144-X144*I144/H144-Y144*J144/H144</x:f>
        <x:v>1.9010989010989015</x:v>
      </x:c>
      <x:c r="AA144" s="8" t="n">
        <x:f>Z144+X144*Q144+Y144*R144</x:f>
        <x:v>3.054945054945055</x:v>
      </x:c>
    </x:row>
    <x:row r="145" ht="26" customHeight="1">
      <x:c r="A145" s="2"/>
      <x:c r="B145" s="2" t="n">
        <x:v>140</x:v>
      </x:c>
      <x:c r="C145" s="2" t="str">
        <x:v>Beauty / price_contribution</x:v>
      </x:c>
      <x:c r="D145" s="2" t="str">
        <x:v>Product price</x:v>
      </x:c>
      <x:c r="E145" s="7" t="n">
        <x:v>45838</x:v>
      </x:c>
      <x:c r="F145" s="2" t="str">
        <x:v>Origin</x:v>
      </x:c>
      <x:c r="G145" s="7" t="n">
        <x:v>45748</x:v>
      </x:c>
      <x:c r="H145" s="2" t="n">
        <x:v>16</x:v>
      </x:c>
      <x:c r="I145" s="8" t="n">
        <x:v>23.906603278535655</x:v>
      </x:c>
      <x:c r="J145" s="8" t="n">
        <x:v>0</x:v>
      </x:c>
      <x:c r="K145" s="8" t="n">
        <x:v>73</x:v>
      </x:c>
      <x:c r="L145" s="8" t="n">
        <x:v>115.9333096637846</x:v>
      </x:c>
      <x:c r="M145" s="8" t="n">
        <x:v>0</x:v>
      </x:c>
      <x:c r="N145" s="8" t="n">
        <x:v>0</x:v>
      </x:c>
      <x:c r="O145" s="8" t="n">
        <x:v>190.06725859719725</x:v>
      </x:c>
      <x:c r="P145" s="8" t="n">
        <x:v>0</x:v>
      </x:c>
      <x:c r="Q145" s="8" t="n">
        <x:v>0.00729817275733069</x:v>
      </x:c>
      <x:c r="R145" s="8" t="n">
        <x:v>0</x:v>
      </x:c>
      <x:c r="S145" s="8" t="n">
        <x:f>L145-I145^2/H145</x:f>
        <x:v>80.21295464395386</x:v>
      </x:c>
      <x:c r="T145" s="8" t="n">
        <x:f>M145-J145^2/H145</x:f>
        <x:v>0</x:v>
      </x:c>
      <x:c r="U145" s="8" t="n">
        <x:f>N145-I145*J145/H145</x:f>
        <x:v>0</x:v>
      </x:c>
      <x:c r="V145" s="8" t="n">
        <x:f>O145-I145*K145/H145</x:f>
        <x:v>80.99338113887832</x:v>
      </x:c>
      <x:c r="W145" s="8" t="n">
        <x:f>P145-J145*K145/H145</x:f>
        <x:v>0</x:v>
      </x:c>
      <x:c r="X145" s="8" t="n">
        <x:f>V145/S145</x:f>
        <x:v>1.0097294320897239</x:v>
      </x:c>
      <x:c r="Y145" s="8" t="n">
        <x:f>0</x:f>
        <x:v>0</x:v>
      </x:c>
      <x:c r="Z145" s="8" t="n">
        <x:f>K145/H145-X145*I145/H145-Y145*J145/H145</x:f>
        <x:v>3.0537999405231164</x:v>
      </x:c>
      <x:c r="AA145" s="8" t="n">
        <x:f>Z145+X145*Q145+Y145*R145</x:f>
        <x:v>3.0611691203566687</x:v>
      </x:c>
    </x:row>
    <x:row r="146" ht="26" customHeight="1">
      <x:c r="A146" s="2"/>
      <x:c r="B146" s="2" t="n">
        <x:v>141</x:v>
      </x:c>
      <x:c r="C146" s="2" t="str">
        <x:v>Beauty / price_contribution</x:v>
      </x:c>
      <x:c r="D146" s="2" t="str">
        <x:v>Own + product</x:v>
      </x:c>
      <x:c r="E146" s="7" t="n">
        <x:v>45838</x:v>
      </x:c>
      <x:c r="F146" s="2" t="str">
        <x:v>Origin</x:v>
      </x:c>
      <x:c r="G146" s="7" t="n">
        <x:v>45748</x:v>
      </x:c>
      <x:c r="H146" s="2" t="n">
        <x:v>14</x:v>
      </x:c>
      <x:c r="I146" s="8" t="n">
        <x:v>24.756684459836762</x:v>
      </x:c>
      <x:c r="J146" s="8" t="n">
        <x:v>70</x:v>
      </x:c>
      <x:c r="K146" s="8" t="n">
        <x:v>67</x:v>
      </x:c>
      <x:c r="L146" s="8" t="n">
        <x:v>115.57177982500558</x:v>
      </x:c>
      <x:c r="M146" s="8" t="n">
        <x:v>428</x:v>
      </x:c>
      <x:c r="N146" s="8" t="n">
        <x:v>180.06323273042156</x:v>
      </x:c>
      <x:c r="O146" s="8" t="n">
        <x:v>192.6380365696479</x:v>
      </x:c>
      <x:c r="P146" s="8" t="n">
        <x:v>380</x:v>
      </x:c>
      <x:c r="Q146" s="8" t="n">
        <x:v>0.00729817275733069</x:v>
      </x:c>
      <x:c r="R146" s="8" t="n">
        <x:v>2</x:v>
      </x:c>
      <x:c r="S146" s="8" t="n">
        <x:f>L146-I146^2/H146</x:f>
        <x:v>71.7936780075825</x:v>
      </x:c>
      <x:c r="T146" s="8" t="n">
        <x:f>M146-J146^2/H146</x:f>
        <x:v>78</x:v>
      </x:c>
      <x:c r="U146" s="8" t="n">
        <x:f>N146-I146*J146/H146</x:f>
        <x:v>56.27981043123775</x:v>
      </x:c>
      <x:c r="V146" s="8" t="n">
        <x:f>O146-I146*K146/H146</x:f>
        <x:v>74.15961808328626</x:v>
      </x:c>
      <x:c r="W146" s="8" t="n">
        <x:f>P146-J146*K146/H146</x:f>
        <x:v>45</x:v>
      </x:c>
      <x:c r="X146" s="8" t="n">
        <x:f>(V146*T146-W146*U146)/(S146*T146-U146^2)</x:f>
        <x:v>1.3368437191904248</x:v>
      </x:c>
      <x:c r="Y146" s="8" t="n">
        <x:f>(W146*S146-V146*U146)/(S146*T146-U146^2)</x:f>
        <x:v>-0.38765783451574287</x:v>
      </x:c>
      <x:c r="Z146" s="8" t="n">
        <x:f>K146/H146-X146*I146/H146-Y146*J146/H146</x:f>
        <x:v>4.360016449142145</x:v>
      </x:c>
      <x:c r="AA146" s="8" t="n">
        <x:f>Z146+X146*Q146+Y146*R146</x:f>
        <x:v>3.594457296522863</x:v>
      </x:c>
    </x:row>
    <x:row r="147" ht="26" customHeight="1">
      <x:c r="A147" s="2"/>
      <x:c r="B147" s="2" t="n">
        <x:v>142</x:v>
      </x:c>
      <x:c r="C147" s="2" t="str">
        <x:v>Beauty / price_contribution</x:v>
      </x:c>
      <x:c r="D147" s="2" t="str">
        <x:v>Broad market</x:v>
      </x:c>
      <x:c r="E147" s="7" t="n">
        <x:v>45838</x:v>
      </x:c>
      <x:c r="F147" s="2" t="str">
        <x:v>Prior report</x:v>
      </x:c>
      <x:c r="G147" s="7" t="n">
        <x:v>45771</x:v>
      </x:c>
      <x:c r="H147" s="2" t="n">
        <x:v>17</x:v>
      </x:c>
      <x:c r="I147" s="8" t="n">
        <x:v>45.946708318435746</x:v>
      </x:c>
      <x:c r="J147" s="8" t="n">
        <x:v>0</x:v>
      </x:c>
      <x:c r="K147" s="8" t="n">
        <x:v>76</x:v>
      </x:c>
      <x:c r="L147" s="8" t="n">
        <x:v>256.58330205194005</x:v>
      </x:c>
      <x:c r="M147" s="8" t="n">
        <x:v>0</x:v>
      </x:c>
      <x:c r="N147" s="8" t="n">
        <x:v>0</x:v>
      </x:c>
      <x:c r="O147" s="8" t="n">
        <x:v>312.86875191132003</x:v>
      </x:c>
      <x:c r="P147" s="8" t="n">
        <x:v>0</x:v>
      </x:c>
      <x:c r="Q147" s="8" t="n">
        <x:v>0.23664658474467082</x:v>
      </x:c>
      <x:c r="R147" s="8" t="n">
        <x:v>0</x:v>
      </x:c>
      <x:c r="S147" s="8" t="n">
        <x:f>L147-I147^2/H147</x:f>
        <x:v>132.40094879903342</x:v>
      </x:c>
      <x:c r="T147" s="8" t="n">
        <x:f>M147-J147^2/H147</x:f>
        <x:v>0</x:v>
      </x:c>
      <x:c r="U147" s="8" t="n">
        <x:f>N147-I147*J147/H147</x:f>
        <x:v>0</x:v>
      </x:c>
      <x:c r="V147" s="8" t="n">
        <x:f>O147-I147*K147/H147</x:f>
        <x:v>107.45993825243082</x:v>
      </x:c>
      <x:c r="W147" s="8" t="n">
        <x:f>P147-J147*K147/H147</x:f>
        <x:v>0</x:v>
      </x:c>
      <x:c r="X147" s="8" t="n">
        <x:f>V147/S147</x:f>
        <x:v>0.8116251373359895</x:v>
      </x:c>
      <x:c r="Y147" s="8" t="n">
        <x:f>0</x:f>
        <x:v>0</x:v>
      </x:c>
      <x:c r="Z147" s="8" t="n">
        <x:f>K147/H147-X147*I147/H147-Y147*J147/H147</x:f>
        <x:v>2.27697038534782</x:v>
      </x:c>
      <x:c r="AA147" s="8" t="n">
        <x:f>Z147+X147*Q147+Y147*R147</x:f>
        <x:v>2.4690387021913063</x:v>
      </x:c>
    </x:row>
    <x:row r="148" ht="26" customHeight="1">
      <x:c r="A148" s="2"/>
      <x:c r="B148" s="2" t="n">
        <x:v>143</x:v>
      </x:c>
      <x:c r="C148" s="2" t="str">
        <x:v>Beauty / price_contribution</x:v>
      </x:c>
      <x:c r="D148" s="2" t="str">
        <x:v>Broad lag 1</x:v>
      </x:c>
      <x:c r="E148" s="7" t="n">
        <x:v>45838</x:v>
      </x:c>
      <x:c r="F148" s="2" t="str">
        <x:v>Prior report</x:v>
      </x:c>
      <x:c r="G148" s="7" t="n">
        <x:v>45771</x:v>
      </x:c>
      <x:c r="H148" s="2" t="n">
        <x:v>16</x:v>
      </x:c>
      <x:c r="I148" s="8" t="n">
        <x:v>45.710762120132856</x:v>
      </x:c>
      <x:c r="J148" s="8" t="n">
        <x:v>0</x:v>
      </x:c>
      <x:c r="K148" s="8" t="n">
        <x:v>74</x:v>
      </x:c>
      <x:c r="L148" s="8" t="n">
        <x:v>256.52763144344647</x:v>
      </x:c>
      <x:c r="M148" s="8" t="n">
        <x:v>0</x:v>
      </x:c>
      <x:c r="N148" s="8" t="n">
        <x:v>0</x:v>
      </x:c>
      <x:c r="O148" s="8" t="n">
        <x:v>291.5901698789268</x:v>
      </x:c>
      <x:c r="P148" s="8" t="n">
        <x:v>0</x:v>
      </x:c>
      <x:c r="Q148" s="8" t="n">
        <x:v>0.23594619830289432</x:v>
      </x:c>
      <x:c r="R148" s="8" t="n">
        <x:v>0</x:v>
      </x:c>
      <x:c r="S148" s="8" t="n">
        <x:f>L148-I148^2/H148</x:f>
        <x:v>125.93552059323568</x:v>
      </x:c>
      <x:c r="T148" s="8" t="n">
        <x:f>M148-J148^2/H148</x:f>
        <x:v>0</x:v>
      </x:c>
      <x:c r="U148" s="8" t="n">
        <x:f>N148-I148*J148/H148</x:f>
        <x:v>0</x:v>
      </x:c>
      <x:c r="V148" s="8" t="n">
        <x:f>O148-I148*K148/H148</x:f>
        <x:v>80.17789507331236</x:v>
      </x:c>
      <x:c r="W148" s="8" t="n">
        <x:f>P148-J148*K148/H148</x:f>
        <x:v>0</x:v>
      </x:c>
      <x:c r="X148" s="8" t="n">
        <x:f>V148/S148</x:f>
        <x:v>0.636658304945451</x:v>
      </x:c>
      <x:c r="Y148" s="8" t="n">
        <x:f>0</x:f>
        <x:v>0</x:v>
      </x:c>
      <x:c r="Z148" s="8" t="n">
        <x:f>K148/H148-X148*I148/H148-Y148*J148/H148</x:f>
        <x:v>2.8061164794269677</x:v>
      </x:c>
      <x:c r="AA148" s="8" t="n">
        <x:f>Z148+X148*Q148+Y148*R148</x:f>
        <x:v>2.956333586096812</x:v>
      </x:c>
    </x:row>
    <x:row r="149" ht="26" customHeight="1">
      <x:c r="A149" s="2"/>
      <x:c r="B149" s="2" t="n">
        <x:v>144</x:v>
      </x:c>
      <x:c r="C149" s="2" t="str">
        <x:v>Beauty / price_contribution</x:v>
      </x:c>
      <x:c r="D149" s="2" t="str">
        <x:v>Broad rolling 8</x:v>
      </x:c>
      <x:c r="E149" s="7" t="n">
        <x:v>45838</x:v>
      </x:c>
      <x:c r="F149" s="2" t="str">
        <x:v>Prior report</x:v>
      </x:c>
      <x:c r="G149" s="7" t="n">
        <x:v>45771</x:v>
      </x:c>
      <x:c r="H149" s="2" t="n">
        <x:v>8</x:v>
      </x:c>
      <x:c r="I149" s="8" t="n">
        <x:v>23.005916879315237</x:v>
      </x:c>
      <x:c r="J149" s="8" t="n">
        <x:v>0</x:v>
      </x:c>
      <x:c r="K149" s="8" t="n">
        <x:v>32</x:v>
      </x:c>
      <x:c r="L149" s="8" t="n">
        <x:v>114.01685107244576</x:v>
      </x:c>
      <x:c r="M149" s="8" t="n">
        <x:v>0</x:v>
      </x:c>
      <x:c r="N149" s="8" t="n">
        <x:v>0</x:v>
      </x:c>
      <x:c r="O149" s="8" t="n">
        <x:v>133.04461312948476</x:v>
      </x:c>
      <x:c r="P149" s="8" t="n">
        <x:v>0</x:v>
      </x:c>
      <x:c r="Q149" s="8" t="n">
        <x:v>0.23664658474467082</x:v>
      </x:c>
      <x:c r="R149" s="8" t="n">
        <x:v>0</x:v>
      </x:c>
      <x:c r="S149" s="8" t="n">
        <x:f>L149-I149^2/H149</x:f>
        <x:v>47.85782464020055</x:v>
      </x:c>
      <x:c r="T149" s="8" t="n">
        <x:f>M149-J149^2/H149</x:f>
        <x:v>0</x:v>
      </x:c>
      <x:c r="U149" s="8" t="n">
        <x:f>N149-I149*J149/H149</x:f>
        <x:v>0</x:v>
      </x:c>
      <x:c r="V149" s="8" t="n">
        <x:f>O149-I149*K149/H149</x:f>
        <x:v>41.02094561222381</x:v>
      </x:c>
      <x:c r="W149" s="8" t="n">
        <x:f>P149-J149*K149/H149</x:f>
        <x:v>0</x:v>
      </x:c>
      <x:c r="X149" s="8" t="n">
        <x:f>V149/S149</x:f>
        <x:v>0.8571418763937347</x:v>
      </x:c>
      <x:c r="Y149" s="8" t="n">
        <x:f>0</x:f>
        <x:v>0</x:v>
      </x:c>
      <x:c r="Z149" s="8" t="n">
        <x:f>K149/H149-X149*I149/H149-Y149*J149/H149</x:f>
        <x:v>1.5350831547381807</x:v>
      </x:c>
      <x:c r="AA149" s="8" t="n">
        <x:f>Z149+X149*Q149+Y149*R149</x:f>
        <x:v>1.7379228524283967</x:v>
      </x:c>
    </x:row>
    <x:row r="150" ht="26" customHeight="1">
      <x:c r="A150" s="2"/>
      <x:c r="B150" s="2" t="n">
        <x:v>145</x:v>
      </x:c>
      <x:c r="C150" s="2" t="str">
        <x:v>Beauty / price_contribution</x:v>
      </x:c>
      <x:c r="D150" s="2" t="str">
        <x:v>Own history</x:v>
      </x:c>
      <x:c r="E150" s="7" t="n">
        <x:v>45838</x:v>
      </x:c>
      <x:c r="F150" s="2" t="str">
        <x:v>Prior report</x:v>
      </x:c>
      <x:c r="G150" s="7" t="n">
        <x:v>45771</x:v>
      </x:c>
      <x:c r="H150" s="2" t="n">
        <x:v>16</x:v>
      </x:c>
      <x:c r="I150" s="8" t="n">
        <x:v>73</x:v>
      </x:c>
      <x:c r="J150" s="8" t="n">
        <x:v>0</x:v>
      </x:c>
      <x:c r="K150" s="8" t="n">
        <x:v>74</x:v>
      </x:c>
      <x:c r="L150" s="8" t="n">
        <x:v>433</x:v>
      </x:c>
      <x:c r="M150" s="8" t="n">
        <x:v>0</x:v>
      </x:c>
      <x:c r="N150" s="8" t="n">
        <x:v>0</x:v>
      </x:c>
      <x:c r="O150" s="8" t="n">
        <x:v>416</x:v>
      </x:c>
      <x:c r="P150" s="8" t="n">
        <x:v>0</x:v>
      </x:c>
      <x:c r="Q150" s="8" t="n">
        <x:v>3</x:v>
      </x:c>
      <x:c r="R150" s="8" t="n">
        <x:v>0</x:v>
      </x:c>
      <x:c r="S150" s="8" t="n">
        <x:f>L150-I150^2/H150</x:f>
        <x:v>99.9375</x:v>
      </x:c>
      <x:c r="T150" s="8" t="n">
        <x:f>M150-J150^2/H150</x:f>
        <x:v>0</x:v>
      </x:c>
      <x:c r="U150" s="8" t="n">
        <x:f>N150-I150*J150/H150</x:f>
        <x:v>0</x:v>
      </x:c>
      <x:c r="V150" s="8" t="n">
        <x:f>O150-I150*K150/H150</x:f>
        <x:v>78.375</x:v>
      </x:c>
      <x:c r="W150" s="8" t="n">
        <x:f>P150-J150*K150/H150</x:f>
        <x:v>0</x:v>
      </x:c>
      <x:c r="X150" s="8" t="n">
        <x:f>V150/S150</x:f>
        <x:v>0.7842401500938087</x:v>
      </x:c>
      <x:c r="Y150" s="8" t="n">
        <x:f>0</x:f>
        <x:v>0</x:v>
      </x:c>
      <x:c r="Z150" s="8" t="n">
        <x:f>K150/H150-X150*I150/H150-Y150*J150/H150</x:f>
        <x:v>1.046904315196998</x:v>
      </x:c>
      <x:c r="AA150" s="8" t="n">
        <x:f>Z150+X150*Q150+Y150*R150</x:f>
        <x:v>3.399624765478424</x:v>
      </x:c>
    </x:row>
    <x:row r="151" ht="26" customHeight="1">
      <x:c r="A151" s="2"/>
      <x:c r="B151" s="2" t="n">
        <x:v>146</x:v>
      </x:c>
      <x:c r="C151" s="2" t="str">
        <x:v>Beauty / price_contribution</x:v>
      </x:c>
      <x:c r="D151" s="2" t="str">
        <x:v>Product price</x:v>
      </x:c>
      <x:c r="E151" s="7" t="n">
        <x:v>45838</x:v>
      </x:c>
      <x:c r="F151" s="2" t="str">
        <x:v>Prior report</x:v>
      </x:c>
      <x:c r="G151" s="7" t="n">
        <x:v>45771</x:v>
      </x:c>
      <x:c r="H151" s="2" t="n">
        <x:v>17</x:v>
      </x:c>
      <x:c r="I151" s="8" t="n">
        <x:v>23.48625778572918</x:v>
      </x:c>
      <x:c r="J151" s="8" t="n">
        <x:v>0</x:v>
      </x:c>
      <x:c r="K151" s="8" t="n">
        <x:v>76</x:v>
      </x:c>
      <x:c r="L151" s="8" t="n">
        <x:v>116.10999999710732</x:v>
      </x:c>
      <x:c r="M151" s="8" t="n">
        <x:v>0</x:v>
      </x:c>
      <x:c r="N151" s="8" t="n">
        <x:v>0</x:v>
      </x:c>
      <x:c r="O151" s="8" t="n">
        <x:v>188.80622211877784</x:v>
      </x:c>
      <x:c r="P151" s="8" t="n">
        <x:v>0</x:v>
      </x:c>
      <x:c r="Q151" s="8" t="n">
        <x:v>-0.4139950627418343</x:v>
      </x:c>
      <x:c r="R151" s="8" t="n">
        <x:v>0</x:v>
      </x:c>
      <x:c r="S151" s="8" t="n">
        <x:f>L151-I151^2/H151</x:f>
        <x:v>83.66268795135882</x:v>
      </x:c>
      <x:c r="T151" s="8" t="n">
        <x:f>M151-J151^2/H151</x:f>
        <x:v>0</x:v>
      </x:c>
      <x:c r="U151" s="8" t="n">
        <x:f>N151-I151*J151/H151</x:f>
        <x:v>0</x:v>
      </x:c>
      <x:c r="V151" s="8" t="n">
        <x:f>O151-I151*K151/H151</x:f>
        <x:v>83.80883437081211</x:v>
      </x:c>
      <x:c r="W151" s="8" t="n">
        <x:f>P151-J151*K151/H151</x:f>
        <x:v>0</x:v>
      </x:c>
      <x:c r="X151" s="8" t="n">
        <x:f>V151/S151</x:f>
        <x:v>1.0017468530241134</x:v>
      </x:c>
      <x:c r="Y151" s="8" t="n">
        <x:f>0</x:f>
        <x:v>0</x:v>
      </x:c>
      <x:c r="Z151" s="8" t="n">
        <x:f>K151/H151-X151*I151/H151-Y151*J151/H151</x:f>
        <x:v>3.086630304343101</x:v>
      </x:c>
      <x:c r="AA151" s="8" t="n">
        <x:f>Z151+X151*Q151+Y151*R151</x:f>
        <x:v>2.671912053073948</x:v>
      </x:c>
    </x:row>
    <x:row r="152" ht="26" customHeight="1">
      <x:c r="A152" s="2"/>
      <x:c r="B152" s="2" t="n">
        <x:v>147</x:v>
      </x:c>
      <x:c r="C152" s="2" t="str">
        <x:v>Beauty / price_contribution</x:v>
      </x:c>
      <x:c r="D152" s="2" t="str">
        <x:v>Product lag 1</x:v>
      </x:c>
      <x:c r="E152" s="7" t="n">
        <x:v>45838</x:v>
      </x:c>
      <x:c r="F152" s="2" t="str">
        <x:v>Prior report</x:v>
      </x:c>
      <x:c r="G152" s="7" t="n">
        <x:v>45771</x:v>
      </x:c>
      <x:c r="H152" s="2" t="n">
        <x:v>16</x:v>
      </x:c>
      <x:c r="I152" s="8" t="n">
        <x:v>23.906603278535655</x:v>
      </x:c>
      <x:c r="J152" s="8" t="n">
        <x:v>0</x:v>
      </x:c>
      <x:c r="K152" s="8" t="n">
        <x:v>74</x:v>
      </x:c>
      <x:c r="L152" s="8" t="n">
        <x:v>115.9333096637846</x:v>
      </x:c>
      <x:c r="M152" s="8" t="n">
        <x:v>0</x:v>
      </x:c>
      <x:c r="N152" s="8" t="n">
        <x:v>0</x:v>
      </x:c>
      <x:c r="O152" s="8" t="n">
        <x:v>171.59980783765818</x:v>
      </x:c>
      <x:c r="P152" s="8" t="n">
        <x:v>0</x:v>
      </x:c>
      <x:c r="Q152" s="8" t="n">
        <x:v>-0.42034549280647315</x:v>
      </x:c>
      <x:c r="R152" s="8" t="n">
        <x:v>0</x:v>
      </x:c>
      <x:c r="S152" s="8" t="n">
        <x:f>L152-I152^2/H152</x:f>
        <x:v>80.21295464395386</x:v>
      </x:c>
      <x:c r="T152" s="8" t="n">
        <x:f>M152-J152^2/H152</x:f>
        <x:v>0</x:v>
      </x:c>
      <x:c r="U152" s="8" t="n">
        <x:f>N152-I152*J152/H152</x:f>
        <x:v>0</x:v>
      </x:c>
      <x:c r="V152" s="8" t="n">
        <x:f>O152-I152*K152/H152</x:f>
        <x:v>61.03176767443077</x:v>
      </x:c>
      <x:c r="W152" s="8" t="n">
        <x:f>P152-J152*K152/H152</x:f>
        <x:v>0</x:v>
      </x:c>
      <x:c r="X152" s="8" t="n">
        <x:f>V152/S152</x:f>
        <x:v>0.7608717063887772</x:v>
      </x:c>
      <x:c r="Y152" s="8" t="n">
        <x:f>0</x:f>
        <x:v>0</x:v>
      </x:c>
      <x:c r="Z152" s="8" t="n">
        <x:f>K152/H152-X152*I152/H152-Y152*J152/H152</x:f>
        <x:v>3.488133873093815</x:v>
      </x:c>
      <x:c r="AA152" s="8" t="n">
        <x:f>Z152+X152*Q152+Y152*R152</x:f>
        <x:v>3.1683048807093224</x:v>
      </x:c>
    </x:row>
    <x:row r="153" ht="26" customHeight="1">
      <x:c r="A153" s="2"/>
      <x:c r="B153" s="2" t="n">
        <x:v>148</x:v>
      </x:c>
      <x:c r="C153" s="2" t="str">
        <x:v>Beauty / price_contribution</x:v>
      </x:c>
      <x:c r="D153" s="2" t="str">
        <x:v>Own + product</x:v>
      </x:c>
      <x:c r="E153" s="7" t="n">
        <x:v>45838</x:v>
      </x:c>
      <x:c r="F153" s="2" t="str">
        <x:v>Prior report</x:v>
      </x:c>
      <x:c r="G153" s="7" t="n">
        <x:v>45771</x:v>
      </x:c>
      <x:c r="H153" s="2" t="n">
        <x:v>16</x:v>
      </x:c>
      <x:c r="I153" s="8" t="n">
        <x:v>23.90103116210608</x:v>
      </x:c>
      <x:c r="J153" s="8" t="n">
        <x:v>73</x:v>
      </x:c>
      <x:c r="K153" s="8" t="n">
        <x:v>74</x:v>
      </x:c>
      <x:c r="L153" s="8" t="n">
        <x:v>115.93796304335622</x:v>
      </x:c>
      <x:c r="M153" s="8" t="n">
        <x:v>433</x:v>
      </x:c>
      <x:c r="N153" s="8" t="n">
        <x:v>192.28805143843812</x:v>
      </x:c>
      <x:c r="O153" s="8" t="n">
        <x:v>189.63576887153164</x:v>
      </x:c>
      <x:c r="P153" s="8" t="n">
        <x:v>416</x:v>
      </x:c>
      <x:c r="Q153" s="8" t="n">
        <x:v>-0.4139950627418343</x:v>
      </x:c>
      <x:c r="R153" s="8" t="n">
        <x:v>3</x:v>
      </x:c>
      <x:c r="S153" s="8" t="n">
        <x:f>L153-I153^2/H153</x:f>
        <x:v>80.23425738010835</x:v>
      </x:c>
      <x:c r="T153" s="8" t="n">
        <x:f>M153-J153^2/H153</x:f>
        <x:v>99.9375</x:v>
      </x:c>
      <x:c r="U153" s="8" t="n">
        <x:f>N153-I153*J153/H153</x:f>
        <x:v>83.23959676132912</x:v>
      </x:c>
      <x:c r="V153" s="8" t="n">
        <x:f>O153-I153*K153/H153</x:f>
        <x:v>79.09349974679103</x:v>
      </x:c>
      <x:c r="W153" s="8" t="n">
        <x:f>P153-J153*K153/H153</x:f>
        <x:v>78.375</x:v>
      </x:c>
      <x:c r="X153" s="8" t="n">
        <x:f>(V153*T153-W153*U153)/(S153*T153-U153^2)</x:f>
        <x:v>1.2670042027004256</x:v>
      </x:c>
      <x:c r="Y153" s="8" t="n">
        <x:f>(W153*S153-V153*U153)/(S153*T153-U153^2)</x:f>
        <x:v>-0.27106860715639935</x:v>
      </x:c>
      <x:c r="Z153" s="8" t="n">
        <x:f>K153/H153-X153*I153/H153-Y153*J153/H153</x:f>
        <x:v>3.9690813369471822</x:v>
      </x:c>
      <x:c r="AA153" s="8" t="n">
        <x:f>Z153+X153*Q153+Y153*R153</x:f>
        <x:v>2.6313420310868536</x:v>
      </x:c>
    </x:row>
    <x:row r="154" ht="26" customHeight="1">
      <x:c r="A154" s="2"/>
      <x:c r="B154" s="2" t="n">
        <x:v>149</x:v>
      </x:c>
      <x:c r="C154" s="2" t="str">
        <x:v>Beauty / price_contribution</x:v>
      </x:c>
      <x:c r="D154" s="2" t="str">
        <x:v>Broad market</x:v>
      </x:c>
      <x:c r="E154" s="7" t="n">
        <x:v>45838</x:v>
      </x:c>
      <x:c r="F154" s="2" t="str">
        <x:v>Pre-earnings</x:v>
      </x:c>
      <x:c r="G154" s="7" t="n">
        <x:v>45866</x:v>
      </x:c>
      <x:c r="H154" s="2" t="n">
        <x:v>17</x:v>
      </x:c>
      <x:c r="I154" s="8" t="n">
        <x:v>45.946708318435746</x:v>
      </x:c>
      <x:c r="J154" s="8" t="n">
        <x:v>0</x:v>
      </x:c>
      <x:c r="K154" s="8" t="n">
        <x:v>76</x:v>
      </x:c>
      <x:c r="L154" s="8" t="n">
        <x:v>256.58330205194005</x:v>
      </x:c>
      <x:c r="M154" s="8" t="n">
        <x:v>0</x:v>
      </x:c>
      <x:c r="N154" s="8" t="n">
        <x:v>0</x:v>
      </x:c>
      <x:c r="O154" s="8" t="n">
        <x:v>312.86875191132003</x:v>
      </x:c>
      <x:c r="P154" s="8" t="n">
        <x:v>0</x:v>
      </x:c>
      <x:c r="Q154" s="8" t="n">
        <x:v>0.5057825004843641</x:v>
      </x:c>
      <x:c r="R154" s="8" t="n">
        <x:v>0</x:v>
      </x:c>
      <x:c r="S154" s="8" t="n">
        <x:f>L154-I154^2/H154</x:f>
        <x:v>132.40094879903342</x:v>
      </x:c>
      <x:c r="T154" s="8" t="n">
        <x:f>M154-J154^2/H154</x:f>
        <x:v>0</x:v>
      </x:c>
      <x:c r="U154" s="8" t="n">
        <x:f>N154-I154*J154/H154</x:f>
        <x:v>0</x:v>
      </x:c>
      <x:c r="V154" s="8" t="n">
        <x:f>O154-I154*K154/H154</x:f>
        <x:v>107.45993825243082</x:v>
      </x:c>
      <x:c r="W154" s="8" t="n">
        <x:f>P154-J154*K154/H154</x:f>
        <x:v>0</x:v>
      </x:c>
      <x:c r="X154" s="8" t="n">
        <x:f>V154/S154</x:f>
        <x:v>0.8116251373359895</x:v>
      </x:c>
      <x:c r="Y154" s="8" t="n">
        <x:f>0</x:f>
        <x:v>0</x:v>
      </x:c>
      <x:c r="Z154" s="8" t="n">
        <x:f>K154/H154-X154*I154/H154-Y154*J154/H154</x:f>
        <x:v>2.27697038534782</x:v>
      </x:c>
      <x:c r="AA154" s="8" t="n">
        <x:f>Z154+X154*Q154+Y154*R154</x:f>
        <x:v>2.687476176765582</x:v>
      </x:c>
    </x:row>
    <x:row r="155" ht="26" customHeight="1">
      <x:c r="A155" s="2"/>
      <x:c r="B155" s="2" t="n">
        <x:v>150</x:v>
      </x:c>
      <x:c r="C155" s="2" t="str">
        <x:v>Beauty / price_contribution</x:v>
      </x:c>
      <x:c r="D155" s="2" t="str">
        <x:v>Broad lag 1</x:v>
      </x:c>
      <x:c r="E155" s="7" t="n">
        <x:v>45838</x:v>
      </x:c>
      <x:c r="F155" s="2" t="str">
        <x:v>Pre-earnings</x:v>
      </x:c>
      <x:c r="G155" s="7" t="n">
        <x:v>45866</x:v>
      </x:c>
      <x:c r="H155" s="2" t="n">
        <x:v>16</x:v>
      </x:c>
      <x:c r="I155" s="8" t="n">
        <x:v>45.710762120132856</x:v>
      </x:c>
      <x:c r="J155" s="8" t="n">
        <x:v>0</x:v>
      </x:c>
      <x:c r="K155" s="8" t="n">
        <x:v>74</x:v>
      </x:c>
      <x:c r="L155" s="8" t="n">
        <x:v>256.52763144344647</x:v>
      </x:c>
      <x:c r="M155" s="8" t="n">
        <x:v>0</x:v>
      </x:c>
      <x:c r="N155" s="8" t="n">
        <x:v>0</x:v>
      </x:c>
      <x:c r="O155" s="8" t="n">
        <x:v>291.5901698789268</x:v>
      </x:c>
      <x:c r="P155" s="8" t="n">
        <x:v>0</x:v>
      </x:c>
      <x:c r="Q155" s="8" t="n">
        <x:v>0.23594619830289432</x:v>
      </x:c>
      <x:c r="R155" s="8" t="n">
        <x:v>0</x:v>
      </x:c>
      <x:c r="S155" s="8" t="n">
        <x:f>L155-I155^2/H155</x:f>
        <x:v>125.93552059323568</x:v>
      </x:c>
      <x:c r="T155" s="8" t="n">
        <x:f>M155-J155^2/H155</x:f>
        <x:v>0</x:v>
      </x:c>
      <x:c r="U155" s="8" t="n">
        <x:f>N155-I155*J155/H155</x:f>
        <x:v>0</x:v>
      </x:c>
      <x:c r="V155" s="8" t="n">
        <x:f>O155-I155*K155/H155</x:f>
        <x:v>80.17789507331236</x:v>
      </x:c>
      <x:c r="W155" s="8" t="n">
        <x:f>P155-J155*K155/H155</x:f>
        <x:v>0</x:v>
      </x:c>
      <x:c r="X155" s="8" t="n">
        <x:f>V155/S155</x:f>
        <x:v>0.636658304945451</x:v>
      </x:c>
      <x:c r="Y155" s="8" t="n">
        <x:f>0</x:f>
        <x:v>0</x:v>
      </x:c>
      <x:c r="Z155" s="8" t="n">
        <x:f>K155/H155-X155*I155/H155-Y155*J155/H155</x:f>
        <x:v>2.8061164794269677</x:v>
      </x:c>
      <x:c r="AA155" s="8" t="n">
        <x:f>Z155+X155*Q155+Y155*R155</x:f>
        <x:v>2.956333586096812</x:v>
      </x:c>
    </x:row>
    <x:row r="156" ht="26" customHeight="1">
      <x:c r="A156" s="2"/>
      <x:c r="B156" s="2" t="n">
        <x:v>151</x:v>
      </x:c>
      <x:c r="C156" s="2" t="str">
        <x:v>Beauty / price_contribution</x:v>
      </x:c>
      <x:c r="D156" s="2" t="str">
        <x:v>Broad rolling 8</x:v>
      </x:c>
      <x:c r="E156" s="7" t="n">
        <x:v>45838</x:v>
      </x:c>
      <x:c r="F156" s="2" t="str">
        <x:v>Pre-earnings</x:v>
      </x:c>
      <x:c r="G156" s="7" t="n">
        <x:v>45866</x:v>
      </x:c>
      <x:c r="H156" s="2" t="n">
        <x:v>8</x:v>
      </x:c>
      <x:c r="I156" s="8" t="n">
        <x:v>23.005916879315237</x:v>
      </x:c>
      <x:c r="J156" s="8" t="n">
        <x:v>0</x:v>
      </x:c>
      <x:c r="K156" s="8" t="n">
        <x:v>32</x:v>
      </x:c>
      <x:c r="L156" s="8" t="n">
        <x:v>114.01685107244576</x:v>
      </x:c>
      <x:c r="M156" s="8" t="n">
        <x:v>0</x:v>
      </x:c>
      <x:c r="N156" s="8" t="n">
        <x:v>0</x:v>
      </x:c>
      <x:c r="O156" s="8" t="n">
        <x:v>133.04461312948476</x:v>
      </x:c>
      <x:c r="P156" s="8" t="n">
        <x:v>0</x:v>
      </x:c>
      <x:c r="Q156" s="8" t="n">
        <x:v>0.5057825004843641</x:v>
      </x:c>
      <x:c r="R156" s="8" t="n">
        <x:v>0</x:v>
      </x:c>
      <x:c r="S156" s="8" t="n">
        <x:f>L156-I156^2/H156</x:f>
        <x:v>47.85782464020055</x:v>
      </x:c>
      <x:c r="T156" s="8" t="n">
        <x:f>M156-J156^2/H156</x:f>
        <x:v>0</x:v>
      </x:c>
      <x:c r="U156" s="8" t="n">
        <x:f>N156-I156*J156/H156</x:f>
        <x:v>0</x:v>
      </x:c>
      <x:c r="V156" s="8" t="n">
        <x:f>O156-I156*K156/H156</x:f>
        <x:v>41.02094561222381</x:v>
      </x:c>
      <x:c r="W156" s="8" t="n">
        <x:f>P156-J156*K156/H156</x:f>
        <x:v>0</x:v>
      </x:c>
      <x:c r="X156" s="8" t="n">
        <x:f>V156/S156</x:f>
        <x:v>0.8571418763937347</x:v>
      </x:c>
      <x:c r="Y156" s="8" t="n">
        <x:f>0</x:f>
        <x:v>0</x:v>
      </x:c>
      <x:c r="Z156" s="8" t="n">
        <x:f>K156/H156-X156*I156/H156-Y156*J156/H156</x:f>
        <x:v>1.5350831547381807</x:v>
      </x:c>
      <x:c r="AA156" s="8" t="n">
        <x:f>Z156+X156*Q156+Y156*R156</x:f>
        <x:v>1.9686105162504637</x:v>
      </x:c>
    </x:row>
    <x:row r="157" ht="26" customHeight="1">
      <x:c r="A157" s="2"/>
      <x:c r="B157" s="2" t="n">
        <x:v>152</x:v>
      </x:c>
      <x:c r="C157" s="2" t="str">
        <x:v>Beauty / price_contribution</x:v>
      </x:c>
      <x:c r="D157" s="2" t="str">
        <x:v>Own history</x:v>
      </x:c>
      <x:c r="E157" s="7" t="n">
        <x:v>45838</x:v>
      </x:c>
      <x:c r="F157" s="2" t="str">
        <x:v>Pre-earnings</x:v>
      </x:c>
      <x:c r="G157" s="7" t="n">
        <x:v>45866</x:v>
      </x:c>
      <x:c r="H157" s="2" t="n">
        <x:v>16</x:v>
      </x:c>
      <x:c r="I157" s="8" t="n">
        <x:v>73</x:v>
      </x:c>
      <x:c r="J157" s="8" t="n">
        <x:v>0</x:v>
      </x:c>
      <x:c r="K157" s="8" t="n">
        <x:v>74</x:v>
      </x:c>
      <x:c r="L157" s="8" t="n">
        <x:v>433</x:v>
      </x:c>
      <x:c r="M157" s="8" t="n">
        <x:v>0</x:v>
      </x:c>
      <x:c r="N157" s="8" t="n">
        <x:v>0</x:v>
      </x:c>
      <x:c r="O157" s="8" t="n">
        <x:v>416</x:v>
      </x:c>
      <x:c r="P157" s="8" t="n">
        <x:v>0</x:v>
      </x:c>
      <x:c r="Q157" s="8" t="n">
        <x:v>3</x:v>
      </x:c>
      <x:c r="R157" s="8" t="n">
        <x:v>0</x:v>
      </x:c>
      <x:c r="S157" s="8" t="n">
        <x:f>L157-I157^2/H157</x:f>
        <x:v>99.9375</x:v>
      </x:c>
      <x:c r="T157" s="8" t="n">
        <x:f>M157-J157^2/H157</x:f>
        <x:v>0</x:v>
      </x:c>
      <x:c r="U157" s="8" t="n">
        <x:f>N157-I157*J157/H157</x:f>
        <x:v>0</x:v>
      </x:c>
      <x:c r="V157" s="8" t="n">
        <x:f>O157-I157*K157/H157</x:f>
        <x:v>78.375</x:v>
      </x:c>
      <x:c r="W157" s="8" t="n">
        <x:f>P157-J157*K157/H157</x:f>
        <x:v>0</x:v>
      </x:c>
      <x:c r="X157" s="8" t="n">
        <x:f>V157/S157</x:f>
        <x:v>0.7842401500938087</x:v>
      </x:c>
      <x:c r="Y157" s="8" t="n">
        <x:f>0</x:f>
        <x:v>0</x:v>
      </x:c>
      <x:c r="Z157" s="8" t="n">
        <x:f>K157/H157-X157*I157/H157-Y157*J157/H157</x:f>
        <x:v>1.046904315196998</x:v>
      </x:c>
      <x:c r="AA157" s="8" t="n">
        <x:f>Z157+X157*Q157+Y157*R157</x:f>
        <x:v>3.399624765478424</x:v>
      </x:c>
    </x:row>
    <x:row r="158" ht="26" customHeight="1">
      <x:c r="A158" s="2"/>
      <x:c r="B158" s="2" t="n">
        <x:v>153</x:v>
      </x:c>
      <x:c r="C158" s="2" t="str">
        <x:v>Beauty / price_contribution</x:v>
      </x:c>
      <x:c r="D158" s="2" t="str">
        <x:v>Product price</x:v>
      </x:c>
      <x:c r="E158" s="7" t="n">
        <x:v>45838</x:v>
      </x:c>
      <x:c r="F158" s="2" t="str">
        <x:v>Pre-earnings</x:v>
      </x:c>
      <x:c r="G158" s="7" t="n">
        <x:v>45866</x:v>
      </x:c>
      <x:c r="H158" s="2" t="n">
        <x:v>17</x:v>
      </x:c>
      <x:c r="I158" s="8" t="n">
        <x:v>23.48625778572918</x:v>
      </x:c>
      <x:c r="J158" s="8" t="n">
        <x:v>0</x:v>
      </x:c>
      <x:c r="K158" s="8" t="n">
        <x:v>76</x:v>
      </x:c>
      <x:c r="L158" s="8" t="n">
        <x:v>116.10999999710732</x:v>
      </x:c>
      <x:c r="M158" s="8" t="n">
        <x:v>0</x:v>
      </x:c>
      <x:c r="N158" s="8" t="n">
        <x:v>0</x:v>
      </x:c>
      <x:c r="O158" s="8" t="n">
        <x:v>188.80622211877784</x:v>
      </x:c>
      <x:c r="P158" s="8" t="n">
        <x:v>0</x:v>
      </x:c>
      <x:c r="Q158" s="8" t="n">
        <x:v>0.06623166364128075</x:v>
      </x:c>
      <x:c r="R158" s="8" t="n">
        <x:v>0</x:v>
      </x:c>
      <x:c r="S158" s="8" t="n">
        <x:f>L158-I158^2/H158</x:f>
        <x:v>83.66268795135882</x:v>
      </x:c>
      <x:c r="T158" s="8" t="n">
        <x:f>M158-J158^2/H158</x:f>
        <x:v>0</x:v>
      </x:c>
      <x:c r="U158" s="8" t="n">
        <x:f>N158-I158*J158/H158</x:f>
        <x:v>0</x:v>
      </x:c>
      <x:c r="V158" s="8" t="n">
        <x:f>O158-I158*K158/H158</x:f>
        <x:v>83.80883437081211</x:v>
      </x:c>
      <x:c r="W158" s="8" t="n">
        <x:f>P158-J158*K158/H158</x:f>
        <x:v>0</x:v>
      </x:c>
      <x:c r="X158" s="8" t="n">
        <x:f>V158/S158</x:f>
        <x:v>1.0017468530241134</x:v>
      </x:c>
      <x:c r="Y158" s="8" t="n">
        <x:f>0</x:f>
        <x:v>0</x:v>
      </x:c>
      <x:c r="Z158" s="8" t="n">
        <x:f>K158/H158-X158*I158/H158-Y158*J158/H158</x:f>
        <x:v>3.086630304343101</x:v>
      </x:c>
      <x:c r="AA158" s="8" t="n">
        <x:f>Z158+X158*Q158+Y158*R158</x:f>
        <x:v>3.1529776649663055</x:v>
      </x:c>
    </x:row>
    <x:row r="159" ht="26" customHeight="1">
      <x:c r="A159" s="2"/>
      <x:c r="B159" s="2" t="n">
        <x:v>154</x:v>
      </x:c>
      <x:c r="C159" s="2" t="str">
        <x:v>Beauty / price_contribution</x:v>
      </x:c>
      <x:c r="D159" s="2" t="str">
        <x:v>Product lag 1</x:v>
      </x:c>
      <x:c r="E159" s="7" t="n">
        <x:v>45838</x:v>
      </x:c>
      <x:c r="F159" s="2" t="str">
        <x:v>Pre-earnings</x:v>
      </x:c>
      <x:c r="G159" s="7" t="n">
        <x:v>45866</x:v>
      </x:c>
      <x:c r="H159" s="2" t="n">
        <x:v>16</x:v>
      </x:c>
      <x:c r="I159" s="8" t="n">
        <x:v>23.906603278535655</x:v>
      </x:c>
      <x:c r="J159" s="8" t="n">
        <x:v>0</x:v>
      </x:c>
      <x:c r="K159" s="8" t="n">
        <x:v>74</x:v>
      </x:c>
      <x:c r="L159" s="8" t="n">
        <x:v>115.9333096637846</x:v>
      </x:c>
      <x:c r="M159" s="8" t="n">
        <x:v>0</x:v>
      </x:c>
      <x:c r="N159" s="8" t="n">
        <x:v>0</x:v>
      </x:c>
      <x:c r="O159" s="8" t="n">
        <x:v>171.59980783765818</x:v>
      </x:c>
      <x:c r="P159" s="8" t="n">
        <x:v>0</x:v>
      </x:c>
      <x:c r="Q159" s="8" t="n">
        <x:v>-0.42034549280647315</x:v>
      </x:c>
      <x:c r="R159" s="8" t="n">
        <x:v>0</x:v>
      </x:c>
      <x:c r="S159" s="8" t="n">
        <x:f>L159-I159^2/H159</x:f>
        <x:v>80.21295464395386</x:v>
      </x:c>
      <x:c r="T159" s="8" t="n">
        <x:f>M159-J159^2/H159</x:f>
        <x:v>0</x:v>
      </x:c>
      <x:c r="U159" s="8" t="n">
        <x:f>N159-I159*J159/H159</x:f>
        <x:v>0</x:v>
      </x:c>
      <x:c r="V159" s="8" t="n">
        <x:f>O159-I159*K159/H159</x:f>
        <x:v>61.03176767443077</x:v>
      </x:c>
      <x:c r="W159" s="8" t="n">
        <x:f>P159-J159*K159/H159</x:f>
        <x:v>0</x:v>
      </x:c>
      <x:c r="X159" s="8" t="n">
        <x:f>V159/S159</x:f>
        <x:v>0.7608717063887772</x:v>
      </x:c>
      <x:c r="Y159" s="8" t="n">
        <x:f>0</x:f>
        <x:v>0</x:v>
      </x:c>
      <x:c r="Z159" s="8" t="n">
        <x:f>K159/H159-X159*I159/H159-Y159*J159/H159</x:f>
        <x:v>3.488133873093815</x:v>
      </x:c>
      <x:c r="AA159" s="8" t="n">
        <x:f>Z159+X159*Q159+Y159*R159</x:f>
        <x:v>3.1683048807093224</x:v>
      </x:c>
    </x:row>
    <x:row r="160" ht="26" customHeight="1">
      <x:c r="A160" s="2"/>
      <x:c r="B160" s="2" t="n">
        <x:v>155</x:v>
      </x:c>
      <x:c r="C160" s="2" t="str">
        <x:v>Beauty / price_contribution</x:v>
      </x:c>
      <x:c r="D160" s="2" t="str">
        <x:v>Own + product</x:v>
      </x:c>
      <x:c r="E160" s="7" t="n">
        <x:v>45838</x:v>
      </x:c>
      <x:c r="F160" s="2" t="str">
        <x:v>Pre-earnings</x:v>
      </x:c>
      <x:c r="G160" s="7" t="n">
        <x:v>45866</x:v>
      </x:c>
      <x:c r="H160" s="2" t="n">
        <x:v>16</x:v>
      </x:c>
      <x:c r="I160" s="8" t="n">
        <x:v>23.90103116210608</x:v>
      </x:c>
      <x:c r="J160" s="8" t="n">
        <x:v>73</x:v>
      </x:c>
      <x:c r="K160" s="8" t="n">
        <x:v>74</x:v>
      </x:c>
      <x:c r="L160" s="8" t="n">
        <x:v>115.93796304335622</x:v>
      </x:c>
      <x:c r="M160" s="8" t="n">
        <x:v>433</x:v>
      </x:c>
      <x:c r="N160" s="8" t="n">
        <x:v>192.28805143843812</x:v>
      </x:c>
      <x:c r="O160" s="8" t="n">
        <x:v>189.63576887153164</x:v>
      </x:c>
      <x:c r="P160" s="8" t="n">
        <x:v>416</x:v>
      </x:c>
      <x:c r="Q160" s="8" t="n">
        <x:v>0.06623166364128075</x:v>
      </x:c>
      <x:c r="R160" s="8" t="n">
        <x:v>3</x:v>
      </x:c>
      <x:c r="S160" s="8" t="n">
        <x:f>L160-I160^2/H160</x:f>
        <x:v>80.23425738010835</x:v>
      </x:c>
      <x:c r="T160" s="8" t="n">
        <x:f>M160-J160^2/H160</x:f>
        <x:v>99.9375</x:v>
      </x:c>
      <x:c r="U160" s="8" t="n">
        <x:f>N160-I160*J160/H160</x:f>
        <x:v>83.23959676132912</x:v>
      </x:c>
      <x:c r="V160" s="8" t="n">
        <x:f>O160-I160*K160/H160</x:f>
        <x:v>79.09349974679103</x:v>
      </x:c>
      <x:c r="W160" s="8" t="n">
        <x:f>P160-J160*K160/H160</x:f>
        <x:v>78.375</x:v>
      </x:c>
      <x:c r="X160" s="8" t="n">
        <x:f>(V160*T160-W160*U160)/(S160*T160-U160^2)</x:f>
        <x:v>1.2670042027004256</x:v>
      </x:c>
      <x:c r="Y160" s="8" t="n">
        <x:f>(W160*S160-V160*U160)/(S160*T160-U160^2)</x:f>
        <x:v>-0.27106860715639935</x:v>
      </x:c>
      <x:c r="Z160" s="8" t="n">
        <x:f>K160/H160-X160*I160/H160-Y160*J160/H160</x:f>
        <x:v>3.9690813369471822</x:v>
      </x:c>
      <x:c r="AA160" s="8" t="n">
        <x:f>Z160+X160*Q160+Y160*R160</x:f>
        <x:v>3.239791311663328</x:v>
      </x:c>
    </x:row>
    <x:row r="161" ht="26" customHeight="1">
      <x:c r="A161" s="2"/>
      <x:c r="B161" s="2" t="n">
        <x:v>156</x:v>
      </x:c>
      <x:c r="C161" s="2" t="str">
        <x:v>Beauty / price_contribution</x:v>
      </x:c>
      <x:c r="D161" s="2" t="str">
        <x:v>Broad market</x:v>
      </x:c>
      <x:c r="E161" s="7" t="n">
        <x:v>45930</x:v>
      </x:c>
      <x:c r="F161" s="2" t="str">
        <x:v>Origin</x:v>
      </x:c>
      <x:c r="G161" s="7" t="n">
        <x:v>45839</x:v>
      </x:c>
      <x:c r="H161" s="2" t="n">
        <x:v>17</x:v>
      </x:c>
      <x:c r="I161" s="8" t="n">
        <x:v>45.946708318435746</x:v>
      </x:c>
      <x:c r="J161" s="8" t="n">
        <x:v>0</x:v>
      </x:c>
      <x:c r="K161" s="8" t="n">
        <x:v>76</x:v>
      </x:c>
      <x:c r="L161" s="8" t="n">
        <x:v>256.58330205194005</x:v>
      </x:c>
      <x:c r="M161" s="8" t="n">
        <x:v>0</x:v>
      </x:c>
      <x:c r="N161" s="8" t="n">
        <x:v>0</x:v>
      </x:c>
      <x:c r="O161" s="8" t="n">
        <x:v>312.86875191132003</x:v>
      </x:c>
      <x:c r="P161" s="8" t="n">
        <x:v>0</x:v>
      </x:c>
      <x:c r="Q161" s="8" t="n">
        <x:v>0.2991645223175299</x:v>
      </x:c>
      <x:c r="R161" s="8" t="n">
        <x:v>0</x:v>
      </x:c>
      <x:c r="S161" s="8" t="n">
        <x:f>L161-I161^2/H161</x:f>
        <x:v>132.40094879903342</x:v>
      </x:c>
      <x:c r="T161" s="8" t="n">
        <x:f>M161-J161^2/H161</x:f>
        <x:v>0</x:v>
      </x:c>
      <x:c r="U161" s="8" t="n">
        <x:f>N161-I161*J161/H161</x:f>
        <x:v>0</x:v>
      </x:c>
      <x:c r="V161" s="8" t="n">
        <x:f>O161-I161*K161/H161</x:f>
        <x:v>107.45993825243082</x:v>
      </x:c>
      <x:c r="W161" s="8" t="n">
        <x:f>P161-J161*K161/H161</x:f>
        <x:v>0</x:v>
      </x:c>
      <x:c r="X161" s="8" t="n">
        <x:f>V161/S161</x:f>
        <x:v>0.8116251373359895</x:v>
      </x:c>
      <x:c r="Y161" s="8" t="n">
        <x:f>0</x:f>
        <x:v>0</x:v>
      </x:c>
      <x:c r="Z161" s="8" t="n">
        <x:f>K161/H161-X161*I161/H161-Y161*J161/H161</x:f>
        <x:v>2.27697038534782</x:v>
      </x:c>
      <x:c r="AA161" s="8" t="n">
        <x:f>Z161+X161*Q161+Y161*R161</x:f>
        <x:v>2.519779831859841</x:v>
      </x:c>
    </x:row>
    <x:row r="162" ht="26" customHeight="1">
      <x:c r="A162" s="2"/>
      <x:c r="B162" s="2" t="n">
        <x:v>157</x:v>
      </x:c>
      <x:c r="C162" s="2" t="str">
        <x:v>Beauty / price_contribution</x:v>
      </x:c>
      <x:c r="D162" s="2" t="str">
        <x:v>Broad rolling 8</x:v>
      </x:c>
      <x:c r="E162" s="7" t="n">
        <x:v>45930</x:v>
      </x:c>
      <x:c r="F162" s="2" t="str">
        <x:v>Origin</x:v>
      </x:c>
      <x:c r="G162" s="7" t="n">
        <x:v>45839</x:v>
      </x:c>
      <x:c r="H162" s="2" t="n">
        <x:v>8</x:v>
      </x:c>
      <x:c r="I162" s="8" t="n">
        <x:v>23.005916879315237</x:v>
      </x:c>
      <x:c r="J162" s="8" t="n">
        <x:v>0</x:v>
      </x:c>
      <x:c r="K162" s="8" t="n">
        <x:v>32</x:v>
      </x:c>
      <x:c r="L162" s="8" t="n">
        <x:v>114.01685107244576</x:v>
      </x:c>
      <x:c r="M162" s="8" t="n">
        <x:v>0</x:v>
      </x:c>
      <x:c r="N162" s="8" t="n">
        <x:v>0</x:v>
      </x:c>
      <x:c r="O162" s="8" t="n">
        <x:v>133.04461312948476</x:v>
      </x:c>
      <x:c r="P162" s="8" t="n">
        <x:v>0</x:v>
      </x:c>
      <x:c r="Q162" s="8" t="n">
        <x:v>0.2991645223175299</x:v>
      </x:c>
      <x:c r="R162" s="8" t="n">
        <x:v>0</x:v>
      </x:c>
      <x:c r="S162" s="8" t="n">
        <x:f>L162-I162^2/H162</x:f>
        <x:v>47.85782464020055</x:v>
      </x:c>
      <x:c r="T162" s="8" t="n">
        <x:f>M162-J162^2/H162</x:f>
        <x:v>0</x:v>
      </x:c>
      <x:c r="U162" s="8" t="n">
        <x:f>N162-I162*J162/H162</x:f>
        <x:v>0</x:v>
      </x:c>
      <x:c r="V162" s="8" t="n">
        <x:f>O162-I162*K162/H162</x:f>
        <x:v>41.02094561222381</x:v>
      </x:c>
      <x:c r="W162" s="8" t="n">
        <x:f>P162-J162*K162/H162</x:f>
        <x:v>0</x:v>
      </x:c>
      <x:c r="X162" s="8" t="n">
        <x:f>V162/S162</x:f>
        <x:v>0.8571418763937347</x:v>
      </x:c>
      <x:c r="Y162" s="8" t="n">
        <x:f>0</x:f>
        <x:v>0</x:v>
      </x:c>
      <x:c r="Z162" s="8" t="n">
        <x:f>K162/H162-X162*I162/H162-Y162*J162/H162</x:f>
        <x:v>1.5350831547381807</x:v>
      </x:c>
      <x:c r="AA162" s="8" t="n">
        <x:f>Z162+X162*Q162+Y162*R162</x:f>
        <x:v>1.7915095947478636</x:v>
      </x:c>
    </x:row>
    <x:row r="163" ht="26" customHeight="1">
      <x:c r="A163" s="2"/>
      <x:c r="B163" s="2" t="n">
        <x:v>158</x:v>
      </x:c>
      <x:c r="C163" s="2" t="str">
        <x:v>Beauty / price_contribution</x:v>
      </x:c>
      <x:c r="D163" s="2" t="str">
        <x:v>Own history</x:v>
      </x:c>
      <x:c r="E163" s="7" t="n">
        <x:v>45930</x:v>
      </x:c>
      <x:c r="F163" s="2" t="str">
        <x:v>Origin</x:v>
      </x:c>
      <x:c r="G163" s="7" t="n">
        <x:v>45839</x:v>
      </x:c>
      <x:c r="H163" s="2" t="n">
        <x:v>15</x:v>
      </x:c>
      <x:c r="I163" s="8" t="n">
        <x:v>71</x:v>
      </x:c>
      <x:c r="J163" s="8" t="n">
        <x:v>0</x:v>
      </x:c>
      <x:c r="K163" s="8" t="n">
        <x:v>70</x:v>
      </x:c>
      <x:c r="L163" s="8" t="n">
        <x:v>429</x:v>
      </x:c>
      <x:c r="M163" s="8" t="n">
        <x:v>0</x:v>
      </x:c>
      <x:c r="N163" s="8" t="n">
        <x:v>0</x:v>
      </x:c>
      <x:c r="O163" s="8" t="n">
        <x:v>383</x:v>
      </x:c>
      <x:c r="P163" s="8" t="n">
        <x:v>0</x:v>
      </x:c>
      <x:c r="Q163" s="8" t="n">
        <x:v>3</x:v>
      </x:c>
      <x:c r="R163" s="8" t="n">
        <x:v>0</x:v>
      </x:c>
      <x:c r="S163" s="8" t="n">
        <x:f>L163-I163^2/H163</x:f>
        <x:v>92.93333333333334</x:v>
      </x:c>
      <x:c r="T163" s="8" t="n">
        <x:f>M163-J163^2/H163</x:f>
        <x:v>0</x:v>
      </x:c>
      <x:c r="U163" s="8" t="n">
        <x:f>N163-I163*J163/H163</x:f>
        <x:v>0</x:v>
      </x:c>
      <x:c r="V163" s="8" t="n">
        <x:f>O163-I163*K163/H163</x:f>
        <x:v>51.666666666666686</x:v>
      </x:c>
      <x:c r="W163" s="8" t="n">
        <x:f>P163-J163*K163/H163</x:f>
        <x:v>0</x:v>
      </x:c>
      <x:c r="X163" s="8" t="n">
        <x:f>V163/S163</x:f>
        <x:v>0.5559540889526544</x:v>
      </x:c>
      <x:c r="Y163" s="8" t="n">
        <x:f>0</x:f>
        <x:v>0</x:v>
      </x:c>
      <x:c r="Z163" s="8" t="n">
        <x:f>K163/H163-X163*I163/H163-Y163*J163/H163</x:f>
        <x:v>2.035150645624103</x:v>
      </x:c>
      <x:c r="AA163" s="8" t="n">
        <x:f>Z163+X163*Q163+Y163*R163</x:f>
        <x:v>3.703012912482066</x:v>
      </x:c>
    </x:row>
    <x:row r="164" ht="26" customHeight="1">
      <x:c r="A164" s="2"/>
      <x:c r="B164" s="2" t="n">
        <x:v>159</x:v>
      </x:c>
      <x:c r="C164" s="2" t="str">
        <x:v>Beauty / price_contribution</x:v>
      </x:c>
      <x:c r="D164" s="2" t="str">
        <x:v>Product price</x:v>
      </x:c>
      <x:c r="E164" s="7" t="n">
        <x:v>45930</x:v>
      </x:c>
      <x:c r="F164" s="2" t="str">
        <x:v>Origin</x:v>
      </x:c>
      <x:c r="G164" s="7" t="n">
        <x:v>45839</x:v>
      </x:c>
      <x:c r="H164" s="2" t="n">
        <x:v>17</x:v>
      </x:c>
      <x:c r="I164" s="8" t="n">
        <x:v>23.48625778572918</x:v>
      </x:c>
      <x:c r="J164" s="8" t="n">
        <x:v>0</x:v>
      </x:c>
      <x:c r="K164" s="8" t="n">
        <x:v>76</x:v>
      </x:c>
      <x:c r="L164" s="8" t="n">
        <x:v>116.10999999710732</x:v>
      </x:c>
      <x:c r="M164" s="8" t="n">
        <x:v>0</x:v>
      </x:c>
      <x:c r="N164" s="8" t="n">
        <x:v>0</x:v>
      </x:c>
      <x:c r="O164" s="8" t="n">
        <x:v>188.80622211877784</x:v>
      </x:c>
      <x:c r="P164" s="8" t="n">
        <x:v>0</x:v>
      </x:c>
      <x:c r="Q164" s="8" t="n">
        <x:v>-0.3856654621040789</x:v>
      </x:c>
      <x:c r="R164" s="8" t="n">
        <x:v>0</x:v>
      </x:c>
      <x:c r="S164" s="8" t="n">
        <x:f>L164-I164^2/H164</x:f>
        <x:v>83.66268795135882</x:v>
      </x:c>
      <x:c r="T164" s="8" t="n">
        <x:f>M164-J164^2/H164</x:f>
        <x:v>0</x:v>
      </x:c>
      <x:c r="U164" s="8" t="n">
        <x:f>N164-I164*J164/H164</x:f>
        <x:v>0</x:v>
      </x:c>
      <x:c r="V164" s="8" t="n">
        <x:f>O164-I164*K164/H164</x:f>
        <x:v>83.80883437081211</x:v>
      </x:c>
      <x:c r="W164" s="8" t="n">
        <x:f>P164-J164*K164/H164</x:f>
        <x:v>0</x:v>
      </x:c>
      <x:c r="X164" s="8" t="n">
        <x:f>V164/S164</x:f>
        <x:v>1.0017468530241134</x:v>
      </x:c>
      <x:c r="Y164" s="8" t="n">
        <x:f>0</x:f>
        <x:v>0</x:v>
      </x:c>
      <x:c r="Z164" s="8" t="n">
        <x:f>K164/H164-X164*I164/H164-Y164*J164/H164</x:f>
        <x:v>3.086630304343101</x:v>
      </x:c>
      <x:c r="AA164" s="8" t="n">
        <x:f>Z164+X164*Q164+Y164*R164</x:f>
        <x:v>2.7002911413602493</x:v>
      </x:c>
    </x:row>
    <x:row r="165" ht="26" customHeight="1">
      <x:c r="A165" s="2"/>
      <x:c r="B165" s="2" t="n">
        <x:v>160</x:v>
      </x:c>
      <x:c r="C165" s="2" t="str">
        <x:v>Beauty / price_contribution</x:v>
      </x:c>
      <x:c r="D165" s="2" t="str">
        <x:v>Own + product</x:v>
      </x:c>
      <x:c r="E165" s="7" t="n">
        <x:v>45930</x:v>
      </x:c>
      <x:c r="F165" s="2" t="str">
        <x:v>Origin</x:v>
      </x:c>
      <x:c r="G165" s="7" t="n">
        <x:v>45839</x:v>
      </x:c>
      <x:c r="H165" s="2" t="n">
        <x:v>15</x:v>
      </x:c>
      <x:c r="I165" s="8" t="n">
        <x:v>24.33633896703029</x:v>
      </x:c>
      <x:c r="J165" s="8" t="n">
        <x:v>71</x:v>
      </x:c>
      <x:c r="K165" s="8" t="n">
        <x:v>70</x:v>
      </x:c>
      <x:c r="L165" s="8" t="n">
        <x:v>115.74847015832829</x:v>
      </x:c>
      <x:c r="M165" s="8" t="n">
        <x:v>429</x:v>
      </x:c>
      <x:c r="N165" s="8" t="n">
        <x:v>179.64288723761507</x:v>
      </x:c>
      <x:c r="O165" s="8" t="n">
        <x:v>191.37700009122847</x:v>
      </x:c>
      <x:c r="P165" s="8" t="n">
        <x:v>383</x:v>
      </x:c>
      <x:c r="Q165" s="8" t="n">
        <x:v>-0.3856654621040789</x:v>
      </x:c>
      <x:c r="R165" s="8" t="n">
        <x:v>3</x:v>
      </x:c>
      <x:c r="S165" s="8" t="n">
        <x:f>L165-I165^2/H165</x:f>
        <x:v>76.2646438704485</x:v>
      </x:c>
      <x:c r="T165" s="8" t="n">
        <x:f>M165-J165^2/H165</x:f>
        <x:v>92.93333333333334</x:v>
      </x:c>
      <x:c r="U165" s="8" t="n">
        <x:f>N165-I165*J165/H165</x:f>
        <x:v>64.4508827936717</x:v>
      </x:c>
      <x:c r="V165" s="8" t="n">
        <x:f>O165-I165*K165/H165</x:f>
        <x:v>77.80741824508712</x:v>
      </x:c>
      <x:c r="W165" s="8" t="n">
        <x:f>P165-J165*K165/H165</x:f>
        <x:v>51.666666666666686</x:v>
      </x:c>
      <x:c r="X165" s="8" t="n">
        <x:f>(V165*T165-W165*U165)/(S165*T165-U165^2)</x:f>
        <x:v>1.3297400674226347</x:v>
      </x:c>
      <x:c r="Y165" s="8" t="n">
        <x:f>(W165*S165-V165*U165)/(S165*T165-U165^2)</x:f>
        <x:v>-0.36624377221849336</x:v>
      </x:c>
      <x:c r="Z165" s="8" t="n">
        <x:f>K165/H165-X165*I165/H165-Y165*J165/H165</x:f>
        <x:v>4.242820187244939</x:v>
      </x:c>
      <x:c r="AA165" s="8" t="n">
        <x:f>Z165+X165*Q165+Y165*R165</x:f>
        <x:v>2.631254053008599</x:v>
      </x:c>
    </x:row>
    <x:row r="166" ht="26" customHeight="1">
      <x:c r="A166" s="2"/>
      <x:c r="B166" s="2" t="n">
        <x:v>161</x:v>
      </x:c>
      <x:c r="C166" s="2" t="str">
        <x:v>Beauty / price_contribution</x:v>
      </x:c>
      <x:c r="D166" s="2" t="str">
        <x:v>Broad market</x:v>
      </x:c>
      <x:c r="E166" s="7" t="n">
        <x:v>45930</x:v>
      </x:c>
      <x:c r="F166" s="2" t="str">
        <x:v>Prior report</x:v>
      </x:c>
      <x:c r="G166" s="7" t="n">
        <x:v>45867</x:v>
      </x:c>
      <x:c r="H166" s="2" t="n">
        <x:v>18</x:v>
      </x:c>
      <x:c r="I166" s="8" t="n">
        <x:v>46.45249081892011</x:v>
      </x:c>
      <x:c r="J166" s="8" t="n">
        <x:v>0</x:v>
      </x:c>
      <x:c r="K166" s="8" t="n">
        <x:v>77</x:v>
      </x:c>
      <x:c r="L166" s="8" t="n">
        <x:v>256.8391179897363</x:v>
      </x:c>
      <x:c r="M166" s="8" t="n">
        <x:v>0</x:v>
      </x:c>
      <x:c r="N166" s="8" t="n">
        <x:v>0</x:v>
      </x:c>
      <x:c r="O166" s="8" t="n">
        <x:v>313.3745344118044</x:v>
      </x:c>
      <x:c r="P166" s="8" t="n">
        <x:v>0</x:v>
      </x:c>
      <x:c r="Q166" s="8" t="n">
        <x:v>0.5059057213634421</x:v>
      </x:c>
      <x:c r="R166" s="8" t="n">
        <x:v>0</x:v>
      </x:c>
      <x:c r="S166" s="8" t="n">
        <x:f>L166-I166^2/H166</x:f>
        <x:v>136.95945669629975</x:v>
      </x:c>
      <x:c r="T166" s="8" t="n">
        <x:f>M166-J166^2/H166</x:f>
        <x:v>0</x:v>
      </x:c>
      <x:c r="U166" s="8" t="n">
        <x:f>N166-I166*J166/H166</x:f>
        <x:v>0</x:v>
      </x:c>
      <x:c r="V166" s="8" t="n">
        <x:f>O166-I166*K166/H166</x:f>
        <x:v>114.66110146420172</x:v>
      </x:c>
      <x:c r="W166" s="8" t="n">
        <x:f>P166-J166*K166/H166</x:f>
        <x:v>0</x:v>
      </x:c>
      <x:c r="X166" s="8" t="n">
        <x:f>V166/S166</x:f>
        <x:v>0.8371901015820803</x:v>
      </x:c>
      <x:c r="Y166" s="8" t="n">
        <x:f>0</x:f>
        <x:v>0</x:v>
      </x:c>
      <x:c r="Z166" s="8" t="n">
        <x:f>K166/H166-X166*I166/H166-Y166*J166/H166</x:f>
        <x:v>2.117246360698201</x:v>
      </x:c>
      <x:c r="AA166" s="8" t="n">
        <x:f>Z166+X166*Q166+Y166*R166</x:f>
        <x:v>2.5407856229574164</x:v>
      </x:c>
    </x:row>
    <x:row r="167" ht="26" customHeight="1">
      <x:c r="A167" s="2"/>
      <x:c r="B167" s="2" t="n">
        <x:v>162</x:v>
      </x:c>
      <x:c r="C167" s="2" t="str">
        <x:v>Beauty / price_contribution</x:v>
      </x:c>
      <x:c r="D167" s="2" t="str">
        <x:v>Broad lag 1</x:v>
      </x:c>
      <x:c r="E167" s="7" t="n">
        <x:v>45930</x:v>
      </x:c>
      <x:c r="F167" s="2" t="str">
        <x:v>Prior report</x:v>
      </x:c>
      <x:c r="G167" s="7" t="n">
        <x:v>45867</x:v>
      </x:c>
      <x:c r="H167" s="2" t="n">
        <x:v>17</x:v>
      </x:c>
      <x:c r="I167" s="8" t="n">
        <x:v>45.946708318435746</x:v>
      </x:c>
      <x:c r="J167" s="8" t="n">
        <x:v>0</x:v>
      </x:c>
      <x:c r="K167" s="8" t="n">
        <x:v>75</x:v>
      </x:c>
      <x:c r="L167" s="8" t="n">
        <x:v>256.58330205194005</x:v>
      </x:c>
      <x:c r="M167" s="8" t="n">
        <x:v>0</x:v>
      </x:c>
      <x:c r="N167" s="8" t="n">
        <x:v>0</x:v>
      </x:c>
      <x:c r="O167" s="8" t="n">
        <x:v>291.82611607722976</x:v>
      </x:c>
      <x:c r="P167" s="8" t="n">
        <x:v>0</x:v>
      </x:c>
      <x:c r="Q167" s="8" t="n">
        <x:v>0.5057825004843641</x:v>
      </x:c>
      <x:c r="R167" s="8" t="n">
        <x:v>0</x:v>
      </x:c>
      <x:c r="S167" s="8" t="n">
        <x:f>L167-I167^2/H167</x:f>
        <x:v>132.40094879903342</x:v>
      </x:c>
      <x:c r="T167" s="8" t="n">
        <x:f>M167-J167^2/H167</x:f>
        <x:v>0</x:v>
      </x:c>
      <x:c r="U167" s="8" t="n">
        <x:f>N167-I167*J167/H167</x:f>
        <x:v>0</x:v>
      </x:c>
      <x:c r="V167" s="8" t="n">
        <x:f>O167-I167*K167/H167</x:f>
        <x:v>89.1200499664838</x:v>
      </x:c>
      <x:c r="W167" s="8" t="n">
        <x:f>P167-J167*K167/H167</x:f>
        <x:v>0</x:v>
      </x:c>
      <x:c r="X167" s="8" t="n">
        <x:f>V167/S167</x:f>
        <x:v>0.6731073362756327</x:v>
      </x:c>
      <x:c r="Y167" s="8" t="n">
        <x:f>0</x:f>
        <x:v>0</x:v>
      </x:c>
      <x:c r="Z167" s="8" t="n">
        <x:f>K167/H167-X167*I167/H167-Y167*J167/H167</x:f>
        <x:v>2.592525503126133</x:v>
      </x:c>
      <x:c r="AA167" s="8" t="n">
        <x:f>Z167+X167*Q167+Y167*R167</x:f>
        <x:v>2.932971414761992</x:v>
      </x:c>
    </x:row>
    <x:row r="168" ht="26" customHeight="1">
      <x:c r="A168" s="2"/>
      <x:c r="B168" s="2" t="n">
        <x:v>163</x:v>
      </x:c>
      <x:c r="C168" s="2" t="str">
        <x:v>Beauty / price_contribution</x:v>
      </x:c>
      <x:c r="D168" s="2" t="str">
        <x:v>Broad rolling 8</x:v>
      </x:c>
      <x:c r="E168" s="7" t="n">
        <x:v>45930</x:v>
      </x:c>
      <x:c r="F168" s="2" t="str">
        <x:v>Prior report</x:v>
      </x:c>
      <x:c r="G168" s="7" t="n">
        <x:v>45867</x:v>
      </x:c>
      <x:c r="H168" s="2" t="n">
        <x:v>8</x:v>
      </x:c>
      <x:c r="I168" s="8" t="n">
        <x:v>16.45347214762054</x:v>
      </x:c>
      <x:c r="J168" s="8" t="n">
        <x:v>0</x:v>
      </x:c>
      <x:c r="K168" s="8" t="n">
        <x:v>25</x:v>
      </x:c>
      <x:c r="L168" s="8" t="n">
        <x:v>64.45409534916791</x:v>
      </x:c>
      <x:c r="M168" s="8" t="n">
        <x:v>0</x:v>
      </x:c>
      <x:c r="N168" s="8" t="n">
        <x:v>0</x:v>
      </x:c>
      <x:c r="O168" s="8" t="n">
        <x:v>77.08457777253666</x:v>
      </x:c>
      <x:c r="P168" s="8" t="n">
        <x:v>0</x:v>
      </x:c>
      <x:c r="Q168" s="8" t="n">
        <x:v>0.5059057213634421</x:v>
      </x:c>
      <x:c r="R168" s="8" t="n">
        <x:v>0</x:v>
      </x:c>
      <x:c r="S168" s="8" t="n">
        <x:f>L168-I168^2/H168</x:f>
        <x:v>30.6145021351023</x:v>
      </x:c>
      <x:c r="T168" s="8" t="n">
        <x:f>M168-J168^2/H168</x:f>
        <x:v>0</x:v>
      </x:c>
      <x:c r="U168" s="8" t="n">
        <x:f>N168-I168*J168/H168</x:f>
        <x:v>0</x:v>
      </x:c>
      <x:c r="V168" s="8" t="n">
        <x:f>O168-I168*K168/H168</x:f>
        <x:v>25.66747731122247</x:v>
      </x:c>
      <x:c r="W168" s="8" t="n">
        <x:f>P168-J168*K168/H168</x:f>
        <x:v>0</x:v>
      </x:c>
      <x:c r="X168" s="8" t="n">
        <x:f>V168/S168</x:f>
        <x:v>0.8384091042196757</x:v>
      </x:c>
      <x:c r="Y168" s="8" t="n">
        <x:f>0</x:f>
        <x:v>0</x:v>
      </x:c>
      <x:c r="Z168" s="8" t="n">
        <x:f>K168/H168-X168*I168/H168-Y168*J168/H168</x:f>
        <x:v>1.4006573944262597</x:v>
      </x:c>
      <x:c r="AA168" s="8" t="n">
        <x:f>Z168+X168*Q168+Y168*R168</x:f>
        <x:v>1.824813357094192</x:v>
      </x:c>
    </x:row>
    <x:row r="169" ht="26" customHeight="1">
      <x:c r="A169" s="2"/>
      <x:c r="B169" s="2" t="n">
        <x:v>164</x:v>
      </x:c>
      <x:c r="C169" s="2" t="str">
        <x:v>Beauty / price_contribution</x:v>
      </x:c>
      <x:c r="D169" s="2" t="str">
        <x:v>Own history</x:v>
      </x:c>
      <x:c r="E169" s="7" t="n">
        <x:v>45930</x:v>
      </x:c>
      <x:c r="F169" s="2" t="str">
        <x:v>Prior report</x:v>
      </x:c>
      <x:c r="G169" s="7" t="n">
        <x:v>45867</x:v>
      </x:c>
      <x:c r="H169" s="2" t="n">
        <x:v>17</x:v>
      </x:c>
      <x:c r="I169" s="8" t="n">
        <x:v>76</x:v>
      </x:c>
      <x:c r="J169" s="8" t="n">
        <x:v>0</x:v>
      </x:c>
      <x:c r="K169" s="8" t="n">
        <x:v>75</x:v>
      </x:c>
      <x:c r="L169" s="8" t="n">
        <x:v>442</x:v>
      </x:c>
      <x:c r="M169" s="8" t="n">
        <x:v>0</x:v>
      </x:c>
      <x:c r="N169" s="8" t="n">
        <x:v>0</x:v>
      </x:c>
      <x:c r="O169" s="8" t="n">
        <x:v>419</x:v>
      </x:c>
      <x:c r="P169" s="8" t="n">
        <x:v>0</x:v>
      </x:c>
      <x:c r="Q169" s="8" t="n">
        <x:v>1</x:v>
      </x:c>
      <x:c r="R169" s="8" t="n">
        <x:v>0</x:v>
      </x:c>
      <x:c r="S169" s="8" t="n">
        <x:f>L169-I169^2/H169</x:f>
        <x:v>102.23529411764707</x:v>
      </x:c>
      <x:c r="T169" s="8" t="n">
        <x:f>M169-J169^2/H169</x:f>
        <x:v>0</x:v>
      </x:c>
      <x:c r="U169" s="8" t="n">
        <x:f>N169-I169*J169/H169</x:f>
        <x:v>0</x:v>
      </x:c>
      <x:c r="V169" s="8" t="n">
        <x:f>O169-I169*K169/H169</x:f>
        <x:v>83.70588235294116</x:v>
      </x:c>
      <x:c r="W169" s="8" t="n">
        <x:f>P169-J169*K169/H169</x:f>
        <x:v>0</x:v>
      </x:c>
      <x:c r="X169" s="8" t="n">
        <x:f>V169/S169</x:f>
        <x:v>0.8187571921749134</x:v>
      </x:c>
      <x:c r="Y169" s="8" t="n">
        <x:f>0</x:f>
        <x:v>0</x:v>
      </x:c>
      <x:c r="Z169" s="8" t="n">
        <x:f>K169/H169-X169*I169/H169-Y169*J169/H169</x:f>
        <x:v>0.7514384349827403</x:v>
      </x:c>
      <x:c r="AA169" s="8" t="n">
        <x:f>Z169+X169*Q169+Y169*R169</x:f>
        <x:v>1.5701956271576538</x:v>
      </x:c>
    </x:row>
    <x:row r="170" ht="26" customHeight="1">
      <x:c r="A170" s="2"/>
      <x:c r="B170" s="2" t="n">
        <x:v>165</x:v>
      </x:c>
      <x:c r="C170" s="2" t="str">
        <x:v>Beauty / price_contribution</x:v>
      </x:c>
      <x:c r="D170" s="2" t="str">
        <x:v>Product price</x:v>
      </x:c>
      <x:c r="E170" s="7" t="n">
        <x:v>45930</x:v>
      </x:c>
      <x:c r="F170" s="2" t="str">
        <x:v>Prior report</x:v>
      </x:c>
      <x:c r="G170" s="7" t="n">
        <x:v>45867</x:v>
      </x:c>
      <x:c r="H170" s="2" t="n">
        <x:v>18</x:v>
      </x:c>
      <x:c r="I170" s="8" t="n">
        <x:v>23.552489449370462</x:v>
      </x:c>
      <x:c r="J170" s="8" t="n">
        <x:v>0</x:v>
      </x:c>
      <x:c r="K170" s="8" t="n">
        <x:v>77</x:v>
      </x:c>
      <x:c r="L170" s="8" t="n">
        <x:v>116.114386630376</x:v>
      </x:c>
      <x:c r="M170" s="8" t="n">
        <x:v>0</x:v>
      </x:c>
      <x:c r="N170" s="8" t="n">
        <x:v>0</x:v>
      </x:c>
      <x:c r="O170" s="8" t="n">
        <x:v>188.87245378241911</x:v>
      </x:c>
      <x:c r="P170" s="8" t="n">
        <x:v>0</x:v>
      </x:c>
      <x:c r="Q170" s="8" t="n">
        <x:v>0.06596289286695534</x:v>
      </x:c>
      <x:c r="R170" s="8" t="n">
        <x:v>0</x:v>
      </x:c>
      <x:c r="S170" s="8" t="n">
        <x:f>L170-I170^2/H170</x:f>
        <x:v>85.29662222689228</x:v>
      </x:c>
      <x:c r="T170" s="8" t="n">
        <x:f>M170-J170^2/H170</x:f>
        <x:v>0</x:v>
      </x:c>
      <x:c r="U170" s="8" t="n">
        <x:f>N170-I170*J170/H170</x:f>
        <x:v>0</x:v>
      </x:c>
      <x:c r="V170" s="8" t="n">
        <x:f>O170-I170*K170/H170</x:f>
        <x:v>88.12013780455658</x:v>
      </x:c>
      <x:c r="W170" s="8" t="n">
        <x:f>P170-J170*K170/H170</x:f>
        <x:v>0</x:v>
      </x:c>
      <x:c r="X170" s="8" t="n">
        <x:f>V170/S170</x:f>
        <x:v>1.0331023140653053</x:v>
      </x:c>
      <x:c r="Y170" s="8" t="n">
        <x:f>0</x:f>
        <x:v>0</x:v>
      </x:c>
      <x:c r="Z170" s="8" t="n">
        <x:f>K170/H170-X170*I170/H170-Y170*J170/H170</x:f>
        <x:v>2.9259927026587045</x:v>
      </x:c>
      <x:c r="AA170" s="8" t="n">
        <x:f>Z170+X170*Q170+Y170*R170</x:f>
        <x:v>2.9941391199219978</x:v>
      </x:c>
    </x:row>
    <x:row r="171" ht="26" customHeight="1">
      <x:c r="A171" s="2"/>
      <x:c r="B171" s="2" t="n">
        <x:v>166</x:v>
      </x:c>
      <x:c r="C171" s="2" t="str">
        <x:v>Beauty / price_contribution</x:v>
      </x:c>
      <x:c r="D171" s="2" t="str">
        <x:v>Product lag 1</x:v>
      </x:c>
      <x:c r="E171" s="7" t="n">
        <x:v>45930</x:v>
      </x:c>
      <x:c r="F171" s="2" t="str">
        <x:v>Prior report</x:v>
      </x:c>
      <x:c r="G171" s="7" t="n">
        <x:v>45867</x:v>
      </x:c>
      <x:c r="H171" s="2" t="n">
        <x:v>17</x:v>
      </x:c>
      <x:c r="I171" s="8" t="n">
        <x:v>23.48625778572918</x:v>
      </x:c>
      <x:c r="J171" s="8" t="n">
        <x:v>0</x:v>
      </x:c>
      <x:c r="K171" s="8" t="n">
        <x:v>75</x:v>
      </x:c>
      <x:c r="L171" s="8" t="n">
        <x:v>116.10999999710732</x:v>
      </x:c>
      <x:c r="M171" s="8" t="n">
        <x:v>0</x:v>
      </x:c>
      <x:c r="N171" s="8" t="n">
        <x:v>0</x:v>
      </x:c>
      <x:c r="O171" s="8" t="n">
        <x:v>171.17946234485171</x:v>
      </x:c>
      <x:c r="P171" s="8" t="n">
        <x:v>0</x:v>
      </x:c>
      <x:c r="Q171" s="8" t="n">
        <x:v>0.06623166364128075</x:v>
      </x:c>
      <x:c r="R171" s="8" t="n">
        <x:v>0</x:v>
      </x:c>
      <x:c r="S171" s="8" t="n">
        <x:f>L171-I171^2/H171</x:f>
        <x:v>83.66268795135882</x:v>
      </x:c>
      <x:c r="T171" s="8" t="n">
        <x:f>M171-J171^2/H171</x:f>
        <x:v>0</x:v>
      </x:c>
      <x:c r="U171" s="8" t="n">
        <x:f>N171-I171*J171/H171</x:f>
        <x:v>0</x:v>
      </x:c>
      <x:c r="V171" s="8" t="n">
        <x:f>O171-I171*K171/H171</x:f>
        <x:v>67.5636191725171</x:v>
      </x:c>
      <x:c r="W171" s="8" t="n">
        <x:f>P171-J171*K171/H171</x:f>
        <x:v>0</x:v>
      </x:c>
      <x:c r="X171" s="8" t="n">
        <x:f>V171/S171</x:f>
        <x:v>0.8075717004430737</x:v>
      </x:c>
      <x:c r="Y171" s="8" t="n">
        <x:f>0</x:f>
        <x:v>0</x:v>
      </x:c>
      <x:c r="Z171" s="8" t="n">
        <x:f>K171/H171-X171*I171/H171-Y171*J171/H171</x:f>
        <x:v>3.2960684037020185</x:v>
      </x:c>
      <x:c r="AA171" s="8" t="n">
        <x:f>Z171+X171*Q171+Y171*R171</x:f>
        <x:v>3.349555220931981</x:v>
      </x:c>
    </x:row>
    <x:row r="172" ht="26" customHeight="1">
      <x:c r="A172" s="2"/>
      <x:c r="B172" s="2" t="n">
        <x:v>167</x:v>
      </x:c>
      <x:c r="C172" s="2" t="str">
        <x:v>Beauty / price_contribution</x:v>
      </x:c>
      <x:c r="D172" s="2" t="str">
        <x:v>Own + product</x:v>
      </x:c>
      <x:c r="E172" s="7" t="n">
        <x:v>45930</x:v>
      </x:c>
      <x:c r="F172" s="2" t="str">
        <x:v>Prior report</x:v>
      </x:c>
      <x:c r="G172" s="7" t="n">
        <x:v>45867</x:v>
      </x:c>
      <x:c r="H172" s="2" t="n">
        <x:v>17</x:v>
      </x:c>
      <x:c r="I172" s="8" t="n">
        <x:v>23.96726282574736</x:v>
      </x:c>
      <x:c r="J172" s="8" t="n">
        <x:v>76</x:v>
      </x:c>
      <x:c r="K172" s="8" t="n">
        <x:v>75</x:v>
      </x:c>
      <x:c r="L172" s="8" t="n">
        <x:v>115.94234967662491</x:v>
      </x:c>
      <x:c r="M172" s="8" t="n">
        <x:v>442</x:v>
      </x:c>
      <x:c r="N172" s="8" t="n">
        <x:v>192.48674642936197</x:v>
      </x:c>
      <x:c r="O172" s="8" t="n">
        <x:v>189.7020005351729</x:v>
      </x:c>
      <x:c r="P172" s="8" t="n">
        <x:v>419</x:v>
      </x:c>
      <x:c r="Q172" s="8" t="n">
        <x:v>0.06596289286695534</x:v>
      </x:c>
      <x:c r="R172" s="8" t="n">
        <x:v>1</x:v>
      </x:c>
      <x:c r="S172" s="8" t="n">
        <x:f>L172-I172^2/H172</x:f>
        <x:v>82.15236806730425</x:v>
      </x:c>
      <x:c r="T172" s="8" t="n">
        <x:f>M172-J172^2/H172</x:f>
        <x:v>102.23529411764707</x:v>
      </x:c>
      <x:c r="U172" s="8" t="n">
        <x:f>N172-I172*J172/H172</x:f>
        <x:v>85.33898320837379</x:v>
      </x:c>
      <x:c r="V172" s="8" t="n">
        <x:f>O172-I172*K172/H172</x:f>
        <x:v>83.96407630393458</x:v>
      </x:c>
      <x:c r="W172" s="8" t="n">
        <x:f>P172-J172*K172/H172</x:f>
        <x:v>83.70588235294116</x:v>
      </x:c>
      <x:c r="X172" s="8" t="n">
        <x:f>(V172*T172-W172*U172)/(S172*T172-U172^2)</x:f>
        <x:v>1.2908154506038927</x:v>
      </x:c>
      <x:c r="Y172" s="8" t="n">
        <x:f>(W172*S172-V172*U172)/(S172*T172-U172^2)</x:f>
        <x:v>-0.2587266554035197</x:v>
      </x:c>
      <x:c r="Z172" s="8" t="n">
        <x:f>K172/H172-X172*I172/H172-Y172*J172/H172</x:f>
        <x:v>3.748583096853441</x:v>
      </x:c>
      <x:c r="AA172" s="8" t="n">
        <x:f>Z172+X172*Q172+Y172*R172</x:f>
        <x:v>3.5750023627291165</x:v>
      </x:c>
    </x:row>
    <x:row r="173" ht="26" customHeight="1">
      <x:c r="A173" s="2"/>
      <x:c r="B173" s="2" t="n">
        <x:v>168</x:v>
      </x:c>
      <x:c r="C173" s="2" t="str">
        <x:v>Beauty / price_contribution</x:v>
      </x:c>
      <x:c r="D173" s="2" t="str">
        <x:v>Broad market</x:v>
      </x:c>
      <x:c r="E173" s="7" t="n">
        <x:v>45930</x:v>
      </x:c>
      <x:c r="F173" s="2" t="str">
        <x:v>Pre-earnings</x:v>
      </x:c>
      <x:c r="G173" s="7" t="n">
        <x:v>45953</x:v>
      </x:c>
      <x:c r="H173" s="2" t="n">
        <x:v>18</x:v>
      </x:c>
      <x:c r="I173" s="8" t="n">
        <x:v>46.45249081892011</x:v>
      </x:c>
      <x:c r="J173" s="8" t="n">
        <x:v>0</x:v>
      </x:c>
      <x:c r="K173" s="8" t="n">
        <x:v>77</x:v>
      </x:c>
      <x:c r="L173" s="8" t="n">
        <x:v>256.8391179897363</x:v>
      </x:c>
      <x:c r="M173" s="8" t="n">
        <x:v>0</x:v>
      </x:c>
      <x:c r="N173" s="8" t="n">
        <x:v>0</x:v>
      </x:c>
      <x:c r="O173" s="8" t="n">
        <x:v>313.3745344118044</x:v>
      </x:c>
      <x:c r="P173" s="8" t="n">
        <x:v>0</x:v>
      </x:c>
      <x:c r="Q173" s="8" t="n">
        <x:v>0.7549675714320525</x:v>
      </x:c>
      <x:c r="R173" s="8" t="n">
        <x:v>0</x:v>
      </x:c>
      <x:c r="S173" s="8" t="n">
        <x:f>L173-I173^2/H173</x:f>
        <x:v>136.95945669629975</x:v>
      </x:c>
      <x:c r="T173" s="8" t="n">
        <x:f>M173-J173^2/H173</x:f>
        <x:v>0</x:v>
      </x:c>
      <x:c r="U173" s="8" t="n">
        <x:f>N173-I173*J173/H173</x:f>
        <x:v>0</x:v>
      </x:c>
      <x:c r="V173" s="8" t="n">
        <x:f>O173-I173*K173/H173</x:f>
        <x:v>114.66110146420172</x:v>
      </x:c>
      <x:c r="W173" s="8" t="n">
        <x:f>P173-J173*K173/H173</x:f>
        <x:v>0</x:v>
      </x:c>
      <x:c r="X173" s="8" t="n">
        <x:f>V173/S173</x:f>
        <x:v>0.8371901015820803</x:v>
      </x:c>
      <x:c r="Y173" s="8" t="n">
        <x:f>0</x:f>
        <x:v>0</x:v>
      </x:c>
      <x:c r="Z173" s="8" t="n">
        <x:f>K173/H173-X173*I173/H173-Y173*J173/H173</x:f>
        <x:v>2.117246360698201</x:v>
      </x:c>
      <x:c r="AA173" s="8" t="n">
        <x:f>Z173+X173*Q173+Y173*R173</x:f>
        <x:v>2.749297738516577</x:v>
      </x:c>
    </x:row>
    <x:row r="174" ht="26" customHeight="1">
      <x:c r="A174" s="2"/>
      <x:c r="B174" s="2" t="n">
        <x:v>169</x:v>
      </x:c>
      <x:c r="C174" s="2" t="str">
        <x:v>Beauty / price_contribution</x:v>
      </x:c>
      <x:c r="D174" s="2" t="str">
        <x:v>Broad lag 1</x:v>
      </x:c>
      <x:c r="E174" s="7" t="n">
        <x:v>45930</x:v>
      </x:c>
      <x:c r="F174" s="2" t="str">
        <x:v>Pre-earnings</x:v>
      </x:c>
      <x:c r="G174" s="7" t="n">
        <x:v>45953</x:v>
      </x:c>
      <x:c r="H174" s="2" t="n">
        <x:v>17</x:v>
      </x:c>
      <x:c r="I174" s="8" t="n">
        <x:v>45.946708318435746</x:v>
      </x:c>
      <x:c r="J174" s="8" t="n">
        <x:v>0</x:v>
      </x:c>
      <x:c r="K174" s="8" t="n">
        <x:v>75</x:v>
      </x:c>
      <x:c r="L174" s="8" t="n">
        <x:v>256.58330205194005</x:v>
      </x:c>
      <x:c r="M174" s="8" t="n">
        <x:v>0</x:v>
      </x:c>
      <x:c r="N174" s="8" t="n">
        <x:v>0</x:v>
      </x:c>
      <x:c r="O174" s="8" t="n">
        <x:v>291.82611607722976</x:v>
      </x:c>
      <x:c r="P174" s="8" t="n">
        <x:v>0</x:v>
      </x:c>
      <x:c r="Q174" s="8" t="n">
        <x:v>0.5057825004843641</x:v>
      </x:c>
      <x:c r="R174" s="8" t="n">
        <x:v>0</x:v>
      </x:c>
      <x:c r="S174" s="8" t="n">
        <x:f>L174-I174^2/H174</x:f>
        <x:v>132.40094879903342</x:v>
      </x:c>
      <x:c r="T174" s="8" t="n">
        <x:f>M174-J174^2/H174</x:f>
        <x:v>0</x:v>
      </x:c>
      <x:c r="U174" s="8" t="n">
        <x:f>N174-I174*J174/H174</x:f>
        <x:v>0</x:v>
      </x:c>
      <x:c r="V174" s="8" t="n">
        <x:f>O174-I174*K174/H174</x:f>
        <x:v>89.1200499664838</x:v>
      </x:c>
      <x:c r="W174" s="8" t="n">
        <x:f>P174-J174*K174/H174</x:f>
        <x:v>0</x:v>
      </x:c>
      <x:c r="X174" s="8" t="n">
        <x:f>V174/S174</x:f>
        <x:v>0.6731073362756327</x:v>
      </x:c>
      <x:c r="Y174" s="8" t="n">
        <x:f>0</x:f>
        <x:v>0</x:v>
      </x:c>
      <x:c r="Z174" s="8" t="n">
        <x:f>K174/H174-X174*I174/H174-Y174*J174/H174</x:f>
        <x:v>2.592525503126133</x:v>
      </x:c>
      <x:c r="AA174" s="8" t="n">
        <x:f>Z174+X174*Q174+Y174*R174</x:f>
        <x:v>2.932971414761992</x:v>
      </x:c>
    </x:row>
    <x:row r="175" ht="26" customHeight="1">
      <x:c r="A175" s="2"/>
      <x:c r="B175" s="2" t="n">
        <x:v>170</x:v>
      </x:c>
      <x:c r="C175" s="2" t="str">
        <x:v>Beauty / price_contribution</x:v>
      </x:c>
      <x:c r="D175" s="2" t="str">
        <x:v>Broad rolling 8</x:v>
      </x:c>
      <x:c r="E175" s="7" t="n">
        <x:v>45930</x:v>
      </x:c>
      <x:c r="F175" s="2" t="str">
        <x:v>Pre-earnings</x:v>
      </x:c>
      <x:c r="G175" s="7" t="n">
        <x:v>45953</x:v>
      </x:c>
      <x:c r="H175" s="2" t="n">
        <x:v>8</x:v>
      </x:c>
      <x:c r="I175" s="8" t="n">
        <x:v>16.45347214762054</x:v>
      </x:c>
      <x:c r="J175" s="8" t="n">
        <x:v>0</x:v>
      </x:c>
      <x:c r="K175" s="8" t="n">
        <x:v>25</x:v>
      </x:c>
      <x:c r="L175" s="8" t="n">
        <x:v>64.45409534916791</x:v>
      </x:c>
      <x:c r="M175" s="8" t="n">
        <x:v>0</x:v>
      </x:c>
      <x:c r="N175" s="8" t="n">
        <x:v>0</x:v>
      </x:c>
      <x:c r="O175" s="8" t="n">
        <x:v>77.08457777253666</x:v>
      </x:c>
      <x:c r="P175" s="8" t="n">
        <x:v>0</x:v>
      </x:c>
      <x:c r="Q175" s="8" t="n">
        <x:v>0.7549675714320525</x:v>
      </x:c>
      <x:c r="R175" s="8" t="n">
        <x:v>0</x:v>
      </x:c>
      <x:c r="S175" s="8" t="n">
        <x:f>L175-I175^2/H175</x:f>
        <x:v>30.6145021351023</x:v>
      </x:c>
      <x:c r="T175" s="8" t="n">
        <x:f>M175-J175^2/H175</x:f>
        <x:v>0</x:v>
      </x:c>
      <x:c r="U175" s="8" t="n">
        <x:f>N175-I175*J175/H175</x:f>
        <x:v>0</x:v>
      </x:c>
      <x:c r="V175" s="8" t="n">
        <x:f>O175-I175*K175/H175</x:f>
        <x:v>25.66747731122247</x:v>
      </x:c>
      <x:c r="W175" s="8" t="n">
        <x:f>P175-J175*K175/H175</x:f>
        <x:v>0</x:v>
      </x:c>
      <x:c r="X175" s="8" t="n">
        <x:f>V175/S175</x:f>
        <x:v>0.8384091042196757</x:v>
      </x:c>
      <x:c r="Y175" s="8" t="n">
        <x:f>0</x:f>
        <x:v>0</x:v>
      </x:c>
      <x:c r="Z175" s="8" t="n">
        <x:f>K175/H175-X175*I175/H175-Y175*J175/H175</x:f>
        <x:v>1.4006573944262597</x:v>
      </x:c>
      <x:c r="AA175" s="8" t="n">
        <x:f>Z175+X175*Q175+Y175*R175</x:f>
        <x:v>2.033629079705511</x:v>
      </x:c>
    </x:row>
    <x:row r="176" ht="26" customHeight="1">
      <x:c r="A176" s="2"/>
      <x:c r="B176" s="2" t="n">
        <x:v>171</x:v>
      </x:c>
      <x:c r="C176" s="2" t="str">
        <x:v>Beauty / price_contribution</x:v>
      </x:c>
      <x:c r="D176" s="2" t="str">
        <x:v>Own history</x:v>
      </x:c>
      <x:c r="E176" s="7" t="n">
        <x:v>45930</x:v>
      </x:c>
      <x:c r="F176" s="2" t="str">
        <x:v>Pre-earnings</x:v>
      </x:c>
      <x:c r="G176" s="7" t="n">
        <x:v>45953</x:v>
      </x:c>
      <x:c r="H176" s="2" t="n">
        <x:v>17</x:v>
      </x:c>
      <x:c r="I176" s="8" t="n">
        <x:v>76</x:v>
      </x:c>
      <x:c r="J176" s="8" t="n">
        <x:v>0</x:v>
      </x:c>
      <x:c r="K176" s="8" t="n">
        <x:v>75</x:v>
      </x:c>
      <x:c r="L176" s="8" t="n">
        <x:v>442</x:v>
      </x:c>
      <x:c r="M176" s="8" t="n">
        <x:v>0</x:v>
      </x:c>
      <x:c r="N176" s="8" t="n">
        <x:v>0</x:v>
      </x:c>
      <x:c r="O176" s="8" t="n">
        <x:v>419</x:v>
      </x:c>
      <x:c r="P176" s="8" t="n">
        <x:v>0</x:v>
      </x:c>
      <x:c r="Q176" s="8" t="n">
        <x:v>1</x:v>
      </x:c>
      <x:c r="R176" s="8" t="n">
        <x:v>0</x:v>
      </x:c>
      <x:c r="S176" s="8" t="n">
        <x:f>L176-I176^2/H176</x:f>
        <x:v>102.23529411764707</x:v>
      </x:c>
      <x:c r="T176" s="8" t="n">
        <x:f>M176-J176^2/H176</x:f>
        <x:v>0</x:v>
      </x:c>
      <x:c r="U176" s="8" t="n">
        <x:f>N176-I176*J176/H176</x:f>
        <x:v>0</x:v>
      </x:c>
      <x:c r="V176" s="8" t="n">
        <x:f>O176-I176*K176/H176</x:f>
        <x:v>83.70588235294116</x:v>
      </x:c>
      <x:c r="W176" s="8" t="n">
        <x:f>P176-J176*K176/H176</x:f>
        <x:v>0</x:v>
      </x:c>
      <x:c r="X176" s="8" t="n">
        <x:f>V176/S176</x:f>
        <x:v>0.8187571921749134</x:v>
      </x:c>
      <x:c r="Y176" s="8" t="n">
        <x:f>0</x:f>
        <x:v>0</x:v>
      </x:c>
      <x:c r="Z176" s="8" t="n">
        <x:f>K176/H176-X176*I176/H176-Y176*J176/H176</x:f>
        <x:v>0.7514384349827403</x:v>
      </x:c>
      <x:c r="AA176" s="8" t="n">
        <x:f>Z176+X176*Q176+Y176*R176</x:f>
        <x:v>1.5701956271576538</x:v>
      </x:c>
    </x:row>
    <x:row r="177" ht="26" customHeight="1">
      <x:c r="A177" s="2"/>
      <x:c r="B177" s="2" t="n">
        <x:v>172</x:v>
      </x:c>
      <x:c r="C177" s="2" t="str">
        <x:v>Beauty / price_contribution</x:v>
      </x:c>
      <x:c r="D177" s="2" t="str">
        <x:v>Product price</x:v>
      </x:c>
      <x:c r="E177" s="7" t="n">
        <x:v>45930</x:v>
      </x:c>
      <x:c r="F177" s="2" t="str">
        <x:v>Pre-earnings</x:v>
      </x:c>
      <x:c r="G177" s="7" t="n">
        <x:v>45953</x:v>
      </x:c>
      <x:c r="H177" s="2" t="n">
        <x:v>18</x:v>
      </x:c>
      <x:c r="I177" s="8" t="n">
        <x:v>23.552489449370462</x:v>
      </x:c>
      <x:c r="J177" s="8" t="n">
        <x:v>0</x:v>
      </x:c>
      <x:c r="K177" s="8" t="n">
        <x:v>77</x:v>
      </x:c>
      <x:c r="L177" s="8" t="n">
        <x:v>116.114386630376</x:v>
      </x:c>
      <x:c r="M177" s="8" t="n">
        <x:v>0</x:v>
      </x:c>
      <x:c r="N177" s="8" t="n">
        <x:v>0</x:v>
      </x:c>
      <x:c r="O177" s="8" t="n">
        <x:v>188.87245378241911</x:v>
      </x:c>
      <x:c r="P177" s="8" t="n">
        <x:v>0</x:v>
      </x:c>
      <x:c r="Q177" s="8" t="n">
        <x:v>0.33913536558449753</x:v>
      </x:c>
      <x:c r="R177" s="8" t="n">
        <x:v>0</x:v>
      </x:c>
      <x:c r="S177" s="8" t="n">
        <x:f>L177-I177^2/H177</x:f>
        <x:v>85.29662222689228</x:v>
      </x:c>
      <x:c r="T177" s="8" t="n">
        <x:f>M177-J177^2/H177</x:f>
        <x:v>0</x:v>
      </x:c>
      <x:c r="U177" s="8" t="n">
        <x:f>N177-I177*J177/H177</x:f>
        <x:v>0</x:v>
      </x:c>
      <x:c r="V177" s="8" t="n">
        <x:f>O177-I177*K177/H177</x:f>
        <x:v>88.12013780455658</x:v>
      </x:c>
      <x:c r="W177" s="8" t="n">
        <x:f>P177-J177*K177/H177</x:f>
        <x:v>0</x:v>
      </x:c>
      <x:c r="X177" s="8" t="n">
        <x:f>V177/S177</x:f>
        <x:v>1.0331023140653053</x:v>
      </x:c>
      <x:c r="Y177" s="8" t="n">
        <x:f>0</x:f>
        <x:v>0</x:v>
      </x:c>
      <x:c r="Z177" s="8" t="n">
        <x:f>K177/H177-X177*I177/H177-Y177*J177/H177</x:f>
        <x:v>2.9259927026587045</x:v>
      </x:c>
      <x:c r="AA177" s="8" t="n">
        <x:f>Z177+X177*Q177+Y177*R177</x:f>
        <x:v>3.2763542336254323</x:v>
      </x:c>
    </x:row>
    <x:row r="178" ht="26" customHeight="1">
      <x:c r="A178" s="2"/>
      <x:c r="B178" s="2" t="n">
        <x:v>173</x:v>
      </x:c>
      <x:c r="C178" s="2" t="str">
        <x:v>Beauty / price_contribution</x:v>
      </x:c>
      <x:c r="D178" s="2" t="str">
        <x:v>Product lag 1</x:v>
      </x:c>
      <x:c r="E178" s="7" t="n">
        <x:v>45930</x:v>
      </x:c>
      <x:c r="F178" s="2" t="str">
        <x:v>Pre-earnings</x:v>
      </x:c>
      <x:c r="G178" s="7" t="n">
        <x:v>45953</x:v>
      </x:c>
      <x:c r="H178" s="2" t="n">
        <x:v>17</x:v>
      </x:c>
      <x:c r="I178" s="8" t="n">
        <x:v>23.48625778572918</x:v>
      </x:c>
      <x:c r="J178" s="8" t="n">
        <x:v>0</x:v>
      </x:c>
      <x:c r="K178" s="8" t="n">
        <x:v>75</x:v>
      </x:c>
      <x:c r="L178" s="8" t="n">
        <x:v>116.10999999710732</x:v>
      </x:c>
      <x:c r="M178" s="8" t="n">
        <x:v>0</x:v>
      </x:c>
      <x:c r="N178" s="8" t="n">
        <x:v>0</x:v>
      </x:c>
      <x:c r="O178" s="8" t="n">
        <x:v>171.17946234485171</x:v>
      </x:c>
      <x:c r="P178" s="8" t="n">
        <x:v>0</x:v>
      </x:c>
      <x:c r="Q178" s="8" t="n">
        <x:v>0.06623166364128075</x:v>
      </x:c>
      <x:c r="R178" s="8" t="n">
        <x:v>0</x:v>
      </x:c>
      <x:c r="S178" s="8" t="n">
        <x:f>L178-I178^2/H178</x:f>
        <x:v>83.66268795135882</x:v>
      </x:c>
      <x:c r="T178" s="8" t="n">
        <x:f>M178-J178^2/H178</x:f>
        <x:v>0</x:v>
      </x:c>
      <x:c r="U178" s="8" t="n">
        <x:f>N178-I178*J178/H178</x:f>
        <x:v>0</x:v>
      </x:c>
      <x:c r="V178" s="8" t="n">
        <x:f>O178-I178*K178/H178</x:f>
        <x:v>67.5636191725171</x:v>
      </x:c>
      <x:c r="W178" s="8" t="n">
        <x:f>P178-J178*K178/H178</x:f>
        <x:v>0</x:v>
      </x:c>
      <x:c r="X178" s="8" t="n">
        <x:f>V178/S178</x:f>
        <x:v>0.8075717004430737</x:v>
      </x:c>
      <x:c r="Y178" s="8" t="n">
        <x:f>0</x:f>
        <x:v>0</x:v>
      </x:c>
      <x:c r="Z178" s="8" t="n">
        <x:f>K178/H178-X178*I178/H178-Y178*J178/H178</x:f>
        <x:v>3.2960684037020185</x:v>
      </x:c>
      <x:c r="AA178" s="8" t="n">
        <x:f>Z178+X178*Q178+Y178*R178</x:f>
        <x:v>3.349555220931981</x:v>
      </x:c>
    </x:row>
    <x:row r="179" ht="26" customHeight="1">
      <x:c r="A179" s="2"/>
      <x:c r="B179" s="2" t="n">
        <x:v>174</x:v>
      </x:c>
      <x:c r="C179" s="2" t="str">
        <x:v>Beauty / price_contribution</x:v>
      </x:c>
      <x:c r="D179" s="2" t="str">
        <x:v>Own + product</x:v>
      </x:c>
      <x:c r="E179" s="7" t="n">
        <x:v>45930</x:v>
      </x:c>
      <x:c r="F179" s="2" t="str">
        <x:v>Pre-earnings</x:v>
      </x:c>
      <x:c r="G179" s="7" t="n">
        <x:v>45953</x:v>
      </x:c>
      <x:c r="H179" s="2" t="n">
        <x:v>17</x:v>
      </x:c>
      <x:c r="I179" s="8" t="n">
        <x:v>23.96726282574736</x:v>
      </x:c>
      <x:c r="J179" s="8" t="n">
        <x:v>76</x:v>
      </x:c>
      <x:c r="K179" s="8" t="n">
        <x:v>75</x:v>
      </x:c>
      <x:c r="L179" s="8" t="n">
        <x:v>115.94234967662491</x:v>
      </x:c>
      <x:c r="M179" s="8" t="n">
        <x:v>442</x:v>
      </x:c>
      <x:c r="N179" s="8" t="n">
        <x:v>192.48674642936197</x:v>
      </x:c>
      <x:c r="O179" s="8" t="n">
        <x:v>189.7020005351729</x:v>
      </x:c>
      <x:c r="P179" s="8" t="n">
        <x:v>419</x:v>
      </x:c>
      <x:c r="Q179" s="8" t="n">
        <x:v>0.33913536558449753</x:v>
      </x:c>
      <x:c r="R179" s="8" t="n">
        <x:v>1</x:v>
      </x:c>
      <x:c r="S179" s="8" t="n">
        <x:f>L179-I179^2/H179</x:f>
        <x:v>82.15236806730425</x:v>
      </x:c>
      <x:c r="T179" s="8" t="n">
        <x:f>M179-J179^2/H179</x:f>
        <x:v>102.23529411764707</x:v>
      </x:c>
      <x:c r="U179" s="8" t="n">
        <x:f>N179-I179*J179/H179</x:f>
        <x:v>85.33898320837379</x:v>
      </x:c>
      <x:c r="V179" s="8" t="n">
        <x:f>O179-I179*K179/H179</x:f>
        <x:v>83.96407630393458</x:v>
      </x:c>
      <x:c r="W179" s="8" t="n">
        <x:f>P179-J179*K179/H179</x:f>
        <x:v>83.70588235294116</x:v>
      </x:c>
      <x:c r="X179" s="8" t="n">
        <x:f>(V179*T179-W179*U179)/(S179*T179-U179^2)</x:f>
        <x:v>1.2908154506038927</x:v>
      </x:c>
      <x:c r="Y179" s="8" t="n">
        <x:f>(W179*S179-V179*U179)/(S179*T179-U179^2)</x:f>
        <x:v>-0.2587266554035197</x:v>
      </x:c>
      <x:c r="Z179" s="8" t="n">
        <x:f>K179/H179-X179*I179/H179-Y179*J179/H179</x:f>
        <x:v>3.748583096853441</x:v>
      </x:c>
      <x:c r="AA179" s="8" t="n">
        <x:f>Z179+X179*Q179+Y179*R179</x:f>
        <x:v>3.92761761119259</x:v>
      </x:c>
    </x:row>
    <x:row r="180" ht="26" customHeight="1">
      <x:c r="A180" s="2"/>
      <x:c r="B180" s="2" t="n">
        <x:v>175</x:v>
      </x:c>
      <x:c r="C180" s="2" t="str">
        <x:v>Beauty / price_contribution</x:v>
      </x:c>
      <x:c r="D180" s="2" t="str">
        <x:v>Broad market</x:v>
      </x:c>
      <x:c r="E180" s="7" t="n">
        <x:v>46022</x:v>
      </x:c>
      <x:c r="F180" s="2" t="str">
        <x:v>Origin</x:v>
      </x:c>
      <x:c r="G180" s="7" t="n">
        <x:v>45931</x:v>
      </x:c>
      <x:c r="H180" s="2" t="n">
        <x:v>18</x:v>
      </x:c>
      <x:c r="I180" s="8" t="n">
        <x:v>46.45249081892011</x:v>
      </x:c>
      <x:c r="J180" s="8" t="n">
        <x:v>0</x:v>
      </x:c>
      <x:c r="K180" s="8" t="n">
        <x:v>77</x:v>
      </x:c>
      <x:c r="L180" s="8" t="n">
        <x:v>256.8391179897363</x:v>
      </x:c>
      <x:c r="M180" s="8" t="n">
        <x:v>0</x:v>
      </x:c>
      <x:c r="N180" s="8" t="n">
        <x:v>0</x:v>
      </x:c>
      <x:c r="O180" s="8" t="n">
        <x:v>313.3745344118044</x:v>
      </x:c>
      <x:c r="P180" s="8" t="n">
        <x:v>0</x:v>
      </x:c>
      <x:c r="Q180" s="8" t="n">
        <x:v>0.7271943192673103</x:v>
      </x:c>
      <x:c r="R180" s="8" t="n">
        <x:v>0</x:v>
      </x:c>
      <x:c r="S180" s="8" t="n">
        <x:f>L180-I180^2/H180</x:f>
        <x:v>136.95945669629975</x:v>
      </x:c>
      <x:c r="T180" s="8" t="n">
        <x:f>M180-J180^2/H180</x:f>
        <x:v>0</x:v>
      </x:c>
      <x:c r="U180" s="8" t="n">
        <x:f>N180-I180*J180/H180</x:f>
        <x:v>0</x:v>
      </x:c>
      <x:c r="V180" s="8" t="n">
        <x:f>O180-I180*K180/H180</x:f>
        <x:v>114.66110146420172</x:v>
      </x:c>
      <x:c r="W180" s="8" t="n">
        <x:f>P180-J180*K180/H180</x:f>
        <x:v>0</x:v>
      </x:c>
      <x:c r="X180" s="8" t="n">
        <x:f>V180/S180</x:f>
        <x:v>0.8371901015820803</x:v>
      </x:c>
      <x:c r="Y180" s="8" t="n">
        <x:f>0</x:f>
        <x:v>0</x:v>
      </x:c>
      <x:c r="Z180" s="8" t="n">
        <x:f>K180/H180-X180*I180/H180-Y180*J180/H180</x:f>
        <x:v>2.117246360698201</x:v>
      </x:c>
      <x:c r="AA180" s="8" t="n">
        <x:f>Z180+X180*Q180+Y180*R180</x:f>
        <x:v>2.726046246715512</x:v>
      </x:c>
    </x:row>
    <x:row r="181" ht="26" customHeight="1">
      <x:c r="A181" s="2"/>
      <x:c r="B181" s="2" t="n">
        <x:v>176</x:v>
      </x:c>
      <x:c r="C181" s="2" t="str">
        <x:v>Beauty / price_contribution</x:v>
      </x:c>
      <x:c r="D181" s="2" t="str">
        <x:v>Broad rolling 8</x:v>
      </x:c>
      <x:c r="E181" s="7" t="n">
        <x:v>46022</x:v>
      </x:c>
      <x:c r="F181" s="2" t="str">
        <x:v>Origin</x:v>
      </x:c>
      <x:c r="G181" s="7" t="n">
        <x:v>45931</x:v>
      </x:c>
      <x:c r="H181" s="2" t="n">
        <x:v>8</x:v>
      </x:c>
      <x:c r="I181" s="8" t="n">
        <x:v>16.45347214762054</x:v>
      </x:c>
      <x:c r="J181" s="8" t="n">
        <x:v>0</x:v>
      </x:c>
      <x:c r="K181" s="8" t="n">
        <x:v>25</x:v>
      </x:c>
      <x:c r="L181" s="8" t="n">
        <x:v>64.45409534916791</x:v>
      </x:c>
      <x:c r="M181" s="8" t="n">
        <x:v>0</x:v>
      </x:c>
      <x:c r="N181" s="8" t="n">
        <x:v>0</x:v>
      </x:c>
      <x:c r="O181" s="8" t="n">
        <x:v>77.08457777253666</x:v>
      </x:c>
      <x:c r="P181" s="8" t="n">
        <x:v>0</x:v>
      </x:c>
      <x:c r="Q181" s="8" t="n">
        <x:v>0.7271943192673103</x:v>
      </x:c>
      <x:c r="R181" s="8" t="n">
        <x:v>0</x:v>
      </x:c>
      <x:c r="S181" s="8" t="n">
        <x:f>L181-I181^2/H181</x:f>
        <x:v>30.6145021351023</x:v>
      </x:c>
      <x:c r="T181" s="8" t="n">
        <x:f>M181-J181^2/H181</x:f>
        <x:v>0</x:v>
      </x:c>
      <x:c r="U181" s="8" t="n">
        <x:f>N181-I181*J181/H181</x:f>
        <x:v>0</x:v>
      </x:c>
      <x:c r="V181" s="8" t="n">
        <x:f>O181-I181*K181/H181</x:f>
        <x:v>25.66747731122247</x:v>
      </x:c>
      <x:c r="W181" s="8" t="n">
        <x:f>P181-J181*K181/H181</x:f>
        <x:v>0</x:v>
      </x:c>
      <x:c r="X181" s="8" t="n">
        <x:f>V181/S181</x:f>
        <x:v>0.8384091042196757</x:v>
      </x:c>
      <x:c r="Y181" s="8" t="n">
        <x:f>0</x:f>
        <x:v>0</x:v>
      </x:c>
      <x:c r="Z181" s="8" t="n">
        <x:f>K181/H181-X181*I181/H181-Y181*J181/H181</x:f>
        <x:v>1.4006573944262597</x:v>
      </x:c>
      <x:c r="AA181" s="8" t="n">
        <x:f>Z181+X181*Q181+Y181*R181</x:f>
        <x:v>2.010343732236802</x:v>
      </x:c>
    </x:row>
    <x:row r="182" ht="26" customHeight="1">
      <x:c r="A182" s="2"/>
      <x:c r="B182" s="2" t="n">
        <x:v>177</x:v>
      </x:c>
      <x:c r="C182" s="2" t="str">
        <x:v>Beauty / price_contribution</x:v>
      </x:c>
      <x:c r="D182" s="2" t="str">
        <x:v>Own history</x:v>
      </x:c>
      <x:c r="E182" s="7" t="n">
        <x:v>46022</x:v>
      </x:c>
      <x:c r="F182" s="2" t="str">
        <x:v>Origin</x:v>
      </x:c>
      <x:c r="G182" s="7" t="n">
        <x:v>45931</x:v>
      </x:c>
      <x:c r="H182" s="2" t="n">
        <x:v>16</x:v>
      </x:c>
      <x:c r="I182" s="8" t="n">
        <x:v>73</x:v>
      </x:c>
      <x:c r="J182" s="8" t="n">
        <x:v>0</x:v>
      </x:c>
      <x:c r="K182" s="8" t="n">
        <x:v>71</x:v>
      </x:c>
      <x:c r="L182" s="8" t="n">
        <x:v>433</x:v>
      </x:c>
      <x:c r="M182" s="8" t="n">
        <x:v>0</x:v>
      </x:c>
      <x:c r="N182" s="8" t="n">
        <x:v>0</x:v>
      </x:c>
      <x:c r="O182" s="8" t="n">
        <x:v>385</x:v>
      </x:c>
      <x:c r="P182" s="8" t="n">
        <x:v>0</x:v>
      </x:c>
      <x:c r="Q182" s="8" t="n">
        <x:v>1</x:v>
      </x:c>
      <x:c r="R182" s="8" t="n">
        <x:v>0</x:v>
      </x:c>
      <x:c r="S182" s="8" t="n">
        <x:f>L182-I182^2/H182</x:f>
        <x:v>99.9375</x:v>
      </x:c>
      <x:c r="T182" s="8" t="n">
        <x:f>M182-J182^2/H182</x:f>
        <x:v>0</x:v>
      </x:c>
      <x:c r="U182" s="8" t="n">
        <x:f>N182-I182*J182/H182</x:f>
        <x:v>0</x:v>
      </x:c>
      <x:c r="V182" s="8" t="n">
        <x:f>O182-I182*K182/H182</x:f>
        <x:v>61.0625</x:v>
      </x:c>
      <x:c r="W182" s="8" t="n">
        <x:f>P182-J182*K182/H182</x:f>
        <x:v>0</x:v>
      </x:c>
      <x:c r="X182" s="8" t="n">
        <x:f>V182/S182</x:f>
        <x:v>0.6110068792995622</x:v>
      </x:c>
      <x:c r="Y182" s="8" t="n">
        <x:f>0</x:f>
        <x:v>0</x:v>
      </x:c>
      <x:c r="Z182" s="8" t="n">
        <x:f>K182/H182-X182*I182/H182-Y182*J182/H182</x:f>
        <x:v>1.6497811131957474</x:v>
      </x:c>
      <x:c r="AA182" s="8" t="n">
        <x:f>Z182+X182*Q182+Y182*R182</x:f>
        <x:v>2.2607879924953096</x:v>
      </x:c>
    </x:row>
    <x:row r="183" ht="26" customHeight="1">
      <x:c r="A183" s="2"/>
      <x:c r="B183" s="2" t="n">
        <x:v>178</x:v>
      </x:c>
      <x:c r="C183" s="2" t="str">
        <x:v>Beauty / price_contribution</x:v>
      </x:c>
      <x:c r="D183" s="2" t="str">
        <x:v>Product price</x:v>
      </x:c>
      <x:c r="E183" s="7" t="n">
        <x:v>46022</x:v>
      </x:c>
      <x:c r="F183" s="2" t="str">
        <x:v>Origin</x:v>
      </x:c>
      <x:c r="G183" s="7" t="n">
        <x:v>45931</x:v>
      </x:c>
      <x:c r="H183" s="2" t="n">
        <x:v>18</x:v>
      </x:c>
      <x:c r="I183" s="8" t="n">
        <x:v>23.552489449370462</x:v>
      </x:c>
      <x:c r="J183" s="8" t="n">
        <x:v>0</x:v>
      </x:c>
      <x:c r="K183" s="8" t="n">
        <x:v>77</x:v>
      </x:c>
      <x:c r="L183" s="8" t="n">
        <x:v>116.114386630376</x:v>
      </x:c>
      <x:c r="M183" s="8" t="n">
        <x:v>0</x:v>
      </x:c>
      <x:c r="N183" s="8" t="n">
        <x:v>0</x:v>
      </x:c>
      <x:c r="O183" s="8" t="n">
        <x:v>188.87245378241911</x:v>
      </x:c>
      <x:c r="P183" s="8" t="n">
        <x:v>0</x:v>
      </x:c>
      <x:c r="Q183" s="8" t="n">
        <x:v>0.33987167495570514</x:v>
      </x:c>
      <x:c r="R183" s="8" t="n">
        <x:v>0</x:v>
      </x:c>
      <x:c r="S183" s="8" t="n">
        <x:f>L183-I183^2/H183</x:f>
        <x:v>85.29662222689228</x:v>
      </x:c>
      <x:c r="T183" s="8" t="n">
        <x:f>M183-J183^2/H183</x:f>
        <x:v>0</x:v>
      </x:c>
      <x:c r="U183" s="8" t="n">
        <x:f>N183-I183*J183/H183</x:f>
        <x:v>0</x:v>
      </x:c>
      <x:c r="V183" s="8" t="n">
        <x:f>O183-I183*K183/H183</x:f>
        <x:v>88.12013780455658</x:v>
      </x:c>
      <x:c r="W183" s="8" t="n">
        <x:f>P183-J183*K183/H183</x:f>
        <x:v>0</x:v>
      </x:c>
      <x:c r="X183" s="8" t="n">
        <x:f>V183/S183</x:f>
        <x:v>1.0331023140653053</x:v>
      </x:c>
      <x:c r="Y183" s="8" t="n">
        <x:f>0</x:f>
        <x:v>0</x:v>
      </x:c>
      <x:c r="Z183" s="8" t="n">
        <x:f>K183/H183-X183*I183/H183-Y183*J183/H183</x:f>
        <x:v>2.9259927026587045</x:v>
      </x:c>
      <x:c r="AA183" s="8" t="n">
        <x:f>Z183+X183*Q183+Y183*R183</x:f>
        <x:v>3.2771149165406945</x:v>
      </x:c>
    </x:row>
    <x:row r="184" ht="26" customHeight="1">
      <x:c r="A184" s="2"/>
      <x:c r="B184" s="2" t="n">
        <x:v>179</x:v>
      </x:c>
      <x:c r="C184" s="2" t="str">
        <x:v>Beauty / price_contribution</x:v>
      </x:c>
      <x:c r="D184" s="2" t="str">
        <x:v>Own + product</x:v>
      </x:c>
      <x:c r="E184" s="7" t="n">
        <x:v>46022</x:v>
      </x:c>
      <x:c r="F184" s="2" t="str">
        <x:v>Origin</x:v>
      </x:c>
      <x:c r="G184" s="7" t="n">
        <x:v>45931</x:v>
      </x:c>
      <x:c r="H184" s="2" t="n">
        <x:v>16</x:v>
      </x:c>
      <x:c r="I184" s="8" t="n">
        <x:v>24.402570630671573</x:v>
      </x:c>
      <x:c r="J184" s="8" t="n">
        <x:v>73</x:v>
      </x:c>
      <x:c r="K184" s="8" t="n">
        <x:v>71</x:v>
      </x:c>
      <x:c r="L184" s="8" t="n">
        <x:v>115.75285679159698</x:v>
      </x:c>
      <x:c r="M184" s="8" t="n">
        <x:v>433</x:v>
      </x:c>
      <x:c r="N184" s="8" t="n">
        <x:v>179.77535056489765</x:v>
      </x:c>
      <x:c r="O184" s="8" t="n">
        <x:v>191.44323175486977</x:v>
      </x:c>
      <x:c r="P184" s="8" t="n">
        <x:v>385</x:v>
      </x:c>
      <x:c r="Q184" s="8" t="n">
        <x:v>0.33987167495570514</x:v>
      </x:c>
      <x:c r="R184" s="8" t="n">
        <x:v>1</x:v>
      </x:c>
      <x:c r="S184" s="8" t="n">
        <x:f>L184-I184^2/H184</x:f>
        <x:v>78.53501595503981</x:v>
      </x:c>
      <x:c r="T184" s="8" t="n">
        <x:f>M184-J184^2/H184</x:f>
        <x:v>99.9375</x:v>
      </x:c>
      <x:c r="U184" s="8" t="n">
        <x:f>N184-I184*J184/H184</x:f>
        <x:v>68.4386220624586</x:v>
      </x:c>
      <x:c r="V184" s="8" t="n">
        <x:f>O184-I184*K184/H184</x:f>
        <x:v>83.15682458126467</x:v>
      </x:c>
      <x:c r="W184" s="8" t="n">
        <x:f>P184-J184*K184/H184</x:f>
        <x:v>61.0625</x:v>
      </x:c>
      <x:c r="X184" s="8" t="n">
        <x:f>(V184*T184-W184*U184)/(S184*T184-U184^2)</x:f>
        <x:v>1.305459890844391</x:v>
      </x:c>
      <x:c r="Y184" s="8" t="n">
        <x:f>(W184*S184-V184*U184)/(S184*T184-U184^2)</x:f>
        <x:v>-0.28299063001573704</x:v>
      </x:c>
      <x:c r="Z184" s="8" t="n">
        <x:f>K184/H184-X184*I184/H184-Y184*J184/H184</x:f>
        <x:v>3.7376086749568596</x:v>
      </x:c>
      <x:c r="AA184" s="8" t="n">
        <x:f>Z184+X184*Q184+Y184*R184</x:f>
        <x:v>3.898306884629897</x:v>
      </x:c>
    </x:row>
    <x:row r="185" ht="26" customHeight="1">
      <x:c r="A185" s="2"/>
      <x:c r="B185" s="2" t="n">
        <x:v>180</x:v>
      </x:c>
      <x:c r="C185" s="2" t="str">
        <x:v>Beauty / price_contribution</x:v>
      </x:c>
      <x:c r="D185" s="2" t="str">
        <x:v>Broad market</x:v>
      </x:c>
      <x:c r="E185" s="7" t="n">
        <x:v>46022</x:v>
      </x:c>
      <x:c r="F185" s="2" t="str">
        <x:v>Prior report</x:v>
      </x:c>
      <x:c r="G185" s="7" t="n">
        <x:v>45954</x:v>
      </x:c>
      <x:c r="H185" s="2" t="n">
        <x:v>19</x:v>
      </x:c>
      <x:c r="I185" s="8" t="n">
        <x:v>47.46071724596763</x:v>
      </x:c>
      <x:c r="J185" s="8" t="n">
        <x:v>0</x:v>
      </x:c>
      <x:c r="K185" s="8" t="n">
        <x:v>79</x:v>
      </x:c>
      <x:c r="L185" s="8" t="n">
        <x:v>257.85563851793324</x:v>
      </x:c>
      <x:c r="M185" s="8" t="n">
        <x:v>0</x:v>
      </x:c>
      <x:c r="N185" s="8" t="n">
        <x:v>0</x:v>
      </x:c>
      <x:c r="O185" s="8" t="n">
        <x:v>315.3909872658994</x:v>
      </x:c>
      <x:c r="P185" s="8" t="n">
        <x:v>0</x:v>
      </x:c>
      <x:c r="Q185" s="8" t="n">
        <x:v>1.0083244241182232</x:v>
      </x:c>
      <x:c r="R185" s="8" t="n">
        <x:v>0</x:v>
      </x:c>
      <x:c r="S185" s="8" t="n">
        <x:f>L185-I185^2/H185</x:f>
        <x:v>139.30197107047593</x:v>
      </x:c>
      <x:c r="T185" s="8" t="n">
        <x:f>M185-J185^2/H185</x:f>
        <x:v>0</x:v>
      </x:c>
      <x:c r="U185" s="8" t="n">
        <x:f>N185-I185*J185/H185</x:f>
        <x:v>0</x:v>
      </x:c>
      <x:c r="V185" s="8" t="n">
        <x:f>O185-I185*K185/H185</x:f>
        <x:v>118.05432082213929</x:v>
      </x:c>
      <x:c r="W185" s="8" t="n">
        <x:f>P185-J185*K185/H185</x:f>
        <x:v>0</x:v>
      </x:c>
      <x:c r="X185" s="8" t="n">
        <x:f>V185/S185</x:f>
        <x:v>0.8474705699778865</x:v>
      </x:c>
      <x:c r="Y185" s="8" t="n">
        <x:f>0</x:f>
        <x:v>0</x:v>
      </x:c>
      <x:c r="Z185" s="8" t="n">
        <x:f>K185/H185-X185*I185/H185-Y185*J185/H185</x:f>
        <x:v>2.0409704686316053</x:v>
      </x:c>
      <x:c r="AA185" s="8" t="n">
        <x:f>Z185+X185*Q185+Y185*R185</x:f>
        <x:v>2.8954957430617</x:v>
      </x:c>
    </x:row>
    <x:row r="186" ht="26" customHeight="1">
      <x:c r="A186" s="2"/>
      <x:c r="B186" s="2" t="n">
        <x:v>181</x:v>
      </x:c>
      <x:c r="C186" s="2" t="str">
        <x:v>Beauty / price_contribution</x:v>
      </x:c>
      <x:c r="D186" s="2" t="str">
        <x:v>Broad lag 1</x:v>
      </x:c>
      <x:c r="E186" s="7" t="n">
        <x:v>46022</x:v>
      </x:c>
      <x:c r="F186" s="2" t="str">
        <x:v>Prior report</x:v>
      </x:c>
      <x:c r="G186" s="7" t="n">
        <x:v>45954</x:v>
      </x:c>
      <x:c r="H186" s="2" t="n">
        <x:v>18</x:v>
      </x:c>
      <x:c r="I186" s="8" t="n">
        <x:v>46.45249081892011</x:v>
      </x:c>
      <x:c r="J186" s="8" t="n">
        <x:v>0</x:v>
      </x:c>
      <x:c r="K186" s="8" t="n">
        <x:v>77</x:v>
      </x:c>
      <x:c r="L186" s="8" t="n">
        <x:v>256.8391179897363</x:v>
      </x:c>
      <x:c r="M186" s="8" t="n">
        <x:v>0</x:v>
      </x:c>
      <x:c r="N186" s="8" t="n">
        <x:v>0</x:v>
      </x:c>
      <x:c r="O186" s="8" t="n">
        <x:v>292.83768107819844</x:v>
      </x:c>
      <x:c r="P186" s="8" t="n">
        <x:v>0</x:v>
      </x:c>
      <x:c r="Q186" s="8" t="n">
        <x:v>1.0082264270475205</x:v>
      </x:c>
      <x:c r="R186" s="8" t="n">
        <x:v>0</x:v>
      </x:c>
      <x:c r="S186" s="8" t="n">
        <x:f>L186-I186^2/H186</x:f>
        <x:v>136.95945669629975</x:v>
      </x:c>
      <x:c r="T186" s="8" t="n">
        <x:f>M186-J186^2/H186</x:f>
        <x:v>0</x:v>
      </x:c>
      <x:c r="U186" s="8" t="n">
        <x:f>N186-I186*J186/H186</x:f>
        <x:v>0</x:v>
      </x:c>
      <x:c r="V186" s="8" t="n">
        <x:f>O186-I186*K186/H186</x:f>
        <x:v>94.12424813059576</x:v>
      </x:c>
      <x:c r="W186" s="8" t="n">
        <x:f>P186-J186*K186/H186</x:f>
        <x:v>0</x:v>
      </x:c>
      <x:c r="X186" s="8" t="n">
        <x:f>V186/S186</x:f>
        <x:v>0.687241687438285</x:v>
      </x:c>
      <x:c r="Y186" s="8" t="n">
        <x:f>0</x:f>
        <x:v>0</x:v>
      </x:c>
      <x:c r="Z186" s="8" t="n">
        <x:f>K186/H186-X186*I186/H186-Y186*J186/H186</x:f>
        <x:v>2.5042173235496614</x:v>
      </x:c>
      <x:c r="AA186" s="8" t="n">
        <x:f>Z186+X186*Q186+Y186*R186</x:f>
        <x:v>3.1971125545936725</x:v>
      </x:c>
    </x:row>
    <x:row r="187" ht="26" customHeight="1">
      <x:c r="A187" s="2"/>
      <x:c r="B187" s="2" t="n">
        <x:v>182</x:v>
      </x:c>
      <x:c r="C187" s="2" t="str">
        <x:v>Beauty / price_contribution</x:v>
      </x:c>
      <x:c r="D187" s="2" t="str">
        <x:v>Broad rolling 8</x:v>
      </x:c>
      <x:c r="E187" s="7" t="n">
        <x:v>46022</x:v>
      </x:c>
      <x:c r="F187" s="2" t="str">
        <x:v>Prior report</x:v>
      </x:c>
      <x:c r="G187" s="7" t="n">
        <x:v>45954</x:v>
      </x:c>
      <x:c r="H187" s="2" t="n">
        <x:v>8</x:v>
      </x:c>
      <x:c r="I187" s="8" t="n">
        <x:v>11.968105858946277</x:v>
      </x:c>
      <x:c r="J187" s="8" t="n">
        <x:v>0</x:v>
      </x:c>
      <x:c r="K187" s="8" t="n">
        <x:v>20</x:v>
      </x:c>
      <x:c r="L187" s="8" t="n">
        <x:v>35.29105495113347</x:v>
      </x:c>
      <x:c r="M187" s="8" t="n">
        <x:v>0</x:v>
      </x:c>
      <x:c r="N187" s="8" t="n">
        <x:v>0</x:v>
      </x:c>
      <x:c r="O187" s="8" t="n">
        <x:v>40.6458816165792</x:v>
      </x:c>
      <x:c r="P187" s="8" t="n">
        <x:v>0</x:v>
      </x:c>
      <x:c r="Q187" s="8" t="n">
        <x:v>1.0083244241182232</x:v>
      </x:c>
      <x:c r="R187" s="8" t="n">
        <x:v>0</x:v>
      </x:c>
      <x:c r="S187" s="8" t="n">
        <x:f>L187-I187^2/H187</x:f>
        <x:v>17.38661021976544</x:v>
      </x:c>
      <x:c r="T187" s="8" t="n">
        <x:f>M187-J187^2/H187</x:f>
        <x:v>0</x:v>
      </x:c>
      <x:c r="U187" s="8" t="n">
        <x:f>N187-I187*J187/H187</x:f>
        <x:v>0</x:v>
      </x:c>
      <x:c r="V187" s="8" t="n">
        <x:f>O187-I187*K187/H187</x:f>
        <x:v>10.725616969213512</x:v>
      </x:c>
      <x:c r="W187" s="8" t="n">
        <x:f>P187-J187*K187/H187</x:f>
        <x:v>0</x:v>
      </x:c>
      <x:c r="X187" s="8" t="n">
        <x:f>V187/S187</x:f>
        <x:v>0.6168894818278274</x:v>
      </x:c>
      <x:c r="Y187" s="8" t="n">
        <x:f>0</x:f>
        <x:v>0</x:v>
      </x:c>
      <x:c r="Z187" s="8" t="n">
        <x:f>K187/H187-X187*I187/H187-Y187*J187/H187</x:f>
        <x:v>1.5771251722767556</x:v>
      </x:c>
      <x:c r="AA187" s="8" t="n">
        <x:f>Z187+X187*Q187+Y187*R187</x:f>
        <x:v>2.199149903785389</x:v>
      </x:c>
    </x:row>
    <x:row r="188" ht="26" customHeight="1">
      <x:c r="A188" s="2"/>
      <x:c r="B188" s="2" t="n">
        <x:v>183</x:v>
      </x:c>
      <x:c r="C188" s="2" t="str">
        <x:v>Beauty / price_contribution</x:v>
      </x:c>
      <x:c r="D188" s="2" t="str">
        <x:v>Own history</x:v>
      </x:c>
      <x:c r="E188" s="7" t="n">
        <x:v>46022</x:v>
      </x:c>
      <x:c r="F188" s="2" t="str">
        <x:v>Prior report</x:v>
      </x:c>
      <x:c r="G188" s="7" t="n">
        <x:v>45954</x:v>
      </x:c>
      <x:c r="H188" s="2" t="n">
        <x:v>18</x:v>
      </x:c>
      <x:c r="I188" s="8" t="n">
        <x:v>77</x:v>
      </x:c>
      <x:c r="J188" s="8" t="n">
        <x:v>0</x:v>
      </x:c>
      <x:c r="K188" s="8" t="n">
        <x:v>77</x:v>
      </x:c>
      <x:c r="L188" s="8" t="n">
        <x:v>443</x:v>
      </x:c>
      <x:c r="M188" s="8" t="n">
        <x:v>0</x:v>
      </x:c>
      <x:c r="N188" s="8" t="n">
        <x:v>0</x:v>
      </x:c>
      <x:c r="O188" s="8" t="n">
        <x:v>421</x:v>
      </x:c>
      <x:c r="P188" s="8" t="n">
        <x:v>0</x:v>
      </x:c>
      <x:c r="Q188" s="8" t="n">
        <x:v>2</x:v>
      </x:c>
      <x:c r="R188" s="8" t="n">
        <x:v>0</x:v>
      </x:c>
      <x:c r="S188" s="8" t="n">
        <x:f>L188-I188^2/H188</x:f>
        <x:v>113.61111111111109</x:v>
      </x:c>
      <x:c r="T188" s="8" t="n">
        <x:f>M188-J188^2/H188</x:f>
        <x:v>0</x:v>
      </x:c>
      <x:c r="U188" s="8" t="n">
        <x:f>N188-I188*J188/H188</x:f>
        <x:v>0</x:v>
      </x:c>
      <x:c r="V188" s="8" t="n">
        <x:f>O188-I188*K188/H188</x:f>
        <x:v>91.61111111111109</x:v>
      </x:c>
      <x:c r="W188" s="8" t="n">
        <x:f>P188-J188*K188/H188</x:f>
        <x:v>0</x:v>
      </x:c>
      <x:c r="X188" s="8" t="n">
        <x:f>V188/S188</x:f>
        <x:v>0.8063569682151589</x:v>
      </x:c>
      <x:c r="Y188" s="8" t="n">
        <x:f>0</x:f>
        <x:v>0</x:v>
      </x:c>
      <x:c r="Z188" s="8" t="n">
        <x:f>K188/H188-X188*I188/H188-Y188*J188/H188</x:f>
        <x:v>0.8283618581907088</x:v>
      </x:c>
      <x:c r="AA188" s="8" t="n">
        <x:f>Z188+X188*Q188+Y188*R188</x:f>
        <x:v>2.4410757946210264</x:v>
      </x:c>
    </x:row>
    <x:row r="189" ht="26" customHeight="1">
      <x:c r="A189" s="2"/>
      <x:c r="B189" s="2" t="n">
        <x:v>184</x:v>
      </x:c>
      <x:c r="C189" s="2" t="str">
        <x:v>Beauty / price_contribution</x:v>
      </x:c>
      <x:c r="D189" s="2" t="str">
        <x:v>Product price</x:v>
      </x:c>
      <x:c r="E189" s="7" t="n">
        <x:v>46022</x:v>
      </x:c>
      <x:c r="F189" s="2" t="str">
        <x:v>Prior report</x:v>
      </x:c>
      <x:c r="G189" s="7" t="n">
        <x:v>45954</x:v>
      </x:c>
      <x:c r="H189" s="2" t="n">
        <x:v>19</x:v>
      </x:c>
      <x:c r="I189" s="8" t="n">
        <x:v>23.998896944400173</x:v>
      </x:c>
      <x:c r="J189" s="8" t="n">
        <x:v>0</x:v>
      </x:c>
      <x:c r="K189" s="8" t="n">
        <x:v>79</x:v>
      </x:c>
      <x:c r="L189" s="8" t="n">
        <x:v>116.31366628199471</x:v>
      </x:c>
      <x:c r="M189" s="8" t="n">
        <x:v>0</x:v>
      </x:c>
      <x:c r="N189" s="8" t="n">
        <x:v>0</x:v>
      </x:c>
      <x:c r="O189" s="8" t="n">
        <x:v>189.76526877247852</x:v>
      </x:c>
      <x:c r="P189" s="8" t="n">
        <x:v>0</x:v>
      </x:c>
      <x:c r="Q189" s="8" t="n">
        <x:v>0.44621139769855933</x:v>
      </x:c>
      <x:c r="R189" s="8" t="n">
        <x:v>0</x:v>
      </x:c>
      <x:c r="S189" s="8" t="n">
        <x:f>L189-I189^2/H189</x:f>
        <x:v>86.00066341105051</x:v>
      </x:c>
      <x:c r="T189" s="8" t="n">
        <x:f>M189-J189^2/H189</x:f>
        <x:v>0</x:v>
      </x:c>
      <x:c r="U189" s="8" t="n">
        <x:f>N189-I189*J189/H189</x:f>
        <x:v>0</x:v>
      </x:c>
      <x:c r="V189" s="8" t="n">
        <x:f>O189-I189*K189/H189</x:f>
        <x:v>89.98038147734097</x:v>
      </x:c>
      <x:c r="W189" s="8" t="n">
        <x:f>P189-J189*K189/H189</x:f>
        <x:v>0</x:v>
      </x:c>
      <x:c r="X189" s="8" t="n">
        <x:f>V189/S189</x:f>
        <x:v>1.0462754344959981</x:v>
      </x:c>
      <x:c r="Y189" s="8" t="n">
        <x:f>0</x:f>
        <x:v>0</x:v>
      </x:c>
      <x:c r="Z189" s="8" t="n">
        <x:f>K189/H189-X189*I189/H189-Y189*J189/H189</x:f>
        <x:v>2.8363444037933174</x:v>
      </x:c>
      <x:c r="AA189" s="8" t="n">
        <x:f>Z189+X189*Q189+Y189*R189</x:f>
        <x:v>3.303204427797444</x:v>
      </x:c>
    </x:row>
    <x:row r="190" ht="26" customHeight="1">
      <x:c r="A190" s="2"/>
      <x:c r="B190" s="2" t="n">
        <x:v>185</x:v>
      </x:c>
      <x:c r="C190" s="2" t="str">
        <x:v>Beauty / price_contribution</x:v>
      </x:c>
      <x:c r="D190" s="2" t="str">
        <x:v>Product lag 1</x:v>
      </x:c>
      <x:c r="E190" s="7" t="n">
        <x:v>46022</x:v>
      </x:c>
      <x:c r="F190" s="2" t="str">
        <x:v>Prior report</x:v>
      </x:c>
      <x:c r="G190" s="7" t="n">
        <x:v>45954</x:v>
      </x:c>
      <x:c r="H190" s="2" t="n">
        <x:v>18</x:v>
      </x:c>
      <x:c r="I190" s="8" t="n">
        <x:v>23.552489449370462</x:v>
      </x:c>
      <x:c r="J190" s="8" t="n">
        <x:v>0</x:v>
      </x:c>
      <x:c r="K190" s="8" t="n">
        <x:v>77</x:v>
      </x:c>
      <x:c r="L190" s="8" t="n">
        <x:v>116.114386630376</x:v>
      </x:c>
      <x:c r="M190" s="8" t="n">
        <x:v>0</x:v>
      </x:c>
      <x:c r="N190" s="8" t="n">
        <x:v>0</x:v>
      </x:c>
      <x:c r="O190" s="8" t="n">
        <x:v>171.31192567213427</x:v>
      </x:c>
      <x:c r="P190" s="8" t="n">
        <x:v>0</x:v>
      </x:c>
      <x:c r="Q190" s="8" t="n">
        <x:v>0.44640749502971033</x:v>
      </x:c>
      <x:c r="R190" s="8" t="n">
        <x:v>0</x:v>
      </x:c>
      <x:c r="S190" s="8" t="n">
        <x:f>L190-I190^2/H190</x:f>
        <x:v>85.29662222689228</x:v>
      </x:c>
      <x:c r="T190" s="8" t="n">
        <x:f>M190-J190^2/H190</x:f>
        <x:v>0</x:v>
      </x:c>
      <x:c r="U190" s="8" t="n">
        <x:f>N190-I190*J190/H190</x:f>
        <x:v>0</x:v>
      </x:c>
      <x:c r="V190" s="8" t="n">
        <x:f>O190-I190*K190/H190</x:f>
        <x:v>70.55960969427173</x:v>
      </x:c>
      <x:c r="W190" s="8" t="n">
        <x:f>P190-J190*K190/H190</x:f>
        <x:v>0</x:v>
      </x:c>
      <x:c r="X190" s="8" t="n">
        <x:f>V190/S190</x:f>
        <x:v>0.8272263057097439</x:v>
      </x:c>
      <x:c r="Y190" s="8" t="n">
        <x:f>0</x:f>
        <x:v>0</x:v>
      </x:c>
      <x:c r="Z190" s="8" t="n">
        <x:f>K190/H190-X190*I190/H190-Y190*J190/H190</x:f>
        <x:v>3.1953756201405303</x:v>
      </x:c>
      <x:c r="AA190" s="8" t="n">
        <x:f>Z190+X190*Q190+Y190*R190</x:f>
        <x:v>3.5646556430950986</x:v>
      </x:c>
    </x:row>
    <x:row r="191" ht="26" customHeight="1">
      <x:c r="A191" s="2"/>
      <x:c r="B191" s="2" t="n">
        <x:v>186</x:v>
      </x:c>
      <x:c r="C191" s="2" t="str">
        <x:v>Beauty / price_contribution</x:v>
      </x:c>
      <x:c r="D191" s="2" t="str">
        <x:v>Own + product</x:v>
      </x:c>
      <x:c r="E191" s="7" t="n">
        <x:v>46022</x:v>
      </x:c>
      <x:c r="F191" s="2" t="str">
        <x:v>Prior report</x:v>
      </x:c>
      <x:c r="G191" s="7" t="n">
        <x:v>45954</x:v>
      </x:c>
      <x:c r="H191" s="2" t="n">
        <x:v>18</x:v>
      </x:c>
      <x:c r="I191" s="8" t="n">
        <x:v>24.41367032077707</x:v>
      </x:c>
      <x:c r="J191" s="8" t="n">
        <x:v>77</x:v>
      </x:c>
      <x:c r="K191" s="8" t="n">
        <x:v>77</x:v>
      </x:c>
      <x:c r="L191" s="8" t="n">
        <x:v>116.14162932824362</x:v>
      </x:c>
      <x:c r="M191" s="8" t="n">
        <x:v>443</x:v>
      </x:c>
      <x:c r="N191" s="8" t="n">
        <x:v>192.93315392439166</x:v>
      </x:c>
      <x:c r="O191" s="8" t="n">
        <x:v>190.59481552523232</x:v>
      </x:c>
      <x:c r="P191" s="8" t="n">
        <x:v>421</x:v>
      </x:c>
      <x:c r="Q191" s="8" t="n">
        <x:v>0.44621139769855933</x:v>
      </x:c>
      <x:c r="R191" s="8" t="n">
        <x:v>2</x:v>
      </x:c>
      <x:c r="S191" s="8" t="n">
        <x:f>L191-I191^2/H191</x:f>
        <x:v>83.02900163204413</x:v>
      </x:c>
      <x:c r="T191" s="8" t="n">
        <x:f>M191-J191^2/H191</x:f>
        <x:v>113.61111111111109</x:v>
      </x:c>
      <x:c r="U191" s="8" t="n">
        <x:f>N191-I191*J191/H191</x:f>
        <x:v>88.49689755217865</x:v>
      </x:c>
      <x:c r="V191" s="8" t="n">
        <x:f>O191-I191*K191/H191</x:f>
        <x:v>86.15855915301931</x:v>
      </x:c>
      <x:c r="W191" s="8" t="n">
        <x:f>P191-J191*K191/H191</x:f>
        <x:v>91.61111111111109</x:v>
      </x:c>
      <x:c r="X191" s="8" t="n">
        <x:f>(V191*T191-W191*U191)/(S191*T191-U191^2)</x:f>
        <x:v>1.049930342484703</x:v>
      </x:c>
      <x:c r="Y191" s="8" t="n">
        <x:f>(W191*S191-V191*U191)/(S191*T191-U191^2)</x:f>
        <x:v>-0.011481859757588092</x:v>
      </x:c>
      <x:c r="Z191" s="8" t="n">
        <x:f>K191/H191-X191*I191/H191-Y191*J191/H191</x:f>
        <x:v>2.9028583311184546</x:v>
      </x:c>
      <x:c r="AA191" s="8" t="n">
        <x:f>Z191+X191*Q191+Y191*R191</x:f>
        <x:v>3.348385497209505</x:v>
      </x:c>
    </x:row>
    <x:row r="192" ht="26" customHeight="1">
      <x:c r="A192" s="2"/>
      <x:c r="B192" s="2" t="n">
        <x:v>187</x:v>
      </x:c>
      <x:c r="C192" s="2" t="str">
        <x:v>Beauty / price_contribution</x:v>
      </x:c>
      <x:c r="D192" s="2" t="str">
        <x:v>Broad market</x:v>
      </x:c>
      <x:c r="E192" s="7" t="n">
        <x:v>46022</x:v>
      </x:c>
      <x:c r="F192" s="2" t="str">
        <x:v>Pre-earnings</x:v>
      </x:c>
      <x:c r="G192" s="7" t="n">
        <x:v>46044</x:v>
      </x:c>
      <x:c r="H192" s="2" t="n">
        <x:v>19</x:v>
      </x:c>
      <x:c r="I192" s="8" t="n">
        <x:v>47.46071724596763</x:v>
      </x:c>
      <x:c r="J192" s="8" t="n">
        <x:v>0</x:v>
      </x:c>
      <x:c r="K192" s="8" t="n">
        <x:v>79</x:v>
      </x:c>
      <x:c r="L192" s="8" t="n">
        <x:v>257.85563851793324</x:v>
      </x:c>
      <x:c r="M192" s="8" t="n">
        <x:v>0</x:v>
      </x:c>
      <x:c r="N192" s="8" t="n">
        <x:v>0</x:v>
      </x:c>
      <x:c r="O192" s="8" t="n">
        <x:v>315.3909872658994</x:v>
      </x:c>
      <x:c r="P192" s="8" t="n">
        <x:v>0</x:v>
      </x:c>
      <x:c r="Q192" s="8" t="n">
        <x:v>1.1662350761116436</x:v>
      </x:c>
      <x:c r="R192" s="8" t="n">
        <x:v>0</x:v>
      </x:c>
      <x:c r="S192" s="8" t="n">
        <x:f>L192-I192^2/H192</x:f>
        <x:v>139.30197107047593</x:v>
      </x:c>
      <x:c r="T192" s="8" t="n">
        <x:f>M192-J192^2/H192</x:f>
        <x:v>0</x:v>
      </x:c>
      <x:c r="U192" s="8" t="n">
        <x:f>N192-I192*J192/H192</x:f>
        <x:v>0</x:v>
      </x:c>
      <x:c r="V192" s="8" t="n">
        <x:f>O192-I192*K192/H192</x:f>
        <x:v>118.05432082213929</x:v>
      </x:c>
      <x:c r="W192" s="8" t="n">
        <x:f>P192-J192*K192/H192</x:f>
        <x:v>0</x:v>
      </x:c>
      <x:c r="X192" s="8" t="n">
        <x:f>V192/S192</x:f>
        <x:v>0.8474705699778865</x:v>
      </x:c>
      <x:c r="Y192" s="8" t="n">
        <x:f>0</x:f>
        <x:v>0</x:v>
      </x:c>
      <x:c r="Z192" s="8" t="n">
        <x:f>K192/H192-X192*I192/H192-Y192*J192/H192</x:f>
        <x:v>2.0409704686316053</x:v>
      </x:c>
      <x:c r="AA192" s="8" t="n">
        <x:f>Z192+X192*Q192+Y192*R192</x:f>
        <x:v>3.0293203733121437</x:v>
      </x:c>
    </x:row>
    <x:row r="193" ht="26" customHeight="1">
      <x:c r="A193" s="2"/>
      <x:c r="B193" s="2" t="n">
        <x:v>188</x:v>
      </x:c>
      <x:c r="C193" s="2" t="str">
        <x:v>Beauty / price_contribution</x:v>
      </x:c>
      <x:c r="D193" s="2" t="str">
        <x:v>Broad lag 1</x:v>
      </x:c>
      <x:c r="E193" s="7" t="n">
        <x:v>46022</x:v>
      </x:c>
      <x:c r="F193" s="2" t="str">
        <x:v>Pre-earnings</x:v>
      </x:c>
      <x:c r="G193" s="7" t="n">
        <x:v>46044</x:v>
      </x:c>
      <x:c r="H193" s="2" t="n">
        <x:v>18</x:v>
      </x:c>
      <x:c r="I193" s="8" t="n">
        <x:v>46.45249081892011</x:v>
      </x:c>
      <x:c r="J193" s="8" t="n">
        <x:v>0</x:v>
      </x:c>
      <x:c r="K193" s="8" t="n">
        <x:v>77</x:v>
      </x:c>
      <x:c r="L193" s="8" t="n">
        <x:v>256.8391179897363</x:v>
      </x:c>
      <x:c r="M193" s="8" t="n">
        <x:v>0</x:v>
      </x:c>
      <x:c r="N193" s="8" t="n">
        <x:v>0</x:v>
      </x:c>
      <x:c r="O193" s="8" t="n">
        <x:v>292.83768107819844</x:v>
      </x:c>
      <x:c r="P193" s="8" t="n">
        <x:v>0</x:v>
      </x:c>
      <x:c r="Q193" s="8" t="n">
        <x:v>1.0082264270475205</x:v>
      </x:c>
      <x:c r="R193" s="8" t="n">
        <x:v>0</x:v>
      </x:c>
      <x:c r="S193" s="8" t="n">
        <x:f>L193-I193^2/H193</x:f>
        <x:v>136.95945669629975</x:v>
      </x:c>
      <x:c r="T193" s="8" t="n">
        <x:f>M193-J193^2/H193</x:f>
        <x:v>0</x:v>
      </x:c>
      <x:c r="U193" s="8" t="n">
        <x:f>N193-I193*J193/H193</x:f>
        <x:v>0</x:v>
      </x:c>
      <x:c r="V193" s="8" t="n">
        <x:f>O193-I193*K193/H193</x:f>
        <x:v>94.12424813059576</x:v>
      </x:c>
      <x:c r="W193" s="8" t="n">
        <x:f>P193-J193*K193/H193</x:f>
        <x:v>0</x:v>
      </x:c>
      <x:c r="X193" s="8" t="n">
        <x:f>V193/S193</x:f>
        <x:v>0.687241687438285</x:v>
      </x:c>
      <x:c r="Y193" s="8" t="n">
        <x:f>0</x:f>
        <x:v>0</x:v>
      </x:c>
      <x:c r="Z193" s="8" t="n">
        <x:f>K193/H193-X193*I193/H193-Y193*J193/H193</x:f>
        <x:v>2.5042173235496614</x:v>
      </x:c>
      <x:c r="AA193" s="8" t="n">
        <x:f>Z193+X193*Q193+Y193*R193</x:f>
        <x:v>3.1971125545936725</x:v>
      </x:c>
    </x:row>
    <x:row r="194" ht="26" customHeight="1">
      <x:c r="A194" s="2"/>
      <x:c r="B194" s="2" t="n">
        <x:v>189</x:v>
      </x:c>
      <x:c r="C194" s="2" t="str">
        <x:v>Beauty / price_contribution</x:v>
      </x:c>
      <x:c r="D194" s="2" t="str">
        <x:v>Broad rolling 8</x:v>
      </x:c>
      <x:c r="E194" s="7" t="n">
        <x:v>46022</x:v>
      </x:c>
      <x:c r="F194" s="2" t="str">
        <x:v>Pre-earnings</x:v>
      </x:c>
      <x:c r="G194" s="7" t="n">
        <x:v>46044</x:v>
      </x:c>
      <x:c r="H194" s="2" t="n">
        <x:v>8</x:v>
      </x:c>
      <x:c r="I194" s="8" t="n">
        <x:v>11.968105858946277</x:v>
      </x:c>
      <x:c r="J194" s="8" t="n">
        <x:v>0</x:v>
      </x:c>
      <x:c r="K194" s="8" t="n">
        <x:v>20</x:v>
      </x:c>
      <x:c r="L194" s="8" t="n">
        <x:v>35.29105495113347</x:v>
      </x:c>
      <x:c r="M194" s="8" t="n">
        <x:v>0</x:v>
      </x:c>
      <x:c r="N194" s="8" t="n">
        <x:v>0</x:v>
      </x:c>
      <x:c r="O194" s="8" t="n">
        <x:v>40.6458816165792</x:v>
      </x:c>
      <x:c r="P194" s="8" t="n">
        <x:v>0</x:v>
      </x:c>
      <x:c r="Q194" s="8" t="n">
        <x:v>1.1662350761116436</x:v>
      </x:c>
      <x:c r="R194" s="8" t="n">
        <x:v>0</x:v>
      </x:c>
      <x:c r="S194" s="8" t="n">
        <x:f>L194-I194^2/H194</x:f>
        <x:v>17.38661021976544</x:v>
      </x:c>
      <x:c r="T194" s="8" t="n">
        <x:f>M194-J194^2/H194</x:f>
        <x:v>0</x:v>
      </x:c>
      <x:c r="U194" s="8" t="n">
        <x:f>N194-I194*J194/H194</x:f>
        <x:v>0</x:v>
      </x:c>
      <x:c r="V194" s="8" t="n">
        <x:f>O194-I194*K194/H194</x:f>
        <x:v>10.725616969213512</x:v>
      </x:c>
      <x:c r="W194" s="8" t="n">
        <x:f>P194-J194*K194/H194</x:f>
        <x:v>0</x:v>
      </x:c>
      <x:c r="X194" s="8" t="n">
        <x:f>V194/S194</x:f>
        <x:v>0.6168894818278274</x:v>
      </x:c>
      <x:c r="Y194" s="8" t="n">
        <x:f>0</x:f>
        <x:v>0</x:v>
      </x:c>
      <x:c r="Z194" s="8" t="n">
        <x:f>K194/H194-X194*I194/H194-Y194*J194/H194</x:f>
        <x:v>1.5771251722767556</x:v>
      </x:c>
      <x:c r="AA194" s="8" t="n">
        <x:f>Z194+X194*Q194+Y194*R194</x:f>
        <x:v>2.2965633240687042</x:v>
      </x:c>
    </x:row>
    <x:row r="195" ht="26" customHeight="1">
      <x:c r="A195" s="2"/>
      <x:c r="B195" s="2" t="n">
        <x:v>190</x:v>
      </x:c>
      <x:c r="C195" s="2" t="str">
        <x:v>Beauty / price_contribution</x:v>
      </x:c>
      <x:c r="D195" s="2" t="str">
        <x:v>Own history</x:v>
      </x:c>
      <x:c r="E195" s="7" t="n">
        <x:v>46022</x:v>
      </x:c>
      <x:c r="F195" s="2" t="str">
        <x:v>Pre-earnings</x:v>
      </x:c>
      <x:c r="G195" s="7" t="n">
        <x:v>46044</x:v>
      </x:c>
      <x:c r="H195" s="2" t="n">
        <x:v>18</x:v>
      </x:c>
      <x:c r="I195" s="8" t="n">
        <x:v>77</x:v>
      </x:c>
      <x:c r="J195" s="8" t="n">
        <x:v>0</x:v>
      </x:c>
      <x:c r="K195" s="8" t="n">
        <x:v>77</x:v>
      </x:c>
      <x:c r="L195" s="8" t="n">
        <x:v>443</x:v>
      </x:c>
      <x:c r="M195" s="8" t="n">
        <x:v>0</x:v>
      </x:c>
      <x:c r="N195" s="8" t="n">
        <x:v>0</x:v>
      </x:c>
      <x:c r="O195" s="8" t="n">
        <x:v>421</x:v>
      </x:c>
      <x:c r="P195" s="8" t="n">
        <x:v>0</x:v>
      </x:c>
      <x:c r="Q195" s="8" t="n">
        <x:v>2</x:v>
      </x:c>
      <x:c r="R195" s="8" t="n">
        <x:v>0</x:v>
      </x:c>
      <x:c r="S195" s="8" t="n">
        <x:f>L195-I195^2/H195</x:f>
        <x:v>113.61111111111109</x:v>
      </x:c>
      <x:c r="T195" s="8" t="n">
        <x:f>M195-J195^2/H195</x:f>
        <x:v>0</x:v>
      </x:c>
      <x:c r="U195" s="8" t="n">
        <x:f>N195-I195*J195/H195</x:f>
        <x:v>0</x:v>
      </x:c>
      <x:c r="V195" s="8" t="n">
        <x:f>O195-I195*K195/H195</x:f>
        <x:v>91.61111111111109</x:v>
      </x:c>
      <x:c r="W195" s="8" t="n">
        <x:f>P195-J195*K195/H195</x:f>
        <x:v>0</x:v>
      </x:c>
      <x:c r="X195" s="8" t="n">
        <x:f>V195/S195</x:f>
        <x:v>0.8063569682151589</x:v>
      </x:c>
      <x:c r="Y195" s="8" t="n">
        <x:f>0</x:f>
        <x:v>0</x:v>
      </x:c>
      <x:c r="Z195" s="8" t="n">
        <x:f>K195/H195-X195*I195/H195-Y195*J195/H195</x:f>
        <x:v>0.8283618581907088</x:v>
      </x:c>
      <x:c r="AA195" s="8" t="n">
        <x:f>Z195+X195*Q195+Y195*R195</x:f>
        <x:v>2.4410757946210264</x:v>
      </x:c>
    </x:row>
    <x:row r="196" ht="26" customHeight="1">
      <x:c r="A196" s="2"/>
      <x:c r="B196" s="2" t="n">
        <x:v>191</x:v>
      </x:c>
      <x:c r="C196" s="2" t="str">
        <x:v>Beauty / price_contribution</x:v>
      </x:c>
      <x:c r="D196" s="2" t="str">
        <x:v>Product price</x:v>
      </x:c>
      <x:c r="E196" s="7" t="n">
        <x:v>46022</x:v>
      </x:c>
      <x:c r="F196" s="2" t="str">
        <x:v>Pre-earnings</x:v>
      </x:c>
      <x:c r="G196" s="7" t="n">
        <x:v>46044</x:v>
      </x:c>
      <x:c r="H196" s="2" t="n">
        <x:v>19</x:v>
      </x:c>
      <x:c r="I196" s="8" t="n">
        <x:v>23.998896944400173</x:v>
      </x:c>
      <x:c r="J196" s="8" t="n">
        <x:v>0</x:v>
      </x:c>
      <x:c r="K196" s="8" t="n">
        <x:v>79</x:v>
      </x:c>
      <x:c r="L196" s="8" t="n">
        <x:v>116.31366628199471</x:v>
      </x:c>
      <x:c r="M196" s="8" t="n">
        <x:v>0</x:v>
      </x:c>
      <x:c r="N196" s="8" t="n">
        <x:v>0</x:v>
      </x:c>
      <x:c r="O196" s="8" t="n">
        <x:v>189.76526877247852</x:v>
      </x:c>
      <x:c r="P196" s="8" t="n">
        <x:v>0</x:v>
      </x:c>
      <x:c r="Q196" s="8" t="n">
        <x:v>0.5116576547623319</x:v>
      </x:c>
      <x:c r="R196" s="8" t="n">
        <x:v>0</x:v>
      </x:c>
      <x:c r="S196" s="8" t="n">
        <x:f>L196-I196^2/H196</x:f>
        <x:v>86.00066341105051</x:v>
      </x:c>
      <x:c r="T196" s="8" t="n">
        <x:f>M196-J196^2/H196</x:f>
        <x:v>0</x:v>
      </x:c>
      <x:c r="U196" s="8" t="n">
        <x:f>N196-I196*J196/H196</x:f>
        <x:v>0</x:v>
      </x:c>
      <x:c r="V196" s="8" t="n">
        <x:f>O196-I196*K196/H196</x:f>
        <x:v>89.98038147734097</x:v>
      </x:c>
      <x:c r="W196" s="8" t="n">
        <x:f>P196-J196*K196/H196</x:f>
        <x:v>0</x:v>
      </x:c>
      <x:c r="X196" s="8" t="n">
        <x:f>V196/S196</x:f>
        <x:v>1.0462754344959981</x:v>
      </x:c>
      <x:c r="Y196" s="8" t="n">
        <x:f>0</x:f>
        <x:v>0</x:v>
      </x:c>
      <x:c r="Z196" s="8" t="n">
        <x:f>K196/H196-X196*I196/H196-Y196*J196/H196</x:f>
        <x:v>2.8363444037933174</x:v>
      </x:c>
      <x:c r="AA196" s="8" t="n">
        <x:f>Z196+X196*Q196+Y196*R196</x:f>
        <x:v>3.3716792388429795</x:v>
      </x:c>
    </x:row>
    <x:row r="197" ht="26" customHeight="1">
      <x:c r="A197" s="2"/>
      <x:c r="B197" s="2" t="n">
        <x:v>192</x:v>
      </x:c>
      <x:c r="C197" s="2" t="str">
        <x:v>Beauty / price_contribution</x:v>
      </x:c>
      <x:c r="D197" s="2" t="str">
        <x:v>Product lag 1</x:v>
      </x:c>
      <x:c r="E197" s="7" t="n">
        <x:v>46022</x:v>
      </x:c>
      <x:c r="F197" s="2" t="str">
        <x:v>Pre-earnings</x:v>
      </x:c>
      <x:c r="G197" s="7" t="n">
        <x:v>46044</x:v>
      </x:c>
      <x:c r="H197" s="2" t="n">
        <x:v>18</x:v>
      </x:c>
      <x:c r="I197" s="8" t="n">
        <x:v>23.552489449370462</x:v>
      </x:c>
      <x:c r="J197" s="8" t="n">
        <x:v>0</x:v>
      </x:c>
      <x:c r="K197" s="8" t="n">
        <x:v>77</x:v>
      </x:c>
      <x:c r="L197" s="8" t="n">
        <x:v>116.114386630376</x:v>
      </x:c>
      <x:c r="M197" s="8" t="n">
        <x:v>0</x:v>
      </x:c>
      <x:c r="N197" s="8" t="n">
        <x:v>0</x:v>
      </x:c>
      <x:c r="O197" s="8" t="n">
        <x:v>171.31192567213427</x:v>
      </x:c>
      <x:c r="P197" s="8" t="n">
        <x:v>0</x:v>
      </x:c>
      <x:c r="Q197" s="8" t="n">
        <x:v>0.44640749502971033</x:v>
      </x:c>
      <x:c r="R197" s="8" t="n">
        <x:v>0</x:v>
      </x:c>
      <x:c r="S197" s="8" t="n">
        <x:f>L197-I197^2/H197</x:f>
        <x:v>85.29662222689228</x:v>
      </x:c>
      <x:c r="T197" s="8" t="n">
        <x:f>M197-J197^2/H197</x:f>
        <x:v>0</x:v>
      </x:c>
      <x:c r="U197" s="8" t="n">
        <x:f>N197-I197*J197/H197</x:f>
        <x:v>0</x:v>
      </x:c>
      <x:c r="V197" s="8" t="n">
        <x:f>O197-I197*K197/H197</x:f>
        <x:v>70.55960969427173</x:v>
      </x:c>
      <x:c r="W197" s="8" t="n">
        <x:f>P197-J197*K197/H197</x:f>
        <x:v>0</x:v>
      </x:c>
      <x:c r="X197" s="8" t="n">
        <x:f>V197/S197</x:f>
        <x:v>0.8272263057097439</x:v>
      </x:c>
      <x:c r="Y197" s="8" t="n">
        <x:f>0</x:f>
        <x:v>0</x:v>
      </x:c>
      <x:c r="Z197" s="8" t="n">
        <x:f>K197/H197-X197*I197/H197-Y197*J197/H197</x:f>
        <x:v>3.1953756201405303</x:v>
      </x:c>
      <x:c r="AA197" s="8" t="n">
        <x:f>Z197+X197*Q197+Y197*R197</x:f>
        <x:v>3.5646556430950986</x:v>
      </x:c>
    </x:row>
    <x:row r="198" ht="26" customHeight="1">
      <x:c r="A198" s="2"/>
      <x:c r="B198" s="2" t="n">
        <x:v>193</x:v>
      </x:c>
      <x:c r="C198" s="2" t="str">
        <x:v>Beauty / price_contribution</x:v>
      </x:c>
      <x:c r="D198" s="2" t="str">
        <x:v>Own + product</x:v>
      </x:c>
      <x:c r="E198" s="7" t="n">
        <x:v>46022</x:v>
      </x:c>
      <x:c r="F198" s="2" t="str">
        <x:v>Pre-earnings</x:v>
      </x:c>
      <x:c r="G198" s="7" t="n">
        <x:v>46044</x:v>
      </x:c>
      <x:c r="H198" s="2" t="n">
        <x:v>18</x:v>
      </x:c>
      <x:c r="I198" s="8" t="n">
        <x:v>24.41367032077707</x:v>
      </x:c>
      <x:c r="J198" s="8" t="n">
        <x:v>77</x:v>
      </x:c>
      <x:c r="K198" s="8" t="n">
        <x:v>77</x:v>
      </x:c>
      <x:c r="L198" s="8" t="n">
        <x:v>116.14162932824362</x:v>
      </x:c>
      <x:c r="M198" s="8" t="n">
        <x:v>443</x:v>
      </x:c>
      <x:c r="N198" s="8" t="n">
        <x:v>192.93315392439166</x:v>
      </x:c>
      <x:c r="O198" s="8" t="n">
        <x:v>190.59481552523232</x:v>
      </x:c>
      <x:c r="P198" s="8" t="n">
        <x:v>421</x:v>
      </x:c>
      <x:c r="Q198" s="8" t="n">
        <x:v>0.5116576547623319</x:v>
      </x:c>
      <x:c r="R198" s="8" t="n">
        <x:v>2</x:v>
      </x:c>
      <x:c r="S198" s="8" t="n">
        <x:f>L198-I198^2/H198</x:f>
        <x:v>83.02900163204413</x:v>
      </x:c>
      <x:c r="T198" s="8" t="n">
        <x:f>M198-J198^2/H198</x:f>
        <x:v>113.61111111111109</x:v>
      </x:c>
      <x:c r="U198" s="8" t="n">
        <x:f>N198-I198*J198/H198</x:f>
        <x:v>88.49689755217865</x:v>
      </x:c>
      <x:c r="V198" s="8" t="n">
        <x:f>O198-I198*K198/H198</x:f>
        <x:v>86.15855915301931</x:v>
      </x:c>
      <x:c r="W198" s="8" t="n">
        <x:f>P198-J198*K198/H198</x:f>
        <x:v>91.61111111111109</x:v>
      </x:c>
      <x:c r="X198" s="8" t="n">
        <x:f>(V198*T198-W198*U198)/(S198*T198-U198^2)</x:f>
        <x:v>1.049930342484703</x:v>
      </x:c>
      <x:c r="Y198" s="8" t="n">
        <x:f>(W198*S198-V198*U198)/(S198*T198-U198^2)</x:f>
        <x:v>-0.011481859757588092</x:v>
      </x:c>
      <x:c r="Z198" s="8" t="n">
        <x:f>K198/H198-X198*I198/H198-Y198*J198/H198</x:f>
        <x:v>2.9028583311184546</x:v>
      </x:c>
      <x:c r="AA198" s="8" t="n">
        <x:f>Z198+X198*Q198+Y198*R198</x:f>
        <x:v>3.4170995083028135</x:v>
      </x:c>
    </x:row>
    <x:row r="199" ht="26" customHeight="1">
      <x:c r="A199" s="2"/>
      <x:c r="B199" s="2" t="n">
        <x:v>194</x:v>
      </x:c>
      <x:c r="C199" s="2" t="str">
        <x:v>Beauty / price_contribution</x:v>
      </x:c>
      <x:c r="D199" s="2" t="str">
        <x:v>Broad market</x:v>
      </x:c>
      <x:c r="E199" s="7" t="n">
        <x:v>46112</x:v>
      </x:c>
      <x:c r="F199" s="2" t="str">
        <x:v>Origin</x:v>
      </x:c>
      <x:c r="G199" s="7" t="n">
        <x:v>46023</x:v>
      </x:c>
      <x:c r="H199" s="2" t="n">
        <x:v>19</x:v>
      </x:c>
      <x:c r="I199" s="8" t="n">
        <x:v>47.46071724596763</x:v>
      </x:c>
      <x:c r="J199" s="8" t="n">
        <x:v>0</x:v>
      </x:c>
      <x:c r="K199" s="8" t="n">
        <x:v>79</x:v>
      </x:c>
      <x:c r="L199" s="8" t="n">
        <x:v>257.85563851793324</x:v>
      </x:c>
      <x:c r="M199" s="8" t="n">
        <x:v>0</x:v>
      </x:c>
      <x:c r="N199" s="8" t="n">
        <x:v>0</x:v>
      </x:c>
      <x:c r="O199" s="8" t="n">
        <x:v>315.3909872658994</x:v>
      </x:c>
      <x:c r="P199" s="8" t="n">
        <x:v>0</x:v>
      </x:c>
      <x:c r="Q199" s="8" t="n">
        <x:v>1.1213731248813419</x:v>
      </x:c>
      <x:c r="R199" s="8" t="n">
        <x:v>0</x:v>
      </x:c>
      <x:c r="S199" s="8" t="n">
        <x:f>L199-I199^2/H199</x:f>
        <x:v>139.30197107047593</x:v>
      </x:c>
      <x:c r="T199" s="8" t="n">
        <x:f>M199-J199^2/H199</x:f>
        <x:v>0</x:v>
      </x:c>
      <x:c r="U199" s="8" t="n">
        <x:f>N199-I199*J199/H199</x:f>
        <x:v>0</x:v>
      </x:c>
      <x:c r="V199" s="8" t="n">
        <x:f>O199-I199*K199/H199</x:f>
        <x:v>118.05432082213929</x:v>
      </x:c>
      <x:c r="W199" s="8" t="n">
        <x:f>P199-J199*K199/H199</x:f>
        <x:v>0</x:v>
      </x:c>
      <x:c r="X199" s="8" t="n">
        <x:f>V199/S199</x:f>
        <x:v>0.8474705699778865</x:v>
      </x:c>
      <x:c r="Y199" s="8" t="n">
        <x:f>0</x:f>
        <x:v>0</x:v>
      </x:c>
      <x:c r="Z199" s="8" t="n">
        <x:f>K199/H199-X199*I199/H199-Y199*J199/H199</x:f>
        <x:v>2.0409704686316053</x:v>
      </x:c>
      <x:c r="AA199" s="8" t="n">
        <x:f>Z199+X199*Q199+Y199*R199</x:f>
        <x:v>2.99130118993268</x:v>
      </x:c>
    </x:row>
    <x:row r="200" ht="26" customHeight="1">
      <x:c r="A200" s="2"/>
      <x:c r="B200" s="2" t="n">
        <x:v>195</x:v>
      </x:c>
      <x:c r="C200" s="2" t="str">
        <x:v>Beauty / price_contribution</x:v>
      </x:c>
      <x:c r="D200" s="2" t="str">
        <x:v>Broad rolling 8</x:v>
      </x:c>
      <x:c r="E200" s="7" t="n">
        <x:v>46112</x:v>
      </x:c>
      <x:c r="F200" s="2" t="str">
        <x:v>Origin</x:v>
      </x:c>
      <x:c r="G200" s="7" t="n">
        <x:v>46023</x:v>
      </x:c>
      <x:c r="H200" s="2" t="n">
        <x:v>8</x:v>
      </x:c>
      <x:c r="I200" s="8" t="n">
        <x:v>11.968105858946277</x:v>
      </x:c>
      <x:c r="J200" s="8" t="n">
        <x:v>0</x:v>
      </x:c>
      <x:c r="K200" s="8" t="n">
        <x:v>20</x:v>
      </x:c>
      <x:c r="L200" s="8" t="n">
        <x:v>35.29105495113347</x:v>
      </x:c>
      <x:c r="M200" s="8" t="n">
        <x:v>0</x:v>
      </x:c>
      <x:c r="N200" s="8" t="n">
        <x:v>0</x:v>
      </x:c>
      <x:c r="O200" s="8" t="n">
        <x:v>40.6458816165792</x:v>
      </x:c>
      <x:c r="P200" s="8" t="n">
        <x:v>0</x:v>
      </x:c>
      <x:c r="Q200" s="8" t="n">
        <x:v>1.1213731248813419</x:v>
      </x:c>
      <x:c r="R200" s="8" t="n">
        <x:v>0</x:v>
      </x:c>
      <x:c r="S200" s="8" t="n">
        <x:f>L200-I200^2/H200</x:f>
        <x:v>17.38661021976544</x:v>
      </x:c>
      <x:c r="T200" s="8" t="n">
        <x:f>M200-J200^2/H200</x:f>
        <x:v>0</x:v>
      </x:c>
      <x:c r="U200" s="8" t="n">
        <x:f>N200-I200*J200/H200</x:f>
        <x:v>0</x:v>
      </x:c>
      <x:c r="V200" s="8" t="n">
        <x:f>O200-I200*K200/H200</x:f>
        <x:v>10.725616969213512</x:v>
      </x:c>
      <x:c r="W200" s="8" t="n">
        <x:f>P200-J200*K200/H200</x:f>
        <x:v>0</x:v>
      </x:c>
      <x:c r="X200" s="8" t="n">
        <x:f>V200/S200</x:f>
        <x:v>0.6168894818278274</x:v>
      </x:c>
      <x:c r="Y200" s="8" t="n">
        <x:f>0</x:f>
        <x:v>0</x:v>
      </x:c>
      <x:c r="Z200" s="8" t="n">
        <x:f>K200/H200-X200*I200/H200-Y200*J200/H200</x:f>
        <x:v>1.5771251722767556</x:v>
      </x:c>
      <x:c r="AA200" s="8" t="n">
        <x:f>Z200+X200*Q200+Y200*R200</x:f>
        <x:v>2.2688884582204585</x:v>
      </x:c>
    </x:row>
    <x:row r="201" ht="26" customHeight="1">
      <x:c r="A201" s="2"/>
      <x:c r="B201" s="2" t="n">
        <x:v>196</x:v>
      </x:c>
      <x:c r="C201" s="2" t="str">
        <x:v>Beauty / price_contribution</x:v>
      </x:c>
      <x:c r="D201" s="2" t="str">
        <x:v>Own history</x:v>
      </x:c>
      <x:c r="E201" s="7" t="n">
        <x:v>46112</x:v>
      </x:c>
      <x:c r="F201" s="2" t="str">
        <x:v>Origin</x:v>
      </x:c>
      <x:c r="G201" s="7" t="n">
        <x:v>46023</x:v>
      </x:c>
      <x:c r="H201" s="2" t="n">
        <x:v>17</x:v>
      </x:c>
      <x:c r="I201" s="8" t="n">
        <x:v>76</x:v>
      </x:c>
      <x:c r="J201" s="8" t="n">
        <x:v>0</x:v>
      </x:c>
      <x:c r="K201" s="8" t="n">
        <x:v>73</x:v>
      </x:c>
      <x:c r="L201" s="8" t="n">
        <x:v>442</x:v>
      </x:c>
      <x:c r="M201" s="8" t="n">
        <x:v>0</x:v>
      </x:c>
      <x:c r="N201" s="8" t="n">
        <x:v>0</x:v>
      </x:c>
      <x:c r="O201" s="8" t="n">
        <x:v>391</x:v>
      </x:c>
      <x:c r="P201" s="8" t="n">
        <x:v>0</x:v>
      </x:c>
      <x:c r="Q201" s="8" t="n">
        <x:v>2</x:v>
      </x:c>
      <x:c r="R201" s="8" t="n">
        <x:v>0</x:v>
      </x:c>
      <x:c r="S201" s="8" t="n">
        <x:f>L201-I201^2/H201</x:f>
        <x:v>102.23529411764707</x:v>
      </x:c>
      <x:c r="T201" s="8" t="n">
        <x:f>M201-J201^2/H201</x:f>
        <x:v>0</x:v>
      </x:c>
      <x:c r="U201" s="8" t="n">
        <x:f>N201-I201*J201/H201</x:f>
        <x:v>0</x:v>
      </x:c>
      <x:c r="V201" s="8" t="n">
        <x:f>O201-I201*K201/H201</x:f>
        <x:v>64.64705882352939</x:v>
      </x:c>
      <x:c r="W201" s="8" t="n">
        <x:f>P201-J201*K201/H201</x:f>
        <x:v>0</x:v>
      </x:c>
      <x:c r="X201" s="8" t="n">
        <x:f>V201/S201</x:f>
        <x:v>0.6323360184119675</x:v>
      </x:c>
      <x:c r="Y201" s="8" t="n">
        <x:f>0</x:f>
        <x:v>0</x:v>
      </x:c>
      <x:c r="Z201" s="8" t="n">
        <x:f>K201/H201-X201*I201/H201-Y201*J201/H201</x:f>
        <x:v>1.4672036823935568</x:v>
      </x:c>
      <x:c r="AA201" s="8" t="n">
        <x:f>Z201+X201*Q201+Y201*R201</x:f>
        <x:v>2.731875719217492</x:v>
      </x:c>
    </x:row>
    <x:row r="202" ht="26" customHeight="1">
      <x:c r="A202" s="2"/>
      <x:c r="B202" s="2" t="n">
        <x:v>197</x:v>
      </x:c>
      <x:c r="C202" s="2" t="str">
        <x:v>Beauty / price_contribution</x:v>
      </x:c>
      <x:c r="D202" s="2" t="str">
        <x:v>Product price</x:v>
      </x:c>
      <x:c r="E202" s="7" t="n">
        <x:v>46112</x:v>
      </x:c>
      <x:c r="F202" s="2" t="str">
        <x:v>Origin</x:v>
      </x:c>
      <x:c r="G202" s="7" t="n">
        <x:v>46023</x:v>
      </x:c>
      <x:c r="H202" s="2" t="n">
        <x:v>19</x:v>
      </x:c>
      <x:c r="I202" s="8" t="n">
        <x:v>23.998896944400173</x:v>
      </x:c>
      <x:c r="J202" s="8" t="n">
        <x:v>0</x:v>
      </x:c>
      <x:c r="K202" s="8" t="n">
        <x:v>79</x:v>
      </x:c>
      <x:c r="L202" s="8" t="n">
        <x:v>116.31366628199471</x:v>
      </x:c>
      <x:c r="M202" s="8" t="n">
        <x:v>0</x:v>
      </x:c>
      <x:c r="N202" s="8" t="n">
        <x:v>0</x:v>
      </x:c>
      <x:c r="O202" s="8" t="n">
        <x:v>189.76526877247852</x:v>
      </x:c>
      <x:c r="P202" s="8" t="n">
        <x:v>0</x:v>
      </x:c>
      <x:c r="Q202" s="8" t="n">
        <x:v>0.37322025918360424</x:v>
      </x:c>
      <x:c r="R202" s="8" t="n">
        <x:v>0</x:v>
      </x:c>
      <x:c r="S202" s="8" t="n">
        <x:f>L202-I202^2/H202</x:f>
        <x:v>86.00066341105051</x:v>
      </x:c>
      <x:c r="T202" s="8" t="n">
        <x:f>M202-J202^2/H202</x:f>
        <x:v>0</x:v>
      </x:c>
      <x:c r="U202" s="8" t="n">
        <x:f>N202-I202*J202/H202</x:f>
        <x:v>0</x:v>
      </x:c>
      <x:c r="V202" s="8" t="n">
        <x:f>O202-I202*K202/H202</x:f>
        <x:v>89.98038147734097</x:v>
      </x:c>
      <x:c r="W202" s="8" t="n">
        <x:f>P202-J202*K202/H202</x:f>
        <x:v>0</x:v>
      </x:c>
      <x:c r="X202" s="8" t="n">
        <x:f>V202/S202</x:f>
        <x:v>1.0462754344959981</x:v>
      </x:c>
      <x:c r="Y202" s="8" t="n">
        <x:f>0</x:f>
        <x:v>0</x:v>
      </x:c>
      <x:c r="Z202" s="8" t="n">
        <x:f>K202/H202-X202*I202/H202-Y202*J202/H202</x:f>
        <x:v>2.8363444037933174</x:v>
      </x:c>
      <x:c r="AA202" s="8" t="n">
        <x:f>Z202+X202*Q202+Y202*R202</x:f>
        <x:v>3.226835592633352</x:v>
      </x:c>
    </x:row>
    <x:row r="203" ht="26" customHeight="1">
      <x:c r="A203" s="2"/>
      <x:c r="B203" s="2" t="n">
        <x:v>198</x:v>
      </x:c>
      <x:c r="C203" s="2" t="str">
        <x:v>Beauty / price_contribution</x:v>
      </x:c>
      <x:c r="D203" s="2" t="str">
        <x:v>Own + product</x:v>
      </x:c>
      <x:c r="E203" s="7" t="n">
        <x:v>46112</x:v>
      </x:c>
      <x:c r="F203" s="2" t="str">
        <x:v>Origin</x:v>
      </x:c>
      <x:c r="G203" s="7" t="n">
        <x:v>46023</x:v>
      </x:c>
      <x:c r="H203" s="2" t="n">
        <x:v>17</x:v>
      </x:c>
      <x:c r="I203" s="8" t="n">
        <x:v>24.848978125701283</x:v>
      </x:c>
      <x:c r="J203" s="8" t="n">
        <x:v>76</x:v>
      </x:c>
      <x:c r="K203" s="8" t="n">
        <x:v>73</x:v>
      </x:c>
      <x:c r="L203" s="8" t="n">
        <x:v>115.95213644321568</x:v>
      </x:c>
      <x:c r="M203" s="8" t="n">
        <x:v>442</x:v>
      </x:c>
      <x:c r="N203" s="8" t="n">
        <x:v>181.11457304998677</x:v>
      </x:c>
      <x:c r="O203" s="8" t="n">
        <x:v>192.33604674492918</x:v>
      </x:c>
      <x:c r="P203" s="8" t="n">
        <x:v>391</x:v>
      </x:c>
      <x:c r="Q203" s="8" t="n">
        <x:v>0.37322025918360424</x:v>
      </x:c>
      <x:c r="R203" s="8" t="n">
        <x:v>2</x:v>
      </x:c>
      <x:c r="S203" s="8" t="n">
        <x:f>L203-I203^2/H203</x:f>
        <x:v>79.63027092018152</x:v>
      </x:c>
      <x:c r="T203" s="8" t="n">
        <x:f>M203-J203^2/H203</x:f>
        <x:v>102.23529411764707</x:v>
      </x:c>
      <x:c r="U203" s="8" t="n">
        <x:f>N203-I203*J203/H203</x:f>
        <x:v>70.02502378214574</x:v>
      </x:c>
      <x:c r="V203" s="8" t="n">
        <x:f>O203-I203*K203/H203</x:f>
        <x:v>85.63161126397661</x:v>
      </x:c>
      <x:c r="W203" s="8" t="n">
        <x:f>P203-J203*K203/H203</x:f>
        <x:v>64.64705882352939</x:v>
      </x:c>
      <x:c r="X203" s="8" t="n">
        <x:f>(V203*T203-W203*U203)/(S203*T203-U203^2)</x:f>
        <x:v>1.3058331235897582</x:v>
      </x:c>
      <x:c r="Y203" s="8" t="n">
        <x:f>(W203*S203-V203*U203)/(S203*T203-U203^2)</x:f>
        <x:v>-0.2620810840581533</x:v>
      </x:c>
      <x:c r="Z203" s="8" t="n">
        <x:f>K203/H203-X203*I203/H203-Y203*J203/H203</x:f>
        <x:v>3.5570319802659744</x:v>
      </x:c>
      <x:c r="AA203" s="8" t="n">
        <x:f>Z203+X203*Q203+Y203*R203</x:f>
        <x:v>3.520233188986373</x:v>
      </x:c>
    </x:row>
    <x:row r="204" ht="26" customHeight="1">
      <x:c r="A204" s="2"/>
      <x:c r="B204" s="2" t="n">
        <x:v>199</x:v>
      </x:c>
      <x:c r="C204" s="2" t="str">
        <x:v>Beauty / price_contribution</x:v>
      </x:c>
      <x:c r="D204" s="2" t="str">
        <x:v>Broad market</x:v>
      </x:c>
      <x:c r="E204" s="7" t="n">
        <x:v>46112</x:v>
      </x:c>
      <x:c r="F204" s="2" t="str">
        <x:v>Prior report</x:v>
      </x:c>
      <x:c r="G204" s="7" t="n">
        <x:v>46045</x:v>
      </x:c>
      <x:c r="H204" s="2" t="n">
        <x:v>19</x:v>
      </x:c>
      <x:c r="I204" s="8" t="n">
        <x:v>47.46071724596763</x:v>
      </x:c>
      <x:c r="J204" s="8" t="n">
        <x:v>0</x:v>
      </x:c>
      <x:c r="K204" s="8" t="n">
        <x:v>79</x:v>
      </x:c>
      <x:c r="L204" s="8" t="n">
        <x:v>257.85563851793324</x:v>
      </x:c>
      <x:c r="M204" s="8" t="n">
        <x:v>0</x:v>
      </x:c>
      <x:c r="N204" s="8" t="n">
        <x:v>0</x:v>
      </x:c>
      <x:c r="O204" s="8" t="n">
        <x:v>315.3909872658994</x:v>
      </x:c>
      <x:c r="P204" s="8" t="n">
        <x:v>0</x:v>
      </x:c>
      <x:c r="Q204" s="8" t="n">
        <x:v>1.2470805589842149</x:v>
      </x:c>
      <x:c r="R204" s="8" t="n">
        <x:v>0</x:v>
      </x:c>
      <x:c r="S204" s="8" t="n">
        <x:f>L204-I204^2/H204</x:f>
        <x:v>139.30197107047593</x:v>
      </x:c>
      <x:c r="T204" s="8" t="n">
        <x:f>M204-J204^2/H204</x:f>
        <x:v>0</x:v>
      </x:c>
      <x:c r="U204" s="8" t="n">
        <x:f>N204-I204*J204/H204</x:f>
        <x:v>0</x:v>
      </x:c>
      <x:c r="V204" s="8" t="n">
        <x:f>O204-I204*K204/H204</x:f>
        <x:v>118.05432082213929</x:v>
      </x:c>
      <x:c r="W204" s="8" t="n">
        <x:f>P204-J204*K204/H204</x:f>
        <x:v>0</x:v>
      </x:c>
      <x:c r="X204" s="8" t="n">
        <x:f>V204/S204</x:f>
        <x:v>0.8474705699778865</x:v>
      </x:c>
      <x:c r="Y204" s="8" t="n">
        <x:f>0</x:f>
        <x:v>0</x:v>
      </x:c>
      <x:c r="Z204" s="8" t="n">
        <x:f>K204/H204-X204*I204/H204-Y204*J204/H204</x:f>
        <x:v>2.0409704686316053</x:v>
      </x:c>
      <x:c r="AA204" s="8" t="n">
        <x:f>Z204+X204*Q204+Y204*R204</x:f>
        <x:v>3.097834540762299</x:v>
      </x:c>
    </x:row>
    <x:row r="205" ht="26" customHeight="1">
      <x:c r="A205" s="2"/>
      <x:c r="B205" s="2" t="n">
        <x:v>200</x:v>
      </x:c>
      <x:c r="C205" s="2" t="str">
        <x:v>Beauty / price_contribution</x:v>
      </x:c>
      <x:c r="D205" s="2" t="str">
        <x:v>Broad rolling 8</x:v>
      </x:c>
      <x:c r="E205" s="7" t="n">
        <x:v>46112</x:v>
      </x:c>
      <x:c r="F205" s="2" t="str">
        <x:v>Prior report</x:v>
      </x:c>
      <x:c r="G205" s="7" t="n">
        <x:v>46045</x:v>
      </x:c>
      <x:c r="H205" s="2" t="n">
        <x:v>8</x:v>
      </x:c>
      <x:c r="I205" s="8" t="n">
        <x:v>11.968105858946277</x:v>
      </x:c>
      <x:c r="J205" s="8" t="n">
        <x:v>0</x:v>
      </x:c>
      <x:c r="K205" s="8" t="n">
        <x:v>20</x:v>
      </x:c>
      <x:c r="L205" s="8" t="n">
        <x:v>35.29105495113347</x:v>
      </x:c>
      <x:c r="M205" s="8" t="n">
        <x:v>0</x:v>
      </x:c>
      <x:c r="N205" s="8" t="n">
        <x:v>0</x:v>
      </x:c>
      <x:c r="O205" s="8" t="n">
        <x:v>40.6458816165792</x:v>
      </x:c>
      <x:c r="P205" s="8" t="n">
        <x:v>0</x:v>
      </x:c>
      <x:c r="Q205" s="8" t="n">
        <x:v>1.2470805589842149</x:v>
      </x:c>
      <x:c r="R205" s="8" t="n">
        <x:v>0</x:v>
      </x:c>
      <x:c r="S205" s="8" t="n">
        <x:f>L205-I205^2/H205</x:f>
        <x:v>17.38661021976544</x:v>
      </x:c>
      <x:c r="T205" s="8" t="n">
        <x:f>M205-J205^2/H205</x:f>
        <x:v>0</x:v>
      </x:c>
      <x:c r="U205" s="8" t="n">
        <x:f>N205-I205*J205/H205</x:f>
        <x:v>0</x:v>
      </x:c>
      <x:c r="V205" s="8" t="n">
        <x:f>O205-I205*K205/H205</x:f>
        <x:v>10.725616969213512</x:v>
      </x:c>
      <x:c r="W205" s="8" t="n">
        <x:f>P205-J205*K205/H205</x:f>
        <x:v>0</x:v>
      </x:c>
      <x:c r="X205" s="8" t="n">
        <x:f>V205/S205</x:f>
        <x:v>0.6168894818278274</x:v>
      </x:c>
      <x:c r="Y205" s="8" t="n">
        <x:f>0</x:f>
        <x:v>0</x:v>
      </x:c>
      <x:c r="Z205" s="8" t="n">
        <x:f>K205/H205-X205*I205/H205-Y205*J205/H205</x:f>
        <x:v>1.5771251722767556</x:v>
      </x:c>
      <x:c r="AA205" s="8" t="n">
        <x:f>Z205+X205*Q205+Y205*R205</x:f>
        <x:v>2.3464360521060854</x:v>
      </x:c>
    </x:row>
    <x:row r="206" ht="26" customHeight="1">
      <x:c r="A206" s="2"/>
      <x:c r="B206" s="2" t="n">
        <x:v>201</x:v>
      </x:c>
      <x:c r="C206" s="2" t="str">
        <x:v>Beauty / price_contribution</x:v>
      </x:c>
      <x:c r="D206" s="2" t="str">
        <x:v>Own history</x:v>
      </x:c>
      <x:c r="E206" s="7" t="n">
        <x:v>46112</x:v>
      </x:c>
      <x:c r="F206" s="2" t="str">
        <x:v>Prior report</x:v>
      </x:c>
      <x:c r="G206" s="7" t="n">
        <x:v>46045</x:v>
      </x:c>
      <x:c r="H206" s="2" t="n">
        <x:v>19</x:v>
      </x:c>
      <x:c r="I206" s="8" t="n">
        <x:v>79</x:v>
      </x:c>
      <x:c r="J206" s="8" t="n">
        <x:v>0</x:v>
      </x:c>
      <x:c r="K206" s="8" t="n">
        <x:v>79</x:v>
      </x:c>
      <x:c r="L206" s="8" t="n">
        <x:v>447</x:v>
      </x:c>
      <x:c r="M206" s="8" t="n">
        <x:v>0</x:v>
      </x:c>
      <x:c r="N206" s="8" t="n">
        <x:v>0</x:v>
      </x:c>
      <x:c r="O206" s="8" t="n">
        <x:v>425</x:v>
      </x:c>
      <x:c r="P206" s="8" t="n">
        <x:v>0</x:v>
      </x:c>
      <x:c r="Q206" s="8" t="n">
        <x:v>2</x:v>
      </x:c>
      <x:c r="R206" s="8" t="n">
        <x:v>0</x:v>
      </x:c>
      <x:c r="S206" s="8" t="n">
        <x:f>L206-I206^2/H206</x:f>
        <x:v>118.5263157894737</x:v>
      </x:c>
      <x:c r="T206" s="8" t="n">
        <x:f>M206-J206^2/H206</x:f>
        <x:v>0</x:v>
      </x:c>
      <x:c r="U206" s="8" t="n">
        <x:f>N206-I206*J206/H206</x:f>
        <x:v>0</x:v>
      </x:c>
      <x:c r="V206" s="8" t="n">
        <x:f>O206-I206*K206/H206</x:f>
        <x:v>96.5263157894737</x:v>
      </x:c>
      <x:c r="W206" s="8" t="n">
        <x:f>P206-J206*K206/H206</x:f>
        <x:v>0</x:v>
      </x:c>
      <x:c r="X206" s="8" t="n">
        <x:f>V206/S206</x:f>
        <x:v>0.8143872113676732</x:v>
      </x:c>
      <x:c r="Y206" s="8" t="n">
        <x:f>0</x:f>
        <x:v>0</x:v>
      </x:c>
      <x:c r="Z206" s="8" t="n">
        <x:f>K206/H206-X206*I206/H206-Y206*J206/H206</x:f>
        <x:v>0.7717584369449377</x:v>
      </x:c>
      <x:c r="AA206" s="8" t="n">
        <x:f>Z206+X206*Q206+Y206*R206</x:f>
        <x:v>2.4005328596802844</x:v>
      </x:c>
    </x:row>
    <x:row r="207" ht="26" customHeight="1">
      <x:c r="A207" s="2"/>
      <x:c r="B207" s="2" t="n">
        <x:v>202</x:v>
      </x:c>
      <x:c r="C207" s="2" t="str">
        <x:v>Beauty / price_contribution</x:v>
      </x:c>
      <x:c r="D207" s="2" t="str">
        <x:v>Product price</x:v>
      </x:c>
      <x:c r="E207" s="7" t="n">
        <x:v>46112</x:v>
      </x:c>
      <x:c r="F207" s="2" t="str">
        <x:v>Prior report</x:v>
      </x:c>
      <x:c r="G207" s="7" t="n">
        <x:v>46045</x:v>
      </x:c>
      <x:c r="H207" s="2" t="n">
        <x:v>19</x:v>
      </x:c>
      <x:c r="I207" s="8" t="n">
        <x:v>23.998896944400173</x:v>
      </x:c>
      <x:c r="J207" s="8" t="n">
        <x:v>0</x:v>
      </x:c>
      <x:c r="K207" s="8" t="n">
        <x:v>79</x:v>
      </x:c>
      <x:c r="L207" s="8" t="n">
        <x:v>116.31366628199471</x:v>
      </x:c>
      <x:c r="M207" s="8" t="n">
        <x:v>0</x:v>
      </x:c>
      <x:c r="N207" s="8" t="n">
        <x:v>0</x:v>
      </x:c>
      <x:c r="O207" s="8" t="n">
        <x:v>189.76526877247852</x:v>
      </x:c>
      <x:c r="P207" s="8" t="n">
        <x:v>0</x:v>
      </x:c>
      <x:c r="Q207" s="8" t="n">
        <x:v>0.5497564466731442</x:v>
      </x:c>
      <x:c r="R207" s="8" t="n">
        <x:v>0</x:v>
      </x:c>
      <x:c r="S207" s="8" t="n">
        <x:f>L207-I207^2/H207</x:f>
        <x:v>86.00066341105051</x:v>
      </x:c>
      <x:c r="T207" s="8" t="n">
        <x:f>M207-J207^2/H207</x:f>
        <x:v>0</x:v>
      </x:c>
      <x:c r="U207" s="8" t="n">
        <x:f>N207-I207*J207/H207</x:f>
        <x:v>0</x:v>
      </x:c>
      <x:c r="V207" s="8" t="n">
        <x:f>O207-I207*K207/H207</x:f>
        <x:v>89.98038147734097</x:v>
      </x:c>
      <x:c r="W207" s="8" t="n">
        <x:f>P207-J207*K207/H207</x:f>
        <x:v>0</x:v>
      </x:c>
      <x:c r="X207" s="8" t="n">
        <x:f>V207/S207</x:f>
        <x:v>1.0462754344959981</x:v>
      </x:c>
      <x:c r="Y207" s="8" t="n">
        <x:f>0</x:f>
        <x:v>0</x:v>
      </x:c>
      <x:c r="Z207" s="8" t="n">
        <x:f>K207/H207-X207*I207/H207-Y207*J207/H207</x:f>
        <x:v>2.8363444037933174</x:v>
      </x:c>
      <x:c r="AA207" s="8" t="n">
        <x:f>Z207+X207*Q207+Y207*R207</x:f>
        <x:v>3.4115410689032375</x:v>
      </x:c>
    </x:row>
    <x:row r="208" ht="26" customHeight="1">
      <x:c r="A208" s="2"/>
      <x:c r="B208" s="2" t="n">
        <x:v>203</x:v>
      </x:c>
      <x:c r="C208" s="2" t="str">
        <x:v>Beauty / price_contribution</x:v>
      </x:c>
      <x:c r="D208" s="2" t="str">
        <x:v>Own + product</x:v>
      </x:c>
      <x:c r="E208" s="7" t="n">
        <x:v>46112</x:v>
      </x:c>
      <x:c r="F208" s="2" t="str">
        <x:v>Prior report</x:v>
      </x:c>
      <x:c r="G208" s="7" t="n">
        <x:v>46045</x:v>
      </x:c>
      <x:c r="H208" s="2" t="n">
        <x:v>18</x:v>
      </x:c>
      <x:c r="I208" s="8" t="n">
        <x:v>24.41367032077707</x:v>
      </x:c>
      <x:c r="J208" s="8" t="n">
        <x:v>77</x:v>
      </x:c>
      <x:c r="K208" s="8" t="n">
        <x:v>77</x:v>
      </x:c>
      <x:c r="L208" s="8" t="n">
        <x:v>116.14162932824362</x:v>
      </x:c>
      <x:c r="M208" s="8" t="n">
        <x:v>443</x:v>
      </x:c>
      <x:c r="N208" s="8" t="n">
        <x:v>192.93315392439166</x:v>
      </x:c>
      <x:c r="O208" s="8" t="n">
        <x:v>190.59481552523232</x:v>
      </x:c>
      <x:c r="P208" s="8" t="n">
        <x:v>421</x:v>
      </x:c>
      <x:c r="Q208" s="8" t="n">
        <x:v>0.5497564466731442</x:v>
      </x:c>
      <x:c r="R208" s="8" t="n">
        <x:v>2</x:v>
      </x:c>
      <x:c r="S208" s="8" t="n">
        <x:f>L208-I208^2/H208</x:f>
        <x:v>83.02900163204413</x:v>
      </x:c>
      <x:c r="T208" s="8" t="n">
        <x:f>M208-J208^2/H208</x:f>
        <x:v>113.61111111111109</x:v>
      </x:c>
      <x:c r="U208" s="8" t="n">
        <x:f>N208-I208*J208/H208</x:f>
        <x:v>88.49689755217865</x:v>
      </x:c>
      <x:c r="V208" s="8" t="n">
        <x:f>O208-I208*K208/H208</x:f>
        <x:v>86.15855915301931</x:v>
      </x:c>
      <x:c r="W208" s="8" t="n">
        <x:f>P208-J208*K208/H208</x:f>
        <x:v>91.61111111111109</x:v>
      </x:c>
      <x:c r="X208" s="8" t="n">
        <x:f>(V208*T208-W208*U208)/(S208*T208-U208^2)</x:f>
        <x:v>1.049930342484703</x:v>
      </x:c>
      <x:c r="Y208" s="8" t="n">
        <x:f>(W208*S208-V208*U208)/(S208*T208-U208^2)</x:f>
        <x:v>-0.011481859757588092</x:v>
      </x:c>
      <x:c r="Z208" s="8" t="n">
        <x:f>K208/H208-X208*I208/H208-Y208*J208/H208</x:f>
        <x:v>2.9028583311184546</x:v>
      </x:c>
      <x:c r="AA208" s="8" t="n">
        <x:f>Z208+X208*Q208+Y208*R208</x:f>
        <x:v>3.457100585941986</x:v>
      </x:c>
    </x:row>
    <x:row r="209" ht="26" customHeight="1">
      <x:c r="A209" s="2"/>
      <x:c r="B209" s="2" t="n">
        <x:v>204</x:v>
      </x:c>
      <x:c r="C209" s="2" t="str">
        <x:v>Beauty / price_contribution</x:v>
      </x:c>
      <x:c r="D209" s="2" t="str">
        <x:v>Broad market</x:v>
      </x:c>
      <x:c r="E209" s="7" t="n">
        <x:v>46112</x:v>
      </x:c>
      <x:c r="F209" s="2" t="str">
        <x:v>Pre-earnings</x:v>
      </x:c>
      <x:c r="G209" s="7" t="n">
        <x:v>46135</x:v>
      </x:c>
      <x:c r="H209" s="2" t="n">
        <x:v>19</x:v>
      </x:c>
      <x:c r="I209" s="8" t="n">
        <x:v>47.46071724596763</x:v>
      </x:c>
      <x:c r="J209" s="8" t="n">
        <x:v>0</x:v>
      </x:c>
      <x:c r="K209" s="8" t="n">
        <x:v>79</x:v>
      </x:c>
      <x:c r="L209" s="8" t="n">
        <x:v>257.85563851793324</x:v>
      </x:c>
      <x:c r="M209" s="8" t="n">
        <x:v>0</x:v>
      </x:c>
      <x:c r="N209" s="8" t="n">
        <x:v>0</x:v>
      </x:c>
      <x:c r="O209" s="8" t="n">
        <x:v>315.3909872658994</x:v>
      </x:c>
      <x:c r="P209" s="8" t="n">
        <x:v>0</x:v>
      </x:c>
      <x:c r="Q209" s="8" t="n">
        <x:v>1.9491325309717533</x:v>
      </x:c>
      <x:c r="R209" s="8" t="n">
        <x:v>0</x:v>
      </x:c>
      <x:c r="S209" s="8" t="n">
        <x:f>L209-I209^2/H209</x:f>
        <x:v>139.30197107047593</x:v>
      </x:c>
      <x:c r="T209" s="8" t="n">
        <x:f>M209-J209^2/H209</x:f>
        <x:v>0</x:v>
      </x:c>
      <x:c r="U209" s="8" t="n">
        <x:f>N209-I209*J209/H209</x:f>
        <x:v>0</x:v>
      </x:c>
      <x:c r="V209" s="8" t="n">
        <x:f>O209-I209*K209/H209</x:f>
        <x:v>118.05432082213929</x:v>
      </x:c>
      <x:c r="W209" s="8" t="n">
        <x:f>P209-J209*K209/H209</x:f>
        <x:v>0</x:v>
      </x:c>
      <x:c r="X209" s="8" t="n">
        <x:f>V209/S209</x:f>
        <x:v>0.8474705699778865</x:v>
      </x:c>
      <x:c r="Y209" s="8" t="n">
        <x:f>0</x:f>
        <x:v>0</x:v>
      </x:c>
      <x:c r="Z209" s="8" t="n">
        <x:f>K209/H209-X209*I209/H209-Y209*J209/H209</x:f>
        <x:v>2.0409704686316053</x:v>
      </x:c>
      <x:c r="AA209" s="8" t="n">
        <x:f>Z209+X209*Q209+Y209*R209</x:f>
        <x:v>3.6928029256166774</x:v>
      </x:c>
    </x:row>
    <x:row r="210" ht="26" customHeight="1">
      <x:c r="A210" s="2"/>
      <x:c r="B210" s="2" t="n">
        <x:v>205</x:v>
      </x:c>
      <x:c r="C210" s="2" t="str">
        <x:v>Beauty / price_contribution</x:v>
      </x:c>
      <x:c r="D210" s="2" t="str">
        <x:v>Broad rolling 8</x:v>
      </x:c>
      <x:c r="E210" s="7" t="n">
        <x:v>46112</x:v>
      </x:c>
      <x:c r="F210" s="2" t="str">
        <x:v>Pre-earnings</x:v>
      </x:c>
      <x:c r="G210" s="7" t="n">
        <x:v>46135</x:v>
      </x:c>
      <x:c r="H210" s="2" t="n">
        <x:v>8</x:v>
      </x:c>
      <x:c r="I210" s="8" t="n">
        <x:v>11.968105858946277</x:v>
      </x:c>
      <x:c r="J210" s="8" t="n">
        <x:v>0</x:v>
      </x:c>
      <x:c r="K210" s="8" t="n">
        <x:v>20</x:v>
      </x:c>
      <x:c r="L210" s="8" t="n">
        <x:v>35.29105495113347</x:v>
      </x:c>
      <x:c r="M210" s="8" t="n">
        <x:v>0</x:v>
      </x:c>
      <x:c r="N210" s="8" t="n">
        <x:v>0</x:v>
      </x:c>
      <x:c r="O210" s="8" t="n">
        <x:v>40.6458816165792</x:v>
      </x:c>
      <x:c r="P210" s="8" t="n">
        <x:v>0</x:v>
      </x:c>
      <x:c r="Q210" s="8" t="n">
        <x:v>1.9491325309717533</x:v>
      </x:c>
      <x:c r="R210" s="8" t="n">
        <x:v>0</x:v>
      </x:c>
      <x:c r="S210" s="8" t="n">
        <x:f>L210-I210^2/H210</x:f>
        <x:v>17.38661021976544</x:v>
      </x:c>
      <x:c r="T210" s="8" t="n">
        <x:f>M210-J210^2/H210</x:f>
        <x:v>0</x:v>
      </x:c>
      <x:c r="U210" s="8" t="n">
        <x:f>N210-I210*J210/H210</x:f>
        <x:v>0</x:v>
      </x:c>
      <x:c r="V210" s="8" t="n">
        <x:f>O210-I210*K210/H210</x:f>
        <x:v>10.725616969213512</x:v>
      </x:c>
      <x:c r="W210" s="8" t="n">
        <x:f>P210-J210*K210/H210</x:f>
        <x:v>0</x:v>
      </x:c>
      <x:c r="X210" s="8" t="n">
        <x:f>V210/S210</x:f>
        <x:v>0.6168894818278274</x:v>
      </x:c>
      <x:c r="Y210" s="8" t="n">
        <x:f>0</x:f>
        <x:v>0</x:v>
      </x:c>
      <x:c r="Z210" s="8" t="n">
        <x:f>K210/H210-X210*I210/H210-Y210*J210/H210</x:f>
        <x:v>1.5771251722767556</x:v>
      </x:c>
      <x:c r="AA210" s="8" t="n">
        <x:f>Z210+X210*Q210+Y210*R210</x:f>
        <x:v>2.7795245293216824</x:v>
      </x:c>
    </x:row>
    <x:row r="211" ht="26" customHeight="1">
      <x:c r="A211" s="2"/>
      <x:c r="B211" s="2" t="n">
        <x:v>206</x:v>
      </x:c>
      <x:c r="C211" s="2" t="str">
        <x:v>Beauty / price_contribution</x:v>
      </x:c>
      <x:c r="D211" s="2" t="str">
        <x:v>Own history</x:v>
      </x:c>
      <x:c r="E211" s="7" t="n">
        <x:v>46112</x:v>
      </x:c>
      <x:c r="F211" s="2" t="str">
        <x:v>Pre-earnings</x:v>
      </x:c>
      <x:c r="G211" s="7" t="n">
        <x:v>46135</x:v>
      </x:c>
      <x:c r="H211" s="2" t="n">
        <x:v>19</x:v>
      </x:c>
      <x:c r="I211" s="8" t="n">
        <x:v>79</x:v>
      </x:c>
      <x:c r="J211" s="8" t="n">
        <x:v>0</x:v>
      </x:c>
      <x:c r="K211" s="8" t="n">
        <x:v>79</x:v>
      </x:c>
      <x:c r="L211" s="8" t="n">
        <x:v>447</x:v>
      </x:c>
      <x:c r="M211" s="8" t="n">
        <x:v>0</x:v>
      </x:c>
      <x:c r="N211" s="8" t="n">
        <x:v>0</x:v>
      </x:c>
      <x:c r="O211" s="8" t="n">
        <x:v>425</x:v>
      </x:c>
      <x:c r="P211" s="8" t="n">
        <x:v>0</x:v>
      </x:c>
      <x:c r="Q211" s="8" t="n">
        <x:v>2</x:v>
      </x:c>
      <x:c r="R211" s="8" t="n">
        <x:v>0</x:v>
      </x:c>
      <x:c r="S211" s="8" t="n">
        <x:f>L211-I211^2/H211</x:f>
        <x:v>118.5263157894737</x:v>
      </x:c>
      <x:c r="T211" s="8" t="n">
        <x:f>M211-J211^2/H211</x:f>
        <x:v>0</x:v>
      </x:c>
      <x:c r="U211" s="8" t="n">
        <x:f>N211-I211*J211/H211</x:f>
        <x:v>0</x:v>
      </x:c>
      <x:c r="V211" s="8" t="n">
        <x:f>O211-I211*K211/H211</x:f>
        <x:v>96.5263157894737</x:v>
      </x:c>
      <x:c r="W211" s="8" t="n">
        <x:f>P211-J211*K211/H211</x:f>
        <x:v>0</x:v>
      </x:c>
      <x:c r="X211" s="8" t="n">
        <x:f>V211/S211</x:f>
        <x:v>0.8143872113676732</x:v>
      </x:c>
      <x:c r="Y211" s="8" t="n">
        <x:f>0</x:f>
        <x:v>0</x:v>
      </x:c>
      <x:c r="Z211" s="8" t="n">
        <x:f>K211/H211-X211*I211/H211-Y211*J211/H211</x:f>
        <x:v>0.7717584369449377</x:v>
      </x:c>
      <x:c r="AA211" s="8" t="n">
        <x:f>Z211+X211*Q211+Y211*R211</x:f>
        <x:v>2.4005328596802844</x:v>
      </x:c>
    </x:row>
    <x:row r="212" ht="26" customHeight="1">
      <x:c r="A212" s="2"/>
      <x:c r="B212" s="2" t="n">
        <x:v>207</x:v>
      </x:c>
      <x:c r="C212" s="2" t="str">
        <x:v>Beauty / price_contribution</x:v>
      </x:c>
      <x:c r="D212" s="2" t="str">
        <x:v>Product price</x:v>
      </x:c>
      <x:c r="E212" s="7" t="n">
        <x:v>46112</x:v>
      </x:c>
      <x:c r="F212" s="2" t="str">
        <x:v>Pre-earnings</x:v>
      </x:c>
      <x:c r="G212" s="7" t="n">
        <x:v>46135</x:v>
      </x:c>
      <x:c r="H212" s="2" t="n">
        <x:v>19</x:v>
      </x:c>
      <x:c r="I212" s="8" t="n">
        <x:v>23.998896944400173</x:v>
      </x:c>
      <x:c r="J212" s="8" t="n">
        <x:v>0</x:v>
      </x:c>
      <x:c r="K212" s="8" t="n">
        <x:v>79</x:v>
      </x:c>
      <x:c r="L212" s="8" t="n">
        <x:v>116.31366628199471</x:v>
      </x:c>
      <x:c r="M212" s="8" t="n">
        <x:v>0</x:v>
      </x:c>
      <x:c r="N212" s="8" t="n">
        <x:v>0</x:v>
      </x:c>
      <x:c r="O212" s="8" t="n">
        <x:v>189.76526877247852</x:v>
      </x:c>
      <x:c r="P212" s="8" t="n">
        <x:v>0</x:v>
      </x:c>
      <x:c r="Q212" s="8" t="n">
        <x:v>1.6103546932900725</x:v>
      </x:c>
      <x:c r="R212" s="8" t="n">
        <x:v>0</x:v>
      </x:c>
      <x:c r="S212" s="8" t="n">
        <x:f>L212-I212^2/H212</x:f>
        <x:v>86.00066341105051</x:v>
      </x:c>
      <x:c r="T212" s="8" t="n">
        <x:f>M212-J212^2/H212</x:f>
        <x:v>0</x:v>
      </x:c>
      <x:c r="U212" s="8" t="n">
        <x:f>N212-I212*J212/H212</x:f>
        <x:v>0</x:v>
      </x:c>
      <x:c r="V212" s="8" t="n">
        <x:f>O212-I212*K212/H212</x:f>
        <x:v>89.98038147734097</x:v>
      </x:c>
      <x:c r="W212" s="8" t="n">
        <x:f>P212-J212*K212/H212</x:f>
        <x:v>0</x:v>
      </x:c>
      <x:c r="X212" s="8" t="n">
        <x:f>V212/S212</x:f>
        <x:v>1.0462754344959981</x:v>
      </x:c>
      <x:c r="Y212" s="8" t="n">
        <x:f>0</x:f>
        <x:v>0</x:v>
      </x:c>
      <x:c r="Z212" s="8" t="n">
        <x:f>K212/H212-X212*I212/H212-Y212*J212/H212</x:f>
        <x:v>2.8363444037933174</x:v>
      </x:c>
      <x:c r="AA212" s="8" t="n">
        <x:f>Z212+X212*Q212+Y212*R212</x:f>
        <x:v>4.521218960208058</x:v>
      </x:c>
    </x:row>
    <x:row r="213" ht="26" customHeight="1">
      <x:c r="A213" s="2"/>
      <x:c r="B213" s="2" t="n">
        <x:v>208</x:v>
      </x:c>
      <x:c r="C213" s="2" t="str">
        <x:v>Beauty / price_contribution</x:v>
      </x:c>
      <x:c r="D213" s="2" t="str">
        <x:v>Own + product</x:v>
      </x:c>
      <x:c r="E213" s="7" t="n">
        <x:v>46112</x:v>
      </x:c>
      <x:c r="F213" s="2" t="str">
        <x:v>Pre-earnings</x:v>
      </x:c>
      <x:c r="G213" s="7" t="n">
        <x:v>46135</x:v>
      </x:c>
      <x:c r="H213" s="2" t="n">
        <x:v>18</x:v>
      </x:c>
      <x:c r="I213" s="8" t="n">
        <x:v>24.41367032077707</x:v>
      </x:c>
      <x:c r="J213" s="8" t="n">
        <x:v>77</x:v>
      </x:c>
      <x:c r="K213" s="8" t="n">
        <x:v>77</x:v>
      </x:c>
      <x:c r="L213" s="8" t="n">
        <x:v>116.14162932824362</x:v>
      </x:c>
      <x:c r="M213" s="8" t="n">
        <x:v>443</x:v>
      </x:c>
      <x:c r="N213" s="8" t="n">
        <x:v>192.93315392439166</x:v>
      </x:c>
      <x:c r="O213" s="8" t="n">
        <x:v>190.59481552523232</x:v>
      </x:c>
      <x:c r="P213" s="8" t="n">
        <x:v>421</x:v>
      </x:c>
      <x:c r="Q213" s="8" t="n">
        <x:v>1.6103546932900725</x:v>
      </x:c>
      <x:c r="R213" s="8" t="n">
        <x:v>2</x:v>
      </x:c>
      <x:c r="S213" s="8" t="n">
        <x:f>L213-I213^2/H213</x:f>
        <x:v>83.02900163204413</x:v>
      </x:c>
      <x:c r="T213" s="8" t="n">
        <x:f>M213-J213^2/H213</x:f>
        <x:v>113.61111111111109</x:v>
      </x:c>
      <x:c r="U213" s="8" t="n">
        <x:f>N213-I213*J213/H213</x:f>
        <x:v>88.49689755217865</x:v>
      </x:c>
      <x:c r="V213" s="8" t="n">
        <x:f>O213-I213*K213/H213</x:f>
        <x:v>86.15855915301931</x:v>
      </x:c>
      <x:c r="W213" s="8" t="n">
        <x:f>P213-J213*K213/H213</x:f>
        <x:v>91.61111111111109</x:v>
      </x:c>
      <x:c r="X213" s="8" t="n">
        <x:f>(V213*T213-W213*U213)/(S213*T213-U213^2)</x:f>
        <x:v>1.049930342484703</x:v>
      </x:c>
      <x:c r="Y213" s="8" t="n">
        <x:f>(W213*S213-V213*U213)/(S213*T213-U213^2)</x:f>
        <x:v>-0.011481859757588092</x:v>
      </x:c>
      <x:c r="Z213" s="8" t="n">
        <x:f>K213/H213-X213*I213/H213-Y213*J213/H213</x:f>
        <x:v>2.9028583311184546</x:v>
      </x:c>
      <x:c r="AA213" s="8" t="n">
        <x:f>Z213+X213*Q213+Y213*R213</x:f>
        <x:v>4.570654866251173</x:v>
      </x:c>
    </x:row>
    <x:row r="214" ht="26" customHeight="1">
      <x:c r="A214" s="2"/>
      <x:c r="B214" s="2" t="n">
        <x:v>209</x:v>
      </x:c>
      <x:c r="C214" s="2" t="str">
        <x:v>Grooming / price_contribution</x:v>
      </x:c>
      <x:c r="D214" s="2" t="str">
        <x:v>Broad market</x:v>
      </x:c>
      <x:c r="E214" s="7" t="n">
        <x:v>45107</x:v>
      </x:c>
      <x:c r="F214" s="2" t="str">
        <x:v>Origin</x:v>
      </x:c>
      <x:c r="G214" s="7" t="n">
        <x:v>45017</x:v>
      </x:c>
      <x:c r="H214" s="2" t="n">
        <x:v>8</x:v>
      </x:c>
      <x:c r="I214" s="8" t="n">
        <x:v>16.168397415672132</x:v>
      </x:c>
      <x:c r="J214" s="8" t="n">
        <x:v>0</x:v>
      </x:c>
      <x:c r="K214" s="8" t="n">
        <x:v>41</x:v>
      </x:c>
      <x:c r="L214" s="8" t="n">
        <x:v>96.70113017065493</x:v>
      </x:c>
      <x:c r="M214" s="8" t="n">
        <x:v>0</x:v>
      </x:c>
      <x:c r="N214" s="8" t="n">
        <x:v>0</x:v>
      </x:c>
      <x:c r="O214" s="8" t="n">
        <x:v>148.56615548289867</x:v>
      </x:c>
      <x:c r="P214" s="8" t="n">
        <x:v>0</x:v>
      </x:c>
      <x:c r="Q214" s="8" t="n">
        <x:v>7.117736159808752</x:v>
      </x:c>
      <x:c r="R214" s="8" t="n">
        <x:v>0</x:v>
      </x:c>
      <x:c r="S214" s="8" t="n">
        <x:f>L214-I214^2/H214</x:f>
        <x:v>64.02399579676577</x:v>
      </x:c>
      <x:c r="T214" s="8" t="n">
        <x:f>M214-J214^2/H214</x:f>
        <x:v>0</x:v>
      </x:c>
      <x:c r="U214" s="8" t="n">
        <x:f>N214-I214*J214/H214</x:f>
        <x:v>0</x:v>
      </x:c>
      <x:c r="V214" s="8" t="n">
        <x:f>O214-I214*K214/H214</x:f>
        <x:v>65.70311872757898</x:v>
      </x:c>
      <x:c r="W214" s="8" t="n">
        <x:f>P214-J214*K214/H214</x:f>
        <x:v>0</x:v>
      </x:c>
      <x:c r="X214" s="8" t="n">
        <x:f>V214/S214</x:f>
        <x:v>1.026226462592921</x:v>
      </x:c>
      <x:c r="Y214" s="8" t="n">
        <x:f>0</x:f>
        <x:v>0</x:v>
      </x:c>
      <x:c r="Z214" s="8" t="n">
        <x:f>K214/H214-X214*I214/H214-Y214*J214/H214</x:f>
        <x:v>3.050945339289783</x:v>
      </x:c>
      <x:c r="AA214" s="8" t="n">
        <x:f>Z214+X214*Q214+Y214*R214</x:f>
        <x:v>10.35535454024004</x:v>
      </x:c>
    </x:row>
    <x:row r="215" ht="26" customHeight="1">
      <x:c r="A215" s="2"/>
      <x:c r="B215" s="2" t="n">
        <x:v>210</x:v>
      </x:c>
      <x:c r="C215" s="2" t="str">
        <x:v>Grooming / price_contribution</x:v>
      </x:c>
      <x:c r="D215" s="2" t="str">
        <x:v>Broad rolling 8</x:v>
      </x:c>
      <x:c r="E215" s="7" t="n">
        <x:v>45107</x:v>
      </x:c>
      <x:c r="F215" s="2" t="str">
        <x:v>Origin</x:v>
      </x:c>
      <x:c r="G215" s="7" t="n">
        <x:v>45017</x:v>
      </x:c>
      <x:c r="H215" s="2" t="n">
        <x:v>8</x:v>
      </x:c>
      <x:c r="I215" s="8" t="n">
        <x:v>16.168397415672132</x:v>
      </x:c>
      <x:c r="J215" s="8" t="n">
        <x:v>0</x:v>
      </x:c>
      <x:c r="K215" s="8" t="n">
        <x:v>41</x:v>
      </x:c>
      <x:c r="L215" s="8" t="n">
        <x:v>96.70113017065493</x:v>
      </x:c>
      <x:c r="M215" s="8" t="n">
        <x:v>0</x:v>
      </x:c>
      <x:c r="N215" s="8" t="n">
        <x:v>0</x:v>
      </x:c>
      <x:c r="O215" s="8" t="n">
        <x:v>148.56615548289867</x:v>
      </x:c>
      <x:c r="P215" s="8" t="n">
        <x:v>0</x:v>
      </x:c>
      <x:c r="Q215" s="8" t="n">
        <x:v>7.117736159808752</x:v>
      </x:c>
      <x:c r="R215" s="8" t="n">
        <x:v>0</x:v>
      </x:c>
      <x:c r="S215" s="8" t="n">
        <x:f>L215-I215^2/H215</x:f>
        <x:v>64.02399579676577</x:v>
      </x:c>
      <x:c r="T215" s="8" t="n">
        <x:f>M215-J215^2/H215</x:f>
        <x:v>0</x:v>
      </x:c>
      <x:c r="U215" s="8" t="n">
        <x:f>N215-I215*J215/H215</x:f>
        <x:v>0</x:v>
      </x:c>
      <x:c r="V215" s="8" t="n">
        <x:f>O215-I215*K215/H215</x:f>
        <x:v>65.70311872757898</x:v>
      </x:c>
      <x:c r="W215" s="8" t="n">
        <x:f>P215-J215*K215/H215</x:f>
        <x:v>0</x:v>
      </x:c>
      <x:c r="X215" s="8" t="n">
        <x:f>V215/S215</x:f>
        <x:v>1.026226462592921</x:v>
      </x:c>
      <x:c r="Y215" s="8" t="n">
        <x:f>0</x:f>
        <x:v>0</x:v>
      </x:c>
      <x:c r="Z215" s="8" t="n">
        <x:f>K215/H215-X215*I215/H215-Y215*J215/H215</x:f>
        <x:v>3.050945339289783</x:v>
      </x:c>
      <x:c r="AA215" s="8" t="n">
        <x:f>Z215+X215*Q215+Y215*R215</x:f>
        <x:v>10.35535454024004</x:v>
      </x:c>
    </x:row>
    <x:row r="216" ht="26" customHeight="1">
      <x:c r="A216" s="2"/>
      <x:c r="B216" s="2" t="n">
        <x:v>211</x:v>
      </x:c>
      <x:c r="C216" s="2" t="str">
        <x:v>Grooming / price_contribution</x:v>
      </x:c>
      <x:c r="D216" s="2" t="str">
        <x:v>Broad market</x:v>
      </x:c>
      <x:c r="E216" s="7" t="n">
        <x:v>45107</x:v>
      </x:c>
      <x:c r="F216" s="2" t="str">
        <x:v>Prior report</x:v>
      </x:c>
      <x:c r="G216" s="7" t="n">
        <x:v>45037</x:v>
      </x:c>
      <x:c r="H216" s="2" t="n">
        <x:v>9</x:v>
      </x:c>
      <x:c r="I216" s="8" t="n">
        <x:v>22.94079143912051</x:v>
      </x:c>
      <x:c r="J216" s="8" t="n">
        <x:v>0</x:v>
      </x:c>
      <x:c r="K216" s="8" t="n">
        <x:v>51</x:v>
      </x:c>
      <x:c r="L216" s="8" t="n">
        <x:v>142.56645097949428</x:v>
      </x:c>
      <x:c r="M216" s="8" t="n">
        <x:v>0</x:v>
      </x:c>
      <x:c r="N216" s="8" t="n">
        <x:v>0</x:v>
      </x:c>
      <x:c r="O216" s="8" t="n">
        <x:v>216.29009571738246</x:v>
      </x:c>
      <x:c r="P216" s="8" t="n">
        <x:v>0</x:v>
      </x:c>
      <x:c r="Q216" s="8" t="n">
        <x:v>6.774056644823578</x:v>
      </x:c>
      <x:c r="R216" s="8" t="n">
        <x:v>0</x:v>
      </x:c>
      <x:c r="S216" s="8" t="n">
        <x:f>L216-I216^2/H216</x:f>
        <x:v>84.09090521802484</x:v>
      </x:c>
      <x:c r="T216" s="8" t="n">
        <x:f>M216-J216^2/H216</x:f>
        <x:v>0</x:v>
      </x:c>
      <x:c r="U216" s="8" t="n">
        <x:f>N216-I216*J216/H216</x:f>
        <x:v>0</x:v>
      </x:c>
      <x:c r="V216" s="8" t="n">
        <x:f>O216-I216*K216/H216</x:f>
        <x:v>86.29227756236622</x:v>
      </x:c>
      <x:c r="W216" s="8" t="n">
        <x:f>P216-J216*K216/H216</x:f>
        <x:v>0</x:v>
      </x:c>
      <x:c r="X216" s="8" t="n">
        <x:f>V216/S216</x:f>
        <x:v>1.0261784831383824</x:v>
      </x:c>
      <x:c r="Y216" s="8" t="n">
        <x:f>0</x:f>
        <x:v>0</x:v>
      </x:c>
      <x:c r="Z216" s="8" t="n">
        <x:f>K216/H216-X216*I216/H216-Y216*J216/H216</x:f>
        <x:v>3.0509614932232587</x:v>
      </x:c>
      <x:c r="AA216" s="8" t="n">
        <x:f>Z216+X216*Q216+Y216*R216</x:f>
        <x:v>10.0023526657018</x:v>
      </x:c>
    </x:row>
    <x:row r="217" ht="26" customHeight="1">
      <x:c r="A217" s="2"/>
      <x:c r="B217" s="2" t="n">
        <x:v>212</x:v>
      </x:c>
      <x:c r="C217" s="2" t="str">
        <x:v>Grooming / price_contribution</x:v>
      </x:c>
      <x:c r="D217" s="2" t="str">
        <x:v>Broad lag 1</x:v>
      </x:c>
      <x:c r="E217" s="7" t="n">
        <x:v>45107</x:v>
      </x:c>
      <x:c r="F217" s="2" t="str">
        <x:v>Prior report</x:v>
      </x:c>
      <x:c r="G217" s="7" t="n">
        <x:v>45037</x:v>
      </x:c>
      <x:c r="H217" s="2" t="n">
        <x:v>8</x:v>
      </x:c>
      <x:c r="I217" s="8" t="n">
        <x:v>16.168397415672132</x:v>
      </x:c>
      <x:c r="J217" s="8" t="n">
        <x:v>0</x:v>
      </x:c>
      <x:c r="K217" s="8" t="n">
        <x:v>49</x:v>
      </x:c>
      <x:c r="L217" s="8" t="n">
        <x:v>96.70113017065493</x:v>
      </x:c>
      <x:c r="M217" s="8" t="n">
        <x:v>0</x:v>
      </x:c>
      <x:c r="N217" s="8" t="n">
        <x:v>0</x:v>
      </x:c>
      <x:c r="O217" s="8" t="n">
        <x:v>164.08505497837683</x:v>
      </x:c>
      <x:c r="P217" s="8" t="n">
        <x:v>0</x:v>
      </x:c>
      <x:c r="Q217" s="8" t="n">
        <x:v>6.77239402344838</x:v>
      </x:c>
      <x:c r="R217" s="8" t="n">
        <x:v>0</x:v>
      </x:c>
      <x:c r="S217" s="8" t="n">
        <x:f>L217-I217^2/H217</x:f>
        <x:v>64.02399579676577</x:v>
      </x:c>
      <x:c r="T217" s="8" t="n">
        <x:f>M217-J217^2/H217</x:f>
        <x:v>0</x:v>
      </x:c>
      <x:c r="U217" s="8" t="n">
        <x:f>N217-I217*J217/H217</x:f>
        <x:v>0</x:v>
      </x:c>
      <x:c r="V217" s="8" t="n">
        <x:f>O217-I217*K217/H217</x:f>
        <x:v>65.05362080738502</x:v>
      </x:c>
      <x:c r="W217" s="8" t="n">
        <x:f>P217-J217*K217/H217</x:f>
        <x:v>0</x:v>
      </x:c>
      <x:c r="X217" s="8" t="n">
        <x:f>V217/S217</x:f>
        <x:v>1.0160818611491795</x:v>
      </x:c>
      <x:c r="Y217" s="8" t="n">
        <x:f>0</x:f>
        <x:v>0</x:v>
      </x:c>
      <x:c r="Z217" s="8" t="n">
        <x:f>K217/H217-X217*I217/H217-Y217*J217/H217</x:f>
        <x:v>4.071448082760535</x:v>
      </x:c>
      <x:c r="AA217" s="8" t="n">
        <x:f>Z217+X217*Q217+Y217*R217</x:f>
        <x:v>10.952754806541545</x:v>
      </x:c>
    </x:row>
    <x:row r="218" ht="26" customHeight="1">
      <x:c r="A218" s="2"/>
      <x:c r="B218" s="2" t="n">
        <x:v>213</x:v>
      </x:c>
      <x:c r="C218" s="2" t="str">
        <x:v>Grooming / price_contribution</x:v>
      </x:c>
      <x:c r="D218" s="2" t="str">
        <x:v>Broad rolling 8</x:v>
      </x:c>
      <x:c r="E218" s="7" t="n">
        <x:v>45107</x:v>
      </x:c>
      <x:c r="F218" s="2" t="str">
        <x:v>Prior report</x:v>
      </x:c>
      <x:c r="G218" s="7" t="n">
        <x:v>45037</x:v>
      </x:c>
      <x:c r="H218" s="2" t="n">
        <x:v>8</x:v>
      </x:c>
      <x:c r="I218" s="8" t="n">
        <x:v>23.298494829725136</x:v>
      </x:c>
      <x:c r="J218" s="8" t="n">
        <x:v>0</x:v>
      </x:c>
      <x:c r="K218" s="8" t="n">
        <x:v>49</x:v>
      </x:c>
      <x:c r="L218" s="8" t="n">
        <x:v>142.43849926384422</x:v>
      </x:c>
      <x:c r="M218" s="8" t="n">
        <x:v>0</x:v>
      </x:c>
      <x:c r="N218" s="8" t="n">
        <x:v>0</x:v>
      </x:c>
      <x:c r="O218" s="8" t="n">
        <x:v>217.0055024985917</x:v>
      </x:c>
      <x:c r="P218" s="8" t="n">
        <x:v>0</x:v>
      </x:c>
      <x:c r="Q218" s="8" t="n">
        <x:v>6.774056644823578</x:v>
      </x:c>
      <x:c r="R218" s="8" t="n">
        <x:v>0</x:v>
      </x:c>
      <x:c r="S218" s="8" t="n">
        <x:f>L218-I218^2/H218</x:f>
        <x:v>74.5860165975031</x:v>
      </x:c>
      <x:c r="T218" s="8" t="n">
        <x:f>M218-J218^2/H218</x:f>
        <x:v>0</x:v>
      </x:c>
      <x:c r="U218" s="8" t="n">
        <x:f>N218-I218*J218/H218</x:f>
        <x:v>0</x:v>
      </x:c>
      <x:c r="V218" s="8" t="n">
        <x:f>O218-I218*K218/H218</x:f>
        <x:v>74.30222166652524</x:v>
      </x:c>
      <x:c r="W218" s="8" t="n">
        <x:f>P218-J218*K218/H218</x:f>
        <x:v>0</x:v>
      </x:c>
      <x:c r="X218" s="8" t="n">
        <x:f>V218/S218</x:f>
        <x:v>0.9961950651888365</x:v>
      </x:c>
      <x:c r="Y218" s="8" t="n">
        <x:f>0</x:f>
        <x:v>0</x:v>
      </x:c>
      <x:c r="Z218" s="8" t="n">
        <x:f>K218/H218-X218*I218/H218-Y218*J218/H218</x:f>
        <x:v>3.2237693030375247</x:v>
      </x:c>
      <x:c r="AA218" s="8" t="n">
        <x:f>Z218+X218*Q218+Y218*R218</x:f>
        <x:v>9.972051103920421</x:v>
      </x:c>
    </x:row>
    <x:row r="219" ht="26" customHeight="1">
      <x:c r="A219" s="2"/>
      <x:c r="B219" s="2" t="n">
        <x:v>214</x:v>
      </x:c>
      <x:c r="C219" s="2" t="str">
        <x:v>Grooming / price_contribution</x:v>
      </x:c>
      <x:c r="D219" s="2" t="str">
        <x:v>Own history</x:v>
      </x:c>
      <x:c r="E219" s="7" t="n">
        <x:v>45107</x:v>
      </x:c>
      <x:c r="F219" s="2" t="str">
        <x:v>Prior report</x:v>
      </x:c>
      <x:c r="G219" s="7" t="n">
        <x:v>45037</x:v>
      </x:c>
      <x:c r="H219" s="2" t="n">
        <x:v>8</x:v>
      </x:c>
      <x:c r="I219" s="8" t="n">
        <x:v>41</x:v>
      </x:c>
      <x:c r="J219" s="8" t="n">
        <x:v>0</x:v>
      </x:c>
      <x:c r="K219" s="8" t="n">
        <x:v>49</x:v>
      </x:c>
      <x:c r="L219" s="8" t="n">
        <x:v>285</x:v>
      </x:c>
      <x:c r="M219" s="8" t="n">
        <x:v>0</x:v>
      </x:c>
      <x:c r="N219" s="8" t="n">
        <x:v>0</x:v>
      </x:c>
      <x:c r="O219" s="8" t="n">
        <x:v>322</x:v>
      </x:c>
      <x:c r="P219" s="8" t="n">
        <x:v>0</x:v>
      </x:c>
      <x:c r="Q219" s="8" t="n">
        <x:v>10</x:v>
      </x:c>
      <x:c r="R219" s="8" t="n">
        <x:v>0</x:v>
      </x:c>
      <x:c r="S219" s="8" t="n">
        <x:f>L219-I219^2/H219</x:f>
        <x:v>74.875</x:v>
      </x:c>
      <x:c r="T219" s="8" t="n">
        <x:f>M219-J219^2/H219</x:f>
        <x:v>0</x:v>
      </x:c>
      <x:c r="U219" s="8" t="n">
        <x:f>N219-I219*J219/H219</x:f>
        <x:v>0</x:v>
      </x:c>
      <x:c r="V219" s="8" t="n">
        <x:f>O219-I219*K219/H219</x:f>
        <x:v>70.875</x:v>
      </x:c>
      <x:c r="W219" s="8" t="n">
        <x:f>P219-J219*K219/H219</x:f>
        <x:v>0</x:v>
      </x:c>
      <x:c r="X219" s="8" t="n">
        <x:f>V219/S219</x:f>
        <x:v>0.9465776293823038</x:v>
      </x:c>
      <x:c r="Y219" s="8" t="n">
        <x:f>0</x:f>
        <x:v>0</x:v>
      </x:c>
      <x:c r="Z219" s="8" t="n">
        <x:f>K219/H219-X219*I219/H219-Y219*J219/H219</x:f>
        <x:v>1.2737896494156926</x:v>
      </x:c>
      <x:c r="AA219" s="8" t="n">
        <x:f>Z219+X219*Q219+Y219*R219</x:f>
        <x:v>10.73956594323873</x:v>
      </x:c>
    </x:row>
    <x:row r="220" ht="26" customHeight="1">
      <x:c r="A220" s="2"/>
      <x:c r="B220" s="2" t="n">
        <x:v>215</x:v>
      </x:c>
      <x:c r="C220" s="2" t="str">
        <x:v>Grooming / price_contribution</x:v>
      </x:c>
      <x:c r="D220" s="2" t="str">
        <x:v>Broad market</x:v>
      </x:c>
      <x:c r="E220" s="7" t="n">
        <x:v>45107</x:v>
      </x:c>
      <x:c r="F220" s="2" t="str">
        <x:v>Pre-earnings</x:v>
      </x:c>
      <x:c r="G220" s="7" t="n">
        <x:v>45134</x:v>
      </x:c>
      <x:c r="H220" s="2" t="n">
        <x:v>9</x:v>
      </x:c>
      <x:c r="I220" s="8" t="n">
        <x:v>22.94079143912051</x:v>
      </x:c>
      <x:c r="J220" s="8" t="n">
        <x:v>0</x:v>
      </x:c>
      <x:c r="K220" s="8" t="n">
        <x:v>51</x:v>
      </x:c>
      <x:c r="L220" s="8" t="n">
        <x:v>142.56645097949428</x:v>
      </x:c>
      <x:c r="M220" s="8" t="n">
        <x:v>0</x:v>
      </x:c>
      <x:c r="N220" s="8" t="n">
        <x:v>0</x:v>
      </x:c>
      <x:c r="O220" s="8" t="n">
        <x:v>216.29009571738246</x:v>
      </x:c>
      <x:c r="P220" s="8" t="n">
        <x:v>0</x:v>
      </x:c>
      <x:c r="Q220" s="8" t="n">
        <x:v>7.05822723217906</x:v>
      </x:c>
      <x:c r="R220" s="8" t="n">
        <x:v>0</x:v>
      </x:c>
      <x:c r="S220" s="8" t="n">
        <x:f>L220-I220^2/H220</x:f>
        <x:v>84.09090521802484</x:v>
      </x:c>
      <x:c r="T220" s="8" t="n">
        <x:f>M220-J220^2/H220</x:f>
        <x:v>0</x:v>
      </x:c>
      <x:c r="U220" s="8" t="n">
        <x:f>N220-I220*J220/H220</x:f>
        <x:v>0</x:v>
      </x:c>
      <x:c r="V220" s="8" t="n">
        <x:f>O220-I220*K220/H220</x:f>
        <x:v>86.29227756236622</x:v>
      </x:c>
      <x:c r="W220" s="8" t="n">
        <x:f>P220-J220*K220/H220</x:f>
        <x:v>0</x:v>
      </x:c>
      <x:c r="X220" s="8" t="n">
        <x:f>V220/S220</x:f>
        <x:v>1.0261784831383824</x:v>
      </x:c>
      <x:c r="Y220" s="8" t="n">
        <x:f>0</x:f>
        <x:v>0</x:v>
      </x:c>
      <x:c r="Z220" s="8" t="n">
        <x:f>K220/H220-X220*I220/H220-Y220*J220/H220</x:f>
        <x:v>3.0509614932232587</x:v>
      </x:c>
      <x:c r="AA220" s="8" t="n">
        <x:f>Z220+X220*Q220+Y220*R220</x:f>
        <x:v>10.29396240798679</x:v>
      </x:c>
    </x:row>
    <x:row r="221" ht="26" customHeight="1">
      <x:c r="A221" s="2"/>
      <x:c r="B221" s="2" t="n">
        <x:v>216</x:v>
      </x:c>
      <x:c r="C221" s="2" t="str">
        <x:v>Grooming / price_contribution</x:v>
      </x:c>
      <x:c r="D221" s="2" t="str">
        <x:v>Broad lag 1</x:v>
      </x:c>
      <x:c r="E221" s="7" t="n">
        <x:v>45107</x:v>
      </x:c>
      <x:c r="F221" s="2" t="str">
        <x:v>Pre-earnings</x:v>
      </x:c>
      <x:c r="G221" s="7" t="n">
        <x:v>45134</x:v>
      </x:c>
      <x:c r="H221" s="2" t="n">
        <x:v>8</x:v>
      </x:c>
      <x:c r="I221" s="8" t="n">
        <x:v>16.168397415672132</x:v>
      </x:c>
      <x:c r="J221" s="8" t="n">
        <x:v>0</x:v>
      </x:c>
      <x:c r="K221" s="8" t="n">
        <x:v>49</x:v>
      </x:c>
      <x:c r="L221" s="8" t="n">
        <x:v>96.70113017065493</x:v>
      </x:c>
      <x:c r="M221" s="8" t="n">
        <x:v>0</x:v>
      </x:c>
      <x:c r="N221" s="8" t="n">
        <x:v>0</x:v>
      </x:c>
      <x:c r="O221" s="8" t="n">
        <x:v>164.08505497837683</x:v>
      </x:c>
      <x:c r="P221" s="8" t="n">
        <x:v>0</x:v>
      </x:c>
      <x:c r="Q221" s="8" t="n">
        <x:v>6.77239402344838</x:v>
      </x:c>
      <x:c r="R221" s="8" t="n">
        <x:v>0</x:v>
      </x:c>
      <x:c r="S221" s="8" t="n">
        <x:f>L221-I221^2/H221</x:f>
        <x:v>64.02399579676577</x:v>
      </x:c>
      <x:c r="T221" s="8" t="n">
        <x:f>M221-J221^2/H221</x:f>
        <x:v>0</x:v>
      </x:c>
      <x:c r="U221" s="8" t="n">
        <x:f>N221-I221*J221/H221</x:f>
        <x:v>0</x:v>
      </x:c>
      <x:c r="V221" s="8" t="n">
        <x:f>O221-I221*K221/H221</x:f>
        <x:v>65.05362080738502</x:v>
      </x:c>
      <x:c r="W221" s="8" t="n">
        <x:f>P221-J221*K221/H221</x:f>
        <x:v>0</x:v>
      </x:c>
      <x:c r="X221" s="8" t="n">
        <x:f>V221/S221</x:f>
        <x:v>1.0160818611491795</x:v>
      </x:c>
      <x:c r="Y221" s="8" t="n">
        <x:f>0</x:f>
        <x:v>0</x:v>
      </x:c>
      <x:c r="Z221" s="8" t="n">
        <x:f>K221/H221-X221*I221/H221-Y221*J221/H221</x:f>
        <x:v>4.071448082760535</x:v>
      </x:c>
      <x:c r="AA221" s="8" t="n">
        <x:f>Z221+X221*Q221+Y221*R221</x:f>
        <x:v>10.952754806541545</x:v>
      </x:c>
    </x:row>
    <x:row r="222" ht="26" customHeight="1">
      <x:c r="A222" s="2"/>
      <x:c r="B222" s="2" t="n">
        <x:v>217</x:v>
      </x:c>
      <x:c r="C222" s="2" t="str">
        <x:v>Grooming / price_contribution</x:v>
      </x:c>
      <x:c r="D222" s="2" t="str">
        <x:v>Broad rolling 8</x:v>
      </x:c>
      <x:c r="E222" s="7" t="n">
        <x:v>45107</x:v>
      </x:c>
      <x:c r="F222" s="2" t="str">
        <x:v>Pre-earnings</x:v>
      </x:c>
      <x:c r="G222" s="7" t="n">
        <x:v>45134</x:v>
      </x:c>
      <x:c r="H222" s="2" t="n">
        <x:v>8</x:v>
      </x:c>
      <x:c r="I222" s="8" t="n">
        <x:v>23.298494829725136</x:v>
      </x:c>
      <x:c r="J222" s="8" t="n">
        <x:v>0</x:v>
      </x:c>
      <x:c r="K222" s="8" t="n">
        <x:v>49</x:v>
      </x:c>
      <x:c r="L222" s="8" t="n">
        <x:v>142.43849926384422</x:v>
      </x:c>
      <x:c r="M222" s="8" t="n">
        <x:v>0</x:v>
      </x:c>
      <x:c r="N222" s="8" t="n">
        <x:v>0</x:v>
      </x:c>
      <x:c r="O222" s="8" t="n">
        <x:v>217.0055024985917</x:v>
      </x:c>
      <x:c r="P222" s="8" t="n">
        <x:v>0</x:v>
      </x:c>
      <x:c r="Q222" s="8" t="n">
        <x:v>7.05822723217906</x:v>
      </x:c>
      <x:c r="R222" s="8" t="n">
        <x:v>0</x:v>
      </x:c>
      <x:c r="S222" s="8" t="n">
        <x:f>L222-I222^2/H222</x:f>
        <x:v>74.5860165975031</x:v>
      </x:c>
      <x:c r="T222" s="8" t="n">
        <x:f>M222-J222^2/H222</x:f>
        <x:v>0</x:v>
      </x:c>
      <x:c r="U222" s="8" t="n">
        <x:f>N222-I222*J222/H222</x:f>
        <x:v>0</x:v>
      </x:c>
      <x:c r="V222" s="8" t="n">
        <x:f>O222-I222*K222/H222</x:f>
        <x:v>74.30222166652524</x:v>
      </x:c>
      <x:c r="W222" s="8" t="n">
        <x:f>P222-J222*K222/H222</x:f>
        <x:v>0</x:v>
      </x:c>
      <x:c r="X222" s="8" t="n">
        <x:f>V222/S222</x:f>
        <x:v>0.9961950651888365</x:v>
      </x:c>
      <x:c r="Y222" s="8" t="n">
        <x:f>0</x:f>
        <x:v>0</x:v>
      </x:c>
      <x:c r="Z222" s="8" t="n">
        <x:f>K222/H222-X222*I222/H222-Y222*J222/H222</x:f>
        <x:v>3.2237693030375247</x:v>
      </x:c>
      <x:c r="AA222" s="8" t="n">
        <x:f>Z222+X222*Q222+Y222*R222</x:f>
        <x:v>10.255140440715763</x:v>
      </x:c>
    </x:row>
    <x:row r="223" ht="26" customHeight="1">
      <x:c r="A223" s="2"/>
      <x:c r="B223" s="2" t="n">
        <x:v>218</x:v>
      </x:c>
      <x:c r="C223" s="2" t="str">
        <x:v>Grooming / price_contribution</x:v>
      </x:c>
      <x:c r="D223" s="2" t="str">
        <x:v>Own history</x:v>
      </x:c>
      <x:c r="E223" s="7" t="n">
        <x:v>45107</x:v>
      </x:c>
      <x:c r="F223" s="2" t="str">
        <x:v>Pre-earnings</x:v>
      </x:c>
      <x:c r="G223" s="7" t="n">
        <x:v>45134</x:v>
      </x:c>
      <x:c r="H223" s="2" t="n">
        <x:v>8</x:v>
      </x:c>
      <x:c r="I223" s="8" t="n">
        <x:v>41</x:v>
      </x:c>
      <x:c r="J223" s="8" t="n">
        <x:v>0</x:v>
      </x:c>
      <x:c r="K223" s="8" t="n">
        <x:v>49</x:v>
      </x:c>
      <x:c r="L223" s="8" t="n">
        <x:v>285</x:v>
      </x:c>
      <x:c r="M223" s="8" t="n">
        <x:v>0</x:v>
      </x:c>
      <x:c r="N223" s="8" t="n">
        <x:v>0</x:v>
      </x:c>
      <x:c r="O223" s="8" t="n">
        <x:v>322</x:v>
      </x:c>
      <x:c r="P223" s="8" t="n">
        <x:v>0</x:v>
      </x:c>
      <x:c r="Q223" s="8" t="n">
        <x:v>10</x:v>
      </x:c>
      <x:c r="R223" s="8" t="n">
        <x:v>0</x:v>
      </x:c>
      <x:c r="S223" s="8" t="n">
        <x:f>L223-I223^2/H223</x:f>
        <x:v>74.875</x:v>
      </x:c>
      <x:c r="T223" s="8" t="n">
        <x:f>M223-J223^2/H223</x:f>
        <x:v>0</x:v>
      </x:c>
      <x:c r="U223" s="8" t="n">
        <x:f>N223-I223*J223/H223</x:f>
        <x:v>0</x:v>
      </x:c>
      <x:c r="V223" s="8" t="n">
        <x:f>O223-I223*K223/H223</x:f>
        <x:v>70.875</x:v>
      </x:c>
      <x:c r="W223" s="8" t="n">
        <x:f>P223-J223*K223/H223</x:f>
        <x:v>0</x:v>
      </x:c>
      <x:c r="X223" s="8" t="n">
        <x:f>V223/S223</x:f>
        <x:v>0.9465776293823038</x:v>
      </x:c>
      <x:c r="Y223" s="8" t="n">
        <x:f>0</x:f>
        <x:v>0</x:v>
      </x:c>
      <x:c r="Z223" s="8" t="n">
        <x:f>K223/H223-X223*I223/H223-Y223*J223/H223</x:f>
        <x:v>1.2737896494156926</x:v>
      </x:c>
      <x:c r="AA223" s="8" t="n">
        <x:f>Z223+X223*Q223+Y223*R223</x:f>
        <x:v>10.73956594323873</x:v>
      </x:c>
    </x:row>
    <x:row r="224" ht="26" customHeight="1">
      <x:c r="A224" s="2"/>
      <x:c r="B224" s="2" t="n">
        <x:v>219</x:v>
      </x:c>
      <x:c r="C224" s="2" t="str">
        <x:v>Grooming / price_contribution</x:v>
      </x:c>
      <x:c r="D224" s="2" t="str">
        <x:v>Broad market</x:v>
      </x:c>
      <x:c r="E224" s="7" t="n">
        <x:v>45199</x:v>
      </x:c>
      <x:c r="F224" s="2" t="str">
        <x:v>Origin</x:v>
      </x:c>
      <x:c r="G224" s="7" t="n">
        <x:v>45108</x:v>
      </x:c>
      <x:c r="H224" s="2" t="n">
        <x:v>9</x:v>
      </x:c>
      <x:c r="I224" s="8" t="n">
        <x:v>22.94079143912051</x:v>
      </x:c>
      <x:c r="J224" s="8" t="n">
        <x:v>0</x:v>
      </x:c>
      <x:c r="K224" s="8" t="n">
        <x:v>51</x:v>
      </x:c>
      <x:c r="L224" s="8" t="n">
        <x:v>142.56645097949428</x:v>
      </x:c>
      <x:c r="M224" s="8" t="n">
        <x:v>0</x:v>
      </x:c>
      <x:c r="N224" s="8" t="n">
        <x:v>0</x:v>
      </x:c>
      <x:c r="O224" s="8" t="n">
        <x:v>216.29009571738246</x:v>
      </x:c>
      <x:c r="P224" s="8" t="n">
        <x:v>0</x:v>
      </x:c>
      <x:c r="Q224" s="8" t="n">
        <x:v>6.911987903518213</x:v>
      </x:c>
      <x:c r="R224" s="8" t="n">
        <x:v>0</x:v>
      </x:c>
      <x:c r="S224" s="8" t="n">
        <x:f>L224-I224^2/H224</x:f>
        <x:v>84.09090521802484</x:v>
      </x:c>
      <x:c r="T224" s="8" t="n">
        <x:f>M224-J224^2/H224</x:f>
        <x:v>0</x:v>
      </x:c>
      <x:c r="U224" s="8" t="n">
        <x:f>N224-I224*J224/H224</x:f>
        <x:v>0</x:v>
      </x:c>
      <x:c r="V224" s="8" t="n">
        <x:f>O224-I224*K224/H224</x:f>
        <x:v>86.29227756236622</x:v>
      </x:c>
      <x:c r="W224" s="8" t="n">
        <x:f>P224-J224*K224/H224</x:f>
        <x:v>0</x:v>
      </x:c>
      <x:c r="X224" s="8" t="n">
        <x:f>V224/S224</x:f>
        <x:v>1.0261784831383824</x:v>
      </x:c>
      <x:c r="Y224" s="8" t="n">
        <x:f>0</x:f>
        <x:v>0</x:v>
      </x:c>
      <x:c r="Z224" s="8" t="n">
        <x:f>K224/H224-X224*I224/H224-Y224*J224/H224</x:f>
        <x:v>3.0509614932232587</x:v>
      </x:c>
      <x:c r="AA224" s="8" t="n">
        <x:f>Z224+X224*Q224+Y224*R224</x:f>
        <x:v>10.143894755526427</x:v>
      </x:c>
    </x:row>
    <x:row r="225" ht="26" customHeight="1">
      <x:c r="A225" s="2"/>
      <x:c r="B225" s="2" t="n">
        <x:v>220</x:v>
      </x:c>
      <x:c r="C225" s="2" t="str">
        <x:v>Grooming / price_contribution</x:v>
      </x:c>
      <x:c r="D225" s="2" t="str">
        <x:v>Broad rolling 8</x:v>
      </x:c>
      <x:c r="E225" s="7" t="n">
        <x:v>45199</x:v>
      </x:c>
      <x:c r="F225" s="2" t="str">
        <x:v>Origin</x:v>
      </x:c>
      <x:c r="G225" s="7" t="n">
        <x:v>45108</x:v>
      </x:c>
      <x:c r="H225" s="2" t="n">
        <x:v>8</x:v>
      </x:c>
      <x:c r="I225" s="8" t="n">
        <x:v>23.298494829725136</x:v>
      </x:c>
      <x:c r="J225" s="8" t="n">
        <x:v>0</x:v>
      </x:c>
      <x:c r="K225" s="8" t="n">
        <x:v>49</x:v>
      </x:c>
      <x:c r="L225" s="8" t="n">
        <x:v>142.43849926384422</x:v>
      </x:c>
      <x:c r="M225" s="8" t="n">
        <x:v>0</x:v>
      </x:c>
      <x:c r="N225" s="8" t="n">
        <x:v>0</x:v>
      </x:c>
      <x:c r="O225" s="8" t="n">
        <x:v>217.0055024985917</x:v>
      </x:c>
      <x:c r="P225" s="8" t="n">
        <x:v>0</x:v>
      </x:c>
      <x:c r="Q225" s="8" t="n">
        <x:v>6.911987903518213</x:v>
      </x:c>
      <x:c r="R225" s="8" t="n">
        <x:v>0</x:v>
      </x:c>
      <x:c r="S225" s="8" t="n">
        <x:f>L225-I225^2/H225</x:f>
        <x:v>74.5860165975031</x:v>
      </x:c>
      <x:c r="T225" s="8" t="n">
        <x:f>M225-J225^2/H225</x:f>
        <x:v>0</x:v>
      </x:c>
      <x:c r="U225" s="8" t="n">
        <x:f>N225-I225*J225/H225</x:f>
        <x:v>0</x:v>
      </x:c>
      <x:c r="V225" s="8" t="n">
        <x:f>O225-I225*K225/H225</x:f>
        <x:v>74.30222166652524</x:v>
      </x:c>
      <x:c r="W225" s="8" t="n">
        <x:f>P225-J225*K225/H225</x:f>
        <x:v>0</x:v>
      </x:c>
      <x:c r="X225" s="8" t="n">
        <x:f>V225/S225</x:f>
        <x:v>0.9961950651888365</x:v>
      </x:c>
      <x:c r="Y225" s="8" t="n">
        <x:f>0</x:f>
        <x:v>0</x:v>
      </x:c>
      <x:c r="Z225" s="8" t="n">
        <x:f>K225/H225-X225*I225/H225-Y225*J225/H225</x:f>
        <x:v>3.2237693030375247</x:v>
      </x:c>
      <x:c r="AA225" s="8" t="n">
        <x:f>Z225+X225*Q225+Y225*R225</x:f>
        <x:v>10.1094575431673</x:v>
      </x:c>
    </x:row>
    <x:row r="226" ht="26" customHeight="1">
      <x:c r="A226" s="2"/>
      <x:c r="B226" s="2" t="n">
        <x:v>221</x:v>
      </x:c>
      <x:c r="C226" s="2" t="str">
        <x:v>Grooming / price_contribution</x:v>
      </x:c>
      <x:c r="D226" s="2" t="str">
        <x:v>Broad market</x:v>
      </x:c>
      <x:c r="E226" s="7" t="n">
        <x:v>45199</x:v>
      </x:c>
      <x:c r="F226" s="2" t="str">
        <x:v>Prior report</x:v>
      </x:c>
      <x:c r="G226" s="7" t="n">
        <x:v>45135</x:v>
      </x:c>
      <x:c r="H226" s="2" t="n">
        <x:v>10</x:v>
      </x:c>
      <x:c r="I226" s="8" t="n">
        <x:v>29.99901867129957</x:v>
      </x:c>
      <x:c r="J226" s="8" t="n">
        <x:v>0</x:v>
      </x:c>
      <x:c r="K226" s="8" t="n">
        <x:v>60</x:v>
      </x:c>
      <x:c r="L226" s="8" t="n">
        <x:v>192.38502264056834</x:v>
      </x:c>
      <x:c r="M226" s="8" t="n">
        <x:v>0</x:v>
      </x:c>
      <x:c r="N226" s="8" t="n">
        <x:v>0</x:v>
      </x:c>
      <x:c r="O226" s="8" t="n">
        <x:v>279.814140806994</x:v>
      </x:c>
      <x:c r="P226" s="8" t="n">
        <x:v>0</x:v>
      </x:c>
      <x:c r="Q226" s="8" t="n">
        <x:v>7.058173750908159</x:v>
      </x:c>
      <x:c r="R226" s="8" t="n">
        <x:v>0</x:v>
      </x:c>
      <x:c r="S226" s="8" t="n">
        <x:f>L226-I226^2/H226</x:f>
        <x:v>102.39091051647031</x:v>
      </x:c>
      <x:c r="T226" s="8" t="n">
        <x:f>M226-J226^2/H226</x:f>
        <x:v>0</x:v>
      </x:c>
      <x:c r="U226" s="8" t="n">
        <x:f>N226-I226*J226/H226</x:f>
        <x:v>0</x:v>
      </x:c>
      <x:c r="V226" s="8" t="n">
        <x:f>O226-I226*K226/H226</x:f>
        <x:v>99.82002877919655</x:v>
      </x:c>
      <x:c r="W226" s="8" t="n">
        <x:f>P226-J226*K226/H226</x:f>
        <x:v>0</x:v>
      </x:c>
      <x:c r="X226" s="8" t="n">
        <x:f>V226/S226</x:f>
        <x:v>0.97489150429168</x:v>
      </x:c>
      <x:c r="Y226" s="8" t="n">
        <x:f>0</x:f>
        <x:v>0</x:v>
      </x:c>
      <x:c r="Z226" s="8" t="n">
        <x:f>K226/H226-X226*I226/H226-Y226*J226/H226</x:f>
        <x:v>3.0754211560262563</x:v>
      </x:c>
      <x:c r="AA226" s="8" t="n">
        <x:f>Z226+X226*Q226+Y226*R226</x:f>
        <x:v>9.956374781601161</x:v>
      </x:c>
    </x:row>
    <x:row r="227" ht="26" customHeight="1">
      <x:c r="A227" s="2"/>
      <x:c r="B227" s="2" t="n">
        <x:v>222</x:v>
      </x:c>
      <x:c r="C227" s="2" t="str">
        <x:v>Grooming / price_contribution</x:v>
      </x:c>
      <x:c r="D227" s="2" t="str">
        <x:v>Broad lag 1</x:v>
      </x:c>
      <x:c r="E227" s="7" t="n">
        <x:v>45199</x:v>
      </x:c>
      <x:c r="F227" s="2" t="str">
        <x:v>Prior report</x:v>
      </x:c>
      <x:c r="G227" s="7" t="n">
        <x:v>45135</x:v>
      </x:c>
      <x:c r="H227" s="2" t="n">
        <x:v>9</x:v>
      </x:c>
      <x:c r="I227" s="8" t="n">
        <x:v>22.94079143912051</x:v>
      </x:c>
      <x:c r="J227" s="8" t="n">
        <x:v>0</x:v>
      </x:c>
      <x:c r="K227" s="8" t="n">
        <x:v>58</x:v>
      </x:c>
      <x:c r="L227" s="8" t="n">
        <x:v>142.56645097949428</x:v>
      </x:c>
      <x:c r="M227" s="8" t="n">
        <x:v>0</x:v>
      </x:c>
      <x:c r="N227" s="8" t="n">
        <x:v>0</x:v>
      </x:c>
      <x:c r="O227" s="8" t="n">
        <x:v>225.03660118941227</x:v>
      </x:c>
      <x:c r="P227" s="8" t="n">
        <x:v>0</x:v>
      </x:c>
      <x:c r="Q227" s="8" t="n">
        <x:v>7.05822723217906</x:v>
      </x:c>
      <x:c r="R227" s="8" t="n">
        <x:v>0</x:v>
      </x:c>
      <x:c r="S227" s="8" t="n">
        <x:f>L227-I227^2/H227</x:f>
        <x:v>84.09090521802484</x:v>
      </x:c>
      <x:c r="T227" s="8" t="n">
        <x:f>M227-J227^2/H227</x:f>
        <x:v>0</x:v>
      </x:c>
      <x:c r="U227" s="8" t="n">
        <x:f>N227-I227*J227/H227</x:f>
        <x:v>0</x:v>
      </x:c>
      <x:c r="V227" s="8" t="n">
        <x:f>O227-I227*K227/H227</x:f>
        <x:v>77.19594524841344</x:v>
      </x:c>
      <x:c r="W227" s="8" t="n">
        <x:f>P227-J227*K227/H227</x:f>
        <x:v>0</x:v>
      </x:c>
      <x:c r="X227" s="8" t="n">
        <x:f>V227/S227</x:f>
        <x:v>0.9180058776661442</x:v>
      </x:c>
      <x:c r="Y227" s="8" t="n">
        <x:f>0</x:f>
        <x:v>0</x:v>
      </x:c>
      <x:c r="Z227" s="8" t="n">
        <x:f>K227/H227-X227*I227/H227-Y227*J227/H227</x:f>
        <x:v>4.104468735619356</x:v>
      </x:c>
      <x:c r="AA227" s="8" t="n">
        <x:f>Z227+X227*Q227+Y227*R227</x:f>
        <x:v>10.583962820662974</x:v>
      </x:c>
    </x:row>
    <x:row r="228" ht="26" customHeight="1">
      <x:c r="A228" s="2"/>
      <x:c r="B228" s="2" t="n">
        <x:v>223</x:v>
      </x:c>
      <x:c r="C228" s="2" t="str">
        <x:v>Grooming / price_contribution</x:v>
      </x:c>
      <x:c r="D228" s="2" t="str">
        <x:v>Broad rolling 8</x:v>
      </x:c>
      <x:c r="E228" s="7" t="n">
        <x:v>45199</x:v>
      </x:c>
      <x:c r="F228" s="2" t="str">
        <x:v>Prior report</x:v>
      </x:c>
      <x:c r="G228" s="7" t="n">
        <x:v>45135</x:v>
      </x:c>
      <x:c r="H228" s="2" t="n">
        <x:v>8</x:v>
      </x:c>
      <x:c r="I228" s="8" t="n">
        <x:v>30.576982710611354</x:v>
      </x:c>
      <x:c r="J228" s="8" t="n">
        <x:v>0</x:v>
      </x:c>
      <x:c r="K228" s="8" t="n">
        <x:v>56</x:v>
      </x:c>
      <x:c r="L228" s="8" t="n">
        <x:v>192.2085561715494</x:v>
      </x:c>
      <x:c r="M228" s="8" t="n">
        <x:v>0</x:v>
      </x:c>
      <x:c r="N228" s="8" t="n">
        <x:v>0</x:v>
      </x:c>
      <x:c r="O228" s="8" t="n">
        <x:v>280.9700688856176</x:v>
      </x:c>
      <x:c r="P228" s="8" t="n">
        <x:v>0</x:v>
      </x:c>
      <x:c r="Q228" s="8" t="n">
        <x:v>7.058173750908159</x:v>
      </x:c>
      <x:c r="R228" s="8" t="n">
        <x:v>0</x:v>
      </x:c>
      <x:c r="S228" s="8" t="n">
        <x:f>L228-I228^2/H228</x:f>
        <x:v>75.33957221092118</x:v>
      </x:c>
      <x:c r="T228" s="8" t="n">
        <x:f>M228-J228^2/H228</x:f>
        <x:v>0</x:v>
      </x:c>
      <x:c r="U228" s="8" t="n">
        <x:f>N228-I228*J228/H228</x:f>
        <x:v>0</x:v>
      </x:c>
      <x:c r="V228" s="8" t="n">
        <x:f>O228-I228*K228/H228</x:f>
        <x:v>66.93118991133812</x:v>
      </x:c>
      <x:c r="W228" s="8" t="n">
        <x:f>P228-J228*K228/H228</x:f>
        <x:v>0</x:v>
      </x:c>
      <x:c r="X228" s="8" t="n">
        <x:f>V228/S228</x:f>
        <x:v>0.888393548664666</x:v>
      </x:c>
      <x:c r="Y228" s="8" t="n">
        <x:f>0</x:f>
        <x:v>0</x:v>
      </x:c>
      <x:c r="Z228" s="8" t="n">
        <x:f>K228/H228-X228*I228/H228-Y228*J228/H228</x:f>
        <x:v>3.60445072778273</x:v>
      </x:c>
      <x:c r="AA228" s="8" t="n">
        <x:f>Z228+X228*Q228+Y228*R228</x:f>
        <x:v>9.874886753443825</x:v>
      </x:c>
    </x:row>
    <x:row r="229" ht="26" customHeight="1">
      <x:c r="A229" s="2"/>
      <x:c r="B229" s="2" t="n">
        <x:v>224</x:v>
      </x:c>
      <x:c r="C229" s="2" t="str">
        <x:v>Grooming / price_contribution</x:v>
      </x:c>
      <x:c r="D229" s="2" t="str">
        <x:v>Own history</x:v>
      </x:c>
      <x:c r="E229" s="7" t="n">
        <x:v>45199</x:v>
      </x:c>
      <x:c r="F229" s="2" t="str">
        <x:v>Prior report</x:v>
      </x:c>
      <x:c r="G229" s="7" t="n">
        <x:v>45135</x:v>
      </x:c>
      <x:c r="H229" s="2" t="n">
        <x:v>9</x:v>
      </x:c>
      <x:c r="I229" s="8" t="n">
        <x:v>51</x:v>
      </x:c>
      <x:c r="J229" s="8" t="n">
        <x:v>0</x:v>
      </x:c>
      <x:c r="K229" s="8" t="n">
        <x:v>58</x:v>
      </x:c>
      <x:c r="L229" s="8" t="n">
        <x:v>385</x:v>
      </x:c>
      <x:c r="M229" s="8" t="n">
        <x:v>0</x:v>
      </x:c>
      <x:c r="N229" s="8" t="n">
        <x:v>0</x:v>
      </x:c>
      <x:c r="O229" s="8" t="n">
        <x:v>412</x:v>
      </x:c>
      <x:c r="P229" s="8" t="n">
        <x:v>0</x:v>
      </x:c>
      <x:c r="Q229" s="8" t="n">
        <x:v>9</x:v>
      </x:c>
      <x:c r="R229" s="8" t="n">
        <x:v>0</x:v>
      </x:c>
      <x:c r="S229" s="8" t="n">
        <x:f>L229-I229^2/H229</x:f>
        <x:v>96</x:v>
      </x:c>
      <x:c r="T229" s="8" t="n">
        <x:f>M229-J229^2/H229</x:f>
        <x:v>0</x:v>
      </x:c>
      <x:c r="U229" s="8" t="n">
        <x:f>N229-I229*J229/H229</x:f>
        <x:v>0</x:v>
      </x:c>
      <x:c r="V229" s="8" t="n">
        <x:f>O229-I229*K229/H229</x:f>
        <x:v>83.33333333333331</x:v>
      </x:c>
      <x:c r="W229" s="8" t="n">
        <x:f>P229-J229*K229/H229</x:f>
        <x:v>0</x:v>
      </x:c>
      <x:c r="X229" s="8" t="n">
        <x:f>V229/S229</x:f>
        <x:v>0.8680555555555554</x:v>
      </x:c>
      <x:c r="Y229" s="8" t="n">
        <x:f>0</x:f>
        <x:v>0</x:v>
      </x:c>
      <x:c r="Z229" s="8" t="n">
        <x:f>K229/H229-X229*I229/H229-Y229*J229/H229</x:f>
        <x:v>1.5254629629629646</x:v>
      </x:c>
      <x:c r="AA229" s="8" t="n">
        <x:f>Z229+X229*Q229+Y229*R229</x:f>
        <x:v>9.337962962962962</x:v>
      </x:c>
    </x:row>
    <x:row r="230" ht="26" customHeight="1">
      <x:c r="A230" s="2"/>
      <x:c r="B230" s="2" t="n">
        <x:v>225</x:v>
      </x:c>
      <x:c r="C230" s="2" t="str">
        <x:v>Grooming / price_contribution</x:v>
      </x:c>
      <x:c r="D230" s="2" t="str">
        <x:v>Broad market</x:v>
      </x:c>
      <x:c r="E230" s="7" t="n">
        <x:v>45199</x:v>
      </x:c>
      <x:c r="F230" s="2" t="str">
        <x:v>Pre-earnings</x:v>
      </x:c>
      <x:c r="G230" s="7" t="n">
        <x:v>45216</x:v>
      </x:c>
      <x:c r="H230" s="2" t="n">
        <x:v>10</x:v>
      </x:c>
      <x:c r="I230" s="8" t="n">
        <x:v>29.99901867129957</x:v>
      </x:c>
      <x:c r="J230" s="8" t="n">
        <x:v>0</x:v>
      </x:c>
      <x:c r="K230" s="8" t="n">
        <x:v>60</x:v>
      </x:c>
      <x:c r="L230" s="8" t="n">
        <x:v>192.38502264056834</x:v>
      </x:c>
      <x:c r="M230" s="8" t="n">
        <x:v>0</x:v>
      </x:c>
      <x:c r="N230" s="8" t="n">
        <x:v>0</x:v>
      </x:c>
      <x:c r="O230" s="8" t="n">
        <x:v>279.814140806994</x:v>
      </x:c>
      <x:c r="P230" s="8" t="n">
        <x:v>0</x:v>
      </x:c>
      <x:c r="Q230" s="8" t="n">
        <x:v>5.4935927157217845</x:v>
      </x:c>
      <x:c r="R230" s="8" t="n">
        <x:v>0</x:v>
      </x:c>
      <x:c r="S230" s="8" t="n">
        <x:f>L230-I230^2/H230</x:f>
        <x:v>102.39091051647031</x:v>
      </x:c>
      <x:c r="T230" s="8" t="n">
        <x:f>M230-J230^2/H230</x:f>
        <x:v>0</x:v>
      </x:c>
      <x:c r="U230" s="8" t="n">
        <x:f>N230-I230*J230/H230</x:f>
        <x:v>0</x:v>
      </x:c>
      <x:c r="V230" s="8" t="n">
        <x:f>O230-I230*K230/H230</x:f>
        <x:v>99.82002877919655</x:v>
      </x:c>
      <x:c r="W230" s="8" t="n">
        <x:f>P230-J230*K230/H230</x:f>
        <x:v>0</x:v>
      </x:c>
      <x:c r="X230" s="8" t="n">
        <x:f>V230/S230</x:f>
        <x:v>0.97489150429168</x:v>
      </x:c>
      <x:c r="Y230" s="8" t="n">
        <x:f>0</x:f>
        <x:v>0</x:v>
      </x:c>
      <x:c r="Z230" s="8" t="n">
        <x:f>K230/H230-X230*I230/H230-Y230*J230/H230</x:f>
        <x:v>3.0754211560262563</x:v>
      </x:c>
      <x:c r="AA230" s="8" t="n">
        <x:f>Z230+X230*Q230+Y230*R230</x:f>
        <x:v>8.431078022622081</x:v>
      </x:c>
    </x:row>
    <x:row r="231" ht="26" customHeight="1">
      <x:c r="A231" s="2"/>
      <x:c r="B231" s="2" t="n">
        <x:v>226</x:v>
      </x:c>
      <x:c r="C231" s="2" t="str">
        <x:v>Grooming / price_contribution</x:v>
      </x:c>
      <x:c r="D231" s="2" t="str">
        <x:v>Broad lag 1</x:v>
      </x:c>
      <x:c r="E231" s="7" t="n">
        <x:v>45199</x:v>
      </x:c>
      <x:c r="F231" s="2" t="str">
        <x:v>Pre-earnings</x:v>
      </x:c>
      <x:c r="G231" s="7" t="n">
        <x:v>45216</x:v>
      </x:c>
      <x:c r="H231" s="2" t="n">
        <x:v>9</x:v>
      </x:c>
      <x:c r="I231" s="8" t="n">
        <x:v>22.94079143912051</x:v>
      </x:c>
      <x:c r="J231" s="8" t="n">
        <x:v>0</x:v>
      </x:c>
      <x:c r="K231" s="8" t="n">
        <x:v>58</x:v>
      </x:c>
      <x:c r="L231" s="8" t="n">
        <x:v>142.56645097949428</x:v>
      </x:c>
      <x:c r="M231" s="8" t="n">
        <x:v>0</x:v>
      </x:c>
      <x:c r="N231" s="8" t="n">
        <x:v>0</x:v>
      </x:c>
      <x:c r="O231" s="8" t="n">
        <x:v>225.03660118941227</x:v>
      </x:c>
      <x:c r="P231" s="8" t="n">
        <x:v>0</x:v>
      </x:c>
      <x:c r="Q231" s="8" t="n">
        <x:v>7.05822723217906</x:v>
      </x:c>
      <x:c r="R231" s="8" t="n">
        <x:v>0</x:v>
      </x:c>
      <x:c r="S231" s="8" t="n">
        <x:f>L231-I231^2/H231</x:f>
        <x:v>84.09090521802484</x:v>
      </x:c>
      <x:c r="T231" s="8" t="n">
        <x:f>M231-J231^2/H231</x:f>
        <x:v>0</x:v>
      </x:c>
      <x:c r="U231" s="8" t="n">
        <x:f>N231-I231*J231/H231</x:f>
        <x:v>0</x:v>
      </x:c>
      <x:c r="V231" s="8" t="n">
        <x:f>O231-I231*K231/H231</x:f>
        <x:v>77.19594524841344</x:v>
      </x:c>
      <x:c r="W231" s="8" t="n">
        <x:f>P231-J231*K231/H231</x:f>
        <x:v>0</x:v>
      </x:c>
      <x:c r="X231" s="8" t="n">
        <x:f>V231/S231</x:f>
        <x:v>0.9180058776661442</x:v>
      </x:c>
      <x:c r="Y231" s="8" t="n">
        <x:f>0</x:f>
        <x:v>0</x:v>
      </x:c>
      <x:c r="Z231" s="8" t="n">
        <x:f>K231/H231-X231*I231/H231-Y231*J231/H231</x:f>
        <x:v>4.104468735619356</x:v>
      </x:c>
      <x:c r="AA231" s="8" t="n">
        <x:f>Z231+X231*Q231+Y231*R231</x:f>
        <x:v>10.583962820662974</x:v>
      </x:c>
    </x:row>
    <x:row r="232" ht="26" customHeight="1">
      <x:c r="A232" s="2"/>
      <x:c r="B232" s="2" t="n">
        <x:v>227</x:v>
      </x:c>
      <x:c r="C232" s="2" t="str">
        <x:v>Grooming / price_contribution</x:v>
      </x:c>
      <x:c r="D232" s="2" t="str">
        <x:v>Broad rolling 8</x:v>
      </x:c>
      <x:c r="E232" s="7" t="n">
        <x:v>45199</x:v>
      </x:c>
      <x:c r="F232" s="2" t="str">
        <x:v>Pre-earnings</x:v>
      </x:c>
      <x:c r="G232" s="7" t="n">
        <x:v>45216</x:v>
      </x:c>
      <x:c r="H232" s="2" t="n">
        <x:v>8</x:v>
      </x:c>
      <x:c r="I232" s="8" t="n">
        <x:v>30.576982710611354</x:v>
      </x:c>
      <x:c r="J232" s="8" t="n">
        <x:v>0</x:v>
      </x:c>
      <x:c r="K232" s="8" t="n">
        <x:v>56</x:v>
      </x:c>
      <x:c r="L232" s="8" t="n">
        <x:v>192.2085561715494</x:v>
      </x:c>
      <x:c r="M232" s="8" t="n">
        <x:v>0</x:v>
      </x:c>
      <x:c r="N232" s="8" t="n">
        <x:v>0</x:v>
      </x:c>
      <x:c r="O232" s="8" t="n">
        <x:v>280.9700688856176</x:v>
      </x:c>
      <x:c r="P232" s="8" t="n">
        <x:v>0</x:v>
      </x:c>
      <x:c r="Q232" s="8" t="n">
        <x:v>5.4935927157217845</x:v>
      </x:c>
      <x:c r="R232" s="8" t="n">
        <x:v>0</x:v>
      </x:c>
      <x:c r="S232" s="8" t="n">
        <x:f>L232-I232^2/H232</x:f>
        <x:v>75.33957221092118</x:v>
      </x:c>
      <x:c r="T232" s="8" t="n">
        <x:f>M232-J232^2/H232</x:f>
        <x:v>0</x:v>
      </x:c>
      <x:c r="U232" s="8" t="n">
        <x:f>N232-I232*J232/H232</x:f>
        <x:v>0</x:v>
      </x:c>
      <x:c r="V232" s="8" t="n">
        <x:f>O232-I232*K232/H232</x:f>
        <x:v>66.93118991133812</x:v>
      </x:c>
      <x:c r="W232" s="8" t="n">
        <x:f>P232-J232*K232/H232</x:f>
        <x:v>0</x:v>
      </x:c>
      <x:c r="X232" s="8" t="n">
        <x:f>V232/S232</x:f>
        <x:v>0.888393548664666</x:v>
      </x:c>
      <x:c r="Y232" s="8" t="n">
        <x:f>0</x:f>
        <x:v>0</x:v>
      </x:c>
      <x:c r="Z232" s="8" t="n">
        <x:f>K232/H232-X232*I232/H232-Y232*J232/H232</x:f>
        <x:v>3.60445072778273</x:v>
      </x:c>
      <x:c r="AA232" s="8" t="n">
        <x:f>Z232+X232*Q232+Y232*R232</x:f>
        <x:v>8.484923055421167</x:v>
      </x:c>
    </x:row>
    <x:row r="233" ht="26" customHeight="1">
      <x:c r="A233" s="2"/>
      <x:c r="B233" s="2" t="n">
        <x:v>228</x:v>
      </x:c>
      <x:c r="C233" s="2" t="str">
        <x:v>Grooming / price_contribution</x:v>
      </x:c>
      <x:c r="D233" s="2" t="str">
        <x:v>Own history</x:v>
      </x:c>
      <x:c r="E233" s="7" t="n">
        <x:v>45199</x:v>
      </x:c>
      <x:c r="F233" s="2" t="str">
        <x:v>Pre-earnings</x:v>
      </x:c>
      <x:c r="G233" s="7" t="n">
        <x:v>45216</x:v>
      </x:c>
      <x:c r="H233" s="2" t="n">
        <x:v>9</x:v>
      </x:c>
      <x:c r="I233" s="8" t="n">
        <x:v>51</x:v>
      </x:c>
      <x:c r="J233" s="8" t="n">
        <x:v>0</x:v>
      </x:c>
      <x:c r="K233" s="8" t="n">
        <x:v>58</x:v>
      </x:c>
      <x:c r="L233" s="8" t="n">
        <x:v>385</x:v>
      </x:c>
      <x:c r="M233" s="8" t="n">
        <x:v>0</x:v>
      </x:c>
      <x:c r="N233" s="8" t="n">
        <x:v>0</x:v>
      </x:c>
      <x:c r="O233" s="8" t="n">
        <x:v>412</x:v>
      </x:c>
      <x:c r="P233" s="8" t="n">
        <x:v>0</x:v>
      </x:c>
      <x:c r="Q233" s="8" t="n">
        <x:v>9</x:v>
      </x:c>
      <x:c r="R233" s="8" t="n">
        <x:v>0</x:v>
      </x:c>
      <x:c r="S233" s="8" t="n">
        <x:f>L233-I233^2/H233</x:f>
        <x:v>96</x:v>
      </x:c>
      <x:c r="T233" s="8" t="n">
        <x:f>M233-J233^2/H233</x:f>
        <x:v>0</x:v>
      </x:c>
      <x:c r="U233" s="8" t="n">
        <x:f>N233-I233*J233/H233</x:f>
        <x:v>0</x:v>
      </x:c>
      <x:c r="V233" s="8" t="n">
        <x:f>O233-I233*K233/H233</x:f>
        <x:v>83.33333333333331</x:v>
      </x:c>
      <x:c r="W233" s="8" t="n">
        <x:f>P233-J233*K233/H233</x:f>
        <x:v>0</x:v>
      </x:c>
      <x:c r="X233" s="8" t="n">
        <x:f>V233/S233</x:f>
        <x:v>0.8680555555555554</x:v>
      </x:c>
      <x:c r="Y233" s="8" t="n">
        <x:f>0</x:f>
        <x:v>0</x:v>
      </x:c>
      <x:c r="Z233" s="8" t="n">
        <x:f>K233/H233-X233*I233/H233-Y233*J233/H233</x:f>
        <x:v>1.5254629629629646</x:v>
      </x:c>
      <x:c r="AA233" s="8" t="n">
        <x:f>Z233+X233*Q233+Y233*R233</x:f>
        <x:v>9.337962962962962</x:v>
      </x:c>
    </x:row>
    <x:row r="234" ht="26" customHeight="1">
      <x:c r="A234" s="2"/>
      <x:c r="B234" s="2" t="n">
        <x:v>229</x:v>
      </x:c>
      <x:c r="C234" s="2" t="str">
        <x:v>Grooming / price_contribution</x:v>
      </x:c>
      <x:c r="D234" s="2" t="str">
        <x:v>Broad market</x:v>
      </x:c>
      <x:c r="E234" s="7" t="n">
        <x:v>45291</x:v>
      </x:c>
      <x:c r="F234" s="2" t="str">
        <x:v>Origin</x:v>
      </x:c>
      <x:c r="G234" s="7" t="n">
        <x:v>45200</x:v>
      </x:c>
      <x:c r="H234" s="2" t="n">
        <x:v>10</x:v>
      </x:c>
      <x:c r="I234" s="8" t="n">
        <x:v>29.99901867129957</x:v>
      </x:c>
      <x:c r="J234" s="8" t="n">
        <x:v>0</x:v>
      </x:c>
      <x:c r="K234" s="8" t="n">
        <x:v>60</x:v>
      </x:c>
      <x:c r="L234" s="8" t="n">
        <x:v>192.38502264056834</x:v>
      </x:c>
      <x:c r="M234" s="8" t="n">
        <x:v>0</x:v>
      </x:c>
      <x:c r="N234" s="8" t="n">
        <x:v>0</x:v>
      </x:c>
      <x:c r="O234" s="8" t="n">
        <x:v>279.814140806994</x:v>
      </x:c>
      <x:c r="P234" s="8" t="n">
        <x:v>0</x:v>
      </x:c>
      <x:c r="Q234" s="8" t="n">
        <x:v>6.115186149321272</x:v>
      </x:c>
      <x:c r="R234" s="8" t="n">
        <x:v>0</x:v>
      </x:c>
      <x:c r="S234" s="8" t="n">
        <x:f>L234-I234^2/H234</x:f>
        <x:v>102.39091051647031</x:v>
      </x:c>
      <x:c r="T234" s="8" t="n">
        <x:f>M234-J234^2/H234</x:f>
        <x:v>0</x:v>
      </x:c>
      <x:c r="U234" s="8" t="n">
        <x:f>N234-I234*J234/H234</x:f>
        <x:v>0</x:v>
      </x:c>
      <x:c r="V234" s="8" t="n">
        <x:f>O234-I234*K234/H234</x:f>
        <x:v>99.82002877919655</x:v>
      </x:c>
      <x:c r="W234" s="8" t="n">
        <x:f>P234-J234*K234/H234</x:f>
        <x:v>0</x:v>
      </x:c>
      <x:c r="X234" s="8" t="n">
        <x:f>V234/S234</x:f>
        <x:v>0.97489150429168</x:v>
      </x:c>
      <x:c r="Y234" s="8" t="n">
        <x:f>0</x:f>
        <x:v>0</x:v>
      </x:c>
      <x:c r="Z234" s="8" t="n">
        <x:f>K234/H234-X234*I234/H234-Y234*J234/H234</x:f>
        <x:v>3.0754211560262563</x:v>
      </x:c>
      <x:c r="AA234" s="8" t="n">
        <x:f>Z234+X234*Q234+Y234*R234</x:f>
        <x:v>9.037064180161718</x:v>
      </x:c>
    </x:row>
    <x:row r="235" ht="26" customHeight="1">
      <x:c r="A235" s="2"/>
      <x:c r="B235" s="2" t="n">
        <x:v>230</x:v>
      </x:c>
      <x:c r="C235" s="2" t="str">
        <x:v>Grooming / price_contribution</x:v>
      </x:c>
      <x:c r="D235" s="2" t="str">
        <x:v>Broad rolling 8</x:v>
      </x:c>
      <x:c r="E235" s="7" t="n">
        <x:v>45291</x:v>
      </x:c>
      <x:c r="F235" s="2" t="str">
        <x:v>Origin</x:v>
      </x:c>
      <x:c r="G235" s="7" t="n">
        <x:v>45200</x:v>
      </x:c>
      <x:c r="H235" s="2" t="n">
        <x:v>8</x:v>
      </x:c>
      <x:c r="I235" s="8" t="n">
        <x:v>30.576982710611354</x:v>
      </x:c>
      <x:c r="J235" s="8" t="n">
        <x:v>0</x:v>
      </x:c>
      <x:c r="K235" s="8" t="n">
        <x:v>56</x:v>
      </x:c>
      <x:c r="L235" s="8" t="n">
        <x:v>192.2085561715494</x:v>
      </x:c>
      <x:c r="M235" s="8" t="n">
        <x:v>0</x:v>
      </x:c>
      <x:c r="N235" s="8" t="n">
        <x:v>0</x:v>
      </x:c>
      <x:c r="O235" s="8" t="n">
        <x:v>280.9700688856176</x:v>
      </x:c>
      <x:c r="P235" s="8" t="n">
        <x:v>0</x:v>
      </x:c>
      <x:c r="Q235" s="8" t="n">
        <x:v>6.115186149321272</x:v>
      </x:c>
      <x:c r="R235" s="8" t="n">
        <x:v>0</x:v>
      </x:c>
      <x:c r="S235" s="8" t="n">
        <x:f>L235-I235^2/H235</x:f>
        <x:v>75.33957221092118</x:v>
      </x:c>
      <x:c r="T235" s="8" t="n">
        <x:f>M235-J235^2/H235</x:f>
        <x:v>0</x:v>
      </x:c>
      <x:c r="U235" s="8" t="n">
        <x:f>N235-I235*J235/H235</x:f>
        <x:v>0</x:v>
      </x:c>
      <x:c r="V235" s="8" t="n">
        <x:f>O235-I235*K235/H235</x:f>
        <x:v>66.93118991133812</x:v>
      </x:c>
      <x:c r="W235" s="8" t="n">
        <x:f>P235-J235*K235/H235</x:f>
        <x:v>0</x:v>
      </x:c>
      <x:c r="X235" s="8" t="n">
        <x:f>V235/S235</x:f>
        <x:v>0.888393548664666</x:v>
      </x:c>
      <x:c r="Y235" s="8" t="n">
        <x:f>0</x:f>
        <x:v>0</x:v>
      </x:c>
      <x:c r="Z235" s="8" t="n">
        <x:f>K235/H235-X235*I235/H235-Y235*J235/H235</x:f>
        <x:v>3.60445072778273</x:v>
      </x:c>
      <x:c r="AA235" s="8" t="n">
        <x:f>Z235+X235*Q235+Y235*R235</x:f>
        <x:v>9.037142651723268</x:v>
      </x:c>
    </x:row>
    <x:row r="236" ht="26" customHeight="1">
      <x:c r="A236" s="2"/>
      <x:c r="B236" s="2" t="n">
        <x:v>231</x:v>
      </x:c>
      <x:c r="C236" s="2" t="str">
        <x:v>Grooming / price_contribution</x:v>
      </x:c>
      <x:c r="D236" s="2" t="str">
        <x:v>Own history</x:v>
      </x:c>
      <x:c r="E236" s="7" t="n">
        <x:v>45291</x:v>
      </x:c>
      <x:c r="F236" s="2" t="str">
        <x:v>Origin</x:v>
      </x:c>
      <x:c r="G236" s="7" t="n">
        <x:v>45200</x:v>
      </x:c>
      <x:c r="H236" s="2" t="n">
        <x:v>8</x:v>
      </x:c>
      <x:c r="I236" s="8" t="n">
        <x:v>41</x:v>
      </x:c>
      <x:c r="J236" s="8" t="n">
        <x:v>0</x:v>
      </x:c>
      <x:c r="K236" s="8" t="n">
        <x:v>56</x:v>
      </x:c>
      <x:c r="L236" s="8" t="n">
        <x:v>285</x:v>
      </x:c>
      <x:c r="M236" s="8" t="n">
        <x:v>0</x:v>
      </x:c>
      <x:c r="N236" s="8" t="n">
        <x:v>0</x:v>
      </x:c>
      <x:c r="O236" s="8" t="n">
        <x:v>341</x:v>
      </x:c>
      <x:c r="P236" s="8" t="n">
        <x:v>0</x:v>
      </x:c>
      <x:c r="Q236" s="8" t="n">
        <x:v>9</x:v>
      </x:c>
      <x:c r="R236" s="8" t="n">
        <x:v>0</x:v>
      </x:c>
      <x:c r="S236" s="8" t="n">
        <x:f>L236-I236^2/H236</x:f>
        <x:v>74.875</x:v>
      </x:c>
      <x:c r="T236" s="8" t="n">
        <x:f>M236-J236^2/H236</x:f>
        <x:v>0</x:v>
      </x:c>
      <x:c r="U236" s="8" t="n">
        <x:f>N236-I236*J236/H236</x:f>
        <x:v>0</x:v>
      </x:c>
      <x:c r="V236" s="8" t="n">
        <x:f>O236-I236*K236/H236</x:f>
        <x:v>54</x:v>
      </x:c>
      <x:c r="W236" s="8" t="n">
        <x:f>P236-J236*K236/H236</x:f>
        <x:v>0</x:v>
      </x:c>
      <x:c r="X236" s="8" t="n">
        <x:f>V236/S236</x:f>
        <x:v>0.7212020033388982</x:v>
      </x:c>
      <x:c r="Y236" s="8" t="n">
        <x:f>0</x:f>
        <x:v>0</x:v>
      </x:c>
      <x:c r="Z236" s="8" t="n">
        <x:f>K236/H236-X236*I236/H236-Y236*J236/H236</x:f>
        <x:v>3.303839732888147</x:v>
      </x:c>
      <x:c r="AA236" s="8" t="n">
        <x:f>Z236+X236*Q236+Y236*R236</x:f>
        <x:v>9.79465776293823</x:v>
      </x:c>
    </x:row>
    <x:row r="237" ht="26" customHeight="1">
      <x:c r="A237" s="2"/>
      <x:c r="B237" s="2" t="n">
        <x:v>232</x:v>
      </x:c>
      <x:c r="C237" s="2" t="str">
        <x:v>Grooming / price_contribution</x:v>
      </x:c>
      <x:c r="D237" s="2" t="str">
        <x:v>Broad market</x:v>
      </x:c>
      <x:c r="E237" s="7" t="n">
        <x:v>45291</x:v>
      </x:c>
      <x:c r="F237" s="2" t="str">
        <x:v>Prior report</x:v>
      </x:c>
      <x:c r="G237" s="7" t="n">
        <x:v>45217</x:v>
      </x:c>
      <x:c r="H237" s="2" t="n">
        <x:v>11</x:v>
      </x:c>
      <x:c r="I237" s="8" t="n">
        <x:v>35.492611387021356</x:v>
      </x:c>
      <x:c r="J237" s="8" t="n">
        <x:v>0</x:v>
      </x:c>
      <x:c r="K237" s="8" t="n">
        <x:v>69</x:v>
      </x:c>
      <x:c r="L237" s="8" t="n">
        <x:v>222.5645835667998</x:v>
      </x:c>
      <x:c r="M237" s="8" t="n">
        <x:v>0</x:v>
      </x:c>
      <x:c r="N237" s="8" t="n">
        <x:v>0</x:v>
      </x:c>
      <x:c r="O237" s="8" t="n">
        <x:v>329.25647524849006</x:v>
      </x:c>
      <x:c r="P237" s="8" t="n">
        <x:v>0</x:v>
      </x:c>
      <x:c r="Q237" s="8" t="n">
        <x:v>5.498311526452704</x:v>
      </x:c>
      <x:c r="R237" s="8" t="n">
        <x:v>0</x:v>
      </x:c>
      <x:c r="S237" s="8" t="n">
        <x:f>L237-I237^2/H237</x:f>
        <x:v>108.0440869240618</x:v>
      </x:c>
      <x:c r="T237" s="8" t="n">
        <x:f>M237-J237^2/H237</x:f>
        <x:v>0</x:v>
      </x:c>
      <x:c r="U237" s="8" t="n">
        <x:f>N237-I237*J237/H237</x:f>
        <x:v>0</x:v>
      </x:c>
      <x:c r="V237" s="8" t="n">
        <x:f>O237-I237*K237/H237</x:f>
        <x:v>106.62100382081067</x:v>
      </x:c>
      <x:c r="W237" s="8" t="n">
        <x:f>P237-J237*K237/H237</x:f>
        <x:v>0</x:v>
      </x:c>
      <x:c r="X237" s="8" t="n">
        <x:f>V237/S237</x:f>
        <x:v>0.9868286812933008</x:v>
      </x:c>
      <x:c r="Y237" s="8" t="n">
        <x:f>0</x:f>
        <x:v>0</x:v>
      </x:c>
      <x:c r="Z237" s="8" t="n">
        <x:f>K237/H237-X237*I237/H237-Y237*J237/H237</x:f>
        <x:v>3.0886248281172834</x:v>
      </x:c>
      <x:c r="AA237" s="8" t="n">
        <x:f>Z237+X237*Q237+Y237*R237</x:f>
        <x:v>8.514516341106361</x:v>
      </x:c>
    </x:row>
    <x:row r="238" ht="26" customHeight="1">
      <x:c r="A238" s="2"/>
      <x:c r="B238" s="2" t="n">
        <x:v>233</x:v>
      </x:c>
      <x:c r="C238" s="2" t="str">
        <x:v>Grooming / price_contribution</x:v>
      </x:c>
      <x:c r="D238" s="2" t="str">
        <x:v>Broad lag 1</x:v>
      </x:c>
      <x:c r="E238" s="7" t="n">
        <x:v>45291</x:v>
      </x:c>
      <x:c r="F238" s="2" t="str">
        <x:v>Prior report</x:v>
      </x:c>
      <x:c r="G238" s="7" t="n">
        <x:v>45217</x:v>
      </x:c>
      <x:c r="H238" s="2" t="n">
        <x:v>10</x:v>
      </x:c>
      <x:c r="I238" s="8" t="n">
        <x:v>29.99901867129957</x:v>
      </x:c>
      <x:c r="J238" s="8" t="n">
        <x:v>0</x:v>
      </x:c>
      <x:c r="K238" s="8" t="n">
        <x:v>67</x:v>
      </x:c>
      <x:c r="L238" s="8" t="n">
        <x:v>192.38502264056834</x:v>
      </x:c>
      <x:c r="M238" s="8" t="n">
        <x:v>0</x:v>
      </x:c>
      <x:c r="N238" s="8" t="n">
        <x:v>0</x:v>
      </x:c>
      <x:c r="O238" s="8" t="n">
        <x:v>288.5606462790238</x:v>
      </x:c>
      <x:c r="P238" s="8" t="n">
        <x:v>0</x:v>
      </x:c>
      <x:c r="Q238" s="8" t="n">
        <x:v>5.4935927157217845</x:v>
      </x:c>
      <x:c r="R238" s="8" t="n">
        <x:v>0</x:v>
      </x:c>
      <x:c r="S238" s="8" t="n">
        <x:f>L238-I238^2/H238</x:f>
        <x:v>102.39091051647031</x:v>
      </x:c>
      <x:c r="T238" s="8" t="n">
        <x:f>M238-J238^2/H238</x:f>
        <x:v>0</x:v>
      </x:c>
      <x:c r="U238" s="8" t="n">
        <x:f>N238-I238*J238/H238</x:f>
        <x:v>0</x:v>
      </x:c>
      <x:c r="V238" s="8" t="n">
        <x:f>O238-I238*K238/H238</x:f>
        <x:v>87.56722118131668</x:v>
      </x:c>
      <x:c r="W238" s="8" t="n">
        <x:f>P238-J238*K238/H238</x:f>
        <x:v>0</x:v>
      </x:c>
      <x:c r="X238" s="8" t="n">
        <x:f>V238/S238</x:f>
        <x:v>0.8552245579184576</x:v>
      </x:c>
      <x:c r="Y238" s="8" t="n">
        <x:f>0</x:f>
        <x:v>0</x:v>
      </x:c>
      <x:c r="Z238" s="8" t="n">
        <x:f>K238/H238-X238*I238/H238-Y238*J238/H238</x:f>
        <x:v>4.134410251885027</x:v>
      </x:c>
      <x:c r="AA238" s="8" t="n">
        <x:f>Z238+X238*Q238+Y238*R238</x:f>
        <x:v>8.83266565357225</x:v>
      </x:c>
    </x:row>
    <x:row r="239" ht="26" customHeight="1">
      <x:c r="A239" s="2"/>
      <x:c r="B239" s="2" t="n">
        <x:v>234</x:v>
      </x:c>
      <x:c r="C239" s="2" t="str">
        <x:v>Grooming / price_contribution</x:v>
      </x:c>
      <x:c r="D239" s="2" t="str">
        <x:v>Broad rolling 8</x:v>
      </x:c>
      <x:c r="E239" s="7" t="n">
        <x:v>45291</x:v>
      </x:c>
      <x:c r="F239" s="2" t="str">
        <x:v>Prior report</x:v>
      </x:c>
      <x:c r="G239" s="7" t="n">
        <x:v>45217</x:v>
      </x:c>
      <x:c r="H239" s="2" t="n">
        <x:v>8</x:v>
      </x:c>
      <x:c r="I239" s="8" t="n">
        <x:v>36.40194937934132</x:v>
      </x:c>
      <x:c r="J239" s="8" t="n">
        <x:v>0</x:v>
      </x:c>
      <x:c r="K239" s="8" t="n">
        <x:v>63</x:v>
      </x:c>
      <x:c r="L239" s="8" t="n">
        <x:v>222.27830840104858</x:v>
      </x:c>
      <x:c r="M239" s="8" t="n">
        <x:v>0</x:v>
      </x:c>
      <x:c r="N239" s="8" t="n">
        <x:v>0</x:v>
      </x:c>
      <x:c r="O239" s="8" t="n">
        <x:v>331.07515123313</x:v>
      </x:c>
      <x:c r="P239" s="8" t="n">
        <x:v>0</x:v>
      </x:c>
      <x:c r="Q239" s="8" t="n">
        <x:v>5.498311526452704</x:v>
      </x:c>
      <x:c r="R239" s="8" t="n">
        <x:v>0</x:v>
      </x:c>
      <x:c r="S239" s="8" t="n">
        <x:f>L239-I239^2/H239</x:f>
        <x:v>56.64056857403261</x:v>
      </x:c>
      <x:c r="T239" s="8" t="n">
        <x:f>M239-J239^2/H239</x:f>
        <x:v>0</x:v>
      </x:c>
      <x:c r="U239" s="8" t="n">
        <x:f>N239-I239*J239/H239</x:f>
        <x:v>0</x:v>
      </x:c>
      <x:c r="V239" s="8" t="n">
        <x:f>O239-I239*K239/H239</x:f>
        <x:v>44.409799870817096</x:v>
      </x:c>
      <x:c r="W239" s="8" t="n">
        <x:f>P239-J239*K239/H239</x:f>
        <x:v>0</x:v>
      </x:c>
      <x:c r="X239" s="8" t="n">
        <x:f>V239/S239</x:f>
        <x:v>0.7840634546733201</x:v>
      </x:c>
      <x:c r="Y239" s="8" t="n">
        <x:f>0</x:f>
        <x:v>0</x:v>
      </x:c>
      <x:c r="Z239" s="8" t="n">
        <x:f>K239/H239-X239*I239/H239-Y239*J239/H239</x:f>
        <x:v>4.307320226598791</x:v>
      </x:c>
      <x:c r="AA239" s="8" t="n">
        <x:f>Z239+X239*Q239+Y239*R239</x:f>
        <x:v>8.618345356899434</x:v>
      </x:c>
    </x:row>
    <x:row r="240" ht="26" customHeight="1">
      <x:c r="A240" s="2"/>
      <x:c r="B240" s="2" t="n">
        <x:v>235</x:v>
      </x:c>
      <x:c r="C240" s="2" t="str">
        <x:v>Grooming / price_contribution</x:v>
      </x:c>
      <x:c r="D240" s="2" t="str">
        <x:v>Own history</x:v>
      </x:c>
      <x:c r="E240" s="7" t="n">
        <x:v>45291</x:v>
      </x:c>
      <x:c r="F240" s="2" t="str">
        <x:v>Prior report</x:v>
      </x:c>
      <x:c r="G240" s="7" t="n">
        <x:v>45217</x:v>
      </x:c>
      <x:c r="H240" s="2" t="n">
        <x:v>10</x:v>
      </x:c>
      <x:c r="I240" s="8" t="n">
        <x:v>60</x:v>
      </x:c>
      <x:c r="J240" s="8" t="n">
        <x:v>0</x:v>
      </x:c>
      <x:c r="K240" s="8" t="n">
        <x:v>67</x:v>
      </x:c>
      <x:c r="L240" s="8" t="n">
        <x:v>466</x:v>
      </x:c>
      <x:c r="M240" s="8" t="n">
        <x:v>0</x:v>
      </x:c>
      <x:c r="N240" s="8" t="n">
        <x:v>0</x:v>
      </x:c>
      <x:c r="O240" s="8" t="n">
        <x:v>493</x:v>
      </x:c>
      <x:c r="P240" s="8" t="n">
        <x:v>0</x:v>
      </x:c>
      <x:c r="Q240" s="8" t="n">
        <x:v>9</x:v>
      </x:c>
      <x:c r="R240" s="8" t="n">
        <x:v>0</x:v>
      </x:c>
      <x:c r="S240" s="8" t="n">
        <x:f>L240-I240^2/H240</x:f>
        <x:v>106</x:v>
      </x:c>
      <x:c r="T240" s="8" t="n">
        <x:f>M240-J240^2/H240</x:f>
        <x:v>0</x:v>
      </x:c>
      <x:c r="U240" s="8" t="n">
        <x:f>N240-I240*J240/H240</x:f>
        <x:v>0</x:v>
      </x:c>
      <x:c r="V240" s="8" t="n">
        <x:f>O240-I240*K240/H240</x:f>
        <x:v>91</x:v>
      </x:c>
      <x:c r="W240" s="8" t="n">
        <x:f>P240-J240*K240/H240</x:f>
        <x:v>0</x:v>
      </x:c>
      <x:c r="X240" s="8" t="n">
        <x:f>V240/S240</x:f>
        <x:v>0.8584905660377359</x:v>
      </x:c>
      <x:c r="Y240" s="8" t="n">
        <x:f>0</x:f>
        <x:v>0</x:v>
      </x:c>
      <x:c r="Z240" s="8" t="n">
        <x:f>K240/H240-X240*I240/H240-Y240*J240/H240</x:f>
        <x:v>1.5490566037735851</x:v>
      </x:c>
      <x:c r="AA240" s="8" t="n">
        <x:f>Z240+X240*Q240+Y240*R240</x:f>
        <x:v>9.275471698113208</x:v>
      </x:c>
    </x:row>
    <x:row r="241" ht="26" customHeight="1">
      <x:c r="A241" s="2"/>
      <x:c r="B241" s="2" t="n">
        <x:v>236</x:v>
      </x:c>
      <x:c r="C241" s="2" t="str">
        <x:v>Grooming / price_contribution</x:v>
      </x:c>
      <x:c r="D241" s="2" t="str">
        <x:v>Broad market</x:v>
      </x:c>
      <x:c r="E241" s="7" t="n">
        <x:v>45291</x:v>
      </x:c>
      <x:c r="F241" s="2" t="str">
        <x:v>Pre-earnings</x:v>
      </x:c>
      <x:c r="G241" s="7" t="n">
        <x:v>45313</x:v>
      </x:c>
      <x:c r="H241" s="2" t="n">
        <x:v>11</x:v>
      </x:c>
      <x:c r="I241" s="8" t="n">
        <x:v>35.492611387021356</x:v>
      </x:c>
      <x:c r="J241" s="8" t="n">
        <x:v>0</x:v>
      </x:c>
      <x:c r="K241" s="8" t="n">
        <x:v>69</x:v>
      </x:c>
      <x:c r="L241" s="8" t="n">
        <x:v>222.5645835667998</x:v>
      </x:c>
      <x:c r="M241" s="8" t="n">
        <x:v>0</x:v>
      </x:c>
      <x:c r="N241" s="8" t="n">
        <x:v>0</x:v>
      </x:c>
      <x:c r="O241" s="8" t="n">
        <x:v>329.25647524849006</x:v>
      </x:c>
      <x:c r="P241" s="8" t="n">
        <x:v>0</x:v>
      </x:c>
      <x:c r="Q241" s="8" t="n">
        <x:v>4.212216519153356</x:v>
      </x:c>
      <x:c r="R241" s="8" t="n">
        <x:v>0</x:v>
      </x:c>
      <x:c r="S241" s="8" t="n">
        <x:f>L241-I241^2/H241</x:f>
        <x:v>108.0440869240618</x:v>
      </x:c>
      <x:c r="T241" s="8" t="n">
        <x:f>M241-J241^2/H241</x:f>
        <x:v>0</x:v>
      </x:c>
      <x:c r="U241" s="8" t="n">
        <x:f>N241-I241*J241/H241</x:f>
        <x:v>0</x:v>
      </x:c>
      <x:c r="V241" s="8" t="n">
        <x:f>O241-I241*K241/H241</x:f>
        <x:v>106.62100382081067</x:v>
      </x:c>
      <x:c r="W241" s="8" t="n">
        <x:f>P241-J241*K241/H241</x:f>
        <x:v>0</x:v>
      </x:c>
      <x:c r="X241" s="8" t="n">
        <x:f>V241/S241</x:f>
        <x:v>0.9868286812933008</x:v>
      </x:c>
      <x:c r="Y241" s="8" t="n">
        <x:f>0</x:f>
        <x:v>0</x:v>
      </x:c>
      <x:c r="Z241" s="8" t="n">
        <x:f>K241/H241-X241*I241/H241-Y241*J241/H241</x:f>
        <x:v>3.0886248281172834</x:v>
      </x:c>
      <x:c r="AA241" s="8" t="n">
        <x:f>Z241+X241*Q241+Y241*R241</x:f>
        <x:v>7.245360901035247</x:v>
      </x:c>
    </x:row>
    <x:row r="242" ht="26" customHeight="1">
      <x:c r="A242" s="2"/>
      <x:c r="B242" s="2" t="n">
        <x:v>237</x:v>
      </x:c>
      <x:c r="C242" s="2" t="str">
        <x:v>Grooming / price_contribution</x:v>
      </x:c>
      <x:c r="D242" s="2" t="str">
        <x:v>Broad lag 1</x:v>
      </x:c>
      <x:c r="E242" s="7" t="n">
        <x:v>45291</x:v>
      </x:c>
      <x:c r="F242" s="2" t="str">
        <x:v>Pre-earnings</x:v>
      </x:c>
      <x:c r="G242" s="7" t="n">
        <x:v>45313</x:v>
      </x:c>
      <x:c r="H242" s="2" t="n">
        <x:v>10</x:v>
      </x:c>
      <x:c r="I242" s="8" t="n">
        <x:v>29.99901867129957</x:v>
      </x:c>
      <x:c r="J242" s="8" t="n">
        <x:v>0</x:v>
      </x:c>
      <x:c r="K242" s="8" t="n">
        <x:v>67</x:v>
      </x:c>
      <x:c r="L242" s="8" t="n">
        <x:v>192.38502264056834</x:v>
      </x:c>
      <x:c r="M242" s="8" t="n">
        <x:v>0</x:v>
      </x:c>
      <x:c r="N242" s="8" t="n">
        <x:v>0</x:v>
      </x:c>
      <x:c r="O242" s="8" t="n">
        <x:v>288.5606462790238</x:v>
      </x:c>
      <x:c r="P242" s="8" t="n">
        <x:v>0</x:v>
      </x:c>
      <x:c r="Q242" s="8" t="n">
        <x:v>5.4935927157217845</x:v>
      </x:c>
      <x:c r="R242" s="8" t="n">
        <x:v>0</x:v>
      </x:c>
      <x:c r="S242" s="8" t="n">
        <x:f>L242-I242^2/H242</x:f>
        <x:v>102.39091051647031</x:v>
      </x:c>
      <x:c r="T242" s="8" t="n">
        <x:f>M242-J242^2/H242</x:f>
        <x:v>0</x:v>
      </x:c>
      <x:c r="U242" s="8" t="n">
        <x:f>N242-I242*J242/H242</x:f>
        <x:v>0</x:v>
      </x:c>
      <x:c r="V242" s="8" t="n">
        <x:f>O242-I242*K242/H242</x:f>
        <x:v>87.56722118131668</x:v>
      </x:c>
      <x:c r="W242" s="8" t="n">
        <x:f>P242-J242*K242/H242</x:f>
        <x:v>0</x:v>
      </x:c>
      <x:c r="X242" s="8" t="n">
        <x:f>V242/S242</x:f>
        <x:v>0.8552245579184576</x:v>
      </x:c>
      <x:c r="Y242" s="8" t="n">
        <x:f>0</x:f>
        <x:v>0</x:v>
      </x:c>
      <x:c r="Z242" s="8" t="n">
        <x:f>K242/H242-X242*I242/H242-Y242*J242/H242</x:f>
        <x:v>4.134410251885027</x:v>
      </x:c>
      <x:c r="AA242" s="8" t="n">
        <x:f>Z242+X242*Q242+Y242*R242</x:f>
        <x:v>8.83266565357225</x:v>
      </x:c>
    </x:row>
    <x:row r="243" ht="26" customHeight="1">
      <x:c r="A243" s="2"/>
      <x:c r="B243" s="2" t="n">
        <x:v>238</x:v>
      </x:c>
      <x:c r="C243" s="2" t="str">
        <x:v>Grooming / price_contribution</x:v>
      </x:c>
      <x:c r="D243" s="2" t="str">
        <x:v>Broad rolling 8</x:v>
      </x:c>
      <x:c r="E243" s="7" t="n">
        <x:v>45291</x:v>
      </x:c>
      <x:c r="F243" s="2" t="str">
        <x:v>Pre-earnings</x:v>
      </x:c>
      <x:c r="G243" s="7" t="n">
        <x:v>45313</x:v>
      </x:c>
      <x:c r="H243" s="2" t="n">
        <x:v>8</x:v>
      </x:c>
      <x:c r="I243" s="8" t="n">
        <x:v>36.40194937934132</x:v>
      </x:c>
      <x:c r="J243" s="8" t="n">
        <x:v>0</x:v>
      </x:c>
      <x:c r="K243" s="8" t="n">
        <x:v>63</x:v>
      </x:c>
      <x:c r="L243" s="8" t="n">
        <x:v>222.27830840104858</x:v>
      </x:c>
      <x:c r="M243" s="8" t="n">
        <x:v>0</x:v>
      </x:c>
      <x:c r="N243" s="8" t="n">
        <x:v>0</x:v>
      </x:c>
      <x:c r="O243" s="8" t="n">
        <x:v>331.07515123313</x:v>
      </x:c>
      <x:c r="P243" s="8" t="n">
        <x:v>0</x:v>
      </x:c>
      <x:c r="Q243" s="8" t="n">
        <x:v>4.212216519153356</x:v>
      </x:c>
      <x:c r="R243" s="8" t="n">
        <x:v>0</x:v>
      </x:c>
      <x:c r="S243" s="8" t="n">
        <x:f>L243-I243^2/H243</x:f>
        <x:v>56.64056857403261</x:v>
      </x:c>
      <x:c r="T243" s="8" t="n">
        <x:f>M243-J243^2/H243</x:f>
        <x:v>0</x:v>
      </x:c>
      <x:c r="U243" s="8" t="n">
        <x:f>N243-I243*J243/H243</x:f>
        <x:v>0</x:v>
      </x:c>
      <x:c r="V243" s="8" t="n">
        <x:f>O243-I243*K243/H243</x:f>
        <x:v>44.409799870817096</x:v>
      </x:c>
      <x:c r="W243" s="8" t="n">
        <x:f>P243-J243*K243/H243</x:f>
        <x:v>0</x:v>
      </x:c>
      <x:c r="X243" s="8" t="n">
        <x:f>V243/S243</x:f>
        <x:v>0.7840634546733201</x:v>
      </x:c>
      <x:c r="Y243" s="8" t="n">
        <x:f>0</x:f>
        <x:v>0</x:v>
      </x:c>
      <x:c r="Z243" s="8" t="n">
        <x:f>K243/H243-X243*I243/H243-Y243*J243/H243</x:f>
        <x:v>4.307320226598791</x:v>
      </x:c>
      <x:c r="AA243" s="8" t="n">
        <x:f>Z243+X243*Q243+Y243*R243</x:f>
        <x:v>7.609965262438198</x:v>
      </x:c>
    </x:row>
    <x:row r="244" ht="26" customHeight="1">
      <x:c r="A244" s="2"/>
      <x:c r="B244" s="2" t="n">
        <x:v>239</x:v>
      </x:c>
      <x:c r="C244" s="2" t="str">
        <x:v>Grooming / price_contribution</x:v>
      </x:c>
      <x:c r="D244" s="2" t="str">
        <x:v>Own history</x:v>
      </x:c>
      <x:c r="E244" s="7" t="n">
        <x:v>45291</x:v>
      </x:c>
      <x:c r="F244" s="2" t="str">
        <x:v>Pre-earnings</x:v>
      </x:c>
      <x:c r="G244" s="7" t="n">
        <x:v>45313</x:v>
      </x:c>
      <x:c r="H244" s="2" t="n">
        <x:v>10</x:v>
      </x:c>
      <x:c r="I244" s="8" t="n">
        <x:v>60</x:v>
      </x:c>
      <x:c r="J244" s="8" t="n">
        <x:v>0</x:v>
      </x:c>
      <x:c r="K244" s="8" t="n">
        <x:v>67</x:v>
      </x:c>
      <x:c r="L244" s="8" t="n">
        <x:v>466</x:v>
      </x:c>
      <x:c r="M244" s="8" t="n">
        <x:v>0</x:v>
      </x:c>
      <x:c r="N244" s="8" t="n">
        <x:v>0</x:v>
      </x:c>
      <x:c r="O244" s="8" t="n">
        <x:v>493</x:v>
      </x:c>
      <x:c r="P244" s="8" t="n">
        <x:v>0</x:v>
      </x:c>
      <x:c r="Q244" s="8" t="n">
        <x:v>9</x:v>
      </x:c>
      <x:c r="R244" s="8" t="n">
        <x:v>0</x:v>
      </x:c>
      <x:c r="S244" s="8" t="n">
        <x:f>L244-I244^2/H244</x:f>
        <x:v>106</x:v>
      </x:c>
      <x:c r="T244" s="8" t="n">
        <x:f>M244-J244^2/H244</x:f>
        <x:v>0</x:v>
      </x:c>
      <x:c r="U244" s="8" t="n">
        <x:f>N244-I244*J244/H244</x:f>
        <x:v>0</x:v>
      </x:c>
      <x:c r="V244" s="8" t="n">
        <x:f>O244-I244*K244/H244</x:f>
        <x:v>91</x:v>
      </x:c>
      <x:c r="W244" s="8" t="n">
        <x:f>P244-J244*K244/H244</x:f>
        <x:v>0</x:v>
      </x:c>
      <x:c r="X244" s="8" t="n">
        <x:f>V244/S244</x:f>
        <x:v>0.8584905660377359</x:v>
      </x:c>
      <x:c r="Y244" s="8" t="n">
        <x:f>0</x:f>
        <x:v>0</x:v>
      </x:c>
      <x:c r="Z244" s="8" t="n">
        <x:f>K244/H244-X244*I244/H244-Y244*J244/H244</x:f>
        <x:v>1.5490566037735851</x:v>
      </x:c>
      <x:c r="AA244" s="8" t="n">
        <x:f>Z244+X244*Q244+Y244*R244</x:f>
        <x:v>9.275471698113208</x:v>
      </x:c>
    </x:row>
    <x:row r="245" ht="26" customHeight="1">
      <x:c r="A245" s="2"/>
      <x:c r="B245" s="2" t="n">
        <x:v>240</x:v>
      </x:c>
      <x:c r="C245" s="2" t="str">
        <x:v>Grooming / price_contribution</x:v>
      </x:c>
      <x:c r="D245" s="2" t="str">
        <x:v>Broad market</x:v>
      </x:c>
      <x:c r="E245" s="7" t="n">
        <x:v>45382</x:v>
      </x:c>
      <x:c r="F245" s="2" t="str">
        <x:v>Origin</x:v>
      </x:c>
      <x:c r="G245" s="7" t="n">
        <x:v>45292</x:v>
      </x:c>
      <x:c r="H245" s="2" t="n">
        <x:v>11</x:v>
      </x:c>
      <x:c r="I245" s="8" t="n">
        <x:v>35.492611387021356</x:v>
      </x:c>
      <x:c r="J245" s="8" t="n">
        <x:v>0</x:v>
      </x:c>
      <x:c r="K245" s="8" t="n">
        <x:v>69</x:v>
      </x:c>
      <x:c r="L245" s="8" t="n">
        <x:v>222.5645835667998</x:v>
      </x:c>
      <x:c r="M245" s="8" t="n">
        <x:v>0</x:v>
      </x:c>
      <x:c r="N245" s="8" t="n">
        <x:v>0</x:v>
      </x:c>
      <x:c r="O245" s="8" t="n">
        <x:v>329.25647524849006</x:v>
      </x:c>
      <x:c r="P245" s="8" t="n">
        <x:v>0</x:v>
      </x:c>
      <x:c r="Q245" s="8" t="n">
        <x:v>4.8286314442429035</x:v>
      </x:c>
      <x:c r="R245" s="8" t="n">
        <x:v>0</x:v>
      </x:c>
      <x:c r="S245" s="8" t="n">
        <x:f>L245-I245^2/H245</x:f>
        <x:v>108.0440869240618</x:v>
      </x:c>
      <x:c r="T245" s="8" t="n">
        <x:f>M245-J245^2/H245</x:f>
        <x:v>0</x:v>
      </x:c>
      <x:c r="U245" s="8" t="n">
        <x:f>N245-I245*J245/H245</x:f>
        <x:v>0</x:v>
      </x:c>
      <x:c r="V245" s="8" t="n">
        <x:f>O245-I245*K245/H245</x:f>
        <x:v>106.62100382081067</x:v>
      </x:c>
      <x:c r="W245" s="8" t="n">
        <x:f>P245-J245*K245/H245</x:f>
        <x:v>0</x:v>
      </x:c>
      <x:c r="X245" s="8" t="n">
        <x:f>V245/S245</x:f>
        <x:v>0.9868286812933008</x:v>
      </x:c>
      <x:c r="Y245" s="8" t="n">
        <x:f>0</x:f>
        <x:v>0</x:v>
      </x:c>
      <x:c r="Z245" s="8" t="n">
        <x:f>K245/H245-X245*I245/H245-Y245*J245/H245</x:f>
        <x:v>3.0886248281172834</x:v>
      </x:c>
      <x:c r="AA245" s="8" t="n">
        <x:f>Z245+X245*Q245+Y245*R245</x:f>
        <x:v>7.853656828690874</x:v>
      </x:c>
    </x:row>
    <x:row r="246" ht="26" customHeight="1">
      <x:c r="A246" s="2"/>
      <x:c r="B246" s="2" t="n">
        <x:v>241</x:v>
      </x:c>
      <x:c r="C246" s="2" t="str">
        <x:v>Grooming / price_contribution</x:v>
      </x:c>
      <x:c r="D246" s="2" t="str">
        <x:v>Broad rolling 8</x:v>
      </x:c>
      <x:c r="E246" s="7" t="n">
        <x:v>45382</x:v>
      </x:c>
      <x:c r="F246" s="2" t="str">
        <x:v>Origin</x:v>
      </x:c>
      <x:c r="G246" s="7" t="n">
        <x:v>45292</x:v>
      </x:c>
      <x:c r="H246" s="2" t="n">
        <x:v>8</x:v>
      </x:c>
      <x:c r="I246" s="8" t="n">
        <x:v>36.40194937934132</x:v>
      </x:c>
      <x:c r="J246" s="8" t="n">
        <x:v>0</x:v>
      </x:c>
      <x:c r="K246" s="8" t="n">
        <x:v>63</x:v>
      </x:c>
      <x:c r="L246" s="8" t="n">
        <x:v>222.27830840104858</x:v>
      </x:c>
      <x:c r="M246" s="8" t="n">
        <x:v>0</x:v>
      </x:c>
      <x:c r="N246" s="8" t="n">
        <x:v>0</x:v>
      </x:c>
      <x:c r="O246" s="8" t="n">
        <x:v>331.07515123313</x:v>
      </x:c>
      <x:c r="P246" s="8" t="n">
        <x:v>0</x:v>
      </x:c>
      <x:c r="Q246" s="8" t="n">
        <x:v>4.8286314442429035</x:v>
      </x:c>
      <x:c r="R246" s="8" t="n">
        <x:v>0</x:v>
      </x:c>
      <x:c r="S246" s="8" t="n">
        <x:f>L246-I246^2/H246</x:f>
        <x:v>56.64056857403261</x:v>
      </x:c>
      <x:c r="T246" s="8" t="n">
        <x:f>M246-J246^2/H246</x:f>
        <x:v>0</x:v>
      </x:c>
      <x:c r="U246" s="8" t="n">
        <x:f>N246-I246*J246/H246</x:f>
        <x:v>0</x:v>
      </x:c>
      <x:c r="V246" s="8" t="n">
        <x:f>O246-I246*K246/H246</x:f>
        <x:v>44.409799870817096</x:v>
      </x:c>
      <x:c r="W246" s="8" t="n">
        <x:f>P246-J246*K246/H246</x:f>
        <x:v>0</x:v>
      </x:c>
      <x:c r="X246" s="8" t="n">
        <x:f>V246/S246</x:f>
        <x:v>0.7840634546733201</x:v>
      </x:c>
      <x:c r="Y246" s="8" t="n">
        <x:f>0</x:f>
        <x:v>0</x:v>
      </x:c>
      <x:c r="Z246" s="8" t="n">
        <x:f>K246/H246-X246*I246/H246-Y246*J246/H246</x:f>
        <x:v>4.307320226598791</x:v>
      </x:c>
      <x:c r="AA246" s="8" t="n">
        <x:f>Z246+X246*Q246+Y246*R246</x:f>
        <x:v>8.093273678116105</x:v>
      </x:c>
    </x:row>
    <x:row r="247" ht="26" customHeight="1">
      <x:c r="A247" s="2"/>
      <x:c r="B247" s="2" t="n">
        <x:v>242</x:v>
      </x:c>
      <x:c r="C247" s="2" t="str">
        <x:v>Grooming / price_contribution</x:v>
      </x:c>
      <x:c r="D247" s="2" t="str">
        <x:v>Own history</x:v>
      </x:c>
      <x:c r="E247" s="7" t="n">
        <x:v>45382</x:v>
      </x:c>
      <x:c r="F247" s="2" t="str">
        <x:v>Origin</x:v>
      </x:c>
      <x:c r="G247" s="7" t="n">
        <x:v>45292</x:v>
      </x:c>
      <x:c r="H247" s="2" t="n">
        <x:v>9</x:v>
      </x:c>
      <x:c r="I247" s="8" t="n">
        <x:v>51</x:v>
      </x:c>
      <x:c r="J247" s="8" t="n">
        <x:v>0</x:v>
      </x:c>
      <x:c r="K247" s="8" t="n">
        <x:v>65</x:v>
      </x:c>
      <x:c r="L247" s="8" t="n">
        <x:v>385</x:v>
      </x:c>
      <x:c r="M247" s="8" t="n">
        <x:v>0</x:v>
      </x:c>
      <x:c r="N247" s="8" t="n">
        <x:v>0</x:v>
      </x:c>
      <x:c r="O247" s="8" t="n">
        <x:v>431</x:v>
      </x:c>
      <x:c r="P247" s="8" t="n">
        <x:v>0</x:v>
      </x:c>
      <x:c r="Q247" s="8" t="n">
        <x:v>9</x:v>
      </x:c>
      <x:c r="R247" s="8" t="n">
        <x:v>0</x:v>
      </x:c>
      <x:c r="S247" s="8" t="n">
        <x:f>L247-I247^2/H247</x:f>
        <x:v>96</x:v>
      </x:c>
      <x:c r="T247" s="8" t="n">
        <x:f>M247-J247^2/H247</x:f>
        <x:v>0</x:v>
      </x:c>
      <x:c r="U247" s="8" t="n">
        <x:f>N247-I247*J247/H247</x:f>
        <x:v>0</x:v>
      </x:c>
      <x:c r="V247" s="8" t="n">
        <x:f>O247-I247*K247/H247</x:f>
        <x:v>62.666666666666686</x:v>
      </x:c>
      <x:c r="W247" s="8" t="n">
        <x:f>P247-J247*K247/H247</x:f>
        <x:v>0</x:v>
      </x:c>
      <x:c r="X247" s="8" t="n">
        <x:f>V247/S247</x:f>
        <x:v>0.652777777777778</x:v>
      </x:c>
      <x:c r="Y247" s="8" t="n">
        <x:f>0</x:f>
        <x:v>0</x:v>
      </x:c>
      <x:c r="Z247" s="8" t="n">
        <x:f>K247/H247-X247*I247/H247-Y247*J247/H247</x:f>
        <x:v>3.523148148148147</x:v>
      </x:c>
      <x:c r="AA247" s="8" t="n">
        <x:f>Z247+X247*Q247+Y247*R247</x:f>
        <x:v>9.398148148148149</x:v>
      </x:c>
    </x:row>
    <x:row r="248" ht="26" customHeight="1">
      <x:c r="A248" s="2"/>
      <x:c r="B248" s="2" t="n">
        <x:v>243</x:v>
      </x:c>
      <x:c r="C248" s="2" t="str">
        <x:v>Grooming / price_contribution</x:v>
      </x:c>
      <x:c r="D248" s="2" t="str">
        <x:v>Broad market</x:v>
      </x:c>
      <x:c r="E248" s="7" t="n">
        <x:v>45382</x:v>
      </x:c>
      <x:c r="F248" s="2" t="str">
        <x:v>Prior report</x:v>
      </x:c>
      <x:c r="G248" s="7" t="n">
        <x:v>45314</x:v>
      </x:c>
      <x:c r="H248" s="2" t="n">
        <x:v>12</x:v>
      </x:c>
      <x:c r="I248" s="8" t="n">
        <x:v>39.704827906174714</x:v>
      </x:c>
      <x:c r="J248" s="8" t="n">
        <x:v>0</x:v>
      </x:c>
      <x:c r="K248" s="8" t="n">
        <x:v>76</x:v>
      </x:c>
      <x:c r="L248" s="8" t="n">
        <x:v>240.3073515710282</x:v>
      </x:c>
      <x:c r="M248" s="8" t="n">
        <x:v>0</x:v>
      </x:c>
      <x:c r="N248" s="8" t="n">
        <x:v>0</x:v>
      </x:c>
      <x:c r="O248" s="8" t="n">
        <x:v>358.7419908825635</x:v>
      </x:c>
      <x:c r="P248" s="8" t="n">
        <x:v>0</x:v>
      </x:c>
      <x:c r="Q248" s="8" t="n">
        <x:v>4.212487471834003</x:v>
      </x:c>
      <x:c r="R248" s="8" t="n">
        <x:v>0</x:v>
      </x:c>
      <x:c r="S248" s="8" t="n">
        <x:f>L248-I248^2/H248</x:f>
        <x:v>108.934571649449</x:v>
      </x:c>
      <x:c r="T248" s="8" t="n">
        <x:f>M248-J248^2/H248</x:f>
        <x:v>0</x:v>
      </x:c>
      <x:c r="U248" s="8" t="n">
        <x:f>N248-I248*J248/H248</x:f>
        <x:v>0</x:v>
      </x:c>
      <x:c r="V248" s="8" t="n">
        <x:f>O248-I248*K248/H248</x:f>
        <x:v>107.27808081012367</x:v>
      </x:c>
      <x:c r="W248" s="8" t="n">
        <x:f>P248-J248*K248/H248</x:f>
        <x:v>0</x:v>
      </x:c>
      <x:c r="X248" s="8" t="n">
        <x:f>V248/S248</x:f>
        <x:v>0.984793708606521</x:v>
      </x:c>
      <x:c r="Y248" s="8" t="n">
        <x:f>0</x:f>
        <x:v>0</x:v>
      </x:c>
      <x:c r="Z248" s="8" t="n">
        <x:f>K248/H248-X248*I248/H248-Y248*J248/H248</x:f>
        <x:v>3.074911273057876</x:v>
      </x:c>
      <x:c r="AA248" s="8" t="n">
        <x:f>Z248+X248*Q248+Y248*R248</x:f>
        <x:v>7.223342432903792</x:v>
      </x:c>
    </x:row>
    <x:row r="249" ht="26" customHeight="1">
      <x:c r="A249" s="2"/>
      <x:c r="B249" s="2" t="n">
        <x:v>244</x:v>
      </x:c>
      <x:c r="C249" s="2" t="str">
        <x:v>Grooming / price_contribution</x:v>
      </x:c>
      <x:c r="D249" s="2" t="str">
        <x:v>Broad lag 1</x:v>
      </x:c>
      <x:c r="E249" s="7" t="n">
        <x:v>45382</x:v>
      </x:c>
      <x:c r="F249" s="2" t="str">
        <x:v>Prior report</x:v>
      </x:c>
      <x:c r="G249" s="7" t="n">
        <x:v>45314</x:v>
      </x:c>
      <x:c r="H249" s="2" t="n">
        <x:v>11</x:v>
      </x:c>
      <x:c r="I249" s="8" t="n">
        <x:v>35.492611387021356</x:v>
      </x:c>
      <x:c r="J249" s="8" t="n">
        <x:v>0</x:v>
      </x:c>
      <x:c r="K249" s="8" t="n">
        <x:v>74</x:v>
      </x:c>
      <x:c r="L249" s="8" t="n">
        <x:v>222.5645835667998</x:v>
      </x:c>
      <x:c r="M249" s="8" t="n">
        <x:v>0</x:v>
      </x:c>
      <x:c r="N249" s="8" t="n">
        <x:v>0</x:v>
      </x:c>
      <x:c r="O249" s="8" t="n">
        <x:v>327.01579528907627</x:v>
      </x:c>
      <x:c r="P249" s="8" t="n">
        <x:v>0</x:v>
      </x:c>
      <x:c r="Q249" s="8" t="n">
        <x:v>4.212216519153356</x:v>
      </x:c>
      <x:c r="R249" s="8" t="n">
        <x:v>0</x:v>
      </x:c>
      <x:c r="S249" s="8" t="n">
        <x:f>L249-I249^2/H249</x:f>
        <x:v>108.0440869240618</x:v>
      </x:c>
      <x:c r="T249" s="8" t="n">
        <x:f>M249-J249^2/H249</x:f>
        <x:v>0</x:v>
      </x:c>
      <x:c r="U249" s="8" t="n">
        <x:f>N249-I249*J249/H249</x:f>
        <x:v>0</x:v>
      </x:c>
      <x:c r="V249" s="8" t="n">
        <x:f>O249-I249*K249/H249</x:f>
        <x:v>88.24731868547806</x:v>
      </x:c>
      <x:c r="W249" s="8" t="n">
        <x:f>P249-J249*K249/H249</x:f>
        <x:v>0</x:v>
      </x:c>
      <x:c r="X249" s="8" t="n">
        <x:f>V249/S249</x:f>
        <x:v>0.8167713865498462</x:v>
      </x:c>
      <x:c r="Y249" s="8" t="n">
        <x:f>0</x:f>
        <x:v>0</x:v>
      </x:c>
      <x:c r="Z249" s="8" t="n">
        <x:f>K249/H249-X249*I249/H249-Y249*J249/H249</x:f>
        <x:v>4.091877325922519</x:v>
      </x:c>
      <x:c r="AA249" s="8" t="n">
        <x:f>Z249+X249*Q249+Y249*R249</x:f>
        <x:v>7.532295252719573</x:v>
      </x:c>
    </x:row>
    <x:row r="250" ht="26" customHeight="1">
      <x:c r="A250" s="2"/>
      <x:c r="B250" s="2" t="n">
        <x:v>245</x:v>
      </x:c>
      <x:c r="C250" s="2" t="str">
        <x:v>Grooming / price_contribution</x:v>
      </x:c>
      <x:c r="D250" s="2" t="str">
        <x:v>Broad rolling 8</x:v>
      </x:c>
      <x:c r="E250" s="7" t="n">
        <x:v>45382</x:v>
      </x:c>
      <x:c r="F250" s="2" t="str">
        <x:v>Prior report</x:v>
      </x:c>
      <x:c r="G250" s="7" t="n">
        <x:v>45314</x:v>
      </x:c>
      <x:c r="H250" s="2" t="n">
        <x:v>8</x:v>
      </x:c>
      <x:c r="I250" s="8" t="n">
        <x:v>40.58301442287644</x:v>
      </x:c>
      <x:c r="J250" s="8" t="n">
        <x:v>0</x:v>
      </x:c>
      <x:c r="K250" s="8" t="n">
        <x:v>66</x:v>
      </x:c>
      <x:c r="L250" s="8" t="n">
        <x:v>240.0201059908438</x:v>
      </x:c>
      <x:c r="M250" s="8" t="n">
        <x:v>0</x:v>
      </x:c>
      <x:c r="N250" s="8" t="n">
        <x:v>0</x:v>
      </x:c>
      <x:c r="O250" s="8" t="n">
        <x:v>360.43606096473053</x:v>
      </x:c>
      <x:c r="P250" s="8" t="n">
        <x:v>0</x:v>
      </x:c>
      <x:c r="Q250" s="8" t="n">
        <x:v>4.212487471834003</x:v>
      </x:c>
      <x:c r="R250" s="8" t="n">
        <x:v>0</x:v>
      </x:c>
      <x:c r="S250" s="8" t="n">
        <x:f>L250-I250^2/H250</x:f>
        <x:v>34.147473534919186</x:v>
      </x:c>
      <x:c r="T250" s="8" t="n">
        <x:f>M250-J250^2/H250</x:f>
        <x:v>0</x:v>
      </x:c>
      <x:c r="U250" s="8" t="n">
        <x:f>N250-I250*J250/H250</x:f>
        <x:v>0</x:v>
      </x:c>
      <x:c r="V250" s="8" t="n">
        <x:f>O250-I250*K250/H250</x:f>
        <x:v>25.626191975999916</x:v>
      </x:c>
      <x:c r="W250" s="8" t="n">
        <x:f>P250-J250*K250/H250</x:f>
        <x:v>0</x:v>
      </x:c>
      <x:c r="X250" s="8" t="n">
        <x:f>V250/S250</x:f>
        <x:v>0.7504564561648928</x:v>
      </x:c>
      <x:c r="Y250" s="8" t="n">
        <x:f>0</x:f>
        <x:v>0</x:v>
      </x:c>
      <x:c r="Z250" s="8" t="n">
        <x:f>K250/H250-X250*I250/H250-Y250*J250/H250</x:f>
        <x:v>4.443026851964927</x:v>
      </x:c>
      <x:c r="AA250" s="8" t="n">
        <x:f>Z250+X250*Q250+Y250*R250</x:f>
        <x:v>7.604315271716482</x:v>
      </x:c>
    </x:row>
    <x:row r="251" ht="26" customHeight="1">
      <x:c r="A251" s="2"/>
      <x:c r="B251" s="2" t="n">
        <x:v>246</x:v>
      </x:c>
      <x:c r="C251" s="2" t="str">
        <x:v>Grooming / price_contribution</x:v>
      </x:c>
      <x:c r="D251" s="2" t="str">
        <x:v>Own history</x:v>
      </x:c>
      <x:c r="E251" s="7" t="n">
        <x:v>45382</x:v>
      </x:c>
      <x:c r="F251" s="2" t="str">
        <x:v>Prior report</x:v>
      </x:c>
      <x:c r="G251" s="7" t="n">
        <x:v>45314</x:v>
      </x:c>
      <x:c r="H251" s="2" t="n">
        <x:v>11</x:v>
      </x:c>
      <x:c r="I251" s="8" t="n">
        <x:v>69</x:v>
      </x:c>
      <x:c r="J251" s="8" t="n">
        <x:v>0</x:v>
      </x:c>
      <x:c r="K251" s="8" t="n">
        <x:v>74</x:v>
      </x:c>
      <x:c r="L251" s="8" t="n">
        <x:v>547</x:v>
      </x:c>
      <x:c r="M251" s="8" t="n">
        <x:v>0</x:v>
      </x:c>
      <x:c r="N251" s="8" t="n">
        <x:v>0</x:v>
      </x:c>
      <x:c r="O251" s="8" t="n">
        <x:v>556</x:v>
      </x:c>
      <x:c r="P251" s="8" t="n">
        <x:v>0</x:v>
      </x:c>
      <x:c r="Q251" s="8" t="n">
        <x:v>7</x:v>
      </x:c>
      <x:c r="R251" s="8" t="n">
        <x:v>0</x:v>
      </x:c>
      <x:c r="S251" s="8" t="n">
        <x:f>L251-I251^2/H251</x:f>
        <x:v>114.18181818181819</x:v>
      </x:c>
      <x:c r="T251" s="8" t="n">
        <x:f>M251-J251^2/H251</x:f>
        <x:v>0</x:v>
      </x:c>
      <x:c r="U251" s="8" t="n">
        <x:f>N251-I251*J251/H251</x:f>
        <x:v>0</x:v>
      </x:c>
      <x:c r="V251" s="8" t="n">
        <x:f>O251-I251*K251/H251</x:f>
        <x:v>91.81818181818181</x:v>
      </x:c>
      <x:c r="W251" s="8" t="n">
        <x:f>P251-J251*K251/H251</x:f>
        <x:v>0</x:v>
      </x:c>
      <x:c r="X251" s="8" t="n">
        <x:f>V251/S251</x:f>
        <x:v>0.8041401273885349</x:v>
      </x:c>
      <x:c r="Y251" s="8" t="n">
        <x:f>0</x:f>
        <x:v>0</x:v>
      </x:c>
      <x:c r="Z251" s="8" t="n">
        <x:f>K251/H251-X251*I251/H251-Y251*J251/H251</x:f>
        <x:v>1.683121019108281</x:v>
      </x:c>
      <x:c r="AA251" s="8" t="n">
        <x:f>Z251+X251*Q251+Y251*R251</x:f>
        <x:v>7.312101910828026</x:v>
      </x:c>
    </x:row>
    <x:row r="252" ht="26" customHeight="1">
      <x:c r="A252" s="2"/>
      <x:c r="B252" s="2" t="n">
        <x:v>247</x:v>
      </x:c>
      <x:c r="C252" s="2" t="str">
        <x:v>Grooming / price_contribution</x:v>
      </x:c>
      <x:c r="D252" s="2" t="str">
        <x:v>Broad market</x:v>
      </x:c>
      <x:c r="E252" s="7" t="n">
        <x:v>45382</x:v>
      </x:c>
      <x:c r="F252" s="2" t="str">
        <x:v>Pre-earnings</x:v>
      </x:c>
      <x:c r="G252" s="7" t="n">
        <x:v>45400</x:v>
      </x:c>
      <x:c r="H252" s="2" t="n">
        <x:v>12</x:v>
      </x:c>
      <x:c r="I252" s="8" t="n">
        <x:v>39.704827906174714</x:v>
      </x:c>
      <x:c r="J252" s="8" t="n">
        <x:v>0</x:v>
      </x:c>
      <x:c r="K252" s="8" t="n">
        <x:v>76</x:v>
      </x:c>
      <x:c r="L252" s="8" t="n">
        <x:v>240.3073515710282</x:v>
      </x:c>
      <x:c r="M252" s="8" t="n">
        <x:v>0</x:v>
      </x:c>
      <x:c r="N252" s="8" t="n">
        <x:v>0</x:v>
      </x:c>
      <x:c r="O252" s="8" t="n">
        <x:v>358.7419908825635</x:v>
      </x:c>
      <x:c r="P252" s="8" t="n">
        <x:v>0</x:v>
      </x:c>
      <x:c r="Q252" s="8" t="n">
        <x:v>3.636809635836169</x:v>
      </x:c>
      <x:c r="R252" s="8" t="n">
        <x:v>0</x:v>
      </x:c>
      <x:c r="S252" s="8" t="n">
        <x:f>L252-I252^2/H252</x:f>
        <x:v>108.934571649449</x:v>
      </x:c>
      <x:c r="T252" s="8" t="n">
        <x:f>M252-J252^2/H252</x:f>
        <x:v>0</x:v>
      </x:c>
      <x:c r="U252" s="8" t="n">
        <x:f>N252-I252*J252/H252</x:f>
        <x:v>0</x:v>
      </x:c>
      <x:c r="V252" s="8" t="n">
        <x:f>O252-I252*K252/H252</x:f>
        <x:v>107.27808081012367</x:v>
      </x:c>
      <x:c r="W252" s="8" t="n">
        <x:f>P252-J252*K252/H252</x:f>
        <x:v>0</x:v>
      </x:c>
      <x:c r="X252" s="8" t="n">
        <x:f>V252/S252</x:f>
        <x:v>0.984793708606521</x:v>
      </x:c>
      <x:c r="Y252" s="8" t="n">
        <x:f>0</x:f>
        <x:v>0</x:v>
      </x:c>
      <x:c r="Z252" s="8" t="n">
        <x:f>K252/H252-X252*I252/H252-Y252*J252/H252</x:f>
        <x:v>3.074911273057876</x:v>
      </x:c>
      <x:c r="AA252" s="8" t="n">
        <x:f>Z252+X252*Q252+Y252*R252</x:f>
        <x:v>6.656418521828908</x:v>
      </x:c>
    </x:row>
    <x:row r="253" ht="26" customHeight="1">
      <x:c r="A253" s="2"/>
      <x:c r="B253" s="2" t="n">
        <x:v>248</x:v>
      </x:c>
      <x:c r="C253" s="2" t="str">
        <x:v>Grooming / price_contribution</x:v>
      </x:c>
      <x:c r="D253" s="2" t="str">
        <x:v>Broad lag 1</x:v>
      </x:c>
      <x:c r="E253" s="7" t="n">
        <x:v>45382</x:v>
      </x:c>
      <x:c r="F253" s="2" t="str">
        <x:v>Pre-earnings</x:v>
      </x:c>
      <x:c r="G253" s="7" t="n">
        <x:v>45400</x:v>
      </x:c>
      <x:c r="H253" s="2" t="n">
        <x:v>11</x:v>
      </x:c>
      <x:c r="I253" s="8" t="n">
        <x:v>35.492611387021356</x:v>
      </x:c>
      <x:c r="J253" s="8" t="n">
        <x:v>0</x:v>
      </x:c>
      <x:c r="K253" s="8" t="n">
        <x:v>74</x:v>
      </x:c>
      <x:c r="L253" s="8" t="n">
        <x:v>222.5645835667998</x:v>
      </x:c>
      <x:c r="M253" s="8" t="n">
        <x:v>0</x:v>
      </x:c>
      <x:c r="N253" s="8" t="n">
        <x:v>0</x:v>
      </x:c>
      <x:c r="O253" s="8" t="n">
        <x:v>327.01579528907627</x:v>
      </x:c>
      <x:c r="P253" s="8" t="n">
        <x:v>0</x:v>
      </x:c>
      <x:c r="Q253" s="8" t="n">
        <x:v>4.212216519153356</x:v>
      </x:c>
      <x:c r="R253" s="8" t="n">
        <x:v>0</x:v>
      </x:c>
      <x:c r="S253" s="8" t="n">
        <x:f>L253-I253^2/H253</x:f>
        <x:v>108.0440869240618</x:v>
      </x:c>
      <x:c r="T253" s="8" t="n">
        <x:f>M253-J253^2/H253</x:f>
        <x:v>0</x:v>
      </x:c>
      <x:c r="U253" s="8" t="n">
        <x:f>N253-I253*J253/H253</x:f>
        <x:v>0</x:v>
      </x:c>
      <x:c r="V253" s="8" t="n">
        <x:f>O253-I253*K253/H253</x:f>
        <x:v>88.24731868547806</x:v>
      </x:c>
      <x:c r="W253" s="8" t="n">
        <x:f>P253-J253*K253/H253</x:f>
        <x:v>0</x:v>
      </x:c>
      <x:c r="X253" s="8" t="n">
        <x:f>V253/S253</x:f>
        <x:v>0.8167713865498462</x:v>
      </x:c>
      <x:c r="Y253" s="8" t="n">
        <x:f>0</x:f>
        <x:v>0</x:v>
      </x:c>
      <x:c r="Z253" s="8" t="n">
        <x:f>K253/H253-X253*I253/H253-Y253*J253/H253</x:f>
        <x:v>4.091877325922519</x:v>
      </x:c>
      <x:c r="AA253" s="8" t="n">
        <x:f>Z253+X253*Q253+Y253*R253</x:f>
        <x:v>7.532295252719573</x:v>
      </x:c>
    </x:row>
    <x:row r="254" ht="26" customHeight="1">
      <x:c r="A254" s="2"/>
      <x:c r="B254" s="2" t="n">
        <x:v>249</x:v>
      </x:c>
      <x:c r="C254" s="2" t="str">
        <x:v>Grooming / price_contribution</x:v>
      </x:c>
      <x:c r="D254" s="2" t="str">
        <x:v>Broad rolling 8</x:v>
      </x:c>
      <x:c r="E254" s="7" t="n">
        <x:v>45382</x:v>
      </x:c>
      <x:c r="F254" s="2" t="str">
        <x:v>Pre-earnings</x:v>
      </x:c>
      <x:c r="G254" s="7" t="n">
        <x:v>45400</x:v>
      </x:c>
      <x:c r="H254" s="2" t="n">
        <x:v>8</x:v>
      </x:c>
      <x:c r="I254" s="8" t="n">
        <x:v>40.58301442287644</x:v>
      </x:c>
      <x:c r="J254" s="8" t="n">
        <x:v>0</x:v>
      </x:c>
      <x:c r="K254" s="8" t="n">
        <x:v>66</x:v>
      </x:c>
      <x:c r="L254" s="8" t="n">
        <x:v>240.0201059908438</x:v>
      </x:c>
      <x:c r="M254" s="8" t="n">
        <x:v>0</x:v>
      </x:c>
      <x:c r="N254" s="8" t="n">
        <x:v>0</x:v>
      </x:c>
      <x:c r="O254" s="8" t="n">
        <x:v>360.43606096473053</x:v>
      </x:c>
      <x:c r="P254" s="8" t="n">
        <x:v>0</x:v>
      </x:c>
      <x:c r="Q254" s="8" t="n">
        <x:v>3.636809635836169</x:v>
      </x:c>
      <x:c r="R254" s="8" t="n">
        <x:v>0</x:v>
      </x:c>
      <x:c r="S254" s="8" t="n">
        <x:f>L254-I254^2/H254</x:f>
        <x:v>34.147473534919186</x:v>
      </x:c>
      <x:c r="T254" s="8" t="n">
        <x:f>M254-J254^2/H254</x:f>
        <x:v>0</x:v>
      </x:c>
      <x:c r="U254" s="8" t="n">
        <x:f>N254-I254*J254/H254</x:f>
        <x:v>0</x:v>
      </x:c>
      <x:c r="V254" s="8" t="n">
        <x:f>O254-I254*K254/H254</x:f>
        <x:v>25.626191975999916</x:v>
      </x:c>
      <x:c r="W254" s="8" t="n">
        <x:f>P254-J254*K254/H254</x:f>
        <x:v>0</x:v>
      </x:c>
      <x:c r="X254" s="8" t="n">
        <x:f>V254/S254</x:f>
        <x:v>0.7504564561648928</x:v>
      </x:c>
      <x:c r="Y254" s="8" t="n">
        <x:f>0</x:f>
        <x:v>0</x:v>
      </x:c>
      <x:c r="Z254" s="8" t="n">
        <x:f>K254/H254-X254*I254/H254-Y254*J254/H254</x:f>
        <x:v>4.443026851964927</x:v>
      </x:c>
      <x:c r="AA254" s="8" t="n">
        <x:f>Z254+X254*Q254+Y254*R254</x:f>
        <x:v>7.1722941230208725</x:v>
      </x:c>
    </x:row>
    <x:row r="255" ht="26" customHeight="1">
      <x:c r="A255" s="2"/>
      <x:c r="B255" s="2" t="n">
        <x:v>250</x:v>
      </x:c>
      <x:c r="C255" s="2" t="str">
        <x:v>Grooming / price_contribution</x:v>
      </x:c>
      <x:c r="D255" s="2" t="str">
        <x:v>Own history</x:v>
      </x:c>
      <x:c r="E255" s="7" t="n">
        <x:v>45382</x:v>
      </x:c>
      <x:c r="F255" s="2" t="str">
        <x:v>Pre-earnings</x:v>
      </x:c>
      <x:c r="G255" s="7" t="n">
        <x:v>45400</x:v>
      </x:c>
      <x:c r="H255" s="2" t="n">
        <x:v>11</x:v>
      </x:c>
      <x:c r="I255" s="8" t="n">
        <x:v>69</x:v>
      </x:c>
      <x:c r="J255" s="8" t="n">
        <x:v>0</x:v>
      </x:c>
      <x:c r="K255" s="8" t="n">
        <x:v>74</x:v>
      </x:c>
      <x:c r="L255" s="8" t="n">
        <x:v>547</x:v>
      </x:c>
      <x:c r="M255" s="8" t="n">
        <x:v>0</x:v>
      </x:c>
      <x:c r="N255" s="8" t="n">
        <x:v>0</x:v>
      </x:c>
      <x:c r="O255" s="8" t="n">
        <x:v>556</x:v>
      </x:c>
      <x:c r="P255" s="8" t="n">
        <x:v>0</x:v>
      </x:c>
      <x:c r="Q255" s="8" t="n">
        <x:v>7</x:v>
      </x:c>
      <x:c r="R255" s="8" t="n">
        <x:v>0</x:v>
      </x:c>
      <x:c r="S255" s="8" t="n">
        <x:f>L255-I255^2/H255</x:f>
        <x:v>114.18181818181819</x:v>
      </x:c>
      <x:c r="T255" s="8" t="n">
        <x:f>M255-J255^2/H255</x:f>
        <x:v>0</x:v>
      </x:c>
      <x:c r="U255" s="8" t="n">
        <x:f>N255-I255*J255/H255</x:f>
        <x:v>0</x:v>
      </x:c>
      <x:c r="V255" s="8" t="n">
        <x:f>O255-I255*K255/H255</x:f>
        <x:v>91.81818181818181</x:v>
      </x:c>
      <x:c r="W255" s="8" t="n">
        <x:f>P255-J255*K255/H255</x:f>
        <x:v>0</x:v>
      </x:c>
      <x:c r="X255" s="8" t="n">
        <x:f>V255/S255</x:f>
        <x:v>0.8041401273885349</x:v>
      </x:c>
      <x:c r="Y255" s="8" t="n">
        <x:f>0</x:f>
        <x:v>0</x:v>
      </x:c>
      <x:c r="Z255" s="8" t="n">
        <x:f>K255/H255-X255*I255/H255-Y255*J255/H255</x:f>
        <x:v>1.683121019108281</x:v>
      </x:c>
      <x:c r="AA255" s="8" t="n">
        <x:f>Z255+X255*Q255+Y255*R255</x:f>
        <x:v>7.312101910828026</x:v>
      </x:c>
    </x:row>
    <x:row r="256" ht="26" customHeight="1">
      <x:c r="A256" s="2"/>
      <x:c r="B256" s="2" t="n">
        <x:v>251</x:v>
      </x:c>
      <x:c r="C256" s="2" t="str">
        <x:v>Grooming / price_contribution</x:v>
      </x:c>
      <x:c r="D256" s="2" t="str">
        <x:v>Broad market</x:v>
      </x:c>
      <x:c r="E256" s="7" t="n">
        <x:v>45473</x:v>
      </x:c>
      <x:c r="F256" s="2" t="str">
        <x:v>Origin</x:v>
      </x:c>
      <x:c r="G256" s="7" t="n">
        <x:v>45383</x:v>
      </x:c>
      <x:c r="H256" s="2" t="n">
        <x:v>12</x:v>
      </x:c>
      <x:c r="I256" s="8" t="n">
        <x:v>39.704827906174714</x:v>
      </x:c>
      <x:c r="J256" s="8" t="n">
        <x:v>0</x:v>
      </x:c>
      <x:c r="K256" s="8" t="n">
        <x:v>76</x:v>
      </x:c>
      <x:c r="L256" s="8" t="n">
        <x:v>240.3073515710282</x:v>
      </x:c>
      <x:c r="M256" s="8" t="n">
        <x:v>0</x:v>
      </x:c>
      <x:c r="N256" s="8" t="n">
        <x:v>0</x:v>
      </x:c>
      <x:c r="O256" s="8" t="n">
        <x:v>358.7419908825635</x:v>
      </x:c>
      <x:c r="P256" s="8" t="n">
        <x:v>0</x:v>
      </x:c>
      <x:c r="Q256" s="8" t="n">
        <x:v>3.588558969465838</x:v>
      </x:c>
      <x:c r="R256" s="8" t="n">
        <x:v>0</x:v>
      </x:c>
      <x:c r="S256" s="8" t="n">
        <x:f>L256-I256^2/H256</x:f>
        <x:v>108.934571649449</x:v>
      </x:c>
      <x:c r="T256" s="8" t="n">
        <x:f>M256-J256^2/H256</x:f>
        <x:v>0</x:v>
      </x:c>
      <x:c r="U256" s="8" t="n">
        <x:f>N256-I256*J256/H256</x:f>
        <x:v>0</x:v>
      </x:c>
      <x:c r="V256" s="8" t="n">
        <x:f>O256-I256*K256/H256</x:f>
        <x:v>107.27808081012367</x:v>
      </x:c>
      <x:c r="W256" s="8" t="n">
        <x:f>P256-J256*K256/H256</x:f>
        <x:v>0</x:v>
      </x:c>
      <x:c r="X256" s="8" t="n">
        <x:f>V256/S256</x:f>
        <x:v>0.984793708606521</x:v>
      </x:c>
      <x:c r="Y256" s="8" t="n">
        <x:f>0</x:f>
        <x:v>0</x:v>
      </x:c>
      <x:c r="Z256" s="8" t="n">
        <x:f>K256/H256-X256*I256/H256-Y256*J256/H256</x:f>
        <x:v>3.074911273057876</x:v>
      </x:c>
      <x:c r="AA256" s="8" t="n">
        <x:f>Z256+X256*Q256+Y256*R256</x:f>
        <x:v>6.6089015691513335</x:v>
      </x:c>
    </x:row>
    <x:row r="257" ht="26" customHeight="1">
      <x:c r="A257" s="2"/>
      <x:c r="B257" s="2" t="n">
        <x:v>252</x:v>
      </x:c>
      <x:c r="C257" s="2" t="str">
        <x:v>Grooming / price_contribution</x:v>
      </x:c>
      <x:c r="D257" s="2" t="str">
        <x:v>Broad rolling 8</x:v>
      </x:c>
      <x:c r="E257" s="7" t="n">
        <x:v>45473</x:v>
      </x:c>
      <x:c r="F257" s="2" t="str">
        <x:v>Origin</x:v>
      </x:c>
      <x:c r="G257" s="7" t="n">
        <x:v>45383</x:v>
      </x:c>
      <x:c r="H257" s="2" t="n">
        <x:v>8</x:v>
      </x:c>
      <x:c r="I257" s="8" t="n">
        <x:v>40.58301442287644</x:v>
      </x:c>
      <x:c r="J257" s="8" t="n">
        <x:v>0</x:v>
      </x:c>
      <x:c r="K257" s="8" t="n">
        <x:v>66</x:v>
      </x:c>
      <x:c r="L257" s="8" t="n">
        <x:v>240.0201059908438</x:v>
      </x:c>
      <x:c r="M257" s="8" t="n">
        <x:v>0</x:v>
      </x:c>
      <x:c r="N257" s="8" t="n">
        <x:v>0</x:v>
      </x:c>
      <x:c r="O257" s="8" t="n">
        <x:v>360.43606096473053</x:v>
      </x:c>
      <x:c r="P257" s="8" t="n">
        <x:v>0</x:v>
      </x:c>
      <x:c r="Q257" s="8" t="n">
        <x:v>3.588558969465838</x:v>
      </x:c>
      <x:c r="R257" s="8" t="n">
        <x:v>0</x:v>
      </x:c>
      <x:c r="S257" s="8" t="n">
        <x:f>L257-I257^2/H257</x:f>
        <x:v>34.147473534919186</x:v>
      </x:c>
      <x:c r="T257" s="8" t="n">
        <x:f>M257-J257^2/H257</x:f>
        <x:v>0</x:v>
      </x:c>
      <x:c r="U257" s="8" t="n">
        <x:f>N257-I257*J257/H257</x:f>
        <x:v>0</x:v>
      </x:c>
      <x:c r="V257" s="8" t="n">
        <x:f>O257-I257*K257/H257</x:f>
        <x:v>25.626191975999916</x:v>
      </x:c>
      <x:c r="W257" s="8" t="n">
        <x:f>P257-J257*K257/H257</x:f>
        <x:v>0</x:v>
      </x:c>
      <x:c r="X257" s="8" t="n">
        <x:f>V257/S257</x:f>
        <x:v>0.7504564561648928</x:v>
      </x:c>
      <x:c r="Y257" s="8" t="n">
        <x:f>0</x:f>
        <x:v>0</x:v>
      </x:c>
      <x:c r="Z257" s="8" t="n">
        <x:f>K257/H257-X257*I257/H257-Y257*J257/H257</x:f>
        <x:v>4.443026851964927</x:v>
      </x:c>
      <x:c r="AA257" s="8" t="n">
        <x:f>Z257+X257*Q257+Y257*R257</x:f>
        <x:v>7.136084098928999</x:v>
      </x:c>
    </x:row>
    <x:row r="258" ht="26" customHeight="1">
      <x:c r="A258" s="2"/>
      <x:c r="B258" s="2" t="n">
        <x:v>253</x:v>
      </x:c>
      <x:c r="C258" s="2" t="str">
        <x:v>Grooming / price_contribution</x:v>
      </x:c>
      <x:c r="D258" s="2" t="str">
        <x:v>Own history</x:v>
      </x:c>
      <x:c r="E258" s="7" t="n">
        <x:v>45473</x:v>
      </x:c>
      <x:c r="F258" s="2" t="str">
        <x:v>Origin</x:v>
      </x:c>
      <x:c r="G258" s="7" t="n">
        <x:v>45383</x:v>
      </x:c>
      <x:c r="H258" s="2" t="n">
        <x:v>10</x:v>
      </x:c>
      <x:c r="I258" s="8" t="n">
        <x:v>60</x:v>
      </x:c>
      <x:c r="J258" s="8" t="n">
        <x:v>0</x:v>
      </x:c>
      <x:c r="K258" s="8" t="n">
        <x:v>72</x:v>
      </x:c>
      <x:c r="L258" s="8" t="n">
        <x:v>466</x:v>
      </x:c>
      <x:c r="M258" s="8" t="n">
        <x:v>0</x:v>
      </x:c>
      <x:c r="N258" s="8" t="n">
        <x:v>0</x:v>
      </x:c>
      <x:c r="O258" s="8" t="n">
        <x:v>494</x:v>
      </x:c>
      <x:c r="P258" s="8" t="n">
        <x:v>0</x:v>
      </x:c>
      <x:c r="Q258" s="8" t="n">
        <x:v>7</x:v>
      </x:c>
      <x:c r="R258" s="8" t="n">
        <x:v>0</x:v>
      </x:c>
      <x:c r="S258" s="8" t="n">
        <x:f>L258-I258^2/H258</x:f>
        <x:v>106</x:v>
      </x:c>
      <x:c r="T258" s="8" t="n">
        <x:f>M258-J258^2/H258</x:f>
        <x:v>0</x:v>
      </x:c>
      <x:c r="U258" s="8" t="n">
        <x:f>N258-I258*J258/H258</x:f>
        <x:v>0</x:v>
      </x:c>
      <x:c r="V258" s="8" t="n">
        <x:f>O258-I258*K258/H258</x:f>
        <x:v>62</x:v>
      </x:c>
      <x:c r="W258" s="8" t="n">
        <x:f>P258-J258*K258/H258</x:f>
        <x:v>0</x:v>
      </x:c>
      <x:c r="X258" s="8" t="n">
        <x:f>V258/S258</x:f>
        <x:v>0.5849056603773585</x:v>
      </x:c>
      <x:c r="Y258" s="8" t="n">
        <x:f>0</x:f>
        <x:v>0</x:v>
      </x:c>
      <x:c r="Z258" s="8" t="n">
        <x:f>K258/H258-X258*I258/H258-Y258*J258/H258</x:f>
        <x:v>3.6905660377358496</x:v>
      </x:c>
      <x:c r="AA258" s="8" t="n">
        <x:f>Z258+X258*Q258+Y258*R258</x:f>
        <x:v>7.784905660377359</x:v>
      </x:c>
    </x:row>
    <x:row r="259" ht="26" customHeight="1">
      <x:c r="A259" s="2"/>
      <x:c r="B259" s="2" t="n">
        <x:v>254</x:v>
      </x:c>
      <x:c r="C259" s="2" t="str">
        <x:v>Grooming / price_contribution</x:v>
      </x:c>
      <x:c r="D259" s="2" t="str">
        <x:v>Broad market</x:v>
      </x:c>
      <x:c r="E259" s="7" t="n">
        <x:v>45473</x:v>
      </x:c>
      <x:c r="F259" s="2" t="str">
        <x:v>Prior report</x:v>
      </x:c>
      <x:c r="G259" s="7" t="n">
        <x:v>45401</x:v>
      </x:c>
      <x:c r="H259" s="2" t="n">
        <x:v>13</x:v>
      </x:c>
      <x:c r="I259" s="8" t="n">
        <x:v>43.34163754201088</x:v>
      </x:c>
      <x:c r="J259" s="8" t="n">
        <x:v>0</x:v>
      </x:c>
      <x:c r="K259" s="8" t="n">
        <x:v>86</x:v>
      </x:c>
      <x:c r="L259" s="8" t="n">
        <x:v>253.53373589833902</x:v>
      </x:c>
      <x:c r="M259" s="8" t="n">
        <x:v>0</x:v>
      </x:c>
      <x:c r="N259" s="8" t="n">
        <x:v>0</x:v>
      </x:c>
      <x:c r="O259" s="8" t="n">
        <x:v>395.1100872409252</x:v>
      </x:c>
      <x:c r="P259" s="8" t="n">
        <x:v>0</x:v>
      </x:c>
      <x:c r="Q259" s="8" t="n">
        <x:v>3.637237355891698</x:v>
      </x:c>
      <x:c r="R259" s="8" t="n">
        <x:v>0</x:v>
      </x:c>
      <x:c r="S259" s="8" t="n">
        <x:f>L259-I259^2/H259</x:f>
        <x:v>109.03392475810463</x:v>
      </x:c>
      <x:c r="T259" s="8" t="n">
        <x:f>M259-J259^2/H259</x:f>
        <x:v>0</x:v>
      </x:c>
      <x:c r="U259" s="8" t="n">
        <x:f>N259-I259*J259/H259</x:f>
        <x:v>0</x:v>
      </x:c>
      <x:c r="V259" s="8" t="n">
        <x:f>O259-I259*K259/H259</x:f>
        <x:v>108.38848503993017</x:v>
      </x:c>
      <x:c r="W259" s="8" t="n">
        <x:f>P259-J259*K259/H259</x:f>
        <x:v>0</x:v>
      </x:c>
      <x:c r="X259" s="8" t="n">
        <x:f>V259/S259</x:f>
        <x:v>0.994080377097253</x:v>
      </x:c>
      <x:c r="Y259" s="8" t="n">
        <x:f>0</x:f>
        <x:v>0</x:v>
      </x:c>
      <x:c r="Z259" s="8" t="n">
        <x:f>K259/H259-X259*I259/H259-Y259*J259/H259</x:f>
        <x:v>3.301148354478874</x:v>
      </x:c>
      <x:c r="AA259" s="8" t="n">
        <x:f>Z259+X259*Q259+Y259*R259</x:f>
        <x:v>6.916854636815909</x:v>
      </x:c>
    </x:row>
    <x:row r="260" ht="26" customHeight="1">
      <x:c r="A260" s="2"/>
      <x:c r="B260" s="2" t="n">
        <x:v>255</x:v>
      </x:c>
      <x:c r="C260" s="2" t="str">
        <x:v>Grooming / price_contribution</x:v>
      </x:c>
      <x:c r="D260" s="2" t="str">
        <x:v>Broad lag 1</x:v>
      </x:c>
      <x:c r="E260" s="7" t="n">
        <x:v>45473</x:v>
      </x:c>
      <x:c r="F260" s="2" t="str">
        <x:v>Prior report</x:v>
      </x:c>
      <x:c r="G260" s="7" t="n">
        <x:v>45401</x:v>
      </x:c>
      <x:c r="H260" s="2" t="n">
        <x:v>12</x:v>
      </x:c>
      <x:c r="I260" s="8" t="n">
        <x:v>39.704827906174714</x:v>
      </x:c>
      <x:c r="J260" s="8" t="n">
        <x:v>0</x:v>
      </x:c>
      <x:c r="K260" s="8" t="n">
        <x:v>84</x:v>
      </x:c>
      <x:c r="L260" s="8" t="n">
        <x:v>240.3073515710282</x:v>
      </x:c>
      <x:c r="M260" s="8" t="n">
        <x:v>0</x:v>
      </x:c>
      <x:c r="N260" s="8" t="n">
        <x:v>0</x:v>
      </x:c>
      <x:c r="O260" s="8" t="n">
        <x:v>369.1379604806098</x:v>
      </x:c>
      <x:c r="P260" s="8" t="n">
        <x:v>0</x:v>
      </x:c>
      <x:c r="Q260" s="8" t="n">
        <x:v>3.636809635836169</x:v>
      </x:c>
      <x:c r="R260" s="8" t="n">
        <x:v>0</x:v>
      </x:c>
      <x:c r="S260" s="8" t="n">
        <x:f>L260-I260^2/H260</x:f>
        <x:v>108.934571649449</x:v>
      </x:c>
      <x:c r="T260" s="8" t="n">
        <x:f>M260-J260^2/H260</x:f>
        <x:v>0</x:v>
      </x:c>
      <x:c r="U260" s="8" t="n">
        <x:f>N260-I260*J260/H260</x:f>
        <x:v>0</x:v>
      </x:c>
      <x:c r="V260" s="8" t="n">
        <x:f>O260-I260*K260/H260</x:f>
        <x:v>91.20416513738684</x:v>
      </x:c>
      <x:c r="W260" s="8" t="n">
        <x:f>P260-J260*K260/H260</x:f>
        <x:v>0</x:v>
      </x:c>
      <x:c r="X260" s="8" t="n">
        <x:f>V260/S260</x:f>
        <x:v>0.8372380205512853</x:v>
      </x:c>
      <x:c r="Y260" s="8" t="n">
        <x:f>0</x:f>
        <x:v>0</x:v>
      </x:c>
      <x:c r="Z260" s="8" t="n">
        <x:f>K260/H260-X260*I260/H260-Y260*J260/H260</x:f>
        <x:v>4.229800706458738</x:v>
      </x:c>
      <x:c r="AA260" s="8" t="n">
        <x:f>Z260+X260*Q260+Y260*R260</x:f>
        <x:v>7.274676007088052</x:v>
      </x:c>
    </x:row>
    <x:row r="261" ht="26" customHeight="1">
      <x:c r="A261" s="2"/>
      <x:c r="B261" s="2" t="n">
        <x:v>256</x:v>
      </x:c>
      <x:c r="C261" s="2" t="str">
        <x:v>Grooming / price_contribution</x:v>
      </x:c>
      <x:c r="D261" s="2" t="str">
        <x:v>Broad rolling 8</x:v>
      </x:c>
      <x:c r="E261" s="7" t="n">
        <x:v>45473</x:v>
      </x:c>
      <x:c r="F261" s="2" t="str">
        <x:v>Prior report</x:v>
      </x:c>
      <x:c r="G261" s="7" t="n">
        <x:v>45401</x:v>
      </x:c>
      <x:c r="H261" s="2" t="n">
        <x:v>8</x:v>
      </x:c>
      <x:c r="I261" s="8" t="n">
        <x:v>43.19182386703038</x:v>
      </x:c>
      <x:c r="J261" s="8" t="n">
        <x:v>0</x:v>
      </x:c>
      <x:c r="K261" s="8" t="n">
        <x:v>70</x:v>
      </x:c>
      <x:c r="L261" s="8" t="n">
        <x:v>252.18970592405591</x:v>
      </x:c>
      <x:c r="M261" s="8" t="n">
        <x:v>0</x:v>
      </x:c>
      <x:c r="N261" s="8" t="n">
        <x:v>0</x:v>
      </x:c>
      <x:c r="O261" s="8" t="n">
        <x:v>390.6361561729988</x:v>
      </x:c>
      <x:c r="P261" s="8" t="n">
        <x:v>0</x:v>
      </x:c>
      <x:c r="Q261" s="8" t="n">
        <x:v>3.637237355891698</x:v>
      </x:c>
      <x:c r="R261" s="8" t="n">
        <x:v>0</x:v>
      </x:c>
      <x:c r="S261" s="8" t="n">
        <x:f>L261-I261^2/H261</x:f>
        <x:v>18.997999803984015</x:v>
      </x:c>
      <x:c r="T261" s="8" t="n">
        <x:f>M261-J261^2/H261</x:f>
        <x:v>0</x:v>
      </x:c>
      <x:c r="U261" s="8" t="n">
        <x:f>N261-I261*J261/H261</x:f>
        <x:v>0</x:v>
      </x:c>
      <x:c r="V261" s="8" t="n">
        <x:f>O261-I261*K261/H261</x:f>
        <x:v>12.707697336483022</x:v>
      </x:c>
      <x:c r="W261" s="8" t="n">
        <x:f>P261-J261*K261/H261</x:f>
        <x:v>0</x:v>
      </x:c>
      <x:c r="X261" s="8" t="n">
        <x:f>V261/S261</x:f>
        <x:v>0.6688965926727786</x:v>
      </x:c>
      <x:c r="Y261" s="8" t="n">
        <x:f>0</x:f>
        <x:v>0</x:v>
      </x:c>
      <x:c r="Z261" s="8" t="n">
        <x:f>K261/H261-X261*I261/H261-Y261*J261/H261</x:f>
        <x:v>5.138642023002573</x:v>
      </x:c>
      <x:c r="AA261" s="8" t="n">
        <x:f>Z261+X261*Q261+Y261*R261</x:f>
        <x:v>7.571577697100676</x:v>
      </x:c>
    </x:row>
    <x:row r="262" ht="26" customHeight="1">
      <x:c r="A262" s="2"/>
      <x:c r="B262" s="2" t="n">
        <x:v>257</x:v>
      </x:c>
      <x:c r="C262" s="2" t="str">
        <x:v>Grooming / price_contribution</x:v>
      </x:c>
      <x:c r="D262" s="2" t="str">
        <x:v>Own history</x:v>
      </x:c>
      <x:c r="E262" s="7" t="n">
        <x:v>45473</x:v>
      </x:c>
      <x:c r="F262" s="2" t="str">
        <x:v>Prior report</x:v>
      </x:c>
      <x:c r="G262" s="7" t="n">
        <x:v>45401</x:v>
      </x:c>
      <x:c r="H262" s="2" t="n">
        <x:v>12</x:v>
      </x:c>
      <x:c r="I262" s="8" t="n">
        <x:v>76</x:v>
      </x:c>
      <x:c r="J262" s="8" t="n">
        <x:v>0</x:v>
      </x:c>
      <x:c r="K262" s="8" t="n">
        <x:v>84</x:v>
      </x:c>
      <x:c r="L262" s="8" t="n">
        <x:v>596</x:v>
      </x:c>
      <x:c r="M262" s="8" t="n">
        <x:v>0</x:v>
      </x:c>
      <x:c r="N262" s="8" t="n">
        <x:v>0</x:v>
      </x:c>
      <x:c r="O262" s="8" t="n">
        <x:v>626</x:v>
      </x:c>
      <x:c r="P262" s="8" t="n">
        <x:v>0</x:v>
      </x:c>
      <x:c r="Q262" s="8" t="n">
        <x:v>10</x:v>
      </x:c>
      <x:c r="R262" s="8" t="n">
        <x:v>0</x:v>
      </x:c>
      <x:c r="S262" s="8" t="n">
        <x:f>L262-I262^2/H262</x:f>
        <x:v>114.66666666666669</x:v>
      </x:c>
      <x:c r="T262" s="8" t="n">
        <x:f>M262-J262^2/H262</x:f>
        <x:v>0</x:v>
      </x:c>
      <x:c r="U262" s="8" t="n">
        <x:f>N262-I262*J262/H262</x:f>
        <x:v>0</x:v>
      </x:c>
      <x:c r="V262" s="8" t="n">
        <x:f>O262-I262*K262/H262</x:f>
        <x:v>94</x:v>
      </x:c>
      <x:c r="W262" s="8" t="n">
        <x:f>P262-J262*K262/H262</x:f>
        <x:v>0</x:v>
      </x:c>
      <x:c r="X262" s="8" t="n">
        <x:f>V262/S262</x:f>
        <x:v>0.819767441860465</x:v>
      </x:c>
      <x:c r="Y262" s="8" t="n">
        <x:f>0</x:f>
        <x:v>0</x:v>
      </x:c>
      <x:c r="Z262" s="8" t="n">
        <x:f>K262/H262-X262*I262/H262-Y262*J262/H262</x:f>
        <x:v>1.808139534883721</x:v>
      </x:c>
      <x:c r="AA262" s="8" t="n">
        <x:f>Z262+X262*Q262+Y262*R262</x:f>
        <x:v>10.00581395348837</x:v>
      </x:c>
    </x:row>
    <x:row r="263" ht="26" customHeight="1">
      <x:c r="A263" s="2"/>
      <x:c r="B263" s="2" t="n">
        <x:v>258</x:v>
      </x:c>
      <x:c r="C263" s="2" t="str">
        <x:v>Grooming / price_contribution</x:v>
      </x:c>
      <x:c r="D263" s="2" t="str">
        <x:v>Broad market</x:v>
      </x:c>
      <x:c r="E263" s="7" t="n">
        <x:v>45473</x:v>
      </x:c>
      <x:c r="F263" s="2" t="str">
        <x:v>Pre-earnings</x:v>
      </x:c>
      <x:c r="G263" s="7" t="n">
        <x:v>45502</x:v>
      </x:c>
      <x:c r="H263" s="2" t="n">
        <x:v>13</x:v>
      </x:c>
      <x:c r="I263" s="8" t="n">
        <x:v>43.34163754201088</x:v>
      </x:c>
      <x:c r="J263" s="8" t="n">
        <x:v>0</x:v>
      </x:c>
      <x:c r="K263" s="8" t="n">
        <x:v>86</x:v>
      </x:c>
      <x:c r="L263" s="8" t="n">
        <x:v>253.53373589833902</x:v>
      </x:c>
      <x:c r="M263" s="8" t="n">
        <x:v>0</x:v>
      </x:c>
      <x:c r="N263" s="8" t="n">
        <x:v>0</x:v>
      </x:c>
      <x:c r="O263" s="8" t="n">
        <x:v>395.1100872409252</x:v>
      </x:c>
      <x:c r="P263" s="8" t="n">
        <x:v>0</x:v>
      </x:c>
      <x:c r="Q263" s="8" t="n">
        <x:v>1.6547550061168037</x:v>
      </x:c>
      <x:c r="R263" s="8" t="n">
        <x:v>0</x:v>
      </x:c>
      <x:c r="S263" s="8" t="n">
        <x:f>L263-I263^2/H263</x:f>
        <x:v>109.03392475810463</x:v>
      </x:c>
      <x:c r="T263" s="8" t="n">
        <x:f>M263-J263^2/H263</x:f>
        <x:v>0</x:v>
      </x:c>
      <x:c r="U263" s="8" t="n">
        <x:f>N263-I263*J263/H263</x:f>
        <x:v>0</x:v>
      </x:c>
      <x:c r="V263" s="8" t="n">
        <x:f>O263-I263*K263/H263</x:f>
        <x:v>108.38848503993017</x:v>
      </x:c>
      <x:c r="W263" s="8" t="n">
        <x:f>P263-J263*K263/H263</x:f>
        <x:v>0</x:v>
      </x:c>
      <x:c r="X263" s="8" t="n">
        <x:f>V263/S263</x:f>
        <x:v>0.994080377097253</x:v>
      </x:c>
      <x:c r="Y263" s="8" t="n">
        <x:f>0</x:f>
        <x:v>0</x:v>
      </x:c>
      <x:c r="Z263" s="8" t="n">
        <x:f>K263/H263-X263*I263/H263-Y263*J263/H263</x:f>
        <x:v>3.301148354478874</x:v>
      </x:c>
      <x:c r="AA263" s="8" t="n">
        <x:f>Z263+X263*Q263+Y263*R263</x:f>
        <x:v>4.946107834963033</x:v>
      </x:c>
    </x:row>
    <x:row r="264" ht="26" customHeight="1">
      <x:c r="A264" s="2"/>
      <x:c r="B264" s="2" t="n">
        <x:v>259</x:v>
      </x:c>
      <x:c r="C264" s="2" t="str">
        <x:v>Grooming / price_contribution</x:v>
      </x:c>
      <x:c r="D264" s="2" t="str">
        <x:v>Broad lag 1</x:v>
      </x:c>
      <x:c r="E264" s="7" t="n">
        <x:v>45473</x:v>
      </x:c>
      <x:c r="F264" s="2" t="str">
        <x:v>Pre-earnings</x:v>
      </x:c>
      <x:c r="G264" s="7" t="n">
        <x:v>45502</x:v>
      </x:c>
      <x:c r="H264" s="2" t="n">
        <x:v>12</x:v>
      </x:c>
      <x:c r="I264" s="8" t="n">
        <x:v>39.704827906174714</x:v>
      </x:c>
      <x:c r="J264" s="8" t="n">
        <x:v>0</x:v>
      </x:c>
      <x:c r="K264" s="8" t="n">
        <x:v>84</x:v>
      </x:c>
      <x:c r="L264" s="8" t="n">
        <x:v>240.3073515710282</x:v>
      </x:c>
      <x:c r="M264" s="8" t="n">
        <x:v>0</x:v>
      </x:c>
      <x:c r="N264" s="8" t="n">
        <x:v>0</x:v>
      </x:c>
      <x:c r="O264" s="8" t="n">
        <x:v>369.1379604806098</x:v>
      </x:c>
      <x:c r="P264" s="8" t="n">
        <x:v>0</x:v>
      </x:c>
      <x:c r="Q264" s="8" t="n">
        <x:v>3.636809635836169</x:v>
      </x:c>
      <x:c r="R264" s="8" t="n">
        <x:v>0</x:v>
      </x:c>
      <x:c r="S264" s="8" t="n">
        <x:f>L264-I264^2/H264</x:f>
        <x:v>108.934571649449</x:v>
      </x:c>
      <x:c r="T264" s="8" t="n">
        <x:f>M264-J264^2/H264</x:f>
        <x:v>0</x:v>
      </x:c>
      <x:c r="U264" s="8" t="n">
        <x:f>N264-I264*J264/H264</x:f>
        <x:v>0</x:v>
      </x:c>
      <x:c r="V264" s="8" t="n">
        <x:f>O264-I264*K264/H264</x:f>
        <x:v>91.20416513738684</x:v>
      </x:c>
      <x:c r="W264" s="8" t="n">
        <x:f>P264-J264*K264/H264</x:f>
        <x:v>0</x:v>
      </x:c>
      <x:c r="X264" s="8" t="n">
        <x:f>V264/S264</x:f>
        <x:v>0.8372380205512853</x:v>
      </x:c>
      <x:c r="Y264" s="8" t="n">
        <x:f>0</x:f>
        <x:v>0</x:v>
      </x:c>
      <x:c r="Z264" s="8" t="n">
        <x:f>K264/H264-X264*I264/H264-Y264*J264/H264</x:f>
        <x:v>4.229800706458738</x:v>
      </x:c>
      <x:c r="AA264" s="8" t="n">
        <x:f>Z264+X264*Q264+Y264*R264</x:f>
        <x:v>7.274676007088052</x:v>
      </x:c>
    </x:row>
    <x:row r="265" ht="26" customHeight="1">
      <x:c r="A265" s="2"/>
      <x:c r="B265" s="2" t="n">
        <x:v>260</x:v>
      </x:c>
      <x:c r="C265" s="2" t="str">
        <x:v>Grooming / price_contribution</x:v>
      </x:c>
      <x:c r="D265" s="2" t="str">
        <x:v>Broad rolling 8</x:v>
      </x:c>
      <x:c r="E265" s="7" t="n">
        <x:v>45473</x:v>
      </x:c>
      <x:c r="F265" s="2" t="str">
        <x:v>Pre-earnings</x:v>
      </x:c>
      <x:c r="G265" s="7" t="n">
        <x:v>45502</x:v>
      </x:c>
      <x:c r="H265" s="2" t="n">
        <x:v>8</x:v>
      </x:c>
      <x:c r="I265" s="8" t="n">
        <x:v>43.19182386703038</x:v>
      </x:c>
      <x:c r="J265" s="8" t="n">
        <x:v>0</x:v>
      </x:c>
      <x:c r="K265" s="8" t="n">
        <x:v>70</x:v>
      </x:c>
      <x:c r="L265" s="8" t="n">
        <x:v>252.18970592405591</x:v>
      </x:c>
      <x:c r="M265" s="8" t="n">
        <x:v>0</x:v>
      </x:c>
      <x:c r="N265" s="8" t="n">
        <x:v>0</x:v>
      </x:c>
      <x:c r="O265" s="8" t="n">
        <x:v>390.6361561729988</x:v>
      </x:c>
      <x:c r="P265" s="8" t="n">
        <x:v>0</x:v>
      </x:c>
      <x:c r="Q265" s="8" t="n">
        <x:v>1.6547550061168037</x:v>
      </x:c>
      <x:c r="R265" s="8" t="n">
        <x:v>0</x:v>
      </x:c>
      <x:c r="S265" s="8" t="n">
        <x:f>L265-I265^2/H265</x:f>
        <x:v>18.997999803984015</x:v>
      </x:c>
      <x:c r="T265" s="8" t="n">
        <x:f>M265-J265^2/H265</x:f>
        <x:v>0</x:v>
      </x:c>
      <x:c r="U265" s="8" t="n">
        <x:f>N265-I265*J265/H265</x:f>
        <x:v>0</x:v>
      </x:c>
      <x:c r="V265" s="8" t="n">
        <x:f>O265-I265*K265/H265</x:f>
        <x:v>12.707697336483022</x:v>
      </x:c>
      <x:c r="W265" s="8" t="n">
        <x:f>P265-J265*K265/H265</x:f>
        <x:v>0</x:v>
      </x:c>
      <x:c r="X265" s="8" t="n">
        <x:f>V265/S265</x:f>
        <x:v>0.6688965926727786</x:v>
      </x:c>
      <x:c r="Y265" s="8" t="n">
        <x:f>0</x:f>
        <x:v>0</x:v>
      </x:c>
      <x:c r="Z265" s="8" t="n">
        <x:f>K265/H265-X265*I265/H265-Y265*J265/H265</x:f>
        <x:v>5.138642023002573</x:v>
      </x:c>
      <x:c r="AA265" s="8" t="n">
        <x:f>Z265+X265*Q265+Y265*R265</x:f>
        <x:v>6.245502008302326</x:v>
      </x:c>
    </x:row>
    <x:row r="266" ht="26" customHeight="1">
      <x:c r="A266" s="2"/>
      <x:c r="B266" s="2" t="n">
        <x:v>261</x:v>
      </x:c>
      <x:c r="C266" s="2" t="str">
        <x:v>Grooming / price_contribution</x:v>
      </x:c>
      <x:c r="D266" s="2" t="str">
        <x:v>Own history</x:v>
      </x:c>
      <x:c r="E266" s="7" t="n">
        <x:v>45473</x:v>
      </x:c>
      <x:c r="F266" s="2" t="str">
        <x:v>Pre-earnings</x:v>
      </x:c>
      <x:c r="G266" s="7" t="n">
        <x:v>45502</x:v>
      </x:c>
      <x:c r="H266" s="2" t="n">
        <x:v>12</x:v>
      </x:c>
      <x:c r="I266" s="8" t="n">
        <x:v>76</x:v>
      </x:c>
      <x:c r="J266" s="8" t="n">
        <x:v>0</x:v>
      </x:c>
      <x:c r="K266" s="8" t="n">
        <x:v>84</x:v>
      </x:c>
      <x:c r="L266" s="8" t="n">
        <x:v>596</x:v>
      </x:c>
      <x:c r="M266" s="8" t="n">
        <x:v>0</x:v>
      </x:c>
      <x:c r="N266" s="8" t="n">
        <x:v>0</x:v>
      </x:c>
      <x:c r="O266" s="8" t="n">
        <x:v>626</x:v>
      </x:c>
      <x:c r="P266" s="8" t="n">
        <x:v>0</x:v>
      </x:c>
      <x:c r="Q266" s="8" t="n">
        <x:v>10</x:v>
      </x:c>
      <x:c r="R266" s="8" t="n">
        <x:v>0</x:v>
      </x:c>
      <x:c r="S266" s="8" t="n">
        <x:f>L266-I266^2/H266</x:f>
        <x:v>114.66666666666669</x:v>
      </x:c>
      <x:c r="T266" s="8" t="n">
        <x:f>M266-J266^2/H266</x:f>
        <x:v>0</x:v>
      </x:c>
      <x:c r="U266" s="8" t="n">
        <x:f>N266-I266*J266/H266</x:f>
        <x:v>0</x:v>
      </x:c>
      <x:c r="V266" s="8" t="n">
        <x:f>O266-I266*K266/H266</x:f>
        <x:v>94</x:v>
      </x:c>
      <x:c r="W266" s="8" t="n">
        <x:f>P266-J266*K266/H266</x:f>
        <x:v>0</x:v>
      </x:c>
      <x:c r="X266" s="8" t="n">
        <x:f>V266/S266</x:f>
        <x:v>0.819767441860465</x:v>
      </x:c>
      <x:c r="Y266" s="8" t="n">
        <x:f>0</x:f>
        <x:v>0</x:v>
      </x:c>
      <x:c r="Z266" s="8" t="n">
        <x:f>K266/H266-X266*I266/H266-Y266*J266/H266</x:f>
        <x:v>1.808139534883721</x:v>
      </x:c>
      <x:c r="AA266" s="8" t="n">
        <x:f>Z266+X266*Q266+Y266*R266</x:f>
        <x:v>10.00581395348837</x:v>
      </x:c>
    </x:row>
    <x:row r="267" ht="26" customHeight="1">
      <x:c r="A267" s="2"/>
      <x:c r="B267" s="2" t="n">
        <x:v>262</x:v>
      </x:c>
      <x:c r="C267" s="2" t="str">
        <x:v>Grooming / price_contribution</x:v>
      </x:c>
      <x:c r="D267" s="2" t="str">
        <x:v>Broad market</x:v>
      </x:c>
      <x:c r="E267" s="7" t="n">
        <x:v>45565</x:v>
      </x:c>
      <x:c r="F267" s="2" t="str">
        <x:v>Origin</x:v>
      </x:c>
      <x:c r="G267" s="7" t="n">
        <x:v>45474</x:v>
      </x:c>
      <x:c r="H267" s="2" t="n">
        <x:v>13</x:v>
      </x:c>
      <x:c r="I267" s="8" t="n">
        <x:v>43.34163754201088</x:v>
      </x:c>
      <x:c r="J267" s="8" t="n">
        <x:v>0</x:v>
      </x:c>
      <x:c r="K267" s="8" t="n">
        <x:v>86</x:v>
      </x:c>
      <x:c r="L267" s="8" t="n">
        <x:v>253.53373589833902</x:v>
      </x:c>
      <x:c r="M267" s="8" t="n">
        <x:v>0</x:v>
      </x:c>
      <x:c r="N267" s="8" t="n">
        <x:v>0</x:v>
      </x:c>
      <x:c r="O267" s="8" t="n">
        <x:v>395.1100872409252</x:v>
      </x:c>
      <x:c r="P267" s="8" t="n">
        <x:v>0</x:v>
      </x:c>
      <x:c r="Q267" s="8" t="n">
        <x:v>2.4448012966521437</x:v>
      </x:c>
      <x:c r="R267" s="8" t="n">
        <x:v>0</x:v>
      </x:c>
      <x:c r="S267" s="8" t="n">
        <x:f>L267-I267^2/H267</x:f>
        <x:v>109.03392475810463</x:v>
      </x:c>
      <x:c r="T267" s="8" t="n">
        <x:f>M267-J267^2/H267</x:f>
        <x:v>0</x:v>
      </x:c>
      <x:c r="U267" s="8" t="n">
        <x:f>N267-I267*J267/H267</x:f>
        <x:v>0</x:v>
      </x:c>
      <x:c r="V267" s="8" t="n">
        <x:f>O267-I267*K267/H267</x:f>
        <x:v>108.38848503993017</x:v>
      </x:c>
      <x:c r="W267" s="8" t="n">
        <x:f>P267-J267*K267/H267</x:f>
        <x:v>0</x:v>
      </x:c>
      <x:c r="X267" s="8" t="n">
        <x:f>V267/S267</x:f>
        <x:v>0.994080377097253</x:v>
      </x:c>
      <x:c r="Y267" s="8" t="n">
        <x:f>0</x:f>
        <x:v>0</x:v>
      </x:c>
      <x:c r="Z267" s="8" t="n">
        <x:f>K267/H267-X267*I267/H267-Y267*J267/H267</x:f>
        <x:v>3.301148354478874</x:v>
      </x:c>
      <x:c r="AA267" s="8" t="n">
        <x:f>Z267+X267*Q267+Y267*R267</x:f>
        <x:v>5.73147734938269</x:v>
      </x:c>
    </x:row>
    <x:row r="268" ht="26" customHeight="1">
      <x:c r="A268" s="2"/>
      <x:c r="B268" s="2" t="n">
        <x:v>263</x:v>
      </x:c>
      <x:c r="C268" s="2" t="str">
        <x:v>Grooming / price_contribution</x:v>
      </x:c>
      <x:c r="D268" s="2" t="str">
        <x:v>Broad rolling 8</x:v>
      </x:c>
      <x:c r="E268" s="7" t="n">
        <x:v>45565</x:v>
      </x:c>
      <x:c r="F268" s="2" t="str">
        <x:v>Origin</x:v>
      </x:c>
      <x:c r="G268" s="7" t="n">
        <x:v>45474</x:v>
      </x:c>
      <x:c r="H268" s="2" t="n">
        <x:v>8</x:v>
      </x:c>
      <x:c r="I268" s="8" t="n">
        <x:v>43.19182386703038</x:v>
      </x:c>
      <x:c r="J268" s="8" t="n">
        <x:v>0</x:v>
      </x:c>
      <x:c r="K268" s="8" t="n">
        <x:v>70</x:v>
      </x:c>
      <x:c r="L268" s="8" t="n">
        <x:v>252.18970592405591</x:v>
      </x:c>
      <x:c r="M268" s="8" t="n">
        <x:v>0</x:v>
      </x:c>
      <x:c r="N268" s="8" t="n">
        <x:v>0</x:v>
      </x:c>
      <x:c r="O268" s="8" t="n">
        <x:v>390.6361561729988</x:v>
      </x:c>
      <x:c r="P268" s="8" t="n">
        <x:v>0</x:v>
      </x:c>
      <x:c r="Q268" s="8" t="n">
        <x:v>2.4448012966521437</x:v>
      </x:c>
      <x:c r="R268" s="8" t="n">
        <x:v>0</x:v>
      </x:c>
      <x:c r="S268" s="8" t="n">
        <x:f>L268-I268^2/H268</x:f>
        <x:v>18.997999803984015</x:v>
      </x:c>
      <x:c r="T268" s="8" t="n">
        <x:f>M268-J268^2/H268</x:f>
        <x:v>0</x:v>
      </x:c>
      <x:c r="U268" s="8" t="n">
        <x:f>N268-I268*J268/H268</x:f>
        <x:v>0</x:v>
      </x:c>
      <x:c r="V268" s="8" t="n">
        <x:f>O268-I268*K268/H268</x:f>
        <x:v>12.707697336483022</x:v>
      </x:c>
      <x:c r="W268" s="8" t="n">
        <x:f>P268-J268*K268/H268</x:f>
        <x:v>0</x:v>
      </x:c>
      <x:c r="X268" s="8" t="n">
        <x:f>V268/S268</x:f>
        <x:v>0.6688965926727786</x:v>
      </x:c>
      <x:c r="Y268" s="8" t="n">
        <x:f>0</x:f>
        <x:v>0</x:v>
      </x:c>
      <x:c r="Z268" s="8" t="n">
        <x:f>K268/H268-X268*I268/H268-Y268*J268/H268</x:f>
        <x:v>5.138642023002573</x:v>
      </x:c>
      <x:c r="AA268" s="8" t="n">
        <x:f>Z268+X268*Q268+Y268*R268</x:f>
        <x:v>6.7739612800951825</x:v>
      </x:c>
    </x:row>
    <x:row r="269" ht="26" customHeight="1">
      <x:c r="A269" s="2"/>
      <x:c r="B269" s="2" t="n">
        <x:v>264</x:v>
      </x:c>
      <x:c r="C269" s="2" t="str">
        <x:v>Grooming / price_contribution</x:v>
      </x:c>
      <x:c r="D269" s="2" t="str">
        <x:v>Own history</x:v>
      </x:c>
      <x:c r="E269" s="7" t="n">
        <x:v>45565</x:v>
      </x:c>
      <x:c r="F269" s="2" t="str">
        <x:v>Origin</x:v>
      </x:c>
      <x:c r="G269" s="7" t="n">
        <x:v>45474</x:v>
      </x:c>
      <x:c r="H269" s="2" t="n">
        <x:v>11</x:v>
      </x:c>
      <x:c r="I269" s="8" t="n">
        <x:v>69</x:v>
      </x:c>
      <x:c r="J269" s="8" t="n">
        <x:v>0</x:v>
      </x:c>
      <x:c r="K269" s="8" t="n">
        <x:v>82</x:v>
      </x:c>
      <x:c r="L269" s="8" t="n">
        <x:v>547</x:v>
      </x:c>
      <x:c r="M269" s="8" t="n">
        <x:v>0</x:v>
      </x:c>
      <x:c r="N269" s="8" t="n">
        <x:v>0</x:v>
      </x:c>
      <x:c r="O269" s="8" t="n">
        <x:v>584</x:v>
      </x:c>
      <x:c r="P269" s="8" t="n">
        <x:v>0</x:v>
      </x:c>
      <x:c r="Q269" s="8" t="n">
        <x:v>10</x:v>
      </x:c>
      <x:c r="R269" s="8" t="n">
        <x:v>0</x:v>
      </x:c>
      <x:c r="S269" s="8" t="n">
        <x:f>L269-I269^2/H269</x:f>
        <x:v>114.18181818181819</x:v>
      </x:c>
      <x:c r="T269" s="8" t="n">
        <x:f>M269-J269^2/H269</x:f>
        <x:v>0</x:v>
      </x:c>
      <x:c r="U269" s="8" t="n">
        <x:f>N269-I269*J269/H269</x:f>
        <x:v>0</x:v>
      </x:c>
      <x:c r="V269" s="8" t="n">
        <x:f>O269-I269*K269/H269</x:f>
        <x:v>69.63636363636363</x:v>
      </x:c>
      <x:c r="W269" s="8" t="n">
        <x:f>P269-J269*K269/H269</x:f>
        <x:v>0</x:v>
      </x:c>
      <x:c r="X269" s="8" t="n">
        <x:f>V269/S269</x:f>
        <x:v>0.6098726114649681</x:v>
      </x:c>
      <x:c r="Y269" s="8" t="n">
        <x:f>0</x:f>
        <x:v>0</x:v>
      </x:c>
      <x:c r="Z269" s="8" t="n">
        <x:f>K269/H269-X269*I269/H269-Y269*J269/H269</x:f>
        <x:v>3.6289808917197455</x:v>
      </x:c>
      <x:c r="AA269" s="8" t="n">
        <x:f>Z269+X269*Q269+Y269*R269</x:f>
        <x:v>9.727707006369426</x:v>
      </x:c>
    </x:row>
    <x:row r="270" ht="26" customHeight="1">
      <x:c r="A270" s="2"/>
      <x:c r="B270" s="2" t="n">
        <x:v>265</x:v>
      </x:c>
      <x:c r="C270" s="2" t="str">
        <x:v>Grooming / price_contribution</x:v>
      </x:c>
      <x:c r="D270" s="2" t="str">
        <x:v>Broad market</x:v>
      </x:c>
      <x:c r="E270" s="7" t="n">
        <x:v>45565</x:v>
      </x:c>
      <x:c r="F270" s="2" t="str">
        <x:v>Prior report</x:v>
      </x:c>
      <x:c r="G270" s="7" t="n">
        <x:v>45503</x:v>
      </x:c>
      <x:c r="H270" s="2" t="n">
        <x:v>14</x:v>
      </x:c>
      <x:c r="I270" s="8" t="n">
        <x:v>44.99639254812769</x:v>
      </x:c>
      <x:c r="J270" s="8" t="n">
        <x:v>0</x:v>
      </x:c>
      <x:c r="K270" s="8" t="n">
        <x:v>91</x:v>
      </x:c>
      <x:c r="L270" s="8" t="n">
        <x:v>256.27195002860765</x:v>
      </x:c>
      <x:c r="M270" s="8" t="n">
        <x:v>0</x:v>
      </x:c>
      <x:c r="N270" s="8" t="n">
        <x:v>0</x:v>
      </x:c>
      <x:c r="O270" s="8" t="n">
        <x:v>403.38386227150926</x:v>
      </x:c>
      <x:c r="P270" s="8" t="n">
        <x:v>0</x:v>
      </x:c>
      <x:c r="Q270" s="8" t="n">
        <x:v>1.6583438100702175</x:v>
      </x:c>
      <x:c r="R270" s="8" t="n">
        <x:v>0</x:v>
      </x:c>
      <x:c r="S270" s="8" t="n">
        <x:f>L270-I270^2/H270</x:f>
        <x:v>111.65228271823614</x:v>
      </x:c>
      <x:c r="T270" s="8" t="n">
        <x:f>M270-J270^2/H270</x:f>
        <x:v>0</x:v>
      </x:c>
      <x:c r="U270" s="8" t="n">
        <x:f>N270-I270*J270/H270</x:f>
        <x:v>0</x:v>
      </x:c>
      <x:c r="V270" s="8" t="n">
        <x:f>O270-I270*K270/H270</x:f>
        <x:v>110.90731070867929</x:v>
      </x:c>
      <x:c r="W270" s="8" t="n">
        <x:f>P270-J270*K270/H270</x:f>
        <x:v>0</x:v>
      </x:c>
      <x:c r="X270" s="8" t="n">
        <x:f>V270/S270</x:f>
        <x:v>0.9933277494071765</x:v>
      </x:c>
      <x:c r="Y270" s="8" t="n">
        <x:f>0</x:f>
        <x:v>0</x:v>
      </x:c>
      <x:c r="Z270" s="8" t="n">
        <x:f>K270/H270-X270*I270/H270-Y270*J270/H270</x:f>
        <x:v>3.3074167613376058</x:v>
      </x:c>
      <x:c r="AA270" s="8" t="n">
        <x:f>Z270+X270*Q270+Y270*R270</x:f>
        <x:v>4.954695685937977</x:v>
      </x:c>
    </x:row>
    <x:row r="271" ht="26" customHeight="1">
      <x:c r="A271" s="2"/>
      <x:c r="B271" s="2" t="n">
        <x:v>266</x:v>
      </x:c>
      <x:c r="C271" s="2" t="str">
        <x:v>Grooming / price_contribution</x:v>
      </x:c>
      <x:c r="D271" s="2" t="str">
        <x:v>Broad lag 1</x:v>
      </x:c>
      <x:c r="E271" s="7" t="n">
        <x:v>45565</x:v>
      </x:c>
      <x:c r="F271" s="2" t="str">
        <x:v>Prior report</x:v>
      </x:c>
      <x:c r="G271" s="7" t="n">
        <x:v>45503</x:v>
      </x:c>
      <x:c r="H271" s="2" t="n">
        <x:v>13</x:v>
      </x:c>
      <x:c r="I271" s="8" t="n">
        <x:v>43.34163754201088</x:v>
      </x:c>
      <x:c r="J271" s="8" t="n">
        <x:v>0</x:v>
      </x:c>
      <x:c r="K271" s="8" t="n">
        <x:v>89</x:v>
      </x:c>
      <x:c r="L271" s="8" t="n">
        <x:v>253.53373589833902</x:v>
      </x:c>
      <x:c r="M271" s="8" t="n">
        <x:v>0</x:v>
      </x:c>
      <x:c r="N271" s="8" t="n">
        <x:v>0</x:v>
      </x:c>
      <x:c r="O271" s="8" t="n">
        <x:v>387.3220086597907</x:v>
      </x:c>
      <x:c r="P271" s="8" t="n">
        <x:v>0</x:v>
      </x:c>
      <x:c r="Q271" s="8" t="n">
        <x:v>1.6547550061168037</x:v>
      </x:c>
      <x:c r="R271" s="8" t="n">
        <x:v>0</x:v>
      </x:c>
      <x:c r="S271" s="8" t="n">
        <x:f>L271-I271^2/H271</x:f>
        <x:v>109.03392475810463</x:v>
      </x:c>
      <x:c r="T271" s="8" t="n">
        <x:f>M271-J271^2/H271</x:f>
        <x:v>0</x:v>
      </x:c>
      <x:c r="U271" s="8" t="n">
        <x:f>N271-I271*J271/H271</x:f>
        <x:v>0</x:v>
      </x:c>
      <x:c r="V271" s="8" t="n">
        <x:f>O271-I271*K271/H271</x:f>
        <x:v>90.59849010294698</x:v>
      </x:c>
      <x:c r="W271" s="8" t="n">
        <x:f>P271-J271*K271/H271</x:f>
        <x:v>0</x:v>
      </x:c>
      <x:c r="X271" s="8" t="n">
        <x:f>V271/S271</x:f>
        <x:v>0.8309201957458904</x:v>
      </x:c>
      <x:c r="Y271" s="8" t="n">
        <x:f>0</x:f>
        <x:v>0</x:v>
      </x:c>
      <x:c r="Z271" s="8" t="n">
        <x:f>K271/H271-X271*I271/H271-Y271*J271/H271</x:f>
        <x:v>4.075889080741915</x:v>
      </x:c>
      <x:c r="AA271" s="8" t="n">
        <x:f>Z271+X271*Q271+Y271*R271</x:f>
        <x:v>5.450858434335981</x:v>
      </x:c>
    </x:row>
    <x:row r="272" ht="26" customHeight="1">
      <x:c r="A272" s="2"/>
      <x:c r="B272" s="2" t="n">
        <x:v>267</x:v>
      </x:c>
      <x:c r="C272" s="2" t="str">
        <x:v>Grooming / price_contribution</x:v>
      </x:c>
      <x:c r="D272" s="2" t="str">
        <x:v>Broad rolling 8</x:v>
      </x:c>
      <x:c r="E272" s="7" t="n">
        <x:v>45565</x:v>
      </x:c>
      <x:c r="F272" s="2" t="str">
        <x:v>Prior report</x:v>
      </x:c>
      <x:c r="G272" s="7" t="n">
        <x:v>45503</x:v>
      </x:c>
      <x:c r="H272" s="2" t="n">
        <x:v>8</x:v>
      </x:c>
      <x:c r="I272" s="8" t="n">
        <x:v>41.93430593153869</x:v>
      </x:c>
      <x:c r="J272" s="8" t="n">
        <x:v>0</x:v>
      </x:c>
      <x:c r="K272" s="8" t="n">
        <x:v>69</x:v>
      </x:c>
      <x:c r="L272" s="8" t="n">
        <x:v>246.44658636789953</x:v>
      </x:c>
      <x:c r="M272" s="8" t="n">
        <x:v>0</x:v>
      </x:c>
      <x:c r="N272" s="8" t="n">
        <x:v>0</x:v>
      </x:c>
      <x:c r="O272" s="8" t="n">
        <x:v>381.4362935539319</x:v>
      </x:c>
      <x:c r="P272" s="8" t="n">
        <x:v>0</x:v>
      </x:c>
      <x:c r="Q272" s="8" t="n">
        <x:v>1.6583438100702175</x:v>
      </x:c>
      <x:c r="R272" s="8" t="n">
        <x:v>0</x:v>
      </x:c>
      <x:c r="S272" s="8" t="n">
        <x:f>L272-I272^2/H272</x:f>
        <x:v>26.635834622914416</x:v>
      </x:c>
      <x:c r="T272" s="8" t="n">
        <x:f>M272-J272^2/H272</x:f>
        <x:v>0</x:v>
      </x:c>
      <x:c r="U272" s="8" t="n">
        <x:f>N272-I272*J272/H272</x:f>
        <x:v>0</x:v>
      </x:c>
      <x:c r="V272" s="8" t="n">
        <x:f>O272-I272*K272/H272</x:f>
        <x:v>19.752904894410676</x:v>
      </x:c>
      <x:c r="W272" s="8" t="n">
        <x:f>P272-J272*K272/H272</x:f>
        <x:v>0</x:v>
      </x:c>
      <x:c r="X272" s="8" t="n">
        <x:f>V272/S272</x:f>
        <x:v>0.7415913626906793</x:v>
      </x:c>
      <x:c r="Y272" s="8" t="n">
        <x:f>0</x:f>
        <x:v>0</x:v>
      </x:c>
      <x:c r="Z272" s="8" t="n">
        <x:f>K272/H272-X272*I272/H272-Y272*J272/H272</x:f>
        <x:v>4.737735115092798</x:v>
      </x:c>
      <x:c r="AA272" s="8" t="n">
        <x:f>Z272+X272*Q272+Y272*R272</x:f>
        <x:v>5.967548561012424</x:v>
      </x:c>
    </x:row>
    <x:row r="273" ht="26" customHeight="1">
      <x:c r="A273" s="2"/>
      <x:c r="B273" s="2" t="n">
        <x:v>268</x:v>
      </x:c>
      <x:c r="C273" s="2" t="str">
        <x:v>Grooming / price_contribution</x:v>
      </x:c>
      <x:c r="D273" s="2" t="str">
        <x:v>Own history</x:v>
      </x:c>
      <x:c r="E273" s="7" t="n">
        <x:v>45565</x:v>
      </x:c>
      <x:c r="F273" s="2" t="str">
        <x:v>Prior report</x:v>
      </x:c>
      <x:c r="G273" s="7" t="n">
        <x:v>45503</x:v>
      </x:c>
      <x:c r="H273" s="2" t="n">
        <x:v>13</x:v>
      </x:c>
      <x:c r="I273" s="8" t="n">
        <x:v>86</x:v>
      </x:c>
      <x:c r="J273" s="8" t="n">
        <x:v>0</x:v>
      </x:c>
      <x:c r="K273" s="8" t="n">
        <x:v>89</x:v>
      </x:c>
      <x:c r="L273" s="8" t="n">
        <x:v>696</x:v>
      </x:c>
      <x:c r="M273" s="8" t="n">
        <x:v>0</x:v>
      </x:c>
      <x:c r="N273" s="8" t="n">
        <x:v>0</x:v>
      </x:c>
      <x:c r="O273" s="8" t="n">
        <x:v>676</x:v>
      </x:c>
      <x:c r="P273" s="8" t="n">
        <x:v>0</x:v>
      </x:c>
      <x:c r="Q273" s="8" t="n">
        <x:v>5</x:v>
      </x:c>
      <x:c r="R273" s="8" t="n">
        <x:v>0</x:v>
      </x:c>
      <x:c r="S273" s="8" t="n">
        <x:f>L273-I273^2/H273</x:f>
        <x:v>127.0769230769231</x:v>
      </x:c>
      <x:c r="T273" s="8" t="n">
        <x:f>M273-J273^2/H273</x:f>
        <x:v>0</x:v>
      </x:c>
      <x:c r="U273" s="8" t="n">
        <x:f>N273-I273*J273/H273</x:f>
        <x:v>0</x:v>
      </x:c>
      <x:c r="V273" s="8" t="n">
        <x:f>O273-I273*K273/H273</x:f>
        <x:v>87.23076923076928</x:v>
      </x:c>
      <x:c r="W273" s="8" t="n">
        <x:f>P273-J273*K273/H273</x:f>
        <x:v>0</x:v>
      </x:c>
      <x:c r="X273" s="8" t="n">
        <x:f>V273/S273</x:f>
        <x:v>0.686440677966102</x:v>
      </x:c>
      <x:c r="Y273" s="8" t="n">
        <x:f>0</x:f>
        <x:v>0</x:v>
      </x:c>
      <x:c r="Z273" s="8" t="n">
        <x:f>K273/H273-X273*I273/H273-Y273*J273/H273</x:f>
        <x:v>2.30508474576271</x:v>
      </x:c>
      <x:c r="AA273" s="8" t="n">
        <x:f>Z273+X273*Q273+Y273*R273</x:f>
        <x:v>5.73728813559322</x:v>
      </x:c>
    </x:row>
    <x:row r="274" ht="26" customHeight="1">
      <x:c r="A274" s="2"/>
      <x:c r="B274" s="2" t="n">
        <x:v>269</x:v>
      </x:c>
      <x:c r="C274" s="2" t="str">
        <x:v>Grooming / price_contribution</x:v>
      </x:c>
      <x:c r="D274" s="2" t="str">
        <x:v>Broad market</x:v>
      </x:c>
      <x:c r="E274" s="7" t="n">
        <x:v>45565</x:v>
      </x:c>
      <x:c r="F274" s="2" t="str">
        <x:v>Pre-earnings</x:v>
      </x:c>
      <x:c r="G274" s="7" t="n">
        <x:v>45582</x:v>
      </x:c>
      <x:c r="H274" s="2" t="n">
        <x:v>14</x:v>
      </x:c>
      <x:c r="I274" s="8" t="n">
        <x:v>44.99639254812769</x:v>
      </x:c>
      <x:c r="J274" s="8" t="n">
        <x:v>0</x:v>
      </x:c>
      <x:c r="K274" s="8" t="n">
        <x:v>91</x:v>
      </x:c>
      <x:c r="L274" s="8" t="n">
        <x:v>256.27195002860765</x:v>
      </x:c>
      <x:c r="M274" s="8" t="n">
        <x:v>0</x:v>
      </x:c>
      <x:c r="N274" s="8" t="n">
        <x:v>0</x:v>
      </x:c>
      <x:c r="O274" s="8" t="n">
        <x:v>403.38386227150926</x:v>
      </x:c>
      <x:c r="P274" s="8" t="n">
        <x:v>0</x:v>
      </x:c>
      <x:c r="Q274" s="8" t="n">
        <x:v>0.373301115227731</x:v>
      </x:c>
      <x:c r="R274" s="8" t="n">
        <x:v>0</x:v>
      </x:c>
      <x:c r="S274" s="8" t="n">
        <x:f>L274-I274^2/H274</x:f>
        <x:v>111.65228271823614</x:v>
      </x:c>
      <x:c r="T274" s="8" t="n">
        <x:f>M274-J274^2/H274</x:f>
        <x:v>0</x:v>
      </x:c>
      <x:c r="U274" s="8" t="n">
        <x:f>N274-I274*J274/H274</x:f>
        <x:v>0</x:v>
      </x:c>
      <x:c r="V274" s="8" t="n">
        <x:f>O274-I274*K274/H274</x:f>
        <x:v>110.90731070867929</x:v>
      </x:c>
      <x:c r="W274" s="8" t="n">
        <x:f>P274-J274*K274/H274</x:f>
        <x:v>0</x:v>
      </x:c>
      <x:c r="X274" s="8" t="n">
        <x:f>V274/S274</x:f>
        <x:v>0.9933277494071765</x:v>
      </x:c>
      <x:c r="Y274" s="8" t="n">
        <x:f>0</x:f>
        <x:v>0</x:v>
      </x:c>
      <x:c r="Z274" s="8" t="n">
        <x:f>K274/H274-X274*I274/H274-Y274*J274/H274</x:f>
        <x:v>3.3074167613376058</x:v>
      </x:c>
      <x:c r="AA274" s="8" t="n">
        <x:f>Z274+X274*Q274+Y274*R274</x:f>
        <x:v>3.678227117977957</x:v>
      </x:c>
    </x:row>
    <x:row r="275" ht="26" customHeight="1">
      <x:c r="A275" s="2"/>
      <x:c r="B275" s="2" t="n">
        <x:v>270</x:v>
      </x:c>
      <x:c r="C275" s="2" t="str">
        <x:v>Grooming / price_contribution</x:v>
      </x:c>
      <x:c r="D275" s="2" t="str">
        <x:v>Broad lag 1</x:v>
      </x:c>
      <x:c r="E275" s="7" t="n">
        <x:v>45565</x:v>
      </x:c>
      <x:c r="F275" s="2" t="str">
        <x:v>Pre-earnings</x:v>
      </x:c>
      <x:c r="G275" s="7" t="n">
        <x:v>45582</x:v>
      </x:c>
      <x:c r="H275" s="2" t="n">
        <x:v>13</x:v>
      </x:c>
      <x:c r="I275" s="8" t="n">
        <x:v>43.34163754201088</x:v>
      </x:c>
      <x:c r="J275" s="8" t="n">
        <x:v>0</x:v>
      </x:c>
      <x:c r="K275" s="8" t="n">
        <x:v>89</x:v>
      </x:c>
      <x:c r="L275" s="8" t="n">
        <x:v>253.53373589833902</x:v>
      </x:c>
      <x:c r="M275" s="8" t="n">
        <x:v>0</x:v>
      </x:c>
      <x:c r="N275" s="8" t="n">
        <x:v>0</x:v>
      </x:c>
      <x:c r="O275" s="8" t="n">
        <x:v>387.3220086597907</x:v>
      </x:c>
      <x:c r="P275" s="8" t="n">
        <x:v>0</x:v>
      </x:c>
      <x:c r="Q275" s="8" t="n">
        <x:v>1.6547550061168037</x:v>
      </x:c>
      <x:c r="R275" s="8" t="n">
        <x:v>0</x:v>
      </x:c>
      <x:c r="S275" s="8" t="n">
        <x:f>L275-I275^2/H275</x:f>
        <x:v>109.03392475810463</x:v>
      </x:c>
      <x:c r="T275" s="8" t="n">
        <x:f>M275-J275^2/H275</x:f>
        <x:v>0</x:v>
      </x:c>
      <x:c r="U275" s="8" t="n">
        <x:f>N275-I275*J275/H275</x:f>
        <x:v>0</x:v>
      </x:c>
      <x:c r="V275" s="8" t="n">
        <x:f>O275-I275*K275/H275</x:f>
        <x:v>90.59849010294698</x:v>
      </x:c>
      <x:c r="W275" s="8" t="n">
        <x:f>P275-J275*K275/H275</x:f>
        <x:v>0</x:v>
      </x:c>
      <x:c r="X275" s="8" t="n">
        <x:f>V275/S275</x:f>
        <x:v>0.8309201957458904</x:v>
      </x:c>
      <x:c r="Y275" s="8" t="n">
        <x:f>0</x:f>
        <x:v>0</x:v>
      </x:c>
      <x:c r="Z275" s="8" t="n">
        <x:f>K275/H275-X275*I275/H275-Y275*J275/H275</x:f>
        <x:v>4.075889080741915</x:v>
      </x:c>
      <x:c r="AA275" s="8" t="n">
        <x:f>Z275+X275*Q275+Y275*R275</x:f>
        <x:v>5.450858434335981</x:v>
      </x:c>
    </x:row>
    <x:row r="276" ht="26" customHeight="1">
      <x:c r="A276" s="2"/>
      <x:c r="B276" s="2" t="n">
        <x:v>271</x:v>
      </x:c>
      <x:c r="C276" s="2" t="str">
        <x:v>Grooming / price_contribution</x:v>
      </x:c>
      <x:c r="D276" s="2" t="str">
        <x:v>Broad rolling 8</x:v>
      </x:c>
      <x:c r="E276" s="7" t="n">
        <x:v>45565</x:v>
      </x:c>
      <x:c r="F276" s="2" t="str">
        <x:v>Pre-earnings</x:v>
      </x:c>
      <x:c r="G276" s="7" t="n">
        <x:v>45582</x:v>
      </x:c>
      <x:c r="H276" s="2" t="n">
        <x:v>8</x:v>
      </x:c>
      <x:c r="I276" s="8" t="n">
        <x:v>41.93430593153869</x:v>
      </x:c>
      <x:c r="J276" s="8" t="n">
        <x:v>0</x:v>
      </x:c>
      <x:c r="K276" s="8" t="n">
        <x:v>69</x:v>
      </x:c>
      <x:c r="L276" s="8" t="n">
        <x:v>246.44658636789953</x:v>
      </x:c>
      <x:c r="M276" s="8" t="n">
        <x:v>0</x:v>
      </x:c>
      <x:c r="N276" s="8" t="n">
        <x:v>0</x:v>
      </x:c>
      <x:c r="O276" s="8" t="n">
        <x:v>381.4362935539319</x:v>
      </x:c>
      <x:c r="P276" s="8" t="n">
        <x:v>0</x:v>
      </x:c>
      <x:c r="Q276" s="8" t="n">
        <x:v>0.373301115227731</x:v>
      </x:c>
      <x:c r="R276" s="8" t="n">
        <x:v>0</x:v>
      </x:c>
      <x:c r="S276" s="8" t="n">
        <x:f>L276-I276^2/H276</x:f>
        <x:v>26.635834622914416</x:v>
      </x:c>
      <x:c r="T276" s="8" t="n">
        <x:f>M276-J276^2/H276</x:f>
        <x:v>0</x:v>
      </x:c>
      <x:c r="U276" s="8" t="n">
        <x:f>N276-I276*J276/H276</x:f>
        <x:v>0</x:v>
      </x:c>
      <x:c r="V276" s="8" t="n">
        <x:f>O276-I276*K276/H276</x:f>
        <x:v>19.752904894410676</x:v>
      </x:c>
      <x:c r="W276" s="8" t="n">
        <x:f>P276-J276*K276/H276</x:f>
        <x:v>0</x:v>
      </x:c>
      <x:c r="X276" s="8" t="n">
        <x:f>V276/S276</x:f>
        <x:v>0.7415913626906793</x:v>
      </x:c>
      <x:c r="Y276" s="8" t="n">
        <x:f>0</x:f>
        <x:v>0</x:v>
      </x:c>
      <x:c r="Z276" s="8" t="n">
        <x:f>K276/H276-X276*I276/H276-Y276*J276/H276</x:f>
        <x:v>4.737735115092798</x:v>
      </x:c>
      <x:c r="AA276" s="8" t="n">
        <x:f>Z276+X276*Q276+Y276*R276</x:f>
        <x:v>5.014571997828481</x:v>
      </x:c>
    </x:row>
    <x:row r="277" ht="26" customHeight="1">
      <x:c r="A277" s="2"/>
      <x:c r="B277" s="2" t="n">
        <x:v>272</x:v>
      </x:c>
      <x:c r="C277" s="2" t="str">
        <x:v>Grooming / price_contribution</x:v>
      </x:c>
      <x:c r="D277" s="2" t="str">
        <x:v>Own history</x:v>
      </x:c>
      <x:c r="E277" s="7" t="n">
        <x:v>45565</x:v>
      </x:c>
      <x:c r="F277" s="2" t="str">
        <x:v>Pre-earnings</x:v>
      </x:c>
      <x:c r="G277" s="7" t="n">
        <x:v>45582</x:v>
      </x:c>
      <x:c r="H277" s="2" t="n">
        <x:v>13</x:v>
      </x:c>
      <x:c r="I277" s="8" t="n">
        <x:v>86</x:v>
      </x:c>
      <x:c r="J277" s="8" t="n">
        <x:v>0</x:v>
      </x:c>
      <x:c r="K277" s="8" t="n">
        <x:v>89</x:v>
      </x:c>
      <x:c r="L277" s="8" t="n">
        <x:v>696</x:v>
      </x:c>
      <x:c r="M277" s="8" t="n">
        <x:v>0</x:v>
      </x:c>
      <x:c r="N277" s="8" t="n">
        <x:v>0</x:v>
      </x:c>
      <x:c r="O277" s="8" t="n">
        <x:v>676</x:v>
      </x:c>
      <x:c r="P277" s="8" t="n">
        <x:v>0</x:v>
      </x:c>
      <x:c r="Q277" s="8" t="n">
        <x:v>5</x:v>
      </x:c>
      <x:c r="R277" s="8" t="n">
        <x:v>0</x:v>
      </x:c>
      <x:c r="S277" s="8" t="n">
        <x:f>L277-I277^2/H277</x:f>
        <x:v>127.0769230769231</x:v>
      </x:c>
      <x:c r="T277" s="8" t="n">
        <x:f>M277-J277^2/H277</x:f>
        <x:v>0</x:v>
      </x:c>
      <x:c r="U277" s="8" t="n">
        <x:f>N277-I277*J277/H277</x:f>
        <x:v>0</x:v>
      </x:c>
      <x:c r="V277" s="8" t="n">
        <x:f>O277-I277*K277/H277</x:f>
        <x:v>87.23076923076928</x:v>
      </x:c>
      <x:c r="W277" s="8" t="n">
        <x:f>P277-J277*K277/H277</x:f>
        <x:v>0</x:v>
      </x:c>
      <x:c r="X277" s="8" t="n">
        <x:f>V277/S277</x:f>
        <x:v>0.686440677966102</x:v>
      </x:c>
      <x:c r="Y277" s="8" t="n">
        <x:f>0</x:f>
        <x:v>0</x:v>
      </x:c>
      <x:c r="Z277" s="8" t="n">
        <x:f>K277/H277-X277*I277/H277-Y277*J277/H277</x:f>
        <x:v>2.30508474576271</x:v>
      </x:c>
      <x:c r="AA277" s="8" t="n">
        <x:f>Z277+X277*Q277+Y277*R277</x:f>
        <x:v>5.73728813559322</x:v>
      </x:c>
    </x:row>
    <x:row r="278" ht="26" customHeight="1">
      <x:c r="A278" s="2"/>
      <x:c r="B278" s="2" t="n">
        <x:v>273</x:v>
      </x:c>
      <x:c r="C278" s="2" t="str">
        <x:v>Grooming / price_contribution</x:v>
      </x:c>
      <x:c r="D278" s="2" t="str">
        <x:v>Broad market</x:v>
      </x:c>
      <x:c r="E278" s="7" t="n">
        <x:v>45657</x:v>
      </x:c>
      <x:c r="F278" s="2" t="str">
        <x:v>Origin</x:v>
      </x:c>
      <x:c r="G278" s="7" t="n">
        <x:v>45566</x:v>
      </x:c>
      <x:c r="H278" s="2" t="n">
        <x:v>14</x:v>
      </x:c>
      <x:c r="I278" s="8" t="n">
        <x:v>44.99639254812769</x:v>
      </x:c>
      <x:c r="J278" s="8" t="n">
        <x:v>0</x:v>
      </x:c>
      <x:c r="K278" s="8" t="n">
        <x:v>91</x:v>
      </x:c>
      <x:c r="L278" s="8" t="n">
        <x:v>256.27195002860765</x:v>
      </x:c>
      <x:c r="M278" s="8" t="n">
        <x:v>0</x:v>
      </x:c>
      <x:c r="N278" s="8" t="n">
        <x:v>0</x:v>
      </x:c>
      <x:c r="O278" s="8" t="n">
        <x:v>403.38386227150926</x:v>
      </x:c>
      <x:c r="P278" s="8" t="n">
        <x:v>0</x:v>
      </x:c>
      <x:c r="Q278" s="8" t="n">
        <x:v>0.672385931020969</x:v>
      </x:c>
      <x:c r="R278" s="8" t="n">
        <x:v>0</x:v>
      </x:c>
      <x:c r="S278" s="8" t="n">
        <x:f>L278-I278^2/H278</x:f>
        <x:v>111.65228271823614</x:v>
      </x:c>
      <x:c r="T278" s="8" t="n">
        <x:f>M278-J278^2/H278</x:f>
        <x:v>0</x:v>
      </x:c>
      <x:c r="U278" s="8" t="n">
        <x:f>N278-I278*J278/H278</x:f>
        <x:v>0</x:v>
      </x:c>
      <x:c r="V278" s="8" t="n">
        <x:f>O278-I278*K278/H278</x:f>
        <x:v>110.90731070867929</x:v>
      </x:c>
      <x:c r="W278" s="8" t="n">
        <x:f>P278-J278*K278/H278</x:f>
        <x:v>0</x:v>
      </x:c>
      <x:c r="X278" s="8" t="n">
        <x:f>V278/S278</x:f>
        <x:v>0.9933277494071765</x:v>
      </x:c>
      <x:c r="Y278" s="8" t="n">
        <x:f>0</x:f>
        <x:v>0</x:v>
      </x:c>
      <x:c r="Z278" s="8" t="n">
        <x:f>K278/H278-X278*I278/H278-Y278*J278/H278</x:f>
        <x:v>3.3074167613376058</x:v>
      </x:c>
      <x:c r="AA278" s="8" t="n">
        <x:f>Z278+X278*Q278+Y278*R278</x:f>
        <x:v>3.975316364931714</x:v>
      </x:c>
    </x:row>
    <x:row r="279" ht="26" customHeight="1">
      <x:c r="A279" s="2"/>
      <x:c r="B279" s="2" t="n">
        <x:v>274</x:v>
      </x:c>
      <x:c r="C279" s="2" t="str">
        <x:v>Grooming / price_contribution</x:v>
      </x:c>
      <x:c r="D279" s="2" t="str">
        <x:v>Broad rolling 8</x:v>
      </x:c>
      <x:c r="E279" s="7" t="n">
        <x:v>45657</x:v>
      </x:c>
      <x:c r="F279" s="2" t="str">
        <x:v>Origin</x:v>
      </x:c>
      <x:c r="G279" s="7" t="n">
        <x:v>45566</x:v>
      </x:c>
      <x:c r="H279" s="2" t="n">
        <x:v>8</x:v>
      </x:c>
      <x:c r="I279" s="8" t="n">
        <x:v>41.93430593153869</x:v>
      </x:c>
      <x:c r="J279" s="8" t="n">
        <x:v>0</x:v>
      </x:c>
      <x:c r="K279" s="8" t="n">
        <x:v>69</x:v>
      </x:c>
      <x:c r="L279" s="8" t="n">
        <x:v>246.44658636789953</x:v>
      </x:c>
      <x:c r="M279" s="8" t="n">
        <x:v>0</x:v>
      </x:c>
      <x:c r="N279" s="8" t="n">
        <x:v>0</x:v>
      </x:c>
      <x:c r="O279" s="8" t="n">
        <x:v>381.4362935539319</x:v>
      </x:c>
      <x:c r="P279" s="8" t="n">
        <x:v>0</x:v>
      </x:c>
      <x:c r="Q279" s="8" t="n">
        <x:v>0.672385931020969</x:v>
      </x:c>
      <x:c r="R279" s="8" t="n">
        <x:v>0</x:v>
      </x:c>
      <x:c r="S279" s="8" t="n">
        <x:f>L279-I279^2/H279</x:f>
        <x:v>26.635834622914416</x:v>
      </x:c>
      <x:c r="T279" s="8" t="n">
        <x:f>M279-J279^2/H279</x:f>
        <x:v>0</x:v>
      </x:c>
      <x:c r="U279" s="8" t="n">
        <x:f>N279-I279*J279/H279</x:f>
        <x:v>0</x:v>
      </x:c>
      <x:c r="V279" s="8" t="n">
        <x:f>O279-I279*K279/H279</x:f>
        <x:v>19.752904894410676</x:v>
      </x:c>
      <x:c r="W279" s="8" t="n">
        <x:f>P279-J279*K279/H279</x:f>
        <x:v>0</x:v>
      </x:c>
      <x:c r="X279" s="8" t="n">
        <x:f>V279/S279</x:f>
        <x:v>0.7415913626906793</x:v>
      </x:c>
      <x:c r="Y279" s="8" t="n">
        <x:f>0</x:f>
        <x:v>0</x:v>
      </x:c>
      <x:c r="Z279" s="8" t="n">
        <x:f>K279/H279-X279*I279/H279-Y279*J279/H279</x:f>
        <x:v>4.737735115092798</x:v>
      </x:c>
      <x:c r="AA279" s="8" t="n">
        <x:f>Z279+X279*Q279+Y279*R279</x:f>
        <x:v>5.23637071393268</x:v>
      </x:c>
    </x:row>
    <x:row r="280" ht="26" customHeight="1">
      <x:c r="A280" s="2"/>
      <x:c r="B280" s="2" t="n">
        <x:v>275</x:v>
      </x:c>
      <x:c r="C280" s="2" t="str">
        <x:v>Grooming / price_contribution</x:v>
      </x:c>
      <x:c r="D280" s="2" t="str">
        <x:v>Own history</x:v>
      </x:c>
      <x:c r="E280" s="7" t="n">
        <x:v>45657</x:v>
      </x:c>
      <x:c r="F280" s="2" t="str">
        <x:v>Origin</x:v>
      </x:c>
      <x:c r="G280" s="7" t="n">
        <x:v>45566</x:v>
      </x:c>
      <x:c r="H280" s="2" t="n">
        <x:v>12</x:v>
      </x:c>
      <x:c r="I280" s="8" t="n">
        <x:v>76</x:v>
      </x:c>
      <x:c r="J280" s="8" t="n">
        <x:v>0</x:v>
      </x:c>
      <x:c r="K280" s="8" t="n">
        <x:v>87</x:v>
      </x:c>
      <x:c r="L280" s="8" t="n">
        <x:v>596</x:v>
      </x:c>
      <x:c r="M280" s="8" t="n">
        <x:v>0</x:v>
      </x:c>
      <x:c r="N280" s="8" t="n">
        <x:v>0</x:v>
      </x:c>
      <x:c r="O280" s="8" t="n">
        <x:v>619</x:v>
      </x:c>
      <x:c r="P280" s="8" t="n">
        <x:v>0</x:v>
      </x:c>
      <x:c r="Q280" s="8" t="n">
        <x:v>5</x:v>
      </x:c>
      <x:c r="R280" s="8" t="n">
        <x:v>0</x:v>
      </x:c>
      <x:c r="S280" s="8" t="n">
        <x:f>L280-I280^2/H280</x:f>
        <x:v>114.66666666666669</x:v>
      </x:c>
      <x:c r="T280" s="8" t="n">
        <x:f>M280-J280^2/H280</x:f>
        <x:v>0</x:v>
      </x:c>
      <x:c r="U280" s="8" t="n">
        <x:f>N280-I280*J280/H280</x:f>
        <x:v>0</x:v>
      </x:c>
      <x:c r="V280" s="8" t="n">
        <x:f>O280-I280*K280/H280</x:f>
        <x:v>68</x:v>
      </x:c>
      <x:c r="W280" s="8" t="n">
        <x:f>P280-J280*K280/H280</x:f>
        <x:v>0</x:v>
      </x:c>
      <x:c r="X280" s="8" t="n">
        <x:f>V280/S280</x:f>
        <x:v>0.5930232558139534</x:v>
      </x:c>
      <x:c r="Y280" s="8" t="n">
        <x:f>0</x:f>
        <x:v>0</x:v>
      </x:c>
      <x:c r="Z280" s="8" t="n">
        <x:f>K280/H280-X280*I280/H280-Y280*J280/H280</x:f>
        <x:v>3.494186046511628</x:v>
      </x:c>
      <x:c r="AA280" s="8" t="n">
        <x:f>Z280+X280*Q280+Y280*R280</x:f>
        <x:v>6.459302325581396</x:v>
      </x:c>
    </x:row>
    <x:row r="281" ht="26" customHeight="1">
      <x:c r="A281" s="2"/>
      <x:c r="B281" s="2" t="n">
        <x:v>276</x:v>
      </x:c>
      <x:c r="C281" s="2" t="str">
        <x:v>Grooming / price_contribution</x:v>
      </x:c>
      <x:c r="D281" s="2" t="str">
        <x:v>Broad market</x:v>
      </x:c>
      <x:c r="E281" s="7" t="n">
        <x:v>45657</x:v>
      </x:c>
      <x:c r="F281" s="2" t="str">
        <x:v>Prior report</x:v>
      </x:c>
      <x:c r="G281" s="7" t="n">
        <x:v>45583</x:v>
      </x:c>
      <x:c r="H281" s="2" t="n">
        <x:v>15</x:v>
      </x:c>
      <x:c r="I281" s="8" t="n">
        <x:v>45.36969366335541</x:v>
      </x:c>
      <x:c r="J281" s="8" t="n">
        <x:v>0</x:v>
      </x:c>
      <x:c r="K281" s="8" t="n">
        <x:v>92</x:v>
      </x:c>
      <x:c r="L281" s="8" t="n">
        <x:v>256.4113037512379</x:v>
      </x:c>
      <x:c r="M281" s="8" t="n">
        <x:v>0</x:v>
      </x:c>
      <x:c r="N281" s="8" t="n">
        <x:v>0</x:v>
      </x:c>
      <x:c r="O281" s="8" t="n">
        <x:v>403.757163386737</x:v>
      </x:c>
      <x:c r="P281" s="8" t="n">
        <x:v>0</x:v>
      </x:c>
      <x:c r="Q281" s="8" t="n">
        <x:v>0.374021558034765</x:v>
      </x:c>
      <x:c r="R281" s="8" t="n">
        <x:v>0</x:v>
      </x:c>
      <x:c r="S281" s="8" t="n">
        <x:f>L281-I281^2/H281</x:f>
        <x:v>119.18403021079038</x:v>
      </x:c>
      <x:c r="T281" s="8" t="n">
        <x:f>M281-J281^2/H281</x:f>
        <x:v>0</x:v>
      </x:c>
      <x:c r="U281" s="8" t="n">
        <x:f>N281-I281*J281/H281</x:f>
        <x:v>0</x:v>
      </x:c>
      <x:c r="V281" s="8" t="n">
        <x:f>O281-I281*K281/H281</x:f>
        <x:v>125.48970891815713</x:v>
      </x:c>
      <x:c r="W281" s="8" t="n">
        <x:f>P281-J281*K281/H281</x:f>
        <x:v>0</x:v>
      </x:c>
      <x:c r="X281" s="8" t="n">
        <x:f>V281/S281</x:f>
        <x:v>1.0529070773677853</x:v>
      </x:c>
      <x:c r="Y281" s="8" t="n">
        <x:f>0</x:f>
        <x:v>0</x:v>
      </x:c>
      <x:c r="Z281" s="8" t="n">
        <x:f>K281/H281-X281*I281/H281-Y281*J281/H281</x:f>
        <x:v>2.948661896256315</x:v>
      </x:c>
      <x:c r="AA281" s="8" t="n">
        <x:f>Z281+X281*Q281+Y281*R281</x:f>
        <x:v>3.3424718417992447</x:v>
      </x:c>
    </x:row>
    <x:row r="282" ht="26" customHeight="1">
      <x:c r="A282" s="2"/>
      <x:c r="B282" s="2" t="n">
        <x:v>277</x:v>
      </x:c>
      <x:c r="C282" s="2" t="str">
        <x:v>Grooming / price_contribution</x:v>
      </x:c>
      <x:c r="D282" s="2" t="str">
        <x:v>Broad lag 1</x:v>
      </x:c>
      <x:c r="E282" s="7" t="n">
        <x:v>45657</x:v>
      </x:c>
      <x:c r="F282" s="2" t="str">
        <x:v>Prior report</x:v>
      </x:c>
      <x:c r="G282" s="7" t="n">
        <x:v>45583</x:v>
      </x:c>
      <x:c r="H282" s="2" t="n">
        <x:v>14</x:v>
      </x:c>
      <x:c r="I282" s="8" t="n">
        <x:v>44.99639254812769</x:v>
      </x:c>
      <x:c r="J282" s="8" t="n">
        <x:v>0</x:v>
      </x:c>
      <x:c r="K282" s="8" t="n">
        <x:v>90</x:v>
      </x:c>
      <x:c r="L282" s="8" t="n">
        <x:v>256.27195002860765</x:v>
      </x:c>
      <x:c r="M282" s="8" t="n">
        <x:v>0</x:v>
      </x:c>
      <x:c r="N282" s="8" t="n">
        <x:v>0</x:v>
      </x:c>
      <x:c r="O282" s="8" t="n">
        <x:v>388.97676366590747</x:v>
      </x:c>
      <x:c r="P282" s="8" t="n">
        <x:v>0</x:v>
      </x:c>
      <x:c r="Q282" s="8" t="n">
        <x:v>0.373301115227731</x:v>
      </x:c>
      <x:c r="R282" s="8" t="n">
        <x:v>0</x:v>
      </x:c>
      <x:c r="S282" s="8" t="n">
        <x:f>L282-I282^2/H282</x:f>
        <x:v>111.65228271823614</x:v>
      </x:c>
      <x:c r="T282" s="8" t="n">
        <x:f>M282-J282^2/H282</x:f>
        <x:v>0</x:v>
      </x:c>
      <x:c r="U282" s="8" t="n">
        <x:f>N282-I282*J282/H282</x:f>
        <x:v>0</x:v>
      </x:c>
      <x:c r="V282" s="8" t="n">
        <x:f>O282-I282*K282/H282</x:f>
        <x:v>99.71424014222947</x:v>
      </x:c>
      <x:c r="W282" s="8" t="n">
        <x:f>P282-J282*K282/H282</x:f>
        <x:v>0</x:v>
      </x:c>
      <x:c r="X282" s="8" t="n">
        <x:f>V282/S282</x:f>
        <x:v>0.893078383304233</x:v>
      </x:c>
      <x:c r="Y282" s="8" t="n">
        <x:f>0</x:f>
        <x:v>0</x:v>
      </x:c>
      <x:c r="Z282" s="8" t="n">
        <x:f>K282/H282-X282*I282/H282-Y282*J282/H282</x:f>
        <x:v>3.558192463471107</x:v>
      </x:c>
      <x:c r="AA282" s="8" t="n">
        <x:f>Z282+X282*Q282+Y282*R282</x:f>
        <x:v>3.891579619944356</x:v>
      </x:c>
    </x:row>
    <x:row r="283" ht="26" customHeight="1">
      <x:c r="A283" s="2"/>
      <x:c r="B283" s="2" t="n">
        <x:v>278</x:v>
      </x:c>
      <x:c r="C283" s="2" t="str">
        <x:v>Grooming / price_contribution</x:v>
      </x:c>
      <x:c r="D283" s="2" t="str">
        <x:v>Broad rolling 8</x:v>
      </x:c>
      <x:c r="E283" s="7" t="n">
        <x:v>45657</x:v>
      </x:c>
      <x:c r="F283" s="2" t="str">
        <x:v>Prior report</x:v>
      </x:c>
      <x:c r="G283" s="7" t="n">
        <x:v>45583</x:v>
      </x:c>
      <x:c r="H283" s="2" t="n">
        <x:v>8</x:v>
      </x:c>
      <x:c r="I283" s="8" t="n">
        <x:v>36.45732970523537</x:v>
      </x:c>
      <x:c r="J283" s="8" t="n">
        <x:v>0</x:v>
      </x:c>
      <x:c r="K283" s="8" t="n">
        <x:v>62</x:v>
      </x:c>
      <x:c r="L283" s="8" t="n">
        <x:v>212.36019511769817</x:v>
      </x:c>
      <x:c r="M283" s="8" t="n">
        <x:v>0</x:v>
      </x:c>
      <x:c r="N283" s="8" t="n">
        <x:v>0</x:v>
      </x:c>
      <x:c r="O283" s="8" t="n">
        <x:v>335.0073759369112</x:v>
      </x:c>
      <x:c r="P283" s="8" t="n">
        <x:v>0</x:v>
      </x:c>
      <x:c r="Q283" s="8" t="n">
        <x:v>0.374021558034765</x:v>
      </x:c>
      <x:c r="R283" s="8" t="n">
        <x:v>0</x:v>
      </x:c>
      <x:c r="S283" s="8" t="n">
        <x:f>L283-I283^2/H283</x:f>
        <x:v>46.21808396316854</x:v>
      </x:c>
      <x:c r="T283" s="8" t="n">
        <x:f>M283-J283^2/H283</x:f>
        <x:v>0</x:v>
      </x:c>
      <x:c r="U283" s="8" t="n">
        <x:f>N283-I283*J283/H283</x:f>
        <x:v>0</x:v>
      </x:c>
      <x:c r="V283" s="8" t="n">
        <x:f>O283-I283*K283/H283</x:f>
        <x:v>52.46307072133715</x:v>
      </x:c>
      <x:c r="W283" s="8" t="n">
        <x:f>P283-J283*K283/H283</x:f>
        <x:v>0</x:v>
      </x:c>
      <x:c r="X283" s="8" t="n">
        <x:f>V283/S283</x:f>
        <x:v>1.1351199838389077</x:v>
      </x:c>
      <x:c r="Y283" s="8" t="n">
        <x:f>0</x:f>
        <x:v>0</x:v>
      </x:c>
      <x:c r="Z283" s="8" t="n">
        <x:f>K283/H283-X283*I283/H283-Y283*J283/H283</x:f>
        <x:v>2.5770695617729382</x:v>
      </x:c>
      <x:c r="AA283" s="8" t="n">
        <x:f>Z283+X283*Q283+Y283*R283</x:f>
        <x:v>3.001628906684764</x:v>
      </x:c>
    </x:row>
    <x:row r="284" ht="26" customHeight="1">
      <x:c r="A284" s="2"/>
      <x:c r="B284" s="2" t="n">
        <x:v>279</x:v>
      </x:c>
      <x:c r="C284" s="2" t="str">
        <x:v>Grooming / price_contribution</x:v>
      </x:c>
      <x:c r="D284" s="2" t="str">
        <x:v>Own history</x:v>
      </x:c>
      <x:c r="E284" s="7" t="n">
        <x:v>45657</x:v>
      </x:c>
      <x:c r="F284" s="2" t="str">
        <x:v>Prior report</x:v>
      </x:c>
      <x:c r="G284" s="7" t="n">
        <x:v>45583</x:v>
      </x:c>
      <x:c r="H284" s="2" t="n">
        <x:v>14</x:v>
      </x:c>
      <x:c r="I284" s="8" t="n">
        <x:v>91</x:v>
      </x:c>
      <x:c r="J284" s="8" t="n">
        <x:v>0</x:v>
      </x:c>
      <x:c r="K284" s="8" t="n">
        <x:v>90</x:v>
      </x:c>
      <x:c r="L284" s="8" t="n">
        <x:v>721</x:v>
      </x:c>
      <x:c r="M284" s="8" t="n">
        <x:v>0</x:v>
      </x:c>
      <x:c r="N284" s="8" t="n">
        <x:v>0</x:v>
      </x:c>
      <x:c r="O284" s="8" t="n">
        <x:v>681</x:v>
      </x:c>
      <x:c r="P284" s="8" t="n">
        <x:v>0</x:v>
      </x:c>
      <x:c r="Q284" s="8" t="n">
        <x:v>1</x:v>
      </x:c>
      <x:c r="R284" s="8" t="n">
        <x:v>0</x:v>
      </x:c>
      <x:c r="S284" s="8" t="n">
        <x:f>L284-I284^2/H284</x:f>
        <x:v>129.5</x:v>
      </x:c>
      <x:c r="T284" s="8" t="n">
        <x:f>M284-J284^2/H284</x:f>
        <x:v>0</x:v>
      </x:c>
      <x:c r="U284" s="8" t="n">
        <x:f>N284-I284*J284/H284</x:f>
        <x:v>0</x:v>
      </x:c>
      <x:c r="V284" s="8" t="n">
        <x:f>O284-I284*K284/H284</x:f>
        <x:v>96</x:v>
      </x:c>
      <x:c r="W284" s="8" t="n">
        <x:f>P284-J284*K284/H284</x:f>
        <x:v>0</x:v>
      </x:c>
      <x:c r="X284" s="8" t="n">
        <x:f>V284/S284</x:f>
        <x:v>0.7413127413127413</x:v>
      </x:c>
      <x:c r="Y284" s="8" t="n">
        <x:f>0</x:f>
        <x:v>0</x:v>
      </x:c>
      <x:c r="Z284" s="8" t="n">
        <x:f>K284/H284-X284*I284/H284-Y284*J284/H284</x:f>
        <x:v>1.610038610038611</x:v>
      </x:c>
      <x:c r="AA284" s="8" t="n">
        <x:f>Z284+X284*Q284+Y284*R284</x:f>
        <x:v>2.351351351351352</x:v>
      </x:c>
    </x:row>
    <x:row r="285" ht="26" customHeight="1">
      <x:c r="A285" s="2"/>
      <x:c r="B285" s="2" t="n">
        <x:v>280</x:v>
      </x:c>
      <x:c r="C285" s="2" t="str">
        <x:v>Grooming / price_contribution</x:v>
      </x:c>
      <x:c r="D285" s="2" t="str">
        <x:v>Broad market</x:v>
      </x:c>
      <x:c r="E285" s="7" t="n">
        <x:v>45657</x:v>
      </x:c>
      <x:c r="F285" s="2" t="str">
        <x:v>Pre-earnings</x:v>
      </x:c>
      <x:c r="G285" s="7" t="n">
        <x:v>45678</x:v>
      </x:c>
      <x:c r="H285" s="2" t="n">
        <x:v>15</x:v>
      </x:c>
      <x:c r="I285" s="8" t="n">
        <x:v>45.36969366335541</x:v>
      </x:c>
      <x:c r="J285" s="8" t="n">
        <x:v>0</x:v>
      </x:c>
      <x:c r="K285" s="8" t="n">
        <x:v>92</x:v>
      </x:c>
      <x:c r="L285" s="8" t="n">
        <x:v>256.4113037512379</x:v>
      </x:c>
      <x:c r="M285" s="8" t="n">
        <x:v>0</x:v>
      </x:c>
      <x:c r="N285" s="8" t="n">
        <x:v>0</x:v>
      </x:c>
      <x:c r="O285" s="8" t="n">
        <x:v>403.757163386737</x:v>
      </x:c>
      <x:c r="P285" s="8" t="n">
        <x:v>0</x:v>
      </x:c>
      <x:c r="Q285" s="8" t="n">
        <x:v>0.341068456777438</x:v>
      </x:c>
      <x:c r="R285" s="8" t="n">
        <x:v>0</x:v>
      </x:c>
      <x:c r="S285" s="8" t="n">
        <x:f>L285-I285^2/H285</x:f>
        <x:v>119.18403021079038</x:v>
      </x:c>
      <x:c r="T285" s="8" t="n">
        <x:f>M285-J285^2/H285</x:f>
        <x:v>0</x:v>
      </x:c>
      <x:c r="U285" s="8" t="n">
        <x:f>N285-I285*J285/H285</x:f>
        <x:v>0</x:v>
      </x:c>
      <x:c r="V285" s="8" t="n">
        <x:f>O285-I285*K285/H285</x:f>
        <x:v>125.48970891815713</x:v>
      </x:c>
      <x:c r="W285" s="8" t="n">
        <x:f>P285-J285*K285/H285</x:f>
        <x:v>0</x:v>
      </x:c>
      <x:c r="X285" s="8" t="n">
        <x:f>V285/S285</x:f>
        <x:v>1.0529070773677853</x:v>
      </x:c>
      <x:c r="Y285" s="8" t="n">
        <x:f>0</x:f>
        <x:v>0</x:v>
      </x:c>
      <x:c r="Z285" s="8" t="n">
        <x:f>K285/H285-X285*I285/H285-Y285*J285/H285</x:f>
        <x:v>2.948661896256315</x:v>
      </x:c>
      <x:c r="AA285" s="8" t="n">
        <x:f>Z285+X285*Q285+Y285*R285</x:f>
        <x:v>3.307775288264188</x:v>
      </x:c>
    </x:row>
    <x:row r="286" ht="26" customHeight="1">
      <x:c r="A286" s="2"/>
      <x:c r="B286" s="2" t="n">
        <x:v>281</x:v>
      </x:c>
      <x:c r="C286" s="2" t="str">
        <x:v>Grooming / price_contribution</x:v>
      </x:c>
      <x:c r="D286" s="2" t="str">
        <x:v>Broad lag 1</x:v>
      </x:c>
      <x:c r="E286" s="7" t="n">
        <x:v>45657</x:v>
      </x:c>
      <x:c r="F286" s="2" t="str">
        <x:v>Pre-earnings</x:v>
      </x:c>
      <x:c r="G286" s="7" t="n">
        <x:v>45678</x:v>
      </x:c>
      <x:c r="H286" s="2" t="n">
        <x:v>14</x:v>
      </x:c>
      <x:c r="I286" s="8" t="n">
        <x:v>44.99639254812769</x:v>
      </x:c>
      <x:c r="J286" s="8" t="n">
        <x:v>0</x:v>
      </x:c>
      <x:c r="K286" s="8" t="n">
        <x:v>90</x:v>
      </x:c>
      <x:c r="L286" s="8" t="n">
        <x:v>256.27195002860765</x:v>
      </x:c>
      <x:c r="M286" s="8" t="n">
        <x:v>0</x:v>
      </x:c>
      <x:c r="N286" s="8" t="n">
        <x:v>0</x:v>
      </x:c>
      <x:c r="O286" s="8" t="n">
        <x:v>388.97676366590747</x:v>
      </x:c>
      <x:c r="P286" s="8" t="n">
        <x:v>0</x:v>
      </x:c>
      <x:c r="Q286" s="8" t="n">
        <x:v>0.373301115227731</x:v>
      </x:c>
      <x:c r="R286" s="8" t="n">
        <x:v>0</x:v>
      </x:c>
      <x:c r="S286" s="8" t="n">
        <x:f>L286-I286^2/H286</x:f>
        <x:v>111.65228271823614</x:v>
      </x:c>
      <x:c r="T286" s="8" t="n">
        <x:f>M286-J286^2/H286</x:f>
        <x:v>0</x:v>
      </x:c>
      <x:c r="U286" s="8" t="n">
        <x:f>N286-I286*J286/H286</x:f>
        <x:v>0</x:v>
      </x:c>
      <x:c r="V286" s="8" t="n">
        <x:f>O286-I286*K286/H286</x:f>
        <x:v>99.71424014222947</x:v>
      </x:c>
      <x:c r="W286" s="8" t="n">
        <x:f>P286-J286*K286/H286</x:f>
        <x:v>0</x:v>
      </x:c>
      <x:c r="X286" s="8" t="n">
        <x:f>V286/S286</x:f>
        <x:v>0.893078383304233</x:v>
      </x:c>
      <x:c r="Y286" s="8" t="n">
        <x:f>0</x:f>
        <x:v>0</x:v>
      </x:c>
      <x:c r="Z286" s="8" t="n">
        <x:f>K286/H286-X286*I286/H286-Y286*J286/H286</x:f>
        <x:v>3.558192463471107</x:v>
      </x:c>
      <x:c r="AA286" s="8" t="n">
        <x:f>Z286+X286*Q286+Y286*R286</x:f>
        <x:v>3.891579619944356</x:v>
      </x:c>
    </x:row>
    <x:row r="287" ht="26" customHeight="1">
      <x:c r="A287" s="2"/>
      <x:c r="B287" s="2" t="n">
        <x:v>282</x:v>
      </x:c>
      <x:c r="C287" s="2" t="str">
        <x:v>Grooming / price_contribution</x:v>
      </x:c>
      <x:c r="D287" s="2" t="str">
        <x:v>Broad rolling 8</x:v>
      </x:c>
      <x:c r="E287" s="7" t="n">
        <x:v>45657</x:v>
      </x:c>
      <x:c r="F287" s="2" t="str">
        <x:v>Pre-earnings</x:v>
      </x:c>
      <x:c r="G287" s="7" t="n">
        <x:v>45678</x:v>
      </x:c>
      <x:c r="H287" s="2" t="n">
        <x:v>8</x:v>
      </x:c>
      <x:c r="I287" s="8" t="n">
        <x:v>36.45732970523537</x:v>
      </x:c>
      <x:c r="J287" s="8" t="n">
        <x:v>0</x:v>
      </x:c>
      <x:c r="K287" s="8" t="n">
        <x:v>62</x:v>
      </x:c>
      <x:c r="L287" s="8" t="n">
        <x:v>212.36019511769817</x:v>
      </x:c>
      <x:c r="M287" s="8" t="n">
        <x:v>0</x:v>
      </x:c>
      <x:c r="N287" s="8" t="n">
        <x:v>0</x:v>
      </x:c>
      <x:c r="O287" s="8" t="n">
        <x:v>335.0073759369112</x:v>
      </x:c>
      <x:c r="P287" s="8" t="n">
        <x:v>0</x:v>
      </x:c>
      <x:c r="Q287" s="8" t="n">
        <x:v>0.341068456777438</x:v>
      </x:c>
      <x:c r="R287" s="8" t="n">
        <x:v>0</x:v>
      </x:c>
      <x:c r="S287" s="8" t="n">
        <x:f>L287-I287^2/H287</x:f>
        <x:v>46.21808396316854</x:v>
      </x:c>
      <x:c r="T287" s="8" t="n">
        <x:f>M287-J287^2/H287</x:f>
        <x:v>0</x:v>
      </x:c>
      <x:c r="U287" s="8" t="n">
        <x:f>N287-I287*J287/H287</x:f>
        <x:v>0</x:v>
      </x:c>
      <x:c r="V287" s="8" t="n">
        <x:f>O287-I287*K287/H287</x:f>
        <x:v>52.46307072133715</x:v>
      </x:c>
      <x:c r="W287" s="8" t="n">
        <x:f>P287-J287*K287/H287</x:f>
        <x:v>0</x:v>
      </x:c>
      <x:c r="X287" s="8" t="n">
        <x:f>V287/S287</x:f>
        <x:v>1.1351199838389077</x:v>
      </x:c>
      <x:c r="Y287" s="8" t="n">
        <x:f>0</x:f>
        <x:v>0</x:v>
      </x:c>
      <x:c r="Z287" s="8" t="n">
        <x:f>K287/H287-X287*I287/H287-Y287*J287/H287</x:f>
        <x:v>2.5770695617729382</x:v>
      </x:c>
      <x:c r="AA287" s="8" t="n">
        <x:f>Z287+X287*Q287+Y287*R287</x:f>
        <x:v>2.9642231829181047</x:v>
      </x:c>
    </x:row>
    <x:row r="288" ht="26" customHeight="1">
      <x:c r="A288" s="2"/>
      <x:c r="B288" s="2" t="n">
        <x:v>283</x:v>
      </x:c>
      <x:c r="C288" s="2" t="str">
        <x:v>Grooming / price_contribution</x:v>
      </x:c>
      <x:c r="D288" s="2" t="str">
        <x:v>Own history</x:v>
      </x:c>
      <x:c r="E288" s="7" t="n">
        <x:v>45657</x:v>
      </x:c>
      <x:c r="F288" s="2" t="str">
        <x:v>Pre-earnings</x:v>
      </x:c>
      <x:c r="G288" s="7" t="n">
        <x:v>45678</x:v>
      </x:c>
      <x:c r="H288" s="2" t="n">
        <x:v>14</x:v>
      </x:c>
      <x:c r="I288" s="8" t="n">
        <x:v>91</x:v>
      </x:c>
      <x:c r="J288" s="8" t="n">
        <x:v>0</x:v>
      </x:c>
      <x:c r="K288" s="8" t="n">
        <x:v>90</x:v>
      </x:c>
      <x:c r="L288" s="8" t="n">
        <x:v>721</x:v>
      </x:c>
      <x:c r="M288" s="8" t="n">
        <x:v>0</x:v>
      </x:c>
      <x:c r="N288" s="8" t="n">
        <x:v>0</x:v>
      </x:c>
      <x:c r="O288" s="8" t="n">
        <x:v>681</x:v>
      </x:c>
      <x:c r="P288" s="8" t="n">
        <x:v>0</x:v>
      </x:c>
      <x:c r="Q288" s="8" t="n">
        <x:v>1</x:v>
      </x:c>
      <x:c r="R288" s="8" t="n">
        <x:v>0</x:v>
      </x:c>
      <x:c r="S288" s="8" t="n">
        <x:f>L288-I288^2/H288</x:f>
        <x:v>129.5</x:v>
      </x:c>
      <x:c r="T288" s="8" t="n">
        <x:f>M288-J288^2/H288</x:f>
        <x:v>0</x:v>
      </x:c>
      <x:c r="U288" s="8" t="n">
        <x:f>N288-I288*J288/H288</x:f>
        <x:v>0</x:v>
      </x:c>
      <x:c r="V288" s="8" t="n">
        <x:f>O288-I288*K288/H288</x:f>
        <x:v>96</x:v>
      </x:c>
      <x:c r="W288" s="8" t="n">
        <x:f>P288-J288*K288/H288</x:f>
        <x:v>0</x:v>
      </x:c>
      <x:c r="X288" s="8" t="n">
        <x:f>V288/S288</x:f>
        <x:v>0.7413127413127413</x:v>
      </x:c>
      <x:c r="Y288" s="8" t="n">
        <x:f>0</x:f>
        <x:v>0</x:v>
      </x:c>
      <x:c r="Z288" s="8" t="n">
        <x:f>K288/H288-X288*I288/H288-Y288*J288/H288</x:f>
        <x:v>1.610038610038611</x:v>
      </x:c>
      <x:c r="AA288" s="8" t="n">
        <x:f>Z288+X288*Q288+Y288*R288</x:f>
        <x:v>2.351351351351352</x:v>
      </x:c>
    </x:row>
    <x:row r="289" ht="26" customHeight="1">
      <x:c r="A289" s="2"/>
      <x:c r="B289" s="2" t="n">
        <x:v>284</x:v>
      </x:c>
      <x:c r="C289" s="2" t="str">
        <x:v>Grooming / price_contribution</x:v>
      </x:c>
      <x:c r="D289" s="2" t="str">
        <x:v>Broad market</x:v>
      </x:c>
      <x:c r="E289" s="7" t="n">
        <x:v>45747</x:v>
      </x:c>
      <x:c r="F289" s="2" t="str">
        <x:v>Origin</x:v>
      </x:c>
      <x:c r="G289" s="7" t="n">
        <x:v>45658</x:v>
      </x:c>
      <x:c r="H289" s="2" t="n">
        <x:v>15</x:v>
      </x:c>
      <x:c r="I289" s="8" t="n">
        <x:v>45.36969366335541</x:v>
      </x:c>
      <x:c r="J289" s="8" t="n">
        <x:v>0</x:v>
      </x:c>
      <x:c r="K289" s="8" t="n">
        <x:v>92</x:v>
      </x:c>
      <x:c r="L289" s="8" t="n">
        <x:v>256.4113037512379</x:v>
      </x:c>
      <x:c r="M289" s="8" t="n">
        <x:v>0</x:v>
      </x:c>
      <x:c r="N289" s="8" t="n">
        <x:v>0</x:v>
      </x:c>
      <x:c r="O289" s="8" t="n">
        <x:v>403.757163386737</x:v>
      </x:c>
      <x:c r="P289" s="8" t="n">
        <x:v>0</x:v>
      </x:c>
      <x:c r="Q289" s="8" t="n">
        <x:v>0.21719146092866737</x:v>
      </x:c>
      <x:c r="R289" s="8" t="n">
        <x:v>0</x:v>
      </x:c>
      <x:c r="S289" s="8" t="n">
        <x:f>L289-I289^2/H289</x:f>
        <x:v>119.18403021079038</x:v>
      </x:c>
      <x:c r="T289" s="8" t="n">
        <x:f>M289-J289^2/H289</x:f>
        <x:v>0</x:v>
      </x:c>
      <x:c r="U289" s="8" t="n">
        <x:f>N289-I289*J289/H289</x:f>
        <x:v>0</x:v>
      </x:c>
      <x:c r="V289" s="8" t="n">
        <x:f>O289-I289*K289/H289</x:f>
        <x:v>125.48970891815713</x:v>
      </x:c>
      <x:c r="W289" s="8" t="n">
        <x:f>P289-J289*K289/H289</x:f>
        <x:v>0</x:v>
      </x:c>
      <x:c r="X289" s="8" t="n">
        <x:f>V289/S289</x:f>
        <x:v>1.0529070773677853</x:v>
      </x:c>
      <x:c r="Y289" s="8" t="n">
        <x:f>0</x:f>
        <x:v>0</x:v>
      </x:c>
      <x:c r="Z289" s="8" t="n">
        <x:f>K289/H289-X289*I289/H289-Y289*J289/H289</x:f>
        <x:v>2.948661896256315</x:v>
      </x:c>
      <x:c r="AA289" s="8" t="n">
        <x:f>Z289+X289*Q289+Y289*R289</x:f>
        <x:v>3.1773443226119578</x:v>
      </x:c>
    </x:row>
    <x:row r="290" ht="26" customHeight="1">
      <x:c r="A290" s="2"/>
      <x:c r="B290" s="2" t="n">
        <x:v>285</x:v>
      </x:c>
      <x:c r="C290" s="2" t="str">
        <x:v>Grooming / price_contribution</x:v>
      </x:c>
      <x:c r="D290" s="2" t="str">
        <x:v>Broad rolling 8</x:v>
      </x:c>
      <x:c r="E290" s="7" t="n">
        <x:v>45747</x:v>
      </x:c>
      <x:c r="F290" s="2" t="str">
        <x:v>Origin</x:v>
      </x:c>
      <x:c r="G290" s="7" t="n">
        <x:v>45658</x:v>
      </x:c>
      <x:c r="H290" s="2" t="n">
        <x:v>8</x:v>
      </x:c>
      <x:c r="I290" s="8" t="n">
        <x:v>36.45732970523537</x:v>
      </x:c>
      <x:c r="J290" s="8" t="n">
        <x:v>0</x:v>
      </x:c>
      <x:c r="K290" s="8" t="n">
        <x:v>62</x:v>
      </x:c>
      <x:c r="L290" s="8" t="n">
        <x:v>212.36019511769817</x:v>
      </x:c>
      <x:c r="M290" s="8" t="n">
        <x:v>0</x:v>
      </x:c>
      <x:c r="N290" s="8" t="n">
        <x:v>0</x:v>
      </x:c>
      <x:c r="O290" s="8" t="n">
        <x:v>335.0073759369112</x:v>
      </x:c>
      <x:c r="P290" s="8" t="n">
        <x:v>0</x:v>
      </x:c>
      <x:c r="Q290" s="8" t="n">
        <x:v>0.21719146092866737</x:v>
      </x:c>
      <x:c r="R290" s="8" t="n">
        <x:v>0</x:v>
      </x:c>
      <x:c r="S290" s="8" t="n">
        <x:f>L290-I290^2/H290</x:f>
        <x:v>46.21808396316854</x:v>
      </x:c>
      <x:c r="T290" s="8" t="n">
        <x:f>M290-J290^2/H290</x:f>
        <x:v>0</x:v>
      </x:c>
      <x:c r="U290" s="8" t="n">
        <x:f>N290-I290*J290/H290</x:f>
        <x:v>0</x:v>
      </x:c>
      <x:c r="V290" s="8" t="n">
        <x:f>O290-I290*K290/H290</x:f>
        <x:v>52.46307072133715</x:v>
      </x:c>
      <x:c r="W290" s="8" t="n">
        <x:f>P290-J290*K290/H290</x:f>
        <x:v>0</x:v>
      </x:c>
      <x:c r="X290" s="8" t="n">
        <x:f>V290/S290</x:f>
        <x:v>1.1351199838389077</x:v>
      </x:c>
      <x:c r="Y290" s="8" t="n">
        <x:f>0</x:f>
        <x:v>0</x:v>
      </x:c>
      <x:c r="Z290" s="8" t="n">
        <x:f>K290/H290-X290*I290/H290-Y290*J290/H290</x:f>
        <x:v>2.5770695617729382</x:v>
      </x:c>
      <x:c r="AA290" s="8" t="n">
        <x:f>Z290+X290*Q290+Y290*R290</x:f>
        <x:v>2.823607929392236</x:v>
      </x:c>
    </x:row>
    <x:row r="291" ht="26" customHeight="1">
      <x:c r="A291" s="2"/>
      <x:c r="B291" s="2" t="n">
        <x:v>286</x:v>
      </x:c>
      <x:c r="C291" s="2" t="str">
        <x:v>Grooming / price_contribution</x:v>
      </x:c>
      <x:c r="D291" s="2" t="str">
        <x:v>Own history</x:v>
      </x:c>
      <x:c r="E291" s="7" t="n">
        <x:v>45747</x:v>
      </x:c>
      <x:c r="F291" s="2" t="str">
        <x:v>Origin</x:v>
      </x:c>
      <x:c r="G291" s="7" t="n">
        <x:v>45658</x:v>
      </x:c>
      <x:c r="H291" s="2" t="n">
        <x:v>13</x:v>
      </x:c>
      <x:c r="I291" s="8" t="n">
        <x:v>86</x:v>
      </x:c>
      <x:c r="J291" s="8" t="n">
        <x:v>0</x:v>
      </x:c>
      <x:c r="K291" s="8" t="n">
        <x:v>88</x:v>
      </x:c>
      <x:c r="L291" s="8" t="n">
        <x:v>696</x:v>
      </x:c>
      <x:c r="M291" s="8" t="n">
        <x:v>0</x:v>
      </x:c>
      <x:c r="N291" s="8" t="n">
        <x:v>0</x:v>
      </x:c>
      <x:c r="O291" s="8" t="n">
        <x:v>629</x:v>
      </x:c>
      <x:c r="P291" s="8" t="n">
        <x:v>0</x:v>
      </x:c>
      <x:c r="Q291" s="8" t="n">
        <x:v>1</x:v>
      </x:c>
      <x:c r="R291" s="8" t="n">
        <x:v>0</x:v>
      </x:c>
      <x:c r="S291" s="8" t="n">
        <x:f>L291-I291^2/H291</x:f>
        <x:v>127.0769230769231</x:v>
      </x:c>
      <x:c r="T291" s="8" t="n">
        <x:f>M291-J291^2/H291</x:f>
        <x:v>0</x:v>
      </x:c>
      <x:c r="U291" s="8" t="n">
        <x:f>N291-I291*J291/H291</x:f>
        <x:v>0</x:v>
      </x:c>
      <x:c r="V291" s="8" t="n">
        <x:f>O291-I291*K291/H291</x:f>
        <x:v>46.84615384615381</x:v>
      </x:c>
      <x:c r="W291" s="8" t="n">
        <x:f>P291-J291*K291/H291</x:f>
        <x:v>0</x:v>
      </x:c>
      <x:c r="X291" s="8" t="n">
        <x:f>V291/S291</x:f>
        <x:v>0.36864406779660985</x:v>
      </x:c>
      <x:c r="Y291" s="8" t="n">
        <x:f>0</x:f>
        <x:v>0</x:v>
      </x:c>
      <x:c r="Z291" s="8" t="n">
        <x:f>K291/H291-X291*I291/H291-Y291*J291/H291</x:f>
        <x:v>4.330508474576273</x:v>
      </x:c>
      <x:c r="AA291" s="8" t="n">
        <x:f>Z291+X291*Q291+Y291*R291</x:f>
        <x:v>4.699152542372883</x:v>
      </x:c>
    </x:row>
    <x:row r="292" ht="26" customHeight="1">
      <x:c r="A292" s="2"/>
      <x:c r="B292" s="2" t="n">
        <x:v>287</x:v>
      </x:c>
      <x:c r="C292" s="2" t="str">
        <x:v>Grooming / price_contribution</x:v>
      </x:c>
      <x:c r="D292" s="2" t="str">
        <x:v>Broad market</x:v>
      </x:c>
      <x:c r="E292" s="7" t="n">
        <x:v>45747</x:v>
      </x:c>
      <x:c r="F292" s="2" t="str">
        <x:v>Prior report</x:v>
      </x:c>
      <x:c r="G292" s="7" t="n">
        <x:v>45679</x:v>
      </x:c>
      <x:c r="H292" s="2" t="n">
        <x:v>16</x:v>
      </x:c>
      <x:c r="I292" s="8" t="n">
        <x:v>45.710762120132856</x:v>
      </x:c>
      <x:c r="J292" s="8" t="n">
        <x:v>0</x:v>
      </x:c>
      <x:c r="K292" s="8" t="n">
        <x:v>93</x:v>
      </x:c>
      <x:c r="L292" s="8" t="n">
        <x:v>256.52763144344647</x:v>
      </x:c>
      <x:c r="M292" s="8" t="n">
        <x:v>0</x:v>
      </x:c>
      <x:c r="N292" s="8" t="n">
        <x:v>0</x:v>
      </x:c>
      <x:c r="O292" s="8" t="n">
        <x:v>404.09823184351444</x:v>
      </x:c>
      <x:c r="P292" s="8" t="n">
        <x:v>0</x:v>
      </x:c>
      <x:c r="Q292" s="8" t="n">
        <x:v>0.34236788098596094</x:v>
      </x:c>
      <x:c r="R292" s="8" t="n">
        <x:v>0</x:v>
      </x:c>
      <x:c r="S292" s="8" t="n">
        <x:f>L292-I292^2/H292</x:f>
        <x:v>125.93552059323568</x:v>
      </x:c>
      <x:c r="T292" s="8" t="n">
        <x:f>M292-J292^2/H292</x:f>
        <x:v>0</x:v>
      </x:c>
      <x:c r="U292" s="8" t="n">
        <x:f>N292-I292*J292/H292</x:f>
        <x:v>0</x:v>
      </x:c>
      <x:c r="V292" s="8" t="n">
        <x:f>O292-I292*K292/H292</x:f>
        <x:v>138.40442702024222</x:v>
      </x:c>
      <x:c r="W292" s="8" t="n">
        <x:f>P292-J292*K292/H292</x:f>
        <x:v>0</x:v>
      </x:c>
      <x:c r="X292" s="8" t="n">
        <x:f>V292/S292</x:f>
        <x:v>1.0990102424500263</x:v>
      </x:c>
      <x:c r="Y292" s="8" t="n">
        <x:f>0</x:f>
        <x:v>0</x:v>
      </x:c>
      <x:c r="Z292" s="8" t="n">
        <x:f>K292/H292-X292*I292/H292-Y292*J292/H292</x:f>
        <x:v>2.672712764986082</x:v>
      </x:c>
      <x:c r="AA292" s="8" t="n">
        <x:f>Z292+X292*Q292+Y292*R292</x:f>
        <x:v>3.0489785728755643</x:v>
      </x:c>
    </x:row>
    <x:row r="293" ht="26" customHeight="1">
      <x:c r="A293" s="2"/>
      <x:c r="B293" s="2" t="n">
        <x:v>288</x:v>
      </x:c>
      <x:c r="C293" s="2" t="str">
        <x:v>Grooming / price_contribution</x:v>
      </x:c>
      <x:c r="D293" s="2" t="str">
        <x:v>Broad lag 1</x:v>
      </x:c>
      <x:c r="E293" s="7" t="n">
        <x:v>45747</x:v>
      </x:c>
      <x:c r="F293" s="2" t="str">
        <x:v>Prior report</x:v>
      </x:c>
      <x:c r="G293" s="7" t="n">
        <x:v>45679</x:v>
      </x:c>
      <x:c r="H293" s="2" t="n">
        <x:v>15</x:v>
      </x:c>
      <x:c r="I293" s="8" t="n">
        <x:v>45.36969366335541</x:v>
      </x:c>
      <x:c r="J293" s="8" t="n">
        <x:v>0</x:v>
      </x:c>
      <x:c r="K293" s="8" t="n">
        <x:v>91</x:v>
      </x:c>
      <x:c r="L293" s="8" t="n">
        <x:v>256.4113037512379</x:v>
      </x:c>
      <x:c r="M293" s="8" t="n">
        <x:v>0</x:v>
      </x:c>
      <x:c r="N293" s="8" t="n">
        <x:v>0</x:v>
      </x:c>
      <x:c r="O293" s="8" t="n">
        <x:v>389.35006478113525</x:v>
      </x:c>
      <x:c r="P293" s="8" t="n">
        <x:v>0</x:v>
      </x:c>
      <x:c r="Q293" s="8" t="n">
        <x:v>0.341068456777438</x:v>
      </x:c>
      <x:c r="R293" s="8" t="n">
        <x:v>0</x:v>
      </x:c>
      <x:c r="S293" s="8" t="n">
        <x:f>L293-I293^2/H293</x:f>
        <x:v>119.18403021079038</x:v>
      </x:c>
      <x:c r="T293" s="8" t="n">
        <x:f>M293-J293^2/H293</x:f>
        <x:v>0</x:v>
      </x:c>
      <x:c r="U293" s="8" t="n">
        <x:f>N293-I293*J293/H293</x:f>
        <x:v>0</x:v>
      </x:c>
      <x:c r="V293" s="8" t="n">
        <x:f>O293-I293*K293/H293</x:f>
        <x:v>114.10725655677908</x:v>
      </x:c>
      <x:c r="W293" s="8" t="n">
        <x:f>P293-J293*K293/H293</x:f>
        <x:v>0</x:v>
      </x:c>
      <x:c r="X293" s="8" t="n">
        <x:f>V293/S293</x:f>
        <x:v>0.9574039101964209</x:v>
      </x:c>
      <x:c r="Y293" s="8" t="n">
        <x:f>0</x:f>
        <x:v>0</x:v>
      </x:c>
      <x:c r="Z293" s="8" t="n">
        <x:f>K293/H293-X293*I293/H293-Y293*J293/H293</x:f>
        <x:v>3.170858525485983</x:v>
      </x:c>
      <x:c r="AA293" s="8" t="n">
        <x:f>Z293+X293*Q293+Y293*R293</x:f>
        <x:v>3.4973987996493614</x:v>
      </x:c>
    </x:row>
    <x:row r="294" ht="26" customHeight="1">
      <x:c r="A294" s="2"/>
      <x:c r="B294" s="2" t="n">
        <x:v>289</x:v>
      </x:c>
      <x:c r="C294" s="2" t="str">
        <x:v>Grooming / price_contribution</x:v>
      </x:c>
      <x:c r="D294" s="2" t="str">
        <x:v>Broad rolling 8</x:v>
      </x:c>
      <x:c r="E294" s="7" t="n">
        <x:v>45747</x:v>
      </x:c>
      <x:c r="F294" s="2" t="str">
        <x:v>Prior report</x:v>
      </x:c>
      <x:c r="G294" s="7" t="n">
        <x:v>45679</x:v>
      </x:c>
      <x:c r="H294" s="2" t="n">
        <x:v>8</x:v>
      </x:c>
      <x:c r="I294" s="8" t="n">
        <x:v>29.542364704460724</x:v>
      </x:c>
      <x:c r="J294" s="8" t="n">
        <x:v>0</x:v>
      </x:c>
      <x:c r="K294" s="8" t="n">
        <x:v>52</x:v>
      </x:c>
      <x:c r="L294" s="8" t="n">
        <x:v>159.82650127279152</x:v>
      </x:c>
      <x:c r="M294" s="8" t="n">
        <x:v>0</x:v>
      </x:c>
      <x:c r="N294" s="8" t="n">
        <x:v>0</x:v>
      </x:c>
      <x:c r="O294" s="8" t="n">
        <x:v>255.53207636061578</x:v>
      </x:c>
      <x:c r="P294" s="8" t="n">
        <x:v>0</x:v>
      </x:c>
      <x:c r="Q294" s="8" t="n">
        <x:v>0.34236788098596094</x:v>
      </x:c>
      <x:c r="R294" s="8" t="n">
        <x:v>0</x:v>
      </x:c>
      <x:c r="S294" s="8" t="n">
        <x:f>L294-I294^2/H294</x:f>
        <x:v>50.73258723137067</x:v>
      </x:c>
      <x:c r="T294" s="8" t="n">
        <x:f>M294-J294^2/H294</x:f>
        <x:v>0</x:v>
      </x:c>
      <x:c r="U294" s="8" t="n">
        <x:f>N294-I294*J294/H294</x:f>
        <x:v>0</x:v>
      </x:c>
      <x:c r="V294" s="8" t="n">
        <x:f>O294-I294*K294/H294</x:f>
        <x:v>63.506705781621065</x:v>
      </x:c>
      <x:c r="W294" s="8" t="n">
        <x:f>P294-J294*K294/H294</x:f>
        <x:v>0</x:v>
      </x:c>
      <x:c r="X294" s="8" t="n">
        <x:f>V294/S294</x:f>
        <x:v>1.25179316189795</x:v>
      </x:c>
      <x:c r="Y294" s="8" t="n">
        <x:f>0</x:f>
        <x:v>0</x:v>
      </x:c>
      <x:c r="Z294" s="8" t="n">
        <x:f>K294/H294-X294*I294/H294-Y294*J294/H294</x:f>
        <x:v>1.8773837345825886</x:v>
      </x:c>
      <x:c r="AA294" s="8" t="n">
        <x:f>Z294+X294*Q294+Y294*R294</x:f>
        <x:v>2.3059575068543054</x:v>
      </x:c>
    </x:row>
    <x:row r="295" ht="26" customHeight="1">
      <x:c r="A295" s="2"/>
      <x:c r="B295" s="2" t="n">
        <x:v>290</x:v>
      </x:c>
      <x:c r="C295" s="2" t="str">
        <x:v>Grooming / price_contribution</x:v>
      </x:c>
      <x:c r="D295" s="2" t="str">
        <x:v>Own history</x:v>
      </x:c>
      <x:c r="E295" s="7" t="n">
        <x:v>45747</x:v>
      </x:c>
      <x:c r="F295" s="2" t="str">
        <x:v>Prior report</x:v>
      </x:c>
      <x:c r="G295" s="7" t="n">
        <x:v>45679</x:v>
      </x:c>
      <x:c r="H295" s="2" t="n">
        <x:v>15</x:v>
      </x:c>
      <x:c r="I295" s="8" t="n">
        <x:v>92</x:v>
      </x:c>
      <x:c r="J295" s="8" t="n">
        <x:v>0</x:v>
      </x:c>
      <x:c r="K295" s="8" t="n">
        <x:v>91</x:v>
      </x:c>
      <x:c r="L295" s="8" t="n">
        <x:v>722</x:v>
      </x:c>
      <x:c r="M295" s="8" t="n">
        <x:v>0</x:v>
      </x:c>
      <x:c r="N295" s="8" t="n">
        <x:v>0</x:v>
      </x:c>
      <x:c r="O295" s="8" t="n">
        <x:v>682</x:v>
      </x:c>
      <x:c r="P295" s="8" t="n">
        <x:v>0</x:v>
      </x:c>
      <x:c r="Q295" s="8" t="n">
        <x:v>1</x:v>
      </x:c>
      <x:c r="R295" s="8" t="n">
        <x:v>0</x:v>
      </x:c>
      <x:c r="S295" s="8" t="n">
        <x:f>L295-I295^2/H295</x:f>
        <x:v>157.73333333333335</x:v>
      </x:c>
      <x:c r="T295" s="8" t="n">
        <x:f>M295-J295^2/H295</x:f>
        <x:v>0</x:v>
      </x:c>
      <x:c r="U295" s="8" t="n">
        <x:f>N295-I295*J295/H295</x:f>
        <x:v>0</x:v>
      </x:c>
      <x:c r="V295" s="8" t="n">
        <x:f>O295-I295*K295/H295</x:f>
        <x:v>123.86666666666667</x:v>
      </x:c>
      <x:c r="W295" s="8" t="n">
        <x:f>P295-J295*K295/H295</x:f>
        <x:v>0</x:v>
      </x:c>
      <x:c r="X295" s="8" t="n">
        <x:f>V295/S295</x:f>
        <x:v>0.7852916314454775</x:v>
      </x:c>
      <x:c r="Y295" s="8" t="n">
        <x:f>0</x:f>
        <x:v>0</x:v>
      </x:c>
      <x:c r="Z295" s="8" t="n">
        <x:f>K295/H295-X295*I295/H295-Y295*J295/H295</x:f>
        <x:v>1.2502113271344042</x:v>
      </x:c>
      <x:c r="AA295" s="8" t="n">
        <x:f>Z295+X295*Q295+Y295*R295</x:f>
        <x:v>2.035502958579882</x:v>
      </x:c>
    </x:row>
    <x:row r="296" ht="26" customHeight="1">
      <x:c r="A296" s="2"/>
      <x:c r="B296" s="2" t="n">
        <x:v>291</x:v>
      </x:c>
      <x:c r="C296" s="2" t="str">
        <x:v>Grooming / price_contribution</x:v>
      </x:c>
      <x:c r="D296" s="2" t="str">
        <x:v>Broad market</x:v>
      </x:c>
      <x:c r="E296" s="7" t="n">
        <x:v>45747</x:v>
      </x:c>
      <x:c r="F296" s="2" t="str">
        <x:v>Pre-earnings</x:v>
      </x:c>
      <x:c r="G296" s="7" t="n">
        <x:v>45770</x:v>
      </x:c>
      <x:c r="H296" s="2" t="n">
        <x:v>16</x:v>
      </x:c>
      <x:c r="I296" s="8" t="n">
        <x:v>45.710762120132856</x:v>
      </x:c>
      <x:c r="J296" s="8" t="n">
        <x:v>0</x:v>
      </x:c>
      <x:c r="K296" s="8" t="n">
        <x:v>93</x:v>
      </x:c>
      <x:c r="L296" s="8" t="n">
        <x:v>256.52763144344647</x:v>
      </x:c>
      <x:c r="M296" s="8" t="n">
        <x:v>0</x:v>
      </x:c>
      <x:c r="N296" s="8" t="n">
        <x:v>0</x:v>
      </x:c>
      <x:c r="O296" s="8" t="n">
        <x:v>404.09823184351444</x:v>
      </x:c>
      <x:c r="P296" s="8" t="n">
        <x:v>0</x:v>
      </x:c>
      <x:c r="Q296" s="8" t="n">
        <x:v>0.23594619830289432</x:v>
      </x:c>
      <x:c r="R296" s="8" t="n">
        <x:v>0</x:v>
      </x:c>
      <x:c r="S296" s="8" t="n">
        <x:f>L296-I296^2/H296</x:f>
        <x:v>125.93552059323568</x:v>
      </x:c>
      <x:c r="T296" s="8" t="n">
        <x:f>M296-J296^2/H296</x:f>
        <x:v>0</x:v>
      </x:c>
      <x:c r="U296" s="8" t="n">
        <x:f>N296-I296*J296/H296</x:f>
        <x:v>0</x:v>
      </x:c>
      <x:c r="V296" s="8" t="n">
        <x:f>O296-I296*K296/H296</x:f>
        <x:v>138.40442702024222</x:v>
      </x:c>
      <x:c r="W296" s="8" t="n">
        <x:f>P296-J296*K296/H296</x:f>
        <x:v>0</x:v>
      </x:c>
      <x:c r="X296" s="8" t="n">
        <x:f>V296/S296</x:f>
        <x:v>1.0990102424500263</x:v>
      </x:c>
      <x:c r="Y296" s="8" t="n">
        <x:f>0</x:f>
        <x:v>0</x:v>
      </x:c>
      <x:c r="Z296" s="8" t="n">
        <x:f>K296/H296-X296*I296/H296-Y296*J296/H296</x:f>
        <x:v>2.672712764986082</x:v>
      </x:c>
      <x:c r="AA296" s="8" t="n">
        <x:f>Z296+X296*Q296+Y296*R296</x:f>
        <x:v>2.932020053588108</x:v>
      </x:c>
    </x:row>
    <x:row r="297" ht="26" customHeight="1">
      <x:c r="A297" s="2"/>
      <x:c r="B297" s="2" t="n">
        <x:v>292</x:v>
      </x:c>
      <x:c r="C297" s="2" t="str">
        <x:v>Grooming / price_contribution</x:v>
      </x:c>
      <x:c r="D297" s="2" t="str">
        <x:v>Broad lag 1</x:v>
      </x:c>
      <x:c r="E297" s="7" t="n">
        <x:v>45747</x:v>
      </x:c>
      <x:c r="F297" s="2" t="str">
        <x:v>Pre-earnings</x:v>
      </x:c>
      <x:c r="G297" s="7" t="n">
        <x:v>45770</x:v>
      </x:c>
      <x:c r="H297" s="2" t="n">
        <x:v>15</x:v>
      </x:c>
      <x:c r="I297" s="8" t="n">
        <x:v>45.36969366335541</x:v>
      </x:c>
      <x:c r="J297" s="8" t="n">
        <x:v>0</x:v>
      </x:c>
      <x:c r="K297" s="8" t="n">
        <x:v>91</x:v>
      </x:c>
      <x:c r="L297" s="8" t="n">
        <x:v>256.4113037512379</x:v>
      </x:c>
      <x:c r="M297" s="8" t="n">
        <x:v>0</x:v>
      </x:c>
      <x:c r="N297" s="8" t="n">
        <x:v>0</x:v>
      </x:c>
      <x:c r="O297" s="8" t="n">
        <x:v>389.35006478113525</x:v>
      </x:c>
      <x:c r="P297" s="8" t="n">
        <x:v>0</x:v>
      </x:c>
      <x:c r="Q297" s="8" t="n">
        <x:v>0.341068456777438</x:v>
      </x:c>
      <x:c r="R297" s="8" t="n">
        <x:v>0</x:v>
      </x:c>
      <x:c r="S297" s="8" t="n">
        <x:f>L297-I297^2/H297</x:f>
        <x:v>119.18403021079038</x:v>
      </x:c>
      <x:c r="T297" s="8" t="n">
        <x:f>M297-J297^2/H297</x:f>
        <x:v>0</x:v>
      </x:c>
      <x:c r="U297" s="8" t="n">
        <x:f>N297-I297*J297/H297</x:f>
        <x:v>0</x:v>
      </x:c>
      <x:c r="V297" s="8" t="n">
        <x:f>O297-I297*K297/H297</x:f>
        <x:v>114.10725655677908</x:v>
      </x:c>
      <x:c r="W297" s="8" t="n">
        <x:f>P297-J297*K297/H297</x:f>
        <x:v>0</x:v>
      </x:c>
      <x:c r="X297" s="8" t="n">
        <x:f>V297/S297</x:f>
        <x:v>0.9574039101964209</x:v>
      </x:c>
      <x:c r="Y297" s="8" t="n">
        <x:f>0</x:f>
        <x:v>0</x:v>
      </x:c>
      <x:c r="Z297" s="8" t="n">
        <x:f>K297/H297-X297*I297/H297-Y297*J297/H297</x:f>
        <x:v>3.170858525485983</x:v>
      </x:c>
      <x:c r="AA297" s="8" t="n">
        <x:f>Z297+X297*Q297+Y297*R297</x:f>
        <x:v>3.4973987996493614</x:v>
      </x:c>
    </x:row>
    <x:row r="298" ht="26" customHeight="1">
      <x:c r="A298" s="2"/>
      <x:c r="B298" s="2" t="n">
        <x:v>293</x:v>
      </x:c>
      <x:c r="C298" s="2" t="str">
        <x:v>Grooming / price_contribution</x:v>
      </x:c>
      <x:c r="D298" s="2" t="str">
        <x:v>Broad rolling 8</x:v>
      </x:c>
      <x:c r="E298" s="7" t="n">
        <x:v>45747</x:v>
      </x:c>
      <x:c r="F298" s="2" t="str">
        <x:v>Pre-earnings</x:v>
      </x:c>
      <x:c r="G298" s="7" t="n">
        <x:v>45770</x:v>
      </x:c>
      <x:c r="H298" s="2" t="n">
        <x:v>8</x:v>
      </x:c>
      <x:c r="I298" s="8" t="n">
        <x:v>29.542364704460724</x:v>
      </x:c>
      <x:c r="J298" s="8" t="n">
        <x:v>0</x:v>
      </x:c>
      <x:c r="K298" s="8" t="n">
        <x:v>52</x:v>
      </x:c>
      <x:c r="L298" s="8" t="n">
        <x:v>159.82650127279152</x:v>
      </x:c>
      <x:c r="M298" s="8" t="n">
        <x:v>0</x:v>
      </x:c>
      <x:c r="N298" s="8" t="n">
        <x:v>0</x:v>
      </x:c>
      <x:c r="O298" s="8" t="n">
        <x:v>255.53207636061578</x:v>
      </x:c>
      <x:c r="P298" s="8" t="n">
        <x:v>0</x:v>
      </x:c>
      <x:c r="Q298" s="8" t="n">
        <x:v>0.23594619830289432</x:v>
      </x:c>
      <x:c r="R298" s="8" t="n">
        <x:v>0</x:v>
      </x:c>
      <x:c r="S298" s="8" t="n">
        <x:f>L298-I298^2/H298</x:f>
        <x:v>50.73258723137067</x:v>
      </x:c>
      <x:c r="T298" s="8" t="n">
        <x:f>M298-J298^2/H298</x:f>
        <x:v>0</x:v>
      </x:c>
      <x:c r="U298" s="8" t="n">
        <x:f>N298-I298*J298/H298</x:f>
        <x:v>0</x:v>
      </x:c>
      <x:c r="V298" s="8" t="n">
        <x:f>O298-I298*K298/H298</x:f>
        <x:v>63.506705781621065</x:v>
      </x:c>
      <x:c r="W298" s="8" t="n">
        <x:f>P298-J298*K298/H298</x:f>
        <x:v>0</x:v>
      </x:c>
      <x:c r="X298" s="8" t="n">
        <x:f>V298/S298</x:f>
        <x:v>1.25179316189795</x:v>
      </x:c>
      <x:c r="Y298" s="8" t="n">
        <x:f>0</x:f>
        <x:v>0</x:v>
      </x:c>
      <x:c r="Z298" s="8" t="n">
        <x:f>K298/H298-X298*I298/H298-Y298*J298/H298</x:f>
        <x:v>1.8773837345825886</x:v>
      </x:c>
      <x:c r="AA298" s="8" t="n">
        <x:f>Z298+X298*Q298+Y298*R298</x:f>
        <x:v>2.1727395721939695</x:v>
      </x:c>
    </x:row>
    <x:row r="299" ht="26" customHeight="1">
      <x:c r="A299" s="2"/>
      <x:c r="B299" s="2" t="n">
        <x:v>294</x:v>
      </x:c>
      <x:c r="C299" s="2" t="str">
        <x:v>Grooming / price_contribution</x:v>
      </x:c>
      <x:c r="D299" s="2" t="str">
        <x:v>Own history</x:v>
      </x:c>
      <x:c r="E299" s="7" t="n">
        <x:v>45747</x:v>
      </x:c>
      <x:c r="F299" s="2" t="str">
        <x:v>Pre-earnings</x:v>
      </x:c>
      <x:c r="G299" s="7" t="n">
        <x:v>45770</x:v>
      </x:c>
      <x:c r="H299" s="2" t="n">
        <x:v>15</x:v>
      </x:c>
      <x:c r="I299" s="8" t="n">
        <x:v>92</x:v>
      </x:c>
      <x:c r="J299" s="8" t="n">
        <x:v>0</x:v>
      </x:c>
      <x:c r="K299" s="8" t="n">
        <x:v>91</x:v>
      </x:c>
      <x:c r="L299" s="8" t="n">
        <x:v>722</x:v>
      </x:c>
      <x:c r="M299" s="8" t="n">
        <x:v>0</x:v>
      </x:c>
      <x:c r="N299" s="8" t="n">
        <x:v>0</x:v>
      </x:c>
      <x:c r="O299" s="8" t="n">
        <x:v>682</x:v>
      </x:c>
      <x:c r="P299" s="8" t="n">
        <x:v>0</x:v>
      </x:c>
      <x:c r="Q299" s="8" t="n">
        <x:v>1</x:v>
      </x:c>
      <x:c r="R299" s="8" t="n">
        <x:v>0</x:v>
      </x:c>
      <x:c r="S299" s="8" t="n">
        <x:f>L299-I299^2/H299</x:f>
        <x:v>157.73333333333335</x:v>
      </x:c>
      <x:c r="T299" s="8" t="n">
        <x:f>M299-J299^2/H299</x:f>
        <x:v>0</x:v>
      </x:c>
      <x:c r="U299" s="8" t="n">
        <x:f>N299-I299*J299/H299</x:f>
        <x:v>0</x:v>
      </x:c>
      <x:c r="V299" s="8" t="n">
        <x:f>O299-I299*K299/H299</x:f>
        <x:v>123.86666666666667</x:v>
      </x:c>
      <x:c r="W299" s="8" t="n">
        <x:f>P299-J299*K299/H299</x:f>
        <x:v>0</x:v>
      </x:c>
      <x:c r="X299" s="8" t="n">
        <x:f>V299/S299</x:f>
        <x:v>0.7852916314454775</x:v>
      </x:c>
      <x:c r="Y299" s="8" t="n">
        <x:f>0</x:f>
        <x:v>0</x:v>
      </x:c>
      <x:c r="Z299" s="8" t="n">
        <x:f>K299/H299-X299*I299/H299-Y299*J299/H299</x:f>
        <x:v>1.2502113271344042</x:v>
      </x:c>
      <x:c r="AA299" s="8" t="n">
        <x:f>Z299+X299*Q299+Y299*R299</x:f>
        <x:v>2.035502958579882</x:v>
      </x:c>
    </x:row>
    <x:row r="300" ht="26" customHeight="1">
      <x:c r="A300" s="2"/>
      <x:c r="B300" s="2" t="n">
        <x:v>295</x:v>
      </x:c>
      <x:c r="C300" s="2" t="str">
        <x:v>Grooming / price_contribution</x:v>
      </x:c>
      <x:c r="D300" s="2" t="str">
        <x:v>Broad market</x:v>
      </x:c>
      <x:c r="E300" s="7" t="n">
        <x:v>45838</x:v>
      </x:c>
      <x:c r="F300" s="2" t="str">
        <x:v>Origin</x:v>
      </x:c>
      <x:c r="G300" s="7" t="n">
        <x:v>45748</x:v>
      </x:c>
      <x:c r="H300" s="2" t="n">
        <x:v>16</x:v>
      </x:c>
      <x:c r="I300" s="8" t="n">
        <x:v>45.710762120132856</x:v>
      </x:c>
      <x:c r="J300" s="8" t="n">
        <x:v>0</x:v>
      </x:c>
      <x:c r="K300" s="8" t="n">
        <x:v>93</x:v>
      </x:c>
      <x:c r="L300" s="8" t="n">
        <x:v>256.52763144344647</x:v>
      </x:c>
      <x:c r="M300" s="8" t="n">
        <x:v>0</x:v>
      </x:c>
      <x:c r="N300" s="8" t="n">
        <x:v>0</x:v>
      </x:c>
      <x:c r="O300" s="8" t="n">
        <x:v>404.09823184351444</x:v>
      </x:c>
      <x:c r="P300" s="8" t="n">
        <x:v>0</x:v>
      </x:c>
      <x:c r="Q300" s="8" t="n">
        <x:v>0.4021029127773579</x:v>
      </x:c>
      <x:c r="R300" s="8" t="n">
        <x:v>0</x:v>
      </x:c>
      <x:c r="S300" s="8" t="n">
        <x:f>L300-I300^2/H300</x:f>
        <x:v>125.93552059323568</x:v>
      </x:c>
      <x:c r="T300" s="8" t="n">
        <x:f>M300-J300^2/H300</x:f>
        <x:v>0</x:v>
      </x:c>
      <x:c r="U300" s="8" t="n">
        <x:f>N300-I300*J300/H300</x:f>
        <x:v>0</x:v>
      </x:c>
      <x:c r="V300" s="8" t="n">
        <x:f>O300-I300*K300/H300</x:f>
        <x:v>138.40442702024222</x:v>
      </x:c>
      <x:c r="W300" s="8" t="n">
        <x:f>P300-J300*K300/H300</x:f>
        <x:v>0</x:v>
      </x:c>
      <x:c r="X300" s="8" t="n">
        <x:f>V300/S300</x:f>
        <x:v>1.0990102424500263</x:v>
      </x:c>
      <x:c r="Y300" s="8" t="n">
        <x:f>0</x:f>
        <x:v>0</x:v>
      </x:c>
      <x:c r="Z300" s="8" t="n">
        <x:f>K300/H300-X300*I300/H300-Y300*J300/H300</x:f>
        <x:v>2.672712764986082</x:v>
      </x:c>
      <x:c r="AA300" s="8" t="n">
        <x:f>Z300+X300*Q300+Y300*R300</x:f>
        <x:v>3.1146279846473877</x:v>
      </x:c>
    </x:row>
    <x:row r="301" ht="26" customHeight="1">
      <x:c r="A301" s="2"/>
      <x:c r="B301" s="2" t="n">
        <x:v>296</x:v>
      </x:c>
      <x:c r="C301" s="2" t="str">
        <x:v>Grooming / price_contribution</x:v>
      </x:c>
      <x:c r="D301" s="2" t="str">
        <x:v>Broad rolling 8</x:v>
      </x:c>
      <x:c r="E301" s="7" t="n">
        <x:v>45838</x:v>
      </x:c>
      <x:c r="F301" s="2" t="str">
        <x:v>Origin</x:v>
      </x:c>
      <x:c r="G301" s="7" t="n">
        <x:v>45748</x:v>
      </x:c>
      <x:c r="H301" s="2" t="n">
        <x:v>8</x:v>
      </x:c>
      <x:c r="I301" s="8" t="n">
        <x:v>29.542364704460724</x:v>
      </x:c>
      <x:c r="J301" s="8" t="n">
        <x:v>0</x:v>
      </x:c>
      <x:c r="K301" s="8" t="n">
        <x:v>52</x:v>
      </x:c>
      <x:c r="L301" s="8" t="n">
        <x:v>159.82650127279152</x:v>
      </x:c>
      <x:c r="M301" s="8" t="n">
        <x:v>0</x:v>
      </x:c>
      <x:c r="N301" s="8" t="n">
        <x:v>0</x:v>
      </x:c>
      <x:c r="O301" s="8" t="n">
        <x:v>255.53207636061578</x:v>
      </x:c>
      <x:c r="P301" s="8" t="n">
        <x:v>0</x:v>
      </x:c>
      <x:c r="Q301" s="8" t="n">
        <x:v>0.4021029127773579</x:v>
      </x:c>
      <x:c r="R301" s="8" t="n">
        <x:v>0</x:v>
      </x:c>
      <x:c r="S301" s="8" t="n">
        <x:f>L301-I301^2/H301</x:f>
        <x:v>50.73258723137067</x:v>
      </x:c>
      <x:c r="T301" s="8" t="n">
        <x:f>M301-J301^2/H301</x:f>
        <x:v>0</x:v>
      </x:c>
      <x:c r="U301" s="8" t="n">
        <x:f>N301-I301*J301/H301</x:f>
        <x:v>0</x:v>
      </x:c>
      <x:c r="V301" s="8" t="n">
        <x:f>O301-I301*K301/H301</x:f>
        <x:v>63.506705781621065</x:v>
      </x:c>
      <x:c r="W301" s="8" t="n">
        <x:f>P301-J301*K301/H301</x:f>
        <x:v>0</x:v>
      </x:c>
      <x:c r="X301" s="8" t="n">
        <x:f>V301/S301</x:f>
        <x:v>1.25179316189795</x:v>
      </x:c>
      <x:c r="Y301" s="8" t="n">
        <x:f>0</x:f>
        <x:v>0</x:v>
      </x:c>
      <x:c r="Z301" s="8" t="n">
        <x:f>K301/H301-X301*I301/H301-Y301*J301/H301</x:f>
        <x:v>1.8773837345825886</x:v>
      </x:c>
      <x:c r="AA301" s="8" t="n">
        <x:f>Z301+X301*Q301+Y301*R301</x:f>
        <x:v>2.380733411176533</x:v>
      </x:c>
    </x:row>
    <x:row r="302" ht="26" customHeight="1">
      <x:c r="A302" s="2"/>
      <x:c r="B302" s="2" t="n">
        <x:v>297</x:v>
      </x:c>
      <x:c r="C302" s="2" t="str">
        <x:v>Grooming / price_contribution</x:v>
      </x:c>
      <x:c r="D302" s="2" t="str">
        <x:v>Own history</x:v>
      </x:c>
      <x:c r="E302" s="7" t="n">
        <x:v>45838</x:v>
      </x:c>
      <x:c r="F302" s="2" t="str">
        <x:v>Origin</x:v>
      </x:c>
      <x:c r="G302" s="7" t="n">
        <x:v>45748</x:v>
      </x:c>
      <x:c r="H302" s="2" t="n">
        <x:v>14</x:v>
      </x:c>
      <x:c r="I302" s="8" t="n">
        <x:v>91</x:v>
      </x:c>
      <x:c r="J302" s="8" t="n">
        <x:v>0</x:v>
      </x:c>
      <x:c r="K302" s="8" t="n">
        <x:v>89</x:v>
      </x:c>
      <x:c r="L302" s="8" t="n">
        <x:v>721</x:v>
      </x:c>
      <x:c r="M302" s="8" t="n">
        <x:v>0</x:v>
      </x:c>
      <x:c r="N302" s="8" t="n">
        <x:v>0</x:v>
      </x:c>
      <x:c r="O302" s="8" t="n">
        <x:v>634</x:v>
      </x:c>
      <x:c r="P302" s="8" t="n">
        <x:v>0</x:v>
      </x:c>
      <x:c r="Q302" s="8" t="n">
        <x:v>1</x:v>
      </x:c>
      <x:c r="R302" s="8" t="n">
        <x:v>0</x:v>
      </x:c>
      <x:c r="S302" s="8" t="n">
        <x:f>L302-I302^2/H302</x:f>
        <x:v>129.5</x:v>
      </x:c>
      <x:c r="T302" s="8" t="n">
        <x:f>M302-J302^2/H302</x:f>
        <x:v>0</x:v>
      </x:c>
      <x:c r="U302" s="8" t="n">
        <x:f>N302-I302*J302/H302</x:f>
        <x:v>0</x:v>
      </x:c>
      <x:c r="V302" s="8" t="n">
        <x:f>O302-I302*K302/H302</x:f>
        <x:v>55.5</x:v>
      </x:c>
      <x:c r="W302" s="8" t="n">
        <x:f>P302-J302*K302/H302</x:f>
        <x:v>0</x:v>
      </x:c>
      <x:c r="X302" s="8" t="n">
        <x:f>V302/S302</x:f>
        <x:v>0.42857142857142855</x:v>
      </x:c>
      <x:c r="Y302" s="8" t="n">
        <x:f>0</x:f>
        <x:v>0</x:v>
      </x:c>
      <x:c r="Z302" s="8" t="n">
        <x:f>K302/H302-X302*I302/H302-Y302*J302/H302</x:f>
        <x:v>3.571428571428571</x:v>
      </x:c>
      <x:c r="AA302" s="8" t="n">
        <x:f>Z302+X302*Q302+Y302*R302</x:f>
        <x:v>3.9999999999999996</x:v>
      </x:c>
    </x:row>
    <x:row r="303" ht="26" customHeight="1">
      <x:c r="A303" s="2"/>
      <x:c r="B303" s="2" t="n">
        <x:v>298</x:v>
      </x:c>
      <x:c r="C303" s="2" t="str">
        <x:v>Grooming / price_contribution</x:v>
      </x:c>
      <x:c r="D303" s="2" t="str">
        <x:v>Broad market</x:v>
      </x:c>
      <x:c r="E303" s="7" t="n">
        <x:v>45838</x:v>
      </x:c>
      <x:c r="F303" s="2" t="str">
        <x:v>Prior report</x:v>
      </x:c>
      <x:c r="G303" s="7" t="n">
        <x:v>45771</x:v>
      </x:c>
      <x:c r="H303" s="2" t="n">
        <x:v>17</x:v>
      </x:c>
      <x:c r="I303" s="8" t="n">
        <x:v>45.946708318435746</x:v>
      </x:c>
      <x:c r="J303" s="8" t="n">
        <x:v>0</x:v>
      </x:c>
      <x:c r="K303" s="8" t="n">
        <x:v>95</x:v>
      </x:c>
      <x:c r="L303" s="8" t="n">
        <x:v>256.58330205194005</x:v>
      </x:c>
      <x:c r="M303" s="8" t="n">
        <x:v>0</x:v>
      </x:c>
      <x:c r="N303" s="8" t="n">
        <x:v>0</x:v>
      </x:c>
      <x:c r="O303" s="8" t="n">
        <x:v>404.5701242401202</x:v>
      </x:c>
      <x:c r="P303" s="8" t="n">
        <x:v>0</x:v>
      </x:c>
      <x:c r="Q303" s="8" t="n">
        <x:v>0.23664658474467082</x:v>
      </x:c>
      <x:c r="R303" s="8" t="n">
        <x:v>0</x:v>
      </x:c>
      <x:c r="S303" s="8" t="n">
        <x:f>L303-I303^2/H303</x:f>
        <x:v>132.40094879903342</x:v>
      </x:c>
      <x:c r="T303" s="8" t="n">
        <x:f>M303-J303^2/H303</x:f>
        <x:v>0</x:v>
      </x:c>
      <x:c r="U303" s="8" t="n">
        <x:f>N303-I303*J303/H303</x:f>
        <x:v>0</x:v>
      </x:c>
      <x:c r="V303" s="8" t="n">
        <x:f>O303-I303*K303/H303</x:f>
        <x:v>147.80910716650868</x:v>
      </x:c>
      <x:c r="W303" s="8" t="n">
        <x:f>P303-J303*K303/H303</x:f>
        <x:v>0</x:v>
      </x:c>
      <x:c r="X303" s="8" t="n">
        <x:f>V303/S303</x:f>
        <x:v>1.1163749845241875</x:v>
      </x:c>
      <x:c r="Y303" s="8" t="n">
        <x:f>0</x:f>
        <x:v>0</x:v>
      </x:c>
      <x:c r="Z303" s="8" t="n">
        <x:f>K303/H303-X303*I303/H303-Y303*J303/H303</x:f>
        <x:v>2.570955541886408</x:v>
      </x:c>
      <x:c r="AA303" s="8" t="n">
        <x:f>Z303+X303*Q303+Y303*R303</x:f>
        <x:v>2.8351418692684414</x:v>
      </x:c>
    </x:row>
    <x:row r="304" ht="26" customHeight="1">
      <x:c r="A304" s="2"/>
      <x:c r="B304" s="2" t="n">
        <x:v>299</x:v>
      </x:c>
      <x:c r="C304" s="2" t="str">
        <x:v>Grooming / price_contribution</x:v>
      </x:c>
      <x:c r="D304" s="2" t="str">
        <x:v>Broad lag 1</x:v>
      </x:c>
      <x:c r="E304" s="7" t="n">
        <x:v>45838</x:v>
      </x:c>
      <x:c r="F304" s="2" t="str">
        <x:v>Prior report</x:v>
      </x:c>
      <x:c r="G304" s="7" t="n">
        <x:v>45771</x:v>
      </x:c>
      <x:c r="H304" s="2" t="n">
        <x:v>16</x:v>
      </x:c>
      <x:c r="I304" s="8" t="n">
        <x:v>45.710762120132856</x:v>
      </x:c>
      <x:c r="J304" s="8" t="n">
        <x:v>0</x:v>
      </x:c>
      <x:c r="K304" s="8" t="n">
        <x:v>93</x:v>
      </x:c>
      <x:c r="L304" s="8" t="n">
        <x:v>256.52763144344647</x:v>
      </x:c>
      <x:c r="M304" s="8" t="n">
        <x:v>0</x:v>
      </x:c>
      <x:c r="N304" s="8" t="n">
        <x:v>0</x:v>
      </x:c>
      <x:c r="O304" s="8" t="n">
        <x:v>390.0322016946901</x:v>
      </x:c>
      <x:c r="P304" s="8" t="n">
        <x:v>0</x:v>
      </x:c>
      <x:c r="Q304" s="8" t="n">
        <x:v>0.23594619830289432</x:v>
      </x:c>
      <x:c r="R304" s="8" t="n">
        <x:v>0</x:v>
      </x:c>
      <x:c r="S304" s="8" t="n">
        <x:f>L304-I304^2/H304</x:f>
        <x:v>125.93552059323568</x:v>
      </x:c>
      <x:c r="T304" s="8" t="n">
        <x:f>M304-J304^2/H304</x:f>
        <x:v>0</x:v>
      </x:c>
      <x:c r="U304" s="8" t="n">
        <x:f>N304-I304*J304/H304</x:f>
        <x:v>0</x:v>
      </x:c>
      <x:c r="V304" s="8" t="n">
        <x:f>O304-I304*K304/H304</x:f>
        <x:v>124.3383968714179</x:v>
      </x:c>
      <x:c r="W304" s="8" t="n">
        <x:f>P304-J304*K304/H304</x:f>
        <x:v>0</x:v>
      </x:c>
      <x:c r="X304" s="8" t="n">
        <x:f>V304/S304</x:f>
        <x:v>0.9873179249643442</x:v>
      </x:c>
      <x:c r="Y304" s="8" t="n">
        <x:f>0</x:f>
        <x:v>0</x:v>
      </x:c>
      <x:c r="Z304" s="8" t="n">
        <x:f>K304/H304-X304*I304/H304-Y304*J304/H304</x:f>
        <x:v>2.99180907468823</x:v>
      </x:c>
      <x:c r="AA304" s="8" t="n">
        <x:f>Z304+X304*Q304+Y304*R304</x:f>
        <x:v>3.2247629855998694</x:v>
      </x:c>
    </x:row>
    <x:row r="305" ht="26" customHeight="1">
      <x:c r="A305" s="2"/>
      <x:c r="B305" s="2" t="n">
        <x:v>300</x:v>
      </x:c>
      <x:c r="C305" s="2" t="str">
        <x:v>Grooming / price_contribution</x:v>
      </x:c>
      <x:c r="D305" s="2" t="str">
        <x:v>Broad rolling 8</x:v>
      </x:c>
      <x:c r="E305" s="7" t="n">
        <x:v>45838</x:v>
      </x:c>
      <x:c r="F305" s="2" t="str">
        <x:v>Prior report</x:v>
      </x:c>
      <x:c r="G305" s="7" t="n">
        <x:v>45771</x:v>
      </x:c>
      <x:c r="H305" s="2" t="n">
        <x:v>8</x:v>
      </x:c>
      <x:c r="I305" s="8" t="n">
        <x:v>23.005916879315237</x:v>
      </x:c>
      <x:c r="J305" s="8" t="n">
        <x:v>0</x:v>
      </x:c>
      <x:c r="K305" s="8" t="n">
        <x:v>44</x:v>
      </x:c>
      <x:c r="L305" s="8" t="n">
        <x:v>114.01685107244576</x:v>
      </x:c>
      <x:c r="M305" s="8" t="n">
        <x:v>0</x:v>
      </x:c>
      <x:c r="N305" s="8" t="n">
        <x:v>0</x:v>
      </x:c>
      <x:c r="O305" s="8" t="n">
        <x:v>188.28002852273775</x:v>
      </x:c>
      <x:c r="P305" s="8" t="n">
        <x:v>0</x:v>
      </x:c>
      <x:c r="Q305" s="8" t="n">
        <x:v>0.23664658474467082</x:v>
      </x:c>
      <x:c r="R305" s="8" t="n">
        <x:v>0</x:v>
      </x:c>
      <x:c r="S305" s="8" t="n">
        <x:f>L305-I305^2/H305</x:f>
        <x:v>47.85782464020055</x:v>
      </x:c>
      <x:c r="T305" s="8" t="n">
        <x:f>M305-J305^2/H305</x:f>
        <x:v>0</x:v>
      </x:c>
      <x:c r="U305" s="8" t="n">
        <x:f>N305-I305*J305/H305</x:f>
        <x:v>0</x:v>
      </x:c>
      <x:c r="V305" s="8" t="n">
        <x:f>O305-I305*K305/H305</x:f>
        <x:v>61.74748568650395</x:v>
      </x:c>
      <x:c r="W305" s="8" t="n">
        <x:f>P305-J305*K305/H305</x:f>
        <x:v>0</x:v>
      </x:c>
      <x:c r="X305" s="8" t="n">
        <x:f>V305/S305</x:f>
        <x:v>1.290227588711504</x:v>
      </x:c>
      <x:c r="Y305" s="8" t="n">
        <x:f>0</x:f>
        <x:v>0</x:v>
      </x:c>
      <x:c r="Z305" s="8" t="n">
        <x:f>K305/H305-X305*I305/H305-Y305*J305/H305</x:f>
        <x:v>1.7896414173379767</x:v>
      </x:c>
      <x:c r="AA305" s="8" t="n">
        <x:f>Z305+X305*Q305+Y305*R305</x:f>
        <x:v>2.094969369749906</x:v>
      </x:c>
    </x:row>
    <x:row r="306" ht="26" customHeight="1">
      <x:c r="A306" s="2"/>
      <x:c r="B306" s="2" t="n">
        <x:v>301</x:v>
      </x:c>
      <x:c r="C306" s="2" t="str">
        <x:v>Grooming / price_contribution</x:v>
      </x:c>
      <x:c r="D306" s="2" t="str">
        <x:v>Own history</x:v>
      </x:c>
      <x:c r="E306" s="7" t="n">
        <x:v>45838</x:v>
      </x:c>
      <x:c r="F306" s="2" t="str">
        <x:v>Prior report</x:v>
      </x:c>
      <x:c r="G306" s="7" t="n">
        <x:v>45771</x:v>
      </x:c>
      <x:c r="H306" s="2" t="n">
        <x:v>16</x:v>
      </x:c>
      <x:c r="I306" s="8" t="n">
        <x:v>93</x:v>
      </x:c>
      <x:c r="J306" s="8" t="n">
        <x:v>0</x:v>
      </x:c>
      <x:c r="K306" s="8" t="n">
        <x:v>93</x:v>
      </x:c>
      <x:c r="L306" s="8" t="n">
        <x:v>723</x:v>
      </x:c>
      <x:c r="M306" s="8" t="n">
        <x:v>0</x:v>
      </x:c>
      <x:c r="N306" s="8" t="n">
        <x:v>0</x:v>
      </x:c>
      <x:c r="O306" s="8" t="n">
        <x:v>684</x:v>
      </x:c>
      <x:c r="P306" s="8" t="n">
        <x:v>0</x:v>
      </x:c>
      <x:c r="Q306" s="8" t="n">
        <x:v>2</x:v>
      </x:c>
      <x:c r="R306" s="8" t="n">
        <x:v>0</x:v>
      </x:c>
      <x:c r="S306" s="8" t="n">
        <x:f>L306-I306^2/H306</x:f>
        <x:v>182.4375</x:v>
      </x:c>
      <x:c r="T306" s="8" t="n">
        <x:f>M306-J306^2/H306</x:f>
        <x:v>0</x:v>
      </x:c>
      <x:c r="U306" s="8" t="n">
        <x:f>N306-I306*J306/H306</x:f>
        <x:v>0</x:v>
      </x:c>
      <x:c r="V306" s="8" t="n">
        <x:f>O306-I306*K306/H306</x:f>
        <x:v>143.4375</x:v>
      </x:c>
      <x:c r="W306" s="8" t="n">
        <x:f>P306-J306*K306/H306</x:f>
        <x:v>0</x:v>
      </x:c>
      <x:c r="X306" s="8" t="n">
        <x:f>V306/S306</x:f>
        <x:v>0.7862281603288798</x:v>
      </x:c>
      <x:c r="Y306" s="8" t="n">
        <x:f>0</x:f>
        <x:v>0</x:v>
      </x:c>
      <x:c r="Z306" s="8" t="n">
        <x:f>K306/H306-X306*I306/H306-Y306*J306/H306</x:f>
        <x:v>1.2425488180883866</x:v>
      </x:c>
      <x:c r="AA306" s="8" t="n">
        <x:f>Z306+X306*Q306+Y306*R306</x:f>
        <x:v>2.8150051387461463</x:v>
      </x:c>
    </x:row>
    <x:row r="307" ht="26" customHeight="1">
      <x:c r="A307" s="2"/>
      <x:c r="B307" s="2" t="n">
        <x:v>302</x:v>
      </x:c>
      <x:c r="C307" s="2" t="str">
        <x:v>Grooming / price_contribution</x:v>
      </x:c>
      <x:c r="D307" s="2" t="str">
        <x:v>Broad market</x:v>
      </x:c>
      <x:c r="E307" s="7" t="n">
        <x:v>45838</x:v>
      </x:c>
      <x:c r="F307" s="2" t="str">
        <x:v>Pre-earnings</x:v>
      </x:c>
      <x:c r="G307" s="7" t="n">
        <x:v>45866</x:v>
      </x:c>
      <x:c r="H307" s="2" t="n">
        <x:v>17</x:v>
      </x:c>
      <x:c r="I307" s="8" t="n">
        <x:v>45.946708318435746</x:v>
      </x:c>
      <x:c r="J307" s="8" t="n">
        <x:v>0</x:v>
      </x:c>
      <x:c r="K307" s="8" t="n">
        <x:v>95</x:v>
      </x:c>
      <x:c r="L307" s="8" t="n">
        <x:v>256.58330205194005</x:v>
      </x:c>
      <x:c r="M307" s="8" t="n">
        <x:v>0</x:v>
      </x:c>
      <x:c r="N307" s="8" t="n">
        <x:v>0</x:v>
      </x:c>
      <x:c r="O307" s="8" t="n">
        <x:v>404.5701242401202</x:v>
      </x:c>
      <x:c r="P307" s="8" t="n">
        <x:v>0</x:v>
      </x:c>
      <x:c r="Q307" s="8" t="n">
        <x:v>0.5057825004843641</x:v>
      </x:c>
      <x:c r="R307" s="8" t="n">
        <x:v>0</x:v>
      </x:c>
      <x:c r="S307" s="8" t="n">
        <x:f>L307-I307^2/H307</x:f>
        <x:v>132.40094879903342</x:v>
      </x:c>
      <x:c r="T307" s="8" t="n">
        <x:f>M307-J307^2/H307</x:f>
        <x:v>0</x:v>
      </x:c>
      <x:c r="U307" s="8" t="n">
        <x:f>N307-I307*J307/H307</x:f>
        <x:v>0</x:v>
      </x:c>
      <x:c r="V307" s="8" t="n">
        <x:f>O307-I307*K307/H307</x:f>
        <x:v>147.80910716650868</x:v>
      </x:c>
      <x:c r="W307" s="8" t="n">
        <x:f>P307-J307*K307/H307</x:f>
        <x:v>0</x:v>
      </x:c>
      <x:c r="X307" s="8" t="n">
        <x:f>V307/S307</x:f>
        <x:v>1.1163749845241875</x:v>
      </x:c>
      <x:c r="Y307" s="8" t="n">
        <x:f>0</x:f>
        <x:v>0</x:v>
      </x:c>
      <x:c r="Z307" s="8" t="n">
        <x:f>K307/H307-X307*I307/H307-Y307*J307/H307</x:f>
        <x:v>2.570955541886408</x:v>
      </x:c>
      <x:c r="AA307" s="8" t="n">
        <x:f>Z307+X307*Q307+Y307*R307</x:f>
        <x:v>3.135598473037245</x:v>
      </x:c>
    </x:row>
    <x:row r="308" ht="26" customHeight="1">
      <x:c r="A308" s="2"/>
      <x:c r="B308" s="2" t="n">
        <x:v>303</x:v>
      </x:c>
      <x:c r="C308" s="2" t="str">
        <x:v>Grooming / price_contribution</x:v>
      </x:c>
      <x:c r="D308" s="2" t="str">
        <x:v>Broad lag 1</x:v>
      </x:c>
      <x:c r="E308" s="7" t="n">
        <x:v>45838</x:v>
      </x:c>
      <x:c r="F308" s="2" t="str">
        <x:v>Pre-earnings</x:v>
      </x:c>
      <x:c r="G308" s="7" t="n">
        <x:v>45866</x:v>
      </x:c>
      <x:c r="H308" s="2" t="n">
        <x:v>16</x:v>
      </x:c>
      <x:c r="I308" s="8" t="n">
        <x:v>45.710762120132856</x:v>
      </x:c>
      <x:c r="J308" s="8" t="n">
        <x:v>0</x:v>
      </x:c>
      <x:c r="K308" s="8" t="n">
        <x:v>93</x:v>
      </x:c>
      <x:c r="L308" s="8" t="n">
        <x:v>256.52763144344647</x:v>
      </x:c>
      <x:c r="M308" s="8" t="n">
        <x:v>0</x:v>
      </x:c>
      <x:c r="N308" s="8" t="n">
        <x:v>0</x:v>
      </x:c>
      <x:c r="O308" s="8" t="n">
        <x:v>390.0322016946901</x:v>
      </x:c>
      <x:c r="P308" s="8" t="n">
        <x:v>0</x:v>
      </x:c>
      <x:c r="Q308" s="8" t="n">
        <x:v>0.23594619830289432</x:v>
      </x:c>
      <x:c r="R308" s="8" t="n">
        <x:v>0</x:v>
      </x:c>
      <x:c r="S308" s="8" t="n">
        <x:f>L308-I308^2/H308</x:f>
        <x:v>125.93552059323568</x:v>
      </x:c>
      <x:c r="T308" s="8" t="n">
        <x:f>M308-J308^2/H308</x:f>
        <x:v>0</x:v>
      </x:c>
      <x:c r="U308" s="8" t="n">
        <x:f>N308-I308*J308/H308</x:f>
        <x:v>0</x:v>
      </x:c>
      <x:c r="V308" s="8" t="n">
        <x:f>O308-I308*K308/H308</x:f>
        <x:v>124.3383968714179</x:v>
      </x:c>
      <x:c r="W308" s="8" t="n">
        <x:f>P308-J308*K308/H308</x:f>
        <x:v>0</x:v>
      </x:c>
      <x:c r="X308" s="8" t="n">
        <x:f>V308/S308</x:f>
        <x:v>0.9873179249643442</x:v>
      </x:c>
      <x:c r="Y308" s="8" t="n">
        <x:f>0</x:f>
        <x:v>0</x:v>
      </x:c>
      <x:c r="Z308" s="8" t="n">
        <x:f>K308/H308-X308*I308/H308-Y308*J308/H308</x:f>
        <x:v>2.99180907468823</x:v>
      </x:c>
      <x:c r="AA308" s="8" t="n">
        <x:f>Z308+X308*Q308+Y308*R308</x:f>
        <x:v>3.2247629855998694</x:v>
      </x:c>
    </x:row>
    <x:row r="309" ht="26" customHeight="1">
      <x:c r="A309" s="2"/>
      <x:c r="B309" s="2" t="n">
        <x:v>304</x:v>
      </x:c>
      <x:c r="C309" s="2" t="str">
        <x:v>Grooming / price_contribution</x:v>
      </x:c>
      <x:c r="D309" s="2" t="str">
        <x:v>Broad rolling 8</x:v>
      </x:c>
      <x:c r="E309" s="7" t="n">
        <x:v>45838</x:v>
      </x:c>
      <x:c r="F309" s="2" t="str">
        <x:v>Pre-earnings</x:v>
      </x:c>
      <x:c r="G309" s="7" t="n">
        <x:v>45866</x:v>
      </x:c>
      <x:c r="H309" s="2" t="n">
        <x:v>8</x:v>
      </x:c>
      <x:c r="I309" s="8" t="n">
        <x:v>23.005916879315237</x:v>
      </x:c>
      <x:c r="J309" s="8" t="n">
        <x:v>0</x:v>
      </x:c>
      <x:c r="K309" s="8" t="n">
        <x:v>44</x:v>
      </x:c>
      <x:c r="L309" s="8" t="n">
        <x:v>114.01685107244576</x:v>
      </x:c>
      <x:c r="M309" s="8" t="n">
        <x:v>0</x:v>
      </x:c>
      <x:c r="N309" s="8" t="n">
        <x:v>0</x:v>
      </x:c>
      <x:c r="O309" s="8" t="n">
        <x:v>188.28002852273775</x:v>
      </x:c>
      <x:c r="P309" s="8" t="n">
        <x:v>0</x:v>
      </x:c>
      <x:c r="Q309" s="8" t="n">
        <x:v>0.5057825004843641</x:v>
      </x:c>
      <x:c r="R309" s="8" t="n">
        <x:v>0</x:v>
      </x:c>
      <x:c r="S309" s="8" t="n">
        <x:f>L309-I309^2/H309</x:f>
        <x:v>47.85782464020055</x:v>
      </x:c>
      <x:c r="T309" s="8" t="n">
        <x:f>M309-J309^2/H309</x:f>
        <x:v>0</x:v>
      </x:c>
      <x:c r="U309" s="8" t="n">
        <x:f>N309-I309*J309/H309</x:f>
        <x:v>0</x:v>
      </x:c>
      <x:c r="V309" s="8" t="n">
        <x:f>O309-I309*K309/H309</x:f>
        <x:v>61.74748568650395</x:v>
      </x:c>
      <x:c r="W309" s="8" t="n">
        <x:f>P309-J309*K309/H309</x:f>
        <x:v>0</x:v>
      </x:c>
      <x:c r="X309" s="8" t="n">
        <x:f>V309/S309</x:f>
        <x:v>1.290227588711504</x:v>
      </x:c>
      <x:c r="Y309" s="8" t="n">
        <x:f>0</x:f>
        <x:v>0</x:v>
      </x:c>
      <x:c r="Z309" s="8" t="n">
        <x:f>K309/H309-X309*I309/H309-Y309*J309/H309</x:f>
        <x:v>1.7896414173379767</x:v>
      </x:c>
      <x:c r="AA309" s="8" t="n">
        <x:f>Z309+X309*Q309+Y309*R309</x:f>
        <x:v>2.442215953350393</x:v>
      </x:c>
    </x:row>
    <x:row r="310" ht="26" customHeight="1">
      <x:c r="A310" s="2"/>
      <x:c r="B310" s="2" t="n">
        <x:v>305</x:v>
      </x:c>
      <x:c r="C310" s="2" t="str">
        <x:v>Grooming / price_contribution</x:v>
      </x:c>
      <x:c r="D310" s="2" t="str">
        <x:v>Own history</x:v>
      </x:c>
      <x:c r="E310" s="7" t="n">
        <x:v>45838</x:v>
      </x:c>
      <x:c r="F310" s="2" t="str">
        <x:v>Pre-earnings</x:v>
      </x:c>
      <x:c r="G310" s="7" t="n">
        <x:v>45866</x:v>
      </x:c>
      <x:c r="H310" s="2" t="n">
        <x:v>16</x:v>
      </x:c>
      <x:c r="I310" s="8" t="n">
        <x:v>93</x:v>
      </x:c>
      <x:c r="J310" s="8" t="n">
        <x:v>0</x:v>
      </x:c>
      <x:c r="K310" s="8" t="n">
        <x:v>93</x:v>
      </x:c>
      <x:c r="L310" s="8" t="n">
        <x:v>723</x:v>
      </x:c>
      <x:c r="M310" s="8" t="n">
        <x:v>0</x:v>
      </x:c>
      <x:c r="N310" s="8" t="n">
        <x:v>0</x:v>
      </x:c>
      <x:c r="O310" s="8" t="n">
        <x:v>684</x:v>
      </x:c>
      <x:c r="P310" s="8" t="n">
        <x:v>0</x:v>
      </x:c>
      <x:c r="Q310" s="8" t="n">
        <x:v>2</x:v>
      </x:c>
      <x:c r="R310" s="8" t="n">
        <x:v>0</x:v>
      </x:c>
      <x:c r="S310" s="8" t="n">
        <x:f>L310-I310^2/H310</x:f>
        <x:v>182.4375</x:v>
      </x:c>
      <x:c r="T310" s="8" t="n">
        <x:f>M310-J310^2/H310</x:f>
        <x:v>0</x:v>
      </x:c>
      <x:c r="U310" s="8" t="n">
        <x:f>N310-I310*J310/H310</x:f>
        <x:v>0</x:v>
      </x:c>
      <x:c r="V310" s="8" t="n">
        <x:f>O310-I310*K310/H310</x:f>
        <x:v>143.4375</x:v>
      </x:c>
      <x:c r="W310" s="8" t="n">
        <x:f>P310-J310*K310/H310</x:f>
        <x:v>0</x:v>
      </x:c>
      <x:c r="X310" s="8" t="n">
        <x:f>V310/S310</x:f>
        <x:v>0.7862281603288798</x:v>
      </x:c>
      <x:c r="Y310" s="8" t="n">
        <x:f>0</x:f>
        <x:v>0</x:v>
      </x:c>
      <x:c r="Z310" s="8" t="n">
        <x:f>K310/H310-X310*I310/H310-Y310*J310/H310</x:f>
        <x:v>1.2425488180883866</x:v>
      </x:c>
      <x:c r="AA310" s="8" t="n">
        <x:f>Z310+X310*Q310+Y310*R310</x:f>
        <x:v>2.8150051387461463</x:v>
      </x:c>
    </x:row>
    <x:row r="311" ht="26" customHeight="1">
      <x:c r="A311" s="2"/>
      <x:c r="B311" s="2" t="n">
        <x:v>306</x:v>
      </x:c>
      <x:c r="C311" s="2" t="str">
        <x:v>Grooming / price_contribution</x:v>
      </x:c>
      <x:c r="D311" s="2" t="str">
        <x:v>Broad market</x:v>
      </x:c>
      <x:c r="E311" s="7" t="n">
        <x:v>45930</x:v>
      </x:c>
      <x:c r="F311" s="2" t="str">
        <x:v>Origin</x:v>
      </x:c>
      <x:c r="G311" s="7" t="n">
        <x:v>45839</x:v>
      </x:c>
      <x:c r="H311" s="2" t="n">
        <x:v>17</x:v>
      </x:c>
      <x:c r="I311" s="8" t="n">
        <x:v>45.946708318435746</x:v>
      </x:c>
      <x:c r="J311" s="8" t="n">
        <x:v>0</x:v>
      </x:c>
      <x:c r="K311" s="8" t="n">
        <x:v>95</x:v>
      </x:c>
      <x:c r="L311" s="8" t="n">
        <x:v>256.58330205194005</x:v>
      </x:c>
      <x:c r="M311" s="8" t="n">
        <x:v>0</x:v>
      </x:c>
      <x:c r="N311" s="8" t="n">
        <x:v>0</x:v>
      </x:c>
      <x:c r="O311" s="8" t="n">
        <x:v>404.5701242401202</x:v>
      </x:c>
      <x:c r="P311" s="8" t="n">
        <x:v>0</x:v>
      </x:c>
      <x:c r="Q311" s="8" t="n">
        <x:v>0.2991645223175299</x:v>
      </x:c>
      <x:c r="R311" s="8" t="n">
        <x:v>0</x:v>
      </x:c>
      <x:c r="S311" s="8" t="n">
        <x:f>L311-I311^2/H311</x:f>
        <x:v>132.40094879903342</x:v>
      </x:c>
      <x:c r="T311" s="8" t="n">
        <x:f>M311-J311^2/H311</x:f>
        <x:v>0</x:v>
      </x:c>
      <x:c r="U311" s="8" t="n">
        <x:f>N311-I311*J311/H311</x:f>
        <x:v>0</x:v>
      </x:c>
      <x:c r="V311" s="8" t="n">
        <x:f>O311-I311*K311/H311</x:f>
        <x:v>147.80910716650868</x:v>
      </x:c>
      <x:c r="W311" s="8" t="n">
        <x:f>P311-J311*K311/H311</x:f>
        <x:v>0</x:v>
      </x:c>
      <x:c r="X311" s="8" t="n">
        <x:f>V311/S311</x:f>
        <x:v>1.1163749845241875</x:v>
      </x:c>
      <x:c r="Y311" s="8" t="n">
        <x:f>0</x:f>
        <x:v>0</x:v>
      </x:c>
      <x:c r="Z311" s="8" t="n">
        <x:f>K311/H311-X311*I311/H311-Y311*J311/H311</x:f>
        <x:v>2.570955541886408</x:v>
      </x:c>
      <x:c r="AA311" s="8" t="n">
        <x:f>Z311+X311*Q311+Y311*R311</x:f>
        <x:v>2.904935330858826</x:v>
      </x:c>
    </x:row>
    <x:row r="312" ht="26" customHeight="1">
      <x:c r="A312" s="2"/>
      <x:c r="B312" s="2" t="n">
        <x:v>307</x:v>
      </x:c>
      <x:c r="C312" s="2" t="str">
        <x:v>Grooming / price_contribution</x:v>
      </x:c>
      <x:c r="D312" s="2" t="str">
        <x:v>Broad rolling 8</x:v>
      </x:c>
      <x:c r="E312" s="7" t="n">
        <x:v>45930</x:v>
      </x:c>
      <x:c r="F312" s="2" t="str">
        <x:v>Origin</x:v>
      </x:c>
      <x:c r="G312" s="7" t="n">
        <x:v>45839</x:v>
      </x:c>
      <x:c r="H312" s="2" t="n">
        <x:v>8</x:v>
      </x:c>
      <x:c r="I312" s="8" t="n">
        <x:v>23.005916879315237</x:v>
      </x:c>
      <x:c r="J312" s="8" t="n">
        <x:v>0</x:v>
      </x:c>
      <x:c r="K312" s="8" t="n">
        <x:v>44</x:v>
      </x:c>
      <x:c r="L312" s="8" t="n">
        <x:v>114.01685107244576</x:v>
      </x:c>
      <x:c r="M312" s="8" t="n">
        <x:v>0</x:v>
      </x:c>
      <x:c r="N312" s="8" t="n">
        <x:v>0</x:v>
      </x:c>
      <x:c r="O312" s="8" t="n">
        <x:v>188.28002852273775</x:v>
      </x:c>
      <x:c r="P312" s="8" t="n">
        <x:v>0</x:v>
      </x:c>
      <x:c r="Q312" s="8" t="n">
        <x:v>0.2991645223175299</x:v>
      </x:c>
      <x:c r="R312" s="8" t="n">
        <x:v>0</x:v>
      </x:c>
      <x:c r="S312" s="8" t="n">
        <x:f>L312-I312^2/H312</x:f>
        <x:v>47.85782464020055</x:v>
      </x:c>
      <x:c r="T312" s="8" t="n">
        <x:f>M312-J312^2/H312</x:f>
        <x:v>0</x:v>
      </x:c>
      <x:c r="U312" s="8" t="n">
        <x:f>N312-I312*J312/H312</x:f>
        <x:v>0</x:v>
      </x:c>
      <x:c r="V312" s="8" t="n">
        <x:f>O312-I312*K312/H312</x:f>
        <x:v>61.74748568650395</x:v>
      </x:c>
      <x:c r="W312" s="8" t="n">
        <x:f>P312-J312*K312/H312</x:f>
        <x:v>0</x:v>
      </x:c>
      <x:c r="X312" s="8" t="n">
        <x:f>V312/S312</x:f>
        <x:v>1.290227588711504</x:v>
      </x:c>
      <x:c r="Y312" s="8" t="n">
        <x:f>0</x:f>
        <x:v>0</x:v>
      </x:c>
      <x:c r="Z312" s="8" t="n">
        <x:f>K312/H312-X312*I312/H312-Y312*J312/H312</x:f>
        <x:v>1.7896414173379767</x:v>
      </x:c>
      <x:c r="AA312" s="8" t="n">
        <x:f>Z312+X312*Q312+Y312*R312</x:f>
        <x:v>2.175631737595752</x:v>
      </x:c>
    </x:row>
    <x:row r="313" ht="26" customHeight="1">
      <x:c r="A313" s="2"/>
      <x:c r="B313" s="2" t="n">
        <x:v>308</x:v>
      </x:c>
      <x:c r="C313" s="2" t="str">
        <x:v>Grooming / price_contribution</x:v>
      </x:c>
      <x:c r="D313" s="2" t="str">
        <x:v>Own history</x:v>
      </x:c>
      <x:c r="E313" s="7" t="n">
        <x:v>45930</x:v>
      </x:c>
      <x:c r="F313" s="2" t="str">
        <x:v>Origin</x:v>
      </x:c>
      <x:c r="G313" s="7" t="n">
        <x:v>45839</x:v>
      </x:c>
      <x:c r="H313" s="2" t="n">
        <x:v>15</x:v>
      </x:c>
      <x:c r="I313" s="8" t="n">
        <x:v>92</x:v>
      </x:c>
      <x:c r="J313" s="8" t="n">
        <x:v>0</x:v>
      </x:c>
      <x:c r="K313" s="8" t="n">
        <x:v>91</x:v>
      </x:c>
      <x:c r="L313" s="8" t="n">
        <x:v>722</x:v>
      </x:c>
      <x:c r="M313" s="8" t="n">
        <x:v>0</x:v>
      </x:c>
      <x:c r="N313" s="8" t="n">
        <x:v>0</x:v>
      </x:c>
      <x:c r="O313" s="8" t="n">
        <x:v>636</x:v>
      </x:c>
      <x:c r="P313" s="8" t="n">
        <x:v>0</x:v>
      </x:c>
      <x:c r="Q313" s="8" t="n">
        <x:v>2</x:v>
      </x:c>
      <x:c r="R313" s="8" t="n">
        <x:v>0</x:v>
      </x:c>
      <x:c r="S313" s="8" t="n">
        <x:f>L313-I313^2/H313</x:f>
        <x:v>157.73333333333335</x:v>
      </x:c>
      <x:c r="T313" s="8" t="n">
        <x:f>M313-J313^2/H313</x:f>
        <x:v>0</x:v>
      </x:c>
      <x:c r="U313" s="8" t="n">
        <x:f>N313-I313*J313/H313</x:f>
        <x:v>0</x:v>
      </x:c>
      <x:c r="V313" s="8" t="n">
        <x:f>O313-I313*K313/H313</x:f>
        <x:v>77.86666666666667</x:v>
      </x:c>
      <x:c r="W313" s="8" t="n">
        <x:f>P313-J313*K313/H313</x:f>
        <x:v>0</x:v>
      </x:c>
      <x:c r="X313" s="8" t="n">
        <x:f>V313/S313</x:f>
        <x:v>0.49366018596787825</x:v>
      </x:c>
      <x:c r="Y313" s="8" t="n">
        <x:f>0</x:f>
        <x:v>0</x:v>
      </x:c>
      <x:c r="Z313" s="8" t="n">
        <x:f>K313/H313-X313*I313/H313-Y313*J313/H313</x:f>
        <x:v>3.0388841927303467</x:v>
      </x:c>
      <x:c r="AA313" s="8" t="n">
        <x:f>Z313+X313*Q313+Y313*R313</x:f>
        <x:v>4.026204564666103</x:v>
      </x:c>
    </x:row>
    <x:row r="314" ht="26" customHeight="1">
      <x:c r="A314" s="2"/>
      <x:c r="B314" s="2" t="n">
        <x:v>309</x:v>
      </x:c>
      <x:c r="C314" s="2" t="str">
        <x:v>Grooming / price_contribution</x:v>
      </x:c>
      <x:c r="D314" s="2" t="str">
        <x:v>Broad market</x:v>
      </x:c>
      <x:c r="E314" s="7" t="n">
        <x:v>45930</x:v>
      </x:c>
      <x:c r="F314" s="2" t="str">
        <x:v>Prior report</x:v>
      </x:c>
      <x:c r="G314" s="7" t="n">
        <x:v>45867</x:v>
      </x:c>
      <x:c r="H314" s="2" t="n">
        <x:v>18</x:v>
      </x:c>
      <x:c r="I314" s="8" t="n">
        <x:v>46.45249081892011</x:v>
      </x:c>
      <x:c r="J314" s="8" t="n">
        <x:v>0</x:v>
      </x:c>
      <x:c r="K314" s="8" t="n">
        <x:v>99</x:v>
      </x:c>
      <x:c r="L314" s="8" t="n">
        <x:v>256.8391179897363</x:v>
      </x:c>
      <x:c r="M314" s="8" t="n">
        <x:v>0</x:v>
      </x:c>
      <x:c r="N314" s="8" t="n">
        <x:v>0</x:v>
      </x:c>
      <x:c r="O314" s="8" t="n">
        <x:v>406.5932542420577</x:v>
      </x:c>
      <x:c r="P314" s="8" t="n">
        <x:v>0</x:v>
      </x:c>
      <x:c r="Q314" s="8" t="n">
        <x:v>0.5059057213634421</x:v>
      </x:c>
      <x:c r="R314" s="8" t="n">
        <x:v>0</x:v>
      </x:c>
      <x:c r="S314" s="8" t="n">
        <x:f>L314-I314^2/H314</x:f>
        <x:v>136.95945669629975</x:v>
      </x:c>
      <x:c r="T314" s="8" t="n">
        <x:f>M314-J314^2/H314</x:f>
        <x:v>0</x:v>
      </x:c>
      <x:c r="U314" s="8" t="n">
        <x:f>N314-I314*J314/H314</x:f>
        <x:v>0</x:v>
      </x:c>
      <x:c r="V314" s="8" t="n">
        <x:f>O314-I314*K314/H314</x:f>
        <x:v>151.1045547379971</x:v>
      </x:c>
      <x:c r="W314" s="8" t="n">
        <x:f>P314-J314*K314/H314</x:f>
        <x:v>0</x:v>
      </x:c>
      <x:c r="X314" s="8" t="n">
        <x:f>V314/S314</x:f>
        <x:v>1.1032794549781497</x:v>
      </x:c>
      <x:c r="Y314" s="8" t="n">
        <x:f>0</x:f>
        <x:v>0</x:v>
      </x:c>
      <x:c r="Z314" s="8" t="n">
        <x:f>K314/H314-X314*I314/H314-Y314*J314/H314</x:f>
        <x:v>2.6527734026069063</x:v>
      </x:c>
      <x:c r="AA314" s="8" t="n">
        <x:f>Z314+X314*Q314+Y314*R314</x:f>
        <x:v>3.2109287911430924</x:v>
      </x:c>
    </x:row>
    <x:row r="315" ht="26" customHeight="1">
      <x:c r="A315" s="2"/>
      <x:c r="B315" s="2" t="n">
        <x:v>310</x:v>
      </x:c>
      <x:c r="C315" s="2" t="str">
        <x:v>Grooming / price_contribution</x:v>
      </x:c>
      <x:c r="D315" s="2" t="str">
        <x:v>Broad lag 1</x:v>
      </x:c>
      <x:c r="E315" s="7" t="n">
        <x:v>45930</x:v>
      </x:c>
      <x:c r="F315" s="2" t="str">
        <x:v>Prior report</x:v>
      </x:c>
      <x:c r="G315" s="7" t="n">
        <x:v>45867</x:v>
      </x:c>
      <x:c r="H315" s="2" t="n">
        <x:v>17</x:v>
      </x:c>
      <x:c r="I315" s="8" t="n">
        <x:v>45.946708318435746</x:v>
      </x:c>
      <x:c r="J315" s="8" t="n">
        <x:v>0</x:v>
      </x:c>
      <x:c r="K315" s="8" t="n">
        <x:v>97</x:v>
      </x:c>
      <x:c r="L315" s="8" t="n">
        <x:v>256.58330205194005</x:v>
      </x:c>
      <x:c r="M315" s="8" t="n">
        <x:v>0</x:v>
      </x:c>
      <x:c r="N315" s="8" t="n">
        <x:v>0</x:v>
      </x:c>
      <x:c r="O315" s="8" t="n">
        <x:v>390.97598648790165</x:v>
      </x:c>
      <x:c r="P315" s="8" t="n">
        <x:v>0</x:v>
      </x:c>
      <x:c r="Q315" s="8" t="n">
        <x:v>0.5057825004843641</x:v>
      </x:c>
      <x:c r="R315" s="8" t="n">
        <x:v>0</x:v>
      </x:c>
      <x:c r="S315" s="8" t="n">
        <x:f>L315-I315^2/H315</x:f>
        <x:v>132.40094879903342</x:v>
      </x:c>
      <x:c r="T315" s="8" t="n">
        <x:f>M315-J315^2/H315</x:f>
        <x:v>0</x:v>
      </x:c>
      <x:c r="U315" s="8" t="n">
        <x:f>N315-I315*J315/H315</x:f>
        <x:v>0</x:v>
      </x:c>
      <x:c r="V315" s="8" t="n">
        <x:f>O315-I315*K315/H315</x:f>
        <x:v>128.80947431800354</x:v>
      </x:c>
      <x:c r="W315" s="8" t="n">
        <x:f>P315-J315*K315/H315</x:f>
        <x:v>0</x:v>
      </x:c>
      <x:c r="X315" s="8" t="n">
        <x:f>V315/S315</x:f>
        <x:v>0.9728742541982743</x:v>
      </x:c>
      <x:c r="Y315" s="8" t="n">
        <x:f>0</x:f>
        <x:v>0</x:v>
      </x:c>
      <x:c r="Z315" s="8" t="n">
        <x:f>K315/H315-X315*I315/H315-Y315*J315/H315</x:f>
        <x:v>3.0764488477550693</x:v>
      </x:c>
      <x:c r="AA315" s="8" t="n">
        <x:f>Z315+X315*Q315+Y315*R315</x:f>
        <x:v>3.5685116207003333</x:v>
      </x:c>
    </x:row>
    <x:row r="316" ht="26" customHeight="1">
      <x:c r="A316" s="2"/>
      <x:c r="B316" s="2" t="n">
        <x:v>311</x:v>
      </x:c>
      <x:c r="C316" s="2" t="str">
        <x:v>Grooming / price_contribution</x:v>
      </x:c>
      <x:c r="D316" s="2" t="str">
        <x:v>Broad rolling 8</x:v>
      </x:c>
      <x:c r="E316" s="7" t="n">
        <x:v>45930</x:v>
      </x:c>
      <x:c r="F316" s="2" t="str">
        <x:v>Prior report</x:v>
      </x:c>
      <x:c r="G316" s="7" t="n">
        <x:v>45867</x:v>
      </x:c>
      <x:c r="H316" s="2" t="n">
        <x:v>8</x:v>
      </x:c>
      <x:c r="I316" s="8" t="n">
        <x:v>16.45347214762054</x:v>
      </x:c>
      <x:c r="J316" s="8" t="n">
        <x:v>0</x:v>
      </x:c>
      <x:c r="K316" s="8" t="n">
        <x:v>39</x:v>
      </x:c>
      <x:c r="L316" s="8" t="n">
        <x:v>64.45409534916791</x:v>
      </x:c>
      <x:c r="M316" s="8" t="n">
        <x:v>0</x:v>
      </x:c>
      <x:c r="N316" s="8" t="n">
        <x:v>0</x:v>
      </x:c>
      <x:c r="O316" s="8" t="n">
        <x:v>126.77911343506368</x:v>
      </x:c>
      <x:c r="P316" s="8" t="n">
        <x:v>0</x:v>
      </x:c>
      <x:c r="Q316" s="8" t="n">
        <x:v>0.5059057213634421</x:v>
      </x:c>
      <x:c r="R316" s="8" t="n">
        <x:v>0</x:v>
      </x:c>
      <x:c r="S316" s="8" t="n">
        <x:f>L316-I316^2/H316</x:f>
        <x:v>30.6145021351023</x:v>
      </x:c>
      <x:c r="T316" s="8" t="n">
        <x:f>M316-J316^2/H316</x:f>
        <x:v>0</x:v>
      </x:c>
      <x:c r="U316" s="8" t="n">
        <x:f>N316-I316*J316/H316</x:f>
        <x:v>0</x:v>
      </x:c>
      <x:c r="V316" s="8" t="n">
        <x:f>O316-I316*K316/H316</x:f>
        <x:v>46.56843671541354</x:v>
      </x:c>
      <x:c r="W316" s="8" t="n">
        <x:f>P316-J316*K316/H316</x:f>
        <x:v>0</x:v>
      </x:c>
      <x:c r="X316" s="8" t="n">
        <x:f>V316/S316</x:f>
        <x:v>1.5211234371836677</x:v>
      </x:c>
      <x:c r="Y316" s="8" t="n">
        <x:f>0</x:f>
        <x:v>0</x:v>
      </x:c>
      <x:c r="Z316" s="8" t="n">
        <x:f>K316/H316-X316*I316/H316-Y316*J316/H316</x:f>
        <x:v>1.7465297366507122</x:v>
      </x:c>
      <x:c r="AA316" s="8" t="n">
        <x:f>Z316+X316*Q316+Y316*R316</x:f>
        <x:v>2.516074786421954</x:v>
      </x:c>
    </x:row>
    <x:row r="317" ht="26" customHeight="1">
      <x:c r="A317" s="2"/>
      <x:c r="B317" s="2" t="n">
        <x:v>312</x:v>
      </x:c>
      <x:c r="C317" s="2" t="str">
        <x:v>Grooming / price_contribution</x:v>
      </x:c>
      <x:c r="D317" s="2" t="str">
        <x:v>Own history</x:v>
      </x:c>
      <x:c r="E317" s="7" t="n">
        <x:v>45930</x:v>
      </x:c>
      <x:c r="F317" s="2" t="str">
        <x:v>Prior report</x:v>
      </x:c>
      <x:c r="G317" s="7" t="n">
        <x:v>45867</x:v>
      </x:c>
      <x:c r="H317" s="2" t="n">
        <x:v>17</x:v>
      </x:c>
      <x:c r="I317" s="8" t="n">
        <x:v>95</x:v>
      </x:c>
      <x:c r="J317" s="8" t="n">
        <x:v>0</x:v>
      </x:c>
      <x:c r="K317" s="8" t="n">
        <x:v>97</x:v>
      </x:c>
      <x:c r="L317" s="8" t="n">
        <x:v>727</x:v>
      </x:c>
      <x:c r="M317" s="8" t="n">
        <x:v>0</x:v>
      </x:c>
      <x:c r="N317" s="8" t="n">
        <x:v>0</x:v>
      </x:c>
      <x:c r="O317" s="8" t="n">
        <x:v>692</x:v>
      </x:c>
      <x:c r="P317" s="8" t="n">
        <x:v>0</x:v>
      </x:c>
      <x:c r="Q317" s="8" t="n">
        <x:v>4</x:v>
      </x:c>
      <x:c r="R317" s="8" t="n">
        <x:v>0</x:v>
      </x:c>
      <x:c r="S317" s="8" t="n">
        <x:f>L317-I317^2/H317</x:f>
        <x:v>196.11764705882354</x:v>
      </x:c>
      <x:c r="T317" s="8" t="n">
        <x:f>M317-J317^2/H317</x:f>
        <x:v>0</x:v>
      </x:c>
      <x:c r="U317" s="8" t="n">
        <x:f>N317-I317*J317/H317</x:f>
        <x:v>0</x:v>
      </x:c>
      <x:c r="V317" s="8" t="n">
        <x:f>O317-I317*K317/H317</x:f>
        <x:v>149.9411764705883</x:v>
      </x:c>
      <x:c r="W317" s="8" t="n">
        <x:f>P317-J317*K317/H317</x:f>
        <x:v>0</x:v>
      </x:c>
      <x:c r="X317" s="8" t="n">
        <x:f>V317/S317</x:f>
        <x:v>0.7645470905818839</x:v>
      </x:c>
      <x:c r="Y317" s="8" t="n">
        <x:f>0</x:f>
        <x:v>0</x:v>
      </x:c>
      <x:c r="Z317" s="8" t="n">
        <x:f>K317/H317-X317*I317/H317-Y317*J317/H317</x:f>
        <x:v>1.433413317336531</x:v>
      </x:c>
      <x:c r="AA317" s="8" t="n">
        <x:f>Z317+X317*Q317+Y317*R317</x:f>
        <x:v>4.4916016796640665</x:v>
      </x:c>
    </x:row>
    <x:row r="318" ht="26" customHeight="1">
      <x:c r="A318" s="2"/>
      <x:c r="B318" s="2" t="n">
        <x:v>313</x:v>
      </x:c>
      <x:c r="C318" s="2" t="str">
        <x:v>Grooming / price_contribution</x:v>
      </x:c>
      <x:c r="D318" s="2" t="str">
        <x:v>Broad market</x:v>
      </x:c>
      <x:c r="E318" s="7" t="n">
        <x:v>45930</x:v>
      </x:c>
      <x:c r="F318" s="2" t="str">
        <x:v>Pre-earnings</x:v>
      </x:c>
      <x:c r="G318" s="7" t="n">
        <x:v>45953</x:v>
      </x:c>
      <x:c r="H318" s="2" t="n">
        <x:v>18</x:v>
      </x:c>
      <x:c r="I318" s="8" t="n">
        <x:v>46.45249081892011</x:v>
      </x:c>
      <x:c r="J318" s="8" t="n">
        <x:v>0</x:v>
      </x:c>
      <x:c r="K318" s="8" t="n">
        <x:v>99</x:v>
      </x:c>
      <x:c r="L318" s="8" t="n">
        <x:v>256.8391179897363</x:v>
      </x:c>
      <x:c r="M318" s="8" t="n">
        <x:v>0</x:v>
      </x:c>
      <x:c r="N318" s="8" t="n">
        <x:v>0</x:v>
      </x:c>
      <x:c r="O318" s="8" t="n">
        <x:v>406.5932542420577</x:v>
      </x:c>
      <x:c r="P318" s="8" t="n">
        <x:v>0</x:v>
      </x:c>
      <x:c r="Q318" s="8" t="n">
        <x:v>0.7549675714320525</x:v>
      </x:c>
      <x:c r="R318" s="8" t="n">
        <x:v>0</x:v>
      </x:c>
      <x:c r="S318" s="8" t="n">
        <x:f>L318-I318^2/H318</x:f>
        <x:v>136.95945669629975</x:v>
      </x:c>
      <x:c r="T318" s="8" t="n">
        <x:f>M318-J318^2/H318</x:f>
        <x:v>0</x:v>
      </x:c>
      <x:c r="U318" s="8" t="n">
        <x:f>N318-I318*J318/H318</x:f>
        <x:v>0</x:v>
      </x:c>
      <x:c r="V318" s="8" t="n">
        <x:f>O318-I318*K318/H318</x:f>
        <x:v>151.1045547379971</x:v>
      </x:c>
      <x:c r="W318" s="8" t="n">
        <x:f>P318-J318*K318/H318</x:f>
        <x:v>0</x:v>
      </x:c>
      <x:c r="X318" s="8" t="n">
        <x:f>V318/S318</x:f>
        <x:v>1.1032794549781497</x:v>
      </x:c>
      <x:c r="Y318" s="8" t="n">
        <x:f>0</x:f>
        <x:v>0</x:v>
      </x:c>
      <x:c r="Z318" s="8" t="n">
        <x:f>K318/H318-X318*I318/H318-Y318*J318/H318</x:f>
        <x:v>2.6527734026069063</x:v>
      </x:c>
      <x:c r="AA318" s="8" t="n">
        <x:f>Z318+X318*Q318+Y318*R318</x:f>
        <x:v>3.4857136133426385</x:v>
      </x:c>
    </x:row>
    <x:row r="319" ht="26" customHeight="1">
      <x:c r="A319" s="2"/>
      <x:c r="B319" s="2" t="n">
        <x:v>314</x:v>
      </x:c>
      <x:c r="C319" s="2" t="str">
        <x:v>Grooming / price_contribution</x:v>
      </x:c>
      <x:c r="D319" s="2" t="str">
        <x:v>Broad lag 1</x:v>
      </x:c>
      <x:c r="E319" s="7" t="n">
        <x:v>45930</x:v>
      </x:c>
      <x:c r="F319" s="2" t="str">
        <x:v>Pre-earnings</x:v>
      </x:c>
      <x:c r="G319" s="7" t="n">
        <x:v>45953</x:v>
      </x:c>
      <x:c r="H319" s="2" t="n">
        <x:v>17</x:v>
      </x:c>
      <x:c r="I319" s="8" t="n">
        <x:v>45.946708318435746</x:v>
      </x:c>
      <x:c r="J319" s="8" t="n">
        <x:v>0</x:v>
      </x:c>
      <x:c r="K319" s="8" t="n">
        <x:v>97</x:v>
      </x:c>
      <x:c r="L319" s="8" t="n">
        <x:v>256.58330205194005</x:v>
      </x:c>
      <x:c r="M319" s="8" t="n">
        <x:v>0</x:v>
      </x:c>
      <x:c r="N319" s="8" t="n">
        <x:v>0</x:v>
      </x:c>
      <x:c r="O319" s="8" t="n">
        <x:v>390.97598648790165</x:v>
      </x:c>
      <x:c r="P319" s="8" t="n">
        <x:v>0</x:v>
      </x:c>
      <x:c r="Q319" s="8" t="n">
        <x:v>0.5057825004843641</x:v>
      </x:c>
      <x:c r="R319" s="8" t="n">
        <x:v>0</x:v>
      </x:c>
      <x:c r="S319" s="8" t="n">
        <x:f>L319-I319^2/H319</x:f>
        <x:v>132.40094879903342</x:v>
      </x:c>
      <x:c r="T319" s="8" t="n">
        <x:f>M319-J319^2/H319</x:f>
        <x:v>0</x:v>
      </x:c>
      <x:c r="U319" s="8" t="n">
        <x:f>N319-I319*J319/H319</x:f>
        <x:v>0</x:v>
      </x:c>
      <x:c r="V319" s="8" t="n">
        <x:f>O319-I319*K319/H319</x:f>
        <x:v>128.80947431800354</x:v>
      </x:c>
      <x:c r="W319" s="8" t="n">
        <x:f>P319-J319*K319/H319</x:f>
        <x:v>0</x:v>
      </x:c>
      <x:c r="X319" s="8" t="n">
        <x:f>V319/S319</x:f>
        <x:v>0.9728742541982743</x:v>
      </x:c>
      <x:c r="Y319" s="8" t="n">
        <x:f>0</x:f>
        <x:v>0</x:v>
      </x:c>
      <x:c r="Z319" s="8" t="n">
        <x:f>K319/H319-X319*I319/H319-Y319*J319/H319</x:f>
        <x:v>3.0764488477550693</x:v>
      </x:c>
      <x:c r="AA319" s="8" t="n">
        <x:f>Z319+X319*Q319+Y319*R319</x:f>
        <x:v>3.5685116207003333</x:v>
      </x:c>
    </x:row>
    <x:row r="320" ht="26" customHeight="1">
      <x:c r="A320" s="2"/>
      <x:c r="B320" s="2" t="n">
        <x:v>315</x:v>
      </x:c>
      <x:c r="C320" s="2" t="str">
        <x:v>Grooming / price_contribution</x:v>
      </x:c>
      <x:c r="D320" s="2" t="str">
        <x:v>Broad rolling 8</x:v>
      </x:c>
      <x:c r="E320" s="7" t="n">
        <x:v>45930</x:v>
      </x:c>
      <x:c r="F320" s="2" t="str">
        <x:v>Pre-earnings</x:v>
      </x:c>
      <x:c r="G320" s="7" t="n">
        <x:v>45953</x:v>
      </x:c>
      <x:c r="H320" s="2" t="n">
        <x:v>8</x:v>
      </x:c>
      <x:c r="I320" s="8" t="n">
        <x:v>16.45347214762054</x:v>
      </x:c>
      <x:c r="J320" s="8" t="n">
        <x:v>0</x:v>
      </x:c>
      <x:c r="K320" s="8" t="n">
        <x:v>39</x:v>
      </x:c>
      <x:c r="L320" s="8" t="n">
        <x:v>64.45409534916791</x:v>
      </x:c>
      <x:c r="M320" s="8" t="n">
        <x:v>0</x:v>
      </x:c>
      <x:c r="N320" s="8" t="n">
        <x:v>0</x:v>
      </x:c>
      <x:c r="O320" s="8" t="n">
        <x:v>126.77911343506368</x:v>
      </x:c>
      <x:c r="P320" s="8" t="n">
        <x:v>0</x:v>
      </x:c>
      <x:c r="Q320" s="8" t="n">
        <x:v>0.7549675714320525</x:v>
      </x:c>
      <x:c r="R320" s="8" t="n">
        <x:v>0</x:v>
      </x:c>
      <x:c r="S320" s="8" t="n">
        <x:f>L320-I320^2/H320</x:f>
        <x:v>30.6145021351023</x:v>
      </x:c>
      <x:c r="T320" s="8" t="n">
        <x:f>M320-J320^2/H320</x:f>
        <x:v>0</x:v>
      </x:c>
      <x:c r="U320" s="8" t="n">
        <x:f>N320-I320*J320/H320</x:f>
        <x:v>0</x:v>
      </x:c>
      <x:c r="V320" s="8" t="n">
        <x:f>O320-I320*K320/H320</x:f>
        <x:v>46.56843671541354</x:v>
      </x:c>
      <x:c r="W320" s="8" t="n">
        <x:f>P320-J320*K320/H320</x:f>
        <x:v>0</x:v>
      </x:c>
      <x:c r="X320" s="8" t="n">
        <x:f>V320/S320</x:f>
        <x:v>1.5211234371836677</x:v>
      </x:c>
      <x:c r="Y320" s="8" t="n">
        <x:f>0</x:f>
        <x:v>0</x:v>
      </x:c>
      <x:c r="Z320" s="8" t="n">
        <x:f>K320/H320-X320*I320/H320-Y320*J320/H320</x:f>
        <x:v>1.7465297366507122</x:v>
      </x:c>
      <x:c r="AA320" s="8" t="n">
        <x:f>Z320+X320*Q320+Y320*R320</x:f>
        <x:v>2.894928603869642</x:v>
      </x:c>
    </x:row>
    <x:row r="321" ht="26" customHeight="1">
      <x:c r="A321" s="2"/>
      <x:c r="B321" s="2" t="n">
        <x:v>316</x:v>
      </x:c>
      <x:c r="C321" s="2" t="str">
        <x:v>Grooming / price_contribution</x:v>
      </x:c>
      <x:c r="D321" s="2" t="str">
        <x:v>Own history</x:v>
      </x:c>
      <x:c r="E321" s="7" t="n">
        <x:v>45930</x:v>
      </x:c>
      <x:c r="F321" s="2" t="str">
        <x:v>Pre-earnings</x:v>
      </x:c>
      <x:c r="G321" s="7" t="n">
        <x:v>45953</x:v>
      </x:c>
      <x:c r="H321" s="2" t="n">
        <x:v>17</x:v>
      </x:c>
      <x:c r="I321" s="8" t="n">
        <x:v>95</x:v>
      </x:c>
      <x:c r="J321" s="8" t="n">
        <x:v>0</x:v>
      </x:c>
      <x:c r="K321" s="8" t="n">
        <x:v>97</x:v>
      </x:c>
      <x:c r="L321" s="8" t="n">
        <x:v>727</x:v>
      </x:c>
      <x:c r="M321" s="8" t="n">
        <x:v>0</x:v>
      </x:c>
      <x:c r="N321" s="8" t="n">
        <x:v>0</x:v>
      </x:c>
      <x:c r="O321" s="8" t="n">
        <x:v>692</x:v>
      </x:c>
      <x:c r="P321" s="8" t="n">
        <x:v>0</x:v>
      </x:c>
      <x:c r="Q321" s="8" t="n">
        <x:v>4</x:v>
      </x:c>
      <x:c r="R321" s="8" t="n">
        <x:v>0</x:v>
      </x:c>
      <x:c r="S321" s="8" t="n">
        <x:f>L321-I321^2/H321</x:f>
        <x:v>196.11764705882354</x:v>
      </x:c>
      <x:c r="T321" s="8" t="n">
        <x:f>M321-J321^2/H321</x:f>
        <x:v>0</x:v>
      </x:c>
      <x:c r="U321" s="8" t="n">
        <x:f>N321-I321*J321/H321</x:f>
        <x:v>0</x:v>
      </x:c>
      <x:c r="V321" s="8" t="n">
        <x:f>O321-I321*K321/H321</x:f>
        <x:v>149.9411764705883</x:v>
      </x:c>
      <x:c r="W321" s="8" t="n">
        <x:f>P321-J321*K321/H321</x:f>
        <x:v>0</x:v>
      </x:c>
      <x:c r="X321" s="8" t="n">
        <x:f>V321/S321</x:f>
        <x:v>0.7645470905818839</x:v>
      </x:c>
      <x:c r="Y321" s="8" t="n">
        <x:f>0</x:f>
        <x:v>0</x:v>
      </x:c>
      <x:c r="Z321" s="8" t="n">
        <x:f>K321/H321-X321*I321/H321-Y321*J321/H321</x:f>
        <x:v>1.433413317336531</x:v>
      </x:c>
      <x:c r="AA321" s="8" t="n">
        <x:f>Z321+X321*Q321+Y321*R321</x:f>
        <x:v>4.4916016796640665</x:v>
      </x:c>
    </x:row>
    <x:row r="322" ht="26" customHeight="1">
      <x:c r="A322" s="2"/>
      <x:c r="B322" s="2" t="n">
        <x:v>317</x:v>
      </x:c>
      <x:c r="C322" s="2" t="str">
        <x:v>Grooming / price_contribution</x:v>
      </x:c>
      <x:c r="D322" s="2" t="str">
        <x:v>Broad market</x:v>
      </x:c>
      <x:c r="E322" s="7" t="n">
        <x:v>46022</x:v>
      </x:c>
      <x:c r="F322" s="2" t="str">
        <x:v>Origin</x:v>
      </x:c>
      <x:c r="G322" s="7" t="n">
        <x:v>45931</x:v>
      </x:c>
      <x:c r="H322" s="2" t="n">
        <x:v>18</x:v>
      </x:c>
      <x:c r="I322" s="8" t="n">
        <x:v>46.45249081892011</x:v>
      </x:c>
      <x:c r="J322" s="8" t="n">
        <x:v>0</x:v>
      </x:c>
      <x:c r="K322" s="8" t="n">
        <x:v>99</x:v>
      </x:c>
      <x:c r="L322" s="8" t="n">
        <x:v>256.8391179897363</x:v>
      </x:c>
      <x:c r="M322" s="8" t="n">
        <x:v>0</x:v>
      </x:c>
      <x:c r="N322" s="8" t="n">
        <x:v>0</x:v>
      </x:c>
      <x:c r="O322" s="8" t="n">
        <x:v>406.5932542420577</x:v>
      </x:c>
      <x:c r="P322" s="8" t="n">
        <x:v>0</x:v>
      </x:c>
      <x:c r="Q322" s="8" t="n">
        <x:v>0.7271943192673103</x:v>
      </x:c>
      <x:c r="R322" s="8" t="n">
        <x:v>0</x:v>
      </x:c>
      <x:c r="S322" s="8" t="n">
        <x:f>L322-I322^2/H322</x:f>
        <x:v>136.95945669629975</x:v>
      </x:c>
      <x:c r="T322" s="8" t="n">
        <x:f>M322-J322^2/H322</x:f>
        <x:v>0</x:v>
      </x:c>
      <x:c r="U322" s="8" t="n">
        <x:f>N322-I322*J322/H322</x:f>
        <x:v>0</x:v>
      </x:c>
      <x:c r="V322" s="8" t="n">
        <x:f>O322-I322*K322/H322</x:f>
        <x:v>151.1045547379971</x:v>
      </x:c>
      <x:c r="W322" s="8" t="n">
        <x:f>P322-J322*K322/H322</x:f>
        <x:v>0</x:v>
      </x:c>
      <x:c r="X322" s="8" t="n">
        <x:f>V322/S322</x:f>
        <x:v>1.1032794549781497</x:v>
      </x:c>
      <x:c r="Y322" s="8" t="n">
        <x:f>0</x:f>
        <x:v>0</x:v>
      </x:c>
      <x:c r="Z322" s="8" t="n">
        <x:f>K322/H322-X322*I322/H322-Y322*J322/H322</x:f>
        <x:v>2.6527734026069063</x:v>
      </x:c>
      <x:c r="AA322" s="8" t="n">
        <x:f>Z322+X322*Q322+Y322*R322</x:f>
        <x:v>3.455071954831351</x:v>
      </x:c>
    </x:row>
    <x:row r="323" ht="26" customHeight="1">
      <x:c r="A323" s="2"/>
      <x:c r="B323" s="2" t="n">
        <x:v>318</x:v>
      </x:c>
      <x:c r="C323" s="2" t="str">
        <x:v>Grooming / price_contribution</x:v>
      </x:c>
      <x:c r="D323" s="2" t="str">
        <x:v>Broad rolling 8</x:v>
      </x:c>
      <x:c r="E323" s="7" t="n">
        <x:v>46022</x:v>
      </x:c>
      <x:c r="F323" s="2" t="str">
        <x:v>Origin</x:v>
      </x:c>
      <x:c r="G323" s="7" t="n">
        <x:v>45931</x:v>
      </x:c>
      <x:c r="H323" s="2" t="n">
        <x:v>8</x:v>
      </x:c>
      <x:c r="I323" s="8" t="n">
        <x:v>16.45347214762054</x:v>
      </x:c>
      <x:c r="J323" s="8" t="n">
        <x:v>0</x:v>
      </x:c>
      <x:c r="K323" s="8" t="n">
        <x:v>39</x:v>
      </x:c>
      <x:c r="L323" s="8" t="n">
        <x:v>64.45409534916791</x:v>
      </x:c>
      <x:c r="M323" s="8" t="n">
        <x:v>0</x:v>
      </x:c>
      <x:c r="N323" s="8" t="n">
        <x:v>0</x:v>
      </x:c>
      <x:c r="O323" s="8" t="n">
        <x:v>126.77911343506368</x:v>
      </x:c>
      <x:c r="P323" s="8" t="n">
        <x:v>0</x:v>
      </x:c>
      <x:c r="Q323" s="8" t="n">
        <x:v>0.7271943192673103</x:v>
      </x:c>
      <x:c r="R323" s="8" t="n">
        <x:v>0</x:v>
      </x:c>
      <x:c r="S323" s="8" t="n">
        <x:f>L323-I323^2/H323</x:f>
        <x:v>30.6145021351023</x:v>
      </x:c>
      <x:c r="T323" s="8" t="n">
        <x:f>M323-J323^2/H323</x:f>
        <x:v>0</x:v>
      </x:c>
      <x:c r="U323" s="8" t="n">
        <x:f>N323-I323*J323/H323</x:f>
        <x:v>0</x:v>
      </x:c>
      <x:c r="V323" s="8" t="n">
        <x:f>O323-I323*K323/H323</x:f>
        <x:v>46.56843671541354</x:v>
      </x:c>
      <x:c r="W323" s="8" t="n">
        <x:f>P323-J323*K323/H323</x:f>
        <x:v>0</x:v>
      </x:c>
      <x:c r="X323" s="8" t="n">
        <x:f>V323/S323</x:f>
        <x:v>1.5211234371836677</x:v>
      </x:c>
      <x:c r="Y323" s="8" t="n">
        <x:f>0</x:f>
        <x:v>0</x:v>
      </x:c>
      <x:c r="Z323" s="8" t="n">
        <x:f>K323/H323-X323*I323/H323-Y323*J323/H323</x:f>
        <x:v>1.7465297366507122</x:v>
      </x:c>
      <x:c r="AA323" s="8" t="n">
        <x:f>Z323+X323*Q323+Y323*R323</x:f>
        <x:v>2.8526820590750406</x:v>
      </x:c>
    </x:row>
    <x:row r="324" ht="26" customHeight="1">
      <x:c r="A324" s="2"/>
      <x:c r="B324" s="2" t="n">
        <x:v>319</x:v>
      </x:c>
      <x:c r="C324" s="2" t="str">
        <x:v>Grooming / price_contribution</x:v>
      </x:c>
      <x:c r="D324" s="2" t="str">
        <x:v>Own history</x:v>
      </x:c>
      <x:c r="E324" s="7" t="n">
        <x:v>46022</x:v>
      </x:c>
      <x:c r="F324" s="2" t="str">
        <x:v>Origin</x:v>
      </x:c>
      <x:c r="G324" s="7" t="n">
        <x:v>45931</x:v>
      </x:c>
      <x:c r="H324" s="2" t="n">
        <x:v>16</x:v>
      </x:c>
      <x:c r="I324" s="8" t="n">
        <x:v>93</x:v>
      </x:c>
      <x:c r="J324" s="8" t="n">
        <x:v>0</x:v>
      </x:c>
      <x:c r="K324" s="8" t="n">
        <x:v>95</x:v>
      </x:c>
      <x:c r="L324" s="8" t="n">
        <x:v>723</x:v>
      </x:c>
      <x:c r="M324" s="8" t="n">
        <x:v>0</x:v>
      </x:c>
      <x:c r="N324" s="8" t="n">
        <x:v>0</x:v>
      </x:c>
      <x:c r="O324" s="8" t="n">
        <x:v>640</x:v>
      </x:c>
      <x:c r="P324" s="8" t="n">
        <x:v>0</x:v>
      </x:c>
      <x:c r="Q324" s="8" t="n">
        <x:v>4</x:v>
      </x:c>
      <x:c r="R324" s="8" t="n">
        <x:v>0</x:v>
      </x:c>
      <x:c r="S324" s="8" t="n">
        <x:f>L324-I324^2/H324</x:f>
        <x:v>182.4375</x:v>
      </x:c>
      <x:c r="T324" s="8" t="n">
        <x:f>M324-J324^2/H324</x:f>
        <x:v>0</x:v>
      </x:c>
      <x:c r="U324" s="8" t="n">
        <x:f>N324-I324*J324/H324</x:f>
        <x:v>0</x:v>
      </x:c>
      <x:c r="V324" s="8" t="n">
        <x:f>O324-I324*K324/H324</x:f>
        <x:v>87.8125</x:v>
      </x:c>
      <x:c r="W324" s="8" t="n">
        <x:f>P324-J324*K324/H324</x:f>
        <x:v>0</x:v>
      </x:c>
      <x:c r="X324" s="8" t="n">
        <x:f>V324/S324</x:f>
        <x:v>0.48132922233641656</x:v>
      </x:c>
      <x:c r="Y324" s="8" t="n">
        <x:f>0</x:f>
        <x:v>0</x:v>
      </x:c>
      <x:c r="Z324" s="8" t="n">
        <x:f>K324/H324-X324*I324/H324-Y324*J324/H324</x:f>
        <x:v>3.139773895169579</x:v>
      </x:c>
      <x:c r="AA324" s="8" t="n">
        <x:f>Z324+X324*Q324+Y324*R324</x:f>
        <x:v>5.065090784515245</x:v>
      </x:c>
    </x:row>
    <x:row r="325" ht="26" customHeight="1">
      <x:c r="A325" s="2"/>
      <x:c r="B325" s="2" t="n">
        <x:v>320</x:v>
      </x:c>
      <x:c r="C325" s="2" t="str">
        <x:v>Grooming / price_contribution</x:v>
      </x:c>
      <x:c r="D325" s="2" t="str">
        <x:v>Broad market</x:v>
      </x:c>
      <x:c r="E325" s="7" t="n">
        <x:v>46022</x:v>
      </x:c>
      <x:c r="F325" s="2" t="str">
        <x:v>Prior report</x:v>
      </x:c>
      <x:c r="G325" s="7" t="n">
        <x:v>45954</x:v>
      </x:c>
      <x:c r="H325" s="2" t="n">
        <x:v>19</x:v>
      </x:c>
      <x:c r="I325" s="8" t="n">
        <x:v>47.46071724596763</x:v>
      </x:c>
      <x:c r="J325" s="8" t="n">
        <x:v>0</x:v>
      </x:c>
      <x:c r="K325" s="8" t="n">
        <x:v>103</x:v>
      </x:c>
      <x:c r="L325" s="8" t="n">
        <x:v>257.85563851793324</x:v>
      </x:c>
      <x:c r="M325" s="8" t="n">
        <x:v>0</x:v>
      </x:c>
      <x:c r="N325" s="8" t="n">
        <x:v>0</x:v>
      </x:c>
      <x:c r="O325" s="8" t="n">
        <x:v>410.62615995024777</x:v>
      </x:c>
      <x:c r="P325" s="8" t="n">
        <x:v>0</x:v>
      </x:c>
      <x:c r="Q325" s="8" t="n">
        <x:v>1.0083244241182232</x:v>
      </x:c>
      <x:c r="R325" s="8" t="n">
        <x:v>0</x:v>
      </x:c>
      <x:c r="S325" s="8" t="n">
        <x:f>L325-I325^2/H325</x:f>
        <x:v>139.30197107047593</x:v>
      </x:c>
      <x:c r="T325" s="8" t="n">
        <x:f>M325-J325^2/H325</x:f>
        <x:v>0</x:v>
      </x:c>
      <x:c r="U325" s="8" t="n">
        <x:f>N325-I325*J325/H325</x:f>
        <x:v>0</x:v>
      </x:c>
      <x:c r="V325" s="8" t="n">
        <x:f>O325-I325*K325/H325</x:f>
        <x:v>153.33911382737062</x:v>
      </x:c>
      <x:c r="W325" s="8" t="n">
        <x:f>P325-J325*K325/H325</x:f>
        <x:v>0</x:v>
      </x:c>
      <x:c r="X325" s="8" t="n">
        <x:f>V325/S325</x:f>
        <x:v>1.1007677253166288</x:v>
      </x:c>
      <x:c r="Y325" s="8" t="n">
        <x:f>0</x:f>
        <x:v>0</x:v>
      </x:c>
      <x:c r="Z325" s="8" t="n">
        <x:f>K325/H325-X325*I325/H325-Y325*J325/H325</x:f>
        <x:v>2.6714091702768696</x:v>
      </x:c>
      <x:c r="AA325" s="8" t="n">
        <x:f>Z325+X325*Q325+Y325*R325</x:f>
        <x:v>3.781340152994686</x:v>
      </x:c>
    </x:row>
    <x:row r="326" ht="26" customHeight="1">
      <x:c r="A326" s="2"/>
      <x:c r="B326" s="2" t="n">
        <x:v>321</x:v>
      </x:c>
      <x:c r="C326" s="2" t="str">
        <x:v>Grooming / price_contribution</x:v>
      </x:c>
      <x:c r="D326" s="2" t="str">
        <x:v>Broad lag 1</x:v>
      </x:c>
      <x:c r="E326" s="7" t="n">
        <x:v>46022</x:v>
      </x:c>
      <x:c r="F326" s="2" t="str">
        <x:v>Prior report</x:v>
      </x:c>
      <x:c r="G326" s="7" t="n">
        <x:v>45954</x:v>
      </x:c>
      <x:c r="H326" s="2" t="n">
        <x:v>18</x:v>
      </x:c>
      <x:c r="I326" s="8" t="n">
        <x:v>46.45249081892011</x:v>
      </x:c>
      <x:c r="J326" s="8" t="n">
        <x:v>0</x:v>
      </x:c>
      <x:c r="K326" s="8" t="n">
        <x:v>101</x:v>
      </x:c>
      <x:c r="L326" s="8" t="n">
        <x:v>256.8391179897363</x:v>
      </x:c>
      <x:c r="M326" s="8" t="n">
        <x:v>0</x:v>
      </x:c>
      <x:c r="N326" s="8" t="n">
        <x:v>0</x:v>
      </x:c>
      <x:c r="O326" s="8" t="n">
        <x:v>392.99911648983914</x:v>
      </x:c>
      <x:c r="P326" s="8" t="n">
        <x:v>0</x:v>
      </x:c>
      <x:c r="Q326" s="8" t="n">
        <x:v>1.0082264270475205</x:v>
      </x:c>
      <x:c r="R326" s="8" t="n">
        <x:v>0</x:v>
      </x:c>
      <x:c r="S326" s="8" t="n">
        <x:f>L326-I326^2/H326</x:f>
        <x:v>136.95945669629975</x:v>
      </x:c>
      <x:c r="T326" s="8" t="n">
        <x:f>M326-J326^2/H326</x:f>
        <x:v>0</x:v>
      </x:c>
      <x:c r="U326" s="8" t="n">
        <x:f>N326-I326*J326/H326</x:f>
        <x:v>0</x:v>
      </x:c>
      <x:c r="V326" s="8" t="n">
        <x:f>O326-I326*K326/H326</x:f>
        <x:v>132.34902911700965</x:v>
      </x:c>
      <x:c r="W326" s="8" t="n">
        <x:f>P326-J326*K326/H326</x:f>
        <x:v>0</x:v>
      </x:c>
      <x:c r="X326" s="8" t="n">
        <x:f>V326/S326</x:f>
        <x:v>0.9663372819190319</x:v>
      </x:c>
      <x:c r="Y326" s="8" t="n">
        <x:f>0</x:f>
        <x:v>0</x:v>
      </x:c>
      <x:c r="Z326" s="8" t="n">
        <x:f>K326/H326-X326*I326/H326-Y326*J326/H326</x:f>
        <x:v>3.1172903490931083</x:v>
      </x:c>
      <x:c r="AA326" s="8" t="n">
        <x:f>Z326+X326*Q326+Y326*R326</x:f>
        <x:v>4.091577134165147</x:v>
      </x:c>
    </x:row>
    <x:row r="327" ht="26" customHeight="1">
      <x:c r="A327" s="2"/>
      <x:c r="B327" s="2" t="n">
        <x:v>322</x:v>
      </x:c>
      <x:c r="C327" s="2" t="str">
        <x:v>Grooming / price_contribution</x:v>
      </x:c>
      <x:c r="D327" s="2" t="str">
        <x:v>Broad rolling 8</x:v>
      </x:c>
      <x:c r="E327" s="7" t="n">
        <x:v>46022</x:v>
      </x:c>
      <x:c r="F327" s="2" t="str">
        <x:v>Prior report</x:v>
      </x:c>
      <x:c r="G327" s="7" t="n">
        <x:v>45954</x:v>
      </x:c>
      <x:c r="H327" s="2" t="n">
        <x:v>8</x:v>
      </x:c>
      <x:c r="I327" s="8" t="n">
        <x:v>11.968105858946277</x:v>
      </x:c>
      <x:c r="J327" s="8" t="n">
        <x:v>0</x:v>
      </x:c>
      <x:c r="K327" s="8" t="n">
        <x:v>34</x:v>
      </x:c>
      <x:c r="L327" s="8" t="n">
        <x:v>35.29105495113347</x:v>
      </x:c>
      <x:c r="M327" s="8" t="n">
        <x:v>0</x:v>
      </x:c>
      <x:c r="N327" s="8" t="n">
        <x:v>0</x:v>
      </x:c>
      <x:c r="O327" s="8" t="n">
        <x:v>81.36968470175769</x:v>
      </x:c>
      <x:c r="P327" s="8" t="n">
        <x:v>0</x:v>
      </x:c>
      <x:c r="Q327" s="8" t="n">
        <x:v>1.0083244241182232</x:v>
      </x:c>
      <x:c r="R327" s="8" t="n">
        <x:v>0</x:v>
      </x:c>
      <x:c r="S327" s="8" t="n">
        <x:f>L327-I327^2/H327</x:f>
        <x:v>17.38661021976544</x:v>
      </x:c>
      <x:c r="T327" s="8" t="n">
        <x:f>M327-J327^2/H327</x:f>
        <x:v>0</x:v>
      </x:c>
      <x:c r="U327" s="8" t="n">
        <x:f>N327-I327*J327/H327</x:f>
        <x:v>0</x:v>
      </x:c>
      <x:c r="V327" s="8" t="n">
        <x:f>O327-I327*K327/H327</x:f>
        <x:v>30.505234801236014</x:v>
      </x:c>
      <x:c r="W327" s="8" t="n">
        <x:f>P327-J327*K327/H327</x:f>
        <x:v>0</x:v>
      </x:c>
      <x:c r="X327" s="8" t="n">
        <x:f>V327/S327</x:f>
        <x:v>1.7545245689442708</x:v>
      </x:c>
      <x:c r="Y327" s="8" t="n">
        <x:f>0</x:f>
        <x:v>0</x:v>
      </x:c>
      <x:c r="Z327" s="8" t="n">
        <x:f>K327/H327-X327*I327/H327-Y327*J327/H327</x:f>
        <x:v>1.6252080283441104</x:v>
      </x:c>
      <x:c r="AA327" s="8" t="n">
        <x:f>Z327+X327*Q327+Y327*R327</x:f>
        <x:v>3.3943380039261157</x:v>
      </x:c>
    </x:row>
    <x:row r="328" ht="26" customHeight="1">
      <x:c r="A328" s="2"/>
      <x:c r="B328" s="2" t="n">
        <x:v>323</x:v>
      </x:c>
      <x:c r="C328" s="2" t="str">
        <x:v>Grooming / price_contribution</x:v>
      </x:c>
      <x:c r="D328" s="2" t="str">
        <x:v>Own history</x:v>
      </x:c>
      <x:c r="E328" s="7" t="n">
        <x:v>46022</x:v>
      </x:c>
      <x:c r="F328" s="2" t="str">
        <x:v>Prior report</x:v>
      </x:c>
      <x:c r="G328" s="7" t="n">
        <x:v>45954</x:v>
      </x:c>
      <x:c r="H328" s="2" t="n">
        <x:v>18</x:v>
      </x:c>
      <x:c r="I328" s="8" t="n">
        <x:v>99</x:v>
      </x:c>
      <x:c r="J328" s="8" t="n">
        <x:v>0</x:v>
      </x:c>
      <x:c r="K328" s="8" t="n">
        <x:v>101</x:v>
      </x:c>
      <x:c r="L328" s="8" t="n">
        <x:v>743</x:v>
      </x:c>
      <x:c r="M328" s="8" t="n">
        <x:v>0</x:v>
      </x:c>
      <x:c r="N328" s="8" t="n">
        <x:v>0</x:v>
      </x:c>
      <x:c r="O328" s="8" t="n">
        <x:v>708</x:v>
      </x:c>
      <x:c r="P328" s="8" t="n">
        <x:v>0</x:v>
      </x:c>
      <x:c r="Q328" s="8" t="n">
        <x:v>4</x:v>
      </x:c>
      <x:c r="R328" s="8" t="n">
        <x:v>0</x:v>
      </x:c>
      <x:c r="S328" s="8" t="n">
        <x:f>L328-I328^2/H328</x:f>
        <x:v>198.5</x:v>
      </x:c>
      <x:c r="T328" s="8" t="n">
        <x:f>M328-J328^2/H328</x:f>
        <x:v>0</x:v>
      </x:c>
      <x:c r="U328" s="8" t="n">
        <x:f>N328-I328*J328/H328</x:f>
        <x:v>0</x:v>
      </x:c>
      <x:c r="V328" s="8" t="n">
        <x:f>O328-I328*K328/H328</x:f>
        <x:v>152.5</x:v>
      </x:c>
      <x:c r="W328" s="8" t="n">
        <x:f>P328-J328*K328/H328</x:f>
        <x:v>0</x:v>
      </x:c>
      <x:c r="X328" s="8" t="n">
        <x:f>V328/S328</x:f>
        <x:v>0.7682619647355163</x:v>
      </x:c>
      <x:c r="Y328" s="8" t="n">
        <x:f>0</x:f>
        <x:v>0</x:v>
      </x:c>
      <x:c r="Z328" s="8" t="n">
        <x:f>K328/H328-X328*I328/H328-Y328*J328/H328</x:f>
        <x:v>1.385670305065771</x:v>
      </x:c>
      <x:c r="AA328" s="8" t="n">
        <x:f>Z328+X328*Q328+Y328*R328</x:f>
        <x:v>4.458718164007836</x:v>
      </x:c>
    </x:row>
    <x:row r="329" ht="26" customHeight="1">
      <x:c r="A329" s="2"/>
      <x:c r="B329" s="2" t="n">
        <x:v>324</x:v>
      </x:c>
      <x:c r="C329" s="2" t="str">
        <x:v>Grooming / price_contribution</x:v>
      </x:c>
      <x:c r="D329" s="2" t="str">
        <x:v>Broad market</x:v>
      </x:c>
      <x:c r="E329" s="7" t="n">
        <x:v>46022</x:v>
      </x:c>
      <x:c r="F329" s="2" t="str">
        <x:v>Pre-earnings</x:v>
      </x:c>
      <x:c r="G329" s="7" t="n">
        <x:v>46044</x:v>
      </x:c>
      <x:c r="H329" s="2" t="n">
        <x:v>19</x:v>
      </x:c>
      <x:c r="I329" s="8" t="n">
        <x:v>47.46071724596763</x:v>
      </x:c>
      <x:c r="J329" s="8" t="n">
        <x:v>0</x:v>
      </x:c>
      <x:c r="K329" s="8" t="n">
        <x:v>103</x:v>
      </x:c>
      <x:c r="L329" s="8" t="n">
        <x:v>257.85563851793324</x:v>
      </x:c>
      <x:c r="M329" s="8" t="n">
        <x:v>0</x:v>
      </x:c>
      <x:c r="N329" s="8" t="n">
        <x:v>0</x:v>
      </x:c>
      <x:c r="O329" s="8" t="n">
        <x:v>410.62615995024777</x:v>
      </x:c>
      <x:c r="P329" s="8" t="n">
        <x:v>0</x:v>
      </x:c>
      <x:c r="Q329" s="8" t="n">
        <x:v>1.1662350761116436</x:v>
      </x:c>
      <x:c r="R329" s="8" t="n">
        <x:v>0</x:v>
      </x:c>
      <x:c r="S329" s="8" t="n">
        <x:f>L329-I329^2/H329</x:f>
        <x:v>139.30197107047593</x:v>
      </x:c>
      <x:c r="T329" s="8" t="n">
        <x:f>M329-J329^2/H329</x:f>
        <x:v>0</x:v>
      </x:c>
      <x:c r="U329" s="8" t="n">
        <x:f>N329-I329*J329/H329</x:f>
        <x:v>0</x:v>
      </x:c>
      <x:c r="V329" s="8" t="n">
        <x:f>O329-I329*K329/H329</x:f>
        <x:v>153.33911382737062</x:v>
      </x:c>
      <x:c r="W329" s="8" t="n">
        <x:f>P329-J329*K329/H329</x:f>
        <x:v>0</x:v>
      </x:c>
      <x:c r="X329" s="8" t="n">
        <x:f>V329/S329</x:f>
        <x:v>1.1007677253166288</x:v>
      </x:c>
      <x:c r="Y329" s="8" t="n">
        <x:f>0</x:f>
        <x:v>0</x:v>
      </x:c>
      <x:c r="Z329" s="8" t="n">
        <x:f>K329/H329-X329*I329/H329-Y329*J329/H329</x:f>
        <x:v>2.6714091702768696</x:v>
      </x:c>
      <x:c r="AA329" s="8" t="n">
        <x:f>Z329+X329*Q329+Y329*R329</x:f>
        <x:v>3.955163102192749</x:v>
      </x:c>
    </x:row>
    <x:row r="330" ht="26" customHeight="1">
      <x:c r="A330" s="2"/>
      <x:c r="B330" s="2" t="n">
        <x:v>325</x:v>
      </x:c>
      <x:c r="C330" s="2" t="str">
        <x:v>Grooming / price_contribution</x:v>
      </x:c>
      <x:c r="D330" s="2" t="str">
        <x:v>Broad lag 1</x:v>
      </x:c>
      <x:c r="E330" s="7" t="n">
        <x:v>46022</x:v>
      </x:c>
      <x:c r="F330" s="2" t="str">
        <x:v>Pre-earnings</x:v>
      </x:c>
      <x:c r="G330" s="7" t="n">
        <x:v>46044</x:v>
      </x:c>
      <x:c r="H330" s="2" t="n">
        <x:v>18</x:v>
      </x:c>
      <x:c r="I330" s="8" t="n">
        <x:v>46.45249081892011</x:v>
      </x:c>
      <x:c r="J330" s="8" t="n">
        <x:v>0</x:v>
      </x:c>
      <x:c r="K330" s="8" t="n">
        <x:v>101</x:v>
      </x:c>
      <x:c r="L330" s="8" t="n">
        <x:v>256.8391179897363</x:v>
      </x:c>
      <x:c r="M330" s="8" t="n">
        <x:v>0</x:v>
      </x:c>
      <x:c r="N330" s="8" t="n">
        <x:v>0</x:v>
      </x:c>
      <x:c r="O330" s="8" t="n">
        <x:v>392.99911648983914</x:v>
      </x:c>
      <x:c r="P330" s="8" t="n">
        <x:v>0</x:v>
      </x:c>
      <x:c r="Q330" s="8" t="n">
        <x:v>1.0082264270475205</x:v>
      </x:c>
      <x:c r="R330" s="8" t="n">
        <x:v>0</x:v>
      </x:c>
      <x:c r="S330" s="8" t="n">
        <x:f>L330-I330^2/H330</x:f>
        <x:v>136.95945669629975</x:v>
      </x:c>
      <x:c r="T330" s="8" t="n">
        <x:f>M330-J330^2/H330</x:f>
        <x:v>0</x:v>
      </x:c>
      <x:c r="U330" s="8" t="n">
        <x:f>N330-I330*J330/H330</x:f>
        <x:v>0</x:v>
      </x:c>
      <x:c r="V330" s="8" t="n">
        <x:f>O330-I330*K330/H330</x:f>
        <x:v>132.34902911700965</x:v>
      </x:c>
      <x:c r="W330" s="8" t="n">
        <x:f>P330-J330*K330/H330</x:f>
        <x:v>0</x:v>
      </x:c>
      <x:c r="X330" s="8" t="n">
        <x:f>V330/S330</x:f>
        <x:v>0.9663372819190319</x:v>
      </x:c>
      <x:c r="Y330" s="8" t="n">
        <x:f>0</x:f>
        <x:v>0</x:v>
      </x:c>
      <x:c r="Z330" s="8" t="n">
        <x:f>K330/H330-X330*I330/H330-Y330*J330/H330</x:f>
        <x:v>3.1172903490931083</x:v>
      </x:c>
      <x:c r="AA330" s="8" t="n">
        <x:f>Z330+X330*Q330+Y330*R330</x:f>
        <x:v>4.091577134165147</x:v>
      </x:c>
    </x:row>
    <x:row r="331" ht="26" customHeight="1">
      <x:c r="A331" s="2"/>
      <x:c r="B331" s="2" t="n">
        <x:v>326</x:v>
      </x:c>
      <x:c r="C331" s="2" t="str">
        <x:v>Grooming / price_contribution</x:v>
      </x:c>
      <x:c r="D331" s="2" t="str">
        <x:v>Broad rolling 8</x:v>
      </x:c>
      <x:c r="E331" s="7" t="n">
        <x:v>46022</x:v>
      </x:c>
      <x:c r="F331" s="2" t="str">
        <x:v>Pre-earnings</x:v>
      </x:c>
      <x:c r="G331" s="7" t="n">
        <x:v>46044</x:v>
      </x:c>
      <x:c r="H331" s="2" t="n">
        <x:v>8</x:v>
      </x:c>
      <x:c r="I331" s="8" t="n">
        <x:v>11.968105858946277</x:v>
      </x:c>
      <x:c r="J331" s="8" t="n">
        <x:v>0</x:v>
      </x:c>
      <x:c r="K331" s="8" t="n">
        <x:v>34</x:v>
      </x:c>
      <x:c r="L331" s="8" t="n">
        <x:v>35.29105495113347</x:v>
      </x:c>
      <x:c r="M331" s="8" t="n">
        <x:v>0</x:v>
      </x:c>
      <x:c r="N331" s="8" t="n">
        <x:v>0</x:v>
      </x:c>
      <x:c r="O331" s="8" t="n">
        <x:v>81.36968470175769</x:v>
      </x:c>
      <x:c r="P331" s="8" t="n">
        <x:v>0</x:v>
      </x:c>
      <x:c r="Q331" s="8" t="n">
        <x:v>1.1662350761116436</x:v>
      </x:c>
      <x:c r="R331" s="8" t="n">
        <x:v>0</x:v>
      </x:c>
      <x:c r="S331" s="8" t="n">
        <x:f>L331-I331^2/H331</x:f>
        <x:v>17.38661021976544</x:v>
      </x:c>
      <x:c r="T331" s="8" t="n">
        <x:f>M331-J331^2/H331</x:f>
        <x:v>0</x:v>
      </x:c>
      <x:c r="U331" s="8" t="n">
        <x:f>N331-I331*J331/H331</x:f>
        <x:v>0</x:v>
      </x:c>
      <x:c r="V331" s="8" t="n">
        <x:f>O331-I331*K331/H331</x:f>
        <x:v>30.505234801236014</x:v>
      </x:c>
      <x:c r="W331" s="8" t="n">
        <x:f>P331-J331*K331/H331</x:f>
        <x:v>0</x:v>
      </x:c>
      <x:c r="X331" s="8" t="n">
        <x:f>V331/S331</x:f>
        <x:v>1.7545245689442708</x:v>
      </x:c>
      <x:c r="Y331" s="8" t="n">
        <x:f>0</x:f>
        <x:v>0</x:v>
      </x:c>
      <x:c r="Z331" s="8" t="n">
        <x:f>K331/H331-X331*I331/H331-Y331*J331/H331</x:f>
        <x:v>1.6252080283441104</x:v>
      </x:c>
      <x:c r="AA331" s="8" t="n">
        <x:f>Z331+X331*Q331+Y331*R331</x:f>
        <x:v>3.6713961225465805</x:v>
      </x:c>
    </x:row>
    <x:row r="332" ht="26" customHeight="1">
      <x:c r="A332" s="2"/>
      <x:c r="B332" s="2" t="n">
        <x:v>327</x:v>
      </x:c>
      <x:c r="C332" s="2" t="str">
        <x:v>Grooming / price_contribution</x:v>
      </x:c>
      <x:c r="D332" s="2" t="str">
        <x:v>Own history</x:v>
      </x:c>
      <x:c r="E332" s="7" t="n">
        <x:v>46022</x:v>
      </x:c>
      <x:c r="F332" s="2" t="str">
        <x:v>Pre-earnings</x:v>
      </x:c>
      <x:c r="G332" s="7" t="n">
        <x:v>46044</x:v>
      </x:c>
      <x:c r="H332" s="2" t="n">
        <x:v>18</x:v>
      </x:c>
      <x:c r="I332" s="8" t="n">
        <x:v>99</x:v>
      </x:c>
      <x:c r="J332" s="8" t="n">
        <x:v>0</x:v>
      </x:c>
      <x:c r="K332" s="8" t="n">
        <x:v>101</x:v>
      </x:c>
      <x:c r="L332" s="8" t="n">
        <x:v>743</x:v>
      </x:c>
      <x:c r="M332" s="8" t="n">
        <x:v>0</x:v>
      </x:c>
      <x:c r="N332" s="8" t="n">
        <x:v>0</x:v>
      </x:c>
      <x:c r="O332" s="8" t="n">
        <x:v>708</x:v>
      </x:c>
      <x:c r="P332" s="8" t="n">
        <x:v>0</x:v>
      </x:c>
      <x:c r="Q332" s="8" t="n">
        <x:v>4</x:v>
      </x:c>
      <x:c r="R332" s="8" t="n">
        <x:v>0</x:v>
      </x:c>
      <x:c r="S332" s="8" t="n">
        <x:f>L332-I332^2/H332</x:f>
        <x:v>198.5</x:v>
      </x:c>
      <x:c r="T332" s="8" t="n">
        <x:f>M332-J332^2/H332</x:f>
        <x:v>0</x:v>
      </x:c>
      <x:c r="U332" s="8" t="n">
        <x:f>N332-I332*J332/H332</x:f>
        <x:v>0</x:v>
      </x:c>
      <x:c r="V332" s="8" t="n">
        <x:f>O332-I332*K332/H332</x:f>
        <x:v>152.5</x:v>
      </x:c>
      <x:c r="W332" s="8" t="n">
        <x:f>P332-J332*K332/H332</x:f>
        <x:v>0</x:v>
      </x:c>
      <x:c r="X332" s="8" t="n">
        <x:f>V332/S332</x:f>
        <x:v>0.7682619647355163</x:v>
      </x:c>
      <x:c r="Y332" s="8" t="n">
        <x:f>0</x:f>
        <x:v>0</x:v>
      </x:c>
      <x:c r="Z332" s="8" t="n">
        <x:f>K332/H332-X332*I332/H332-Y332*J332/H332</x:f>
        <x:v>1.385670305065771</x:v>
      </x:c>
      <x:c r="AA332" s="8" t="n">
        <x:f>Z332+X332*Q332+Y332*R332</x:f>
        <x:v>4.458718164007836</x:v>
      </x:c>
    </x:row>
    <x:row r="333" ht="26" customHeight="1">
      <x:c r="A333" s="2"/>
      <x:c r="B333" s="2" t="n">
        <x:v>328</x:v>
      </x:c>
      <x:c r="C333" s="2" t="str">
        <x:v>Grooming / price_contribution</x:v>
      </x:c>
      <x:c r="D333" s="2" t="str">
        <x:v>Broad market</x:v>
      </x:c>
      <x:c r="E333" s="7" t="n">
        <x:v>46112</x:v>
      </x:c>
      <x:c r="F333" s="2" t="str">
        <x:v>Origin</x:v>
      </x:c>
      <x:c r="G333" s="7" t="n">
        <x:v>46023</x:v>
      </x:c>
      <x:c r="H333" s="2" t="n">
        <x:v>19</x:v>
      </x:c>
      <x:c r="I333" s="8" t="n">
        <x:v>47.46071724596763</x:v>
      </x:c>
      <x:c r="J333" s="8" t="n">
        <x:v>0</x:v>
      </x:c>
      <x:c r="K333" s="8" t="n">
        <x:v>103</x:v>
      </x:c>
      <x:c r="L333" s="8" t="n">
        <x:v>257.85563851793324</x:v>
      </x:c>
      <x:c r="M333" s="8" t="n">
        <x:v>0</x:v>
      </x:c>
      <x:c r="N333" s="8" t="n">
        <x:v>0</x:v>
      </x:c>
      <x:c r="O333" s="8" t="n">
        <x:v>410.62615995024777</x:v>
      </x:c>
      <x:c r="P333" s="8" t="n">
        <x:v>0</x:v>
      </x:c>
      <x:c r="Q333" s="8" t="n">
        <x:v>1.1213731248813419</x:v>
      </x:c>
      <x:c r="R333" s="8" t="n">
        <x:v>0</x:v>
      </x:c>
      <x:c r="S333" s="8" t="n">
        <x:f>L333-I333^2/H333</x:f>
        <x:v>139.30197107047593</x:v>
      </x:c>
      <x:c r="T333" s="8" t="n">
        <x:f>M333-J333^2/H333</x:f>
        <x:v>0</x:v>
      </x:c>
      <x:c r="U333" s="8" t="n">
        <x:f>N333-I333*J333/H333</x:f>
        <x:v>0</x:v>
      </x:c>
      <x:c r="V333" s="8" t="n">
        <x:f>O333-I333*K333/H333</x:f>
        <x:v>153.33911382737062</x:v>
      </x:c>
      <x:c r="W333" s="8" t="n">
        <x:f>P333-J333*K333/H333</x:f>
        <x:v>0</x:v>
      </x:c>
      <x:c r="X333" s="8" t="n">
        <x:f>V333/S333</x:f>
        <x:v>1.1007677253166288</x:v>
      </x:c>
      <x:c r="Y333" s="8" t="n">
        <x:f>0</x:f>
        <x:v>0</x:v>
      </x:c>
      <x:c r="Z333" s="8" t="n">
        <x:f>K333/H333-X333*I333/H333-Y333*J333/H333</x:f>
        <x:v>2.6714091702768696</x:v>
      </x:c>
      <x:c r="AA333" s="8" t="n">
        <x:f>Z333+X333*Q333+Y333*R333</x:f>
        <x:v>3.9057805141837045</x:v>
      </x:c>
    </x:row>
    <x:row r="334" ht="26" customHeight="1">
      <x:c r="A334" s="2"/>
      <x:c r="B334" s="2" t="n">
        <x:v>329</x:v>
      </x:c>
      <x:c r="C334" s="2" t="str">
        <x:v>Grooming / price_contribution</x:v>
      </x:c>
      <x:c r="D334" s="2" t="str">
        <x:v>Broad rolling 8</x:v>
      </x:c>
      <x:c r="E334" s="7" t="n">
        <x:v>46112</x:v>
      </x:c>
      <x:c r="F334" s="2" t="str">
        <x:v>Origin</x:v>
      </x:c>
      <x:c r="G334" s="7" t="n">
        <x:v>46023</x:v>
      </x:c>
      <x:c r="H334" s="2" t="n">
        <x:v>8</x:v>
      </x:c>
      <x:c r="I334" s="8" t="n">
        <x:v>11.968105858946277</x:v>
      </x:c>
      <x:c r="J334" s="8" t="n">
        <x:v>0</x:v>
      </x:c>
      <x:c r="K334" s="8" t="n">
        <x:v>34</x:v>
      </x:c>
      <x:c r="L334" s="8" t="n">
        <x:v>35.29105495113347</x:v>
      </x:c>
      <x:c r="M334" s="8" t="n">
        <x:v>0</x:v>
      </x:c>
      <x:c r="N334" s="8" t="n">
        <x:v>0</x:v>
      </x:c>
      <x:c r="O334" s="8" t="n">
        <x:v>81.36968470175769</x:v>
      </x:c>
      <x:c r="P334" s="8" t="n">
        <x:v>0</x:v>
      </x:c>
      <x:c r="Q334" s="8" t="n">
        <x:v>1.1213731248813419</x:v>
      </x:c>
      <x:c r="R334" s="8" t="n">
        <x:v>0</x:v>
      </x:c>
      <x:c r="S334" s="8" t="n">
        <x:f>L334-I334^2/H334</x:f>
        <x:v>17.38661021976544</x:v>
      </x:c>
      <x:c r="T334" s="8" t="n">
        <x:f>M334-J334^2/H334</x:f>
        <x:v>0</x:v>
      </x:c>
      <x:c r="U334" s="8" t="n">
        <x:f>N334-I334*J334/H334</x:f>
        <x:v>0</x:v>
      </x:c>
      <x:c r="V334" s="8" t="n">
        <x:f>O334-I334*K334/H334</x:f>
        <x:v>30.505234801236014</x:v>
      </x:c>
      <x:c r="W334" s="8" t="n">
        <x:f>P334-J334*K334/H334</x:f>
        <x:v>0</x:v>
      </x:c>
      <x:c r="X334" s="8" t="n">
        <x:f>V334/S334</x:f>
        <x:v>1.7545245689442708</x:v>
      </x:c>
      <x:c r="Y334" s="8" t="n">
        <x:f>0</x:f>
        <x:v>0</x:v>
      </x:c>
      <x:c r="Z334" s="8" t="n">
        <x:f>K334/H334-X334*I334/H334-Y334*J334/H334</x:f>
        <x:v>1.6252080283441104</x:v>
      </x:c>
      <x:c r="AA334" s="8" t="n">
        <x:f>Z334+X334*Q334+Y334*R334</x:f>
        <x:v>3.5926847269022364</x:v>
      </x:c>
    </x:row>
    <x:row r="335" ht="26" customHeight="1">
      <x:c r="A335" s="2"/>
      <x:c r="B335" s="2" t="n">
        <x:v>330</x:v>
      </x:c>
      <x:c r="C335" s="2" t="str">
        <x:v>Grooming / price_contribution</x:v>
      </x:c>
      <x:c r="D335" s="2" t="str">
        <x:v>Own history</x:v>
      </x:c>
      <x:c r="E335" s="7" t="n">
        <x:v>46112</x:v>
      </x:c>
      <x:c r="F335" s="2" t="str">
        <x:v>Origin</x:v>
      </x:c>
      <x:c r="G335" s="7" t="n">
        <x:v>46023</x:v>
      </x:c>
      <x:c r="H335" s="2" t="n">
        <x:v>17</x:v>
      </x:c>
      <x:c r="I335" s="8" t="n">
        <x:v>95</x:v>
      </x:c>
      <x:c r="J335" s="8" t="n">
        <x:v>0</x:v>
      </x:c>
      <x:c r="K335" s="8" t="n">
        <x:v>99</x:v>
      </x:c>
      <x:c r="L335" s="8" t="n">
        <x:v>727</x:v>
      </x:c>
      <x:c r="M335" s="8" t="n">
        <x:v>0</x:v>
      </x:c>
      <x:c r="N335" s="8" t="n">
        <x:v>0</x:v>
      </x:c>
      <x:c r="O335" s="8" t="n">
        <x:v>648</x:v>
      </x:c>
      <x:c r="P335" s="8" t="n">
        <x:v>0</x:v>
      </x:c>
      <x:c r="Q335" s="8" t="n">
        <x:v>4</x:v>
      </x:c>
      <x:c r="R335" s="8" t="n">
        <x:v>0</x:v>
      </x:c>
      <x:c r="S335" s="8" t="n">
        <x:f>L335-I335^2/H335</x:f>
        <x:v>196.11764705882354</x:v>
      </x:c>
      <x:c r="T335" s="8" t="n">
        <x:f>M335-J335^2/H335</x:f>
        <x:v>0</x:v>
      </x:c>
      <x:c r="U335" s="8" t="n">
        <x:f>N335-I335*J335/H335</x:f>
        <x:v>0</x:v>
      </x:c>
      <x:c r="V335" s="8" t="n">
        <x:f>O335-I335*K335/H335</x:f>
        <x:v>94.76470588235293</x:v>
      </x:c>
      <x:c r="W335" s="8" t="n">
        <x:f>P335-J335*K335/H335</x:f>
        <x:v>0</x:v>
      </x:c>
      <x:c r="X335" s="8" t="n">
        <x:f>V335/S335</x:f>
        <x:v>0.4832033593281343</x:v>
      </x:c>
      <x:c r="Y335" s="8" t="n">
        <x:f>0</x:f>
        <x:v>0</x:v>
      </x:c>
      <x:c r="Z335" s="8" t="n">
        <x:f>K335/H335-X335*I335/H335-Y335*J335/H335</x:f>
        <x:v>3.123275344931014</x:v>
      </x:c>
      <x:c r="AA335" s="8" t="n">
        <x:f>Z335+X335*Q335+Y335*R335</x:f>
        <x:v>5.056088782243551</x:v>
      </x:c>
    </x:row>
    <x:row r="336" ht="26" customHeight="1">
      <x:c r="A336" s="2"/>
      <x:c r="B336" s="2" t="n">
        <x:v>331</x:v>
      </x:c>
      <x:c r="C336" s="2" t="str">
        <x:v>Grooming / price_contribution</x:v>
      </x:c>
      <x:c r="D336" s="2" t="str">
        <x:v>Broad market</x:v>
      </x:c>
      <x:c r="E336" s="7" t="n">
        <x:v>46112</x:v>
      </x:c>
      <x:c r="F336" s="2" t="str">
        <x:v>Prior report</x:v>
      </x:c>
      <x:c r="G336" s="7" t="n">
        <x:v>46045</x:v>
      </x:c>
      <x:c r="H336" s="2" t="n">
        <x:v>19</x:v>
      </x:c>
      <x:c r="I336" s="8" t="n">
        <x:v>47.46071724596763</x:v>
      </x:c>
      <x:c r="J336" s="8" t="n">
        <x:v>0</x:v>
      </x:c>
      <x:c r="K336" s="8" t="n">
        <x:v>103</x:v>
      </x:c>
      <x:c r="L336" s="8" t="n">
        <x:v>257.85563851793324</x:v>
      </x:c>
      <x:c r="M336" s="8" t="n">
        <x:v>0</x:v>
      </x:c>
      <x:c r="N336" s="8" t="n">
        <x:v>0</x:v>
      </x:c>
      <x:c r="O336" s="8" t="n">
        <x:v>410.62615995024777</x:v>
      </x:c>
      <x:c r="P336" s="8" t="n">
        <x:v>0</x:v>
      </x:c>
      <x:c r="Q336" s="8" t="n">
        <x:v>1.2470805589842149</x:v>
      </x:c>
      <x:c r="R336" s="8" t="n">
        <x:v>0</x:v>
      </x:c>
      <x:c r="S336" s="8" t="n">
        <x:f>L336-I336^2/H336</x:f>
        <x:v>139.30197107047593</x:v>
      </x:c>
      <x:c r="T336" s="8" t="n">
        <x:f>M336-J336^2/H336</x:f>
        <x:v>0</x:v>
      </x:c>
      <x:c r="U336" s="8" t="n">
        <x:f>N336-I336*J336/H336</x:f>
        <x:v>0</x:v>
      </x:c>
      <x:c r="V336" s="8" t="n">
        <x:f>O336-I336*K336/H336</x:f>
        <x:v>153.33911382737062</x:v>
      </x:c>
      <x:c r="W336" s="8" t="n">
        <x:f>P336-J336*K336/H336</x:f>
        <x:v>0</x:v>
      </x:c>
      <x:c r="X336" s="8" t="n">
        <x:f>V336/S336</x:f>
        <x:v>1.1007677253166288</x:v>
      </x:c>
      <x:c r="Y336" s="8" t="n">
        <x:f>0</x:f>
        <x:v>0</x:v>
      </x:c>
      <x:c r="Z336" s="8" t="n">
        <x:f>K336/H336-X336*I336/H336-Y336*J336/H336</x:f>
        <x:v>2.6714091702768696</x:v>
      </x:c>
      <x:c r="AA336" s="8" t="n">
        <x:f>Z336+X336*Q336+Y336*R336</x:f>
        <x:v>4.044155200476514</x:v>
      </x:c>
    </x:row>
    <x:row r="337" ht="26" customHeight="1">
      <x:c r="A337" s="2"/>
      <x:c r="B337" s="2" t="n">
        <x:v>332</x:v>
      </x:c>
      <x:c r="C337" s="2" t="str">
        <x:v>Grooming / price_contribution</x:v>
      </x:c>
      <x:c r="D337" s="2" t="str">
        <x:v>Broad rolling 8</x:v>
      </x:c>
      <x:c r="E337" s="7" t="n">
        <x:v>46112</x:v>
      </x:c>
      <x:c r="F337" s="2" t="str">
        <x:v>Prior report</x:v>
      </x:c>
      <x:c r="G337" s="7" t="n">
        <x:v>46045</x:v>
      </x:c>
      <x:c r="H337" s="2" t="n">
        <x:v>8</x:v>
      </x:c>
      <x:c r="I337" s="8" t="n">
        <x:v>11.968105858946277</x:v>
      </x:c>
      <x:c r="J337" s="8" t="n">
        <x:v>0</x:v>
      </x:c>
      <x:c r="K337" s="8" t="n">
        <x:v>34</x:v>
      </x:c>
      <x:c r="L337" s="8" t="n">
        <x:v>35.29105495113347</x:v>
      </x:c>
      <x:c r="M337" s="8" t="n">
        <x:v>0</x:v>
      </x:c>
      <x:c r="N337" s="8" t="n">
        <x:v>0</x:v>
      </x:c>
      <x:c r="O337" s="8" t="n">
        <x:v>81.36968470175769</x:v>
      </x:c>
      <x:c r="P337" s="8" t="n">
        <x:v>0</x:v>
      </x:c>
      <x:c r="Q337" s="8" t="n">
        <x:v>1.2470805589842149</x:v>
      </x:c>
      <x:c r="R337" s="8" t="n">
        <x:v>0</x:v>
      </x:c>
      <x:c r="S337" s="8" t="n">
        <x:f>L337-I337^2/H337</x:f>
        <x:v>17.38661021976544</x:v>
      </x:c>
      <x:c r="T337" s="8" t="n">
        <x:f>M337-J337^2/H337</x:f>
        <x:v>0</x:v>
      </x:c>
      <x:c r="U337" s="8" t="n">
        <x:f>N337-I337*J337/H337</x:f>
        <x:v>0</x:v>
      </x:c>
      <x:c r="V337" s="8" t="n">
        <x:f>O337-I337*K337/H337</x:f>
        <x:v>30.505234801236014</x:v>
      </x:c>
      <x:c r="W337" s="8" t="n">
        <x:f>P337-J337*K337/H337</x:f>
        <x:v>0</x:v>
      </x:c>
      <x:c r="X337" s="8" t="n">
        <x:f>V337/S337</x:f>
        <x:v>1.7545245689442708</x:v>
      </x:c>
      <x:c r="Y337" s="8" t="n">
        <x:f>0</x:f>
        <x:v>0</x:v>
      </x:c>
      <x:c r="Z337" s="8" t="n">
        <x:f>K337/H337-X337*I337/H337-Y337*J337/H337</x:f>
        <x:v>1.6252080283441104</x:v>
      </x:c>
      <x:c r="AA337" s="8" t="n">
        <x:f>Z337+X337*Q337+Y337*R337</x:f>
        <x:v>3.81324150853467</x:v>
      </x:c>
    </x:row>
    <x:row r="338" ht="26" customHeight="1">
      <x:c r="A338" s="2"/>
      <x:c r="B338" s="2" t="n">
        <x:v>333</x:v>
      </x:c>
      <x:c r="C338" s="2" t="str">
        <x:v>Grooming / price_contribution</x:v>
      </x:c>
      <x:c r="D338" s="2" t="str">
        <x:v>Own history</x:v>
      </x:c>
      <x:c r="E338" s="7" t="n">
        <x:v>46112</x:v>
      </x:c>
      <x:c r="F338" s="2" t="str">
        <x:v>Prior report</x:v>
      </x:c>
      <x:c r="G338" s="7" t="n">
        <x:v>46045</x:v>
      </x:c>
      <x:c r="H338" s="2" t="n">
        <x:v>19</x:v>
      </x:c>
      <x:c r="I338" s="8" t="n">
        <x:v>103</x:v>
      </x:c>
      <x:c r="J338" s="8" t="n">
        <x:v>0</x:v>
      </x:c>
      <x:c r="K338" s="8" t="n">
        <x:v>103</x:v>
      </x:c>
      <x:c r="L338" s="8" t="n">
        <x:v>759</x:v>
      </x:c>
      <x:c r="M338" s="8" t="n">
        <x:v>0</x:v>
      </x:c>
      <x:c r="N338" s="8" t="n">
        <x:v>0</x:v>
      </x:c>
      <x:c r="O338" s="8" t="n">
        <x:v>716</x:v>
      </x:c>
      <x:c r="P338" s="8" t="n">
        <x:v>0</x:v>
      </x:c>
      <x:c r="Q338" s="8" t="n">
        <x:v>2</x:v>
      </x:c>
      <x:c r="R338" s="8" t="n">
        <x:v>0</x:v>
      </x:c>
      <x:c r="S338" s="8" t="n">
        <x:f>L338-I338^2/H338</x:f>
        <x:v>200.63157894736844</x:v>
      </x:c>
      <x:c r="T338" s="8" t="n">
        <x:f>M338-J338^2/H338</x:f>
        <x:v>0</x:v>
      </x:c>
      <x:c r="U338" s="8" t="n">
        <x:f>N338-I338*J338/H338</x:f>
        <x:v>0</x:v>
      </x:c>
      <x:c r="V338" s="8" t="n">
        <x:f>O338-I338*K338/H338</x:f>
        <x:v>157.63157894736844</x:v>
      </x:c>
      <x:c r="W338" s="8" t="n">
        <x:f>P338-J338*K338/H338</x:f>
        <x:v>0</x:v>
      </x:c>
      <x:c r="X338" s="8" t="n">
        <x:f>V338/S338</x:f>
        <x:v>0.7856768100734522</x:v>
      </x:c>
      <x:c r="Y338" s="8" t="n">
        <x:f>0</x:f>
        <x:v>0</x:v>
      </x:c>
      <x:c r="Z338" s="8" t="n">
        <x:f>K338/H338-X338*I338/H338-Y338*J338/H338</x:f>
        <x:v>1.1618572927597066</x:v>
      </x:c>
      <x:c r="AA338" s="8" t="n">
        <x:f>Z338+X338*Q338+Y338*R338</x:f>
        <x:v>2.7332109129066113</x:v>
      </x:c>
    </x:row>
    <x:row r="339" ht="26" customHeight="1">
      <x:c r="A339" s="2"/>
      <x:c r="B339" s="2" t="n">
        <x:v>334</x:v>
      </x:c>
      <x:c r="C339" s="2" t="str">
        <x:v>Grooming / price_contribution</x:v>
      </x:c>
      <x:c r="D339" s="2" t="str">
        <x:v>Broad market</x:v>
      </x:c>
      <x:c r="E339" s="7" t="n">
        <x:v>46112</x:v>
      </x:c>
      <x:c r="F339" s="2" t="str">
        <x:v>Pre-earnings</x:v>
      </x:c>
      <x:c r="G339" s="7" t="n">
        <x:v>46135</x:v>
      </x:c>
      <x:c r="H339" s="2" t="n">
        <x:v>19</x:v>
      </x:c>
      <x:c r="I339" s="8" t="n">
        <x:v>47.46071724596763</x:v>
      </x:c>
      <x:c r="J339" s="8" t="n">
        <x:v>0</x:v>
      </x:c>
      <x:c r="K339" s="8" t="n">
        <x:v>103</x:v>
      </x:c>
      <x:c r="L339" s="8" t="n">
        <x:v>257.85563851793324</x:v>
      </x:c>
      <x:c r="M339" s="8" t="n">
        <x:v>0</x:v>
      </x:c>
      <x:c r="N339" s="8" t="n">
        <x:v>0</x:v>
      </x:c>
      <x:c r="O339" s="8" t="n">
        <x:v>410.62615995024777</x:v>
      </x:c>
      <x:c r="P339" s="8" t="n">
        <x:v>0</x:v>
      </x:c>
      <x:c r="Q339" s="8" t="n">
        <x:v>1.9491325309717533</x:v>
      </x:c>
      <x:c r="R339" s="8" t="n">
        <x:v>0</x:v>
      </x:c>
      <x:c r="S339" s="8" t="n">
        <x:f>L339-I339^2/H339</x:f>
        <x:v>139.30197107047593</x:v>
      </x:c>
      <x:c r="T339" s="8" t="n">
        <x:f>M339-J339^2/H339</x:f>
        <x:v>0</x:v>
      </x:c>
      <x:c r="U339" s="8" t="n">
        <x:f>N339-I339*J339/H339</x:f>
        <x:v>0</x:v>
      </x:c>
      <x:c r="V339" s="8" t="n">
        <x:f>O339-I339*K339/H339</x:f>
        <x:v>153.33911382737062</x:v>
      </x:c>
      <x:c r="W339" s="8" t="n">
        <x:f>P339-J339*K339/H339</x:f>
        <x:v>0</x:v>
      </x:c>
      <x:c r="X339" s="8" t="n">
        <x:f>V339/S339</x:f>
        <x:v>1.1007677253166288</x:v>
      </x:c>
      <x:c r="Y339" s="8" t="n">
        <x:f>0</x:f>
        <x:v>0</x:v>
      </x:c>
      <x:c r="Z339" s="8" t="n">
        <x:f>K339/H339-X339*I339/H339-Y339*J339/H339</x:f>
        <x:v>2.6714091702768696</x:v>
      </x:c>
      <x:c r="AA339" s="8" t="n">
        <x:f>Z339+X339*Q339+Y339*R339</x:f>
        <x:v>4.81695135273529</x:v>
      </x:c>
    </x:row>
    <x:row r="340" ht="26" customHeight="1">
      <x:c r="A340" s="2"/>
      <x:c r="B340" s="2" t="n">
        <x:v>335</x:v>
      </x:c>
      <x:c r="C340" s="2" t="str">
        <x:v>Grooming / price_contribution</x:v>
      </x:c>
      <x:c r="D340" s="2" t="str">
        <x:v>Broad rolling 8</x:v>
      </x:c>
      <x:c r="E340" s="7" t="n">
        <x:v>46112</x:v>
      </x:c>
      <x:c r="F340" s="2" t="str">
        <x:v>Pre-earnings</x:v>
      </x:c>
      <x:c r="G340" s="7" t="n">
        <x:v>46135</x:v>
      </x:c>
      <x:c r="H340" s="2" t="n">
        <x:v>8</x:v>
      </x:c>
      <x:c r="I340" s="8" t="n">
        <x:v>11.968105858946277</x:v>
      </x:c>
      <x:c r="J340" s="8" t="n">
        <x:v>0</x:v>
      </x:c>
      <x:c r="K340" s="8" t="n">
        <x:v>34</x:v>
      </x:c>
      <x:c r="L340" s="8" t="n">
        <x:v>35.29105495113347</x:v>
      </x:c>
      <x:c r="M340" s="8" t="n">
        <x:v>0</x:v>
      </x:c>
      <x:c r="N340" s="8" t="n">
        <x:v>0</x:v>
      </x:c>
      <x:c r="O340" s="8" t="n">
        <x:v>81.36968470175769</x:v>
      </x:c>
      <x:c r="P340" s="8" t="n">
        <x:v>0</x:v>
      </x:c>
      <x:c r="Q340" s="8" t="n">
        <x:v>1.9491325309717533</x:v>
      </x:c>
      <x:c r="R340" s="8" t="n">
        <x:v>0</x:v>
      </x:c>
      <x:c r="S340" s="8" t="n">
        <x:f>L340-I340^2/H340</x:f>
        <x:v>17.38661021976544</x:v>
      </x:c>
      <x:c r="T340" s="8" t="n">
        <x:f>M340-J340^2/H340</x:f>
        <x:v>0</x:v>
      </x:c>
      <x:c r="U340" s="8" t="n">
        <x:f>N340-I340*J340/H340</x:f>
        <x:v>0</x:v>
      </x:c>
      <x:c r="V340" s="8" t="n">
        <x:f>O340-I340*K340/H340</x:f>
        <x:v>30.505234801236014</x:v>
      </x:c>
      <x:c r="W340" s="8" t="n">
        <x:f>P340-J340*K340/H340</x:f>
        <x:v>0</x:v>
      </x:c>
      <x:c r="X340" s="8" t="n">
        <x:f>V340/S340</x:f>
        <x:v>1.7545245689442708</x:v>
      </x:c>
      <x:c r="Y340" s="8" t="n">
        <x:f>0</x:f>
        <x:v>0</x:v>
      </x:c>
      <x:c r="Z340" s="8" t="n">
        <x:f>K340/H340-X340*I340/H340-Y340*J340/H340</x:f>
        <x:v>1.6252080283441104</x:v>
      </x:c>
      <x:c r="AA340" s="8" t="n">
        <x:f>Z340+X340*Q340+Y340*R340</x:f>
        <x:v>5.045008942062582</x:v>
      </x:c>
    </x:row>
    <x:row r="341" ht="26" customHeight="1">
      <x:c r="A341" s="2"/>
      <x:c r="B341" s="2" t="n">
        <x:v>336</x:v>
      </x:c>
      <x:c r="C341" s="2" t="str">
        <x:v>Grooming / price_contribution</x:v>
      </x:c>
      <x:c r="D341" s="2" t="str">
        <x:v>Own history</x:v>
      </x:c>
      <x:c r="E341" s="7" t="n">
        <x:v>46112</x:v>
      </x:c>
      <x:c r="F341" s="2" t="str">
        <x:v>Pre-earnings</x:v>
      </x:c>
      <x:c r="G341" s="7" t="n">
        <x:v>46135</x:v>
      </x:c>
      <x:c r="H341" s="2" t="n">
        <x:v>19</x:v>
      </x:c>
      <x:c r="I341" s="8" t="n">
        <x:v>103</x:v>
      </x:c>
      <x:c r="J341" s="8" t="n">
        <x:v>0</x:v>
      </x:c>
      <x:c r="K341" s="8" t="n">
        <x:v>103</x:v>
      </x:c>
      <x:c r="L341" s="8" t="n">
        <x:v>759</x:v>
      </x:c>
      <x:c r="M341" s="8" t="n">
        <x:v>0</x:v>
      </x:c>
      <x:c r="N341" s="8" t="n">
        <x:v>0</x:v>
      </x:c>
      <x:c r="O341" s="8" t="n">
        <x:v>716</x:v>
      </x:c>
      <x:c r="P341" s="8" t="n">
        <x:v>0</x:v>
      </x:c>
      <x:c r="Q341" s="8" t="n">
        <x:v>2</x:v>
      </x:c>
      <x:c r="R341" s="8" t="n">
        <x:v>0</x:v>
      </x:c>
      <x:c r="S341" s="8" t="n">
        <x:f>L341-I341^2/H341</x:f>
        <x:v>200.63157894736844</x:v>
      </x:c>
      <x:c r="T341" s="8" t="n">
        <x:f>M341-J341^2/H341</x:f>
        <x:v>0</x:v>
      </x:c>
      <x:c r="U341" s="8" t="n">
        <x:f>N341-I341*J341/H341</x:f>
        <x:v>0</x:v>
      </x:c>
      <x:c r="V341" s="8" t="n">
        <x:f>O341-I341*K341/H341</x:f>
        <x:v>157.63157894736844</x:v>
      </x:c>
      <x:c r="W341" s="8" t="n">
        <x:f>P341-J341*K341/H341</x:f>
        <x:v>0</x:v>
      </x:c>
      <x:c r="X341" s="8" t="n">
        <x:f>V341/S341</x:f>
        <x:v>0.7856768100734522</x:v>
      </x:c>
      <x:c r="Y341" s="8" t="n">
        <x:f>0</x:f>
        <x:v>0</x:v>
      </x:c>
      <x:c r="Z341" s="8" t="n">
        <x:f>K341/H341-X341*I341/H341-Y341*J341/H341</x:f>
        <x:v>1.1618572927597066</x:v>
      </x:c>
      <x:c r="AA341" s="8" t="n">
        <x:f>Z341+X341*Q341+Y341*R341</x:f>
        <x:v>2.7332109129066113</x:v>
      </x:c>
    </x:row>
    <x:row r="342" ht="26" customHeight="1">
      <x:c r="A342" s="2"/>
      <x:c r="B342" s="2" t="n">
        <x:v>337</x:v>
      </x:c>
      <x:c r="C342" s="2" t="str">
        <x:v>Health Care / price_contribution</x:v>
      </x:c>
      <x:c r="D342" s="2" t="str">
        <x:v>Broad market</x:v>
      </x:c>
      <x:c r="E342" s="7" t="n">
        <x:v>45107</x:v>
      </x:c>
      <x:c r="F342" s="2" t="str">
        <x:v>Origin</x:v>
      </x:c>
      <x:c r="G342" s="7" t="n">
        <x:v>45017</x:v>
      </x:c>
      <x:c r="H342" s="2" t="n">
        <x:v>8</x:v>
      </x:c>
      <x:c r="I342" s="8" t="n">
        <x:v>16.168397415672132</x:v>
      </x:c>
      <x:c r="J342" s="8" t="n">
        <x:v>0</x:v>
      </x:c>
      <x:c r="K342" s="8" t="n">
        <x:v>22</x:v>
      </x:c>
      <x:c r="L342" s="8" t="n">
        <x:v>96.70113017065493</x:v>
      </x:c>
      <x:c r="M342" s="8" t="n">
        <x:v>0</x:v>
      </x:c>
      <x:c r="N342" s="8" t="n">
        <x:v>0</x:v>
      </x:c>
      <x:c r="O342" s="8" t="n">
        <x:v>88.50671349393878</x:v>
      </x:c>
      <x:c r="P342" s="8" t="n">
        <x:v>0</x:v>
      </x:c>
      <x:c r="Q342" s="8" t="n">
        <x:v>7.117736159808752</x:v>
      </x:c>
      <x:c r="R342" s="8" t="n">
        <x:v>0</x:v>
      </x:c>
      <x:c r="S342" s="8" t="n">
        <x:f>L342-I342^2/H342</x:f>
        <x:v>64.02399579676577</x:v>
      </x:c>
      <x:c r="T342" s="8" t="n">
        <x:f>M342-J342^2/H342</x:f>
        <x:v>0</x:v>
      </x:c>
      <x:c r="U342" s="8" t="n">
        <x:f>N342-I342*J342/H342</x:f>
        <x:v>0</x:v>
      </x:c>
      <x:c r="V342" s="8" t="n">
        <x:f>O342-I342*K342/H342</x:f>
        <x:v>44.04362060084041</x:v>
      </x:c>
      <x:c r="W342" s="8" t="n">
        <x:f>P342-J342*K342/H342</x:f>
        <x:v>0</x:v>
      </x:c>
      <x:c r="X342" s="8" t="n">
        <x:f>V342/S342</x:f>
        <x:v>0.6879236457007469</x:v>
      </x:c>
      <x:c r="Y342" s="8" t="n">
        <x:f>0</x:f>
        <x:v>0</x:v>
      </x:c>
      <x:c r="Z342" s="8" t="n">
        <x:f>K342/H342-X342*I342/H342-Y342*J342/H342</x:f>
        <x:v>1.3596721380840364</x:v>
      </x:c>
      <x:c r="AA342" s="8" t="n">
        <x:f>Z342+X342*Q342+Y342*R342</x:f>
        <x:v>6.256131146275707</x:v>
      </x:c>
    </x:row>
    <x:row r="343" ht="26" customHeight="1">
      <x:c r="A343" s="2"/>
      <x:c r="B343" s="2" t="n">
        <x:v>338</x:v>
      </x:c>
      <x:c r="C343" s="2" t="str">
        <x:v>Health Care / price_contribution</x:v>
      </x:c>
      <x:c r="D343" s="2" t="str">
        <x:v>Broad rolling 8</x:v>
      </x:c>
      <x:c r="E343" s="7" t="n">
        <x:v>45107</x:v>
      </x:c>
      <x:c r="F343" s="2" t="str">
        <x:v>Origin</x:v>
      </x:c>
      <x:c r="G343" s="7" t="n">
        <x:v>45017</x:v>
      </x:c>
      <x:c r="H343" s="2" t="n">
        <x:v>8</x:v>
      </x:c>
      <x:c r="I343" s="8" t="n">
        <x:v>16.168397415672132</x:v>
      </x:c>
      <x:c r="J343" s="8" t="n">
        <x:v>0</x:v>
      </x:c>
      <x:c r="K343" s="8" t="n">
        <x:v>22</x:v>
      </x:c>
      <x:c r="L343" s="8" t="n">
        <x:v>96.70113017065493</x:v>
      </x:c>
      <x:c r="M343" s="8" t="n">
        <x:v>0</x:v>
      </x:c>
      <x:c r="N343" s="8" t="n">
        <x:v>0</x:v>
      </x:c>
      <x:c r="O343" s="8" t="n">
        <x:v>88.50671349393878</x:v>
      </x:c>
      <x:c r="P343" s="8" t="n">
        <x:v>0</x:v>
      </x:c>
      <x:c r="Q343" s="8" t="n">
        <x:v>7.117736159808752</x:v>
      </x:c>
      <x:c r="R343" s="8" t="n">
        <x:v>0</x:v>
      </x:c>
      <x:c r="S343" s="8" t="n">
        <x:f>L343-I343^2/H343</x:f>
        <x:v>64.02399579676577</x:v>
      </x:c>
      <x:c r="T343" s="8" t="n">
        <x:f>M343-J343^2/H343</x:f>
        <x:v>0</x:v>
      </x:c>
      <x:c r="U343" s="8" t="n">
        <x:f>N343-I343*J343/H343</x:f>
        <x:v>0</x:v>
      </x:c>
      <x:c r="V343" s="8" t="n">
        <x:f>O343-I343*K343/H343</x:f>
        <x:v>44.04362060084041</x:v>
      </x:c>
      <x:c r="W343" s="8" t="n">
        <x:f>P343-J343*K343/H343</x:f>
        <x:v>0</x:v>
      </x:c>
      <x:c r="X343" s="8" t="n">
        <x:f>V343/S343</x:f>
        <x:v>0.6879236457007469</x:v>
      </x:c>
      <x:c r="Y343" s="8" t="n">
        <x:f>0</x:f>
        <x:v>0</x:v>
      </x:c>
      <x:c r="Z343" s="8" t="n">
        <x:f>K343/H343-X343*I343/H343-Y343*J343/H343</x:f>
        <x:v>1.3596721380840364</x:v>
      </x:c>
      <x:c r="AA343" s="8" t="n">
        <x:f>Z343+X343*Q343+Y343*R343</x:f>
        <x:v>6.256131146275707</x:v>
      </x:c>
    </x:row>
    <x:row r="344" ht="26" customHeight="1">
      <x:c r="A344" s="2"/>
      <x:c r="B344" s="2" t="n">
        <x:v>339</x:v>
      </x:c>
      <x:c r="C344" s="2" t="str">
        <x:v>Health Care / price_contribution</x:v>
      </x:c>
      <x:c r="D344" s="2" t="str">
        <x:v>Broad market</x:v>
      </x:c>
      <x:c r="E344" s="7" t="n">
        <x:v>45107</x:v>
      </x:c>
      <x:c r="F344" s="2" t="str">
        <x:v>Prior report</x:v>
      </x:c>
      <x:c r="G344" s="7" t="n">
        <x:v>45037</x:v>
      </x:c>
      <x:c r="H344" s="2" t="n">
        <x:v>9</x:v>
      </x:c>
      <x:c r="I344" s="8" t="n">
        <x:v>22.94079143912051</x:v>
      </x:c>
      <x:c r="J344" s="8" t="n">
        <x:v>0</x:v>
      </x:c>
      <x:c r="K344" s="8" t="n">
        <x:v>28</x:v>
      </x:c>
      <x:c r="L344" s="8" t="n">
        <x:v>142.56645097949428</x:v>
      </x:c>
      <x:c r="M344" s="8" t="n">
        <x:v>0</x:v>
      </x:c>
      <x:c r="N344" s="8" t="n">
        <x:v>0</x:v>
      </x:c>
      <x:c r="O344" s="8" t="n">
        <x:v>129.14107763462906</x:v>
      </x:c>
      <x:c r="P344" s="8" t="n">
        <x:v>0</x:v>
      </x:c>
      <x:c r="Q344" s="8" t="n">
        <x:v>6.774056644823578</x:v>
      </x:c>
      <x:c r="R344" s="8" t="n">
        <x:v>0</x:v>
      </x:c>
      <x:c r="S344" s="8" t="n">
        <x:f>L344-I344^2/H344</x:f>
        <x:v>84.09090521802484</x:v>
      </x:c>
      <x:c r="T344" s="8" t="n">
        <x:f>M344-J344^2/H344</x:f>
        <x:v>0</x:v>
      </x:c>
      <x:c r="U344" s="8" t="n">
        <x:f>N344-I344*J344/H344</x:f>
        <x:v>0</x:v>
      </x:c>
      <x:c r="V344" s="8" t="n">
        <x:f>O344-I344*K344/H344</x:f>
        <x:v>57.76972649069859</x:v>
      </x:c>
      <x:c r="W344" s="8" t="n">
        <x:f>P344-J344*K344/H344</x:f>
        <x:v>0</x:v>
      </x:c>
      <x:c r="X344" s="8" t="n">
        <x:f>V344/S344</x:f>
        <x:v>0.686991373691571</x:v>
      </x:c>
      <x:c r="Y344" s="8" t="n">
        <x:f>0</x:f>
        <x:v>0</x:v>
      </x:c>
      <x:c r="Z344" s="8" t="n">
        <x:f>K344/H344-X344*I344/H344-Y344*J344/H344</x:f>
        <x:v>1.3599860195185298</x:v>
      </x:c>
      <x:c r="AA344" s="8" t="n">
        <x:f>Z344+X344*Q344+Y344*R344</x:f>
        <x:v>6.0137044994103945</x:v>
      </x:c>
    </x:row>
    <x:row r="345" ht="26" customHeight="1">
      <x:c r="A345" s="2"/>
      <x:c r="B345" s="2" t="n">
        <x:v>340</x:v>
      </x:c>
      <x:c r="C345" s="2" t="str">
        <x:v>Health Care / price_contribution</x:v>
      </x:c>
      <x:c r="D345" s="2" t="str">
        <x:v>Broad lag 1</x:v>
      </x:c>
      <x:c r="E345" s="7" t="n">
        <x:v>45107</x:v>
      </x:c>
      <x:c r="F345" s="2" t="str">
        <x:v>Prior report</x:v>
      </x:c>
      <x:c r="G345" s="7" t="n">
        <x:v>45037</x:v>
      </x:c>
      <x:c r="H345" s="2" t="n">
        <x:v>8</x:v>
      </x:c>
      <x:c r="I345" s="8" t="n">
        <x:v>16.168397415672132</x:v>
      </x:c>
      <x:c r="J345" s="8" t="n">
        <x:v>0</x:v>
      </x:c>
      <x:c r="K345" s="8" t="n">
        <x:v>28</x:v>
      </x:c>
      <x:c r="L345" s="8" t="n">
        <x:v>96.70113017065493</x:v>
      </x:c>
      <x:c r="M345" s="8" t="n">
        <x:v>0</x:v>
      </x:c>
      <x:c r="N345" s="8" t="n">
        <x:v>0</x:v>
      </x:c>
      <x:c r="O345" s="8" t="n">
        <x:v>94.5853424955646</x:v>
      </x:c>
      <x:c r="P345" s="8" t="n">
        <x:v>0</x:v>
      </x:c>
      <x:c r="Q345" s="8" t="n">
        <x:v>6.77239402344838</x:v>
      </x:c>
      <x:c r="R345" s="8" t="n">
        <x:v>0</x:v>
      </x:c>
      <x:c r="S345" s="8" t="n">
        <x:f>L345-I345^2/H345</x:f>
        <x:v>64.02399579676577</x:v>
      </x:c>
      <x:c r="T345" s="8" t="n">
        <x:f>M345-J345^2/H345</x:f>
        <x:v>0</x:v>
      </x:c>
      <x:c r="U345" s="8" t="n">
        <x:f>N345-I345*J345/H345</x:f>
        <x:v>0</x:v>
      </x:c>
      <x:c r="V345" s="8" t="n">
        <x:f>O345-I345*K345/H345</x:f>
        <x:v>37.99595154071214</x:v>
      </x:c>
      <x:c r="W345" s="8" t="n">
        <x:f>P345-J345*K345/H345</x:f>
        <x:v>0</x:v>
      </x:c>
      <x:c r="X345" s="8" t="n">
        <x:f>V345/S345</x:f>
        <x:v>0.5934642327124409</x:v>
      </x:c>
      <x:c r="Y345" s="8" t="n">
        <x:f>0</x:f>
        <x:v>0</x:v>
      </x:c>
      <x:c r="Z345" s="8" t="n">
        <x:f>K345/H345-X345*I345/H345-Y345*J345/H345</x:f>
        <x:v>2.3005793041897906</x:v>
      </x:c>
      <x:c r="AA345" s="8" t="n">
        <x:f>Z345+X345*Q345+Y345*R345</x:f>
        <x:v>6.319752926941904</x:v>
      </x:c>
    </x:row>
    <x:row r="346" ht="26" customHeight="1">
      <x:c r="A346" s="2"/>
      <x:c r="B346" s="2" t="n">
        <x:v>341</x:v>
      </x:c>
      <x:c r="C346" s="2" t="str">
        <x:v>Health Care / price_contribution</x:v>
      </x:c>
      <x:c r="D346" s="2" t="str">
        <x:v>Broad rolling 8</x:v>
      </x:c>
      <x:c r="E346" s="7" t="n">
        <x:v>45107</x:v>
      </x:c>
      <x:c r="F346" s="2" t="str">
        <x:v>Prior report</x:v>
      </x:c>
      <x:c r="G346" s="7" t="n">
        <x:v>45037</x:v>
      </x:c>
      <x:c r="H346" s="2" t="n">
        <x:v>8</x:v>
      </x:c>
      <x:c r="I346" s="8" t="n">
        <x:v>23.298494829725136</x:v>
      </x:c>
      <x:c r="J346" s="8" t="n">
        <x:v>0</x:v>
      </x:c>
      <x:c r="K346" s="8" t="n">
        <x:v>28</x:v>
      </x:c>
      <x:c r="L346" s="8" t="n">
        <x:v>142.43849926384422</x:v>
      </x:c>
      <x:c r="M346" s="8" t="n">
        <x:v>0</x:v>
      </x:c>
      <x:c r="N346" s="8" t="n">
        <x:v>0</x:v>
      </x:c>
      <x:c r="O346" s="8" t="n">
        <x:v>129.14107763462906</x:v>
      </x:c>
      <x:c r="P346" s="8" t="n">
        <x:v>0</x:v>
      </x:c>
      <x:c r="Q346" s="8" t="n">
        <x:v>6.774056644823578</x:v>
      </x:c>
      <x:c r="R346" s="8" t="n">
        <x:v>0</x:v>
      </x:c>
      <x:c r="S346" s="8" t="n">
        <x:f>L346-I346^2/H346</x:f>
        <x:v>74.5860165975031</x:v>
      </x:c>
      <x:c r="T346" s="8" t="n">
        <x:f>M346-J346^2/H346</x:f>
        <x:v>0</x:v>
      </x:c>
      <x:c r="U346" s="8" t="n">
        <x:f>N346-I346*J346/H346</x:f>
        <x:v>0</x:v>
      </x:c>
      <x:c r="V346" s="8" t="n">
        <x:f>O346-I346*K346/H346</x:f>
        <x:v>47.59634573059108</x:v>
      </x:c>
      <x:c r="W346" s="8" t="n">
        <x:f>P346-J346*K346/H346</x:f>
        <x:v>0</x:v>
      </x:c>
      <x:c r="X346" s="8" t="n">
        <x:f>V346/S346</x:f>
        <x:v>0.638140336511609</x:v>
      </x:c>
      <x:c r="Y346" s="8" t="n">
        <x:f>0</x:f>
        <x:v>0</x:v>
      </x:c>
      <x:c r="Z346" s="8" t="n">
        <x:f>K346/H346-X346*I346/H346-Y346*J346/H346</x:f>
        <x:v>1.6415363336431525</x:v>
      </x:c>
      <x:c r="AA346" s="8" t="n">
        <x:f>Z346+X346*Q346+Y346*R346</x:f>
        <x:v>5.964335120519571</x:v>
      </x:c>
    </x:row>
    <x:row r="347" ht="26" customHeight="1">
      <x:c r="A347" s="2"/>
      <x:c r="B347" s="2" t="n">
        <x:v>342</x:v>
      </x:c>
      <x:c r="C347" s="2" t="str">
        <x:v>Health Care / price_contribution</x:v>
      </x:c>
      <x:c r="D347" s="2" t="str">
        <x:v>Own history</x:v>
      </x:c>
      <x:c r="E347" s="7" t="n">
        <x:v>45107</x:v>
      </x:c>
      <x:c r="F347" s="2" t="str">
        <x:v>Prior report</x:v>
      </x:c>
      <x:c r="G347" s="7" t="n">
        <x:v>45037</x:v>
      </x:c>
      <x:c r="H347" s="2" t="n">
        <x:v>8</x:v>
      </x:c>
      <x:c r="I347" s="8" t="n">
        <x:v>22</x:v>
      </x:c>
      <x:c r="J347" s="8" t="n">
        <x:v>0</x:v>
      </x:c>
      <x:c r="K347" s="8" t="n">
        <x:v>28</x:v>
      </x:c>
      <x:c r="L347" s="8" t="n">
        <x:v>98</x:v>
      </x:c>
      <x:c r="M347" s="8" t="n">
        <x:v>0</x:v>
      </x:c>
      <x:c r="N347" s="8" t="n">
        <x:v>0</x:v>
      </x:c>
      <x:c r="O347" s="8" t="n">
        <x:v>110</x:v>
      </x:c>
      <x:c r="P347" s="8" t="n">
        <x:v>0</x:v>
      </x:c>
      <x:c r="Q347" s="8" t="n">
        <x:v>6</x:v>
      </x:c>
      <x:c r="R347" s="8" t="n">
        <x:v>0</x:v>
      </x:c>
      <x:c r="S347" s="8" t="n">
        <x:f>L347-I347^2/H347</x:f>
        <x:v>37.5</x:v>
      </x:c>
      <x:c r="T347" s="8" t="n">
        <x:f>M347-J347^2/H347</x:f>
        <x:v>0</x:v>
      </x:c>
      <x:c r="U347" s="8" t="n">
        <x:f>N347-I347*J347/H347</x:f>
        <x:v>0</x:v>
      </x:c>
      <x:c r="V347" s="8" t="n">
        <x:f>O347-I347*K347/H347</x:f>
        <x:v>33</x:v>
      </x:c>
      <x:c r="W347" s="8" t="n">
        <x:f>P347-J347*K347/H347</x:f>
        <x:v>0</x:v>
      </x:c>
      <x:c r="X347" s="8" t="n">
        <x:f>V347/S347</x:f>
        <x:v>0.88</x:v>
      </x:c>
      <x:c r="Y347" s="8" t="n">
        <x:f>0</x:f>
        <x:v>0</x:v>
      </x:c>
      <x:c r="Z347" s="8" t="n">
        <x:f>K347/H347-X347*I347/H347-Y347*J347/H347</x:f>
        <x:v>1.08</x:v>
      </x:c>
      <x:c r="AA347" s="8" t="n">
        <x:f>Z347+X347*Q347+Y347*R347</x:f>
        <x:v>6.36</x:v>
      </x:c>
    </x:row>
    <x:row r="348" ht="26" customHeight="1">
      <x:c r="A348" s="2"/>
      <x:c r="B348" s="2" t="n">
        <x:v>343</x:v>
      </x:c>
      <x:c r="C348" s="2" t="str">
        <x:v>Health Care / price_contribution</x:v>
      </x:c>
      <x:c r="D348" s="2" t="str">
        <x:v>Broad market</x:v>
      </x:c>
      <x:c r="E348" s="7" t="n">
        <x:v>45107</x:v>
      </x:c>
      <x:c r="F348" s="2" t="str">
        <x:v>Pre-earnings</x:v>
      </x:c>
      <x:c r="G348" s="7" t="n">
        <x:v>45134</x:v>
      </x:c>
      <x:c r="H348" s="2" t="n">
        <x:v>9</x:v>
      </x:c>
      <x:c r="I348" s="8" t="n">
        <x:v>22.94079143912051</x:v>
      </x:c>
      <x:c r="J348" s="8" t="n">
        <x:v>0</x:v>
      </x:c>
      <x:c r="K348" s="8" t="n">
        <x:v>28</x:v>
      </x:c>
      <x:c r="L348" s="8" t="n">
        <x:v>142.56645097949428</x:v>
      </x:c>
      <x:c r="M348" s="8" t="n">
        <x:v>0</x:v>
      </x:c>
      <x:c r="N348" s="8" t="n">
        <x:v>0</x:v>
      </x:c>
      <x:c r="O348" s="8" t="n">
        <x:v>129.14107763462906</x:v>
      </x:c>
      <x:c r="P348" s="8" t="n">
        <x:v>0</x:v>
      </x:c>
      <x:c r="Q348" s="8" t="n">
        <x:v>7.05822723217906</x:v>
      </x:c>
      <x:c r="R348" s="8" t="n">
        <x:v>0</x:v>
      </x:c>
      <x:c r="S348" s="8" t="n">
        <x:f>L348-I348^2/H348</x:f>
        <x:v>84.09090521802484</x:v>
      </x:c>
      <x:c r="T348" s="8" t="n">
        <x:f>M348-J348^2/H348</x:f>
        <x:v>0</x:v>
      </x:c>
      <x:c r="U348" s="8" t="n">
        <x:f>N348-I348*J348/H348</x:f>
        <x:v>0</x:v>
      </x:c>
      <x:c r="V348" s="8" t="n">
        <x:f>O348-I348*K348/H348</x:f>
        <x:v>57.76972649069859</x:v>
      </x:c>
      <x:c r="W348" s="8" t="n">
        <x:f>P348-J348*K348/H348</x:f>
        <x:v>0</x:v>
      </x:c>
      <x:c r="X348" s="8" t="n">
        <x:f>V348/S348</x:f>
        <x:v>0.686991373691571</x:v>
      </x:c>
      <x:c r="Y348" s="8" t="n">
        <x:f>0</x:f>
        <x:v>0</x:v>
      </x:c>
      <x:c r="Z348" s="8" t="n">
        <x:f>K348/H348-X348*I348/H348-Y348*J348/H348</x:f>
        <x:v>1.3599860195185298</x:v>
      </x:c>
      <x:c r="AA348" s="8" t="n">
        <x:f>Z348+X348*Q348+Y348*R348</x:f>
        <x:v>6.2089272415804775</x:v>
      </x:c>
    </x:row>
    <x:row r="349" ht="26" customHeight="1">
      <x:c r="A349" s="2"/>
      <x:c r="B349" s="2" t="n">
        <x:v>344</x:v>
      </x:c>
      <x:c r="C349" s="2" t="str">
        <x:v>Health Care / price_contribution</x:v>
      </x:c>
      <x:c r="D349" s="2" t="str">
        <x:v>Broad lag 1</x:v>
      </x:c>
      <x:c r="E349" s="7" t="n">
        <x:v>45107</x:v>
      </x:c>
      <x:c r="F349" s="2" t="str">
        <x:v>Pre-earnings</x:v>
      </x:c>
      <x:c r="G349" s="7" t="n">
        <x:v>45134</x:v>
      </x:c>
      <x:c r="H349" s="2" t="n">
        <x:v>8</x:v>
      </x:c>
      <x:c r="I349" s="8" t="n">
        <x:v>16.168397415672132</x:v>
      </x:c>
      <x:c r="J349" s="8" t="n">
        <x:v>0</x:v>
      </x:c>
      <x:c r="K349" s="8" t="n">
        <x:v>28</x:v>
      </x:c>
      <x:c r="L349" s="8" t="n">
        <x:v>96.70113017065493</x:v>
      </x:c>
      <x:c r="M349" s="8" t="n">
        <x:v>0</x:v>
      </x:c>
      <x:c r="N349" s="8" t="n">
        <x:v>0</x:v>
      </x:c>
      <x:c r="O349" s="8" t="n">
        <x:v>94.5853424955646</x:v>
      </x:c>
      <x:c r="P349" s="8" t="n">
        <x:v>0</x:v>
      </x:c>
      <x:c r="Q349" s="8" t="n">
        <x:v>6.77239402344838</x:v>
      </x:c>
      <x:c r="R349" s="8" t="n">
        <x:v>0</x:v>
      </x:c>
      <x:c r="S349" s="8" t="n">
        <x:f>L349-I349^2/H349</x:f>
        <x:v>64.02399579676577</x:v>
      </x:c>
      <x:c r="T349" s="8" t="n">
        <x:f>M349-J349^2/H349</x:f>
        <x:v>0</x:v>
      </x:c>
      <x:c r="U349" s="8" t="n">
        <x:f>N349-I349*J349/H349</x:f>
        <x:v>0</x:v>
      </x:c>
      <x:c r="V349" s="8" t="n">
        <x:f>O349-I349*K349/H349</x:f>
        <x:v>37.99595154071214</x:v>
      </x:c>
      <x:c r="W349" s="8" t="n">
        <x:f>P349-J349*K349/H349</x:f>
        <x:v>0</x:v>
      </x:c>
      <x:c r="X349" s="8" t="n">
        <x:f>V349/S349</x:f>
        <x:v>0.5934642327124409</x:v>
      </x:c>
      <x:c r="Y349" s="8" t="n">
        <x:f>0</x:f>
        <x:v>0</x:v>
      </x:c>
      <x:c r="Z349" s="8" t="n">
        <x:f>K349/H349-X349*I349/H349-Y349*J349/H349</x:f>
        <x:v>2.3005793041897906</x:v>
      </x:c>
      <x:c r="AA349" s="8" t="n">
        <x:f>Z349+X349*Q349+Y349*R349</x:f>
        <x:v>6.319752926941904</x:v>
      </x:c>
    </x:row>
    <x:row r="350" ht="26" customHeight="1">
      <x:c r="A350" s="2"/>
      <x:c r="B350" s="2" t="n">
        <x:v>345</x:v>
      </x:c>
      <x:c r="C350" s="2" t="str">
        <x:v>Health Care / price_contribution</x:v>
      </x:c>
      <x:c r="D350" s="2" t="str">
        <x:v>Broad rolling 8</x:v>
      </x:c>
      <x:c r="E350" s="7" t="n">
        <x:v>45107</x:v>
      </x:c>
      <x:c r="F350" s="2" t="str">
        <x:v>Pre-earnings</x:v>
      </x:c>
      <x:c r="G350" s="7" t="n">
        <x:v>45134</x:v>
      </x:c>
      <x:c r="H350" s="2" t="n">
        <x:v>8</x:v>
      </x:c>
      <x:c r="I350" s="8" t="n">
        <x:v>23.298494829725136</x:v>
      </x:c>
      <x:c r="J350" s="8" t="n">
        <x:v>0</x:v>
      </x:c>
      <x:c r="K350" s="8" t="n">
        <x:v>28</x:v>
      </x:c>
      <x:c r="L350" s="8" t="n">
        <x:v>142.43849926384422</x:v>
      </x:c>
      <x:c r="M350" s="8" t="n">
        <x:v>0</x:v>
      </x:c>
      <x:c r="N350" s="8" t="n">
        <x:v>0</x:v>
      </x:c>
      <x:c r="O350" s="8" t="n">
        <x:v>129.14107763462906</x:v>
      </x:c>
      <x:c r="P350" s="8" t="n">
        <x:v>0</x:v>
      </x:c>
      <x:c r="Q350" s="8" t="n">
        <x:v>7.05822723217906</x:v>
      </x:c>
      <x:c r="R350" s="8" t="n">
        <x:v>0</x:v>
      </x:c>
      <x:c r="S350" s="8" t="n">
        <x:f>L350-I350^2/H350</x:f>
        <x:v>74.5860165975031</x:v>
      </x:c>
      <x:c r="T350" s="8" t="n">
        <x:f>M350-J350^2/H350</x:f>
        <x:v>0</x:v>
      </x:c>
      <x:c r="U350" s="8" t="n">
        <x:f>N350-I350*J350/H350</x:f>
        <x:v>0</x:v>
      </x:c>
      <x:c r="V350" s="8" t="n">
        <x:f>O350-I350*K350/H350</x:f>
        <x:v>47.59634573059108</x:v>
      </x:c>
      <x:c r="W350" s="8" t="n">
        <x:f>P350-J350*K350/H350</x:f>
        <x:v>0</x:v>
      </x:c>
      <x:c r="X350" s="8" t="n">
        <x:f>V350/S350</x:f>
        <x:v>0.638140336511609</x:v>
      </x:c>
      <x:c r="Y350" s="8" t="n">
        <x:f>0</x:f>
        <x:v>0</x:v>
      </x:c>
      <x:c r="Z350" s="8" t="n">
        <x:f>K350/H350-X350*I350/H350-Y350*J350/H350</x:f>
        <x:v>1.6415363336431525</x:v>
      </x:c>
      <x:c r="AA350" s="8" t="n">
        <x:f>Z350+X350*Q350+Y350*R350</x:f>
        <x:v>6.1456758347613</x:v>
      </x:c>
    </x:row>
    <x:row r="351" ht="26" customHeight="1">
      <x:c r="A351" s="2"/>
      <x:c r="B351" s="2" t="n">
        <x:v>346</x:v>
      </x:c>
      <x:c r="C351" s="2" t="str">
        <x:v>Health Care / price_contribution</x:v>
      </x:c>
      <x:c r="D351" s="2" t="str">
        <x:v>Own history</x:v>
      </x:c>
      <x:c r="E351" s="7" t="n">
        <x:v>45107</x:v>
      </x:c>
      <x:c r="F351" s="2" t="str">
        <x:v>Pre-earnings</x:v>
      </x:c>
      <x:c r="G351" s="7" t="n">
        <x:v>45134</x:v>
      </x:c>
      <x:c r="H351" s="2" t="n">
        <x:v>8</x:v>
      </x:c>
      <x:c r="I351" s="8" t="n">
        <x:v>22</x:v>
      </x:c>
      <x:c r="J351" s="8" t="n">
        <x:v>0</x:v>
      </x:c>
      <x:c r="K351" s="8" t="n">
        <x:v>28</x:v>
      </x:c>
      <x:c r="L351" s="8" t="n">
        <x:v>98</x:v>
      </x:c>
      <x:c r="M351" s="8" t="n">
        <x:v>0</x:v>
      </x:c>
      <x:c r="N351" s="8" t="n">
        <x:v>0</x:v>
      </x:c>
      <x:c r="O351" s="8" t="n">
        <x:v>110</x:v>
      </x:c>
      <x:c r="P351" s="8" t="n">
        <x:v>0</x:v>
      </x:c>
      <x:c r="Q351" s="8" t="n">
        <x:v>6</x:v>
      </x:c>
      <x:c r="R351" s="8" t="n">
        <x:v>0</x:v>
      </x:c>
      <x:c r="S351" s="8" t="n">
        <x:f>L351-I351^2/H351</x:f>
        <x:v>37.5</x:v>
      </x:c>
      <x:c r="T351" s="8" t="n">
        <x:f>M351-J351^2/H351</x:f>
        <x:v>0</x:v>
      </x:c>
      <x:c r="U351" s="8" t="n">
        <x:f>N351-I351*J351/H351</x:f>
        <x:v>0</x:v>
      </x:c>
      <x:c r="V351" s="8" t="n">
        <x:f>O351-I351*K351/H351</x:f>
        <x:v>33</x:v>
      </x:c>
      <x:c r="W351" s="8" t="n">
        <x:f>P351-J351*K351/H351</x:f>
        <x:v>0</x:v>
      </x:c>
      <x:c r="X351" s="8" t="n">
        <x:f>V351/S351</x:f>
        <x:v>0.88</x:v>
      </x:c>
      <x:c r="Y351" s="8" t="n">
        <x:f>0</x:f>
        <x:v>0</x:v>
      </x:c>
      <x:c r="Z351" s="8" t="n">
        <x:f>K351/H351-X351*I351/H351-Y351*J351/H351</x:f>
        <x:v>1.08</x:v>
      </x:c>
      <x:c r="AA351" s="8" t="n">
        <x:f>Z351+X351*Q351+Y351*R351</x:f>
        <x:v>6.36</x:v>
      </x:c>
    </x:row>
    <x:row r="352" ht="26" customHeight="1">
      <x:c r="A352" s="2"/>
      <x:c r="B352" s="2" t="n">
        <x:v>347</x:v>
      </x:c>
      <x:c r="C352" s="2" t="str">
        <x:v>Health Care / price_contribution</x:v>
      </x:c>
      <x:c r="D352" s="2" t="str">
        <x:v>Broad market</x:v>
      </x:c>
      <x:c r="E352" s="7" t="n">
        <x:v>45199</x:v>
      </x:c>
      <x:c r="F352" s="2" t="str">
        <x:v>Origin</x:v>
      </x:c>
      <x:c r="G352" s="7" t="n">
        <x:v>45108</x:v>
      </x:c>
      <x:c r="H352" s="2" t="n">
        <x:v>9</x:v>
      </x:c>
      <x:c r="I352" s="8" t="n">
        <x:v>22.94079143912051</x:v>
      </x:c>
      <x:c r="J352" s="8" t="n">
        <x:v>0</x:v>
      </x:c>
      <x:c r="K352" s="8" t="n">
        <x:v>28</x:v>
      </x:c>
      <x:c r="L352" s="8" t="n">
        <x:v>142.56645097949428</x:v>
      </x:c>
      <x:c r="M352" s="8" t="n">
        <x:v>0</x:v>
      </x:c>
      <x:c r="N352" s="8" t="n">
        <x:v>0</x:v>
      </x:c>
      <x:c r="O352" s="8" t="n">
        <x:v>129.14107763462906</x:v>
      </x:c>
      <x:c r="P352" s="8" t="n">
        <x:v>0</x:v>
      </x:c>
      <x:c r="Q352" s="8" t="n">
        <x:v>6.911987903518213</x:v>
      </x:c>
      <x:c r="R352" s="8" t="n">
        <x:v>0</x:v>
      </x:c>
      <x:c r="S352" s="8" t="n">
        <x:f>L352-I352^2/H352</x:f>
        <x:v>84.09090521802484</x:v>
      </x:c>
      <x:c r="T352" s="8" t="n">
        <x:f>M352-J352^2/H352</x:f>
        <x:v>0</x:v>
      </x:c>
      <x:c r="U352" s="8" t="n">
        <x:f>N352-I352*J352/H352</x:f>
        <x:v>0</x:v>
      </x:c>
      <x:c r="V352" s="8" t="n">
        <x:f>O352-I352*K352/H352</x:f>
        <x:v>57.76972649069859</x:v>
      </x:c>
      <x:c r="W352" s="8" t="n">
        <x:f>P352-J352*K352/H352</x:f>
        <x:v>0</x:v>
      </x:c>
      <x:c r="X352" s="8" t="n">
        <x:f>V352/S352</x:f>
        <x:v>0.686991373691571</x:v>
      </x:c>
      <x:c r="Y352" s="8" t="n">
        <x:f>0</x:f>
        <x:v>0</x:v>
      </x:c>
      <x:c r="Z352" s="8" t="n">
        <x:f>K352/H352-X352*I352/H352-Y352*J352/H352</x:f>
        <x:v>1.3599860195185298</x:v>
      </x:c>
      <x:c r="AA352" s="8" t="n">
        <x:f>Z352+X352*Q352+Y352*R352</x:f>
        <x:v>6.108462084296029</x:v>
      </x:c>
    </x:row>
    <x:row r="353" ht="26" customHeight="1">
      <x:c r="A353" s="2"/>
      <x:c r="B353" s="2" t="n">
        <x:v>348</x:v>
      </x:c>
      <x:c r="C353" s="2" t="str">
        <x:v>Health Care / price_contribution</x:v>
      </x:c>
      <x:c r="D353" s="2" t="str">
        <x:v>Broad rolling 8</x:v>
      </x:c>
      <x:c r="E353" s="7" t="n">
        <x:v>45199</x:v>
      </x:c>
      <x:c r="F353" s="2" t="str">
        <x:v>Origin</x:v>
      </x:c>
      <x:c r="G353" s="7" t="n">
        <x:v>45108</x:v>
      </x:c>
      <x:c r="H353" s="2" t="n">
        <x:v>8</x:v>
      </x:c>
      <x:c r="I353" s="8" t="n">
        <x:v>23.298494829725136</x:v>
      </x:c>
      <x:c r="J353" s="8" t="n">
        <x:v>0</x:v>
      </x:c>
      <x:c r="K353" s="8" t="n">
        <x:v>28</x:v>
      </x:c>
      <x:c r="L353" s="8" t="n">
        <x:v>142.43849926384422</x:v>
      </x:c>
      <x:c r="M353" s="8" t="n">
        <x:v>0</x:v>
      </x:c>
      <x:c r="N353" s="8" t="n">
        <x:v>0</x:v>
      </x:c>
      <x:c r="O353" s="8" t="n">
        <x:v>129.14107763462906</x:v>
      </x:c>
      <x:c r="P353" s="8" t="n">
        <x:v>0</x:v>
      </x:c>
      <x:c r="Q353" s="8" t="n">
        <x:v>6.911987903518213</x:v>
      </x:c>
      <x:c r="R353" s="8" t="n">
        <x:v>0</x:v>
      </x:c>
      <x:c r="S353" s="8" t="n">
        <x:f>L353-I353^2/H353</x:f>
        <x:v>74.5860165975031</x:v>
      </x:c>
      <x:c r="T353" s="8" t="n">
        <x:f>M353-J353^2/H353</x:f>
        <x:v>0</x:v>
      </x:c>
      <x:c r="U353" s="8" t="n">
        <x:f>N353-I353*J353/H353</x:f>
        <x:v>0</x:v>
      </x:c>
      <x:c r="V353" s="8" t="n">
        <x:f>O353-I353*K353/H353</x:f>
        <x:v>47.59634573059108</x:v>
      </x:c>
      <x:c r="W353" s="8" t="n">
        <x:f>P353-J353*K353/H353</x:f>
        <x:v>0</x:v>
      </x:c>
      <x:c r="X353" s="8" t="n">
        <x:f>V353/S353</x:f>
        <x:v>0.638140336511609</x:v>
      </x:c>
      <x:c r="Y353" s="8" t="n">
        <x:f>0</x:f>
        <x:v>0</x:v>
      </x:c>
      <x:c r="Z353" s="8" t="n">
        <x:f>K353/H353-X353*I353/H353-Y353*J353/H353</x:f>
        <x:v>1.6415363336431525</x:v>
      </x:c>
      <x:c r="AA353" s="8" t="n">
        <x:f>Z353+X353*Q353+Y353*R353</x:f>
        <x:v>6.052354620358435</x:v>
      </x:c>
    </x:row>
    <x:row r="354" ht="26" customHeight="1">
      <x:c r="A354" s="2"/>
      <x:c r="B354" s="2" t="n">
        <x:v>349</x:v>
      </x:c>
      <x:c r="C354" s="2" t="str">
        <x:v>Health Care / price_contribution</x:v>
      </x:c>
      <x:c r="D354" s="2" t="str">
        <x:v>Broad market</x:v>
      </x:c>
      <x:c r="E354" s="7" t="n">
        <x:v>45199</x:v>
      </x:c>
      <x:c r="F354" s="2" t="str">
        <x:v>Prior report</x:v>
      </x:c>
      <x:c r="G354" s="7" t="n">
        <x:v>45135</x:v>
      </x:c>
      <x:c r="H354" s="2" t="n">
        <x:v>10</x:v>
      </x:c>
      <x:c r="I354" s="8" t="n">
        <x:v>29.99901867129957</x:v>
      </x:c>
      <x:c r="J354" s="8" t="n">
        <x:v>0</x:v>
      </x:c>
      <x:c r="K354" s="8" t="n">
        <x:v>34</x:v>
      </x:c>
      <x:c r="L354" s="8" t="n">
        <x:v>192.38502264056834</x:v>
      </x:c>
      <x:c r="M354" s="8" t="n">
        <x:v>0</x:v>
      </x:c>
      <x:c r="N354" s="8" t="n">
        <x:v>0</x:v>
      </x:c>
      <x:c r="O354" s="8" t="n">
        <x:v>171.4904410277034</x:v>
      </x:c>
      <x:c r="P354" s="8" t="n">
        <x:v>0</x:v>
      </x:c>
      <x:c r="Q354" s="8" t="n">
        <x:v>7.058173750908159</x:v>
      </x:c>
      <x:c r="R354" s="8" t="n">
        <x:v>0</x:v>
      </x:c>
      <x:c r="S354" s="8" t="n">
        <x:f>L354-I354^2/H354</x:f>
        <x:v>102.39091051647031</x:v>
      </x:c>
      <x:c r="T354" s="8" t="n">
        <x:f>M354-J354^2/H354</x:f>
        <x:v>0</x:v>
      </x:c>
      <x:c r="U354" s="8" t="n">
        <x:f>N354-I354*J354/H354</x:f>
        <x:v>0</x:v>
      </x:c>
      <x:c r="V354" s="8" t="n">
        <x:f>O354-I354*K354/H354</x:f>
        <x:v>69.49377754528487</x:v>
      </x:c>
      <x:c r="W354" s="8" t="n">
        <x:f>P354-J354*K354/H354</x:f>
        <x:v>0</x:v>
      </x:c>
      <x:c r="X354" s="8" t="n">
        <x:f>V354/S354</x:f>
        <x:v>0.6787104167230381</x:v>
      </x:c>
      <x:c r="Y354" s="8" t="n">
        <x:f>0</x:f>
        <x:v>0</x:v>
      </x:c>
      <x:c r="Z354" s="8" t="n">
        <x:f>K354/H354-X354*I354/H354-Y354*J354/H354</x:f>
        <x:v>1.363935353632007</x:v>
      </x:c>
      <x:c r="AA354" s="8" t="n">
        <x:f>Z354+X354*Q354+Y354*R354</x:f>
        <x:v>6.154391401414492</x:v>
      </x:c>
    </x:row>
    <x:row r="355" ht="26" customHeight="1">
      <x:c r="A355" s="2"/>
      <x:c r="B355" s="2" t="n">
        <x:v>350</x:v>
      </x:c>
      <x:c r="C355" s="2" t="str">
        <x:v>Health Care / price_contribution</x:v>
      </x:c>
      <x:c r="D355" s="2" t="str">
        <x:v>Broad lag 1</x:v>
      </x:c>
      <x:c r="E355" s="7" t="n">
        <x:v>45199</x:v>
      </x:c>
      <x:c r="F355" s="2" t="str">
        <x:v>Prior report</x:v>
      </x:c>
      <x:c r="G355" s="7" t="n">
        <x:v>45135</x:v>
      </x:c>
      <x:c r="H355" s="2" t="n">
        <x:v>9</x:v>
      </x:c>
      <x:c r="I355" s="8" t="n">
        <x:v>22.94079143912051</x:v>
      </x:c>
      <x:c r="J355" s="8" t="n">
        <x:v>0</x:v>
      </x:c>
      <x:c r="K355" s="8" t="n">
        <x:v>34</x:v>
      </x:c>
      <x:c r="L355" s="8" t="n">
        <x:v>142.56645097949428</x:v>
      </x:c>
      <x:c r="M355" s="8" t="n">
        <x:v>0</x:v>
      </x:c>
      <x:c r="N355" s="8" t="n">
        <x:v>0</x:v>
      </x:c>
      <x:c r="O355" s="8" t="n">
        <x:v>135.2197066362549</x:v>
      </x:c>
      <x:c r="P355" s="8" t="n">
        <x:v>0</x:v>
      </x:c>
      <x:c r="Q355" s="8" t="n">
        <x:v>7.05822723217906</x:v>
      </x:c>
      <x:c r="R355" s="8" t="n">
        <x:v>0</x:v>
      </x:c>
      <x:c r="S355" s="8" t="n">
        <x:f>L355-I355^2/H355</x:f>
        <x:v>84.09090521802484</x:v>
      </x:c>
      <x:c r="T355" s="8" t="n">
        <x:f>M355-J355^2/H355</x:f>
        <x:v>0</x:v>
      </x:c>
      <x:c r="U355" s="8" t="n">
        <x:f>N355-I355*J355/H355</x:f>
        <x:v>0</x:v>
      </x:c>
      <x:c r="V355" s="8" t="n">
        <x:f>O355-I355*K355/H355</x:f>
        <x:v>48.55449453291075</x:v>
      </x:c>
      <x:c r="W355" s="8" t="n">
        <x:f>P355-J355*K355/H355</x:f>
        <x:v>0</x:v>
      </x:c>
      <x:c r="X355" s="8" t="n">
        <x:f>V355/S355</x:f>
        <x:v>0.5774048264437415</x:v>
      </x:c>
      <x:c r="Y355" s="8" t="n">
        <x:f>0</x:f>
        <x:v>0</x:v>
      </x:c>
      <x:c r="Z355" s="8" t="n">
        <x:f>K355/H355-X355*I355/H355-Y355*J355/H355</x:f>
        <x:v>2.305986255623617</x:v>
      </x:c>
      <x:c r="AA355" s="8" t="n">
        <x:f>Z355+X355*Q355+Y355*R355</x:f>
        <x:v>6.381440725620456</x:v>
      </x:c>
    </x:row>
    <x:row r="356" ht="26" customHeight="1">
      <x:c r="A356" s="2"/>
      <x:c r="B356" s="2" t="n">
        <x:v>351</x:v>
      </x:c>
      <x:c r="C356" s="2" t="str">
        <x:v>Health Care / price_contribution</x:v>
      </x:c>
      <x:c r="D356" s="2" t="str">
        <x:v>Broad rolling 8</x:v>
      </x:c>
      <x:c r="E356" s="7" t="n">
        <x:v>45199</x:v>
      </x:c>
      <x:c r="F356" s="2" t="str">
        <x:v>Prior report</x:v>
      </x:c>
      <x:c r="G356" s="7" t="n">
        <x:v>45135</x:v>
      </x:c>
      <x:c r="H356" s="2" t="n">
        <x:v>8</x:v>
      </x:c>
      <x:c r="I356" s="8" t="n">
        <x:v>30.576982710611354</x:v>
      </x:c>
      <x:c r="J356" s="8" t="n">
        <x:v>0</x:v>
      </x:c>
      <x:c r="K356" s="8" t="n">
        <x:v>33</x:v>
      </x:c>
      <x:c r="L356" s="8" t="n">
        <x:v>192.2085561715494</x:v>
      </x:c>
      <x:c r="M356" s="8" t="n">
        <x:v>0</x:v>
      </x:c>
      <x:c r="N356" s="8" t="n">
        <x:v>0</x:v>
      </x:c>
      <x:c r="O356" s="8" t="n">
        <x:v>171.71070167641057</x:v>
      </x:c>
      <x:c r="P356" s="8" t="n">
        <x:v>0</x:v>
      </x:c>
      <x:c r="Q356" s="8" t="n">
        <x:v>7.058173750908159</x:v>
      </x:c>
      <x:c r="R356" s="8" t="n">
        <x:v>0</x:v>
      </x:c>
      <x:c r="S356" s="8" t="n">
        <x:f>L356-I356^2/H356</x:f>
        <x:v>75.33957221092118</x:v>
      </x:c>
      <x:c r="T356" s="8" t="n">
        <x:f>M356-J356^2/H356</x:f>
        <x:v>0</x:v>
      </x:c>
      <x:c r="U356" s="8" t="n">
        <x:f>N356-I356*J356/H356</x:f>
        <x:v>0</x:v>
      </x:c>
      <x:c r="V356" s="8" t="n">
        <x:f>O356-I356*K356/H356</x:f>
        <x:v>45.58064799513873</x:v>
      </x:c>
      <x:c r="W356" s="8" t="n">
        <x:f>P356-J356*K356/H356</x:f>
        <x:v>0</x:v>
      </x:c>
      <x:c r="X356" s="8" t="n">
        <x:f>V356/S356</x:f>
        <x:v>0.605002745005385</x:v>
      </x:c>
      <x:c r="Y356" s="8" t="n">
        <x:f>0</x:f>
        <x:v>0</x:v>
      </x:c>
      <x:c r="Z356" s="8" t="n">
        <x:f>K356/H356-X356*I356/H356-Y356*J356/H356</x:f>
        <x:v>1.8126051907622416</x:v>
      </x:c>
      <x:c r="AA356" s="8" t="n">
        <x:f>Z356+X356*Q356+Y356*R356</x:f>
        <x:v>6.082819684786632</x:v>
      </x:c>
    </x:row>
    <x:row r="357" ht="26" customHeight="1">
      <x:c r="A357" s="2"/>
      <x:c r="B357" s="2" t="n">
        <x:v>352</x:v>
      </x:c>
      <x:c r="C357" s="2" t="str">
        <x:v>Health Care / price_contribution</x:v>
      </x:c>
      <x:c r="D357" s="2" t="str">
        <x:v>Own history</x:v>
      </x:c>
      <x:c r="E357" s="7" t="n">
        <x:v>45199</x:v>
      </x:c>
      <x:c r="F357" s="2" t="str">
        <x:v>Prior report</x:v>
      </x:c>
      <x:c r="G357" s="7" t="n">
        <x:v>45135</x:v>
      </x:c>
      <x:c r="H357" s="2" t="n">
        <x:v>9</x:v>
      </x:c>
      <x:c r="I357" s="8" t="n">
        <x:v>28</x:v>
      </x:c>
      <x:c r="J357" s="8" t="n">
        <x:v>0</x:v>
      </x:c>
      <x:c r="K357" s="8" t="n">
        <x:v>34</x:v>
      </x:c>
      <x:c r="L357" s="8" t="n">
        <x:v>134</x:v>
      </x:c>
      <x:c r="M357" s="8" t="n">
        <x:v>0</x:v>
      </x:c>
      <x:c r="N357" s="8" t="n">
        <x:v>0</x:v>
      </x:c>
      <x:c r="O357" s="8" t="n">
        <x:v>146</x:v>
      </x:c>
      <x:c r="P357" s="8" t="n">
        <x:v>0</x:v>
      </x:c>
      <x:c r="Q357" s="8" t="n">
        <x:v>6</x:v>
      </x:c>
      <x:c r="R357" s="8" t="n">
        <x:v>0</x:v>
      </x:c>
      <x:c r="S357" s="8" t="n">
        <x:f>L357-I357^2/H357</x:f>
        <x:v>46.888888888888886</x:v>
      </x:c>
      <x:c r="T357" s="8" t="n">
        <x:f>M357-J357^2/H357</x:f>
        <x:v>0</x:v>
      </x:c>
      <x:c r="U357" s="8" t="n">
        <x:f>N357-I357*J357/H357</x:f>
        <x:v>0</x:v>
      </x:c>
      <x:c r="V357" s="8" t="n">
        <x:f>O357-I357*K357/H357</x:f>
        <x:v>40.22222222222223</x:v>
      </x:c>
      <x:c r="W357" s="8" t="n">
        <x:f>P357-J357*K357/H357</x:f>
        <x:v>0</x:v>
      </x:c>
      <x:c r="X357" s="8" t="n">
        <x:f>V357/S357</x:f>
        <x:v>0.8578199052132703</x:v>
      </x:c>
      <x:c r="Y357" s="8" t="n">
        <x:f>0</x:f>
        <x:v>0</x:v>
      </x:c>
      <x:c r="Z357" s="8" t="n">
        <x:f>K357/H357-X357*I357/H357-Y357*J357/H357</x:f>
        <x:v>1.1090047393364921</x:v>
      </x:c>
      <x:c r="AA357" s="8" t="n">
        <x:f>Z357+X357*Q357+Y357*R357</x:f>
        <x:v>6.255924170616114</x:v>
      </x:c>
    </x:row>
    <x:row r="358" ht="26" customHeight="1">
      <x:c r="A358" s="2"/>
      <x:c r="B358" s="2" t="n">
        <x:v>353</x:v>
      </x:c>
      <x:c r="C358" s="2" t="str">
        <x:v>Health Care / price_contribution</x:v>
      </x:c>
      <x:c r="D358" s="2" t="str">
        <x:v>Broad market</x:v>
      </x:c>
      <x:c r="E358" s="7" t="n">
        <x:v>45199</x:v>
      </x:c>
      <x:c r="F358" s="2" t="str">
        <x:v>Pre-earnings</x:v>
      </x:c>
      <x:c r="G358" s="7" t="n">
        <x:v>45216</x:v>
      </x:c>
      <x:c r="H358" s="2" t="n">
        <x:v>10</x:v>
      </x:c>
      <x:c r="I358" s="8" t="n">
        <x:v>29.99901867129957</x:v>
      </x:c>
      <x:c r="J358" s="8" t="n">
        <x:v>0</x:v>
      </x:c>
      <x:c r="K358" s="8" t="n">
        <x:v>34</x:v>
      </x:c>
      <x:c r="L358" s="8" t="n">
        <x:v>192.38502264056834</x:v>
      </x:c>
      <x:c r="M358" s="8" t="n">
        <x:v>0</x:v>
      </x:c>
      <x:c r="N358" s="8" t="n">
        <x:v>0</x:v>
      </x:c>
      <x:c r="O358" s="8" t="n">
        <x:v>171.4904410277034</x:v>
      </x:c>
      <x:c r="P358" s="8" t="n">
        <x:v>0</x:v>
      </x:c>
      <x:c r="Q358" s="8" t="n">
        <x:v>5.4935927157217845</x:v>
      </x:c>
      <x:c r="R358" s="8" t="n">
        <x:v>0</x:v>
      </x:c>
      <x:c r="S358" s="8" t="n">
        <x:f>L358-I358^2/H358</x:f>
        <x:v>102.39091051647031</x:v>
      </x:c>
      <x:c r="T358" s="8" t="n">
        <x:f>M358-J358^2/H358</x:f>
        <x:v>0</x:v>
      </x:c>
      <x:c r="U358" s="8" t="n">
        <x:f>N358-I358*J358/H358</x:f>
        <x:v>0</x:v>
      </x:c>
      <x:c r="V358" s="8" t="n">
        <x:f>O358-I358*K358/H358</x:f>
        <x:v>69.49377754528487</x:v>
      </x:c>
      <x:c r="W358" s="8" t="n">
        <x:f>P358-J358*K358/H358</x:f>
        <x:v>0</x:v>
      </x:c>
      <x:c r="X358" s="8" t="n">
        <x:f>V358/S358</x:f>
        <x:v>0.6787104167230381</x:v>
      </x:c>
      <x:c r="Y358" s="8" t="n">
        <x:f>0</x:f>
        <x:v>0</x:v>
      </x:c>
      <x:c r="Z358" s="8" t="n">
        <x:f>K358/H358-X358*I358/H358-Y358*J358/H358</x:f>
        <x:v>1.363935353632007</x:v>
      </x:c>
      <x:c r="AA358" s="8" t="n">
        <x:f>Z358+X358*Q358+Y358*R358</x:f>
        <x:v>5.092493955026185</x:v>
      </x:c>
    </x:row>
    <x:row r="359" ht="26" customHeight="1">
      <x:c r="A359" s="2"/>
      <x:c r="B359" s="2" t="n">
        <x:v>354</x:v>
      </x:c>
      <x:c r="C359" s="2" t="str">
        <x:v>Health Care / price_contribution</x:v>
      </x:c>
      <x:c r="D359" s="2" t="str">
        <x:v>Broad lag 1</x:v>
      </x:c>
      <x:c r="E359" s="7" t="n">
        <x:v>45199</x:v>
      </x:c>
      <x:c r="F359" s="2" t="str">
        <x:v>Pre-earnings</x:v>
      </x:c>
      <x:c r="G359" s="7" t="n">
        <x:v>45216</x:v>
      </x:c>
      <x:c r="H359" s="2" t="n">
        <x:v>9</x:v>
      </x:c>
      <x:c r="I359" s="8" t="n">
        <x:v>22.94079143912051</x:v>
      </x:c>
      <x:c r="J359" s="8" t="n">
        <x:v>0</x:v>
      </x:c>
      <x:c r="K359" s="8" t="n">
        <x:v>34</x:v>
      </x:c>
      <x:c r="L359" s="8" t="n">
        <x:v>142.56645097949428</x:v>
      </x:c>
      <x:c r="M359" s="8" t="n">
        <x:v>0</x:v>
      </x:c>
      <x:c r="N359" s="8" t="n">
        <x:v>0</x:v>
      </x:c>
      <x:c r="O359" s="8" t="n">
        <x:v>135.2197066362549</x:v>
      </x:c>
      <x:c r="P359" s="8" t="n">
        <x:v>0</x:v>
      </x:c>
      <x:c r="Q359" s="8" t="n">
        <x:v>7.05822723217906</x:v>
      </x:c>
      <x:c r="R359" s="8" t="n">
        <x:v>0</x:v>
      </x:c>
      <x:c r="S359" s="8" t="n">
        <x:f>L359-I359^2/H359</x:f>
        <x:v>84.09090521802484</x:v>
      </x:c>
      <x:c r="T359" s="8" t="n">
        <x:f>M359-J359^2/H359</x:f>
        <x:v>0</x:v>
      </x:c>
      <x:c r="U359" s="8" t="n">
        <x:f>N359-I359*J359/H359</x:f>
        <x:v>0</x:v>
      </x:c>
      <x:c r="V359" s="8" t="n">
        <x:f>O359-I359*K359/H359</x:f>
        <x:v>48.55449453291075</x:v>
      </x:c>
      <x:c r="W359" s="8" t="n">
        <x:f>P359-J359*K359/H359</x:f>
        <x:v>0</x:v>
      </x:c>
      <x:c r="X359" s="8" t="n">
        <x:f>V359/S359</x:f>
        <x:v>0.5774048264437415</x:v>
      </x:c>
      <x:c r="Y359" s="8" t="n">
        <x:f>0</x:f>
        <x:v>0</x:v>
      </x:c>
      <x:c r="Z359" s="8" t="n">
        <x:f>K359/H359-X359*I359/H359-Y359*J359/H359</x:f>
        <x:v>2.305986255623617</x:v>
      </x:c>
      <x:c r="AA359" s="8" t="n">
        <x:f>Z359+X359*Q359+Y359*R359</x:f>
        <x:v>6.381440725620456</x:v>
      </x:c>
    </x:row>
    <x:row r="360" ht="26" customHeight="1">
      <x:c r="A360" s="2"/>
      <x:c r="B360" s="2" t="n">
        <x:v>355</x:v>
      </x:c>
      <x:c r="C360" s="2" t="str">
        <x:v>Health Care / price_contribution</x:v>
      </x:c>
      <x:c r="D360" s="2" t="str">
        <x:v>Broad rolling 8</x:v>
      </x:c>
      <x:c r="E360" s="7" t="n">
        <x:v>45199</x:v>
      </x:c>
      <x:c r="F360" s="2" t="str">
        <x:v>Pre-earnings</x:v>
      </x:c>
      <x:c r="G360" s="7" t="n">
        <x:v>45216</x:v>
      </x:c>
      <x:c r="H360" s="2" t="n">
        <x:v>8</x:v>
      </x:c>
      <x:c r="I360" s="8" t="n">
        <x:v>30.576982710611354</x:v>
      </x:c>
      <x:c r="J360" s="8" t="n">
        <x:v>0</x:v>
      </x:c>
      <x:c r="K360" s="8" t="n">
        <x:v>33</x:v>
      </x:c>
      <x:c r="L360" s="8" t="n">
        <x:v>192.2085561715494</x:v>
      </x:c>
      <x:c r="M360" s="8" t="n">
        <x:v>0</x:v>
      </x:c>
      <x:c r="N360" s="8" t="n">
        <x:v>0</x:v>
      </x:c>
      <x:c r="O360" s="8" t="n">
        <x:v>171.71070167641057</x:v>
      </x:c>
      <x:c r="P360" s="8" t="n">
        <x:v>0</x:v>
      </x:c>
      <x:c r="Q360" s="8" t="n">
        <x:v>5.4935927157217845</x:v>
      </x:c>
      <x:c r="R360" s="8" t="n">
        <x:v>0</x:v>
      </x:c>
      <x:c r="S360" s="8" t="n">
        <x:f>L360-I360^2/H360</x:f>
        <x:v>75.33957221092118</x:v>
      </x:c>
      <x:c r="T360" s="8" t="n">
        <x:f>M360-J360^2/H360</x:f>
        <x:v>0</x:v>
      </x:c>
      <x:c r="U360" s="8" t="n">
        <x:f>N360-I360*J360/H360</x:f>
        <x:v>0</x:v>
      </x:c>
      <x:c r="V360" s="8" t="n">
        <x:f>O360-I360*K360/H360</x:f>
        <x:v>45.58064799513873</x:v>
      </x:c>
      <x:c r="W360" s="8" t="n">
        <x:f>P360-J360*K360/H360</x:f>
        <x:v>0</x:v>
      </x:c>
      <x:c r="X360" s="8" t="n">
        <x:f>V360/S360</x:f>
        <x:v>0.605002745005385</x:v>
      </x:c>
      <x:c r="Y360" s="8" t="n">
        <x:f>0</x:f>
        <x:v>0</x:v>
      </x:c>
      <x:c r="Z360" s="8" t="n">
        <x:f>K360/H360-X360*I360/H360-Y360*J360/H360</x:f>
        <x:v>1.8126051907622416</x:v>
      </x:c>
      <x:c r="AA360" s="8" t="n">
        <x:f>Z360+X360*Q360+Y360*R360</x:f>
        <x:v>5.136243863715508</x:v>
      </x:c>
    </x:row>
    <x:row r="361" ht="26" customHeight="1">
      <x:c r="A361" s="2"/>
      <x:c r="B361" s="2" t="n">
        <x:v>356</x:v>
      </x:c>
      <x:c r="C361" s="2" t="str">
        <x:v>Health Care / price_contribution</x:v>
      </x:c>
      <x:c r="D361" s="2" t="str">
        <x:v>Own history</x:v>
      </x:c>
      <x:c r="E361" s="7" t="n">
        <x:v>45199</x:v>
      </x:c>
      <x:c r="F361" s="2" t="str">
        <x:v>Pre-earnings</x:v>
      </x:c>
      <x:c r="G361" s="7" t="n">
        <x:v>45216</x:v>
      </x:c>
      <x:c r="H361" s="2" t="n">
        <x:v>9</x:v>
      </x:c>
      <x:c r="I361" s="8" t="n">
        <x:v>28</x:v>
      </x:c>
      <x:c r="J361" s="8" t="n">
        <x:v>0</x:v>
      </x:c>
      <x:c r="K361" s="8" t="n">
        <x:v>34</x:v>
      </x:c>
      <x:c r="L361" s="8" t="n">
        <x:v>134</x:v>
      </x:c>
      <x:c r="M361" s="8" t="n">
        <x:v>0</x:v>
      </x:c>
      <x:c r="N361" s="8" t="n">
        <x:v>0</x:v>
      </x:c>
      <x:c r="O361" s="8" t="n">
        <x:v>146</x:v>
      </x:c>
      <x:c r="P361" s="8" t="n">
        <x:v>0</x:v>
      </x:c>
      <x:c r="Q361" s="8" t="n">
        <x:v>6</x:v>
      </x:c>
      <x:c r="R361" s="8" t="n">
        <x:v>0</x:v>
      </x:c>
      <x:c r="S361" s="8" t="n">
        <x:f>L361-I361^2/H361</x:f>
        <x:v>46.888888888888886</x:v>
      </x:c>
      <x:c r="T361" s="8" t="n">
        <x:f>M361-J361^2/H361</x:f>
        <x:v>0</x:v>
      </x:c>
      <x:c r="U361" s="8" t="n">
        <x:f>N361-I361*J361/H361</x:f>
        <x:v>0</x:v>
      </x:c>
      <x:c r="V361" s="8" t="n">
        <x:f>O361-I361*K361/H361</x:f>
        <x:v>40.22222222222223</x:v>
      </x:c>
      <x:c r="W361" s="8" t="n">
        <x:f>P361-J361*K361/H361</x:f>
        <x:v>0</x:v>
      </x:c>
      <x:c r="X361" s="8" t="n">
        <x:f>V361/S361</x:f>
        <x:v>0.8578199052132703</x:v>
      </x:c>
      <x:c r="Y361" s="8" t="n">
        <x:f>0</x:f>
        <x:v>0</x:v>
      </x:c>
      <x:c r="Z361" s="8" t="n">
        <x:f>K361/H361-X361*I361/H361-Y361*J361/H361</x:f>
        <x:v>1.1090047393364921</x:v>
      </x:c>
      <x:c r="AA361" s="8" t="n">
        <x:f>Z361+X361*Q361+Y361*R361</x:f>
        <x:v>6.255924170616114</x:v>
      </x:c>
    </x:row>
    <x:row r="362" ht="26" customHeight="1">
      <x:c r="A362" s="2"/>
      <x:c r="B362" s="2" t="n">
        <x:v>357</x:v>
      </x:c>
      <x:c r="C362" s="2" t="str">
        <x:v>Health Care / price_contribution</x:v>
      </x:c>
      <x:c r="D362" s="2" t="str">
        <x:v>Broad market</x:v>
      </x:c>
      <x:c r="E362" s="7" t="n">
        <x:v>45291</x:v>
      </x:c>
      <x:c r="F362" s="2" t="str">
        <x:v>Origin</x:v>
      </x:c>
      <x:c r="G362" s="7" t="n">
        <x:v>45200</x:v>
      </x:c>
      <x:c r="H362" s="2" t="n">
        <x:v>10</x:v>
      </x:c>
      <x:c r="I362" s="8" t="n">
        <x:v>29.99901867129957</x:v>
      </x:c>
      <x:c r="J362" s="8" t="n">
        <x:v>0</x:v>
      </x:c>
      <x:c r="K362" s="8" t="n">
        <x:v>34</x:v>
      </x:c>
      <x:c r="L362" s="8" t="n">
        <x:v>192.38502264056834</x:v>
      </x:c>
      <x:c r="M362" s="8" t="n">
        <x:v>0</x:v>
      </x:c>
      <x:c r="N362" s="8" t="n">
        <x:v>0</x:v>
      </x:c>
      <x:c r="O362" s="8" t="n">
        <x:v>171.4904410277034</x:v>
      </x:c>
      <x:c r="P362" s="8" t="n">
        <x:v>0</x:v>
      </x:c>
      <x:c r="Q362" s="8" t="n">
        <x:v>6.115186149321272</x:v>
      </x:c>
      <x:c r="R362" s="8" t="n">
        <x:v>0</x:v>
      </x:c>
      <x:c r="S362" s="8" t="n">
        <x:f>L362-I362^2/H362</x:f>
        <x:v>102.39091051647031</x:v>
      </x:c>
      <x:c r="T362" s="8" t="n">
        <x:f>M362-J362^2/H362</x:f>
        <x:v>0</x:v>
      </x:c>
      <x:c r="U362" s="8" t="n">
        <x:f>N362-I362*J362/H362</x:f>
        <x:v>0</x:v>
      </x:c>
      <x:c r="V362" s="8" t="n">
        <x:f>O362-I362*K362/H362</x:f>
        <x:v>69.49377754528487</x:v>
      </x:c>
      <x:c r="W362" s="8" t="n">
        <x:f>P362-J362*K362/H362</x:f>
        <x:v>0</x:v>
      </x:c>
      <x:c r="X362" s="8" t="n">
        <x:f>V362/S362</x:f>
        <x:v>0.6787104167230381</x:v>
      </x:c>
      <x:c r="Y362" s="8" t="n">
        <x:f>0</x:f>
        <x:v>0</x:v>
      </x:c>
      <x:c r="Z362" s="8" t="n">
        <x:f>K362/H362-X362*I362/H362-Y362*J362/H362</x:f>
        <x:v>1.363935353632007</x:v>
      </x:c>
      <x:c r="AA362" s="8" t="n">
        <x:f>Z362+X362*Q362+Y362*R362</x:f>
        <x:v>5.514375893376799</x:v>
      </x:c>
    </x:row>
    <x:row r="363" ht="26" customHeight="1">
      <x:c r="A363" s="2"/>
      <x:c r="B363" s="2" t="n">
        <x:v>358</x:v>
      </x:c>
      <x:c r="C363" s="2" t="str">
        <x:v>Health Care / price_contribution</x:v>
      </x:c>
      <x:c r="D363" s="2" t="str">
        <x:v>Broad rolling 8</x:v>
      </x:c>
      <x:c r="E363" s="7" t="n">
        <x:v>45291</x:v>
      </x:c>
      <x:c r="F363" s="2" t="str">
        <x:v>Origin</x:v>
      </x:c>
      <x:c r="G363" s="7" t="n">
        <x:v>45200</x:v>
      </x:c>
      <x:c r="H363" s="2" t="n">
        <x:v>8</x:v>
      </x:c>
      <x:c r="I363" s="8" t="n">
        <x:v>30.576982710611354</x:v>
      </x:c>
      <x:c r="J363" s="8" t="n">
        <x:v>0</x:v>
      </x:c>
      <x:c r="K363" s="8" t="n">
        <x:v>33</x:v>
      </x:c>
      <x:c r="L363" s="8" t="n">
        <x:v>192.2085561715494</x:v>
      </x:c>
      <x:c r="M363" s="8" t="n">
        <x:v>0</x:v>
      </x:c>
      <x:c r="N363" s="8" t="n">
        <x:v>0</x:v>
      </x:c>
      <x:c r="O363" s="8" t="n">
        <x:v>171.71070167641057</x:v>
      </x:c>
      <x:c r="P363" s="8" t="n">
        <x:v>0</x:v>
      </x:c>
      <x:c r="Q363" s="8" t="n">
        <x:v>6.115186149321272</x:v>
      </x:c>
      <x:c r="R363" s="8" t="n">
        <x:v>0</x:v>
      </x:c>
      <x:c r="S363" s="8" t="n">
        <x:f>L363-I363^2/H363</x:f>
        <x:v>75.33957221092118</x:v>
      </x:c>
      <x:c r="T363" s="8" t="n">
        <x:f>M363-J363^2/H363</x:f>
        <x:v>0</x:v>
      </x:c>
      <x:c r="U363" s="8" t="n">
        <x:f>N363-I363*J363/H363</x:f>
        <x:v>0</x:v>
      </x:c>
      <x:c r="V363" s="8" t="n">
        <x:f>O363-I363*K363/H363</x:f>
        <x:v>45.58064799513873</x:v>
      </x:c>
      <x:c r="W363" s="8" t="n">
        <x:f>P363-J363*K363/H363</x:f>
        <x:v>0</x:v>
      </x:c>
      <x:c r="X363" s="8" t="n">
        <x:f>V363/S363</x:f>
        <x:v>0.605002745005385</x:v>
      </x:c>
      <x:c r="Y363" s="8" t="n">
        <x:f>0</x:f>
        <x:v>0</x:v>
      </x:c>
      <x:c r="Z363" s="8" t="n">
        <x:f>K363/H363-X363*I363/H363-Y363*J363/H363</x:f>
        <x:v>1.8126051907622416</x:v>
      </x:c>
      <x:c r="AA363" s="8" t="n">
        <x:f>Z363+X363*Q363+Y363*R363</x:f>
        <x:v>5.512309597320521</x:v>
      </x:c>
    </x:row>
    <x:row r="364" ht="26" customHeight="1">
      <x:c r="A364" s="2"/>
      <x:c r="B364" s="2" t="n">
        <x:v>359</x:v>
      </x:c>
      <x:c r="C364" s="2" t="str">
        <x:v>Health Care / price_contribution</x:v>
      </x:c>
      <x:c r="D364" s="2" t="str">
        <x:v>Own history</x:v>
      </x:c>
      <x:c r="E364" s="7" t="n">
        <x:v>45291</x:v>
      </x:c>
      <x:c r="F364" s="2" t="str">
        <x:v>Origin</x:v>
      </x:c>
      <x:c r="G364" s="7" t="n">
        <x:v>45200</x:v>
      </x:c>
      <x:c r="H364" s="2" t="n">
        <x:v>8</x:v>
      </x:c>
      <x:c r="I364" s="8" t="n">
        <x:v>22</x:v>
      </x:c>
      <x:c r="J364" s="8" t="n">
        <x:v>0</x:v>
      </x:c>
      <x:c r="K364" s="8" t="n">
        <x:v>33</x:v>
      </x:c>
      <x:c r="L364" s="8" t="n">
        <x:v>98</x:v>
      </x:c>
      <x:c r="M364" s="8" t="n">
        <x:v>0</x:v>
      </x:c>
      <x:c r="N364" s="8" t="n">
        <x:v>0</x:v>
      </x:c>
      <x:c r="O364" s="8" t="n">
        <x:v>118</x:v>
      </x:c>
      <x:c r="P364" s="8" t="n">
        <x:v>0</x:v>
      </x:c>
      <x:c r="Q364" s="8" t="n">
        <x:v>6</x:v>
      </x:c>
      <x:c r="R364" s="8" t="n">
        <x:v>0</x:v>
      </x:c>
      <x:c r="S364" s="8" t="n">
        <x:f>L364-I364^2/H364</x:f>
        <x:v>37.5</x:v>
      </x:c>
      <x:c r="T364" s="8" t="n">
        <x:f>M364-J364^2/H364</x:f>
        <x:v>0</x:v>
      </x:c>
      <x:c r="U364" s="8" t="n">
        <x:f>N364-I364*J364/H364</x:f>
        <x:v>0</x:v>
      </x:c>
      <x:c r="V364" s="8" t="n">
        <x:f>O364-I364*K364/H364</x:f>
        <x:v>27.25</x:v>
      </x:c>
      <x:c r="W364" s="8" t="n">
        <x:f>P364-J364*K364/H364</x:f>
        <x:v>0</x:v>
      </x:c>
      <x:c r="X364" s="8" t="n">
        <x:f>V364/S364</x:f>
        <x:v>0.7266666666666667</x:v>
      </x:c>
      <x:c r="Y364" s="8" t="n">
        <x:f>0</x:f>
        <x:v>0</x:v>
      </x:c>
      <x:c r="Z364" s="8" t="n">
        <x:f>K364/H364-X364*I364/H364-Y364*J364/H364</x:f>
        <x:v>2.126666666666667</x:v>
      </x:c>
      <x:c r="AA364" s="8" t="n">
        <x:f>Z364+X364*Q364+Y364*R364</x:f>
        <x:v>6.486666666666667</x:v>
      </x:c>
    </x:row>
    <x:row r="365" ht="26" customHeight="1">
      <x:c r="A365" s="2"/>
      <x:c r="B365" s="2" t="n">
        <x:v>360</x:v>
      </x:c>
      <x:c r="C365" s="2" t="str">
        <x:v>Health Care / price_contribution</x:v>
      </x:c>
      <x:c r="D365" s="2" t="str">
        <x:v>Broad market</x:v>
      </x:c>
      <x:c r="E365" s="7" t="n">
        <x:v>45291</x:v>
      </x:c>
      <x:c r="F365" s="2" t="str">
        <x:v>Prior report</x:v>
      </x:c>
      <x:c r="G365" s="7" t="n">
        <x:v>45217</x:v>
      </x:c>
      <x:c r="H365" s="2" t="n">
        <x:v>11</x:v>
      </x:c>
      <x:c r="I365" s="8" t="n">
        <x:v>35.492611387021356</x:v>
      </x:c>
      <x:c r="J365" s="8" t="n">
        <x:v>0</x:v>
      </x:c>
      <x:c r="K365" s="8" t="n">
        <x:v>40</x:v>
      </x:c>
      <x:c r="L365" s="8" t="n">
        <x:v>222.5645835667998</x:v>
      </x:c>
      <x:c r="M365" s="8" t="n">
        <x:v>0</x:v>
      </x:c>
      <x:c r="N365" s="8" t="n">
        <x:v>0</x:v>
      </x:c>
      <x:c r="O365" s="8" t="n">
        <x:v>204.45199732203412</x:v>
      </x:c>
      <x:c r="P365" s="8" t="n">
        <x:v>0</x:v>
      </x:c>
      <x:c r="Q365" s="8" t="n">
        <x:v>5.498311526452704</x:v>
      </x:c>
      <x:c r="R365" s="8" t="n">
        <x:v>0</x:v>
      </x:c>
      <x:c r="S365" s="8" t="n">
        <x:f>L365-I365^2/H365</x:f>
        <x:v>108.0440869240618</x:v>
      </x:c>
      <x:c r="T365" s="8" t="n">
        <x:f>M365-J365^2/H365</x:f>
        <x:v>0</x:v>
      </x:c>
      <x:c r="U365" s="8" t="n">
        <x:f>N365-I365*J365/H365</x:f>
        <x:v>0</x:v>
      </x:c>
      <x:c r="V365" s="8" t="n">
        <x:f>O365-I365*K365/H365</x:f>
        <x:v>75.38795591468374</x:v>
      </x:c>
      <x:c r="W365" s="8" t="n">
        <x:f>P365-J365*K365/H365</x:f>
        <x:v>0</x:v>
      </x:c>
      <x:c r="X365" s="8" t="n">
        <x:f>V365/S365</x:f>
        <x:v>0.6977517980014006</x:v>
      </x:c>
      <x:c r="Y365" s="8" t="n">
        <x:f>0</x:f>
        <x:v>0</x:v>
      </x:c>
      <x:c r="Z365" s="8" t="n">
        <x:f>K365/H365-X365*I365/H365-Y365*J365/H365</x:f>
        <x:v>1.3849969626309875</x:v>
      </x:c>
      <x:c r="AA365" s="8" t="n">
        <x:f>Z365+X365*Q365+Y365*R365</x:f>
        <x:v>5.221453716185187</x:v>
      </x:c>
    </x:row>
    <x:row r="366" ht="26" customHeight="1">
      <x:c r="A366" s="2"/>
      <x:c r="B366" s="2" t="n">
        <x:v>361</x:v>
      </x:c>
      <x:c r="C366" s="2" t="str">
        <x:v>Health Care / price_contribution</x:v>
      </x:c>
      <x:c r="D366" s="2" t="str">
        <x:v>Broad lag 1</x:v>
      </x:c>
      <x:c r="E366" s="7" t="n">
        <x:v>45291</x:v>
      </x:c>
      <x:c r="F366" s="2" t="str">
        <x:v>Prior report</x:v>
      </x:c>
      <x:c r="G366" s="7" t="n">
        <x:v>45217</x:v>
      </x:c>
      <x:c r="H366" s="2" t="n">
        <x:v>10</x:v>
      </x:c>
      <x:c r="I366" s="8" t="n">
        <x:v>29.99901867129957</x:v>
      </x:c>
      <x:c r="J366" s="8" t="n">
        <x:v>0</x:v>
      </x:c>
      <x:c r="K366" s="8" t="n">
        <x:v>40</x:v>
      </x:c>
      <x:c r="L366" s="8" t="n">
        <x:v>192.38502264056834</x:v>
      </x:c>
      <x:c r="M366" s="8" t="n">
        <x:v>0</x:v>
      </x:c>
      <x:c r="N366" s="8" t="n">
        <x:v>0</x:v>
      </x:c>
      <x:c r="O366" s="8" t="n">
        <x:v>177.56907002932925</x:v>
      </x:c>
      <x:c r="P366" s="8" t="n">
        <x:v>0</x:v>
      </x:c>
      <x:c r="Q366" s="8" t="n">
        <x:v>5.4935927157217845</x:v>
      </x:c>
      <x:c r="R366" s="8" t="n">
        <x:v>0</x:v>
      </x:c>
      <x:c r="S366" s="8" t="n">
        <x:f>L366-I366^2/H366</x:f>
        <x:v>102.39091051647031</x:v>
      </x:c>
      <x:c r="T366" s="8" t="n">
        <x:f>M366-J366^2/H366</x:f>
        <x:v>0</x:v>
      </x:c>
      <x:c r="U366" s="8" t="n">
        <x:f>N366-I366*J366/H366</x:f>
        <x:v>0</x:v>
      </x:c>
      <x:c r="V366" s="8" t="n">
        <x:f>O366-I366*K366/H366</x:f>
        <x:v>57.57299534413097</x:v>
      </x:c>
      <x:c r="W366" s="8" t="n">
        <x:f>P366-J366*K366/H366</x:f>
        <x:v>0</x:v>
      </x:c>
      <x:c r="X366" s="8" t="n">
        <x:f>V366/S366</x:f>
        <x:v>0.5622861937033946</x:v>
      </x:c>
      <x:c r="Y366" s="8" t="n">
        <x:f>0</x:f>
        <x:v>0</x:v>
      </x:c>
      <x:c r="Z366" s="8" t="n">
        <x:f>K366/H366-X366*I366/H366-Y366*J366/H366</x:f>
        <x:v>2.3131965976477895</x:v>
      </x:c>
      <x:c r="AA366" s="8" t="n">
        <x:f>Z366+X366*Q366+Y366*R366</x:f>
        <x:v>5.402167935527686</x:v>
      </x:c>
    </x:row>
    <x:row r="367" ht="26" customHeight="1">
      <x:c r="A367" s="2"/>
      <x:c r="B367" s="2" t="n">
        <x:v>362</x:v>
      </x:c>
      <x:c r="C367" s="2" t="str">
        <x:v>Health Care / price_contribution</x:v>
      </x:c>
      <x:c r="D367" s="2" t="str">
        <x:v>Broad rolling 8</x:v>
      </x:c>
      <x:c r="E367" s="7" t="n">
        <x:v>45291</x:v>
      </x:c>
      <x:c r="F367" s="2" t="str">
        <x:v>Prior report</x:v>
      </x:c>
      <x:c r="G367" s="7" t="n">
        <x:v>45217</x:v>
      </x:c>
      <x:c r="H367" s="2" t="n">
        <x:v>8</x:v>
      </x:c>
      <x:c r="I367" s="8" t="n">
        <x:v>36.40194937934132</x:v>
      </x:c>
      <x:c r="J367" s="8" t="n">
        <x:v>0</x:v>
      </x:c>
      <x:c r="K367" s="8" t="n">
        <x:v>38</x:v>
      </x:c>
      <x:c r="L367" s="8" t="n">
        <x:v>222.27830840104858</x:v>
      </x:c>
      <x:c r="M367" s="8" t="n">
        <x:v>0</x:v>
      </x:c>
      <x:c r="N367" s="8" t="n">
        <x:v>0</x:v>
      </x:c>
      <x:c r="O367" s="8" t="n">
        <x:v>205.00363192374945</x:v>
      </x:c>
      <x:c r="P367" s="8" t="n">
        <x:v>0</x:v>
      </x:c>
      <x:c r="Q367" s="8" t="n">
        <x:v>5.498311526452704</x:v>
      </x:c>
      <x:c r="R367" s="8" t="n">
        <x:v>0</x:v>
      </x:c>
      <x:c r="S367" s="8" t="n">
        <x:f>L367-I367^2/H367</x:f>
        <x:v>56.64056857403261</x:v>
      </x:c>
      <x:c r="T367" s="8" t="n">
        <x:f>M367-J367^2/H367</x:f>
        <x:v>0</x:v>
      </x:c>
      <x:c r="U367" s="8" t="n">
        <x:f>N367-I367*J367/H367</x:f>
        <x:v>0</x:v>
      </x:c>
      <x:c r="V367" s="8" t="n">
        <x:f>O367-I367*K367/H367</x:f>
        <x:v>32.094372371878194</x:v>
      </x:c>
      <x:c r="W367" s="8" t="n">
        <x:f>P367-J367*K367/H367</x:f>
        <x:v>0</x:v>
      </x:c>
      <x:c r="X367" s="8" t="n">
        <x:f>V367/S367</x:f>
        <x:v>0.5666322422227971</x:v>
      </x:c>
      <x:c r="Y367" s="8" t="n">
        <x:f>0</x:f>
        <x:v>0</x:v>
      </x:c>
      <x:c r="Z367" s="8" t="n">
        <x:f>K367/H367-X367*I367/H367-Y367*J367/H367</x:f>
        <x:v>2.171685225237884</x:v>
      </x:c>
      <x:c r="AA367" s="8" t="n">
        <x:f>Z367+X367*Q367+Y367*R367</x:f>
        <x:v>5.28720581391123</x:v>
      </x:c>
    </x:row>
    <x:row r="368" ht="26" customHeight="1">
      <x:c r="A368" s="2"/>
      <x:c r="B368" s="2" t="n">
        <x:v>363</x:v>
      </x:c>
      <x:c r="C368" s="2" t="str">
        <x:v>Health Care / price_contribution</x:v>
      </x:c>
      <x:c r="D368" s="2" t="str">
        <x:v>Own history</x:v>
      </x:c>
      <x:c r="E368" s="7" t="n">
        <x:v>45291</x:v>
      </x:c>
      <x:c r="F368" s="2" t="str">
        <x:v>Prior report</x:v>
      </x:c>
      <x:c r="G368" s="7" t="n">
        <x:v>45217</x:v>
      </x:c>
      <x:c r="H368" s="2" t="n">
        <x:v>10</x:v>
      </x:c>
      <x:c r="I368" s="8" t="n">
        <x:v>34</x:v>
      </x:c>
      <x:c r="J368" s="8" t="n">
        <x:v>0</x:v>
      </x:c>
      <x:c r="K368" s="8" t="n">
        <x:v>40</x:v>
      </x:c>
      <x:c r="L368" s="8" t="n">
        <x:v>170</x:v>
      </x:c>
      <x:c r="M368" s="8" t="n">
        <x:v>0</x:v>
      </x:c>
      <x:c r="N368" s="8" t="n">
        <x:v>0</x:v>
      </x:c>
      <x:c r="O368" s="8" t="n">
        <x:v>182</x:v>
      </x:c>
      <x:c r="P368" s="8" t="n">
        <x:v>0</x:v>
      </x:c>
      <x:c r="Q368" s="8" t="n">
        <x:v>6</x:v>
      </x:c>
      <x:c r="R368" s="8" t="n">
        <x:v>0</x:v>
      </x:c>
      <x:c r="S368" s="8" t="n">
        <x:f>L368-I368^2/H368</x:f>
        <x:v>54.400000000000006</x:v>
      </x:c>
      <x:c r="T368" s="8" t="n">
        <x:f>M368-J368^2/H368</x:f>
        <x:v>0</x:v>
      </x:c>
      <x:c r="U368" s="8" t="n">
        <x:f>N368-I368*J368/H368</x:f>
        <x:v>0</x:v>
      </x:c>
      <x:c r="V368" s="8" t="n">
        <x:f>O368-I368*K368/H368</x:f>
        <x:v>46</x:v>
      </x:c>
      <x:c r="W368" s="8" t="n">
        <x:f>P368-J368*K368/H368</x:f>
        <x:v>0</x:v>
      </x:c>
      <x:c r="X368" s="8" t="n">
        <x:f>V368/S368</x:f>
        <x:v>0.8455882352941175</x:v>
      </x:c>
      <x:c r="Y368" s="8" t="n">
        <x:f>0</x:f>
        <x:v>0</x:v>
      </x:c>
      <x:c r="Z368" s="8" t="n">
        <x:f>K368/H368-X368*I368/H368-Y368*J368/H368</x:f>
        <x:v>1.1250000000000004</x:v>
      </x:c>
      <x:c r="AA368" s="8" t="n">
        <x:f>Z368+X368*Q368+Y368*R368</x:f>
        <x:v>6.198529411764705</x:v>
      </x:c>
    </x:row>
    <x:row r="369" ht="26" customHeight="1">
      <x:c r="A369" s="2"/>
      <x:c r="B369" s="2" t="n">
        <x:v>364</x:v>
      </x:c>
      <x:c r="C369" s="2" t="str">
        <x:v>Health Care / price_contribution</x:v>
      </x:c>
      <x:c r="D369" s="2" t="str">
        <x:v>Broad market</x:v>
      </x:c>
      <x:c r="E369" s="7" t="n">
        <x:v>45291</x:v>
      </x:c>
      <x:c r="F369" s="2" t="str">
        <x:v>Pre-earnings</x:v>
      </x:c>
      <x:c r="G369" s="7" t="n">
        <x:v>45313</x:v>
      </x:c>
      <x:c r="H369" s="2" t="n">
        <x:v>11</x:v>
      </x:c>
      <x:c r="I369" s="8" t="n">
        <x:v>35.492611387021356</x:v>
      </x:c>
      <x:c r="J369" s="8" t="n">
        <x:v>0</x:v>
      </x:c>
      <x:c r="K369" s="8" t="n">
        <x:v>40</x:v>
      </x:c>
      <x:c r="L369" s="8" t="n">
        <x:v>222.5645835667998</x:v>
      </x:c>
      <x:c r="M369" s="8" t="n">
        <x:v>0</x:v>
      </x:c>
      <x:c r="N369" s="8" t="n">
        <x:v>0</x:v>
      </x:c>
      <x:c r="O369" s="8" t="n">
        <x:v>204.45199732203412</x:v>
      </x:c>
      <x:c r="P369" s="8" t="n">
        <x:v>0</x:v>
      </x:c>
      <x:c r="Q369" s="8" t="n">
        <x:v>4.212216519153356</x:v>
      </x:c>
      <x:c r="R369" s="8" t="n">
        <x:v>0</x:v>
      </x:c>
      <x:c r="S369" s="8" t="n">
        <x:f>L369-I369^2/H369</x:f>
        <x:v>108.0440869240618</x:v>
      </x:c>
      <x:c r="T369" s="8" t="n">
        <x:f>M369-J369^2/H369</x:f>
        <x:v>0</x:v>
      </x:c>
      <x:c r="U369" s="8" t="n">
        <x:f>N369-I369*J369/H369</x:f>
        <x:v>0</x:v>
      </x:c>
      <x:c r="V369" s="8" t="n">
        <x:f>O369-I369*K369/H369</x:f>
        <x:v>75.38795591468374</x:v>
      </x:c>
      <x:c r="W369" s="8" t="n">
        <x:f>P369-J369*K369/H369</x:f>
        <x:v>0</x:v>
      </x:c>
      <x:c r="X369" s="8" t="n">
        <x:f>V369/S369</x:f>
        <x:v>0.6977517980014006</x:v>
      </x:c>
      <x:c r="Y369" s="8" t="n">
        <x:f>0</x:f>
        <x:v>0</x:v>
      </x:c>
      <x:c r="Z369" s="8" t="n">
        <x:f>K369/H369-X369*I369/H369-Y369*J369/H369</x:f>
        <x:v>1.3849969626309875</x:v>
      </x:c>
      <x:c r="AA369" s="8" t="n">
        <x:f>Z369+X369*Q369+Y369*R369</x:f>
        <x:v>4.3240786124414425</x:v>
      </x:c>
    </x:row>
    <x:row r="370" ht="26" customHeight="1">
      <x:c r="A370" s="2"/>
      <x:c r="B370" s="2" t="n">
        <x:v>365</x:v>
      </x:c>
      <x:c r="C370" s="2" t="str">
        <x:v>Health Care / price_contribution</x:v>
      </x:c>
      <x:c r="D370" s="2" t="str">
        <x:v>Broad lag 1</x:v>
      </x:c>
      <x:c r="E370" s="7" t="n">
        <x:v>45291</x:v>
      </x:c>
      <x:c r="F370" s="2" t="str">
        <x:v>Pre-earnings</x:v>
      </x:c>
      <x:c r="G370" s="7" t="n">
        <x:v>45313</x:v>
      </x:c>
      <x:c r="H370" s="2" t="n">
        <x:v>10</x:v>
      </x:c>
      <x:c r="I370" s="8" t="n">
        <x:v>29.99901867129957</x:v>
      </x:c>
      <x:c r="J370" s="8" t="n">
        <x:v>0</x:v>
      </x:c>
      <x:c r="K370" s="8" t="n">
        <x:v>40</x:v>
      </x:c>
      <x:c r="L370" s="8" t="n">
        <x:v>192.38502264056834</x:v>
      </x:c>
      <x:c r="M370" s="8" t="n">
        <x:v>0</x:v>
      </x:c>
      <x:c r="N370" s="8" t="n">
        <x:v>0</x:v>
      </x:c>
      <x:c r="O370" s="8" t="n">
        <x:v>177.56907002932925</x:v>
      </x:c>
      <x:c r="P370" s="8" t="n">
        <x:v>0</x:v>
      </x:c>
      <x:c r="Q370" s="8" t="n">
        <x:v>5.4935927157217845</x:v>
      </x:c>
      <x:c r="R370" s="8" t="n">
        <x:v>0</x:v>
      </x:c>
      <x:c r="S370" s="8" t="n">
        <x:f>L370-I370^2/H370</x:f>
        <x:v>102.39091051647031</x:v>
      </x:c>
      <x:c r="T370" s="8" t="n">
        <x:f>M370-J370^2/H370</x:f>
        <x:v>0</x:v>
      </x:c>
      <x:c r="U370" s="8" t="n">
        <x:f>N370-I370*J370/H370</x:f>
        <x:v>0</x:v>
      </x:c>
      <x:c r="V370" s="8" t="n">
        <x:f>O370-I370*K370/H370</x:f>
        <x:v>57.57299534413097</x:v>
      </x:c>
      <x:c r="W370" s="8" t="n">
        <x:f>P370-J370*K370/H370</x:f>
        <x:v>0</x:v>
      </x:c>
      <x:c r="X370" s="8" t="n">
        <x:f>V370/S370</x:f>
        <x:v>0.5622861937033946</x:v>
      </x:c>
      <x:c r="Y370" s="8" t="n">
        <x:f>0</x:f>
        <x:v>0</x:v>
      </x:c>
      <x:c r="Z370" s="8" t="n">
        <x:f>K370/H370-X370*I370/H370-Y370*J370/H370</x:f>
        <x:v>2.3131965976477895</x:v>
      </x:c>
      <x:c r="AA370" s="8" t="n">
        <x:f>Z370+X370*Q370+Y370*R370</x:f>
        <x:v>5.402167935527686</x:v>
      </x:c>
    </x:row>
    <x:row r="371" ht="26" customHeight="1">
      <x:c r="A371" s="2"/>
      <x:c r="B371" s="2" t="n">
        <x:v>366</x:v>
      </x:c>
      <x:c r="C371" s="2" t="str">
        <x:v>Health Care / price_contribution</x:v>
      </x:c>
      <x:c r="D371" s="2" t="str">
        <x:v>Broad rolling 8</x:v>
      </x:c>
      <x:c r="E371" s="7" t="n">
        <x:v>45291</x:v>
      </x:c>
      <x:c r="F371" s="2" t="str">
        <x:v>Pre-earnings</x:v>
      </x:c>
      <x:c r="G371" s="7" t="n">
        <x:v>45313</x:v>
      </x:c>
      <x:c r="H371" s="2" t="n">
        <x:v>8</x:v>
      </x:c>
      <x:c r="I371" s="8" t="n">
        <x:v>36.40194937934132</x:v>
      </x:c>
      <x:c r="J371" s="8" t="n">
        <x:v>0</x:v>
      </x:c>
      <x:c r="K371" s="8" t="n">
        <x:v>38</x:v>
      </x:c>
      <x:c r="L371" s="8" t="n">
        <x:v>222.27830840104858</x:v>
      </x:c>
      <x:c r="M371" s="8" t="n">
        <x:v>0</x:v>
      </x:c>
      <x:c r="N371" s="8" t="n">
        <x:v>0</x:v>
      </x:c>
      <x:c r="O371" s="8" t="n">
        <x:v>205.00363192374945</x:v>
      </x:c>
      <x:c r="P371" s="8" t="n">
        <x:v>0</x:v>
      </x:c>
      <x:c r="Q371" s="8" t="n">
        <x:v>4.212216519153356</x:v>
      </x:c>
      <x:c r="R371" s="8" t="n">
        <x:v>0</x:v>
      </x:c>
      <x:c r="S371" s="8" t="n">
        <x:f>L371-I371^2/H371</x:f>
        <x:v>56.64056857403261</x:v>
      </x:c>
      <x:c r="T371" s="8" t="n">
        <x:f>M371-J371^2/H371</x:f>
        <x:v>0</x:v>
      </x:c>
      <x:c r="U371" s="8" t="n">
        <x:f>N371-I371*J371/H371</x:f>
        <x:v>0</x:v>
      </x:c>
      <x:c r="V371" s="8" t="n">
        <x:f>O371-I371*K371/H371</x:f>
        <x:v>32.094372371878194</x:v>
      </x:c>
      <x:c r="W371" s="8" t="n">
        <x:f>P371-J371*K371/H371</x:f>
        <x:v>0</x:v>
      </x:c>
      <x:c r="X371" s="8" t="n">
        <x:f>V371/S371</x:f>
        <x:v>0.5666322422227971</x:v>
      </x:c>
      <x:c r="Y371" s="8" t="n">
        <x:f>0</x:f>
        <x:v>0</x:v>
      </x:c>
      <x:c r="Z371" s="8" t="n">
        <x:f>K371/H371-X371*I371/H371-Y371*J371/H371</x:f>
        <x:v>2.171685225237884</x:v>
      </x:c>
      <x:c r="AA371" s="8" t="n">
        <x:f>Z371+X371*Q371+Y371*R371</x:f>
        <x:v>4.558462916213655</x:v>
      </x:c>
    </x:row>
    <x:row r="372" ht="26" customHeight="1">
      <x:c r="A372" s="2"/>
      <x:c r="B372" s="2" t="n">
        <x:v>367</x:v>
      </x:c>
      <x:c r="C372" s="2" t="str">
        <x:v>Health Care / price_contribution</x:v>
      </x:c>
      <x:c r="D372" s="2" t="str">
        <x:v>Own history</x:v>
      </x:c>
      <x:c r="E372" s="7" t="n">
        <x:v>45291</x:v>
      </x:c>
      <x:c r="F372" s="2" t="str">
        <x:v>Pre-earnings</x:v>
      </x:c>
      <x:c r="G372" s="7" t="n">
        <x:v>45313</x:v>
      </x:c>
      <x:c r="H372" s="2" t="n">
        <x:v>10</x:v>
      </x:c>
      <x:c r="I372" s="8" t="n">
        <x:v>34</x:v>
      </x:c>
      <x:c r="J372" s="8" t="n">
        <x:v>0</x:v>
      </x:c>
      <x:c r="K372" s="8" t="n">
        <x:v>40</x:v>
      </x:c>
      <x:c r="L372" s="8" t="n">
        <x:v>170</x:v>
      </x:c>
      <x:c r="M372" s="8" t="n">
        <x:v>0</x:v>
      </x:c>
      <x:c r="N372" s="8" t="n">
        <x:v>0</x:v>
      </x:c>
      <x:c r="O372" s="8" t="n">
        <x:v>182</x:v>
      </x:c>
      <x:c r="P372" s="8" t="n">
        <x:v>0</x:v>
      </x:c>
      <x:c r="Q372" s="8" t="n">
        <x:v>6</x:v>
      </x:c>
      <x:c r="R372" s="8" t="n">
        <x:v>0</x:v>
      </x:c>
      <x:c r="S372" s="8" t="n">
        <x:f>L372-I372^2/H372</x:f>
        <x:v>54.400000000000006</x:v>
      </x:c>
      <x:c r="T372" s="8" t="n">
        <x:f>M372-J372^2/H372</x:f>
        <x:v>0</x:v>
      </x:c>
      <x:c r="U372" s="8" t="n">
        <x:f>N372-I372*J372/H372</x:f>
        <x:v>0</x:v>
      </x:c>
      <x:c r="V372" s="8" t="n">
        <x:f>O372-I372*K372/H372</x:f>
        <x:v>46</x:v>
      </x:c>
      <x:c r="W372" s="8" t="n">
        <x:f>P372-J372*K372/H372</x:f>
        <x:v>0</x:v>
      </x:c>
      <x:c r="X372" s="8" t="n">
        <x:f>V372/S372</x:f>
        <x:v>0.8455882352941175</x:v>
      </x:c>
      <x:c r="Y372" s="8" t="n">
        <x:f>0</x:f>
        <x:v>0</x:v>
      </x:c>
      <x:c r="Z372" s="8" t="n">
        <x:f>K372/H372-X372*I372/H372-Y372*J372/H372</x:f>
        <x:v>1.1250000000000004</x:v>
      </x:c>
      <x:c r="AA372" s="8" t="n">
        <x:f>Z372+X372*Q372+Y372*R372</x:f>
        <x:v>6.198529411764705</x:v>
      </x:c>
    </x:row>
    <x:row r="373" ht="26" customHeight="1">
      <x:c r="A373" s="2"/>
      <x:c r="B373" s="2" t="n">
        <x:v>368</x:v>
      </x:c>
      <x:c r="C373" s="2" t="str">
        <x:v>Health Care / price_contribution</x:v>
      </x:c>
      <x:c r="D373" s="2" t="str">
        <x:v>Broad market</x:v>
      </x:c>
      <x:c r="E373" s="7" t="n">
        <x:v>45382</x:v>
      </x:c>
      <x:c r="F373" s="2" t="str">
        <x:v>Origin</x:v>
      </x:c>
      <x:c r="G373" s="7" t="n">
        <x:v>45292</x:v>
      </x:c>
      <x:c r="H373" s="2" t="n">
        <x:v>11</x:v>
      </x:c>
      <x:c r="I373" s="8" t="n">
        <x:v>35.492611387021356</x:v>
      </x:c>
      <x:c r="J373" s="8" t="n">
        <x:v>0</x:v>
      </x:c>
      <x:c r="K373" s="8" t="n">
        <x:v>40</x:v>
      </x:c>
      <x:c r="L373" s="8" t="n">
        <x:v>222.5645835667998</x:v>
      </x:c>
      <x:c r="M373" s="8" t="n">
        <x:v>0</x:v>
      </x:c>
      <x:c r="N373" s="8" t="n">
        <x:v>0</x:v>
      </x:c>
      <x:c r="O373" s="8" t="n">
        <x:v>204.45199732203412</x:v>
      </x:c>
      <x:c r="P373" s="8" t="n">
        <x:v>0</x:v>
      </x:c>
      <x:c r="Q373" s="8" t="n">
        <x:v>4.8286314442429035</x:v>
      </x:c>
      <x:c r="R373" s="8" t="n">
        <x:v>0</x:v>
      </x:c>
      <x:c r="S373" s="8" t="n">
        <x:f>L373-I373^2/H373</x:f>
        <x:v>108.0440869240618</x:v>
      </x:c>
      <x:c r="T373" s="8" t="n">
        <x:f>M373-J373^2/H373</x:f>
        <x:v>0</x:v>
      </x:c>
      <x:c r="U373" s="8" t="n">
        <x:f>N373-I373*J373/H373</x:f>
        <x:v>0</x:v>
      </x:c>
      <x:c r="V373" s="8" t="n">
        <x:f>O373-I373*K373/H373</x:f>
        <x:v>75.38795591468374</x:v>
      </x:c>
      <x:c r="W373" s="8" t="n">
        <x:f>P373-J373*K373/H373</x:f>
        <x:v>0</x:v>
      </x:c>
      <x:c r="X373" s="8" t="n">
        <x:f>V373/S373</x:f>
        <x:v>0.6977517980014006</x:v>
      </x:c>
      <x:c r="Y373" s="8" t="n">
        <x:f>0</x:f>
        <x:v>0</x:v>
      </x:c>
      <x:c r="Z373" s="8" t="n">
        <x:f>K373/H373-X373*I373/H373-Y373*J373/H373</x:f>
        <x:v>1.3849969626309875</x:v>
      </x:c>
      <x:c r="AA373" s="8" t="n">
        <x:f>Z373+X373*Q373+Y373*R373</x:f>
        <x:v>4.754183234737573</x:v>
      </x:c>
    </x:row>
    <x:row r="374" ht="26" customHeight="1">
      <x:c r="A374" s="2"/>
      <x:c r="B374" s="2" t="n">
        <x:v>369</x:v>
      </x:c>
      <x:c r="C374" s="2" t="str">
        <x:v>Health Care / price_contribution</x:v>
      </x:c>
      <x:c r="D374" s="2" t="str">
        <x:v>Broad rolling 8</x:v>
      </x:c>
      <x:c r="E374" s="7" t="n">
        <x:v>45382</x:v>
      </x:c>
      <x:c r="F374" s="2" t="str">
        <x:v>Origin</x:v>
      </x:c>
      <x:c r="G374" s="7" t="n">
        <x:v>45292</x:v>
      </x:c>
      <x:c r="H374" s="2" t="n">
        <x:v>8</x:v>
      </x:c>
      <x:c r="I374" s="8" t="n">
        <x:v>36.40194937934132</x:v>
      </x:c>
      <x:c r="J374" s="8" t="n">
        <x:v>0</x:v>
      </x:c>
      <x:c r="K374" s="8" t="n">
        <x:v>38</x:v>
      </x:c>
      <x:c r="L374" s="8" t="n">
        <x:v>222.27830840104858</x:v>
      </x:c>
      <x:c r="M374" s="8" t="n">
        <x:v>0</x:v>
      </x:c>
      <x:c r="N374" s="8" t="n">
        <x:v>0</x:v>
      </x:c>
      <x:c r="O374" s="8" t="n">
        <x:v>205.00363192374945</x:v>
      </x:c>
      <x:c r="P374" s="8" t="n">
        <x:v>0</x:v>
      </x:c>
      <x:c r="Q374" s="8" t="n">
        <x:v>4.8286314442429035</x:v>
      </x:c>
      <x:c r="R374" s="8" t="n">
        <x:v>0</x:v>
      </x:c>
      <x:c r="S374" s="8" t="n">
        <x:f>L374-I374^2/H374</x:f>
        <x:v>56.64056857403261</x:v>
      </x:c>
      <x:c r="T374" s="8" t="n">
        <x:f>M374-J374^2/H374</x:f>
        <x:v>0</x:v>
      </x:c>
      <x:c r="U374" s="8" t="n">
        <x:f>N374-I374*J374/H374</x:f>
        <x:v>0</x:v>
      </x:c>
      <x:c r="V374" s="8" t="n">
        <x:f>O374-I374*K374/H374</x:f>
        <x:v>32.094372371878194</x:v>
      </x:c>
      <x:c r="W374" s="8" t="n">
        <x:f>P374-J374*K374/H374</x:f>
        <x:v>0</x:v>
      </x:c>
      <x:c r="X374" s="8" t="n">
        <x:f>V374/S374</x:f>
        <x:v>0.5666322422227971</x:v>
      </x:c>
      <x:c r="Y374" s="8" t="n">
        <x:f>0</x:f>
        <x:v>0</x:v>
      </x:c>
      <x:c r="Z374" s="8" t="n">
        <x:f>K374/H374-X374*I374/H374-Y374*J374/H374</x:f>
        <x:v>2.171685225237884</x:v>
      </x:c>
      <x:c r="AA374" s="8" t="n">
        <x:f>Z374+X374*Q374+Y374*R374</x:f>
        <x:v>4.907743487356743</x:v>
      </x:c>
    </x:row>
    <x:row r="375" ht="26" customHeight="1">
      <x:c r="A375" s="2"/>
      <x:c r="B375" s="2" t="n">
        <x:v>370</x:v>
      </x:c>
      <x:c r="C375" s="2" t="str">
        <x:v>Health Care / price_contribution</x:v>
      </x:c>
      <x:c r="D375" s="2" t="str">
        <x:v>Own history</x:v>
      </x:c>
      <x:c r="E375" s="7" t="n">
        <x:v>45382</x:v>
      </x:c>
      <x:c r="F375" s="2" t="str">
        <x:v>Origin</x:v>
      </x:c>
      <x:c r="G375" s="7" t="n">
        <x:v>45292</x:v>
      </x:c>
      <x:c r="H375" s="2" t="n">
        <x:v>9</x:v>
      </x:c>
      <x:c r="I375" s="8" t="n">
        <x:v>28</x:v>
      </x:c>
      <x:c r="J375" s="8" t="n">
        <x:v>0</x:v>
      </x:c>
      <x:c r="K375" s="8" t="n">
        <x:v>39</x:v>
      </x:c>
      <x:c r="L375" s="8" t="n">
        <x:v>134</x:v>
      </x:c>
      <x:c r="M375" s="8" t="n">
        <x:v>0</x:v>
      </x:c>
      <x:c r="N375" s="8" t="n">
        <x:v>0</x:v>
      </x:c>
      <x:c r="O375" s="8" t="n">
        <x:v>154</x:v>
      </x:c>
      <x:c r="P375" s="8" t="n">
        <x:v>0</x:v>
      </x:c>
      <x:c r="Q375" s="8" t="n">
        <x:v>6</x:v>
      </x:c>
      <x:c r="R375" s="8" t="n">
        <x:v>0</x:v>
      </x:c>
      <x:c r="S375" s="8" t="n">
        <x:f>L375-I375^2/H375</x:f>
        <x:v>46.888888888888886</x:v>
      </x:c>
      <x:c r="T375" s="8" t="n">
        <x:f>M375-J375^2/H375</x:f>
        <x:v>0</x:v>
      </x:c>
      <x:c r="U375" s="8" t="n">
        <x:f>N375-I375*J375/H375</x:f>
        <x:v>0</x:v>
      </x:c>
      <x:c r="V375" s="8" t="n">
        <x:f>O375-I375*K375/H375</x:f>
        <x:v>32.66666666666667</x:v>
      </x:c>
      <x:c r="W375" s="8" t="n">
        <x:f>P375-J375*K375/H375</x:f>
        <x:v>0</x:v>
      </x:c>
      <x:c r="X375" s="8" t="n">
        <x:f>V375/S375</x:f>
        <x:v>0.6966824644549765</x:v>
      </x:c>
      <x:c r="Y375" s="8" t="n">
        <x:f>0</x:f>
        <x:v>0</x:v>
      </x:c>
      <x:c r="Z375" s="8" t="n">
        <x:f>K375/H375-X375*I375/H375-Y375*J375/H375</x:f>
        <x:v>2.165876777251184</x:v>
      </x:c>
      <x:c r="AA375" s="8" t="n">
        <x:f>Z375+X375*Q375+Y375*R375</x:f>
        <x:v>6.345971563981043</x:v>
      </x:c>
    </x:row>
    <x:row r="376" ht="26" customHeight="1">
      <x:c r="A376" s="2"/>
      <x:c r="B376" s="2" t="n">
        <x:v>371</x:v>
      </x:c>
      <x:c r="C376" s="2" t="str">
        <x:v>Health Care / price_contribution</x:v>
      </x:c>
      <x:c r="D376" s="2" t="str">
        <x:v>Broad market</x:v>
      </x:c>
      <x:c r="E376" s="7" t="n">
        <x:v>45382</x:v>
      </x:c>
      <x:c r="F376" s="2" t="str">
        <x:v>Prior report</x:v>
      </x:c>
      <x:c r="G376" s="7" t="n">
        <x:v>45314</x:v>
      </x:c>
      <x:c r="H376" s="2" t="n">
        <x:v>12</x:v>
      </x:c>
      <x:c r="I376" s="8" t="n">
        <x:v>39.704827906174714</x:v>
      </x:c>
      <x:c r="J376" s="8" t="n">
        <x:v>0</x:v>
      </x:c>
      <x:c r="K376" s="8" t="n">
        <x:v>45</x:v>
      </x:c>
      <x:c r="L376" s="8" t="n">
        <x:v>240.3073515710282</x:v>
      </x:c>
      <x:c r="M376" s="8" t="n">
        <x:v>0</x:v>
      </x:c>
      <x:c r="N376" s="8" t="n">
        <x:v>0</x:v>
      </x:c>
      <x:c r="O376" s="8" t="n">
        <x:v>225.5130799178009</x:v>
      </x:c>
      <x:c r="P376" s="8" t="n">
        <x:v>0</x:v>
      </x:c>
      <x:c r="Q376" s="8" t="n">
        <x:v>4.212487471834003</x:v>
      </x:c>
      <x:c r="R376" s="8" t="n">
        <x:v>0</x:v>
      </x:c>
      <x:c r="S376" s="8" t="n">
        <x:f>L376-I376^2/H376</x:f>
        <x:v>108.934571649449</x:v>
      </x:c>
      <x:c r="T376" s="8" t="n">
        <x:f>M376-J376^2/H376</x:f>
        <x:v>0</x:v>
      </x:c>
      <x:c r="U376" s="8" t="n">
        <x:f>N376-I376*J376/H376</x:f>
        <x:v>0</x:v>
      </x:c>
      <x:c r="V376" s="8" t="n">
        <x:f>O376-I376*K376/H376</x:f>
        <x:v>76.61997526964572</x:v>
      </x:c>
      <x:c r="W376" s="8" t="n">
        <x:f>P376-J376*K376/H376</x:f>
        <x:v>0</x:v>
      </x:c>
      <x:c r="X376" s="8" t="n">
        <x:f>V376/S376</x:f>
        <x:v>0.7033577505239428</x:v>
      </x:c>
      <x:c r="Y376" s="8" t="n">
        <x:f>0</x:f>
        <x:v>0</x:v>
      </x:c>
      <x:c r="Z376" s="8" t="n">
        <x:f>K376/H376-X376*I376/H376-Y376*J376/H376</x:f>
        <x:v>1.4227751299143905</x:v>
      </x:c>
      <x:c r="AA376" s="8" t="n">
        <x:f>Z376+X376*Q376+Y376*R376</x:f>
        <x:v>4.385660842213846</x:v>
      </x:c>
    </x:row>
    <x:row r="377" ht="26" customHeight="1">
      <x:c r="A377" s="2"/>
      <x:c r="B377" s="2" t="n">
        <x:v>372</x:v>
      </x:c>
      <x:c r="C377" s="2" t="str">
        <x:v>Health Care / price_contribution</x:v>
      </x:c>
      <x:c r="D377" s="2" t="str">
        <x:v>Broad lag 1</x:v>
      </x:c>
      <x:c r="E377" s="7" t="n">
        <x:v>45382</x:v>
      </x:c>
      <x:c r="F377" s="2" t="str">
        <x:v>Prior report</x:v>
      </x:c>
      <x:c r="G377" s="7" t="n">
        <x:v>45314</x:v>
      </x:c>
      <x:c r="H377" s="2" t="n">
        <x:v>11</x:v>
      </x:c>
      <x:c r="I377" s="8" t="n">
        <x:v>35.492611387021356</x:v>
      </x:c>
      <x:c r="J377" s="8" t="n">
        <x:v>0</x:v>
      </x:c>
      <x:c r="K377" s="8" t="n">
        <x:v>45</x:v>
      </x:c>
      <x:c r="L377" s="8" t="n">
        <x:v>222.5645835667998</x:v>
      </x:c>
      <x:c r="M377" s="8" t="n">
        <x:v>0</x:v>
      </x:c>
      <x:c r="N377" s="8" t="n">
        <x:v>0</x:v>
      </x:c>
      <x:c r="O377" s="8" t="n">
        <x:v>205.03703360793816</x:v>
      </x:c>
      <x:c r="P377" s="8" t="n">
        <x:v>0</x:v>
      </x:c>
      <x:c r="Q377" s="8" t="n">
        <x:v>4.212216519153356</x:v>
      </x:c>
      <x:c r="R377" s="8" t="n">
        <x:v>0</x:v>
      </x:c>
      <x:c r="S377" s="8" t="n">
        <x:f>L377-I377^2/H377</x:f>
        <x:v>108.0440869240618</x:v>
      </x:c>
      <x:c r="T377" s="8" t="n">
        <x:f>M377-J377^2/H377</x:f>
        <x:v>0</x:v>
      </x:c>
      <x:c r="U377" s="8" t="n">
        <x:f>N377-I377*J377/H377</x:f>
        <x:v>0</x:v>
      </x:c>
      <x:c r="V377" s="8" t="n">
        <x:f>O377-I377*K377/H377</x:f>
        <x:v>59.83998702466897</x:v>
      </x:c>
      <x:c r="W377" s="8" t="n">
        <x:f>P377-J377*K377/H377</x:f>
        <x:v>0</x:v>
      </x:c>
      <x:c r="X377" s="8" t="n">
        <x:f>V377/S377</x:f>
        <x:v>0.5538478664429566</x:v>
      </x:c>
      <x:c r="Y377" s="8" t="n">
        <x:f>0</x:f>
        <x:v>0</x:v>
      </x:c>
      <x:c r="Z377" s="8" t="n">
        <x:f>K377/H377-X377*I377/H377-Y377*J377/H377</x:f>
        <x:v>2.3038629917099307</x:v>
      </x:c>
      <x:c r="AA377" s="8" t="n">
        <x:f>Z377+X377*Q377+Y377*R377</x:f>
        <x:v>4.636790123838794</x:v>
      </x:c>
    </x:row>
    <x:row r="378" ht="26" customHeight="1">
      <x:c r="A378" s="2"/>
      <x:c r="B378" s="2" t="n">
        <x:v>373</x:v>
      </x:c>
      <x:c r="C378" s="2" t="str">
        <x:v>Health Care / price_contribution</x:v>
      </x:c>
      <x:c r="D378" s="2" t="str">
        <x:v>Broad rolling 8</x:v>
      </x:c>
      <x:c r="E378" s="7" t="n">
        <x:v>45382</x:v>
      </x:c>
      <x:c r="F378" s="2" t="str">
        <x:v>Prior report</x:v>
      </x:c>
      <x:c r="G378" s="7" t="n">
        <x:v>45314</x:v>
      </x:c>
      <x:c r="H378" s="2" t="n">
        <x:v>8</x:v>
      </x:c>
      <x:c r="I378" s="8" t="n">
        <x:v>40.58301442287644</x:v>
      </x:c>
      <x:c r="J378" s="8" t="n">
        <x:v>0</x:v>
      </x:c>
      <x:c r="K378" s="8" t="n">
        <x:v>42</x:v>
      </x:c>
      <x:c r="L378" s="8" t="n">
        <x:v>240.0201059908438</x:v>
      </x:c>
      <x:c r="M378" s="8" t="n">
        <x:v>0</x:v>
      </x:c>
      <x:c r="N378" s="8" t="n">
        <x:v>0</x:v>
      </x:c>
      <x:c r="O378" s="8" t="n">
        <x:v>226.033563043898</x:v>
      </x:c>
      <x:c r="P378" s="8" t="n">
        <x:v>0</x:v>
      </x:c>
      <x:c r="Q378" s="8" t="n">
        <x:v>4.212487471834003</x:v>
      </x:c>
      <x:c r="R378" s="8" t="n">
        <x:v>0</x:v>
      </x:c>
      <x:c r="S378" s="8" t="n">
        <x:f>L378-I378^2/H378</x:f>
        <x:v>34.147473534919186</x:v>
      </x:c>
      <x:c r="T378" s="8" t="n">
        <x:f>M378-J378^2/H378</x:f>
        <x:v>0</x:v>
      </x:c>
      <x:c r="U378" s="8" t="n">
        <x:f>N378-I378*J378/H378</x:f>
        <x:v>0</x:v>
      </x:c>
      <x:c r="V378" s="8" t="n">
        <x:f>O378-I378*K378/H378</x:f>
        <x:v>12.972737323796707</x:v>
      </x:c>
      <x:c r="W378" s="8" t="n">
        <x:f>P378-J378*K378/H378</x:f>
        <x:v>0</x:v>
      </x:c>
      <x:c r="X378" s="8" t="n">
        <x:f>V378/S378</x:f>
        <x:v>0.3799032836362196</x:v>
      </x:c>
      <x:c r="Y378" s="8" t="n">
        <x:f>0</x:f>
        <x:v>0</x:v>
      </x:c>
      <x:c r="Z378" s="8" t="n">
        <x:f>K378/H378-X378*I378/H378-Y378*J378/H378</x:f>
        <x:v>3.3227974451116475</x:v>
      </x:c>
      <x:c r="AA378" s="8" t="n">
        <x:f>Z378+X378*Q378+Y378*R378</x:f>
        <x:v>4.923135267937822</x:v>
      </x:c>
    </x:row>
    <x:row r="379" ht="26" customHeight="1">
      <x:c r="A379" s="2"/>
      <x:c r="B379" s="2" t="n">
        <x:v>374</x:v>
      </x:c>
      <x:c r="C379" s="2" t="str">
        <x:v>Health Care / price_contribution</x:v>
      </x:c>
      <x:c r="D379" s="2" t="str">
        <x:v>Own history</x:v>
      </x:c>
      <x:c r="E379" s="7" t="n">
        <x:v>45382</x:v>
      </x:c>
      <x:c r="F379" s="2" t="str">
        <x:v>Prior report</x:v>
      </x:c>
      <x:c r="G379" s="7" t="n">
        <x:v>45314</x:v>
      </x:c>
      <x:c r="H379" s="2" t="n">
        <x:v>11</x:v>
      </x:c>
      <x:c r="I379" s="8" t="n">
        <x:v>40</x:v>
      </x:c>
      <x:c r="J379" s="8" t="n">
        <x:v>0</x:v>
      </x:c>
      <x:c r="K379" s="8" t="n">
        <x:v>45</x:v>
      </x:c>
      <x:c r="L379" s="8" t="n">
        <x:v>206</x:v>
      </x:c>
      <x:c r="M379" s="8" t="n">
        <x:v>0</x:v>
      </x:c>
      <x:c r="N379" s="8" t="n">
        <x:v>0</x:v>
      </x:c>
      <x:c r="O379" s="8" t="n">
        <x:v>212</x:v>
      </x:c>
      <x:c r="P379" s="8" t="n">
        <x:v>0</x:v>
      </x:c>
      <x:c r="Q379" s="8" t="n">
        <x:v>5</x:v>
      </x:c>
      <x:c r="R379" s="8" t="n">
        <x:v>0</x:v>
      </x:c>
      <x:c r="S379" s="8" t="n">
        <x:f>L379-I379^2/H379</x:f>
        <x:v>60.54545454545453</x:v>
      </x:c>
      <x:c r="T379" s="8" t="n">
        <x:f>M379-J379^2/H379</x:f>
        <x:v>0</x:v>
      </x:c>
      <x:c r="U379" s="8" t="n">
        <x:f>N379-I379*J379/H379</x:f>
        <x:v>0</x:v>
      </x:c>
      <x:c r="V379" s="8" t="n">
        <x:f>O379-I379*K379/H379</x:f>
        <x:v>48.363636363636374</x:v>
      </x:c>
      <x:c r="W379" s="8" t="n">
        <x:f>P379-J379*K379/H379</x:f>
        <x:v>0</x:v>
      </x:c>
      <x:c r="X379" s="8" t="n">
        <x:f>V379/S379</x:f>
        <x:v>0.7987987987987991</x:v>
      </x:c>
      <x:c r="Y379" s="8" t="n">
        <x:f>0</x:f>
        <x:v>0</x:v>
      </x:c>
      <x:c r="Z379" s="8" t="n">
        <x:f>K379/H379-X379*I379/H379-Y379*J379/H379</x:f>
        <x:v>1.1861861861861849</x:v>
      </x:c>
      <x:c r="AA379" s="8" t="n">
        <x:f>Z379+X379*Q379+Y379*R379</x:f>
        <x:v>5.18018018018018</x:v>
      </x:c>
    </x:row>
    <x:row r="380" ht="26" customHeight="1">
      <x:c r="A380" s="2"/>
      <x:c r="B380" s="2" t="n">
        <x:v>375</x:v>
      </x:c>
      <x:c r="C380" s="2" t="str">
        <x:v>Health Care / price_contribution</x:v>
      </x:c>
      <x:c r="D380" s="2" t="str">
        <x:v>Broad market</x:v>
      </x:c>
      <x:c r="E380" s="7" t="n">
        <x:v>45382</x:v>
      </x:c>
      <x:c r="F380" s="2" t="str">
        <x:v>Pre-earnings</x:v>
      </x:c>
      <x:c r="G380" s="7" t="n">
        <x:v>45400</x:v>
      </x:c>
      <x:c r="H380" s="2" t="n">
        <x:v>12</x:v>
      </x:c>
      <x:c r="I380" s="8" t="n">
        <x:v>39.704827906174714</x:v>
      </x:c>
      <x:c r="J380" s="8" t="n">
        <x:v>0</x:v>
      </x:c>
      <x:c r="K380" s="8" t="n">
        <x:v>45</x:v>
      </x:c>
      <x:c r="L380" s="8" t="n">
        <x:v>240.3073515710282</x:v>
      </x:c>
      <x:c r="M380" s="8" t="n">
        <x:v>0</x:v>
      </x:c>
      <x:c r="N380" s="8" t="n">
        <x:v>0</x:v>
      </x:c>
      <x:c r="O380" s="8" t="n">
        <x:v>225.5130799178009</x:v>
      </x:c>
      <x:c r="P380" s="8" t="n">
        <x:v>0</x:v>
      </x:c>
      <x:c r="Q380" s="8" t="n">
        <x:v>3.636809635836169</x:v>
      </x:c>
      <x:c r="R380" s="8" t="n">
        <x:v>0</x:v>
      </x:c>
      <x:c r="S380" s="8" t="n">
        <x:f>L380-I380^2/H380</x:f>
        <x:v>108.934571649449</x:v>
      </x:c>
      <x:c r="T380" s="8" t="n">
        <x:f>M380-J380^2/H380</x:f>
        <x:v>0</x:v>
      </x:c>
      <x:c r="U380" s="8" t="n">
        <x:f>N380-I380*J380/H380</x:f>
        <x:v>0</x:v>
      </x:c>
      <x:c r="V380" s="8" t="n">
        <x:f>O380-I380*K380/H380</x:f>
        <x:v>76.61997526964572</x:v>
      </x:c>
      <x:c r="W380" s="8" t="n">
        <x:f>P380-J380*K380/H380</x:f>
        <x:v>0</x:v>
      </x:c>
      <x:c r="X380" s="8" t="n">
        <x:f>V380/S380</x:f>
        <x:v>0.7033577505239428</x:v>
      </x:c>
      <x:c r="Y380" s="8" t="n">
        <x:f>0</x:f>
        <x:v>0</x:v>
      </x:c>
      <x:c r="Z380" s="8" t="n">
        <x:f>K380/H380-X380*I380/H380-Y380*J380/H380</x:f>
        <x:v>1.4227751299143905</x:v>
      </x:c>
      <x:c r="AA380" s="8" t="n">
        <x:f>Z380+X380*Q380+Y380*R380</x:f>
        <x:v>3.9807533744599177</x:v>
      </x:c>
    </x:row>
    <x:row r="381" ht="26" customHeight="1">
      <x:c r="A381" s="2"/>
      <x:c r="B381" s="2" t="n">
        <x:v>376</x:v>
      </x:c>
      <x:c r="C381" s="2" t="str">
        <x:v>Health Care / price_contribution</x:v>
      </x:c>
      <x:c r="D381" s="2" t="str">
        <x:v>Broad lag 1</x:v>
      </x:c>
      <x:c r="E381" s="7" t="n">
        <x:v>45382</x:v>
      </x:c>
      <x:c r="F381" s="2" t="str">
        <x:v>Pre-earnings</x:v>
      </x:c>
      <x:c r="G381" s="7" t="n">
        <x:v>45400</x:v>
      </x:c>
      <x:c r="H381" s="2" t="n">
        <x:v>11</x:v>
      </x:c>
      <x:c r="I381" s="8" t="n">
        <x:v>35.492611387021356</x:v>
      </x:c>
      <x:c r="J381" s="8" t="n">
        <x:v>0</x:v>
      </x:c>
      <x:c r="K381" s="8" t="n">
        <x:v>45</x:v>
      </x:c>
      <x:c r="L381" s="8" t="n">
        <x:v>222.5645835667998</x:v>
      </x:c>
      <x:c r="M381" s="8" t="n">
        <x:v>0</x:v>
      </x:c>
      <x:c r="N381" s="8" t="n">
        <x:v>0</x:v>
      </x:c>
      <x:c r="O381" s="8" t="n">
        <x:v>205.03703360793816</x:v>
      </x:c>
      <x:c r="P381" s="8" t="n">
        <x:v>0</x:v>
      </x:c>
      <x:c r="Q381" s="8" t="n">
        <x:v>4.212216519153356</x:v>
      </x:c>
      <x:c r="R381" s="8" t="n">
        <x:v>0</x:v>
      </x:c>
      <x:c r="S381" s="8" t="n">
        <x:f>L381-I381^2/H381</x:f>
        <x:v>108.0440869240618</x:v>
      </x:c>
      <x:c r="T381" s="8" t="n">
        <x:f>M381-J381^2/H381</x:f>
        <x:v>0</x:v>
      </x:c>
      <x:c r="U381" s="8" t="n">
        <x:f>N381-I381*J381/H381</x:f>
        <x:v>0</x:v>
      </x:c>
      <x:c r="V381" s="8" t="n">
        <x:f>O381-I381*K381/H381</x:f>
        <x:v>59.83998702466897</x:v>
      </x:c>
      <x:c r="W381" s="8" t="n">
        <x:f>P381-J381*K381/H381</x:f>
        <x:v>0</x:v>
      </x:c>
      <x:c r="X381" s="8" t="n">
        <x:f>V381/S381</x:f>
        <x:v>0.5538478664429566</x:v>
      </x:c>
      <x:c r="Y381" s="8" t="n">
        <x:f>0</x:f>
        <x:v>0</x:v>
      </x:c>
      <x:c r="Z381" s="8" t="n">
        <x:f>K381/H381-X381*I381/H381-Y381*J381/H381</x:f>
        <x:v>2.3038629917099307</x:v>
      </x:c>
      <x:c r="AA381" s="8" t="n">
        <x:f>Z381+X381*Q381+Y381*R381</x:f>
        <x:v>4.636790123838794</x:v>
      </x:c>
    </x:row>
    <x:row r="382" ht="26" customHeight="1">
      <x:c r="A382" s="2"/>
      <x:c r="B382" s="2" t="n">
        <x:v>377</x:v>
      </x:c>
      <x:c r="C382" s="2" t="str">
        <x:v>Health Care / price_contribution</x:v>
      </x:c>
      <x:c r="D382" s="2" t="str">
        <x:v>Broad rolling 8</x:v>
      </x:c>
      <x:c r="E382" s="7" t="n">
        <x:v>45382</x:v>
      </x:c>
      <x:c r="F382" s="2" t="str">
        <x:v>Pre-earnings</x:v>
      </x:c>
      <x:c r="G382" s="7" t="n">
        <x:v>45400</x:v>
      </x:c>
      <x:c r="H382" s="2" t="n">
        <x:v>8</x:v>
      </x:c>
      <x:c r="I382" s="8" t="n">
        <x:v>40.58301442287644</x:v>
      </x:c>
      <x:c r="J382" s="8" t="n">
        <x:v>0</x:v>
      </x:c>
      <x:c r="K382" s="8" t="n">
        <x:v>42</x:v>
      </x:c>
      <x:c r="L382" s="8" t="n">
        <x:v>240.0201059908438</x:v>
      </x:c>
      <x:c r="M382" s="8" t="n">
        <x:v>0</x:v>
      </x:c>
      <x:c r="N382" s="8" t="n">
        <x:v>0</x:v>
      </x:c>
      <x:c r="O382" s="8" t="n">
        <x:v>226.033563043898</x:v>
      </x:c>
      <x:c r="P382" s="8" t="n">
        <x:v>0</x:v>
      </x:c>
      <x:c r="Q382" s="8" t="n">
        <x:v>3.636809635836169</x:v>
      </x:c>
      <x:c r="R382" s="8" t="n">
        <x:v>0</x:v>
      </x:c>
      <x:c r="S382" s="8" t="n">
        <x:f>L382-I382^2/H382</x:f>
        <x:v>34.147473534919186</x:v>
      </x:c>
      <x:c r="T382" s="8" t="n">
        <x:f>M382-J382^2/H382</x:f>
        <x:v>0</x:v>
      </x:c>
      <x:c r="U382" s="8" t="n">
        <x:f>N382-I382*J382/H382</x:f>
        <x:v>0</x:v>
      </x:c>
      <x:c r="V382" s="8" t="n">
        <x:f>O382-I382*K382/H382</x:f>
        <x:v>12.972737323796707</x:v>
      </x:c>
      <x:c r="W382" s="8" t="n">
        <x:f>P382-J382*K382/H382</x:f>
        <x:v>0</x:v>
      </x:c>
      <x:c r="X382" s="8" t="n">
        <x:f>V382/S382</x:f>
        <x:v>0.3799032836362196</x:v>
      </x:c>
      <x:c r="Y382" s="8" t="n">
        <x:f>0</x:f>
        <x:v>0</x:v>
      </x:c>
      <x:c r="Z382" s="8" t="n">
        <x:f>K382/H382-X382*I382/H382-Y382*J382/H382</x:f>
        <x:v>3.3227974451116475</x:v>
      </x:c>
      <x:c r="AA382" s="8" t="n">
        <x:f>Z382+X382*Q382+Y382*R382</x:f>
        <x:v>4.7044333677256525</x:v>
      </x:c>
    </x:row>
    <x:row r="383" ht="26" customHeight="1">
      <x:c r="A383" s="2"/>
      <x:c r="B383" s="2" t="n">
        <x:v>378</x:v>
      </x:c>
      <x:c r="C383" s="2" t="str">
        <x:v>Health Care / price_contribution</x:v>
      </x:c>
      <x:c r="D383" s="2" t="str">
        <x:v>Own history</x:v>
      </x:c>
      <x:c r="E383" s="7" t="n">
        <x:v>45382</x:v>
      </x:c>
      <x:c r="F383" s="2" t="str">
        <x:v>Pre-earnings</x:v>
      </x:c>
      <x:c r="G383" s="7" t="n">
        <x:v>45400</x:v>
      </x:c>
      <x:c r="H383" s="2" t="n">
        <x:v>11</x:v>
      </x:c>
      <x:c r="I383" s="8" t="n">
        <x:v>40</x:v>
      </x:c>
      <x:c r="J383" s="8" t="n">
        <x:v>0</x:v>
      </x:c>
      <x:c r="K383" s="8" t="n">
        <x:v>45</x:v>
      </x:c>
      <x:c r="L383" s="8" t="n">
        <x:v>206</x:v>
      </x:c>
      <x:c r="M383" s="8" t="n">
        <x:v>0</x:v>
      </x:c>
      <x:c r="N383" s="8" t="n">
        <x:v>0</x:v>
      </x:c>
      <x:c r="O383" s="8" t="n">
        <x:v>212</x:v>
      </x:c>
      <x:c r="P383" s="8" t="n">
        <x:v>0</x:v>
      </x:c>
      <x:c r="Q383" s="8" t="n">
        <x:v>5</x:v>
      </x:c>
      <x:c r="R383" s="8" t="n">
        <x:v>0</x:v>
      </x:c>
      <x:c r="S383" s="8" t="n">
        <x:f>L383-I383^2/H383</x:f>
        <x:v>60.54545454545453</x:v>
      </x:c>
      <x:c r="T383" s="8" t="n">
        <x:f>M383-J383^2/H383</x:f>
        <x:v>0</x:v>
      </x:c>
      <x:c r="U383" s="8" t="n">
        <x:f>N383-I383*J383/H383</x:f>
        <x:v>0</x:v>
      </x:c>
      <x:c r="V383" s="8" t="n">
        <x:f>O383-I383*K383/H383</x:f>
        <x:v>48.363636363636374</x:v>
      </x:c>
      <x:c r="W383" s="8" t="n">
        <x:f>P383-J383*K383/H383</x:f>
        <x:v>0</x:v>
      </x:c>
      <x:c r="X383" s="8" t="n">
        <x:f>V383/S383</x:f>
        <x:v>0.7987987987987991</x:v>
      </x:c>
      <x:c r="Y383" s="8" t="n">
        <x:f>0</x:f>
        <x:v>0</x:v>
      </x:c>
      <x:c r="Z383" s="8" t="n">
        <x:f>K383/H383-X383*I383/H383-Y383*J383/H383</x:f>
        <x:v>1.1861861861861849</x:v>
      </x:c>
      <x:c r="AA383" s="8" t="n">
        <x:f>Z383+X383*Q383+Y383*R383</x:f>
        <x:v>5.18018018018018</x:v>
      </x:c>
    </x:row>
    <x:row r="384" ht="26" customHeight="1">
      <x:c r="A384" s="2"/>
      <x:c r="B384" s="2" t="n">
        <x:v>379</x:v>
      </x:c>
      <x:c r="C384" s="2" t="str">
        <x:v>Health Care / price_contribution</x:v>
      </x:c>
      <x:c r="D384" s="2" t="str">
        <x:v>Broad market</x:v>
      </x:c>
      <x:c r="E384" s="7" t="n">
        <x:v>45473</x:v>
      </x:c>
      <x:c r="F384" s="2" t="str">
        <x:v>Origin</x:v>
      </x:c>
      <x:c r="G384" s="7" t="n">
        <x:v>45383</x:v>
      </x:c>
      <x:c r="H384" s="2" t="n">
        <x:v>12</x:v>
      </x:c>
      <x:c r="I384" s="8" t="n">
        <x:v>39.704827906174714</x:v>
      </x:c>
      <x:c r="J384" s="8" t="n">
        <x:v>0</x:v>
      </x:c>
      <x:c r="K384" s="8" t="n">
        <x:v>45</x:v>
      </x:c>
      <x:c r="L384" s="8" t="n">
        <x:v>240.3073515710282</x:v>
      </x:c>
      <x:c r="M384" s="8" t="n">
        <x:v>0</x:v>
      </x:c>
      <x:c r="N384" s="8" t="n">
        <x:v>0</x:v>
      </x:c>
      <x:c r="O384" s="8" t="n">
        <x:v>225.5130799178009</x:v>
      </x:c>
      <x:c r="P384" s="8" t="n">
        <x:v>0</x:v>
      </x:c>
      <x:c r="Q384" s="8" t="n">
        <x:v>3.588558969465838</x:v>
      </x:c>
      <x:c r="R384" s="8" t="n">
        <x:v>0</x:v>
      </x:c>
      <x:c r="S384" s="8" t="n">
        <x:f>L384-I384^2/H384</x:f>
        <x:v>108.934571649449</x:v>
      </x:c>
      <x:c r="T384" s="8" t="n">
        <x:f>M384-J384^2/H384</x:f>
        <x:v>0</x:v>
      </x:c>
      <x:c r="U384" s="8" t="n">
        <x:f>N384-I384*J384/H384</x:f>
        <x:v>0</x:v>
      </x:c>
      <x:c r="V384" s="8" t="n">
        <x:f>O384-I384*K384/H384</x:f>
        <x:v>76.61997526964572</x:v>
      </x:c>
      <x:c r="W384" s="8" t="n">
        <x:f>P384-J384*K384/H384</x:f>
        <x:v>0</x:v>
      </x:c>
      <x:c r="X384" s="8" t="n">
        <x:f>V384/S384</x:f>
        <x:v>0.7033577505239428</x:v>
      </x:c>
      <x:c r="Y384" s="8" t="n">
        <x:f>0</x:f>
        <x:v>0</x:v>
      </x:c>
      <x:c r="Z384" s="8" t="n">
        <x:f>K384/H384-X384*I384/H384-Y384*J384/H384</x:f>
        <x:v>1.4227751299143905</x:v>
      </x:c>
      <x:c r="AA384" s="8" t="n">
        <x:f>Z384+X384*Q384+Y384*R384</x:f>
        <x:v>3.946815894300401</x:v>
      </x:c>
    </x:row>
    <x:row r="385" ht="26" customHeight="1">
      <x:c r="A385" s="2"/>
      <x:c r="B385" s="2" t="n">
        <x:v>380</x:v>
      </x:c>
      <x:c r="C385" s="2" t="str">
        <x:v>Health Care / price_contribution</x:v>
      </x:c>
      <x:c r="D385" s="2" t="str">
        <x:v>Broad rolling 8</x:v>
      </x:c>
      <x:c r="E385" s="7" t="n">
        <x:v>45473</x:v>
      </x:c>
      <x:c r="F385" s="2" t="str">
        <x:v>Origin</x:v>
      </x:c>
      <x:c r="G385" s="7" t="n">
        <x:v>45383</x:v>
      </x:c>
      <x:c r="H385" s="2" t="n">
        <x:v>8</x:v>
      </x:c>
      <x:c r="I385" s="8" t="n">
        <x:v>40.58301442287644</x:v>
      </x:c>
      <x:c r="J385" s="8" t="n">
        <x:v>0</x:v>
      </x:c>
      <x:c r="K385" s="8" t="n">
        <x:v>42</x:v>
      </x:c>
      <x:c r="L385" s="8" t="n">
        <x:v>240.0201059908438</x:v>
      </x:c>
      <x:c r="M385" s="8" t="n">
        <x:v>0</x:v>
      </x:c>
      <x:c r="N385" s="8" t="n">
        <x:v>0</x:v>
      </x:c>
      <x:c r="O385" s="8" t="n">
        <x:v>226.033563043898</x:v>
      </x:c>
      <x:c r="P385" s="8" t="n">
        <x:v>0</x:v>
      </x:c>
      <x:c r="Q385" s="8" t="n">
        <x:v>3.588558969465838</x:v>
      </x:c>
      <x:c r="R385" s="8" t="n">
        <x:v>0</x:v>
      </x:c>
      <x:c r="S385" s="8" t="n">
        <x:f>L385-I385^2/H385</x:f>
        <x:v>34.147473534919186</x:v>
      </x:c>
      <x:c r="T385" s="8" t="n">
        <x:f>M385-J385^2/H385</x:f>
        <x:v>0</x:v>
      </x:c>
      <x:c r="U385" s="8" t="n">
        <x:f>N385-I385*J385/H385</x:f>
        <x:v>0</x:v>
      </x:c>
      <x:c r="V385" s="8" t="n">
        <x:f>O385-I385*K385/H385</x:f>
        <x:v>12.972737323796707</x:v>
      </x:c>
      <x:c r="W385" s="8" t="n">
        <x:f>P385-J385*K385/H385</x:f>
        <x:v>0</x:v>
      </x:c>
      <x:c r="X385" s="8" t="n">
        <x:f>V385/S385</x:f>
        <x:v>0.3799032836362196</x:v>
      </x:c>
      <x:c r="Y385" s="8" t="n">
        <x:f>0</x:f>
        <x:v>0</x:v>
      </x:c>
      <x:c r="Z385" s="8" t="n">
        <x:f>K385/H385-X385*I385/H385-Y385*J385/H385</x:f>
        <x:v>3.3227974451116475</x:v>
      </x:c>
      <x:c r="AA385" s="8" t="n">
        <x:f>Z385+X385*Q385+Y385*R385</x:f>
        <x:v>4.686102781133927</x:v>
      </x:c>
    </x:row>
    <x:row r="386" ht="26" customHeight="1">
      <x:c r="A386" s="2"/>
      <x:c r="B386" s="2" t="n">
        <x:v>381</x:v>
      </x:c>
      <x:c r="C386" s="2" t="str">
        <x:v>Health Care / price_contribution</x:v>
      </x:c>
      <x:c r="D386" s="2" t="str">
        <x:v>Own history</x:v>
      </x:c>
      <x:c r="E386" s="7" t="n">
        <x:v>45473</x:v>
      </x:c>
      <x:c r="F386" s="2" t="str">
        <x:v>Origin</x:v>
      </x:c>
      <x:c r="G386" s="7" t="n">
        <x:v>45383</x:v>
      </x:c>
      <x:c r="H386" s="2" t="n">
        <x:v>10</x:v>
      </x:c>
      <x:c r="I386" s="8" t="n">
        <x:v>34</x:v>
      </x:c>
      <x:c r="J386" s="8" t="n">
        <x:v>0</x:v>
      </x:c>
      <x:c r="K386" s="8" t="n">
        <x:v>44</x:v>
      </x:c>
      <x:c r="L386" s="8" t="n">
        <x:v>170</x:v>
      </x:c>
      <x:c r="M386" s="8" t="n">
        <x:v>0</x:v>
      </x:c>
      <x:c r="N386" s="8" t="n">
        <x:v>0</x:v>
      </x:c>
      <x:c r="O386" s="8" t="n">
        <x:v>184</x:v>
      </x:c>
      <x:c r="P386" s="8" t="n">
        <x:v>0</x:v>
      </x:c>
      <x:c r="Q386" s="8" t="n">
        <x:v>5</x:v>
      </x:c>
      <x:c r="R386" s="8" t="n">
        <x:v>0</x:v>
      </x:c>
      <x:c r="S386" s="8" t="n">
        <x:f>L386-I386^2/H386</x:f>
        <x:v>54.400000000000006</x:v>
      </x:c>
      <x:c r="T386" s="8" t="n">
        <x:f>M386-J386^2/H386</x:f>
        <x:v>0</x:v>
      </x:c>
      <x:c r="U386" s="8" t="n">
        <x:f>N386-I386*J386/H386</x:f>
        <x:v>0</x:v>
      </x:c>
      <x:c r="V386" s="8" t="n">
        <x:f>O386-I386*K386/H386</x:f>
        <x:v>34.400000000000006</x:v>
      </x:c>
      <x:c r="W386" s="8" t="n">
        <x:f>P386-J386*K386/H386</x:f>
        <x:v>0</x:v>
      </x:c>
      <x:c r="X386" s="8" t="n">
        <x:f>V386/S386</x:f>
        <x:v>0.6323529411764707</x:v>
      </x:c>
      <x:c r="Y386" s="8" t="n">
        <x:f>0</x:f>
        <x:v>0</x:v>
      </x:c>
      <x:c r="Z386" s="8" t="n">
        <x:f>K386/H386-X386*I386/H386-Y386*J386/H386</x:f>
        <x:v>2.25</x:v>
      </x:c>
      <x:c r="AA386" s="8" t="n">
        <x:f>Z386+X386*Q386+Y386*R386</x:f>
        <x:v>5.411764705882353</x:v>
      </x:c>
    </x:row>
    <x:row r="387" ht="26" customHeight="1">
      <x:c r="A387" s="2"/>
      <x:c r="B387" s="2" t="n">
        <x:v>382</x:v>
      </x:c>
      <x:c r="C387" s="2" t="str">
        <x:v>Health Care / price_contribution</x:v>
      </x:c>
      <x:c r="D387" s="2" t="str">
        <x:v>Broad market</x:v>
      </x:c>
      <x:c r="E387" s="7" t="n">
        <x:v>45473</x:v>
      </x:c>
      <x:c r="F387" s="2" t="str">
        <x:v>Prior report</x:v>
      </x:c>
      <x:c r="G387" s="7" t="n">
        <x:v>45401</x:v>
      </x:c>
      <x:c r="H387" s="2" t="n">
        <x:v>13</x:v>
      </x:c>
      <x:c r="I387" s="8" t="n">
        <x:v>43.34163754201088</x:v>
      </x:c>
      <x:c r="J387" s="8" t="n">
        <x:v>0</x:v>
      </x:c>
      <x:c r="K387" s="8" t="n">
        <x:v>49</x:v>
      </x:c>
      <x:c r="L387" s="8" t="n">
        <x:v>253.53373589833902</x:v>
      </x:c>
      <x:c r="M387" s="8" t="n">
        <x:v>0</x:v>
      </x:c>
      <x:c r="N387" s="8" t="n">
        <x:v>0</x:v>
      </x:c>
      <x:c r="O387" s="8" t="n">
        <x:v>240.06031846114558</x:v>
      </x:c>
      <x:c r="P387" s="8" t="n">
        <x:v>0</x:v>
      </x:c>
      <x:c r="Q387" s="8" t="n">
        <x:v>3.637237355891698</x:v>
      </x:c>
      <x:c r="R387" s="8" t="n">
        <x:v>0</x:v>
      </x:c>
      <x:c r="S387" s="8" t="n">
        <x:f>L387-I387^2/H387</x:f>
        <x:v>109.03392475810463</x:v>
      </x:c>
      <x:c r="T387" s="8" t="n">
        <x:f>M387-J387^2/H387</x:f>
        <x:v>0</x:v>
      </x:c>
      <x:c r="U387" s="8" t="n">
        <x:f>N387-I387*J387/H387</x:f>
        <x:v>0</x:v>
      </x:c>
      <x:c r="V387" s="8" t="n">
        <x:f>O387-I387*K387/H387</x:f>
        <x:v>76.69568464895073</x:v>
      </x:c>
      <x:c r="W387" s="8" t="n">
        <x:f>P387-J387*K387/H387</x:f>
        <x:v>0</x:v>
      </x:c>
      <x:c r="X387" s="8" t="n">
        <x:f>V387/S387</x:f>
        <x:v>0.7034112072834454</x:v>
      </x:c>
      <x:c r="Y387" s="8" t="n">
        <x:f>0</x:f>
        <x:v>0</x:v>
      </x:c>
      <x:c r="Z387" s="8" t="n">
        <x:f>K387/H387-X387*I387/H387-Y387*J387/H387</x:f>
        <x:v>1.4240774162255865</x:v>
      </x:c>
      <x:c r="AA387" s="8" t="n">
        <x:f>Z387+X387*Q387+Y387*R387</x:f>
        <x:v>3.9825509359098126</x:v>
      </x:c>
    </x:row>
    <x:row r="388" ht="26" customHeight="1">
      <x:c r="A388" s="2"/>
      <x:c r="B388" s="2" t="n">
        <x:v>383</x:v>
      </x:c>
      <x:c r="C388" s="2" t="str">
        <x:v>Health Care / price_contribution</x:v>
      </x:c>
      <x:c r="D388" s="2" t="str">
        <x:v>Broad lag 1</x:v>
      </x:c>
      <x:c r="E388" s="7" t="n">
        <x:v>45473</x:v>
      </x:c>
      <x:c r="F388" s="2" t="str">
        <x:v>Prior report</x:v>
      </x:c>
      <x:c r="G388" s="7" t="n">
        <x:v>45401</x:v>
      </x:c>
      <x:c r="H388" s="2" t="n">
        <x:v>12</x:v>
      </x:c>
      <x:c r="I388" s="8" t="n">
        <x:v>39.704827906174714</x:v>
      </x:c>
      <x:c r="J388" s="8" t="n">
        <x:v>0</x:v>
      </x:c>
      <x:c r="K388" s="8" t="n">
        <x:v>49</x:v>
      </x:c>
      <x:c r="L388" s="8" t="n">
        <x:v>240.3073515710282</x:v>
      </x:c>
      <x:c r="M388" s="8" t="n">
        <x:v>0</x:v>
      </x:c>
      <x:c r="N388" s="8" t="n">
        <x:v>0</x:v>
      </x:c>
      <x:c r="O388" s="8" t="n">
        <x:v>221.8858996845516</x:v>
      </x:c>
      <x:c r="P388" s="8" t="n">
        <x:v>0</x:v>
      </x:c>
      <x:c r="Q388" s="8" t="n">
        <x:v>3.636809635836169</x:v>
      </x:c>
      <x:c r="R388" s="8" t="n">
        <x:v>0</x:v>
      </x:c>
      <x:c r="S388" s="8" t="n">
        <x:f>L388-I388^2/H388</x:f>
        <x:v>108.934571649449</x:v>
      </x:c>
      <x:c r="T388" s="8" t="n">
        <x:f>M388-J388^2/H388</x:f>
        <x:v>0</x:v>
      </x:c>
      <x:c r="U388" s="8" t="n">
        <x:f>N388-I388*J388/H388</x:f>
        <x:v>0</x:v>
      </x:c>
      <x:c r="V388" s="8" t="n">
        <x:f>O388-I388*K388/H388</x:f>
        <x:v>59.75785240100484</x:v>
      </x:c>
      <x:c r="W388" s="8" t="n">
        <x:f>P388-J388*K388/H388</x:f>
        <x:v>0</x:v>
      </x:c>
      <x:c r="X388" s="8" t="n">
        <x:f>V388/S388</x:f>
        <x:v>0.5485664605475786</x:v>
      </x:c>
      <x:c r="Y388" s="8" t="n">
        <x:f>0</x:f>
        <x:v>0</x:v>
      </x:c>
      <x:c r="Z388" s="8" t="n">
        <x:f>K388/H388-X388*I388/H388-Y388*J388/H388</x:f>
        <x:v>2.268271924071584</x:v>
      </x:c>
      <x:c r="AA388" s="8" t="n">
        <x:f>Z388+X388*Q388+Y388*R388</x:f>
        <x:v>4.263303713687559</x:v>
      </x:c>
    </x:row>
    <x:row r="389" ht="26" customHeight="1">
      <x:c r="A389" s="2"/>
      <x:c r="B389" s="2" t="n">
        <x:v>384</x:v>
      </x:c>
      <x:c r="C389" s="2" t="str">
        <x:v>Health Care / price_contribution</x:v>
      </x:c>
      <x:c r="D389" s="2" t="str">
        <x:v>Broad rolling 8</x:v>
      </x:c>
      <x:c r="E389" s="7" t="n">
        <x:v>45473</x:v>
      </x:c>
      <x:c r="F389" s="2" t="str">
        <x:v>Prior report</x:v>
      </x:c>
      <x:c r="G389" s="7" t="n">
        <x:v>45401</x:v>
      </x:c>
      <x:c r="H389" s="2" t="n">
        <x:v>8</x:v>
      </x:c>
      <x:c r="I389" s="8" t="n">
        <x:v>43.19182386703038</x:v>
      </x:c>
      <x:c r="J389" s="8" t="n">
        <x:v>0</x:v>
      </x:c>
      <x:c r="K389" s="8" t="n">
        <x:v>43</x:v>
      </x:c>
      <x:c r="L389" s="8" t="n">
        <x:v>252.18970592405591</x:v>
      </x:c>
      <x:c r="M389" s="8" t="n">
        <x:v>0</x:v>
      </x:c>
      <x:c r="N389" s="8" t="n">
        <x:v>0</x:v>
      </x:c>
      <x:c r="O389" s="8" t="n">
        <x:v>237.496801012196</x:v>
      </x:c>
      <x:c r="P389" s="8" t="n">
        <x:v>0</x:v>
      </x:c>
      <x:c r="Q389" s="8" t="n">
        <x:v>3.637237355891698</x:v>
      </x:c>
      <x:c r="R389" s="8" t="n">
        <x:v>0</x:v>
      </x:c>
      <x:c r="S389" s="8" t="n">
        <x:f>L389-I389^2/H389</x:f>
        <x:v>18.997999803984015</x:v>
      </x:c>
      <x:c r="T389" s="8" t="n">
        <x:f>M389-J389^2/H389</x:f>
        <x:v>0</x:v>
      </x:c>
      <x:c r="U389" s="8" t="n">
        <x:f>N389-I389*J389/H389</x:f>
        <x:v>0</x:v>
      </x:c>
      <x:c r="V389" s="8" t="n">
        <x:f>O389-I389*K389/H389</x:f>
        <x:v>5.3407477269076935</x:v>
      </x:c>
      <x:c r="W389" s="8" t="n">
        <x:f>P389-J389*K389/H389</x:f>
        <x:v>0</x:v>
      </x:c>
      <x:c r="X389" s="8" t="n">
        <x:f>V389/S389</x:f>
        <x:v>0.28112158027224005</x:v>
      </x:c>
      <x:c r="Y389" s="8" t="n">
        <x:f>0</x:f>
        <x:v>0</x:v>
      </x:c>
      <x:c r="Z389" s="8" t="n">
        <x:f>K389/H389-X389*I389/H389-Y389*J389/H389</x:f>
        <x:v>3.857230777457521</x:v>
      </x:c>
      <x:c r="AA389" s="8" t="n">
        <x:f>Z389+X389*Q389+Y389*R389</x:f>
        <x:v>4.879736690771019</x:v>
      </x:c>
    </x:row>
    <x:row r="390" ht="26" customHeight="1">
      <x:c r="A390" s="2"/>
      <x:c r="B390" s="2" t="n">
        <x:v>385</x:v>
      </x:c>
      <x:c r="C390" s="2" t="str">
        <x:v>Health Care / price_contribution</x:v>
      </x:c>
      <x:c r="D390" s="2" t="str">
        <x:v>Own history</x:v>
      </x:c>
      <x:c r="E390" s="7" t="n">
        <x:v>45473</x:v>
      </x:c>
      <x:c r="F390" s="2" t="str">
        <x:v>Prior report</x:v>
      </x:c>
      <x:c r="G390" s="7" t="n">
        <x:v>45401</x:v>
      </x:c>
      <x:c r="H390" s="2" t="n">
        <x:v>12</x:v>
      </x:c>
      <x:c r="I390" s="8" t="n">
        <x:v>45</x:v>
      </x:c>
      <x:c r="J390" s="8" t="n">
        <x:v>0</x:v>
      </x:c>
      <x:c r="K390" s="8" t="n">
        <x:v>49</x:v>
      </x:c>
      <x:c r="L390" s="8" t="n">
        <x:v>231</x:v>
      </x:c>
      <x:c r="M390" s="8" t="n">
        <x:v>0</x:v>
      </x:c>
      <x:c r="N390" s="8" t="n">
        <x:v>0</x:v>
      </x:c>
      <x:c r="O390" s="8" t="n">
        <x:v>232</x:v>
      </x:c>
      <x:c r="P390" s="8" t="n">
        <x:v>0</x:v>
      </x:c>
      <x:c r="Q390" s="8" t="n">
        <x:v>4</x:v>
      </x:c>
      <x:c r="R390" s="8" t="n">
        <x:v>0</x:v>
      </x:c>
      <x:c r="S390" s="8" t="n">
        <x:f>L390-I390^2/H390</x:f>
        <x:v>62.25</x:v>
      </x:c>
      <x:c r="T390" s="8" t="n">
        <x:f>M390-J390^2/H390</x:f>
        <x:v>0</x:v>
      </x:c>
      <x:c r="U390" s="8" t="n">
        <x:f>N390-I390*J390/H390</x:f>
        <x:v>0</x:v>
      </x:c>
      <x:c r="V390" s="8" t="n">
        <x:f>O390-I390*K390/H390</x:f>
        <x:v>48.25</x:v>
      </x:c>
      <x:c r="W390" s="8" t="n">
        <x:f>P390-J390*K390/H390</x:f>
        <x:v>0</x:v>
      </x:c>
      <x:c r="X390" s="8" t="n">
        <x:f>V390/S390</x:f>
        <x:v>0.7751004016064257</x:v>
      </x:c>
      <x:c r="Y390" s="8" t="n">
        <x:f>0</x:f>
        <x:v>0</x:v>
      </x:c>
      <x:c r="Z390" s="8" t="n">
        <x:f>K390/H390-X390*I390/H390-Y390*J390/H390</x:f>
        <x:v>1.1767068273092365</x:v>
      </x:c>
      <x:c r="AA390" s="8" t="n">
        <x:f>Z390+X390*Q390+Y390*R390</x:f>
        <x:v>4.27710843373494</x:v>
      </x:c>
    </x:row>
    <x:row r="391" ht="26" customHeight="1">
      <x:c r="A391" s="2"/>
      <x:c r="B391" s="2" t="n">
        <x:v>386</x:v>
      </x:c>
      <x:c r="C391" s="2" t="str">
        <x:v>Health Care / price_contribution</x:v>
      </x:c>
      <x:c r="D391" s="2" t="str">
        <x:v>Broad market</x:v>
      </x:c>
      <x:c r="E391" s="7" t="n">
        <x:v>45473</x:v>
      </x:c>
      <x:c r="F391" s="2" t="str">
        <x:v>Pre-earnings</x:v>
      </x:c>
      <x:c r="G391" s="7" t="n">
        <x:v>45502</x:v>
      </x:c>
      <x:c r="H391" s="2" t="n">
        <x:v>13</x:v>
      </x:c>
      <x:c r="I391" s="8" t="n">
        <x:v>43.34163754201088</x:v>
      </x:c>
      <x:c r="J391" s="8" t="n">
        <x:v>0</x:v>
      </x:c>
      <x:c r="K391" s="8" t="n">
        <x:v>49</x:v>
      </x:c>
      <x:c r="L391" s="8" t="n">
        <x:v>253.53373589833902</x:v>
      </x:c>
      <x:c r="M391" s="8" t="n">
        <x:v>0</x:v>
      </x:c>
      <x:c r="N391" s="8" t="n">
        <x:v>0</x:v>
      </x:c>
      <x:c r="O391" s="8" t="n">
        <x:v>240.06031846114558</x:v>
      </x:c>
      <x:c r="P391" s="8" t="n">
        <x:v>0</x:v>
      </x:c>
      <x:c r="Q391" s="8" t="n">
        <x:v>1.6547550061168037</x:v>
      </x:c>
      <x:c r="R391" s="8" t="n">
        <x:v>0</x:v>
      </x:c>
      <x:c r="S391" s="8" t="n">
        <x:f>L391-I391^2/H391</x:f>
        <x:v>109.03392475810463</x:v>
      </x:c>
      <x:c r="T391" s="8" t="n">
        <x:f>M391-J391^2/H391</x:f>
        <x:v>0</x:v>
      </x:c>
      <x:c r="U391" s="8" t="n">
        <x:f>N391-I391*J391/H391</x:f>
        <x:v>0</x:v>
      </x:c>
      <x:c r="V391" s="8" t="n">
        <x:f>O391-I391*K391/H391</x:f>
        <x:v>76.69568464895073</x:v>
      </x:c>
      <x:c r="W391" s="8" t="n">
        <x:f>P391-J391*K391/H391</x:f>
        <x:v>0</x:v>
      </x:c>
      <x:c r="X391" s="8" t="n">
        <x:f>V391/S391</x:f>
        <x:v>0.7034112072834454</x:v>
      </x:c>
      <x:c r="Y391" s="8" t="n">
        <x:f>0</x:f>
        <x:v>0</x:v>
      </x:c>
      <x:c r="Z391" s="8" t="n">
        <x:f>K391/H391-X391*I391/H391-Y391*J391/H391</x:f>
        <x:v>1.4240774162255865</x:v>
      </x:c>
      <x:c r="AA391" s="8" t="n">
        <x:f>Z391+X391*Q391+Y391*R391</x:f>
        <x:v>2.5880506328365325</x:v>
      </x:c>
    </x:row>
    <x:row r="392" ht="26" customHeight="1">
      <x:c r="A392" s="2"/>
      <x:c r="B392" s="2" t="n">
        <x:v>387</x:v>
      </x:c>
      <x:c r="C392" s="2" t="str">
        <x:v>Health Care / price_contribution</x:v>
      </x:c>
      <x:c r="D392" s="2" t="str">
        <x:v>Broad lag 1</x:v>
      </x:c>
      <x:c r="E392" s="7" t="n">
        <x:v>45473</x:v>
      </x:c>
      <x:c r="F392" s="2" t="str">
        <x:v>Pre-earnings</x:v>
      </x:c>
      <x:c r="G392" s="7" t="n">
        <x:v>45502</x:v>
      </x:c>
      <x:c r="H392" s="2" t="n">
        <x:v>12</x:v>
      </x:c>
      <x:c r="I392" s="8" t="n">
        <x:v>39.704827906174714</x:v>
      </x:c>
      <x:c r="J392" s="8" t="n">
        <x:v>0</x:v>
      </x:c>
      <x:c r="K392" s="8" t="n">
        <x:v>49</x:v>
      </x:c>
      <x:c r="L392" s="8" t="n">
        <x:v>240.3073515710282</x:v>
      </x:c>
      <x:c r="M392" s="8" t="n">
        <x:v>0</x:v>
      </x:c>
      <x:c r="N392" s="8" t="n">
        <x:v>0</x:v>
      </x:c>
      <x:c r="O392" s="8" t="n">
        <x:v>221.8858996845516</x:v>
      </x:c>
      <x:c r="P392" s="8" t="n">
        <x:v>0</x:v>
      </x:c>
      <x:c r="Q392" s="8" t="n">
        <x:v>3.636809635836169</x:v>
      </x:c>
      <x:c r="R392" s="8" t="n">
        <x:v>0</x:v>
      </x:c>
      <x:c r="S392" s="8" t="n">
        <x:f>L392-I392^2/H392</x:f>
        <x:v>108.934571649449</x:v>
      </x:c>
      <x:c r="T392" s="8" t="n">
        <x:f>M392-J392^2/H392</x:f>
        <x:v>0</x:v>
      </x:c>
      <x:c r="U392" s="8" t="n">
        <x:f>N392-I392*J392/H392</x:f>
        <x:v>0</x:v>
      </x:c>
      <x:c r="V392" s="8" t="n">
        <x:f>O392-I392*K392/H392</x:f>
        <x:v>59.75785240100484</x:v>
      </x:c>
      <x:c r="W392" s="8" t="n">
        <x:f>P392-J392*K392/H392</x:f>
        <x:v>0</x:v>
      </x:c>
      <x:c r="X392" s="8" t="n">
        <x:f>V392/S392</x:f>
        <x:v>0.5485664605475786</x:v>
      </x:c>
      <x:c r="Y392" s="8" t="n">
        <x:f>0</x:f>
        <x:v>0</x:v>
      </x:c>
      <x:c r="Z392" s="8" t="n">
        <x:f>K392/H392-X392*I392/H392-Y392*J392/H392</x:f>
        <x:v>2.268271924071584</x:v>
      </x:c>
      <x:c r="AA392" s="8" t="n">
        <x:f>Z392+X392*Q392+Y392*R392</x:f>
        <x:v>4.263303713687559</x:v>
      </x:c>
    </x:row>
    <x:row r="393" ht="26" customHeight="1">
      <x:c r="A393" s="2"/>
      <x:c r="B393" s="2" t="n">
        <x:v>388</x:v>
      </x:c>
      <x:c r="C393" s="2" t="str">
        <x:v>Health Care / price_contribution</x:v>
      </x:c>
      <x:c r="D393" s="2" t="str">
        <x:v>Broad rolling 8</x:v>
      </x:c>
      <x:c r="E393" s="7" t="n">
        <x:v>45473</x:v>
      </x:c>
      <x:c r="F393" s="2" t="str">
        <x:v>Pre-earnings</x:v>
      </x:c>
      <x:c r="G393" s="7" t="n">
        <x:v>45502</x:v>
      </x:c>
      <x:c r="H393" s="2" t="n">
        <x:v>8</x:v>
      </x:c>
      <x:c r="I393" s="8" t="n">
        <x:v>43.19182386703038</x:v>
      </x:c>
      <x:c r="J393" s="8" t="n">
        <x:v>0</x:v>
      </x:c>
      <x:c r="K393" s="8" t="n">
        <x:v>43</x:v>
      </x:c>
      <x:c r="L393" s="8" t="n">
        <x:v>252.18970592405591</x:v>
      </x:c>
      <x:c r="M393" s="8" t="n">
        <x:v>0</x:v>
      </x:c>
      <x:c r="N393" s="8" t="n">
        <x:v>0</x:v>
      </x:c>
      <x:c r="O393" s="8" t="n">
        <x:v>237.496801012196</x:v>
      </x:c>
      <x:c r="P393" s="8" t="n">
        <x:v>0</x:v>
      </x:c>
      <x:c r="Q393" s="8" t="n">
        <x:v>1.6547550061168037</x:v>
      </x:c>
      <x:c r="R393" s="8" t="n">
        <x:v>0</x:v>
      </x:c>
      <x:c r="S393" s="8" t="n">
        <x:f>L393-I393^2/H393</x:f>
        <x:v>18.997999803984015</x:v>
      </x:c>
      <x:c r="T393" s="8" t="n">
        <x:f>M393-J393^2/H393</x:f>
        <x:v>0</x:v>
      </x:c>
      <x:c r="U393" s="8" t="n">
        <x:f>N393-I393*J393/H393</x:f>
        <x:v>0</x:v>
      </x:c>
      <x:c r="V393" s="8" t="n">
        <x:f>O393-I393*K393/H393</x:f>
        <x:v>5.3407477269076935</x:v>
      </x:c>
      <x:c r="W393" s="8" t="n">
        <x:f>P393-J393*K393/H393</x:f>
        <x:v>0</x:v>
      </x:c>
      <x:c r="X393" s="8" t="n">
        <x:f>V393/S393</x:f>
        <x:v>0.28112158027224005</x:v>
      </x:c>
      <x:c r="Y393" s="8" t="n">
        <x:f>0</x:f>
        <x:v>0</x:v>
      </x:c>
      <x:c r="Z393" s="8" t="n">
        <x:f>K393/H393-X393*I393/H393-Y393*J393/H393</x:f>
        <x:v>3.857230777457521</x:v>
      </x:c>
      <x:c r="AA393" s="8" t="n">
        <x:f>Z393+X393*Q393+Y393*R393</x:f>
        <x:v>4.322418119740477</x:v>
      </x:c>
    </x:row>
    <x:row r="394" ht="26" customHeight="1">
      <x:c r="A394" s="2"/>
      <x:c r="B394" s="2" t="n">
        <x:v>389</x:v>
      </x:c>
      <x:c r="C394" s="2" t="str">
        <x:v>Health Care / price_contribution</x:v>
      </x:c>
      <x:c r="D394" s="2" t="str">
        <x:v>Own history</x:v>
      </x:c>
      <x:c r="E394" s="7" t="n">
        <x:v>45473</x:v>
      </x:c>
      <x:c r="F394" s="2" t="str">
        <x:v>Pre-earnings</x:v>
      </x:c>
      <x:c r="G394" s="7" t="n">
        <x:v>45502</x:v>
      </x:c>
      <x:c r="H394" s="2" t="n">
        <x:v>12</x:v>
      </x:c>
      <x:c r="I394" s="8" t="n">
        <x:v>45</x:v>
      </x:c>
      <x:c r="J394" s="8" t="n">
        <x:v>0</x:v>
      </x:c>
      <x:c r="K394" s="8" t="n">
        <x:v>49</x:v>
      </x:c>
      <x:c r="L394" s="8" t="n">
        <x:v>231</x:v>
      </x:c>
      <x:c r="M394" s="8" t="n">
        <x:v>0</x:v>
      </x:c>
      <x:c r="N394" s="8" t="n">
        <x:v>0</x:v>
      </x:c>
      <x:c r="O394" s="8" t="n">
        <x:v>232</x:v>
      </x:c>
      <x:c r="P394" s="8" t="n">
        <x:v>0</x:v>
      </x:c>
      <x:c r="Q394" s="8" t="n">
        <x:v>4</x:v>
      </x:c>
      <x:c r="R394" s="8" t="n">
        <x:v>0</x:v>
      </x:c>
      <x:c r="S394" s="8" t="n">
        <x:f>L394-I394^2/H394</x:f>
        <x:v>62.25</x:v>
      </x:c>
      <x:c r="T394" s="8" t="n">
        <x:f>M394-J394^2/H394</x:f>
        <x:v>0</x:v>
      </x:c>
      <x:c r="U394" s="8" t="n">
        <x:f>N394-I394*J394/H394</x:f>
        <x:v>0</x:v>
      </x:c>
      <x:c r="V394" s="8" t="n">
        <x:f>O394-I394*K394/H394</x:f>
        <x:v>48.25</x:v>
      </x:c>
      <x:c r="W394" s="8" t="n">
        <x:f>P394-J394*K394/H394</x:f>
        <x:v>0</x:v>
      </x:c>
      <x:c r="X394" s="8" t="n">
        <x:f>V394/S394</x:f>
        <x:v>0.7751004016064257</x:v>
      </x:c>
      <x:c r="Y394" s="8" t="n">
        <x:f>0</x:f>
        <x:v>0</x:v>
      </x:c>
      <x:c r="Z394" s="8" t="n">
        <x:f>K394/H394-X394*I394/H394-Y394*J394/H394</x:f>
        <x:v>1.1767068273092365</x:v>
      </x:c>
      <x:c r="AA394" s="8" t="n">
        <x:f>Z394+X394*Q394+Y394*R394</x:f>
        <x:v>4.27710843373494</x:v>
      </x:c>
    </x:row>
    <x:row r="395" ht="26" customHeight="1">
      <x:c r="A395" s="2"/>
      <x:c r="B395" s="2" t="n">
        <x:v>390</x:v>
      </x:c>
      <x:c r="C395" s="2" t="str">
        <x:v>Health Care / price_contribution</x:v>
      </x:c>
      <x:c r="D395" s="2" t="str">
        <x:v>Broad market</x:v>
      </x:c>
      <x:c r="E395" s="7" t="n">
        <x:v>45565</x:v>
      </x:c>
      <x:c r="F395" s="2" t="str">
        <x:v>Origin</x:v>
      </x:c>
      <x:c r="G395" s="7" t="n">
        <x:v>45474</x:v>
      </x:c>
      <x:c r="H395" s="2" t="n">
        <x:v>13</x:v>
      </x:c>
      <x:c r="I395" s="8" t="n">
        <x:v>43.34163754201088</x:v>
      </x:c>
      <x:c r="J395" s="8" t="n">
        <x:v>0</x:v>
      </x:c>
      <x:c r="K395" s="8" t="n">
        <x:v>49</x:v>
      </x:c>
      <x:c r="L395" s="8" t="n">
        <x:v>253.53373589833902</x:v>
      </x:c>
      <x:c r="M395" s="8" t="n">
        <x:v>0</x:v>
      </x:c>
      <x:c r="N395" s="8" t="n">
        <x:v>0</x:v>
      </x:c>
      <x:c r="O395" s="8" t="n">
        <x:v>240.06031846114558</x:v>
      </x:c>
      <x:c r="P395" s="8" t="n">
        <x:v>0</x:v>
      </x:c>
      <x:c r="Q395" s="8" t="n">
        <x:v>2.4448012966521437</x:v>
      </x:c>
      <x:c r="R395" s="8" t="n">
        <x:v>0</x:v>
      </x:c>
      <x:c r="S395" s="8" t="n">
        <x:f>L395-I395^2/H395</x:f>
        <x:v>109.03392475810463</x:v>
      </x:c>
      <x:c r="T395" s="8" t="n">
        <x:f>M395-J395^2/H395</x:f>
        <x:v>0</x:v>
      </x:c>
      <x:c r="U395" s="8" t="n">
        <x:f>N395-I395*J395/H395</x:f>
        <x:v>0</x:v>
      </x:c>
      <x:c r="V395" s="8" t="n">
        <x:f>O395-I395*K395/H395</x:f>
        <x:v>76.69568464895073</x:v>
      </x:c>
      <x:c r="W395" s="8" t="n">
        <x:f>P395-J395*K395/H395</x:f>
        <x:v>0</x:v>
      </x:c>
      <x:c r="X395" s="8" t="n">
        <x:f>V395/S395</x:f>
        <x:v>0.7034112072834454</x:v>
      </x:c>
      <x:c r="Y395" s="8" t="n">
        <x:f>0</x:f>
        <x:v>0</x:v>
      </x:c>
      <x:c r="Z395" s="8" t="n">
        <x:f>K395/H395-X395*I395/H395-Y395*J395/H395</x:f>
        <x:v>1.4240774162255865</x:v>
      </x:c>
      <x:c r="AA395" s="8" t="n">
        <x:f>Z395+X395*Q395+Y395*R395</x:f>
        <x:v>3.1437780478718036</x:v>
      </x:c>
    </x:row>
    <x:row r="396" ht="26" customHeight="1">
      <x:c r="A396" s="2"/>
      <x:c r="B396" s="2" t="n">
        <x:v>391</x:v>
      </x:c>
      <x:c r="C396" s="2" t="str">
        <x:v>Health Care / price_contribution</x:v>
      </x:c>
      <x:c r="D396" s="2" t="str">
        <x:v>Broad rolling 8</x:v>
      </x:c>
      <x:c r="E396" s="7" t="n">
        <x:v>45565</x:v>
      </x:c>
      <x:c r="F396" s="2" t="str">
        <x:v>Origin</x:v>
      </x:c>
      <x:c r="G396" s="7" t="n">
        <x:v>45474</x:v>
      </x:c>
      <x:c r="H396" s="2" t="n">
        <x:v>8</x:v>
      </x:c>
      <x:c r="I396" s="8" t="n">
        <x:v>43.19182386703038</x:v>
      </x:c>
      <x:c r="J396" s="8" t="n">
        <x:v>0</x:v>
      </x:c>
      <x:c r="K396" s="8" t="n">
        <x:v>43</x:v>
      </x:c>
      <x:c r="L396" s="8" t="n">
        <x:v>252.18970592405591</x:v>
      </x:c>
      <x:c r="M396" s="8" t="n">
        <x:v>0</x:v>
      </x:c>
      <x:c r="N396" s="8" t="n">
        <x:v>0</x:v>
      </x:c>
      <x:c r="O396" s="8" t="n">
        <x:v>237.496801012196</x:v>
      </x:c>
      <x:c r="P396" s="8" t="n">
        <x:v>0</x:v>
      </x:c>
      <x:c r="Q396" s="8" t="n">
        <x:v>2.4448012966521437</x:v>
      </x:c>
      <x:c r="R396" s="8" t="n">
        <x:v>0</x:v>
      </x:c>
      <x:c r="S396" s="8" t="n">
        <x:f>L396-I396^2/H396</x:f>
        <x:v>18.997999803984015</x:v>
      </x:c>
      <x:c r="T396" s="8" t="n">
        <x:f>M396-J396^2/H396</x:f>
        <x:v>0</x:v>
      </x:c>
      <x:c r="U396" s="8" t="n">
        <x:f>N396-I396*J396/H396</x:f>
        <x:v>0</x:v>
      </x:c>
      <x:c r="V396" s="8" t="n">
        <x:f>O396-I396*K396/H396</x:f>
        <x:v>5.3407477269076935</x:v>
      </x:c>
      <x:c r="W396" s="8" t="n">
        <x:f>P396-J396*K396/H396</x:f>
        <x:v>0</x:v>
      </x:c>
      <x:c r="X396" s="8" t="n">
        <x:f>V396/S396</x:f>
        <x:v>0.28112158027224005</x:v>
      </x:c>
      <x:c r="Y396" s="8" t="n">
        <x:f>0</x:f>
        <x:v>0</x:v>
      </x:c>
      <x:c r="Z396" s="8" t="n">
        <x:f>K396/H396-X396*I396/H396-Y396*J396/H396</x:f>
        <x:v>3.857230777457521</x:v>
      </x:c>
      <x:c r="AA396" s="8" t="n">
        <x:f>Z396+X396*Q396+Y396*R396</x:f>
        <x:v>4.544517181423993</x:v>
      </x:c>
    </x:row>
    <x:row r="397" ht="26" customHeight="1">
      <x:c r="A397" s="2"/>
      <x:c r="B397" s="2" t="n">
        <x:v>392</x:v>
      </x:c>
      <x:c r="C397" s="2" t="str">
        <x:v>Health Care / price_contribution</x:v>
      </x:c>
      <x:c r="D397" s="2" t="str">
        <x:v>Own history</x:v>
      </x:c>
      <x:c r="E397" s="7" t="n">
        <x:v>45565</x:v>
      </x:c>
      <x:c r="F397" s="2" t="str">
        <x:v>Origin</x:v>
      </x:c>
      <x:c r="G397" s="7" t="n">
        <x:v>45474</x:v>
      </x:c>
      <x:c r="H397" s="2" t="n">
        <x:v>11</x:v>
      </x:c>
      <x:c r="I397" s="8" t="n">
        <x:v>40</x:v>
      </x:c>
      <x:c r="J397" s="8" t="n">
        <x:v>0</x:v>
      </x:c>
      <x:c r="K397" s="8" t="n">
        <x:v>48</x:v>
      </x:c>
      <x:c r="L397" s="8" t="n">
        <x:v>206</x:v>
      </x:c>
      <x:c r="M397" s="8" t="n">
        <x:v>0</x:v>
      </x:c>
      <x:c r="N397" s="8" t="n">
        <x:v>0</x:v>
      </x:c>
      <x:c r="O397" s="8" t="n">
        <x:v>208</x:v>
      </x:c>
      <x:c r="P397" s="8" t="n">
        <x:v>0</x:v>
      </x:c>
      <x:c r="Q397" s="8" t="n">
        <x:v>4</x:v>
      </x:c>
      <x:c r="R397" s="8" t="n">
        <x:v>0</x:v>
      </x:c>
      <x:c r="S397" s="8" t="n">
        <x:f>L397-I397^2/H397</x:f>
        <x:v>60.54545454545453</x:v>
      </x:c>
      <x:c r="T397" s="8" t="n">
        <x:f>M397-J397^2/H397</x:f>
        <x:v>0</x:v>
      </x:c>
      <x:c r="U397" s="8" t="n">
        <x:f>N397-I397*J397/H397</x:f>
        <x:v>0</x:v>
      </x:c>
      <x:c r="V397" s="8" t="n">
        <x:f>O397-I397*K397/H397</x:f>
        <x:v>33.45454545454547</x:v>
      </x:c>
      <x:c r="W397" s="8" t="n">
        <x:f>P397-J397*K397/H397</x:f>
        <x:v>0</x:v>
      </x:c>
      <x:c r="X397" s="8" t="n">
        <x:f>V397/S397</x:f>
        <x:v>0.5525525525525529</x:v>
      </x:c>
      <x:c r="Y397" s="8" t="n">
        <x:f>0</x:f>
        <x:v>0</x:v>
      </x:c>
      <x:c r="Z397" s="8" t="n">
        <x:f>K397/H397-X397*I397/H397-Y397*J397/H397</x:f>
        <x:v>2.354354354354353</x:v>
      </x:c>
      <x:c r="AA397" s="8" t="n">
        <x:f>Z397+X397*Q397+Y397*R397</x:f>
        <x:v>4.564564564564565</x:v>
      </x:c>
    </x:row>
    <x:row r="398" ht="26" customHeight="1">
      <x:c r="A398" s="2"/>
      <x:c r="B398" s="2" t="n">
        <x:v>393</x:v>
      </x:c>
      <x:c r="C398" s="2" t="str">
        <x:v>Health Care / price_contribution</x:v>
      </x:c>
      <x:c r="D398" s="2" t="str">
        <x:v>Broad market</x:v>
      </x:c>
      <x:c r="E398" s="7" t="n">
        <x:v>45565</x:v>
      </x:c>
      <x:c r="F398" s="2" t="str">
        <x:v>Prior report</x:v>
      </x:c>
      <x:c r="G398" s="7" t="n">
        <x:v>45503</x:v>
      </x:c>
      <x:c r="H398" s="2" t="n">
        <x:v>14</x:v>
      </x:c>
      <x:c r="I398" s="8" t="n">
        <x:v>44.99639254812769</x:v>
      </x:c>
      <x:c r="J398" s="8" t="n">
        <x:v>0</x:v>
      </x:c>
      <x:c r="K398" s="8" t="n">
        <x:v>51</x:v>
      </x:c>
      <x:c r="L398" s="8" t="n">
        <x:v>256.27195002860765</x:v>
      </x:c>
      <x:c r="M398" s="8" t="n">
        <x:v>0</x:v>
      </x:c>
      <x:c r="N398" s="8" t="n">
        <x:v>0</x:v>
      </x:c>
      <x:c r="O398" s="8" t="n">
        <x:v>243.3698284733792</x:v>
      </x:c>
      <x:c r="P398" s="8" t="n">
        <x:v>0</x:v>
      </x:c>
      <x:c r="Q398" s="8" t="n">
        <x:v>1.6583438100702175</x:v>
      </x:c>
      <x:c r="R398" s="8" t="n">
        <x:v>0</x:v>
      </x:c>
      <x:c r="S398" s="8" t="n">
        <x:f>L398-I398^2/H398</x:f>
        <x:v>111.65228271823614</x:v>
      </x:c>
      <x:c r="T398" s="8" t="n">
        <x:f>M398-J398^2/H398</x:f>
        <x:v>0</x:v>
      </x:c>
      <x:c r="U398" s="8" t="n">
        <x:f>N398-I398*J398/H398</x:f>
        <x:v>0</x:v>
      </x:c>
      <x:c r="V398" s="8" t="n">
        <x:f>O398-I398*K398/H398</x:f>
        <x:v>79.45439847662834</x:v>
      </x:c>
      <x:c r="W398" s="8" t="n">
        <x:f>P398-J398*K398/H398</x:f>
        <x:v>0</x:v>
      </x:c>
      <x:c r="X398" s="8" t="n">
        <x:f>V398/S398</x:f>
        <x:v>0.7116235919433743</x:v>
      </x:c>
      <x:c r="Y398" s="8" t="n">
        <x:f>0</x:f>
        <x:v>0</x:v>
      </x:c>
      <x:c r="Z398" s="8" t="n">
        <x:f>K398/H398-X398*I398/H398-Y398*J398/H398</x:f>
        <x:v>1.3556789650290924</x:v>
      </x:c>
      <x:c r="AA398" s="8" t="n">
        <x:f>Z398+X398*Q398+Y398*R398</x:f>
        <x:v>2.5357955438283213</x:v>
      </x:c>
    </x:row>
    <x:row r="399" ht="26" customHeight="1">
      <x:c r="A399" s="2"/>
      <x:c r="B399" s="2" t="n">
        <x:v>394</x:v>
      </x:c>
      <x:c r="C399" s="2" t="str">
        <x:v>Health Care / price_contribution</x:v>
      </x:c>
      <x:c r="D399" s="2" t="str">
        <x:v>Broad lag 1</x:v>
      </x:c>
      <x:c r="E399" s="7" t="n">
        <x:v>45565</x:v>
      </x:c>
      <x:c r="F399" s="2" t="str">
        <x:v>Prior report</x:v>
      </x:c>
      <x:c r="G399" s="7" t="n">
        <x:v>45503</x:v>
      </x:c>
      <x:c r="H399" s="2" t="n">
        <x:v>13</x:v>
      </x:c>
      <x:c r="I399" s="8" t="n">
        <x:v>43.34163754201088</x:v>
      </x:c>
      <x:c r="J399" s="8" t="n">
        <x:v>0</x:v>
      </x:c>
      <x:c r="K399" s="8" t="n">
        <x:v>51</x:v>
      </x:c>
      <x:c r="L399" s="8" t="n">
        <x:v>253.53373589833902</x:v>
      </x:c>
      <x:c r="M399" s="8" t="n">
        <x:v>0</x:v>
      </x:c>
      <x:c r="N399" s="8" t="n">
        <x:v>0</x:v>
      </x:c>
      <x:c r="O399" s="8" t="n">
        <x:v>229.15951895622393</x:v>
      </x:c>
      <x:c r="P399" s="8" t="n">
        <x:v>0</x:v>
      </x:c>
      <x:c r="Q399" s="8" t="n">
        <x:v>1.6547550061168037</x:v>
      </x:c>
      <x:c r="R399" s="8" t="n">
        <x:v>0</x:v>
      </x:c>
      <x:c r="S399" s="8" t="n">
        <x:f>L399-I399^2/H399</x:f>
        <x:v>109.03392475810463</x:v>
      </x:c>
      <x:c r="T399" s="8" t="n">
        <x:f>M399-J399^2/H399</x:f>
        <x:v>0</x:v>
      </x:c>
      <x:c r="U399" s="8" t="n">
        <x:f>N399-I399*J399/H399</x:f>
        <x:v>0</x:v>
      </x:c>
      <x:c r="V399" s="8" t="n">
        <x:f>O399-I399*K399/H399</x:f>
        <x:v>59.12694090679665</x:v>
      </x:c>
      <x:c r="W399" s="8" t="n">
        <x:f>P399-J399*K399/H399</x:f>
        <x:v>0</x:v>
      </x:c>
      <x:c r="X399" s="8" t="n">
        <x:f>V399/S399</x:f>
        <x:v>0.5422802218481241</x:v>
      </x:c>
      <x:c r="Y399" s="8" t="n">
        <x:f>0</x:f>
        <x:v>0</x:v>
      </x:c>
      <x:c r="Z399" s="8" t="n">
        <x:f>K399/H399-X399*I399/H399-Y399*J399/H399</x:f>
        <x:v>2.115129782958258</x:v>
      </x:c>
      <x:c r="AA399" s="8" t="n">
        <x:f>Z399+X399*Q399+Y399*R399</x:f>
        <x:v>3.012470694779572</x:v>
      </x:c>
    </x:row>
    <x:row r="400" ht="26" customHeight="1">
      <x:c r="A400" s="2"/>
      <x:c r="B400" s="2" t="n">
        <x:v>395</x:v>
      </x:c>
      <x:c r="C400" s="2" t="str">
        <x:v>Health Care / price_contribution</x:v>
      </x:c>
      <x:c r="D400" s="2" t="str">
        <x:v>Broad rolling 8</x:v>
      </x:c>
      <x:c r="E400" s="7" t="n">
        <x:v>45565</x:v>
      </x:c>
      <x:c r="F400" s="2" t="str">
        <x:v>Prior report</x:v>
      </x:c>
      <x:c r="G400" s="7" t="n">
        <x:v>45503</x:v>
      </x:c>
      <x:c r="H400" s="2" t="n">
        <x:v>8</x:v>
      </x:c>
      <x:c r="I400" s="8" t="n">
        <x:v>41.93430593153869</x:v>
      </x:c>
      <x:c r="J400" s="8" t="n">
        <x:v>0</x:v>
      </x:c>
      <x:c r="K400" s="8" t="n">
        <x:v>40</x:v>
      </x:c>
      <x:c r="L400" s="8" t="n">
        <x:v>246.44658636789953</x:v>
      </x:c>
      <x:c r="M400" s="8" t="n">
        <x:v>0</x:v>
      </x:c>
      <x:c r="N400" s="8" t="n">
        <x:v>0</x:v>
      </x:c>
      <x:c r="O400" s="8" t="n">
        <x:v>226.24494631638711</x:v>
      </x:c>
      <x:c r="P400" s="8" t="n">
        <x:v>0</x:v>
      </x:c>
      <x:c r="Q400" s="8" t="n">
        <x:v>1.6583438100702175</x:v>
      </x:c>
      <x:c r="R400" s="8" t="n">
        <x:v>0</x:v>
      </x:c>
      <x:c r="S400" s="8" t="n">
        <x:f>L400-I400^2/H400</x:f>
        <x:v>26.635834622914416</x:v>
      </x:c>
      <x:c r="T400" s="8" t="n">
        <x:f>M400-J400^2/H400</x:f>
        <x:v>0</x:v>
      </x:c>
      <x:c r="U400" s="8" t="n">
        <x:f>N400-I400*J400/H400</x:f>
        <x:v>0</x:v>
      </x:c>
      <x:c r="V400" s="8" t="n">
        <x:f>O400-I400*K400/H400</x:f>
        <x:v>16.573416658693674</x:v>
      </x:c>
      <x:c r="W400" s="8" t="n">
        <x:f>P400-J400*K400/H400</x:f>
        <x:v>0</x:v>
      </x:c>
      <x:c r="X400" s="8" t="n">
        <x:f>V400/S400</x:f>
        <x:v>0.6222225394219788</x:v>
      </x:c>
      <x:c r="Y400" s="8" t="n">
        <x:f>0</x:f>
        <x:v>0</x:v>
      </x:c>
      <x:c r="Z400" s="8" t="n">
        <x:f>K400/H400-X400*I400/H400-Y400*J400/H400</x:f>
        <x:v>1.738441209297481</x:v>
      </x:c>
      <x:c r="AA400" s="8" t="n">
        <x:f>Z400+X400*Q400+Y400*R400</x:f>
        <x:v>2.7703001060340915</x:v>
      </x:c>
    </x:row>
    <x:row r="401" ht="26" customHeight="1">
      <x:c r="A401" s="2"/>
      <x:c r="B401" s="2" t="n">
        <x:v>396</x:v>
      </x:c>
      <x:c r="C401" s="2" t="str">
        <x:v>Health Care / price_contribution</x:v>
      </x:c>
      <x:c r="D401" s="2" t="str">
        <x:v>Own history</x:v>
      </x:c>
      <x:c r="E401" s="7" t="n">
        <x:v>45565</x:v>
      </x:c>
      <x:c r="F401" s="2" t="str">
        <x:v>Prior report</x:v>
      </x:c>
      <x:c r="G401" s="7" t="n">
        <x:v>45503</x:v>
      </x:c>
      <x:c r="H401" s="2" t="n">
        <x:v>13</x:v>
      </x:c>
      <x:c r="I401" s="8" t="n">
        <x:v>49</x:v>
      </x:c>
      <x:c r="J401" s="8" t="n">
        <x:v>0</x:v>
      </x:c>
      <x:c r="K401" s="8" t="n">
        <x:v>51</x:v>
      </x:c>
      <x:c r="L401" s="8" t="n">
        <x:v>247</x:v>
      </x:c>
      <x:c r="M401" s="8" t="n">
        <x:v>0</x:v>
      </x:c>
      <x:c r="N401" s="8" t="n">
        <x:v>0</x:v>
      </x:c>
      <x:c r="O401" s="8" t="n">
        <x:v>240</x:v>
      </x:c>
      <x:c r="P401" s="8" t="n">
        <x:v>0</x:v>
      </x:c>
      <x:c r="Q401" s="8" t="n">
        <x:v>2</x:v>
      </x:c>
      <x:c r="R401" s="8" t="n">
        <x:v>0</x:v>
      </x:c>
      <x:c r="S401" s="8" t="n">
        <x:f>L401-I401^2/H401</x:f>
        <x:v>62.30769230769232</x:v>
      </x:c>
      <x:c r="T401" s="8" t="n">
        <x:f>M401-J401^2/H401</x:f>
        <x:v>0</x:v>
      </x:c>
      <x:c r="U401" s="8" t="n">
        <x:f>N401-I401*J401/H401</x:f>
        <x:v>0</x:v>
      </x:c>
      <x:c r="V401" s="8" t="n">
        <x:f>O401-I401*K401/H401</x:f>
        <x:v>47.769230769230774</x:v>
      </x:c>
      <x:c r="W401" s="8" t="n">
        <x:f>P401-J401*K401/H401</x:f>
        <x:v>0</x:v>
      </x:c>
      <x:c r="X401" s="8" t="n">
        <x:f>V401/S401</x:f>
        <x:v>0.7666666666666666</x:v>
      </x:c>
      <x:c r="Y401" s="8" t="n">
        <x:f>0</x:f>
        <x:v>0</x:v>
      </x:c>
      <x:c r="Z401" s="8" t="n">
        <x:f>K401/H401-X401*I401/H401-Y401*J401/H401</x:f>
        <x:v>1.0333333333333337</x:v>
      </x:c>
      <x:c r="AA401" s="8" t="n">
        <x:f>Z401+X401*Q401+Y401*R401</x:f>
        <x:v>2.566666666666667</x:v>
      </x:c>
    </x:row>
    <x:row r="402" ht="26" customHeight="1">
      <x:c r="A402" s="2"/>
      <x:c r="B402" s="2" t="n">
        <x:v>397</x:v>
      </x:c>
      <x:c r="C402" s="2" t="str">
        <x:v>Health Care / price_contribution</x:v>
      </x:c>
      <x:c r="D402" s="2" t="str">
        <x:v>Broad market</x:v>
      </x:c>
      <x:c r="E402" s="7" t="n">
        <x:v>45565</x:v>
      </x:c>
      <x:c r="F402" s="2" t="str">
        <x:v>Pre-earnings</x:v>
      </x:c>
      <x:c r="G402" s="7" t="n">
        <x:v>45582</x:v>
      </x:c>
      <x:c r="H402" s="2" t="n">
        <x:v>14</x:v>
      </x:c>
      <x:c r="I402" s="8" t="n">
        <x:v>44.99639254812769</x:v>
      </x:c>
      <x:c r="J402" s="8" t="n">
        <x:v>0</x:v>
      </x:c>
      <x:c r="K402" s="8" t="n">
        <x:v>51</x:v>
      </x:c>
      <x:c r="L402" s="8" t="n">
        <x:v>256.27195002860765</x:v>
      </x:c>
      <x:c r="M402" s="8" t="n">
        <x:v>0</x:v>
      </x:c>
      <x:c r="N402" s="8" t="n">
        <x:v>0</x:v>
      </x:c>
      <x:c r="O402" s="8" t="n">
        <x:v>243.3698284733792</x:v>
      </x:c>
      <x:c r="P402" s="8" t="n">
        <x:v>0</x:v>
      </x:c>
      <x:c r="Q402" s="8" t="n">
        <x:v>0.373301115227731</x:v>
      </x:c>
      <x:c r="R402" s="8" t="n">
        <x:v>0</x:v>
      </x:c>
      <x:c r="S402" s="8" t="n">
        <x:f>L402-I402^2/H402</x:f>
        <x:v>111.65228271823614</x:v>
      </x:c>
      <x:c r="T402" s="8" t="n">
        <x:f>M402-J402^2/H402</x:f>
        <x:v>0</x:v>
      </x:c>
      <x:c r="U402" s="8" t="n">
        <x:f>N402-I402*J402/H402</x:f>
        <x:v>0</x:v>
      </x:c>
      <x:c r="V402" s="8" t="n">
        <x:f>O402-I402*K402/H402</x:f>
        <x:v>79.45439847662834</x:v>
      </x:c>
      <x:c r="W402" s="8" t="n">
        <x:f>P402-J402*K402/H402</x:f>
        <x:v>0</x:v>
      </x:c>
      <x:c r="X402" s="8" t="n">
        <x:f>V402/S402</x:f>
        <x:v>0.7116235919433743</x:v>
      </x:c>
      <x:c r="Y402" s="8" t="n">
        <x:f>0</x:f>
        <x:v>0</x:v>
      </x:c>
      <x:c r="Z402" s="8" t="n">
        <x:f>K402/H402-X402*I402/H402-Y402*J402/H402</x:f>
        <x:v>1.3556789650290924</x:v>
      </x:c>
      <x:c r="AA402" s="8" t="n">
        <x:f>Z402+X402*Q402+Y402*R402</x:f>
        <x:v>1.6213288455239176</x:v>
      </x:c>
    </x:row>
    <x:row r="403" ht="26" customHeight="1">
      <x:c r="A403" s="2"/>
      <x:c r="B403" s="2" t="n">
        <x:v>398</x:v>
      </x:c>
      <x:c r="C403" s="2" t="str">
        <x:v>Health Care / price_contribution</x:v>
      </x:c>
      <x:c r="D403" s="2" t="str">
        <x:v>Broad lag 1</x:v>
      </x:c>
      <x:c r="E403" s="7" t="n">
        <x:v>45565</x:v>
      </x:c>
      <x:c r="F403" s="2" t="str">
        <x:v>Pre-earnings</x:v>
      </x:c>
      <x:c r="G403" s="7" t="n">
        <x:v>45582</x:v>
      </x:c>
      <x:c r="H403" s="2" t="n">
        <x:v>13</x:v>
      </x:c>
      <x:c r="I403" s="8" t="n">
        <x:v>43.34163754201088</x:v>
      </x:c>
      <x:c r="J403" s="8" t="n">
        <x:v>0</x:v>
      </x:c>
      <x:c r="K403" s="8" t="n">
        <x:v>51</x:v>
      </x:c>
      <x:c r="L403" s="8" t="n">
        <x:v>253.53373589833902</x:v>
      </x:c>
      <x:c r="M403" s="8" t="n">
        <x:v>0</x:v>
      </x:c>
      <x:c r="N403" s="8" t="n">
        <x:v>0</x:v>
      </x:c>
      <x:c r="O403" s="8" t="n">
        <x:v>229.15951895622393</x:v>
      </x:c>
      <x:c r="P403" s="8" t="n">
        <x:v>0</x:v>
      </x:c>
      <x:c r="Q403" s="8" t="n">
        <x:v>1.6547550061168037</x:v>
      </x:c>
      <x:c r="R403" s="8" t="n">
        <x:v>0</x:v>
      </x:c>
      <x:c r="S403" s="8" t="n">
        <x:f>L403-I403^2/H403</x:f>
        <x:v>109.03392475810463</x:v>
      </x:c>
      <x:c r="T403" s="8" t="n">
        <x:f>M403-J403^2/H403</x:f>
        <x:v>0</x:v>
      </x:c>
      <x:c r="U403" s="8" t="n">
        <x:f>N403-I403*J403/H403</x:f>
        <x:v>0</x:v>
      </x:c>
      <x:c r="V403" s="8" t="n">
        <x:f>O403-I403*K403/H403</x:f>
        <x:v>59.12694090679665</x:v>
      </x:c>
      <x:c r="W403" s="8" t="n">
        <x:f>P403-J403*K403/H403</x:f>
        <x:v>0</x:v>
      </x:c>
      <x:c r="X403" s="8" t="n">
        <x:f>V403/S403</x:f>
        <x:v>0.5422802218481241</x:v>
      </x:c>
      <x:c r="Y403" s="8" t="n">
        <x:f>0</x:f>
        <x:v>0</x:v>
      </x:c>
      <x:c r="Z403" s="8" t="n">
        <x:f>K403/H403-X403*I403/H403-Y403*J403/H403</x:f>
        <x:v>2.115129782958258</x:v>
      </x:c>
      <x:c r="AA403" s="8" t="n">
        <x:f>Z403+X403*Q403+Y403*R403</x:f>
        <x:v>3.012470694779572</x:v>
      </x:c>
    </x:row>
    <x:row r="404" ht="26" customHeight="1">
      <x:c r="A404" s="2"/>
      <x:c r="B404" s="2" t="n">
        <x:v>399</x:v>
      </x:c>
      <x:c r="C404" s="2" t="str">
        <x:v>Health Care / price_contribution</x:v>
      </x:c>
      <x:c r="D404" s="2" t="str">
        <x:v>Broad rolling 8</x:v>
      </x:c>
      <x:c r="E404" s="7" t="n">
        <x:v>45565</x:v>
      </x:c>
      <x:c r="F404" s="2" t="str">
        <x:v>Pre-earnings</x:v>
      </x:c>
      <x:c r="G404" s="7" t="n">
        <x:v>45582</x:v>
      </x:c>
      <x:c r="H404" s="2" t="n">
        <x:v>8</x:v>
      </x:c>
      <x:c r="I404" s="8" t="n">
        <x:v>41.93430593153869</x:v>
      </x:c>
      <x:c r="J404" s="8" t="n">
        <x:v>0</x:v>
      </x:c>
      <x:c r="K404" s="8" t="n">
        <x:v>40</x:v>
      </x:c>
      <x:c r="L404" s="8" t="n">
        <x:v>246.44658636789953</x:v>
      </x:c>
      <x:c r="M404" s="8" t="n">
        <x:v>0</x:v>
      </x:c>
      <x:c r="N404" s="8" t="n">
        <x:v>0</x:v>
      </x:c>
      <x:c r="O404" s="8" t="n">
        <x:v>226.24494631638711</x:v>
      </x:c>
      <x:c r="P404" s="8" t="n">
        <x:v>0</x:v>
      </x:c>
      <x:c r="Q404" s="8" t="n">
        <x:v>0.373301115227731</x:v>
      </x:c>
      <x:c r="R404" s="8" t="n">
        <x:v>0</x:v>
      </x:c>
      <x:c r="S404" s="8" t="n">
        <x:f>L404-I404^2/H404</x:f>
        <x:v>26.635834622914416</x:v>
      </x:c>
      <x:c r="T404" s="8" t="n">
        <x:f>M404-J404^2/H404</x:f>
        <x:v>0</x:v>
      </x:c>
      <x:c r="U404" s="8" t="n">
        <x:f>N404-I404*J404/H404</x:f>
        <x:v>0</x:v>
      </x:c>
      <x:c r="V404" s="8" t="n">
        <x:f>O404-I404*K404/H404</x:f>
        <x:v>16.573416658693674</x:v>
      </x:c>
      <x:c r="W404" s="8" t="n">
        <x:f>P404-J404*K404/H404</x:f>
        <x:v>0</x:v>
      </x:c>
      <x:c r="X404" s="8" t="n">
        <x:f>V404/S404</x:f>
        <x:v>0.6222225394219788</x:v>
      </x:c>
      <x:c r="Y404" s="8" t="n">
        <x:f>0</x:f>
        <x:v>0</x:v>
      </x:c>
      <x:c r="Z404" s="8" t="n">
        <x:f>K404/H404-X404*I404/H404-Y404*J404/H404</x:f>
        <x:v>1.738441209297481</x:v>
      </x:c>
      <x:c r="AA404" s="8" t="n">
        <x:f>Z404+X404*Q404+Y404*R404</x:f>
        <x:v>1.9707175771835366</x:v>
      </x:c>
    </x:row>
    <x:row r="405" ht="26" customHeight="1">
      <x:c r="A405" s="2"/>
      <x:c r="B405" s="2" t="n">
        <x:v>400</x:v>
      </x:c>
      <x:c r="C405" s="2" t="str">
        <x:v>Health Care / price_contribution</x:v>
      </x:c>
      <x:c r="D405" s="2" t="str">
        <x:v>Own history</x:v>
      </x:c>
      <x:c r="E405" s="7" t="n">
        <x:v>45565</x:v>
      </x:c>
      <x:c r="F405" s="2" t="str">
        <x:v>Pre-earnings</x:v>
      </x:c>
      <x:c r="G405" s="7" t="n">
        <x:v>45582</x:v>
      </x:c>
      <x:c r="H405" s="2" t="n">
        <x:v>13</x:v>
      </x:c>
      <x:c r="I405" s="8" t="n">
        <x:v>49</x:v>
      </x:c>
      <x:c r="J405" s="8" t="n">
        <x:v>0</x:v>
      </x:c>
      <x:c r="K405" s="8" t="n">
        <x:v>51</x:v>
      </x:c>
      <x:c r="L405" s="8" t="n">
        <x:v>247</x:v>
      </x:c>
      <x:c r="M405" s="8" t="n">
        <x:v>0</x:v>
      </x:c>
      <x:c r="N405" s="8" t="n">
        <x:v>0</x:v>
      </x:c>
      <x:c r="O405" s="8" t="n">
        <x:v>240</x:v>
      </x:c>
      <x:c r="P405" s="8" t="n">
        <x:v>0</x:v>
      </x:c>
      <x:c r="Q405" s="8" t="n">
        <x:v>2</x:v>
      </x:c>
      <x:c r="R405" s="8" t="n">
        <x:v>0</x:v>
      </x:c>
      <x:c r="S405" s="8" t="n">
        <x:f>L405-I405^2/H405</x:f>
        <x:v>62.30769230769232</x:v>
      </x:c>
      <x:c r="T405" s="8" t="n">
        <x:f>M405-J405^2/H405</x:f>
        <x:v>0</x:v>
      </x:c>
      <x:c r="U405" s="8" t="n">
        <x:f>N405-I405*J405/H405</x:f>
        <x:v>0</x:v>
      </x:c>
      <x:c r="V405" s="8" t="n">
        <x:f>O405-I405*K405/H405</x:f>
        <x:v>47.769230769230774</x:v>
      </x:c>
      <x:c r="W405" s="8" t="n">
        <x:f>P405-J405*K405/H405</x:f>
        <x:v>0</x:v>
      </x:c>
      <x:c r="X405" s="8" t="n">
        <x:f>V405/S405</x:f>
        <x:v>0.7666666666666666</x:v>
      </x:c>
      <x:c r="Y405" s="8" t="n">
        <x:f>0</x:f>
        <x:v>0</x:v>
      </x:c>
      <x:c r="Z405" s="8" t="n">
        <x:f>K405/H405-X405*I405/H405-Y405*J405/H405</x:f>
        <x:v>1.0333333333333337</x:v>
      </x:c>
      <x:c r="AA405" s="8" t="n">
        <x:f>Z405+X405*Q405+Y405*R405</x:f>
        <x:v>2.566666666666667</x:v>
      </x:c>
    </x:row>
    <x:row r="406" ht="26" customHeight="1">
      <x:c r="A406" s="2"/>
      <x:c r="B406" s="2" t="n">
        <x:v>401</x:v>
      </x:c>
      <x:c r="C406" s="2" t="str">
        <x:v>Health Care / price_contribution</x:v>
      </x:c>
      <x:c r="D406" s="2" t="str">
        <x:v>Broad market</x:v>
      </x:c>
      <x:c r="E406" s="7" t="n">
        <x:v>45657</x:v>
      </x:c>
      <x:c r="F406" s="2" t="str">
        <x:v>Origin</x:v>
      </x:c>
      <x:c r="G406" s="7" t="n">
        <x:v>45566</x:v>
      </x:c>
      <x:c r="H406" s="2" t="n">
        <x:v>14</x:v>
      </x:c>
      <x:c r="I406" s="8" t="n">
        <x:v>44.99639254812769</x:v>
      </x:c>
      <x:c r="J406" s="8" t="n">
        <x:v>0</x:v>
      </x:c>
      <x:c r="K406" s="8" t="n">
        <x:v>51</x:v>
      </x:c>
      <x:c r="L406" s="8" t="n">
        <x:v>256.27195002860765</x:v>
      </x:c>
      <x:c r="M406" s="8" t="n">
        <x:v>0</x:v>
      </x:c>
      <x:c r="N406" s="8" t="n">
        <x:v>0</x:v>
      </x:c>
      <x:c r="O406" s="8" t="n">
        <x:v>243.3698284733792</x:v>
      </x:c>
      <x:c r="P406" s="8" t="n">
        <x:v>0</x:v>
      </x:c>
      <x:c r="Q406" s="8" t="n">
        <x:v>0.672385931020969</x:v>
      </x:c>
      <x:c r="R406" s="8" t="n">
        <x:v>0</x:v>
      </x:c>
      <x:c r="S406" s="8" t="n">
        <x:f>L406-I406^2/H406</x:f>
        <x:v>111.65228271823614</x:v>
      </x:c>
      <x:c r="T406" s="8" t="n">
        <x:f>M406-J406^2/H406</x:f>
        <x:v>0</x:v>
      </x:c>
      <x:c r="U406" s="8" t="n">
        <x:f>N406-I406*J406/H406</x:f>
        <x:v>0</x:v>
      </x:c>
      <x:c r="V406" s="8" t="n">
        <x:f>O406-I406*K406/H406</x:f>
        <x:v>79.45439847662834</x:v>
      </x:c>
      <x:c r="W406" s="8" t="n">
        <x:f>P406-J406*K406/H406</x:f>
        <x:v>0</x:v>
      </x:c>
      <x:c r="X406" s="8" t="n">
        <x:f>V406/S406</x:f>
        <x:v>0.7116235919433743</x:v>
      </x:c>
      <x:c r="Y406" s="8" t="n">
        <x:f>0</x:f>
        <x:v>0</x:v>
      </x:c>
      <x:c r="Z406" s="8" t="n">
        <x:f>K406/H406-X406*I406/H406-Y406*J406/H406</x:f>
        <x:v>1.3556789650290924</x:v>
      </x:c>
      <x:c r="AA406" s="8" t="n">
        <x:f>Z406+X406*Q406+Y406*R406</x:f>
        <x:v>1.8341646564344243</x:v>
      </x:c>
    </x:row>
    <x:row r="407" ht="26" customHeight="1">
      <x:c r="A407" s="2"/>
      <x:c r="B407" s="2" t="n">
        <x:v>402</x:v>
      </x:c>
      <x:c r="C407" s="2" t="str">
        <x:v>Health Care / price_contribution</x:v>
      </x:c>
      <x:c r="D407" s="2" t="str">
        <x:v>Broad rolling 8</x:v>
      </x:c>
      <x:c r="E407" s="7" t="n">
        <x:v>45657</x:v>
      </x:c>
      <x:c r="F407" s="2" t="str">
        <x:v>Origin</x:v>
      </x:c>
      <x:c r="G407" s="7" t="n">
        <x:v>45566</x:v>
      </x:c>
      <x:c r="H407" s="2" t="n">
        <x:v>8</x:v>
      </x:c>
      <x:c r="I407" s="8" t="n">
        <x:v>41.93430593153869</x:v>
      </x:c>
      <x:c r="J407" s="8" t="n">
        <x:v>0</x:v>
      </x:c>
      <x:c r="K407" s="8" t="n">
        <x:v>40</x:v>
      </x:c>
      <x:c r="L407" s="8" t="n">
        <x:v>246.44658636789953</x:v>
      </x:c>
      <x:c r="M407" s="8" t="n">
        <x:v>0</x:v>
      </x:c>
      <x:c r="N407" s="8" t="n">
        <x:v>0</x:v>
      </x:c>
      <x:c r="O407" s="8" t="n">
        <x:v>226.24494631638711</x:v>
      </x:c>
      <x:c r="P407" s="8" t="n">
        <x:v>0</x:v>
      </x:c>
      <x:c r="Q407" s="8" t="n">
        <x:v>0.672385931020969</x:v>
      </x:c>
      <x:c r="R407" s="8" t="n">
        <x:v>0</x:v>
      </x:c>
      <x:c r="S407" s="8" t="n">
        <x:f>L407-I407^2/H407</x:f>
        <x:v>26.635834622914416</x:v>
      </x:c>
      <x:c r="T407" s="8" t="n">
        <x:f>M407-J407^2/H407</x:f>
        <x:v>0</x:v>
      </x:c>
      <x:c r="U407" s="8" t="n">
        <x:f>N407-I407*J407/H407</x:f>
        <x:v>0</x:v>
      </x:c>
      <x:c r="V407" s="8" t="n">
        <x:f>O407-I407*K407/H407</x:f>
        <x:v>16.573416658693674</x:v>
      </x:c>
      <x:c r="W407" s="8" t="n">
        <x:f>P407-J407*K407/H407</x:f>
        <x:v>0</x:v>
      </x:c>
      <x:c r="X407" s="8" t="n">
        <x:f>V407/S407</x:f>
        <x:v>0.6222225394219788</x:v>
      </x:c>
      <x:c r="Y407" s="8" t="n">
        <x:f>0</x:f>
        <x:v>0</x:v>
      </x:c>
      <x:c r="Z407" s="8" t="n">
        <x:f>K407/H407-X407*I407/H407-Y407*J407/H407</x:f>
        <x:v>1.738441209297481</x:v>
      </x:c>
      <x:c r="AA407" s="8" t="n">
        <x:f>Z407+X407*Q407+Y407*R407</x:f>
        <x:v>2.1568148907689597</x:v>
      </x:c>
    </x:row>
    <x:row r="408" ht="26" customHeight="1">
      <x:c r="A408" s="2"/>
      <x:c r="B408" s="2" t="n">
        <x:v>403</x:v>
      </x:c>
      <x:c r="C408" s="2" t="str">
        <x:v>Health Care / price_contribution</x:v>
      </x:c>
      <x:c r="D408" s="2" t="str">
        <x:v>Own history</x:v>
      </x:c>
      <x:c r="E408" s="7" t="n">
        <x:v>45657</x:v>
      </x:c>
      <x:c r="F408" s="2" t="str">
        <x:v>Origin</x:v>
      </x:c>
      <x:c r="G408" s="7" t="n">
        <x:v>45566</x:v>
      </x:c>
      <x:c r="H408" s="2" t="n">
        <x:v>12</x:v>
      </x:c>
      <x:c r="I408" s="8" t="n">
        <x:v>45</x:v>
      </x:c>
      <x:c r="J408" s="8" t="n">
        <x:v>0</x:v>
      </x:c>
      <x:c r="K408" s="8" t="n">
        <x:v>50</x:v>
      </x:c>
      <x:c r="L408" s="8" t="n">
        <x:v>231</x:v>
      </x:c>
      <x:c r="M408" s="8" t="n">
        <x:v>0</x:v>
      </x:c>
      <x:c r="N408" s="8" t="n">
        <x:v>0</x:v>
      </x:c>
      <x:c r="O408" s="8" t="n">
        <x:v>218</x:v>
      </x:c>
      <x:c r="P408" s="8" t="n">
        <x:v>0</x:v>
      </x:c>
      <x:c r="Q408" s="8" t="n">
        <x:v>2</x:v>
      </x:c>
      <x:c r="R408" s="8" t="n">
        <x:v>0</x:v>
      </x:c>
      <x:c r="S408" s="8" t="n">
        <x:f>L408-I408^2/H408</x:f>
        <x:v>62.25</x:v>
      </x:c>
      <x:c r="T408" s="8" t="n">
        <x:f>M408-J408^2/H408</x:f>
        <x:v>0</x:v>
      </x:c>
      <x:c r="U408" s="8" t="n">
        <x:f>N408-I408*J408/H408</x:f>
        <x:v>0</x:v>
      </x:c>
      <x:c r="V408" s="8" t="n">
        <x:f>O408-I408*K408/H408</x:f>
        <x:v>30.5</x:v>
      </x:c>
      <x:c r="W408" s="8" t="n">
        <x:f>P408-J408*K408/H408</x:f>
        <x:v>0</x:v>
      </x:c>
      <x:c r="X408" s="8" t="n">
        <x:f>V408/S408</x:f>
        <x:v>0.4899598393574297</x:v>
      </x:c>
      <x:c r="Y408" s="8" t="n">
        <x:f>0</x:f>
        <x:v>0</x:v>
      </x:c>
      <x:c r="Z408" s="8" t="n">
        <x:f>K408/H408-X408*I408/H408-Y408*J408/H408</x:f>
        <x:v>2.3293172690763058</x:v>
      </x:c>
      <x:c r="AA408" s="8" t="n">
        <x:f>Z408+X408*Q408+Y408*R408</x:f>
        <x:v>3.309236947791165</x:v>
      </x:c>
    </x:row>
    <x:row r="409" ht="26" customHeight="1">
      <x:c r="A409" s="2"/>
      <x:c r="B409" s="2" t="n">
        <x:v>404</x:v>
      </x:c>
      <x:c r="C409" s="2" t="str">
        <x:v>Health Care / price_contribution</x:v>
      </x:c>
      <x:c r="D409" s="2" t="str">
        <x:v>Broad market</x:v>
      </x:c>
      <x:c r="E409" s="7" t="n">
        <x:v>45657</x:v>
      </x:c>
      <x:c r="F409" s="2" t="str">
        <x:v>Prior report</x:v>
      </x:c>
      <x:c r="G409" s="7" t="n">
        <x:v>45583</x:v>
      </x:c>
      <x:c r="H409" s="2" t="n">
        <x:v>15</x:v>
      </x:c>
      <x:c r="I409" s="8" t="n">
        <x:v>45.36969366335541</x:v>
      </x:c>
      <x:c r="J409" s="8" t="n">
        <x:v>0</x:v>
      </x:c>
      <x:c r="K409" s="8" t="n">
        <x:v>52</x:v>
      </x:c>
      <x:c r="L409" s="8" t="n">
        <x:v>256.4113037512379</x:v>
      </x:c>
      <x:c r="M409" s="8" t="n">
        <x:v>0</x:v>
      </x:c>
      <x:c r="N409" s="8" t="n">
        <x:v>0</x:v>
      </x:c>
      <x:c r="O409" s="8" t="n">
        <x:v>243.7431295886069</x:v>
      </x:c>
      <x:c r="P409" s="8" t="n">
        <x:v>0</x:v>
      </x:c>
      <x:c r="Q409" s="8" t="n">
        <x:v>0.374021558034765</x:v>
      </x:c>
      <x:c r="R409" s="8" t="n">
        <x:v>0</x:v>
      </x:c>
      <x:c r="S409" s="8" t="n">
        <x:f>L409-I409^2/H409</x:f>
        <x:v>119.18403021079038</x:v>
      </x:c>
      <x:c r="T409" s="8" t="n">
        <x:f>M409-J409^2/H409</x:f>
        <x:v>0</x:v>
      </x:c>
      <x:c r="U409" s="8" t="n">
        <x:f>N409-I409*J409/H409</x:f>
        <x:v>0</x:v>
      </x:c>
      <x:c r="V409" s="8" t="n">
        <x:f>O409-I409*K409/H409</x:f>
        <x:v>86.4615248889748</x:v>
      </x:c>
      <x:c r="W409" s="8" t="n">
        <x:f>P409-J409*K409/H409</x:f>
        <x:v>0</x:v>
      </x:c>
      <x:c r="X409" s="8" t="n">
        <x:f>V409/S409</x:f>
        <x:v>0.7254455545433214</x:v>
      </x:c>
      <x:c r="Y409" s="8" t="n">
        <x:f>0</x:f>
        <x:v>0</x:v>
      </x:c>
      <x:c r="Z409" s="8" t="n">
        <x:f>K409/H409-X409*I409/H409-Y409*J409/H409</x:f>
        <x:v>1.2724504947284347</x:v>
      </x:c>
      <x:c r="AA409" s="8" t="n">
        <x:f>Z409+X409*Q409+Y409*R409</x:f>
        <x:v>1.543782771308122</x:v>
      </x:c>
    </x:row>
    <x:row r="410" ht="26" customHeight="1">
      <x:c r="A410" s="2"/>
      <x:c r="B410" s="2" t="n">
        <x:v>405</x:v>
      </x:c>
      <x:c r="C410" s="2" t="str">
        <x:v>Health Care / price_contribution</x:v>
      </x:c>
      <x:c r="D410" s="2" t="str">
        <x:v>Broad lag 1</x:v>
      </x:c>
      <x:c r="E410" s="7" t="n">
        <x:v>45657</x:v>
      </x:c>
      <x:c r="F410" s="2" t="str">
        <x:v>Prior report</x:v>
      </x:c>
      <x:c r="G410" s="7" t="n">
        <x:v>45583</x:v>
      </x:c>
      <x:c r="H410" s="2" t="n">
        <x:v>14</x:v>
      </x:c>
      <x:c r="I410" s="8" t="n">
        <x:v>44.99639254812769</x:v>
      </x:c>
      <x:c r="J410" s="8" t="n">
        <x:v>0</x:v>
      </x:c>
      <x:c r="K410" s="8" t="n">
        <x:v>52</x:v>
      </x:c>
      <x:c r="L410" s="8" t="n">
        <x:v>256.27195002860765</x:v>
      </x:c>
      <x:c r="M410" s="8" t="n">
        <x:v>0</x:v>
      </x:c>
      <x:c r="N410" s="8" t="n">
        <x:v>0</x:v>
      </x:c>
      <x:c r="O410" s="8" t="n">
        <x:v>230.81427396234074</x:v>
      </x:c>
      <x:c r="P410" s="8" t="n">
        <x:v>0</x:v>
      </x:c>
      <x:c r="Q410" s="8" t="n">
        <x:v>0.373301115227731</x:v>
      </x:c>
      <x:c r="R410" s="8" t="n">
        <x:v>0</x:v>
      </x:c>
      <x:c r="S410" s="8" t="n">
        <x:f>L410-I410^2/H410</x:f>
        <x:v>111.65228271823614</x:v>
      </x:c>
      <x:c r="T410" s="8" t="n">
        <x:f>M410-J410^2/H410</x:f>
        <x:v>0</x:v>
      </x:c>
      <x:c r="U410" s="8" t="n">
        <x:f>N410-I410*J410/H410</x:f>
        <x:v>0</x:v>
      </x:c>
      <x:c r="V410" s="8" t="n">
        <x:f>O410-I410*K410/H410</x:f>
        <x:v>63.68481592643789</x:v>
      </x:c>
      <x:c r="W410" s="8" t="n">
        <x:f>P410-J410*K410/H410</x:f>
        <x:v>0</x:v>
      </x:c>
      <x:c r="X410" s="8" t="n">
        <x:f>V410/S410</x:f>
        <x:v>0.5703852565840668</x:v>
      </x:c>
      <x:c r="Y410" s="8" t="n">
        <x:f>0</x:f>
        <x:v>0</x:v>
      </x:c>
      <x:c r="Z410" s="8" t="n">
        <x:f>K410/H410-X410*I410/H410-Y410*J410/H410</x:f>
        <x:v>1.8810515065056286</x:v>
      </x:c>
      <x:c r="AA410" s="8" t="n">
        <x:f>Z410+X410*Q410+Y410*R410</x:f>
        <x:v>2.0939769588979162</x:v>
      </x:c>
    </x:row>
    <x:row r="411" ht="26" customHeight="1">
      <x:c r="A411" s="2"/>
      <x:c r="B411" s="2" t="n">
        <x:v>406</x:v>
      </x:c>
      <x:c r="C411" s="2" t="str">
        <x:v>Health Care / price_contribution</x:v>
      </x:c>
      <x:c r="D411" s="2" t="str">
        <x:v>Broad rolling 8</x:v>
      </x:c>
      <x:c r="E411" s="7" t="n">
        <x:v>45657</x:v>
      </x:c>
      <x:c r="F411" s="2" t="str">
        <x:v>Prior report</x:v>
      </x:c>
      <x:c r="G411" s="7" t="n">
        <x:v>45583</x:v>
      </x:c>
      <x:c r="H411" s="2" t="n">
        <x:v>8</x:v>
      </x:c>
      <x:c r="I411" s="8" t="n">
        <x:v>36.45732970523537</x:v>
      </x:c>
      <x:c r="J411" s="8" t="n">
        <x:v>0</x:v>
      </x:c>
      <x:c r="K411" s="8" t="n">
        <x:v>35</x:v>
      </x:c>
      <x:c r="L411" s="8" t="n">
        <x:v>212.36019511769817</x:v>
      </x:c>
      <x:c r="M411" s="8" t="n">
        <x:v>0</x:v>
      </x:c>
      <x:c r="N411" s="8" t="n">
        <x:v>0</x:v>
      </x:c>
      <x:c r="O411" s="8" t="n">
        <x:v>191.51658338242854</x:v>
      </x:c>
      <x:c r="P411" s="8" t="n">
        <x:v>0</x:v>
      </x:c>
      <x:c r="Q411" s="8" t="n">
        <x:v>0.374021558034765</x:v>
      </x:c>
      <x:c r="R411" s="8" t="n">
        <x:v>0</x:v>
      </x:c>
      <x:c r="S411" s="8" t="n">
        <x:f>L411-I411^2/H411</x:f>
        <x:v>46.21808396316854</x:v>
      </x:c>
      <x:c r="T411" s="8" t="n">
        <x:f>M411-J411^2/H411</x:f>
        <x:v>0</x:v>
      </x:c>
      <x:c r="U411" s="8" t="n">
        <x:f>N411-I411*J411/H411</x:f>
        <x:v>0</x:v>
      </x:c>
      <x:c r="V411" s="8" t="n">
        <x:f>O411-I411*K411/H411</x:f>
        <x:v>32.0157659220238</x:v>
      </x:c>
      <x:c r="W411" s="8" t="n">
        <x:f>P411-J411*K411/H411</x:f>
        <x:v>0</x:v>
      </x:c>
      <x:c r="X411" s="8" t="n">
        <x:f>V411/S411</x:f>
        <x:v>0.6927108001174899</x:v>
      </x:c>
      <x:c r="Y411" s="8" t="n">
        <x:f>0</x:f>
        <x:v>0</x:v>
      </x:c>
      <x:c r="Z411" s="8" t="n">
        <x:f>K411/H411-X411*I411/H411-Y411*J411/H411</x:f>
        <x:v>1.2182017462174097</x:v>
      </x:c>
      <x:c r="AA411" s="8" t="n">
        <x:f>Z411+X411*Q411+Y411*R411</x:f>
        <x:v>1.477290518944862</x:v>
      </x:c>
    </x:row>
    <x:row r="412" ht="26" customHeight="1">
      <x:c r="A412" s="2"/>
      <x:c r="B412" s="2" t="n">
        <x:v>407</x:v>
      </x:c>
      <x:c r="C412" s="2" t="str">
        <x:v>Health Care / price_contribution</x:v>
      </x:c>
      <x:c r="D412" s="2" t="str">
        <x:v>Own history</x:v>
      </x:c>
      <x:c r="E412" s="7" t="n">
        <x:v>45657</x:v>
      </x:c>
      <x:c r="F412" s="2" t="str">
        <x:v>Prior report</x:v>
      </x:c>
      <x:c r="G412" s="7" t="n">
        <x:v>45583</x:v>
      </x:c>
      <x:c r="H412" s="2" t="n">
        <x:v>14</x:v>
      </x:c>
      <x:c r="I412" s="8" t="n">
        <x:v>51</x:v>
      </x:c>
      <x:c r="J412" s="8" t="n">
        <x:v>0</x:v>
      </x:c>
      <x:c r="K412" s="8" t="n">
        <x:v>52</x:v>
      </x:c>
      <x:c r="L412" s="8" t="n">
        <x:v>251</x:v>
      </x:c>
      <x:c r="M412" s="8" t="n">
        <x:v>0</x:v>
      </x:c>
      <x:c r="N412" s="8" t="n">
        <x:v>0</x:v>
      </x:c>
      <x:c r="O412" s="8" t="n">
        <x:v>242</x:v>
      </x:c>
      <x:c r="P412" s="8" t="n">
        <x:v>0</x:v>
      </x:c>
      <x:c r="Q412" s="8" t="n">
        <x:v>1</x:v>
      </x:c>
      <x:c r="R412" s="8" t="n">
        <x:v>0</x:v>
      </x:c>
      <x:c r="S412" s="8" t="n">
        <x:f>L412-I412^2/H412</x:f>
        <x:v>65.21428571428572</x:v>
      </x:c>
      <x:c r="T412" s="8" t="n">
        <x:f>M412-J412^2/H412</x:f>
        <x:v>0</x:v>
      </x:c>
      <x:c r="U412" s="8" t="n">
        <x:f>N412-I412*J412/H412</x:f>
        <x:v>0</x:v>
      </x:c>
      <x:c r="V412" s="8" t="n">
        <x:f>O412-I412*K412/H412</x:f>
        <x:v>52.571428571428584</x:v>
      </x:c>
      <x:c r="W412" s="8" t="n">
        <x:f>P412-J412*K412/H412</x:f>
        <x:v>0</x:v>
      </x:c>
      <x:c r="X412" s="8" t="n">
        <x:f>V412/S412</x:f>
        <x:v>0.806133625410734</x:v>
      </x:c>
      <x:c r="Y412" s="8" t="n">
        <x:f>0</x:f>
        <x:v>0</x:v>
      </x:c>
      <x:c r="Z412" s="8" t="n">
        <x:f>K412/H412-X412*I412/H412-Y412*J412/H412</x:f>
        <x:v>0.7776560788608982</x:v>
      </x:c>
      <x:c r="AA412" s="8" t="n">
        <x:f>Z412+X412*Q412+Y412*R412</x:f>
        <x:v>1.583789704271632</x:v>
      </x:c>
    </x:row>
    <x:row r="413" ht="26" customHeight="1">
      <x:c r="A413" s="2"/>
      <x:c r="B413" s="2" t="n">
        <x:v>408</x:v>
      </x:c>
      <x:c r="C413" s="2" t="str">
        <x:v>Health Care / price_contribution</x:v>
      </x:c>
      <x:c r="D413" s="2" t="str">
        <x:v>Broad market</x:v>
      </x:c>
      <x:c r="E413" s="7" t="n">
        <x:v>45657</x:v>
      </x:c>
      <x:c r="F413" s="2" t="str">
        <x:v>Pre-earnings</x:v>
      </x:c>
      <x:c r="G413" s="7" t="n">
        <x:v>45678</x:v>
      </x:c>
      <x:c r="H413" s="2" t="n">
        <x:v>15</x:v>
      </x:c>
      <x:c r="I413" s="8" t="n">
        <x:v>45.36969366335541</x:v>
      </x:c>
      <x:c r="J413" s="8" t="n">
        <x:v>0</x:v>
      </x:c>
      <x:c r="K413" s="8" t="n">
        <x:v>52</x:v>
      </x:c>
      <x:c r="L413" s="8" t="n">
        <x:v>256.4113037512379</x:v>
      </x:c>
      <x:c r="M413" s="8" t="n">
        <x:v>0</x:v>
      </x:c>
      <x:c r="N413" s="8" t="n">
        <x:v>0</x:v>
      </x:c>
      <x:c r="O413" s="8" t="n">
        <x:v>243.7431295886069</x:v>
      </x:c>
      <x:c r="P413" s="8" t="n">
        <x:v>0</x:v>
      </x:c>
      <x:c r="Q413" s="8" t="n">
        <x:v>0.341068456777438</x:v>
      </x:c>
      <x:c r="R413" s="8" t="n">
        <x:v>0</x:v>
      </x:c>
      <x:c r="S413" s="8" t="n">
        <x:f>L413-I413^2/H413</x:f>
        <x:v>119.18403021079038</x:v>
      </x:c>
      <x:c r="T413" s="8" t="n">
        <x:f>M413-J413^2/H413</x:f>
        <x:v>0</x:v>
      </x:c>
      <x:c r="U413" s="8" t="n">
        <x:f>N413-I413*J413/H413</x:f>
        <x:v>0</x:v>
      </x:c>
      <x:c r="V413" s="8" t="n">
        <x:f>O413-I413*K413/H413</x:f>
        <x:v>86.4615248889748</x:v>
      </x:c>
      <x:c r="W413" s="8" t="n">
        <x:f>P413-J413*K413/H413</x:f>
        <x:v>0</x:v>
      </x:c>
      <x:c r="X413" s="8" t="n">
        <x:f>V413/S413</x:f>
        <x:v>0.7254455545433214</x:v>
      </x:c>
      <x:c r="Y413" s="8" t="n">
        <x:f>0</x:f>
        <x:v>0</x:v>
      </x:c>
      <x:c r="Z413" s="8" t="n">
        <x:f>K413/H413-X413*I413/H413-Y413*J413/H413</x:f>
        <x:v>1.2724504947284347</x:v>
      </x:c>
      <x:c r="AA413" s="8" t="n">
        <x:f>Z413+X413*Q413+Y413*R413</x:f>
        <x:v>1.519877090492578</x:v>
      </x:c>
    </x:row>
    <x:row r="414" ht="26" customHeight="1">
      <x:c r="A414" s="2"/>
      <x:c r="B414" s="2" t="n">
        <x:v>409</x:v>
      </x:c>
      <x:c r="C414" s="2" t="str">
        <x:v>Health Care / price_contribution</x:v>
      </x:c>
      <x:c r="D414" s="2" t="str">
        <x:v>Broad lag 1</x:v>
      </x:c>
      <x:c r="E414" s="7" t="n">
        <x:v>45657</x:v>
      </x:c>
      <x:c r="F414" s="2" t="str">
        <x:v>Pre-earnings</x:v>
      </x:c>
      <x:c r="G414" s="7" t="n">
        <x:v>45678</x:v>
      </x:c>
      <x:c r="H414" s="2" t="n">
        <x:v>14</x:v>
      </x:c>
      <x:c r="I414" s="8" t="n">
        <x:v>44.99639254812769</x:v>
      </x:c>
      <x:c r="J414" s="8" t="n">
        <x:v>0</x:v>
      </x:c>
      <x:c r="K414" s="8" t="n">
        <x:v>52</x:v>
      </x:c>
      <x:c r="L414" s="8" t="n">
        <x:v>256.27195002860765</x:v>
      </x:c>
      <x:c r="M414" s="8" t="n">
        <x:v>0</x:v>
      </x:c>
      <x:c r="N414" s="8" t="n">
        <x:v>0</x:v>
      </x:c>
      <x:c r="O414" s="8" t="n">
        <x:v>230.81427396234074</x:v>
      </x:c>
      <x:c r="P414" s="8" t="n">
        <x:v>0</x:v>
      </x:c>
      <x:c r="Q414" s="8" t="n">
        <x:v>0.373301115227731</x:v>
      </x:c>
      <x:c r="R414" s="8" t="n">
        <x:v>0</x:v>
      </x:c>
      <x:c r="S414" s="8" t="n">
        <x:f>L414-I414^2/H414</x:f>
        <x:v>111.65228271823614</x:v>
      </x:c>
      <x:c r="T414" s="8" t="n">
        <x:f>M414-J414^2/H414</x:f>
        <x:v>0</x:v>
      </x:c>
      <x:c r="U414" s="8" t="n">
        <x:f>N414-I414*J414/H414</x:f>
        <x:v>0</x:v>
      </x:c>
      <x:c r="V414" s="8" t="n">
        <x:f>O414-I414*K414/H414</x:f>
        <x:v>63.68481592643789</x:v>
      </x:c>
      <x:c r="W414" s="8" t="n">
        <x:f>P414-J414*K414/H414</x:f>
        <x:v>0</x:v>
      </x:c>
      <x:c r="X414" s="8" t="n">
        <x:f>V414/S414</x:f>
        <x:v>0.5703852565840668</x:v>
      </x:c>
      <x:c r="Y414" s="8" t="n">
        <x:f>0</x:f>
        <x:v>0</x:v>
      </x:c>
      <x:c r="Z414" s="8" t="n">
        <x:f>K414/H414-X414*I414/H414-Y414*J414/H414</x:f>
        <x:v>1.8810515065056286</x:v>
      </x:c>
      <x:c r="AA414" s="8" t="n">
        <x:f>Z414+X414*Q414+Y414*R414</x:f>
        <x:v>2.0939769588979162</x:v>
      </x:c>
    </x:row>
    <x:row r="415" ht="26" customHeight="1">
      <x:c r="A415" s="2"/>
      <x:c r="B415" s="2" t="n">
        <x:v>410</x:v>
      </x:c>
      <x:c r="C415" s="2" t="str">
        <x:v>Health Care / price_contribution</x:v>
      </x:c>
      <x:c r="D415" s="2" t="str">
        <x:v>Broad rolling 8</x:v>
      </x:c>
      <x:c r="E415" s="7" t="n">
        <x:v>45657</x:v>
      </x:c>
      <x:c r="F415" s="2" t="str">
        <x:v>Pre-earnings</x:v>
      </x:c>
      <x:c r="G415" s="7" t="n">
        <x:v>45678</x:v>
      </x:c>
      <x:c r="H415" s="2" t="n">
        <x:v>8</x:v>
      </x:c>
      <x:c r="I415" s="8" t="n">
        <x:v>36.45732970523537</x:v>
      </x:c>
      <x:c r="J415" s="8" t="n">
        <x:v>0</x:v>
      </x:c>
      <x:c r="K415" s="8" t="n">
        <x:v>35</x:v>
      </x:c>
      <x:c r="L415" s="8" t="n">
        <x:v>212.36019511769817</x:v>
      </x:c>
      <x:c r="M415" s="8" t="n">
        <x:v>0</x:v>
      </x:c>
      <x:c r="N415" s="8" t="n">
        <x:v>0</x:v>
      </x:c>
      <x:c r="O415" s="8" t="n">
        <x:v>191.51658338242854</x:v>
      </x:c>
      <x:c r="P415" s="8" t="n">
        <x:v>0</x:v>
      </x:c>
      <x:c r="Q415" s="8" t="n">
        <x:v>0.341068456777438</x:v>
      </x:c>
      <x:c r="R415" s="8" t="n">
        <x:v>0</x:v>
      </x:c>
      <x:c r="S415" s="8" t="n">
        <x:f>L415-I415^2/H415</x:f>
        <x:v>46.21808396316854</x:v>
      </x:c>
      <x:c r="T415" s="8" t="n">
        <x:f>M415-J415^2/H415</x:f>
        <x:v>0</x:v>
      </x:c>
      <x:c r="U415" s="8" t="n">
        <x:f>N415-I415*J415/H415</x:f>
        <x:v>0</x:v>
      </x:c>
      <x:c r="V415" s="8" t="n">
        <x:f>O415-I415*K415/H415</x:f>
        <x:v>32.0157659220238</x:v>
      </x:c>
      <x:c r="W415" s="8" t="n">
        <x:f>P415-J415*K415/H415</x:f>
        <x:v>0</x:v>
      </x:c>
      <x:c r="X415" s="8" t="n">
        <x:f>V415/S415</x:f>
        <x:v>0.6927108001174899</x:v>
      </x:c>
      <x:c r="Y415" s="8" t="n">
        <x:f>0</x:f>
        <x:v>0</x:v>
      </x:c>
      <x:c r="Z415" s="8" t="n">
        <x:f>K415/H415-X415*I415/H415-Y415*J415/H415</x:f>
        <x:v>1.2182017462174097</x:v>
      </x:c>
      <x:c r="AA415" s="8" t="n">
        <x:f>Z415+X415*Q415+Y415*R415</x:f>
        <x:v>1.4544635498065464</x:v>
      </x:c>
    </x:row>
    <x:row r="416" ht="26" customHeight="1">
      <x:c r="A416" s="2"/>
      <x:c r="B416" s="2" t="n">
        <x:v>411</x:v>
      </x:c>
      <x:c r="C416" s="2" t="str">
        <x:v>Health Care / price_contribution</x:v>
      </x:c>
      <x:c r="D416" s="2" t="str">
        <x:v>Own history</x:v>
      </x:c>
      <x:c r="E416" s="7" t="n">
        <x:v>45657</x:v>
      </x:c>
      <x:c r="F416" s="2" t="str">
        <x:v>Pre-earnings</x:v>
      </x:c>
      <x:c r="G416" s="7" t="n">
        <x:v>45678</x:v>
      </x:c>
      <x:c r="H416" s="2" t="n">
        <x:v>14</x:v>
      </x:c>
      <x:c r="I416" s="8" t="n">
        <x:v>51</x:v>
      </x:c>
      <x:c r="J416" s="8" t="n">
        <x:v>0</x:v>
      </x:c>
      <x:c r="K416" s="8" t="n">
        <x:v>52</x:v>
      </x:c>
      <x:c r="L416" s="8" t="n">
        <x:v>251</x:v>
      </x:c>
      <x:c r="M416" s="8" t="n">
        <x:v>0</x:v>
      </x:c>
      <x:c r="N416" s="8" t="n">
        <x:v>0</x:v>
      </x:c>
      <x:c r="O416" s="8" t="n">
        <x:v>242</x:v>
      </x:c>
      <x:c r="P416" s="8" t="n">
        <x:v>0</x:v>
      </x:c>
      <x:c r="Q416" s="8" t="n">
        <x:v>1</x:v>
      </x:c>
      <x:c r="R416" s="8" t="n">
        <x:v>0</x:v>
      </x:c>
      <x:c r="S416" s="8" t="n">
        <x:f>L416-I416^2/H416</x:f>
        <x:v>65.21428571428572</x:v>
      </x:c>
      <x:c r="T416" s="8" t="n">
        <x:f>M416-J416^2/H416</x:f>
        <x:v>0</x:v>
      </x:c>
      <x:c r="U416" s="8" t="n">
        <x:f>N416-I416*J416/H416</x:f>
        <x:v>0</x:v>
      </x:c>
      <x:c r="V416" s="8" t="n">
        <x:f>O416-I416*K416/H416</x:f>
        <x:v>52.571428571428584</x:v>
      </x:c>
      <x:c r="W416" s="8" t="n">
        <x:f>P416-J416*K416/H416</x:f>
        <x:v>0</x:v>
      </x:c>
      <x:c r="X416" s="8" t="n">
        <x:f>V416/S416</x:f>
        <x:v>0.806133625410734</x:v>
      </x:c>
      <x:c r="Y416" s="8" t="n">
        <x:f>0</x:f>
        <x:v>0</x:v>
      </x:c>
      <x:c r="Z416" s="8" t="n">
        <x:f>K416/H416-X416*I416/H416-Y416*J416/H416</x:f>
        <x:v>0.7776560788608982</x:v>
      </x:c>
      <x:c r="AA416" s="8" t="n">
        <x:f>Z416+X416*Q416+Y416*R416</x:f>
        <x:v>1.583789704271632</x:v>
      </x:c>
    </x:row>
    <x:row r="417" ht="26" customHeight="1">
      <x:c r="A417" s="2"/>
      <x:c r="B417" s="2" t="n">
        <x:v>412</x:v>
      </x:c>
      <x:c r="C417" s="2" t="str">
        <x:v>Health Care / price_contribution</x:v>
      </x:c>
      <x:c r="D417" s="2" t="str">
        <x:v>Broad market</x:v>
      </x:c>
      <x:c r="E417" s="7" t="n">
        <x:v>45747</x:v>
      </x:c>
      <x:c r="F417" s="2" t="str">
        <x:v>Origin</x:v>
      </x:c>
      <x:c r="G417" s="7" t="n">
        <x:v>45658</x:v>
      </x:c>
      <x:c r="H417" s="2" t="n">
        <x:v>15</x:v>
      </x:c>
      <x:c r="I417" s="8" t="n">
        <x:v>45.36969366335541</x:v>
      </x:c>
      <x:c r="J417" s="8" t="n">
        <x:v>0</x:v>
      </x:c>
      <x:c r="K417" s="8" t="n">
        <x:v>52</x:v>
      </x:c>
      <x:c r="L417" s="8" t="n">
        <x:v>256.4113037512379</x:v>
      </x:c>
      <x:c r="M417" s="8" t="n">
        <x:v>0</x:v>
      </x:c>
      <x:c r="N417" s="8" t="n">
        <x:v>0</x:v>
      </x:c>
      <x:c r="O417" s="8" t="n">
        <x:v>243.7431295886069</x:v>
      </x:c>
      <x:c r="P417" s="8" t="n">
        <x:v>0</x:v>
      </x:c>
      <x:c r="Q417" s="8" t="n">
        <x:v>0.21719146092866737</x:v>
      </x:c>
      <x:c r="R417" s="8" t="n">
        <x:v>0</x:v>
      </x:c>
      <x:c r="S417" s="8" t="n">
        <x:f>L417-I417^2/H417</x:f>
        <x:v>119.18403021079038</x:v>
      </x:c>
      <x:c r="T417" s="8" t="n">
        <x:f>M417-J417^2/H417</x:f>
        <x:v>0</x:v>
      </x:c>
      <x:c r="U417" s="8" t="n">
        <x:f>N417-I417*J417/H417</x:f>
        <x:v>0</x:v>
      </x:c>
      <x:c r="V417" s="8" t="n">
        <x:f>O417-I417*K417/H417</x:f>
        <x:v>86.4615248889748</x:v>
      </x:c>
      <x:c r="W417" s="8" t="n">
        <x:f>P417-J417*K417/H417</x:f>
        <x:v>0</x:v>
      </x:c>
      <x:c r="X417" s="8" t="n">
        <x:f>V417/S417</x:f>
        <x:v>0.7254455545433214</x:v>
      </x:c>
      <x:c r="Y417" s="8" t="n">
        <x:f>0</x:f>
        <x:v>0</x:v>
      </x:c>
      <x:c r="Z417" s="8" t="n">
        <x:f>K417/H417-X417*I417/H417-Y417*J417/H417</x:f>
        <x:v>1.2724504947284347</x:v>
      </x:c>
      <x:c r="AA417" s="8" t="n">
        <x:f>Z417+X417*Q417+Y417*R417</x:f>
        <x:v>1.430011074543906</x:v>
      </x:c>
    </x:row>
    <x:row r="418" ht="26" customHeight="1">
      <x:c r="A418" s="2"/>
      <x:c r="B418" s="2" t="n">
        <x:v>413</x:v>
      </x:c>
      <x:c r="C418" s="2" t="str">
        <x:v>Health Care / price_contribution</x:v>
      </x:c>
      <x:c r="D418" s="2" t="str">
        <x:v>Broad rolling 8</x:v>
      </x:c>
      <x:c r="E418" s="7" t="n">
        <x:v>45747</x:v>
      </x:c>
      <x:c r="F418" s="2" t="str">
        <x:v>Origin</x:v>
      </x:c>
      <x:c r="G418" s="7" t="n">
        <x:v>45658</x:v>
      </x:c>
      <x:c r="H418" s="2" t="n">
        <x:v>8</x:v>
      </x:c>
      <x:c r="I418" s="8" t="n">
        <x:v>36.45732970523537</x:v>
      </x:c>
      <x:c r="J418" s="8" t="n">
        <x:v>0</x:v>
      </x:c>
      <x:c r="K418" s="8" t="n">
        <x:v>35</x:v>
      </x:c>
      <x:c r="L418" s="8" t="n">
        <x:v>212.36019511769817</x:v>
      </x:c>
      <x:c r="M418" s="8" t="n">
        <x:v>0</x:v>
      </x:c>
      <x:c r="N418" s="8" t="n">
        <x:v>0</x:v>
      </x:c>
      <x:c r="O418" s="8" t="n">
        <x:v>191.51658338242854</x:v>
      </x:c>
      <x:c r="P418" s="8" t="n">
        <x:v>0</x:v>
      </x:c>
      <x:c r="Q418" s="8" t="n">
        <x:v>0.21719146092866737</x:v>
      </x:c>
      <x:c r="R418" s="8" t="n">
        <x:v>0</x:v>
      </x:c>
      <x:c r="S418" s="8" t="n">
        <x:f>L418-I418^2/H418</x:f>
        <x:v>46.21808396316854</x:v>
      </x:c>
      <x:c r="T418" s="8" t="n">
        <x:f>M418-J418^2/H418</x:f>
        <x:v>0</x:v>
      </x:c>
      <x:c r="U418" s="8" t="n">
        <x:f>N418-I418*J418/H418</x:f>
        <x:v>0</x:v>
      </x:c>
      <x:c r="V418" s="8" t="n">
        <x:f>O418-I418*K418/H418</x:f>
        <x:v>32.0157659220238</x:v>
      </x:c>
      <x:c r="W418" s="8" t="n">
        <x:f>P418-J418*K418/H418</x:f>
        <x:v>0</x:v>
      </x:c>
      <x:c r="X418" s="8" t="n">
        <x:f>V418/S418</x:f>
        <x:v>0.6927108001174899</x:v>
      </x:c>
      <x:c r="Y418" s="8" t="n">
        <x:f>0</x:f>
        <x:v>0</x:v>
      </x:c>
      <x:c r="Z418" s="8" t="n">
        <x:f>K418/H418-X418*I418/H418-Y418*J418/H418</x:f>
        <x:v>1.2182017462174097</x:v>
      </x:c>
      <x:c r="AA418" s="8" t="n">
        <x:f>Z418+X418*Q418+Y418*R418</x:f>
        <x:v>1.3686526168959934</x:v>
      </x:c>
    </x:row>
    <x:row r="419" ht="26" customHeight="1">
      <x:c r="A419" s="2"/>
      <x:c r="B419" s="2" t="n">
        <x:v>414</x:v>
      </x:c>
      <x:c r="C419" s="2" t="str">
        <x:v>Health Care / price_contribution</x:v>
      </x:c>
      <x:c r="D419" s="2" t="str">
        <x:v>Own history</x:v>
      </x:c>
      <x:c r="E419" s="7" t="n">
        <x:v>45747</x:v>
      </x:c>
      <x:c r="F419" s="2" t="str">
        <x:v>Origin</x:v>
      </x:c>
      <x:c r="G419" s="7" t="n">
        <x:v>45658</x:v>
      </x:c>
      <x:c r="H419" s="2" t="n">
        <x:v>13</x:v>
      </x:c>
      <x:c r="I419" s="8" t="n">
        <x:v>49</x:v>
      </x:c>
      <x:c r="J419" s="8" t="n">
        <x:v>0</x:v>
      </x:c>
      <x:c r="K419" s="8" t="n">
        <x:v>51</x:v>
      </x:c>
      <x:c r="L419" s="8" t="n">
        <x:v>247</x:v>
      </x:c>
      <x:c r="M419" s="8" t="n">
        <x:v>0</x:v>
      </x:c>
      <x:c r="N419" s="8" t="n">
        <x:v>0</x:v>
      </x:c>
      <x:c r="O419" s="8" t="n">
        <x:v>222</x:v>
      </x:c>
      <x:c r="P419" s="8" t="n">
        <x:v>0</x:v>
      </x:c>
      <x:c r="Q419" s="8" t="n">
        <x:v>1</x:v>
      </x:c>
      <x:c r="R419" s="8" t="n">
        <x:v>0</x:v>
      </x:c>
      <x:c r="S419" s="8" t="n">
        <x:f>L419-I419^2/H419</x:f>
        <x:v>62.30769230769232</x:v>
      </x:c>
      <x:c r="T419" s="8" t="n">
        <x:f>M419-J419^2/H419</x:f>
        <x:v>0</x:v>
      </x:c>
      <x:c r="U419" s="8" t="n">
        <x:f>N419-I419*J419/H419</x:f>
        <x:v>0</x:v>
      </x:c>
      <x:c r="V419" s="8" t="n">
        <x:f>O419-I419*K419/H419</x:f>
        <x:v>29.769230769230774</x:v>
      </x:c>
      <x:c r="W419" s="8" t="n">
        <x:f>P419-J419*K419/H419</x:f>
        <x:v>0</x:v>
      </x:c>
      <x:c r="X419" s="8" t="n">
        <x:f>V419/S419</x:f>
        <x:v>0.47777777777777775</x:v>
      </x:c>
      <x:c r="Y419" s="8" t="n">
        <x:f>0</x:f>
        <x:v>0</x:v>
      </x:c>
      <x:c r="Z419" s="8" t="n">
        <x:f>K419/H419-X419*I419/H419-Y419*J419/H419</x:f>
        <x:v>2.1222222222222222</x:v>
      </x:c>
      <x:c r="AA419" s="8" t="n">
        <x:f>Z419+X419*Q419+Y419*R419</x:f>
        <x:v>2.6</x:v>
      </x:c>
    </x:row>
    <x:row r="420" ht="26" customHeight="1">
      <x:c r="A420" s="2"/>
      <x:c r="B420" s="2" t="n">
        <x:v>415</x:v>
      </x:c>
      <x:c r="C420" s="2" t="str">
        <x:v>Health Care / price_contribution</x:v>
      </x:c>
      <x:c r="D420" s="2" t="str">
        <x:v>Broad market</x:v>
      </x:c>
      <x:c r="E420" s="7" t="n">
        <x:v>45747</x:v>
      </x:c>
      <x:c r="F420" s="2" t="str">
        <x:v>Prior report</x:v>
      </x:c>
      <x:c r="G420" s="7" t="n">
        <x:v>45679</x:v>
      </x:c>
      <x:c r="H420" s="2" t="n">
        <x:v>16</x:v>
      </x:c>
      <x:c r="I420" s="8" t="n">
        <x:v>45.710762120132856</x:v>
      </x:c>
      <x:c r="J420" s="8" t="n">
        <x:v>0</x:v>
      </x:c>
      <x:c r="K420" s="8" t="n">
        <x:v>53</x:v>
      </x:c>
      <x:c r="L420" s="8" t="n">
        <x:v>256.52763144344647</x:v>
      </x:c>
      <x:c r="M420" s="8" t="n">
        <x:v>0</x:v>
      </x:c>
      <x:c r="N420" s="8" t="n">
        <x:v>0</x:v>
      </x:c>
      <x:c r="O420" s="8" t="n">
        <x:v>244.08419804538434</x:v>
      </x:c>
      <x:c r="P420" s="8" t="n">
        <x:v>0</x:v>
      </x:c>
      <x:c r="Q420" s="8" t="n">
        <x:v>0.34236788098596094</x:v>
      </x:c>
      <x:c r="R420" s="8" t="n">
        <x:v>0</x:v>
      </x:c>
      <x:c r="S420" s="8" t="n">
        <x:f>L420-I420^2/H420</x:f>
        <x:v>125.93552059323568</x:v>
      </x:c>
      <x:c r="T420" s="8" t="n">
        <x:f>M420-J420^2/H420</x:f>
        <x:v>0</x:v>
      </x:c>
      <x:c r="U420" s="8" t="n">
        <x:f>N420-I420*J420/H420</x:f>
        <x:v>0</x:v>
      </x:c>
      <x:c r="V420" s="8" t="n">
        <x:f>O420-I420*K420/H420</x:f>
        <x:v>92.66729852244427</x:v>
      </x:c>
      <x:c r="W420" s="8" t="n">
        <x:f>P420-J420*K420/H420</x:f>
        <x:v>0</x:v>
      </x:c>
      <x:c r="X420" s="8" t="n">
        <x:f>V420/S420</x:f>
        <x:v>0.7358313054642796</x:v>
      </x:c>
      <x:c r="Y420" s="8" t="n">
        <x:f>0</x:f>
        <x:v>0</x:v>
      </x:c>
      <x:c r="Z420" s="8" t="n">
        <x:f>K420/H420-X420*I420/H420-Y420*J420/H420</x:f>
        <x:v>1.2102868897109689</x:v>
      </x:c>
      <x:c r="AA420" s="8" t="n">
        <x:f>Z420+X420*Q420+Y420*R420</x:f>
        <x:v>1.4622118945259075</x:v>
      </x:c>
    </x:row>
    <x:row r="421" ht="26" customHeight="1">
      <x:c r="A421" s="2"/>
      <x:c r="B421" s="2" t="n">
        <x:v>416</x:v>
      </x:c>
      <x:c r="C421" s="2" t="str">
        <x:v>Health Care / price_contribution</x:v>
      </x:c>
      <x:c r="D421" s="2" t="str">
        <x:v>Broad lag 1</x:v>
      </x:c>
      <x:c r="E421" s="7" t="n">
        <x:v>45747</x:v>
      </x:c>
      <x:c r="F421" s="2" t="str">
        <x:v>Prior report</x:v>
      </x:c>
      <x:c r="G421" s="7" t="n">
        <x:v>45679</x:v>
      </x:c>
      <x:c r="H421" s="2" t="n">
        <x:v>15</x:v>
      </x:c>
      <x:c r="I421" s="8" t="n">
        <x:v>45.36969366335541</x:v>
      </x:c>
      <x:c r="J421" s="8" t="n">
        <x:v>0</x:v>
      </x:c>
      <x:c r="K421" s="8" t="n">
        <x:v>53</x:v>
      </x:c>
      <x:c r="L421" s="8" t="n">
        <x:v>256.4113037512379</x:v>
      </x:c>
      <x:c r="M421" s="8" t="n">
        <x:v>0</x:v>
      </x:c>
      <x:c r="N421" s="8" t="n">
        <x:v>0</x:v>
      </x:c>
      <x:c r="O421" s="8" t="n">
        <x:v>231.18757507756845</x:v>
      </x:c>
      <x:c r="P421" s="8" t="n">
        <x:v>0</x:v>
      </x:c>
      <x:c r="Q421" s="8" t="n">
        <x:v>0.341068456777438</x:v>
      </x:c>
      <x:c r="R421" s="8" t="n">
        <x:v>0</x:v>
      </x:c>
      <x:c r="S421" s="8" t="n">
        <x:f>L421-I421^2/H421</x:f>
        <x:v>119.18403021079038</x:v>
      </x:c>
      <x:c r="T421" s="8" t="n">
        <x:f>M421-J421^2/H421</x:f>
        <x:v>0</x:v>
      </x:c>
      <x:c r="U421" s="8" t="n">
        <x:f>N421-I421*J421/H421</x:f>
        <x:v>0</x:v>
      </x:c>
      <x:c r="V421" s="8" t="n">
        <x:f>O421-I421*K421/H421</x:f>
        <x:v>70.88132413371264</x:v>
      </x:c>
      <x:c r="W421" s="8" t="n">
        <x:f>P421-J421*K421/H421</x:f>
        <x:v>0</x:v>
      </x:c>
      <x:c r="X421" s="8" t="n">
        <x:f>V421/S421</x:f>
        <x:v>0.5947216586681205</x:v>
      </x:c>
      <x:c r="Y421" s="8" t="n">
        <x:f>0</x:f>
        <x:v>0</x:v>
      </x:c>
      <x:c r="Z421" s="8" t="n">
        <x:f>K421/H421-X421*I421/H421-Y421*J421/H421</x:f>
        <x:v>1.7345107020843165</x:v>
      </x:c>
      <x:c r="AA421" s="8" t="n">
        <x:f>Z421+X421*Q421+Y421*R421</x:f>
        <x:v>1.9373515004183706</x:v>
      </x:c>
    </x:row>
    <x:row r="422" ht="26" customHeight="1">
      <x:c r="A422" s="2"/>
      <x:c r="B422" s="2" t="n">
        <x:v>417</x:v>
      </x:c>
      <x:c r="C422" s="2" t="str">
        <x:v>Health Care / price_contribution</x:v>
      </x:c>
      <x:c r="D422" s="2" t="str">
        <x:v>Broad rolling 8</x:v>
      </x:c>
      <x:c r="E422" s="7" t="n">
        <x:v>45747</x:v>
      </x:c>
      <x:c r="F422" s="2" t="str">
        <x:v>Prior report</x:v>
      </x:c>
      <x:c r="G422" s="7" t="n">
        <x:v>45679</x:v>
      </x:c>
      <x:c r="H422" s="2" t="n">
        <x:v>8</x:v>
      </x:c>
      <x:c r="I422" s="8" t="n">
        <x:v>29.542364704460724</x:v>
      </x:c>
      <x:c r="J422" s="8" t="n">
        <x:v>0</x:v>
      </x:c>
      <x:c r="K422" s="8" t="n">
        <x:v>31</x:v>
      </x:c>
      <x:c r="L422" s="8" t="n">
        <x:v>159.82650127279152</x:v>
      </x:c>
      <x:c r="M422" s="8" t="n">
        <x:v>0</x:v>
      </x:c>
      <x:c r="N422" s="8" t="n">
        <x:v>0</x:v>
      </x:c>
      <x:c r="O422" s="8" t="n">
        <x:v>155.57748455144556</x:v>
      </x:c>
      <x:c r="P422" s="8" t="n">
        <x:v>0</x:v>
      </x:c>
      <x:c r="Q422" s="8" t="n">
        <x:v>0.34236788098596094</x:v>
      </x:c>
      <x:c r="R422" s="8" t="n">
        <x:v>0</x:v>
      </x:c>
      <x:c r="S422" s="8" t="n">
        <x:f>L422-I422^2/H422</x:f>
        <x:v>50.73258723137067</x:v>
      </x:c>
      <x:c r="T422" s="8" t="n">
        <x:f>M422-J422^2/H422</x:f>
        <x:v>0</x:v>
      </x:c>
      <x:c r="U422" s="8" t="n">
        <x:f>N422-I422*J422/H422</x:f>
        <x:v>0</x:v>
      </x:c>
      <x:c r="V422" s="8" t="n">
        <x:f>O422-I422*K422/H422</x:f>
        <x:v>41.10082132166026</x:v>
      </x:c>
      <x:c r="W422" s="8" t="n">
        <x:f>P422-J422*K422/H422</x:f>
        <x:v>0</x:v>
      </x:c>
      <x:c r="X422" s="8" t="n">
        <x:f>V422/S422</x:f>
        <x:v>0.8101463687277795</x:v>
      </x:c>
      <x:c r="Y422" s="8" t="n">
        <x:f>0</x:f>
        <x:v>0</x:v>
      </x:c>
      <x:c r="Z422" s="8" t="n">
        <x:f>K422/H422-X422*I422/H422-Y422*J422/H422</x:f>
        <x:v>0.8832950638811781</x:v>
      </x:c>
      <x:c r="AA422" s="8" t="n">
        <x:f>Z422+X422*Q422+Y422*R422</x:f>
        <x:v>1.1606631594309789</x:v>
      </x:c>
    </x:row>
    <x:row r="423" ht="26" customHeight="1">
      <x:c r="A423" s="2"/>
      <x:c r="B423" s="2" t="n">
        <x:v>418</x:v>
      </x:c>
      <x:c r="C423" s="2" t="str">
        <x:v>Health Care / price_contribution</x:v>
      </x:c>
      <x:c r="D423" s="2" t="str">
        <x:v>Own history</x:v>
      </x:c>
      <x:c r="E423" s="7" t="n">
        <x:v>45747</x:v>
      </x:c>
      <x:c r="F423" s="2" t="str">
        <x:v>Prior report</x:v>
      </x:c>
      <x:c r="G423" s="7" t="n">
        <x:v>45679</x:v>
      </x:c>
      <x:c r="H423" s="2" t="n">
        <x:v>15</x:v>
      </x:c>
      <x:c r="I423" s="8" t="n">
        <x:v>52</x:v>
      </x:c>
      <x:c r="J423" s="8" t="n">
        <x:v>0</x:v>
      </x:c>
      <x:c r="K423" s="8" t="n">
        <x:v>53</x:v>
      </x:c>
      <x:c r="L423" s="8" t="n">
        <x:v>252</x:v>
      </x:c>
      <x:c r="M423" s="8" t="n">
        <x:v>0</x:v>
      </x:c>
      <x:c r="N423" s="8" t="n">
        <x:v>0</x:v>
      </x:c>
      <x:c r="O423" s="8" t="n">
        <x:v>243</x:v>
      </x:c>
      <x:c r="P423" s="8" t="n">
        <x:v>0</x:v>
      </x:c>
      <x:c r="Q423" s="8" t="n">
        <x:v>1</x:v>
      </x:c>
      <x:c r="R423" s="8" t="n">
        <x:v>0</x:v>
      </x:c>
      <x:c r="S423" s="8" t="n">
        <x:f>L423-I423^2/H423</x:f>
        <x:v>71.73333333333332</x:v>
      </x:c>
      <x:c r="T423" s="8" t="n">
        <x:f>M423-J423^2/H423</x:f>
        <x:v>0</x:v>
      </x:c>
      <x:c r="U423" s="8" t="n">
        <x:f>N423-I423*J423/H423</x:f>
        <x:v>0</x:v>
      </x:c>
      <x:c r="V423" s="8" t="n">
        <x:f>O423-I423*K423/H423</x:f>
        <x:v>59.26666666666668</x:v>
      </x:c>
      <x:c r="W423" s="8" t="n">
        <x:f>P423-J423*K423/H423</x:f>
        <x:v>0</x:v>
      </x:c>
      <x:c r="X423" s="8" t="n">
        <x:f>V423/S423</x:f>
        <x:v>0.826208178438662</x:v>
      </x:c>
      <x:c r="Y423" s="8" t="n">
        <x:f>0</x:f>
        <x:v>0</x:v>
      </x:c>
      <x:c r="Z423" s="8" t="n">
        <x:f>K423/H423-X423*I423/H423-Y423*J423/H423</x:f>
        <x:v>0.669144981412638</x:v>
      </x:c>
      <x:c r="AA423" s="8" t="n">
        <x:f>Z423+X423*Q423+Y423*R423</x:f>
        <x:v>1.4953531598513</x:v>
      </x:c>
    </x:row>
    <x:row r="424" ht="26" customHeight="1">
      <x:c r="A424" s="2"/>
      <x:c r="B424" s="2" t="n">
        <x:v>419</x:v>
      </x:c>
      <x:c r="C424" s="2" t="str">
        <x:v>Health Care / price_contribution</x:v>
      </x:c>
      <x:c r="D424" s="2" t="str">
        <x:v>Broad market</x:v>
      </x:c>
      <x:c r="E424" s="7" t="n">
        <x:v>45747</x:v>
      </x:c>
      <x:c r="F424" s="2" t="str">
        <x:v>Pre-earnings</x:v>
      </x:c>
      <x:c r="G424" s="7" t="n">
        <x:v>45770</x:v>
      </x:c>
      <x:c r="H424" s="2" t="n">
        <x:v>16</x:v>
      </x:c>
      <x:c r="I424" s="8" t="n">
        <x:v>45.710762120132856</x:v>
      </x:c>
      <x:c r="J424" s="8" t="n">
        <x:v>0</x:v>
      </x:c>
      <x:c r="K424" s="8" t="n">
        <x:v>53</x:v>
      </x:c>
      <x:c r="L424" s="8" t="n">
        <x:v>256.52763144344647</x:v>
      </x:c>
      <x:c r="M424" s="8" t="n">
        <x:v>0</x:v>
      </x:c>
      <x:c r="N424" s="8" t="n">
        <x:v>0</x:v>
      </x:c>
      <x:c r="O424" s="8" t="n">
        <x:v>244.08419804538434</x:v>
      </x:c>
      <x:c r="P424" s="8" t="n">
        <x:v>0</x:v>
      </x:c>
      <x:c r="Q424" s="8" t="n">
        <x:v>0.23594619830289432</x:v>
      </x:c>
      <x:c r="R424" s="8" t="n">
        <x:v>0</x:v>
      </x:c>
      <x:c r="S424" s="8" t="n">
        <x:f>L424-I424^2/H424</x:f>
        <x:v>125.93552059323568</x:v>
      </x:c>
      <x:c r="T424" s="8" t="n">
        <x:f>M424-J424^2/H424</x:f>
        <x:v>0</x:v>
      </x:c>
      <x:c r="U424" s="8" t="n">
        <x:f>N424-I424*J424/H424</x:f>
        <x:v>0</x:v>
      </x:c>
      <x:c r="V424" s="8" t="n">
        <x:f>O424-I424*K424/H424</x:f>
        <x:v>92.66729852244427</x:v>
      </x:c>
      <x:c r="W424" s="8" t="n">
        <x:f>P424-J424*K424/H424</x:f>
        <x:v>0</x:v>
      </x:c>
      <x:c r="X424" s="8" t="n">
        <x:f>V424/S424</x:f>
        <x:v>0.7358313054642796</x:v>
      </x:c>
      <x:c r="Y424" s="8" t="n">
        <x:f>0</x:f>
        <x:v>0</x:v>
      </x:c>
      <x:c r="Z424" s="8" t="n">
        <x:f>K424/H424-X424*I424/H424-Y424*J424/H424</x:f>
        <x:v>1.2102868897109689</x:v>
      </x:c>
      <x:c r="AA424" s="8" t="n">
        <x:f>Z424+X424*Q424+Y424*R424</x:f>
        <x:v>1.3839034888275215</x:v>
      </x:c>
    </x:row>
    <x:row r="425" ht="26" customHeight="1">
      <x:c r="A425" s="2"/>
      <x:c r="B425" s="2" t="n">
        <x:v>420</x:v>
      </x:c>
      <x:c r="C425" s="2" t="str">
        <x:v>Health Care / price_contribution</x:v>
      </x:c>
      <x:c r="D425" s="2" t="str">
        <x:v>Broad lag 1</x:v>
      </x:c>
      <x:c r="E425" s="7" t="n">
        <x:v>45747</x:v>
      </x:c>
      <x:c r="F425" s="2" t="str">
        <x:v>Pre-earnings</x:v>
      </x:c>
      <x:c r="G425" s="7" t="n">
        <x:v>45770</x:v>
      </x:c>
      <x:c r="H425" s="2" t="n">
        <x:v>15</x:v>
      </x:c>
      <x:c r="I425" s="8" t="n">
        <x:v>45.36969366335541</x:v>
      </x:c>
      <x:c r="J425" s="8" t="n">
        <x:v>0</x:v>
      </x:c>
      <x:c r="K425" s="8" t="n">
        <x:v>53</x:v>
      </x:c>
      <x:c r="L425" s="8" t="n">
        <x:v>256.4113037512379</x:v>
      </x:c>
      <x:c r="M425" s="8" t="n">
        <x:v>0</x:v>
      </x:c>
      <x:c r="N425" s="8" t="n">
        <x:v>0</x:v>
      </x:c>
      <x:c r="O425" s="8" t="n">
        <x:v>231.18757507756845</x:v>
      </x:c>
      <x:c r="P425" s="8" t="n">
        <x:v>0</x:v>
      </x:c>
      <x:c r="Q425" s="8" t="n">
        <x:v>0.341068456777438</x:v>
      </x:c>
      <x:c r="R425" s="8" t="n">
        <x:v>0</x:v>
      </x:c>
      <x:c r="S425" s="8" t="n">
        <x:f>L425-I425^2/H425</x:f>
        <x:v>119.18403021079038</x:v>
      </x:c>
      <x:c r="T425" s="8" t="n">
        <x:f>M425-J425^2/H425</x:f>
        <x:v>0</x:v>
      </x:c>
      <x:c r="U425" s="8" t="n">
        <x:f>N425-I425*J425/H425</x:f>
        <x:v>0</x:v>
      </x:c>
      <x:c r="V425" s="8" t="n">
        <x:f>O425-I425*K425/H425</x:f>
        <x:v>70.88132413371264</x:v>
      </x:c>
      <x:c r="W425" s="8" t="n">
        <x:f>P425-J425*K425/H425</x:f>
        <x:v>0</x:v>
      </x:c>
      <x:c r="X425" s="8" t="n">
        <x:f>V425/S425</x:f>
        <x:v>0.5947216586681205</x:v>
      </x:c>
      <x:c r="Y425" s="8" t="n">
        <x:f>0</x:f>
        <x:v>0</x:v>
      </x:c>
      <x:c r="Z425" s="8" t="n">
        <x:f>K425/H425-X425*I425/H425-Y425*J425/H425</x:f>
        <x:v>1.7345107020843165</x:v>
      </x:c>
      <x:c r="AA425" s="8" t="n">
        <x:f>Z425+X425*Q425+Y425*R425</x:f>
        <x:v>1.9373515004183706</x:v>
      </x:c>
    </x:row>
    <x:row r="426" ht="26" customHeight="1">
      <x:c r="A426" s="2"/>
      <x:c r="B426" s="2" t="n">
        <x:v>421</x:v>
      </x:c>
      <x:c r="C426" s="2" t="str">
        <x:v>Health Care / price_contribution</x:v>
      </x:c>
      <x:c r="D426" s="2" t="str">
        <x:v>Broad rolling 8</x:v>
      </x:c>
      <x:c r="E426" s="7" t="n">
        <x:v>45747</x:v>
      </x:c>
      <x:c r="F426" s="2" t="str">
        <x:v>Pre-earnings</x:v>
      </x:c>
      <x:c r="G426" s="7" t="n">
        <x:v>45770</x:v>
      </x:c>
      <x:c r="H426" s="2" t="n">
        <x:v>8</x:v>
      </x:c>
      <x:c r="I426" s="8" t="n">
        <x:v>29.542364704460724</x:v>
      </x:c>
      <x:c r="J426" s="8" t="n">
        <x:v>0</x:v>
      </x:c>
      <x:c r="K426" s="8" t="n">
        <x:v>31</x:v>
      </x:c>
      <x:c r="L426" s="8" t="n">
        <x:v>159.82650127279152</x:v>
      </x:c>
      <x:c r="M426" s="8" t="n">
        <x:v>0</x:v>
      </x:c>
      <x:c r="N426" s="8" t="n">
        <x:v>0</x:v>
      </x:c>
      <x:c r="O426" s="8" t="n">
        <x:v>155.57748455144556</x:v>
      </x:c>
      <x:c r="P426" s="8" t="n">
        <x:v>0</x:v>
      </x:c>
      <x:c r="Q426" s="8" t="n">
        <x:v>0.23594619830289432</x:v>
      </x:c>
      <x:c r="R426" s="8" t="n">
        <x:v>0</x:v>
      </x:c>
      <x:c r="S426" s="8" t="n">
        <x:f>L426-I426^2/H426</x:f>
        <x:v>50.73258723137067</x:v>
      </x:c>
      <x:c r="T426" s="8" t="n">
        <x:f>M426-J426^2/H426</x:f>
        <x:v>0</x:v>
      </x:c>
      <x:c r="U426" s="8" t="n">
        <x:f>N426-I426*J426/H426</x:f>
        <x:v>0</x:v>
      </x:c>
      <x:c r="V426" s="8" t="n">
        <x:f>O426-I426*K426/H426</x:f>
        <x:v>41.10082132166026</x:v>
      </x:c>
      <x:c r="W426" s="8" t="n">
        <x:f>P426-J426*K426/H426</x:f>
        <x:v>0</x:v>
      </x:c>
      <x:c r="X426" s="8" t="n">
        <x:f>V426/S426</x:f>
        <x:v>0.8101463687277795</x:v>
      </x:c>
      <x:c r="Y426" s="8" t="n">
        <x:f>0</x:f>
        <x:v>0</x:v>
      </x:c>
      <x:c r="Z426" s="8" t="n">
        <x:f>K426/H426-X426*I426/H426-Y426*J426/H426</x:f>
        <x:v>0.8832950638811781</x:v>
      </x:c>
      <x:c r="AA426" s="8" t="n">
        <x:f>Z426+X426*Q426+Y426*R426</x:f>
        <x:v>1.0744460196513925</x:v>
      </x:c>
    </x:row>
    <x:row r="427" ht="26" customHeight="1">
      <x:c r="A427" s="2"/>
      <x:c r="B427" s="2" t="n">
        <x:v>422</x:v>
      </x:c>
      <x:c r="C427" s="2" t="str">
        <x:v>Health Care / price_contribution</x:v>
      </x:c>
      <x:c r="D427" s="2" t="str">
        <x:v>Own history</x:v>
      </x:c>
      <x:c r="E427" s="7" t="n">
        <x:v>45747</x:v>
      </x:c>
      <x:c r="F427" s="2" t="str">
        <x:v>Pre-earnings</x:v>
      </x:c>
      <x:c r="G427" s="7" t="n">
        <x:v>45770</x:v>
      </x:c>
      <x:c r="H427" s="2" t="n">
        <x:v>15</x:v>
      </x:c>
      <x:c r="I427" s="8" t="n">
        <x:v>52</x:v>
      </x:c>
      <x:c r="J427" s="8" t="n">
        <x:v>0</x:v>
      </x:c>
      <x:c r="K427" s="8" t="n">
        <x:v>53</x:v>
      </x:c>
      <x:c r="L427" s="8" t="n">
        <x:v>252</x:v>
      </x:c>
      <x:c r="M427" s="8" t="n">
        <x:v>0</x:v>
      </x:c>
      <x:c r="N427" s="8" t="n">
        <x:v>0</x:v>
      </x:c>
      <x:c r="O427" s="8" t="n">
        <x:v>243</x:v>
      </x:c>
      <x:c r="P427" s="8" t="n">
        <x:v>0</x:v>
      </x:c>
      <x:c r="Q427" s="8" t="n">
        <x:v>1</x:v>
      </x:c>
      <x:c r="R427" s="8" t="n">
        <x:v>0</x:v>
      </x:c>
      <x:c r="S427" s="8" t="n">
        <x:f>L427-I427^2/H427</x:f>
        <x:v>71.73333333333332</x:v>
      </x:c>
      <x:c r="T427" s="8" t="n">
        <x:f>M427-J427^2/H427</x:f>
        <x:v>0</x:v>
      </x:c>
      <x:c r="U427" s="8" t="n">
        <x:f>N427-I427*J427/H427</x:f>
        <x:v>0</x:v>
      </x:c>
      <x:c r="V427" s="8" t="n">
        <x:f>O427-I427*K427/H427</x:f>
        <x:v>59.26666666666668</x:v>
      </x:c>
      <x:c r="W427" s="8" t="n">
        <x:f>P427-J427*K427/H427</x:f>
        <x:v>0</x:v>
      </x:c>
      <x:c r="X427" s="8" t="n">
        <x:f>V427/S427</x:f>
        <x:v>0.826208178438662</x:v>
      </x:c>
      <x:c r="Y427" s="8" t="n">
        <x:f>0</x:f>
        <x:v>0</x:v>
      </x:c>
      <x:c r="Z427" s="8" t="n">
        <x:f>K427/H427-X427*I427/H427-Y427*J427/H427</x:f>
        <x:v>0.669144981412638</x:v>
      </x:c>
      <x:c r="AA427" s="8" t="n">
        <x:f>Z427+X427*Q427+Y427*R427</x:f>
        <x:v>1.4953531598513</x:v>
      </x:c>
    </x:row>
    <x:row r="428" ht="26" customHeight="1">
      <x:c r="A428" s="2"/>
      <x:c r="B428" s="2" t="n">
        <x:v>423</x:v>
      </x:c>
      <x:c r="C428" s="2" t="str">
        <x:v>Health Care / price_contribution</x:v>
      </x:c>
      <x:c r="D428" s="2" t="str">
        <x:v>Broad market</x:v>
      </x:c>
      <x:c r="E428" s="7" t="n">
        <x:v>45838</x:v>
      </x:c>
      <x:c r="F428" s="2" t="str">
        <x:v>Origin</x:v>
      </x:c>
      <x:c r="G428" s="7" t="n">
        <x:v>45748</x:v>
      </x:c>
      <x:c r="H428" s="2" t="n">
        <x:v>16</x:v>
      </x:c>
      <x:c r="I428" s="8" t="n">
        <x:v>45.710762120132856</x:v>
      </x:c>
      <x:c r="J428" s="8" t="n">
        <x:v>0</x:v>
      </x:c>
      <x:c r="K428" s="8" t="n">
        <x:v>53</x:v>
      </x:c>
      <x:c r="L428" s="8" t="n">
        <x:v>256.52763144344647</x:v>
      </x:c>
      <x:c r="M428" s="8" t="n">
        <x:v>0</x:v>
      </x:c>
      <x:c r="N428" s="8" t="n">
        <x:v>0</x:v>
      </x:c>
      <x:c r="O428" s="8" t="n">
        <x:v>244.08419804538434</x:v>
      </x:c>
      <x:c r="P428" s="8" t="n">
        <x:v>0</x:v>
      </x:c>
      <x:c r="Q428" s="8" t="n">
        <x:v>0.4021029127773579</x:v>
      </x:c>
      <x:c r="R428" s="8" t="n">
        <x:v>0</x:v>
      </x:c>
      <x:c r="S428" s="8" t="n">
        <x:f>L428-I428^2/H428</x:f>
        <x:v>125.93552059323568</x:v>
      </x:c>
      <x:c r="T428" s="8" t="n">
        <x:f>M428-J428^2/H428</x:f>
        <x:v>0</x:v>
      </x:c>
      <x:c r="U428" s="8" t="n">
        <x:f>N428-I428*J428/H428</x:f>
        <x:v>0</x:v>
      </x:c>
      <x:c r="V428" s="8" t="n">
        <x:f>O428-I428*K428/H428</x:f>
        <x:v>92.66729852244427</x:v>
      </x:c>
      <x:c r="W428" s="8" t="n">
        <x:f>P428-J428*K428/H428</x:f>
        <x:v>0</x:v>
      </x:c>
      <x:c r="X428" s="8" t="n">
        <x:f>V428/S428</x:f>
        <x:v>0.7358313054642796</x:v>
      </x:c>
      <x:c r="Y428" s="8" t="n">
        <x:f>0</x:f>
        <x:v>0</x:v>
      </x:c>
      <x:c r="Z428" s="8" t="n">
        <x:f>K428/H428-X428*I428/H428-Y428*J428/H428</x:f>
        <x:v>1.2102868897109689</x:v>
      </x:c>
      <x:c r="AA428" s="8" t="n">
        <x:f>Z428+X428*Q428+Y428*R428</x:f>
        <x:v>1.5061668009509215</x:v>
      </x:c>
    </x:row>
    <x:row r="429" ht="26" customHeight="1">
      <x:c r="A429" s="2"/>
      <x:c r="B429" s="2" t="n">
        <x:v>424</x:v>
      </x:c>
      <x:c r="C429" s="2" t="str">
        <x:v>Health Care / price_contribution</x:v>
      </x:c>
      <x:c r="D429" s="2" t="str">
        <x:v>Broad rolling 8</x:v>
      </x:c>
      <x:c r="E429" s="7" t="n">
        <x:v>45838</x:v>
      </x:c>
      <x:c r="F429" s="2" t="str">
        <x:v>Origin</x:v>
      </x:c>
      <x:c r="G429" s="7" t="n">
        <x:v>45748</x:v>
      </x:c>
      <x:c r="H429" s="2" t="n">
        <x:v>8</x:v>
      </x:c>
      <x:c r="I429" s="8" t="n">
        <x:v>29.542364704460724</x:v>
      </x:c>
      <x:c r="J429" s="8" t="n">
        <x:v>0</x:v>
      </x:c>
      <x:c r="K429" s="8" t="n">
        <x:v>31</x:v>
      </x:c>
      <x:c r="L429" s="8" t="n">
        <x:v>159.82650127279152</x:v>
      </x:c>
      <x:c r="M429" s="8" t="n">
        <x:v>0</x:v>
      </x:c>
      <x:c r="N429" s="8" t="n">
        <x:v>0</x:v>
      </x:c>
      <x:c r="O429" s="8" t="n">
        <x:v>155.57748455144556</x:v>
      </x:c>
      <x:c r="P429" s="8" t="n">
        <x:v>0</x:v>
      </x:c>
      <x:c r="Q429" s="8" t="n">
        <x:v>0.4021029127773579</x:v>
      </x:c>
      <x:c r="R429" s="8" t="n">
        <x:v>0</x:v>
      </x:c>
      <x:c r="S429" s="8" t="n">
        <x:f>L429-I429^2/H429</x:f>
        <x:v>50.73258723137067</x:v>
      </x:c>
      <x:c r="T429" s="8" t="n">
        <x:f>M429-J429^2/H429</x:f>
        <x:v>0</x:v>
      </x:c>
      <x:c r="U429" s="8" t="n">
        <x:f>N429-I429*J429/H429</x:f>
        <x:v>0</x:v>
      </x:c>
      <x:c r="V429" s="8" t="n">
        <x:f>O429-I429*K429/H429</x:f>
        <x:v>41.10082132166026</x:v>
      </x:c>
      <x:c r="W429" s="8" t="n">
        <x:f>P429-J429*K429/H429</x:f>
        <x:v>0</x:v>
      </x:c>
      <x:c r="X429" s="8" t="n">
        <x:f>V429/S429</x:f>
        <x:v>0.8101463687277795</x:v>
      </x:c>
      <x:c r="Y429" s="8" t="n">
        <x:f>0</x:f>
        <x:v>0</x:v>
      </x:c>
      <x:c r="Z429" s="8" t="n">
        <x:f>K429/H429-X429*I429/H429-Y429*J429/H429</x:f>
        <x:v>0.8832950638811781</x:v>
      </x:c>
      <x:c r="AA429" s="8" t="n">
        <x:f>Z429+X429*Q429+Y429*R429</x:f>
        <x:v>1.2090572785226175</x:v>
      </x:c>
    </x:row>
    <x:row r="430" ht="26" customHeight="1">
      <x:c r="A430" s="2"/>
      <x:c r="B430" s="2" t="n">
        <x:v>425</x:v>
      </x:c>
      <x:c r="C430" s="2" t="str">
        <x:v>Health Care / price_contribution</x:v>
      </x:c>
      <x:c r="D430" s="2" t="str">
        <x:v>Own history</x:v>
      </x:c>
      <x:c r="E430" s="7" t="n">
        <x:v>45838</x:v>
      </x:c>
      <x:c r="F430" s="2" t="str">
        <x:v>Origin</x:v>
      </x:c>
      <x:c r="G430" s="7" t="n">
        <x:v>45748</x:v>
      </x:c>
      <x:c r="H430" s="2" t="n">
        <x:v>14</x:v>
      </x:c>
      <x:c r="I430" s="8" t="n">
        <x:v>51</x:v>
      </x:c>
      <x:c r="J430" s="8" t="n">
        <x:v>0</x:v>
      </x:c>
      <x:c r="K430" s="8" t="n">
        <x:v>52</x:v>
      </x:c>
      <x:c r="L430" s="8" t="n">
        <x:v>251</x:v>
      </x:c>
      <x:c r="M430" s="8" t="n">
        <x:v>0</x:v>
      </x:c>
      <x:c r="N430" s="8" t="n">
        <x:v>0</x:v>
      </x:c>
      <x:c r="O430" s="8" t="n">
        <x:v>224</x:v>
      </x:c>
      <x:c r="P430" s="8" t="n">
        <x:v>0</x:v>
      </x:c>
      <x:c r="Q430" s="8" t="n">
        <x:v>1</x:v>
      </x:c>
      <x:c r="R430" s="8" t="n">
        <x:v>0</x:v>
      </x:c>
      <x:c r="S430" s="8" t="n">
        <x:f>L430-I430^2/H430</x:f>
        <x:v>65.21428571428572</x:v>
      </x:c>
      <x:c r="T430" s="8" t="n">
        <x:f>M430-J430^2/H430</x:f>
        <x:v>0</x:v>
      </x:c>
      <x:c r="U430" s="8" t="n">
        <x:f>N430-I430*J430/H430</x:f>
        <x:v>0</x:v>
      </x:c>
      <x:c r="V430" s="8" t="n">
        <x:f>O430-I430*K430/H430</x:f>
        <x:v>34.571428571428584</x:v>
      </x:c>
      <x:c r="W430" s="8" t="n">
        <x:f>P430-J430*K430/H430</x:f>
        <x:v>0</x:v>
      </x:c>
      <x:c r="X430" s="8" t="n">
        <x:f>V430/S430</x:f>
        <x:v>0.530120481927711</x:v>
      </x:c>
      <x:c r="Y430" s="8" t="n">
        <x:f>0</x:f>
        <x:v>0</x:v>
      </x:c>
      <x:c r="Z430" s="8" t="n">
        <x:f>K430/H430-X430*I430/H430-Y430*J430/H430</x:f>
        <x:v>1.7831325301204815</x:v>
      </x:c>
      <x:c r="AA430" s="8" t="n">
        <x:f>Z430+X430*Q430+Y430*R430</x:f>
        <x:v>2.3132530120481922</x:v>
      </x:c>
    </x:row>
    <x:row r="431" ht="26" customHeight="1">
      <x:c r="A431" s="2"/>
      <x:c r="B431" s="2" t="n">
        <x:v>426</x:v>
      </x:c>
      <x:c r="C431" s="2" t="str">
        <x:v>Health Care / price_contribution</x:v>
      </x:c>
      <x:c r="D431" s="2" t="str">
        <x:v>Broad market</x:v>
      </x:c>
      <x:c r="E431" s="7" t="n">
        <x:v>45838</x:v>
      </x:c>
      <x:c r="F431" s="2" t="str">
        <x:v>Prior report</x:v>
      </x:c>
      <x:c r="G431" s="7" t="n">
        <x:v>45771</x:v>
      </x:c>
      <x:c r="H431" s="2" t="n">
        <x:v>17</x:v>
      </x:c>
      <x:c r="I431" s="8" t="n">
        <x:v>45.946708318435746</x:v>
      </x:c>
      <x:c r="J431" s="8" t="n">
        <x:v>0</x:v>
      </x:c>
      <x:c r="K431" s="8" t="n">
        <x:v>54</x:v>
      </x:c>
      <x:c r="L431" s="8" t="n">
        <x:v>256.58330205194005</x:v>
      </x:c>
      <x:c r="M431" s="8" t="n">
        <x:v>0</x:v>
      </x:c>
      <x:c r="N431" s="8" t="n">
        <x:v>0</x:v>
      </x:c>
      <x:c r="O431" s="8" t="n">
        <x:v>244.32014424368725</x:v>
      </x:c>
      <x:c r="P431" s="8" t="n">
        <x:v>0</x:v>
      </x:c>
      <x:c r="Q431" s="8" t="n">
        <x:v>0.23664658474467082</x:v>
      </x:c>
      <x:c r="R431" s="8" t="n">
        <x:v>0</x:v>
      </x:c>
      <x:c r="S431" s="8" t="n">
        <x:f>L431-I431^2/H431</x:f>
        <x:v>132.40094879903342</x:v>
      </x:c>
      <x:c r="T431" s="8" t="n">
        <x:f>M431-J431^2/H431</x:f>
        <x:v>0</x:v>
      </x:c>
      <x:c r="U431" s="8" t="n">
        <x:f>N431-I431*J431/H431</x:f>
        <x:v>0</x:v>
      </x:c>
      <x:c r="V431" s="8" t="n">
        <x:f>O431-I431*K431/H431</x:f>
        <x:v>98.37177664395017</x:v>
      </x:c>
      <x:c r="W431" s="8" t="n">
        <x:f>P431-J431*K431/H431</x:f>
        <x:v>0</x:v>
      </x:c>
      <x:c r="X431" s="8" t="n">
        <x:f>V431/S431</x:f>
        <x:v>0.7429839252380669</x:v>
      </x:c>
      <x:c r="Y431" s="8" t="n">
        <x:f>0</x:f>
        <x:v>0</x:v>
      </x:c>
      <x:c r="Z431" s="8" t="n">
        <x:f>K431/H431-X431*I431/H431-Y431*J431/H431</x:f>
        <x:v>1.1683726059882393</x:v>
      </x:c>
      <x:c r="AA431" s="8" t="n">
        <x:f>Z431+X431*Q431+Y431*R431</x:f>
        <x:v>1.3441972144160177</x:v>
      </x:c>
    </x:row>
    <x:row r="432" ht="26" customHeight="1">
      <x:c r="A432" s="2"/>
      <x:c r="B432" s="2" t="n">
        <x:v>427</x:v>
      </x:c>
      <x:c r="C432" s="2" t="str">
        <x:v>Health Care / price_contribution</x:v>
      </x:c>
      <x:c r="D432" s="2" t="str">
        <x:v>Broad lag 1</x:v>
      </x:c>
      <x:c r="E432" s="7" t="n">
        <x:v>45838</x:v>
      </x:c>
      <x:c r="F432" s="2" t="str">
        <x:v>Prior report</x:v>
      </x:c>
      <x:c r="G432" s="7" t="n">
        <x:v>45771</x:v>
      </x:c>
      <x:c r="H432" s="2" t="n">
        <x:v>16</x:v>
      </x:c>
      <x:c r="I432" s="8" t="n">
        <x:v>45.710762120132856</x:v>
      </x:c>
      <x:c r="J432" s="8" t="n">
        <x:v>0</x:v>
      </x:c>
      <x:c r="K432" s="8" t="n">
        <x:v>54</x:v>
      </x:c>
      <x:c r="L432" s="8" t="n">
        <x:v>256.52763144344647</x:v>
      </x:c>
      <x:c r="M432" s="8" t="n">
        <x:v>0</x:v>
      </x:c>
      <x:c r="N432" s="8" t="n">
        <x:v>0</x:v>
      </x:c>
      <x:c r="O432" s="8" t="n">
        <x:v>231.5286435343459</x:v>
      </x:c>
      <x:c r="P432" s="8" t="n">
        <x:v>0</x:v>
      </x:c>
      <x:c r="Q432" s="8" t="n">
        <x:v>0.23594619830289432</x:v>
      </x:c>
      <x:c r="R432" s="8" t="n">
        <x:v>0</x:v>
      </x:c>
      <x:c r="S432" s="8" t="n">
        <x:f>L432-I432^2/H432</x:f>
        <x:v>125.93552059323568</x:v>
      </x:c>
      <x:c r="T432" s="8" t="n">
        <x:f>M432-J432^2/H432</x:f>
        <x:v>0</x:v>
      </x:c>
      <x:c r="U432" s="8" t="n">
        <x:f>N432-I432*J432/H432</x:f>
        <x:v>0</x:v>
      </x:c>
      <x:c r="V432" s="8" t="n">
        <x:f>O432-I432*K432/H432</x:f>
        <x:v>77.2548213788975</x:v>
      </x:c>
      <x:c r="W432" s="8" t="n">
        <x:f>P432-J432*K432/H432</x:f>
        <x:v>0</x:v>
      </x:c>
      <x:c r="X432" s="8" t="n">
        <x:f>V432/S432</x:f>
        <x:v>0.6134474294065614</x:v>
      </x:c>
      <x:c r="Y432" s="8" t="n">
        <x:f>0</x:f>
        <x:v>0</x:v>
      </x:c>
      <x:c r="Z432" s="8" t="n">
        <x:f>K432/H432-X432*I432/H432-Y432*J432/H432</x:f>
        <x:v>1.622428155074355</x:v>
      </x:c>
      <x:c r="AA432" s="8" t="n">
        <x:f>Z432+X432*Q432+Y432*R432</x:f>
        <x:v>1.7671687439015162</x:v>
      </x:c>
    </x:row>
    <x:row r="433" ht="26" customHeight="1">
      <x:c r="A433" s="2"/>
      <x:c r="B433" s="2" t="n">
        <x:v>428</x:v>
      </x:c>
      <x:c r="C433" s="2" t="str">
        <x:v>Health Care / price_contribution</x:v>
      </x:c>
      <x:c r="D433" s="2" t="str">
        <x:v>Broad rolling 8</x:v>
      </x:c>
      <x:c r="E433" s="7" t="n">
        <x:v>45838</x:v>
      </x:c>
      <x:c r="F433" s="2" t="str">
        <x:v>Prior report</x:v>
      </x:c>
      <x:c r="G433" s="7" t="n">
        <x:v>45771</x:v>
      </x:c>
      <x:c r="H433" s="2" t="n">
        <x:v>8</x:v>
      </x:c>
      <x:c r="I433" s="8" t="n">
        <x:v>23.005916879315237</x:v>
      </x:c>
      <x:c r="J433" s="8" t="n">
        <x:v>0</x:v>
      </x:c>
      <x:c r="K433" s="8" t="n">
        <x:v>26</x:v>
      </x:c>
      <x:c r="L433" s="8" t="n">
        <x:v>114.01685107244576</x:v>
      </x:c>
      <x:c r="M433" s="8" t="n">
        <x:v>0</x:v>
      </x:c>
      <x:c r="N433" s="8" t="n">
        <x:v>0</x:v>
      </x:c>
      <x:c r="O433" s="8" t="n">
        <x:v>115.17906660905818</x:v>
      </x:c>
      <x:c r="P433" s="8" t="n">
        <x:v>0</x:v>
      </x:c>
      <x:c r="Q433" s="8" t="n">
        <x:v>0.23664658474467082</x:v>
      </x:c>
      <x:c r="R433" s="8" t="n">
        <x:v>0</x:v>
      </x:c>
      <x:c r="S433" s="8" t="n">
        <x:f>L433-I433^2/H433</x:f>
        <x:v>47.85782464020055</x:v>
      </x:c>
      <x:c r="T433" s="8" t="n">
        <x:f>M433-J433^2/H433</x:f>
        <x:v>0</x:v>
      </x:c>
      <x:c r="U433" s="8" t="n">
        <x:f>N433-I433*J433/H433</x:f>
        <x:v>0</x:v>
      </x:c>
      <x:c r="V433" s="8" t="n">
        <x:f>O433-I433*K433/H433</x:f>
        <x:v>40.40983675128366</x:v>
      </x:c>
      <x:c r="W433" s="8" t="n">
        <x:f>P433-J433*K433/H433</x:f>
        <x:v>0</x:v>
      </x:c>
      <x:c r="X433" s="8" t="n">
        <x:f>V433/S433</x:f>
        <x:v>0.8443726194219747</x:v>
      </x:c>
      <x:c r="Y433" s="8" t="n">
        <x:f>0</x:f>
        <x:v>0</x:v>
      </x:c>
      <x:c r="Z433" s="8" t="n">
        <x:f>K433/H433-X433*I433/H433-Y433*J433/H433</x:f>
        <x:v>0.8218042128010463</x:v>
      </x:c>
      <x:c r="AA433" s="8" t="n">
        <x:f>Z433+X433*Q433+Y433*R433</x:f>
        <x:v>1.0216221094391684</x:v>
      </x:c>
    </x:row>
    <x:row r="434" ht="26" customHeight="1">
      <x:c r="A434" s="2"/>
      <x:c r="B434" s="2" t="n">
        <x:v>429</x:v>
      </x:c>
      <x:c r="C434" s="2" t="str">
        <x:v>Health Care / price_contribution</x:v>
      </x:c>
      <x:c r="D434" s="2" t="str">
        <x:v>Own history</x:v>
      </x:c>
      <x:c r="E434" s="7" t="n">
        <x:v>45838</x:v>
      </x:c>
      <x:c r="F434" s="2" t="str">
        <x:v>Prior report</x:v>
      </x:c>
      <x:c r="G434" s="7" t="n">
        <x:v>45771</x:v>
      </x:c>
      <x:c r="H434" s="2" t="n">
        <x:v>16</x:v>
      </x:c>
      <x:c r="I434" s="8" t="n">
        <x:v>53</x:v>
      </x:c>
      <x:c r="J434" s="8" t="n">
        <x:v>0</x:v>
      </x:c>
      <x:c r="K434" s="8" t="n">
        <x:v>54</x:v>
      </x:c>
      <x:c r="L434" s="8" t="n">
        <x:v>253</x:v>
      </x:c>
      <x:c r="M434" s="8" t="n">
        <x:v>0</x:v>
      </x:c>
      <x:c r="N434" s="8" t="n">
        <x:v>0</x:v>
      </x:c>
      <x:c r="O434" s="8" t="n">
        <x:v>244</x:v>
      </x:c>
      <x:c r="P434" s="8" t="n">
        <x:v>0</x:v>
      </x:c>
      <x:c r="Q434" s="8" t="n">
        <x:v>1</x:v>
      </x:c>
      <x:c r="R434" s="8" t="n">
        <x:v>0</x:v>
      </x:c>
      <x:c r="S434" s="8" t="n">
        <x:f>L434-I434^2/H434</x:f>
        <x:v>77.4375</x:v>
      </x:c>
      <x:c r="T434" s="8" t="n">
        <x:f>M434-J434^2/H434</x:f>
        <x:v>0</x:v>
      </x:c>
      <x:c r="U434" s="8" t="n">
        <x:f>N434-I434*J434/H434</x:f>
        <x:v>0</x:v>
      </x:c>
      <x:c r="V434" s="8" t="n">
        <x:f>O434-I434*K434/H434</x:f>
        <x:v>65.125</x:v>
      </x:c>
      <x:c r="W434" s="8" t="n">
        <x:f>P434-J434*K434/H434</x:f>
        <x:v>0</x:v>
      </x:c>
      <x:c r="X434" s="8" t="n">
        <x:f>V434/S434</x:f>
        <x:v>0.841000807102502</x:v>
      </x:c>
      <x:c r="Y434" s="8" t="n">
        <x:f>0</x:f>
        <x:v>0</x:v>
      </x:c>
      <x:c r="Z434" s="8" t="n">
        <x:f>K434/H434-X434*I434/H434-Y434*J434/H434</x:f>
        <x:v>0.589184826472962</x:v>
      </x:c>
      <x:c r="AA434" s="8" t="n">
        <x:f>Z434+X434*Q434+Y434*R434</x:f>
        <x:v>1.430185633575464</x:v>
      </x:c>
    </x:row>
    <x:row r="435" ht="26" customHeight="1">
      <x:c r="A435" s="2"/>
      <x:c r="B435" s="2" t="n">
        <x:v>430</x:v>
      </x:c>
      <x:c r="C435" s="2" t="str">
        <x:v>Health Care / price_contribution</x:v>
      </x:c>
      <x:c r="D435" s="2" t="str">
        <x:v>Broad market</x:v>
      </x:c>
      <x:c r="E435" s="7" t="n">
        <x:v>45838</x:v>
      </x:c>
      <x:c r="F435" s="2" t="str">
        <x:v>Pre-earnings</x:v>
      </x:c>
      <x:c r="G435" s="7" t="n">
        <x:v>45866</x:v>
      </x:c>
      <x:c r="H435" s="2" t="n">
        <x:v>17</x:v>
      </x:c>
      <x:c r="I435" s="8" t="n">
        <x:v>45.946708318435746</x:v>
      </x:c>
      <x:c r="J435" s="8" t="n">
        <x:v>0</x:v>
      </x:c>
      <x:c r="K435" s="8" t="n">
        <x:v>54</x:v>
      </x:c>
      <x:c r="L435" s="8" t="n">
        <x:v>256.58330205194005</x:v>
      </x:c>
      <x:c r="M435" s="8" t="n">
        <x:v>0</x:v>
      </x:c>
      <x:c r="N435" s="8" t="n">
        <x:v>0</x:v>
      </x:c>
      <x:c r="O435" s="8" t="n">
        <x:v>244.32014424368725</x:v>
      </x:c>
      <x:c r="P435" s="8" t="n">
        <x:v>0</x:v>
      </x:c>
      <x:c r="Q435" s="8" t="n">
        <x:v>0.5057825004843641</x:v>
      </x:c>
      <x:c r="R435" s="8" t="n">
        <x:v>0</x:v>
      </x:c>
      <x:c r="S435" s="8" t="n">
        <x:f>L435-I435^2/H435</x:f>
        <x:v>132.40094879903342</x:v>
      </x:c>
      <x:c r="T435" s="8" t="n">
        <x:f>M435-J435^2/H435</x:f>
        <x:v>0</x:v>
      </x:c>
      <x:c r="U435" s="8" t="n">
        <x:f>N435-I435*J435/H435</x:f>
        <x:v>0</x:v>
      </x:c>
      <x:c r="V435" s="8" t="n">
        <x:f>O435-I435*K435/H435</x:f>
        <x:v>98.37177664395017</x:v>
      </x:c>
      <x:c r="W435" s="8" t="n">
        <x:f>P435-J435*K435/H435</x:f>
        <x:v>0</x:v>
      </x:c>
      <x:c r="X435" s="8" t="n">
        <x:f>V435/S435</x:f>
        <x:v>0.7429839252380669</x:v>
      </x:c>
      <x:c r="Y435" s="8" t="n">
        <x:f>0</x:f>
        <x:v>0</x:v>
      </x:c>
      <x:c r="Z435" s="8" t="n">
        <x:f>K435/H435-X435*I435/H435-Y435*J435/H435</x:f>
        <x:v>1.1683726059882393</x:v>
      </x:c>
      <x:c r="AA435" s="8" t="n">
        <x:f>Z435+X435*Q435+Y435*R435</x:f>
        <x:v>1.5441608735148367</x:v>
      </x:c>
    </x:row>
    <x:row r="436" ht="26" customHeight="1">
      <x:c r="A436" s="2"/>
      <x:c r="B436" s="2" t="n">
        <x:v>431</x:v>
      </x:c>
      <x:c r="C436" s="2" t="str">
        <x:v>Health Care / price_contribution</x:v>
      </x:c>
      <x:c r="D436" s="2" t="str">
        <x:v>Broad lag 1</x:v>
      </x:c>
      <x:c r="E436" s="7" t="n">
        <x:v>45838</x:v>
      </x:c>
      <x:c r="F436" s="2" t="str">
        <x:v>Pre-earnings</x:v>
      </x:c>
      <x:c r="G436" s="7" t="n">
        <x:v>45866</x:v>
      </x:c>
      <x:c r="H436" s="2" t="n">
        <x:v>16</x:v>
      </x:c>
      <x:c r="I436" s="8" t="n">
        <x:v>45.710762120132856</x:v>
      </x:c>
      <x:c r="J436" s="8" t="n">
        <x:v>0</x:v>
      </x:c>
      <x:c r="K436" s="8" t="n">
        <x:v>54</x:v>
      </x:c>
      <x:c r="L436" s="8" t="n">
        <x:v>256.52763144344647</x:v>
      </x:c>
      <x:c r="M436" s="8" t="n">
        <x:v>0</x:v>
      </x:c>
      <x:c r="N436" s="8" t="n">
        <x:v>0</x:v>
      </x:c>
      <x:c r="O436" s="8" t="n">
        <x:v>231.5286435343459</x:v>
      </x:c>
      <x:c r="P436" s="8" t="n">
        <x:v>0</x:v>
      </x:c>
      <x:c r="Q436" s="8" t="n">
        <x:v>0.23594619830289432</x:v>
      </x:c>
      <x:c r="R436" s="8" t="n">
        <x:v>0</x:v>
      </x:c>
      <x:c r="S436" s="8" t="n">
        <x:f>L436-I436^2/H436</x:f>
        <x:v>125.93552059323568</x:v>
      </x:c>
      <x:c r="T436" s="8" t="n">
        <x:f>M436-J436^2/H436</x:f>
        <x:v>0</x:v>
      </x:c>
      <x:c r="U436" s="8" t="n">
        <x:f>N436-I436*J436/H436</x:f>
        <x:v>0</x:v>
      </x:c>
      <x:c r="V436" s="8" t="n">
        <x:f>O436-I436*K436/H436</x:f>
        <x:v>77.2548213788975</x:v>
      </x:c>
      <x:c r="W436" s="8" t="n">
        <x:f>P436-J436*K436/H436</x:f>
        <x:v>0</x:v>
      </x:c>
      <x:c r="X436" s="8" t="n">
        <x:f>V436/S436</x:f>
        <x:v>0.6134474294065614</x:v>
      </x:c>
      <x:c r="Y436" s="8" t="n">
        <x:f>0</x:f>
        <x:v>0</x:v>
      </x:c>
      <x:c r="Z436" s="8" t="n">
        <x:f>K436/H436-X436*I436/H436-Y436*J436/H436</x:f>
        <x:v>1.622428155074355</x:v>
      </x:c>
      <x:c r="AA436" s="8" t="n">
        <x:f>Z436+X436*Q436+Y436*R436</x:f>
        <x:v>1.7671687439015162</x:v>
      </x:c>
    </x:row>
    <x:row r="437" ht="26" customHeight="1">
      <x:c r="A437" s="2"/>
      <x:c r="B437" s="2" t="n">
        <x:v>432</x:v>
      </x:c>
      <x:c r="C437" s="2" t="str">
        <x:v>Health Care / price_contribution</x:v>
      </x:c>
      <x:c r="D437" s="2" t="str">
        <x:v>Broad rolling 8</x:v>
      </x:c>
      <x:c r="E437" s="7" t="n">
        <x:v>45838</x:v>
      </x:c>
      <x:c r="F437" s="2" t="str">
        <x:v>Pre-earnings</x:v>
      </x:c>
      <x:c r="G437" s="7" t="n">
        <x:v>45866</x:v>
      </x:c>
      <x:c r="H437" s="2" t="n">
        <x:v>8</x:v>
      </x:c>
      <x:c r="I437" s="8" t="n">
        <x:v>23.005916879315237</x:v>
      </x:c>
      <x:c r="J437" s="8" t="n">
        <x:v>0</x:v>
      </x:c>
      <x:c r="K437" s="8" t="n">
        <x:v>26</x:v>
      </x:c>
      <x:c r="L437" s="8" t="n">
        <x:v>114.01685107244576</x:v>
      </x:c>
      <x:c r="M437" s="8" t="n">
        <x:v>0</x:v>
      </x:c>
      <x:c r="N437" s="8" t="n">
        <x:v>0</x:v>
      </x:c>
      <x:c r="O437" s="8" t="n">
        <x:v>115.17906660905818</x:v>
      </x:c>
      <x:c r="P437" s="8" t="n">
        <x:v>0</x:v>
      </x:c>
      <x:c r="Q437" s="8" t="n">
        <x:v>0.5057825004843641</x:v>
      </x:c>
      <x:c r="R437" s="8" t="n">
        <x:v>0</x:v>
      </x:c>
      <x:c r="S437" s="8" t="n">
        <x:f>L437-I437^2/H437</x:f>
        <x:v>47.85782464020055</x:v>
      </x:c>
      <x:c r="T437" s="8" t="n">
        <x:f>M437-J437^2/H437</x:f>
        <x:v>0</x:v>
      </x:c>
      <x:c r="U437" s="8" t="n">
        <x:f>N437-I437*J437/H437</x:f>
        <x:v>0</x:v>
      </x:c>
      <x:c r="V437" s="8" t="n">
        <x:f>O437-I437*K437/H437</x:f>
        <x:v>40.40983675128366</x:v>
      </x:c>
      <x:c r="W437" s="8" t="n">
        <x:f>P437-J437*K437/H437</x:f>
        <x:v>0</x:v>
      </x:c>
      <x:c r="X437" s="8" t="n">
        <x:f>V437/S437</x:f>
        <x:v>0.8443726194219747</x:v>
      </x:c>
      <x:c r="Y437" s="8" t="n">
        <x:f>0</x:f>
        <x:v>0</x:v>
      </x:c>
      <x:c r="Z437" s="8" t="n">
        <x:f>K437/H437-X437*I437/H437-Y437*J437/H437</x:f>
        <x:v>0.8218042128010463</x:v>
      </x:c>
      <x:c r="AA437" s="8" t="n">
        <x:f>Z437+X437*Q437+Y437*R437</x:f>
        <x:v>1.248873107592825</x:v>
      </x:c>
    </x:row>
    <x:row r="438" ht="26" customHeight="1">
      <x:c r="A438" s="2"/>
      <x:c r="B438" s="2" t="n">
        <x:v>433</x:v>
      </x:c>
      <x:c r="C438" s="2" t="str">
        <x:v>Health Care / price_contribution</x:v>
      </x:c>
      <x:c r="D438" s="2" t="str">
        <x:v>Own history</x:v>
      </x:c>
      <x:c r="E438" s="7" t="n">
        <x:v>45838</x:v>
      </x:c>
      <x:c r="F438" s="2" t="str">
        <x:v>Pre-earnings</x:v>
      </x:c>
      <x:c r="G438" s="7" t="n">
        <x:v>45866</x:v>
      </x:c>
      <x:c r="H438" s="2" t="n">
        <x:v>16</x:v>
      </x:c>
      <x:c r="I438" s="8" t="n">
        <x:v>53</x:v>
      </x:c>
      <x:c r="J438" s="8" t="n">
        <x:v>0</x:v>
      </x:c>
      <x:c r="K438" s="8" t="n">
        <x:v>54</x:v>
      </x:c>
      <x:c r="L438" s="8" t="n">
        <x:v>253</x:v>
      </x:c>
      <x:c r="M438" s="8" t="n">
        <x:v>0</x:v>
      </x:c>
      <x:c r="N438" s="8" t="n">
        <x:v>0</x:v>
      </x:c>
      <x:c r="O438" s="8" t="n">
        <x:v>244</x:v>
      </x:c>
      <x:c r="P438" s="8" t="n">
        <x:v>0</x:v>
      </x:c>
      <x:c r="Q438" s="8" t="n">
        <x:v>1</x:v>
      </x:c>
      <x:c r="R438" s="8" t="n">
        <x:v>0</x:v>
      </x:c>
      <x:c r="S438" s="8" t="n">
        <x:f>L438-I438^2/H438</x:f>
        <x:v>77.4375</x:v>
      </x:c>
      <x:c r="T438" s="8" t="n">
        <x:f>M438-J438^2/H438</x:f>
        <x:v>0</x:v>
      </x:c>
      <x:c r="U438" s="8" t="n">
        <x:f>N438-I438*J438/H438</x:f>
        <x:v>0</x:v>
      </x:c>
      <x:c r="V438" s="8" t="n">
        <x:f>O438-I438*K438/H438</x:f>
        <x:v>65.125</x:v>
      </x:c>
      <x:c r="W438" s="8" t="n">
        <x:f>P438-J438*K438/H438</x:f>
        <x:v>0</x:v>
      </x:c>
      <x:c r="X438" s="8" t="n">
        <x:f>V438/S438</x:f>
        <x:v>0.841000807102502</x:v>
      </x:c>
      <x:c r="Y438" s="8" t="n">
        <x:f>0</x:f>
        <x:v>0</x:v>
      </x:c>
      <x:c r="Z438" s="8" t="n">
        <x:f>K438/H438-X438*I438/H438-Y438*J438/H438</x:f>
        <x:v>0.589184826472962</x:v>
      </x:c>
      <x:c r="AA438" s="8" t="n">
        <x:f>Z438+X438*Q438+Y438*R438</x:f>
        <x:v>1.430185633575464</x:v>
      </x:c>
    </x:row>
    <x:row r="439" ht="26" customHeight="1">
      <x:c r="A439" s="2"/>
      <x:c r="B439" s="2" t="n">
        <x:v>434</x:v>
      </x:c>
      <x:c r="C439" s="2" t="str">
        <x:v>Health Care / price_contribution</x:v>
      </x:c>
      <x:c r="D439" s="2" t="str">
        <x:v>Broad market</x:v>
      </x:c>
      <x:c r="E439" s="7" t="n">
        <x:v>45930</x:v>
      </x:c>
      <x:c r="F439" s="2" t="str">
        <x:v>Origin</x:v>
      </x:c>
      <x:c r="G439" s="7" t="n">
        <x:v>45839</x:v>
      </x:c>
      <x:c r="H439" s="2" t="n">
        <x:v>17</x:v>
      </x:c>
      <x:c r="I439" s="8" t="n">
        <x:v>45.946708318435746</x:v>
      </x:c>
      <x:c r="J439" s="8" t="n">
        <x:v>0</x:v>
      </x:c>
      <x:c r="K439" s="8" t="n">
        <x:v>54</x:v>
      </x:c>
      <x:c r="L439" s="8" t="n">
        <x:v>256.58330205194005</x:v>
      </x:c>
      <x:c r="M439" s="8" t="n">
        <x:v>0</x:v>
      </x:c>
      <x:c r="N439" s="8" t="n">
        <x:v>0</x:v>
      </x:c>
      <x:c r="O439" s="8" t="n">
        <x:v>244.32014424368725</x:v>
      </x:c>
      <x:c r="P439" s="8" t="n">
        <x:v>0</x:v>
      </x:c>
      <x:c r="Q439" s="8" t="n">
        <x:v>0.2991645223175299</x:v>
      </x:c>
      <x:c r="R439" s="8" t="n">
        <x:v>0</x:v>
      </x:c>
      <x:c r="S439" s="8" t="n">
        <x:f>L439-I439^2/H439</x:f>
        <x:v>132.40094879903342</x:v>
      </x:c>
      <x:c r="T439" s="8" t="n">
        <x:f>M439-J439^2/H439</x:f>
        <x:v>0</x:v>
      </x:c>
      <x:c r="U439" s="8" t="n">
        <x:f>N439-I439*J439/H439</x:f>
        <x:v>0</x:v>
      </x:c>
      <x:c r="V439" s="8" t="n">
        <x:f>O439-I439*K439/H439</x:f>
        <x:v>98.37177664395017</x:v>
      </x:c>
      <x:c r="W439" s="8" t="n">
        <x:f>P439-J439*K439/H439</x:f>
        <x:v>0</x:v>
      </x:c>
      <x:c r="X439" s="8" t="n">
        <x:f>V439/S439</x:f>
        <x:v>0.7429839252380669</x:v>
      </x:c>
      <x:c r="Y439" s="8" t="n">
        <x:f>0</x:f>
        <x:v>0</x:v>
      </x:c>
      <x:c r="Z439" s="8" t="n">
        <x:f>K439/H439-X439*I439/H439-Y439*J439/H439</x:f>
        <x:v>1.1683726059882393</x:v>
      </x:c>
      <x:c r="AA439" s="8" t="n">
        <x:f>Z439+X439*Q439+Y439*R439</x:f>
        <x:v>1.390647037071689</x:v>
      </x:c>
    </x:row>
    <x:row r="440" ht="26" customHeight="1">
      <x:c r="A440" s="2"/>
      <x:c r="B440" s="2" t="n">
        <x:v>435</x:v>
      </x:c>
      <x:c r="C440" s="2" t="str">
        <x:v>Health Care / price_contribution</x:v>
      </x:c>
      <x:c r="D440" s="2" t="str">
        <x:v>Broad rolling 8</x:v>
      </x:c>
      <x:c r="E440" s="7" t="n">
        <x:v>45930</x:v>
      </x:c>
      <x:c r="F440" s="2" t="str">
        <x:v>Origin</x:v>
      </x:c>
      <x:c r="G440" s="7" t="n">
        <x:v>45839</x:v>
      </x:c>
      <x:c r="H440" s="2" t="n">
        <x:v>8</x:v>
      </x:c>
      <x:c r="I440" s="8" t="n">
        <x:v>23.005916879315237</x:v>
      </x:c>
      <x:c r="J440" s="8" t="n">
        <x:v>0</x:v>
      </x:c>
      <x:c r="K440" s="8" t="n">
        <x:v>26</x:v>
      </x:c>
      <x:c r="L440" s="8" t="n">
        <x:v>114.01685107244576</x:v>
      </x:c>
      <x:c r="M440" s="8" t="n">
        <x:v>0</x:v>
      </x:c>
      <x:c r="N440" s="8" t="n">
        <x:v>0</x:v>
      </x:c>
      <x:c r="O440" s="8" t="n">
        <x:v>115.17906660905818</x:v>
      </x:c>
      <x:c r="P440" s="8" t="n">
        <x:v>0</x:v>
      </x:c>
      <x:c r="Q440" s="8" t="n">
        <x:v>0.2991645223175299</x:v>
      </x:c>
      <x:c r="R440" s="8" t="n">
        <x:v>0</x:v>
      </x:c>
      <x:c r="S440" s="8" t="n">
        <x:f>L440-I440^2/H440</x:f>
        <x:v>47.85782464020055</x:v>
      </x:c>
      <x:c r="T440" s="8" t="n">
        <x:f>M440-J440^2/H440</x:f>
        <x:v>0</x:v>
      </x:c>
      <x:c r="U440" s="8" t="n">
        <x:f>N440-I440*J440/H440</x:f>
        <x:v>0</x:v>
      </x:c>
      <x:c r="V440" s="8" t="n">
        <x:f>O440-I440*K440/H440</x:f>
        <x:v>40.40983675128366</x:v>
      </x:c>
      <x:c r="W440" s="8" t="n">
        <x:f>P440-J440*K440/H440</x:f>
        <x:v>0</x:v>
      </x:c>
      <x:c r="X440" s="8" t="n">
        <x:f>V440/S440</x:f>
        <x:v>0.8443726194219747</x:v>
      </x:c>
      <x:c r="Y440" s="8" t="n">
        <x:f>0</x:f>
        <x:v>0</x:v>
      </x:c>
      <x:c r="Z440" s="8" t="n">
        <x:f>K440/H440-X440*I440/H440-Y440*J440/H440</x:f>
        <x:v>0.8218042128010463</x:v>
      </x:c>
      <x:c r="AA440" s="8" t="n">
        <x:f>Z440+X440*Q440+Y440*R440</x:f>
        <x:v>1.0744105441484229</x:v>
      </x:c>
    </x:row>
    <x:row r="441" ht="26" customHeight="1">
      <x:c r="A441" s="2"/>
      <x:c r="B441" s="2" t="n">
        <x:v>436</x:v>
      </x:c>
      <x:c r="C441" s="2" t="str">
        <x:v>Health Care / price_contribution</x:v>
      </x:c>
      <x:c r="D441" s="2" t="str">
        <x:v>Own history</x:v>
      </x:c>
      <x:c r="E441" s="7" t="n">
        <x:v>45930</x:v>
      </x:c>
      <x:c r="F441" s="2" t="str">
        <x:v>Origin</x:v>
      </x:c>
      <x:c r="G441" s="7" t="n">
        <x:v>45839</x:v>
      </x:c>
      <x:c r="H441" s="2" t="n">
        <x:v>15</x:v>
      </x:c>
      <x:c r="I441" s="8" t="n">
        <x:v>52</x:v>
      </x:c>
      <x:c r="J441" s="8" t="n">
        <x:v>0</x:v>
      </x:c>
      <x:c r="K441" s="8" t="n">
        <x:v>53</x:v>
      </x:c>
      <x:c r="L441" s="8" t="n">
        <x:v>252</x:v>
      </x:c>
      <x:c r="M441" s="8" t="n">
        <x:v>0</x:v>
      </x:c>
      <x:c r="N441" s="8" t="n">
        <x:v>0</x:v>
      </x:c>
      <x:c r="O441" s="8" t="n">
        <x:v>225</x:v>
      </x:c>
      <x:c r="P441" s="8" t="n">
        <x:v>0</x:v>
      </x:c>
      <x:c r="Q441" s="8" t="n">
        <x:v>1</x:v>
      </x:c>
      <x:c r="R441" s="8" t="n">
        <x:v>0</x:v>
      </x:c>
      <x:c r="S441" s="8" t="n">
        <x:f>L441-I441^2/H441</x:f>
        <x:v>71.73333333333332</x:v>
      </x:c>
      <x:c r="T441" s="8" t="n">
        <x:f>M441-J441^2/H441</x:f>
        <x:v>0</x:v>
      </x:c>
      <x:c r="U441" s="8" t="n">
        <x:f>N441-I441*J441/H441</x:f>
        <x:v>0</x:v>
      </x:c>
      <x:c r="V441" s="8" t="n">
        <x:f>O441-I441*K441/H441</x:f>
        <x:v>41.26666666666668</x:v>
      </x:c>
      <x:c r="W441" s="8" t="n">
        <x:f>P441-J441*K441/H441</x:f>
        <x:v>0</x:v>
      </x:c>
      <x:c r="X441" s="8" t="n">
        <x:f>V441/S441</x:f>
        <x:v>0.5752788104089223</x:v>
      </x:c>
      <x:c r="Y441" s="8" t="n">
        <x:f>0</x:f>
        <x:v>0</x:v>
      </x:c>
      <x:c r="Z441" s="8" t="n">
        <x:f>K441/H441-X441*I441/H441-Y441*J441/H441</x:f>
        <x:v>1.5390334572490694</x:v>
      </x:c>
      <x:c r="AA441" s="8" t="n">
        <x:f>Z441+X441*Q441+Y441*R441</x:f>
        <x:v>2.1143122676579917</x:v>
      </x:c>
    </x:row>
    <x:row r="442" ht="26" customHeight="1">
      <x:c r="A442" s="2"/>
      <x:c r="B442" s="2" t="n">
        <x:v>437</x:v>
      </x:c>
      <x:c r="C442" s="2" t="str">
        <x:v>Health Care / price_contribution</x:v>
      </x:c>
      <x:c r="D442" s="2" t="str">
        <x:v>Broad market</x:v>
      </x:c>
      <x:c r="E442" s="7" t="n">
        <x:v>45930</x:v>
      </x:c>
      <x:c r="F442" s="2" t="str">
        <x:v>Prior report</x:v>
      </x:c>
      <x:c r="G442" s="7" t="n">
        <x:v>45867</x:v>
      </x:c>
      <x:c r="H442" s="2" t="n">
        <x:v>18</x:v>
      </x:c>
      <x:c r="I442" s="8" t="n">
        <x:v>46.45249081892011</x:v>
      </x:c>
      <x:c r="J442" s="8" t="n">
        <x:v>0</x:v>
      </x:c>
      <x:c r="K442" s="8" t="n">
        <x:v>55</x:v>
      </x:c>
      <x:c r="L442" s="8" t="n">
        <x:v>256.8391179897363</x:v>
      </x:c>
      <x:c r="M442" s="8" t="n">
        <x:v>0</x:v>
      </x:c>
      <x:c r="N442" s="8" t="n">
        <x:v>0</x:v>
      </x:c>
      <x:c r="O442" s="8" t="n">
        <x:v>244.82592674417162</x:v>
      </x:c>
      <x:c r="P442" s="8" t="n">
        <x:v>0</x:v>
      </x:c>
      <x:c r="Q442" s="8" t="n">
        <x:v>0.5059057213634421</x:v>
      </x:c>
      <x:c r="R442" s="8" t="n">
        <x:v>0</x:v>
      </x:c>
      <x:c r="S442" s="8" t="n">
        <x:f>L442-I442^2/H442</x:f>
        <x:v>136.95945669629975</x:v>
      </x:c>
      <x:c r="T442" s="8" t="n">
        <x:f>M442-J442^2/H442</x:f>
        <x:v>0</x:v>
      </x:c>
      <x:c r="U442" s="8" t="n">
        <x:f>N442-I442*J442/H442</x:f>
        <x:v>0</x:v>
      </x:c>
      <x:c r="V442" s="8" t="n">
        <x:f>O442-I442*K442/H442</x:f>
        <x:v>102.88776035302683</x:v>
      </x:c>
      <x:c r="W442" s="8" t="n">
        <x:f>P442-J442*K442/H442</x:f>
        <x:v>0</x:v>
      </x:c>
      <x:c r="X442" s="8" t="n">
        <x:f>V442/S442</x:f>
        <x:v>0.7512278657849448</x:v>
      </x:c>
      <x:c r="Y442" s="8" t="n">
        <x:f>0</x:f>
        <x:v>0</x:v>
      </x:c>
      <x:c r="Z442" s="8" t="n">
        <x:f>K442/H442-X442*I442/H442-Y442*J442/H442</x:f>
        <x:v>1.116866358983772</x:v>
      </x:c>
      <x:c r="AA442" s="8" t="n">
        <x:f>Z442+X442*Q442+Y442*R442</x:f>
        <x:v>1.4969168343320236</x:v>
      </x:c>
    </x:row>
    <x:row r="443" ht="26" customHeight="1">
      <x:c r="A443" s="2"/>
      <x:c r="B443" s="2" t="n">
        <x:v>438</x:v>
      </x:c>
      <x:c r="C443" s="2" t="str">
        <x:v>Health Care / price_contribution</x:v>
      </x:c>
      <x:c r="D443" s="2" t="str">
        <x:v>Broad lag 1</x:v>
      </x:c>
      <x:c r="E443" s="7" t="n">
        <x:v>45930</x:v>
      </x:c>
      <x:c r="F443" s="2" t="str">
        <x:v>Prior report</x:v>
      </x:c>
      <x:c r="G443" s="7" t="n">
        <x:v>45867</x:v>
      </x:c>
      <x:c r="H443" s="2" t="n">
        <x:v>17</x:v>
      </x:c>
      <x:c r="I443" s="8" t="n">
        <x:v>45.946708318435746</x:v>
      </x:c>
      <x:c r="J443" s="8" t="n">
        <x:v>0</x:v>
      </x:c>
      <x:c r="K443" s="8" t="n">
        <x:v>55</x:v>
      </x:c>
      <x:c r="L443" s="8" t="n">
        <x:v>256.58330205194005</x:v>
      </x:c>
      <x:c r="M443" s="8" t="n">
        <x:v>0</x:v>
      </x:c>
      <x:c r="N443" s="8" t="n">
        <x:v>0</x:v>
      </x:c>
      <x:c r="O443" s="8" t="n">
        <x:v>231.7645897326488</x:v>
      </x:c>
      <x:c r="P443" s="8" t="n">
        <x:v>0</x:v>
      </x:c>
      <x:c r="Q443" s="8" t="n">
        <x:v>0.5057825004843641</x:v>
      </x:c>
      <x:c r="R443" s="8" t="n">
        <x:v>0</x:v>
      </x:c>
      <x:c r="S443" s="8" t="n">
        <x:f>L443-I443^2/H443</x:f>
        <x:v>132.40094879903342</x:v>
      </x:c>
      <x:c r="T443" s="8" t="n">
        <x:f>M443-J443^2/H443</x:f>
        <x:v>0</x:v>
      </x:c>
      <x:c r="U443" s="8" t="n">
        <x:f>N443-I443*J443/H443</x:f>
        <x:v>0</x:v>
      </x:c>
      <x:c r="V443" s="8" t="n">
        <x:f>O443-I443*K443/H443</x:f>
        <x:v>83.11347458476845</x:v>
      </x:c>
      <x:c r="W443" s="8" t="n">
        <x:f>P443-J443*K443/H443</x:f>
        <x:v>0</x:v>
      </x:c>
      <x:c r="X443" s="8" t="n">
        <x:f>V443/S443</x:f>
        <x:v>0.6277407778317614</x:v>
      </x:c>
      <x:c r="Y443" s="8" t="n">
        <x:f>0</x:f>
        <x:v>0</x:v>
      </x:c>
      <x:c r="Z443" s="8" t="n">
        <x:f>K443/H443-X443*I443/H443-Y443*J443/H443</x:f>
        <x:v>1.5386692694927107</x:v>
      </x:c>
      <x:c r="AA443" s="8" t="n">
        <x:f>Z443+X443*Q443+Y443*R443</x:f>
        <x:v>1.8561695697604588</x:v>
      </x:c>
    </x:row>
    <x:row r="444" ht="26" customHeight="1">
      <x:c r="A444" s="2"/>
      <x:c r="B444" s="2" t="n">
        <x:v>439</x:v>
      </x:c>
      <x:c r="C444" s="2" t="str">
        <x:v>Health Care / price_contribution</x:v>
      </x:c>
      <x:c r="D444" s="2" t="str">
        <x:v>Broad rolling 8</x:v>
      </x:c>
      <x:c r="E444" s="7" t="n">
        <x:v>45930</x:v>
      </x:c>
      <x:c r="F444" s="2" t="str">
        <x:v>Prior report</x:v>
      </x:c>
      <x:c r="G444" s="7" t="n">
        <x:v>45867</x:v>
      </x:c>
      <x:c r="H444" s="2" t="n">
        <x:v>8</x:v>
      </x:c>
      <x:c r="I444" s="8" t="n">
        <x:v>16.45347214762054</x:v>
      </x:c>
      <x:c r="J444" s="8" t="n">
        <x:v>0</x:v>
      </x:c>
      <x:c r="K444" s="8" t="n">
        <x:v>21</x:v>
      </x:c>
      <x:c r="L444" s="8" t="n">
        <x:v>64.45409534916791</x:v>
      </x:c>
      <x:c r="M444" s="8" t="n">
        <x:v>0</x:v>
      </x:c>
      <x:c r="N444" s="8" t="n">
        <x:v>0</x:v>
      </x:c>
      <x:c r="O444" s="8" t="n">
        <x:v>73.3354857164682</x:v>
      </x:c>
      <x:c r="P444" s="8" t="n">
        <x:v>0</x:v>
      </x:c>
      <x:c r="Q444" s="8" t="n">
        <x:v>0.5059057213634421</x:v>
      </x:c>
      <x:c r="R444" s="8" t="n">
        <x:v>0</x:v>
      </x:c>
      <x:c r="S444" s="8" t="n">
        <x:f>L444-I444^2/H444</x:f>
        <x:v>30.6145021351023</x:v>
      </x:c>
      <x:c r="T444" s="8" t="n">
        <x:f>M444-J444^2/H444</x:f>
        <x:v>0</x:v>
      </x:c>
      <x:c r="U444" s="8" t="n">
        <x:f>N444-I444*J444/H444</x:f>
        <x:v>0</x:v>
      </x:c>
      <x:c r="V444" s="8" t="n">
        <x:f>O444-I444*K444/H444</x:f>
        <x:v>30.14512132896428</x:v>
      </x:c>
      <x:c r="W444" s="8" t="n">
        <x:f>P444-J444*K444/H444</x:f>
        <x:v>0</x:v>
      </x:c>
      <x:c r="X444" s="8" t="n">
        <x:f>V444/S444</x:f>
        <x:v>0.9846680241910636</x:v>
      </x:c>
      <x:c r="Y444" s="8" t="n">
        <x:f>0</x:f>
        <x:v>0</x:v>
      </x:c>
      <x:c r="Z444" s="8" t="n">
        <x:f>K444/H444-X444*I444/H444-Y444*J444/H444</x:f>
        <x:v>0.5998490111649732</x:v>
      </x:c>
      <x:c r="AA444" s="8" t="n">
        <x:f>Z444+X444*Q444+Y444*R444</x:f>
        <x:v>1.0979981982468685</x:v>
      </x:c>
    </x:row>
    <x:row r="445" ht="26" customHeight="1">
      <x:c r="A445" s="2"/>
      <x:c r="B445" s="2" t="n">
        <x:v>440</x:v>
      </x:c>
      <x:c r="C445" s="2" t="str">
        <x:v>Health Care / price_contribution</x:v>
      </x:c>
      <x:c r="D445" s="2" t="str">
        <x:v>Own history</x:v>
      </x:c>
      <x:c r="E445" s="7" t="n">
        <x:v>45930</x:v>
      </x:c>
      <x:c r="F445" s="2" t="str">
        <x:v>Prior report</x:v>
      </x:c>
      <x:c r="G445" s="7" t="n">
        <x:v>45867</x:v>
      </x:c>
      <x:c r="H445" s="2" t="n">
        <x:v>17</x:v>
      </x:c>
      <x:c r="I445" s="8" t="n">
        <x:v>54</x:v>
      </x:c>
      <x:c r="J445" s="8" t="n">
        <x:v>0</x:v>
      </x:c>
      <x:c r="K445" s="8" t="n">
        <x:v>55</x:v>
      </x:c>
      <x:c r="L445" s="8" t="n">
        <x:v>254</x:v>
      </x:c>
      <x:c r="M445" s="8" t="n">
        <x:v>0</x:v>
      </x:c>
      <x:c r="N445" s="8" t="n">
        <x:v>0</x:v>
      </x:c>
      <x:c r="O445" s="8" t="n">
        <x:v>245</x:v>
      </x:c>
      <x:c r="P445" s="8" t="n">
        <x:v>0</x:v>
      </x:c>
      <x:c r="Q445" s="8" t="n">
        <x:v>1</x:v>
      </x:c>
      <x:c r="R445" s="8" t="n">
        <x:v>0</x:v>
      </x:c>
      <x:c r="S445" s="8" t="n">
        <x:f>L445-I445^2/H445</x:f>
        <x:v>82.47058823529412</x:v>
      </x:c>
      <x:c r="T445" s="8" t="n">
        <x:f>M445-J445^2/H445</x:f>
        <x:v>0</x:v>
      </x:c>
      <x:c r="U445" s="8" t="n">
        <x:f>N445-I445*J445/H445</x:f>
        <x:v>0</x:v>
      </x:c>
      <x:c r="V445" s="8" t="n">
        <x:f>O445-I445*K445/H445</x:f>
        <x:v>70.29411764705881</x:v>
      </x:c>
      <x:c r="W445" s="8" t="n">
        <x:f>P445-J445*K445/H445</x:f>
        <x:v>0</x:v>
      </x:c>
      <x:c r="X445" s="8" t="n">
        <x:f>V445/S445</x:f>
        <x:v>0.8523537803138372</x:v>
      </x:c>
      <x:c r="Y445" s="8" t="n">
        <x:f>0</x:f>
        <x:v>0</x:v>
      </x:c>
      <x:c r="Z445" s="8" t="n">
        <x:f>K445/H445-X445*I445/H445-Y445*J445/H445</x:f>
        <x:v>0.5278174037089878</x:v>
      </x:c>
      <x:c r="AA445" s="8" t="n">
        <x:f>Z445+X445*Q445+Y445*R445</x:f>
        <x:v>1.380171184022825</x:v>
      </x:c>
    </x:row>
    <x:row r="446" ht="26" customHeight="1">
      <x:c r="A446" s="2"/>
      <x:c r="B446" s="2" t="n">
        <x:v>441</x:v>
      </x:c>
      <x:c r="C446" s="2" t="str">
        <x:v>Health Care / price_contribution</x:v>
      </x:c>
      <x:c r="D446" s="2" t="str">
        <x:v>Broad market</x:v>
      </x:c>
      <x:c r="E446" s="7" t="n">
        <x:v>45930</x:v>
      </x:c>
      <x:c r="F446" s="2" t="str">
        <x:v>Pre-earnings</x:v>
      </x:c>
      <x:c r="G446" s="7" t="n">
        <x:v>45953</x:v>
      </x:c>
      <x:c r="H446" s="2" t="n">
        <x:v>18</x:v>
      </x:c>
      <x:c r="I446" s="8" t="n">
        <x:v>46.45249081892011</x:v>
      </x:c>
      <x:c r="J446" s="8" t="n">
        <x:v>0</x:v>
      </x:c>
      <x:c r="K446" s="8" t="n">
        <x:v>55</x:v>
      </x:c>
      <x:c r="L446" s="8" t="n">
        <x:v>256.8391179897363</x:v>
      </x:c>
      <x:c r="M446" s="8" t="n">
        <x:v>0</x:v>
      </x:c>
      <x:c r="N446" s="8" t="n">
        <x:v>0</x:v>
      </x:c>
      <x:c r="O446" s="8" t="n">
        <x:v>244.82592674417162</x:v>
      </x:c>
      <x:c r="P446" s="8" t="n">
        <x:v>0</x:v>
      </x:c>
      <x:c r="Q446" s="8" t="n">
        <x:v>0.7549675714320525</x:v>
      </x:c>
      <x:c r="R446" s="8" t="n">
        <x:v>0</x:v>
      </x:c>
      <x:c r="S446" s="8" t="n">
        <x:f>L446-I446^2/H446</x:f>
        <x:v>136.95945669629975</x:v>
      </x:c>
      <x:c r="T446" s="8" t="n">
        <x:f>M446-J446^2/H446</x:f>
        <x:v>0</x:v>
      </x:c>
      <x:c r="U446" s="8" t="n">
        <x:f>N446-I446*J446/H446</x:f>
        <x:v>0</x:v>
      </x:c>
      <x:c r="V446" s="8" t="n">
        <x:f>O446-I446*K446/H446</x:f>
        <x:v>102.88776035302683</x:v>
      </x:c>
      <x:c r="W446" s="8" t="n">
        <x:f>P446-J446*K446/H446</x:f>
        <x:v>0</x:v>
      </x:c>
      <x:c r="X446" s="8" t="n">
        <x:f>V446/S446</x:f>
        <x:v>0.7512278657849448</x:v>
      </x:c>
      <x:c r="Y446" s="8" t="n">
        <x:f>0</x:f>
        <x:v>0</x:v>
      </x:c>
      <x:c r="Z446" s="8" t="n">
        <x:f>K446/H446-X446*I446/H446-Y446*J446/H446</x:f>
        <x:v>1.116866358983772</x:v>
      </x:c>
      <x:c r="AA446" s="8" t="n">
        <x:f>Z446+X446*Q446+Y446*R446</x:f>
        <x:v>1.6840190364075156</x:v>
      </x:c>
    </x:row>
    <x:row r="447" ht="26" customHeight="1">
      <x:c r="A447" s="2"/>
      <x:c r="B447" s="2" t="n">
        <x:v>442</x:v>
      </x:c>
      <x:c r="C447" s="2" t="str">
        <x:v>Health Care / price_contribution</x:v>
      </x:c>
      <x:c r="D447" s="2" t="str">
        <x:v>Broad lag 1</x:v>
      </x:c>
      <x:c r="E447" s="7" t="n">
        <x:v>45930</x:v>
      </x:c>
      <x:c r="F447" s="2" t="str">
        <x:v>Pre-earnings</x:v>
      </x:c>
      <x:c r="G447" s="7" t="n">
        <x:v>45953</x:v>
      </x:c>
      <x:c r="H447" s="2" t="n">
        <x:v>17</x:v>
      </x:c>
      <x:c r="I447" s="8" t="n">
        <x:v>45.946708318435746</x:v>
      </x:c>
      <x:c r="J447" s="8" t="n">
        <x:v>0</x:v>
      </x:c>
      <x:c r="K447" s="8" t="n">
        <x:v>55</x:v>
      </x:c>
      <x:c r="L447" s="8" t="n">
        <x:v>256.58330205194005</x:v>
      </x:c>
      <x:c r="M447" s="8" t="n">
        <x:v>0</x:v>
      </x:c>
      <x:c r="N447" s="8" t="n">
        <x:v>0</x:v>
      </x:c>
      <x:c r="O447" s="8" t="n">
        <x:v>231.7645897326488</x:v>
      </x:c>
      <x:c r="P447" s="8" t="n">
        <x:v>0</x:v>
      </x:c>
      <x:c r="Q447" s="8" t="n">
        <x:v>0.5057825004843641</x:v>
      </x:c>
      <x:c r="R447" s="8" t="n">
        <x:v>0</x:v>
      </x:c>
      <x:c r="S447" s="8" t="n">
        <x:f>L447-I447^2/H447</x:f>
        <x:v>132.40094879903342</x:v>
      </x:c>
      <x:c r="T447" s="8" t="n">
        <x:f>M447-J447^2/H447</x:f>
        <x:v>0</x:v>
      </x:c>
      <x:c r="U447" s="8" t="n">
        <x:f>N447-I447*J447/H447</x:f>
        <x:v>0</x:v>
      </x:c>
      <x:c r="V447" s="8" t="n">
        <x:f>O447-I447*K447/H447</x:f>
        <x:v>83.11347458476845</x:v>
      </x:c>
      <x:c r="W447" s="8" t="n">
        <x:f>P447-J447*K447/H447</x:f>
        <x:v>0</x:v>
      </x:c>
      <x:c r="X447" s="8" t="n">
        <x:f>V447/S447</x:f>
        <x:v>0.6277407778317614</x:v>
      </x:c>
      <x:c r="Y447" s="8" t="n">
        <x:f>0</x:f>
        <x:v>0</x:v>
      </x:c>
      <x:c r="Z447" s="8" t="n">
        <x:f>K447/H447-X447*I447/H447-Y447*J447/H447</x:f>
        <x:v>1.5386692694927107</x:v>
      </x:c>
      <x:c r="AA447" s="8" t="n">
        <x:f>Z447+X447*Q447+Y447*R447</x:f>
        <x:v>1.8561695697604588</x:v>
      </x:c>
    </x:row>
    <x:row r="448" ht="26" customHeight="1">
      <x:c r="A448" s="2"/>
      <x:c r="B448" s="2" t="n">
        <x:v>443</x:v>
      </x:c>
      <x:c r="C448" s="2" t="str">
        <x:v>Health Care / price_contribution</x:v>
      </x:c>
      <x:c r="D448" s="2" t="str">
        <x:v>Broad rolling 8</x:v>
      </x:c>
      <x:c r="E448" s="7" t="n">
        <x:v>45930</x:v>
      </x:c>
      <x:c r="F448" s="2" t="str">
        <x:v>Pre-earnings</x:v>
      </x:c>
      <x:c r="G448" s="7" t="n">
        <x:v>45953</x:v>
      </x:c>
      <x:c r="H448" s="2" t="n">
        <x:v>8</x:v>
      </x:c>
      <x:c r="I448" s="8" t="n">
        <x:v>16.45347214762054</x:v>
      </x:c>
      <x:c r="J448" s="8" t="n">
        <x:v>0</x:v>
      </x:c>
      <x:c r="K448" s="8" t="n">
        <x:v>21</x:v>
      </x:c>
      <x:c r="L448" s="8" t="n">
        <x:v>64.45409534916791</x:v>
      </x:c>
      <x:c r="M448" s="8" t="n">
        <x:v>0</x:v>
      </x:c>
      <x:c r="N448" s="8" t="n">
        <x:v>0</x:v>
      </x:c>
      <x:c r="O448" s="8" t="n">
        <x:v>73.3354857164682</x:v>
      </x:c>
      <x:c r="P448" s="8" t="n">
        <x:v>0</x:v>
      </x:c>
      <x:c r="Q448" s="8" t="n">
        <x:v>0.7549675714320525</x:v>
      </x:c>
      <x:c r="R448" s="8" t="n">
        <x:v>0</x:v>
      </x:c>
      <x:c r="S448" s="8" t="n">
        <x:f>L448-I448^2/H448</x:f>
        <x:v>30.6145021351023</x:v>
      </x:c>
      <x:c r="T448" s="8" t="n">
        <x:f>M448-J448^2/H448</x:f>
        <x:v>0</x:v>
      </x:c>
      <x:c r="U448" s="8" t="n">
        <x:f>N448-I448*J448/H448</x:f>
        <x:v>0</x:v>
      </x:c>
      <x:c r="V448" s="8" t="n">
        <x:f>O448-I448*K448/H448</x:f>
        <x:v>30.14512132896428</x:v>
      </x:c>
      <x:c r="W448" s="8" t="n">
        <x:f>P448-J448*K448/H448</x:f>
        <x:v>0</x:v>
      </x:c>
      <x:c r="X448" s="8" t="n">
        <x:f>V448/S448</x:f>
        <x:v>0.9846680241910636</x:v>
      </x:c>
      <x:c r="Y448" s="8" t="n">
        <x:f>0</x:f>
        <x:v>0</x:v>
      </x:c>
      <x:c r="Z448" s="8" t="n">
        <x:f>K448/H448-X448*I448/H448-Y448*J448/H448</x:f>
        <x:v>0.5998490111649732</x:v>
      </x:c>
      <x:c r="AA448" s="8" t="n">
        <x:f>Z448+X448*Q448+Y448*R448</x:f>
        <x:v>1.3432414380552982</x:v>
      </x:c>
    </x:row>
    <x:row r="449" ht="26" customHeight="1">
      <x:c r="A449" s="2"/>
      <x:c r="B449" s="2" t="n">
        <x:v>444</x:v>
      </x:c>
      <x:c r="C449" s="2" t="str">
        <x:v>Health Care / price_contribution</x:v>
      </x:c>
      <x:c r="D449" s="2" t="str">
        <x:v>Own history</x:v>
      </x:c>
      <x:c r="E449" s="7" t="n">
        <x:v>45930</x:v>
      </x:c>
      <x:c r="F449" s="2" t="str">
        <x:v>Pre-earnings</x:v>
      </x:c>
      <x:c r="G449" s="7" t="n">
        <x:v>45953</x:v>
      </x:c>
      <x:c r="H449" s="2" t="n">
        <x:v>17</x:v>
      </x:c>
      <x:c r="I449" s="8" t="n">
        <x:v>54</x:v>
      </x:c>
      <x:c r="J449" s="8" t="n">
        <x:v>0</x:v>
      </x:c>
      <x:c r="K449" s="8" t="n">
        <x:v>55</x:v>
      </x:c>
      <x:c r="L449" s="8" t="n">
        <x:v>254</x:v>
      </x:c>
      <x:c r="M449" s="8" t="n">
        <x:v>0</x:v>
      </x:c>
      <x:c r="N449" s="8" t="n">
        <x:v>0</x:v>
      </x:c>
      <x:c r="O449" s="8" t="n">
        <x:v>245</x:v>
      </x:c>
      <x:c r="P449" s="8" t="n">
        <x:v>0</x:v>
      </x:c>
      <x:c r="Q449" s="8" t="n">
        <x:v>1</x:v>
      </x:c>
      <x:c r="R449" s="8" t="n">
        <x:v>0</x:v>
      </x:c>
      <x:c r="S449" s="8" t="n">
        <x:f>L449-I449^2/H449</x:f>
        <x:v>82.47058823529412</x:v>
      </x:c>
      <x:c r="T449" s="8" t="n">
        <x:f>M449-J449^2/H449</x:f>
        <x:v>0</x:v>
      </x:c>
      <x:c r="U449" s="8" t="n">
        <x:f>N449-I449*J449/H449</x:f>
        <x:v>0</x:v>
      </x:c>
      <x:c r="V449" s="8" t="n">
        <x:f>O449-I449*K449/H449</x:f>
        <x:v>70.29411764705881</x:v>
      </x:c>
      <x:c r="W449" s="8" t="n">
        <x:f>P449-J449*K449/H449</x:f>
        <x:v>0</x:v>
      </x:c>
      <x:c r="X449" s="8" t="n">
        <x:f>V449/S449</x:f>
        <x:v>0.8523537803138372</x:v>
      </x:c>
      <x:c r="Y449" s="8" t="n">
        <x:f>0</x:f>
        <x:v>0</x:v>
      </x:c>
      <x:c r="Z449" s="8" t="n">
        <x:f>K449/H449-X449*I449/H449-Y449*J449/H449</x:f>
        <x:v>0.5278174037089878</x:v>
      </x:c>
      <x:c r="AA449" s="8" t="n">
        <x:f>Z449+X449*Q449+Y449*R449</x:f>
        <x:v>1.380171184022825</x:v>
      </x:c>
    </x:row>
    <x:row r="450" ht="26" customHeight="1">
      <x:c r="A450" s="2"/>
      <x:c r="B450" s="2" t="n">
        <x:v>445</x:v>
      </x:c>
      <x:c r="C450" s="2" t="str">
        <x:v>Health Care / price_contribution</x:v>
      </x:c>
      <x:c r="D450" s="2" t="str">
        <x:v>Broad market</x:v>
      </x:c>
      <x:c r="E450" s="7" t="n">
        <x:v>46022</x:v>
      </x:c>
      <x:c r="F450" s="2" t="str">
        <x:v>Origin</x:v>
      </x:c>
      <x:c r="G450" s="7" t="n">
        <x:v>45931</x:v>
      </x:c>
      <x:c r="H450" s="2" t="n">
        <x:v>18</x:v>
      </x:c>
      <x:c r="I450" s="8" t="n">
        <x:v>46.45249081892011</x:v>
      </x:c>
      <x:c r="J450" s="8" t="n">
        <x:v>0</x:v>
      </x:c>
      <x:c r="K450" s="8" t="n">
        <x:v>55</x:v>
      </x:c>
      <x:c r="L450" s="8" t="n">
        <x:v>256.8391179897363</x:v>
      </x:c>
      <x:c r="M450" s="8" t="n">
        <x:v>0</x:v>
      </x:c>
      <x:c r="N450" s="8" t="n">
        <x:v>0</x:v>
      </x:c>
      <x:c r="O450" s="8" t="n">
        <x:v>244.82592674417162</x:v>
      </x:c>
      <x:c r="P450" s="8" t="n">
        <x:v>0</x:v>
      </x:c>
      <x:c r="Q450" s="8" t="n">
        <x:v>0.7271943192673103</x:v>
      </x:c>
      <x:c r="R450" s="8" t="n">
        <x:v>0</x:v>
      </x:c>
      <x:c r="S450" s="8" t="n">
        <x:f>L450-I450^2/H450</x:f>
        <x:v>136.95945669629975</x:v>
      </x:c>
      <x:c r="T450" s="8" t="n">
        <x:f>M450-J450^2/H450</x:f>
        <x:v>0</x:v>
      </x:c>
      <x:c r="U450" s="8" t="n">
        <x:f>N450-I450*J450/H450</x:f>
        <x:v>0</x:v>
      </x:c>
      <x:c r="V450" s="8" t="n">
        <x:f>O450-I450*K450/H450</x:f>
        <x:v>102.88776035302683</x:v>
      </x:c>
      <x:c r="W450" s="8" t="n">
        <x:f>P450-J450*K450/H450</x:f>
        <x:v>0</x:v>
      </x:c>
      <x:c r="X450" s="8" t="n">
        <x:f>V450/S450</x:f>
        <x:v>0.7512278657849448</x:v>
      </x:c>
      <x:c r="Y450" s="8" t="n">
        <x:f>0</x:f>
        <x:v>0</x:v>
      </x:c>
      <x:c r="Z450" s="8" t="n">
        <x:f>K450/H450-X450*I450/H450-Y450*J450/H450</x:f>
        <x:v>1.116866358983772</x:v>
      </x:c>
      <x:c r="AA450" s="8" t="n">
        <x:f>Z450+X450*Q450+Y450*R450</x:f>
        <x:v>1.6631549954578893</x:v>
      </x:c>
    </x:row>
    <x:row r="451" ht="26" customHeight="1">
      <x:c r="A451" s="2"/>
      <x:c r="B451" s="2" t="n">
        <x:v>446</x:v>
      </x:c>
      <x:c r="C451" s="2" t="str">
        <x:v>Health Care / price_contribution</x:v>
      </x:c>
      <x:c r="D451" s="2" t="str">
        <x:v>Broad rolling 8</x:v>
      </x:c>
      <x:c r="E451" s="7" t="n">
        <x:v>46022</x:v>
      </x:c>
      <x:c r="F451" s="2" t="str">
        <x:v>Origin</x:v>
      </x:c>
      <x:c r="G451" s="7" t="n">
        <x:v>45931</x:v>
      </x:c>
      <x:c r="H451" s="2" t="n">
        <x:v>8</x:v>
      </x:c>
      <x:c r="I451" s="8" t="n">
        <x:v>16.45347214762054</x:v>
      </x:c>
      <x:c r="J451" s="8" t="n">
        <x:v>0</x:v>
      </x:c>
      <x:c r="K451" s="8" t="n">
        <x:v>21</x:v>
      </x:c>
      <x:c r="L451" s="8" t="n">
        <x:v>64.45409534916791</x:v>
      </x:c>
      <x:c r="M451" s="8" t="n">
        <x:v>0</x:v>
      </x:c>
      <x:c r="N451" s="8" t="n">
        <x:v>0</x:v>
      </x:c>
      <x:c r="O451" s="8" t="n">
        <x:v>73.3354857164682</x:v>
      </x:c>
      <x:c r="P451" s="8" t="n">
        <x:v>0</x:v>
      </x:c>
      <x:c r="Q451" s="8" t="n">
        <x:v>0.7271943192673103</x:v>
      </x:c>
      <x:c r="R451" s="8" t="n">
        <x:v>0</x:v>
      </x:c>
      <x:c r="S451" s="8" t="n">
        <x:f>L451-I451^2/H451</x:f>
        <x:v>30.6145021351023</x:v>
      </x:c>
      <x:c r="T451" s="8" t="n">
        <x:f>M451-J451^2/H451</x:f>
        <x:v>0</x:v>
      </x:c>
      <x:c r="U451" s="8" t="n">
        <x:f>N451-I451*J451/H451</x:f>
        <x:v>0</x:v>
      </x:c>
      <x:c r="V451" s="8" t="n">
        <x:f>O451-I451*K451/H451</x:f>
        <x:v>30.14512132896428</x:v>
      </x:c>
      <x:c r="W451" s="8" t="n">
        <x:f>P451-J451*K451/H451</x:f>
        <x:v>0</x:v>
      </x:c>
      <x:c r="X451" s="8" t="n">
        <x:f>V451/S451</x:f>
        <x:v>0.9846680241910636</x:v>
      </x:c>
      <x:c r="Y451" s="8" t="n">
        <x:f>0</x:f>
        <x:v>0</x:v>
      </x:c>
      <x:c r="Z451" s="8" t="n">
        <x:f>K451/H451-X451*I451/H451-Y451*J451/H451</x:f>
        <x:v>0.5998490111649732</x:v>
      </x:c>
      <x:c r="AA451" s="8" t="n">
        <x:f>Z451+X451*Q451+Y451*R451</x:f>
        <x:v>1.3158940047208811</x:v>
      </x:c>
    </x:row>
    <x:row r="452" ht="26" customHeight="1">
      <x:c r="A452" s="2"/>
      <x:c r="B452" s="2" t="n">
        <x:v>447</x:v>
      </x:c>
      <x:c r="C452" s="2" t="str">
        <x:v>Health Care / price_contribution</x:v>
      </x:c>
      <x:c r="D452" s="2" t="str">
        <x:v>Own history</x:v>
      </x:c>
      <x:c r="E452" s="7" t="n">
        <x:v>46022</x:v>
      </x:c>
      <x:c r="F452" s="2" t="str">
        <x:v>Origin</x:v>
      </x:c>
      <x:c r="G452" s="7" t="n">
        <x:v>45931</x:v>
      </x:c>
      <x:c r="H452" s="2" t="n">
        <x:v>16</x:v>
      </x:c>
      <x:c r="I452" s="8" t="n">
        <x:v>53</x:v>
      </x:c>
      <x:c r="J452" s="8" t="n">
        <x:v>0</x:v>
      </x:c>
      <x:c r="K452" s="8" t="n">
        <x:v>54</x:v>
      </x:c>
      <x:c r="L452" s="8" t="n">
        <x:v>253</x:v>
      </x:c>
      <x:c r="M452" s="8" t="n">
        <x:v>0</x:v>
      </x:c>
      <x:c r="N452" s="8" t="n">
        <x:v>0</x:v>
      </x:c>
      <x:c r="O452" s="8" t="n">
        <x:v>226</x:v>
      </x:c>
      <x:c r="P452" s="8" t="n">
        <x:v>0</x:v>
      </x:c>
      <x:c r="Q452" s="8" t="n">
        <x:v>1</x:v>
      </x:c>
      <x:c r="R452" s="8" t="n">
        <x:v>0</x:v>
      </x:c>
      <x:c r="S452" s="8" t="n">
        <x:f>L452-I452^2/H452</x:f>
        <x:v>77.4375</x:v>
      </x:c>
      <x:c r="T452" s="8" t="n">
        <x:f>M452-J452^2/H452</x:f>
        <x:v>0</x:v>
      </x:c>
      <x:c r="U452" s="8" t="n">
        <x:f>N452-I452*J452/H452</x:f>
        <x:v>0</x:v>
      </x:c>
      <x:c r="V452" s="8" t="n">
        <x:f>O452-I452*K452/H452</x:f>
        <x:v>47.125</x:v>
      </x:c>
      <x:c r="W452" s="8" t="n">
        <x:f>P452-J452*K452/H452</x:f>
        <x:v>0</x:v>
      </x:c>
      <x:c r="X452" s="8" t="n">
        <x:f>V452/S452</x:f>
        <x:v>0.6085552865213882</x:v>
      </x:c>
      <x:c r="Y452" s="8" t="n">
        <x:f>0</x:f>
        <x:v>0</x:v>
      </x:c>
      <x:c r="Z452" s="8" t="n">
        <x:f>K452/H452-X452*I452/H452-Y452*J452/H452</x:f>
        <x:v>1.3591606133979015</x:v>
      </x:c>
      <x:c r="AA452" s="8" t="n">
        <x:f>Z452+X452*Q452+Y452*R452</x:f>
        <x:v>1.9677158999192899</x:v>
      </x:c>
    </x:row>
    <x:row r="453" ht="26" customHeight="1">
      <x:c r="A453" s="2"/>
      <x:c r="B453" s="2" t="n">
        <x:v>448</x:v>
      </x:c>
      <x:c r="C453" s="2" t="str">
        <x:v>Health Care / price_contribution</x:v>
      </x:c>
      <x:c r="D453" s="2" t="str">
        <x:v>Broad market</x:v>
      </x:c>
      <x:c r="E453" s="7" t="n">
        <x:v>46022</x:v>
      </x:c>
      <x:c r="F453" s="2" t="str">
        <x:v>Prior report</x:v>
      </x:c>
      <x:c r="G453" s="7" t="n">
        <x:v>45954</x:v>
      </x:c>
      <x:c r="H453" s="2" t="n">
        <x:v>19</x:v>
      </x:c>
      <x:c r="I453" s="8" t="n">
        <x:v>47.46071724596763</x:v>
      </x:c>
      <x:c r="J453" s="8" t="n">
        <x:v>0</x:v>
      </x:c>
      <x:c r="K453" s="8" t="n">
        <x:v>56</x:v>
      </x:c>
      <x:c r="L453" s="8" t="n">
        <x:v>257.85563851793324</x:v>
      </x:c>
      <x:c r="M453" s="8" t="n">
        <x:v>0</x:v>
      </x:c>
      <x:c r="N453" s="8" t="n">
        <x:v>0</x:v>
      </x:c>
      <x:c r="O453" s="8" t="n">
        <x:v>245.83415317121913</x:v>
      </x:c>
      <x:c r="P453" s="8" t="n">
        <x:v>0</x:v>
      </x:c>
      <x:c r="Q453" s="8" t="n">
        <x:v>1.0083244241182232</x:v>
      </x:c>
      <x:c r="R453" s="8" t="n">
        <x:v>0</x:v>
      </x:c>
      <x:c r="S453" s="8" t="n">
        <x:f>L453-I453^2/H453</x:f>
        <x:v>139.30197107047593</x:v>
      </x:c>
      <x:c r="T453" s="8" t="n">
        <x:f>M453-J453^2/H453</x:f>
        <x:v>0</x:v>
      </x:c>
      <x:c r="U453" s="8" t="n">
        <x:f>N453-I453*J453/H453</x:f>
        <x:v>0</x:v>
      </x:c>
      <x:c r="V453" s="8" t="n">
        <x:f>O453-I453*K453/H453</x:f>
        <x:v>105.94993391994612</x:v>
      </x:c>
      <x:c r="W453" s="8" t="n">
        <x:f>P453-J453*K453/H453</x:f>
        <x:v>0</x:v>
      </x:c>
      <x:c r="X453" s="8" t="n">
        <x:f>V453/S453</x:f>
        <x:v>0.7605774211647279</x:v>
      </x:c>
      <x:c r="Y453" s="8" t="n">
        <x:f>0</x:f>
        <x:v>0</x:v>
      </x:c>
      <x:c r="Z453" s="8" t="n">
        <x:f>K453/H453-X453*I453/H453-Y453*J453/H453</x:f>
        <x:v>1.0474973721280845</x:v>
      </x:c>
      <x:c r="AA453" s="8" t="n">
        <x:f>Z453+X453*Q453+Y453*R453</x:f>
        <x:v>1.8144061623213321</x:v>
      </x:c>
    </x:row>
    <x:row r="454" ht="26" customHeight="1">
      <x:c r="A454" s="2"/>
      <x:c r="B454" s="2" t="n">
        <x:v>449</x:v>
      </x:c>
      <x:c r="C454" s="2" t="str">
        <x:v>Health Care / price_contribution</x:v>
      </x:c>
      <x:c r="D454" s="2" t="str">
        <x:v>Broad lag 1</x:v>
      </x:c>
      <x:c r="E454" s="7" t="n">
        <x:v>46022</x:v>
      </x:c>
      <x:c r="F454" s="2" t="str">
        <x:v>Prior report</x:v>
      </x:c>
      <x:c r="G454" s="7" t="n">
        <x:v>45954</x:v>
      </x:c>
      <x:c r="H454" s="2" t="n">
        <x:v>18</x:v>
      </x:c>
      <x:c r="I454" s="8" t="n">
        <x:v>46.45249081892011</x:v>
      </x:c>
      <x:c r="J454" s="8" t="n">
        <x:v>0</x:v>
      </x:c>
      <x:c r="K454" s="8" t="n">
        <x:v>56</x:v>
      </x:c>
      <x:c r="L454" s="8" t="n">
        <x:v>256.8391179897363</x:v>
      </x:c>
      <x:c r="M454" s="8" t="n">
        <x:v>0</x:v>
      </x:c>
      <x:c r="N454" s="8" t="n">
        <x:v>0</x:v>
      </x:c>
      <x:c r="O454" s="8" t="n">
        <x:v>232.27037223313317</x:v>
      </x:c>
      <x:c r="P454" s="8" t="n">
        <x:v>0</x:v>
      </x:c>
      <x:c r="Q454" s="8" t="n">
        <x:v>1.0082264270475205</x:v>
      </x:c>
      <x:c r="R454" s="8" t="n">
        <x:v>0</x:v>
      </x:c>
      <x:c r="S454" s="8" t="n">
        <x:f>L454-I454^2/H454</x:f>
        <x:v>136.95945669629975</x:v>
      </x:c>
      <x:c r="T454" s="8" t="n">
        <x:f>M454-J454^2/H454</x:f>
        <x:v>0</x:v>
      </x:c>
      <x:c r="U454" s="8" t="n">
        <x:f>N454-I454*J454/H454</x:f>
        <x:v>0</x:v>
      </x:c>
      <x:c r="V454" s="8" t="n">
        <x:f>O454-I454*K454/H454</x:f>
        <x:v>87.75151190760394</x:v>
      </x:c>
      <x:c r="W454" s="8" t="n">
        <x:f>P454-J454*K454/H454</x:f>
        <x:v>0</x:v>
      </x:c>
      <x:c r="X454" s="8" t="n">
        <x:f>V454/S454</x:f>
        <x:v>0.6407115946888444</x:v>
      </x:c>
      <x:c r="Y454" s="8" t="n">
        <x:f>0</x:f>
        <x:v>0</x:v>
      </x:c>
      <x:c r="Z454" s="8" t="n">
        <x:f>K454/H454-X454*I454/H454-Y454*J454/H454</x:f>
        <x:v>1.4576305850078217</x:v>
      </x:c>
      <x:c r="AA454" s="8" t="n">
        <x:f>Z454+X454*Q454+Y454*R454</x:f>
        <x:v>2.1036129468888745</x:v>
      </x:c>
    </x:row>
    <x:row r="455" ht="26" customHeight="1">
      <x:c r="A455" s="2"/>
      <x:c r="B455" s="2" t="n">
        <x:v>450</x:v>
      </x:c>
      <x:c r="C455" s="2" t="str">
        <x:v>Health Care / price_contribution</x:v>
      </x:c>
      <x:c r="D455" s="2" t="str">
        <x:v>Broad rolling 8</x:v>
      </x:c>
      <x:c r="E455" s="7" t="n">
        <x:v>46022</x:v>
      </x:c>
      <x:c r="F455" s="2" t="str">
        <x:v>Prior report</x:v>
      </x:c>
      <x:c r="G455" s="7" t="n">
        <x:v>45954</x:v>
      </x:c>
      <x:c r="H455" s="2" t="n">
        <x:v>8</x:v>
      </x:c>
      <x:c r="I455" s="8" t="n">
        <x:v>11.968105858946277</x:v>
      </x:c>
      <x:c r="J455" s="8" t="n">
        <x:v>0</x:v>
      </x:c>
      <x:c r="K455" s="8" t="n">
        <x:v>16</x:v>
      </x:c>
      <x:c r="L455" s="8" t="n">
        <x:v>35.29105495113347</x:v>
      </x:c>
      <x:c r="M455" s="8" t="n">
        <x:v>0</x:v>
      </x:c>
      <x:c r="N455" s="8" t="n">
        <x:v>0</x:v>
      </x:c>
      <x:c r="O455" s="8" t="n">
        <x:v>41.38215584918501</x:v>
      </x:c>
      <x:c r="P455" s="8" t="n">
        <x:v>0</x:v>
      </x:c>
      <x:c r="Q455" s="8" t="n">
        <x:v>1.0083244241182232</x:v>
      </x:c>
      <x:c r="R455" s="8" t="n">
        <x:v>0</x:v>
      </x:c>
      <x:c r="S455" s="8" t="n">
        <x:f>L455-I455^2/H455</x:f>
        <x:v>17.38661021976544</x:v>
      </x:c>
      <x:c r="T455" s="8" t="n">
        <x:f>M455-J455^2/H455</x:f>
        <x:v>0</x:v>
      </x:c>
      <x:c r="U455" s="8" t="n">
        <x:f>N455-I455*J455/H455</x:f>
        <x:v>0</x:v>
      </x:c>
      <x:c r="V455" s="8" t="n">
        <x:f>O455-I455*K455/H455</x:f>
        <x:v>17.445944131292457</x:v>
      </x:c>
      <x:c r="W455" s="8" t="n">
        <x:f>P455-J455*K455/H455</x:f>
        <x:v>0</x:v>
      </x:c>
      <x:c r="X455" s="8" t="n">
        <x:f>V455/S455</x:f>
        <x:v>1.003412621021409</x:v>
      </x:c>
      <x:c r="Y455" s="8" t="n">
        <x:f>0</x:f>
        <x:v>0</x:v>
      </x:c>
      <x:c r="Z455" s="8" t="n">
        <x:f>K455/H455-X455*I455/H455-Y455*J455/H455</x:f>
        <x:v>0.4988814414266294</x:v>
      </x:c>
      <x:c r="AA455" s="8" t="n">
        <x:f>Z455+X455*Q455+Y455*R455</x:f>
        <x:v>1.5106468946709986</x:v>
      </x:c>
    </x:row>
    <x:row r="456" ht="26" customHeight="1">
      <x:c r="A456" s="2"/>
      <x:c r="B456" s="2" t="n">
        <x:v>451</x:v>
      </x:c>
      <x:c r="C456" s="2" t="str">
        <x:v>Health Care / price_contribution</x:v>
      </x:c>
      <x:c r="D456" s="2" t="str">
        <x:v>Own history</x:v>
      </x:c>
      <x:c r="E456" s="7" t="n">
        <x:v>46022</x:v>
      </x:c>
      <x:c r="F456" s="2" t="str">
        <x:v>Prior report</x:v>
      </x:c>
      <x:c r="G456" s="7" t="n">
        <x:v>45954</x:v>
      </x:c>
      <x:c r="H456" s="2" t="n">
        <x:v>18</x:v>
      </x:c>
      <x:c r="I456" s="8" t="n">
        <x:v>55</x:v>
      </x:c>
      <x:c r="J456" s="8" t="n">
        <x:v>0</x:v>
      </x:c>
      <x:c r="K456" s="8" t="n">
        <x:v>56</x:v>
      </x:c>
      <x:c r="L456" s="8" t="n">
        <x:v>255</x:v>
      </x:c>
      <x:c r="M456" s="8" t="n">
        <x:v>0</x:v>
      </x:c>
      <x:c r="N456" s="8" t="n">
        <x:v>0</x:v>
      </x:c>
      <x:c r="O456" s="8" t="n">
        <x:v>246</x:v>
      </x:c>
      <x:c r="P456" s="8" t="n">
        <x:v>0</x:v>
      </x:c>
      <x:c r="Q456" s="8" t="n">
        <x:v>1</x:v>
      </x:c>
      <x:c r="R456" s="8" t="n">
        <x:v>0</x:v>
      </x:c>
      <x:c r="S456" s="8" t="n">
        <x:f>L456-I456^2/H456</x:f>
        <x:v>86.94444444444446</x:v>
      </x:c>
      <x:c r="T456" s="8" t="n">
        <x:f>M456-J456^2/H456</x:f>
        <x:v>0</x:v>
      </x:c>
      <x:c r="U456" s="8" t="n">
        <x:f>N456-I456*J456/H456</x:f>
        <x:v>0</x:v>
      </x:c>
      <x:c r="V456" s="8" t="n">
        <x:f>O456-I456*K456/H456</x:f>
        <x:v>74.88888888888889</x:v>
      </x:c>
      <x:c r="W456" s="8" t="n">
        <x:f>P456-J456*K456/H456</x:f>
        <x:v>0</x:v>
      </x:c>
      <x:c r="X456" s="8" t="n">
        <x:f>V456/S456</x:f>
        <x:v>0.8613418530351437</x:v>
      </x:c>
      <x:c r="Y456" s="8" t="n">
        <x:f>0</x:f>
        <x:v>0</x:v>
      </x:c>
      <x:c r="Z456" s="8" t="n">
        <x:f>K456/H456-X456*I456/H456-Y456*J456/H456</x:f>
        <x:v>0.4792332268370614</x:v>
      </x:c>
      <x:c r="AA456" s="8" t="n">
        <x:f>Z456+X456*Q456+Y456*R456</x:f>
        <x:v>1.3405750798722051</x:v>
      </x:c>
    </x:row>
    <x:row r="457" ht="26" customHeight="1">
      <x:c r="A457" s="2"/>
      <x:c r="B457" s="2" t="n">
        <x:v>452</x:v>
      </x:c>
      <x:c r="C457" s="2" t="str">
        <x:v>Health Care / price_contribution</x:v>
      </x:c>
      <x:c r="D457" s="2" t="str">
        <x:v>Broad market</x:v>
      </x:c>
      <x:c r="E457" s="7" t="n">
        <x:v>46022</x:v>
      </x:c>
      <x:c r="F457" s="2" t="str">
        <x:v>Pre-earnings</x:v>
      </x:c>
      <x:c r="G457" s="7" t="n">
        <x:v>46044</x:v>
      </x:c>
      <x:c r="H457" s="2" t="n">
        <x:v>19</x:v>
      </x:c>
      <x:c r="I457" s="8" t="n">
        <x:v>47.46071724596763</x:v>
      </x:c>
      <x:c r="J457" s="8" t="n">
        <x:v>0</x:v>
      </x:c>
      <x:c r="K457" s="8" t="n">
        <x:v>56</x:v>
      </x:c>
      <x:c r="L457" s="8" t="n">
        <x:v>257.85563851793324</x:v>
      </x:c>
      <x:c r="M457" s="8" t="n">
        <x:v>0</x:v>
      </x:c>
      <x:c r="N457" s="8" t="n">
        <x:v>0</x:v>
      </x:c>
      <x:c r="O457" s="8" t="n">
        <x:v>245.83415317121913</x:v>
      </x:c>
      <x:c r="P457" s="8" t="n">
        <x:v>0</x:v>
      </x:c>
      <x:c r="Q457" s="8" t="n">
        <x:v>1.1662350761116436</x:v>
      </x:c>
      <x:c r="R457" s="8" t="n">
        <x:v>0</x:v>
      </x:c>
      <x:c r="S457" s="8" t="n">
        <x:f>L457-I457^2/H457</x:f>
        <x:v>139.30197107047593</x:v>
      </x:c>
      <x:c r="T457" s="8" t="n">
        <x:f>M457-J457^2/H457</x:f>
        <x:v>0</x:v>
      </x:c>
      <x:c r="U457" s="8" t="n">
        <x:f>N457-I457*J457/H457</x:f>
        <x:v>0</x:v>
      </x:c>
      <x:c r="V457" s="8" t="n">
        <x:f>O457-I457*K457/H457</x:f>
        <x:v>105.94993391994612</x:v>
      </x:c>
      <x:c r="W457" s="8" t="n">
        <x:f>P457-J457*K457/H457</x:f>
        <x:v>0</x:v>
      </x:c>
      <x:c r="X457" s="8" t="n">
        <x:f>V457/S457</x:f>
        <x:v>0.7605774211647279</x:v>
      </x:c>
      <x:c r="Y457" s="8" t="n">
        <x:f>0</x:f>
        <x:v>0</x:v>
      </x:c>
      <x:c r="Z457" s="8" t="n">
        <x:f>K457/H457-X457*I457/H457-Y457*J457/H457</x:f>
        <x:v>1.0474973721280845</x:v>
      </x:c>
      <x:c r="AA457" s="8" t="n">
        <x:f>Z457+X457*Q457+Y457*R457</x:f>
        <x:v>1.9345094387889286</x:v>
      </x:c>
    </x:row>
    <x:row r="458" ht="26" customHeight="1">
      <x:c r="A458" s="2"/>
      <x:c r="B458" s="2" t="n">
        <x:v>453</x:v>
      </x:c>
      <x:c r="C458" s="2" t="str">
        <x:v>Health Care / price_contribution</x:v>
      </x:c>
      <x:c r="D458" s="2" t="str">
        <x:v>Broad lag 1</x:v>
      </x:c>
      <x:c r="E458" s="7" t="n">
        <x:v>46022</x:v>
      </x:c>
      <x:c r="F458" s="2" t="str">
        <x:v>Pre-earnings</x:v>
      </x:c>
      <x:c r="G458" s="7" t="n">
        <x:v>46044</x:v>
      </x:c>
      <x:c r="H458" s="2" t="n">
        <x:v>18</x:v>
      </x:c>
      <x:c r="I458" s="8" t="n">
        <x:v>46.45249081892011</x:v>
      </x:c>
      <x:c r="J458" s="8" t="n">
        <x:v>0</x:v>
      </x:c>
      <x:c r="K458" s="8" t="n">
        <x:v>56</x:v>
      </x:c>
      <x:c r="L458" s="8" t="n">
        <x:v>256.8391179897363</x:v>
      </x:c>
      <x:c r="M458" s="8" t="n">
        <x:v>0</x:v>
      </x:c>
      <x:c r="N458" s="8" t="n">
        <x:v>0</x:v>
      </x:c>
      <x:c r="O458" s="8" t="n">
        <x:v>232.27037223313317</x:v>
      </x:c>
      <x:c r="P458" s="8" t="n">
        <x:v>0</x:v>
      </x:c>
      <x:c r="Q458" s="8" t="n">
        <x:v>1.0082264270475205</x:v>
      </x:c>
      <x:c r="R458" s="8" t="n">
        <x:v>0</x:v>
      </x:c>
      <x:c r="S458" s="8" t="n">
        <x:f>L458-I458^2/H458</x:f>
        <x:v>136.95945669629975</x:v>
      </x:c>
      <x:c r="T458" s="8" t="n">
        <x:f>M458-J458^2/H458</x:f>
        <x:v>0</x:v>
      </x:c>
      <x:c r="U458" s="8" t="n">
        <x:f>N458-I458*J458/H458</x:f>
        <x:v>0</x:v>
      </x:c>
      <x:c r="V458" s="8" t="n">
        <x:f>O458-I458*K458/H458</x:f>
        <x:v>87.75151190760394</x:v>
      </x:c>
      <x:c r="W458" s="8" t="n">
        <x:f>P458-J458*K458/H458</x:f>
        <x:v>0</x:v>
      </x:c>
      <x:c r="X458" s="8" t="n">
        <x:f>V458/S458</x:f>
        <x:v>0.6407115946888444</x:v>
      </x:c>
      <x:c r="Y458" s="8" t="n">
        <x:f>0</x:f>
        <x:v>0</x:v>
      </x:c>
      <x:c r="Z458" s="8" t="n">
        <x:f>K458/H458-X458*I458/H458-Y458*J458/H458</x:f>
        <x:v>1.4576305850078217</x:v>
      </x:c>
      <x:c r="AA458" s="8" t="n">
        <x:f>Z458+X458*Q458+Y458*R458</x:f>
        <x:v>2.1036129468888745</x:v>
      </x:c>
    </x:row>
    <x:row r="459" ht="26" customHeight="1">
      <x:c r="A459" s="2"/>
      <x:c r="B459" s="2" t="n">
        <x:v>454</x:v>
      </x:c>
      <x:c r="C459" s="2" t="str">
        <x:v>Health Care / price_contribution</x:v>
      </x:c>
      <x:c r="D459" s="2" t="str">
        <x:v>Broad rolling 8</x:v>
      </x:c>
      <x:c r="E459" s="7" t="n">
        <x:v>46022</x:v>
      </x:c>
      <x:c r="F459" s="2" t="str">
        <x:v>Pre-earnings</x:v>
      </x:c>
      <x:c r="G459" s="7" t="n">
        <x:v>46044</x:v>
      </x:c>
      <x:c r="H459" s="2" t="n">
        <x:v>8</x:v>
      </x:c>
      <x:c r="I459" s="8" t="n">
        <x:v>11.968105858946277</x:v>
      </x:c>
      <x:c r="J459" s="8" t="n">
        <x:v>0</x:v>
      </x:c>
      <x:c r="K459" s="8" t="n">
        <x:v>16</x:v>
      </x:c>
      <x:c r="L459" s="8" t="n">
        <x:v>35.29105495113347</x:v>
      </x:c>
      <x:c r="M459" s="8" t="n">
        <x:v>0</x:v>
      </x:c>
      <x:c r="N459" s="8" t="n">
        <x:v>0</x:v>
      </x:c>
      <x:c r="O459" s="8" t="n">
        <x:v>41.38215584918501</x:v>
      </x:c>
      <x:c r="P459" s="8" t="n">
        <x:v>0</x:v>
      </x:c>
      <x:c r="Q459" s="8" t="n">
        <x:v>1.1662350761116436</x:v>
      </x:c>
      <x:c r="R459" s="8" t="n">
        <x:v>0</x:v>
      </x:c>
      <x:c r="S459" s="8" t="n">
        <x:f>L459-I459^2/H459</x:f>
        <x:v>17.38661021976544</x:v>
      </x:c>
      <x:c r="T459" s="8" t="n">
        <x:f>M459-J459^2/H459</x:f>
        <x:v>0</x:v>
      </x:c>
      <x:c r="U459" s="8" t="n">
        <x:f>N459-I459*J459/H459</x:f>
        <x:v>0</x:v>
      </x:c>
      <x:c r="V459" s="8" t="n">
        <x:f>O459-I459*K459/H459</x:f>
        <x:v>17.445944131292457</x:v>
      </x:c>
      <x:c r="W459" s="8" t="n">
        <x:f>P459-J459*K459/H459</x:f>
        <x:v>0</x:v>
      </x:c>
      <x:c r="X459" s="8" t="n">
        <x:f>V459/S459</x:f>
        <x:v>1.003412621021409</x:v>
      </x:c>
      <x:c r="Y459" s="8" t="n">
        <x:f>0</x:f>
        <x:v>0</x:v>
      </x:c>
      <x:c r="Z459" s="8" t="n">
        <x:f>K459/H459-X459*I459/H459-Y459*J459/H459</x:f>
        <x:v>0.4988814414266294</x:v>
      </x:c>
      <x:c r="AA459" s="8" t="n">
        <x:f>Z459+X459*Q459+Y459*R459</x:f>
        <x:v>1.669096435874916</x:v>
      </x:c>
    </x:row>
    <x:row r="460" ht="26" customHeight="1">
      <x:c r="A460" s="2"/>
      <x:c r="B460" s="2" t="n">
        <x:v>455</x:v>
      </x:c>
      <x:c r="C460" s="2" t="str">
        <x:v>Health Care / price_contribution</x:v>
      </x:c>
      <x:c r="D460" s="2" t="str">
        <x:v>Own history</x:v>
      </x:c>
      <x:c r="E460" s="7" t="n">
        <x:v>46022</x:v>
      </x:c>
      <x:c r="F460" s="2" t="str">
        <x:v>Pre-earnings</x:v>
      </x:c>
      <x:c r="G460" s="7" t="n">
        <x:v>46044</x:v>
      </x:c>
      <x:c r="H460" s="2" t="n">
        <x:v>18</x:v>
      </x:c>
      <x:c r="I460" s="8" t="n">
        <x:v>55</x:v>
      </x:c>
      <x:c r="J460" s="8" t="n">
        <x:v>0</x:v>
      </x:c>
      <x:c r="K460" s="8" t="n">
        <x:v>56</x:v>
      </x:c>
      <x:c r="L460" s="8" t="n">
        <x:v>255</x:v>
      </x:c>
      <x:c r="M460" s="8" t="n">
        <x:v>0</x:v>
      </x:c>
      <x:c r="N460" s="8" t="n">
        <x:v>0</x:v>
      </x:c>
      <x:c r="O460" s="8" t="n">
        <x:v>246</x:v>
      </x:c>
      <x:c r="P460" s="8" t="n">
        <x:v>0</x:v>
      </x:c>
      <x:c r="Q460" s="8" t="n">
        <x:v>1</x:v>
      </x:c>
      <x:c r="R460" s="8" t="n">
        <x:v>0</x:v>
      </x:c>
      <x:c r="S460" s="8" t="n">
        <x:f>L460-I460^2/H460</x:f>
        <x:v>86.94444444444446</x:v>
      </x:c>
      <x:c r="T460" s="8" t="n">
        <x:f>M460-J460^2/H460</x:f>
        <x:v>0</x:v>
      </x:c>
      <x:c r="U460" s="8" t="n">
        <x:f>N460-I460*J460/H460</x:f>
        <x:v>0</x:v>
      </x:c>
      <x:c r="V460" s="8" t="n">
        <x:f>O460-I460*K460/H460</x:f>
        <x:v>74.88888888888889</x:v>
      </x:c>
      <x:c r="W460" s="8" t="n">
        <x:f>P460-J460*K460/H460</x:f>
        <x:v>0</x:v>
      </x:c>
      <x:c r="X460" s="8" t="n">
        <x:f>V460/S460</x:f>
        <x:v>0.8613418530351437</x:v>
      </x:c>
      <x:c r="Y460" s="8" t="n">
        <x:f>0</x:f>
        <x:v>0</x:v>
      </x:c>
      <x:c r="Z460" s="8" t="n">
        <x:f>K460/H460-X460*I460/H460-Y460*J460/H460</x:f>
        <x:v>0.4792332268370614</x:v>
      </x:c>
      <x:c r="AA460" s="8" t="n">
        <x:f>Z460+X460*Q460+Y460*R460</x:f>
        <x:v>1.3405750798722051</x:v>
      </x:c>
    </x:row>
    <x:row r="461" ht="26" customHeight="1">
      <x:c r="A461" s="2"/>
      <x:c r="B461" s="2" t="n">
        <x:v>456</x:v>
      </x:c>
      <x:c r="C461" s="2" t="str">
        <x:v>Health Care / price_contribution</x:v>
      </x:c>
      <x:c r="D461" s="2" t="str">
        <x:v>Broad market</x:v>
      </x:c>
      <x:c r="E461" s="7" t="n">
        <x:v>46112</x:v>
      </x:c>
      <x:c r="F461" s="2" t="str">
        <x:v>Origin</x:v>
      </x:c>
      <x:c r="G461" s="7" t="n">
        <x:v>46023</x:v>
      </x:c>
      <x:c r="H461" s="2" t="n">
        <x:v>19</x:v>
      </x:c>
      <x:c r="I461" s="8" t="n">
        <x:v>47.46071724596763</x:v>
      </x:c>
      <x:c r="J461" s="8" t="n">
        <x:v>0</x:v>
      </x:c>
      <x:c r="K461" s="8" t="n">
        <x:v>56</x:v>
      </x:c>
      <x:c r="L461" s="8" t="n">
        <x:v>257.85563851793324</x:v>
      </x:c>
      <x:c r="M461" s="8" t="n">
        <x:v>0</x:v>
      </x:c>
      <x:c r="N461" s="8" t="n">
        <x:v>0</x:v>
      </x:c>
      <x:c r="O461" s="8" t="n">
        <x:v>245.83415317121913</x:v>
      </x:c>
      <x:c r="P461" s="8" t="n">
        <x:v>0</x:v>
      </x:c>
      <x:c r="Q461" s="8" t="n">
        <x:v>1.1213731248813419</x:v>
      </x:c>
      <x:c r="R461" s="8" t="n">
        <x:v>0</x:v>
      </x:c>
      <x:c r="S461" s="8" t="n">
        <x:f>L461-I461^2/H461</x:f>
        <x:v>139.30197107047593</x:v>
      </x:c>
      <x:c r="T461" s="8" t="n">
        <x:f>M461-J461^2/H461</x:f>
        <x:v>0</x:v>
      </x:c>
      <x:c r="U461" s="8" t="n">
        <x:f>N461-I461*J461/H461</x:f>
        <x:v>0</x:v>
      </x:c>
      <x:c r="V461" s="8" t="n">
        <x:f>O461-I461*K461/H461</x:f>
        <x:v>105.94993391994612</x:v>
      </x:c>
      <x:c r="W461" s="8" t="n">
        <x:f>P461-J461*K461/H461</x:f>
        <x:v>0</x:v>
      </x:c>
      <x:c r="X461" s="8" t="n">
        <x:f>V461/S461</x:f>
        <x:v>0.7605774211647279</x:v>
      </x:c>
      <x:c r="Y461" s="8" t="n">
        <x:f>0</x:f>
        <x:v>0</x:v>
      </x:c>
      <x:c r="Z461" s="8" t="n">
        <x:f>K461/H461-X461*I461/H461-Y461*J461/H461</x:f>
        <x:v>1.0474973721280845</x:v>
      </x:c>
      <x:c r="AA461" s="8" t="n">
        <x:f>Z461+X461*Q461+Y461*R461</x:f>
        <x:v>1.900388451613768</x:v>
      </x:c>
    </x:row>
    <x:row r="462" ht="26" customHeight="1">
      <x:c r="A462" s="2"/>
      <x:c r="B462" s="2" t="n">
        <x:v>457</x:v>
      </x:c>
      <x:c r="C462" s="2" t="str">
        <x:v>Health Care / price_contribution</x:v>
      </x:c>
      <x:c r="D462" s="2" t="str">
        <x:v>Broad rolling 8</x:v>
      </x:c>
      <x:c r="E462" s="7" t="n">
        <x:v>46112</x:v>
      </x:c>
      <x:c r="F462" s="2" t="str">
        <x:v>Origin</x:v>
      </x:c>
      <x:c r="G462" s="7" t="n">
        <x:v>46023</x:v>
      </x:c>
      <x:c r="H462" s="2" t="n">
        <x:v>8</x:v>
      </x:c>
      <x:c r="I462" s="8" t="n">
        <x:v>11.968105858946277</x:v>
      </x:c>
      <x:c r="J462" s="8" t="n">
        <x:v>0</x:v>
      </x:c>
      <x:c r="K462" s="8" t="n">
        <x:v>16</x:v>
      </x:c>
      <x:c r="L462" s="8" t="n">
        <x:v>35.29105495113347</x:v>
      </x:c>
      <x:c r="M462" s="8" t="n">
        <x:v>0</x:v>
      </x:c>
      <x:c r="N462" s="8" t="n">
        <x:v>0</x:v>
      </x:c>
      <x:c r="O462" s="8" t="n">
        <x:v>41.38215584918501</x:v>
      </x:c>
      <x:c r="P462" s="8" t="n">
        <x:v>0</x:v>
      </x:c>
      <x:c r="Q462" s="8" t="n">
        <x:v>1.1213731248813419</x:v>
      </x:c>
      <x:c r="R462" s="8" t="n">
        <x:v>0</x:v>
      </x:c>
      <x:c r="S462" s="8" t="n">
        <x:f>L462-I462^2/H462</x:f>
        <x:v>17.38661021976544</x:v>
      </x:c>
      <x:c r="T462" s="8" t="n">
        <x:f>M462-J462^2/H462</x:f>
        <x:v>0</x:v>
      </x:c>
      <x:c r="U462" s="8" t="n">
        <x:f>N462-I462*J462/H462</x:f>
        <x:v>0</x:v>
      </x:c>
      <x:c r="V462" s="8" t="n">
        <x:f>O462-I462*K462/H462</x:f>
        <x:v>17.445944131292457</x:v>
      </x:c>
      <x:c r="W462" s="8" t="n">
        <x:f>P462-J462*K462/H462</x:f>
        <x:v>0</x:v>
      </x:c>
      <x:c r="X462" s="8" t="n">
        <x:f>V462/S462</x:f>
        <x:v>1.003412621021409</x:v>
      </x:c>
      <x:c r="Y462" s="8" t="n">
        <x:f>0</x:f>
        <x:v>0</x:v>
      </x:c>
      <x:c r="Z462" s="8" t="n">
        <x:f>K462/H462-X462*I462/H462-Y462*J462/H462</x:f>
        <x:v>0.4988814414266294</x:v>
      </x:c>
      <x:c r="AA462" s="8" t="n">
        <x:f>Z462+X462*Q462+Y462*R462</x:f>
        <x:v>1.6240813878067843</x:v>
      </x:c>
    </x:row>
    <x:row r="463" ht="26" customHeight="1">
      <x:c r="A463" s="2"/>
      <x:c r="B463" s="2" t="n">
        <x:v>458</x:v>
      </x:c>
      <x:c r="C463" s="2" t="str">
        <x:v>Health Care / price_contribution</x:v>
      </x:c>
      <x:c r="D463" s="2" t="str">
        <x:v>Own history</x:v>
      </x:c>
      <x:c r="E463" s="7" t="n">
        <x:v>46112</x:v>
      </x:c>
      <x:c r="F463" s="2" t="str">
        <x:v>Origin</x:v>
      </x:c>
      <x:c r="G463" s="7" t="n">
        <x:v>46023</x:v>
      </x:c>
      <x:c r="H463" s="2" t="n">
        <x:v>17</x:v>
      </x:c>
      <x:c r="I463" s="8" t="n">
        <x:v>54</x:v>
      </x:c>
      <x:c r="J463" s="8" t="n">
        <x:v>0</x:v>
      </x:c>
      <x:c r="K463" s="8" t="n">
        <x:v>55</x:v>
      </x:c>
      <x:c r="L463" s="8" t="n">
        <x:v>254</x:v>
      </x:c>
      <x:c r="M463" s="8" t="n">
        <x:v>0</x:v>
      </x:c>
      <x:c r="N463" s="8" t="n">
        <x:v>0</x:v>
      </x:c>
      <x:c r="O463" s="8" t="n">
        <x:v>227</x:v>
      </x:c>
      <x:c r="P463" s="8" t="n">
        <x:v>0</x:v>
      </x:c>
      <x:c r="Q463" s="8" t="n">
        <x:v>1</x:v>
      </x:c>
      <x:c r="R463" s="8" t="n">
        <x:v>0</x:v>
      </x:c>
      <x:c r="S463" s="8" t="n">
        <x:f>L463-I463^2/H463</x:f>
        <x:v>82.47058823529412</x:v>
      </x:c>
      <x:c r="T463" s="8" t="n">
        <x:f>M463-J463^2/H463</x:f>
        <x:v>0</x:v>
      </x:c>
      <x:c r="U463" s="8" t="n">
        <x:f>N463-I463*J463/H463</x:f>
        <x:v>0</x:v>
      </x:c>
      <x:c r="V463" s="8" t="n">
        <x:f>O463-I463*K463/H463</x:f>
        <x:v>52.29411764705881</x:v>
      </x:c>
      <x:c r="W463" s="8" t="n">
        <x:f>P463-J463*K463/H463</x:f>
        <x:v>0</x:v>
      </x:c>
      <x:c r="X463" s="8" t="n">
        <x:f>V463/S463</x:f>
        <x:v>0.6340941512125534</x:v>
      </x:c>
      <x:c r="Y463" s="8" t="n">
        <x:f>0</x:f>
        <x:v>0</x:v>
      </x:c>
      <x:c r="Z463" s="8" t="n">
        <x:f>K463/H463-X463*I463/H463-Y463*J463/H463</x:f>
        <x:v>1.2211126961483596</x:v>
      </x:c>
      <x:c r="AA463" s="8" t="n">
        <x:f>Z463+X463*Q463+Y463*R463</x:f>
        <x:v>1.855206847360913</x:v>
      </x:c>
    </x:row>
    <x:row r="464" ht="26" customHeight="1">
      <x:c r="A464" s="2"/>
      <x:c r="B464" s="2" t="n">
        <x:v>459</x:v>
      </x:c>
      <x:c r="C464" s="2" t="str">
        <x:v>Health Care / price_contribution</x:v>
      </x:c>
      <x:c r="D464" s="2" t="str">
        <x:v>Broad market</x:v>
      </x:c>
      <x:c r="E464" s="7" t="n">
        <x:v>46112</x:v>
      </x:c>
      <x:c r="F464" s="2" t="str">
        <x:v>Prior report</x:v>
      </x:c>
      <x:c r="G464" s="7" t="n">
        <x:v>46045</x:v>
      </x:c>
      <x:c r="H464" s="2" t="n">
        <x:v>19</x:v>
      </x:c>
      <x:c r="I464" s="8" t="n">
        <x:v>47.46071724596763</x:v>
      </x:c>
      <x:c r="J464" s="8" t="n">
        <x:v>0</x:v>
      </x:c>
      <x:c r="K464" s="8" t="n">
        <x:v>56</x:v>
      </x:c>
      <x:c r="L464" s="8" t="n">
        <x:v>257.85563851793324</x:v>
      </x:c>
      <x:c r="M464" s="8" t="n">
        <x:v>0</x:v>
      </x:c>
      <x:c r="N464" s="8" t="n">
        <x:v>0</x:v>
      </x:c>
      <x:c r="O464" s="8" t="n">
        <x:v>245.83415317121913</x:v>
      </x:c>
      <x:c r="P464" s="8" t="n">
        <x:v>0</x:v>
      </x:c>
      <x:c r="Q464" s="8" t="n">
        <x:v>1.2470805589842149</x:v>
      </x:c>
      <x:c r="R464" s="8" t="n">
        <x:v>0</x:v>
      </x:c>
      <x:c r="S464" s="8" t="n">
        <x:f>L464-I464^2/H464</x:f>
        <x:v>139.30197107047593</x:v>
      </x:c>
      <x:c r="T464" s="8" t="n">
        <x:f>M464-J464^2/H464</x:f>
        <x:v>0</x:v>
      </x:c>
      <x:c r="U464" s="8" t="n">
        <x:f>N464-I464*J464/H464</x:f>
        <x:v>0</x:v>
      </x:c>
      <x:c r="V464" s="8" t="n">
        <x:f>O464-I464*K464/H464</x:f>
        <x:v>105.94993391994612</x:v>
      </x:c>
      <x:c r="W464" s="8" t="n">
        <x:f>P464-J464*K464/H464</x:f>
        <x:v>0</x:v>
      </x:c>
      <x:c r="X464" s="8" t="n">
        <x:f>V464/S464</x:f>
        <x:v>0.7605774211647279</x:v>
      </x:c>
      <x:c r="Y464" s="8" t="n">
        <x:f>0</x:f>
        <x:v>0</x:v>
      </x:c>
      <x:c r="Z464" s="8" t="n">
        <x:f>K464/H464-X464*I464/H464-Y464*J464/H464</x:f>
        <x:v>1.0474973721280845</x:v>
      </x:c>
      <x:c r="AA464" s="8" t="n">
        <x:f>Z464+X464*Q464+Y464*R464</x:f>
        <x:v>1.995998687664966</x:v>
      </x:c>
    </x:row>
    <x:row r="465" ht="26" customHeight="1">
      <x:c r="A465" s="2"/>
      <x:c r="B465" s="2" t="n">
        <x:v>460</x:v>
      </x:c>
      <x:c r="C465" s="2" t="str">
        <x:v>Health Care / price_contribution</x:v>
      </x:c>
      <x:c r="D465" s="2" t="str">
        <x:v>Broad rolling 8</x:v>
      </x:c>
      <x:c r="E465" s="7" t="n">
        <x:v>46112</x:v>
      </x:c>
      <x:c r="F465" s="2" t="str">
        <x:v>Prior report</x:v>
      </x:c>
      <x:c r="G465" s="7" t="n">
        <x:v>46045</x:v>
      </x:c>
      <x:c r="H465" s="2" t="n">
        <x:v>8</x:v>
      </x:c>
      <x:c r="I465" s="8" t="n">
        <x:v>11.968105858946277</x:v>
      </x:c>
      <x:c r="J465" s="8" t="n">
        <x:v>0</x:v>
      </x:c>
      <x:c r="K465" s="8" t="n">
        <x:v>16</x:v>
      </x:c>
      <x:c r="L465" s="8" t="n">
        <x:v>35.29105495113347</x:v>
      </x:c>
      <x:c r="M465" s="8" t="n">
        <x:v>0</x:v>
      </x:c>
      <x:c r="N465" s="8" t="n">
        <x:v>0</x:v>
      </x:c>
      <x:c r="O465" s="8" t="n">
        <x:v>41.38215584918501</x:v>
      </x:c>
      <x:c r="P465" s="8" t="n">
        <x:v>0</x:v>
      </x:c>
      <x:c r="Q465" s="8" t="n">
        <x:v>1.2470805589842149</x:v>
      </x:c>
      <x:c r="R465" s="8" t="n">
        <x:v>0</x:v>
      </x:c>
      <x:c r="S465" s="8" t="n">
        <x:f>L465-I465^2/H465</x:f>
        <x:v>17.38661021976544</x:v>
      </x:c>
      <x:c r="T465" s="8" t="n">
        <x:f>M465-J465^2/H465</x:f>
        <x:v>0</x:v>
      </x:c>
      <x:c r="U465" s="8" t="n">
        <x:f>N465-I465*J465/H465</x:f>
        <x:v>0</x:v>
      </x:c>
      <x:c r="V465" s="8" t="n">
        <x:f>O465-I465*K465/H465</x:f>
        <x:v>17.445944131292457</x:v>
      </x:c>
      <x:c r="W465" s="8" t="n">
        <x:f>P465-J465*K465/H465</x:f>
        <x:v>0</x:v>
      </x:c>
      <x:c r="X465" s="8" t="n">
        <x:f>V465/S465</x:f>
        <x:v>1.003412621021409</x:v>
      </x:c>
      <x:c r="Y465" s="8" t="n">
        <x:f>0</x:f>
        <x:v>0</x:v>
      </x:c>
      <x:c r="Z465" s="8" t="n">
        <x:f>K465/H465-X465*I465/H465-Y465*J465/H465</x:f>
        <x:v>0.4988814414266294</x:v>
      </x:c>
      <x:c r="AA465" s="8" t="n">
        <x:f>Z465+X465*Q465+Y465*R465</x:f>
        <x:v>1.7502178137418243</x:v>
      </x:c>
    </x:row>
    <x:row r="466" ht="26" customHeight="1">
      <x:c r="A466" s="2"/>
      <x:c r="B466" s="2" t="n">
        <x:v>461</x:v>
      </x:c>
      <x:c r="C466" s="2" t="str">
        <x:v>Health Care / price_contribution</x:v>
      </x:c>
      <x:c r="D466" s="2" t="str">
        <x:v>Own history</x:v>
      </x:c>
      <x:c r="E466" s="7" t="n">
        <x:v>46112</x:v>
      </x:c>
      <x:c r="F466" s="2" t="str">
        <x:v>Prior report</x:v>
      </x:c>
      <x:c r="G466" s="7" t="n">
        <x:v>46045</x:v>
      </x:c>
      <x:c r="H466" s="2" t="n">
        <x:v>19</x:v>
      </x:c>
      <x:c r="I466" s="8" t="n">
        <x:v>56</x:v>
      </x:c>
      <x:c r="J466" s="8" t="n">
        <x:v>0</x:v>
      </x:c>
      <x:c r="K466" s="8" t="n">
        <x:v>57</x:v>
      </x:c>
      <x:c r="L466" s="8" t="n">
        <x:v>256</x:v>
      </x:c>
      <x:c r="M466" s="8" t="n">
        <x:v>0</x:v>
      </x:c>
      <x:c r="N466" s="8" t="n">
        <x:v>0</x:v>
      </x:c>
      <x:c r="O466" s="8" t="n">
        <x:v>247</x:v>
      </x:c>
      <x:c r="P466" s="8" t="n">
        <x:v>0</x:v>
      </x:c>
      <x:c r="Q466" s="8" t="n">
        <x:v>1</x:v>
      </x:c>
      <x:c r="R466" s="8" t="n">
        <x:v>0</x:v>
      </x:c>
      <x:c r="S466" s="8" t="n">
        <x:f>L466-I466^2/H466</x:f>
        <x:v>90.94736842105263</x:v>
      </x:c>
      <x:c r="T466" s="8" t="n">
        <x:f>M466-J466^2/H466</x:f>
        <x:v>0</x:v>
      </x:c>
      <x:c r="U466" s="8" t="n">
        <x:f>N466-I466*J466/H466</x:f>
        <x:v>0</x:v>
      </x:c>
      <x:c r="V466" s="8" t="n">
        <x:f>O466-I466*K466/H466</x:f>
        <x:v>79</x:v>
      </x:c>
      <x:c r="W466" s="8" t="n">
        <x:f>P466-J466*K466/H466</x:f>
        <x:v>0</x:v>
      </x:c>
      <x:c r="X466" s="8" t="n">
        <x:f>V466/S466</x:f>
        <x:v>0.8686342592592593</x:v>
      </x:c>
      <x:c r="Y466" s="8" t="n">
        <x:f>0</x:f>
        <x:v>0</x:v>
      </x:c>
      <x:c r="Z466" s="8" t="n">
        <x:f>K466/H466-X466*I466/H466-Y466*J466/H466</x:f>
        <x:v>0.4398148148148149</x:v>
      </x:c>
      <x:c r="AA466" s="8" t="n">
        <x:f>Z466+X466*Q466+Y466*R466</x:f>
        <x:v>1.3084490740740742</x:v>
      </x:c>
    </x:row>
    <x:row r="467" ht="26" customHeight="1">
      <x:c r="A467" s="2"/>
      <x:c r="B467" s="2" t="n">
        <x:v>462</x:v>
      </x:c>
      <x:c r="C467" s="2" t="str">
        <x:v>Health Care / price_contribution</x:v>
      </x:c>
      <x:c r="D467" s="2" t="str">
        <x:v>Broad market</x:v>
      </x:c>
      <x:c r="E467" s="7" t="n">
        <x:v>46112</x:v>
      </x:c>
      <x:c r="F467" s="2" t="str">
        <x:v>Pre-earnings</x:v>
      </x:c>
      <x:c r="G467" s="7" t="n">
        <x:v>46135</x:v>
      </x:c>
      <x:c r="H467" s="2" t="n">
        <x:v>19</x:v>
      </x:c>
      <x:c r="I467" s="8" t="n">
        <x:v>47.46071724596763</x:v>
      </x:c>
      <x:c r="J467" s="8" t="n">
        <x:v>0</x:v>
      </x:c>
      <x:c r="K467" s="8" t="n">
        <x:v>56</x:v>
      </x:c>
      <x:c r="L467" s="8" t="n">
        <x:v>257.85563851793324</x:v>
      </x:c>
      <x:c r="M467" s="8" t="n">
        <x:v>0</x:v>
      </x:c>
      <x:c r="N467" s="8" t="n">
        <x:v>0</x:v>
      </x:c>
      <x:c r="O467" s="8" t="n">
        <x:v>245.83415317121913</x:v>
      </x:c>
      <x:c r="P467" s="8" t="n">
        <x:v>0</x:v>
      </x:c>
      <x:c r="Q467" s="8" t="n">
        <x:v>1.9491325309717533</x:v>
      </x:c>
      <x:c r="R467" s="8" t="n">
        <x:v>0</x:v>
      </x:c>
      <x:c r="S467" s="8" t="n">
        <x:f>L467-I467^2/H467</x:f>
        <x:v>139.30197107047593</x:v>
      </x:c>
      <x:c r="T467" s="8" t="n">
        <x:f>M467-J467^2/H467</x:f>
        <x:v>0</x:v>
      </x:c>
      <x:c r="U467" s="8" t="n">
        <x:f>N467-I467*J467/H467</x:f>
        <x:v>0</x:v>
      </x:c>
      <x:c r="V467" s="8" t="n">
        <x:f>O467-I467*K467/H467</x:f>
        <x:v>105.94993391994612</x:v>
      </x:c>
      <x:c r="W467" s="8" t="n">
        <x:f>P467-J467*K467/H467</x:f>
        <x:v>0</x:v>
      </x:c>
      <x:c r="X467" s="8" t="n">
        <x:f>V467/S467</x:f>
        <x:v>0.7605774211647279</x:v>
      </x:c>
      <x:c r="Y467" s="8" t="n">
        <x:f>0</x:f>
        <x:v>0</x:v>
      </x:c>
      <x:c r="Z467" s="8" t="n">
        <x:f>K467/H467-X467*I467/H467-Y467*J467/H467</x:f>
        <x:v>1.0474973721280845</x:v>
      </x:c>
      <x:c r="AA467" s="8" t="n">
        <x:f>Z467+X467*Q467+Y467*R467</x:f>
        <x:v>2.52996356604286</x:v>
      </x:c>
    </x:row>
    <x:row r="468" ht="26" customHeight="1">
      <x:c r="A468" s="2"/>
      <x:c r="B468" s="2" t="n">
        <x:v>463</x:v>
      </x:c>
      <x:c r="C468" s="2" t="str">
        <x:v>Health Care / price_contribution</x:v>
      </x:c>
      <x:c r="D468" s="2" t="str">
        <x:v>Broad rolling 8</x:v>
      </x:c>
      <x:c r="E468" s="7" t="n">
        <x:v>46112</x:v>
      </x:c>
      <x:c r="F468" s="2" t="str">
        <x:v>Pre-earnings</x:v>
      </x:c>
      <x:c r="G468" s="7" t="n">
        <x:v>46135</x:v>
      </x:c>
      <x:c r="H468" s="2" t="n">
        <x:v>8</x:v>
      </x:c>
      <x:c r="I468" s="8" t="n">
        <x:v>11.968105858946277</x:v>
      </x:c>
      <x:c r="J468" s="8" t="n">
        <x:v>0</x:v>
      </x:c>
      <x:c r="K468" s="8" t="n">
        <x:v>16</x:v>
      </x:c>
      <x:c r="L468" s="8" t="n">
        <x:v>35.29105495113347</x:v>
      </x:c>
      <x:c r="M468" s="8" t="n">
        <x:v>0</x:v>
      </x:c>
      <x:c r="N468" s="8" t="n">
        <x:v>0</x:v>
      </x:c>
      <x:c r="O468" s="8" t="n">
        <x:v>41.38215584918501</x:v>
      </x:c>
      <x:c r="P468" s="8" t="n">
        <x:v>0</x:v>
      </x:c>
      <x:c r="Q468" s="8" t="n">
        <x:v>1.9491325309717533</x:v>
      </x:c>
      <x:c r="R468" s="8" t="n">
        <x:v>0</x:v>
      </x:c>
      <x:c r="S468" s="8" t="n">
        <x:f>L468-I468^2/H468</x:f>
        <x:v>17.38661021976544</x:v>
      </x:c>
      <x:c r="T468" s="8" t="n">
        <x:f>M468-J468^2/H468</x:f>
        <x:v>0</x:v>
      </x:c>
      <x:c r="U468" s="8" t="n">
        <x:f>N468-I468*J468/H468</x:f>
        <x:v>0</x:v>
      </x:c>
      <x:c r="V468" s="8" t="n">
        <x:f>O468-I468*K468/H468</x:f>
        <x:v>17.445944131292457</x:v>
      </x:c>
      <x:c r="W468" s="8" t="n">
        <x:f>P468-J468*K468/H468</x:f>
        <x:v>0</x:v>
      </x:c>
      <x:c r="X468" s="8" t="n">
        <x:f>V468/S468</x:f>
        <x:v>1.003412621021409</x:v>
      </x:c>
      <x:c r="Y468" s="8" t="n">
        <x:f>0</x:f>
        <x:v>0</x:v>
      </x:c>
      <x:c r="Z468" s="8" t="n">
        <x:f>K468/H468-X468*I468/H468-Y468*J468/H468</x:f>
        <x:v>0.4988814414266294</x:v>
      </x:c>
      <x:c r="AA468" s="8" t="n">
        <x:f>Z468+X468*Q468+Y468*R468</x:f>
        <x:v>2.454665623047089</x:v>
      </x:c>
    </x:row>
    <x:row r="469" ht="26" customHeight="1">
      <x:c r="A469" s="2"/>
      <x:c r="B469" s="2" t="n">
        <x:v>464</x:v>
      </x:c>
      <x:c r="C469" s="2" t="str">
        <x:v>Health Care / price_contribution</x:v>
      </x:c>
      <x:c r="D469" s="2" t="str">
        <x:v>Own history</x:v>
      </x:c>
      <x:c r="E469" s="7" t="n">
        <x:v>46112</x:v>
      </x:c>
      <x:c r="F469" s="2" t="str">
        <x:v>Pre-earnings</x:v>
      </x:c>
      <x:c r="G469" s="7" t="n">
        <x:v>46135</x:v>
      </x:c>
      <x:c r="H469" s="2" t="n">
        <x:v>19</x:v>
      </x:c>
      <x:c r="I469" s="8" t="n">
        <x:v>56</x:v>
      </x:c>
      <x:c r="J469" s="8" t="n">
        <x:v>0</x:v>
      </x:c>
      <x:c r="K469" s="8" t="n">
        <x:v>57</x:v>
      </x:c>
      <x:c r="L469" s="8" t="n">
        <x:v>256</x:v>
      </x:c>
      <x:c r="M469" s="8" t="n">
        <x:v>0</x:v>
      </x:c>
      <x:c r="N469" s="8" t="n">
        <x:v>0</x:v>
      </x:c>
      <x:c r="O469" s="8" t="n">
        <x:v>247</x:v>
      </x:c>
      <x:c r="P469" s="8" t="n">
        <x:v>0</x:v>
      </x:c>
      <x:c r="Q469" s="8" t="n">
        <x:v>1</x:v>
      </x:c>
      <x:c r="R469" s="8" t="n">
        <x:v>0</x:v>
      </x:c>
      <x:c r="S469" s="8" t="n">
        <x:f>L469-I469^2/H469</x:f>
        <x:v>90.94736842105263</x:v>
      </x:c>
      <x:c r="T469" s="8" t="n">
        <x:f>M469-J469^2/H469</x:f>
        <x:v>0</x:v>
      </x:c>
      <x:c r="U469" s="8" t="n">
        <x:f>N469-I469*J469/H469</x:f>
        <x:v>0</x:v>
      </x:c>
      <x:c r="V469" s="8" t="n">
        <x:f>O469-I469*K469/H469</x:f>
        <x:v>79</x:v>
      </x:c>
      <x:c r="W469" s="8" t="n">
        <x:f>P469-J469*K469/H469</x:f>
        <x:v>0</x:v>
      </x:c>
      <x:c r="X469" s="8" t="n">
        <x:f>V469/S469</x:f>
        <x:v>0.8686342592592593</x:v>
      </x:c>
      <x:c r="Y469" s="8" t="n">
        <x:f>0</x:f>
        <x:v>0</x:v>
      </x:c>
      <x:c r="Z469" s="8" t="n">
        <x:f>K469/H469-X469*I469/H469-Y469*J469/H469</x:f>
        <x:v>0.4398148148148149</x:v>
      </x:c>
      <x:c r="AA469" s="8" t="n">
        <x:f>Z469+X469*Q469+Y469*R469</x:f>
        <x:v>1.3084490740740742</x:v>
      </x:c>
    </x:row>
    <x:row r="470" ht="26" customHeight="1">
      <x:c r="A470" s="2"/>
      <x:c r="B470" s="2" t="n">
        <x:v>465</x:v>
      </x:c>
      <x:c r="C470" s="2" t="str">
        <x:v>Fabric &amp; Home Care / price_contribution</x:v>
      </x:c>
      <x:c r="D470" s="2" t="str">
        <x:v>Broad market</x:v>
      </x:c>
      <x:c r="E470" s="7" t="n">
        <x:v>45107</x:v>
      </x:c>
      <x:c r="F470" s="2" t="str">
        <x:v>Origin</x:v>
      </x:c>
      <x:c r="G470" s="7" t="n">
        <x:v>45017</x:v>
      </x:c>
      <x:c r="H470" s="2" t="n">
        <x:v>8</x:v>
      </x:c>
      <x:c r="I470" s="8" t="n">
        <x:v>16.168397415672132</x:v>
      </x:c>
      <x:c r="J470" s="8" t="n">
        <x:v>0</x:v>
      </x:c>
      <x:c r="K470" s="8" t="n">
        <x:v>45</x:v>
      </x:c>
      <x:c r="L470" s="8" t="n">
        <x:v>96.70113017065493</x:v>
      </x:c>
      <x:c r="M470" s="8" t="n">
        <x:v>0</x:v>
      </x:c>
      <x:c r="N470" s="8" t="n">
        <x:v>0</x:v>
      </x:c>
      <x:c r="O470" s="8" t="n">
        <x:v>191.6283643435256</x:v>
      </x:c>
      <x:c r="P470" s="8" t="n">
        <x:v>0</x:v>
      </x:c>
      <x:c r="Q470" s="8" t="n">
        <x:v>7.117736159808752</x:v>
      </x:c>
      <x:c r="R470" s="8" t="n">
        <x:v>0</x:v>
      </x:c>
      <x:c r="S470" s="8" t="n">
        <x:f>L470-I470^2/H470</x:f>
        <x:v>64.02399579676577</x:v>
      </x:c>
      <x:c r="T470" s="8" t="n">
        <x:f>M470-J470^2/H470</x:f>
        <x:v>0</x:v>
      </x:c>
      <x:c r="U470" s="8" t="n">
        <x:f>N470-I470*J470/H470</x:f>
        <x:v>0</x:v>
      </x:c>
      <x:c r="V470" s="8" t="n">
        <x:f>O470-I470*K470/H470</x:f>
        <x:v>100.68112888036984</x:v>
      </x:c>
      <x:c r="W470" s="8" t="n">
        <x:f>P470-J470*K470/H470</x:f>
        <x:v>0</x:v>
      </x:c>
      <x:c r="X470" s="8" t="n">
        <x:f>V470/S470</x:f>
        <x:v>1.572553034646048</x:v>
      </x:c>
      <x:c r="Y470" s="8" t="n">
        <x:f>0</x:f>
        <x:v>0</x:v>
      </x:c>
      <x:c r="Z470" s="8" t="n">
        <x:f>K470/H470-X470*I470/H470-Y470*J470/H470</x:f>
        <x:v>2.446792197327684</x:v>
      </x:c>
      <x:c r="AA470" s="8" t="n">
        <x:f>Z470+X470*Q470+Y470*R470</x:f>
        <x:v>13.639809795244844</x:v>
      </x:c>
    </x:row>
    <x:row r="471" ht="26" customHeight="1">
      <x:c r="A471" s="2"/>
      <x:c r="B471" s="2" t="n">
        <x:v>466</x:v>
      </x:c>
      <x:c r="C471" s="2" t="str">
        <x:v>Fabric &amp; Home Care / price_contribution</x:v>
      </x:c>
      <x:c r="D471" s="2" t="str">
        <x:v>Broad rolling 8</x:v>
      </x:c>
      <x:c r="E471" s="7" t="n">
        <x:v>45107</x:v>
      </x:c>
      <x:c r="F471" s="2" t="str">
        <x:v>Origin</x:v>
      </x:c>
      <x:c r="G471" s="7" t="n">
        <x:v>45017</x:v>
      </x:c>
      <x:c r="H471" s="2" t="n">
        <x:v>8</x:v>
      </x:c>
      <x:c r="I471" s="8" t="n">
        <x:v>16.168397415672132</x:v>
      </x:c>
      <x:c r="J471" s="8" t="n">
        <x:v>0</x:v>
      </x:c>
      <x:c r="K471" s="8" t="n">
        <x:v>45</x:v>
      </x:c>
      <x:c r="L471" s="8" t="n">
        <x:v>96.70113017065493</x:v>
      </x:c>
      <x:c r="M471" s="8" t="n">
        <x:v>0</x:v>
      </x:c>
      <x:c r="N471" s="8" t="n">
        <x:v>0</x:v>
      </x:c>
      <x:c r="O471" s="8" t="n">
        <x:v>191.6283643435256</x:v>
      </x:c>
      <x:c r="P471" s="8" t="n">
        <x:v>0</x:v>
      </x:c>
      <x:c r="Q471" s="8" t="n">
        <x:v>7.117736159808752</x:v>
      </x:c>
      <x:c r="R471" s="8" t="n">
        <x:v>0</x:v>
      </x:c>
      <x:c r="S471" s="8" t="n">
        <x:f>L471-I471^2/H471</x:f>
        <x:v>64.02399579676577</x:v>
      </x:c>
      <x:c r="T471" s="8" t="n">
        <x:f>M471-J471^2/H471</x:f>
        <x:v>0</x:v>
      </x:c>
      <x:c r="U471" s="8" t="n">
        <x:f>N471-I471*J471/H471</x:f>
        <x:v>0</x:v>
      </x:c>
      <x:c r="V471" s="8" t="n">
        <x:f>O471-I471*K471/H471</x:f>
        <x:v>100.68112888036984</x:v>
      </x:c>
      <x:c r="W471" s="8" t="n">
        <x:f>P471-J471*K471/H471</x:f>
        <x:v>0</x:v>
      </x:c>
      <x:c r="X471" s="8" t="n">
        <x:f>V471/S471</x:f>
        <x:v>1.572553034646048</x:v>
      </x:c>
      <x:c r="Y471" s="8" t="n">
        <x:f>0</x:f>
        <x:v>0</x:v>
      </x:c>
      <x:c r="Z471" s="8" t="n">
        <x:f>K471/H471-X471*I471/H471-Y471*J471/H471</x:f>
        <x:v>2.446792197327684</x:v>
      </x:c>
      <x:c r="AA471" s="8" t="n">
        <x:f>Z471+X471*Q471+Y471*R471</x:f>
        <x:v>13.639809795244844</x:v>
      </x:c>
    </x:row>
    <x:row r="472" ht="26" customHeight="1">
      <x:c r="A472" s="2"/>
      <x:c r="B472" s="2" t="n">
        <x:v>467</x:v>
      </x:c>
      <x:c r="C472" s="2" t="str">
        <x:v>Fabric &amp; Home Care / price_contribution</x:v>
      </x:c>
      <x:c r="D472" s="2" t="str">
        <x:v>Broad market</x:v>
      </x:c>
      <x:c r="E472" s="7" t="n">
        <x:v>45107</x:v>
      </x:c>
      <x:c r="F472" s="2" t="str">
        <x:v>Prior report</x:v>
      </x:c>
      <x:c r="G472" s="7" t="n">
        <x:v>45037</x:v>
      </x:c>
      <x:c r="H472" s="2" t="n">
        <x:v>9</x:v>
      </x:c>
      <x:c r="I472" s="8" t="n">
        <x:v>22.94079143912051</x:v>
      </x:c>
      <x:c r="J472" s="8" t="n">
        <x:v>0</x:v>
      </x:c>
      <x:c r="K472" s="8" t="n">
        <x:v>58</x:v>
      </x:c>
      <x:c r="L472" s="8" t="n">
        <x:v>142.56645097949428</x:v>
      </x:c>
      <x:c r="M472" s="8" t="n">
        <x:v>0</x:v>
      </x:c>
      <x:c r="N472" s="8" t="n">
        <x:v>0</x:v>
      </x:c>
      <x:c r="O472" s="8" t="n">
        <x:v>279.66948664835456</x:v>
      </x:c>
      <x:c r="P472" s="8" t="n">
        <x:v>0</x:v>
      </x:c>
      <x:c r="Q472" s="8" t="n">
        <x:v>6.774056644823578</x:v>
      </x:c>
      <x:c r="R472" s="8" t="n">
        <x:v>0</x:v>
      </x:c>
      <x:c r="S472" s="8" t="n">
        <x:f>L472-I472^2/H472</x:f>
        <x:v>84.09090521802484</x:v>
      </x:c>
      <x:c r="T472" s="8" t="n">
        <x:f>M472-J472^2/H472</x:f>
        <x:v>0</x:v>
      </x:c>
      <x:c r="U472" s="8" t="n">
        <x:f>N472-I472*J472/H472</x:f>
        <x:v>0</x:v>
      </x:c>
      <x:c r="V472" s="8" t="n">
        <x:f>O472-I472*K472/H472</x:f>
        <x:v>131.82883070735573</x:v>
      </x:c>
      <x:c r="W472" s="8" t="n">
        <x:f>P472-J472*K472/H472</x:f>
        <x:v>0</x:v>
      </x:c>
      <x:c r="X472" s="8" t="n">
        <x:f>V472/S472</x:f>
        <x:v>1.5676942752079959</x:v>
      </x:c>
      <x:c r="Y472" s="8" t="n">
        <x:f>0</x:f>
        <x:v>0</x:v>
      </x:c>
      <x:c r="Z472" s="8" t="n">
        <x:f>K472/H472-X472*I472/H472-Y472*J472/H472</x:f>
        <x:v>2.4484280657944644</x:v>
      </x:c>
      <x:c r="AA472" s="8" t="n">
        <x:f>Z472+X472*Q472+Y472*R472</x:f>
        <x:v>13.068077887819072</x:v>
      </x:c>
    </x:row>
    <x:row r="473" ht="26" customHeight="1">
      <x:c r="A473" s="2"/>
      <x:c r="B473" s="2" t="n">
        <x:v>468</x:v>
      </x:c>
      <x:c r="C473" s="2" t="str">
        <x:v>Fabric &amp; Home Care / price_contribution</x:v>
      </x:c>
      <x:c r="D473" s="2" t="str">
        <x:v>Broad lag 1</x:v>
      </x:c>
      <x:c r="E473" s="7" t="n">
        <x:v>45107</x:v>
      </x:c>
      <x:c r="F473" s="2" t="str">
        <x:v>Prior report</x:v>
      </x:c>
      <x:c r="G473" s="7" t="n">
        <x:v>45037</x:v>
      </x:c>
      <x:c r="H473" s="2" t="n">
        <x:v>8</x:v>
      </x:c>
      <x:c r="I473" s="8" t="n">
        <x:v>16.168397415672132</x:v>
      </x:c>
      <x:c r="J473" s="8" t="n">
        <x:v>0</x:v>
      </x:c>
      <x:c r="K473" s="8" t="n">
        <x:v>56</x:v>
      </x:c>
      <x:c r="L473" s="8" t="n">
        <x:v>96.70113017065493</x:v>
      </x:c>
      <x:c r="M473" s="8" t="n">
        <x:v>0</x:v>
      </x:c>
      <x:c r="N473" s="8" t="n">
        <x:v>0</x:v>
      </x:c>
      <x:c r="O473" s="8" t="n">
        <x:v>211.749532837257</x:v>
      </x:c>
      <x:c r="P473" s="8" t="n">
        <x:v>0</x:v>
      </x:c>
      <x:c r="Q473" s="8" t="n">
        <x:v>6.77239402344838</x:v>
      </x:c>
      <x:c r="R473" s="8" t="n">
        <x:v>0</x:v>
      </x:c>
      <x:c r="S473" s="8" t="n">
        <x:f>L473-I473^2/H473</x:f>
        <x:v>64.02399579676577</x:v>
      </x:c>
      <x:c r="T473" s="8" t="n">
        <x:f>M473-J473^2/H473</x:f>
        <x:v>0</x:v>
      </x:c>
      <x:c r="U473" s="8" t="n">
        <x:f>N473-I473*J473/H473</x:f>
        <x:v>0</x:v>
      </x:c>
      <x:c r="V473" s="8" t="n">
        <x:f>O473-I473*K473/H473</x:f>
        <x:v>98.57075092755207</x:v>
      </x:c>
      <x:c r="W473" s="8" t="n">
        <x:f>P473-J473*K473/H473</x:f>
        <x:v>0</x:v>
      </x:c>
      <x:c r="X473" s="8" t="n">
        <x:f>V473/S473</x:f>
        <x:v>1.53959073782976</x:v>
      </x:c>
      <x:c r="Y473" s="8" t="n">
        <x:f>0</x:f>
        <x:v>0</x:v>
      </x:c>
      <x:c r="Z473" s="8" t="n">
        <x:f>K473/H473-X473*I473/H473-Y473*J473/H473</x:f>
        <x:v>3.88841063666007</x:v>
      </x:c>
      <x:c r="AA473" s="8" t="n">
        <x:f>Z473+X473*Q473+Y473*R473</x:f>
        <x:v>14.315125748094818</x:v>
      </x:c>
    </x:row>
    <x:row r="474" ht="26" customHeight="1">
      <x:c r="A474" s="2"/>
      <x:c r="B474" s="2" t="n">
        <x:v>469</x:v>
      </x:c>
      <x:c r="C474" s="2" t="str">
        <x:v>Fabric &amp; Home Care / price_contribution</x:v>
      </x:c>
      <x:c r="D474" s="2" t="str">
        <x:v>Broad rolling 8</x:v>
      </x:c>
      <x:c r="E474" s="7" t="n">
        <x:v>45107</x:v>
      </x:c>
      <x:c r="F474" s="2" t="str">
        <x:v>Prior report</x:v>
      </x:c>
      <x:c r="G474" s="7" t="n">
        <x:v>45037</x:v>
      </x:c>
      <x:c r="H474" s="2" t="n">
        <x:v>8</x:v>
      </x:c>
      <x:c r="I474" s="8" t="n">
        <x:v>23.298494829725136</x:v>
      </x:c>
      <x:c r="J474" s="8" t="n">
        <x:v>0</x:v>
      </x:c>
      <x:c r="K474" s="8" t="n">
        <x:v>56</x:v>
      </x:c>
      <x:c r="L474" s="8" t="n">
        <x:v>142.43849926384422</x:v>
      </x:c>
      <x:c r="M474" s="8" t="n">
        <x:v>0</x:v>
      </x:c>
      <x:c r="N474" s="8" t="n">
        <x:v>0</x:v>
      </x:c>
      <x:c r="O474" s="8" t="n">
        <x:v>280.3848934295638</x:v>
      </x:c>
      <x:c r="P474" s="8" t="n">
        <x:v>0</x:v>
      </x:c>
      <x:c r="Q474" s="8" t="n">
        <x:v>6.774056644823578</x:v>
      </x:c>
      <x:c r="R474" s="8" t="n">
        <x:v>0</x:v>
      </x:c>
      <x:c r="S474" s="8" t="n">
        <x:f>L474-I474^2/H474</x:f>
        <x:v>74.5860165975031</x:v>
      </x:c>
      <x:c r="T474" s="8" t="n">
        <x:f>M474-J474^2/H474</x:f>
        <x:v>0</x:v>
      </x:c>
      <x:c r="U474" s="8" t="n">
        <x:f>N474-I474*J474/H474</x:f>
        <x:v>0</x:v>
      </x:c>
      <x:c r="V474" s="8" t="n">
        <x:f>O474-I474*K474/H474</x:f>
        <x:v>117.29542962148787</x:v>
      </x:c>
      <x:c r="W474" s="8" t="n">
        <x:f>P474-J474*K474/H474</x:f>
        <x:v>0</x:v>
      </x:c>
      <x:c r="X474" s="8" t="n">
        <x:f>V474/S474</x:f>
        <x:v>1.5726195736455852</x:v>
      </x:c>
      <x:c r="Y474" s="8" t="n">
        <x:f>0</x:f>
        <x:v>0</x:v>
      </x:c>
      <x:c r="Z474" s="8" t="n">
        <x:f>K474/H474-X474*I474/H474-Y474*J474/H474</x:f>
        <x:v>2.420041374286723</x:v>
      </x:c>
      <x:c r="AA474" s="8" t="n">
        <x:f>Z474+X474*Q474+Y474*R474</x:f>
        <x:v>13.073055446920222</x:v>
      </x:c>
    </x:row>
    <x:row r="475" ht="26" customHeight="1">
      <x:c r="A475" s="2"/>
      <x:c r="B475" s="2" t="n">
        <x:v>470</x:v>
      </x:c>
      <x:c r="C475" s="2" t="str">
        <x:v>Fabric &amp; Home Care / price_contribution</x:v>
      </x:c>
      <x:c r="D475" s="2" t="str">
        <x:v>Own history</x:v>
      </x:c>
      <x:c r="E475" s="7" t="n">
        <x:v>45107</x:v>
      </x:c>
      <x:c r="F475" s="2" t="str">
        <x:v>Prior report</x:v>
      </x:c>
      <x:c r="G475" s="7" t="n">
        <x:v>45037</x:v>
      </x:c>
      <x:c r="H475" s="2" t="n">
        <x:v>8</x:v>
      </x:c>
      <x:c r="I475" s="8" t="n">
        <x:v>45</x:v>
      </x:c>
      <x:c r="J475" s="8" t="n">
        <x:v>0</x:v>
      </x:c>
      <x:c r="K475" s="8" t="n">
        <x:v>56</x:v>
      </x:c>
      <x:c r="L475" s="8" t="n">
        <x:v>427</x:v>
      </x:c>
      <x:c r="M475" s="8" t="n">
        <x:v>0</x:v>
      </x:c>
      <x:c r="N475" s="8" t="n">
        <x:v>0</x:v>
      </x:c>
      <x:c r="O475" s="8" t="n">
        <x:v>486</x:v>
      </x:c>
      <x:c r="P475" s="8" t="n">
        <x:v>0</x:v>
      </x:c>
      <x:c r="Q475" s="8" t="n">
        <x:v>13</x:v>
      </x:c>
      <x:c r="R475" s="8" t="n">
        <x:v>0</x:v>
      </x:c>
      <x:c r="S475" s="8" t="n">
        <x:f>L475-I475^2/H475</x:f>
        <x:v>173.875</x:v>
      </x:c>
      <x:c r="T475" s="8" t="n">
        <x:f>M475-J475^2/H475</x:f>
        <x:v>0</x:v>
      </x:c>
      <x:c r="U475" s="8" t="n">
        <x:f>N475-I475*J475/H475</x:f>
        <x:v>0</x:v>
      </x:c>
      <x:c r="V475" s="8" t="n">
        <x:f>O475-I475*K475/H475</x:f>
        <x:v>171</x:v>
      </x:c>
      <x:c r="W475" s="8" t="n">
        <x:f>P475-J475*K475/H475</x:f>
        <x:v>0</x:v>
      </x:c>
      <x:c r="X475" s="8" t="n">
        <x:f>V475/S475</x:f>
        <x:v>0.9834651329978433</x:v>
      </x:c>
      <x:c r="Y475" s="8" t="n">
        <x:f>0</x:f>
        <x:v>0</x:v>
      </x:c>
      <x:c r="Z475" s="8" t="n">
        <x:f>K475/H475-X475*I475/H475-Y475*J475/H475</x:f>
        <x:v>1.4680086268871309</x:v>
      </x:c>
      <x:c r="AA475" s="8" t="n">
        <x:f>Z475+X475*Q475+Y475*R475</x:f>
        <x:v>14.253055355859093</x:v>
      </x:c>
    </x:row>
    <x:row r="476" ht="26" customHeight="1">
      <x:c r="A476" s="2"/>
      <x:c r="B476" s="2" t="n">
        <x:v>471</x:v>
      </x:c>
      <x:c r="C476" s="2" t="str">
        <x:v>Fabric &amp; Home Care / price_contribution</x:v>
      </x:c>
      <x:c r="D476" s="2" t="str">
        <x:v>Broad market</x:v>
      </x:c>
      <x:c r="E476" s="7" t="n">
        <x:v>45107</x:v>
      </x:c>
      <x:c r="F476" s="2" t="str">
        <x:v>Pre-earnings</x:v>
      </x:c>
      <x:c r="G476" s="7" t="n">
        <x:v>45134</x:v>
      </x:c>
      <x:c r="H476" s="2" t="n">
        <x:v>9</x:v>
      </x:c>
      <x:c r="I476" s="8" t="n">
        <x:v>22.94079143912051</x:v>
      </x:c>
      <x:c r="J476" s="8" t="n">
        <x:v>0</x:v>
      </x:c>
      <x:c r="K476" s="8" t="n">
        <x:v>58</x:v>
      </x:c>
      <x:c r="L476" s="8" t="n">
        <x:v>142.56645097949428</x:v>
      </x:c>
      <x:c r="M476" s="8" t="n">
        <x:v>0</x:v>
      </x:c>
      <x:c r="N476" s="8" t="n">
        <x:v>0</x:v>
      </x:c>
      <x:c r="O476" s="8" t="n">
        <x:v>279.66948664835456</x:v>
      </x:c>
      <x:c r="P476" s="8" t="n">
        <x:v>0</x:v>
      </x:c>
      <x:c r="Q476" s="8" t="n">
        <x:v>7.05822723217906</x:v>
      </x:c>
      <x:c r="R476" s="8" t="n">
        <x:v>0</x:v>
      </x:c>
      <x:c r="S476" s="8" t="n">
        <x:f>L476-I476^2/H476</x:f>
        <x:v>84.09090521802484</x:v>
      </x:c>
      <x:c r="T476" s="8" t="n">
        <x:f>M476-J476^2/H476</x:f>
        <x:v>0</x:v>
      </x:c>
      <x:c r="U476" s="8" t="n">
        <x:f>N476-I476*J476/H476</x:f>
        <x:v>0</x:v>
      </x:c>
      <x:c r="V476" s="8" t="n">
        <x:f>O476-I476*K476/H476</x:f>
        <x:v>131.82883070735573</x:v>
      </x:c>
      <x:c r="W476" s="8" t="n">
        <x:f>P476-J476*K476/H476</x:f>
        <x:v>0</x:v>
      </x:c>
      <x:c r="X476" s="8" t="n">
        <x:f>V476/S476</x:f>
        <x:v>1.5676942752079959</x:v>
      </x:c>
      <x:c r="Y476" s="8" t="n">
        <x:f>0</x:f>
        <x:v>0</x:v>
      </x:c>
      <x:c r="Z476" s="8" t="n">
        <x:f>K476/H476-X476*I476/H476-Y476*J476/H476</x:f>
        <x:v>2.4484280657944644</x:v>
      </x:c>
      <x:c r="AA476" s="8" t="n">
        <x:f>Z476+X476*Q476+Y476*R476</x:f>
        <x:v>13.513570490798754</x:v>
      </x:c>
    </x:row>
    <x:row r="477" ht="26" customHeight="1">
      <x:c r="A477" s="2"/>
      <x:c r="B477" s="2" t="n">
        <x:v>472</x:v>
      </x:c>
      <x:c r="C477" s="2" t="str">
        <x:v>Fabric &amp; Home Care / price_contribution</x:v>
      </x:c>
      <x:c r="D477" s="2" t="str">
        <x:v>Broad lag 1</x:v>
      </x:c>
      <x:c r="E477" s="7" t="n">
        <x:v>45107</x:v>
      </x:c>
      <x:c r="F477" s="2" t="str">
        <x:v>Pre-earnings</x:v>
      </x:c>
      <x:c r="G477" s="7" t="n">
        <x:v>45134</x:v>
      </x:c>
      <x:c r="H477" s="2" t="n">
        <x:v>8</x:v>
      </x:c>
      <x:c r="I477" s="8" t="n">
        <x:v>16.168397415672132</x:v>
      </x:c>
      <x:c r="J477" s="8" t="n">
        <x:v>0</x:v>
      </x:c>
      <x:c r="K477" s="8" t="n">
        <x:v>56</x:v>
      </x:c>
      <x:c r="L477" s="8" t="n">
        <x:v>96.70113017065493</x:v>
      </x:c>
      <x:c r="M477" s="8" t="n">
        <x:v>0</x:v>
      </x:c>
      <x:c r="N477" s="8" t="n">
        <x:v>0</x:v>
      </x:c>
      <x:c r="O477" s="8" t="n">
        <x:v>211.749532837257</x:v>
      </x:c>
      <x:c r="P477" s="8" t="n">
        <x:v>0</x:v>
      </x:c>
      <x:c r="Q477" s="8" t="n">
        <x:v>6.77239402344838</x:v>
      </x:c>
      <x:c r="R477" s="8" t="n">
        <x:v>0</x:v>
      </x:c>
      <x:c r="S477" s="8" t="n">
        <x:f>L477-I477^2/H477</x:f>
        <x:v>64.02399579676577</x:v>
      </x:c>
      <x:c r="T477" s="8" t="n">
        <x:f>M477-J477^2/H477</x:f>
        <x:v>0</x:v>
      </x:c>
      <x:c r="U477" s="8" t="n">
        <x:f>N477-I477*J477/H477</x:f>
        <x:v>0</x:v>
      </x:c>
      <x:c r="V477" s="8" t="n">
        <x:f>O477-I477*K477/H477</x:f>
        <x:v>98.57075092755207</x:v>
      </x:c>
      <x:c r="W477" s="8" t="n">
        <x:f>P477-J477*K477/H477</x:f>
        <x:v>0</x:v>
      </x:c>
      <x:c r="X477" s="8" t="n">
        <x:f>V477/S477</x:f>
        <x:v>1.53959073782976</x:v>
      </x:c>
      <x:c r="Y477" s="8" t="n">
        <x:f>0</x:f>
        <x:v>0</x:v>
      </x:c>
      <x:c r="Z477" s="8" t="n">
        <x:f>K477/H477-X477*I477/H477-Y477*J477/H477</x:f>
        <x:v>3.88841063666007</x:v>
      </x:c>
      <x:c r="AA477" s="8" t="n">
        <x:f>Z477+X477*Q477+Y477*R477</x:f>
        <x:v>14.315125748094818</x:v>
      </x:c>
    </x:row>
    <x:row r="478" ht="26" customHeight="1">
      <x:c r="A478" s="2"/>
      <x:c r="B478" s="2" t="n">
        <x:v>473</x:v>
      </x:c>
      <x:c r="C478" s="2" t="str">
        <x:v>Fabric &amp; Home Care / price_contribution</x:v>
      </x:c>
      <x:c r="D478" s="2" t="str">
        <x:v>Broad rolling 8</x:v>
      </x:c>
      <x:c r="E478" s="7" t="n">
        <x:v>45107</x:v>
      </x:c>
      <x:c r="F478" s="2" t="str">
        <x:v>Pre-earnings</x:v>
      </x:c>
      <x:c r="G478" s="7" t="n">
        <x:v>45134</x:v>
      </x:c>
      <x:c r="H478" s="2" t="n">
        <x:v>8</x:v>
      </x:c>
      <x:c r="I478" s="8" t="n">
        <x:v>23.298494829725136</x:v>
      </x:c>
      <x:c r="J478" s="8" t="n">
        <x:v>0</x:v>
      </x:c>
      <x:c r="K478" s="8" t="n">
        <x:v>56</x:v>
      </x:c>
      <x:c r="L478" s="8" t="n">
        <x:v>142.43849926384422</x:v>
      </x:c>
      <x:c r="M478" s="8" t="n">
        <x:v>0</x:v>
      </x:c>
      <x:c r="N478" s="8" t="n">
        <x:v>0</x:v>
      </x:c>
      <x:c r="O478" s="8" t="n">
        <x:v>280.3848934295638</x:v>
      </x:c>
      <x:c r="P478" s="8" t="n">
        <x:v>0</x:v>
      </x:c>
      <x:c r="Q478" s="8" t="n">
        <x:v>7.05822723217906</x:v>
      </x:c>
      <x:c r="R478" s="8" t="n">
        <x:v>0</x:v>
      </x:c>
      <x:c r="S478" s="8" t="n">
        <x:f>L478-I478^2/H478</x:f>
        <x:v>74.5860165975031</x:v>
      </x:c>
      <x:c r="T478" s="8" t="n">
        <x:f>M478-J478^2/H478</x:f>
        <x:v>0</x:v>
      </x:c>
      <x:c r="U478" s="8" t="n">
        <x:f>N478-I478*J478/H478</x:f>
        <x:v>0</x:v>
      </x:c>
      <x:c r="V478" s="8" t="n">
        <x:f>O478-I478*K478/H478</x:f>
        <x:v>117.29542962148787</x:v>
      </x:c>
      <x:c r="W478" s="8" t="n">
        <x:f>P478-J478*K478/H478</x:f>
        <x:v>0</x:v>
      </x:c>
      <x:c r="X478" s="8" t="n">
        <x:f>V478/S478</x:f>
        <x:v>1.5726195736455852</x:v>
      </x:c>
      <x:c r="Y478" s="8" t="n">
        <x:f>0</x:f>
        <x:v>0</x:v>
      </x:c>
      <x:c r="Z478" s="8" t="n">
        <x:f>K478/H478-X478*I478/H478-Y478*J478/H478</x:f>
        <x:v>2.420041374286723</x:v>
      </x:c>
      <x:c r="AA478" s="8" t="n">
        <x:f>Z478+X478*Q478+Y478*R478</x:f>
        <x:v>13.519947674849814</x:v>
      </x:c>
    </x:row>
    <x:row r="479" ht="26" customHeight="1">
      <x:c r="A479" s="2"/>
      <x:c r="B479" s="2" t="n">
        <x:v>474</x:v>
      </x:c>
      <x:c r="C479" s="2" t="str">
        <x:v>Fabric &amp; Home Care / price_contribution</x:v>
      </x:c>
      <x:c r="D479" s="2" t="str">
        <x:v>Own history</x:v>
      </x:c>
      <x:c r="E479" s="7" t="n">
        <x:v>45107</x:v>
      </x:c>
      <x:c r="F479" s="2" t="str">
        <x:v>Pre-earnings</x:v>
      </x:c>
      <x:c r="G479" s="7" t="n">
        <x:v>45134</x:v>
      </x:c>
      <x:c r="H479" s="2" t="n">
        <x:v>8</x:v>
      </x:c>
      <x:c r="I479" s="8" t="n">
        <x:v>45</x:v>
      </x:c>
      <x:c r="J479" s="8" t="n">
        <x:v>0</x:v>
      </x:c>
      <x:c r="K479" s="8" t="n">
        <x:v>56</x:v>
      </x:c>
      <x:c r="L479" s="8" t="n">
        <x:v>427</x:v>
      </x:c>
      <x:c r="M479" s="8" t="n">
        <x:v>0</x:v>
      </x:c>
      <x:c r="N479" s="8" t="n">
        <x:v>0</x:v>
      </x:c>
      <x:c r="O479" s="8" t="n">
        <x:v>486</x:v>
      </x:c>
      <x:c r="P479" s="8" t="n">
        <x:v>0</x:v>
      </x:c>
      <x:c r="Q479" s="8" t="n">
        <x:v>13</x:v>
      </x:c>
      <x:c r="R479" s="8" t="n">
        <x:v>0</x:v>
      </x:c>
      <x:c r="S479" s="8" t="n">
        <x:f>L479-I479^2/H479</x:f>
        <x:v>173.875</x:v>
      </x:c>
      <x:c r="T479" s="8" t="n">
        <x:f>M479-J479^2/H479</x:f>
        <x:v>0</x:v>
      </x:c>
      <x:c r="U479" s="8" t="n">
        <x:f>N479-I479*J479/H479</x:f>
        <x:v>0</x:v>
      </x:c>
      <x:c r="V479" s="8" t="n">
        <x:f>O479-I479*K479/H479</x:f>
        <x:v>171</x:v>
      </x:c>
      <x:c r="W479" s="8" t="n">
        <x:f>P479-J479*K479/H479</x:f>
        <x:v>0</x:v>
      </x:c>
      <x:c r="X479" s="8" t="n">
        <x:f>V479/S479</x:f>
        <x:v>0.9834651329978433</x:v>
      </x:c>
      <x:c r="Y479" s="8" t="n">
        <x:f>0</x:f>
        <x:v>0</x:v>
      </x:c>
      <x:c r="Z479" s="8" t="n">
        <x:f>K479/H479-X479*I479/H479-Y479*J479/H479</x:f>
        <x:v>1.4680086268871309</x:v>
      </x:c>
      <x:c r="AA479" s="8" t="n">
        <x:f>Z479+X479*Q479+Y479*R479</x:f>
        <x:v>14.253055355859093</x:v>
      </x:c>
    </x:row>
    <x:row r="480" ht="26" customHeight="1">
      <x:c r="A480" s="2"/>
      <x:c r="B480" s="2" t="n">
        <x:v>475</x:v>
      </x:c>
      <x:c r="C480" s="2" t="str">
        <x:v>Fabric &amp; Home Care / price_contribution</x:v>
      </x:c>
      <x:c r="D480" s="2" t="str">
        <x:v>Broad market</x:v>
      </x:c>
      <x:c r="E480" s="7" t="n">
        <x:v>45199</x:v>
      </x:c>
      <x:c r="F480" s="2" t="str">
        <x:v>Origin</x:v>
      </x:c>
      <x:c r="G480" s="7" t="n">
        <x:v>45108</x:v>
      </x:c>
      <x:c r="H480" s="2" t="n">
        <x:v>9</x:v>
      </x:c>
      <x:c r="I480" s="8" t="n">
        <x:v>22.94079143912051</x:v>
      </x:c>
      <x:c r="J480" s="8" t="n">
        <x:v>0</x:v>
      </x:c>
      <x:c r="K480" s="8" t="n">
        <x:v>58</x:v>
      </x:c>
      <x:c r="L480" s="8" t="n">
        <x:v>142.56645097949428</x:v>
      </x:c>
      <x:c r="M480" s="8" t="n">
        <x:v>0</x:v>
      </x:c>
      <x:c r="N480" s="8" t="n">
        <x:v>0</x:v>
      </x:c>
      <x:c r="O480" s="8" t="n">
        <x:v>279.66948664835456</x:v>
      </x:c>
      <x:c r="P480" s="8" t="n">
        <x:v>0</x:v>
      </x:c>
      <x:c r="Q480" s="8" t="n">
        <x:v>6.911987903518213</x:v>
      </x:c>
      <x:c r="R480" s="8" t="n">
        <x:v>0</x:v>
      </x:c>
      <x:c r="S480" s="8" t="n">
        <x:f>L480-I480^2/H480</x:f>
        <x:v>84.09090521802484</x:v>
      </x:c>
      <x:c r="T480" s="8" t="n">
        <x:f>M480-J480^2/H480</x:f>
        <x:v>0</x:v>
      </x:c>
      <x:c r="U480" s="8" t="n">
        <x:f>N480-I480*J480/H480</x:f>
        <x:v>0</x:v>
      </x:c>
      <x:c r="V480" s="8" t="n">
        <x:f>O480-I480*K480/H480</x:f>
        <x:v>131.82883070735573</x:v>
      </x:c>
      <x:c r="W480" s="8" t="n">
        <x:f>P480-J480*K480/H480</x:f>
        <x:v>0</x:v>
      </x:c>
      <x:c r="X480" s="8" t="n">
        <x:f>V480/S480</x:f>
        <x:v>1.5676942752079959</x:v>
      </x:c>
      <x:c r="Y480" s="8" t="n">
        <x:f>0</x:f>
        <x:v>0</x:v>
      </x:c>
      <x:c r="Z480" s="8" t="n">
        <x:f>K480/H480-X480*I480/H480-Y480*J480/H480</x:f>
        <x:v>2.4484280657944644</x:v>
      </x:c>
      <x:c r="AA480" s="8" t="n">
        <x:f>Z480+X480*Q480+Y480*R480</x:f>
        <x:v>13.284311932446885</x:v>
      </x:c>
    </x:row>
    <x:row r="481" ht="26" customHeight="1">
      <x:c r="A481" s="2"/>
      <x:c r="B481" s="2" t="n">
        <x:v>476</x:v>
      </x:c>
      <x:c r="C481" s="2" t="str">
        <x:v>Fabric &amp; Home Care / price_contribution</x:v>
      </x:c>
      <x:c r="D481" s="2" t="str">
        <x:v>Broad rolling 8</x:v>
      </x:c>
      <x:c r="E481" s="7" t="n">
        <x:v>45199</x:v>
      </x:c>
      <x:c r="F481" s="2" t="str">
        <x:v>Origin</x:v>
      </x:c>
      <x:c r="G481" s="7" t="n">
        <x:v>45108</x:v>
      </x:c>
      <x:c r="H481" s="2" t="n">
        <x:v>8</x:v>
      </x:c>
      <x:c r="I481" s="8" t="n">
        <x:v>23.298494829725136</x:v>
      </x:c>
      <x:c r="J481" s="8" t="n">
        <x:v>0</x:v>
      </x:c>
      <x:c r="K481" s="8" t="n">
        <x:v>56</x:v>
      </x:c>
      <x:c r="L481" s="8" t="n">
        <x:v>142.43849926384422</x:v>
      </x:c>
      <x:c r="M481" s="8" t="n">
        <x:v>0</x:v>
      </x:c>
      <x:c r="N481" s="8" t="n">
        <x:v>0</x:v>
      </x:c>
      <x:c r="O481" s="8" t="n">
        <x:v>280.3848934295638</x:v>
      </x:c>
      <x:c r="P481" s="8" t="n">
        <x:v>0</x:v>
      </x:c>
      <x:c r="Q481" s="8" t="n">
        <x:v>6.911987903518213</x:v>
      </x:c>
      <x:c r="R481" s="8" t="n">
        <x:v>0</x:v>
      </x:c>
      <x:c r="S481" s="8" t="n">
        <x:f>L481-I481^2/H481</x:f>
        <x:v>74.5860165975031</x:v>
      </x:c>
      <x:c r="T481" s="8" t="n">
        <x:f>M481-J481^2/H481</x:f>
        <x:v>0</x:v>
      </x:c>
      <x:c r="U481" s="8" t="n">
        <x:f>N481-I481*J481/H481</x:f>
        <x:v>0</x:v>
      </x:c>
      <x:c r="V481" s="8" t="n">
        <x:f>O481-I481*K481/H481</x:f>
        <x:v>117.29542962148787</x:v>
      </x:c>
      <x:c r="W481" s="8" t="n">
        <x:f>P481-J481*K481/H481</x:f>
        <x:v>0</x:v>
      </x:c>
      <x:c r="X481" s="8" t="n">
        <x:f>V481/S481</x:f>
        <x:v>1.5726195736455852</x:v>
      </x:c>
      <x:c r="Y481" s="8" t="n">
        <x:f>0</x:f>
        <x:v>0</x:v>
      </x:c>
      <x:c r="Z481" s="8" t="n">
        <x:f>K481/H481-X481*I481/H481-Y481*J481/H481</x:f>
        <x:v>2.420041374286723</x:v>
      </x:c>
      <x:c r="AA481" s="8" t="n">
        <x:f>Z481+X481*Q481+Y481*R481</x:f>
        <x:v>13.289968844160978</x:v>
      </x:c>
    </x:row>
    <x:row r="482" ht="26" customHeight="1">
      <x:c r="A482" s="2"/>
      <x:c r="B482" s="2" t="n">
        <x:v>477</x:v>
      </x:c>
      <x:c r="C482" s="2" t="str">
        <x:v>Fabric &amp; Home Care / price_contribution</x:v>
      </x:c>
      <x:c r="D482" s="2" t="str">
        <x:v>Broad market</x:v>
      </x:c>
      <x:c r="E482" s="7" t="n">
        <x:v>45199</x:v>
      </x:c>
      <x:c r="F482" s="2" t="str">
        <x:v>Prior report</x:v>
      </x:c>
      <x:c r="G482" s="7" t="n">
        <x:v>45135</x:v>
      </x:c>
      <x:c r="H482" s="2" t="n">
        <x:v>10</x:v>
      </x:c>
      <x:c r="I482" s="8" t="n">
        <x:v>29.99901867129957</x:v>
      </x:c>
      <x:c r="J482" s="8" t="n">
        <x:v>0</x:v>
      </x:c>
      <x:c r="K482" s="8" t="n">
        <x:v>64</x:v>
      </x:c>
      <x:c r="L482" s="8" t="n">
        <x:v>192.38502264056834</x:v>
      </x:c>
      <x:c r="M482" s="8" t="n">
        <x:v>0</x:v>
      </x:c>
      <x:c r="N482" s="8" t="n">
        <x:v>0</x:v>
      </x:c>
      <x:c r="O482" s="8" t="n">
        <x:v>322.0188500414289</x:v>
      </x:c>
      <x:c r="P482" s="8" t="n">
        <x:v>0</x:v>
      </x:c>
      <x:c r="Q482" s="8" t="n">
        <x:v>7.058173750908159</x:v>
      </x:c>
      <x:c r="R482" s="8" t="n">
        <x:v>0</x:v>
      </x:c>
      <x:c r="S482" s="8" t="n">
        <x:f>L482-I482^2/H482</x:f>
        <x:v>102.39091051647031</x:v>
      </x:c>
      <x:c r="T482" s="8" t="n">
        <x:f>M482-J482^2/H482</x:f>
        <x:v>0</x:v>
      </x:c>
      <x:c r="U482" s="8" t="n">
        <x:f>N482-I482*J482/H482</x:f>
        <x:v>0</x:v>
      </x:c>
      <x:c r="V482" s="8" t="n">
        <x:f>O482-I482*K482/H482</x:f>
        <x:v>130.02513054511164</x:v>
      </x:c>
      <x:c r="W482" s="8" t="n">
        <x:f>P482-J482*K482/H482</x:f>
        <x:v>0</x:v>
      </x:c>
      <x:c r="X482" s="8" t="n">
        <x:f>V482/S482</x:f>
        <x:v>1.2698893865603056</x:v>
      </x:c>
      <x:c r="Y482" s="8" t="n">
        <x:f>0</x:f>
        <x:v>0</x:v>
      </x:c>
      <x:c r="Z482" s="8" t="n">
        <x:f>K482/H482-X482*I482/H482-Y482*J482/H482</x:f>
        <x:v>2.590456458209224</x:v>
      </x:c>
      <x:c r="AA482" s="8" t="n">
        <x:f>Z482+X482*Q482+Y482*R482</x:f>
        <x:v>11.553556392986035</x:v>
      </x:c>
    </x:row>
    <x:row r="483" ht="26" customHeight="1">
      <x:c r="A483" s="2"/>
      <x:c r="B483" s="2" t="n">
        <x:v>478</x:v>
      </x:c>
      <x:c r="C483" s="2" t="str">
        <x:v>Fabric &amp; Home Care / price_contribution</x:v>
      </x:c>
      <x:c r="D483" s="2" t="str">
        <x:v>Broad lag 1</x:v>
      </x:c>
      <x:c r="E483" s="7" t="n">
        <x:v>45199</x:v>
      </x:c>
      <x:c r="F483" s="2" t="str">
        <x:v>Prior report</x:v>
      </x:c>
      <x:c r="G483" s="7" t="n">
        <x:v>45135</x:v>
      </x:c>
      <x:c r="H483" s="2" t="n">
        <x:v>9</x:v>
      </x:c>
      <x:c r="I483" s="8" t="n">
        <x:v>22.94079143912051</x:v>
      </x:c>
      <x:c r="J483" s="8" t="n">
        <x:v>0</x:v>
      </x:c>
      <x:c r="K483" s="8" t="n">
        <x:v>62</x:v>
      </x:c>
      <x:c r="L483" s="8" t="n">
        <x:v>142.56645097949428</x:v>
      </x:c>
      <x:c r="M483" s="8" t="n">
        <x:v>0</x:v>
      </x:c>
      <x:c r="N483" s="8" t="n">
        <x:v>0</x:v>
      </x:c>
      <x:c r="O483" s="8" t="n">
        <x:v>252.38389697794727</x:v>
      </x:c>
      <x:c r="P483" s="8" t="n">
        <x:v>0</x:v>
      </x:c>
      <x:c r="Q483" s="8" t="n">
        <x:v>7.05822723217906</x:v>
      </x:c>
      <x:c r="R483" s="8" t="n">
        <x:v>0</x:v>
      </x:c>
      <x:c r="S483" s="8" t="n">
        <x:f>L483-I483^2/H483</x:f>
        <x:v>84.09090521802484</x:v>
      </x:c>
      <x:c r="T483" s="8" t="n">
        <x:f>M483-J483^2/H483</x:f>
        <x:v>0</x:v>
      </x:c>
      <x:c r="U483" s="8" t="n">
        <x:f>N483-I483*J483/H483</x:f>
        <x:v>0</x:v>
      </x:c>
      <x:c r="V483" s="8" t="n">
        <x:f>O483-I483*K483/H483</x:f>
        <x:v>94.34733373067266</x:v>
      </x:c>
      <x:c r="W483" s="8" t="n">
        <x:f>P483-J483*K483/H483</x:f>
        <x:v>0</x:v>
      </x:c>
      <x:c r="X483" s="8" t="n">
        <x:f>V483/S483</x:f>
        <x:v>1.1219683446866897</x:v>
      </x:c>
      <x:c r="Y483" s="8" t="n">
        <x:f>0</x:f>
        <x:v>0</x:v>
      </x:c>
      <x:c r="Z483" s="8" t="n">
        <x:f>K483/H483-X483*I483/H483-Y483*J483/H483</x:f>
        <x:v>4.029017578138598</x:v>
      </x:c>
      <x:c r="AA483" s="8" t="n">
        <x:f>Z483+X483*Q483+Y483*R483</x:f>
        <x:v>11.948125102249053</x:v>
      </x:c>
    </x:row>
    <x:row r="484" ht="26" customHeight="1">
      <x:c r="A484" s="2"/>
      <x:c r="B484" s="2" t="n">
        <x:v>479</x:v>
      </x:c>
      <x:c r="C484" s="2" t="str">
        <x:v>Fabric &amp; Home Care / price_contribution</x:v>
      </x:c>
      <x:c r="D484" s="2" t="str">
        <x:v>Broad rolling 8</x:v>
      </x:c>
      <x:c r="E484" s="7" t="n">
        <x:v>45199</x:v>
      </x:c>
      <x:c r="F484" s="2" t="str">
        <x:v>Prior report</x:v>
      </x:c>
      <x:c r="G484" s="7" t="n">
        <x:v>45135</x:v>
      </x:c>
      <x:c r="H484" s="2" t="n">
        <x:v>8</x:v>
      </x:c>
      <x:c r="I484" s="8" t="n">
        <x:v>30.576982710611354</x:v>
      </x:c>
      <x:c r="J484" s="8" t="n">
        <x:v>0</x:v>
      </x:c>
      <x:c r="K484" s="8" t="n">
        <x:v>62</x:v>
      </x:c>
      <x:c r="L484" s="8" t="n">
        <x:v>192.2085561715494</x:v>
      </x:c>
      <x:c r="M484" s="8" t="n">
        <x:v>0</x:v>
      </x:c>
      <x:c r="N484" s="8" t="n">
        <x:v>0</x:v>
      </x:c>
      <x:c r="O484" s="8" t="n">
        <x:v>322.73425682263814</x:v>
      </x:c>
      <x:c r="P484" s="8" t="n">
        <x:v>0</x:v>
      </x:c>
      <x:c r="Q484" s="8" t="n">
        <x:v>7.058173750908159</x:v>
      </x:c>
      <x:c r="R484" s="8" t="n">
        <x:v>0</x:v>
      </x:c>
      <x:c r="S484" s="8" t="n">
        <x:f>L484-I484^2/H484</x:f>
        <x:v>75.33957221092118</x:v>
      </x:c>
      <x:c r="T484" s="8" t="n">
        <x:f>M484-J484^2/H484</x:f>
        <x:v>0</x:v>
      </x:c>
      <x:c r="U484" s="8" t="n">
        <x:f>N484-I484*J484/H484</x:f>
        <x:v>0</x:v>
      </x:c>
      <x:c r="V484" s="8" t="n">
        <x:f>O484-I484*K484/H484</x:f>
        <x:v>85.76264081540015</x:v>
      </x:c>
      <x:c r="W484" s="8" t="n">
        <x:f>P484-J484*K484/H484</x:f>
        <x:v>0</x:v>
      </x:c>
      <x:c r="X484" s="8" t="n">
        <x:f>V484/S484</x:f>
        <x:v>1.1383478602094856</x:v>
      </x:c>
      <x:c r="Y484" s="8" t="n">
        <x:f>0</x:f>
        <x:v>0</x:v>
      </x:c>
      <x:c r="Z484" s="8" t="n">
        <x:f>K484/H484-X484*I484/H484-Y484*J484/H484</x:f>
        <x:v>3.3990946449641406</x:v>
      </x:c>
      <x:c r="AA484" s="8" t="n">
        <x:f>Z484+X484*Q484+Y484*R484</x:f>
        <x:v>11.433751631297202</x:v>
      </x:c>
    </x:row>
    <x:row r="485" ht="26" customHeight="1">
      <x:c r="A485" s="2"/>
      <x:c r="B485" s="2" t="n">
        <x:v>480</x:v>
      </x:c>
      <x:c r="C485" s="2" t="str">
        <x:v>Fabric &amp; Home Care / price_contribution</x:v>
      </x:c>
      <x:c r="D485" s="2" t="str">
        <x:v>Own history</x:v>
      </x:c>
      <x:c r="E485" s="7" t="n">
        <x:v>45199</x:v>
      </x:c>
      <x:c r="F485" s="2" t="str">
        <x:v>Prior report</x:v>
      </x:c>
      <x:c r="G485" s="7" t="n">
        <x:v>45135</x:v>
      </x:c>
      <x:c r="H485" s="2" t="n">
        <x:v>9</x:v>
      </x:c>
      <x:c r="I485" s="8" t="n">
        <x:v>58</x:v>
      </x:c>
      <x:c r="J485" s="8" t="n">
        <x:v>0</x:v>
      </x:c>
      <x:c r="K485" s="8" t="n">
        <x:v>62</x:v>
      </x:c>
      <x:c r="L485" s="8" t="n">
        <x:v>596</x:v>
      </x:c>
      <x:c r="M485" s="8" t="n">
        <x:v>0</x:v>
      </x:c>
      <x:c r="N485" s="8" t="n">
        <x:v>0</x:v>
      </x:c>
      <x:c r="O485" s="8" t="n">
        <x:v>564</x:v>
      </x:c>
      <x:c r="P485" s="8" t="n">
        <x:v>0</x:v>
      </x:c>
      <x:c r="Q485" s="8" t="n">
        <x:v>6</x:v>
      </x:c>
      <x:c r="R485" s="8" t="n">
        <x:v>0</x:v>
      </x:c>
      <x:c r="S485" s="8" t="n">
        <x:f>L485-I485^2/H485</x:f>
        <x:v>222.22222222222223</x:v>
      </x:c>
      <x:c r="T485" s="8" t="n">
        <x:f>M485-J485^2/H485</x:f>
        <x:v>0</x:v>
      </x:c>
      <x:c r="U485" s="8" t="n">
        <x:f>N485-I485*J485/H485</x:f>
        <x:v>0</x:v>
      </x:c>
      <x:c r="V485" s="8" t="n">
        <x:f>O485-I485*K485/H485</x:f>
        <x:v>164.44444444444446</x:v>
      </x:c>
      <x:c r="W485" s="8" t="n">
        <x:f>P485-J485*K485/H485</x:f>
        <x:v>0</x:v>
      </x:c>
      <x:c r="X485" s="8" t="n">
        <x:f>V485/S485</x:f>
        <x:v>0.74</x:v>
      </x:c>
      <x:c r="Y485" s="8" t="n">
        <x:f>0</x:f>
        <x:v>0</x:v>
      </x:c>
      <x:c r="Z485" s="8" t="n">
        <x:f>K485/H485-X485*I485/H485-Y485*J485/H485</x:f>
        <x:v>2.12</x:v>
      </x:c>
      <x:c r="AA485" s="8" t="n">
        <x:f>Z485+X485*Q485+Y485*R485</x:f>
        <x:v>6.56</x:v>
      </x:c>
    </x:row>
    <x:row r="486" ht="26" customHeight="1">
      <x:c r="A486" s="2"/>
      <x:c r="B486" s="2" t="n">
        <x:v>481</x:v>
      </x:c>
      <x:c r="C486" s="2" t="str">
        <x:v>Fabric &amp; Home Care / price_contribution</x:v>
      </x:c>
      <x:c r="D486" s="2" t="str">
        <x:v>Broad market</x:v>
      </x:c>
      <x:c r="E486" s="7" t="n">
        <x:v>45199</x:v>
      </x:c>
      <x:c r="F486" s="2" t="str">
        <x:v>Pre-earnings</x:v>
      </x:c>
      <x:c r="G486" s="7" t="n">
        <x:v>45216</x:v>
      </x:c>
      <x:c r="H486" s="2" t="n">
        <x:v>10</x:v>
      </x:c>
      <x:c r="I486" s="8" t="n">
        <x:v>29.99901867129957</x:v>
      </x:c>
      <x:c r="J486" s="8" t="n">
        <x:v>0</x:v>
      </x:c>
      <x:c r="K486" s="8" t="n">
        <x:v>64</x:v>
      </x:c>
      <x:c r="L486" s="8" t="n">
        <x:v>192.38502264056834</x:v>
      </x:c>
      <x:c r="M486" s="8" t="n">
        <x:v>0</x:v>
      </x:c>
      <x:c r="N486" s="8" t="n">
        <x:v>0</x:v>
      </x:c>
      <x:c r="O486" s="8" t="n">
        <x:v>322.0188500414289</x:v>
      </x:c>
      <x:c r="P486" s="8" t="n">
        <x:v>0</x:v>
      </x:c>
      <x:c r="Q486" s="8" t="n">
        <x:v>5.4935927157217845</x:v>
      </x:c>
      <x:c r="R486" s="8" t="n">
        <x:v>0</x:v>
      </x:c>
      <x:c r="S486" s="8" t="n">
        <x:f>L486-I486^2/H486</x:f>
        <x:v>102.39091051647031</x:v>
      </x:c>
      <x:c r="T486" s="8" t="n">
        <x:f>M486-J486^2/H486</x:f>
        <x:v>0</x:v>
      </x:c>
      <x:c r="U486" s="8" t="n">
        <x:f>N486-I486*J486/H486</x:f>
        <x:v>0</x:v>
      </x:c>
      <x:c r="V486" s="8" t="n">
        <x:f>O486-I486*K486/H486</x:f>
        <x:v>130.02513054511164</x:v>
      </x:c>
      <x:c r="W486" s="8" t="n">
        <x:f>P486-J486*K486/H486</x:f>
        <x:v>0</x:v>
      </x:c>
      <x:c r="X486" s="8" t="n">
        <x:f>V486/S486</x:f>
        <x:v>1.2698893865603056</x:v>
      </x:c>
      <x:c r="Y486" s="8" t="n">
        <x:f>0</x:f>
        <x:v>0</x:v>
      </x:c>
      <x:c r="Z486" s="8" t="n">
        <x:f>K486/H486-X486*I486/H486-Y486*J486/H486</x:f>
        <x:v>2.590456458209224</x:v>
      </x:c>
      <x:c r="AA486" s="8" t="n">
        <x:f>Z486+X486*Q486+Y486*R486</x:f>
        <x:v>9.566711541989324</x:v>
      </x:c>
    </x:row>
    <x:row r="487" ht="26" customHeight="1">
      <x:c r="A487" s="2"/>
      <x:c r="B487" s="2" t="n">
        <x:v>482</x:v>
      </x:c>
      <x:c r="C487" s="2" t="str">
        <x:v>Fabric &amp; Home Care / price_contribution</x:v>
      </x:c>
      <x:c r="D487" s="2" t="str">
        <x:v>Broad lag 1</x:v>
      </x:c>
      <x:c r="E487" s="7" t="n">
        <x:v>45199</x:v>
      </x:c>
      <x:c r="F487" s="2" t="str">
        <x:v>Pre-earnings</x:v>
      </x:c>
      <x:c r="G487" s="7" t="n">
        <x:v>45216</x:v>
      </x:c>
      <x:c r="H487" s="2" t="n">
        <x:v>9</x:v>
      </x:c>
      <x:c r="I487" s="8" t="n">
        <x:v>22.94079143912051</x:v>
      </x:c>
      <x:c r="J487" s="8" t="n">
        <x:v>0</x:v>
      </x:c>
      <x:c r="K487" s="8" t="n">
        <x:v>62</x:v>
      </x:c>
      <x:c r="L487" s="8" t="n">
        <x:v>142.56645097949428</x:v>
      </x:c>
      <x:c r="M487" s="8" t="n">
        <x:v>0</x:v>
      </x:c>
      <x:c r="N487" s="8" t="n">
        <x:v>0</x:v>
      </x:c>
      <x:c r="O487" s="8" t="n">
        <x:v>252.38389697794727</x:v>
      </x:c>
      <x:c r="P487" s="8" t="n">
        <x:v>0</x:v>
      </x:c>
      <x:c r="Q487" s="8" t="n">
        <x:v>7.05822723217906</x:v>
      </x:c>
      <x:c r="R487" s="8" t="n">
        <x:v>0</x:v>
      </x:c>
      <x:c r="S487" s="8" t="n">
        <x:f>L487-I487^2/H487</x:f>
        <x:v>84.09090521802484</x:v>
      </x:c>
      <x:c r="T487" s="8" t="n">
        <x:f>M487-J487^2/H487</x:f>
        <x:v>0</x:v>
      </x:c>
      <x:c r="U487" s="8" t="n">
        <x:f>N487-I487*J487/H487</x:f>
        <x:v>0</x:v>
      </x:c>
      <x:c r="V487" s="8" t="n">
        <x:f>O487-I487*K487/H487</x:f>
        <x:v>94.34733373067266</x:v>
      </x:c>
      <x:c r="W487" s="8" t="n">
        <x:f>P487-J487*K487/H487</x:f>
        <x:v>0</x:v>
      </x:c>
      <x:c r="X487" s="8" t="n">
        <x:f>V487/S487</x:f>
        <x:v>1.1219683446866897</x:v>
      </x:c>
      <x:c r="Y487" s="8" t="n">
        <x:f>0</x:f>
        <x:v>0</x:v>
      </x:c>
      <x:c r="Z487" s="8" t="n">
        <x:f>K487/H487-X487*I487/H487-Y487*J487/H487</x:f>
        <x:v>4.029017578138598</x:v>
      </x:c>
      <x:c r="AA487" s="8" t="n">
        <x:f>Z487+X487*Q487+Y487*R487</x:f>
        <x:v>11.948125102249053</x:v>
      </x:c>
    </x:row>
    <x:row r="488" ht="26" customHeight="1">
      <x:c r="A488" s="2"/>
      <x:c r="B488" s="2" t="n">
        <x:v>483</x:v>
      </x:c>
      <x:c r="C488" s="2" t="str">
        <x:v>Fabric &amp; Home Care / price_contribution</x:v>
      </x:c>
      <x:c r="D488" s="2" t="str">
        <x:v>Broad rolling 8</x:v>
      </x:c>
      <x:c r="E488" s="7" t="n">
        <x:v>45199</x:v>
      </x:c>
      <x:c r="F488" s="2" t="str">
        <x:v>Pre-earnings</x:v>
      </x:c>
      <x:c r="G488" s="7" t="n">
        <x:v>45216</x:v>
      </x:c>
      <x:c r="H488" s="2" t="n">
        <x:v>8</x:v>
      </x:c>
      <x:c r="I488" s="8" t="n">
        <x:v>30.576982710611354</x:v>
      </x:c>
      <x:c r="J488" s="8" t="n">
        <x:v>0</x:v>
      </x:c>
      <x:c r="K488" s="8" t="n">
        <x:v>62</x:v>
      </x:c>
      <x:c r="L488" s="8" t="n">
        <x:v>192.2085561715494</x:v>
      </x:c>
      <x:c r="M488" s="8" t="n">
        <x:v>0</x:v>
      </x:c>
      <x:c r="N488" s="8" t="n">
        <x:v>0</x:v>
      </x:c>
      <x:c r="O488" s="8" t="n">
        <x:v>322.73425682263814</x:v>
      </x:c>
      <x:c r="P488" s="8" t="n">
        <x:v>0</x:v>
      </x:c>
      <x:c r="Q488" s="8" t="n">
        <x:v>5.4935927157217845</x:v>
      </x:c>
      <x:c r="R488" s="8" t="n">
        <x:v>0</x:v>
      </x:c>
      <x:c r="S488" s="8" t="n">
        <x:f>L488-I488^2/H488</x:f>
        <x:v>75.33957221092118</x:v>
      </x:c>
      <x:c r="T488" s="8" t="n">
        <x:f>M488-J488^2/H488</x:f>
        <x:v>0</x:v>
      </x:c>
      <x:c r="U488" s="8" t="n">
        <x:f>N488-I488*J488/H488</x:f>
        <x:v>0</x:v>
      </x:c>
      <x:c r="V488" s="8" t="n">
        <x:f>O488-I488*K488/H488</x:f>
        <x:v>85.76264081540015</x:v>
      </x:c>
      <x:c r="W488" s="8" t="n">
        <x:f>P488-J488*K488/H488</x:f>
        <x:v>0</x:v>
      </x:c>
      <x:c r="X488" s="8" t="n">
        <x:f>V488/S488</x:f>
        <x:v>1.1383478602094856</x:v>
      </x:c>
      <x:c r="Y488" s="8" t="n">
        <x:f>0</x:f>
        <x:v>0</x:v>
      </x:c>
      <x:c r="Z488" s="8" t="n">
        <x:f>K488/H488-X488*I488/H488-Y488*J488/H488</x:f>
        <x:v>3.3990946449641406</x:v>
      </x:c>
      <x:c r="AA488" s="8" t="n">
        <x:f>Z488+X488*Q488+Y488*R488</x:f>
        <x:v>9.65271415776845</x:v>
      </x:c>
    </x:row>
    <x:row r="489" ht="26" customHeight="1">
      <x:c r="A489" s="2"/>
      <x:c r="B489" s="2" t="n">
        <x:v>484</x:v>
      </x:c>
      <x:c r="C489" s="2" t="str">
        <x:v>Fabric &amp; Home Care / price_contribution</x:v>
      </x:c>
      <x:c r="D489" s="2" t="str">
        <x:v>Own history</x:v>
      </x:c>
      <x:c r="E489" s="7" t="n">
        <x:v>45199</x:v>
      </x:c>
      <x:c r="F489" s="2" t="str">
        <x:v>Pre-earnings</x:v>
      </x:c>
      <x:c r="G489" s="7" t="n">
        <x:v>45216</x:v>
      </x:c>
      <x:c r="H489" s="2" t="n">
        <x:v>9</x:v>
      </x:c>
      <x:c r="I489" s="8" t="n">
        <x:v>58</x:v>
      </x:c>
      <x:c r="J489" s="8" t="n">
        <x:v>0</x:v>
      </x:c>
      <x:c r="K489" s="8" t="n">
        <x:v>62</x:v>
      </x:c>
      <x:c r="L489" s="8" t="n">
        <x:v>596</x:v>
      </x:c>
      <x:c r="M489" s="8" t="n">
        <x:v>0</x:v>
      </x:c>
      <x:c r="N489" s="8" t="n">
        <x:v>0</x:v>
      </x:c>
      <x:c r="O489" s="8" t="n">
        <x:v>564</x:v>
      </x:c>
      <x:c r="P489" s="8" t="n">
        <x:v>0</x:v>
      </x:c>
      <x:c r="Q489" s="8" t="n">
        <x:v>6</x:v>
      </x:c>
      <x:c r="R489" s="8" t="n">
        <x:v>0</x:v>
      </x:c>
      <x:c r="S489" s="8" t="n">
        <x:f>L489-I489^2/H489</x:f>
        <x:v>222.22222222222223</x:v>
      </x:c>
      <x:c r="T489" s="8" t="n">
        <x:f>M489-J489^2/H489</x:f>
        <x:v>0</x:v>
      </x:c>
      <x:c r="U489" s="8" t="n">
        <x:f>N489-I489*J489/H489</x:f>
        <x:v>0</x:v>
      </x:c>
      <x:c r="V489" s="8" t="n">
        <x:f>O489-I489*K489/H489</x:f>
        <x:v>164.44444444444446</x:v>
      </x:c>
      <x:c r="W489" s="8" t="n">
        <x:f>P489-J489*K489/H489</x:f>
        <x:v>0</x:v>
      </x:c>
      <x:c r="X489" s="8" t="n">
        <x:f>V489/S489</x:f>
        <x:v>0.74</x:v>
      </x:c>
      <x:c r="Y489" s="8" t="n">
        <x:f>0</x:f>
        <x:v>0</x:v>
      </x:c>
      <x:c r="Z489" s="8" t="n">
        <x:f>K489/H489-X489*I489/H489-Y489*J489/H489</x:f>
        <x:v>2.12</x:v>
      </x:c>
      <x:c r="AA489" s="8" t="n">
        <x:f>Z489+X489*Q489+Y489*R489</x:f>
        <x:v>6.56</x:v>
      </x:c>
    </x:row>
    <x:row r="490" ht="26" customHeight="1">
      <x:c r="A490" s="2"/>
      <x:c r="B490" s="2" t="n">
        <x:v>485</x:v>
      </x:c>
      <x:c r="C490" s="2" t="str">
        <x:v>Fabric &amp; Home Care / price_contribution</x:v>
      </x:c>
      <x:c r="D490" s="2" t="str">
        <x:v>Broad market</x:v>
      </x:c>
      <x:c r="E490" s="7" t="n">
        <x:v>45291</x:v>
      </x:c>
      <x:c r="F490" s="2" t="str">
        <x:v>Origin</x:v>
      </x:c>
      <x:c r="G490" s="7" t="n">
        <x:v>45200</x:v>
      </x:c>
      <x:c r="H490" s="2" t="n">
        <x:v>10</x:v>
      </x:c>
      <x:c r="I490" s="8" t="n">
        <x:v>29.99901867129957</x:v>
      </x:c>
      <x:c r="J490" s="8" t="n">
        <x:v>0</x:v>
      </x:c>
      <x:c r="K490" s="8" t="n">
        <x:v>64</x:v>
      </x:c>
      <x:c r="L490" s="8" t="n">
        <x:v>192.38502264056834</x:v>
      </x:c>
      <x:c r="M490" s="8" t="n">
        <x:v>0</x:v>
      </x:c>
      <x:c r="N490" s="8" t="n">
        <x:v>0</x:v>
      </x:c>
      <x:c r="O490" s="8" t="n">
        <x:v>322.0188500414289</x:v>
      </x:c>
      <x:c r="P490" s="8" t="n">
        <x:v>0</x:v>
      </x:c>
      <x:c r="Q490" s="8" t="n">
        <x:v>6.115186149321272</x:v>
      </x:c>
      <x:c r="R490" s="8" t="n">
        <x:v>0</x:v>
      </x:c>
      <x:c r="S490" s="8" t="n">
        <x:f>L490-I490^2/H490</x:f>
        <x:v>102.39091051647031</x:v>
      </x:c>
      <x:c r="T490" s="8" t="n">
        <x:f>M490-J490^2/H490</x:f>
        <x:v>0</x:v>
      </x:c>
      <x:c r="U490" s="8" t="n">
        <x:f>N490-I490*J490/H490</x:f>
        <x:v>0</x:v>
      </x:c>
      <x:c r="V490" s="8" t="n">
        <x:f>O490-I490*K490/H490</x:f>
        <x:v>130.02513054511164</x:v>
      </x:c>
      <x:c r="W490" s="8" t="n">
        <x:f>P490-J490*K490/H490</x:f>
        <x:v>0</x:v>
      </x:c>
      <x:c r="X490" s="8" t="n">
        <x:f>V490/S490</x:f>
        <x:v>1.2698893865603056</x:v>
      </x:c>
      <x:c r="Y490" s="8" t="n">
        <x:f>0</x:f>
        <x:v>0</x:v>
      </x:c>
      <x:c r="Z490" s="8" t="n">
        <x:f>K490/H490-X490*I490/H490-Y490*J490/H490</x:f>
        <x:v>2.590456458209224</x:v>
      </x:c>
      <x:c r="AA490" s="8" t="n">
        <x:f>Z490+X490*Q490+Y490*R490</x:f>
        <x:v>10.35606644607289</x:v>
      </x:c>
    </x:row>
    <x:row r="491" ht="26" customHeight="1">
      <x:c r="A491" s="2"/>
      <x:c r="B491" s="2" t="n">
        <x:v>486</x:v>
      </x:c>
      <x:c r="C491" s="2" t="str">
        <x:v>Fabric &amp; Home Care / price_contribution</x:v>
      </x:c>
      <x:c r="D491" s="2" t="str">
        <x:v>Broad rolling 8</x:v>
      </x:c>
      <x:c r="E491" s="7" t="n">
        <x:v>45291</x:v>
      </x:c>
      <x:c r="F491" s="2" t="str">
        <x:v>Origin</x:v>
      </x:c>
      <x:c r="G491" s="7" t="n">
        <x:v>45200</x:v>
      </x:c>
      <x:c r="H491" s="2" t="n">
        <x:v>8</x:v>
      </x:c>
      <x:c r="I491" s="8" t="n">
        <x:v>30.576982710611354</x:v>
      </x:c>
      <x:c r="J491" s="8" t="n">
        <x:v>0</x:v>
      </x:c>
      <x:c r="K491" s="8" t="n">
        <x:v>62</x:v>
      </x:c>
      <x:c r="L491" s="8" t="n">
        <x:v>192.2085561715494</x:v>
      </x:c>
      <x:c r="M491" s="8" t="n">
        <x:v>0</x:v>
      </x:c>
      <x:c r="N491" s="8" t="n">
        <x:v>0</x:v>
      </x:c>
      <x:c r="O491" s="8" t="n">
        <x:v>322.73425682263814</x:v>
      </x:c>
      <x:c r="P491" s="8" t="n">
        <x:v>0</x:v>
      </x:c>
      <x:c r="Q491" s="8" t="n">
        <x:v>6.115186149321272</x:v>
      </x:c>
      <x:c r="R491" s="8" t="n">
        <x:v>0</x:v>
      </x:c>
      <x:c r="S491" s="8" t="n">
        <x:f>L491-I491^2/H491</x:f>
        <x:v>75.33957221092118</x:v>
      </x:c>
      <x:c r="T491" s="8" t="n">
        <x:f>M491-J491^2/H491</x:f>
        <x:v>0</x:v>
      </x:c>
      <x:c r="U491" s="8" t="n">
        <x:f>N491-I491*J491/H491</x:f>
        <x:v>0</x:v>
      </x:c>
      <x:c r="V491" s="8" t="n">
        <x:f>O491-I491*K491/H491</x:f>
        <x:v>85.76264081540015</x:v>
      </x:c>
      <x:c r="W491" s="8" t="n">
        <x:f>P491-J491*K491/H491</x:f>
        <x:v>0</x:v>
      </x:c>
      <x:c r="X491" s="8" t="n">
        <x:f>V491/S491</x:f>
        <x:v>1.1383478602094856</x:v>
      </x:c>
      <x:c r="Y491" s="8" t="n">
        <x:f>0</x:f>
        <x:v>0</x:v>
      </x:c>
      <x:c r="Z491" s="8" t="n">
        <x:f>K491/H491-X491*I491/H491-Y491*J491/H491</x:f>
        <x:v>3.3990946449641406</x:v>
      </x:c>
      <x:c r="AA491" s="8" t="n">
        <x:f>Z491+X491*Q491+Y491*R491</x:f>
        <x:v>10.360303712826695</x:v>
      </x:c>
    </x:row>
    <x:row r="492" ht="26" customHeight="1">
      <x:c r="A492" s="2"/>
      <x:c r="B492" s="2" t="n">
        <x:v>487</x:v>
      </x:c>
      <x:c r="C492" s="2" t="str">
        <x:v>Fabric &amp; Home Care / price_contribution</x:v>
      </x:c>
      <x:c r="D492" s="2" t="str">
        <x:v>Own history</x:v>
      </x:c>
      <x:c r="E492" s="7" t="n">
        <x:v>45291</x:v>
      </x:c>
      <x:c r="F492" s="2" t="str">
        <x:v>Origin</x:v>
      </x:c>
      <x:c r="G492" s="7" t="n">
        <x:v>45200</x:v>
      </x:c>
      <x:c r="H492" s="2" t="n">
        <x:v>8</x:v>
      </x:c>
      <x:c r="I492" s="8" t="n">
        <x:v>45</x:v>
      </x:c>
      <x:c r="J492" s="8" t="n">
        <x:v>0</x:v>
      </x:c>
      <x:c r="K492" s="8" t="n">
        <x:v>62</x:v>
      </x:c>
      <x:c r="L492" s="8" t="n">
        <x:v>427</x:v>
      </x:c>
      <x:c r="M492" s="8" t="n">
        <x:v>0</x:v>
      </x:c>
      <x:c r="N492" s="8" t="n">
        <x:v>0</x:v>
      </x:c>
      <x:c r="O492" s="8" t="n">
        <x:v>440</x:v>
      </x:c>
      <x:c r="P492" s="8" t="n">
        <x:v>0</x:v>
      </x:c>
      <x:c r="Q492" s="8" t="n">
        <x:v>6</x:v>
      </x:c>
      <x:c r="R492" s="8" t="n">
        <x:v>0</x:v>
      </x:c>
      <x:c r="S492" s="8" t="n">
        <x:f>L492-I492^2/H492</x:f>
        <x:v>173.875</x:v>
      </x:c>
      <x:c r="T492" s="8" t="n">
        <x:f>M492-J492^2/H492</x:f>
        <x:v>0</x:v>
      </x:c>
      <x:c r="U492" s="8" t="n">
        <x:f>N492-I492*J492/H492</x:f>
        <x:v>0</x:v>
      </x:c>
      <x:c r="V492" s="8" t="n">
        <x:f>O492-I492*K492/H492</x:f>
        <x:v>91.25</x:v>
      </x:c>
      <x:c r="W492" s="8" t="n">
        <x:f>P492-J492*K492/H492</x:f>
        <x:v>0</x:v>
      </x:c>
      <x:c r="X492" s="8" t="n">
        <x:f>V492/S492</x:f>
        <x:v>0.5248023005032351</x:v>
      </x:c>
      <x:c r="Y492" s="8" t="n">
        <x:f>0</x:f>
        <x:v>0</x:v>
      </x:c>
      <x:c r="Z492" s="8" t="n">
        <x:f>K492/H492-X492*I492/H492-Y492*J492/H492</x:f>
        <x:v>4.797987059669303</x:v>
      </x:c>
      <x:c r="AA492" s="8" t="n">
        <x:f>Z492+X492*Q492+Y492*R492</x:f>
        <x:v>7.946800862688714</x:v>
      </x:c>
    </x:row>
    <x:row r="493" ht="26" customHeight="1">
      <x:c r="A493" s="2"/>
      <x:c r="B493" s="2" t="n">
        <x:v>488</x:v>
      </x:c>
      <x:c r="C493" s="2" t="str">
        <x:v>Fabric &amp; Home Care / price_contribution</x:v>
      </x:c>
      <x:c r="D493" s="2" t="str">
        <x:v>Broad market</x:v>
      </x:c>
      <x:c r="E493" s="7" t="n">
        <x:v>45291</x:v>
      </x:c>
      <x:c r="F493" s="2" t="str">
        <x:v>Prior report</x:v>
      </x:c>
      <x:c r="G493" s="7" t="n">
        <x:v>45217</x:v>
      </x:c>
      <x:c r="H493" s="2" t="n">
        <x:v>11</x:v>
      </x:c>
      <x:c r="I493" s="8" t="n">
        <x:v>35.492611387021356</x:v>
      </x:c>
      <x:c r="J493" s="8" t="n">
        <x:v>0</x:v>
      </x:c>
      <x:c r="K493" s="8" t="n">
        <x:v>72</x:v>
      </x:c>
      <x:c r="L493" s="8" t="n">
        <x:v>222.5645835667998</x:v>
      </x:c>
      <x:c r="M493" s="8" t="n">
        <x:v>0</x:v>
      </x:c>
      <x:c r="N493" s="8" t="n">
        <x:v>0</x:v>
      </x:c>
      <x:c r="O493" s="8" t="n">
        <x:v>365.9675917672032</x:v>
      </x:c>
      <x:c r="P493" s="8" t="n">
        <x:v>0</x:v>
      </x:c>
      <x:c r="Q493" s="8" t="n">
        <x:v>5.498311526452704</x:v>
      </x:c>
      <x:c r="R493" s="8" t="n">
        <x:v>0</x:v>
      </x:c>
      <x:c r="S493" s="8" t="n">
        <x:f>L493-I493^2/H493</x:f>
        <x:v>108.0440869240618</x:v>
      </x:c>
      <x:c r="T493" s="8" t="n">
        <x:f>M493-J493^2/H493</x:f>
        <x:v>0</x:v>
      </x:c>
      <x:c r="U493" s="8" t="n">
        <x:f>N493-I493*J493/H493</x:f>
        <x:v>0</x:v>
      </x:c>
      <x:c r="V493" s="8" t="n">
        <x:f>O493-I493*K493/H493</x:f>
        <x:v>133.6523172339725</x:v>
      </x:c>
      <x:c r="W493" s="8" t="n">
        <x:f>P493-J493*K493/H493</x:f>
        <x:v>0</x:v>
      </x:c>
      <x:c r="X493" s="8" t="n">
        <x:f>V493/S493</x:f>
        <x:v>1.23701649057305</x:v>
      </x:c>
      <x:c r="Y493" s="8" t="n">
        <x:f>0</x:f>
        <x:v>0</x:v>
      </x:c>
      <x:c r="Z493" s="8" t="n">
        <x:f>K493/H493-X493*I493/H493-Y493*J493/H493</x:f>
        <x:v>2.5540958564321614</x:v>
      </x:c>
      <x:c r="AA493" s="8" t="n">
        <x:f>Z493+X493*Q493+Y493*R493</x:f>
        <x:v>9.355597884962036</x:v>
      </x:c>
    </x:row>
    <x:row r="494" ht="26" customHeight="1">
      <x:c r="A494" s="2"/>
      <x:c r="B494" s="2" t="n">
        <x:v>489</x:v>
      </x:c>
      <x:c r="C494" s="2" t="str">
        <x:v>Fabric &amp; Home Care / price_contribution</x:v>
      </x:c>
      <x:c r="D494" s="2" t="str">
        <x:v>Broad lag 1</x:v>
      </x:c>
      <x:c r="E494" s="7" t="n">
        <x:v>45291</x:v>
      </x:c>
      <x:c r="F494" s="2" t="str">
        <x:v>Prior report</x:v>
      </x:c>
      <x:c r="G494" s="7" t="n">
        <x:v>45217</x:v>
      </x:c>
      <x:c r="H494" s="2" t="n">
        <x:v>10</x:v>
      </x:c>
      <x:c r="I494" s="8" t="n">
        <x:v>29.99901867129957</x:v>
      </x:c>
      <x:c r="J494" s="8" t="n">
        <x:v>0</x:v>
      </x:c>
      <x:c r="K494" s="8" t="n">
        <x:v>70</x:v>
      </x:c>
      <x:c r="L494" s="8" t="n">
        <x:v>192.38502264056834</x:v>
      </x:c>
      <x:c r="M494" s="8" t="n">
        <x:v>0</x:v>
      </x:c>
      <x:c r="N494" s="8" t="n">
        <x:v>0</x:v>
      </x:c>
      <x:c r="O494" s="8" t="n">
        <x:v>308.84971483537976</x:v>
      </x:c>
      <x:c r="P494" s="8" t="n">
        <x:v>0</x:v>
      </x:c>
      <x:c r="Q494" s="8" t="n">
        <x:v>5.4935927157217845</x:v>
      </x:c>
      <x:c r="R494" s="8" t="n">
        <x:v>0</x:v>
      </x:c>
      <x:c r="S494" s="8" t="n">
        <x:f>L494-I494^2/H494</x:f>
        <x:v>102.39091051647031</x:v>
      </x:c>
      <x:c r="T494" s="8" t="n">
        <x:f>M494-J494^2/H494</x:f>
        <x:v>0</x:v>
      </x:c>
      <x:c r="U494" s="8" t="n">
        <x:f>N494-I494*J494/H494</x:f>
        <x:v>0</x:v>
      </x:c>
      <x:c r="V494" s="8" t="n">
        <x:f>O494-I494*K494/H494</x:f>
        <x:v>98.85658413628278</x:v>
      </x:c>
      <x:c r="W494" s="8" t="n">
        <x:f>P494-J494*K494/H494</x:f>
        <x:v>0</x:v>
      </x:c>
      <x:c r="X494" s="8" t="n">
        <x:f>V494/S494</x:f>
        <x:v>0.9654820299735589</x:v>
      </x:c>
      <x:c r="Y494" s="8" t="n">
        <x:f>0</x:f>
        <x:v>0</x:v>
      </x:c>
      <x:c r="Z494" s="8" t="n">
        <x:f>K494/H494-X494*I494/H494-Y494*J494/H494</x:f>
        <x:v>4.1036486556019</x:v>
      </x:c>
      <x:c r="AA494" s="8" t="n">
        <x:f>Z494+X494*Q494+Y494*R494</x:f>
        <x:v>9.407613702624925</x:v>
      </x:c>
    </x:row>
    <x:row r="495" ht="26" customHeight="1">
      <x:c r="A495" s="2"/>
      <x:c r="B495" s="2" t="n">
        <x:v>490</x:v>
      </x:c>
      <x:c r="C495" s="2" t="str">
        <x:v>Fabric &amp; Home Care / price_contribution</x:v>
      </x:c>
      <x:c r="D495" s="2" t="str">
        <x:v>Broad rolling 8</x:v>
      </x:c>
      <x:c r="E495" s="7" t="n">
        <x:v>45291</x:v>
      </x:c>
      <x:c r="F495" s="2" t="str">
        <x:v>Prior report</x:v>
      </x:c>
      <x:c r="G495" s="7" t="n">
        <x:v>45217</x:v>
      </x:c>
      <x:c r="H495" s="2" t="n">
        <x:v>8</x:v>
      </x:c>
      <x:c r="I495" s="8" t="n">
        <x:v>36.40194937934132</x:v>
      </x:c>
      <x:c r="J495" s="8" t="n">
        <x:v>0</x:v>
      </x:c>
      <x:c r="K495" s="8" t="n">
        <x:v>68</x:v>
      </x:c>
      <x:c r="L495" s="8" t="n">
        <x:v>222.27830840104858</x:v>
      </x:c>
      <x:c r="M495" s="8" t="n">
        <x:v>0</x:v>
      </x:c>
      <x:c r="N495" s="8" t="n">
        <x:v>0</x:v>
      </x:c>
      <x:c r="O495" s="8" t="n">
        <x:v>367.34574645442876</x:v>
      </x:c>
      <x:c r="P495" s="8" t="n">
        <x:v>0</x:v>
      </x:c>
      <x:c r="Q495" s="8" t="n">
        <x:v>5.498311526452704</x:v>
      </x:c>
      <x:c r="R495" s="8" t="n">
        <x:v>0</x:v>
      </x:c>
      <x:c r="S495" s="8" t="n">
        <x:f>L495-I495^2/H495</x:f>
        <x:v>56.64056857403261</x:v>
      </x:c>
      <x:c r="T495" s="8" t="n">
        <x:f>M495-J495^2/H495</x:f>
        <x:v>0</x:v>
      </x:c>
      <x:c r="U495" s="8" t="n">
        <x:f>N495-I495*J495/H495</x:f>
        <x:v>0</x:v>
      </x:c>
      <x:c r="V495" s="8" t="n">
        <x:f>O495-I495*K495/H495</x:f>
        <x:v>57.929176730027564</x:v>
      </x:c>
      <x:c r="W495" s="8" t="n">
        <x:f>P495-J495*K495/H495</x:f>
        <x:v>0</x:v>
      </x:c>
      <x:c r="X495" s="8" t="n">
        <x:f>V495/S495</x:f>
        <x:v>1.022750621832312</x:v>
      </x:c>
      <x:c r="Y495" s="8" t="n">
        <x:f>0</x:f>
        <x:v>0</x:v>
      </x:c>
      <x:c r="Z495" s="8" t="n">
        <x:f>K495/H495-X495*I495/H495-Y495*J495/H495</x:f>
        <x:v>3.8462354545462905</x:v>
      </x:c>
      <x:c r="AA495" s="8" t="n">
        <x:f>Z495+X495*Q495+Y495*R495</x:f>
        <x:v>9.469636987253562</x:v>
      </x:c>
    </x:row>
    <x:row r="496" ht="26" customHeight="1">
      <x:c r="A496" s="2"/>
      <x:c r="B496" s="2" t="n">
        <x:v>491</x:v>
      </x:c>
      <x:c r="C496" s="2" t="str">
        <x:v>Fabric &amp; Home Care / price_contribution</x:v>
      </x:c>
      <x:c r="D496" s="2" t="str">
        <x:v>Own history</x:v>
      </x:c>
      <x:c r="E496" s="7" t="n">
        <x:v>45291</x:v>
      </x:c>
      <x:c r="F496" s="2" t="str">
        <x:v>Prior report</x:v>
      </x:c>
      <x:c r="G496" s="7" t="n">
        <x:v>45217</x:v>
      </x:c>
      <x:c r="H496" s="2" t="n">
        <x:v>10</x:v>
      </x:c>
      <x:c r="I496" s="8" t="n">
        <x:v>64</x:v>
      </x:c>
      <x:c r="J496" s="8" t="n">
        <x:v>0</x:v>
      </x:c>
      <x:c r="K496" s="8" t="n">
        <x:v>70</x:v>
      </x:c>
      <x:c r="L496" s="8" t="n">
        <x:v>632</x:v>
      </x:c>
      <x:c r="M496" s="8" t="n">
        <x:v>0</x:v>
      </x:c>
      <x:c r="N496" s="8" t="n">
        <x:v>0</x:v>
      </x:c>
      <x:c r="O496" s="8" t="n">
        <x:v>612</x:v>
      </x:c>
      <x:c r="P496" s="8" t="n">
        <x:v>0</x:v>
      </x:c>
      <x:c r="Q496" s="8" t="n">
        <x:v>8</x:v>
      </x:c>
      <x:c r="R496" s="8" t="n">
        <x:v>0</x:v>
      </x:c>
      <x:c r="S496" s="8" t="n">
        <x:f>L496-I496^2/H496</x:f>
        <x:v>222.39999999999998</x:v>
      </x:c>
      <x:c r="T496" s="8" t="n">
        <x:f>M496-J496^2/H496</x:f>
        <x:v>0</x:v>
      </x:c>
      <x:c r="U496" s="8" t="n">
        <x:f>N496-I496*J496/H496</x:f>
        <x:v>0</x:v>
      </x:c>
      <x:c r="V496" s="8" t="n">
        <x:f>O496-I496*K496/H496</x:f>
        <x:v>164</x:v>
      </x:c>
      <x:c r="W496" s="8" t="n">
        <x:f>P496-J496*K496/H496</x:f>
        <x:v>0</x:v>
      </x:c>
      <x:c r="X496" s="8" t="n">
        <x:f>V496/S496</x:f>
        <x:v>0.7374100719424461</x:v>
      </x:c>
      <x:c r="Y496" s="8" t="n">
        <x:f>0</x:f>
        <x:v>0</x:v>
      </x:c>
      <x:c r="Z496" s="8" t="n">
        <x:f>K496/H496-X496*I496/H496-Y496*J496/H496</x:f>
        <x:v>2.2805755395683445</x:v>
      </x:c>
      <x:c r="AA496" s="8" t="n">
        <x:f>Z496+X496*Q496+Y496*R496</x:f>
        <x:v>8.179856115107913</x:v>
      </x:c>
    </x:row>
    <x:row r="497" ht="26" customHeight="1">
      <x:c r="A497" s="2"/>
      <x:c r="B497" s="2" t="n">
        <x:v>492</x:v>
      </x:c>
      <x:c r="C497" s="2" t="str">
        <x:v>Fabric &amp; Home Care / price_contribution</x:v>
      </x:c>
      <x:c r="D497" s="2" t="str">
        <x:v>Broad market</x:v>
      </x:c>
      <x:c r="E497" s="7" t="n">
        <x:v>45291</x:v>
      </x:c>
      <x:c r="F497" s="2" t="str">
        <x:v>Pre-earnings</x:v>
      </x:c>
      <x:c r="G497" s="7" t="n">
        <x:v>45313</x:v>
      </x:c>
      <x:c r="H497" s="2" t="n">
        <x:v>11</x:v>
      </x:c>
      <x:c r="I497" s="8" t="n">
        <x:v>35.492611387021356</x:v>
      </x:c>
      <x:c r="J497" s="8" t="n">
        <x:v>0</x:v>
      </x:c>
      <x:c r="K497" s="8" t="n">
        <x:v>72</x:v>
      </x:c>
      <x:c r="L497" s="8" t="n">
        <x:v>222.5645835667998</x:v>
      </x:c>
      <x:c r="M497" s="8" t="n">
        <x:v>0</x:v>
      </x:c>
      <x:c r="N497" s="8" t="n">
        <x:v>0</x:v>
      </x:c>
      <x:c r="O497" s="8" t="n">
        <x:v>365.9675917672032</x:v>
      </x:c>
      <x:c r="P497" s="8" t="n">
        <x:v>0</x:v>
      </x:c>
      <x:c r="Q497" s="8" t="n">
        <x:v>4.212216519153356</x:v>
      </x:c>
      <x:c r="R497" s="8" t="n">
        <x:v>0</x:v>
      </x:c>
      <x:c r="S497" s="8" t="n">
        <x:f>L497-I497^2/H497</x:f>
        <x:v>108.0440869240618</x:v>
      </x:c>
      <x:c r="T497" s="8" t="n">
        <x:f>M497-J497^2/H497</x:f>
        <x:v>0</x:v>
      </x:c>
      <x:c r="U497" s="8" t="n">
        <x:f>N497-I497*J497/H497</x:f>
        <x:v>0</x:v>
      </x:c>
      <x:c r="V497" s="8" t="n">
        <x:f>O497-I497*K497/H497</x:f>
        <x:v>133.6523172339725</x:v>
      </x:c>
      <x:c r="W497" s="8" t="n">
        <x:f>P497-J497*K497/H497</x:f>
        <x:v>0</x:v>
      </x:c>
      <x:c r="X497" s="8" t="n">
        <x:f>V497/S497</x:f>
        <x:v>1.23701649057305</x:v>
      </x:c>
      <x:c r="Y497" s="8" t="n">
        <x:f>0</x:f>
        <x:v>0</x:v>
      </x:c>
      <x:c r="Z497" s="8" t="n">
        <x:f>K497/H497-X497*I497/H497-Y497*J497/H497</x:f>
        <x:v>2.5540958564321614</x:v>
      </x:c>
      <x:c r="AA497" s="8" t="n">
        <x:f>Z497+X497*Q497+Y497*R497</x:f>
        <x:v>7.7646771524890745</x:v>
      </x:c>
    </x:row>
    <x:row r="498" ht="26" customHeight="1">
      <x:c r="A498" s="2"/>
      <x:c r="B498" s="2" t="n">
        <x:v>493</x:v>
      </x:c>
      <x:c r="C498" s="2" t="str">
        <x:v>Fabric &amp; Home Care / price_contribution</x:v>
      </x:c>
      <x:c r="D498" s="2" t="str">
        <x:v>Broad lag 1</x:v>
      </x:c>
      <x:c r="E498" s="7" t="n">
        <x:v>45291</x:v>
      </x:c>
      <x:c r="F498" s="2" t="str">
        <x:v>Pre-earnings</x:v>
      </x:c>
      <x:c r="G498" s="7" t="n">
        <x:v>45313</x:v>
      </x:c>
      <x:c r="H498" s="2" t="n">
        <x:v>10</x:v>
      </x:c>
      <x:c r="I498" s="8" t="n">
        <x:v>29.99901867129957</x:v>
      </x:c>
      <x:c r="J498" s="8" t="n">
        <x:v>0</x:v>
      </x:c>
      <x:c r="K498" s="8" t="n">
        <x:v>70</x:v>
      </x:c>
      <x:c r="L498" s="8" t="n">
        <x:v>192.38502264056834</x:v>
      </x:c>
      <x:c r="M498" s="8" t="n">
        <x:v>0</x:v>
      </x:c>
      <x:c r="N498" s="8" t="n">
        <x:v>0</x:v>
      </x:c>
      <x:c r="O498" s="8" t="n">
        <x:v>308.84971483537976</x:v>
      </x:c>
      <x:c r="P498" s="8" t="n">
        <x:v>0</x:v>
      </x:c>
      <x:c r="Q498" s="8" t="n">
        <x:v>5.4935927157217845</x:v>
      </x:c>
      <x:c r="R498" s="8" t="n">
        <x:v>0</x:v>
      </x:c>
      <x:c r="S498" s="8" t="n">
        <x:f>L498-I498^2/H498</x:f>
        <x:v>102.39091051647031</x:v>
      </x:c>
      <x:c r="T498" s="8" t="n">
        <x:f>M498-J498^2/H498</x:f>
        <x:v>0</x:v>
      </x:c>
      <x:c r="U498" s="8" t="n">
        <x:f>N498-I498*J498/H498</x:f>
        <x:v>0</x:v>
      </x:c>
      <x:c r="V498" s="8" t="n">
        <x:f>O498-I498*K498/H498</x:f>
        <x:v>98.85658413628278</x:v>
      </x:c>
      <x:c r="W498" s="8" t="n">
        <x:f>P498-J498*K498/H498</x:f>
        <x:v>0</x:v>
      </x:c>
      <x:c r="X498" s="8" t="n">
        <x:f>V498/S498</x:f>
        <x:v>0.9654820299735589</x:v>
      </x:c>
      <x:c r="Y498" s="8" t="n">
        <x:f>0</x:f>
        <x:v>0</x:v>
      </x:c>
      <x:c r="Z498" s="8" t="n">
        <x:f>K498/H498-X498*I498/H498-Y498*J498/H498</x:f>
        <x:v>4.1036486556019</x:v>
      </x:c>
      <x:c r="AA498" s="8" t="n">
        <x:f>Z498+X498*Q498+Y498*R498</x:f>
        <x:v>9.407613702624925</x:v>
      </x:c>
    </x:row>
    <x:row r="499" ht="26" customHeight="1">
      <x:c r="A499" s="2"/>
      <x:c r="B499" s="2" t="n">
        <x:v>494</x:v>
      </x:c>
      <x:c r="C499" s="2" t="str">
        <x:v>Fabric &amp; Home Care / price_contribution</x:v>
      </x:c>
      <x:c r="D499" s="2" t="str">
        <x:v>Broad rolling 8</x:v>
      </x:c>
      <x:c r="E499" s="7" t="n">
        <x:v>45291</x:v>
      </x:c>
      <x:c r="F499" s="2" t="str">
        <x:v>Pre-earnings</x:v>
      </x:c>
      <x:c r="G499" s="7" t="n">
        <x:v>45313</x:v>
      </x:c>
      <x:c r="H499" s="2" t="n">
        <x:v>8</x:v>
      </x:c>
      <x:c r="I499" s="8" t="n">
        <x:v>36.40194937934132</x:v>
      </x:c>
      <x:c r="J499" s="8" t="n">
        <x:v>0</x:v>
      </x:c>
      <x:c r="K499" s="8" t="n">
        <x:v>68</x:v>
      </x:c>
      <x:c r="L499" s="8" t="n">
        <x:v>222.27830840104858</x:v>
      </x:c>
      <x:c r="M499" s="8" t="n">
        <x:v>0</x:v>
      </x:c>
      <x:c r="N499" s="8" t="n">
        <x:v>0</x:v>
      </x:c>
      <x:c r="O499" s="8" t="n">
        <x:v>367.34574645442876</x:v>
      </x:c>
      <x:c r="P499" s="8" t="n">
        <x:v>0</x:v>
      </x:c>
      <x:c r="Q499" s="8" t="n">
        <x:v>4.212216519153356</x:v>
      </x:c>
      <x:c r="R499" s="8" t="n">
        <x:v>0</x:v>
      </x:c>
      <x:c r="S499" s="8" t="n">
        <x:f>L499-I499^2/H499</x:f>
        <x:v>56.64056857403261</x:v>
      </x:c>
      <x:c r="T499" s="8" t="n">
        <x:f>M499-J499^2/H499</x:f>
        <x:v>0</x:v>
      </x:c>
      <x:c r="U499" s="8" t="n">
        <x:f>N499-I499*J499/H499</x:f>
        <x:v>0</x:v>
      </x:c>
      <x:c r="V499" s="8" t="n">
        <x:f>O499-I499*K499/H499</x:f>
        <x:v>57.929176730027564</x:v>
      </x:c>
      <x:c r="W499" s="8" t="n">
        <x:f>P499-J499*K499/H499</x:f>
        <x:v>0</x:v>
      </x:c>
      <x:c r="X499" s="8" t="n">
        <x:f>V499/S499</x:f>
        <x:v>1.022750621832312</x:v>
      </x:c>
      <x:c r="Y499" s="8" t="n">
        <x:f>0</x:f>
        <x:v>0</x:v>
      </x:c>
      <x:c r="Z499" s="8" t="n">
        <x:f>K499/H499-X499*I499/H499-Y499*J499/H499</x:f>
        <x:v>3.8462354545462905</x:v>
      </x:c>
      <x:c r="AA499" s="8" t="n">
        <x:f>Z499+X499*Q499+Y499*R499</x:f>
        <x:v>8.15428251880272</x:v>
      </x:c>
    </x:row>
    <x:row r="500" ht="26" customHeight="1">
      <x:c r="A500" s="2"/>
      <x:c r="B500" s="2" t="n">
        <x:v>495</x:v>
      </x:c>
      <x:c r="C500" s="2" t="str">
        <x:v>Fabric &amp; Home Care / price_contribution</x:v>
      </x:c>
      <x:c r="D500" s="2" t="str">
        <x:v>Own history</x:v>
      </x:c>
      <x:c r="E500" s="7" t="n">
        <x:v>45291</x:v>
      </x:c>
      <x:c r="F500" s="2" t="str">
        <x:v>Pre-earnings</x:v>
      </x:c>
      <x:c r="G500" s="7" t="n">
        <x:v>45313</x:v>
      </x:c>
      <x:c r="H500" s="2" t="n">
        <x:v>10</x:v>
      </x:c>
      <x:c r="I500" s="8" t="n">
        <x:v>64</x:v>
      </x:c>
      <x:c r="J500" s="8" t="n">
        <x:v>0</x:v>
      </x:c>
      <x:c r="K500" s="8" t="n">
        <x:v>70</x:v>
      </x:c>
      <x:c r="L500" s="8" t="n">
        <x:v>632</x:v>
      </x:c>
      <x:c r="M500" s="8" t="n">
        <x:v>0</x:v>
      </x:c>
      <x:c r="N500" s="8" t="n">
        <x:v>0</x:v>
      </x:c>
      <x:c r="O500" s="8" t="n">
        <x:v>612</x:v>
      </x:c>
      <x:c r="P500" s="8" t="n">
        <x:v>0</x:v>
      </x:c>
      <x:c r="Q500" s="8" t="n">
        <x:v>8</x:v>
      </x:c>
      <x:c r="R500" s="8" t="n">
        <x:v>0</x:v>
      </x:c>
      <x:c r="S500" s="8" t="n">
        <x:f>L500-I500^2/H500</x:f>
        <x:v>222.39999999999998</x:v>
      </x:c>
      <x:c r="T500" s="8" t="n">
        <x:f>M500-J500^2/H500</x:f>
        <x:v>0</x:v>
      </x:c>
      <x:c r="U500" s="8" t="n">
        <x:f>N500-I500*J500/H500</x:f>
        <x:v>0</x:v>
      </x:c>
      <x:c r="V500" s="8" t="n">
        <x:f>O500-I500*K500/H500</x:f>
        <x:v>164</x:v>
      </x:c>
      <x:c r="W500" s="8" t="n">
        <x:f>P500-J500*K500/H500</x:f>
        <x:v>0</x:v>
      </x:c>
      <x:c r="X500" s="8" t="n">
        <x:f>V500/S500</x:f>
        <x:v>0.7374100719424461</x:v>
      </x:c>
      <x:c r="Y500" s="8" t="n">
        <x:f>0</x:f>
        <x:v>0</x:v>
      </x:c>
      <x:c r="Z500" s="8" t="n">
        <x:f>K500/H500-X500*I500/H500-Y500*J500/H500</x:f>
        <x:v>2.2805755395683445</x:v>
      </x:c>
      <x:c r="AA500" s="8" t="n">
        <x:f>Z500+X500*Q500+Y500*R500</x:f>
        <x:v>8.179856115107913</x:v>
      </x:c>
    </x:row>
    <x:row r="501" ht="26" customHeight="1">
      <x:c r="A501" s="2"/>
      <x:c r="B501" s="2" t="n">
        <x:v>496</x:v>
      </x:c>
      <x:c r="C501" s="2" t="str">
        <x:v>Fabric &amp; Home Care / price_contribution</x:v>
      </x:c>
      <x:c r="D501" s="2" t="str">
        <x:v>Broad market</x:v>
      </x:c>
      <x:c r="E501" s="7" t="n">
        <x:v>45382</x:v>
      </x:c>
      <x:c r="F501" s="2" t="str">
        <x:v>Origin</x:v>
      </x:c>
      <x:c r="G501" s="7" t="n">
        <x:v>45292</x:v>
      </x:c>
      <x:c r="H501" s="2" t="n">
        <x:v>11</x:v>
      </x:c>
      <x:c r="I501" s="8" t="n">
        <x:v>35.492611387021356</x:v>
      </x:c>
      <x:c r="J501" s="8" t="n">
        <x:v>0</x:v>
      </x:c>
      <x:c r="K501" s="8" t="n">
        <x:v>72</x:v>
      </x:c>
      <x:c r="L501" s="8" t="n">
        <x:v>222.5645835667998</x:v>
      </x:c>
      <x:c r="M501" s="8" t="n">
        <x:v>0</x:v>
      </x:c>
      <x:c r="N501" s="8" t="n">
        <x:v>0</x:v>
      </x:c>
      <x:c r="O501" s="8" t="n">
        <x:v>365.9675917672032</x:v>
      </x:c>
      <x:c r="P501" s="8" t="n">
        <x:v>0</x:v>
      </x:c>
      <x:c r="Q501" s="8" t="n">
        <x:v>4.8286314442429035</x:v>
      </x:c>
      <x:c r="R501" s="8" t="n">
        <x:v>0</x:v>
      </x:c>
      <x:c r="S501" s="8" t="n">
        <x:f>L501-I501^2/H501</x:f>
        <x:v>108.0440869240618</x:v>
      </x:c>
      <x:c r="T501" s="8" t="n">
        <x:f>M501-J501^2/H501</x:f>
        <x:v>0</x:v>
      </x:c>
      <x:c r="U501" s="8" t="n">
        <x:f>N501-I501*J501/H501</x:f>
        <x:v>0</x:v>
      </x:c>
      <x:c r="V501" s="8" t="n">
        <x:f>O501-I501*K501/H501</x:f>
        <x:v>133.6523172339725</x:v>
      </x:c>
      <x:c r="W501" s="8" t="n">
        <x:f>P501-J501*K501/H501</x:f>
        <x:v>0</x:v>
      </x:c>
      <x:c r="X501" s="8" t="n">
        <x:f>V501/S501</x:f>
        <x:v>1.23701649057305</x:v>
      </x:c>
      <x:c r="Y501" s="8" t="n">
        <x:f>0</x:f>
        <x:v>0</x:v>
      </x:c>
      <x:c r="Z501" s="8" t="n">
        <x:f>K501/H501-X501*I501/H501-Y501*J501/H501</x:f>
        <x:v>2.5540958564321614</x:v>
      </x:c>
      <x:c r="AA501" s="8" t="n">
        <x:f>Z501+X501*Q501+Y501*R501</x:f>
        <x:v>8.527192579860197</x:v>
      </x:c>
    </x:row>
    <x:row r="502" ht="26" customHeight="1">
      <x:c r="A502" s="2"/>
      <x:c r="B502" s="2" t="n">
        <x:v>497</x:v>
      </x:c>
      <x:c r="C502" s="2" t="str">
        <x:v>Fabric &amp; Home Care / price_contribution</x:v>
      </x:c>
      <x:c r="D502" s="2" t="str">
        <x:v>Broad rolling 8</x:v>
      </x:c>
      <x:c r="E502" s="7" t="n">
        <x:v>45382</x:v>
      </x:c>
      <x:c r="F502" s="2" t="str">
        <x:v>Origin</x:v>
      </x:c>
      <x:c r="G502" s="7" t="n">
        <x:v>45292</x:v>
      </x:c>
      <x:c r="H502" s="2" t="n">
        <x:v>8</x:v>
      </x:c>
      <x:c r="I502" s="8" t="n">
        <x:v>36.40194937934132</x:v>
      </x:c>
      <x:c r="J502" s="8" t="n">
        <x:v>0</x:v>
      </x:c>
      <x:c r="K502" s="8" t="n">
        <x:v>68</x:v>
      </x:c>
      <x:c r="L502" s="8" t="n">
        <x:v>222.27830840104858</x:v>
      </x:c>
      <x:c r="M502" s="8" t="n">
        <x:v>0</x:v>
      </x:c>
      <x:c r="N502" s="8" t="n">
        <x:v>0</x:v>
      </x:c>
      <x:c r="O502" s="8" t="n">
        <x:v>367.34574645442876</x:v>
      </x:c>
      <x:c r="P502" s="8" t="n">
        <x:v>0</x:v>
      </x:c>
      <x:c r="Q502" s="8" t="n">
        <x:v>4.8286314442429035</x:v>
      </x:c>
      <x:c r="R502" s="8" t="n">
        <x:v>0</x:v>
      </x:c>
      <x:c r="S502" s="8" t="n">
        <x:f>L502-I502^2/H502</x:f>
        <x:v>56.64056857403261</x:v>
      </x:c>
      <x:c r="T502" s="8" t="n">
        <x:f>M502-J502^2/H502</x:f>
        <x:v>0</x:v>
      </x:c>
      <x:c r="U502" s="8" t="n">
        <x:f>N502-I502*J502/H502</x:f>
        <x:v>0</x:v>
      </x:c>
      <x:c r="V502" s="8" t="n">
        <x:f>O502-I502*K502/H502</x:f>
        <x:v>57.929176730027564</x:v>
      </x:c>
      <x:c r="W502" s="8" t="n">
        <x:f>P502-J502*K502/H502</x:f>
        <x:v>0</x:v>
      </x:c>
      <x:c r="X502" s="8" t="n">
        <x:f>V502/S502</x:f>
        <x:v>1.022750621832312</x:v>
      </x:c>
      <x:c r="Y502" s="8" t="n">
        <x:f>0</x:f>
        <x:v>0</x:v>
      </x:c>
      <x:c r="Z502" s="8" t="n">
        <x:f>K502/H502-X502*I502/H502-Y502*J502/H502</x:f>
        <x:v>3.8462354545462905</x:v>
      </x:c>
      <x:c r="AA502" s="8" t="n">
        <x:f>Z502+X502*Q502+Y502*R502</x:f>
        <x:v>8.784721266744775</x:v>
      </x:c>
    </x:row>
    <x:row r="503" ht="26" customHeight="1">
      <x:c r="A503" s="2"/>
      <x:c r="B503" s="2" t="n">
        <x:v>498</x:v>
      </x:c>
      <x:c r="C503" s="2" t="str">
        <x:v>Fabric &amp; Home Care / price_contribution</x:v>
      </x:c>
      <x:c r="D503" s="2" t="str">
        <x:v>Own history</x:v>
      </x:c>
      <x:c r="E503" s="7" t="n">
        <x:v>45382</x:v>
      </x:c>
      <x:c r="F503" s="2" t="str">
        <x:v>Origin</x:v>
      </x:c>
      <x:c r="G503" s="7" t="n">
        <x:v>45292</x:v>
      </x:c>
      <x:c r="H503" s="2" t="n">
        <x:v>9</x:v>
      </x:c>
      <x:c r="I503" s="8" t="n">
        <x:v>58</x:v>
      </x:c>
      <x:c r="J503" s="8" t="n">
        <x:v>0</x:v>
      </x:c>
      <x:c r="K503" s="8" t="n">
        <x:v>70</x:v>
      </x:c>
      <x:c r="L503" s="8" t="n">
        <x:v>596</x:v>
      </x:c>
      <x:c r="M503" s="8" t="n">
        <x:v>0</x:v>
      </x:c>
      <x:c r="N503" s="8" t="n">
        <x:v>0</x:v>
      </x:c>
      <x:c r="O503" s="8" t="n">
        <x:v>544</x:v>
      </x:c>
      <x:c r="P503" s="8" t="n">
        <x:v>0</x:v>
      </x:c>
      <x:c r="Q503" s="8" t="n">
        <x:v>8</x:v>
      </x:c>
      <x:c r="R503" s="8" t="n">
        <x:v>0</x:v>
      </x:c>
      <x:c r="S503" s="8" t="n">
        <x:f>L503-I503^2/H503</x:f>
        <x:v>222.22222222222223</x:v>
      </x:c>
      <x:c r="T503" s="8" t="n">
        <x:f>M503-J503^2/H503</x:f>
        <x:v>0</x:v>
      </x:c>
      <x:c r="U503" s="8" t="n">
        <x:f>N503-I503*J503/H503</x:f>
        <x:v>0</x:v>
      </x:c>
      <x:c r="V503" s="8" t="n">
        <x:f>O503-I503*K503/H503</x:f>
        <x:v>92.88888888888891</x:v>
      </x:c>
      <x:c r="W503" s="8" t="n">
        <x:f>P503-J503*K503/H503</x:f>
        <x:v>0</x:v>
      </x:c>
      <x:c r="X503" s="8" t="n">
        <x:f>V503/S503</x:f>
        <x:v>0.4180000000000001</x:v>
      </x:c>
      <x:c r="Y503" s="8" t="n">
        <x:f>0</x:f>
        <x:v>0</x:v>
      </x:c>
      <x:c r="Z503" s="8" t="n">
        <x:f>K503/H503-X503*I503/H503-Y503*J503/H503</x:f>
        <x:v>5.084</x:v>
      </x:c>
      <x:c r="AA503" s="8" t="n">
        <x:f>Z503+X503*Q503+Y503*R503</x:f>
        <x:v>8.428</x:v>
      </x:c>
    </x:row>
    <x:row r="504" ht="26" customHeight="1">
      <x:c r="A504" s="2"/>
      <x:c r="B504" s="2" t="n">
        <x:v>499</x:v>
      </x:c>
      <x:c r="C504" s="2" t="str">
        <x:v>Fabric &amp; Home Care / price_contribution</x:v>
      </x:c>
      <x:c r="D504" s="2" t="str">
        <x:v>Broad market</x:v>
      </x:c>
      <x:c r="E504" s="7" t="n">
        <x:v>45382</x:v>
      </x:c>
      <x:c r="F504" s="2" t="str">
        <x:v>Prior report</x:v>
      </x:c>
      <x:c r="G504" s="7" t="n">
        <x:v>45314</x:v>
      </x:c>
      <x:c r="H504" s="2" t="n">
        <x:v>12</x:v>
      </x:c>
      <x:c r="I504" s="8" t="n">
        <x:v>39.704827906174714</x:v>
      </x:c>
      <x:c r="J504" s="8" t="n">
        <x:v>0</x:v>
      </x:c>
      <x:c r="K504" s="8" t="n">
        <x:v>76</x:v>
      </x:c>
      <x:c r="L504" s="8" t="n">
        <x:v>240.3073515710282</x:v>
      </x:c>
      <x:c r="M504" s="8" t="n">
        <x:v>0</x:v>
      </x:c>
      <x:c r="N504" s="8" t="n">
        <x:v>0</x:v>
      </x:c>
      <x:c r="O504" s="8" t="n">
        <x:v>382.8164578438166</x:v>
      </x:c>
      <x:c r="P504" s="8" t="n">
        <x:v>0</x:v>
      </x:c>
      <x:c r="Q504" s="8" t="n">
        <x:v>4.212487471834003</x:v>
      </x:c>
      <x:c r="R504" s="8" t="n">
        <x:v>0</x:v>
      </x:c>
      <x:c r="S504" s="8" t="n">
        <x:f>L504-I504^2/H504</x:f>
        <x:v>108.934571649449</x:v>
      </x:c>
      <x:c r="T504" s="8" t="n">
        <x:f>M504-J504^2/H504</x:f>
        <x:v>0</x:v>
      </x:c>
      <x:c r="U504" s="8" t="n">
        <x:f>N504-I504*J504/H504</x:f>
        <x:v>0</x:v>
      </x:c>
      <x:c r="V504" s="8" t="n">
        <x:f>O504-I504*K504/H504</x:f>
        <x:v>131.35254777137672</x:v>
      </x:c>
      <x:c r="W504" s="8" t="n">
        <x:f>P504-J504*K504/H504</x:f>
        <x:v>0</x:v>
      </x:c>
      <x:c r="X504" s="8" t="n">
        <x:f>V504/S504</x:f>
        <x:v>1.2057930350529003</x:v>
      </x:c>
      <x:c r="Y504" s="8" t="n">
        <x:f>0</x:f>
        <x:v>0</x:v>
      </x:c>
      <x:c r="Z504" s="8" t="n">
        <x:f>K504/H504-X504*I504/H504-Y504*J504/H504</x:f>
        <x:v>2.3436829210633747</x:v>
      </x:c>
      <x:c r="AA504" s="8" t="n">
        <x:f>Z504+X504*Q504+Y504*R504</x:f>
        <x:v>7.423070974848416</x:v>
      </x:c>
    </x:row>
    <x:row r="505" ht="26" customHeight="1">
      <x:c r="A505" s="2"/>
      <x:c r="B505" s="2" t="n">
        <x:v>500</x:v>
      </x:c>
      <x:c r="C505" s="2" t="str">
        <x:v>Fabric &amp; Home Care / price_contribution</x:v>
      </x:c>
      <x:c r="D505" s="2" t="str">
        <x:v>Broad lag 1</x:v>
      </x:c>
      <x:c r="E505" s="7" t="n">
        <x:v>45382</x:v>
      </x:c>
      <x:c r="F505" s="2" t="str">
        <x:v>Prior report</x:v>
      </x:c>
      <x:c r="G505" s="7" t="n">
        <x:v>45314</x:v>
      </x:c>
      <x:c r="H505" s="2" t="n">
        <x:v>11</x:v>
      </x:c>
      <x:c r="I505" s="8" t="n">
        <x:v>35.492611387021356</x:v>
      </x:c>
      <x:c r="J505" s="8" t="n">
        <x:v>0</x:v>
      </x:c>
      <x:c r="K505" s="8" t="n">
        <x:v>74</x:v>
      </x:c>
      <x:c r="L505" s="8" t="n">
        <x:v>222.5645835667998</x:v>
      </x:c>
      <x:c r="M505" s="8" t="n">
        <x:v>0</x:v>
      </x:c>
      <x:c r="N505" s="8" t="n">
        <x:v>0</x:v>
      </x:c>
      <x:c r="O505" s="8" t="n">
        <x:v>330.82408569826686</x:v>
      </x:c>
      <x:c r="P505" s="8" t="n">
        <x:v>0</x:v>
      </x:c>
      <x:c r="Q505" s="8" t="n">
        <x:v>4.212216519153356</x:v>
      </x:c>
      <x:c r="R505" s="8" t="n">
        <x:v>0</x:v>
      </x:c>
      <x:c r="S505" s="8" t="n">
        <x:f>L505-I505^2/H505</x:f>
        <x:v>108.0440869240618</x:v>
      </x:c>
      <x:c r="T505" s="8" t="n">
        <x:f>M505-J505^2/H505</x:f>
        <x:v>0</x:v>
      </x:c>
      <x:c r="U505" s="8" t="n">
        <x:f>N505-I505*J505/H505</x:f>
        <x:v>0</x:v>
      </x:c>
      <x:c r="V505" s="8" t="n">
        <x:f>O505-I505*K505/H505</x:f>
        <x:v>92.05560909466865</x:v>
      </x:c>
      <x:c r="W505" s="8" t="n">
        <x:f>P505-J505*K505/H505</x:f>
        <x:v>0</x:v>
      </x:c>
      <x:c r="X505" s="8" t="n">
        <x:f>V505/S505</x:f>
        <x:v>0.8520189462970744</x:v>
      </x:c>
      <x:c r="Y505" s="8" t="n">
        <x:f>0</x:f>
        <x:v>0</x:v>
      </x:c>
      <x:c r="Z505" s="8" t="n">
        <x:f>K505/H505-X505*I505/H505-Y505*J505/H505</x:f>
        <x:v>3.9781475131544113</x:v>
      </x:c>
      <x:c r="AA505" s="8" t="n">
        <x:f>Z505+X505*Q505+Y505*R505</x:f>
        <x:v>7.567035793378584</x:v>
      </x:c>
    </x:row>
    <x:row r="506" ht="26" customHeight="1">
      <x:c r="A506" s="2"/>
      <x:c r="B506" s="2" t="n">
        <x:v>501</x:v>
      </x:c>
      <x:c r="C506" s="2" t="str">
        <x:v>Fabric &amp; Home Care / price_contribution</x:v>
      </x:c>
      <x:c r="D506" s="2" t="str">
        <x:v>Broad rolling 8</x:v>
      </x:c>
      <x:c r="E506" s="7" t="n">
        <x:v>45382</x:v>
      </x:c>
      <x:c r="F506" s="2" t="str">
        <x:v>Prior report</x:v>
      </x:c>
      <x:c r="G506" s="7" t="n">
        <x:v>45314</x:v>
      </x:c>
      <x:c r="H506" s="2" t="n">
        <x:v>8</x:v>
      </x:c>
      <x:c r="I506" s="8" t="n">
        <x:v>40.58301442287644</x:v>
      </x:c>
      <x:c r="J506" s="8" t="n">
        <x:v>0</x:v>
      </x:c>
      <x:c r="K506" s="8" t="n">
        <x:v>70</x:v>
      </x:c>
      <x:c r="L506" s="8" t="n">
        <x:v>240.0201059908438</x:v>
      </x:c>
      <x:c r="M506" s="8" t="n">
        <x:v>0</x:v>
      </x:c>
      <x:c r="N506" s="8" t="n">
        <x:v>0</x:v>
      </x:c>
      <x:c r="O506" s="8" t="n">
        <x:v>384.13230957980574</x:v>
      </x:c>
      <x:c r="P506" s="8" t="n">
        <x:v>0</x:v>
      </x:c>
      <x:c r="Q506" s="8" t="n">
        <x:v>4.212487471834003</x:v>
      </x:c>
      <x:c r="R506" s="8" t="n">
        <x:v>0</x:v>
      </x:c>
      <x:c r="S506" s="8" t="n">
        <x:f>L506-I506^2/H506</x:f>
        <x:v>34.147473534919186</x:v>
      </x:c>
      <x:c r="T506" s="8" t="n">
        <x:f>M506-J506^2/H506</x:f>
        <x:v>0</x:v>
      </x:c>
      <x:c r="U506" s="8" t="n">
        <x:f>N506-I506*J506/H506</x:f>
        <x:v>0</x:v>
      </x:c>
      <x:c r="V506" s="8" t="n">
        <x:f>O506-I506*K506/H506</x:f>
        <x:v>29.030933379636906</x:v>
      </x:c>
      <x:c r="W506" s="8" t="n">
        <x:f>P506-J506*K506/H506</x:f>
        <x:v>0</x:v>
      </x:c>
      <x:c r="X506" s="8" t="n">
        <x:f>V506/S506</x:f>
        <x:v>0.8501634344909849</x:v>
      </x:c>
      <x:c r="Y506" s="8" t="n">
        <x:f>0</x:f>
        <x:v>0</x:v>
      </x:c>
      <x:c r="Z506" s="8" t="n">
        <x:f>K506/H506-X506*I506/H506-Y506*J506/H506</x:f>
        <x:v>4.437225634531274</x:v>
      </x:c>
      <x:c r="AA506" s="8" t="n">
        <x:f>Z506+X506*Q506+Y506*R506</x:f>
        <x:v>8.018528451335916</x:v>
      </x:c>
    </x:row>
    <x:row r="507" ht="26" customHeight="1">
      <x:c r="A507" s="2"/>
      <x:c r="B507" s="2" t="n">
        <x:v>502</x:v>
      </x:c>
      <x:c r="C507" s="2" t="str">
        <x:v>Fabric &amp; Home Care / price_contribution</x:v>
      </x:c>
      <x:c r="D507" s="2" t="str">
        <x:v>Own history</x:v>
      </x:c>
      <x:c r="E507" s="7" t="n">
        <x:v>45382</x:v>
      </x:c>
      <x:c r="F507" s="2" t="str">
        <x:v>Prior report</x:v>
      </x:c>
      <x:c r="G507" s="7" t="n">
        <x:v>45314</x:v>
      </x:c>
      <x:c r="H507" s="2" t="n">
        <x:v>11</x:v>
      </x:c>
      <x:c r="I507" s="8" t="n">
        <x:v>72</x:v>
      </x:c>
      <x:c r="J507" s="8" t="n">
        <x:v>0</x:v>
      </x:c>
      <x:c r="K507" s="8" t="n">
        <x:v>74</x:v>
      </x:c>
      <x:c r="L507" s="8" t="n">
        <x:v>696</x:v>
      </x:c>
      <x:c r="M507" s="8" t="n">
        <x:v>0</x:v>
      </x:c>
      <x:c r="N507" s="8" t="n">
        <x:v>0</x:v>
      </x:c>
      <x:c r="O507" s="8" t="n">
        <x:v>644</x:v>
      </x:c>
      <x:c r="P507" s="8" t="n">
        <x:v>0</x:v>
      </x:c>
      <x:c r="Q507" s="8" t="n">
        <x:v>4</x:v>
      </x:c>
      <x:c r="R507" s="8" t="n">
        <x:v>0</x:v>
      </x:c>
      <x:c r="S507" s="8" t="n">
        <x:f>L507-I507^2/H507</x:f>
        <x:v>224.72727272727275</x:v>
      </x:c>
      <x:c r="T507" s="8" t="n">
        <x:f>M507-J507^2/H507</x:f>
        <x:v>0</x:v>
      </x:c>
      <x:c r="U507" s="8" t="n">
        <x:f>N507-I507*J507/H507</x:f>
        <x:v>0</x:v>
      </x:c>
      <x:c r="V507" s="8" t="n">
        <x:f>O507-I507*K507/H507</x:f>
        <x:v>159.63636363636363</x:v>
      </x:c>
      <x:c r="W507" s="8" t="n">
        <x:f>P507-J507*K507/H507</x:f>
        <x:v>0</x:v>
      </x:c>
      <x:c r="X507" s="8" t="n">
        <x:f>V507/S507</x:f>
        <x:v>0.7103559870550161</x:v>
      </x:c>
      <x:c r="Y507" s="8" t="n">
        <x:f>0</x:f>
        <x:v>0</x:v>
      </x:c>
      <x:c r="Z507" s="8" t="n">
        <x:f>K507/H507-X507*I507/H507-Y507*J507/H507</x:f>
        <x:v>2.077669902912622</x:v>
      </x:c>
      <x:c r="AA507" s="8" t="n">
        <x:f>Z507+X507*Q507+Y507*R507</x:f>
        <x:v>4.919093851132686</x:v>
      </x:c>
    </x:row>
    <x:row r="508" ht="26" customHeight="1">
      <x:c r="A508" s="2"/>
      <x:c r="B508" s="2" t="n">
        <x:v>503</x:v>
      </x:c>
      <x:c r="C508" s="2" t="str">
        <x:v>Fabric &amp; Home Care / price_contribution</x:v>
      </x:c>
      <x:c r="D508" s="2" t="str">
        <x:v>Broad market</x:v>
      </x:c>
      <x:c r="E508" s="7" t="n">
        <x:v>45382</x:v>
      </x:c>
      <x:c r="F508" s="2" t="str">
        <x:v>Pre-earnings</x:v>
      </x:c>
      <x:c r="G508" s="7" t="n">
        <x:v>45400</x:v>
      </x:c>
      <x:c r="H508" s="2" t="n">
        <x:v>12</x:v>
      </x:c>
      <x:c r="I508" s="8" t="n">
        <x:v>39.704827906174714</x:v>
      </x:c>
      <x:c r="J508" s="8" t="n">
        <x:v>0</x:v>
      </x:c>
      <x:c r="K508" s="8" t="n">
        <x:v>76</x:v>
      </x:c>
      <x:c r="L508" s="8" t="n">
        <x:v>240.3073515710282</x:v>
      </x:c>
      <x:c r="M508" s="8" t="n">
        <x:v>0</x:v>
      </x:c>
      <x:c r="N508" s="8" t="n">
        <x:v>0</x:v>
      </x:c>
      <x:c r="O508" s="8" t="n">
        <x:v>382.8164578438166</x:v>
      </x:c>
      <x:c r="P508" s="8" t="n">
        <x:v>0</x:v>
      </x:c>
      <x:c r="Q508" s="8" t="n">
        <x:v>3.636809635836169</x:v>
      </x:c>
      <x:c r="R508" s="8" t="n">
        <x:v>0</x:v>
      </x:c>
      <x:c r="S508" s="8" t="n">
        <x:f>L508-I508^2/H508</x:f>
        <x:v>108.934571649449</x:v>
      </x:c>
      <x:c r="T508" s="8" t="n">
        <x:f>M508-J508^2/H508</x:f>
        <x:v>0</x:v>
      </x:c>
      <x:c r="U508" s="8" t="n">
        <x:f>N508-I508*J508/H508</x:f>
        <x:v>0</x:v>
      </x:c>
      <x:c r="V508" s="8" t="n">
        <x:f>O508-I508*K508/H508</x:f>
        <x:v>131.35254777137672</x:v>
      </x:c>
      <x:c r="W508" s="8" t="n">
        <x:f>P508-J508*K508/H508</x:f>
        <x:v>0</x:v>
      </x:c>
      <x:c r="X508" s="8" t="n">
        <x:f>V508/S508</x:f>
        <x:v>1.2057930350529003</x:v>
      </x:c>
      <x:c r="Y508" s="8" t="n">
        <x:f>0</x:f>
        <x:v>0</x:v>
      </x:c>
      <x:c r="Z508" s="8" t="n">
        <x:f>K508/H508-X508*I508/H508-Y508*J508/H508</x:f>
        <x:v>2.3436829210633747</x:v>
      </x:c>
      <x:c r="AA508" s="8" t="n">
        <x:f>Z508+X508*Q508+Y508*R508</x:f>
        <x:v>6.728922649767902</x:v>
      </x:c>
    </x:row>
    <x:row r="509" ht="26" customHeight="1">
      <x:c r="A509" s="2"/>
      <x:c r="B509" s="2" t="n">
        <x:v>504</x:v>
      </x:c>
      <x:c r="C509" s="2" t="str">
        <x:v>Fabric &amp; Home Care / price_contribution</x:v>
      </x:c>
      <x:c r="D509" s="2" t="str">
        <x:v>Broad lag 1</x:v>
      </x:c>
      <x:c r="E509" s="7" t="n">
        <x:v>45382</x:v>
      </x:c>
      <x:c r="F509" s="2" t="str">
        <x:v>Pre-earnings</x:v>
      </x:c>
      <x:c r="G509" s="7" t="n">
        <x:v>45400</x:v>
      </x:c>
      <x:c r="H509" s="2" t="n">
        <x:v>11</x:v>
      </x:c>
      <x:c r="I509" s="8" t="n">
        <x:v>35.492611387021356</x:v>
      </x:c>
      <x:c r="J509" s="8" t="n">
        <x:v>0</x:v>
      </x:c>
      <x:c r="K509" s="8" t="n">
        <x:v>74</x:v>
      </x:c>
      <x:c r="L509" s="8" t="n">
        <x:v>222.5645835667998</x:v>
      </x:c>
      <x:c r="M509" s="8" t="n">
        <x:v>0</x:v>
      </x:c>
      <x:c r="N509" s="8" t="n">
        <x:v>0</x:v>
      </x:c>
      <x:c r="O509" s="8" t="n">
        <x:v>330.82408569826686</x:v>
      </x:c>
      <x:c r="P509" s="8" t="n">
        <x:v>0</x:v>
      </x:c>
      <x:c r="Q509" s="8" t="n">
        <x:v>4.212216519153356</x:v>
      </x:c>
      <x:c r="R509" s="8" t="n">
        <x:v>0</x:v>
      </x:c>
      <x:c r="S509" s="8" t="n">
        <x:f>L509-I509^2/H509</x:f>
        <x:v>108.0440869240618</x:v>
      </x:c>
      <x:c r="T509" s="8" t="n">
        <x:f>M509-J509^2/H509</x:f>
        <x:v>0</x:v>
      </x:c>
      <x:c r="U509" s="8" t="n">
        <x:f>N509-I509*J509/H509</x:f>
        <x:v>0</x:v>
      </x:c>
      <x:c r="V509" s="8" t="n">
        <x:f>O509-I509*K509/H509</x:f>
        <x:v>92.05560909466865</x:v>
      </x:c>
      <x:c r="W509" s="8" t="n">
        <x:f>P509-J509*K509/H509</x:f>
        <x:v>0</x:v>
      </x:c>
      <x:c r="X509" s="8" t="n">
        <x:f>V509/S509</x:f>
        <x:v>0.8520189462970744</x:v>
      </x:c>
      <x:c r="Y509" s="8" t="n">
        <x:f>0</x:f>
        <x:v>0</x:v>
      </x:c>
      <x:c r="Z509" s="8" t="n">
        <x:f>K509/H509-X509*I509/H509-Y509*J509/H509</x:f>
        <x:v>3.9781475131544113</x:v>
      </x:c>
      <x:c r="AA509" s="8" t="n">
        <x:f>Z509+X509*Q509+Y509*R509</x:f>
        <x:v>7.567035793378584</x:v>
      </x:c>
    </x:row>
    <x:row r="510" ht="26" customHeight="1">
      <x:c r="A510" s="2"/>
      <x:c r="B510" s="2" t="n">
        <x:v>505</x:v>
      </x:c>
      <x:c r="C510" s="2" t="str">
        <x:v>Fabric &amp; Home Care / price_contribution</x:v>
      </x:c>
      <x:c r="D510" s="2" t="str">
        <x:v>Broad rolling 8</x:v>
      </x:c>
      <x:c r="E510" s="7" t="n">
        <x:v>45382</x:v>
      </x:c>
      <x:c r="F510" s="2" t="str">
        <x:v>Pre-earnings</x:v>
      </x:c>
      <x:c r="G510" s="7" t="n">
        <x:v>45400</x:v>
      </x:c>
      <x:c r="H510" s="2" t="n">
        <x:v>8</x:v>
      </x:c>
      <x:c r="I510" s="8" t="n">
        <x:v>40.58301442287644</x:v>
      </x:c>
      <x:c r="J510" s="8" t="n">
        <x:v>0</x:v>
      </x:c>
      <x:c r="K510" s="8" t="n">
        <x:v>70</x:v>
      </x:c>
      <x:c r="L510" s="8" t="n">
        <x:v>240.0201059908438</x:v>
      </x:c>
      <x:c r="M510" s="8" t="n">
        <x:v>0</x:v>
      </x:c>
      <x:c r="N510" s="8" t="n">
        <x:v>0</x:v>
      </x:c>
      <x:c r="O510" s="8" t="n">
        <x:v>384.13230957980574</x:v>
      </x:c>
      <x:c r="P510" s="8" t="n">
        <x:v>0</x:v>
      </x:c>
      <x:c r="Q510" s="8" t="n">
        <x:v>3.636809635836169</x:v>
      </x:c>
      <x:c r="R510" s="8" t="n">
        <x:v>0</x:v>
      </x:c>
      <x:c r="S510" s="8" t="n">
        <x:f>L510-I510^2/H510</x:f>
        <x:v>34.147473534919186</x:v>
      </x:c>
      <x:c r="T510" s="8" t="n">
        <x:f>M510-J510^2/H510</x:f>
        <x:v>0</x:v>
      </x:c>
      <x:c r="U510" s="8" t="n">
        <x:f>N510-I510*J510/H510</x:f>
        <x:v>0</x:v>
      </x:c>
      <x:c r="V510" s="8" t="n">
        <x:f>O510-I510*K510/H510</x:f>
        <x:v>29.030933379636906</x:v>
      </x:c>
      <x:c r="W510" s="8" t="n">
        <x:f>P510-J510*K510/H510</x:f>
        <x:v>0</x:v>
      </x:c>
      <x:c r="X510" s="8" t="n">
        <x:f>V510/S510</x:f>
        <x:v>0.8501634344909849</x:v>
      </x:c>
      <x:c r="Y510" s="8" t="n">
        <x:f>0</x:f>
        <x:v>0</x:v>
      </x:c>
      <x:c r="Z510" s="8" t="n">
        <x:f>K510/H510-X510*I510/H510-Y510*J510/H510</x:f>
        <x:v>4.437225634531274</x:v>
      </x:c>
      <x:c r="AA510" s="8" t="n">
        <x:f>Z510+X510*Q510+Y510*R510</x:f>
        <x:v>7.529108205123659</x:v>
      </x:c>
    </x:row>
    <x:row r="511" ht="26" customHeight="1">
      <x:c r="A511" s="2"/>
      <x:c r="B511" s="2" t="n">
        <x:v>506</x:v>
      </x:c>
      <x:c r="C511" s="2" t="str">
        <x:v>Fabric &amp; Home Care / price_contribution</x:v>
      </x:c>
      <x:c r="D511" s="2" t="str">
        <x:v>Own history</x:v>
      </x:c>
      <x:c r="E511" s="7" t="n">
        <x:v>45382</x:v>
      </x:c>
      <x:c r="F511" s="2" t="str">
        <x:v>Pre-earnings</x:v>
      </x:c>
      <x:c r="G511" s="7" t="n">
        <x:v>45400</x:v>
      </x:c>
      <x:c r="H511" s="2" t="n">
        <x:v>11</x:v>
      </x:c>
      <x:c r="I511" s="8" t="n">
        <x:v>72</x:v>
      </x:c>
      <x:c r="J511" s="8" t="n">
        <x:v>0</x:v>
      </x:c>
      <x:c r="K511" s="8" t="n">
        <x:v>74</x:v>
      </x:c>
      <x:c r="L511" s="8" t="n">
        <x:v>696</x:v>
      </x:c>
      <x:c r="M511" s="8" t="n">
        <x:v>0</x:v>
      </x:c>
      <x:c r="N511" s="8" t="n">
        <x:v>0</x:v>
      </x:c>
      <x:c r="O511" s="8" t="n">
        <x:v>644</x:v>
      </x:c>
      <x:c r="P511" s="8" t="n">
        <x:v>0</x:v>
      </x:c>
      <x:c r="Q511" s="8" t="n">
        <x:v>4</x:v>
      </x:c>
      <x:c r="R511" s="8" t="n">
        <x:v>0</x:v>
      </x:c>
      <x:c r="S511" s="8" t="n">
        <x:f>L511-I511^2/H511</x:f>
        <x:v>224.72727272727275</x:v>
      </x:c>
      <x:c r="T511" s="8" t="n">
        <x:f>M511-J511^2/H511</x:f>
        <x:v>0</x:v>
      </x:c>
      <x:c r="U511" s="8" t="n">
        <x:f>N511-I511*J511/H511</x:f>
        <x:v>0</x:v>
      </x:c>
      <x:c r="V511" s="8" t="n">
        <x:f>O511-I511*K511/H511</x:f>
        <x:v>159.63636363636363</x:v>
      </x:c>
      <x:c r="W511" s="8" t="n">
        <x:f>P511-J511*K511/H511</x:f>
        <x:v>0</x:v>
      </x:c>
      <x:c r="X511" s="8" t="n">
        <x:f>V511/S511</x:f>
        <x:v>0.7103559870550161</x:v>
      </x:c>
      <x:c r="Y511" s="8" t="n">
        <x:f>0</x:f>
        <x:v>0</x:v>
      </x:c>
      <x:c r="Z511" s="8" t="n">
        <x:f>K511/H511-X511*I511/H511-Y511*J511/H511</x:f>
        <x:v>2.077669902912622</x:v>
      </x:c>
      <x:c r="AA511" s="8" t="n">
        <x:f>Z511+X511*Q511+Y511*R511</x:f>
        <x:v>4.919093851132686</x:v>
      </x:c>
    </x:row>
    <x:row r="512" ht="26" customHeight="1">
      <x:c r="A512" s="2"/>
      <x:c r="B512" s="2" t="n">
        <x:v>507</x:v>
      </x:c>
      <x:c r="C512" s="2" t="str">
        <x:v>Fabric &amp; Home Care / price_contribution</x:v>
      </x:c>
      <x:c r="D512" s="2" t="str">
        <x:v>Broad market</x:v>
      </x:c>
      <x:c r="E512" s="7" t="n">
        <x:v>45473</x:v>
      </x:c>
      <x:c r="F512" s="2" t="str">
        <x:v>Origin</x:v>
      </x:c>
      <x:c r="G512" s="7" t="n">
        <x:v>45383</x:v>
      </x:c>
      <x:c r="H512" s="2" t="n">
        <x:v>12</x:v>
      </x:c>
      <x:c r="I512" s="8" t="n">
        <x:v>39.704827906174714</x:v>
      </x:c>
      <x:c r="J512" s="8" t="n">
        <x:v>0</x:v>
      </x:c>
      <x:c r="K512" s="8" t="n">
        <x:v>76</x:v>
      </x:c>
      <x:c r="L512" s="8" t="n">
        <x:v>240.3073515710282</x:v>
      </x:c>
      <x:c r="M512" s="8" t="n">
        <x:v>0</x:v>
      </x:c>
      <x:c r="N512" s="8" t="n">
        <x:v>0</x:v>
      </x:c>
      <x:c r="O512" s="8" t="n">
        <x:v>382.8164578438166</x:v>
      </x:c>
      <x:c r="P512" s="8" t="n">
        <x:v>0</x:v>
      </x:c>
      <x:c r="Q512" s="8" t="n">
        <x:v>3.588558969465838</x:v>
      </x:c>
      <x:c r="R512" s="8" t="n">
        <x:v>0</x:v>
      </x:c>
      <x:c r="S512" s="8" t="n">
        <x:f>L512-I512^2/H512</x:f>
        <x:v>108.934571649449</x:v>
      </x:c>
      <x:c r="T512" s="8" t="n">
        <x:f>M512-J512^2/H512</x:f>
        <x:v>0</x:v>
      </x:c>
      <x:c r="U512" s="8" t="n">
        <x:f>N512-I512*J512/H512</x:f>
        <x:v>0</x:v>
      </x:c>
      <x:c r="V512" s="8" t="n">
        <x:f>O512-I512*K512/H512</x:f>
        <x:v>131.35254777137672</x:v>
      </x:c>
      <x:c r="W512" s="8" t="n">
        <x:f>P512-J512*K512/H512</x:f>
        <x:v>0</x:v>
      </x:c>
      <x:c r="X512" s="8" t="n">
        <x:f>V512/S512</x:f>
        <x:v>1.2057930350529003</x:v>
      </x:c>
      <x:c r="Y512" s="8" t="n">
        <x:f>0</x:f>
        <x:v>0</x:v>
      </x:c>
      <x:c r="Z512" s="8" t="n">
        <x:f>K512/H512-X512*I512/H512-Y512*J512/H512</x:f>
        <x:v>2.3436829210633747</x:v>
      </x:c>
      <x:c r="AA512" s="8" t="n">
        <x:f>Z512+X512*Q512+Y512*R512</x:f>
        <x:v>6.670742332321895</x:v>
      </x:c>
    </x:row>
    <x:row r="513" ht="26" customHeight="1">
      <x:c r="A513" s="2"/>
      <x:c r="B513" s="2" t="n">
        <x:v>508</x:v>
      </x:c>
      <x:c r="C513" s="2" t="str">
        <x:v>Fabric &amp; Home Care / price_contribution</x:v>
      </x:c>
      <x:c r="D513" s="2" t="str">
        <x:v>Broad rolling 8</x:v>
      </x:c>
      <x:c r="E513" s="7" t="n">
        <x:v>45473</x:v>
      </x:c>
      <x:c r="F513" s="2" t="str">
        <x:v>Origin</x:v>
      </x:c>
      <x:c r="G513" s="7" t="n">
        <x:v>45383</x:v>
      </x:c>
      <x:c r="H513" s="2" t="n">
        <x:v>8</x:v>
      </x:c>
      <x:c r="I513" s="8" t="n">
        <x:v>40.58301442287644</x:v>
      </x:c>
      <x:c r="J513" s="8" t="n">
        <x:v>0</x:v>
      </x:c>
      <x:c r="K513" s="8" t="n">
        <x:v>70</x:v>
      </x:c>
      <x:c r="L513" s="8" t="n">
        <x:v>240.0201059908438</x:v>
      </x:c>
      <x:c r="M513" s="8" t="n">
        <x:v>0</x:v>
      </x:c>
      <x:c r="N513" s="8" t="n">
        <x:v>0</x:v>
      </x:c>
      <x:c r="O513" s="8" t="n">
        <x:v>384.13230957980574</x:v>
      </x:c>
      <x:c r="P513" s="8" t="n">
        <x:v>0</x:v>
      </x:c>
      <x:c r="Q513" s="8" t="n">
        <x:v>3.588558969465838</x:v>
      </x:c>
      <x:c r="R513" s="8" t="n">
        <x:v>0</x:v>
      </x:c>
      <x:c r="S513" s="8" t="n">
        <x:f>L513-I513^2/H513</x:f>
        <x:v>34.147473534919186</x:v>
      </x:c>
      <x:c r="T513" s="8" t="n">
        <x:f>M513-J513^2/H513</x:f>
        <x:v>0</x:v>
      </x:c>
      <x:c r="U513" s="8" t="n">
        <x:f>N513-I513*J513/H513</x:f>
        <x:v>0</x:v>
      </x:c>
      <x:c r="V513" s="8" t="n">
        <x:f>O513-I513*K513/H513</x:f>
        <x:v>29.030933379636906</x:v>
      </x:c>
      <x:c r="W513" s="8" t="n">
        <x:f>P513-J513*K513/H513</x:f>
        <x:v>0</x:v>
      </x:c>
      <x:c r="X513" s="8" t="n">
        <x:f>V513/S513</x:f>
        <x:v>0.8501634344909849</x:v>
      </x:c>
      <x:c r="Y513" s="8" t="n">
        <x:f>0</x:f>
        <x:v>0</x:v>
      </x:c>
      <x:c r="Z513" s="8" t="n">
        <x:f>K513/H513-X513*I513/H513-Y513*J513/H513</x:f>
        <x:v>4.437225634531274</x:v>
      </x:c>
      <x:c r="AA513" s="8" t="n">
        <x:f>Z513+X513*Q513+Y513*R513</x:f>
        <x:v>7.48808725288578</x:v>
      </x:c>
    </x:row>
    <x:row r="514" ht="26" customHeight="1">
      <x:c r="A514" s="2"/>
      <x:c r="B514" s="2" t="n">
        <x:v>509</x:v>
      </x:c>
      <x:c r="C514" s="2" t="str">
        <x:v>Fabric &amp; Home Care / price_contribution</x:v>
      </x:c>
      <x:c r="D514" s="2" t="str">
        <x:v>Own history</x:v>
      </x:c>
      <x:c r="E514" s="7" t="n">
        <x:v>45473</x:v>
      </x:c>
      <x:c r="F514" s="2" t="str">
        <x:v>Origin</x:v>
      </x:c>
      <x:c r="G514" s="7" t="n">
        <x:v>45383</x:v>
      </x:c>
      <x:c r="H514" s="2" t="n">
        <x:v>10</x:v>
      </x:c>
      <x:c r="I514" s="8" t="n">
        <x:v>64</x:v>
      </x:c>
      <x:c r="J514" s="8" t="n">
        <x:v>0</x:v>
      </x:c>
      <x:c r="K514" s="8" t="n">
        <x:v>74</x:v>
      </x:c>
      <x:c r="L514" s="8" t="n">
        <x:v>632</x:v>
      </x:c>
      <x:c r="M514" s="8" t="n">
        <x:v>0</x:v>
      </x:c>
      <x:c r="N514" s="8" t="n">
        <x:v>0</x:v>
      </x:c>
      <x:c r="O514" s="8" t="n">
        <x:v>568</x:v>
      </x:c>
      <x:c r="P514" s="8" t="n">
        <x:v>0</x:v>
      </x:c>
      <x:c r="Q514" s="8" t="n">
        <x:v>4</x:v>
      </x:c>
      <x:c r="R514" s="8" t="n">
        <x:v>0</x:v>
      </x:c>
      <x:c r="S514" s="8" t="n">
        <x:f>L514-I514^2/H514</x:f>
        <x:v>222.39999999999998</x:v>
      </x:c>
      <x:c r="T514" s="8" t="n">
        <x:f>M514-J514^2/H514</x:f>
        <x:v>0</x:v>
      </x:c>
      <x:c r="U514" s="8" t="n">
        <x:f>N514-I514*J514/H514</x:f>
        <x:v>0</x:v>
      </x:c>
      <x:c r="V514" s="8" t="n">
        <x:f>O514-I514*K514/H514</x:f>
        <x:v>94.39999999999998</x:v>
      </x:c>
      <x:c r="W514" s="8" t="n">
        <x:f>P514-J514*K514/H514</x:f>
        <x:v>0</x:v>
      </x:c>
      <x:c r="X514" s="8" t="n">
        <x:f>V514/S514</x:f>
        <x:v>0.4244604316546762</x:v>
      </x:c>
      <x:c r="Y514" s="8" t="n">
        <x:f>0</x:f>
        <x:v>0</x:v>
      </x:c>
      <x:c r="Z514" s="8" t="n">
        <x:f>K514/H514-X514*I514/H514-Y514*J514/H514</x:f>
        <x:v>4.683453237410073</x:v>
      </x:c>
      <x:c r="AA514" s="8" t="n">
        <x:f>Z514+X514*Q514+Y514*R514</x:f>
        <x:v>6.381294964028777</x:v>
      </x:c>
    </x:row>
    <x:row r="515" ht="26" customHeight="1">
      <x:c r="A515" s="2"/>
      <x:c r="B515" s="2" t="n">
        <x:v>510</x:v>
      </x:c>
      <x:c r="C515" s="2" t="str">
        <x:v>Fabric &amp; Home Care / price_contribution</x:v>
      </x:c>
      <x:c r="D515" s="2" t="str">
        <x:v>Broad market</x:v>
      </x:c>
      <x:c r="E515" s="7" t="n">
        <x:v>45473</x:v>
      </x:c>
      <x:c r="F515" s="2" t="str">
        <x:v>Prior report</x:v>
      </x:c>
      <x:c r="G515" s="7" t="n">
        <x:v>45401</x:v>
      </x:c>
      <x:c r="H515" s="2" t="n">
        <x:v>13</x:v>
      </x:c>
      <x:c r="I515" s="8" t="n">
        <x:v>43.34163754201088</x:v>
      </x:c>
      <x:c r="J515" s="8" t="n">
        <x:v>0</x:v>
      </x:c>
      <x:c r="K515" s="8" t="n">
        <x:v>78</x:v>
      </x:c>
      <x:c r="L515" s="8" t="n">
        <x:v>253.53373589833902</x:v>
      </x:c>
      <x:c r="M515" s="8" t="n">
        <x:v>0</x:v>
      </x:c>
      <x:c r="N515" s="8" t="n">
        <x:v>0</x:v>
      </x:c>
      <x:c r="O515" s="8" t="n">
        <x:v>390.09007711548895</x:v>
      </x:c>
      <x:c r="P515" s="8" t="n">
        <x:v>0</x:v>
      </x:c>
      <x:c r="Q515" s="8" t="n">
        <x:v>3.637237355891698</x:v>
      </x:c>
      <x:c r="R515" s="8" t="n">
        <x:v>0</x:v>
      </x:c>
      <x:c r="S515" s="8" t="n">
        <x:f>L515-I515^2/H515</x:f>
        <x:v>109.03392475810463</x:v>
      </x:c>
      <x:c r="T515" s="8" t="n">
        <x:f>M515-J515^2/H515</x:f>
        <x:v>0</x:v>
      </x:c>
      <x:c r="U515" s="8" t="n">
        <x:f>N515-I515*J515/H515</x:f>
        <x:v>0</x:v>
      </x:c>
      <x:c r="V515" s="8" t="n">
        <x:f>O515-I515*K515/H515</x:f>
        <x:v>130.0402518634237</x:v>
      </x:c>
      <x:c r="W515" s="8" t="n">
        <x:f>P515-J515*K515/H515</x:f>
        <x:v>0</x:v>
      </x:c>
      <x:c r="X515" s="8" t="n">
        <x:f>V515/S515</x:f>
        <x:v>1.1926586349333228</x:v>
      </x:c>
      <x:c r="Y515" s="8" t="n">
        <x:f>0</x:f>
        <x:v>0</x:v>
      </x:c>
      <x:c r="Z515" s="8" t="n">
        <x:f>K515/H515-X515*I515/H515-Y515*J515/H515</x:f>
        <x:v>2.0237093641054194</x:v>
      </x:c>
      <x:c r="AA515" s="8" t="n">
        <x:f>Z515+X515*Q515+Y515*R515</x:f>
        <x:v>6.3616919039117</x:v>
      </x:c>
    </x:row>
    <x:row r="516" ht="26" customHeight="1">
      <x:c r="A516" s="2"/>
      <x:c r="B516" s="2" t="n">
        <x:v>511</x:v>
      </x:c>
      <x:c r="C516" s="2" t="str">
        <x:v>Fabric &amp; Home Care / price_contribution</x:v>
      </x:c>
      <x:c r="D516" s="2" t="str">
        <x:v>Broad lag 1</x:v>
      </x:c>
      <x:c r="E516" s="7" t="n">
        <x:v>45473</x:v>
      </x:c>
      <x:c r="F516" s="2" t="str">
        <x:v>Prior report</x:v>
      </x:c>
      <x:c r="G516" s="7" t="n">
        <x:v>45401</x:v>
      </x:c>
      <x:c r="H516" s="2" t="n">
        <x:v>12</x:v>
      </x:c>
      <x:c r="I516" s="8" t="n">
        <x:v>39.704827906174714</x:v>
      </x:c>
      <x:c r="J516" s="8" t="n">
        <x:v>0</x:v>
      </x:c>
      <x:c r="K516" s="8" t="n">
        <x:v>76</x:v>
      </x:c>
      <x:c r="L516" s="8" t="n">
        <x:v>240.3073515710282</x:v>
      </x:c>
      <x:c r="M516" s="8" t="n">
        <x:v>0</x:v>
      </x:c>
      <x:c r="N516" s="8" t="n">
        <x:v>0</x:v>
      </x:c>
      <x:c r="O516" s="8" t="n">
        <x:v>339.2485187365736</x:v>
      </x:c>
      <x:c r="P516" s="8" t="n">
        <x:v>0</x:v>
      </x:c>
      <x:c r="Q516" s="8" t="n">
        <x:v>3.636809635836169</x:v>
      </x:c>
      <x:c r="R516" s="8" t="n">
        <x:v>0</x:v>
      </x:c>
      <x:c r="S516" s="8" t="n">
        <x:f>L516-I516^2/H516</x:f>
        <x:v>108.934571649449</x:v>
      </x:c>
      <x:c r="T516" s="8" t="n">
        <x:f>M516-J516^2/H516</x:f>
        <x:v>0</x:v>
      </x:c>
      <x:c r="U516" s="8" t="n">
        <x:f>N516-I516*J516/H516</x:f>
        <x:v>0</x:v>
      </x:c>
      <x:c r="V516" s="8" t="n">
        <x:f>O516-I516*K516/H516</x:f>
        <x:v>87.78460866413374</x:v>
      </x:c>
      <x:c r="W516" s="8" t="n">
        <x:f>P516-J516*K516/H516</x:f>
        <x:v>0</x:v>
      </x:c>
      <x:c r="X516" s="8" t="n">
        <x:f>V516/S516</x:f>
        <x:v>0.8058471000980685</x:v>
      </x:c>
      <x:c r="Y516" s="8" t="n">
        <x:f>0</x:f>
        <x:v>0</x:v>
      </x:c>
      <x:c r="Z516" s="8" t="n">
        <x:f>K516/H516-X516*I516/H516-Y516*J516/H516</x:f>
        <x:v>3.6669982976596867</x:v>
      </x:c>
      <x:c r="AA516" s="8" t="n">
        <x:f>Z516+X516*Q516+Y516*R516</x:f>
        <x:v>6.597710796306976</x:v>
      </x:c>
    </x:row>
    <x:row r="517" ht="26" customHeight="1">
      <x:c r="A517" s="2"/>
      <x:c r="B517" s="2" t="n">
        <x:v>512</x:v>
      </x:c>
      <x:c r="C517" s="2" t="str">
        <x:v>Fabric &amp; Home Care / price_contribution</x:v>
      </x:c>
      <x:c r="D517" s="2" t="str">
        <x:v>Broad rolling 8</x:v>
      </x:c>
      <x:c r="E517" s="7" t="n">
        <x:v>45473</x:v>
      </x:c>
      <x:c r="F517" s="2" t="str">
        <x:v>Prior report</x:v>
      </x:c>
      <x:c r="G517" s="7" t="n">
        <x:v>45401</x:v>
      </x:c>
      <x:c r="H517" s="2" t="n">
        <x:v>8</x:v>
      </x:c>
      <x:c r="I517" s="8" t="n">
        <x:v>43.19182386703038</x:v>
      </x:c>
      <x:c r="J517" s="8" t="n">
        <x:v>0</x:v>
      </x:c>
      <x:c r="K517" s="8" t="n">
        <x:v>67</x:v>
      </x:c>
      <x:c r="L517" s="8" t="n">
        <x:v>252.18970592405591</x:v>
      </x:c>
      <x:c r="M517" s="8" t="n">
        <x:v>0</x:v>
      </x:c>
      <x:c r="N517" s="8" t="n">
        <x:v>0</x:v>
      </x:c>
      <x:c r="O517" s="8" t="n">
        <x:v>386.26592789306693</x:v>
      </x:c>
      <x:c r="P517" s="8" t="n">
        <x:v>0</x:v>
      </x:c>
      <x:c r="Q517" s="8" t="n">
        <x:v>3.637237355891698</x:v>
      </x:c>
      <x:c r="R517" s="8" t="n">
        <x:v>0</x:v>
      </x:c>
      <x:c r="S517" s="8" t="n">
        <x:f>L517-I517^2/H517</x:f>
        <x:v>18.997999803984015</x:v>
      </x:c>
      <x:c r="T517" s="8" t="n">
        <x:f>M517-J517^2/H517</x:f>
        <x:v>0</x:v>
      </x:c>
      <x:c r="U517" s="8" t="n">
        <x:f>N517-I517*J517/H517</x:f>
        <x:v>0</x:v>
      </x:c>
      <x:c r="V517" s="8" t="n">
        <x:f>O517-I517*K517/H517</x:f>
        <x:v>24.534403006687512</x:v>
      </x:c>
      <x:c r="W517" s="8" t="n">
        <x:f>P517-J517*K517/H517</x:f>
        <x:v>0</x:v>
      </x:c>
      <x:c r="X517" s="8" t="n">
        <x:f>V517/S517</x:f>
        <x:v>1.2914203210772996</x:v>
      </x:c>
      <x:c r="Y517" s="8" t="n">
        <x:f>0</x:f>
        <x:v>0</x:v>
      </x:c>
      <x:c r="Z517" s="8" t="n">
        <x:f>K517/H517-X517*I517/H517-Y517*J517/H517</x:f>
        <x:v>1.4026501192156813</x:v>
      </x:c>
      <x:c r="AA517" s="8" t="n">
        <x:f>Z517+X517*Q517+Y517*R517</x:f>
        <x:v>6.099852353195686</x:v>
      </x:c>
    </x:row>
    <x:row r="518" ht="26" customHeight="1">
      <x:c r="A518" s="2"/>
      <x:c r="B518" s="2" t="n">
        <x:v>513</x:v>
      </x:c>
      <x:c r="C518" s="2" t="str">
        <x:v>Fabric &amp; Home Care / price_contribution</x:v>
      </x:c>
      <x:c r="D518" s="2" t="str">
        <x:v>Own history</x:v>
      </x:c>
      <x:c r="E518" s="7" t="n">
        <x:v>45473</x:v>
      </x:c>
      <x:c r="F518" s="2" t="str">
        <x:v>Prior report</x:v>
      </x:c>
      <x:c r="G518" s="7" t="n">
        <x:v>45401</x:v>
      </x:c>
      <x:c r="H518" s="2" t="n">
        <x:v>12</x:v>
      </x:c>
      <x:c r="I518" s="8" t="n">
        <x:v>76</x:v>
      </x:c>
      <x:c r="J518" s="8" t="n">
        <x:v>0</x:v>
      </x:c>
      <x:c r="K518" s="8" t="n">
        <x:v>76</x:v>
      </x:c>
      <x:c r="L518" s="8" t="n">
        <x:v>712</x:v>
      </x:c>
      <x:c r="M518" s="8" t="n">
        <x:v>0</x:v>
      </x:c>
      <x:c r="N518" s="8" t="n">
        <x:v>0</x:v>
      </x:c>
      <x:c r="O518" s="8" t="n">
        <x:v>652</x:v>
      </x:c>
      <x:c r="P518" s="8" t="n">
        <x:v>0</x:v>
      </x:c>
      <x:c r="Q518" s="8" t="n">
        <x:v>2</x:v>
      </x:c>
      <x:c r="R518" s="8" t="n">
        <x:v>0</x:v>
      </x:c>
      <x:c r="S518" s="8" t="n">
        <x:f>L518-I518^2/H518</x:f>
        <x:v>230.66666666666669</x:v>
      </x:c>
      <x:c r="T518" s="8" t="n">
        <x:f>M518-J518^2/H518</x:f>
        <x:v>0</x:v>
      </x:c>
      <x:c r="U518" s="8" t="n">
        <x:f>N518-I518*J518/H518</x:f>
        <x:v>0</x:v>
      </x:c>
      <x:c r="V518" s="8" t="n">
        <x:f>O518-I518*K518/H518</x:f>
        <x:v>170.66666666666669</x:v>
      </x:c>
      <x:c r="W518" s="8" t="n">
        <x:f>P518-J518*K518/H518</x:f>
        <x:v>0</x:v>
      </x:c>
      <x:c r="X518" s="8" t="n">
        <x:f>V518/S518</x:f>
        <x:v>0.7398843930635839</x:v>
      </x:c>
      <x:c r="Y518" s="8" t="n">
        <x:f>0</x:f>
        <x:v>0</x:v>
      </x:c>
      <x:c r="Z518" s="8" t="n">
        <x:f>K518/H518-X518*I518/H518-Y518*J518/H518</x:f>
        <x:v>1.6473988439306346</x:v>
      </x:c>
      <x:c r="AA518" s="8" t="n">
        <x:f>Z518+X518*Q518+Y518*R518</x:f>
        <x:v>3.1271676300578024</x:v>
      </x:c>
    </x:row>
    <x:row r="519" ht="26" customHeight="1">
      <x:c r="A519" s="2"/>
      <x:c r="B519" s="2" t="n">
        <x:v>514</x:v>
      </x:c>
      <x:c r="C519" s="2" t="str">
        <x:v>Fabric &amp; Home Care / price_contribution</x:v>
      </x:c>
      <x:c r="D519" s="2" t="str">
        <x:v>Broad market</x:v>
      </x:c>
      <x:c r="E519" s="7" t="n">
        <x:v>45473</x:v>
      </x:c>
      <x:c r="F519" s="2" t="str">
        <x:v>Pre-earnings</x:v>
      </x:c>
      <x:c r="G519" s="7" t="n">
        <x:v>45502</x:v>
      </x:c>
      <x:c r="H519" s="2" t="n">
        <x:v>13</x:v>
      </x:c>
      <x:c r="I519" s="8" t="n">
        <x:v>43.34163754201088</x:v>
      </x:c>
      <x:c r="J519" s="8" t="n">
        <x:v>0</x:v>
      </x:c>
      <x:c r="K519" s="8" t="n">
        <x:v>78</x:v>
      </x:c>
      <x:c r="L519" s="8" t="n">
        <x:v>253.53373589833902</x:v>
      </x:c>
      <x:c r="M519" s="8" t="n">
        <x:v>0</x:v>
      </x:c>
      <x:c r="N519" s="8" t="n">
        <x:v>0</x:v>
      </x:c>
      <x:c r="O519" s="8" t="n">
        <x:v>390.09007711548895</x:v>
      </x:c>
      <x:c r="P519" s="8" t="n">
        <x:v>0</x:v>
      </x:c>
      <x:c r="Q519" s="8" t="n">
        <x:v>1.6547550061168037</x:v>
      </x:c>
      <x:c r="R519" s="8" t="n">
        <x:v>0</x:v>
      </x:c>
      <x:c r="S519" s="8" t="n">
        <x:f>L519-I519^2/H519</x:f>
        <x:v>109.03392475810463</x:v>
      </x:c>
      <x:c r="T519" s="8" t="n">
        <x:f>M519-J519^2/H519</x:f>
        <x:v>0</x:v>
      </x:c>
      <x:c r="U519" s="8" t="n">
        <x:f>N519-I519*J519/H519</x:f>
        <x:v>0</x:v>
      </x:c>
      <x:c r="V519" s="8" t="n">
        <x:f>O519-I519*K519/H519</x:f>
        <x:v>130.0402518634237</x:v>
      </x:c>
      <x:c r="W519" s="8" t="n">
        <x:f>P519-J519*K519/H519</x:f>
        <x:v>0</x:v>
      </x:c>
      <x:c r="X519" s="8" t="n">
        <x:f>V519/S519</x:f>
        <x:v>1.1926586349333228</x:v>
      </x:c>
      <x:c r="Y519" s="8" t="n">
        <x:f>0</x:f>
        <x:v>0</x:v>
      </x:c>
      <x:c r="Z519" s="8" t="n">
        <x:f>K519/H519-X519*I519/H519-Y519*J519/H519</x:f>
        <x:v>2.0237093641054194</x:v>
      </x:c>
      <x:c r="AA519" s="8" t="n">
        <x:f>Z519+X519*Q519+Y519*R519</x:f>
        <x:v>3.9972672108497687</x:v>
      </x:c>
    </x:row>
    <x:row r="520" ht="26" customHeight="1">
      <x:c r="A520" s="2"/>
      <x:c r="B520" s="2" t="n">
        <x:v>515</x:v>
      </x:c>
      <x:c r="C520" s="2" t="str">
        <x:v>Fabric &amp; Home Care / price_contribution</x:v>
      </x:c>
      <x:c r="D520" s="2" t="str">
        <x:v>Broad lag 1</x:v>
      </x:c>
      <x:c r="E520" s="7" t="n">
        <x:v>45473</x:v>
      </x:c>
      <x:c r="F520" s="2" t="str">
        <x:v>Pre-earnings</x:v>
      </x:c>
      <x:c r="G520" s="7" t="n">
        <x:v>45502</x:v>
      </x:c>
      <x:c r="H520" s="2" t="n">
        <x:v>12</x:v>
      </x:c>
      <x:c r="I520" s="8" t="n">
        <x:v>39.704827906174714</x:v>
      </x:c>
      <x:c r="J520" s="8" t="n">
        <x:v>0</x:v>
      </x:c>
      <x:c r="K520" s="8" t="n">
        <x:v>76</x:v>
      </x:c>
      <x:c r="L520" s="8" t="n">
        <x:v>240.3073515710282</x:v>
      </x:c>
      <x:c r="M520" s="8" t="n">
        <x:v>0</x:v>
      </x:c>
      <x:c r="N520" s="8" t="n">
        <x:v>0</x:v>
      </x:c>
      <x:c r="O520" s="8" t="n">
        <x:v>339.2485187365736</x:v>
      </x:c>
      <x:c r="P520" s="8" t="n">
        <x:v>0</x:v>
      </x:c>
      <x:c r="Q520" s="8" t="n">
        <x:v>3.636809635836169</x:v>
      </x:c>
      <x:c r="R520" s="8" t="n">
        <x:v>0</x:v>
      </x:c>
      <x:c r="S520" s="8" t="n">
        <x:f>L520-I520^2/H520</x:f>
        <x:v>108.934571649449</x:v>
      </x:c>
      <x:c r="T520" s="8" t="n">
        <x:f>M520-J520^2/H520</x:f>
        <x:v>0</x:v>
      </x:c>
      <x:c r="U520" s="8" t="n">
        <x:f>N520-I520*J520/H520</x:f>
        <x:v>0</x:v>
      </x:c>
      <x:c r="V520" s="8" t="n">
        <x:f>O520-I520*K520/H520</x:f>
        <x:v>87.78460866413374</x:v>
      </x:c>
      <x:c r="W520" s="8" t="n">
        <x:f>P520-J520*K520/H520</x:f>
        <x:v>0</x:v>
      </x:c>
      <x:c r="X520" s="8" t="n">
        <x:f>V520/S520</x:f>
        <x:v>0.8058471000980685</x:v>
      </x:c>
      <x:c r="Y520" s="8" t="n">
        <x:f>0</x:f>
        <x:v>0</x:v>
      </x:c>
      <x:c r="Z520" s="8" t="n">
        <x:f>K520/H520-X520*I520/H520-Y520*J520/H520</x:f>
        <x:v>3.6669982976596867</x:v>
      </x:c>
      <x:c r="AA520" s="8" t="n">
        <x:f>Z520+X520*Q520+Y520*R520</x:f>
        <x:v>6.597710796306976</x:v>
      </x:c>
    </x:row>
    <x:row r="521" ht="26" customHeight="1">
      <x:c r="A521" s="2"/>
      <x:c r="B521" s="2" t="n">
        <x:v>516</x:v>
      </x:c>
      <x:c r="C521" s="2" t="str">
        <x:v>Fabric &amp; Home Care / price_contribution</x:v>
      </x:c>
      <x:c r="D521" s="2" t="str">
        <x:v>Broad rolling 8</x:v>
      </x:c>
      <x:c r="E521" s="7" t="n">
        <x:v>45473</x:v>
      </x:c>
      <x:c r="F521" s="2" t="str">
        <x:v>Pre-earnings</x:v>
      </x:c>
      <x:c r="G521" s="7" t="n">
        <x:v>45502</x:v>
      </x:c>
      <x:c r="H521" s="2" t="n">
        <x:v>8</x:v>
      </x:c>
      <x:c r="I521" s="8" t="n">
        <x:v>43.19182386703038</x:v>
      </x:c>
      <x:c r="J521" s="8" t="n">
        <x:v>0</x:v>
      </x:c>
      <x:c r="K521" s="8" t="n">
        <x:v>67</x:v>
      </x:c>
      <x:c r="L521" s="8" t="n">
        <x:v>252.18970592405591</x:v>
      </x:c>
      <x:c r="M521" s="8" t="n">
        <x:v>0</x:v>
      </x:c>
      <x:c r="N521" s="8" t="n">
        <x:v>0</x:v>
      </x:c>
      <x:c r="O521" s="8" t="n">
        <x:v>386.26592789306693</x:v>
      </x:c>
      <x:c r="P521" s="8" t="n">
        <x:v>0</x:v>
      </x:c>
      <x:c r="Q521" s="8" t="n">
        <x:v>1.6547550061168037</x:v>
      </x:c>
      <x:c r="R521" s="8" t="n">
        <x:v>0</x:v>
      </x:c>
      <x:c r="S521" s="8" t="n">
        <x:f>L521-I521^2/H521</x:f>
        <x:v>18.997999803984015</x:v>
      </x:c>
      <x:c r="T521" s="8" t="n">
        <x:f>M521-J521^2/H521</x:f>
        <x:v>0</x:v>
      </x:c>
      <x:c r="U521" s="8" t="n">
        <x:f>N521-I521*J521/H521</x:f>
        <x:v>0</x:v>
      </x:c>
      <x:c r="V521" s="8" t="n">
        <x:f>O521-I521*K521/H521</x:f>
        <x:v>24.534403006687512</x:v>
      </x:c>
      <x:c r="W521" s="8" t="n">
        <x:f>P521-J521*K521/H521</x:f>
        <x:v>0</x:v>
      </x:c>
      <x:c r="X521" s="8" t="n">
        <x:f>V521/S521</x:f>
        <x:v>1.2914203210772996</x:v>
      </x:c>
      <x:c r="Y521" s="8" t="n">
        <x:f>0</x:f>
        <x:v>0</x:v>
      </x:c>
      <x:c r="Z521" s="8" t="n">
        <x:f>K521/H521-X521*I521/H521-Y521*J521/H521</x:f>
        <x:v>1.4026501192156813</x:v>
      </x:c>
      <x:c r="AA521" s="8" t="n">
        <x:f>Z521+X521*Q521+Y521*R521</x:f>
        <x:v>3.539634360519313</x:v>
      </x:c>
    </x:row>
    <x:row r="522" ht="26" customHeight="1">
      <x:c r="A522" s="2"/>
      <x:c r="B522" s="2" t="n">
        <x:v>517</x:v>
      </x:c>
      <x:c r="C522" s="2" t="str">
        <x:v>Fabric &amp; Home Care / price_contribution</x:v>
      </x:c>
      <x:c r="D522" s="2" t="str">
        <x:v>Own history</x:v>
      </x:c>
      <x:c r="E522" s="7" t="n">
        <x:v>45473</x:v>
      </x:c>
      <x:c r="F522" s="2" t="str">
        <x:v>Pre-earnings</x:v>
      </x:c>
      <x:c r="G522" s="7" t="n">
        <x:v>45502</x:v>
      </x:c>
      <x:c r="H522" s="2" t="n">
        <x:v>12</x:v>
      </x:c>
      <x:c r="I522" s="8" t="n">
        <x:v>76</x:v>
      </x:c>
      <x:c r="J522" s="8" t="n">
        <x:v>0</x:v>
      </x:c>
      <x:c r="K522" s="8" t="n">
        <x:v>76</x:v>
      </x:c>
      <x:c r="L522" s="8" t="n">
        <x:v>712</x:v>
      </x:c>
      <x:c r="M522" s="8" t="n">
        <x:v>0</x:v>
      </x:c>
      <x:c r="N522" s="8" t="n">
        <x:v>0</x:v>
      </x:c>
      <x:c r="O522" s="8" t="n">
        <x:v>652</x:v>
      </x:c>
      <x:c r="P522" s="8" t="n">
        <x:v>0</x:v>
      </x:c>
      <x:c r="Q522" s="8" t="n">
        <x:v>2</x:v>
      </x:c>
      <x:c r="R522" s="8" t="n">
        <x:v>0</x:v>
      </x:c>
      <x:c r="S522" s="8" t="n">
        <x:f>L522-I522^2/H522</x:f>
        <x:v>230.66666666666669</x:v>
      </x:c>
      <x:c r="T522" s="8" t="n">
        <x:f>M522-J522^2/H522</x:f>
        <x:v>0</x:v>
      </x:c>
      <x:c r="U522" s="8" t="n">
        <x:f>N522-I522*J522/H522</x:f>
        <x:v>0</x:v>
      </x:c>
      <x:c r="V522" s="8" t="n">
        <x:f>O522-I522*K522/H522</x:f>
        <x:v>170.66666666666669</x:v>
      </x:c>
      <x:c r="W522" s="8" t="n">
        <x:f>P522-J522*K522/H522</x:f>
        <x:v>0</x:v>
      </x:c>
      <x:c r="X522" s="8" t="n">
        <x:f>V522/S522</x:f>
        <x:v>0.7398843930635839</x:v>
      </x:c>
      <x:c r="Y522" s="8" t="n">
        <x:f>0</x:f>
        <x:v>0</x:v>
      </x:c>
      <x:c r="Z522" s="8" t="n">
        <x:f>K522/H522-X522*I522/H522-Y522*J522/H522</x:f>
        <x:v>1.6473988439306346</x:v>
      </x:c>
      <x:c r="AA522" s="8" t="n">
        <x:f>Z522+X522*Q522+Y522*R522</x:f>
        <x:v>3.1271676300578024</x:v>
      </x:c>
    </x:row>
    <x:row r="523" ht="26" customHeight="1">
      <x:c r="A523" s="2"/>
      <x:c r="B523" s="2" t="n">
        <x:v>518</x:v>
      </x:c>
      <x:c r="C523" s="2" t="str">
        <x:v>Fabric &amp; Home Care / price_contribution</x:v>
      </x:c>
      <x:c r="D523" s="2" t="str">
        <x:v>Broad market</x:v>
      </x:c>
      <x:c r="E523" s="7" t="n">
        <x:v>45565</x:v>
      </x:c>
      <x:c r="F523" s="2" t="str">
        <x:v>Origin</x:v>
      </x:c>
      <x:c r="G523" s="7" t="n">
        <x:v>45474</x:v>
      </x:c>
      <x:c r="H523" s="2" t="n">
        <x:v>13</x:v>
      </x:c>
      <x:c r="I523" s="8" t="n">
        <x:v>43.34163754201088</x:v>
      </x:c>
      <x:c r="J523" s="8" t="n">
        <x:v>0</x:v>
      </x:c>
      <x:c r="K523" s="8" t="n">
        <x:v>78</x:v>
      </x:c>
      <x:c r="L523" s="8" t="n">
        <x:v>253.53373589833902</x:v>
      </x:c>
      <x:c r="M523" s="8" t="n">
        <x:v>0</x:v>
      </x:c>
      <x:c r="N523" s="8" t="n">
        <x:v>0</x:v>
      </x:c>
      <x:c r="O523" s="8" t="n">
        <x:v>390.09007711548895</x:v>
      </x:c>
      <x:c r="P523" s="8" t="n">
        <x:v>0</x:v>
      </x:c>
      <x:c r="Q523" s="8" t="n">
        <x:v>2.4448012966521437</x:v>
      </x:c>
      <x:c r="R523" s="8" t="n">
        <x:v>0</x:v>
      </x:c>
      <x:c r="S523" s="8" t="n">
        <x:f>L523-I523^2/H523</x:f>
        <x:v>109.03392475810463</x:v>
      </x:c>
      <x:c r="T523" s="8" t="n">
        <x:f>M523-J523^2/H523</x:f>
        <x:v>0</x:v>
      </x:c>
      <x:c r="U523" s="8" t="n">
        <x:f>N523-I523*J523/H523</x:f>
        <x:v>0</x:v>
      </x:c>
      <x:c r="V523" s="8" t="n">
        <x:f>O523-I523*K523/H523</x:f>
        <x:v>130.0402518634237</x:v>
      </x:c>
      <x:c r="W523" s="8" t="n">
        <x:f>P523-J523*K523/H523</x:f>
        <x:v>0</x:v>
      </x:c>
      <x:c r="X523" s="8" t="n">
        <x:f>V523/S523</x:f>
        <x:v>1.1926586349333228</x:v>
      </x:c>
      <x:c r="Y523" s="8" t="n">
        <x:f>0</x:f>
        <x:v>0</x:v>
      </x:c>
      <x:c r="Z523" s="8" t="n">
        <x:f>K523/H523-X523*I523/H523-Y523*J523/H523</x:f>
        <x:v>2.0237093641054194</x:v>
      </x:c>
      <x:c r="AA523" s="8" t="n">
        <x:f>Z523+X523*Q523+Y523*R523</x:f>
        <x:v>4.939522741253782</x:v>
      </x:c>
    </x:row>
    <x:row r="524" ht="26" customHeight="1">
      <x:c r="A524" s="2"/>
      <x:c r="B524" s="2" t="n">
        <x:v>519</x:v>
      </x:c>
      <x:c r="C524" s="2" t="str">
        <x:v>Fabric &amp; Home Care / price_contribution</x:v>
      </x:c>
      <x:c r="D524" s="2" t="str">
        <x:v>Broad rolling 8</x:v>
      </x:c>
      <x:c r="E524" s="7" t="n">
        <x:v>45565</x:v>
      </x:c>
      <x:c r="F524" s="2" t="str">
        <x:v>Origin</x:v>
      </x:c>
      <x:c r="G524" s="7" t="n">
        <x:v>45474</x:v>
      </x:c>
      <x:c r="H524" s="2" t="n">
        <x:v>8</x:v>
      </x:c>
      <x:c r="I524" s="8" t="n">
        <x:v>43.19182386703038</x:v>
      </x:c>
      <x:c r="J524" s="8" t="n">
        <x:v>0</x:v>
      </x:c>
      <x:c r="K524" s="8" t="n">
        <x:v>67</x:v>
      </x:c>
      <x:c r="L524" s="8" t="n">
        <x:v>252.18970592405591</x:v>
      </x:c>
      <x:c r="M524" s="8" t="n">
        <x:v>0</x:v>
      </x:c>
      <x:c r="N524" s="8" t="n">
        <x:v>0</x:v>
      </x:c>
      <x:c r="O524" s="8" t="n">
        <x:v>386.26592789306693</x:v>
      </x:c>
      <x:c r="P524" s="8" t="n">
        <x:v>0</x:v>
      </x:c>
      <x:c r="Q524" s="8" t="n">
        <x:v>2.4448012966521437</x:v>
      </x:c>
      <x:c r="R524" s="8" t="n">
        <x:v>0</x:v>
      </x:c>
      <x:c r="S524" s="8" t="n">
        <x:f>L524-I524^2/H524</x:f>
        <x:v>18.997999803984015</x:v>
      </x:c>
      <x:c r="T524" s="8" t="n">
        <x:f>M524-J524^2/H524</x:f>
        <x:v>0</x:v>
      </x:c>
      <x:c r="U524" s="8" t="n">
        <x:f>N524-I524*J524/H524</x:f>
        <x:v>0</x:v>
      </x:c>
      <x:c r="V524" s="8" t="n">
        <x:f>O524-I524*K524/H524</x:f>
        <x:v>24.534403006687512</x:v>
      </x:c>
      <x:c r="W524" s="8" t="n">
        <x:f>P524-J524*K524/H524</x:f>
        <x:v>0</x:v>
      </x:c>
      <x:c r="X524" s="8" t="n">
        <x:f>V524/S524</x:f>
        <x:v>1.2914203210772996</x:v>
      </x:c>
      <x:c r="Y524" s="8" t="n">
        <x:f>0</x:f>
        <x:v>0</x:v>
      </x:c>
      <x:c r="Z524" s="8" t="n">
        <x:f>K524/H524-X524*I524/H524-Y524*J524/H524</x:f>
        <x:v>1.4026501192156813</x:v>
      </x:c>
      <x:c r="AA524" s="8" t="n">
        <x:f>Z524+X524*Q524+Y524*R524</x:f>
        <x:v>4.559916194708391</x:v>
      </x:c>
    </x:row>
    <x:row r="525" ht="26" customHeight="1">
      <x:c r="A525" s="2"/>
      <x:c r="B525" s="2" t="n">
        <x:v>520</x:v>
      </x:c>
      <x:c r="C525" s="2" t="str">
        <x:v>Fabric &amp; Home Care / price_contribution</x:v>
      </x:c>
      <x:c r="D525" s="2" t="str">
        <x:v>Own history</x:v>
      </x:c>
      <x:c r="E525" s="7" t="n">
        <x:v>45565</x:v>
      </x:c>
      <x:c r="F525" s="2" t="str">
        <x:v>Origin</x:v>
      </x:c>
      <x:c r="G525" s="7" t="n">
        <x:v>45474</x:v>
      </x:c>
      <x:c r="H525" s="2" t="n">
        <x:v>11</x:v>
      </x:c>
      <x:c r="I525" s="8" t="n">
        <x:v>72</x:v>
      </x:c>
      <x:c r="J525" s="8" t="n">
        <x:v>0</x:v>
      </x:c>
      <x:c r="K525" s="8" t="n">
        <x:v>76</x:v>
      </x:c>
      <x:c r="L525" s="8" t="n">
        <x:v>696</x:v>
      </x:c>
      <x:c r="M525" s="8" t="n">
        <x:v>0</x:v>
      </x:c>
      <x:c r="N525" s="8" t="n">
        <x:v>0</x:v>
      </x:c>
      <x:c r="O525" s="8" t="n">
        <x:v>584</x:v>
      </x:c>
      <x:c r="P525" s="8" t="n">
        <x:v>0</x:v>
      </x:c>
      <x:c r="Q525" s="8" t="n">
        <x:v>2</x:v>
      </x:c>
      <x:c r="R525" s="8" t="n">
        <x:v>0</x:v>
      </x:c>
      <x:c r="S525" s="8" t="n">
        <x:f>L525-I525^2/H525</x:f>
        <x:v>224.72727272727275</x:v>
      </x:c>
      <x:c r="T525" s="8" t="n">
        <x:f>M525-J525^2/H525</x:f>
        <x:v>0</x:v>
      </x:c>
      <x:c r="U525" s="8" t="n">
        <x:f>N525-I525*J525/H525</x:f>
        <x:v>0</x:v>
      </x:c>
      <x:c r="V525" s="8" t="n">
        <x:f>O525-I525*K525/H525</x:f>
        <x:v>86.54545454545456</x:v>
      </x:c>
      <x:c r="W525" s="8" t="n">
        <x:f>P525-J525*K525/H525</x:f>
        <x:v>0</x:v>
      </x:c>
      <x:c r="X525" s="8" t="n">
        <x:f>V525/S525</x:f>
        <x:v>0.38511326860841427</x:v>
      </x:c>
      <x:c r="Y525" s="8" t="n">
        <x:f>0</x:f>
        <x:v>0</x:v>
      </x:c>
      <x:c r="Z525" s="8" t="n">
        <x:f>K525/H525-X525*I525/H525-Y525*J525/H525</x:f>
        <x:v>4.388349514563107</x:v>
      </x:c>
      <x:c r="AA525" s="8" t="n">
        <x:f>Z525+X525*Q525+Y525*R525</x:f>
        <x:v>5.158576051779935</x:v>
      </x:c>
    </x:row>
    <x:row r="526" ht="26" customHeight="1">
      <x:c r="A526" s="2"/>
      <x:c r="B526" s="2" t="n">
        <x:v>521</x:v>
      </x:c>
      <x:c r="C526" s="2" t="str">
        <x:v>Fabric &amp; Home Care / price_contribution</x:v>
      </x:c>
      <x:c r="D526" s="2" t="str">
        <x:v>Broad market</x:v>
      </x:c>
      <x:c r="E526" s="7" t="n">
        <x:v>45565</x:v>
      </x:c>
      <x:c r="F526" s="2" t="str">
        <x:v>Prior report</x:v>
      </x:c>
      <x:c r="G526" s="7" t="n">
        <x:v>45503</x:v>
      </x:c>
      <x:c r="H526" s="2" t="n">
        <x:v>14</x:v>
      </x:c>
      <x:c r="I526" s="8" t="n">
        <x:v>44.99639254812769</x:v>
      </x:c>
      <x:c r="J526" s="8" t="n">
        <x:v>0</x:v>
      </x:c>
      <x:c r="K526" s="8" t="n">
        <x:v>77</x:v>
      </x:c>
      <x:c r="L526" s="8" t="n">
        <x:v>256.27195002860765</x:v>
      </x:c>
      <x:c r="M526" s="8" t="n">
        <x:v>0</x:v>
      </x:c>
      <x:c r="N526" s="8" t="n">
        <x:v>0</x:v>
      </x:c>
      <x:c r="O526" s="8" t="n">
        <x:v>388.4353221093721</x:v>
      </x:c>
      <x:c r="P526" s="8" t="n">
        <x:v>0</x:v>
      </x:c>
      <x:c r="Q526" s="8" t="n">
        <x:v>1.6583438100702175</x:v>
      </x:c>
      <x:c r="R526" s="8" t="n">
        <x:v>0</x:v>
      </x:c>
      <x:c r="S526" s="8" t="n">
        <x:f>L526-I526^2/H526</x:f>
        <x:v>111.65228271823614</x:v>
      </x:c>
      <x:c r="T526" s="8" t="n">
        <x:f>M526-J526^2/H526</x:f>
        <x:v>0</x:v>
      </x:c>
      <x:c r="U526" s="8" t="n">
        <x:f>N526-I526*J526/H526</x:f>
        <x:v>0</x:v>
      </x:c>
      <x:c r="V526" s="8" t="n">
        <x:f>O526-I526*K526/H526</x:f>
        <x:v>140.9551630946698</x:v>
      </x:c>
      <x:c r="W526" s="8" t="n">
        <x:f>P526-J526*K526/H526</x:f>
        <x:v>0</x:v>
      </x:c>
      <x:c r="X526" s="8" t="n">
        <x:f>V526/S526</x:f>
        <x:v>1.2624476603884753</x:v>
      </x:c>
      <x:c r="Y526" s="8" t="n">
        <x:f>0</x:f>
        <x:v>0</x:v>
      </x:c>
      <x:c r="Z526" s="8" t="n">
        <x:f>K526/H526-X526*I526/H526-Y526*J526/H526</x:f>
        <x:v>1.4424578215496267</x:v>
      </x:c>
      <x:c r="AA526" s="8" t="n">
        <x:f>Z526+X526*Q526+Y526*R526</x:f>
        <x:v>3.5360300846924826</x:v>
      </x:c>
    </x:row>
    <x:row r="527" ht="26" customHeight="1">
      <x:c r="A527" s="2"/>
      <x:c r="B527" s="2" t="n">
        <x:v>522</x:v>
      </x:c>
      <x:c r="C527" s="2" t="str">
        <x:v>Fabric &amp; Home Care / price_contribution</x:v>
      </x:c>
      <x:c r="D527" s="2" t="str">
        <x:v>Broad lag 1</x:v>
      </x:c>
      <x:c r="E527" s="7" t="n">
        <x:v>45565</x:v>
      </x:c>
      <x:c r="F527" s="2" t="str">
        <x:v>Prior report</x:v>
      </x:c>
      <x:c r="G527" s="7" t="n">
        <x:v>45503</x:v>
      </x:c>
      <x:c r="H527" s="2" t="n">
        <x:v>13</x:v>
      </x:c>
      <x:c r="I527" s="8" t="n">
        <x:v>43.34163754201088</x:v>
      </x:c>
      <x:c r="J527" s="8" t="n">
        <x:v>0</x:v>
      </x:c>
      <x:c r="K527" s="8" t="n">
        <x:v>75</x:v>
      </x:c>
      <x:c r="L527" s="8" t="n">
        <x:v>253.53373589833902</x:v>
      </x:c>
      <x:c r="M527" s="8" t="n">
        <x:v>0</x:v>
      </x:c>
      <x:c r="N527" s="8" t="n">
        <x:v>0</x:v>
      </x:c>
      <x:c r="O527" s="8" t="n">
        <x:v>335.6117091007374</x:v>
      </x:c>
      <x:c r="P527" s="8" t="n">
        <x:v>0</x:v>
      </x:c>
      <x:c r="Q527" s="8" t="n">
        <x:v>1.6547550061168037</x:v>
      </x:c>
      <x:c r="R527" s="8" t="n">
        <x:v>0</x:v>
      </x:c>
      <x:c r="S527" s="8" t="n">
        <x:f>L527-I527^2/H527</x:f>
        <x:v>109.03392475810463</x:v>
      </x:c>
      <x:c r="T527" s="8" t="n">
        <x:f>M527-J527^2/H527</x:f>
        <x:v>0</x:v>
      </x:c>
      <x:c r="U527" s="8" t="n">
        <x:f>N527-I527*J527/H527</x:f>
        <x:v>0</x:v>
      </x:c>
      <x:c r="V527" s="8" t="n">
        <x:f>O527-I527*K527/H527</x:f>
        <x:v>85.56380020452082</x:v>
      </x:c>
      <x:c r="W527" s="8" t="n">
        <x:f>P527-J527*K527/H527</x:f>
        <x:v>0</x:v>
      </x:c>
      <x:c r="X527" s="8" t="n">
        <x:f>V527/S527</x:f>
        <x:v>0.7847447516389686</x:v>
      </x:c>
      <x:c r="Y527" s="8" t="n">
        <x:f>0</x:f>
        <x:v>0</x:v>
      </x:c>
      <x:c r="Z527" s="8" t="n">
        <x:f>K527/H527-X527*I527/H527-Y527*J527/H527</x:f>
        <x:v>3.1529136470360366</x:v>
      </x:c>
      <x:c r="AA527" s="8" t="n">
        <x:f>Z527+X527*Q527+Y527*R527</x:f>
        <x:v>4.451473953334508</x:v>
      </x:c>
    </x:row>
    <x:row r="528" ht="26" customHeight="1">
      <x:c r="A528" s="2"/>
      <x:c r="B528" s="2" t="n">
        <x:v>523</x:v>
      </x:c>
      <x:c r="C528" s="2" t="str">
        <x:v>Fabric &amp; Home Care / price_contribution</x:v>
      </x:c>
      <x:c r="D528" s="2" t="str">
        <x:v>Broad rolling 8</x:v>
      </x:c>
      <x:c r="E528" s="7" t="n">
        <x:v>45565</x:v>
      </x:c>
      <x:c r="F528" s="2" t="str">
        <x:v>Prior report</x:v>
      </x:c>
      <x:c r="G528" s="7" t="n">
        <x:v>45503</x:v>
      </x:c>
      <x:c r="H528" s="2" t="n">
        <x:v>8</x:v>
      </x:c>
      <x:c r="I528" s="8" t="n">
        <x:v>41.93430593153869</x:v>
      </x:c>
      <x:c r="J528" s="8" t="n">
        <x:v>0</x:v>
      </x:c>
      <x:c r="K528" s="8" t="n">
        <x:v>56</x:v>
      </x:c>
      <x:c r="L528" s="8" t="n">
        <x:v>246.44658636789953</x:v>
      </x:c>
      <x:c r="M528" s="8" t="n">
        <x:v>0</x:v>
      </x:c>
      <x:c r="N528" s="8" t="n">
        <x:v>0</x:v>
      </x:c>
      <x:c r="O528" s="8" t="n">
        <x:v>355.48844347086515</x:v>
      </x:c>
      <x:c r="P528" s="8" t="n">
        <x:v>0</x:v>
      </x:c>
      <x:c r="Q528" s="8" t="n">
        <x:v>1.6583438100702175</x:v>
      </x:c>
      <x:c r="R528" s="8" t="n">
        <x:v>0</x:v>
      </x:c>
      <x:c r="S528" s="8" t="n">
        <x:f>L528-I528^2/H528</x:f>
        <x:v>26.635834622914416</x:v>
      </x:c>
      <x:c r="T528" s="8" t="n">
        <x:f>M528-J528^2/H528</x:f>
        <x:v>0</x:v>
      </x:c>
      <x:c r="U528" s="8" t="n">
        <x:f>N528-I528*J528/H528</x:f>
        <x:v>0</x:v>
      </x:c>
      <x:c r="V528" s="8" t="n">
        <x:f>O528-I528*K528/H528</x:f>
        <x:v>61.94830195009433</x:v>
      </x:c>
      <x:c r="W528" s="8" t="n">
        <x:f>P528-J528*K528/H528</x:f>
        <x:v>0</x:v>
      </x:c>
      <x:c r="X528" s="8" t="n">
        <x:f>V528/S528</x:f>
        <x:v>2.3257503595100837</x:v>
      </x:c>
      <x:c r="Y528" s="8" t="n">
        <x:f>0</x:f>
        <x:v>0</x:v>
      </x:c>
      <x:c r="Z528" s="8" t="n">
        <x:f>K528/H528-X528*I528/H528-Y528*J528/H528</x:f>
        <x:v>-5.191090887010242</x:v>
      </x:c>
      <x:c r="AA528" s="8" t="n">
        <x:f>Z528+X528*Q528+Y528*R528</x:f>
        <x:v>-1.334197174548112</x:v>
      </x:c>
    </x:row>
    <x:row r="529" ht="26" customHeight="1">
      <x:c r="A529" s="2"/>
      <x:c r="B529" s="2" t="n">
        <x:v>524</x:v>
      </x:c>
      <x:c r="C529" s="2" t="str">
        <x:v>Fabric &amp; Home Care / price_contribution</x:v>
      </x:c>
      <x:c r="D529" s="2" t="str">
        <x:v>Own history</x:v>
      </x:c>
      <x:c r="E529" s="7" t="n">
        <x:v>45565</x:v>
      </x:c>
      <x:c r="F529" s="2" t="str">
        <x:v>Prior report</x:v>
      </x:c>
      <x:c r="G529" s="7" t="n">
        <x:v>45503</x:v>
      </x:c>
      <x:c r="H529" s="2" t="n">
        <x:v>13</x:v>
      </x:c>
      <x:c r="I529" s="8" t="n">
        <x:v>78</x:v>
      </x:c>
      <x:c r="J529" s="8" t="n">
        <x:v>0</x:v>
      </x:c>
      <x:c r="K529" s="8" t="n">
        <x:v>75</x:v>
      </x:c>
      <x:c r="L529" s="8" t="n">
        <x:v>716</x:v>
      </x:c>
      <x:c r="M529" s="8" t="n">
        <x:v>0</x:v>
      </x:c>
      <x:c r="N529" s="8" t="n">
        <x:v>0</x:v>
      </x:c>
      <x:c r="O529" s="8" t="n">
        <x:v>650</x:v>
      </x:c>
      <x:c r="P529" s="8" t="n">
        <x:v>0</x:v>
      </x:c>
      <x:c r="Q529" s="8" t="n">
        <x:v>-1</x:v>
      </x:c>
      <x:c r="R529" s="8" t="n">
        <x:v>0</x:v>
      </x:c>
      <x:c r="S529" s="8" t="n">
        <x:f>L529-I529^2/H529</x:f>
        <x:v>248</x:v>
      </x:c>
      <x:c r="T529" s="8" t="n">
        <x:f>M529-J529^2/H529</x:f>
        <x:v>0</x:v>
      </x:c>
      <x:c r="U529" s="8" t="n">
        <x:f>N529-I529*J529/H529</x:f>
        <x:v>0</x:v>
      </x:c>
      <x:c r="V529" s="8" t="n">
        <x:f>O529-I529*K529/H529</x:f>
        <x:v>200</x:v>
      </x:c>
      <x:c r="W529" s="8" t="n">
        <x:f>P529-J529*K529/H529</x:f>
        <x:v>0</x:v>
      </x:c>
      <x:c r="X529" s="8" t="n">
        <x:f>V529/S529</x:f>
        <x:v>0.8064516129032258</x:v>
      </x:c>
      <x:c r="Y529" s="8" t="n">
        <x:f>0</x:f>
        <x:v>0</x:v>
      </x:c>
      <x:c r="Z529" s="8" t="n">
        <x:f>K529/H529-X529*I529/H529-Y529*J529/H529</x:f>
        <x:v>0.9305210918114151</x:v>
      </x:c>
      <x:c r="AA529" s="8" t="n">
        <x:f>Z529+X529*Q529+Y529*R529</x:f>
        <x:v>0.12406947890818931</x:v>
      </x:c>
    </x:row>
    <x:row r="530" ht="26" customHeight="1">
      <x:c r="A530" s="2"/>
      <x:c r="B530" s="2" t="n">
        <x:v>525</x:v>
      </x:c>
      <x:c r="C530" s="2" t="str">
        <x:v>Fabric &amp; Home Care / price_contribution</x:v>
      </x:c>
      <x:c r="D530" s="2" t="str">
        <x:v>Broad market</x:v>
      </x:c>
      <x:c r="E530" s="7" t="n">
        <x:v>45565</x:v>
      </x:c>
      <x:c r="F530" s="2" t="str">
        <x:v>Pre-earnings</x:v>
      </x:c>
      <x:c r="G530" s="7" t="n">
        <x:v>45582</x:v>
      </x:c>
      <x:c r="H530" s="2" t="n">
        <x:v>14</x:v>
      </x:c>
      <x:c r="I530" s="8" t="n">
        <x:v>44.99639254812769</x:v>
      </x:c>
      <x:c r="J530" s="8" t="n">
        <x:v>0</x:v>
      </x:c>
      <x:c r="K530" s="8" t="n">
        <x:v>77</x:v>
      </x:c>
      <x:c r="L530" s="8" t="n">
        <x:v>256.27195002860765</x:v>
      </x:c>
      <x:c r="M530" s="8" t="n">
        <x:v>0</x:v>
      </x:c>
      <x:c r="N530" s="8" t="n">
        <x:v>0</x:v>
      </x:c>
      <x:c r="O530" s="8" t="n">
        <x:v>388.4353221093721</x:v>
      </x:c>
      <x:c r="P530" s="8" t="n">
        <x:v>0</x:v>
      </x:c>
      <x:c r="Q530" s="8" t="n">
        <x:v>0.373301115227731</x:v>
      </x:c>
      <x:c r="R530" s="8" t="n">
        <x:v>0</x:v>
      </x:c>
      <x:c r="S530" s="8" t="n">
        <x:f>L530-I530^2/H530</x:f>
        <x:v>111.65228271823614</x:v>
      </x:c>
      <x:c r="T530" s="8" t="n">
        <x:f>M530-J530^2/H530</x:f>
        <x:v>0</x:v>
      </x:c>
      <x:c r="U530" s="8" t="n">
        <x:f>N530-I530*J530/H530</x:f>
        <x:v>0</x:v>
      </x:c>
      <x:c r="V530" s="8" t="n">
        <x:f>O530-I530*K530/H530</x:f>
        <x:v>140.9551630946698</x:v>
      </x:c>
      <x:c r="W530" s="8" t="n">
        <x:f>P530-J530*K530/H530</x:f>
        <x:v>0</x:v>
      </x:c>
      <x:c r="X530" s="8" t="n">
        <x:f>V530/S530</x:f>
        <x:v>1.2624476603884753</x:v>
      </x:c>
      <x:c r="Y530" s="8" t="n">
        <x:f>0</x:f>
        <x:v>0</x:v>
      </x:c>
      <x:c r="Z530" s="8" t="n">
        <x:f>K530/H530-X530*I530/H530-Y530*J530/H530</x:f>
        <x:v>1.4424578215496267</x:v>
      </x:c>
      <x:c r="AA530" s="8" t="n">
        <x:f>Z530+X530*Q530+Y530*R530</x:f>
        <x:v>1.9137309410892844</x:v>
      </x:c>
    </x:row>
    <x:row r="531" ht="26" customHeight="1">
      <x:c r="A531" s="2"/>
      <x:c r="B531" s="2" t="n">
        <x:v>526</x:v>
      </x:c>
      <x:c r="C531" s="2" t="str">
        <x:v>Fabric &amp; Home Care / price_contribution</x:v>
      </x:c>
      <x:c r="D531" s="2" t="str">
        <x:v>Broad lag 1</x:v>
      </x:c>
      <x:c r="E531" s="7" t="n">
        <x:v>45565</x:v>
      </x:c>
      <x:c r="F531" s="2" t="str">
        <x:v>Pre-earnings</x:v>
      </x:c>
      <x:c r="G531" s="7" t="n">
        <x:v>45582</x:v>
      </x:c>
      <x:c r="H531" s="2" t="n">
        <x:v>13</x:v>
      </x:c>
      <x:c r="I531" s="8" t="n">
        <x:v>43.34163754201088</x:v>
      </x:c>
      <x:c r="J531" s="8" t="n">
        <x:v>0</x:v>
      </x:c>
      <x:c r="K531" s="8" t="n">
        <x:v>75</x:v>
      </x:c>
      <x:c r="L531" s="8" t="n">
        <x:v>253.53373589833902</x:v>
      </x:c>
      <x:c r="M531" s="8" t="n">
        <x:v>0</x:v>
      </x:c>
      <x:c r="N531" s="8" t="n">
        <x:v>0</x:v>
      </x:c>
      <x:c r="O531" s="8" t="n">
        <x:v>335.6117091007374</x:v>
      </x:c>
      <x:c r="P531" s="8" t="n">
        <x:v>0</x:v>
      </x:c>
      <x:c r="Q531" s="8" t="n">
        <x:v>1.6547550061168037</x:v>
      </x:c>
      <x:c r="R531" s="8" t="n">
        <x:v>0</x:v>
      </x:c>
      <x:c r="S531" s="8" t="n">
        <x:f>L531-I531^2/H531</x:f>
        <x:v>109.03392475810463</x:v>
      </x:c>
      <x:c r="T531" s="8" t="n">
        <x:f>M531-J531^2/H531</x:f>
        <x:v>0</x:v>
      </x:c>
      <x:c r="U531" s="8" t="n">
        <x:f>N531-I531*J531/H531</x:f>
        <x:v>0</x:v>
      </x:c>
      <x:c r="V531" s="8" t="n">
        <x:f>O531-I531*K531/H531</x:f>
        <x:v>85.56380020452082</x:v>
      </x:c>
      <x:c r="W531" s="8" t="n">
        <x:f>P531-J531*K531/H531</x:f>
        <x:v>0</x:v>
      </x:c>
      <x:c r="X531" s="8" t="n">
        <x:f>V531/S531</x:f>
        <x:v>0.7847447516389686</x:v>
      </x:c>
      <x:c r="Y531" s="8" t="n">
        <x:f>0</x:f>
        <x:v>0</x:v>
      </x:c>
      <x:c r="Z531" s="8" t="n">
        <x:f>K531/H531-X531*I531/H531-Y531*J531/H531</x:f>
        <x:v>3.1529136470360366</x:v>
      </x:c>
      <x:c r="AA531" s="8" t="n">
        <x:f>Z531+X531*Q531+Y531*R531</x:f>
        <x:v>4.451473953334508</x:v>
      </x:c>
    </x:row>
    <x:row r="532" ht="26" customHeight="1">
      <x:c r="A532" s="2"/>
      <x:c r="B532" s="2" t="n">
        <x:v>527</x:v>
      </x:c>
      <x:c r="C532" s="2" t="str">
        <x:v>Fabric &amp; Home Care / price_contribution</x:v>
      </x:c>
      <x:c r="D532" s="2" t="str">
        <x:v>Broad rolling 8</x:v>
      </x:c>
      <x:c r="E532" s="7" t="n">
        <x:v>45565</x:v>
      </x:c>
      <x:c r="F532" s="2" t="str">
        <x:v>Pre-earnings</x:v>
      </x:c>
      <x:c r="G532" s="7" t="n">
        <x:v>45582</x:v>
      </x:c>
      <x:c r="H532" s="2" t="n">
        <x:v>8</x:v>
      </x:c>
      <x:c r="I532" s="8" t="n">
        <x:v>41.93430593153869</x:v>
      </x:c>
      <x:c r="J532" s="8" t="n">
        <x:v>0</x:v>
      </x:c>
      <x:c r="K532" s="8" t="n">
        <x:v>56</x:v>
      </x:c>
      <x:c r="L532" s="8" t="n">
        <x:v>246.44658636789953</x:v>
      </x:c>
      <x:c r="M532" s="8" t="n">
        <x:v>0</x:v>
      </x:c>
      <x:c r="N532" s="8" t="n">
        <x:v>0</x:v>
      </x:c>
      <x:c r="O532" s="8" t="n">
        <x:v>355.48844347086515</x:v>
      </x:c>
      <x:c r="P532" s="8" t="n">
        <x:v>0</x:v>
      </x:c>
      <x:c r="Q532" s="8" t="n">
        <x:v>0.373301115227731</x:v>
      </x:c>
      <x:c r="R532" s="8" t="n">
        <x:v>0</x:v>
      </x:c>
      <x:c r="S532" s="8" t="n">
        <x:f>L532-I532^2/H532</x:f>
        <x:v>26.635834622914416</x:v>
      </x:c>
      <x:c r="T532" s="8" t="n">
        <x:f>M532-J532^2/H532</x:f>
        <x:v>0</x:v>
      </x:c>
      <x:c r="U532" s="8" t="n">
        <x:f>N532-I532*J532/H532</x:f>
        <x:v>0</x:v>
      </x:c>
      <x:c r="V532" s="8" t="n">
        <x:f>O532-I532*K532/H532</x:f>
        <x:v>61.94830195009433</x:v>
      </x:c>
      <x:c r="W532" s="8" t="n">
        <x:f>P532-J532*K532/H532</x:f>
        <x:v>0</x:v>
      </x:c>
      <x:c r="X532" s="8" t="n">
        <x:f>V532/S532</x:f>
        <x:v>2.3257503595100837</x:v>
      </x:c>
      <x:c r="Y532" s="8" t="n">
        <x:f>0</x:f>
        <x:v>0</x:v>
      </x:c>
      <x:c r="Z532" s="8" t="n">
        <x:f>K532/H532-X532*I532/H532-Y532*J532/H532</x:f>
        <x:v>-5.191090887010242</x:v>
      </x:c>
      <x:c r="AA532" s="8" t="n">
        <x:f>Z532+X532*Q532+Y532*R532</x:f>
        <x:v>-4.322885684063832</x:v>
      </x:c>
    </x:row>
    <x:row r="533" ht="26" customHeight="1">
      <x:c r="A533" s="2"/>
      <x:c r="B533" s="2" t="n">
        <x:v>528</x:v>
      </x:c>
      <x:c r="C533" s="2" t="str">
        <x:v>Fabric &amp; Home Care / price_contribution</x:v>
      </x:c>
      <x:c r="D533" s="2" t="str">
        <x:v>Own history</x:v>
      </x:c>
      <x:c r="E533" s="7" t="n">
        <x:v>45565</x:v>
      </x:c>
      <x:c r="F533" s="2" t="str">
        <x:v>Pre-earnings</x:v>
      </x:c>
      <x:c r="G533" s="7" t="n">
        <x:v>45582</x:v>
      </x:c>
      <x:c r="H533" s="2" t="n">
        <x:v>13</x:v>
      </x:c>
      <x:c r="I533" s="8" t="n">
        <x:v>78</x:v>
      </x:c>
      <x:c r="J533" s="8" t="n">
        <x:v>0</x:v>
      </x:c>
      <x:c r="K533" s="8" t="n">
        <x:v>75</x:v>
      </x:c>
      <x:c r="L533" s="8" t="n">
        <x:v>716</x:v>
      </x:c>
      <x:c r="M533" s="8" t="n">
        <x:v>0</x:v>
      </x:c>
      <x:c r="N533" s="8" t="n">
        <x:v>0</x:v>
      </x:c>
      <x:c r="O533" s="8" t="n">
        <x:v>650</x:v>
      </x:c>
      <x:c r="P533" s="8" t="n">
        <x:v>0</x:v>
      </x:c>
      <x:c r="Q533" s="8" t="n">
        <x:v>-1</x:v>
      </x:c>
      <x:c r="R533" s="8" t="n">
        <x:v>0</x:v>
      </x:c>
      <x:c r="S533" s="8" t="n">
        <x:f>L533-I533^2/H533</x:f>
        <x:v>248</x:v>
      </x:c>
      <x:c r="T533" s="8" t="n">
        <x:f>M533-J533^2/H533</x:f>
        <x:v>0</x:v>
      </x:c>
      <x:c r="U533" s="8" t="n">
        <x:f>N533-I533*J533/H533</x:f>
        <x:v>0</x:v>
      </x:c>
      <x:c r="V533" s="8" t="n">
        <x:f>O533-I533*K533/H533</x:f>
        <x:v>200</x:v>
      </x:c>
      <x:c r="W533" s="8" t="n">
        <x:f>P533-J533*K533/H533</x:f>
        <x:v>0</x:v>
      </x:c>
      <x:c r="X533" s="8" t="n">
        <x:f>V533/S533</x:f>
        <x:v>0.8064516129032258</x:v>
      </x:c>
      <x:c r="Y533" s="8" t="n">
        <x:f>0</x:f>
        <x:v>0</x:v>
      </x:c>
      <x:c r="Z533" s="8" t="n">
        <x:f>K533/H533-X533*I533/H533-Y533*J533/H533</x:f>
        <x:v>0.9305210918114151</x:v>
      </x:c>
      <x:c r="AA533" s="8" t="n">
        <x:f>Z533+X533*Q533+Y533*R533</x:f>
        <x:v>0.12406947890818931</x:v>
      </x:c>
    </x:row>
    <x:row r="534" ht="26" customHeight="1">
      <x:c r="A534" s="2"/>
      <x:c r="B534" s="2" t="n">
        <x:v>529</x:v>
      </x:c>
      <x:c r="C534" s="2" t="str">
        <x:v>Fabric &amp; Home Care / price_contribution</x:v>
      </x:c>
      <x:c r="D534" s="2" t="str">
        <x:v>Broad market</x:v>
      </x:c>
      <x:c r="E534" s="7" t="n">
        <x:v>45657</x:v>
      </x:c>
      <x:c r="F534" s="2" t="str">
        <x:v>Origin</x:v>
      </x:c>
      <x:c r="G534" s="7" t="n">
        <x:v>45566</x:v>
      </x:c>
      <x:c r="H534" s="2" t="n">
        <x:v>14</x:v>
      </x:c>
      <x:c r="I534" s="8" t="n">
        <x:v>44.99639254812769</x:v>
      </x:c>
      <x:c r="J534" s="8" t="n">
        <x:v>0</x:v>
      </x:c>
      <x:c r="K534" s="8" t="n">
        <x:v>77</x:v>
      </x:c>
      <x:c r="L534" s="8" t="n">
        <x:v>256.27195002860765</x:v>
      </x:c>
      <x:c r="M534" s="8" t="n">
        <x:v>0</x:v>
      </x:c>
      <x:c r="N534" s="8" t="n">
        <x:v>0</x:v>
      </x:c>
      <x:c r="O534" s="8" t="n">
        <x:v>388.4353221093721</x:v>
      </x:c>
      <x:c r="P534" s="8" t="n">
        <x:v>0</x:v>
      </x:c>
      <x:c r="Q534" s="8" t="n">
        <x:v>0.672385931020969</x:v>
      </x:c>
      <x:c r="R534" s="8" t="n">
        <x:v>0</x:v>
      </x:c>
      <x:c r="S534" s="8" t="n">
        <x:f>L534-I534^2/H534</x:f>
        <x:v>111.65228271823614</x:v>
      </x:c>
      <x:c r="T534" s="8" t="n">
        <x:f>M534-J534^2/H534</x:f>
        <x:v>0</x:v>
      </x:c>
      <x:c r="U534" s="8" t="n">
        <x:f>N534-I534*J534/H534</x:f>
        <x:v>0</x:v>
      </x:c>
      <x:c r="V534" s="8" t="n">
        <x:f>O534-I534*K534/H534</x:f>
        <x:v>140.9551630946698</x:v>
      </x:c>
      <x:c r="W534" s="8" t="n">
        <x:f>P534-J534*K534/H534</x:f>
        <x:v>0</x:v>
      </x:c>
      <x:c r="X534" s="8" t="n">
        <x:f>V534/S534</x:f>
        <x:v>1.2624476603884753</x:v>
      </x:c>
      <x:c r="Y534" s="8" t="n">
        <x:f>0</x:f>
        <x:v>0</x:v>
      </x:c>
      <x:c r="Z534" s="8" t="n">
        <x:f>K534/H534-X534*I534/H534-Y534*J534/H534</x:f>
        <x:v>1.4424578215496267</x:v>
      </x:c>
      <x:c r="AA534" s="8" t="n">
        <x:f>Z534+X534*Q534+Y534*R534</x:f>
        <x:v>2.2913098670451757</x:v>
      </x:c>
    </x:row>
    <x:row r="535" ht="26" customHeight="1">
      <x:c r="A535" s="2"/>
      <x:c r="B535" s="2" t="n">
        <x:v>530</x:v>
      </x:c>
      <x:c r="C535" s="2" t="str">
        <x:v>Fabric &amp; Home Care / price_contribution</x:v>
      </x:c>
      <x:c r="D535" s="2" t="str">
        <x:v>Broad rolling 8</x:v>
      </x:c>
      <x:c r="E535" s="7" t="n">
        <x:v>45657</x:v>
      </x:c>
      <x:c r="F535" s="2" t="str">
        <x:v>Origin</x:v>
      </x:c>
      <x:c r="G535" s="7" t="n">
        <x:v>45566</x:v>
      </x:c>
      <x:c r="H535" s="2" t="n">
        <x:v>8</x:v>
      </x:c>
      <x:c r="I535" s="8" t="n">
        <x:v>41.93430593153869</x:v>
      </x:c>
      <x:c r="J535" s="8" t="n">
        <x:v>0</x:v>
      </x:c>
      <x:c r="K535" s="8" t="n">
        <x:v>56</x:v>
      </x:c>
      <x:c r="L535" s="8" t="n">
        <x:v>246.44658636789953</x:v>
      </x:c>
      <x:c r="M535" s="8" t="n">
        <x:v>0</x:v>
      </x:c>
      <x:c r="N535" s="8" t="n">
        <x:v>0</x:v>
      </x:c>
      <x:c r="O535" s="8" t="n">
        <x:v>355.48844347086515</x:v>
      </x:c>
      <x:c r="P535" s="8" t="n">
        <x:v>0</x:v>
      </x:c>
      <x:c r="Q535" s="8" t="n">
        <x:v>0.672385931020969</x:v>
      </x:c>
      <x:c r="R535" s="8" t="n">
        <x:v>0</x:v>
      </x:c>
      <x:c r="S535" s="8" t="n">
        <x:f>L535-I535^2/H535</x:f>
        <x:v>26.635834622914416</x:v>
      </x:c>
      <x:c r="T535" s="8" t="n">
        <x:f>M535-J535^2/H535</x:f>
        <x:v>0</x:v>
      </x:c>
      <x:c r="U535" s="8" t="n">
        <x:f>N535-I535*J535/H535</x:f>
        <x:v>0</x:v>
      </x:c>
      <x:c r="V535" s="8" t="n">
        <x:f>O535-I535*K535/H535</x:f>
        <x:v>61.94830195009433</x:v>
      </x:c>
      <x:c r="W535" s="8" t="n">
        <x:f>P535-J535*K535/H535</x:f>
        <x:v>0</x:v>
      </x:c>
      <x:c r="X535" s="8" t="n">
        <x:f>V535/S535</x:f>
        <x:v>2.3257503595100837</x:v>
      </x:c>
      <x:c r="Y535" s="8" t="n">
        <x:f>0</x:f>
        <x:v>0</x:v>
      </x:c>
      <x:c r="Z535" s="8" t="n">
        <x:f>K535/H535-X535*I535/H535-Y535*J535/H535</x:f>
        <x:v>-5.191090887010242</x:v>
      </x:c>
      <x:c r="AA535" s="8" t="n">
        <x:f>Z535+X535*Q535+Y535*R535</x:f>
        <x:v>-3.627289066208701</x:v>
      </x:c>
    </x:row>
    <x:row r="536" ht="26" customHeight="1">
      <x:c r="A536" s="2"/>
      <x:c r="B536" s="2" t="n">
        <x:v>531</x:v>
      </x:c>
      <x:c r="C536" s="2" t="str">
        <x:v>Fabric &amp; Home Care / price_contribution</x:v>
      </x:c>
      <x:c r="D536" s="2" t="str">
        <x:v>Own history</x:v>
      </x:c>
      <x:c r="E536" s="7" t="n">
        <x:v>45657</x:v>
      </x:c>
      <x:c r="F536" s="2" t="str">
        <x:v>Origin</x:v>
      </x:c>
      <x:c r="G536" s="7" t="n">
        <x:v>45566</x:v>
      </x:c>
      <x:c r="H536" s="2" t="n">
        <x:v>12</x:v>
      </x:c>
      <x:c r="I536" s="8" t="n">
        <x:v>76</x:v>
      </x:c>
      <x:c r="J536" s="8" t="n">
        <x:v>0</x:v>
      </x:c>
      <x:c r="K536" s="8" t="n">
        <x:v>75</x:v>
      </x:c>
      <x:c r="L536" s="8" t="n">
        <x:v>712</x:v>
      </x:c>
      <x:c r="M536" s="8" t="n">
        <x:v>0</x:v>
      </x:c>
      <x:c r="N536" s="8" t="n">
        <x:v>0</x:v>
      </x:c>
      <x:c r="O536" s="8" t="n">
        <x:v>580</x:v>
      </x:c>
      <x:c r="P536" s="8" t="n">
        <x:v>0</x:v>
      </x:c>
      <x:c r="Q536" s="8" t="n">
        <x:v>-1</x:v>
      </x:c>
      <x:c r="R536" s="8" t="n">
        <x:v>0</x:v>
      </x:c>
      <x:c r="S536" s="8" t="n">
        <x:f>L536-I536^2/H536</x:f>
        <x:v>230.66666666666669</x:v>
      </x:c>
      <x:c r="T536" s="8" t="n">
        <x:f>M536-J536^2/H536</x:f>
        <x:v>0</x:v>
      </x:c>
      <x:c r="U536" s="8" t="n">
        <x:f>N536-I536*J536/H536</x:f>
        <x:v>0</x:v>
      </x:c>
      <x:c r="V536" s="8" t="n">
        <x:f>O536-I536*K536/H536</x:f>
        <x:v>105</x:v>
      </x:c>
      <x:c r="W536" s="8" t="n">
        <x:f>P536-J536*K536/H536</x:f>
        <x:v>0</x:v>
      </x:c>
      <x:c r="X536" s="8" t="n">
        <x:f>V536/S536</x:f>
        <x:v>0.4552023121387283</x:v>
      </x:c>
      <x:c r="Y536" s="8" t="n">
        <x:f>0</x:f>
        <x:v>0</x:v>
      </x:c>
      <x:c r="Z536" s="8" t="n">
        <x:f>K536/H536-X536*I536/H536-Y536*J536/H536</x:f>
        <x:v>3.367052023121387</x:v>
      </x:c>
      <x:c r="AA536" s="8" t="n">
        <x:f>Z536+X536*Q536+Y536*R536</x:f>
        <x:v>2.9118497109826587</x:v>
      </x:c>
    </x:row>
    <x:row r="537" ht="26" customHeight="1">
      <x:c r="A537" s="2"/>
      <x:c r="B537" s="2" t="n">
        <x:v>532</x:v>
      </x:c>
      <x:c r="C537" s="2" t="str">
        <x:v>Fabric &amp; Home Care / price_contribution</x:v>
      </x:c>
      <x:c r="D537" s="2" t="str">
        <x:v>Broad market</x:v>
      </x:c>
      <x:c r="E537" s="7" t="n">
        <x:v>45657</x:v>
      </x:c>
      <x:c r="F537" s="2" t="str">
        <x:v>Prior report</x:v>
      </x:c>
      <x:c r="G537" s="7" t="n">
        <x:v>45583</x:v>
      </x:c>
      <x:c r="H537" s="2" t="n">
        <x:v>15</x:v>
      </x:c>
      <x:c r="I537" s="8" t="n">
        <x:v>45.36969366335541</x:v>
      </x:c>
      <x:c r="J537" s="8" t="n">
        <x:v>0</x:v>
      </x:c>
      <x:c r="K537" s="8" t="n">
        <x:v>77</x:v>
      </x:c>
      <x:c r="L537" s="8" t="n">
        <x:v>256.4113037512379</x:v>
      </x:c>
      <x:c r="M537" s="8" t="n">
        <x:v>0</x:v>
      </x:c>
      <x:c r="N537" s="8" t="n">
        <x:v>0</x:v>
      </x:c>
      <x:c r="O537" s="8" t="n">
        <x:v>388.4353221093721</x:v>
      </x:c>
      <x:c r="P537" s="8" t="n">
        <x:v>0</x:v>
      </x:c>
      <x:c r="Q537" s="8" t="n">
        <x:v>0.374021558034765</x:v>
      </x:c>
      <x:c r="R537" s="8" t="n">
        <x:v>0</x:v>
      </x:c>
      <x:c r="S537" s="8" t="n">
        <x:f>L537-I537^2/H537</x:f>
        <x:v>119.18403021079038</x:v>
      </x:c>
      <x:c r="T537" s="8" t="n">
        <x:f>M537-J537^2/H537</x:f>
        <x:v>0</x:v>
      </x:c>
      <x:c r="U537" s="8" t="n">
        <x:f>N537-I537*J537/H537</x:f>
        <x:v>0</x:v>
      </x:c>
      <x:c r="V537" s="8" t="n">
        <x:f>O537-I537*K537/H537</x:f>
        <x:v>155.53756130414766</x:v>
      </x:c>
      <x:c r="W537" s="8" t="n">
        <x:f>P537-J537*K537/H537</x:f>
        <x:v>0</x:v>
      </x:c>
      <x:c r="X537" s="8" t="n">
        <x:f>V537/S537</x:f>
        <x:v>1.305020152692118</x:v>
      </x:c>
      <x:c r="Y537" s="8" t="n">
        <x:f>0</x:f>
        <x:v>0</x:v>
      </x:c>
      <x:c r="Z537" s="8" t="n">
        <x:f>K537/H537-X537*I537/H537-Y537*J537/H537</x:f>
        <x:v>1.1861090298568873</x:v>
      </x:c>
      <x:c r="AA537" s="8" t="n">
        <x:f>Z537+X537*Q537+Y537*R537</x:f>
        <x:v>1.6742147006335601</x:v>
      </x:c>
    </x:row>
    <x:row r="538" ht="26" customHeight="1">
      <x:c r="A538" s="2"/>
      <x:c r="B538" s="2" t="n">
        <x:v>533</x:v>
      </x:c>
      <x:c r="C538" s="2" t="str">
        <x:v>Fabric &amp; Home Care / price_contribution</x:v>
      </x:c>
      <x:c r="D538" s="2" t="str">
        <x:v>Broad lag 1</x:v>
      </x:c>
      <x:c r="E538" s="7" t="n">
        <x:v>45657</x:v>
      </x:c>
      <x:c r="F538" s="2" t="str">
        <x:v>Prior report</x:v>
      </x:c>
      <x:c r="G538" s="7" t="n">
        <x:v>45583</x:v>
      </x:c>
      <x:c r="H538" s="2" t="n">
        <x:v>14</x:v>
      </x:c>
      <x:c r="I538" s="8" t="n">
        <x:v>44.99639254812769</x:v>
      </x:c>
      <x:c r="J538" s="8" t="n">
        <x:v>0</x:v>
      </x:c>
      <x:c r="K538" s="8" t="n">
        <x:v>75</x:v>
      </x:c>
      <x:c r="L538" s="8" t="n">
        <x:v>256.27195002860765</x:v>
      </x:c>
      <x:c r="M538" s="8" t="n">
        <x:v>0</x:v>
      </x:c>
      <x:c r="N538" s="8" t="n">
        <x:v>0</x:v>
      </x:c>
      <x:c r="O538" s="8" t="n">
        <x:v>335.6117091007374</x:v>
      </x:c>
      <x:c r="P538" s="8" t="n">
        <x:v>0</x:v>
      </x:c>
      <x:c r="Q538" s="8" t="n">
        <x:v>0.373301115227731</x:v>
      </x:c>
      <x:c r="R538" s="8" t="n">
        <x:v>0</x:v>
      </x:c>
      <x:c r="S538" s="8" t="n">
        <x:f>L538-I538^2/H538</x:f>
        <x:v>111.65228271823614</x:v>
      </x:c>
      <x:c r="T538" s="8" t="n">
        <x:f>M538-J538^2/H538</x:f>
        <x:v>0</x:v>
      </x:c>
      <x:c r="U538" s="8" t="n">
        <x:f>N538-I538*J538/H538</x:f>
        <x:v>0</x:v>
      </x:c>
      <x:c r="V538" s="8" t="n">
        <x:f>O538-I538*K538/H538</x:f>
        <x:v>94.5596061643391</x:v>
      </x:c>
      <x:c r="W538" s="8" t="n">
        <x:f>P538-J538*K538/H538</x:f>
        <x:v>0</x:v>
      </x:c>
      <x:c r="X538" s="8" t="n">
        <x:f>V538/S538</x:f>
        <x:v>0.8469115351897297</x:v>
      </x:c>
      <x:c r="Y538" s="8" t="n">
        <x:f>0</x:f>
        <x:v>0</x:v>
      </x:c>
      <x:c r="Z538" s="8" t="n">
        <x:f>K538/H538-X538*I538/H538-Y538*J538/H538</x:f>
        <x:v>2.6351454363618187</x:v>
      </x:c>
      <x:c r="AA538" s="8" t="n">
        <x:f>Z538+X538*Q538+Y538*R538</x:f>
        <x:v>2.9512984569473746</x:v>
      </x:c>
    </x:row>
    <x:row r="539" ht="26" customHeight="1">
      <x:c r="A539" s="2"/>
      <x:c r="B539" s="2" t="n">
        <x:v>534</x:v>
      </x:c>
      <x:c r="C539" s="2" t="str">
        <x:v>Fabric &amp; Home Care / price_contribution</x:v>
      </x:c>
      <x:c r="D539" s="2" t="str">
        <x:v>Broad rolling 8</x:v>
      </x:c>
      <x:c r="E539" s="7" t="n">
        <x:v>45657</x:v>
      </x:c>
      <x:c r="F539" s="2" t="str">
        <x:v>Prior report</x:v>
      </x:c>
      <x:c r="G539" s="7" t="n">
        <x:v>45583</x:v>
      </x:c>
      <x:c r="H539" s="2" t="n">
        <x:v>8</x:v>
      </x:c>
      <x:c r="I539" s="8" t="n">
        <x:v>36.45732970523537</x:v>
      </x:c>
      <x:c r="J539" s="8" t="n">
        <x:v>0</x:v>
      </x:c>
      <x:c r="K539" s="8" t="n">
        <x:v>45</x:v>
      </x:c>
      <x:c r="L539" s="8" t="n">
        <x:v>212.36019511769817</x:v>
      </x:c>
      <x:c r="M539" s="8" t="n">
        <x:v>0</x:v>
      </x:c>
      <x:c r="N539" s="8" t="n">
        <x:v>0</x:v>
      </x:c>
      <x:c r="O539" s="8" t="n">
        <x:v>291.13539271402357</x:v>
      </x:c>
      <x:c r="P539" s="8" t="n">
        <x:v>0</x:v>
      </x:c>
      <x:c r="Q539" s="8" t="n">
        <x:v>0.374021558034765</x:v>
      </x:c>
      <x:c r="R539" s="8" t="n">
        <x:v>0</x:v>
      </x:c>
      <x:c r="S539" s="8" t="n">
        <x:f>L539-I539^2/H539</x:f>
        <x:v>46.21808396316854</x:v>
      </x:c>
      <x:c r="T539" s="8" t="n">
        <x:f>M539-J539^2/H539</x:f>
        <x:v>0</x:v>
      </x:c>
      <x:c r="U539" s="8" t="n">
        <x:f>N539-I539*J539/H539</x:f>
        <x:v>0</x:v>
      </x:c>
      <x:c r="V539" s="8" t="n">
        <x:f>O539-I539*K539/H539</x:f>
        <x:v>86.06291312207463</x:v>
      </x:c>
      <x:c r="W539" s="8" t="n">
        <x:f>P539-J539*K539/H539</x:f>
        <x:v>0</x:v>
      </x:c>
      <x:c r="X539" s="8" t="n">
        <x:f>V539/S539</x:f>
        <x:v>1.8621047378480395</x:v>
      </x:c>
      <x:c r="Y539" s="8" t="n">
        <x:f>0</x:f>
        <x:v>0</x:v>
      </x:c>
      <x:c r="Z539" s="8" t="n">
        <x:f>K539/H539-X539*I539/H539-Y539*J539/H539</x:f>
        <x:v>-2.860920796675856</x:v>
      </x:c>
      <x:c r="AA539" s="8" t="n">
        <x:f>Z539+X539*Q539+Y539*R539</x:f>
        <x:v>-2.1644534814020147</x:v>
      </x:c>
    </x:row>
    <x:row r="540" ht="26" customHeight="1">
      <x:c r="A540" s="2"/>
      <x:c r="B540" s="2" t="n">
        <x:v>535</x:v>
      </x:c>
      <x:c r="C540" s="2" t="str">
        <x:v>Fabric &amp; Home Care / price_contribution</x:v>
      </x:c>
      <x:c r="D540" s="2" t="str">
        <x:v>Own history</x:v>
      </x:c>
      <x:c r="E540" s="7" t="n">
        <x:v>45657</x:v>
      </x:c>
      <x:c r="F540" s="2" t="str">
        <x:v>Prior report</x:v>
      </x:c>
      <x:c r="G540" s="7" t="n">
        <x:v>45583</x:v>
      </x:c>
      <x:c r="H540" s="2" t="n">
        <x:v>14</x:v>
      </x:c>
      <x:c r="I540" s="8" t="n">
        <x:v>77</x:v>
      </x:c>
      <x:c r="J540" s="8" t="n">
        <x:v>0</x:v>
      </x:c>
      <x:c r="K540" s="8" t="n">
        <x:v>75</x:v>
      </x:c>
      <x:c r="L540" s="8" t="n">
        <x:v>717</x:v>
      </x:c>
      <x:c r="M540" s="8" t="n">
        <x:v>0</x:v>
      </x:c>
      <x:c r="N540" s="8" t="n">
        <x:v>0</x:v>
      </x:c>
      <x:c r="O540" s="8" t="n">
        <x:v>650</x:v>
      </x:c>
      <x:c r="P540" s="8" t="n">
        <x:v>0</x:v>
      </x:c>
      <x:c r="Q540" s="8" t="n">
        <x:v>0</x:v>
      </x:c>
      <x:c r="R540" s="8" t="n">
        <x:v>0</x:v>
      </x:c>
      <x:c r="S540" s="8" t="n">
        <x:f>L540-I540^2/H540</x:f>
        <x:v>293.5</x:v>
      </x:c>
      <x:c r="T540" s="8" t="n">
        <x:f>M540-J540^2/H540</x:f>
        <x:v>0</x:v>
      </x:c>
      <x:c r="U540" s="8" t="n">
        <x:f>N540-I540*J540/H540</x:f>
        <x:v>0</x:v>
      </x:c>
      <x:c r="V540" s="8" t="n">
        <x:f>O540-I540*K540/H540</x:f>
        <x:v>237.5</x:v>
      </x:c>
      <x:c r="W540" s="8" t="n">
        <x:f>P540-J540*K540/H540</x:f>
        <x:v>0</x:v>
      </x:c>
      <x:c r="X540" s="8" t="n">
        <x:f>V540/S540</x:f>
        <x:v>0.8091993185689949</x:v>
      </x:c>
      <x:c r="Y540" s="8" t="n">
        <x:f>0</x:f>
        <x:v>0</x:v>
      </x:c>
      <x:c r="Z540" s="8" t="n">
        <x:f>K540/H540-X540*I540/H540-Y540*J540/H540</x:f>
        <x:v>0.9065466050133857</x:v>
      </x:c>
      <x:c r="AA540" s="8" t="n">
        <x:f>Z540+X540*Q540+Y540*R540</x:f>
        <x:v>0.9065466050133857</x:v>
      </x:c>
    </x:row>
    <x:row r="541" ht="26" customHeight="1">
      <x:c r="A541" s="2"/>
      <x:c r="B541" s="2" t="n">
        <x:v>536</x:v>
      </x:c>
      <x:c r="C541" s="2" t="str">
        <x:v>Fabric &amp; Home Care / price_contribution</x:v>
      </x:c>
      <x:c r="D541" s="2" t="str">
        <x:v>Broad market</x:v>
      </x:c>
      <x:c r="E541" s="7" t="n">
        <x:v>45657</x:v>
      </x:c>
      <x:c r="F541" s="2" t="str">
        <x:v>Pre-earnings</x:v>
      </x:c>
      <x:c r="G541" s="7" t="n">
        <x:v>45678</x:v>
      </x:c>
      <x:c r="H541" s="2" t="n">
        <x:v>15</x:v>
      </x:c>
      <x:c r="I541" s="8" t="n">
        <x:v>45.36969366335541</x:v>
      </x:c>
      <x:c r="J541" s="8" t="n">
        <x:v>0</x:v>
      </x:c>
      <x:c r="K541" s="8" t="n">
        <x:v>77</x:v>
      </x:c>
      <x:c r="L541" s="8" t="n">
        <x:v>256.4113037512379</x:v>
      </x:c>
      <x:c r="M541" s="8" t="n">
        <x:v>0</x:v>
      </x:c>
      <x:c r="N541" s="8" t="n">
        <x:v>0</x:v>
      </x:c>
      <x:c r="O541" s="8" t="n">
        <x:v>388.4353221093721</x:v>
      </x:c>
      <x:c r="P541" s="8" t="n">
        <x:v>0</x:v>
      </x:c>
      <x:c r="Q541" s="8" t="n">
        <x:v>0.341068456777438</x:v>
      </x:c>
      <x:c r="R541" s="8" t="n">
        <x:v>0</x:v>
      </x:c>
      <x:c r="S541" s="8" t="n">
        <x:f>L541-I541^2/H541</x:f>
        <x:v>119.18403021079038</x:v>
      </x:c>
      <x:c r="T541" s="8" t="n">
        <x:f>M541-J541^2/H541</x:f>
        <x:v>0</x:v>
      </x:c>
      <x:c r="U541" s="8" t="n">
        <x:f>N541-I541*J541/H541</x:f>
        <x:v>0</x:v>
      </x:c>
      <x:c r="V541" s="8" t="n">
        <x:f>O541-I541*K541/H541</x:f>
        <x:v>155.53756130414766</x:v>
      </x:c>
      <x:c r="W541" s="8" t="n">
        <x:f>P541-J541*K541/H541</x:f>
        <x:v>0</x:v>
      </x:c>
      <x:c r="X541" s="8" t="n">
        <x:f>V541/S541</x:f>
        <x:v>1.305020152692118</x:v>
      </x:c>
      <x:c r="Y541" s="8" t="n">
        <x:f>0</x:f>
        <x:v>0</x:v>
      </x:c>
      <x:c r="Z541" s="8" t="n">
        <x:f>K541/H541-X541*I541/H541-Y541*J541/H541</x:f>
        <x:v>1.1861090298568873</x:v>
      </x:c>
      <x:c r="AA541" s="8" t="n">
        <x:f>Z541+X541*Q541+Y541*R541</x:f>
        <x:v>1.6312102393990444</x:v>
      </x:c>
    </x:row>
    <x:row r="542" ht="26" customHeight="1">
      <x:c r="A542" s="2"/>
      <x:c r="B542" s="2" t="n">
        <x:v>537</x:v>
      </x:c>
      <x:c r="C542" s="2" t="str">
        <x:v>Fabric &amp; Home Care / price_contribution</x:v>
      </x:c>
      <x:c r="D542" s="2" t="str">
        <x:v>Broad lag 1</x:v>
      </x:c>
      <x:c r="E542" s="7" t="n">
        <x:v>45657</x:v>
      </x:c>
      <x:c r="F542" s="2" t="str">
        <x:v>Pre-earnings</x:v>
      </x:c>
      <x:c r="G542" s="7" t="n">
        <x:v>45678</x:v>
      </x:c>
      <x:c r="H542" s="2" t="n">
        <x:v>14</x:v>
      </x:c>
      <x:c r="I542" s="8" t="n">
        <x:v>44.99639254812769</x:v>
      </x:c>
      <x:c r="J542" s="8" t="n">
        <x:v>0</x:v>
      </x:c>
      <x:c r="K542" s="8" t="n">
        <x:v>75</x:v>
      </x:c>
      <x:c r="L542" s="8" t="n">
        <x:v>256.27195002860765</x:v>
      </x:c>
      <x:c r="M542" s="8" t="n">
        <x:v>0</x:v>
      </x:c>
      <x:c r="N542" s="8" t="n">
        <x:v>0</x:v>
      </x:c>
      <x:c r="O542" s="8" t="n">
        <x:v>335.6117091007374</x:v>
      </x:c>
      <x:c r="P542" s="8" t="n">
        <x:v>0</x:v>
      </x:c>
      <x:c r="Q542" s="8" t="n">
        <x:v>0.373301115227731</x:v>
      </x:c>
      <x:c r="R542" s="8" t="n">
        <x:v>0</x:v>
      </x:c>
      <x:c r="S542" s="8" t="n">
        <x:f>L542-I542^2/H542</x:f>
        <x:v>111.65228271823614</x:v>
      </x:c>
      <x:c r="T542" s="8" t="n">
        <x:f>M542-J542^2/H542</x:f>
        <x:v>0</x:v>
      </x:c>
      <x:c r="U542" s="8" t="n">
        <x:f>N542-I542*J542/H542</x:f>
        <x:v>0</x:v>
      </x:c>
      <x:c r="V542" s="8" t="n">
        <x:f>O542-I542*K542/H542</x:f>
        <x:v>94.5596061643391</x:v>
      </x:c>
      <x:c r="W542" s="8" t="n">
        <x:f>P542-J542*K542/H542</x:f>
        <x:v>0</x:v>
      </x:c>
      <x:c r="X542" s="8" t="n">
        <x:f>V542/S542</x:f>
        <x:v>0.8469115351897297</x:v>
      </x:c>
      <x:c r="Y542" s="8" t="n">
        <x:f>0</x:f>
        <x:v>0</x:v>
      </x:c>
      <x:c r="Z542" s="8" t="n">
        <x:f>K542/H542-X542*I542/H542-Y542*J542/H542</x:f>
        <x:v>2.6351454363618187</x:v>
      </x:c>
      <x:c r="AA542" s="8" t="n">
        <x:f>Z542+X542*Q542+Y542*R542</x:f>
        <x:v>2.9512984569473746</x:v>
      </x:c>
    </x:row>
    <x:row r="543" ht="26" customHeight="1">
      <x:c r="A543" s="2"/>
      <x:c r="B543" s="2" t="n">
        <x:v>538</x:v>
      </x:c>
      <x:c r="C543" s="2" t="str">
        <x:v>Fabric &amp; Home Care / price_contribution</x:v>
      </x:c>
      <x:c r="D543" s="2" t="str">
        <x:v>Broad rolling 8</x:v>
      </x:c>
      <x:c r="E543" s="7" t="n">
        <x:v>45657</x:v>
      </x:c>
      <x:c r="F543" s="2" t="str">
        <x:v>Pre-earnings</x:v>
      </x:c>
      <x:c r="G543" s="7" t="n">
        <x:v>45678</x:v>
      </x:c>
      <x:c r="H543" s="2" t="n">
        <x:v>8</x:v>
      </x:c>
      <x:c r="I543" s="8" t="n">
        <x:v>36.45732970523537</x:v>
      </x:c>
      <x:c r="J543" s="8" t="n">
        <x:v>0</x:v>
      </x:c>
      <x:c r="K543" s="8" t="n">
        <x:v>45</x:v>
      </x:c>
      <x:c r="L543" s="8" t="n">
        <x:v>212.36019511769817</x:v>
      </x:c>
      <x:c r="M543" s="8" t="n">
        <x:v>0</x:v>
      </x:c>
      <x:c r="N543" s="8" t="n">
        <x:v>0</x:v>
      </x:c>
      <x:c r="O543" s="8" t="n">
        <x:v>291.13539271402357</x:v>
      </x:c>
      <x:c r="P543" s="8" t="n">
        <x:v>0</x:v>
      </x:c>
      <x:c r="Q543" s="8" t="n">
        <x:v>0.341068456777438</x:v>
      </x:c>
      <x:c r="R543" s="8" t="n">
        <x:v>0</x:v>
      </x:c>
      <x:c r="S543" s="8" t="n">
        <x:f>L543-I543^2/H543</x:f>
        <x:v>46.21808396316854</x:v>
      </x:c>
      <x:c r="T543" s="8" t="n">
        <x:f>M543-J543^2/H543</x:f>
        <x:v>0</x:v>
      </x:c>
      <x:c r="U543" s="8" t="n">
        <x:f>N543-I543*J543/H543</x:f>
        <x:v>0</x:v>
      </x:c>
      <x:c r="V543" s="8" t="n">
        <x:f>O543-I543*K543/H543</x:f>
        <x:v>86.06291312207463</x:v>
      </x:c>
      <x:c r="W543" s="8" t="n">
        <x:f>P543-J543*K543/H543</x:f>
        <x:v>0</x:v>
      </x:c>
      <x:c r="X543" s="8" t="n">
        <x:f>V543/S543</x:f>
        <x:v>1.8621047378480395</x:v>
      </x:c>
      <x:c r="Y543" s="8" t="n">
        <x:f>0</x:f>
        <x:v>0</x:v>
      </x:c>
      <x:c r="Z543" s="8" t="n">
        <x:f>K543/H543-X543*I543/H543-Y543*J543/H543</x:f>
        <x:v>-2.860920796675856</x:v>
      </x:c>
      <x:c r="AA543" s="8" t="n">
        <x:f>Z543+X543*Q543+Y543*R543</x:f>
        <x:v>-2.2258156073800697</x:v>
      </x:c>
    </x:row>
    <x:row r="544" ht="26" customHeight="1">
      <x:c r="A544" s="2"/>
      <x:c r="B544" s="2" t="n">
        <x:v>539</x:v>
      </x:c>
      <x:c r="C544" s="2" t="str">
        <x:v>Fabric &amp; Home Care / price_contribution</x:v>
      </x:c>
      <x:c r="D544" s="2" t="str">
        <x:v>Own history</x:v>
      </x:c>
      <x:c r="E544" s="7" t="n">
        <x:v>45657</x:v>
      </x:c>
      <x:c r="F544" s="2" t="str">
        <x:v>Pre-earnings</x:v>
      </x:c>
      <x:c r="G544" s="7" t="n">
        <x:v>45678</x:v>
      </x:c>
      <x:c r="H544" s="2" t="n">
        <x:v>14</x:v>
      </x:c>
      <x:c r="I544" s="8" t="n">
        <x:v>77</x:v>
      </x:c>
      <x:c r="J544" s="8" t="n">
        <x:v>0</x:v>
      </x:c>
      <x:c r="K544" s="8" t="n">
        <x:v>75</x:v>
      </x:c>
      <x:c r="L544" s="8" t="n">
        <x:v>717</x:v>
      </x:c>
      <x:c r="M544" s="8" t="n">
        <x:v>0</x:v>
      </x:c>
      <x:c r="N544" s="8" t="n">
        <x:v>0</x:v>
      </x:c>
      <x:c r="O544" s="8" t="n">
        <x:v>650</x:v>
      </x:c>
      <x:c r="P544" s="8" t="n">
        <x:v>0</x:v>
      </x:c>
      <x:c r="Q544" s="8" t="n">
        <x:v>0</x:v>
      </x:c>
      <x:c r="R544" s="8" t="n">
        <x:v>0</x:v>
      </x:c>
      <x:c r="S544" s="8" t="n">
        <x:f>L544-I544^2/H544</x:f>
        <x:v>293.5</x:v>
      </x:c>
      <x:c r="T544" s="8" t="n">
        <x:f>M544-J544^2/H544</x:f>
        <x:v>0</x:v>
      </x:c>
      <x:c r="U544" s="8" t="n">
        <x:f>N544-I544*J544/H544</x:f>
        <x:v>0</x:v>
      </x:c>
      <x:c r="V544" s="8" t="n">
        <x:f>O544-I544*K544/H544</x:f>
        <x:v>237.5</x:v>
      </x:c>
      <x:c r="W544" s="8" t="n">
        <x:f>P544-J544*K544/H544</x:f>
        <x:v>0</x:v>
      </x:c>
      <x:c r="X544" s="8" t="n">
        <x:f>V544/S544</x:f>
        <x:v>0.8091993185689949</x:v>
      </x:c>
      <x:c r="Y544" s="8" t="n">
        <x:f>0</x:f>
        <x:v>0</x:v>
      </x:c>
      <x:c r="Z544" s="8" t="n">
        <x:f>K544/H544-X544*I544/H544-Y544*J544/H544</x:f>
        <x:v>0.9065466050133857</x:v>
      </x:c>
      <x:c r="AA544" s="8" t="n">
        <x:f>Z544+X544*Q544+Y544*R544</x:f>
        <x:v>0.9065466050133857</x:v>
      </x:c>
    </x:row>
    <x:row r="545" ht="26" customHeight="1">
      <x:c r="A545" s="2"/>
      <x:c r="B545" s="2" t="n">
        <x:v>540</x:v>
      </x:c>
      <x:c r="C545" s="2" t="str">
        <x:v>Fabric &amp; Home Care / price_contribution</x:v>
      </x:c>
      <x:c r="D545" s="2" t="str">
        <x:v>Broad market</x:v>
      </x:c>
      <x:c r="E545" s="7" t="n">
        <x:v>45747</x:v>
      </x:c>
      <x:c r="F545" s="2" t="str">
        <x:v>Origin</x:v>
      </x:c>
      <x:c r="G545" s="7" t="n">
        <x:v>45658</x:v>
      </x:c>
      <x:c r="H545" s="2" t="n">
        <x:v>15</x:v>
      </x:c>
      <x:c r="I545" s="8" t="n">
        <x:v>45.36969366335541</x:v>
      </x:c>
      <x:c r="J545" s="8" t="n">
        <x:v>0</x:v>
      </x:c>
      <x:c r="K545" s="8" t="n">
        <x:v>77</x:v>
      </x:c>
      <x:c r="L545" s="8" t="n">
        <x:v>256.4113037512379</x:v>
      </x:c>
      <x:c r="M545" s="8" t="n">
        <x:v>0</x:v>
      </x:c>
      <x:c r="N545" s="8" t="n">
        <x:v>0</x:v>
      </x:c>
      <x:c r="O545" s="8" t="n">
        <x:v>388.4353221093721</x:v>
      </x:c>
      <x:c r="P545" s="8" t="n">
        <x:v>0</x:v>
      </x:c>
      <x:c r="Q545" s="8" t="n">
        <x:v>0.21719146092866737</x:v>
      </x:c>
      <x:c r="R545" s="8" t="n">
        <x:v>0</x:v>
      </x:c>
      <x:c r="S545" s="8" t="n">
        <x:f>L545-I545^2/H545</x:f>
        <x:v>119.18403021079038</x:v>
      </x:c>
      <x:c r="T545" s="8" t="n">
        <x:f>M545-J545^2/H545</x:f>
        <x:v>0</x:v>
      </x:c>
      <x:c r="U545" s="8" t="n">
        <x:f>N545-I545*J545/H545</x:f>
        <x:v>0</x:v>
      </x:c>
      <x:c r="V545" s="8" t="n">
        <x:f>O545-I545*K545/H545</x:f>
        <x:v>155.53756130414766</x:v>
      </x:c>
      <x:c r="W545" s="8" t="n">
        <x:f>P545-J545*K545/H545</x:f>
        <x:v>0</x:v>
      </x:c>
      <x:c r="X545" s="8" t="n">
        <x:f>V545/S545</x:f>
        <x:v>1.305020152692118</x:v>
      </x:c>
      <x:c r="Y545" s="8" t="n">
        <x:f>0</x:f>
        <x:v>0</x:v>
      </x:c>
      <x:c r="Z545" s="8" t="n">
        <x:f>K545/H545-X545*I545/H545-Y545*J545/H545</x:f>
        <x:v>1.1861090298568873</x:v>
      </x:c>
      <x:c r="AA545" s="8" t="n">
        <x:f>Z545+X545*Q545+Y545*R545</x:f>
        <x:v>1.469548263361441</x:v>
      </x:c>
    </x:row>
    <x:row r="546" ht="26" customHeight="1">
      <x:c r="A546" s="2"/>
      <x:c r="B546" s="2" t="n">
        <x:v>541</x:v>
      </x:c>
      <x:c r="C546" s="2" t="str">
        <x:v>Fabric &amp; Home Care / price_contribution</x:v>
      </x:c>
      <x:c r="D546" s="2" t="str">
        <x:v>Broad rolling 8</x:v>
      </x:c>
      <x:c r="E546" s="7" t="n">
        <x:v>45747</x:v>
      </x:c>
      <x:c r="F546" s="2" t="str">
        <x:v>Origin</x:v>
      </x:c>
      <x:c r="G546" s="7" t="n">
        <x:v>45658</x:v>
      </x:c>
      <x:c r="H546" s="2" t="n">
        <x:v>8</x:v>
      </x:c>
      <x:c r="I546" s="8" t="n">
        <x:v>36.45732970523537</x:v>
      </x:c>
      <x:c r="J546" s="8" t="n">
        <x:v>0</x:v>
      </x:c>
      <x:c r="K546" s="8" t="n">
        <x:v>45</x:v>
      </x:c>
      <x:c r="L546" s="8" t="n">
        <x:v>212.36019511769817</x:v>
      </x:c>
      <x:c r="M546" s="8" t="n">
        <x:v>0</x:v>
      </x:c>
      <x:c r="N546" s="8" t="n">
        <x:v>0</x:v>
      </x:c>
      <x:c r="O546" s="8" t="n">
        <x:v>291.13539271402357</x:v>
      </x:c>
      <x:c r="P546" s="8" t="n">
        <x:v>0</x:v>
      </x:c>
      <x:c r="Q546" s="8" t="n">
        <x:v>0.21719146092866737</x:v>
      </x:c>
      <x:c r="R546" s="8" t="n">
        <x:v>0</x:v>
      </x:c>
      <x:c r="S546" s="8" t="n">
        <x:f>L546-I546^2/H546</x:f>
        <x:v>46.21808396316854</x:v>
      </x:c>
      <x:c r="T546" s="8" t="n">
        <x:f>M546-J546^2/H546</x:f>
        <x:v>0</x:v>
      </x:c>
      <x:c r="U546" s="8" t="n">
        <x:f>N546-I546*J546/H546</x:f>
        <x:v>0</x:v>
      </x:c>
      <x:c r="V546" s="8" t="n">
        <x:f>O546-I546*K546/H546</x:f>
        <x:v>86.06291312207463</x:v>
      </x:c>
      <x:c r="W546" s="8" t="n">
        <x:f>P546-J546*K546/H546</x:f>
        <x:v>0</x:v>
      </x:c>
      <x:c r="X546" s="8" t="n">
        <x:f>V546/S546</x:f>
        <x:v>1.8621047378480395</x:v>
      </x:c>
      <x:c r="Y546" s="8" t="n">
        <x:f>0</x:f>
        <x:v>0</x:v>
      </x:c>
      <x:c r="Z546" s="8" t="n">
        <x:f>K546/H546-X546*I546/H546-Y546*J546/H546</x:f>
        <x:v>-2.860920796675856</x:v>
      </x:c>
      <x:c r="AA546" s="8" t="n">
        <x:f>Z546+X546*Q546+Y546*R546</x:f>
        <x:v>-2.4564875482604474</x:v>
      </x:c>
    </x:row>
    <x:row r="547" ht="26" customHeight="1">
      <x:c r="A547" s="2"/>
      <x:c r="B547" s="2" t="n">
        <x:v>542</x:v>
      </x:c>
      <x:c r="C547" s="2" t="str">
        <x:v>Fabric &amp; Home Care / price_contribution</x:v>
      </x:c>
      <x:c r="D547" s="2" t="str">
        <x:v>Own history</x:v>
      </x:c>
      <x:c r="E547" s="7" t="n">
        <x:v>45747</x:v>
      </x:c>
      <x:c r="F547" s="2" t="str">
        <x:v>Origin</x:v>
      </x:c>
      <x:c r="G547" s="7" t="n">
        <x:v>45658</x:v>
      </x:c>
      <x:c r="H547" s="2" t="n">
        <x:v>13</x:v>
      </x:c>
      <x:c r="I547" s="8" t="n">
        <x:v>78</x:v>
      </x:c>
      <x:c r="J547" s="8" t="n">
        <x:v>0</x:v>
      </x:c>
      <x:c r="K547" s="8" t="n">
        <x:v>75</x:v>
      </x:c>
      <x:c r="L547" s="8" t="n">
        <x:v>716</x:v>
      </x:c>
      <x:c r="M547" s="8" t="n">
        <x:v>0</x:v>
      </x:c>
      <x:c r="N547" s="8" t="n">
        <x:v>0</x:v>
      </x:c>
      <x:c r="O547" s="8" t="n">
        <x:v>580</x:v>
      </x:c>
      <x:c r="P547" s="8" t="n">
        <x:v>0</x:v>
      </x:c>
      <x:c r="Q547" s="8" t="n">
        <x:v>0</x:v>
      </x:c>
      <x:c r="R547" s="8" t="n">
        <x:v>0</x:v>
      </x:c>
      <x:c r="S547" s="8" t="n">
        <x:f>L547-I547^2/H547</x:f>
        <x:v>248</x:v>
      </x:c>
      <x:c r="T547" s="8" t="n">
        <x:f>M547-J547^2/H547</x:f>
        <x:v>0</x:v>
      </x:c>
      <x:c r="U547" s="8" t="n">
        <x:f>N547-I547*J547/H547</x:f>
        <x:v>0</x:v>
      </x:c>
      <x:c r="V547" s="8" t="n">
        <x:f>O547-I547*K547/H547</x:f>
        <x:v>130</x:v>
      </x:c>
      <x:c r="W547" s="8" t="n">
        <x:f>P547-J547*K547/H547</x:f>
        <x:v>0</x:v>
      </x:c>
      <x:c r="X547" s="8" t="n">
        <x:f>V547/S547</x:f>
        <x:v>0.5241935483870968</x:v>
      </x:c>
      <x:c r="Y547" s="8" t="n">
        <x:f>0</x:f>
        <x:v>0</x:v>
      </x:c>
      <x:c r="Z547" s="8" t="n">
        <x:f>K547/H547-X547*I547/H547-Y547*J547/H547</x:f>
        <x:v>2.6240694789081886</x:v>
      </x:c>
      <x:c r="AA547" s="8" t="n">
        <x:f>Z547+X547*Q547+Y547*R547</x:f>
        <x:v>2.6240694789081886</x:v>
      </x:c>
    </x:row>
    <x:row r="548" ht="26" customHeight="1">
      <x:c r="A548" s="2"/>
      <x:c r="B548" s="2" t="n">
        <x:v>543</x:v>
      </x:c>
      <x:c r="C548" s="2" t="str">
        <x:v>Fabric &amp; Home Care / price_contribution</x:v>
      </x:c>
      <x:c r="D548" s="2" t="str">
        <x:v>Broad market</x:v>
      </x:c>
      <x:c r="E548" s="7" t="n">
        <x:v>45747</x:v>
      </x:c>
      <x:c r="F548" s="2" t="str">
        <x:v>Prior report</x:v>
      </x:c>
      <x:c r="G548" s="7" t="n">
        <x:v>45679</x:v>
      </x:c>
      <x:c r="H548" s="2" t="n">
        <x:v>16</x:v>
      </x:c>
      <x:c r="I548" s="8" t="n">
        <x:v>45.710762120132856</x:v>
      </x:c>
      <x:c r="J548" s="8" t="n">
        <x:v>0</x:v>
      </x:c>
      <x:c r="K548" s="8" t="n">
        <x:v>77</x:v>
      </x:c>
      <x:c r="L548" s="8" t="n">
        <x:v>256.52763144344647</x:v>
      </x:c>
      <x:c r="M548" s="8" t="n">
        <x:v>0</x:v>
      </x:c>
      <x:c r="N548" s="8" t="n">
        <x:v>0</x:v>
      </x:c>
      <x:c r="O548" s="8" t="n">
        <x:v>388.4353221093721</x:v>
      </x:c>
      <x:c r="P548" s="8" t="n">
        <x:v>0</x:v>
      </x:c>
      <x:c r="Q548" s="8" t="n">
        <x:v>0.34236788098596094</x:v>
      </x:c>
      <x:c r="R548" s="8" t="n">
        <x:v>0</x:v>
      </x:c>
      <x:c r="S548" s="8" t="n">
        <x:f>L548-I548^2/H548</x:f>
        <x:v>125.93552059323568</x:v>
      </x:c>
      <x:c r="T548" s="8" t="n">
        <x:f>M548-J548^2/H548</x:f>
        <x:v>0</x:v>
      </x:c>
      <x:c r="U548" s="8" t="n">
        <x:f>N548-I548*J548/H548</x:f>
        <x:v>0</x:v>
      </x:c>
      <x:c r="V548" s="8" t="n">
        <x:f>O548-I548*K548/H548</x:f>
        <x:v>168.45227940623275</x:v>
      </x:c>
      <x:c r="W548" s="8" t="n">
        <x:f>P548-J548*K548/H548</x:f>
        <x:v>0</x:v>
      </x:c>
      <x:c r="X548" s="8" t="n">
        <x:f>V548/S548</x:f>
        <x:v>1.337607361391896</x:v>
      </x:c>
      <x:c r="Y548" s="8" t="n">
        <x:f>0</x:f>
        <x:v>0</x:v>
      </x:c>
      <x:c r="Z548" s="8" t="n">
        <x:f>K548/H548-X548*I548/H548-Y548*J548/H548</x:f>
        <x:v>0.991059255829779</x:v>
      </x:c>
      <x:c r="AA548" s="8" t="n">
        <x:f>Z548+X548*Q548+Y548*R548</x:f>
        <x:v>1.4490130537407448</x:v>
      </x:c>
    </x:row>
    <x:row r="549" ht="26" customHeight="1">
      <x:c r="A549" s="2"/>
      <x:c r="B549" s="2" t="n">
        <x:v>544</x:v>
      </x:c>
      <x:c r="C549" s="2" t="str">
        <x:v>Fabric &amp; Home Care / price_contribution</x:v>
      </x:c>
      <x:c r="D549" s="2" t="str">
        <x:v>Broad lag 1</x:v>
      </x:c>
      <x:c r="E549" s="7" t="n">
        <x:v>45747</x:v>
      </x:c>
      <x:c r="F549" s="2" t="str">
        <x:v>Prior report</x:v>
      </x:c>
      <x:c r="G549" s="7" t="n">
        <x:v>45679</x:v>
      </x:c>
      <x:c r="H549" s="2" t="n">
        <x:v>15</x:v>
      </x:c>
      <x:c r="I549" s="8" t="n">
        <x:v>45.36969366335541</x:v>
      </x:c>
      <x:c r="J549" s="8" t="n">
        <x:v>0</x:v>
      </x:c>
      <x:c r="K549" s="8" t="n">
        <x:v>75</x:v>
      </x:c>
      <x:c r="L549" s="8" t="n">
        <x:v>256.4113037512379</x:v>
      </x:c>
      <x:c r="M549" s="8" t="n">
        <x:v>0</x:v>
      </x:c>
      <x:c r="N549" s="8" t="n">
        <x:v>0</x:v>
      </x:c>
      <x:c r="O549" s="8" t="n">
        <x:v>335.6117091007374</x:v>
      </x:c>
      <x:c r="P549" s="8" t="n">
        <x:v>0</x:v>
      </x:c>
      <x:c r="Q549" s="8" t="n">
        <x:v>0.341068456777438</x:v>
      </x:c>
      <x:c r="R549" s="8" t="n">
        <x:v>0</x:v>
      </x:c>
      <x:c r="S549" s="8" t="n">
        <x:f>L549-I549^2/H549</x:f>
        <x:v>119.18403021079038</x:v>
      </x:c>
      <x:c r="T549" s="8" t="n">
        <x:f>M549-J549^2/H549</x:f>
        <x:v>0</x:v>
      </x:c>
      <x:c r="U549" s="8" t="n">
        <x:f>N549-I549*J549/H549</x:f>
        <x:v>0</x:v>
      </x:c>
      <x:c r="V549" s="8" t="n">
        <x:f>O549-I549*K549/H549</x:f>
        <x:v>108.76324078396036</x:v>
      </x:c>
      <x:c r="W549" s="8" t="n">
        <x:f>P549-J549*K549/H549</x:f>
        <x:v>0</x:v>
      </x:c>
      <x:c r="X549" s="8" t="n">
        <x:f>V549/S549</x:f>
        <x:v>0.9125655559020811</x:v>
      </x:c>
      <x:c r="Y549" s="8" t="n">
        <x:f>0</x:f>
        <x:v>0</x:v>
      </x:c>
      <x:c r="Z549" s="8" t="n">
        <x:f>K549/H549-X549*I549/H549-Y549*J549/H549</x:f>
        <x:v>2.239812018732863</x:v>
      </x:c>
      <x:c r="AA549" s="8" t="n">
        <x:f>Z549+X549*Q549+Y549*R549</x:f>
        <x:v>2.5510593445926304</x:v>
      </x:c>
    </x:row>
    <x:row r="550" ht="26" customHeight="1">
      <x:c r="A550" s="2"/>
      <x:c r="B550" s="2" t="n">
        <x:v>545</x:v>
      </x:c>
      <x:c r="C550" s="2" t="str">
        <x:v>Fabric &amp; Home Care / price_contribution</x:v>
      </x:c>
      <x:c r="D550" s="2" t="str">
        <x:v>Broad rolling 8</x:v>
      </x:c>
      <x:c r="E550" s="7" t="n">
        <x:v>45747</x:v>
      </x:c>
      <x:c r="F550" s="2" t="str">
        <x:v>Prior report</x:v>
      </x:c>
      <x:c r="G550" s="7" t="n">
        <x:v>45679</x:v>
      </x:c>
      <x:c r="H550" s="2" t="n">
        <x:v>8</x:v>
      </x:c>
      <x:c r="I550" s="8" t="n">
        <x:v>29.542364704460724</x:v>
      </x:c>
      <x:c r="J550" s="8" t="n">
        <x:v>0</x:v>
      </x:c>
      <x:c r="K550" s="8" t="n">
        <x:v>32</x:v>
      </x:c>
      <x:c r="L550" s="8" t="n">
        <x:v>159.82650127279152</x:v>
      </x:c>
      <x:c r="M550" s="8" t="n">
        <x:v>0</x:v>
      </x:c>
      <x:c r="N550" s="8" t="n">
        <x:v>0</x:v>
      </x:c>
      <x:c r="O550" s="8" t="n">
        <x:v>196.80695776584653</x:v>
      </x:c>
      <x:c r="P550" s="8" t="n">
        <x:v>0</x:v>
      </x:c>
      <x:c r="Q550" s="8" t="n">
        <x:v>0.34236788098596094</x:v>
      </x:c>
      <x:c r="R550" s="8" t="n">
        <x:v>0</x:v>
      </x:c>
      <x:c r="S550" s="8" t="n">
        <x:f>L550-I550^2/H550</x:f>
        <x:v>50.73258723137067</x:v>
      </x:c>
      <x:c r="T550" s="8" t="n">
        <x:f>M550-J550^2/H550</x:f>
        <x:v>0</x:v>
      </x:c>
      <x:c r="U550" s="8" t="n">
        <x:f>N550-I550*J550/H550</x:f>
        <x:v>0</x:v>
      </x:c>
      <x:c r="V550" s="8" t="n">
        <x:f>O550-I550*K550/H550</x:f>
        <x:v>78.63749894800364</x:v>
      </x:c>
      <x:c r="W550" s="8" t="n">
        <x:f>P550-J550*K550/H550</x:f>
        <x:v>0</x:v>
      </x:c>
      <x:c r="X550" s="8" t="n">
        <x:f>V550/S550</x:f>
        <x:v>1.5500392004328505</x:v>
      </x:c>
      <x:c r="Y550" s="8" t="n">
        <x:f>0</x:f>
        <x:v>0</x:v>
      </x:c>
      <x:c r="Z550" s="8" t="n">
        <x:f>K550/H550-X550*I550/H550-Y550*J550/H550</x:f>
        <x:v>-1.723977920674745</x:v>
      </x:c>
      <x:c r="AA550" s="8" t="n">
        <x:f>Z550+X550*Q550+Y550*R550</x:f>
        <x:v>-1.1932942841773768</x:v>
      </x:c>
    </x:row>
    <x:row r="551" ht="26" customHeight="1">
      <x:c r="A551" s="2"/>
      <x:c r="B551" s="2" t="n">
        <x:v>546</x:v>
      </x:c>
      <x:c r="C551" s="2" t="str">
        <x:v>Fabric &amp; Home Care / price_contribution</x:v>
      </x:c>
      <x:c r="D551" s="2" t="str">
        <x:v>Own history</x:v>
      </x:c>
      <x:c r="E551" s="7" t="n">
        <x:v>45747</x:v>
      </x:c>
      <x:c r="F551" s="2" t="str">
        <x:v>Prior report</x:v>
      </x:c>
      <x:c r="G551" s="7" t="n">
        <x:v>45679</x:v>
      </x:c>
      <x:c r="H551" s="2" t="n">
        <x:v>15</x:v>
      </x:c>
      <x:c r="I551" s="8" t="n">
        <x:v>77</x:v>
      </x:c>
      <x:c r="J551" s="8" t="n">
        <x:v>0</x:v>
      </x:c>
      <x:c r="K551" s="8" t="n">
        <x:v>75</x:v>
      </x:c>
      <x:c r="L551" s="8" t="n">
        <x:v>717</x:v>
      </x:c>
      <x:c r="M551" s="8" t="n">
        <x:v>0</x:v>
      </x:c>
      <x:c r="N551" s="8" t="n">
        <x:v>0</x:v>
      </x:c>
      <x:c r="O551" s="8" t="n">
        <x:v>650</x:v>
      </x:c>
      <x:c r="P551" s="8" t="n">
        <x:v>0</x:v>
      </x:c>
      <x:c r="Q551" s="8" t="n">
        <x:v>0</x:v>
      </x:c>
      <x:c r="R551" s="8" t="n">
        <x:v>0</x:v>
      </x:c>
      <x:c r="S551" s="8" t="n">
        <x:f>L551-I551^2/H551</x:f>
        <x:v>321.73333333333335</x:v>
      </x:c>
      <x:c r="T551" s="8" t="n">
        <x:f>M551-J551^2/H551</x:f>
        <x:v>0</x:v>
      </x:c>
      <x:c r="U551" s="8" t="n">
        <x:f>N551-I551*J551/H551</x:f>
        <x:v>0</x:v>
      </x:c>
      <x:c r="V551" s="8" t="n">
        <x:f>O551-I551*K551/H551</x:f>
        <x:v>265</x:v>
      </x:c>
      <x:c r="W551" s="8" t="n">
        <x:f>P551-J551*K551/H551</x:f>
        <x:v>0</x:v>
      </x:c>
      <x:c r="X551" s="8" t="n">
        <x:f>V551/S551</x:f>
        <x:v>0.823663489432242</x:v>
      </x:c>
      <x:c r="Y551" s="8" t="n">
        <x:f>0</x:f>
        <x:v>0</x:v>
      </x:c>
      <x:c r="Z551" s="8" t="n">
        <x:f>K551/H551-X551*I551/H551-Y551*J551/H551</x:f>
        <x:v>0.7718607542478244</x:v>
      </x:c>
      <x:c r="AA551" s="8" t="n">
        <x:f>Z551+X551*Q551+Y551*R551</x:f>
        <x:v>0.7718607542478244</x:v>
      </x:c>
    </x:row>
    <x:row r="552" ht="26" customHeight="1">
      <x:c r="A552" s="2"/>
      <x:c r="B552" s="2" t="n">
        <x:v>547</x:v>
      </x:c>
      <x:c r="C552" s="2" t="str">
        <x:v>Fabric &amp; Home Care / price_contribution</x:v>
      </x:c>
      <x:c r="D552" s="2" t="str">
        <x:v>Broad market</x:v>
      </x:c>
      <x:c r="E552" s="7" t="n">
        <x:v>45747</x:v>
      </x:c>
      <x:c r="F552" s="2" t="str">
        <x:v>Pre-earnings</x:v>
      </x:c>
      <x:c r="G552" s="7" t="n">
        <x:v>45770</x:v>
      </x:c>
      <x:c r="H552" s="2" t="n">
        <x:v>16</x:v>
      </x:c>
      <x:c r="I552" s="8" t="n">
        <x:v>45.710762120132856</x:v>
      </x:c>
      <x:c r="J552" s="8" t="n">
        <x:v>0</x:v>
      </x:c>
      <x:c r="K552" s="8" t="n">
        <x:v>77</x:v>
      </x:c>
      <x:c r="L552" s="8" t="n">
        <x:v>256.52763144344647</x:v>
      </x:c>
      <x:c r="M552" s="8" t="n">
        <x:v>0</x:v>
      </x:c>
      <x:c r="N552" s="8" t="n">
        <x:v>0</x:v>
      </x:c>
      <x:c r="O552" s="8" t="n">
        <x:v>388.4353221093721</x:v>
      </x:c>
      <x:c r="P552" s="8" t="n">
        <x:v>0</x:v>
      </x:c>
      <x:c r="Q552" s="8" t="n">
        <x:v>0.23594619830289432</x:v>
      </x:c>
      <x:c r="R552" s="8" t="n">
        <x:v>0</x:v>
      </x:c>
      <x:c r="S552" s="8" t="n">
        <x:f>L552-I552^2/H552</x:f>
        <x:v>125.93552059323568</x:v>
      </x:c>
      <x:c r="T552" s="8" t="n">
        <x:f>M552-J552^2/H552</x:f>
        <x:v>0</x:v>
      </x:c>
      <x:c r="U552" s="8" t="n">
        <x:f>N552-I552*J552/H552</x:f>
        <x:v>0</x:v>
      </x:c>
      <x:c r="V552" s="8" t="n">
        <x:f>O552-I552*K552/H552</x:f>
        <x:v>168.45227940623275</x:v>
      </x:c>
      <x:c r="W552" s="8" t="n">
        <x:f>P552-J552*K552/H552</x:f>
        <x:v>0</x:v>
      </x:c>
      <x:c r="X552" s="8" t="n">
        <x:f>V552/S552</x:f>
        <x:v>1.337607361391896</x:v>
      </x:c>
      <x:c r="Y552" s="8" t="n">
        <x:f>0</x:f>
        <x:v>0</x:v>
      </x:c>
      <x:c r="Z552" s="8" t="n">
        <x:f>K552/H552-X552*I552/H552-Y552*J552/H552</x:f>
        <x:v>0.991059255829779</x:v>
      </x:c>
      <x:c r="AA552" s="8" t="n">
        <x:f>Z552+X552*Q552+Y552*R552</x:f>
        <x:v>1.3066626275721624</x:v>
      </x:c>
    </x:row>
    <x:row r="553" ht="26" customHeight="1">
      <x:c r="A553" s="2"/>
      <x:c r="B553" s="2" t="n">
        <x:v>548</x:v>
      </x:c>
      <x:c r="C553" s="2" t="str">
        <x:v>Fabric &amp; Home Care / price_contribution</x:v>
      </x:c>
      <x:c r="D553" s="2" t="str">
        <x:v>Broad lag 1</x:v>
      </x:c>
      <x:c r="E553" s="7" t="n">
        <x:v>45747</x:v>
      </x:c>
      <x:c r="F553" s="2" t="str">
        <x:v>Pre-earnings</x:v>
      </x:c>
      <x:c r="G553" s="7" t="n">
        <x:v>45770</x:v>
      </x:c>
      <x:c r="H553" s="2" t="n">
        <x:v>15</x:v>
      </x:c>
      <x:c r="I553" s="8" t="n">
        <x:v>45.36969366335541</x:v>
      </x:c>
      <x:c r="J553" s="8" t="n">
        <x:v>0</x:v>
      </x:c>
      <x:c r="K553" s="8" t="n">
        <x:v>75</x:v>
      </x:c>
      <x:c r="L553" s="8" t="n">
        <x:v>256.4113037512379</x:v>
      </x:c>
      <x:c r="M553" s="8" t="n">
        <x:v>0</x:v>
      </x:c>
      <x:c r="N553" s="8" t="n">
        <x:v>0</x:v>
      </x:c>
      <x:c r="O553" s="8" t="n">
        <x:v>335.6117091007374</x:v>
      </x:c>
      <x:c r="P553" s="8" t="n">
        <x:v>0</x:v>
      </x:c>
      <x:c r="Q553" s="8" t="n">
        <x:v>0.341068456777438</x:v>
      </x:c>
      <x:c r="R553" s="8" t="n">
        <x:v>0</x:v>
      </x:c>
      <x:c r="S553" s="8" t="n">
        <x:f>L553-I553^2/H553</x:f>
        <x:v>119.18403021079038</x:v>
      </x:c>
      <x:c r="T553" s="8" t="n">
        <x:f>M553-J553^2/H553</x:f>
        <x:v>0</x:v>
      </x:c>
      <x:c r="U553" s="8" t="n">
        <x:f>N553-I553*J553/H553</x:f>
        <x:v>0</x:v>
      </x:c>
      <x:c r="V553" s="8" t="n">
        <x:f>O553-I553*K553/H553</x:f>
        <x:v>108.76324078396036</x:v>
      </x:c>
      <x:c r="W553" s="8" t="n">
        <x:f>P553-J553*K553/H553</x:f>
        <x:v>0</x:v>
      </x:c>
      <x:c r="X553" s="8" t="n">
        <x:f>V553/S553</x:f>
        <x:v>0.9125655559020811</x:v>
      </x:c>
      <x:c r="Y553" s="8" t="n">
        <x:f>0</x:f>
        <x:v>0</x:v>
      </x:c>
      <x:c r="Z553" s="8" t="n">
        <x:f>K553/H553-X553*I553/H553-Y553*J553/H553</x:f>
        <x:v>2.239812018732863</x:v>
      </x:c>
      <x:c r="AA553" s="8" t="n">
        <x:f>Z553+X553*Q553+Y553*R553</x:f>
        <x:v>2.5510593445926304</x:v>
      </x:c>
    </x:row>
    <x:row r="554" ht="26" customHeight="1">
      <x:c r="A554" s="2"/>
      <x:c r="B554" s="2" t="n">
        <x:v>549</x:v>
      </x:c>
      <x:c r="C554" s="2" t="str">
        <x:v>Fabric &amp; Home Care / price_contribution</x:v>
      </x:c>
      <x:c r="D554" s="2" t="str">
        <x:v>Broad rolling 8</x:v>
      </x:c>
      <x:c r="E554" s="7" t="n">
        <x:v>45747</x:v>
      </x:c>
      <x:c r="F554" s="2" t="str">
        <x:v>Pre-earnings</x:v>
      </x:c>
      <x:c r="G554" s="7" t="n">
        <x:v>45770</x:v>
      </x:c>
      <x:c r="H554" s="2" t="n">
        <x:v>8</x:v>
      </x:c>
      <x:c r="I554" s="8" t="n">
        <x:v>29.542364704460724</x:v>
      </x:c>
      <x:c r="J554" s="8" t="n">
        <x:v>0</x:v>
      </x:c>
      <x:c r="K554" s="8" t="n">
        <x:v>32</x:v>
      </x:c>
      <x:c r="L554" s="8" t="n">
        <x:v>159.82650127279152</x:v>
      </x:c>
      <x:c r="M554" s="8" t="n">
        <x:v>0</x:v>
      </x:c>
      <x:c r="N554" s="8" t="n">
        <x:v>0</x:v>
      </x:c>
      <x:c r="O554" s="8" t="n">
        <x:v>196.80695776584653</x:v>
      </x:c>
      <x:c r="P554" s="8" t="n">
        <x:v>0</x:v>
      </x:c>
      <x:c r="Q554" s="8" t="n">
        <x:v>0.23594619830289432</x:v>
      </x:c>
      <x:c r="R554" s="8" t="n">
        <x:v>0</x:v>
      </x:c>
      <x:c r="S554" s="8" t="n">
        <x:f>L554-I554^2/H554</x:f>
        <x:v>50.73258723137067</x:v>
      </x:c>
      <x:c r="T554" s="8" t="n">
        <x:f>M554-J554^2/H554</x:f>
        <x:v>0</x:v>
      </x:c>
      <x:c r="U554" s="8" t="n">
        <x:f>N554-I554*J554/H554</x:f>
        <x:v>0</x:v>
      </x:c>
      <x:c r="V554" s="8" t="n">
        <x:f>O554-I554*K554/H554</x:f>
        <x:v>78.63749894800364</x:v>
      </x:c>
      <x:c r="W554" s="8" t="n">
        <x:f>P554-J554*K554/H554</x:f>
        <x:v>0</x:v>
      </x:c>
      <x:c r="X554" s="8" t="n">
        <x:f>V554/S554</x:f>
        <x:v>1.5500392004328505</x:v>
      </x:c>
      <x:c r="Y554" s="8" t="n">
        <x:f>0</x:f>
        <x:v>0</x:v>
      </x:c>
      <x:c r="Z554" s="8" t="n">
        <x:f>K554/H554-X554*I554/H554-Y554*J554/H554</x:f>
        <x:v>-1.723977920674745</x:v>
      </x:c>
      <x:c r="AA554" s="8" t="n">
        <x:f>Z554+X554*Q554+Y554*R554</x:f>
        <x:v>-1.3582520641121558</x:v>
      </x:c>
    </x:row>
    <x:row r="555" ht="26" customHeight="1">
      <x:c r="A555" s="2"/>
      <x:c r="B555" s="2" t="n">
        <x:v>550</x:v>
      </x:c>
      <x:c r="C555" s="2" t="str">
        <x:v>Fabric &amp; Home Care / price_contribution</x:v>
      </x:c>
      <x:c r="D555" s="2" t="str">
        <x:v>Own history</x:v>
      </x:c>
      <x:c r="E555" s="7" t="n">
        <x:v>45747</x:v>
      </x:c>
      <x:c r="F555" s="2" t="str">
        <x:v>Pre-earnings</x:v>
      </x:c>
      <x:c r="G555" s="7" t="n">
        <x:v>45770</x:v>
      </x:c>
      <x:c r="H555" s="2" t="n">
        <x:v>15</x:v>
      </x:c>
      <x:c r="I555" s="8" t="n">
        <x:v>77</x:v>
      </x:c>
      <x:c r="J555" s="8" t="n">
        <x:v>0</x:v>
      </x:c>
      <x:c r="K555" s="8" t="n">
        <x:v>75</x:v>
      </x:c>
      <x:c r="L555" s="8" t="n">
        <x:v>717</x:v>
      </x:c>
      <x:c r="M555" s="8" t="n">
        <x:v>0</x:v>
      </x:c>
      <x:c r="N555" s="8" t="n">
        <x:v>0</x:v>
      </x:c>
      <x:c r="O555" s="8" t="n">
        <x:v>650</x:v>
      </x:c>
      <x:c r="P555" s="8" t="n">
        <x:v>0</x:v>
      </x:c>
      <x:c r="Q555" s="8" t="n">
        <x:v>0</x:v>
      </x:c>
      <x:c r="R555" s="8" t="n">
        <x:v>0</x:v>
      </x:c>
      <x:c r="S555" s="8" t="n">
        <x:f>L555-I555^2/H555</x:f>
        <x:v>321.73333333333335</x:v>
      </x:c>
      <x:c r="T555" s="8" t="n">
        <x:f>M555-J555^2/H555</x:f>
        <x:v>0</x:v>
      </x:c>
      <x:c r="U555" s="8" t="n">
        <x:f>N555-I555*J555/H555</x:f>
        <x:v>0</x:v>
      </x:c>
      <x:c r="V555" s="8" t="n">
        <x:f>O555-I555*K555/H555</x:f>
        <x:v>265</x:v>
      </x:c>
      <x:c r="W555" s="8" t="n">
        <x:f>P555-J555*K555/H555</x:f>
        <x:v>0</x:v>
      </x:c>
      <x:c r="X555" s="8" t="n">
        <x:f>V555/S555</x:f>
        <x:v>0.823663489432242</x:v>
      </x:c>
      <x:c r="Y555" s="8" t="n">
        <x:f>0</x:f>
        <x:v>0</x:v>
      </x:c>
      <x:c r="Z555" s="8" t="n">
        <x:f>K555/H555-X555*I555/H555-Y555*J555/H555</x:f>
        <x:v>0.7718607542478244</x:v>
      </x:c>
      <x:c r="AA555" s="8" t="n">
        <x:f>Z555+X555*Q555+Y555*R555</x:f>
        <x:v>0.7718607542478244</x:v>
      </x:c>
    </x:row>
    <x:row r="556" ht="26" customHeight="1">
      <x:c r="A556" s="2"/>
      <x:c r="B556" s="2" t="n">
        <x:v>551</x:v>
      </x:c>
      <x:c r="C556" s="2" t="str">
        <x:v>Fabric &amp; Home Care / price_contribution</x:v>
      </x:c>
      <x:c r="D556" s="2" t="str">
        <x:v>Broad market</x:v>
      </x:c>
      <x:c r="E556" s="7" t="n">
        <x:v>45838</x:v>
      </x:c>
      <x:c r="F556" s="2" t="str">
        <x:v>Origin</x:v>
      </x:c>
      <x:c r="G556" s="7" t="n">
        <x:v>45748</x:v>
      </x:c>
      <x:c r="H556" s="2" t="n">
        <x:v>16</x:v>
      </x:c>
      <x:c r="I556" s="8" t="n">
        <x:v>45.710762120132856</x:v>
      </x:c>
      <x:c r="J556" s="8" t="n">
        <x:v>0</x:v>
      </x:c>
      <x:c r="K556" s="8" t="n">
        <x:v>77</x:v>
      </x:c>
      <x:c r="L556" s="8" t="n">
        <x:v>256.52763144344647</x:v>
      </x:c>
      <x:c r="M556" s="8" t="n">
        <x:v>0</x:v>
      </x:c>
      <x:c r="N556" s="8" t="n">
        <x:v>0</x:v>
      </x:c>
      <x:c r="O556" s="8" t="n">
        <x:v>388.4353221093721</x:v>
      </x:c>
      <x:c r="P556" s="8" t="n">
        <x:v>0</x:v>
      </x:c>
      <x:c r="Q556" s="8" t="n">
        <x:v>0.4021029127773579</x:v>
      </x:c>
      <x:c r="R556" s="8" t="n">
        <x:v>0</x:v>
      </x:c>
      <x:c r="S556" s="8" t="n">
        <x:f>L556-I556^2/H556</x:f>
        <x:v>125.93552059323568</x:v>
      </x:c>
      <x:c r="T556" s="8" t="n">
        <x:f>M556-J556^2/H556</x:f>
        <x:v>0</x:v>
      </x:c>
      <x:c r="U556" s="8" t="n">
        <x:f>N556-I556*J556/H556</x:f>
        <x:v>0</x:v>
      </x:c>
      <x:c r="V556" s="8" t="n">
        <x:f>O556-I556*K556/H556</x:f>
        <x:v>168.45227940623275</x:v>
      </x:c>
      <x:c r="W556" s="8" t="n">
        <x:f>P556-J556*K556/H556</x:f>
        <x:v>0</x:v>
      </x:c>
      <x:c r="X556" s="8" t="n">
        <x:f>V556/S556</x:f>
        <x:v>1.337607361391896</x:v>
      </x:c>
      <x:c r="Y556" s="8" t="n">
        <x:f>0</x:f>
        <x:v>0</x:v>
      </x:c>
      <x:c r="Z556" s="8" t="n">
        <x:f>K556/H556-X556*I556/H556-Y556*J556/H556</x:f>
        <x:v>0.991059255829779</x:v>
      </x:c>
      <x:c r="AA556" s="8" t="n">
        <x:f>Z556+X556*Q556+Y556*R556</x:f>
        <x:v>1.5289150719978966</x:v>
      </x:c>
    </x:row>
    <x:row r="557" ht="26" customHeight="1">
      <x:c r="A557" s="2"/>
      <x:c r="B557" s="2" t="n">
        <x:v>552</x:v>
      </x:c>
      <x:c r="C557" s="2" t="str">
        <x:v>Fabric &amp; Home Care / price_contribution</x:v>
      </x:c>
      <x:c r="D557" s="2" t="str">
        <x:v>Broad rolling 8</x:v>
      </x:c>
      <x:c r="E557" s="7" t="n">
        <x:v>45838</x:v>
      </x:c>
      <x:c r="F557" s="2" t="str">
        <x:v>Origin</x:v>
      </x:c>
      <x:c r="G557" s="7" t="n">
        <x:v>45748</x:v>
      </x:c>
      <x:c r="H557" s="2" t="n">
        <x:v>8</x:v>
      </x:c>
      <x:c r="I557" s="8" t="n">
        <x:v>29.542364704460724</x:v>
      </x:c>
      <x:c r="J557" s="8" t="n">
        <x:v>0</x:v>
      </x:c>
      <x:c r="K557" s="8" t="n">
        <x:v>32</x:v>
      </x:c>
      <x:c r="L557" s="8" t="n">
        <x:v>159.82650127279152</x:v>
      </x:c>
      <x:c r="M557" s="8" t="n">
        <x:v>0</x:v>
      </x:c>
      <x:c r="N557" s="8" t="n">
        <x:v>0</x:v>
      </x:c>
      <x:c r="O557" s="8" t="n">
        <x:v>196.80695776584653</x:v>
      </x:c>
      <x:c r="P557" s="8" t="n">
        <x:v>0</x:v>
      </x:c>
      <x:c r="Q557" s="8" t="n">
        <x:v>0.4021029127773579</x:v>
      </x:c>
      <x:c r="R557" s="8" t="n">
        <x:v>0</x:v>
      </x:c>
      <x:c r="S557" s="8" t="n">
        <x:f>L557-I557^2/H557</x:f>
        <x:v>50.73258723137067</x:v>
      </x:c>
      <x:c r="T557" s="8" t="n">
        <x:f>M557-J557^2/H557</x:f>
        <x:v>0</x:v>
      </x:c>
      <x:c r="U557" s="8" t="n">
        <x:f>N557-I557*J557/H557</x:f>
        <x:v>0</x:v>
      </x:c>
      <x:c r="V557" s="8" t="n">
        <x:f>O557-I557*K557/H557</x:f>
        <x:v>78.63749894800364</x:v>
      </x:c>
      <x:c r="W557" s="8" t="n">
        <x:f>P557-J557*K557/H557</x:f>
        <x:v>0</x:v>
      </x:c>
      <x:c r="X557" s="8" t="n">
        <x:f>V557/S557</x:f>
        <x:v>1.5500392004328505</x:v>
      </x:c>
      <x:c r="Y557" s="8" t="n">
        <x:f>0</x:f>
        <x:v>0</x:v>
      </x:c>
      <x:c r="Z557" s="8" t="n">
        <x:f>K557/H557-X557*I557/H557-Y557*J557/H557</x:f>
        <x:v>-1.723977920674745</x:v>
      </x:c>
      <x:c r="AA557" s="8" t="n">
        <x:f>Z557+X557*Q557+Y557*R557</x:f>
        <x:v>-1.100702643261609</x:v>
      </x:c>
    </x:row>
    <x:row r="558" ht="26" customHeight="1">
      <x:c r="A558" s="2"/>
      <x:c r="B558" s="2" t="n">
        <x:v>553</x:v>
      </x:c>
      <x:c r="C558" s="2" t="str">
        <x:v>Fabric &amp; Home Care / price_contribution</x:v>
      </x:c>
      <x:c r="D558" s="2" t="str">
        <x:v>Own history</x:v>
      </x:c>
      <x:c r="E558" s="7" t="n">
        <x:v>45838</x:v>
      </x:c>
      <x:c r="F558" s="2" t="str">
        <x:v>Origin</x:v>
      </x:c>
      <x:c r="G558" s="7" t="n">
        <x:v>45748</x:v>
      </x:c>
      <x:c r="H558" s="2" t="n">
        <x:v>14</x:v>
      </x:c>
      <x:c r="I558" s="8" t="n">
        <x:v>77</x:v>
      </x:c>
      <x:c r="J558" s="8" t="n">
        <x:v>0</x:v>
      </x:c>
      <x:c r="K558" s="8" t="n">
        <x:v>75</x:v>
      </x:c>
      <x:c r="L558" s="8" t="n">
        <x:v>717</x:v>
      </x:c>
      <x:c r="M558" s="8" t="n">
        <x:v>0</x:v>
      </x:c>
      <x:c r="N558" s="8" t="n">
        <x:v>0</x:v>
      </x:c>
      <x:c r="O558" s="8" t="n">
        <x:v>580</x:v>
      </x:c>
      <x:c r="P558" s="8" t="n">
        <x:v>0</x:v>
      </x:c>
      <x:c r="Q558" s="8" t="n">
        <x:v>0</x:v>
      </x:c>
      <x:c r="R558" s="8" t="n">
        <x:v>0</x:v>
      </x:c>
      <x:c r="S558" s="8" t="n">
        <x:f>L558-I558^2/H558</x:f>
        <x:v>293.5</x:v>
      </x:c>
      <x:c r="T558" s="8" t="n">
        <x:f>M558-J558^2/H558</x:f>
        <x:v>0</x:v>
      </x:c>
      <x:c r="U558" s="8" t="n">
        <x:f>N558-I558*J558/H558</x:f>
        <x:v>0</x:v>
      </x:c>
      <x:c r="V558" s="8" t="n">
        <x:f>O558-I558*K558/H558</x:f>
        <x:v>167.5</x:v>
      </x:c>
      <x:c r="W558" s="8" t="n">
        <x:f>P558-J558*K558/H558</x:f>
        <x:v>0</x:v>
      </x:c>
      <x:c r="X558" s="8" t="n">
        <x:f>V558/S558</x:f>
        <x:v>0.5706984667802385</x:v>
      </x:c>
      <x:c r="Y558" s="8" t="n">
        <x:f>0</x:f>
        <x:v>0</x:v>
      </x:c>
      <x:c r="Z558" s="8" t="n">
        <x:f>K558/H558-X558*I558/H558-Y558*J558/H558</x:f>
        <x:v>2.218301289851545</x:v>
      </x:c>
      <x:c r="AA558" s="8" t="n">
        <x:f>Z558+X558*Q558+Y558*R558</x:f>
        <x:v>2.218301289851545</x:v>
      </x:c>
    </x:row>
    <x:row r="559" ht="26" customHeight="1">
      <x:c r="A559" s="2"/>
      <x:c r="B559" s="2" t="n">
        <x:v>554</x:v>
      </x:c>
      <x:c r="C559" s="2" t="str">
        <x:v>Fabric &amp; Home Care / price_contribution</x:v>
      </x:c>
      <x:c r="D559" s="2" t="str">
        <x:v>Broad market</x:v>
      </x:c>
      <x:c r="E559" s="7" t="n">
        <x:v>45838</x:v>
      </x:c>
      <x:c r="F559" s="2" t="str">
        <x:v>Prior report</x:v>
      </x:c>
      <x:c r="G559" s="7" t="n">
        <x:v>45771</x:v>
      </x:c>
      <x:c r="H559" s="2" t="n">
        <x:v>17</x:v>
      </x:c>
      <x:c r="I559" s="8" t="n">
        <x:v>45.946708318435746</x:v>
      </x:c>
      <x:c r="J559" s="8" t="n">
        <x:v>0</x:v>
      </x:c>
      <x:c r="K559" s="8" t="n">
        <x:v>77</x:v>
      </x:c>
      <x:c r="L559" s="8" t="n">
        <x:v>256.58330205194005</x:v>
      </x:c>
      <x:c r="M559" s="8" t="n">
        <x:v>0</x:v>
      </x:c>
      <x:c r="N559" s="8" t="n">
        <x:v>0</x:v>
      </x:c>
      <x:c r="O559" s="8" t="n">
        <x:v>388.4353221093721</x:v>
      </x:c>
      <x:c r="P559" s="8" t="n">
        <x:v>0</x:v>
      </x:c>
      <x:c r="Q559" s="8" t="n">
        <x:v>0.23664658474467082</x:v>
      </x:c>
      <x:c r="R559" s="8" t="n">
        <x:v>0</x:v>
      </x:c>
      <x:c r="S559" s="8" t="n">
        <x:f>L559-I559^2/H559</x:f>
        <x:v>132.40094879903342</x:v>
      </x:c>
      <x:c r="T559" s="8" t="n">
        <x:f>M559-J559^2/H559</x:f>
        <x:v>0</x:v>
      </x:c>
      <x:c r="U559" s="8" t="n">
        <x:f>N559-I559*J559/H559</x:f>
        <x:v>0</x:v>
      </x:c>
      <x:c r="V559" s="8" t="n">
        <x:f>O559-I559*K559/H559</x:f>
        <x:v>180.32376090233961</x:v>
      </x:c>
      <x:c r="W559" s="8" t="n">
        <x:f>P559-J559*K559/H559</x:f>
        <x:v>0</x:v>
      </x:c>
      <x:c r="X559" s="8" t="n">
        <x:f>V559/S559</x:f>
        <x:v>1.3619521803884238</x:v>
      </x:c>
      <x:c r="Y559" s="8" t="n">
        <x:f>0</x:f>
        <x:v>0</x:v>
      </x:c>
      <x:c r="Z559" s="8" t="n">
        <x:f>K559/H559-X559*I559/H559-Y559*J559/H559</x:f>
        <x:v>0.848398848472677</x:v>
      </x:c>
      <x:c r="AA559" s="8" t="n">
        <x:f>Z559+X559*Q559+Y559*R559</x:f>
        <x:v>1.1707001805471553</x:v>
      </x:c>
    </x:row>
    <x:row r="560" ht="26" customHeight="1">
      <x:c r="A560" s="2"/>
      <x:c r="B560" s="2" t="n">
        <x:v>555</x:v>
      </x:c>
      <x:c r="C560" s="2" t="str">
        <x:v>Fabric &amp; Home Care / price_contribution</x:v>
      </x:c>
      <x:c r="D560" s="2" t="str">
        <x:v>Broad lag 1</x:v>
      </x:c>
      <x:c r="E560" s="7" t="n">
        <x:v>45838</x:v>
      </x:c>
      <x:c r="F560" s="2" t="str">
        <x:v>Prior report</x:v>
      </x:c>
      <x:c r="G560" s="7" t="n">
        <x:v>45771</x:v>
      </x:c>
      <x:c r="H560" s="2" t="n">
        <x:v>16</x:v>
      </x:c>
      <x:c r="I560" s="8" t="n">
        <x:v>45.710762120132856</x:v>
      </x:c>
      <x:c r="J560" s="8" t="n">
        <x:v>0</x:v>
      </x:c>
      <x:c r="K560" s="8" t="n">
        <x:v>75</x:v>
      </x:c>
      <x:c r="L560" s="8" t="n">
        <x:v>256.52763144344647</x:v>
      </x:c>
      <x:c r="M560" s="8" t="n">
        <x:v>0</x:v>
      </x:c>
      <x:c r="N560" s="8" t="n">
        <x:v>0</x:v>
      </x:c>
      <x:c r="O560" s="8" t="n">
        <x:v>335.6117091007374</x:v>
      </x:c>
      <x:c r="P560" s="8" t="n">
        <x:v>0</x:v>
      </x:c>
      <x:c r="Q560" s="8" t="n">
        <x:v>0.23594619830289432</x:v>
      </x:c>
      <x:c r="R560" s="8" t="n">
        <x:v>0</x:v>
      </x:c>
      <x:c r="S560" s="8" t="n">
        <x:f>L560-I560^2/H560</x:f>
        <x:v>125.93552059323568</x:v>
      </x:c>
      <x:c r="T560" s="8" t="n">
        <x:f>M560-J560^2/H560</x:f>
        <x:v>0</x:v>
      </x:c>
      <x:c r="U560" s="8" t="n">
        <x:f>N560-I560*J560/H560</x:f>
        <x:v>0</x:v>
      </x:c>
      <x:c r="V560" s="8" t="n">
        <x:f>O560-I560*K560/H560</x:f>
        <x:v>121.34251166261464</x:v>
      </x:c>
      <x:c r="W560" s="8" t="n">
        <x:f>P560-J560*K560/H560</x:f>
        <x:v>0</x:v>
      </x:c>
      <x:c r="X560" s="8" t="n">
        <x:f>V560/S560</x:f>
        <x:v>0.9635288843927029</x:v>
      </x:c>
      <x:c r="Y560" s="8" t="n">
        <x:f>0</x:f>
        <x:v>0</x:v>
      </x:c>
      <x:c r="Z560" s="8" t="n">
        <x:f>K560/H560-X560*I560/H560-Y560*J560/H560</x:f>
        <x:v>1.9347725231030104</x:v>
      </x:c>
      <x:c r="AA560" s="8" t="n">
        <x:f>Z560+X560*Q560+Y560*R560</x:f>
        <x:v>2.1621135003304977</x:v>
      </x:c>
    </x:row>
    <x:row r="561" ht="26" customHeight="1">
      <x:c r="A561" s="2"/>
      <x:c r="B561" s="2" t="n">
        <x:v>556</x:v>
      </x:c>
      <x:c r="C561" s="2" t="str">
        <x:v>Fabric &amp; Home Care / price_contribution</x:v>
      </x:c>
      <x:c r="D561" s="2" t="str">
        <x:v>Broad rolling 8</x:v>
      </x:c>
      <x:c r="E561" s="7" t="n">
        <x:v>45838</x:v>
      </x:c>
      <x:c r="F561" s="2" t="str">
        <x:v>Prior report</x:v>
      </x:c>
      <x:c r="G561" s="7" t="n">
        <x:v>45771</x:v>
      </x:c>
      <x:c r="H561" s="2" t="n">
        <x:v>8</x:v>
      </x:c>
      <x:c r="I561" s="8" t="n">
        <x:v>23.005916879315237</x:v>
      </x:c>
      <x:c r="J561" s="8" t="n">
        <x:v>0</x:v>
      </x:c>
      <x:c r="K561" s="8" t="n">
        <x:v>19</x:v>
      </x:c>
      <x:c r="L561" s="8" t="n">
        <x:v>114.01685107244576</x:v>
      </x:c>
      <x:c r="M561" s="8" t="n">
        <x:v>0</x:v>
      </x:c>
      <x:c r="N561" s="8" t="n">
        <x:v>0</x:v>
      </x:c>
      <x:c r="O561" s="8" t="n">
        <x:v>108.76583546101759</x:v>
      </x:c>
      <x:c r="P561" s="8" t="n">
        <x:v>0</x:v>
      </x:c>
      <x:c r="Q561" s="8" t="n">
        <x:v>0.23664658474467082</x:v>
      </x:c>
      <x:c r="R561" s="8" t="n">
        <x:v>0</x:v>
      </x:c>
      <x:c r="S561" s="8" t="n">
        <x:f>L561-I561^2/H561</x:f>
        <x:v>47.85782464020055</x:v>
      </x:c>
      <x:c r="T561" s="8" t="n">
        <x:f>M561-J561^2/H561</x:f>
        <x:v>0</x:v>
      </x:c>
      <x:c r="U561" s="8" t="n">
        <x:f>N561-I561*J561/H561</x:f>
        <x:v>0</x:v>
      </x:c>
      <x:c r="V561" s="8" t="n">
        <x:f>O561-I561*K561/H561</x:f>
        <x:v>54.1267828726439</x:v>
      </x:c>
      <x:c r="W561" s="8" t="n">
        <x:f>P561-J561*K561/H561</x:f>
        <x:v>0</x:v>
      </x:c>
      <x:c r="X561" s="8" t="n">
        <x:f>V561/S561</x:f>
        <x:v>1.1309912909659798</x:v>
      </x:c>
      <x:c r="Y561" s="8" t="n">
        <x:f>0</x:f>
        <x:v>0</x:v>
      </x:c>
      <x:c r="Z561" s="8" t="n">
        <x:f>K561/H561-X561*I561/H561-Y561*J561/H561</x:f>
        <x:v>-0.8774364538990955</x:v>
      </x:c>
      <x:c r="AA561" s="8" t="n">
        <x:f>Z561+X561*Q561+Y561*R561</x:f>
        <x:v>-0.6097912275160302</x:v>
      </x:c>
    </x:row>
    <x:row r="562" ht="26" customHeight="1">
      <x:c r="A562" s="2"/>
      <x:c r="B562" s="2" t="n">
        <x:v>557</x:v>
      </x:c>
      <x:c r="C562" s="2" t="str">
        <x:v>Fabric &amp; Home Care / price_contribution</x:v>
      </x:c>
      <x:c r="D562" s="2" t="str">
        <x:v>Own history</x:v>
      </x:c>
      <x:c r="E562" s="7" t="n">
        <x:v>45838</x:v>
      </x:c>
      <x:c r="F562" s="2" t="str">
        <x:v>Prior report</x:v>
      </x:c>
      <x:c r="G562" s="7" t="n">
        <x:v>45771</x:v>
      </x:c>
      <x:c r="H562" s="2" t="n">
        <x:v>16</x:v>
      </x:c>
      <x:c r="I562" s="8" t="n">
        <x:v>77</x:v>
      </x:c>
      <x:c r="J562" s="8" t="n">
        <x:v>0</x:v>
      </x:c>
      <x:c r="K562" s="8" t="n">
        <x:v>75</x:v>
      </x:c>
      <x:c r="L562" s="8" t="n">
        <x:v>717</x:v>
      </x:c>
      <x:c r="M562" s="8" t="n">
        <x:v>0</x:v>
      </x:c>
      <x:c r="N562" s="8" t="n">
        <x:v>0</x:v>
      </x:c>
      <x:c r="O562" s="8" t="n">
        <x:v>650</x:v>
      </x:c>
      <x:c r="P562" s="8" t="n">
        <x:v>0</x:v>
      </x:c>
      <x:c r="Q562" s="8" t="n">
        <x:v>0</x:v>
      </x:c>
      <x:c r="R562" s="8" t="n">
        <x:v>0</x:v>
      </x:c>
      <x:c r="S562" s="8" t="n">
        <x:f>L562-I562^2/H562</x:f>
        <x:v>346.4375</x:v>
      </x:c>
      <x:c r="T562" s="8" t="n">
        <x:f>M562-J562^2/H562</x:f>
        <x:v>0</x:v>
      </x:c>
      <x:c r="U562" s="8" t="n">
        <x:f>N562-I562*J562/H562</x:f>
        <x:v>0</x:v>
      </x:c>
      <x:c r="V562" s="8" t="n">
        <x:f>O562-I562*K562/H562</x:f>
        <x:v>289.0625</x:v>
      </x:c>
      <x:c r="W562" s="8" t="n">
        <x:f>P562-J562*K562/H562</x:f>
        <x:v>0</x:v>
      </x:c>
      <x:c r="X562" s="8" t="n">
        <x:f>V562/S562</x:f>
        <x:v>0.8343857117084611</x:v>
      </x:c>
      <x:c r="Y562" s="8" t="n">
        <x:f>0</x:f>
        <x:v>0</x:v>
      </x:c>
      <x:c r="Z562" s="8" t="n">
        <x:f>K562/H562-X562*I562/H562-Y562*J562/H562</x:f>
        <x:v>0.6720187624030309</x:v>
      </x:c>
      <x:c r="AA562" s="8" t="n">
        <x:f>Z562+X562*Q562+Y562*R562</x:f>
        <x:v>0.6720187624030309</x:v>
      </x:c>
    </x:row>
    <x:row r="563" ht="26" customHeight="1">
      <x:c r="A563" s="2"/>
      <x:c r="B563" s="2" t="n">
        <x:v>558</x:v>
      </x:c>
      <x:c r="C563" s="2" t="str">
        <x:v>Fabric &amp; Home Care / price_contribution</x:v>
      </x:c>
      <x:c r="D563" s="2" t="str">
        <x:v>Broad market</x:v>
      </x:c>
      <x:c r="E563" s="7" t="n">
        <x:v>45838</x:v>
      </x:c>
      <x:c r="F563" s="2" t="str">
        <x:v>Pre-earnings</x:v>
      </x:c>
      <x:c r="G563" s="7" t="n">
        <x:v>45866</x:v>
      </x:c>
      <x:c r="H563" s="2" t="n">
        <x:v>17</x:v>
      </x:c>
      <x:c r="I563" s="8" t="n">
        <x:v>45.946708318435746</x:v>
      </x:c>
      <x:c r="J563" s="8" t="n">
        <x:v>0</x:v>
      </x:c>
      <x:c r="K563" s="8" t="n">
        <x:v>77</x:v>
      </x:c>
      <x:c r="L563" s="8" t="n">
        <x:v>256.58330205194005</x:v>
      </x:c>
      <x:c r="M563" s="8" t="n">
        <x:v>0</x:v>
      </x:c>
      <x:c r="N563" s="8" t="n">
        <x:v>0</x:v>
      </x:c>
      <x:c r="O563" s="8" t="n">
        <x:v>388.4353221093721</x:v>
      </x:c>
      <x:c r="P563" s="8" t="n">
        <x:v>0</x:v>
      </x:c>
      <x:c r="Q563" s="8" t="n">
        <x:v>0.5057825004843641</x:v>
      </x:c>
      <x:c r="R563" s="8" t="n">
        <x:v>0</x:v>
      </x:c>
      <x:c r="S563" s="8" t="n">
        <x:f>L563-I563^2/H563</x:f>
        <x:v>132.40094879903342</x:v>
      </x:c>
      <x:c r="T563" s="8" t="n">
        <x:f>M563-J563^2/H563</x:f>
        <x:v>0</x:v>
      </x:c>
      <x:c r="U563" s="8" t="n">
        <x:f>N563-I563*J563/H563</x:f>
        <x:v>0</x:v>
      </x:c>
      <x:c r="V563" s="8" t="n">
        <x:f>O563-I563*K563/H563</x:f>
        <x:v>180.32376090233961</x:v>
      </x:c>
      <x:c r="W563" s="8" t="n">
        <x:f>P563-J563*K563/H563</x:f>
        <x:v>0</x:v>
      </x:c>
      <x:c r="X563" s="8" t="n">
        <x:f>V563/S563</x:f>
        <x:v>1.3619521803884238</x:v>
      </x:c>
      <x:c r="Y563" s="8" t="n">
        <x:f>0</x:f>
        <x:v>0</x:v>
      </x:c>
      <x:c r="Z563" s="8" t="n">
        <x:f>K563/H563-X563*I563/H563-Y563*J563/H563</x:f>
        <x:v>0.848398848472677</x:v>
      </x:c>
      <x:c r="AA563" s="8" t="n">
        <x:f>Z563+X563*Q563+Y563*R563</x:f>
        <x:v>1.5372504278096657</x:v>
      </x:c>
    </x:row>
    <x:row r="564" ht="26" customHeight="1">
      <x:c r="A564" s="2"/>
      <x:c r="B564" s="2" t="n">
        <x:v>559</x:v>
      </x:c>
      <x:c r="C564" s="2" t="str">
        <x:v>Fabric &amp; Home Care / price_contribution</x:v>
      </x:c>
      <x:c r="D564" s="2" t="str">
        <x:v>Broad lag 1</x:v>
      </x:c>
      <x:c r="E564" s="7" t="n">
        <x:v>45838</x:v>
      </x:c>
      <x:c r="F564" s="2" t="str">
        <x:v>Pre-earnings</x:v>
      </x:c>
      <x:c r="G564" s="7" t="n">
        <x:v>45866</x:v>
      </x:c>
      <x:c r="H564" s="2" t="n">
        <x:v>16</x:v>
      </x:c>
      <x:c r="I564" s="8" t="n">
        <x:v>45.710762120132856</x:v>
      </x:c>
      <x:c r="J564" s="8" t="n">
        <x:v>0</x:v>
      </x:c>
      <x:c r="K564" s="8" t="n">
        <x:v>75</x:v>
      </x:c>
      <x:c r="L564" s="8" t="n">
        <x:v>256.52763144344647</x:v>
      </x:c>
      <x:c r="M564" s="8" t="n">
        <x:v>0</x:v>
      </x:c>
      <x:c r="N564" s="8" t="n">
        <x:v>0</x:v>
      </x:c>
      <x:c r="O564" s="8" t="n">
        <x:v>335.6117091007374</x:v>
      </x:c>
      <x:c r="P564" s="8" t="n">
        <x:v>0</x:v>
      </x:c>
      <x:c r="Q564" s="8" t="n">
        <x:v>0.23594619830289432</x:v>
      </x:c>
      <x:c r="R564" s="8" t="n">
        <x:v>0</x:v>
      </x:c>
      <x:c r="S564" s="8" t="n">
        <x:f>L564-I564^2/H564</x:f>
        <x:v>125.93552059323568</x:v>
      </x:c>
      <x:c r="T564" s="8" t="n">
        <x:f>M564-J564^2/H564</x:f>
        <x:v>0</x:v>
      </x:c>
      <x:c r="U564" s="8" t="n">
        <x:f>N564-I564*J564/H564</x:f>
        <x:v>0</x:v>
      </x:c>
      <x:c r="V564" s="8" t="n">
        <x:f>O564-I564*K564/H564</x:f>
        <x:v>121.34251166261464</x:v>
      </x:c>
      <x:c r="W564" s="8" t="n">
        <x:f>P564-J564*K564/H564</x:f>
        <x:v>0</x:v>
      </x:c>
      <x:c r="X564" s="8" t="n">
        <x:f>V564/S564</x:f>
        <x:v>0.9635288843927029</x:v>
      </x:c>
      <x:c r="Y564" s="8" t="n">
        <x:f>0</x:f>
        <x:v>0</x:v>
      </x:c>
      <x:c r="Z564" s="8" t="n">
        <x:f>K564/H564-X564*I564/H564-Y564*J564/H564</x:f>
        <x:v>1.9347725231030104</x:v>
      </x:c>
      <x:c r="AA564" s="8" t="n">
        <x:f>Z564+X564*Q564+Y564*R564</x:f>
        <x:v>2.1621135003304977</x:v>
      </x:c>
    </x:row>
    <x:row r="565" ht="26" customHeight="1">
      <x:c r="A565" s="2"/>
      <x:c r="B565" s="2" t="n">
        <x:v>560</x:v>
      </x:c>
      <x:c r="C565" s="2" t="str">
        <x:v>Fabric &amp; Home Care / price_contribution</x:v>
      </x:c>
      <x:c r="D565" s="2" t="str">
        <x:v>Broad rolling 8</x:v>
      </x:c>
      <x:c r="E565" s="7" t="n">
        <x:v>45838</x:v>
      </x:c>
      <x:c r="F565" s="2" t="str">
        <x:v>Pre-earnings</x:v>
      </x:c>
      <x:c r="G565" s="7" t="n">
        <x:v>45866</x:v>
      </x:c>
      <x:c r="H565" s="2" t="n">
        <x:v>8</x:v>
      </x:c>
      <x:c r="I565" s="8" t="n">
        <x:v>23.005916879315237</x:v>
      </x:c>
      <x:c r="J565" s="8" t="n">
        <x:v>0</x:v>
      </x:c>
      <x:c r="K565" s="8" t="n">
        <x:v>19</x:v>
      </x:c>
      <x:c r="L565" s="8" t="n">
        <x:v>114.01685107244576</x:v>
      </x:c>
      <x:c r="M565" s="8" t="n">
        <x:v>0</x:v>
      </x:c>
      <x:c r="N565" s="8" t="n">
        <x:v>0</x:v>
      </x:c>
      <x:c r="O565" s="8" t="n">
        <x:v>108.76583546101759</x:v>
      </x:c>
      <x:c r="P565" s="8" t="n">
        <x:v>0</x:v>
      </x:c>
      <x:c r="Q565" s="8" t="n">
        <x:v>0.5057825004843641</x:v>
      </x:c>
      <x:c r="R565" s="8" t="n">
        <x:v>0</x:v>
      </x:c>
      <x:c r="S565" s="8" t="n">
        <x:f>L565-I565^2/H565</x:f>
        <x:v>47.85782464020055</x:v>
      </x:c>
      <x:c r="T565" s="8" t="n">
        <x:f>M565-J565^2/H565</x:f>
        <x:v>0</x:v>
      </x:c>
      <x:c r="U565" s="8" t="n">
        <x:f>N565-I565*J565/H565</x:f>
        <x:v>0</x:v>
      </x:c>
      <x:c r="V565" s="8" t="n">
        <x:f>O565-I565*K565/H565</x:f>
        <x:v>54.1267828726439</x:v>
      </x:c>
      <x:c r="W565" s="8" t="n">
        <x:f>P565-J565*K565/H565</x:f>
        <x:v>0</x:v>
      </x:c>
      <x:c r="X565" s="8" t="n">
        <x:f>V565/S565</x:f>
        <x:v>1.1309912909659798</x:v>
      </x:c>
      <x:c r="Y565" s="8" t="n">
        <x:f>0</x:f>
        <x:v>0</x:v>
      </x:c>
      <x:c r="Z565" s="8" t="n">
        <x:f>K565/H565-X565*I565/H565-Y565*J565/H565</x:f>
        <x:v>-0.8774364538990955</x:v>
      </x:c>
      <x:c r="AA565" s="8" t="n">
        <x:f>Z565+X565*Q565+Y565*R565</x:f>
        <x:v>-0.30540085072828327</x:v>
      </x:c>
    </x:row>
    <x:row r="566" ht="26" customHeight="1">
      <x:c r="A566" s="2"/>
      <x:c r="B566" s="2" t="n">
        <x:v>561</x:v>
      </x:c>
      <x:c r="C566" s="2" t="str">
        <x:v>Fabric &amp; Home Care / price_contribution</x:v>
      </x:c>
      <x:c r="D566" s="2" t="str">
        <x:v>Own history</x:v>
      </x:c>
      <x:c r="E566" s="7" t="n">
        <x:v>45838</x:v>
      </x:c>
      <x:c r="F566" s="2" t="str">
        <x:v>Pre-earnings</x:v>
      </x:c>
      <x:c r="G566" s="7" t="n">
        <x:v>45866</x:v>
      </x:c>
      <x:c r="H566" s="2" t="n">
        <x:v>16</x:v>
      </x:c>
      <x:c r="I566" s="8" t="n">
        <x:v>77</x:v>
      </x:c>
      <x:c r="J566" s="8" t="n">
        <x:v>0</x:v>
      </x:c>
      <x:c r="K566" s="8" t="n">
        <x:v>75</x:v>
      </x:c>
      <x:c r="L566" s="8" t="n">
        <x:v>717</x:v>
      </x:c>
      <x:c r="M566" s="8" t="n">
        <x:v>0</x:v>
      </x:c>
      <x:c r="N566" s="8" t="n">
        <x:v>0</x:v>
      </x:c>
      <x:c r="O566" s="8" t="n">
        <x:v>650</x:v>
      </x:c>
      <x:c r="P566" s="8" t="n">
        <x:v>0</x:v>
      </x:c>
      <x:c r="Q566" s="8" t="n">
        <x:v>0</x:v>
      </x:c>
      <x:c r="R566" s="8" t="n">
        <x:v>0</x:v>
      </x:c>
      <x:c r="S566" s="8" t="n">
        <x:f>L566-I566^2/H566</x:f>
        <x:v>346.4375</x:v>
      </x:c>
      <x:c r="T566" s="8" t="n">
        <x:f>M566-J566^2/H566</x:f>
        <x:v>0</x:v>
      </x:c>
      <x:c r="U566" s="8" t="n">
        <x:f>N566-I566*J566/H566</x:f>
        <x:v>0</x:v>
      </x:c>
      <x:c r="V566" s="8" t="n">
        <x:f>O566-I566*K566/H566</x:f>
        <x:v>289.0625</x:v>
      </x:c>
      <x:c r="W566" s="8" t="n">
        <x:f>P566-J566*K566/H566</x:f>
        <x:v>0</x:v>
      </x:c>
      <x:c r="X566" s="8" t="n">
        <x:f>V566/S566</x:f>
        <x:v>0.8343857117084611</x:v>
      </x:c>
      <x:c r="Y566" s="8" t="n">
        <x:f>0</x:f>
        <x:v>0</x:v>
      </x:c>
      <x:c r="Z566" s="8" t="n">
        <x:f>K566/H566-X566*I566/H566-Y566*J566/H566</x:f>
        <x:v>0.6720187624030309</x:v>
      </x:c>
      <x:c r="AA566" s="8" t="n">
        <x:f>Z566+X566*Q566+Y566*R566</x:f>
        <x:v>0.6720187624030309</x:v>
      </x:c>
    </x:row>
    <x:row r="567" ht="26" customHeight="1">
      <x:c r="A567" s="2"/>
      <x:c r="B567" s="2" t="n">
        <x:v>562</x:v>
      </x:c>
      <x:c r="C567" s="2" t="str">
        <x:v>Fabric &amp; Home Care / price_contribution</x:v>
      </x:c>
      <x:c r="D567" s="2" t="str">
        <x:v>Broad market</x:v>
      </x:c>
      <x:c r="E567" s="7" t="n">
        <x:v>45930</x:v>
      </x:c>
      <x:c r="F567" s="2" t="str">
        <x:v>Origin</x:v>
      </x:c>
      <x:c r="G567" s="7" t="n">
        <x:v>45839</x:v>
      </x:c>
      <x:c r="H567" s="2" t="n">
        <x:v>17</x:v>
      </x:c>
      <x:c r="I567" s="8" t="n">
        <x:v>45.946708318435746</x:v>
      </x:c>
      <x:c r="J567" s="8" t="n">
        <x:v>0</x:v>
      </x:c>
      <x:c r="K567" s="8" t="n">
        <x:v>77</x:v>
      </x:c>
      <x:c r="L567" s="8" t="n">
        <x:v>256.58330205194005</x:v>
      </x:c>
      <x:c r="M567" s="8" t="n">
        <x:v>0</x:v>
      </x:c>
      <x:c r="N567" s="8" t="n">
        <x:v>0</x:v>
      </x:c>
      <x:c r="O567" s="8" t="n">
        <x:v>388.4353221093721</x:v>
      </x:c>
      <x:c r="P567" s="8" t="n">
        <x:v>0</x:v>
      </x:c>
      <x:c r="Q567" s="8" t="n">
        <x:v>0.2991645223175299</x:v>
      </x:c>
      <x:c r="R567" s="8" t="n">
        <x:v>0</x:v>
      </x:c>
      <x:c r="S567" s="8" t="n">
        <x:f>L567-I567^2/H567</x:f>
        <x:v>132.40094879903342</x:v>
      </x:c>
      <x:c r="T567" s="8" t="n">
        <x:f>M567-J567^2/H567</x:f>
        <x:v>0</x:v>
      </x:c>
      <x:c r="U567" s="8" t="n">
        <x:f>N567-I567*J567/H567</x:f>
        <x:v>0</x:v>
      </x:c>
      <x:c r="V567" s="8" t="n">
        <x:f>O567-I567*K567/H567</x:f>
        <x:v>180.32376090233961</x:v>
      </x:c>
      <x:c r="W567" s="8" t="n">
        <x:f>P567-J567*K567/H567</x:f>
        <x:v>0</x:v>
      </x:c>
      <x:c r="X567" s="8" t="n">
        <x:f>V567/S567</x:f>
        <x:v>1.3619521803884238</x:v>
      </x:c>
      <x:c r="Y567" s="8" t="n">
        <x:f>0</x:f>
        <x:v>0</x:v>
      </x:c>
      <x:c r="Z567" s="8" t="n">
        <x:f>K567/H567-X567*I567/H567-Y567*J567/H567</x:f>
        <x:v>0.848398848472677</x:v>
      </x:c>
      <x:c r="AA567" s="8" t="n">
        <x:f>Z567+X567*Q567+Y567*R567</x:f>
        <x:v>1.255846621937898</x:v>
      </x:c>
    </x:row>
    <x:row r="568" ht="26" customHeight="1">
      <x:c r="A568" s="2"/>
      <x:c r="B568" s="2" t="n">
        <x:v>563</x:v>
      </x:c>
      <x:c r="C568" s="2" t="str">
        <x:v>Fabric &amp; Home Care / price_contribution</x:v>
      </x:c>
      <x:c r="D568" s="2" t="str">
        <x:v>Broad rolling 8</x:v>
      </x:c>
      <x:c r="E568" s="7" t="n">
        <x:v>45930</x:v>
      </x:c>
      <x:c r="F568" s="2" t="str">
        <x:v>Origin</x:v>
      </x:c>
      <x:c r="G568" s="7" t="n">
        <x:v>45839</x:v>
      </x:c>
      <x:c r="H568" s="2" t="n">
        <x:v>8</x:v>
      </x:c>
      <x:c r="I568" s="8" t="n">
        <x:v>23.005916879315237</x:v>
      </x:c>
      <x:c r="J568" s="8" t="n">
        <x:v>0</x:v>
      </x:c>
      <x:c r="K568" s="8" t="n">
        <x:v>19</x:v>
      </x:c>
      <x:c r="L568" s="8" t="n">
        <x:v>114.01685107244576</x:v>
      </x:c>
      <x:c r="M568" s="8" t="n">
        <x:v>0</x:v>
      </x:c>
      <x:c r="N568" s="8" t="n">
        <x:v>0</x:v>
      </x:c>
      <x:c r="O568" s="8" t="n">
        <x:v>108.76583546101759</x:v>
      </x:c>
      <x:c r="P568" s="8" t="n">
        <x:v>0</x:v>
      </x:c>
      <x:c r="Q568" s="8" t="n">
        <x:v>0.2991645223175299</x:v>
      </x:c>
      <x:c r="R568" s="8" t="n">
        <x:v>0</x:v>
      </x:c>
      <x:c r="S568" s="8" t="n">
        <x:f>L568-I568^2/H568</x:f>
        <x:v>47.85782464020055</x:v>
      </x:c>
      <x:c r="T568" s="8" t="n">
        <x:f>M568-J568^2/H568</x:f>
        <x:v>0</x:v>
      </x:c>
      <x:c r="U568" s="8" t="n">
        <x:f>N568-I568*J568/H568</x:f>
        <x:v>0</x:v>
      </x:c>
      <x:c r="V568" s="8" t="n">
        <x:f>O568-I568*K568/H568</x:f>
        <x:v>54.1267828726439</x:v>
      </x:c>
      <x:c r="W568" s="8" t="n">
        <x:f>P568-J568*K568/H568</x:f>
        <x:v>0</x:v>
      </x:c>
      <x:c r="X568" s="8" t="n">
        <x:f>V568/S568</x:f>
        <x:v>1.1309912909659798</x:v>
      </x:c>
      <x:c r="Y568" s="8" t="n">
        <x:f>0</x:f>
        <x:v>0</x:v>
      </x:c>
      <x:c r="Z568" s="8" t="n">
        <x:f>K568/H568-X568*I568/H568-Y568*J568/H568</x:f>
        <x:v>-0.8774364538990955</x:v>
      </x:c>
      <x:c r="AA568" s="8" t="n">
        <x:f>Z568+X568*Q568+Y568*R568</x:f>
        <x:v>-0.5390839845919717</x:v>
      </x:c>
    </x:row>
    <x:row r="569" ht="26" customHeight="1">
      <x:c r="A569" s="2"/>
      <x:c r="B569" s="2" t="n">
        <x:v>564</x:v>
      </x:c>
      <x:c r="C569" s="2" t="str">
        <x:v>Fabric &amp; Home Care / price_contribution</x:v>
      </x:c>
      <x:c r="D569" s="2" t="str">
        <x:v>Own history</x:v>
      </x:c>
      <x:c r="E569" s="7" t="n">
        <x:v>45930</x:v>
      </x:c>
      <x:c r="F569" s="2" t="str">
        <x:v>Origin</x:v>
      </x:c>
      <x:c r="G569" s="7" t="n">
        <x:v>45839</x:v>
      </x:c>
      <x:c r="H569" s="2" t="n">
        <x:v>15</x:v>
      </x:c>
      <x:c r="I569" s="8" t="n">
        <x:v>77</x:v>
      </x:c>
      <x:c r="J569" s="8" t="n">
        <x:v>0</x:v>
      </x:c>
      <x:c r="K569" s="8" t="n">
        <x:v>75</x:v>
      </x:c>
      <x:c r="L569" s="8" t="n">
        <x:v>717</x:v>
      </x:c>
      <x:c r="M569" s="8" t="n">
        <x:v>0</x:v>
      </x:c>
      <x:c r="N569" s="8" t="n">
        <x:v>0</x:v>
      </x:c>
      <x:c r="O569" s="8" t="n">
        <x:v>580</x:v>
      </x:c>
      <x:c r="P569" s="8" t="n">
        <x:v>0</x:v>
      </x:c>
      <x:c r="Q569" s="8" t="n">
        <x:v>0</x:v>
      </x:c>
      <x:c r="R569" s="8" t="n">
        <x:v>0</x:v>
      </x:c>
      <x:c r="S569" s="8" t="n">
        <x:f>L569-I569^2/H569</x:f>
        <x:v>321.73333333333335</x:v>
      </x:c>
      <x:c r="T569" s="8" t="n">
        <x:f>M569-J569^2/H569</x:f>
        <x:v>0</x:v>
      </x:c>
      <x:c r="U569" s="8" t="n">
        <x:f>N569-I569*J569/H569</x:f>
        <x:v>0</x:v>
      </x:c>
      <x:c r="V569" s="8" t="n">
        <x:f>O569-I569*K569/H569</x:f>
        <x:v>195</x:v>
      </x:c>
      <x:c r="W569" s="8" t="n">
        <x:f>P569-J569*K569/H569</x:f>
        <x:v>0</x:v>
      </x:c>
      <x:c r="X569" s="8" t="n">
        <x:f>V569/S569</x:f>
        <x:v>0.6060920016576875</x:v>
      </x:c>
      <x:c r="Y569" s="8" t="n">
        <x:f>0</x:f>
        <x:v>0</x:v>
      </x:c>
      <x:c r="Z569" s="8" t="n">
        <x:f>K569/H569-X569*I569/H569-Y569*J569/H569</x:f>
        <x:v>1.888727724823871</x:v>
      </x:c>
      <x:c r="AA569" s="8" t="n">
        <x:f>Z569+X569*Q569+Y569*R569</x:f>
        <x:v>1.888727724823871</x:v>
      </x:c>
    </x:row>
    <x:row r="570" ht="26" customHeight="1">
      <x:c r="A570" s="2"/>
      <x:c r="B570" s="2" t="n">
        <x:v>565</x:v>
      </x:c>
      <x:c r="C570" s="2" t="str">
        <x:v>Fabric &amp; Home Care / price_contribution</x:v>
      </x:c>
      <x:c r="D570" s="2" t="str">
        <x:v>Broad market</x:v>
      </x:c>
      <x:c r="E570" s="7" t="n">
        <x:v>45930</x:v>
      </x:c>
      <x:c r="F570" s="2" t="str">
        <x:v>Prior report</x:v>
      </x:c>
      <x:c r="G570" s="7" t="n">
        <x:v>45867</x:v>
      </x:c>
      <x:c r="H570" s="2" t="n">
        <x:v>18</x:v>
      </x:c>
      <x:c r="I570" s="8" t="n">
        <x:v>46.45249081892011</x:v>
      </x:c>
      <x:c r="J570" s="8" t="n">
        <x:v>0</x:v>
      </x:c>
      <x:c r="K570" s="8" t="n">
        <x:v>78</x:v>
      </x:c>
      <x:c r="L570" s="8" t="n">
        <x:v>256.8391179897363</x:v>
      </x:c>
      <x:c r="M570" s="8" t="n">
        <x:v>0</x:v>
      </x:c>
      <x:c r="N570" s="8" t="n">
        <x:v>0</x:v>
      </x:c>
      <x:c r="O570" s="8" t="n">
        <x:v>388.9411046098565</x:v>
      </x:c>
      <x:c r="P570" s="8" t="n">
        <x:v>0</x:v>
      </x:c>
      <x:c r="Q570" s="8" t="n">
        <x:v>0.5059057213634421</x:v>
      </x:c>
      <x:c r="R570" s="8" t="n">
        <x:v>0</x:v>
      </x:c>
      <x:c r="S570" s="8" t="n">
        <x:f>L570-I570^2/H570</x:f>
        <x:v>136.95945669629975</x:v>
      </x:c>
      <x:c r="T570" s="8" t="n">
        <x:f>M570-J570^2/H570</x:f>
        <x:v>0</x:v>
      </x:c>
      <x:c r="U570" s="8" t="n">
        <x:f>N570-I570*J570/H570</x:f>
        <x:v>0</x:v>
      </x:c>
      <x:c r="V570" s="8" t="n">
        <x:f>O570-I570*K570/H570</x:f>
        <x:v>187.64697772786934</x:v>
      </x:c>
      <x:c r="W570" s="8" t="n">
        <x:f>P570-J570*K570/H570</x:f>
        <x:v>0</x:v>
      </x:c>
      <x:c r="X570" s="8" t="n">
        <x:f>V570/S570</x:f>
        <x:v>1.3700914289107209</x:v>
      </x:c>
      <x:c r="Y570" s="8" t="n">
        <x:f>0</x:f>
        <x:v>0</x:v>
      </x:c>
      <x:c r="Z570" s="8" t="n">
        <x:f>K570/H570-X570*I570/H570-Y570*J570/H570</x:f>
        <x:v>0.7975466931913107</x:v>
      </x:c>
      <x:c r="AA570" s="8" t="n">
        <x:f>Z570+X570*Q570+Y570*R570</x:f>
        <x:v>1.4906837858682582</x:v>
      </x:c>
    </x:row>
    <x:row r="571" ht="26" customHeight="1">
      <x:c r="A571" s="2"/>
      <x:c r="B571" s="2" t="n">
        <x:v>566</x:v>
      </x:c>
      <x:c r="C571" s="2" t="str">
        <x:v>Fabric &amp; Home Care / price_contribution</x:v>
      </x:c>
      <x:c r="D571" s="2" t="str">
        <x:v>Broad lag 1</x:v>
      </x:c>
      <x:c r="E571" s="7" t="n">
        <x:v>45930</x:v>
      </x:c>
      <x:c r="F571" s="2" t="str">
        <x:v>Prior report</x:v>
      </x:c>
      <x:c r="G571" s="7" t="n">
        <x:v>45867</x:v>
      </x:c>
      <x:c r="H571" s="2" t="n">
        <x:v>17</x:v>
      </x:c>
      <x:c r="I571" s="8" t="n">
        <x:v>45.946708318435746</x:v>
      </x:c>
      <x:c r="J571" s="8" t="n">
        <x:v>0</x:v>
      </x:c>
      <x:c r="K571" s="8" t="n">
        <x:v>76</x:v>
      </x:c>
      <x:c r="L571" s="8" t="n">
        <x:v>256.58330205194005</x:v>
      </x:c>
      <x:c r="M571" s="8" t="n">
        <x:v>0</x:v>
      </x:c>
      <x:c r="N571" s="8" t="n">
        <x:v>0</x:v>
      </x:c>
      <x:c r="O571" s="8" t="n">
        <x:v>335.8476552990403</x:v>
      </x:c>
      <x:c r="P571" s="8" t="n">
        <x:v>0</x:v>
      </x:c>
      <x:c r="Q571" s="8" t="n">
        <x:v>0.5057825004843641</x:v>
      </x:c>
      <x:c r="R571" s="8" t="n">
        <x:v>0</x:v>
      </x:c>
      <x:c r="S571" s="8" t="n">
        <x:f>L571-I571^2/H571</x:f>
        <x:v>132.40094879903342</x:v>
      </x:c>
      <x:c r="T571" s="8" t="n">
        <x:f>M571-J571^2/H571</x:f>
        <x:v>0</x:v>
      </x:c>
      <x:c r="U571" s="8" t="n">
        <x:f>N571-I571*J571/H571</x:f>
        <x:v>0</x:v>
      </x:c>
      <x:c r="V571" s="8" t="n">
        <x:f>O571-I571*K571/H571</x:f>
        <x:v>130.43884164015108</x:v>
      </x:c>
      <x:c r="W571" s="8" t="n">
        <x:f>P571-J571*K571/H571</x:f>
        <x:v>0</x:v>
      </x:c>
      <x:c r="X571" s="8" t="n">
        <x:f>V571/S571</x:f>
        <x:v>0.9851805657234334</x:v>
      </x:c>
      <x:c r="Y571" s="8" t="n">
        <x:f>0</x:f>
        <x:v>0</x:v>
      </x:c>
      <x:c r="Z571" s="8" t="n">
        <x:f>K571/H571-X571*I571/H571-Y571*J571/H571</x:f>
        <x:v>1.8078938768066997</x:v>
      </x:c>
      <x:c r="AA571" s="8" t="n">
        <x:f>Z571+X571*Q571+Y571*R571</x:f>
        <x:v>2.306180966766898</x:v>
      </x:c>
    </x:row>
    <x:row r="572" ht="26" customHeight="1">
      <x:c r="A572" s="2"/>
      <x:c r="B572" s="2" t="n">
        <x:v>567</x:v>
      </x:c>
      <x:c r="C572" s="2" t="str">
        <x:v>Fabric &amp; Home Care / price_contribution</x:v>
      </x:c>
      <x:c r="D572" s="2" t="str">
        <x:v>Broad rolling 8</x:v>
      </x:c>
      <x:c r="E572" s="7" t="n">
        <x:v>45930</x:v>
      </x:c>
      <x:c r="F572" s="2" t="str">
        <x:v>Prior report</x:v>
      </x:c>
      <x:c r="G572" s="7" t="n">
        <x:v>45867</x:v>
      </x:c>
      <x:c r="H572" s="2" t="n">
        <x:v>8</x:v>
      </x:c>
      <x:c r="I572" s="8" t="n">
        <x:v>16.45347214762054</x:v>
      </x:c>
      <x:c r="J572" s="8" t="n">
        <x:v>0</x:v>
      </x:c>
      <x:c r="K572" s="8" t="n">
        <x:v>14</x:v>
      </x:c>
      <x:c r="L572" s="8" t="n">
        <x:v>64.45409534916791</x:v>
      </x:c>
      <x:c r="M572" s="8" t="n">
        <x:v>0</x:v>
      </x:c>
      <x:c r="N572" s="8" t="n">
        <x:v>0</x:v>
      </x:c>
      <x:c r="O572" s="8" t="n">
        <x:v>66.9222545684276</x:v>
      </x:c>
      <x:c r="P572" s="8" t="n">
        <x:v>0</x:v>
      </x:c>
      <x:c r="Q572" s="8" t="n">
        <x:v>0.5059057213634421</x:v>
      </x:c>
      <x:c r="R572" s="8" t="n">
        <x:v>0</x:v>
      </x:c>
      <x:c r="S572" s="8" t="n">
        <x:f>L572-I572^2/H572</x:f>
        <x:v>30.6145021351023</x:v>
      </x:c>
      <x:c r="T572" s="8" t="n">
        <x:f>M572-J572^2/H572</x:f>
        <x:v>0</x:v>
      </x:c>
      <x:c r="U572" s="8" t="n">
        <x:f>N572-I572*J572/H572</x:f>
        <x:v>0</x:v>
      </x:c>
      <x:c r="V572" s="8" t="n">
        <x:f>O572-I572*K572/H572</x:f>
        <x:v>38.12867831009166</x:v>
      </x:c>
      <x:c r="W572" s="8" t="n">
        <x:f>P572-J572*K572/H572</x:f>
        <x:v>0</x:v>
      </x:c>
      <x:c r="X572" s="8" t="n">
        <x:f>V572/S572</x:f>
        <x:v>1.2454449901497393</x:v>
      </x:c>
      <x:c r="Y572" s="8" t="n">
        <x:f>0</x:f>
        <x:v>0</x:v>
      </x:c>
      <x:c r="Z572" s="8" t="n">
        <x:f>K572/H572-X572*I572/H572-Y572*J572/H572</x:f>
        <x:v>-0.8114868071027845</x:v>
      </x:c>
      <x:c r="AA572" s="8" t="n">
        <x:f>Z572+X572*Q572+Y572*R572</x:f>
        <x:v>-0.18140906094259557</x:v>
      </x:c>
    </x:row>
    <x:row r="573" ht="26" customHeight="1">
      <x:c r="A573" s="2"/>
      <x:c r="B573" s="2" t="n">
        <x:v>568</x:v>
      </x:c>
      <x:c r="C573" s="2" t="str">
        <x:v>Fabric &amp; Home Care / price_contribution</x:v>
      </x:c>
      <x:c r="D573" s="2" t="str">
        <x:v>Own history</x:v>
      </x:c>
      <x:c r="E573" s="7" t="n">
        <x:v>45930</x:v>
      </x:c>
      <x:c r="F573" s="2" t="str">
        <x:v>Prior report</x:v>
      </x:c>
      <x:c r="G573" s="7" t="n">
        <x:v>45867</x:v>
      </x:c>
      <x:c r="H573" s="2" t="n">
        <x:v>17</x:v>
      </x:c>
      <x:c r="I573" s="8" t="n">
        <x:v>77</x:v>
      </x:c>
      <x:c r="J573" s="8" t="n">
        <x:v>0</x:v>
      </x:c>
      <x:c r="K573" s="8" t="n">
        <x:v>76</x:v>
      </x:c>
      <x:c r="L573" s="8" t="n">
        <x:v>717</x:v>
      </x:c>
      <x:c r="M573" s="8" t="n">
        <x:v>0</x:v>
      </x:c>
      <x:c r="N573" s="8" t="n">
        <x:v>0</x:v>
      </x:c>
      <x:c r="O573" s="8" t="n">
        <x:v>650</x:v>
      </x:c>
      <x:c r="P573" s="8" t="n">
        <x:v>0</x:v>
      </x:c>
      <x:c r="Q573" s="8" t="n">
        <x:v>1</x:v>
      </x:c>
      <x:c r="R573" s="8" t="n">
        <x:v>0</x:v>
      </x:c>
      <x:c r="S573" s="8" t="n">
        <x:f>L573-I573^2/H573</x:f>
        <x:v>368.2352941176471</x:v>
      </x:c>
      <x:c r="T573" s="8" t="n">
        <x:f>M573-J573^2/H573</x:f>
        <x:v>0</x:v>
      </x:c>
      <x:c r="U573" s="8" t="n">
        <x:f>N573-I573*J573/H573</x:f>
        <x:v>0</x:v>
      </x:c>
      <x:c r="V573" s="8" t="n">
        <x:f>O573-I573*K573/H573</x:f>
        <x:v>305.7647058823529</x:v>
      </x:c>
      <x:c r="W573" s="8" t="n">
        <x:f>P573-J573*K573/H573</x:f>
        <x:v>0</x:v>
      </x:c>
      <x:c r="X573" s="8" t="n">
        <x:f>V573/S573</x:f>
        <x:v>0.8303514376996805</x:v>
      </x:c>
      <x:c r="Y573" s="8" t="n">
        <x:f>0</x:f>
        <x:v>0</x:v>
      </x:c>
      <x:c r="Z573" s="8" t="n">
        <x:f>K573/H573-X573*I573/H573-Y573*J573/H573</x:f>
        <x:v>0.7095846645367416</x:v>
      </x:c>
      <x:c r="AA573" s="8" t="n">
        <x:f>Z573+X573*Q573+Y573*R573</x:f>
        <x:v>1.539936102236422</x:v>
      </x:c>
    </x:row>
    <x:row r="574" ht="26" customHeight="1">
      <x:c r="A574" s="2"/>
      <x:c r="B574" s="2" t="n">
        <x:v>569</x:v>
      </x:c>
      <x:c r="C574" s="2" t="str">
        <x:v>Fabric &amp; Home Care / price_contribution</x:v>
      </x:c>
      <x:c r="D574" s="2" t="str">
        <x:v>Broad market</x:v>
      </x:c>
      <x:c r="E574" s="7" t="n">
        <x:v>45930</x:v>
      </x:c>
      <x:c r="F574" s="2" t="str">
        <x:v>Pre-earnings</x:v>
      </x:c>
      <x:c r="G574" s="7" t="n">
        <x:v>45953</x:v>
      </x:c>
      <x:c r="H574" s="2" t="n">
        <x:v>18</x:v>
      </x:c>
      <x:c r="I574" s="8" t="n">
        <x:v>46.45249081892011</x:v>
      </x:c>
      <x:c r="J574" s="8" t="n">
        <x:v>0</x:v>
      </x:c>
      <x:c r="K574" s="8" t="n">
        <x:v>78</x:v>
      </x:c>
      <x:c r="L574" s="8" t="n">
        <x:v>256.8391179897363</x:v>
      </x:c>
      <x:c r="M574" s="8" t="n">
        <x:v>0</x:v>
      </x:c>
      <x:c r="N574" s="8" t="n">
        <x:v>0</x:v>
      </x:c>
      <x:c r="O574" s="8" t="n">
        <x:v>388.9411046098565</x:v>
      </x:c>
      <x:c r="P574" s="8" t="n">
        <x:v>0</x:v>
      </x:c>
      <x:c r="Q574" s="8" t="n">
        <x:v>0.7549675714320525</x:v>
      </x:c>
      <x:c r="R574" s="8" t="n">
        <x:v>0</x:v>
      </x:c>
      <x:c r="S574" s="8" t="n">
        <x:f>L574-I574^2/H574</x:f>
        <x:v>136.95945669629975</x:v>
      </x:c>
      <x:c r="T574" s="8" t="n">
        <x:f>M574-J574^2/H574</x:f>
        <x:v>0</x:v>
      </x:c>
      <x:c r="U574" s="8" t="n">
        <x:f>N574-I574*J574/H574</x:f>
        <x:v>0</x:v>
      </x:c>
      <x:c r="V574" s="8" t="n">
        <x:f>O574-I574*K574/H574</x:f>
        <x:v>187.64697772786934</x:v>
      </x:c>
      <x:c r="W574" s="8" t="n">
        <x:f>P574-J574*K574/H574</x:f>
        <x:v>0</x:v>
      </x:c>
      <x:c r="X574" s="8" t="n">
        <x:f>V574/S574</x:f>
        <x:v>1.3700914289107209</x:v>
      </x:c>
      <x:c r="Y574" s="8" t="n">
        <x:f>0</x:f>
        <x:v>0</x:v>
      </x:c>
      <x:c r="Z574" s="8" t="n">
        <x:f>K574/H574-X574*I574/H574-Y574*J574/H574</x:f>
        <x:v>0.7975466931913107</x:v>
      </x:c>
      <x:c r="AA574" s="8" t="n">
        <x:f>Z574+X574*Q574+Y574*R574</x:f>
        <x:v>1.8319212919159082</x:v>
      </x:c>
    </x:row>
    <x:row r="575" ht="26" customHeight="1">
      <x:c r="A575" s="2"/>
      <x:c r="B575" s="2" t="n">
        <x:v>570</x:v>
      </x:c>
      <x:c r="C575" s="2" t="str">
        <x:v>Fabric &amp; Home Care / price_contribution</x:v>
      </x:c>
      <x:c r="D575" s="2" t="str">
        <x:v>Broad lag 1</x:v>
      </x:c>
      <x:c r="E575" s="7" t="n">
        <x:v>45930</x:v>
      </x:c>
      <x:c r="F575" s="2" t="str">
        <x:v>Pre-earnings</x:v>
      </x:c>
      <x:c r="G575" s="7" t="n">
        <x:v>45953</x:v>
      </x:c>
      <x:c r="H575" s="2" t="n">
        <x:v>17</x:v>
      </x:c>
      <x:c r="I575" s="8" t="n">
        <x:v>45.946708318435746</x:v>
      </x:c>
      <x:c r="J575" s="8" t="n">
        <x:v>0</x:v>
      </x:c>
      <x:c r="K575" s="8" t="n">
        <x:v>76</x:v>
      </x:c>
      <x:c r="L575" s="8" t="n">
        <x:v>256.58330205194005</x:v>
      </x:c>
      <x:c r="M575" s="8" t="n">
        <x:v>0</x:v>
      </x:c>
      <x:c r="N575" s="8" t="n">
        <x:v>0</x:v>
      </x:c>
      <x:c r="O575" s="8" t="n">
        <x:v>335.8476552990403</x:v>
      </x:c>
      <x:c r="P575" s="8" t="n">
        <x:v>0</x:v>
      </x:c>
      <x:c r="Q575" s="8" t="n">
        <x:v>0.5057825004843641</x:v>
      </x:c>
      <x:c r="R575" s="8" t="n">
        <x:v>0</x:v>
      </x:c>
      <x:c r="S575" s="8" t="n">
        <x:f>L575-I575^2/H575</x:f>
        <x:v>132.40094879903342</x:v>
      </x:c>
      <x:c r="T575" s="8" t="n">
        <x:f>M575-J575^2/H575</x:f>
        <x:v>0</x:v>
      </x:c>
      <x:c r="U575" s="8" t="n">
        <x:f>N575-I575*J575/H575</x:f>
        <x:v>0</x:v>
      </x:c>
      <x:c r="V575" s="8" t="n">
        <x:f>O575-I575*K575/H575</x:f>
        <x:v>130.43884164015108</x:v>
      </x:c>
      <x:c r="W575" s="8" t="n">
        <x:f>P575-J575*K575/H575</x:f>
        <x:v>0</x:v>
      </x:c>
      <x:c r="X575" s="8" t="n">
        <x:f>V575/S575</x:f>
        <x:v>0.9851805657234334</x:v>
      </x:c>
      <x:c r="Y575" s="8" t="n">
        <x:f>0</x:f>
        <x:v>0</x:v>
      </x:c>
      <x:c r="Z575" s="8" t="n">
        <x:f>K575/H575-X575*I575/H575-Y575*J575/H575</x:f>
        <x:v>1.8078938768066997</x:v>
      </x:c>
      <x:c r="AA575" s="8" t="n">
        <x:f>Z575+X575*Q575+Y575*R575</x:f>
        <x:v>2.306180966766898</x:v>
      </x:c>
    </x:row>
    <x:row r="576" ht="26" customHeight="1">
      <x:c r="A576" s="2"/>
      <x:c r="B576" s="2" t="n">
        <x:v>571</x:v>
      </x:c>
      <x:c r="C576" s="2" t="str">
        <x:v>Fabric &amp; Home Care / price_contribution</x:v>
      </x:c>
      <x:c r="D576" s="2" t="str">
        <x:v>Broad rolling 8</x:v>
      </x:c>
      <x:c r="E576" s="7" t="n">
        <x:v>45930</x:v>
      </x:c>
      <x:c r="F576" s="2" t="str">
        <x:v>Pre-earnings</x:v>
      </x:c>
      <x:c r="G576" s="7" t="n">
        <x:v>45953</x:v>
      </x:c>
      <x:c r="H576" s="2" t="n">
        <x:v>8</x:v>
      </x:c>
      <x:c r="I576" s="8" t="n">
        <x:v>16.45347214762054</x:v>
      </x:c>
      <x:c r="J576" s="8" t="n">
        <x:v>0</x:v>
      </x:c>
      <x:c r="K576" s="8" t="n">
        <x:v>14</x:v>
      </x:c>
      <x:c r="L576" s="8" t="n">
        <x:v>64.45409534916791</x:v>
      </x:c>
      <x:c r="M576" s="8" t="n">
        <x:v>0</x:v>
      </x:c>
      <x:c r="N576" s="8" t="n">
        <x:v>0</x:v>
      </x:c>
      <x:c r="O576" s="8" t="n">
        <x:v>66.9222545684276</x:v>
      </x:c>
      <x:c r="P576" s="8" t="n">
        <x:v>0</x:v>
      </x:c>
      <x:c r="Q576" s="8" t="n">
        <x:v>0.7549675714320525</x:v>
      </x:c>
      <x:c r="R576" s="8" t="n">
        <x:v>0</x:v>
      </x:c>
      <x:c r="S576" s="8" t="n">
        <x:f>L576-I576^2/H576</x:f>
        <x:v>30.6145021351023</x:v>
      </x:c>
      <x:c r="T576" s="8" t="n">
        <x:f>M576-J576^2/H576</x:f>
        <x:v>0</x:v>
      </x:c>
      <x:c r="U576" s="8" t="n">
        <x:f>N576-I576*J576/H576</x:f>
        <x:v>0</x:v>
      </x:c>
      <x:c r="V576" s="8" t="n">
        <x:f>O576-I576*K576/H576</x:f>
        <x:v>38.12867831009166</x:v>
      </x:c>
      <x:c r="W576" s="8" t="n">
        <x:f>P576-J576*K576/H576</x:f>
        <x:v>0</x:v>
      </x:c>
      <x:c r="X576" s="8" t="n">
        <x:f>V576/S576</x:f>
        <x:v>1.2454449901497393</x:v>
      </x:c>
      <x:c r="Y576" s="8" t="n">
        <x:f>0</x:f>
        <x:v>0</x:v>
      </x:c>
      <x:c r="Z576" s="8" t="n">
        <x:f>K576/H576-X576*I576/H576-Y576*J576/H576</x:f>
        <x:v>-0.8114868071027845</x:v>
      </x:c>
      <x:c r="AA576" s="8" t="n">
        <x:f>Z576+X576*Q576+Y576*R576</x:f>
        <x:v>0.12878377246278072</x:v>
      </x:c>
    </x:row>
    <x:row r="577" ht="26" customHeight="1">
      <x:c r="A577" s="2"/>
      <x:c r="B577" s="2" t="n">
        <x:v>572</x:v>
      </x:c>
      <x:c r="C577" s="2" t="str">
        <x:v>Fabric &amp; Home Care / price_contribution</x:v>
      </x:c>
      <x:c r="D577" s="2" t="str">
        <x:v>Own history</x:v>
      </x:c>
      <x:c r="E577" s="7" t="n">
        <x:v>45930</x:v>
      </x:c>
      <x:c r="F577" s="2" t="str">
        <x:v>Pre-earnings</x:v>
      </x:c>
      <x:c r="G577" s="7" t="n">
        <x:v>45953</x:v>
      </x:c>
      <x:c r="H577" s="2" t="n">
        <x:v>17</x:v>
      </x:c>
      <x:c r="I577" s="8" t="n">
        <x:v>77</x:v>
      </x:c>
      <x:c r="J577" s="8" t="n">
        <x:v>0</x:v>
      </x:c>
      <x:c r="K577" s="8" t="n">
        <x:v>76</x:v>
      </x:c>
      <x:c r="L577" s="8" t="n">
        <x:v>717</x:v>
      </x:c>
      <x:c r="M577" s="8" t="n">
        <x:v>0</x:v>
      </x:c>
      <x:c r="N577" s="8" t="n">
        <x:v>0</x:v>
      </x:c>
      <x:c r="O577" s="8" t="n">
        <x:v>650</x:v>
      </x:c>
      <x:c r="P577" s="8" t="n">
        <x:v>0</x:v>
      </x:c>
      <x:c r="Q577" s="8" t="n">
        <x:v>1</x:v>
      </x:c>
      <x:c r="R577" s="8" t="n">
        <x:v>0</x:v>
      </x:c>
      <x:c r="S577" s="8" t="n">
        <x:f>L577-I577^2/H577</x:f>
        <x:v>368.2352941176471</x:v>
      </x:c>
      <x:c r="T577" s="8" t="n">
        <x:f>M577-J577^2/H577</x:f>
        <x:v>0</x:v>
      </x:c>
      <x:c r="U577" s="8" t="n">
        <x:f>N577-I577*J577/H577</x:f>
        <x:v>0</x:v>
      </x:c>
      <x:c r="V577" s="8" t="n">
        <x:f>O577-I577*K577/H577</x:f>
        <x:v>305.7647058823529</x:v>
      </x:c>
      <x:c r="W577" s="8" t="n">
        <x:f>P577-J577*K577/H577</x:f>
        <x:v>0</x:v>
      </x:c>
      <x:c r="X577" s="8" t="n">
        <x:f>V577/S577</x:f>
        <x:v>0.8303514376996805</x:v>
      </x:c>
      <x:c r="Y577" s="8" t="n">
        <x:f>0</x:f>
        <x:v>0</x:v>
      </x:c>
      <x:c r="Z577" s="8" t="n">
        <x:f>K577/H577-X577*I577/H577-Y577*J577/H577</x:f>
        <x:v>0.7095846645367416</x:v>
      </x:c>
      <x:c r="AA577" s="8" t="n">
        <x:f>Z577+X577*Q577+Y577*R577</x:f>
        <x:v>1.539936102236422</x:v>
      </x:c>
    </x:row>
    <x:row r="578" ht="26" customHeight="1">
      <x:c r="A578" s="2"/>
      <x:c r="B578" s="2" t="n">
        <x:v>573</x:v>
      </x:c>
      <x:c r="C578" s="2" t="str">
        <x:v>Fabric &amp; Home Care / price_contribution</x:v>
      </x:c>
      <x:c r="D578" s="2" t="str">
        <x:v>Broad market</x:v>
      </x:c>
      <x:c r="E578" s="7" t="n">
        <x:v>46022</x:v>
      </x:c>
      <x:c r="F578" s="2" t="str">
        <x:v>Origin</x:v>
      </x:c>
      <x:c r="G578" s="7" t="n">
        <x:v>45931</x:v>
      </x:c>
      <x:c r="H578" s="2" t="n">
        <x:v>18</x:v>
      </x:c>
      <x:c r="I578" s="8" t="n">
        <x:v>46.45249081892011</x:v>
      </x:c>
      <x:c r="J578" s="8" t="n">
        <x:v>0</x:v>
      </x:c>
      <x:c r="K578" s="8" t="n">
        <x:v>78</x:v>
      </x:c>
      <x:c r="L578" s="8" t="n">
        <x:v>256.8391179897363</x:v>
      </x:c>
      <x:c r="M578" s="8" t="n">
        <x:v>0</x:v>
      </x:c>
      <x:c r="N578" s="8" t="n">
        <x:v>0</x:v>
      </x:c>
      <x:c r="O578" s="8" t="n">
        <x:v>388.9411046098565</x:v>
      </x:c>
      <x:c r="P578" s="8" t="n">
        <x:v>0</x:v>
      </x:c>
      <x:c r="Q578" s="8" t="n">
        <x:v>0.7271943192673103</x:v>
      </x:c>
      <x:c r="R578" s="8" t="n">
        <x:v>0</x:v>
      </x:c>
      <x:c r="S578" s="8" t="n">
        <x:f>L578-I578^2/H578</x:f>
        <x:v>136.95945669629975</x:v>
      </x:c>
      <x:c r="T578" s="8" t="n">
        <x:f>M578-J578^2/H578</x:f>
        <x:v>0</x:v>
      </x:c>
      <x:c r="U578" s="8" t="n">
        <x:f>N578-I578*J578/H578</x:f>
        <x:v>0</x:v>
      </x:c>
      <x:c r="V578" s="8" t="n">
        <x:f>O578-I578*K578/H578</x:f>
        <x:v>187.64697772786934</x:v>
      </x:c>
      <x:c r="W578" s="8" t="n">
        <x:f>P578-J578*K578/H578</x:f>
        <x:v>0</x:v>
      </x:c>
      <x:c r="X578" s="8" t="n">
        <x:f>V578/S578</x:f>
        <x:v>1.3700914289107209</x:v>
      </x:c>
      <x:c r="Y578" s="8" t="n">
        <x:f>0</x:f>
        <x:v>0</x:v>
      </x:c>
      <x:c r="Z578" s="8" t="n">
        <x:f>K578/H578-X578*I578/H578-Y578*J578/H578</x:f>
        <x:v>0.7975466931913107</x:v>
      </x:c>
      <x:c r="AA578" s="8" t="n">
        <x:f>Z578+X578*Q578+Y578*R578</x:f>
        <x:v>1.7938693971720188</x:v>
      </x:c>
    </x:row>
    <x:row r="579" ht="26" customHeight="1">
      <x:c r="A579" s="2"/>
      <x:c r="B579" s="2" t="n">
        <x:v>574</x:v>
      </x:c>
      <x:c r="C579" s="2" t="str">
        <x:v>Fabric &amp; Home Care / price_contribution</x:v>
      </x:c>
      <x:c r="D579" s="2" t="str">
        <x:v>Broad rolling 8</x:v>
      </x:c>
      <x:c r="E579" s="7" t="n">
        <x:v>46022</x:v>
      </x:c>
      <x:c r="F579" s="2" t="str">
        <x:v>Origin</x:v>
      </x:c>
      <x:c r="G579" s="7" t="n">
        <x:v>45931</x:v>
      </x:c>
      <x:c r="H579" s="2" t="n">
        <x:v>8</x:v>
      </x:c>
      <x:c r="I579" s="8" t="n">
        <x:v>16.45347214762054</x:v>
      </x:c>
      <x:c r="J579" s="8" t="n">
        <x:v>0</x:v>
      </x:c>
      <x:c r="K579" s="8" t="n">
        <x:v>14</x:v>
      </x:c>
      <x:c r="L579" s="8" t="n">
        <x:v>64.45409534916791</x:v>
      </x:c>
      <x:c r="M579" s="8" t="n">
        <x:v>0</x:v>
      </x:c>
      <x:c r="N579" s="8" t="n">
        <x:v>0</x:v>
      </x:c>
      <x:c r="O579" s="8" t="n">
        <x:v>66.9222545684276</x:v>
      </x:c>
      <x:c r="P579" s="8" t="n">
        <x:v>0</x:v>
      </x:c>
      <x:c r="Q579" s="8" t="n">
        <x:v>0.7271943192673103</x:v>
      </x:c>
      <x:c r="R579" s="8" t="n">
        <x:v>0</x:v>
      </x:c>
      <x:c r="S579" s="8" t="n">
        <x:f>L579-I579^2/H579</x:f>
        <x:v>30.6145021351023</x:v>
      </x:c>
      <x:c r="T579" s="8" t="n">
        <x:f>M579-J579^2/H579</x:f>
        <x:v>0</x:v>
      </x:c>
      <x:c r="U579" s="8" t="n">
        <x:f>N579-I579*J579/H579</x:f>
        <x:v>0</x:v>
      </x:c>
      <x:c r="V579" s="8" t="n">
        <x:f>O579-I579*K579/H579</x:f>
        <x:v>38.12867831009166</x:v>
      </x:c>
      <x:c r="W579" s="8" t="n">
        <x:f>P579-J579*K579/H579</x:f>
        <x:v>0</x:v>
      </x:c>
      <x:c r="X579" s="8" t="n">
        <x:f>V579/S579</x:f>
        <x:v>1.2454449901497393</x:v>
      </x:c>
      <x:c r="Y579" s="8" t="n">
        <x:f>0</x:f>
        <x:v>0</x:v>
      </x:c>
      <x:c r="Z579" s="8" t="n">
        <x:f>K579/H579-X579*I579/H579-Y579*J579/H579</x:f>
        <x:v>-0.8114868071027845</x:v>
      </x:c>
      <x:c r="AA579" s="8" t="n">
        <x:f>Z579+X579*Q579+Y579*R579</x:f>
        <x:v>0.09419371469403703</x:v>
      </x:c>
    </x:row>
    <x:row r="580" ht="26" customHeight="1">
      <x:c r="A580" s="2"/>
      <x:c r="B580" s="2" t="n">
        <x:v>575</x:v>
      </x:c>
      <x:c r="C580" s="2" t="str">
        <x:v>Fabric &amp; Home Care / price_contribution</x:v>
      </x:c>
      <x:c r="D580" s="2" t="str">
        <x:v>Own history</x:v>
      </x:c>
      <x:c r="E580" s="7" t="n">
        <x:v>46022</x:v>
      </x:c>
      <x:c r="F580" s="2" t="str">
        <x:v>Origin</x:v>
      </x:c>
      <x:c r="G580" s="7" t="n">
        <x:v>45931</x:v>
      </x:c>
      <x:c r="H580" s="2" t="n">
        <x:v>16</x:v>
      </x:c>
      <x:c r="I580" s="8" t="n">
        <x:v>77</x:v>
      </x:c>
      <x:c r="J580" s="8" t="n">
        <x:v>0</x:v>
      </x:c>
      <x:c r="K580" s="8" t="n">
        <x:v>76</x:v>
      </x:c>
      <x:c r="L580" s="8" t="n">
        <x:v>717</x:v>
      </x:c>
      <x:c r="M580" s="8" t="n">
        <x:v>0</x:v>
      </x:c>
      <x:c r="N580" s="8" t="n">
        <x:v>0</x:v>
      </x:c>
      <x:c r="O580" s="8" t="n">
        <x:v>580</x:v>
      </x:c>
      <x:c r="P580" s="8" t="n">
        <x:v>0</x:v>
      </x:c>
      <x:c r="Q580" s="8" t="n">
        <x:v>1</x:v>
      </x:c>
      <x:c r="R580" s="8" t="n">
        <x:v>0</x:v>
      </x:c>
      <x:c r="S580" s="8" t="n">
        <x:f>L580-I580^2/H580</x:f>
        <x:v>346.4375</x:v>
      </x:c>
      <x:c r="T580" s="8" t="n">
        <x:f>M580-J580^2/H580</x:f>
        <x:v>0</x:v>
      </x:c>
      <x:c r="U580" s="8" t="n">
        <x:f>N580-I580*J580/H580</x:f>
        <x:v>0</x:v>
      </x:c>
      <x:c r="V580" s="8" t="n">
        <x:f>O580-I580*K580/H580</x:f>
        <x:v>214.25</x:v>
      </x:c>
      <x:c r="W580" s="8" t="n">
        <x:f>P580-J580*K580/H580</x:f>
        <x:v>0</x:v>
      </x:c>
      <x:c r="X580" s="8" t="n">
        <x:f>V580/S580</x:f>
        <x:v>0.6184376691322389</x:v>
      </x:c>
      <x:c r="Y580" s="8" t="n">
        <x:f>0</x:f>
        <x:v>0</x:v>
      </x:c>
      <x:c r="Z580" s="8" t="n">
        <x:f>K580/H580-X580*I580/H580-Y580*J580/H580</x:f>
        <x:v>1.7737687173011003</x:v>
      </x:c>
      <x:c r="AA580" s="8" t="n">
        <x:f>Z580+X580*Q580+Y580*R580</x:f>
        <x:v>2.3922063864333394</x:v>
      </x:c>
    </x:row>
    <x:row r="581" ht="26" customHeight="1">
      <x:c r="A581" s="2"/>
      <x:c r="B581" s="2" t="n">
        <x:v>576</x:v>
      </x:c>
      <x:c r="C581" s="2" t="str">
        <x:v>Fabric &amp; Home Care / price_contribution</x:v>
      </x:c>
      <x:c r="D581" s="2" t="str">
        <x:v>Broad market</x:v>
      </x:c>
      <x:c r="E581" s="7" t="n">
        <x:v>46022</x:v>
      </x:c>
      <x:c r="F581" s="2" t="str">
        <x:v>Prior report</x:v>
      </x:c>
      <x:c r="G581" s="7" t="n">
        <x:v>45954</x:v>
      </x:c>
      <x:c r="H581" s="2" t="n">
        <x:v>19</x:v>
      </x:c>
      <x:c r="I581" s="8" t="n">
        <x:v>47.46071724596763</x:v>
      </x:c>
      <x:c r="J581" s="8" t="n">
        <x:v>0</x:v>
      </x:c>
      <x:c r="K581" s="8" t="n">
        <x:v>79</x:v>
      </x:c>
      <x:c r="L581" s="8" t="n">
        <x:v>257.85563851793324</x:v>
      </x:c>
      <x:c r="M581" s="8" t="n">
        <x:v>0</x:v>
      </x:c>
      <x:c r="N581" s="8" t="n">
        <x:v>0</x:v>
      </x:c>
      <x:c r="O581" s="8" t="n">
        <x:v>389.949331036904</x:v>
      </x:c>
      <x:c r="P581" s="8" t="n">
        <x:v>0</x:v>
      </x:c>
      <x:c r="Q581" s="8" t="n">
        <x:v>1.0083244241182232</x:v>
      </x:c>
      <x:c r="R581" s="8" t="n">
        <x:v>0</x:v>
      </x:c>
      <x:c r="S581" s="8" t="n">
        <x:f>L581-I581^2/H581</x:f>
        <x:v>139.30197107047593</x:v>
      </x:c>
      <x:c r="T581" s="8" t="n">
        <x:f>M581-J581^2/H581</x:f>
        <x:v>0</x:v>
      </x:c>
      <x:c r="U581" s="8" t="n">
        <x:f>N581-I581*J581/H581</x:f>
        <x:v>0</x:v>
      </x:c>
      <x:c r="V581" s="8" t="n">
        <x:f>O581-I581*K581/H581</x:f>
        <x:v>192.6126645931439</x:v>
      </x:c>
      <x:c r="W581" s="8" t="n">
        <x:f>P581-J581*K581/H581</x:f>
        <x:v>0</x:v>
      </x:c>
      <x:c r="X581" s="8" t="n">
        <x:f>V581/S581</x:f>
        <x:v>1.3826987738436014</x:v>
      </x:c>
      <x:c r="Y581" s="8" t="n">
        <x:f>0</x:f>
        <x:v>0</x:v>
      </x:c>
      <x:c r="Z581" s="8" t="n">
        <x:f>K581/H581-X581*I581/H581-Y581*J581/H581</x:f>
        <x:v>0.7040065504348787</x:v>
      </x:c>
      <x:c r="AA581" s="8" t="n">
        <x:f>Z581+X581*Q581+Y581*R581</x:f>
        <x:v>2.0982154952997014</x:v>
      </x:c>
    </x:row>
    <x:row r="582" ht="26" customHeight="1">
      <x:c r="A582" s="2"/>
      <x:c r="B582" s="2" t="n">
        <x:v>577</x:v>
      </x:c>
      <x:c r="C582" s="2" t="str">
        <x:v>Fabric &amp; Home Care / price_contribution</x:v>
      </x:c>
      <x:c r="D582" s="2" t="str">
        <x:v>Broad lag 1</x:v>
      </x:c>
      <x:c r="E582" s="7" t="n">
        <x:v>46022</x:v>
      </x:c>
      <x:c r="F582" s="2" t="str">
        <x:v>Prior report</x:v>
      </x:c>
      <x:c r="G582" s="7" t="n">
        <x:v>45954</x:v>
      </x:c>
      <x:c r="H582" s="2" t="n">
        <x:v>18</x:v>
      </x:c>
      <x:c r="I582" s="8" t="n">
        <x:v>46.45249081892011</x:v>
      </x:c>
      <x:c r="J582" s="8" t="n">
        <x:v>0</x:v>
      </x:c>
      <x:c r="K582" s="8" t="n">
        <x:v>77</x:v>
      </x:c>
      <x:c r="L582" s="8" t="n">
        <x:v>256.8391179897363</x:v>
      </x:c>
      <x:c r="M582" s="8" t="n">
        <x:v>0</x:v>
      </x:c>
      <x:c r="N582" s="8" t="n">
        <x:v>0</x:v>
      </x:c>
      <x:c r="O582" s="8" t="n">
        <x:v>336.35343779952467</x:v>
      </x:c>
      <x:c r="P582" s="8" t="n">
        <x:v>0</x:v>
      </x:c>
      <x:c r="Q582" s="8" t="n">
        <x:v>1.0082264270475205</x:v>
      </x:c>
      <x:c r="R582" s="8" t="n">
        <x:v>0</x:v>
      </x:c>
      <x:c r="S582" s="8" t="n">
        <x:f>L582-I582^2/H582</x:f>
        <x:v>136.95945669629975</x:v>
      </x:c>
      <x:c r="T582" s="8" t="n">
        <x:f>M582-J582^2/H582</x:f>
        <x:v>0</x:v>
      </x:c>
      <x:c r="U582" s="8" t="n">
        <x:f>N582-I582*J582/H582</x:f>
        <x:v>0</x:v>
      </x:c>
      <x:c r="V582" s="8" t="n">
        <x:f>O582-I582*K582/H582</x:f>
        <x:v>137.640004851922</x:v>
      </x:c>
      <x:c r="W582" s="8" t="n">
        <x:f>P582-J582*K582/H582</x:f>
        <x:v>0</x:v>
      </x:c>
      <x:c r="X582" s="8" t="n">
        <x:f>V582/S582</x:f>
        <x:v>1.0049689752868347</x:v>
      </x:c>
      <x:c r="Y582" s="8" t="n">
        <x:f>0</x:f>
        <x:v>0</x:v>
      </x:c>
      <x:c r="Z582" s="8" t="n">
        <x:f>K582/H582-X582*I582/H582-Y582*J582/H582</x:f>
        <x:v>1.6842604390104867</x:v>
      </x:c>
      <x:c r="AA582" s="8" t="n">
        <x:f>Z582+X582*Q582+Y582*R582</x:f>
        <x:v>2.69749671825754</x:v>
      </x:c>
    </x:row>
    <x:row r="583" ht="26" customHeight="1">
      <x:c r="A583" s="2"/>
      <x:c r="B583" s="2" t="n">
        <x:v>578</x:v>
      </x:c>
      <x:c r="C583" s="2" t="str">
        <x:v>Fabric &amp; Home Care / price_contribution</x:v>
      </x:c>
      <x:c r="D583" s="2" t="str">
        <x:v>Broad rolling 8</x:v>
      </x:c>
      <x:c r="E583" s="7" t="n">
        <x:v>46022</x:v>
      </x:c>
      <x:c r="F583" s="2" t="str">
        <x:v>Prior report</x:v>
      </x:c>
      <x:c r="G583" s="7" t="n">
        <x:v>45954</x:v>
      </x:c>
      <x:c r="H583" s="2" t="n">
        <x:v>8</x:v>
      </x:c>
      <x:c r="I583" s="8" t="n">
        <x:v>11.968105858946277</x:v>
      </x:c>
      <x:c r="J583" s="8" t="n">
        <x:v>0</x:v>
      </x:c>
      <x:c r="K583" s="8" t="n">
        <x:v>7</x:v>
      </x:c>
      <x:c r="L583" s="8" t="n">
        <x:v>35.29105495113347</x:v>
      </x:c>
      <x:c r="M583" s="8" t="n">
        <x:v>0</x:v>
      </x:c>
      <x:c r="N583" s="8" t="n">
        <x:v>0</x:v>
      </x:c>
      <x:c r="O583" s="8" t="n">
        <x:v>23.981739269700842</x:v>
      </x:c>
      <x:c r="P583" s="8" t="n">
        <x:v>0</x:v>
      </x:c>
      <x:c r="Q583" s="8" t="n">
        <x:v>1.0083244241182232</x:v>
      </x:c>
      <x:c r="R583" s="8" t="n">
        <x:v>0</x:v>
      </x:c>
      <x:c r="S583" s="8" t="n">
        <x:f>L583-I583^2/H583</x:f>
        <x:v>17.38661021976544</x:v>
      </x:c>
      <x:c r="T583" s="8" t="n">
        <x:f>M583-J583^2/H583</x:f>
        <x:v>0</x:v>
      </x:c>
      <x:c r="U583" s="8" t="n">
        <x:f>N583-I583*J583/H583</x:f>
        <x:v>0</x:v>
      </x:c>
      <x:c r="V583" s="8" t="n">
        <x:f>O583-I583*K583/H583</x:f>
        <x:v>13.50964664312285</x:v>
      </x:c>
      <x:c r="W583" s="8" t="n">
        <x:f>P583-J583*K583/H583</x:f>
        <x:v>0</x:v>
      </x:c>
      <x:c r="X583" s="8" t="n">
        <x:f>V583/S583</x:f>
        <x:v>0.7770144077748299</x:v>
      </x:c>
      <x:c r="Y583" s="8" t="n">
        <x:f>0</x:f>
        <x:v>0</x:v>
      </x:c>
      <x:c r="Z583" s="8" t="n">
        <x:f>K583/H583-X583*I583/H583-Y583*J583/H583</x:f>
        <x:v>-0.28742383577195163</x:v>
      </x:c>
      <x:c r="AA583" s="8" t="n">
        <x:f>Z583+X583*Q583+Y583*R583</x:f>
        <x:v>0.49605876947916594</x:v>
      </x:c>
    </x:row>
    <x:row r="584" ht="26" customHeight="1">
      <x:c r="A584" s="2"/>
      <x:c r="B584" s="2" t="n">
        <x:v>579</x:v>
      </x:c>
      <x:c r="C584" s="2" t="str">
        <x:v>Fabric &amp; Home Care / price_contribution</x:v>
      </x:c>
      <x:c r="D584" s="2" t="str">
        <x:v>Own history</x:v>
      </x:c>
      <x:c r="E584" s="7" t="n">
        <x:v>46022</x:v>
      </x:c>
      <x:c r="F584" s="2" t="str">
        <x:v>Prior report</x:v>
      </x:c>
      <x:c r="G584" s="7" t="n">
        <x:v>45954</x:v>
      </x:c>
      <x:c r="H584" s="2" t="n">
        <x:v>18</x:v>
      </x:c>
      <x:c r="I584" s="8" t="n">
        <x:v>78</x:v>
      </x:c>
      <x:c r="J584" s="8" t="n">
        <x:v>0</x:v>
      </x:c>
      <x:c r="K584" s="8" t="n">
        <x:v>77</x:v>
      </x:c>
      <x:c r="L584" s="8" t="n">
        <x:v>718</x:v>
      </x:c>
      <x:c r="M584" s="8" t="n">
        <x:v>0</x:v>
      </x:c>
      <x:c r="N584" s="8" t="n">
        <x:v>0</x:v>
      </x:c>
      <x:c r="O584" s="8" t="n">
        <x:v>651</x:v>
      </x:c>
      <x:c r="P584" s="8" t="n">
        <x:v>0</x:v>
      </x:c>
      <x:c r="Q584" s="8" t="n">
        <x:v>1</x:v>
      </x:c>
      <x:c r="R584" s="8" t="n">
        <x:v>0</x:v>
      </x:c>
      <x:c r="S584" s="8" t="n">
        <x:f>L584-I584^2/H584</x:f>
        <x:v>380</x:v>
      </x:c>
      <x:c r="T584" s="8" t="n">
        <x:f>M584-J584^2/H584</x:f>
        <x:v>0</x:v>
      </x:c>
      <x:c r="U584" s="8" t="n">
        <x:f>N584-I584*J584/H584</x:f>
        <x:v>0</x:v>
      </x:c>
      <x:c r="V584" s="8" t="n">
        <x:f>O584-I584*K584/H584</x:f>
        <x:v>317.3333333333333</x:v>
      </x:c>
      <x:c r="W584" s="8" t="n">
        <x:f>P584-J584*K584/H584</x:f>
        <x:v>0</x:v>
      </x:c>
      <x:c r="X584" s="8" t="n">
        <x:f>V584/S584</x:f>
        <x:v>0.8350877192982455</x:v>
      </x:c>
      <x:c r="Y584" s="8" t="n">
        <x:f>0</x:f>
        <x:v>0</x:v>
      </x:c>
      <x:c r="Z584" s="8" t="n">
        <x:f>K584/H584-X584*I584/H584-Y584*J584/H584</x:f>
        <x:v>0.65906432748538</x:v>
      </x:c>
      <x:c r="AA584" s="8" t="n">
        <x:f>Z584+X584*Q584+Y584*R584</x:f>
        <x:v>1.4941520467836256</x:v>
      </x:c>
    </x:row>
    <x:row r="585" ht="26" customHeight="1">
      <x:c r="A585" s="2"/>
      <x:c r="B585" s="2" t="n">
        <x:v>580</x:v>
      </x:c>
      <x:c r="C585" s="2" t="str">
        <x:v>Fabric &amp; Home Care / price_contribution</x:v>
      </x:c>
      <x:c r="D585" s="2" t="str">
        <x:v>Broad market</x:v>
      </x:c>
      <x:c r="E585" s="7" t="n">
        <x:v>46022</x:v>
      </x:c>
      <x:c r="F585" s="2" t="str">
        <x:v>Pre-earnings</x:v>
      </x:c>
      <x:c r="G585" s="7" t="n">
        <x:v>46044</x:v>
      </x:c>
      <x:c r="H585" s="2" t="n">
        <x:v>19</x:v>
      </x:c>
      <x:c r="I585" s="8" t="n">
        <x:v>47.46071724596763</x:v>
      </x:c>
      <x:c r="J585" s="8" t="n">
        <x:v>0</x:v>
      </x:c>
      <x:c r="K585" s="8" t="n">
        <x:v>79</x:v>
      </x:c>
      <x:c r="L585" s="8" t="n">
        <x:v>257.85563851793324</x:v>
      </x:c>
      <x:c r="M585" s="8" t="n">
        <x:v>0</x:v>
      </x:c>
      <x:c r="N585" s="8" t="n">
        <x:v>0</x:v>
      </x:c>
      <x:c r="O585" s="8" t="n">
        <x:v>389.949331036904</x:v>
      </x:c>
      <x:c r="P585" s="8" t="n">
        <x:v>0</x:v>
      </x:c>
      <x:c r="Q585" s="8" t="n">
        <x:v>1.1662350761116436</x:v>
      </x:c>
      <x:c r="R585" s="8" t="n">
        <x:v>0</x:v>
      </x:c>
      <x:c r="S585" s="8" t="n">
        <x:f>L585-I585^2/H585</x:f>
        <x:v>139.30197107047593</x:v>
      </x:c>
      <x:c r="T585" s="8" t="n">
        <x:f>M585-J585^2/H585</x:f>
        <x:v>0</x:v>
      </x:c>
      <x:c r="U585" s="8" t="n">
        <x:f>N585-I585*J585/H585</x:f>
        <x:v>0</x:v>
      </x:c>
      <x:c r="V585" s="8" t="n">
        <x:f>O585-I585*K585/H585</x:f>
        <x:v>192.6126645931439</x:v>
      </x:c>
      <x:c r="W585" s="8" t="n">
        <x:f>P585-J585*K585/H585</x:f>
        <x:v>0</x:v>
      </x:c>
      <x:c r="X585" s="8" t="n">
        <x:f>V585/S585</x:f>
        <x:v>1.3826987738436014</x:v>
      </x:c>
      <x:c r="Y585" s="8" t="n">
        <x:f>0</x:f>
        <x:v>0</x:v>
      </x:c>
      <x:c r="Z585" s="8" t="n">
        <x:f>K585/H585-X585*I585/H585-Y585*J585/H585</x:f>
        <x:v>0.7040065504348787</x:v>
      </x:c>
      <x:c r="AA585" s="8" t="n">
        <x:f>Z585+X585*Q585+Y585*R585</x:f>
        <x:v>2.316558360187847</x:v>
      </x:c>
    </x:row>
    <x:row r="586" ht="26" customHeight="1">
      <x:c r="A586" s="2"/>
      <x:c r="B586" s="2" t="n">
        <x:v>581</x:v>
      </x:c>
      <x:c r="C586" s="2" t="str">
        <x:v>Fabric &amp; Home Care / price_contribution</x:v>
      </x:c>
      <x:c r="D586" s="2" t="str">
        <x:v>Broad lag 1</x:v>
      </x:c>
      <x:c r="E586" s="7" t="n">
        <x:v>46022</x:v>
      </x:c>
      <x:c r="F586" s="2" t="str">
        <x:v>Pre-earnings</x:v>
      </x:c>
      <x:c r="G586" s="7" t="n">
        <x:v>46044</x:v>
      </x:c>
      <x:c r="H586" s="2" t="n">
        <x:v>18</x:v>
      </x:c>
      <x:c r="I586" s="8" t="n">
        <x:v>46.45249081892011</x:v>
      </x:c>
      <x:c r="J586" s="8" t="n">
        <x:v>0</x:v>
      </x:c>
      <x:c r="K586" s="8" t="n">
        <x:v>77</x:v>
      </x:c>
      <x:c r="L586" s="8" t="n">
        <x:v>256.8391179897363</x:v>
      </x:c>
      <x:c r="M586" s="8" t="n">
        <x:v>0</x:v>
      </x:c>
      <x:c r="N586" s="8" t="n">
        <x:v>0</x:v>
      </x:c>
      <x:c r="O586" s="8" t="n">
        <x:v>336.35343779952467</x:v>
      </x:c>
      <x:c r="P586" s="8" t="n">
        <x:v>0</x:v>
      </x:c>
      <x:c r="Q586" s="8" t="n">
        <x:v>1.0082264270475205</x:v>
      </x:c>
      <x:c r="R586" s="8" t="n">
        <x:v>0</x:v>
      </x:c>
      <x:c r="S586" s="8" t="n">
        <x:f>L586-I586^2/H586</x:f>
        <x:v>136.95945669629975</x:v>
      </x:c>
      <x:c r="T586" s="8" t="n">
        <x:f>M586-J586^2/H586</x:f>
        <x:v>0</x:v>
      </x:c>
      <x:c r="U586" s="8" t="n">
        <x:f>N586-I586*J586/H586</x:f>
        <x:v>0</x:v>
      </x:c>
      <x:c r="V586" s="8" t="n">
        <x:f>O586-I586*K586/H586</x:f>
        <x:v>137.640004851922</x:v>
      </x:c>
      <x:c r="W586" s="8" t="n">
        <x:f>P586-J586*K586/H586</x:f>
        <x:v>0</x:v>
      </x:c>
      <x:c r="X586" s="8" t="n">
        <x:f>V586/S586</x:f>
        <x:v>1.0049689752868347</x:v>
      </x:c>
      <x:c r="Y586" s="8" t="n">
        <x:f>0</x:f>
        <x:v>0</x:v>
      </x:c>
      <x:c r="Z586" s="8" t="n">
        <x:f>K586/H586-X586*I586/H586-Y586*J586/H586</x:f>
        <x:v>1.6842604390104867</x:v>
      </x:c>
      <x:c r="AA586" s="8" t="n">
        <x:f>Z586+X586*Q586+Y586*R586</x:f>
        <x:v>2.69749671825754</x:v>
      </x:c>
    </x:row>
    <x:row r="587" ht="26" customHeight="1">
      <x:c r="A587" s="2"/>
      <x:c r="B587" s="2" t="n">
        <x:v>582</x:v>
      </x:c>
      <x:c r="C587" s="2" t="str">
        <x:v>Fabric &amp; Home Care / price_contribution</x:v>
      </x:c>
      <x:c r="D587" s="2" t="str">
        <x:v>Broad rolling 8</x:v>
      </x:c>
      <x:c r="E587" s="7" t="n">
        <x:v>46022</x:v>
      </x:c>
      <x:c r="F587" s="2" t="str">
        <x:v>Pre-earnings</x:v>
      </x:c>
      <x:c r="G587" s="7" t="n">
        <x:v>46044</x:v>
      </x:c>
      <x:c r="H587" s="2" t="n">
        <x:v>8</x:v>
      </x:c>
      <x:c r="I587" s="8" t="n">
        <x:v>11.968105858946277</x:v>
      </x:c>
      <x:c r="J587" s="8" t="n">
        <x:v>0</x:v>
      </x:c>
      <x:c r="K587" s="8" t="n">
        <x:v>7</x:v>
      </x:c>
      <x:c r="L587" s="8" t="n">
        <x:v>35.29105495113347</x:v>
      </x:c>
      <x:c r="M587" s="8" t="n">
        <x:v>0</x:v>
      </x:c>
      <x:c r="N587" s="8" t="n">
        <x:v>0</x:v>
      </x:c>
      <x:c r="O587" s="8" t="n">
        <x:v>23.981739269700842</x:v>
      </x:c>
      <x:c r="P587" s="8" t="n">
        <x:v>0</x:v>
      </x:c>
      <x:c r="Q587" s="8" t="n">
        <x:v>1.1662350761116436</x:v>
      </x:c>
      <x:c r="R587" s="8" t="n">
        <x:v>0</x:v>
      </x:c>
      <x:c r="S587" s="8" t="n">
        <x:f>L587-I587^2/H587</x:f>
        <x:v>17.38661021976544</x:v>
      </x:c>
      <x:c r="T587" s="8" t="n">
        <x:f>M587-J587^2/H587</x:f>
        <x:v>0</x:v>
      </x:c>
      <x:c r="U587" s="8" t="n">
        <x:f>N587-I587*J587/H587</x:f>
        <x:v>0</x:v>
      </x:c>
      <x:c r="V587" s="8" t="n">
        <x:f>O587-I587*K587/H587</x:f>
        <x:v>13.50964664312285</x:v>
      </x:c>
      <x:c r="W587" s="8" t="n">
        <x:f>P587-J587*K587/H587</x:f>
        <x:v>0</x:v>
      </x:c>
      <x:c r="X587" s="8" t="n">
        <x:f>V587/S587</x:f>
        <x:v>0.7770144077748299</x:v>
      </x:c>
      <x:c r="Y587" s="8" t="n">
        <x:f>0</x:f>
        <x:v>0</x:v>
      </x:c>
      <x:c r="Z587" s="8" t="n">
        <x:f>K587/H587-X587*I587/H587-Y587*J587/H587</x:f>
        <x:v>-0.28742383577195163</x:v>
      </x:c>
      <x:c r="AA587" s="8" t="n">
        <x:f>Z587+X587*Q587+Y587*R587</x:f>
        <x:v>0.6187576212191708</x:v>
      </x:c>
    </x:row>
    <x:row r="588" ht="26" customHeight="1">
      <x:c r="A588" s="2"/>
      <x:c r="B588" s="2" t="n">
        <x:v>583</x:v>
      </x:c>
      <x:c r="C588" s="2" t="str">
        <x:v>Fabric &amp; Home Care / price_contribution</x:v>
      </x:c>
      <x:c r="D588" s="2" t="str">
        <x:v>Own history</x:v>
      </x:c>
      <x:c r="E588" s="7" t="n">
        <x:v>46022</x:v>
      </x:c>
      <x:c r="F588" s="2" t="str">
        <x:v>Pre-earnings</x:v>
      </x:c>
      <x:c r="G588" s="7" t="n">
        <x:v>46044</x:v>
      </x:c>
      <x:c r="H588" s="2" t="n">
        <x:v>18</x:v>
      </x:c>
      <x:c r="I588" s="8" t="n">
        <x:v>78</x:v>
      </x:c>
      <x:c r="J588" s="8" t="n">
        <x:v>0</x:v>
      </x:c>
      <x:c r="K588" s="8" t="n">
        <x:v>77</x:v>
      </x:c>
      <x:c r="L588" s="8" t="n">
        <x:v>718</x:v>
      </x:c>
      <x:c r="M588" s="8" t="n">
        <x:v>0</x:v>
      </x:c>
      <x:c r="N588" s="8" t="n">
        <x:v>0</x:v>
      </x:c>
      <x:c r="O588" s="8" t="n">
        <x:v>651</x:v>
      </x:c>
      <x:c r="P588" s="8" t="n">
        <x:v>0</x:v>
      </x:c>
      <x:c r="Q588" s="8" t="n">
        <x:v>1</x:v>
      </x:c>
      <x:c r="R588" s="8" t="n">
        <x:v>0</x:v>
      </x:c>
      <x:c r="S588" s="8" t="n">
        <x:f>L588-I588^2/H588</x:f>
        <x:v>380</x:v>
      </x:c>
      <x:c r="T588" s="8" t="n">
        <x:f>M588-J588^2/H588</x:f>
        <x:v>0</x:v>
      </x:c>
      <x:c r="U588" s="8" t="n">
        <x:f>N588-I588*J588/H588</x:f>
        <x:v>0</x:v>
      </x:c>
      <x:c r="V588" s="8" t="n">
        <x:f>O588-I588*K588/H588</x:f>
        <x:v>317.3333333333333</x:v>
      </x:c>
      <x:c r="W588" s="8" t="n">
        <x:f>P588-J588*K588/H588</x:f>
        <x:v>0</x:v>
      </x:c>
      <x:c r="X588" s="8" t="n">
        <x:f>V588/S588</x:f>
        <x:v>0.8350877192982455</x:v>
      </x:c>
      <x:c r="Y588" s="8" t="n">
        <x:f>0</x:f>
        <x:v>0</x:v>
      </x:c>
      <x:c r="Z588" s="8" t="n">
        <x:f>K588/H588-X588*I588/H588-Y588*J588/H588</x:f>
        <x:v>0.65906432748538</x:v>
      </x:c>
      <x:c r="AA588" s="8" t="n">
        <x:f>Z588+X588*Q588+Y588*R588</x:f>
        <x:v>1.4941520467836256</x:v>
      </x:c>
    </x:row>
    <x:row r="589" ht="26" customHeight="1">
      <x:c r="A589" s="2"/>
      <x:c r="B589" s="2" t="n">
        <x:v>584</x:v>
      </x:c>
      <x:c r="C589" s="2" t="str">
        <x:v>Fabric &amp; Home Care / price_contribution</x:v>
      </x:c>
      <x:c r="D589" s="2" t="str">
        <x:v>Broad market</x:v>
      </x:c>
      <x:c r="E589" s="7" t="n">
        <x:v>46112</x:v>
      </x:c>
      <x:c r="F589" s="2" t="str">
        <x:v>Origin</x:v>
      </x:c>
      <x:c r="G589" s="7" t="n">
        <x:v>46023</x:v>
      </x:c>
      <x:c r="H589" s="2" t="n">
        <x:v>19</x:v>
      </x:c>
      <x:c r="I589" s="8" t="n">
        <x:v>47.46071724596763</x:v>
      </x:c>
      <x:c r="J589" s="8" t="n">
        <x:v>0</x:v>
      </x:c>
      <x:c r="K589" s="8" t="n">
        <x:v>79</x:v>
      </x:c>
      <x:c r="L589" s="8" t="n">
        <x:v>257.85563851793324</x:v>
      </x:c>
      <x:c r="M589" s="8" t="n">
        <x:v>0</x:v>
      </x:c>
      <x:c r="N589" s="8" t="n">
        <x:v>0</x:v>
      </x:c>
      <x:c r="O589" s="8" t="n">
        <x:v>389.949331036904</x:v>
      </x:c>
      <x:c r="P589" s="8" t="n">
        <x:v>0</x:v>
      </x:c>
      <x:c r="Q589" s="8" t="n">
        <x:v>1.1213731248813419</x:v>
      </x:c>
      <x:c r="R589" s="8" t="n">
        <x:v>0</x:v>
      </x:c>
      <x:c r="S589" s="8" t="n">
        <x:f>L589-I589^2/H589</x:f>
        <x:v>139.30197107047593</x:v>
      </x:c>
      <x:c r="T589" s="8" t="n">
        <x:f>M589-J589^2/H589</x:f>
        <x:v>0</x:v>
      </x:c>
      <x:c r="U589" s="8" t="n">
        <x:f>N589-I589*J589/H589</x:f>
        <x:v>0</x:v>
      </x:c>
      <x:c r="V589" s="8" t="n">
        <x:f>O589-I589*K589/H589</x:f>
        <x:v>192.6126645931439</x:v>
      </x:c>
      <x:c r="W589" s="8" t="n">
        <x:f>P589-J589*K589/H589</x:f>
        <x:v>0</x:v>
      </x:c>
      <x:c r="X589" s="8" t="n">
        <x:f>V589/S589</x:f>
        <x:v>1.3826987738436014</x:v>
      </x:c>
      <x:c r="Y589" s="8" t="n">
        <x:f>0</x:f>
        <x:v>0</x:v>
      </x:c>
      <x:c r="Z589" s="8" t="n">
        <x:f>K589/H589-X589*I589/H589-Y589*J589/H589</x:f>
        <x:v>0.7040065504348787</x:v>
      </x:c>
      <x:c r="AA589" s="8" t="n">
        <x:f>Z589+X589*Q589+Y589*R589</x:f>
        <x:v>2.2545277952294778</x:v>
      </x:c>
    </x:row>
    <x:row r="590" ht="26" customHeight="1">
      <x:c r="A590" s="2"/>
      <x:c r="B590" s="2" t="n">
        <x:v>585</x:v>
      </x:c>
      <x:c r="C590" s="2" t="str">
        <x:v>Fabric &amp; Home Care / price_contribution</x:v>
      </x:c>
      <x:c r="D590" s="2" t="str">
        <x:v>Broad rolling 8</x:v>
      </x:c>
      <x:c r="E590" s="7" t="n">
        <x:v>46112</x:v>
      </x:c>
      <x:c r="F590" s="2" t="str">
        <x:v>Origin</x:v>
      </x:c>
      <x:c r="G590" s="7" t="n">
        <x:v>46023</x:v>
      </x:c>
      <x:c r="H590" s="2" t="n">
        <x:v>8</x:v>
      </x:c>
      <x:c r="I590" s="8" t="n">
        <x:v>11.968105858946277</x:v>
      </x:c>
      <x:c r="J590" s="8" t="n">
        <x:v>0</x:v>
      </x:c>
      <x:c r="K590" s="8" t="n">
        <x:v>7</x:v>
      </x:c>
      <x:c r="L590" s="8" t="n">
        <x:v>35.29105495113347</x:v>
      </x:c>
      <x:c r="M590" s="8" t="n">
        <x:v>0</x:v>
      </x:c>
      <x:c r="N590" s="8" t="n">
        <x:v>0</x:v>
      </x:c>
      <x:c r="O590" s="8" t="n">
        <x:v>23.981739269700842</x:v>
      </x:c>
      <x:c r="P590" s="8" t="n">
        <x:v>0</x:v>
      </x:c>
      <x:c r="Q590" s="8" t="n">
        <x:v>1.1213731248813419</x:v>
      </x:c>
      <x:c r="R590" s="8" t="n">
        <x:v>0</x:v>
      </x:c>
      <x:c r="S590" s="8" t="n">
        <x:f>L590-I590^2/H590</x:f>
        <x:v>17.38661021976544</x:v>
      </x:c>
      <x:c r="T590" s="8" t="n">
        <x:f>M590-J590^2/H590</x:f>
        <x:v>0</x:v>
      </x:c>
      <x:c r="U590" s="8" t="n">
        <x:f>N590-I590*J590/H590</x:f>
        <x:v>0</x:v>
      </x:c>
      <x:c r="V590" s="8" t="n">
        <x:f>O590-I590*K590/H590</x:f>
        <x:v>13.50964664312285</x:v>
      </x:c>
      <x:c r="W590" s="8" t="n">
        <x:f>P590-J590*K590/H590</x:f>
        <x:v>0</x:v>
      </x:c>
      <x:c r="X590" s="8" t="n">
        <x:f>V590/S590</x:f>
        <x:v>0.7770144077748299</x:v>
      </x:c>
      <x:c r="Y590" s="8" t="n">
        <x:f>0</x:f>
        <x:v>0</x:v>
      </x:c>
      <x:c r="Z590" s="8" t="n">
        <x:f>K590/H590-X590*I590/H590-Y590*J590/H590</x:f>
        <x:v>-0.28742383577195163</x:v>
      </x:c>
      <x:c r="AA590" s="8" t="n">
        <x:f>Z590+X590*Q590+Y590*R590</x:f>
        <x:v>0.5838992387523346</x:v>
      </x:c>
    </x:row>
    <x:row r="591" ht="26" customHeight="1">
      <x:c r="A591" s="2"/>
      <x:c r="B591" s="2" t="n">
        <x:v>586</x:v>
      </x:c>
      <x:c r="C591" s="2" t="str">
        <x:v>Fabric &amp; Home Care / price_contribution</x:v>
      </x:c>
      <x:c r="D591" s="2" t="str">
        <x:v>Own history</x:v>
      </x:c>
      <x:c r="E591" s="7" t="n">
        <x:v>46112</x:v>
      </x:c>
      <x:c r="F591" s="2" t="str">
        <x:v>Origin</x:v>
      </x:c>
      <x:c r="G591" s="7" t="n">
        <x:v>46023</x:v>
      </x:c>
      <x:c r="H591" s="2" t="n">
        <x:v>17</x:v>
      </x:c>
      <x:c r="I591" s="8" t="n">
        <x:v>77</x:v>
      </x:c>
      <x:c r="J591" s="8" t="n">
        <x:v>0</x:v>
      </x:c>
      <x:c r="K591" s="8" t="n">
        <x:v>77</x:v>
      </x:c>
      <x:c r="L591" s="8" t="n">
        <x:v>717</x:v>
      </x:c>
      <x:c r="M591" s="8" t="n">
        <x:v>0</x:v>
      </x:c>
      <x:c r="N591" s="8" t="n">
        <x:v>0</x:v>
      </x:c>
      <x:c r="O591" s="8" t="n">
        <x:v>580</x:v>
      </x:c>
      <x:c r="P591" s="8" t="n">
        <x:v>0</x:v>
      </x:c>
      <x:c r="Q591" s="8" t="n">
        <x:v>1</x:v>
      </x:c>
      <x:c r="R591" s="8" t="n">
        <x:v>0</x:v>
      </x:c>
      <x:c r="S591" s="8" t="n">
        <x:f>L591-I591^2/H591</x:f>
        <x:v>368.2352941176471</x:v>
      </x:c>
      <x:c r="T591" s="8" t="n">
        <x:f>M591-J591^2/H591</x:f>
        <x:v>0</x:v>
      </x:c>
      <x:c r="U591" s="8" t="n">
        <x:f>N591-I591*J591/H591</x:f>
        <x:v>0</x:v>
      </x:c>
      <x:c r="V591" s="8" t="n">
        <x:f>O591-I591*K591/H591</x:f>
        <x:v>231.23529411764707</x:v>
      </x:c>
      <x:c r="W591" s="8" t="n">
        <x:f>P591-J591*K591/H591</x:f>
        <x:v>0</x:v>
      </x:c>
      <x:c r="X591" s="8" t="n">
        <x:f>V591/S591</x:f>
        <x:v>0.6279552715654952</x:v>
      </x:c>
      <x:c r="Y591" s="8" t="n">
        <x:f>0</x:f>
        <x:v>0</x:v>
      </x:c>
      <x:c r="Z591" s="8" t="n">
        <x:f>K591/H591-X591*I591/H591-Y591*J591/H591</x:f>
        <x:v>1.6851437699680512</x:v>
      </x:c>
      <x:c r="AA591" s="8" t="n">
        <x:f>Z591+X591*Q591+Y591*R591</x:f>
        <x:v>2.3130990415335466</x:v>
      </x:c>
    </x:row>
    <x:row r="592" ht="26" customHeight="1">
      <x:c r="A592" s="2"/>
      <x:c r="B592" s="2" t="n">
        <x:v>587</x:v>
      </x:c>
      <x:c r="C592" s="2" t="str">
        <x:v>Fabric &amp; Home Care / price_contribution</x:v>
      </x:c>
      <x:c r="D592" s="2" t="str">
        <x:v>Broad market</x:v>
      </x:c>
      <x:c r="E592" s="7" t="n">
        <x:v>46112</x:v>
      </x:c>
      <x:c r="F592" s="2" t="str">
        <x:v>Prior report</x:v>
      </x:c>
      <x:c r="G592" s="7" t="n">
        <x:v>46045</x:v>
      </x:c>
      <x:c r="H592" s="2" t="n">
        <x:v>19</x:v>
      </x:c>
      <x:c r="I592" s="8" t="n">
        <x:v>47.46071724596763</x:v>
      </x:c>
      <x:c r="J592" s="8" t="n">
        <x:v>0</x:v>
      </x:c>
      <x:c r="K592" s="8" t="n">
        <x:v>79</x:v>
      </x:c>
      <x:c r="L592" s="8" t="n">
        <x:v>257.85563851793324</x:v>
      </x:c>
      <x:c r="M592" s="8" t="n">
        <x:v>0</x:v>
      </x:c>
      <x:c r="N592" s="8" t="n">
        <x:v>0</x:v>
      </x:c>
      <x:c r="O592" s="8" t="n">
        <x:v>389.949331036904</x:v>
      </x:c>
      <x:c r="P592" s="8" t="n">
        <x:v>0</x:v>
      </x:c>
      <x:c r="Q592" s="8" t="n">
        <x:v>1.2470805589842149</x:v>
      </x:c>
      <x:c r="R592" s="8" t="n">
        <x:v>0</x:v>
      </x:c>
      <x:c r="S592" s="8" t="n">
        <x:f>L592-I592^2/H592</x:f>
        <x:v>139.30197107047593</x:v>
      </x:c>
      <x:c r="T592" s="8" t="n">
        <x:f>M592-J592^2/H592</x:f>
        <x:v>0</x:v>
      </x:c>
      <x:c r="U592" s="8" t="n">
        <x:f>N592-I592*J592/H592</x:f>
        <x:v>0</x:v>
      </x:c>
      <x:c r="V592" s="8" t="n">
        <x:f>O592-I592*K592/H592</x:f>
        <x:v>192.6126645931439</x:v>
      </x:c>
      <x:c r="W592" s="8" t="n">
        <x:f>P592-J592*K592/H592</x:f>
        <x:v>0</x:v>
      </x:c>
      <x:c r="X592" s="8" t="n">
        <x:f>V592/S592</x:f>
        <x:v>1.3826987738436014</x:v>
      </x:c>
      <x:c r="Y592" s="8" t="n">
        <x:f>0</x:f>
        <x:v>0</x:v>
      </x:c>
      <x:c r="Z592" s="8" t="n">
        <x:f>K592/H592-X592*I592/H592-Y592*J592/H592</x:f>
        <x:v>0.7040065504348787</x:v>
      </x:c>
      <x:c r="AA592" s="8" t="n">
        <x:f>Z592+X592*Q592+Y592*R592</x:f>
        <x:v>2.4283433102265457</x:v>
      </x:c>
    </x:row>
    <x:row r="593" ht="26" customHeight="1">
      <x:c r="A593" s="2"/>
      <x:c r="B593" s="2" t="n">
        <x:v>588</x:v>
      </x:c>
      <x:c r="C593" s="2" t="str">
        <x:v>Fabric &amp; Home Care / price_contribution</x:v>
      </x:c>
      <x:c r="D593" s="2" t="str">
        <x:v>Broad rolling 8</x:v>
      </x:c>
      <x:c r="E593" s="7" t="n">
        <x:v>46112</x:v>
      </x:c>
      <x:c r="F593" s="2" t="str">
        <x:v>Prior report</x:v>
      </x:c>
      <x:c r="G593" s="7" t="n">
        <x:v>46045</x:v>
      </x:c>
      <x:c r="H593" s="2" t="n">
        <x:v>8</x:v>
      </x:c>
      <x:c r="I593" s="8" t="n">
        <x:v>11.968105858946277</x:v>
      </x:c>
      <x:c r="J593" s="8" t="n">
        <x:v>0</x:v>
      </x:c>
      <x:c r="K593" s="8" t="n">
        <x:v>7</x:v>
      </x:c>
      <x:c r="L593" s="8" t="n">
        <x:v>35.29105495113347</x:v>
      </x:c>
      <x:c r="M593" s="8" t="n">
        <x:v>0</x:v>
      </x:c>
      <x:c r="N593" s="8" t="n">
        <x:v>0</x:v>
      </x:c>
      <x:c r="O593" s="8" t="n">
        <x:v>23.981739269700842</x:v>
      </x:c>
      <x:c r="P593" s="8" t="n">
        <x:v>0</x:v>
      </x:c>
      <x:c r="Q593" s="8" t="n">
        <x:v>1.2470805589842149</x:v>
      </x:c>
      <x:c r="R593" s="8" t="n">
        <x:v>0</x:v>
      </x:c>
      <x:c r="S593" s="8" t="n">
        <x:f>L593-I593^2/H593</x:f>
        <x:v>17.38661021976544</x:v>
      </x:c>
      <x:c r="T593" s="8" t="n">
        <x:f>M593-J593^2/H593</x:f>
        <x:v>0</x:v>
      </x:c>
      <x:c r="U593" s="8" t="n">
        <x:f>N593-I593*J593/H593</x:f>
        <x:v>0</x:v>
      </x:c>
      <x:c r="V593" s="8" t="n">
        <x:f>O593-I593*K593/H593</x:f>
        <x:v>13.50964664312285</x:v>
      </x:c>
      <x:c r="W593" s="8" t="n">
        <x:f>P593-J593*K593/H593</x:f>
        <x:v>0</x:v>
      </x:c>
      <x:c r="X593" s="8" t="n">
        <x:f>V593/S593</x:f>
        <x:v>0.7770144077748299</x:v>
      </x:c>
      <x:c r="Y593" s="8" t="n">
        <x:f>0</x:f>
        <x:v>0</x:v>
      </x:c>
      <x:c r="Z593" s="8" t="n">
        <x:f>K593/H593-X593*I593/H593-Y593*J593/H593</x:f>
        <x:v>-0.28742383577195163</x:v>
      </x:c>
      <x:c r="AA593" s="8" t="n">
        <x:f>Z593+X593*Q593+Y593*R593</x:f>
        <x:v>0.6815757262146719</x:v>
      </x:c>
    </x:row>
    <x:row r="594" ht="26" customHeight="1">
      <x:c r="A594" s="2"/>
      <x:c r="B594" s="2" t="n">
        <x:v>589</x:v>
      </x:c>
      <x:c r="C594" s="2" t="str">
        <x:v>Fabric &amp; Home Care / price_contribution</x:v>
      </x:c>
      <x:c r="D594" s="2" t="str">
        <x:v>Own history</x:v>
      </x:c>
      <x:c r="E594" s="7" t="n">
        <x:v>46112</x:v>
      </x:c>
      <x:c r="F594" s="2" t="str">
        <x:v>Prior report</x:v>
      </x:c>
      <x:c r="G594" s="7" t="n">
        <x:v>46045</x:v>
      </x:c>
      <x:c r="H594" s="2" t="n">
        <x:v>19</x:v>
      </x:c>
      <x:c r="I594" s="8" t="n">
        <x:v>79</x:v>
      </x:c>
      <x:c r="J594" s="8" t="n">
        <x:v>0</x:v>
      </x:c>
      <x:c r="K594" s="8" t="n">
        <x:v>78</x:v>
      </x:c>
      <x:c r="L594" s="8" t="n">
        <x:v>719</x:v>
      </x:c>
      <x:c r="M594" s="8" t="n">
        <x:v>0</x:v>
      </x:c>
      <x:c r="N594" s="8" t="n">
        <x:v>0</x:v>
      </x:c>
      <x:c r="O594" s="8" t="n">
        <x:v>652</x:v>
      </x:c>
      <x:c r="P594" s="8" t="n">
        <x:v>0</x:v>
      </x:c>
      <x:c r="Q594" s="8" t="n">
        <x:v>1</x:v>
      </x:c>
      <x:c r="R594" s="8" t="n">
        <x:v>0</x:v>
      </x:c>
      <x:c r="S594" s="8" t="n">
        <x:f>L594-I594^2/H594</x:f>
        <x:v>390.5263157894737</x:v>
      </x:c>
      <x:c r="T594" s="8" t="n">
        <x:f>M594-J594^2/H594</x:f>
        <x:v>0</x:v>
      </x:c>
      <x:c r="U594" s="8" t="n">
        <x:f>N594-I594*J594/H594</x:f>
        <x:v>0</x:v>
      </x:c>
      <x:c r="V594" s="8" t="n">
        <x:f>O594-I594*K594/H594</x:f>
        <x:v>327.6842105263158</x:v>
      </x:c>
      <x:c r="W594" s="8" t="n">
        <x:f>P594-J594*K594/H594</x:f>
        <x:v>0</x:v>
      </x:c>
      <x:c r="X594" s="8" t="n">
        <x:f>V594/S594</x:f>
        <x:v>0.8390835579514824</x:v>
      </x:c>
      <x:c r="Y594" s="8" t="n">
        <x:f>0</x:f>
        <x:v>0</x:v>
      </x:c>
      <x:c r="Z594" s="8" t="n">
        <x:f>K594/H594-X594*I594/H594-Y594*J594/H594</x:f>
        <x:v>0.6164420485175208</x:v>
      </x:c>
      <x:c r="AA594" s="8" t="n">
        <x:f>Z594+X594*Q594+Y594*R594</x:f>
        <x:v>1.4555256064690032</x:v>
      </x:c>
    </x:row>
    <x:row r="595" ht="26" customHeight="1">
      <x:c r="A595" s="2"/>
      <x:c r="B595" s="2" t="n">
        <x:v>590</x:v>
      </x:c>
      <x:c r="C595" s="2" t="str">
        <x:v>Fabric &amp; Home Care / price_contribution</x:v>
      </x:c>
      <x:c r="D595" s="2" t="str">
        <x:v>Broad market</x:v>
      </x:c>
      <x:c r="E595" s="7" t="n">
        <x:v>46112</x:v>
      </x:c>
      <x:c r="F595" s="2" t="str">
        <x:v>Pre-earnings</x:v>
      </x:c>
      <x:c r="G595" s="7" t="n">
        <x:v>46135</x:v>
      </x:c>
      <x:c r="H595" s="2" t="n">
        <x:v>19</x:v>
      </x:c>
      <x:c r="I595" s="8" t="n">
        <x:v>47.46071724596763</x:v>
      </x:c>
      <x:c r="J595" s="8" t="n">
        <x:v>0</x:v>
      </x:c>
      <x:c r="K595" s="8" t="n">
        <x:v>79</x:v>
      </x:c>
      <x:c r="L595" s="8" t="n">
        <x:v>257.85563851793324</x:v>
      </x:c>
      <x:c r="M595" s="8" t="n">
        <x:v>0</x:v>
      </x:c>
      <x:c r="N595" s="8" t="n">
        <x:v>0</x:v>
      </x:c>
      <x:c r="O595" s="8" t="n">
        <x:v>389.949331036904</x:v>
      </x:c>
      <x:c r="P595" s="8" t="n">
        <x:v>0</x:v>
      </x:c>
      <x:c r="Q595" s="8" t="n">
        <x:v>1.9491325309717533</x:v>
      </x:c>
      <x:c r="R595" s="8" t="n">
        <x:v>0</x:v>
      </x:c>
      <x:c r="S595" s="8" t="n">
        <x:f>L595-I595^2/H595</x:f>
        <x:v>139.30197107047593</x:v>
      </x:c>
      <x:c r="T595" s="8" t="n">
        <x:f>M595-J595^2/H595</x:f>
        <x:v>0</x:v>
      </x:c>
      <x:c r="U595" s="8" t="n">
        <x:f>N595-I595*J595/H595</x:f>
        <x:v>0</x:v>
      </x:c>
      <x:c r="V595" s="8" t="n">
        <x:f>O595-I595*K595/H595</x:f>
        <x:v>192.6126645931439</x:v>
      </x:c>
      <x:c r="W595" s="8" t="n">
        <x:f>P595-J595*K595/H595</x:f>
        <x:v>0</x:v>
      </x:c>
      <x:c r="X595" s="8" t="n">
        <x:f>V595/S595</x:f>
        <x:v>1.3826987738436014</x:v>
      </x:c>
      <x:c r="Y595" s="8" t="n">
        <x:f>0</x:f>
        <x:v>0</x:v>
      </x:c>
      <x:c r="Z595" s="8" t="n">
        <x:f>K595/H595-X595*I595/H595-Y595*J595/H595</x:f>
        <x:v>0.7040065504348787</x:v>
      </x:c>
      <x:c r="AA595" s="8" t="n">
        <x:f>Z595+X595*Q595+Y595*R595</x:f>
        <x:v>3.3990697110681976</x:v>
      </x:c>
    </x:row>
    <x:row r="596" ht="26" customHeight="1">
      <x:c r="A596" s="2"/>
      <x:c r="B596" s="2" t="n">
        <x:v>591</x:v>
      </x:c>
      <x:c r="C596" s="2" t="str">
        <x:v>Fabric &amp; Home Care / price_contribution</x:v>
      </x:c>
      <x:c r="D596" s="2" t="str">
        <x:v>Broad rolling 8</x:v>
      </x:c>
      <x:c r="E596" s="7" t="n">
        <x:v>46112</x:v>
      </x:c>
      <x:c r="F596" s="2" t="str">
        <x:v>Pre-earnings</x:v>
      </x:c>
      <x:c r="G596" s="7" t="n">
        <x:v>46135</x:v>
      </x:c>
      <x:c r="H596" s="2" t="n">
        <x:v>8</x:v>
      </x:c>
      <x:c r="I596" s="8" t="n">
        <x:v>11.968105858946277</x:v>
      </x:c>
      <x:c r="J596" s="8" t="n">
        <x:v>0</x:v>
      </x:c>
      <x:c r="K596" s="8" t="n">
        <x:v>7</x:v>
      </x:c>
      <x:c r="L596" s="8" t="n">
        <x:v>35.29105495113347</x:v>
      </x:c>
      <x:c r="M596" s="8" t="n">
        <x:v>0</x:v>
      </x:c>
      <x:c r="N596" s="8" t="n">
        <x:v>0</x:v>
      </x:c>
      <x:c r="O596" s="8" t="n">
        <x:v>23.981739269700842</x:v>
      </x:c>
      <x:c r="P596" s="8" t="n">
        <x:v>0</x:v>
      </x:c>
      <x:c r="Q596" s="8" t="n">
        <x:v>1.9491325309717533</x:v>
      </x:c>
      <x:c r="R596" s="8" t="n">
        <x:v>0</x:v>
      </x:c>
      <x:c r="S596" s="8" t="n">
        <x:f>L596-I596^2/H596</x:f>
        <x:v>17.38661021976544</x:v>
      </x:c>
      <x:c r="T596" s="8" t="n">
        <x:f>M596-J596^2/H596</x:f>
        <x:v>0</x:v>
      </x:c>
      <x:c r="U596" s="8" t="n">
        <x:f>N596-I596*J596/H596</x:f>
        <x:v>0</x:v>
      </x:c>
      <x:c r="V596" s="8" t="n">
        <x:f>O596-I596*K596/H596</x:f>
        <x:v>13.50964664312285</x:v>
      </x:c>
      <x:c r="W596" s="8" t="n">
        <x:f>P596-J596*K596/H596</x:f>
        <x:v>0</x:v>
      </x:c>
      <x:c r="X596" s="8" t="n">
        <x:f>V596/S596</x:f>
        <x:v>0.7770144077748299</x:v>
      </x:c>
      <x:c r="Y596" s="8" t="n">
        <x:f>0</x:f>
        <x:v>0</x:v>
      </x:c>
      <x:c r="Z596" s="8" t="n">
        <x:f>K596/H596-X596*I596/H596-Y596*J596/H596</x:f>
        <x:v>-0.28742383577195163</x:v>
      </x:c>
      <x:c r="AA596" s="8" t="n">
        <x:f>Z596+X596*Q596+Y596*R596</x:f>
        <x:v>1.2270802234557205</x:v>
      </x:c>
    </x:row>
    <x:row r="597" ht="26" customHeight="1">
      <x:c r="A597" s="2"/>
      <x:c r="B597" s="2" t="n">
        <x:v>592</x:v>
      </x:c>
      <x:c r="C597" s="2" t="str">
        <x:v>Fabric &amp; Home Care / price_contribution</x:v>
      </x:c>
      <x:c r="D597" s="2" t="str">
        <x:v>Own history</x:v>
      </x:c>
      <x:c r="E597" s="7" t="n">
        <x:v>46112</x:v>
      </x:c>
      <x:c r="F597" s="2" t="str">
        <x:v>Pre-earnings</x:v>
      </x:c>
      <x:c r="G597" s="7" t="n">
        <x:v>46135</x:v>
      </x:c>
      <x:c r="H597" s="2" t="n">
        <x:v>19</x:v>
      </x:c>
      <x:c r="I597" s="8" t="n">
        <x:v>79</x:v>
      </x:c>
      <x:c r="J597" s="8" t="n">
        <x:v>0</x:v>
      </x:c>
      <x:c r="K597" s="8" t="n">
        <x:v>78</x:v>
      </x:c>
      <x:c r="L597" s="8" t="n">
        <x:v>719</x:v>
      </x:c>
      <x:c r="M597" s="8" t="n">
        <x:v>0</x:v>
      </x:c>
      <x:c r="N597" s="8" t="n">
        <x:v>0</x:v>
      </x:c>
      <x:c r="O597" s="8" t="n">
        <x:v>652</x:v>
      </x:c>
      <x:c r="P597" s="8" t="n">
        <x:v>0</x:v>
      </x:c>
      <x:c r="Q597" s="8" t="n">
        <x:v>1</x:v>
      </x:c>
      <x:c r="R597" s="8" t="n">
        <x:v>0</x:v>
      </x:c>
      <x:c r="S597" s="8" t="n">
        <x:f>L597-I597^2/H597</x:f>
        <x:v>390.5263157894737</x:v>
      </x:c>
      <x:c r="T597" s="8" t="n">
        <x:f>M597-J597^2/H597</x:f>
        <x:v>0</x:v>
      </x:c>
      <x:c r="U597" s="8" t="n">
        <x:f>N597-I597*J597/H597</x:f>
        <x:v>0</x:v>
      </x:c>
      <x:c r="V597" s="8" t="n">
        <x:f>O597-I597*K597/H597</x:f>
        <x:v>327.6842105263158</x:v>
      </x:c>
      <x:c r="W597" s="8" t="n">
        <x:f>P597-J597*K597/H597</x:f>
        <x:v>0</x:v>
      </x:c>
      <x:c r="X597" s="8" t="n">
        <x:f>V597/S597</x:f>
        <x:v>0.8390835579514824</x:v>
      </x:c>
      <x:c r="Y597" s="8" t="n">
        <x:f>0</x:f>
        <x:v>0</x:v>
      </x:c>
      <x:c r="Z597" s="8" t="n">
        <x:f>K597/H597-X597*I597/H597-Y597*J597/H597</x:f>
        <x:v>0.6164420485175208</x:v>
      </x:c>
      <x:c r="AA597" s="8" t="n">
        <x:f>Z597+X597*Q597+Y597*R597</x:f>
        <x:v>1.4555256064690032</x:v>
      </x:c>
    </x:row>
    <x:row r="598" ht="26" customHeight="1">
      <x:c r="A598" s="2"/>
      <x:c r="B598" s="2" t="n">
        <x:v>593</x:v>
      </x:c>
      <x:c r="C598" s="2" t="str">
        <x:v>Baby, Feminine &amp; Family Care / price_contribution</x:v>
      </x:c>
      <x:c r="D598" s="2" t="str">
        <x:v>Broad market</x:v>
      </x:c>
      <x:c r="E598" s="7" t="n">
        <x:v>45107</x:v>
      </x:c>
      <x:c r="F598" s="2" t="str">
        <x:v>Origin</x:v>
      </x:c>
      <x:c r="G598" s="7" t="n">
        <x:v>45017</x:v>
      </x:c>
      <x:c r="H598" s="2" t="n">
        <x:v>8</x:v>
      </x:c>
      <x:c r="I598" s="8" t="n">
        <x:v>16.168397415672132</x:v>
      </x:c>
      <x:c r="J598" s="8" t="n">
        <x:v>0</x:v>
      </x:c>
      <x:c r="K598" s="8" t="n">
        <x:v>32</x:v>
      </x:c>
      <x:c r="L598" s="8" t="n">
        <x:v>96.70113017065493</x:v>
      </x:c>
      <x:c r="M598" s="8" t="n">
        <x:v>0</x:v>
      </x:c>
      <x:c r="N598" s="8" t="n">
        <x:v>0</x:v>
      </x:c>
      <x:c r="O598" s="8" t="n">
        <x:v>126.95328595067365</x:v>
      </x:c>
      <x:c r="P598" s="8" t="n">
        <x:v>0</x:v>
      </x:c>
      <x:c r="Q598" s="8" t="n">
        <x:v>7.117736159808752</x:v>
      </x:c>
      <x:c r="R598" s="8" t="n">
        <x:v>0</x:v>
      </x:c>
      <x:c r="S598" s="8" t="n">
        <x:f>L598-I598^2/H598</x:f>
        <x:v>64.02399579676577</x:v>
      </x:c>
      <x:c r="T598" s="8" t="n">
        <x:f>M598-J598^2/H598</x:f>
        <x:v>0</x:v>
      </x:c>
      <x:c r="U598" s="8" t="n">
        <x:f>N598-I598*J598/H598</x:f>
        <x:v>0</x:v>
      </x:c>
      <x:c r="V598" s="8" t="n">
        <x:f>O598-I598*K598/H598</x:f>
        <x:v>62.27969628798512</x:v>
      </x:c>
      <x:c r="W598" s="8" t="n">
        <x:f>P598-J598*K598/H598</x:f>
        <x:v>0</x:v>
      </x:c>
      <x:c r="X598" s="8" t="n">
        <x:f>V598/S598</x:f>
        <x:v>0.9727555350603598</x:v>
      </x:c>
      <x:c r="Y598" s="8" t="n">
        <x:f>0</x:f>
        <x:v>0</x:v>
      </x:c>
      <x:c r="Z598" s="8" t="n">
        <x:f>K598/H598-X598*I598/H598-Y598*J598/H598</x:f>
        <x:v>2.0340127401061645</x:v>
      </x:c>
      <x:c r="AA598" s="8" t="n">
        <x:f>Z598+X598*Q598+Y598*R598</x:f>
        <x:v>8.957829986659398</x:v>
      </x:c>
    </x:row>
    <x:row r="599" ht="26" customHeight="1">
      <x:c r="A599" s="2"/>
      <x:c r="B599" s="2" t="n">
        <x:v>594</x:v>
      </x:c>
      <x:c r="C599" s="2" t="str">
        <x:v>Baby, Feminine &amp; Family Care / price_contribution</x:v>
      </x:c>
      <x:c r="D599" s="2" t="str">
        <x:v>Broad rolling 8</x:v>
      </x:c>
      <x:c r="E599" s="7" t="n">
        <x:v>45107</x:v>
      </x:c>
      <x:c r="F599" s="2" t="str">
        <x:v>Origin</x:v>
      </x:c>
      <x:c r="G599" s="7" t="n">
        <x:v>45017</x:v>
      </x:c>
      <x:c r="H599" s="2" t="n">
        <x:v>8</x:v>
      </x:c>
      <x:c r="I599" s="8" t="n">
        <x:v>16.168397415672132</x:v>
      </x:c>
      <x:c r="J599" s="8" t="n">
        <x:v>0</x:v>
      </x:c>
      <x:c r="K599" s="8" t="n">
        <x:v>32</x:v>
      </x:c>
      <x:c r="L599" s="8" t="n">
        <x:v>96.70113017065493</x:v>
      </x:c>
      <x:c r="M599" s="8" t="n">
        <x:v>0</x:v>
      </x:c>
      <x:c r="N599" s="8" t="n">
        <x:v>0</x:v>
      </x:c>
      <x:c r="O599" s="8" t="n">
        <x:v>126.95328595067365</x:v>
      </x:c>
      <x:c r="P599" s="8" t="n">
        <x:v>0</x:v>
      </x:c>
      <x:c r="Q599" s="8" t="n">
        <x:v>7.117736159808752</x:v>
      </x:c>
      <x:c r="R599" s="8" t="n">
        <x:v>0</x:v>
      </x:c>
      <x:c r="S599" s="8" t="n">
        <x:f>L599-I599^2/H599</x:f>
        <x:v>64.02399579676577</x:v>
      </x:c>
      <x:c r="T599" s="8" t="n">
        <x:f>M599-J599^2/H599</x:f>
        <x:v>0</x:v>
      </x:c>
      <x:c r="U599" s="8" t="n">
        <x:f>N599-I599*J599/H599</x:f>
        <x:v>0</x:v>
      </x:c>
      <x:c r="V599" s="8" t="n">
        <x:f>O599-I599*K599/H599</x:f>
        <x:v>62.27969628798512</x:v>
      </x:c>
      <x:c r="W599" s="8" t="n">
        <x:f>P599-J599*K599/H599</x:f>
        <x:v>0</x:v>
      </x:c>
      <x:c r="X599" s="8" t="n">
        <x:f>V599/S599</x:f>
        <x:v>0.9727555350603598</x:v>
      </x:c>
      <x:c r="Y599" s="8" t="n">
        <x:f>0</x:f>
        <x:v>0</x:v>
      </x:c>
      <x:c r="Z599" s="8" t="n">
        <x:f>K599/H599-X599*I599/H599-Y599*J599/H599</x:f>
        <x:v>2.0340127401061645</x:v>
      </x:c>
      <x:c r="AA599" s="8" t="n">
        <x:f>Z599+X599*Q599+Y599*R599</x:f>
        <x:v>8.957829986659398</x:v>
      </x:c>
    </x:row>
    <x:row r="600" ht="26" customHeight="1">
      <x:c r="A600" s="2"/>
      <x:c r="B600" s="2" t="n">
        <x:v>595</x:v>
      </x:c>
      <x:c r="C600" s="2" t="str">
        <x:v>Baby, Feminine &amp; Family Care / price_contribution</x:v>
      </x:c>
      <x:c r="D600" s="2" t="str">
        <x:v>Broad market</x:v>
      </x:c>
      <x:c r="E600" s="7" t="n">
        <x:v>45107</x:v>
      </x:c>
      <x:c r="F600" s="2" t="str">
        <x:v>Prior report</x:v>
      </x:c>
      <x:c r="G600" s="7" t="n">
        <x:v>45037</x:v>
      </x:c>
      <x:c r="H600" s="2" t="n">
        <x:v>9</x:v>
      </x:c>
      <x:c r="I600" s="8" t="n">
        <x:v>22.94079143912051</x:v>
      </x:c>
      <x:c r="J600" s="8" t="n">
        <x:v>0</x:v>
      </x:c>
      <x:c r="K600" s="8" t="n">
        <x:v>40</x:v>
      </x:c>
      <x:c r="L600" s="8" t="n">
        <x:v>142.56645097949428</x:v>
      </x:c>
      <x:c r="M600" s="8" t="n">
        <x:v>0</x:v>
      </x:c>
      <x:c r="N600" s="8" t="n">
        <x:v>0</x:v>
      </x:c>
      <x:c r="O600" s="8" t="n">
        <x:v>181.13243813826068</x:v>
      </x:c>
      <x:c r="P600" s="8" t="n">
        <x:v>0</x:v>
      </x:c>
      <x:c r="Q600" s="8" t="n">
        <x:v>6.774056644823578</x:v>
      </x:c>
      <x:c r="R600" s="8" t="n">
        <x:v>0</x:v>
      </x:c>
      <x:c r="S600" s="8" t="n">
        <x:f>L600-I600^2/H600</x:f>
        <x:v>84.09090521802484</x:v>
      </x:c>
      <x:c r="T600" s="8" t="n">
        <x:f>M600-J600^2/H600</x:f>
        <x:v>0</x:v>
      </x:c>
      <x:c r="U600" s="8" t="n">
        <x:f>N600-I600*J600/H600</x:f>
        <x:v>0</x:v>
      </x:c>
      <x:c r="V600" s="8" t="n">
        <x:f>O600-I600*K600/H600</x:f>
        <x:v>79.17336507550286</x:v>
      </x:c>
      <x:c r="W600" s="8" t="n">
        <x:f>P600-J600*K600/H600</x:f>
        <x:v>0</x:v>
      </x:c>
      <x:c r="X600" s="8" t="n">
        <x:f>V600/S600</x:f>
        <x:v>0.9415211415577922</x:v>
      </x:c>
      <x:c r="Y600" s="8" t="n">
        <x:f>0</x:f>
        <x:v>0</x:v>
      </x:c>
      <x:c r="Z600" s="8" t="n">
        <x:f>K600/H600-X600*I600/H600-Y600*J600/H600</x:f>
        <x:v>2.044528872888893</x:v>
      </x:c>
      <x:c r="AA600" s="8" t="n">
        <x:f>Z600+X600*Q600+Y600*R600</x:f>
        <x:v>8.422446418100336</x:v>
      </x:c>
    </x:row>
    <x:row r="601" ht="26" customHeight="1">
      <x:c r="A601" s="2"/>
      <x:c r="B601" s="2" t="n">
        <x:v>596</x:v>
      </x:c>
      <x:c r="C601" s="2" t="str">
        <x:v>Baby, Feminine &amp; Family Care / price_contribution</x:v>
      </x:c>
      <x:c r="D601" s="2" t="str">
        <x:v>Broad lag 1</x:v>
      </x:c>
      <x:c r="E601" s="7" t="n">
        <x:v>45107</x:v>
      </x:c>
      <x:c r="F601" s="2" t="str">
        <x:v>Prior report</x:v>
      </x:c>
      <x:c r="G601" s="7" t="n">
        <x:v>45037</x:v>
      </x:c>
      <x:c r="H601" s="2" t="n">
        <x:v>8</x:v>
      </x:c>
      <x:c r="I601" s="8" t="n">
        <x:v>16.168397415672132</x:v>
      </x:c>
      <x:c r="J601" s="8" t="n">
        <x:v>0</x:v>
      </x:c>
      <x:c r="K601" s="8" t="n">
        <x:v>38</x:v>
      </x:c>
      <x:c r="L601" s="8" t="n">
        <x:v>96.70113017065493</x:v>
      </x:c>
      <x:c r="M601" s="8" t="n">
        <x:v>0</x:v>
      </x:c>
      <x:c r="N601" s="8" t="n">
        <x:v>0</x:v>
      </x:c>
      <x:c r="O601" s="8" t="n">
        <x:v>133.34086385279556</x:v>
      </x:c>
      <x:c r="P601" s="8" t="n">
        <x:v>0</x:v>
      </x:c>
      <x:c r="Q601" s="8" t="n">
        <x:v>6.77239402344838</x:v>
      </x:c>
      <x:c r="R601" s="8" t="n">
        <x:v>0</x:v>
      </x:c>
      <x:c r="S601" s="8" t="n">
        <x:f>L601-I601^2/H601</x:f>
        <x:v>64.02399579676577</x:v>
      </x:c>
      <x:c r="T601" s="8" t="n">
        <x:f>M601-J601^2/H601</x:f>
        <x:v>0</x:v>
      </x:c>
      <x:c r="U601" s="8" t="n">
        <x:f>N601-I601*J601/H601</x:f>
        <x:v>0</x:v>
      </x:c>
      <x:c r="V601" s="8" t="n">
        <x:f>O601-I601*K601/H601</x:f>
        <x:v>56.54097612835294</x:v>
      </x:c>
      <x:c r="W601" s="8" t="n">
        <x:f>P601-J601*K601/H601</x:f>
        <x:v>0</x:v>
      </x:c>
      <x:c r="X601" s="8" t="n">
        <x:f>V601/S601</x:f>
        <x:v>0.8831216393902293</x:v>
      </x:c>
      <x:c r="Y601" s="8" t="n">
        <x:f>0</x:f>
        <x:v>0</x:v>
      </x:c>
      <x:c r="Z601" s="8" t="n">
        <x:f>K601/H601-X601*I601/H601-Y601*J601/H601</x:f>
        <x:v>2.96516729599486</x:v>
      </x:c>
      <x:c r="AA601" s="8" t="n">
        <x:f>Z601+X601*Q601+Y601*R601</x:f>
        <x:v>8.946015008579185</x:v>
      </x:c>
    </x:row>
    <x:row r="602" ht="26" customHeight="1">
      <x:c r="A602" s="2"/>
      <x:c r="B602" s="2" t="n">
        <x:v>597</x:v>
      </x:c>
      <x:c r="C602" s="2" t="str">
        <x:v>Baby, Feminine &amp; Family Care / price_contribution</x:v>
      </x:c>
      <x:c r="D602" s="2" t="str">
        <x:v>Broad rolling 8</x:v>
      </x:c>
      <x:c r="E602" s="7" t="n">
        <x:v>45107</x:v>
      </x:c>
      <x:c r="F602" s="2" t="str">
        <x:v>Prior report</x:v>
      </x:c>
      <x:c r="G602" s="7" t="n">
        <x:v>45037</x:v>
      </x:c>
      <x:c r="H602" s="2" t="n">
        <x:v>8</x:v>
      </x:c>
      <x:c r="I602" s="8" t="n">
        <x:v>23.298494829725136</x:v>
      </x:c>
      <x:c r="J602" s="8" t="n">
        <x:v>0</x:v>
      </x:c>
      <x:c r="K602" s="8" t="n">
        <x:v>38</x:v>
      </x:c>
      <x:c r="L602" s="8" t="n">
        <x:v>142.43849926384422</x:v>
      </x:c>
      <x:c r="M602" s="8" t="n">
        <x:v>0</x:v>
      </x:c>
      <x:c r="N602" s="8" t="n">
        <x:v>0</x:v>
      </x:c>
      <x:c r="O602" s="8" t="n">
        <x:v>181.84784491946994</x:v>
      </x:c>
      <x:c r="P602" s="8" t="n">
        <x:v>0</x:v>
      </x:c>
      <x:c r="Q602" s="8" t="n">
        <x:v>6.774056644823578</x:v>
      </x:c>
      <x:c r="R602" s="8" t="n">
        <x:v>0</x:v>
      </x:c>
      <x:c r="S602" s="8" t="n">
        <x:f>L602-I602^2/H602</x:f>
        <x:v>74.5860165975031</x:v>
      </x:c>
      <x:c r="T602" s="8" t="n">
        <x:f>M602-J602^2/H602</x:f>
        <x:v>0</x:v>
      </x:c>
      <x:c r="U602" s="8" t="n">
        <x:f>N602-I602*J602/H602</x:f>
        <x:v>0</x:v>
      </x:c>
      <x:c r="V602" s="8" t="n">
        <x:f>O602-I602*K602/H602</x:f>
        <x:v>71.17999447827553</x:v>
      </x:c>
      <x:c r="W602" s="8" t="n">
        <x:f>P602-J602*K602/H602</x:f>
        <x:v>0</x:v>
      </x:c>
      <x:c r="X602" s="8" t="n">
        <x:f>V602/S602</x:f>
        <x:v>0.954334307225336</x:v>
      </x:c>
      <x:c r="Y602" s="8" t="n">
        <x:f>0</x:f>
        <x:v>0</x:v>
      </x:c>
      <x:c r="Z602" s="8" t="n">
        <x:f>K602/H602-X602*I602/H602-Y602*J602/H602</x:f>
        <x:v>1.970680884660149</x:v>
      </x:c>
      <x:c r="AA602" s="8" t="n">
        <x:f>Z602+X602*Q602+Y602*R602</x:f>
        <x:v>8.435395539903043</x:v>
      </x:c>
    </x:row>
    <x:row r="603" ht="26" customHeight="1">
      <x:c r="A603" s="2"/>
      <x:c r="B603" s="2" t="n">
        <x:v>598</x:v>
      </x:c>
      <x:c r="C603" s="2" t="str">
        <x:v>Baby, Feminine &amp; Family Care / price_contribution</x:v>
      </x:c>
      <x:c r="D603" s="2" t="str">
        <x:v>Own history</x:v>
      </x:c>
      <x:c r="E603" s="7" t="n">
        <x:v>45107</x:v>
      </x:c>
      <x:c r="F603" s="2" t="str">
        <x:v>Prior report</x:v>
      </x:c>
      <x:c r="G603" s="7" t="n">
        <x:v>45037</x:v>
      </x:c>
      <x:c r="H603" s="2" t="n">
        <x:v>8</x:v>
      </x:c>
      <x:c r="I603" s="8" t="n">
        <x:v>32</x:v>
      </x:c>
      <x:c r="J603" s="8" t="n">
        <x:v>0</x:v>
      </x:c>
      <x:c r="K603" s="8" t="n">
        <x:v>38</x:v>
      </x:c>
      <x:c r="L603" s="8" t="n">
        <x:v>204</x:v>
      </x:c>
      <x:c r="M603" s="8" t="n">
        <x:v>0</x:v>
      </x:c>
      <x:c r="N603" s="8" t="n">
        <x:v>0</x:v>
      </x:c>
      <x:c r="O603" s="8" t="n">
        <x:v>219</x:v>
      </x:c>
      <x:c r="P603" s="8" t="n">
        <x:v>0</x:v>
      </x:c>
      <x:c r="Q603" s="8" t="n">
        <x:v>8</x:v>
      </x:c>
      <x:c r="R603" s="8" t="n">
        <x:v>0</x:v>
      </x:c>
      <x:c r="S603" s="8" t="n">
        <x:f>L603-I603^2/H603</x:f>
        <x:v>76</x:v>
      </x:c>
      <x:c r="T603" s="8" t="n">
        <x:f>M603-J603^2/H603</x:f>
        <x:v>0</x:v>
      </x:c>
      <x:c r="U603" s="8" t="n">
        <x:f>N603-I603*J603/H603</x:f>
        <x:v>0</x:v>
      </x:c>
      <x:c r="V603" s="8" t="n">
        <x:f>O603-I603*K603/H603</x:f>
        <x:v>67</x:v>
      </x:c>
      <x:c r="W603" s="8" t="n">
        <x:f>P603-J603*K603/H603</x:f>
        <x:v>0</x:v>
      </x:c>
      <x:c r="X603" s="8" t="n">
        <x:f>V603/S603</x:f>
        <x:v>0.881578947368421</x:v>
      </x:c>
      <x:c r="Y603" s="8" t="n">
        <x:f>0</x:f>
        <x:v>0</x:v>
      </x:c>
      <x:c r="Z603" s="8" t="n">
        <x:f>K603/H603-X603*I603/H603-Y603*J603/H603</x:f>
        <x:v>1.223684210526316</x:v>
      </x:c>
      <x:c r="AA603" s="8" t="n">
        <x:f>Z603+X603*Q603+Y603*R603</x:f>
        <x:v>8.276315789473685</x:v>
      </x:c>
    </x:row>
    <x:row r="604" ht="26" customHeight="1">
      <x:c r="A604" s="2"/>
      <x:c r="B604" s="2" t="n">
        <x:v>599</x:v>
      </x:c>
      <x:c r="C604" s="2" t="str">
        <x:v>Baby, Feminine &amp; Family Care / price_contribution</x:v>
      </x:c>
      <x:c r="D604" s="2" t="str">
        <x:v>Broad market</x:v>
      </x:c>
      <x:c r="E604" s="7" t="n">
        <x:v>45107</x:v>
      </x:c>
      <x:c r="F604" s="2" t="str">
        <x:v>Pre-earnings</x:v>
      </x:c>
      <x:c r="G604" s="7" t="n">
        <x:v>45134</x:v>
      </x:c>
      <x:c r="H604" s="2" t="n">
        <x:v>9</x:v>
      </x:c>
      <x:c r="I604" s="8" t="n">
        <x:v>22.94079143912051</x:v>
      </x:c>
      <x:c r="J604" s="8" t="n">
        <x:v>0</x:v>
      </x:c>
      <x:c r="K604" s="8" t="n">
        <x:v>40</x:v>
      </x:c>
      <x:c r="L604" s="8" t="n">
        <x:v>142.56645097949428</x:v>
      </x:c>
      <x:c r="M604" s="8" t="n">
        <x:v>0</x:v>
      </x:c>
      <x:c r="N604" s="8" t="n">
        <x:v>0</x:v>
      </x:c>
      <x:c r="O604" s="8" t="n">
        <x:v>181.13243813826068</x:v>
      </x:c>
      <x:c r="P604" s="8" t="n">
        <x:v>0</x:v>
      </x:c>
      <x:c r="Q604" s="8" t="n">
        <x:v>7.05822723217906</x:v>
      </x:c>
      <x:c r="R604" s="8" t="n">
        <x:v>0</x:v>
      </x:c>
      <x:c r="S604" s="8" t="n">
        <x:f>L604-I604^2/H604</x:f>
        <x:v>84.09090521802484</x:v>
      </x:c>
      <x:c r="T604" s="8" t="n">
        <x:f>M604-J604^2/H604</x:f>
        <x:v>0</x:v>
      </x:c>
      <x:c r="U604" s="8" t="n">
        <x:f>N604-I604*J604/H604</x:f>
        <x:v>0</x:v>
      </x:c>
      <x:c r="V604" s="8" t="n">
        <x:f>O604-I604*K604/H604</x:f>
        <x:v>79.17336507550286</x:v>
      </x:c>
      <x:c r="W604" s="8" t="n">
        <x:f>P604-J604*K604/H604</x:f>
        <x:v>0</x:v>
      </x:c>
      <x:c r="X604" s="8" t="n">
        <x:f>V604/S604</x:f>
        <x:v>0.9415211415577922</x:v>
      </x:c>
      <x:c r="Y604" s="8" t="n">
        <x:f>0</x:f>
        <x:v>0</x:v>
      </x:c>
      <x:c r="Z604" s="8" t="n">
        <x:f>K604/H604-X604*I604/H604-Y604*J604/H604</x:f>
        <x:v>2.044528872888893</x:v>
      </x:c>
      <x:c r="AA604" s="8" t="n">
        <x:f>Z604+X604*Q604+Y604*R604</x:f>
        <x:v>8.689999033904417</x:v>
      </x:c>
    </x:row>
    <x:row r="605" ht="26" customHeight="1">
      <x:c r="A605" s="2"/>
      <x:c r="B605" s="2" t="n">
        <x:v>600</x:v>
      </x:c>
      <x:c r="C605" s="2" t="str">
        <x:v>Baby, Feminine &amp; Family Care / price_contribution</x:v>
      </x:c>
      <x:c r="D605" s="2" t="str">
        <x:v>Broad lag 1</x:v>
      </x:c>
      <x:c r="E605" s="7" t="n">
        <x:v>45107</x:v>
      </x:c>
      <x:c r="F605" s="2" t="str">
        <x:v>Pre-earnings</x:v>
      </x:c>
      <x:c r="G605" s="7" t="n">
        <x:v>45134</x:v>
      </x:c>
      <x:c r="H605" s="2" t="n">
        <x:v>8</x:v>
      </x:c>
      <x:c r="I605" s="8" t="n">
        <x:v>16.168397415672132</x:v>
      </x:c>
      <x:c r="J605" s="8" t="n">
        <x:v>0</x:v>
      </x:c>
      <x:c r="K605" s="8" t="n">
        <x:v>38</x:v>
      </x:c>
      <x:c r="L605" s="8" t="n">
        <x:v>96.70113017065493</x:v>
      </x:c>
      <x:c r="M605" s="8" t="n">
        <x:v>0</x:v>
      </x:c>
      <x:c r="N605" s="8" t="n">
        <x:v>0</x:v>
      </x:c>
      <x:c r="O605" s="8" t="n">
        <x:v>133.34086385279556</x:v>
      </x:c>
      <x:c r="P605" s="8" t="n">
        <x:v>0</x:v>
      </x:c>
      <x:c r="Q605" s="8" t="n">
        <x:v>6.77239402344838</x:v>
      </x:c>
      <x:c r="R605" s="8" t="n">
        <x:v>0</x:v>
      </x:c>
      <x:c r="S605" s="8" t="n">
        <x:f>L605-I605^2/H605</x:f>
        <x:v>64.02399579676577</x:v>
      </x:c>
      <x:c r="T605" s="8" t="n">
        <x:f>M605-J605^2/H605</x:f>
        <x:v>0</x:v>
      </x:c>
      <x:c r="U605" s="8" t="n">
        <x:f>N605-I605*J605/H605</x:f>
        <x:v>0</x:v>
      </x:c>
      <x:c r="V605" s="8" t="n">
        <x:f>O605-I605*K605/H605</x:f>
        <x:v>56.54097612835294</x:v>
      </x:c>
      <x:c r="W605" s="8" t="n">
        <x:f>P605-J605*K605/H605</x:f>
        <x:v>0</x:v>
      </x:c>
      <x:c r="X605" s="8" t="n">
        <x:f>V605/S605</x:f>
        <x:v>0.8831216393902293</x:v>
      </x:c>
      <x:c r="Y605" s="8" t="n">
        <x:f>0</x:f>
        <x:v>0</x:v>
      </x:c>
      <x:c r="Z605" s="8" t="n">
        <x:f>K605/H605-X605*I605/H605-Y605*J605/H605</x:f>
        <x:v>2.96516729599486</x:v>
      </x:c>
      <x:c r="AA605" s="8" t="n">
        <x:f>Z605+X605*Q605+Y605*R605</x:f>
        <x:v>8.946015008579185</x:v>
      </x:c>
    </x:row>
    <x:row r="606" ht="26" customHeight="1">
      <x:c r="A606" s="2"/>
      <x:c r="B606" s="2" t="n">
        <x:v>601</x:v>
      </x:c>
      <x:c r="C606" s="2" t="str">
        <x:v>Baby, Feminine &amp; Family Care / price_contribution</x:v>
      </x:c>
      <x:c r="D606" s="2" t="str">
        <x:v>Broad rolling 8</x:v>
      </x:c>
      <x:c r="E606" s="7" t="n">
        <x:v>45107</x:v>
      </x:c>
      <x:c r="F606" s="2" t="str">
        <x:v>Pre-earnings</x:v>
      </x:c>
      <x:c r="G606" s="7" t="n">
        <x:v>45134</x:v>
      </x:c>
      <x:c r="H606" s="2" t="n">
        <x:v>8</x:v>
      </x:c>
      <x:c r="I606" s="8" t="n">
        <x:v>23.298494829725136</x:v>
      </x:c>
      <x:c r="J606" s="8" t="n">
        <x:v>0</x:v>
      </x:c>
      <x:c r="K606" s="8" t="n">
        <x:v>38</x:v>
      </x:c>
      <x:c r="L606" s="8" t="n">
        <x:v>142.43849926384422</x:v>
      </x:c>
      <x:c r="M606" s="8" t="n">
        <x:v>0</x:v>
      </x:c>
      <x:c r="N606" s="8" t="n">
        <x:v>0</x:v>
      </x:c>
      <x:c r="O606" s="8" t="n">
        <x:v>181.84784491946994</x:v>
      </x:c>
      <x:c r="P606" s="8" t="n">
        <x:v>0</x:v>
      </x:c>
      <x:c r="Q606" s="8" t="n">
        <x:v>7.05822723217906</x:v>
      </x:c>
      <x:c r="R606" s="8" t="n">
        <x:v>0</x:v>
      </x:c>
      <x:c r="S606" s="8" t="n">
        <x:f>L606-I606^2/H606</x:f>
        <x:v>74.5860165975031</x:v>
      </x:c>
      <x:c r="T606" s="8" t="n">
        <x:f>M606-J606^2/H606</x:f>
        <x:v>0</x:v>
      </x:c>
      <x:c r="U606" s="8" t="n">
        <x:f>N606-I606*J606/H606</x:f>
        <x:v>0</x:v>
      </x:c>
      <x:c r="V606" s="8" t="n">
        <x:f>O606-I606*K606/H606</x:f>
        <x:v>71.17999447827553</x:v>
      </x:c>
      <x:c r="W606" s="8" t="n">
        <x:f>P606-J606*K606/H606</x:f>
        <x:v>0</x:v>
      </x:c>
      <x:c r="X606" s="8" t="n">
        <x:f>V606/S606</x:f>
        <x:v>0.954334307225336</x:v>
      </x:c>
      <x:c r="Y606" s="8" t="n">
        <x:f>0</x:f>
        <x:v>0</x:v>
      </x:c>
      <x:c r="Z606" s="8" t="n">
        <x:f>K606/H606-X606*I606/H606-Y606*J606/H606</x:f>
        <x:v>1.970680884660149</x:v>
      </x:c>
      <x:c r="AA606" s="8" t="n">
        <x:f>Z606+X606*Q606+Y606*R606</x:f>
        <x:v>8.706589280520753</x:v>
      </x:c>
    </x:row>
    <x:row r="607" ht="26" customHeight="1">
      <x:c r="A607" s="2"/>
      <x:c r="B607" s="2" t="n">
        <x:v>602</x:v>
      </x:c>
      <x:c r="C607" s="2" t="str">
        <x:v>Baby, Feminine &amp; Family Care / price_contribution</x:v>
      </x:c>
      <x:c r="D607" s="2" t="str">
        <x:v>Own history</x:v>
      </x:c>
      <x:c r="E607" s="7" t="n">
        <x:v>45107</x:v>
      </x:c>
      <x:c r="F607" s="2" t="str">
        <x:v>Pre-earnings</x:v>
      </x:c>
      <x:c r="G607" s="7" t="n">
        <x:v>45134</x:v>
      </x:c>
      <x:c r="H607" s="2" t="n">
        <x:v>8</x:v>
      </x:c>
      <x:c r="I607" s="8" t="n">
        <x:v>32</x:v>
      </x:c>
      <x:c r="J607" s="8" t="n">
        <x:v>0</x:v>
      </x:c>
      <x:c r="K607" s="8" t="n">
        <x:v>38</x:v>
      </x:c>
      <x:c r="L607" s="8" t="n">
        <x:v>204</x:v>
      </x:c>
      <x:c r="M607" s="8" t="n">
        <x:v>0</x:v>
      </x:c>
      <x:c r="N607" s="8" t="n">
        <x:v>0</x:v>
      </x:c>
      <x:c r="O607" s="8" t="n">
        <x:v>219</x:v>
      </x:c>
      <x:c r="P607" s="8" t="n">
        <x:v>0</x:v>
      </x:c>
      <x:c r="Q607" s="8" t="n">
        <x:v>8</x:v>
      </x:c>
      <x:c r="R607" s="8" t="n">
        <x:v>0</x:v>
      </x:c>
      <x:c r="S607" s="8" t="n">
        <x:f>L607-I607^2/H607</x:f>
        <x:v>76</x:v>
      </x:c>
      <x:c r="T607" s="8" t="n">
        <x:f>M607-J607^2/H607</x:f>
        <x:v>0</x:v>
      </x:c>
      <x:c r="U607" s="8" t="n">
        <x:f>N607-I607*J607/H607</x:f>
        <x:v>0</x:v>
      </x:c>
      <x:c r="V607" s="8" t="n">
        <x:f>O607-I607*K607/H607</x:f>
        <x:v>67</x:v>
      </x:c>
      <x:c r="W607" s="8" t="n">
        <x:f>P607-J607*K607/H607</x:f>
        <x:v>0</x:v>
      </x:c>
      <x:c r="X607" s="8" t="n">
        <x:f>V607/S607</x:f>
        <x:v>0.881578947368421</x:v>
      </x:c>
      <x:c r="Y607" s="8" t="n">
        <x:f>0</x:f>
        <x:v>0</x:v>
      </x:c>
      <x:c r="Z607" s="8" t="n">
        <x:f>K607/H607-X607*I607/H607-Y607*J607/H607</x:f>
        <x:v>1.223684210526316</x:v>
      </x:c>
      <x:c r="AA607" s="8" t="n">
        <x:f>Z607+X607*Q607+Y607*R607</x:f>
        <x:v>8.276315789473685</x:v>
      </x:c>
    </x:row>
    <x:row r="608" ht="26" customHeight="1">
      <x:c r="A608" s="2"/>
      <x:c r="B608" s="2" t="n">
        <x:v>603</x:v>
      </x:c>
      <x:c r="C608" s="2" t="str">
        <x:v>Baby, Feminine &amp; Family Care / price_contribution</x:v>
      </x:c>
      <x:c r="D608" s="2" t="str">
        <x:v>Broad market</x:v>
      </x:c>
      <x:c r="E608" s="7" t="n">
        <x:v>45199</x:v>
      </x:c>
      <x:c r="F608" s="2" t="str">
        <x:v>Origin</x:v>
      </x:c>
      <x:c r="G608" s="7" t="n">
        <x:v>45108</x:v>
      </x:c>
      <x:c r="H608" s="2" t="n">
        <x:v>9</x:v>
      </x:c>
      <x:c r="I608" s="8" t="n">
        <x:v>22.94079143912051</x:v>
      </x:c>
      <x:c r="J608" s="8" t="n">
        <x:v>0</x:v>
      </x:c>
      <x:c r="K608" s="8" t="n">
        <x:v>40</x:v>
      </x:c>
      <x:c r="L608" s="8" t="n">
        <x:v>142.56645097949428</x:v>
      </x:c>
      <x:c r="M608" s="8" t="n">
        <x:v>0</x:v>
      </x:c>
      <x:c r="N608" s="8" t="n">
        <x:v>0</x:v>
      </x:c>
      <x:c r="O608" s="8" t="n">
        <x:v>181.13243813826068</x:v>
      </x:c>
      <x:c r="P608" s="8" t="n">
        <x:v>0</x:v>
      </x:c>
      <x:c r="Q608" s="8" t="n">
        <x:v>6.911987903518213</x:v>
      </x:c>
      <x:c r="R608" s="8" t="n">
        <x:v>0</x:v>
      </x:c>
      <x:c r="S608" s="8" t="n">
        <x:f>L608-I608^2/H608</x:f>
        <x:v>84.09090521802484</x:v>
      </x:c>
      <x:c r="T608" s="8" t="n">
        <x:f>M608-J608^2/H608</x:f>
        <x:v>0</x:v>
      </x:c>
      <x:c r="U608" s="8" t="n">
        <x:f>N608-I608*J608/H608</x:f>
        <x:v>0</x:v>
      </x:c>
      <x:c r="V608" s="8" t="n">
        <x:f>O608-I608*K608/H608</x:f>
        <x:v>79.17336507550286</x:v>
      </x:c>
      <x:c r="W608" s="8" t="n">
        <x:f>P608-J608*K608/H608</x:f>
        <x:v>0</x:v>
      </x:c>
      <x:c r="X608" s="8" t="n">
        <x:f>V608/S608</x:f>
        <x:v>0.9415211415577922</x:v>
      </x:c>
      <x:c r="Y608" s="8" t="n">
        <x:f>0</x:f>
        <x:v>0</x:v>
      </x:c>
      <x:c r="Z608" s="8" t="n">
        <x:f>K608/H608-X608*I608/H608-Y608*J608/H608</x:f>
        <x:v>2.044528872888893</x:v>
      </x:c>
      <x:c r="AA608" s="8" t="n">
        <x:f>Z608+X608*Q608+Y608*R608</x:f>
        <x:v>8.552311614243012</x:v>
      </x:c>
    </x:row>
    <x:row r="609" ht="26" customHeight="1">
      <x:c r="A609" s="2"/>
      <x:c r="B609" s="2" t="n">
        <x:v>604</x:v>
      </x:c>
      <x:c r="C609" s="2" t="str">
        <x:v>Baby, Feminine &amp; Family Care / price_contribution</x:v>
      </x:c>
      <x:c r="D609" s="2" t="str">
        <x:v>Broad rolling 8</x:v>
      </x:c>
      <x:c r="E609" s="7" t="n">
        <x:v>45199</x:v>
      </x:c>
      <x:c r="F609" s="2" t="str">
        <x:v>Origin</x:v>
      </x:c>
      <x:c r="G609" s="7" t="n">
        <x:v>45108</x:v>
      </x:c>
      <x:c r="H609" s="2" t="n">
        <x:v>8</x:v>
      </x:c>
      <x:c r="I609" s="8" t="n">
        <x:v>23.298494829725136</x:v>
      </x:c>
      <x:c r="J609" s="8" t="n">
        <x:v>0</x:v>
      </x:c>
      <x:c r="K609" s="8" t="n">
        <x:v>38</x:v>
      </x:c>
      <x:c r="L609" s="8" t="n">
        <x:v>142.43849926384422</x:v>
      </x:c>
      <x:c r="M609" s="8" t="n">
        <x:v>0</x:v>
      </x:c>
      <x:c r="N609" s="8" t="n">
        <x:v>0</x:v>
      </x:c>
      <x:c r="O609" s="8" t="n">
        <x:v>181.84784491946994</x:v>
      </x:c>
      <x:c r="P609" s="8" t="n">
        <x:v>0</x:v>
      </x:c>
      <x:c r="Q609" s="8" t="n">
        <x:v>6.911987903518213</x:v>
      </x:c>
      <x:c r="R609" s="8" t="n">
        <x:v>0</x:v>
      </x:c>
      <x:c r="S609" s="8" t="n">
        <x:f>L609-I609^2/H609</x:f>
        <x:v>74.5860165975031</x:v>
      </x:c>
      <x:c r="T609" s="8" t="n">
        <x:f>M609-J609^2/H609</x:f>
        <x:v>0</x:v>
      </x:c>
      <x:c r="U609" s="8" t="n">
        <x:f>N609-I609*J609/H609</x:f>
        <x:v>0</x:v>
      </x:c>
      <x:c r="V609" s="8" t="n">
        <x:f>O609-I609*K609/H609</x:f>
        <x:v>71.17999447827553</x:v>
      </x:c>
      <x:c r="W609" s="8" t="n">
        <x:f>P609-J609*K609/H609</x:f>
        <x:v>0</x:v>
      </x:c>
      <x:c r="X609" s="8" t="n">
        <x:f>V609/S609</x:f>
        <x:v>0.954334307225336</x:v>
      </x:c>
      <x:c r="Y609" s="8" t="n">
        <x:f>0</x:f>
        <x:v>0</x:v>
      </x:c>
      <x:c r="Z609" s="8" t="n">
        <x:f>K609/H609-X609*I609/H609-Y609*J609/H609</x:f>
        <x:v>1.970680884660149</x:v>
      </x:c>
      <x:c r="AA609" s="8" t="n">
        <x:f>Z609+X609*Q609+Y609*R609</x:f>
        <x:v>8.567028072114105</x:v>
      </x:c>
    </x:row>
    <x:row r="610" ht="26" customHeight="1">
      <x:c r="A610" s="2"/>
      <x:c r="B610" s="2" t="n">
        <x:v>605</x:v>
      </x:c>
      <x:c r="C610" s="2" t="str">
        <x:v>Baby, Feminine &amp; Family Care / price_contribution</x:v>
      </x:c>
      <x:c r="D610" s="2" t="str">
        <x:v>Broad market</x:v>
      </x:c>
      <x:c r="E610" s="7" t="n">
        <x:v>45199</x:v>
      </x:c>
      <x:c r="F610" s="2" t="str">
        <x:v>Prior report</x:v>
      </x:c>
      <x:c r="G610" s="7" t="n">
        <x:v>45135</x:v>
      </x:c>
      <x:c r="H610" s="2" t="n">
        <x:v>10</x:v>
      </x:c>
      <x:c r="I610" s="8" t="n">
        <x:v>29.99901867129957</x:v>
      </x:c>
      <x:c r="J610" s="8" t="n">
        <x:v>0</x:v>
      </x:c>
      <x:c r="K610" s="8" t="n">
        <x:v>48</x:v>
      </x:c>
      <x:c r="L610" s="8" t="n">
        <x:v>192.38502264056834</x:v>
      </x:c>
      <x:c r="M610" s="8" t="n">
        <x:v>0</x:v>
      </x:c>
      <x:c r="N610" s="8" t="n">
        <x:v>0</x:v>
      </x:c>
      <x:c r="O610" s="8" t="n">
        <x:v>237.59825599569317</x:v>
      </x:c>
      <x:c r="P610" s="8" t="n">
        <x:v>0</x:v>
      </x:c>
      <x:c r="Q610" s="8" t="n">
        <x:v>7.058173750908159</x:v>
      </x:c>
      <x:c r="R610" s="8" t="n">
        <x:v>0</x:v>
      </x:c>
      <x:c r="S610" s="8" t="n">
        <x:f>L610-I610^2/H610</x:f>
        <x:v>102.39091051647031</x:v>
      </x:c>
      <x:c r="T610" s="8" t="n">
        <x:f>M610-J610^2/H610</x:f>
        <x:v>0</x:v>
      </x:c>
      <x:c r="U610" s="8" t="n">
        <x:f>N610-I610*J610/H610</x:f>
        <x:v>0</x:v>
      </x:c>
      <x:c r="V610" s="8" t="n">
        <x:f>O610-I610*K610/H610</x:f>
        <x:v>93.60296637345522</x:v>
      </x:c>
      <x:c r="W610" s="8" t="n">
        <x:f>P610-J610*K610/H610</x:f>
        <x:v>0</x:v>
      </x:c>
      <x:c r="X610" s="8" t="n">
        <x:f>V610/S610</x:f>
        <x:v>0.9141726145544775</x:v>
      </x:c>
      <x:c r="Y610" s="8" t="n">
        <x:f>0</x:f>
        <x:v>0</x:v>
      </x:c>
      <x:c r="Z610" s="8" t="n">
        <x:f>K610/H610-X610*I610/H610-Y610*J610/H610</x:f>
        <x:v>2.0575718667189484</x:v>
      </x:c>
      <x:c r="AA610" s="8" t="n">
        <x:f>Z610+X610*Q610+Y610*R610</x:f>
        <x:v>8.509961018566443</x:v>
      </x:c>
    </x:row>
    <x:row r="611" ht="26" customHeight="1">
      <x:c r="A611" s="2"/>
      <x:c r="B611" s="2" t="n">
        <x:v>606</x:v>
      </x:c>
      <x:c r="C611" s="2" t="str">
        <x:v>Baby, Feminine &amp; Family Care / price_contribution</x:v>
      </x:c>
      <x:c r="D611" s="2" t="str">
        <x:v>Broad lag 1</x:v>
      </x:c>
      <x:c r="E611" s="7" t="n">
        <x:v>45199</x:v>
      </x:c>
      <x:c r="F611" s="2" t="str">
        <x:v>Prior report</x:v>
      </x:c>
      <x:c r="G611" s="7" t="n">
        <x:v>45135</x:v>
      </x:c>
      <x:c r="H611" s="2" t="n">
        <x:v>9</x:v>
      </x:c>
      <x:c r="I611" s="8" t="n">
        <x:v>22.94079143912051</x:v>
      </x:c>
      <x:c r="J611" s="8" t="n">
        <x:v>0</x:v>
      </x:c>
      <x:c r="K611" s="8" t="n">
        <x:v>46</x:v>
      </x:c>
      <x:c r="L611" s="8" t="n">
        <x:v>142.56645097949428</x:v>
      </x:c>
      <x:c r="M611" s="8" t="n">
        <x:v>0</x:v>
      </x:c>
      <x:c r="N611" s="8" t="n">
        <x:v>0</x:v>
      </x:c>
      <x:c r="O611" s="8" t="n">
        <x:v>187.52001604038261</x:v>
      </x:c>
      <x:c r="P611" s="8" t="n">
        <x:v>0</x:v>
      </x:c>
      <x:c r="Q611" s="8" t="n">
        <x:v>7.05822723217906</x:v>
      </x:c>
      <x:c r="R611" s="8" t="n">
        <x:v>0</x:v>
      </x:c>
      <x:c r="S611" s="8" t="n">
        <x:f>L611-I611^2/H611</x:f>
        <x:v>84.09090521802484</x:v>
      </x:c>
      <x:c r="T611" s="8" t="n">
        <x:f>M611-J611^2/H611</x:f>
        <x:v>0</x:v>
      </x:c>
      <x:c r="U611" s="8" t="n">
        <x:f>N611-I611*J611/H611</x:f>
        <x:v>0</x:v>
      </x:c>
      <x:c r="V611" s="8" t="n">
        <x:f>O611-I611*K611/H611</x:f>
        <x:v>70.26708201821111</x:v>
      </x:c>
      <x:c r="W611" s="8" t="n">
        <x:f>P611-J611*K611/H611</x:f>
        <x:v>0</x:v>
      </x:c>
      <x:c r="X611" s="8" t="n">
        <x:f>V611/S611</x:f>
        <x:v>0.83560858140399</x:v>
      </x:c>
      <x:c r="Y611" s="8" t="n">
        <x:f>0</x:f>
        <x:v>0</x:v>
      </x:c>
      <x:c r="Z611" s="8" t="n">
        <x:f>K611/H611-X611*I611/H611-Y611*J611/H611</x:f>
        <x:v>2.98116420103019</x:v>
      </x:c>
      <x:c r="AA611" s="8" t="n">
        <x:f>Z611+X611*Q611+Y611*R611</x:f>
        <x:v>8.879079445738345</x:v>
      </x:c>
    </x:row>
    <x:row r="612" ht="26" customHeight="1">
      <x:c r="A612" s="2"/>
      <x:c r="B612" s="2" t="n">
        <x:v>607</x:v>
      </x:c>
      <x:c r="C612" s="2" t="str">
        <x:v>Baby, Feminine &amp; Family Care / price_contribution</x:v>
      </x:c>
      <x:c r="D612" s="2" t="str">
        <x:v>Broad rolling 8</x:v>
      </x:c>
      <x:c r="E612" s="7" t="n">
        <x:v>45199</x:v>
      </x:c>
      <x:c r="F612" s="2" t="str">
        <x:v>Prior report</x:v>
      </x:c>
      <x:c r="G612" s="7" t="n">
        <x:v>45135</x:v>
      </x:c>
      <x:c r="H612" s="2" t="n">
        <x:v>8</x:v>
      </x:c>
      <x:c r="I612" s="8" t="n">
        <x:v>30.576982710611354</x:v>
      </x:c>
      <x:c r="J612" s="8" t="n">
        <x:v>0</x:v>
      </x:c>
      <x:c r="K612" s="8" t="n">
        <x:v>45</x:v>
      </x:c>
      <x:c r="L612" s="8" t="n">
        <x:v>192.2085561715494</x:v>
      </x:c>
      <x:c r="M612" s="8" t="n">
        <x:v>0</x:v>
      </x:c>
      <x:c r="N612" s="8" t="n">
        <x:v>0</x:v>
      </x:c>
      <x:c r="O612" s="8" t="n">
        <x:v>238.53392342560957</x:v>
      </x:c>
      <x:c r="P612" s="8" t="n">
        <x:v>0</x:v>
      </x:c>
      <x:c r="Q612" s="8" t="n">
        <x:v>7.058173750908159</x:v>
      </x:c>
      <x:c r="R612" s="8" t="n">
        <x:v>0</x:v>
      </x:c>
      <x:c r="S612" s="8" t="n">
        <x:f>L612-I612^2/H612</x:f>
        <x:v>75.33957221092118</x:v>
      </x:c>
      <x:c r="T612" s="8" t="n">
        <x:f>M612-J612^2/H612</x:f>
        <x:v>0</x:v>
      </x:c>
      <x:c r="U612" s="8" t="n">
        <x:f>N612-I612*J612/H612</x:f>
        <x:v>0</x:v>
      </x:c>
      <x:c r="V612" s="8" t="n">
        <x:f>O612-I612*K612/H612</x:f>
        <x:v>66.5383956784207</x:v>
      </x:c>
      <x:c r="W612" s="8" t="n">
        <x:f>P612-J612*K612/H612</x:f>
        <x:v>0</x:v>
      </x:c>
      <x:c r="X612" s="8" t="n">
        <x:f>V612/S612</x:f>
        <x:v>0.8831798977055425</x:v>
      </x:c>
      <x:c r="Y612" s="8" t="n">
        <x:f>0</x:f>
        <x:v>0</x:v>
      </x:c>
      <x:c r="Z612" s="8" t="n">
        <x:f>K612/H612-X612*I612/H612-Y612*J612/H612</x:f>
        <x:v>2.2493779421872655</x:v>
      </x:c>
      <x:c r="AA612" s="8" t="n">
        <x:f>Z612+X612*Q612+Y612*R612</x:f>
        <x:v>8.483015113502278</x:v>
      </x:c>
    </x:row>
    <x:row r="613" ht="26" customHeight="1">
      <x:c r="A613" s="2"/>
      <x:c r="B613" s="2" t="n">
        <x:v>608</x:v>
      </x:c>
      <x:c r="C613" s="2" t="str">
        <x:v>Baby, Feminine &amp; Family Care / price_contribution</x:v>
      </x:c>
      <x:c r="D613" s="2" t="str">
        <x:v>Own history</x:v>
      </x:c>
      <x:c r="E613" s="7" t="n">
        <x:v>45199</x:v>
      </x:c>
      <x:c r="F613" s="2" t="str">
        <x:v>Prior report</x:v>
      </x:c>
      <x:c r="G613" s="7" t="n">
        <x:v>45135</x:v>
      </x:c>
      <x:c r="H613" s="2" t="n">
        <x:v>9</x:v>
      </x:c>
      <x:c r="I613" s="8" t="n">
        <x:v>40</x:v>
      </x:c>
      <x:c r="J613" s="8" t="n">
        <x:v>0</x:v>
      </x:c>
      <x:c r="K613" s="8" t="n">
        <x:v>46</x:v>
      </x:c>
      <x:c r="L613" s="8" t="n">
        <x:v>268</x:v>
      </x:c>
      <x:c r="M613" s="8" t="n">
        <x:v>0</x:v>
      </x:c>
      <x:c r="N613" s="8" t="n">
        <x:v>0</x:v>
      </x:c>
      <x:c r="O613" s="8" t="n">
        <x:v>283</x:v>
      </x:c>
      <x:c r="P613" s="8" t="n">
        <x:v>0</x:v>
      </x:c>
      <x:c r="Q613" s="8" t="n">
        <x:v>8</x:v>
      </x:c>
      <x:c r="R613" s="8" t="n">
        <x:v>0</x:v>
      </x:c>
      <x:c r="S613" s="8" t="n">
        <x:f>L613-I613^2/H613</x:f>
        <x:v>90.22222222222223</x:v>
      </x:c>
      <x:c r="T613" s="8" t="n">
        <x:f>M613-J613^2/H613</x:f>
        <x:v>0</x:v>
      </x:c>
      <x:c r="U613" s="8" t="n">
        <x:f>N613-I613*J613/H613</x:f>
        <x:v>0</x:v>
      </x:c>
      <x:c r="V613" s="8" t="n">
        <x:f>O613-I613*K613/H613</x:f>
        <x:v>78.55555555555554</x:v>
      </x:c>
      <x:c r="W613" s="8" t="n">
        <x:f>P613-J613*K613/H613</x:f>
        <x:v>0</x:v>
      </x:c>
      <x:c r="X613" s="8" t="n">
        <x:f>V613/S613</x:f>
        <x:v>0.8706896551724136</x:v>
      </x:c>
      <x:c r="Y613" s="8" t="n">
        <x:f>0</x:f>
        <x:v>0</x:v>
      </x:c>
      <x:c r="Z613" s="8" t="n">
        <x:f>K613/H613-X613*I613/H613-Y613*J613/H613</x:f>
        <x:v>1.2413793103448283</x:v>
      </x:c>
      <x:c r="AA613" s="8" t="n">
        <x:f>Z613+X613*Q613+Y613*R613</x:f>
        <x:v>8.206896551724137</x:v>
      </x:c>
    </x:row>
    <x:row r="614" ht="26" customHeight="1">
      <x:c r="A614" s="2"/>
      <x:c r="B614" s="2" t="n">
        <x:v>609</x:v>
      </x:c>
      <x:c r="C614" s="2" t="str">
        <x:v>Baby, Feminine &amp; Family Care / price_contribution</x:v>
      </x:c>
      <x:c r="D614" s="2" t="str">
        <x:v>Broad market</x:v>
      </x:c>
      <x:c r="E614" s="7" t="n">
        <x:v>45199</x:v>
      </x:c>
      <x:c r="F614" s="2" t="str">
        <x:v>Pre-earnings</x:v>
      </x:c>
      <x:c r="G614" s="7" t="n">
        <x:v>45216</x:v>
      </x:c>
      <x:c r="H614" s="2" t="n">
        <x:v>10</x:v>
      </x:c>
      <x:c r="I614" s="8" t="n">
        <x:v>29.99901867129957</x:v>
      </x:c>
      <x:c r="J614" s="8" t="n">
        <x:v>0</x:v>
      </x:c>
      <x:c r="K614" s="8" t="n">
        <x:v>48</x:v>
      </x:c>
      <x:c r="L614" s="8" t="n">
        <x:v>192.38502264056834</x:v>
      </x:c>
      <x:c r="M614" s="8" t="n">
        <x:v>0</x:v>
      </x:c>
      <x:c r="N614" s="8" t="n">
        <x:v>0</x:v>
      </x:c>
      <x:c r="O614" s="8" t="n">
        <x:v>237.59825599569317</x:v>
      </x:c>
      <x:c r="P614" s="8" t="n">
        <x:v>0</x:v>
      </x:c>
      <x:c r="Q614" s="8" t="n">
        <x:v>5.4935927157217845</x:v>
      </x:c>
      <x:c r="R614" s="8" t="n">
        <x:v>0</x:v>
      </x:c>
      <x:c r="S614" s="8" t="n">
        <x:f>L614-I614^2/H614</x:f>
        <x:v>102.39091051647031</x:v>
      </x:c>
      <x:c r="T614" s="8" t="n">
        <x:f>M614-J614^2/H614</x:f>
        <x:v>0</x:v>
      </x:c>
      <x:c r="U614" s="8" t="n">
        <x:f>N614-I614*J614/H614</x:f>
        <x:v>0</x:v>
      </x:c>
      <x:c r="V614" s="8" t="n">
        <x:f>O614-I614*K614/H614</x:f>
        <x:v>93.60296637345522</x:v>
      </x:c>
      <x:c r="W614" s="8" t="n">
        <x:f>P614-J614*K614/H614</x:f>
        <x:v>0</x:v>
      </x:c>
      <x:c r="X614" s="8" t="n">
        <x:f>V614/S614</x:f>
        <x:v>0.9141726145544775</x:v>
      </x:c>
      <x:c r="Y614" s="8" t="n">
        <x:f>0</x:f>
        <x:v>0</x:v>
      </x:c>
      <x:c r="Z614" s="8" t="n">
        <x:f>K614/H614-X614*I614/H614-Y614*J614/H614</x:f>
        <x:v>2.0575718667189484</x:v>
      </x:c>
      <x:c r="AA614" s="8" t="n">
        <x:f>Z614+X614*Q614+Y614*R614</x:f>
        <x:v>7.079663882947765</x:v>
      </x:c>
    </x:row>
    <x:row r="615" ht="26" customHeight="1">
      <x:c r="A615" s="2"/>
      <x:c r="B615" s="2" t="n">
        <x:v>610</x:v>
      </x:c>
      <x:c r="C615" s="2" t="str">
        <x:v>Baby, Feminine &amp; Family Care / price_contribution</x:v>
      </x:c>
      <x:c r="D615" s="2" t="str">
        <x:v>Broad lag 1</x:v>
      </x:c>
      <x:c r="E615" s="7" t="n">
        <x:v>45199</x:v>
      </x:c>
      <x:c r="F615" s="2" t="str">
        <x:v>Pre-earnings</x:v>
      </x:c>
      <x:c r="G615" s="7" t="n">
        <x:v>45216</x:v>
      </x:c>
      <x:c r="H615" s="2" t="n">
        <x:v>9</x:v>
      </x:c>
      <x:c r="I615" s="8" t="n">
        <x:v>22.94079143912051</x:v>
      </x:c>
      <x:c r="J615" s="8" t="n">
        <x:v>0</x:v>
      </x:c>
      <x:c r="K615" s="8" t="n">
        <x:v>46</x:v>
      </x:c>
      <x:c r="L615" s="8" t="n">
        <x:v>142.56645097949428</x:v>
      </x:c>
      <x:c r="M615" s="8" t="n">
        <x:v>0</x:v>
      </x:c>
      <x:c r="N615" s="8" t="n">
        <x:v>0</x:v>
      </x:c>
      <x:c r="O615" s="8" t="n">
        <x:v>187.52001604038261</x:v>
      </x:c>
      <x:c r="P615" s="8" t="n">
        <x:v>0</x:v>
      </x:c>
      <x:c r="Q615" s="8" t="n">
        <x:v>7.05822723217906</x:v>
      </x:c>
      <x:c r="R615" s="8" t="n">
        <x:v>0</x:v>
      </x:c>
      <x:c r="S615" s="8" t="n">
        <x:f>L615-I615^2/H615</x:f>
        <x:v>84.09090521802484</x:v>
      </x:c>
      <x:c r="T615" s="8" t="n">
        <x:f>M615-J615^2/H615</x:f>
        <x:v>0</x:v>
      </x:c>
      <x:c r="U615" s="8" t="n">
        <x:f>N615-I615*J615/H615</x:f>
        <x:v>0</x:v>
      </x:c>
      <x:c r="V615" s="8" t="n">
        <x:f>O615-I615*K615/H615</x:f>
        <x:v>70.26708201821111</x:v>
      </x:c>
      <x:c r="W615" s="8" t="n">
        <x:f>P615-J615*K615/H615</x:f>
        <x:v>0</x:v>
      </x:c>
      <x:c r="X615" s="8" t="n">
        <x:f>V615/S615</x:f>
        <x:v>0.83560858140399</x:v>
      </x:c>
      <x:c r="Y615" s="8" t="n">
        <x:f>0</x:f>
        <x:v>0</x:v>
      </x:c>
      <x:c r="Z615" s="8" t="n">
        <x:f>K615/H615-X615*I615/H615-Y615*J615/H615</x:f>
        <x:v>2.98116420103019</x:v>
      </x:c>
      <x:c r="AA615" s="8" t="n">
        <x:f>Z615+X615*Q615+Y615*R615</x:f>
        <x:v>8.879079445738345</x:v>
      </x:c>
    </x:row>
    <x:row r="616" ht="26" customHeight="1">
      <x:c r="A616" s="2"/>
      <x:c r="B616" s="2" t="n">
        <x:v>611</x:v>
      </x:c>
      <x:c r="C616" s="2" t="str">
        <x:v>Baby, Feminine &amp; Family Care / price_contribution</x:v>
      </x:c>
      <x:c r="D616" s="2" t="str">
        <x:v>Broad rolling 8</x:v>
      </x:c>
      <x:c r="E616" s="7" t="n">
        <x:v>45199</x:v>
      </x:c>
      <x:c r="F616" s="2" t="str">
        <x:v>Pre-earnings</x:v>
      </x:c>
      <x:c r="G616" s="7" t="n">
        <x:v>45216</x:v>
      </x:c>
      <x:c r="H616" s="2" t="n">
        <x:v>8</x:v>
      </x:c>
      <x:c r="I616" s="8" t="n">
        <x:v>30.576982710611354</x:v>
      </x:c>
      <x:c r="J616" s="8" t="n">
        <x:v>0</x:v>
      </x:c>
      <x:c r="K616" s="8" t="n">
        <x:v>45</x:v>
      </x:c>
      <x:c r="L616" s="8" t="n">
        <x:v>192.2085561715494</x:v>
      </x:c>
      <x:c r="M616" s="8" t="n">
        <x:v>0</x:v>
      </x:c>
      <x:c r="N616" s="8" t="n">
        <x:v>0</x:v>
      </x:c>
      <x:c r="O616" s="8" t="n">
        <x:v>238.53392342560957</x:v>
      </x:c>
      <x:c r="P616" s="8" t="n">
        <x:v>0</x:v>
      </x:c>
      <x:c r="Q616" s="8" t="n">
        <x:v>5.4935927157217845</x:v>
      </x:c>
      <x:c r="R616" s="8" t="n">
        <x:v>0</x:v>
      </x:c>
      <x:c r="S616" s="8" t="n">
        <x:f>L616-I616^2/H616</x:f>
        <x:v>75.33957221092118</x:v>
      </x:c>
      <x:c r="T616" s="8" t="n">
        <x:f>M616-J616^2/H616</x:f>
        <x:v>0</x:v>
      </x:c>
      <x:c r="U616" s="8" t="n">
        <x:f>N616-I616*J616/H616</x:f>
        <x:v>0</x:v>
      </x:c>
      <x:c r="V616" s="8" t="n">
        <x:f>O616-I616*K616/H616</x:f>
        <x:v>66.5383956784207</x:v>
      </x:c>
      <x:c r="W616" s="8" t="n">
        <x:f>P616-J616*K616/H616</x:f>
        <x:v>0</x:v>
      </x:c>
      <x:c r="X616" s="8" t="n">
        <x:f>V616/S616</x:f>
        <x:v>0.8831798977055425</x:v>
      </x:c>
      <x:c r="Y616" s="8" t="n">
        <x:f>0</x:f>
        <x:v>0</x:v>
      </x:c>
      <x:c r="Z616" s="8" t="n">
        <x:f>K616/H616-X616*I616/H616-Y616*J616/H616</x:f>
        <x:v>2.2493779421872655</x:v>
      </x:c>
      <x:c r="AA616" s="8" t="n">
        <x:f>Z616+X616*Q616+Y616*R616</x:f>
        <x:v>7.101208594894345</x:v>
      </x:c>
    </x:row>
    <x:row r="617" ht="26" customHeight="1">
      <x:c r="A617" s="2"/>
      <x:c r="B617" s="2" t="n">
        <x:v>612</x:v>
      </x:c>
      <x:c r="C617" s="2" t="str">
        <x:v>Baby, Feminine &amp; Family Care / price_contribution</x:v>
      </x:c>
      <x:c r="D617" s="2" t="str">
        <x:v>Own history</x:v>
      </x:c>
      <x:c r="E617" s="7" t="n">
        <x:v>45199</x:v>
      </x:c>
      <x:c r="F617" s="2" t="str">
        <x:v>Pre-earnings</x:v>
      </x:c>
      <x:c r="G617" s="7" t="n">
        <x:v>45216</x:v>
      </x:c>
      <x:c r="H617" s="2" t="n">
        <x:v>9</x:v>
      </x:c>
      <x:c r="I617" s="8" t="n">
        <x:v>40</x:v>
      </x:c>
      <x:c r="J617" s="8" t="n">
        <x:v>0</x:v>
      </x:c>
      <x:c r="K617" s="8" t="n">
        <x:v>46</x:v>
      </x:c>
      <x:c r="L617" s="8" t="n">
        <x:v>268</x:v>
      </x:c>
      <x:c r="M617" s="8" t="n">
        <x:v>0</x:v>
      </x:c>
      <x:c r="N617" s="8" t="n">
        <x:v>0</x:v>
      </x:c>
      <x:c r="O617" s="8" t="n">
        <x:v>283</x:v>
      </x:c>
      <x:c r="P617" s="8" t="n">
        <x:v>0</x:v>
      </x:c>
      <x:c r="Q617" s="8" t="n">
        <x:v>8</x:v>
      </x:c>
      <x:c r="R617" s="8" t="n">
        <x:v>0</x:v>
      </x:c>
      <x:c r="S617" s="8" t="n">
        <x:f>L617-I617^2/H617</x:f>
        <x:v>90.22222222222223</x:v>
      </x:c>
      <x:c r="T617" s="8" t="n">
        <x:f>M617-J617^2/H617</x:f>
        <x:v>0</x:v>
      </x:c>
      <x:c r="U617" s="8" t="n">
        <x:f>N617-I617*J617/H617</x:f>
        <x:v>0</x:v>
      </x:c>
      <x:c r="V617" s="8" t="n">
        <x:f>O617-I617*K617/H617</x:f>
        <x:v>78.55555555555554</x:v>
      </x:c>
      <x:c r="W617" s="8" t="n">
        <x:f>P617-J617*K617/H617</x:f>
        <x:v>0</x:v>
      </x:c>
      <x:c r="X617" s="8" t="n">
        <x:f>V617/S617</x:f>
        <x:v>0.8706896551724136</x:v>
      </x:c>
      <x:c r="Y617" s="8" t="n">
        <x:f>0</x:f>
        <x:v>0</x:v>
      </x:c>
      <x:c r="Z617" s="8" t="n">
        <x:f>K617/H617-X617*I617/H617-Y617*J617/H617</x:f>
        <x:v>1.2413793103448283</x:v>
      </x:c>
      <x:c r="AA617" s="8" t="n">
        <x:f>Z617+X617*Q617+Y617*R617</x:f>
        <x:v>8.206896551724137</x:v>
      </x:c>
    </x:row>
    <x:row r="618" ht="26" customHeight="1">
      <x:c r="A618" s="2"/>
      <x:c r="B618" s="2" t="n">
        <x:v>613</x:v>
      </x:c>
      <x:c r="C618" s="2" t="str">
        <x:v>Baby, Feminine &amp; Family Care / price_contribution</x:v>
      </x:c>
      <x:c r="D618" s="2" t="str">
        <x:v>Broad market</x:v>
      </x:c>
      <x:c r="E618" s="7" t="n">
        <x:v>45291</x:v>
      </x:c>
      <x:c r="F618" s="2" t="str">
        <x:v>Origin</x:v>
      </x:c>
      <x:c r="G618" s="7" t="n">
        <x:v>45200</x:v>
      </x:c>
      <x:c r="H618" s="2" t="n">
        <x:v>10</x:v>
      </x:c>
      <x:c r="I618" s="8" t="n">
        <x:v>29.99901867129957</x:v>
      </x:c>
      <x:c r="J618" s="8" t="n">
        <x:v>0</x:v>
      </x:c>
      <x:c r="K618" s="8" t="n">
        <x:v>48</x:v>
      </x:c>
      <x:c r="L618" s="8" t="n">
        <x:v>192.38502264056834</x:v>
      </x:c>
      <x:c r="M618" s="8" t="n">
        <x:v>0</x:v>
      </x:c>
      <x:c r="N618" s="8" t="n">
        <x:v>0</x:v>
      </x:c>
      <x:c r="O618" s="8" t="n">
        <x:v>237.59825599569317</x:v>
      </x:c>
      <x:c r="P618" s="8" t="n">
        <x:v>0</x:v>
      </x:c>
      <x:c r="Q618" s="8" t="n">
        <x:v>6.115186149321272</x:v>
      </x:c>
      <x:c r="R618" s="8" t="n">
        <x:v>0</x:v>
      </x:c>
      <x:c r="S618" s="8" t="n">
        <x:f>L618-I618^2/H618</x:f>
        <x:v>102.39091051647031</x:v>
      </x:c>
      <x:c r="T618" s="8" t="n">
        <x:f>M618-J618^2/H618</x:f>
        <x:v>0</x:v>
      </x:c>
      <x:c r="U618" s="8" t="n">
        <x:f>N618-I618*J618/H618</x:f>
        <x:v>0</x:v>
      </x:c>
      <x:c r="V618" s="8" t="n">
        <x:f>O618-I618*K618/H618</x:f>
        <x:v>93.60296637345522</x:v>
      </x:c>
      <x:c r="W618" s="8" t="n">
        <x:f>P618-J618*K618/H618</x:f>
        <x:v>0</x:v>
      </x:c>
      <x:c r="X618" s="8" t="n">
        <x:f>V618/S618</x:f>
        <x:v>0.9141726145544775</x:v>
      </x:c>
      <x:c r="Y618" s="8" t="n">
        <x:f>0</x:f>
        <x:v>0</x:v>
      </x:c>
      <x:c r="Z618" s="8" t="n">
        <x:f>K618/H618-X618*I618/H618-Y618*J618/H618</x:f>
        <x:v>2.0575718667189484</x:v>
      </x:c>
      <x:c r="AA618" s="8" t="n">
        <x:f>Z618+X618*Q618+Y618*R618</x:f>
        <x:v>7.647907577331304</x:v>
      </x:c>
    </x:row>
    <x:row r="619" ht="26" customHeight="1">
      <x:c r="A619" s="2"/>
      <x:c r="B619" s="2" t="n">
        <x:v>614</x:v>
      </x:c>
      <x:c r="C619" s="2" t="str">
        <x:v>Baby, Feminine &amp; Family Care / price_contribution</x:v>
      </x:c>
      <x:c r="D619" s="2" t="str">
        <x:v>Broad rolling 8</x:v>
      </x:c>
      <x:c r="E619" s="7" t="n">
        <x:v>45291</x:v>
      </x:c>
      <x:c r="F619" s="2" t="str">
        <x:v>Origin</x:v>
      </x:c>
      <x:c r="G619" s="7" t="n">
        <x:v>45200</x:v>
      </x:c>
      <x:c r="H619" s="2" t="n">
        <x:v>8</x:v>
      </x:c>
      <x:c r="I619" s="8" t="n">
        <x:v>30.576982710611354</x:v>
      </x:c>
      <x:c r="J619" s="8" t="n">
        <x:v>0</x:v>
      </x:c>
      <x:c r="K619" s="8" t="n">
        <x:v>45</x:v>
      </x:c>
      <x:c r="L619" s="8" t="n">
        <x:v>192.2085561715494</x:v>
      </x:c>
      <x:c r="M619" s="8" t="n">
        <x:v>0</x:v>
      </x:c>
      <x:c r="N619" s="8" t="n">
        <x:v>0</x:v>
      </x:c>
      <x:c r="O619" s="8" t="n">
        <x:v>238.53392342560957</x:v>
      </x:c>
      <x:c r="P619" s="8" t="n">
        <x:v>0</x:v>
      </x:c>
      <x:c r="Q619" s="8" t="n">
        <x:v>6.115186149321272</x:v>
      </x:c>
      <x:c r="R619" s="8" t="n">
        <x:v>0</x:v>
      </x:c>
      <x:c r="S619" s="8" t="n">
        <x:f>L619-I619^2/H619</x:f>
        <x:v>75.33957221092118</x:v>
      </x:c>
      <x:c r="T619" s="8" t="n">
        <x:f>M619-J619^2/H619</x:f>
        <x:v>0</x:v>
      </x:c>
      <x:c r="U619" s="8" t="n">
        <x:f>N619-I619*J619/H619</x:f>
        <x:v>0</x:v>
      </x:c>
      <x:c r="V619" s="8" t="n">
        <x:f>O619-I619*K619/H619</x:f>
        <x:v>66.5383956784207</x:v>
      </x:c>
      <x:c r="W619" s="8" t="n">
        <x:f>P619-J619*K619/H619</x:f>
        <x:v>0</x:v>
      </x:c>
      <x:c r="X619" s="8" t="n">
        <x:f>V619/S619</x:f>
        <x:v>0.8831798977055425</x:v>
      </x:c>
      <x:c r="Y619" s="8" t="n">
        <x:f>0</x:f>
        <x:v>0</x:v>
      </x:c>
      <x:c r="Z619" s="8" t="n">
        <x:f>K619/H619-X619*I619/H619-Y619*J619/H619</x:f>
        <x:v>2.2493779421872655</x:v>
      </x:c>
      <x:c r="AA619" s="8" t="n">
        <x:f>Z619+X619*Q619+Y619*R619</x:f>
        <x:v>7.650187419995177</x:v>
      </x:c>
    </x:row>
    <x:row r="620" ht="26" customHeight="1">
      <x:c r="A620" s="2"/>
      <x:c r="B620" s="2" t="n">
        <x:v>615</x:v>
      </x:c>
      <x:c r="C620" s="2" t="str">
        <x:v>Baby, Feminine &amp; Family Care / price_contribution</x:v>
      </x:c>
      <x:c r="D620" s="2" t="str">
        <x:v>Own history</x:v>
      </x:c>
      <x:c r="E620" s="7" t="n">
        <x:v>45291</x:v>
      </x:c>
      <x:c r="F620" s="2" t="str">
        <x:v>Origin</x:v>
      </x:c>
      <x:c r="G620" s="7" t="n">
        <x:v>45200</x:v>
      </x:c>
      <x:c r="H620" s="2" t="n">
        <x:v>8</x:v>
      </x:c>
      <x:c r="I620" s="8" t="n">
        <x:v>32</x:v>
      </x:c>
      <x:c r="J620" s="8" t="n">
        <x:v>0</x:v>
      </x:c>
      <x:c r="K620" s="8" t="n">
        <x:v>45</x:v>
      </x:c>
      <x:c r="L620" s="8" t="n">
        <x:v>204</x:v>
      </x:c>
      <x:c r="M620" s="8" t="n">
        <x:v>0</x:v>
      </x:c>
      <x:c r="N620" s="8" t="n">
        <x:v>0</x:v>
      </x:c>
      <x:c r="O620" s="8" t="n">
        <x:v>230</x:v>
      </x:c>
      <x:c r="P620" s="8" t="n">
        <x:v>0</x:v>
      </x:c>
      <x:c r="Q620" s="8" t="n">
        <x:v>8</x:v>
      </x:c>
      <x:c r="R620" s="8" t="n">
        <x:v>0</x:v>
      </x:c>
      <x:c r="S620" s="8" t="n">
        <x:f>L620-I620^2/H620</x:f>
        <x:v>76</x:v>
      </x:c>
      <x:c r="T620" s="8" t="n">
        <x:f>M620-J620^2/H620</x:f>
        <x:v>0</x:v>
      </x:c>
      <x:c r="U620" s="8" t="n">
        <x:f>N620-I620*J620/H620</x:f>
        <x:v>0</x:v>
      </x:c>
      <x:c r="V620" s="8" t="n">
        <x:f>O620-I620*K620/H620</x:f>
        <x:v>50</x:v>
      </x:c>
      <x:c r="W620" s="8" t="n">
        <x:f>P620-J620*K620/H620</x:f>
        <x:v>0</x:v>
      </x:c>
      <x:c r="X620" s="8" t="n">
        <x:f>V620/S620</x:f>
        <x:v>0.6578947368421053</x:v>
      </x:c>
      <x:c r="Y620" s="8" t="n">
        <x:f>0</x:f>
        <x:v>0</x:v>
      </x:c>
      <x:c r="Z620" s="8" t="n">
        <x:f>K620/H620-X620*I620/H620-Y620*J620/H620</x:f>
        <x:v>2.9934210526315788</x:v>
      </x:c>
      <x:c r="AA620" s="8" t="n">
        <x:f>Z620+X620*Q620+Y620*R620</x:f>
        <x:v>8.256578947368421</x:v>
      </x:c>
    </x:row>
    <x:row r="621" ht="26" customHeight="1">
      <x:c r="A621" s="2"/>
      <x:c r="B621" s="2" t="n">
        <x:v>616</x:v>
      </x:c>
      <x:c r="C621" s="2" t="str">
        <x:v>Baby, Feminine &amp; Family Care / price_contribution</x:v>
      </x:c>
      <x:c r="D621" s="2" t="str">
        <x:v>Broad market</x:v>
      </x:c>
      <x:c r="E621" s="7" t="n">
        <x:v>45291</x:v>
      </x:c>
      <x:c r="F621" s="2" t="str">
        <x:v>Prior report</x:v>
      </x:c>
      <x:c r="G621" s="7" t="n">
        <x:v>45217</x:v>
      </x:c>
      <x:c r="H621" s="2" t="n">
        <x:v>11</x:v>
      </x:c>
      <x:c r="I621" s="8" t="n">
        <x:v>35.492611387021356</x:v>
      </x:c>
      <x:c r="J621" s="8" t="n">
        <x:v>0</x:v>
      </x:c>
      <x:c r="K621" s="8" t="n">
        <x:v>56</x:v>
      </x:c>
      <x:c r="L621" s="8" t="n">
        <x:v>222.5645835667998</x:v>
      </x:c>
      <x:c r="M621" s="8" t="n">
        <x:v>0</x:v>
      </x:c>
      <x:c r="N621" s="8" t="n">
        <x:v>0</x:v>
      </x:c>
      <x:c r="O621" s="8" t="n">
        <x:v>281.54699772146745</x:v>
      </x:c>
      <x:c r="P621" s="8" t="n">
        <x:v>0</x:v>
      </x:c>
      <x:c r="Q621" s="8" t="n">
        <x:v>5.498311526452704</x:v>
      </x:c>
      <x:c r="R621" s="8" t="n">
        <x:v>0</x:v>
      </x:c>
      <x:c r="S621" s="8" t="n">
        <x:f>L621-I621^2/H621</x:f>
        <x:v>108.0440869240618</x:v>
      </x:c>
      <x:c r="T621" s="8" t="n">
        <x:f>M621-J621^2/H621</x:f>
        <x:v>0</x:v>
      </x:c>
      <x:c r="U621" s="8" t="n">
        <x:f>N621-I621*J621/H621</x:f>
        <x:v>0</x:v>
      </x:c>
      <x:c r="V621" s="8" t="n">
        <x:f>O621-I621*K621/H621</x:f>
        <x:v>100.85733975117691</x:v>
      </x:c>
      <x:c r="W621" s="8" t="n">
        <x:f>P621-J621*K621/H621</x:f>
        <x:v>0</x:v>
      </x:c>
      <x:c r="X621" s="8" t="n">
        <x:f>V621/S621</x:f>
        <x:v>0.9334831976697062</x:v>
      </x:c>
      <x:c r="Y621" s="8" t="n">
        <x:f>0</x:f>
        <x:v>0</x:v>
      </x:c>
      <x:c r="Z621" s="8" t="n">
        <x:f>K621/H621-X621*I621/H621-Y621*J621/H621</x:f>
        <x:v>2.0789312389813706</x:v>
      </x:c>
      <x:c r="AA621" s="8" t="n">
        <x:f>Z621+X621*Q621+Y621*R621</x:f>
        <x:v>7.211512664478644</x:v>
      </x:c>
    </x:row>
    <x:row r="622" ht="26" customHeight="1">
      <x:c r="A622" s="2"/>
      <x:c r="B622" s="2" t="n">
        <x:v>617</x:v>
      </x:c>
      <x:c r="C622" s="2" t="str">
        <x:v>Baby, Feminine &amp; Family Care / price_contribution</x:v>
      </x:c>
      <x:c r="D622" s="2" t="str">
        <x:v>Broad lag 1</x:v>
      </x:c>
      <x:c r="E622" s="7" t="n">
        <x:v>45291</x:v>
      </x:c>
      <x:c r="F622" s="2" t="str">
        <x:v>Prior report</x:v>
      </x:c>
      <x:c r="G622" s="7" t="n">
        <x:v>45217</x:v>
      </x:c>
      <x:c r="H622" s="2" t="n">
        <x:v>10</x:v>
      </x:c>
      <x:c r="I622" s="8" t="n">
        <x:v>29.99901867129957</x:v>
      </x:c>
      <x:c r="J622" s="8" t="n">
        <x:v>0</x:v>
      </x:c>
      <x:c r="K622" s="8" t="n">
        <x:v>54</x:v>
      </x:c>
      <x:c r="L622" s="8" t="n">
        <x:v>192.38502264056834</x:v>
      </x:c>
      <x:c r="M622" s="8" t="n">
        <x:v>0</x:v>
      </x:c>
      <x:c r="N622" s="8" t="n">
        <x:v>0</x:v>
      </x:c>
      <x:c r="O622" s="8" t="n">
        <x:v>243.9858338978151</x:v>
      </x:c>
      <x:c r="P622" s="8" t="n">
        <x:v>0</x:v>
      </x:c>
      <x:c r="Q622" s="8" t="n">
        <x:v>5.4935927157217845</x:v>
      </x:c>
      <x:c r="R622" s="8" t="n">
        <x:v>0</x:v>
      </x:c>
      <x:c r="S622" s="8" t="n">
        <x:f>L622-I622^2/H622</x:f>
        <x:v>102.39091051647031</x:v>
      </x:c>
      <x:c r="T622" s="8" t="n">
        <x:f>M622-J622^2/H622</x:f>
        <x:v>0</x:v>
      </x:c>
      <x:c r="U622" s="8" t="n">
        <x:f>N622-I622*J622/H622</x:f>
        <x:v>0</x:v>
      </x:c>
      <x:c r="V622" s="8" t="n">
        <x:f>O622-I622*K622/H622</x:f>
        <x:v>81.99113307279742</x:v>
      </x:c>
      <x:c r="W622" s="8" t="n">
        <x:f>P622-J622*K622/H622</x:f>
        <x:v>0</x:v>
      </x:c>
      <x:c r="X622" s="8" t="n">
        <x:f>V622/S622</x:f>
        <x:v>0.8007657384744964</x:v>
      </x:c>
      <x:c r="Y622" s="8" t="n">
        <x:f>0</x:f>
        <x:v>0</x:v>
      </x:c>
      <x:c r="Z622" s="8" t="n">
        <x:f>K622/H622-X622*I622/H622-Y622*J622/H622</x:f>
        <x:v>2.9977813660166595</x:v>
      </x:c>
      <x:c r="AA622" s="8" t="n">
        <x:f>Z622+X622*Q622+Y622*R622</x:f>
        <x:v>7.396862193899729</x:v>
      </x:c>
    </x:row>
    <x:row r="623" ht="26" customHeight="1">
      <x:c r="A623" s="2"/>
      <x:c r="B623" s="2" t="n">
        <x:v>618</x:v>
      </x:c>
      <x:c r="C623" s="2" t="str">
        <x:v>Baby, Feminine &amp; Family Care / price_contribution</x:v>
      </x:c>
      <x:c r="D623" s="2" t="str">
        <x:v>Broad rolling 8</x:v>
      </x:c>
      <x:c r="E623" s="7" t="n">
        <x:v>45291</x:v>
      </x:c>
      <x:c r="F623" s="2" t="str">
        <x:v>Prior report</x:v>
      </x:c>
      <x:c r="G623" s="7" t="n">
        <x:v>45217</x:v>
      </x:c>
      <x:c r="H623" s="2" t="n">
        <x:v>8</x:v>
      </x:c>
      <x:c r="I623" s="8" t="n">
        <x:v>36.40194937934132</x:v>
      </x:c>
      <x:c r="J623" s="8" t="n">
        <x:v>0</x:v>
      </x:c>
      <x:c r="K623" s="8" t="n">
        <x:v>54</x:v>
      </x:c>
      <x:c r="L623" s="8" t="n">
        <x:v>222.27830840104858</x:v>
      </x:c>
      <x:c r="M623" s="8" t="n">
        <x:v>0</x:v>
      </x:c>
      <x:c r="N623" s="8" t="n">
        <x:v>0</x:v>
      </x:c>
      <x:c r="O623" s="8" t="n">
        <x:v>282.1512911983757</x:v>
      </x:c>
      <x:c r="P623" s="8" t="n">
        <x:v>0</x:v>
      </x:c>
      <x:c r="Q623" s="8" t="n">
        <x:v>5.498311526452704</x:v>
      </x:c>
      <x:c r="R623" s="8" t="n">
        <x:v>0</x:v>
      </x:c>
      <x:c r="S623" s="8" t="n">
        <x:f>L623-I623^2/H623</x:f>
        <x:v>56.64056857403261</x:v>
      </x:c>
      <x:c r="T623" s="8" t="n">
        <x:f>M623-J623^2/H623</x:f>
        <x:v>0</x:v>
      </x:c>
      <x:c r="U623" s="8" t="n">
        <x:f>N623-I623*J623/H623</x:f>
        <x:v>0</x:v>
      </x:c>
      <x:c r="V623" s="8" t="n">
        <x:f>O623-I623*K623/H623</x:f>
        <x:v>36.43813288782181</x:v>
      </x:c>
      <x:c r="W623" s="8" t="n">
        <x:f>P623-J623*K623/H623</x:f>
        <x:v>0</x:v>
      </x:c>
      <x:c r="X623" s="8" t="n">
        <x:f>V623/S623</x:f>
        <x:v>0.6433221594552849</x:v>
      </x:c>
      <x:c r="Y623" s="8" t="n">
        <x:f>0</x:f>
        <x:v>0</x:v>
      </x:c>
      <x:c r="Z623" s="8" t="n">
        <x:f>K623/H623-X623*I623/H623-Y623*J623/H623</x:f>
        <x:v>3.8227274146125216</x:v>
      </x:c>
      <x:c r="AA623" s="8" t="n">
        <x:f>Z623+X623*Q623+Y623*R623</x:f>
        <x:v>7.359913059167959</x:v>
      </x:c>
    </x:row>
    <x:row r="624" ht="26" customHeight="1">
      <x:c r="A624" s="2"/>
      <x:c r="B624" s="2" t="n">
        <x:v>619</x:v>
      </x:c>
      <x:c r="C624" s="2" t="str">
        <x:v>Baby, Feminine &amp; Family Care / price_contribution</x:v>
      </x:c>
      <x:c r="D624" s="2" t="str">
        <x:v>Own history</x:v>
      </x:c>
      <x:c r="E624" s="7" t="n">
        <x:v>45291</x:v>
      </x:c>
      <x:c r="F624" s="2" t="str">
        <x:v>Prior report</x:v>
      </x:c>
      <x:c r="G624" s="7" t="n">
        <x:v>45217</x:v>
      </x:c>
      <x:c r="H624" s="2" t="n">
        <x:v>10</x:v>
      </x:c>
      <x:c r="I624" s="8" t="n">
        <x:v>48</x:v>
      </x:c>
      <x:c r="J624" s="8" t="n">
        <x:v>0</x:v>
      </x:c>
      <x:c r="K624" s="8" t="n">
        <x:v>54</x:v>
      </x:c>
      <x:c r="L624" s="8" t="n">
        <x:v>332</x:v>
      </x:c>
      <x:c r="M624" s="8" t="n">
        <x:v>0</x:v>
      </x:c>
      <x:c r="N624" s="8" t="n">
        <x:v>0</x:v>
      </x:c>
      <x:c r="O624" s="8" t="n">
        <x:v>347</x:v>
      </x:c>
      <x:c r="P624" s="8" t="n">
        <x:v>0</x:v>
      </x:c>
      <x:c r="Q624" s="8" t="n">
        <x:v>8</x:v>
      </x:c>
      <x:c r="R624" s="8" t="n">
        <x:v>0</x:v>
      </x:c>
      <x:c r="S624" s="8" t="n">
        <x:f>L624-I624^2/H624</x:f>
        <x:v>101.6</x:v>
      </x:c>
      <x:c r="T624" s="8" t="n">
        <x:f>M624-J624^2/H624</x:f>
        <x:v>0</x:v>
      </x:c>
      <x:c r="U624" s="8" t="n">
        <x:f>N624-I624*J624/H624</x:f>
        <x:v>0</x:v>
      </x:c>
      <x:c r="V624" s="8" t="n">
        <x:f>O624-I624*K624/H624</x:f>
        <x:v>87.80000000000001</x:v>
      </x:c>
      <x:c r="W624" s="8" t="n">
        <x:f>P624-J624*K624/H624</x:f>
        <x:v>0</x:v>
      </x:c>
      <x:c r="X624" s="8" t="n">
        <x:f>V624/S624</x:f>
        <x:v>0.8641732283464568</x:v>
      </x:c>
      <x:c r="Y624" s="8" t="n">
        <x:f>0</x:f>
        <x:v>0</x:v>
      </x:c>
      <x:c r="Z624" s="8" t="n">
        <x:f>K624/H624-X624*I624/H624-Y624*J624/H624</x:f>
        <x:v>1.2519685039370074</x:v>
      </x:c>
      <x:c r="AA624" s="8" t="n">
        <x:f>Z624+X624*Q624+Y624*R624</x:f>
        <x:v>8.165354330708663</x:v>
      </x:c>
    </x:row>
    <x:row r="625" ht="26" customHeight="1">
      <x:c r="A625" s="2"/>
      <x:c r="B625" s="2" t="n">
        <x:v>620</x:v>
      </x:c>
      <x:c r="C625" s="2" t="str">
        <x:v>Baby, Feminine &amp; Family Care / price_contribution</x:v>
      </x:c>
      <x:c r="D625" s="2" t="str">
        <x:v>Broad market</x:v>
      </x:c>
      <x:c r="E625" s="7" t="n">
        <x:v>45291</x:v>
      </x:c>
      <x:c r="F625" s="2" t="str">
        <x:v>Pre-earnings</x:v>
      </x:c>
      <x:c r="G625" s="7" t="n">
        <x:v>45313</x:v>
      </x:c>
      <x:c r="H625" s="2" t="n">
        <x:v>11</x:v>
      </x:c>
      <x:c r="I625" s="8" t="n">
        <x:v>35.492611387021356</x:v>
      </x:c>
      <x:c r="J625" s="8" t="n">
        <x:v>0</x:v>
      </x:c>
      <x:c r="K625" s="8" t="n">
        <x:v>56</x:v>
      </x:c>
      <x:c r="L625" s="8" t="n">
        <x:v>222.5645835667998</x:v>
      </x:c>
      <x:c r="M625" s="8" t="n">
        <x:v>0</x:v>
      </x:c>
      <x:c r="N625" s="8" t="n">
        <x:v>0</x:v>
      </x:c>
      <x:c r="O625" s="8" t="n">
        <x:v>281.54699772146745</x:v>
      </x:c>
      <x:c r="P625" s="8" t="n">
        <x:v>0</x:v>
      </x:c>
      <x:c r="Q625" s="8" t="n">
        <x:v>4.212216519153356</x:v>
      </x:c>
      <x:c r="R625" s="8" t="n">
        <x:v>0</x:v>
      </x:c>
      <x:c r="S625" s="8" t="n">
        <x:f>L625-I625^2/H625</x:f>
        <x:v>108.0440869240618</x:v>
      </x:c>
      <x:c r="T625" s="8" t="n">
        <x:f>M625-J625^2/H625</x:f>
        <x:v>0</x:v>
      </x:c>
      <x:c r="U625" s="8" t="n">
        <x:f>N625-I625*J625/H625</x:f>
        <x:v>0</x:v>
      </x:c>
      <x:c r="V625" s="8" t="n">
        <x:f>O625-I625*K625/H625</x:f>
        <x:v>100.85733975117691</x:v>
      </x:c>
      <x:c r="W625" s="8" t="n">
        <x:f>P625-J625*K625/H625</x:f>
        <x:v>0</x:v>
      </x:c>
      <x:c r="X625" s="8" t="n">
        <x:f>V625/S625</x:f>
        <x:v>0.9334831976697062</x:v>
      </x:c>
      <x:c r="Y625" s="8" t="n">
        <x:f>0</x:f>
        <x:v>0</x:v>
      </x:c>
      <x:c r="Z625" s="8" t="n">
        <x:f>K625/H625-X625*I625/H625-Y625*J625/H625</x:f>
        <x:v>2.0789312389813706</x:v>
      </x:c>
      <x:c r="AA625" s="8" t="n">
        <x:f>Z625+X625*Q625+Y625*R625</x:f>
        <x:v>6.010964584557804</x:v>
      </x:c>
    </x:row>
    <x:row r="626" ht="26" customHeight="1">
      <x:c r="A626" s="2"/>
      <x:c r="B626" s="2" t="n">
        <x:v>621</x:v>
      </x:c>
      <x:c r="C626" s="2" t="str">
        <x:v>Baby, Feminine &amp; Family Care / price_contribution</x:v>
      </x:c>
      <x:c r="D626" s="2" t="str">
        <x:v>Broad lag 1</x:v>
      </x:c>
      <x:c r="E626" s="7" t="n">
        <x:v>45291</x:v>
      </x:c>
      <x:c r="F626" s="2" t="str">
        <x:v>Pre-earnings</x:v>
      </x:c>
      <x:c r="G626" s="7" t="n">
        <x:v>45313</x:v>
      </x:c>
      <x:c r="H626" s="2" t="n">
        <x:v>10</x:v>
      </x:c>
      <x:c r="I626" s="8" t="n">
        <x:v>29.99901867129957</x:v>
      </x:c>
      <x:c r="J626" s="8" t="n">
        <x:v>0</x:v>
      </x:c>
      <x:c r="K626" s="8" t="n">
        <x:v>54</x:v>
      </x:c>
      <x:c r="L626" s="8" t="n">
        <x:v>192.38502264056834</x:v>
      </x:c>
      <x:c r="M626" s="8" t="n">
        <x:v>0</x:v>
      </x:c>
      <x:c r="N626" s="8" t="n">
        <x:v>0</x:v>
      </x:c>
      <x:c r="O626" s="8" t="n">
        <x:v>243.9858338978151</x:v>
      </x:c>
      <x:c r="P626" s="8" t="n">
        <x:v>0</x:v>
      </x:c>
      <x:c r="Q626" s="8" t="n">
        <x:v>5.4935927157217845</x:v>
      </x:c>
      <x:c r="R626" s="8" t="n">
        <x:v>0</x:v>
      </x:c>
      <x:c r="S626" s="8" t="n">
        <x:f>L626-I626^2/H626</x:f>
        <x:v>102.39091051647031</x:v>
      </x:c>
      <x:c r="T626" s="8" t="n">
        <x:f>M626-J626^2/H626</x:f>
        <x:v>0</x:v>
      </x:c>
      <x:c r="U626" s="8" t="n">
        <x:f>N626-I626*J626/H626</x:f>
        <x:v>0</x:v>
      </x:c>
      <x:c r="V626" s="8" t="n">
        <x:f>O626-I626*K626/H626</x:f>
        <x:v>81.99113307279742</x:v>
      </x:c>
      <x:c r="W626" s="8" t="n">
        <x:f>P626-J626*K626/H626</x:f>
        <x:v>0</x:v>
      </x:c>
      <x:c r="X626" s="8" t="n">
        <x:f>V626/S626</x:f>
        <x:v>0.8007657384744964</x:v>
      </x:c>
      <x:c r="Y626" s="8" t="n">
        <x:f>0</x:f>
        <x:v>0</x:v>
      </x:c>
      <x:c r="Z626" s="8" t="n">
        <x:f>K626/H626-X626*I626/H626-Y626*J626/H626</x:f>
        <x:v>2.9977813660166595</x:v>
      </x:c>
      <x:c r="AA626" s="8" t="n">
        <x:f>Z626+X626*Q626+Y626*R626</x:f>
        <x:v>7.396862193899729</x:v>
      </x:c>
    </x:row>
    <x:row r="627" ht="26" customHeight="1">
      <x:c r="A627" s="2"/>
      <x:c r="B627" s="2" t="n">
        <x:v>622</x:v>
      </x:c>
      <x:c r="C627" s="2" t="str">
        <x:v>Baby, Feminine &amp; Family Care / price_contribution</x:v>
      </x:c>
      <x:c r="D627" s="2" t="str">
        <x:v>Broad rolling 8</x:v>
      </x:c>
      <x:c r="E627" s="7" t="n">
        <x:v>45291</x:v>
      </x:c>
      <x:c r="F627" s="2" t="str">
        <x:v>Pre-earnings</x:v>
      </x:c>
      <x:c r="G627" s="7" t="n">
        <x:v>45313</x:v>
      </x:c>
      <x:c r="H627" s="2" t="n">
        <x:v>8</x:v>
      </x:c>
      <x:c r="I627" s="8" t="n">
        <x:v>36.40194937934132</x:v>
      </x:c>
      <x:c r="J627" s="8" t="n">
        <x:v>0</x:v>
      </x:c>
      <x:c r="K627" s="8" t="n">
        <x:v>54</x:v>
      </x:c>
      <x:c r="L627" s="8" t="n">
        <x:v>222.27830840104858</x:v>
      </x:c>
      <x:c r="M627" s="8" t="n">
        <x:v>0</x:v>
      </x:c>
      <x:c r="N627" s="8" t="n">
        <x:v>0</x:v>
      </x:c>
      <x:c r="O627" s="8" t="n">
        <x:v>282.1512911983757</x:v>
      </x:c>
      <x:c r="P627" s="8" t="n">
        <x:v>0</x:v>
      </x:c>
      <x:c r="Q627" s="8" t="n">
        <x:v>4.212216519153356</x:v>
      </x:c>
      <x:c r="R627" s="8" t="n">
        <x:v>0</x:v>
      </x:c>
      <x:c r="S627" s="8" t="n">
        <x:f>L627-I627^2/H627</x:f>
        <x:v>56.64056857403261</x:v>
      </x:c>
      <x:c r="T627" s="8" t="n">
        <x:f>M627-J627^2/H627</x:f>
        <x:v>0</x:v>
      </x:c>
      <x:c r="U627" s="8" t="n">
        <x:f>N627-I627*J627/H627</x:f>
        <x:v>0</x:v>
      </x:c>
      <x:c r="V627" s="8" t="n">
        <x:f>O627-I627*K627/H627</x:f>
        <x:v>36.43813288782181</x:v>
      </x:c>
      <x:c r="W627" s="8" t="n">
        <x:f>P627-J627*K627/H627</x:f>
        <x:v>0</x:v>
      </x:c>
      <x:c r="X627" s="8" t="n">
        <x:f>V627/S627</x:f>
        <x:v>0.6433221594552849</x:v>
      </x:c>
      <x:c r="Y627" s="8" t="n">
        <x:f>0</x:f>
        <x:v>0</x:v>
      </x:c>
      <x:c r="Z627" s="8" t="n">
        <x:f>K627/H627-X627*I627/H627-Y627*J627/H627</x:f>
        <x:v>3.8227274146125216</x:v>
      </x:c>
      <x:c r="AA627" s="8" t="n">
        <x:f>Z627+X627*Q627+Y627*R627</x:f>
        <x:v>6.532539641807482</x:v>
      </x:c>
    </x:row>
    <x:row r="628" ht="26" customHeight="1">
      <x:c r="A628" s="2"/>
      <x:c r="B628" s="2" t="n">
        <x:v>623</x:v>
      </x:c>
      <x:c r="C628" s="2" t="str">
        <x:v>Baby, Feminine &amp; Family Care / price_contribution</x:v>
      </x:c>
      <x:c r="D628" s="2" t="str">
        <x:v>Own history</x:v>
      </x:c>
      <x:c r="E628" s="7" t="n">
        <x:v>45291</x:v>
      </x:c>
      <x:c r="F628" s="2" t="str">
        <x:v>Pre-earnings</x:v>
      </x:c>
      <x:c r="G628" s="7" t="n">
        <x:v>45313</x:v>
      </x:c>
      <x:c r="H628" s="2" t="n">
        <x:v>10</x:v>
      </x:c>
      <x:c r="I628" s="8" t="n">
        <x:v>48</x:v>
      </x:c>
      <x:c r="J628" s="8" t="n">
        <x:v>0</x:v>
      </x:c>
      <x:c r="K628" s="8" t="n">
        <x:v>54</x:v>
      </x:c>
      <x:c r="L628" s="8" t="n">
        <x:v>332</x:v>
      </x:c>
      <x:c r="M628" s="8" t="n">
        <x:v>0</x:v>
      </x:c>
      <x:c r="N628" s="8" t="n">
        <x:v>0</x:v>
      </x:c>
      <x:c r="O628" s="8" t="n">
        <x:v>347</x:v>
      </x:c>
      <x:c r="P628" s="8" t="n">
        <x:v>0</x:v>
      </x:c>
      <x:c r="Q628" s="8" t="n">
        <x:v>8</x:v>
      </x:c>
      <x:c r="R628" s="8" t="n">
        <x:v>0</x:v>
      </x:c>
      <x:c r="S628" s="8" t="n">
        <x:f>L628-I628^2/H628</x:f>
        <x:v>101.6</x:v>
      </x:c>
      <x:c r="T628" s="8" t="n">
        <x:f>M628-J628^2/H628</x:f>
        <x:v>0</x:v>
      </x:c>
      <x:c r="U628" s="8" t="n">
        <x:f>N628-I628*J628/H628</x:f>
        <x:v>0</x:v>
      </x:c>
      <x:c r="V628" s="8" t="n">
        <x:f>O628-I628*K628/H628</x:f>
        <x:v>87.80000000000001</x:v>
      </x:c>
      <x:c r="W628" s="8" t="n">
        <x:f>P628-J628*K628/H628</x:f>
        <x:v>0</x:v>
      </x:c>
      <x:c r="X628" s="8" t="n">
        <x:f>V628/S628</x:f>
        <x:v>0.8641732283464568</x:v>
      </x:c>
      <x:c r="Y628" s="8" t="n">
        <x:f>0</x:f>
        <x:v>0</x:v>
      </x:c>
      <x:c r="Z628" s="8" t="n">
        <x:f>K628/H628-X628*I628/H628-Y628*J628/H628</x:f>
        <x:v>1.2519685039370074</x:v>
      </x:c>
      <x:c r="AA628" s="8" t="n">
        <x:f>Z628+X628*Q628+Y628*R628</x:f>
        <x:v>8.165354330708663</x:v>
      </x:c>
    </x:row>
    <x:row r="629" ht="26" customHeight="1">
      <x:c r="A629" s="2"/>
      <x:c r="B629" s="2" t="n">
        <x:v>624</x:v>
      </x:c>
      <x:c r="C629" s="2" t="str">
        <x:v>Baby, Feminine &amp; Family Care / price_contribution</x:v>
      </x:c>
      <x:c r="D629" s="2" t="str">
        <x:v>Broad market</x:v>
      </x:c>
      <x:c r="E629" s="7" t="n">
        <x:v>45382</x:v>
      </x:c>
      <x:c r="F629" s="2" t="str">
        <x:v>Origin</x:v>
      </x:c>
      <x:c r="G629" s="7" t="n">
        <x:v>45292</x:v>
      </x:c>
      <x:c r="H629" s="2" t="n">
        <x:v>11</x:v>
      </x:c>
      <x:c r="I629" s="8" t="n">
        <x:v>35.492611387021356</x:v>
      </x:c>
      <x:c r="J629" s="8" t="n">
        <x:v>0</x:v>
      </x:c>
      <x:c r="K629" s="8" t="n">
        <x:v>56</x:v>
      </x:c>
      <x:c r="L629" s="8" t="n">
        <x:v>222.5645835667998</x:v>
      </x:c>
      <x:c r="M629" s="8" t="n">
        <x:v>0</x:v>
      </x:c>
      <x:c r="N629" s="8" t="n">
        <x:v>0</x:v>
      </x:c>
      <x:c r="O629" s="8" t="n">
        <x:v>281.54699772146745</x:v>
      </x:c>
      <x:c r="P629" s="8" t="n">
        <x:v>0</x:v>
      </x:c>
      <x:c r="Q629" s="8" t="n">
        <x:v>4.8286314442429035</x:v>
      </x:c>
      <x:c r="R629" s="8" t="n">
        <x:v>0</x:v>
      </x:c>
      <x:c r="S629" s="8" t="n">
        <x:f>L629-I629^2/H629</x:f>
        <x:v>108.0440869240618</x:v>
      </x:c>
      <x:c r="T629" s="8" t="n">
        <x:f>M629-J629^2/H629</x:f>
        <x:v>0</x:v>
      </x:c>
      <x:c r="U629" s="8" t="n">
        <x:f>N629-I629*J629/H629</x:f>
        <x:v>0</x:v>
      </x:c>
      <x:c r="V629" s="8" t="n">
        <x:f>O629-I629*K629/H629</x:f>
        <x:v>100.85733975117691</x:v>
      </x:c>
      <x:c r="W629" s="8" t="n">
        <x:f>P629-J629*K629/H629</x:f>
        <x:v>0</x:v>
      </x:c>
      <x:c r="X629" s="8" t="n">
        <x:f>V629/S629</x:f>
        <x:v>0.9334831976697062</x:v>
      </x:c>
      <x:c r="Y629" s="8" t="n">
        <x:f>0</x:f>
        <x:v>0</x:v>
      </x:c>
      <x:c r="Z629" s="8" t="n">
        <x:f>K629/H629-X629*I629/H629-Y629*J629/H629</x:f>
        <x:v>2.0789312389813706</x:v>
      </x:c>
      <x:c r="AA629" s="8" t="n">
        <x:f>Z629+X629*Q629+Y629*R629</x:f>
        <x:v>6.586377559921728</x:v>
      </x:c>
    </x:row>
    <x:row r="630" ht="26" customHeight="1">
      <x:c r="A630" s="2"/>
      <x:c r="B630" s="2" t="n">
        <x:v>625</x:v>
      </x:c>
      <x:c r="C630" s="2" t="str">
        <x:v>Baby, Feminine &amp; Family Care / price_contribution</x:v>
      </x:c>
      <x:c r="D630" s="2" t="str">
        <x:v>Broad rolling 8</x:v>
      </x:c>
      <x:c r="E630" s="7" t="n">
        <x:v>45382</x:v>
      </x:c>
      <x:c r="F630" s="2" t="str">
        <x:v>Origin</x:v>
      </x:c>
      <x:c r="G630" s="7" t="n">
        <x:v>45292</x:v>
      </x:c>
      <x:c r="H630" s="2" t="n">
        <x:v>8</x:v>
      </x:c>
      <x:c r="I630" s="8" t="n">
        <x:v>36.40194937934132</x:v>
      </x:c>
      <x:c r="J630" s="8" t="n">
        <x:v>0</x:v>
      </x:c>
      <x:c r="K630" s="8" t="n">
        <x:v>54</x:v>
      </x:c>
      <x:c r="L630" s="8" t="n">
        <x:v>222.27830840104858</x:v>
      </x:c>
      <x:c r="M630" s="8" t="n">
        <x:v>0</x:v>
      </x:c>
      <x:c r="N630" s="8" t="n">
        <x:v>0</x:v>
      </x:c>
      <x:c r="O630" s="8" t="n">
        <x:v>282.1512911983757</x:v>
      </x:c>
      <x:c r="P630" s="8" t="n">
        <x:v>0</x:v>
      </x:c>
      <x:c r="Q630" s="8" t="n">
        <x:v>4.8286314442429035</x:v>
      </x:c>
      <x:c r="R630" s="8" t="n">
        <x:v>0</x:v>
      </x:c>
      <x:c r="S630" s="8" t="n">
        <x:f>L630-I630^2/H630</x:f>
        <x:v>56.64056857403261</x:v>
      </x:c>
      <x:c r="T630" s="8" t="n">
        <x:f>M630-J630^2/H630</x:f>
        <x:v>0</x:v>
      </x:c>
      <x:c r="U630" s="8" t="n">
        <x:f>N630-I630*J630/H630</x:f>
        <x:v>0</x:v>
      </x:c>
      <x:c r="V630" s="8" t="n">
        <x:f>O630-I630*K630/H630</x:f>
        <x:v>36.43813288782181</x:v>
      </x:c>
      <x:c r="W630" s="8" t="n">
        <x:f>P630-J630*K630/H630</x:f>
        <x:v>0</x:v>
      </x:c>
      <x:c r="X630" s="8" t="n">
        <x:f>V630/S630</x:f>
        <x:v>0.6433221594552849</x:v>
      </x:c>
      <x:c r="Y630" s="8" t="n">
        <x:f>0</x:f>
        <x:v>0</x:v>
      </x:c>
      <x:c r="Z630" s="8" t="n">
        <x:f>K630/H630-X630*I630/H630-Y630*J630/H630</x:f>
        <x:v>3.8227274146125216</x:v>
      </x:c>
      <x:c r="AA630" s="8" t="n">
        <x:f>Z630+X630*Q630+Y630*R630</x:f>
        <x:v>6.9290930225365575</x:v>
      </x:c>
    </x:row>
    <x:row r="631" ht="26" customHeight="1">
      <x:c r="A631" s="2"/>
      <x:c r="B631" s="2" t="n">
        <x:v>626</x:v>
      </x:c>
      <x:c r="C631" s="2" t="str">
        <x:v>Baby, Feminine &amp; Family Care / price_contribution</x:v>
      </x:c>
      <x:c r="D631" s="2" t="str">
        <x:v>Own history</x:v>
      </x:c>
      <x:c r="E631" s="7" t="n">
        <x:v>45382</x:v>
      </x:c>
      <x:c r="F631" s="2" t="str">
        <x:v>Origin</x:v>
      </x:c>
      <x:c r="G631" s="7" t="n">
        <x:v>45292</x:v>
      </x:c>
      <x:c r="H631" s="2" t="n">
        <x:v>9</x:v>
      </x:c>
      <x:c r="I631" s="8" t="n">
        <x:v>40</x:v>
      </x:c>
      <x:c r="J631" s="8" t="n">
        <x:v>0</x:v>
      </x:c>
      <x:c r="K631" s="8" t="n">
        <x:v>53</x:v>
      </x:c>
      <x:c r="L631" s="8" t="n">
        <x:v>268</x:v>
      </x:c>
      <x:c r="M631" s="8" t="n">
        <x:v>0</x:v>
      </x:c>
      <x:c r="N631" s="8" t="n">
        <x:v>0</x:v>
      </x:c>
      <x:c r="O631" s="8" t="n">
        <x:v>294</x:v>
      </x:c>
      <x:c r="P631" s="8" t="n">
        <x:v>0</x:v>
      </x:c>
      <x:c r="Q631" s="8" t="n">
        <x:v>8</x:v>
      </x:c>
      <x:c r="R631" s="8" t="n">
        <x:v>0</x:v>
      </x:c>
      <x:c r="S631" s="8" t="n">
        <x:f>L631-I631^2/H631</x:f>
        <x:v>90.22222222222223</x:v>
      </x:c>
      <x:c r="T631" s="8" t="n">
        <x:f>M631-J631^2/H631</x:f>
        <x:v>0</x:v>
      </x:c>
      <x:c r="U631" s="8" t="n">
        <x:f>N631-I631*J631/H631</x:f>
        <x:v>0</x:v>
      </x:c>
      <x:c r="V631" s="8" t="n">
        <x:f>O631-I631*K631/H631</x:f>
        <x:v>58.44444444444446</x:v>
      </x:c>
      <x:c r="W631" s="8" t="n">
        <x:f>P631-J631*K631/H631</x:f>
        <x:v>0</x:v>
      </x:c>
      <x:c r="X631" s="8" t="n">
        <x:f>V631/S631</x:f>
        <x:v>0.6477832512315271</x:v>
      </x:c>
      <x:c r="Y631" s="8" t="n">
        <x:f>0</x:f>
        <x:v>0</x:v>
      </x:c>
      <x:c r="Z631" s="8" t="n">
        <x:f>K631/H631-X631*I631/H631-Y631*J631/H631</x:f>
        <x:v>3.0098522167487687</x:v>
      </x:c>
      <x:c r="AA631" s="8" t="n">
        <x:f>Z631+X631*Q631+Y631*R631</x:f>
        <x:v>8.192118226600986</x:v>
      </x:c>
    </x:row>
    <x:row r="632" ht="26" customHeight="1">
      <x:c r="A632" s="2"/>
      <x:c r="B632" s="2" t="n">
        <x:v>627</x:v>
      </x:c>
      <x:c r="C632" s="2" t="str">
        <x:v>Baby, Feminine &amp; Family Care / price_contribution</x:v>
      </x:c>
      <x:c r="D632" s="2" t="str">
        <x:v>Broad market</x:v>
      </x:c>
      <x:c r="E632" s="7" t="n">
        <x:v>45382</x:v>
      </x:c>
      <x:c r="F632" s="2" t="str">
        <x:v>Prior report</x:v>
      </x:c>
      <x:c r="G632" s="7" t="n">
        <x:v>45314</x:v>
      </x:c>
      <x:c r="H632" s="2" t="n">
        <x:v>12</x:v>
      </x:c>
      <x:c r="I632" s="8" t="n">
        <x:v>39.704827906174714</x:v>
      </x:c>
      <x:c r="J632" s="8" t="n">
        <x:v>0</x:v>
      </x:c>
      <x:c r="K632" s="8" t="n">
        <x:v>60</x:v>
      </x:c>
      <x:c r="L632" s="8" t="n">
        <x:v>240.3073515710282</x:v>
      </x:c>
      <x:c r="M632" s="8" t="n">
        <x:v>0</x:v>
      </x:c>
      <x:c r="N632" s="8" t="n">
        <x:v>0</x:v>
      </x:c>
      <x:c r="O632" s="8" t="n">
        <x:v>298.3958637980809</x:v>
      </x:c>
      <x:c r="P632" s="8" t="n">
        <x:v>0</x:v>
      </x:c>
      <x:c r="Q632" s="8" t="n">
        <x:v>4.212487471834003</x:v>
      </x:c>
      <x:c r="R632" s="8" t="n">
        <x:v>0</x:v>
      </x:c>
      <x:c r="S632" s="8" t="n">
        <x:f>L632-I632^2/H632</x:f>
        <x:v>108.934571649449</x:v>
      </x:c>
      <x:c r="T632" s="8" t="n">
        <x:f>M632-J632^2/H632</x:f>
        <x:v>0</x:v>
      </x:c>
      <x:c r="U632" s="8" t="n">
        <x:f>N632-I632*J632/H632</x:f>
        <x:v>0</x:v>
      </x:c>
      <x:c r="V632" s="8" t="n">
        <x:f>O632-I632*K632/H632</x:f>
        <x:v>99.87172426720733</x:v>
      </x:c>
      <x:c r="W632" s="8" t="n">
        <x:f>P632-J632*K632/H632</x:f>
        <x:v>0</x:v>
      </x:c>
      <x:c r="X632" s="8" t="n">
        <x:f>V632/S632</x:f>
        <x:v>0.9168046723366584</x:v>
      </x:c>
      <x:c r="Y632" s="8" t="n">
        <x:f>0</x:f>
        <x:v>0</x:v>
      </x:c>
      <x:c r="Z632" s="8" t="n">
        <x:f>K632/H632-X632*I632/H632-Y632*J632/H632</x:f>
        <x:v>1.9665356884413399</x:v>
      </x:c>
      <x:c r="AA632" s="8" t="n">
        <x:f>Z632+X632*Q632+Y632*R632</x:f>
        <x:v>5.828563884778392</x:v>
      </x:c>
    </x:row>
    <x:row r="633" ht="26" customHeight="1">
      <x:c r="A633" s="2"/>
      <x:c r="B633" s="2" t="n">
        <x:v>628</x:v>
      </x:c>
      <x:c r="C633" s="2" t="str">
        <x:v>Baby, Feminine &amp; Family Care / price_contribution</x:v>
      </x:c>
      <x:c r="D633" s="2" t="str">
        <x:v>Broad lag 1</x:v>
      </x:c>
      <x:c r="E633" s="7" t="n">
        <x:v>45382</x:v>
      </x:c>
      <x:c r="F633" s="2" t="str">
        <x:v>Prior report</x:v>
      </x:c>
      <x:c r="G633" s="7" t="n">
        <x:v>45314</x:v>
      </x:c>
      <x:c r="H633" s="2" t="n">
        <x:v>11</x:v>
      </x:c>
      <x:c r="I633" s="8" t="n">
        <x:v>35.492611387021356</x:v>
      </x:c>
      <x:c r="J633" s="8" t="n">
        <x:v>0</x:v>
      </x:c>
      <x:c r="K633" s="8" t="n">
        <x:v>58</x:v>
      </x:c>
      <x:c r="L633" s="8" t="n">
        <x:v>222.5645835667998</x:v>
      </x:c>
      <x:c r="M633" s="8" t="n">
        <x:v>0</x:v>
      </x:c>
      <x:c r="N633" s="8" t="n">
        <x:v>0</x:v>
      </x:c>
      <x:c r="O633" s="8" t="n">
        <x:v>265.96020476070225</x:v>
      </x:c>
      <x:c r="P633" s="8" t="n">
        <x:v>0</x:v>
      </x:c>
      <x:c r="Q633" s="8" t="n">
        <x:v>4.212216519153356</x:v>
      </x:c>
      <x:c r="R633" s="8" t="n">
        <x:v>0</x:v>
      </x:c>
      <x:c r="S633" s="8" t="n">
        <x:f>L633-I633^2/H633</x:f>
        <x:v>108.0440869240618</x:v>
      </x:c>
      <x:c r="T633" s="8" t="n">
        <x:f>M633-J633^2/H633</x:f>
        <x:v>0</x:v>
      </x:c>
      <x:c r="U633" s="8" t="n">
        <x:f>N633-I633*J633/H633</x:f>
        <x:v>0</x:v>
      </x:c>
      <x:c r="V633" s="8" t="n">
        <x:f>O633-I633*K633/H633</x:f>
        <x:v>78.81734472004419</x:v>
      </x:c>
      <x:c r="W633" s="8" t="n">
        <x:f>P633-J633*K633/H633</x:f>
        <x:v>0</x:v>
      </x:c>
      <x:c r="X633" s="8" t="n">
        <x:f>V633/S633</x:f>
        <x:v>0.7294924411313738</x:v>
      </x:c>
      <x:c r="Y633" s="8" t="n">
        <x:f>0</x:f>
        <x:v>0</x:v>
      </x:c>
      <x:c r="Z633" s="8" t="n">
        <x:f>K633/H633-X633*I633/H633-Y633*J633/H633</x:f>
        <x:v>2.918946207014054</x:v>
      </x:c>
      <x:c r="AA633" s="8" t="n">
        <x:f>Z633+X633*Q633+Y633*R633</x:f>
        <x:v>5.991726318145133</x:v>
      </x:c>
    </x:row>
    <x:row r="634" ht="26" customHeight="1">
      <x:c r="A634" s="2"/>
      <x:c r="B634" s="2" t="n">
        <x:v>629</x:v>
      </x:c>
      <x:c r="C634" s="2" t="str">
        <x:v>Baby, Feminine &amp; Family Care / price_contribution</x:v>
      </x:c>
      <x:c r="D634" s="2" t="str">
        <x:v>Broad rolling 8</x:v>
      </x:c>
      <x:c r="E634" s="7" t="n">
        <x:v>45382</x:v>
      </x:c>
      <x:c r="F634" s="2" t="str">
        <x:v>Prior report</x:v>
      </x:c>
      <x:c r="G634" s="7" t="n">
        <x:v>45314</x:v>
      </x:c>
      <x:c r="H634" s="2" t="n">
        <x:v>8</x:v>
      </x:c>
      <x:c r="I634" s="8" t="n">
        <x:v>40.58301442287644</x:v>
      </x:c>
      <x:c r="J634" s="8" t="n">
        <x:v>0</x:v>
      </x:c>
      <x:c r="K634" s="8" t="n">
        <x:v>55</x:v>
      </x:c>
      <x:c r="L634" s="8" t="n">
        <x:v>240.0201059908438</x:v>
      </x:c>
      <x:c r="M634" s="8" t="n">
        <x:v>0</x:v>
      </x:c>
      <x:c r="N634" s="8" t="n">
        <x:v>0</x:v>
      </x:c>
      <x:c r="O634" s="8" t="n">
        <x:v>298.9067028481344</x:v>
      </x:c>
      <x:c r="P634" s="8" t="n">
        <x:v>0</x:v>
      </x:c>
      <x:c r="Q634" s="8" t="n">
        <x:v>4.212487471834003</x:v>
      </x:c>
      <x:c r="R634" s="8" t="n">
        <x:v>0</x:v>
      </x:c>
      <x:c r="S634" s="8" t="n">
        <x:f>L634-I634^2/H634</x:f>
        <x:v>34.147473534919186</x:v>
      </x:c>
      <x:c r="T634" s="8" t="n">
        <x:f>M634-J634^2/H634</x:f>
        <x:v>0</x:v>
      </x:c>
      <x:c r="U634" s="8" t="n">
        <x:f>N634-I634*J634/H634</x:f>
        <x:v>0</x:v>
      </x:c>
      <x:c r="V634" s="8" t="n">
        <x:f>O634-I634*K634/H634</x:f>
        <x:v>19.898478690858894</x:v>
      </x:c>
      <x:c r="W634" s="8" t="n">
        <x:f>P634-J634*K634/H634</x:f>
        <x:v>0</x:v>
      </x:c>
      <x:c r="X634" s="8" t="n">
        <x:f>V634/S634</x:f>
        <x:v>0.5827218423790774</x:v>
      </x:c>
      <x:c r="Y634" s="8" t="n">
        <x:f>0</x:f>
        <x:v>0</x:v>
      </x:c>
      <x:c r="Z634" s="8" t="n">
        <x:f>K634/H634-X634*I634/H634-Y634*J634/H634</x:f>
        <x:v>3.918923883275596</x:v>
      </x:c>
      <x:c r="AA634" s="8" t="n">
        <x:f>Z634+X634*Q634+Y634*R634</x:f>
        <x:v>6.373632343861488</x:v>
      </x:c>
    </x:row>
    <x:row r="635" ht="26" customHeight="1">
      <x:c r="A635" s="2"/>
      <x:c r="B635" s="2" t="n">
        <x:v>630</x:v>
      </x:c>
      <x:c r="C635" s="2" t="str">
        <x:v>Baby, Feminine &amp; Family Care / price_contribution</x:v>
      </x:c>
      <x:c r="D635" s="2" t="str">
        <x:v>Own history</x:v>
      </x:c>
      <x:c r="E635" s="7" t="n">
        <x:v>45382</x:v>
      </x:c>
      <x:c r="F635" s="2" t="str">
        <x:v>Prior report</x:v>
      </x:c>
      <x:c r="G635" s="7" t="n">
        <x:v>45314</x:v>
      </x:c>
      <x:c r="H635" s="2" t="n">
        <x:v>11</x:v>
      </x:c>
      <x:c r="I635" s="8" t="n">
        <x:v>56</x:v>
      </x:c>
      <x:c r="J635" s="8" t="n">
        <x:v>0</x:v>
      </x:c>
      <x:c r="K635" s="8" t="n">
        <x:v>58</x:v>
      </x:c>
      <x:c r="L635" s="8" t="n">
        <x:v>396</x:v>
      </x:c>
      <x:c r="M635" s="8" t="n">
        <x:v>0</x:v>
      </x:c>
      <x:c r="N635" s="8" t="n">
        <x:v>0</x:v>
      </x:c>
      <x:c r="O635" s="8" t="n">
        <x:v>379</x:v>
      </x:c>
      <x:c r="P635" s="8" t="n">
        <x:v>0</x:v>
      </x:c>
      <x:c r="Q635" s="8" t="n">
        <x:v>4</x:v>
      </x:c>
      <x:c r="R635" s="8" t="n">
        <x:v>0</x:v>
      </x:c>
      <x:c r="S635" s="8" t="n">
        <x:f>L635-I635^2/H635</x:f>
        <x:v>110.90909090909093</x:v>
      </x:c>
      <x:c r="T635" s="8" t="n">
        <x:f>M635-J635^2/H635</x:f>
        <x:v>0</x:v>
      </x:c>
      <x:c r="U635" s="8" t="n">
        <x:f>N635-I635*J635/H635</x:f>
        <x:v>0</x:v>
      </x:c>
      <x:c r="V635" s="8" t="n">
        <x:f>O635-I635*K635/H635</x:f>
        <x:v>83.72727272727275</x:v>
      </x:c>
      <x:c r="W635" s="8" t="n">
        <x:f>P635-J635*K635/H635</x:f>
        <x:v>0</x:v>
      </x:c>
      <x:c r="X635" s="8" t="n">
        <x:f>V635/S635</x:f>
        <x:v>0.7549180327868853</x:v>
      </x:c>
      <x:c r="Y635" s="8" t="n">
        <x:f>0</x:f>
        <x:v>0</x:v>
      </x:c>
      <x:c r="Z635" s="8" t="n">
        <x:f>K635/H635-X635*I635/H635-Y635*J635/H635</x:f>
        <x:v>1.429508196721311</x:v>
      </x:c>
      <x:c r="AA635" s="8" t="n">
        <x:f>Z635+X635*Q635+Y635*R635</x:f>
        <x:v>4.449180327868852</x:v>
      </x:c>
    </x:row>
    <x:row r="636" ht="26" customHeight="1">
      <x:c r="A636" s="2"/>
      <x:c r="B636" s="2" t="n">
        <x:v>631</x:v>
      </x:c>
      <x:c r="C636" s="2" t="str">
        <x:v>Baby, Feminine &amp; Family Care / price_contribution</x:v>
      </x:c>
      <x:c r="D636" s="2" t="str">
        <x:v>Broad market</x:v>
      </x:c>
      <x:c r="E636" s="7" t="n">
        <x:v>45382</x:v>
      </x:c>
      <x:c r="F636" s="2" t="str">
        <x:v>Pre-earnings</x:v>
      </x:c>
      <x:c r="G636" s="7" t="n">
        <x:v>45400</x:v>
      </x:c>
      <x:c r="H636" s="2" t="n">
        <x:v>12</x:v>
      </x:c>
      <x:c r="I636" s="8" t="n">
        <x:v>39.704827906174714</x:v>
      </x:c>
      <x:c r="J636" s="8" t="n">
        <x:v>0</x:v>
      </x:c>
      <x:c r="K636" s="8" t="n">
        <x:v>60</x:v>
      </x:c>
      <x:c r="L636" s="8" t="n">
        <x:v>240.3073515710282</x:v>
      </x:c>
      <x:c r="M636" s="8" t="n">
        <x:v>0</x:v>
      </x:c>
      <x:c r="N636" s="8" t="n">
        <x:v>0</x:v>
      </x:c>
      <x:c r="O636" s="8" t="n">
        <x:v>298.3958637980809</x:v>
      </x:c>
      <x:c r="P636" s="8" t="n">
        <x:v>0</x:v>
      </x:c>
      <x:c r="Q636" s="8" t="n">
        <x:v>3.636809635836169</x:v>
      </x:c>
      <x:c r="R636" s="8" t="n">
        <x:v>0</x:v>
      </x:c>
      <x:c r="S636" s="8" t="n">
        <x:f>L636-I636^2/H636</x:f>
        <x:v>108.934571649449</x:v>
      </x:c>
      <x:c r="T636" s="8" t="n">
        <x:f>M636-J636^2/H636</x:f>
        <x:v>0</x:v>
      </x:c>
      <x:c r="U636" s="8" t="n">
        <x:f>N636-I636*J636/H636</x:f>
        <x:v>0</x:v>
      </x:c>
      <x:c r="V636" s="8" t="n">
        <x:f>O636-I636*K636/H636</x:f>
        <x:v>99.87172426720733</x:v>
      </x:c>
      <x:c r="W636" s="8" t="n">
        <x:f>P636-J636*K636/H636</x:f>
        <x:v>0</x:v>
      </x:c>
      <x:c r="X636" s="8" t="n">
        <x:f>V636/S636</x:f>
        <x:v>0.9168046723366584</x:v>
      </x:c>
      <x:c r="Y636" s="8" t="n">
        <x:f>0</x:f>
        <x:v>0</x:v>
      </x:c>
      <x:c r="Z636" s="8" t="n">
        <x:f>K636/H636-X636*I636/H636-Y636*J636/H636</x:f>
        <x:v>1.9665356884413399</x:v>
      </x:c>
      <x:c r="AA636" s="8" t="n">
        <x:f>Z636+X636*Q636+Y636*R636</x:f>
        <x:v>5.30077975497492</x:v>
      </x:c>
    </x:row>
    <x:row r="637" ht="26" customHeight="1">
      <x:c r="A637" s="2"/>
      <x:c r="B637" s="2" t="n">
        <x:v>632</x:v>
      </x:c>
      <x:c r="C637" s="2" t="str">
        <x:v>Baby, Feminine &amp; Family Care / price_contribution</x:v>
      </x:c>
      <x:c r="D637" s="2" t="str">
        <x:v>Broad lag 1</x:v>
      </x:c>
      <x:c r="E637" s="7" t="n">
        <x:v>45382</x:v>
      </x:c>
      <x:c r="F637" s="2" t="str">
        <x:v>Pre-earnings</x:v>
      </x:c>
      <x:c r="G637" s="7" t="n">
        <x:v>45400</x:v>
      </x:c>
      <x:c r="H637" s="2" t="n">
        <x:v>11</x:v>
      </x:c>
      <x:c r="I637" s="8" t="n">
        <x:v>35.492611387021356</x:v>
      </x:c>
      <x:c r="J637" s="8" t="n">
        <x:v>0</x:v>
      </x:c>
      <x:c r="K637" s="8" t="n">
        <x:v>58</x:v>
      </x:c>
      <x:c r="L637" s="8" t="n">
        <x:v>222.5645835667998</x:v>
      </x:c>
      <x:c r="M637" s="8" t="n">
        <x:v>0</x:v>
      </x:c>
      <x:c r="N637" s="8" t="n">
        <x:v>0</x:v>
      </x:c>
      <x:c r="O637" s="8" t="n">
        <x:v>265.96020476070225</x:v>
      </x:c>
      <x:c r="P637" s="8" t="n">
        <x:v>0</x:v>
      </x:c>
      <x:c r="Q637" s="8" t="n">
        <x:v>4.212216519153356</x:v>
      </x:c>
      <x:c r="R637" s="8" t="n">
        <x:v>0</x:v>
      </x:c>
      <x:c r="S637" s="8" t="n">
        <x:f>L637-I637^2/H637</x:f>
        <x:v>108.0440869240618</x:v>
      </x:c>
      <x:c r="T637" s="8" t="n">
        <x:f>M637-J637^2/H637</x:f>
        <x:v>0</x:v>
      </x:c>
      <x:c r="U637" s="8" t="n">
        <x:f>N637-I637*J637/H637</x:f>
        <x:v>0</x:v>
      </x:c>
      <x:c r="V637" s="8" t="n">
        <x:f>O637-I637*K637/H637</x:f>
        <x:v>78.81734472004419</x:v>
      </x:c>
      <x:c r="W637" s="8" t="n">
        <x:f>P637-J637*K637/H637</x:f>
        <x:v>0</x:v>
      </x:c>
      <x:c r="X637" s="8" t="n">
        <x:f>V637/S637</x:f>
        <x:v>0.7294924411313738</x:v>
      </x:c>
      <x:c r="Y637" s="8" t="n">
        <x:f>0</x:f>
        <x:v>0</x:v>
      </x:c>
      <x:c r="Z637" s="8" t="n">
        <x:f>K637/H637-X637*I637/H637-Y637*J637/H637</x:f>
        <x:v>2.918946207014054</x:v>
      </x:c>
      <x:c r="AA637" s="8" t="n">
        <x:f>Z637+X637*Q637+Y637*R637</x:f>
        <x:v>5.991726318145133</x:v>
      </x:c>
    </x:row>
    <x:row r="638" ht="26" customHeight="1">
      <x:c r="A638" s="2"/>
      <x:c r="B638" s="2" t="n">
        <x:v>633</x:v>
      </x:c>
      <x:c r="C638" s="2" t="str">
        <x:v>Baby, Feminine &amp; Family Care / price_contribution</x:v>
      </x:c>
      <x:c r="D638" s="2" t="str">
        <x:v>Broad rolling 8</x:v>
      </x:c>
      <x:c r="E638" s="7" t="n">
        <x:v>45382</x:v>
      </x:c>
      <x:c r="F638" s="2" t="str">
        <x:v>Pre-earnings</x:v>
      </x:c>
      <x:c r="G638" s="7" t="n">
        <x:v>45400</x:v>
      </x:c>
      <x:c r="H638" s="2" t="n">
        <x:v>8</x:v>
      </x:c>
      <x:c r="I638" s="8" t="n">
        <x:v>40.58301442287644</x:v>
      </x:c>
      <x:c r="J638" s="8" t="n">
        <x:v>0</x:v>
      </x:c>
      <x:c r="K638" s="8" t="n">
        <x:v>55</x:v>
      </x:c>
      <x:c r="L638" s="8" t="n">
        <x:v>240.0201059908438</x:v>
      </x:c>
      <x:c r="M638" s="8" t="n">
        <x:v>0</x:v>
      </x:c>
      <x:c r="N638" s="8" t="n">
        <x:v>0</x:v>
      </x:c>
      <x:c r="O638" s="8" t="n">
        <x:v>298.9067028481344</x:v>
      </x:c>
      <x:c r="P638" s="8" t="n">
        <x:v>0</x:v>
      </x:c>
      <x:c r="Q638" s="8" t="n">
        <x:v>3.636809635836169</x:v>
      </x:c>
      <x:c r="R638" s="8" t="n">
        <x:v>0</x:v>
      </x:c>
      <x:c r="S638" s="8" t="n">
        <x:f>L638-I638^2/H638</x:f>
        <x:v>34.147473534919186</x:v>
      </x:c>
      <x:c r="T638" s="8" t="n">
        <x:f>M638-J638^2/H638</x:f>
        <x:v>0</x:v>
      </x:c>
      <x:c r="U638" s="8" t="n">
        <x:f>N638-I638*J638/H638</x:f>
        <x:v>0</x:v>
      </x:c>
      <x:c r="V638" s="8" t="n">
        <x:f>O638-I638*K638/H638</x:f>
        <x:v>19.898478690858894</x:v>
      </x:c>
      <x:c r="W638" s="8" t="n">
        <x:f>P638-J638*K638/H638</x:f>
        <x:v>0</x:v>
      </x:c>
      <x:c r="X638" s="8" t="n">
        <x:f>V638/S638</x:f>
        <x:v>0.5827218423790774</x:v>
      </x:c>
      <x:c r="Y638" s="8" t="n">
        <x:f>0</x:f>
        <x:v>0</x:v>
      </x:c>
      <x:c r="Z638" s="8" t="n">
        <x:f>K638/H638-X638*I638/H638-Y638*J638/H638</x:f>
        <x:v>3.918923883275596</x:v>
      </x:c>
      <x:c r="AA638" s="8" t="n">
        <x:f>Z638+X638*Q638+Y638*R638</x:f>
        <x:v>6.03817229465203</x:v>
      </x:c>
    </x:row>
    <x:row r="639" ht="26" customHeight="1">
      <x:c r="A639" s="2"/>
      <x:c r="B639" s="2" t="n">
        <x:v>634</x:v>
      </x:c>
      <x:c r="C639" s="2" t="str">
        <x:v>Baby, Feminine &amp; Family Care / price_contribution</x:v>
      </x:c>
      <x:c r="D639" s="2" t="str">
        <x:v>Own history</x:v>
      </x:c>
      <x:c r="E639" s="7" t="n">
        <x:v>45382</x:v>
      </x:c>
      <x:c r="F639" s="2" t="str">
        <x:v>Pre-earnings</x:v>
      </x:c>
      <x:c r="G639" s="7" t="n">
        <x:v>45400</x:v>
      </x:c>
      <x:c r="H639" s="2" t="n">
        <x:v>11</x:v>
      </x:c>
      <x:c r="I639" s="8" t="n">
        <x:v>56</x:v>
      </x:c>
      <x:c r="J639" s="8" t="n">
        <x:v>0</x:v>
      </x:c>
      <x:c r="K639" s="8" t="n">
        <x:v>58</x:v>
      </x:c>
      <x:c r="L639" s="8" t="n">
        <x:v>396</x:v>
      </x:c>
      <x:c r="M639" s="8" t="n">
        <x:v>0</x:v>
      </x:c>
      <x:c r="N639" s="8" t="n">
        <x:v>0</x:v>
      </x:c>
      <x:c r="O639" s="8" t="n">
        <x:v>379</x:v>
      </x:c>
      <x:c r="P639" s="8" t="n">
        <x:v>0</x:v>
      </x:c>
      <x:c r="Q639" s="8" t="n">
        <x:v>4</x:v>
      </x:c>
      <x:c r="R639" s="8" t="n">
        <x:v>0</x:v>
      </x:c>
      <x:c r="S639" s="8" t="n">
        <x:f>L639-I639^2/H639</x:f>
        <x:v>110.90909090909093</x:v>
      </x:c>
      <x:c r="T639" s="8" t="n">
        <x:f>M639-J639^2/H639</x:f>
        <x:v>0</x:v>
      </x:c>
      <x:c r="U639" s="8" t="n">
        <x:f>N639-I639*J639/H639</x:f>
        <x:v>0</x:v>
      </x:c>
      <x:c r="V639" s="8" t="n">
        <x:f>O639-I639*K639/H639</x:f>
        <x:v>83.72727272727275</x:v>
      </x:c>
      <x:c r="W639" s="8" t="n">
        <x:f>P639-J639*K639/H639</x:f>
        <x:v>0</x:v>
      </x:c>
      <x:c r="X639" s="8" t="n">
        <x:f>V639/S639</x:f>
        <x:v>0.7549180327868853</x:v>
      </x:c>
      <x:c r="Y639" s="8" t="n">
        <x:f>0</x:f>
        <x:v>0</x:v>
      </x:c>
      <x:c r="Z639" s="8" t="n">
        <x:f>K639/H639-X639*I639/H639-Y639*J639/H639</x:f>
        <x:v>1.429508196721311</x:v>
      </x:c>
      <x:c r="AA639" s="8" t="n">
        <x:f>Z639+X639*Q639+Y639*R639</x:f>
        <x:v>4.449180327868852</x:v>
      </x:c>
    </x:row>
    <x:row r="640" ht="26" customHeight="1">
      <x:c r="A640" s="2"/>
      <x:c r="B640" s="2" t="n">
        <x:v>635</x:v>
      </x:c>
      <x:c r="C640" s="2" t="str">
        <x:v>Baby, Feminine &amp; Family Care / price_contribution</x:v>
      </x:c>
      <x:c r="D640" s="2" t="str">
        <x:v>Broad market</x:v>
      </x:c>
      <x:c r="E640" s="7" t="n">
        <x:v>45473</x:v>
      </x:c>
      <x:c r="F640" s="2" t="str">
        <x:v>Origin</x:v>
      </x:c>
      <x:c r="G640" s="7" t="n">
        <x:v>45383</x:v>
      </x:c>
      <x:c r="H640" s="2" t="n">
        <x:v>12</x:v>
      </x:c>
      <x:c r="I640" s="8" t="n">
        <x:v>39.704827906174714</x:v>
      </x:c>
      <x:c r="J640" s="8" t="n">
        <x:v>0</x:v>
      </x:c>
      <x:c r="K640" s="8" t="n">
        <x:v>60</x:v>
      </x:c>
      <x:c r="L640" s="8" t="n">
        <x:v>240.3073515710282</x:v>
      </x:c>
      <x:c r="M640" s="8" t="n">
        <x:v>0</x:v>
      </x:c>
      <x:c r="N640" s="8" t="n">
        <x:v>0</x:v>
      </x:c>
      <x:c r="O640" s="8" t="n">
        <x:v>298.3958637980809</x:v>
      </x:c>
      <x:c r="P640" s="8" t="n">
        <x:v>0</x:v>
      </x:c>
      <x:c r="Q640" s="8" t="n">
        <x:v>3.588558969465838</x:v>
      </x:c>
      <x:c r="R640" s="8" t="n">
        <x:v>0</x:v>
      </x:c>
      <x:c r="S640" s="8" t="n">
        <x:f>L640-I640^2/H640</x:f>
        <x:v>108.934571649449</x:v>
      </x:c>
      <x:c r="T640" s="8" t="n">
        <x:f>M640-J640^2/H640</x:f>
        <x:v>0</x:v>
      </x:c>
      <x:c r="U640" s="8" t="n">
        <x:f>N640-I640*J640/H640</x:f>
        <x:v>0</x:v>
      </x:c>
      <x:c r="V640" s="8" t="n">
        <x:f>O640-I640*K640/H640</x:f>
        <x:v>99.87172426720733</x:v>
      </x:c>
      <x:c r="W640" s="8" t="n">
        <x:f>P640-J640*K640/H640</x:f>
        <x:v>0</x:v>
      </x:c>
      <x:c r="X640" s="8" t="n">
        <x:f>V640/S640</x:f>
        <x:v>0.9168046723366584</x:v>
      </x:c>
      <x:c r="Y640" s="8" t="n">
        <x:f>0</x:f>
        <x:v>0</x:v>
      </x:c>
      <x:c r="Z640" s="8" t="n">
        <x:f>K640/H640-X640*I640/H640-Y640*J640/H640</x:f>
        <x:v>1.9665356884413399</x:v>
      </x:c>
      <x:c r="AA640" s="8" t="n">
        <x:f>Z640+X640*Q640+Y640*R640</x:f>
        <x:v>5.256543318603244</x:v>
      </x:c>
    </x:row>
    <x:row r="641" ht="26" customHeight="1">
      <x:c r="A641" s="2"/>
      <x:c r="B641" s="2" t="n">
        <x:v>636</x:v>
      </x:c>
      <x:c r="C641" s="2" t="str">
        <x:v>Baby, Feminine &amp; Family Care / price_contribution</x:v>
      </x:c>
      <x:c r="D641" s="2" t="str">
        <x:v>Broad rolling 8</x:v>
      </x:c>
      <x:c r="E641" s="7" t="n">
        <x:v>45473</x:v>
      </x:c>
      <x:c r="F641" s="2" t="str">
        <x:v>Origin</x:v>
      </x:c>
      <x:c r="G641" s="7" t="n">
        <x:v>45383</x:v>
      </x:c>
      <x:c r="H641" s="2" t="n">
        <x:v>8</x:v>
      </x:c>
      <x:c r="I641" s="8" t="n">
        <x:v>40.58301442287644</x:v>
      </x:c>
      <x:c r="J641" s="8" t="n">
        <x:v>0</x:v>
      </x:c>
      <x:c r="K641" s="8" t="n">
        <x:v>55</x:v>
      </x:c>
      <x:c r="L641" s="8" t="n">
        <x:v>240.0201059908438</x:v>
      </x:c>
      <x:c r="M641" s="8" t="n">
        <x:v>0</x:v>
      </x:c>
      <x:c r="N641" s="8" t="n">
        <x:v>0</x:v>
      </x:c>
      <x:c r="O641" s="8" t="n">
        <x:v>298.9067028481344</x:v>
      </x:c>
      <x:c r="P641" s="8" t="n">
        <x:v>0</x:v>
      </x:c>
      <x:c r="Q641" s="8" t="n">
        <x:v>3.588558969465838</x:v>
      </x:c>
      <x:c r="R641" s="8" t="n">
        <x:v>0</x:v>
      </x:c>
      <x:c r="S641" s="8" t="n">
        <x:f>L641-I641^2/H641</x:f>
        <x:v>34.147473534919186</x:v>
      </x:c>
      <x:c r="T641" s="8" t="n">
        <x:f>M641-J641^2/H641</x:f>
        <x:v>0</x:v>
      </x:c>
      <x:c r="U641" s="8" t="n">
        <x:f>N641-I641*J641/H641</x:f>
        <x:v>0</x:v>
      </x:c>
      <x:c r="V641" s="8" t="n">
        <x:f>O641-I641*K641/H641</x:f>
        <x:v>19.898478690858894</x:v>
      </x:c>
      <x:c r="W641" s="8" t="n">
        <x:f>P641-J641*K641/H641</x:f>
        <x:v>0</x:v>
      </x:c>
      <x:c r="X641" s="8" t="n">
        <x:f>V641/S641</x:f>
        <x:v>0.5827218423790774</x:v>
      </x:c>
      <x:c r="Y641" s="8" t="n">
        <x:f>0</x:f>
        <x:v>0</x:v>
      </x:c>
      <x:c r="Z641" s="8" t="n">
        <x:f>K641/H641-X641*I641/H641-Y641*J641/H641</x:f>
        <x:v>3.918923883275596</x:v>
      </x:c>
      <x:c r="AA641" s="8" t="n">
        <x:f>Z641+X641*Q641+Y641*R641</x:f>
        <x:v>6.010055577448693</x:v>
      </x:c>
    </x:row>
    <x:row r="642" ht="26" customHeight="1">
      <x:c r="A642" s="2"/>
      <x:c r="B642" s="2" t="n">
        <x:v>637</x:v>
      </x:c>
      <x:c r="C642" s="2" t="str">
        <x:v>Baby, Feminine &amp; Family Care / price_contribution</x:v>
      </x:c>
      <x:c r="D642" s="2" t="str">
        <x:v>Own history</x:v>
      </x:c>
      <x:c r="E642" s="7" t="n">
        <x:v>45473</x:v>
      </x:c>
      <x:c r="F642" s="2" t="str">
        <x:v>Origin</x:v>
      </x:c>
      <x:c r="G642" s="7" t="n">
        <x:v>45383</x:v>
      </x:c>
      <x:c r="H642" s="2" t="n">
        <x:v>10</x:v>
      </x:c>
      <x:c r="I642" s="8" t="n">
        <x:v>48</x:v>
      </x:c>
      <x:c r="J642" s="8" t="n">
        <x:v>0</x:v>
      </x:c>
      <x:c r="K642" s="8" t="n">
        <x:v>57</x:v>
      </x:c>
      <x:c r="L642" s="8" t="n">
        <x:v>332</x:v>
      </x:c>
      <x:c r="M642" s="8" t="n">
        <x:v>0</x:v>
      </x:c>
      <x:c r="N642" s="8" t="n">
        <x:v>0</x:v>
      </x:c>
      <x:c r="O642" s="8" t="n">
        <x:v>326</x:v>
      </x:c>
      <x:c r="P642" s="8" t="n">
        <x:v>0</x:v>
      </x:c>
      <x:c r="Q642" s="8" t="n">
        <x:v>4</x:v>
      </x:c>
      <x:c r="R642" s="8" t="n">
        <x:v>0</x:v>
      </x:c>
      <x:c r="S642" s="8" t="n">
        <x:f>L642-I642^2/H642</x:f>
        <x:v>101.6</x:v>
      </x:c>
      <x:c r="T642" s="8" t="n">
        <x:f>M642-J642^2/H642</x:f>
        <x:v>0</x:v>
      </x:c>
      <x:c r="U642" s="8" t="n">
        <x:f>N642-I642*J642/H642</x:f>
        <x:v>0</x:v>
      </x:c>
      <x:c r="V642" s="8" t="n">
        <x:f>O642-I642*K642/H642</x:f>
        <x:v>52.39999999999998</x:v>
      </x:c>
      <x:c r="W642" s="8" t="n">
        <x:f>P642-J642*K642/H642</x:f>
        <x:v>0</x:v>
      </x:c>
      <x:c r="X642" s="8" t="n">
        <x:f>V642/S642</x:f>
        <x:v>0.5157480314960627</x:v>
      </x:c>
      <x:c r="Y642" s="8" t="n">
        <x:f>0</x:f>
        <x:v>0</x:v>
      </x:c>
      <x:c r="Z642" s="8" t="n">
        <x:f>K642/H642-X642*I642/H642-Y642*J642/H642</x:f>
        <x:v>3.224409448818899</x:v>
      </x:c>
      <x:c r="AA642" s="8" t="n">
        <x:f>Z642+X642*Q642+Y642*R642</x:f>
        <x:v>5.28740157480315</x:v>
      </x:c>
    </x:row>
    <x:row r="643" ht="26" customHeight="1">
      <x:c r="A643" s="2"/>
      <x:c r="B643" s="2" t="n">
        <x:v>638</x:v>
      </x:c>
      <x:c r="C643" s="2" t="str">
        <x:v>Baby, Feminine &amp; Family Care / price_contribution</x:v>
      </x:c>
      <x:c r="D643" s="2" t="str">
        <x:v>Broad market</x:v>
      </x:c>
      <x:c r="E643" s="7" t="n">
        <x:v>45473</x:v>
      </x:c>
      <x:c r="F643" s="2" t="str">
        <x:v>Prior report</x:v>
      </x:c>
      <x:c r="G643" s="7" t="n">
        <x:v>45401</x:v>
      </x:c>
      <x:c r="H643" s="2" t="n">
        <x:v>13</x:v>
      </x:c>
      <x:c r="I643" s="8" t="n">
        <x:v>43.34163754201088</x:v>
      </x:c>
      <x:c r="J643" s="8" t="n">
        <x:v>0</x:v>
      </x:c>
      <x:c r="K643" s="8" t="n">
        <x:v>62</x:v>
      </x:c>
      <x:c r="L643" s="8" t="n">
        <x:v>253.53373589833902</x:v>
      </x:c>
      <x:c r="M643" s="8" t="n">
        <x:v>0</x:v>
      </x:c>
      <x:c r="N643" s="8" t="n">
        <x:v>0</x:v>
      </x:c>
      <x:c r="O643" s="8" t="n">
        <x:v>305.6694830697532</x:v>
      </x:c>
      <x:c r="P643" s="8" t="n">
        <x:v>0</x:v>
      </x:c>
      <x:c r="Q643" s="8" t="n">
        <x:v>3.637237355891698</x:v>
      </x:c>
      <x:c r="R643" s="8" t="n">
        <x:v>0</x:v>
      </x:c>
      <x:c r="S643" s="8" t="n">
        <x:f>L643-I643^2/H643</x:f>
        <x:v>109.03392475810463</x:v>
      </x:c>
      <x:c r="T643" s="8" t="n">
        <x:f>M643-J643^2/H643</x:f>
        <x:v>0</x:v>
      </x:c>
      <x:c r="U643" s="8" t="n">
        <x:f>N643-I643*J643/H643</x:f>
        <x:v>0</x:v>
      </x:c>
      <x:c r="V643" s="8" t="n">
        <x:f>O643-I643*K643/H643</x:f>
        <x:v>98.96321171554746</x:v>
      </x:c>
      <x:c r="W643" s="8" t="n">
        <x:f>P643-J643*K643/H643</x:f>
        <x:v>0</x:v>
      </x:c>
      <x:c r="X643" s="8" t="n">
        <x:f>V643/S643</x:f>
        <x:v>0.9076368839799229</x:v>
      </x:c>
      <x:c r="Y643" s="8" t="n">
        <x:f>0</x:f>
        <x:v>0</x:v>
      </x:c>
      <x:c r="Z643" s="8" t="n">
        <x:f>K643/H643-X643*I643/H643-Y643*J643/H643</x:f>
        <x:v>1.743194704214</x:v>
      </x:c>
      <x:c r="AA643" s="8" t="n">
        <x:f>Z643+X643*Q643+Y643*R643</x:f>
        <x:v>5.044485484210915</x:v>
      </x:c>
    </x:row>
    <x:row r="644" ht="26" customHeight="1">
      <x:c r="A644" s="2"/>
      <x:c r="B644" s="2" t="n">
        <x:v>639</x:v>
      </x:c>
      <x:c r="C644" s="2" t="str">
        <x:v>Baby, Feminine &amp; Family Care / price_contribution</x:v>
      </x:c>
      <x:c r="D644" s="2" t="str">
        <x:v>Broad lag 1</x:v>
      </x:c>
      <x:c r="E644" s="7" t="n">
        <x:v>45473</x:v>
      </x:c>
      <x:c r="F644" s="2" t="str">
        <x:v>Prior report</x:v>
      </x:c>
      <x:c r="G644" s="7" t="n">
        <x:v>45401</x:v>
      </x:c>
      <x:c r="H644" s="2" t="n">
        <x:v>12</x:v>
      </x:c>
      <x:c r="I644" s="8" t="n">
        <x:v>39.704827906174714</x:v>
      </x:c>
      <x:c r="J644" s="8" t="n">
        <x:v>0</x:v>
      </x:c>
      <x:c r="K644" s="8" t="n">
        <x:v>60</x:v>
      </x:c>
      <x:c r="L644" s="8" t="n">
        <x:v>240.3073515710282</x:v>
      </x:c>
      <x:c r="M644" s="8" t="n">
        <x:v>0</x:v>
      </x:c>
      <x:c r="N644" s="8" t="n">
        <x:v>0</x:v>
      </x:c>
      <x:c r="O644" s="8" t="n">
        <x:v>274.38463779900894</x:v>
      </x:c>
      <x:c r="P644" s="8" t="n">
        <x:v>0</x:v>
      </x:c>
      <x:c r="Q644" s="8" t="n">
        <x:v>3.636809635836169</x:v>
      </x:c>
      <x:c r="R644" s="8" t="n">
        <x:v>0</x:v>
      </x:c>
      <x:c r="S644" s="8" t="n">
        <x:f>L644-I644^2/H644</x:f>
        <x:v>108.934571649449</x:v>
      </x:c>
      <x:c r="T644" s="8" t="n">
        <x:f>M644-J644^2/H644</x:f>
        <x:v>0</x:v>
      </x:c>
      <x:c r="U644" s="8" t="n">
        <x:f>N644-I644*J644/H644</x:f>
        <x:v>0</x:v>
      </x:c>
      <x:c r="V644" s="8" t="n">
        <x:f>O644-I644*K644/H644</x:f>
        <x:v>75.86049826813539</x:v>
      </x:c>
      <x:c r="W644" s="8" t="n">
        <x:f>P644-J644*K644/H644</x:f>
        <x:v>0</x:v>
      </x:c>
      <x:c r="X644" s="8" t="n">
        <x:f>V644/S644</x:f>
        <x:v>0.6963858866793378</x:v>
      </x:c>
      <x:c r="Y644" s="8" t="n">
        <x:f>0</x:f>
        <x:v>0</x:v>
      </x:c>
      <x:c r="Z644" s="8" t="n">
        <x:f>K644/H644-X644*I644/H644-Y644*J644/H644</x:f>
        <x:v>2.695843184425667</x:v>
      </x:c>
      <x:c r="AA644" s="8" t="n">
        <x:f>Z644+X644*Q644+Y644*R644</x:f>
        <x:v>5.228466087361397</x:v>
      </x:c>
    </x:row>
    <x:row r="645" ht="26" customHeight="1">
      <x:c r="A645" s="2"/>
      <x:c r="B645" s="2" t="n">
        <x:v>640</x:v>
      </x:c>
      <x:c r="C645" s="2" t="str">
        <x:v>Baby, Feminine &amp; Family Care / price_contribution</x:v>
      </x:c>
      <x:c r="D645" s="2" t="str">
        <x:v>Broad rolling 8</x:v>
      </x:c>
      <x:c r="E645" s="7" t="n">
        <x:v>45473</x:v>
      </x:c>
      <x:c r="F645" s="2" t="str">
        <x:v>Prior report</x:v>
      </x:c>
      <x:c r="G645" s="7" t="n">
        <x:v>45401</x:v>
      </x:c>
      <x:c r="H645" s="2" t="n">
        <x:v>8</x:v>
      </x:c>
      <x:c r="I645" s="8" t="n">
        <x:v>43.19182386703038</x:v>
      </x:c>
      <x:c r="J645" s="8" t="n">
        <x:v>0</x:v>
      </x:c>
      <x:c r="K645" s="8" t="n">
        <x:v>52</x:v>
      </x:c>
      <x:c r="L645" s="8" t="n">
        <x:v>252.18970592405591</x:v>
      </x:c>
      <x:c r="M645" s="8" t="n">
        <x:v>0</x:v>
      </x:c>
      <x:c r="N645" s="8" t="n">
        <x:v>0</x:v>
      </x:c>
      <x:c r="O645" s="8" t="n">
        <x:v>301.0403211613956</x:v>
      </x:c>
      <x:c r="P645" s="8" t="n">
        <x:v>0</x:v>
      </x:c>
      <x:c r="Q645" s="8" t="n">
        <x:v>3.637237355891698</x:v>
      </x:c>
      <x:c r="R645" s="8" t="n">
        <x:v>0</x:v>
      </x:c>
      <x:c r="S645" s="8" t="n">
        <x:f>L645-I645^2/H645</x:f>
        <x:v>18.997999803984015</x:v>
      </x:c>
      <x:c r="T645" s="8" t="n">
        <x:f>M645-J645^2/H645</x:f>
        <x:v>0</x:v>
      </x:c>
      <x:c r="U645" s="8" t="n">
        <x:f>N645-I645*J645/H645</x:f>
        <x:v>0</x:v>
      </x:c>
      <x:c r="V645" s="8" t="n">
        <x:f>O645-I645*K645/H645</x:f>
        <x:v>20.293466025698137</x:v>
      </x:c>
      <x:c r="W645" s="8" t="n">
        <x:f>P645-J645*K645/H645</x:f>
        <x:v>0</x:v>
      </x:c>
      <x:c r="X645" s="8" t="n">
        <x:f>V645/S645</x:f>
        <x:v>1.0681896112791018</x:v>
      </x:c>
      <x:c r="Y645" s="8" t="n">
        <x:f>0</x:f>
        <x:v>0</x:v>
      </x:c>
      <x:c r="Z645" s="8" t="n">
        <x:f>K645/H645-X645*I645/H645-Y645*J645/H645</x:f>
        <x:v>0.732867806630173</x:v>
      </x:c>
      <x:c r="AA645" s="8" t="n">
        <x:f>Z645+X645*Q645+Y645*R645</x:f>
        <x:v>4.618126963949955</x:v>
      </x:c>
    </x:row>
    <x:row r="646" ht="26" customHeight="1">
      <x:c r="A646" s="2"/>
      <x:c r="B646" s="2" t="n">
        <x:v>641</x:v>
      </x:c>
      <x:c r="C646" s="2" t="str">
        <x:v>Baby, Feminine &amp; Family Care / price_contribution</x:v>
      </x:c>
      <x:c r="D646" s="2" t="str">
        <x:v>Own history</x:v>
      </x:c>
      <x:c r="E646" s="7" t="n">
        <x:v>45473</x:v>
      </x:c>
      <x:c r="F646" s="2" t="str">
        <x:v>Prior report</x:v>
      </x:c>
      <x:c r="G646" s="7" t="n">
        <x:v>45401</x:v>
      </x:c>
      <x:c r="H646" s="2" t="n">
        <x:v>12</x:v>
      </x:c>
      <x:c r="I646" s="8" t="n">
        <x:v>60</x:v>
      </x:c>
      <x:c r="J646" s="8" t="n">
        <x:v>0</x:v>
      </x:c>
      <x:c r="K646" s="8" t="n">
        <x:v>60</x:v>
      </x:c>
      <x:c r="L646" s="8" t="n">
        <x:v>412</x:v>
      </x:c>
      <x:c r="M646" s="8" t="n">
        <x:v>0</x:v>
      </x:c>
      <x:c r="N646" s="8" t="n">
        <x:v>0</x:v>
      </x:c>
      <x:c r="O646" s="8" t="n">
        <x:v>387</x:v>
      </x:c>
      <x:c r="P646" s="8" t="n">
        <x:v>0</x:v>
      </x:c>
      <x:c r="Q646" s="8" t="n">
        <x:v>2</x:v>
      </x:c>
      <x:c r="R646" s="8" t="n">
        <x:v>0</x:v>
      </x:c>
      <x:c r="S646" s="8" t="n">
        <x:f>L646-I646^2/H646</x:f>
        <x:v>112</x:v>
      </x:c>
      <x:c r="T646" s="8" t="n">
        <x:f>M646-J646^2/H646</x:f>
        <x:v>0</x:v>
      </x:c>
      <x:c r="U646" s="8" t="n">
        <x:f>N646-I646*J646/H646</x:f>
        <x:v>0</x:v>
      </x:c>
      <x:c r="V646" s="8" t="n">
        <x:f>O646-I646*K646/H646</x:f>
        <x:v>87</x:v>
      </x:c>
      <x:c r="W646" s="8" t="n">
        <x:f>P646-J646*K646/H646</x:f>
        <x:v>0</x:v>
      </x:c>
      <x:c r="X646" s="8" t="n">
        <x:f>V646/S646</x:f>
        <x:v>0.7767857142857143</x:v>
      </x:c>
      <x:c r="Y646" s="8" t="n">
        <x:f>0</x:f>
        <x:v>0</x:v>
      </x:c>
      <x:c r="Z646" s="8" t="n">
        <x:f>K646/H646-X646*I646/H646-Y646*J646/H646</x:f>
        <x:v>1.1160714285714284</x:v>
      </x:c>
      <x:c r="AA646" s="8" t="n">
        <x:f>Z646+X646*Q646+Y646*R646</x:f>
        <x:v>2.6696428571428568</x:v>
      </x:c>
    </x:row>
    <x:row r="647" ht="26" customHeight="1">
      <x:c r="A647" s="2"/>
      <x:c r="B647" s="2" t="n">
        <x:v>642</x:v>
      </x:c>
      <x:c r="C647" s="2" t="str">
        <x:v>Baby, Feminine &amp; Family Care / price_contribution</x:v>
      </x:c>
      <x:c r="D647" s="2" t="str">
        <x:v>Broad market</x:v>
      </x:c>
      <x:c r="E647" s="7" t="n">
        <x:v>45473</x:v>
      </x:c>
      <x:c r="F647" s="2" t="str">
        <x:v>Pre-earnings</x:v>
      </x:c>
      <x:c r="G647" s="7" t="n">
        <x:v>45502</x:v>
      </x:c>
      <x:c r="H647" s="2" t="n">
        <x:v>13</x:v>
      </x:c>
      <x:c r="I647" s="8" t="n">
        <x:v>43.34163754201088</x:v>
      </x:c>
      <x:c r="J647" s="8" t="n">
        <x:v>0</x:v>
      </x:c>
      <x:c r="K647" s="8" t="n">
        <x:v>62</x:v>
      </x:c>
      <x:c r="L647" s="8" t="n">
        <x:v>253.53373589833902</x:v>
      </x:c>
      <x:c r="M647" s="8" t="n">
        <x:v>0</x:v>
      </x:c>
      <x:c r="N647" s="8" t="n">
        <x:v>0</x:v>
      </x:c>
      <x:c r="O647" s="8" t="n">
        <x:v>305.6694830697532</x:v>
      </x:c>
      <x:c r="P647" s="8" t="n">
        <x:v>0</x:v>
      </x:c>
      <x:c r="Q647" s="8" t="n">
        <x:v>1.6547550061168037</x:v>
      </x:c>
      <x:c r="R647" s="8" t="n">
        <x:v>0</x:v>
      </x:c>
      <x:c r="S647" s="8" t="n">
        <x:f>L647-I647^2/H647</x:f>
        <x:v>109.03392475810463</x:v>
      </x:c>
      <x:c r="T647" s="8" t="n">
        <x:f>M647-J647^2/H647</x:f>
        <x:v>0</x:v>
      </x:c>
      <x:c r="U647" s="8" t="n">
        <x:f>N647-I647*J647/H647</x:f>
        <x:v>0</x:v>
      </x:c>
      <x:c r="V647" s="8" t="n">
        <x:f>O647-I647*K647/H647</x:f>
        <x:v>98.96321171554746</x:v>
      </x:c>
      <x:c r="W647" s="8" t="n">
        <x:f>P647-J647*K647/H647</x:f>
        <x:v>0</x:v>
      </x:c>
      <x:c r="X647" s="8" t="n">
        <x:f>V647/S647</x:f>
        <x:v>0.9076368839799229</x:v>
      </x:c>
      <x:c r="Y647" s="8" t="n">
        <x:f>0</x:f>
        <x:v>0</x:v>
      </x:c>
      <x:c r="Z647" s="8" t="n">
        <x:f>K647/H647-X647*I647/H647-Y647*J647/H647</x:f>
        <x:v>1.743194704214</x:v>
      </x:c>
      <x:c r="AA647" s="8" t="n">
        <x:f>Z647+X647*Q647+Y647*R647</x:f>
        <x:v>3.245111381716034</x:v>
      </x:c>
    </x:row>
    <x:row r="648" ht="26" customHeight="1">
      <x:c r="A648" s="2"/>
      <x:c r="B648" s="2" t="n">
        <x:v>643</x:v>
      </x:c>
      <x:c r="C648" s="2" t="str">
        <x:v>Baby, Feminine &amp; Family Care / price_contribution</x:v>
      </x:c>
      <x:c r="D648" s="2" t="str">
        <x:v>Broad lag 1</x:v>
      </x:c>
      <x:c r="E648" s="7" t="n">
        <x:v>45473</x:v>
      </x:c>
      <x:c r="F648" s="2" t="str">
        <x:v>Pre-earnings</x:v>
      </x:c>
      <x:c r="G648" s="7" t="n">
        <x:v>45502</x:v>
      </x:c>
      <x:c r="H648" s="2" t="n">
        <x:v>12</x:v>
      </x:c>
      <x:c r="I648" s="8" t="n">
        <x:v>39.704827906174714</x:v>
      </x:c>
      <x:c r="J648" s="8" t="n">
        <x:v>0</x:v>
      </x:c>
      <x:c r="K648" s="8" t="n">
        <x:v>60</x:v>
      </x:c>
      <x:c r="L648" s="8" t="n">
        <x:v>240.3073515710282</x:v>
      </x:c>
      <x:c r="M648" s="8" t="n">
        <x:v>0</x:v>
      </x:c>
      <x:c r="N648" s="8" t="n">
        <x:v>0</x:v>
      </x:c>
      <x:c r="O648" s="8" t="n">
        <x:v>274.38463779900894</x:v>
      </x:c>
      <x:c r="P648" s="8" t="n">
        <x:v>0</x:v>
      </x:c>
      <x:c r="Q648" s="8" t="n">
        <x:v>3.636809635836169</x:v>
      </x:c>
      <x:c r="R648" s="8" t="n">
        <x:v>0</x:v>
      </x:c>
      <x:c r="S648" s="8" t="n">
        <x:f>L648-I648^2/H648</x:f>
        <x:v>108.934571649449</x:v>
      </x:c>
      <x:c r="T648" s="8" t="n">
        <x:f>M648-J648^2/H648</x:f>
        <x:v>0</x:v>
      </x:c>
      <x:c r="U648" s="8" t="n">
        <x:f>N648-I648*J648/H648</x:f>
        <x:v>0</x:v>
      </x:c>
      <x:c r="V648" s="8" t="n">
        <x:f>O648-I648*K648/H648</x:f>
        <x:v>75.86049826813539</x:v>
      </x:c>
      <x:c r="W648" s="8" t="n">
        <x:f>P648-J648*K648/H648</x:f>
        <x:v>0</x:v>
      </x:c>
      <x:c r="X648" s="8" t="n">
        <x:f>V648/S648</x:f>
        <x:v>0.6963858866793378</x:v>
      </x:c>
      <x:c r="Y648" s="8" t="n">
        <x:f>0</x:f>
        <x:v>0</x:v>
      </x:c>
      <x:c r="Z648" s="8" t="n">
        <x:f>K648/H648-X648*I648/H648-Y648*J648/H648</x:f>
        <x:v>2.695843184425667</x:v>
      </x:c>
      <x:c r="AA648" s="8" t="n">
        <x:f>Z648+X648*Q648+Y648*R648</x:f>
        <x:v>5.228466087361397</x:v>
      </x:c>
    </x:row>
    <x:row r="649" ht="26" customHeight="1">
      <x:c r="A649" s="2"/>
      <x:c r="B649" s="2" t="n">
        <x:v>644</x:v>
      </x:c>
      <x:c r="C649" s="2" t="str">
        <x:v>Baby, Feminine &amp; Family Care / price_contribution</x:v>
      </x:c>
      <x:c r="D649" s="2" t="str">
        <x:v>Broad rolling 8</x:v>
      </x:c>
      <x:c r="E649" s="7" t="n">
        <x:v>45473</x:v>
      </x:c>
      <x:c r="F649" s="2" t="str">
        <x:v>Pre-earnings</x:v>
      </x:c>
      <x:c r="G649" s="7" t="n">
        <x:v>45502</x:v>
      </x:c>
      <x:c r="H649" s="2" t="n">
        <x:v>8</x:v>
      </x:c>
      <x:c r="I649" s="8" t="n">
        <x:v>43.19182386703038</x:v>
      </x:c>
      <x:c r="J649" s="8" t="n">
        <x:v>0</x:v>
      </x:c>
      <x:c r="K649" s="8" t="n">
        <x:v>52</x:v>
      </x:c>
      <x:c r="L649" s="8" t="n">
        <x:v>252.18970592405591</x:v>
      </x:c>
      <x:c r="M649" s="8" t="n">
        <x:v>0</x:v>
      </x:c>
      <x:c r="N649" s="8" t="n">
        <x:v>0</x:v>
      </x:c>
      <x:c r="O649" s="8" t="n">
        <x:v>301.0403211613956</x:v>
      </x:c>
      <x:c r="P649" s="8" t="n">
        <x:v>0</x:v>
      </x:c>
      <x:c r="Q649" s="8" t="n">
        <x:v>1.6547550061168037</x:v>
      </x:c>
      <x:c r="R649" s="8" t="n">
        <x:v>0</x:v>
      </x:c>
      <x:c r="S649" s="8" t="n">
        <x:f>L649-I649^2/H649</x:f>
        <x:v>18.997999803984015</x:v>
      </x:c>
      <x:c r="T649" s="8" t="n">
        <x:f>M649-J649^2/H649</x:f>
        <x:v>0</x:v>
      </x:c>
      <x:c r="U649" s="8" t="n">
        <x:f>N649-I649*J649/H649</x:f>
        <x:v>0</x:v>
      </x:c>
      <x:c r="V649" s="8" t="n">
        <x:f>O649-I649*K649/H649</x:f>
        <x:v>20.293466025698137</x:v>
      </x:c>
      <x:c r="W649" s="8" t="n">
        <x:f>P649-J649*K649/H649</x:f>
        <x:v>0</x:v>
      </x:c>
      <x:c r="X649" s="8" t="n">
        <x:f>V649/S649</x:f>
        <x:v>1.0681896112791018</x:v>
      </x:c>
      <x:c r="Y649" s="8" t="n">
        <x:f>0</x:f>
        <x:v>0</x:v>
      </x:c>
      <x:c r="Z649" s="8" t="n">
        <x:f>K649/H649-X649*I649/H649-Y649*J649/H649</x:f>
        <x:v>0.732867806630173</x:v>
      </x:c>
      <x:c r="AA649" s="8" t="n">
        <x:f>Z649+X649*Q649+Y649*R649</x:f>
        <x:v>2.500459913376229</x:v>
      </x:c>
    </x:row>
    <x:row r="650" ht="26" customHeight="1">
      <x:c r="A650" s="2"/>
      <x:c r="B650" s="2" t="n">
        <x:v>645</x:v>
      </x:c>
      <x:c r="C650" s="2" t="str">
        <x:v>Baby, Feminine &amp; Family Care / price_contribution</x:v>
      </x:c>
      <x:c r="D650" s="2" t="str">
        <x:v>Own history</x:v>
      </x:c>
      <x:c r="E650" s="7" t="n">
        <x:v>45473</x:v>
      </x:c>
      <x:c r="F650" s="2" t="str">
        <x:v>Pre-earnings</x:v>
      </x:c>
      <x:c r="G650" s="7" t="n">
        <x:v>45502</x:v>
      </x:c>
      <x:c r="H650" s="2" t="n">
        <x:v>12</x:v>
      </x:c>
      <x:c r="I650" s="8" t="n">
        <x:v>60</x:v>
      </x:c>
      <x:c r="J650" s="8" t="n">
        <x:v>0</x:v>
      </x:c>
      <x:c r="K650" s="8" t="n">
        <x:v>60</x:v>
      </x:c>
      <x:c r="L650" s="8" t="n">
        <x:v>412</x:v>
      </x:c>
      <x:c r="M650" s="8" t="n">
        <x:v>0</x:v>
      </x:c>
      <x:c r="N650" s="8" t="n">
        <x:v>0</x:v>
      </x:c>
      <x:c r="O650" s="8" t="n">
        <x:v>387</x:v>
      </x:c>
      <x:c r="P650" s="8" t="n">
        <x:v>0</x:v>
      </x:c>
      <x:c r="Q650" s="8" t="n">
        <x:v>2</x:v>
      </x:c>
      <x:c r="R650" s="8" t="n">
        <x:v>0</x:v>
      </x:c>
      <x:c r="S650" s="8" t="n">
        <x:f>L650-I650^2/H650</x:f>
        <x:v>112</x:v>
      </x:c>
      <x:c r="T650" s="8" t="n">
        <x:f>M650-J650^2/H650</x:f>
        <x:v>0</x:v>
      </x:c>
      <x:c r="U650" s="8" t="n">
        <x:f>N650-I650*J650/H650</x:f>
        <x:v>0</x:v>
      </x:c>
      <x:c r="V650" s="8" t="n">
        <x:f>O650-I650*K650/H650</x:f>
        <x:v>87</x:v>
      </x:c>
      <x:c r="W650" s="8" t="n">
        <x:f>P650-J650*K650/H650</x:f>
        <x:v>0</x:v>
      </x:c>
      <x:c r="X650" s="8" t="n">
        <x:f>V650/S650</x:f>
        <x:v>0.7767857142857143</x:v>
      </x:c>
      <x:c r="Y650" s="8" t="n">
        <x:f>0</x:f>
        <x:v>0</x:v>
      </x:c>
      <x:c r="Z650" s="8" t="n">
        <x:f>K650/H650-X650*I650/H650-Y650*J650/H650</x:f>
        <x:v>1.1160714285714284</x:v>
      </x:c>
      <x:c r="AA650" s="8" t="n">
        <x:f>Z650+X650*Q650+Y650*R650</x:f>
        <x:v>2.6696428571428568</x:v>
      </x:c>
    </x:row>
    <x:row r="651" ht="26" customHeight="1">
      <x:c r="A651" s="2"/>
      <x:c r="B651" s="2" t="n">
        <x:v>646</x:v>
      </x:c>
      <x:c r="C651" s="2" t="str">
        <x:v>Baby, Feminine &amp; Family Care / price_contribution</x:v>
      </x:c>
      <x:c r="D651" s="2" t="str">
        <x:v>Broad market</x:v>
      </x:c>
      <x:c r="E651" s="7" t="n">
        <x:v>45565</x:v>
      </x:c>
      <x:c r="F651" s="2" t="str">
        <x:v>Origin</x:v>
      </x:c>
      <x:c r="G651" s="7" t="n">
        <x:v>45474</x:v>
      </x:c>
      <x:c r="H651" s="2" t="n">
        <x:v>13</x:v>
      </x:c>
      <x:c r="I651" s="8" t="n">
        <x:v>43.34163754201088</x:v>
      </x:c>
      <x:c r="J651" s="8" t="n">
        <x:v>0</x:v>
      </x:c>
      <x:c r="K651" s="8" t="n">
        <x:v>62</x:v>
      </x:c>
      <x:c r="L651" s="8" t="n">
        <x:v>253.53373589833902</x:v>
      </x:c>
      <x:c r="M651" s="8" t="n">
        <x:v>0</x:v>
      </x:c>
      <x:c r="N651" s="8" t="n">
        <x:v>0</x:v>
      </x:c>
      <x:c r="O651" s="8" t="n">
        <x:v>305.6694830697532</x:v>
      </x:c>
      <x:c r="P651" s="8" t="n">
        <x:v>0</x:v>
      </x:c>
      <x:c r="Q651" s="8" t="n">
        <x:v>2.4448012966521437</x:v>
      </x:c>
      <x:c r="R651" s="8" t="n">
        <x:v>0</x:v>
      </x:c>
      <x:c r="S651" s="8" t="n">
        <x:f>L651-I651^2/H651</x:f>
        <x:v>109.03392475810463</x:v>
      </x:c>
      <x:c r="T651" s="8" t="n">
        <x:f>M651-J651^2/H651</x:f>
        <x:v>0</x:v>
      </x:c>
      <x:c r="U651" s="8" t="n">
        <x:f>N651-I651*J651/H651</x:f>
        <x:v>0</x:v>
      </x:c>
      <x:c r="V651" s="8" t="n">
        <x:f>O651-I651*K651/H651</x:f>
        <x:v>98.96321171554746</x:v>
      </x:c>
      <x:c r="W651" s="8" t="n">
        <x:f>P651-J651*K651/H651</x:f>
        <x:v>0</x:v>
      </x:c>
      <x:c r="X651" s="8" t="n">
        <x:f>V651/S651</x:f>
        <x:v>0.9076368839799229</x:v>
      </x:c>
      <x:c r="Y651" s="8" t="n">
        <x:f>0</x:f>
        <x:v>0</x:v>
      </x:c>
      <x:c r="Z651" s="8" t="n">
        <x:f>K651/H651-X651*I651/H651-Y651*J651/H651</x:f>
        <x:v>1.743194704214</x:v>
      </x:c>
      <x:c r="AA651" s="8" t="n">
        <x:f>Z651+X651*Q651+Y651*R651</x:f>
        <x:v>3.962186535057427</x:v>
      </x:c>
    </x:row>
    <x:row r="652" ht="26" customHeight="1">
      <x:c r="A652" s="2"/>
      <x:c r="B652" s="2" t="n">
        <x:v>647</x:v>
      </x:c>
      <x:c r="C652" s="2" t="str">
        <x:v>Baby, Feminine &amp; Family Care / price_contribution</x:v>
      </x:c>
      <x:c r="D652" s="2" t="str">
        <x:v>Broad rolling 8</x:v>
      </x:c>
      <x:c r="E652" s="7" t="n">
        <x:v>45565</x:v>
      </x:c>
      <x:c r="F652" s="2" t="str">
        <x:v>Origin</x:v>
      </x:c>
      <x:c r="G652" s="7" t="n">
        <x:v>45474</x:v>
      </x:c>
      <x:c r="H652" s="2" t="n">
        <x:v>8</x:v>
      </x:c>
      <x:c r="I652" s="8" t="n">
        <x:v>43.19182386703038</x:v>
      </x:c>
      <x:c r="J652" s="8" t="n">
        <x:v>0</x:v>
      </x:c>
      <x:c r="K652" s="8" t="n">
        <x:v>52</x:v>
      </x:c>
      <x:c r="L652" s="8" t="n">
        <x:v>252.18970592405591</x:v>
      </x:c>
      <x:c r="M652" s="8" t="n">
        <x:v>0</x:v>
      </x:c>
      <x:c r="N652" s="8" t="n">
        <x:v>0</x:v>
      </x:c>
      <x:c r="O652" s="8" t="n">
        <x:v>301.0403211613956</x:v>
      </x:c>
      <x:c r="P652" s="8" t="n">
        <x:v>0</x:v>
      </x:c>
      <x:c r="Q652" s="8" t="n">
        <x:v>2.4448012966521437</x:v>
      </x:c>
      <x:c r="R652" s="8" t="n">
        <x:v>0</x:v>
      </x:c>
      <x:c r="S652" s="8" t="n">
        <x:f>L652-I652^2/H652</x:f>
        <x:v>18.997999803984015</x:v>
      </x:c>
      <x:c r="T652" s="8" t="n">
        <x:f>M652-J652^2/H652</x:f>
        <x:v>0</x:v>
      </x:c>
      <x:c r="U652" s="8" t="n">
        <x:f>N652-I652*J652/H652</x:f>
        <x:v>0</x:v>
      </x:c>
      <x:c r="V652" s="8" t="n">
        <x:f>O652-I652*K652/H652</x:f>
        <x:v>20.293466025698137</x:v>
      </x:c>
      <x:c r="W652" s="8" t="n">
        <x:f>P652-J652*K652/H652</x:f>
        <x:v>0</x:v>
      </x:c>
      <x:c r="X652" s="8" t="n">
        <x:f>V652/S652</x:f>
        <x:v>1.0681896112791018</x:v>
      </x:c>
      <x:c r="Y652" s="8" t="n">
        <x:f>0</x:f>
        <x:v>0</x:v>
      </x:c>
      <x:c r="Z652" s="8" t="n">
        <x:f>K652/H652-X652*I652/H652-Y652*J652/H652</x:f>
        <x:v>0.732867806630173</x:v>
      </x:c>
      <x:c r="AA652" s="8" t="n">
        <x:f>Z652+X652*Q652+Y652*R652</x:f>
        <x:v>3.3443791533556704</x:v>
      </x:c>
    </x:row>
    <x:row r="653" ht="26" customHeight="1">
      <x:c r="A653" s="2"/>
      <x:c r="B653" s="2" t="n">
        <x:v>648</x:v>
      </x:c>
      <x:c r="C653" s="2" t="str">
        <x:v>Baby, Feminine &amp; Family Care / price_contribution</x:v>
      </x:c>
      <x:c r="D653" s="2" t="str">
        <x:v>Own history</x:v>
      </x:c>
      <x:c r="E653" s="7" t="n">
        <x:v>45565</x:v>
      </x:c>
      <x:c r="F653" s="2" t="str">
        <x:v>Origin</x:v>
      </x:c>
      <x:c r="G653" s="7" t="n">
        <x:v>45474</x:v>
      </x:c>
      <x:c r="H653" s="2" t="n">
        <x:v>11</x:v>
      </x:c>
      <x:c r="I653" s="8" t="n">
        <x:v>56</x:v>
      </x:c>
      <x:c r="J653" s="8" t="n">
        <x:v>0</x:v>
      </x:c>
      <x:c r="K653" s="8" t="n">
        <x:v>59</x:v>
      </x:c>
      <x:c r="L653" s="8" t="n">
        <x:v>396</x:v>
      </x:c>
      <x:c r="M653" s="8" t="n">
        <x:v>0</x:v>
      </x:c>
      <x:c r="N653" s="8" t="n">
        <x:v>0</x:v>
      </x:c>
      <x:c r="O653" s="8" t="n">
        <x:v>342</x:v>
      </x:c>
      <x:c r="P653" s="8" t="n">
        <x:v>0</x:v>
      </x:c>
      <x:c r="Q653" s="8" t="n">
        <x:v>2</x:v>
      </x:c>
      <x:c r="R653" s="8" t="n">
        <x:v>0</x:v>
      </x:c>
      <x:c r="S653" s="8" t="n">
        <x:f>L653-I653^2/H653</x:f>
        <x:v>110.90909090909093</x:v>
      </x:c>
      <x:c r="T653" s="8" t="n">
        <x:f>M653-J653^2/H653</x:f>
        <x:v>0</x:v>
      </x:c>
      <x:c r="U653" s="8" t="n">
        <x:f>N653-I653*J653/H653</x:f>
        <x:v>0</x:v>
      </x:c>
      <x:c r="V653" s="8" t="n">
        <x:f>O653-I653*K653/H653</x:f>
        <x:v>41.636363636363626</x:v>
      </x:c>
      <x:c r="W653" s="8" t="n">
        <x:f>P653-J653*K653/H653</x:f>
        <x:v>0</x:v>
      </x:c>
      <x:c r="X653" s="8" t="n">
        <x:f>V653/S653</x:f>
        <x:v>0.3754098360655736</x:v>
      </x:c>
      <x:c r="Y653" s="8" t="n">
        <x:f>0</x:f>
        <x:v>0</x:v>
      </x:c>
      <x:c r="Z653" s="8" t="n">
        <x:f>K653/H653-X653*I653/H653-Y653*J653/H653</x:f>
        <x:v>3.452459016393443</x:v>
      </x:c>
      <x:c r="AA653" s="8" t="n">
        <x:f>Z653+X653*Q653+Y653*R653</x:f>
        <x:v>4.20327868852459</x:v>
      </x:c>
    </x:row>
    <x:row r="654" ht="26" customHeight="1">
      <x:c r="A654" s="2"/>
      <x:c r="B654" s="2" t="n">
        <x:v>649</x:v>
      </x:c>
      <x:c r="C654" s="2" t="str">
        <x:v>Baby, Feminine &amp; Family Care / price_contribution</x:v>
      </x:c>
      <x:c r="D654" s="2" t="str">
        <x:v>Broad market</x:v>
      </x:c>
      <x:c r="E654" s="7" t="n">
        <x:v>45565</x:v>
      </x:c>
      <x:c r="F654" s="2" t="str">
        <x:v>Prior report</x:v>
      </x:c>
      <x:c r="G654" s="7" t="n">
        <x:v>45503</x:v>
      </x:c>
      <x:c r="H654" s="2" t="n">
        <x:v>14</x:v>
      </x:c>
      <x:c r="I654" s="8" t="n">
        <x:v>44.99639254812769</x:v>
      </x:c>
      <x:c r="J654" s="8" t="n">
        <x:v>0</x:v>
      </x:c>
      <x:c r="K654" s="8" t="n">
        <x:v>62</x:v>
      </x:c>
      <x:c r="L654" s="8" t="n">
        <x:v>256.27195002860765</x:v>
      </x:c>
      <x:c r="M654" s="8" t="n">
        <x:v>0</x:v>
      </x:c>
      <x:c r="N654" s="8" t="n">
        <x:v>0</x:v>
      </x:c>
      <x:c r="O654" s="8" t="n">
        <x:v>305.6694830697532</x:v>
      </x:c>
      <x:c r="P654" s="8" t="n">
        <x:v>0</x:v>
      </x:c>
      <x:c r="Q654" s="8" t="n">
        <x:v>1.6583438100702175</x:v>
      </x:c>
      <x:c r="R654" s="8" t="n">
        <x:v>0</x:v>
      </x:c>
      <x:c r="S654" s="8" t="n">
        <x:f>L654-I654^2/H654</x:f>
        <x:v>111.65228271823614</x:v>
      </x:c>
      <x:c r="T654" s="8" t="n">
        <x:f>M654-J654^2/H654</x:f>
        <x:v>0</x:v>
      </x:c>
      <x:c r="U654" s="8" t="n">
        <x:f>N654-I654*J654/H654</x:f>
        <x:v>0</x:v>
      </x:c>
      <x:c r="V654" s="8" t="n">
        <x:f>O654-I654*K654/H654</x:f>
        <x:v>106.39974464233057</x:v>
      </x:c>
      <x:c r="W654" s="8" t="n">
        <x:f>P654-J654*K654/H654</x:f>
        <x:v>0</x:v>
      </x:c>
      <x:c r="X654" s="8" t="n">
        <x:f>V654/S654</x:f>
        <x:v>0.9529562858185284</x:v>
      </x:c>
      <x:c r="Y654" s="8" t="n">
        <x:f>0</x:f>
        <x:v>0</x:v>
      </x:c>
      <x:c r="Z654" s="8" t="n">
        <x:f>K654/H654-X654*I654/H654-Y654*J654/H654</x:f>
        <x:v>1.3657432058645522</x:v>
      </x:c>
      <x:c r="AA654" s="8" t="n">
        <x:f>Z654+X654*Q654+Y654*R654</x:f>
        <x:v>2.946072363719214</x:v>
      </x:c>
    </x:row>
    <x:row r="655" ht="26" customHeight="1">
      <x:c r="A655" s="2"/>
      <x:c r="B655" s="2" t="n">
        <x:v>650</x:v>
      </x:c>
      <x:c r="C655" s="2" t="str">
        <x:v>Baby, Feminine &amp; Family Care / price_contribution</x:v>
      </x:c>
      <x:c r="D655" s="2" t="str">
        <x:v>Broad lag 1</x:v>
      </x:c>
      <x:c r="E655" s="7" t="n">
        <x:v>45565</x:v>
      </x:c>
      <x:c r="F655" s="2" t="str">
        <x:v>Prior report</x:v>
      </x:c>
      <x:c r="G655" s="7" t="n">
        <x:v>45503</x:v>
      </x:c>
      <x:c r="H655" s="2" t="n">
        <x:v>13</x:v>
      </x:c>
      <x:c r="I655" s="8" t="n">
        <x:v>43.34163754201088</x:v>
      </x:c>
      <x:c r="J655" s="8" t="n">
        <x:v>0</x:v>
      </x:c>
      <x:c r="K655" s="8" t="n">
        <x:v>60</x:v>
      </x:c>
      <x:c r="L655" s="8" t="n">
        <x:v>253.53373589833902</x:v>
      </x:c>
      <x:c r="M655" s="8" t="n">
        <x:v>0</x:v>
      </x:c>
      <x:c r="N655" s="8" t="n">
        <x:v>0</x:v>
      </x:c>
      <x:c r="O655" s="8" t="n">
        <x:v>274.38463779900894</x:v>
      </x:c>
      <x:c r="P655" s="8" t="n">
        <x:v>0</x:v>
      </x:c>
      <x:c r="Q655" s="8" t="n">
        <x:v>1.6547550061168037</x:v>
      </x:c>
      <x:c r="R655" s="8" t="n">
        <x:v>0</x:v>
      </x:c>
      <x:c r="S655" s="8" t="n">
        <x:f>L655-I655^2/H655</x:f>
        <x:v>109.03392475810463</x:v>
      </x:c>
      <x:c r="T655" s="8" t="n">
        <x:f>M655-J655^2/H655</x:f>
        <x:v>0</x:v>
      </x:c>
      <x:c r="U655" s="8" t="n">
        <x:f>N655-I655*J655/H655</x:f>
        <x:v>0</x:v>
      </x:c>
      <x:c r="V655" s="8" t="n">
        <x:f>O655-I655*K655/H655</x:f>
        <x:v>74.34631068203564</x:v>
      </x:c>
      <x:c r="W655" s="8" t="n">
        <x:f>P655-J655*K655/H655</x:f>
        <x:v>0</x:v>
      </x:c>
      <x:c r="X655" s="8" t="n">
        <x:f>V655/S655</x:f>
        <x:v>0.6818640239446153</x:v>
      </x:c>
      <x:c r="Y655" s="8" t="n">
        <x:f>0</x:f>
        <x:v>0</x:v>
      </x:c>
      <x:c r="Z655" s="8" t="n">
        <x:f>K655/H655-X655*I655/H655-Y655*J655/H655</x:f>
        <x:v>2.342068970865804</x:v>
      </x:c>
      <x:c r="AA655" s="8" t="n">
        <x:f>Z655+X655*Q655+Y655*R655</x:f>
        <x:v>3.470386877979104</x:v>
      </x:c>
    </x:row>
    <x:row r="656" ht="26" customHeight="1">
      <x:c r="A656" s="2"/>
      <x:c r="B656" s="2" t="n">
        <x:v>651</x:v>
      </x:c>
      <x:c r="C656" s="2" t="str">
        <x:v>Baby, Feminine &amp; Family Care / price_contribution</x:v>
      </x:c>
      <x:c r="D656" s="2" t="str">
        <x:v>Broad rolling 8</x:v>
      </x:c>
      <x:c r="E656" s="7" t="n">
        <x:v>45565</x:v>
      </x:c>
      <x:c r="F656" s="2" t="str">
        <x:v>Prior report</x:v>
      </x:c>
      <x:c r="G656" s="7" t="n">
        <x:v>45503</x:v>
      </x:c>
      <x:c r="H656" s="2" t="n">
        <x:v>8</x:v>
      </x:c>
      <x:c r="I656" s="8" t="n">
        <x:v>41.93430593153869</x:v>
      </x:c>
      <x:c r="J656" s="8" t="n">
        <x:v>0</x:v>
      </x:c>
      <x:c r="K656" s="8" t="n">
        <x:v>46</x:v>
      </x:c>
      <x:c r="L656" s="8" t="n">
        <x:v>246.44658636789953</x:v>
      </x:c>
      <x:c r="M656" s="8" t="n">
        <x:v>0</x:v>
      </x:c>
      <x:c r="N656" s="8" t="n">
        <x:v>0</x:v>
      </x:c>
      <x:c r="O656" s="8" t="n">
        <x:v>283.5666835117446</x:v>
      </x:c>
      <x:c r="P656" s="8" t="n">
        <x:v>0</x:v>
      </x:c>
      <x:c r="Q656" s="8" t="n">
        <x:v>1.6583438100702175</x:v>
      </x:c>
      <x:c r="R656" s="8" t="n">
        <x:v>0</x:v>
      </x:c>
      <x:c r="S656" s="8" t="n">
        <x:f>L656-I656^2/H656</x:f>
        <x:v>26.635834622914416</x:v>
      </x:c>
      <x:c r="T656" s="8" t="n">
        <x:f>M656-J656^2/H656</x:f>
        <x:v>0</x:v>
      </x:c>
      <x:c r="U656" s="8" t="n">
        <x:f>N656-I656*J656/H656</x:f>
        <x:v>0</x:v>
      </x:c>
      <x:c r="V656" s="8" t="n">
        <x:f>O656-I656*K656/H656</x:f>
        <x:v>42.44442440539714</x:v>
      </x:c>
      <x:c r="W656" s="8" t="n">
        <x:f>P656-J656*K656/H656</x:f>
        <x:v>0</x:v>
      </x:c>
      <x:c r="X656" s="8" t="n">
        <x:f>V656/S656</x:f>
        <x:v>1.5935083321505095</x:v>
      </x:c>
      <x:c r="Y656" s="8" t="n">
        <x:f>0</x:f>
        <x:v>0</x:v>
      </x:c>
      <x:c r="Z656" s="8" t="n">
        <x:f>K656/H656-X656*I656/H656-Y656*J656/H656</x:f>
        <x:v>-2.6028332381069283</x:v>
      </x:c>
      <x:c r="AA656" s="8" t="n">
        <x:f>Z656+X656*Q656+Y656*R656</x:f>
        <x:v>0.03975144081018511</x:v>
      </x:c>
    </x:row>
    <x:row r="657" ht="26" customHeight="1">
      <x:c r="A657" s="2"/>
      <x:c r="B657" s="2" t="n">
        <x:v>652</x:v>
      </x:c>
      <x:c r="C657" s="2" t="str">
        <x:v>Baby, Feminine &amp; Family Care / price_contribution</x:v>
      </x:c>
      <x:c r="D657" s="2" t="str">
        <x:v>Own history</x:v>
      </x:c>
      <x:c r="E657" s="7" t="n">
        <x:v>45565</x:v>
      </x:c>
      <x:c r="F657" s="2" t="str">
        <x:v>Prior report</x:v>
      </x:c>
      <x:c r="G657" s="7" t="n">
        <x:v>45503</x:v>
      </x:c>
      <x:c r="H657" s="2" t="n">
        <x:v>13</x:v>
      </x:c>
      <x:c r="I657" s="8" t="n">
        <x:v>62</x:v>
      </x:c>
      <x:c r="J657" s="8" t="n">
        <x:v>0</x:v>
      </x:c>
      <x:c r="K657" s="8" t="n">
        <x:v>60</x:v>
      </x:c>
      <x:c r="L657" s="8" t="n">
        <x:v>416</x:v>
      </x:c>
      <x:c r="M657" s="8" t="n">
        <x:v>0</x:v>
      </x:c>
      <x:c r="N657" s="8" t="n">
        <x:v>0</x:v>
      </x:c>
      <x:c r="O657" s="8" t="n">
        <x:v>387</x:v>
      </x:c>
      <x:c r="P657" s="8" t="n">
        <x:v>0</x:v>
      </x:c>
      <x:c r="Q657" s="8" t="n">
        <x:v>0</x:v>
      </x:c>
      <x:c r="R657" s="8" t="n">
        <x:v>0</x:v>
      </x:c>
      <x:c r="S657" s="8" t="n">
        <x:f>L657-I657^2/H657</x:f>
        <x:v>120.30769230769232</x:v>
      </x:c>
      <x:c r="T657" s="8" t="n">
        <x:f>M657-J657^2/H657</x:f>
        <x:v>0</x:v>
      </x:c>
      <x:c r="U657" s="8" t="n">
        <x:f>N657-I657*J657/H657</x:f>
        <x:v>0</x:v>
      </x:c>
      <x:c r="V657" s="8" t="n">
        <x:f>O657-I657*K657/H657</x:f>
        <x:v>100.84615384615387</x:v>
      </x:c>
      <x:c r="W657" s="8" t="n">
        <x:f>P657-J657*K657/H657</x:f>
        <x:v>0</x:v>
      </x:c>
      <x:c r="X657" s="8" t="n">
        <x:f>V657/S657</x:f>
        <x:v>0.8382352941176472</x:v>
      </x:c>
      <x:c r="Y657" s="8" t="n">
        <x:f>0</x:f>
        <x:v>0</x:v>
      </x:c>
      <x:c r="Z657" s="8" t="n">
        <x:f>K657/H657-X657*I657/H657-Y657*J657/H657</x:f>
        <x:v>0.6176470588235285</x:v>
      </x:c>
      <x:c r="AA657" s="8" t="n">
        <x:f>Z657+X657*Q657+Y657*R657</x:f>
        <x:v>0.6176470588235285</x:v>
      </x:c>
    </x:row>
    <x:row r="658" ht="26" customHeight="1">
      <x:c r="A658" s="2"/>
      <x:c r="B658" s="2" t="n">
        <x:v>653</x:v>
      </x:c>
      <x:c r="C658" s="2" t="str">
        <x:v>Baby, Feminine &amp; Family Care / price_contribution</x:v>
      </x:c>
      <x:c r="D658" s="2" t="str">
        <x:v>Broad market</x:v>
      </x:c>
      <x:c r="E658" s="7" t="n">
        <x:v>45565</x:v>
      </x:c>
      <x:c r="F658" s="2" t="str">
        <x:v>Pre-earnings</x:v>
      </x:c>
      <x:c r="G658" s="7" t="n">
        <x:v>45582</x:v>
      </x:c>
      <x:c r="H658" s="2" t="n">
        <x:v>14</x:v>
      </x:c>
      <x:c r="I658" s="8" t="n">
        <x:v>44.99639254812769</x:v>
      </x:c>
      <x:c r="J658" s="8" t="n">
        <x:v>0</x:v>
      </x:c>
      <x:c r="K658" s="8" t="n">
        <x:v>62</x:v>
      </x:c>
      <x:c r="L658" s="8" t="n">
        <x:v>256.27195002860765</x:v>
      </x:c>
      <x:c r="M658" s="8" t="n">
        <x:v>0</x:v>
      </x:c>
      <x:c r="N658" s="8" t="n">
        <x:v>0</x:v>
      </x:c>
      <x:c r="O658" s="8" t="n">
        <x:v>305.6694830697532</x:v>
      </x:c>
      <x:c r="P658" s="8" t="n">
        <x:v>0</x:v>
      </x:c>
      <x:c r="Q658" s="8" t="n">
        <x:v>0.373301115227731</x:v>
      </x:c>
      <x:c r="R658" s="8" t="n">
        <x:v>0</x:v>
      </x:c>
      <x:c r="S658" s="8" t="n">
        <x:f>L658-I658^2/H658</x:f>
        <x:v>111.65228271823614</x:v>
      </x:c>
      <x:c r="T658" s="8" t="n">
        <x:f>M658-J658^2/H658</x:f>
        <x:v>0</x:v>
      </x:c>
      <x:c r="U658" s="8" t="n">
        <x:f>N658-I658*J658/H658</x:f>
        <x:v>0</x:v>
      </x:c>
      <x:c r="V658" s="8" t="n">
        <x:f>O658-I658*K658/H658</x:f>
        <x:v>106.39974464233057</x:v>
      </x:c>
      <x:c r="W658" s="8" t="n">
        <x:f>P658-J658*K658/H658</x:f>
        <x:v>0</x:v>
      </x:c>
      <x:c r="X658" s="8" t="n">
        <x:f>V658/S658</x:f>
        <x:v>0.9529562858185284</x:v>
      </x:c>
      <x:c r="Y658" s="8" t="n">
        <x:f>0</x:f>
        <x:v>0</x:v>
      </x:c>
      <x:c r="Z658" s="8" t="n">
        <x:f>K658/H658-X658*I658/H658-Y658*J658/H658</x:f>
        <x:v>1.3657432058645522</x:v>
      </x:c>
      <x:c r="AA658" s="8" t="n">
        <x:f>Z658+X658*Q658+Y658*R658</x:f>
        <x:v>1.7214828501238852</x:v>
      </x:c>
    </x:row>
    <x:row r="659" ht="26" customHeight="1">
      <x:c r="A659" s="2"/>
      <x:c r="B659" s="2" t="n">
        <x:v>654</x:v>
      </x:c>
      <x:c r="C659" s="2" t="str">
        <x:v>Baby, Feminine &amp; Family Care / price_contribution</x:v>
      </x:c>
      <x:c r="D659" s="2" t="str">
        <x:v>Broad lag 1</x:v>
      </x:c>
      <x:c r="E659" s="7" t="n">
        <x:v>45565</x:v>
      </x:c>
      <x:c r="F659" s="2" t="str">
        <x:v>Pre-earnings</x:v>
      </x:c>
      <x:c r="G659" s="7" t="n">
        <x:v>45582</x:v>
      </x:c>
      <x:c r="H659" s="2" t="n">
        <x:v>13</x:v>
      </x:c>
      <x:c r="I659" s="8" t="n">
        <x:v>43.34163754201088</x:v>
      </x:c>
      <x:c r="J659" s="8" t="n">
        <x:v>0</x:v>
      </x:c>
      <x:c r="K659" s="8" t="n">
        <x:v>60</x:v>
      </x:c>
      <x:c r="L659" s="8" t="n">
        <x:v>253.53373589833902</x:v>
      </x:c>
      <x:c r="M659" s="8" t="n">
        <x:v>0</x:v>
      </x:c>
      <x:c r="N659" s="8" t="n">
        <x:v>0</x:v>
      </x:c>
      <x:c r="O659" s="8" t="n">
        <x:v>274.38463779900894</x:v>
      </x:c>
      <x:c r="P659" s="8" t="n">
        <x:v>0</x:v>
      </x:c>
      <x:c r="Q659" s="8" t="n">
        <x:v>1.6547550061168037</x:v>
      </x:c>
      <x:c r="R659" s="8" t="n">
        <x:v>0</x:v>
      </x:c>
      <x:c r="S659" s="8" t="n">
        <x:f>L659-I659^2/H659</x:f>
        <x:v>109.03392475810463</x:v>
      </x:c>
      <x:c r="T659" s="8" t="n">
        <x:f>M659-J659^2/H659</x:f>
        <x:v>0</x:v>
      </x:c>
      <x:c r="U659" s="8" t="n">
        <x:f>N659-I659*J659/H659</x:f>
        <x:v>0</x:v>
      </x:c>
      <x:c r="V659" s="8" t="n">
        <x:f>O659-I659*K659/H659</x:f>
        <x:v>74.34631068203564</x:v>
      </x:c>
      <x:c r="W659" s="8" t="n">
        <x:f>P659-J659*K659/H659</x:f>
        <x:v>0</x:v>
      </x:c>
      <x:c r="X659" s="8" t="n">
        <x:f>V659/S659</x:f>
        <x:v>0.6818640239446153</x:v>
      </x:c>
      <x:c r="Y659" s="8" t="n">
        <x:f>0</x:f>
        <x:v>0</x:v>
      </x:c>
      <x:c r="Z659" s="8" t="n">
        <x:f>K659/H659-X659*I659/H659-Y659*J659/H659</x:f>
        <x:v>2.342068970865804</x:v>
      </x:c>
      <x:c r="AA659" s="8" t="n">
        <x:f>Z659+X659*Q659+Y659*R659</x:f>
        <x:v>3.470386877979104</x:v>
      </x:c>
    </x:row>
    <x:row r="660" ht="26" customHeight="1">
      <x:c r="A660" s="2"/>
      <x:c r="B660" s="2" t="n">
        <x:v>655</x:v>
      </x:c>
      <x:c r="C660" s="2" t="str">
        <x:v>Baby, Feminine &amp; Family Care / price_contribution</x:v>
      </x:c>
      <x:c r="D660" s="2" t="str">
        <x:v>Broad rolling 8</x:v>
      </x:c>
      <x:c r="E660" s="7" t="n">
        <x:v>45565</x:v>
      </x:c>
      <x:c r="F660" s="2" t="str">
        <x:v>Pre-earnings</x:v>
      </x:c>
      <x:c r="G660" s="7" t="n">
        <x:v>45582</x:v>
      </x:c>
      <x:c r="H660" s="2" t="n">
        <x:v>8</x:v>
      </x:c>
      <x:c r="I660" s="8" t="n">
        <x:v>41.93430593153869</x:v>
      </x:c>
      <x:c r="J660" s="8" t="n">
        <x:v>0</x:v>
      </x:c>
      <x:c r="K660" s="8" t="n">
        <x:v>46</x:v>
      </x:c>
      <x:c r="L660" s="8" t="n">
        <x:v>246.44658636789953</x:v>
      </x:c>
      <x:c r="M660" s="8" t="n">
        <x:v>0</x:v>
      </x:c>
      <x:c r="N660" s="8" t="n">
        <x:v>0</x:v>
      </x:c>
      <x:c r="O660" s="8" t="n">
        <x:v>283.5666835117446</x:v>
      </x:c>
      <x:c r="P660" s="8" t="n">
        <x:v>0</x:v>
      </x:c>
      <x:c r="Q660" s="8" t="n">
        <x:v>0.373301115227731</x:v>
      </x:c>
      <x:c r="R660" s="8" t="n">
        <x:v>0</x:v>
      </x:c>
      <x:c r="S660" s="8" t="n">
        <x:f>L660-I660^2/H660</x:f>
        <x:v>26.635834622914416</x:v>
      </x:c>
      <x:c r="T660" s="8" t="n">
        <x:f>M660-J660^2/H660</x:f>
        <x:v>0</x:v>
      </x:c>
      <x:c r="U660" s="8" t="n">
        <x:f>N660-I660*J660/H660</x:f>
        <x:v>0</x:v>
      </x:c>
      <x:c r="V660" s="8" t="n">
        <x:f>O660-I660*K660/H660</x:f>
        <x:v>42.44442440539714</x:v>
      </x:c>
      <x:c r="W660" s="8" t="n">
        <x:f>P660-J660*K660/H660</x:f>
        <x:v>0</x:v>
      </x:c>
      <x:c r="X660" s="8" t="n">
        <x:f>V660/S660</x:f>
        <x:v>1.5935083321505095</x:v>
      </x:c>
      <x:c r="Y660" s="8" t="n">
        <x:f>0</x:f>
        <x:v>0</x:v>
      </x:c>
      <x:c r="Z660" s="8" t="n">
        <x:f>K660/H660-X660*I660/H660-Y660*J660/H660</x:f>
        <x:v>-2.6028332381069283</x:v>
      </x:c>
      <x:c r="AA660" s="8" t="n">
        <x:f>Z660+X660*Q660+Y660*R660</x:f>
        <x:v>-2.0079748005904614</x:v>
      </x:c>
    </x:row>
    <x:row r="661" ht="26" customHeight="1">
      <x:c r="A661" s="2"/>
      <x:c r="B661" s="2" t="n">
        <x:v>656</x:v>
      </x:c>
      <x:c r="C661" s="2" t="str">
        <x:v>Baby, Feminine &amp; Family Care / price_contribution</x:v>
      </x:c>
      <x:c r="D661" s="2" t="str">
        <x:v>Own history</x:v>
      </x:c>
      <x:c r="E661" s="7" t="n">
        <x:v>45565</x:v>
      </x:c>
      <x:c r="F661" s="2" t="str">
        <x:v>Pre-earnings</x:v>
      </x:c>
      <x:c r="G661" s="7" t="n">
        <x:v>45582</x:v>
      </x:c>
      <x:c r="H661" s="2" t="n">
        <x:v>13</x:v>
      </x:c>
      <x:c r="I661" s="8" t="n">
        <x:v>62</x:v>
      </x:c>
      <x:c r="J661" s="8" t="n">
        <x:v>0</x:v>
      </x:c>
      <x:c r="K661" s="8" t="n">
        <x:v>60</x:v>
      </x:c>
      <x:c r="L661" s="8" t="n">
        <x:v>416</x:v>
      </x:c>
      <x:c r="M661" s="8" t="n">
        <x:v>0</x:v>
      </x:c>
      <x:c r="N661" s="8" t="n">
        <x:v>0</x:v>
      </x:c>
      <x:c r="O661" s="8" t="n">
        <x:v>387</x:v>
      </x:c>
      <x:c r="P661" s="8" t="n">
        <x:v>0</x:v>
      </x:c>
      <x:c r="Q661" s="8" t="n">
        <x:v>0</x:v>
      </x:c>
      <x:c r="R661" s="8" t="n">
        <x:v>0</x:v>
      </x:c>
      <x:c r="S661" s="8" t="n">
        <x:f>L661-I661^2/H661</x:f>
        <x:v>120.30769230769232</x:v>
      </x:c>
      <x:c r="T661" s="8" t="n">
        <x:f>M661-J661^2/H661</x:f>
        <x:v>0</x:v>
      </x:c>
      <x:c r="U661" s="8" t="n">
        <x:f>N661-I661*J661/H661</x:f>
        <x:v>0</x:v>
      </x:c>
      <x:c r="V661" s="8" t="n">
        <x:f>O661-I661*K661/H661</x:f>
        <x:v>100.84615384615387</x:v>
      </x:c>
      <x:c r="W661" s="8" t="n">
        <x:f>P661-J661*K661/H661</x:f>
        <x:v>0</x:v>
      </x:c>
      <x:c r="X661" s="8" t="n">
        <x:f>V661/S661</x:f>
        <x:v>0.8382352941176472</x:v>
      </x:c>
      <x:c r="Y661" s="8" t="n">
        <x:f>0</x:f>
        <x:v>0</x:v>
      </x:c>
      <x:c r="Z661" s="8" t="n">
        <x:f>K661/H661-X661*I661/H661-Y661*J661/H661</x:f>
        <x:v>0.6176470588235285</x:v>
      </x:c>
      <x:c r="AA661" s="8" t="n">
        <x:f>Z661+X661*Q661+Y661*R661</x:f>
        <x:v>0.6176470588235285</x:v>
      </x:c>
    </x:row>
    <x:row r="662" ht="26" customHeight="1">
      <x:c r="A662" s="2"/>
      <x:c r="B662" s="2" t="n">
        <x:v>657</x:v>
      </x:c>
      <x:c r="C662" s="2" t="str">
        <x:v>Baby, Feminine &amp; Family Care / price_contribution</x:v>
      </x:c>
      <x:c r="D662" s="2" t="str">
        <x:v>Broad market</x:v>
      </x:c>
      <x:c r="E662" s="7" t="n">
        <x:v>45657</x:v>
      </x:c>
      <x:c r="F662" s="2" t="str">
        <x:v>Origin</x:v>
      </x:c>
      <x:c r="G662" s="7" t="n">
        <x:v>45566</x:v>
      </x:c>
      <x:c r="H662" s="2" t="n">
        <x:v>14</x:v>
      </x:c>
      <x:c r="I662" s="8" t="n">
        <x:v>44.99639254812769</x:v>
      </x:c>
      <x:c r="J662" s="8" t="n">
        <x:v>0</x:v>
      </x:c>
      <x:c r="K662" s="8" t="n">
        <x:v>62</x:v>
      </x:c>
      <x:c r="L662" s="8" t="n">
        <x:v>256.27195002860765</x:v>
      </x:c>
      <x:c r="M662" s="8" t="n">
        <x:v>0</x:v>
      </x:c>
      <x:c r="N662" s="8" t="n">
        <x:v>0</x:v>
      </x:c>
      <x:c r="O662" s="8" t="n">
        <x:v>305.6694830697532</x:v>
      </x:c>
      <x:c r="P662" s="8" t="n">
        <x:v>0</x:v>
      </x:c>
      <x:c r="Q662" s="8" t="n">
        <x:v>0.672385931020969</x:v>
      </x:c>
      <x:c r="R662" s="8" t="n">
        <x:v>0</x:v>
      </x:c>
      <x:c r="S662" s="8" t="n">
        <x:f>L662-I662^2/H662</x:f>
        <x:v>111.65228271823614</x:v>
      </x:c>
      <x:c r="T662" s="8" t="n">
        <x:f>M662-J662^2/H662</x:f>
        <x:v>0</x:v>
      </x:c>
      <x:c r="U662" s="8" t="n">
        <x:f>N662-I662*J662/H662</x:f>
        <x:v>0</x:v>
      </x:c>
      <x:c r="V662" s="8" t="n">
        <x:f>O662-I662*K662/H662</x:f>
        <x:v>106.39974464233057</x:v>
      </x:c>
      <x:c r="W662" s="8" t="n">
        <x:f>P662-J662*K662/H662</x:f>
        <x:v>0</x:v>
      </x:c>
      <x:c r="X662" s="8" t="n">
        <x:f>V662/S662</x:f>
        <x:v>0.9529562858185284</x:v>
      </x:c>
      <x:c r="Y662" s="8" t="n">
        <x:f>0</x:f>
        <x:v>0</x:v>
      </x:c>
      <x:c r="Z662" s="8" t="n">
        <x:f>K662/H662-X662*I662/H662-Y662*J662/H662</x:f>
        <x:v>1.3657432058645522</x:v>
      </x:c>
      <x:c r="AA662" s="8" t="n">
        <x:f>Z662+X662*Q662+Y662*R662</x:f>
        <x:v>2.006497605326928</x:v>
      </x:c>
    </x:row>
    <x:row r="663" ht="26" customHeight="1">
      <x:c r="A663" s="2"/>
      <x:c r="B663" s="2" t="n">
        <x:v>658</x:v>
      </x:c>
      <x:c r="C663" s="2" t="str">
        <x:v>Baby, Feminine &amp; Family Care / price_contribution</x:v>
      </x:c>
      <x:c r="D663" s="2" t="str">
        <x:v>Broad rolling 8</x:v>
      </x:c>
      <x:c r="E663" s="7" t="n">
        <x:v>45657</x:v>
      </x:c>
      <x:c r="F663" s="2" t="str">
        <x:v>Origin</x:v>
      </x:c>
      <x:c r="G663" s="7" t="n">
        <x:v>45566</x:v>
      </x:c>
      <x:c r="H663" s="2" t="n">
        <x:v>8</x:v>
      </x:c>
      <x:c r="I663" s="8" t="n">
        <x:v>41.93430593153869</x:v>
      </x:c>
      <x:c r="J663" s="8" t="n">
        <x:v>0</x:v>
      </x:c>
      <x:c r="K663" s="8" t="n">
        <x:v>46</x:v>
      </x:c>
      <x:c r="L663" s="8" t="n">
        <x:v>246.44658636789953</x:v>
      </x:c>
      <x:c r="M663" s="8" t="n">
        <x:v>0</x:v>
      </x:c>
      <x:c r="N663" s="8" t="n">
        <x:v>0</x:v>
      </x:c>
      <x:c r="O663" s="8" t="n">
        <x:v>283.5666835117446</x:v>
      </x:c>
      <x:c r="P663" s="8" t="n">
        <x:v>0</x:v>
      </x:c>
      <x:c r="Q663" s="8" t="n">
        <x:v>0.672385931020969</x:v>
      </x:c>
      <x:c r="R663" s="8" t="n">
        <x:v>0</x:v>
      </x:c>
      <x:c r="S663" s="8" t="n">
        <x:f>L663-I663^2/H663</x:f>
        <x:v>26.635834622914416</x:v>
      </x:c>
      <x:c r="T663" s="8" t="n">
        <x:f>M663-J663^2/H663</x:f>
        <x:v>0</x:v>
      </x:c>
      <x:c r="U663" s="8" t="n">
        <x:f>N663-I663*J663/H663</x:f>
        <x:v>0</x:v>
      </x:c>
      <x:c r="V663" s="8" t="n">
        <x:f>O663-I663*K663/H663</x:f>
        <x:v>42.44442440539714</x:v>
      </x:c>
      <x:c r="W663" s="8" t="n">
        <x:f>P663-J663*K663/H663</x:f>
        <x:v>0</x:v>
      </x:c>
      <x:c r="X663" s="8" t="n">
        <x:f>V663/S663</x:f>
        <x:v>1.5935083321505095</x:v>
      </x:c>
      <x:c r="Y663" s="8" t="n">
        <x:f>0</x:f>
        <x:v>0</x:v>
      </x:c>
      <x:c r="Z663" s="8" t="n">
        <x:f>K663/H663-X663*I663/H663-Y663*J663/H663</x:f>
        <x:v>-2.6028332381069283</x:v>
      </x:c>
      <x:c r="AA663" s="8" t="n">
        <x:f>Z663+X663*Q663+Y663*R663</x:f>
        <x:v>-1.5313806546042366</x:v>
      </x:c>
    </x:row>
    <x:row r="664" ht="26" customHeight="1">
      <x:c r="A664" s="2"/>
      <x:c r="B664" s="2" t="n">
        <x:v>659</x:v>
      </x:c>
      <x:c r="C664" s="2" t="str">
        <x:v>Baby, Feminine &amp; Family Care / price_contribution</x:v>
      </x:c>
      <x:c r="D664" s="2" t="str">
        <x:v>Own history</x:v>
      </x:c>
      <x:c r="E664" s="7" t="n">
        <x:v>45657</x:v>
      </x:c>
      <x:c r="F664" s="2" t="str">
        <x:v>Origin</x:v>
      </x:c>
      <x:c r="G664" s="7" t="n">
        <x:v>45566</x:v>
      </x:c>
      <x:c r="H664" s="2" t="n">
        <x:v>12</x:v>
      </x:c>
      <x:c r="I664" s="8" t="n">
        <x:v>60</x:v>
      </x:c>
      <x:c r="J664" s="8" t="n">
        <x:v>0</x:v>
      </x:c>
      <x:c r="K664" s="8" t="n">
        <x:v>59</x:v>
      </x:c>
      <x:c r="L664" s="8" t="n">
        <x:v>412</x:v>
      </x:c>
      <x:c r="M664" s="8" t="n">
        <x:v>0</x:v>
      </x:c>
      <x:c r="N664" s="8" t="n">
        <x:v>0</x:v>
      </x:c>
      <x:c r="O664" s="8" t="n">
        <x:v>342</x:v>
      </x:c>
      <x:c r="P664" s="8" t="n">
        <x:v>0</x:v>
      </x:c>
      <x:c r="Q664" s="8" t="n">
        <x:v>0</x:v>
      </x:c>
      <x:c r="R664" s="8" t="n">
        <x:v>0</x:v>
      </x:c>
      <x:c r="S664" s="8" t="n">
        <x:f>L664-I664^2/H664</x:f>
        <x:v>112</x:v>
      </x:c>
      <x:c r="T664" s="8" t="n">
        <x:f>M664-J664^2/H664</x:f>
        <x:v>0</x:v>
      </x:c>
      <x:c r="U664" s="8" t="n">
        <x:f>N664-I664*J664/H664</x:f>
        <x:v>0</x:v>
      </x:c>
      <x:c r="V664" s="8" t="n">
        <x:f>O664-I664*K664/H664</x:f>
        <x:v>47</x:v>
      </x:c>
      <x:c r="W664" s="8" t="n">
        <x:f>P664-J664*K664/H664</x:f>
        <x:v>0</x:v>
      </x:c>
      <x:c r="X664" s="8" t="n">
        <x:f>V664/S664</x:f>
        <x:v>0.41964285714285715</x:v>
      </x:c>
      <x:c r="Y664" s="8" t="n">
        <x:f>0</x:f>
        <x:v>0</x:v>
      </x:c>
      <x:c r="Z664" s="8" t="n">
        <x:f>K664/H664-X664*I664/H664-Y664*J664/H664</x:f>
        <x:v>2.818452380952381</x:v>
      </x:c>
      <x:c r="AA664" s="8" t="n">
        <x:f>Z664+X664*Q664+Y664*R664</x:f>
        <x:v>2.818452380952381</x:v>
      </x:c>
    </x:row>
    <x:row r="665" ht="26" customHeight="1">
      <x:c r="A665" s="2"/>
      <x:c r="B665" s="2" t="n">
        <x:v>660</x:v>
      </x:c>
      <x:c r="C665" s="2" t="str">
        <x:v>Baby, Feminine &amp; Family Care / price_contribution</x:v>
      </x:c>
      <x:c r="D665" s="2" t="str">
        <x:v>Broad market</x:v>
      </x:c>
      <x:c r="E665" s="7" t="n">
        <x:v>45657</x:v>
      </x:c>
      <x:c r="F665" s="2" t="str">
        <x:v>Prior report</x:v>
      </x:c>
      <x:c r="G665" s="7" t="n">
        <x:v>45583</x:v>
      </x:c>
      <x:c r="H665" s="2" t="n">
        <x:v>15</x:v>
      </x:c>
      <x:c r="I665" s="8" t="n">
        <x:v>45.36969366335541</x:v>
      </x:c>
      <x:c r="J665" s="8" t="n">
        <x:v>0</x:v>
      </x:c>
      <x:c r="K665" s="8" t="n">
        <x:v>62</x:v>
      </x:c>
      <x:c r="L665" s="8" t="n">
        <x:v>256.4113037512379</x:v>
      </x:c>
      <x:c r="M665" s="8" t="n">
        <x:v>0</x:v>
      </x:c>
      <x:c r="N665" s="8" t="n">
        <x:v>0</x:v>
      </x:c>
      <x:c r="O665" s="8" t="n">
        <x:v>305.6694830697532</x:v>
      </x:c>
      <x:c r="P665" s="8" t="n">
        <x:v>0</x:v>
      </x:c>
      <x:c r="Q665" s="8" t="n">
        <x:v>0.374021558034765</x:v>
      </x:c>
      <x:c r="R665" s="8" t="n">
        <x:v>0</x:v>
      </x:c>
      <x:c r="S665" s="8" t="n">
        <x:f>L665-I665^2/H665</x:f>
        <x:v>119.18403021079038</x:v>
      </x:c>
      <x:c r="T665" s="8" t="n">
        <x:f>M665-J665^2/H665</x:f>
        <x:v>0</x:v>
      </x:c>
      <x:c r="U665" s="8" t="n">
        <x:f>N665-I665*J665/H665</x:f>
        <x:v>0</x:v>
      </x:c>
      <x:c r="V665" s="8" t="n">
        <x:f>O665-I665*K665/H665</x:f>
        <x:v>118.14141592788417</x:v>
      </x:c>
      <x:c r="W665" s="8" t="n">
        <x:f>P665-J665*K665/H665</x:f>
        <x:v>0</x:v>
      </x:c>
      <x:c r="X665" s="8" t="n">
        <x:f>V665/S665</x:f>
        <x:v>0.9912520638791772</x:v>
      </x:c>
      <x:c r="Y665" s="8" t="n">
        <x:f>0</x:f>
        <x:v>0</x:v>
      </x:c>
      <x:c r="Z665" s="8" t="n">
        <x:f>K665/H665-X665*I665/H665-Y665*J665/H665</x:f>
        <x:v>1.135146501242195</x:v>
      </x:c>
      <x:c r="AA665" s="8" t="n">
        <x:f>Z665+X665*Q665+Y665*R665</x:f>
        <x:v>1.5058961425794612</x:v>
      </x:c>
    </x:row>
    <x:row r="666" ht="26" customHeight="1">
      <x:c r="A666" s="2"/>
      <x:c r="B666" s="2" t="n">
        <x:v>661</x:v>
      </x:c>
      <x:c r="C666" s="2" t="str">
        <x:v>Baby, Feminine &amp; Family Care / price_contribution</x:v>
      </x:c>
      <x:c r="D666" s="2" t="str">
        <x:v>Broad lag 1</x:v>
      </x:c>
      <x:c r="E666" s="7" t="n">
        <x:v>45657</x:v>
      </x:c>
      <x:c r="F666" s="2" t="str">
        <x:v>Prior report</x:v>
      </x:c>
      <x:c r="G666" s="7" t="n">
        <x:v>45583</x:v>
      </x:c>
      <x:c r="H666" s="2" t="n">
        <x:v>14</x:v>
      </x:c>
      <x:c r="I666" s="8" t="n">
        <x:v>44.99639254812769</x:v>
      </x:c>
      <x:c r="J666" s="8" t="n">
        <x:v>0</x:v>
      </x:c>
      <x:c r="K666" s="8" t="n">
        <x:v>60</x:v>
      </x:c>
      <x:c r="L666" s="8" t="n">
        <x:v>256.27195002860765</x:v>
      </x:c>
      <x:c r="M666" s="8" t="n">
        <x:v>0</x:v>
      </x:c>
      <x:c r="N666" s="8" t="n">
        <x:v>0</x:v>
      </x:c>
      <x:c r="O666" s="8" t="n">
        <x:v>274.38463779900894</x:v>
      </x:c>
      <x:c r="P666" s="8" t="n">
        <x:v>0</x:v>
      </x:c>
      <x:c r="Q666" s="8" t="n">
        <x:v>0.373301115227731</x:v>
      </x:c>
      <x:c r="R666" s="8" t="n">
        <x:v>0</x:v>
      </x:c>
      <x:c r="S666" s="8" t="n">
        <x:f>L666-I666^2/H666</x:f>
        <x:v>111.65228271823614</x:v>
      </x:c>
      <x:c r="T666" s="8" t="n">
        <x:f>M666-J666^2/H666</x:f>
        <x:v>0</x:v>
      </x:c>
      <x:c r="U666" s="8" t="n">
        <x:f>N666-I666*J666/H666</x:f>
        <x:v>0</x:v>
      </x:c>
      <x:c r="V666" s="8" t="n">
        <x:f>O666-I666*K666/H666</x:f>
        <x:v>81.54295544989029</x:v>
      </x:c>
      <x:c r="W666" s="8" t="n">
        <x:f>P666-J666*K666/H666</x:f>
        <x:v>0</x:v>
      </x:c>
      <x:c r="X666" s="8" t="n">
        <x:f>V666/S666</x:f>
        <x:v>0.7303294967615731</x:v>
      </x:c>
      <x:c r="Y666" s="8" t="n">
        <x:f>0</x:f>
        <x:v>0</x:v>
      </x:c>
      <x:c r="Z666" s="8" t="n">
        <x:f>K666/H666-X666*I666/H666-Y666*J666/H666</x:f>
        <x:v>1.9384148053028358</x:v>
      </x:c>
      <x:c r="AA666" s="8" t="n">
        <x:f>Z666+X666*Q666+Y666*R666</x:f>
        <x:v>2.211047620927639</x:v>
      </x:c>
    </x:row>
    <x:row r="667" ht="26" customHeight="1">
      <x:c r="A667" s="2"/>
      <x:c r="B667" s="2" t="n">
        <x:v>662</x:v>
      </x:c>
      <x:c r="C667" s="2" t="str">
        <x:v>Baby, Feminine &amp; Family Care / price_contribution</x:v>
      </x:c>
      <x:c r="D667" s="2" t="str">
        <x:v>Broad rolling 8</x:v>
      </x:c>
      <x:c r="E667" s="7" t="n">
        <x:v>45657</x:v>
      </x:c>
      <x:c r="F667" s="2" t="str">
        <x:v>Prior report</x:v>
      </x:c>
      <x:c r="G667" s="7" t="n">
        <x:v>45583</x:v>
      </x:c>
      <x:c r="H667" s="2" t="n">
        <x:v>8</x:v>
      </x:c>
      <x:c r="I667" s="8" t="n">
        <x:v>36.45732970523537</x:v>
      </x:c>
      <x:c r="J667" s="8" t="n">
        <x:v>0</x:v>
      </x:c>
      <x:c r="K667" s="8" t="n">
        <x:v>38</x:v>
      </x:c>
      <x:c r="L667" s="8" t="n">
        <x:v>212.36019511769817</x:v>
      </x:c>
      <x:c r="M667" s="8" t="n">
        <x:v>0</x:v>
      </x:c>
      <x:c r="N667" s="8" t="n">
        <x:v>0</x:v>
      </x:c>
      <x:c r="O667" s="8" t="n">
        <x:v>236.7644647794962</x:v>
      </x:c>
      <x:c r="P667" s="8" t="n">
        <x:v>0</x:v>
      </x:c>
      <x:c r="Q667" s="8" t="n">
        <x:v>0.374021558034765</x:v>
      </x:c>
      <x:c r="R667" s="8" t="n">
        <x:v>0</x:v>
      </x:c>
      <x:c r="S667" s="8" t="n">
        <x:f>L667-I667^2/H667</x:f>
        <x:v>46.21808396316854</x:v>
      </x:c>
      <x:c r="T667" s="8" t="n">
        <x:f>M667-J667^2/H667</x:f>
        <x:v>0</x:v>
      </x:c>
      <x:c r="U667" s="8" t="n">
        <x:f>N667-I667*J667/H667</x:f>
        <x:v>0</x:v>
      </x:c>
      <x:c r="V667" s="8" t="n">
        <x:f>O667-I667*K667/H667</x:f>
        <x:v>63.592148679628195</x:v>
      </x:c>
      <x:c r="W667" s="8" t="n">
        <x:f>P667-J667*K667/H667</x:f>
        <x:v>0</x:v>
      </x:c>
      <x:c r="X667" s="8" t="n">
        <x:f>V667/S667</x:f>
        <x:v>1.3759148633315295</x:v>
      </x:c>
      <x:c r="Y667" s="8" t="n">
        <x:f>0</x:f>
        <x:v>0</x:v>
      </x:c>
      <x:c r="Z667" s="8" t="n">
        <x:f>K667/H667-X667*I667/H667-Y667*J667/H667</x:f>
        <x:v>-1.5202727273514283</x:v>
      </x:c>
      <x:c r="AA667" s="8" t="n">
        <x:f>Z667+X667*Q667+Y667*R667</x:f>
        <x:v>-1.0056509064449788</x:v>
      </x:c>
    </x:row>
    <x:row r="668" ht="26" customHeight="1">
      <x:c r="A668" s="2"/>
      <x:c r="B668" s="2" t="n">
        <x:v>663</x:v>
      </x:c>
      <x:c r="C668" s="2" t="str">
        <x:v>Baby, Feminine &amp; Family Care / price_contribution</x:v>
      </x:c>
      <x:c r="D668" s="2" t="str">
        <x:v>Own history</x:v>
      </x:c>
      <x:c r="E668" s="7" t="n">
        <x:v>45657</x:v>
      </x:c>
      <x:c r="F668" s="2" t="str">
        <x:v>Prior report</x:v>
      </x:c>
      <x:c r="G668" s="7" t="n">
        <x:v>45583</x:v>
      </x:c>
      <x:c r="H668" s="2" t="n">
        <x:v>14</x:v>
      </x:c>
      <x:c r="I668" s="8" t="n">
        <x:v>62</x:v>
      </x:c>
      <x:c r="J668" s="8" t="n">
        <x:v>0</x:v>
      </x:c>
      <x:c r="K668" s="8" t="n">
        <x:v>60</x:v>
      </x:c>
      <x:c r="L668" s="8" t="n">
        <x:v>416</x:v>
      </x:c>
      <x:c r="M668" s="8" t="n">
        <x:v>0</x:v>
      </x:c>
      <x:c r="N668" s="8" t="n">
        <x:v>0</x:v>
      </x:c>
      <x:c r="O668" s="8" t="n">
        <x:v>387</x:v>
      </x:c>
      <x:c r="P668" s="8" t="n">
        <x:v>0</x:v>
      </x:c>
      <x:c r="Q668" s="8" t="n">
        <x:v>0</x:v>
      </x:c>
      <x:c r="R668" s="8" t="n">
        <x:v>0</x:v>
      </x:c>
      <x:c r="S668" s="8" t="n">
        <x:f>L668-I668^2/H668</x:f>
        <x:v>141.42857142857144</x:v>
      </x:c>
      <x:c r="T668" s="8" t="n">
        <x:f>M668-J668^2/H668</x:f>
        <x:v>0</x:v>
      </x:c>
      <x:c r="U668" s="8" t="n">
        <x:f>N668-I668*J668/H668</x:f>
        <x:v>0</x:v>
      </x:c>
      <x:c r="V668" s="8" t="n">
        <x:f>O668-I668*K668/H668</x:f>
        <x:v>121.28571428571428</x:v>
      </x:c>
      <x:c r="W668" s="8" t="n">
        <x:f>P668-J668*K668/H668</x:f>
        <x:v>0</x:v>
      </x:c>
      <x:c r="X668" s="8" t="n">
        <x:f>V668/S668</x:f>
        <x:v>0.8575757575757574</x:v>
      </x:c>
      <x:c r="Y668" s="8" t="n">
        <x:f>0</x:f>
        <x:v>0</x:v>
      </x:c>
      <x:c r="Z668" s="8" t="n">
        <x:f>K668/H668-X668*I668/H668-Y668*J668/H668</x:f>
        <x:v>0.4878787878787887</x:v>
      </x:c>
      <x:c r="AA668" s="8" t="n">
        <x:f>Z668+X668*Q668+Y668*R668</x:f>
        <x:v>0.4878787878787887</x:v>
      </x:c>
    </x:row>
    <x:row r="669" ht="26" customHeight="1">
      <x:c r="A669" s="2"/>
      <x:c r="B669" s="2" t="n">
        <x:v>664</x:v>
      </x:c>
      <x:c r="C669" s="2" t="str">
        <x:v>Baby, Feminine &amp; Family Care / price_contribution</x:v>
      </x:c>
      <x:c r="D669" s="2" t="str">
        <x:v>Broad market</x:v>
      </x:c>
      <x:c r="E669" s="7" t="n">
        <x:v>45657</x:v>
      </x:c>
      <x:c r="F669" s="2" t="str">
        <x:v>Pre-earnings</x:v>
      </x:c>
      <x:c r="G669" s="7" t="n">
        <x:v>45678</x:v>
      </x:c>
      <x:c r="H669" s="2" t="n">
        <x:v>15</x:v>
      </x:c>
      <x:c r="I669" s="8" t="n">
        <x:v>45.36969366335541</x:v>
      </x:c>
      <x:c r="J669" s="8" t="n">
        <x:v>0</x:v>
      </x:c>
      <x:c r="K669" s="8" t="n">
        <x:v>62</x:v>
      </x:c>
      <x:c r="L669" s="8" t="n">
        <x:v>256.4113037512379</x:v>
      </x:c>
      <x:c r="M669" s="8" t="n">
        <x:v>0</x:v>
      </x:c>
      <x:c r="N669" s="8" t="n">
        <x:v>0</x:v>
      </x:c>
      <x:c r="O669" s="8" t="n">
        <x:v>305.6694830697532</x:v>
      </x:c>
      <x:c r="P669" s="8" t="n">
        <x:v>0</x:v>
      </x:c>
      <x:c r="Q669" s="8" t="n">
        <x:v>0.341068456777438</x:v>
      </x:c>
      <x:c r="R669" s="8" t="n">
        <x:v>0</x:v>
      </x:c>
      <x:c r="S669" s="8" t="n">
        <x:f>L669-I669^2/H669</x:f>
        <x:v>119.18403021079038</x:v>
      </x:c>
      <x:c r="T669" s="8" t="n">
        <x:f>M669-J669^2/H669</x:f>
        <x:v>0</x:v>
      </x:c>
      <x:c r="U669" s="8" t="n">
        <x:f>N669-I669*J669/H669</x:f>
        <x:v>0</x:v>
      </x:c>
      <x:c r="V669" s="8" t="n">
        <x:f>O669-I669*K669/H669</x:f>
        <x:v>118.14141592788417</x:v>
      </x:c>
      <x:c r="W669" s="8" t="n">
        <x:f>P669-J669*K669/H669</x:f>
        <x:v>0</x:v>
      </x:c>
      <x:c r="X669" s="8" t="n">
        <x:f>V669/S669</x:f>
        <x:v>0.9912520638791772</x:v>
      </x:c>
      <x:c r="Y669" s="8" t="n">
        <x:f>0</x:f>
        <x:v>0</x:v>
      </x:c>
      <x:c r="Z669" s="8" t="n">
        <x:f>K669/H669-X669*I669/H669-Y669*J669/H669</x:f>
        <x:v>1.135146501242195</x:v>
      </x:c>
      <x:c r="AA669" s="8" t="n">
        <x:f>Z669+X669*Q669+Y669*R669</x:f>
        <x:v>1.4732313129469166</x:v>
      </x:c>
    </x:row>
    <x:row r="670" ht="26" customHeight="1">
      <x:c r="A670" s="2"/>
      <x:c r="B670" s="2" t="n">
        <x:v>665</x:v>
      </x:c>
      <x:c r="C670" s="2" t="str">
        <x:v>Baby, Feminine &amp; Family Care / price_contribution</x:v>
      </x:c>
      <x:c r="D670" s="2" t="str">
        <x:v>Broad lag 1</x:v>
      </x:c>
      <x:c r="E670" s="7" t="n">
        <x:v>45657</x:v>
      </x:c>
      <x:c r="F670" s="2" t="str">
        <x:v>Pre-earnings</x:v>
      </x:c>
      <x:c r="G670" s="7" t="n">
        <x:v>45678</x:v>
      </x:c>
      <x:c r="H670" s="2" t="n">
        <x:v>14</x:v>
      </x:c>
      <x:c r="I670" s="8" t="n">
        <x:v>44.99639254812769</x:v>
      </x:c>
      <x:c r="J670" s="8" t="n">
        <x:v>0</x:v>
      </x:c>
      <x:c r="K670" s="8" t="n">
        <x:v>60</x:v>
      </x:c>
      <x:c r="L670" s="8" t="n">
        <x:v>256.27195002860765</x:v>
      </x:c>
      <x:c r="M670" s="8" t="n">
        <x:v>0</x:v>
      </x:c>
      <x:c r="N670" s="8" t="n">
        <x:v>0</x:v>
      </x:c>
      <x:c r="O670" s="8" t="n">
        <x:v>274.38463779900894</x:v>
      </x:c>
      <x:c r="P670" s="8" t="n">
        <x:v>0</x:v>
      </x:c>
      <x:c r="Q670" s="8" t="n">
        <x:v>0.373301115227731</x:v>
      </x:c>
      <x:c r="R670" s="8" t="n">
        <x:v>0</x:v>
      </x:c>
      <x:c r="S670" s="8" t="n">
        <x:f>L670-I670^2/H670</x:f>
        <x:v>111.65228271823614</x:v>
      </x:c>
      <x:c r="T670" s="8" t="n">
        <x:f>M670-J670^2/H670</x:f>
        <x:v>0</x:v>
      </x:c>
      <x:c r="U670" s="8" t="n">
        <x:f>N670-I670*J670/H670</x:f>
        <x:v>0</x:v>
      </x:c>
      <x:c r="V670" s="8" t="n">
        <x:f>O670-I670*K670/H670</x:f>
        <x:v>81.54295544989029</x:v>
      </x:c>
      <x:c r="W670" s="8" t="n">
        <x:f>P670-J670*K670/H670</x:f>
        <x:v>0</x:v>
      </x:c>
      <x:c r="X670" s="8" t="n">
        <x:f>V670/S670</x:f>
        <x:v>0.7303294967615731</x:v>
      </x:c>
      <x:c r="Y670" s="8" t="n">
        <x:f>0</x:f>
        <x:v>0</x:v>
      </x:c>
      <x:c r="Z670" s="8" t="n">
        <x:f>K670/H670-X670*I670/H670-Y670*J670/H670</x:f>
        <x:v>1.9384148053028358</x:v>
      </x:c>
      <x:c r="AA670" s="8" t="n">
        <x:f>Z670+X670*Q670+Y670*R670</x:f>
        <x:v>2.211047620927639</x:v>
      </x:c>
    </x:row>
    <x:row r="671" ht="26" customHeight="1">
      <x:c r="A671" s="2"/>
      <x:c r="B671" s="2" t="n">
        <x:v>666</x:v>
      </x:c>
      <x:c r="C671" s="2" t="str">
        <x:v>Baby, Feminine &amp; Family Care / price_contribution</x:v>
      </x:c>
      <x:c r="D671" s="2" t="str">
        <x:v>Broad rolling 8</x:v>
      </x:c>
      <x:c r="E671" s="7" t="n">
        <x:v>45657</x:v>
      </x:c>
      <x:c r="F671" s="2" t="str">
        <x:v>Pre-earnings</x:v>
      </x:c>
      <x:c r="G671" s="7" t="n">
        <x:v>45678</x:v>
      </x:c>
      <x:c r="H671" s="2" t="n">
        <x:v>8</x:v>
      </x:c>
      <x:c r="I671" s="8" t="n">
        <x:v>36.45732970523537</x:v>
      </x:c>
      <x:c r="J671" s="8" t="n">
        <x:v>0</x:v>
      </x:c>
      <x:c r="K671" s="8" t="n">
        <x:v>38</x:v>
      </x:c>
      <x:c r="L671" s="8" t="n">
        <x:v>212.36019511769817</x:v>
      </x:c>
      <x:c r="M671" s="8" t="n">
        <x:v>0</x:v>
      </x:c>
      <x:c r="N671" s="8" t="n">
        <x:v>0</x:v>
      </x:c>
      <x:c r="O671" s="8" t="n">
        <x:v>236.7644647794962</x:v>
      </x:c>
      <x:c r="P671" s="8" t="n">
        <x:v>0</x:v>
      </x:c>
      <x:c r="Q671" s="8" t="n">
        <x:v>0.341068456777438</x:v>
      </x:c>
      <x:c r="R671" s="8" t="n">
        <x:v>0</x:v>
      </x:c>
      <x:c r="S671" s="8" t="n">
        <x:f>L671-I671^2/H671</x:f>
        <x:v>46.21808396316854</x:v>
      </x:c>
      <x:c r="T671" s="8" t="n">
        <x:f>M671-J671^2/H671</x:f>
        <x:v>0</x:v>
      </x:c>
      <x:c r="U671" s="8" t="n">
        <x:f>N671-I671*J671/H671</x:f>
        <x:v>0</x:v>
      </x:c>
      <x:c r="V671" s="8" t="n">
        <x:f>O671-I671*K671/H671</x:f>
        <x:v>63.592148679628195</x:v>
      </x:c>
      <x:c r="W671" s="8" t="n">
        <x:f>P671-J671*K671/H671</x:f>
        <x:v>0</x:v>
      </x:c>
      <x:c r="X671" s="8" t="n">
        <x:f>V671/S671</x:f>
        <x:v>1.3759148633315295</x:v>
      </x:c>
      <x:c r="Y671" s="8" t="n">
        <x:f>0</x:f>
        <x:v>0</x:v>
      </x:c>
      <x:c r="Z671" s="8" t="n">
        <x:f>K671/H671-X671*I671/H671-Y671*J671/H671</x:f>
        <x:v>-1.5202727273514283</x:v>
      </x:c>
      <x:c r="AA671" s="8" t="n">
        <x:f>Z671+X671*Q671+Y671*R671</x:f>
        <x:v>-1.050991568257804</x:v>
      </x:c>
    </x:row>
    <x:row r="672" ht="26" customHeight="1">
      <x:c r="A672" s="2"/>
      <x:c r="B672" s="2" t="n">
        <x:v>667</x:v>
      </x:c>
      <x:c r="C672" s="2" t="str">
        <x:v>Baby, Feminine &amp; Family Care / price_contribution</x:v>
      </x:c>
      <x:c r="D672" s="2" t="str">
        <x:v>Own history</x:v>
      </x:c>
      <x:c r="E672" s="7" t="n">
        <x:v>45657</x:v>
      </x:c>
      <x:c r="F672" s="2" t="str">
        <x:v>Pre-earnings</x:v>
      </x:c>
      <x:c r="G672" s="7" t="n">
        <x:v>45678</x:v>
      </x:c>
      <x:c r="H672" s="2" t="n">
        <x:v>14</x:v>
      </x:c>
      <x:c r="I672" s="8" t="n">
        <x:v>62</x:v>
      </x:c>
      <x:c r="J672" s="8" t="n">
        <x:v>0</x:v>
      </x:c>
      <x:c r="K672" s="8" t="n">
        <x:v>60</x:v>
      </x:c>
      <x:c r="L672" s="8" t="n">
        <x:v>416</x:v>
      </x:c>
      <x:c r="M672" s="8" t="n">
        <x:v>0</x:v>
      </x:c>
      <x:c r="N672" s="8" t="n">
        <x:v>0</x:v>
      </x:c>
      <x:c r="O672" s="8" t="n">
        <x:v>387</x:v>
      </x:c>
      <x:c r="P672" s="8" t="n">
        <x:v>0</x:v>
      </x:c>
      <x:c r="Q672" s="8" t="n">
        <x:v>0</x:v>
      </x:c>
      <x:c r="R672" s="8" t="n">
        <x:v>0</x:v>
      </x:c>
      <x:c r="S672" s="8" t="n">
        <x:f>L672-I672^2/H672</x:f>
        <x:v>141.42857142857144</x:v>
      </x:c>
      <x:c r="T672" s="8" t="n">
        <x:f>M672-J672^2/H672</x:f>
        <x:v>0</x:v>
      </x:c>
      <x:c r="U672" s="8" t="n">
        <x:f>N672-I672*J672/H672</x:f>
        <x:v>0</x:v>
      </x:c>
      <x:c r="V672" s="8" t="n">
        <x:f>O672-I672*K672/H672</x:f>
        <x:v>121.28571428571428</x:v>
      </x:c>
      <x:c r="W672" s="8" t="n">
        <x:f>P672-J672*K672/H672</x:f>
        <x:v>0</x:v>
      </x:c>
      <x:c r="X672" s="8" t="n">
        <x:f>V672/S672</x:f>
        <x:v>0.8575757575757574</x:v>
      </x:c>
      <x:c r="Y672" s="8" t="n">
        <x:f>0</x:f>
        <x:v>0</x:v>
      </x:c>
      <x:c r="Z672" s="8" t="n">
        <x:f>K672/H672-X672*I672/H672-Y672*J672/H672</x:f>
        <x:v>0.4878787878787887</x:v>
      </x:c>
      <x:c r="AA672" s="8" t="n">
        <x:f>Z672+X672*Q672+Y672*R672</x:f>
        <x:v>0.4878787878787887</x:v>
      </x:c>
    </x:row>
    <x:row r="673" ht="26" customHeight="1">
      <x:c r="A673" s="2"/>
      <x:c r="B673" s="2" t="n">
        <x:v>668</x:v>
      </x:c>
      <x:c r="C673" s="2" t="str">
        <x:v>Baby, Feminine &amp; Family Care / price_contribution</x:v>
      </x:c>
      <x:c r="D673" s="2" t="str">
        <x:v>Broad market</x:v>
      </x:c>
      <x:c r="E673" s="7" t="n">
        <x:v>45747</x:v>
      </x:c>
      <x:c r="F673" s="2" t="str">
        <x:v>Origin</x:v>
      </x:c>
      <x:c r="G673" s="7" t="n">
        <x:v>45658</x:v>
      </x:c>
      <x:c r="H673" s="2" t="n">
        <x:v>15</x:v>
      </x:c>
      <x:c r="I673" s="8" t="n">
        <x:v>45.36969366335541</x:v>
      </x:c>
      <x:c r="J673" s="8" t="n">
        <x:v>0</x:v>
      </x:c>
      <x:c r="K673" s="8" t="n">
        <x:v>62</x:v>
      </x:c>
      <x:c r="L673" s="8" t="n">
        <x:v>256.4113037512379</x:v>
      </x:c>
      <x:c r="M673" s="8" t="n">
        <x:v>0</x:v>
      </x:c>
      <x:c r="N673" s="8" t="n">
        <x:v>0</x:v>
      </x:c>
      <x:c r="O673" s="8" t="n">
        <x:v>305.6694830697532</x:v>
      </x:c>
      <x:c r="P673" s="8" t="n">
        <x:v>0</x:v>
      </x:c>
      <x:c r="Q673" s="8" t="n">
        <x:v>0.21719146092866737</x:v>
      </x:c>
      <x:c r="R673" s="8" t="n">
        <x:v>0</x:v>
      </x:c>
      <x:c r="S673" s="8" t="n">
        <x:f>L673-I673^2/H673</x:f>
        <x:v>119.18403021079038</x:v>
      </x:c>
      <x:c r="T673" s="8" t="n">
        <x:f>M673-J673^2/H673</x:f>
        <x:v>0</x:v>
      </x:c>
      <x:c r="U673" s="8" t="n">
        <x:f>N673-I673*J673/H673</x:f>
        <x:v>0</x:v>
      </x:c>
      <x:c r="V673" s="8" t="n">
        <x:f>O673-I673*K673/H673</x:f>
        <x:v>118.14141592788417</x:v>
      </x:c>
      <x:c r="W673" s="8" t="n">
        <x:f>P673-J673*K673/H673</x:f>
        <x:v>0</x:v>
      </x:c>
      <x:c r="X673" s="8" t="n">
        <x:f>V673/S673</x:f>
        <x:v>0.9912520638791772</x:v>
      </x:c>
      <x:c r="Y673" s="8" t="n">
        <x:f>0</x:f>
        <x:v>0</x:v>
      </x:c>
      <x:c r="Z673" s="8" t="n">
        <x:f>K673/H673-X673*I673/H673-Y673*J673/H673</x:f>
        <x:v>1.135146501242195</x:v>
      </x:c>
      <x:c r="AA673" s="8" t="n">
        <x:f>Z673+X673*Q673+Y673*R673</x:f>
        <x:v>1.3504379851446702</x:v>
      </x:c>
    </x:row>
    <x:row r="674" ht="26" customHeight="1">
      <x:c r="A674" s="2"/>
      <x:c r="B674" s="2" t="n">
        <x:v>669</x:v>
      </x:c>
      <x:c r="C674" s="2" t="str">
        <x:v>Baby, Feminine &amp; Family Care / price_contribution</x:v>
      </x:c>
      <x:c r="D674" s="2" t="str">
        <x:v>Broad rolling 8</x:v>
      </x:c>
      <x:c r="E674" s="7" t="n">
        <x:v>45747</x:v>
      </x:c>
      <x:c r="F674" s="2" t="str">
        <x:v>Origin</x:v>
      </x:c>
      <x:c r="G674" s="7" t="n">
        <x:v>45658</x:v>
      </x:c>
      <x:c r="H674" s="2" t="n">
        <x:v>8</x:v>
      </x:c>
      <x:c r="I674" s="8" t="n">
        <x:v>36.45732970523537</x:v>
      </x:c>
      <x:c r="J674" s="8" t="n">
        <x:v>0</x:v>
      </x:c>
      <x:c r="K674" s="8" t="n">
        <x:v>38</x:v>
      </x:c>
      <x:c r="L674" s="8" t="n">
        <x:v>212.36019511769817</x:v>
      </x:c>
      <x:c r="M674" s="8" t="n">
        <x:v>0</x:v>
      </x:c>
      <x:c r="N674" s="8" t="n">
        <x:v>0</x:v>
      </x:c>
      <x:c r="O674" s="8" t="n">
        <x:v>236.7644647794962</x:v>
      </x:c>
      <x:c r="P674" s="8" t="n">
        <x:v>0</x:v>
      </x:c>
      <x:c r="Q674" s="8" t="n">
        <x:v>0.21719146092866737</x:v>
      </x:c>
      <x:c r="R674" s="8" t="n">
        <x:v>0</x:v>
      </x:c>
      <x:c r="S674" s="8" t="n">
        <x:f>L674-I674^2/H674</x:f>
        <x:v>46.21808396316854</x:v>
      </x:c>
      <x:c r="T674" s="8" t="n">
        <x:f>M674-J674^2/H674</x:f>
        <x:v>0</x:v>
      </x:c>
      <x:c r="U674" s="8" t="n">
        <x:f>N674-I674*J674/H674</x:f>
        <x:v>0</x:v>
      </x:c>
      <x:c r="V674" s="8" t="n">
        <x:f>O674-I674*K674/H674</x:f>
        <x:v>63.592148679628195</x:v>
      </x:c>
      <x:c r="W674" s="8" t="n">
        <x:f>P674-J674*K674/H674</x:f>
        <x:v>0</x:v>
      </x:c>
      <x:c r="X674" s="8" t="n">
        <x:f>V674/S674</x:f>
        <x:v>1.3759148633315295</x:v>
      </x:c>
      <x:c r="Y674" s="8" t="n">
        <x:f>0</x:f>
        <x:v>0</x:v>
      </x:c>
      <x:c r="Z674" s="8" t="n">
        <x:f>K674/H674-X674*I674/H674-Y674*J674/H674</x:f>
        <x:v>-1.5202727273514283</x:v>
      </x:c>
      <x:c r="AA674" s="8" t="n">
        <x:f>Z674+X674*Q674+Y674*R674</x:f>
        <x:v>-1.2214357680709858</x:v>
      </x:c>
    </x:row>
    <x:row r="675" ht="26" customHeight="1">
      <x:c r="A675" s="2"/>
      <x:c r="B675" s="2" t="n">
        <x:v>670</x:v>
      </x:c>
      <x:c r="C675" s="2" t="str">
        <x:v>Baby, Feminine &amp; Family Care / price_contribution</x:v>
      </x:c>
      <x:c r="D675" s="2" t="str">
        <x:v>Own history</x:v>
      </x:c>
      <x:c r="E675" s="7" t="n">
        <x:v>45747</x:v>
      </x:c>
      <x:c r="F675" s="2" t="str">
        <x:v>Origin</x:v>
      </x:c>
      <x:c r="G675" s="7" t="n">
        <x:v>45658</x:v>
      </x:c>
      <x:c r="H675" s="2" t="n">
        <x:v>13</x:v>
      </x:c>
      <x:c r="I675" s="8" t="n">
        <x:v>62</x:v>
      </x:c>
      <x:c r="J675" s="8" t="n">
        <x:v>0</x:v>
      </x:c>
      <x:c r="K675" s="8" t="n">
        <x:v>59</x:v>
      </x:c>
      <x:c r="L675" s="8" t="n">
        <x:v>416</x:v>
      </x:c>
      <x:c r="M675" s="8" t="n">
        <x:v>0</x:v>
      </x:c>
      <x:c r="N675" s="8" t="n">
        <x:v>0</x:v>
      </x:c>
      <x:c r="O675" s="8" t="n">
        <x:v>342</x:v>
      </x:c>
      <x:c r="P675" s="8" t="n">
        <x:v>0</x:v>
      </x:c>
      <x:c r="Q675" s="8" t="n">
        <x:v>0</x:v>
      </x:c>
      <x:c r="R675" s="8" t="n">
        <x:v>0</x:v>
      </x:c>
      <x:c r="S675" s="8" t="n">
        <x:f>L675-I675^2/H675</x:f>
        <x:v>120.30769230769232</x:v>
      </x:c>
      <x:c r="T675" s="8" t="n">
        <x:f>M675-J675^2/H675</x:f>
        <x:v>0</x:v>
      </x:c>
      <x:c r="U675" s="8" t="n">
        <x:f>N675-I675*J675/H675</x:f>
        <x:v>0</x:v>
      </x:c>
      <x:c r="V675" s="8" t="n">
        <x:f>O675-I675*K675/H675</x:f>
        <x:v>60.61538461538464</x:v>
      </x:c>
      <x:c r="W675" s="8" t="n">
        <x:f>P675-J675*K675/H675</x:f>
        <x:v>0</x:v>
      </x:c>
      <x:c r="X675" s="8" t="n">
        <x:f>V675/S675</x:f>
        <x:v>0.50383631713555</x:v>
      </x:c>
      <x:c r="Y675" s="8" t="n">
        <x:f>0</x:f>
        <x:v>0</x:v>
      </x:c>
      <x:c r="Z675" s="8" t="n">
        <x:f>K675/H675-X675*I675/H675-Y675*J675/H675</x:f>
        <x:v>2.1355498721227613</x:v>
      </x:c>
      <x:c r="AA675" s="8" t="n">
        <x:f>Z675+X675*Q675+Y675*R675</x:f>
        <x:v>2.1355498721227613</x:v>
      </x:c>
    </x:row>
    <x:row r="676" ht="26" customHeight="1">
      <x:c r="A676" s="2"/>
      <x:c r="B676" s="2" t="n">
        <x:v>671</x:v>
      </x:c>
      <x:c r="C676" s="2" t="str">
        <x:v>Baby, Feminine &amp; Family Care / price_contribution</x:v>
      </x:c>
      <x:c r="D676" s="2" t="str">
        <x:v>Broad market</x:v>
      </x:c>
      <x:c r="E676" s="7" t="n">
        <x:v>45747</x:v>
      </x:c>
      <x:c r="F676" s="2" t="str">
        <x:v>Prior report</x:v>
      </x:c>
      <x:c r="G676" s="7" t="n">
        <x:v>45679</x:v>
      </x:c>
      <x:c r="H676" s="2" t="n">
        <x:v>16</x:v>
      </x:c>
      <x:c r="I676" s="8" t="n">
        <x:v>45.710762120132856</x:v>
      </x:c>
      <x:c r="J676" s="8" t="n">
        <x:v>0</x:v>
      </x:c>
      <x:c r="K676" s="8" t="n">
        <x:v>61</x:v>
      </x:c>
      <x:c r="L676" s="8" t="n">
        <x:v>256.52763144344647</x:v>
      </x:c>
      <x:c r="M676" s="8" t="n">
        <x:v>0</x:v>
      </x:c>
      <x:c r="N676" s="8" t="n">
        <x:v>0</x:v>
      </x:c>
      <x:c r="O676" s="8" t="n">
        <x:v>305.32841461297573</x:v>
      </x:c>
      <x:c r="P676" s="8" t="n">
        <x:v>0</x:v>
      </x:c>
      <x:c r="Q676" s="8" t="n">
        <x:v>0.34236788098596094</x:v>
      </x:c>
      <x:c r="R676" s="8" t="n">
        <x:v>0</x:v>
      </x:c>
      <x:c r="S676" s="8" t="n">
        <x:f>L676-I676^2/H676</x:f>
        <x:v>125.93552059323568</x:v>
      </x:c>
      <x:c r="T676" s="8" t="n">
        <x:f>M676-J676^2/H676</x:f>
        <x:v>0</x:v>
      </x:c>
      <x:c r="U676" s="8" t="n">
        <x:f>N676-I676*J676/H676</x:f>
        <x:v>0</x:v>
      </x:c>
      <x:c r="V676" s="8" t="n">
        <x:f>O676-I676*K676/H676</x:f>
        <x:v>131.05613402996923</x:v>
      </x:c>
      <x:c r="W676" s="8" t="n">
        <x:f>P676-J676*K676/H676</x:f>
        <x:v>0</x:v>
      </x:c>
      <x:c r="X676" s="8" t="n">
        <x:f>V676/S676</x:f>
        <x:v>1.040660596888092</x:v>
      </x:c>
      <x:c r="Y676" s="8" t="n">
        <x:f>0</x:f>
        <x:v>0</x:v>
      </x:c>
      <x:c r="Z676" s="8" t="n">
        <x:f>K676/H676-X676*I676/H676-Y676*J676/H676</x:f>
        <x:v>0.83941318799081</x:v>
      </x:c>
      <x:c r="AA676" s="8" t="n">
        <x:f>Z676+X676*Q676+Y676*R676</x:f>
        <x:v>1.1957019513729714</x:v>
      </x:c>
    </x:row>
    <x:row r="677" ht="26" customHeight="1">
      <x:c r="A677" s="2"/>
      <x:c r="B677" s="2" t="n">
        <x:v>672</x:v>
      </x:c>
      <x:c r="C677" s="2" t="str">
        <x:v>Baby, Feminine &amp; Family Care / price_contribution</x:v>
      </x:c>
      <x:c r="D677" s="2" t="str">
        <x:v>Broad lag 1</x:v>
      </x:c>
      <x:c r="E677" s="7" t="n">
        <x:v>45747</x:v>
      </x:c>
      <x:c r="F677" s="2" t="str">
        <x:v>Prior report</x:v>
      </x:c>
      <x:c r="G677" s="7" t="n">
        <x:v>45679</x:v>
      </x:c>
      <x:c r="H677" s="2" t="n">
        <x:v>15</x:v>
      </x:c>
      <x:c r="I677" s="8" t="n">
        <x:v>45.36969366335541</x:v>
      </x:c>
      <x:c r="J677" s="8" t="n">
        <x:v>0</x:v>
      </x:c>
      <x:c r="K677" s="8" t="n">
        <x:v>59</x:v>
      </x:c>
      <x:c r="L677" s="8" t="n">
        <x:v>256.4113037512379</x:v>
      </x:c>
      <x:c r="M677" s="8" t="n">
        <x:v>0</x:v>
      </x:c>
      <x:c r="N677" s="8" t="n">
        <x:v>0</x:v>
      </x:c>
      <x:c r="O677" s="8" t="n">
        <x:v>274.0113366837812</x:v>
      </x:c>
      <x:c r="P677" s="8" t="n">
        <x:v>0</x:v>
      </x:c>
      <x:c r="Q677" s="8" t="n">
        <x:v>0.341068456777438</x:v>
      </x:c>
      <x:c r="R677" s="8" t="n">
        <x:v>0</x:v>
      </x:c>
      <x:c r="S677" s="8" t="n">
        <x:f>L677-I677^2/H677</x:f>
        <x:v>119.18403021079038</x:v>
      </x:c>
      <x:c r="T677" s="8" t="n">
        <x:f>M677-J677^2/H677</x:f>
        <x:v>0</x:v>
      </x:c>
      <x:c r="U677" s="8" t="n">
        <x:f>N677-I677*J677/H677</x:f>
        <x:v>0</x:v>
      </x:c>
      <x:c r="V677" s="8" t="n">
        <x:f>O677-I677*K677/H677</x:f>
        <x:v>95.55720827458327</x:v>
      </x:c>
      <x:c r="W677" s="8" t="n">
        <x:f>P677-J677*K677/H677</x:f>
        <x:v>0</x:v>
      </x:c>
      <x:c r="X677" s="8" t="n">
        <x:f>V677/S677</x:f>
        <x:v>0.801761847670192</x:v>
      </x:c>
      <x:c r="Y677" s="8" t="n">
        <x:f>0</x:f>
        <x:v>0</x:v>
      </x:c>
      <x:c r="Z677" s="8" t="n">
        <x:f>K677/H677-X677*I677/H677-Y677*J677/H677</x:f>
        <x:v>1.5082873720158374</x:v>
      </x:c>
      <x:c r="AA677" s="8" t="n">
        <x:f>Z677+X677*Q677+Y677*R677</x:f>
        <x:v>1.781743048103737</x:v>
      </x:c>
    </x:row>
    <x:row r="678" ht="26" customHeight="1">
      <x:c r="A678" s="2"/>
      <x:c r="B678" s="2" t="n">
        <x:v>673</x:v>
      </x:c>
      <x:c r="C678" s="2" t="str">
        <x:v>Baby, Feminine &amp; Family Care / price_contribution</x:v>
      </x:c>
      <x:c r="D678" s="2" t="str">
        <x:v>Broad rolling 8</x:v>
      </x:c>
      <x:c r="E678" s="7" t="n">
        <x:v>45747</x:v>
      </x:c>
      <x:c r="F678" s="2" t="str">
        <x:v>Prior report</x:v>
      </x:c>
      <x:c r="G678" s="7" t="n">
        <x:v>45679</x:v>
      </x:c>
      <x:c r="H678" s="2" t="n">
        <x:v>8</x:v>
      </x:c>
      <x:c r="I678" s="8" t="n">
        <x:v>29.542364704460724</x:v>
      </x:c>
      <x:c r="J678" s="8" t="n">
        <x:v>0</x:v>
      </x:c>
      <x:c r="K678" s="8" t="n">
        <x:v>29</x:v>
      </x:c>
      <x:c r="L678" s="8" t="n">
        <x:v>159.82650127279152</x:v>
      </x:c>
      <x:c r="M678" s="8" t="n">
        <x:v>0</x:v>
      </x:c>
      <x:c r="N678" s="8" t="n">
        <x:v>0</x:v>
      </x:c>
      <x:c r="O678" s="8" t="n">
        <x:v>178.37512866230213</x:v>
      </x:c>
      <x:c r="P678" s="8" t="n">
        <x:v>0</x:v>
      </x:c>
      <x:c r="Q678" s="8" t="n">
        <x:v>0.34236788098596094</x:v>
      </x:c>
      <x:c r="R678" s="8" t="n">
        <x:v>0</x:v>
      </x:c>
      <x:c r="S678" s="8" t="n">
        <x:f>L678-I678^2/H678</x:f>
        <x:v>50.73258723137067</x:v>
      </x:c>
      <x:c r="T678" s="8" t="n">
        <x:f>M678-J678^2/H678</x:f>
        <x:v>0</x:v>
      </x:c>
      <x:c r="U678" s="8" t="n">
        <x:f>N678-I678*J678/H678</x:f>
        <x:v>0</x:v>
      </x:c>
      <x:c r="V678" s="8" t="n">
        <x:f>O678-I678*K678/H678</x:f>
        <x:v>71.28405660863201</x:v>
      </x:c>
      <x:c r="W678" s="8" t="n">
        <x:f>P678-J678*K678/H678</x:f>
        <x:v>0</x:v>
      </x:c>
      <x:c r="X678" s="8" t="n">
        <x:f>V678/S678</x:f>
        <x:v>1.4050940529315892</x:v>
      </x:c>
      <x:c r="Y678" s="8" t="n">
        <x:f>0</x:f>
        <x:v>0</x:v>
      </x:c>
      <x:c r="Z678" s="8" t="n">
        <x:f>K678/H678-X678*I678/H678-Y678*J678/H678</x:f>
        <x:v>-1.563725119471731</x:v>
      </x:c>
      <x:c r="AA678" s="8" t="n">
        <x:f>Z678+X678*Q678+Y678*R678</x:f>
        <x:v>-1.082666045983567</x:v>
      </x:c>
    </x:row>
    <x:row r="679" ht="26" customHeight="1">
      <x:c r="A679" s="2"/>
      <x:c r="B679" s="2" t="n">
        <x:v>674</x:v>
      </x:c>
      <x:c r="C679" s="2" t="str">
        <x:v>Baby, Feminine &amp; Family Care / price_contribution</x:v>
      </x:c>
      <x:c r="D679" s="2" t="str">
        <x:v>Own history</x:v>
      </x:c>
      <x:c r="E679" s="7" t="n">
        <x:v>45747</x:v>
      </x:c>
      <x:c r="F679" s="2" t="str">
        <x:v>Prior report</x:v>
      </x:c>
      <x:c r="G679" s="7" t="n">
        <x:v>45679</x:v>
      </x:c>
      <x:c r="H679" s="2" t="n">
        <x:v>15</x:v>
      </x:c>
      <x:c r="I679" s="8" t="n">
        <x:v>62</x:v>
      </x:c>
      <x:c r="J679" s="8" t="n">
        <x:v>0</x:v>
      </x:c>
      <x:c r="K679" s="8" t="n">
        <x:v>59</x:v>
      </x:c>
      <x:c r="L679" s="8" t="n">
        <x:v>416</x:v>
      </x:c>
      <x:c r="M679" s="8" t="n">
        <x:v>0</x:v>
      </x:c>
      <x:c r="N679" s="8" t="n">
        <x:v>0</x:v>
      </x:c>
      <x:c r="O679" s="8" t="n">
        <x:v>387</x:v>
      </x:c>
      <x:c r="P679" s="8" t="n">
        <x:v>0</x:v>
      </x:c>
      <x:c r="Q679" s="8" t="n">
        <x:v>-1</x:v>
      </x:c>
      <x:c r="R679" s="8" t="n">
        <x:v>0</x:v>
      </x:c>
      <x:c r="S679" s="8" t="n">
        <x:f>L679-I679^2/H679</x:f>
        <x:v>159.73333333333335</x:v>
      </x:c>
      <x:c r="T679" s="8" t="n">
        <x:f>M679-J679^2/H679</x:f>
        <x:v>0</x:v>
      </x:c>
      <x:c r="U679" s="8" t="n">
        <x:f>N679-I679*J679/H679</x:f>
        <x:v>0</x:v>
      </x:c>
      <x:c r="V679" s="8" t="n">
        <x:f>O679-I679*K679/H679</x:f>
        <x:v>143.13333333333333</x:v>
      </x:c>
      <x:c r="W679" s="8" t="n">
        <x:f>P679-J679*K679/H679</x:f>
        <x:v>0</x:v>
      </x:c>
      <x:c r="X679" s="8" t="n">
        <x:f>V679/S679</x:f>
        <x:v>0.8960767946577628</x:v>
      </x:c>
      <x:c r="Y679" s="8" t="n">
        <x:f>0</x:f>
        <x:v>0</x:v>
      </x:c>
      <x:c r="Z679" s="8" t="n">
        <x:f>K679/H679-X679*I679/H679-Y679*J679/H679</x:f>
        <x:v>0.22954924874791338</x:v>
      </x:c>
      <x:c r="AA679" s="8" t="n">
        <x:f>Z679+X679*Q679+Y679*R679</x:f>
        <x:v>-0.6665275459098494</x:v>
      </x:c>
    </x:row>
    <x:row r="680" ht="26" customHeight="1">
      <x:c r="A680" s="2"/>
      <x:c r="B680" s="2" t="n">
        <x:v>675</x:v>
      </x:c>
      <x:c r="C680" s="2" t="str">
        <x:v>Baby, Feminine &amp; Family Care / price_contribution</x:v>
      </x:c>
      <x:c r="D680" s="2" t="str">
        <x:v>Broad market</x:v>
      </x:c>
      <x:c r="E680" s="7" t="n">
        <x:v>45747</x:v>
      </x:c>
      <x:c r="F680" s="2" t="str">
        <x:v>Pre-earnings</x:v>
      </x:c>
      <x:c r="G680" s="7" t="n">
        <x:v>45770</x:v>
      </x:c>
      <x:c r="H680" s="2" t="n">
        <x:v>16</x:v>
      </x:c>
      <x:c r="I680" s="8" t="n">
        <x:v>45.710762120132856</x:v>
      </x:c>
      <x:c r="J680" s="8" t="n">
        <x:v>0</x:v>
      </x:c>
      <x:c r="K680" s="8" t="n">
        <x:v>61</x:v>
      </x:c>
      <x:c r="L680" s="8" t="n">
        <x:v>256.52763144344647</x:v>
      </x:c>
      <x:c r="M680" s="8" t="n">
        <x:v>0</x:v>
      </x:c>
      <x:c r="N680" s="8" t="n">
        <x:v>0</x:v>
      </x:c>
      <x:c r="O680" s="8" t="n">
        <x:v>305.32841461297573</x:v>
      </x:c>
      <x:c r="P680" s="8" t="n">
        <x:v>0</x:v>
      </x:c>
      <x:c r="Q680" s="8" t="n">
        <x:v>0.23594619830289432</x:v>
      </x:c>
      <x:c r="R680" s="8" t="n">
        <x:v>0</x:v>
      </x:c>
      <x:c r="S680" s="8" t="n">
        <x:f>L680-I680^2/H680</x:f>
        <x:v>125.93552059323568</x:v>
      </x:c>
      <x:c r="T680" s="8" t="n">
        <x:f>M680-J680^2/H680</x:f>
        <x:v>0</x:v>
      </x:c>
      <x:c r="U680" s="8" t="n">
        <x:f>N680-I680*J680/H680</x:f>
        <x:v>0</x:v>
      </x:c>
      <x:c r="V680" s="8" t="n">
        <x:f>O680-I680*K680/H680</x:f>
        <x:v>131.05613402996923</x:v>
      </x:c>
      <x:c r="W680" s="8" t="n">
        <x:f>P680-J680*K680/H680</x:f>
        <x:v>0</x:v>
      </x:c>
      <x:c r="X680" s="8" t="n">
        <x:f>V680/S680</x:f>
        <x:v>1.040660596888092</x:v>
      </x:c>
      <x:c r="Y680" s="8" t="n">
        <x:f>0</x:f>
        <x:v>0</x:v>
      </x:c>
      <x:c r="Z680" s="8" t="n">
        <x:f>K680/H680-X680*I680/H680-Y680*J680/H680</x:f>
        <x:v>0.83941318799081</x:v>
      </x:c>
      <x:c r="AA680" s="8" t="n">
        <x:f>Z680+X680*Q680+Y680*R680</x:f>
        <x:v>1.0849530995501762</x:v>
      </x:c>
    </x:row>
    <x:row r="681" ht="26" customHeight="1">
      <x:c r="A681" s="2"/>
      <x:c r="B681" s="2" t="n">
        <x:v>676</x:v>
      </x:c>
      <x:c r="C681" s="2" t="str">
        <x:v>Baby, Feminine &amp; Family Care / price_contribution</x:v>
      </x:c>
      <x:c r="D681" s="2" t="str">
        <x:v>Broad lag 1</x:v>
      </x:c>
      <x:c r="E681" s="7" t="n">
        <x:v>45747</x:v>
      </x:c>
      <x:c r="F681" s="2" t="str">
        <x:v>Pre-earnings</x:v>
      </x:c>
      <x:c r="G681" s="7" t="n">
        <x:v>45770</x:v>
      </x:c>
      <x:c r="H681" s="2" t="n">
        <x:v>15</x:v>
      </x:c>
      <x:c r="I681" s="8" t="n">
        <x:v>45.36969366335541</x:v>
      </x:c>
      <x:c r="J681" s="8" t="n">
        <x:v>0</x:v>
      </x:c>
      <x:c r="K681" s="8" t="n">
        <x:v>59</x:v>
      </x:c>
      <x:c r="L681" s="8" t="n">
        <x:v>256.4113037512379</x:v>
      </x:c>
      <x:c r="M681" s="8" t="n">
        <x:v>0</x:v>
      </x:c>
      <x:c r="N681" s="8" t="n">
        <x:v>0</x:v>
      </x:c>
      <x:c r="O681" s="8" t="n">
        <x:v>274.0113366837812</x:v>
      </x:c>
      <x:c r="P681" s="8" t="n">
        <x:v>0</x:v>
      </x:c>
      <x:c r="Q681" s="8" t="n">
        <x:v>0.341068456777438</x:v>
      </x:c>
      <x:c r="R681" s="8" t="n">
        <x:v>0</x:v>
      </x:c>
      <x:c r="S681" s="8" t="n">
        <x:f>L681-I681^2/H681</x:f>
        <x:v>119.18403021079038</x:v>
      </x:c>
      <x:c r="T681" s="8" t="n">
        <x:f>M681-J681^2/H681</x:f>
        <x:v>0</x:v>
      </x:c>
      <x:c r="U681" s="8" t="n">
        <x:f>N681-I681*J681/H681</x:f>
        <x:v>0</x:v>
      </x:c>
      <x:c r="V681" s="8" t="n">
        <x:f>O681-I681*K681/H681</x:f>
        <x:v>95.55720827458327</x:v>
      </x:c>
      <x:c r="W681" s="8" t="n">
        <x:f>P681-J681*K681/H681</x:f>
        <x:v>0</x:v>
      </x:c>
      <x:c r="X681" s="8" t="n">
        <x:f>V681/S681</x:f>
        <x:v>0.801761847670192</x:v>
      </x:c>
      <x:c r="Y681" s="8" t="n">
        <x:f>0</x:f>
        <x:v>0</x:v>
      </x:c>
      <x:c r="Z681" s="8" t="n">
        <x:f>K681/H681-X681*I681/H681-Y681*J681/H681</x:f>
        <x:v>1.5082873720158374</x:v>
      </x:c>
      <x:c r="AA681" s="8" t="n">
        <x:f>Z681+X681*Q681+Y681*R681</x:f>
        <x:v>1.781743048103737</x:v>
      </x:c>
    </x:row>
    <x:row r="682" ht="26" customHeight="1">
      <x:c r="A682" s="2"/>
      <x:c r="B682" s="2" t="n">
        <x:v>677</x:v>
      </x:c>
      <x:c r="C682" s="2" t="str">
        <x:v>Baby, Feminine &amp; Family Care / price_contribution</x:v>
      </x:c>
      <x:c r="D682" s="2" t="str">
        <x:v>Broad rolling 8</x:v>
      </x:c>
      <x:c r="E682" s="7" t="n">
        <x:v>45747</x:v>
      </x:c>
      <x:c r="F682" s="2" t="str">
        <x:v>Pre-earnings</x:v>
      </x:c>
      <x:c r="G682" s="7" t="n">
        <x:v>45770</x:v>
      </x:c>
      <x:c r="H682" s="2" t="n">
        <x:v>8</x:v>
      </x:c>
      <x:c r="I682" s="8" t="n">
        <x:v>29.542364704460724</x:v>
      </x:c>
      <x:c r="J682" s="8" t="n">
        <x:v>0</x:v>
      </x:c>
      <x:c r="K682" s="8" t="n">
        <x:v>29</x:v>
      </x:c>
      <x:c r="L682" s="8" t="n">
        <x:v>159.82650127279152</x:v>
      </x:c>
      <x:c r="M682" s="8" t="n">
        <x:v>0</x:v>
      </x:c>
      <x:c r="N682" s="8" t="n">
        <x:v>0</x:v>
      </x:c>
      <x:c r="O682" s="8" t="n">
        <x:v>178.37512866230213</x:v>
      </x:c>
      <x:c r="P682" s="8" t="n">
        <x:v>0</x:v>
      </x:c>
      <x:c r="Q682" s="8" t="n">
        <x:v>0.23594619830289432</x:v>
      </x:c>
      <x:c r="R682" s="8" t="n">
        <x:v>0</x:v>
      </x:c>
      <x:c r="S682" s="8" t="n">
        <x:f>L682-I682^2/H682</x:f>
        <x:v>50.73258723137067</x:v>
      </x:c>
      <x:c r="T682" s="8" t="n">
        <x:f>M682-J682^2/H682</x:f>
        <x:v>0</x:v>
      </x:c>
      <x:c r="U682" s="8" t="n">
        <x:f>N682-I682*J682/H682</x:f>
        <x:v>0</x:v>
      </x:c>
      <x:c r="V682" s="8" t="n">
        <x:f>O682-I682*K682/H682</x:f>
        <x:v>71.28405660863201</x:v>
      </x:c>
      <x:c r="W682" s="8" t="n">
        <x:f>P682-J682*K682/H682</x:f>
        <x:v>0</x:v>
      </x:c>
      <x:c r="X682" s="8" t="n">
        <x:f>V682/S682</x:f>
        <x:v>1.4050940529315892</x:v>
      </x:c>
      <x:c r="Y682" s="8" t="n">
        <x:f>0</x:f>
        <x:v>0</x:v>
      </x:c>
      <x:c r="Z682" s="8" t="n">
        <x:f>K682/H682-X682*I682/H682-Y682*J682/H682</x:f>
        <x:v>-1.563725119471731</x:v>
      </x:c>
      <x:c r="AA682" s="8" t="n">
        <x:f>Z682+X682*Q682+Y682*R682</x:f>
        <x:v>-1.2321985194245166</x:v>
      </x:c>
    </x:row>
    <x:row r="683" ht="26" customHeight="1">
      <x:c r="A683" s="2"/>
      <x:c r="B683" s="2" t="n">
        <x:v>678</x:v>
      </x:c>
      <x:c r="C683" s="2" t="str">
        <x:v>Baby, Feminine &amp; Family Care / price_contribution</x:v>
      </x:c>
      <x:c r="D683" s="2" t="str">
        <x:v>Own history</x:v>
      </x:c>
      <x:c r="E683" s="7" t="n">
        <x:v>45747</x:v>
      </x:c>
      <x:c r="F683" s="2" t="str">
        <x:v>Pre-earnings</x:v>
      </x:c>
      <x:c r="G683" s="7" t="n">
        <x:v>45770</x:v>
      </x:c>
      <x:c r="H683" s="2" t="n">
        <x:v>15</x:v>
      </x:c>
      <x:c r="I683" s="8" t="n">
        <x:v>62</x:v>
      </x:c>
      <x:c r="J683" s="8" t="n">
        <x:v>0</x:v>
      </x:c>
      <x:c r="K683" s="8" t="n">
        <x:v>59</x:v>
      </x:c>
      <x:c r="L683" s="8" t="n">
        <x:v>416</x:v>
      </x:c>
      <x:c r="M683" s="8" t="n">
        <x:v>0</x:v>
      </x:c>
      <x:c r="N683" s="8" t="n">
        <x:v>0</x:v>
      </x:c>
      <x:c r="O683" s="8" t="n">
        <x:v>387</x:v>
      </x:c>
      <x:c r="P683" s="8" t="n">
        <x:v>0</x:v>
      </x:c>
      <x:c r="Q683" s="8" t="n">
        <x:v>-1</x:v>
      </x:c>
      <x:c r="R683" s="8" t="n">
        <x:v>0</x:v>
      </x:c>
      <x:c r="S683" s="8" t="n">
        <x:f>L683-I683^2/H683</x:f>
        <x:v>159.73333333333335</x:v>
      </x:c>
      <x:c r="T683" s="8" t="n">
        <x:f>M683-J683^2/H683</x:f>
        <x:v>0</x:v>
      </x:c>
      <x:c r="U683" s="8" t="n">
        <x:f>N683-I683*J683/H683</x:f>
        <x:v>0</x:v>
      </x:c>
      <x:c r="V683" s="8" t="n">
        <x:f>O683-I683*K683/H683</x:f>
        <x:v>143.13333333333333</x:v>
      </x:c>
      <x:c r="W683" s="8" t="n">
        <x:f>P683-J683*K683/H683</x:f>
        <x:v>0</x:v>
      </x:c>
      <x:c r="X683" s="8" t="n">
        <x:f>V683/S683</x:f>
        <x:v>0.8960767946577628</x:v>
      </x:c>
      <x:c r="Y683" s="8" t="n">
        <x:f>0</x:f>
        <x:v>0</x:v>
      </x:c>
      <x:c r="Z683" s="8" t="n">
        <x:f>K683/H683-X683*I683/H683-Y683*J683/H683</x:f>
        <x:v>0.22954924874791338</x:v>
      </x:c>
      <x:c r="AA683" s="8" t="n">
        <x:f>Z683+X683*Q683+Y683*R683</x:f>
        <x:v>-0.6665275459098494</x:v>
      </x:c>
    </x:row>
    <x:row r="684" ht="26" customHeight="1">
      <x:c r="A684" s="2"/>
      <x:c r="B684" s="2" t="n">
        <x:v>679</x:v>
      </x:c>
      <x:c r="C684" s="2" t="str">
        <x:v>Baby, Feminine &amp; Family Care / price_contribution</x:v>
      </x:c>
      <x:c r="D684" s="2" t="str">
        <x:v>Broad market</x:v>
      </x:c>
      <x:c r="E684" s="7" t="n">
        <x:v>45838</x:v>
      </x:c>
      <x:c r="F684" s="2" t="str">
        <x:v>Origin</x:v>
      </x:c>
      <x:c r="G684" s="7" t="n">
        <x:v>45748</x:v>
      </x:c>
      <x:c r="H684" s="2" t="n">
        <x:v>16</x:v>
      </x:c>
      <x:c r="I684" s="8" t="n">
        <x:v>45.710762120132856</x:v>
      </x:c>
      <x:c r="J684" s="8" t="n">
        <x:v>0</x:v>
      </x:c>
      <x:c r="K684" s="8" t="n">
        <x:v>61</x:v>
      </x:c>
      <x:c r="L684" s="8" t="n">
        <x:v>256.52763144344647</x:v>
      </x:c>
      <x:c r="M684" s="8" t="n">
        <x:v>0</x:v>
      </x:c>
      <x:c r="N684" s="8" t="n">
        <x:v>0</x:v>
      </x:c>
      <x:c r="O684" s="8" t="n">
        <x:v>305.32841461297573</x:v>
      </x:c>
      <x:c r="P684" s="8" t="n">
        <x:v>0</x:v>
      </x:c>
      <x:c r="Q684" s="8" t="n">
        <x:v>0.4021029127773579</x:v>
      </x:c>
      <x:c r="R684" s="8" t="n">
        <x:v>0</x:v>
      </x:c>
      <x:c r="S684" s="8" t="n">
        <x:f>L684-I684^2/H684</x:f>
        <x:v>125.93552059323568</x:v>
      </x:c>
      <x:c r="T684" s="8" t="n">
        <x:f>M684-J684^2/H684</x:f>
        <x:v>0</x:v>
      </x:c>
      <x:c r="U684" s="8" t="n">
        <x:f>N684-I684*J684/H684</x:f>
        <x:v>0</x:v>
      </x:c>
      <x:c r="V684" s="8" t="n">
        <x:f>O684-I684*K684/H684</x:f>
        <x:v>131.05613402996923</x:v>
      </x:c>
      <x:c r="W684" s="8" t="n">
        <x:f>P684-J684*K684/H684</x:f>
        <x:v>0</x:v>
      </x:c>
      <x:c r="X684" s="8" t="n">
        <x:f>V684/S684</x:f>
        <x:v>1.040660596888092</x:v>
      </x:c>
      <x:c r="Y684" s="8" t="n">
        <x:f>0</x:f>
        <x:v>0</x:v>
      </x:c>
      <x:c r="Z684" s="8" t="n">
        <x:f>K684/H684-X684*I684/H684-Y684*J684/H684</x:f>
        <x:v>0.83941318799081</x:v>
      </x:c>
      <x:c r="AA684" s="8" t="n">
        <x:f>Z684+X684*Q684+Y684*R684</x:f>
        <x:v>1.2578658452121356</x:v>
      </x:c>
    </x:row>
    <x:row r="685" ht="26" customHeight="1">
      <x:c r="A685" s="2"/>
      <x:c r="B685" s="2" t="n">
        <x:v>680</x:v>
      </x:c>
      <x:c r="C685" s="2" t="str">
        <x:v>Baby, Feminine &amp; Family Care / price_contribution</x:v>
      </x:c>
      <x:c r="D685" s="2" t="str">
        <x:v>Broad rolling 8</x:v>
      </x:c>
      <x:c r="E685" s="7" t="n">
        <x:v>45838</x:v>
      </x:c>
      <x:c r="F685" s="2" t="str">
        <x:v>Origin</x:v>
      </x:c>
      <x:c r="G685" s="7" t="n">
        <x:v>45748</x:v>
      </x:c>
      <x:c r="H685" s="2" t="n">
        <x:v>8</x:v>
      </x:c>
      <x:c r="I685" s="8" t="n">
        <x:v>29.542364704460724</x:v>
      </x:c>
      <x:c r="J685" s="8" t="n">
        <x:v>0</x:v>
      </x:c>
      <x:c r="K685" s="8" t="n">
        <x:v>29</x:v>
      </x:c>
      <x:c r="L685" s="8" t="n">
        <x:v>159.82650127279152</x:v>
      </x:c>
      <x:c r="M685" s="8" t="n">
        <x:v>0</x:v>
      </x:c>
      <x:c r="N685" s="8" t="n">
        <x:v>0</x:v>
      </x:c>
      <x:c r="O685" s="8" t="n">
        <x:v>178.37512866230213</x:v>
      </x:c>
      <x:c r="P685" s="8" t="n">
        <x:v>0</x:v>
      </x:c>
      <x:c r="Q685" s="8" t="n">
        <x:v>0.4021029127773579</x:v>
      </x:c>
      <x:c r="R685" s="8" t="n">
        <x:v>0</x:v>
      </x:c>
      <x:c r="S685" s="8" t="n">
        <x:f>L685-I685^2/H685</x:f>
        <x:v>50.73258723137067</x:v>
      </x:c>
      <x:c r="T685" s="8" t="n">
        <x:f>M685-J685^2/H685</x:f>
        <x:v>0</x:v>
      </x:c>
      <x:c r="U685" s="8" t="n">
        <x:f>N685-I685*J685/H685</x:f>
        <x:v>0</x:v>
      </x:c>
      <x:c r="V685" s="8" t="n">
        <x:f>O685-I685*K685/H685</x:f>
        <x:v>71.28405660863201</x:v>
      </x:c>
      <x:c r="W685" s="8" t="n">
        <x:f>P685-J685*K685/H685</x:f>
        <x:v>0</x:v>
      </x:c>
      <x:c r="X685" s="8" t="n">
        <x:f>V685/S685</x:f>
        <x:v>1.4050940529315892</x:v>
      </x:c>
      <x:c r="Y685" s="8" t="n">
        <x:f>0</x:f>
        <x:v>0</x:v>
      </x:c>
      <x:c r="Z685" s="8" t="n">
        <x:f>K685/H685-X685*I685/H685-Y685*J685/H685</x:f>
        <x:v>-1.563725119471731</x:v>
      </x:c>
      <x:c r="AA685" s="8" t="n">
        <x:f>Z685+X685*Q685+Y685*R685</x:f>
        <x:v>-0.9987327080617959</x:v>
      </x:c>
    </x:row>
    <x:row r="686" ht="26" customHeight="1">
      <x:c r="A686" s="2"/>
      <x:c r="B686" s="2" t="n">
        <x:v>681</x:v>
      </x:c>
      <x:c r="C686" s="2" t="str">
        <x:v>Baby, Feminine &amp; Family Care / price_contribution</x:v>
      </x:c>
      <x:c r="D686" s="2" t="str">
        <x:v>Own history</x:v>
      </x:c>
      <x:c r="E686" s="7" t="n">
        <x:v>45838</x:v>
      </x:c>
      <x:c r="F686" s="2" t="str">
        <x:v>Origin</x:v>
      </x:c>
      <x:c r="G686" s="7" t="n">
        <x:v>45748</x:v>
      </x:c>
      <x:c r="H686" s="2" t="n">
        <x:v>14</x:v>
      </x:c>
      <x:c r="I686" s="8" t="n">
        <x:v>62</x:v>
      </x:c>
      <x:c r="J686" s="8" t="n">
        <x:v>0</x:v>
      </x:c>
      <x:c r="K686" s="8" t="n">
        <x:v>58</x:v>
      </x:c>
      <x:c r="L686" s="8" t="n">
        <x:v>416</x:v>
      </x:c>
      <x:c r="M686" s="8" t="n">
        <x:v>0</x:v>
      </x:c>
      <x:c r="N686" s="8" t="n">
        <x:v>0</x:v>
      </x:c>
      <x:c r="O686" s="8" t="n">
        <x:v>342</x:v>
      </x:c>
      <x:c r="P686" s="8" t="n">
        <x:v>0</x:v>
      </x:c>
      <x:c r="Q686" s="8" t="n">
        <x:v>-1</x:v>
      </x:c>
      <x:c r="R686" s="8" t="n">
        <x:v>0</x:v>
      </x:c>
      <x:c r="S686" s="8" t="n">
        <x:f>L686-I686^2/H686</x:f>
        <x:v>141.42857142857144</x:v>
      </x:c>
      <x:c r="T686" s="8" t="n">
        <x:f>M686-J686^2/H686</x:f>
        <x:v>0</x:v>
      </x:c>
      <x:c r="U686" s="8" t="n">
        <x:f>N686-I686*J686/H686</x:f>
        <x:v>0</x:v>
      </x:c>
      <x:c r="V686" s="8" t="n">
        <x:f>O686-I686*K686/H686</x:f>
        <x:v>85.14285714285717</x:v>
      </x:c>
      <x:c r="W686" s="8" t="n">
        <x:f>P686-J686*K686/H686</x:f>
        <x:v>0</x:v>
      </x:c>
      <x:c r="X686" s="8" t="n">
        <x:f>V686/S686</x:f>
        <x:v>0.6020202020202021</x:v>
      </x:c>
      <x:c r="Y686" s="8" t="n">
        <x:f>0</x:f>
        <x:v>0</x:v>
      </x:c>
      <x:c r="Z686" s="8" t="n">
        <x:f>K686/H686-X686*I686/H686-Y686*J686/H686</x:f>
        <x:v>1.4767676767676767</x:v>
      </x:c>
      <x:c r="AA686" s="8" t="n">
        <x:f>Z686+X686*Q686+Y686*R686</x:f>
        <x:v>0.8747474747474746</x:v>
      </x:c>
    </x:row>
    <x:row r="687" ht="26" customHeight="1">
      <x:c r="A687" s="2"/>
      <x:c r="B687" s="2" t="n">
        <x:v>682</x:v>
      </x:c>
      <x:c r="C687" s="2" t="str">
        <x:v>Baby, Feminine &amp; Family Care / price_contribution</x:v>
      </x:c>
      <x:c r="D687" s="2" t="str">
        <x:v>Broad market</x:v>
      </x:c>
      <x:c r="E687" s="7" t="n">
        <x:v>45838</x:v>
      </x:c>
      <x:c r="F687" s="2" t="str">
        <x:v>Prior report</x:v>
      </x:c>
      <x:c r="G687" s="7" t="n">
        <x:v>45771</x:v>
      </x:c>
      <x:c r="H687" s="2" t="n">
        <x:v>17</x:v>
      </x:c>
      <x:c r="I687" s="8" t="n">
        <x:v>45.946708318435746</x:v>
      </x:c>
      <x:c r="J687" s="8" t="n">
        <x:v>0</x:v>
      </x:c>
      <x:c r="K687" s="8" t="n">
        <x:v>61</x:v>
      </x:c>
      <x:c r="L687" s="8" t="n">
        <x:v>256.58330205194005</x:v>
      </x:c>
      <x:c r="M687" s="8" t="n">
        <x:v>0</x:v>
      </x:c>
      <x:c r="N687" s="8" t="n">
        <x:v>0</x:v>
      </x:c>
      <x:c r="O687" s="8" t="n">
        <x:v>305.32841461297573</x:v>
      </x:c>
      <x:c r="P687" s="8" t="n">
        <x:v>0</x:v>
      </x:c>
      <x:c r="Q687" s="8" t="n">
        <x:v>0.23664658474467082</x:v>
      </x:c>
      <x:c r="R687" s="8" t="n">
        <x:v>0</x:v>
      </x:c>
      <x:c r="S687" s="8" t="n">
        <x:f>L687-I687^2/H687</x:f>
        <x:v>132.40094879903342</x:v>
      </x:c>
      <x:c r="T687" s="8" t="n">
        <x:f>M687-J687^2/H687</x:f>
        <x:v>0</x:v>
      </x:c>
      <x:c r="U687" s="8" t="n">
        <x:f>N687-I687*J687/H687</x:f>
        <x:v>0</x:v>
      </x:c>
      <x:c r="V687" s="8" t="n">
        <x:f>O687-I687*K687/H687</x:f>
        <x:v>140.4608141762357</x:v>
      </x:c>
      <x:c r="W687" s="8" t="n">
        <x:f>P687-J687*K687/H687</x:f>
        <x:v>0</x:v>
      </x:c>
      <x:c r="X687" s="8" t="n">
        <x:f>V687/S687</x:f>
        <x:v>1.060874679904568</x:v>
      </x:c>
      <x:c r="Y687" s="8" t="n">
        <x:f>0</x:f>
        <x:v>0</x:v>
      </x:c>
      <x:c r="Z687" s="8" t="n">
        <x:f>K687/H687-X687*I687/H687-Y687*J687/H687</x:f>
        <x:v>0.7209588541182899</x:v>
      </x:c>
      <x:c r="AA687" s="8" t="n">
        <x:f>Z687+X687*Q687+Y687*R687</x:f>
        <x:v>0.9720112239598018</x:v>
      </x:c>
    </x:row>
    <x:row r="688" ht="26" customHeight="1">
      <x:c r="A688" s="2"/>
      <x:c r="B688" s="2" t="n">
        <x:v>683</x:v>
      </x:c>
      <x:c r="C688" s="2" t="str">
        <x:v>Baby, Feminine &amp; Family Care / price_contribution</x:v>
      </x:c>
      <x:c r="D688" s="2" t="str">
        <x:v>Broad lag 1</x:v>
      </x:c>
      <x:c r="E688" s="7" t="n">
        <x:v>45838</x:v>
      </x:c>
      <x:c r="F688" s="2" t="str">
        <x:v>Prior report</x:v>
      </x:c>
      <x:c r="G688" s="7" t="n">
        <x:v>45771</x:v>
      </x:c>
      <x:c r="H688" s="2" t="n">
        <x:v>16</x:v>
      </x:c>
      <x:c r="I688" s="8" t="n">
        <x:v>45.710762120132856</x:v>
      </x:c>
      <x:c r="J688" s="8" t="n">
        <x:v>0</x:v>
      </x:c>
      <x:c r="K688" s="8" t="n">
        <x:v>59</x:v>
      </x:c>
      <x:c r="L688" s="8" t="n">
        <x:v>256.52763144344647</x:v>
      </x:c>
      <x:c r="M688" s="8" t="n">
        <x:v>0</x:v>
      </x:c>
      <x:c r="N688" s="8" t="n">
        <x:v>0</x:v>
      </x:c>
      <x:c r="O688" s="8" t="n">
        <x:v>274.0113366837812</x:v>
      </x:c>
      <x:c r="P688" s="8" t="n">
        <x:v>0</x:v>
      </x:c>
      <x:c r="Q688" s="8" t="n">
        <x:v>0.23594619830289432</x:v>
      </x:c>
      <x:c r="R688" s="8" t="n">
        <x:v>0</x:v>
      </x:c>
      <x:c r="S688" s="8" t="n">
        <x:f>L688-I688^2/H688</x:f>
        <x:v>125.93552059323568</x:v>
      </x:c>
      <x:c r="T688" s="8" t="n">
        <x:f>M688-J688^2/H688</x:f>
        <x:v>0</x:v>
      </x:c>
      <x:c r="U688" s="8" t="n">
        <x:f>N688-I688*J688/H688</x:f>
        <x:v>0</x:v>
      </x:c>
      <x:c r="V688" s="8" t="n">
        <x:f>O688-I688*K688/H688</x:f>
        <x:v>105.45290136579132</x:v>
      </x:c>
      <x:c r="W688" s="8" t="n">
        <x:f>P688-J688*K688/H688</x:f>
        <x:v>0</x:v>
      </x:c>
      <x:c r="X688" s="8" t="n">
        <x:f>V688/S688</x:f>
        <x:v>0.8373562984378171</x:v>
      </x:c>
      <x:c r="Y688" s="8" t="n">
        <x:f>0</x:f>
        <x:v>0</x:v>
      </x:c>
      <x:c r="Z688" s="8" t="n">
        <x:f>K688/H688-X688*I688/H688-Y688*J688/H688</x:f>
        <x:v>1.295237839519623</x:v>
      </x:c>
      <x:c r="AA688" s="8" t="n">
        <x:f>Z688+X688*Q688+Y688*R688</x:f>
        <x:v>1.4928088747610095</x:v>
      </x:c>
    </x:row>
    <x:row r="689" ht="26" customHeight="1">
      <x:c r="A689" s="2"/>
      <x:c r="B689" s="2" t="n">
        <x:v>684</x:v>
      </x:c>
      <x:c r="C689" s="2" t="str">
        <x:v>Baby, Feminine &amp; Family Care / price_contribution</x:v>
      </x:c>
      <x:c r="D689" s="2" t="str">
        <x:v>Broad rolling 8</x:v>
      </x:c>
      <x:c r="E689" s="7" t="n">
        <x:v>45838</x:v>
      </x:c>
      <x:c r="F689" s="2" t="str">
        <x:v>Prior report</x:v>
      </x:c>
      <x:c r="G689" s="7" t="n">
        <x:v>45771</x:v>
      </x:c>
      <x:c r="H689" s="2" t="n">
        <x:v>8</x:v>
      </x:c>
      <x:c r="I689" s="8" t="n">
        <x:v>23.005916879315237</x:v>
      </x:c>
      <x:c r="J689" s="8" t="n">
        <x:v>0</x:v>
      </x:c>
      <x:c r="K689" s="8" t="n">
        <x:v>21</x:v>
      </x:c>
      <x:c r="L689" s="8" t="n">
        <x:v>114.01685107244576</x:v>
      </x:c>
      <x:c r="M689" s="8" t="n">
        <x:v>0</x:v>
      </x:c>
      <x:c r="N689" s="8" t="n">
        <x:v>0</x:v>
      </x:c>
      <x:c r="O689" s="8" t="n">
        <x:v>124.19597647471508</x:v>
      </x:c>
      <x:c r="P689" s="8" t="n">
        <x:v>0</x:v>
      </x:c>
      <x:c r="Q689" s="8" t="n">
        <x:v>0.23664658474467082</x:v>
      </x:c>
      <x:c r="R689" s="8" t="n">
        <x:v>0</x:v>
      </x:c>
      <x:c r="S689" s="8" t="n">
        <x:f>L689-I689^2/H689</x:f>
        <x:v>47.85782464020055</x:v>
      </x:c>
      <x:c r="T689" s="8" t="n">
        <x:f>M689-J689^2/H689</x:f>
        <x:v>0</x:v>
      </x:c>
      <x:c r="U689" s="8" t="n">
        <x:f>N689-I689*J689/H689</x:f>
        <x:v>0</x:v>
      </x:c>
      <x:c r="V689" s="8" t="n">
        <x:f>O689-I689*K689/H689</x:f>
        <x:v>63.805444666512585</x:v>
      </x:c>
      <x:c r="W689" s="8" t="n">
        <x:f>P689-J689*K689/H689</x:f>
        <x:v>0</x:v>
      </x:c>
      <x:c r="X689" s="8" t="n">
        <x:f>V689/S689</x:f>
        <x:v>1.3332291040432298</x:v>
      </x:c>
      <x:c r="Y689" s="8" t="n">
        <x:f>0</x:f>
        <x:v>0</x:v>
      </x:c>
      <x:c r="Z689" s="8" t="n">
        <x:f>K689/H689-X689*I689/H689-Y689*J689/H689</x:f>
        <x:v>-1.2090197435878087</x:v>
      </x:c>
      <x:c r="AA689" s="8" t="n">
        <x:f>Z689+X689*Q689+Y689*R689</x:f>
        <x:v>-0.8935156294337809</x:v>
      </x:c>
    </x:row>
    <x:row r="690" ht="26" customHeight="1">
      <x:c r="A690" s="2"/>
      <x:c r="B690" s="2" t="n">
        <x:v>685</x:v>
      </x:c>
      <x:c r="C690" s="2" t="str">
        <x:v>Baby, Feminine &amp; Family Care / price_contribution</x:v>
      </x:c>
      <x:c r="D690" s="2" t="str">
        <x:v>Own history</x:v>
      </x:c>
      <x:c r="E690" s="7" t="n">
        <x:v>45838</x:v>
      </x:c>
      <x:c r="F690" s="2" t="str">
        <x:v>Prior report</x:v>
      </x:c>
      <x:c r="G690" s="7" t="n">
        <x:v>45771</x:v>
      </x:c>
      <x:c r="H690" s="2" t="n">
        <x:v>16</x:v>
      </x:c>
      <x:c r="I690" s="8" t="n">
        <x:v>61</x:v>
      </x:c>
      <x:c r="J690" s="8" t="n">
        <x:v>0</x:v>
      </x:c>
      <x:c r="K690" s="8" t="n">
        <x:v>59</x:v>
      </x:c>
      <x:c r="L690" s="8" t="n">
        <x:v>417</x:v>
      </x:c>
      <x:c r="M690" s="8" t="n">
        <x:v>0</x:v>
      </x:c>
      <x:c r="N690" s="8" t="n">
        <x:v>0</x:v>
      </x:c>
      <x:c r="O690" s="8" t="n">
        <x:v>387</x:v>
      </x:c>
      <x:c r="P690" s="8" t="n">
        <x:v>0</x:v>
      </x:c>
      <x:c r="Q690" s="8" t="n">
        <x:v>0</x:v>
      </x:c>
      <x:c r="R690" s="8" t="n">
        <x:v>0</x:v>
      </x:c>
      <x:c r="S690" s="8" t="n">
        <x:f>L690-I690^2/H690</x:f>
        <x:v>184.4375</x:v>
      </x:c>
      <x:c r="T690" s="8" t="n">
        <x:f>M690-J690^2/H690</x:f>
        <x:v>0</x:v>
      </x:c>
      <x:c r="U690" s="8" t="n">
        <x:f>N690-I690*J690/H690</x:f>
        <x:v>0</x:v>
      </x:c>
      <x:c r="V690" s="8" t="n">
        <x:f>O690-I690*K690/H690</x:f>
        <x:v>162.0625</x:v>
      </x:c>
      <x:c r="W690" s="8" t="n">
        <x:f>P690-J690*K690/H690</x:f>
        <x:v>0</x:v>
      </x:c>
      <x:c r="X690" s="8" t="n">
        <x:f>V690/S690</x:f>
        <x:v>0.8786851914605218</x:v>
      </x:c>
      <x:c r="Y690" s="8" t="n">
        <x:f>0</x:f>
        <x:v>0</x:v>
      </x:c>
      <x:c r="Z690" s="8" t="n">
        <x:f>K690/H690-X690*I690/H690-Y690*J690/H690</x:f>
        <x:v>0.33751270755676055</x:v>
      </x:c>
      <x:c r="AA690" s="8" t="n">
        <x:f>Z690+X690*Q690+Y690*R690</x:f>
        <x:v>0.33751270755676055</x:v>
      </x:c>
    </x:row>
    <x:row r="691" ht="26" customHeight="1">
      <x:c r="A691" s="2"/>
      <x:c r="B691" s="2" t="n">
        <x:v>686</x:v>
      </x:c>
      <x:c r="C691" s="2" t="str">
        <x:v>Baby, Feminine &amp; Family Care / price_contribution</x:v>
      </x:c>
      <x:c r="D691" s="2" t="str">
        <x:v>Broad market</x:v>
      </x:c>
      <x:c r="E691" s="7" t="n">
        <x:v>45838</x:v>
      </x:c>
      <x:c r="F691" s="2" t="str">
        <x:v>Pre-earnings</x:v>
      </x:c>
      <x:c r="G691" s="7" t="n">
        <x:v>45866</x:v>
      </x:c>
      <x:c r="H691" s="2" t="n">
        <x:v>17</x:v>
      </x:c>
      <x:c r="I691" s="8" t="n">
        <x:v>45.946708318435746</x:v>
      </x:c>
      <x:c r="J691" s="8" t="n">
        <x:v>0</x:v>
      </x:c>
      <x:c r="K691" s="8" t="n">
        <x:v>61</x:v>
      </x:c>
      <x:c r="L691" s="8" t="n">
        <x:v>256.58330205194005</x:v>
      </x:c>
      <x:c r="M691" s="8" t="n">
        <x:v>0</x:v>
      </x:c>
      <x:c r="N691" s="8" t="n">
        <x:v>0</x:v>
      </x:c>
      <x:c r="O691" s="8" t="n">
        <x:v>305.32841461297573</x:v>
      </x:c>
      <x:c r="P691" s="8" t="n">
        <x:v>0</x:v>
      </x:c>
      <x:c r="Q691" s="8" t="n">
        <x:v>0.5057825004843641</x:v>
      </x:c>
      <x:c r="R691" s="8" t="n">
        <x:v>0</x:v>
      </x:c>
      <x:c r="S691" s="8" t="n">
        <x:f>L691-I691^2/H691</x:f>
        <x:v>132.40094879903342</x:v>
      </x:c>
      <x:c r="T691" s="8" t="n">
        <x:f>M691-J691^2/H691</x:f>
        <x:v>0</x:v>
      </x:c>
      <x:c r="U691" s="8" t="n">
        <x:f>N691-I691*J691/H691</x:f>
        <x:v>0</x:v>
      </x:c>
      <x:c r="V691" s="8" t="n">
        <x:f>O691-I691*K691/H691</x:f>
        <x:v>140.4608141762357</x:v>
      </x:c>
      <x:c r="W691" s="8" t="n">
        <x:f>P691-J691*K691/H691</x:f>
        <x:v>0</x:v>
      </x:c>
      <x:c r="X691" s="8" t="n">
        <x:f>V691/S691</x:f>
        <x:v>1.060874679904568</x:v>
      </x:c>
      <x:c r="Y691" s="8" t="n">
        <x:f>0</x:f>
        <x:v>0</x:v>
      </x:c>
      <x:c r="Z691" s="8" t="n">
        <x:f>K691/H691-X691*I691/H691-Y691*J691/H691</x:f>
        <x:v>0.7209588541182899</x:v>
      </x:c>
      <x:c r="AA691" s="8" t="n">
        <x:f>Z691+X691*Q691+Y691*R691</x:f>
        <x:v>1.2575307024209716</x:v>
      </x:c>
    </x:row>
    <x:row r="692" ht="26" customHeight="1">
      <x:c r="A692" s="2"/>
      <x:c r="B692" s="2" t="n">
        <x:v>687</x:v>
      </x:c>
      <x:c r="C692" s="2" t="str">
        <x:v>Baby, Feminine &amp; Family Care / price_contribution</x:v>
      </x:c>
      <x:c r="D692" s="2" t="str">
        <x:v>Broad lag 1</x:v>
      </x:c>
      <x:c r="E692" s="7" t="n">
        <x:v>45838</x:v>
      </x:c>
      <x:c r="F692" s="2" t="str">
        <x:v>Pre-earnings</x:v>
      </x:c>
      <x:c r="G692" s="7" t="n">
        <x:v>45866</x:v>
      </x:c>
      <x:c r="H692" s="2" t="n">
        <x:v>16</x:v>
      </x:c>
      <x:c r="I692" s="8" t="n">
        <x:v>45.710762120132856</x:v>
      </x:c>
      <x:c r="J692" s="8" t="n">
        <x:v>0</x:v>
      </x:c>
      <x:c r="K692" s="8" t="n">
        <x:v>59</x:v>
      </x:c>
      <x:c r="L692" s="8" t="n">
        <x:v>256.52763144344647</x:v>
      </x:c>
      <x:c r="M692" s="8" t="n">
        <x:v>0</x:v>
      </x:c>
      <x:c r="N692" s="8" t="n">
        <x:v>0</x:v>
      </x:c>
      <x:c r="O692" s="8" t="n">
        <x:v>274.0113366837812</x:v>
      </x:c>
      <x:c r="P692" s="8" t="n">
        <x:v>0</x:v>
      </x:c>
      <x:c r="Q692" s="8" t="n">
        <x:v>0.23594619830289432</x:v>
      </x:c>
      <x:c r="R692" s="8" t="n">
        <x:v>0</x:v>
      </x:c>
      <x:c r="S692" s="8" t="n">
        <x:f>L692-I692^2/H692</x:f>
        <x:v>125.93552059323568</x:v>
      </x:c>
      <x:c r="T692" s="8" t="n">
        <x:f>M692-J692^2/H692</x:f>
        <x:v>0</x:v>
      </x:c>
      <x:c r="U692" s="8" t="n">
        <x:f>N692-I692*J692/H692</x:f>
        <x:v>0</x:v>
      </x:c>
      <x:c r="V692" s="8" t="n">
        <x:f>O692-I692*K692/H692</x:f>
        <x:v>105.45290136579132</x:v>
      </x:c>
      <x:c r="W692" s="8" t="n">
        <x:f>P692-J692*K692/H692</x:f>
        <x:v>0</x:v>
      </x:c>
      <x:c r="X692" s="8" t="n">
        <x:f>V692/S692</x:f>
        <x:v>0.8373562984378171</x:v>
      </x:c>
      <x:c r="Y692" s="8" t="n">
        <x:f>0</x:f>
        <x:v>0</x:v>
      </x:c>
      <x:c r="Z692" s="8" t="n">
        <x:f>K692/H692-X692*I692/H692-Y692*J692/H692</x:f>
        <x:v>1.295237839519623</x:v>
      </x:c>
      <x:c r="AA692" s="8" t="n">
        <x:f>Z692+X692*Q692+Y692*R692</x:f>
        <x:v>1.4928088747610095</x:v>
      </x:c>
    </x:row>
    <x:row r="693" ht="26" customHeight="1">
      <x:c r="A693" s="2"/>
      <x:c r="B693" s="2" t="n">
        <x:v>688</x:v>
      </x:c>
      <x:c r="C693" s="2" t="str">
        <x:v>Baby, Feminine &amp; Family Care / price_contribution</x:v>
      </x:c>
      <x:c r="D693" s="2" t="str">
        <x:v>Broad rolling 8</x:v>
      </x:c>
      <x:c r="E693" s="7" t="n">
        <x:v>45838</x:v>
      </x:c>
      <x:c r="F693" s="2" t="str">
        <x:v>Pre-earnings</x:v>
      </x:c>
      <x:c r="G693" s="7" t="n">
        <x:v>45866</x:v>
      </x:c>
      <x:c r="H693" s="2" t="n">
        <x:v>8</x:v>
      </x:c>
      <x:c r="I693" s="8" t="n">
        <x:v>23.005916879315237</x:v>
      </x:c>
      <x:c r="J693" s="8" t="n">
        <x:v>0</x:v>
      </x:c>
      <x:c r="K693" s="8" t="n">
        <x:v>21</x:v>
      </x:c>
      <x:c r="L693" s="8" t="n">
        <x:v>114.01685107244576</x:v>
      </x:c>
      <x:c r="M693" s="8" t="n">
        <x:v>0</x:v>
      </x:c>
      <x:c r="N693" s="8" t="n">
        <x:v>0</x:v>
      </x:c>
      <x:c r="O693" s="8" t="n">
        <x:v>124.19597647471508</x:v>
      </x:c>
      <x:c r="P693" s="8" t="n">
        <x:v>0</x:v>
      </x:c>
      <x:c r="Q693" s="8" t="n">
        <x:v>0.5057825004843641</x:v>
      </x:c>
      <x:c r="R693" s="8" t="n">
        <x:v>0</x:v>
      </x:c>
      <x:c r="S693" s="8" t="n">
        <x:f>L693-I693^2/H693</x:f>
        <x:v>47.85782464020055</x:v>
      </x:c>
      <x:c r="T693" s="8" t="n">
        <x:f>M693-J693^2/H693</x:f>
        <x:v>0</x:v>
      </x:c>
      <x:c r="U693" s="8" t="n">
        <x:f>N693-I693*J693/H693</x:f>
        <x:v>0</x:v>
      </x:c>
      <x:c r="V693" s="8" t="n">
        <x:f>O693-I693*K693/H693</x:f>
        <x:v>63.805444666512585</x:v>
      </x:c>
      <x:c r="W693" s="8" t="n">
        <x:f>P693-J693*K693/H693</x:f>
        <x:v>0</x:v>
      </x:c>
      <x:c r="X693" s="8" t="n">
        <x:f>V693/S693</x:f>
        <x:v>1.3332291040432298</x:v>
      </x:c>
      <x:c r="Y693" s="8" t="n">
        <x:f>0</x:f>
        <x:v>0</x:v>
      </x:c>
      <x:c r="Z693" s="8" t="n">
        <x:f>K693/H693-X693*I693/H693-Y693*J693/H693</x:f>
        <x:v>-1.2090197435878087</x:v>
      </x:c>
      <x:c r="AA693" s="8" t="n">
        <x:f>Z693+X693*Q693+Y693*R693</x:f>
        <x:v>-0.5346957936262955</x:v>
      </x:c>
    </x:row>
    <x:row r="694" ht="26" customHeight="1">
      <x:c r="A694" s="2"/>
      <x:c r="B694" s="2" t="n">
        <x:v>689</x:v>
      </x:c>
      <x:c r="C694" s="2" t="str">
        <x:v>Baby, Feminine &amp; Family Care / price_contribution</x:v>
      </x:c>
      <x:c r="D694" s="2" t="str">
        <x:v>Own history</x:v>
      </x:c>
      <x:c r="E694" s="7" t="n">
        <x:v>45838</x:v>
      </x:c>
      <x:c r="F694" s="2" t="str">
        <x:v>Pre-earnings</x:v>
      </x:c>
      <x:c r="G694" s="7" t="n">
        <x:v>45866</x:v>
      </x:c>
      <x:c r="H694" s="2" t="n">
        <x:v>16</x:v>
      </x:c>
      <x:c r="I694" s="8" t="n">
        <x:v>61</x:v>
      </x:c>
      <x:c r="J694" s="8" t="n">
        <x:v>0</x:v>
      </x:c>
      <x:c r="K694" s="8" t="n">
        <x:v>59</x:v>
      </x:c>
      <x:c r="L694" s="8" t="n">
        <x:v>417</x:v>
      </x:c>
      <x:c r="M694" s="8" t="n">
        <x:v>0</x:v>
      </x:c>
      <x:c r="N694" s="8" t="n">
        <x:v>0</x:v>
      </x:c>
      <x:c r="O694" s="8" t="n">
        <x:v>387</x:v>
      </x:c>
      <x:c r="P694" s="8" t="n">
        <x:v>0</x:v>
      </x:c>
      <x:c r="Q694" s="8" t="n">
        <x:v>0</x:v>
      </x:c>
      <x:c r="R694" s="8" t="n">
        <x:v>0</x:v>
      </x:c>
      <x:c r="S694" s="8" t="n">
        <x:f>L694-I694^2/H694</x:f>
        <x:v>184.4375</x:v>
      </x:c>
      <x:c r="T694" s="8" t="n">
        <x:f>M694-J694^2/H694</x:f>
        <x:v>0</x:v>
      </x:c>
      <x:c r="U694" s="8" t="n">
        <x:f>N694-I694*J694/H694</x:f>
        <x:v>0</x:v>
      </x:c>
      <x:c r="V694" s="8" t="n">
        <x:f>O694-I694*K694/H694</x:f>
        <x:v>162.0625</x:v>
      </x:c>
      <x:c r="W694" s="8" t="n">
        <x:f>P694-J694*K694/H694</x:f>
        <x:v>0</x:v>
      </x:c>
      <x:c r="X694" s="8" t="n">
        <x:f>V694/S694</x:f>
        <x:v>0.8786851914605218</x:v>
      </x:c>
      <x:c r="Y694" s="8" t="n">
        <x:f>0</x:f>
        <x:v>0</x:v>
      </x:c>
      <x:c r="Z694" s="8" t="n">
        <x:f>K694/H694-X694*I694/H694-Y694*J694/H694</x:f>
        <x:v>0.33751270755676055</x:v>
      </x:c>
      <x:c r="AA694" s="8" t="n">
        <x:f>Z694+X694*Q694+Y694*R694</x:f>
        <x:v>0.33751270755676055</x:v>
      </x:c>
    </x:row>
    <x:row r="695" ht="26" customHeight="1">
      <x:c r="A695" s="2"/>
      <x:c r="B695" s="2" t="n">
        <x:v>690</x:v>
      </x:c>
      <x:c r="C695" s="2" t="str">
        <x:v>Baby, Feminine &amp; Family Care / price_contribution</x:v>
      </x:c>
      <x:c r="D695" s="2" t="str">
        <x:v>Broad market</x:v>
      </x:c>
      <x:c r="E695" s="7" t="n">
        <x:v>45930</x:v>
      </x:c>
      <x:c r="F695" s="2" t="str">
        <x:v>Origin</x:v>
      </x:c>
      <x:c r="G695" s="7" t="n">
        <x:v>45839</x:v>
      </x:c>
      <x:c r="H695" s="2" t="n">
        <x:v>17</x:v>
      </x:c>
      <x:c r="I695" s="8" t="n">
        <x:v>45.946708318435746</x:v>
      </x:c>
      <x:c r="J695" s="8" t="n">
        <x:v>0</x:v>
      </x:c>
      <x:c r="K695" s="8" t="n">
        <x:v>61</x:v>
      </x:c>
      <x:c r="L695" s="8" t="n">
        <x:v>256.58330205194005</x:v>
      </x:c>
      <x:c r="M695" s="8" t="n">
        <x:v>0</x:v>
      </x:c>
      <x:c r="N695" s="8" t="n">
        <x:v>0</x:v>
      </x:c>
      <x:c r="O695" s="8" t="n">
        <x:v>305.32841461297573</x:v>
      </x:c>
      <x:c r="P695" s="8" t="n">
        <x:v>0</x:v>
      </x:c>
      <x:c r="Q695" s="8" t="n">
        <x:v>0.2991645223175299</x:v>
      </x:c>
      <x:c r="R695" s="8" t="n">
        <x:v>0</x:v>
      </x:c>
      <x:c r="S695" s="8" t="n">
        <x:f>L695-I695^2/H695</x:f>
        <x:v>132.40094879903342</x:v>
      </x:c>
      <x:c r="T695" s="8" t="n">
        <x:f>M695-J695^2/H695</x:f>
        <x:v>0</x:v>
      </x:c>
      <x:c r="U695" s="8" t="n">
        <x:f>N695-I695*J695/H695</x:f>
        <x:v>0</x:v>
      </x:c>
      <x:c r="V695" s="8" t="n">
        <x:f>O695-I695*K695/H695</x:f>
        <x:v>140.4608141762357</x:v>
      </x:c>
      <x:c r="W695" s="8" t="n">
        <x:f>P695-J695*K695/H695</x:f>
        <x:v>0</x:v>
      </x:c>
      <x:c r="X695" s="8" t="n">
        <x:f>V695/S695</x:f>
        <x:v>1.060874679904568</x:v>
      </x:c>
      <x:c r="Y695" s="8" t="n">
        <x:f>0</x:f>
        <x:v>0</x:v>
      </x:c>
      <x:c r="Z695" s="8" t="n">
        <x:f>K695/H695-X695*I695/H695-Y695*J695/H695</x:f>
        <x:v>0.7209588541182899</x:v>
      </x:c>
      <x:c r="AA695" s="8" t="n">
        <x:f>Z695+X695*Q695+Y695*R695</x:f>
        <x:v>1.0383349209707025</x:v>
      </x:c>
    </x:row>
    <x:row r="696" ht="26" customHeight="1">
      <x:c r="A696" s="2"/>
      <x:c r="B696" s="2" t="n">
        <x:v>691</x:v>
      </x:c>
      <x:c r="C696" s="2" t="str">
        <x:v>Baby, Feminine &amp; Family Care / price_contribution</x:v>
      </x:c>
      <x:c r="D696" s="2" t="str">
        <x:v>Broad rolling 8</x:v>
      </x:c>
      <x:c r="E696" s="7" t="n">
        <x:v>45930</x:v>
      </x:c>
      <x:c r="F696" s="2" t="str">
        <x:v>Origin</x:v>
      </x:c>
      <x:c r="G696" s="7" t="n">
        <x:v>45839</x:v>
      </x:c>
      <x:c r="H696" s="2" t="n">
        <x:v>8</x:v>
      </x:c>
      <x:c r="I696" s="8" t="n">
        <x:v>23.005916879315237</x:v>
      </x:c>
      <x:c r="J696" s="8" t="n">
        <x:v>0</x:v>
      </x:c>
      <x:c r="K696" s="8" t="n">
        <x:v>21</x:v>
      </x:c>
      <x:c r="L696" s="8" t="n">
        <x:v>114.01685107244576</x:v>
      </x:c>
      <x:c r="M696" s="8" t="n">
        <x:v>0</x:v>
      </x:c>
      <x:c r="N696" s="8" t="n">
        <x:v>0</x:v>
      </x:c>
      <x:c r="O696" s="8" t="n">
        <x:v>124.19597647471508</x:v>
      </x:c>
      <x:c r="P696" s="8" t="n">
        <x:v>0</x:v>
      </x:c>
      <x:c r="Q696" s="8" t="n">
        <x:v>0.2991645223175299</x:v>
      </x:c>
      <x:c r="R696" s="8" t="n">
        <x:v>0</x:v>
      </x:c>
      <x:c r="S696" s="8" t="n">
        <x:f>L696-I696^2/H696</x:f>
        <x:v>47.85782464020055</x:v>
      </x:c>
      <x:c r="T696" s="8" t="n">
        <x:f>M696-J696^2/H696</x:f>
        <x:v>0</x:v>
      </x:c>
      <x:c r="U696" s="8" t="n">
        <x:f>N696-I696*J696/H696</x:f>
        <x:v>0</x:v>
      </x:c>
      <x:c r="V696" s="8" t="n">
        <x:f>O696-I696*K696/H696</x:f>
        <x:v>63.805444666512585</x:v>
      </x:c>
      <x:c r="W696" s="8" t="n">
        <x:f>P696-J696*K696/H696</x:f>
        <x:v>0</x:v>
      </x:c>
      <x:c r="X696" s="8" t="n">
        <x:f>V696/S696</x:f>
        <x:v>1.3332291040432298</x:v>
      </x:c>
      <x:c r="Y696" s="8" t="n">
        <x:f>0</x:f>
        <x:v>0</x:v>
      </x:c>
      <x:c r="Z696" s="8" t="n">
        <x:f>K696/H696-X696*I696/H696-Y696*J696/H696</x:f>
        <x:v>-1.2090197435878087</x:v>
      </x:c>
      <x:c r="AA696" s="8" t="n">
        <x:f>Z696+X696*Q696+Y696*R696</x:f>
        <x:v>-0.8101648955368875</x:v>
      </x:c>
    </x:row>
    <x:row r="697" ht="26" customHeight="1">
      <x:c r="A697" s="2"/>
      <x:c r="B697" s="2" t="n">
        <x:v>692</x:v>
      </x:c>
      <x:c r="C697" s="2" t="str">
        <x:v>Baby, Feminine &amp; Family Care / price_contribution</x:v>
      </x:c>
      <x:c r="D697" s="2" t="str">
        <x:v>Own history</x:v>
      </x:c>
      <x:c r="E697" s="7" t="n">
        <x:v>45930</x:v>
      </x:c>
      <x:c r="F697" s="2" t="str">
        <x:v>Origin</x:v>
      </x:c>
      <x:c r="G697" s="7" t="n">
        <x:v>45839</x:v>
      </x:c>
      <x:c r="H697" s="2" t="n">
        <x:v>15</x:v>
      </x:c>
      <x:c r="I697" s="8" t="n">
        <x:v>62</x:v>
      </x:c>
      <x:c r="J697" s="8" t="n">
        <x:v>0</x:v>
      </x:c>
      <x:c r="K697" s="8" t="n">
        <x:v>58</x:v>
      </x:c>
      <x:c r="L697" s="8" t="n">
        <x:v>416</x:v>
      </x:c>
      <x:c r="M697" s="8" t="n">
        <x:v>0</x:v>
      </x:c>
      <x:c r="N697" s="8" t="n">
        <x:v>0</x:v>
      </x:c>
      <x:c r="O697" s="8" t="n">
        <x:v>342</x:v>
      </x:c>
      <x:c r="P697" s="8" t="n">
        <x:v>0</x:v>
      </x:c>
      <x:c r="Q697" s="8" t="n">
        <x:v>0</x:v>
      </x:c>
      <x:c r="R697" s="8" t="n">
        <x:v>0</x:v>
      </x:c>
      <x:c r="S697" s="8" t="n">
        <x:f>L697-I697^2/H697</x:f>
        <x:v>159.73333333333335</x:v>
      </x:c>
      <x:c r="T697" s="8" t="n">
        <x:f>M697-J697^2/H697</x:f>
        <x:v>0</x:v>
      </x:c>
      <x:c r="U697" s="8" t="n">
        <x:f>N697-I697*J697/H697</x:f>
        <x:v>0</x:v>
      </x:c>
      <x:c r="V697" s="8" t="n">
        <x:f>O697-I697*K697/H697</x:f>
        <x:v>102.26666666666668</x:v>
      </x:c>
      <x:c r="W697" s="8" t="n">
        <x:f>P697-J697*K697/H697</x:f>
        <x:v>0</x:v>
      </x:c>
      <x:c r="X697" s="8" t="n">
        <x:f>V697/S697</x:f>
        <x:v>0.6402337228714524</x:v>
      </x:c>
      <x:c r="Y697" s="8" t="n">
        <x:f>0</x:f>
        <x:v>0</x:v>
      </x:c>
      <x:c r="Z697" s="8" t="n">
        <x:f>K697/H697-X697*I697/H697-Y697*J697/H697</x:f>
        <x:v>1.2203672787979967</x:v>
      </x:c>
      <x:c r="AA697" s="8" t="n">
        <x:f>Z697+X697*Q697+Y697*R697</x:f>
        <x:v>1.2203672787979967</x:v>
      </x:c>
    </x:row>
    <x:row r="698" ht="26" customHeight="1">
      <x:c r="A698" s="2"/>
      <x:c r="B698" s="2" t="n">
        <x:v>693</x:v>
      </x:c>
      <x:c r="C698" s="2" t="str">
        <x:v>Baby, Feminine &amp; Family Care / price_contribution</x:v>
      </x:c>
      <x:c r="D698" s="2" t="str">
        <x:v>Broad market</x:v>
      </x:c>
      <x:c r="E698" s="7" t="n">
        <x:v>45930</x:v>
      </x:c>
      <x:c r="F698" s="2" t="str">
        <x:v>Prior report</x:v>
      </x:c>
      <x:c r="G698" s="7" t="n">
        <x:v>45867</x:v>
      </x:c>
      <x:c r="H698" s="2" t="n">
        <x:v>18</x:v>
      </x:c>
      <x:c r="I698" s="8" t="n">
        <x:v>46.45249081892011</x:v>
      </x:c>
      <x:c r="J698" s="8" t="n">
        <x:v>0</x:v>
      </x:c>
      <x:c r="K698" s="8" t="n">
        <x:v>62</x:v>
      </x:c>
      <x:c r="L698" s="8" t="n">
        <x:v>256.8391179897363</x:v>
      </x:c>
      <x:c r="M698" s="8" t="n">
        <x:v>0</x:v>
      </x:c>
      <x:c r="N698" s="8" t="n">
        <x:v>0</x:v>
      </x:c>
      <x:c r="O698" s="8" t="n">
        <x:v>305.8341971134601</x:v>
      </x:c>
      <x:c r="P698" s="8" t="n">
        <x:v>0</x:v>
      </x:c>
      <x:c r="Q698" s="8" t="n">
        <x:v>0.5059057213634421</x:v>
      </x:c>
      <x:c r="R698" s="8" t="n">
        <x:v>0</x:v>
      </x:c>
      <x:c r="S698" s="8" t="n">
        <x:f>L698-I698^2/H698</x:f>
        <x:v>136.95945669629975</x:v>
      </x:c>
      <x:c r="T698" s="8" t="n">
        <x:f>M698-J698^2/H698</x:f>
        <x:v>0</x:v>
      </x:c>
      <x:c r="U698" s="8" t="n">
        <x:f>N698-I698*J698/H698</x:f>
        <x:v>0</x:v>
      </x:c>
      <x:c r="V698" s="8" t="n">
        <x:f>O698-I698*K698/H698</x:f>
        <x:v>145.83117318162417</x:v>
      </x:c>
      <x:c r="W698" s="8" t="n">
        <x:f>P698-J698*K698/H698</x:f>
        <x:v>0</x:v>
      </x:c>
      <x:c r="X698" s="8" t="n">
        <x:f>V698/S698</x:f>
        <x:v>1.0647762242880165</x:v>
      </x:c>
      <x:c r="Y698" s="8" t="n">
        <x:f>0</x:f>
        <x:v>0</x:v>
      </x:c>
      <x:c r="Z698" s="8" t="n">
        <x:f>K698/H698-X698*I698/H698-Y698*J698/H698</x:f>
        <x:v>0.696582900947583</x:v>
      </x:c>
      <x:c r="AA698" s="8" t="n">
        <x:f>Z698+X698*Q698+Y698*R698</x:f>
        <x:v>1.2352592847866544</x:v>
      </x:c>
    </x:row>
    <x:row r="699" ht="26" customHeight="1">
      <x:c r="A699" s="2"/>
      <x:c r="B699" s="2" t="n">
        <x:v>694</x:v>
      </x:c>
      <x:c r="C699" s="2" t="str">
        <x:v>Baby, Feminine &amp; Family Care / price_contribution</x:v>
      </x:c>
      <x:c r="D699" s="2" t="str">
        <x:v>Broad lag 1</x:v>
      </x:c>
      <x:c r="E699" s="7" t="n">
        <x:v>45930</x:v>
      </x:c>
      <x:c r="F699" s="2" t="str">
        <x:v>Prior report</x:v>
      </x:c>
      <x:c r="G699" s="7" t="n">
        <x:v>45867</x:v>
      </x:c>
      <x:c r="H699" s="2" t="n">
        <x:v>17</x:v>
      </x:c>
      <x:c r="I699" s="8" t="n">
        <x:v>45.946708318435746</x:v>
      </x:c>
      <x:c r="J699" s="8" t="n">
        <x:v>0</x:v>
      </x:c>
      <x:c r="K699" s="8" t="n">
        <x:v>60</x:v>
      </x:c>
      <x:c r="L699" s="8" t="n">
        <x:v>256.58330205194005</x:v>
      </x:c>
      <x:c r="M699" s="8" t="n">
        <x:v>0</x:v>
      </x:c>
      <x:c r="N699" s="8" t="n">
        <x:v>0</x:v>
      </x:c>
      <x:c r="O699" s="8" t="n">
        <x:v>274.2472828820841</x:v>
      </x:c>
      <x:c r="P699" s="8" t="n">
        <x:v>0</x:v>
      </x:c>
      <x:c r="Q699" s="8" t="n">
        <x:v>0.5057825004843641</x:v>
      </x:c>
      <x:c r="R699" s="8" t="n">
        <x:v>0</x:v>
      </x:c>
      <x:c r="S699" s="8" t="n">
        <x:f>L699-I699^2/H699</x:f>
        <x:v>132.40094879903342</x:v>
      </x:c>
      <x:c r="T699" s="8" t="n">
        <x:f>M699-J699^2/H699</x:f>
        <x:v>0</x:v>
      </x:c>
      <x:c r="U699" s="8" t="n">
        <x:f>N699-I699*J699/H699</x:f>
        <x:v>0</x:v>
      </x:c>
      <x:c r="V699" s="8" t="n">
        <x:f>O699-I699*K699/H699</x:f>
        <x:v>112.08242999348735</x:v>
      </x:c>
      <x:c r="W699" s="8" t="n">
        <x:f>P699-J699*K699/H699</x:f>
        <x:v>0</x:v>
      </x:c>
      <x:c r="X699" s="8" t="n">
        <x:f>V699/S699</x:f>
        <x:v>0.8465379667604437</x:v>
      </x:c>
      <x:c r="Y699" s="8" t="n">
        <x:f>0</x:f>
        <x:v>0</x:v>
      </x:c>
      <x:c r="Z699" s="8" t="n">
        <x:f>K699/H699-X699*I699/H699-Y699*J699/H699</x:f>
        <x:v>1.2414333506338964</x:v>
      </x:c>
      <x:c r="AA699" s="8" t="n">
        <x:f>Z699+X699*Q699+Y699*R699</x:f>
        <x:v>1.6695974402169431</x:v>
      </x:c>
    </x:row>
    <x:row r="700" ht="26" customHeight="1">
      <x:c r="A700" s="2"/>
      <x:c r="B700" s="2" t="n">
        <x:v>695</x:v>
      </x:c>
      <x:c r="C700" s="2" t="str">
        <x:v>Baby, Feminine &amp; Family Care / price_contribution</x:v>
      </x:c>
      <x:c r="D700" s="2" t="str">
        <x:v>Broad rolling 8</x:v>
      </x:c>
      <x:c r="E700" s="7" t="n">
        <x:v>45930</x:v>
      </x:c>
      <x:c r="F700" s="2" t="str">
        <x:v>Prior report</x:v>
      </x:c>
      <x:c r="G700" s="7" t="n">
        <x:v>45867</x:v>
      </x:c>
      <x:c r="H700" s="2" t="n">
        <x:v>8</x:v>
      </x:c>
      <x:c r="I700" s="8" t="n">
        <x:v>16.45347214762054</x:v>
      </x:c>
      <x:c r="J700" s="8" t="n">
        <x:v>0</x:v>
      </x:c>
      <x:c r="K700" s="8" t="n">
        <x:v>14</x:v>
      </x:c>
      <x:c r="L700" s="8" t="n">
        <x:v>64.45409534916791</x:v>
      </x:c>
      <x:c r="M700" s="8" t="n">
        <x:v>0</x:v>
      </x:c>
      <x:c r="N700" s="8" t="n">
        <x:v>0</x:v>
      </x:c>
      <x:c r="O700" s="8" t="n">
        <x:v>68.23594111776697</x:v>
      </x:c>
      <x:c r="P700" s="8" t="n">
        <x:v>0</x:v>
      </x:c>
      <x:c r="Q700" s="8" t="n">
        <x:v>0.5059057213634421</x:v>
      </x:c>
      <x:c r="R700" s="8" t="n">
        <x:v>0</x:v>
      </x:c>
      <x:c r="S700" s="8" t="n">
        <x:f>L700-I700^2/H700</x:f>
        <x:v>30.6145021351023</x:v>
      </x:c>
      <x:c r="T700" s="8" t="n">
        <x:f>M700-J700^2/H700</x:f>
        <x:v>0</x:v>
      </x:c>
      <x:c r="U700" s="8" t="n">
        <x:f>N700-I700*J700/H700</x:f>
        <x:v>0</x:v>
      </x:c>
      <x:c r="V700" s="8" t="n">
        <x:f>O700-I700*K700/H700</x:f>
        <x:v>39.442364859431024</x:v>
      </x:c>
      <x:c r="W700" s="8" t="n">
        <x:f>P700-J700*K700/H700</x:f>
        <x:v>0</x:v>
      </x:c>
      <x:c r="X700" s="8" t="n">
        <x:f>V700/S700</x:f>
        <x:v>1.288355586688009</x:v>
      </x:c>
      <x:c r="Y700" s="8" t="n">
        <x:f>0</x:f>
        <x:v>0</x:v>
      </x:c>
      <x:c r="Z700" s="8" t="n">
        <x:f>K700/H700-X700*I700/H700-Y700*J700/H700</x:f>
        <x:v>-0.8997403452253097</x:v>
      </x:c>
      <x:c r="AA700" s="8" t="n">
        <x:f>Z700+X700*Q700+Y700*R700</x:f>
        <x:v>-0.24795388276929176</x:v>
      </x:c>
    </x:row>
    <x:row r="701" ht="26" customHeight="1">
      <x:c r="A701" s="2"/>
      <x:c r="B701" s="2" t="n">
        <x:v>696</x:v>
      </x:c>
      <x:c r="C701" s="2" t="str">
        <x:v>Baby, Feminine &amp; Family Care / price_contribution</x:v>
      </x:c>
      <x:c r="D701" s="2" t="str">
        <x:v>Own history</x:v>
      </x:c>
      <x:c r="E701" s="7" t="n">
        <x:v>45930</x:v>
      </x:c>
      <x:c r="F701" s="2" t="str">
        <x:v>Prior report</x:v>
      </x:c>
      <x:c r="G701" s="7" t="n">
        <x:v>45867</x:v>
      </x:c>
      <x:c r="H701" s="2" t="n">
        <x:v>17</x:v>
      </x:c>
      <x:c r="I701" s="8" t="n">
        <x:v>61</x:v>
      </x:c>
      <x:c r="J701" s="8" t="n">
        <x:v>0</x:v>
      </x:c>
      <x:c r="K701" s="8" t="n">
        <x:v>60</x:v>
      </x:c>
      <x:c r="L701" s="8" t="n">
        <x:v>417</x:v>
      </x:c>
      <x:c r="M701" s="8" t="n">
        <x:v>0</x:v>
      </x:c>
      <x:c r="N701" s="8" t="n">
        <x:v>0</x:v>
      </x:c>
      <x:c r="O701" s="8" t="n">
        <x:v>387</x:v>
      </x:c>
      <x:c r="P701" s="8" t="n">
        <x:v>0</x:v>
      </x:c>
      <x:c r="Q701" s="8" t="n">
        <x:v>1</x:v>
      </x:c>
      <x:c r="R701" s="8" t="n">
        <x:v>0</x:v>
      </x:c>
      <x:c r="S701" s="8" t="n">
        <x:f>L701-I701^2/H701</x:f>
        <x:v>198.11764705882354</x:v>
      </x:c>
      <x:c r="T701" s="8" t="n">
        <x:f>M701-J701^2/H701</x:f>
        <x:v>0</x:v>
      </x:c>
      <x:c r="U701" s="8" t="n">
        <x:f>N701-I701*J701/H701</x:f>
        <x:v>0</x:v>
      </x:c>
      <x:c r="V701" s="8" t="n">
        <x:f>O701-I701*K701/H701</x:f>
        <x:v>171.7058823529412</x:v>
      </x:c>
      <x:c r="W701" s="8" t="n">
        <x:f>P701-J701*K701/H701</x:f>
        <x:v>0</x:v>
      </x:c>
      <x:c r="X701" s="8" t="n">
        <x:f>V701/S701</x:f>
        <x:v>0.866686460807601</x:v>
      </x:c>
      <x:c r="Y701" s="8" t="n">
        <x:f>0</x:f>
        <x:v>0</x:v>
      </x:c>
      <x:c r="Z701" s="8" t="n">
        <x:f>K701/H701-X701*I701/H701-Y701*J701/H701</x:f>
        <x:v>0.4195368171021374</x:v>
      </x:c>
      <x:c r="AA701" s="8" t="n">
        <x:f>Z701+X701*Q701+Y701*R701</x:f>
        <x:v>1.2862232779097384</x:v>
      </x:c>
    </x:row>
    <x:row r="702" ht="26" customHeight="1">
      <x:c r="A702" s="2"/>
      <x:c r="B702" s="2" t="n">
        <x:v>697</x:v>
      </x:c>
      <x:c r="C702" s="2" t="str">
        <x:v>Baby, Feminine &amp; Family Care / price_contribution</x:v>
      </x:c>
      <x:c r="D702" s="2" t="str">
        <x:v>Broad market</x:v>
      </x:c>
      <x:c r="E702" s="7" t="n">
        <x:v>45930</x:v>
      </x:c>
      <x:c r="F702" s="2" t="str">
        <x:v>Pre-earnings</x:v>
      </x:c>
      <x:c r="G702" s="7" t="n">
        <x:v>45953</x:v>
      </x:c>
      <x:c r="H702" s="2" t="n">
        <x:v>18</x:v>
      </x:c>
      <x:c r="I702" s="8" t="n">
        <x:v>46.45249081892011</x:v>
      </x:c>
      <x:c r="J702" s="8" t="n">
        <x:v>0</x:v>
      </x:c>
      <x:c r="K702" s="8" t="n">
        <x:v>62</x:v>
      </x:c>
      <x:c r="L702" s="8" t="n">
        <x:v>256.8391179897363</x:v>
      </x:c>
      <x:c r="M702" s="8" t="n">
        <x:v>0</x:v>
      </x:c>
      <x:c r="N702" s="8" t="n">
        <x:v>0</x:v>
      </x:c>
      <x:c r="O702" s="8" t="n">
        <x:v>305.8341971134601</x:v>
      </x:c>
      <x:c r="P702" s="8" t="n">
        <x:v>0</x:v>
      </x:c>
      <x:c r="Q702" s="8" t="n">
        <x:v>0.7549675714320525</x:v>
      </x:c>
      <x:c r="R702" s="8" t="n">
        <x:v>0</x:v>
      </x:c>
      <x:c r="S702" s="8" t="n">
        <x:f>L702-I702^2/H702</x:f>
        <x:v>136.95945669629975</x:v>
      </x:c>
      <x:c r="T702" s="8" t="n">
        <x:f>M702-J702^2/H702</x:f>
        <x:v>0</x:v>
      </x:c>
      <x:c r="U702" s="8" t="n">
        <x:f>N702-I702*J702/H702</x:f>
        <x:v>0</x:v>
      </x:c>
      <x:c r="V702" s="8" t="n">
        <x:f>O702-I702*K702/H702</x:f>
        <x:v>145.83117318162417</x:v>
      </x:c>
      <x:c r="W702" s="8" t="n">
        <x:f>P702-J702*K702/H702</x:f>
        <x:v>0</x:v>
      </x:c>
      <x:c r="X702" s="8" t="n">
        <x:f>V702/S702</x:f>
        <x:v>1.0647762242880165</x:v>
      </x:c>
      <x:c r="Y702" s="8" t="n">
        <x:f>0</x:f>
        <x:v>0</x:v>
      </x:c>
      <x:c r="Z702" s="8" t="n">
        <x:f>K702/H702-X702*I702/H702-Y702*J702/H702</x:f>
        <x:v>0.696582900947583</x:v>
      </x:c>
      <x:c r="AA702" s="8" t="n">
        <x:f>Z702+X702*Q702+Y702*R702</x:f>
        <x:v>1.5004544211168973</x:v>
      </x:c>
    </x:row>
    <x:row r="703" ht="26" customHeight="1">
      <x:c r="A703" s="2"/>
      <x:c r="B703" s="2" t="n">
        <x:v>698</x:v>
      </x:c>
      <x:c r="C703" s="2" t="str">
        <x:v>Baby, Feminine &amp; Family Care / price_contribution</x:v>
      </x:c>
      <x:c r="D703" s="2" t="str">
        <x:v>Broad lag 1</x:v>
      </x:c>
      <x:c r="E703" s="7" t="n">
        <x:v>45930</x:v>
      </x:c>
      <x:c r="F703" s="2" t="str">
        <x:v>Pre-earnings</x:v>
      </x:c>
      <x:c r="G703" s="7" t="n">
        <x:v>45953</x:v>
      </x:c>
      <x:c r="H703" s="2" t="n">
        <x:v>17</x:v>
      </x:c>
      <x:c r="I703" s="8" t="n">
        <x:v>45.946708318435746</x:v>
      </x:c>
      <x:c r="J703" s="8" t="n">
        <x:v>0</x:v>
      </x:c>
      <x:c r="K703" s="8" t="n">
        <x:v>60</x:v>
      </x:c>
      <x:c r="L703" s="8" t="n">
        <x:v>256.58330205194005</x:v>
      </x:c>
      <x:c r="M703" s="8" t="n">
        <x:v>0</x:v>
      </x:c>
      <x:c r="N703" s="8" t="n">
        <x:v>0</x:v>
      </x:c>
      <x:c r="O703" s="8" t="n">
        <x:v>274.2472828820841</x:v>
      </x:c>
      <x:c r="P703" s="8" t="n">
        <x:v>0</x:v>
      </x:c>
      <x:c r="Q703" s="8" t="n">
        <x:v>0.5057825004843641</x:v>
      </x:c>
      <x:c r="R703" s="8" t="n">
        <x:v>0</x:v>
      </x:c>
      <x:c r="S703" s="8" t="n">
        <x:f>L703-I703^2/H703</x:f>
        <x:v>132.40094879903342</x:v>
      </x:c>
      <x:c r="T703" s="8" t="n">
        <x:f>M703-J703^2/H703</x:f>
        <x:v>0</x:v>
      </x:c>
      <x:c r="U703" s="8" t="n">
        <x:f>N703-I703*J703/H703</x:f>
        <x:v>0</x:v>
      </x:c>
      <x:c r="V703" s="8" t="n">
        <x:f>O703-I703*K703/H703</x:f>
        <x:v>112.08242999348735</x:v>
      </x:c>
      <x:c r="W703" s="8" t="n">
        <x:f>P703-J703*K703/H703</x:f>
        <x:v>0</x:v>
      </x:c>
      <x:c r="X703" s="8" t="n">
        <x:f>V703/S703</x:f>
        <x:v>0.8465379667604437</x:v>
      </x:c>
      <x:c r="Y703" s="8" t="n">
        <x:f>0</x:f>
        <x:v>0</x:v>
      </x:c>
      <x:c r="Z703" s="8" t="n">
        <x:f>K703/H703-X703*I703/H703-Y703*J703/H703</x:f>
        <x:v>1.2414333506338964</x:v>
      </x:c>
      <x:c r="AA703" s="8" t="n">
        <x:f>Z703+X703*Q703+Y703*R703</x:f>
        <x:v>1.6695974402169431</x:v>
      </x:c>
    </x:row>
    <x:row r="704" ht="26" customHeight="1">
      <x:c r="A704" s="2"/>
      <x:c r="B704" s="2" t="n">
        <x:v>699</x:v>
      </x:c>
      <x:c r="C704" s="2" t="str">
        <x:v>Baby, Feminine &amp; Family Care / price_contribution</x:v>
      </x:c>
      <x:c r="D704" s="2" t="str">
        <x:v>Broad rolling 8</x:v>
      </x:c>
      <x:c r="E704" s="7" t="n">
        <x:v>45930</x:v>
      </x:c>
      <x:c r="F704" s="2" t="str">
        <x:v>Pre-earnings</x:v>
      </x:c>
      <x:c r="G704" s="7" t="n">
        <x:v>45953</x:v>
      </x:c>
      <x:c r="H704" s="2" t="n">
        <x:v>8</x:v>
      </x:c>
      <x:c r="I704" s="8" t="n">
        <x:v>16.45347214762054</x:v>
      </x:c>
      <x:c r="J704" s="8" t="n">
        <x:v>0</x:v>
      </x:c>
      <x:c r="K704" s="8" t="n">
        <x:v>14</x:v>
      </x:c>
      <x:c r="L704" s="8" t="n">
        <x:v>64.45409534916791</x:v>
      </x:c>
      <x:c r="M704" s="8" t="n">
        <x:v>0</x:v>
      </x:c>
      <x:c r="N704" s="8" t="n">
        <x:v>0</x:v>
      </x:c>
      <x:c r="O704" s="8" t="n">
        <x:v>68.23594111776697</x:v>
      </x:c>
      <x:c r="P704" s="8" t="n">
        <x:v>0</x:v>
      </x:c>
      <x:c r="Q704" s="8" t="n">
        <x:v>0.7549675714320525</x:v>
      </x:c>
      <x:c r="R704" s="8" t="n">
        <x:v>0</x:v>
      </x:c>
      <x:c r="S704" s="8" t="n">
        <x:f>L704-I704^2/H704</x:f>
        <x:v>30.6145021351023</x:v>
      </x:c>
      <x:c r="T704" s="8" t="n">
        <x:f>M704-J704^2/H704</x:f>
        <x:v>0</x:v>
      </x:c>
      <x:c r="U704" s="8" t="n">
        <x:f>N704-I704*J704/H704</x:f>
        <x:v>0</x:v>
      </x:c>
      <x:c r="V704" s="8" t="n">
        <x:f>O704-I704*K704/H704</x:f>
        <x:v>39.442364859431024</x:v>
      </x:c>
      <x:c r="W704" s="8" t="n">
        <x:f>P704-J704*K704/H704</x:f>
        <x:v>0</x:v>
      </x:c>
      <x:c r="X704" s="8" t="n">
        <x:f>V704/S704</x:f>
        <x:v>1.288355586688009</x:v>
      </x:c>
      <x:c r="Y704" s="8" t="n">
        <x:f>0</x:f>
        <x:v>0</x:v>
      </x:c>
      <x:c r="Z704" s="8" t="n">
        <x:f>K704/H704-X704*I704/H704-Y704*J704/H704</x:f>
        <x:v>-0.8997403452253097</x:v>
      </x:c>
      <x:c r="AA704" s="8" t="n">
        <x:f>Z704+X704*Q704+Y704*R704</x:f>
        <x:v>0.07292634319745372</x:v>
      </x:c>
    </x:row>
    <x:row r="705" ht="26" customHeight="1">
      <x:c r="A705" s="2"/>
      <x:c r="B705" s="2" t="n">
        <x:v>700</x:v>
      </x:c>
      <x:c r="C705" s="2" t="str">
        <x:v>Baby, Feminine &amp; Family Care / price_contribution</x:v>
      </x:c>
      <x:c r="D705" s="2" t="str">
        <x:v>Own history</x:v>
      </x:c>
      <x:c r="E705" s="7" t="n">
        <x:v>45930</x:v>
      </x:c>
      <x:c r="F705" s="2" t="str">
        <x:v>Pre-earnings</x:v>
      </x:c>
      <x:c r="G705" s="7" t="n">
        <x:v>45953</x:v>
      </x:c>
      <x:c r="H705" s="2" t="n">
        <x:v>17</x:v>
      </x:c>
      <x:c r="I705" s="8" t="n">
        <x:v>61</x:v>
      </x:c>
      <x:c r="J705" s="8" t="n">
        <x:v>0</x:v>
      </x:c>
      <x:c r="K705" s="8" t="n">
        <x:v>60</x:v>
      </x:c>
      <x:c r="L705" s="8" t="n">
        <x:v>417</x:v>
      </x:c>
      <x:c r="M705" s="8" t="n">
        <x:v>0</x:v>
      </x:c>
      <x:c r="N705" s="8" t="n">
        <x:v>0</x:v>
      </x:c>
      <x:c r="O705" s="8" t="n">
        <x:v>387</x:v>
      </x:c>
      <x:c r="P705" s="8" t="n">
        <x:v>0</x:v>
      </x:c>
      <x:c r="Q705" s="8" t="n">
        <x:v>1</x:v>
      </x:c>
      <x:c r="R705" s="8" t="n">
        <x:v>0</x:v>
      </x:c>
      <x:c r="S705" s="8" t="n">
        <x:f>L705-I705^2/H705</x:f>
        <x:v>198.11764705882354</x:v>
      </x:c>
      <x:c r="T705" s="8" t="n">
        <x:f>M705-J705^2/H705</x:f>
        <x:v>0</x:v>
      </x:c>
      <x:c r="U705" s="8" t="n">
        <x:f>N705-I705*J705/H705</x:f>
        <x:v>0</x:v>
      </x:c>
      <x:c r="V705" s="8" t="n">
        <x:f>O705-I705*K705/H705</x:f>
        <x:v>171.7058823529412</x:v>
      </x:c>
      <x:c r="W705" s="8" t="n">
        <x:f>P705-J705*K705/H705</x:f>
        <x:v>0</x:v>
      </x:c>
      <x:c r="X705" s="8" t="n">
        <x:f>V705/S705</x:f>
        <x:v>0.866686460807601</x:v>
      </x:c>
      <x:c r="Y705" s="8" t="n">
        <x:f>0</x:f>
        <x:v>0</x:v>
      </x:c>
      <x:c r="Z705" s="8" t="n">
        <x:f>K705/H705-X705*I705/H705-Y705*J705/H705</x:f>
        <x:v>0.4195368171021374</x:v>
      </x:c>
      <x:c r="AA705" s="8" t="n">
        <x:f>Z705+X705*Q705+Y705*R705</x:f>
        <x:v>1.2862232779097384</x:v>
      </x:c>
    </x:row>
    <x:row r="706" ht="26" customHeight="1">
      <x:c r="A706" s="2"/>
      <x:c r="B706" s="2" t="n">
        <x:v>701</x:v>
      </x:c>
      <x:c r="C706" s="2" t="str">
        <x:v>Baby, Feminine &amp; Family Care / price_contribution</x:v>
      </x:c>
      <x:c r="D706" s="2" t="str">
        <x:v>Broad market</x:v>
      </x:c>
      <x:c r="E706" s="7" t="n">
        <x:v>46022</x:v>
      </x:c>
      <x:c r="F706" s="2" t="str">
        <x:v>Origin</x:v>
      </x:c>
      <x:c r="G706" s="7" t="n">
        <x:v>45931</x:v>
      </x:c>
      <x:c r="H706" s="2" t="n">
        <x:v>18</x:v>
      </x:c>
      <x:c r="I706" s="8" t="n">
        <x:v>46.45249081892011</x:v>
      </x:c>
      <x:c r="J706" s="8" t="n">
        <x:v>0</x:v>
      </x:c>
      <x:c r="K706" s="8" t="n">
        <x:v>62</x:v>
      </x:c>
      <x:c r="L706" s="8" t="n">
        <x:v>256.8391179897363</x:v>
      </x:c>
      <x:c r="M706" s="8" t="n">
        <x:v>0</x:v>
      </x:c>
      <x:c r="N706" s="8" t="n">
        <x:v>0</x:v>
      </x:c>
      <x:c r="O706" s="8" t="n">
        <x:v>305.8341971134601</x:v>
      </x:c>
      <x:c r="P706" s="8" t="n">
        <x:v>0</x:v>
      </x:c>
      <x:c r="Q706" s="8" t="n">
        <x:v>0.7271943192673103</x:v>
      </x:c>
      <x:c r="R706" s="8" t="n">
        <x:v>0</x:v>
      </x:c>
      <x:c r="S706" s="8" t="n">
        <x:f>L706-I706^2/H706</x:f>
        <x:v>136.95945669629975</x:v>
      </x:c>
      <x:c r="T706" s="8" t="n">
        <x:f>M706-J706^2/H706</x:f>
        <x:v>0</x:v>
      </x:c>
      <x:c r="U706" s="8" t="n">
        <x:f>N706-I706*J706/H706</x:f>
        <x:v>0</x:v>
      </x:c>
      <x:c r="V706" s="8" t="n">
        <x:f>O706-I706*K706/H706</x:f>
        <x:v>145.83117318162417</x:v>
      </x:c>
      <x:c r="W706" s="8" t="n">
        <x:f>P706-J706*K706/H706</x:f>
        <x:v>0</x:v>
      </x:c>
      <x:c r="X706" s="8" t="n">
        <x:f>V706/S706</x:f>
        <x:v>1.0647762242880165</x:v>
      </x:c>
      <x:c r="Y706" s="8" t="n">
        <x:f>0</x:f>
        <x:v>0</x:v>
      </x:c>
      <x:c r="Z706" s="8" t="n">
        <x:f>K706/H706-X706*I706/H706-Y706*J706/H706</x:f>
        <x:v>0.696582900947583</x:v>
      </x:c>
      <x:c r="AA706" s="8" t="n">
        <x:f>Z706+X706*Q706+Y706*R706</x:f>
        <x:v>1.470882122540724</x:v>
      </x:c>
    </x:row>
    <x:row r="707" ht="26" customHeight="1">
      <x:c r="A707" s="2"/>
      <x:c r="B707" s="2" t="n">
        <x:v>702</x:v>
      </x:c>
      <x:c r="C707" s="2" t="str">
        <x:v>Baby, Feminine &amp; Family Care / price_contribution</x:v>
      </x:c>
      <x:c r="D707" s="2" t="str">
        <x:v>Broad rolling 8</x:v>
      </x:c>
      <x:c r="E707" s="7" t="n">
        <x:v>46022</x:v>
      </x:c>
      <x:c r="F707" s="2" t="str">
        <x:v>Origin</x:v>
      </x:c>
      <x:c r="G707" s="7" t="n">
        <x:v>45931</x:v>
      </x:c>
      <x:c r="H707" s="2" t="n">
        <x:v>8</x:v>
      </x:c>
      <x:c r="I707" s="8" t="n">
        <x:v>16.45347214762054</x:v>
      </x:c>
      <x:c r="J707" s="8" t="n">
        <x:v>0</x:v>
      </x:c>
      <x:c r="K707" s="8" t="n">
        <x:v>14</x:v>
      </x:c>
      <x:c r="L707" s="8" t="n">
        <x:v>64.45409534916791</x:v>
      </x:c>
      <x:c r="M707" s="8" t="n">
        <x:v>0</x:v>
      </x:c>
      <x:c r="N707" s="8" t="n">
        <x:v>0</x:v>
      </x:c>
      <x:c r="O707" s="8" t="n">
        <x:v>68.23594111776697</x:v>
      </x:c>
      <x:c r="P707" s="8" t="n">
        <x:v>0</x:v>
      </x:c>
      <x:c r="Q707" s="8" t="n">
        <x:v>0.7271943192673103</x:v>
      </x:c>
      <x:c r="R707" s="8" t="n">
        <x:v>0</x:v>
      </x:c>
      <x:c r="S707" s="8" t="n">
        <x:f>L707-I707^2/H707</x:f>
        <x:v>30.6145021351023</x:v>
      </x:c>
      <x:c r="T707" s="8" t="n">
        <x:f>M707-J707^2/H707</x:f>
        <x:v>0</x:v>
      </x:c>
      <x:c r="U707" s="8" t="n">
        <x:f>N707-I707*J707/H707</x:f>
        <x:v>0</x:v>
      </x:c>
      <x:c r="V707" s="8" t="n">
        <x:f>O707-I707*K707/H707</x:f>
        <x:v>39.442364859431024</x:v>
      </x:c>
      <x:c r="W707" s="8" t="n">
        <x:f>P707-J707*K707/H707</x:f>
        <x:v>0</x:v>
      </x:c>
      <x:c r="X707" s="8" t="n">
        <x:f>V707/S707</x:f>
        <x:v>1.288355586688009</x:v>
      </x:c>
      <x:c r="Y707" s="8" t="n">
        <x:f>0</x:f>
        <x:v>0</x:v>
      </x:c>
      <x:c r="Z707" s="8" t="n">
        <x:f>K707/H707-X707*I707/H707-Y707*J707/H707</x:f>
        <x:v>-0.8997403452253097</x:v>
      </x:c>
      <x:c r="AA707" s="8" t="n">
        <x:f>Z707+X707*Q707+Y707*R707</x:f>
        <x:v>0.037144518610513155</x:v>
      </x:c>
    </x:row>
    <x:row r="708" ht="26" customHeight="1">
      <x:c r="A708" s="2"/>
      <x:c r="B708" s="2" t="n">
        <x:v>703</x:v>
      </x:c>
      <x:c r="C708" s="2" t="str">
        <x:v>Baby, Feminine &amp; Family Care / price_contribution</x:v>
      </x:c>
      <x:c r="D708" s="2" t="str">
        <x:v>Own history</x:v>
      </x:c>
      <x:c r="E708" s="7" t="n">
        <x:v>46022</x:v>
      </x:c>
      <x:c r="F708" s="2" t="str">
        <x:v>Origin</x:v>
      </x:c>
      <x:c r="G708" s="7" t="n">
        <x:v>45931</x:v>
      </x:c>
      <x:c r="H708" s="2" t="n">
        <x:v>16</x:v>
      </x:c>
      <x:c r="I708" s="8" t="n">
        <x:v>61</x:v>
      </x:c>
      <x:c r="J708" s="8" t="n">
        <x:v>0</x:v>
      </x:c>
      <x:c r="K708" s="8" t="n">
        <x:v>59</x:v>
      </x:c>
      <x:c r="L708" s="8" t="n">
        <x:v>417</x:v>
      </x:c>
      <x:c r="M708" s="8" t="n">
        <x:v>0</x:v>
      </x:c>
      <x:c r="N708" s="8" t="n">
        <x:v>0</x:v>
      </x:c>
      <x:c r="O708" s="8" t="n">
        <x:v>341</x:v>
      </x:c>
      <x:c r="P708" s="8" t="n">
        <x:v>0</x:v>
      </x:c>
      <x:c r="Q708" s="8" t="n">
        <x:v>1</x:v>
      </x:c>
      <x:c r="R708" s="8" t="n">
        <x:v>0</x:v>
      </x:c>
      <x:c r="S708" s="8" t="n">
        <x:f>L708-I708^2/H708</x:f>
        <x:v>184.4375</x:v>
      </x:c>
      <x:c r="T708" s="8" t="n">
        <x:f>M708-J708^2/H708</x:f>
        <x:v>0</x:v>
      </x:c>
      <x:c r="U708" s="8" t="n">
        <x:f>N708-I708*J708/H708</x:f>
        <x:v>0</x:v>
      </x:c>
      <x:c r="V708" s="8" t="n">
        <x:f>O708-I708*K708/H708</x:f>
        <x:v>116.0625</x:v>
      </x:c>
      <x:c r="W708" s="8" t="n">
        <x:f>P708-J708*K708/H708</x:f>
        <x:v>0</x:v>
      </x:c>
      <x:c r="X708" s="8" t="n">
        <x:f>V708/S708</x:f>
        <x:v>0.6292782107760081</x:v>
      </x:c>
      <x:c r="Y708" s="8" t="n">
        <x:f>0</x:f>
        <x:v>0</x:v>
      </x:c>
      <x:c r="Z708" s="8" t="n">
        <x:f>K708/H708-X708*I708/H708-Y708*J708/H708</x:f>
        <x:v>1.288376821416469</x:v>
      </x:c>
      <x:c r="AA708" s="8" t="n">
        <x:f>Z708+X708*Q708+Y708*R708</x:f>
        <x:v>1.917655032192477</x:v>
      </x:c>
    </x:row>
    <x:row r="709" ht="26" customHeight="1">
      <x:c r="A709" s="2"/>
      <x:c r="B709" s="2" t="n">
        <x:v>704</x:v>
      </x:c>
      <x:c r="C709" s="2" t="str">
        <x:v>Baby, Feminine &amp; Family Care / price_contribution</x:v>
      </x:c>
      <x:c r="D709" s="2" t="str">
        <x:v>Broad market</x:v>
      </x:c>
      <x:c r="E709" s="7" t="n">
        <x:v>46022</x:v>
      </x:c>
      <x:c r="F709" s="2" t="str">
        <x:v>Prior report</x:v>
      </x:c>
      <x:c r="G709" s="7" t="n">
        <x:v>45954</x:v>
      </x:c>
      <x:c r="H709" s="2" t="n">
        <x:v>19</x:v>
      </x:c>
      <x:c r="I709" s="8" t="n">
        <x:v>47.46071724596763</x:v>
      </x:c>
      <x:c r="J709" s="8" t="n">
        <x:v>0</x:v>
      </x:c>
      <x:c r="K709" s="8" t="n">
        <x:v>62</x:v>
      </x:c>
      <x:c r="L709" s="8" t="n">
        <x:v>257.85563851793324</x:v>
      </x:c>
      <x:c r="M709" s="8" t="n">
        <x:v>0</x:v>
      </x:c>
      <x:c r="N709" s="8" t="n">
        <x:v>0</x:v>
      </x:c>
      <x:c r="O709" s="8" t="n">
        <x:v>305.8341971134601</x:v>
      </x:c>
      <x:c r="P709" s="8" t="n">
        <x:v>0</x:v>
      </x:c>
      <x:c r="Q709" s="8" t="n">
        <x:v>1.0083244241182232</x:v>
      </x:c>
      <x:c r="R709" s="8" t="n">
        <x:v>0</x:v>
      </x:c>
      <x:c r="S709" s="8" t="n">
        <x:f>L709-I709^2/H709</x:f>
        <x:v>139.30197107047593</x:v>
      </x:c>
      <x:c r="T709" s="8" t="n">
        <x:f>M709-J709^2/H709</x:f>
        <x:v>0</x:v>
      </x:c>
      <x:c r="U709" s="8" t="n">
        <x:f>N709-I709*J709/H709</x:f>
        <x:v>0</x:v>
      </x:c>
      <x:c r="V709" s="8" t="n">
        <x:f>O709-I709*K709/H709</x:f>
        <x:v>150.96238294240783</x:v>
      </x:c>
      <x:c r="W709" s="8" t="n">
        <x:f>P709-J709*K709/H709</x:f>
        <x:v>0</x:v>
      </x:c>
      <x:c r="X709" s="8" t="n">
        <x:f>V709/S709</x:f>
        <x:v>1.0837060077637568</x:v>
      </x:c>
      <x:c r="Y709" s="8" t="n">
        <x:f>0</x:f>
        <x:v>0</x:v>
      </x:c>
      <x:c r="Z709" s="8" t="n">
        <x:f>K709/H709-X709*I709/H709-Y709*J709/H709</x:f>
        <x:v>0.5561334519877863</x:v>
      </x:c>
      <x:c r="AA709" s="8" t="n">
        <x:f>Z709+X709*Q709+Y709*R709</x:f>
        <x:v>1.648860688179635</x:v>
      </x:c>
    </x:row>
    <x:row r="710" ht="26" customHeight="1">
      <x:c r="A710" s="2"/>
      <x:c r="B710" s="2" t="n">
        <x:v>705</x:v>
      </x:c>
      <x:c r="C710" s="2" t="str">
        <x:v>Baby, Feminine &amp; Family Care / price_contribution</x:v>
      </x:c>
      <x:c r="D710" s="2" t="str">
        <x:v>Broad lag 1</x:v>
      </x:c>
      <x:c r="E710" s="7" t="n">
        <x:v>46022</x:v>
      </x:c>
      <x:c r="F710" s="2" t="str">
        <x:v>Prior report</x:v>
      </x:c>
      <x:c r="G710" s="7" t="n">
        <x:v>45954</x:v>
      </x:c>
      <x:c r="H710" s="2" t="n">
        <x:v>18</x:v>
      </x:c>
      <x:c r="I710" s="8" t="n">
        <x:v>46.45249081892011</x:v>
      </x:c>
      <x:c r="J710" s="8" t="n">
        <x:v>0</x:v>
      </x:c>
      <x:c r="K710" s="8" t="n">
        <x:v>60</x:v>
      </x:c>
      <x:c r="L710" s="8" t="n">
        <x:v>256.8391179897363</x:v>
      </x:c>
      <x:c r="M710" s="8" t="n">
        <x:v>0</x:v>
      </x:c>
      <x:c r="N710" s="8" t="n">
        <x:v>0</x:v>
      </x:c>
      <x:c r="O710" s="8" t="n">
        <x:v>274.2472828820841</x:v>
      </x:c>
      <x:c r="P710" s="8" t="n">
        <x:v>0</x:v>
      </x:c>
      <x:c r="Q710" s="8" t="n">
        <x:v>1.0082264270475205</x:v>
      </x:c>
      <x:c r="R710" s="8" t="n">
        <x:v>0</x:v>
      </x:c>
      <x:c r="S710" s="8" t="n">
        <x:f>L710-I710^2/H710</x:f>
        <x:v>136.95945669629975</x:v>
      </x:c>
      <x:c r="T710" s="8" t="n">
        <x:f>M710-J710^2/H710</x:f>
        <x:v>0</x:v>
      </x:c>
      <x:c r="U710" s="8" t="n">
        <x:f>N710-I710*J710/H710</x:f>
        <x:v>0</x:v>
      </x:c>
      <x:c r="V710" s="8" t="n">
        <x:f>O710-I710*K710/H710</x:f>
        <x:v>119.40564681901705</x:v>
      </x:c>
      <x:c r="W710" s="8" t="n">
        <x:f>P710-J710*K710/H710</x:f>
        <x:v>0</x:v>
      </x:c>
      <x:c r="X710" s="8" t="n">
        <x:f>V710/S710</x:f>
        <x:v>0.8718320713245283</x:v>
      </x:c>
      <x:c r="Y710" s="8" t="n">
        <x:f>0</x:f>
        <x:v>0</x:v>
      </x:c>
      <x:c r="Z710" s="8" t="n">
        <x:f>K710/H710-X710*I710/H710-Y710*J710/H710</x:f>
        <x:v>1.0834015950642915</x:v>
      </x:c>
      <x:c r="AA710" s="8" t="n">
        <x:f>Z710+X710*Q710+Y710*R710</x:f>
        <x:v>1.9624057293212598</x:v>
      </x:c>
    </x:row>
    <x:row r="711" ht="26" customHeight="1">
      <x:c r="A711" s="2"/>
      <x:c r="B711" s="2" t="n">
        <x:v>706</x:v>
      </x:c>
      <x:c r="C711" s="2" t="str">
        <x:v>Baby, Feminine &amp; Family Care / price_contribution</x:v>
      </x:c>
      <x:c r="D711" s="2" t="str">
        <x:v>Broad rolling 8</x:v>
      </x:c>
      <x:c r="E711" s="7" t="n">
        <x:v>46022</x:v>
      </x:c>
      <x:c r="F711" s="2" t="str">
        <x:v>Prior report</x:v>
      </x:c>
      <x:c r="G711" s="7" t="n">
        <x:v>45954</x:v>
      </x:c>
      <x:c r="H711" s="2" t="n">
        <x:v>8</x:v>
      </x:c>
      <x:c r="I711" s="8" t="n">
        <x:v>11.968105858946277</x:v>
      </x:c>
      <x:c r="J711" s="8" t="n">
        <x:v>0</x:v>
      </x:c>
      <x:c r="K711" s="8" t="n">
        <x:v>6</x:v>
      </x:c>
      <x:c r="L711" s="8" t="n">
        <x:v>35.29105495113347</x:v>
      </x:c>
      <x:c r="M711" s="8" t="n">
        <x:v>0</x:v>
      </x:c>
      <x:c r="N711" s="8" t="n">
        <x:v>0</x:v>
      </x:c>
      <x:c r="O711" s="8" t="n">
        <x:v>24.287199391992687</x:v>
      </x:c>
      <x:c r="P711" s="8" t="n">
        <x:v>0</x:v>
      </x:c>
      <x:c r="Q711" s="8" t="n">
        <x:v>1.0083244241182232</x:v>
      </x:c>
      <x:c r="R711" s="8" t="n">
        <x:v>0</x:v>
      </x:c>
      <x:c r="S711" s="8" t="n">
        <x:f>L711-I711^2/H711</x:f>
        <x:v>17.38661021976544</x:v>
      </x:c>
      <x:c r="T711" s="8" t="n">
        <x:f>M711-J711^2/H711</x:f>
        <x:v>0</x:v>
      </x:c>
      <x:c r="U711" s="8" t="n">
        <x:f>N711-I711*J711/H711</x:f>
        <x:v>0</x:v>
      </x:c>
      <x:c r="V711" s="8" t="n">
        <x:f>O711-I711*K711/H711</x:f>
        <x:v>15.311119997782978</x:v>
      </x:c>
      <x:c r="W711" s="8" t="n">
        <x:f>P711-J711*K711/H711</x:f>
        <x:v>0</x:v>
      </x:c>
      <x:c r="X711" s="8" t="n">
        <x:f>V711/S711</x:f>
        <x:v>0.8806270920122771</x:v>
      </x:c>
      <x:c r="Y711" s="8" t="n">
        <x:f>0</x:f>
        <x:v>0</x:v>
      </x:c>
      <x:c r="Z711" s="8" t="n">
        <x:f>K711/H711-X711*I711/H711-Y711*J711/H711</x:f>
        <x:v>-0.5674297824323695</x:v>
      </x:c>
      <x:c r="AA711" s="8" t="n">
        <x:f>Z711+X711*Q711+Y711*R711</x:f>
        <x:v>0.32052802298381533</x:v>
      </x:c>
    </x:row>
    <x:row r="712" ht="26" customHeight="1">
      <x:c r="A712" s="2"/>
      <x:c r="B712" s="2" t="n">
        <x:v>707</x:v>
      </x:c>
      <x:c r="C712" s="2" t="str">
        <x:v>Baby, Feminine &amp; Family Care / price_contribution</x:v>
      </x:c>
      <x:c r="D712" s="2" t="str">
        <x:v>Own history</x:v>
      </x:c>
      <x:c r="E712" s="7" t="n">
        <x:v>46022</x:v>
      </x:c>
      <x:c r="F712" s="2" t="str">
        <x:v>Prior report</x:v>
      </x:c>
      <x:c r="G712" s="7" t="n">
        <x:v>45954</x:v>
      </x:c>
      <x:c r="H712" s="2" t="n">
        <x:v>18</x:v>
      </x:c>
      <x:c r="I712" s="8" t="n">
        <x:v>62</x:v>
      </x:c>
      <x:c r="J712" s="8" t="n">
        <x:v>0</x:v>
      </x:c>
      <x:c r="K712" s="8" t="n">
        <x:v>60</x:v>
      </x:c>
      <x:c r="L712" s="8" t="n">
        <x:v>418</x:v>
      </x:c>
      <x:c r="M712" s="8" t="n">
        <x:v>0</x:v>
      </x:c>
      <x:c r="N712" s="8" t="n">
        <x:v>0</x:v>
      </x:c>
      <x:c r="O712" s="8" t="n">
        <x:v>387</x:v>
      </x:c>
      <x:c r="P712" s="8" t="n">
        <x:v>0</x:v>
      </x:c>
      <x:c r="Q712" s="8" t="n">
        <x:v>0</x:v>
      </x:c>
      <x:c r="R712" s="8" t="n">
        <x:v>0</x:v>
      </x:c>
      <x:c r="S712" s="8" t="n">
        <x:f>L712-I712^2/H712</x:f>
        <x:v>204.44444444444446</x:v>
      </x:c>
      <x:c r="T712" s="8" t="n">
        <x:f>M712-J712^2/H712</x:f>
        <x:v>0</x:v>
      </x:c>
      <x:c r="U712" s="8" t="n">
        <x:f>N712-I712*J712/H712</x:f>
        <x:v>0</x:v>
      </x:c>
      <x:c r="V712" s="8" t="n">
        <x:f>O712-I712*K712/H712</x:f>
        <x:v>180.33333333333334</x:v>
      </x:c>
      <x:c r="W712" s="8" t="n">
        <x:f>P712-J712*K712/H712</x:f>
        <x:v>0</x:v>
      </x:c>
      <x:c r="X712" s="8" t="n">
        <x:f>V712/S712</x:f>
        <x:v>0.8820652173913044</x:v>
      </x:c>
      <x:c r="Y712" s="8" t="n">
        <x:f>0</x:f>
        <x:v>0</x:v>
      </x:c>
      <x:c r="Z712" s="8" t="n">
        <x:f>K712/H712-X712*I712/H712-Y712*J712/H712</x:f>
        <x:v>0.295108695652174</x:v>
      </x:c>
      <x:c r="AA712" s="8" t="n">
        <x:f>Z712+X712*Q712+Y712*R712</x:f>
        <x:v>0.295108695652174</x:v>
      </x:c>
    </x:row>
    <x:row r="713" ht="26" customHeight="1">
      <x:c r="A713" s="2"/>
      <x:c r="B713" s="2" t="n">
        <x:v>708</x:v>
      </x:c>
      <x:c r="C713" s="2" t="str">
        <x:v>Baby, Feminine &amp; Family Care / price_contribution</x:v>
      </x:c>
      <x:c r="D713" s="2" t="str">
        <x:v>Broad market</x:v>
      </x:c>
      <x:c r="E713" s="7" t="n">
        <x:v>46022</x:v>
      </x:c>
      <x:c r="F713" s="2" t="str">
        <x:v>Pre-earnings</x:v>
      </x:c>
      <x:c r="G713" s="7" t="n">
        <x:v>46044</x:v>
      </x:c>
      <x:c r="H713" s="2" t="n">
        <x:v>19</x:v>
      </x:c>
      <x:c r="I713" s="8" t="n">
        <x:v>47.46071724596763</x:v>
      </x:c>
      <x:c r="J713" s="8" t="n">
        <x:v>0</x:v>
      </x:c>
      <x:c r="K713" s="8" t="n">
        <x:v>62</x:v>
      </x:c>
      <x:c r="L713" s="8" t="n">
        <x:v>257.85563851793324</x:v>
      </x:c>
      <x:c r="M713" s="8" t="n">
        <x:v>0</x:v>
      </x:c>
      <x:c r="N713" s="8" t="n">
        <x:v>0</x:v>
      </x:c>
      <x:c r="O713" s="8" t="n">
        <x:v>305.8341971134601</x:v>
      </x:c>
      <x:c r="P713" s="8" t="n">
        <x:v>0</x:v>
      </x:c>
      <x:c r="Q713" s="8" t="n">
        <x:v>1.1662350761116436</x:v>
      </x:c>
      <x:c r="R713" s="8" t="n">
        <x:v>0</x:v>
      </x:c>
      <x:c r="S713" s="8" t="n">
        <x:f>L713-I713^2/H713</x:f>
        <x:v>139.30197107047593</x:v>
      </x:c>
      <x:c r="T713" s="8" t="n">
        <x:f>M713-J713^2/H713</x:f>
        <x:v>0</x:v>
      </x:c>
      <x:c r="U713" s="8" t="n">
        <x:f>N713-I713*J713/H713</x:f>
        <x:v>0</x:v>
      </x:c>
      <x:c r="V713" s="8" t="n">
        <x:f>O713-I713*K713/H713</x:f>
        <x:v>150.96238294240783</x:v>
      </x:c>
      <x:c r="W713" s="8" t="n">
        <x:f>P713-J713*K713/H713</x:f>
        <x:v>0</x:v>
      </x:c>
      <x:c r="X713" s="8" t="n">
        <x:f>V713/S713</x:f>
        <x:v>1.0837060077637568</x:v>
      </x:c>
      <x:c r="Y713" s="8" t="n">
        <x:f>0</x:f>
        <x:v>0</x:v>
      </x:c>
      <x:c r="Z713" s="8" t="n">
        <x:f>K713/H713-X713*I713/H713-Y713*J713/H713</x:f>
        <x:v>0.5561334519877863</x:v>
      </x:c>
      <x:c r="AA713" s="8" t="n">
        <x:f>Z713+X713*Q713+Y713*R713</x:f>
        <x:v>1.8199894104347967</x:v>
      </x:c>
    </x:row>
    <x:row r="714" ht="26" customHeight="1">
      <x:c r="A714" s="2"/>
      <x:c r="B714" s="2" t="n">
        <x:v>709</x:v>
      </x:c>
      <x:c r="C714" s="2" t="str">
        <x:v>Baby, Feminine &amp; Family Care / price_contribution</x:v>
      </x:c>
      <x:c r="D714" s="2" t="str">
        <x:v>Broad lag 1</x:v>
      </x:c>
      <x:c r="E714" s="7" t="n">
        <x:v>46022</x:v>
      </x:c>
      <x:c r="F714" s="2" t="str">
        <x:v>Pre-earnings</x:v>
      </x:c>
      <x:c r="G714" s="7" t="n">
        <x:v>46044</x:v>
      </x:c>
      <x:c r="H714" s="2" t="n">
        <x:v>18</x:v>
      </x:c>
      <x:c r="I714" s="8" t="n">
        <x:v>46.45249081892011</x:v>
      </x:c>
      <x:c r="J714" s="8" t="n">
        <x:v>0</x:v>
      </x:c>
      <x:c r="K714" s="8" t="n">
        <x:v>60</x:v>
      </x:c>
      <x:c r="L714" s="8" t="n">
        <x:v>256.8391179897363</x:v>
      </x:c>
      <x:c r="M714" s="8" t="n">
        <x:v>0</x:v>
      </x:c>
      <x:c r="N714" s="8" t="n">
        <x:v>0</x:v>
      </x:c>
      <x:c r="O714" s="8" t="n">
        <x:v>274.2472828820841</x:v>
      </x:c>
      <x:c r="P714" s="8" t="n">
        <x:v>0</x:v>
      </x:c>
      <x:c r="Q714" s="8" t="n">
        <x:v>1.0082264270475205</x:v>
      </x:c>
      <x:c r="R714" s="8" t="n">
        <x:v>0</x:v>
      </x:c>
      <x:c r="S714" s="8" t="n">
        <x:f>L714-I714^2/H714</x:f>
        <x:v>136.95945669629975</x:v>
      </x:c>
      <x:c r="T714" s="8" t="n">
        <x:f>M714-J714^2/H714</x:f>
        <x:v>0</x:v>
      </x:c>
      <x:c r="U714" s="8" t="n">
        <x:f>N714-I714*J714/H714</x:f>
        <x:v>0</x:v>
      </x:c>
      <x:c r="V714" s="8" t="n">
        <x:f>O714-I714*K714/H714</x:f>
        <x:v>119.40564681901705</x:v>
      </x:c>
      <x:c r="W714" s="8" t="n">
        <x:f>P714-J714*K714/H714</x:f>
        <x:v>0</x:v>
      </x:c>
      <x:c r="X714" s="8" t="n">
        <x:f>V714/S714</x:f>
        <x:v>0.8718320713245283</x:v>
      </x:c>
      <x:c r="Y714" s="8" t="n">
        <x:f>0</x:f>
        <x:v>0</x:v>
      </x:c>
      <x:c r="Z714" s="8" t="n">
        <x:f>K714/H714-X714*I714/H714-Y714*J714/H714</x:f>
        <x:v>1.0834015950642915</x:v>
      </x:c>
      <x:c r="AA714" s="8" t="n">
        <x:f>Z714+X714*Q714+Y714*R714</x:f>
        <x:v>1.9624057293212598</x:v>
      </x:c>
    </x:row>
    <x:row r="715" ht="26" customHeight="1">
      <x:c r="A715" s="2"/>
      <x:c r="B715" s="2" t="n">
        <x:v>710</x:v>
      </x:c>
      <x:c r="C715" s="2" t="str">
        <x:v>Baby, Feminine &amp; Family Care / price_contribution</x:v>
      </x:c>
      <x:c r="D715" s="2" t="str">
        <x:v>Broad rolling 8</x:v>
      </x:c>
      <x:c r="E715" s="7" t="n">
        <x:v>46022</x:v>
      </x:c>
      <x:c r="F715" s="2" t="str">
        <x:v>Pre-earnings</x:v>
      </x:c>
      <x:c r="G715" s="7" t="n">
        <x:v>46044</x:v>
      </x:c>
      <x:c r="H715" s="2" t="n">
        <x:v>8</x:v>
      </x:c>
      <x:c r="I715" s="8" t="n">
        <x:v>11.968105858946277</x:v>
      </x:c>
      <x:c r="J715" s="8" t="n">
        <x:v>0</x:v>
      </x:c>
      <x:c r="K715" s="8" t="n">
        <x:v>6</x:v>
      </x:c>
      <x:c r="L715" s="8" t="n">
        <x:v>35.29105495113347</x:v>
      </x:c>
      <x:c r="M715" s="8" t="n">
        <x:v>0</x:v>
      </x:c>
      <x:c r="N715" s="8" t="n">
        <x:v>0</x:v>
      </x:c>
      <x:c r="O715" s="8" t="n">
        <x:v>24.287199391992687</x:v>
      </x:c>
      <x:c r="P715" s="8" t="n">
        <x:v>0</x:v>
      </x:c>
      <x:c r="Q715" s="8" t="n">
        <x:v>1.1662350761116436</x:v>
      </x:c>
      <x:c r="R715" s="8" t="n">
        <x:v>0</x:v>
      </x:c>
      <x:c r="S715" s="8" t="n">
        <x:f>L715-I715^2/H715</x:f>
        <x:v>17.38661021976544</x:v>
      </x:c>
      <x:c r="T715" s="8" t="n">
        <x:f>M715-J715^2/H715</x:f>
        <x:v>0</x:v>
      </x:c>
      <x:c r="U715" s="8" t="n">
        <x:f>N715-I715*J715/H715</x:f>
        <x:v>0</x:v>
      </x:c>
      <x:c r="V715" s="8" t="n">
        <x:f>O715-I715*K715/H715</x:f>
        <x:v>15.311119997782978</x:v>
      </x:c>
      <x:c r="W715" s="8" t="n">
        <x:f>P715-J715*K715/H715</x:f>
        <x:v>0</x:v>
      </x:c>
      <x:c r="X715" s="8" t="n">
        <x:f>V715/S715</x:f>
        <x:v>0.8806270920122771</x:v>
      </x:c>
      <x:c r="Y715" s="8" t="n">
        <x:f>0</x:f>
        <x:v>0</x:v>
      </x:c>
      <x:c r="Z715" s="8" t="n">
        <x:f>K715/H715-X715*I715/H715-Y715*J715/H715</x:f>
        <x:v>-0.5674297824323695</x:v>
      </x:c>
      <x:c r="AA715" s="8" t="n">
        <x:f>Z715+X715*Q715+Y715*R715</x:f>
        <x:v>0.45958842124654375</x:v>
      </x:c>
    </x:row>
    <x:row r="716" ht="26" customHeight="1">
      <x:c r="A716" s="2"/>
      <x:c r="B716" s="2" t="n">
        <x:v>711</x:v>
      </x:c>
      <x:c r="C716" s="2" t="str">
        <x:v>Baby, Feminine &amp; Family Care / price_contribution</x:v>
      </x:c>
      <x:c r="D716" s="2" t="str">
        <x:v>Own history</x:v>
      </x:c>
      <x:c r="E716" s="7" t="n">
        <x:v>46022</x:v>
      </x:c>
      <x:c r="F716" s="2" t="str">
        <x:v>Pre-earnings</x:v>
      </x:c>
      <x:c r="G716" s="7" t="n">
        <x:v>46044</x:v>
      </x:c>
      <x:c r="H716" s="2" t="n">
        <x:v>18</x:v>
      </x:c>
      <x:c r="I716" s="8" t="n">
        <x:v>62</x:v>
      </x:c>
      <x:c r="J716" s="8" t="n">
        <x:v>0</x:v>
      </x:c>
      <x:c r="K716" s="8" t="n">
        <x:v>60</x:v>
      </x:c>
      <x:c r="L716" s="8" t="n">
        <x:v>418</x:v>
      </x:c>
      <x:c r="M716" s="8" t="n">
        <x:v>0</x:v>
      </x:c>
      <x:c r="N716" s="8" t="n">
        <x:v>0</x:v>
      </x:c>
      <x:c r="O716" s="8" t="n">
        <x:v>387</x:v>
      </x:c>
      <x:c r="P716" s="8" t="n">
        <x:v>0</x:v>
      </x:c>
      <x:c r="Q716" s="8" t="n">
        <x:v>0</x:v>
      </x:c>
      <x:c r="R716" s="8" t="n">
        <x:v>0</x:v>
      </x:c>
      <x:c r="S716" s="8" t="n">
        <x:f>L716-I716^2/H716</x:f>
        <x:v>204.44444444444446</x:v>
      </x:c>
      <x:c r="T716" s="8" t="n">
        <x:f>M716-J716^2/H716</x:f>
        <x:v>0</x:v>
      </x:c>
      <x:c r="U716" s="8" t="n">
        <x:f>N716-I716*J716/H716</x:f>
        <x:v>0</x:v>
      </x:c>
      <x:c r="V716" s="8" t="n">
        <x:f>O716-I716*K716/H716</x:f>
        <x:v>180.33333333333334</x:v>
      </x:c>
      <x:c r="W716" s="8" t="n">
        <x:f>P716-J716*K716/H716</x:f>
        <x:v>0</x:v>
      </x:c>
      <x:c r="X716" s="8" t="n">
        <x:f>V716/S716</x:f>
        <x:v>0.8820652173913044</x:v>
      </x:c>
      <x:c r="Y716" s="8" t="n">
        <x:f>0</x:f>
        <x:v>0</x:v>
      </x:c>
      <x:c r="Z716" s="8" t="n">
        <x:f>K716/H716-X716*I716/H716-Y716*J716/H716</x:f>
        <x:v>0.295108695652174</x:v>
      </x:c>
      <x:c r="AA716" s="8" t="n">
        <x:f>Z716+X716*Q716+Y716*R716</x:f>
        <x:v>0.295108695652174</x:v>
      </x:c>
    </x:row>
    <x:row r="717" ht="26" customHeight="1">
      <x:c r="A717" s="2"/>
      <x:c r="B717" s="2" t="n">
        <x:v>712</x:v>
      </x:c>
      <x:c r="C717" s="2" t="str">
        <x:v>Baby, Feminine &amp; Family Care / price_contribution</x:v>
      </x:c>
      <x:c r="D717" s="2" t="str">
        <x:v>Broad market</x:v>
      </x:c>
      <x:c r="E717" s="7" t="n">
        <x:v>46112</x:v>
      </x:c>
      <x:c r="F717" s="2" t="str">
        <x:v>Origin</x:v>
      </x:c>
      <x:c r="G717" s="7" t="n">
        <x:v>46023</x:v>
      </x:c>
      <x:c r="H717" s="2" t="n">
        <x:v>19</x:v>
      </x:c>
      <x:c r="I717" s="8" t="n">
        <x:v>47.46071724596763</x:v>
      </x:c>
      <x:c r="J717" s="8" t="n">
        <x:v>0</x:v>
      </x:c>
      <x:c r="K717" s="8" t="n">
        <x:v>62</x:v>
      </x:c>
      <x:c r="L717" s="8" t="n">
        <x:v>257.85563851793324</x:v>
      </x:c>
      <x:c r="M717" s="8" t="n">
        <x:v>0</x:v>
      </x:c>
      <x:c r="N717" s="8" t="n">
        <x:v>0</x:v>
      </x:c>
      <x:c r="O717" s="8" t="n">
        <x:v>305.8341971134601</x:v>
      </x:c>
      <x:c r="P717" s="8" t="n">
        <x:v>0</x:v>
      </x:c>
      <x:c r="Q717" s="8" t="n">
        <x:v>1.1213731248813419</x:v>
      </x:c>
      <x:c r="R717" s="8" t="n">
        <x:v>0</x:v>
      </x:c>
      <x:c r="S717" s="8" t="n">
        <x:f>L717-I717^2/H717</x:f>
        <x:v>139.30197107047593</x:v>
      </x:c>
      <x:c r="T717" s="8" t="n">
        <x:f>M717-J717^2/H717</x:f>
        <x:v>0</x:v>
      </x:c>
      <x:c r="U717" s="8" t="n">
        <x:f>N717-I717*J717/H717</x:f>
        <x:v>0</x:v>
      </x:c>
      <x:c r="V717" s="8" t="n">
        <x:f>O717-I717*K717/H717</x:f>
        <x:v>150.96238294240783</x:v>
      </x:c>
      <x:c r="W717" s="8" t="n">
        <x:f>P717-J717*K717/H717</x:f>
        <x:v>0</x:v>
      </x:c>
      <x:c r="X717" s="8" t="n">
        <x:f>V717/S717</x:f>
        <x:v>1.0837060077637568</x:v>
      </x:c>
      <x:c r="Y717" s="8" t="n">
        <x:f>0</x:f>
        <x:v>0</x:v>
      </x:c>
      <x:c r="Z717" s="8" t="n">
        <x:f>K717/H717-X717*I717/H717-Y717*J717/H717</x:f>
        <x:v>0.5561334519877863</x:v>
      </x:c>
      <x:c r="AA717" s="8" t="n">
        <x:f>Z717+X717*Q717+Y717*R717</x:f>
        <x:v>1.771372244366514</x:v>
      </x:c>
    </x:row>
    <x:row r="718" ht="26" customHeight="1">
      <x:c r="A718" s="2"/>
      <x:c r="B718" s="2" t="n">
        <x:v>713</x:v>
      </x:c>
      <x:c r="C718" s="2" t="str">
        <x:v>Baby, Feminine &amp; Family Care / price_contribution</x:v>
      </x:c>
      <x:c r="D718" s="2" t="str">
        <x:v>Broad rolling 8</x:v>
      </x:c>
      <x:c r="E718" s="7" t="n">
        <x:v>46112</x:v>
      </x:c>
      <x:c r="F718" s="2" t="str">
        <x:v>Origin</x:v>
      </x:c>
      <x:c r="G718" s="7" t="n">
        <x:v>46023</x:v>
      </x:c>
      <x:c r="H718" s="2" t="n">
        <x:v>8</x:v>
      </x:c>
      <x:c r="I718" s="8" t="n">
        <x:v>11.968105858946277</x:v>
      </x:c>
      <x:c r="J718" s="8" t="n">
        <x:v>0</x:v>
      </x:c>
      <x:c r="K718" s="8" t="n">
        <x:v>6</x:v>
      </x:c>
      <x:c r="L718" s="8" t="n">
        <x:v>35.29105495113347</x:v>
      </x:c>
      <x:c r="M718" s="8" t="n">
        <x:v>0</x:v>
      </x:c>
      <x:c r="N718" s="8" t="n">
        <x:v>0</x:v>
      </x:c>
      <x:c r="O718" s="8" t="n">
        <x:v>24.287199391992687</x:v>
      </x:c>
      <x:c r="P718" s="8" t="n">
        <x:v>0</x:v>
      </x:c>
      <x:c r="Q718" s="8" t="n">
        <x:v>1.1213731248813419</x:v>
      </x:c>
      <x:c r="R718" s="8" t="n">
        <x:v>0</x:v>
      </x:c>
      <x:c r="S718" s="8" t="n">
        <x:f>L718-I718^2/H718</x:f>
        <x:v>17.38661021976544</x:v>
      </x:c>
      <x:c r="T718" s="8" t="n">
        <x:f>M718-J718^2/H718</x:f>
        <x:v>0</x:v>
      </x:c>
      <x:c r="U718" s="8" t="n">
        <x:f>N718-I718*J718/H718</x:f>
        <x:v>0</x:v>
      </x:c>
      <x:c r="V718" s="8" t="n">
        <x:f>O718-I718*K718/H718</x:f>
        <x:v>15.311119997782978</x:v>
      </x:c>
      <x:c r="W718" s="8" t="n">
        <x:f>P718-J718*K718/H718</x:f>
        <x:v>0</x:v>
      </x:c>
      <x:c r="X718" s="8" t="n">
        <x:f>V718/S718</x:f>
        <x:v>0.8806270920122771</x:v>
      </x:c>
      <x:c r="Y718" s="8" t="n">
        <x:f>0</x:f>
        <x:v>0</x:v>
      </x:c>
      <x:c r="Z718" s="8" t="n">
        <x:f>K718/H718-X718*I718/H718-Y718*J718/H718</x:f>
        <x:v>-0.5674297824323695</x:v>
      </x:c>
      <x:c r="AA718" s="8" t="n">
        <x:f>Z718+X718*Q718+Y718*R718</x:f>
        <x:v>0.4200817715926066</x:v>
      </x:c>
    </x:row>
    <x:row r="719" ht="26" customHeight="1">
      <x:c r="A719" s="2"/>
      <x:c r="B719" s="2" t="n">
        <x:v>714</x:v>
      </x:c>
      <x:c r="C719" s="2" t="str">
        <x:v>Baby, Feminine &amp; Family Care / price_contribution</x:v>
      </x:c>
      <x:c r="D719" s="2" t="str">
        <x:v>Own history</x:v>
      </x:c>
      <x:c r="E719" s="7" t="n">
        <x:v>46112</x:v>
      </x:c>
      <x:c r="F719" s="2" t="str">
        <x:v>Origin</x:v>
      </x:c>
      <x:c r="G719" s="7" t="n">
        <x:v>46023</x:v>
      </x:c>
      <x:c r="H719" s="2" t="n">
        <x:v>17</x:v>
      </x:c>
      <x:c r="I719" s="8" t="n">
        <x:v>61</x:v>
      </x:c>
      <x:c r="J719" s="8" t="n">
        <x:v>0</x:v>
      </x:c>
      <x:c r="K719" s="8" t="n">
        <x:v>59</x:v>
      </x:c>
      <x:c r="L719" s="8" t="n">
        <x:v>417</x:v>
      </x:c>
      <x:c r="M719" s="8" t="n">
        <x:v>0</x:v>
      </x:c>
      <x:c r="N719" s="8" t="n">
        <x:v>0</x:v>
      </x:c>
      <x:c r="O719" s="8" t="n">
        <x:v>341</x:v>
      </x:c>
      <x:c r="P719" s="8" t="n">
        <x:v>0</x:v>
      </x:c>
      <x:c r="Q719" s="8" t="n">
        <x:v>0</x:v>
      </x:c>
      <x:c r="R719" s="8" t="n">
        <x:v>0</x:v>
      </x:c>
      <x:c r="S719" s="8" t="n">
        <x:f>L719-I719^2/H719</x:f>
        <x:v>198.11764705882354</x:v>
      </x:c>
      <x:c r="T719" s="8" t="n">
        <x:f>M719-J719^2/H719</x:f>
        <x:v>0</x:v>
      </x:c>
      <x:c r="U719" s="8" t="n">
        <x:f>N719-I719*J719/H719</x:f>
        <x:v>0</x:v>
      </x:c>
      <x:c r="V719" s="8" t="n">
        <x:f>O719-I719*K719/H719</x:f>
        <x:v>129.2941176470588</x:v>
      </x:c>
      <x:c r="W719" s="8" t="n">
        <x:f>P719-J719*K719/H719</x:f>
        <x:v>0</x:v>
      </x:c>
      <x:c r="X719" s="8" t="n">
        <x:f>V719/S719</x:f>
        <x:v>0.6526128266033253</x:v>
      </x:c>
      <x:c r="Y719" s="8" t="n">
        <x:f>0</x:f>
        <x:v>0</x:v>
      </x:c>
      <x:c r="Z719" s="8" t="n">
        <x:f>K719/H719-X719*I719/H719-Y719*J719/H719</x:f>
        <x:v>1.128859857482186</x:v>
      </x:c>
      <x:c r="AA719" s="8" t="n">
        <x:f>Z719+X719*Q719+Y719*R719</x:f>
        <x:v>1.128859857482186</x:v>
      </x:c>
    </x:row>
    <x:row r="720" ht="26" customHeight="1">
      <x:c r="A720" s="2"/>
      <x:c r="B720" s="2" t="n">
        <x:v>715</x:v>
      </x:c>
      <x:c r="C720" s="2" t="str">
        <x:v>Baby, Feminine &amp; Family Care / price_contribution</x:v>
      </x:c>
      <x:c r="D720" s="2" t="str">
        <x:v>Broad market</x:v>
      </x:c>
      <x:c r="E720" s="7" t="n">
        <x:v>46112</x:v>
      </x:c>
      <x:c r="F720" s="2" t="str">
        <x:v>Prior report</x:v>
      </x:c>
      <x:c r="G720" s="7" t="n">
        <x:v>46045</x:v>
      </x:c>
      <x:c r="H720" s="2" t="n">
        <x:v>19</x:v>
      </x:c>
      <x:c r="I720" s="8" t="n">
        <x:v>47.46071724596763</x:v>
      </x:c>
      <x:c r="J720" s="8" t="n">
        <x:v>0</x:v>
      </x:c>
      <x:c r="K720" s="8" t="n">
        <x:v>62</x:v>
      </x:c>
      <x:c r="L720" s="8" t="n">
        <x:v>257.85563851793324</x:v>
      </x:c>
      <x:c r="M720" s="8" t="n">
        <x:v>0</x:v>
      </x:c>
      <x:c r="N720" s="8" t="n">
        <x:v>0</x:v>
      </x:c>
      <x:c r="O720" s="8" t="n">
        <x:v>305.8341971134601</x:v>
      </x:c>
      <x:c r="P720" s="8" t="n">
        <x:v>0</x:v>
      </x:c>
      <x:c r="Q720" s="8" t="n">
        <x:v>1.2470805589842149</x:v>
      </x:c>
      <x:c r="R720" s="8" t="n">
        <x:v>0</x:v>
      </x:c>
      <x:c r="S720" s="8" t="n">
        <x:f>L720-I720^2/H720</x:f>
        <x:v>139.30197107047593</x:v>
      </x:c>
      <x:c r="T720" s="8" t="n">
        <x:f>M720-J720^2/H720</x:f>
        <x:v>0</x:v>
      </x:c>
      <x:c r="U720" s="8" t="n">
        <x:f>N720-I720*J720/H720</x:f>
        <x:v>0</x:v>
      </x:c>
      <x:c r="V720" s="8" t="n">
        <x:f>O720-I720*K720/H720</x:f>
        <x:v>150.96238294240783</x:v>
      </x:c>
      <x:c r="W720" s="8" t="n">
        <x:f>P720-J720*K720/H720</x:f>
        <x:v>0</x:v>
      </x:c>
      <x:c r="X720" s="8" t="n">
        <x:f>V720/S720</x:f>
        <x:v>1.0837060077637568</x:v>
      </x:c>
      <x:c r="Y720" s="8" t="n">
        <x:f>0</x:f>
        <x:v>0</x:v>
      </x:c>
      <x:c r="Z720" s="8" t="n">
        <x:f>K720/H720-X720*I720/H720-Y720*J720/H720</x:f>
        <x:v>0.5561334519877863</x:v>
      </x:c>
      <x:c r="AA720" s="8" t="n">
        <x:f>Z720+X720*Q720+Y720*R720</x:f>
        <x:v>1.907602145924364</x:v>
      </x:c>
    </x:row>
    <x:row r="721" ht="26" customHeight="1">
      <x:c r="A721" s="2"/>
      <x:c r="B721" s="2" t="n">
        <x:v>716</x:v>
      </x:c>
      <x:c r="C721" s="2" t="str">
        <x:v>Baby, Feminine &amp; Family Care / price_contribution</x:v>
      </x:c>
      <x:c r="D721" s="2" t="str">
        <x:v>Broad rolling 8</x:v>
      </x:c>
      <x:c r="E721" s="7" t="n">
        <x:v>46112</x:v>
      </x:c>
      <x:c r="F721" s="2" t="str">
        <x:v>Prior report</x:v>
      </x:c>
      <x:c r="G721" s="7" t="n">
        <x:v>46045</x:v>
      </x:c>
      <x:c r="H721" s="2" t="n">
        <x:v>8</x:v>
      </x:c>
      <x:c r="I721" s="8" t="n">
        <x:v>11.968105858946277</x:v>
      </x:c>
      <x:c r="J721" s="8" t="n">
        <x:v>0</x:v>
      </x:c>
      <x:c r="K721" s="8" t="n">
        <x:v>6</x:v>
      </x:c>
      <x:c r="L721" s="8" t="n">
        <x:v>35.29105495113347</x:v>
      </x:c>
      <x:c r="M721" s="8" t="n">
        <x:v>0</x:v>
      </x:c>
      <x:c r="N721" s="8" t="n">
        <x:v>0</x:v>
      </x:c>
      <x:c r="O721" s="8" t="n">
        <x:v>24.287199391992687</x:v>
      </x:c>
      <x:c r="P721" s="8" t="n">
        <x:v>0</x:v>
      </x:c>
      <x:c r="Q721" s="8" t="n">
        <x:v>1.2470805589842149</x:v>
      </x:c>
      <x:c r="R721" s="8" t="n">
        <x:v>0</x:v>
      </x:c>
      <x:c r="S721" s="8" t="n">
        <x:f>L721-I721^2/H721</x:f>
        <x:v>17.38661021976544</x:v>
      </x:c>
      <x:c r="T721" s="8" t="n">
        <x:f>M721-J721^2/H721</x:f>
        <x:v>0</x:v>
      </x:c>
      <x:c r="U721" s="8" t="n">
        <x:f>N721-I721*J721/H721</x:f>
        <x:v>0</x:v>
      </x:c>
      <x:c r="V721" s="8" t="n">
        <x:f>O721-I721*K721/H721</x:f>
        <x:v>15.311119997782978</x:v>
      </x:c>
      <x:c r="W721" s="8" t="n">
        <x:f>P721-J721*K721/H721</x:f>
        <x:v>0</x:v>
      </x:c>
      <x:c r="X721" s="8" t="n">
        <x:f>V721/S721</x:f>
        <x:v>0.8806270920122771</x:v>
      </x:c>
      <x:c r="Y721" s="8" t="n">
        <x:f>0</x:f>
        <x:v>0</x:v>
      </x:c>
      <x:c r="Z721" s="8" t="n">
        <x:f>K721/H721-X721*I721/H721-Y721*J721/H721</x:f>
        <x:v>-0.5674297824323695</x:v>
      </x:c>
      <x:c r="AA721" s="8" t="n">
        <x:f>Z721+X721*Q721+Y721*R721</x:f>
        <x:v>0.5307831437309447</x:v>
      </x:c>
    </x:row>
    <x:row r="722" ht="26" customHeight="1">
      <x:c r="A722" s="2"/>
      <x:c r="B722" s="2" t="n">
        <x:v>717</x:v>
      </x:c>
      <x:c r="C722" s="2" t="str">
        <x:v>Baby, Feminine &amp; Family Care / price_contribution</x:v>
      </x:c>
      <x:c r="D722" s="2" t="str">
        <x:v>Own history</x:v>
      </x:c>
      <x:c r="E722" s="7" t="n">
        <x:v>46112</x:v>
      </x:c>
      <x:c r="F722" s="2" t="str">
        <x:v>Prior report</x:v>
      </x:c>
      <x:c r="G722" s="7" t="n">
        <x:v>46045</x:v>
      </x:c>
      <x:c r="H722" s="2" t="n">
        <x:v>19</x:v>
      </x:c>
      <x:c r="I722" s="8" t="n">
        <x:v>62</x:v>
      </x:c>
      <x:c r="J722" s="8" t="n">
        <x:v>0</x:v>
      </x:c>
      <x:c r="K722" s="8" t="n">
        <x:v>60</x:v>
      </x:c>
      <x:c r="L722" s="8" t="n">
        <x:v>418</x:v>
      </x:c>
      <x:c r="M722" s="8" t="n">
        <x:v>0</x:v>
      </x:c>
      <x:c r="N722" s="8" t="n">
        <x:v>0</x:v>
      </x:c>
      <x:c r="O722" s="8" t="n">
        <x:v>387</x:v>
      </x:c>
      <x:c r="P722" s="8" t="n">
        <x:v>0</x:v>
      </x:c>
      <x:c r="Q722" s="8" t="n">
        <x:v>0</x:v>
      </x:c>
      <x:c r="R722" s="8" t="n">
        <x:v>0</x:v>
      </x:c>
      <x:c r="S722" s="8" t="n">
        <x:f>L722-I722^2/H722</x:f>
        <x:v>215.68421052631578</x:v>
      </x:c>
      <x:c r="T722" s="8" t="n">
        <x:f>M722-J722^2/H722</x:f>
        <x:v>0</x:v>
      </x:c>
      <x:c r="U722" s="8" t="n">
        <x:f>N722-I722*J722/H722</x:f>
        <x:v>0</x:v>
      </x:c>
      <x:c r="V722" s="8" t="n">
        <x:f>O722-I722*K722/H722</x:f>
        <x:v>191.21052631578948</x:v>
      </x:c>
      <x:c r="W722" s="8" t="n">
        <x:f>P722-J722*K722/H722</x:f>
        <x:v>0</x:v>
      </x:c>
      <x:c r="X722" s="8" t="n">
        <x:f>V722/S722</x:f>
        <x:v>0.8865300146412884</x:v>
      </x:c>
      <x:c r="Y722" s="8" t="n">
        <x:f>0</x:f>
        <x:v>0</x:v>
      </x:c>
      <x:c r="Z722" s="8" t="n">
        <x:f>K722/H722-X722*I722/H722-Y722*J722/H722</x:f>
        <x:v>0.2650073206442167</x:v>
      </x:c>
      <x:c r="AA722" s="8" t="n">
        <x:f>Z722+X722*Q722+Y722*R722</x:f>
        <x:v>0.2650073206442167</x:v>
      </x:c>
    </x:row>
    <x:row r="723" ht="26" customHeight="1">
      <x:c r="A723" s="2"/>
      <x:c r="B723" s="2" t="n">
        <x:v>718</x:v>
      </x:c>
      <x:c r="C723" s="2" t="str">
        <x:v>Baby, Feminine &amp; Family Care / price_contribution</x:v>
      </x:c>
      <x:c r="D723" s="2" t="str">
        <x:v>Broad market</x:v>
      </x:c>
      <x:c r="E723" s="7" t="n">
        <x:v>46112</x:v>
      </x:c>
      <x:c r="F723" s="2" t="str">
        <x:v>Pre-earnings</x:v>
      </x:c>
      <x:c r="G723" s="7" t="n">
        <x:v>46135</x:v>
      </x:c>
      <x:c r="H723" s="2" t="n">
        <x:v>19</x:v>
      </x:c>
      <x:c r="I723" s="8" t="n">
        <x:v>47.46071724596763</x:v>
      </x:c>
      <x:c r="J723" s="8" t="n">
        <x:v>0</x:v>
      </x:c>
      <x:c r="K723" s="8" t="n">
        <x:v>62</x:v>
      </x:c>
      <x:c r="L723" s="8" t="n">
        <x:v>257.85563851793324</x:v>
      </x:c>
      <x:c r="M723" s="8" t="n">
        <x:v>0</x:v>
      </x:c>
      <x:c r="N723" s="8" t="n">
        <x:v>0</x:v>
      </x:c>
      <x:c r="O723" s="8" t="n">
        <x:v>305.8341971134601</x:v>
      </x:c>
      <x:c r="P723" s="8" t="n">
        <x:v>0</x:v>
      </x:c>
      <x:c r="Q723" s="8" t="n">
        <x:v>1.9491325309717533</x:v>
      </x:c>
      <x:c r="R723" s="8" t="n">
        <x:v>0</x:v>
      </x:c>
      <x:c r="S723" s="8" t="n">
        <x:f>L723-I723^2/H723</x:f>
        <x:v>139.30197107047593</x:v>
      </x:c>
      <x:c r="T723" s="8" t="n">
        <x:f>M723-J723^2/H723</x:f>
        <x:v>0</x:v>
      </x:c>
      <x:c r="U723" s="8" t="n">
        <x:f>N723-I723*J723/H723</x:f>
        <x:v>0</x:v>
      </x:c>
      <x:c r="V723" s="8" t="n">
        <x:f>O723-I723*K723/H723</x:f>
        <x:v>150.96238294240783</x:v>
      </x:c>
      <x:c r="W723" s="8" t="n">
        <x:f>P723-J723*K723/H723</x:f>
        <x:v>0</x:v>
      </x:c>
      <x:c r="X723" s="8" t="n">
        <x:f>V723/S723</x:f>
        <x:v>1.0837060077637568</x:v>
      </x:c>
      <x:c r="Y723" s="8" t="n">
        <x:f>0</x:f>
        <x:v>0</x:v>
      </x:c>
      <x:c r="Z723" s="8" t="n">
        <x:f>K723/H723-X723*I723/H723-Y723*J723/H723</x:f>
        <x:v>0.5561334519877863</x:v>
      </x:c>
      <x:c r="AA723" s="8" t="n">
        <x:f>Z723+X723*Q723+Y723*R723</x:f>
        <x:v>2.668420085729652</x:v>
      </x:c>
    </x:row>
    <x:row r="724" ht="26" customHeight="1">
      <x:c r="A724" s="2"/>
      <x:c r="B724" s="2" t="n">
        <x:v>719</x:v>
      </x:c>
      <x:c r="C724" s="2" t="str">
        <x:v>Baby, Feminine &amp; Family Care / price_contribution</x:v>
      </x:c>
      <x:c r="D724" s="2" t="str">
        <x:v>Broad rolling 8</x:v>
      </x:c>
      <x:c r="E724" s="7" t="n">
        <x:v>46112</x:v>
      </x:c>
      <x:c r="F724" s="2" t="str">
        <x:v>Pre-earnings</x:v>
      </x:c>
      <x:c r="G724" s="7" t="n">
        <x:v>46135</x:v>
      </x:c>
      <x:c r="H724" s="2" t="n">
        <x:v>8</x:v>
      </x:c>
      <x:c r="I724" s="8" t="n">
        <x:v>11.968105858946277</x:v>
      </x:c>
      <x:c r="J724" s="8" t="n">
        <x:v>0</x:v>
      </x:c>
      <x:c r="K724" s="8" t="n">
        <x:v>6</x:v>
      </x:c>
      <x:c r="L724" s="8" t="n">
        <x:v>35.29105495113347</x:v>
      </x:c>
      <x:c r="M724" s="8" t="n">
        <x:v>0</x:v>
      </x:c>
      <x:c r="N724" s="8" t="n">
        <x:v>0</x:v>
      </x:c>
      <x:c r="O724" s="8" t="n">
        <x:v>24.287199391992687</x:v>
      </x:c>
      <x:c r="P724" s="8" t="n">
        <x:v>0</x:v>
      </x:c>
      <x:c r="Q724" s="8" t="n">
        <x:v>1.9491325309717533</x:v>
      </x:c>
      <x:c r="R724" s="8" t="n">
        <x:v>0</x:v>
      </x:c>
      <x:c r="S724" s="8" t="n">
        <x:f>L724-I724^2/H724</x:f>
        <x:v>17.38661021976544</x:v>
      </x:c>
      <x:c r="T724" s="8" t="n">
        <x:f>M724-J724^2/H724</x:f>
        <x:v>0</x:v>
      </x:c>
      <x:c r="U724" s="8" t="n">
        <x:f>N724-I724*J724/H724</x:f>
        <x:v>0</x:v>
      </x:c>
      <x:c r="V724" s="8" t="n">
        <x:f>O724-I724*K724/H724</x:f>
        <x:v>15.311119997782978</x:v>
      </x:c>
      <x:c r="W724" s="8" t="n">
        <x:f>P724-J724*K724/H724</x:f>
        <x:v>0</x:v>
      </x:c>
      <x:c r="X724" s="8" t="n">
        <x:f>V724/S724</x:f>
        <x:v>0.8806270920122771</x:v>
      </x:c>
      <x:c r="Y724" s="8" t="n">
        <x:f>0</x:f>
        <x:v>0</x:v>
      </x:c>
      <x:c r="Z724" s="8" t="n">
        <x:f>K724/H724-X724*I724/H724-Y724*J724/H724</x:f>
        <x:v>-0.5674297824323695</x:v>
      </x:c>
      <x:c r="AA724" s="8" t="n">
        <x:f>Z724+X724*Q724+Y724*R724</x:f>
        <x:v>1.1490291302638151</x:v>
      </x:c>
    </x:row>
    <x:row r="725" ht="26" customHeight="1">
      <x:c r="A725" s="2"/>
      <x:c r="B725" s="2" t="n">
        <x:v>720</x:v>
      </x:c>
      <x:c r="C725" s="2" t="str">
        <x:v>Baby, Feminine &amp; Family Care / price_contribution</x:v>
      </x:c>
      <x:c r="D725" s="2" t="str">
        <x:v>Own history</x:v>
      </x:c>
      <x:c r="E725" s="7" t="n">
        <x:v>46112</x:v>
      </x:c>
      <x:c r="F725" s="2" t="str">
        <x:v>Pre-earnings</x:v>
      </x:c>
      <x:c r="G725" s="7" t="n">
        <x:v>46135</x:v>
      </x:c>
      <x:c r="H725" s="2" t="n">
        <x:v>19</x:v>
      </x:c>
      <x:c r="I725" s="8" t="n">
        <x:v>62</x:v>
      </x:c>
      <x:c r="J725" s="8" t="n">
        <x:v>0</x:v>
      </x:c>
      <x:c r="K725" s="8" t="n">
        <x:v>60</x:v>
      </x:c>
      <x:c r="L725" s="8" t="n">
        <x:v>418</x:v>
      </x:c>
      <x:c r="M725" s="8" t="n">
        <x:v>0</x:v>
      </x:c>
      <x:c r="N725" s="8" t="n">
        <x:v>0</x:v>
      </x:c>
      <x:c r="O725" s="8" t="n">
        <x:v>387</x:v>
      </x:c>
      <x:c r="P725" s="8" t="n">
        <x:v>0</x:v>
      </x:c>
      <x:c r="Q725" s="8" t="n">
        <x:v>0</x:v>
      </x:c>
      <x:c r="R725" s="8" t="n">
        <x:v>0</x:v>
      </x:c>
      <x:c r="S725" s="8" t="n">
        <x:f>L725-I725^2/H725</x:f>
        <x:v>215.68421052631578</x:v>
      </x:c>
      <x:c r="T725" s="8" t="n">
        <x:f>M725-J725^2/H725</x:f>
        <x:v>0</x:v>
      </x:c>
      <x:c r="U725" s="8" t="n">
        <x:f>N725-I725*J725/H725</x:f>
        <x:v>0</x:v>
      </x:c>
      <x:c r="V725" s="8" t="n">
        <x:f>O725-I725*K725/H725</x:f>
        <x:v>191.21052631578948</x:v>
      </x:c>
      <x:c r="W725" s="8" t="n">
        <x:f>P725-J725*K725/H725</x:f>
        <x:v>0</x:v>
      </x:c>
      <x:c r="X725" s="8" t="n">
        <x:f>V725/S725</x:f>
        <x:v>0.8865300146412884</x:v>
      </x:c>
      <x:c r="Y725" s="8" t="n">
        <x:f>0</x:f>
        <x:v>0</x:v>
      </x:c>
      <x:c r="Z725" s="8" t="n">
        <x:f>K725/H725-X725*I725/H725-Y725*J725/H725</x:f>
        <x:v>0.2650073206442167</x:v>
      </x:c>
      <x:c r="AA725" s="8" t="n">
        <x:f>Z725+X725*Q725+Y725*R725</x:f>
        <x:v>0.2650073206442167</x:v>
      </x:c>
    </x:row>
    <x:row r="726" ht="26" customHeight="1">
      <x:c r="A726" s="2"/>
      <x:c r="B726" s="2" t="n">
        <x:v>721</x:v>
      </x:c>
      <x:c r="C726" s="2" t="str">
        <x:v>Beauty / organic_volume_growth</x:v>
      </x:c>
      <x:c r="D726" s="2" t="str">
        <x:v>Broad market</x:v>
      </x:c>
      <x:c r="E726" s="7" t="n">
        <x:v>45107</x:v>
      </x:c>
      <x:c r="F726" s="2" t="str">
        <x:v>Origin</x:v>
      </x:c>
      <x:c r="G726" s="7" t="n">
        <x:v>45017</x:v>
      </x:c>
      <x:c r="H726" s="2" t="n">
        <x:v>8</x:v>
      </x:c>
      <x:c r="I726" s="8" t="n">
        <x:v>33.595293052267536</x:v>
      </x:c>
      <x:c r="J726" s="8" t="n">
        <x:v>0</x:v>
      </x:c>
      <x:c r="K726" s="8" t="n">
        <x:v>-4</x:v>
      </x:c>
      <x:c r="L726" s="8" t="n">
        <x:v>371.0200922353941</x:v>
      </x:c>
      <x:c r="M726" s="8" t="n">
        <x:v>0</x:v>
      </x:c>
      <x:c r="N726" s="8" t="n">
        <x:v>0</x:v>
      </x:c>
      <x:c r="O726" s="8" t="n">
        <x:v>42.893594788185034</x:v>
      </x:c>
      <x:c r="P726" s="8" t="n">
        <x:v>0</x:v>
      </x:c>
      <x:c r="Q726" s="8" t="n">
        <x:v>-0.2875938616046847</x:v>
      </x:c>
      <x:c r="R726" s="8" t="n">
        <x:v>0</x:v>
      </x:c>
      <x:c r="S726" s="8" t="n">
        <x:f>L726-I726^2/H726</x:f>
        <x:v>229.93962782692716</x:v>
      </x:c>
      <x:c r="T726" s="8" t="n">
        <x:f>M726-J726^2/H726</x:f>
        <x:v>0</x:v>
      </x:c>
      <x:c r="U726" s="8" t="n">
        <x:f>N726-I726*J726/H726</x:f>
        <x:v>0</x:v>
      </x:c>
      <x:c r="V726" s="8" t="n">
        <x:f>O726-I726*K726/H726</x:f>
        <x:v>59.6912413143188</x:v>
      </x:c>
      <x:c r="W726" s="8" t="n">
        <x:f>P726-J726*K726/H726</x:f>
        <x:v>0</x:v>
      </x:c>
      <x:c r="X726" s="8" t="n">
        <x:f>V726/S726</x:f>
        <x:v>0.2595952767186685</x:v>
      </x:c>
      <x:c r="Y726" s="8" t="n">
        <x:f>0</x:f>
        <x:v>0</x:v>
      </x:c>
      <x:c r="Z726" s="8" t="n">
        <x:f>K726/H726-X726*I726/H726-Y726*J726/H726</x:f>
        <x:v>-1.590147424543519</x:v>
      </x:c>
      <x:c r="AA726" s="8" t="n">
        <x:f>Z726+X726*Q726+Y726*R726</x:f>
        <x:v>-1.6648054326293775</x:v>
      </x:c>
    </x:row>
    <x:row r="727" ht="26" customHeight="1">
      <x:c r="A727" s="2"/>
      <x:c r="B727" s="2" t="n">
        <x:v>722</x:v>
      </x:c>
      <x:c r="C727" s="2" t="str">
        <x:v>Beauty / organic_volume_growth</x:v>
      </x:c>
      <x:c r="D727" s="2" t="str">
        <x:v>Broad rolling 8</x:v>
      </x:c>
      <x:c r="E727" s="7" t="n">
        <x:v>45107</x:v>
      </x:c>
      <x:c r="F727" s="2" t="str">
        <x:v>Origin</x:v>
      </x:c>
      <x:c r="G727" s="7" t="n">
        <x:v>45017</x:v>
      </x:c>
      <x:c r="H727" s="2" t="n">
        <x:v>8</x:v>
      </x:c>
      <x:c r="I727" s="8" t="n">
        <x:v>33.595293052267536</x:v>
      </x:c>
      <x:c r="J727" s="8" t="n">
        <x:v>0</x:v>
      </x:c>
      <x:c r="K727" s="8" t="n">
        <x:v>-4</x:v>
      </x:c>
      <x:c r="L727" s="8" t="n">
        <x:v>371.0200922353941</x:v>
      </x:c>
      <x:c r="M727" s="8" t="n">
        <x:v>0</x:v>
      </x:c>
      <x:c r="N727" s="8" t="n">
        <x:v>0</x:v>
      </x:c>
      <x:c r="O727" s="8" t="n">
        <x:v>42.893594788185034</x:v>
      </x:c>
      <x:c r="P727" s="8" t="n">
        <x:v>0</x:v>
      </x:c>
      <x:c r="Q727" s="8" t="n">
        <x:v>-0.2875938616046847</x:v>
      </x:c>
      <x:c r="R727" s="8" t="n">
        <x:v>0</x:v>
      </x:c>
      <x:c r="S727" s="8" t="n">
        <x:f>L727-I727^2/H727</x:f>
        <x:v>229.93962782692716</x:v>
      </x:c>
      <x:c r="T727" s="8" t="n">
        <x:f>M727-J727^2/H727</x:f>
        <x:v>0</x:v>
      </x:c>
      <x:c r="U727" s="8" t="n">
        <x:f>N727-I727*J727/H727</x:f>
        <x:v>0</x:v>
      </x:c>
      <x:c r="V727" s="8" t="n">
        <x:f>O727-I727*K727/H727</x:f>
        <x:v>59.6912413143188</x:v>
      </x:c>
      <x:c r="W727" s="8" t="n">
        <x:f>P727-J727*K727/H727</x:f>
        <x:v>0</x:v>
      </x:c>
      <x:c r="X727" s="8" t="n">
        <x:f>V727/S727</x:f>
        <x:v>0.2595952767186685</x:v>
      </x:c>
      <x:c r="Y727" s="8" t="n">
        <x:f>0</x:f>
        <x:v>0</x:v>
      </x:c>
      <x:c r="Z727" s="8" t="n">
        <x:f>K727/H727-X727*I727/H727-Y727*J727/H727</x:f>
        <x:v>-1.590147424543519</x:v>
      </x:c>
      <x:c r="AA727" s="8" t="n">
        <x:f>Z727+X727*Q727+Y727*R727</x:f>
        <x:v>-1.6648054326293775</x:v>
      </x:c>
    </x:row>
    <x:row r="728" ht="26" customHeight="1">
      <x:c r="A728" s="2"/>
      <x:c r="B728" s="2" t="n">
        <x:v>723</x:v>
      </x:c>
      <x:c r="C728" s="2" t="str">
        <x:v>Beauty / organic_volume_growth</x:v>
      </x:c>
      <x:c r="D728" s="2" t="str">
        <x:v>Broad market</x:v>
      </x:c>
      <x:c r="E728" s="7" t="n">
        <x:v>45107</x:v>
      </x:c>
      <x:c r="F728" s="2" t="str">
        <x:v>Prior report</x:v>
      </x:c>
      <x:c r="G728" s="7" t="n">
        <x:v>45037</x:v>
      </x:c>
      <x:c r="H728" s="2" t="n">
        <x:v>8</x:v>
      </x:c>
      <x:c r="I728" s="8" t="n">
        <x:v>33.595293052267536</x:v>
      </x:c>
      <x:c r="J728" s="8" t="n">
        <x:v>0</x:v>
      </x:c>
      <x:c r="K728" s="8" t="n">
        <x:v>-4</x:v>
      </x:c>
      <x:c r="L728" s="8" t="n">
        <x:v>371.0200922353941</x:v>
      </x:c>
      <x:c r="M728" s="8" t="n">
        <x:v>0</x:v>
      </x:c>
      <x:c r="N728" s="8" t="n">
        <x:v>0</x:v>
      </x:c>
      <x:c r="O728" s="8" t="n">
        <x:v>42.893594788185034</x:v>
      </x:c>
      <x:c r="P728" s="8" t="n">
        <x:v>0</x:v>
      </x:c>
      <x:c r="Q728" s="8" t="n">
        <x:v>-0.2875938616046847</x:v>
      </x:c>
      <x:c r="R728" s="8" t="n">
        <x:v>0</x:v>
      </x:c>
      <x:c r="S728" s="8" t="n">
        <x:f>L728-I728^2/H728</x:f>
        <x:v>229.93962782692716</x:v>
      </x:c>
      <x:c r="T728" s="8" t="n">
        <x:f>M728-J728^2/H728</x:f>
        <x:v>0</x:v>
      </x:c>
      <x:c r="U728" s="8" t="n">
        <x:f>N728-I728*J728/H728</x:f>
        <x:v>0</x:v>
      </x:c>
      <x:c r="V728" s="8" t="n">
        <x:f>O728-I728*K728/H728</x:f>
        <x:v>59.6912413143188</x:v>
      </x:c>
      <x:c r="W728" s="8" t="n">
        <x:f>P728-J728*K728/H728</x:f>
        <x:v>0</x:v>
      </x:c>
      <x:c r="X728" s="8" t="n">
        <x:f>V728/S728</x:f>
        <x:v>0.2595952767186685</x:v>
      </x:c>
      <x:c r="Y728" s="8" t="n">
        <x:f>0</x:f>
        <x:v>0</x:v>
      </x:c>
      <x:c r="Z728" s="8" t="n">
        <x:f>K728/H728-X728*I728/H728-Y728*J728/H728</x:f>
        <x:v>-1.590147424543519</x:v>
      </x:c>
      <x:c r="AA728" s="8" t="n">
        <x:f>Z728+X728*Q728+Y728*R728</x:f>
        <x:v>-1.6648054326293775</x:v>
      </x:c>
    </x:row>
    <x:row r="729" ht="26" customHeight="1">
      <x:c r="A729" s="2"/>
      <x:c r="B729" s="2" t="n">
        <x:v>724</x:v>
      </x:c>
      <x:c r="C729" s="2" t="str">
        <x:v>Beauty / organic_volume_growth</x:v>
      </x:c>
      <x:c r="D729" s="2" t="str">
        <x:v>Broad rolling 8</x:v>
      </x:c>
      <x:c r="E729" s="7" t="n">
        <x:v>45107</x:v>
      </x:c>
      <x:c r="F729" s="2" t="str">
        <x:v>Prior report</x:v>
      </x:c>
      <x:c r="G729" s="7" t="n">
        <x:v>45037</x:v>
      </x:c>
      <x:c r="H729" s="2" t="n">
        <x:v>8</x:v>
      </x:c>
      <x:c r="I729" s="8" t="n">
        <x:v>33.595293052267536</x:v>
      </x:c>
      <x:c r="J729" s="8" t="n">
        <x:v>0</x:v>
      </x:c>
      <x:c r="K729" s="8" t="n">
        <x:v>-4</x:v>
      </x:c>
      <x:c r="L729" s="8" t="n">
        <x:v>371.0200922353941</x:v>
      </x:c>
      <x:c r="M729" s="8" t="n">
        <x:v>0</x:v>
      </x:c>
      <x:c r="N729" s="8" t="n">
        <x:v>0</x:v>
      </x:c>
      <x:c r="O729" s="8" t="n">
        <x:v>42.893594788185034</x:v>
      </x:c>
      <x:c r="P729" s="8" t="n">
        <x:v>0</x:v>
      </x:c>
      <x:c r="Q729" s="8" t="n">
        <x:v>-0.2875938616046847</x:v>
      </x:c>
      <x:c r="R729" s="8" t="n">
        <x:v>0</x:v>
      </x:c>
      <x:c r="S729" s="8" t="n">
        <x:f>L729-I729^2/H729</x:f>
        <x:v>229.93962782692716</x:v>
      </x:c>
      <x:c r="T729" s="8" t="n">
        <x:f>M729-J729^2/H729</x:f>
        <x:v>0</x:v>
      </x:c>
      <x:c r="U729" s="8" t="n">
        <x:f>N729-I729*J729/H729</x:f>
        <x:v>0</x:v>
      </x:c>
      <x:c r="V729" s="8" t="n">
        <x:f>O729-I729*K729/H729</x:f>
        <x:v>59.6912413143188</x:v>
      </x:c>
      <x:c r="W729" s="8" t="n">
        <x:f>P729-J729*K729/H729</x:f>
        <x:v>0</x:v>
      </x:c>
      <x:c r="X729" s="8" t="n">
        <x:f>V729/S729</x:f>
        <x:v>0.2595952767186685</x:v>
      </x:c>
      <x:c r="Y729" s="8" t="n">
        <x:f>0</x:f>
        <x:v>0</x:v>
      </x:c>
      <x:c r="Z729" s="8" t="n">
        <x:f>K729/H729-X729*I729/H729-Y729*J729/H729</x:f>
        <x:v>-1.590147424543519</x:v>
      </x:c>
      <x:c r="AA729" s="8" t="n">
        <x:f>Z729+X729*Q729+Y729*R729</x:f>
        <x:v>-1.6648054326293775</x:v>
      </x:c>
    </x:row>
    <x:row r="730" ht="26" customHeight="1">
      <x:c r="A730" s="2"/>
      <x:c r="B730" s="2" t="n">
        <x:v>725</x:v>
      </x:c>
      <x:c r="C730" s="2" t="str">
        <x:v>Beauty / organic_volume_growth</x:v>
      </x:c>
      <x:c r="D730" s="2" t="str">
        <x:v>Own history</x:v>
      </x:c>
      <x:c r="E730" s="7" t="n">
        <x:v>45107</x:v>
      </x:c>
      <x:c r="F730" s="2" t="str">
        <x:v>Prior report</x:v>
      </x:c>
      <x:c r="G730" s="7" t="n">
        <x:v>45037</x:v>
      </x:c>
      <x:c r="H730" s="2" t="n">
        <x:v>8</x:v>
      </x:c>
      <x:c r="I730" s="8" t="n">
        <x:v>-4</x:v>
      </x:c>
      <x:c r="J730" s="8" t="n">
        <x:v>0</x:v>
      </x:c>
      <x:c r="K730" s="8" t="n">
        <x:v>-6</x:v>
      </x:c>
      <x:c r="L730" s="8" t="n">
        <x:v>28</x:v>
      </x:c>
      <x:c r="M730" s="8" t="n">
        <x:v>0</x:v>
      </x:c>
      <x:c r="N730" s="8" t="n">
        <x:v>0</x:v>
      </x:c>
      <x:c r="O730" s="8" t="n">
        <x:v>9</x:v>
      </x:c>
      <x:c r="P730" s="8" t="n">
        <x:v>0</x:v>
      </x:c>
      <x:c r="Q730" s="8" t="n">
        <x:v>0</x:v>
      </x:c>
      <x:c r="R730" s="8" t="n">
        <x:v>0</x:v>
      </x:c>
      <x:c r="S730" s="8" t="n">
        <x:f>L730-I730^2/H730</x:f>
        <x:v>26</x:v>
      </x:c>
      <x:c r="T730" s="8" t="n">
        <x:f>M730-J730^2/H730</x:f>
        <x:v>0</x:v>
      </x:c>
      <x:c r="U730" s="8" t="n">
        <x:f>N730-I730*J730/H730</x:f>
        <x:v>0</x:v>
      </x:c>
      <x:c r="V730" s="8" t="n">
        <x:f>O730-I730*K730/H730</x:f>
        <x:v>6</x:v>
      </x:c>
      <x:c r="W730" s="8" t="n">
        <x:f>P730-J730*K730/H730</x:f>
        <x:v>0</x:v>
      </x:c>
      <x:c r="X730" s="8" t="n">
        <x:f>V730/S730</x:f>
        <x:v>0.23076923076923078</x:v>
      </x:c>
      <x:c r="Y730" s="8" t="n">
        <x:f>0</x:f>
        <x:v>0</x:v>
      </x:c>
      <x:c r="Z730" s="8" t="n">
        <x:f>K730/H730-X730*I730/H730-Y730*J730/H730</x:f>
        <x:v>-0.6346153846153846</x:v>
      </x:c>
      <x:c r="AA730" s="8" t="n">
        <x:f>Z730+X730*Q730+Y730*R730</x:f>
        <x:v>-0.6346153846153846</x:v>
      </x:c>
    </x:row>
    <x:row r="731" ht="26" customHeight="1">
      <x:c r="A731" s="2"/>
      <x:c r="B731" s="2" t="n">
        <x:v>726</x:v>
      </x:c>
      <x:c r="C731" s="2" t="str">
        <x:v>Beauty / organic_volume_growth</x:v>
      </x:c>
      <x:c r="D731" s="2" t="str">
        <x:v>Broad market</x:v>
      </x:c>
      <x:c r="E731" s="7" t="n">
        <x:v>45107</x:v>
      </x:c>
      <x:c r="F731" s="2" t="str">
        <x:v>Pre-earnings</x:v>
      </x:c>
      <x:c r="G731" s="7" t="n">
        <x:v>45134</x:v>
      </x:c>
      <x:c r="H731" s="2" t="n">
        <x:v>9</x:v>
      </x:c>
      <x:c r="I731" s="8" t="n">
        <x:v>33.22338231084547</x:v>
      </x:c>
      <x:c r="J731" s="8" t="n">
        <x:v>0</x:v>
      </x:c>
      <x:c r="K731" s="8" t="n">
        <x:v>-4</x:v>
      </x:c>
      <x:c r="L731" s="8" t="n">
        <x:v>371.1584098349792</x:v>
      </x:c>
      <x:c r="M731" s="8" t="n">
        <x:v>0</x:v>
      </x:c>
      <x:c r="N731" s="8" t="n">
        <x:v>0</x:v>
      </x:c>
      <x:c r="O731" s="8" t="n">
        <x:v>42.893594788185034</x:v>
      </x:c>
      <x:c r="P731" s="8" t="n">
        <x:v>0</x:v>
      </x:c>
      <x:c r="Q731" s="8" t="n">
        <x:v>0.3338622398349367</x:v>
      </x:c>
      <x:c r="R731" s="8" t="n">
        <x:v>0</x:v>
      </x:c>
      <x:c r="S731" s="8" t="n">
        <x:f>L731-I731^2/H731</x:f>
        <x:v>248.5147284824681</x:v>
      </x:c>
      <x:c r="T731" s="8" t="n">
        <x:f>M731-J731^2/H731</x:f>
        <x:v>0</x:v>
      </x:c>
      <x:c r="U731" s="8" t="n">
        <x:f>N731-I731*J731/H731</x:f>
        <x:v>0</x:v>
      </x:c>
      <x:c r="V731" s="8" t="n">
        <x:f>O731-I731*K731/H731</x:f>
        <x:v>57.659542481894135</x:v>
      </x:c>
      <x:c r="W731" s="8" t="n">
        <x:f>P731-J731*K731/H731</x:f>
        <x:v>0</x:v>
      </x:c>
      <x:c r="X731" s="8" t="n">
        <x:f>V731/S731</x:f>
        <x:v>0.23201660052097006</x:v>
      </x:c>
      <x:c r="Y731" s="8" t="n">
        <x:f>0</x:f>
        <x:v>0</x:v>
      </x:c>
      <x:c r="Z731" s="8" t="n">
        <x:f>K731/H731-X731*I731/H731-Y731*J731/H731</x:f>
        <x:v>-1.300930691285655</x:v>
      </x:c>
      <x:c r="AA731" s="8" t="n">
        <x:f>Z731+X731*Q731+Y731*R731</x:f>
        <x:v>-1.2234691093568362</x:v>
      </x:c>
    </x:row>
    <x:row r="732" ht="26" customHeight="1">
      <x:c r="A732" s="2"/>
      <x:c r="B732" s="2" t="n">
        <x:v>727</x:v>
      </x:c>
      <x:c r="C732" s="2" t="str">
        <x:v>Beauty / organic_volume_growth</x:v>
      </x:c>
      <x:c r="D732" s="2" t="str">
        <x:v>Broad lag 1</x:v>
      </x:c>
      <x:c r="E732" s="7" t="n">
        <x:v>45107</x:v>
      </x:c>
      <x:c r="F732" s="2" t="str">
        <x:v>Pre-earnings</x:v>
      </x:c>
      <x:c r="G732" s="7" t="n">
        <x:v>45134</x:v>
      </x:c>
      <x:c r="H732" s="2" t="n">
        <x:v>8</x:v>
      </x:c>
      <x:c r="I732" s="8" t="n">
        <x:v>33.595293052267536</x:v>
      </x:c>
      <x:c r="J732" s="8" t="n">
        <x:v>0</x:v>
      </x:c>
      <x:c r="K732" s="8" t="n">
        <x:v>-6</x:v>
      </x:c>
      <x:c r="L732" s="8" t="n">
        <x:v>371.0200922353941</x:v>
      </x:c>
      <x:c r="M732" s="8" t="n">
        <x:v>0</x:v>
      </x:c>
      <x:c r="N732" s="8" t="n">
        <x:v>0</x:v>
      </x:c>
      <x:c r="O732" s="8" t="n">
        <x:v>9.074100936188955</x:v>
      </x:c>
      <x:c r="P732" s="8" t="n">
        <x:v>0</x:v>
      </x:c>
      <x:c r="Q732" s="8" t="n">
        <x:v>-0.3719107414220657</x:v>
      </x:c>
      <x:c r="R732" s="8" t="n">
        <x:v>0</x:v>
      </x:c>
      <x:c r="S732" s="8" t="n">
        <x:f>L732-I732^2/H732</x:f>
        <x:v>229.93962782692716</x:v>
      </x:c>
      <x:c r="T732" s="8" t="n">
        <x:f>M732-J732^2/H732</x:f>
        <x:v>0</x:v>
      </x:c>
      <x:c r="U732" s="8" t="n">
        <x:f>N732-I732*J732/H732</x:f>
        <x:v>0</x:v>
      </x:c>
      <x:c r="V732" s="8" t="n">
        <x:f>O732-I732*K732/H732</x:f>
        <x:v>34.270570725389604</x:v>
      </x:c>
      <x:c r="W732" s="8" t="n">
        <x:f>P732-J732*K732/H732</x:f>
        <x:v>0</x:v>
      </x:c>
      <x:c r="X732" s="8" t="n">
        <x:f>V732/S732</x:f>
        <x:v>0.14904160300365737</x:v>
      </x:c>
      <x:c r="Y732" s="8" t="n">
        <x:f>0</x:f>
        <x:v>0</x:v>
      </x:c>
      <x:c r="Z732" s="8" t="n">
        <x:f>K732/H732-X732*I732/H732-Y732*J732/H732</x:f>
        <x:v>-1.3758870412359485</x:v>
      </x:c>
      <x:c r="AA732" s="8" t="n">
        <x:f>Z732+X732*Q732+Y732*R732</x:f>
        <x:v>-1.4313172143117718</x:v>
      </x:c>
    </x:row>
    <x:row r="733" ht="26" customHeight="1">
      <x:c r="A733" s="2"/>
      <x:c r="B733" s="2" t="n">
        <x:v>728</x:v>
      </x:c>
      <x:c r="C733" s="2" t="str">
        <x:v>Beauty / organic_volume_growth</x:v>
      </x:c>
      <x:c r="D733" s="2" t="str">
        <x:v>Broad rolling 8</x:v>
      </x:c>
      <x:c r="E733" s="7" t="n">
        <x:v>45107</x:v>
      </x:c>
      <x:c r="F733" s="2" t="str">
        <x:v>Pre-earnings</x:v>
      </x:c>
      <x:c r="G733" s="7" t="n">
        <x:v>45134</x:v>
      </x:c>
      <x:c r="H733" s="2" t="n">
        <x:v>8</x:v>
      </x:c>
      <x:c r="I733" s="8" t="n">
        <x:v>26.590628997743714</x:v>
      </x:c>
      <x:c r="J733" s="8" t="n">
        <x:v>0</x:v>
      </x:c>
      <x:c r="K733" s="8" t="n">
        <x:v>-6</x:v>
      </x:c>
      <x:c r="L733" s="8" t="n">
        <x:v>327.16499332251686</x:v>
      </x:c>
      <x:c r="M733" s="8" t="n">
        <x:v>0</x:v>
      </x:c>
      <x:c r="N733" s="8" t="n">
        <x:v>0</x:v>
      </x:c>
      <x:c r="O733" s="8" t="n">
        <x:v>29.628088161981516</x:v>
      </x:c>
      <x:c r="P733" s="8" t="n">
        <x:v>0</x:v>
      </x:c>
      <x:c r="Q733" s="8" t="n">
        <x:v>0.3338622398349367</x:v>
      </x:c>
      <x:c r="R733" s="8" t="n">
        <x:v>0</x:v>
      </x:c>
      <x:c r="S733" s="8" t="n">
        <x:f>L733-I733^2/H733</x:f>
        <x:v>238.78229951056076</x:v>
      </x:c>
      <x:c r="T733" s="8" t="n">
        <x:f>M733-J733^2/H733</x:f>
        <x:v>0</x:v>
      </x:c>
      <x:c r="U733" s="8" t="n">
        <x:f>N733-I733*J733/H733</x:f>
        <x:v>0</x:v>
      </x:c>
      <x:c r="V733" s="8" t="n">
        <x:f>O733-I733*K733/H733</x:f>
        <x:v>49.5710599102893</x:v>
      </x:c>
      <x:c r="W733" s="8" t="n">
        <x:f>P733-J733*K733/H733</x:f>
        <x:v>0</x:v>
      </x:c>
      <x:c r="X733" s="8" t="n">
        <x:f>V733/S733</x:f>
        <x:v>0.20759939079193301</x:v>
      </x:c>
      <x:c r="Y733" s="8" t="n">
        <x:f>0</x:f>
        <x:v>0</x:v>
      </x:c>
      <x:c r="Z733" s="8" t="n">
        <x:f>K733/H733-X733*I733/H733-Y733*J733/H733</x:f>
        <x:v>-1.4400247975882379</x:v>
      </x:c>
      <x:c r="AA733" s="8" t="n">
        <x:f>Z733+X733*Q733+Y733*R733</x:f>
        <x:v>-1.3707151999900749</x:v>
      </x:c>
    </x:row>
    <x:row r="734" ht="26" customHeight="1">
      <x:c r="A734" s="2"/>
      <x:c r="B734" s="2" t="n">
        <x:v>729</x:v>
      </x:c>
      <x:c r="C734" s="2" t="str">
        <x:v>Beauty / organic_volume_growth</x:v>
      </x:c>
      <x:c r="D734" s="2" t="str">
        <x:v>Own history</x:v>
      </x:c>
      <x:c r="E734" s="7" t="n">
        <x:v>45107</x:v>
      </x:c>
      <x:c r="F734" s="2" t="str">
        <x:v>Pre-earnings</x:v>
      </x:c>
      <x:c r="G734" s="7" t="n">
        <x:v>45134</x:v>
      </x:c>
      <x:c r="H734" s="2" t="n">
        <x:v>8</x:v>
      </x:c>
      <x:c r="I734" s="8" t="n">
        <x:v>-4</x:v>
      </x:c>
      <x:c r="J734" s="8" t="n">
        <x:v>0</x:v>
      </x:c>
      <x:c r="K734" s="8" t="n">
        <x:v>-6</x:v>
      </x:c>
      <x:c r="L734" s="8" t="n">
        <x:v>28</x:v>
      </x:c>
      <x:c r="M734" s="8" t="n">
        <x:v>0</x:v>
      </x:c>
      <x:c r="N734" s="8" t="n">
        <x:v>0</x:v>
      </x:c>
      <x:c r="O734" s="8" t="n">
        <x:v>9</x:v>
      </x:c>
      <x:c r="P734" s="8" t="n">
        <x:v>0</x:v>
      </x:c>
      <x:c r="Q734" s="8" t="n">
        <x:v>0</x:v>
      </x:c>
      <x:c r="R734" s="8" t="n">
        <x:v>0</x:v>
      </x:c>
      <x:c r="S734" s="8" t="n">
        <x:f>L734-I734^2/H734</x:f>
        <x:v>26</x:v>
      </x:c>
      <x:c r="T734" s="8" t="n">
        <x:f>M734-J734^2/H734</x:f>
        <x:v>0</x:v>
      </x:c>
      <x:c r="U734" s="8" t="n">
        <x:f>N734-I734*J734/H734</x:f>
        <x:v>0</x:v>
      </x:c>
      <x:c r="V734" s="8" t="n">
        <x:f>O734-I734*K734/H734</x:f>
        <x:v>6</x:v>
      </x:c>
      <x:c r="W734" s="8" t="n">
        <x:f>P734-J734*K734/H734</x:f>
        <x:v>0</x:v>
      </x:c>
      <x:c r="X734" s="8" t="n">
        <x:f>V734/S734</x:f>
        <x:v>0.23076923076923078</x:v>
      </x:c>
      <x:c r="Y734" s="8" t="n">
        <x:f>0</x:f>
        <x:v>0</x:v>
      </x:c>
      <x:c r="Z734" s="8" t="n">
        <x:f>K734/H734-X734*I734/H734-Y734*J734/H734</x:f>
        <x:v>-0.6346153846153846</x:v>
      </x:c>
      <x:c r="AA734" s="8" t="n">
        <x:f>Z734+X734*Q734+Y734*R734</x:f>
        <x:v>-0.6346153846153846</x:v>
      </x:c>
    </x:row>
    <x:row r="735" ht="26" customHeight="1">
      <x:c r="A735" s="2"/>
      <x:c r="B735" s="2" t="n">
        <x:v>730</x:v>
      </x:c>
      <x:c r="C735" s="2" t="str">
        <x:v>Beauty / organic_volume_growth</x:v>
      </x:c>
      <x:c r="D735" s="2" t="str">
        <x:v>Broad market</x:v>
      </x:c>
      <x:c r="E735" s="7" t="n">
        <x:v>45199</x:v>
      </x:c>
      <x:c r="F735" s="2" t="str">
        <x:v>Origin</x:v>
      </x:c>
      <x:c r="G735" s="7" t="n">
        <x:v>45108</x:v>
      </x:c>
      <x:c r="H735" s="2" t="n">
        <x:v>9</x:v>
      </x:c>
      <x:c r="I735" s="8" t="n">
        <x:v>33.22338231084547</x:v>
      </x:c>
      <x:c r="J735" s="8" t="n">
        <x:v>0</x:v>
      </x:c>
      <x:c r="K735" s="8" t="n">
        <x:v>-4</x:v>
      </x:c>
      <x:c r="L735" s="8" t="n">
        <x:v>371.1584098349792</x:v>
      </x:c>
      <x:c r="M735" s="8" t="n">
        <x:v>0</x:v>
      </x:c>
      <x:c r="N735" s="8" t="n">
        <x:v>0</x:v>
      </x:c>
      <x:c r="O735" s="8" t="n">
        <x:v>42.893594788185034</x:v>
      </x:c>
      <x:c r="P735" s="8" t="n">
        <x:v>0</x:v>
      </x:c>
      <x:c r="Q735" s="8" t="n">
        <x:v>0.16843755354232215</x:v>
      </x:c>
      <x:c r="R735" s="8" t="n">
        <x:v>0</x:v>
      </x:c>
      <x:c r="S735" s="8" t="n">
        <x:f>L735-I735^2/H735</x:f>
        <x:v>248.5147284824681</x:v>
      </x:c>
      <x:c r="T735" s="8" t="n">
        <x:f>M735-J735^2/H735</x:f>
        <x:v>0</x:v>
      </x:c>
      <x:c r="U735" s="8" t="n">
        <x:f>N735-I735*J735/H735</x:f>
        <x:v>0</x:v>
      </x:c>
      <x:c r="V735" s="8" t="n">
        <x:f>O735-I735*K735/H735</x:f>
        <x:v>57.659542481894135</x:v>
      </x:c>
      <x:c r="W735" s="8" t="n">
        <x:f>P735-J735*K735/H735</x:f>
        <x:v>0</x:v>
      </x:c>
      <x:c r="X735" s="8" t="n">
        <x:f>V735/S735</x:f>
        <x:v>0.23201660052097006</x:v>
      </x:c>
      <x:c r="Y735" s="8" t="n">
        <x:f>0</x:f>
        <x:v>0</x:v>
      </x:c>
      <x:c r="Z735" s="8" t="n">
        <x:f>K735/H735-X735*I735/H735-Y735*J735/H735</x:f>
        <x:v>-1.300930691285655</x:v>
      </x:c>
      <x:c r="AA735" s="8" t="n">
        <x:f>Z735+X735*Q735+Y735*R735</x:f>
        <x:v>-1.2618503827126966</x:v>
      </x:c>
    </x:row>
    <x:row r="736" ht="26" customHeight="1">
      <x:c r="A736" s="2"/>
      <x:c r="B736" s="2" t="n">
        <x:v>731</x:v>
      </x:c>
      <x:c r="C736" s="2" t="str">
        <x:v>Beauty / organic_volume_growth</x:v>
      </x:c>
      <x:c r="D736" s="2" t="str">
        <x:v>Broad rolling 8</x:v>
      </x:c>
      <x:c r="E736" s="7" t="n">
        <x:v>45199</x:v>
      </x:c>
      <x:c r="F736" s="2" t="str">
        <x:v>Origin</x:v>
      </x:c>
      <x:c r="G736" s="7" t="n">
        <x:v>45108</x:v>
      </x:c>
      <x:c r="H736" s="2" t="n">
        <x:v>8</x:v>
      </x:c>
      <x:c r="I736" s="8" t="n">
        <x:v>26.590628997743714</x:v>
      </x:c>
      <x:c r="J736" s="8" t="n">
        <x:v>0</x:v>
      </x:c>
      <x:c r="K736" s="8" t="n">
        <x:v>-6</x:v>
      </x:c>
      <x:c r="L736" s="8" t="n">
        <x:v>327.16499332251686</x:v>
      </x:c>
      <x:c r="M736" s="8" t="n">
        <x:v>0</x:v>
      </x:c>
      <x:c r="N736" s="8" t="n">
        <x:v>0</x:v>
      </x:c>
      <x:c r="O736" s="8" t="n">
        <x:v>29.628088161981516</x:v>
      </x:c>
      <x:c r="P736" s="8" t="n">
        <x:v>0</x:v>
      </x:c>
      <x:c r="Q736" s="8" t="n">
        <x:v>0.16843755354232215</x:v>
      </x:c>
      <x:c r="R736" s="8" t="n">
        <x:v>0</x:v>
      </x:c>
      <x:c r="S736" s="8" t="n">
        <x:f>L736-I736^2/H736</x:f>
        <x:v>238.78229951056076</x:v>
      </x:c>
      <x:c r="T736" s="8" t="n">
        <x:f>M736-J736^2/H736</x:f>
        <x:v>0</x:v>
      </x:c>
      <x:c r="U736" s="8" t="n">
        <x:f>N736-I736*J736/H736</x:f>
        <x:v>0</x:v>
      </x:c>
      <x:c r="V736" s="8" t="n">
        <x:f>O736-I736*K736/H736</x:f>
        <x:v>49.5710599102893</x:v>
      </x:c>
      <x:c r="W736" s="8" t="n">
        <x:f>P736-J736*K736/H736</x:f>
        <x:v>0</x:v>
      </x:c>
      <x:c r="X736" s="8" t="n">
        <x:f>V736/S736</x:f>
        <x:v>0.20759939079193301</x:v>
      </x:c>
      <x:c r="Y736" s="8" t="n">
        <x:f>0</x:f>
        <x:v>0</x:v>
      </x:c>
      <x:c r="Z736" s="8" t="n">
        <x:f>K736/H736-X736*I736/H736-Y736*J736/H736</x:f>
        <x:v>-1.4400247975882379</x:v>
      </x:c>
      <x:c r="AA736" s="8" t="n">
        <x:f>Z736+X736*Q736+Y736*R736</x:f>
        <x:v>-1.405057264086368</x:v>
      </x:c>
    </x:row>
    <x:row r="737" ht="26" customHeight="1">
      <x:c r="A737" s="2"/>
      <x:c r="B737" s="2" t="n">
        <x:v>732</x:v>
      </x:c>
      <x:c r="C737" s="2" t="str">
        <x:v>Beauty / organic_volume_growth</x:v>
      </x:c>
      <x:c r="D737" s="2" t="str">
        <x:v>Broad market</x:v>
      </x:c>
      <x:c r="E737" s="7" t="n">
        <x:v>45199</x:v>
      </x:c>
      <x:c r="F737" s="2" t="str">
        <x:v>Prior report</x:v>
      </x:c>
      <x:c r="G737" s="7" t="n">
        <x:v>45135</x:v>
      </x:c>
      <x:c r="H737" s="2" t="n">
        <x:v>10</x:v>
      </x:c>
      <x:c r="I737" s="8" t="n">
        <x:v>33.702236280504636</x:v>
      </x:c>
      <x:c r="J737" s="8" t="n">
        <x:v>0</x:v>
      </x:c>
      <x:c r="K737" s="8" t="n">
        <x:v>-5</x:v>
      </x:c>
      <x:c r="L737" s="8" t="n">
        <x:v>371.38771095923755</x:v>
      </x:c>
      <x:c r="M737" s="8" t="n">
        <x:v>0</x:v>
      </x:c>
      <x:c r="N737" s="8" t="n">
        <x:v>0</x:v>
      </x:c>
      <x:c r="O737" s="8" t="n">
        <x:v>42.414740818525864</x:v>
      </x:c>
      <x:c r="P737" s="8" t="n">
        <x:v>0</x:v>
      </x:c>
      <x:c r="Q737" s="8" t="n">
        <x:v>0.4788112989289939</x:v>
      </x:c>
      <x:c r="R737" s="8" t="n">
        <x:v>0</x:v>
      </x:c>
      <x:c r="S737" s="8" t="n">
        <x:f>L737-I737^2/H737</x:f>
        <x:v>257.80363792854126</x:v>
      </x:c>
      <x:c r="T737" s="8" t="n">
        <x:f>M737-J737^2/H737</x:f>
        <x:v>0</x:v>
      </x:c>
      <x:c r="U737" s="8" t="n">
        <x:f>N737-I737*J737/H737</x:f>
        <x:v>0</x:v>
      </x:c>
      <x:c r="V737" s="8" t="n">
        <x:f>O737-I737*K737/H737</x:f>
        <x:v>59.26585895877818</x:v>
      </x:c>
      <x:c r="W737" s="8" t="n">
        <x:f>P737-J737*K737/H737</x:f>
        <x:v>0</x:v>
      </x:c>
      <x:c r="X737" s="8" t="n">
        <x:f>V737/S737</x:f>
        <x:v>0.2298875975334594</x:v>
      </x:c>
      <x:c r="Y737" s="8" t="n">
        <x:f>0</x:f>
        <x:v>0</x:v>
      </x:c>
      <x:c r="Z737" s="8" t="n">
        <x:f>K737/H737-X737*I737/H737-Y737*J737/H737</x:f>
        <x:v>-1.2747726130030204</x:v>
      </x:c>
      <x:c r="AA737" s="8" t="n">
        <x:f>Z737+X737*Q737+Y737*R737</x:f>
        <x:v>-1.164699833820359</x:v>
      </x:c>
    </x:row>
    <x:row r="738" ht="26" customHeight="1">
      <x:c r="A738" s="2"/>
      <x:c r="B738" s="2" t="n">
        <x:v>733</x:v>
      </x:c>
      <x:c r="C738" s="2" t="str">
        <x:v>Beauty / organic_volume_growth</x:v>
      </x:c>
      <x:c r="D738" s="2" t="str">
        <x:v>Broad lag 1</x:v>
      </x:c>
      <x:c r="E738" s="7" t="n">
        <x:v>45199</x:v>
      </x:c>
      <x:c r="F738" s="2" t="str">
        <x:v>Prior report</x:v>
      </x:c>
      <x:c r="G738" s="7" t="n">
        <x:v>45135</x:v>
      </x:c>
      <x:c r="H738" s="2" t="n">
        <x:v>9</x:v>
      </x:c>
      <x:c r="I738" s="8" t="n">
        <x:v>33.22338231084547</x:v>
      </x:c>
      <x:c r="J738" s="8" t="n">
        <x:v>0</x:v>
      </x:c>
      <x:c r="K738" s="8" t="n">
        <x:v>-7</x:v>
      </x:c>
      <x:c r="L738" s="8" t="n">
        <x:v>371.1584098349792</x:v>
      </x:c>
      <x:c r="M738" s="8" t="n">
        <x:v>0</x:v>
      </x:c>
      <x:c r="N738" s="8" t="n">
        <x:v>0</x:v>
      </x:c>
      <x:c r="O738" s="8" t="n">
        <x:v>9.446011677611022</x:v>
      </x:c>
      <x:c r="P738" s="8" t="n">
        <x:v>0</x:v>
      </x:c>
      <x:c r="Q738" s="8" t="n">
        <x:v>0.4788539696591654</x:v>
      </x:c>
      <x:c r="R738" s="8" t="n">
        <x:v>0</x:v>
      </x:c>
      <x:c r="S738" s="8" t="n">
        <x:f>L738-I738^2/H738</x:f>
        <x:v>248.5147284824681</x:v>
      </x:c>
      <x:c r="T738" s="8" t="n">
        <x:f>M738-J738^2/H738</x:f>
        <x:v>0</x:v>
      </x:c>
      <x:c r="U738" s="8" t="n">
        <x:f>N738-I738*J738/H738</x:f>
        <x:v>0</x:v>
      </x:c>
      <x:c r="V738" s="8" t="n">
        <x:f>O738-I738*K738/H738</x:f>
        <x:v>35.28642014160195</x:v>
      </x:c>
      <x:c r="W738" s="8" t="n">
        <x:f>P738-J738*K738/H738</x:f>
        <x:v>0</x:v>
      </x:c>
      <x:c r="X738" s="8" t="n">
        <x:f>V738/S738</x:f>
        <x:v>0.14198925092719925</x:v>
      </x:c>
      <x:c r="Y738" s="8" t="n">
        <x:f>0</x:f>
        <x:v>0</x:v>
      </x:c>
      <x:c r="Z738" s="8" t="n">
        <x:f>K738/H738-X738*I738/H738-Y738*J738/H738</x:f>
        <x:v>-1.3019292408427678</x:v>
      </x:c>
      <x:c r="AA738" s="8" t="n">
        <x:f>Z738+X738*Q738+Y738*R738</x:f>
        <x:v>-1.2339371243873472</x:v>
      </x:c>
    </x:row>
    <x:row r="739" ht="26" customHeight="1">
      <x:c r="A739" s="2"/>
      <x:c r="B739" s="2" t="n">
        <x:v>734</x:v>
      </x:c>
      <x:c r="C739" s="2" t="str">
        <x:v>Beauty / organic_volume_growth</x:v>
      </x:c>
      <x:c r="D739" s="2" t="str">
        <x:v>Broad rolling 8</x:v>
      </x:c>
      <x:c r="E739" s="7" t="n">
        <x:v>45199</x:v>
      </x:c>
      <x:c r="F739" s="2" t="str">
        <x:v>Prior report</x:v>
      </x:c>
      <x:c r="G739" s="7" t="n">
        <x:v>45135</x:v>
      </x:c>
      <x:c r="H739" s="2" t="n">
        <x:v>8</x:v>
      </x:c>
      <x:c r="I739" s="8" t="n">
        <x:v>12.45774615649593</x:v>
      </x:c>
      <x:c r="J739" s="8" t="n">
        <x:v>0</x:v>
      </x:c>
      <x:c r="K739" s="8" t="n">
        <x:v>-8</x:v>
      </x:c>
      <x:c r="L739" s="8" t="n">
        <x:v>113.89144181556195</x:v>
      </x:c>
      <x:c r="M739" s="8" t="n">
        <x:v>0</x:v>
      </x:c>
      <x:c r="N739" s="8" t="n">
        <x:v>0</x:v>
      </x:c>
      <x:c r="O739" s="8" t="n">
        <x:v>14.537497381415399</x:v>
      </x:c>
      <x:c r="P739" s="8" t="n">
        <x:v>0</x:v>
      </x:c>
      <x:c r="Q739" s="8" t="n">
        <x:v>0.4788112989289939</x:v>
      </x:c>
      <x:c r="R739" s="8" t="n">
        <x:v>0</x:v>
      </x:c>
      <x:c r="S739" s="8" t="n">
        <x:f>L739-I739^2/H739</x:f>
        <x:v>94.4920119031008</x:v>
      </x:c>
      <x:c r="T739" s="8" t="n">
        <x:f>M739-J739^2/H739</x:f>
        <x:v>0</x:v>
      </x:c>
      <x:c r="U739" s="8" t="n">
        <x:f>N739-I739*J739/H739</x:f>
        <x:v>0</x:v>
      </x:c>
      <x:c r="V739" s="8" t="n">
        <x:f>O739-I739*K739/H739</x:f>
        <x:v>26.99524353791133</x:v>
      </x:c>
      <x:c r="W739" s="8" t="n">
        <x:f>P739-J739*K739/H739</x:f>
        <x:v>0</x:v>
      </x:c>
      <x:c r="X739" s="8" t="n">
        <x:f>V739/S739</x:f>
        <x:v>0.2856881020333685</x:v>
      </x:c>
      <x:c r="Y739" s="8" t="n">
        <x:f>0</x:f>
        <x:v>0</x:v>
      </x:c>
      <x:c r="Z739" s="8" t="n">
        <x:f>K739/H739-X739*I739/H739-Y739*J739/H739</x:f>
        <x:v>-1.4448787318828515</x:v>
      </x:c>
      <x:c r="AA739" s="8" t="n">
        <x:f>Z739+X739*Q739+Y739*R739</x:f>
        <x:v>-1.3080880406596955</x:v>
      </x:c>
    </x:row>
    <x:row r="740" ht="26" customHeight="1">
      <x:c r="A740" s="2"/>
      <x:c r="B740" s="2" t="n">
        <x:v>735</x:v>
      </x:c>
      <x:c r="C740" s="2" t="str">
        <x:v>Beauty / organic_volume_growth</x:v>
      </x:c>
      <x:c r="D740" s="2" t="str">
        <x:v>Own history</x:v>
      </x:c>
      <x:c r="E740" s="7" t="n">
        <x:v>45199</x:v>
      </x:c>
      <x:c r="F740" s="2" t="str">
        <x:v>Prior report</x:v>
      </x:c>
      <x:c r="G740" s="7" t="n">
        <x:v>45135</x:v>
      </x:c>
      <x:c r="H740" s="2" t="n">
        <x:v>9</x:v>
      </x:c>
      <x:c r="I740" s="8" t="n">
        <x:v>-4</x:v>
      </x:c>
      <x:c r="J740" s="8" t="n">
        <x:v>0</x:v>
      </x:c>
      <x:c r="K740" s="8" t="n">
        <x:v>-7</x:v>
      </x:c>
      <x:c r="L740" s="8" t="n">
        <x:v>28</x:v>
      </x:c>
      <x:c r="M740" s="8" t="n">
        <x:v>0</x:v>
      </x:c>
      <x:c r="N740" s="8" t="n">
        <x:v>0</x:v>
      </x:c>
      <x:c r="O740" s="8" t="n">
        <x:v>9</x:v>
      </x:c>
      <x:c r="P740" s="8" t="n">
        <x:v>0</x:v>
      </x:c>
      <x:c r="Q740" s="8" t="n">
        <x:v>-1</x:v>
      </x:c>
      <x:c r="R740" s="8" t="n">
        <x:v>0</x:v>
      </x:c>
      <x:c r="S740" s="8" t="n">
        <x:f>L740-I740^2/H740</x:f>
        <x:v>26.22222222222222</x:v>
      </x:c>
      <x:c r="T740" s="8" t="n">
        <x:f>M740-J740^2/H740</x:f>
        <x:v>0</x:v>
      </x:c>
      <x:c r="U740" s="8" t="n">
        <x:f>N740-I740*J740/H740</x:f>
        <x:v>0</x:v>
      </x:c>
      <x:c r="V740" s="8" t="n">
        <x:f>O740-I740*K740/H740</x:f>
        <x:v>5.888888888888889</x:v>
      </x:c>
      <x:c r="W740" s="8" t="n">
        <x:f>P740-J740*K740/H740</x:f>
        <x:v>0</x:v>
      </x:c>
      <x:c r="X740" s="8" t="n">
        <x:f>V740/S740</x:f>
        <x:v>0.2245762711864407</x:v>
      </x:c>
      <x:c r="Y740" s="8" t="n">
        <x:f>0</x:f>
        <x:v>0</x:v>
      </x:c>
      <x:c r="Z740" s="8" t="n">
        <x:f>K740/H740-X740*I740/H740-Y740*J740/H740</x:f>
        <x:v>-0.6779661016949152</x:v>
      </x:c>
      <x:c r="AA740" s="8" t="n">
        <x:f>Z740+X740*Q740+Y740*R740</x:f>
        <x:v>-0.902542372881356</x:v>
      </x:c>
    </x:row>
    <x:row r="741" ht="26" customHeight="1">
      <x:c r="A741" s="2"/>
      <x:c r="B741" s="2" t="n">
        <x:v>736</x:v>
      </x:c>
      <x:c r="C741" s="2" t="str">
        <x:v>Beauty / organic_volume_growth</x:v>
      </x:c>
      <x:c r="D741" s="2" t="str">
        <x:v>Broad market</x:v>
      </x:c>
      <x:c r="E741" s="7" t="n">
        <x:v>45199</x:v>
      </x:c>
      <x:c r="F741" s="2" t="str">
        <x:v>Pre-earnings</x:v>
      </x:c>
      <x:c r="G741" s="7" t="n">
        <x:v>45216</x:v>
      </x:c>
      <x:c r="H741" s="2" t="n">
        <x:v>10</x:v>
      </x:c>
      <x:c r="I741" s="8" t="n">
        <x:v>36.567292681299975</x:v>
      </x:c>
      <x:c r="J741" s="8" t="n">
        <x:v>0</x:v>
      </x:c>
      <x:c r="K741" s="8" t="n">
        <x:v>-5</x:v>
      </x:c>
      <x:c r="L741" s="8" t="n">
        <x:v>345.1986530501643</x:v>
      </x:c>
      <x:c r="M741" s="8" t="n">
        <x:v>0</x:v>
      </x:c>
      <x:c r="N741" s="8" t="n">
        <x:v>0</x:v>
      </x:c>
      <x:c r="O741" s="8" t="n">
        <x:v>33.83925187539263</x:v>
      </x:c>
      <x:c r="P741" s="8" t="n">
        <x:v>0</x:v>
      </x:c>
      <x:c r="Q741" s="8" t="n">
        <x:v>1.3122219305964355</x:v>
      </x:c>
      <x:c r="R741" s="8" t="n">
        <x:v>0</x:v>
      </x:c>
      <x:c r="S741" s="8" t="n">
        <x:f>L741-I741^2/H741</x:f>
        <x:v>211.48196364617883</x:v>
      </x:c>
      <x:c r="T741" s="8" t="n">
        <x:f>M741-J741^2/H741</x:f>
        <x:v>0</x:v>
      </x:c>
      <x:c r="U741" s="8" t="n">
        <x:f>N741-I741*J741/H741</x:f>
        <x:v>0</x:v>
      </x:c>
      <x:c r="V741" s="8" t="n">
        <x:f>O741-I741*K741/H741</x:f>
        <x:v>52.122898216042614</x:v>
      </x:c>
      <x:c r="W741" s="8" t="n">
        <x:f>P741-J741*K741/H741</x:f>
        <x:v>0</x:v>
      </x:c>
      <x:c r="X741" s="8" t="n">
        <x:f>V741/S741</x:f>
        <x:v>0.24646498130330935</x:v>
      </x:c>
      <x:c r="Y741" s="8" t="n">
        <x:f>0</x:f>
        <x:v>0</x:v>
      </x:c>
      <x:c r="Z741" s="8" t="n">
        <x:f>K741/H741-X741*I741/H741-Y741*J741/H741</x:f>
        <x:v>-1.401255710700924</x:v>
      </x:c>
      <x:c r="AA741" s="8" t="n">
        <x:f>Z741+X741*Q741+Y741*R741</x:f>
        <x:v>-1.077838957110681</x:v>
      </x:c>
    </x:row>
    <x:row r="742" ht="26" customHeight="1">
      <x:c r="A742" s="2"/>
      <x:c r="B742" s="2" t="n">
        <x:v>737</x:v>
      </x:c>
      <x:c r="C742" s="2" t="str">
        <x:v>Beauty / organic_volume_growth</x:v>
      </x:c>
      <x:c r="D742" s="2" t="str">
        <x:v>Broad lag 1</x:v>
      </x:c>
      <x:c r="E742" s="7" t="n">
        <x:v>45199</x:v>
      </x:c>
      <x:c r="F742" s="2" t="str">
        <x:v>Pre-earnings</x:v>
      </x:c>
      <x:c r="G742" s="7" t="n">
        <x:v>45216</x:v>
      </x:c>
      <x:c r="H742" s="2" t="n">
        <x:v>9</x:v>
      </x:c>
      <x:c r="I742" s="8" t="n">
        <x:v>36.50529330129378</x:v>
      </x:c>
      <x:c r="J742" s="8" t="n">
        <x:v>0</x:v>
      </x:c>
      <x:c r="K742" s="8" t="n">
        <x:v>-7</x:v>
      </x:c>
      <x:c r="L742" s="8" t="n">
        <x:v>345.1948091270432</x:v>
      </x:c>
      <x:c r="M742" s="8" t="n">
        <x:v>0</x:v>
      </x:c>
      <x:c r="N742" s="8" t="n">
        <x:v>0</x:v>
      </x:c>
      <x:c r="O742" s="8" t="n">
        <x:v>0.49719174970925817</x:v>
      </x:c>
      <x:c r="P742" s="8" t="n">
        <x:v>0</x:v>
      </x:c>
      <x:c r="Q742" s="8" t="n">
        <x:v>0.06199938000619465</x:v>
      </x:c>
      <x:c r="R742" s="8" t="n">
        <x:v>0</x:v>
      </x:c>
      <x:c r="S742" s="8" t="n">
        <x:f>L742-I742^2/H742</x:f>
        <x:v>197.12409368110045</x:v>
      </x:c>
      <x:c r="T742" s="8" t="n">
        <x:f>M742-J742^2/H742</x:f>
        <x:v>0</x:v>
      </x:c>
      <x:c r="U742" s="8" t="n">
        <x:f>N742-I742*J742/H742</x:f>
        <x:v>0</x:v>
      </x:c>
      <x:c r="V742" s="8" t="n">
        <x:f>O742-I742*K742/H742</x:f>
        <x:v>28.890197650715535</x:v>
      </x:c>
      <x:c r="W742" s="8" t="n">
        <x:f>P742-J742*K742/H742</x:f>
        <x:v>0</x:v>
      </x:c>
      <x:c r="X742" s="8" t="n">
        <x:f>V742/S742</x:f>
        <x:v>0.14655842982569625</x:v>
      </x:c>
      <x:c r="Y742" s="8" t="n">
        <x:f>0</x:f>
        <x:v>0</x:v>
      </x:c>
      <x:c r="Z742" s="8" t="n">
        <x:f>K742/H742-X742*I742/H742-Y742*J742/H742</x:f>
        <x:v>-1.372239829618236</x:v>
      </x:c>
      <x:c r="AA742" s="8" t="n">
        <x:f>Z742+X742*Q742+Y742*R742</x:f>
        <x:v>-1.3631532978343615</x:v>
      </x:c>
    </x:row>
    <x:row r="743" ht="26" customHeight="1">
      <x:c r="A743" s="2"/>
      <x:c r="B743" s="2" t="n">
        <x:v>738</x:v>
      </x:c>
      <x:c r="C743" s="2" t="str">
        <x:v>Beauty / organic_volume_growth</x:v>
      </x:c>
      <x:c r="D743" s="2" t="str">
        <x:v>Broad rolling 8</x:v>
      </x:c>
      <x:c r="E743" s="7" t="n">
        <x:v>45199</x:v>
      </x:c>
      <x:c r="F743" s="2" t="str">
        <x:v>Pre-earnings</x:v>
      </x:c>
      <x:c r="G743" s="7" t="n">
        <x:v>45216</x:v>
      </x:c>
      <x:c r="H743" s="2" t="n">
        <x:v>8</x:v>
      </x:c>
      <x:c r="I743" s="8" t="n">
        <x:v>16.237449689275486</x:v>
      </x:c>
      <x:c r="J743" s="8" t="n">
        <x:v>0</x:v>
      </x:c>
      <x:c r="K743" s="8" t="n">
        <x:v>-8</x:v>
      </x:c>
      <x:c r="L743" s="8" t="n">
        <x:v>110.53830054061801</x:v>
      </x:c>
      <x:c r="M743" s="8" t="n">
        <x:v>0</x:v>
      </x:c>
      <x:c r="N743" s="8" t="n">
        <x:v>0</x:v>
      </x:c>
      <x:c r="O743" s="8" t="n">
        <x:v>7.086752374590399</x:v>
      </x:c>
      <x:c r="P743" s="8" t="n">
        <x:v>0</x:v>
      </x:c>
      <x:c r="Q743" s="8" t="n">
        <x:v>1.3122219305964355</x:v>
      </x:c>
      <x:c r="R743" s="8" t="n">
        <x:v>0</x:v>
      </x:c>
      <x:c r="S743" s="8" t="n">
        <x:f>L743-I743^2/H743</x:f>
        <x:v>77.58145398914894</x:v>
      </x:c>
      <x:c r="T743" s="8" t="n">
        <x:f>M743-J743^2/H743</x:f>
        <x:v>0</x:v>
      </x:c>
      <x:c r="U743" s="8" t="n">
        <x:f>N743-I743*J743/H743</x:f>
        <x:v>0</x:v>
      </x:c>
      <x:c r="V743" s="8" t="n">
        <x:f>O743-I743*K743/H743</x:f>
        <x:v>23.324202063865886</x:v>
      </x:c>
      <x:c r="W743" s="8" t="n">
        <x:f>P743-J743*K743/H743</x:f>
        <x:v>0</x:v>
      </x:c>
      <x:c r="X743" s="8" t="n">
        <x:f>V743/S743</x:f>
        <x:v>0.3006414660277979</x:v>
      </x:c>
      <x:c r="Y743" s="8" t="n">
        <x:f>0</x:f>
        <x:v>0</x:v>
      </x:c>
      <x:c r="Z743" s="8" t="n">
        <x:f>K743/H743-X743*I743/H743-Y743*J743/H743</x:f>
        <x:v>-1.6102063348920492</x:v>
      </x:c>
      <x:c r="AA743" s="8" t="n">
        <x:f>Z743+X743*Q743+Y743*R743</x:f>
        <x:v>-1.2156980099237096</x:v>
      </x:c>
    </x:row>
    <x:row r="744" ht="26" customHeight="1">
      <x:c r="A744" s="2"/>
      <x:c r="B744" s="2" t="n">
        <x:v>739</x:v>
      </x:c>
      <x:c r="C744" s="2" t="str">
        <x:v>Beauty / organic_volume_growth</x:v>
      </x:c>
      <x:c r="D744" s="2" t="str">
        <x:v>Own history</x:v>
      </x:c>
      <x:c r="E744" s="7" t="n">
        <x:v>45199</x:v>
      </x:c>
      <x:c r="F744" s="2" t="str">
        <x:v>Pre-earnings</x:v>
      </x:c>
      <x:c r="G744" s="7" t="n">
        <x:v>45216</x:v>
      </x:c>
      <x:c r="H744" s="2" t="n">
        <x:v>9</x:v>
      </x:c>
      <x:c r="I744" s="8" t="n">
        <x:v>-4</x:v>
      </x:c>
      <x:c r="J744" s="8" t="n">
        <x:v>0</x:v>
      </x:c>
      <x:c r="K744" s="8" t="n">
        <x:v>-7</x:v>
      </x:c>
      <x:c r="L744" s="8" t="n">
        <x:v>28</x:v>
      </x:c>
      <x:c r="M744" s="8" t="n">
        <x:v>0</x:v>
      </x:c>
      <x:c r="N744" s="8" t="n">
        <x:v>0</x:v>
      </x:c>
      <x:c r="O744" s="8" t="n">
        <x:v>9</x:v>
      </x:c>
      <x:c r="P744" s="8" t="n">
        <x:v>0</x:v>
      </x:c>
      <x:c r="Q744" s="8" t="n">
        <x:v>-1</x:v>
      </x:c>
      <x:c r="R744" s="8" t="n">
        <x:v>0</x:v>
      </x:c>
      <x:c r="S744" s="8" t="n">
        <x:f>L744-I744^2/H744</x:f>
        <x:v>26.22222222222222</x:v>
      </x:c>
      <x:c r="T744" s="8" t="n">
        <x:f>M744-J744^2/H744</x:f>
        <x:v>0</x:v>
      </x:c>
      <x:c r="U744" s="8" t="n">
        <x:f>N744-I744*J744/H744</x:f>
        <x:v>0</x:v>
      </x:c>
      <x:c r="V744" s="8" t="n">
        <x:f>O744-I744*K744/H744</x:f>
        <x:v>5.888888888888889</x:v>
      </x:c>
      <x:c r="W744" s="8" t="n">
        <x:f>P744-J744*K744/H744</x:f>
        <x:v>0</x:v>
      </x:c>
      <x:c r="X744" s="8" t="n">
        <x:f>V744/S744</x:f>
        <x:v>0.2245762711864407</x:v>
      </x:c>
      <x:c r="Y744" s="8" t="n">
        <x:f>0</x:f>
        <x:v>0</x:v>
      </x:c>
      <x:c r="Z744" s="8" t="n">
        <x:f>K744/H744-X744*I744/H744-Y744*J744/H744</x:f>
        <x:v>-0.6779661016949152</x:v>
      </x:c>
      <x:c r="AA744" s="8" t="n">
        <x:f>Z744+X744*Q744+Y744*R744</x:f>
        <x:v>-0.902542372881356</x:v>
      </x:c>
    </x:row>
    <x:row r="745" ht="26" customHeight="1">
      <x:c r="A745" s="2"/>
      <x:c r="B745" s="2" t="n">
        <x:v>740</x:v>
      </x:c>
      <x:c r="C745" s="2" t="str">
        <x:v>Beauty / organic_volume_growth</x:v>
      </x:c>
      <x:c r="D745" s="2" t="str">
        <x:v>Broad market</x:v>
      </x:c>
      <x:c r="E745" s="7" t="n">
        <x:v>45291</x:v>
      </x:c>
      <x:c r="F745" s="2" t="str">
        <x:v>Origin</x:v>
      </x:c>
      <x:c r="G745" s="7" t="n">
        <x:v>45200</x:v>
      </x:c>
      <x:c r="H745" s="2" t="n">
        <x:v>10</x:v>
      </x:c>
      <x:c r="I745" s="8" t="n">
        <x:v>36.567292681299975</x:v>
      </x:c>
      <x:c r="J745" s="8" t="n">
        <x:v>0</x:v>
      </x:c>
      <x:c r="K745" s="8" t="n">
        <x:v>-5</x:v>
      </x:c>
      <x:c r="L745" s="8" t="n">
        <x:v>345.1986530501643</x:v>
      </x:c>
      <x:c r="M745" s="8" t="n">
        <x:v>0</x:v>
      </x:c>
      <x:c r="N745" s="8" t="n">
        <x:v>0</x:v>
      </x:c>
      <x:c r="O745" s="8" t="n">
        <x:v>33.83925187539263</x:v>
      </x:c>
      <x:c r="P745" s="8" t="n">
        <x:v>0</x:v>
      </x:c>
      <x:c r="Q745" s="8" t="n">
        <x:v>1.0924781953477458</x:v>
      </x:c>
      <x:c r="R745" s="8" t="n">
        <x:v>0</x:v>
      </x:c>
      <x:c r="S745" s="8" t="n">
        <x:f>L745-I745^2/H745</x:f>
        <x:v>211.48196364617883</x:v>
      </x:c>
      <x:c r="T745" s="8" t="n">
        <x:f>M745-J745^2/H745</x:f>
        <x:v>0</x:v>
      </x:c>
      <x:c r="U745" s="8" t="n">
        <x:f>N745-I745*J745/H745</x:f>
        <x:v>0</x:v>
      </x:c>
      <x:c r="V745" s="8" t="n">
        <x:f>O745-I745*K745/H745</x:f>
        <x:v>52.122898216042614</x:v>
      </x:c>
      <x:c r="W745" s="8" t="n">
        <x:f>P745-J745*K745/H745</x:f>
        <x:v>0</x:v>
      </x:c>
      <x:c r="X745" s="8" t="n">
        <x:f>V745/S745</x:f>
        <x:v>0.24646498130330935</x:v>
      </x:c>
      <x:c r="Y745" s="8" t="n">
        <x:f>0</x:f>
        <x:v>0</x:v>
      </x:c>
      <x:c r="Z745" s="8" t="n">
        <x:f>K745/H745-X745*I745/H745-Y745*J745/H745</x:f>
        <x:v>-1.401255710700924</x:v>
      </x:c>
      <x:c r="AA745" s="8" t="n">
        <x:f>Z745+X745*Q745+Y745*R745</x:f>
        <x:v>-1.1319980927102686</x:v>
      </x:c>
    </x:row>
    <x:row r="746" ht="26" customHeight="1">
      <x:c r="A746" s="2"/>
      <x:c r="B746" s="2" t="n">
        <x:v>741</x:v>
      </x:c>
      <x:c r="C746" s="2" t="str">
        <x:v>Beauty / organic_volume_growth</x:v>
      </x:c>
      <x:c r="D746" s="2" t="str">
        <x:v>Broad rolling 8</x:v>
      </x:c>
      <x:c r="E746" s="7" t="n">
        <x:v>45291</x:v>
      </x:c>
      <x:c r="F746" s="2" t="str">
        <x:v>Origin</x:v>
      </x:c>
      <x:c r="G746" s="7" t="n">
        <x:v>45200</x:v>
      </x:c>
      <x:c r="H746" s="2" t="n">
        <x:v>8</x:v>
      </x:c>
      <x:c r="I746" s="8" t="n">
        <x:v>16.237449689275486</x:v>
      </x:c>
      <x:c r="J746" s="8" t="n">
        <x:v>0</x:v>
      </x:c>
      <x:c r="K746" s="8" t="n">
        <x:v>-8</x:v>
      </x:c>
      <x:c r="L746" s="8" t="n">
        <x:v>110.53830054061801</x:v>
      </x:c>
      <x:c r="M746" s="8" t="n">
        <x:v>0</x:v>
      </x:c>
      <x:c r="N746" s="8" t="n">
        <x:v>0</x:v>
      </x:c>
      <x:c r="O746" s="8" t="n">
        <x:v>7.086752374590399</x:v>
      </x:c>
      <x:c r="P746" s="8" t="n">
        <x:v>0</x:v>
      </x:c>
      <x:c r="Q746" s="8" t="n">
        <x:v>1.0924781953477458</x:v>
      </x:c>
      <x:c r="R746" s="8" t="n">
        <x:v>0</x:v>
      </x:c>
      <x:c r="S746" s="8" t="n">
        <x:f>L746-I746^2/H746</x:f>
        <x:v>77.58145398914894</x:v>
      </x:c>
      <x:c r="T746" s="8" t="n">
        <x:f>M746-J746^2/H746</x:f>
        <x:v>0</x:v>
      </x:c>
      <x:c r="U746" s="8" t="n">
        <x:f>N746-I746*J746/H746</x:f>
        <x:v>0</x:v>
      </x:c>
      <x:c r="V746" s="8" t="n">
        <x:f>O746-I746*K746/H746</x:f>
        <x:v>23.324202063865886</x:v>
      </x:c>
      <x:c r="W746" s="8" t="n">
        <x:f>P746-J746*K746/H746</x:f>
        <x:v>0</x:v>
      </x:c>
      <x:c r="X746" s="8" t="n">
        <x:f>V746/S746</x:f>
        <x:v>0.3006414660277979</x:v>
      </x:c>
      <x:c r="Y746" s="8" t="n">
        <x:f>0</x:f>
        <x:v>0</x:v>
      </x:c>
      <x:c r="Z746" s="8" t="n">
        <x:f>K746/H746-X746*I746/H746-Y746*J746/H746</x:f>
        <x:v>-1.6102063348920492</x:v>
      </x:c>
      <x:c r="AA746" s="8" t="n">
        <x:f>Z746+X746*Q746+Y746*R746</x:f>
        <x:v>-1.2817620886393</x:v>
      </x:c>
    </x:row>
    <x:row r="747" ht="26" customHeight="1">
      <x:c r="A747" s="2"/>
      <x:c r="B747" s="2" t="n">
        <x:v>742</x:v>
      </x:c>
      <x:c r="C747" s="2" t="str">
        <x:v>Beauty / organic_volume_growth</x:v>
      </x:c>
      <x:c r="D747" s="2" t="str">
        <x:v>Own history</x:v>
      </x:c>
      <x:c r="E747" s="7" t="n">
        <x:v>45291</x:v>
      </x:c>
      <x:c r="F747" s="2" t="str">
        <x:v>Origin</x:v>
      </x:c>
      <x:c r="G747" s="7" t="n">
        <x:v>45200</x:v>
      </x:c>
      <x:c r="H747" s="2" t="n">
        <x:v>8</x:v>
      </x:c>
      <x:c r="I747" s="8" t="n">
        <x:v>-4</x:v>
      </x:c>
      <x:c r="J747" s="8" t="n">
        <x:v>0</x:v>
      </x:c>
      <x:c r="K747" s="8" t="n">
        <x:v>-8</x:v>
      </x:c>
      <x:c r="L747" s="8" t="n">
        <x:v>28</x:v>
      </x:c>
      <x:c r="M747" s="8" t="n">
        <x:v>0</x:v>
      </x:c>
      <x:c r="N747" s="8" t="n">
        <x:v>0</x:v>
      </x:c>
      <x:c r="O747" s="8" t="n">
        <x:v>12</x:v>
      </x:c>
      <x:c r="P747" s="8" t="n">
        <x:v>0</x:v>
      </x:c>
      <x:c r="Q747" s="8" t="n">
        <x:v>-1</x:v>
      </x:c>
      <x:c r="R747" s="8" t="n">
        <x:v>0</x:v>
      </x:c>
      <x:c r="S747" s="8" t="n">
        <x:f>L747-I747^2/H747</x:f>
        <x:v>26</x:v>
      </x:c>
      <x:c r="T747" s="8" t="n">
        <x:f>M747-J747^2/H747</x:f>
        <x:v>0</x:v>
      </x:c>
      <x:c r="U747" s="8" t="n">
        <x:f>N747-I747*J747/H747</x:f>
        <x:v>0</x:v>
      </x:c>
      <x:c r="V747" s="8" t="n">
        <x:f>O747-I747*K747/H747</x:f>
        <x:v>8</x:v>
      </x:c>
      <x:c r="W747" s="8" t="n">
        <x:f>P747-J747*K747/H747</x:f>
        <x:v>0</x:v>
      </x:c>
      <x:c r="X747" s="8" t="n">
        <x:f>V747/S747</x:f>
        <x:v>0.3076923076923077</x:v>
      </x:c>
      <x:c r="Y747" s="8" t="n">
        <x:f>0</x:f>
        <x:v>0</x:v>
      </x:c>
      <x:c r="Z747" s="8" t="n">
        <x:f>K747/H747-X747*I747/H747-Y747*J747/H747</x:f>
        <x:v>-0.8461538461538461</x:v>
      </x:c>
      <x:c r="AA747" s="8" t="n">
        <x:f>Z747+X747*Q747+Y747*R747</x:f>
        <x:v>-1.1538461538461537</x:v>
      </x:c>
    </x:row>
    <x:row r="748" ht="26" customHeight="1">
      <x:c r="A748" s="2"/>
      <x:c r="B748" s="2" t="n">
        <x:v>743</x:v>
      </x:c>
      <x:c r="C748" s="2" t="str">
        <x:v>Beauty / organic_volume_growth</x:v>
      </x:c>
      <x:c r="D748" s="2" t="str">
        <x:v>Broad market</x:v>
      </x:c>
      <x:c r="E748" s="7" t="n">
        <x:v>45291</x:v>
      </x:c>
      <x:c r="F748" s="2" t="str">
        <x:v>Prior report</x:v>
      </x:c>
      <x:c r="G748" s="7" t="n">
        <x:v>45217</x:v>
      </x:c>
      <x:c r="H748" s="2" t="n">
        <x:v>10</x:v>
      </x:c>
      <x:c r="I748" s="8" t="n">
        <x:v>36.567292681299975</x:v>
      </x:c>
      <x:c r="J748" s="8" t="n">
        <x:v>0</x:v>
      </x:c>
      <x:c r="K748" s="8" t="n">
        <x:v>-5</x:v>
      </x:c>
      <x:c r="L748" s="8" t="n">
        <x:v>345.1986530501643</x:v>
      </x:c>
      <x:c r="M748" s="8" t="n">
        <x:v>0</x:v>
      </x:c>
      <x:c r="N748" s="8" t="n">
        <x:v>0</x:v>
      </x:c>
      <x:c r="O748" s="8" t="n">
        <x:v>33.83925187539263</x:v>
      </x:c>
      <x:c r="P748" s="8" t="n">
        <x:v>0</x:v>
      </x:c>
      <x:c r="Q748" s="8" t="n">
        <x:v>1.0924781953477458</x:v>
      </x:c>
      <x:c r="R748" s="8" t="n">
        <x:v>0</x:v>
      </x:c>
      <x:c r="S748" s="8" t="n">
        <x:f>L748-I748^2/H748</x:f>
        <x:v>211.48196364617883</x:v>
      </x:c>
      <x:c r="T748" s="8" t="n">
        <x:f>M748-J748^2/H748</x:f>
        <x:v>0</x:v>
      </x:c>
      <x:c r="U748" s="8" t="n">
        <x:f>N748-I748*J748/H748</x:f>
        <x:v>0</x:v>
      </x:c>
      <x:c r="V748" s="8" t="n">
        <x:f>O748-I748*K748/H748</x:f>
        <x:v>52.122898216042614</x:v>
      </x:c>
      <x:c r="W748" s="8" t="n">
        <x:f>P748-J748*K748/H748</x:f>
        <x:v>0</x:v>
      </x:c>
      <x:c r="X748" s="8" t="n">
        <x:f>V748/S748</x:f>
        <x:v>0.24646498130330935</x:v>
      </x:c>
      <x:c r="Y748" s="8" t="n">
        <x:f>0</x:f>
        <x:v>0</x:v>
      </x:c>
      <x:c r="Z748" s="8" t="n">
        <x:f>K748/H748-X748*I748/H748-Y748*J748/H748</x:f>
        <x:v>-1.401255710700924</x:v>
      </x:c>
      <x:c r="AA748" s="8" t="n">
        <x:f>Z748+X748*Q748+Y748*R748</x:f>
        <x:v>-1.1319980927102686</x:v>
      </x:c>
    </x:row>
    <x:row r="749" ht="26" customHeight="1">
      <x:c r="A749" s="2"/>
      <x:c r="B749" s="2" t="n">
        <x:v>744</x:v>
      </x:c>
      <x:c r="C749" s="2" t="str">
        <x:v>Beauty / organic_volume_growth</x:v>
      </x:c>
      <x:c r="D749" s="2" t="str">
        <x:v>Broad rolling 8</x:v>
      </x:c>
      <x:c r="E749" s="7" t="n">
        <x:v>45291</x:v>
      </x:c>
      <x:c r="F749" s="2" t="str">
        <x:v>Prior report</x:v>
      </x:c>
      <x:c r="G749" s="7" t="n">
        <x:v>45217</x:v>
      </x:c>
      <x:c r="H749" s="2" t="n">
        <x:v>8</x:v>
      </x:c>
      <x:c r="I749" s="8" t="n">
        <x:v>16.237449689275486</x:v>
      </x:c>
      <x:c r="J749" s="8" t="n">
        <x:v>0</x:v>
      </x:c>
      <x:c r="K749" s="8" t="n">
        <x:v>-8</x:v>
      </x:c>
      <x:c r="L749" s="8" t="n">
        <x:v>110.53830054061801</x:v>
      </x:c>
      <x:c r="M749" s="8" t="n">
        <x:v>0</x:v>
      </x:c>
      <x:c r="N749" s="8" t="n">
        <x:v>0</x:v>
      </x:c>
      <x:c r="O749" s="8" t="n">
        <x:v>7.086752374590399</x:v>
      </x:c>
      <x:c r="P749" s="8" t="n">
        <x:v>0</x:v>
      </x:c>
      <x:c r="Q749" s="8" t="n">
        <x:v>1.0924781953477458</x:v>
      </x:c>
      <x:c r="R749" s="8" t="n">
        <x:v>0</x:v>
      </x:c>
      <x:c r="S749" s="8" t="n">
        <x:f>L749-I749^2/H749</x:f>
        <x:v>77.58145398914894</x:v>
      </x:c>
      <x:c r="T749" s="8" t="n">
        <x:f>M749-J749^2/H749</x:f>
        <x:v>0</x:v>
      </x:c>
      <x:c r="U749" s="8" t="n">
        <x:f>N749-I749*J749/H749</x:f>
        <x:v>0</x:v>
      </x:c>
      <x:c r="V749" s="8" t="n">
        <x:f>O749-I749*K749/H749</x:f>
        <x:v>23.324202063865886</x:v>
      </x:c>
      <x:c r="W749" s="8" t="n">
        <x:f>P749-J749*K749/H749</x:f>
        <x:v>0</x:v>
      </x:c>
      <x:c r="X749" s="8" t="n">
        <x:f>V749/S749</x:f>
        <x:v>0.3006414660277979</x:v>
      </x:c>
      <x:c r="Y749" s="8" t="n">
        <x:f>0</x:f>
        <x:v>0</x:v>
      </x:c>
      <x:c r="Z749" s="8" t="n">
        <x:f>K749/H749-X749*I749/H749-Y749*J749/H749</x:f>
        <x:v>-1.6102063348920492</x:v>
      </x:c>
      <x:c r="AA749" s="8" t="n">
        <x:f>Z749+X749*Q749+Y749*R749</x:f>
        <x:v>-1.2817620886393</x:v>
      </x:c>
    </x:row>
    <x:row r="750" ht="26" customHeight="1">
      <x:c r="A750" s="2"/>
      <x:c r="B750" s="2" t="n">
        <x:v>745</x:v>
      </x:c>
      <x:c r="C750" s="2" t="str">
        <x:v>Beauty / organic_volume_growth</x:v>
      </x:c>
      <x:c r="D750" s="2" t="str">
        <x:v>Own history</x:v>
      </x:c>
      <x:c r="E750" s="7" t="n">
        <x:v>45291</x:v>
      </x:c>
      <x:c r="F750" s="2" t="str">
        <x:v>Prior report</x:v>
      </x:c>
      <x:c r="G750" s="7" t="n">
        <x:v>45217</x:v>
      </x:c>
      <x:c r="H750" s="2" t="n">
        <x:v>10</x:v>
      </x:c>
      <x:c r="I750" s="8" t="n">
        <x:v>-5</x:v>
      </x:c>
      <x:c r="J750" s="8" t="n">
        <x:v>0</x:v>
      </x:c>
      <x:c r="K750" s="8" t="n">
        <x:v>-7</x:v>
      </x:c>
      <x:c r="L750" s="8" t="n">
        <x:v>29</x:v>
      </x:c>
      <x:c r="M750" s="8" t="n">
        <x:v>0</x:v>
      </x:c>
      <x:c r="N750" s="8" t="n">
        <x:v>0</x:v>
      </x:c>
      <x:c r="O750" s="8" t="n">
        <x:v>9</x:v>
      </x:c>
      <x:c r="P750" s="8" t="n">
        <x:v>0</x:v>
      </x:c>
      <x:c r="Q750" s="8" t="n">
        <x:v>0</x:v>
      </x:c>
      <x:c r="R750" s="8" t="n">
        <x:v>0</x:v>
      </x:c>
      <x:c r="S750" s="8" t="n">
        <x:f>L750-I750^2/H750</x:f>
        <x:v>26.5</x:v>
      </x:c>
      <x:c r="T750" s="8" t="n">
        <x:f>M750-J750^2/H750</x:f>
        <x:v>0</x:v>
      </x:c>
      <x:c r="U750" s="8" t="n">
        <x:f>N750-I750*J750/H750</x:f>
        <x:v>0</x:v>
      </x:c>
      <x:c r="V750" s="8" t="n">
        <x:f>O750-I750*K750/H750</x:f>
        <x:v>5.5</x:v>
      </x:c>
      <x:c r="W750" s="8" t="n">
        <x:f>P750-J750*K750/H750</x:f>
        <x:v>0</x:v>
      </x:c>
      <x:c r="X750" s="8" t="n">
        <x:f>V750/S750</x:f>
        <x:v>0.20754716981132076</x:v>
      </x:c>
      <x:c r="Y750" s="8" t="n">
        <x:f>0</x:f>
        <x:v>0</x:v>
      </x:c>
      <x:c r="Z750" s="8" t="n">
        <x:f>K750/H750-X750*I750/H750-Y750*J750/H750</x:f>
        <x:v>-0.5962264150943396</x:v>
      </x:c>
      <x:c r="AA750" s="8" t="n">
        <x:f>Z750+X750*Q750+Y750*R750</x:f>
        <x:v>-0.5962264150943396</x:v>
      </x:c>
    </x:row>
    <x:row r="751" ht="26" customHeight="1">
      <x:c r="A751" s="2"/>
      <x:c r="B751" s="2" t="n">
        <x:v>746</x:v>
      </x:c>
      <x:c r="C751" s="2" t="str">
        <x:v>Beauty / organic_volume_growth</x:v>
      </x:c>
      <x:c r="D751" s="2" t="str">
        <x:v>Broad market</x:v>
      </x:c>
      <x:c r="E751" s="7" t="n">
        <x:v>45291</x:v>
      </x:c>
      <x:c r="F751" s="2" t="str">
        <x:v>Pre-earnings</x:v>
      </x:c>
      <x:c r="G751" s="7" t="n">
        <x:v>45313</x:v>
      </x:c>
      <x:c r="H751" s="2" t="n">
        <x:v>11</x:v>
      </x:c>
      <x:c r="I751" s="8" t="n">
        <x:v>38.00115718712883</x:v>
      </x:c>
      <x:c r="J751" s="8" t="n">
        <x:v>0</x:v>
      </x:c>
      <x:c r="K751" s="8" t="n">
        <x:v>-5</x:v>
      </x:c>
      <x:c r="L751" s="8" t="n">
        <x:v>347.2546204712401</x:v>
      </x:c>
      <x:c r="M751" s="8" t="n">
        <x:v>0</x:v>
      </x:c>
      <x:c r="N751" s="8" t="n">
        <x:v>0</x:v>
      </x:c>
      <x:c r="O751" s="8" t="n">
        <x:v>33.83925187539263</x:v>
      </x:c>
      <x:c r="P751" s="8" t="n">
        <x:v>0</x:v>
      </x:c>
      <x:c r="Q751" s="8" t="n">
        <x:v>1.491718651029772</x:v>
      </x:c>
      <x:c r="R751" s="8" t="n">
        <x:v>0</x:v>
      </x:c>
      <x:c r="S751" s="8" t="n">
        <x:f>L751-I751^2/H751</x:f>
        <x:v>215.9738979657062</x:v>
      </x:c>
      <x:c r="T751" s="8" t="n">
        <x:f>M751-J751^2/H751</x:f>
        <x:v>0</x:v>
      </x:c>
      <x:c r="U751" s="8" t="n">
        <x:f>N751-I751*J751/H751</x:f>
        <x:v>0</x:v>
      </x:c>
      <x:c r="V751" s="8" t="n">
        <x:f>O751-I751*K751/H751</x:f>
        <x:v>51.11250514226937</x:v>
      </x:c>
      <x:c r="W751" s="8" t="n">
        <x:f>P751-J751*K751/H751</x:f>
        <x:v>0</x:v>
      </x:c>
      <x:c r="X751" s="8" t="n">
        <x:f>V751/S751</x:f>
        <x:v>0.23666056696529764</x:v>
      </x:c>
      <x:c r="Y751" s="8" t="n">
        <x:f>0</x:f>
        <x:v>0</x:v>
      </x:c>
      <x:c r="Z751" s="8" t="n">
        <x:f>K751/H751-X751*I751/H751-Y751*J751/H751</x:f>
        <x:v>-1.2721250368403003</x:v>
      </x:c>
      <x:c r="AA751" s="8" t="n">
        <x:f>Z751+X751*Q751+Y751*R751</x:f>
        <x:v>-0.9190940551348855</x:v>
      </x:c>
    </x:row>
    <x:row r="752" ht="26" customHeight="1">
      <x:c r="A752" s="2"/>
      <x:c r="B752" s="2" t="n">
        <x:v>747</x:v>
      </x:c>
      <x:c r="C752" s="2" t="str">
        <x:v>Beauty / organic_volume_growth</x:v>
      </x:c>
      <x:c r="D752" s="2" t="str">
        <x:v>Broad lag 1</x:v>
      </x:c>
      <x:c r="E752" s="7" t="n">
        <x:v>45291</x:v>
      </x:c>
      <x:c r="F752" s="2" t="str">
        <x:v>Pre-earnings</x:v>
      </x:c>
      <x:c r="G752" s="7" t="n">
        <x:v>45313</x:v>
      </x:c>
      <x:c r="H752" s="2" t="n">
        <x:v>10</x:v>
      </x:c>
      <x:c r="I752" s="8" t="n">
        <x:v>36.567292681299975</x:v>
      </x:c>
      <x:c r="J752" s="8" t="n">
        <x:v>0</x:v>
      </x:c>
      <x:c r="K752" s="8" t="n">
        <x:v>-7</x:v>
      </x:c>
      <x:c r="L752" s="8" t="n">
        <x:v>345.1986530501643</x:v>
      </x:c>
      <x:c r="M752" s="8" t="n">
        <x:v>0</x:v>
      </x:c>
      <x:c r="N752" s="8" t="n">
        <x:v>0</x:v>
      </x:c>
      <x:c r="O752" s="8" t="n">
        <x:v>0.49719174970925817</x:v>
      </x:c>
      <x:c r="P752" s="8" t="n">
        <x:v>0</x:v>
      </x:c>
      <x:c r="Q752" s="8" t="n">
        <x:v>1.4338645058288524</x:v>
      </x:c>
      <x:c r="R752" s="8" t="n">
        <x:v>0</x:v>
      </x:c>
      <x:c r="S752" s="8" t="n">
        <x:f>L752-I752^2/H752</x:f>
        <x:v>211.48196364617883</x:v>
      </x:c>
      <x:c r="T752" s="8" t="n">
        <x:f>M752-J752^2/H752</x:f>
        <x:v>0</x:v>
      </x:c>
      <x:c r="U752" s="8" t="n">
        <x:f>N752-I752*J752/H752</x:f>
        <x:v>0</x:v>
      </x:c>
      <x:c r="V752" s="8" t="n">
        <x:f>O752-I752*K752/H752</x:f>
        <x:v>26.09429662661924</x:v>
      </x:c>
      <x:c r="W752" s="8" t="n">
        <x:f>P752-J752*K752/H752</x:f>
        <x:v>0</x:v>
      </x:c>
      <x:c r="X752" s="8" t="n">
        <x:f>V752/S752</x:f>
        <x:v>0.12338781131367052</x:v>
      </x:c>
      <x:c r="Y752" s="8" t="n">
        <x:f>0</x:f>
        <x:v>0</x:v>
      </x:c>
      <x:c r="Z752" s="8" t="n">
        <x:f>K752/H752-X752*I752/H752-Y752*J752/H752</x:f>
        <x:v>-1.1511958209612005</x:v>
      </x:c>
      <x:c r="AA752" s="8" t="n">
        <x:f>Z752+X752*Q752+Y752*R752</x:f>
        <x:v>-0.9742744178666207</x:v>
      </x:c>
    </x:row>
    <x:row r="753" ht="26" customHeight="1">
      <x:c r="A753" s="2"/>
      <x:c r="B753" s="2" t="n">
        <x:v>748</x:v>
      </x:c>
      <x:c r="C753" s="2" t="str">
        <x:v>Beauty / organic_volume_growth</x:v>
      </x:c>
      <x:c r="D753" s="2" t="str">
        <x:v>Broad rolling 8</x:v>
      </x:c>
      <x:c r="E753" s="7" t="n">
        <x:v>45291</x:v>
      </x:c>
      <x:c r="F753" s="2" t="str">
        <x:v>Pre-earnings</x:v>
      </x:c>
      <x:c r="G753" s="7" t="n">
        <x:v>45313</x:v>
      </x:c>
      <x:c r="H753" s="2" t="n">
        <x:v>8</x:v>
      </x:c>
      <x:c r="I753" s="8" t="n">
        <x:v>10.87506296757349</x:v>
      </x:c>
      <x:c r="J753" s="8" t="n">
        <x:v>0</x:v>
      </x:c>
      <x:c r="K753" s="8" t="n">
        <x:v>-8</x:v>
      </x:c>
      <x:c r="L753" s="8" t="n">
        <x:v>66.40523721397928</x:v>
      </x:c>
      <x:c r="M753" s="8" t="n">
        <x:v>0</x:v>
      </x:c>
      <x:c r="N753" s="8" t="n">
        <x:v>0</x:v>
      </x:c>
      <x:c r="O753" s="8" t="n">
        <x:v>7.086752374590399</x:v>
      </x:c>
      <x:c r="P753" s="8" t="n">
        <x:v>0</x:v>
      </x:c>
      <x:c r="Q753" s="8" t="n">
        <x:v>1.491718651029772</x:v>
      </x:c>
      <x:c r="R753" s="8" t="n">
        <x:v>0</x:v>
      </x:c>
      <x:c r="S753" s="8" t="n">
        <x:f>L753-I753^2/H753</x:f>
        <x:v>51.621862895393235</x:v>
      </x:c>
      <x:c r="T753" s="8" t="n">
        <x:f>M753-J753^2/H753</x:f>
        <x:v>0</x:v>
      </x:c>
      <x:c r="U753" s="8" t="n">
        <x:f>N753-I753*J753/H753</x:f>
        <x:v>0</x:v>
      </x:c>
      <x:c r="V753" s="8" t="n">
        <x:f>O753-I753*K753/H753</x:f>
        <x:v>17.961815342163888</x:v>
      </x:c>
      <x:c r="W753" s="8" t="n">
        <x:f>P753-J753*K753/H753</x:f>
        <x:v>0</x:v>
      </x:c>
      <x:c r="X753" s="8" t="n">
        <x:f>V753/S753</x:f>
        <x:v>0.34794977040177316</x:v>
      </x:c>
      <x:c r="Y753" s="8" t="n">
        <x:f>0</x:f>
        <x:v>0</x:v>
      </x:c>
      <x:c r="Z753" s="8" t="n">
        <x:f>K753/H753-X753*I753/H753-Y753*J753/H753</x:f>
        <x:v>-1.4729969578340028</x:v>
      </x:c>
      <x:c r="AA753" s="8" t="n">
        <x:f>Z753+X753*Q753+Y753*R753</x:f>
        <x:v>-0.9539537957041508</x:v>
      </x:c>
    </x:row>
    <x:row r="754" ht="26" customHeight="1">
      <x:c r="A754" s="2"/>
      <x:c r="B754" s="2" t="n">
        <x:v>749</x:v>
      </x:c>
      <x:c r="C754" s="2" t="str">
        <x:v>Beauty / organic_volume_growth</x:v>
      </x:c>
      <x:c r="D754" s="2" t="str">
        <x:v>Own history</x:v>
      </x:c>
      <x:c r="E754" s="7" t="n">
        <x:v>45291</x:v>
      </x:c>
      <x:c r="F754" s="2" t="str">
        <x:v>Pre-earnings</x:v>
      </x:c>
      <x:c r="G754" s="7" t="n">
        <x:v>45313</x:v>
      </x:c>
      <x:c r="H754" s="2" t="n">
        <x:v>10</x:v>
      </x:c>
      <x:c r="I754" s="8" t="n">
        <x:v>-5</x:v>
      </x:c>
      <x:c r="J754" s="8" t="n">
        <x:v>0</x:v>
      </x:c>
      <x:c r="K754" s="8" t="n">
        <x:v>-7</x:v>
      </x:c>
      <x:c r="L754" s="8" t="n">
        <x:v>29</x:v>
      </x:c>
      <x:c r="M754" s="8" t="n">
        <x:v>0</x:v>
      </x:c>
      <x:c r="N754" s="8" t="n">
        <x:v>0</x:v>
      </x:c>
      <x:c r="O754" s="8" t="n">
        <x:v>9</x:v>
      </x:c>
      <x:c r="P754" s="8" t="n">
        <x:v>0</x:v>
      </x:c>
      <x:c r="Q754" s="8" t="n">
        <x:v>0</x:v>
      </x:c>
      <x:c r="R754" s="8" t="n">
        <x:v>0</x:v>
      </x:c>
      <x:c r="S754" s="8" t="n">
        <x:f>L754-I754^2/H754</x:f>
        <x:v>26.5</x:v>
      </x:c>
      <x:c r="T754" s="8" t="n">
        <x:f>M754-J754^2/H754</x:f>
        <x:v>0</x:v>
      </x:c>
      <x:c r="U754" s="8" t="n">
        <x:f>N754-I754*J754/H754</x:f>
        <x:v>0</x:v>
      </x:c>
      <x:c r="V754" s="8" t="n">
        <x:f>O754-I754*K754/H754</x:f>
        <x:v>5.5</x:v>
      </x:c>
      <x:c r="W754" s="8" t="n">
        <x:f>P754-J754*K754/H754</x:f>
        <x:v>0</x:v>
      </x:c>
      <x:c r="X754" s="8" t="n">
        <x:f>V754/S754</x:f>
        <x:v>0.20754716981132076</x:v>
      </x:c>
      <x:c r="Y754" s="8" t="n">
        <x:f>0</x:f>
        <x:v>0</x:v>
      </x:c>
      <x:c r="Z754" s="8" t="n">
        <x:f>K754/H754-X754*I754/H754-Y754*J754/H754</x:f>
        <x:v>-0.5962264150943396</x:v>
      </x:c>
      <x:c r="AA754" s="8" t="n">
        <x:f>Z754+X754*Q754+Y754*R754</x:f>
        <x:v>-0.5962264150943396</x:v>
      </x:c>
    </x:row>
    <x:row r="755" ht="26" customHeight="1">
      <x:c r="A755" s="2"/>
      <x:c r="B755" s="2" t="n">
        <x:v>750</x:v>
      </x:c>
      <x:c r="C755" s="2" t="str">
        <x:v>Beauty / organic_volume_growth</x:v>
      </x:c>
      <x:c r="D755" s="2" t="str">
        <x:v>Broad market</x:v>
      </x:c>
      <x:c r="E755" s="7" t="n">
        <x:v>45382</x:v>
      </x:c>
      <x:c r="F755" s="2" t="str">
        <x:v>Origin</x:v>
      </x:c>
      <x:c r="G755" s="7" t="n">
        <x:v>45292</x:v>
      </x:c>
      <x:c r="H755" s="2" t="n">
        <x:v>11</x:v>
      </x:c>
      <x:c r="I755" s="8" t="n">
        <x:v>38.00115718712883</x:v>
      </x:c>
      <x:c r="J755" s="8" t="n">
        <x:v>0</x:v>
      </x:c>
      <x:c r="K755" s="8" t="n">
        <x:v>-5</x:v>
      </x:c>
      <x:c r="L755" s="8" t="n">
        <x:v>347.2546204712401</x:v>
      </x:c>
      <x:c r="M755" s="8" t="n">
        <x:v>0</x:v>
      </x:c>
      <x:c r="N755" s="8" t="n">
        <x:v>0</x:v>
      </x:c>
      <x:c r="O755" s="8" t="n">
        <x:v>33.83925187539263</x:v>
      </x:c>
      <x:c r="P755" s="8" t="n">
        <x:v>0</x:v>
      </x:c>
      <x:c r="Q755" s="8" t="n">
        <x:v>1.39166817713261</x:v>
      </x:c>
      <x:c r="R755" s="8" t="n">
        <x:v>0</x:v>
      </x:c>
      <x:c r="S755" s="8" t="n">
        <x:f>L755-I755^2/H755</x:f>
        <x:v>215.9738979657062</x:v>
      </x:c>
      <x:c r="T755" s="8" t="n">
        <x:f>M755-J755^2/H755</x:f>
        <x:v>0</x:v>
      </x:c>
      <x:c r="U755" s="8" t="n">
        <x:f>N755-I755*J755/H755</x:f>
        <x:v>0</x:v>
      </x:c>
      <x:c r="V755" s="8" t="n">
        <x:f>O755-I755*K755/H755</x:f>
        <x:v>51.11250514226937</x:v>
      </x:c>
      <x:c r="W755" s="8" t="n">
        <x:f>P755-J755*K755/H755</x:f>
        <x:v>0</x:v>
      </x:c>
      <x:c r="X755" s="8" t="n">
        <x:f>V755/S755</x:f>
        <x:v>0.23666056696529764</x:v>
      </x:c>
      <x:c r="Y755" s="8" t="n">
        <x:f>0</x:f>
        <x:v>0</x:v>
      </x:c>
      <x:c r="Z755" s="8" t="n">
        <x:f>K755/H755-X755*I755/H755-Y755*J755/H755</x:f>
        <x:v>-1.2721250368403003</x:v>
      </x:c>
      <x:c r="AA755" s="8" t="n">
        <x:f>Z755+X755*Q755+Y755*R755</x:f>
        <x:v>-0.9427720570125346</x:v>
      </x:c>
    </x:row>
    <x:row r="756" ht="26" customHeight="1">
      <x:c r="A756" s="2"/>
      <x:c r="B756" s="2" t="n">
        <x:v>751</x:v>
      </x:c>
      <x:c r="C756" s="2" t="str">
        <x:v>Beauty / organic_volume_growth</x:v>
      </x:c>
      <x:c r="D756" s="2" t="str">
        <x:v>Broad rolling 8</x:v>
      </x:c>
      <x:c r="E756" s="7" t="n">
        <x:v>45382</x:v>
      </x:c>
      <x:c r="F756" s="2" t="str">
        <x:v>Origin</x:v>
      </x:c>
      <x:c r="G756" s="7" t="n">
        <x:v>45292</x:v>
      </x:c>
      <x:c r="H756" s="2" t="n">
        <x:v>8</x:v>
      </x:c>
      <x:c r="I756" s="8" t="n">
        <x:v>10.87506296757349</x:v>
      </x:c>
      <x:c r="J756" s="8" t="n">
        <x:v>0</x:v>
      </x:c>
      <x:c r="K756" s="8" t="n">
        <x:v>-8</x:v>
      </x:c>
      <x:c r="L756" s="8" t="n">
        <x:v>66.40523721397928</x:v>
      </x:c>
      <x:c r="M756" s="8" t="n">
        <x:v>0</x:v>
      </x:c>
      <x:c r="N756" s="8" t="n">
        <x:v>0</x:v>
      </x:c>
      <x:c r="O756" s="8" t="n">
        <x:v>7.086752374590399</x:v>
      </x:c>
      <x:c r="P756" s="8" t="n">
        <x:v>0</x:v>
      </x:c>
      <x:c r="Q756" s="8" t="n">
        <x:v>1.39166817713261</x:v>
      </x:c>
      <x:c r="R756" s="8" t="n">
        <x:v>0</x:v>
      </x:c>
      <x:c r="S756" s="8" t="n">
        <x:f>L756-I756^2/H756</x:f>
        <x:v>51.621862895393235</x:v>
      </x:c>
      <x:c r="T756" s="8" t="n">
        <x:f>M756-J756^2/H756</x:f>
        <x:v>0</x:v>
      </x:c>
      <x:c r="U756" s="8" t="n">
        <x:f>N756-I756*J756/H756</x:f>
        <x:v>0</x:v>
      </x:c>
      <x:c r="V756" s="8" t="n">
        <x:f>O756-I756*K756/H756</x:f>
        <x:v>17.961815342163888</x:v>
      </x:c>
      <x:c r="W756" s="8" t="n">
        <x:f>P756-J756*K756/H756</x:f>
        <x:v>0</x:v>
      </x:c>
      <x:c r="X756" s="8" t="n">
        <x:f>V756/S756</x:f>
        <x:v>0.34794977040177316</x:v>
      </x:c>
      <x:c r="Y756" s="8" t="n">
        <x:f>0</x:f>
        <x:v>0</x:v>
      </x:c>
      <x:c r="Z756" s="8" t="n">
        <x:f>K756/H756-X756*I756/H756-Y756*J756/H756</x:f>
        <x:v>-1.4729969578340028</x:v>
      </x:c>
      <x:c r="AA756" s="8" t="n">
        <x:f>Z756+X756*Q756+Y756*R756</x:f>
        <x:v>-0.9887663351252569</x:v>
      </x:c>
    </x:row>
    <x:row r="757" ht="26" customHeight="1">
      <x:c r="A757" s="2"/>
      <x:c r="B757" s="2" t="n">
        <x:v>752</x:v>
      </x:c>
      <x:c r="C757" s="2" t="str">
        <x:v>Beauty / organic_volume_growth</x:v>
      </x:c>
      <x:c r="D757" s="2" t="str">
        <x:v>Own history</x:v>
      </x:c>
      <x:c r="E757" s="7" t="n">
        <x:v>45382</x:v>
      </x:c>
      <x:c r="F757" s="2" t="str">
        <x:v>Origin</x:v>
      </x:c>
      <x:c r="G757" s="7" t="n">
        <x:v>45292</x:v>
      </x:c>
      <x:c r="H757" s="2" t="n">
        <x:v>9</x:v>
      </x:c>
      <x:c r="I757" s="8" t="n">
        <x:v>-4</x:v>
      </x:c>
      <x:c r="J757" s="8" t="n">
        <x:v>0</x:v>
      </x:c>
      <x:c r="K757" s="8" t="n">
        <x:v>-8</x:v>
      </x:c>
      <x:c r="L757" s="8" t="n">
        <x:v>28</x:v>
      </x:c>
      <x:c r="M757" s="8" t="n">
        <x:v>0</x:v>
      </x:c>
      <x:c r="N757" s="8" t="n">
        <x:v>0</x:v>
      </x:c>
      <x:c r="O757" s="8" t="n">
        <x:v>12</x:v>
      </x:c>
      <x:c r="P757" s="8" t="n">
        <x:v>0</x:v>
      </x:c>
      <x:c r="Q757" s="8" t="n">
        <x:v>0</x:v>
      </x:c>
      <x:c r="R757" s="8" t="n">
        <x:v>0</x:v>
      </x:c>
      <x:c r="S757" s="8" t="n">
        <x:f>L757-I757^2/H757</x:f>
        <x:v>26.22222222222222</x:v>
      </x:c>
      <x:c r="T757" s="8" t="n">
        <x:f>M757-J757^2/H757</x:f>
        <x:v>0</x:v>
      </x:c>
      <x:c r="U757" s="8" t="n">
        <x:f>N757-I757*J757/H757</x:f>
        <x:v>0</x:v>
      </x:c>
      <x:c r="V757" s="8" t="n">
        <x:f>O757-I757*K757/H757</x:f>
        <x:v>8.444444444444445</x:v>
      </x:c>
      <x:c r="W757" s="8" t="n">
        <x:f>P757-J757*K757/H757</x:f>
        <x:v>0</x:v>
      </x:c>
      <x:c r="X757" s="8" t="n">
        <x:f>V757/S757</x:f>
        <x:v>0.3220338983050848</x:v>
      </x:c>
      <x:c r="Y757" s="8" t="n">
        <x:f>0</x:f>
        <x:v>0</x:v>
      </x:c>
      <x:c r="Z757" s="8" t="n">
        <x:f>K757/H757-X757*I757/H757-Y757*J757/H757</x:f>
        <x:v>-0.7457627118644067</x:v>
      </x:c>
      <x:c r="AA757" s="8" t="n">
        <x:f>Z757+X757*Q757+Y757*R757</x:f>
        <x:v>-0.7457627118644067</x:v>
      </x:c>
    </x:row>
    <x:row r="758" ht="26" customHeight="1">
      <x:c r="A758" s="2"/>
      <x:c r="B758" s="2" t="n">
        <x:v>753</x:v>
      </x:c>
      <x:c r="C758" s="2" t="str">
        <x:v>Beauty / organic_volume_growth</x:v>
      </x:c>
      <x:c r="D758" s="2" t="str">
        <x:v>Broad market</x:v>
      </x:c>
      <x:c r="E758" s="7" t="n">
        <x:v>45382</x:v>
      </x:c>
      <x:c r="F758" s="2" t="str">
        <x:v>Prior report</x:v>
      </x:c>
      <x:c r="G758" s="7" t="n">
        <x:v>45314</x:v>
      </x:c>
      <x:c r="H758" s="2" t="n">
        <x:v>11</x:v>
      </x:c>
      <x:c r="I758" s="8" t="n">
        <x:v>38.00115718712883</x:v>
      </x:c>
      <x:c r="J758" s="8" t="n">
        <x:v>0</x:v>
      </x:c>
      <x:c r="K758" s="8" t="n">
        <x:v>-5</x:v>
      </x:c>
      <x:c r="L758" s="8" t="n">
        <x:v>347.2546204712401</x:v>
      </x:c>
      <x:c r="M758" s="8" t="n">
        <x:v>0</x:v>
      </x:c>
      <x:c r="N758" s="8" t="n">
        <x:v>0</x:v>
      </x:c>
      <x:c r="O758" s="8" t="n">
        <x:v>33.83925187539263</x:v>
      </x:c>
      <x:c r="P758" s="8" t="n">
        <x:v>0</x:v>
      </x:c>
      <x:c r="Q758" s="8" t="n">
        <x:v>1.39166817713261</x:v>
      </x:c>
      <x:c r="R758" s="8" t="n">
        <x:v>0</x:v>
      </x:c>
      <x:c r="S758" s="8" t="n">
        <x:f>L758-I758^2/H758</x:f>
        <x:v>215.9738979657062</x:v>
      </x:c>
      <x:c r="T758" s="8" t="n">
        <x:f>M758-J758^2/H758</x:f>
        <x:v>0</x:v>
      </x:c>
      <x:c r="U758" s="8" t="n">
        <x:f>N758-I758*J758/H758</x:f>
        <x:v>0</x:v>
      </x:c>
      <x:c r="V758" s="8" t="n">
        <x:f>O758-I758*K758/H758</x:f>
        <x:v>51.11250514226937</x:v>
      </x:c>
      <x:c r="W758" s="8" t="n">
        <x:f>P758-J758*K758/H758</x:f>
        <x:v>0</x:v>
      </x:c>
      <x:c r="X758" s="8" t="n">
        <x:f>V758/S758</x:f>
        <x:v>0.23666056696529764</x:v>
      </x:c>
      <x:c r="Y758" s="8" t="n">
        <x:f>0</x:f>
        <x:v>0</x:v>
      </x:c>
      <x:c r="Z758" s="8" t="n">
        <x:f>K758/H758-X758*I758/H758-Y758*J758/H758</x:f>
        <x:v>-1.2721250368403003</x:v>
      </x:c>
      <x:c r="AA758" s="8" t="n">
        <x:f>Z758+X758*Q758+Y758*R758</x:f>
        <x:v>-0.9427720570125346</x:v>
      </x:c>
    </x:row>
    <x:row r="759" ht="26" customHeight="1">
      <x:c r="A759" s="2"/>
      <x:c r="B759" s="2" t="n">
        <x:v>754</x:v>
      </x:c>
      <x:c r="C759" s="2" t="str">
        <x:v>Beauty / organic_volume_growth</x:v>
      </x:c>
      <x:c r="D759" s="2" t="str">
        <x:v>Broad rolling 8</x:v>
      </x:c>
      <x:c r="E759" s="7" t="n">
        <x:v>45382</x:v>
      </x:c>
      <x:c r="F759" s="2" t="str">
        <x:v>Prior report</x:v>
      </x:c>
      <x:c r="G759" s="7" t="n">
        <x:v>45314</x:v>
      </x:c>
      <x:c r="H759" s="2" t="n">
        <x:v>8</x:v>
      </x:c>
      <x:c r="I759" s="8" t="n">
        <x:v>10.87506296757349</x:v>
      </x:c>
      <x:c r="J759" s="8" t="n">
        <x:v>0</x:v>
      </x:c>
      <x:c r="K759" s="8" t="n">
        <x:v>-8</x:v>
      </x:c>
      <x:c r="L759" s="8" t="n">
        <x:v>66.40523721397928</x:v>
      </x:c>
      <x:c r="M759" s="8" t="n">
        <x:v>0</x:v>
      </x:c>
      <x:c r="N759" s="8" t="n">
        <x:v>0</x:v>
      </x:c>
      <x:c r="O759" s="8" t="n">
        <x:v>7.086752374590399</x:v>
      </x:c>
      <x:c r="P759" s="8" t="n">
        <x:v>0</x:v>
      </x:c>
      <x:c r="Q759" s="8" t="n">
        <x:v>1.39166817713261</x:v>
      </x:c>
      <x:c r="R759" s="8" t="n">
        <x:v>0</x:v>
      </x:c>
      <x:c r="S759" s="8" t="n">
        <x:f>L759-I759^2/H759</x:f>
        <x:v>51.621862895393235</x:v>
      </x:c>
      <x:c r="T759" s="8" t="n">
        <x:f>M759-J759^2/H759</x:f>
        <x:v>0</x:v>
      </x:c>
      <x:c r="U759" s="8" t="n">
        <x:f>N759-I759*J759/H759</x:f>
        <x:v>0</x:v>
      </x:c>
      <x:c r="V759" s="8" t="n">
        <x:f>O759-I759*K759/H759</x:f>
        <x:v>17.961815342163888</x:v>
      </x:c>
      <x:c r="W759" s="8" t="n">
        <x:f>P759-J759*K759/H759</x:f>
        <x:v>0</x:v>
      </x:c>
      <x:c r="X759" s="8" t="n">
        <x:f>V759/S759</x:f>
        <x:v>0.34794977040177316</x:v>
      </x:c>
      <x:c r="Y759" s="8" t="n">
        <x:f>0</x:f>
        <x:v>0</x:v>
      </x:c>
      <x:c r="Z759" s="8" t="n">
        <x:f>K759/H759-X759*I759/H759-Y759*J759/H759</x:f>
        <x:v>-1.4729969578340028</x:v>
      </x:c>
      <x:c r="AA759" s="8" t="n">
        <x:f>Z759+X759*Q759+Y759*R759</x:f>
        <x:v>-0.9887663351252569</x:v>
      </x:c>
    </x:row>
    <x:row r="760" ht="26" customHeight="1">
      <x:c r="A760" s="2"/>
      <x:c r="B760" s="2" t="n">
        <x:v>755</x:v>
      </x:c>
      <x:c r="C760" s="2" t="str">
        <x:v>Beauty / organic_volume_growth</x:v>
      </x:c>
      <x:c r="D760" s="2" t="str">
        <x:v>Own history</x:v>
      </x:c>
      <x:c r="E760" s="7" t="n">
        <x:v>45382</x:v>
      </x:c>
      <x:c r="F760" s="2" t="str">
        <x:v>Prior report</x:v>
      </x:c>
      <x:c r="G760" s="7" t="n">
        <x:v>45314</x:v>
      </x:c>
      <x:c r="H760" s="2" t="n">
        <x:v>11</x:v>
      </x:c>
      <x:c r="I760" s="8" t="n">
        <x:v>-5</x:v>
      </x:c>
      <x:c r="J760" s="8" t="n">
        <x:v>0</x:v>
      </x:c>
      <x:c r="K760" s="8" t="n">
        <x:v>-8</x:v>
      </x:c>
      <x:c r="L760" s="8" t="n">
        <x:v>29</x:v>
      </x:c>
      <x:c r="M760" s="8" t="n">
        <x:v>0</x:v>
      </x:c>
      <x:c r="N760" s="8" t="n">
        <x:v>0</x:v>
      </x:c>
      <x:c r="O760" s="8" t="n">
        <x:v>9</x:v>
      </x:c>
      <x:c r="P760" s="8" t="n">
        <x:v>0</x:v>
      </x:c>
      <x:c r="Q760" s="8" t="n">
        <x:v>-1</x:v>
      </x:c>
      <x:c r="R760" s="8" t="n">
        <x:v>0</x:v>
      </x:c>
      <x:c r="S760" s="8" t="n">
        <x:f>L760-I760^2/H760</x:f>
        <x:v>26.727272727272727</x:v>
      </x:c>
      <x:c r="T760" s="8" t="n">
        <x:f>M760-J760^2/H760</x:f>
        <x:v>0</x:v>
      </x:c>
      <x:c r="U760" s="8" t="n">
        <x:f>N760-I760*J760/H760</x:f>
        <x:v>0</x:v>
      </x:c>
      <x:c r="V760" s="8" t="n">
        <x:f>O760-I760*K760/H760</x:f>
        <x:v>5.363636363636363</x:v>
      </x:c>
      <x:c r="W760" s="8" t="n">
        <x:f>P760-J760*K760/H760</x:f>
        <x:v>0</x:v>
      </x:c>
      <x:c r="X760" s="8" t="n">
        <x:f>V760/S760</x:f>
        <x:v>0.20068027210884354</x:v>
      </x:c>
      <x:c r="Y760" s="8" t="n">
        <x:f>0</x:f>
        <x:v>0</x:v>
      </x:c>
      <x:c r="Z760" s="8" t="n">
        <x:f>K760/H760-X760*I760/H760-Y760*J760/H760</x:f>
        <x:v>-0.6360544217687075</x:v>
      </x:c>
      <x:c r="AA760" s="8" t="n">
        <x:f>Z760+X760*Q760+Y760*R760</x:f>
        <x:v>-0.8367346938775511</x:v>
      </x:c>
    </x:row>
    <x:row r="761" ht="26" customHeight="1">
      <x:c r="A761" s="2"/>
      <x:c r="B761" s="2" t="n">
        <x:v>756</x:v>
      </x:c>
      <x:c r="C761" s="2" t="str">
        <x:v>Beauty / organic_volume_growth</x:v>
      </x:c>
      <x:c r="D761" s="2" t="str">
        <x:v>Broad market</x:v>
      </x:c>
      <x:c r="E761" s="7" t="n">
        <x:v>45382</x:v>
      </x:c>
      <x:c r="F761" s="2" t="str">
        <x:v>Pre-earnings</x:v>
      </x:c>
      <x:c r="G761" s="7" t="n">
        <x:v>45400</x:v>
      </x:c>
      <x:c r="H761" s="2" t="n">
        <x:v>12</x:v>
      </x:c>
      <x:c r="I761" s="8" t="n">
        <x:v>40.03102350077526</x:v>
      </x:c>
      <x:c r="J761" s="8" t="n">
        <x:v>0</x:v>
      </x:c>
      <x:c r="K761" s="8" t="n">
        <x:v>-6</x:v>
      </x:c>
      <x:c r="L761" s="8" t="n">
        <x:v>351.3749777225167</x:v>
      </x:c>
      <x:c r="M761" s="8" t="n">
        <x:v>0</x:v>
      </x:c>
      <x:c r="N761" s="8" t="n">
        <x:v>0</x:v>
      </x:c>
      <x:c r="O761" s="8" t="n">
        <x:v>31.809385561746193</x:v>
      </x:c>
      <x:c r="P761" s="8" t="n">
        <x:v>0</x:v>
      </x:c>
      <x:c r="Q761" s="8" t="n">
        <x:v>1.367016339178151</x:v>
      </x:c>
      <x:c r="R761" s="8" t="n">
        <x:v>0</x:v>
      </x:c>
      <x:c r="S761" s="8" t="n">
        <x:f>L761-I761^2/H761</x:f>
        <x:v>217.83474084588158</x:v>
      </x:c>
      <x:c r="T761" s="8" t="n">
        <x:f>M761-J761^2/H761</x:f>
        <x:v>0</x:v>
      </x:c>
      <x:c r="U761" s="8" t="n">
        <x:f>N761-I761*J761/H761</x:f>
        <x:v>0</x:v>
      </x:c>
      <x:c r="V761" s="8" t="n">
        <x:f>O761-I761*K761/H761</x:f>
        <x:v>51.82489731213383</x:v>
      </x:c>
      <x:c r="W761" s="8" t="n">
        <x:f>P761-J761*K761/H761</x:f>
        <x:v>0</x:v>
      </x:c>
      <x:c r="X761" s="8" t="n">
        <x:f>V761/S761</x:f>
        <x:v>0.23790923849378104</x:v>
      </x:c>
      <x:c r="Y761" s="8" t="n">
        <x:f>0</x:f>
        <x:v>0</x:v>
      </x:c>
      <x:c r="Z761" s="8" t="n">
        <x:f>K761/H761-X761*I761/H761-Y761*J761/H761</x:f>
        <x:v>-1.2936458597663414</x:v>
      </x:c>
      <x:c r="AA761" s="8" t="n">
        <x:f>Z761+X761*Q761+Y761*R761</x:f>
        <x:v>-0.9684200435039112</x:v>
      </x:c>
    </x:row>
    <x:row r="762" ht="26" customHeight="1">
      <x:c r="A762" s="2"/>
      <x:c r="B762" s="2" t="n">
        <x:v>757</x:v>
      </x:c>
      <x:c r="C762" s="2" t="str">
        <x:v>Beauty / organic_volume_growth</x:v>
      </x:c>
      <x:c r="D762" s="2" t="str">
        <x:v>Broad lag 1</x:v>
      </x:c>
      <x:c r="E762" s="7" t="n">
        <x:v>45382</x:v>
      </x:c>
      <x:c r="F762" s="2" t="str">
        <x:v>Pre-earnings</x:v>
      </x:c>
      <x:c r="G762" s="7" t="n">
        <x:v>45400</x:v>
      </x:c>
      <x:c r="H762" s="2" t="n">
        <x:v>11</x:v>
      </x:c>
      <x:c r="I762" s="8" t="n">
        <x:v>38.00115718712883</x:v>
      </x:c>
      <x:c r="J762" s="8" t="n">
        <x:v>0</x:v>
      </x:c>
      <x:c r="K762" s="8" t="n">
        <x:v>-8</x:v>
      </x:c>
      <x:c r="L762" s="8" t="n">
        <x:v>347.2546204712401</x:v>
      </x:c>
      <x:c r="M762" s="8" t="n">
        <x:v>0</x:v>
      </x:c>
      <x:c r="N762" s="8" t="n">
        <x:v>0</x:v>
      </x:c>
      <x:c r="O762" s="8" t="n">
        <x:v>-0.9366727561195942</x:v>
      </x:c>
      <x:c r="P762" s="8" t="n">
        <x:v>0</x:v>
      </x:c>
      <x:c r="Q762" s="8" t="n">
        <x:v>2.0298663136464334</x:v>
      </x:c>
      <x:c r="R762" s="8" t="n">
        <x:v>0</x:v>
      </x:c>
      <x:c r="S762" s="8" t="n">
        <x:f>L762-I762^2/H762</x:f>
        <x:v>215.9738979657062</x:v>
      </x:c>
      <x:c r="T762" s="8" t="n">
        <x:f>M762-J762^2/H762</x:f>
        <x:v>0</x:v>
      </x:c>
      <x:c r="U762" s="8" t="n">
        <x:f>N762-I762*J762/H762</x:f>
        <x:v>0</x:v>
      </x:c>
      <x:c r="V762" s="8" t="n">
        <x:f>O762-I762*K762/H762</x:f>
        <x:v>26.700532470883193</x:v>
      </x:c>
      <x:c r="W762" s="8" t="n">
        <x:f>P762-J762*K762/H762</x:f>
        <x:v>0</x:v>
      </x:c>
      <x:c r="X762" s="8" t="n">
        <x:f>V762/S762</x:f>
        <x:v>0.12362851586409246</x:v>
      </x:c>
      <x:c r="Y762" s="8" t="n">
        <x:f>0</x:f>
        <x:v>0</x:v>
      </x:c>
      <x:c r="Z762" s="8" t="n">
        <x:f>K762/H762-X762*I762/H762-Y762*J762/H762</x:f>
        <x:v>-1.154366060378439</x:v>
      </x:c>
      <x:c r="AA762" s="8" t="n">
        <x:f>Z762+X762*Q762+Y762*R762</x:f>
        <x:v>-0.9034167006198139</x:v>
      </x:c>
    </x:row>
    <x:row r="763" ht="26" customHeight="1">
      <x:c r="A763" s="2"/>
      <x:c r="B763" s="2" t="n">
        <x:v>758</x:v>
      </x:c>
      <x:c r="C763" s="2" t="str">
        <x:v>Beauty / organic_volume_growth</x:v>
      </x:c>
      <x:c r="D763" s="2" t="str">
        <x:v>Broad rolling 8</x:v>
      </x:c>
      <x:c r="E763" s="7" t="n">
        <x:v>45382</x:v>
      </x:c>
      <x:c r="F763" s="2" t="str">
        <x:v>Pre-earnings</x:v>
      </x:c>
      <x:c r="G763" s="7" t="n">
        <x:v>45400</x:v>
      </x:c>
      <x:c r="H763" s="2" t="n">
        <x:v>8</x:v>
      </x:c>
      <x:c r="I763" s="8" t="n">
        <x:v>5.901666759832869</x:v>
      </x:c>
      <x:c r="J763" s="8" t="n">
        <x:v>0</x:v>
      </x:c>
      <x:c r="K763" s="8" t="n">
        <x:v>-10</x:v>
      </x:c>
      <x:c r="L763" s="8" t="n">
        <x:v>21.479908521791273</x:v>
      </x:c>
      <x:c r="M763" s="8" t="n">
        <x:v>0</x:v>
      </x:c>
      <x:c r="N763" s="8" t="n">
        <x:v>0</x:v>
      </x:c>
      <x:c r="O763" s="8" t="n">
        <x:v>-1.9463764604430889</x:v>
      </x:c>
      <x:c r="P763" s="8" t="n">
        <x:v>0</x:v>
      </x:c>
      <x:c r="Q763" s="8" t="n">
        <x:v>1.367016339178151</x:v>
      </x:c>
      <x:c r="R763" s="8" t="n">
        <x:v>0</x:v>
      </x:c>
      <x:c r="S763" s="8" t="n">
        <x:f>L763-I763^2/H763</x:f>
        <x:v>17.12619970377675</x:v>
      </x:c>
      <x:c r="T763" s="8" t="n">
        <x:f>M763-J763^2/H763</x:f>
        <x:v>0</x:v>
      </x:c>
      <x:c r="U763" s="8" t="n">
        <x:f>N763-I763*J763/H763</x:f>
        <x:v>0</x:v>
      </x:c>
      <x:c r="V763" s="8" t="n">
        <x:f>O763-I763*K763/H763</x:f>
        <x:v>5.430706989347998</x:v>
      </x:c>
      <x:c r="W763" s="8" t="n">
        <x:f>P763-J763*K763/H763</x:f>
        <x:v>0</x:v>
      </x:c>
      <x:c r="X763" s="8" t="n">
        <x:f>V763/S763</x:f>
        <x:v>0.31709936140417616</x:v>
      </x:c>
      <x:c r="Y763" s="8" t="n">
        <x:f>0</x:f>
        <x:v>0</x:v>
      </x:c>
      <x:c r="Z763" s="8" t="n">
        <x:f>K763/H763-X763*I763/H763-Y763*J763/H763</x:f>
        <x:v>-1.483926845095407</x:v>
      </x:c>
      <x:c r="AA763" s="8" t="n">
        <x:f>Z763+X763*Q763+Y763*R763</x:f>
        <x:v>-1.0504468369129407</x:v>
      </x:c>
    </x:row>
    <x:row r="764" ht="26" customHeight="1">
      <x:c r="A764" s="2"/>
      <x:c r="B764" s="2" t="n">
        <x:v>759</x:v>
      </x:c>
      <x:c r="C764" s="2" t="str">
        <x:v>Beauty / organic_volume_growth</x:v>
      </x:c>
      <x:c r="D764" s="2" t="str">
        <x:v>Own history</x:v>
      </x:c>
      <x:c r="E764" s="7" t="n">
        <x:v>45382</x:v>
      </x:c>
      <x:c r="F764" s="2" t="str">
        <x:v>Pre-earnings</x:v>
      </x:c>
      <x:c r="G764" s="7" t="n">
        <x:v>45400</x:v>
      </x:c>
      <x:c r="H764" s="2" t="n">
        <x:v>11</x:v>
      </x:c>
      <x:c r="I764" s="8" t="n">
        <x:v>-5</x:v>
      </x:c>
      <x:c r="J764" s="8" t="n">
        <x:v>0</x:v>
      </x:c>
      <x:c r="K764" s="8" t="n">
        <x:v>-8</x:v>
      </x:c>
      <x:c r="L764" s="8" t="n">
        <x:v>29</x:v>
      </x:c>
      <x:c r="M764" s="8" t="n">
        <x:v>0</x:v>
      </x:c>
      <x:c r="N764" s="8" t="n">
        <x:v>0</x:v>
      </x:c>
      <x:c r="O764" s="8" t="n">
        <x:v>9</x:v>
      </x:c>
      <x:c r="P764" s="8" t="n">
        <x:v>0</x:v>
      </x:c>
      <x:c r="Q764" s="8" t="n">
        <x:v>-1</x:v>
      </x:c>
      <x:c r="R764" s="8" t="n">
        <x:v>0</x:v>
      </x:c>
      <x:c r="S764" s="8" t="n">
        <x:f>L764-I764^2/H764</x:f>
        <x:v>26.727272727272727</x:v>
      </x:c>
      <x:c r="T764" s="8" t="n">
        <x:f>M764-J764^2/H764</x:f>
        <x:v>0</x:v>
      </x:c>
      <x:c r="U764" s="8" t="n">
        <x:f>N764-I764*J764/H764</x:f>
        <x:v>0</x:v>
      </x:c>
      <x:c r="V764" s="8" t="n">
        <x:f>O764-I764*K764/H764</x:f>
        <x:v>5.363636363636363</x:v>
      </x:c>
      <x:c r="W764" s="8" t="n">
        <x:f>P764-J764*K764/H764</x:f>
        <x:v>0</x:v>
      </x:c>
      <x:c r="X764" s="8" t="n">
        <x:f>V764/S764</x:f>
        <x:v>0.20068027210884354</x:v>
      </x:c>
      <x:c r="Y764" s="8" t="n">
        <x:f>0</x:f>
        <x:v>0</x:v>
      </x:c>
      <x:c r="Z764" s="8" t="n">
        <x:f>K764/H764-X764*I764/H764-Y764*J764/H764</x:f>
        <x:v>-0.6360544217687075</x:v>
      </x:c>
      <x:c r="AA764" s="8" t="n">
        <x:f>Z764+X764*Q764+Y764*R764</x:f>
        <x:v>-0.8367346938775511</x:v>
      </x:c>
    </x:row>
    <x:row r="765" ht="26" customHeight="1">
      <x:c r="A765" s="2"/>
      <x:c r="B765" s="2" t="n">
        <x:v>760</x:v>
      </x:c>
      <x:c r="C765" s="2" t="str">
        <x:v>Beauty / organic_volume_growth</x:v>
      </x:c>
      <x:c r="D765" s="2" t="str">
        <x:v>Broad market</x:v>
      </x:c>
      <x:c r="E765" s="7" t="n">
        <x:v>45473</x:v>
      </x:c>
      <x:c r="F765" s="2" t="str">
        <x:v>Origin</x:v>
      </x:c>
      <x:c r="G765" s="7" t="n">
        <x:v>45383</x:v>
      </x:c>
      <x:c r="H765" s="2" t="n">
        <x:v>12</x:v>
      </x:c>
      <x:c r="I765" s="8" t="n">
        <x:v>40.03102350077526</x:v>
      </x:c>
      <x:c r="J765" s="8" t="n">
        <x:v>0</x:v>
      </x:c>
      <x:c r="K765" s="8" t="n">
        <x:v>-6</x:v>
      </x:c>
      <x:c r="L765" s="8" t="n">
        <x:v>351.3749777225167</x:v>
      </x:c>
      <x:c r="M765" s="8" t="n">
        <x:v>0</x:v>
      </x:c>
      <x:c r="N765" s="8" t="n">
        <x:v>0</x:v>
      </x:c>
      <x:c r="O765" s="8" t="n">
        <x:v>31.809385561746193</x:v>
      </x:c>
      <x:c r="P765" s="8" t="n">
        <x:v>0</x:v>
      </x:c>
      <x:c r="Q765" s="8" t="n">
        <x:v>1.669924885570362</x:v>
      </x:c>
      <x:c r="R765" s="8" t="n">
        <x:v>0</x:v>
      </x:c>
      <x:c r="S765" s="8" t="n">
        <x:f>L765-I765^2/H765</x:f>
        <x:v>217.83474084588158</x:v>
      </x:c>
      <x:c r="T765" s="8" t="n">
        <x:f>M765-J765^2/H765</x:f>
        <x:v>0</x:v>
      </x:c>
      <x:c r="U765" s="8" t="n">
        <x:f>N765-I765*J765/H765</x:f>
        <x:v>0</x:v>
      </x:c>
      <x:c r="V765" s="8" t="n">
        <x:f>O765-I765*K765/H765</x:f>
        <x:v>51.82489731213383</x:v>
      </x:c>
      <x:c r="W765" s="8" t="n">
        <x:f>P765-J765*K765/H765</x:f>
        <x:v>0</x:v>
      </x:c>
      <x:c r="X765" s="8" t="n">
        <x:f>V765/S765</x:f>
        <x:v>0.23790923849378104</x:v>
      </x:c>
      <x:c r="Y765" s="8" t="n">
        <x:f>0</x:f>
        <x:v>0</x:v>
      </x:c>
      <x:c r="Z765" s="8" t="n">
        <x:f>K765/H765-X765*I765/H765-Y765*J765/H765</x:f>
        <x:v>-1.2936458597663414</x:v>
      </x:c>
      <x:c r="AA765" s="8" t="n">
        <x:f>Z765+X765*Q765+Y765*R765</x:f>
        <x:v>-0.8963553018984822</x:v>
      </x:c>
    </x:row>
    <x:row r="766" ht="26" customHeight="1">
      <x:c r="A766" s="2"/>
      <x:c r="B766" s="2" t="n">
        <x:v>761</x:v>
      </x:c>
      <x:c r="C766" s="2" t="str">
        <x:v>Beauty / organic_volume_growth</x:v>
      </x:c>
      <x:c r="D766" s="2" t="str">
        <x:v>Broad rolling 8</x:v>
      </x:c>
      <x:c r="E766" s="7" t="n">
        <x:v>45473</x:v>
      </x:c>
      <x:c r="F766" s="2" t="str">
        <x:v>Origin</x:v>
      </x:c>
      <x:c r="G766" s="7" t="n">
        <x:v>45383</x:v>
      </x:c>
      <x:c r="H766" s="2" t="n">
        <x:v>8</x:v>
      </x:c>
      <x:c r="I766" s="8" t="n">
        <x:v>5.901666759832869</x:v>
      </x:c>
      <x:c r="J766" s="8" t="n">
        <x:v>0</x:v>
      </x:c>
      <x:c r="K766" s="8" t="n">
        <x:v>-10</x:v>
      </x:c>
      <x:c r="L766" s="8" t="n">
        <x:v>21.479908521791273</x:v>
      </x:c>
      <x:c r="M766" s="8" t="n">
        <x:v>0</x:v>
      </x:c>
      <x:c r="N766" s="8" t="n">
        <x:v>0</x:v>
      </x:c>
      <x:c r="O766" s="8" t="n">
        <x:v>-1.9463764604430889</x:v>
      </x:c>
      <x:c r="P766" s="8" t="n">
        <x:v>0</x:v>
      </x:c>
      <x:c r="Q766" s="8" t="n">
        <x:v>1.669924885570362</x:v>
      </x:c>
      <x:c r="R766" s="8" t="n">
        <x:v>0</x:v>
      </x:c>
      <x:c r="S766" s="8" t="n">
        <x:f>L766-I766^2/H766</x:f>
        <x:v>17.12619970377675</x:v>
      </x:c>
      <x:c r="T766" s="8" t="n">
        <x:f>M766-J766^2/H766</x:f>
        <x:v>0</x:v>
      </x:c>
      <x:c r="U766" s="8" t="n">
        <x:f>N766-I766*J766/H766</x:f>
        <x:v>0</x:v>
      </x:c>
      <x:c r="V766" s="8" t="n">
        <x:f>O766-I766*K766/H766</x:f>
        <x:v>5.430706989347998</x:v>
      </x:c>
      <x:c r="W766" s="8" t="n">
        <x:f>P766-J766*K766/H766</x:f>
        <x:v>0</x:v>
      </x:c>
      <x:c r="X766" s="8" t="n">
        <x:f>V766/S766</x:f>
        <x:v>0.31709936140417616</x:v>
      </x:c>
      <x:c r="Y766" s="8" t="n">
        <x:f>0</x:f>
        <x:v>0</x:v>
      </x:c>
      <x:c r="Z766" s="8" t="n">
        <x:f>K766/H766-X766*I766/H766-Y766*J766/H766</x:f>
        <x:v>-1.483926845095407</x:v>
      </x:c>
      <x:c r="AA766" s="8" t="n">
        <x:f>Z766+X766*Q766+Y766*R766</x:f>
        <x:v>-0.9543947302881034</x:v>
      </x:c>
    </x:row>
    <x:row r="767" ht="26" customHeight="1">
      <x:c r="A767" s="2"/>
      <x:c r="B767" s="2" t="n">
        <x:v>762</x:v>
      </x:c>
      <x:c r="C767" s="2" t="str">
        <x:v>Beauty / organic_volume_growth</x:v>
      </x:c>
      <x:c r="D767" s="2" t="str">
        <x:v>Own history</x:v>
      </x:c>
      <x:c r="E767" s="7" t="n">
        <x:v>45473</x:v>
      </x:c>
      <x:c r="F767" s="2" t="str">
        <x:v>Origin</x:v>
      </x:c>
      <x:c r="G767" s="7" t="n">
        <x:v>45383</x:v>
      </x:c>
      <x:c r="H767" s="2" t="n">
        <x:v>10</x:v>
      </x:c>
      <x:c r="I767" s="8" t="n">
        <x:v>-5</x:v>
      </x:c>
      <x:c r="J767" s="8" t="n">
        <x:v>0</x:v>
      </x:c>
      <x:c r="K767" s="8" t="n">
        <x:v>-9</x:v>
      </x:c>
      <x:c r="L767" s="8" t="n">
        <x:v>29</x:v>
      </x:c>
      <x:c r="M767" s="8" t="n">
        <x:v>0</x:v>
      </x:c>
      <x:c r="N767" s="8" t="n">
        <x:v>0</x:v>
      </x:c>
      <x:c r="O767" s="8" t="n">
        <x:v>13</x:v>
      </x:c>
      <x:c r="P767" s="8" t="n">
        <x:v>0</x:v>
      </x:c>
      <x:c r="Q767" s="8" t="n">
        <x:v>-1</x:v>
      </x:c>
      <x:c r="R767" s="8" t="n">
        <x:v>0</x:v>
      </x:c>
      <x:c r="S767" s="8" t="n">
        <x:f>L767-I767^2/H767</x:f>
        <x:v>26.5</x:v>
      </x:c>
      <x:c r="T767" s="8" t="n">
        <x:f>M767-J767^2/H767</x:f>
        <x:v>0</x:v>
      </x:c>
      <x:c r="U767" s="8" t="n">
        <x:f>N767-I767*J767/H767</x:f>
        <x:v>0</x:v>
      </x:c>
      <x:c r="V767" s="8" t="n">
        <x:f>O767-I767*K767/H767</x:f>
        <x:v>8.5</x:v>
      </x:c>
      <x:c r="W767" s="8" t="n">
        <x:f>P767-J767*K767/H767</x:f>
        <x:v>0</x:v>
      </x:c>
      <x:c r="X767" s="8" t="n">
        <x:f>V767/S767</x:f>
        <x:v>0.32075471698113206</x:v>
      </x:c>
      <x:c r="Y767" s="8" t="n">
        <x:f>0</x:f>
        <x:v>0</x:v>
      </x:c>
      <x:c r="Z767" s="8" t="n">
        <x:f>K767/H767-X767*I767/H767-Y767*J767/H767</x:f>
        <x:v>-0.739622641509434</x:v>
      </x:c>
      <x:c r="AA767" s="8" t="n">
        <x:f>Z767+X767*Q767+Y767*R767</x:f>
        <x:v>-1.060377358490566</x:v>
      </x:c>
    </x:row>
    <x:row r="768" ht="26" customHeight="1">
      <x:c r="A768" s="2"/>
      <x:c r="B768" s="2" t="n">
        <x:v>763</x:v>
      </x:c>
      <x:c r="C768" s="2" t="str">
        <x:v>Beauty / organic_volume_growth</x:v>
      </x:c>
      <x:c r="D768" s="2" t="str">
        <x:v>Broad market</x:v>
      </x:c>
      <x:c r="E768" s="7" t="n">
        <x:v>45473</x:v>
      </x:c>
      <x:c r="F768" s="2" t="str">
        <x:v>Prior report</x:v>
      </x:c>
      <x:c r="G768" s="7" t="n">
        <x:v>45401</x:v>
      </x:c>
      <x:c r="H768" s="2" t="n">
        <x:v>12</x:v>
      </x:c>
      <x:c r="I768" s="8" t="n">
        <x:v>40.03102350077526</x:v>
      </x:c>
      <x:c r="J768" s="8" t="n">
        <x:v>0</x:v>
      </x:c>
      <x:c r="K768" s="8" t="n">
        <x:v>-6</x:v>
      </x:c>
      <x:c r="L768" s="8" t="n">
        <x:v>351.3749777225167</x:v>
      </x:c>
      <x:c r="M768" s="8" t="n">
        <x:v>0</x:v>
      </x:c>
      <x:c r="N768" s="8" t="n">
        <x:v>0</x:v>
      </x:c>
      <x:c r="O768" s="8" t="n">
        <x:v>31.809385561746193</x:v>
      </x:c>
      <x:c r="P768" s="8" t="n">
        <x:v>0</x:v>
      </x:c>
      <x:c r="Q768" s="8" t="n">
        <x:v>1.669924885570362</x:v>
      </x:c>
      <x:c r="R768" s="8" t="n">
        <x:v>0</x:v>
      </x:c>
      <x:c r="S768" s="8" t="n">
        <x:f>L768-I768^2/H768</x:f>
        <x:v>217.83474084588158</x:v>
      </x:c>
      <x:c r="T768" s="8" t="n">
        <x:f>M768-J768^2/H768</x:f>
        <x:v>0</x:v>
      </x:c>
      <x:c r="U768" s="8" t="n">
        <x:f>N768-I768*J768/H768</x:f>
        <x:v>0</x:v>
      </x:c>
      <x:c r="V768" s="8" t="n">
        <x:f>O768-I768*K768/H768</x:f>
        <x:v>51.82489731213383</x:v>
      </x:c>
      <x:c r="W768" s="8" t="n">
        <x:f>P768-J768*K768/H768</x:f>
        <x:v>0</x:v>
      </x:c>
      <x:c r="X768" s="8" t="n">
        <x:f>V768/S768</x:f>
        <x:v>0.23790923849378104</x:v>
      </x:c>
      <x:c r="Y768" s="8" t="n">
        <x:f>0</x:f>
        <x:v>0</x:v>
      </x:c>
      <x:c r="Z768" s="8" t="n">
        <x:f>K768/H768-X768*I768/H768-Y768*J768/H768</x:f>
        <x:v>-1.2936458597663414</x:v>
      </x:c>
      <x:c r="AA768" s="8" t="n">
        <x:f>Z768+X768*Q768+Y768*R768</x:f>
        <x:v>-0.8963553018984822</x:v>
      </x:c>
    </x:row>
    <x:row r="769" ht="26" customHeight="1">
      <x:c r="A769" s="2"/>
      <x:c r="B769" s="2" t="n">
        <x:v>764</x:v>
      </x:c>
      <x:c r="C769" s="2" t="str">
        <x:v>Beauty / organic_volume_growth</x:v>
      </x:c>
      <x:c r="D769" s="2" t="str">
        <x:v>Broad rolling 8</x:v>
      </x:c>
      <x:c r="E769" s="7" t="n">
        <x:v>45473</x:v>
      </x:c>
      <x:c r="F769" s="2" t="str">
        <x:v>Prior report</x:v>
      </x:c>
      <x:c r="G769" s="7" t="n">
        <x:v>45401</x:v>
      </x:c>
      <x:c r="H769" s="2" t="n">
        <x:v>8</x:v>
      </x:c>
      <x:c r="I769" s="8" t="n">
        <x:v>5.901666759832869</x:v>
      </x:c>
      <x:c r="J769" s="8" t="n">
        <x:v>0</x:v>
      </x:c>
      <x:c r="K769" s="8" t="n">
        <x:v>-10</x:v>
      </x:c>
      <x:c r="L769" s="8" t="n">
        <x:v>21.479908521791273</x:v>
      </x:c>
      <x:c r="M769" s="8" t="n">
        <x:v>0</x:v>
      </x:c>
      <x:c r="N769" s="8" t="n">
        <x:v>0</x:v>
      </x:c>
      <x:c r="O769" s="8" t="n">
        <x:v>-1.9463764604430889</x:v>
      </x:c>
      <x:c r="P769" s="8" t="n">
        <x:v>0</x:v>
      </x:c>
      <x:c r="Q769" s="8" t="n">
        <x:v>1.669924885570362</x:v>
      </x:c>
      <x:c r="R769" s="8" t="n">
        <x:v>0</x:v>
      </x:c>
      <x:c r="S769" s="8" t="n">
        <x:f>L769-I769^2/H769</x:f>
        <x:v>17.12619970377675</x:v>
      </x:c>
      <x:c r="T769" s="8" t="n">
        <x:f>M769-J769^2/H769</x:f>
        <x:v>0</x:v>
      </x:c>
      <x:c r="U769" s="8" t="n">
        <x:f>N769-I769*J769/H769</x:f>
        <x:v>0</x:v>
      </x:c>
      <x:c r="V769" s="8" t="n">
        <x:f>O769-I769*K769/H769</x:f>
        <x:v>5.430706989347998</x:v>
      </x:c>
      <x:c r="W769" s="8" t="n">
        <x:f>P769-J769*K769/H769</x:f>
        <x:v>0</x:v>
      </x:c>
      <x:c r="X769" s="8" t="n">
        <x:f>V769/S769</x:f>
        <x:v>0.31709936140417616</x:v>
      </x:c>
      <x:c r="Y769" s="8" t="n">
        <x:f>0</x:f>
        <x:v>0</x:v>
      </x:c>
      <x:c r="Z769" s="8" t="n">
        <x:f>K769/H769-X769*I769/H769-Y769*J769/H769</x:f>
        <x:v>-1.483926845095407</x:v>
      </x:c>
      <x:c r="AA769" s="8" t="n">
        <x:f>Z769+X769*Q769+Y769*R769</x:f>
        <x:v>-0.9543947302881034</x:v>
      </x:c>
    </x:row>
    <x:row r="770" ht="26" customHeight="1">
      <x:c r="A770" s="2"/>
      <x:c r="B770" s="2" t="n">
        <x:v>765</x:v>
      </x:c>
      <x:c r="C770" s="2" t="str">
        <x:v>Beauty / organic_volume_growth</x:v>
      </x:c>
      <x:c r="D770" s="2" t="str">
        <x:v>Own history</x:v>
      </x:c>
      <x:c r="E770" s="7" t="n">
        <x:v>45473</x:v>
      </x:c>
      <x:c r="F770" s="2" t="str">
        <x:v>Prior report</x:v>
      </x:c>
      <x:c r="G770" s="7" t="n">
        <x:v>45401</x:v>
      </x:c>
      <x:c r="H770" s="2" t="n">
        <x:v>12</x:v>
      </x:c>
      <x:c r="I770" s="8" t="n">
        <x:v>-6</x:v>
      </x:c>
      <x:c r="J770" s="8" t="n">
        <x:v>0</x:v>
      </x:c>
      <x:c r="K770" s="8" t="n">
        <x:v>-7</x:v>
      </x:c>
      <x:c r="L770" s="8" t="n">
        <x:v>30</x:v>
      </x:c>
      <x:c r="M770" s="8" t="n">
        <x:v>0</x:v>
      </x:c>
      <x:c r="N770" s="8" t="n">
        <x:v>0</x:v>
      </x:c>
      <x:c r="O770" s="8" t="n">
        <x:v>8</x:v>
      </x:c>
      <x:c r="P770" s="8" t="n">
        <x:v>0</x:v>
      </x:c>
      <x:c r="Q770" s="8" t="n">
        <x:v>1</x:v>
      </x:c>
      <x:c r="R770" s="8" t="n">
        <x:v>0</x:v>
      </x:c>
      <x:c r="S770" s="8" t="n">
        <x:f>L770-I770^2/H770</x:f>
        <x:v>27</x:v>
      </x:c>
      <x:c r="T770" s="8" t="n">
        <x:f>M770-J770^2/H770</x:f>
        <x:v>0</x:v>
      </x:c>
      <x:c r="U770" s="8" t="n">
        <x:f>N770-I770*J770/H770</x:f>
        <x:v>0</x:v>
      </x:c>
      <x:c r="V770" s="8" t="n">
        <x:f>O770-I770*K770/H770</x:f>
        <x:v>4.5</x:v>
      </x:c>
      <x:c r="W770" s="8" t="n">
        <x:f>P770-J770*K770/H770</x:f>
        <x:v>0</x:v>
      </x:c>
      <x:c r="X770" s="8" t="n">
        <x:f>V770/S770</x:f>
        <x:v>0.16666666666666666</x:v>
      </x:c>
      <x:c r="Y770" s="8" t="n">
        <x:f>0</x:f>
        <x:v>0</x:v>
      </x:c>
      <x:c r="Z770" s="8" t="n">
        <x:f>K770/H770-X770*I770/H770-Y770*J770/H770</x:f>
        <x:v>-0.5</x:v>
      </x:c>
      <x:c r="AA770" s="8" t="n">
        <x:f>Z770+X770*Q770+Y770*R770</x:f>
        <x:v>-0.33333333333333337</x:v>
      </x:c>
    </x:row>
    <x:row r="771" ht="26" customHeight="1">
      <x:c r="A771" s="2"/>
      <x:c r="B771" s="2" t="n">
        <x:v>766</x:v>
      </x:c>
      <x:c r="C771" s="2" t="str">
        <x:v>Beauty / organic_volume_growth</x:v>
      </x:c>
      <x:c r="D771" s="2" t="str">
        <x:v>Broad market</x:v>
      </x:c>
      <x:c r="E771" s="7" t="n">
        <x:v>45473</x:v>
      </x:c>
      <x:c r="F771" s="2" t="str">
        <x:v>Pre-earnings</x:v>
      </x:c>
      <x:c r="G771" s="7" t="n">
        <x:v>45502</x:v>
      </x:c>
      <x:c r="H771" s="2" t="n">
        <x:v>13</x:v>
      </x:c>
      <x:c r="I771" s="8" t="n">
        <x:v>41.66273213711157</x:v>
      </x:c>
      <x:c r="J771" s="8" t="n">
        <x:v>0</x:v>
      </x:c>
      <x:c r="K771" s="8" t="n">
        <x:v>-5</x:v>
      </x:c>
      <x:c r="L771" s="8" t="n">
        <x:v>354.0374507964112</x:v>
      </x:c>
      <x:c r="M771" s="8" t="n">
        <x:v>0</x:v>
      </x:c>
      <x:c r="N771" s="8" t="n">
        <x:v>0</x:v>
      </x:c>
      <x:c r="O771" s="8" t="n">
        <x:v>33.441094198082496</x:v>
      </x:c>
      <x:c r="P771" s="8" t="n">
        <x:v>0</x:v>
      </x:c>
      <x:c r="Q771" s="8" t="n">
        <x:v>1.745900082947749</x:v>
      </x:c>
      <x:c r="R771" s="8" t="n">
        <x:v>0</x:v>
      </x:c>
      <x:c r="S771" s="8" t="n">
        <x:f>L771-I771^2/H771</x:f>
        <x:v>220.5156624018951</x:v>
      </x:c>
      <x:c r="T771" s="8" t="n">
        <x:f>M771-J771^2/H771</x:f>
        <x:v>0</x:v>
      </x:c>
      <x:c r="U771" s="8" t="n">
        <x:f>N771-I771*J771/H771</x:f>
        <x:v>0</x:v>
      </x:c>
      <x:c r="V771" s="8" t="n">
        <x:f>O771-I771*K771/H771</x:f>
        <x:v>49.46522194312541</x:v>
      </x:c>
      <x:c r="W771" s="8" t="n">
        <x:f>P771-J771*K771/H771</x:f>
        <x:v>0</x:v>
      </x:c>
      <x:c r="X771" s="8" t="n">
        <x:f>V771/S771</x:f>
        <x:v>0.22431613883722168</x:v>
      </x:c>
      <x:c r="Y771" s="8" t="n">
        <x:f>0</x:f>
        <x:v>0</x:v>
      </x:c>
      <x:c r="Z771" s="8" t="n">
        <x:f>K771/H771-X771*I771/H771-Y771*J771/H771</x:f>
        <x:v>-1.103509477415869</x:v>
      </x:c>
      <x:c r="AA771" s="8" t="n">
        <x:f>Z771+X771*Q771+Y771*R771</x:f>
        <x:v>-0.7118759120134448</x:v>
      </x:c>
    </x:row>
    <x:row r="772" ht="26" customHeight="1">
      <x:c r="A772" s="2"/>
      <x:c r="B772" s="2" t="n">
        <x:v>767</x:v>
      </x:c>
      <x:c r="C772" s="2" t="str">
        <x:v>Beauty / organic_volume_growth</x:v>
      </x:c>
      <x:c r="D772" s="2" t="str">
        <x:v>Broad lag 1</x:v>
      </x:c>
      <x:c r="E772" s="7" t="n">
        <x:v>45473</x:v>
      </x:c>
      <x:c r="F772" s="2" t="str">
        <x:v>Pre-earnings</x:v>
      </x:c>
      <x:c r="G772" s="7" t="n">
        <x:v>45502</x:v>
      </x:c>
      <x:c r="H772" s="2" t="n">
        <x:v>12</x:v>
      </x:c>
      <x:c r="I772" s="8" t="n">
        <x:v>40.03102350077526</x:v>
      </x:c>
      <x:c r="J772" s="8" t="n">
        <x:v>0</x:v>
      </x:c>
      <x:c r="K772" s="8" t="n">
        <x:v>-7</x:v>
      </x:c>
      <x:c r="L772" s="8" t="n">
        <x:v>351.3749777225167</x:v>
      </x:c>
      <x:c r="M772" s="8" t="n">
        <x:v>0</x:v>
      </x:c>
      <x:c r="N772" s="8" t="n">
        <x:v>0</x:v>
      </x:c>
      <x:c r="O772" s="8" t="n">
        <x:v>1.0931935575268392</x:v>
      </x:c>
      <x:c r="P772" s="8" t="n">
        <x:v>0</x:v>
      </x:c>
      <x:c r="Q772" s="8" t="n">
        <x:v>1.6317086363363043</x:v>
      </x:c>
      <x:c r="R772" s="8" t="n">
        <x:v>0</x:v>
      </x:c>
      <x:c r="S772" s="8" t="n">
        <x:f>L772-I772^2/H772</x:f>
        <x:v>217.83474084588158</x:v>
      </x:c>
      <x:c r="T772" s="8" t="n">
        <x:f>M772-J772^2/H772</x:f>
        <x:v>0</x:v>
      </x:c>
      <x:c r="U772" s="8" t="n">
        <x:f>N772-I772*J772/H772</x:f>
        <x:v>0</x:v>
      </x:c>
      <x:c r="V772" s="8" t="n">
        <x:f>O772-I772*K772/H772</x:f>
        <x:v>24.444623932979074</x:v>
      </x:c>
      <x:c r="W772" s="8" t="n">
        <x:f>P772-J772*K772/H772</x:f>
        <x:v>0</x:v>
      </x:c>
      <x:c r="X772" s="8" t="n">
        <x:f>V772/S772</x:f>
        <x:v>0.11221637025415374</x:v>
      </x:c>
      <x:c r="Y772" s="8" t="n">
        <x:f>0</x:f>
        <x:v>0</x:v>
      </x:c>
      <x:c r="Z772" s="8" t="n">
        <x:f>K772/H772-X772*I772/H772-Y772*J772/H772</x:f>
        <x:v>-0.9576780129013105</x:v>
      </x:c>
      <x:c r="AA772" s="8" t="n">
        <x:f>Z772+X772*Q772+Y772*R772</x:f>
        <x:v>-0.7745735924192955</x:v>
      </x:c>
    </x:row>
    <x:row r="773" ht="26" customHeight="1">
      <x:c r="A773" s="2"/>
      <x:c r="B773" s="2" t="n">
        <x:v>768</x:v>
      </x:c>
      <x:c r="C773" s="2" t="str">
        <x:v>Beauty / organic_volume_growth</x:v>
      </x:c>
      <x:c r="D773" s="2" t="str">
        <x:v>Broad rolling 8</x:v>
      </x:c>
      <x:c r="E773" s="7" t="n">
        <x:v>45473</x:v>
      </x:c>
      <x:c r="F773" s="2" t="str">
        <x:v>Pre-earnings</x:v>
      </x:c>
      <x:c r="G773" s="7" t="n">
        <x:v>45502</x:v>
      </x:c>
      <x:c r="H773" s="2" t="n">
        <x:v>8</x:v>
      </x:c>
      <x:c r="I773" s="8" t="n">
        <x:v>3.7828696225690073</x:v>
      </x:c>
      <x:c r="J773" s="8" t="n">
        <x:v>0</x:v>
      </x:c>
      <x:c r="K773" s="8" t="n">
        <x:v>-8</x:v>
      </x:c>
      <x:c r="L773" s="8" t="n">
        <x:v>10.076088037877579</x:v>
      </x:c>
      <x:c r="M773" s="8" t="n">
        <x:v>0</x:v>
      </x:c>
      <x:c r="N773" s="8" t="n">
        <x:v>0</x:v>
      </x:c>
      <x:c r="O773" s="8" t="n">
        <x:v>3.435837949493381</x:v>
      </x:c>
      <x:c r="P773" s="8" t="n">
        <x:v>0</x:v>
      </x:c>
      <x:c r="Q773" s="8" t="n">
        <x:v>1.745900082947749</x:v>
      </x:c>
      <x:c r="R773" s="8" t="n">
        <x:v>0</x:v>
      </x:c>
      <x:c r="S773" s="8" t="n">
        <x:f>L773-I773^2/H773</x:f>
        <x:v>8.287325215208156</x:v>
      </x:c>
      <x:c r="T773" s="8" t="n">
        <x:f>M773-J773^2/H773</x:f>
        <x:v>0</x:v>
      </x:c>
      <x:c r="U773" s="8" t="n">
        <x:f>N773-I773*J773/H773</x:f>
        <x:v>0</x:v>
      </x:c>
      <x:c r="V773" s="8" t="n">
        <x:f>O773-I773*K773/H773</x:f>
        <x:v>7.218707572062389</x:v>
      </x:c>
      <x:c r="W773" s="8" t="n">
        <x:f>P773-J773*K773/H773</x:f>
        <x:v>0</x:v>
      </x:c>
      <x:c r="X773" s="8" t="n">
        <x:f>V773/S773</x:f>
        <x:v>0.8710539751493357</x:v>
      </x:c>
      <x:c r="Y773" s="8" t="n">
        <x:f>0</x:f>
        <x:v>0</x:v>
      </x:c>
      <x:c r="Z773" s="8" t="n">
        <x:f>K773/H773-X773*I773/H773-Y773*J773/H773</x:f>
        <x:v>-1.4118854527763</x:v>
      </x:c>
      <x:c r="AA773" s="8" t="n">
        <x:f>Z773+X773*Q773+Y773*R773</x:f>
        <x:v>0.10888775468889156</x:v>
      </x:c>
    </x:row>
    <x:row r="774" ht="26" customHeight="1">
      <x:c r="A774" s="2"/>
      <x:c r="B774" s="2" t="n">
        <x:v>769</x:v>
      </x:c>
      <x:c r="C774" s="2" t="str">
        <x:v>Beauty / organic_volume_growth</x:v>
      </x:c>
      <x:c r="D774" s="2" t="str">
        <x:v>Own history</x:v>
      </x:c>
      <x:c r="E774" s="7" t="n">
        <x:v>45473</x:v>
      </x:c>
      <x:c r="F774" s="2" t="str">
        <x:v>Pre-earnings</x:v>
      </x:c>
      <x:c r="G774" s="7" t="n">
        <x:v>45502</x:v>
      </x:c>
      <x:c r="H774" s="2" t="n">
        <x:v>12</x:v>
      </x:c>
      <x:c r="I774" s="8" t="n">
        <x:v>-6</x:v>
      </x:c>
      <x:c r="J774" s="8" t="n">
        <x:v>0</x:v>
      </x:c>
      <x:c r="K774" s="8" t="n">
        <x:v>-7</x:v>
      </x:c>
      <x:c r="L774" s="8" t="n">
        <x:v>30</x:v>
      </x:c>
      <x:c r="M774" s="8" t="n">
        <x:v>0</x:v>
      </x:c>
      <x:c r="N774" s="8" t="n">
        <x:v>0</x:v>
      </x:c>
      <x:c r="O774" s="8" t="n">
        <x:v>8</x:v>
      </x:c>
      <x:c r="P774" s="8" t="n">
        <x:v>0</x:v>
      </x:c>
      <x:c r="Q774" s="8" t="n">
        <x:v>1</x:v>
      </x:c>
      <x:c r="R774" s="8" t="n">
        <x:v>0</x:v>
      </x:c>
      <x:c r="S774" s="8" t="n">
        <x:f>L774-I774^2/H774</x:f>
        <x:v>27</x:v>
      </x:c>
      <x:c r="T774" s="8" t="n">
        <x:f>M774-J774^2/H774</x:f>
        <x:v>0</x:v>
      </x:c>
      <x:c r="U774" s="8" t="n">
        <x:f>N774-I774*J774/H774</x:f>
        <x:v>0</x:v>
      </x:c>
      <x:c r="V774" s="8" t="n">
        <x:f>O774-I774*K774/H774</x:f>
        <x:v>4.5</x:v>
      </x:c>
      <x:c r="W774" s="8" t="n">
        <x:f>P774-J774*K774/H774</x:f>
        <x:v>0</x:v>
      </x:c>
      <x:c r="X774" s="8" t="n">
        <x:f>V774/S774</x:f>
        <x:v>0.16666666666666666</x:v>
      </x:c>
      <x:c r="Y774" s="8" t="n">
        <x:f>0</x:f>
        <x:v>0</x:v>
      </x:c>
      <x:c r="Z774" s="8" t="n">
        <x:f>K774/H774-X774*I774/H774-Y774*J774/H774</x:f>
        <x:v>-0.5</x:v>
      </x:c>
      <x:c r="AA774" s="8" t="n">
        <x:f>Z774+X774*Q774+Y774*R774</x:f>
        <x:v>-0.33333333333333337</x:v>
      </x:c>
    </x:row>
    <x:row r="775" ht="26" customHeight="1">
      <x:c r="A775" s="2"/>
      <x:c r="B775" s="2" t="n">
        <x:v>770</x:v>
      </x:c>
      <x:c r="C775" s="2" t="str">
        <x:v>Beauty / organic_volume_growth</x:v>
      </x:c>
      <x:c r="D775" s="2" t="str">
        <x:v>Broad market</x:v>
      </x:c>
      <x:c r="E775" s="7" t="n">
        <x:v>45565</x:v>
      </x:c>
      <x:c r="F775" s="2" t="str">
        <x:v>Origin</x:v>
      </x:c>
      <x:c r="G775" s="7" t="n">
        <x:v>45474</x:v>
      </x:c>
      <x:c r="H775" s="2" t="n">
        <x:v>13</x:v>
      </x:c>
      <x:c r="I775" s="8" t="n">
        <x:v>41.66273213711157</x:v>
      </x:c>
      <x:c r="J775" s="8" t="n">
        <x:v>0</x:v>
      </x:c>
      <x:c r="K775" s="8" t="n">
        <x:v>-5</x:v>
      </x:c>
      <x:c r="L775" s="8" t="n">
        <x:v>354.0374507964112</x:v>
      </x:c>
      <x:c r="M775" s="8" t="n">
        <x:v>0</x:v>
      </x:c>
      <x:c r="N775" s="8" t="n">
        <x:v>0</x:v>
      </x:c>
      <x:c r="O775" s="8" t="n">
        <x:v>33.441094198082496</x:v>
      </x:c>
      <x:c r="P775" s="8" t="n">
        <x:v>0</x:v>
      </x:c>
      <x:c r="Q775" s="8" t="n">
        <x:v>1.8076142102986026</x:v>
      </x:c>
      <x:c r="R775" s="8" t="n">
        <x:v>0</x:v>
      </x:c>
      <x:c r="S775" s="8" t="n">
        <x:f>L775-I775^2/H775</x:f>
        <x:v>220.5156624018951</x:v>
      </x:c>
      <x:c r="T775" s="8" t="n">
        <x:f>M775-J775^2/H775</x:f>
        <x:v>0</x:v>
      </x:c>
      <x:c r="U775" s="8" t="n">
        <x:f>N775-I775*J775/H775</x:f>
        <x:v>0</x:v>
      </x:c>
      <x:c r="V775" s="8" t="n">
        <x:f>O775-I775*K775/H775</x:f>
        <x:v>49.46522194312541</x:v>
      </x:c>
      <x:c r="W775" s="8" t="n">
        <x:f>P775-J775*K775/H775</x:f>
        <x:v>0</x:v>
      </x:c>
      <x:c r="X775" s="8" t="n">
        <x:f>V775/S775</x:f>
        <x:v>0.22431613883722168</x:v>
      </x:c>
      <x:c r="Y775" s="8" t="n">
        <x:f>0</x:f>
        <x:v>0</x:v>
      </x:c>
      <x:c r="Z775" s="8" t="n">
        <x:f>K775/H775-X775*I775/H775-Y775*J775/H775</x:f>
        <x:v>-1.103509477415869</x:v>
      </x:c>
      <x:c r="AA775" s="8" t="n">
        <x:f>Z775+X775*Q775+Y775*R775</x:f>
        <x:v>-0.6980324372543927</x:v>
      </x:c>
    </x:row>
    <x:row r="776" ht="26" customHeight="1">
      <x:c r="A776" s="2"/>
      <x:c r="B776" s="2" t="n">
        <x:v>771</x:v>
      </x:c>
      <x:c r="C776" s="2" t="str">
        <x:v>Beauty / organic_volume_growth</x:v>
      </x:c>
      <x:c r="D776" s="2" t="str">
        <x:v>Broad rolling 8</x:v>
      </x:c>
      <x:c r="E776" s="7" t="n">
        <x:v>45565</x:v>
      </x:c>
      <x:c r="F776" s="2" t="str">
        <x:v>Origin</x:v>
      </x:c>
      <x:c r="G776" s="7" t="n">
        <x:v>45474</x:v>
      </x:c>
      <x:c r="H776" s="2" t="n">
        <x:v>8</x:v>
      </x:c>
      <x:c r="I776" s="8" t="n">
        <x:v>3.7828696225690073</x:v>
      </x:c>
      <x:c r="J776" s="8" t="n">
        <x:v>0</x:v>
      </x:c>
      <x:c r="K776" s="8" t="n">
        <x:v>-8</x:v>
      </x:c>
      <x:c r="L776" s="8" t="n">
        <x:v>10.076088037877579</x:v>
      </x:c>
      <x:c r="M776" s="8" t="n">
        <x:v>0</x:v>
      </x:c>
      <x:c r="N776" s="8" t="n">
        <x:v>0</x:v>
      </x:c>
      <x:c r="O776" s="8" t="n">
        <x:v>3.435837949493381</x:v>
      </x:c>
      <x:c r="P776" s="8" t="n">
        <x:v>0</x:v>
      </x:c>
      <x:c r="Q776" s="8" t="n">
        <x:v>1.8076142102986026</x:v>
      </x:c>
      <x:c r="R776" s="8" t="n">
        <x:v>0</x:v>
      </x:c>
      <x:c r="S776" s="8" t="n">
        <x:f>L776-I776^2/H776</x:f>
        <x:v>8.287325215208156</x:v>
      </x:c>
      <x:c r="T776" s="8" t="n">
        <x:f>M776-J776^2/H776</x:f>
        <x:v>0</x:v>
      </x:c>
      <x:c r="U776" s="8" t="n">
        <x:f>N776-I776*J776/H776</x:f>
        <x:v>0</x:v>
      </x:c>
      <x:c r="V776" s="8" t="n">
        <x:f>O776-I776*K776/H776</x:f>
        <x:v>7.218707572062389</x:v>
      </x:c>
      <x:c r="W776" s="8" t="n">
        <x:f>P776-J776*K776/H776</x:f>
        <x:v>0</x:v>
      </x:c>
      <x:c r="X776" s="8" t="n">
        <x:f>V776/S776</x:f>
        <x:v>0.8710539751493357</x:v>
      </x:c>
      <x:c r="Y776" s="8" t="n">
        <x:f>0</x:f>
        <x:v>0</x:v>
      </x:c>
      <x:c r="Z776" s="8" t="n">
        <x:f>K776/H776-X776*I776/H776-Y776*J776/H776</x:f>
        <x:v>-1.4118854527763</x:v>
      </x:c>
      <x:c r="AA776" s="8" t="n">
        <x:f>Z776+X776*Q776+Y776*R776</x:f>
        <x:v>0.16264409064072494</x:v>
      </x:c>
    </x:row>
    <x:row r="777" ht="26" customHeight="1">
      <x:c r="A777" s="2"/>
      <x:c r="B777" s="2" t="n">
        <x:v>772</x:v>
      </x:c>
      <x:c r="C777" s="2" t="str">
        <x:v>Beauty / organic_volume_growth</x:v>
      </x:c>
      <x:c r="D777" s="2" t="str">
        <x:v>Own history</x:v>
      </x:c>
      <x:c r="E777" s="7" t="n">
        <x:v>45565</x:v>
      </x:c>
      <x:c r="F777" s="2" t="str">
        <x:v>Origin</x:v>
      </x:c>
      <x:c r="G777" s="7" t="n">
        <x:v>45474</x:v>
      </x:c>
      <x:c r="H777" s="2" t="n">
        <x:v>11</x:v>
      </x:c>
      <x:c r="I777" s="8" t="n">
        <x:v>-5</x:v>
      </x:c>
      <x:c r="J777" s="8" t="n">
        <x:v>0</x:v>
      </x:c>
      <x:c r="K777" s="8" t="n">
        <x:v>-8</x:v>
      </x:c>
      <x:c r="L777" s="8" t="n">
        <x:v>29</x:v>
      </x:c>
      <x:c r="M777" s="8" t="n">
        <x:v>0</x:v>
      </x:c>
      <x:c r="N777" s="8" t="n">
        <x:v>0</x:v>
      </x:c>
      <x:c r="O777" s="8" t="n">
        <x:v>13</x:v>
      </x:c>
      <x:c r="P777" s="8" t="n">
        <x:v>0</x:v>
      </x:c>
      <x:c r="Q777" s="8" t="n">
        <x:v>1</x:v>
      </x:c>
      <x:c r="R777" s="8" t="n">
        <x:v>0</x:v>
      </x:c>
      <x:c r="S777" s="8" t="n">
        <x:f>L777-I777^2/H777</x:f>
        <x:v>26.727272727272727</x:v>
      </x:c>
      <x:c r="T777" s="8" t="n">
        <x:f>M777-J777^2/H777</x:f>
        <x:v>0</x:v>
      </x:c>
      <x:c r="U777" s="8" t="n">
        <x:f>N777-I777*J777/H777</x:f>
        <x:v>0</x:v>
      </x:c>
      <x:c r="V777" s="8" t="n">
        <x:f>O777-I777*K777/H777</x:f>
        <x:v>9.363636363636363</x:v>
      </x:c>
      <x:c r="W777" s="8" t="n">
        <x:f>P777-J777*K777/H777</x:f>
        <x:v>0</x:v>
      </x:c>
      <x:c r="X777" s="8" t="n">
        <x:f>V777/S777</x:f>
        <x:v>0.35034013605442177</x:v>
      </x:c>
      <x:c r="Y777" s="8" t="n">
        <x:f>0</x:f>
        <x:v>0</x:v>
      </x:c>
      <x:c r="Z777" s="8" t="n">
        <x:f>K777/H777-X777*I777/H777-Y777*J777/H777</x:f>
        <x:v>-0.5680272108843538</x:v>
      </x:c>
      <x:c r="AA777" s="8" t="n">
        <x:f>Z777+X777*Q777+Y777*R777</x:f>
        <x:v>-0.21768707482993205</x:v>
      </x:c>
    </x:row>
    <x:row r="778" ht="26" customHeight="1">
      <x:c r="A778" s="2"/>
      <x:c r="B778" s="2" t="n">
        <x:v>773</x:v>
      </x:c>
      <x:c r="C778" s="2" t="str">
        <x:v>Beauty / organic_volume_growth</x:v>
      </x:c>
      <x:c r="D778" s="2" t="str">
        <x:v>Broad market</x:v>
      </x:c>
      <x:c r="E778" s="7" t="n">
        <x:v>45565</x:v>
      </x:c>
      <x:c r="F778" s="2" t="str">
        <x:v>Prior report</x:v>
      </x:c>
      <x:c r="G778" s="7" t="n">
        <x:v>45503</x:v>
      </x:c>
      <x:c r="H778" s="2" t="n">
        <x:v>14</x:v>
      </x:c>
      <x:c r="I778" s="8" t="n">
        <x:v>43.40863222005932</x:v>
      </x:c>
      <x:c r="J778" s="8" t="n">
        <x:v>0</x:v>
      </x:c>
      <x:c r="K778" s="8" t="n">
        <x:v>-4</x:v>
      </x:c>
      <x:c r="L778" s="8" t="n">
        <x:v>357.0856178960481</x:v>
      </x:c>
      <x:c r="M778" s="8" t="n">
        <x:v>0</x:v>
      </x:c>
      <x:c r="N778" s="8" t="n">
        <x:v>0</x:v>
      </x:c>
      <x:c r="O778" s="8" t="n">
        <x:v>35.186994281030245</x:v>
      </x:c>
      <x:c r="P778" s="8" t="n">
        <x:v>0</x:v>
      </x:c>
      <x:c r="Q778" s="8" t="n">
        <x:v>1.7457094853091215</x:v>
      </x:c>
      <x:c r="R778" s="8" t="n">
        <x:v>0</x:v>
      </x:c>
      <x:c r="S778" s="8" t="n">
        <x:f>L778-I778^2/H778</x:f>
        <x:v>222.4920928091644</x:v>
      </x:c>
      <x:c r="T778" s="8" t="n">
        <x:f>M778-J778^2/H778</x:f>
        <x:v>0</x:v>
      </x:c>
      <x:c r="U778" s="8" t="n">
        <x:f>N778-I778*J778/H778</x:f>
        <x:v>0</x:v>
      </x:c>
      <x:c r="V778" s="8" t="n">
        <x:f>O778-I778*K778/H778</x:f>
        <x:v>47.58946062961862</x:v>
      </x:c>
      <x:c r="W778" s="8" t="n">
        <x:f>P778-J778*K778/H778</x:f>
        <x:v>0</x:v>
      </x:c>
      <x:c r="X778" s="8" t="n">
        <x:f>V778/S778</x:f>
        <x:v>0.21389281762222886</x:v>
      </x:c>
      <x:c r="Y778" s="8" t="n">
        <x:f>0</x:f>
        <x:v>0</x:v>
      </x:c>
      <x:c r="Z778" s="8" t="n">
        <x:f>K778/H778-X778*I778/H778-Y778*J778/H778</x:f>
        <x:v>-0.9489139039053968</x:v>
      </x:c>
      <x:c r="AA778" s="8" t="n">
        <x:f>Z778+X778*Q778+Y778*R778</x:f>
        <x:v>-0.5755191833427777</x:v>
      </x:c>
    </x:row>
    <x:row r="779" ht="26" customHeight="1">
      <x:c r="A779" s="2"/>
      <x:c r="B779" s="2" t="n">
        <x:v>774</x:v>
      </x:c>
      <x:c r="C779" s="2" t="str">
        <x:v>Beauty / organic_volume_growth</x:v>
      </x:c>
      <x:c r="D779" s="2" t="str">
        <x:v>Broad lag 1</x:v>
      </x:c>
      <x:c r="E779" s="7" t="n">
        <x:v>45565</x:v>
      </x:c>
      <x:c r="F779" s="2" t="str">
        <x:v>Prior report</x:v>
      </x:c>
      <x:c r="G779" s="7" t="n">
        <x:v>45503</x:v>
      </x:c>
      <x:c r="H779" s="2" t="n">
        <x:v>13</x:v>
      </x:c>
      <x:c r="I779" s="8" t="n">
        <x:v>41.66273213711157</x:v>
      </x:c>
      <x:c r="J779" s="8" t="n">
        <x:v>0</x:v>
      </x:c>
      <x:c r="K779" s="8" t="n">
        <x:v>-6</x:v>
      </x:c>
      <x:c r="L779" s="8" t="n">
        <x:v>354.0374507964112</x:v>
      </x:c>
      <x:c r="M779" s="8" t="n">
        <x:v>0</x:v>
      </x:c>
      <x:c r="N779" s="8" t="n">
        <x:v>0</x:v>
      </x:c>
      <x:c r="O779" s="8" t="n">
        <x:v>2.7249021938631435</x:v>
      </x:c>
      <x:c r="P779" s="8" t="n">
        <x:v>0</x:v>
      </x:c>
      <x:c r="Q779" s="8" t="n">
        <x:v>1.745900082947749</x:v>
      </x:c>
      <x:c r="R779" s="8" t="n">
        <x:v>0</x:v>
      </x:c>
      <x:c r="S779" s="8" t="n">
        <x:f>L779-I779^2/H779</x:f>
        <x:v>220.5156624018951</x:v>
      </x:c>
      <x:c r="T779" s="8" t="n">
        <x:f>M779-J779^2/H779</x:f>
        <x:v>0</x:v>
      </x:c>
      <x:c r="U779" s="8" t="n">
        <x:f>N779-I779*J779/H779</x:f>
        <x:v>0</x:v>
      </x:c>
      <x:c r="V779" s="8" t="n">
        <x:f>O779-I779*K779/H779</x:f>
        <x:v>21.953855487914637</x:v>
      </x:c>
      <x:c r="W779" s="8" t="n">
        <x:f>P779-J779*K779/H779</x:f>
        <x:v>0</x:v>
      </x:c>
      <x:c r="X779" s="8" t="n">
        <x:f>V779/S779</x:f>
        <x:v>0.09955689881067589</x:v>
      </x:c>
      <x:c r="Y779" s="8" t="n">
        <x:f>0</x:f>
        <x:v>0</x:v>
      </x:c>
      <x:c r="Z779" s="8" t="n">
        <x:f>K779/H779-X779*I779/H779-Y779*J779/H779</x:f>
        <x:v>-0.7806009544269777</x:v>
      </x:c>
      <x:c r="AA779" s="8" t="n">
        <x:f>Z779+X779*Q779+Y779*R779</x:f>
        <x:v>-0.6067845565353981</x:v>
      </x:c>
    </x:row>
    <x:row r="780" ht="26" customHeight="1">
      <x:c r="A780" s="2"/>
      <x:c r="B780" s="2" t="n">
        <x:v>775</x:v>
      </x:c>
      <x:c r="C780" s="2" t="str">
        <x:v>Beauty / organic_volume_growth</x:v>
      </x:c>
      <x:c r="D780" s="2" t="str">
        <x:v>Broad rolling 8</x:v>
      </x:c>
      <x:c r="E780" s="7" t="n">
        <x:v>45565</x:v>
      </x:c>
      <x:c r="F780" s="2" t="str">
        <x:v>Prior report</x:v>
      </x:c>
      <x:c r="G780" s="7" t="n">
        <x:v>45503</x:v>
      </x:c>
      <x:c r="H780" s="2" t="n">
        <x:v>8</x:v>
      </x:c>
      <x:c r="I780" s="8" t="n">
        <x:v>5.304269069097545</x:v>
      </x:c>
      <x:c r="J780" s="8" t="n">
        <x:v>0</x:v>
      </x:c>
      <x:c r="K780" s="8" t="n">
        <x:v>-5</x:v>
      </x:c>
      <x:c r="L780" s="8" t="n">
        <x:v>13.073854601761903</x:v>
      </x:c>
      <x:c r="M780" s="8" t="n">
        <x:v>0</x:v>
      </x:c>
      <x:c r="N780" s="8" t="n">
        <x:v>0</x:v>
      </x:c>
      <x:c r="O780" s="8" t="n">
        <x:v>5.630739305279553</x:v>
      </x:c>
      <x:c r="P780" s="8" t="n">
        <x:v>0</x:v>
      </x:c>
      <x:c r="Q780" s="8" t="n">
        <x:v>1.7457094853091215</x:v>
      </x:c>
      <x:c r="R780" s="8" t="n">
        <x:v>0</x:v>
      </x:c>
      <x:c r="S780" s="8" t="n">
        <x:f>L780-I780^2/H780</x:f>
        <x:v>9.556945807088786</x:v>
      </x:c>
      <x:c r="T780" s="8" t="n">
        <x:f>M780-J780^2/H780</x:f>
        <x:v>0</x:v>
      </x:c>
      <x:c r="U780" s="8" t="n">
        <x:f>N780-I780*J780/H780</x:f>
        <x:v>0</x:v>
      </x:c>
      <x:c r="V780" s="8" t="n">
        <x:f>O780-I780*K780/H780</x:f>
        <x:v>8.945907473465518</x:v>
      </x:c>
      <x:c r="W780" s="8" t="n">
        <x:f>P780-J780*K780/H780</x:f>
        <x:v>0</x:v>
      </x:c>
      <x:c r="X780" s="8" t="n">
        <x:f>V780/S780</x:f>
        <x:v>0.9360634301002276</x:v>
      </x:c>
      <x:c r="Y780" s="8" t="n">
        <x:f>0</x:f>
        <x:v>0</x:v>
      </x:c>
      <x:c r="Z780" s="8" t="n">
        <x:f>K780/H780-X780*I780/H780-Y780*J780/H780</x:f>
        <x:v>-1.2456415373742487</x:v>
      </x:c>
      <x:c r="AA780" s="8" t="n">
        <x:f>Z780+X780*Q780+Y780*R780</x:f>
        <x:v>0.38845327140271046</x:v>
      </x:c>
    </x:row>
    <x:row r="781" ht="26" customHeight="1">
      <x:c r="A781" s="2"/>
      <x:c r="B781" s="2" t="n">
        <x:v>776</x:v>
      </x:c>
      <x:c r="C781" s="2" t="str">
        <x:v>Beauty / organic_volume_growth</x:v>
      </x:c>
      <x:c r="D781" s="2" t="str">
        <x:v>Own history</x:v>
      </x:c>
      <x:c r="E781" s="7" t="n">
        <x:v>45565</x:v>
      </x:c>
      <x:c r="F781" s="2" t="str">
        <x:v>Prior report</x:v>
      </x:c>
      <x:c r="G781" s="7" t="n">
        <x:v>45503</x:v>
      </x:c>
      <x:c r="H781" s="2" t="n">
        <x:v>13</x:v>
      </x:c>
      <x:c r="I781" s="8" t="n">
        <x:v>-5</x:v>
      </x:c>
      <x:c r="J781" s="8" t="n">
        <x:v>0</x:v>
      </x:c>
      <x:c r="K781" s="8" t="n">
        <x:v>-6</x:v>
      </x:c>
      <x:c r="L781" s="8" t="n">
        <x:v>31</x:v>
      </x:c>
      <x:c r="M781" s="8" t="n">
        <x:v>0</x:v>
      </x:c>
      <x:c r="N781" s="8" t="n">
        <x:v>0</x:v>
      </x:c>
      <x:c r="O781" s="8" t="n">
        <x:v>9</x:v>
      </x:c>
      <x:c r="P781" s="8" t="n">
        <x:v>0</x:v>
      </x:c>
      <x:c r="Q781" s="8" t="n">
        <x:v>1</x:v>
      </x:c>
      <x:c r="R781" s="8" t="n">
        <x:v>0</x:v>
      </x:c>
      <x:c r="S781" s="8" t="n">
        <x:f>L781-I781^2/H781</x:f>
        <x:v>29.076923076923077</x:v>
      </x:c>
      <x:c r="T781" s="8" t="n">
        <x:f>M781-J781^2/H781</x:f>
        <x:v>0</x:v>
      </x:c>
      <x:c r="U781" s="8" t="n">
        <x:f>N781-I781*J781/H781</x:f>
        <x:v>0</x:v>
      </x:c>
      <x:c r="V781" s="8" t="n">
        <x:f>O781-I781*K781/H781</x:f>
        <x:v>6.6923076923076925</x:v>
      </x:c>
      <x:c r="W781" s="8" t="n">
        <x:f>P781-J781*K781/H781</x:f>
        <x:v>0</x:v>
      </x:c>
      <x:c r="X781" s="8" t="n">
        <x:f>V781/S781</x:f>
        <x:v>0.23015873015873017</x:v>
      </x:c>
      <x:c r="Y781" s="8" t="n">
        <x:f>0</x:f>
        <x:v>0</x:v>
      </x:c>
      <x:c r="Z781" s="8" t="n">
        <x:f>K781/H781-X781*I781/H781-Y781*J781/H781</x:f>
        <x:v>-0.373015873015873</x:v>
      </x:c>
      <x:c r="AA781" s="8" t="n">
        <x:f>Z781+X781*Q781+Y781*R781</x:f>
        <x:v>-0.14285714285714285</x:v>
      </x:c>
    </x:row>
    <x:row r="782" ht="26" customHeight="1">
      <x:c r="A782" s="2"/>
      <x:c r="B782" s="2" t="n">
        <x:v>777</x:v>
      </x:c>
      <x:c r="C782" s="2" t="str">
        <x:v>Beauty / organic_volume_growth</x:v>
      </x:c>
      <x:c r="D782" s="2" t="str">
        <x:v>Broad market</x:v>
      </x:c>
      <x:c r="E782" s="7" t="n">
        <x:v>45565</x:v>
      </x:c>
      <x:c r="F782" s="2" t="str">
        <x:v>Pre-earnings</x:v>
      </x:c>
      <x:c r="G782" s="7" t="n">
        <x:v>45582</x:v>
      </x:c>
      <x:c r="H782" s="2" t="n">
        <x:v>14</x:v>
      </x:c>
      <x:c r="I782" s="8" t="n">
        <x:v>41.58880663164729</x:v>
      </x:c>
      <x:c r="J782" s="8" t="n">
        <x:v>0</x:v>
      </x:c>
      <x:c r="K782" s="8" t="n">
        <x:v>-4</x:v>
      </x:c>
      <x:c r="L782" s="8" t="n">
        <x:v>366.7871092575401</x:v>
      </x:c>
      <x:c r="M782" s="8" t="n">
        <x:v>0</x:v>
      </x:c>
      <x:c r="N782" s="8" t="n">
        <x:v>0</x:v>
      </x:c>
      <x:c r="O782" s="8" t="n">
        <x:v>40.07992999583273</x:v>
      </x:c>
      <x:c r="P782" s="8" t="n">
        <x:v>0</x:v>
      </x:c>
      <x:c r="Q782" s="8" t="n">
        <x:v>2.202595864225132</x:v>
      </x:c>
      <x:c r="R782" s="8" t="n">
        <x:v>0</x:v>
      </x:c>
      <x:c r="S782" s="8" t="n">
        <x:f>L782-I782^2/H782</x:f>
        <x:v>243.24219232578662</x:v>
      </x:c>
      <x:c r="T782" s="8" t="n">
        <x:f>M782-J782^2/H782</x:f>
        <x:v>0</x:v>
      </x:c>
      <x:c r="U782" s="8" t="n">
        <x:f>N782-I782*J782/H782</x:f>
        <x:v>0</x:v>
      </x:c>
      <x:c r="V782" s="8" t="n">
        <x:f>O782-I782*K782/H782</x:f>
        <x:v>51.96244617630338</x:v>
      </x:c>
      <x:c r="W782" s="8" t="n">
        <x:f>P782-J782*K782/H782</x:f>
        <x:v>0</x:v>
      </x:c>
      <x:c r="X782" s="8" t="n">
        <x:f>V782/S782</x:f>
        <x:v>0.21362431278660504</x:v>
      </x:c>
      <x:c r="Y782" s="8" t="n">
        <x:f>0</x:f>
        <x:v>0</x:v>
      </x:c>
      <x:c r="Z782" s="8" t="n">
        <x:f>K782/H782-X782*I782/H782-Y782*J782/H782</x:f>
        <x:v>-0.9203128740214752</x:v>
      </x:c>
      <x:c r="AA782" s="8" t="n">
        <x:f>Z782+X782*Q782+Y782*R782</x:f>
        <x:v>-0.44978484617976294</x:v>
      </x:c>
    </x:row>
    <x:row r="783" ht="26" customHeight="1">
      <x:c r="A783" s="2"/>
      <x:c r="B783" s="2" t="n">
        <x:v>778</x:v>
      </x:c>
      <x:c r="C783" s="2" t="str">
        <x:v>Beauty / organic_volume_growth</x:v>
      </x:c>
      <x:c r="D783" s="2" t="str">
        <x:v>Broad lag 1</x:v>
      </x:c>
      <x:c r="E783" s="7" t="n">
        <x:v>45565</x:v>
      </x:c>
      <x:c r="F783" s="2" t="str">
        <x:v>Pre-earnings</x:v>
      </x:c>
      <x:c r="G783" s="7" t="n">
        <x:v>45582</x:v>
      </x:c>
      <x:c r="H783" s="2" t="n">
        <x:v>13</x:v>
      </x:c>
      <x:c r="I783" s="8" t="n">
        <x:v>39.71481502953479</x:v>
      </x:c>
      <x:c r="J783" s="8" t="n">
        <x:v>0</x:v>
      </x:c>
      <x:c r="K783" s="8" t="n">
        <x:v>-6</x:v>
      </x:c>
      <x:c r="L783" s="8" t="n">
        <x:v>363.2752647327519</x:v>
      </x:c>
      <x:c r="M783" s="8" t="n">
        <x:v>0</x:v>
      </x:c>
      <x:c r="N783" s="8" t="n">
        <x:v>0</x:v>
      </x:c>
      <x:c r="O783" s="8" t="n">
        <x:v>6.664936431728141</x:v>
      </x:c>
      <x:c r="P783" s="8" t="n">
        <x:v>0</x:v>
      </x:c>
      <x:c r="Q783" s="8" t="n">
        <x:v>1.8739916021125014</x:v>
      </x:c>
      <x:c r="R783" s="8" t="n">
        <x:v>0</x:v>
      </x:c>
      <x:c r="S783" s="8" t="n">
        <x:f>L783-I783^2/H783</x:f>
        <x:v>241.9470698996625</x:v>
      </x:c>
      <x:c r="T783" s="8" t="n">
        <x:f>M783-J783^2/H783</x:f>
        <x:v>0</x:v>
      </x:c>
      <x:c r="U783" s="8" t="n">
        <x:f>N783-I783*J783/H783</x:f>
        <x:v>0</x:v>
      </x:c>
      <x:c r="V783" s="8" t="n">
        <x:f>O783-I783*K783/H783</x:f>
        <x:v>24.994851060744196</x:v>
      </x:c>
      <x:c r="W783" s="8" t="n">
        <x:f>P783-J783*K783/H783</x:f>
        <x:v>0</x:v>
      </x:c>
      <x:c r="X783" s="8" t="n">
        <x:f>V783/S783</x:f>
        <x:v>0.1033071037855915</x:v>
      </x:c>
      <x:c r="Y783" s="8" t="n">
        <x:f>0</x:f>
        <x:v>0</x:v>
      </x:c>
      <x:c r="Z783" s="8" t="n">
        <x:f>K783/H783-X783*I783/H783-Y783*J783/H783</x:f>
        <x:v>-0.7771401936985939</x:v>
      </x:c>
      <x:c r="AA783" s="8" t="n">
        <x:f>Z783+X783*Q783+Y783*R783</x:f>
        <x:v>-0.5835435487658308</x:v>
      </x:c>
    </x:row>
    <x:row r="784" ht="26" customHeight="1">
      <x:c r="A784" s="2"/>
      <x:c r="B784" s="2" t="n">
        <x:v>779</x:v>
      </x:c>
      <x:c r="C784" s="2" t="str">
        <x:v>Beauty / organic_volume_growth</x:v>
      </x:c>
      <x:c r="D784" s="2" t="str">
        <x:v>Broad rolling 8</x:v>
      </x:c>
      <x:c r="E784" s="7" t="n">
        <x:v>45565</x:v>
      </x:c>
      <x:c r="F784" s="2" t="str">
        <x:v>Pre-earnings</x:v>
      </x:c>
      <x:c r="G784" s="7" t="n">
        <x:v>45582</x:v>
      </x:c>
      <x:c r="H784" s="2" t="n">
        <x:v>8</x:v>
      </x:c>
      <x:c r="I784" s="8" t="n">
        <x:v>3.8524597778205827</x:v>
      </x:c>
      <x:c r="J784" s="8" t="n">
        <x:v>0</x:v>
      </x:c>
      <x:c r="K784" s="8" t="n">
        <x:v>-5</x:v>
      </x:c>
      <x:c r="L784" s="8" t="n">
        <x:v>15.42741688968306</x:v>
      </x:c>
      <x:c r="M784" s="8" t="n">
        <x:v>0</x:v>
      </x:c>
      <x:c r="N784" s="8" t="n">
        <x:v>0</x:v>
      </x:c>
      <x:c r="O784" s="8" t="n">
        <x:v>8.331039875781643</x:v>
      </x:c>
      <x:c r="P784" s="8" t="n">
        <x:v>0</x:v>
      </x:c>
      <x:c r="Q784" s="8" t="n">
        <x:v>2.202595864225132</x:v>
      </x:c>
      <x:c r="R784" s="8" t="n">
        <x:v>0</x:v>
      </x:c>
      <x:c r="S784" s="8" t="n">
        <x:f>L784-I784^2/H784</x:f>
        <x:v>13.572236097217385</x:v>
      </x:c>
      <x:c r="T784" s="8" t="n">
        <x:f>M784-J784^2/H784</x:f>
        <x:v>0</x:v>
      </x:c>
      <x:c r="U784" s="8" t="n">
        <x:f>N784-I784*J784/H784</x:f>
        <x:v>0</x:v>
      </x:c>
      <x:c r="V784" s="8" t="n">
        <x:f>O784-I784*K784/H784</x:f>
        <x:v>10.738827236919509</x:v>
      </x:c>
      <x:c r="W784" s="8" t="n">
        <x:f>P784-J784*K784/H784</x:f>
        <x:v>0</x:v>
      </x:c>
      <x:c r="X784" s="8" t="n">
        <x:f>V784/S784</x:f>
        <x:v>0.7912349269492307</x:v>
      </x:c>
      <x:c r="Y784" s="8" t="n">
        <x:f>0</x:f>
        <x:v>0</x:v>
      </x:c>
      <x:c r="Z784" s="8" t="n">
        <x:f>K784/H784-X784*I784/H784-Y784*J784/H784</x:f>
        <x:v>-1.0060250913598399</x:v>
      </x:c>
      <x:c r="AA784" s="8" t="n">
        <x:f>Z784+X784*Q784+Y784*R784</x:f>
        <x:v>0.73674568636901</x:v>
      </x:c>
    </x:row>
    <x:row r="785" ht="26" customHeight="1">
      <x:c r="A785" s="2"/>
      <x:c r="B785" s="2" t="n">
        <x:v>780</x:v>
      </x:c>
      <x:c r="C785" s="2" t="str">
        <x:v>Beauty / organic_volume_growth</x:v>
      </x:c>
      <x:c r="D785" s="2" t="str">
        <x:v>Own history</x:v>
      </x:c>
      <x:c r="E785" s="7" t="n">
        <x:v>45565</x:v>
      </x:c>
      <x:c r="F785" s="2" t="str">
        <x:v>Pre-earnings</x:v>
      </x:c>
      <x:c r="G785" s="7" t="n">
        <x:v>45582</x:v>
      </x:c>
      <x:c r="H785" s="2" t="n">
        <x:v>13</x:v>
      </x:c>
      <x:c r="I785" s="8" t="n">
        <x:v>-5</x:v>
      </x:c>
      <x:c r="J785" s="8" t="n">
        <x:v>0</x:v>
      </x:c>
      <x:c r="K785" s="8" t="n">
        <x:v>-6</x:v>
      </x:c>
      <x:c r="L785" s="8" t="n">
        <x:v>31</x:v>
      </x:c>
      <x:c r="M785" s="8" t="n">
        <x:v>0</x:v>
      </x:c>
      <x:c r="N785" s="8" t="n">
        <x:v>0</x:v>
      </x:c>
      <x:c r="O785" s="8" t="n">
        <x:v>9</x:v>
      </x:c>
      <x:c r="P785" s="8" t="n">
        <x:v>0</x:v>
      </x:c>
      <x:c r="Q785" s="8" t="n">
        <x:v>1</x:v>
      </x:c>
      <x:c r="R785" s="8" t="n">
        <x:v>0</x:v>
      </x:c>
      <x:c r="S785" s="8" t="n">
        <x:f>L785-I785^2/H785</x:f>
        <x:v>29.076923076923077</x:v>
      </x:c>
      <x:c r="T785" s="8" t="n">
        <x:f>M785-J785^2/H785</x:f>
        <x:v>0</x:v>
      </x:c>
      <x:c r="U785" s="8" t="n">
        <x:f>N785-I785*J785/H785</x:f>
        <x:v>0</x:v>
      </x:c>
      <x:c r="V785" s="8" t="n">
        <x:f>O785-I785*K785/H785</x:f>
        <x:v>6.6923076923076925</x:v>
      </x:c>
      <x:c r="W785" s="8" t="n">
        <x:f>P785-J785*K785/H785</x:f>
        <x:v>0</x:v>
      </x:c>
      <x:c r="X785" s="8" t="n">
        <x:f>V785/S785</x:f>
        <x:v>0.23015873015873017</x:v>
      </x:c>
      <x:c r="Y785" s="8" t="n">
        <x:f>0</x:f>
        <x:v>0</x:v>
      </x:c>
      <x:c r="Z785" s="8" t="n">
        <x:f>K785/H785-X785*I785/H785-Y785*J785/H785</x:f>
        <x:v>-0.373015873015873</x:v>
      </x:c>
      <x:c r="AA785" s="8" t="n">
        <x:f>Z785+X785*Q785+Y785*R785</x:f>
        <x:v>-0.14285714285714285</x:v>
      </x:c>
    </x:row>
    <x:row r="786" ht="26" customHeight="1">
      <x:c r="A786" s="2"/>
      <x:c r="B786" s="2" t="n">
        <x:v>781</x:v>
      </x:c>
      <x:c r="C786" s="2" t="str">
        <x:v>Beauty / organic_volume_growth</x:v>
      </x:c>
      <x:c r="D786" s="2" t="str">
        <x:v>Broad market</x:v>
      </x:c>
      <x:c r="E786" s="7" t="n">
        <x:v>45657</x:v>
      </x:c>
      <x:c r="F786" s="2" t="str">
        <x:v>Origin</x:v>
      </x:c>
      <x:c r="G786" s="7" t="n">
        <x:v>45566</x:v>
      </x:c>
      <x:c r="H786" s="2" t="n">
        <x:v>14</x:v>
      </x:c>
      <x:c r="I786" s="8" t="n">
        <x:v>41.58880663164729</x:v>
      </x:c>
      <x:c r="J786" s="8" t="n">
        <x:v>0</x:v>
      </x:c>
      <x:c r="K786" s="8" t="n">
        <x:v>-4</x:v>
      </x:c>
      <x:c r="L786" s="8" t="n">
        <x:v>366.7871092575401</x:v>
      </x:c>
      <x:c r="M786" s="8" t="n">
        <x:v>0</x:v>
      </x:c>
      <x:c r="N786" s="8" t="n">
        <x:v>0</x:v>
      </x:c>
      <x:c r="O786" s="8" t="n">
        <x:v>40.07992999583273</x:v>
      </x:c>
      <x:c r="P786" s="8" t="n">
        <x:v>0</x:v>
      </x:c>
      <x:c r="Q786" s="8" t="n">
        <x:v>2.1970378321914286</x:v>
      </x:c>
      <x:c r="R786" s="8" t="n">
        <x:v>0</x:v>
      </x:c>
      <x:c r="S786" s="8" t="n">
        <x:f>L786-I786^2/H786</x:f>
        <x:v>243.24219232578662</x:v>
      </x:c>
      <x:c r="T786" s="8" t="n">
        <x:f>M786-J786^2/H786</x:f>
        <x:v>0</x:v>
      </x:c>
      <x:c r="U786" s="8" t="n">
        <x:f>N786-I786*J786/H786</x:f>
        <x:v>0</x:v>
      </x:c>
      <x:c r="V786" s="8" t="n">
        <x:f>O786-I786*K786/H786</x:f>
        <x:v>51.96244617630338</x:v>
      </x:c>
      <x:c r="W786" s="8" t="n">
        <x:f>P786-J786*K786/H786</x:f>
        <x:v>0</x:v>
      </x:c>
      <x:c r="X786" s="8" t="n">
        <x:f>V786/S786</x:f>
        <x:v>0.21362431278660504</x:v>
      </x:c>
      <x:c r="Y786" s="8" t="n">
        <x:f>0</x:f>
        <x:v>0</x:v>
      </x:c>
      <x:c r="Z786" s="8" t="n">
        <x:f>K786/H786-X786*I786/H786-Y786*J786/H786</x:f>
        <x:v>-0.9203128740214752</x:v>
      </x:c>
      <x:c r="AA786" s="8" t="n">
        <x:f>Z786+X786*Q786+Y786*R786</x:f>
        <x:v>-0.4509721769534088</x:v>
      </x:c>
    </x:row>
    <x:row r="787" ht="26" customHeight="1">
      <x:c r="A787" s="2"/>
      <x:c r="B787" s="2" t="n">
        <x:v>782</x:v>
      </x:c>
      <x:c r="C787" s="2" t="str">
        <x:v>Beauty / organic_volume_growth</x:v>
      </x:c>
      <x:c r="D787" s="2" t="str">
        <x:v>Broad rolling 8</x:v>
      </x:c>
      <x:c r="E787" s="7" t="n">
        <x:v>45657</x:v>
      </x:c>
      <x:c r="F787" s="2" t="str">
        <x:v>Origin</x:v>
      </x:c>
      <x:c r="G787" s="7" t="n">
        <x:v>45566</x:v>
      </x:c>
      <x:c r="H787" s="2" t="n">
        <x:v>8</x:v>
      </x:c>
      <x:c r="I787" s="8" t="n">
        <x:v>3.8524597778205827</x:v>
      </x:c>
      <x:c r="J787" s="8" t="n">
        <x:v>0</x:v>
      </x:c>
      <x:c r="K787" s="8" t="n">
        <x:v>-5</x:v>
      </x:c>
      <x:c r="L787" s="8" t="n">
        <x:v>15.42741688968306</x:v>
      </x:c>
      <x:c r="M787" s="8" t="n">
        <x:v>0</x:v>
      </x:c>
      <x:c r="N787" s="8" t="n">
        <x:v>0</x:v>
      </x:c>
      <x:c r="O787" s="8" t="n">
        <x:v>8.331039875781643</x:v>
      </x:c>
      <x:c r="P787" s="8" t="n">
        <x:v>0</x:v>
      </x:c>
      <x:c r="Q787" s="8" t="n">
        <x:v>2.1970378321914286</x:v>
      </x:c>
      <x:c r="R787" s="8" t="n">
        <x:v>0</x:v>
      </x:c>
      <x:c r="S787" s="8" t="n">
        <x:f>L787-I787^2/H787</x:f>
        <x:v>13.572236097217385</x:v>
      </x:c>
      <x:c r="T787" s="8" t="n">
        <x:f>M787-J787^2/H787</x:f>
        <x:v>0</x:v>
      </x:c>
      <x:c r="U787" s="8" t="n">
        <x:f>N787-I787*J787/H787</x:f>
        <x:v>0</x:v>
      </x:c>
      <x:c r="V787" s="8" t="n">
        <x:f>O787-I787*K787/H787</x:f>
        <x:v>10.738827236919509</x:v>
      </x:c>
      <x:c r="W787" s="8" t="n">
        <x:f>P787-J787*K787/H787</x:f>
        <x:v>0</x:v>
      </x:c>
      <x:c r="X787" s="8" t="n">
        <x:f>V787/S787</x:f>
        <x:v>0.7912349269492307</x:v>
      </x:c>
      <x:c r="Y787" s="8" t="n">
        <x:f>0</x:f>
        <x:v>0</x:v>
      </x:c>
      <x:c r="Z787" s="8" t="n">
        <x:f>K787/H787-X787*I787/H787-Y787*J787/H787</x:f>
        <x:v>-1.0060250913598399</x:v>
      </x:c>
      <x:c r="AA787" s="8" t="n">
        <x:f>Z787+X787*Q787+Y787*R787</x:f>
        <x:v>0.7323479772988413</x:v>
      </x:c>
    </x:row>
    <x:row r="788" ht="26" customHeight="1">
      <x:c r="A788" s="2"/>
      <x:c r="B788" s="2" t="n">
        <x:v>783</x:v>
      </x:c>
      <x:c r="C788" s="2" t="str">
        <x:v>Beauty / organic_volume_growth</x:v>
      </x:c>
      <x:c r="D788" s="2" t="str">
        <x:v>Own history</x:v>
      </x:c>
      <x:c r="E788" s="7" t="n">
        <x:v>45657</x:v>
      </x:c>
      <x:c r="F788" s="2" t="str">
        <x:v>Origin</x:v>
      </x:c>
      <x:c r="G788" s="7" t="n">
        <x:v>45566</x:v>
      </x:c>
      <x:c r="H788" s="2" t="n">
        <x:v>12</x:v>
      </x:c>
      <x:c r="I788" s="8" t="n">
        <x:v>-6</x:v>
      </x:c>
      <x:c r="J788" s="8" t="n">
        <x:v>0</x:v>
      </x:c>
      <x:c r="K788" s="8" t="n">
        <x:v>-7</x:v>
      </x:c>
      <x:c r="L788" s="8" t="n">
        <x:v>30</x:v>
      </x:c>
      <x:c r="M788" s="8" t="n">
        <x:v>0</x:v>
      </x:c>
      <x:c r="N788" s="8" t="n">
        <x:v>0</x:v>
      </x:c>
      <x:c r="O788" s="8" t="n">
        <x:v>12</x:v>
      </x:c>
      <x:c r="P788" s="8" t="n">
        <x:v>0</x:v>
      </x:c>
      <x:c r="Q788" s="8" t="n">
        <x:v>1</x:v>
      </x:c>
      <x:c r="R788" s="8" t="n">
        <x:v>0</x:v>
      </x:c>
      <x:c r="S788" s="8" t="n">
        <x:f>L788-I788^2/H788</x:f>
        <x:v>27</x:v>
      </x:c>
      <x:c r="T788" s="8" t="n">
        <x:f>M788-J788^2/H788</x:f>
        <x:v>0</x:v>
      </x:c>
      <x:c r="U788" s="8" t="n">
        <x:f>N788-I788*J788/H788</x:f>
        <x:v>0</x:v>
      </x:c>
      <x:c r="V788" s="8" t="n">
        <x:f>O788-I788*K788/H788</x:f>
        <x:v>8.5</x:v>
      </x:c>
      <x:c r="W788" s="8" t="n">
        <x:f>P788-J788*K788/H788</x:f>
        <x:v>0</x:v>
      </x:c>
      <x:c r="X788" s="8" t="n">
        <x:f>V788/S788</x:f>
        <x:v>0.3148148148148148</x:v>
      </x:c>
      <x:c r="Y788" s="8" t="n">
        <x:f>0</x:f>
        <x:v>0</x:v>
      </x:c>
      <x:c r="Z788" s="8" t="n">
        <x:f>K788/H788-X788*I788/H788-Y788*J788/H788</x:f>
        <x:v>-0.42592592592592593</x:v>
      </x:c>
      <x:c r="AA788" s="8" t="n">
        <x:f>Z788+X788*Q788+Y788*R788</x:f>
        <x:v>-0.1111111111111111</x:v>
      </x:c>
    </x:row>
    <x:row r="789" ht="26" customHeight="1">
      <x:c r="A789" s="2"/>
      <x:c r="B789" s="2" t="n">
        <x:v>784</x:v>
      </x:c>
      <x:c r="C789" s="2" t="str">
        <x:v>Beauty / organic_volume_growth</x:v>
      </x:c>
      <x:c r="D789" s="2" t="str">
        <x:v>Broad market</x:v>
      </x:c>
      <x:c r="E789" s="7" t="n">
        <x:v>45657</x:v>
      </x:c>
      <x:c r="F789" s="2" t="str">
        <x:v>Prior report</x:v>
      </x:c>
      <x:c r="G789" s="7" t="n">
        <x:v>45583</x:v>
      </x:c>
      <x:c r="H789" s="2" t="n">
        <x:v>14</x:v>
      </x:c>
      <x:c r="I789" s="8" t="n">
        <x:v>41.58880663164729</x:v>
      </x:c>
      <x:c r="J789" s="8" t="n">
        <x:v>0</x:v>
      </x:c>
      <x:c r="K789" s="8" t="n">
        <x:v>-4</x:v>
      </x:c>
      <x:c r="L789" s="8" t="n">
        <x:v>366.7871092575401</x:v>
      </x:c>
      <x:c r="M789" s="8" t="n">
        <x:v>0</x:v>
      </x:c>
      <x:c r="N789" s="8" t="n">
        <x:v>0</x:v>
      </x:c>
      <x:c r="O789" s="8" t="n">
        <x:v>40.07992999583273</x:v>
      </x:c>
      <x:c r="P789" s="8" t="n">
        <x:v>0</x:v>
      </x:c>
      <x:c r="Q789" s="8" t="n">
        <x:v>2.1970378321914286</x:v>
      </x:c>
      <x:c r="R789" s="8" t="n">
        <x:v>0</x:v>
      </x:c>
      <x:c r="S789" s="8" t="n">
        <x:f>L789-I789^2/H789</x:f>
        <x:v>243.24219232578662</x:v>
      </x:c>
      <x:c r="T789" s="8" t="n">
        <x:f>M789-J789^2/H789</x:f>
        <x:v>0</x:v>
      </x:c>
      <x:c r="U789" s="8" t="n">
        <x:f>N789-I789*J789/H789</x:f>
        <x:v>0</x:v>
      </x:c>
      <x:c r="V789" s="8" t="n">
        <x:f>O789-I789*K789/H789</x:f>
        <x:v>51.96244617630338</x:v>
      </x:c>
      <x:c r="W789" s="8" t="n">
        <x:f>P789-J789*K789/H789</x:f>
        <x:v>0</x:v>
      </x:c>
      <x:c r="X789" s="8" t="n">
        <x:f>V789/S789</x:f>
        <x:v>0.21362431278660504</x:v>
      </x:c>
      <x:c r="Y789" s="8" t="n">
        <x:f>0</x:f>
        <x:v>0</x:v>
      </x:c>
      <x:c r="Z789" s="8" t="n">
        <x:f>K789/H789-X789*I789/H789-Y789*J789/H789</x:f>
        <x:v>-0.9203128740214752</x:v>
      </x:c>
      <x:c r="AA789" s="8" t="n">
        <x:f>Z789+X789*Q789+Y789*R789</x:f>
        <x:v>-0.4509721769534088</x:v>
      </x:c>
    </x:row>
    <x:row r="790" ht="26" customHeight="1">
      <x:c r="A790" s="2"/>
      <x:c r="B790" s="2" t="n">
        <x:v>785</x:v>
      </x:c>
      <x:c r="C790" s="2" t="str">
        <x:v>Beauty / organic_volume_growth</x:v>
      </x:c>
      <x:c r="D790" s="2" t="str">
        <x:v>Broad rolling 8</x:v>
      </x:c>
      <x:c r="E790" s="7" t="n">
        <x:v>45657</x:v>
      </x:c>
      <x:c r="F790" s="2" t="str">
        <x:v>Prior report</x:v>
      </x:c>
      <x:c r="G790" s="7" t="n">
        <x:v>45583</x:v>
      </x:c>
      <x:c r="H790" s="2" t="n">
        <x:v>8</x:v>
      </x:c>
      <x:c r="I790" s="8" t="n">
        <x:v>3.8524597778205827</x:v>
      </x:c>
      <x:c r="J790" s="8" t="n">
        <x:v>0</x:v>
      </x:c>
      <x:c r="K790" s="8" t="n">
        <x:v>-5</x:v>
      </x:c>
      <x:c r="L790" s="8" t="n">
        <x:v>15.42741688968306</x:v>
      </x:c>
      <x:c r="M790" s="8" t="n">
        <x:v>0</x:v>
      </x:c>
      <x:c r="N790" s="8" t="n">
        <x:v>0</x:v>
      </x:c>
      <x:c r="O790" s="8" t="n">
        <x:v>8.331039875781643</x:v>
      </x:c>
      <x:c r="P790" s="8" t="n">
        <x:v>0</x:v>
      </x:c>
      <x:c r="Q790" s="8" t="n">
        <x:v>2.1970378321914286</x:v>
      </x:c>
      <x:c r="R790" s="8" t="n">
        <x:v>0</x:v>
      </x:c>
      <x:c r="S790" s="8" t="n">
        <x:f>L790-I790^2/H790</x:f>
        <x:v>13.572236097217385</x:v>
      </x:c>
      <x:c r="T790" s="8" t="n">
        <x:f>M790-J790^2/H790</x:f>
        <x:v>0</x:v>
      </x:c>
      <x:c r="U790" s="8" t="n">
        <x:f>N790-I790*J790/H790</x:f>
        <x:v>0</x:v>
      </x:c>
      <x:c r="V790" s="8" t="n">
        <x:f>O790-I790*K790/H790</x:f>
        <x:v>10.738827236919509</x:v>
      </x:c>
      <x:c r="W790" s="8" t="n">
        <x:f>P790-J790*K790/H790</x:f>
        <x:v>0</x:v>
      </x:c>
      <x:c r="X790" s="8" t="n">
        <x:f>V790/S790</x:f>
        <x:v>0.7912349269492307</x:v>
      </x:c>
      <x:c r="Y790" s="8" t="n">
        <x:f>0</x:f>
        <x:v>0</x:v>
      </x:c>
      <x:c r="Z790" s="8" t="n">
        <x:f>K790/H790-X790*I790/H790-Y790*J790/H790</x:f>
        <x:v>-1.0060250913598399</x:v>
      </x:c>
      <x:c r="AA790" s="8" t="n">
        <x:f>Z790+X790*Q790+Y790*R790</x:f>
        <x:v>0.7323479772988413</x:v>
      </x:c>
    </x:row>
    <x:row r="791" ht="26" customHeight="1">
      <x:c r="A791" s="2"/>
      <x:c r="B791" s="2" t="n">
        <x:v>786</x:v>
      </x:c>
      <x:c r="C791" s="2" t="str">
        <x:v>Beauty / organic_volume_growth</x:v>
      </x:c>
      <x:c r="D791" s="2" t="str">
        <x:v>Own history</x:v>
      </x:c>
      <x:c r="E791" s="7" t="n">
        <x:v>45657</x:v>
      </x:c>
      <x:c r="F791" s="2" t="str">
        <x:v>Prior report</x:v>
      </x:c>
      <x:c r="G791" s="7" t="n">
        <x:v>45583</x:v>
      </x:c>
      <x:c r="H791" s="2" t="n">
        <x:v>14</x:v>
      </x:c>
      <x:c r="I791" s="8" t="n">
        <x:v>-4</x:v>
      </x:c>
      <x:c r="J791" s="8" t="n">
        <x:v>0</x:v>
      </x:c>
      <x:c r="K791" s="8" t="n">
        <x:v>-6</x:v>
      </x:c>
      <x:c r="L791" s="8" t="n">
        <x:v>32</x:v>
      </x:c>
      <x:c r="M791" s="8" t="n">
        <x:v>0</x:v>
      </x:c>
      <x:c r="N791" s="8" t="n">
        <x:v>0</x:v>
      </x:c>
      <x:c r="O791" s="8" t="n">
        <x:v>9</x:v>
      </x:c>
      <x:c r="P791" s="8" t="n">
        <x:v>0</x:v>
      </x:c>
      <x:c r="Q791" s="8" t="n">
        <x:v>0</x:v>
      </x:c>
      <x:c r="R791" s="8" t="n">
        <x:v>0</x:v>
      </x:c>
      <x:c r="S791" s="8" t="n">
        <x:f>L791-I791^2/H791</x:f>
        <x:v>30.857142857142858</x:v>
      </x:c>
      <x:c r="T791" s="8" t="n">
        <x:f>M791-J791^2/H791</x:f>
        <x:v>0</x:v>
      </x:c>
      <x:c r="U791" s="8" t="n">
        <x:f>N791-I791*J791/H791</x:f>
        <x:v>0</x:v>
      </x:c>
      <x:c r="V791" s="8" t="n">
        <x:f>O791-I791*K791/H791</x:f>
        <x:v>7.285714285714286</x:v>
      </x:c>
      <x:c r="W791" s="8" t="n">
        <x:f>P791-J791*K791/H791</x:f>
        <x:v>0</x:v>
      </x:c>
      <x:c r="X791" s="8" t="n">
        <x:f>V791/S791</x:f>
        <x:v>0.2361111111111111</x:v>
      </x:c>
      <x:c r="Y791" s="8" t="n">
        <x:f>0</x:f>
        <x:v>0</x:v>
      </x:c>
      <x:c r="Z791" s="8" t="n">
        <x:f>K791/H791-X791*I791/H791-Y791*J791/H791</x:f>
        <x:v>-0.3611111111111111</x:v>
      </x:c>
      <x:c r="AA791" s="8" t="n">
        <x:f>Z791+X791*Q791+Y791*R791</x:f>
        <x:v>-0.3611111111111111</x:v>
      </x:c>
    </x:row>
    <x:row r="792" ht="26" customHeight="1">
      <x:c r="A792" s="2"/>
      <x:c r="B792" s="2" t="n">
        <x:v>787</x:v>
      </x:c>
      <x:c r="C792" s="2" t="str">
        <x:v>Beauty / organic_volume_growth</x:v>
      </x:c>
      <x:c r="D792" s="2" t="str">
        <x:v>Broad market</x:v>
      </x:c>
      <x:c r="E792" s="7" t="n">
        <x:v>45657</x:v>
      </x:c>
      <x:c r="F792" s="2" t="str">
        <x:v>Pre-earnings</x:v>
      </x:c>
      <x:c r="G792" s="7" t="n">
        <x:v>45678</x:v>
      </x:c>
      <x:c r="H792" s="2" t="n">
        <x:v>15</x:v>
      </x:c>
      <x:c r="I792" s="8" t="n">
        <x:v>43.836489330457816</x:v>
      </x:c>
      <x:c r="J792" s="8" t="n">
        <x:v>0</x:v>
      </x:c>
      <x:c r="K792" s="8" t="n">
        <x:v>-4</x:v>
      </x:c>
      <x:c r="L792" s="8" t="n">
        <x:v>371.83918677207225</x:v>
      </x:c>
      <x:c r="M792" s="8" t="n">
        <x:v>0</x:v>
      </x:c>
      <x:c r="N792" s="8" t="n">
        <x:v>0</x:v>
      </x:c>
      <x:c r="O792" s="8" t="n">
        <x:v>40.07992999583273</x:v>
      </x:c>
      <x:c r="P792" s="8" t="n">
        <x:v>0</x:v>
      </x:c>
      <x:c r="Q792" s="8" t="n">
        <x:v>2.2104342232004415</x:v>
      </x:c>
      <x:c r="R792" s="8" t="n">
        <x:v>0</x:v>
      </x:c>
      <x:c r="S792" s="8" t="n">
        <x:f>L792-I792^2/H792</x:f>
        <x:v>243.73000031744945</x:v>
      </x:c>
      <x:c r="T792" s="8" t="n">
        <x:f>M792-J792^2/H792</x:f>
        <x:v>0</x:v>
      </x:c>
      <x:c r="U792" s="8" t="n">
        <x:f>N792-I792*J792/H792</x:f>
        <x:v>0</x:v>
      </x:c>
      <x:c r="V792" s="8" t="n">
        <x:f>O792-I792*K792/H792</x:f>
        <x:v>51.76966048395481</x:v>
      </x:c>
      <x:c r="W792" s="8" t="n">
        <x:f>P792-J792*K792/H792</x:f>
        <x:v>0</x:v>
      </x:c>
      <x:c r="X792" s="8" t="n">
        <x:f>V792/S792</x:f>
        <x:v>0.21240577859322493</x:v>
      </x:c>
      <x:c r="Y792" s="8" t="n">
        <x:f>0</x:f>
        <x:v>0</x:v>
      </x:c>
      <x:c r="Z792" s="8" t="n">
        <x:f>K792/H792-X792*I792/H792-Y792*J792/H792</x:f>
        <x:v>-0.8874082431352994</x:v>
      </x:c>
      <x:c r="AA792" s="8" t="n">
        <x:f>Z792+X792*Q792+Y792*R792</x:f>
        <x:v>-0.4178992409272993</x:v>
      </x:c>
    </x:row>
    <x:row r="793" ht="26" customHeight="1">
      <x:c r="A793" s="2"/>
      <x:c r="B793" s="2" t="n">
        <x:v>788</x:v>
      </x:c>
      <x:c r="C793" s="2" t="str">
        <x:v>Beauty / organic_volume_growth</x:v>
      </x:c>
      <x:c r="D793" s="2" t="str">
        <x:v>Broad lag 1</x:v>
      </x:c>
      <x:c r="E793" s="7" t="n">
        <x:v>45657</x:v>
      </x:c>
      <x:c r="F793" s="2" t="str">
        <x:v>Pre-earnings</x:v>
      </x:c>
      <x:c r="G793" s="7" t="n">
        <x:v>45678</x:v>
      </x:c>
      <x:c r="H793" s="2" t="n">
        <x:v>14</x:v>
      </x:c>
      <x:c r="I793" s="8" t="n">
        <x:v>41.58880663164729</x:v>
      </x:c>
      <x:c r="J793" s="8" t="n">
        <x:v>0</x:v>
      </x:c>
      <x:c r="K793" s="8" t="n">
        <x:v>-6</x:v>
      </x:c>
      <x:c r="L793" s="8" t="n">
        <x:v>366.7871092575401</x:v>
      </x:c>
      <x:c r="M793" s="8" t="n">
        <x:v>0</x:v>
      </x:c>
      <x:c r="N793" s="8" t="n">
        <x:v>0</x:v>
      </x:c>
      <x:c r="O793" s="8" t="n">
        <x:v>6.664936431728141</x:v>
      </x:c>
      <x:c r="P793" s="8" t="n">
        <x:v>0</x:v>
      </x:c>
      <x:c r="Q793" s="8" t="n">
        <x:v>2.247682698810527</x:v>
      </x:c>
      <x:c r="R793" s="8" t="n">
        <x:v>0</x:v>
      </x:c>
      <x:c r="S793" s="8" t="n">
        <x:f>L793-I793^2/H793</x:f>
        <x:v>243.24219232578662</x:v>
      </x:c>
      <x:c r="T793" s="8" t="n">
        <x:f>M793-J793^2/H793</x:f>
        <x:v>0</x:v>
      </x:c>
      <x:c r="U793" s="8" t="n">
        <x:f>N793-I793*J793/H793</x:f>
        <x:v>0</x:v>
      </x:c>
      <x:c r="V793" s="8" t="n">
        <x:f>O793-I793*K793/H793</x:f>
        <x:v>24.48871070243412</x:v>
      </x:c>
      <x:c r="W793" s="8" t="n">
        <x:f>P793-J793*K793/H793</x:f>
        <x:v>0</x:v>
      </x:c>
      <x:c r="X793" s="8" t="n">
        <x:f>V793/S793</x:f>
        <x:v>0.10067624563108338</x:v>
      </x:c>
      <x:c r="Y793" s="8" t="n">
        <x:f>0</x:f>
        <x:v>0</x:v>
      </x:c>
      <x:c r="Z793" s="8" t="n">
        <x:f>K793/H793-X793*I793/H793-Y793*J793/H793</x:f>
        <x:v>-0.7276432079965252</x:v>
      </x:c>
      <x:c r="AA793" s="8" t="n">
        <x:f>Z793+X793*Q793+Y793*R793</x:f>
        <x:v>-0.5013549525103401</x:v>
      </x:c>
    </x:row>
    <x:row r="794" ht="26" customHeight="1">
      <x:c r="A794" s="2"/>
      <x:c r="B794" s="2" t="n">
        <x:v>789</x:v>
      </x:c>
      <x:c r="C794" s="2" t="str">
        <x:v>Beauty / organic_volume_growth</x:v>
      </x:c>
      <x:c r="D794" s="2" t="str">
        <x:v>Broad rolling 8</x:v>
      </x:c>
      <x:c r="E794" s="7" t="n">
        <x:v>45657</x:v>
      </x:c>
      <x:c r="F794" s="2" t="str">
        <x:v>Pre-earnings</x:v>
      </x:c>
      <x:c r="G794" s="7" t="n">
        <x:v>45678</x:v>
      </x:c>
      <x:c r="H794" s="2" t="n">
        <x:v>8</x:v>
      </x:c>
      <x:c r="I794" s="8" t="n">
        <x:v>7.078949947895485</x:v>
      </x:c>
      <x:c r="J794" s="8" t="n">
        <x:v>0</x:v>
      </x:c>
      <x:c r="K794" s="8" t="n">
        <x:v>-4</x:v>
      </x:c>
      <x:c r="L794" s="8" t="n">
        <x:v>19.521430338412273</x:v>
      </x:c>
      <x:c r="M794" s="8" t="n">
        <x:v>0</x:v>
      </x:c>
      <x:c r="N794" s="8" t="n">
        <x:v>0</x:v>
      </x:c>
      <x:c r="O794" s="8" t="n">
        <x:v>7.352232404517267</x:v>
      </x:c>
      <x:c r="P794" s="8" t="n">
        <x:v>0</x:v>
      </x:c>
      <x:c r="Q794" s="8" t="n">
        <x:v>2.2104342232004415</x:v>
      </x:c>
      <x:c r="R794" s="8" t="n">
        <x:v>0</x:v>
      </x:c>
      <x:c r="S794" s="8" t="n">
        <x:f>L794-I794^2/H794</x:f>
        <x:v>13.257488792811085</x:v>
      </x:c>
      <x:c r="T794" s="8" t="n">
        <x:f>M794-J794^2/H794</x:f>
        <x:v>0</x:v>
      </x:c>
      <x:c r="U794" s="8" t="n">
        <x:f>N794-I794*J794/H794</x:f>
        <x:v>0</x:v>
      </x:c>
      <x:c r="V794" s="8" t="n">
        <x:f>O794-I794*K794/H794</x:f>
        <x:v>10.891707378465009</x:v>
      </x:c>
      <x:c r="W794" s="8" t="n">
        <x:f>P794-J794*K794/H794</x:f>
        <x:v>0</x:v>
      </x:c>
      <x:c r="X794" s="8" t="n">
        <x:f>V794/S794</x:f>
        <x:v>0.8215513170466394</x:v>
      </x:c>
      <x:c r="Y794" s="8" t="n">
        <x:f>0</x:f>
        <x:v>0</x:v>
      </x:c>
      <x:c r="Z794" s="8" t="n">
        <x:f>K794/H794-X794*I794/H794-Y794*J794/H794</x:f>
        <x:v>-1.226965081625097</x:v>
      </x:c>
      <x:c r="AA794" s="8" t="n">
        <x:f>Z794+X794*Q794+Y794*R794</x:f>
        <x:v>0.5890200656901909</x:v>
      </x:c>
    </x:row>
    <x:row r="795" ht="26" customHeight="1">
      <x:c r="A795" s="2"/>
      <x:c r="B795" s="2" t="n">
        <x:v>790</x:v>
      </x:c>
      <x:c r="C795" s="2" t="str">
        <x:v>Beauty / organic_volume_growth</x:v>
      </x:c>
      <x:c r="D795" s="2" t="str">
        <x:v>Own history</x:v>
      </x:c>
      <x:c r="E795" s="7" t="n">
        <x:v>45657</x:v>
      </x:c>
      <x:c r="F795" s="2" t="str">
        <x:v>Pre-earnings</x:v>
      </x:c>
      <x:c r="G795" s="7" t="n">
        <x:v>45678</x:v>
      </x:c>
      <x:c r="H795" s="2" t="n">
        <x:v>14</x:v>
      </x:c>
      <x:c r="I795" s="8" t="n">
        <x:v>-4</x:v>
      </x:c>
      <x:c r="J795" s="8" t="n">
        <x:v>0</x:v>
      </x:c>
      <x:c r="K795" s="8" t="n">
        <x:v>-6</x:v>
      </x:c>
      <x:c r="L795" s="8" t="n">
        <x:v>32</x:v>
      </x:c>
      <x:c r="M795" s="8" t="n">
        <x:v>0</x:v>
      </x:c>
      <x:c r="N795" s="8" t="n">
        <x:v>0</x:v>
      </x:c>
      <x:c r="O795" s="8" t="n">
        <x:v>9</x:v>
      </x:c>
      <x:c r="P795" s="8" t="n">
        <x:v>0</x:v>
      </x:c>
      <x:c r="Q795" s="8" t="n">
        <x:v>0</x:v>
      </x:c>
      <x:c r="R795" s="8" t="n">
        <x:v>0</x:v>
      </x:c>
      <x:c r="S795" s="8" t="n">
        <x:f>L795-I795^2/H795</x:f>
        <x:v>30.857142857142858</x:v>
      </x:c>
      <x:c r="T795" s="8" t="n">
        <x:f>M795-J795^2/H795</x:f>
        <x:v>0</x:v>
      </x:c>
      <x:c r="U795" s="8" t="n">
        <x:f>N795-I795*J795/H795</x:f>
        <x:v>0</x:v>
      </x:c>
      <x:c r="V795" s="8" t="n">
        <x:f>O795-I795*K795/H795</x:f>
        <x:v>7.285714285714286</x:v>
      </x:c>
      <x:c r="W795" s="8" t="n">
        <x:f>P795-J795*K795/H795</x:f>
        <x:v>0</x:v>
      </x:c>
      <x:c r="X795" s="8" t="n">
        <x:f>V795/S795</x:f>
        <x:v>0.2361111111111111</x:v>
      </x:c>
      <x:c r="Y795" s="8" t="n">
        <x:f>0</x:f>
        <x:v>0</x:v>
      </x:c>
      <x:c r="Z795" s="8" t="n">
        <x:f>K795/H795-X795*I795/H795-Y795*J795/H795</x:f>
        <x:v>-0.3611111111111111</x:v>
      </x:c>
      <x:c r="AA795" s="8" t="n">
        <x:f>Z795+X795*Q795+Y795*R795</x:f>
        <x:v>-0.3611111111111111</x:v>
      </x:c>
    </x:row>
    <x:row r="796" ht="26" customHeight="1">
      <x:c r="A796" s="2"/>
      <x:c r="B796" s="2" t="n">
        <x:v>791</x:v>
      </x:c>
      <x:c r="C796" s="2" t="str">
        <x:v>Beauty / organic_volume_growth</x:v>
      </x:c>
      <x:c r="D796" s="2" t="str">
        <x:v>Broad market</x:v>
      </x:c>
      <x:c r="E796" s="7" t="n">
        <x:v>45747</x:v>
      </x:c>
      <x:c r="F796" s="2" t="str">
        <x:v>Origin</x:v>
      </x:c>
      <x:c r="G796" s="7" t="n">
        <x:v>45658</x:v>
      </x:c>
      <x:c r="H796" s="2" t="n">
        <x:v>15</x:v>
      </x:c>
      <x:c r="I796" s="8" t="n">
        <x:v>43.836489330457816</x:v>
      </x:c>
      <x:c r="J796" s="8" t="n">
        <x:v>0</x:v>
      </x:c>
      <x:c r="K796" s="8" t="n">
        <x:v>-4</x:v>
      </x:c>
      <x:c r="L796" s="8" t="n">
        <x:v>371.83918677207225</x:v>
      </x:c>
      <x:c r="M796" s="8" t="n">
        <x:v>0</x:v>
      </x:c>
      <x:c r="N796" s="8" t="n">
        <x:v>0</x:v>
      </x:c>
      <x:c r="O796" s="8" t="n">
        <x:v>40.07992999583273</x:v>
      </x:c>
      <x:c r="P796" s="8" t="n">
        <x:v>0</x:v>
      </x:c>
      <x:c r="Q796" s="8" t="n">
        <x:v>2.3134618459836664</x:v>
      </x:c>
      <x:c r="R796" s="8" t="n">
        <x:v>0</x:v>
      </x:c>
      <x:c r="S796" s="8" t="n">
        <x:f>L796-I796^2/H796</x:f>
        <x:v>243.73000031744945</x:v>
      </x:c>
      <x:c r="T796" s="8" t="n">
        <x:f>M796-J796^2/H796</x:f>
        <x:v>0</x:v>
      </x:c>
      <x:c r="U796" s="8" t="n">
        <x:f>N796-I796*J796/H796</x:f>
        <x:v>0</x:v>
      </x:c>
      <x:c r="V796" s="8" t="n">
        <x:f>O796-I796*K796/H796</x:f>
        <x:v>51.76966048395481</x:v>
      </x:c>
      <x:c r="W796" s="8" t="n">
        <x:f>P796-J796*K796/H796</x:f>
        <x:v>0</x:v>
      </x:c>
      <x:c r="X796" s="8" t="n">
        <x:f>V796/S796</x:f>
        <x:v>0.21240577859322493</x:v>
      </x:c>
      <x:c r="Y796" s="8" t="n">
        <x:f>0</x:f>
        <x:v>0</x:v>
      </x:c>
      <x:c r="Z796" s="8" t="n">
        <x:f>K796/H796-X796*I796/H796-Y796*J796/H796</x:f>
        <x:v>-0.8874082431352994</x:v>
      </x:c>
      <x:c r="AA796" s="8" t="n">
        <x:f>Z796+X796*Q796+Y796*R796</x:f>
        <x:v>-0.39601557849341934</x:v>
      </x:c>
    </x:row>
    <x:row r="797" ht="26" customHeight="1">
      <x:c r="A797" s="2"/>
      <x:c r="B797" s="2" t="n">
        <x:v>792</x:v>
      </x:c>
      <x:c r="C797" s="2" t="str">
        <x:v>Beauty / organic_volume_growth</x:v>
      </x:c>
      <x:c r="D797" s="2" t="str">
        <x:v>Broad rolling 8</x:v>
      </x:c>
      <x:c r="E797" s="7" t="n">
        <x:v>45747</x:v>
      </x:c>
      <x:c r="F797" s="2" t="str">
        <x:v>Origin</x:v>
      </x:c>
      <x:c r="G797" s="7" t="n">
        <x:v>45658</x:v>
      </x:c>
      <x:c r="H797" s="2" t="n">
        <x:v>8</x:v>
      </x:c>
      <x:c r="I797" s="8" t="n">
        <x:v>7.078949947895485</x:v>
      </x:c>
      <x:c r="J797" s="8" t="n">
        <x:v>0</x:v>
      </x:c>
      <x:c r="K797" s="8" t="n">
        <x:v>-4</x:v>
      </x:c>
      <x:c r="L797" s="8" t="n">
        <x:v>19.521430338412273</x:v>
      </x:c>
      <x:c r="M797" s="8" t="n">
        <x:v>0</x:v>
      </x:c>
      <x:c r="N797" s="8" t="n">
        <x:v>0</x:v>
      </x:c>
      <x:c r="O797" s="8" t="n">
        <x:v>7.352232404517267</x:v>
      </x:c>
      <x:c r="P797" s="8" t="n">
        <x:v>0</x:v>
      </x:c>
      <x:c r="Q797" s="8" t="n">
        <x:v>2.3134618459836664</x:v>
      </x:c>
      <x:c r="R797" s="8" t="n">
        <x:v>0</x:v>
      </x:c>
      <x:c r="S797" s="8" t="n">
        <x:f>L797-I797^2/H797</x:f>
        <x:v>13.257488792811085</x:v>
      </x:c>
      <x:c r="T797" s="8" t="n">
        <x:f>M797-J797^2/H797</x:f>
        <x:v>0</x:v>
      </x:c>
      <x:c r="U797" s="8" t="n">
        <x:f>N797-I797*J797/H797</x:f>
        <x:v>0</x:v>
      </x:c>
      <x:c r="V797" s="8" t="n">
        <x:f>O797-I797*K797/H797</x:f>
        <x:v>10.891707378465009</x:v>
      </x:c>
      <x:c r="W797" s="8" t="n">
        <x:f>P797-J797*K797/H797</x:f>
        <x:v>0</x:v>
      </x:c>
      <x:c r="X797" s="8" t="n">
        <x:f>V797/S797</x:f>
        <x:v>0.8215513170466394</x:v>
      </x:c>
      <x:c r="Y797" s="8" t="n">
        <x:f>0</x:f>
        <x:v>0</x:v>
      </x:c>
      <x:c r="Z797" s="8" t="n">
        <x:f>K797/H797-X797*I797/H797-Y797*J797/H797</x:f>
        <x:v>-1.226965081625097</x:v>
      </x:c>
      <x:c r="AA797" s="8" t="n">
        <x:f>Z797+X797*Q797+Y797*R797</x:f>
        <x:v>0.6736625448799338</x:v>
      </x:c>
    </x:row>
    <x:row r="798" ht="26" customHeight="1">
      <x:c r="A798" s="2"/>
      <x:c r="B798" s="2" t="n">
        <x:v>793</x:v>
      </x:c>
      <x:c r="C798" s="2" t="str">
        <x:v>Beauty / organic_volume_growth</x:v>
      </x:c>
      <x:c r="D798" s="2" t="str">
        <x:v>Own history</x:v>
      </x:c>
      <x:c r="E798" s="7" t="n">
        <x:v>45747</x:v>
      </x:c>
      <x:c r="F798" s="2" t="str">
        <x:v>Origin</x:v>
      </x:c>
      <x:c r="G798" s="7" t="n">
        <x:v>45658</x:v>
      </x:c>
      <x:c r="H798" s="2" t="n">
        <x:v>13</x:v>
      </x:c>
      <x:c r="I798" s="8" t="n">
        <x:v>-5</x:v>
      </x:c>
      <x:c r="J798" s="8" t="n">
        <x:v>0</x:v>
      </x:c>
      <x:c r="K798" s="8" t="n">
        <x:v>-7</x:v>
      </x:c>
      <x:c r="L798" s="8" t="n">
        <x:v>31</x:v>
      </x:c>
      <x:c r="M798" s="8" t="n">
        <x:v>0</x:v>
      </x:c>
      <x:c r="N798" s="8" t="n">
        <x:v>0</x:v>
      </x:c>
      <x:c r="O798" s="8" t="n">
        <x:v>12</x:v>
      </x:c>
      <x:c r="P798" s="8" t="n">
        <x:v>0</x:v>
      </x:c>
      <x:c r="Q798" s="8" t="n">
        <x:v>0</x:v>
      </x:c>
      <x:c r="R798" s="8" t="n">
        <x:v>0</x:v>
      </x:c>
      <x:c r="S798" s="8" t="n">
        <x:f>L798-I798^2/H798</x:f>
        <x:v>29.076923076923077</x:v>
      </x:c>
      <x:c r="T798" s="8" t="n">
        <x:f>M798-J798^2/H798</x:f>
        <x:v>0</x:v>
      </x:c>
      <x:c r="U798" s="8" t="n">
        <x:f>N798-I798*J798/H798</x:f>
        <x:v>0</x:v>
      </x:c>
      <x:c r="V798" s="8" t="n">
        <x:f>O798-I798*K798/H798</x:f>
        <x:v>9.307692307692307</x:v>
      </x:c>
      <x:c r="W798" s="8" t="n">
        <x:f>P798-J798*K798/H798</x:f>
        <x:v>0</x:v>
      </x:c>
      <x:c r="X798" s="8" t="n">
        <x:f>V798/S798</x:f>
        <x:v>0.32010582010582006</x:v>
      </x:c>
      <x:c r="Y798" s="8" t="n">
        <x:f>0</x:f>
        <x:v>0</x:v>
      </x:c>
      <x:c r="Z798" s="8" t="n">
        <x:f>K798/H798-X798*I798/H798-Y798*J798/H798</x:f>
        <x:v>-0.41534391534391535</x:v>
      </x:c>
      <x:c r="AA798" s="8" t="n">
        <x:f>Z798+X798*Q798+Y798*R798</x:f>
        <x:v>-0.41534391534391535</x:v>
      </x:c>
    </x:row>
    <x:row r="799" ht="26" customHeight="1">
      <x:c r="A799" s="2"/>
      <x:c r="B799" s="2" t="n">
        <x:v>794</x:v>
      </x:c>
      <x:c r="C799" s="2" t="str">
        <x:v>Beauty / organic_volume_growth</x:v>
      </x:c>
      <x:c r="D799" s="2" t="str">
        <x:v>Broad market</x:v>
      </x:c>
      <x:c r="E799" s="7" t="n">
        <x:v>45747</x:v>
      </x:c>
      <x:c r="F799" s="2" t="str">
        <x:v>Prior report</x:v>
      </x:c>
      <x:c r="G799" s="7" t="n">
        <x:v>45679</x:v>
      </x:c>
      <x:c r="H799" s="2" t="n">
        <x:v>15</x:v>
      </x:c>
      <x:c r="I799" s="8" t="n">
        <x:v>43.836489330457816</x:v>
      </x:c>
      <x:c r="J799" s="8" t="n">
        <x:v>0</x:v>
      </x:c>
      <x:c r="K799" s="8" t="n">
        <x:v>-4</x:v>
      </x:c>
      <x:c r="L799" s="8" t="n">
        <x:v>371.83918677207225</x:v>
      </x:c>
      <x:c r="M799" s="8" t="n">
        <x:v>0</x:v>
      </x:c>
      <x:c r="N799" s="8" t="n">
        <x:v>0</x:v>
      </x:c>
      <x:c r="O799" s="8" t="n">
        <x:v>40.07992999583273</x:v>
      </x:c>
      <x:c r="P799" s="8" t="n">
        <x:v>0</x:v>
      </x:c>
      <x:c r="Q799" s="8" t="n">
        <x:v>2.3134618459836664</x:v>
      </x:c>
      <x:c r="R799" s="8" t="n">
        <x:v>0</x:v>
      </x:c>
      <x:c r="S799" s="8" t="n">
        <x:f>L799-I799^2/H799</x:f>
        <x:v>243.73000031744945</x:v>
      </x:c>
      <x:c r="T799" s="8" t="n">
        <x:f>M799-J799^2/H799</x:f>
        <x:v>0</x:v>
      </x:c>
      <x:c r="U799" s="8" t="n">
        <x:f>N799-I799*J799/H799</x:f>
        <x:v>0</x:v>
      </x:c>
      <x:c r="V799" s="8" t="n">
        <x:f>O799-I799*K799/H799</x:f>
        <x:v>51.76966048395481</x:v>
      </x:c>
      <x:c r="W799" s="8" t="n">
        <x:f>P799-J799*K799/H799</x:f>
        <x:v>0</x:v>
      </x:c>
      <x:c r="X799" s="8" t="n">
        <x:f>V799/S799</x:f>
        <x:v>0.21240577859322493</x:v>
      </x:c>
      <x:c r="Y799" s="8" t="n">
        <x:f>0</x:f>
        <x:v>0</x:v>
      </x:c>
      <x:c r="Z799" s="8" t="n">
        <x:f>K799/H799-X799*I799/H799-Y799*J799/H799</x:f>
        <x:v>-0.8874082431352994</x:v>
      </x:c>
      <x:c r="AA799" s="8" t="n">
        <x:f>Z799+X799*Q799+Y799*R799</x:f>
        <x:v>-0.39601557849341934</x:v>
      </x:c>
    </x:row>
    <x:row r="800" ht="26" customHeight="1">
      <x:c r="A800" s="2"/>
      <x:c r="B800" s="2" t="n">
        <x:v>795</x:v>
      </x:c>
      <x:c r="C800" s="2" t="str">
        <x:v>Beauty / organic_volume_growth</x:v>
      </x:c>
      <x:c r="D800" s="2" t="str">
        <x:v>Broad rolling 8</x:v>
      </x:c>
      <x:c r="E800" s="7" t="n">
        <x:v>45747</x:v>
      </x:c>
      <x:c r="F800" s="2" t="str">
        <x:v>Prior report</x:v>
      </x:c>
      <x:c r="G800" s="7" t="n">
        <x:v>45679</x:v>
      </x:c>
      <x:c r="H800" s="2" t="n">
        <x:v>8</x:v>
      </x:c>
      <x:c r="I800" s="8" t="n">
        <x:v>7.078949947895485</x:v>
      </x:c>
      <x:c r="J800" s="8" t="n">
        <x:v>0</x:v>
      </x:c>
      <x:c r="K800" s="8" t="n">
        <x:v>-4</x:v>
      </x:c>
      <x:c r="L800" s="8" t="n">
        <x:v>19.521430338412273</x:v>
      </x:c>
      <x:c r="M800" s="8" t="n">
        <x:v>0</x:v>
      </x:c>
      <x:c r="N800" s="8" t="n">
        <x:v>0</x:v>
      </x:c>
      <x:c r="O800" s="8" t="n">
        <x:v>7.352232404517267</x:v>
      </x:c>
      <x:c r="P800" s="8" t="n">
        <x:v>0</x:v>
      </x:c>
      <x:c r="Q800" s="8" t="n">
        <x:v>2.3134618459836664</x:v>
      </x:c>
      <x:c r="R800" s="8" t="n">
        <x:v>0</x:v>
      </x:c>
      <x:c r="S800" s="8" t="n">
        <x:f>L800-I800^2/H800</x:f>
        <x:v>13.257488792811085</x:v>
      </x:c>
      <x:c r="T800" s="8" t="n">
        <x:f>M800-J800^2/H800</x:f>
        <x:v>0</x:v>
      </x:c>
      <x:c r="U800" s="8" t="n">
        <x:f>N800-I800*J800/H800</x:f>
        <x:v>0</x:v>
      </x:c>
      <x:c r="V800" s="8" t="n">
        <x:f>O800-I800*K800/H800</x:f>
        <x:v>10.891707378465009</x:v>
      </x:c>
      <x:c r="W800" s="8" t="n">
        <x:f>P800-J800*K800/H800</x:f>
        <x:v>0</x:v>
      </x:c>
      <x:c r="X800" s="8" t="n">
        <x:f>V800/S800</x:f>
        <x:v>0.8215513170466394</x:v>
      </x:c>
      <x:c r="Y800" s="8" t="n">
        <x:f>0</x:f>
        <x:v>0</x:v>
      </x:c>
      <x:c r="Z800" s="8" t="n">
        <x:f>K800/H800-X800*I800/H800-Y800*J800/H800</x:f>
        <x:v>-1.226965081625097</x:v>
      </x:c>
      <x:c r="AA800" s="8" t="n">
        <x:f>Z800+X800*Q800+Y800*R800</x:f>
        <x:v>0.6736625448799338</x:v>
      </x:c>
    </x:row>
    <x:row r="801" ht="26" customHeight="1">
      <x:c r="A801" s="2"/>
      <x:c r="B801" s="2" t="n">
        <x:v>796</x:v>
      </x:c>
      <x:c r="C801" s="2" t="str">
        <x:v>Beauty / organic_volume_growth</x:v>
      </x:c>
      <x:c r="D801" s="2" t="str">
        <x:v>Own history</x:v>
      </x:c>
      <x:c r="E801" s="7" t="n">
        <x:v>45747</x:v>
      </x:c>
      <x:c r="F801" s="2" t="str">
        <x:v>Prior report</x:v>
      </x:c>
      <x:c r="G801" s="7" t="n">
        <x:v>45679</x:v>
      </x:c>
      <x:c r="H801" s="2" t="n">
        <x:v>15</x:v>
      </x:c>
      <x:c r="I801" s="8" t="n">
        <x:v>-4</x:v>
      </x:c>
      <x:c r="J801" s="8" t="n">
        <x:v>0</x:v>
      </x:c>
      <x:c r="K801" s="8" t="n">
        <x:v>-6</x:v>
      </x:c>
      <x:c r="L801" s="8" t="n">
        <x:v>32</x:v>
      </x:c>
      <x:c r="M801" s="8" t="n">
        <x:v>0</x:v>
      </x:c>
      <x:c r="N801" s="8" t="n">
        <x:v>0</x:v>
      </x:c>
      <x:c r="O801" s="8" t="n">
        <x:v>9</x:v>
      </x:c>
      <x:c r="P801" s="8" t="n">
        <x:v>0</x:v>
      </x:c>
      <x:c r="Q801" s="8" t="n">
        <x:v>0</x:v>
      </x:c>
      <x:c r="R801" s="8" t="n">
        <x:v>0</x:v>
      </x:c>
      <x:c r="S801" s="8" t="n">
        <x:f>L801-I801^2/H801</x:f>
        <x:v>30.933333333333334</x:v>
      </x:c>
      <x:c r="T801" s="8" t="n">
        <x:f>M801-J801^2/H801</x:f>
        <x:v>0</x:v>
      </x:c>
      <x:c r="U801" s="8" t="n">
        <x:f>N801-I801*J801/H801</x:f>
        <x:v>0</x:v>
      </x:c>
      <x:c r="V801" s="8" t="n">
        <x:f>O801-I801*K801/H801</x:f>
        <x:v>7.4</x:v>
      </x:c>
      <x:c r="W801" s="8" t="n">
        <x:f>P801-J801*K801/H801</x:f>
        <x:v>0</x:v>
      </x:c>
      <x:c r="X801" s="8" t="n">
        <x:f>V801/S801</x:f>
        <x:v>0.2392241379310345</x:v>
      </x:c>
      <x:c r="Y801" s="8" t="n">
        <x:f>0</x:f>
        <x:v>0</x:v>
      </x:c>
      <x:c r="Z801" s="8" t="n">
        <x:f>K801/H801-X801*I801/H801-Y801*J801/H801</x:f>
        <x:v>-0.33620689655172414</x:v>
      </x:c>
      <x:c r="AA801" s="8" t="n">
        <x:f>Z801+X801*Q801+Y801*R801</x:f>
        <x:v>-0.33620689655172414</x:v>
      </x:c>
    </x:row>
    <x:row r="802" ht="26" customHeight="1">
      <x:c r="A802" s="2"/>
      <x:c r="B802" s="2" t="n">
        <x:v>797</x:v>
      </x:c>
      <x:c r="C802" s="2" t="str">
        <x:v>Beauty / organic_volume_growth</x:v>
      </x:c>
      <x:c r="D802" s="2" t="str">
        <x:v>Broad market</x:v>
      </x:c>
      <x:c r="E802" s="7" t="n">
        <x:v>45747</x:v>
      </x:c>
      <x:c r="F802" s="2" t="str">
        <x:v>Pre-earnings</x:v>
      </x:c>
      <x:c r="G802" s="7" t="n">
        <x:v>45770</x:v>
      </x:c>
      <x:c r="H802" s="2" t="n">
        <x:v>16</x:v>
      </x:c>
      <x:c r="I802" s="8" t="n">
        <x:v>45.94686773973914</x:v>
      </x:c>
      <x:c r="J802" s="8" t="n">
        <x:v>0</x:v>
      </x:c>
      <x:c r="K802" s="8" t="n">
        <x:v>-4</x:v>
      </x:c>
      <x:c r="L802" s="8" t="n">
        <x:v>376.29288380243304</x:v>
      </x:c>
      <x:c r="M802" s="8" t="n">
        <x:v>0</x:v>
      </x:c>
      <x:c r="N802" s="8" t="n">
        <x:v>0</x:v>
      </x:c>
      <x:c r="O802" s="8" t="n">
        <x:v>40.07992999583273</x:v>
      </x:c>
      <x:c r="P802" s="8" t="n">
        <x:v>0</x:v>
      </x:c>
      <x:c r="Q802" s="8" t="n">
        <x:v>2.5268187156605393</x:v>
      </x:c>
      <x:c r="R802" s="8" t="n">
        <x:v>0</x:v>
      </x:c>
      <x:c r="S802" s="8" t="n">
        <x:f>L802-I802^2/H802</x:f>
        <x:v>244.34821785911546</x:v>
      </x:c>
      <x:c r="T802" s="8" t="n">
        <x:f>M802-J802^2/H802</x:f>
        <x:v>0</x:v>
      </x:c>
      <x:c r="U802" s="8" t="n">
        <x:f>N802-I802*J802/H802</x:f>
        <x:v>0</x:v>
      </x:c>
      <x:c r="V802" s="8" t="n">
        <x:f>O802-I802*K802/H802</x:f>
        <x:v>51.56664693076751</x:v>
      </x:c>
      <x:c r="W802" s="8" t="n">
        <x:f>P802-J802*K802/H802</x:f>
        <x:v>0</x:v>
      </x:c>
      <x:c r="X802" s="8" t="n">
        <x:f>V802/S802</x:f>
        <x:v>0.2110375405336471</x:v>
      </x:c>
      <x:c r="Y802" s="8" t="n">
        <x:f>0</x:f>
        <x:v>0</x:v>
      </x:c>
      <x:c r="Z802" s="8" t="n">
        <x:f>K802/H802-X802*I802/H802-Y802*J802/H802</x:f>
        <x:v>-0.8560321226887075</x:v>
      </x:c>
      <x:c r="AA802" s="8" t="n">
        <x:f>Z802+X802*Q802+Y802*R802</x:f>
        <x:v>-0.3227785155613184</x:v>
      </x:c>
    </x:row>
    <x:row r="803" ht="26" customHeight="1">
      <x:c r="A803" s="2"/>
      <x:c r="B803" s="2" t="n">
        <x:v>798</x:v>
      </x:c>
      <x:c r="C803" s="2" t="str">
        <x:v>Beauty / organic_volume_growth</x:v>
      </x:c>
      <x:c r="D803" s="2" t="str">
        <x:v>Broad lag 1</x:v>
      </x:c>
      <x:c r="E803" s="7" t="n">
        <x:v>45747</x:v>
      </x:c>
      <x:c r="F803" s="2" t="str">
        <x:v>Pre-earnings</x:v>
      </x:c>
      <x:c r="G803" s="7" t="n">
        <x:v>45770</x:v>
      </x:c>
      <x:c r="H803" s="2" t="n">
        <x:v>15</x:v>
      </x:c>
      <x:c r="I803" s="8" t="n">
        <x:v>43.836489330457816</x:v>
      </x:c>
      <x:c r="J803" s="8" t="n">
        <x:v>0</x:v>
      </x:c>
      <x:c r="K803" s="8" t="n">
        <x:v>-6</x:v>
      </x:c>
      <x:c r="L803" s="8" t="n">
        <x:v>371.83918677207225</x:v>
      </x:c>
      <x:c r="M803" s="8" t="n">
        <x:v>0</x:v>
      </x:c>
      <x:c r="N803" s="8" t="n">
        <x:v>0</x:v>
      </x:c>
      <x:c r="O803" s="8" t="n">
        <x:v>6.664936431728141</x:v>
      </x:c>
      <x:c r="P803" s="8" t="n">
        <x:v>0</x:v>
      </x:c>
      <x:c r="Q803" s="8" t="n">
        <x:v>2.1103784092813216</x:v>
      </x:c>
      <x:c r="R803" s="8" t="n">
        <x:v>0</x:v>
      </x:c>
      <x:c r="S803" s="8" t="n">
        <x:f>L803-I803^2/H803</x:f>
        <x:v>243.73000031744945</x:v>
      </x:c>
      <x:c r="T803" s="8" t="n">
        <x:f>M803-J803^2/H803</x:f>
        <x:v>0</x:v>
      </x:c>
      <x:c r="U803" s="8" t="n">
        <x:f>N803-I803*J803/H803</x:f>
        <x:v>0</x:v>
      </x:c>
      <x:c r="V803" s="8" t="n">
        <x:f>O803-I803*K803/H803</x:f>
        <x:v>24.199532163911265</x:v>
      </x:c>
      <x:c r="W803" s="8" t="n">
        <x:f>P803-J803*K803/H803</x:f>
        <x:v>0</x:v>
      </x:c>
      <x:c r="X803" s="8" t="n">
        <x:f>V803/S803</x:f>
        <x:v>0.09928827855574716</x:v>
      </x:c>
      <x:c r="Y803" s="8" t="n">
        <x:f>0</x:f>
        <x:v>0</x:v>
      </x:c>
      <x:c r="Z803" s="8" t="n">
        <x:f>K803/H803-X803*I803/H803-Y803*J803/H803</x:f>
        <x:v>-0.6901633042365689</x:v>
      </x:c>
      <x:c r="AA803" s="8" t="n">
        <x:f>Z803+X803*Q803+Y803*R803</x:f>
        <x:v>-0.4806274648778105</x:v>
      </x:c>
    </x:row>
    <x:row r="804" ht="26" customHeight="1">
      <x:c r="A804" s="2"/>
      <x:c r="B804" s="2" t="n">
        <x:v>799</x:v>
      </x:c>
      <x:c r="C804" s="2" t="str">
        <x:v>Beauty / organic_volume_growth</x:v>
      </x:c>
      <x:c r="D804" s="2" t="str">
        <x:v>Broad rolling 8</x:v>
      </x:c>
      <x:c r="E804" s="7" t="n">
        <x:v>45747</x:v>
      </x:c>
      <x:c r="F804" s="2" t="str">
        <x:v>Pre-earnings</x:v>
      </x:c>
      <x:c r="G804" s="7" t="n">
        <x:v>45770</x:v>
      </x:c>
      <x:c r="H804" s="2" t="n">
        <x:v>8</x:v>
      </x:c>
      <x:c r="I804" s="8" t="n">
        <x:v>10.750247851811778</x:v>
      </x:c>
      <x:c r="J804" s="8" t="n">
        <x:v>0</x:v>
      </x:c>
      <x:c r="K804" s="8" t="n">
        <x:v>0</x:v>
      </x:c>
      <x:c r="L804" s="8" t="n">
        <x:v>21.53865770004154</x:v>
      </x:c>
      <x:c r="M804" s="8" t="n">
        <x:v>0</x:v>
      </x:c>
      <x:c r="N804" s="8" t="n">
        <x:v>0</x:v>
      </x:c>
      <x:c r="O804" s="8" t="n">
        <x:v>1.1085544259773816</x:v>
      </x:c>
      <x:c r="P804" s="8" t="n">
        <x:v>0</x:v>
      </x:c>
      <x:c r="Q804" s="8" t="n">
        <x:v>2.5268187156605393</x:v>
      </x:c>
      <x:c r="R804" s="8" t="n">
        <x:v>0</x:v>
      </x:c>
      <x:c r="S804" s="8" t="n">
        <x:f>L804-I804^2/H804</x:f>
        <x:v>7.092679090618571</x:v>
      </x:c>
      <x:c r="T804" s="8" t="n">
        <x:f>M804-J804^2/H804</x:f>
        <x:v>0</x:v>
      </x:c>
      <x:c r="U804" s="8" t="n">
        <x:f>N804-I804*J804/H804</x:f>
        <x:v>0</x:v>
      </x:c>
      <x:c r="V804" s="8" t="n">
        <x:f>O804-I804*K804/H804</x:f>
        <x:v>1.1085544259773816</x:v>
      </x:c>
      <x:c r="W804" s="8" t="n">
        <x:f>P804-J804*K804/H804</x:f>
        <x:v>0</x:v>
      </x:c>
      <x:c r="X804" s="8" t="n">
        <x:f>V804/S804</x:f>
        <x:v>0.15629558475917196</x:v>
      </x:c>
      <x:c r="Y804" s="8" t="n">
        <x:f>0</x:f>
        <x:v>0</x:v>
      </x:c>
      <x:c r="Z804" s="8" t="n">
        <x:f>K804/H804-X804*I804/H804-Y804*J804/H804</x:f>
        <x:v>-0.21002703428811925</x:v>
      </x:c>
      <x:c r="AA804" s="8" t="n">
        <x:f>Z804+X804*Q804+Y804*R804</x:f>
        <x:v>0.1849035744564646</x:v>
      </x:c>
    </x:row>
    <x:row r="805" ht="26" customHeight="1">
      <x:c r="A805" s="2"/>
      <x:c r="B805" s="2" t="n">
        <x:v>800</x:v>
      </x:c>
      <x:c r="C805" s="2" t="str">
        <x:v>Beauty / organic_volume_growth</x:v>
      </x:c>
      <x:c r="D805" s="2" t="str">
        <x:v>Own history</x:v>
      </x:c>
      <x:c r="E805" s="7" t="n">
        <x:v>45747</x:v>
      </x:c>
      <x:c r="F805" s="2" t="str">
        <x:v>Pre-earnings</x:v>
      </x:c>
      <x:c r="G805" s="7" t="n">
        <x:v>45770</x:v>
      </x:c>
      <x:c r="H805" s="2" t="n">
        <x:v>15</x:v>
      </x:c>
      <x:c r="I805" s="8" t="n">
        <x:v>-4</x:v>
      </x:c>
      <x:c r="J805" s="8" t="n">
        <x:v>0</x:v>
      </x:c>
      <x:c r="K805" s="8" t="n">
        <x:v>-6</x:v>
      </x:c>
      <x:c r="L805" s="8" t="n">
        <x:v>32</x:v>
      </x:c>
      <x:c r="M805" s="8" t="n">
        <x:v>0</x:v>
      </x:c>
      <x:c r="N805" s="8" t="n">
        <x:v>0</x:v>
      </x:c>
      <x:c r="O805" s="8" t="n">
        <x:v>9</x:v>
      </x:c>
      <x:c r="P805" s="8" t="n">
        <x:v>0</x:v>
      </x:c>
      <x:c r="Q805" s="8" t="n">
        <x:v>0</x:v>
      </x:c>
      <x:c r="R805" s="8" t="n">
        <x:v>0</x:v>
      </x:c>
      <x:c r="S805" s="8" t="n">
        <x:f>L805-I805^2/H805</x:f>
        <x:v>30.933333333333334</x:v>
      </x:c>
      <x:c r="T805" s="8" t="n">
        <x:f>M805-J805^2/H805</x:f>
        <x:v>0</x:v>
      </x:c>
      <x:c r="U805" s="8" t="n">
        <x:f>N805-I805*J805/H805</x:f>
        <x:v>0</x:v>
      </x:c>
      <x:c r="V805" s="8" t="n">
        <x:f>O805-I805*K805/H805</x:f>
        <x:v>7.4</x:v>
      </x:c>
      <x:c r="W805" s="8" t="n">
        <x:f>P805-J805*K805/H805</x:f>
        <x:v>0</x:v>
      </x:c>
      <x:c r="X805" s="8" t="n">
        <x:f>V805/S805</x:f>
        <x:v>0.2392241379310345</x:v>
      </x:c>
      <x:c r="Y805" s="8" t="n">
        <x:f>0</x:f>
        <x:v>0</x:v>
      </x:c>
      <x:c r="Z805" s="8" t="n">
        <x:f>K805/H805-X805*I805/H805-Y805*J805/H805</x:f>
        <x:v>-0.33620689655172414</x:v>
      </x:c>
      <x:c r="AA805" s="8" t="n">
        <x:f>Z805+X805*Q805+Y805*R805</x:f>
        <x:v>-0.33620689655172414</x:v>
      </x:c>
    </x:row>
    <x:row r="806" ht="26" customHeight="1">
      <x:c r="A806" s="2"/>
      <x:c r="B806" s="2" t="n">
        <x:v>801</x:v>
      </x:c>
      <x:c r="C806" s="2" t="str">
        <x:v>Beauty / organic_volume_growth</x:v>
      </x:c>
      <x:c r="D806" s="2" t="str">
        <x:v>Broad market</x:v>
      </x:c>
      <x:c r="E806" s="7" t="n">
        <x:v>45838</x:v>
      </x:c>
      <x:c r="F806" s="2" t="str">
        <x:v>Origin</x:v>
      </x:c>
      <x:c r="G806" s="7" t="n">
        <x:v>45748</x:v>
      </x:c>
      <x:c r="H806" s="2" t="n">
        <x:v>16</x:v>
      </x:c>
      <x:c r="I806" s="8" t="n">
        <x:v>45.94686773973914</x:v>
      </x:c>
      <x:c r="J806" s="8" t="n">
        <x:v>0</x:v>
      </x:c>
      <x:c r="K806" s="8" t="n">
        <x:v>-4</x:v>
      </x:c>
      <x:c r="L806" s="8" t="n">
        <x:v>376.29288380243304</x:v>
      </x:c>
      <x:c r="M806" s="8" t="n">
        <x:v>0</x:v>
      </x:c>
      <x:c r="N806" s="8" t="n">
        <x:v>0</x:v>
      </x:c>
      <x:c r="O806" s="8" t="n">
        <x:v>40.07992999583273</x:v>
      </x:c>
      <x:c r="P806" s="8" t="n">
        <x:v>0</x:v>
      </x:c>
      <x:c r="Q806" s="8" t="n">
        <x:v>2.4263020900480603</x:v>
      </x:c>
      <x:c r="R806" s="8" t="n">
        <x:v>0</x:v>
      </x:c>
      <x:c r="S806" s="8" t="n">
        <x:f>L806-I806^2/H806</x:f>
        <x:v>244.34821785911546</x:v>
      </x:c>
      <x:c r="T806" s="8" t="n">
        <x:f>M806-J806^2/H806</x:f>
        <x:v>0</x:v>
      </x:c>
      <x:c r="U806" s="8" t="n">
        <x:f>N806-I806*J806/H806</x:f>
        <x:v>0</x:v>
      </x:c>
      <x:c r="V806" s="8" t="n">
        <x:f>O806-I806*K806/H806</x:f>
        <x:v>51.56664693076751</x:v>
      </x:c>
      <x:c r="W806" s="8" t="n">
        <x:f>P806-J806*K806/H806</x:f>
        <x:v>0</x:v>
      </x:c>
      <x:c r="X806" s="8" t="n">
        <x:f>V806/S806</x:f>
        <x:v>0.2110375405336471</x:v>
      </x:c>
      <x:c r="Y806" s="8" t="n">
        <x:f>0</x:f>
        <x:v>0</x:v>
      </x:c>
      <x:c r="Z806" s="8" t="n">
        <x:f>K806/H806-X806*I806/H806-Y806*J806/H806</x:f>
        <x:v>-0.8560321226887075</x:v>
      </x:c>
      <x:c r="AA806" s="8" t="n">
        <x:f>Z806+X806*Q806+Y806*R806</x:f>
        <x:v>-0.3439912970133173</x:v>
      </x:c>
    </x:row>
    <x:row r="807" ht="26" customHeight="1">
      <x:c r="A807" s="2"/>
      <x:c r="B807" s="2" t="n">
        <x:v>802</x:v>
      </x:c>
      <x:c r="C807" s="2" t="str">
        <x:v>Beauty / organic_volume_growth</x:v>
      </x:c>
      <x:c r="D807" s="2" t="str">
        <x:v>Broad rolling 8</x:v>
      </x:c>
      <x:c r="E807" s="7" t="n">
        <x:v>45838</x:v>
      </x:c>
      <x:c r="F807" s="2" t="str">
        <x:v>Origin</x:v>
      </x:c>
      <x:c r="G807" s="7" t="n">
        <x:v>45748</x:v>
      </x:c>
      <x:c r="H807" s="2" t="n">
        <x:v>8</x:v>
      </x:c>
      <x:c r="I807" s="8" t="n">
        <x:v>10.750247851811778</x:v>
      </x:c>
      <x:c r="J807" s="8" t="n">
        <x:v>0</x:v>
      </x:c>
      <x:c r="K807" s="8" t="n">
        <x:v>0</x:v>
      </x:c>
      <x:c r="L807" s="8" t="n">
        <x:v>21.53865770004154</x:v>
      </x:c>
      <x:c r="M807" s="8" t="n">
        <x:v>0</x:v>
      </x:c>
      <x:c r="N807" s="8" t="n">
        <x:v>0</x:v>
      </x:c>
      <x:c r="O807" s="8" t="n">
        <x:v>1.1085544259773816</x:v>
      </x:c>
      <x:c r="P807" s="8" t="n">
        <x:v>0</x:v>
      </x:c>
      <x:c r="Q807" s="8" t="n">
        <x:v>2.4263020900480603</x:v>
      </x:c>
      <x:c r="R807" s="8" t="n">
        <x:v>0</x:v>
      </x:c>
      <x:c r="S807" s="8" t="n">
        <x:f>L807-I807^2/H807</x:f>
        <x:v>7.092679090618571</x:v>
      </x:c>
      <x:c r="T807" s="8" t="n">
        <x:f>M807-J807^2/H807</x:f>
        <x:v>0</x:v>
      </x:c>
      <x:c r="U807" s="8" t="n">
        <x:f>N807-I807*J807/H807</x:f>
        <x:v>0</x:v>
      </x:c>
      <x:c r="V807" s="8" t="n">
        <x:f>O807-I807*K807/H807</x:f>
        <x:v>1.1085544259773816</x:v>
      </x:c>
      <x:c r="W807" s="8" t="n">
        <x:f>P807-J807*K807/H807</x:f>
        <x:v>0</x:v>
      </x:c>
      <x:c r="X807" s="8" t="n">
        <x:f>V807/S807</x:f>
        <x:v>0.15629558475917196</x:v>
      </x:c>
      <x:c r="Y807" s="8" t="n">
        <x:f>0</x:f>
        <x:v>0</x:v>
      </x:c>
      <x:c r="Z807" s="8" t="n">
        <x:f>K807/H807-X807*I807/H807-Y807*J807/H807</x:f>
        <x:v>-0.21002703428811925</x:v>
      </x:c>
      <x:c r="AA807" s="8" t="n">
        <x:f>Z807+X807*Q807+Y807*R807</x:f>
        <x:v>0.16919326967834342</x:v>
      </x:c>
    </x:row>
    <x:row r="808" ht="26" customHeight="1">
      <x:c r="A808" s="2"/>
      <x:c r="B808" s="2" t="n">
        <x:v>803</x:v>
      </x:c>
      <x:c r="C808" s="2" t="str">
        <x:v>Beauty / organic_volume_growth</x:v>
      </x:c>
      <x:c r="D808" s="2" t="str">
        <x:v>Own history</x:v>
      </x:c>
      <x:c r="E808" s="7" t="n">
        <x:v>45838</x:v>
      </x:c>
      <x:c r="F808" s="2" t="str">
        <x:v>Origin</x:v>
      </x:c>
      <x:c r="G808" s="7" t="n">
        <x:v>45748</x:v>
      </x:c>
      <x:c r="H808" s="2" t="n">
        <x:v>14</x:v>
      </x:c>
      <x:c r="I808" s="8" t="n">
        <x:v>-4</x:v>
      </x:c>
      <x:c r="J808" s="8" t="n">
        <x:v>0</x:v>
      </x:c>
      <x:c r="K808" s="8" t="n">
        <x:v>-7</x:v>
      </x:c>
      <x:c r="L808" s="8" t="n">
        <x:v>32</x:v>
      </x:c>
      <x:c r="M808" s="8" t="n">
        <x:v>0</x:v>
      </x:c>
      <x:c r="N808" s="8" t="n">
        <x:v>0</x:v>
      </x:c>
      <x:c r="O808" s="8" t="n">
        <x:v>12</x:v>
      </x:c>
      <x:c r="P808" s="8" t="n">
        <x:v>0</x:v>
      </x:c>
      <x:c r="Q808" s="8" t="n">
        <x:v>0</x:v>
      </x:c>
      <x:c r="R808" s="8" t="n">
        <x:v>0</x:v>
      </x:c>
      <x:c r="S808" s="8" t="n">
        <x:f>L808-I808^2/H808</x:f>
        <x:v>30.857142857142858</x:v>
      </x:c>
      <x:c r="T808" s="8" t="n">
        <x:f>M808-J808^2/H808</x:f>
        <x:v>0</x:v>
      </x:c>
      <x:c r="U808" s="8" t="n">
        <x:f>N808-I808*J808/H808</x:f>
        <x:v>0</x:v>
      </x:c>
      <x:c r="V808" s="8" t="n">
        <x:f>O808-I808*K808/H808</x:f>
        <x:v>10</x:v>
      </x:c>
      <x:c r="W808" s="8" t="n">
        <x:f>P808-J808*K808/H808</x:f>
        <x:v>0</x:v>
      </x:c>
      <x:c r="X808" s="8" t="n">
        <x:f>V808/S808</x:f>
        <x:v>0.32407407407407407</x:v>
      </x:c>
      <x:c r="Y808" s="8" t="n">
        <x:f>0</x:f>
        <x:v>0</x:v>
      </x:c>
      <x:c r="Z808" s="8" t="n">
        <x:f>K808/H808-X808*I808/H808-Y808*J808/H808</x:f>
        <x:v>-0.40740740740740744</x:v>
      </x:c>
      <x:c r="AA808" s="8" t="n">
        <x:f>Z808+X808*Q808+Y808*R808</x:f>
        <x:v>-0.40740740740740744</x:v>
      </x:c>
    </x:row>
    <x:row r="809" ht="26" customHeight="1">
      <x:c r="A809" s="2"/>
      <x:c r="B809" s="2" t="n">
        <x:v>804</x:v>
      </x:c>
      <x:c r="C809" s="2" t="str">
        <x:v>Beauty / organic_volume_growth</x:v>
      </x:c>
      <x:c r="D809" s="2" t="str">
        <x:v>Broad market</x:v>
      </x:c>
      <x:c r="E809" s="7" t="n">
        <x:v>45838</x:v>
      </x:c>
      <x:c r="F809" s="2" t="str">
        <x:v>Prior report</x:v>
      </x:c>
      <x:c r="G809" s="7" t="n">
        <x:v>45771</x:v>
      </x:c>
      <x:c r="H809" s="2" t="n">
        <x:v>16</x:v>
      </x:c>
      <x:c r="I809" s="8" t="n">
        <x:v>45.94686773973914</x:v>
      </x:c>
      <x:c r="J809" s="8" t="n">
        <x:v>0</x:v>
      </x:c>
      <x:c r="K809" s="8" t="n">
        <x:v>-4</x:v>
      </x:c>
      <x:c r="L809" s="8" t="n">
        <x:v>376.29288380243304</x:v>
      </x:c>
      <x:c r="M809" s="8" t="n">
        <x:v>0</x:v>
      </x:c>
      <x:c r="N809" s="8" t="n">
        <x:v>0</x:v>
      </x:c>
      <x:c r="O809" s="8" t="n">
        <x:v>40.07992999583273</x:v>
      </x:c>
      <x:c r="P809" s="8" t="n">
        <x:v>0</x:v>
      </x:c>
      <x:c r="Q809" s="8" t="n">
        <x:v>2.4263020900480603</x:v>
      </x:c>
      <x:c r="R809" s="8" t="n">
        <x:v>0</x:v>
      </x:c>
      <x:c r="S809" s="8" t="n">
        <x:f>L809-I809^2/H809</x:f>
        <x:v>244.34821785911546</x:v>
      </x:c>
      <x:c r="T809" s="8" t="n">
        <x:f>M809-J809^2/H809</x:f>
        <x:v>0</x:v>
      </x:c>
      <x:c r="U809" s="8" t="n">
        <x:f>N809-I809*J809/H809</x:f>
        <x:v>0</x:v>
      </x:c>
      <x:c r="V809" s="8" t="n">
        <x:f>O809-I809*K809/H809</x:f>
        <x:v>51.56664693076751</x:v>
      </x:c>
      <x:c r="W809" s="8" t="n">
        <x:f>P809-J809*K809/H809</x:f>
        <x:v>0</x:v>
      </x:c>
      <x:c r="X809" s="8" t="n">
        <x:f>V809/S809</x:f>
        <x:v>0.2110375405336471</x:v>
      </x:c>
      <x:c r="Y809" s="8" t="n">
        <x:f>0</x:f>
        <x:v>0</x:v>
      </x:c>
      <x:c r="Z809" s="8" t="n">
        <x:f>K809/H809-X809*I809/H809-Y809*J809/H809</x:f>
        <x:v>-0.8560321226887075</x:v>
      </x:c>
      <x:c r="AA809" s="8" t="n">
        <x:f>Z809+X809*Q809+Y809*R809</x:f>
        <x:v>-0.3439912970133173</x:v>
      </x:c>
    </x:row>
    <x:row r="810" ht="26" customHeight="1">
      <x:c r="A810" s="2"/>
      <x:c r="B810" s="2" t="n">
        <x:v>805</x:v>
      </x:c>
      <x:c r="C810" s="2" t="str">
        <x:v>Beauty / organic_volume_growth</x:v>
      </x:c>
      <x:c r="D810" s="2" t="str">
        <x:v>Broad rolling 8</x:v>
      </x:c>
      <x:c r="E810" s="7" t="n">
        <x:v>45838</x:v>
      </x:c>
      <x:c r="F810" s="2" t="str">
        <x:v>Prior report</x:v>
      </x:c>
      <x:c r="G810" s="7" t="n">
        <x:v>45771</x:v>
      </x:c>
      <x:c r="H810" s="2" t="n">
        <x:v>8</x:v>
      </x:c>
      <x:c r="I810" s="8" t="n">
        <x:v>10.750247851811778</x:v>
      </x:c>
      <x:c r="J810" s="8" t="n">
        <x:v>0</x:v>
      </x:c>
      <x:c r="K810" s="8" t="n">
        <x:v>0</x:v>
      </x:c>
      <x:c r="L810" s="8" t="n">
        <x:v>21.53865770004154</x:v>
      </x:c>
      <x:c r="M810" s="8" t="n">
        <x:v>0</x:v>
      </x:c>
      <x:c r="N810" s="8" t="n">
        <x:v>0</x:v>
      </x:c>
      <x:c r="O810" s="8" t="n">
        <x:v>1.1085544259773816</x:v>
      </x:c>
      <x:c r="P810" s="8" t="n">
        <x:v>0</x:v>
      </x:c>
      <x:c r="Q810" s="8" t="n">
        <x:v>2.4263020900480603</x:v>
      </x:c>
      <x:c r="R810" s="8" t="n">
        <x:v>0</x:v>
      </x:c>
      <x:c r="S810" s="8" t="n">
        <x:f>L810-I810^2/H810</x:f>
        <x:v>7.092679090618571</x:v>
      </x:c>
      <x:c r="T810" s="8" t="n">
        <x:f>M810-J810^2/H810</x:f>
        <x:v>0</x:v>
      </x:c>
      <x:c r="U810" s="8" t="n">
        <x:f>N810-I810*J810/H810</x:f>
        <x:v>0</x:v>
      </x:c>
      <x:c r="V810" s="8" t="n">
        <x:f>O810-I810*K810/H810</x:f>
        <x:v>1.1085544259773816</x:v>
      </x:c>
      <x:c r="W810" s="8" t="n">
        <x:f>P810-J810*K810/H810</x:f>
        <x:v>0</x:v>
      </x:c>
      <x:c r="X810" s="8" t="n">
        <x:f>V810/S810</x:f>
        <x:v>0.15629558475917196</x:v>
      </x:c>
      <x:c r="Y810" s="8" t="n">
        <x:f>0</x:f>
        <x:v>0</x:v>
      </x:c>
      <x:c r="Z810" s="8" t="n">
        <x:f>K810/H810-X810*I810/H810-Y810*J810/H810</x:f>
        <x:v>-0.21002703428811925</x:v>
      </x:c>
      <x:c r="AA810" s="8" t="n">
        <x:f>Z810+X810*Q810+Y810*R810</x:f>
        <x:v>0.16919326967834342</x:v>
      </x:c>
    </x:row>
    <x:row r="811" ht="26" customHeight="1">
      <x:c r="A811" s="2"/>
      <x:c r="B811" s="2" t="n">
        <x:v>806</x:v>
      </x:c>
      <x:c r="C811" s="2" t="str">
        <x:v>Beauty / organic_volume_growth</x:v>
      </x:c>
      <x:c r="D811" s="2" t="str">
        <x:v>Own history</x:v>
      </x:c>
      <x:c r="E811" s="7" t="n">
        <x:v>45838</x:v>
      </x:c>
      <x:c r="F811" s="2" t="str">
        <x:v>Prior report</x:v>
      </x:c>
      <x:c r="G811" s="7" t="n">
        <x:v>45771</x:v>
      </x:c>
      <x:c r="H811" s="2" t="n">
        <x:v>16</x:v>
      </x:c>
      <x:c r="I811" s="8" t="n">
        <x:v>-4</x:v>
      </x:c>
      <x:c r="J811" s="8" t="n">
        <x:v>0</x:v>
      </x:c>
      <x:c r="K811" s="8" t="n">
        <x:v>-5</x:v>
      </x:c>
      <x:c r="L811" s="8" t="n">
        <x:v>32</x:v>
      </x:c>
      <x:c r="M811" s="8" t="n">
        <x:v>0</x:v>
      </x:c>
      <x:c r="N811" s="8" t="n">
        <x:v>0</x:v>
      </x:c>
      <x:c r="O811" s="8" t="n">
        <x:v>9</x:v>
      </x:c>
      <x:c r="P811" s="8" t="n">
        <x:v>0</x:v>
      </x:c>
      <x:c r="Q811" s="8" t="n">
        <x:v>1</x:v>
      </x:c>
      <x:c r="R811" s="8" t="n">
        <x:v>0</x:v>
      </x:c>
      <x:c r="S811" s="8" t="n">
        <x:f>L811-I811^2/H811</x:f>
        <x:v>31</x:v>
      </x:c>
      <x:c r="T811" s="8" t="n">
        <x:f>M811-J811^2/H811</x:f>
        <x:v>0</x:v>
      </x:c>
      <x:c r="U811" s="8" t="n">
        <x:f>N811-I811*J811/H811</x:f>
        <x:v>0</x:v>
      </x:c>
      <x:c r="V811" s="8" t="n">
        <x:f>O811-I811*K811/H811</x:f>
        <x:v>7.75</x:v>
      </x:c>
      <x:c r="W811" s="8" t="n">
        <x:f>P811-J811*K811/H811</x:f>
        <x:v>0</x:v>
      </x:c>
      <x:c r="X811" s="8" t="n">
        <x:f>V811/S811</x:f>
        <x:v>0.25</x:v>
      </x:c>
      <x:c r="Y811" s="8" t="n">
        <x:f>0</x:f>
        <x:v>0</x:v>
      </x:c>
      <x:c r="Z811" s="8" t="n">
        <x:f>K811/H811-X811*I811/H811-Y811*J811/H811</x:f>
        <x:v>-0.25</x:v>
      </x:c>
      <x:c r="AA811" s="8" t="n">
        <x:f>Z811+X811*Q811+Y811*R811</x:f>
        <x:v>0</x:v>
      </x:c>
    </x:row>
    <x:row r="812" ht="26" customHeight="1">
      <x:c r="A812" s="2"/>
      <x:c r="B812" s="2" t="n">
        <x:v>807</x:v>
      </x:c>
      <x:c r="C812" s="2" t="str">
        <x:v>Beauty / organic_volume_growth</x:v>
      </x:c>
      <x:c r="D812" s="2" t="str">
        <x:v>Broad market</x:v>
      </x:c>
      <x:c r="E812" s="7" t="n">
        <x:v>45838</x:v>
      </x:c>
      <x:c r="F812" s="2" t="str">
        <x:v>Pre-earnings</x:v>
      </x:c>
      <x:c r="G812" s="7" t="n">
        <x:v>45866</x:v>
      </x:c>
      <x:c r="H812" s="2" t="n">
        <x:v>17</x:v>
      </x:c>
      <x:c r="I812" s="8" t="n">
        <x:v>48.81640031708317</x:v>
      </x:c>
      <x:c r="J812" s="8" t="n">
        <x:v>0</x:v>
      </x:c>
      <x:c r="K812" s="8" t="n">
        <x:v>-3</x:v>
      </x:c>
      <x:c r="L812" s="8" t="n">
        <x:v>384.52710101487173</x:v>
      </x:c>
      <x:c r="M812" s="8" t="n">
        <x:v>0</x:v>
      </x:c>
      <x:c r="N812" s="8" t="n">
        <x:v>0</x:v>
      </x:c>
      <x:c r="O812" s="8" t="n">
        <x:v>42.94946257317677</x:v>
      </x:c>
      <x:c r="P812" s="8" t="n">
        <x:v>0</x:v>
      </x:c>
      <x:c r="Q812" s="8" t="n">
        <x:v>2.8539910458909246</x:v>
      </x:c>
      <x:c r="R812" s="8" t="n">
        <x:v>0</x:v>
      </x:c>
      <x:c r="S812" s="8" t="n">
        <x:f>L812-I812^2/H812</x:f>
        <x:v>244.34822219618243</x:v>
      </x:c>
      <x:c r="T812" s="8" t="n">
        <x:f>M812-J812^2/H812</x:f>
        <x:v>0</x:v>
      </x:c>
      <x:c r="U812" s="8" t="n">
        <x:f>N812-I812*J812/H812</x:f>
        <x:v>0</x:v>
      </x:c>
      <x:c r="V812" s="8" t="n">
        <x:f>O812-I812*K812/H812</x:f>
        <x:v>51.564121452662036</x:v>
      </x:c>
      <x:c r="W812" s="8" t="n">
        <x:f>P812-J812*K812/H812</x:f>
        <x:v>0</x:v>
      </x:c>
      <x:c r="X812" s="8" t="n">
        <x:f>V812/S812</x:f>
        <x:v>0.2110272012180314</x:v>
      </x:c>
      <x:c r="Y812" s="8" t="n">
        <x:f>0</x:f>
        <x:v>0</x:v>
      </x:c>
      <x:c r="Z812" s="8" t="n">
        <x:f>K812/H812-X812*I812/H812-Y812*J812/H812</x:f>
        <x:v>-0.7824463724972401</x:v>
      </x:c>
      <x:c r="AA812" s="8" t="n">
        <x:f>Z812+X812*Q812+Y812*R812</x:f>
        <x:v>-0.18017662978155613</x:v>
      </x:c>
    </x:row>
    <x:row r="813" ht="26" customHeight="1">
      <x:c r="A813" s="2"/>
      <x:c r="B813" s="2" t="n">
        <x:v>808</x:v>
      </x:c>
      <x:c r="C813" s="2" t="str">
        <x:v>Beauty / organic_volume_growth</x:v>
      </x:c>
      <x:c r="D813" s="2" t="str">
        <x:v>Broad lag 1</x:v>
      </x:c>
      <x:c r="E813" s="7" t="n">
        <x:v>45838</x:v>
      </x:c>
      <x:c r="F813" s="2" t="str">
        <x:v>Pre-earnings</x:v>
      </x:c>
      <x:c r="G813" s="7" t="n">
        <x:v>45866</x:v>
      </x:c>
      <x:c r="H813" s="2" t="n">
        <x:v>16</x:v>
      </x:c>
      <x:c r="I813" s="8" t="n">
        <x:v>45.94686773973914</x:v>
      </x:c>
      <x:c r="J813" s="8" t="n">
        <x:v>0</x:v>
      </x:c>
      <x:c r="K813" s="8" t="n">
        <x:v>-5</x:v>
      </x:c>
      <x:c r="L813" s="8" t="n">
        <x:v>376.29288380243304</x:v>
      </x:c>
      <x:c r="M813" s="8" t="n">
        <x:v>0</x:v>
      </x:c>
      <x:c r="N813" s="8" t="n">
        <x:v>0</x:v>
      </x:c>
      <x:c r="O813" s="8" t="n">
        <x:v>8.775314841009463</x:v>
      </x:c>
      <x:c r="P813" s="8" t="n">
        <x:v>0</x:v>
      </x:c>
      <x:c r="Q813" s="8" t="n">
        <x:v>2.869532577344036</x:v>
      </x:c>
      <x:c r="R813" s="8" t="n">
        <x:v>0</x:v>
      </x:c>
      <x:c r="S813" s="8" t="n">
        <x:f>L813-I813^2/H813</x:f>
        <x:v>244.34821785911546</x:v>
      </x:c>
      <x:c r="T813" s="8" t="n">
        <x:f>M813-J813^2/H813</x:f>
        <x:v>0</x:v>
      </x:c>
      <x:c r="U813" s="8" t="n">
        <x:f>N813-I813*J813/H813</x:f>
        <x:v>0</x:v>
      </x:c>
      <x:c r="V813" s="8" t="n">
        <x:f>O813-I813*K813/H813</x:f>
        <x:v>23.133711009677945</x:v>
      </x:c>
      <x:c r="W813" s="8" t="n">
        <x:f>P813-J813*K813/H813</x:f>
        <x:v>0</x:v>
      </x:c>
      <x:c r="X813" s="8" t="n">
        <x:f>V813/S813</x:f>
        <x:v>0.09467517795859764</x:v>
      </x:c>
      <x:c r="Y813" s="8" t="n">
        <x:f>0</x:f>
        <x:v>0</x:v>
      </x:c>
      <x:c r="Z813" s="8" t="n">
        <x:f>K813/H813-X813*I813/H813-Y813*J813/H813</x:f>
        <x:v>-0.5843767424937469</x:v>
      </x:c>
      <x:c r="AA813" s="8" t="n">
        <x:f>Z813+X813*Q813+Y813*R813</x:f>
        <x:v>-0.31270323507570696</x:v>
      </x:c>
    </x:row>
    <x:row r="814" ht="26" customHeight="1">
      <x:c r="A814" s="2"/>
      <x:c r="B814" s="2" t="n">
        <x:v>809</x:v>
      </x:c>
      <x:c r="C814" s="2" t="str">
        <x:v>Beauty / organic_volume_growth</x:v>
      </x:c>
      <x:c r="D814" s="2" t="str">
        <x:v>Broad rolling 8</x:v>
      </x:c>
      <x:c r="E814" s="7" t="n">
        <x:v>45838</x:v>
      </x:c>
      <x:c r="F814" s="2" t="str">
        <x:v>Pre-earnings</x:v>
      </x:c>
      <x:c r="G814" s="7" t="n">
        <x:v>45866</x:v>
      </x:c>
      <x:c r="H814" s="2" t="n">
        <x:v>8</x:v>
      </x:c>
      <x:c r="I814" s="8" t="n">
        <x:v>13.903323924128907</x:v>
      </x:c>
      <x:c r="J814" s="8" t="n">
        <x:v>0</x:v>
      </x:c>
      <x:c r="K814" s="8" t="n">
        <x:v>1</x:v>
      </x:c>
      <x:c r="L814" s="8" t="n">
        <x:v>29.69247799893869</x:v>
      </x:c>
      <x:c r="M814" s="8" t="n">
        <x:v>0</x:v>
      </x:c>
      <x:c r="N814" s="8" t="n">
        <x:v>0</x:v>
      </x:c>
      <x:c r="O814" s="8" t="n">
        <x:v>3.9780870033214177</x:v>
      </x:c>
      <x:c r="P814" s="8" t="n">
        <x:v>0</x:v>
      </x:c>
      <x:c r="Q814" s="8" t="n">
        <x:v>2.8539910458909246</x:v>
      </x:c>
      <x:c r="R814" s="8" t="n">
        <x:v>0</x:v>
      </x:c>
      <x:c r="S814" s="8" t="n">
        <x:f>L814-I814^2/H814</x:f>
        <x:v>5.529675981531785</x:v>
      </x:c>
      <x:c r="T814" s="8" t="n">
        <x:f>M814-J814^2/H814</x:f>
        <x:v>0</x:v>
      </x:c>
      <x:c r="U814" s="8" t="n">
        <x:f>N814-I814*J814/H814</x:f>
        <x:v>0</x:v>
      </x:c>
      <x:c r="V814" s="8" t="n">
        <x:f>O814-I814*K814/H814</x:f>
        <x:v>2.240171512805304</x:v>
      </x:c>
      <x:c r="W814" s="8" t="n">
        <x:f>P814-J814*K814/H814</x:f>
        <x:v>0</x:v>
      </x:c>
      <x:c r="X814" s="8" t="n">
        <x:f>V814/S814</x:f>
        <x:v>0.4051180431343738</x:v>
      </x:c>
      <x:c r="Y814" s="8" t="n">
        <x:f>0</x:f>
        <x:v>0</x:v>
      </x:c>
      <x:c r="Z814" s="8" t="n">
        <x:f>K814/H814-X814*I814/H814-Y814*J814/H814</x:f>
        <x:v>-0.5790609226508032</x:v>
      </x:c>
      <x:c r="AA814" s="8" t="n">
        <x:f>Z814+X814*Q814+Y814*R814</x:f>
        <x:v>0.5771423449835529</x:v>
      </x:c>
    </x:row>
    <x:row r="815" ht="26" customHeight="1">
      <x:c r="A815" s="2"/>
      <x:c r="B815" s="2" t="n">
        <x:v>810</x:v>
      </x:c>
      <x:c r="C815" s="2" t="str">
        <x:v>Beauty / organic_volume_growth</x:v>
      </x:c>
      <x:c r="D815" s="2" t="str">
        <x:v>Own history</x:v>
      </x:c>
      <x:c r="E815" s="7" t="n">
        <x:v>45838</x:v>
      </x:c>
      <x:c r="F815" s="2" t="str">
        <x:v>Pre-earnings</x:v>
      </x:c>
      <x:c r="G815" s="7" t="n">
        <x:v>45866</x:v>
      </x:c>
      <x:c r="H815" s="2" t="n">
        <x:v>16</x:v>
      </x:c>
      <x:c r="I815" s="8" t="n">
        <x:v>-4</x:v>
      </x:c>
      <x:c r="J815" s="8" t="n">
        <x:v>0</x:v>
      </x:c>
      <x:c r="K815" s="8" t="n">
        <x:v>-5</x:v>
      </x:c>
      <x:c r="L815" s="8" t="n">
        <x:v>32</x:v>
      </x:c>
      <x:c r="M815" s="8" t="n">
        <x:v>0</x:v>
      </x:c>
      <x:c r="N815" s="8" t="n">
        <x:v>0</x:v>
      </x:c>
      <x:c r="O815" s="8" t="n">
        <x:v>9</x:v>
      </x:c>
      <x:c r="P815" s="8" t="n">
        <x:v>0</x:v>
      </x:c>
      <x:c r="Q815" s="8" t="n">
        <x:v>1</x:v>
      </x:c>
      <x:c r="R815" s="8" t="n">
        <x:v>0</x:v>
      </x:c>
      <x:c r="S815" s="8" t="n">
        <x:f>L815-I815^2/H815</x:f>
        <x:v>31</x:v>
      </x:c>
      <x:c r="T815" s="8" t="n">
        <x:f>M815-J815^2/H815</x:f>
        <x:v>0</x:v>
      </x:c>
      <x:c r="U815" s="8" t="n">
        <x:f>N815-I815*J815/H815</x:f>
        <x:v>0</x:v>
      </x:c>
      <x:c r="V815" s="8" t="n">
        <x:f>O815-I815*K815/H815</x:f>
        <x:v>7.75</x:v>
      </x:c>
      <x:c r="W815" s="8" t="n">
        <x:f>P815-J815*K815/H815</x:f>
        <x:v>0</x:v>
      </x:c>
      <x:c r="X815" s="8" t="n">
        <x:f>V815/S815</x:f>
        <x:v>0.25</x:v>
      </x:c>
      <x:c r="Y815" s="8" t="n">
        <x:f>0</x:f>
        <x:v>0</x:v>
      </x:c>
      <x:c r="Z815" s="8" t="n">
        <x:f>K815/H815-X815*I815/H815-Y815*J815/H815</x:f>
        <x:v>-0.25</x:v>
      </x:c>
      <x:c r="AA815" s="8" t="n">
        <x:f>Z815+X815*Q815+Y815*R815</x:f>
        <x:v>0</x:v>
      </x:c>
    </x:row>
    <x:row r="816" ht="26" customHeight="1">
      <x:c r="A816" s="2"/>
      <x:c r="B816" s="2" t="n">
        <x:v>811</x:v>
      </x:c>
      <x:c r="C816" s="2" t="str">
        <x:v>Beauty / organic_volume_growth</x:v>
      </x:c>
      <x:c r="D816" s="2" t="str">
        <x:v>Broad market</x:v>
      </x:c>
      <x:c r="E816" s="7" t="n">
        <x:v>45930</x:v>
      </x:c>
      <x:c r="F816" s="2" t="str">
        <x:v>Origin</x:v>
      </x:c>
      <x:c r="G816" s="7" t="n">
        <x:v>45839</x:v>
      </x:c>
      <x:c r="H816" s="2" t="n">
        <x:v>17</x:v>
      </x:c>
      <x:c r="I816" s="8" t="n">
        <x:v>48.81640031708317</x:v>
      </x:c>
      <x:c r="J816" s="8" t="n">
        <x:v>0</x:v>
      </x:c>
      <x:c r="K816" s="8" t="n">
        <x:v>-3</x:v>
      </x:c>
      <x:c r="L816" s="8" t="n">
        <x:v>384.52710101487173</x:v>
      </x:c>
      <x:c r="M816" s="8" t="n">
        <x:v>0</x:v>
      </x:c>
      <x:c r="N816" s="8" t="n">
        <x:v>0</x:v>
      </x:c>
      <x:c r="O816" s="8" t="n">
        <x:v>42.94946257317677</x:v>
      </x:c>
      <x:c r="P816" s="8" t="n">
        <x:v>0</x:v>
      </x:c>
      <x:c r="Q816" s="8" t="n">
        <x:v>2.8115539262481226</x:v>
      </x:c>
      <x:c r="R816" s="8" t="n">
        <x:v>0</x:v>
      </x:c>
      <x:c r="S816" s="8" t="n">
        <x:f>L816-I816^2/H816</x:f>
        <x:v>244.34822219618243</x:v>
      </x:c>
      <x:c r="T816" s="8" t="n">
        <x:f>M816-J816^2/H816</x:f>
        <x:v>0</x:v>
      </x:c>
      <x:c r="U816" s="8" t="n">
        <x:f>N816-I816*J816/H816</x:f>
        <x:v>0</x:v>
      </x:c>
      <x:c r="V816" s="8" t="n">
        <x:f>O816-I816*K816/H816</x:f>
        <x:v>51.564121452662036</x:v>
      </x:c>
      <x:c r="W816" s="8" t="n">
        <x:f>P816-J816*K816/H816</x:f>
        <x:v>0</x:v>
      </x:c>
      <x:c r="X816" s="8" t="n">
        <x:f>V816/S816</x:f>
        <x:v>0.2110272012180314</x:v>
      </x:c>
      <x:c r="Y816" s="8" t="n">
        <x:f>0</x:f>
        <x:v>0</x:v>
      </x:c>
      <x:c r="Z816" s="8" t="n">
        <x:f>K816/H816-X816*I816/H816-Y816*J816/H816</x:f>
        <x:v>-0.7824463724972401</x:v>
      </x:c>
      <x:c r="AA816" s="8" t="n">
        <x:f>Z816+X816*Q816+Y816*R816</x:f>
        <x:v>-0.1891320163675314</x:v>
      </x:c>
    </x:row>
    <x:row r="817" ht="26" customHeight="1">
      <x:c r="A817" s="2"/>
      <x:c r="B817" s="2" t="n">
        <x:v>812</x:v>
      </x:c>
      <x:c r="C817" s="2" t="str">
        <x:v>Beauty / organic_volume_growth</x:v>
      </x:c>
      <x:c r="D817" s="2" t="str">
        <x:v>Broad rolling 8</x:v>
      </x:c>
      <x:c r="E817" s="7" t="n">
        <x:v>45930</x:v>
      </x:c>
      <x:c r="F817" s="2" t="str">
        <x:v>Origin</x:v>
      </x:c>
      <x:c r="G817" s="7" t="n">
        <x:v>45839</x:v>
      </x:c>
      <x:c r="H817" s="2" t="n">
        <x:v>8</x:v>
      </x:c>
      <x:c r="I817" s="8" t="n">
        <x:v>13.903323924128907</x:v>
      </x:c>
      <x:c r="J817" s="8" t="n">
        <x:v>0</x:v>
      </x:c>
      <x:c r="K817" s="8" t="n">
        <x:v>1</x:v>
      </x:c>
      <x:c r="L817" s="8" t="n">
        <x:v>29.69247799893869</x:v>
      </x:c>
      <x:c r="M817" s="8" t="n">
        <x:v>0</x:v>
      </x:c>
      <x:c r="N817" s="8" t="n">
        <x:v>0</x:v>
      </x:c>
      <x:c r="O817" s="8" t="n">
        <x:v>3.9780870033214177</x:v>
      </x:c>
      <x:c r="P817" s="8" t="n">
        <x:v>0</x:v>
      </x:c>
      <x:c r="Q817" s="8" t="n">
        <x:v>2.8115539262481226</x:v>
      </x:c>
      <x:c r="R817" s="8" t="n">
        <x:v>0</x:v>
      </x:c>
      <x:c r="S817" s="8" t="n">
        <x:f>L817-I817^2/H817</x:f>
        <x:v>5.529675981531785</x:v>
      </x:c>
      <x:c r="T817" s="8" t="n">
        <x:f>M817-J817^2/H817</x:f>
        <x:v>0</x:v>
      </x:c>
      <x:c r="U817" s="8" t="n">
        <x:f>N817-I817*J817/H817</x:f>
        <x:v>0</x:v>
      </x:c>
      <x:c r="V817" s="8" t="n">
        <x:f>O817-I817*K817/H817</x:f>
        <x:v>2.240171512805304</x:v>
      </x:c>
      <x:c r="W817" s="8" t="n">
        <x:f>P817-J817*K817/H817</x:f>
        <x:v>0</x:v>
      </x:c>
      <x:c r="X817" s="8" t="n">
        <x:f>V817/S817</x:f>
        <x:v>0.4051180431343738</x:v>
      </x:c>
      <x:c r="Y817" s="8" t="n">
        <x:f>0</x:f>
        <x:v>0</x:v>
      </x:c>
      <x:c r="Z817" s="8" t="n">
        <x:f>K817/H817-X817*I817/H817-Y817*J817/H817</x:f>
        <x:v>-0.5790609226508032</x:v>
      </x:c>
      <x:c r="AA817" s="8" t="n">
        <x:f>Z817+X817*Q817+Y817*R817</x:f>
        <x:v>0.5599503021176016</x:v>
      </x:c>
    </x:row>
    <x:row r="818" ht="26" customHeight="1">
      <x:c r="A818" s="2"/>
      <x:c r="B818" s="2" t="n">
        <x:v>813</x:v>
      </x:c>
      <x:c r="C818" s="2" t="str">
        <x:v>Beauty / organic_volume_growth</x:v>
      </x:c>
      <x:c r="D818" s="2" t="str">
        <x:v>Own history</x:v>
      </x:c>
      <x:c r="E818" s="7" t="n">
        <x:v>45930</x:v>
      </x:c>
      <x:c r="F818" s="2" t="str">
        <x:v>Origin</x:v>
      </x:c>
      <x:c r="G818" s="7" t="n">
        <x:v>45839</x:v>
      </x:c>
      <x:c r="H818" s="2" t="n">
        <x:v>15</x:v>
      </x:c>
      <x:c r="I818" s="8" t="n">
        <x:v>-4</x:v>
      </x:c>
      <x:c r="J818" s="8" t="n">
        <x:v>0</x:v>
      </x:c>
      <x:c r="K818" s="8" t="n">
        <x:v>-6</x:v>
      </x:c>
      <x:c r="L818" s="8" t="n">
        <x:v>32</x:v>
      </x:c>
      <x:c r="M818" s="8" t="n">
        <x:v>0</x:v>
      </x:c>
      <x:c r="N818" s="8" t="n">
        <x:v>0</x:v>
      </x:c>
      <x:c r="O818" s="8" t="n">
        <x:v>12</x:v>
      </x:c>
      <x:c r="P818" s="8" t="n">
        <x:v>0</x:v>
      </x:c>
      <x:c r="Q818" s="8" t="n">
        <x:v>1</x:v>
      </x:c>
      <x:c r="R818" s="8" t="n">
        <x:v>0</x:v>
      </x:c>
      <x:c r="S818" s="8" t="n">
        <x:f>L818-I818^2/H818</x:f>
        <x:v>30.933333333333334</x:v>
      </x:c>
      <x:c r="T818" s="8" t="n">
        <x:f>M818-J818^2/H818</x:f>
        <x:v>0</x:v>
      </x:c>
      <x:c r="U818" s="8" t="n">
        <x:f>N818-I818*J818/H818</x:f>
        <x:v>0</x:v>
      </x:c>
      <x:c r="V818" s="8" t="n">
        <x:f>O818-I818*K818/H818</x:f>
        <x:v>10.4</x:v>
      </x:c>
      <x:c r="W818" s="8" t="n">
        <x:f>P818-J818*K818/H818</x:f>
        <x:v>0</x:v>
      </x:c>
      <x:c r="X818" s="8" t="n">
        <x:f>V818/S818</x:f>
        <x:v>0.33620689655172414</x:v>
      </x:c>
      <x:c r="Y818" s="8" t="n">
        <x:f>0</x:f>
        <x:v>0</x:v>
      </x:c>
      <x:c r="Z818" s="8" t="n">
        <x:f>K818/H818-X818*I818/H818-Y818*J818/H818</x:f>
        <x:v>-0.3103448275862069</x:v>
      </x:c>
      <x:c r="AA818" s="8" t="n">
        <x:f>Z818+X818*Q818+Y818*R818</x:f>
        <x:v>0.025862068965517238</x:v>
      </x:c>
    </x:row>
    <x:row r="819" ht="26" customHeight="1">
      <x:c r="A819" s="2"/>
      <x:c r="B819" s="2" t="n">
        <x:v>814</x:v>
      </x:c>
      <x:c r="C819" s="2" t="str">
        <x:v>Beauty / organic_volume_growth</x:v>
      </x:c>
      <x:c r="D819" s="2" t="str">
        <x:v>Broad market</x:v>
      </x:c>
      <x:c r="E819" s="7" t="n">
        <x:v>45930</x:v>
      </x:c>
      <x:c r="F819" s="2" t="str">
        <x:v>Prior report</x:v>
      </x:c>
      <x:c r="G819" s="7" t="n">
        <x:v>45867</x:v>
      </x:c>
      <x:c r="H819" s="2" t="n">
        <x:v>17</x:v>
      </x:c>
      <x:c r="I819" s="8" t="n">
        <x:v>48.81640031708317</x:v>
      </x:c>
      <x:c r="J819" s="8" t="n">
        <x:v>0</x:v>
      </x:c>
      <x:c r="K819" s="8" t="n">
        <x:v>-3</x:v>
      </x:c>
      <x:c r="L819" s="8" t="n">
        <x:v>384.52710101487173</x:v>
      </x:c>
      <x:c r="M819" s="8" t="n">
        <x:v>0</x:v>
      </x:c>
      <x:c r="N819" s="8" t="n">
        <x:v>0</x:v>
      </x:c>
      <x:c r="O819" s="8" t="n">
        <x:v>42.94946257317677</x:v>
      </x:c>
      <x:c r="P819" s="8" t="n">
        <x:v>0</x:v>
      </x:c>
      <x:c r="Q819" s="8" t="n">
        <x:v>2.8115539262481226</x:v>
      </x:c>
      <x:c r="R819" s="8" t="n">
        <x:v>0</x:v>
      </x:c>
      <x:c r="S819" s="8" t="n">
        <x:f>L819-I819^2/H819</x:f>
        <x:v>244.34822219618243</x:v>
      </x:c>
      <x:c r="T819" s="8" t="n">
        <x:f>M819-J819^2/H819</x:f>
        <x:v>0</x:v>
      </x:c>
      <x:c r="U819" s="8" t="n">
        <x:f>N819-I819*J819/H819</x:f>
        <x:v>0</x:v>
      </x:c>
      <x:c r="V819" s="8" t="n">
        <x:f>O819-I819*K819/H819</x:f>
        <x:v>51.564121452662036</x:v>
      </x:c>
      <x:c r="W819" s="8" t="n">
        <x:f>P819-J819*K819/H819</x:f>
        <x:v>0</x:v>
      </x:c>
      <x:c r="X819" s="8" t="n">
        <x:f>V819/S819</x:f>
        <x:v>0.2110272012180314</x:v>
      </x:c>
      <x:c r="Y819" s="8" t="n">
        <x:f>0</x:f>
        <x:v>0</x:v>
      </x:c>
      <x:c r="Z819" s="8" t="n">
        <x:f>K819/H819-X819*I819/H819-Y819*J819/H819</x:f>
        <x:v>-0.7824463724972401</x:v>
      </x:c>
      <x:c r="AA819" s="8" t="n">
        <x:f>Z819+X819*Q819+Y819*R819</x:f>
        <x:v>-0.1891320163675314</x:v>
      </x:c>
    </x:row>
    <x:row r="820" ht="26" customHeight="1">
      <x:c r="A820" s="2"/>
      <x:c r="B820" s="2" t="n">
        <x:v>815</x:v>
      </x:c>
      <x:c r="C820" s="2" t="str">
        <x:v>Beauty / organic_volume_growth</x:v>
      </x:c>
      <x:c r="D820" s="2" t="str">
        <x:v>Broad rolling 8</x:v>
      </x:c>
      <x:c r="E820" s="7" t="n">
        <x:v>45930</x:v>
      </x:c>
      <x:c r="F820" s="2" t="str">
        <x:v>Prior report</x:v>
      </x:c>
      <x:c r="G820" s="7" t="n">
        <x:v>45867</x:v>
      </x:c>
      <x:c r="H820" s="2" t="n">
        <x:v>8</x:v>
      </x:c>
      <x:c r="I820" s="8" t="n">
        <x:v>13.903323924128907</x:v>
      </x:c>
      <x:c r="J820" s="8" t="n">
        <x:v>0</x:v>
      </x:c>
      <x:c r="K820" s="8" t="n">
        <x:v>1</x:v>
      </x:c>
      <x:c r="L820" s="8" t="n">
        <x:v>29.69247799893869</x:v>
      </x:c>
      <x:c r="M820" s="8" t="n">
        <x:v>0</x:v>
      </x:c>
      <x:c r="N820" s="8" t="n">
        <x:v>0</x:v>
      </x:c>
      <x:c r="O820" s="8" t="n">
        <x:v>3.9780870033214177</x:v>
      </x:c>
      <x:c r="P820" s="8" t="n">
        <x:v>0</x:v>
      </x:c>
      <x:c r="Q820" s="8" t="n">
        <x:v>2.8115539262481226</x:v>
      </x:c>
      <x:c r="R820" s="8" t="n">
        <x:v>0</x:v>
      </x:c>
      <x:c r="S820" s="8" t="n">
        <x:f>L820-I820^2/H820</x:f>
        <x:v>5.529675981531785</x:v>
      </x:c>
      <x:c r="T820" s="8" t="n">
        <x:f>M820-J820^2/H820</x:f>
        <x:v>0</x:v>
      </x:c>
      <x:c r="U820" s="8" t="n">
        <x:f>N820-I820*J820/H820</x:f>
        <x:v>0</x:v>
      </x:c>
      <x:c r="V820" s="8" t="n">
        <x:f>O820-I820*K820/H820</x:f>
        <x:v>2.240171512805304</x:v>
      </x:c>
      <x:c r="W820" s="8" t="n">
        <x:f>P820-J820*K820/H820</x:f>
        <x:v>0</x:v>
      </x:c>
      <x:c r="X820" s="8" t="n">
        <x:f>V820/S820</x:f>
        <x:v>0.4051180431343738</x:v>
      </x:c>
      <x:c r="Y820" s="8" t="n">
        <x:f>0</x:f>
        <x:v>0</x:v>
      </x:c>
      <x:c r="Z820" s="8" t="n">
        <x:f>K820/H820-X820*I820/H820-Y820*J820/H820</x:f>
        <x:v>-0.5790609226508032</x:v>
      </x:c>
      <x:c r="AA820" s="8" t="n">
        <x:f>Z820+X820*Q820+Y820*R820</x:f>
        <x:v>0.5599503021176016</x:v>
      </x:c>
    </x:row>
    <x:row r="821" ht="26" customHeight="1">
      <x:c r="A821" s="2"/>
      <x:c r="B821" s="2" t="n">
        <x:v>816</x:v>
      </x:c>
      <x:c r="C821" s="2" t="str">
        <x:v>Beauty / organic_volume_growth</x:v>
      </x:c>
      <x:c r="D821" s="2" t="str">
        <x:v>Own history</x:v>
      </x:c>
      <x:c r="E821" s="7" t="n">
        <x:v>45930</x:v>
      </x:c>
      <x:c r="F821" s="2" t="str">
        <x:v>Prior report</x:v>
      </x:c>
      <x:c r="G821" s="7" t="n">
        <x:v>45867</x:v>
      </x:c>
      <x:c r="H821" s="2" t="n">
        <x:v>17</x:v>
      </x:c>
      <x:c r="I821" s="8" t="n">
        <x:v>-3</x:v>
      </x:c>
      <x:c r="J821" s="8" t="n">
        <x:v>0</x:v>
      </x:c>
      <x:c r="K821" s="8" t="n">
        <x:v>-4</x:v>
      </x:c>
      <x:c r="L821" s="8" t="n">
        <x:v>33</x:v>
      </x:c>
      <x:c r="M821" s="8" t="n">
        <x:v>0</x:v>
      </x:c>
      <x:c r="N821" s="8" t="n">
        <x:v>0</x:v>
      </x:c>
      <x:c r="O821" s="8" t="n">
        <x:v>10</x:v>
      </x:c>
      <x:c r="P821" s="8" t="n">
        <x:v>0</x:v>
      </x:c>
      <x:c r="Q821" s="8" t="n">
        <x:v>1</x:v>
      </x:c>
      <x:c r="R821" s="8" t="n">
        <x:v>0</x:v>
      </x:c>
      <x:c r="S821" s="8" t="n">
        <x:f>L821-I821^2/H821</x:f>
        <x:v>32.470588235294116</x:v>
      </x:c>
      <x:c r="T821" s="8" t="n">
        <x:f>M821-J821^2/H821</x:f>
        <x:v>0</x:v>
      </x:c>
      <x:c r="U821" s="8" t="n">
        <x:f>N821-I821*J821/H821</x:f>
        <x:v>0</x:v>
      </x:c>
      <x:c r="V821" s="8" t="n">
        <x:f>O821-I821*K821/H821</x:f>
        <x:v>9.294117647058824</x:v>
      </x:c>
      <x:c r="W821" s="8" t="n">
        <x:f>P821-J821*K821/H821</x:f>
        <x:v>0</x:v>
      </x:c>
      <x:c r="X821" s="8" t="n">
        <x:f>V821/S821</x:f>
        <x:v>0.28623188405797106</x:v>
      </x:c>
      <x:c r="Y821" s="8" t="n">
        <x:f>0</x:f>
        <x:v>0</x:v>
      </x:c>
      <x:c r="Z821" s="8" t="n">
        <x:f>K821/H821-X821*I821/H821-Y821*J821/H821</x:f>
        <x:v>-0.18478260869565216</x:v>
      </x:c>
      <x:c r="AA821" s="8" t="n">
        <x:f>Z821+X821*Q821+Y821*R821</x:f>
        <x:v>0.1014492753623189</x:v>
      </x:c>
    </x:row>
    <x:row r="822" ht="26" customHeight="1">
      <x:c r="A822" s="2"/>
      <x:c r="B822" s="2" t="n">
        <x:v>817</x:v>
      </x:c>
      <x:c r="C822" s="2" t="str">
        <x:v>Beauty / organic_volume_growth</x:v>
      </x:c>
      <x:c r="D822" s="2" t="str">
        <x:v>Broad market</x:v>
      </x:c>
      <x:c r="E822" s="7" t="n">
        <x:v>45930</x:v>
      </x:c>
      <x:c r="F822" s="2" t="str">
        <x:v>Pre-earnings</x:v>
      </x:c>
      <x:c r="G822" s="7" t="n">
        <x:v>45953</x:v>
      </x:c>
      <x:c r="H822" s="2" t="n">
        <x:v>18</x:v>
      </x:c>
      <x:c r="I822" s="8" t="n">
        <x:v>54.16421583875868</x:v>
      </x:c>
      <x:c r="J822" s="8" t="n">
        <x:v>0</x:v>
      </x:c>
      <x:c r="K822" s="8" t="n">
        <x:v>-2</x:v>
      </x:c>
      <x:c r="L822" s="8" t="n">
        <x:v>409.1374966682539</x:v>
      </x:c>
      <x:c r="M822" s="8" t="n">
        <x:v>0</x:v>
      </x:c>
      <x:c r="N822" s="8" t="n">
        <x:v>0</x:v>
      </x:c>
      <x:c r="O822" s="8" t="n">
        <x:v>47.34502889065057</x:v>
      </x:c>
      <x:c r="P822" s="8" t="n">
        <x:v>0</x:v>
      </x:c>
      <x:c r="Q822" s="8" t="n">
        <x:v>3.2886468481588604</x:v>
      </x:c>
      <x:c r="R822" s="8" t="n">
        <x:v>0</x:v>
      </x:c>
      <x:c r="S822" s="8" t="n">
        <x:f>L822-I822^2/H822</x:f>
        <x:v>246.15070347782967</x:v>
      </x:c>
      <x:c r="T822" s="8" t="n">
        <x:f>M822-J822^2/H822</x:f>
        <x:v>0</x:v>
      </x:c>
      <x:c r="U822" s="8" t="n">
        <x:f>N822-I822*J822/H822</x:f>
        <x:v>0</x:v>
      </x:c>
      <x:c r="V822" s="8" t="n">
        <x:f>O822-I822*K822/H822</x:f>
        <x:v>53.36327509495709</x:v>
      </x:c>
      <x:c r="W822" s="8" t="n">
        <x:f>P822-J822*K822/H822</x:f>
        <x:v>0</x:v>
      </x:c>
      <x:c r="X822" s="8" t="n">
        <x:f>V822/S822</x:f>
        <x:v>0.21679107287119095</x:v>
      </x:c>
      <x:c r="Y822" s="8" t="n">
        <x:f>0</x:f>
        <x:v>0</x:v>
      </x:c>
      <x:c r="Z822" s="8" t="n">
        <x:f>K822/H822-X822*I822/H822-Y822*J822/H822</x:f>
        <x:v>-0.7634621368284027</x:v>
      </x:c>
      <x:c r="AA822" s="8" t="n">
        <x:f>Z822+X822*Q822+Y822*R822</x:f>
        <x:v>-0.0505128583215827</x:v>
      </x:c>
    </x:row>
    <x:row r="823" ht="26" customHeight="1">
      <x:c r="A823" s="2"/>
      <x:c r="B823" s="2" t="n">
        <x:v>818</x:v>
      </x:c>
      <x:c r="C823" s="2" t="str">
        <x:v>Beauty / organic_volume_growth</x:v>
      </x:c>
      <x:c r="D823" s="2" t="str">
        <x:v>Broad lag 1</x:v>
      </x:c>
      <x:c r="E823" s="7" t="n">
        <x:v>45930</x:v>
      </x:c>
      <x:c r="F823" s="2" t="str">
        <x:v>Pre-earnings</x:v>
      </x:c>
      <x:c r="G823" s="7" t="n">
        <x:v>45953</x:v>
      </x:c>
      <x:c r="H823" s="2" t="n">
        <x:v>17</x:v>
      </x:c>
      <x:c r="I823" s="8" t="n">
        <x:v>50.93094136357719</x:v>
      </x:c>
      <x:c r="J823" s="8" t="n">
        <x:v>0</x:v>
      </x:c>
      <x:c r="K823" s="8" t="n">
        <x:v>-4</x:v>
      </x:c>
      <x:c r="L823" s="8" t="n">
        <x:v>398.68343283639376</x:v>
      </x:c>
      <x:c r="M823" s="8" t="n">
        <x:v>0</x:v>
      </x:c>
      <x:c r="N823" s="8" t="n">
        <x:v>0</x:v>
      </x:c>
      <x:c r="O823" s="8" t="n">
        <x:v>12.676704542741824</x:v>
      </x:c>
      <x:c r="P823" s="8" t="n">
        <x:v>0</x:v>
      </x:c>
      <x:c r="Q823" s="8" t="n">
        <x:v>3.2332744751814912</x:v>
      </x:c>
      <x:c r="R823" s="8" t="n">
        <x:v>0</x:v>
      </x:c>
      <x:c r="S823" s="8" t="n">
        <x:f>L823-I823^2/H823</x:f>
        <x:v>246.09750411991504</x:v>
      </x:c>
      <x:c r="T823" s="8" t="n">
        <x:f>M823-J823^2/H823</x:f>
        <x:v>0</x:v>
      </x:c>
      <x:c r="U823" s="8" t="n">
        <x:f>N823-I823*J823/H823</x:f>
        <x:v>0</x:v>
      </x:c>
      <x:c r="V823" s="8" t="n">
        <x:f>O823-I823*K823/H823</x:f>
        <x:v>24.660455451818812</x:v>
      </x:c>
      <x:c r="W823" s="8" t="n">
        <x:f>P823-J823*K823/H823</x:f>
        <x:v>0</x:v>
      </x:c>
      <x:c r="X823" s="8" t="n">
        <x:f>V823/S823</x:f>
        <x:v>0.10020603638386597</x:v>
      </x:c>
      <x:c r="Y823" s="8" t="n">
        <x:f>0</x:f>
        <x:v>0</x:v>
      </x:c>
      <x:c r="Z823" s="8" t="n">
        <x:f>K823/H823-X823*I823/H823-Y823*J823/H823</x:f>
        <x:v>-0.5355051625495977</x:v>
      </x:c>
      <x:c r="AA823" s="8" t="n">
        <x:f>Z823+X823*Q823+Y823*R823</x:f>
        <x:v>-0.21151154285053603</x:v>
      </x:c>
    </x:row>
    <x:row r="824" ht="26" customHeight="1">
      <x:c r="A824" s="2"/>
      <x:c r="B824" s="2" t="n">
        <x:v>819</x:v>
      </x:c>
      <x:c r="C824" s="2" t="str">
        <x:v>Beauty / organic_volume_growth</x:v>
      </x:c>
      <x:c r="D824" s="2" t="str">
        <x:v>Broad rolling 8</x:v>
      </x:c>
      <x:c r="E824" s="7" t="n">
        <x:v>45930</x:v>
      </x:c>
      <x:c r="F824" s="2" t="str">
        <x:v>Pre-earnings</x:v>
      </x:c>
      <x:c r="G824" s="7" t="n">
        <x:v>45953</x:v>
      </x:c>
      <x:c r="H824" s="2" t="n">
        <x:v>8</x:v>
      </x:c>
      <x:c r="I824" s="8" t="n">
        <x:v>19.488596039783012</x:v>
      </x:c>
      <x:c r="J824" s="8" t="n">
        <x:v>0</x:v>
      </x:c>
      <x:c r="K824" s="8" t="n">
        <x:v>3</x:v>
      </x:c>
      <x:c r="L824" s="8" t="n">
        <x:v>52.76027068899587</x:v>
      </x:c>
      <x:c r="M824" s="8" t="n">
        <x:v>0</x:v>
      </x:c>
      <x:c r="N824" s="8" t="n">
        <x:v>0</x:v>
      </x:c>
      <x:c r="O824" s="8" t="n">
        <x:v>8.410816890175731</x:v>
      </x:c>
      <x:c r="P824" s="8" t="n">
        <x:v>0</x:v>
      </x:c>
      <x:c r="Q824" s="8" t="n">
        <x:v>3.2886468481588604</x:v>
      </x:c>
      <x:c r="R824" s="8" t="n">
        <x:v>0</x:v>
      </x:c>
      <x:c r="S824" s="8" t="n">
        <x:f>L824-I824^2/H824</x:f>
        <x:v>5.284598738765105</x:v>
      </x:c>
      <x:c r="T824" s="8" t="n">
        <x:f>M824-J824^2/H824</x:f>
        <x:v>0</x:v>
      </x:c>
      <x:c r="U824" s="8" t="n">
        <x:f>N824-I824*J824/H824</x:f>
        <x:v>0</x:v>
      </x:c>
      <x:c r="V824" s="8" t="n">
        <x:f>O824-I824*K824/H824</x:f>
        <x:v>1.1025933752571015</x:v>
      </x:c>
      <x:c r="W824" s="8" t="n">
        <x:f>P824-J824*K824/H824</x:f>
        <x:v>0</x:v>
      </x:c>
      <x:c r="X824" s="8" t="n">
        <x:f>V824/S824</x:f>
        <x:v>0.20864278060868505</x:v>
      </x:c>
      <x:c r="Y824" s="8" t="n">
        <x:f>0</x:f>
        <x:v>0</x:v>
      </x:c>
      <x:c r="Z824" s="8" t="n">
        <x:f>K824/H824-X824*I824/H824-Y824*J824/H824</x:f>
        <x:v>-0.1332693584874669</x:v>
      </x:c>
      <x:c r="AA824" s="8" t="n">
        <x:f>Z824+X824*Q824+Y824*R824</x:f>
        <x:v>0.5528830643523858</x:v>
      </x:c>
    </x:row>
    <x:row r="825" ht="26" customHeight="1">
      <x:c r="A825" s="2"/>
      <x:c r="B825" s="2" t="n">
        <x:v>820</x:v>
      </x:c>
      <x:c r="C825" s="2" t="str">
        <x:v>Beauty / organic_volume_growth</x:v>
      </x:c>
      <x:c r="D825" s="2" t="str">
        <x:v>Own history</x:v>
      </x:c>
      <x:c r="E825" s="7" t="n">
        <x:v>45930</x:v>
      </x:c>
      <x:c r="F825" s="2" t="str">
        <x:v>Pre-earnings</x:v>
      </x:c>
      <x:c r="G825" s="7" t="n">
        <x:v>45953</x:v>
      </x:c>
      <x:c r="H825" s="2" t="n">
        <x:v>17</x:v>
      </x:c>
      <x:c r="I825" s="8" t="n">
        <x:v>-3</x:v>
      </x:c>
      <x:c r="J825" s="8" t="n">
        <x:v>0</x:v>
      </x:c>
      <x:c r="K825" s="8" t="n">
        <x:v>-4</x:v>
      </x:c>
      <x:c r="L825" s="8" t="n">
        <x:v>33</x:v>
      </x:c>
      <x:c r="M825" s="8" t="n">
        <x:v>0</x:v>
      </x:c>
      <x:c r="N825" s="8" t="n">
        <x:v>0</x:v>
      </x:c>
      <x:c r="O825" s="8" t="n">
        <x:v>10</x:v>
      </x:c>
      <x:c r="P825" s="8" t="n">
        <x:v>0</x:v>
      </x:c>
      <x:c r="Q825" s="8" t="n">
        <x:v>1</x:v>
      </x:c>
      <x:c r="R825" s="8" t="n">
        <x:v>0</x:v>
      </x:c>
      <x:c r="S825" s="8" t="n">
        <x:f>L825-I825^2/H825</x:f>
        <x:v>32.470588235294116</x:v>
      </x:c>
      <x:c r="T825" s="8" t="n">
        <x:f>M825-J825^2/H825</x:f>
        <x:v>0</x:v>
      </x:c>
      <x:c r="U825" s="8" t="n">
        <x:f>N825-I825*J825/H825</x:f>
        <x:v>0</x:v>
      </x:c>
      <x:c r="V825" s="8" t="n">
        <x:f>O825-I825*K825/H825</x:f>
        <x:v>9.294117647058824</x:v>
      </x:c>
      <x:c r="W825" s="8" t="n">
        <x:f>P825-J825*K825/H825</x:f>
        <x:v>0</x:v>
      </x:c>
      <x:c r="X825" s="8" t="n">
        <x:f>V825/S825</x:f>
        <x:v>0.28623188405797106</x:v>
      </x:c>
      <x:c r="Y825" s="8" t="n">
        <x:f>0</x:f>
        <x:v>0</x:v>
      </x:c>
      <x:c r="Z825" s="8" t="n">
        <x:f>K825/H825-X825*I825/H825-Y825*J825/H825</x:f>
        <x:v>-0.18478260869565216</x:v>
      </x:c>
      <x:c r="AA825" s="8" t="n">
        <x:f>Z825+X825*Q825+Y825*R825</x:f>
        <x:v>0.1014492753623189</x:v>
      </x:c>
    </x:row>
    <x:row r="826" ht="26" customHeight="1">
      <x:c r="A826" s="2"/>
      <x:c r="B826" s="2" t="n">
        <x:v>821</x:v>
      </x:c>
      <x:c r="C826" s="2" t="str">
        <x:v>Beauty / organic_volume_growth</x:v>
      </x:c>
      <x:c r="D826" s="2" t="str">
        <x:v>Broad market</x:v>
      </x:c>
      <x:c r="E826" s="7" t="n">
        <x:v>46022</x:v>
      </x:c>
      <x:c r="F826" s="2" t="str">
        <x:v>Origin</x:v>
      </x:c>
      <x:c r="G826" s="7" t="n">
        <x:v>45931</x:v>
      </x:c>
      <x:c r="H826" s="2" t="n">
        <x:v>18</x:v>
      </x:c>
      <x:c r="I826" s="8" t="n">
        <x:v>54.16421583875868</x:v>
      </x:c>
      <x:c r="J826" s="8" t="n">
        <x:v>0</x:v>
      </x:c>
      <x:c r="K826" s="8" t="n">
        <x:v>-2</x:v>
      </x:c>
      <x:c r="L826" s="8" t="n">
        <x:v>409.1374966682539</x:v>
      </x:c>
      <x:c r="M826" s="8" t="n">
        <x:v>0</x:v>
      </x:c>
      <x:c r="N826" s="8" t="n">
        <x:v>0</x:v>
      </x:c>
      <x:c r="O826" s="8" t="n">
        <x:v>47.34502889065057</x:v>
      </x:c>
      <x:c r="P826" s="8" t="n">
        <x:v>0</x:v>
      </x:c>
      <x:c r="Q826" s="8" t="n">
        <x:v>3.299678659475047</x:v>
      </x:c>
      <x:c r="R826" s="8" t="n">
        <x:v>0</x:v>
      </x:c>
      <x:c r="S826" s="8" t="n">
        <x:f>L826-I826^2/H826</x:f>
        <x:v>246.15070347782967</x:v>
      </x:c>
      <x:c r="T826" s="8" t="n">
        <x:f>M826-J826^2/H826</x:f>
        <x:v>0</x:v>
      </x:c>
      <x:c r="U826" s="8" t="n">
        <x:f>N826-I826*J826/H826</x:f>
        <x:v>0</x:v>
      </x:c>
      <x:c r="V826" s="8" t="n">
        <x:f>O826-I826*K826/H826</x:f>
        <x:v>53.36327509495709</x:v>
      </x:c>
      <x:c r="W826" s="8" t="n">
        <x:f>P826-J826*K826/H826</x:f>
        <x:v>0</x:v>
      </x:c>
      <x:c r="X826" s="8" t="n">
        <x:f>V826/S826</x:f>
        <x:v>0.21679107287119095</x:v>
      </x:c>
      <x:c r="Y826" s="8" t="n">
        <x:f>0</x:f>
        <x:v>0</x:v>
      </x:c>
      <x:c r="Z826" s="8" t="n">
        <x:f>K826/H826-X826*I826/H826-Y826*J826/H826</x:f>
        <x:v>-0.7634621368284027</x:v>
      </x:c>
      <x:c r="AA826" s="8" t="n">
        <x:f>Z826+X826*Q826+Y826*R826</x:f>
        <x:v>-0.04812126011063411</x:v>
      </x:c>
    </x:row>
    <x:row r="827" ht="26" customHeight="1">
      <x:c r="A827" s="2"/>
      <x:c r="B827" s="2" t="n">
        <x:v>822</x:v>
      </x:c>
      <x:c r="C827" s="2" t="str">
        <x:v>Beauty / organic_volume_growth</x:v>
      </x:c>
      <x:c r="D827" s="2" t="str">
        <x:v>Broad rolling 8</x:v>
      </x:c>
      <x:c r="E827" s="7" t="n">
        <x:v>46022</x:v>
      </x:c>
      <x:c r="F827" s="2" t="str">
        <x:v>Origin</x:v>
      </x:c>
      <x:c r="G827" s="7" t="n">
        <x:v>45931</x:v>
      </x:c>
      <x:c r="H827" s="2" t="n">
        <x:v>8</x:v>
      </x:c>
      <x:c r="I827" s="8" t="n">
        <x:v>19.488596039783012</x:v>
      </x:c>
      <x:c r="J827" s="8" t="n">
        <x:v>0</x:v>
      </x:c>
      <x:c r="K827" s="8" t="n">
        <x:v>3</x:v>
      </x:c>
      <x:c r="L827" s="8" t="n">
        <x:v>52.76027068899587</x:v>
      </x:c>
      <x:c r="M827" s="8" t="n">
        <x:v>0</x:v>
      </x:c>
      <x:c r="N827" s="8" t="n">
        <x:v>0</x:v>
      </x:c>
      <x:c r="O827" s="8" t="n">
        <x:v>8.410816890175731</x:v>
      </x:c>
      <x:c r="P827" s="8" t="n">
        <x:v>0</x:v>
      </x:c>
      <x:c r="Q827" s="8" t="n">
        <x:v>3.299678659475047</x:v>
      </x:c>
      <x:c r="R827" s="8" t="n">
        <x:v>0</x:v>
      </x:c>
      <x:c r="S827" s="8" t="n">
        <x:f>L827-I827^2/H827</x:f>
        <x:v>5.284598738765105</x:v>
      </x:c>
      <x:c r="T827" s="8" t="n">
        <x:f>M827-J827^2/H827</x:f>
        <x:v>0</x:v>
      </x:c>
      <x:c r="U827" s="8" t="n">
        <x:f>N827-I827*J827/H827</x:f>
        <x:v>0</x:v>
      </x:c>
      <x:c r="V827" s="8" t="n">
        <x:f>O827-I827*K827/H827</x:f>
        <x:v>1.1025933752571015</x:v>
      </x:c>
      <x:c r="W827" s="8" t="n">
        <x:f>P827-J827*K827/H827</x:f>
        <x:v>0</x:v>
      </x:c>
      <x:c r="X827" s="8" t="n">
        <x:f>V827/S827</x:f>
        <x:v>0.20864278060868505</x:v>
      </x:c>
      <x:c r="Y827" s="8" t="n">
        <x:f>0</x:f>
        <x:v>0</x:v>
      </x:c>
      <x:c r="Z827" s="8" t="n">
        <x:f>K827/H827-X827*I827/H827-Y827*J827/H827</x:f>
        <x:v>-0.1332693584874669</x:v>
      </x:c>
      <x:c r="AA827" s="8" t="n">
        <x:f>Z827+X827*Q827+Y827*R827</x:f>
        <x:v>0.5551847721405453</x:v>
      </x:c>
    </x:row>
    <x:row r="828" ht="26" customHeight="1">
      <x:c r="A828" s="2"/>
      <x:c r="B828" s="2" t="n">
        <x:v>823</x:v>
      </x:c>
      <x:c r="C828" s="2" t="str">
        <x:v>Beauty / organic_volume_growth</x:v>
      </x:c>
      <x:c r="D828" s="2" t="str">
        <x:v>Own history</x:v>
      </x:c>
      <x:c r="E828" s="7" t="n">
        <x:v>46022</x:v>
      </x:c>
      <x:c r="F828" s="2" t="str">
        <x:v>Origin</x:v>
      </x:c>
      <x:c r="G828" s="7" t="n">
        <x:v>45931</x:v>
      </x:c>
      <x:c r="H828" s="2" t="n">
        <x:v>16</x:v>
      </x:c>
      <x:c r="I828" s="8" t="n">
        <x:v>-4</x:v>
      </x:c>
      <x:c r="J828" s="8" t="n">
        <x:v>0</x:v>
      </x:c>
      <x:c r="K828" s="8" t="n">
        <x:v>-5</x:v>
      </x:c>
      <x:c r="L828" s="8" t="n">
        <x:v>32</x:v>
      </x:c>
      <x:c r="M828" s="8" t="n">
        <x:v>0</x:v>
      </x:c>
      <x:c r="N828" s="8" t="n">
        <x:v>0</x:v>
      </x:c>
      <x:c r="O828" s="8" t="n">
        <x:v>12</x:v>
      </x:c>
      <x:c r="P828" s="8" t="n">
        <x:v>0</x:v>
      </x:c>
      <x:c r="Q828" s="8" t="n">
        <x:v>1</x:v>
      </x:c>
      <x:c r="R828" s="8" t="n">
        <x:v>0</x:v>
      </x:c>
      <x:c r="S828" s="8" t="n">
        <x:f>L828-I828^2/H828</x:f>
        <x:v>31</x:v>
      </x:c>
      <x:c r="T828" s="8" t="n">
        <x:f>M828-J828^2/H828</x:f>
        <x:v>0</x:v>
      </x:c>
      <x:c r="U828" s="8" t="n">
        <x:f>N828-I828*J828/H828</x:f>
        <x:v>0</x:v>
      </x:c>
      <x:c r="V828" s="8" t="n">
        <x:f>O828-I828*K828/H828</x:f>
        <x:v>10.75</x:v>
      </x:c>
      <x:c r="W828" s="8" t="n">
        <x:f>P828-J828*K828/H828</x:f>
        <x:v>0</x:v>
      </x:c>
      <x:c r="X828" s="8" t="n">
        <x:f>V828/S828</x:f>
        <x:v>0.3467741935483871</x:v>
      </x:c>
      <x:c r="Y828" s="8" t="n">
        <x:f>0</x:f>
        <x:v>0</x:v>
      </x:c>
      <x:c r="Z828" s="8" t="n">
        <x:f>K828/H828-X828*I828/H828-Y828*J828/H828</x:f>
        <x:v>-0.22580645161290322</x:v>
      </x:c>
      <x:c r="AA828" s="8" t="n">
        <x:f>Z828+X828*Q828+Y828*R828</x:f>
        <x:v>0.1209677419354839</x:v>
      </x:c>
    </x:row>
    <x:row r="829" ht="26" customHeight="1">
      <x:c r="A829" s="2"/>
      <x:c r="B829" s="2" t="n">
        <x:v>824</x:v>
      </x:c>
      <x:c r="C829" s="2" t="str">
        <x:v>Beauty / organic_volume_growth</x:v>
      </x:c>
      <x:c r="D829" s="2" t="str">
        <x:v>Broad market</x:v>
      </x:c>
      <x:c r="E829" s="7" t="n">
        <x:v>46022</x:v>
      </x:c>
      <x:c r="F829" s="2" t="str">
        <x:v>Prior report</x:v>
      </x:c>
      <x:c r="G829" s="7" t="n">
        <x:v>45954</x:v>
      </x:c>
      <x:c r="H829" s="2" t="n">
        <x:v>18</x:v>
      </x:c>
      <x:c r="I829" s="8" t="n">
        <x:v>54.16421583875868</x:v>
      </x:c>
      <x:c r="J829" s="8" t="n">
        <x:v>0</x:v>
      </x:c>
      <x:c r="K829" s="8" t="n">
        <x:v>-2</x:v>
      </x:c>
      <x:c r="L829" s="8" t="n">
        <x:v>409.1374966682539</x:v>
      </x:c>
      <x:c r="M829" s="8" t="n">
        <x:v>0</x:v>
      </x:c>
      <x:c r="N829" s="8" t="n">
        <x:v>0</x:v>
      </x:c>
      <x:c r="O829" s="8" t="n">
        <x:v>47.34502889065057</x:v>
      </x:c>
      <x:c r="P829" s="8" t="n">
        <x:v>0</x:v>
      </x:c>
      <x:c r="Q829" s="8" t="n">
        <x:v>3.299678659475047</x:v>
      </x:c>
      <x:c r="R829" s="8" t="n">
        <x:v>0</x:v>
      </x:c>
      <x:c r="S829" s="8" t="n">
        <x:f>L829-I829^2/H829</x:f>
        <x:v>246.15070347782967</x:v>
      </x:c>
      <x:c r="T829" s="8" t="n">
        <x:f>M829-J829^2/H829</x:f>
        <x:v>0</x:v>
      </x:c>
      <x:c r="U829" s="8" t="n">
        <x:f>N829-I829*J829/H829</x:f>
        <x:v>0</x:v>
      </x:c>
      <x:c r="V829" s="8" t="n">
        <x:f>O829-I829*K829/H829</x:f>
        <x:v>53.36327509495709</x:v>
      </x:c>
      <x:c r="W829" s="8" t="n">
        <x:f>P829-J829*K829/H829</x:f>
        <x:v>0</x:v>
      </x:c>
      <x:c r="X829" s="8" t="n">
        <x:f>V829/S829</x:f>
        <x:v>0.21679107287119095</x:v>
      </x:c>
      <x:c r="Y829" s="8" t="n">
        <x:f>0</x:f>
        <x:v>0</x:v>
      </x:c>
      <x:c r="Z829" s="8" t="n">
        <x:f>K829/H829-X829*I829/H829-Y829*J829/H829</x:f>
        <x:v>-0.7634621368284027</x:v>
      </x:c>
      <x:c r="AA829" s="8" t="n">
        <x:f>Z829+X829*Q829+Y829*R829</x:f>
        <x:v>-0.04812126011063411</x:v>
      </x:c>
    </x:row>
    <x:row r="830" ht="26" customHeight="1">
      <x:c r="A830" s="2"/>
      <x:c r="B830" s="2" t="n">
        <x:v>825</x:v>
      </x:c>
      <x:c r="C830" s="2" t="str">
        <x:v>Beauty / organic_volume_growth</x:v>
      </x:c>
      <x:c r="D830" s="2" t="str">
        <x:v>Broad rolling 8</x:v>
      </x:c>
      <x:c r="E830" s="7" t="n">
        <x:v>46022</x:v>
      </x:c>
      <x:c r="F830" s="2" t="str">
        <x:v>Prior report</x:v>
      </x:c>
      <x:c r="G830" s="7" t="n">
        <x:v>45954</x:v>
      </x:c>
      <x:c r="H830" s="2" t="n">
        <x:v>8</x:v>
      </x:c>
      <x:c r="I830" s="8" t="n">
        <x:v>19.488596039783012</x:v>
      </x:c>
      <x:c r="J830" s="8" t="n">
        <x:v>0</x:v>
      </x:c>
      <x:c r="K830" s="8" t="n">
        <x:v>3</x:v>
      </x:c>
      <x:c r="L830" s="8" t="n">
        <x:v>52.76027068899587</x:v>
      </x:c>
      <x:c r="M830" s="8" t="n">
        <x:v>0</x:v>
      </x:c>
      <x:c r="N830" s="8" t="n">
        <x:v>0</x:v>
      </x:c>
      <x:c r="O830" s="8" t="n">
        <x:v>8.410816890175731</x:v>
      </x:c>
      <x:c r="P830" s="8" t="n">
        <x:v>0</x:v>
      </x:c>
      <x:c r="Q830" s="8" t="n">
        <x:v>3.299678659475047</x:v>
      </x:c>
      <x:c r="R830" s="8" t="n">
        <x:v>0</x:v>
      </x:c>
      <x:c r="S830" s="8" t="n">
        <x:f>L830-I830^2/H830</x:f>
        <x:v>5.284598738765105</x:v>
      </x:c>
      <x:c r="T830" s="8" t="n">
        <x:f>M830-J830^2/H830</x:f>
        <x:v>0</x:v>
      </x:c>
      <x:c r="U830" s="8" t="n">
        <x:f>N830-I830*J830/H830</x:f>
        <x:v>0</x:v>
      </x:c>
      <x:c r="V830" s="8" t="n">
        <x:f>O830-I830*K830/H830</x:f>
        <x:v>1.1025933752571015</x:v>
      </x:c>
      <x:c r="W830" s="8" t="n">
        <x:f>P830-J830*K830/H830</x:f>
        <x:v>0</x:v>
      </x:c>
      <x:c r="X830" s="8" t="n">
        <x:f>V830/S830</x:f>
        <x:v>0.20864278060868505</x:v>
      </x:c>
      <x:c r="Y830" s="8" t="n">
        <x:f>0</x:f>
        <x:v>0</x:v>
      </x:c>
      <x:c r="Z830" s="8" t="n">
        <x:f>K830/H830-X830*I830/H830-Y830*J830/H830</x:f>
        <x:v>-0.1332693584874669</x:v>
      </x:c>
      <x:c r="AA830" s="8" t="n">
        <x:f>Z830+X830*Q830+Y830*R830</x:f>
        <x:v>0.5551847721405453</x:v>
      </x:c>
    </x:row>
    <x:row r="831" ht="26" customHeight="1">
      <x:c r="A831" s="2"/>
      <x:c r="B831" s="2" t="n">
        <x:v>826</x:v>
      </x:c>
      <x:c r="C831" s="2" t="str">
        <x:v>Beauty / organic_volume_growth</x:v>
      </x:c>
      <x:c r="D831" s="2" t="str">
        <x:v>Own history</x:v>
      </x:c>
      <x:c r="E831" s="7" t="n">
        <x:v>46022</x:v>
      </x:c>
      <x:c r="F831" s="2" t="str">
        <x:v>Prior report</x:v>
      </x:c>
      <x:c r="G831" s="7" t="n">
        <x:v>45954</x:v>
      </x:c>
      <x:c r="H831" s="2" t="n">
        <x:v>18</x:v>
      </x:c>
      <x:c r="I831" s="8" t="n">
        <x:v>-2</x:v>
      </x:c>
      <x:c r="J831" s="8" t="n">
        <x:v>0</x:v>
      </x:c>
      <x:c r="K831" s="8" t="n">
        <x:v>0</x:v>
      </x:c>
      <x:c r="L831" s="8" t="n">
        <x:v>34</x:v>
      </x:c>
      <x:c r="M831" s="8" t="n">
        <x:v>0</x:v>
      </x:c>
      <x:c r="N831" s="8" t="n">
        <x:v>0</x:v>
      </x:c>
      <x:c r="O831" s="8" t="n">
        <x:v>14</x:v>
      </x:c>
      <x:c r="P831" s="8" t="n">
        <x:v>0</x:v>
      </x:c>
      <x:c r="Q831" s="8" t="n">
        <x:v>4</x:v>
      </x:c>
      <x:c r="R831" s="8" t="n">
        <x:v>0</x:v>
      </x:c>
      <x:c r="S831" s="8" t="n">
        <x:f>L831-I831^2/H831</x:f>
        <x:v>33.77777777777778</x:v>
      </x:c>
      <x:c r="T831" s="8" t="n">
        <x:f>M831-J831^2/H831</x:f>
        <x:v>0</x:v>
      </x:c>
      <x:c r="U831" s="8" t="n">
        <x:f>N831-I831*J831/H831</x:f>
        <x:v>0</x:v>
      </x:c>
      <x:c r="V831" s="8" t="n">
        <x:f>O831-I831*K831/H831</x:f>
        <x:v>14</x:v>
      </x:c>
      <x:c r="W831" s="8" t="n">
        <x:f>P831-J831*K831/H831</x:f>
        <x:v>0</x:v>
      </x:c>
      <x:c r="X831" s="8" t="n">
        <x:f>V831/S831</x:f>
        <x:v>0.4144736842105263</x:v>
      </x:c>
      <x:c r="Y831" s="8" t="n">
        <x:f>0</x:f>
        <x:v>0</x:v>
      </x:c>
      <x:c r="Z831" s="8" t="n">
        <x:f>K831/H831-X831*I831/H831-Y831*J831/H831</x:f>
        <x:v>0.04605263157894737</x:v>
      </x:c>
      <x:c r="AA831" s="8" t="n">
        <x:f>Z831+X831*Q831+Y831*R831</x:f>
        <x:v>1.7039473684210527</x:v>
      </x:c>
    </x:row>
    <x:row r="832" ht="26" customHeight="1">
      <x:c r="A832" s="2"/>
      <x:c r="B832" s="2" t="n">
        <x:v>827</x:v>
      </x:c>
      <x:c r="C832" s="2" t="str">
        <x:v>Beauty / organic_volume_growth</x:v>
      </x:c>
      <x:c r="D832" s="2" t="str">
        <x:v>Broad market</x:v>
      </x:c>
      <x:c r="E832" s="7" t="n">
        <x:v>46022</x:v>
      </x:c>
      <x:c r="F832" s="2" t="str">
        <x:v>Pre-earnings</x:v>
      </x:c>
      <x:c r="G832" s="7" t="n">
        <x:v>46044</x:v>
      </x:c>
      <x:c r="H832" s="2" t="n">
        <x:v>19</x:v>
      </x:c>
      <x:c r="I832" s="8" t="n">
        <x:v>57.16093893029881</x:v>
      </x:c>
      <x:c r="J832" s="8" t="n">
        <x:v>0</x:v>
      </x:c>
      <x:c r="K832" s="8" t="n">
        <x:v>2</x:v>
      </x:c>
      <x:c r="L832" s="8" t="n">
        <x:v>418.11784595562375</x:v>
      </x:c>
      <x:c r="M832" s="8" t="n">
        <x:v>0</x:v>
      </x:c>
      <x:c r="N832" s="8" t="n">
        <x:v>0</x:v>
      </x:c>
      <x:c r="O832" s="8" t="n">
        <x:v>59.33192125681109</x:v>
      </x:c>
      <x:c r="P832" s="8" t="n">
        <x:v>0</x:v>
      </x:c>
      <x:c r="Q832" s="8" t="n">
        <x:v>2.918795720892664</x:v>
      </x:c>
      <x:c r="R832" s="8" t="n">
        <x:v>0</x:v>
      </x:c>
      <x:c r="S832" s="8" t="n">
        <x:f>L832-I832^2/H832</x:f>
        <x:v>246.1508491454474</x:v>
      </x:c>
      <x:c r="T832" s="8" t="n">
        <x:f>M832-J832^2/H832</x:f>
        <x:v>0</x:v>
      </x:c>
      <x:c r="U832" s="8" t="n">
        <x:f>N832-I832*J832/H832</x:f>
        <x:v>0</x:v>
      </x:c>
      <x:c r="V832" s="8" t="n">
        <x:f>O832-I832*K832/H832</x:f>
        <x:v>53.31498031677964</x:v>
      </x:c>
      <x:c r="W832" s="8" t="n">
        <x:f>P832-J832*K832/H832</x:f>
        <x:v>0</x:v>
      </x:c>
      <x:c r="X832" s="8" t="n">
        <x:f>V832/S832</x:f>
        <x:v>0.21659474465300949</x:v>
      </x:c>
      <x:c r="Y832" s="8" t="n">
        <x:f>0</x:f>
        <x:v>0</x:v>
      </x:c>
      <x:c r="Z832" s="8" t="n">
        <x:f>K832/H832-X832*I832/H832-Y832*J832/H832</x:f>
        <x:v>-0.546355735354439</x:v>
      </x:c>
      <x:c r="AA832" s="8" t="n">
        <x:f>Z832+X832*Q832+Y832*R832</x:f>
        <x:v>0.08584007850660424</x:v>
      </x:c>
    </x:row>
    <x:row r="833" ht="26" customHeight="1">
      <x:c r="A833" s="2"/>
      <x:c r="B833" s="2" t="n">
        <x:v>828</x:v>
      </x:c>
      <x:c r="C833" s="2" t="str">
        <x:v>Beauty / organic_volume_growth</x:v>
      </x:c>
      <x:c r="D833" s="2" t="str">
        <x:v>Broad lag 1</x:v>
      </x:c>
      <x:c r="E833" s="7" t="n">
        <x:v>46022</x:v>
      </x:c>
      <x:c r="F833" s="2" t="str">
        <x:v>Pre-earnings</x:v>
      </x:c>
      <x:c r="G833" s="7" t="n">
        <x:v>46044</x:v>
      </x:c>
      <x:c r="H833" s="2" t="n">
        <x:v>18</x:v>
      </x:c>
      <x:c r="I833" s="8" t="n">
        <x:v>54.16421583875868</x:v>
      </x:c>
      <x:c r="J833" s="8" t="n">
        <x:v>0</x:v>
      </x:c>
      <x:c r="K833" s="8" t="n">
        <x:v>0</x:v>
      </x:c>
      <x:c r="L833" s="8" t="n">
        <x:v>409.1374966682539</x:v>
      </x:c>
      <x:c r="M833" s="8" t="n">
        <x:v>0</x:v>
      </x:c>
      <x:c r="N833" s="8" t="n">
        <x:v>0</x:v>
      </x:c>
      <x:c r="O833" s="8" t="n">
        <x:v>25.60980244346779</x:v>
      </x:c>
      <x:c r="P833" s="8" t="n">
        <x:v>0</x:v>
      </x:c>
      <x:c r="Q833" s="8" t="n">
        <x:v>2.996723091540132</x:v>
      </x:c>
      <x:c r="R833" s="8" t="n">
        <x:v>0</x:v>
      </x:c>
      <x:c r="S833" s="8" t="n">
        <x:f>L833-I833^2/H833</x:f>
        <x:v>246.15070347782967</x:v>
      </x:c>
      <x:c r="T833" s="8" t="n">
        <x:f>M833-J833^2/H833</x:f>
        <x:v>0</x:v>
      </x:c>
      <x:c r="U833" s="8" t="n">
        <x:f>N833-I833*J833/H833</x:f>
        <x:v>0</x:v>
      </x:c>
      <x:c r="V833" s="8" t="n">
        <x:f>O833-I833*K833/H833</x:f>
        <x:v>25.60980244346779</x:v>
      </x:c>
      <x:c r="W833" s="8" t="n">
        <x:f>P833-J833*K833/H833</x:f>
        <x:v>0</x:v>
      </x:c>
      <x:c r="X833" s="8" t="n">
        <x:f>V833/S833</x:f>
        <x:v>0.10404115073258126</x:v>
      </x:c>
      <x:c r="Y833" s="8" t="n">
        <x:f>0</x:f>
        <x:v>0</x:v>
      </x:c>
      <x:c r="Z833" s="8" t="n">
        <x:f>K833/H833-X833*I833/H833-Y833*J833/H833</x:f>
        <x:v>-0.3130726302440199</x:v>
      </x:c>
      <x:c r="AA833" s="8" t="n">
        <x:f>Z833+X833*Q833+Y833*R833</x:f>
        <x:v>-0.001290111373286107</x:v>
      </x:c>
    </x:row>
    <x:row r="834" ht="26" customHeight="1">
      <x:c r="A834" s="2"/>
      <x:c r="B834" s="2" t="n">
        <x:v>829</x:v>
      </x:c>
      <x:c r="C834" s="2" t="str">
        <x:v>Beauty / organic_volume_growth</x:v>
      </x:c>
      <x:c r="D834" s="2" t="str">
        <x:v>Broad rolling 8</x:v>
      </x:c>
      <x:c r="E834" s="7" t="n">
        <x:v>46022</x:v>
      </x:c>
      <x:c r="F834" s="2" t="str">
        <x:v>Pre-earnings</x:v>
      </x:c>
      <x:c r="G834" s="7" t="n">
        <x:v>46044</x:v>
      </x:c>
      <x:c r="H834" s="2" t="n">
        <x:v>8</x:v>
      </x:c>
      <x:c r="I834" s="8" t="n">
        <x:v>21.296017808086944</x:v>
      </x:c>
      <x:c r="J834" s="8" t="n">
        <x:v>0</x:v>
      </x:c>
      <x:c r="K834" s="8" t="n">
        <x:v>7</x:v>
      </x:c>
      <x:c r="L834" s="8" t="n">
        <x:v>60.32618233891433</x:v>
      </x:c>
      <x:c r="M834" s="8" t="n">
        <x:v>0</x:v>
      </x:c>
      <x:c r="N834" s="8" t="n">
        <x:v>0</x:v>
      </x:c>
      <x:c r="O834" s="8" t="n">
        <x:v>20.39770925633626</x:v>
      </x:c>
      <x:c r="P834" s="8" t="n">
        <x:v>0</x:v>
      </x:c>
      <x:c r="Q834" s="8" t="n">
        <x:v>2.918795720892664</x:v>
      </x:c>
      <x:c r="R834" s="8" t="n">
        <x:v>0</x:v>
      </x:c>
      <x:c r="S834" s="8" t="n">
        <x:f>L834-I834^2/H834</x:f>
        <x:v>3.6361355286197963</x:v>
      </x:c>
      <x:c r="T834" s="8" t="n">
        <x:f>M834-J834^2/H834</x:f>
        <x:v>0</x:v>
      </x:c>
      <x:c r="U834" s="8" t="n">
        <x:f>N834-I834*J834/H834</x:f>
        <x:v>0</x:v>
      </x:c>
      <x:c r="V834" s="8" t="n">
        <x:f>O834-I834*K834/H834</x:f>
        <x:v>1.7636936742601854</x:v>
      </x:c>
      <x:c r="W834" s="8" t="n">
        <x:f>P834-J834*K834/H834</x:f>
        <x:v>0</x:v>
      </x:c>
      <x:c r="X834" s="8" t="n">
        <x:f>V834/S834</x:f>
        <x:v>0.4850461871891909</x:v>
      </x:c>
      <x:c r="Y834" s="8" t="n">
        <x:f>0</x:f>
        <x:v>0</x:v>
      </x:c>
      <x:c r="Z834" s="8" t="n">
        <x:f>K834/H834-X834*I834/H834-Y834*J834/H834</x:f>
        <x:v>-0.4161940300157103</x:v>
      </x:c>
      <x:c r="AA834" s="8" t="n">
        <x:f>Z834+X834*Q834+Y834*R834</x:f>
        <x:v>0.9995567055874022</x:v>
      </x:c>
    </x:row>
    <x:row r="835" ht="26" customHeight="1">
      <x:c r="A835" s="2"/>
      <x:c r="B835" s="2" t="n">
        <x:v>830</x:v>
      </x:c>
      <x:c r="C835" s="2" t="str">
        <x:v>Beauty / organic_volume_growth</x:v>
      </x:c>
      <x:c r="D835" s="2" t="str">
        <x:v>Own history</x:v>
      </x:c>
      <x:c r="E835" s="7" t="n">
        <x:v>46022</x:v>
      </x:c>
      <x:c r="F835" s="2" t="str">
        <x:v>Pre-earnings</x:v>
      </x:c>
      <x:c r="G835" s="7" t="n">
        <x:v>46044</x:v>
      </x:c>
      <x:c r="H835" s="2" t="n">
        <x:v>18</x:v>
      </x:c>
      <x:c r="I835" s="8" t="n">
        <x:v>-2</x:v>
      </x:c>
      <x:c r="J835" s="8" t="n">
        <x:v>0</x:v>
      </x:c>
      <x:c r="K835" s="8" t="n">
        <x:v>0</x:v>
      </x:c>
      <x:c r="L835" s="8" t="n">
        <x:v>34</x:v>
      </x:c>
      <x:c r="M835" s="8" t="n">
        <x:v>0</x:v>
      </x:c>
      <x:c r="N835" s="8" t="n">
        <x:v>0</x:v>
      </x:c>
      <x:c r="O835" s="8" t="n">
        <x:v>14</x:v>
      </x:c>
      <x:c r="P835" s="8" t="n">
        <x:v>0</x:v>
      </x:c>
      <x:c r="Q835" s="8" t="n">
        <x:v>4</x:v>
      </x:c>
      <x:c r="R835" s="8" t="n">
        <x:v>0</x:v>
      </x:c>
      <x:c r="S835" s="8" t="n">
        <x:f>L835-I835^2/H835</x:f>
        <x:v>33.77777777777778</x:v>
      </x:c>
      <x:c r="T835" s="8" t="n">
        <x:f>M835-J835^2/H835</x:f>
        <x:v>0</x:v>
      </x:c>
      <x:c r="U835" s="8" t="n">
        <x:f>N835-I835*J835/H835</x:f>
        <x:v>0</x:v>
      </x:c>
      <x:c r="V835" s="8" t="n">
        <x:f>O835-I835*K835/H835</x:f>
        <x:v>14</x:v>
      </x:c>
      <x:c r="W835" s="8" t="n">
        <x:f>P835-J835*K835/H835</x:f>
        <x:v>0</x:v>
      </x:c>
      <x:c r="X835" s="8" t="n">
        <x:f>V835/S835</x:f>
        <x:v>0.4144736842105263</x:v>
      </x:c>
      <x:c r="Y835" s="8" t="n">
        <x:f>0</x:f>
        <x:v>0</x:v>
      </x:c>
      <x:c r="Z835" s="8" t="n">
        <x:f>K835/H835-X835*I835/H835-Y835*J835/H835</x:f>
        <x:v>0.04605263157894737</x:v>
      </x:c>
      <x:c r="AA835" s="8" t="n">
        <x:f>Z835+X835*Q835+Y835*R835</x:f>
        <x:v>1.7039473684210527</x:v>
      </x:c>
    </x:row>
    <x:row r="836" ht="26" customHeight="1">
      <x:c r="A836" s="2"/>
      <x:c r="B836" s="2" t="n">
        <x:v>831</x:v>
      </x:c>
      <x:c r="C836" s="2" t="str">
        <x:v>Beauty / organic_volume_growth</x:v>
      </x:c>
      <x:c r="D836" s="2" t="str">
        <x:v>Broad market</x:v>
      </x:c>
      <x:c r="E836" s="7" t="n">
        <x:v>46112</x:v>
      </x:c>
      <x:c r="F836" s="2" t="str">
        <x:v>Origin</x:v>
      </x:c>
      <x:c r="G836" s="7" t="n">
        <x:v>46023</x:v>
      </x:c>
      <x:c r="H836" s="2" t="n">
        <x:v>19</x:v>
      </x:c>
      <x:c r="I836" s="8" t="n">
        <x:v>57.17838992209685</x:v>
      </x:c>
      <x:c r="J836" s="8" t="n">
        <x:v>0</x:v>
      </x:c>
      <x:c r="K836" s="8" t="n">
        <x:v>2</x:v>
      </x:c>
      <x:c r="L836" s="8" t="n">
        <x:v>418.22274207292145</x:v>
      </x:c>
      <x:c r="M836" s="8" t="n">
        <x:v>0</x:v>
      </x:c>
      <x:c r="N836" s="8" t="n">
        <x:v>0</x:v>
      </x:c>
      <x:c r="O836" s="8" t="n">
        <x:v>59.40172522400326</x:v>
      </x:c>
      <x:c r="P836" s="8" t="n">
        <x:v>0</x:v>
      </x:c>
      <x:c r="Q836" s="8" t="n">
        <x:v>3.0175188319920387</x:v>
      </x:c>
      <x:c r="R836" s="8" t="n">
        <x:v>0</x:v>
      </x:c>
      <x:c r="S836" s="8" t="n">
        <x:f>L836-I836^2/H836</x:f>
        <x:v>246.15072764748217</x:v>
      </x:c>
      <x:c r="T836" s="8" t="n">
        <x:f>M836-J836^2/H836</x:f>
        <x:v>0</x:v>
      </x:c>
      <x:c r="U836" s="8" t="n">
        <x:f>N836-I836*J836/H836</x:f>
        <x:v>0</x:v>
      </x:c>
      <x:c r="V836" s="8" t="n">
        <x:f>O836-I836*K836/H836</x:f>
        <x:v>53.382947337466746</x:v>
      </x:c>
      <x:c r="W836" s="8" t="n">
        <x:f>P836-J836*K836/H836</x:f>
        <x:v>0</x:v>
      </x:c>
      <x:c r="X836" s="8" t="n">
        <x:f>V836/S836</x:f>
        <x:v>0.21687097108206654</x:v>
      </x:c>
      <x:c r="Y836" s="8" t="n">
        <x:f>0</x:f>
        <x:v>0</x:v>
      </x:c>
      <x:c r="Z836" s="8" t="n">
        <x:f>K836/H836-X836*I836/H836-Y836*J836/H836</x:f>
        <x:v>-0.5473859445954837</x:v>
      </x:c>
      <x:c r="AA836" s="8" t="n">
        <x:f>Z836+X836*Q836+Y836*R836</x:f>
        <x:v>0.10702629475705294</x:v>
      </x:c>
    </x:row>
    <x:row r="837" ht="26" customHeight="1">
      <x:c r="A837" s="2"/>
      <x:c r="B837" s="2" t="n">
        <x:v>832</x:v>
      </x:c>
      <x:c r="C837" s="2" t="str">
        <x:v>Beauty / organic_volume_growth</x:v>
      </x:c>
      <x:c r="D837" s="2" t="str">
        <x:v>Broad rolling 8</x:v>
      </x:c>
      <x:c r="E837" s="7" t="n">
        <x:v>46112</x:v>
      </x:c>
      <x:c r="F837" s="2" t="str">
        <x:v>Origin</x:v>
      </x:c>
      <x:c r="G837" s="7" t="n">
        <x:v>46023</x:v>
      </x:c>
      <x:c r="H837" s="2" t="n">
        <x:v>8</x:v>
      </x:c>
      <x:c r="I837" s="8" t="n">
        <x:v>21.313468799884983</x:v>
      </x:c>
      <x:c r="J837" s="8" t="n">
        <x:v>0</x:v>
      </x:c>
      <x:c r="K837" s="8" t="n">
        <x:v>7</x:v>
      </x:c>
      <x:c r="L837" s="8" t="n">
        <x:v>60.431078456212</x:v>
      </x:c>
      <x:c r="M837" s="8" t="n">
        <x:v>0</x:v>
      </x:c>
      <x:c r="N837" s="8" t="n">
        <x:v>0</x:v>
      </x:c>
      <x:c r="O837" s="8" t="n">
        <x:v>20.46751322352842</x:v>
      </x:c>
      <x:c r="P837" s="8" t="n">
        <x:v>0</x:v>
      </x:c>
      <x:c r="Q837" s="8" t="n">
        <x:v>3.0175188319920387</x:v>
      </x:c>
      <x:c r="R837" s="8" t="n">
        <x:v>0</x:v>
      </x:c>
      <x:c r="S837" s="8" t="n">
        <x:f>L837-I837^2/H837</x:f>
        <x:v>3.6480844207531717</x:v>
      </x:c>
      <x:c r="T837" s="8" t="n">
        <x:f>M837-J837^2/H837</x:f>
        <x:v>0</x:v>
      </x:c>
      <x:c r="U837" s="8" t="n">
        <x:f>N837-I837*J837/H837</x:f>
        <x:v>0</x:v>
      </x:c>
      <x:c r="V837" s="8" t="n">
        <x:f>O837-I837*K837/H837</x:f>
        <x:v>1.8182280236290609</x:v>
      </x:c>
      <x:c r="W837" s="8" t="n">
        <x:f>P837-J837*K837/H837</x:f>
        <x:v>0</x:v>
      </x:c>
      <x:c r="X837" s="8" t="n">
        <x:f>V837/S837</x:f>
        <x:v>0.4984062356905862</x:v>
      </x:c>
      <x:c r="Y837" s="8" t="n">
        <x:f>0</x:f>
        <x:v>0</x:v>
      </x:c>
      <x:c r="Z837" s="8" t="n">
        <x:f>K837/H837-X837*I837/H837-Y837*J837/H837</x:f>
        <x:v>-0.45284571925742867</x:v>
      </x:c>
      <x:c r="AA837" s="8" t="n">
        <x:f>Z837+X837*Q837+Y837*R837</x:f>
        <x:v>1.0511044829211778</x:v>
      </x:c>
    </x:row>
    <x:row r="838" ht="26" customHeight="1">
      <x:c r="A838" s="2"/>
      <x:c r="B838" s="2" t="n">
        <x:v>833</x:v>
      </x:c>
      <x:c r="C838" s="2" t="str">
        <x:v>Beauty / organic_volume_growth</x:v>
      </x:c>
      <x:c r="D838" s="2" t="str">
        <x:v>Own history</x:v>
      </x:c>
      <x:c r="E838" s="7" t="n">
        <x:v>46112</x:v>
      </x:c>
      <x:c r="F838" s="2" t="str">
        <x:v>Origin</x:v>
      </x:c>
      <x:c r="G838" s="7" t="n">
        <x:v>46023</x:v>
      </x:c>
      <x:c r="H838" s="2" t="n">
        <x:v>17</x:v>
      </x:c>
      <x:c r="I838" s="8" t="n">
        <x:v>-3</x:v>
      </x:c>
      <x:c r="J838" s="8" t="n">
        <x:v>0</x:v>
      </x:c>
      <x:c r="K838" s="8" t="n">
        <x:v>-1</x:v>
      </x:c>
      <x:c r="L838" s="8" t="n">
        <x:v>33</x:v>
      </x:c>
      <x:c r="M838" s="8" t="n">
        <x:v>0</x:v>
      </x:c>
      <x:c r="N838" s="8" t="n">
        <x:v>0</x:v>
      </x:c>
      <x:c r="O838" s="8" t="n">
        <x:v>16</x:v>
      </x:c>
      <x:c r="P838" s="8" t="n">
        <x:v>0</x:v>
      </x:c>
      <x:c r="Q838" s="8" t="n">
        <x:v>4</x:v>
      </x:c>
      <x:c r="R838" s="8" t="n">
        <x:v>0</x:v>
      </x:c>
      <x:c r="S838" s="8" t="n">
        <x:f>L838-I838^2/H838</x:f>
        <x:v>32.470588235294116</x:v>
      </x:c>
      <x:c r="T838" s="8" t="n">
        <x:f>M838-J838^2/H838</x:f>
        <x:v>0</x:v>
      </x:c>
      <x:c r="U838" s="8" t="n">
        <x:f>N838-I838*J838/H838</x:f>
        <x:v>0</x:v>
      </x:c>
      <x:c r="V838" s="8" t="n">
        <x:f>O838-I838*K838/H838</x:f>
        <x:v>15.823529411764707</x:v>
      </x:c>
      <x:c r="W838" s="8" t="n">
        <x:f>P838-J838*K838/H838</x:f>
        <x:v>0</x:v>
      </x:c>
      <x:c r="X838" s="8" t="n">
        <x:f>V838/S838</x:f>
        <x:v>0.4873188405797102</x:v>
      </x:c>
      <x:c r="Y838" s="8" t="n">
        <x:f>0</x:f>
        <x:v>0</x:v>
      </x:c>
      <x:c r="Z838" s="8" t="n">
        <x:f>K838/H838-X838*I838/H838-Y838*J838/H838</x:f>
        <x:v>0.02717391304347827</x:v>
      </x:c>
      <x:c r="AA838" s="8" t="n">
        <x:f>Z838+X838*Q838+Y838*R838</x:f>
        <x:v>1.976449275362319</x:v>
      </x:c>
    </x:row>
    <x:row r="839" ht="26" customHeight="1">
      <x:c r="A839" s="2"/>
      <x:c r="B839" s="2" t="n">
        <x:v>834</x:v>
      </x:c>
      <x:c r="C839" s="2" t="str">
        <x:v>Beauty / organic_volume_growth</x:v>
      </x:c>
      <x:c r="D839" s="2" t="str">
        <x:v>Broad market</x:v>
      </x:c>
      <x:c r="E839" s="7" t="n">
        <x:v>46112</x:v>
      </x:c>
      <x:c r="F839" s="2" t="str">
        <x:v>Prior report</x:v>
      </x:c>
      <x:c r="G839" s="7" t="n">
        <x:v>46045</x:v>
      </x:c>
      <x:c r="H839" s="2" t="n">
        <x:v>19</x:v>
      </x:c>
      <x:c r="I839" s="8" t="n">
        <x:v>57.16093893029881</x:v>
      </x:c>
      <x:c r="J839" s="8" t="n">
        <x:v>0</x:v>
      </x:c>
      <x:c r="K839" s="8" t="n">
        <x:v>2</x:v>
      </x:c>
      <x:c r="L839" s="8" t="n">
        <x:v>418.11784595562375</x:v>
      </x:c>
      <x:c r="M839" s="8" t="n">
        <x:v>0</x:v>
      </x:c>
      <x:c r="N839" s="8" t="n">
        <x:v>0</x:v>
      </x:c>
      <x:c r="O839" s="8" t="n">
        <x:v>59.33192125681109</x:v>
      </x:c>
      <x:c r="P839" s="8" t="n">
        <x:v>0</x:v>
      </x:c>
      <x:c r="Q839" s="8" t="n">
        <x:v>2.7279121275772367</x:v>
      </x:c>
      <x:c r="R839" s="8" t="n">
        <x:v>0</x:v>
      </x:c>
      <x:c r="S839" s="8" t="n">
        <x:f>L839-I839^2/H839</x:f>
        <x:v>246.1508491454474</x:v>
      </x:c>
      <x:c r="T839" s="8" t="n">
        <x:f>M839-J839^2/H839</x:f>
        <x:v>0</x:v>
      </x:c>
      <x:c r="U839" s="8" t="n">
        <x:f>N839-I839*J839/H839</x:f>
        <x:v>0</x:v>
      </x:c>
      <x:c r="V839" s="8" t="n">
        <x:f>O839-I839*K839/H839</x:f>
        <x:v>53.31498031677964</x:v>
      </x:c>
      <x:c r="W839" s="8" t="n">
        <x:f>P839-J839*K839/H839</x:f>
        <x:v>0</x:v>
      </x:c>
      <x:c r="X839" s="8" t="n">
        <x:f>V839/S839</x:f>
        <x:v>0.21659474465300949</x:v>
      </x:c>
      <x:c r="Y839" s="8" t="n">
        <x:f>0</x:f>
        <x:v>0</x:v>
      </x:c>
      <x:c r="Z839" s="8" t="n">
        <x:f>K839/H839-X839*I839/H839-Y839*J839/H839</x:f>
        <x:v>-0.546355735354439</x:v>
      </x:c>
      <x:c r="AA839" s="8" t="n">
        <x:f>Z839+X839*Q839+Y839*R839</x:f>
        <x:v>0.04449569535400033</x:v>
      </x:c>
    </x:row>
    <x:row r="840" ht="26" customHeight="1">
      <x:c r="A840" s="2"/>
      <x:c r="B840" s="2" t="n">
        <x:v>835</x:v>
      </x:c>
      <x:c r="C840" s="2" t="str">
        <x:v>Beauty / organic_volume_growth</x:v>
      </x:c>
      <x:c r="D840" s="2" t="str">
        <x:v>Broad rolling 8</x:v>
      </x:c>
      <x:c r="E840" s="7" t="n">
        <x:v>46112</x:v>
      </x:c>
      <x:c r="F840" s="2" t="str">
        <x:v>Prior report</x:v>
      </x:c>
      <x:c r="G840" s="7" t="n">
        <x:v>46045</x:v>
      </x:c>
      <x:c r="H840" s="2" t="n">
        <x:v>8</x:v>
      </x:c>
      <x:c r="I840" s="8" t="n">
        <x:v>21.296017808086944</x:v>
      </x:c>
      <x:c r="J840" s="8" t="n">
        <x:v>0</x:v>
      </x:c>
      <x:c r="K840" s="8" t="n">
        <x:v>7</x:v>
      </x:c>
      <x:c r="L840" s="8" t="n">
        <x:v>60.32618233891433</x:v>
      </x:c>
      <x:c r="M840" s="8" t="n">
        <x:v>0</x:v>
      </x:c>
      <x:c r="N840" s="8" t="n">
        <x:v>0</x:v>
      </x:c>
      <x:c r="O840" s="8" t="n">
        <x:v>20.39770925633626</x:v>
      </x:c>
      <x:c r="P840" s="8" t="n">
        <x:v>0</x:v>
      </x:c>
      <x:c r="Q840" s="8" t="n">
        <x:v>2.7279121275772367</x:v>
      </x:c>
      <x:c r="R840" s="8" t="n">
        <x:v>0</x:v>
      </x:c>
      <x:c r="S840" s="8" t="n">
        <x:f>L840-I840^2/H840</x:f>
        <x:v>3.6361355286197963</x:v>
      </x:c>
      <x:c r="T840" s="8" t="n">
        <x:f>M840-J840^2/H840</x:f>
        <x:v>0</x:v>
      </x:c>
      <x:c r="U840" s="8" t="n">
        <x:f>N840-I840*J840/H840</x:f>
        <x:v>0</x:v>
      </x:c>
      <x:c r="V840" s="8" t="n">
        <x:f>O840-I840*K840/H840</x:f>
        <x:v>1.7636936742601854</x:v>
      </x:c>
      <x:c r="W840" s="8" t="n">
        <x:f>P840-J840*K840/H840</x:f>
        <x:v>0</x:v>
      </x:c>
      <x:c r="X840" s="8" t="n">
        <x:f>V840/S840</x:f>
        <x:v>0.4850461871891909</x:v>
      </x:c>
      <x:c r="Y840" s="8" t="n">
        <x:f>0</x:f>
        <x:v>0</x:v>
      </x:c>
      <x:c r="Z840" s="8" t="n">
        <x:f>K840/H840-X840*I840/H840-Y840*J840/H840</x:f>
        <x:v>-0.4161940300157103</x:v>
      </x:c>
      <x:c r="AA840" s="8" t="n">
        <x:f>Z840+X840*Q840+Y840*R840</x:f>
        <x:v>0.9069693464527819</x:v>
      </x:c>
    </x:row>
    <x:row r="841" ht="26" customHeight="1">
      <x:c r="A841" s="2"/>
      <x:c r="B841" s="2" t="n">
        <x:v>836</x:v>
      </x:c>
      <x:c r="C841" s="2" t="str">
        <x:v>Beauty / organic_volume_growth</x:v>
      </x:c>
      <x:c r="D841" s="2" t="str">
        <x:v>Own history</x:v>
      </x:c>
      <x:c r="E841" s="7" t="n">
        <x:v>46112</x:v>
      </x:c>
      <x:c r="F841" s="2" t="str">
        <x:v>Prior report</x:v>
      </x:c>
      <x:c r="G841" s="7" t="n">
        <x:v>46045</x:v>
      </x:c>
      <x:c r="H841" s="2" t="n">
        <x:v>19</x:v>
      </x:c>
      <x:c r="I841" s="8" t="n">
        <x:v>2</x:v>
      </x:c>
      <x:c r="J841" s="8" t="n">
        <x:v>0</x:v>
      </x:c>
      <x:c r="K841" s="8" t="n">
        <x:v>3</x:v>
      </x:c>
      <x:c r="L841" s="8" t="n">
        <x:v>50</x:v>
      </x:c>
      <x:c r="M841" s="8" t="n">
        <x:v>0</x:v>
      </x:c>
      <x:c r="N841" s="8" t="n">
        <x:v>0</x:v>
      </x:c>
      <x:c r="O841" s="8" t="n">
        <x:v>26</x:v>
      </x:c>
      <x:c r="P841" s="8" t="n">
        <x:v>0</x:v>
      </x:c>
      <x:c r="Q841" s="8" t="n">
        <x:v>3</x:v>
      </x:c>
      <x:c r="R841" s="8" t="n">
        <x:v>0</x:v>
      </x:c>
      <x:c r="S841" s="8" t="n">
        <x:f>L841-I841^2/H841</x:f>
        <x:v>49.78947368421053</x:v>
      </x:c>
      <x:c r="T841" s="8" t="n">
        <x:f>M841-J841^2/H841</x:f>
        <x:v>0</x:v>
      </x:c>
      <x:c r="U841" s="8" t="n">
        <x:f>N841-I841*J841/H841</x:f>
        <x:v>0</x:v>
      </x:c>
      <x:c r="V841" s="8" t="n">
        <x:f>O841-I841*K841/H841</x:f>
        <x:v>25.68421052631579</x:v>
      </x:c>
      <x:c r="W841" s="8" t="n">
        <x:f>P841-J841*K841/H841</x:f>
        <x:v>0</x:v>
      </x:c>
      <x:c r="X841" s="8" t="n">
        <x:f>V841/S841</x:f>
        <x:v>0.5158562367864694</x:v>
      </x:c>
      <x:c r="Y841" s="8" t="n">
        <x:f>0</x:f>
        <x:v>0</x:v>
      </x:c>
      <x:c r="Z841" s="8" t="n">
        <x:f>K841/H841-X841*I841/H841-Y841*J841/H841</x:f>
        <x:v>0.10359408033826636</x:v>
      </x:c>
      <x:c r="AA841" s="8" t="n">
        <x:f>Z841+X841*Q841+Y841*R841</x:f>
        <x:v>1.6511627906976747</x:v>
      </x:c>
    </x:row>
    <x:row r="842" ht="26" customHeight="1">
      <x:c r="A842" s="2"/>
      <x:c r="B842" s="2" t="n">
        <x:v>837</x:v>
      </x:c>
      <x:c r="C842" s="2" t="str">
        <x:v>Beauty / organic_volume_growth</x:v>
      </x:c>
      <x:c r="D842" s="2" t="str">
        <x:v>Broad market</x:v>
      </x:c>
      <x:c r="E842" s="7" t="n">
        <x:v>46112</x:v>
      </x:c>
      <x:c r="F842" s="2" t="str">
        <x:v>Pre-earnings</x:v>
      </x:c>
      <x:c r="G842" s="7" t="n">
        <x:v>46135</x:v>
      </x:c>
      <x:c r="H842" s="2" t="n">
        <x:v>20</x:v>
      </x:c>
      <x:c r="I842" s="8" t="n">
        <x:v>59.308749815358276</x:v>
      </x:c>
      <x:c r="J842" s="8" t="n">
        <x:v>0</x:v>
      </x:c>
      <x:c r="K842" s="8" t="n">
        <x:v>5</x:v>
      </x:c>
      <x:c r="L842" s="8" t="n">
        <x:v>422.73093755360367</x:v>
      </x:c>
      <x:c r="M842" s="8" t="n">
        <x:v>0</x:v>
      </x:c>
      <x:c r="N842" s="8" t="n">
        <x:v>0</x:v>
      </x:c>
      <x:c r="O842" s="8" t="n">
        <x:v>65.77535391198948</x:v>
      </x:c>
      <x:c r="P842" s="8" t="n">
        <x:v>0</x:v>
      </x:c>
      <x:c r="Q842" s="8" t="n">
        <x:v>1.2714440995043708</x:v>
      </x:c>
      <x:c r="R842" s="8" t="n">
        <x:v>0</x:v>
      </x:c>
      <x:c r="S842" s="8" t="n">
        <x:f>L842-I842^2/H842</x:f>
        <x:v>246.85454732056564</x:v>
      </x:c>
      <x:c r="T842" s="8" t="n">
        <x:f>M842-J842^2/H842</x:f>
        <x:v>0</x:v>
      </x:c>
      <x:c r="U842" s="8" t="n">
        <x:f>N842-I842*J842/H842</x:f>
        <x:v>0</x:v>
      </x:c>
      <x:c r="V842" s="8" t="n">
        <x:f>O842-I842*K842/H842</x:f>
        <x:v>50.94816645814991</x:v>
      </x:c>
      <x:c r="W842" s="8" t="n">
        <x:f>P842-J842*K842/H842</x:f>
        <x:v>0</x:v>
      </x:c>
      <x:c r="X842" s="8" t="n">
        <x:f>V842/S842</x:f>
        <x:v>0.20638941842942254</x:v>
      </x:c>
      <x:c r="Y842" s="8" t="n">
        <x:f>0</x:f>
        <x:v>0</x:v>
      </x:c>
      <x:c r="Z842" s="8" t="n">
        <x:f>K842/H842-X842*I842/H842-Y842*J842/H842</x:f>
        <x:v>-0.3620349191083958</x:v>
      </x:c>
      <x:c r="AA842" s="8" t="n">
        <x:f>Z842+X842*Q842+Y842*R842</x:f>
        <x:v>-0.09962231084616785</x:v>
      </x:c>
    </x:row>
    <x:row r="843" ht="26" customHeight="1">
      <x:c r="A843" s="2"/>
      <x:c r="B843" s="2" t="n">
        <x:v>838</x:v>
      </x:c>
      <x:c r="C843" s="2" t="str">
        <x:v>Beauty / organic_volume_growth</x:v>
      </x:c>
      <x:c r="D843" s="2" t="str">
        <x:v>Broad lag 1</x:v>
      </x:c>
      <x:c r="E843" s="7" t="n">
        <x:v>46112</x:v>
      </x:c>
      <x:c r="F843" s="2" t="str">
        <x:v>Pre-earnings</x:v>
      </x:c>
      <x:c r="G843" s="7" t="n">
        <x:v>46135</x:v>
      </x:c>
      <x:c r="H843" s="2" t="n">
        <x:v>19</x:v>
      </x:c>
      <x:c r="I843" s="8" t="n">
        <x:v>57.16093893029881</x:v>
      </x:c>
      <x:c r="J843" s="8" t="n">
        <x:v>0</x:v>
      </x:c>
      <x:c r="K843" s="8" t="n">
        <x:v>3</x:v>
      </x:c>
      <x:c r="L843" s="8" t="n">
        <x:v>418.11784595562375</x:v>
      </x:c>
      <x:c r="M843" s="8" t="n">
        <x:v>0</x:v>
      </x:c>
      <x:c r="N843" s="8" t="n">
        <x:v>0</x:v>
      </x:c>
      <x:c r="O843" s="8" t="n">
        <x:v>34.599971718088185</x:v>
      </x:c>
      <x:c r="P843" s="8" t="n">
        <x:v>0</x:v>
      </x:c>
      <x:c r="Q843" s="8" t="n">
        <x:v>2.1478108850594646</x:v>
      </x:c>
      <x:c r="R843" s="8" t="n">
        <x:v>0</x:v>
      </x:c>
      <x:c r="S843" s="8" t="n">
        <x:f>L843-I843^2/H843</x:f>
        <x:v>246.1508491454474</x:v>
      </x:c>
      <x:c r="T843" s="8" t="n">
        <x:f>M843-J843^2/H843</x:f>
        <x:v>0</x:v>
      </x:c>
      <x:c r="U843" s="8" t="n">
        <x:f>N843-I843*J843/H843</x:f>
        <x:v>0</x:v>
      </x:c>
      <x:c r="V843" s="8" t="n">
        <x:f>O843-I843*K843/H843</x:f>
        <x:v>25.574560308041004</x:v>
      </x:c>
      <x:c r="W843" s="8" t="n">
        <x:f>P843-J843*K843/H843</x:f>
        <x:v>0</x:v>
      </x:c>
      <x:c r="X843" s="8" t="n">
        <x:f>V843/S843</x:f>
        <x:v>0.10389791624455995</x:v>
      </x:c>
      <x:c r="Y843" s="8" t="n">
        <x:f>0</x:f>
        <x:v>0</x:v>
      </x:c>
      <x:c r="Z843" s="8" t="n">
        <x:f>K843/H843-X843*I843/H843-Y843*J843/H843</x:f>
        <x:v>-0.15467907607582065</x:v>
      </x:c>
      <x:c r="AA843" s="8" t="n">
        <x:f>Z843+X843*Q843+Y843*R843</x:f>
        <x:v>0.06847399936924178</x:v>
      </x:c>
    </x:row>
    <x:row r="844" ht="26" customHeight="1">
      <x:c r="A844" s="2"/>
      <x:c r="B844" s="2" t="n">
        <x:v>839</x:v>
      </x:c>
      <x:c r="C844" s="2" t="str">
        <x:v>Beauty / organic_volume_growth</x:v>
      </x:c>
      <x:c r="D844" s="2" t="str">
        <x:v>Broad rolling 8</x:v>
      </x:c>
      <x:c r="E844" s="7" t="n">
        <x:v>46112</x:v>
      </x:c>
      <x:c r="F844" s="2" t="str">
        <x:v>Pre-earnings</x:v>
      </x:c>
      <x:c r="G844" s="7" t="n">
        <x:v>46135</x:v>
      </x:c>
      <x:c r="H844" s="2" t="n">
        <x:v>8</x:v>
      </x:c>
      <x:c r="I844" s="8" t="n">
        <x:v>21.218309405312574</x:v>
      </x:c>
      <x:c r="J844" s="8" t="n">
        <x:v>0</x:v>
      </x:c>
      <x:c r="K844" s="8" t="n">
        <x:v>11</x:v>
      </x:c>
      <x:c r="L844" s="8" t="n">
        <x:v>59.98633783637384</x:v>
      </x:c>
      <x:c r="M844" s="8" t="n">
        <x:v>0</x:v>
      </x:c>
      <x:c r="N844" s="8" t="n">
        <x:v>0</x:v>
      </x:c>
      <x:c r="O844" s="8" t="n">
        <x:v>29.066661199348488</x:v>
      </x:c>
      <x:c r="P844" s="8" t="n">
        <x:v>0</x:v>
      </x:c>
      <x:c r="Q844" s="8" t="n">
        <x:v>1.2714440995043708</x:v>
      </x:c>
      <x:c r="R844" s="8" t="n">
        <x:v>0</x:v>
      </x:c>
      <x:c r="S844" s="8" t="n">
        <x:f>L844-I844^2/H844</x:f>
        <x:v>3.7092560839268387</x:v>
      </x:c>
      <x:c r="T844" s="8" t="n">
        <x:f>M844-J844^2/H844</x:f>
        <x:v>0</x:v>
      </x:c>
      <x:c r="U844" s="8" t="n">
        <x:f>N844-I844*J844/H844</x:f>
        <x:v>0</x:v>
      </x:c>
      <x:c r="V844" s="8" t="n">
        <x:f>O844-I844*K844/H844</x:f>
        <x:v>-0.10851423295630269</x:v>
      </x:c>
      <x:c r="W844" s="8" t="n">
        <x:f>P844-J844*K844/H844</x:f>
        <x:v>0</x:v>
      </x:c>
      <x:c r="X844" s="8" t="n">
        <x:f>V844/S844</x:f>
        <x:v>-0.02925498550141167</x:v>
      </x:c>
      <x:c r="Y844" s="8" t="n">
        <x:f>0</x:f>
        <x:v>0</x:v>
      </x:c>
      <x:c r="Z844" s="8" t="n">
        <x:f>K844/H844-X844*I844/H844-Y844*J844/H844</x:f>
        <x:v>1.4525926667521107</x:v>
      </x:c>
      <x:c r="AA844" s="8" t="n">
        <x:f>Z844+X844*Q844+Y844*R844</x:f>
        <x:v>1.415396588055255</x:v>
      </x:c>
    </x:row>
    <x:row r="845" ht="26" customHeight="1">
      <x:c r="A845" s="2"/>
      <x:c r="B845" s="2" t="n">
        <x:v>840</x:v>
      </x:c>
      <x:c r="C845" s="2" t="str">
        <x:v>Beauty / organic_volume_growth</x:v>
      </x:c>
      <x:c r="D845" s="2" t="str">
        <x:v>Own history</x:v>
      </x:c>
      <x:c r="E845" s="7" t="n">
        <x:v>46112</x:v>
      </x:c>
      <x:c r="F845" s="2" t="str">
        <x:v>Pre-earnings</x:v>
      </x:c>
      <x:c r="G845" s="7" t="n">
        <x:v>46135</x:v>
      </x:c>
      <x:c r="H845" s="2" t="n">
        <x:v>19</x:v>
      </x:c>
      <x:c r="I845" s="8" t="n">
        <x:v>2</x:v>
      </x:c>
      <x:c r="J845" s="8" t="n">
        <x:v>0</x:v>
      </x:c>
      <x:c r="K845" s="8" t="n">
        <x:v>3</x:v>
      </x:c>
      <x:c r="L845" s="8" t="n">
        <x:v>50</x:v>
      </x:c>
      <x:c r="M845" s="8" t="n">
        <x:v>0</x:v>
      </x:c>
      <x:c r="N845" s="8" t="n">
        <x:v>0</x:v>
      </x:c>
      <x:c r="O845" s="8" t="n">
        <x:v>26</x:v>
      </x:c>
      <x:c r="P845" s="8" t="n">
        <x:v>0</x:v>
      </x:c>
      <x:c r="Q845" s="8" t="n">
        <x:v>3</x:v>
      </x:c>
      <x:c r="R845" s="8" t="n">
        <x:v>0</x:v>
      </x:c>
      <x:c r="S845" s="8" t="n">
        <x:f>L845-I845^2/H845</x:f>
        <x:v>49.78947368421053</x:v>
      </x:c>
      <x:c r="T845" s="8" t="n">
        <x:f>M845-J845^2/H845</x:f>
        <x:v>0</x:v>
      </x:c>
      <x:c r="U845" s="8" t="n">
        <x:f>N845-I845*J845/H845</x:f>
        <x:v>0</x:v>
      </x:c>
      <x:c r="V845" s="8" t="n">
        <x:f>O845-I845*K845/H845</x:f>
        <x:v>25.68421052631579</x:v>
      </x:c>
      <x:c r="W845" s="8" t="n">
        <x:f>P845-J845*K845/H845</x:f>
        <x:v>0</x:v>
      </x:c>
      <x:c r="X845" s="8" t="n">
        <x:f>V845/S845</x:f>
        <x:v>0.5158562367864694</x:v>
      </x:c>
      <x:c r="Y845" s="8" t="n">
        <x:f>0</x:f>
        <x:v>0</x:v>
      </x:c>
      <x:c r="Z845" s="8" t="n">
        <x:f>K845/H845-X845*I845/H845-Y845*J845/H845</x:f>
        <x:v>0.10359408033826636</x:v>
      </x:c>
      <x:c r="AA845" s="8" t="n">
        <x:f>Z845+X845*Q845+Y845*R845</x:f>
        <x:v>1.6511627906976747</x:v>
      </x:c>
    </x:row>
    <x:row r="846" ht="26" customHeight="1">
      <x:c r="A846" s="2"/>
      <x:c r="B846" s="2" t="n">
        <x:v>841</x:v>
      </x:c>
      <x:c r="C846" s="2" t="str">
        <x:v>Grooming / organic_volume_growth</x:v>
      </x:c>
      <x:c r="D846" s="2" t="str">
        <x:v>Broad market</x:v>
      </x:c>
      <x:c r="E846" s="7" t="n">
        <x:v>45107</x:v>
      </x:c>
      <x:c r="F846" s="2" t="str">
        <x:v>Origin</x:v>
      </x:c>
      <x:c r="G846" s="7" t="n">
        <x:v>45017</x:v>
      </x:c>
      <x:c r="H846" s="2" t="n">
        <x:v>8</x:v>
      </x:c>
      <x:c r="I846" s="8" t="n">
        <x:v>33.595293052267536</x:v>
      </x:c>
      <x:c r="J846" s="8" t="n">
        <x:v>0</x:v>
      </x:c>
      <x:c r="K846" s="8" t="n">
        <x:v>-2</x:v>
      </x:c>
      <x:c r="L846" s="8" t="n">
        <x:v>371.0200922353941</x:v>
      </x:c>
      <x:c r="M846" s="8" t="n">
        <x:v>0</x:v>
      </x:c>
      <x:c r="N846" s="8" t="n">
        <x:v>0</x:v>
      </x:c>
      <x:c r="O846" s="8" t="n">
        <x:v>88.54501481797307</x:v>
      </x:c>
      <x:c r="P846" s="8" t="n">
        <x:v>0</x:v>
      </x:c>
      <x:c r="Q846" s="8" t="n">
        <x:v>-0.2875938616046847</x:v>
      </x:c>
      <x:c r="R846" s="8" t="n">
        <x:v>0</x:v>
      </x:c>
      <x:c r="S846" s="8" t="n">
        <x:f>L846-I846^2/H846</x:f>
        <x:v>229.93962782692716</x:v>
      </x:c>
      <x:c r="T846" s="8" t="n">
        <x:f>M846-J846^2/H846</x:f>
        <x:v>0</x:v>
      </x:c>
      <x:c r="U846" s="8" t="n">
        <x:f>N846-I846*J846/H846</x:f>
        <x:v>0</x:v>
      </x:c>
      <x:c r="V846" s="8" t="n">
        <x:f>O846-I846*K846/H846</x:f>
        <x:v>96.94383808103996</x:v>
      </x:c>
      <x:c r="W846" s="8" t="n">
        <x:f>P846-J846*K846/H846</x:f>
        <x:v>0</x:v>
      </x:c>
      <x:c r="X846" s="8" t="n">
        <x:f>V846/S846</x:f>
        <x:v>0.4216056144702836</x:v>
      </x:c>
      <x:c r="Y846" s="8" t="n">
        <x:f>0</x:f>
        <x:v>0</x:v>
      </x:c>
      <x:c r="Z846" s="8" t="n">
        <x:f>K846/H846-X846*I846/H846-Y846*J846/H846</x:f>
        <x:v>-2.020495521326313</x:v>
      </x:c>
      <x:c r="AA846" s="8" t="n">
        <x:f>Z846+X846*Q846+Y846*R846</x:f>
        <x:v>-2.141746708066038</x:v>
      </x:c>
    </x:row>
    <x:row r="847" ht="26" customHeight="1">
      <x:c r="A847" s="2"/>
      <x:c r="B847" s="2" t="n">
        <x:v>842</x:v>
      </x:c>
      <x:c r="C847" s="2" t="str">
        <x:v>Grooming / organic_volume_growth</x:v>
      </x:c>
      <x:c r="D847" s="2" t="str">
        <x:v>Broad rolling 8</x:v>
      </x:c>
      <x:c r="E847" s="7" t="n">
        <x:v>45107</x:v>
      </x:c>
      <x:c r="F847" s="2" t="str">
        <x:v>Origin</x:v>
      </x:c>
      <x:c r="G847" s="7" t="n">
        <x:v>45017</x:v>
      </x:c>
      <x:c r="H847" s="2" t="n">
        <x:v>8</x:v>
      </x:c>
      <x:c r="I847" s="8" t="n">
        <x:v>33.595293052267536</x:v>
      </x:c>
      <x:c r="J847" s="8" t="n">
        <x:v>0</x:v>
      </x:c>
      <x:c r="K847" s="8" t="n">
        <x:v>-2</x:v>
      </x:c>
      <x:c r="L847" s="8" t="n">
        <x:v>371.0200922353941</x:v>
      </x:c>
      <x:c r="M847" s="8" t="n">
        <x:v>0</x:v>
      </x:c>
      <x:c r="N847" s="8" t="n">
        <x:v>0</x:v>
      </x:c>
      <x:c r="O847" s="8" t="n">
        <x:v>88.54501481797307</x:v>
      </x:c>
      <x:c r="P847" s="8" t="n">
        <x:v>0</x:v>
      </x:c>
      <x:c r="Q847" s="8" t="n">
        <x:v>-0.2875938616046847</x:v>
      </x:c>
      <x:c r="R847" s="8" t="n">
        <x:v>0</x:v>
      </x:c>
      <x:c r="S847" s="8" t="n">
        <x:f>L847-I847^2/H847</x:f>
        <x:v>229.93962782692716</x:v>
      </x:c>
      <x:c r="T847" s="8" t="n">
        <x:f>M847-J847^2/H847</x:f>
        <x:v>0</x:v>
      </x:c>
      <x:c r="U847" s="8" t="n">
        <x:f>N847-I847*J847/H847</x:f>
        <x:v>0</x:v>
      </x:c>
      <x:c r="V847" s="8" t="n">
        <x:f>O847-I847*K847/H847</x:f>
        <x:v>96.94383808103996</x:v>
      </x:c>
      <x:c r="W847" s="8" t="n">
        <x:f>P847-J847*K847/H847</x:f>
        <x:v>0</x:v>
      </x:c>
      <x:c r="X847" s="8" t="n">
        <x:f>V847/S847</x:f>
        <x:v>0.4216056144702836</x:v>
      </x:c>
      <x:c r="Y847" s="8" t="n">
        <x:f>0</x:f>
        <x:v>0</x:v>
      </x:c>
      <x:c r="Z847" s="8" t="n">
        <x:f>K847/H847-X847*I847/H847-Y847*J847/H847</x:f>
        <x:v>-2.020495521326313</x:v>
      </x:c>
      <x:c r="AA847" s="8" t="n">
        <x:f>Z847+X847*Q847+Y847*R847</x:f>
        <x:v>-2.141746708066038</x:v>
      </x:c>
    </x:row>
    <x:row r="848" ht="26" customHeight="1">
      <x:c r="A848" s="2"/>
      <x:c r="B848" s="2" t="n">
        <x:v>843</x:v>
      </x:c>
      <x:c r="C848" s="2" t="str">
        <x:v>Grooming / organic_volume_growth</x:v>
      </x:c>
      <x:c r="D848" s="2" t="str">
        <x:v>Broad market</x:v>
      </x:c>
      <x:c r="E848" s="7" t="n">
        <x:v>45107</x:v>
      </x:c>
      <x:c r="F848" s="2" t="str">
        <x:v>Prior report</x:v>
      </x:c>
      <x:c r="G848" s="7" t="n">
        <x:v>45037</x:v>
      </x:c>
      <x:c r="H848" s="2" t="n">
        <x:v>8</x:v>
      </x:c>
      <x:c r="I848" s="8" t="n">
        <x:v>33.595293052267536</x:v>
      </x:c>
      <x:c r="J848" s="8" t="n">
        <x:v>0</x:v>
      </x:c>
      <x:c r="K848" s="8" t="n">
        <x:v>-2</x:v>
      </x:c>
      <x:c r="L848" s="8" t="n">
        <x:v>371.0200922353941</x:v>
      </x:c>
      <x:c r="M848" s="8" t="n">
        <x:v>0</x:v>
      </x:c>
      <x:c r="N848" s="8" t="n">
        <x:v>0</x:v>
      </x:c>
      <x:c r="O848" s="8" t="n">
        <x:v>88.54501481797307</x:v>
      </x:c>
      <x:c r="P848" s="8" t="n">
        <x:v>0</x:v>
      </x:c>
      <x:c r="Q848" s="8" t="n">
        <x:v>-0.2875938616046847</x:v>
      </x:c>
      <x:c r="R848" s="8" t="n">
        <x:v>0</x:v>
      </x:c>
      <x:c r="S848" s="8" t="n">
        <x:f>L848-I848^2/H848</x:f>
        <x:v>229.93962782692716</x:v>
      </x:c>
      <x:c r="T848" s="8" t="n">
        <x:f>M848-J848^2/H848</x:f>
        <x:v>0</x:v>
      </x:c>
      <x:c r="U848" s="8" t="n">
        <x:f>N848-I848*J848/H848</x:f>
        <x:v>0</x:v>
      </x:c>
      <x:c r="V848" s="8" t="n">
        <x:f>O848-I848*K848/H848</x:f>
        <x:v>96.94383808103996</x:v>
      </x:c>
      <x:c r="W848" s="8" t="n">
        <x:f>P848-J848*K848/H848</x:f>
        <x:v>0</x:v>
      </x:c>
      <x:c r="X848" s="8" t="n">
        <x:f>V848/S848</x:f>
        <x:v>0.4216056144702836</x:v>
      </x:c>
      <x:c r="Y848" s="8" t="n">
        <x:f>0</x:f>
        <x:v>0</x:v>
      </x:c>
      <x:c r="Z848" s="8" t="n">
        <x:f>K848/H848-X848*I848/H848-Y848*J848/H848</x:f>
        <x:v>-2.020495521326313</x:v>
      </x:c>
      <x:c r="AA848" s="8" t="n">
        <x:f>Z848+X848*Q848+Y848*R848</x:f>
        <x:v>-2.141746708066038</x:v>
      </x:c>
    </x:row>
    <x:row r="849" ht="26" customHeight="1">
      <x:c r="A849" s="2"/>
      <x:c r="B849" s="2" t="n">
        <x:v>844</x:v>
      </x:c>
      <x:c r="C849" s="2" t="str">
        <x:v>Grooming / organic_volume_growth</x:v>
      </x:c>
      <x:c r="D849" s="2" t="str">
        <x:v>Broad rolling 8</x:v>
      </x:c>
      <x:c r="E849" s="7" t="n">
        <x:v>45107</x:v>
      </x:c>
      <x:c r="F849" s="2" t="str">
        <x:v>Prior report</x:v>
      </x:c>
      <x:c r="G849" s="7" t="n">
        <x:v>45037</x:v>
      </x:c>
      <x:c r="H849" s="2" t="n">
        <x:v>8</x:v>
      </x:c>
      <x:c r="I849" s="8" t="n">
        <x:v>33.595293052267536</x:v>
      </x:c>
      <x:c r="J849" s="8" t="n">
        <x:v>0</x:v>
      </x:c>
      <x:c r="K849" s="8" t="n">
        <x:v>-2</x:v>
      </x:c>
      <x:c r="L849" s="8" t="n">
        <x:v>371.0200922353941</x:v>
      </x:c>
      <x:c r="M849" s="8" t="n">
        <x:v>0</x:v>
      </x:c>
      <x:c r="N849" s="8" t="n">
        <x:v>0</x:v>
      </x:c>
      <x:c r="O849" s="8" t="n">
        <x:v>88.54501481797307</x:v>
      </x:c>
      <x:c r="P849" s="8" t="n">
        <x:v>0</x:v>
      </x:c>
      <x:c r="Q849" s="8" t="n">
        <x:v>-0.2875938616046847</x:v>
      </x:c>
      <x:c r="R849" s="8" t="n">
        <x:v>0</x:v>
      </x:c>
      <x:c r="S849" s="8" t="n">
        <x:f>L849-I849^2/H849</x:f>
        <x:v>229.93962782692716</x:v>
      </x:c>
      <x:c r="T849" s="8" t="n">
        <x:f>M849-J849^2/H849</x:f>
        <x:v>0</x:v>
      </x:c>
      <x:c r="U849" s="8" t="n">
        <x:f>N849-I849*J849/H849</x:f>
        <x:v>0</x:v>
      </x:c>
      <x:c r="V849" s="8" t="n">
        <x:f>O849-I849*K849/H849</x:f>
        <x:v>96.94383808103996</x:v>
      </x:c>
      <x:c r="W849" s="8" t="n">
        <x:f>P849-J849*K849/H849</x:f>
        <x:v>0</x:v>
      </x:c>
      <x:c r="X849" s="8" t="n">
        <x:f>V849/S849</x:f>
        <x:v>0.4216056144702836</x:v>
      </x:c>
      <x:c r="Y849" s="8" t="n">
        <x:f>0</x:f>
        <x:v>0</x:v>
      </x:c>
      <x:c r="Z849" s="8" t="n">
        <x:f>K849/H849-X849*I849/H849-Y849*J849/H849</x:f>
        <x:v>-2.020495521326313</x:v>
      </x:c>
      <x:c r="AA849" s="8" t="n">
        <x:f>Z849+X849*Q849+Y849*R849</x:f>
        <x:v>-2.141746708066038</x:v>
      </x:c>
    </x:row>
    <x:row r="850" ht="26" customHeight="1">
      <x:c r="A850" s="2"/>
      <x:c r="B850" s="2" t="n">
        <x:v>845</x:v>
      </x:c>
      <x:c r="C850" s="2" t="str">
        <x:v>Grooming / organic_volume_growth</x:v>
      </x:c>
      <x:c r="D850" s="2" t="str">
        <x:v>Own history</x:v>
      </x:c>
      <x:c r="E850" s="7" t="n">
        <x:v>45107</x:v>
      </x:c>
      <x:c r="F850" s="2" t="str">
        <x:v>Prior report</x:v>
      </x:c>
      <x:c r="G850" s="7" t="n">
        <x:v>45037</x:v>
      </x:c>
      <x:c r="H850" s="2" t="n">
        <x:v>8</x:v>
      </x:c>
      <x:c r="I850" s="8" t="n">
        <x:v>-2</x:v>
      </x:c>
      <x:c r="J850" s="8" t="n">
        <x:v>0</x:v>
      </x:c>
      <x:c r="K850" s="8" t="n">
        <x:v>-3</x:v>
      </x:c>
      <x:c r="L850" s="8" t="n">
        <x:v>88</x:v>
      </x:c>
      <x:c r="M850" s="8" t="n">
        <x:v>0</x:v>
      </x:c>
      <x:c r="N850" s="8" t="n">
        <x:v>0</x:v>
      </x:c>
      <x:c r="O850" s="8" t="n">
        <x:v>2</x:v>
      </x:c>
      <x:c r="P850" s="8" t="n">
        <x:v>0</x:v>
      </x:c>
      <x:c r="Q850" s="8" t="n">
        <x:v>-1</x:v>
      </x:c>
      <x:c r="R850" s="8" t="n">
        <x:v>0</x:v>
      </x:c>
      <x:c r="S850" s="8" t="n">
        <x:f>L850-I850^2/H850</x:f>
        <x:v>87.5</x:v>
      </x:c>
      <x:c r="T850" s="8" t="n">
        <x:f>M850-J850^2/H850</x:f>
        <x:v>0</x:v>
      </x:c>
      <x:c r="U850" s="8" t="n">
        <x:f>N850-I850*J850/H850</x:f>
        <x:v>0</x:v>
      </x:c>
      <x:c r="V850" s="8" t="n">
        <x:f>O850-I850*K850/H850</x:f>
        <x:v>1.25</x:v>
      </x:c>
      <x:c r="W850" s="8" t="n">
        <x:f>P850-J850*K850/H850</x:f>
        <x:v>0</x:v>
      </x:c>
      <x:c r="X850" s="8" t="n">
        <x:f>V850/S850</x:f>
        <x:v>0.014285714285714285</x:v>
      </x:c>
      <x:c r="Y850" s="8" t="n">
        <x:f>0</x:f>
        <x:v>0</x:v>
      </x:c>
      <x:c r="Z850" s="8" t="n">
        <x:f>K850/H850-X850*I850/H850-Y850*J850/H850</x:f>
        <x:v>-0.37142857142857144</x:v>
      </x:c>
      <x:c r="AA850" s="8" t="n">
        <x:f>Z850+X850*Q850+Y850*R850</x:f>
        <x:v>-0.38571428571428573</x:v>
      </x:c>
    </x:row>
    <x:row r="851" ht="26" customHeight="1">
      <x:c r="A851" s="2"/>
      <x:c r="B851" s="2" t="n">
        <x:v>846</x:v>
      </x:c>
      <x:c r="C851" s="2" t="str">
        <x:v>Grooming / organic_volume_growth</x:v>
      </x:c>
      <x:c r="D851" s="2" t="str">
        <x:v>Broad market</x:v>
      </x:c>
      <x:c r="E851" s="7" t="n">
        <x:v>45107</x:v>
      </x:c>
      <x:c r="F851" s="2" t="str">
        <x:v>Pre-earnings</x:v>
      </x:c>
      <x:c r="G851" s="7" t="n">
        <x:v>45134</x:v>
      </x:c>
      <x:c r="H851" s="2" t="n">
        <x:v>9</x:v>
      </x:c>
      <x:c r="I851" s="8" t="n">
        <x:v>33.22338231084547</x:v>
      </x:c>
      <x:c r="J851" s="8" t="n">
        <x:v>0</x:v>
      </x:c>
      <x:c r="K851" s="8" t="n">
        <x:v>-3</x:v>
      </x:c>
      <x:c r="L851" s="8" t="n">
        <x:v>371.1584098349792</x:v>
      </x:c>
      <x:c r="M851" s="8" t="n">
        <x:v>0</x:v>
      </x:c>
      <x:c r="N851" s="8" t="n">
        <x:v>0</x:v>
      </x:c>
      <x:c r="O851" s="8" t="n">
        <x:v>88.91692555939514</x:v>
      </x:c>
      <x:c r="P851" s="8" t="n">
        <x:v>0</x:v>
      </x:c>
      <x:c r="Q851" s="8" t="n">
        <x:v>0.3338622398349367</x:v>
      </x:c>
      <x:c r="R851" s="8" t="n">
        <x:v>0</x:v>
      </x:c>
      <x:c r="S851" s="8" t="n">
        <x:f>L851-I851^2/H851</x:f>
        <x:v>248.5147284824681</x:v>
      </x:c>
      <x:c r="T851" s="8" t="n">
        <x:f>M851-J851^2/H851</x:f>
        <x:v>0</x:v>
      </x:c>
      <x:c r="U851" s="8" t="n">
        <x:f>N851-I851*J851/H851</x:f>
        <x:v>0</x:v>
      </x:c>
      <x:c r="V851" s="8" t="n">
        <x:f>O851-I851*K851/H851</x:f>
        <x:v>99.99138632967697</x:v>
      </x:c>
      <x:c r="W851" s="8" t="n">
        <x:f>P851-J851*K851/H851</x:f>
        <x:v>0</x:v>
      </x:c>
      <x:c r="X851" s="8" t="n">
        <x:f>V851/S851</x:f>
        <x:v>0.40235597680775304</x:v>
      </x:c>
      <x:c r="Y851" s="8" t="n">
        <x:f>0</x:f>
        <x:v>0</x:v>
      </x:c>
      <x:c r="Z851" s="8" t="n">
        <x:f>K851/H851-X851*I851/H851-Y851*J851/H851</x:f>
        <x:v>-1.8186251602819614</x:v>
      </x:c>
      <x:c r="AA851" s="8" t="n">
        <x:f>Z851+X851*Q851+Y851*R851</x:f>
        <x:v>-1.6842936926539511</x:v>
      </x:c>
    </x:row>
    <x:row r="852" ht="26" customHeight="1">
      <x:c r="A852" s="2"/>
      <x:c r="B852" s="2" t="n">
        <x:v>847</x:v>
      </x:c>
      <x:c r="C852" s="2" t="str">
        <x:v>Grooming / organic_volume_growth</x:v>
      </x:c>
      <x:c r="D852" s="2" t="str">
        <x:v>Broad lag 1</x:v>
      </x:c>
      <x:c r="E852" s="7" t="n">
        <x:v>45107</x:v>
      </x:c>
      <x:c r="F852" s="2" t="str">
        <x:v>Pre-earnings</x:v>
      </x:c>
      <x:c r="G852" s="7" t="n">
        <x:v>45134</x:v>
      </x:c>
      <x:c r="H852" s="2" t="n">
        <x:v>8</x:v>
      </x:c>
      <x:c r="I852" s="8" t="n">
        <x:v>33.595293052267536</x:v>
      </x:c>
      <x:c r="J852" s="8" t="n">
        <x:v>0</x:v>
      </x:c>
      <x:c r="K852" s="8" t="n">
        <x:v>-3</x:v>
      </x:c>
      <x:c r="L852" s="8" t="n">
        <x:v>371.0200922353941</x:v>
      </x:c>
      <x:c r="M852" s="8" t="n">
        <x:v>0</x:v>
      </x:c>
      <x:c r="N852" s="8" t="n">
        <x:v>0</x:v>
      </x:c>
      <x:c r="O852" s="8" t="n">
        <x:v>63.592141476313394</x:v>
      </x:c>
      <x:c r="P852" s="8" t="n">
        <x:v>0</x:v>
      </x:c>
      <x:c r="Q852" s="8" t="n">
        <x:v>-0.3719107414220657</x:v>
      </x:c>
      <x:c r="R852" s="8" t="n">
        <x:v>0</x:v>
      </x:c>
      <x:c r="S852" s="8" t="n">
        <x:f>L852-I852^2/H852</x:f>
        <x:v>229.93962782692716</x:v>
      </x:c>
      <x:c r="T852" s="8" t="n">
        <x:f>M852-J852^2/H852</x:f>
        <x:v>0</x:v>
      </x:c>
      <x:c r="U852" s="8" t="n">
        <x:f>N852-I852*J852/H852</x:f>
        <x:v>0</x:v>
      </x:c>
      <x:c r="V852" s="8" t="n">
        <x:f>O852-I852*K852/H852</x:f>
        <x:v>76.19037637091373</x:v>
      </x:c>
      <x:c r="W852" s="8" t="n">
        <x:f>P852-J852*K852/H852</x:f>
        <x:v>0</x:v>
      </x:c>
      <x:c r="X852" s="8" t="n">
        <x:f>V852/S852</x:f>
        <x:v>0.33134948112667784</x:v>
      </x:c>
      <x:c r="Y852" s="8" t="n">
        <x:f>0</x:f>
        <x:v>0</x:v>
      </x:c>
      <x:c r="Z852" s="8" t="n">
        <x:f>K852/H852-X852*I852/H852-Y852*J852/H852</x:f>
        <x:v>-1.7664728651459416</x:v>
      </x:c>
      <x:c r="AA852" s="8" t="n">
        <x:f>Z852+X852*Q852+Y852*R852</x:f>
        <x:v>-1.889705296341581</x:v>
      </x:c>
    </x:row>
    <x:row r="853" ht="26" customHeight="1">
      <x:c r="A853" s="2"/>
      <x:c r="B853" s="2" t="n">
        <x:v>848</x:v>
      </x:c>
      <x:c r="C853" s="2" t="str">
        <x:v>Grooming / organic_volume_growth</x:v>
      </x:c>
      <x:c r="D853" s="2" t="str">
        <x:v>Broad rolling 8</x:v>
      </x:c>
      <x:c r="E853" s="7" t="n">
        <x:v>45107</x:v>
      </x:c>
      <x:c r="F853" s="2" t="str">
        <x:v>Pre-earnings</x:v>
      </x:c>
      <x:c r="G853" s="7" t="n">
        <x:v>45134</x:v>
      </x:c>
      <x:c r="H853" s="2" t="n">
        <x:v>8</x:v>
      </x:c>
      <x:c r="I853" s="8" t="n">
        <x:v>26.590628997743714</x:v>
      </x:c>
      <x:c r="J853" s="8" t="n">
        <x:v>0</x:v>
      </x:c>
      <x:c r="K853" s="8" t="n">
        <x:v>-3</x:v>
      </x:c>
      <x:c r="L853" s="8" t="n">
        <x:v>327.16499332251686</x:v>
      </x:c>
      <x:c r="M853" s="8" t="n">
        <x:v>0</x:v>
      </x:c>
      <x:c r="N853" s="8" t="n">
        <x:v>0</x:v>
      </x:c>
      <x:c r="O853" s="8" t="n">
        <x:v>88.91692555939514</x:v>
      </x:c>
      <x:c r="P853" s="8" t="n">
        <x:v>0</x:v>
      </x:c>
      <x:c r="Q853" s="8" t="n">
        <x:v>0.3338622398349367</x:v>
      </x:c>
      <x:c r="R853" s="8" t="n">
        <x:v>0</x:v>
      </x:c>
      <x:c r="S853" s="8" t="n">
        <x:f>L853-I853^2/H853</x:f>
        <x:v>238.78229951056076</x:v>
      </x:c>
      <x:c r="T853" s="8" t="n">
        <x:f>M853-J853^2/H853</x:f>
        <x:v>0</x:v>
      </x:c>
      <x:c r="U853" s="8" t="n">
        <x:f>N853-I853*J853/H853</x:f>
        <x:v>0</x:v>
      </x:c>
      <x:c r="V853" s="8" t="n">
        <x:f>O853-I853*K853/H853</x:f>
        <x:v>98.88841143354904</x:v>
      </x:c>
      <x:c r="W853" s="8" t="n">
        <x:f>P853-J853*K853/H853</x:f>
        <x:v>0</x:v>
      </x:c>
      <x:c r="X853" s="8" t="n">
        <x:f>V853/S853</x:f>
        <x:v>0.4141362723964196</x:v>
      </x:c>
      <x:c r="Y853" s="8" t="n">
        <x:f>0</x:f>
        <x:v>0</x:v>
      </x:c>
      <x:c r="Z853" s="8" t="n">
        <x:f>K853/H853-X853*I853/H853-Y853*J853/H853</x:f>
        <x:v>-1.7515179967252155</x:v>
      </x:c>
      <x:c r="AA853" s="8" t="n">
        <x:f>Z853+X853*Q853+Y853*R853</x:f>
        <x:v>-1.6132535332260554</x:v>
      </x:c>
    </x:row>
    <x:row r="854" ht="26" customHeight="1">
      <x:c r="A854" s="2"/>
      <x:c r="B854" s="2" t="n">
        <x:v>849</x:v>
      </x:c>
      <x:c r="C854" s="2" t="str">
        <x:v>Grooming / organic_volume_growth</x:v>
      </x:c>
      <x:c r="D854" s="2" t="str">
        <x:v>Own history</x:v>
      </x:c>
      <x:c r="E854" s="7" t="n">
        <x:v>45107</x:v>
      </x:c>
      <x:c r="F854" s="2" t="str">
        <x:v>Pre-earnings</x:v>
      </x:c>
      <x:c r="G854" s="7" t="n">
        <x:v>45134</x:v>
      </x:c>
      <x:c r="H854" s="2" t="n">
        <x:v>8</x:v>
      </x:c>
      <x:c r="I854" s="8" t="n">
        <x:v>-2</x:v>
      </x:c>
      <x:c r="J854" s="8" t="n">
        <x:v>0</x:v>
      </x:c>
      <x:c r="K854" s="8" t="n">
        <x:v>-3</x:v>
      </x:c>
      <x:c r="L854" s="8" t="n">
        <x:v>88</x:v>
      </x:c>
      <x:c r="M854" s="8" t="n">
        <x:v>0</x:v>
      </x:c>
      <x:c r="N854" s="8" t="n">
        <x:v>0</x:v>
      </x:c>
      <x:c r="O854" s="8" t="n">
        <x:v>2</x:v>
      </x:c>
      <x:c r="P854" s="8" t="n">
        <x:v>0</x:v>
      </x:c>
      <x:c r="Q854" s="8" t="n">
        <x:v>-1</x:v>
      </x:c>
      <x:c r="R854" s="8" t="n">
        <x:v>0</x:v>
      </x:c>
      <x:c r="S854" s="8" t="n">
        <x:f>L854-I854^2/H854</x:f>
        <x:v>87.5</x:v>
      </x:c>
      <x:c r="T854" s="8" t="n">
        <x:f>M854-J854^2/H854</x:f>
        <x:v>0</x:v>
      </x:c>
      <x:c r="U854" s="8" t="n">
        <x:f>N854-I854*J854/H854</x:f>
        <x:v>0</x:v>
      </x:c>
      <x:c r="V854" s="8" t="n">
        <x:f>O854-I854*K854/H854</x:f>
        <x:v>1.25</x:v>
      </x:c>
      <x:c r="W854" s="8" t="n">
        <x:f>P854-J854*K854/H854</x:f>
        <x:v>0</x:v>
      </x:c>
      <x:c r="X854" s="8" t="n">
        <x:f>V854/S854</x:f>
        <x:v>0.014285714285714285</x:v>
      </x:c>
      <x:c r="Y854" s="8" t="n">
        <x:f>0</x:f>
        <x:v>0</x:v>
      </x:c>
      <x:c r="Z854" s="8" t="n">
        <x:f>K854/H854-X854*I854/H854-Y854*J854/H854</x:f>
        <x:v>-0.37142857142857144</x:v>
      </x:c>
      <x:c r="AA854" s="8" t="n">
        <x:f>Z854+X854*Q854+Y854*R854</x:f>
        <x:v>-0.38571428571428573</x:v>
      </x:c>
    </x:row>
    <x:row r="855" ht="26" customHeight="1">
      <x:c r="A855" s="2"/>
      <x:c r="B855" s="2" t="n">
        <x:v>850</x:v>
      </x:c>
      <x:c r="C855" s="2" t="str">
        <x:v>Grooming / organic_volume_growth</x:v>
      </x:c>
      <x:c r="D855" s="2" t="str">
        <x:v>Broad market</x:v>
      </x:c>
      <x:c r="E855" s="7" t="n">
        <x:v>45199</x:v>
      </x:c>
      <x:c r="F855" s="2" t="str">
        <x:v>Origin</x:v>
      </x:c>
      <x:c r="G855" s="7" t="n">
        <x:v>45108</x:v>
      </x:c>
      <x:c r="H855" s="2" t="n">
        <x:v>9</x:v>
      </x:c>
      <x:c r="I855" s="8" t="n">
        <x:v>33.22338231084547</x:v>
      </x:c>
      <x:c r="J855" s="8" t="n">
        <x:v>0</x:v>
      </x:c>
      <x:c r="K855" s="8" t="n">
        <x:v>-3</x:v>
      </x:c>
      <x:c r="L855" s="8" t="n">
        <x:v>371.1584098349792</x:v>
      </x:c>
      <x:c r="M855" s="8" t="n">
        <x:v>0</x:v>
      </x:c>
      <x:c r="N855" s="8" t="n">
        <x:v>0</x:v>
      </x:c>
      <x:c r="O855" s="8" t="n">
        <x:v>88.91692555939514</x:v>
      </x:c>
      <x:c r="P855" s="8" t="n">
        <x:v>0</x:v>
      </x:c>
      <x:c r="Q855" s="8" t="n">
        <x:v>0.16843755354232215</x:v>
      </x:c>
      <x:c r="R855" s="8" t="n">
        <x:v>0</x:v>
      </x:c>
      <x:c r="S855" s="8" t="n">
        <x:f>L855-I855^2/H855</x:f>
        <x:v>248.5147284824681</x:v>
      </x:c>
      <x:c r="T855" s="8" t="n">
        <x:f>M855-J855^2/H855</x:f>
        <x:v>0</x:v>
      </x:c>
      <x:c r="U855" s="8" t="n">
        <x:f>N855-I855*J855/H855</x:f>
        <x:v>0</x:v>
      </x:c>
      <x:c r="V855" s="8" t="n">
        <x:f>O855-I855*K855/H855</x:f>
        <x:v>99.99138632967697</x:v>
      </x:c>
      <x:c r="W855" s="8" t="n">
        <x:f>P855-J855*K855/H855</x:f>
        <x:v>0</x:v>
      </x:c>
      <x:c r="X855" s="8" t="n">
        <x:f>V855/S855</x:f>
        <x:v>0.40235597680775304</x:v>
      </x:c>
      <x:c r="Y855" s="8" t="n">
        <x:f>0</x:f>
        <x:v>0</x:v>
      </x:c>
      <x:c r="Z855" s="8" t="n">
        <x:f>K855/H855-X855*I855/H855-Y855*J855/H855</x:f>
        <x:v>-1.8186251602819614</x:v>
      </x:c>
      <x:c r="AA855" s="8" t="n">
        <x:f>Z855+X855*Q855+Y855*R855</x:f>
        <x:v>-1.7508533038953322</x:v>
      </x:c>
    </x:row>
    <x:row r="856" ht="26" customHeight="1">
      <x:c r="A856" s="2"/>
      <x:c r="B856" s="2" t="n">
        <x:v>851</x:v>
      </x:c>
      <x:c r="C856" s="2" t="str">
        <x:v>Grooming / organic_volume_growth</x:v>
      </x:c>
      <x:c r="D856" s="2" t="str">
        <x:v>Broad rolling 8</x:v>
      </x:c>
      <x:c r="E856" s="7" t="n">
        <x:v>45199</x:v>
      </x:c>
      <x:c r="F856" s="2" t="str">
        <x:v>Origin</x:v>
      </x:c>
      <x:c r="G856" s="7" t="n">
        <x:v>45108</x:v>
      </x:c>
      <x:c r="H856" s="2" t="n">
        <x:v>8</x:v>
      </x:c>
      <x:c r="I856" s="8" t="n">
        <x:v>26.590628997743714</x:v>
      </x:c>
      <x:c r="J856" s="8" t="n">
        <x:v>0</x:v>
      </x:c>
      <x:c r="K856" s="8" t="n">
        <x:v>-3</x:v>
      </x:c>
      <x:c r="L856" s="8" t="n">
        <x:v>327.16499332251686</x:v>
      </x:c>
      <x:c r="M856" s="8" t="n">
        <x:v>0</x:v>
      </x:c>
      <x:c r="N856" s="8" t="n">
        <x:v>0</x:v>
      </x:c>
      <x:c r="O856" s="8" t="n">
        <x:v>88.91692555939514</x:v>
      </x:c>
      <x:c r="P856" s="8" t="n">
        <x:v>0</x:v>
      </x:c>
      <x:c r="Q856" s="8" t="n">
        <x:v>0.16843755354232215</x:v>
      </x:c>
      <x:c r="R856" s="8" t="n">
        <x:v>0</x:v>
      </x:c>
      <x:c r="S856" s="8" t="n">
        <x:f>L856-I856^2/H856</x:f>
        <x:v>238.78229951056076</x:v>
      </x:c>
      <x:c r="T856" s="8" t="n">
        <x:f>M856-J856^2/H856</x:f>
        <x:v>0</x:v>
      </x:c>
      <x:c r="U856" s="8" t="n">
        <x:f>N856-I856*J856/H856</x:f>
        <x:v>0</x:v>
      </x:c>
      <x:c r="V856" s="8" t="n">
        <x:f>O856-I856*K856/H856</x:f>
        <x:v>98.88841143354904</x:v>
      </x:c>
      <x:c r="W856" s="8" t="n">
        <x:f>P856-J856*K856/H856</x:f>
        <x:v>0</x:v>
      </x:c>
      <x:c r="X856" s="8" t="n">
        <x:f>V856/S856</x:f>
        <x:v>0.4141362723964196</x:v>
      </x:c>
      <x:c r="Y856" s="8" t="n">
        <x:f>0</x:f>
        <x:v>0</x:v>
      </x:c>
      <x:c r="Z856" s="8" t="n">
        <x:f>K856/H856-X856*I856/H856-Y856*J856/H856</x:f>
        <x:v>-1.7515179967252155</x:v>
      </x:c>
      <x:c r="AA856" s="8" t="n">
        <x:f>Z856+X856*Q856+Y856*R856</x:f>
        <x:v>-1.681761896169626</x:v>
      </x:c>
    </x:row>
    <x:row r="857" ht="26" customHeight="1">
      <x:c r="A857" s="2"/>
      <x:c r="B857" s="2" t="n">
        <x:v>852</x:v>
      </x:c>
      <x:c r="C857" s="2" t="str">
        <x:v>Grooming / organic_volume_growth</x:v>
      </x:c>
      <x:c r="D857" s="2" t="str">
        <x:v>Broad market</x:v>
      </x:c>
      <x:c r="E857" s="7" t="n">
        <x:v>45199</x:v>
      </x:c>
      <x:c r="F857" s="2" t="str">
        <x:v>Prior report</x:v>
      </x:c>
      <x:c r="G857" s="7" t="n">
        <x:v>45135</x:v>
      </x:c>
      <x:c r="H857" s="2" t="n">
        <x:v>10</x:v>
      </x:c>
      <x:c r="I857" s="8" t="n">
        <x:v>33.702236280504636</x:v>
      </x:c>
      <x:c r="J857" s="8" t="n">
        <x:v>0</x:v>
      </x:c>
      <x:c r="K857" s="8" t="n">
        <x:v>-4</x:v>
      </x:c>
      <x:c r="L857" s="8" t="n">
        <x:v>371.38771095923755</x:v>
      </x:c>
      <x:c r="M857" s="8" t="n">
        <x:v>0</x:v>
      </x:c>
      <x:c r="N857" s="8" t="n">
        <x:v>0</x:v>
      </x:c>
      <x:c r="O857" s="8" t="n">
        <x:v>88.43807158973597</x:v>
      </x:c>
      <x:c r="P857" s="8" t="n">
        <x:v>0</x:v>
      </x:c>
      <x:c r="Q857" s="8" t="n">
        <x:v>0.4788112989289939</x:v>
      </x:c>
      <x:c r="R857" s="8" t="n">
        <x:v>0</x:v>
      </x:c>
      <x:c r="S857" s="8" t="n">
        <x:f>L857-I857^2/H857</x:f>
        <x:v>257.80363792854126</x:v>
      </x:c>
      <x:c r="T857" s="8" t="n">
        <x:f>M857-J857^2/H857</x:f>
        <x:v>0</x:v>
      </x:c>
      <x:c r="U857" s="8" t="n">
        <x:f>N857-I857*J857/H857</x:f>
        <x:v>0</x:v>
      </x:c>
      <x:c r="V857" s="8" t="n">
        <x:f>O857-I857*K857/H857</x:f>
        <x:v>101.91896610193783</x:v>
      </x:c>
      <x:c r="W857" s="8" t="n">
        <x:f>P857-J857*K857/H857</x:f>
        <x:v>0</x:v>
      </x:c>
      <x:c r="X857" s="8" t="n">
        <x:f>V857/S857</x:f>
        <x:v>0.39533563963976337</x:v>
      </x:c>
      <x:c r="Y857" s="8" t="n">
        <x:f>0</x:f>
        <x:v>0</x:v>
      </x:c>
      <x:c r="Z857" s="8" t="n">
        <x:f>K857/H857-X857*I857/H857-Y857*J857/H857</x:f>
        <x:v>-1.732369513724374</x:v>
      </x:c>
      <x:c r="AA857" s="8" t="n">
        <x:f>Z857+X857*Q857+Y857*R857</x:f>
        <x:v>-1.5430783425955341</x:v>
      </x:c>
    </x:row>
    <x:row r="858" ht="26" customHeight="1">
      <x:c r="A858" s="2"/>
      <x:c r="B858" s="2" t="n">
        <x:v>853</x:v>
      </x:c>
      <x:c r="C858" s="2" t="str">
        <x:v>Grooming / organic_volume_growth</x:v>
      </x:c>
      <x:c r="D858" s="2" t="str">
        <x:v>Broad lag 1</x:v>
      </x:c>
      <x:c r="E858" s="7" t="n">
        <x:v>45199</x:v>
      </x:c>
      <x:c r="F858" s="2" t="str">
        <x:v>Prior report</x:v>
      </x:c>
      <x:c r="G858" s="7" t="n">
        <x:v>45135</x:v>
      </x:c>
      <x:c r="H858" s="2" t="n">
        <x:v>9</x:v>
      </x:c>
      <x:c r="I858" s="8" t="n">
        <x:v>33.22338231084547</x:v>
      </x:c>
      <x:c r="J858" s="8" t="n">
        <x:v>0</x:v>
      </x:c>
      <x:c r="K858" s="8" t="n">
        <x:v>-4</x:v>
      </x:c>
      <x:c r="L858" s="8" t="n">
        <x:v>371.1584098349792</x:v>
      </x:c>
      <x:c r="M858" s="8" t="n">
        <x:v>0</x:v>
      </x:c>
      <x:c r="N858" s="8" t="n">
        <x:v>0</x:v>
      </x:c>
      <x:c r="O858" s="8" t="n">
        <x:v>63.96405221773546</x:v>
      </x:c>
      <x:c r="P858" s="8" t="n">
        <x:v>0</x:v>
      </x:c>
      <x:c r="Q858" s="8" t="n">
        <x:v>0.4788539696591654</x:v>
      </x:c>
      <x:c r="R858" s="8" t="n">
        <x:v>0</x:v>
      </x:c>
      <x:c r="S858" s="8" t="n">
        <x:f>L858-I858^2/H858</x:f>
        <x:v>248.5147284824681</x:v>
      </x:c>
      <x:c r="T858" s="8" t="n">
        <x:f>M858-J858^2/H858</x:f>
        <x:v>0</x:v>
      </x:c>
      <x:c r="U858" s="8" t="n">
        <x:f>N858-I858*J858/H858</x:f>
        <x:v>0</x:v>
      </x:c>
      <x:c r="V858" s="8" t="n">
        <x:f>O858-I858*K858/H858</x:f>
        <x:v>78.72999991144455</x:v>
      </x:c>
      <x:c r="W858" s="8" t="n">
        <x:f>P858-J858*K858/H858</x:f>
        <x:v>0</x:v>
      </x:c>
      <x:c r="X858" s="8" t="n">
        <x:f>V858/S858</x:f>
        <x:v>0.31680214847708194</x:v>
      </x:c>
      <x:c r="Y858" s="8" t="n">
        <x:f>0</x:f>
        <x:v>0</x:v>
      </x:c>
      <x:c r="Z858" s="8" t="n">
        <x:f>K858/H858-X858*I858/H858-Y858*J858/H858</x:f>
        <x:v>-1.6139154328612584</x:v>
      </x:c>
      <x:c r="AA858" s="8" t="n">
        <x:f>Z858+X858*Q858+Y858*R858</x:f>
        <x:v>-1.4622134664664554</x:v>
      </x:c>
    </x:row>
    <x:row r="859" ht="26" customHeight="1">
      <x:c r="A859" s="2"/>
      <x:c r="B859" s="2" t="n">
        <x:v>854</x:v>
      </x:c>
      <x:c r="C859" s="2" t="str">
        <x:v>Grooming / organic_volume_growth</x:v>
      </x:c>
      <x:c r="D859" s="2" t="str">
        <x:v>Broad rolling 8</x:v>
      </x:c>
      <x:c r="E859" s="7" t="n">
        <x:v>45199</x:v>
      </x:c>
      <x:c r="F859" s="2" t="str">
        <x:v>Prior report</x:v>
      </x:c>
      <x:c r="G859" s="7" t="n">
        <x:v>45135</x:v>
      </x:c>
      <x:c r="H859" s="2" t="n">
        <x:v>8</x:v>
      </x:c>
      <x:c r="I859" s="8" t="n">
        <x:v>12.45774615649593</x:v>
      </x:c>
      <x:c r="J859" s="8" t="n">
        <x:v>0</x:v>
      </x:c>
      <x:c r="K859" s="8" t="n">
        <x:v>-8</x:v>
      </x:c>
      <x:c r="L859" s="8" t="n">
        <x:v>113.89144181556195</x:v>
      </x:c>
      <x:c r="M859" s="8" t="n">
        <x:v>0</x:v>
      </x:c>
      <x:c r="N859" s="8" t="n">
        <x:v>0</x:v>
      </x:c>
      <x:c r="O859" s="8" t="n">
        <x:v>29.991124346108165</x:v>
      </x:c>
      <x:c r="P859" s="8" t="n">
        <x:v>0</x:v>
      </x:c>
      <x:c r="Q859" s="8" t="n">
        <x:v>0.4788112989289939</x:v>
      </x:c>
      <x:c r="R859" s="8" t="n">
        <x:v>0</x:v>
      </x:c>
      <x:c r="S859" s="8" t="n">
        <x:f>L859-I859^2/H859</x:f>
        <x:v>94.4920119031008</x:v>
      </x:c>
      <x:c r="T859" s="8" t="n">
        <x:f>M859-J859^2/H859</x:f>
        <x:v>0</x:v>
      </x:c>
      <x:c r="U859" s="8" t="n">
        <x:f>N859-I859*J859/H859</x:f>
        <x:v>0</x:v>
      </x:c>
      <x:c r="V859" s="8" t="n">
        <x:f>O859-I859*K859/H859</x:f>
        <x:v>42.448870502604095</x:v>
      </x:c>
      <x:c r="W859" s="8" t="n">
        <x:f>P859-J859*K859/H859</x:f>
        <x:v>0</x:v>
      </x:c>
      <x:c r="X859" s="8" t="n">
        <x:f>V859/S859</x:f>
        <x:v>0.44923237052179976</x:v>
      </x:c>
      <x:c r="Y859" s="8" t="n">
        <x:f>0</x:f>
        <x:v>0</x:v>
      </x:c>
      <x:c r="Z859" s="8" t="n">
        <x:f>K859/H859-X859*I859/H859-Y859*J859/H859</x:f>
        <x:v>-1.6995528546551881</x:v>
      </x:c>
      <x:c r="AA859" s="8" t="n">
        <x:f>Z859+X859*Q859+Y859*R859</x:f>
        <x:v>-1.4844553198046941</x:v>
      </x:c>
    </x:row>
    <x:row r="860" ht="26" customHeight="1">
      <x:c r="A860" s="2"/>
      <x:c r="B860" s="2" t="n">
        <x:v>855</x:v>
      </x:c>
      <x:c r="C860" s="2" t="str">
        <x:v>Grooming / organic_volume_growth</x:v>
      </x:c>
      <x:c r="D860" s="2" t="str">
        <x:v>Own history</x:v>
      </x:c>
      <x:c r="E860" s="7" t="n">
        <x:v>45199</x:v>
      </x:c>
      <x:c r="F860" s="2" t="str">
        <x:v>Prior report</x:v>
      </x:c>
      <x:c r="G860" s="7" t="n">
        <x:v>45135</x:v>
      </x:c>
      <x:c r="H860" s="2" t="n">
        <x:v>9</x:v>
      </x:c>
      <x:c r="I860" s="8" t="n">
        <x:v>-3</x:v>
      </x:c>
      <x:c r="J860" s="8" t="n">
        <x:v>0</x:v>
      </x:c>
      <x:c r="K860" s="8" t="n">
        <x:v>-4</x:v>
      </x:c>
      <x:c r="L860" s="8" t="n">
        <x:v>89</x:v>
      </x:c>
      <x:c r="M860" s="8" t="n">
        <x:v>0</x:v>
      </x:c>
      <x:c r="N860" s="8" t="n">
        <x:v>0</x:v>
      </x:c>
      <x:c r="O860" s="8" t="n">
        <x:v>3</x:v>
      </x:c>
      <x:c r="P860" s="8" t="n">
        <x:v>0</x:v>
      </x:c>
      <x:c r="Q860" s="8" t="n">
        <x:v>-1</x:v>
      </x:c>
      <x:c r="R860" s="8" t="n">
        <x:v>0</x:v>
      </x:c>
      <x:c r="S860" s="8" t="n">
        <x:f>L860-I860^2/H860</x:f>
        <x:v>88</x:v>
      </x:c>
      <x:c r="T860" s="8" t="n">
        <x:f>M860-J860^2/H860</x:f>
        <x:v>0</x:v>
      </x:c>
      <x:c r="U860" s="8" t="n">
        <x:f>N860-I860*J860/H860</x:f>
        <x:v>0</x:v>
      </x:c>
      <x:c r="V860" s="8" t="n">
        <x:f>O860-I860*K860/H860</x:f>
        <x:v>1.6666666666666667</x:v>
      </x:c>
      <x:c r="W860" s="8" t="n">
        <x:f>P860-J860*K860/H860</x:f>
        <x:v>0</x:v>
      </x:c>
      <x:c r="X860" s="8" t="n">
        <x:f>V860/S860</x:f>
        <x:v>0.01893939393939394</x:v>
      </x:c>
      <x:c r="Y860" s="8" t="n">
        <x:f>0</x:f>
        <x:v>0</x:v>
      </x:c>
      <x:c r="Z860" s="8" t="n">
        <x:f>K860/H860-X860*I860/H860-Y860*J860/H860</x:f>
        <x:v>-0.4381313131313131</x:v>
      </x:c>
      <x:c r="AA860" s="8" t="n">
        <x:f>Z860+X860*Q860+Y860*R860</x:f>
        <x:v>-0.457070707070707</x:v>
      </x:c>
    </x:row>
    <x:row r="861" ht="26" customHeight="1">
      <x:c r="A861" s="2"/>
      <x:c r="B861" s="2" t="n">
        <x:v>856</x:v>
      </x:c>
      <x:c r="C861" s="2" t="str">
        <x:v>Grooming / organic_volume_growth</x:v>
      </x:c>
      <x:c r="D861" s="2" t="str">
        <x:v>Broad market</x:v>
      </x:c>
      <x:c r="E861" s="7" t="n">
        <x:v>45199</x:v>
      </x:c>
      <x:c r="F861" s="2" t="str">
        <x:v>Pre-earnings</x:v>
      </x:c>
      <x:c r="G861" s="7" t="n">
        <x:v>45216</x:v>
      </x:c>
      <x:c r="H861" s="2" t="n">
        <x:v>10</x:v>
      </x:c>
      <x:c r="I861" s="8" t="n">
        <x:v>36.567292681299975</x:v>
      </x:c>
      <x:c r="J861" s="8" t="n">
        <x:v>0</x:v>
      </x:c>
      <x:c r="K861" s="8" t="n">
        <x:v>-4</x:v>
      </x:c>
      <x:c r="L861" s="8" t="n">
        <x:v>345.1986530501643</x:v>
      </x:c>
      <x:c r="M861" s="8" t="n">
        <x:v>0</x:v>
      </x:c>
      <x:c r="N861" s="8" t="n">
        <x:v>0</x:v>
      </x:c>
      <x:c r="O861" s="8" t="n">
        <x:v>80.14645744326887</x:v>
      </x:c>
      <x:c r="P861" s="8" t="n">
        <x:v>0</x:v>
      </x:c>
      <x:c r="Q861" s="8" t="n">
        <x:v>1.3122219305964355</x:v>
      </x:c>
      <x:c r="R861" s="8" t="n">
        <x:v>0</x:v>
      </x:c>
      <x:c r="S861" s="8" t="n">
        <x:f>L861-I861^2/H861</x:f>
        <x:v>211.48196364617883</x:v>
      </x:c>
      <x:c r="T861" s="8" t="n">
        <x:f>M861-J861^2/H861</x:f>
        <x:v>0</x:v>
      </x:c>
      <x:c r="U861" s="8" t="n">
        <x:f>N861-I861*J861/H861</x:f>
        <x:v>0</x:v>
      </x:c>
      <x:c r="V861" s="8" t="n">
        <x:f>O861-I861*K861/H861</x:f>
        <x:v>94.77337451578886</x:v>
      </x:c>
      <x:c r="W861" s="8" t="n">
        <x:f>P861-J861*K861/H861</x:f>
        <x:v>0</x:v>
      </x:c>
      <x:c r="X861" s="8" t="n">
        <x:f>V861/S861</x:f>
        <x:v>0.44813927808212534</x:v>
      </x:c>
      <x:c r="Y861" s="8" t="n">
        <x:f>0</x:f>
        <x:v>0</x:v>
      </x:c>
      <x:c r="Z861" s="8" t="n">
        <x:f>K861/H861-X861*I861/H861-Y861*J861/H861</x:f>
        <x:v>-2.0387240143615557</x:v>
      </x:c>
      <x:c r="AA861" s="8" t="n">
        <x:f>Z861+X861*Q861+Y861*R861</x:f>
        <x:v>-1.4506658257005363</x:v>
      </x:c>
    </x:row>
    <x:row r="862" ht="26" customHeight="1">
      <x:c r="A862" s="2"/>
      <x:c r="B862" s="2" t="n">
        <x:v>857</x:v>
      </x:c>
      <x:c r="C862" s="2" t="str">
        <x:v>Grooming / organic_volume_growth</x:v>
      </x:c>
      <x:c r="D862" s="2" t="str">
        <x:v>Broad lag 1</x:v>
      </x:c>
      <x:c r="E862" s="7" t="n">
        <x:v>45199</x:v>
      </x:c>
      <x:c r="F862" s="2" t="str">
        <x:v>Pre-earnings</x:v>
      </x:c>
      <x:c r="G862" s="7" t="n">
        <x:v>45216</x:v>
      </x:c>
      <x:c r="H862" s="2" t="n">
        <x:v>9</x:v>
      </x:c>
      <x:c r="I862" s="8" t="n">
        <x:v>36.50529330129378</x:v>
      </x:c>
      <x:c r="J862" s="8" t="n">
        <x:v>0</x:v>
      </x:c>
      <x:c r="K862" s="8" t="n">
        <x:v>-4</x:v>
      </x:c>
      <x:c r="L862" s="8" t="n">
        <x:v>345.1948091270432</x:v>
      </x:c>
      <x:c r="M862" s="8" t="n">
        <x:v>0</x:v>
      </x:c>
      <x:c r="N862" s="8" t="n">
        <x:v>0</x:v>
      </x:c>
      <x:c r="O862" s="8" t="n">
        <x:v>50.93824384325761</x:v>
      </x:c>
      <x:c r="P862" s="8" t="n">
        <x:v>0</x:v>
      </x:c>
      <x:c r="Q862" s="8" t="n">
        <x:v>0.06199938000619465</x:v>
      </x:c>
      <x:c r="R862" s="8" t="n">
        <x:v>0</x:v>
      </x:c>
      <x:c r="S862" s="8" t="n">
        <x:f>L862-I862^2/H862</x:f>
        <x:v>197.12409368110045</x:v>
      </x:c>
      <x:c r="T862" s="8" t="n">
        <x:f>M862-J862^2/H862</x:f>
        <x:v>0</x:v>
      </x:c>
      <x:c r="U862" s="8" t="n">
        <x:f>N862-I862*J862/H862</x:f>
        <x:v>0</x:v>
      </x:c>
      <x:c r="V862" s="8" t="n">
        <x:f>O862-I862*K862/H862</x:f>
        <x:v>67.16281864383262</x:v>
      </x:c>
      <x:c r="W862" s="8" t="n">
        <x:f>P862-J862*K862/H862</x:f>
        <x:v>0</x:v>
      </x:c>
      <x:c r="X862" s="8" t="n">
        <x:f>V862/S862</x:f>
        <x:v>0.34071339220707325</x:v>
      </x:c>
      <x:c r="Y862" s="8" t="n">
        <x:f>0</x:f>
        <x:v>0</x:v>
      </x:c>
      <x:c r="Z862" s="8" t="n">
        <x:f>K862/H862-X862*I862/H862-Y862*J862/H862</x:f>
        <x:v>-1.8264269237997726</x:v>
      </x:c>
      <x:c r="AA862" s="8" t="n">
        <x:f>Z862+X862*Q862+Y862*R862</x:f>
        <x:v>-1.8053029047231266</x:v>
      </x:c>
    </x:row>
    <x:row r="863" ht="26" customHeight="1">
      <x:c r="A863" s="2"/>
      <x:c r="B863" s="2" t="n">
        <x:v>858</x:v>
      </x:c>
      <x:c r="C863" s="2" t="str">
        <x:v>Grooming / organic_volume_growth</x:v>
      </x:c>
      <x:c r="D863" s="2" t="str">
        <x:v>Broad rolling 8</x:v>
      </x:c>
      <x:c r="E863" s="7" t="n">
        <x:v>45199</x:v>
      </x:c>
      <x:c r="F863" s="2" t="str">
        <x:v>Pre-earnings</x:v>
      </x:c>
      <x:c r="G863" s="7" t="n">
        <x:v>45216</x:v>
      </x:c>
      <x:c r="H863" s="2" t="n">
        <x:v>8</x:v>
      </x:c>
      <x:c r="I863" s="8" t="n">
        <x:v>16.237449689275486</x:v>
      </x:c>
      <x:c r="J863" s="8" t="n">
        <x:v>0</x:v>
      </x:c>
      <x:c r="K863" s="8" t="n">
        <x:v>-8</x:v>
      </x:c>
      <x:c r="L863" s="8" t="n">
        <x:v>110.53830054061801</x:v>
      </x:c>
      <x:c r="M863" s="8" t="n">
        <x:v>0</x:v>
      </x:c>
      <x:c r="N863" s="8" t="n">
        <x:v>0</x:v>
      </x:c>
      <x:c r="O863" s="8" t="n">
        <x:v>24.517711510281835</x:v>
      </x:c>
      <x:c r="P863" s="8" t="n">
        <x:v>0</x:v>
      </x:c>
      <x:c r="Q863" s="8" t="n">
        <x:v>1.3122219305964355</x:v>
      </x:c>
      <x:c r="R863" s="8" t="n">
        <x:v>0</x:v>
      </x:c>
      <x:c r="S863" s="8" t="n">
        <x:f>L863-I863^2/H863</x:f>
        <x:v>77.58145398914894</x:v>
      </x:c>
      <x:c r="T863" s="8" t="n">
        <x:f>M863-J863^2/H863</x:f>
        <x:v>0</x:v>
      </x:c>
      <x:c r="U863" s="8" t="n">
        <x:f>N863-I863*J863/H863</x:f>
        <x:v>0</x:v>
      </x:c>
      <x:c r="V863" s="8" t="n">
        <x:f>O863-I863*K863/H863</x:f>
        <x:v>40.75516119955732</x:v>
      </x:c>
      <x:c r="W863" s="8" t="n">
        <x:f>P863-J863*K863/H863</x:f>
        <x:v>0</x:v>
      </x:c>
      <x:c r="X863" s="8" t="n">
        <x:f>V863/S863</x:f>
        <x:v>0.5253209253497313</x:v>
      </x:c>
      <x:c r="Y863" s="8" t="n">
        <x:f>0</x:f>
        <x:v>0</x:v>
      </x:c>
      <x:c r="Z863" s="8" t="n">
        <x:f>K863/H863-X863*I863/H863-Y863*J863/H863</x:f>
        <x:v>-2.066234012011238</x:v>
      </x:c>
      <x:c r="AA863" s="8" t="n">
        <x:f>Z863+X863*Q863+Y863*R863</x:f>
        <x:v>-1.3768963731661075</x:v>
      </x:c>
    </x:row>
    <x:row r="864" ht="26" customHeight="1">
      <x:c r="A864" s="2"/>
      <x:c r="B864" s="2" t="n">
        <x:v>859</x:v>
      </x:c>
      <x:c r="C864" s="2" t="str">
        <x:v>Grooming / organic_volume_growth</x:v>
      </x:c>
      <x:c r="D864" s="2" t="str">
        <x:v>Own history</x:v>
      </x:c>
      <x:c r="E864" s="7" t="n">
        <x:v>45199</x:v>
      </x:c>
      <x:c r="F864" s="2" t="str">
        <x:v>Pre-earnings</x:v>
      </x:c>
      <x:c r="G864" s="7" t="n">
        <x:v>45216</x:v>
      </x:c>
      <x:c r="H864" s="2" t="n">
        <x:v>9</x:v>
      </x:c>
      <x:c r="I864" s="8" t="n">
        <x:v>-3</x:v>
      </x:c>
      <x:c r="J864" s="8" t="n">
        <x:v>0</x:v>
      </x:c>
      <x:c r="K864" s="8" t="n">
        <x:v>-4</x:v>
      </x:c>
      <x:c r="L864" s="8" t="n">
        <x:v>89</x:v>
      </x:c>
      <x:c r="M864" s="8" t="n">
        <x:v>0</x:v>
      </x:c>
      <x:c r="N864" s="8" t="n">
        <x:v>0</x:v>
      </x:c>
      <x:c r="O864" s="8" t="n">
        <x:v>3</x:v>
      </x:c>
      <x:c r="P864" s="8" t="n">
        <x:v>0</x:v>
      </x:c>
      <x:c r="Q864" s="8" t="n">
        <x:v>-1</x:v>
      </x:c>
      <x:c r="R864" s="8" t="n">
        <x:v>0</x:v>
      </x:c>
      <x:c r="S864" s="8" t="n">
        <x:f>L864-I864^2/H864</x:f>
        <x:v>88</x:v>
      </x:c>
      <x:c r="T864" s="8" t="n">
        <x:f>M864-J864^2/H864</x:f>
        <x:v>0</x:v>
      </x:c>
      <x:c r="U864" s="8" t="n">
        <x:f>N864-I864*J864/H864</x:f>
        <x:v>0</x:v>
      </x:c>
      <x:c r="V864" s="8" t="n">
        <x:f>O864-I864*K864/H864</x:f>
        <x:v>1.6666666666666667</x:v>
      </x:c>
      <x:c r="W864" s="8" t="n">
        <x:f>P864-J864*K864/H864</x:f>
        <x:v>0</x:v>
      </x:c>
      <x:c r="X864" s="8" t="n">
        <x:f>V864/S864</x:f>
        <x:v>0.01893939393939394</x:v>
      </x:c>
      <x:c r="Y864" s="8" t="n">
        <x:f>0</x:f>
        <x:v>0</x:v>
      </x:c>
      <x:c r="Z864" s="8" t="n">
        <x:f>K864/H864-X864*I864/H864-Y864*J864/H864</x:f>
        <x:v>-0.4381313131313131</x:v>
      </x:c>
      <x:c r="AA864" s="8" t="n">
        <x:f>Z864+X864*Q864+Y864*R864</x:f>
        <x:v>-0.457070707070707</x:v>
      </x:c>
    </x:row>
    <x:row r="865" ht="26" customHeight="1">
      <x:c r="A865" s="2"/>
      <x:c r="B865" s="2" t="n">
        <x:v>860</x:v>
      </x:c>
      <x:c r="C865" s="2" t="str">
        <x:v>Grooming / organic_volume_growth</x:v>
      </x:c>
      <x:c r="D865" s="2" t="str">
        <x:v>Broad market</x:v>
      </x:c>
      <x:c r="E865" s="7" t="n">
        <x:v>45291</x:v>
      </x:c>
      <x:c r="F865" s="2" t="str">
        <x:v>Origin</x:v>
      </x:c>
      <x:c r="G865" s="7" t="n">
        <x:v>45200</x:v>
      </x:c>
      <x:c r="H865" s="2" t="n">
        <x:v>10</x:v>
      </x:c>
      <x:c r="I865" s="8" t="n">
        <x:v>36.567292681299975</x:v>
      </x:c>
      <x:c r="J865" s="8" t="n">
        <x:v>0</x:v>
      </x:c>
      <x:c r="K865" s="8" t="n">
        <x:v>-4</x:v>
      </x:c>
      <x:c r="L865" s="8" t="n">
        <x:v>345.1986530501643</x:v>
      </x:c>
      <x:c r="M865" s="8" t="n">
        <x:v>0</x:v>
      </x:c>
      <x:c r="N865" s="8" t="n">
        <x:v>0</x:v>
      </x:c>
      <x:c r="O865" s="8" t="n">
        <x:v>80.14645744326887</x:v>
      </x:c>
      <x:c r="P865" s="8" t="n">
        <x:v>0</x:v>
      </x:c>
      <x:c r="Q865" s="8" t="n">
        <x:v>1.0924781953477458</x:v>
      </x:c>
      <x:c r="R865" s="8" t="n">
        <x:v>0</x:v>
      </x:c>
      <x:c r="S865" s="8" t="n">
        <x:f>L865-I865^2/H865</x:f>
        <x:v>211.48196364617883</x:v>
      </x:c>
      <x:c r="T865" s="8" t="n">
        <x:f>M865-J865^2/H865</x:f>
        <x:v>0</x:v>
      </x:c>
      <x:c r="U865" s="8" t="n">
        <x:f>N865-I865*J865/H865</x:f>
        <x:v>0</x:v>
      </x:c>
      <x:c r="V865" s="8" t="n">
        <x:f>O865-I865*K865/H865</x:f>
        <x:v>94.77337451578886</x:v>
      </x:c>
      <x:c r="W865" s="8" t="n">
        <x:f>P865-J865*K865/H865</x:f>
        <x:v>0</x:v>
      </x:c>
      <x:c r="X865" s="8" t="n">
        <x:f>V865/S865</x:f>
        <x:v>0.44813927808212534</x:v>
      </x:c>
      <x:c r="Y865" s="8" t="n">
        <x:f>0</x:f>
        <x:v>0</x:v>
      </x:c>
      <x:c r="Z865" s="8" t="n">
        <x:f>K865/H865-X865*I865/H865-Y865*J865/H865</x:f>
        <x:v>-2.0387240143615557</x:v>
      </x:c>
      <x:c r="AA865" s="8" t="n">
        <x:f>Z865+X865*Q865+Y865*R865</x:f>
        <x:v>-1.549141624577954</x:v>
      </x:c>
    </x:row>
    <x:row r="866" ht="26" customHeight="1">
      <x:c r="A866" s="2"/>
      <x:c r="B866" s="2" t="n">
        <x:v>861</x:v>
      </x:c>
      <x:c r="C866" s="2" t="str">
        <x:v>Grooming / organic_volume_growth</x:v>
      </x:c>
      <x:c r="D866" s="2" t="str">
        <x:v>Broad rolling 8</x:v>
      </x:c>
      <x:c r="E866" s="7" t="n">
        <x:v>45291</x:v>
      </x:c>
      <x:c r="F866" s="2" t="str">
        <x:v>Origin</x:v>
      </x:c>
      <x:c r="G866" s="7" t="n">
        <x:v>45200</x:v>
      </x:c>
      <x:c r="H866" s="2" t="n">
        <x:v>8</x:v>
      </x:c>
      <x:c r="I866" s="8" t="n">
        <x:v>16.237449689275486</x:v>
      </x:c>
      <x:c r="J866" s="8" t="n">
        <x:v>0</x:v>
      </x:c>
      <x:c r="K866" s="8" t="n">
        <x:v>-8</x:v>
      </x:c>
      <x:c r="L866" s="8" t="n">
        <x:v>110.53830054061801</x:v>
      </x:c>
      <x:c r="M866" s="8" t="n">
        <x:v>0</x:v>
      </x:c>
      <x:c r="N866" s="8" t="n">
        <x:v>0</x:v>
      </x:c>
      <x:c r="O866" s="8" t="n">
        <x:v>24.517711510281835</x:v>
      </x:c>
      <x:c r="P866" s="8" t="n">
        <x:v>0</x:v>
      </x:c>
      <x:c r="Q866" s="8" t="n">
        <x:v>1.0924781953477458</x:v>
      </x:c>
      <x:c r="R866" s="8" t="n">
        <x:v>0</x:v>
      </x:c>
      <x:c r="S866" s="8" t="n">
        <x:f>L866-I866^2/H866</x:f>
        <x:v>77.58145398914894</x:v>
      </x:c>
      <x:c r="T866" s="8" t="n">
        <x:f>M866-J866^2/H866</x:f>
        <x:v>0</x:v>
      </x:c>
      <x:c r="U866" s="8" t="n">
        <x:f>N866-I866*J866/H866</x:f>
        <x:v>0</x:v>
      </x:c>
      <x:c r="V866" s="8" t="n">
        <x:f>O866-I866*K866/H866</x:f>
        <x:v>40.75516119955732</x:v>
      </x:c>
      <x:c r="W866" s="8" t="n">
        <x:f>P866-J866*K866/H866</x:f>
        <x:v>0</x:v>
      </x:c>
      <x:c r="X866" s="8" t="n">
        <x:f>V866/S866</x:f>
        <x:v>0.5253209253497313</x:v>
      </x:c>
      <x:c r="Y866" s="8" t="n">
        <x:f>0</x:f>
        <x:v>0</x:v>
      </x:c>
      <x:c r="Z866" s="8" t="n">
        <x:f>K866/H866-X866*I866/H866-Y866*J866/H866</x:f>
        <x:v>-2.066234012011238</x:v>
      </x:c>
      <x:c r="AA866" s="8" t="n">
        <x:f>Z866+X866*Q866+Y866*R866</x:f>
        <x:v>-1.4923323555067556</x:v>
      </x:c>
    </x:row>
    <x:row r="867" ht="26" customHeight="1">
      <x:c r="A867" s="2"/>
      <x:c r="B867" s="2" t="n">
        <x:v>862</x:v>
      </x:c>
      <x:c r="C867" s="2" t="str">
        <x:v>Grooming / organic_volume_growth</x:v>
      </x:c>
      <x:c r="D867" s="2" t="str">
        <x:v>Own history</x:v>
      </x:c>
      <x:c r="E867" s="7" t="n">
        <x:v>45291</x:v>
      </x:c>
      <x:c r="F867" s="2" t="str">
        <x:v>Origin</x:v>
      </x:c>
      <x:c r="G867" s="7" t="n">
        <x:v>45200</x:v>
      </x:c>
      <x:c r="H867" s="2" t="n">
        <x:v>8</x:v>
      </x:c>
      <x:c r="I867" s="8" t="n">
        <x:v>-2</x:v>
      </x:c>
      <x:c r="J867" s="8" t="n">
        <x:v>0</x:v>
      </x:c>
      <x:c r="K867" s="8" t="n">
        <x:v>-8</x:v>
      </x:c>
      <x:c r="L867" s="8" t="n">
        <x:v>88</x:v>
      </x:c>
      <x:c r="M867" s="8" t="n">
        <x:v>0</x:v>
      </x:c>
      <x:c r="N867" s="8" t="n">
        <x:v>0</x:v>
      </x:c>
      <x:c r="O867" s="8" t="n">
        <x:v>27</x:v>
      </x:c>
      <x:c r="P867" s="8" t="n">
        <x:v>0</x:v>
      </x:c>
      <x:c r="Q867" s="8" t="n">
        <x:v>-1</x:v>
      </x:c>
      <x:c r="R867" s="8" t="n">
        <x:v>0</x:v>
      </x:c>
      <x:c r="S867" s="8" t="n">
        <x:f>L867-I867^2/H867</x:f>
        <x:v>87.5</x:v>
      </x:c>
      <x:c r="T867" s="8" t="n">
        <x:f>M867-J867^2/H867</x:f>
        <x:v>0</x:v>
      </x:c>
      <x:c r="U867" s="8" t="n">
        <x:f>N867-I867*J867/H867</x:f>
        <x:v>0</x:v>
      </x:c>
      <x:c r="V867" s="8" t="n">
        <x:f>O867-I867*K867/H867</x:f>
        <x:v>25</x:v>
      </x:c>
      <x:c r="W867" s="8" t="n">
        <x:f>P867-J867*K867/H867</x:f>
        <x:v>0</x:v>
      </x:c>
      <x:c r="X867" s="8" t="n">
        <x:f>V867/S867</x:f>
        <x:v>0.2857142857142857</x:v>
      </x:c>
      <x:c r="Y867" s="8" t="n">
        <x:f>0</x:f>
        <x:v>0</x:v>
      </x:c>
      <x:c r="Z867" s="8" t="n">
        <x:f>K867/H867-X867*I867/H867-Y867*J867/H867</x:f>
        <x:v>-0.9285714285714286</x:v>
      </x:c>
      <x:c r="AA867" s="8" t="n">
        <x:f>Z867+X867*Q867+Y867*R867</x:f>
        <x:v>-1.2142857142857144</x:v>
      </x:c>
    </x:row>
    <x:row r="868" ht="26" customHeight="1">
      <x:c r="A868" s="2"/>
      <x:c r="B868" s="2" t="n">
        <x:v>863</x:v>
      </x:c>
      <x:c r="C868" s="2" t="str">
        <x:v>Grooming / organic_volume_growth</x:v>
      </x:c>
      <x:c r="D868" s="2" t="str">
        <x:v>Broad market</x:v>
      </x:c>
      <x:c r="E868" s="7" t="n">
        <x:v>45291</x:v>
      </x:c>
      <x:c r="F868" s="2" t="str">
        <x:v>Prior report</x:v>
      </x:c>
      <x:c r="G868" s="7" t="n">
        <x:v>45217</x:v>
      </x:c>
      <x:c r="H868" s="2" t="n">
        <x:v>10</x:v>
      </x:c>
      <x:c r="I868" s="8" t="n">
        <x:v>36.567292681299975</x:v>
      </x:c>
      <x:c r="J868" s="8" t="n">
        <x:v>0</x:v>
      </x:c>
      <x:c r="K868" s="8" t="n">
        <x:v>-4</x:v>
      </x:c>
      <x:c r="L868" s="8" t="n">
        <x:v>345.1986530501643</x:v>
      </x:c>
      <x:c r="M868" s="8" t="n">
        <x:v>0</x:v>
      </x:c>
      <x:c r="N868" s="8" t="n">
        <x:v>0</x:v>
      </x:c>
      <x:c r="O868" s="8" t="n">
        <x:v>80.14645744326887</x:v>
      </x:c>
      <x:c r="P868" s="8" t="n">
        <x:v>0</x:v>
      </x:c>
      <x:c r="Q868" s="8" t="n">
        <x:v>1.0924781953477458</x:v>
      </x:c>
      <x:c r="R868" s="8" t="n">
        <x:v>0</x:v>
      </x:c>
      <x:c r="S868" s="8" t="n">
        <x:f>L868-I868^2/H868</x:f>
        <x:v>211.48196364617883</x:v>
      </x:c>
      <x:c r="T868" s="8" t="n">
        <x:f>M868-J868^2/H868</x:f>
        <x:v>0</x:v>
      </x:c>
      <x:c r="U868" s="8" t="n">
        <x:f>N868-I868*J868/H868</x:f>
        <x:v>0</x:v>
      </x:c>
      <x:c r="V868" s="8" t="n">
        <x:f>O868-I868*K868/H868</x:f>
        <x:v>94.77337451578886</x:v>
      </x:c>
      <x:c r="W868" s="8" t="n">
        <x:f>P868-J868*K868/H868</x:f>
        <x:v>0</x:v>
      </x:c>
      <x:c r="X868" s="8" t="n">
        <x:f>V868/S868</x:f>
        <x:v>0.44813927808212534</x:v>
      </x:c>
      <x:c r="Y868" s="8" t="n">
        <x:f>0</x:f>
        <x:v>0</x:v>
      </x:c>
      <x:c r="Z868" s="8" t="n">
        <x:f>K868/H868-X868*I868/H868-Y868*J868/H868</x:f>
        <x:v>-2.0387240143615557</x:v>
      </x:c>
      <x:c r="AA868" s="8" t="n">
        <x:f>Z868+X868*Q868+Y868*R868</x:f>
        <x:v>-1.549141624577954</x:v>
      </x:c>
    </x:row>
    <x:row r="869" ht="26" customHeight="1">
      <x:c r="A869" s="2"/>
      <x:c r="B869" s="2" t="n">
        <x:v>864</x:v>
      </x:c>
      <x:c r="C869" s="2" t="str">
        <x:v>Grooming / organic_volume_growth</x:v>
      </x:c>
      <x:c r="D869" s="2" t="str">
        <x:v>Broad rolling 8</x:v>
      </x:c>
      <x:c r="E869" s="7" t="n">
        <x:v>45291</x:v>
      </x:c>
      <x:c r="F869" s="2" t="str">
        <x:v>Prior report</x:v>
      </x:c>
      <x:c r="G869" s="7" t="n">
        <x:v>45217</x:v>
      </x:c>
      <x:c r="H869" s="2" t="n">
        <x:v>8</x:v>
      </x:c>
      <x:c r="I869" s="8" t="n">
        <x:v>16.237449689275486</x:v>
      </x:c>
      <x:c r="J869" s="8" t="n">
        <x:v>0</x:v>
      </x:c>
      <x:c r="K869" s="8" t="n">
        <x:v>-8</x:v>
      </x:c>
      <x:c r="L869" s="8" t="n">
        <x:v>110.53830054061801</x:v>
      </x:c>
      <x:c r="M869" s="8" t="n">
        <x:v>0</x:v>
      </x:c>
      <x:c r="N869" s="8" t="n">
        <x:v>0</x:v>
      </x:c>
      <x:c r="O869" s="8" t="n">
        <x:v>24.517711510281835</x:v>
      </x:c>
      <x:c r="P869" s="8" t="n">
        <x:v>0</x:v>
      </x:c>
      <x:c r="Q869" s="8" t="n">
        <x:v>1.0924781953477458</x:v>
      </x:c>
      <x:c r="R869" s="8" t="n">
        <x:v>0</x:v>
      </x:c>
      <x:c r="S869" s="8" t="n">
        <x:f>L869-I869^2/H869</x:f>
        <x:v>77.58145398914894</x:v>
      </x:c>
      <x:c r="T869" s="8" t="n">
        <x:f>M869-J869^2/H869</x:f>
        <x:v>0</x:v>
      </x:c>
      <x:c r="U869" s="8" t="n">
        <x:f>N869-I869*J869/H869</x:f>
        <x:v>0</x:v>
      </x:c>
      <x:c r="V869" s="8" t="n">
        <x:f>O869-I869*K869/H869</x:f>
        <x:v>40.75516119955732</x:v>
      </x:c>
      <x:c r="W869" s="8" t="n">
        <x:f>P869-J869*K869/H869</x:f>
        <x:v>0</x:v>
      </x:c>
      <x:c r="X869" s="8" t="n">
        <x:f>V869/S869</x:f>
        <x:v>0.5253209253497313</x:v>
      </x:c>
      <x:c r="Y869" s="8" t="n">
        <x:f>0</x:f>
        <x:v>0</x:v>
      </x:c>
      <x:c r="Z869" s="8" t="n">
        <x:f>K869/H869-X869*I869/H869-Y869*J869/H869</x:f>
        <x:v>-2.066234012011238</x:v>
      </x:c>
      <x:c r="AA869" s="8" t="n">
        <x:f>Z869+X869*Q869+Y869*R869</x:f>
        <x:v>-1.4923323555067556</x:v>
      </x:c>
    </x:row>
    <x:row r="870" ht="26" customHeight="1">
      <x:c r="A870" s="2"/>
      <x:c r="B870" s="2" t="n">
        <x:v>865</x:v>
      </x:c>
      <x:c r="C870" s="2" t="str">
        <x:v>Grooming / organic_volume_growth</x:v>
      </x:c>
      <x:c r="D870" s="2" t="str">
        <x:v>Own history</x:v>
      </x:c>
      <x:c r="E870" s="7" t="n">
        <x:v>45291</x:v>
      </x:c>
      <x:c r="F870" s="2" t="str">
        <x:v>Prior report</x:v>
      </x:c>
      <x:c r="G870" s="7" t="n">
        <x:v>45217</x:v>
      </x:c>
      <x:c r="H870" s="2" t="n">
        <x:v>10</x:v>
      </x:c>
      <x:c r="I870" s="8" t="n">
        <x:v>-4</x:v>
      </x:c>
      <x:c r="J870" s="8" t="n">
        <x:v>0</x:v>
      </x:c>
      <x:c r="K870" s="8" t="n">
        <x:v>-6</x:v>
      </x:c>
      <x:c r="L870" s="8" t="n">
        <x:v>90</x:v>
      </x:c>
      <x:c r="M870" s="8" t="n">
        <x:v>0</x:v>
      </x:c>
      <x:c r="N870" s="8" t="n">
        <x:v>0</x:v>
      </x:c>
      <x:c r="O870" s="8" t="n">
        <x:v>5</x:v>
      </x:c>
      <x:c r="P870" s="8" t="n">
        <x:v>0</x:v>
      </x:c>
      <x:c r="Q870" s="8" t="n">
        <x:v>-2</x:v>
      </x:c>
      <x:c r="R870" s="8" t="n">
        <x:v>0</x:v>
      </x:c>
      <x:c r="S870" s="8" t="n">
        <x:f>L870-I870^2/H870</x:f>
        <x:v>88.4</x:v>
      </x:c>
      <x:c r="T870" s="8" t="n">
        <x:f>M870-J870^2/H870</x:f>
        <x:v>0</x:v>
      </x:c>
      <x:c r="U870" s="8" t="n">
        <x:f>N870-I870*J870/H870</x:f>
        <x:v>0</x:v>
      </x:c>
      <x:c r="V870" s="8" t="n">
        <x:f>O870-I870*K870/H870</x:f>
        <x:v>2.6</x:v>
      </x:c>
      <x:c r="W870" s="8" t="n">
        <x:f>P870-J870*K870/H870</x:f>
        <x:v>0</x:v>
      </x:c>
      <x:c r="X870" s="8" t="n">
        <x:f>V870/S870</x:f>
        <x:v>0.029411764705882353</x:v>
      </x:c>
      <x:c r="Y870" s="8" t="n">
        <x:f>0</x:f>
        <x:v>0</x:v>
      </x:c>
      <x:c r="Z870" s="8" t="n">
        <x:f>K870/H870-X870*I870/H870-Y870*J870/H870</x:f>
        <x:v>-0.5882352941176471</x:v>
      </x:c>
      <x:c r="AA870" s="8" t="n">
        <x:f>Z870+X870*Q870+Y870*R870</x:f>
        <x:v>-0.6470588235294118</x:v>
      </x:c>
    </x:row>
    <x:row r="871" ht="26" customHeight="1">
      <x:c r="A871" s="2"/>
      <x:c r="B871" s="2" t="n">
        <x:v>866</x:v>
      </x:c>
      <x:c r="C871" s="2" t="str">
        <x:v>Grooming / organic_volume_growth</x:v>
      </x:c>
      <x:c r="D871" s="2" t="str">
        <x:v>Broad market</x:v>
      </x:c>
      <x:c r="E871" s="7" t="n">
        <x:v>45291</x:v>
      </x:c>
      <x:c r="F871" s="2" t="str">
        <x:v>Pre-earnings</x:v>
      </x:c>
      <x:c r="G871" s="7" t="n">
        <x:v>45313</x:v>
      </x:c>
      <x:c r="H871" s="2" t="n">
        <x:v>11</x:v>
      </x:c>
      <x:c r="I871" s="8" t="n">
        <x:v>38.00115718712883</x:v>
      </x:c>
      <x:c r="J871" s="8" t="n">
        <x:v>0</x:v>
      </x:c>
      <x:c r="K871" s="8" t="n">
        <x:v>-6</x:v>
      </x:c>
      <x:c r="L871" s="8" t="n">
        <x:v>347.2546204712401</x:v>
      </x:c>
      <x:c r="M871" s="8" t="n">
        <x:v>0</x:v>
      </x:c>
      <x:c r="N871" s="8" t="n">
        <x:v>0</x:v>
      </x:c>
      <x:c r="O871" s="8" t="n">
        <x:v>77.27872843161116</x:v>
      </x:c>
      <x:c r="P871" s="8" t="n">
        <x:v>0</x:v>
      </x:c>
      <x:c r="Q871" s="8" t="n">
        <x:v>1.491718651029772</x:v>
      </x:c>
      <x:c r="R871" s="8" t="n">
        <x:v>0</x:v>
      </x:c>
      <x:c r="S871" s="8" t="n">
        <x:f>L871-I871^2/H871</x:f>
        <x:v>215.9738979657062</x:v>
      </x:c>
      <x:c r="T871" s="8" t="n">
        <x:f>M871-J871^2/H871</x:f>
        <x:v>0</x:v>
      </x:c>
      <x:c r="U871" s="8" t="n">
        <x:f>N871-I871*J871/H871</x:f>
        <x:v>0</x:v>
      </x:c>
      <x:c r="V871" s="8" t="n">
        <x:f>O871-I871*K871/H871</x:f>
        <x:v>98.00663235186325</x:v>
      </x:c>
      <x:c r="W871" s="8" t="n">
        <x:f>P871-J871*K871/H871</x:f>
        <x:v>0</x:v>
      </x:c>
      <x:c r="X871" s="8" t="n">
        <x:f>V871/S871</x:f>
        <x:v>0.4537892461774497</x:v>
      </x:c>
      <x:c r="Y871" s="8" t="n">
        <x:f>0</x:f>
        <x:v>0</x:v>
      </x:c>
      <x:c r="Z871" s="8" t="n">
        <x:f>K871/H871-X871*I871/H871-Y871*J871/H871</x:f>
        <x:v>-2.113137861256179</x:v>
      </x:c>
      <x:c r="AA871" s="8" t="n">
        <x:f>Z871+X871*Q871+Y871*R871</x:f>
        <x:v>-1.4362119790965364</x:v>
      </x:c>
    </x:row>
    <x:row r="872" ht="26" customHeight="1">
      <x:c r="A872" s="2"/>
      <x:c r="B872" s="2" t="n">
        <x:v>867</x:v>
      </x:c>
      <x:c r="C872" s="2" t="str">
        <x:v>Grooming / organic_volume_growth</x:v>
      </x:c>
      <x:c r="D872" s="2" t="str">
        <x:v>Broad lag 1</x:v>
      </x:c>
      <x:c r="E872" s="7" t="n">
        <x:v>45291</x:v>
      </x:c>
      <x:c r="F872" s="2" t="str">
        <x:v>Pre-earnings</x:v>
      </x:c>
      <x:c r="G872" s="7" t="n">
        <x:v>45313</x:v>
      </x:c>
      <x:c r="H872" s="2" t="n">
        <x:v>10</x:v>
      </x:c>
      <x:c r="I872" s="8" t="n">
        <x:v>36.567292681299975</x:v>
      </x:c>
      <x:c r="J872" s="8" t="n">
        <x:v>0</x:v>
      </x:c>
      <x:c r="K872" s="8" t="n">
        <x:v>-6</x:v>
      </x:c>
      <x:c r="L872" s="8" t="n">
        <x:v>345.1986530501643</x:v>
      </x:c>
      <x:c r="M872" s="8" t="n">
        <x:v>0</x:v>
      </x:c>
      <x:c r="N872" s="8" t="n">
        <x:v>0</x:v>
      </x:c>
      <x:c r="O872" s="8" t="n">
        <x:v>50.814245083245225</x:v>
      </x:c>
      <x:c r="P872" s="8" t="n">
        <x:v>0</x:v>
      </x:c>
      <x:c r="Q872" s="8" t="n">
        <x:v>1.4338645058288524</x:v>
      </x:c>
      <x:c r="R872" s="8" t="n">
        <x:v>0</x:v>
      </x:c>
      <x:c r="S872" s="8" t="n">
        <x:f>L872-I872^2/H872</x:f>
        <x:v>211.48196364617883</x:v>
      </x:c>
      <x:c r="T872" s="8" t="n">
        <x:f>M872-J872^2/H872</x:f>
        <x:v>0</x:v>
      </x:c>
      <x:c r="U872" s="8" t="n">
        <x:f>N872-I872*J872/H872</x:f>
        <x:v>0</x:v>
      </x:c>
      <x:c r="V872" s="8" t="n">
        <x:f>O872-I872*K872/H872</x:f>
        <x:v>72.75462069202521</x:v>
      </x:c>
      <x:c r="W872" s="8" t="n">
        <x:f>P872-J872*K872/H872</x:f>
        <x:v>0</x:v>
      </x:c>
      <x:c r="X872" s="8" t="n">
        <x:f>V872/S872</x:f>
        <x:v>0.3440228161194293</x:v>
      </x:c>
      <x:c r="Y872" s="8" t="n">
        <x:f>0</x:f>
        <x:v>0</x:v>
      </x:c>
      <x:c r="Z872" s="8" t="n">
        <x:f>K872/H872-X872*I872/H872-Y872*J872/H872</x:f>
        <x:v>-1.8579983006084215</x:v>
      </x:c>
      <x:c r="AA872" s="8" t="n">
        <x:f>Z872+X872*Q872+Y872*R872</x:f>
        <x:v>-1.364716195379486</x:v>
      </x:c>
    </x:row>
    <x:row r="873" ht="26" customHeight="1">
      <x:c r="A873" s="2"/>
      <x:c r="B873" s="2" t="n">
        <x:v>868</x:v>
      </x:c>
      <x:c r="C873" s="2" t="str">
        <x:v>Grooming / organic_volume_growth</x:v>
      </x:c>
      <x:c r="D873" s="2" t="str">
        <x:v>Broad rolling 8</x:v>
      </x:c>
      <x:c r="E873" s="7" t="n">
        <x:v>45291</x:v>
      </x:c>
      <x:c r="F873" s="2" t="str">
        <x:v>Pre-earnings</x:v>
      </x:c>
      <x:c r="G873" s="7" t="n">
        <x:v>45313</x:v>
      </x:c>
      <x:c r="H873" s="2" t="n">
        <x:v>8</x:v>
      </x:c>
      <x:c r="I873" s="8" t="n">
        <x:v>10.87506296757349</x:v>
      </x:c>
      <x:c r="J873" s="8" t="n">
        <x:v>0</x:v>
      </x:c>
      <x:c r="K873" s="8" t="n">
        <x:v>-11</x:v>
      </x:c>
      <x:c r="L873" s="8" t="n">
        <x:v>66.40523721397928</x:v>
      </x:c>
      <x:c r="M873" s="8" t="n">
        <x:v>0</x:v>
      </x:c>
      <x:c r="N873" s="8" t="n">
        <x:v>0</x:v>
      </x:c>
      <x:c r="O873" s="8" t="n">
        <x:v>14.853731271093285</x:v>
      </x:c>
      <x:c r="P873" s="8" t="n">
        <x:v>0</x:v>
      </x:c>
      <x:c r="Q873" s="8" t="n">
        <x:v>1.491718651029772</x:v>
      </x:c>
      <x:c r="R873" s="8" t="n">
        <x:v>0</x:v>
      </x:c>
      <x:c r="S873" s="8" t="n">
        <x:f>L873-I873^2/H873</x:f>
        <x:v>51.621862895393235</x:v>
      </x:c>
      <x:c r="T873" s="8" t="n">
        <x:f>M873-J873^2/H873</x:f>
        <x:v>0</x:v>
      </x:c>
      <x:c r="U873" s="8" t="n">
        <x:f>N873-I873*J873/H873</x:f>
        <x:v>0</x:v>
      </x:c>
      <x:c r="V873" s="8" t="n">
        <x:f>O873-I873*K873/H873</x:f>
        <x:v>29.806942851506832</x:v>
      </x:c>
      <x:c r="W873" s="8" t="n">
        <x:f>P873-J873*K873/H873</x:f>
        <x:v>0</x:v>
      </x:c>
      <x:c r="X873" s="8" t="n">
        <x:f>V873/S873</x:f>
        <x:v>0.577409283192816</x:v>
      </x:c>
      <x:c r="Y873" s="8" t="n">
        <x:f>0</x:f>
        <x:v>0</x:v>
      </x:c>
      <x:c r="Z873" s="8" t="n">
        <x:f>K873/H873-X873*I873/H873-Y873*J873/H873</x:f>
        <x:v>-2.1599202890979186</x:v>
      </x:c>
      <x:c r="AA873" s="8" t="n">
        <x:f>Z873+X873*Q873+Y873*R873</x:f>
        <x:v>-1.2985880920814634</x:v>
      </x:c>
    </x:row>
    <x:row r="874" ht="26" customHeight="1">
      <x:c r="A874" s="2"/>
      <x:c r="B874" s="2" t="n">
        <x:v>869</x:v>
      </x:c>
      <x:c r="C874" s="2" t="str">
        <x:v>Grooming / organic_volume_growth</x:v>
      </x:c>
      <x:c r="D874" s="2" t="str">
        <x:v>Own history</x:v>
      </x:c>
      <x:c r="E874" s="7" t="n">
        <x:v>45291</x:v>
      </x:c>
      <x:c r="F874" s="2" t="str">
        <x:v>Pre-earnings</x:v>
      </x:c>
      <x:c r="G874" s="7" t="n">
        <x:v>45313</x:v>
      </x:c>
      <x:c r="H874" s="2" t="n">
        <x:v>10</x:v>
      </x:c>
      <x:c r="I874" s="8" t="n">
        <x:v>-4</x:v>
      </x:c>
      <x:c r="J874" s="8" t="n">
        <x:v>0</x:v>
      </x:c>
      <x:c r="K874" s="8" t="n">
        <x:v>-6</x:v>
      </x:c>
      <x:c r="L874" s="8" t="n">
        <x:v>90</x:v>
      </x:c>
      <x:c r="M874" s="8" t="n">
        <x:v>0</x:v>
      </x:c>
      <x:c r="N874" s="8" t="n">
        <x:v>0</x:v>
      </x:c>
      <x:c r="O874" s="8" t="n">
        <x:v>5</x:v>
      </x:c>
      <x:c r="P874" s="8" t="n">
        <x:v>0</x:v>
      </x:c>
      <x:c r="Q874" s="8" t="n">
        <x:v>-2</x:v>
      </x:c>
      <x:c r="R874" s="8" t="n">
        <x:v>0</x:v>
      </x:c>
      <x:c r="S874" s="8" t="n">
        <x:f>L874-I874^2/H874</x:f>
        <x:v>88.4</x:v>
      </x:c>
      <x:c r="T874" s="8" t="n">
        <x:f>M874-J874^2/H874</x:f>
        <x:v>0</x:v>
      </x:c>
      <x:c r="U874" s="8" t="n">
        <x:f>N874-I874*J874/H874</x:f>
        <x:v>0</x:v>
      </x:c>
      <x:c r="V874" s="8" t="n">
        <x:f>O874-I874*K874/H874</x:f>
        <x:v>2.6</x:v>
      </x:c>
      <x:c r="W874" s="8" t="n">
        <x:f>P874-J874*K874/H874</x:f>
        <x:v>0</x:v>
      </x:c>
      <x:c r="X874" s="8" t="n">
        <x:f>V874/S874</x:f>
        <x:v>0.029411764705882353</x:v>
      </x:c>
      <x:c r="Y874" s="8" t="n">
        <x:f>0</x:f>
        <x:v>0</x:v>
      </x:c>
      <x:c r="Z874" s="8" t="n">
        <x:f>K874/H874-X874*I874/H874-Y874*J874/H874</x:f>
        <x:v>-0.5882352941176471</x:v>
      </x:c>
      <x:c r="AA874" s="8" t="n">
        <x:f>Z874+X874*Q874+Y874*R874</x:f>
        <x:v>-0.6470588235294118</x:v>
      </x:c>
    </x:row>
    <x:row r="875" ht="26" customHeight="1">
      <x:c r="A875" s="2"/>
      <x:c r="B875" s="2" t="n">
        <x:v>870</x:v>
      </x:c>
      <x:c r="C875" s="2" t="str">
        <x:v>Grooming / organic_volume_growth</x:v>
      </x:c>
      <x:c r="D875" s="2" t="str">
        <x:v>Broad market</x:v>
      </x:c>
      <x:c r="E875" s="7" t="n">
        <x:v>45382</x:v>
      </x:c>
      <x:c r="F875" s="2" t="str">
        <x:v>Origin</x:v>
      </x:c>
      <x:c r="G875" s="7" t="n">
        <x:v>45292</x:v>
      </x:c>
      <x:c r="H875" s="2" t="n">
        <x:v>11</x:v>
      </x:c>
      <x:c r="I875" s="8" t="n">
        <x:v>38.00115718712883</x:v>
      </x:c>
      <x:c r="J875" s="8" t="n">
        <x:v>0</x:v>
      </x:c>
      <x:c r="K875" s="8" t="n">
        <x:v>-6</x:v>
      </x:c>
      <x:c r="L875" s="8" t="n">
        <x:v>347.2546204712401</x:v>
      </x:c>
      <x:c r="M875" s="8" t="n">
        <x:v>0</x:v>
      </x:c>
      <x:c r="N875" s="8" t="n">
        <x:v>0</x:v>
      </x:c>
      <x:c r="O875" s="8" t="n">
        <x:v>77.27872843161116</x:v>
      </x:c>
      <x:c r="P875" s="8" t="n">
        <x:v>0</x:v>
      </x:c>
      <x:c r="Q875" s="8" t="n">
        <x:v>1.39166817713261</x:v>
      </x:c>
      <x:c r="R875" s="8" t="n">
        <x:v>0</x:v>
      </x:c>
      <x:c r="S875" s="8" t="n">
        <x:f>L875-I875^2/H875</x:f>
        <x:v>215.9738979657062</x:v>
      </x:c>
      <x:c r="T875" s="8" t="n">
        <x:f>M875-J875^2/H875</x:f>
        <x:v>0</x:v>
      </x:c>
      <x:c r="U875" s="8" t="n">
        <x:f>N875-I875*J875/H875</x:f>
        <x:v>0</x:v>
      </x:c>
      <x:c r="V875" s="8" t="n">
        <x:f>O875-I875*K875/H875</x:f>
        <x:v>98.00663235186325</x:v>
      </x:c>
      <x:c r="W875" s="8" t="n">
        <x:f>P875-J875*K875/H875</x:f>
        <x:v>0</x:v>
      </x:c>
      <x:c r="X875" s="8" t="n">
        <x:f>V875/S875</x:f>
        <x:v>0.4537892461774497</x:v>
      </x:c>
      <x:c r="Y875" s="8" t="n">
        <x:f>0</x:f>
        <x:v>0</x:v>
      </x:c>
      <x:c r="Z875" s="8" t="n">
        <x:f>K875/H875-X875*I875/H875-Y875*J875/H875</x:f>
        <x:v>-2.113137861256179</x:v>
      </x:c>
      <x:c r="AA875" s="8" t="n">
        <x:f>Z875+X875*Q875+Y875*R875</x:f>
        <x:v>-1.4816138082260262</x:v>
      </x:c>
    </x:row>
    <x:row r="876" ht="26" customHeight="1">
      <x:c r="A876" s="2"/>
      <x:c r="B876" s="2" t="n">
        <x:v>871</x:v>
      </x:c>
      <x:c r="C876" s="2" t="str">
        <x:v>Grooming / organic_volume_growth</x:v>
      </x:c>
      <x:c r="D876" s="2" t="str">
        <x:v>Broad rolling 8</x:v>
      </x:c>
      <x:c r="E876" s="7" t="n">
        <x:v>45382</x:v>
      </x:c>
      <x:c r="F876" s="2" t="str">
        <x:v>Origin</x:v>
      </x:c>
      <x:c r="G876" s="7" t="n">
        <x:v>45292</x:v>
      </x:c>
      <x:c r="H876" s="2" t="n">
        <x:v>8</x:v>
      </x:c>
      <x:c r="I876" s="8" t="n">
        <x:v>10.87506296757349</x:v>
      </x:c>
      <x:c r="J876" s="8" t="n">
        <x:v>0</x:v>
      </x:c>
      <x:c r="K876" s="8" t="n">
        <x:v>-11</x:v>
      </x:c>
      <x:c r="L876" s="8" t="n">
        <x:v>66.40523721397928</x:v>
      </x:c>
      <x:c r="M876" s="8" t="n">
        <x:v>0</x:v>
      </x:c>
      <x:c r="N876" s="8" t="n">
        <x:v>0</x:v>
      </x:c>
      <x:c r="O876" s="8" t="n">
        <x:v>14.853731271093285</x:v>
      </x:c>
      <x:c r="P876" s="8" t="n">
        <x:v>0</x:v>
      </x:c>
      <x:c r="Q876" s="8" t="n">
        <x:v>1.39166817713261</x:v>
      </x:c>
      <x:c r="R876" s="8" t="n">
        <x:v>0</x:v>
      </x:c>
      <x:c r="S876" s="8" t="n">
        <x:f>L876-I876^2/H876</x:f>
        <x:v>51.621862895393235</x:v>
      </x:c>
      <x:c r="T876" s="8" t="n">
        <x:f>M876-J876^2/H876</x:f>
        <x:v>0</x:v>
      </x:c>
      <x:c r="U876" s="8" t="n">
        <x:f>N876-I876*J876/H876</x:f>
        <x:v>0</x:v>
      </x:c>
      <x:c r="V876" s="8" t="n">
        <x:f>O876-I876*K876/H876</x:f>
        <x:v>29.806942851506832</x:v>
      </x:c>
      <x:c r="W876" s="8" t="n">
        <x:f>P876-J876*K876/H876</x:f>
        <x:v>0</x:v>
      </x:c>
      <x:c r="X876" s="8" t="n">
        <x:f>V876/S876</x:f>
        <x:v>0.577409283192816</x:v>
      </x:c>
      <x:c r="Y876" s="8" t="n">
        <x:f>0</x:f>
        <x:v>0</x:v>
      </x:c>
      <x:c r="Z876" s="8" t="n">
        <x:f>K876/H876-X876*I876/H876-Y876*J876/H876</x:f>
        <x:v>-2.1599202890979186</x:v>
      </x:c>
      <x:c r="AA876" s="8" t="n">
        <x:f>Z876+X876*Q876+Y876*R876</x:f>
        <x:v>-1.356358164497525</x:v>
      </x:c>
    </x:row>
    <x:row r="877" ht="26" customHeight="1">
      <x:c r="A877" s="2"/>
      <x:c r="B877" s="2" t="n">
        <x:v>872</x:v>
      </x:c>
      <x:c r="C877" s="2" t="str">
        <x:v>Grooming / organic_volume_growth</x:v>
      </x:c>
      <x:c r="D877" s="2" t="str">
        <x:v>Own history</x:v>
      </x:c>
      <x:c r="E877" s="7" t="n">
        <x:v>45382</x:v>
      </x:c>
      <x:c r="F877" s="2" t="str">
        <x:v>Origin</x:v>
      </x:c>
      <x:c r="G877" s="7" t="n">
        <x:v>45292</x:v>
      </x:c>
      <x:c r="H877" s="2" t="n">
        <x:v>9</x:v>
      </x:c>
      <x:c r="I877" s="8" t="n">
        <x:v>-3</x:v>
      </x:c>
      <x:c r="J877" s="8" t="n">
        <x:v>0</x:v>
      </x:c>
      <x:c r="K877" s="8" t="n">
        <x:v>-10</x:v>
      </x:c>
      <x:c r="L877" s="8" t="n">
        <x:v>89</x:v>
      </x:c>
      <x:c r="M877" s="8" t="n">
        <x:v>0</x:v>
      </x:c>
      <x:c r="N877" s="8" t="n">
        <x:v>0</x:v>
      </x:c>
      <x:c r="O877" s="8" t="n">
        <x:v>29</x:v>
      </x:c>
      <x:c r="P877" s="8" t="n">
        <x:v>0</x:v>
      </x:c>
      <x:c r="Q877" s="8" t="n">
        <x:v>-2</x:v>
      </x:c>
      <x:c r="R877" s="8" t="n">
        <x:v>0</x:v>
      </x:c>
      <x:c r="S877" s="8" t="n">
        <x:f>L877-I877^2/H877</x:f>
        <x:v>88</x:v>
      </x:c>
      <x:c r="T877" s="8" t="n">
        <x:f>M877-J877^2/H877</x:f>
        <x:v>0</x:v>
      </x:c>
      <x:c r="U877" s="8" t="n">
        <x:f>N877-I877*J877/H877</x:f>
        <x:v>0</x:v>
      </x:c>
      <x:c r="V877" s="8" t="n">
        <x:f>O877-I877*K877/H877</x:f>
        <x:v>25.666666666666668</x:v>
      </x:c>
      <x:c r="W877" s="8" t="n">
        <x:f>P877-J877*K877/H877</x:f>
        <x:v>0</x:v>
      </x:c>
      <x:c r="X877" s="8" t="n">
        <x:f>V877/S877</x:f>
        <x:v>0.2916666666666667</x:v>
      </x:c>
      <x:c r="Y877" s="8" t="n">
        <x:f>0</x:f>
        <x:v>0</x:v>
      </x:c>
      <x:c r="Z877" s="8" t="n">
        <x:f>K877/H877-X877*I877/H877-Y877*J877/H877</x:f>
        <x:v>-1.0138888888888888</x:v>
      </x:c>
      <x:c r="AA877" s="8" t="n">
        <x:f>Z877+X877*Q877+Y877*R877</x:f>
        <x:v>-1.5972222222222223</x:v>
      </x:c>
    </x:row>
    <x:row r="878" ht="26" customHeight="1">
      <x:c r="A878" s="2"/>
      <x:c r="B878" s="2" t="n">
        <x:v>873</x:v>
      </x:c>
      <x:c r="C878" s="2" t="str">
        <x:v>Grooming / organic_volume_growth</x:v>
      </x:c>
      <x:c r="D878" s="2" t="str">
        <x:v>Broad market</x:v>
      </x:c>
      <x:c r="E878" s="7" t="n">
        <x:v>45382</x:v>
      </x:c>
      <x:c r="F878" s="2" t="str">
        <x:v>Prior report</x:v>
      </x:c>
      <x:c r="G878" s="7" t="n">
        <x:v>45314</x:v>
      </x:c>
      <x:c r="H878" s="2" t="n">
        <x:v>11</x:v>
      </x:c>
      <x:c r="I878" s="8" t="n">
        <x:v>38.00115718712883</x:v>
      </x:c>
      <x:c r="J878" s="8" t="n">
        <x:v>0</x:v>
      </x:c>
      <x:c r="K878" s="8" t="n">
        <x:v>-6</x:v>
      </x:c>
      <x:c r="L878" s="8" t="n">
        <x:v>347.2546204712401</x:v>
      </x:c>
      <x:c r="M878" s="8" t="n">
        <x:v>0</x:v>
      </x:c>
      <x:c r="N878" s="8" t="n">
        <x:v>0</x:v>
      </x:c>
      <x:c r="O878" s="8" t="n">
        <x:v>77.27872843161116</x:v>
      </x:c>
      <x:c r="P878" s="8" t="n">
        <x:v>0</x:v>
      </x:c>
      <x:c r="Q878" s="8" t="n">
        <x:v>1.39166817713261</x:v>
      </x:c>
      <x:c r="R878" s="8" t="n">
        <x:v>0</x:v>
      </x:c>
      <x:c r="S878" s="8" t="n">
        <x:f>L878-I878^2/H878</x:f>
        <x:v>215.9738979657062</x:v>
      </x:c>
      <x:c r="T878" s="8" t="n">
        <x:f>M878-J878^2/H878</x:f>
        <x:v>0</x:v>
      </x:c>
      <x:c r="U878" s="8" t="n">
        <x:f>N878-I878*J878/H878</x:f>
        <x:v>0</x:v>
      </x:c>
      <x:c r="V878" s="8" t="n">
        <x:f>O878-I878*K878/H878</x:f>
        <x:v>98.00663235186325</x:v>
      </x:c>
      <x:c r="W878" s="8" t="n">
        <x:f>P878-J878*K878/H878</x:f>
        <x:v>0</x:v>
      </x:c>
      <x:c r="X878" s="8" t="n">
        <x:f>V878/S878</x:f>
        <x:v>0.4537892461774497</x:v>
      </x:c>
      <x:c r="Y878" s="8" t="n">
        <x:f>0</x:f>
        <x:v>0</x:v>
      </x:c>
      <x:c r="Z878" s="8" t="n">
        <x:f>K878/H878-X878*I878/H878-Y878*J878/H878</x:f>
        <x:v>-2.113137861256179</x:v>
      </x:c>
      <x:c r="AA878" s="8" t="n">
        <x:f>Z878+X878*Q878+Y878*R878</x:f>
        <x:v>-1.4816138082260262</x:v>
      </x:c>
    </x:row>
    <x:row r="879" ht="26" customHeight="1">
      <x:c r="A879" s="2"/>
      <x:c r="B879" s="2" t="n">
        <x:v>874</x:v>
      </x:c>
      <x:c r="C879" s="2" t="str">
        <x:v>Grooming / organic_volume_growth</x:v>
      </x:c>
      <x:c r="D879" s="2" t="str">
        <x:v>Broad rolling 8</x:v>
      </x:c>
      <x:c r="E879" s="7" t="n">
        <x:v>45382</x:v>
      </x:c>
      <x:c r="F879" s="2" t="str">
        <x:v>Prior report</x:v>
      </x:c>
      <x:c r="G879" s="7" t="n">
        <x:v>45314</x:v>
      </x:c>
      <x:c r="H879" s="2" t="n">
        <x:v>8</x:v>
      </x:c>
      <x:c r="I879" s="8" t="n">
        <x:v>10.87506296757349</x:v>
      </x:c>
      <x:c r="J879" s="8" t="n">
        <x:v>0</x:v>
      </x:c>
      <x:c r="K879" s="8" t="n">
        <x:v>-11</x:v>
      </x:c>
      <x:c r="L879" s="8" t="n">
        <x:v>66.40523721397928</x:v>
      </x:c>
      <x:c r="M879" s="8" t="n">
        <x:v>0</x:v>
      </x:c>
      <x:c r="N879" s="8" t="n">
        <x:v>0</x:v>
      </x:c>
      <x:c r="O879" s="8" t="n">
        <x:v>14.853731271093285</x:v>
      </x:c>
      <x:c r="P879" s="8" t="n">
        <x:v>0</x:v>
      </x:c>
      <x:c r="Q879" s="8" t="n">
        <x:v>1.39166817713261</x:v>
      </x:c>
      <x:c r="R879" s="8" t="n">
        <x:v>0</x:v>
      </x:c>
      <x:c r="S879" s="8" t="n">
        <x:f>L879-I879^2/H879</x:f>
        <x:v>51.621862895393235</x:v>
      </x:c>
      <x:c r="T879" s="8" t="n">
        <x:f>M879-J879^2/H879</x:f>
        <x:v>0</x:v>
      </x:c>
      <x:c r="U879" s="8" t="n">
        <x:f>N879-I879*J879/H879</x:f>
        <x:v>0</x:v>
      </x:c>
      <x:c r="V879" s="8" t="n">
        <x:f>O879-I879*K879/H879</x:f>
        <x:v>29.806942851506832</x:v>
      </x:c>
      <x:c r="W879" s="8" t="n">
        <x:f>P879-J879*K879/H879</x:f>
        <x:v>0</x:v>
      </x:c>
      <x:c r="X879" s="8" t="n">
        <x:f>V879/S879</x:f>
        <x:v>0.577409283192816</x:v>
      </x:c>
      <x:c r="Y879" s="8" t="n">
        <x:f>0</x:f>
        <x:v>0</x:v>
      </x:c>
      <x:c r="Z879" s="8" t="n">
        <x:f>K879/H879-X879*I879/H879-Y879*J879/H879</x:f>
        <x:v>-2.1599202890979186</x:v>
      </x:c>
      <x:c r="AA879" s="8" t="n">
        <x:f>Z879+X879*Q879+Y879*R879</x:f>
        <x:v>-1.356358164497525</x:v>
      </x:c>
    </x:row>
    <x:row r="880" ht="26" customHeight="1">
      <x:c r="A880" s="2"/>
      <x:c r="B880" s="2" t="n">
        <x:v>875</x:v>
      </x:c>
      <x:c r="C880" s="2" t="str">
        <x:v>Grooming / organic_volume_growth</x:v>
      </x:c>
      <x:c r="D880" s="2" t="str">
        <x:v>Own history</x:v>
      </x:c>
      <x:c r="E880" s="7" t="n">
        <x:v>45382</x:v>
      </x:c>
      <x:c r="F880" s="2" t="str">
        <x:v>Prior report</x:v>
      </x:c>
      <x:c r="G880" s="7" t="n">
        <x:v>45314</x:v>
      </x:c>
      <x:c r="H880" s="2" t="n">
        <x:v>11</x:v>
      </x:c>
      <x:c r="I880" s="8" t="n">
        <x:v>-6</x:v>
      </x:c>
      <x:c r="J880" s="8" t="n">
        <x:v>0</x:v>
      </x:c>
      <x:c r="K880" s="8" t="n">
        <x:v>-5</x:v>
      </x:c>
      <x:c r="L880" s="8" t="n">
        <x:v>94</x:v>
      </x:c>
      <x:c r="M880" s="8" t="n">
        <x:v>0</x:v>
      </x:c>
      <x:c r="N880" s="8" t="n">
        <x:v>0</x:v>
      </x:c>
      <x:c r="O880" s="8" t="n">
        <x:v>3</x:v>
      </x:c>
      <x:c r="P880" s="8" t="n">
        <x:v>0</x:v>
      </x:c>
      <x:c r="Q880" s="8" t="n">
        <x:v>1</x:v>
      </x:c>
      <x:c r="R880" s="8" t="n">
        <x:v>0</x:v>
      </x:c>
      <x:c r="S880" s="8" t="n">
        <x:f>L880-I880^2/H880</x:f>
        <x:v>90.72727272727273</x:v>
      </x:c>
      <x:c r="T880" s="8" t="n">
        <x:f>M880-J880^2/H880</x:f>
        <x:v>0</x:v>
      </x:c>
      <x:c r="U880" s="8" t="n">
        <x:f>N880-I880*J880/H880</x:f>
        <x:v>0</x:v>
      </x:c>
      <x:c r="V880" s="8" t="n">
        <x:f>O880-I880*K880/H880</x:f>
        <x:v>0.27272727272727293</x:v>
      </x:c>
      <x:c r="W880" s="8" t="n">
        <x:f>P880-J880*K880/H880</x:f>
        <x:v>0</x:v>
      </x:c>
      <x:c r="X880" s="8" t="n">
        <x:f>V880/S880</x:f>
        <x:v>0.0030060120240480983</x:v>
      </x:c>
      <x:c r="Y880" s="8" t="n">
        <x:f>0</x:f>
        <x:v>0</x:v>
      </x:c>
      <x:c r="Z880" s="8" t="n">
        <x:f>K880/H880-X880*I880/H880-Y880*J880/H880</x:f>
        <x:v>-0.4529058116232465</x:v>
      </x:c>
      <x:c r="AA880" s="8" t="n">
        <x:f>Z880+X880*Q880+Y880*R880</x:f>
        <x:v>-0.4498997995991984</x:v>
      </x:c>
    </x:row>
    <x:row r="881" ht="26" customHeight="1">
      <x:c r="A881" s="2"/>
      <x:c r="B881" s="2" t="n">
        <x:v>876</x:v>
      </x:c>
      <x:c r="C881" s="2" t="str">
        <x:v>Grooming / organic_volume_growth</x:v>
      </x:c>
      <x:c r="D881" s="2" t="str">
        <x:v>Broad market</x:v>
      </x:c>
      <x:c r="E881" s="7" t="n">
        <x:v>45382</x:v>
      </x:c>
      <x:c r="F881" s="2" t="str">
        <x:v>Pre-earnings</x:v>
      </x:c>
      <x:c r="G881" s="7" t="n">
        <x:v>45400</x:v>
      </x:c>
      <x:c r="H881" s="2" t="n">
        <x:v>12</x:v>
      </x:c>
      <x:c r="I881" s="8" t="n">
        <x:v>40.03102350077526</x:v>
      </x:c>
      <x:c r="J881" s="8" t="n">
        <x:v>0</x:v>
      </x:c>
      <x:c r="K881" s="8" t="n">
        <x:v>-5</x:v>
      </x:c>
      <x:c r="L881" s="8" t="n">
        <x:v>351.3749777225167</x:v>
      </x:c>
      <x:c r="M881" s="8" t="n">
        <x:v>0</x:v>
      </x:c>
      <x:c r="N881" s="8" t="n">
        <x:v>0</x:v>
      </x:c>
      <x:c r="O881" s="8" t="n">
        <x:v>79.3085947452576</x:v>
      </x:c>
      <x:c r="P881" s="8" t="n">
        <x:v>0</x:v>
      </x:c>
      <x:c r="Q881" s="8" t="n">
        <x:v>1.367016339178151</x:v>
      </x:c>
      <x:c r="R881" s="8" t="n">
        <x:v>0</x:v>
      </x:c>
      <x:c r="S881" s="8" t="n">
        <x:f>L881-I881^2/H881</x:f>
        <x:v>217.83474084588158</x:v>
      </x:c>
      <x:c r="T881" s="8" t="n">
        <x:f>M881-J881^2/H881</x:f>
        <x:v>0</x:v>
      </x:c>
      <x:c r="U881" s="8" t="n">
        <x:f>N881-I881*J881/H881</x:f>
        <x:v>0</x:v>
      </x:c>
      <x:c r="V881" s="8" t="n">
        <x:f>O881-I881*K881/H881</x:f>
        <x:v>95.98818787058062</x:v>
      </x:c>
      <x:c r="W881" s="8" t="n">
        <x:f>P881-J881*K881/H881</x:f>
        <x:v>0</x:v>
      </x:c>
      <x:c r="X881" s="8" t="n">
        <x:f>V881/S881</x:f>
        <x:v>0.4406468293250451</x:v>
      </x:c>
      <x:c r="Y881" s="8" t="n">
        <x:f>0</x:f>
        <x:v>0</x:v>
      </x:c>
      <x:c r="Z881" s="8" t="n">
        <x:f>K881/H881-X881*I881/H881-Y881*J881/H881</x:f>
        <x:v>-1.886628631687749</x:v>
      </x:c>
      <x:c r="AA881" s="8" t="n">
        <x:f>Z881+X881*Q881+Y881*R881</x:f>
        <x:v>-1.2842572161933663</x:v>
      </x:c>
    </x:row>
    <x:row r="882" ht="26" customHeight="1">
      <x:c r="A882" s="2"/>
      <x:c r="B882" s="2" t="n">
        <x:v>877</x:v>
      </x:c>
      <x:c r="C882" s="2" t="str">
        <x:v>Grooming / organic_volume_growth</x:v>
      </x:c>
      <x:c r="D882" s="2" t="str">
        <x:v>Broad lag 1</x:v>
      </x:c>
      <x:c r="E882" s="7" t="n">
        <x:v>45382</x:v>
      </x:c>
      <x:c r="F882" s="2" t="str">
        <x:v>Pre-earnings</x:v>
      </x:c>
      <x:c r="G882" s="7" t="n">
        <x:v>45400</x:v>
      </x:c>
      <x:c r="H882" s="2" t="n">
        <x:v>11</x:v>
      </x:c>
      <x:c r="I882" s="8" t="n">
        <x:v>38.00115718712883</x:v>
      </x:c>
      <x:c r="J882" s="8" t="n">
        <x:v>0</x:v>
      </x:c>
      <x:c r="K882" s="8" t="n">
        <x:v>-5</x:v>
      </x:c>
      <x:c r="L882" s="8" t="n">
        <x:v>347.2546204712401</x:v>
      </x:c>
      <x:c r="M882" s="8" t="n">
        <x:v>0</x:v>
      </x:c>
      <x:c r="N882" s="8" t="n">
        <x:v>0</x:v>
      </x:c>
      <x:c r="O882" s="8" t="n">
        <x:v>52.248109589074076</x:v>
      </x:c>
      <x:c r="P882" s="8" t="n">
        <x:v>0</x:v>
      </x:c>
      <x:c r="Q882" s="8" t="n">
        <x:v>2.0298663136464334</x:v>
      </x:c>
      <x:c r="R882" s="8" t="n">
        <x:v>0</x:v>
      </x:c>
      <x:c r="S882" s="8" t="n">
        <x:f>L882-I882^2/H882</x:f>
        <x:v>215.9738979657062</x:v>
      </x:c>
      <x:c r="T882" s="8" t="n">
        <x:f>M882-J882^2/H882</x:f>
        <x:v>0</x:v>
      </x:c>
      <x:c r="U882" s="8" t="n">
        <x:f>N882-I882*J882/H882</x:f>
        <x:v>0</x:v>
      </x:c>
      <x:c r="V882" s="8" t="n">
        <x:f>O882-I882*K882/H882</x:f>
        <x:v>69.52136285595081</x:v>
      </x:c>
      <x:c r="W882" s="8" t="n">
        <x:f>P882-J882*K882/H882</x:f>
        <x:v>0</x:v>
      </x:c>
      <x:c r="X882" s="8" t="n">
        <x:f>V882/S882</x:f>
        <x:v>0.3218970602965637</x:v>
      </x:c>
      <x:c r="Y882" s="8" t="n">
        <x:f>0</x:f>
        <x:v>0</x:v>
      </x:c>
      <x:c r="Z882" s="8" t="n">
        <x:f>K882/H882-X882*I882/H882-Y882*J882/H882</x:f>
        <x:v>-1.5665873442185823</x:v>
      </x:c>
      <x:c r="AA882" s="8" t="n">
        <x:f>Z882+X882*Q882+Y882*R882</x:f>
        <x:v>-0.9131793450607728</x:v>
      </x:c>
    </x:row>
    <x:row r="883" ht="26" customHeight="1">
      <x:c r="A883" s="2"/>
      <x:c r="B883" s="2" t="n">
        <x:v>878</x:v>
      </x:c>
      <x:c r="C883" s="2" t="str">
        <x:v>Grooming / organic_volume_growth</x:v>
      </x:c>
      <x:c r="D883" s="2" t="str">
        <x:v>Broad rolling 8</x:v>
      </x:c>
      <x:c r="E883" s="7" t="n">
        <x:v>45382</x:v>
      </x:c>
      <x:c r="F883" s="2" t="str">
        <x:v>Pre-earnings</x:v>
      </x:c>
      <x:c r="G883" s="7" t="n">
        <x:v>45400</x:v>
      </x:c>
      <x:c r="H883" s="2" t="n">
        <x:v>8</x:v>
      </x:c>
      <x:c r="I883" s="8" t="n">
        <x:v>5.901666759832869</x:v>
      </x:c>
      <x:c r="J883" s="8" t="n">
        <x:v>0</x:v>
      </x:c>
      <x:c r="K883" s="8" t="n">
        <x:v>-11</x:v>
      </x:c>
      <x:c r="L883" s="8" t="n">
        <x:v>21.479908521791273</x:v>
      </x:c>
      <x:c r="M883" s="8" t="n">
        <x:v>0</x:v>
      </x:c>
      <x:c r="N883" s="8" t="n">
        <x:v>0</x:v>
      </x:c>
      <x:c r="O883" s="8" t="n">
        <x:v>9.880335063352664</x:v>
      </x:c>
      <x:c r="P883" s="8" t="n">
        <x:v>0</x:v>
      </x:c>
      <x:c r="Q883" s="8" t="n">
        <x:v>1.367016339178151</x:v>
      </x:c>
      <x:c r="R883" s="8" t="n">
        <x:v>0</x:v>
      </x:c>
      <x:c r="S883" s="8" t="n">
        <x:f>L883-I883^2/H883</x:f>
        <x:v>17.12619970377675</x:v>
      </x:c>
      <x:c r="T883" s="8" t="n">
        <x:f>M883-J883^2/H883</x:f>
        <x:v>0</x:v>
      </x:c>
      <x:c r="U883" s="8" t="n">
        <x:f>N883-I883*J883/H883</x:f>
        <x:v>0</x:v>
      </x:c>
      <x:c r="V883" s="8" t="n">
        <x:f>O883-I883*K883/H883</x:f>
        <x:v>17.99512685812286</x:v>
      </x:c>
      <x:c r="W883" s="8" t="n">
        <x:f>P883-J883*K883/H883</x:f>
        <x:v>0</x:v>
      </x:c>
      <x:c r="X883" s="8" t="n">
        <x:f>V883/S883</x:f>
        <x:v>1.0507367173906357</x:v>
      </x:c>
      <x:c r="Y883" s="8" t="n">
        <x:f>0</x:f>
        <x:v>0</x:v>
      </x:c>
      <x:c r="Z883" s="8" t="n">
        <x:f>K883/H883-X883*I883/H883-Y883*J883/H883</x:f>
        <x:v>-2.1501372447950273</x:v>
      </x:c>
      <x:c r="AA883" s="8" t="n">
        <x:f>Z883+X883*Q883+Y883*R883</x:f>
        <x:v>-0.7137629839476132</x:v>
      </x:c>
    </x:row>
    <x:row r="884" ht="26" customHeight="1">
      <x:c r="A884" s="2"/>
      <x:c r="B884" s="2" t="n">
        <x:v>879</x:v>
      </x:c>
      <x:c r="C884" s="2" t="str">
        <x:v>Grooming / organic_volume_growth</x:v>
      </x:c>
      <x:c r="D884" s="2" t="str">
        <x:v>Own history</x:v>
      </x:c>
      <x:c r="E884" s="7" t="n">
        <x:v>45382</x:v>
      </x:c>
      <x:c r="F884" s="2" t="str">
        <x:v>Pre-earnings</x:v>
      </x:c>
      <x:c r="G884" s="7" t="n">
        <x:v>45400</x:v>
      </x:c>
      <x:c r="H884" s="2" t="n">
        <x:v>11</x:v>
      </x:c>
      <x:c r="I884" s="8" t="n">
        <x:v>-6</x:v>
      </x:c>
      <x:c r="J884" s="8" t="n">
        <x:v>0</x:v>
      </x:c>
      <x:c r="K884" s="8" t="n">
        <x:v>-5</x:v>
      </x:c>
      <x:c r="L884" s="8" t="n">
        <x:v>94</x:v>
      </x:c>
      <x:c r="M884" s="8" t="n">
        <x:v>0</x:v>
      </x:c>
      <x:c r="N884" s="8" t="n">
        <x:v>0</x:v>
      </x:c>
      <x:c r="O884" s="8" t="n">
        <x:v>3</x:v>
      </x:c>
      <x:c r="P884" s="8" t="n">
        <x:v>0</x:v>
      </x:c>
      <x:c r="Q884" s="8" t="n">
        <x:v>1</x:v>
      </x:c>
      <x:c r="R884" s="8" t="n">
        <x:v>0</x:v>
      </x:c>
      <x:c r="S884" s="8" t="n">
        <x:f>L884-I884^2/H884</x:f>
        <x:v>90.72727272727273</x:v>
      </x:c>
      <x:c r="T884" s="8" t="n">
        <x:f>M884-J884^2/H884</x:f>
        <x:v>0</x:v>
      </x:c>
      <x:c r="U884" s="8" t="n">
        <x:f>N884-I884*J884/H884</x:f>
        <x:v>0</x:v>
      </x:c>
      <x:c r="V884" s="8" t="n">
        <x:f>O884-I884*K884/H884</x:f>
        <x:v>0.27272727272727293</x:v>
      </x:c>
      <x:c r="W884" s="8" t="n">
        <x:f>P884-J884*K884/H884</x:f>
        <x:v>0</x:v>
      </x:c>
      <x:c r="X884" s="8" t="n">
        <x:f>V884/S884</x:f>
        <x:v>0.0030060120240480983</x:v>
      </x:c>
      <x:c r="Y884" s="8" t="n">
        <x:f>0</x:f>
        <x:v>0</x:v>
      </x:c>
      <x:c r="Z884" s="8" t="n">
        <x:f>K884/H884-X884*I884/H884-Y884*J884/H884</x:f>
        <x:v>-0.4529058116232465</x:v>
      </x:c>
      <x:c r="AA884" s="8" t="n">
        <x:f>Z884+X884*Q884+Y884*R884</x:f>
        <x:v>-0.4498997995991984</x:v>
      </x:c>
    </x:row>
    <x:row r="885" ht="26" customHeight="1">
      <x:c r="A885" s="2"/>
      <x:c r="B885" s="2" t="n">
        <x:v>880</x:v>
      </x:c>
      <x:c r="C885" s="2" t="str">
        <x:v>Grooming / organic_volume_growth</x:v>
      </x:c>
      <x:c r="D885" s="2" t="str">
        <x:v>Broad market</x:v>
      </x:c>
      <x:c r="E885" s="7" t="n">
        <x:v>45473</x:v>
      </x:c>
      <x:c r="F885" s="2" t="str">
        <x:v>Origin</x:v>
      </x:c>
      <x:c r="G885" s="7" t="n">
        <x:v>45383</x:v>
      </x:c>
      <x:c r="H885" s="2" t="n">
        <x:v>12</x:v>
      </x:c>
      <x:c r="I885" s="8" t="n">
        <x:v>40.03102350077526</x:v>
      </x:c>
      <x:c r="J885" s="8" t="n">
        <x:v>0</x:v>
      </x:c>
      <x:c r="K885" s="8" t="n">
        <x:v>-5</x:v>
      </x:c>
      <x:c r="L885" s="8" t="n">
        <x:v>351.3749777225167</x:v>
      </x:c>
      <x:c r="M885" s="8" t="n">
        <x:v>0</x:v>
      </x:c>
      <x:c r="N885" s="8" t="n">
        <x:v>0</x:v>
      </x:c>
      <x:c r="O885" s="8" t="n">
        <x:v>79.3085947452576</x:v>
      </x:c>
      <x:c r="P885" s="8" t="n">
        <x:v>0</x:v>
      </x:c>
      <x:c r="Q885" s="8" t="n">
        <x:v>1.669924885570362</x:v>
      </x:c>
      <x:c r="R885" s="8" t="n">
        <x:v>0</x:v>
      </x:c>
      <x:c r="S885" s="8" t="n">
        <x:f>L885-I885^2/H885</x:f>
        <x:v>217.83474084588158</x:v>
      </x:c>
      <x:c r="T885" s="8" t="n">
        <x:f>M885-J885^2/H885</x:f>
        <x:v>0</x:v>
      </x:c>
      <x:c r="U885" s="8" t="n">
        <x:f>N885-I885*J885/H885</x:f>
        <x:v>0</x:v>
      </x:c>
      <x:c r="V885" s="8" t="n">
        <x:f>O885-I885*K885/H885</x:f>
        <x:v>95.98818787058062</x:v>
      </x:c>
      <x:c r="W885" s="8" t="n">
        <x:f>P885-J885*K885/H885</x:f>
        <x:v>0</x:v>
      </x:c>
      <x:c r="X885" s="8" t="n">
        <x:f>V885/S885</x:f>
        <x:v>0.4406468293250451</x:v>
      </x:c>
      <x:c r="Y885" s="8" t="n">
        <x:f>0</x:f>
        <x:v>0</x:v>
      </x:c>
      <x:c r="Z885" s="8" t="n">
        <x:f>K885/H885-X885*I885/H885-Y885*J885/H885</x:f>
        <x:v>-1.886628631687749</x:v>
      </x:c>
      <x:c r="AA885" s="8" t="n">
        <x:f>Z885+X885*Q885+Y885*R885</x:f>
        <x:v>-1.15078152565018</x:v>
      </x:c>
    </x:row>
    <x:row r="886" ht="26" customHeight="1">
      <x:c r="A886" s="2"/>
      <x:c r="B886" s="2" t="n">
        <x:v>881</x:v>
      </x:c>
      <x:c r="C886" s="2" t="str">
        <x:v>Grooming / organic_volume_growth</x:v>
      </x:c>
      <x:c r="D886" s="2" t="str">
        <x:v>Broad rolling 8</x:v>
      </x:c>
      <x:c r="E886" s="7" t="n">
        <x:v>45473</x:v>
      </x:c>
      <x:c r="F886" s="2" t="str">
        <x:v>Origin</x:v>
      </x:c>
      <x:c r="G886" s="7" t="n">
        <x:v>45383</x:v>
      </x:c>
      <x:c r="H886" s="2" t="n">
        <x:v>8</x:v>
      </x:c>
      <x:c r="I886" s="8" t="n">
        <x:v>5.901666759832869</x:v>
      </x:c>
      <x:c r="J886" s="8" t="n">
        <x:v>0</x:v>
      </x:c>
      <x:c r="K886" s="8" t="n">
        <x:v>-11</x:v>
      </x:c>
      <x:c r="L886" s="8" t="n">
        <x:v>21.479908521791273</x:v>
      </x:c>
      <x:c r="M886" s="8" t="n">
        <x:v>0</x:v>
      </x:c>
      <x:c r="N886" s="8" t="n">
        <x:v>0</x:v>
      </x:c>
      <x:c r="O886" s="8" t="n">
        <x:v>9.880335063352664</x:v>
      </x:c>
      <x:c r="P886" s="8" t="n">
        <x:v>0</x:v>
      </x:c>
      <x:c r="Q886" s="8" t="n">
        <x:v>1.669924885570362</x:v>
      </x:c>
      <x:c r="R886" s="8" t="n">
        <x:v>0</x:v>
      </x:c>
      <x:c r="S886" s="8" t="n">
        <x:f>L886-I886^2/H886</x:f>
        <x:v>17.12619970377675</x:v>
      </x:c>
      <x:c r="T886" s="8" t="n">
        <x:f>M886-J886^2/H886</x:f>
        <x:v>0</x:v>
      </x:c>
      <x:c r="U886" s="8" t="n">
        <x:f>N886-I886*J886/H886</x:f>
        <x:v>0</x:v>
      </x:c>
      <x:c r="V886" s="8" t="n">
        <x:f>O886-I886*K886/H886</x:f>
        <x:v>17.99512685812286</x:v>
      </x:c>
      <x:c r="W886" s="8" t="n">
        <x:f>P886-J886*K886/H886</x:f>
        <x:v>0</x:v>
      </x:c>
      <x:c r="X886" s="8" t="n">
        <x:f>V886/S886</x:f>
        <x:v>1.0507367173906357</x:v>
      </x:c>
      <x:c r="Y886" s="8" t="n">
        <x:f>0</x:f>
        <x:v>0</x:v>
      </x:c>
      <x:c r="Z886" s="8" t="n">
        <x:f>K886/H886-X886*I886/H886-Y886*J886/H886</x:f>
        <x:v>-2.1501372447950273</x:v>
      </x:c>
      <x:c r="AA886" s="8" t="n">
        <x:f>Z886+X886*Q886+Y886*R886</x:f>
        <x:v>-0.39548585224189226</x:v>
      </x:c>
    </x:row>
    <x:row r="887" ht="26" customHeight="1">
      <x:c r="A887" s="2"/>
      <x:c r="B887" s="2" t="n">
        <x:v>882</x:v>
      </x:c>
      <x:c r="C887" s="2" t="str">
        <x:v>Grooming / organic_volume_growth</x:v>
      </x:c>
      <x:c r="D887" s="2" t="str">
        <x:v>Own history</x:v>
      </x:c>
      <x:c r="E887" s="7" t="n">
        <x:v>45473</x:v>
      </x:c>
      <x:c r="F887" s="2" t="str">
        <x:v>Origin</x:v>
      </x:c>
      <x:c r="G887" s="7" t="n">
        <x:v>45383</x:v>
      </x:c>
      <x:c r="H887" s="2" t="n">
        <x:v>10</x:v>
      </x:c>
      <x:c r="I887" s="8" t="n">
        <x:v>-4</x:v>
      </x:c>
      <x:c r="J887" s="8" t="n">
        <x:v>0</x:v>
      </x:c>
      <x:c r="K887" s="8" t="n">
        <x:v>-9</x:v>
      </x:c>
      <x:c r="L887" s="8" t="n">
        <x:v>90</x:v>
      </x:c>
      <x:c r="M887" s="8" t="n">
        <x:v>0</x:v>
      </x:c>
      <x:c r="N887" s="8" t="n">
        <x:v>0</x:v>
      </x:c>
      <x:c r="O887" s="8" t="n">
        <x:v>28</x:v>
      </x:c>
      <x:c r="P887" s="8" t="n">
        <x:v>0</x:v>
      </x:c>
      <x:c r="Q887" s="8" t="n">
        <x:v>1</x:v>
      </x:c>
      <x:c r="R887" s="8" t="n">
        <x:v>0</x:v>
      </x:c>
      <x:c r="S887" s="8" t="n">
        <x:f>L887-I887^2/H887</x:f>
        <x:v>88.4</x:v>
      </x:c>
      <x:c r="T887" s="8" t="n">
        <x:f>M887-J887^2/H887</x:f>
        <x:v>0</x:v>
      </x:c>
      <x:c r="U887" s="8" t="n">
        <x:f>N887-I887*J887/H887</x:f>
        <x:v>0</x:v>
      </x:c>
      <x:c r="V887" s="8" t="n">
        <x:f>O887-I887*K887/H887</x:f>
        <x:v>24.4</x:v>
      </x:c>
      <x:c r="W887" s="8" t="n">
        <x:f>P887-J887*K887/H887</x:f>
        <x:v>0</x:v>
      </x:c>
      <x:c r="X887" s="8" t="n">
        <x:f>V887/S887</x:f>
        <x:v>0.2760180995475113</x:v>
      </x:c>
      <x:c r="Y887" s="8" t="n">
        <x:f>0</x:f>
        <x:v>0</x:v>
      </x:c>
      <x:c r="Z887" s="8" t="n">
        <x:f>K887/H887-X887*I887/H887-Y887*J887/H887</x:f>
        <x:v>-0.7895927601809956</x:v>
      </x:c>
      <x:c r="AA887" s="8" t="n">
        <x:f>Z887+X887*Q887+Y887*R887</x:f>
        <x:v>-0.5135746606334843</x:v>
      </x:c>
    </x:row>
    <x:row r="888" ht="26" customHeight="1">
      <x:c r="A888" s="2"/>
      <x:c r="B888" s="2" t="n">
        <x:v>883</x:v>
      </x:c>
      <x:c r="C888" s="2" t="str">
        <x:v>Grooming / organic_volume_growth</x:v>
      </x:c>
      <x:c r="D888" s="2" t="str">
        <x:v>Broad market</x:v>
      </x:c>
      <x:c r="E888" s="7" t="n">
        <x:v>45473</x:v>
      </x:c>
      <x:c r="F888" s="2" t="str">
        <x:v>Prior report</x:v>
      </x:c>
      <x:c r="G888" s="7" t="n">
        <x:v>45401</x:v>
      </x:c>
      <x:c r="H888" s="2" t="n">
        <x:v>12</x:v>
      </x:c>
      <x:c r="I888" s="8" t="n">
        <x:v>40.03102350077526</x:v>
      </x:c>
      <x:c r="J888" s="8" t="n">
        <x:v>0</x:v>
      </x:c>
      <x:c r="K888" s="8" t="n">
        <x:v>-5</x:v>
      </x:c>
      <x:c r="L888" s="8" t="n">
        <x:v>351.3749777225167</x:v>
      </x:c>
      <x:c r="M888" s="8" t="n">
        <x:v>0</x:v>
      </x:c>
      <x:c r="N888" s="8" t="n">
        <x:v>0</x:v>
      </x:c>
      <x:c r="O888" s="8" t="n">
        <x:v>79.3085947452576</x:v>
      </x:c>
      <x:c r="P888" s="8" t="n">
        <x:v>0</x:v>
      </x:c>
      <x:c r="Q888" s="8" t="n">
        <x:v>1.669924885570362</x:v>
      </x:c>
      <x:c r="R888" s="8" t="n">
        <x:v>0</x:v>
      </x:c>
      <x:c r="S888" s="8" t="n">
        <x:f>L888-I888^2/H888</x:f>
        <x:v>217.83474084588158</x:v>
      </x:c>
      <x:c r="T888" s="8" t="n">
        <x:f>M888-J888^2/H888</x:f>
        <x:v>0</x:v>
      </x:c>
      <x:c r="U888" s="8" t="n">
        <x:f>N888-I888*J888/H888</x:f>
        <x:v>0</x:v>
      </x:c>
      <x:c r="V888" s="8" t="n">
        <x:f>O888-I888*K888/H888</x:f>
        <x:v>95.98818787058062</x:v>
      </x:c>
      <x:c r="W888" s="8" t="n">
        <x:f>P888-J888*K888/H888</x:f>
        <x:v>0</x:v>
      </x:c>
      <x:c r="X888" s="8" t="n">
        <x:f>V888/S888</x:f>
        <x:v>0.4406468293250451</x:v>
      </x:c>
      <x:c r="Y888" s="8" t="n">
        <x:f>0</x:f>
        <x:v>0</x:v>
      </x:c>
      <x:c r="Z888" s="8" t="n">
        <x:f>K888/H888-X888*I888/H888-Y888*J888/H888</x:f>
        <x:v>-1.886628631687749</x:v>
      </x:c>
      <x:c r="AA888" s="8" t="n">
        <x:f>Z888+X888*Q888+Y888*R888</x:f>
        <x:v>-1.15078152565018</x:v>
      </x:c>
    </x:row>
    <x:row r="889" ht="26" customHeight="1">
      <x:c r="A889" s="2"/>
      <x:c r="B889" s="2" t="n">
        <x:v>884</x:v>
      </x:c>
      <x:c r="C889" s="2" t="str">
        <x:v>Grooming / organic_volume_growth</x:v>
      </x:c>
      <x:c r="D889" s="2" t="str">
        <x:v>Broad rolling 8</x:v>
      </x:c>
      <x:c r="E889" s="7" t="n">
        <x:v>45473</x:v>
      </x:c>
      <x:c r="F889" s="2" t="str">
        <x:v>Prior report</x:v>
      </x:c>
      <x:c r="G889" s="7" t="n">
        <x:v>45401</x:v>
      </x:c>
      <x:c r="H889" s="2" t="n">
        <x:v>8</x:v>
      </x:c>
      <x:c r="I889" s="8" t="n">
        <x:v>5.901666759832869</x:v>
      </x:c>
      <x:c r="J889" s="8" t="n">
        <x:v>0</x:v>
      </x:c>
      <x:c r="K889" s="8" t="n">
        <x:v>-11</x:v>
      </x:c>
      <x:c r="L889" s="8" t="n">
        <x:v>21.479908521791273</x:v>
      </x:c>
      <x:c r="M889" s="8" t="n">
        <x:v>0</x:v>
      </x:c>
      <x:c r="N889" s="8" t="n">
        <x:v>0</x:v>
      </x:c>
      <x:c r="O889" s="8" t="n">
        <x:v>9.880335063352664</x:v>
      </x:c>
      <x:c r="P889" s="8" t="n">
        <x:v>0</x:v>
      </x:c>
      <x:c r="Q889" s="8" t="n">
        <x:v>1.669924885570362</x:v>
      </x:c>
      <x:c r="R889" s="8" t="n">
        <x:v>0</x:v>
      </x:c>
      <x:c r="S889" s="8" t="n">
        <x:f>L889-I889^2/H889</x:f>
        <x:v>17.12619970377675</x:v>
      </x:c>
      <x:c r="T889" s="8" t="n">
        <x:f>M889-J889^2/H889</x:f>
        <x:v>0</x:v>
      </x:c>
      <x:c r="U889" s="8" t="n">
        <x:f>N889-I889*J889/H889</x:f>
        <x:v>0</x:v>
      </x:c>
      <x:c r="V889" s="8" t="n">
        <x:f>O889-I889*K889/H889</x:f>
        <x:v>17.99512685812286</x:v>
      </x:c>
      <x:c r="W889" s="8" t="n">
        <x:f>P889-J889*K889/H889</x:f>
        <x:v>0</x:v>
      </x:c>
      <x:c r="X889" s="8" t="n">
        <x:f>V889/S889</x:f>
        <x:v>1.0507367173906357</x:v>
      </x:c>
      <x:c r="Y889" s="8" t="n">
        <x:f>0</x:f>
        <x:v>0</x:v>
      </x:c>
      <x:c r="Z889" s="8" t="n">
        <x:f>K889/H889-X889*I889/H889-Y889*J889/H889</x:f>
        <x:v>-2.1501372447950273</x:v>
      </x:c>
      <x:c r="AA889" s="8" t="n">
        <x:f>Z889+X889*Q889+Y889*R889</x:f>
        <x:v>-0.39548585224189226</x:v>
      </x:c>
    </x:row>
    <x:row r="890" ht="26" customHeight="1">
      <x:c r="A890" s="2"/>
      <x:c r="B890" s="2" t="n">
        <x:v>885</x:v>
      </x:c>
      <x:c r="C890" s="2" t="str">
        <x:v>Grooming / organic_volume_growth</x:v>
      </x:c>
      <x:c r="D890" s="2" t="str">
        <x:v>Own history</x:v>
      </x:c>
      <x:c r="E890" s="7" t="n">
        <x:v>45473</x:v>
      </x:c>
      <x:c r="F890" s="2" t="str">
        <x:v>Prior report</x:v>
      </x:c>
      <x:c r="G890" s="7" t="n">
        <x:v>45401</x:v>
      </x:c>
      <x:c r="H890" s="2" t="n">
        <x:v>12</x:v>
      </x:c>
      <x:c r="I890" s="8" t="n">
        <x:v>-5</x:v>
      </x:c>
      <x:c r="J890" s="8" t="n">
        <x:v>0</x:v>
      </x:c>
      <x:c r="K890" s="8" t="n">
        <x:v>-3</x:v>
      </x:c>
      <x:c r="L890" s="8" t="n">
        <x:v>95</x:v>
      </x:c>
      <x:c r="M890" s="8" t="n">
        <x:v>0</x:v>
      </x:c>
      <x:c r="N890" s="8" t="n">
        <x:v>0</x:v>
      </x:c>
      <x:c r="O890" s="8" t="n">
        <x:v>5</x:v>
      </x:c>
      <x:c r="P890" s="8" t="n">
        <x:v>0</x:v>
      </x:c>
      <x:c r="Q890" s="8" t="n">
        <x:v>2</x:v>
      </x:c>
      <x:c r="R890" s="8" t="n">
        <x:v>0</x:v>
      </x:c>
      <x:c r="S890" s="8" t="n">
        <x:f>L890-I890^2/H890</x:f>
        <x:v>92.91666666666667</x:v>
      </x:c>
      <x:c r="T890" s="8" t="n">
        <x:f>M890-J890^2/H890</x:f>
        <x:v>0</x:v>
      </x:c>
      <x:c r="U890" s="8" t="n">
        <x:f>N890-I890*J890/H890</x:f>
        <x:v>0</x:v>
      </x:c>
      <x:c r="V890" s="8" t="n">
        <x:f>O890-I890*K890/H890</x:f>
        <x:v>3.75</x:v>
      </x:c>
      <x:c r="W890" s="8" t="n">
        <x:f>P890-J890*K890/H890</x:f>
        <x:v>0</x:v>
      </x:c>
      <x:c r="X890" s="8" t="n">
        <x:f>V890/S890</x:f>
        <x:v>0.04035874439461883</x:v>
      </x:c>
      <x:c r="Y890" s="8" t="n">
        <x:f>0</x:f>
        <x:v>0</x:v>
      </x:c>
      <x:c r="Z890" s="8" t="n">
        <x:f>K890/H890-X890*I890/H890-Y890*J890/H890</x:f>
        <x:v>-0.23318385650224216</x:v>
      </x:c>
      <x:c r="AA890" s="8" t="n">
        <x:f>Z890+X890*Q890+Y890*R890</x:f>
        <x:v>-0.15246636771300448</x:v>
      </x:c>
    </x:row>
    <x:row r="891" ht="26" customHeight="1">
      <x:c r="A891" s="2"/>
      <x:c r="B891" s="2" t="n">
        <x:v>886</x:v>
      </x:c>
      <x:c r="C891" s="2" t="str">
        <x:v>Grooming / organic_volume_growth</x:v>
      </x:c>
      <x:c r="D891" s="2" t="str">
        <x:v>Broad market</x:v>
      </x:c>
      <x:c r="E891" s="7" t="n">
        <x:v>45473</x:v>
      </x:c>
      <x:c r="F891" s="2" t="str">
        <x:v>Pre-earnings</x:v>
      </x:c>
      <x:c r="G891" s="7" t="n">
        <x:v>45502</x:v>
      </x:c>
      <x:c r="H891" s="2" t="n">
        <x:v>13</x:v>
      </x:c>
      <x:c r="I891" s="8" t="n">
        <x:v>41.66273213711157</x:v>
      </x:c>
      <x:c r="J891" s="8" t="n">
        <x:v>0</x:v>
      </x:c>
      <x:c r="K891" s="8" t="n">
        <x:v>-3</x:v>
      </x:c>
      <x:c r="L891" s="8" t="n">
        <x:v>354.0374507964112</x:v>
      </x:c>
      <x:c r="M891" s="8" t="n">
        <x:v>0</x:v>
      </x:c>
      <x:c r="N891" s="8" t="n">
        <x:v>0</x:v>
      </x:c>
      <x:c r="O891" s="8" t="n">
        <x:v>82.5720120179302</x:v>
      </x:c>
      <x:c r="P891" s="8" t="n">
        <x:v>0</x:v>
      </x:c>
      <x:c r="Q891" s="8" t="n">
        <x:v>1.745900082947749</x:v>
      </x:c>
      <x:c r="R891" s="8" t="n">
        <x:v>0</x:v>
      </x:c>
      <x:c r="S891" s="8" t="n">
        <x:f>L891-I891^2/H891</x:f>
        <x:v>220.5156624018951</x:v>
      </x:c>
      <x:c r="T891" s="8" t="n">
        <x:f>M891-J891^2/H891</x:f>
        <x:v>0</x:v>
      </x:c>
      <x:c r="U891" s="8" t="n">
        <x:f>N891-I891*J891/H891</x:f>
        <x:v>0</x:v>
      </x:c>
      <x:c r="V891" s="8" t="n">
        <x:f>O891-I891*K891/H891</x:f>
        <x:v>92.18648866495596</x:v>
      </x:c>
      <x:c r="W891" s="8" t="n">
        <x:f>P891-J891*K891/H891</x:f>
        <x:v>0</x:v>
      </x:c>
      <x:c r="X891" s="8" t="n">
        <x:f>V891/S891</x:f>
        <x:v>0.4180496190648983</x:v>
      </x:c>
      <x:c r="Y891" s="8" t="n">
        <x:f>0</x:f>
        <x:v>0</x:v>
      </x:c>
      <x:c r="Z891" s="8" t="n">
        <x:f>K891/H891-X891*I891/H891-Y891*J891/H891</x:f>
        <x:v>-1.5705453307017223</x:v>
      </x:c>
      <x:c r="AA891" s="8" t="n">
        <x:f>Z891+X891*Q891+Y891*R891</x:f>
        <x:v>-0.8406724661000415</x:v>
      </x:c>
    </x:row>
    <x:row r="892" ht="26" customHeight="1">
      <x:c r="A892" s="2"/>
      <x:c r="B892" s="2" t="n">
        <x:v>887</x:v>
      </x:c>
      <x:c r="C892" s="2" t="str">
        <x:v>Grooming / organic_volume_growth</x:v>
      </x:c>
      <x:c r="D892" s="2" t="str">
        <x:v>Broad lag 1</x:v>
      </x:c>
      <x:c r="E892" s="7" t="n">
        <x:v>45473</x:v>
      </x:c>
      <x:c r="F892" s="2" t="str">
        <x:v>Pre-earnings</x:v>
      </x:c>
      <x:c r="G892" s="7" t="n">
        <x:v>45502</x:v>
      </x:c>
      <x:c r="H892" s="2" t="n">
        <x:v>12</x:v>
      </x:c>
      <x:c r="I892" s="8" t="n">
        <x:v>40.03102350077526</x:v>
      </x:c>
      <x:c r="J892" s="8" t="n">
        <x:v>0</x:v>
      </x:c>
      <x:c r="K892" s="8" t="n">
        <x:v>-3</x:v>
      </x:c>
      <x:c r="L892" s="8" t="n">
        <x:v>351.3749777225167</x:v>
      </x:c>
      <x:c r="M892" s="8" t="n">
        <x:v>0</x:v>
      </x:c>
      <x:c r="N892" s="8" t="n">
        <x:v>0</x:v>
      </x:c>
      <x:c r="O892" s="8" t="n">
        <x:v>56.30784221636694</x:v>
      </x:c>
      <x:c r="P892" s="8" t="n">
        <x:v>0</x:v>
      </x:c>
      <x:c r="Q892" s="8" t="n">
        <x:v>1.6317086363363043</x:v>
      </x:c>
      <x:c r="R892" s="8" t="n">
        <x:v>0</x:v>
      </x:c>
      <x:c r="S892" s="8" t="n">
        <x:f>L892-I892^2/H892</x:f>
        <x:v>217.83474084588158</x:v>
      </x:c>
      <x:c r="T892" s="8" t="n">
        <x:f>M892-J892^2/H892</x:f>
        <x:v>0</x:v>
      </x:c>
      <x:c r="U892" s="8" t="n">
        <x:f>N892-I892*J892/H892</x:f>
        <x:v>0</x:v>
      </x:c>
      <x:c r="V892" s="8" t="n">
        <x:f>O892-I892*K892/H892</x:f>
        <x:v>66.31559809156076</x:v>
      </x:c>
      <x:c r="W892" s="8" t="n">
        <x:f>P892-J892*K892/H892</x:f>
        <x:v>0</x:v>
      </x:c>
      <x:c r="X892" s="8" t="n">
        <x:f>V892/S892</x:f>
        <x:v>0.30443077093235166</x:v>
      </x:c>
      <x:c r="Y892" s="8" t="n">
        <x:f>0</x:f>
        <x:v>0</x:v>
      </x:c>
      <x:c r="Z892" s="8" t="n">
        <x:f>K892/H892-X892*I892/H892-Y892*J892/H892</x:f>
        <x:v>-1.2655562787960084</x:v>
      </x:c>
      <x:c r="AA892" s="8" t="n">
        <x:f>Z892+X892*Q892+Y892*R892</x:f>
        <x:v>-0.7688139606991711</x:v>
      </x:c>
    </x:row>
    <x:row r="893" ht="26" customHeight="1">
      <x:c r="A893" s="2"/>
      <x:c r="B893" s="2" t="n">
        <x:v>888</x:v>
      </x:c>
      <x:c r="C893" s="2" t="str">
        <x:v>Grooming / organic_volume_growth</x:v>
      </x:c>
      <x:c r="D893" s="2" t="str">
        <x:v>Broad rolling 8</x:v>
      </x:c>
      <x:c r="E893" s="7" t="n">
        <x:v>45473</x:v>
      </x:c>
      <x:c r="F893" s="2" t="str">
        <x:v>Pre-earnings</x:v>
      </x:c>
      <x:c r="G893" s="7" t="n">
        <x:v>45502</x:v>
      </x:c>
      <x:c r="H893" s="2" t="n">
        <x:v>8</x:v>
      </x:c>
      <x:c r="I893" s="8" t="n">
        <x:v>3.7828696225690073</x:v>
      </x:c>
      <x:c r="J893" s="8" t="n">
        <x:v>0</x:v>
      </x:c>
      <x:c r="K893" s="8" t="n">
        <x:v>-10</x:v>
      </x:c>
      <x:c r="L893" s="8" t="n">
        <x:v>10.076088037877579</x:v>
      </x:c>
      <x:c r="M893" s="8" t="n">
        <x:v>0</x:v>
      </x:c>
      <x:c r="N893" s="8" t="n">
        <x:v>0</x:v>
      </x:c>
      <x:c r="O893" s="8" t="n">
        <x:v>9.393246562425105</x:v>
      </x:c>
      <x:c r="P893" s="8" t="n">
        <x:v>0</x:v>
      </x:c>
      <x:c r="Q893" s="8" t="n">
        <x:v>1.745900082947749</x:v>
      </x:c>
      <x:c r="R893" s="8" t="n">
        <x:v>0</x:v>
      </x:c>
      <x:c r="S893" s="8" t="n">
        <x:f>L893-I893^2/H893</x:f>
        <x:v>8.287325215208156</x:v>
      </x:c>
      <x:c r="T893" s="8" t="n">
        <x:f>M893-J893^2/H893</x:f>
        <x:v>0</x:v>
      </x:c>
      <x:c r="U893" s="8" t="n">
        <x:f>N893-I893*J893/H893</x:f>
        <x:v>0</x:v>
      </x:c>
      <x:c r="V893" s="8" t="n">
        <x:f>O893-I893*K893/H893</x:f>
        <x:v>14.121833590636363</x:v>
      </x:c>
      <x:c r="W893" s="8" t="n">
        <x:f>P893-J893*K893/H893</x:f>
        <x:v>0</x:v>
      </x:c>
      <x:c r="X893" s="8" t="n">
        <x:f>V893/S893</x:f>
        <x:v>1.7040279250440469</x:v>
      </x:c>
      <x:c r="Y893" s="8" t="n">
        <x:f>0</x:f>
        <x:v>0</x:v>
      </x:c>
      <x:c r="Z893" s="8" t="n">
        <x:f>K893/H893-X893*I893/H893-Y893*J893/H893</x:f>
        <x:v>-2.055764434207303</x:v>
      </x:c>
      <x:c r="AA893" s="8" t="n">
        <x:f>Z893+X893*Q893+Y893*R893</x:f>
        <x:v>0.9192980614723791</x:v>
      </x:c>
    </x:row>
    <x:row r="894" ht="26" customHeight="1">
      <x:c r="A894" s="2"/>
      <x:c r="B894" s="2" t="n">
        <x:v>889</x:v>
      </x:c>
      <x:c r="C894" s="2" t="str">
        <x:v>Grooming / organic_volume_growth</x:v>
      </x:c>
      <x:c r="D894" s="2" t="str">
        <x:v>Own history</x:v>
      </x:c>
      <x:c r="E894" s="7" t="n">
        <x:v>45473</x:v>
      </x:c>
      <x:c r="F894" s="2" t="str">
        <x:v>Pre-earnings</x:v>
      </x:c>
      <x:c r="G894" s="7" t="n">
        <x:v>45502</x:v>
      </x:c>
      <x:c r="H894" s="2" t="n">
        <x:v>12</x:v>
      </x:c>
      <x:c r="I894" s="8" t="n">
        <x:v>-5</x:v>
      </x:c>
      <x:c r="J894" s="8" t="n">
        <x:v>0</x:v>
      </x:c>
      <x:c r="K894" s="8" t="n">
        <x:v>-3</x:v>
      </x:c>
      <x:c r="L894" s="8" t="n">
        <x:v>95</x:v>
      </x:c>
      <x:c r="M894" s="8" t="n">
        <x:v>0</x:v>
      </x:c>
      <x:c r="N894" s="8" t="n">
        <x:v>0</x:v>
      </x:c>
      <x:c r="O894" s="8" t="n">
        <x:v>5</x:v>
      </x:c>
      <x:c r="P894" s="8" t="n">
        <x:v>0</x:v>
      </x:c>
      <x:c r="Q894" s="8" t="n">
        <x:v>2</x:v>
      </x:c>
      <x:c r="R894" s="8" t="n">
        <x:v>0</x:v>
      </x:c>
      <x:c r="S894" s="8" t="n">
        <x:f>L894-I894^2/H894</x:f>
        <x:v>92.91666666666667</x:v>
      </x:c>
      <x:c r="T894" s="8" t="n">
        <x:f>M894-J894^2/H894</x:f>
        <x:v>0</x:v>
      </x:c>
      <x:c r="U894" s="8" t="n">
        <x:f>N894-I894*J894/H894</x:f>
        <x:v>0</x:v>
      </x:c>
      <x:c r="V894" s="8" t="n">
        <x:f>O894-I894*K894/H894</x:f>
        <x:v>3.75</x:v>
      </x:c>
      <x:c r="W894" s="8" t="n">
        <x:f>P894-J894*K894/H894</x:f>
        <x:v>0</x:v>
      </x:c>
      <x:c r="X894" s="8" t="n">
        <x:f>V894/S894</x:f>
        <x:v>0.04035874439461883</x:v>
      </x:c>
      <x:c r="Y894" s="8" t="n">
        <x:f>0</x:f>
        <x:v>0</x:v>
      </x:c>
      <x:c r="Z894" s="8" t="n">
        <x:f>K894/H894-X894*I894/H894-Y894*J894/H894</x:f>
        <x:v>-0.23318385650224216</x:v>
      </x:c>
      <x:c r="AA894" s="8" t="n">
        <x:f>Z894+X894*Q894+Y894*R894</x:f>
        <x:v>-0.15246636771300448</x:v>
      </x:c>
    </x:row>
    <x:row r="895" ht="26" customHeight="1">
      <x:c r="A895" s="2"/>
      <x:c r="B895" s="2" t="n">
        <x:v>890</x:v>
      </x:c>
      <x:c r="C895" s="2" t="str">
        <x:v>Grooming / organic_volume_growth</x:v>
      </x:c>
      <x:c r="D895" s="2" t="str">
        <x:v>Broad market</x:v>
      </x:c>
      <x:c r="E895" s="7" t="n">
        <x:v>45565</x:v>
      </x:c>
      <x:c r="F895" s="2" t="str">
        <x:v>Origin</x:v>
      </x:c>
      <x:c r="G895" s="7" t="n">
        <x:v>45474</x:v>
      </x:c>
      <x:c r="H895" s="2" t="n">
        <x:v>13</x:v>
      </x:c>
      <x:c r="I895" s="8" t="n">
        <x:v>41.66273213711157</x:v>
      </x:c>
      <x:c r="J895" s="8" t="n">
        <x:v>0</x:v>
      </x:c>
      <x:c r="K895" s="8" t="n">
        <x:v>-3</x:v>
      </x:c>
      <x:c r="L895" s="8" t="n">
        <x:v>354.0374507964112</x:v>
      </x:c>
      <x:c r="M895" s="8" t="n">
        <x:v>0</x:v>
      </x:c>
      <x:c r="N895" s="8" t="n">
        <x:v>0</x:v>
      </x:c>
      <x:c r="O895" s="8" t="n">
        <x:v>82.5720120179302</x:v>
      </x:c>
      <x:c r="P895" s="8" t="n">
        <x:v>0</x:v>
      </x:c>
      <x:c r="Q895" s="8" t="n">
        <x:v>1.8076142102986026</x:v>
      </x:c>
      <x:c r="R895" s="8" t="n">
        <x:v>0</x:v>
      </x:c>
      <x:c r="S895" s="8" t="n">
        <x:f>L895-I895^2/H895</x:f>
        <x:v>220.5156624018951</x:v>
      </x:c>
      <x:c r="T895" s="8" t="n">
        <x:f>M895-J895^2/H895</x:f>
        <x:v>0</x:v>
      </x:c>
      <x:c r="U895" s="8" t="n">
        <x:f>N895-I895*J895/H895</x:f>
        <x:v>0</x:v>
      </x:c>
      <x:c r="V895" s="8" t="n">
        <x:f>O895-I895*K895/H895</x:f>
        <x:v>92.18648866495596</x:v>
      </x:c>
      <x:c r="W895" s="8" t="n">
        <x:f>P895-J895*K895/H895</x:f>
        <x:v>0</x:v>
      </x:c>
      <x:c r="X895" s="8" t="n">
        <x:f>V895/S895</x:f>
        <x:v>0.4180496190648983</x:v>
      </x:c>
      <x:c r="Y895" s="8" t="n">
        <x:f>0</x:f>
        <x:v>0</x:v>
      </x:c>
      <x:c r="Z895" s="8" t="n">
        <x:f>K895/H895-X895*I895/H895-Y895*J895/H895</x:f>
        <x:v>-1.5705453307017223</x:v>
      </x:c>
      <x:c r="AA895" s="8" t="n">
        <x:f>Z895+X895*Q895+Y895*R895</x:f>
        <x:v>-0.8148728986700945</x:v>
      </x:c>
    </x:row>
    <x:row r="896" ht="26" customHeight="1">
      <x:c r="A896" s="2"/>
      <x:c r="B896" s="2" t="n">
        <x:v>891</x:v>
      </x:c>
      <x:c r="C896" s="2" t="str">
        <x:v>Grooming / organic_volume_growth</x:v>
      </x:c>
      <x:c r="D896" s="2" t="str">
        <x:v>Broad rolling 8</x:v>
      </x:c>
      <x:c r="E896" s="7" t="n">
        <x:v>45565</x:v>
      </x:c>
      <x:c r="F896" s="2" t="str">
        <x:v>Origin</x:v>
      </x:c>
      <x:c r="G896" s="7" t="n">
        <x:v>45474</x:v>
      </x:c>
      <x:c r="H896" s="2" t="n">
        <x:v>8</x:v>
      </x:c>
      <x:c r="I896" s="8" t="n">
        <x:v>3.7828696225690073</x:v>
      </x:c>
      <x:c r="J896" s="8" t="n">
        <x:v>0</x:v>
      </x:c>
      <x:c r="K896" s="8" t="n">
        <x:v>-10</x:v>
      </x:c>
      <x:c r="L896" s="8" t="n">
        <x:v>10.076088037877579</x:v>
      </x:c>
      <x:c r="M896" s="8" t="n">
        <x:v>0</x:v>
      </x:c>
      <x:c r="N896" s="8" t="n">
        <x:v>0</x:v>
      </x:c>
      <x:c r="O896" s="8" t="n">
        <x:v>9.393246562425105</x:v>
      </x:c>
      <x:c r="P896" s="8" t="n">
        <x:v>0</x:v>
      </x:c>
      <x:c r="Q896" s="8" t="n">
        <x:v>1.8076142102986026</x:v>
      </x:c>
      <x:c r="R896" s="8" t="n">
        <x:v>0</x:v>
      </x:c>
      <x:c r="S896" s="8" t="n">
        <x:f>L896-I896^2/H896</x:f>
        <x:v>8.287325215208156</x:v>
      </x:c>
      <x:c r="T896" s="8" t="n">
        <x:f>M896-J896^2/H896</x:f>
        <x:v>0</x:v>
      </x:c>
      <x:c r="U896" s="8" t="n">
        <x:f>N896-I896*J896/H896</x:f>
        <x:v>0</x:v>
      </x:c>
      <x:c r="V896" s="8" t="n">
        <x:f>O896-I896*K896/H896</x:f>
        <x:v>14.121833590636363</x:v>
      </x:c>
      <x:c r="W896" s="8" t="n">
        <x:f>P896-J896*K896/H896</x:f>
        <x:v>0</x:v>
      </x:c>
      <x:c r="X896" s="8" t="n">
        <x:f>V896/S896</x:f>
        <x:v>1.7040279250440469</x:v>
      </x:c>
      <x:c r="Y896" s="8" t="n">
        <x:f>0</x:f>
        <x:v>0</x:v>
      </x:c>
      <x:c r="Z896" s="8" t="n">
        <x:f>K896/H896-X896*I896/H896-Y896*J896/H896</x:f>
        <x:v>-2.055764434207303</x:v>
      </x:c>
      <x:c r="AA896" s="8" t="n">
        <x:f>Z896+X896*Q896+Y896*R896</x:f>
        <x:v>1.0244606578479583</x:v>
      </x:c>
    </x:row>
    <x:row r="897" ht="26" customHeight="1">
      <x:c r="A897" s="2"/>
      <x:c r="B897" s="2" t="n">
        <x:v>892</x:v>
      </x:c>
      <x:c r="C897" s="2" t="str">
        <x:v>Grooming / organic_volume_growth</x:v>
      </x:c>
      <x:c r="D897" s="2" t="str">
        <x:v>Own history</x:v>
      </x:c>
      <x:c r="E897" s="7" t="n">
        <x:v>45565</x:v>
      </x:c>
      <x:c r="F897" s="2" t="str">
        <x:v>Origin</x:v>
      </x:c>
      <x:c r="G897" s="7" t="n">
        <x:v>45474</x:v>
      </x:c>
      <x:c r="H897" s="2" t="n">
        <x:v>11</x:v>
      </x:c>
      <x:c r="I897" s="8" t="n">
        <x:v>-6</x:v>
      </x:c>
      <x:c r="J897" s="8" t="n">
        <x:v>0</x:v>
      </x:c>
      <x:c r="K897" s="8" t="n">
        <x:v>-7</x:v>
      </x:c>
      <x:c r="L897" s="8" t="n">
        <x:v>94</x:v>
      </x:c>
      <x:c r="M897" s="8" t="n">
        <x:v>0</x:v>
      </x:c>
      <x:c r="N897" s="8" t="n">
        <x:v>0</x:v>
      </x:c>
      <x:c r="O897" s="8" t="n">
        <x:v>24</x:v>
      </x:c>
      <x:c r="P897" s="8" t="n">
        <x:v>0</x:v>
      </x:c>
      <x:c r="Q897" s="8" t="n">
        <x:v>2</x:v>
      </x:c>
      <x:c r="R897" s="8" t="n">
        <x:v>0</x:v>
      </x:c>
      <x:c r="S897" s="8" t="n">
        <x:f>L897-I897^2/H897</x:f>
        <x:v>90.72727272727273</x:v>
      </x:c>
      <x:c r="T897" s="8" t="n">
        <x:f>M897-J897^2/H897</x:f>
        <x:v>0</x:v>
      </x:c>
      <x:c r="U897" s="8" t="n">
        <x:f>N897-I897*J897/H897</x:f>
        <x:v>0</x:v>
      </x:c>
      <x:c r="V897" s="8" t="n">
        <x:f>O897-I897*K897/H897</x:f>
        <x:v>20.18181818181818</x:v>
      </x:c>
      <x:c r="W897" s="8" t="n">
        <x:f>P897-J897*K897/H897</x:f>
        <x:v>0</x:v>
      </x:c>
      <x:c r="X897" s="8" t="n">
        <x:f>V897/S897</x:f>
        <x:v>0.2224448897795591</x:v>
      </x:c>
      <x:c r="Y897" s="8" t="n">
        <x:f>0</x:f>
        <x:v>0</x:v>
      </x:c>
      <x:c r="Z897" s="8" t="n">
        <x:f>K897/H897-X897*I897/H897-Y897*J897/H897</x:f>
        <x:v>-0.5150300601202404</x:v>
      </x:c>
      <x:c r="AA897" s="8" t="n">
        <x:f>Z897+X897*Q897+Y897*R897</x:f>
        <x:v>-0.07014028056112226</x:v>
      </x:c>
    </x:row>
    <x:row r="898" ht="26" customHeight="1">
      <x:c r="A898" s="2"/>
      <x:c r="B898" s="2" t="n">
        <x:v>893</x:v>
      </x:c>
      <x:c r="C898" s="2" t="str">
        <x:v>Grooming / organic_volume_growth</x:v>
      </x:c>
      <x:c r="D898" s="2" t="str">
        <x:v>Broad market</x:v>
      </x:c>
      <x:c r="E898" s="7" t="n">
        <x:v>45565</x:v>
      </x:c>
      <x:c r="F898" s="2" t="str">
        <x:v>Prior report</x:v>
      </x:c>
      <x:c r="G898" s="7" t="n">
        <x:v>45503</x:v>
      </x:c>
      <x:c r="H898" s="2" t="n">
        <x:v>14</x:v>
      </x:c>
      <x:c r="I898" s="8" t="n">
        <x:v>43.40863222005932</x:v>
      </x:c>
      <x:c r="J898" s="8" t="n">
        <x:v>0</x:v>
      </x:c>
      <x:c r="K898" s="8" t="n">
        <x:v>-1</x:v>
      </x:c>
      <x:c r="L898" s="8" t="n">
        <x:v>357.0856178960481</x:v>
      </x:c>
      <x:c r="M898" s="8" t="n">
        <x:v>0</x:v>
      </x:c>
      <x:c r="N898" s="8" t="n">
        <x:v>0</x:v>
      </x:c>
      <x:c r="O898" s="8" t="n">
        <x:v>86.0638121838257</x:v>
      </x:c>
      <x:c r="P898" s="8" t="n">
        <x:v>0</x:v>
      </x:c>
      <x:c r="Q898" s="8" t="n">
        <x:v>1.7457094853091215</x:v>
      </x:c>
      <x:c r="R898" s="8" t="n">
        <x:v>0</x:v>
      </x:c>
      <x:c r="S898" s="8" t="n">
        <x:f>L898-I898^2/H898</x:f>
        <x:v>222.4920928091644</x:v>
      </x:c>
      <x:c r="T898" s="8" t="n">
        <x:f>M898-J898^2/H898</x:f>
        <x:v>0</x:v>
      </x:c>
      <x:c r="U898" s="8" t="n">
        <x:f>N898-I898*J898/H898</x:f>
        <x:v>0</x:v>
      </x:c>
      <x:c r="V898" s="8" t="n">
        <x:f>O898-I898*K898/H898</x:f>
        <x:v>89.16442877097279</x:v>
      </x:c>
      <x:c r="W898" s="8" t="n">
        <x:f>P898-J898*K898/H898</x:f>
        <x:v>0</x:v>
      </x:c>
      <x:c r="X898" s="8" t="n">
        <x:f>V898/S898</x:f>
        <x:v>0.4007532476556404</x:v>
      </x:c>
      <x:c r="Y898" s="8" t="n">
        <x:f>0</x:f>
        <x:v>0</x:v>
      </x:c>
      <x:c r="Z898" s="8" t="n">
        <x:f>K898/H898-X898*I898/H898-Y898*J898/H898</x:f>
        <x:v>-1.3140107384627173</x:v>
      </x:c>
      <x:c r="AA898" s="8" t="n">
        <x:f>Z898+X898*Q898+Y898*R898</x:f>
        <x:v>-0.6144119927618303</x:v>
      </x:c>
    </x:row>
    <x:row r="899" ht="26" customHeight="1">
      <x:c r="A899" s="2"/>
      <x:c r="B899" s="2" t="n">
        <x:v>894</x:v>
      </x:c>
      <x:c r="C899" s="2" t="str">
        <x:v>Grooming / organic_volume_growth</x:v>
      </x:c>
      <x:c r="D899" s="2" t="str">
        <x:v>Broad lag 1</x:v>
      </x:c>
      <x:c r="E899" s="7" t="n">
        <x:v>45565</x:v>
      </x:c>
      <x:c r="F899" s="2" t="str">
        <x:v>Prior report</x:v>
      </x:c>
      <x:c r="G899" s="7" t="n">
        <x:v>45503</x:v>
      </x:c>
      <x:c r="H899" s="2" t="n">
        <x:v>13</x:v>
      </x:c>
      <x:c r="I899" s="8" t="n">
        <x:v>41.66273213711157</x:v>
      </x:c>
      <x:c r="J899" s="8" t="n">
        <x:v>0</x:v>
      </x:c>
      <x:c r="K899" s="8" t="n">
        <x:v>-1</x:v>
      </x:c>
      <x:c r="L899" s="8" t="n">
        <x:v>354.0374507964112</x:v>
      </x:c>
      <x:c r="M899" s="8" t="n">
        <x:v>0</x:v>
      </x:c>
      <x:c r="N899" s="8" t="n">
        <x:v>0</x:v>
      </x:c>
      <x:c r="O899" s="8" t="n">
        <x:v>59.57125948903955</x:v>
      </x:c>
      <x:c r="P899" s="8" t="n">
        <x:v>0</x:v>
      </x:c>
      <x:c r="Q899" s="8" t="n">
        <x:v>1.745900082947749</x:v>
      </x:c>
      <x:c r="R899" s="8" t="n">
        <x:v>0</x:v>
      </x:c>
      <x:c r="S899" s="8" t="n">
        <x:f>L899-I899^2/H899</x:f>
        <x:v>220.5156624018951</x:v>
      </x:c>
      <x:c r="T899" s="8" t="n">
        <x:f>M899-J899^2/H899</x:f>
        <x:v>0</x:v>
      </x:c>
      <x:c r="U899" s="8" t="n">
        <x:f>N899-I899*J899/H899</x:f>
        <x:v>0</x:v>
      </x:c>
      <x:c r="V899" s="8" t="n">
        <x:f>O899-I899*K899/H899</x:f>
        <x:v>62.77608503804813</x:v>
      </x:c>
      <x:c r="W899" s="8" t="n">
        <x:f>P899-J899*K899/H899</x:f>
        <x:v>0</x:v>
      </x:c>
      <x:c r="X899" s="8" t="n">
        <x:f>V899/S899</x:f>
        <x:v>0.28467857726875295</x:v>
      </x:c>
      <x:c r="Y899" s="8" t="n">
        <x:f>0</x:f>
        <x:v>0</x:v>
      </x:c>
      <x:c r="Z899" s="8" t="n">
        <x:f>K899/H899-X899*I899/H899-Y899*J899/H899</x:f>
        <x:v>-0.9892682546093903</x:v>
      </x:c>
      <x:c r="AA899" s="8" t="n">
        <x:f>Z899+X899*Q899+Y899*R899</x:f>
        <x:v>-0.4922479029424274</x:v>
      </x:c>
    </x:row>
    <x:row r="900" ht="26" customHeight="1">
      <x:c r="A900" s="2"/>
      <x:c r="B900" s="2" t="n">
        <x:v>895</x:v>
      </x:c>
      <x:c r="C900" s="2" t="str">
        <x:v>Grooming / organic_volume_growth</x:v>
      </x:c>
      <x:c r="D900" s="2" t="str">
        <x:v>Broad rolling 8</x:v>
      </x:c>
      <x:c r="E900" s="7" t="n">
        <x:v>45565</x:v>
      </x:c>
      <x:c r="F900" s="2" t="str">
        <x:v>Prior report</x:v>
      </x:c>
      <x:c r="G900" s="7" t="n">
        <x:v>45503</x:v>
      </x:c>
      <x:c r="H900" s="2" t="n">
        <x:v>8</x:v>
      </x:c>
      <x:c r="I900" s="8" t="n">
        <x:v>5.304269069097545</x:v>
      </x:c>
      <x:c r="J900" s="8" t="n">
        <x:v>0</x:v>
      </x:c>
      <x:c r="K900" s="8" t="n">
        <x:v>-6</x:v>
      </x:c>
      <x:c r="L900" s="8" t="n">
        <x:v>13.073854601761903</x:v>
      </x:c>
      <x:c r="M900" s="8" t="n">
        <x:v>0</x:v>
      </x:c>
      <x:c r="N900" s="8" t="n">
        <x:v>0</x:v>
      </x:c>
      <x:c r="O900" s="8" t="n">
        <x:v>13.334048001159026</x:v>
      </x:c>
      <x:c r="P900" s="8" t="n">
        <x:v>0</x:v>
      </x:c>
      <x:c r="Q900" s="8" t="n">
        <x:v>1.7457094853091215</x:v>
      </x:c>
      <x:c r="R900" s="8" t="n">
        <x:v>0</x:v>
      </x:c>
      <x:c r="S900" s="8" t="n">
        <x:f>L900-I900^2/H900</x:f>
        <x:v>9.556945807088786</x:v>
      </x:c>
      <x:c r="T900" s="8" t="n">
        <x:f>M900-J900^2/H900</x:f>
        <x:v>0</x:v>
      </x:c>
      <x:c r="U900" s="8" t="n">
        <x:f>N900-I900*J900/H900</x:f>
        <x:v>0</x:v>
      </x:c>
      <x:c r="V900" s="8" t="n">
        <x:f>O900-I900*K900/H900</x:f>
        <x:v>17.312249802982183</x:v>
      </x:c>
      <x:c r="W900" s="8" t="n">
        <x:f>P900-J900*K900/H900</x:f>
        <x:v>0</x:v>
      </x:c>
      <x:c r="X900" s="8" t="n">
        <x:f>V900/S900</x:f>
        <x:v>1.811483517060541</x:v>
      </x:c>
      <x:c r="Y900" s="8" t="n">
        <x:f>0</x:f>
        <x:v>0</x:v>
      </x:c>
      <x:c r="Z900" s="8" t="n">
        <x:f>K900/H900-X900*I900/H900-Y900*J900/H900</x:f>
        <x:v>-1.9510744985905328</x:v>
      </x:c>
      <x:c r="AA900" s="8" t="n">
        <x:f>Z900+X900*Q900+Y900*R900</x:f>
        <x:v>1.2112494596231815</x:v>
      </x:c>
    </x:row>
    <x:row r="901" ht="26" customHeight="1">
      <x:c r="A901" s="2"/>
      <x:c r="B901" s="2" t="n">
        <x:v>896</x:v>
      </x:c>
      <x:c r="C901" s="2" t="str">
        <x:v>Grooming / organic_volume_growth</x:v>
      </x:c>
      <x:c r="D901" s="2" t="str">
        <x:v>Own history</x:v>
      </x:c>
      <x:c r="E901" s="7" t="n">
        <x:v>45565</x:v>
      </x:c>
      <x:c r="F901" s="2" t="str">
        <x:v>Prior report</x:v>
      </x:c>
      <x:c r="G901" s="7" t="n">
        <x:v>45503</x:v>
      </x:c>
      <x:c r="H901" s="2" t="n">
        <x:v>13</x:v>
      </x:c>
      <x:c r="I901" s="8" t="n">
        <x:v>-3</x:v>
      </x:c>
      <x:c r="J901" s="8" t="n">
        <x:v>0</x:v>
      </x:c>
      <x:c r="K901" s="8" t="n">
        <x:v>-1</x:v>
      </x:c>
      <x:c r="L901" s="8" t="n">
        <x:v>99</x:v>
      </x:c>
      <x:c r="M901" s="8" t="n">
        <x:v>0</x:v>
      </x:c>
      <x:c r="N901" s="8" t="n">
        <x:v>0</x:v>
      </x:c>
      <x:c r="O901" s="8" t="n">
        <x:v>9</x:v>
      </x:c>
      <x:c r="P901" s="8" t="n">
        <x:v>0</x:v>
      </x:c>
      <x:c r="Q901" s="8" t="n">
        <x:v>2</x:v>
      </x:c>
      <x:c r="R901" s="8" t="n">
        <x:v>0</x:v>
      </x:c>
      <x:c r="S901" s="8" t="n">
        <x:f>L901-I901^2/H901</x:f>
        <x:v>98.3076923076923</x:v>
      </x:c>
      <x:c r="T901" s="8" t="n">
        <x:f>M901-J901^2/H901</x:f>
        <x:v>0</x:v>
      </x:c>
      <x:c r="U901" s="8" t="n">
        <x:f>N901-I901*J901/H901</x:f>
        <x:v>0</x:v>
      </x:c>
      <x:c r="V901" s="8" t="n">
        <x:f>O901-I901*K901/H901</x:f>
        <x:v>8.76923076923077</x:v>
      </x:c>
      <x:c r="W901" s="8" t="n">
        <x:f>P901-J901*K901/H901</x:f>
        <x:v>0</x:v>
      </x:c>
      <x:c r="X901" s="8" t="n">
        <x:f>V901/S901</x:f>
        <x:v>0.08920187793427231</x:v>
      </x:c>
      <x:c r="Y901" s="8" t="n">
        <x:f>0</x:f>
        <x:v>0</x:v>
      </x:c>
      <x:c r="Z901" s="8" t="n">
        <x:f>K901/H901-X901*I901/H901-Y901*J901/H901</x:f>
        <x:v>-0.056338028169014086</x:v>
      </x:c>
      <x:c r="AA901" s="8" t="n">
        <x:f>Z901+X901*Q901+Y901*R901</x:f>
        <x:v>0.12206572769953053</x:v>
      </x:c>
    </x:row>
    <x:row r="902" ht="26" customHeight="1">
      <x:c r="A902" s="2"/>
      <x:c r="B902" s="2" t="n">
        <x:v>897</x:v>
      </x:c>
      <x:c r="C902" s="2" t="str">
        <x:v>Grooming / organic_volume_growth</x:v>
      </x:c>
      <x:c r="D902" s="2" t="str">
        <x:v>Broad market</x:v>
      </x:c>
      <x:c r="E902" s="7" t="n">
        <x:v>45565</x:v>
      </x:c>
      <x:c r="F902" s="2" t="str">
        <x:v>Pre-earnings</x:v>
      </x:c>
      <x:c r="G902" s="7" t="n">
        <x:v>45582</x:v>
      </x:c>
      <x:c r="H902" s="2" t="n">
        <x:v>14</x:v>
      </x:c>
      <x:c r="I902" s="8" t="n">
        <x:v>41.58880663164729</x:v>
      </x:c>
      <x:c r="J902" s="8" t="n">
        <x:v>0</x:v>
      </x:c>
      <x:c r="K902" s="8" t="n">
        <x:v>-1</x:v>
      </x:c>
      <x:c r="L902" s="8" t="n">
        <x:v>366.7871092575401</x:v>
      </x:c>
      <x:c r="M902" s="8" t="n">
        <x:v>0</x:v>
      </x:c>
      <x:c r="N902" s="8" t="n">
        <x:v>0</x:v>
      </x:c>
      <x:c r="O902" s="8" t="n">
        <x:v>92.1088824542444</x:v>
      </x:c>
      <x:c r="P902" s="8" t="n">
        <x:v>0</x:v>
      </x:c>
      <x:c r="Q902" s="8" t="n">
        <x:v>2.202595864225132</x:v>
      </x:c>
      <x:c r="R902" s="8" t="n">
        <x:v>0</x:v>
      </x:c>
      <x:c r="S902" s="8" t="n">
        <x:f>L902-I902^2/H902</x:f>
        <x:v>243.24219232578662</x:v>
      </x:c>
      <x:c r="T902" s="8" t="n">
        <x:f>M902-J902^2/H902</x:f>
        <x:v>0</x:v>
      </x:c>
      <x:c r="U902" s="8" t="n">
        <x:f>N902-I902*J902/H902</x:f>
        <x:v>0</x:v>
      </x:c>
      <x:c r="V902" s="8" t="n">
        <x:f>O902-I902*K902/H902</x:f>
        <x:v>95.07951149936206</x:v>
      </x:c>
      <x:c r="W902" s="8" t="n">
        <x:f>P902-J902*K902/H902</x:f>
        <x:v>0</x:v>
      </x:c>
      <x:c r="X902" s="8" t="n">
        <x:f>V902/S902</x:f>
        <x:v>0.3908841249548402</x:v>
      </x:c>
      <x:c r="Y902" s="8" t="n">
        <x:f>0</x:f>
        <x:v>0</x:v>
      </x:c>
      <x:c r="Z902" s="8" t="n">
        <x:f>K902/H902-X902*I902/H902-Y902*J902/H902</x:f>
        <x:v>-1.2326003062948219</x:v>
      </x:c>
      <x:c r="AA902" s="8" t="n">
        <x:f>Z902+X902*Q902+Y902*R902</x:f>
        <x:v>-0.37164054927803114</x:v>
      </x:c>
    </x:row>
    <x:row r="903" ht="26" customHeight="1">
      <x:c r="A903" s="2"/>
      <x:c r="B903" s="2" t="n">
        <x:v>898</x:v>
      </x:c>
      <x:c r="C903" s="2" t="str">
        <x:v>Grooming / organic_volume_growth</x:v>
      </x:c>
      <x:c r="D903" s="2" t="str">
        <x:v>Broad lag 1</x:v>
      </x:c>
      <x:c r="E903" s="7" t="n">
        <x:v>45565</x:v>
      </x:c>
      <x:c r="F903" s="2" t="str">
        <x:v>Pre-earnings</x:v>
      </x:c>
      <x:c r="G903" s="7" t="n">
        <x:v>45582</x:v>
      </x:c>
      <x:c r="H903" s="2" t="n">
        <x:v>13</x:v>
      </x:c>
      <x:c r="I903" s="8" t="n">
        <x:v>39.71481502953479</x:v>
      </x:c>
      <x:c r="J903" s="8" t="n">
        <x:v>0</x:v>
      </x:c>
      <x:c r="K903" s="8" t="n">
        <x:v>-1</x:v>
      </x:c>
      <x:c r="L903" s="8" t="n">
        <x:v>363.2752647327519</x:v>
      </x:c>
      <x:c r="M903" s="8" t="n">
        <x:v>0</x:v>
      </x:c>
      <x:c r="N903" s="8" t="n">
        <x:v>0</x:v>
      </x:c>
      <x:c r="O903" s="8" t="n">
        <x:v>66.22096447170127</x:v>
      </x:c>
      <x:c r="P903" s="8" t="n">
        <x:v>0</x:v>
      </x:c>
      <x:c r="Q903" s="8" t="n">
        <x:v>1.8739916021125014</x:v>
      </x:c>
      <x:c r="R903" s="8" t="n">
        <x:v>0</x:v>
      </x:c>
      <x:c r="S903" s="8" t="n">
        <x:f>L903-I903^2/H903</x:f>
        <x:v>241.9470698996625</x:v>
      </x:c>
      <x:c r="T903" s="8" t="n">
        <x:f>M903-J903^2/H903</x:f>
        <x:v>0</x:v>
      </x:c>
      <x:c r="U903" s="8" t="n">
        <x:f>N903-I903*J903/H903</x:f>
        <x:v>0</x:v>
      </x:c>
      <x:c r="V903" s="8" t="n">
        <x:f>O903-I903*K903/H903</x:f>
        <x:v>69.27595024320394</x:v>
      </x:c>
      <x:c r="W903" s="8" t="n">
        <x:f>P903-J903*K903/H903</x:f>
        <x:v>0</x:v>
      </x:c>
      <x:c r="X903" s="8" t="n">
        <x:f>V903/S903</x:f>
        <x:v>0.28632688245380805</x:v>
      </x:c>
      <x:c r="Y903" s="8" t="n">
        <x:f>0</x:f>
        <x:v>0</x:v>
      </x:c>
      <x:c r="Z903" s="8" t="n">
        <x:f>K903/H903-X903*I903/H903-Y903*J903/H903</x:f>
        <x:v>-0.9516476288181797</x:v>
      </x:c>
      <x:c r="AA903" s="8" t="n">
        <x:f>Z903+X903*Q903+Y903*R903</x:f>
        <x:v>-0.4150734556406901</x:v>
      </x:c>
    </x:row>
    <x:row r="904" ht="26" customHeight="1">
      <x:c r="A904" s="2"/>
      <x:c r="B904" s="2" t="n">
        <x:v>899</x:v>
      </x:c>
      <x:c r="C904" s="2" t="str">
        <x:v>Grooming / organic_volume_growth</x:v>
      </x:c>
      <x:c r="D904" s="2" t="str">
        <x:v>Broad rolling 8</x:v>
      </x:c>
      <x:c r="E904" s="7" t="n">
        <x:v>45565</x:v>
      </x:c>
      <x:c r="F904" s="2" t="str">
        <x:v>Pre-earnings</x:v>
      </x:c>
      <x:c r="G904" s="7" t="n">
        <x:v>45582</x:v>
      </x:c>
      <x:c r="H904" s="2" t="n">
        <x:v>8</x:v>
      </x:c>
      <x:c r="I904" s="8" t="n">
        <x:v>3.8524597778205827</x:v>
      </x:c>
      <x:c r="J904" s="8" t="n">
        <x:v>0</x:v>
      </x:c>
      <x:c r="K904" s="8" t="n">
        <x:v>-6</x:v>
      </x:c>
      <x:c r="L904" s="8" t="n">
        <x:v>15.42741688968306</x:v>
      </x:c>
      <x:c r="M904" s="8" t="n">
        <x:v>0</x:v>
      </x:c>
      <x:c r="N904" s="8" t="n">
        <x:v>0</x:v>
      </x:c>
      <x:c r="O904" s="8" t="n">
        <x:v>17.911834565426066</x:v>
      </x:c>
      <x:c r="P904" s="8" t="n">
        <x:v>0</x:v>
      </x:c>
      <x:c r="Q904" s="8" t="n">
        <x:v>2.202595864225132</x:v>
      </x:c>
      <x:c r="R904" s="8" t="n">
        <x:v>0</x:v>
      </x:c>
      <x:c r="S904" s="8" t="n">
        <x:f>L904-I904^2/H904</x:f>
        <x:v>13.572236097217385</x:v>
      </x:c>
      <x:c r="T904" s="8" t="n">
        <x:f>M904-J904^2/H904</x:f>
        <x:v>0</x:v>
      </x:c>
      <x:c r="U904" s="8" t="n">
        <x:f>N904-I904*J904/H904</x:f>
        <x:v>0</x:v>
      </x:c>
      <x:c r="V904" s="8" t="n">
        <x:f>O904-I904*K904/H904</x:f>
        <x:v>20.801179398791504</x:v>
      </x:c>
      <x:c r="W904" s="8" t="n">
        <x:f>P904-J904*K904/H904</x:f>
        <x:v>0</x:v>
      </x:c>
      <x:c r="X904" s="8" t="n">
        <x:f>V904/S904</x:f>
        <x:v>1.5326272877802514</x:v>
      </x:c>
      <x:c r="Y904" s="8" t="n">
        <x:f>0</x:f>
        <x:v>0</x:v>
      </x:c>
      <x:c r="Z904" s="8" t="n">
        <x:f>K904/H904-X904*I904/H904-Y904*J904/H904</x:f>
        <x:v>-1.4880481225704587</x:v>
      </x:c>
      <x:c r="AA904" s="8" t="n">
        <x:f>Z904+X904*Q904+Y904*R904</x:f>
        <x:v>1.8877104028929041</x:v>
      </x:c>
    </x:row>
    <x:row r="905" ht="26" customHeight="1">
      <x:c r="A905" s="2"/>
      <x:c r="B905" s="2" t="n">
        <x:v>900</x:v>
      </x:c>
      <x:c r="C905" s="2" t="str">
        <x:v>Grooming / organic_volume_growth</x:v>
      </x:c>
      <x:c r="D905" s="2" t="str">
        <x:v>Own history</x:v>
      </x:c>
      <x:c r="E905" s="7" t="n">
        <x:v>45565</x:v>
      </x:c>
      <x:c r="F905" s="2" t="str">
        <x:v>Pre-earnings</x:v>
      </x:c>
      <x:c r="G905" s="7" t="n">
        <x:v>45582</x:v>
      </x:c>
      <x:c r="H905" s="2" t="n">
        <x:v>13</x:v>
      </x:c>
      <x:c r="I905" s="8" t="n">
        <x:v>-3</x:v>
      </x:c>
      <x:c r="J905" s="8" t="n">
        <x:v>0</x:v>
      </x:c>
      <x:c r="K905" s="8" t="n">
        <x:v>-1</x:v>
      </x:c>
      <x:c r="L905" s="8" t="n">
        <x:v>99</x:v>
      </x:c>
      <x:c r="M905" s="8" t="n">
        <x:v>0</x:v>
      </x:c>
      <x:c r="N905" s="8" t="n">
        <x:v>0</x:v>
      </x:c>
      <x:c r="O905" s="8" t="n">
        <x:v>9</x:v>
      </x:c>
      <x:c r="P905" s="8" t="n">
        <x:v>0</x:v>
      </x:c>
      <x:c r="Q905" s="8" t="n">
        <x:v>2</x:v>
      </x:c>
      <x:c r="R905" s="8" t="n">
        <x:v>0</x:v>
      </x:c>
      <x:c r="S905" s="8" t="n">
        <x:f>L905-I905^2/H905</x:f>
        <x:v>98.3076923076923</x:v>
      </x:c>
      <x:c r="T905" s="8" t="n">
        <x:f>M905-J905^2/H905</x:f>
        <x:v>0</x:v>
      </x:c>
      <x:c r="U905" s="8" t="n">
        <x:f>N905-I905*J905/H905</x:f>
        <x:v>0</x:v>
      </x:c>
      <x:c r="V905" s="8" t="n">
        <x:f>O905-I905*K905/H905</x:f>
        <x:v>8.76923076923077</x:v>
      </x:c>
      <x:c r="W905" s="8" t="n">
        <x:f>P905-J905*K905/H905</x:f>
        <x:v>0</x:v>
      </x:c>
      <x:c r="X905" s="8" t="n">
        <x:f>V905/S905</x:f>
        <x:v>0.08920187793427231</x:v>
      </x:c>
      <x:c r="Y905" s="8" t="n">
        <x:f>0</x:f>
        <x:v>0</x:v>
      </x:c>
      <x:c r="Z905" s="8" t="n">
        <x:f>K905/H905-X905*I905/H905-Y905*J905/H905</x:f>
        <x:v>-0.056338028169014086</x:v>
      </x:c>
      <x:c r="AA905" s="8" t="n">
        <x:f>Z905+X905*Q905+Y905*R905</x:f>
        <x:v>0.12206572769953053</x:v>
      </x:c>
    </x:row>
    <x:row r="906" ht="26" customHeight="1">
      <x:c r="A906" s="2"/>
      <x:c r="B906" s="2" t="n">
        <x:v>901</x:v>
      </x:c>
      <x:c r="C906" s="2" t="str">
        <x:v>Grooming / organic_volume_growth</x:v>
      </x:c>
      <x:c r="D906" s="2" t="str">
        <x:v>Broad market</x:v>
      </x:c>
      <x:c r="E906" s="7" t="n">
        <x:v>45657</x:v>
      </x:c>
      <x:c r="F906" s="2" t="str">
        <x:v>Origin</x:v>
      </x:c>
      <x:c r="G906" s="7" t="n">
        <x:v>45566</x:v>
      </x:c>
      <x:c r="H906" s="2" t="n">
        <x:v>14</x:v>
      </x:c>
      <x:c r="I906" s="8" t="n">
        <x:v>41.58880663164729</x:v>
      </x:c>
      <x:c r="J906" s="8" t="n">
        <x:v>0</x:v>
      </x:c>
      <x:c r="K906" s="8" t="n">
        <x:v>-1</x:v>
      </x:c>
      <x:c r="L906" s="8" t="n">
        <x:v>366.7871092575401</x:v>
      </x:c>
      <x:c r="M906" s="8" t="n">
        <x:v>0</x:v>
      </x:c>
      <x:c r="N906" s="8" t="n">
        <x:v>0</x:v>
      </x:c>
      <x:c r="O906" s="8" t="n">
        <x:v>92.1088824542444</x:v>
      </x:c>
      <x:c r="P906" s="8" t="n">
        <x:v>0</x:v>
      </x:c>
      <x:c r="Q906" s="8" t="n">
        <x:v>2.1970378321914286</x:v>
      </x:c>
      <x:c r="R906" s="8" t="n">
        <x:v>0</x:v>
      </x:c>
      <x:c r="S906" s="8" t="n">
        <x:f>L906-I906^2/H906</x:f>
        <x:v>243.24219232578662</x:v>
      </x:c>
      <x:c r="T906" s="8" t="n">
        <x:f>M906-J906^2/H906</x:f>
        <x:v>0</x:v>
      </x:c>
      <x:c r="U906" s="8" t="n">
        <x:f>N906-I906*J906/H906</x:f>
        <x:v>0</x:v>
      </x:c>
      <x:c r="V906" s="8" t="n">
        <x:f>O906-I906*K906/H906</x:f>
        <x:v>95.07951149936206</x:v>
      </x:c>
      <x:c r="W906" s="8" t="n">
        <x:f>P906-J906*K906/H906</x:f>
        <x:v>0</x:v>
      </x:c>
      <x:c r="X906" s="8" t="n">
        <x:f>V906/S906</x:f>
        <x:v>0.3908841249548402</x:v>
      </x:c>
      <x:c r="Y906" s="8" t="n">
        <x:f>0</x:f>
        <x:v>0</x:v>
      </x:c>
      <x:c r="Z906" s="8" t="n">
        <x:f>K906/H906-X906*I906/H906-Y906*J906/H906</x:f>
        <x:v>-1.2326003062948219</x:v>
      </x:c>
      <x:c r="AA906" s="8" t="n">
        <x:f>Z906+X906*Q906+Y906*R906</x:f>
        <x:v>-0.3738130957659963</x:v>
      </x:c>
    </x:row>
    <x:row r="907" ht="26" customHeight="1">
      <x:c r="A907" s="2"/>
      <x:c r="B907" s="2" t="n">
        <x:v>902</x:v>
      </x:c>
      <x:c r="C907" s="2" t="str">
        <x:v>Grooming / organic_volume_growth</x:v>
      </x:c>
      <x:c r="D907" s="2" t="str">
        <x:v>Broad rolling 8</x:v>
      </x:c>
      <x:c r="E907" s="7" t="n">
        <x:v>45657</x:v>
      </x:c>
      <x:c r="F907" s="2" t="str">
        <x:v>Origin</x:v>
      </x:c>
      <x:c r="G907" s="7" t="n">
        <x:v>45566</x:v>
      </x:c>
      <x:c r="H907" s="2" t="n">
        <x:v>8</x:v>
      </x:c>
      <x:c r="I907" s="8" t="n">
        <x:v>3.8524597778205827</x:v>
      </x:c>
      <x:c r="J907" s="8" t="n">
        <x:v>0</x:v>
      </x:c>
      <x:c r="K907" s="8" t="n">
        <x:v>-6</x:v>
      </x:c>
      <x:c r="L907" s="8" t="n">
        <x:v>15.42741688968306</x:v>
      </x:c>
      <x:c r="M907" s="8" t="n">
        <x:v>0</x:v>
      </x:c>
      <x:c r="N907" s="8" t="n">
        <x:v>0</x:v>
      </x:c>
      <x:c r="O907" s="8" t="n">
        <x:v>17.911834565426066</x:v>
      </x:c>
      <x:c r="P907" s="8" t="n">
        <x:v>0</x:v>
      </x:c>
      <x:c r="Q907" s="8" t="n">
        <x:v>2.1970378321914286</x:v>
      </x:c>
      <x:c r="R907" s="8" t="n">
        <x:v>0</x:v>
      </x:c>
      <x:c r="S907" s="8" t="n">
        <x:f>L907-I907^2/H907</x:f>
        <x:v>13.572236097217385</x:v>
      </x:c>
      <x:c r="T907" s="8" t="n">
        <x:f>M907-J907^2/H907</x:f>
        <x:v>0</x:v>
      </x:c>
      <x:c r="U907" s="8" t="n">
        <x:f>N907-I907*J907/H907</x:f>
        <x:v>0</x:v>
      </x:c>
      <x:c r="V907" s="8" t="n">
        <x:f>O907-I907*K907/H907</x:f>
        <x:v>20.801179398791504</x:v>
      </x:c>
      <x:c r="W907" s="8" t="n">
        <x:f>P907-J907*K907/H907</x:f>
        <x:v>0</x:v>
      </x:c>
      <x:c r="X907" s="8" t="n">
        <x:f>V907/S907</x:f>
        <x:v>1.5326272877802514</x:v>
      </x:c>
      <x:c r="Y907" s="8" t="n">
        <x:f>0</x:f>
        <x:v>0</x:v>
      </x:c>
      <x:c r="Z907" s="8" t="n">
        <x:f>K907/H907-X907*I907/H907-Y907*J907/H907</x:f>
        <x:v>-1.4880481225704587</x:v>
      </x:c>
      <x:c r="AA907" s="8" t="n">
        <x:f>Z907+X907*Q907+Y907*R907</x:f>
        <x:v>1.8791920113316936</x:v>
      </x:c>
    </x:row>
    <x:row r="908" ht="26" customHeight="1">
      <x:c r="A908" s="2"/>
      <x:c r="B908" s="2" t="n">
        <x:v>903</x:v>
      </x:c>
      <x:c r="C908" s="2" t="str">
        <x:v>Grooming / organic_volume_growth</x:v>
      </x:c>
      <x:c r="D908" s="2" t="str">
        <x:v>Own history</x:v>
      </x:c>
      <x:c r="E908" s="7" t="n">
        <x:v>45657</x:v>
      </x:c>
      <x:c r="F908" s="2" t="str">
        <x:v>Origin</x:v>
      </x:c>
      <x:c r="G908" s="7" t="n">
        <x:v>45566</x:v>
      </x:c>
      <x:c r="H908" s="2" t="n">
        <x:v>12</x:v>
      </x:c>
      <x:c r="I908" s="8" t="n">
        <x:v>-5</x:v>
      </x:c>
      <x:c r="J908" s="8" t="n">
        <x:v>0</x:v>
      </x:c>
      <x:c r="K908" s="8" t="n">
        <x:v>-5</x:v>
      </x:c>
      <x:c r="L908" s="8" t="n">
        <x:v>95</x:v>
      </x:c>
      <x:c r="M908" s="8" t="n">
        <x:v>0</x:v>
      </x:c>
      <x:c r="N908" s="8" t="n">
        <x:v>0</x:v>
      </x:c>
      <x:c r="O908" s="8" t="n">
        <x:v>26</x:v>
      </x:c>
      <x:c r="P908" s="8" t="n">
        <x:v>0</x:v>
      </x:c>
      <x:c r="Q908" s="8" t="n">
        <x:v>2</x:v>
      </x:c>
      <x:c r="R908" s="8" t="n">
        <x:v>0</x:v>
      </x:c>
      <x:c r="S908" s="8" t="n">
        <x:f>L908-I908^2/H908</x:f>
        <x:v>92.91666666666667</x:v>
      </x:c>
      <x:c r="T908" s="8" t="n">
        <x:f>M908-J908^2/H908</x:f>
        <x:v>0</x:v>
      </x:c>
      <x:c r="U908" s="8" t="n">
        <x:f>N908-I908*J908/H908</x:f>
        <x:v>0</x:v>
      </x:c>
      <x:c r="V908" s="8" t="n">
        <x:f>O908-I908*K908/H908</x:f>
        <x:v>23.916666666666668</x:v>
      </x:c>
      <x:c r="W908" s="8" t="n">
        <x:f>P908-J908*K908/H908</x:f>
        <x:v>0</x:v>
      </x:c>
      <x:c r="X908" s="8" t="n">
        <x:f>V908/S908</x:f>
        <x:v>0.25739910313901343</x:v>
      </x:c>
      <x:c r="Y908" s="8" t="n">
        <x:f>0</x:f>
        <x:v>0</x:v>
      </x:c>
      <x:c r="Z908" s="8" t="n">
        <x:f>K908/H908-X908*I908/H908-Y908*J908/H908</x:f>
        <x:v>-0.3094170403587444</x:v>
      </x:c>
      <x:c r="AA908" s="8" t="n">
        <x:f>Z908+X908*Q908+Y908*R908</x:f>
        <x:v>0.20538116591928246</x:v>
      </x:c>
    </x:row>
    <x:row r="909" ht="26" customHeight="1">
      <x:c r="A909" s="2"/>
      <x:c r="B909" s="2" t="n">
        <x:v>904</x:v>
      </x:c>
      <x:c r="C909" s="2" t="str">
        <x:v>Grooming / organic_volume_growth</x:v>
      </x:c>
      <x:c r="D909" s="2" t="str">
        <x:v>Broad market</x:v>
      </x:c>
      <x:c r="E909" s="7" t="n">
        <x:v>45657</x:v>
      </x:c>
      <x:c r="F909" s="2" t="str">
        <x:v>Prior report</x:v>
      </x:c>
      <x:c r="G909" s="7" t="n">
        <x:v>45583</x:v>
      </x:c>
      <x:c r="H909" s="2" t="n">
        <x:v>14</x:v>
      </x:c>
      <x:c r="I909" s="8" t="n">
        <x:v>41.58880663164729</x:v>
      </x:c>
      <x:c r="J909" s="8" t="n">
        <x:v>0</x:v>
      </x:c>
      <x:c r="K909" s="8" t="n">
        <x:v>-1</x:v>
      </x:c>
      <x:c r="L909" s="8" t="n">
        <x:v>366.7871092575401</x:v>
      </x:c>
      <x:c r="M909" s="8" t="n">
        <x:v>0</x:v>
      </x:c>
      <x:c r="N909" s="8" t="n">
        <x:v>0</x:v>
      </x:c>
      <x:c r="O909" s="8" t="n">
        <x:v>92.1088824542444</x:v>
      </x:c>
      <x:c r="P909" s="8" t="n">
        <x:v>0</x:v>
      </x:c>
      <x:c r="Q909" s="8" t="n">
        <x:v>2.1970378321914286</x:v>
      </x:c>
      <x:c r="R909" s="8" t="n">
        <x:v>0</x:v>
      </x:c>
      <x:c r="S909" s="8" t="n">
        <x:f>L909-I909^2/H909</x:f>
        <x:v>243.24219232578662</x:v>
      </x:c>
      <x:c r="T909" s="8" t="n">
        <x:f>M909-J909^2/H909</x:f>
        <x:v>0</x:v>
      </x:c>
      <x:c r="U909" s="8" t="n">
        <x:f>N909-I909*J909/H909</x:f>
        <x:v>0</x:v>
      </x:c>
      <x:c r="V909" s="8" t="n">
        <x:f>O909-I909*K909/H909</x:f>
        <x:v>95.07951149936206</x:v>
      </x:c>
      <x:c r="W909" s="8" t="n">
        <x:f>P909-J909*K909/H909</x:f>
        <x:v>0</x:v>
      </x:c>
      <x:c r="X909" s="8" t="n">
        <x:f>V909/S909</x:f>
        <x:v>0.3908841249548402</x:v>
      </x:c>
      <x:c r="Y909" s="8" t="n">
        <x:f>0</x:f>
        <x:v>0</x:v>
      </x:c>
      <x:c r="Z909" s="8" t="n">
        <x:f>K909/H909-X909*I909/H909-Y909*J909/H909</x:f>
        <x:v>-1.2326003062948219</x:v>
      </x:c>
      <x:c r="AA909" s="8" t="n">
        <x:f>Z909+X909*Q909+Y909*R909</x:f>
        <x:v>-0.3738130957659963</x:v>
      </x:c>
    </x:row>
    <x:row r="910" ht="26" customHeight="1">
      <x:c r="A910" s="2"/>
      <x:c r="B910" s="2" t="n">
        <x:v>905</x:v>
      </x:c>
      <x:c r="C910" s="2" t="str">
        <x:v>Grooming / organic_volume_growth</x:v>
      </x:c>
      <x:c r="D910" s="2" t="str">
        <x:v>Broad rolling 8</x:v>
      </x:c>
      <x:c r="E910" s="7" t="n">
        <x:v>45657</x:v>
      </x:c>
      <x:c r="F910" s="2" t="str">
        <x:v>Prior report</x:v>
      </x:c>
      <x:c r="G910" s="7" t="n">
        <x:v>45583</x:v>
      </x:c>
      <x:c r="H910" s="2" t="n">
        <x:v>8</x:v>
      </x:c>
      <x:c r="I910" s="8" t="n">
        <x:v>3.8524597778205827</x:v>
      </x:c>
      <x:c r="J910" s="8" t="n">
        <x:v>0</x:v>
      </x:c>
      <x:c r="K910" s="8" t="n">
        <x:v>-6</x:v>
      </x:c>
      <x:c r="L910" s="8" t="n">
        <x:v>15.42741688968306</x:v>
      </x:c>
      <x:c r="M910" s="8" t="n">
        <x:v>0</x:v>
      </x:c>
      <x:c r="N910" s="8" t="n">
        <x:v>0</x:v>
      </x:c>
      <x:c r="O910" s="8" t="n">
        <x:v>17.911834565426066</x:v>
      </x:c>
      <x:c r="P910" s="8" t="n">
        <x:v>0</x:v>
      </x:c>
      <x:c r="Q910" s="8" t="n">
        <x:v>2.1970378321914286</x:v>
      </x:c>
      <x:c r="R910" s="8" t="n">
        <x:v>0</x:v>
      </x:c>
      <x:c r="S910" s="8" t="n">
        <x:f>L910-I910^2/H910</x:f>
        <x:v>13.572236097217385</x:v>
      </x:c>
      <x:c r="T910" s="8" t="n">
        <x:f>M910-J910^2/H910</x:f>
        <x:v>0</x:v>
      </x:c>
      <x:c r="U910" s="8" t="n">
        <x:f>N910-I910*J910/H910</x:f>
        <x:v>0</x:v>
      </x:c>
      <x:c r="V910" s="8" t="n">
        <x:f>O910-I910*K910/H910</x:f>
        <x:v>20.801179398791504</x:v>
      </x:c>
      <x:c r="W910" s="8" t="n">
        <x:f>P910-J910*K910/H910</x:f>
        <x:v>0</x:v>
      </x:c>
      <x:c r="X910" s="8" t="n">
        <x:f>V910/S910</x:f>
        <x:v>1.5326272877802514</x:v>
      </x:c>
      <x:c r="Y910" s="8" t="n">
        <x:f>0</x:f>
        <x:v>0</x:v>
      </x:c>
      <x:c r="Z910" s="8" t="n">
        <x:f>K910/H910-X910*I910/H910-Y910*J910/H910</x:f>
        <x:v>-1.4880481225704587</x:v>
      </x:c>
      <x:c r="AA910" s="8" t="n">
        <x:f>Z910+X910*Q910+Y910*R910</x:f>
        <x:v>1.8791920113316936</x:v>
      </x:c>
    </x:row>
    <x:row r="911" ht="26" customHeight="1">
      <x:c r="A911" s="2"/>
      <x:c r="B911" s="2" t="n">
        <x:v>906</x:v>
      </x:c>
      <x:c r="C911" s="2" t="str">
        <x:v>Grooming / organic_volume_growth</x:v>
      </x:c>
      <x:c r="D911" s="2" t="str">
        <x:v>Own history</x:v>
      </x:c>
      <x:c r="E911" s="7" t="n">
        <x:v>45657</x:v>
      </x:c>
      <x:c r="F911" s="2" t="str">
        <x:v>Prior report</x:v>
      </x:c>
      <x:c r="G911" s="7" t="n">
        <x:v>45583</x:v>
      </x:c>
      <x:c r="H911" s="2" t="n">
        <x:v>14</x:v>
      </x:c>
      <x:c r="I911" s="8" t="n">
        <x:v>-1</x:v>
      </x:c>
      <x:c r="J911" s="8" t="n">
        <x:v>0</x:v>
      </x:c>
      <x:c r="K911" s="8" t="n">
        <x:v>4</x:v>
      </x:c>
      <x:c r="L911" s="8" t="n">
        <x:v>103</x:v>
      </x:c>
      <x:c r="M911" s="8" t="n">
        <x:v>0</x:v>
      </x:c>
      <x:c r="N911" s="8" t="n">
        <x:v>0</x:v>
      </x:c>
      <x:c r="O911" s="8" t="n">
        <x:v>19</x:v>
      </x:c>
      <x:c r="P911" s="8" t="n">
        <x:v>0</x:v>
      </x:c>
      <x:c r="Q911" s="8" t="n">
        <x:v>5</x:v>
      </x:c>
      <x:c r="R911" s="8" t="n">
        <x:v>0</x:v>
      </x:c>
      <x:c r="S911" s="8" t="n">
        <x:f>L911-I911^2/H911</x:f>
        <x:v>102.92857142857143</x:v>
      </x:c>
      <x:c r="T911" s="8" t="n">
        <x:f>M911-J911^2/H911</x:f>
        <x:v>0</x:v>
      </x:c>
      <x:c r="U911" s="8" t="n">
        <x:f>N911-I911*J911/H911</x:f>
        <x:v>0</x:v>
      </x:c>
      <x:c r="V911" s="8" t="n">
        <x:f>O911-I911*K911/H911</x:f>
        <x:v>19.285714285714285</x:v>
      </x:c>
      <x:c r="W911" s="8" t="n">
        <x:f>P911-J911*K911/H911</x:f>
        <x:v>0</x:v>
      </x:c>
      <x:c r="X911" s="8" t="n">
        <x:f>V911/S911</x:f>
        <x:v>0.18736988202637056</x:v>
      </x:c>
      <x:c r="Y911" s="8" t="n">
        <x:f>0</x:f>
        <x:v>0</x:v>
      </x:c>
      <x:c r="Z911" s="8" t="n">
        <x:f>K911/H911-X911*I911/H911-Y911*J911/H911</x:f>
        <x:v>0.2990978487161693</x:v>
      </x:c>
      <x:c r="AA911" s="8" t="n">
        <x:f>Z911+X911*Q911+Y911*R911</x:f>
        <x:v>1.235947258848022</x:v>
      </x:c>
    </x:row>
    <x:row r="912" ht="26" customHeight="1">
      <x:c r="A912" s="2"/>
      <x:c r="B912" s="2" t="n">
        <x:v>907</x:v>
      </x:c>
      <x:c r="C912" s="2" t="str">
        <x:v>Grooming / organic_volume_growth</x:v>
      </x:c>
      <x:c r="D912" s="2" t="str">
        <x:v>Broad market</x:v>
      </x:c>
      <x:c r="E912" s="7" t="n">
        <x:v>45657</x:v>
      </x:c>
      <x:c r="F912" s="2" t="str">
        <x:v>Pre-earnings</x:v>
      </x:c>
      <x:c r="G912" s="7" t="n">
        <x:v>45678</x:v>
      </x:c>
      <x:c r="H912" s="2" t="n">
        <x:v>15</x:v>
      </x:c>
      <x:c r="I912" s="8" t="n">
        <x:v>43.836489330457816</x:v>
      </x:c>
      <x:c r="J912" s="8" t="n">
        <x:v>0</x:v>
      </x:c>
      <x:c r="K912" s="8" t="n">
        <x:v>4</x:v>
      </x:c>
      <x:c r="L912" s="8" t="n">
        <x:v>371.83918677207225</x:v>
      </x:c>
      <x:c r="M912" s="8" t="n">
        <x:v>0</x:v>
      </x:c>
      <x:c r="N912" s="8" t="n">
        <x:v>0</x:v>
      </x:c>
      <x:c r="O912" s="8" t="n">
        <x:v>103.34729594829703</x:v>
      </x:c>
      <x:c r="P912" s="8" t="n">
        <x:v>0</x:v>
      </x:c>
      <x:c r="Q912" s="8" t="n">
        <x:v>2.2104342232004415</x:v>
      </x:c>
      <x:c r="R912" s="8" t="n">
        <x:v>0</x:v>
      </x:c>
      <x:c r="S912" s="8" t="n">
        <x:f>L912-I912^2/H912</x:f>
        <x:v>243.73000031744945</x:v>
      </x:c>
      <x:c r="T912" s="8" t="n">
        <x:f>M912-J912^2/H912</x:f>
        <x:v>0</x:v>
      </x:c>
      <x:c r="U912" s="8" t="n">
        <x:f>N912-I912*J912/H912</x:f>
        <x:v>0</x:v>
      </x:c>
      <x:c r="V912" s="8" t="n">
        <x:f>O912-I912*K912/H912</x:f>
        <x:v>91.65756546017495</x:v>
      </x:c>
      <x:c r="W912" s="8" t="n">
        <x:f>P912-J912*K912/H912</x:f>
        <x:v>0</x:v>
      </x:c>
      <x:c r="X912" s="8" t="n">
        <x:f>V912/S912</x:f>
        <x:v>0.3760618936560715</x:v>
      </x:c>
      <x:c r="Y912" s="8" t="n">
        <x:f>0</x:f>
        <x:v>0</x:v>
      </x:c>
      <x:c r="Z912" s="8" t="n">
        <x:f>K912/H912-X912*I912/H912-Y912*J912/H912</x:f>
        <x:v>-0.8323488792564095</x:v>
      </x:c>
      <x:c r="AA912" s="8" t="n">
        <x:f>Z912+X912*Q912+Y912*R912</x:f>
        <x:v>-0.0010887994774640974</x:v>
      </x:c>
    </x:row>
    <x:row r="913" ht="26" customHeight="1">
      <x:c r="A913" s="2"/>
      <x:c r="B913" s="2" t="n">
        <x:v>908</x:v>
      </x:c>
      <x:c r="C913" s="2" t="str">
        <x:v>Grooming / organic_volume_growth</x:v>
      </x:c>
      <x:c r="D913" s="2" t="str">
        <x:v>Broad lag 1</x:v>
      </x:c>
      <x:c r="E913" s="7" t="n">
        <x:v>45657</x:v>
      </x:c>
      <x:c r="F913" s="2" t="str">
        <x:v>Pre-earnings</x:v>
      </x:c>
      <x:c r="G913" s="7" t="n">
        <x:v>45678</x:v>
      </x:c>
      <x:c r="H913" s="2" t="n">
        <x:v>14</x:v>
      </x:c>
      <x:c r="I913" s="8" t="n">
        <x:v>41.58880663164729</x:v>
      </x:c>
      <x:c r="J913" s="8" t="n">
        <x:v>0</x:v>
      </x:c>
      <x:c r="K913" s="8" t="n">
        <x:v>4</x:v>
      </x:c>
      <x:c r="L913" s="8" t="n">
        <x:v>366.7871092575401</x:v>
      </x:c>
      <x:c r="M913" s="8" t="n">
        <x:v>0</x:v>
      </x:c>
      <x:c r="N913" s="8" t="n">
        <x:v>0</x:v>
      </x:c>
      <x:c r="O913" s="8" t="n">
        <x:v>75.59092248226378</x:v>
      </x:c>
      <x:c r="P913" s="8" t="n">
        <x:v>0</x:v>
      </x:c>
      <x:c r="Q913" s="8" t="n">
        <x:v>2.247682698810527</x:v>
      </x:c>
      <x:c r="R913" s="8" t="n">
        <x:v>0</x:v>
      </x:c>
      <x:c r="S913" s="8" t="n">
        <x:f>L913-I913^2/H913</x:f>
        <x:v>243.24219232578662</x:v>
      </x:c>
      <x:c r="T913" s="8" t="n">
        <x:f>M913-J913^2/H913</x:f>
        <x:v>0</x:v>
      </x:c>
      <x:c r="U913" s="8" t="n">
        <x:f>N913-I913*J913/H913</x:f>
        <x:v>0</x:v>
      </x:c>
      <x:c r="V913" s="8" t="n">
        <x:f>O913-I913*K913/H913</x:f>
        <x:v>63.708406301793126</x:v>
      </x:c>
      <x:c r="W913" s="8" t="n">
        <x:f>P913-J913*K913/H913</x:f>
        <x:v>0</x:v>
      </x:c>
      <x:c r="X913" s="8" t="n">
        <x:f>V913/S913</x:f>
        <x:v>0.26191346859949866</x:v>
      </x:c>
      <x:c r="Y913" s="8" t="n">
        <x:f>0</x:f>
        <x:v>0</x:v>
      </x:c>
      <x:c r="Z913" s="8" t="n">
        <x:f>K913/H913-X913*I913/H913-Y913*J913/H913</x:f>
        <x:v>-0.49233347141489814</x:v>
      </x:c>
      <x:c r="AA913" s="8" t="n">
        <x:f>Z913+X913*Q913+Y913*R913</x:f>
        <x:v>0.09636490054164926</x:v>
      </x:c>
    </x:row>
    <x:row r="914" ht="26" customHeight="1">
      <x:c r="A914" s="2"/>
      <x:c r="B914" s="2" t="n">
        <x:v>909</x:v>
      </x:c>
      <x:c r="C914" s="2" t="str">
        <x:v>Grooming / organic_volume_growth</x:v>
      </x:c>
      <x:c r="D914" s="2" t="str">
        <x:v>Broad rolling 8</x:v>
      </x:c>
      <x:c r="E914" s="7" t="n">
        <x:v>45657</x:v>
      </x:c>
      <x:c r="F914" s="2" t="str">
        <x:v>Pre-earnings</x:v>
      </x:c>
      <x:c r="G914" s="7" t="n">
        <x:v>45678</x:v>
      </x:c>
      <x:c r="H914" s="2" t="n">
        <x:v>8</x:v>
      </x:c>
      <x:c r="I914" s="8" t="n">
        <x:v>7.078949947895485</x:v>
      </x:c>
      <x:c r="J914" s="8" t="n">
        <x:v>0</x:v>
      </x:c>
      <x:c r="K914" s="8" t="n">
        <x:v>-2</x:v>
      </x:c>
      <x:c r="L914" s="8" t="n">
        <x:v>19.521430338412273</x:v>
      </x:c>
      <x:c r="M914" s="8" t="n">
        <x:v>0</x:v>
      </x:c>
      <x:c r="N914" s="8" t="n">
        <x:v>0</x:v>
      </x:c>
      <x:c r="O914" s="8" t="n">
        <x:v>30.129055530743077</x:v>
      </x:c>
      <x:c r="P914" s="8" t="n">
        <x:v>0</x:v>
      </x:c>
      <x:c r="Q914" s="8" t="n">
        <x:v>2.2104342232004415</x:v>
      </x:c>
      <x:c r="R914" s="8" t="n">
        <x:v>0</x:v>
      </x:c>
      <x:c r="S914" s="8" t="n">
        <x:f>L914-I914^2/H914</x:f>
        <x:v>13.257488792811085</x:v>
      </x:c>
      <x:c r="T914" s="8" t="n">
        <x:f>M914-J914^2/H914</x:f>
        <x:v>0</x:v>
      </x:c>
      <x:c r="U914" s="8" t="n">
        <x:f>N914-I914*J914/H914</x:f>
        <x:v>0</x:v>
      </x:c>
      <x:c r="V914" s="8" t="n">
        <x:f>O914-I914*K914/H914</x:f>
        <x:v>31.898793017716947</x:v>
      </x:c>
      <x:c r="W914" s="8" t="n">
        <x:f>P914-J914*K914/H914</x:f>
        <x:v>0</x:v>
      </x:c>
      <x:c r="X914" s="8" t="n">
        <x:f>V914/S914</x:f>
        <x:v>2.4060961707178037</x:v>
      </x:c>
      <x:c r="Y914" s="8" t="n">
        <x:f>0</x:f>
        <x:v>0</x:v>
      </x:c>
      <x:c r="Z914" s="8" t="n">
        <x:f>K914/H914-X914*I914/H914-Y914*J914/H914</x:f>
        <x:v>-2.3790792952917905</x:v>
      </x:c>
      <x:c r="AA914" s="8" t="n">
        <x:f>Z914+X914*Q914+Y914*R914</x:f>
        <x:v>2.939438024774375</x:v>
      </x:c>
    </x:row>
    <x:row r="915" ht="26" customHeight="1">
      <x:c r="A915" s="2"/>
      <x:c r="B915" s="2" t="n">
        <x:v>910</x:v>
      </x:c>
      <x:c r="C915" s="2" t="str">
        <x:v>Grooming / organic_volume_growth</x:v>
      </x:c>
      <x:c r="D915" s="2" t="str">
        <x:v>Own history</x:v>
      </x:c>
      <x:c r="E915" s="7" t="n">
        <x:v>45657</x:v>
      </x:c>
      <x:c r="F915" s="2" t="str">
        <x:v>Pre-earnings</x:v>
      </x:c>
      <x:c r="G915" s="7" t="n">
        <x:v>45678</x:v>
      </x:c>
      <x:c r="H915" s="2" t="n">
        <x:v>14</x:v>
      </x:c>
      <x:c r="I915" s="8" t="n">
        <x:v>-1</x:v>
      </x:c>
      <x:c r="J915" s="8" t="n">
        <x:v>0</x:v>
      </x:c>
      <x:c r="K915" s="8" t="n">
        <x:v>4</x:v>
      </x:c>
      <x:c r="L915" s="8" t="n">
        <x:v>103</x:v>
      </x:c>
      <x:c r="M915" s="8" t="n">
        <x:v>0</x:v>
      </x:c>
      <x:c r="N915" s="8" t="n">
        <x:v>0</x:v>
      </x:c>
      <x:c r="O915" s="8" t="n">
        <x:v>19</x:v>
      </x:c>
      <x:c r="P915" s="8" t="n">
        <x:v>0</x:v>
      </x:c>
      <x:c r="Q915" s="8" t="n">
        <x:v>5</x:v>
      </x:c>
      <x:c r="R915" s="8" t="n">
        <x:v>0</x:v>
      </x:c>
      <x:c r="S915" s="8" t="n">
        <x:f>L915-I915^2/H915</x:f>
        <x:v>102.92857142857143</x:v>
      </x:c>
      <x:c r="T915" s="8" t="n">
        <x:f>M915-J915^2/H915</x:f>
        <x:v>0</x:v>
      </x:c>
      <x:c r="U915" s="8" t="n">
        <x:f>N915-I915*J915/H915</x:f>
        <x:v>0</x:v>
      </x:c>
      <x:c r="V915" s="8" t="n">
        <x:f>O915-I915*K915/H915</x:f>
        <x:v>19.285714285714285</x:v>
      </x:c>
      <x:c r="W915" s="8" t="n">
        <x:f>P915-J915*K915/H915</x:f>
        <x:v>0</x:v>
      </x:c>
      <x:c r="X915" s="8" t="n">
        <x:f>V915/S915</x:f>
        <x:v>0.18736988202637056</x:v>
      </x:c>
      <x:c r="Y915" s="8" t="n">
        <x:f>0</x:f>
        <x:v>0</x:v>
      </x:c>
      <x:c r="Z915" s="8" t="n">
        <x:f>K915/H915-X915*I915/H915-Y915*J915/H915</x:f>
        <x:v>0.2990978487161693</x:v>
      </x:c>
      <x:c r="AA915" s="8" t="n">
        <x:f>Z915+X915*Q915+Y915*R915</x:f>
        <x:v>1.235947258848022</x:v>
      </x:c>
    </x:row>
    <x:row r="916" ht="26" customHeight="1">
      <x:c r="A916" s="2"/>
      <x:c r="B916" s="2" t="n">
        <x:v>911</x:v>
      </x:c>
      <x:c r="C916" s="2" t="str">
        <x:v>Grooming / organic_volume_growth</x:v>
      </x:c>
      <x:c r="D916" s="2" t="str">
        <x:v>Broad market</x:v>
      </x:c>
      <x:c r="E916" s="7" t="n">
        <x:v>45747</x:v>
      </x:c>
      <x:c r="F916" s="2" t="str">
        <x:v>Origin</x:v>
      </x:c>
      <x:c r="G916" s="7" t="n">
        <x:v>45658</x:v>
      </x:c>
      <x:c r="H916" s="2" t="n">
        <x:v>15</x:v>
      </x:c>
      <x:c r="I916" s="8" t="n">
        <x:v>43.836489330457816</x:v>
      </x:c>
      <x:c r="J916" s="8" t="n">
        <x:v>0</x:v>
      </x:c>
      <x:c r="K916" s="8" t="n">
        <x:v>4</x:v>
      </x:c>
      <x:c r="L916" s="8" t="n">
        <x:v>371.83918677207225</x:v>
      </x:c>
      <x:c r="M916" s="8" t="n">
        <x:v>0</x:v>
      </x:c>
      <x:c r="N916" s="8" t="n">
        <x:v>0</x:v>
      </x:c>
      <x:c r="O916" s="8" t="n">
        <x:v>103.34729594829703</x:v>
      </x:c>
      <x:c r="P916" s="8" t="n">
        <x:v>0</x:v>
      </x:c>
      <x:c r="Q916" s="8" t="n">
        <x:v>2.3134618459836664</x:v>
      </x:c>
      <x:c r="R916" s="8" t="n">
        <x:v>0</x:v>
      </x:c>
      <x:c r="S916" s="8" t="n">
        <x:f>L916-I916^2/H916</x:f>
        <x:v>243.73000031744945</x:v>
      </x:c>
      <x:c r="T916" s="8" t="n">
        <x:f>M916-J916^2/H916</x:f>
        <x:v>0</x:v>
      </x:c>
      <x:c r="U916" s="8" t="n">
        <x:f>N916-I916*J916/H916</x:f>
        <x:v>0</x:v>
      </x:c>
      <x:c r="V916" s="8" t="n">
        <x:f>O916-I916*K916/H916</x:f>
        <x:v>91.65756546017495</x:v>
      </x:c>
      <x:c r="W916" s="8" t="n">
        <x:f>P916-J916*K916/H916</x:f>
        <x:v>0</x:v>
      </x:c>
      <x:c r="X916" s="8" t="n">
        <x:f>V916/S916</x:f>
        <x:v>0.3760618936560715</x:v>
      </x:c>
      <x:c r="Y916" s="8" t="n">
        <x:f>0</x:f>
        <x:v>0</x:v>
      </x:c>
      <x:c r="Z916" s="8" t="n">
        <x:f>K916/H916-X916*I916/H916-Y916*J916/H916</x:f>
        <x:v>-0.8323488792564095</x:v>
      </x:c>
      <x:c r="AA916" s="8" t="n">
        <x:f>Z916+X916*Q916+Y916*R916</x:f>
        <x:v>0.037655963445278884</x:v>
      </x:c>
    </x:row>
    <x:row r="917" ht="26" customHeight="1">
      <x:c r="A917" s="2"/>
      <x:c r="B917" s="2" t="n">
        <x:v>912</x:v>
      </x:c>
      <x:c r="C917" s="2" t="str">
        <x:v>Grooming / organic_volume_growth</x:v>
      </x:c>
      <x:c r="D917" s="2" t="str">
        <x:v>Broad rolling 8</x:v>
      </x:c>
      <x:c r="E917" s="7" t="n">
        <x:v>45747</x:v>
      </x:c>
      <x:c r="F917" s="2" t="str">
        <x:v>Origin</x:v>
      </x:c>
      <x:c r="G917" s="7" t="n">
        <x:v>45658</x:v>
      </x:c>
      <x:c r="H917" s="2" t="n">
        <x:v>8</x:v>
      </x:c>
      <x:c r="I917" s="8" t="n">
        <x:v>7.078949947895485</x:v>
      </x:c>
      <x:c r="J917" s="8" t="n">
        <x:v>0</x:v>
      </x:c>
      <x:c r="K917" s="8" t="n">
        <x:v>-2</x:v>
      </x:c>
      <x:c r="L917" s="8" t="n">
        <x:v>19.521430338412273</x:v>
      </x:c>
      <x:c r="M917" s="8" t="n">
        <x:v>0</x:v>
      </x:c>
      <x:c r="N917" s="8" t="n">
        <x:v>0</x:v>
      </x:c>
      <x:c r="O917" s="8" t="n">
        <x:v>30.129055530743077</x:v>
      </x:c>
      <x:c r="P917" s="8" t="n">
        <x:v>0</x:v>
      </x:c>
      <x:c r="Q917" s="8" t="n">
        <x:v>2.3134618459836664</x:v>
      </x:c>
      <x:c r="R917" s="8" t="n">
        <x:v>0</x:v>
      </x:c>
      <x:c r="S917" s="8" t="n">
        <x:f>L917-I917^2/H917</x:f>
        <x:v>13.257488792811085</x:v>
      </x:c>
      <x:c r="T917" s="8" t="n">
        <x:f>M917-J917^2/H917</x:f>
        <x:v>0</x:v>
      </x:c>
      <x:c r="U917" s="8" t="n">
        <x:f>N917-I917*J917/H917</x:f>
        <x:v>0</x:v>
      </x:c>
      <x:c r="V917" s="8" t="n">
        <x:f>O917-I917*K917/H917</x:f>
        <x:v>31.898793017716947</x:v>
      </x:c>
      <x:c r="W917" s="8" t="n">
        <x:f>P917-J917*K917/H917</x:f>
        <x:v>0</x:v>
      </x:c>
      <x:c r="X917" s="8" t="n">
        <x:f>V917/S917</x:f>
        <x:v>2.4060961707178037</x:v>
      </x:c>
      <x:c r="Y917" s="8" t="n">
        <x:f>0</x:f>
        <x:v>0</x:v>
      </x:c>
      <x:c r="Z917" s="8" t="n">
        <x:f>K917/H917-X917*I917/H917-Y917*J917/H917</x:f>
        <x:v>-2.3790792952917905</x:v>
      </x:c>
      <x:c r="AA917" s="8" t="n">
        <x:f>Z917+X917*Q917+Y917*R917</x:f>
        <x:v>3.1873323934312503</x:v>
      </x:c>
    </x:row>
    <x:row r="918" ht="26" customHeight="1">
      <x:c r="A918" s="2"/>
      <x:c r="B918" s="2" t="n">
        <x:v>913</x:v>
      </x:c>
      <x:c r="C918" s="2" t="str">
        <x:v>Grooming / organic_volume_growth</x:v>
      </x:c>
      <x:c r="D918" s="2" t="str">
        <x:v>Own history</x:v>
      </x:c>
      <x:c r="E918" s="7" t="n">
        <x:v>45747</x:v>
      </x:c>
      <x:c r="F918" s="2" t="str">
        <x:v>Origin</x:v>
      </x:c>
      <x:c r="G918" s="7" t="n">
        <x:v>45658</x:v>
      </x:c>
      <x:c r="H918" s="2" t="n">
        <x:v>13</x:v>
      </x:c>
      <x:c r="I918" s="8" t="n">
        <x:v>-3</x:v>
      </x:c>
      <x:c r="J918" s="8" t="n">
        <x:v>0</x:v>
      </x:c>
      <x:c r="K918" s="8" t="n">
        <x:v>0</x:v>
      </x:c>
      <x:c r="L918" s="8" t="n">
        <x:v>99</x:v>
      </x:c>
      <x:c r="M918" s="8" t="n">
        <x:v>0</x:v>
      </x:c>
      <x:c r="N918" s="8" t="n">
        <x:v>0</x:v>
      </x:c>
      <x:c r="O918" s="8" t="n">
        <x:v>36</x:v>
      </x:c>
      <x:c r="P918" s="8" t="n">
        <x:v>0</x:v>
      </x:c>
      <x:c r="Q918" s="8" t="n">
        <x:v>5</x:v>
      </x:c>
      <x:c r="R918" s="8" t="n">
        <x:v>0</x:v>
      </x:c>
      <x:c r="S918" s="8" t="n">
        <x:f>L918-I918^2/H918</x:f>
        <x:v>98.3076923076923</x:v>
      </x:c>
      <x:c r="T918" s="8" t="n">
        <x:f>M918-J918^2/H918</x:f>
        <x:v>0</x:v>
      </x:c>
      <x:c r="U918" s="8" t="n">
        <x:f>N918-I918*J918/H918</x:f>
        <x:v>0</x:v>
      </x:c>
      <x:c r="V918" s="8" t="n">
        <x:f>O918-I918*K918/H918</x:f>
        <x:v>36</x:v>
      </x:c>
      <x:c r="W918" s="8" t="n">
        <x:f>P918-J918*K918/H918</x:f>
        <x:v>0</x:v>
      </x:c>
      <x:c r="X918" s="8" t="n">
        <x:f>V918/S918</x:f>
        <x:v>0.36619718309859156</x:v>
      </x:c>
      <x:c r="Y918" s="8" t="n">
        <x:f>0</x:f>
        <x:v>0</x:v>
      </x:c>
      <x:c r="Z918" s="8" t="n">
        <x:f>K918/H918-X918*I918/H918-Y918*J918/H918</x:f>
        <x:v>0.08450704225352114</x:v>
      </x:c>
      <x:c r="AA918" s="8" t="n">
        <x:f>Z918+X918*Q918+Y918*R918</x:f>
        <x:v>1.915492957746479</x:v>
      </x:c>
    </x:row>
    <x:row r="919" ht="26" customHeight="1">
      <x:c r="A919" s="2"/>
      <x:c r="B919" s="2" t="n">
        <x:v>914</x:v>
      </x:c>
      <x:c r="C919" s="2" t="str">
        <x:v>Grooming / organic_volume_growth</x:v>
      </x:c>
      <x:c r="D919" s="2" t="str">
        <x:v>Broad market</x:v>
      </x:c>
      <x:c r="E919" s="7" t="n">
        <x:v>45747</x:v>
      </x:c>
      <x:c r="F919" s="2" t="str">
        <x:v>Prior report</x:v>
      </x:c>
      <x:c r="G919" s="7" t="n">
        <x:v>45679</x:v>
      </x:c>
      <x:c r="H919" s="2" t="n">
        <x:v>15</x:v>
      </x:c>
      <x:c r="I919" s="8" t="n">
        <x:v>43.836489330457816</x:v>
      </x:c>
      <x:c r="J919" s="8" t="n">
        <x:v>0</x:v>
      </x:c>
      <x:c r="K919" s="8" t="n">
        <x:v>4</x:v>
      </x:c>
      <x:c r="L919" s="8" t="n">
        <x:v>371.83918677207225</x:v>
      </x:c>
      <x:c r="M919" s="8" t="n">
        <x:v>0</x:v>
      </x:c>
      <x:c r="N919" s="8" t="n">
        <x:v>0</x:v>
      </x:c>
      <x:c r="O919" s="8" t="n">
        <x:v>103.34729594829703</x:v>
      </x:c>
      <x:c r="P919" s="8" t="n">
        <x:v>0</x:v>
      </x:c>
      <x:c r="Q919" s="8" t="n">
        <x:v>2.3134618459836664</x:v>
      </x:c>
      <x:c r="R919" s="8" t="n">
        <x:v>0</x:v>
      </x:c>
      <x:c r="S919" s="8" t="n">
        <x:f>L919-I919^2/H919</x:f>
        <x:v>243.73000031744945</x:v>
      </x:c>
      <x:c r="T919" s="8" t="n">
        <x:f>M919-J919^2/H919</x:f>
        <x:v>0</x:v>
      </x:c>
      <x:c r="U919" s="8" t="n">
        <x:f>N919-I919*J919/H919</x:f>
        <x:v>0</x:v>
      </x:c>
      <x:c r="V919" s="8" t="n">
        <x:f>O919-I919*K919/H919</x:f>
        <x:v>91.65756546017495</x:v>
      </x:c>
      <x:c r="W919" s="8" t="n">
        <x:f>P919-J919*K919/H919</x:f>
        <x:v>0</x:v>
      </x:c>
      <x:c r="X919" s="8" t="n">
        <x:f>V919/S919</x:f>
        <x:v>0.3760618936560715</x:v>
      </x:c>
      <x:c r="Y919" s="8" t="n">
        <x:f>0</x:f>
        <x:v>0</x:v>
      </x:c>
      <x:c r="Z919" s="8" t="n">
        <x:f>K919/H919-X919*I919/H919-Y919*J919/H919</x:f>
        <x:v>-0.8323488792564095</x:v>
      </x:c>
      <x:c r="AA919" s="8" t="n">
        <x:f>Z919+X919*Q919+Y919*R919</x:f>
        <x:v>0.037655963445278884</x:v>
      </x:c>
    </x:row>
    <x:row r="920" ht="26" customHeight="1">
      <x:c r="A920" s="2"/>
      <x:c r="B920" s="2" t="n">
        <x:v>915</x:v>
      </x:c>
      <x:c r="C920" s="2" t="str">
        <x:v>Grooming / organic_volume_growth</x:v>
      </x:c>
      <x:c r="D920" s="2" t="str">
        <x:v>Broad rolling 8</x:v>
      </x:c>
      <x:c r="E920" s="7" t="n">
        <x:v>45747</x:v>
      </x:c>
      <x:c r="F920" s="2" t="str">
        <x:v>Prior report</x:v>
      </x:c>
      <x:c r="G920" s="7" t="n">
        <x:v>45679</x:v>
      </x:c>
      <x:c r="H920" s="2" t="n">
        <x:v>8</x:v>
      </x:c>
      <x:c r="I920" s="8" t="n">
        <x:v>7.078949947895485</x:v>
      </x:c>
      <x:c r="J920" s="8" t="n">
        <x:v>0</x:v>
      </x:c>
      <x:c r="K920" s="8" t="n">
        <x:v>-2</x:v>
      </x:c>
      <x:c r="L920" s="8" t="n">
        <x:v>19.521430338412273</x:v>
      </x:c>
      <x:c r="M920" s="8" t="n">
        <x:v>0</x:v>
      </x:c>
      <x:c r="N920" s="8" t="n">
        <x:v>0</x:v>
      </x:c>
      <x:c r="O920" s="8" t="n">
        <x:v>30.129055530743077</x:v>
      </x:c>
      <x:c r="P920" s="8" t="n">
        <x:v>0</x:v>
      </x:c>
      <x:c r="Q920" s="8" t="n">
        <x:v>2.3134618459836664</x:v>
      </x:c>
      <x:c r="R920" s="8" t="n">
        <x:v>0</x:v>
      </x:c>
      <x:c r="S920" s="8" t="n">
        <x:f>L920-I920^2/H920</x:f>
        <x:v>13.257488792811085</x:v>
      </x:c>
      <x:c r="T920" s="8" t="n">
        <x:f>M920-J920^2/H920</x:f>
        <x:v>0</x:v>
      </x:c>
      <x:c r="U920" s="8" t="n">
        <x:f>N920-I920*J920/H920</x:f>
        <x:v>0</x:v>
      </x:c>
      <x:c r="V920" s="8" t="n">
        <x:f>O920-I920*K920/H920</x:f>
        <x:v>31.898793017716947</x:v>
      </x:c>
      <x:c r="W920" s="8" t="n">
        <x:f>P920-J920*K920/H920</x:f>
        <x:v>0</x:v>
      </x:c>
      <x:c r="X920" s="8" t="n">
        <x:f>V920/S920</x:f>
        <x:v>2.4060961707178037</x:v>
      </x:c>
      <x:c r="Y920" s="8" t="n">
        <x:f>0</x:f>
        <x:v>0</x:v>
      </x:c>
      <x:c r="Z920" s="8" t="n">
        <x:f>K920/H920-X920*I920/H920-Y920*J920/H920</x:f>
        <x:v>-2.3790792952917905</x:v>
      </x:c>
      <x:c r="AA920" s="8" t="n">
        <x:f>Z920+X920*Q920+Y920*R920</x:f>
        <x:v>3.1873323934312503</x:v>
      </x:c>
    </x:row>
    <x:row r="921" ht="26" customHeight="1">
      <x:c r="A921" s="2"/>
      <x:c r="B921" s="2" t="n">
        <x:v>916</x:v>
      </x:c>
      <x:c r="C921" s="2" t="str">
        <x:v>Grooming / organic_volume_growth</x:v>
      </x:c>
      <x:c r="D921" s="2" t="str">
        <x:v>Own history</x:v>
      </x:c>
      <x:c r="E921" s="7" t="n">
        <x:v>45747</x:v>
      </x:c>
      <x:c r="F921" s="2" t="str">
        <x:v>Prior report</x:v>
      </x:c>
      <x:c r="G921" s="7" t="n">
        <x:v>45679</x:v>
      </x:c>
      <x:c r="H921" s="2" t="n">
        <x:v>15</x:v>
      </x:c>
      <x:c r="I921" s="8" t="n">
        <x:v>4</x:v>
      </x:c>
      <x:c r="J921" s="8" t="n">
        <x:v>0</x:v>
      </x:c>
      <x:c r="K921" s="8" t="n">
        <x:v>6</x:v>
      </x:c>
      <x:c r="L921" s="8" t="n">
        <x:v>128</x:v>
      </x:c>
      <x:c r="M921" s="8" t="n">
        <x:v>0</x:v>
      </x:c>
      <x:c r="N921" s="8" t="n">
        <x:v>0</x:v>
      </x:c>
      <x:c r="O921" s="8" t="n">
        <x:v>29</x:v>
      </x:c>
      <x:c r="P921" s="8" t="n">
        <x:v>0</x:v>
      </x:c>
      <x:c r="Q921" s="8" t="n">
        <x:v>2</x:v>
      </x:c>
      <x:c r="R921" s="8" t="n">
        <x:v>0</x:v>
      </x:c>
      <x:c r="S921" s="8" t="n">
        <x:f>L921-I921^2/H921</x:f>
        <x:v>126.93333333333334</x:v>
      </x:c>
      <x:c r="T921" s="8" t="n">
        <x:f>M921-J921^2/H921</x:f>
        <x:v>0</x:v>
      </x:c>
      <x:c r="U921" s="8" t="n">
        <x:f>N921-I921*J921/H921</x:f>
        <x:v>0</x:v>
      </x:c>
      <x:c r="V921" s="8" t="n">
        <x:f>O921-I921*K921/H921</x:f>
        <x:v>27.4</x:v>
      </x:c>
      <x:c r="W921" s="8" t="n">
        <x:f>P921-J921*K921/H921</x:f>
        <x:v>0</x:v>
      </x:c>
      <x:c r="X921" s="8" t="n">
        <x:f>V921/S921</x:f>
        <x:v>0.2158613445378151</x:v>
      </x:c>
      <x:c r="Y921" s="8" t="n">
        <x:f>0</x:f>
        <x:v>0</x:v>
      </x:c>
      <x:c r="Z921" s="8" t="n">
        <x:f>K921/H921-X921*I921/H921-Y921*J921/H921</x:f>
        <x:v>0.34243697478991597</x:v>
      </x:c>
      <x:c r="AA921" s="8" t="n">
        <x:f>Z921+X921*Q921+Y921*R921</x:f>
        <x:v>0.7741596638655461</x:v>
      </x:c>
    </x:row>
    <x:row r="922" ht="26" customHeight="1">
      <x:c r="A922" s="2"/>
      <x:c r="B922" s="2" t="n">
        <x:v>917</x:v>
      </x:c>
      <x:c r="C922" s="2" t="str">
        <x:v>Grooming / organic_volume_growth</x:v>
      </x:c>
      <x:c r="D922" s="2" t="str">
        <x:v>Broad market</x:v>
      </x:c>
      <x:c r="E922" s="7" t="n">
        <x:v>45747</x:v>
      </x:c>
      <x:c r="F922" s="2" t="str">
        <x:v>Pre-earnings</x:v>
      </x:c>
      <x:c r="G922" s="7" t="n">
        <x:v>45770</x:v>
      </x:c>
      <x:c r="H922" s="2" t="n">
        <x:v>16</x:v>
      </x:c>
      <x:c r="I922" s="8" t="n">
        <x:v>45.94686773973914</x:v>
      </x:c>
      <x:c r="J922" s="8" t="n">
        <x:v>0</x:v>
      </x:c>
      <x:c r="K922" s="8" t="n">
        <x:v>6</x:v>
      </x:c>
      <x:c r="L922" s="8" t="n">
        <x:v>376.29288380243304</x:v>
      </x:c>
      <x:c r="M922" s="8" t="n">
        <x:v>0</x:v>
      </x:c>
      <x:c r="N922" s="8" t="n">
        <x:v>0</x:v>
      </x:c>
      <x:c r="O922" s="8" t="n">
        <x:v>107.56805276685968</x:v>
      </x:c>
      <x:c r="P922" s="8" t="n">
        <x:v>0</x:v>
      </x:c>
      <x:c r="Q922" s="8" t="n">
        <x:v>2.5268187156605393</x:v>
      </x:c>
      <x:c r="R922" s="8" t="n">
        <x:v>0</x:v>
      </x:c>
      <x:c r="S922" s="8" t="n">
        <x:f>L922-I922^2/H922</x:f>
        <x:v>244.34821785911546</x:v>
      </x:c>
      <x:c r="T922" s="8" t="n">
        <x:f>M922-J922^2/H922</x:f>
        <x:v>0</x:v>
      </x:c>
      <x:c r="U922" s="8" t="n">
        <x:f>N922-I922*J922/H922</x:f>
        <x:v>0</x:v>
      </x:c>
      <x:c r="V922" s="8" t="n">
        <x:f>O922-I922*K922/H922</x:f>
        <x:v>90.3379773644575</x:v>
      </x:c>
      <x:c r="W922" s="8" t="n">
        <x:f>P922-J922*K922/H922</x:f>
        <x:v>0</x:v>
      </x:c>
      <x:c r="X922" s="8" t="n">
        <x:f>V922/S922</x:f>
        <x:v>0.3697099907499384</x:v>
      </x:c>
      <x:c r="Y922" s="8" t="n">
        <x:f>0</x:f>
        <x:v>0</x:v>
      </x:c>
      <x:c r="Z922" s="8" t="n">
        <x:f>K922/H922-X922*I922/H922-Y922*J922/H922</x:f>
        <x:v>-0.686688502940475</x:v>
      </x:c>
      <x:c r="AA922" s="8" t="n">
        <x:f>Z922+X922*Q922+Y922*R922</x:f>
        <x:v>0.2475016210531541</x:v>
      </x:c>
    </x:row>
    <x:row r="923" ht="26" customHeight="1">
      <x:c r="A923" s="2"/>
      <x:c r="B923" s="2" t="n">
        <x:v>918</x:v>
      </x:c>
      <x:c r="C923" s="2" t="str">
        <x:v>Grooming / organic_volume_growth</x:v>
      </x:c>
      <x:c r="D923" s="2" t="str">
        <x:v>Broad lag 1</x:v>
      </x:c>
      <x:c r="E923" s="7" t="n">
        <x:v>45747</x:v>
      </x:c>
      <x:c r="F923" s="2" t="str">
        <x:v>Pre-earnings</x:v>
      </x:c>
      <x:c r="G923" s="7" t="n">
        <x:v>45770</x:v>
      </x:c>
      <x:c r="H923" s="2" t="n">
        <x:v>15</x:v>
      </x:c>
      <x:c r="I923" s="8" t="n">
        <x:v>43.836489330457816</x:v>
      </x:c>
      <x:c r="J923" s="8" t="n">
        <x:v>0</x:v>
      </x:c>
      <x:c r="K923" s="8" t="n">
        <x:v>6</x:v>
      </x:c>
      <x:c r="L923" s="8" t="n">
        <x:v>371.83918677207225</x:v>
      </x:c>
      <x:c r="M923" s="8" t="n">
        <x:v>0</x:v>
      </x:c>
      <x:c r="N923" s="8" t="n">
        <x:v>0</x:v>
      </x:c>
      <x:c r="O923" s="8" t="n">
        <x:v>80.08628787988484</x:v>
      </x:c>
      <x:c r="P923" s="8" t="n">
        <x:v>0</x:v>
      </x:c>
      <x:c r="Q923" s="8" t="n">
        <x:v>2.1103784092813216</x:v>
      </x:c>
      <x:c r="R923" s="8" t="n">
        <x:v>0</x:v>
      </x:c>
      <x:c r="S923" s="8" t="n">
        <x:f>L923-I923^2/H923</x:f>
        <x:v>243.73000031744945</x:v>
      </x:c>
      <x:c r="T923" s="8" t="n">
        <x:f>M923-J923^2/H923</x:f>
        <x:v>0</x:v>
      </x:c>
      <x:c r="U923" s="8" t="n">
        <x:f>N923-I923*J923/H923</x:f>
        <x:v>0</x:v>
      </x:c>
      <x:c r="V923" s="8" t="n">
        <x:f>O923-I923*K923/H923</x:f>
        <x:v>62.551692147701715</x:v>
      </x:c>
      <x:c r="W923" s="8" t="n">
        <x:f>P923-J923*K923/H923</x:f>
        <x:v>0</x:v>
      </x:c>
      <x:c r="X923" s="8" t="n">
        <x:f>V923/S923</x:f>
        <x:v>0.2566433843442761</x:v>
      </x:c>
      <x:c r="Y923" s="8" t="n">
        <x:f>0</x:f>
        <x:v>0</x:v>
      </x:c>
      <x:c r="Z923" s="8" t="n">
        <x:f>K923/H923-X923*I923/H923-Y923*J923/H923</x:f>
        <x:v>-0.3500229986360296</x:v>
      </x:c>
      <x:c r="AA923" s="8" t="n">
        <x:f>Z923+X923*Q923+Y923*R923</x:f>
        <x:v>0.1915916585690186</x:v>
      </x:c>
    </x:row>
    <x:row r="924" ht="26" customHeight="1">
      <x:c r="A924" s="2"/>
      <x:c r="B924" s="2" t="n">
        <x:v>919</x:v>
      </x:c>
      <x:c r="C924" s="2" t="str">
        <x:v>Grooming / organic_volume_growth</x:v>
      </x:c>
      <x:c r="D924" s="2" t="str">
        <x:v>Broad rolling 8</x:v>
      </x:c>
      <x:c r="E924" s="7" t="n">
        <x:v>45747</x:v>
      </x:c>
      <x:c r="F924" s="2" t="str">
        <x:v>Pre-earnings</x:v>
      </x:c>
      <x:c r="G924" s="7" t="n">
        <x:v>45770</x:v>
      </x:c>
      <x:c r="H924" s="2" t="n">
        <x:v>8</x:v>
      </x:c>
      <x:c r="I924" s="8" t="n">
        <x:v>10.750247851811778</x:v>
      </x:c>
      <x:c r="J924" s="8" t="n">
        <x:v>0</x:v>
      </x:c>
      <x:c r="K924" s="8" t="n">
        <x:v>8</x:v>
      </x:c>
      <x:c r="L924" s="8" t="n">
        <x:v>21.53865770004154</x:v>
      </x:c>
      <x:c r="M924" s="8" t="n">
        <x:v>0</x:v>
      </x:c>
      <x:c r="N924" s="8" t="n">
        <x:v>0</x:v>
      </x:c>
      <x:c r="O924" s="8" t="n">
        <x:v>21.862456392225948</x:v>
      </x:c>
      <x:c r="P924" s="8" t="n">
        <x:v>0</x:v>
      </x:c>
      <x:c r="Q924" s="8" t="n">
        <x:v>2.5268187156605393</x:v>
      </x:c>
      <x:c r="R924" s="8" t="n">
        <x:v>0</x:v>
      </x:c>
      <x:c r="S924" s="8" t="n">
        <x:f>L924-I924^2/H924</x:f>
        <x:v>7.092679090618571</x:v>
      </x:c>
      <x:c r="T924" s="8" t="n">
        <x:f>M924-J924^2/H924</x:f>
        <x:v>0</x:v>
      </x:c>
      <x:c r="U924" s="8" t="n">
        <x:f>N924-I924*J924/H924</x:f>
        <x:v>0</x:v>
      </x:c>
      <x:c r="V924" s="8" t="n">
        <x:f>O924-I924*K924/H924</x:f>
        <x:v>11.11220854041417</x:v>
      </x:c>
      <x:c r="W924" s="8" t="n">
        <x:f>P924-J924*K924/H924</x:f>
        <x:v>0</x:v>
      </x:c>
      <x:c r="X924" s="8" t="n">
        <x:f>V924/S924</x:f>
        <x:v>1.5667152564553777</x:v>
      </x:c>
      <x:c r="Y924" s="8" t="n">
        <x:f>0</x:f>
        <x:v>0</x:v>
      </x:c>
      <x:c r="Z924" s="8" t="n">
        <x:f>K924/H924-X924*I924/H924-Y924*J924/H924</x:f>
        <x:v>-1.1053221650137703</x:v>
      </x:c>
      <x:c r="AA924" s="8" t="n">
        <x:f>Z924+X924*Q924+Y924*R924</x:f>
        <x:v>2.8534832671085795</x:v>
      </x:c>
    </x:row>
    <x:row r="925" ht="26" customHeight="1">
      <x:c r="A925" s="2"/>
      <x:c r="B925" s="2" t="n">
        <x:v>920</x:v>
      </x:c>
      <x:c r="C925" s="2" t="str">
        <x:v>Grooming / organic_volume_growth</x:v>
      </x:c>
      <x:c r="D925" s="2" t="str">
        <x:v>Own history</x:v>
      </x:c>
      <x:c r="E925" s="7" t="n">
        <x:v>45747</x:v>
      </x:c>
      <x:c r="F925" s="2" t="str">
        <x:v>Pre-earnings</x:v>
      </x:c>
      <x:c r="G925" s="7" t="n">
        <x:v>45770</x:v>
      </x:c>
      <x:c r="H925" s="2" t="n">
        <x:v>15</x:v>
      </x:c>
      <x:c r="I925" s="8" t="n">
        <x:v>4</x:v>
      </x:c>
      <x:c r="J925" s="8" t="n">
        <x:v>0</x:v>
      </x:c>
      <x:c r="K925" s="8" t="n">
        <x:v>6</x:v>
      </x:c>
      <x:c r="L925" s="8" t="n">
        <x:v>128</x:v>
      </x:c>
      <x:c r="M925" s="8" t="n">
        <x:v>0</x:v>
      </x:c>
      <x:c r="N925" s="8" t="n">
        <x:v>0</x:v>
      </x:c>
      <x:c r="O925" s="8" t="n">
        <x:v>29</x:v>
      </x:c>
      <x:c r="P925" s="8" t="n">
        <x:v>0</x:v>
      </x:c>
      <x:c r="Q925" s="8" t="n">
        <x:v>2</x:v>
      </x:c>
      <x:c r="R925" s="8" t="n">
        <x:v>0</x:v>
      </x:c>
      <x:c r="S925" s="8" t="n">
        <x:f>L925-I925^2/H925</x:f>
        <x:v>126.93333333333334</x:v>
      </x:c>
      <x:c r="T925" s="8" t="n">
        <x:f>M925-J925^2/H925</x:f>
        <x:v>0</x:v>
      </x:c>
      <x:c r="U925" s="8" t="n">
        <x:f>N925-I925*J925/H925</x:f>
        <x:v>0</x:v>
      </x:c>
      <x:c r="V925" s="8" t="n">
        <x:f>O925-I925*K925/H925</x:f>
        <x:v>27.4</x:v>
      </x:c>
      <x:c r="W925" s="8" t="n">
        <x:f>P925-J925*K925/H925</x:f>
        <x:v>0</x:v>
      </x:c>
      <x:c r="X925" s="8" t="n">
        <x:f>V925/S925</x:f>
        <x:v>0.2158613445378151</x:v>
      </x:c>
      <x:c r="Y925" s="8" t="n">
        <x:f>0</x:f>
        <x:v>0</x:v>
      </x:c>
      <x:c r="Z925" s="8" t="n">
        <x:f>K925/H925-X925*I925/H925-Y925*J925/H925</x:f>
        <x:v>0.34243697478991597</x:v>
      </x:c>
      <x:c r="AA925" s="8" t="n">
        <x:f>Z925+X925*Q925+Y925*R925</x:f>
        <x:v>0.7741596638655461</x:v>
      </x:c>
    </x:row>
    <x:row r="926" ht="26" customHeight="1">
      <x:c r="A926" s="2"/>
      <x:c r="B926" s="2" t="n">
        <x:v>921</x:v>
      </x:c>
      <x:c r="C926" s="2" t="str">
        <x:v>Grooming / organic_volume_growth</x:v>
      </x:c>
      <x:c r="D926" s="2" t="str">
        <x:v>Broad market</x:v>
      </x:c>
      <x:c r="E926" s="7" t="n">
        <x:v>45838</x:v>
      </x:c>
      <x:c r="F926" s="2" t="str">
        <x:v>Origin</x:v>
      </x:c>
      <x:c r="G926" s="7" t="n">
        <x:v>45748</x:v>
      </x:c>
      <x:c r="H926" s="2" t="n">
        <x:v>16</x:v>
      </x:c>
      <x:c r="I926" s="8" t="n">
        <x:v>45.94686773973914</x:v>
      </x:c>
      <x:c r="J926" s="8" t="n">
        <x:v>0</x:v>
      </x:c>
      <x:c r="K926" s="8" t="n">
        <x:v>6</x:v>
      </x:c>
      <x:c r="L926" s="8" t="n">
        <x:v>376.29288380243304</x:v>
      </x:c>
      <x:c r="M926" s="8" t="n">
        <x:v>0</x:v>
      </x:c>
      <x:c r="N926" s="8" t="n">
        <x:v>0</x:v>
      </x:c>
      <x:c r="O926" s="8" t="n">
        <x:v>107.56805276685968</x:v>
      </x:c>
      <x:c r="P926" s="8" t="n">
        <x:v>0</x:v>
      </x:c>
      <x:c r="Q926" s="8" t="n">
        <x:v>2.4263020900480603</x:v>
      </x:c>
      <x:c r="R926" s="8" t="n">
        <x:v>0</x:v>
      </x:c>
      <x:c r="S926" s="8" t="n">
        <x:f>L926-I926^2/H926</x:f>
        <x:v>244.34821785911546</x:v>
      </x:c>
      <x:c r="T926" s="8" t="n">
        <x:f>M926-J926^2/H926</x:f>
        <x:v>0</x:v>
      </x:c>
      <x:c r="U926" s="8" t="n">
        <x:f>N926-I926*J926/H926</x:f>
        <x:v>0</x:v>
      </x:c>
      <x:c r="V926" s="8" t="n">
        <x:f>O926-I926*K926/H926</x:f>
        <x:v>90.3379773644575</x:v>
      </x:c>
      <x:c r="W926" s="8" t="n">
        <x:f>P926-J926*K926/H926</x:f>
        <x:v>0</x:v>
      </x:c>
      <x:c r="X926" s="8" t="n">
        <x:f>V926/S926</x:f>
        <x:v>0.3697099907499384</x:v>
      </x:c>
      <x:c r="Y926" s="8" t="n">
        <x:f>0</x:f>
        <x:v>0</x:v>
      </x:c>
      <x:c r="Z926" s="8" t="n">
        <x:f>K926/H926-X926*I926/H926-Y926*J926/H926</x:f>
        <x:v>-0.686688502940475</x:v>
      </x:c>
      <x:c r="AA926" s="8" t="n">
        <x:f>Z926+X926*Q926+Y926*R926</x:f>
        <x:v>0.21033962032774955</x:v>
      </x:c>
    </x:row>
    <x:row r="927" ht="26" customHeight="1">
      <x:c r="A927" s="2"/>
      <x:c r="B927" s="2" t="n">
        <x:v>922</x:v>
      </x:c>
      <x:c r="C927" s="2" t="str">
        <x:v>Grooming / organic_volume_growth</x:v>
      </x:c>
      <x:c r="D927" s="2" t="str">
        <x:v>Broad rolling 8</x:v>
      </x:c>
      <x:c r="E927" s="7" t="n">
        <x:v>45838</x:v>
      </x:c>
      <x:c r="F927" s="2" t="str">
        <x:v>Origin</x:v>
      </x:c>
      <x:c r="G927" s="7" t="n">
        <x:v>45748</x:v>
      </x:c>
      <x:c r="H927" s="2" t="n">
        <x:v>8</x:v>
      </x:c>
      <x:c r="I927" s="8" t="n">
        <x:v>10.750247851811778</x:v>
      </x:c>
      <x:c r="J927" s="8" t="n">
        <x:v>0</x:v>
      </x:c>
      <x:c r="K927" s="8" t="n">
        <x:v>8</x:v>
      </x:c>
      <x:c r="L927" s="8" t="n">
        <x:v>21.53865770004154</x:v>
      </x:c>
      <x:c r="M927" s="8" t="n">
        <x:v>0</x:v>
      </x:c>
      <x:c r="N927" s="8" t="n">
        <x:v>0</x:v>
      </x:c>
      <x:c r="O927" s="8" t="n">
        <x:v>21.862456392225948</x:v>
      </x:c>
      <x:c r="P927" s="8" t="n">
        <x:v>0</x:v>
      </x:c>
      <x:c r="Q927" s="8" t="n">
        <x:v>2.4263020900480603</x:v>
      </x:c>
      <x:c r="R927" s="8" t="n">
        <x:v>0</x:v>
      </x:c>
      <x:c r="S927" s="8" t="n">
        <x:f>L927-I927^2/H927</x:f>
        <x:v>7.092679090618571</x:v>
      </x:c>
      <x:c r="T927" s="8" t="n">
        <x:f>M927-J927^2/H927</x:f>
        <x:v>0</x:v>
      </x:c>
      <x:c r="U927" s="8" t="n">
        <x:f>N927-I927*J927/H927</x:f>
        <x:v>0</x:v>
      </x:c>
      <x:c r="V927" s="8" t="n">
        <x:f>O927-I927*K927/H927</x:f>
        <x:v>11.11220854041417</x:v>
      </x:c>
      <x:c r="W927" s="8" t="n">
        <x:f>P927-J927*K927/H927</x:f>
        <x:v>0</x:v>
      </x:c>
      <x:c r="X927" s="8" t="n">
        <x:f>V927/S927</x:f>
        <x:v>1.5667152564553777</x:v>
      </x:c>
      <x:c r="Y927" s="8" t="n">
        <x:f>0</x:f>
        <x:v>0</x:v>
      </x:c>
      <x:c r="Z927" s="8" t="n">
        <x:f>K927/H927-X927*I927/H927-Y927*J927/H927</x:f>
        <x:v>-1.1053221650137703</x:v>
      </x:c>
      <x:c r="AA927" s="8" t="n">
        <x:f>Z927+X927*Q927+Y927*R927</x:f>
        <x:v>2.6960023362340952</x:v>
      </x:c>
    </x:row>
    <x:row r="928" ht="26" customHeight="1">
      <x:c r="A928" s="2"/>
      <x:c r="B928" s="2" t="n">
        <x:v>923</x:v>
      </x:c>
      <x:c r="C928" s="2" t="str">
        <x:v>Grooming / organic_volume_growth</x:v>
      </x:c>
      <x:c r="D928" s="2" t="str">
        <x:v>Own history</x:v>
      </x:c>
      <x:c r="E928" s="7" t="n">
        <x:v>45838</x:v>
      </x:c>
      <x:c r="F928" s="2" t="str">
        <x:v>Origin</x:v>
      </x:c>
      <x:c r="G928" s="7" t="n">
        <x:v>45748</x:v>
      </x:c>
      <x:c r="H928" s="2" t="n">
        <x:v>14</x:v>
      </x:c>
      <x:c r="I928" s="8" t="n">
        <x:v>-1</x:v>
      </x:c>
      <x:c r="J928" s="8" t="n">
        <x:v>0</x:v>
      </x:c>
      <x:c r="K928" s="8" t="n">
        <x:v>2</x:v>
      </x:c>
      <x:c r="L928" s="8" t="n">
        <x:v>103</x:v>
      </x:c>
      <x:c r="M928" s="8" t="n">
        <x:v>0</x:v>
      </x:c>
      <x:c r="N928" s="8" t="n">
        <x:v>0</x:v>
      </x:c>
      <x:c r="O928" s="8" t="n">
        <x:v>40</x:v>
      </x:c>
      <x:c r="P928" s="8" t="n">
        <x:v>0</x:v>
      </x:c>
      <x:c r="Q928" s="8" t="n">
        <x:v>2</x:v>
      </x:c>
      <x:c r="R928" s="8" t="n">
        <x:v>0</x:v>
      </x:c>
      <x:c r="S928" s="8" t="n">
        <x:f>L928-I928^2/H928</x:f>
        <x:v>102.92857142857143</x:v>
      </x:c>
      <x:c r="T928" s="8" t="n">
        <x:f>M928-J928^2/H928</x:f>
        <x:v>0</x:v>
      </x:c>
      <x:c r="U928" s="8" t="n">
        <x:f>N928-I928*J928/H928</x:f>
        <x:v>0</x:v>
      </x:c>
      <x:c r="V928" s="8" t="n">
        <x:f>O928-I928*K928/H928</x:f>
        <x:v>40.142857142857146</x:v>
      </x:c>
      <x:c r="W928" s="8" t="n">
        <x:f>P928-J928*K928/H928</x:f>
        <x:v>0</x:v>
      </x:c>
      <x:c r="X928" s="8" t="n">
        <x:f>V928/S928</x:f>
        <x:v>0.3900069396252603</x:v>
      </x:c>
      <x:c r="Y928" s="8" t="n">
        <x:f>0</x:f>
        <x:v>0</x:v>
      </x:c>
      <x:c r="Z928" s="8" t="n">
        <x:f>K928/H928-X928*I928/H928-Y928*J928/H928</x:f>
        <x:v>0.1707147814018043</x:v>
      </x:c>
      <x:c r="AA928" s="8" t="n">
        <x:f>Z928+X928*Q928+Y928*R928</x:f>
        <x:v>0.9507286606523249</x:v>
      </x:c>
    </x:row>
    <x:row r="929" ht="26" customHeight="1">
      <x:c r="A929" s="2"/>
      <x:c r="B929" s="2" t="n">
        <x:v>924</x:v>
      </x:c>
      <x:c r="C929" s="2" t="str">
        <x:v>Grooming / organic_volume_growth</x:v>
      </x:c>
      <x:c r="D929" s="2" t="str">
        <x:v>Broad market</x:v>
      </x:c>
      <x:c r="E929" s="7" t="n">
        <x:v>45838</x:v>
      </x:c>
      <x:c r="F929" s="2" t="str">
        <x:v>Prior report</x:v>
      </x:c>
      <x:c r="G929" s="7" t="n">
        <x:v>45771</x:v>
      </x:c>
      <x:c r="H929" s="2" t="n">
        <x:v>16</x:v>
      </x:c>
      <x:c r="I929" s="8" t="n">
        <x:v>45.94686773973914</x:v>
      </x:c>
      <x:c r="J929" s="8" t="n">
        <x:v>0</x:v>
      </x:c>
      <x:c r="K929" s="8" t="n">
        <x:v>6</x:v>
      </x:c>
      <x:c r="L929" s="8" t="n">
        <x:v>376.29288380243304</x:v>
      </x:c>
      <x:c r="M929" s="8" t="n">
        <x:v>0</x:v>
      </x:c>
      <x:c r="N929" s="8" t="n">
        <x:v>0</x:v>
      </x:c>
      <x:c r="O929" s="8" t="n">
        <x:v>107.56805276685968</x:v>
      </x:c>
      <x:c r="P929" s="8" t="n">
        <x:v>0</x:v>
      </x:c>
      <x:c r="Q929" s="8" t="n">
        <x:v>2.4263020900480603</x:v>
      </x:c>
      <x:c r="R929" s="8" t="n">
        <x:v>0</x:v>
      </x:c>
      <x:c r="S929" s="8" t="n">
        <x:f>L929-I929^2/H929</x:f>
        <x:v>244.34821785911546</x:v>
      </x:c>
      <x:c r="T929" s="8" t="n">
        <x:f>M929-J929^2/H929</x:f>
        <x:v>0</x:v>
      </x:c>
      <x:c r="U929" s="8" t="n">
        <x:f>N929-I929*J929/H929</x:f>
        <x:v>0</x:v>
      </x:c>
      <x:c r="V929" s="8" t="n">
        <x:f>O929-I929*K929/H929</x:f>
        <x:v>90.3379773644575</x:v>
      </x:c>
      <x:c r="W929" s="8" t="n">
        <x:f>P929-J929*K929/H929</x:f>
        <x:v>0</x:v>
      </x:c>
      <x:c r="X929" s="8" t="n">
        <x:f>V929/S929</x:f>
        <x:v>0.3697099907499384</x:v>
      </x:c>
      <x:c r="Y929" s="8" t="n">
        <x:f>0</x:f>
        <x:v>0</x:v>
      </x:c>
      <x:c r="Z929" s="8" t="n">
        <x:f>K929/H929-X929*I929/H929-Y929*J929/H929</x:f>
        <x:v>-0.686688502940475</x:v>
      </x:c>
      <x:c r="AA929" s="8" t="n">
        <x:f>Z929+X929*Q929+Y929*R929</x:f>
        <x:v>0.21033962032774955</x:v>
      </x:c>
    </x:row>
    <x:row r="930" ht="26" customHeight="1">
      <x:c r="A930" s="2"/>
      <x:c r="B930" s="2" t="n">
        <x:v>925</x:v>
      </x:c>
      <x:c r="C930" s="2" t="str">
        <x:v>Grooming / organic_volume_growth</x:v>
      </x:c>
      <x:c r="D930" s="2" t="str">
        <x:v>Broad rolling 8</x:v>
      </x:c>
      <x:c r="E930" s="7" t="n">
        <x:v>45838</x:v>
      </x:c>
      <x:c r="F930" s="2" t="str">
        <x:v>Prior report</x:v>
      </x:c>
      <x:c r="G930" s="7" t="n">
        <x:v>45771</x:v>
      </x:c>
      <x:c r="H930" s="2" t="n">
        <x:v>8</x:v>
      </x:c>
      <x:c r="I930" s="8" t="n">
        <x:v>10.750247851811778</x:v>
      </x:c>
      <x:c r="J930" s="8" t="n">
        <x:v>0</x:v>
      </x:c>
      <x:c r="K930" s="8" t="n">
        <x:v>8</x:v>
      </x:c>
      <x:c r="L930" s="8" t="n">
        <x:v>21.53865770004154</x:v>
      </x:c>
      <x:c r="M930" s="8" t="n">
        <x:v>0</x:v>
      </x:c>
      <x:c r="N930" s="8" t="n">
        <x:v>0</x:v>
      </x:c>
      <x:c r="O930" s="8" t="n">
        <x:v>21.862456392225948</x:v>
      </x:c>
      <x:c r="P930" s="8" t="n">
        <x:v>0</x:v>
      </x:c>
      <x:c r="Q930" s="8" t="n">
        <x:v>2.4263020900480603</x:v>
      </x:c>
      <x:c r="R930" s="8" t="n">
        <x:v>0</x:v>
      </x:c>
      <x:c r="S930" s="8" t="n">
        <x:f>L930-I930^2/H930</x:f>
        <x:v>7.092679090618571</x:v>
      </x:c>
      <x:c r="T930" s="8" t="n">
        <x:f>M930-J930^2/H930</x:f>
        <x:v>0</x:v>
      </x:c>
      <x:c r="U930" s="8" t="n">
        <x:f>N930-I930*J930/H930</x:f>
        <x:v>0</x:v>
      </x:c>
      <x:c r="V930" s="8" t="n">
        <x:f>O930-I930*K930/H930</x:f>
        <x:v>11.11220854041417</x:v>
      </x:c>
      <x:c r="W930" s="8" t="n">
        <x:f>P930-J930*K930/H930</x:f>
        <x:v>0</x:v>
      </x:c>
      <x:c r="X930" s="8" t="n">
        <x:f>V930/S930</x:f>
        <x:v>1.5667152564553777</x:v>
      </x:c>
      <x:c r="Y930" s="8" t="n">
        <x:f>0</x:f>
        <x:v>0</x:v>
      </x:c>
      <x:c r="Z930" s="8" t="n">
        <x:f>K930/H930-X930*I930/H930-Y930*J930/H930</x:f>
        <x:v>-1.1053221650137703</x:v>
      </x:c>
      <x:c r="AA930" s="8" t="n">
        <x:f>Z930+X930*Q930+Y930*R930</x:f>
        <x:v>2.6960023362340952</x:v>
      </x:c>
    </x:row>
    <x:row r="931" ht="26" customHeight="1">
      <x:c r="A931" s="2"/>
      <x:c r="B931" s="2" t="n">
        <x:v>926</x:v>
      </x:c>
      <x:c r="C931" s="2" t="str">
        <x:v>Grooming / organic_volume_growth</x:v>
      </x:c>
      <x:c r="D931" s="2" t="str">
        <x:v>Own history</x:v>
      </x:c>
      <x:c r="E931" s="7" t="n">
        <x:v>45838</x:v>
      </x:c>
      <x:c r="F931" s="2" t="str">
        <x:v>Prior report</x:v>
      </x:c>
      <x:c r="G931" s="7" t="n">
        <x:v>45771</x:v>
      </x:c>
      <x:c r="H931" s="2" t="n">
        <x:v>16</x:v>
      </x:c>
      <x:c r="I931" s="8" t="n">
        <x:v>6</x:v>
      </x:c>
      <x:c r="J931" s="8" t="n">
        <x:v>0</x:v>
      </x:c>
      <x:c r="K931" s="8" t="n">
        <x:v>7</x:v>
      </x:c>
      <x:c r="L931" s="8" t="n">
        <x:v>132</x:v>
      </x:c>
      <x:c r="M931" s="8" t="n">
        <x:v>0</x:v>
      </x:c>
      <x:c r="N931" s="8" t="n">
        <x:v>0</x:v>
      </x:c>
      <x:c r="O931" s="8" t="n">
        <x:v>31</x:v>
      </x:c>
      <x:c r="P931" s="8" t="n">
        <x:v>0</x:v>
      </x:c>
      <x:c r="Q931" s="8" t="n">
        <x:v>1</x:v>
      </x:c>
      <x:c r="R931" s="8" t="n">
        <x:v>0</x:v>
      </x:c>
      <x:c r="S931" s="8" t="n">
        <x:f>L931-I931^2/H931</x:f>
        <x:v>129.75</x:v>
      </x:c>
      <x:c r="T931" s="8" t="n">
        <x:f>M931-J931^2/H931</x:f>
        <x:v>0</x:v>
      </x:c>
      <x:c r="U931" s="8" t="n">
        <x:f>N931-I931*J931/H931</x:f>
        <x:v>0</x:v>
      </x:c>
      <x:c r="V931" s="8" t="n">
        <x:f>O931-I931*K931/H931</x:f>
        <x:v>28.375</x:v>
      </x:c>
      <x:c r="W931" s="8" t="n">
        <x:f>P931-J931*K931/H931</x:f>
        <x:v>0</x:v>
      </x:c>
      <x:c r="X931" s="8" t="n">
        <x:f>V931/S931</x:f>
        <x:v>0.2186897880539499</x:v>
      </x:c>
      <x:c r="Y931" s="8" t="n">
        <x:f>0</x:f>
        <x:v>0</x:v>
      </x:c>
      <x:c r="Z931" s="8" t="n">
        <x:f>K931/H931-X931*I931/H931-Y931*J931/H931</x:f>
        <x:v>0.3554913294797688</x:v>
      </x:c>
      <x:c r="AA931" s="8" t="n">
        <x:f>Z931+X931*Q931+Y931*R931</x:f>
        <x:v>0.5741811175337187</x:v>
      </x:c>
    </x:row>
    <x:row r="932" ht="26" customHeight="1">
      <x:c r="A932" s="2"/>
      <x:c r="B932" s="2" t="n">
        <x:v>927</x:v>
      </x:c>
      <x:c r="C932" s="2" t="str">
        <x:v>Grooming / organic_volume_growth</x:v>
      </x:c>
      <x:c r="D932" s="2" t="str">
        <x:v>Broad market</x:v>
      </x:c>
      <x:c r="E932" s="7" t="n">
        <x:v>45838</x:v>
      </x:c>
      <x:c r="F932" s="2" t="str">
        <x:v>Pre-earnings</x:v>
      </x:c>
      <x:c r="G932" s="7" t="n">
        <x:v>45866</x:v>
      </x:c>
      <x:c r="H932" s="2" t="n">
        <x:v>17</x:v>
      </x:c>
      <x:c r="I932" s="8" t="n">
        <x:v>48.81640031708317</x:v>
      </x:c>
      <x:c r="J932" s="8" t="n">
        <x:v>0</x:v>
      </x:c>
      <x:c r="K932" s="8" t="n">
        <x:v>7</x:v>
      </x:c>
      <x:c r="L932" s="8" t="n">
        <x:v>384.52710101487173</x:v>
      </x:c>
      <x:c r="M932" s="8" t="n">
        <x:v>0</x:v>
      </x:c>
      <x:c r="N932" s="8" t="n">
        <x:v>0</x:v>
      </x:c>
      <x:c r="O932" s="8" t="n">
        <x:v>110.43758534420371</x:v>
      </x:c>
      <x:c r="P932" s="8" t="n">
        <x:v>0</x:v>
      </x:c>
      <x:c r="Q932" s="8" t="n">
        <x:v>2.8539910458909246</x:v>
      </x:c>
      <x:c r="R932" s="8" t="n">
        <x:v>0</x:v>
      </x:c>
      <x:c r="S932" s="8" t="n">
        <x:f>L932-I932^2/H932</x:f>
        <x:v>244.34822219618243</x:v>
      </x:c>
      <x:c r="T932" s="8" t="n">
        <x:f>M932-J932^2/H932</x:f>
        <x:v>0</x:v>
      </x:c>
      <x:c r="U932" s="8" t="n">
        <x:f>N932-I932*J932/H932</x:f>
        <x:v>0</x:v>
      </x:c>
      <x:c r="V932" s="8" t="n">
        <x:f>O932-I932*K932/H932</x:f>
        <x:v>90.33671462540475</x:v>
      </x:c>
      <x:c r="W932" s="8" t="n">
        <x:f>P932-J932*K932/H932</x:f>
        <x:v>0</x:v>
      </x:c>
      <x:c r="X932" s="8" t="n">
        <x:f>V932/S932</x:f>
        <x:v>0.3697048164028595</x:v>
      </x:c>
      <x:c r="Y932" s="8" t="n">
        <x:f>0</x:f>
        <x:v>0</x:v>
      </x:c>
      <x:c r="Z932" s="8" t="n">
        <x:f>K932/H932-X932*I932/H932-Y932*J932/H932</x:f>
        <x:v>-0.6498622539221016</x:v>
      </x:c>
      <x:c r="AA932" s="8" t="n">
        <x:f>Z932+X932*Q932+Y932*R932</x:f>
        <x:v>0.4052719817144076</x:v>
      </x:c>
    </x:row>
    <x:row r="933" ht="26" customHeight="1">
      <x:c r="A933" s="2"/>
      <x:c r="B933" s="2" t="n">
        <x:v>928</x:v>
      </x:c>
      <x:c r="C933" s="2" t="str">
        <x:v>Grooming / organic_volume_growth</x:v>
      </x:c>
      <x:c r="D933" s="2" t="str">
        <x:v>Broad lag 1</x:v>
      </x:c>
      <x:c r="E933" s="7" t="n">
        <x:v>45838</x:v>
      </x:c>
      <x:c r="F933" s="2" t="str">
        <x:v>Pre-earnings</x:v>
      </x:c>
      <x:c r="G933" s="7" t="n">
        <x:v>45866</x:v>
      </x:c>
      <x:c r="H933" s="2" t="n">
        <x:v>16</x:v>
      </x:c>
      <x:c r="I933" s="8" t="n">
        <x:v>45.94686773973914</x:v>
      </x:c>
      <x:c r="J933" s="8" t="n">
        <x:v>0</x:v>
      </x:c>
      <x:c r="K933" s="8" t="n">
        <x:v>7</x:v>
      </x:c>
      <x:c r="L933" s="8" t="n">
        <x:v>376.29288380243304</x:v>
      </x:c>
      <x:c r="M933" s="8" t="n">
        <x:v>0</x:v>
      </x:c>
      <x:c r="N933" s="8" t="n">
        <x:v>0</x:v>
      </x:c>
      <x:c r="O933" s="8" t="n">
        <x:v>82.19666628916616</x:v>
      </x:c>
      <x:c r="P933" s="8" t="n">
        <x:v>0</x:v>
      </x:c>
      <x:c r="Q933" s="8" t="n">
        <x:v>2.869532577344036</x:v>
      </x:c>
      <x:c r="R933" s="8" t="n">
        <x:v>0</x:v>
      </x:c>
      <x:c r="S933" s="8" t="n">
        <x:f>L933-I933^2/H933</x:f>
        <x:v>244.34821785911546</x:v>
      </x:c>
      <x:c r="T933" s="8" t="n">
        <x:f>M933-J933^2/H933</x:f>
        <x:v>0</x:v>
      </x:c>
      <x:c r="U933" s="8" t="n">
        <x:f>N933-I933*J933/H933</x:f>
        <x:v>0</x:v>
      </x:c>
      <x:c r="V933" s="8" t="n">
        <x:f>O933-I933*K933/H933</x:f>
        <x:v>62.09491165303029</x:v>
      </x:c>
      <x:c r="W933" s="8" t="n">
        <x:f>P933-J933*K933/H933</x:f>
        <x:v>0</x:v>
      </x:c>
      <x:c r="X933" s="8" t="n">
        <x:f>V933/S933</x:f>
        <x:v>0.2541246758297723</x:v>
      </x:c>
      <x:c r="Y933" s="8" t="n">
        <x:f>0</x:f>
        <x:v>0</x:v>
      </x:c>
      <x:c r="Z933" s="8" t="n">
        <x:f>K933/H933-X933*I933/H933-Y933*J933/H933</x:f>
        <x:v>-0.29226455435966436</x:v>
      </x:c>
      <x:c r="AA933" s="8" t="n">
        <x:f>Z933+X933*Q933+Y933*R933</x:f>
        <x:v>0.4369544816408597</x:v>
      </x:c>
    </x:row>
    <x:row r="934" ht="26" customHeight="1">
      <x:c r="A934" s="2"/>
      <x:c r="B934" s="2" t="n">
        <x:v>929</x:v>
      </x:c>
      <x:c r="C934" s="2" t="str">
        <x:v>Grooming / organic_volume_growth</x:v>
      </x:c>
      <x:c r="D934" s="2" t="str">
        <x:v>Broad rolling 8</x:v>
      </x:c>
      <x:c r="E934" s="7" t="n">
        <x:v>45838</x:v>
      </x:c>
      <x:c r="F934" s="2" t="str">
        <x:v>Pre-earnings</x:v>
      </x:c>
      <x:c r="G934" s="7" t="n">
        <x:v>45866</x:v>
      </x:c>
      <x:c r="H934" s="2" t="n">
        <x:v>8</x:v>
      </x:c>
      <x:c r="I934" s="8" t="n">
        <x:v>13.903323924128907</x:v>
      </x:c>
      <x:c r="J934" s="8" t="n">
        <x:v>0</x:v>
      </x:c>
      <x:c r="K934" s="8" t="n">
        <x:v>10</x:v>
      </x:c>
      <x:c r="L934" s="8" t="n">
        <x:v>29.69247799893869</x:v>
      </x:c>
      <x:c r="M934" s="8" t="n">
        <x:v>0</x:v>
      </x:c>
      <x:c r="N934" s="8" t="n">
        <x:v>0</x:v>
      </x:c>
      <x:c r="O934" s="8" t="n">
        <x:v>24.44844547459689</x:v>
      </x:c>
      <x:c r="P934" s="8" t="n">
        <x:v>0</x:v>
      </x:c>
      <x:c r="Q934" s="8" t="n">
        <x:v>2.8539910458909246</x:v>
      </x:c>
      <x:c r="R934" s="8" t="n">
        <x:v>0</x:v>
      </x:c>
      <x:c r="S934" s="8" t="n">
        <x:f>L934-I934^2/H934</x:f>
        <x:v>5.529675981531785</x:v>
      </x:c>
      <x:c r="T934" s="8" t="n">
        <x:f>M934-J934^2/H934</x:f>
        <x:v>0</x:v>
      </x:c>
      <x:c r="U934" s="8" t="n">
        <x:f>N934-I934*J934/H934</x:f>
        <x:v>0</x:v>
      </x:c>
      <x:c r="V934" s="8" t="n">
        <x:f>O934-I934*K934/H934</x:f>
        <x:v>7.069290569435758</x:v>
      </x:c>
      <x:c r="W934" s="8" t="n">
        <x:f>P934-J934*K934/H934</x:f>
        <x:v>0</x:v>
      </x:c>
      <x:c r="X934" s="8" t="n">
        <x:f>V934/S934</x:f>
        <x:v>1.2784276317538377</x:v>
      </x:c>
      <x:c r="Y934" s="8" t="n">
        <x:f>0</x:f>
        <x:v>0</x:v>
      </x:c>
      <x:c r="Z934" s="8" t="n">
        <x:f>K934/H934-X934*I934/H934-Y934*J934/H934</x:f>
        <x:v>-0.9717991847288241</x:v>
      </x:c>
      <x:c r="AA934" s="8" t="n">
        <x:f>Z934+X934*Q934+Y934*R934</x:f>
        <x:v>2.676821829116169</x:v>
      </x:c>
    </x:row>
    <x:row r="935" ht="26" customHeight="1">
      <x:c r="A935" s="2"/>
      <x:c r="B935" s="2" t="n">
        <x:v>930</x:v>
      </x:c>
      <x:c r="C935" s="2" t="str">
        <x:v>Grooming / organic_volume_growth</x:v>
      </x:c>
      <x:c r="D935" s="2" t="str">
        <x:v>Own history</x:v>
      </x:c>
      <x:c r="E935" s="7" t="n">
        <x:v>45838</x:v>
      </x:c>
      <x:c r="F935" s="2" t="str">
        <x:v>Pre-earnings</x:v>
      </x:c>
      <x:c r="G935" s="7" t="n">
        <x:v>45866</x:v>
      </x:c>
      <x:c r="H935" s="2" t="n">
        <x:v>16</x:v>
      </x:c>
      <x:c r="I935" s="8" t="n">
        <x:v>6</x:v>
      </x:c>
      <x:c r="J935" s="8" t="n">
        <x:v>0</x:v>
      </x:c>
      <x:c r="K935" s="8" t="n">
        <x:v>7</x:v>
      </x:c>
      <x:c r="L935" s="8" t="n">
        <x:v>132</x:v>
      </x:c>
      <x:c r="M935" s="8" t="n">
        <x:v>0</x:v>
      </x:c>
      <x:c r="N935" s="8" t="n">
        <x:v>0</x:v>
      </x:c>
      <x:c r="O935" s="8" t="n">
        <x:v>31</x:v>
      </x:c>
      <x:c r="P935" s="8" t="n">
        <x:v>0</x:v>
      </x:c>
      <x:c r="Q935" s="8" t="n">
        <x:v>1</x:v>
      </x:c>
      <x:c r="R935" s="8" t="n">
        <x:v>0</x:v>
      </x:c>
      <x:c r="S935" s="8" t="n">
        <x:f>L935-I935^2/H935</x:f>
        <x:v>129.75</x:v>
      </x:c>
      <x:c r="T935" s="8" t="n">
        <x:f>M935-J935^2/H935</x:f>
        <x:v>0</x:v>
      </x:c>
      <x:c r="U935" s="8" t="n">
        <x:f>N935-I935*J935/H935</x:f>
        <x:v>0</x:v>
      </x:c>
      <x:c r="V935" s="8" t="n">
        <x:f>O935-I935*K935/H935</x:f>
        <x:v>28.375</x:v>
      </x:c>
      <x:c r="W935" s="8" t="n">
        <x:f>P935-J935*K935/H935</x:f>
        <x:v>0</x:v>
      </x:c>
      <x:c r="X935" s="8" t="n">
        <x:f>V935/S935</x:f>
        <x:v>0.2186897880539499</x:v>
      </x:c>
      <x:c r="Y935" s="8" t="n">
        <x:f>0</x:f>
        <x:v>0</x:v>
      </x:c>
      <x:c r="Z935" s="8" t="n">
        <x:f>K935/H935-X935*I935/H935-Y935*J935/H935</x:f>
        <x:v>0.3554913294797688</x:v>
      </x:c>
      <x:c r="AA935" s="8" t="n">
        <x:f>Z935+X935*Q935+Y935*R935</x:f>
        <x:v>0.5741811175337187</x:v>
      </x:c>
    </x:row>
    <x:row r="936" ht="26" customHeight="1">
      <x:c r="A936" s="2"/>
      <x:c r="B936" s="2" t="n">
        <x:v>931</x:v>
      </x:c>
      <x:c r="C936" s="2" t="str">
        <x:v>Grooming / organic_volume_growth</x:v>
      </x:c>
      <x:c r="D936" s="2" t="str">
        <x:v>Broad market</x:v>
      </x:c>
      <x:c r="E936" s="7" t="n">
        <x:v>45930</x:v>
      </x:c>
      <x:c r="F936" s="2" t="str">
        <x:v>Origin</x:v>
      </x:c>
      <x:c r="G936" s="7" t="n">
        <x:v>45839</x:v>
      </x:c>
      <x:c r="H936" s="2" t="n">
        <x:v>17</x:v>
      </x:c>
      <x:c r="I936" s="8" t="n">
        <x:v>48.81640031708317</x:v>
      </x:c>
      <x:c r="J936" s="8" t="n">
        <x:v>0</x:v>
      </x:c>
      <x:c r="K936" s="8" t="n">
        <x:v>7</x:v>
      </x:c>
      <x:c r="L936" s="8" t="n">
        <x:v>384.52710101487173</x:v>
      </x:c>
      <x:c r="M936" s="8" t="n">
        <x:v>0</x:v>
      </x:c>
      <x:c r="N936" s="8" t="n">
        <x:v>0</x:v>
      </x:c>
      <x:c r="O936" s="8" t="n">
        <x:v>110.43758534420371</x:v>
      </x:c>
      <x:c r="P936" s="8" t="n">
        <x:v>0</x:v>
      </x:c>
      <x:c r="Q936" s="8" t="n">
        <x:v>2.8115539262481226</x:v>
      </x:c>
      <x:c r="R936" s="8" t="n">
        <x:v>0</x:v>
      </x:c>
      <x:c r="S936" s="8" t="n">
        <x:f>L936-I936^2/H936</x:f>
        <x:v>244.34822219618243</x:v>
      </x:c>
      <x:c r="T936" s="8" t="n">
        <x:f>M936-J936^2/H936</x:f>
        <x:v>0</x:v>
      </x:c>
      <x:c r="U936" s="8" t="n">
        <x:f>N936-I936*J936/H936</x:f>
        <x:v>0</x:v>
      </x:c>
      <x:c r="V936" s="8" t="n">
        <x:f>O936-I936*K936/H936</x:f>
        <x:v>90.33671462540475</x:v>
      </x:c>
      <x:c r="W936" s="8" t="n">
        <x:f>P936-J936*K936/H936</x:f>
        <x:v>0</x:v>
      </x:c>
      <x:c r="X936" s="8" t="n">
        <x:f>V936/S936</x:f>
        <x:v>0.3697048164028595</x:v>
      </x:c>
      <x:c r="Y936" s="8" t="n">
        <x:f>0</x:f>
        <x:v>0</x:v>
      </x:c>
      <x:c r="Z936" s="8" t="n">
        <x:f>K936/H936-X936*I936/H936-Y936*J936/H936</x:f>
        <x:v>-0.6498622539221016</x:v>
      </x:c>
      <x:c r="AA936" s="8" t="n">
        <x:f>Z936+X936*Q936+Y936*R936</x:f>
        <x:v>0.3895827741881993</x:v>
      </x:c>
    </x:row>
    <x:row r="937" ht="26" customHeight="1">
      <x:c r="A937" s="2"/>
      <x:c r="B937" s="2" t="n">
        <x:v>932</x:v>
      </x:c>
      <x:c r="C937" s="2" t="str">
        <x:v>Grooming / organic_volume_growth</x:v>
      </x:c>
      <x:c r="D937" s="2" t="str">
        <x:v>Broad rolling 8</x:v>
      </x:c>
      <x:c r="E937" s="7" t="n">
        <x:v>45930</x:v>
      </x:c>
      <x:c r="F937" s="2" t="str">
        <x:v>Origin</x:v>
      </x:c>
      <x:c r="G937" s="7" t="n">
        <x:v>45839</x:v>
      </x:c>
      <x:c r="H937" s="2" t="n">
        <x:v>8</x:v>
      </x:c>
      <x:c r="I937" s="8" t="n">
        <x:v>13.903323924128907</x:v>
      </x:c>
      <x:c r="J937" s="8" t="n">
        <x:v>0</x:v>
      </x:c>
      <x:c r="K937" s="8" t="n">
        <x:v>10</x:v>
      </x:c>
      <x:c r="L937" s="8" t="n">
        <x:v>29.69247799893869</x:v>
      </x:c>
      <x:c r="M937" s="8" t="n">
        <x:v>0</x:v>
      </x:c>
      <x:c r="N937" s="8" t="n">
        <x:v>0</x:v>
      </x:c>
      <x:c r="O937" s="8" t="n">
        <x:v>24.44844547459689</x:v>
      </x:c>
      <x:c r="P937" s="8" t="n">
        <x:v>0</x:v>
      </x:c>
      <x:c r="Q937" s="8" t="n">
        <x:v>2.8115539262481226</x:v>
      </x:c>
      <x:c r="R937" s="8" t="n">
        <x:v>0</x:v>
      </x:c>
      <x:c r="S937" s="8" t="n">
        <x:f>L937-I937^2/H937</x:f>
        <x:v>5.529675981531785</x:v>
      </x:c>
      <x:c r="T937" s="8" t="n">
        <x:f>M937-J937^2/H937</x:f>
        <x:v>0</x:v>
      </x:c>
      <x:c r="U937" s="8" t="n">
        <x:f>N937-I937*J937/H937</x:f>
        <x:v>0</x:v>
      </x:c>
      <x:c r="V937" s="8" t="n">
        <x:f>O937-I937*K937/H937</x:f>
        <x:v>7.069290569435758</x:v>
      </x:c>
      <x:c r="W937" s="8" t="n">
        <x:f>P937-J937*K937/H937</x:f>
        <x:v>0</x:v>
      </x:c>
      <x:c r="X937" s="8" t="n">
        <x:f>V937/S937</x:f>
        <x:v>1.2784276317538377</x:v>
      </x:c>
      <x:c r="Y937" s="8" t="n">
        <x:f>0</x:f>
        <x:v>0</x:v>
      </x:c>
      <x:c r="Z937" s="8" t="n">
        <x:f>K937/H937-X937*I937/H937-Y937*J937/H937</x:f>
        <x:v>-0.9717991847288241</x:v>
      </x:c>
      <x:c r="AA937" s="8" t="n">
        <x:f>Z937+X937*Q937+Y937*R937</x:f>
        <x:v>2.6225690427527675</x:v>
      </x:c>
    </x:row>
    <x:row r="938" ht="26" customHeight="1">
      <x:c r="A938" s="2"/>
      <x:c r="B938" s="2" t="n">
        <x:v>933</x:v>
      </x:c>
      <x:c r="C938" s="2" t="str">
        <x:v>Grooming / organic_volume_growth</x:v>
      </x:c>
      <x:c r="D938" s="2" t="str">
        <x:v>Own history</x:v>
      </x:c>
      <x:c r="E938" s="7" t="n">
        <x:v>45930</x:v>
      </x:c>
      <x:c r="F938" s="2" t="str">
        <x:v>Origin</x:v>
      </x:c>
      <x:c r="G938" s="7" t="n">
        <x:v>45839</x:v>
      </x:c>
      <x:c r="H938" s="2" t="n">
        <x:v>15</x:v>
      </x:c>
      <x:c r="I938" s="8" t="n">
        <x:v>4</x:v>
      </x:c>
      <x:c r="J938" s="8" t="n">
        <x:v>0</x:v>
      </x:c>
      <x:c r="K938" s="8" t="n">
        <x:v>3</x:v>
      </x:c>
      <x:c r="L938" s="8" t="n">
        <x:v>128</x:v>
      </x:c>
      <x:c r="M938" s="8" t="n">
        <x:v>0</x:v>
      </x:c>
      <x:c r="N938" s="8" t="n">
        <x:v>0</x:v>
      </x:c>
      <x:c r="O938" s="8" t="n">
        <x:v>45</x:v>
      </x:c>
      <x:c r="P938" s="8" t="n">
        <x:v>0</x:v>
      </x:c>
      <x:c r="Q938" s="8" t="n">
        <x:v>1</x:v>
      </x:c>
      <x:c r="R938" s="8" t="n">
        <x:v>0</x:v>
      </x:c>
      <x:c r="S938" s="8" t="n">
        <x:f>L938-I938^2/H938</x:f>
        <x:v>126.93333333333334</x:v>
      </x:c>
      <x:c r="T938" s="8" t="n">
        <x:f>M938-J938^2/H938</x:f>
        <x:v>0</x:v>
      </x:c>
      <x:c r="U938" s="8" t="n">
        <x:f>N938-I938*J938/H938</x:f>
        <x:v>0</x:v>
      </x:c>
      <x:c r="V938" s="8" t="n">
        <x:f>O938-I938*K938/H938</x:f>
        <x:v>44.2</x:v>
      </x:c>
      <x:c r="W938" s="8" t="n">
        <x:f>P938-J938*K938/H938</x:f>
        <x:v>0</x:v>
      </x:c>
      <x:c r="X938" s="8" t="n">
        <x:f>V938/S938</x:f>
        <x:v>0.34821428571428575</x:v>
      </x:c>
      <x:c r="Y938" s="8" t="n">
        <x:f>0</x:f>
        <x:v>0</x:v>
      </x:c>
      <x:c r="Z938" s="8" t="n">
        <x:f>K938/H938-X938*I938/H938-Y938*J938/H938</x:f>
        <x:v>0.10714285714285714</x:v>
      </x:c>
      <x:c r="AA938" s="8" t="n">
        <x:f>Z938+X938*Q938+Y938*R938</x:f>
        <x:v>0.4553571428571429</x:v>
      </x:c>
    </x:row>
    <x:row r="939" ht="26" customHeight="1">
      <x:c r="A939" s="2"/>
      <x:c r="B939" s="2" t="n">
        <x:v>934</x:v>
      </x:c>
      <x:c r="C939" s="2" t="str">
        <x:v>Grooming / organic_volume_growth</x:v>
      </x:c>
      <x:c r="D939" s="2" t="str">
        <x:v>Broad market</x:v>
      </x:c>
      <x:c r="E939" s="7" t="n">
        <x:v>45930</x:v>
      </x:c>
      <x:c r="F939" s="2" t="str">
        <x:v>Prior report</x:v>
      </x:c>
      <x:c r="G939" s="7" t="n">
        <x:v>45867</x:v>
      </x:c>
      <x:c r="H939" s="2" t="n">
        <x:v>17</x:v>
      </x:c>
      <x:c r="I939" s="8" t="n">
        <x:v>48.81640031708317</x:v>
      </x:c>
      <x:c r="J939" s="8" t="n">
        <x:v>0</x:v>
      </x:c>
      <x:c r="K939" s="8" t="n">
        <x:v>7</x:v>
      </x:c>
      <x:c r="L939" s="8" t="n">
        <x:v>384.52710101487173</x:v>
      </x:c>
      <x:c r="M939" s="8" t="n">
        <x:v>0</x:v>
      </x:c>
      <x:c r="N939" s="8" t="n">
        <x:v>0</x:v>
      </x:c>
      <x:c r="O939" s="8" t="n">
        <x:v>110.43758534420371</x:v>
      </x:c>
      <x:c r="P939" s="8" t="n">
        <x:v>0</x:v>
      </x:c>
      <x:c r="Q939" s="8" t="n">
        <x:v>2.8115539262481226</x:v>
      </x:c>
      <x:c r="R939" s="8" t="n">
        <x:v>0</x:v>
      </x:c>
      <x:c r="S939" s="8" t="n">
        <x:f>L939-I939^2/H939</x:f>
        <x:v>244.34822219618243</x:v>
      </x:c>
      <x:c r="T939" s="8" t="n">
        <x:f>M939-J939^2/H939</x:f>
        <x:v>0</x:v>
      </x:c>
      <x:c r="U939" s="8" t="n">
        <x:f>N939-I939*J939/H939</x:f>
        <x:v>0</x:v>
      </x:c>
      <x:c r="V939" s="8" t="n">
        <x:f>O939-I939*K939/H939</x:f>
        <x:v>90.33671462540475</x:v>
      </x:c>
      <x:c r="W939" s="8" t="n">
        <x:f>P939-J939*K939/H939</x:f>
        <x:v>0</x:v>
      </x:c>
      <x:c r="X939" s="8" t="n">
        <x:f>V939/S939</x:f>
        <x:v>0.3697048164028595</x:v>
      </x:c>
      <x:c r="Y939" s="8" t="n">
        <x:f>0</x:f>
        <x:v>0</x:v>
      </x:c>
      <x:c r="Z939" s="8" t="n">
        <x:f>K939/H939-X939*I939/H939-Y939*J939/H939</x:f>
        <x:v>-0.6498622539221016</x:v>
      </x:c>
      <x:c r="AA939" s="8" t="n">
        <x:f>Z939+X939*Q939+Y939*R939</x:f>
        <x:v>0.3895827741881993</x:v>
      </x:c>
    </x:row>
    <x:row r="940" ht="26" customHeight="1">
      <x:c r="A940" s="2"/>
      <x:c r="B940" s="2" t="n">
        <x:v>935</x:v>
      </x:c>
      <x:c r="C940" s="2" t="str">
        <x:v>Grooming / organic_volume_growth</x:v>
      </x:c>
      <x:c r="D940" s="2" t="str">
        <x:v>Broad rolling 8</x:v>
      </x:c>
      <x:c r="E940" s="7" t="n">
        <x:v>45930</x:v>
      </x:c>
      <x:c r="F940" s="2" t="str">
        <x:v>Prior report</x:v>
      </x:c>
      <x:c r="G940" s="7" t="n">
        <x:v>45867</x:v>
      </x:c>
      <x:c r="H940" s="2" t="n">
        <x:v>8</x:v>
      </x:c>
      <x:c r="I940" s="8" t="n">
        <x:v>13.903323924128907</x:v>
      </x:c>
      <x:c r="J940" s="8" t="n">
        <x:v>0</x:v>
      </x:c>
      <x:c r="K940" s="8" t="n">
        <x:v>10</x:v>
      </x:c>
      <x:c r="L940" s="8" t="n">
        <x:v>29.69247799893869</x:v>
      </x:c>
      <x:c r="M940" s="8" t="n">
        <x:v>0</x:v>
      </x:c>
      <x:c r="N940" s="8" t="n">
        <x:v>0</x:v>
      </x:c>
      <x:c r="O940" s="8" t="n">
        <x:v>24.44844547459689</x:v>
      </x:c>
      <x:c r="P940" s="8" t="n">
        <x:v>0</x:v>
      </x:c>
      <x:c r="Q940" s="8" t="n">
        <x:v>2.8115539262481226</x:v>
      </x:c>
      <x:c r="R940" s="8" t="n">
        <x:v>0</x:v>
      </x:c>
      <x:c r="S940" s="8" t="n">
        <x:f>L940-I940^2/H940</x:f>
        <x:v>5.529675981531785</x:v>
      </x:c>
      <x:c r="T940" s="8" t="n">
        <x:f>M940-J940^2/H940</x:f>
        <x:v>0</x:v>
      </x:c>
      <x:c r="U940" s="8" t="n">
        <x:f>N940-I940*J940/H940</x:f>
        <x:v>0</x:v>
      </x:c>
      <x:c r="V940" s="8" t="n">
        <x:f>O940-I940*K940/H940</x:f>
        <x:v>7.069290569435758</x:v>
      </x:c>
      <x:c r="W940" s="8" t="n">
        <x:f>P940-J940*K940/H940</x:f>
        <x:v>0</x:v>
      </x:c>
      <x:c r="X940" s="8" t="n">
        <x:f>V940/S940</x:f>
        <x:v>1.2784276317538377</x:v>
      </x:c>
      <x:c r="Y940" s="8" t="n">
        <x:f>0</x:f>
        <x:v>0</x:v>
      </x:c>
      <x:c r="Z940" s="8" t="n">
        <x:f>K940/H940-X940*I940/H940-Y940*J940/H940</x:f>
        <x:v>-0.9717991847288241</x:v>
      </x:c>
      <x:c r="AA940" s="8" t="n">
        <x:f>Z940+X940*Q940+Y940*R940</x:f>
        <x:v>2.6225690427527675</x:v>
      </x:c>
    </x:row>
    <x:row r="941" ht="26" customHeight="1">
      <x:c r="A941" s="2"/>
      <x:c r="B941" s="2" t="n">
        <x:v>936</x:v>
      </x:c>
      <x:c r="C941" s="2" t="str">
        <x:v>Grooming / organic_volume_growth</x:v>
      </x:c>
      <x:c r="D941" s="2" t="str">
        <x:v>Own history</x:v>
      </x:c>
      <x:c r="E941" s="7" t="n">
        <x:v>45930</x:v>
      </x:c>
      <x:c r="F941" s="2" t="str">
        <x:v>Prior report</x:v>
      </x:c>
      <x:c r="G941" s="7" t="n">
        <x:v>45867</x:v>
      </x:c>
      <x:c r="H941" s="2" t="n">
        <x:v>17</x:v>
      </x:c>
      <x:c r="I941" s="8" t="n">
        <x:v>7</x:v>
      </x:c>
      <x:c r="J941" s="8" t="n">
        <x:v>0</x:v>
      </x:c>
      <x:c r="K941" s="8" t="n">
        <x:v>6</x:v>
      </x:c>
      <x:c r="L941" s="8" t="n">
        <x:v>133</x:v>
      </x:c>
      <x:c r="M941" s="8" t="n">
        <x:v>0</x:v>
      </x:c>
      <x:c r="N941" s="8" t="n">
        <x:v>0</x:v>
      </x:c>
      <x:c r="O941" s="8" t="n">
        <x:v>30</x:v>
      </x:c>
      <x:c r="P941" s="8" t="n">
        <x:v>0</x:v>
      </x:c>
      <x:c r="Q941" s="8" t="n">
        <x:v>-1</x:v>
      </x:c>
      <x:c r="R941" s="8" t="n">
        <x:v>0</x:v>
      </x:c>
      <x:c r="S941" s="8" t="n">
        <x:f>L941-I941^2/H941</x:f>
        <x:v>130.11764705882354</x:v>
      </x:c>
      <x:c r="T941" s="8" t="n">
        <x:f>M941-J941^2/H941</x:f>
        <x:v>0</x:v>
      </x:c>
      <x:c r="U941" s="8" t="n">
        <x:f>N941-I941*J941/H941</x:f>
        <x:v>0</x:v>
      </x:c>
      <x:c r="V941" s="8" t="n">
        <x:f>O941-I941*K941/H941</x:f>
        <x:v>27.529411764705884</x:v>
      </x:c>
      <x:c r="W941" s="8" t="n">
        <x:f>P941-J941*K941/H941</x:f>
        <x:v>0</x:v>
      </x:c>
      <x:c r="X941" s="8" t="n">
        <x:f>V941/S941</x:f>
        <x:v>0.2115732368896926</x:v>
      </x:c>
      <x:c r="Y941" s="8" t="n">
        <x:f>0</x:f>
        <x:v>0</x:v>
      </x:c>
      <x:c r="Z941" s="8" t="n">
        <x:f>K941/H941-X941*I941/H941-Y941*J941/H941</x:f>
        <x:v>0.2658227848101266</x:v>
      </x:c>
      <x:c r="AA941" s="8" t="n">
        <x:f>Z941+X941*Q941+Y941*R941</x:f>
        <x:v>0.054249547920434016</x:v>
      </x:c>
    </x:row>
    <x:row r="942" ht="26" customHeight="1">
      <x:c r="A942" s="2"/>
      <x:c r="B942" s="2" t="n">
        <x:v>937</x:v>
      </x:c>
      <x:c r="C942" s="2" t="str">
        <x:v>Grooming / organic_volume_growth</x:v>
      </x:c>
      <x:c r="D942" s="2" t="str">
        <x:v>Broad market</x:v>
      </x:c>
      <x:c r="E942" s="7" t="n">
        <x:v>45930</x:v>
      </x:c>
      <x:c r="F942" s="2" t="str">
        <x:v>Pre-earnings</x:v>
      </x:c>
      <x:c r="G942" s="7" t="n">
        <x:v>45953</x:v>
      </x:c>
      <x:c r="H942" s="2" t="n">
        <x:v>18</x:v>
      </x:c>
      <x:c r="I942" s="8" t="n">
        <x:v>54.16421583875868</x:v>
      </x:c>
      <x:c r="J942" s="8" t="n">
        <x:v>0</x:v>
      </x:c>
      <x:c r="K942" s="8" t="n">
        <x:v>6</x:v>
      </x:c>
      <x:c r="L942" s="8" t="n">
        <x:v>409.1374966682539</x:v>
      </x:c>
      <x:c r="M942" s="8" t="n">
        <x:v>0</x:v>
      </x:c>
      <x:c r="N942" s="8" t="n">
        <x:v>0</x:v>
      </x:c>
      <x:c r="O942" s="8" t="n">
        <x:v>113.9283201827816</x:v>
      </x:c>
      <x:c r="P942" s="8" t="n">
        <x:v>0</x:v>
      </x:c>
      <x:c r="Q942" s="8" t="n">
        <x:v>3.2886468481588604</x:v>
      </x:c>
      <x:c r="R942" s="8" t="n">
        <x:v>0</x:v>
      </x:c>
      <x:c r="S942" s="8" t="n">
        <x:f>L942-I942^2/H942</x:f>
        <x:v>246.15070347782967</x:v>
      </x:c>
      <x:c r="T942" s="8" t="n">
        <x:f>M942-J942^2/H942</x:f>
        <x:v>0</x:v>
      </x:c>
      <x:c r="U942" s="8" t="n">
        <x:f>N942-I942*J942/H942</x:f>
        <x:v>0</x:v>
      </x:c>
      <x:c r="V942" s="8" t="n">
        <x:f>O942-I942*K942/H942</x:f>
        <x:v>95.87358156986204</x:v>
      </x:c>
      <x:c r="W942" s="8" t="n">
        <x:f>P942-J942*K942/H942</x:f>
        <x:v>0</x:v>
      </x:c>
      <x:c r="X942" s="8" t="n">
        <x:f>V942/S942</x:f>
        <x:v>0.38949139781149233</x:v>
      </x:c>
      <x:c r="Y942" s="8" t="n">
        <x:f>0</x:f>
        <x:v>0</x:v>
      </x:c>
      <x:c r="Z942" s="8" t="n">
        <x:f>K942/H942-X942*I942/H942-Y942*J942/H942</x:f>
        <x:v>-0.8386942299111941</x:v>
      </x:c>
      <x:c r="AA942" s="8" t="n">
        <x:f>Z942+X942*Q942+Y942*R942</x:f>
        <x:v>0.44220542788655903</x:v>
      </x:c>
    </x:row>
    <x:row r="943" ht="26" customHeight="1">
      <x:c r="A943" s="2"/>
      <x:c r="B943" s="2" t="n">
        <x:v>938</x:v>
      </x:c>
      <x:c r="C943" s="2" t="str">
        <x:v>Grooming / organic_volume_growth</x:v>
      </x:c>
      <x:c r="D943" s="2" t="str">
        <x:v>Broad lag 1</x:v>
      </x:c>
      <x:c r="E943" s="7" t="n">
        <x:v>45930</x:v>
      </x:c>
      <x:c r="F943" s="2" t="str">
        <x:v>Pre-earnings</x:v>
      </x:c>
      <x:c r="G943" s="7" t="n">
        <x:v>45953</x:v>
      </x:c>
      <x:c r="H943" s="2" t="n">
        <x:v>17</x:v>
      </x:c>
      <x:c r="I943" s="8" t="n">
        <x:v>50.93094136357719</x:v>
      </x:c>
      <x:c r="J943" s="8" t="n">
        <x:v>0</x:v>
      </x:c>
      <x:c r="K943" s="8" t="n">
        <x:v>6</x:v>
      </x:c>
      <x:c r="L943" s="8" t="n">
        <x:v>398.68343283639376</x:v>
      </x:c>
      <x:c r="M943" s="8" t="n">
        <x:v>0</x:v>
      </x:c>
      <x:c r="N943" s="8" t="n">
        <x:v>0</x:v>
      </x:c>
      <x:c r="O943" s="8" t="n">
        <x:v>82.09467156032507</x:v>
      </x:c>
      <x:c r="P943" s="8" t="n">
        <x:v>0</x:v>
      </x:c>
      <x:c r="Q943" s="8" t="n">
        <x:v>3.2332744751814912</x:v>
      </x:c>
      <x:c r="R943" s="8" t="n">
        <x:v>0</x:v>
      </x:c>
      <x:c r="S943" s="8" t="n">
        <x:f>L943-I943^2/H943</x:f>
        <x:v>246.09750411991504</x:v>
      </x:c>
      <x:c r="T943" s="8" t="n">
        <x:f>M943-J943^2/H943</x:f>
        <x:v>0</x:v>
      </x:c>
      <x:c r="U943" s="8" t="n">
        <x:f>N943-I943*J943/H943</x:f>
        <x:v>0</x:v>
      </x:c>
      <x:c r="V943" s="8" t="n">
        <x:f>O943-I943*K943/H943</x:f>
        <x:v>64.11904519670959</x:v>
      </x:c>
      <x:c r="W943" s="8" t="n">
        <x:f>P943-J943*K943/H943</x:f>
        <x:v>0</x:v>
      </x:c>
      <x:c r="X943" s="8" t="n">
        <x:f>V943/S943</x:f>
        <x:v>0.2605432567307409</x:v>
      </x:c>
      <x:c r="Y943" s="8" t="n">
        <x:f>0</x:f>
        <x:v>0</x:v>
      </x:c>
      <x:c r="Z943" s="8" t="n">
        <x:f>K943/H943-X943*I943/H943-Y943*J943/H943</x:f>
        <x:v>-0.42763019595463553</x:v>
      </x:c>
      <x:c r="AA943" s="8" t="n">
        <x:f>Z943+X943*Q943+Y943*R943</x:f>
        <x:v>0.4147776657135273</x:v>
      </x:c>
    </x:row>
    <x:row r="944" ht="26" customHeight="1">
      <x:c r="A944" s="2"/>
      <x:c r="B944" s="2" t="n">
        <x:v>939</x:v>
      </x:c>
      <x:c r="C944" s="2" t="str">
        <x:v>Grooming / organic_volume_growth</x:v>
      </x:c>
      <x:c r="D944" s="2" t="str">
        <x:v>Broad rolling 8</x:v>
      </x:c>
      <x:c r="E944" s="7" t="n">
        <x:v>45930</x:v>
      </x:c>
      <x:c r="F944" s="2" t="str">
        <x:v>Pre-earnings</x:v>
      </x:c>
      <x:c r="G944" s="7" t="n">
        <x:v>45953</x:v>
      </x:c>
      <x:c r="H944" s="2" t="n">
        <x:v>8</x:v>
      </x:c>
      <x:c r="I944" s="8" t="n">
        <x:v>19.488596039783012</x:v>
      </x:c>
      <x:c r="J944" s="8" t="n">
        <x:v>0</x:v>
      </x:c>
      <x:c r="K944" s="8" t="n">
        <x:v>10</x:v>
      </x:c>
      <x:c r="L944" s="8" t="n">
        <x:v>52.76027068899587</x:v>
      </x:c>
      <x:c r="M944" s="8" t="n">
        <x:v>0</x:v>
      </x:c>
      <x:c r="N944" s="8" t="n">
        <x:v>0</x:v>
      </x:c>
      <x:c r="O944" s="8" t="n">
        <x:v>26.495391367581945</x:v>
      </x:c>
      <x:c r="P944" s="8" t="n">
        <x:v>0</x:v>
      </x:c>
      <x:c r="Q944" s="8" t="n">
        <x:v>3.2886468481588604</x:v>
      </x:c>
      <x:c r="R944" s="8" t="n">
        <x:v>0</x:v>
      </x:c>
      <x:c r="S944" s="8" t="n">
        <x:f>L944-I944^2/H944</x:f>
        <x:v>5.284598738765105</x:v>
      </x:c>
      <x:c r="T944" s="8" t="n">
        <x:f>M944-J944^2/H944</x:f>
        <x:v>0</x:v>
      </x:c>
      <x:c r="U944" s="8" t="n">
        <x:f>N944-I944*J944/H944</x:f>
        <x:v>0</x:v>
      </x:c>
      <x:c r="V944" s="8" t="n">
        <x:f>O944-I944*K944/H944</x:f>
        <x:v>2.134646317853182</x:v>
      </x:c>
      <x:c r="W944" s="8" t="n">
        <x:f>P944-J944*K944/H944</x:f>
        <x:v>0</x:v>
      </x:c>
      <x:c r="X944" s="8" t="n">
        <x:f>V944/S944</x:f>
        <x:v>0.4039372568052352</x:v>
      </x:c>
      <x:c r="Y944" s="8" t="n">
        <x:f>0</x:f>
        <x:v>0</x:v>
      </x:c>
      <x:c r="Z944" s="8" t="n">
        <x:f>K944/H944-X944*I944/H944-Y944*J944/H944</x:f>
        <x:v>0.265978747088085</x:v>
      </x:c>
      <x:c r="AA944" s="8" t="n">
        <x:f>Z944+X944*Q944+Y944*R944</x:f>
        <x:v>1.594385733534558</x:v>
      </x:c>
    </x:row>
    <x:row r="945" ht="26" customHeight="1">
      <x:c r="A945" s="2"/>
      <x:c r="B945" s="2" t="n">
        <x:v>940</x:v>
      </x:c>
      <x:c r="C945" s="2" t="str">
        <x:v>Grooming / organic_volume_growth</x:v>
      </x:c>
      <x:c r="D945" s="2" t="str">
        <x:v>Own history</x:v>
      </x:c>
      <x:c r="E945" s="7" t="n">
        <x:v>45930</x:v>
      </x:c>
      <x:c r="F945" s="2" t="str">
        <x:v>Pre-earnings</x:v>
      </x:c>
      <x:c r="G945" s="7" t="n">
        <x:v>45953</x:v>
      </x:c>
      <x:c r="H945" s="2" t="n">
        <x:v>17</x:v>
      </x:c>
      <x:c r="I945" s="8" t="n">
        <x:v>7</x:v>
      </x:c>
      <x:c r="J945" s="8" t="n">
        <x:v>0</x:v>
      </x:c>
      <x:c r="K945" s="8" t="n">
        <x:v>6</x:v>
      </x:c>
      <x:c r="L945" s="8" t="n">
        <x:v>133</x:v>
      </x:c>
      <x:c r="M945" s="8" t="n">
        <x:v>0</x:v>
      </x:c>
      <x:c r="N945" s="8" t="n">
        <x:v>0</x:v>
      </x:c>
      <x:c r="O945" s="8" t="n">
        <x:v>30</x:v>
      </x:c>
      <x:c r="P945" s="8" t="n">
        <x:v>0</x:v>
      </x:c>
      <x:c r="Q945" s="8" t="n">
        <x:v>-1</x:v>
      </x:c>
      <x:c r="R945" s="8" t="n">
        <x:v>0</x:v>
      </x:c>
      <x:c r="S945" s="8" t="n">
        <x:f>L945-I945^2/H945</x:f>
        <x:v>130.11764705882354</x:v>
      </x:c>
      <x:c r="T945" s="8" t="n">
        <x:f>M945-J945^2/H945</x:f>
        <x:v>0</x:v>
      </x:c>
      <x:c r="U945" s="8" t="n">
        <x:f>N945-I945*J945/H945</x:f>
        <x:v>0</x:v>
      </x:c>
      <x:c r="V945" s="8" t="n">
        <x:f>O945-I945*K945/H945</x:f>
        <x:v>27.529411764705884</x:v>
      </x:c>
      <x:c r="W945" s="8" t="n">
        <x:f>P945-J945*K945/H945</x:f>
        <x:v>0</x:v>
      </x:c>
      <x:c r="X945" s="8" t="n">
        <x:f>V945/S945</x:f>
        <x:v>0.2115732368896926</x:v>
      </x:c>
      <x:c r="Y945" s="8" t="n">
        <x:f>0</x:f>
        <x:v>0</x:v>
      </x:c>
      <x:c r="Z945" s="8" t="n">
        <x:f>K945/H945-X945*I945/H945-Y945*J945/H945</x:f>
        <x:v>0.2658227848101266</x:v>
      </x:c>
      <x:c r="AA945" s="8" t="n">
        <x:f>Z945+X945*Q945+Y945*R945</x:f>
        <x:v>0.054249547920434016</x:v>
      </x:c>
    </x:row>
    <x:row r="946" ht="26" customHeight="1">
      <x:c r="A946" s="2"/>
      <x:c r="B946" s="2" t="n">
        <x:v>941</x:v>
      </x:c>
      <x:c r="C946" s="2" t="str">
        <x:v>Grooming / organic_volume_growth</x:v>
      </x:c>
      <x:c r="D946" s="2" t="str">
        <x:v>Broad market</x:v>
      </x:c>
      <x:c r="E946" s="7" t="n">
        <x:v>46022</x:v>
      </x:c>
      <x:c r="F946" s="2" t="str">
        <x:v>Origin</x:v>
      </x:c>
      <x:c r="G946" s="7" t="n">
        <x:v>45931</x:v>
      </x:c>
      <x:c r="H946" s="2" t="n">
        <x:v>18</x:v>
      </x:c>
      <x:c r="I946" s="8" t="n">
        <x:v>54.16421583875868</x:v>
      </x:c>
      <x:c r="J946" s="8" t="n">
        <x:v>0</x:v>
      </x:c>
      <x:c r="K946" s="8" t="n">
        <x:v>6</x:v>
      </x:c>
      <x:c r="L946" s="8" t="n">
        <x:v>409.1374966682539</x:v>
      </x:c>
      <x:c r="M946" s="8" t="n">
        <x:v>0</x:v>
      </x:c>
      <x:c r="N946" s="8" t="n">
        <x:v>0</x:v>
      </x:c>
      <x:c r="O946" s="8" t="n">
        <x:v>113.9283201827816</x:v>
      </x:c>
      <x:c r="P946" s="8" t="n">
        <x:v>0</x:v>
      </x:c>
      <x:c r="Q946" s="8" t="n">
        <x:v>3.299678659475047</x:v>
      </x:c>
      <x:c r="R946" s="8" t="n">
        <x:v>0</x:v>
      </x:c>
      <x:c r="S946" s="8" t="n">
        <x:f>L946-I946^2/H946</x:f>
        <x:v>246.15070347782967</x:v>
      </x:c>
      <x:c r="T946" s="8" t="n">
        <x:f>M946-J946^2/H946</x:f>
        <x:v>0</x:v>
      </x:c>
      <x:c r="U946" s="8" t="n">
        <x:f>N946-I946*J946/H946</x:f>
        <x:v>0</x:v>
      </x:c>
      <x:c r="V946" s="8" t="n">
        <x:f>O946-I946*K946/H946</x:f>
        <x:v>95.87358156986204</x:v>
      </x:c>
      <x:c r="W946" s="8" t="n">
        <x:f>P946-J946*K946/H946</x:f>
        <x:v>0</x:v>
      </x:c>
      <x:c r="X946" s="8" t="n">
        <x:f>V946/S946</x:f>
        <x:v>0.38949139781149233</x:v>
      </x:c>
      <x:c r="Y946" s="8" t="n">
        <x:f>0</x:f>
        <x:v>0</x:v>
      </x:c>
      <x:c r="Z946" s="8" t="n">
        <x:f>K946/H946-X946*I946/H946-Y946*J946/H946</x:f>
        <x:v>-0.8386942299111941</x:v>
      </x:c>
      <x:c r="AA946" s="8" t="n">
        <x:f>Z946+X946*Q946+Y946*R946</x:f>
        <x:v>0.44650222349649327</x:v>
      </x:c>
    </x:row>
    <x:row r="947" ht="26" customHeight="1">
      <x:c r="A947" s="2"/>
      <x:c r="B947" s="2" t="n">
        <x:v>942</x:v>
      </x:c>
      <x:c r="C947" s="2" t="str">
        <x:v>Grooming / organic_volume_growth</x:v>
      </x:c>
      <x:c r="D947" s="2" t="str">
        <x:v>Broad rolling 8</x:v>
      </x:c>
      <x:c r="E947" s="7" t="n">
        <x:v>46022</x:v>
      </x:c>
      <x:c r="F947" s="2" t="str">
        <x:v>Origin</x:v>
      </x:c>
      <x:c r="G947" s="7" t="n">
        <x:v>45931</x:v>
      </x:c>
      <x:c r="H947" s="2" t="n">
        <x:v>8</x:v>
      </x:c>
      <x:c r="I947" s="8" t="n">
        <x:v>19.488596039783012</x:v>
      </x:c>
      <x:c r="J947" s="8" t="n">
        <x:v>0</x:v>
      </x:c>
      <x:c r="K947" s="8" t="n">
        <x:v>10</x:v>
      </x:c>
      <x:c r="L947" s="8" t="n">
        <x:v>52.76027068899587</x:v>
      </x:c>
      <x:c r="M947" s="8" t="n">
        <x:v>0</x:v>
      </x:c>
      <x:c r="N947" s="8" t="n">
        <x:v>0</x:v>
      </x:c>
      <x:c r="O947" s="8" t="n">
        <x:v>26.495391367581945</x:v>
      </x:c>
      <x:c r="P947" s="8" t="n">
        <x:v>0</x:v>
      </x:c>
      <x:c r="Q947" s="8" t="n">
        <x:v>3.299678659475047</x:v>
      </x:c>
      <x:c r="R947" s="8" t="n">
        <x:v>0</x:v>
      </x:c>
      <x:c r="S947" s="8" t="n">
        <x:f>L947-I947^2/H947</x:f>
        <x:v>5.284598738765105</x:v>
      </x:c>
      <x:c r="T947" s="8" t="n">
        <x:f>M947-J947^2/H947</x:f>
        <x:v>0</x:v>
      </x:c>
      <x:c r="U947" s="8" t="n">
        <x:f>N947-I947*J947/H947</x:f>
        <x:v>0</x:v>
      </x:c>
      <x:c r="V947" s="8" t="n">
        <x:f>O947-I947*K947/H947</x:f>
        <x:v>2.134646317853182</x:v>
      </x:c>
      <x:c r="W947" s="8" t="n">
        <x:f>P947-J947*K947/H947</x:f>
        <x:v>0</x:v>
      </x:c>
      <x:c r="X947" s="8" t="n">
        <x:f>V947/S947</x:f>
        <x:v>0.4039372568052352</x:v>
      </x:c>
      <x:c r="Y947" s="8" t="n">
        <x:f>0</x:f>
        <x:v>0</x:v>
      </x:c>
      <x:c r="Z947" s="8" t="n">
        <x:f>K947/H947-X947*I947/H947-Y947*J947/H947</x:f>
        <x:v>0.265978747088085</x:v>
      </x:c>
      <x:c r="AA947" s="8" t="n">
        <x:f>Z947+X947*Q947+Y947*R947</x:f>
        <x:v>1.5988418931352113</x:v>
      </x:c>
    </x:row>
    <x:row r="948" ht="26" customHeight="1">
      <x:c r="A948" s="2"/>
      <x:c r="B948" s="2" t="n">
        <x:v>943</x:v>
      </x:c>
      <x:c r="C948" s="2" t="str">
        <x:v>Grooming / organic_volume_growth</x:v>
      </x:c>
      <x:c r="D948" s="2" t="str">
        <x:v>Own history</x:v>
      </x:c>
      <x:c r="E948" s="7" t="n">
        <x:v>46022</x:v>
      </x:c>
      <x:c r="F948" s="2" t="str">
        <x:v>Origin</x:v>
      </x:c>
      <x:c r="G948" s="7" t="n">
        <x:v>45931</x:v>
      </x:c>
      <x:c r="H948" s="2" t="n">
        <x:v>16</x:v>
      </x:c>
      <x:c r="I948" s="8" t="n">
        <x:v>6</x:v>
      </x:c>
      <x:c r="J948" s="8" t="n">
        <x:v>0</x:v>
      </x:c>
      <x:c r="K948" s="8" t="n">
        <x:v>2</x:v>
      </x:c>
      <x:c r="L948" s="8" t="n">
        <x:v>132</x:v>
      </x:c>
      <x:c r="M948" s="8" t="n">
        <x:v>0</x:v>
      </x:c>
      <x:c r="N948" s="8" t="n">
        <x:v>0</x:v>
      </x:c>
      <x:c r="O948" s="8" t="n">
        <x:v>43</x:v>
      </x:c>
      <x:c r="P948" s="8" t="n">
        <x:v>0</x:v>
      </x:c>
      <x:c r="Q948" s="8" t="n">
        <x:v>-1</x:v>
      </x:c>
      <x:c r="R948" s="8" t="n">
        <x:v>0</x:v>
      </x:c>
      <x:c r="S948" s="8" t="n">
        <x:f>L948-I948^2/H948</x:f>
        <x:v>129.75</x:v>
      </x:c>
      <x:c r="T948" s="8" t="n">
        <x:f>M948-J948^2/H948</x:f>
        <x:v>0</x:v>
      </x:c>
      <x:c r="U948" s="8" t="n">
        <x:f>N948-I948*J948/H948</x:f>
        <x:v>0</x:v>
      </x:c>
      <x:c r="V948" s="8" t="n">
        <x:f>O948-I948*K948/H948</x:f>
        <x:v>42.25</x:v>
      </x:c>
      <x:c r="W948" s="8" t="n">
        <x:f>P948-J948*K948/H948</x:f>
        <x:v>0</x:v>
      </x:c>
      <x:c r="X948" s="8" t="n">
        <x:f>V948/S948</x:f>
        <x:v>0.325626204238921</x:v>
      </x:c>
      <x:c r="Y948" s="8" t="n">
        <x:f>0</x:f>
        <x:v>0</x:v>
      </x:c>
      <x:c r="Z948" s="8" t="n">
        <x:f>K948/H948-X948*I948/H948-Y948*J948/H948</x:f>
        <x:v>0.002890173410404623</x:v>
      </x:c>
      <x:c r="AA948" s="8" t="n">
        <x:f>Z948+X948*Q948+Y948*R948</x:f>
        <x:v>-0.32273603082851643</x:v>
      </x:c>
    </x:row>
    <x:row r="949" ht="26" customHeight="1">
      <x:c r="A949" s="2"/>
      <x:c r="B949" s="2" t="n">
        <x:v>944</x:v>
      </x:c>
      <x:c r="C949" s="2" t="str">
        <x:v>Grooming / organic_volume_growth</x:v>
      </x:c>
      <x:c r="D949" s="2" t="str">
        <x:v>Broad market</x:v>
      </x:c>
      <x:c r="E949" s="7" t="n">
        <x:v>46022</x:v>
      </x:c>
      <x:c r="F949" s="2" t="str">
        <x:v>Prior report</x:v>
      </x:c>
      <x:c r="G949" s="7" t="n">
        <x:v>45954</x:v>
      </x:c>
      <x:c r="H949" s="2" t="n">
        <x:v>18</x:v>
      </x:c>
      <x:c r="I949" s="8" t="n">
        <x:v>54.16421583875868</x:v>
      </x:c>
      <x:c r="J949" s="8" t="n">
        <x:v>0</x:v>
      </x:c>
      <x:c r="K949" s="8" t="n">
        <x:v>6</x:v>
      </x:c>
      <x:c r="L949" s="8" t="n">
        <x:v>409.1374966682539</x:v>
      </x:c>
      <x:c r="M949" s="8" t="n">
        <x:v>0</x:v>
      </x:c>
      <x:c r="N949" s="8" t="n">
        <x:v>0</x:v>
      </x:c>
      <x:c r="O949" s="8" t="n">
        <x:v>113.9283201827816</x:v>
      </x:c>
      <x:c r="P949" s="8" t="n">
        <x:v>0</x:v>
      </x:c>
      <x:c r="Q949" s="8" t="n">
        <x:v>3.299678659475047</x:v>
      </x:c>
      <x:c r="R949" s="8" t="n">
        <x:v>0</x:v>
      </x:c>
      <x:c r="S949" s="8" t="n">
        <x:f>L949-I949^2/H949</x:f>
        <x:v>246.15070347782967</x:v>
      </x:c>
      <x:c r="T949" s="8" t="n">
        <x:f>M949-J949^2/H949</x:f>
        <x:v>0</x:v>
      </x:c>
      <x:c r="U949" s="8" t="n">
        <x:f>N949-I949*J949/H949</x:f>
        <x:v>0</x:v>
      </x:c>
      <x:c r="V949" s="8" t="n">
        <x:f>O949-I949*K949/H949</x:f>
        <x:v>95.87358156986204</x:v>
      </x:c>
      <x:c r="W949" s="8" t="n">
        <x:f>P949-J949*K949/H949</x:f>
        <x:v>0</x:v>
      </x:c>
      <x:c r="X949" s="8" t="n">
        <x:f>V949/S949</x:f>
        <x:v>0.38949139781149233</x:v>
      </x:c>
      <x:c r="Y949" s="8" t="n">
        <x:f>0</x:f>
        <x:v>0</x:v>
      </x:c>
      <x:c r="Z949" s="8" t="n">
        <x:f>K949/H949-X949*I949/H949-Y949*J949/H949</x:f>
        <x:v>-0.8386942299111941</x:v>
      </x:c>
      <x:c r="AA949" s="8" t="n">
        <x:f>Z949+X949*Q949+Y949*R949</x:f>
        <x:v>0.44650222349649327</x:v>
      </x:c>
    </x:row>
    <x:row r="950" ht="26" customHeight="1">
      <x:c r="A950" s="2"/>
      <x:c r="B950" s="2" t="n">
        <x:v>945</x:v>
      </x:c>
      <x:c r="C950" s="2" t="str">
        <x:v>Grooming / organic_volume_growth</x:v>
      </x:c>
      <x:c r="D950" s="2" t="str">
        <x:v>Broad rolling 8</x:v>
      </x:c>
      <x:c r="E950" s="7" t="n">
        <x:v>46022</x:v>
      </x:c>
      <x:c r="F950" s="2" t="str">
        <x:v>Prior report</x:v>
      </x:c>
      <x:c r="G950" s="7" t="n">
        <x:v>45954</x:v>
      </x:c>
      <x:c r="H950" s="2" t="n">
        <x:v>8</x:v>
      </x:c>
      <x:c r="I950" s="8" t="n">
        <x:v>19.488596039783012</x:v>
      </x:c>
      <x:c r="J950" s="8" t="n">
        <x:v>0</x:v>
      </x:c>
      <x:c r="K950" s="8" t="n">
        <x:v>10</x:v>
      </x:c>
      <x:c r="L950" s="8" t="n">
        <x:v>52.76027068899587</x:v>
      </x:c>
      <x:c r="M950" s="8" t="n">
        <x:v>0</x:v>
      </x:c>
      <x:c r="N950" s="8" t="n">
        <x:v>0</x:v>
      </x:c>
      <x:c r="O950" s="8" t="n">
        <x:v>26.495391367581945</x:v>
      </x:c>
      <x:c r="P950" s="8" t="n">
        <x:v>0</x:v>
      </x:c>
      <x:c r="Q950" s="8" t="n">
        <x:v>3.299678659475047</x:v>
      </x:c>
      <x:c r="R950" s="8" t="n">
        <x:v>0</x:v>
      </x:c>
      <x:c r="S950" s="8" t="n">
        <x:f>L950-I950^2/H950</x:f>
        <x:v>5.284598738765105</x:v>
      </x:c>
      <x:c r="T950" s="8" t="n">
        <x:f>M950-J950^2/H950</x:f>
        <x:v>0</x:v>
      </x:c>
      <x:c r="U950" s="8" t="n">
        <x:f>N950-I950*J950/H950</x:f>
        <x:v>0</x:v>
      </x:c>
      <x:c r="V950" s="8" t="n">
        <x:f>O950-I950*K950/H950</x:f>
        <x:v>2.134646317853182</x:v>
      </x:c>
      <x:c r="W950" s="8" t="n">
        <x:f>P950-J950*K950/H950</x:f>
        <x:v>0</x:v>
      </x:c>
      <x:c r="X950" s="8" t="n">
        <x:f>V950/S950</x:f>
        <x:v>0.4039372568052352</x:v>
      </x:c>
      <x:c r="Y950" s="8" t="n">
        <x:f>0</x:f>
        <x:v>0</x:v>
      </x:c>
      <x:c r="Z950" s="8" t="n">
        <x:f>K950/H950-X950*I950/H950-Y950*J950/H950</x:f>
        <x:v>0.265978747088085</x:v>
      </x:c>
      <x:c r="AA950" s="8" t="n">
        <x:f>Z950+X950*Q950+Y950*R950</x:f>
        <x:v>1.5988418931352113</x:v>
      </x:c>
    </x:row>
    <x:row r="951" ht="26" customHeight="1">
      <x:c r="A951" s="2"/>
      <x:c r="B951" s="2" t="n">
        <x:v>946</x:v>
      </x:c>
      <x:c r="C951" s="2" t="str">
        <x:v>Grooming / organic_volume_growth</x:v>
      </x:c>
      <x:c r="D951" s="2" t="str">
        <x:v>Own history</x:v>
      </x:c>
      <x:c r="E951" s="7" t="n">
        <x:v>46022</x:v>
      </x:c>
      <x:c r="F951" s="2" t="str">
        <x:v>Prior report</x:v>
      </x:c>
      <x:c r="G951" s="7" t="n">
        <x:v>45954</x:v>
      </x:c>
      <x:c r="H951" s="2" t="n">
        <x:v>18</x:v>
      </x:c>
      <x:c r="I951" s="8" t="n">
        <x:v>6</x:v>
      </x:c>
      <x:c r="J951" s="8" t="n">
        <x:v>0</x:v>
      </x:c>
      <x:c r="K951" s="8" t="n">
        <x:v>7</x:v>
      </x:c>
      <x:c r="L951" s="8" t="n">
        <x:v>134</x:v>
      </x:c>
      <x:c r="M951" s="8" t="n">
        <x:v>0</x:v>
      </x:c>
      <x:c r="N951" s="8" t="n">
        <x:v>0</x:v>
      </x:c>
      <x:c r="O951" s="8" t="n">
        <x:v>29</x:v>
      </x:c>
      <x:c r="P951" s="8" t="n">
        <x:v>0</x:v>
      </x:c>
      <x:c r="Q951" s="8" t="n">
        <x:v>1</x:v>
      </x:c>
      <x:c r="R951" s="8" t="n">
        <x:v>0</x:v>
      </x:c>
      <x:c r="S951" s="8" t="n">
        <x:f>L951-I951^2/H951</x:f>
        <x:v>132</x:v>
      </x:c>
      <x:c r="T951" s="8" t="n">
        <x:f>M951-J951^2/H951</x:f>
        <x:v>0</x:v>
      </x:c>
      <x:c r="U951" s="8" t="n">
        <x:f>N951-I951*J951/H951</x:f>
        <x:v>0</x:v>
      </x:c>
      <x:c r="V951" s="8" t="n">
        <x:f>O951-I951*K951/H951</x:f>
        <x:v>26.666666666666668</x:v>
      </x:c>
      <x:c r="W951" s="8" t="n">
        <x:f>P951-J951*K951/H951</x:f>
        <x:v>0</x:v>
      </x:c>
      <x:c r="X951" s="8" t="n">
        <x:f>V951/S951</x:f>
        <x:v>0.20202020202020202</x:v>
      </x:c>
      <x:c r="Y951" s="8" t="n">
        <x:f>0</x:f>
        <x:v>0</x:v>
      </x:c>
      <x:c r="Z951" s="8" t="n">
        <x:f>K951/H951-X951*I951/H951-Y951*J951/H951</x:f>
        <x:v>0.3215488215488216</x:v>
      </x:c>
      <x:c r="AA951" s="8" t="n">
        <x:f>Z951+X951*Q951+Y951*R951</x:f>
        <x:v>0.5235690235690236</x:v>
      </x:c>
    </x:row>
    <x:row r="952" ht="26" customHeight="1">
      <x:c r="A952" s="2"/>
      <x:c r="B952" s="2" t="n">
        <x:v>947</x:v>
      </x:c>
      <x:c r="C952" s="2" t="str">
        <x:v>Grooming / organic_volume_growth</x:v>
      </x:c>
      <x:c r="D952" s="2" t="str">
        <x:v>Broad market</x:v>
      </x:c>
      <x:c r="E952" s="7" t="n">
        <x:v>46022</x:v>
      </x:c>
      <x:c r="F952" s="2" t="str">
        <x:v>Pre-earnings</x:v>
      </x:c>
      <x:c r="G952" s="7" t="n">
        <x:v>46044</x:v>
      </x:c>
      <x:c r="H952" s="2" t="n">
        <x:v>19</x:v>
      </x:c>
      <x:c r="I952" s="8" t="n">
        <x:v>57.16093893029881</x:v>
      </x:c>
      <x:c r="J952" s="8" t="n">
        <x:v>0</x:v>
      </x:c>
      <x:c r="K952" s="8" t="n">
        <x:v>7</x:v>
      </x:c>
      <x:c r="L952" s="8" t="n">
        <x:v>418.11784595562375</x:v>
      </x:c>
      <x:c r="M952" s="8" t="n">
        <x:v>0</x:v>
      </x:c>
      <x:c r="N952" s="8" t="n">
        <x:v>0</x:v>
      </x:c>
      <x:c r="O952" s="8" t="n">
        <x:v>116.92504327432174</x:v>
      </x:c>
      <x:c r="P952" s="8" t="n">
        <x:v>0</x:v>
      </x:c>
      <x:c r="Q952" s="8" t="n">
        <x:v>2.918795720892664</x:v>
      </x:c>
      <x:c r="R952" s="8" t="n">
        <x:v>0</x:v>
      </x:c>
      <x:c r="S952" s="8" t="n">
        <x:f>L952-I952^2/H952</x:f>
        <x:v>246.1508491454474</x:v>
      </x:c>
      <x:c r="T952" s="8" t="n">
        <x:f>M952-J952^2/H952</x:f>
        <x:v>0</x:v>
      </x:c>
      <x:c r="U952" s="8" t="n">
        <x:f>N952-I952*J952/H952</x:f>
        <x:v>0</x:v>
      </x:c>
      <x:c r="V952" s="8" t="n">
        <x:f>O952-I952*K952/H952</x:f>
        <x:v>95.86574998421165</x:v>
      </x:c>
      <x:c r="W952" s="8" t="n">
        <x:f>P952-J952*K952/H952</x:f>
        <x:v>0</x:v>
      </x:c>
      <x:c r="X952" s="8" t="n">
        <x:f>V952/S952</x:f>
        <x:v>0.389459351113454</x:v>
      </x:c>
      <x:c r="Y952" s="8" t="n">
        <x:f>0</x:f>
        <x:v>0</x:v>
      </x:c>
      <x:c r="Z952" s="8" t="n">
        <x:f>K952/H952-X952*I952/H952-Y952*J952/H952</x:f>
        <x:v>-0.8032559044647338</x:v>
      </x:c>
      <x:c r="AA952" s="8" t="n">
        <x:f>Z952+X952*Q952+Y952*R952</x:f>
        <x:v>0.33349638302684914</x:v>
      </x:c>
    </x:row>
    <x:row r="953" ht="26" customHeight="1">
      <x:c r="A953" s="2"/>
      <x:c r="B953" s="2" t="n">
        <x:v>948</x:v>
      </x:c>
      <x:c r="C953" s="2" t="str">
        <x:v>Grooming / organic_volume_growth</x:v>
      </x:c>
      <x:c r="D953" s="2" t="str">
        <x:v>Broad lag 1</x:v>
      </x:c>
      <x:c r="E953" s="7" t="n">
        <x:v>46022</x:v>
      </x:c>
      <x:c r="F953" s="2" t="str">
        <x:v>Pre-earnings</x:v>
      </x:c>
      <x:c r="G953" s="7" t="n">
        <x:v>46044</x:v>
      </x:c>
      <x:c r="H953" s="2" t="n">
        <x:v>18</x:v>
      </x:c>
      <x:c r="I953" s="8" t="n">
        <x:v>54.16421583875868</x:v>
      </x:c>
      <x:c r="J953" s="8" t="n">
        <x:v>0</x:v>
      </x:c>
      <x:c r="K953" s="8" t="n">
        <x:v>7</x:v>
      </x:c>
      <x:c r="L953" s="8" t="n">
        <x:v>409.1374966682539</x:v>
      </x:c>
      <x:c r="M953" s="8" t="n">
        <x:v>0</x:v>
      </x:c>
      <x:c r="N953" s="8" t="n">
        <x:v>0</x:v>
      </x:c>
      <x:c r="O953" s="8" t="n">
        <x:v>85.32794603550657</x:v>
      </x:c>
      <x:c r="P953" s="8" t="n">
        <x:v>0</x:v>
      </x:c>
      <x:c r="Q953" s="8" t="n">
        <x:v>2.996723091540132</x:v>
      </x:c>
      <x:c r="R953" s="8" t="n">
        <x:v>0</x:v>
      </x:c>
      <x:c r="S953" s="8" t="n">
        <x:f>L953-I953^2/H953</x:f>
        <x:v>246.15070347782967</x:v>
      </x:c>
      <x:c r="T953" s="8" t="n">
        <x:f>M953-J953^2/H953</x:f>
        <x:v>0</x:v>
      </x:c>
      <x:c r="U953" s="8" t="n">
        <x:f>N953-I953*J953/H953</x:f>
        <x:v>0</x:v>
      </x:c>
      <x:c r="V953" s="8" t="n">
        <x:f>O953-I953*K953/H953</x:f>
        <x:v>64.26408432043375</x:v>
      </x:c>
      <x:c r="W953" s="8" t="n">
        <x:f>P953-J953*K953/H953</x:f>
        <x:v>0</x:v>
      </x:c>
      <x:c r="X953" s="8" t="n">
        <x:f>V953/S953</x:f>
        <x:v>0.2610761757429708</x:v>
      </x:c>
      <x:c r="Y953" s="8" t="n">
        <x:f>0</x:f>
        <x:v>0</x:v>
      </x:c>
      <x:c r="Z953" s="8" t="n">
        <x:f>K953/H953-X953*I953/H953-Y953*J953/H953</x:f>
        <x:v>-0.39672146296110916</x:v>
      </x:c>
      <x:c r="AA953" s="8" t="n">
        <x:f>Z953+X953*Q953+Y953*R953</x:f>
        <x:v>0.38565154153884124</x:v>
      </x:c>
    </x:row>
    <x:row r="954" ht="26" customHeight="1">
      <x:c r="A954" s="2"/>
      <x:c r="B954" s="2" t="n">
        <x:v>949</x:v>
      </x:c>
      <x:c r="C954" s="2" t="str">
        <x:v>Grooming / organic_volume_growth</x:v>
      </x:c>
      <x:c r="D954" s="2" t="str">
        <x:v>Broad rolling 8</x:v>
      </x:c>
      <x:c r="E954" s="7" t="n">
        <x:v>46022</x:v>
      </x:c>
      <x:c r="F954" s="2" t="str">
        <x:v>Pre-earnings</x:v>
      </x:c>
      <x:c r="G954" s="7" t="n">
        <x:v>46044</x:v>
      </x:c>
      <x:c r="H954" s="2" t="n">
        <x:v>8</x:v>
      </x:c>
      <x:c r="I954" s="8" t="n">
        <x:v>21.296017808086944</x:v>
      </x:c>
      <x:c r="J954" s="8" t="n">
        <x:v>0</x:v>
      </x:c>
      <x:c r="K954" s="8" t="n">
        <x:v>13</x:v>
      </x:c>
      <x:c r="L954" s="8" t="n">
        <x:v>60.32618233891433</x:v>
      </x:c>
      <x:c r="M954" s="8" t="n">
        <x:v>0</x:v>
      </x:c>
      <x:c r="N954" s="8" t="n">
        <x:v>0</x:v>
      </x:c>
      <x:c r="O954" s="8" t="n">
        <x:v>31.87071710559448</x:v>
      </x:c>
      <x:c r="P954" s="8" t="n">
        <x:v>0</x:v>
      </x:c>
      <x:c r="Q954" s="8" t="n">
        <x:v>2.918795720892664</x:v>
      </x:c>
      <x:c r="R954" s="8" t="n">
        <x:v>0</x:v>
      </x:c>
      <x:c r="S954" s="8" t="n">
        <x:f>L954-I954^2/H954</x:f>
        <x:v>3.6361355286197963</x:v>
      </x:c>
      <x:c r="T954" s="8" t="n">
        <x:f>M954-J954^2/H954</x:f>
        <x:v>0</x:v>
      </x:c>
      <x:c r="U954" s="8" t="n">
        <x:f>N954-I954*J954/H954</x:f>
        <x:v>0</x:v>
      </x:c>
      <x:c r="V954" s="8" t="n">
        <x:f>O954-I954*K954/H954</x:f>
        <x:v>-2.735311832546806</x:v>
      </x:c>
      <x:c r="W954" s="8" t="n">
        <x:f>P954-J954*K954/H954</x:f>
        <x:v>0</x:v>
      </x:c>
      <x:c r="X954" s="8" t="n">
        <x:f>V954/S954</x:f>
        <x:v>-0.7522579428124548</x:v>
      </x:c>
      <x:c r="Y954" s="8" t="n">
        <x:f>0</x:f>
        <x:v>0</x:v>
      </x:c>
      <x:c r="Z954" s="8" t="n">
        <x:f>K954/H954-X954*I954/H954-Y954*J954/H954</x:f>
        <x:v>3.627512318301111</x:v>
      </x:c>
      <x:c r="AA954" s="8" t="n">
        <x:f>Z954+X954*Q954+Y954*R954</x:f>
        <x:v>1.4318250538125996</x:v>
      </x:c>
    </x:row>
    <x:row r="955" ht="26" customHeight="1">
      <x:c r="A955" s="2"/>
      <x:c r="B955" s="2" t="n">
        <x:v>950</x:v>
      </x:c>
      <x:c r="C955" s="2" t="str">
        <x:v>Grooming / organic_volume_growth</x:v>
      </x:c>
      <x:c r="D955" s="2" t="str">
        <x:v>Own history</x:v>
      </x:c>
      <x:c r="E955" s="7" t="n">
        <x:v>46022</x:v>
      </x:c>
      <x:c r="F955" s="2" t="str">
        <x:v>Pre-earnings</x:v>
      </x:c>
      <x:c r="G955" s="7" t="n">
        <x:v>46044</x:v>
      </x:c>
      <x:c r="H955" s="2" t="n">
        <x:v>18</x:v>
      </x:c>
      <x:c r="I955" s="8" t="n">
        <x:v>6</x:v>
      </x:c>
      <x:c r="J955" s="8" t="n">
        <x:v>0</x:v>
      </x:c>
      <x:c r="K955" s="8" t="n">
        <x:v>7</x:v>
      </x:c>
      <x:c r="L955" s="8" t="n">
        <x:v>134</x:v>
      </x:c>
      <x:c r="M955" s="8" t="n">
        <x:v>0</x:v>
      </x:c>
      <x:c r="N955" s="8" t="n">
        <x:v>0</x:v>
      </x:c>
      <x:c r="O955" s="8" t="n">
        <x:v>29</x:v>
      </x:c>
      <x:c r="P955" s="8" t="n">
        <x:v>0</x:v>
      </x:c>
      <x:c r="Q955" s="8" t="n">
        <x:v>1</x:v>
      </x:c>
      <x:c r="R955" s="8" t="n">
        <x:v>0</x:v>
      </x:c>
      <x:c r="S955" s="8" t="n">
        <x:f>L955-I955^2/H955</x:f>
        <x:v>132</x:v>
      </x:c>
      <x:c r="T955" s="8" t="n">
        <x:f>M955-J955^2/H955</x:f>
        <x:v>0</x:v>
      </x:c>
      <x:c r="U955" s="8" t="n">
        <x:f>N955-I955*J955/H955</x:f>
        <x:v>0</x:v>
      </x:c>
      <x:c r="V955" s="8" t="n">
        <x:f>O955-I955*K955/H955</x:f>
        <x:v>26.666666666666668</x:v>
      </x:c>
      <x:c r="W955" s="8" t="n">
        <x:f>P955-J955*K955/H955</x:f>
        <x:v>0</x:v>
      </x:c>
      <x:c r="X955" s="8" t="n">
        <x:f>V955/S955</x:f>
        <x:v>0.20202020202020202</x:v>
      </x:c>
      <x:c r="Y955" s="8" t="n">
        <x:f>0</x:f>
        <x:v>0</x:v>
      </x:c>
      <x:c r="Z955" s="8" t="n">
        <x:f>K955/H955-X955*I955/H955-Y955*J955/H955</x:f>
        <x:v>0.3215488215488216</x:v>
      </x:c>
      <x:c r="AA955" s="8" t="n">
        <x:f>Z955+X955*Q955+Y955*R955</x:f>
        <x:v>0.5235690235690236</x:v>
      </x:c>
    </x:row>
    <x:row r="956" ht="26" customHeight="1">
      <x:c r="A956" s="2"/>
      <x:c r="B956" s="2" t="n">
        <x:v>951</x:v>
      </x:c>
      <x:c r="C956" s="2" t="str">
        <x:v>Grooming / organic_volume_growth</x:v>
      </x:c>
      <x:c r="D956" s="2" t="str">
        <x:v>Broad market</x:v>
      </x:c>
      <x:c r="E956" s="7" t="n">
        <x:v>46112</x:v>
      </x:c>
      <x:c r="F956" s="2" t="str">
        <x:v>Origin</x:v>
      </x:c>
      <x:c r="G956" s="7" t="n">
        <x:v>46023</x:v>
      </x:c>
      <x:c r="H956" s="2" t="n">
        <x:v>19</x:v>
      </x:c>
      <x:c r="I956" s="8" t="n">
        <x:v>57.17838992209685</x:v>
      </x:c>
      <x:c r="J956" s="8" t="n">
        <x:v>0</x:v>
      </x:c>
      <x:c r="K956" s="8" t="n">
        <x:v>7</x:v>
      </x:c>
      <x:c r="L956" s="8" t="n">
        <x:v>418.22274207292145</x:v>
      </x:c>
      <x:c r="M956" s="8" t="n">
        <x:v>0</x:v>
      </x:c>
      <x:c r="N956" s="8" t="n">
        <x:v>0</x:v>
      </x:c>
      <x:c r="O956" s="8" t="n">
        <x:v>116.94249426611978</x:v>
      </x:c>
      <x:c r="P956" s="8" t="n">
        <x:v>0</x:v>
      </x:c>
      <x:c r="Q956" s="8" t="n">
        <x:v>3.0175188319920387</x:v>
      </x:c>
      <x:c r="R956" s="8" t="n">
        <x:v>0</x:v>
      </x:c>
      <x:c r="S956" s="8" t="n">
        <x:f>L956-I956^2/H956</x:f>
        <x:v>246.15072764748217</x:v>
      </x:c>
      <x:c r="T956" s="8" t="n">
        <x:f>M956-J956^2/H956</x:f>
        <x:v>0</x:v>
      </x:c>
      <x:c r="U956" s="8" t="n">
        <x:f>N956-I956*J956/H956</x:f>
        <x:v>0</x:v>
      </x:c>
      <x:c r="V956" s="8" t="n">
        <x:f>O956-I956*K956/H956</x:f>
        <x:v>95.876771663242</x:v>
      </x:c>
      <x:c r="W956" s="8" t="n">
        <x:f>P956-J956*K956/H956</x:f>
        <x:v>0</x:v>
      </x:c>
      <x:c r="X956" s="8" t="n">
        <x:f>V956/S956</x:f>
        <x:v>0.38950431948569825</x:v>
      </x:c>
      <x:c r="Y956" s="8" t="n">
        <x:f>0</x:f>
        <x:v>0</x:v>
      </x:c>
      <x:c r="Z956" s="8" t="n">
        <x:f>K956/H956-X956*I956/H956-Y956*J956/H956</x:f>
        <x:v>-0.8037489397839073</x:v>
      </x:c>
      <x:c r="AA956" s="8" t="n">
        <x:f>Z956+X956*Q956+Y956*R956</x:f>
        <x:v>0.3715876794064308</x:v>
      </x:c>
    </x:row>
    <x:row r="957" ht="26" customHeight="1">
      <x:c r="A957" s="2"/>
      <x:c r="B957" s="2" t="n">
        <x:v>952</x:v>
      </x:c>
      <x:c r="C957" s="2" t="str">
        <x:v>Grooming / organic_volume_growth</x:v>
      </x:c>
      <x:c r="D957" s="2" t="str">
        <x:v>Broad rolling 8</x:v>
      </x:c>
      <x:c r="E957" s="7" t="n">
        <x:v>46112</x:v>
      </x:c>
      <x:c r="F957" s="2" t="str">
        <x:v>Origin</x:v>
      </x:c>
      <x:c r="G957" s="7" t="n">
        <x:v>46023</x:v>
      </x:c>
      <x:c r="H957" s="2" t="n">
        <x:v>8</x:v>
      </x:c>
      <x:c r="I957" s="8" t="n">
        <x:v>21.313468799884983</x:v>
      </x:c>
      <x:c r="J957" s="8" t="n">
        <x:v>0</x:v>
      </x:c>
      <x:c r="K957" s="8" t="n">
        <x:v>13</x:v>
      </x:c>
      <x:c r="L957" s="8" t="n">
        <x:v>60.431078456212</x:v>
      </x:c>
      <x:c r="M957" s="8" t="n">
        <x:v>0</x:v>
      </x:c>
      <x:c r="N957" s="8" t="n">
        <x:v>0</x:v>
      </x:c>
      <x:c r="O957" s="8" t="n">
        <x:v>31.888168097392523</x:v>
      </x:c>
      <x:c r="P957" s="8" t="n">
        <x:v>0</x:v>
      </x:c>
      <x:c r="Q957" s="8" t="n">
        <x:v>3.0175188319920387</x:v>
      </x:c>
      <x:c r="R957" s="8" t="n">
        <x:v>0</x:v>
      </x:c>
      <x:c r="S957" s="8" t="n">
        <x:f>L957-I957^2/H957</x:f>
        <x:v>3.6480844207531717</x:v>
      </x:c>
      <x:c r="T957" s="8" t="n">
        <x:f>M957-J957^2/H957</x:f>
        <x:v>0</x:v>
      </x:c>
      <x:c r="U957" s="8" t="n">
        <x:f>N957-I957*J957/H957</x:f>
        <x:v>0</x:v>
      </x:c>
      <x:c r="V957" s="8" t="n">
        <x:f>O957-I957*K957/H957</x:f>
        <x:v>-2.7462187024205775</x:v>
      </x:c>
      <x:c r="W957" s="8" t="n">
        <x:f>P957-J957*K957/H957</x:f>
        <x:v>0</x:v>
      </x:c>
      <x:c r="X957" s="8" t="n">
        <x:f>V957/S957</x:f>
        <x:v>-0.7527837587304523</x:v>
      </x:c>
      <x:c r="Y957" s="8" t="n">
        <x:f>0</x:f>
        <x:v>0</x:v>
      </x:c>
      <x:c r="Z957" s="8" t="n">
        <x:f>K957/H957-X957*I957/H957-Y957*J957/H957</x:f>
        <x:v>3.630554144345205</x:v>
      </x:c>
      <x:c r="AA957" s="8" t="n">
        <x:f>Z957+X957*Q957+Y957*R957</x:f>
        <x:v>1.3590149759583139</x:v>
      </x:c>
    </x:row>
    <x:row r="958" ht="26" customHeight="1">
      <x:c r="A958" s="2"/>
      <x:c r="B958" s="2" t="n">
        <x:v>953</x:v>
      </x:c>
      <x:c r="C958" s="2" t="str">
        <x:v>Grooming / organic_volume_growth</x:v>
      </x:c>
      <x:c r="D958" s="2" t="str">
        <x:v>Own history</x:v>
      </x:c>
      <x:c r="E958" s="7" t="n">
        <x:v>46112</x:v>
      </x:c>
      <x:c r="F958" s="2" t="str">
        <x:v>Origin</x:v>
      </x:c>
      <x:c r="G958" s="7" t="n">
        <x:v>46023</x:v>
      </x:c>
      <x:c r="H958" s="2" t="n">
        <x:v>17</x:v>
      </x:c>
      <x:c r="I958" s="8" t="n">
        <x:v>7</x:v>
      </x:c>
      <x:c r="J958" s="8" t="n">
        <x:v>0</x:v>
      </x:c>
      <x:c r="K958" s="8" t="n">
        <x:v>3</x:v>
      </x:c>
      <x:c r="L958" s="8" t="n">
        <x:v>133</x:v>
      </x:c>
      <x:c r="M958" s="8" t="n">
        <x:v>0</x:v>
      </x:c>
      <x:c r="N958" s="8" t="n">
        <x:v>0</x:v>
      </x:c>
      <x:c r="O958" s="8" t="n">
        <x:v>44</x:v>
      </x:c>
      <x:c r="P958" s="8" t="n">
        <x:v>0</x:v>
      </x:c>
      <x:c r="Q958" s="8" t="n">
        <x:v>1</x:v>
      </x:c>
      <x:c r="R958" s="8" t="n">
        <x:v>0</x:v>
      </x:c>
      <x:c r="S958" s="8" t="n">
        <x:f>L958-I958^2/H958</x:f>
        <x:v>130.11764705882354</x:v>
      </x:c>
      <x:c r="T958" s="8" t="n">
        <x:f>M958-J958^2/H958</x:f>
        <x:v>0</x:v>
      </x:c>
      <x:c r="U958" s="8" t="n">
        <x:f>N958-I958*J958/H958</x:f>
        <x:v>0</x:v>
      </x:c>
      <x:c r="V958" s="8" t="n">
        <x:f>O958-I958*K958/H958</x:f>
        <x:v>42.76470588235294</x:v>
      </x:c>
      <x:c r="W958" s="8" t="n">
        <x:f>P958-J958*K958/H958</x:f>
        <x:v>0</x:v>
      </x:c>
      <x:c r="X958" s="8" t="n">
        <x:f>V958/S958</x:f>
        <x:v>0.32866184448462926</x:v>
      </x:c>
      <x:c r="Y958" s="8" t="n">
        <x:f>0</x:f>
        <x:v>0</x:v>
      </x:c>
      <x:c r="Z958" s="8" t="n">
        <x:f>K958/H958-X958*I958/H958-Y958*J958/H958</x:f>
        <x:v>0.04113924050632914</x:v>
      </x:c>
      <x:c r="AA958" s="8" t="n">
        <x:f>Z958+X958*Q958+Y958*R958</x:f>
        <x:v>0.36980108499095843</x:v>
      </x:c>
    </x:row>
    <x:row r="959" ht="26" customHeight="1">
      <x:c r="A959" s="2"/>
      <x:c r="B959" s="2" t="n">
        <x:v>954</x:v>
      </x:c>
      <x:c r="C959" s="2" t="str">
        <x:v>Grooming / organic_volume_growth</x:v>
      </x:c>
      <x:c r="D959" s="2" t="str">
        <x:v>Broad market</x:v>
      </x:c>
      <x:c r="E959" s="7" t="n">
        <x:v>46112</x:v>
      </x:c>
      <x:c r="F959" s="2" t="str">
        <x:v>Prior report</x:v>
      </x:c>
      <x:c r="G959" s="7" t="n">
        <x:v>46045</x:v>
      </x:c>
      <x:c r="H959" s="2" t="n">
        <x:v>19</x:v>
      </x:c>
      <x:c r="I959" s="8" t="n">
        <x:v>57.16093893029881</x:v>
      </x:c>
      <x:c r="J959" s="8" t="n">
        <x:v>0</x:v>
      </x:c>
      <x:c r="K959" s="8" t="n">
        <x:v>7</x:v>
      </x:c>
      <x:c r="L959" s="8" t="n">
        <x:v>418.11784595562375</x:v>
      </x:c>
      <x:c r="M959" s="8" t="n">
        <x:v>0</x:v>
      </x:c>
      <x:c r="N959" s="8" t="n">
        <x:v>0</x:v>
      </x:c>
      <x:c r="O959" s="8" t="n">
        <x:v>116.92504327432174</x:v>
      </x:c>
      <x:c r="P959" s="8" t="n">
        <x:v>0</x:v>
      </x:c>
      <x:c r="Q959" s="8" t="n">
        <x:v>2.7279121275772367</x:v>
      </x:c>
      <x:c r="R959" s="8" t="n">
        <x:v>0</x:v>
      </x:c>
      <x:c r="S959" s="8" t="n">
        <x:f>L959-I959^2/H959</x:f>
        <x:v>246.1508491454474</x:v>
      </x:c>
      <x:c r="T959" s="8" t="n">
        <x:f>M959-J959^2/H959</x:f>
        <x:v>0</x:v>
      </x:c>
      <x:c r="U959" s="8" t="n">
        <x:f>N959-I959*J959/H959</x:f>
        <x:v>0</x:v>
      </x:c>
      <x:c r="V959" s="8" t="n">
        <x:f>O959-I959*K959/H959</x:f>
        <x:v>95.86574998421165</x:v>
      </x:c>
      <x:c r="W959" s="8" t="n">
        <x:f>P959-J959*K959/H959</x:f>
        <x:v>0</x:v>
      </x:c>
      <x:c r="X959" s="8" t="n">
        <x:f>V959/S959</x:f>
        <x:v>0.389459351113454</x:v>
      </x:c>
      <x:c r="Y959" s="8" t="n">
        <x:f>0</x:f>
        <x:v>0</x:v>
      </x:c>
      <x:c r="Z959" s="8" t="n">
        <x:f>K959/H959-X959*I959/H959-Y959*J959/H959</x:f>
        <x:v>-0.8032559044647338</x:v>
      </x:c>
      <x:c r="AA959" s="8" t="n">
        <x:f>Z959+X959*Q959+Y959*R959</x:f>
        <x:v>0.25915498263601844</x:v>
      </x:c>
    </x:row>
    <x:row r="960" ht="26" customHeight="1">
      <x:c r="A960" s="2"/>
      <x:c r="B960" s="2" t="n">
        <x:v>955</x:v>
      </x:c>
      <x:c r="C960" s="2" t="str">
        <x:v>Grooming / organic_volume_growth</x:v>
      </x:c>
      <x:c r="D960" s="2" t="str">
        <x:v>Broad rolling 8</x:v>
      </x:c>
      <x:c r="E960" s="7" t="n">
        <x:v>46112</x:v>
      </x:c>
      <x:c r="F960" s="2" t="str">
        <x:v>Prior report</x:v>
      </x:c>
      <x:c r="G960" s="7" t="n">
        <x:v>46045</x:v>
      </x:c>
      <x:c r="H960" s="2" t="n">
        <x:v>8</x:v>
      </x:c>
      <x:c r="I960" s="8" t="n">
        <x:v>21.296017808086944</x:v>
      </x:c>
      <x:c r="J960" s="8" t="n">
        <x:v>0</x:v>
      </x:c>
      <x:c r="K960" s="8" t="n">
        <x:v>13</x:v>
      </x:c>
      <x:c r="L960" s="8" t="n">
        <x:v>60.32618233891433</x:v>
      </x:c>
      <x:c r="M960" s="8" t="n">
        <x:v>0</x:v>
      </x:c>
      <x:c r="N960" s="8" t="n">
        <x:v>0</x:v>
      </x:c>
      <x:c r="O960" s="8" t="n">
        <x:v>31.87071710559448</x:v>
      </x:c>
      <x:c r="P960" s="8" t="n">
        <x:v>0</x:v>
      </x:c>
      <x:c r="Q960" s="8" t="n">
        <x:v>2.7279121275772367</x:v>
      </x:c>
      <x:c r="R960" s="8" t="n">
        <x:v>0</x:v>
      </x:c>
      <x:c r="S960" s="8" t="n">
        <x:f>L960-I960^2/H960</x:f>
        <x:v>3.6361355286197963</x:v>
      </x:c>
      <x:c r="T960" s="8" t="n">
        <x:f>M960-J960^2/H960</x:f>
        <x:v>0</x:v>
      </x:c>
      <x:c r="U960" s="8" t="n">
        <x:f>N960-I960*J960/H960</x:f>
        <x:v>0</x:v>
      </x:c>
      <x:c r="V960" s="8" t="n">
        <x:f>O960-I960*K960/H960</x:f>
        <x:v>-2.735311832546806</x:v>
      </x:c>
      <x:c r="W960" s="8" t="n">
        <x:f>P960-J960*K960/H960</x:f>
        <x:v>0</x:v>
      </x:c>
      <x:c r="X960" s="8" t="n">
        <x:f>V960/S960</x:f>
        <x:v>-0.7522579428124548</x:v>
      </x:c>
      <x:c r="Y960" s="8" t="n">
        <x:f>0</x:f>
        <x:v>0</x:v>
      </x:c>
      <x:c r="Z960" s="8" t="n">
        <x:f>K960/H960-X960*I960/H960-Y960*J960/H960</x:f>
        <x:v>3.627512318301111</x:v>
      </x:c>
      <x:c r="AA960" s="8" t="n">
        <x:f>Z960+X960*Q960+Y960*R960</x:f>
        <x:v>1.575418753036712</x:v>
      </x:c>
    </x:row>
    <x:row r="961" ht="26" customHeight="1">
      <x:c r="A961" s="2"/>
      <x:c r="B961" s="2" t="n">
        <x:v>956</x:v>
      </x:c>
      <x:c r="C961" s="2" t="str">
        <x:v>Grooming / organic_volume_growth</x:v>
      </x:c>
      <x:c r="D961" s="2" t="str">
        <x:v>Own history</x:v>
      </x:c>
      <x:c r="E961" s="7" t="n">
        <x:v>46112</x:v>
      </x:c>
      <x:c r="F961" s="2" t="str">
        <x:v>Prior report</x:v>
      </x:c>
      <x:c r="G961" s="7" t="n">
        <x:v>46045</x:v>
      </x:c>
      <x:c r="H961" s="2" t="n">
        <x:v>19</x:v>
      </x:c>
      <x:c r="I961" s="8" t="n">
        <x:v>7</x:v>
      </x:c>
      <x:c r="J961" s="8" t="n">
        <x:v>0</x:v>
      </x:c>
      <x:c r="K961" s="8" t="n">
        <x:v>5</x:v>
      </x:c>
      <x:c r="L961" s="8" t="n">
        <x:v>135</x:v>
      </x:c>
      <x:c r="M961" s="8" t="n">
        <x:v>0</x:v>
      </x:c>
      <x:c r="N961" s="8" t="n">
        <x:v>0</x:v>
      </x:c>
      <x:c r="O961" s="8" t="n">
        <x:v>27</x:v>
      </x:c>
      <x:c r="P961" s="8" t="n">
        <x:v>0</x:v>
      </x:c>
      <x:c r="Q961" s="8" t="n">
        <x:v>-2</x:v>
      </x:c>
      <x:c r="R961" s="8" t="n">
        <x:v>0</x:v>
      </x:c>
      <x:c r="S961" s="8" t="n">
        <x:f>L961-I961^2/H961</x:f>
        <x:v>132.42105263157896</x:v>
      </x:c>
      <x:c r="T961" s="8" t="n">
        <x:f>M961-J961^2/H961</x:f>
        <x:v>0</x:v>
      </x:c>
      <x:c r="U961" s="8" t="n">
        <x:f>N961-I961*J961/H961</x:f>
        <x:v>0</x:v>
      </x:c>
      <x:c r="V961" s="8" t="n">
        <x:f>O961-I961*K961/H961</x:f>
        <x:v>25.157894736842106</x:v>
      </x:c>
      <x:c r="W961" s="8" t="n">
        <x:f>P961-J961*K961/H961</x:f>
        <x:v>0</x:v>
      </x:c>
      <x:c r="X961" s="8" t="n">
        <x:f>V961/S961</x:f>
        <x:v>0.18998410174880762</x:v>
      </x:c>
      <x:c r="Y961" s="8" t="n">
        <x:f>0</x:f>
        <x:v>0</x:v>
      </x:c>
      <x:c r="Z961" s="8" t="n">
        <x:f>K961/H961-X961*I961/H961-Y961*J961/H961</x:f>
        <x:v>0.1931637519872814</x:v>
      </x:c>
      <x:c r="AA961" s="8" t="n">
        <x:f>Z961+X961*Q961+Y961*R961</x:f>
        <x:v>-0.18680445151033384</x:v>
      </x:c>
    </x:row>
    <x:row r="962" ht="26" customHeight="1">
      <x:c r="A962" s="2"/>
      <x:c r="B962" s="2" t="n">
        <x:v>957</x:v>
      </x:c>
      <x:c r="C962" s="2" t="str">
        <x:v>Grooming / organic_volume_growth</x:v>
      </x:c>
      <x:c r="D962" s="2" t="str">
        <x:v>Broad market</x:v>
      </x:c>
      <x:c r="E962" s="7" t="n">
        <x:v>46112</x:v>
      </x:c>
      <x:c r="F962" s="2" t="str">
        <x:v>Pre-earnings</x:v>
      </x:c>
      <x:c r="G962" s="7" t="n">
        <x:v>46135</x:v>
      </x:c>
      <x:c r="H962" s="2" t="n">
        <x:v>20</x:v>
      </x:c>
      <x:c r="I962" s="8" t="n">
        <x:v>59.308749815358276</x:v>
      </x:c>
      <x:c r="J962" s="8" t="n">
        <x:v>0</x:v>
      </x:c>
      <x:c r="K962" s="8" t="n">
        <x:v>5</x:v>
      </x:c>
      <x:c r="L962" s="8" t="n">
        <x:v>422.73093755360367</x:v>
      </x:c>
      <x:c r="M962" s="8" t="n">
        <x:v>0</x:v>
      </x:c>
      <x:c r="N962" s="8" t="n">
        <x:v>0</x:v>
      </x:c>
      <x:c r="O962" s="8" t="n">
        <x:v>112.62942150420281</x:v>
      </x:c>
      <x:c r="P962" s="8" t="n">
        <x:v>0</x:v>
      </x:c>
      <x:c r="Q962" s="8" t="n">
        <x:v>1.2714440995043708</x:v>
      </x:c>
      <x:c r="R962" s="8" t="n">
        <x:v>0</x:v>
      </x:c>
      <x:c r="S962" s="8" t="n">
        <x:f>L962-I962^2/H962</x:f>
        <x:v>246.85454732056564</x:v>
      </x:c>
      <x:c r="T962" s="8" t="n">
        <x:f>M962-J962^2/H962</x:f>
        <x:v>0</x:v>
      </x:c>
      <x:c r="U962" s="8" t="n">
        <x:f>N962-I962*J962/H962</x:f>
        <x:v>0</x:v>
      </x:c>
      <x:c r="V962" s="8" t="n">
        <x:f>O962-I962*K962/H962</x:f>
        <x:v>97.80223405036324</x:v>
      </x:c>
      <x:c r="W962" s="8" t="n">
        <x:f>P962-J962*K962/H962</x:f>
        <x:v>0</x:v>
      </x:c>
      <x:c r="X962" s="8" t="n">
        <x:f>V962/S962</x:f>
        <x:v>0.3961937712387252</x:v>
      </x:c>
      <x:c r="Y962" s="8" t="n">
        <x:f>0</x:f>
        <x:v>0</x:v>
      </x:c>
      <x:c r="Z962" s="8" t="n">
        <x:f>K962/H962-X962*I962/H962-Y962*J962/H962</x:f>
        <x:v>-0.9248878628400421</x:v>
      </x:c>
      <x:c r="AA962" s="8" t="n">
        <x:f>Z962+X962*Q962+Y962*R962</x:f>
        <x:v>-0.4211496301381805</x:v>
      </x:c>
    </x:row>
    <x:row r="963" ht="26" customHeight="1">
      <x:c r="A963" s="2"/>
      <x:c r="B963" s="2" t="n">
        <x:v>958</x:v>
      </x:c>
      <x:c r="C963" s="2" t="str">
        <x:v>Grooming / organic_volume_growth</x:v>
      </x:c>
      <x:c r="D963" s="2" t="str">
        <x:v>Broad lag 1</x:v>
      </x:c>
      <x:c r="E963" s="7" t="n">
        <x:v>46112</x:v>
      </x:c>
      <x:c r="F963" s="2" t="str">
        <x:v>Pre-earnings</x:v>
      </x:c>
      <x:c r="G963" s="7" t="n">
        <x:v>46135</x:v>
      </x:c>
      <x:c r="H963" s="2" t="n">
        <x:v>19</x:v>
      </x:c>
      <x:c r="I963" s="8" t="n">
        <x:v>57.16093893029881</x:v>
      </x:c>
      <x:c r="J963" s="8" t="n">
        <x:v>0</x:v>
      </x:c>
      <x:c r="K963" s="8" t="n">
        <x:v>5</x:v>
      </x:c>
      <x:c r="L963" s="8" t="n">
        <x:v>418.11784595562375</x:v>
      </x:c>
      <x:c r="M963" s="8" t="n">
        <x:v>0</x:v>
      </x:c>
      <x:c r="N963" s="8" t="n">
        <x:v>0</x:v>
      </x:c>
      <x:c r="O963" s="8" t="n">
        <x:v>79.3344998524263</x:v>
      </x:c>
      <x:c r="P963" s="8" t="n">
        <x:v>0</x:v>
      </x:c>
      <x:c r="Q963" s="8" t="n">
        <x:v>2.1478108850594646</x:v>
      </x:c>
      <x:c r="R963" s="8" t="n">
        <x:v>0</x:v>
      </x:c>
      <x:c r="S963" s="8" t="n">
        <x:f>L963-I963^2/H963</x:f>
        <x:v>246.1508491454474</x:v>
      </x:c>
      <x:c r="T963" s="8" t="n">
        <x:f>M963-J963^2/H963</x:f>
        <x:v>0</x:v>
      </x:c>
      <x:c r="U963" s="8" t="n">
        <x:f>N963-I963*J963/H963</x:f>
        <x:v>0</x:v>
      </x:c>
      <x:c r="V963" s="8" t="n">
        <x:f>O963-I963*K963/H963</x:f>
        <x:v>64.29214750234767</x:v>
      </x:c>
      <x:c r="W963" s="8" t="n">
        <x:f>P963-J963*K963/H963</x:f>
        <x:v>0</x:v>
      </x:c>
      <x:c r="X963" s="8" t="n">
        <x:f>V963/S963</x:f>
        <x:v>0.2611900293074279</x:v>
      </x:c>
      <x:c r="Y963" s="8" t="n">
        <x:f>0</x:f>
        <x:v>0</x:v>
      </x:c>
      <x:c r="Z963" s="8" t="n">
        <x:f>K963/H963-X963*I963/H963-Y963*J963/H963</x:f>
        <x:v>-0.5226245954970969</x:v>
      </x:c>
      <x:c r="AA963" s="8" t="n">
        <x:f>Z963+X963*Q963+Y963*R963</x:f>
        <x:v>0.03836219251839723</x:v>
      </x:c>
    </x:row>
    <x:row r="964" ht="26" customHeight="1">
      <x:c r="A964" s="2"/>
      <x:c r="B964" s="2" t="n">
        <x:v>959</x:v>
      </x:c>
      <x:c r="C964" s="2" t="str">
        <x:v>Grooming / organic_volume_growth</x:v>
      </x:c>
      <x:c r="D964" s="2" t="str">
        <x:v>Broad rolling 8</x:v>
      </x:c>
      <x:c r="E964" s="7" t="n">
        <x:v>46112</x:v>
      </x:c>
      <x:c r="F964" s="2" t="str">
        <x:v>Pre-earnings</x:v>
      </x:c>
      <x:c r="G964" s="7" t="n">
        <x:v>46135</x:v>
      </x:c>
      <x:c r="H964" s="2" t="n">
        <x:v>8</x:v>
      </x:c>
      <x:c r="I964" s="8" t="n">
        <x:v>21.218309405312574</x:v>
      </x:c>
      <x:c r="J964" s="8" t="n">
        <x:v>0</x:v>
      </x:c>
      <x:c r="K964" s="8" t="n">
        <x:v>10</x:v>
      </x:c>
      <x:c r="L964" s="8" t="n">
        <x:v>59.98633783637384</x:v>
      </x:c>
      <x:c r="M964" s="8" t="n">
        <x:v>0</x:v>
      </x:c>
      <x:c r="N964" s="8" t="n">
        <x:v>0</x:v>
      </x:c>
      <x:c r="O964" s="8" t="n">
        <x:v>25.34957604764172</x:v>
      </x:c>
      <x:c r="P964" s="8" t="n">
        <x:v>0</x:v>
      </x:c>
      <x:c r="Q964" s="8" t="n">
        <x:v>1.2714440995043708</x:v>
      </x:c>
      <x:c r="R964" s="8" t="n">
        <x:v>0</x:v>
      </x:c>
      <x:c r="S964" s="8" t="n">
        <x:f>L964-I964^2/H964</x:f>
        <x:v>3.7092560839268387</x:v>
      </x:c>
      <x:c r="T964" s="8" t="n">
        <x:f>M964-J964^2/H964</x:f>
        <x:v>0</x:v>
      </x:c>
      <x:c r="U964" s="8" t="n">
        <x:f>N964-I964*J964/H964</x:f>
        <x:v>0</x:v>
      </x:c>
      <x:c r="V964" s="8" t="n">
        <x:f>O964-I964*K964/H964</x:f>
        <x:v>-1.1733107089989971</x:v>
      </x:c>
      <x:c r="W964" s="8" t="n">
        <x:f>P964-J964*K964/H964</x:f>
        <x:v>0</x:v>
      </x:c>
      <x:c r="X964" s="8" t="n">
        <x:f>V964/S964</x:f>
        <x:v>-0.3163196830985206</x:v>
      </x:c>
      <x:c r="Y964" s="8" t="n">
        <x:f>0</x:f>
        <x:v>0</x:v>
      </x:c>
      <x:c r="Z964" s="8" t="n">
        <x:f>K964/H964-X964*I964/H964-Y964*J964/H964</x:f>
        <x:v>2.088971113371854</x:v>
      </x:c>
      <x:c r="AA964" s="8" t="n">
        <x:f>Z964+X964*Q964+Y964*R964</x:f>
        <x:v>1.6867883187391475</x:v>
      </x:c>
    </x:row>
    <x:row r="965" ht="26" customHeight="1">
      <x:c r="A965" s="2"/>
      <x:c r="B965" s="2" t="n">
        <x:v>960</x:v>
      </x:c>
      <x:c r="C965" s="2" t="str">
        <x:v>Grooming / organic_volume_growth</x:v>
      </x:c>
      <x:c r="D965" s="2" t="str">
        <x:v>Own history</x:v>
      </x:c>
      <x:c r="E965" s="7" t="n">
        <x:v>46112</x:v>
      </x:c>
      <x:c r="F965" s="2" t="str">
        <x:v>Pre-earnings</x:v>
      </x:c>
      <x:c r="G965" s="7" t="n">
        <x:v>46135</x:v>
      </x:c>
      <x:c r="H965" s="2" t="n">
        <x:v>19</x:v>
      </x:c>
      <x:c r="I965" s="8" t="n">
        <x:v>7</x:v>
      </x:c>
      <x:c r="J965" s="8" t="n">
        <x:v>0</x:v>
      </x:c>
      <x:c r="K965" s="8" t="n">
        <x:v>5</x:v>
      </x:c>
      <x:c r="L965" s="8" t="n">
        <x:v>135</x:v>
      </x:c>
      <x:c r="M965" s="8" t="n">
        <x:v>0</x:v>
      </x:c>
      <x:c r="N965" s="8" t="n">
        <x:v>0</x:v>
      </x:c>
      <x:c r="O965" s="8" t="n">
        <x:v>27</x:v>
      </x:c>
      <x:c r="P965" s="8" t="n">
        <x:v>0</x:v>
      </x:c>
      <x:c r="Q965" s="8" t="n">
        <x:v>-2</x:v>
      </x:c>
      <x:c r="R965" s="8" t="n">
        <x:v>0</x:v>
      </x:c>
      <x:c r="S965" s="8" t="n">
        <x:f>L965-I965^2/H965</x:f>
        <x:v>132.42105263157896</x:v>
      </x:c>
      <x:c r="T965" s="8" t="n">
        <x:f>M965-J965^2/H965</x:f>
        <x:v>0</x:v>
      </x:c>
      <x:c r="U965" s="8" t="n">
        <x:f>N965-I965*J965/H965</x:f>
        <x:v>0</x:v>
      </x:c>
      <x:c r="V965" s="8" t="n">
        <x:f>O965-I965*K965/H965</x:f>
        <x:v>25.157894736842106</x:v>
      </x:c>
      <x:c r="W965" s="8" t="n">
        <x:f>P965-J965*K965/H965</x:f>
        <x:v>0</x:v>
      </x:c>
      <x:c r="X965" s="8" t="n">
        <x:f>V965/S965</x:f>
        <x:v>0.18998410174880762</x:v>
      </x:c>
      <x:c r="Y965" s="8" t="n">
        <x:f>0</x:f>
        <x:v>0</x:v>
      </x:c>
      <x:c r="Z965" s="8" t="n">
        <x:f>K965/H965-X965*I965/H965-Y965*J965/H965</x:f>
        <x:v>0.1931637519872814</x:v>
      </x:c>
      <x:c r="AA965" s="8" t="n">
        <x:f>Z965+X965*Q965+Y965*R965</x:f>
        <x:v>-0.18680445151033384</x:v>
      </x:c>
    </x:row>
    <x:row r="966" ht="26" customHeight="1">
      <x:c r="A966" s="2"/>
      <x:c r="B966" s="2" t="n">
        <x:v>961</x:v>
      </x:c>
      <x:c r="C966" s="2" t="str">
        <x:v>Health Care / organic_volume_growth</x:v>
      </x:c>
      <x:c r="D966" s="2" t="str">
        <x:v>Broad market</x:v>
      </x:c>
      <x:c r="E966" s="7" t="n">
        <x:v>45107</x:v>
      </x:c>
      <x:c r="F966" s="2" t="str">
        <x:v>Origin</x:v>
      </x:c>
      <x:c r="G966" s="7" t="n">
        <x:v>45017</x:v>
      </x:c>
      <x:c r="H966" s="2" t="n">
        <x:v>8</x:v>
      </x:c>
      <x:c r="I966" s="8" t="n">
        <x:v>33.595293052267536</x:v>
      </x:c>
      <x:c r="J966" s="8" t="n">
        <x:v>0</x:v>
      </x:c>
      <x:c r="K966" s="8" t="n">
        <x:v>25</x:v>
      </x:c>
      <x:c r="L966" s="8" t="n">
        <x:v>371.0200922353941</x:v>
      </x:c>
      <x:c r="M966" s="8" t="n">
        <x:v>0</x:v>
      </x:c>
      <x:c r="N966" s="8" t="n">
        <x:v>0</x:v>
      </x:c>
      <x:c r="O966" s="8" t="n">
        <x:v>263.80623933478694</x:v>
      </x:c>
      <x:c r="P966" s="8" t="n">
        <x:v>0</x:v>
      </x:c>
      <x:c r="Q966" s="8" t="n">
        <x:v>-0.2875938616046847</x:v>
      </x:c>
      <x:c r="R966" s="8" t="n">
        <x:v>0</x:v>
      </x:c>
      <x:c r="S966" s="8" t="n">
        <x:f>L966-I966^2/H966</x:f>
        <x:v>229.93962782692716</x:v>
      </x:c>
      <x:c r="T966" s="8" t="n">
        <x:f>M966-J966^2/H966</x:f>
        <x:v>0</x:v>
      </x:c>
      <x:c r="U966" s="8" t="n">
        <x:f>N966-I966*J966/H966</x:f>
        <x:v>0</x:v>
      </x:c>
      <x:c r="V966" s="8" t="n">
        <x:f>O966-I966*K966/H966</x:f>
        <x:v>158.8209485464509</x:v>
      </x:c>
      <x:c r="W966" s="8" t="n">
        <x:f>P966-J966*K966/H966</x:f>
        <x:v>0</x:v>
      </x:c>
      <x:c r="X966" s="8" t="n">
        <x:f>V966/S966</x:f>
        <x:v>0.6907071653868795</x:v>
      </x:c>
      <x:c r="Y966" s="8" t="n">
        <x:f>0</x:f>
        <x:v>0</x:v>
      </x:c>
      <x:c r="Z966" s="8" t="n">
        <x:f>K966/H966-X966*I966/H966-Y966*J966/H966</x:f>
        <x:v>0.22443629569084544</x:v>
      </x:c>
      <x:c r="AA966" s="8" t="n">
        <x:f>Z966+X966*Q966+Y966*R966</x:f>
        <x:v>0.025793154759207154</x:v>
      </x:c>
    </x:row>
    <x:row r="967" ht="26" customHeight="1">
      <x:c r="A967" s="2"/>
      <x:c r="B967" s="2" t="n">
        <x:v>962</x:v>
      </x:c>
      <x:c r="C967" s="2" t="str">
        <x:v>Health Care / organic_volume_growth</x:v>
      </x:c>
      <x:c r="D967" s="2" t="str">
        <x:v>Broad rolling 8</x:v>
      </x:c>
      <x:c r="E967" s="7" t="n">
        <x:v>45107</x:v>
      </x:c>
      <x:c r="F967" s="2" t="str">
        <x:v>Origin</x:v>
      </x:c>
      <x:c r="G967" s="7" t="n">
        <x:v>45017</x:v>
      </x:c>
      <x:c r="H967" s="2" t="n">
        <x:v>8</x:v>
      </x:c>
      <x:c r="I967" s="8" t="n">
        <x:v>33.595293052267536</x:v>
      </x:c>
      <x:c r="J967" s="8" t="n">
        <x:v>0</x:v>
      </x:c>
      <x:c r="K967" s="8" t="n">
        <x:v>25</x:v>
      </x:c>
      <x:c r="L967" s="8" t="n">
        <x:v>371.0200922353941</x:v>
      </x:c>
      <x:c r="M967" s="8" t="n">
        <x:v>0</x:v>
      </x:c>
      <x:c r="N967" s="8" t="n">
        <x:v>0</x:v>
      </x:c>
      <x:c r="O967" s="8" t="n">
        <x:v>263.80623933478694</x:v>
      </x:c>
      <x:c r="P967" s="8" t="n">
        <x:v>0</x:v>
      </x:c>
      <x:c r="Q967" s="8" t="n">
        <x:v>-0.2875938616046847</x:v>
      </x:c>
      <x:c r="R967" s="8" t="n">
        <x:v>0</x:v>
      </x:c>
      <x:c r="S967" s="8" t="n">
        <x:f>L967-I967^2/H967</x:f>
        <x:v>229.93962782692716</x:v>
      </x:c>
      <x:c r="T967" s="8" t="n">
        <x:f>M967-J967^2/H967</x:f>
        <x:v>0</x:v>
      </x:c>
      <x:c r="U967" s="8" t="n">
        <x:f>N967-I967*J967/H967</x:f>
        <x:v>0</x:v>
      </x:c>
      <x:c r="V967" s="8" t="n">
        <x:f>O967-I967*K967/H967</x:f>
        <x:v>158.8209485464509</x:v>
      </x:c>
      <x:c r="W967" s="8" t="n">
        <x:f>P967-J967*K967/H967</x:f>
        <x:v>0</x:v>
      </x:c>
      <x:c r="X967" s="8" t="n">
        <x:f>V967/S967</x:f>
        <x:v>0.6907071653868795</x:v>
      </x:c>
      <x:c r="Y967" s="8" t="n">
        <x:f>0</x:f>
        <x:v>0</x:v>
      </x:c>
      <x:c r="Z967" s="8" t="n">
        <x:f>K967/H967-X967*I967/H967-Y967*J967/H967</x:f>
        <x:v>0.22443629569084544</x:v>
      </x:c>
      <x:c r="AA967" s="8" t="n">
        <x:f>Z967+X967*Q967+Y967*R967</x:f>
        <x:v>0.025793154759207154</x:v>
      </x:c>
    </x:row>
    <x:row r="968" ht="26" customHeight="1">
      <x:c r="A968" s="2"/>
      <x:c r="B968" s="2" t="n">
        <x:v>963</x:v>
      </x:c>
      <x:c r="C968" s="2" t="str">
        <x:v>Health Care / organic_volume_growth</x:v>
      </x:c>
      <x:c r="D968" s="2" t="str">
        <x:v>Broad market</x:v>
      </x:c>
      <x:c r="E968" s="7" t="n">
        <x:v>45107</x:v>
      </x:c>
      <x:c r="F968" s="2" t="str">
        <x:v>Prior report</x:v>
      </x:c>
      <x:c r="G968" s="7" t="n">
        <x:v>45037</x:v>
      </x:c>
      <x:c r="H968" s="2" t="n">
        <x:v>8</x:v>
      </x:c>
      <x:c r="I968" s="8" t="n">
        <x:v>33.595293052267536</x:v>
      </x:c>
      <x:c r="J968" s="8" t="n">
        <x:v>0</x:v>
      </x:c>
      <x:c r="K968" s="8" t="n">
        <x:v>25</x:v>
      </x:c>
      <x:c r="L968" s="8" t="n">
        <x:v>371.0200922353941</x:v>
      </x:c>
      <x:c r="M968" s="8" t="n">
        <x:v>0</x:v>
      </x:c>
      <x:c r="N968" s="8" t="n">
        <x:v>0</x:v>
      </x:c>
      <x:c r="O968" s="8" t="n">
        <x:v>263.80623933478694</x:v>
      </x:c>
      <x:c r="P968" s="8" t="n">
        <x:v>0</x:v>
      </x:c>
      <x:c r="Q968" s="8" t="n">
        <x:v>-0.2875938616046847</x:v>
      </x:c>
      <x:c r="R968" s="8" t="n">
        <x:v>0</x:v>
      </x:c>
      <x:c r="S968" s="8" t="n">
        <x:f>L968-I968^2/H968</x:f>
        <x:v>229.93962782692716</x:v>
      </x:c>
      <x:c r="T968" s="8" t="n">
        <x:f>M968-J968^2/H968</x:f>
        <x:v>0</x:v>
      </x:c>
      <x:c r="U968" s="8" t="n">
        <x:f>N968-I968*J968/H968</x:f>
        <x:v>0</x:v>
      </x:c>
      <x:c r="V968" s="8" t="n">
        <x:f>O968-I968*K968/H968</x:f>
        <x:v>158.8209485464509</x:v>
      </x:c>
      <x:c r="W968" s="8" t="n">
        <x:f>P968-J968*K968/H968</x:f>
        <x:v>0</x:v>
      </x:c>
      <x:c r="X968" s="8" t="n">
        <x:f>V968/S968</x:f>
        <x:v>0.6907071653868795</x:v>
      </x:c>
      <x:c r="Y968" s="8" t="n">
        <x:f>0</x:f>
        <x:v>0</x:v>
      </x:c>
      <x:c r="Z968" s="8" t="n">
        <x:f>K968/H968-X968*I968/H968-Y968*J968/H968</x:f>
        <x:v>0.22443629569084544</x:v>
      </x:c>
      <x:c r="AA968" s="8" t="n">
        <x:f>Z968+X968*Q968+Y968*R968</x:f>
        <x:v>0.025793154759207154</x:v>
      </x:c>
    </x:row>
    <x:row r="969" ht="26" customHeight="1">
      <x:c r="A969" s="2"/>
      <x:c r="B969" s="2" t="n">
        <x:v>964</x:v>
      </x:c>
      <x:c r="C969" s="2" t="str">
        <x:v>Health Care / organic_volume_growth</x:v>
      </x:c>
      <x:c r="D969" s="2" t="str">
        <x:v>Broad rolling 8</x:v>
      </x:c>
      <x:c r="E969" s="7" t="n">
        <x:v>45107</x:v>
      </x:c>
      <x:c r="F969" s="2" t="str">
        <x:v>Prior report</x:v>
      </x:c>
      <x:c r="G969" s="7" t="n">
        <x:v>45037</x:v>
      </x:c>
      <x:c r="H969" s="2" t="n">
        <x:v>8</x:v>
      </x:c>
      <x:c r="I969" s="8" t="n">
        <x:v>33.595293052267536</x:v>
      </x:c>
      <x:c r="J969" s="8" t="n">
        <x:v>0</x:v>
      </x:c>
      <x:c r="K969" s="8" t="n">
        <x:v>25</x:v>
      </x:c>
      <x:c r="L969" s="8" t="n">
        <x:v>371.0200922353941</x:v>
      </x:c>
      <x:c r="M969" s="8" t="n">
        <x:v>0</x:v>
      </x:c>
      <x:c r="N969" s="8" t="n">
        <x:v>0</x:v>
      </x:c>
      <x:c r="O969" s="8" t="n">
        <x:v>263.80623933478694</x:v>
      </x:c>
      <x:c r="P969" s="8" t="n">
        <x:v>0</x:v>
      </x:c>
      <x:c r="Q969" s="8" t="n">
        <x:v>-0.2875938616046847</x:v>
      </x:c>
      <x:c r="R969" s="8" t="n">
        <x:v>0</x:v>
      </x:c>
      <x:c r="S969" s="8" t="n">
        <x:f>L969-I969^2/H969</x:f>
        <x:v>229.93962782692716</x:v>
      </x:c>
      <x:c r="T969" s="8" t="n">
        <x:f>M969-J969^2/H969</x:f>
        <x:v>0</x:v>
      </x:c>
      <x:c r="U969" s="8" t="n">
        <x:f>N969-I969*J969/H969</x:f>
        <x:v>0</x:v>
      </x:c>
      <x:c r="V969" s="8" t="n">
        <x:f>O969-I969*K969/H969</x:f>
        <x:v>158.8209485464509</x:v>
      </x:c>
      <x:c r="W969" s="8" t="n">
        <x:f>P969-J969*K969/H969</x:f>
        <x:v>0</x:v>
      </x:c>
      <x:c r="X969" s="8" t="n">
        <x:f>V969/S969</x:f>
        <x:v>0.6907071653868795</x:v>
      </x:c>
      <x:c r="Y969" s="8" t="n">
        <x:f>0</x:f>
        <x:v>0</x:v>
      </x:c>
      <x:c r="Z969" s="8" t="n">
        <x:f>K969/H969-X969*I969/H969-Y969*J969/H969</x:f>
        <x:v>0.22443629569084544</x:v>
      </x:c>
      <x:c r="AA969" s="8" t="n">
        <x:f>Z969+X969*Q969+Y969*R969</x:f>
        <x:v>0.025793154759207154</x:v>
      </x:c>
    </x:row>
    <x:row r="970" ht="26" customHeight="1">
      <x:c r="A970" s="2"/>
      <x:c r="B970" s="2" t="n">
        <x:v>965</x:v>
      </x:c>
      <x:c r="C970" s="2" t="str">
        <x:v>Health Care / organic_volume_growth</x:v>
      </x:c>
      <x:c r="D970" s="2" t="str">
        <x:v>Own history</x:v>
      </x:c>
      <x:c r="E970" s="7" t="n">
        <x:v>45107</x:v>
      </x:c>
      <x:c r="F970" s="2" t="str">
        <x:v>Prior report</x:v>
      </x:c>
      <x:c r="G970" s="7" t="n">
        <x:v>45037</x:v>
      </x:c>
      <x:c r="H970" s="2" t="n">
        <x:v>8</x:v>
      </x:c>
      <x:c r="I970" s="8" t="n">
        <x:v>25</x:v>
      </x:c>
      <x:c r="J970" s="8" t="n">
        <x:v>0</x:v>
      </x:c>
      <x:c r="K970" s="8" t="n">
        <x:v>26</x:v>
      </x:c>
      <x:c r="L970" s="8" t="n">
        <x:v>263</x:v>
      </x:c>
      <x:c r="M970" s="8" t="n">
        <x:v>0</x:v>
      </x:c>
      <x:c r="N970" s="8" t="n">
        <x:v>0</x:v>
      </x:c>
      <x:c r="O970" s="8" t="n">
        <x:v>84</x:v>
      </x:c>
      <x:c r="P970" s="8" t="n">
        <x:v>0</x:v>
      </x:c>
      <x:c r="Q970" s="8" t="n">
        <x:v>1</x:v>
      </x:c>
      <x:c r="R970" s="8" t="n">
        <x:v>0</x:v>
      </x:c>
      <x:c r="S970" s="8" t="n">
        <x:f>L970-I970^2/H970</x:f>
        <x:v>184.875</x:v>
      </x:c>
      <x:c r="T970" s="8" t="n">
        <x:f>M970-J970^2/H970</x:f>
        <x:v>0</x:v>
      </x:c>
      <x:c r="U970" s="8" t="n">
        <x:f>N970-I970*J970/H970</x:f>
        <x:v>0</x:v>
      </x:c>
      <x:c r="V970" s="8" t="n">
        <x:f>O970-I970*K970/H970</x:f>
        <x:v>2.75</x:v>
      </x:c>
      <x:c r="W970" s="8" t="n">
        <x:f>P970-J970*K970/H970</x:f>
        <x:v>0</x:v>
      </x:c>
      <x:c r="X970" s="8" t="n">
        <x:f>V970/S970</x:f>
        <x:v>0.014874915483434753</x:v>
      </x:c>
      <x:c r="Y970" s="8" t="n">
        <x:f>0</x:f>
        <x:v>0</x:v>
      </x:c>
      <x:c r="Z970" s="8" t="n">
        <x:f>K970/H970-X970*I970/H970-Y970*J970/H970</x:f>
        <x:v>3.2035158891142665</x:v>
      </x:c>
      <x:c r="AA970" s="8" t="n">
        <x:f>Z970+X970*Q970+Y970*R970</x:f>
        <x:v>3.218390804597701</x:v>
      </x:c>
    </x:row>
    <x:row r="971" ht="26" customHeight="1">
      <x:c r="A971" s="2"/>
      <x:c r="B971" s="2" t="n">
        <x:v>966</x:v>
      </x:c>
      <x:c r="C971" s="2" t="str">
        <x:v>Health Care / organic_volume_growth</x:v>
      </x:c>
      <x:c r="D971" s="2" t="str">
        <x:v>Broad market</x:v>
      </x:c>
      <x:c r="E971" s="7" t="n">
        <x:v>45107</x:v>
      </x:c>
      <x:c r="F971" s="2" t="str">
        <x:v>Pre-earnings</x:v>
      </x:c>
      <x:c r="G971" s="7" t="n">
        <x:v>45134</x:v>
      </x:c>
      <x:c r="H971" s="2" t="n">
        <x:v>9</x:v>
      </x:c>
      <x:c r="I971" s="8" t="n">
        <x:v>33.22338231084547</x:v>
      </x:c>
      <x:c r="J971" s="8" t="n">
        <x:v>0</x:v>
      </x:c>
      <x:c r="K971" s="8" t="n">
        <x:v>26</x:v>
      </x:c>
      <x:c r="L971" s="8" t="n">
        <x:v>371.1584098349792</x:v>
      </x:c>
      <x:c r="M971" s="8" t="n">
        <x:v>0</x:v>
      </x:c>
      <x:c r="N971" s="8" t="n">
        <x:v>0</x:v>
      </x:c>
      <x:c r="O971" s="8" t="n">
        <x:v>263.43432859336485</x:v>
      </x:c>
      <x:c r="P971" s="8" t="n">
        <x:v>0</x:v>
      </x:c>
      <x:c r="Q971" s="8" t="n">
        <x:v>0.3338622398349367</x:v>
      </x:c>
      <x:c r="R971" s="8" t="n">
        <x:v>0</x:v>
      </x:c>
      <x:c r="S971" s="8" t="n">
        <x:f>L971-I971^2/H971</x:f>
        <x:v>248.5147284824681</x:v>
      </x:c>
      <x:c r="T971" s="8" t="n">
        <x:f>M971-J971^2/H971</x:f>
        <x:v>0</x:v>
      </x:c>
      <x:c r="U971" s="8" t="n">
        <x:f>N971-I971*J971/H971</x:f>
        <x:v>0</x:v>
      </x:c>
      <x:c r="V971" s="8" t="n">
        <x:f>O971-I971*K971/H971</x:f>
        <x:v>167.4556685842557</x:v>
      </x:c>
      <x:c r="W971" s="8" t="n">
        <x:f>P971-J971*K971/H971</x:f>
        <x:v>0</x:v>
      </x:c>
      <x:c r="X971" s="8" t="n">
        <x:f>V971/S971</x:f>
        <x:v>0.6738259321964861</x:v>
      </x:c>
      <x:c r="Y971" s="8" t="n">
        <x:f>0</x:f>
        <x:v>0</x:v>
      </x:c>
      <x:c r="Z971" s="8" t="n">
        <x:f>K971/H971-X971*I971/H971-Y971*J971/H971</x:f>
        <x:v>0.4014692715193666</x:v>
      </x:c>
      <x:c r="AA971" s="8" t="n">
        <x:f>Z971+X971*Q971+Y971*R971</x:f>
        <x:v>0.6264343065013497</x:v>
      </x:c>
    </x:row>
    <x:row r="972" ht="26" customHeight="1">
      <x:c r="A972" s="2"/>
      <x:c r="B972" s="2" t="n">
        <x:v>967</x:v>
      </x:c>
      <x:c r="C972" s="2" t="str">
        <x:v>Health Care / organic_volume_growth</x:v>
      </x:c>
      <x:c r="D972" s="2" t="str">
        <x:v>Broad lag 1</x:v>
      </x:c>
      <x:c r="E972" s="7" t="n">
        <x:v>45107</x:v>
      </x:c>
      <x:c r="F972" s="2" t="str">
        <x:v>Pre-earnings</x:v>
      </x:c>
      <x:c r="G972" s="7" t="n">
        <x:v>45134</x:v>
      </x:c>
      <x:c r="H972" s="2" t="n">
        <x:v>8</x:v>
      </x:c>
      <x:c r="I972" s="8" t="n">
        <x:v>33.595293052267536</x:v>
      </x:c>
      <x:c r="J972" s="8" t="n">
        <x:v>0</x:v>
      </x:c>
      <x:c r="K972" s="8" t="n">
        <x:v>26</x:v>
      </x:c>
      <x:c r="L972" s="8" t="n">
        <x:v>371.0200922353941</x:v>
      </x:c>
      <x:c r="M972" s="8" t="n">
        <x:v>0</x:v>
      </x:c>
      <x:c r="N972" s="8" t="n">
        <x:v>0</x:v>
      </x:c>
      <x:c r="O972" s="8" t="n">
        <x:v>218.1025969394877</x:v>
      </x:c>
      <x:c r="P972" s="8" t="n">
        <x:v>0</x:v>
      </x:c>
      <x:c r="Q972" s="8" t="n">
        <x:v>-0.3719107414220657</x:v>
      </x:c>
      <x:c r="R972" s="8" t="n">
        <x:v>0</x:v>
      </x:c>
      <x:c r="S972" s="8" t="n">
        <x:f>L972-I972^2/H972</x:f>
        <x:v>229.93962782692716</x:v>
      </x:c>
      <x:c r="T972" s="8" t="n">
        <x:f>M972-J972^2/H972</x:f>
        <x:v>0</x:v>
      </x:c>
      <x:c r="U972" s="8" t="n">
        <x:f>N972-I972*J972/H972</x:f>
        <x:v>0</x:v>
      </x:c>
      <x:c r="V972" s="8" t="n">
        <x:f>O972-I972*K972/H972</x:f>
        <x:v>108.91789451961822</x:v>
      </x:c>
      <x:c r="W972" s="8" t="n">
        <x:f>P972-J972*K972/H972</x:f>
        <x:v>0</x:v>
      </x:c>
      <x:c r="X972" s="8" t="n">
        <x:f>V972/S972</x:f>
        <x:v>0.4736803984113579</x:v>
      </x:c>
      <x:c r="Y972" s="8" t="n">
        <x:f>0</x:f>
        <x:v>0</x:v>
      </x:c>
      <x:c r="Z972" s="8" t="n">
        <x:f>K972/H972-X972*I972/H972-Y972*J972/H972</x:f>
        <x:v>1.2608210252819487</x:v>
      </x:c>
      <x:c r="AA972" s="8" t="n">
        <x:f>Z972+X972*Q972+Y972*R972</x:f>
        <x:v>1.0846541971116812</x:v>
      </x:c>
    </x:row>
    <x:row r="973" ht="26" customHeight="1">
      <x:c r="A973" s="2"/>
      <x:c r="B973" s="2" t="n">
        <x:v>968</x:v>
      </x:c>
      <x:c r="C973" s="2" t="str">
        <x:v>Health Care / organic_volume_growth</x:v>
      </x:c>
      <x:c r="D973" s="2" t="str">
        <x:v>Broad rolling 8</x:v>
      </x:c>
      <x:c r="E973" s="7" t="n">
        <x:v>45107</x:v>
      </x:c>
      <x:c r="F973" s="2" t="str">
        <x:v>Pre-earnings</x:v>
      </x:c>
      <x:c r="G973" s="7" t="n">
        <x:v>45134</x:v>
      </x:c>
      <x:c r="H973" s="2" t="n">
        <x:v>8</x:v>
      </x:c>
      <x:c r="I973" s="8" t="n">
        <x:v>26.590628997743714</x:v>
      </x:c>
      <x:c r="J973" s="8" t="n">
        <x:v>0</x:v>
      </x:c>
      <x:c r="K973" s="8" t="n">
        <x:v>26</x:v>
      </x:c>
      <x:c r="L973" s="8" t="n">
        <x:v>327.16499332251686</x:v>
      </x:c>
      <x:c r="M973" s="8" t="n">
        <x:v>0</x:v>
      </x:c>
      <x:c r="N973" s="8" t="n">
        <x:v>0</x:v>
      </x:c>
      <x:c r="O973" s="8" t="n">
        <x:v>263.43432859336485</x:v>
      </x:c>
      <x:c r="P973" s="8" t="n">
        <x:v>0</x:v>
      </x:c>
      <x:c r="Q973" s="8" t="n">
        <x:v>0.3338622398349367</x:v>
      </x:c>
      <x:c r="R973" s="8" t="n">
        <x:v>0</x:v>
      </x:c>
      <x:c r="S973" s="8" t="n">
        <x:f>L973-I973^2/H973</x:f>
        <x:v>238.78229951056076</x:v>
      </x:c>
      <x:c r="T973" s="8" t="n">
        <x:f>M973-J973^2/H973</x:f>
        <x:v>0</x:v>
      </x:c>
      <x:c r="U973" s="8" t="n">
        <x:f>N973-I973*J973/H973</x:f>
        <x:v>0</x:v>
      </x:c>
      <x:c r="V973" s="8" t="n">
        <x:f>O973-I973*K973/H973</x:f>
        <x:v>177.01478435069777</x:v>
      </x:c>
      <x:c r="W973" s="8" t="n">
        <x:f>P973-J973*K973/H973</x:f>
        <x:v>0</x:v>
      </x:c>
      <x:c r="X973" s="8" t="n">
        <x:f>V973/S973</x:f>
        <x:v>0.7413228899861098</x:v>
      </x:c>
      <x:c r="Y973" s="8" t="n">
        <x:f>0</x:f>
        <x:v>0</x:v>
      </x:c>
      <x:c r="Z973" s="8" t="n">
        <x:f>K973/H973-X973*I973/H973-Y973*J973/H973</x:f>
        <x:v>0.7859697581055216</x:v>
      </x:c>
      <x:c r="AA973" s="8" t="n">
        <x:f>Z973+X973*Q973+Y973*R973</x:f>
        <x:v>1.0334694785971925</x:v>
      </x:c>
    </x:row>
    <x:row r="974" ht="26" customHeight="1">
      <x:c r="A974" s="2"/>
      <x:c r="B974" s="2" t="n">
        <x:v>969</x:v>
      </x:c>
      <x:c r="C974" s="2" t="str">
        <x:v>Health Care / organic_volume_growth</x:v>
      </x:c>
      <x:c r="D974" s="2" t="str">
        <x:v>Own history</x:v>
      </x:c>
      <x:c r="E974" s="7" t="n">
        <x:v>45107</x:v>
      </x:c>
      <x:c r="F974" s="2" t="str">
        <x:v>Pre-earnings</x:v>
      </x:c>
      <x:c r="G974" s="7" t="n">
        <x:v>45134</x:v>
      </x:c>
      <x:c r="H974" s="2" t="n">
        <x:v>8</x:v>
      </x:c>
      <x:c r="I974" s="8" t="n">
        <x:v>25</x:v>
      </x:c>
      <x:c r="J974" s="8" t="n">
        <x:v>0</x:v>
      </x:c>
      <x:c r="K974" s="8" t="n">
        <x:v>26</x:v>
      </x:c>
      <x:c r="L974" s="8" t="n">
        <x:v>263</x:v>
      </x:c>
      <x:c r="M974" s="8" t="n">
        <x:v>0</x:v>
      </x:c>
      <x:c r="N974" s="8" t="n">
        <x:v>0</x:v>
      </x:c>
      <x:c r="O974" s="8" t="n">
        <x:v>84</x:v>
      </x:c>
      <x:c r="P974" s="8" t="n">
        <x:v>0</x:v>
      </x:c>
      <x:c r="Q974" s="8" t="n">
        <x:v>1</x:v>
      </x:c>
      <x:c r="R974" s="8" t="n">
        <x:v>0</x:v>
      </x:c>
      <x:c r="S974" s="8" t="n">
        <x:f>L974-I974^2/H974</x:f>
        <x:v>184.875</x:v>
      </x:c>
      <x:c r="T974" s="8" t="n">
        <x:f>M974-J974^2/H974</x:f>
        <x:v>0</x:v>
      </x:c>
      <x:c r="U974" s="8" t="n">
        <x:f>N974-I974*J974/H974</x:f>
        <x:v>0</x:v>
      </x:c>
      <x:c r="V974" s="8" t="n">
        <x:f>O974-I974*K974/H974</x:f>
        <x:v>2.75</x:v>
      </x:c>
      <x:c r="W974" s="8" t="n">
        <x:f>P974-J974*K974/H974</x:f>
        <x:v>0</x:v>
      </x:c>
      <x:c r="X974" s="8" t="n">
        <x:f>V974/S974</x:f>
        <x:v>0.014874915483434753</x:v>
      </x:c>
      <x:c r="Y974" s="8" t="n">
        <x:f>0</x:f>
        <x:v>0</x:v>
      </x:c>
      <x:c r="Z974" s="8" t="n">
        <x:f>K974/H974-X974*I974/H974-Y974*J974/H974</x:f>
        <x:v>3.2035158891142665</x:v>
      </x:c>
      <x:c r="AA974" s="8" t="n">
        <x:f>Z974+X974*Q974+Y974*R974</x:f>
        <x:v>3.218390804597701</x:v>
      </x:c>
    </x:row>
    <x:row r="975" ht="26" customHeight="1">
      <x:c r="A975" s="2"/>
      <x:c r="B975" s="2" t="n">
        <x:v>970</x:v>
      </x:c>
      <x:c r="C975" s="2" t="str">
        <x:v>Health Care / organic_volume_growth</x:v>
      </x:c>
      <x:c r="D975" s="2" t="str">
        <x:v>Broad market</x:v>
      </x:c>
      <x:c r="E975" s="7" t="n">
        <x:v>45199</x:v>
      </x:c>
      <x:c r="F975" s="2" t="str">
        <x:v>Origin</x:v>
      </x:c>
      <x:c r="G975" s="7" t="n">
        <x:v>45108</x:v>
      </x:c>
      <x:c r="H975" s="2" t="n">
        <x:v>9</x:v>
      </x:c>
      <x:c r="I975" s="8" t="n">
        <x:v>33.22338231084547</x:v>
      </x:c>
      <x:c r="J975" s="8" t="n">
        <x:v>0</x:v>
      </x:c>
      <x:c r="K975" s="8" t="n">
        <x:v>26</x:v>
      </x:c>
      <x:c r="L975" s="8" t="n">
        <x:v>371.1584098349792</x:v>
      </x:c>
      <x:c r="M975" s="8" t="n">
        <x:v>0</x:v>
      </x:c>
      <x:c r="N975" s="8" t="n">
        <x:v>0</x:v>
      </x:c>
      <x:c r="O975" s="8" t="n">
        <x:v>263.43432859336485</x:v>
      </x:c>
      <x:c r="P975" s="8" t="n">
        <x:v>0</x:v>
      </x:c>
      <x:c r="Q975" s="8" t="n">
        <x:v>0.16843755354232215</x:v>
      </x:c>
      <x:c r="R975" s="8" t="n">
        <x:v>0</x:v>
      </x:c>
      <x:c r="S975" s="8" t="n">
        <x:f>L975-I975^2/H975</x:f>
        <x:v>248.5147284824681</x:v>
      </x:c>
      <x:c r="T975" s="8" t="n">
        <x:f>M975-J975^2/H975</x:f>
        <x:v>0</x:v>
      </x:c>
      <x:c r="U975" s="8" t="n">
        <x:f>N975-I975*J975/H975</x:f>
        <x:v>0</x:v>
      </x:c>
      <x:c r="V975" s="8" t="n">
        <x:f>O975-I975*K975/H975</x:f>
        <x:v>167.4556685842557</x:v>
      </x:c>
      <x:c r="W975" s="8" t="n">
        <x:f>P975-J975*K975/H975</x:f>
        <x:v>0</x:v>
      </x:c>
      <x:c r="X975" s="8" t="n">
        <x:f>V975/S975</x:f>
        <x:v>0.6738259321964861</x:v>
      </x:c>
      <x:c r="Y975" s="8" t="n">
        <x:f>0</x:f>
        <x:v>0</x:v>
      </x:c>
      <x:c r="Z975" s="8" t="n">
        <x:f>K975/H975-X975*I975/H975-Y975*J975/H975</x:f>
        <x:v>0.4014692715193666</x:v>
      </x:c>
      <x:c r="AA975" s="8" t="n">
        <x:f>Z975+X975*Q975+Y975*R975</x:f>
        <x:v>0.5149668630519174</x:v>
      </x:c>
    </x:row>
    <x:row r="976" ht="26" customHeight="1">
      <x:c r="A976" s="2"/>
      <x:c r="B976" s="2" t="n">
        <x:v>971</x:v>
      </x:c>
      <x:c r="C976" s="2" t="str">
        <x:v>Health Care / organic_volume_growth</x:v>
      </x:c>
      <x:c r="D976" s="2" t="str">
        <x:v>Broad rolling 8</x:v>
      </x:c>
      <x:c r="E976" s="7" t="n">
        <x:v>45199</x:v>
      </x:c>
      <x:c r="F976" s="2" t="str">
        <x:v>Origin</x:v>
      </x:c>
      <x:c r="G976" s="7" t="n">
        <x:v>45108</x:v>
      </x:c>
      <x:c r="H976" s="2" t="n">
        <x:v>8</x:v>
      </x:c>
      <x:c r="I976" s="8" t="n">
        <x:v>26.590628997743714</x:v>
      </x:c>
      <x:c r="J976" s="8" t="n">
        <x:v>0</x:v>
      </x:c>
      <x:c r="K976" s="8" t="n">
        <x:v>26</x:v>
      </x:c>
      <x:c r="L976" s="8" t="n">
        <x:v>327.16499332251686</x:v>
      </x:c>
      <x:c r="M976" s="8" t="n">
        <x:v>0</x:v>
      </x:c>
      <x:c r="N976" s="8" t="n">
        <x:v>0</x:v>
      </x:c>
      <x:c r="O976" s="8" t="n">
        <x:v>263.43432859336485</x:v>
      </x:c>
      <x:c r="P976" s="8" t="n">
        <x:v>0</x:v>
      </x:c>
      <x:c r="Q976" s="8" t="n">
        <x:v>0.16843755354232215</x:v>
      </x:c>
      <x:c r="R976" s="8" t="n">
        <x:v>0</x:v>
      </x:c>
      <x:c r="S976" s="8" t="n">
        <x:f>L976-I976^2/H976</x:f>
        <x:v>238.78229951056076</x:v>
      </x:c>
      <x:c r="T976" s="8" t="n">
        <x:f>M976-J976^2/H976</x:f>
        <x:v>0</x:v>
      </x:c>
      <x:c r="U976" s="8" t="n">
        <x:f>N976-I976*J976/H976</x:f>
        <x:v>0</x:v>
      </x:c>
      <x:c r="V976" s="8" t="n">
        <x:f>O976-I976*K976/H976</x:f>
        <x:v>177.01478435069777</x:v>
      </x:c>
      <x:c r="W976" s="8" t="n">
        <x:f>P976-J976*K976/H976</x:f>
        <x:v>0</x:v>
      </x:c>
      <x:c r="X976" s="8" t="n">
        <x:f>V976/S976</x:f>
        <x:v>0.7413228899861098</x:v>
      </x:c>
      <x:c r="Y976" s="8" t="n">
        <x:f>0</x:f>
        <x:v>0</x:v>
      </x:c>
      <x:c r="Z976" s="8" t="n">
        <x:f>K976/H976-X976*I976/H976-Y976*J976/H976</x:f>
        <x:v>0.7859697581055216</x:v>
      </x:c>
      <x:c r="AA976" s="8" t="n">
        <x:f>Z976+X976*Q976+Y976*R976</x:f>
        <x:v>0.910836372079706</x:v>
      </x:c>
    </x:row>
    <x:row r="977" ht="26" customHeight="1">
      <x:c r="A977" s="2"/>
      <x:c r="B977" s="2" t="n">
        <x:v>972</x:v>
      </x:c>
      <x:c r="C977" s="2" t="str">
        <x:v>Health Care / organic_volume_growth</x:v>
      </x:c>
      <x:c r="D977" s="2" t="str">
        <x:v>Broad market</x:v>
      </x:c>
      <x:c r="E977" s="7" t="n">
        <x:v>45199</x:v>
      </x:c>
      <x:c r="F977" s="2" t="str">
        <x:v>Prior report</x:v>
      </x:c>
      <x:c r="G977" s="7" t="n">
        <x:v>45135</x:v>
      </x:c>
      <x:c r="H977" s="2" t="n">
        <x:v>10</x:v>
      </x:c>
      <x:c r="I977" s="8" t="n">
        <x:v>33.702236280504636</x:v>
      </x:c>
      <x:c r="J977" s="8" t="n">
        <x:v>0</x:v>
      </x:c>
      <x:c r="K977" s="8" t="n">
        <x:v>23</x:v>
      </x:c>
      <x:c r="L977" s="8" t="n">
        <x:v>371.38771095923755</x:v>
      </x:c>
      <x:c r="M977" s="8" t="n">
        <x:v>0</x:v>
      </x:c>
      <x:c r="N977" s="8" t="n">
        <x:v>0</x:v>
      </x:c>
      <x:c r="O977" s="8" t="n">
        <x:v>261.9977666843874</x:v>
      </x:c>
      <x:c r="P977" s="8" t="n">
        <x:v>0</x:v>
      </x:c>
      <x:c r="Q977" s="8" t="n">
        <x:v>0.4788112989289939</x:v>
      </x:c>
      <x:c r="R977" s="8" t="n">
        <x:v>0</x:v>
      </x:c>
      <x:c r="S977" s="8" t="n">
        <x:f>L977-I977^2/H977</x:f>
        <x:v>257.80363792854126</x:v>
      </x:c>
      <x:c r="T977" s="8" t="n">
        <x:f>M977-J977^2/H977</x:f>
        <x:v>0</x:v>
      </x:c>
      <x:c r="U977" s="8" t="n">
        <x:f>N977-I977*J977/H977</x:f>
        <x:v>0</x:v>
      </x:c>
      <x:c r="V977" s="8" t="n">
        <x:f>O977-I977*K977/H977</x:f>
        <x:v>184.4826232392267</x:v>
      </x:c>
      <x:c r="W977" s="8" t="n">
        <x:f>P977-J977*K977/H977</x:f>
        <x:v>0</x:v>
      </x:c>
      <x:c r="X977" s="8" t="n">
        <x:f>V977/S977</x:f>
        <x:v>0.7155935607485963</x:v>
      </x:c>
      <x:c r="Y977" s="8" t="n">
        <x:f>0</x:f>
        <x:v>0</x:v>
      </x:c>
      <x:c r="Z977" s="8" t="n">
        <x:f>K977/H977-X977*I977/H977-Y977*J977/H977</x:f>
        <x:v>-0.11171032651568424</x:v>
      </x:c>
      <x:c r="AA977" s="8" t="n">
        <x:f>Z977+X977*Q977+Y977*R977</x:f>
        <x:v>0.23092395581157504</x:v>
      </x:c>
    </x:row>
    <x:row r="978" ht="26" customHeight="1">
      <x:c r="A978" s="2"/>
      <x:c r="B978" s="2" t="n">
        <x:v>973</x:v>
      </x:c>
      <x:c r="C978" s="2" t="str">
        <x:v>Health Care / organic_volume_growth</x:v>
      </x:c>
      <x:c r="D978" s="2" t="str">
        <x:v>Broad lag 1</x:v>
      </x:c>
      <x:c r="E978" s="7" t="n">
        <x:v>45199</x:v>
      </x:c>
      <x:c r="F978" s="2" t="str">
        <x:v>Prior report</x:v>
      </x:c>
      <x:c r="G978" s="7" t="n">
        <x:v>45135</x:v>
      </x:c>
      <x:c r="H978" s="2" t="n">
        <x:v>9</x:v>
      </x:c>
      <x:c r="I978" s="8" t="n">
        <x:v>33.22338231084547</x:v>
      </x:c>
      <x:c r="J978" s="8" t="n">
        <x:v>0</x:v>
      </x:c>
      <x:c r="K978" s="8" t="n">
        <x:v>23</x:v>
      </x:c>
      <x:c r="L978" s="8" t="n">
        <x:v>371.1584098349792</x:v>
      </x:c>
      <x:c r="M978" s="8" t="n">
        <x:v>0</x:v>
      </x:c>
      <x:c r="N978" s="8" t="n">
        <x:v>0</x:v>
      </x:c>
      <x:c r="O978" s="8" t="n">
        <x:v>219.2183291637539</x:v>
      </x:c>
      <x:c r="P978" s="8" t="n">
        <x:v>0</x:v>
      </x:c>
      <x:c r="Q978" s="8" t="n">
        <x:v>0.4788539696591654</x:v>
      </x:c>
      <x:c r="R978" s="8" t="n">
        <x:v>0</x:v>
      </x:c>
      <x:c r="S978" s="8" t="n">
        <x:f>L978-I978^2/H978</x:f>
        <x:v>248.5147284824681</x:v>
      </x:c>
      <x:c r="T978" s="8" t="n">
        <x:f>M978-J978^2/H978</x:f>
        <x:v>0</x:v>
      </x:c>
      <x:c r="U978" s="8" t="n">
        <x:f>N978-I978*J978/H978</x:f>
        <x:v>0</x:v>
      </x:c>
      <x:c r="V978" s="8" t="n">
        <x:f>O978-I978*K978/H978</x:f>
        <x:v>134.3141299249266</x:v>
      </x:c>
      <x:c r="W978" s="8" t="n">
        <x:f>P978-J978*K978/H978</x:f>
        <x:v>0</x:v>
      </x:c>
      <x:c r="X978" s="8" t="n">
        <x:f>V978/S978</x:f>
        <x:v>0.540467483537508</x:v>
      </x:c>
      <x:c r="Y978" s="8" t="n">
        <x:f>0</x:f>
        <x:v>0</x:v>
      </x:c>
      <x:c r="Z978" s="8" t="n">
        <x:f>K978/H978-X978*I978/H978-Y978*J978/H978</x:f>
        <x:v>0.5604269075391988</x:v>
      </x:c>
      <x:c r="AA978" s="8" t="n">
        <x:f>Z978+X978*Q978+Y978*R978</x:f>
        <x:v>0.819231907502834</x:v>
      </x:c>
    </x:row>
    <x:row r="979" ht="26" customHeight="1">
      <x:c r="A979" s="2"/>
      <x:c r="B979" s="2" t="n">
        <x:v>974</x:v>
      </x:c>
      <x:c r="C979" s="2" t="str">
        <x:v>Health Care / organic_volume_growth</x:v>
      </x:c>
      <x:c r="D979" s="2" t="str">
        <x:v>Broad rolling 8</x:v>
      </x:c>
      <x:c r="E979" s="7" t="n">
        <x:v>45199</x:v>
      </x:c>
      <x:c r="F979" s="2" t="str">
        <x:v>Prior report</x:v>
      </x:c>
      <x:c r="G979" s="7" t="n">
        <x:v>45135</x:v>
      </x:c>
      <x:c r="H979" s="2" t="n">
        <x:v>8</x:v>
      </x:c>
      <x:c r="I979" s="8" t="n">
        <x:v>12.45774615649593</x:v>
      </x:c>
      <x:c r="J979" s="8" t="n">
        <x:v>0</x:v>
      </x:c>
      <x:c r="K979" s="8" t="n">
        <x:v>10</x:v>
      </x:c>
      <x:c r="L979" s="8" t="n">
        <x:v>113.89144181556195</x:v>
      </x:c>
      <x:c r="M979" s="8" t="n">
        <x:v>0</x:v>
      </x:c>
      <x:c r="N979" s="8" t="n">
        <x:v>0</x:v>
      </x:c>
      <x:c r="O979" s="8" t="n">
        <x:v>72.04518814259701</x:v>
      </x:c>
      <x:c r="P979" s="8" t="n">
        <x:v>0</x:v>
      </x:c>
      <x:c r="Q979" s="8" t="n">
        <x:v>0.4788112989289939</x:v>
      </x:c>
      <x:c r="R979" s="8" t="n">
        <x:v>0</x:v>
      </x:c>
      <x:c r="S979" s="8" t="n">
        <x:f>L979-I979^2/H979</x:f>
        <x:v>94.4920119031008</x:v>
      </x:c>
      <x:c r="T979" s="8" t="n">
        <x:f>M979-J979^2/H979</x:f>
        <x:v>0</x:v>
      </x:c>
      <x:c r="U979" s="8" t="n">
        <x:f>N979-I979*J979/H979</x:f>
        <x:v>0</x:v>
      </x:c>
      <x:c r="V979" s="8" t="n">
        <x:f>O979-I979*K979/H979</x:f>
        <x:v>56.4730054469771</x:v>
      </x:c>
      <x:c r="W979" s="8" t="n">
        <x:f>P979-J979*K979/H979</x:f>
        <x:v>0</x:v>
      </x:c>
      <x:c r="X979" s="8" t="n">
        <x:f>V979/S979</x:f>
        <x:v>0.5976484605374764</x:v>
      </x:c>
      <x:c r="Y979" s="8" t="n">
        <x:f>0</x:f>
        <x:v>0</x:v>
      </x:c>
      <x:c r="Z979" s="8" t="n">
        <x:f>K979/H979-X979*I979/H979-Y979*J979/H979</x:f>
        <x:v>0.31933089847544294</x:v>
      </x:c>
      <x:c r="AA979" s="8" t="n">
        <x:f>Z979+X979*Q979+Y979*R979</x:f>
        <x:v>0.6054917341683056</x:v>
      </x:c>
    </x:row>
    <x:row r="980" ht="26" customHeight="1">
      <x:c r="A980" s="2"/>
      <x:c r="B980" s="2" t="n">
        <x:v>975</x:v>
      </x:c>
      <x:c r="C980" s="2" t="str">
        <x:v>Health Care / organic_volume_growth</x:v>
      </x:c>
      <x:c r="D980" s="2" t="str">
        <x:v>Own history</x:v>
      </x:c>
      <x:c r="E980" s="7" t="n">
        <x:v>45199</x:v>
      </x:c>
      <x:c r="F980" s="2" t="str">
        <x:v>Prior report</x:v>
      </x:c>
      <x:c r="G980" s="7" t="n">
        <x:v>45135</x:v>
      </x:c>
      <x:c r="H980" s="2" t="n">
        <x:v>9</x:v>
      </x:c>
      <x:c r="I980" s="8" t="n">
        <x:v>26</x:v>
      </x:c>
      <x:c r="J980" s="8" t="n">
        <x:v>0</x:v>
      </x:c>
      <x:c r="K980" s="8" t="n">
        <x:v>23</x:v>
      </x:c>
      <x:c r="L980" s="8" t="n">
        <x:v>264</x:v>
      </x:c>
      <x:c r="M980" s="8" t="n">
        <x:v>0</x:v>
      </x:c>
      <x:c r="N980" s="8" t="n">
        <x:v>0</x:v>
      </x:c>
      <x:c r="O980" s="8" t="n">
        <x:v>81</x:v>
      </x:c>
      <x:c r="P980" s="8" t="n">
        <x:v>0</x:v>
      </x:c>
      <x:c r="Q980" s="8" t="n">
        <x:v>-3</x:v>
      </x:c>
      <x:c r="R980" s="8" t="n">
        <x:v>0</x:v>
      </x:c>
      <x:c r="S980" s="8" t="n">
        <x:f>L980-I980^2/H980</x:f>
        <x:v>188.88888888888889</x:v>
      </x:c>
      <x:c r="T980" s="8" t="n">
        <x:f>M980-J980^2/H980</x:f>
        <x:v>0</x:v>
      </x:c>
      <x:c r="U980" s="8" t="n">
        <x:f>N980-I980*J980/H980</x:f>
        <x:v>0</x:v>
      </x:c>
      <x:c r="V980" s="8" t="n">
        <x:f>O980-I980*K980/H980</x:f>
        <x:v>14.555555555555557</x:v>
      </x:c>
      <x:c r="W980" s="8" t="n">
        <x:f>P980-J980*K980/H980</x:f>
        <x:v>0</x:v>
      </x:c>
      <x:c r="X980" s="8" t="n">
        <x:f>V980/S980</x:f>
        <x:v>0.07705882352941178</x:v>
      </x:c>
      <x:c r="Y980" s="8" t="n">
        <x:f>0</x:f>
        <x:v>0</x:v>
      </x:c>
      <x:c r="Z980" s="8" t="n">
        <x:f>K980/H980-X980*I980/H980-Y980*J980/H980</x:f>
        <x:v>2.332941176470588</x:v>
      </x:c>
      <x:c r="AA980" s="8" t="n">
        <x:f>Z980+X980*Q980+Y980*R980</x:f>
        <x:v>2.1017647058823528</x:v>
      </x:c>
    </x:row>
    <x:row r="981" ht="26" customHeight="1">
      <x:c r="A981" s="2"/>
      <x:c r="B981" s="2" t="n">
        <x:v>976</x:v>
      </x:c>
      <x:c r="C981" s="2" t="str">
        <x:v>Health Care / organic_volume_growth</x:v>
      </x:c>
      <x:c r="D981" s="2" t="str">
        <x:v>Broad market</x:v>
      </x:c>
      <x:c r="E981" s="7" t="n">
        <x:v>45199</x:v>
      </x:c>
      <x:c r="F981" s="2" t="str">
        <x:v>Pre-earnings</x:v>
      </x:c>
      <x:c r="G981" s="7" t="n">
        <x:v>45216</x:v>
      </x:c>
      <x:c r="H981" s="2" t="n">
        <x:v>10</x:v>
      </x:c>
      <x:c r="I981" s="8" t="n">
        <x:v>36.567292681299975</x:v>
      </x:c>
      <x:c r="J981" s="8" t="n">
        <x:v>0</x:v>
      </x:c>
      <x:c r="K981" s="8" t="n">
        <x:v>23</x:v>
      </x:c>
      <x:c r="L981" s="8" t="n">
        <x:v>345.1986530501643</x:v>
      </x:c>
      <x:c r="M981" s="8" t="n">
        <x:v>0</x:v>
      </x:c>
      <x:c r="N981" s="8" t="n">
        <x:v>0</x:v>
      </x:c>
      <x:c r="O981" s="8" t="n">
        <x:v>260.73611818825</x:v>
      </x:c>
      <x:c r="P981" s="8" t="n">
        <x:v>0</x:v>
      </x:c>
      <x:c r="Q981" s="8" t="n">
        <x:v>1.3122219305964355</x:v>
      </x:c>
      <x:c r="R981" s="8" t="n">
        <x:v>0</x:v>
      </x:c>
      <x:c r="S981" s="8" t="n">
        <x:f>L981-I981^2/H981</x:f>
        <x:v>211.48196364617883</x:v>
      </x:c>
      <x:c r="T981" s="8" t="n">
        <x:f>M981-J981^2/H981</x:f>
        <x:v>0</x:v>
      </x:c>
      <x:c r="U981" s="8" t="n">
        <x:f>N981-I981*J981/H981</x:f>
        <x:v>0</x:v>
      </x:c>
      <x:c r="V981" s="8" t="n">
        <x:f>O981-I981*K981/H981</x:f>
        <x:v>176.63134502126002</x:v>
      </x:c>
      <x:c r="W981" s="8" t="n">
        <x:f>P981-J981*K981/H981</x:f>
        <x:v>0</x:v>
      </x:c>
      <x:c r="X981" s="8" t="n">
        <x:f>V981/S981</x:f>
        <x:v>0.8352076081380356</x:v>
      </x:c>
      <x:c r="Y981" s="8" t="n">
        <x:f>0</x:f>
        <x:v>0</x:v>
      </x:c>
      <x:c r="Z981" s="8" t="n">
        <x:f>K981/H981-X981*I981/H981-Y981*J981/H981</x:f>
        <x:v>-0.754128105643205</x:v>
      </x:c>
      <x:c r="AA981" s="8" t="n">
        <x:f>Z981+X981*Q981+Y981*R981</x:f>
        <x:v>0.3418496343565194</x:v>
      </x:c>
    </x:row>
    <x:row r="982" ht="26" customHeight="1">
      <x:c r="A982" s="2"/>
      <x:c r="B982" s="2" t="n">
        <x:v>977</x:v>
      </x:c>
      <x:c r="C982" s="2" t="str">
        <x:v>Health Care / organic_volume_growth</x:v>
      </x:c>
      <x:c r="D982" s="2" t="str">
        <x:v>Broad lag 1</x:v>
      </x:c>
      <x:c r="E982" s="7" t="n">
        <x:v>45199</x:v>
      </x:c>
      <x:c r="F982" s="2" t="str">
        <x:v>Pre-earnings</x:v>
      </x:c>
      <x:c r="G982" s="7" t="n">
        <x:v>45216</x:v>
      </x:c>
      <x:c r="H982" s="2" t="n">
        <x:v>9</x:v>
      </x:c>
      <x:c r="I982" s="8" t="n">
        <x:v>36.50529330129378</x:v>
      </x:c>
      <x:c r="J982" s="8" t="n">
        <x:v>0</x:v>
      </x:c>
      <x:c r="K982" s="8" t="n">
        <x:v>23</x:v>
      </x:c>
      <x:c r="L982" s="8" t="n">
        <x:v>345.1948091270432</x:v>
      </x:c>
      <x:c r="M982" s="8" t="n">
        <x:v>0</x:v>
      </x:c>
      <x:c r="N982" s="8" t="n">
        <x:v>0</x:v>
      </x:c>
      <x:c r="O982" s="8" t="n">
        <x:v>207.97064562200305</x:v>
      </x:c>
      <x:c r="P982" s="8" t="n">
        <x:v>0</x:v>
      </x:c>
      <x:c r="Q982" s="8" t="n">
        <x:v>0.06199938000619465</x:v>
      </x:c>
      <x:c r="R982" s="8" t="n">
        <x:v>0</x:v>
      </x:c>
      <x:c r="S982" s="8" t="n">
        <x:f>L982-I982^2/H982</x:f>
        <x:v>197.12409368110045</x:v>
      </x:c>
      <x:c r="T982" s="8" t="n">
        <x:f>M982-J982^2/H982</x:f>
        <x:v>0</x:v>
      </x:c>
      <x:c r="U982" s="8" t="n">
        <x:f>N982-I982*J982/H982</x:f>
        <x:v>0</x:v>
      </x:c>
      <x:c r="V982" s="8" t="n">
        <x:f>O982-I982*K982/H982</x:f>
        <x:v>114.6793405186967</x:v>
      </x:c>
      <x:c r="W982" s="8" t="n">
        <x:f>P982-J982*K982/H982</x:f>
        <x:v>0</x:v>
      </x:c>
      <x:c r="X982" s="8" t="n">
        <x:f>V982/S982</x:f>
        <x:v>0.5817621700989043</x:v>
      </x:c>
      <x:c r="Y982" s="8" t="n">
        <x:f>0</x:f>
        <x:v>0</x:v>
      </x:c>
      <x:c r="Z982" s="8" t="n">
        <x:f>K982/H982-X982*I982/H982-Y982*J982/H982</x:f>
        <x:v>0.19584459432692602</x:v>
      </x:c>
      <x:c r="AA982" s="8" t="n">
        <x:f>Z982+X982*Q982+Y982*R982</x:f>
        <x:v>0.23191348818411645</x:v>
      </x:c>
    </x:row>
    <x:row r="983" ht="26" customHeight="1">
      <x:c r="A983" s="2"/>
      <x:c r="B983" s="2" t="n">
        <x:v>978</x:v>
      </x:c>
      <x:c r="C983" s="2" t="str">
        <x:v>Health Care / organic_volume_growth</x:v>
      </x:c>
      <x:c r="D983" s="2" t="str">
        <x:v>Broad rolling 8</x:v>
      </x:c>
      <x:c r="E983" s="7" t="n">
        <x:v>45199</x:v>
      </x:c>
      <x:c r="F983" s="2" t="str">
        <x:v>Pre-earnings</x:v>
      </x:c>
      <x:c r="G983" s="7" t="n">
        <x:v>45216</x:v>
      </x:c>
      <x:c r="H983" s="2" t="n">
        <x:v>8</x:v>
      </x:c>
      <x:c r="I983" s="8" t="n">
        <x:v>16.237449689275486</x:v>
      </x:c>
      <x:c r="J983" s="8" t="n">
        <x:v>0</x:v>
      </x:c>
      <x:c r="K983" s="8" t="n">
        <x:v>10</x:v>
      </x:c>
      <x:c r="L983" s="8" t="n">
        <x:v>110.53830054061801</x:v>
      </x:c>
      <x:c r="M983" s="8" t="n">
        <x:v>0</x:v>
      </x:c>
      <x:c r="N983" s="8" t="n">
        <x:v>0</x:v>
      </x:c>
      <x:c r="O983" s="8" t="n">
        <x:v>79.94269390604212</x:v>
      </x:c>
      <x:c r="P983" s="8" t="n">
        <x:v>0</x:v>
      </x:c>
      <x:c r="Q983" s="8" t="n">
        <x:v>1.3122219305964355</x:v>
      </x:c>
      <x:c r="R983" s="8" t="n">
        <x:v>0</x:v>
      </x:c>
      <x:c r="S983" s="8" t="n">
        <x:f>L983-I983^2/H983</x:f>
        <x:v>77.58145398914894</x:v>
      </x:c>
      <x:c r="T983" s="8" t="n">
        <x:f>M983-J983^2/H983</x:f>
        <x:v>0</x:v>
      </x:c>
      <x:c r="U983" s="8" t="n">
        <x:f>N983-I983*J983/H983</x:f>
        <x:v>0</x:v>
      </x:c>
      <x:c r="V983" s="8" t="n">
        <x:f>O983-I983*K983/H983</x:f>
        <x:v>59.64588179444777</x:v>
      </x:c>
      <x:c r="W983" s="8" t="n">
        <x:f>P983-J983*K983/H983</x:f>
        <x:v>0</x:v>
      </x:c>
      <x:c r="X983" s="8" t="n">
        <x:f>V983/S983</x:f>
        <x:v>0.7688162405771647</x:v>
      </x:c>
      <x:c r="Y983" s="8" t="n">
        <x:f>0</x:f>
        <x:v>0</x:v>
      </x:c>
      <x:c r="Z983" s="8" t="n">
        <x:f>K983/H983-X983*I983/H983-Y983*J983/H983</x:f>
        <x:v>-0.3104518783337038</x:v>
      </x:c>
      <x:c r="AA983" s="8" t="n">
        <x:f>Z983+X983*Q983+Y983*R983</x:f>
        <x:v>0.6984056531503569</x:v>
      </x:c>
    </x:row>
    <x:row r="984" ht="26" customHeight="1">
      <x:c r="A984" s="2"/>
      <x:c r="B984" s="2" t="n">
        <x:v>979</x:v>
      </x:c>
      <x:c r="C984" s="2" t="str">
        <x:v>Health Care / organic_volume_growth</x:v>
      </x:c>
      <x:c r="D984" s="2" t="str">
        <x:v>Own history</x:v>
      </x:c>
      <x:c r="E984" s="7" t="n">
        <x:v>45199</x:v>
      </x:c>
      <x:c r="F984" s="2" t="str">
        <x:v>Pre-earnings</x:v>
      </x:c>
      <x:c r="G984" s="7" t="n">
        <x:v>45216</x:v>
      </x:c>
      <x:c r="H984" s="2" t="n">
        <x:v>9</x:v>
      </x:c>
      <x:c r="I984" s="8" t="n">
        <x:v>26</x:v>
      </x:c>
      <x:c r="J984" s="8" t="n">
        <x:v>0</x:v>
      </x:c>
      <x:c r="K984" s="8" t="n">
        <x:v>23</x:v>
      </x:c>
      <x:c r="L984" s="8" t="n">
        <x:v>264</x:v>
      </x:c>
      <x:c r="M984" s="8" t="n">
        <x:v>0</x:v>
      </x:c>
      <x:c r="N984" s="8" t="n">
        <x:v>0</x:v>
      </x:c>
      <x:c r="O984" s="8" t="n">
        <x:v>81</x:v>
      </x:c>
      <x:c r="P984" s="8" t="n">
        <x:v>0</x:v>
      </x:c>
      <x:c r="Q984" s="8" t="n">
        <x:v>-3</x:v>
      </x:c>
      <x:c r="R984" s="8" t="n">
        <x:v>0</x:v>
      </x:c>
      <x:c r="S984" s="8" t="n">
        <x:f>L984-I984^2/H984</x:f>
        <x:v>188.88888888888889</x:v>
      </x:c>
      <x:c r="T984" s="8" t="n">
        <x:f>M984-J984^2/H984</x:f>
        <x:v>0</x:v>
      </x:c>
      <x:c r="U984" s="8" t="n">
        <x:f>N984-I984*J984/H984</x:f>
        <x:v>0</x:v>
      </x:c>
      <x:c r="V984" s="8" t="n">
        <x:f>O984-I984*K984/H984</x:f>
        <x:v>14.555555555555557</x:v>
      </x:c>
      <x:c r="W984" s="8" t="n">
        <x:f>P984-J984*K984/H984</x:f>
        <x:v>0</x:v>
      </x:c>
      <x:c r="X984" s="8" t="n">
        <x:f>V984/S984</x:f>
        <x:v>0.07705882352941178</x:v>
      </x:c>
      <x:c r="Y984" s="8" t="n">
        <x:f>0</x:f>
        <x:v>0</x:v>
      </x:c>
      <x:c r="Z984" s="8" t="n">
        <x:f>K984/H984-X984*I984/H984-Y984*J984/H984</x:f>
        <x:v>2.332941176470588</x:v>
      </x:c>
      <x:c r="AA984" s="8" t="n">
        <x:f>Z984+X984*Q984+Y984*R984</x:f>
        <x:v>2.1017647058823528</x:v>
      </x:c>
    </x:row>
    <x:row r="985" ht="26" customHeight="1">
      <x:c r="A985" s="2"/>
      <x:c r="B985" s="2" t="n">
        <x:v>980</x:v>
      </x:c>
      <x:c r="C985" s="2" t="str">
        <x:v>Health Care / organic_volume_growth</x:v>
      </x:c>
      <x:c r="D985" s="2" t="str">
        <x:v>Broad market</x:v>
      </x:c>
      <x:c r="E985" s="7" t="n">
        <x:v>45291</x:v>
      </x:c>
      <x:c r="F985" s="2" t="str">
        <x:v>Origin</x:v>
      </x:c>
      <x:c r="G985" s="7" t="n">
        <x:v>45200</x:v>
      </x:c>
      <x:c r="H985" s="2" t="n">
        <x:v>10</x:v>
      </x:c>
      <x:c r="I985" s="8" t="n">
        <x:v>36.567292681299975</x:v>
      </x:c>
      <x:c r="J985" s="8" t="n">
        <x:v>0</x:v>
      </x:c>
      <x:c r="K985" s="8" t="n">
        <x:v>23</x:v>
      </x:c>
      <x:c r="L985" s="8" t="n">
        <x:v>345.1986530501643</x:v>
      </x:c>
      <x:c r="M985" s="8" t="n">
        <x:v>0</x:v>
      </x:c>
      <x:c r="N985" s="8" t="n">
        <x:v>0</x:v>
      </x:c>
      <x:c r="O985" s="8" t="n">
        <x:v>260.73611818825</x:v>
      </x:c>
      <x:c r="P985" s="8" t="n">
        <x:v>0</x:v>
      </x:c>
      <x:c r="Q985" s="8" t="n">
        <x:v>1.0924781953477458</x:v>
      </x:c>
      <x:c r="R985" s="8" t="n">
        <x:v>0</x:v>
      </x:c>
      <x:c r="S985" s="8" t="n">
        <x:f>L985-I985^2/H985</x:f>
        <x:v>211.48196364617883</x:v>
      </x:c>
      <x:c r="T985" s="8" t="n">
        <x:f>M985-J985^2/H985</x:f>
        <x:v>0</x:v>
      </x:c>
      <x:c r="U985" s="8" t="n">
        <x:f>N985-I985*J985/H985</x:f>
        <x:v>0</x:v>
      </x:c>
      <x:c r="V985" s="8" t="n">
        <x:f>O985-I985*K985/H985</x:f>
        <x:v>176.63134502126002</x:v>
      </x:c>
      <x:c r="W985" s="8" t="n">
        <x:f>P985-J985*K985/H985</x:f>
        <x:v>0</x:v>
      </x:c>
      <x:c r="X985" s="8" t="n">
        <x:f>V985/S985</x:f>
        <x:v>0.8352076081380356</x:v>
      </x:c>
      <x:c r="Y985" s="8" t="n">
        <x:f>0</x:f>
        <x:v>0</x:v>
      </x:c>
      <x:c r="Z985" s="8" t="n">
        <x:f>K985/H985-X985*I985/H985-Y985*J985/H985</x:f>
        <x:v>-0.754128105643205</x:v>
      </x:c>
      <x:c r="AA985" s="8" t="n">
        <x:f>Z985+X985*Q985+Y985*R985</x:f>
        <x:v>0.1583179948361434</x:v>
      </x:c>
    </x:row>
    <x:row r="986" ht="26" customHeight="1">
      <x:c r="A986" s="2"/>
      <x:c r="B986" s="2" t="n">
        <x:v>981</x:v>
      </x:c>
      <x:c r="C986" s="2" t="str">
        <x:v>Health Care / organic_volume_growth</x:v>
      </x:c>
      <x:c r="D986" s="2" t="str">
        <x:v>Broad rolling 8</x:v>
      </x:c>
      <x:c r="E986" s="7" t="n">
        <x:v>45291</x:v>
      </x:c>
      <x:c r="F986" s="2" t="str">
        <x:v>Origin</x:v>
      </x:c>
      <x:c r="G986" s="7" t="n">
        <x:v>45200</x:v>
      </x:c>
      <x:c r="H986" s="2" t="n">
        <x:v>8</x:v>
      </x:c>
      <x:c r="I986" s="8" t="n">
        <x:v>16.237449689275486</x:v>
      </x:c>
      <x:c r="J986" s="8" t="n">
        <x:v>0</x:v>
      </x:c>
      <x:c r="K986" s="8" t="n">
        <x:v>10</x:v>
      </x:c>
      <x:c r="L986" s="8" t="n">
        <x:v>110.53830054061801</x:v>
      </x:c>
      <x:c r="M986" s="8" t="n">
        <x:v>0</x:v>
      </x:c>
      <x:c r="N986" s="8" t="n">
        <x:v>0</x:v>
      </x:c>
      <x:c r="O986" s="8" t="n">
        <x:v>79.94269390604212</x:v>
      </x:c>
      <x:c r="P986" s="8" t="n">
        <x:v>0</x:v>
      </x:c>
      <x:c r="Q986" s="8" t="n">
        <x:v>1.0924781953477458</x:v>
      </x:c>
      <x:c r="R986" s="8" t="n">
        <x:v>0</x:v>
      </x:c>
      <x:c r="S986" s="8" t="n">
        <x:f>L986-I986^2/H986</x:f>
        <x:v>77.58145398914894</x:v>
      </x:c>
      <x:c r="T986" s="8" t="n">
        <x:f>M986-J986^2/H986</x:f>
        <x:v>0</x:v>
      </x:c>
      <x:c r="U986" s="8" t="n">
        <x:f>N986-I986*J986/H986</x:f>
        <x:v>0</x:v>
      </x:c>
      <x:c r="V986" s="8" t="n">
        <x:f>O986-I986*K986/H986</x:f>
        <x:v>59.64588179444777</x:v>
      </x:c>
      <x:c r="W986" s="8" t="n">
        <x:f>P986-J986*K986/H986</x:f>
        <x:v>0</x:v>
      </x:c>
      <x:c r="X986" s="8" t="n">
        <x:f>V986/S986</x:f>
        <x:v>0.7688162405771647</x:v>
      </x:c>
      <x:c r="Y986" s="8" t="n">
        <x:f>0</x:f>
        <x:v>0</x:v>
      </x:c>
      <x:c r="Z986" s="8" t="n">
        <x:f>K986/H986-X986*I986/H986-Y986*J986/H986</x:f>
        <x:v>-0.3104518783337038</x:v>
      </x:c>
      <x:c r="AA986" s="8" t="n">
        <x:f>Z986+X986*Q986+Y986*R986</x:f>
        <x:v>0.5294631007260755</x:v>
      </x:c>
    </x:row>
    <x:row r="987" ht="26" customHeight="1">
      <x:c r="A987" s="2"/>
      <x:c r="B987" s="2" t="n">
        <x:v>982</x:v>
      </x:c>
      <x:c r="C987" s="2" t="str">
        <x:v>Health Care / organic_volume_growth</x:v>
      </x:c>
      <x:c r="D987" s="2" t="str">
        <x:v>Own history</x:v>
      </x:c>
      <x:c r="E987" s="7" t="n">
        <x:v>45291</x:v>
      </x:c>
      <x:c r="F987" s="2" t="str">
        <x:v>Origin</x:v>
      </x:c>
      <x:c r="G987" s="7" t="n">
        <x:v>45200</x:v>
      </x:c>
      <x:c r="H987" s="2" t="n">
        <x:v>8</x:v>
      </x:c>
      <x:c r="I987" s="8" t="n">
        <x:v>25</x:v>
      </x:c>
      <x:c r="J987" s="8" t="n">
        <x:v>0</x:v>
      </x:c>
      <x:c r="K987" s="8" t="n">
        <x:v>10</x:v>
      </x:c>
      <x:c r="L987" s="8" t="n">
        <x:v>263</x:v>
      </x:c>
      <x:c r="M987" s="8" t="n">
        <x:v>0</x:v>
      </x:c>
      <x:c r="N987" s="8" t="n">
        <x:v>0</x:v>
      </x:c>
      <x:c r="O987" s="8" t="n">
        <x:v>61</x:v>
      </x:c>
      <x:c r="P987" s="8" t="n">
        <x:v>0</x:v>
      </x:c>
      <x:c r="Q987" s="8" t="n">
        <x:v>-3</x:v>
      </x:c>
      <x:c r="R987" s="8" t="n">
        <x:v>0</x:v>
      </x:c>
      <x:c r="S987" s="8" t="n">
        <x:f>L987-I987^2/H987</x:f>
        <x:v>184.875</x:v>
      </x:c>
      <x:c r="T987" s="8" t="n">
        <x:f>M987-J987^2/H987</x:f>
        <x:v>0</x:v>
      </x:c>
      <x:c r="U987" s="8" t="n">
        <x:f>N987-I987*J987/H987</x:f>
        <x:v>0</x:v>
      </x:c>
      <x:c r="V987" s="8" t="n">
        <x:f>O987-I987*K987/H987</x:f>
        <x:v>29.75</x:v>
      </x:c>
      <x:c r="W987" s="8" t="n">
        <x:f>P987-J987*K987/H987</x:f>
        <x:v>0</x:v>
      </x:c>
      <x:c r="X987" s="8" t="n">
        <x:f>V987/S987</x:f>
        <x:v>0.16091954022988506</x:v>
      </x:c>
      <x:c r="Y987" s="8" t="n">
        <x:f>0</x:f>
        <x:v>0</x:v>
      </x:c>
      <x:c r="Z987" s="8" t="n">
        <x:f>K987/H987-X987*I987/H987-Y987*J987/H987</x:f>
        <x:v>0.7471264367816092</x:v>
      </x:c>
      <x:c r="AA987" s="8" t="n">
        <x:f>Z987+X987*Q987+Y987*R987</x:f>
        <x:v>0.26436781609195403</x:v>
      </x:c>
    </x:row>
    <x:row r="988" ht="26" customHeight="1">
      <x:c r="A988" s="2"/>
      <x:c r="B988" s="2" t="n">
        <x:v>983</x:v>
      </x:c>
      <x:c r="C988" s="2" t="str">
        <x:v>Health Care / organic_volume_growth</x:v>
      </x:c>
      <x:c r="D988" s="2" t="str">
        <x:v>Broad market</x:v>
      </x:c>
      <x:c r="E988" s="7" t="n">
        <x:v>45291</x:v>
      </x:c>
      <x:c r="F988" s="2" t="str">
        <x:v>Prior report</x:v>
      </x:c>
      <x:c r="G988" s="7" t="n">
        <x:v>45217</x:v>
      </x:c>
      <x:c r="H988" s="2" t="n">
        <x:v>10</x:v>
      </x:c>
      <x:c r="I988" s="8" t="n">
        <x:v>36.567292681299975</x:v>
      </x:c>
      <x:c r="J988" s="8" t="n">
        <x:v>0</x:v>
      </x:c>
      <x:c r="K988" s="8" t="n">
        <x:v>23</x:v>
      </x:c>
      <x:c r="L988" s="8" t="n">
        <x:v>345.1986530501643</x:v>
      </x:c>
      <x:c r="M988" s="8" t="n">
        <x:v>0</x:v>
      </x:c>
      <x:c r="N988" s="8" t="n">
        <x:v>0</x:v>
      </x:c>
      <x:c r="O988" s="8" t="n">
        <x:v>260.73611818825</x:v>
      </x:c>
      <x:c r="P988" s="8" t="n">
        <x:v>0</x:v>
      </x:c>
      <x:c r="Q988" s="8" t="n">
        <x:v>1.0924781953477458</x:v>
      </x:c>
      <x:c r="R988" s="8" t="n">
        <x:v>0</x:v>
      </x:c>
      <x:c r="S988" s="8" t="n">
        <x:f>L988-I988^2/H988</x:f>
        <x:v>211.48196364617883</x:v>
      </x:c>
      <x:c r="T988" s="8" t="n">
        <x:f>M988-J988^2/H988</x:f>
        <x:v>0</x:v>
      </x:c>
      <x:c r="U988" s="8" t="n">
        <x:f>N988-I988*J988/H988</x:f>
        <x:v>0</x:v>
      </x:c>
      <x:c r="V988" s="8" t="n">
        <x:f>O988-I988*K988/H988</x:f>
        <x:v>176.63134502126002</x:v>
      </x:c>
      <x:c r="W988" s="8" t="n">
        <x:f>P988-J988*K988/H988</x:f>
        <x:v>0</x:v>
      </x:c>
      <x:c r="X988" s="8" t="n">
        <x:f>V988/S988</x:f>
        <x:v>0.8352076081380356</x:v>
      </x:c>
      <x:c r="Y988" s="8" t="n">
        <x:f>0</x:f>
        <x:v>0</x:v>
      </x:c>
      <x:c r="Z988" s="8" t="n">
        <x:f>K988/H988-X988*I988/H988-Y988*J988/H988</x:f>
        <x:v>-0.754128105643205</x:v>
      </x:c>
      <x:c r="AA988" s="8" t="n">
        <x:f>Z988+X988*Q988+Y988*R988</x:f>
        <x:v>0.1583179948361434</x:v>
      </x:c>
    </x:row>
    <x:row r="989" ht="26" customHeight="1">
      <x:c r="A989" s="2"/>
      <x:c r="B989" s="2" t="n">
        <x:v>984</x:v>
      </x:c>
      <x:c r="C989" s="2" t="str">
        <x:v>Health Care / organic_volume_growth</x:v>
      </x:c>
      <x:c r="D989" s="2" t="str">
        <x:v>Broad rolling 8</x:v>
      </x:c>
      <x:c r="E989" s="7" t="n">
        <x:v>45291</x:v>
      </x:c>
      <x:c r="F989" s="2" t="str">
        <x:v>Prior report</x:v>
      </x:c>
      <x:c r="G989" s="7" t="n">
        <x:v>45217</x:v>
      </x:c>
      <x:c r="H989" s="2" t="n">
        <x:v>8</x:v>
      </x:c>
      <x:c r="I989" s="8" t="n">
        <x:v>16.237449689275486</x:v>
      </x:c>
      <x:c r="J989" s="8" t="n">
        <x:v>0</x:v>
      </x:c>
      <x:c r="K989" s="8" t="n">
        <x:v>10</x:v>
      </x:c>
      <x:c r="L989" s="8" t="n">
        <x:v>110.53830054061801</x:v>
      </x:c>
      <x:c r="M989" s="8" t="n">
        <x:v>0</x:v>
      </x:c>
      <x:c r="N989" s="8" t="n">
        <x:v>0</x:v>
      </x:c>
      <x:c r="O989" s="8" t="n">
        <x:v>79.94269390604212</x:v>
      </x:c>
      <x:c r="P989" s="8" t="n">
        <x:v>0</x:v>
      </x:c>
      <x:c r="Q989" s="8" t="n">
        <x:v>1.0924781953477458</x:v>
      </x:c>
      <x:c r="R989" s="8" t="n">
        <x:v>0</x:v>
      </x:c>
      <x:c r="S989" s="8" t="n">
        <x:f>L989-I989^2/H989</x:f>
        <x:v>77.58145398914894</x:v>
      </x:c>
      <x:c r="T989" s="8" t="n">
        <x:f>M989-J989^2/H989</x:f>
        <x:v>0</x:v>
      </x:c>
      <x:c r="U989" s="8" t="n">
        <x:f>N989-I989*J989/H989</x:f>
        <x:v>0</x:v>
      </x:c>
      <x:c r="V989" s="8" t="n">
        <x:f>O989-I989*K989/H989</x:f>
        <x:v>59.64588179444777</x:v>
      </x:c>
      <x:c r="W989" s="8" t="n">
        <x:f>P989-J989*K989/H989</x:f>
        <x:v>0</x:v>
      </x:c>
      <x:c r="X989" s="8" t="n">
        <x:f>V989/S989</x:f>
        <x:v>0.7688162405771647</x:v>
      </x:c>
      <x:c r="Y989" s="8" t="n">
        <x:f>0</x:f>
        <x:v>0</x:v>
      </x:c>
      <x:c r="Z989" s="8" t="n">
        <x:f>K989/H989-X989*I989/H989-Y989*J989/H989</x:f>
        <x:v>-0.3104518783337038</x:v>
      </x:c>
      <x:c r="AA989" s="8" t="n">
        <x:f>Z989+X989*Q989+Y989*R989</x:f>
        <x:v>0.5294631007260755</x:v>
      </x:c>
    </x:row>
    <x:row r="990" ht="26" customHeight="1">
      <x:c r="A990" s="2"/>
      <x:c r="B990" s="2" t="n">
        <x:v>985</x:v>
      </x:c>
      <x:c r="C990" s="2" t="str">
        <x:v>Health Care / organic_volume_growth</x:v>
      </x:c>
      <x:c r="D990" s="2" t="str">
        <x:v>Own history</x:v>
      </x:c>
      <x:c r="E990" s="7" t="n">
        <x:v>45291</x:v>
      </x:c>
      <x:c r="F990" s="2" t="str">
        <x:v>Prior report</x:v>
      </x:c>
      <x:c r="G990" s="7" t="n">
        <x:v>45217</x:v>
      </x:c>
      <x:c r="H990" s="2" t="n">
        <x:v>10</x:v>
      </x:c>
      <x:c r="I990" s="8" t="n">
        <x:v>23</x:v>
      </x:c>
      <x:c r="J990" s="8" t="n">
        <x:v>0</x:v>
      </x:c>
      <x:c r="K990" s="8" t="n">
        <x:v>25</x:v>
      </x:c>
      <x:c r="L990" s="8" t="n">
        <x:v>273</x:v>
      </x:c>
      <x:c r="M990" s="8" t="n">
        <x:v>0</x:v>
      </x:c>
      <x:c r="N990" s="8" t="n">
        <x:v>0</x:v>
      </x:c>
      <x:c r="O990" s="8" t="n">
        <x:v>75</x:v>
      </x:c>
      <x:c r="P990" s="8" t="n">
        <x:v>0</x:v>
      </x:c>
      <x:c r="Q990" s="8" t="n">
        <x:v>2</x:v>
      </x:c>
      <x:c r="R990" s="8" t="n">
        <x:v>0</x:v>
      </x:c>
      <x:c r="S990" s="8" t="n">
        <x:f>L990-I990^2/H990</x:f>
        <x:v>220.1</x:v>
      </x:c>
      <x:c r="T990" s="8" t="n">
        <x:f>M990-J990^2/H990</x:f>
        <x:v>0</x:v>
      </x:c>
      <x:c r="U990" s="8" t="n">
        <x:f>N990-I990*J990/H990</x:f>
        <x:v>0</x:v>
      </x:c>
      <x:c r="V990" s="8" t="n">
        <x:f>O990-I990*K990/H990</x:f>
        <x:v>17.5</x:v>
      </x:c>
      <x:c r="W990" s="8" t="n">
        <x:f>P990-J990*K990/H990</x:f>
        <x:v>0</x:v>
      </x:c>
      <x:c r="X990" s="8" t="n">
        <x:f>V990/S990</x:f>
        <x:v>0.07950931394820536</x:v>
      </x:c>
      <x:c r="Y990" s="8" t="n">
        <x:f>0</x:f>
        <x:v>0</x:v>
      </x:c>
      <x:c r="Z990" s="8" t="n">
        <x:f>K990/H990-X990*I990/H990-Y990*J990/H990</x:f>
        <x:v>2.3171285779191275</x:v>
      </x:c>
      <x:c r="AA990" s="8" t="n">
        <x:f>Z990+X990*Q990+Y990*R990</x:f>
        <x:v>2.476147205815538</x:v>
      </x:c>
    </x:row>
    <x:row r="991" ht="26" customHeight="1">
      <x:c r="A991" s="2"/>
      <x:c r="B991" s="2" t="n">
        <x:v>986</x:v>
      </x:c>
      <x:c r="C991" s="2" t="str">
        <x:v>Health Care / organic_volume_growth</x:v>
      </x:c>
      <x:c r="D991" s="2" t="str">
        <x:v>Broad market</x:v>
      </x:c>
      <x:c r="E991" s="7" t="n">
        <x:v>45291</x:v>
      </x:c>
      <x:c r="F991" s="2" t="str">
        <x:v>Pre-earnings</x:v>
      </x:c>
      <x:c r="G991" s="7" t="n">
        <x:v>45313</x:v>
      </x:c>
      <x:c r="H991" s="2" t="n">
        <x:v>11</x:v>
      </x:c>
      <x:c r="I991" s="8" t="n">
        <x:v>38.00115718712883</x:v>
      </x:c>
      <x:c r="J991" s="8" t="n">
        <x:v>0</x:v>
      </x:c>
      <x:c r="K991" s="8" t="n">
        <x:v>25</x:v>
      </x:c>
      <x:c r="L991" s="8" t="n">
        <x:v>347.2546204712401</x:v>
      </x:c>
      <x:c r="M991" s="8" t="n">
        <x:v>0</x:v>
      </x:c>
      <x:c r="N991" s="8" t="n">
        <x:v>0</x:v>
      </x:c>
      <x:c r="O991" s="8" t="n">
        <x:v>263.60384719990765</x:v>
      </x:c>
      <x:c r="P991" s="8" t="n">
        <x:v>0</x:v>
      </x:c>
      <x:c r="Q991" s="8" t="n">
        <x:v>1.491718651029772</x:v>
      </x:c>
      <x:c r="R991" s="8" t="n">
        <x:v>0</x:v>
      </x:c>
      <x:c r="S991" s="8" t="n">
        <x:f>L991-I991^2/H991</x:f>
        <x:v>215.9738979657062</x:v>
      </x:c>
      <x:c r="T991" s="8" t="n">
        <x:f>M991-J991^2/H991</x:f>
        <x:v>0</x:v>
      </x:c>
      <x:c r="U991" s="8" t="n">
        <x:f>N991-I991*J991/H991</x:f>
        <x:v>0</x:v>
      </x:c>
      <x:c r="V991" s="8" t="n">
        <x:f>O991-I991*K991/H991</x:f>
        <x:v>177.23758086552394</x:v>
      </x:c>
      <x:c r="W991" s="8" t="n">
        <x:f>P991-J991*K991/H991</x:f>
        <x:v>0</x:v>
      </x:c>
      <x:c r="X991" s="8" t="n">
        <x:f>V991/S991</x:f>
        <x:v>0.8206435246803154</x:v>
      </x:c>
      <x:c r="Y991" s="8" t="n">
        <x:f>0</x:f>
        <x:v>0</x:v>
      </x:c>
      <x:c r="Z991" s="8" t="n">
        <x:f>K991/H991-X991*I991/H991-Y991*J991/H991</x:f>
        <x:v>-0.5623094159978277</x:v>
      </x:c>
      <x:c r="AA991" s="8" t="n">
        <x:f>Z991+X991*Q991+Y991*R991</x:f>
        <x:v>0.6618598356146099</x:v>
      </x:c>
    </x:row>
    <x:row r="992" ht="26" customHeight="1">
      <x:c r="A992" s="2"/>
      <x:c r="B992" s="2" t="n">
        <x:v>987</x:v>
      </x:c>
      <x:c r="C992" s="2" t="str">
        <x:v>Health Care / organic_volume_growth</x:v>
      </x:c>
      <x:c r="D992" s="2" t="str">
        <x:v>Broad lag 1</x:v>
      </x:c>
      <x:c r="E992" s="7" t="n">
        <x:v>45291</x:v>
      </x:c>
      <x:c r="F992" s="2" t="str">
        <x:v>Pre-earnings</x:v>
      </x:c>
      <x:c r="G992" s="7" t="n">
        <x:v>45313</x:v>
      </x:c>
      <x:c r="H992" s="2" t="n">
        <x:v>10</x:v>
      </x:c>
      <x:c r="I992" s="8" t="n">
        <x:v>36.567292681299975</x:v>
      </x:c>
      <x:c r="J992" s="8" t="n">
        <x:v>0</x:v>
      </x:c>
      <x:c r="K992" s="8" t="n">
        <x:v>25</x:v>
      </x:c>
      <x:c r="L992" s="8" t="n">
        <x:v>345.1986530501643</x:v>
      </x:c>
      <x:c r="M992" s="8" t="n">
        <x:v>0</x:v>
      </x:c>
      <x:c r="N992" s="8" t="n">
        <x:v>0</x:v>
      </x:c>
      <x:c r="O992" s="8" t="n">
        <x:v>208.09464438201545</x:v>
      </x:c>
      <x:c r="P992" s="8" t="n">
        <x:v>0</x:v>
      </x:c>
      <x:c r="Q992" s="8" t="n">
        <x:v>1.4338645058288524</x:v>
      </x:c>
      <x:c r="R992" s="8" t="n">
        <x:v>0</x:v>
      </x:c>
      <x:c r="S992" s="8" t="n">
        <x:f>L992-I992^2/H992</x:f>
        <x:v>211.48196364617883</x:v>
      </x:c>
      <x:c r="T992" s="8" t="n">
        <x:f>M992-J992^2/H992</x:f>
        <x:v>0</x:v>
      </x:c>
      <x:c r="U992" s="8" t="n">
        <x:f>N992-I992*J992/H992</x:f>
        <x:v>0</x:v>
      </x:c>
      <x:c r="V992" s="8" t="n">
        <x:f>O992-I992*K992/H992</x:f>
        <x:v>116.67641267876552</x:v>
      </x:c>
      <x:c r="W992" s="8" t="n">
        <x:f>P992-J992*K992/H992</x:f>
        <x:v>0</x:v>
      </x:c>
      <x:c r="X992" s="8" t="n">
        <x:f>V992/S992</x:f>
        <x:v>0.5517085744199524</x:v>
      </x:c>
      <x:c r="Y992" s="8" t="n">
        <x:f>0</x:f>
        <x:v>0</x:v>
      </x:c>
      <x:c r="Z992" s="8" t="n">
        <x:f>K992/H992-X992*I992/H992-Y992*J992/H992</x:f>
        <x:v>0.48255110844028337</x:v>
      </x:c>
      <x:c r="AA992" s="8" t="n">
        <x:f>Z992+X992*Q992+Y992*R992</x:f>
        <x:v>1.273626450862489</x:v>
      </x:c>
    </x:row>
    <x:row r="993" ht="26" customHeight="1">
      <x:c r="A993" s="2"/>
      <x:c r="B993" s="2" t="n">
        <x:v>988</x:v>
      </x:c>
      <x:c r="C993" s="2" t="str">
        <x:v>Health Care / organic_volume_growth</x:v>
      </x:c>
      <x:c r="D993" s="2" t="str">
        <x:v>Broad rolling 8</x:v>
      </x:c>
      <x:c r="E993" s="7" t="n">
        <x:v>45291</x:v>
      </x:c>
      <x:c r="F993" s="2" t="str">
        <x:v>Pre-earnings</x:v>
      </x:c>
      <x:c r="G993" s="7" t="n">
        <x:v>45313</x:v>
      </x:c>
      <x:c r="H993" s="2" t="n">
        <x:v>8</x:v>
      </x:c>
      <x:c r="I993" s="8" t="n">
        <x:v>10.87506296757349</x:v>
      </x:c>
      <x:c r="J993" s="8" t="n">
        <x:v>0</x:v>
      </x:c>
      <x:c r="K993" s="8" t="n">
        <x:v>9</x:v>
      </x:c>
      <x:c r="L993" s="8" t="n">
        <x:v>66.40523721397928</x:v>
      </x:c>
      <x:c r="M993" s="8" t="n">
        <x:v>0</x:v>
      </x:c>
      <x:c r="N993" s="8" t="n">
        <x:v>0</x:v>
      </x:c>
      <x:c r="O993" s="8" t="n">
        <x:v>62.42166923510729</x:v>
      </x:c>
      <x:c r="P993" s="8" t="n">
        <x:v>0</x:v>
      </x:c>
      <x:c r="Q993" s="8" t="n">
        <x:v>1.491718651029772</x:v>
      </x:c>
      <x:c r="R993" s="8" t="n">
        <x:v>0</x:v>
      </x:c>
      <x:c r="S993" s="8" t="n">
        <x:f>L993-I993^2/H993</x:f>
        <x:v>51.621862895393235</x:v>
      </x:c>
      <x:c r="T993" s="8" t="n">
        <x:f>M993-J993^2/H993</x:f>
        <x:v>0</x:v>
      </x:c>
      <x:c r="U993" s="8" t="n">
        <x:f>N993-I993*J993/H993</x:f>
        <x:v>0</x:v>
      </x:c>
      <x:c r="V993" s="8" t="n">
        <x:f>O993-I993*K993/H993</x:f>
        <x:v>50.187223396587115</x:v>
      </x:c>
      <x:c r="W993" s="8" t="n">
        <x:f>P993-J993*K993/H993</x:f>
        <x:v>0</x:v>
      </x:c>
      <x:c r="X993" s="8" t="n">
        <x:f>V993/S993</x:f>
        <x:v>0.9722086841051575</x:v>
      </x:c>
      <x:c r="Y993" s="8" t="n">
        <x:f>0</x:f>
        <x:v>0</x:v>
      </x:c>
      <x:c r="Z993" s="8" t="n">
        <x:f>K993/H993-X993*I993/H993-Y993*J993/H993</x:f>
        <x:v>-0.1966038321581689</x:v>
      </x:c>
      <x:c r="AA993" s="8" t="n">
        <x:f>Z993+X993*Q993+Y993*R993</x:f>
        <x:v>1.2536579946146063</x:v>
      </x:c>
    </x:row>
    <x:row r="994" ht="26" customHeight="1">
      <x:c r="A994" s="2"/>
      <x:c r="B994" s="2" t="n">
        <x:v>989</x:v>
      </x:c>
      <x:c r="C994" s="2" t="str">
        <x:v>Health Care / organic_volume_growth</x:v>
      </x:c>
      <x:c r="D994" s="2" t="str">
        <x:v>Own history</x:v>
      </x:c>
      <x:c r="E994" s="7" t="n">
        <x:v>45291</x:v>
      </x:c>
      <x:c r="F994" s="2" t="str">
        <x:v>Pre-earnings</x:v>
      </x:c>
      <x:c r="G994" s="7" t="n">
        <x:v>45313</x:v>
      </x:c>
      <x:c r="H994" s="2" t="n">
        <x:v>10</x:v>
      </x:c>
      <x:c r="I994" s="8" t="n">
        <x:v>23</x:v>
      </x:c>
      <x:c r="J994" s="8" t="n">
        <x:v>0</x:v>
      </x:c>
      <x:c r="K994" s="8" t="n">
        <x:v>25</x:v>
      </x:c>
      <x:c r="L994" s="8" t="n">
        <x:v>273</x:v>
      </x:c>
      <x:c r="M994" s="8" t="n">
        <x:v>0</x:v>
      </x:c>
      <x:c r="N994" s="8" t="n">
        <x:v>0</x:v>
      </x:c>
      <x:c r="O994" s="8" t="n">
        <x:v>75</x:v>
      </x:c>
      <x:c r="P994" s="8" t="n">
        <x:v>0</x:v>
      </x:c>
      <x:c r="Q994" s="8" t="n">
        <x:v>2</x:v>
      </x:c>
      <x:c r="R994" s="8" t="n">
        <x:v>0</x:v>
      </x:c>
      <x:c r="S994" s="8" t="n">
        <x:f>L994-I994^2/H994</x:f>
        <x:v>220.1</x:v>
      </x:c>
      <x:c r="T994" s="8" t="n">
        <x:f>M994-J994^2/H994</x:f>
        <x:v>0</x:v>
      </x:c>
      <x:c r="U994" s="8" t="n">
        <x:f>N994-I994*J994/H994</x:f>
        <x:v>0</x:v>
      </x:c>
      <x:c r="V994" s="8" t="n">
        <x:f>O994-I994*K994/H994</x:f>
        <x:v>17.5</x:v>
      </x:c>
      <x:c r="W994" s="8" t="n">
        <x:f>P994-J994*K994/H994</x:f>
        <x:v>0</x:v>
      </x:c>
      <x:c r="X994" s="8" t="n">
        <x:f>V994/S994</x:f>
        <x:v>0.07950931394820536</x:v>
      </x:c>
      <x:c r="Y994" s="8" t="n">
        <x:f>0</x:f>
        <x:v>0</x:v>
      </x:c>
      <x:c r="Z994" s="8" t="n">
        <x:f>K994/H994-X994*I994/H994-Y994*J994/H994</x:f>
        <x:v>2.3171285779191275</x:v>
      </x:c>
      <x:c r="AA994" s="8" t="n">
        <x:f>Z994+X994*Q994+Y994*R994</x:f>
        <x:v>2.476147205815538</x:v>
      </x:c>
    </x:row>
    <x:row r="995" ht="26" customHeight="1">
      <x:c r="A995" s="2"/>
      <x:c r="B995" s="2" t="n">
        <x:v>990</x:v>
      </x:c>
      <x:c r="C995" s="2" t="str">
        <x:v>Health Care / organic_volume_growth</x:v>
      </x:c>
      <x:c r="D995" s="2" t="str">
        <x:v>Broad market</x:v>
      </x:c>
      <x:c r="E995" s="7" t="n">
        <x:v>45382</x:v>
      </x:c>
      <x:c r="F995" s="2" t="str">
        <x:v>Origin</x:v>
      </x:c>
      <x:c r="G995" s="7" t="n">
        <x:v>45292</x:v>
      </x:c>
      <x:c r="H995" s="2" t="n">
        <x:v>11</x:v>
      </x:c>
      <x:c r="I995" s="8" t="n">
        <x:v>38.00115718712883</x:v>
      </x:c>
      <x:c r="J995" s="8" t="n">
        <x:v>0</x:v>
      </x:c>
      <x:c r="K995" s="8" t="n">
        <x:v>25</x:v>
      </x:c>
      <x:c r="L995" s="8" t="n">
        <x:v>347.2546204712401</x:v>
      </x:c>
      <x:c r="M995" s="8" t="n">
        <x:v>0</x:v>
      </x:c>
      <x:c r="N995" s="8" t="n">
        <x:v>0</x:v>
      </x:c>
      <x:c r="O995" s="8" t="n">
        <x:v>263.60384719990765</x:v>
      </x:c>
      <x:c r="P995" s="8" t="n">
        <x:v>0</x:v>
      </x:c>
      <x:c r="Q995" s="8" t="n">
        <x:v>1.39166817713261</x:v>
      </x:c>
      <x:c r="R995" s="8" t="n">
        <x:v>0</x:v>
      </x:c>
      <x:c r="S995" s="8" t="n">
        <x:f>L995-I995^2/H995</x:f>
        <x:v>215.9738979657062</x:v>
      </x:c>
      <x:c r="T995" s="8" t="n">
        <x:f>M995-J995^2/H995</x:f>
        <x:v>0</x:v>
      </x:c>
      <x:c r="U995" s="8" t="n">
        <x:f>N995-I995*J995/H995</x:f>
        <x:v>0</x:v>
      </x:c>
      <x:c r="V995" s="8" t="n">
        <x:f>O995-I995*K995/H995</x:f>
        <x:v>177.23758086552394</x:v>
      </x:c>
      <x:c r="W995" s="8" t="n">
        <x:f>P995-J995*K995/H995</x:f>
        <x:v>0</x:v>
      </x:c>
      <x:c r="X995" s="8" t="n">
        <x:f>V995/S995</x:f>
        <x:v>0.8206435246803154</x:v>
      </x:c>
      <x:c r="Y995" s="8" t="n">
        <x:f>0</x:f>
        <x:v>0</x:v>
      </x:c>
      <x:c r="Z995" s="8" t="n">
        <x:f>K995/H995-X995*I995/H995-Y995*J995/H995</x:f>
        <x:v>-0.5623094159978277</x:v>
      </x:c>
      <x:c r="AA995" s="8" t="n">
        <x:f>Z995+X995*Q995+Y995*R995</x:f>
        <x:v>0.579754062069707</x:v>
      </x:c>
    </x:row>
    <x:row r="996" ht="26" customHeight="1">
      <x:c r="A996" s="2"/>
      <x:c r="B996" s="2" t="n">
        <x:v>991</x:v>
      </x:c>
      <x:c r="C996" s="2" t="str">
        <x:v>Health Care / organic_volume_growth</x:v>
      </x:c>
      <x:c r="D996" s="2" t="str">
        <x:v>Broad rolling 8</x:v>
      </x:c>
      <x:c r="E996" s="7" t="n">
        <x:v>45382</x:v>
      </x:c>
      <x:c r="F996" s="2" t="str">
        <x:v>Origin</x:v>
      </x:c>
      <x:c r="G996" s="7" t="n">
        <x:v>45292</x:v>
      </x:c>
      <x:c r="H996" s="2" t="n">
        <x:v>8</x:v>
      </x:c>
      <x:c r="I996" s="8" t="n">
        <x:v>10.87506296757349</x:v>
      </x:c>
      <x:c r="J996" s="8" t="n">
        <x:v>0</x:v>
      </x:c>
      <x:c r="K996" s="8" t="n">
        <x:v>9</x:v>
      </x:c>
      <x:c r="L996" s="8" t="n">
        <x:v>66.40523721397928</x:v>
      </x:c>
      <x:c r="M996" s="8" t="n">
        <x:v>0</x:v>
      </x:c>
      <x:c r="N996" s="8" t="n">
        <x:v>0</x:v>
      </x:c>
      <x:c r="O996" s="8" t="n">
        <x:v>62.42166923510729</x:v>
      </x:c>
      <x:c r="P996" s="8" t="n">
        <x:v>0</x:v>
      </x:c>
      <x:c r="Q996" s="8" t="n">
        <x:v>1.39166817713261</x:v>
      </x:c>
      <x:c r="R996" s="8" t="n">
        <x:v>0</x:v>
      </x:c>
      <x:c r="S996" s="8" t="n">
        <x:f>L996-I996^2/H996</x:f>
        <x:v>51.621862895393235</x:v>
      </x:c>
      <x:c r="T996" s="8" t="n">
        <x:f>M996-J996^2/H996</x:f>
        <x:v>0</x:v>
      </x:c>
      <x:c r="U996" s="8" t="n">
        <x:f>N996-I996*J996/H996</x:f>
        <x:v>0</x:v>
      </x:c>
      <x:c r="V996" s="8" t="n">
        <x:f>O996-I996*K996/H996</x:f>
        <x:v>50.187223396587115</x:v>
      </x:c>
      <x:c r="W996" s="8" t="n">
        <x:f>P996-J996*K996/H996</x:f>
        <x:v>0</x:v>
      </x:c>
      <x:c r="X996" s="8" t="n">
        <x:f>V996/S996</x:f>
        <x:v>0.9722086841051575</x:v>
      </x:c>
      <x:c r="Y996" s="8" t="n">
        <x:f>0</x:f>
        <x:v>0</x:v>
      </x:c>
      <x:c r="Z996" s="8" t="n">
        <x:f>K996/H996-X996*I996/H996-Y996*J996/H996</x:f>
        <x:v>-0.1966038321581689</x:v>
      </x:c>
      <x:c r="AA996" s="8" t="n">
        <x:f>Z996+X996*Q996+Y996*R996</x:f>
        <x:v>1.156388055042949</x:v>
      </x:c>
    </x:row>
    <x:row r="997" ht="26" customHeight="1">
      <x:c r="A997" s="2"/>
      <x:c r="B997" s="2" t="n">
        <x:v>992</x:v>
      </x:c>
      <x:c r="C997" s="2" t="str">
        <x:v>Health Care / organic_volume_growth</x:v>
      </x:c>
      <x:c r="D997" s="2" t="str">
        <x:v>Own history</x:v>
      </x:c>
      <x:c r="E997" s="7" t="n">
        <x:v>45382</x:v>
      </x:c>
      <x:c r="F997" s="2" t="str">
        <x:v>Origin</x:v>
      </x:c>
      <x:c r="G997" s="7" t="n">
        <x:v>45292</x:v>
      </x:c>
      <x:c r="H997" s="2" t="n">
        <x:v>9</x:v>
      </x:c>
      <x:c r="I997" s="8" t="n">
        <x:v>26</x:v>
      </x:c>
      <x:c r="J997" s="8" t="n">
        <x:v>0</x:v>
      </x:c>
      <x:c r="K997" s="8" t="n">
        <x:v>12</x:v>
      </x:c>
      <x:c r="L997" s="8" t="n">
        <x:v>264</x:v>
      </x:c>
      <x:c r="M997" s="8" t="n">
        <x:v>0</x:v>
      </x:c>
      <x:c r="N997" s="8" t="n">
        <x:v>0</x:v>
      </x:c>
      <x:c r="O997" s="8" t="n">
        <x:v>63</x:v>
      </x:c>
      <x:c r="P997" s="8" t="n">
        <x:v>0</x:v>
      </x:c>
      <x:c r="Q997" s="8" t="n">
        <x:v>2</x:v>
      </x:c>
      <x:c r="R997" s="8" t="n">
        <x:v>0</x:v>
      </x:c>
      <x:c r="S997" s="8" t="n">
        <x:f>L997-I997^2/H997</x:f>
        <x:v>188.88888888888889</x:v>
      </x:c>
      <x:c r="T997" s="8" t="n">
        <x:f>M997-J997^2/H997</x:f>
        <x:v>0</x:v>
      </x:c>
      <x:c r="U997" s="8" t="n">
        <x:f>N997-I997*J997/H997</x:f>
        <x:v>0</x:v>
      </x:c>
      <x:c r="V997" s="8" t="n">
        <x:f>O997-I997*K997/H997</x:f>
        <x:v>28.333333333333336</x:v>
      </x:c>
      <x:c r="W997" s="8" t="n">
        <x:f>P997-J997*K997/H997</x:f>
        <x:v>0</x:v>
      </x:c>
      <x:c r="X997" s="8" t="n">
        <x:f>V997/S997</x:f>
        <x:v>0.15000000000000002</x:v>
      </x:c>
      <x:c r="Y997" s="8" t="n">
        <x:f>0</x:f>
        <x:v>0</x:v>
      </x:c>
      <x:c r="Z997" s="8" t="n">
        <x:f>K997/H997-X997*I997/H997-Y997*J997/H997</x:f>
        <x:v>0.8999999999999999</x:v>
      </x:c>
      <x:c r="AA997" s="8" t="n">
        <x:f>Z997+X997*Q997+Y997*R997</x:f>
        <x:v>1.2</x:v>
      </x:c>
    </x:row>
    <x:row r="998" ht="26" customHeight="1">
      <x:c r="A998" s="2"/>
      <x:c r="B998" s="2" t="n">
        <x:v>993</x:v>
      </x:c>
      <x:c r="C998" s="2" t="str">
        <x:v>Health Care / organic_volume_growth</x:v>
      </x:c>
      <x:c r="D998" s="2" t="str">
        <x:v>Broad market</x:v>
      </x:c>
      <x:c r="E998" s="7" t="n">
        <x:v>45382</x:v>
      </x:c>
      <x:c r="F998" s="2" t="str">
        <x:v>Prior report</x:v>
      </x:c>
      <x:c r="G998" s="7" t="n">
        <x:v>45314</x:v>
      </x:c>
      <x:c r="H998" s="2" t="n">
        <x:v>11</x:v>
      </x:c>
      <x:c r="I998" s="8" t="n">
        <x:v>38.00115718712883</x:v>
      </x:c>
      <x:c r="J998" s="8" t="n">
        <x:v>0</x:v>
      </x:c>
      <x:c r="K998" s="8" t="n">
        <x:v>25</x:v>
      </x:c>
      <x:c r="L998" s="8" t="n">
        <x:v>347.2546204712401</x:v>
      </x:c>
      <x:c r="M998" s="8" t="n">
        <x:v>0</x:v>
      </x:c>
      <x:c r="N998" s="8" t="n">
        <x:v>0</x:v>
      </x:c>
      <x:c r="O998" s="8" t="n">
        <x:v>263.60384719990765</x:v>
      </x:c>
      <x:c r="P998" s="8" t="n">
        <x:v>0</x:v>
      </x:c>
      <x:c r="Q998" s="8" t="n">
        <x:v>1.39166817713261</x:v>
      </x:c>
      <x:c r="R998" s="8" t="n">
        <x:v>0</x:v>
      </x:c>
      <x:c r="S998" s="8" t="n">
        <x:f>L998-I998^2/H998</x:f>
        <x:v>215.9738979657062</x:v>
      </x:c>
      <x:c r="T998" s="8" t="n">
        <x:f>M998-J998^2/H998</x:f>
        <x:v>0</x:v>
      </x:c>
      <x:c r="U998" s="8" t="n">
        <x:f>N998-I998*J998/H998</x:f>
        <x:v>0</x:v>
      </x:c>
      <x:c r="V998" s="8" t="n">
        <x:f>O998-I998*K998/H998</x:f>
        <x:v>177.23758086552394</x:v>
      </x:c>
      <x:c r="W998" s="8" t="n">
        <x:f>P998-J998*K998/H998</x:f>
        <x:v>0</x:v>
      </x:c>
      <x:c r="X998" s="8" t="n">
        <x:f>V998/S998</x:f>
        <x:v>0.8206435246803154</x:v>
      </x:c>
      <x:c r="Y998" s="8" t="n">
        <x:f>0</x:f>
        <x:v>0</x:v>
      </x:c>
      <x:c r="Z998" s="8" t="n">
        <x:f>K998/H998-X998*I998/H998-Y998*J998/H998</x:f>
        <x:v>-0.5623094159978277</x:v>
      </x:c>
      <x:c r="AA998" s="8" t="n">
        <x:f>Z998+X998*Q998+Y998*R998</x:f>
        <x:v>0.579754062069707</x:v>
      </x:c>
    </x:row>
    <x:row r="999" ht="26" customHeight="1">
      <x:c r="A999" s="2"/>
      <x:c r="B999" s="2" t="n">
        <x:v>994</x:v>
      </x:c>
      <x:c r="C999" s="2" t="str">
        <x:v>Health Care / organic_volume_growth</x:v>
      </x:c>
      <x:c r="D999" s="2" t="str">
        <x:v>Broad rolling 8</x:v>
      </x:c>
      <x:c r="E999" s="7" t="n">
        <x:v>45382</x:v>
      </x:c>
      <x:c r="F999" s="2" t="str">
        <x:v>Prior report</x:v>
      </x:c>
      <x:c r="G999" s="7" t="n">
        <x:v>45314</x:v>
      </x:c>
      <x:c r="H999" s="2" t="n">
        <x:v>8</x:v>
      </x:c>
      <x:c r="I999" s="8" t="n">
        <x:v>10.87506296757349</x:v>
      </x:c>
      <x:c r="J999" s="8" t="n">
        <x:v>0</x:v>
      </x:c>
      <x:c r="K999" s="8" t="n">
        <x:v>9</x:v>
      </x:c>
      <x:c r="L999" s="8" t="n">
        <x:v>66.40523721397928</x:v>
      </x:c>
      <x:c r="M999" s="8" t="n">
        <x:v>0</x:v>
      </x:c>
      <x:c r="N999" s="8" t="n">
        <x:v>0</x:v>
      </x:c>
      <x:c r="O999" s="8" t="n">
        <x:v>62.42166923510729</x:v>
      </x:c>
      <x:c r="P999" s="8" t="n">
        <x:v>0</x:v>
      </x:c>
      <x:c r="Q999" s="8" t="n">
        <x:v>1.39166817713261</x:v>
      </x:c>
      <x:c r="R999" s="8" t="n">
        <x:v>0</x:v>
      </x:c>
      <x:c r="S999" s="8" t="n">
        <x:f>L999-I999^2/H999</x:f>
        <x:v>51.621862895393235</x:v>
      </x:c>
      <x:c r="T999" s="8" t="n">
        <x:f>M999-J999^2/H999</x:f>
        <x:v>0</x:v>
      </x:c>
      <x:c r="U999" s="8" t="n">
        <x:f>N999-I999*J999/H999</x:f>
        <x:v>0</x:v>
      </x:c>
      <x:c r="V999" s="8" t="n">
        <x:f>O999-I999*K999/H999</x:f>
        <x:v>50.187223396587115</x:v>
      </x:c>
      <x:c r="W999" s="8" t="n">
        <x:f>P999-J999*K999/H999</x:f>
        <x:v>0</x:v>
      </x:c>
      <x:c r="X999" s="8" t="n">
        <x:f>V999/S999</x:f>
        <x:v>0.9722086841051575</x:v>
      </x:c>
      <x:c r="Y999" s="8" t="n">
        <x:f>0</x:f>
        <x:v>0</x:v>
      </x:c>
      <x:c r="Z999" s="8" t="n">
        <x:f>K999/H999-X999*I999/H999-Y999*J999/H999</x:f>
        <x:v>-0.1966038321581689</x:v>
      </x:c>
      <x:c r="AA999" s="8" t="n">
        <x:f>Z999+X999*Q999+Y999*R999</x:f>
        <x:v>1.156388055042949</x:v>
      </x:c>
    </x:row>
    <x:row r="1000" ht="26" customHeight="1">
      <x:c r="A1000" s="2"/>
      <x:c r="B1000" s="2" t="n">
        <x:v>995</x:v>
      </x:c>
      <x:c r="C1000" s="2" t="str">
        <x:v>Health Care / organic_volume_growth</x:v>
      </x:c>
      <x:c r="D1000" s="2" t="str">
        <x:v>Own history</x:v>
      </x:c>
      <x:c r="E1000" s="7" t="n">
        <x:v>45382</x:v>
      </x:c>
      <x:c r="F1000" s="2" t="str">
        <x:v>Prior report</x:v>
      </x:c>
      <x:c r="G1000" s="7" t="n">
        <x:v>45314</x:v>
      </x:c>
      <x:c r="H1000" s="2" t="n">
        <x:v>11</x:v>
      </x:c>
      <x:c r="I1000" s="8" t="n">
        <x:v>25</x:v>
      </x:c>
      <x:c r="J1000" s="8" t="n">
        <x:v>0</x:v>
      </x:c>
      <x:c r="K1000" s="8" t="n">
        <x:v>21</x:v>
      </x:c>
      <x:c r="L1000" s="8" t="n">
        <x:v>277</x:v>
      </x:c>
      <x:c r="M1000" s="8" t="n">
        <x:v>0</x:v>
      </x:c>
      <x:c r="N1000" s="8" t="n">
        <x:v>0</x:v>
      </x:c>
      <x:c r="O1000" s="8" t="n">
        <x:v>67</x:v>
      </x:c>
      <x:c r="P1000" s="8" t="n">
        <x:v>0</x:v>
      </x:c>
      <x:c r="Q1000" s="8" t="n">
        <x:v>-4</x:v>
      </x:c>
      <x:c r="R1000" s="8" t="n">
        <x:v>0</x:v>
      </x:c>
      <x:c r="S1000" s="8" t="n">
        <x:f>L1000-I1000^2/H1000</x:f>
        <x:v>220.1818181818182</x:v>
      </x:c>
      <x:c r="T1000" s="8" t="n">
        <x:f>M1000-J1000^2/H1000</x:f>
        <x:v>0</x:v>
      </x:c>
      <x:c r="U1000" s="8" t="n">
        <x:f>N1000-I1000*J1000/H1000</x:f>
        <x:v>0</x:v>
      </x:c>
      <x:c r="V1000" s="8" t="n">
        <x:f>O1000-I1000*K1000/H1000</x:f>
        <x:v>19.272727272727273</x:v>
      </x:c>
      <x:c r="W1000" s="8" t="n">
        <x:f>P1000-J1000*K1000/H1000</x:f>
        <x:v>0</x:v>
      </x:c>
      <x:c r="X1000" s="8" t="n">
        <x:f>V1000/S1000</x:f>
        <x:v>0.08753096614368291</x:v>
      </x:c>
      <x:c r="Y1000" s="8" t="n">
        <x:f>0</x:f>
        <x:v>0</x:v>
      </x:c>
      <x:c r="Z1000" s="8" t="n">
        <x:f>K1000/H1000-X1000*I1000/H1000-Y1000*J1000/H1000</x:f>
        <x:v>1.7101568951279935</x:v>
      </x:c>
      <x:c r="AA1000" s="8" t="n">
        <x:f>Z1000+X1000*Q1000+Y1000*R1000</x:f>
        <x:v>1.3600330305532617</x:v>
      </x:c>
    </x:row>
    <x:row r="1001" ht="26" customHeight="1">
      <x:c r="A1001" s="2"/>
      <x:c r="B1001" s="2" t="n">
        <x:v>996</x:v>
      </x:c>
      <x:c r="C1001" s="2" t="str">
        <x:v>Health Care / organic_volume_growth</x:v>
      </x:c>
      <x:c r="D1001" s="2" t="str">
        <x:v>Broad market</x:v>
      </x:c>
      <x:c r="E1001" s="7" t="n">
        <x:v>45382</x:v>
      </x:c>
      <x:c r="F1001" s="2" t="str">
        <x:v>Pre-earnings</x:v>
      </x:c>
      <x:c r="G1001" s="7" t="n">
        <x:v>45400</x:v>
      </x:c>
      <x:c r="H1001" s="2" t="n">
        <x:v>12</x:v>
      </x:c>
      <x:c r="I1001" s="8" t="n">
        <x:v>40.03102350077526</x:v>
      </x:c>
      <x:c r="J1001" s="8" t="n">
        <x:v>0</x:v>
      </x:c>
      <x:c r="K1001" s="8" t="n">
        <x:v>21</x:v>
      </x:c>
      <x:c r="L1001" s="8" t="n">
        <x:v>351.3749777225167</x:v>
      </x:c>
      <x:c r="M1001" s="8" t="n">
        <x:v>0</x:v>
      </x:c>
      <x:c r="N1001" s="8" t="n">
        <x:v>0</x:v>
      </x:c>
      <x:c r="O1001" s="8" t="n">
        <x:v>255.48438194532193</x:v>
      </x:c>
      <x:c r="P1001" s="8" t="n">
        <x:v>0</x:v>
      </x:c>
      <x:c r="Q1001" s="8" t="n">
        <x:v>1.367016339178151</x:v>
      </x:c>
      <x:c r="R1001" s="8" t="n">
        <x:v>0</x:v>
      </x:c>
      <x:c r="S1001" s="8" t="n">
        <x:f>L1001-I1001^2/H1001</x:f>
        <x:v>217.83474084588158</x:v>
      </x:c>
      <x:c r="T1001" s="8" t="n">
        <x:f>M1001-J1001^2/H1001</x:f>
        <x:v>0</x:v>
      </x:c>
      <x:c r="U1001" s="8" t="n">
        <x:f>N1001-I1001*J1001/H1001</x:f>
        <x:v>0</x:v>
      </x:c>
      <x:c r="V1001" s="8" t="n">
        <x:f>O1001-I1001*K1001/H1001</x:f>
        <x:v>185.4300908189652</x:v>
      </x:c>
      <x:c r="W1001" s="8" t="n">
        <x:f>P1001-J1001*K1001/H1001</x:f>
        <x:v>0</x:v>
      </x:c>
      <x:c r="X1001" s="8" t="n">
        <x:f>V1001/S1001</x:f>
        <x:v>0.8512420475215075</x:v>
      </x:c>
      <x:c r="Y1001" s="8" t="n">
        <x:f>0</x:f>
        <x:v>0</x:v>
      </x:c>
      <x:c r="Z1001" s="8" t="n">
        <x:f>K1001/H1001-X1001*I1001/H1001-Y1001*J1001/H1001</x:f>
        <x:v>-1.0896742007651263</x:v>
      </x:c>
      <x:c r="AA1001" s="8" t="n">
        <x:f>Z1001+X1001*Q1001+Y1001*R1001</x:f>
        <x:v>0.07398758679223838</x:v>
      </x:c>
    </x:row>
    <x:row r="1002" ht="26" customHeight="1">
      <x:c r="A1002" s="2"/>
      <x:c r="B1002" s="2" t="n">
        <x:v>997</x:v>
      </x:c>
      <x:c r="C1002" s="2" t="str">
        <x:v>Health Care / organic_volume_growth</x:v>
      </x:c>
      <x:c r="D1002" s="2" t="str">
        <x:v>Broad lag 1</x:v>
      </x:c>
      <x:c r="E1002" s="7" t="n">
        <x:v>45382</x:v>
      </x:c>
      <x:c r="F1002" s="2" t="str">
        <x:v>Pre-earnings</x:v>
      </x:c>
      <x:c r="G1002" s="7" t="n">
        <x:v>45400</x:v>
      </x:c>
      <x:c r="H1002" s="2" t="n">
        <x:v>11</x:v>
      </x:c>
      <x:c r="I1002" s="8" t="n">
        <x:v>38.00115718712883</x:v>
      </x:c>
      <x:c r="J1002" s="8" t="n">
        <x:v>0</x:v>
      </x:c>
      <x:c r="K1002" s="8" t="n">
        <x:v>21</x:v>
      </x:c>
      <x:c r="L1002" s="8" t="n">
        <x:v>347.2546204712401</x:v>
      </x:c>
      <x:c r="M1002" s="8" t="n">
        <x:v>0</x:v>
      </x:c>
      <x:c r="N1002" s="8" t="n">
        <x:v>0</x:v>
      </x:c>
      <x:c r="O1002" s="8" t="n">
        <x:v>202.35918635870004</x:v>
      </x:c>
      <x:c r="P1002" s="8" t="n">
        <x:v>0</x:v>
      </x:c>
      <x:c r="Q1002" s="8" t="n">
        <x:v>2.0298663136464334</x:v>
      </x:c>
      <x:c r="R1002" s="8" t="n">
        <x:v>0</x:v>
      </x:c>
      <x:c r="S1002" s="8" t="n">
        <x:f>L1002-I1002^2/H1002</x:f>
        <x:v>215.9738979657062</x:v>
      </x:c>
      <x:c r="T1002" s="8" t="n">
        <x:f>M1002-J1002^2/H1002</x:f>
        <x:v>0</x:v>
      </x:c>
      <x:c r="U1002" s="8" t="n">
        <x:f>N1002-I1002*J1002/H1002</x:f>
        <x:v>0</x:v>
      </x:c>
      <x:c r="V1002" s="8" t="n">
        <x:f>O1002-I1002*K1002/H1002</x:f>
        <x:v>129.81152263781772</x:v>
      </x:c>
      <x:c r="W1002" s="8" t="n">
        <x:f>P1002-J1002*K1002/H1002</x:f>
        <x:v>0</x:v>
      </x:c>
      <x:c r="X1002" s="8" t="n">
        <x:f>V1002/S1002</x:f>
        <x:v>0.6010519042371967</x:v>
      </x:c>
      <x:c r="Y1002" s="8" t="n">
        <x:f>0</x:f>
        <x:v>0</x:v>
      </x:c>
      <x:c r="Z1002" s="8" t="n">
        <x:f>K1002/H1002-X1002*I1002/H1002-Y1002*J1002/H1002</x:f>
        <x:v>-0.16733344459461952</x:v>
      </x:c>
      <x:c r="AA1002" s="8" t="n">
        <x:f>Z1002+X1002*Q1002+Y1002*R1002</x:f>
        <x:v>1.052721568569508</x:v>
      </x:c>
    </x:row>
    <x:row r="1003" ht="26" customHeight="1">
      <x:c r="A1003" s="2"/>
      <x:c r="B1003" s="2" t="n">
        <x:v>998</x:v>
      </x:c>
      <x:c r="C1003" s="2" t="str">
        <x:v>Health Care / organic_volume_growth</x:v>
      </x:c>
      <x:c r="D1003" s="2" t="str">
        <x:v>Broad rolling 8</x:v>
      </x:c>
      <x:c r="E1003" s="7" t="n">
        <x:v>45382</x:v>
      </x:c>
      <x:c r="F1003" s="2" t="str">
        <x:v>Pre-earnings</x:v>
      </x:c>
      <x:c r="G1003" s="7" t="n">
        <x:v>45400</x:v>
      </x:c>
      <x:c r="H1003" s="2" t="n">
        <x:v>8</x:v>
      </x:c>
      <x:c r="I1003" s="8" t="n">
        <x:v>5.901666759832869</x:v>
      </x:c>
      <x:c r="J1003" s="8" t="n">
        <x:v>0</x:v>
      </x:c>
      <x:c r="K1003" s="8" t="n">
        <x:v>1</x:v>
      </x:c>
      <x:c r="L1003" s="8" t="n">
        <x:v>21.479908521791273</x:v>
      </x:c>
      <x:c r="M1003" s="8" t="n">
        <x:v>0</x:v>
      </x:c>
      <x:c r="N1003" s="8" t="n">
        <x:v>0</x:v>
      </x:c>
      <x:c r="O1003" s="8" t="n">
        <x:v>26.28915389497334</x:v>
      </x:c>
      <x:c r="P1003" s="8" t="n">
        <x:v>0</x:v>
      </x:c>
      <x:c r="Q1003" s="8" t="n">
        <x:v>1.367016339178151</x:v>
      </x:c>
      <x:c r="R1003" s="8" t="n">
        <x:v>0</x:v>
      </x:c>
      <x:c r="S1003" s="8" t="n">
        <x:f>L1003-I1003^2/H1003</x:f>
        <x:v>17.12619970377675</x:v>
      </x:c>
      <x:c r="T1003" s="8" t="n">
        <x:f>M1003-J1003^2/H1003</x:f>
        <x:v>0</x:v>
      </x:c>
      <x:c r="U1003" s="8" t="n">
        <x:f>N1003-I1003*J1003/H1003</x:f>
        <x:v>0</x:v>
      </x:c>
      <x:c r="V1003" s="8" t="n">
        <x:f>O1003-I1003*K1003/H1003</x:f>
        <x:v>25.55144554999423</x:v>
      </x:c>
      <x:c r="W1003" s="8" t="n">
        <x:f>P1003-J1003*K1003/H1003</x:f>
        <x:v>0</x:v>
      </x:c>
      <x:c r="X1003" s="8" t="n">
        <x:f>V1003/S1003</x:f>
        <x:v>1.4919506949553734</x:v>
      </x:c>
      <x:c r="Y1003" s="8" t="n">
        <x:f>0</x:f>
        <x:v>0</x:v>
      </x:c>
      <x:c r="Z1003" s="8" t="n">
        <x:f>K1003/H1003-X1003*I1003/H1003-Y1003*J1003/H1003</x:f>
        <x:v>-0.9756244779659595</x:v>
      </x:c>
      <x:c r="AA1003" s="8" t="n">
        <x:f>Z1003+X1003*Q1003+Y1003*R1003</x:f>
        <x:v>1.063896499286233</x:v>
      </x:c>
    </x:row>
    <x:row r="1004" ht="26" customHeight="1">
      <x:c r="A1004" s="2"/>
      <x:c r="B1004" s="2" t="n">
        <x:v>999</x:v>
      </x:c>
      <x:c r="C1004" s="2" t="str">
        <x:v>Health Care / organic_volume_growth</x:v>
      </x:c>
      <x:c r="D1004" s="2" t="str">
        <x:v>Own history</x:v>
      </x:c>
      <x:c r="E1004" s="7" t="n">
        <x:v>45382</x:v>
      </x:c>
      <x:c r="F1004" s="2" t="str">
        <x:v>Pre-earnings</x:v>
      </x:c>
      <x:c r="G1004" s="7" t="n">
        <x:v>45400</x:v>
      </x:c>
      <x:c r="H1004" s="2" t="n">
        <x:v>11</x:v>
      </x:c>
      <x:c r="I1004" s="8" t="n">
        <x:v>25</x:v>
      </x:c>
      <x:c r="J1004" s="8" t="n">
        <x:v>0</x:v>
      </x:c>
      <x:c r="K1004" s="8" t="n">
        <x:v>21</x:v>
      </x:c>
      <x:c r="L1004" s="8" t="n">
        <x:v>277</x:v>
      </x:c>
      <x:c r="M1004" s="8" t="n">
        <x:v>0</x:v>
      </x:c>
      <x:c r="N1004" s="8" t="n">
        <x:v>0</x:v>
      </x:c>
      <x:c r="O1004" s="8" t="n">
        <x:v>67</x:v>
      </x:c>
      <x:c r="P1004" s="8" t="n">
        <x:v>0</x:v>
      </x:c>
      <x:c r="Q1004" s="8" t="n">
        <x:v>-4</x:v>
      </x:c>
      <x:c r="R1004" s="8" t="n">
        <x:v>0</x:v>
      </x:c>
      <x:c r="S1004" s="8" t="n">
        <x:f>L1004-I1004^2/H1004</x:f>
        <x:v>220.1818181818182</x:v>
      </x:c>
      <x:c r="T1004" s="8" t="n">
        <x:f>M1004-J1004^2/H1004</x:f>
        <x:v>0</x:v>
      </x:c>
      <x:c r="U1004" s="8" t="n">
        <x:f>N1004-I1004*J1004/H1004</x:f>
        <x:v>0</x:v>
      </x:c>
      <x:c r="V1004" s="8" t="n">
        <x:f>O1004-I1004*K1004/H1004</x:f>
        <x:v>19.272727272727273</x:v>
      </x:c>
      <x:c r="W1004" s="8" t="n">
        <x:f>P1004-J1004*K1004/H1004</x:f>
        <x:v>0</x:v>
      </x:c>
      <x:c r="X1004" s="8" t="n">
        <x:f>V1004/S1004</x:f>
        <x:v>0.08753096614368291</x:v>
      </x:c>
      <x:c r="Y1004" s="8" t="n">
        <x:f>0</x:f>
        <x:v>0</x:v>
      </x:c>
      <x:c r="Z1004" s="8" t="n">
        <x:f>K1004/H1004-X1004*I1004/H1004-Y1004*J1004/H1004</x:f>
        <x:v>1.7101568951279935</x:v>
      </x:c>
      <x:c r="AA1004" s="8" t="n">
        <x:f>Z1004+X1004*Q1004+Y1004*R1004</x:f>
        <x:v>1.3600330305532617</x:v>
      </x:c>
    </x:row>
    <x:row r="1005" ht="26" customHeight="1">
      <x:c r="A1005" s="2"/>
      <x:c r="B1005" s="2" t="n">
        <x:v>1000</x:v>
      </x:c>
      <x:c r="C1005" s="2" t="str">
        <x:v>Health Care / organic_volume_growth</x:v>
      </x:c>
      <x:c r="D1005" s="2" t="str">
        <x:v>Broad market</x:v>
      </x:c>
      <x:c r="E1005" s="7" t="n">
        <x:v>45473</x:v>
      </x:c>
      <x:c r="F1005" s="2" t="str">
        <x:v>Origin</x:v>
      </x:c>
      <x:c r="G1005" s="7" t="n">
        <x:v>45383</x:v>
      </x:c>
      <x:c r="H1005" s="2" t="n">
        <x:v>12</x:v>
      </x:c>
      <x:c r="I1005" s="8" t="n">
        <x:v>40.03102350077526</x:v>
      </x:c>
      <x:c r="J1005" s="8" t="n">
        <x:v>0</x:v>
      </x:c>
      <x:c r="K1005" s="8" t="n">
        <x:v>21</x:v>
      </x:c>
      <x:c r="L1005" s="8" t="n">
        <x:v>351.3749777225167</x:v>
      </x:c>
      <x:c r="M1005" s="8" t="n">
        <x:v>0</x:v>
      </x:c>
      <x:c r="N1005" s="8" t="n">
        <x:v>0</x:v>
      </x:c>
      <x:c r="O1005" s="8" t="n">
        <x:v>255.48438194532193</x:v>
      </x:c>
      <x:c r="P1005" s="8" t="n">
        <x:v>0</x:v>
      </x:c>
      <x:c r="Q1005" s="8" t="n">
        <x:v>1.669924885570362</x:v>
      </x:c>
      <x:c r="R1005" s="8" t="n">
        <x:v>0</x:v>
      </x:c>
      <x:c r="S1005" s="8" t="n">
        <x:f>L1005-I1005^2/H1005</x:f>
        <x:v>217.83474084588158</x:v>
      </x:c>
      <x:c r="T1005" s="8" t="n">
        <x:f>M1005-J1005^2/H1005</x:f>
        <x:v>0</x:v>
      </x:c>
      <x:c r="U1005" s="8" t="n">
        <x:f>N1005-I1005*J1005/H1005</x:f>
        <x:v>0</x:v>
      </x:c>
      <x:c r="V1005" s="8" t="n">
        <x:f>O1005-I1005*K1005/H1005</x:f>
        <x:v>185.4300908189652</x:v>
      </x:c>
      <x:c r="W1005" s="8" t="n">
        <x:f>P1005-J1005*K1005/H1005</x:f>
        <x:v>0</x:v>
      </x:c>
      <x:c r="X1005" s="8" t="n">
        <x:f>V1005/S1005</x:f>
        <x:v>0.8512420475215075</x:v>
      </x:c>
      <x:c r="Y1005" s="8" t="n">
        <x:f>0</x:f>
        <x:v>0</x:v>
      </x:c>
      <x:c r="Z1005" s="8" t="n">
        <x:f>K1005/H1005-X1005*I1005/H1005-Y1005*J1005/H1005</x:f>
        <x:v>-1.0896742007651263</x:v>
      </x:c>
      <x:c r="AA1005" s="8" t="n">
        <x:f>Z1005+X1005*Q1005+Y1005*R1005</x:f>
        <x:v>0.33183607803490767</x:v>
      </x:c>
    </x:row>
    <x:row r="1006" ht="26" customHeight="1">
      <x:c r="A1006" s="2"/>
      <x:c r="B1006" s="2" t="n">
        <x:v>1001</x:v>
      </x:c>
      <x:c r="C1006" s="2" t="str">
        <x:v>Health Care / organic_volume_growth</x:v>
      </x:c>
      <x:c r="D1006" s="2" t="str">
        <x:v>Broad rolling 8</x:v>
      </x:c>
      <x:c r="E1006" s="7" t="n">
        <x:v>45473</x:v>
      </x:c>
      <x:c r="F1006" s="2" t="str">
        <x:v>Origin</x:v>
      </x:c>
      <x:c r="G1006" s="7" t="n">
        <x:v>45383</x:v>
      </x:c>
      <x:c r="H1006" s="2" t="n">
        <x:v>8</x:v>
      </x:c>
      <x:c r="I1006" s="8" t="n">
        <x:v>5.901666759832869</x:v>
      </x:c>
      <x:c r="J1006" s="8" t="n">
        <x:v>0</x:v>
      </x:c>
      <x:c r="K1006" s="8" t="n">
        <x:v>1</x:v>
      </x:c>
      <x:c r="L1006" s="8" t="n">
        <x:v>21.479908521791273</x:v>
      </x:c>
      <x:c r="M1006" s="8" t="n">
        <x:v>0</x:v>
      </x:c>
      <x:c r="N1006" s="8" t="n">
        <x:v>0</x:v>
      </x:c>
      <x:c r="O1006" s="8" t="n">
        <x:v>26.28915389497334</x:v>
      </x:c>
      <x:c r="P1006" s="8" t="n">
        <x:v>0</x:v>
      </x:c>
      <x:c r="Q1006" s="8" t="n">
        <x:v>1.669924885570362</x:v>
      </x:c>
      <x:c r="R1006" s="8" t="n">
        <x:v>0</x:v>
      </x:c>
      <x:c r="S1006" s="8" t="n">
        <x:f>L1006-I1006^2/H1006</x:f>
        <x:v>17.12619970377675</x:v>
      </x:c>
      <x:c r="T1006" s="8" t="n">
        <x:f>M1006-J1006^2/H1006</x:f>
        <x:v>0</x:v>
      </x:c>
      <x:c r="U1006" s="8" t="n">
        <x:f>N1006-I1006*J1006/H1006</x:f>
        <x:v>0</x:v>
      </x:c>
      <x:c r="V1006" s="8" t="n">
        <x:f>O1006-I1006*K1006/H1006</x:f>
        <x:v>25.55144554999423</x:v>
      </x:c>
      <x:c r="W1006" s="8" t="n">
        <x:f>P1006-J1006*K1006/H1006</x:f>
        <x:v>0</x:v>
      </x:c>
      <x:c r="X1006" s="8" t="n">
        <x:f>V1006/S1006</x:f>
        <x:v>1.4919506949553734</x:v>
      </x:c>
      <x:c r="Y1006" s="8" t="n">
        <x:f>0</x:f>
        <x:v>0</x:v>
      </x:c>
      <x:c r="Z1006" s="8" t="n">
        <x:f>K1006/H1006-X1006*I1006/H1006-Y1006*J1006/H1006</x:f>
        <x:v>-0.9756244779659595</x:v>
      </x:c>
      <x:c r="AA1006" s="8" t="n">
        <x:f>Z1006+X1006*Q1006+Y1006*R1006</x:f>
        <x:v>1.5158211155840142</x:v>
      </x:c>
    </x:row>
    <x:row r="1007" ht="26" customHeight="1">
      <x:c r="A1007" s="2"/>
      <x:c r="B1007" s="2" t="n">
        <x:v>1002</x:v>
      </x:c>
      <x:c r="C1007" s="2" t="str">
        <x:v>Health Care / organic_volume_growth</x:v>
      </x:c>
      <x:c r="D1007" s="2" t="str">
        <x:v>Own history</x:v>
      </x:c>
      <x:c r="E1007" s="7" t="n">
        <x:v>45473</x:v>
      </x:c>
      <x:c r="F1007" s="2" t="str">
        <x:v>Origin</x:v>
      </x:c>
      <x:c r="G1007" s="7" t="n">
        <x:v>45383</x:v>
      </x:c>
      <x:c r="H1007" s="2" t="n">
        <x:v>10</x:v>
      </x:c>
      <x:c r="I1007" s="8" t="n">
        <x:v>23</x:v>
      </x:c>
      <x:c r="J1007" s="8" t="n">
        <x:v>0</x:v>
      </x:c>
      <x:c r="K1007" s="8" t="n">
        <x:v>8</x:v>
      </x:c>
      <x:c r="L1007" s="8" t="n">
        <x:v>273</x:v>
      </x:c>
      <x:c r="M1007" s="8" t="n">
        <x:v>0</x:v>
      </x:c>
      <x:c r="N1007" s="8" t="n">
        <x:v>0</x:v>
      </x:c>
      <x:c r="O1007" s="8" t="n">
        <x:v>75</x:v>
      </x:c>
      <x:c r="P1007" s="8" t="n">
        <x:v>0</x:v>
      </x:c>
      <x:c r="Q1007" s="8" t="n">
        <x:v>-4</x:v>
      </x:c>
      <x:c r="R1007" s="8" t="n">
        <x:v>0</x:v>
      </x:c>
      <x:c r="S1007" s="8" t="n">
        <x:f>L1007-I1007^2/H1007</x:f>
        <x:v>220.1</x:v>
      </x:c>
      <x:c r="T1007" s="8" t="n">
        <x:f>M1007-J1007^2/H1007</x:f>
        <x:v>0</x:v>
      </x:c>
      <x:c r="U1007" s="8" t="n">
        <x:f>N1007-I1007*J1007/H1007</x:f>
        <x:v>0</x:v>
      </x:c>
      <x:c r="V1007" s="8" t="n">
        <x:f>O1007-I1007*K1007/H1007</x:f>
        <x:v>56.6</x:v>
      </x:c>
      <x:c r="W1007" s="8" t="n">
        <x:f>P1007-J1007*K1007/H1007</x:f>
        <x:v>0</x:v>
      </x:c>
      <x:c r="X1007" s="8" t="n">
        <x:f>V1007/S1007</x:f>
        <x:v>0.2571558382553385</x:v>
      </x:c>
      <x:c r="Y1007" s="8" t="n">
        <x:f>0</x:f>
        <x:v>0</x:v>
      </x:c>
      <x:c r="Z1007" s="8" t="n">
        <x:f>K1007/H1007-X1007*I1007/H1007-Y1007*J1007/H1007</x:f>
        <x:v>0.2085415720127215</x:v>
      </x:c>
      <x:c r="AA1007" s="8" t="n">
        <x:f>Z1007+X1007*Q1007+Y1007*R1007</x:f>
        <x:v>-0.8200817810086325</x:v>
      </x:c>
    </x:row>
    <x:row r="1008" ht="26" customHeight="1">
      <x:c r="A1008" s="2"/>
      <x:c r="B1008" s="2" t="n">
        <x:v>1003</x:v>
      </x:c>
      <x:c r="C1008" s="2" t="str">
        <x:v>Health Care / organic_volume_growth</x:v>
      </x:c>
      <x:c r="D1008" s="2" t="str">
        <x:v>Broad market</x:v>
      </x:c>
      <x:c r="E1008" s="7" t="n">
        <x:v>45473</x:v>
      </x:c>
      <x:c r="F1008" s="2" t="str">
        <x:v>Prior report</x:v>
      </x:c>
      <x:c r="G1008" s="7" t="n">
        <x:v>45401</x:v>
      </x:c>
      <x:c r="H1008" s="2" t="n">
        <x:v>12</x:v>
      </x:c>
      <x:c r="I1008" s="8" t="n">
        <x:v>40.03102350077526</x:v>
      </x:c>
      <x:c r="J1008" s="8" t="n">
        <x:v>0</x:v>
      </x:c>
      <x:c r="K1008" s="8" t="n">
        <x:v>21</x:v>
      </x:c>
      <x:c r="L1008" s="8" t="n">
        <x:v>351.3749777225167</x:v>
      </x:c>
      <x:c r="M1008" s="8" t="n">
        <x:v>0</x:v>
      </x:c>
      <x:c r="N1008" s="8" t="n">
        <x:v>0</x:v>
      </x:c>
      <x:c r="O1008" s="8" t="n">
        <x:v>255.48438194532193</x:v>
      </x:c>
      <x:c r="P1008" s="8" t="n">
        <x:v>0</x:v>
      </x:c>
      <x:c r="Q1008" s="8" t="n">
        <x:v>1.669924885570362</x:v>
      </x:c>
      <x:c r="R1008" s="8" t="n">
        <x:v>0</x:v>
      </x:c>
      <x:c r="S1008" s="8" t="n">
        <x:f>L1008-I1008^2/H1008</x:f>
        <x:v>217.83474084588158</x:v>
      </x:c>
      <x:c r="T1008" s="8" t="n">
        <x:f>M1008-J1008^2/H1008</x:f>
        <x:v>0</x:v>
      </x:c>
      <x:c r="U1008" s="8" t="n">
        <x:f>N1008-I1008*J1008/H1008</x:f>
        <x:v>0</x:v>
      </x:c>
      <x:c r="V1008" s="8" t="n">
        <x:f>O1008-I1008*K1008/H1008</x:f>
        <x:v>185.4300908189652</x:v>
      </x:c>
      <x:c r="W1008" s="8" t="n">
        <x:f>P1008-J1008*K1008/H1008</x:f>
        <x:v>0</x:v>
      </x:c>
      <x:c r="X1008" s="8" t="n">
        <x:f>V1008/S1008</x:f>
        <x:v>0.8512420475215075</x:v>
      </x:c>
      <x:c r="Y1008" s="8" t="n">
        <x:f>0</x:f>
        <x:v>0</x:v>
      </x:c>
      <x:c r="Z1008" s="8" t="n">
        <x:f>K1008/H1008-X1008*I1008/H1008-Y1008*J1008/H1008</x:f>
        <x:v>-1.0896742007651263</x:v>
      </x:c>
      <x:c r="AA1008" s="8" t="n">
        <x:f>Z1008+X1008*Q1008+Y1008*R1008</x:f>
        <x:v>0.33183607803490767</x:v>
      </x:c>
    </x:row>
    <x:row r="1009" ht="26" customHeight="1">
      <x:c r="A1009" s="2"/>
      <x:c r="B1009" s="2" t="n">
        <x:v>1004</x:v>
      </x:c>
      <x:c r="C1009" s="2" t="str">
        <x:v>Health Care / organic_volume_growth</x:v>
      </x:c>
      <x:c r="D1009" s="2" t="str">
        <x:v>Broad rolling 8</x:v>
      </x:c>
      <x:c r="E1009" s="7" t="n">
        <x:v>45473</x:v>
      </x:c>
      <x:c r="F1009" s="2" t="str">
        <x:v>Prior report</x:v>
      </x:c>
      <x:c r="G1009" s="7" t="n">
        <x:v>45401</x:v>
      </x:c>
      <x:c r="H1009" s="2" t="n">
        <x:v>8</x:v>
      </x:c>
      <x:c r="I1009" s="8" t="n">
        <x:v>5.901666759832869</x:v>
      </x:c>
      <x:c r="J1009" s="8" t="n">
        <x:v>0</x:v>
      </x:c>
      <x:c r="K1009" s="8" t="n">
        <x:v>1</x:v>
      </x:c>
      <x:c r="L1009" s="8" t="n">
        <x:v>21.479908521791273</x:v>
      </x:c>
      <x:c r="M1009" s="8" t="n">
        <x:v>0</x:v>
      </x:c>
      <x:c r="N1009" s="8" t="n">
        <x:v>0</x:v>
      </x:c>
      <x:c r="O1009" s="8" t="n">
        <x:v>26.28915389497334</x:v>
      </x:c>
      <x:c r="P1009" s="8" t="n">
        <x:v>0</x:v>
      </x:c>
      <x:c r="Q1009" s="8" t="n">
        <x:v>1.669924885570362</x:v>
      </x:c>
      <x:c r="R1009" s="8" t="n">
        <x:v>0</x:v>
      </x:c>
      <x:c r="S1009" s="8" t="n">
        <x:f>L1009-I1009^2/H1009</x:f>
        <x:v>17.12619970377675</x:v>
      </x:c>
      <x:c r="T1009" s="8" t="n">
        <x:f>M1009-J1009^2/H1009</x:f>
        <x:v>0</x:v>
      </x:c>
      <x:c r="U1009" s="8" t="n">
        <x:f>N1009-I1009*J1009/H1009</x:f>
        <x:v>0</x:v>
      </x:c>
      <x:c r="V1009" s="8" t="n">
        <x:f>O1009-I1009*K1009/H1009</x:f>
        <x:v>25.55144554999423</x:v>
      </x:c>
      <x:c r="W1009" s="8" t="n">
        <x:f>P1009-J1009*K1009/H1009</x:f>
        <x:v>0</x:v>
      </x:c>
      <x:c r="X1009" s="8" t="n">
        <x:f>V1009/S1009</x:f>
        <x:v>1.4919506949553734</x:v>
      </x:c>
      <x:c r="Y1009" s="8" t="n">
        <x:f>0</x:f>
        <x:v>0</x:v>
      </x:c>
      <x:c r="Z1009" s="8" t="n">
        <x:f>K1009/H1009-X1009*I1009/H1009-Y1009*J1009/H1009</x:f>
        <x:v>-0.9756244779659595</x:v>
      </x:c>
      <x:c r="AA1009" s="8" t="n">
        <x:f>Z1009+X1009*Q1009+Y1009*R1009</x:f>
        <x:v>1.5158211155840142</x:v>
      </x:c>
    </x:row>
    <x:row r="1010" ht="26" customHeight="1">
      <x:c r="A1010" s="2"/>
      <x:c r="B1010" s="2" t="n">
        <x:v>1005</x:v>
      </x:c>
      <x:c r="C1010" s="2" t="str">
        <x:v>Health Care / organic_volume_growth</x:v>
      </x:c>
      <x:c r="D1010" s="2" t="str">
        <x:v>Own history</x:v>
      </x:c>
      <x:c r="E1010" s="7" t="n">
        <x:v>45473</x:v>
      </x:c>
      <x:c r="F1010" s="2" t="str">
        <x:v>Prior report</x:v>
      </x:c>
      <x:c r="G1010" s="7" t="n">
        <x:v>45401</x:v>
      </x:c>
      <x:c r="H1010" s="2" t="n">
        <x:v>12</x:v>
      </x:c>
      <x:c r="I1010" s="8" t="n">
        <x:v>21</x:v>
      </x:c>
      <x:c r="J1010" s="8" t="n">
        <x:v>0</x:v>
      </x:c>
      <x:c r="K1010" s="8" t="n">
        <x:v>17</x:v>
      </x:c>
      <x:c r="L1010" s="8" t="n">
        <x:v>293</x:v>
      </x:c>
      <x:c r="M1010" s="8" t="n">
        <x:v>0</x:v>
      </x:c>
      <x:c r="N1010" s="8" t="n">
        <x:v>0</x:v>
      </x:c>
      <x:c r="O1010" s="8" t="n">
        <x:v>83</x:v>
      </x:c>
      <x:c r="P1010" s="8" t="n">
        <x:v>0</x:v>
      </x:c>
      <x:c r="Q1010" s="8" t="n">
        <x:v>-4</x:v>
      </x:c>
      <x:c r="R1010" s="8" t="n">
        <x:v>0</x:v>
      </x:c>
      <x:c r="S1010" s="8" t="n">
        <x:f>L1010-I1010^2/H1010</x:f>
        <x:v>256.25</x:v>
      </x:c>
      <x:c r="T1010" s="8" t="n">
        <x:f>M1010-J1010^2/H1010</x:f>
        <x:v>0</x:v>
      </x:c>
      <x:c r="U1010" s="8" t="n">
        <x:f>N1010-I1010*J1010/H1010</x:f>
        <x:v>0</x:v>
      </x:c>
      <x:c r="V1010" s="8" t="n">
        <x:f>O1010-I1010*K1010/H1010</x:f>
        <x:v>53.25</x:v>
      </x:c>
      <x:c r="W1010" s="8" t="n">
        <x:f>P1010-J1010*K1010/H1010</x:f>
        <x:v>0</x:v>
      </x:c>
      <x:c r="X1010" s="8" t="n">
        <x:f>V1010/S1010</x:f>
        <x:v>0.20780487804878048</x:v>
      </x:c>
      <x:c r="Y1010" s="8" t="n">
        <x:f>0</x:f>
        <x:v>0</x:v>
      </x:c>
      <x:c r="Z1010" s="8" t="n">
        <x:f>K1010/H1010-X1010*I1010/H1010-Y1010*J1010/H1010</x:f>
        <x:v>1.053008130081301</x:v>
      </x:c>
      <x:c r="AA1010" s="8" t="n">
        <x:f>Z1010+X1010*Q1010+Y1010*R1010</x:f>
        <x:v>0.2217886178861791</x:v>
      </x:c>
    </x:row>
    <x:row r="1011" ht="26" customHeight="1">
      <x:c r="A1011" s="2"/>
      <x:c r="B1011" s="2" t="n">
        <x:v>1006</x:v>
      </x:c>
      <x:c r="C1011" s="2" t="str">
        <x:v>Health Care / organic_volume_growth</x:v>
      </x:c>
      <x:c r="D1011" s="2" t="str">
        <x:v>Broad market</x:v>
      </x:c>
      <x:c r="E1011" s="7" t="n">
        <x:v>45473</x:v>
      </x:c>
      <x:c r="F1011" s="2" t="str">
        <x:v>Pre-earnings</x:v>
      </x:c>
      <x:c r="G1011" s="7" t="n">
        <x:v>45502</x:v>
      </x:c>
      <x:c r="H1011" s="2" t="n">
        <x:v>13</x:v>
      </x:c>
      <x:c r="I1011" s="8" t="n">
        <x:v>41.66273213711157</x:v>
      </x:c>
      <x:c r="J1011" s="8" t="n">
        <x:v>0</x:v>
      </x:c>
      <x:c r="K1011" s="8" t="n">
        <x:v>17</x:v>
      </x:c>
      <x:c r="L1011" s="8" t="n">
        <x:v>354.0374507964112</x:v>
      </x:c>
      <x:c r="M1011" s="8" t="n">
        <x:v>0</x:v>
      </x:c>
      <x:c r="N1011" s="8" t="n">
        <x:v>0</x:v>
      </x:c>
      <x:c r="O1011" s="8" t="n">
        <x:v>248.95754739997673</x:v>
      </x:c>
      <x:c r="P1011" s="8" t="n">
        <x:v>0</x:v>
      </x:c>
      <x:c r="Q1011" s="8" t="n">
        <x:v>1.745900082947749</x:v>
      </x:c>
      <x:c r="R1011" s="8" t="n">
        <x:v>0</x:v>
      </x:c>
      <x:c r="S1011" s="8" t="n">
        <x:f>L1011-I1011^2/H1011</x:f>
        <x:v>220.5156624018951</x:v>
      </x:c>
      <x:c r="T1011" s="8" t="n">
        <x:f>M1011-J1011^2/H1011</x:f>
        <x:v>0</x:v>
      </x:c>
      <x:c r="U1011" s="8" t="n">
        <x:f>N1011-I1011*J1011/H1011</x:f>
        <x:v>0</x:v>
      </x:c>
      <x:c r="V1011" s="8" t="n">
        <x:f>O1011-I1011*K1011/H1011</x:f>
        <x:v>194.47551306683084</x:v>
      </x:c>
      <x:c r="W1011" s="8" t="n">
        <x:f>P1011-J1011*K1011/H1011</x:f>
        <x:v>0</x:v>
      </x:c>
      <x:c r="X1011" s="8" t="n">
        <x:f>V1011/S1011</x:f>
        <x:v>0.8819124725589539</x:v>
      </x:c>
      <x:c r="Y1011" s="8" t="n">
        <x:f>0</x:f>
        <x:v>0</x:v>
      </x:c>
      <x:c r="Z1011" s="8" t="n">
        <x:f>K1011/H1011-X1011*I1011/H1011-Y1011*J1011/H1011</x:f>
        <x:v>-1.5186833163539581</x:v>
      </x:c>
      <x:c r="AA1011" s="8" t="n">
        <x:f>Z1011+X1011*Q1011+Y1011*R1011</x:f>
        <x:v>0.021047742639373812</x:v>
      </x:c>
    </x:row>
    <x:row r="1012" ht="26" customHeight="1">
      <x:c r="A1012" s="2"/>
      <x:c r="B1012" s="2" t="n">
        <x:v>1007</x:v>
      </x:c>
      <x:c r="C1012" s="2" t="str">
        <x:v>Health Care / organic_volume_growth</x:v>
      </x:c>
      <x:c r="D1012" s="2" t="str">
        <x:v>Broad lag 1</x:v>
      </x:c>
      <x:c r="E1012" s="7" t="n">
        <x:v>45473</x:v>
      </x:c>
      <x:c r="F1012" s="2" t="str">
        <x:v>Pre-earnings</x:v>
      </x:c>
      <x:c r="G1012" s="7" t="n">
        <x:v>45502</x:v>
      </x:c>
      <x:c r="H1012" s="2" t="n">
        <x:v>12</x:v>
      </x:c>
      <x:c r="I1012" s="8" t="n">
        <x:v>40.03102350077526</x:v>
      </x:c>
      <x:c r="J1012" s="8" t="n">
        <x:v>0</x:v>
      </x:c>
      <x:c r="K1012" s="8" t="n">
        <x:v>17</x:v>
      </x:c>
      <x:c r="L1012" s="8" t="n">
        <x:v>351.3749777225167</x:v>
      </x:c>
      <x:c r="M1012" s="8" t="n">
        <x:v>0</x:v>
      </x:c>
      <x:c r="N1012" s="8" t="n">
        <x:v>0</x:v>
      </x:c>
      <x:c r="O1012" s="8" t="n">
        <x:v>194.2397211041143</x:v>
      </x:c>
      <x:c r="P1012" s="8" t="n">
        <x:v>0</x:v>
      </x:c>
      <x:c r="Q1012" s="8" t="n">
        <x:v>1.6317086363363043</x:v>
      </x:c>
      <x:c r="R1012" s="8" t="n">
        <x:v>0</x:v>
      </x:c>
      <x:c r="S1012" s="8" t="n">
        <x:f>L1012-I1012^2/H1012</x:f>
        <x:v>217.83474084588158</x:v>
      </x:c>
      <x:c r="T1012" s="8" t="n">
        <x:f>M1012-J1012^2/H1012</x:f>
        <x:v>0</x:v>
      </x:c>
      <x:c r="U1012" s="8" t="n">
        <x:f>N1012-I1012*J1012/H1012</x:f>
        <x:v>0</x:v>
      </x:c>
      <x:c r="V1012" s="8" t="n">
        <x:f>O1012-I1012*K1012/H1012</x:f>
        <x:v>137.529104478016</x:v>
      </x:c>
      <x:c r="W1012" s="8" t="n">
        <x:f>P1012-J1012*K1012/H1012</x:f>
        <x:v>0</x:v>
      </x:c>
      <x:c r="X1012" s="8" t="n">
        <x:f>V1012/S1012</x:f>
        <x:v>0.6313460559319969</x:v>
      </x:c>
      <x:c r="Y1012" s="8" t="n">
        <x:f>0</x:f>
        <x:v>0</x:v>
      </x:c>
      <x:c r="Z1012" s="8" t="n">
        <x:f>K1012/H1012-X1012*I1012/H1012-Y1012*J1012/H1012</x:f>
        <x:v>-0.6894524001779618</x:v>
      </x:c>
      <x:c r="AA1012" s="8" t="n">
        <x:f>Z1012+X1012*Q1012+Y1012*R1012</x:f>
        <x:v>0.34072041180314083</x:v>
      </x:c>
    </x:row>
    <x:row r="1013" ht="26" customHeight="1">
      <x:c r="A1013" s="2"/>
      <x:c r="B1013" s="2" t="n">
        <x:v>1008</x:v>
      </x:c>
      <x:c r="C1013" s="2" t="str">
        <x:v>Health Care / organic_volume_growth</x:v>
      </x:c>
      <x:c r="D1013" s="2" t="str">
        <x:v>Broad rolling 8</x:v>
      </x:c>
      <x:c r="E1013" s="7" t="n">
        <x:v>45473</x:v>
      </x:c>
      <x:c r="F1013" s="2" t="str">
        <x:v>Pre-earnings</x:v>
      </x:c>
      <x:c r="G1013" s="7" t="n">
        <x:v>45502</x:v>
      </x:c>
      <x:c r="H1013" s="2" t="n">
        <x:v>8</x:v>
      </x:c>
      <x:c r="I1013" s="8" t="n">
        <x:v>3.7828696225690073</x:v>
      </x:c>
      <x:c r="J1013" s="8" t="n">
        <x:v>0</x:v>
      </x:c>
      <x:c r="K1013" s="8" t="n">
        <x:v>-11</x:v>
      </x:c>
      <x:c r="L1013" s="8" t="n">
        <x:v>10.076088037877579</x:v>
      </x:c>
      <x:c r="M1013" s="8" t="n">
        <x:v>0</x:v>
      </x:c>
      <x:c r="N1013" s="8" t="n">
        <x:v>0</x:v>
      </x:c>
      <x:c r="O1013" s="8" t="n">
        <x:v>-10.241726839173204</x:v>
      </x:c>
      <x:c r="P1013" s="8" t="n">
        <x:v>0</x:v>
      </x:c>
      <x:c r="Q1013" s="8" t="n">
        <x:v>1.745900082947749</x:v>
      </x:c>
      <x:c r="R1013" s="8" t="n">
        <x:v>0</x:v>
      </x:c>
      <x:c r="S1013" s="8" t="n">
        <x:f>L1013-I1013^2/H1013</x:f>
        <x:v>8.287325215208156</x:v>
      </x:c>
      <x:c r="T1013" s="8" t="n">
        <x:f>M1013-J1013^2/H1013</x:f>
        <x:v>0</x:v>
      </x:c>
      <x:c r="U1013" s="8" t="n">
        <x:f>N1013-I1013*J1013/H1013</x:f>
        <x:v>0</x:v>
      </x:c>
      <x:c r="V1013" s="8" t="n">
        <x:f>O1013-I1013*K1013/H1013</x:f>
        <x:v>-5.040281108140818</x:v>
      </x:c>
      <x:c r="W1013" s="8" t="n">
        <x:f>P1013-J1013*K1013/H1013</x:f>
        <x:v>0</x:v>
      </x:c>
      <x:c r="X1013" s="8" t="n">
        <x:f>V1013/S1013</x:f>
        <x:v>-0.6081915427780421</x:v>
      </x:c>
      <x:c r="Y1013" s="8" t="n">
        <x:f>0</x:f>
        <x:v>0</x:v>
      </x:c>
      <x:c r="Z1013" s="8" t="n">
        <x:f>K1013/H1013-X1013*I1013/H1013-Y1013*J1013/H1013</x:f>
        <x:v>-1.0874113360151956</x:v>
      </x:c>
      <x:c r="AA1013" s="8" t="n">
        <x:f>Z1013+X1013*Q1013+Y1013*R1013</x:f>
        <x:v>-2.1492530009994986</x:v>
      </x:c>
    </x:row>
    <x:row r="1014" ht="26" customHeight="1">
      <x:c r="A1014" s="2"/>
      <x:c r="B1014" s="2" t="n">
        <x:v>1009</x:v>
      </x:c>
      <x:c r="C1014" s="2" t="str">
        <x:v>Health Care / organic_volume_growth</x:v>
      </x:c>
      <x:c r="D1014" s="2" t="str">
        <x:v>Own history</x:v>
      </x:c>
      <x:c r="E1014" s="7" t="n">
        <x:v>45473</x:v>
      </x:c>
      <x:c r="F1014" s="2" t="str">
        <x:v>Pre-earnings</x:v>
      </x:c>
      <x:c r="G1014" s="7" t="n">
        <x:v>45502</x:v>
      </x:c>
      <x:c r="H1014" s="2" t="n">
        <x:v>12</x:v>
      </x:c>
      <x:c r="I1014" s="8" t="n">
        <x:v>21</x:v>
      </x:c>
      <x:c r="J1014" s="8" t="n">
        <x:v>0</x:v>
      </x:c>
      <x:c r="K1014" s="8" t="n">
        <x:v>17</x:v>
      </x:c>
      <x:c r="L1014" s="8" t="n">
        <x:v>293</x:v>
      </x:c>
      <x:c r="M1014" s="8" t="n">
        <x:v>0</x:v>
      </x:c>
      <x:c r="N1014" s="8" t="n">
        <x:v>0</x:v>
      </x:c>
      <x:c r="O1014" s="8" t="n">
        <x:v>83</x:v>
      </x:c>
      <x:c r="P1014" s="8" t="n">
        <x:v>0</x:v>
      </x:c>
      <x:c r="Q1014" s="8" t="n">
        <x:v>-4</x:v>
      </x:c>
      <x:c r="R1014" s="8" t="n">
        <x:v>0</x:v>
      </x:c>
      <x:c r="S1014" s="8" t="n">
        <x:f>L1014-I1014^2/H1014</x:f>
        <x:v>256.25</x:v>
      </x:c>
      <x:c r="T1014" s="8" t="n">
        <x:f>M1014-J1014^2/H1014</x:f>
        <x:v>0</x:v>
      </x:c>
      <x:c r="U1014" s="8" t="n">
        <x:f>N1014-I1014*J1014/H1014</x:f>
        <x:v>0</x:v>
      </x:c>
      <x:c r="V1014" s="8" t="n">
        <x:f>O1014-I1014*K1014/H1014</x:f>
        <x:v>53.25</x:v>
      </x:c>
      <x:c r="W1014" s="8" t="n">
        <x:f>P1014-J1014*K1014/H1014</x:f>
        <x:v>0</x:v>
      </x:c>
      <x:c r="X1014" s="8" t="n">
        <x:f>V1014/S1014</x:f>
        <x:v>0.20780487804878048</x:v>
      </x:c>
      <x:c r="Y1014" s="8" t="n">
        <x:f>0</x:f>
        <x:v>0</x:v>
      </x:c>
      <x:c r="Z1014" s="8" t="n">
        <x:f>K1014/H1014-X1014*I1014/H1014-Y1014*J1014/H1014</x:f>
        <x:v>1.053008130081301</x:v>
      </x:c>
      <x:c r="AA1014" s="8" t="n">
        <x:f>Z1014+X1014*Q1014+Y1014*R1014</x:f>
        <x:v>0.2217886178861791</x:v>
      </x:c>
    </x:row>
    <x:row r="1015" ht="26" customHeight="1">
      <x:c r="A1015" s="2"/>
      <x:c r="B1015" s="2" t="n">
        <x:v>1010</x:v>
      </x:c>
      <x:c r="C1015" s="2" t="str">
        <x:v>Health Care / organic_volume_growth</x:v>
      </x:c>
      <x:c r="D1015" s="2" t="str">
        <x:v>Broad market</x:v>
      </x:c>
      <x:c r="E1015" s="7" t="n">
        <x:v>45565</x:v>
      </x:c>
      <x:c r="F1015" s="2" t="str">
        <x:v>Origin</x:v>
      </x:c>
      <x:c r="G1015" s="7" t="n">
        <x:v>45474</x:v>
      </x:c>
      <x:c r="H1015" s="2" t="n">
        <x:v>13</x:v>
      </x:c>
      <x:c r="I1015" s="8" t="n">
        <x:v>41.66273213711157</x:v>
      </x:c>
      <x:c r="J1015" s="8" t="n">
        <x:v>0</x:v>
      </x:c>
      <x:c r="K1015" s="8" t="n">
        <x:v>17</x:v>
      </x:c>
      <x:c r="L1015" s="8" t="n">
        <x:v>354.0374507964112</x:v>
      </x:c>
      <x:c r="M1015" s="8" t="n">
        <x:v>0</x:v>
      </x:c>
      <x:c r="N1015" s="8" t="n">
        <x:v>0</x:v>
      </x:c>
      <x:c r="O1015" s="8" t="n">
        <x:v>248.95754739997673</x:v>
      </x:c>
      <x:c r="P1015" s="8" t="n">
        <x:v>0</x:v>
      </x:c>
      <x:c r="Q1015" s="8" t="n">
        <x:v>1.8076142102986026</x:v>
      </x:c>
      <x:c r="R1015" s="8" t="n">
        <x:v>0</x:v>
      </x:c>
      <x:c r="S1015" s="8" t="n">
        <x:f>L1015-I1015^2/H1015</x:f>
        <x:v>220.5156624018951</x:v>
      </x:c>
      <x:c r="T1015" s="8" t="n">
        <x:f>M1015-J1015^2/H1015</x:f>
        <x:v>0</x:v>
      </x:c>
      <x:c r="U1015" s="8" t="n">
        <x:f>N1015-I1015*J1015/H1015</x:f>
        <x:v>0</x:v>
      </x:c>
      <x:c r="V1015" s="8" t="n">
        <x:f>O1015-I1015*K1015/H1015</x:f>
        <x:v>194.47551306683084</x:v>
      </x:c>
      <x:c r="W1015" s="8" t="n">
        <x:f>P1015-J1015*K1015/H1015</x:f>
        <x:v>0</x:v>
      </x:c>
      <x:c r="X1015" s="8" t="n">
        <x:f>V1015/S1015</x:f>
        <x:v>0.8819124725589539</x:v>
      </x:c>
      <x:c r="Y1015" s="8" t="n">
        <x:f>0</x:f>
        <x:v>0</x:v>
      </x:c>
      <x:c r="Z1015" s="8" t="n">
        <x:f>K1015/H1015-X1015*I1015/H1015-Y1015*J1015/H1015</x:f>
        <x:v>-1.5186833163539581</x:v>
      </x:c>
      <x:c r="AA1015" s="8" t="n">
        <x:f>Z1015+X1015*Q1015+Y1015*R1015</x:f>
        <x:v>0.07547420128318327</x:v>
      </x:c>
    </x:row>
    <x:row r="1016" ht="26" customHeight="1">
      <x:c r="A1016" s="2"/>
      <x:c r="B1016" s="2" t="n">
        <x:v>1011</x:v>
      </x:c>
      <x:c r="C1016" s="2" t="str">
        <x:v>Health Care / organic_volume_growth</x:v>
      </x:c>
      <x:c r="D1016" s="2" t="str">
        <x:v>Broad rolling 8</x:v>
      </x:c>
      <x:c r="E1016" s="7" t="n">
        <x:v>45565</x:v>
      </x:c>
      <x:c r="F1016" s="2" t="str">
        <x:v>Origin</x:v>
      </x:c>
      <x:c r="G1016" s="7" t="n">
        <x:v>45474</x:v>
      </x:c>
      <x:c r="H1016" s="2" t="n">
        <x:v>8</x:v>
      </x:c>
      <x:c r="I1016" s="8" t="n">
        <x:v>3.7828696225690073</x:v>
      </x:c>
      <x:c r="J1016" s="8" t="n">
        <x:v>0</x:v>
      </x:c>
      <x:c r="K1016" s="8" t="n">
        <x:v>-11</x:v>
      </x:c>
      <x:c r="L1016" s="8" t="n">
        <x:v>10.076088037877579</x:v>
      </x:c>
      <x:c r="M1016" s="8" t="n">
        <x:v>0</x:v>
      </x:c>
      <x:c r="N1016" s="8" t="n">
        <x:v>0</x:v>
      </x:c>
      <x:c r="O1016" s="8" t="n">
        <x:v>-10.241726839173204</x:v>
      </x:c>
      <x:c r="P1016" s="8" t="n">
        <x:v>0</x:v>
      </x:c>
      <x:c r="Q1016" s="8" t="n">
        <x:v>1.8076142102986026</x:v>
      </x:c>
      <x:c r="R1016" s="8" t="n">
        <x:v>0</x:v>
      </x:c>
      <x:c r="S1016" s="8" t="n">
        <x:f>L1016-I1016^2/H1016</x:f>
        <x:v>8.287325215208156</x:v>
      </x:c>
      <x:c r="T1016" s="8" t="n">
        <x:f>M1016-J1016^2/H1016</x:f>
        <x:v>0</x:v>
      </x:c>
      <x:c r="U1016" s="8" t="n">
        <x:f>N1016-I1016*J1016/H1016</x:f>
        <x:v>0</x:v>
      </x:c>
      <x:c r="V1016" s="8" t="n">
        <x:f>O1016-I1016*K1016/H1016</x:f>
        <x:v>-5.040281108140818</x:v>
      </x:c>
      <x:c r="W1016" s="8" t="n">
        <x:f>P1016-J1016*K1016/H1016</x:f>
        <x:v>0</x:v>
      </x:c>
      <x:c r="X1016" s="8" t="n">
        <x:f>V1016/S1016</x:f>
        <x:v>-0.6081915427780421</x:v>
      </x:c>
      <x:c r="Y1016" s="8" t="n">
        <x:f>0</x:f>
        <x:v>0</x:v>
      </x:c>
      <x:c r="Z1016" s="8" t="n">
        <x:f>K1016/H1016-X1016*I1016/H1016-Y1016*J1016/H1016</x:f>
        <x:v>-1.0874113360151956</x:v>
      </x:c>
      <x:c r="AA1016" s="8" t="n">
        <x:f>Z1016+X1016*Q1016+Y1016*R1016</x:f>
        <x:v>-2.186787011324215</x:v>
      </x:c>
    </x:row>
    <x:row r="1017" ht="26" customHeight="1">
      <x:c r="A1017" s="2"/>
      <x:c r="B1017" s="2" t="n">
        <x:v>1012</x:v>
      </x:c>
      <x:c r="C1017" s="2" t="str">
        <x:v>Health Care / organic_volume_growth</x:v>
      </x:c>
      <x:c r="D1017" s="2" t="str">
        <x:v>Own history</x:v>
      </x:c>
      <x:c r="E1017" s="7" t="n">
        <x:v>45565</x:v>
      </x:c>
      <x:c r="F1017" s="2" t="str">
        <x:v>Origin</x:v>
      </x:c>
      <x:c r="G1017" s="7" t="n">
        <x:v>45474</x:v>
      </x:c>
      <x:c r="H1017" s="2" t="n">
        <x:v>11</x:v>
      </x:c>
      <x:c r="I1017" s="8" t="n">
        <x:v>25</x:v>
      </x:c>
      <x:c r="J1017" s="8" t="n">
        <x:v>0</x:v>
      </x:c>
      <x:c r="K1017" s="8" t="n">
        <x:v>4</x:v>
      </x:c>
      <x:c r="L1017" s="8" t="n">
        <x:v>277</x:v>
      </x:c>
      <x:c r="M1017" s="8" t="n">
        <x:v>0</x:v>
      </x:c>
      <x:c r="N1017" s="8" t="n">
        <x:v>0</x:v>
      </x:c>
      <x:c r="O1017" s="8" t="n">
        <x:v>67</x:v>
      </x:c>
      <x:c r="P1017" s="8" t="n">
        <x:v>0</x:v>
      </x:c>
      <x:c r="Q1017" s="8" t="n">
        <x:v>-4</x:v>
      </x:c>
      <x:c r="R1017" s="8" t="n">
        <x:v>0</x:v>
      </x:c>
      <x:c r="S1017" s="8" t="n">
        <x:f>L1017-I1017^2/H1017</x:f>
        <x:v>220.1818181818182</x:v>
      </x:c>
      <x:c r="T1017" s="8" t="n">
        <x:f>M1017-J1017^2/H1017</x:f>
        <x:v>0</x:v>
      </x:c>
      <x:c r="U1017" s="8" t="n">
        <x:f>N1017-I1017*J1017/H1017</x:f>
        <x:v>0</x:v>
      </x:c>
      <x:c r="V1017" s="8" t="n">
        <x:f>O1017-I1017*K1017/H1017</x:f>
        <x:v>57.90909090909091</x:v>
      </x:c>
      <x:c r="W1017" s="8" t="n">
        <x:f>P1017-J1017*K1017/H1017</x:f>
        <x:v>0</x:v>
      </x:c>
      <x:c r="X1017" s="8" t="n">
        <x:f>V1017/S1017</x:f>
        <x:v>0.2630057803468208</x:v>
      </x:c>
      <x:c r="Y1017" s="8" t="n">
        <x:f>0</x:f>
        <x:v>0</x:v>
      </x:c>
      <x:c r="Z1017" s="8" t="n">
        <x:f>K1017/H1017-X1017*I1017/H1017-Y1017*J1017/H1017</x:f>
        <x:v>-0.2341040462427746</x:v>
      </x:c>
      <x:c r="AA1017" s="8" t="n">
        <x:f>Z1017+X1017*Q1017+Y1017*R1017</x:f>
        <x:v>-1.2861271676300579</x:v>
      </x:c>
    </x:row>
    <x:row r="1018" ht="26" customHeight="1">
      <x:c r="A1018" s="2"/>
      <x:c r="B1018" s="2" t="n">
        <x:v>1013</x:v>
      </x:c>
      <x:c r="C1018" s="2" t="str">
        <x:v>Health Care / organic_volume_growth</x:v>
      </x:c>
      <x:c r="D1018" s="2" t="str">
        <x:v>Broad market</x:v>
      </x:c>
      <x:c r="E1018" s="7" t="n">
        <x:v>45565</x:v>
      </x:c>
      <x:c r="F1018" s="2" t="str">
        <x:v>Prior report</x:v>
      </x:c>
      <x:c r="G1018" s="7" t="n">
        <x:v>45503</x:v>
      </x:c>
      <x:c r="H1018" s="2" t="n">
        <x:v>14</x:v>
      </x:c>
      <x:c r="I1018" s="8" t="n">
        <x:v>43.40863222005932</x:v>
      </x:c>
      <x:c r="J1018" s="8" t="n">
        <x:v>0</x:v>
      </x:c>
      <x:c r="K1018" s="8" t="n">
        <x:v>18</x:v>
      </x:c>
      <x:c r="L1018" s="8" t="n">
        <x:v>357.0856178960481</x:v>
      </x:c>
      <x:c r="M1018" s="8" t="n">
        <x:v>0</x:v>
      </x:c>
      <x:c r="N1018" s="8" t="n">
        <x:v>0</x:v>
      </x:c>
      <x:c r="O1018" s="8" t="n">
        <x:v>250.70344748292447</x:v>
      </x:c>
      <x:c r="P1018" s="8" t="n">
        <x:v>0</x:v>
      </x:c>
      <x:c r="Q1018" s="8" t="n">
        <x:v>1.7457094853091215</x:v>
      </x:c>
      <x:c r="R1018" s="8" t="n">
        <x:v>0</x:v>
      </x:c>
      <x:c r="S1018" s="8" t="n">
        <x:f>L1018-I1018^2/H1018</x:f>
        <x:v>222.4920928091644</x:v>
      </x:c>
      <x:c r="T1018" s="8" t="n">
        <x:f>M1018-J1018^2/H1018</x:f>
        <x:v>0</x:v>
      </x:c>
      <x:c r="U1018" s="8" t="n">
        <x:f>N1018-I1018*J1018/H1018</x:f>
        <x:v>0</x:v>
      </x:c>
      <x:c r="V1018" s="8" t="n">
        <x:f>O1018-I1018*K1018/H1018</x:f>
        <x:v>194.8923489142768</x:v>
      </x:c>
      <x:c r="W1018" s="8" t="n">
        <x:f>P1018-J1018*K1018/H1018</x:f>
        <x:v>0</x:v>
      </x:c>
      <x:c r="X1018" s="8" t="n">
        <x:f>V1018/S1018</x:f>
        <x:v>0.8759517987969109</x:v>
      </x:c>
      <x:c r="Y1018" s="8" t="n">
        <x:f>0</x:f>
        <x:v>0</x:v>
      </x:c>
      <x:c r="Z1018" s="8" t="n">
        <x:f>K1018/H1018-X1018*I1018/H1018-Y1018*J1018/H1018</x:f>
        <x:v>-1.43027639117675</x:v>
      </x:c>
      <x:c r="AA1018" s="8" t="n">
        <x:f>Z1018+X1018*Q1018+Y1018*R1018</x:f>
        <x:v>0.09888097265660445</x:v>
      </x:c>
    </x:row>
    <x:row r="1019" ht="26" customHeight="1">
      <x:c r="A1019" s="2"/>
      <x:c r="B1019" s="2" t="n">
        <x:v>1014</x:v>
      </x:c>
      <x:c r="C1019" s="2" t="str">
        <x:v>Health Care / organic_volume_growth</x:v>
      </x:c>
      <x:c r="D1019" s="2" t="str">
        <x:v>Broad lag 1</x:v>
      </x:c>
      <x:c r="E1019" s="7" t="n">
        <x:v>45565</x:v>
      </x:c>
      <x:c r="F1019" s="2" t="str">
        <x:v>Prior report</x:v>
      </x:c>
      <x:c r="G1019" s="7" t="n">
        <x:v>45503</x:v>
      </x:c>
      <x:c r="H1019" s="2" t="n">
        <x:v>13</x:v>
      </x:c>
      <x:c r="I1019" s="8" t="n">
        <x:v>41.66273213711157</x:v>
      </x:c>
      <x:c r="J1019" s="8" t="n">
        <x:v>0</x:v>
      </x:c>
      <x:c r="K1019" s="8" t="n">
        <x:v>18</x:v>
      </x:c>
      <x:c r="L1019" s="8" t="n">
        <x:v>354.0374507964112</x:v>
      </x:c>
      <x:c r="M1019" s="8" t="n">
        <x:v>0</x:v>
      </x:c>
      <x:c r="N1019" s="8" t="n">
        <x:v>0</x:v>
      </x:c>
      <x:c r="O1019" s="8" t="n">
        <x:v>195.8714297404506</x:v>
      </x:c>
      <x:c r="P1019" s="8" t="n">
        <x:v>0</x:v>
      </x:c>
      <x:c r="Q1019" s="8" t="n">
        <x:v>1.745900082947749</x:v>
      </x:c>
      <x:c r="R1019" s="8" t="n">
        <x:v>0</x:v>
      </x:c>
      <x:c r="S1019" s="8" t="n">
        <x:f>L1019-I1019^2/H1019</x:f>
        <x:v>220.5156624018951</x:v>
      </x:c>
      <x:c r="T1019" s="8" t="n">
        <x:f>M1019-J1019^2/H1019</x:f>
        <x:v>0</x:v>
      </x:c>
      <x:c r="U1019" s="8" t="n">
        <x:f>N1019-I1019*J1019/H1019</x:f>
        <x:v>0</x:v>
      </x:c>
      <x:c r="V1019" s="8" t="n">
        <x:f>O1019-I1019*K1019/H1019</x:f>
        <x:v>138.18456985829613</x:v>
      </x:c>
      <x:c r="W1019" s="8" t="n">
        <x:f>P1019-J1019*K1019/H1019</x:f>
        <x:v>0</x:v>
      </x:c>
      <x:c r="X1019" s="8" t="n">
        <x:f>V1019/S1019</x:f>
        <x:v>0.6266428803884752</x:v>
      </x:c>
      <x:c r="Y1019" s="8" t="n">
        <x:f>0</x:f>
        <x:v>0</x:v>
      </x:c>
      <x:c r="Z1019" s="8" t="n">
        <x:f>K1019/H1019-X1019*I1019/H1019-Y1019*J1019/H1019</x:f>
        <x:v>-0.6236657285579295</x:v>
      </x:c>
      <x:c r="AA1019" s="8" t="n">
        <x:f>Z1019+X1019*Q1019+Y1019*R1019</x:f>
        <x:v>0.4703901282909255</x:v>
      </x:c>
    </x:row>
    <x:row r="1020" ht="26" customHeight="1">
      <x:c r="A1020" s="2"/>
      <x:c r="B1020" s="2" t="n">
        <x:v>1015</x:v>
      </x:c>
      <x:c r="C1020" s="2" t="str">
        <x:v>Health Care / organic_volume_growth</x:v>
      </x:c>
      <x:c r="D1020" s="2" t="str">
        <x:v>Broad rolling 8</x:v>
      </x:c>
      <x:c r="E1020" s="7" t="n">
        <x:v>45565</x:v>
      </x:c>
      <x:c r="F1020" s="2" t="str">
        <x:v>Prior report</x:v>
      </x:c>
      <x:c r="G1020" s="7" t="n">
        <x:v>45503</x:v>
      </x:c>
      <x:c r="H1020" s="2" t="n">
        <x:v>8</x:v>
      </x:c>
      <x:c r="I1020" s="8" t="n">
        <x:v>5.304269069097545</x:v>
      </x:c>
      <x:c r="J1020" s="8" t="n">
        <x:v>0</x:v>
      </x:c>
      <x:c r="K1020" s="8" t="n">
        <x:v>-10</x:v>
      </x:c>
      <x:c r="L1020" s="8" t="n">
        <x:v>13.073854601761903</x:v>
      </x:c>
      <x:c r="M1020" s="8" t="n">
        <x:v>0</x:v>
      </x:c>
      <x:c r="N1020" s="8" t="n">
        <x:v>0</x:v>
      </x:c>
      <x:c r="O1020" s="8" t="n">
        <x:v>-8.495826756225455</x:v>
      </x:c>
      <x:c r="P1020" s="8" t="n">
        <x:v>0</x:v>
      </x:c>
      <x:c r="Q1020" s="8" t="n">
        <x:v>1.7457094853091215</x:v>
      </x:c>
      <x:c r="R1020" s="8" t="n">
        <x:v>0</x:v>
      </x:c>
      <x:c r="S1020" s="8" t="n">
        <x:f>L1020-I1020^2/H1020</x:f>
        <x:v>9.556945807088786</x:v>
      </x:c>
      <x:c r="T1020" s="8" t="n">
        <x:f>M1020-J1020^2/H1020</x:f>
        <x:v>0</x:v>
      </x:c>
      <x:c r="U1020" s="8" t="n">
        <x:f>N1020-I1020*J1020/H1020</x:f>
        <x:v>0</x:v>
      </x:c>
      <x:c r="V1020" s="8" t="n">
        <x:f>O1020-I1020*K1020/H1020</x:f>
        <x:v>-1.8654904198535238</x:v>
      </x:c>
      <x:c r="W1020" s="8" t="n">
        <x:f>P1020-J1020*K1020/H1020</x:f>
        <x:v>0</x:v>
      </x:c>
      <x:c r="X1020" s="8" t="n">
        <x:f>V1020/S1020</x:f>
        <x:v>-0.195197342070289</x:v>
      </x:c>
      <x:c r="Y1020" s="8" t="n">
        <x:f>0</x:f>
        <x:v>0</x:v>
      </x:c>
      <x:c r="Z1020" s="8" t="n">
        <x:f>K1020/H1020-X1020*I1020/H1020-Y1020*J1020/H1020</x:f>
        <x:v>-1.120577597010814</x:v>
      </x:c>
      <x:c r="AA1020" s="8" t="n">
        <x:f>Z1020+X1020*Q1020+Y1020*R1020</x:f>
        <x:v>-1.4613354485700467</x:v>
      </x:c>
    </x:row>
    <x:row r="1021" ht="26" customHeight="1">
      <x:c r="A1021" s="2"/>
      <x:c r="B1021" s="2" t="n">
        <x:v>1016</x:v>
      </x:c>
      <x:c r="C1021" s="2" t="str">
        <x:v>Health Care / organic_volume_growth</x:v>
      </x:c>
      <x:c r="D1021" s="2" t="str">
        <x:v>Own history</x:v>
      </x:c>
      <x:c r="E1021" s="7" t="n">
        <x:v>45565</x:v>
      </x:c>
      <x:c r="F1021" s="2" t="str">
        <x:v>Prior report</x:v>
      </x:c>
      <x:c r="G1021" s="7" t="n">
        <x:v>45503</x:v>
      </x:c>
      <x:c r="H1021" s="2" t="n">
        <x:v>13</x:v>
      </x:c>
      <x:c r="I1021" s="8" t="n">
        <x:v>17</x:v>
      </x:c>
      <x:c r="J1021" s="8" t="n">
        <x:v>0</x:v>
      </x:c>
      <x:c r="K1021" s="8" t="n">
        <x:v>18</x:v>
      </x:c>
      <x:c r="L1021" s="8" t="n">
        <x:v>309</x:v>
      </x:c>
      <x:c r="M1021" s="8" t="n">
        <x:v>0</x:v>
      </x:c>
      <x:c r="N1021" s="8" t="n">
        <x:v>0</x:v>
      </x:c>
      <x:c r="O1021" s="8" t="n">
        <x:v>79</x:v>
      </x:c>
      <x:c r="P1021" s="8" t="n">
        <x:v>0</x:v>
      </x:c>
      <x:c r="Q1021" s="8" t="n">
        <x:v>1</x:v>
      </x:c>
      <x:c r="R1021" s="8" t="n">
        <x:v>0</x:v>
      </x:c>
      <x:c r="S1021" s="8" t="n">
        <x:f>L1021-I1021^2/H1021</x:f>
        <x:v>286.7692307692308</x:v>
      </x:c>
      <x:c r="T1021" s="8" t="n">
        <x:f>M1021-J1021^2/H1021</x:f>
        <x:v>0</x:v>
      </x:c>
      <x:c r="U1021" s="8" t="n">
        <x:f>N1021-I1021*J1021/H1021</x:f>
        <x:v>0</x:v>
      </x:c>
      <x:c r="V1021" s="8" t="n">
        <x:f>O1021-I1021*K1021/H1021</x:f>
        <x:v>55.46153846153846</x:v>
      </x:c>
      <x:c r="W1021" s="8" t="n">
        <x:f>P1021-J1021*K1021/H1021</x:f>
        <x:v>0</x:v>
      </x:c>
      <x:c r="X1021" s="8" t="n">
        <x:f>V1021/S1021</x:f>
        <x:v>0.19340128755364805</x:v>
      </x:c>
      <x:c r="Y1021" s="8" t="n">
        <x:f>0</x:f>
        <x:v>0</x:v>
      </x:c>
      <x:c r="Z1021" s="8" t="n">
        <x:f>K1021/H1021-X1021*I1021/H1021-Y1021*J1021/H1021</x:f>
        <x:v>1.131706008583691</x:v>
      </x:c>
      <x:c r="AA1021" s="8" t="n">
        <x:f>Z1021+X1021*Q1021+Y1021*R1021</x:f>
        <x:v>1.3251072961373391</x:v>
      </x:c>
    </x:row>
    <x:row r="1022" ht="26" customHeight="1">
      <x:c r="A1022" s="2"/>
      <x:c r="B1022" s="2" t="n">
        <x:v>1017</x:v>
      </x:c>
      <x:c r="C1022" s="2" t="str">
        <x:v>Health Care / organic_volume_growth</x:v>
      </x:c>
      <x:c r="D1022" s="2" t="str">
        <x:v>Broad market</x:v>
      </x:c>
      <x:c r="E1022" s="7" t="n">
        <x:v>45565</x:v>
      </x:c>
      <x:c r="F1022" s="2" t="str">
        <x:v>Pre-earnings</x:v>
      </x:c>
      <x:c r="G1022" s="7" t="n">
        <x:v>45582</x:v>
      </x:c>
      <x:c r="H1022" s="2" t="n">
        <x:v>14</x:v>
      </x:c>
      <x:c r="I1022" s="8" t="n">
        <x:v>41.58880663164729</x:v>
      </x:c>
      <x:c r="J1022" s="8" t="n">
        <x:v>0</x:v>
      </x:c>
      <x:c r="K1022" s="8" t="n">
        <x:v>18</x:v>
      </x:c>
      <x:c r="L1022" s="8" t="n">
        <x:v>366.7871092575401</x:v>
      </x:c>
      <x:c r="M1022" s="8" t="n">
        <x:v>0</x:v>
      </x:c>
      <x:c r="N1022" s="8" t="n">
        <x:v>0</x:v>
      </x:c>
      <x:c r="O1022" s="8" t="n">
        <x:v>252.71627435656822</x:v>
      </x:c>
      <x:c r="P1022" s="8" t="n">
        <x:v>0</x:v>
      </x:c>
      <x:c r="Q1022" s="8" t="n">
        <x:v>2.202595864225132</x:v>
      </x:c>
      <x:c r="R1022" s="8" t="n">
        <x:v>0</x:v>
      </x:c>
      <x:c r="S1022" s="8" t="n">
        <x:f>L1022-I1022^2/H1022</x:f>
        <x:v>243.24219232578662</x:v>
      </x:c>
      <x:c r="T1022" s="8" t="n">
        <x:f>M1022-J1022^2/H1022</x:f>
        <x:v>0</x:v>
      </x:c>
      <x:c r="U1022" s="8" t="n">
        <x:f>N1022-I1022*J1022/H1022</x:f>
        <x:v>0</x:v>
      </x:c>
      <x:c r="V1022" s="8" t="n">
        <x:f>O1022-I1022*K1022/H1022</x:f>
        <x:v>199.2449515444503</x:v>
      </x:c>
      <x:c r="W1022" s="8" t="n">
        <x:f>P1022-J1022*K1022/H1022</x:f>
        <x:v>0</x:v>
      </x:c>
      <x:c r="X1022" s="8" t="n">
        <x:f>V1022/S1022</x:f>
        <x:v>0.8191216730919421</x:v>
      </x:c>
      <x:c r="Y1022" s="8" t="n">
        <x:f>0</x:f>
        <x:v>0</x:v>
      </x:c>
      <x:c r="Z1022" s="8" t="n">
        <x:f>K1022/H1022-X1022*I1022/H1022-Y1022*J1022/H1022</x:f>
        <x:v>-1.1475923478580132</x:v>
      </x:c>
      <x:c r="AA1022" s="8" t="n">
        <x:f>Z1022+X1022*Q1022+Y1022*R1022</x:f>
        <x:v>0.6566016615914689</x:v>
      </x:c>
    </x:row>
    <x:row r="1023" ht="26" customHeight="1">
      <x:c r="A1023" s="2"/>
      <x:c r="B1023" s="2" t="n">
        <x:v>1018</x:v>
      </x:c>
      <x:c r="C1023" s="2" t="str">
        <x:v>Health Care / organic_volume_growth</x:v>
      </x:c>
      <x:c r="D1023" s="2" t="str">
        <x:v>Broad lag 1</x:v>
      </x:c>
      <x:c r="E1023" s="7" t="n">
        <x:v>45565</x:v>
      </x:c>
      <x:c r="F1023" s="2" t="str">
        <x:v>Pre-earnings</x:v>
      </x:c>
      <x:c r="G1023" s="7" t="n">
        <x:v>45582</x:v>
      </x:c>
      <x:c r="H1023" s="2" t="n">
        <x:v>13</x:v>
      </x:c>
      <x:c r="I1023" s="8" t="n">
        <x:v>39.71481502953479</x:v>
      </x:c>
      <x:c r="J1023" s="8" t="n">
        <x:v>0</x:v>
      </x:c>
      <x:c r="K1023" s="8" t="n">
        <x:v>18</x:v>
      </x:c>
      <x:c r="L1023" s="8" t="n">
        <x:v>363.2752647327519</x:v>
      </x:c>
      <x:c r="M1023" s="8" t="n">
        <x:v>0</x:v>
      </x:c>
      <x:c r="N1023" s="8" t="n">
        <x:v>0</x:v>
      </x:c>
      <x:c r="O1023" s="8" t="n">
        <x:v>200.84197074647642</x:v>
      </x:c>
      <x:c r="P1023" s="8" t="n">
        <x:v>0</x:v>
      </x:c>
      <x:c r="Q1023" s="8" t="n">
        <x:v>1.8739916021125014</x:v>
      </x:c>
      <x:c r="R1023" s="8" t="n">
        <x:v>0</x:v>
      </x:c>
      <x:c r="S1023" s="8" t="n">
        <x:f>L1023-I1023^2/H1023</x:f>
        <x:v>241.9470698996625</x:v>
      </x:c>
      <x:c r="T1023" s="8" t="n">
        <x:f>M1023-J1023^2/H1023</x:f>
        <x:v>0</x:v>
      </x:c>
      <x:c r="U1023" s="8" t="n">
        <x:f>N1023-I1023*J1023/H1023</x:f>
        <x:v>0</x:v>
      </x:c>
      <x:c r="V1023" s="8" t="n">
        <x:f>O1023-I1023*K1023/H1023</x:f>
        <x:v>145.85222685942824</x:v>
      </x:c>
      <x:c r="W1023" s="8" t="n">
        <x:f>P1023-J1023*K1023/H1023</x:f>
        <x:v>0</x:v>
      </x:c>
      <x:c r="X1023" s="8" t="n">
        <x:f>V1023/S1023</x:f>
        <x:v>0.6028270022857247</x:v>
      </x:c>
      <x:c r="Y1023" s="8" t="n">
        <x:f>0</x:f>
        <x:v>0</x:v>
      </x:c>
      <x:c r="Z1023" s="8" t="n">
        <x:f>K1023/H1023-X1023*I1023/H1023-Y1023*J1023/H1023</x:f>
        <x:v>-0.4570125300451158</x:v>
      </x:c>
      <x:c r="AA1023" s="8" t="n">
        <x:f>Z1023+X1023*Q1023+Y1023*R1023</x:f>
        <x:v>0.672680209764986</x:v>
      </x:c>
    </x:row>
    <x:row r="1024" ht="26" customHeight="1">
      <x:c r="A1024" s="2"/>
      <x:c r="B1024" s="2" t="n">
        <x:v>1019</x:v>
      </x:c>
      <x:c r="C1024" s="2" t="str">
        <x:v>Health Care / organic_volume_growth</x:v>
      </x:c>
      <x:c r="D1024" s="2" t="str">
        <x:v>Broad rolling 8</x:v>
      </x:c>
      <x:c r="E1024" s="7" t="n">
        <x:v>45565</x:v>
      </x:c>
      <x:c r="F1024" s="2" t="str">
        <x:v>Pre-earnings</x:v>
      </x:c>
      <x:c r="G1024" s="7" t="n">
        <x:v>45582</x:v>
      </x:c>
      <x:c r="H1024" s="2" t="n">
        <x:v>8</x:v>
      </x:c>
      <x:c r="I1024" s="8" t="n">
        <x:v>3.8524597778205827</x:v>
      </x:c>
      <x:c r="J1024" s="8" t="n">
        <x:v>0</x:v>
      </x:c>
      <x:c r="K1024" s="8" t="n">
        <x:v>-10</x:v>
      </x:c>
      <x:c r="L1024" s="8" t="n">
        <x:v>15.42741688968306</x:v>
      </x:c>
      <x:c r="M1024" s="8" t="n">
        <x:v>0</x:v>
      </x:c>
      <x:c r="N1024" s="8" t="n">
        <x:v>0</x:v>
      </x:c>
      <x:c r="O1024" s="8" t="n">
        <x:v>-6.28535164471733</x:v>
      </x:c>
      <x:c r="P1024" s="8" t="n">
        <x:v>0</x:v>
      </x:c>
      <x:c r="Q1024" s="8" t="n">
        <x:v>2.202595864225132</x:v>
      </x:c>
      <x:c r="R1024" s="8" t="n">
        <x:v>0</x:v>
      </x:c>
      <x:c r="S1024" s="8" t="n">
        <x:f>L1024-I1024^2/H1024</x:f>
        <x:v>13.572236097217385</x:v>
      </x:c>
      <x:c r="T1024" s="8" t="n">
        <x:f>M1024-J1024^2/H1024</x:f>
        <x:v>0</x:v>
      </x:c>
      <x:c r="U1024" s="8" t="n">
        <x:f>N1024-I1024*J1024/H1024</x:f>
        <x:v>0</x:v>
      </x:c>
      <x:c r="V1024" s="8" t="n">
        <x:f>O1024-I1024*K1024/H1024</x:f>
        <x:v>-1.4697769224416009</x:v>
      </x:c>
      <x:c r="W1024" s="8" t="n">
        <x:f>P1024-J1024*K1024/H1024</x:f>
        <x:v>0</x:v>
      </x:c>
      <x:c r="X1024" s="8" t="n">
        <x:f>V1024/S1024</x:f>
        <x:v>-0.10829290854606768</x:v>
      </x:c>
      <x:c r="Y1024" s="8" t="n">
        <x:f>0</x:f>
        <x:v>0</x:v>
      </x:c>
      <x:c r="Z1024" s="8" t="n">
        <x:f>K1024/H1024-X1024*I1024/H1024-Y1024*J1024/H1024</x:f>
        <x:v>-1.197850740700384</x:v>
      </x:c>
      <x:c r="AA1024" s="8" t="n">
        <x:f>Z1024+X1024*Q1024+Y1024*R1024</x:f>
        <x:v>-1.436376253188863</x:v>
      </x:c>
    </x:row>
    <x:row r="1025" ht="26" customHeight="1">
      <x:c r="A1025" s="2"/>
      <x:c r="B1025" s="2" t="n">
        <x:v>1020</x:v>
      </x:c>
      <x:c r="C1025" s="2" t="str">
        <x:v>Health Care / organic_volume_growth</x:v>
      </x:c>
      <x:c r="D1025" s="2" t="str">
        <x:v>Own history</x:v>
      </x:c>
      <x:c r="E1025" s="7" t="n">
        <x:v>45565</x:v>
      </x:c>
      <x:c r="F1025" s="2" t="str">
        <x:v>Pre-earnings</x:v>
      </x:c>
      <x:c r="G1025" s="7" t="n">
        <x:v>45582</x:v>
      </x:c>
      <x:c r="H1025" s="2" t="n">
        <x:v>13</x:v>
      </x:c>
      <x:c r="I1025" s="8" t="n">
        <x:v>17</x:v>
      </x:c>
      <x:c r="J1025" s="8" t="n">
        <x:v>0</x:v>
      </x:c>
      <x:c r="K1025" s="8" t="n">
        <x:v>18</x:v>
      </x:c>
      <x:c r="L1025" s="8" t="n">
        <x:v>309</x:v>
      </x:c>
      <x:c r="M1025" s="8" t="n">
        <x:v>0</x:v>
      </x:c>
      <x:c r="N1025" s="8" t="n">
        <x:v>0</x:v>
      </x:c>
      <x:c r="O1025" s="8" t="n">
        <x:v>79</x:v>
      </x:c>
      <x:c r="P1025" s="8" t="n">
        <x:v>0</x:v>
      </x:c>
      <x:c r="Q1025" s="8" t="n">
        <x:v>1</x:v>
      </x:c>
      <x:c r="R1025" s="8" t="n">
        <x:v>0</x:v>
      </x:c>
      <x:c r="S1025" s="8" t="n">
        <x:f>L1025-I1025^2/H1025</x:f>
        <x:v>286.7692307692308</x:v>
      </x:c>
      <x:c r="T1025" s="8" t="n">
        <x:f>M1025-J1025^2/H1025</x:f>
        <x:v>0</x:v>
      </x:c>
      <x:c r="U1025" s="8" t="n">
        <x:f>N1025-I1025*J1025/H1025</x:f>
        <x:v>0</x:v>
      </x:c>
      <x:c r="V1025" s="8" t="n">
        <x:f>O1025-I1025*K1025/H1025</x:f>
        <x:v>55.46153846153846</x:v>
      </x:c>
      <x:c r="W1025" s="8" t="n">
        <x:f>P1025-J1025*K1025/H1025</x:f>
        <x:v>0</x:v>
      </x:c>
      <x:c r="X1025" s="8" t="n">
        <x:f>V1025/S1025</x:f>
        <x:v>0.19340128755364805</x:v>
      </x:c>
      <x:c r="Y1025" s="8" t="n">
        <x:f>0</x:f>
        <x:v>0</x:v>
      </x:c>
      <x:c r="Z1025" s="8" t="n">
        <x:f>K1025/H1025-X1025*I1025/H1025-Y1025*J1025/H1025</x:f>
        <x:v>1.131706008583691</x:v>
      </x:c>
      <x:c r="AA1025" s="8" t="n">
        <x:f>Z1025+X1025*Q1025+Y1025*R1025</x:f>
        <x:v>1.3251072961373391</x:v>
      </x:c>
    </x:row>
    <x:row r="1026" ht="26" customHeight="1">
      <x:c r="A1026" s="2"/>
      <x:c r="B1026" s="2" t="n">
        <x:v>1021</x:v>
      </x:c>
      <x:c r="C1026" s="2" t="str">
        <x:v>Health Care / organic_volume_growth</x:v>
      </x:c>
      <x:c r="D1026" s="2" t="str">
        <x:v>Broad market</x:v>
      </x:c>
      <x:c r="E1026" s="7" t="n">
        <x:v>45657</x:v>
      </x:c>
      <x:c r="F1026" s="2" t="str">
        <x:v>Origin</x:v>
      </x:c>
      <x:c r="G1026" s="7" t="n">
        <x:v>45566</x:v>
      </x:c>
      <x:c r="H1026" s="2" t="n">
        <x:v>14</x:v>
      </x:c>
      <x:c r="I1026" s="8" t="n">
        <x:v>41.58880663164729</x:v>
      </x:c>
      <x:c r="J1026" s="8" t="n">
        <x:v>0</x:v>
      </x:c>
      <x:c r="K1026" s="8" t="n">
        <x:v>18</x:v>
      </x:c>
      <x:c r="L1026" s="8" t="n">
        <x:v>366.7871092575401</x:v>
      </x:c>
      <x:c r="M1026" s="8" t="n">
        <x:v>0</x:v>
      </x:c>
      <x:c r="N1026" s="8" t="n">
        <x:v>0</x:v>
      </x:c>
      <x:c r="O1026" s="8" t="n">
        <x:v>252.71627435656822</x:v>
      </x:c>
      <x:c r="P1026" s="8" t="n">
        <x:v>0</x:v>
      </x:c>
      <x:c r="Q1026" s="8" t="n">
        <x:v>2.1970378321914286</x:v>
      </x:c>
      <x:c r="R1026" s="8" t="n">
        <x:v>0</x:v>
      </x:c>
      <x:c r="S1026" s="8" t="n">
        <x:f>L1026-I1026^2/H1026</x:f>
        <x:v>243.24219232578662</x:v>
      </x:c>
      <x:c r="T1026" s="8" t="n">
        <x:f>M1026-J1026^2/H1026</x:f>
        <x:v>0</x:v>
      </x:c>
      <x:c r="U1026" s="8" t="n">
        <x:f>N1026-I1026*J1026/H1026</x:f>
        <x:v>0</x:v>
      </x:c>
      <x:c r="V1026" s="8" t="n">
        <x:f>O1026-I1026*K1026/H1026</x:f>
        <x:v>199.2449515444503</x:v>
      </x:c>
      <x:c r="W1026" s="8" t="n">
        <x:f>P1026-J1026*K1026/H1026</x:f>
        <x:v>0</x:v>
      </x:c>
      <x:c r="X1026" s="8" t="n">
        <x:f>V1026/S1026</x:f>
        <x:v>0.8191216730919421</x:v>
      </x:c>
      <x:c r="Y1026" s="8" t="n">
        <x:f>0</x:f>
        <x:v>0</x:v>
      </x:c>
      <x:c r="Z1026" s="8" t="n">
        <x:f>K1026/H1026-X1026*I1026/H1026-Y1026*J1026/H1026</x:f>
        <x:v>-1.1475923478580132</x:v>
      </x:c>
      <x:c r="AA1026" s="8" t="n">
        <x:f>Z1026+X1026*Q1026+Y1026*R1026</x:f>
        <x:v>0.6520489570929231</x:v>
      </x:c>
    </x:row>
    <x:row r="1027" ht="26" customHeight="1">
      <x:c r="A1027" s="2"/>
      <x:c r="B1027" s="2" t="n">
        <x:v>1022</x:v>
      </x:c>
      <x:c r="C1027" s="2" t="str">
        <x:v>Health Care / organic_volume_growth</x:v>
      </x:c>
      <x:c r="D1027" s="2" t="str">
        <x:v>Broad rolling 8</x:v>
      </x:c>
      <x:c r="E1027" s="7" t="n">
        <x:v>45657</x:v>
      </x:c>
      <x:c r="F1027" s="2" t="str">
        <x:v>Origin</x:v>
      </x:c>
      <x:c r="G1027" s="7" t="n">
        <x:v>45566</x:v>
      </x:c>
      <x:c r="H1027" s="2" t="n">
        <x:v>8</x:v>
      </x:c>
      <x:c r="I1027" s="8" t="n">
        <x:v>3.8524597778205827</x:v>
      </x:c>
      <x:c r="J1027" s="8" t="n">
        <x:v>0</x:v>
      </x:c>
      <x:c r="K1027" s="8" t="n">
        <x:v>-10</x:v>
      </x:c>
      <x:c r="L1027" s="8" t="n">
        <x:v>15.42741688968306</x:v>
      </x:c>
      <x:c r="M1027" s="8" t="n">
        <x:v>0</x:v>
      </x:c>
      <x:c r="N1027" s="8" t="n">
        <x:v>0</x:v>
      </x:c>
      <x:c r="O1027" s="8" t="n">
        <x:v>-6.28535164471733</x:v>
      </x:c>
      <x:c r="P1027" s="8" t="n">
        <x:v>0</x:v>
      </x:c>
      <x:c r="Q1027" s="8" t="n">
        <x:v>2.1970378321914286</x:v>
      </x:c>
      <x:c r="R1027" s="8" t="n">
        <x:v>0</x:v>
      </x:c>
      <x:c r="S1027" s="8" t="n">
        <x:f>L1027-I1027^2/H1027</x:f>
        <x:v>13.572236097217385</x:v>
      </x:c>
      <x:c r="T1027" s="8" t="n">
        <x:f>M1027-J1027^2/H1027</x:f>
        <x:v>0</x:v>
      </x:c>
      <x:c r="U1027" s="8" t="n">
        <x:f>N1027-I1027*J1027/H1027</x:f>
        <x:v>0</x:v>
      </x:c>
      <x:c r="V1027" s="8" t="n">
        <x:f>O1027-I1027*K1027/H1027</x:f>
        <x:v>-1.4697769224416009</x:v>
      </x:c>
      <x:c r="W1027" s="8" t="n">
        <x:f>P1027-J1027*K1027/H1027</x:f>
        <x:v>0</x:v>
      </x:c>
      <x:c r="X1027" s="8" t="n">
        <x:f>V1027/S1027</x:f>
        <x:v>-0.10829290854606768</x:v>
      </x:c>
      <x:c r="Y1027" s="8" t="n">
        <x:f>0</x:f>
        <x:v>0</x:v>
      </x:c>
      <x:c r="Z1027" s="8" t="n">
        <x:f>K1027/H1027-X1027*I1027/H1027-Y1027*J1027/H1027</x:f>
        <x:v>-1.197850740700384</x:v>
      </x:c>
      <x:c r="AA1027" s="8" t="n">
        <x:f>Z1027+X1027*Q1027+Y1027*R1027</x:f>
        <x:v>-1.435774357734141</x:v>
      </x:c>
    </x:row>
    <x:row r="1028" ht="26" customHeight="1">
      <x:c r="A1028" s="2"/>
      <x:c r="B1028" s="2" t="n">
        <x:v>1023</x:v>
      </x:c>
      <x:c r="C1028" s="2" t="str">
        <x:v>Health Care / organic_volume_growth</x:v>
      </x:c>
      <x:c r="D1028" s="2" t="str">
        <x:v>Own history</x:v>
      </x:c>
      <x:c r="E1028" s="7" t="n">
        <x:v>45657</x:v>
      </x:c>
      <x:c r="F1028" s="2" t="str">
        <x:v>Origin</x:v>
      </x:c>
      <x:c r="G1028" s="7" t="n">
        <x:v>45566</x:v>
      </x:c>
      <x:c r="H1028" s="2" t="n">
        <x:v>12</x:v>
      </x:c>
      <x:c r="I1028" s="8" t="n">
        <x:v>21</x:v>
      </x:c>
      <x:c r="J1028" s="8" t="n">
        <x:v>0</x:v>
      </x:c>
      <x:c r="K1028" s="8" t="n">
        <x:v>5</x:v>
      </x:c>
      <x:c r="L1028" s="8" t="n">
        <x:v>293</x:v>
      </x:c>
      <x:c r="M1028" s="8" t="n">
        <x:v>0</x:v>
      </x:c>
      <x:c r="N1028" s="8" t="n">
        <x:v>0</x:v>
      </x:c>
      <x:c r="O1028" s="8" t="n">
        <x:v>63</x:v>
      </x:c>
      <x:c r="P1028" s="8" t="n">
        <x:v>0</x:v>
      </x:c>
      <x:c r="Q1028" s="8" t="n">
        <x:v>1</x:v>
      </x:c>
      <x:c r="R1028" s="8" t="n">
        <x:v>0</x:v>
      </x:c>
      <x:c r="S1028" s="8" t="n">
        <x:f>L1028-I1028^2/H1028</x:f>
        <x:v>256.25</x:v>
      </x:c>
      <x:c r="T1028" s="8" t="n">
        <x:f>M1028-J1028^2/H1028</x:f>
        <x:v>0</x:v>
      </x:c>
      <x:c r="U1028" s="8" t="n">
        <x:f>N1028-I1028*J1028/H1028</x:f>
        <x:v>0</x:v>
      </x:c>
      <x:c r="V1028" s="8" t="n">
        <x:f>O1028-I1028*K1028/H1028</x:f>
        <x:v>54.25</x:v>
      </x:c>
      <x:c r="W1028" s="8" t="n">
        <x:f>P1028-J1028*K1028/H1028</x:f>
        <x:v>0</x:v>
      </x:c>
      <x:c r="X1028" s="8" t="n">
        <x:f>V1028/S1028</x:f>
        <x:v>0.21170731707317073</x:v>
      </x:c>
      <x:c r="Y1028" s="8" t="n">
        <x:f>0</x:f>
        <x:v>0</x:v>
      </x:c>
      <x:c r="Z1028" s="8" t="n">
        <x:f>K1028/H1028-X1028*I1028/H1028-Y1028*J1028/H1028</x:f>
        <x:v>0.046178861788617964</x:v>
      </x:c>
      <x:c r="AA1028" s="8" t="n">
        <x:f>Z1028+X1028*Q1028+Y1028*R1028</x:f>
        <x:v>0.25788617886178866</x:v>
      </x:c>
    </x:row>
    <x:row r="1029" ht="26" customHeight="1">
      <x:c r="A1029" s="2"/>
      <x:c r="B1029" s="2" t="n">
        <x:v>1024</x:v>
      </x:c>
      <x:c r="C1029" s="2" t="str">
        <x:v>Health Care / organic_volume_growth</x:v>
      </x:c>
      <x:c r="D1029" s="2" t="str">
        <x:v>Broad market</x:v>
      </x:c>
      <x:c r="E1029" s="7" t="n">
        <x:v>45657</x:v>
      </x:c>
      <x:c r="F1029" s="2" t="str">
        <x:v>Prior report</x:v>
      </x:c>
      <x:c r="G1029" s="7" t="n">
        <x:v>45583</x:v>
      </x:c>
      <x:c r="H1029" s="2" t="n">
        <x:v>14</x:v>
      </x:c>
      <x:c r="I1029" s="8" t="n">
        <x:v>41.58880663164729</x:v>
      </x:c>
      <x:c r="J1029" s="8" t="n">
        <x:v>0</x:v>
      </x:c>
      <x:c r="K1029" s="8" t="n">
        <x:v>18</x:v>
      </x:c>
      <x:c r="L1029" s="8" t="n">
        <x:v>366.7871092575401</x:v>
      </x:c>
      <x:c r="M1029" s="8" t="n">
        <x:v>0</x:v>
      </x:c>
      <x:c r="N1029" s="8" t="n">
        <x:v>0</x:v>
      </x:c>
      <x:c r="O1029" s="8" t="n">
        <x:v>252.71627435656822</x:v>
      </x:c>
      <x:c r="P1029" s="8" t="n">
        <x:v>0</x:v>
      </x:c>
      <x:c r="Q1029" s="8" t="n">
        <x:v>2.1970378321914286</x:v>
      </x:c>
      <x:c r="R1029" s="8" t="n">
        <x:v>0</x:v>
      </x:c>
      <x:c r="S1029" s="8" t="n">
        <x:f>L1029-I1029^2/H1029</x:f>
        <x:v>243.24219232578662</x:v>
      </x:c>
      <x:c r="T1029" s="8" t="n">
        <x:f>M1029-J1029^2/H1029</x:f>
        <x:v>0</x:v>
      </x:c>
      <x:c r="U1029" s="8" t="n">
        <x:f>N1029-I1029*J1029/H1029</x:f>
        <x:v>0</x:v>
      </x:c>
      <x:c r="V1029" s="8" t="n">
        <x:f>O1029-I1029*K1029/H1029</x:f>
        <x:v>199.2449515444503</x:v>
      </x:c>
      <x:c r="W1029" s="8" t="n">
        <x:f>P1029-J1029*K1029/H1029</x:f>
        <x:v>0</x:v>
      </x:c>
      <x:c r="X1029" s="8" t="n">
        <x:f>V1029/S1029</x:f>
        <x:v>0.8191216730919421</x:v>
      </x:c>
      <x:c r="Y1029" s="8" t="n">
        <x:f>0</x:f>
        <x:v>0</x:v>
      </x:c>
      <x:c r="Z1029" s="8" t="n">
        <x:f>K1029/H1029-X1029*I1029/H1029-Y1029*J1029/H1029</x:f>
        <x:v>-1.1475923478580132</x:v>
      </x:c>
      <x:c r="AA1029" s="8" t="n">
        <x:f>Z1029+X1029*Q1029+Y1029*R1029</x:f>
        <x:v>0.6520489570929231</x:v>
      </x:c>
    </x:row>
    <x:row r="1030" ht="26" customHeight="1">
      <x:c r="A1030" s="2"/>
      <x:c r="B1030" s="2" t="n">
        <x:v>1025</x:v>
      </x:c>
      <x:c r="C1030" s="2" t="str">
        <x:v>Health Care / organic_volume_growth</x:v>
      </x:c>
      <x:c r="D1030" s="2" t="str">
        <x:v>Broad rolling 8</x:v>
      </x:c>
      <x:c r="E1030" s="7" t="n">
        <x:v>45657</x:v>
      </x:c>
      <x:c r="F1030" s="2" t="str">
        <x:v>Prior report</x:v>
      </x:c>
      <x:c r="G1030" s="7" t="n">
        <x:v>45583</x:v>
      </x:c>
      <x:c r="H1030" s="2" t="n">
        <x:v>8</x:v>
      </x:c>
      <x:c r="I1030" s="8" t="n">
        <x:v>3.8524597778205827</x:v>
      </x:c>
      <x:c r="J1030" s="8" t="n">
        <x:v>0</x:v>
      </x:c>
      <x:c r="K1030" s="8" t="n">
        <x:v>-10</x:v>
      </x:c>
      <x:c r="L1030" s="8" t="n">
        <x:v>15.42741688968306</x:v>
      </x:c>
      <x:c r="M1030" s="8" t="n">
        <x:v>0</x:v>
      </x:c>
      <x:c r="N1030" s="8" t="n">
        <x:v>0</x:v>
      </x:c>
      <x:c r="O1030" s="8" t="n">
        <x:v>-6.28535164471733</x:v>
      </x:c>
      <x:c r="P1030" s="8" t="n">
        <x:v>0</x:v>
      </x:c>
      <x:c r="Q1030" s="8" t="n">
        <x:v>2.1970378321914286</x:v>
      </x:c>
      <x:c r="R1030" s="8" t="n">
        <x:v>0</x:v>
      </x:c>
      <x:c r="S1030" s="8" t="n">
        <x:f>L1030-I1030^2/H1030</x:f>
        <x:v>13.572236097217385</x:v>
      </x:c>
      <x:c r="T1030" s="8" t="n">
        <x:f>M1030-J1030^2/H1030</x:f>
        <x:v>0</x:v>
      </x:c>
      <x:c r="U1030" s="8" t="n">
        <x:f>N1030-I1030*J1030/H1030</x:f>
        <x:v>0</x:v>
      </x:c>
      <x:c r="V1030" s="8" t="n">
        <x:f>O1030-I1030*K1030/H1030</x:f>
        <x:v>-1.4697769224416009</x:v>
      </x:c>
      <x:c r="W1030" s="8" t="n">
        <x:f>P1030-J1030*K1030/H1030</x:f>
        <x:v>0</x:v>
      </x:c>
      <x:c r="X1030" s="8" t="n">
        <x:f>V1030/S1030</x:f>
        <x:v>-0.10829290854606768</x:v>
      </x:c>
      <x:c r="Y1030" s="8" t="n">
        <x:f>0</x:f>
        <x:v>0</x:v>
      </x:c>
      <x:c r="Z1030" s="8" t="n">
        <x:f>K1030/H1030-X1030*I1030/H1030-Y1030*J1030/H1030</x:f>
        <x:v>-1.197850740700384</x:v>
      </x:c>
      <x:c r="AA1030" s="8" t="n">
        <x:f>Z1030+X1030*Q1030+Y1030*R1030</x:f>
        <x:v>-1.435774357734141</x:v>
      </x:c>
    </x:row>
    <x:row r="1031" ht="26" customHeight="1">
      <x:c r="A1031" s="2"/>
      <x:c r="B1031" s="2" t="n">
        <x:v>1026</x:v>
      </x:c>
      <x:c r="C1031" s="2" t="str">
        <x:v>Health Care / organic_volume_growth</x:v>
      </x:c>
      <x:c r="D1031" s="2" t="str">
        <x:v>Own history</x:v>
      </x:c>
      <x:c r="E1031" s="7" t="n">
        <x:v>45657</x:v>
      </x:c>
      <x:c r="F1031" s="2" t="str">
        <x:v>Prior report</x:v>
      </x:c>
      <x:c r="G1031" s="7" t="n">
        <x:v>45583</x:v>
      </x:c>
      <x:c r="H1031" s="2" t="n">
        <x:v>14</x:v>
      </x:c>
      <x:c r="I1031" s="8" t="n">
        <x:v>18</x:v>
      </x:c>
      <x:c r="J1031" s="8" t="n">
        <x:v>0</x:v>
      </x:c>
      <x:c r="K1031" s="8" t="n">
        <x:v>17</x:v>
      </x:c>
      <x:c r="L1031" s="8" t="n">
        <x:v>310</x:v>
      </x:c>
      <x:c r="M1031" s="8" t="n">
        <x:v>0</x:v>
      </x:c>
      <x:c r="N1031" s="8" t="n">
        <x:v>0</x:v>
      </x:c>
      <x:c r="O1031" s="8" t="n">
        <x:v>78</x:v>
      </x:c>
      <x:c r="P1031" s="8" t="n">
        <x:v>0</x:v>
      </x:c>
      <x:c r="Q1031" s="8" t="n">
        <x:v>-1</x:v>
      </x:c>
      <x:c r="R1031" s="8" t="n">
        <x:v>0</x:v>
      </x:c>
      <x:c r="S1031" s="8" t="n">
        <x:f>L1031-I1031^2/H1031</x:f>
        <x:v>286.85714285714283</x:v>
      </x:c>
      <x:c r="T1031" s="8" t="n">
        <x:f>M1031-J1031^2/H1031</x:f>
        <x:v>0</x:v>
      </x:c>
      <x:c r="U1031" s="8" t="n">
        <x:f>N1031-I1031*J1031/H1031</x:f>
        <x:v>0</x:v>
      </x:c>
      <x:c r="V1031" s="8" t="n">
        <x:f>O1031-I1031*K1031/H1031</x:f>
        <x:v>56.14285714285714</x:v>
      </x:c>
      <x:c r="W1031" s="8" t="n">
        <x:f>P1031-J1031*K1031/H1031</x:f>
        <x:v>0</x:v>
      </x:c>
      <x:c r="X1031" s="8" t="n">
        <x:f>V1031/S1031</x:f>
        <x:v>0.19571713147410358</x:v>
      </x:c>
      <x:c r="Y1031" s="8" t="n">
        <x:f>0</x:f>
        <x:v>0</x:v>
      </x:c>
      <x:c r="Z1031" s="8" t="n">
        <x:f>K1031/H1031-X1031*I1031/H1031-Y1031*J1031/H1031</x:f>
        <x:v>0.9626494023904382</x:v>
      </x:c>
      <x:c r="AA1031" s="8" t="n">
        <x:f>Z1031+X1031*Q1031+Y1031*R1031</x:f>
        <x:v>0.7669322709163346</x:v>
      </x:c>
    </x:row>
    <x:row r="1032" ht="26" customHeight="1">
      <x:c r="A1032" s="2"/>
      <x:c r="B1032" s="2" t="n">
        <x:v>1027</x:v>
      </x:c>
      <x:c r="C1032" s="2" t="str">
        <x:v>Health Care / organic_volume_growth</x:v>
      </x:c>
      <x:c r="D1032" s="2" t="str">
        <x:v>Broad market</x:v>
      </x:c>
      <x:c r="E1032" s="7" t="n">
        <x:v>45657</x:v>
      </x:c>
      <x:c r="F1032" s="2" t="str">
        <x:v>Pre-earnings</x:v>
      </x:c>
      <x:c r="G1032" s="7" t="n">
        <x:v>45678</x:v>
      </x:c>
      <x:c r="H1032" s="2" t="n">
        <x:v>15</x:v>
      </x:c>
      <x:c r="I1032" s="8" t="n">
        <x:v>43.836489330457816</x:v>
      </x:c>
      <x:c r="J1032" s="8" t="n">
        <x:v>0</x:v>
      </x:c>
      <x:c r="K1032" s="8" t="n">
        <x:v>17</x:v>
      </x:c>
      <x:c r="L1032" s="8" t="n">
        <x:v>371.83918677207225</x:v>
      </x:c>
      <x:c r="M1032" s="8" t="n">
        <x:v>0</x:v>
      </x:c>
      <x:c r="N1032" s="8" t="n">
        <x:v>0</x:v>
      </x:c>
      <x:c r="O1032" s="8" t="n">
        <x:v>250.46859165775768</x:v>
      </x:c>
      <x:c r="P1032" s="8" t="n">
        <x:v>0</x:v>
      </x:c>
      <x:c r="Q1032" s="8" t="n">
        <x:v>2.2104342232004415</x:v>
      </x:c>
      <x:c r="R1032" s="8" t="n">
        <x:v>0</x:v>
      </x:c>
      <x:c r="S1032" s="8" t="n">
        <x:f>L1032-I1032^2/H1032</x:f>
        <x:v>243.73000031744945</x:v>
      </x:c>
      <x:c r="T1032" s="8" t="n">
        <x:f>M1032-J1032^2/H1032</x:f>
        <x:v>0</x:v>
      </x:c>
      <x:c r="U1032" s="8" t="n">
        <x:f>N1032-I1032*J1032/H1032</x:f>
        <x:v>0</x:v>
      </x:c>
      <x:c r="V1032" s="8" t="n">
        <x:f>O1032-I1032*K1032/H1032</x:f>
        <x:v>200.78723708323884</x:v>
      </x:c>
      <x:c r="W1032" s="8" t="n">
        <x:f>P1032-J1032*K1032/H1032</x:f>
        <x:v>0</x:v>
      </x:c>
      <x:c r="X1032" s="8" t="n">
        <x:f>V1032/S1032</x:f>
        <x:v>0.8238101047130874</x:v>
      </x:c>
      <x:c r="Y1032" s="8" t="n">
        <x:f>0</x:f>
        <x:v>0</x:v>
      </x:c>
      <x:c r="Z1032" s="8" t="n">
        <x:f>K1032/H1032-X1032*I1032/H1032-Y1032*J1032/H1032</x:f>
        <x:v>-1.2741961910385724</x:v>
      </x:c>
      <x:c r="AA1032" s="8" t="n">
        <x:f>Z1032+X1032*Q1032+Y1032*R1032</x:f>
        <x:v>0.5467818578375752</x:v>
      </x:c>
    </x:row>
    <x:row r="1033" ht="26" customHeight="1">
      <x:c r="A1033" s="2"/>
      <x:c r="B1033" s="2" t="n">
        <x:v>1028</x:v>
      </x:c>
      <x:c r="C1033" s="2" t="str">
        <x:v>Health Care / organic_volume_growth</x:v>
      </x:c>
      <x:c r="D1033" s="2" t="str">
        <x:v>Broad lag 1</x:v>
      </x:c>
      <x:c r="E1033" s="7" t="n">
        <x:v>45657</x:v>
      </x:c>
      <x:c r="F1033" s="2" t="str">
        <x:v>Pre-earnings</x:v>
      </x:c>
      <x:c r="G1033" s="7" t="n">
        <x:v>45678</x:v>
      </x:c>
      <x:c r="H1033" s="2" t="n">
        <x:v>14</x:v>
      </x:c>
      <x:c r="I1033" s="8" t="n">
        <x:v>41.58880663164729</x:v>
      </x:c>
      <x:c r="J1033" s="8" t="n">
        <x:v>0</x:v>
      </x:c>
      <x:c r="K1033" s="8" t="n">
        <x:v>17</x:v>
      </x:c>
      <x:c r="L1033" s="8" t="n">
        <x:v>366.7871092575401</x:v>
      </x:c>
      <x:c r="M1033" s="8" t="n">
        <x:v>0</x:v>
      </x:c>
      <x:c r="N1033" s="8" t="n">
        <x:v>0</x:v>
      </x:c>
      <x:c r="O1033" s="8" t="n">
        <x:v>198.9679791443639</x:v>
      </x:c>
      <x:c r="P1033" s="8" t="n">
        <x:v>0</x:v>
      </x:c>
      <x:c r="Q1033" s="8" t="n">
        <x:v>2.247682698810527</x:v>
      </x:c>
      <x:c r="R1033" s="8" t="n">
        <x:v>0</x:v>
      </x:c>
      <x:c r="S1033" s="8" t="n">
        <x:f>L1033-I1033^2/H1033</x:f>
        <x:v>243.24219232578662</x:v>
      </x:c>
      <x:c r="T1033" s="8" t="n">
        <x:f>M1033-J1033^2/H1033</x:f>
        <x:v>0</x:v>
      </x:c>
      <x:c r="U1033" s="8" t="n">
        <x:f>N1033-I1033*J1033/H1033</x:f>
        <x:v>0</x:v>
      </x:c>
      <x:c r="V1033" s="8" t="n">
        <x:f>O1033-I1033*K1033/H1033</x:f>
        <x:v>148.46728537736362</x:v>
      </x:c>
      <x:c r="W1033" s="8" t="n">
        <x:f>P1033-J1033*K1033/H1033</x:f>
        <x:v>0</x:v>
      </x:c>
      <x:c r="X1033" s="8" t="n">
        <x:f>V1033/S1033</x:f>
        <x:v>0.6103681436093696</x:v>
      </x:c>
      <x:c r="Y1033" s="8" t="n">
        <x:f>0</x:f>
        <x:v>0</x:v>
      </x:c>
      <x:c r="Z1033" s="8" t="n">
        <x:f>K1033/H1033-X1033*I1033/H1033-Y1033*J1033/H1033</x:f>
        <x:v>-0.5988916213348283</x:v>
      </x:c>
      <x:c r="AA1033" s="8" t="n">
        <x:f>Z1033+X1033*Q1033+Y1033*R1033</x:f>
        <x:v>0.773022294961051</x:v>
      </x:c>
    </x:row>
    <x:row r="1034" ht="26" customHeight="1">
      <x:c r="A1034" s="2"/>
      <x:c r="B1034" s="2" t="n">
        <x:v>1029</x:v>
      </x:c>
      <x:c r="C1034" s="2" t="str">
        <x:v>Health Care / organic_volume_growth</x:v>
      </x:c>
      <x:c r="D1034" s="2" t="str">
        <x:v>Broad rolling 8</x:v>
      </x:c>
      <x:c r="E1034" s="7" t="n">
        <x:v>45657</x:v>
      </x:c>
      <x:c r="F1034" s="2" t="str">
        <x:v>Pre-earnings</x:v>
      </x:c>
      <x:c r="G1034" s="7" t="n">
        <x:v>45678</x:v>
      </x:c>
      <x:c r="H1034" s="2" t="n">
        <x:v>8</x:v>
      </x:c>
      <x:c r="I1034" s="8" t="n">
        <x:v>7.078949947895485</x:v>
      </x:c>
      <x:c r="J1034" s="8" t="n">
        <x:v>0</x:v>
      </x:c>
      <x:c r="K1034" s="8" t="n">
        <x:v>-9</x:v>
      </x:c>
      <x:c r="L1034" s="8" t="n">
        <x:v>19.521430338412273</x:v>
      </x:c>
      <x:c r="M1034" s="8" t="n">
        <x:v>0</x:v>
      </x:c>
      <x:c r="N1034" s="8" t="n">
        <x:v>0</x:v>
      </x:c>
      <x:c r="O1034" s="8" t="n">
        <x:v>-10.490649286056609</x:v>
      </x:c>
      <x:c r="P1034" s="8" t="n">
        <x:v>0</x:v>
      </x:c>
      <x:c r="Q1034" s="8" t="n">
        <x:v>2.2104342232004415</x:v>
      </x:c>
      <x:c r="R1034" s="8" t="n">
        <x:v>0</x:v>
      </x:c>
      <x:c r="S1034" s="8" t="n">
        <x:f>L1034-I1034^2/H1034</x:f>
        <x:v>13.257488792811085</x:v>
      </x:c>
      <x:c r="T1034" s="8" t="n">
        <x:f>M1034-J1034^2/H1034</x:f>
        <x:v>0</x:v>
      </x:c>
      <x:c r="U1034" s="8" t="n">
        <x:f>N1034-I1034*J1034/H1034</x:f>
        <x:v>0</x:v>
      </x:c>
      <x:c r="V1034" s="8" t="n">
        <x:f>O1034-I1034*K1034/H1034</x:f>
        <x:v>-2.5268305946741876</x:v>
      </x:c>
      <x:c r="W1034" s="8" t="n">
        <x:f>P1034-J1034*K1034/H1034</x:f>
        <x:v>0</x:v>
      </x:c>
      <x:c r="X1034" s="8" t="n">
        <x:f>V1034/S1034</x:f>
        <x:v>-0.1905964722402307</x:v>
      </x:c>
      <x:c r="Y1034" s="8" t="n">
        <x:f>0</x:f>
        <x:v>0</x:v>
      </x:c>
      <x:c r="Z1034" s="8" t="n">
        <x:f>K1034/H1034-X1034*I1034/H1034-Y1034*J1034/H1034</x:f>
        <x:v>-0.9563471390957444</x:v>
      </x:c>
      <x:c r="AA1034" s="8" t="n">
        <x:f>Z1034+X1034*Q1034+Y1034*R1034</x:f>
        <x:v>-1.3776481041568234</x:v>
      </x:c>
    </x:row>
    <x:row r="1035" ht="26" customHeight="1">
      <x:c r="A1035" s="2"/>
      <x:c r="B1035" s="2" t="n">
        <x:v>1030</x:v>
      </x:c>
      <x:c r="C1035" s="2" t="str">
        <x:v>Health Care / organic_volume_growth</x:v>
      </x:c>
      <x:c r="D1035" s="2" t="str">
        <x:v>Own history</x:v>
      </x:c>
      <x:c r="E1035" s="7" t="n">
        <x:v>45657</x:v>
      </x:c>
      <x:c r="F1035" s="2" t="str">
        <x:v>Pre-earnings</x:v>
      </x:c>
      <x:c r="G1035" s="7" t="n">
        <x:v>45678</x:v>
      </x:c>
      <x:c r="H1035" s="2" t="n">
        <x:v>14</x:v>
      </x:c>
      <x:c r="I1035" s="8" t="n">
        <x:v>18</x:v>
      </x:c>
      <x:c r="J1035" s="8" t="n">
        <x:v>0</x:v>
      </x:c>
      <x:c r="K1035" s="8" t="n">
        <x:v>17</x:v>
      </x:c>
      <x:c r="L1035" s="8" t="n">
        <x:v>310</x:v>
      </x:c>
      <x:c r="M1035" s="8" t="n">
        <x:v>0</x:v>
      </x:c>
      <x:c r="N1035" s="8" t="n">
        <x:v>0</x:v>
      </x:c>
      <x:c r="O1035" s="8" t="n">
        <x:v>78</x:v>
      </x:c>
      <x:c r="P1035" s="8" t="n">
        <x:v>0</x:v>
      </x:c>
      <x:c r="Q1035" s="8" t="n">
        <x:v>-1</x:v>
      </x:c>
      <x:c r="R1035" s="8" t="n">
        <x:v>0</x:v>
      </x:c>
      <x:c r="S1035" s="8" t="n">
        <x:f>L1035-I1035^2/H1035</x:f>
        <x:v>286.85714285714283</x:v>
      </x:c>
      <x:c r="T1035" s="8" t="n">
        <x:f>M1035-J1035^2/H1035</x:f>
        <x:v>0</x:v>
      </x:c>
      <x:c r="U1035" s="8" t="n">
        <x:f>N1035-I1035*J1035/H1035</x:f>
        <x:v>0</x:v>
      </x:c>
      <x:c r="V1035" s="8" t="n">
        <x:f>O1035-I1035*K1035/H1035</x:f>
        <x:v>56.14285714285714</x:v>
      </x:c>
      <x:c r="W1035" s="8" t="n">
        <x:f>P1035-J1035*K1035/H1035</x:f>
        <x:v>0</x:v>
      </x:c>
      <x:c r="X1035" s="8" t="n">
        <x:f>V1035/S1035</x:f>
        <x:v>0.19571713147410358</x:v>
      </x:c>
      <x:c r="Y1035" s="8" t="n">
        <x:f>0</x:f>
        <x:v>0</x:v>
      </x:c>
      <x:c r="Z1035" s="8" t="n">
        <x:f>K1035/H1035-X1035*I1035/H1035-Y1035*J1035/H1035</x:f>
        <x:v>0.9626494023904382</x:v>
      </x:c>
      <x:c r="AA1035" s="8" t="n">
        <x:f>Z1035+X1035*Q1035+Y1035*R1035</x:f>
        <x:v>0.7669322709163346</x:v>
      </x:c>
    </x:row>
    <x:row r="1036" ht="26" customHeight="1">
      <x:c r="A1036" s="2"/>
      <x:c r="B1036" s="2" t="n">
        <x:v>1031</x:v>
      </x:c>
      <x:c r="C1036" s="2" t="str">
        <x:v>Health Care / organic_volume_growth</x:v>
      </x:c>
      <x:c r="D1036" s="2" t="str">
        <x:v>Broad market</x:v>
      </x:c>
      <x:c r="E1036" s="7" t="n">
        <x:v>45747</x:v>
      </x:c>
      <x:c r="F1036" s="2" t="str">
        <x:v>Origin</x:v>
      </x:c>
      <x:c r="G1036" s="7" t="n">
        <x:v>45658</x:v>
      </x:c>
      <x:c r="H1036" s="2" t="n">
        <x:v>15</x:v>
      </x:c>
      <x:c r="I1036" s="8" t="n">
        <x:v>43.836489330457816</x:v>
      </x:c>
      <x:c r="J1036" s="8" t="n">
        <x:v>0</x:v>
      </x:c>
      <x:c r="K1036" s="8" t="n">
        <x:v>17</x:v>
      </x:c>
      <x:c r="L1036" s="8" t="n">
        <x:v>371.83918677207225</x:v>
      </x:c>
      <x:c r="M1036" s="8" t="n">
        <x:v>0</x:v>
      </x:c>
      <x:c r="N1036" s="8" t="n">
        <x:v>0</x:v>
      </x:c>
      <x:c r="O1036" s="8" t="n">
        <x:v>250.46859165775768</x:v>
      </x:c>
      <x:c r="P1036" s="8" t="n">
        <x:v>0</x:v>
      </x:c>
      <x:c r="Q1036" s="8" t="n">
        <x:v>2.3134618459836664</x:v>
      </x:c>
      <x:c r="R1036" s="8" t="n">
        <x:v>0</x:v>
      </x:c>
      <x:c r="S1036" s="8" t="n">
        <x:f>L1036-I1036^2/H1036</x:f>
        <x:v>243.73000031744945</x:v>
      </x:c>
      <x:c r="T1036" s="8" t="n">
        <x:f>M1036-J1036^2/H1036</x:f>
        <x:v>0</x:v>
      </x:c>
      <x:c r="U1036" s="8" t="n">
        <x:f>N1036-I1036*J1036/H1036</x:f>
        <x:v>0</x:v>
      </x:c>
      <x:c r="V1036" s="8" t="n">
        <x:f>O1036-I1036*K1036/H1036</x:f>
        <x:v>200.78723708323884</x:v>
      </x:c>
      <x:c r="W1036" s="8" t="n">
        <x:f>P1036-J1036*K1036/H1036</x:f>
        <x:v>0</x:v>
      </x:c>
      <x:c r="X1036" s="8" t="n">
        <x:f>V1036/S1036</x:f>
        <x:v>0.8238101047130874</x:v>
      </x:c>
      <x:c r="Y1036" s="8" t="n">
        <x:f>0</x:f>
        <x:v>0</x:v>
      </x:c>
      <x:c r="Z1036" s="8" t="n">
        <x:f>K1036/H1036-X1036*I1036/H1036-Y1036*J1036/H1036</x:f>
        <x:v>-1.2741961910385724</x:v>
      </x:c>
      <x:c r="AA1036" s="8" t="n">
        <x:f>Z1036+X1036*Q1036+Y1036*R1036</x:f>
        <x:v>0.6316570545509643</x:v>
      </x:c>
    </x:row>
    <x:row r="1037" ht="26" customHeight="1">
      <x:c r="A1037" s="2"/>
      <x:c r="B1037" s="2" t="n">
        <x:v>1032</x:v>
      </x:c>
      <x:c r="C1037" s="2" t="str">
        <x:v>Health Care / organic_volume_growth</x:v>
      </x:c>
      <x:c r="D1037" s="2" t="str">
        <x:v>Broad rolling 8</x:v>
      </x:c>
      <x:c r="E1037" s="7" t="n">
        <x:v>45747</x:v>
      </x:c>
      <x:c r="F1037" s="2" t="str">
        <x:v>Origin</x:v>
      </x:c>
      <x:c r="G1037" s="7" t="n">
        <x:v>45658</x:v>
      </x:c>
      <x:c r="H1037" s="2" t="n">
        <x:v>8</x:v>
      </x:c>
      <x:c r="I1037" s="8" t="n">
        <x:v>7.078949947895485</x:v>
      </x:c>
      <x:c r="J1037" s="8" t="n">
        <x:v>0</x:v>
      </x:c>
      <x:c r="K1037" s="8" t="n">
        <x:v>-9</x:v>
      </x:c>
      <x:c r="L1037" s="8" t="n">
        <x:v>19.521430338412273</x:v>
      </x:c>
      <x:c r="M1037" s="8" t="n">
        <x:v>0</x:v>
      </x:c>
      <x:c r="N1037" s="8" t="n">
        <x:v>0</x:v>
      </x:c>
      <x:c r="O1037" s="8" t="n">
        <x:v>-10.490649286056609</x:v>
      </x:c>
      <x:c r="P1037" s="8" t="n">
        <x:v>0</x:v>
      </x:c>
      <x:c r="Q1037" s="8" t="n">
        <x:v>2.3134618459836664</x:v>
      </x:c>
      <x:c r="R1037" s="8" t="n">
        <x:v>0</x:v>
      </x:c>
      <x:c r="S1037" s="8" t="n">
        <x:f>L1037-I1037^2/H1037</x:f>
        <x:v>13.257488792811085</x:v>
      </x:c>
      <x:c r="T1037" s="8" t="n">
        <x:f>M1037-J1037^2/H1037</x:f>
        <x:v>0</x:v>
      </x:c>
      <x:c r="U1037" s="8" t="n">
        <x:f>N1037-I1037*J1037/H1037</x:f>
        <x:v>0</x:v>
      </x:c>
      <x:c r="V1037" s="8" t="n">
        <x:f>O1037-I1037*K1037/H1037</x:f>
        <x:v>-2.5268305946741876</x:v>
      </x:c>
      <x:c r="W1037" s="8" t="n">
        <x:f>P1037-J1037*K1037/H1037</x:f>
        <x:v>0</x:v>
      </x:c>
      <x:c r="X1037" s="8" t="n">
        <x:f>V1037/S1037</x:f>
        <x:v>-0.1905964722402307</x:v>
      </x:c>
      <x:c r="Y1037" s="8" t="n">
        <x:f>0</x:f>
        <x:v>0</x:v>
      </x:c>
      <x:c r="Z1037" s="8" t="n">
        <x:f>K1037/H1037-X1037*I1037/H1037-Y1037*J1037/H1037</x:f>
        <x:v>-0.9563471390957444</x:v>
      </x:c>
      <x:c r="AA1037" s="8" t="n">
        <x:f>Z1037+X1037*Q1037+Y1037*R1037</x:f>
        <x:v>-1.3972848056026033</x:v>
      </x:c>
    </x:row>
    <x:row r="1038" ht="26" customHeight="1">
      <x:c r="A1038" s="2"/>
      <x:c r="B1038" s="2" t="n">
        <x:v>1033</x:v>
      </x:c>
      <x:c r="C1038" s="2" t="str">
        <x:v>Health Care / organic_volume_growth</x:v>
      </x:c>
      <x:c r="D1038" s="2" t="str">
        <x:v>Own history</x:v>
      </x:c>
      <x:c r="E1038" s="7" t="n">
        <x:v>45747</x:v>
      </x:c>
      <x:c r="F1038" s="2" t="str">
        <x:v>Origin</x:v>
      </x:c>
      <x:c r="G1038" s="7" t="n">
        <x:v>45658</x:v>
      </x:c>
      <x:c r="H1038" s="2" t="n">
        <x:v>13</x:v>
      </x:c>
      <x:c r="I1038" s="8" t="n">
        <x:v>17</x:v>
      </x:c>
      <x:c r="J1038" s="8" t="n">
        <x:v>0</x:v>
      </x:c>
      <x:c r="K1038" s="8" t="n">
        <x:v>4</x:v>
      </x:c>
      <x:c r="L1038" s="8" t="n">
        <x:v>309</x:v>
      </x:c>
      <x:c r="M1038" s="8" t="n">
        <x:v>0</x:v>
      </x:c>
      <x:c r="N1038" s="8" t="n">
        <x:v>0</x:v>
      </x:c>
      <x:c r="O1038" s="8" t="n">
        <x:v>67</x:v>
      </x:c>
      <x:c r="P1038" s="8" t="n">
        <x:v>0</x:v>
      </x:c>
      <x:c r="Q1038" s="8" t="n">
        <x:v>-1</x:v>
      </x:c>
      <x:c r="R1038" s="8" t="n">
        <x:v>0</x:v>
      </x:c>
      <x:c r="S1038" s="8" t="n">
        <x:f>L1038-I1038^2/H1038</x:f>
        <x:v>286.7692307692308</x:v>
      </x:c>
      <x:c r="T1038" s="8" t="n">
        <x:f>M1038-J1038^2/H1038</x:f>
        <x:v>0</x:v>
      </x:c>
      <x:c r="U1038" s="8" t="n">
        <x:f>N1038-I1038*J1038/H1038</x:f>
        <x:v>0</x:v>
      </x:c>
      <x:c r="V1038" s="8" t="n">
        <x:f>O1038-I1038*K1038/H1038</x:f>
        <x:v>61.76923076923077</x:v>
      </x:c>
      <x:c r="W1038" s="8" t="n">
        <x:f>P1038-J1038*K1038/H1038</x:f>
        <x:v>0</x:v>
      </x:c>
      <x:c r="X1038" s="8" t="n">
        <x:f>V1038/S1038</x:f>
        <x:v>0.2153969957081545</x:v>
      </x:c>
      <x:c r="Y1038" s="8" t="n">
        <x:f>0</x:f>
        <x:v>0</x:v>
      </x:c>
      <x:c r="Z1038" s="8" t="n">
        <x:f>K1038/H1038-X1038*I1038/H1038-Y1038*J1038/H1038</x:f>
        <x:v>0.02601931330472107</x:v>
      </x:c>
      <x:c r="AA1038" s="8" t="n">
        <x:f>Z1038+X1038*Q1038+Y1038*R1038</x:f>
        <x:v>-0.18937768240343342</x:v>
      </x:c>
    </x:row>
    <x:row r="1039" ht="26" customHeight="1">
      <x:c r="A1039" s="2"/>
      <x:c r="B1039" s="2" t="n">
        <x:v>1034</x:v>
      </x:c>
      <x:c r="C1039" s="2" t="str">
        <x:v>Health Care / organic_volume_growth</x:v>
      </x:c>
      <x:c r="D1039" s="2" t="str">
        <x:v>Broad market</x:v>
      </x:c>
      <x:c r="E1039" s="7" t="n">
        <x:v>45747</x:v>
      </x:c>
      <x:c r="F1039" s="2" t="str">
        <x:v>Prior report</x:v>
      </x:c>
      <x:c r="G1039" s="7" t="n">
        <x:v>45679</x:v>
      </x:c>
      <x:c r="H1039" s="2" t="n">
        <x:v>15</x:v>
      </x:c>
      <x:c r="I1039" s="8" t="n">
        <x:v>43.836489330457816</x:v>
      </x:c>
      <x:c r="J1039" s="8" t="n">
        <x:v>0</x:v>
      </x:c>
      <x:c r="K1039" s="8" t="n">
        <x:v>17</x:v>
      </x:c>
      <x:c r="L1039" s="8" t="n">
        <x:v>371.83918677207225</x:v>
      </x:c>
      <x:c r="M1039" s="8" t="n">
        <x:v>0</x:v>
      </x:c>
      <x:c r="N1039" s="8" t="n">
        <x:v>0</x:v>
      </x:c>
      <x:c r="O1039" s="8" t="n">
        <x:v>250.46859165775768</x:v>
      </x:c>
      <x:c r="P1039" s="8" t="n">
        <x:v>0</x:v>
      </x:c>
      <x:c r="Q1039" s="8" t="n">
        <x:v>2.3134618459836664</x:v>
      </x:c>
      <x:c r="R1039" s="8" t="n">
        <x:v>0</x:v>
      </x:c>
      <x:c r="S1039" s="8" t="n">
        <x:f>L1039-I1039^2/H1039</x:f>
        <x:v>243.73000031744945</x:v>
      </x:c>
      <x:c r="T1039" s="8" t="n">
        <x:f>M1039-J1039^2/H1039</x:f>
        <x:v>0</x:v>
      </x:c>
      <x:c r="U1039" s="8" t="n">
        <x:f>N1039-I1039*J1039/H1039</x:f>
        <x:v>0</x:v>
      </x:c>
      <x:c r="V1039" s="8" t="n">
        <x:f>O1039-I1039*K1039/H1039</x:f>
        <x:v>200.78723708323884</x:v>
      </x:c>
      <x:c r="W1039" s="8" t="n">
        <x:f>P1039-J1039*K1039/H1039</x:f>
        <x:v>0</x:v>
      </x:c>
      <x:c r="X1039" s="8" t="n">
        <x:f>V1039/S1039</x:f>
        <x:v>0.8238101047130874</x:v>
      </x:c>
      <x:c r="Y1039" s="8" t="n">
        <x:f>0</x:f>
        <x:v>0</x:v>
      </x:c>
      <x:c r="Z1039" s="8" t="n">
        <x:f>K1039/H1039-X1039*I1039/H1039-Y1039*J1039/H1039</x:f>
        <x:v>-1.2741961910385724</x:v>
      </x:c>
      <x:c r="AA1039" s="8" t="n">
        <x:f>Z1039+X1039*Q1039+Y1039*R1039</x:f>
        <x:v>0.6316570545509643</x:v>
      </x:c>
    </x:row>
    <x:row r="1040" ht="26" customHeight="1">
      <x:c r="A1040" s="2"/>
      <x:c r="B1040" s="2" t="n">
        <x:v>1035</x:v>
      </x:c>
      <x:c r="C1040" s="2" t="str">
        <x:v>Health Care / organic_volume_growth</x:v>
      </x:c>
      <x:c r="D1040" s="2" t="str">
        <x:v>Broad rolling 8</x:v>
      </x:c>
      <x:c r="E1040" s="7" t="n">
        <x:v>45747</x:v>
      </x:c>
      <x:c r="F1040" s="2" t="str">
        <x:v>Prior report</x:v>
      </x:c>
      <x:c r="G1040" s="7" t="n">
        <x:v>45679</x:v>
      </x:c>
      <x:c r="H1040" s="2" t="n">
        <x:v>8</x:v>
      </x:c>
      <x:c r="I1040" s="8" t="n">
        <x:v>7.078949947895485</x:v>
      </x:c>
      <x:c r="J1040" s="8" t="n">
        <x:v>0</x:v>
      </x:c>
      <x:c r="K1040" s="8" t="n">
        <x:v>-9</x:v>
      </x:c>
      <x:c r="L1040" s="8" t="n">
        <x:v>19.521430338412273</x:v>
      </x:c>
      <x:c r="M1040" s="8" t="n">
        <x:v>0</x:v>
      </x:c>
      <x:c r="N1040" s="8" t="n">
        <x:v>0</x:v>
      </x:c>
      <x:c r="O1040" s="8" t="n">
        <x:v>-10.490649286056609</x:v>
      </x:c>
      <x:c r="P1040" s="8" t="n">
        <x:v>0</x:v>
      </x:c>
      <x:c r="Q1040" s="8" t="n">
        <x:v>2.3134618459836664</x:v>
      </x:c>
      <x:c r="R1040" s="8" t="n">
        <x:v>0</x:v>
      </x:c>
      <x:c r="S1040" s="8" t="n">
        <x:f>L1040-I1040^2/H1040</x:f>
        <x:v>13.257488792811085</x:v>
      </x:c>
      <x:c r="T1040" s="8" t="n">
        <x:f>M1040-J1040^2/H1040</x:f>
        <x:v>0</x:v>
      </x:c>
      <x:c r="U1040" s="8" t="n">
        <x:f>N1040-I1040*J1040/H1040</x:f>
        <x:v>0</x:v>
      </x:c>
      <x:c r="V1040" s="8" t="n">
        <x:f>O1040-I1040*K1040/H1040</x:f>
        <x:v>-2.5268305946741876</x:v>
      </x:c>
      <x:c r="W1040" s="8" t="n">
        <x:f>P1040-J1040*K1040/H1040</x:f>
        <x:v>0</x:v>
      </x:c>
      <x:c r="X1040" s="8" t="n">
        <x:f>V1040/S1040</x:f>
        <x:v>-0.1905964722402307</x:v>
      </x:c>
      <x:c r="Y1040" s="8" t="n">
        <x:f>0</x:f>
        <x:v>0</x:v>
      </x:c>
      <x:c r="Z1040" s="8" t="n">
        <x:f>K1040/H1040-X1040*I1040/H1040-Y1040*J1040/H1040</x:f>
        <x:v>-0.9563471390957444</x:v>
      </x:c>
      <x:c r="AA1040" s="8" t="n">
        <x:f>Z1040+X1040*Q1040+Y1040*R1040</x:f>
        <x:v>-1.3972848056026033</x:v>
      </x:c>
    </x:row>
    <x:row r="1041" ht="26" customHeight="1">
      <x:c r="A1041" s="2"/>
      <x:c r="B1041" s="2" t="n">
        <x:v>1036</x:v>
      </x:c>
      <x:c r="C1041" s="2" t="str">
        <x:v>Health Care / organic_volume_growth</x:v>
      </x:c>
      <x:c r="D1041" s="2" t="str">
        <x:v>Own history</x:v>
      </x:c>
      <x:c r="E1041" s="7" t="n">
        <x:v>45747</x:v>
      </x:c>
      <x:c r="F1041" s="2" t="str">
        <x:v>Prior report</x:v>
      </x:c>
      <x:c r="G1041" s="7" t="n">
        <x:v>45679</x:v>
      </x:c>
      <x:c r="H1041" s="2" t="n">
        <x:v>15</x:v>
      </x:c>
      <x:c r="I1041" s="8" t="n">
        <x:v>17</x:v>
      </x:c>
      <x:c r="J1041" s="8" t="n">
        <x:v>0</x:v>
      </x:c>
      <x:c r="K1041" s="8" t="n">
        <x:v>17</x:v>
      </x:c>
      <x:c r="L1041" s="8" t="n">
        <x:v>311</x:v>
      </x:c>
      <x:c r="M1041" s="8" t="n">
        <x:v>0</x:v>
      </x:c>
      <x:c r="N1041" s="8" t="n">
        <x:v>0</x:v>
      </x:c>
      <x:c r="O1041" s="8" t="n">
        <x:v>78</x:v>
      </x:c>
      <x:c r="P1041" s="8" t="n">
        <x:v>0</x:v>
      </x:c>
      <x:c r="Q1041" s="8" t="n">
        <x:v>0</x:v>
      </x:c>
      <x:c r="R1041" s="8" t="n">
        <x:v>0</x:v>
      </x:c>
      <x:c r="S1041" s="8" t="n">
        <x:f>L1041-I1041^2/H1041</x:f>
        <x:v>291.73333333333335</x:v>
      </x:c>
      <x:c r="T1041" s="8" t="n">
        <x:f>M1041-J1041^2/H1041</x:f>
        <x:v>0</x:v>
      </x:c>
      <x:c r="U1041" s="8" t="n">
        <x:f>N1041-I1041*J1041/H1041</x:f>
        <x:v>0</x:v>
      </x:c>
      <x:c r="V1041" s="8" t="n">
        <x:f>O1041-I1041*K1041/H1041</x:f>
        <x:v>58.733333333333334</x:v>
      </x:c>
      <x:c r="W1041" s="8" t="n">
        <x:f>P1041-J1041*K1041/H1041</x:f>
        <x:v>0</x:v>
      </x:c>
      <x:c r="X1041" s="8" t="n">
        <x:f>V1041/S1041</x:f>
        <x:v>0.2013254113345521</x:v>
      </x:c>
      <x:c r="Y1041" s="8" t="n">
        <x:f>0</x:f>
        <x:v>0</x:v>
      </x:c>
      <x:c r="Z1041" s="8" t="n">
        <x:f>K1041/H1041-X1041*I1041/H1041-Y1041*J1041/H1041</x:f>
        <x:v>0.9051645338208409</x:v>
      </x:c>
      <x:c r="AA1041" s="8" t="n">
        <x:f>Z1041+X1041*Q1041+Y1041*R1041</x:f>
        <x:v>0.9051645338208409</x:v>
      </x:c>
    </x:row>
    <x:row r="1042" ht="26" customHeight="1">
      <x:c r="A1042" s="2"/>
      <x:c r="B1042" s="2" t="n">
        <x:v>1037</x:v>
      </x:c>
      <x:c r="C1042" s="2" t="str">
        <x:v>Health Care / organic_volume_growth</x:v>
      </x:c>
      <x:c r="D1042" s="2" t="str">
        <x:v>Broad market</x:v>
      </x:c>
      <x:c r="E1042" s="7" t="n">
        <x:v>45747</x:v>
      </x:c>
      <x:c r="F1042" s="2" t="str">
        <x:v>Pre-earnings</x:v>
      </x:c>
      <x:c r="G1042" s="7" t="n">
        <x:v>45770</x:v>
      </x:c>
      <x:c r="H1042" s="2" t="n">
        <x:v>16</x:v>
      </x:c>
      <x:c r="I1042" s="8" t="n">
        <x:v>45.94686773973914</x:v>
      </x:c>
      <x:c r="J1042" s="8" t="n">
        <x:v>0</x:v>
      </x:c>
      <x:c r="K1042" s="8" t="n">
        <x:v>17</x:v>
      </x:c>
      <x:c r="L1042" s="8" t="n">
        <x:v>376.29288380243304</x:v>
      </x:c>
      <x:c r="M1042" s="8" t="n">
        <x:v>0</x:v>
      </x:c>
      <x:c r="N1042" s="8" t="n">
        <x:v>0</x:v>
      </x:c>
      <x:c r="O1042" s="8" t="n">
        <x:v>250.46859165775768</x:v>
      </x:c>
      <x:c r="P1042" s="8" t="n">
        <x:v>0</x:v>
      </x:c>
      <x:c r="Q1042" s="8" t="n">
        <x:v>2.5268187156605393</x:v>
      </x:c>
      <x:c r="R1042" s="8" t="n">
        <x:v>0</x:v>
      </x:c>
      <x:c r="S1042" s="8" t="n">
        <x:f>L1042-I1042^2/H1042</x:f>
        <x:v>244.34821785911546</x:v>
      </x:c>
      <x:c r="T1042" s="8" t="n">
        <x:f>M1042-J1042^2/H1042</x:f>
        <x:v>0</x:v>
      </x:c>
      <x:c r="U1042" s="8" t="n">
        <x:f>N1042-I1042*J1042/H1042</x:f>
        <x:v>0</x:v>
      </x:c>
      <x:c r="V1042" s="8" t="n">
        <x:f>O1042-I1042*K1042/H1042</x:f>
        <x:v>201.65004468428486</x:v>
      </x:c>
      <x:c r="W1042" s="8" t="n">
        <x:f>P1042-J1042*K1042/H1042</x:f>
        <x:v>0</x:v>
      </x:c>
      <x:c r="X1042" s="8" t="n">
        <x:f>V1042/S1042</x:f>
        <x:v>0.8252568668233577</x:v>
      </x:c>
      <x:c r="Y1042" s="8" t="n">
        <x:f>0</x:f>
        <x:v>0</x:v>
      </x:c>
      <x:c r="Z1042" s="8" t="n">
        <x:f>K1042/H1042-X1042*I1042/H1042-Y1042*J1042/H1042</x:f>
        <x:v>-1.307373006952771</x:v>
      </x:c>
      <x:c r="AA1042" s="8" t="n">
        <x:f>Z1042+X1042*Q1042+Y1042*R1042</x:f>
        <x:v>0.7779014893638667</x:v>
      </x:c>
    </x:row>
    <x:row r="1043" ht="26" customHeight="1">
      <x:c r="A1043" s="2"/>
      <x:c r="B1043" s="2" t="n">
        <x:v>1038</x:v>
      </x:c>
      <x:c r="C1043" s="2" t="str">
        <x:v>Health Care / organic_volume_growth</x:v>
      </x:c>
      <x:c r="D1043" s="2" t="str">
        <x:v>Broad lag 1</x:v>
      </x:c>
      <x:c r="E1043" s="7" t="n">
        <x:v>45747</x:v>
      </x:c>
      <x:c r="F1043" s="2" t="str">
        <x:v>Pre-earnings</x:v>
      </x:c>
      <x:c r="G1043" s="7" t="n">
        <x:v>45770</x:v>
      </x:c>
      <x:c r="H1043" s="2" t="n">
        <x:v>15</x:v>
      </x:c>
      <x:c r="I1043" s="8" t="n">
        <x:v>43.836489330457816</x:v>
      </x:c>
      <x:c r="J1043" s="8" t="n">
        <x:v>0</x:v>
      </x:c>
      <x:c r="K1043" s="8" t="n">
        <x:v>17</x:v>
      </x:c>
      <x:c r="L1043" s="8" t="n">
        <x:v>371.83918677207225</x:v>
      </x:c>
      <x:c r="M1043" s="8" t="n">
        <x:v>0</x:v>
      </x:c>
      <x:c r="N1043" s="8" t="n">
        <x:v>0</x:v>
      </x:c>
      <x:c r="O1043" s="8" t="n">
        <x:v>198.9679791443639</x:v>
      </x:c>
      <x:c r="P1043" s="8" t="n">
        <x:v>0</x:v>
      </x:c>
      <x:c r="Q1043" s="8" t="n">
        <x:v>2.1103784092813216</x:v>
      </x:c>
      <x:c r="R1043" s="8" t="n">
        <x:v>0</x:v>
      </x:c>
      <x:c r="S1043" s="8" t="n">
        <x:f>L1043-I1043^2/H1043</x:f>
        <x:v>243.73000031744945</x:v>
      </x:c>
      <x:c r="T1043" s="8" t="n">
        <x:f>M1043-J1043^2/H1043</x:f>
        <x:v>0</x:v>
      </x:c>
      <x:c r="U1043" s="8" t="n">
        <x:f>N1043-I1043*J1043/H1043</x:f>
        <x:v>0</x:v>
      </x:c>
      <x:c r="V1043" s="8" t="n">
        <x:f>O1043-I1043*K1043/H1043</x:f>
        <x:v>149.28662456984506</x:v>
      </x:c>
      <x:c r="W1043" s="8" t="n">
        <x:f>P1043-J1043*K1043/H1043</x:f>
        <x:v>0</x:v>
      </x:c>
      <x:c r="X1043" s="8" t="n">
        <x:f>V1043/S1043</x:f>
        <x:v>0.612508203238849</x:v>
      </x:c>
      <x:c r="Y1043" s="8" t="n">
        <x:f>0</x:f>
        <x:v>0</x:v>
      </x:c>
      <x:c r="Z1043" s="8" t="n">
        <x:f>K1043/H1043-X1043*I1043/H1043-Y1043*J1043/H1043</x:f>
        <x:v>-0.6566806210731795</x:v>
      </x:c>
      <x:c r="AA1043" s="8" t="n">
        <x:f>Z1043+X1043*Q1043+Y1043*R1043</x:f>
        <x:v>0.6359434665497832</x:v>
      </x:c>
    </x:row>
    <x:row r="1044" ht="26" customHeight="1">
      <x:c r="A1044" s="2"/>
      <x:c r="B1044" s="2" t="n">
        <x:v>1039</x:v>
      </x:c>
      <x:c r="C1044" s="2" t="str">
        <x:v>Health Care / organic_volume_growth</x:v>
      </x:c>
      <x:c r="D1044" s="2" t="str">
        <x:v>Broad rolling 8</x:v>
      </x:c>
      <x:c r="E1044" s="7" t="n">
        <x:v>45747</x:v>
      </x:c>
      <x:c r="F1044" s="2" t="str">
        <x:v>Pre-earnings</x:v>
      </x:c>
      <x:c r="G1044" s="7" t="n">
        <x:v>45770</x:v>
      </x:c>
      <x:c r="H1044" s="2" t="n">
        <x:v>8</x:v>
      </x:c>
      <x:c r="I1044" s="8" t="n">
        <x:v>10.750247851811778</x:v>
      </x:c>
      <x:c r="J1044" s="8" t="n">
        <x:v>0</x:v>
      </x:c>
      <x:c r="K1044" s="8" t="n">
        <x:v>-8</x:v>
      </x:c>
      <x:c r="L1044" s="8" t="n">
        <x:v>21.53865770004154</x:v>
      </x:c>
      <x:c r="M1044" s="8" t="n">
        <x:v>0</x:v>
      </x:c>
      <x:c r="N1044" s="8" t="n">
        <x:v>0</x:v>
      </x:c>
      <x:c r="O1044" s="8" t="n">
        <x:v>-12.051568780691579</x:v>
      </x:c>
      <x:c r="P1044" s="8" t="n">
        <x:v>0</x:v>
      </x:c>
      <x:c r="Q1044" s="8" t="n">
        <x:v>2.5268187156605393</x:v>
      </x:c>
      <x:c r="R1044" s="8" t="n">
        <x:v>0</x:v>
      </x:c>
      <x:c r="S1044" s="8" t="n">
        <x:f>L1044-I1044^2/H1044</x:f>
        <x:v>7.092679090618571</x:v>
      </x:c>
      <x:c r="T1044" s="8" t="n">
        <x:f>M1044-J1044^2/H1044</x:f>
        <x:v>0</x:v>
      </x:c>
      <x:c r="U1044" s="8" t="n">
        <x:f>N1044-I1044*J1044/H1044</x:f>
        <x:v>0</x:v>
      </x:c>
      <x:c r="V1044" s="8" t="n">
        <x:f>O1044-I1044*K1044/H1044</x:f>
        <x:v>-1.3013209288798002</x:v>
      </x:c>
      <x:c r="W1044" s="8" t="n">
        <x:f>P1044-J1044*K1044/H1044</x:f>
        <x:v>0</x:v>
      </x:c>
      <x:c r="X1044" s="8" t="n">
        <x:f>V1044/S1044</x:f>
        <x:v>-0.1834738202946538</x:v>
      </x:c>
      <x:c r="Y1044" s="8" t="n">
        <x:f>0</x:f>
        <x:v>0</x:v>
      </x:c>
      <x:c r="Z1044" s="8" t="n">
        <x:f>K1044/H1044-X1044*I1044/H1044-Y1044*J1044/H1044</x:f>
        <x:v>-0.7534513696892122</x:v>
      </x:c>
      <x:c r="AA1044" s="8" t="n">
        <x:f>Z1044+X1044*Q1044+Y1044*R1044</x:f>
        <x:v>-1.217056452643482</x:v>
      </x:c>
    </x:row>
    <x:row r="1045" ht="26" customHeight="1">
      <x:c r="A1045" s="2"/>
      <x:c r="B1045" s="2" t="n">
        <x:v>1040</x:v>
      </x:c>
      <x:c r="C1045" s="2" t="str">
        <x:v>Health Care / organic_volume_growth</x:v>
      </x:c>
      <x:c r="D1045" s="2" t="str">
        <x:v>Own history</x:v>
      </x:c>
      <x:c r="E1045" s="7" t="n">
        <x:v>45747</x:v>
      </x:c>
      <x:c r="F1045" s="2" t="str">
        <x:v>Pre-earnings</x:v>
      </x:c>
      <x:c r="G1045" s="7" t="n">
        <x:v>45770</x:v>
      </x:c>
      <x:c r="H1045" s="2" t="n">
        <x:v>15</x:v>
      </x:c>
      <x:c r="I1045" s="8" t="n">
        <x:v>17</x:v>
      </x:c>
      <x:c r="J1045" s="8" t="n">
        <x:v>0</x:v>
      </x:c>
      <x:c r="K1045" s="8" t="n">
        <x:v>17</x:v>
      </x:c>
      <x:c r="L1045" s="8" t="n">
        <x:v>311</x:v>
      </x:c>
      <x:c r="M1045" s="8" t="n">
        <x:v>0</x:v>
      </x:c>
      <x:c r="N1045" s="8" t="n">
        <x:v>0</x:v>
      </x:c>
      <x:c r="O1045" s="8" t="n">
        <x:v>78</x:v>
      </x:c>
      <x:c r="P1045" s="8" t="n">
        <x:v>0</x:v>
      </x:c>
      <x:c r="Q1045" s="8" t="n">
        <x:v>0</x:v>
      </x:c>
      <x:c r="R1045" s="8" t="n">
        <x:v>0</x:v>
      </x:c>
      <x:c r="S1045" s="8" t="n">
        <x:f>L1045-I1045^2/H1045</x:f>
        <x:v>291.73333333333335</x:v>
      </x:c>
      <x:c r="T1045" s="8" t="n">
        <x:f>M1045-J1045^2/H1045</x:f>
        <x:v>0</x:v>
      </x:c>
      <x:c r="U1045" s="8" t="n">
        <x:f>N1045-I1045*J1045/H1045</x:f>
        <x:v>0</x:v>
      </x:c>
      <x:c r="V1045" s="8" t="n">
        <x:f>O1045-I1045*K1045/H1045</x:f>
        <x:v>58.733333333333334</x:v>
      </x:c>
      <x:c r="W1045" s="8" t="n">
        <x:f>P1045-J1045*K1045/H1045</x:f>
        <x:v>0</x:v>
      </x:c>
      <x:c r="X1045" s="8" t="n">
        <x:f>V1045/S1045</x:f>
        <x:v>0.2013254113345521</x:v>
      </x:c>
      <x:c r="Y1045" s="8" t="n">
        <x:f>0</x:f>
        <x:v>0</x:v>
      </x:c>
      <x:c r="Z1045" s="8" t="n">
        <x:f>K1045/H1045-X1045*I1045/H1045-Y1045*J1045/H1045</x:f>
        <x:v>0.9051645338208409</x:v>
      </x:c>
      <x:c r="AA1045" s="8" t="n">
        <x:f>Z1045+X1045*Q1045+Y1045*R1045</x:f>
        <x:v>0.9051645338208409</x:v>
      </x:c>
    </x:row>
    <x:row r="1046" ht="26" customHeight="1">
      <x:c r="A1046" s="2"/>
      <x:c r="B1046" s="2" t="n">
        <x:v>1041</x:v>
      </x:c>
      <x:c r="C1046" s="2" t="str">
        <x:v>Health Care / organic_volume_growth</x:v>
      </x:c>
      <x:c r="D1046" s="2" t="str">
        <x:v>Broad market</x:v>
      </x:c>
      <x:c r="E1046" s="7" t="n">
        <x:v>45838</x:v>
      </x:c>
      <x:c r="F1046" s="2" t="str">
        <x:v>Origin</x:v>
      </x:c>
      <x:c r="G1046" s="7" t="n">
        <x:v>45748</x:v>
      </x:c>
      <x:c r="H1046" s="2" t="n">
        <x:v>16</x:v>
      </x:c>
      <x:c r="I1046" s="8" t="n">
        <x:v>45.94686773973914</x:v>
      </x:c>
      <x:c r="J1046" s="8" t="n">
        <x:v>0</x:v>
      </x:c>
      <x:c r="K1046" s="8" t="n">
        <x:v>17</x:v>
      </x:c>
      <x:c r="L1046" s="8" t="n">
        <x:v>376.29288380243304</x:v>
      </x:c>
      <x:c r="M1046" s="8" t="n">
        <x:v>0</x:v>
      </x:c>
      <x:c r="N1046" s="8" t="n">
        <x:v>0</x:v>
      </x:c>
      <x:c r="O1046" s="8" t="n">
        <x:v>250.46859165775768</x:v>
      </x:c>
      <x:c r="P1046" s="8" t="n">
        <x:v>0</x:v>
      </x:c>
      <x:c r="Q1046" s="8" t="n">
        <x:v>2.4263020900480603</x:v>
      </x:c>
      <x:c r="R1046" s="8" t="n">
        <x:v>0</x:v>
      </x:c>
      <x:c r="S1046" s="8" t="n">
        <x:f>L1046-I1046^2/H1046</x:f>
        <x:v>244.34821785911546</x:v>
      </x:c>
      <x:c r="T1046" s="8" t="n">
        <x:f>M1046-J1046^2/H1046</x:f>
        <x:v>0</x:v>
      </x:c>
      <x:c r="U1046" s="8" t="n">
        <x:f>N1046-I1046*J1046/H1046</x:f>
        <x:v>0</x:v>
      </x:c>
      <x:c r="V1046" s="8" t="n">
        <x:f>O1046-I1046*K1046/H1046</x:f>
        <x:v>201.65004468428486</x:v>
      </x:c>
      <x:c r="W1046" s="8" t="n">
        <x:f>P1046-J1046*K1046/H1046</x:f>
        <x:v>0</x:v>
      </x:c>
      <x:c r="X1046" s="8" t="n">
        <x:f>V1046/S1046</x:f>
        <x:v>0.8252568668233577</x:v>
      </x:c>
      <x:c r="Y1046" s="8" t="n">
        <x:f>0</x:f>
        <x:v>0</x:v>
      </x:c>
      <x:c r="Z1046" s="8" t="n">
        <x:f>K1046/H1046-X1046*I1046/H1046-Y1046*J1046/H1046</x:f>
        <x:v>-1.307373006952771</x:v>
      </x:c>
      <x:c r="AA1046" s="8" t="n">
        <x:f>Z1046+X1046*Q1046+Y1046*R1046</x:f>
        <x:v>0.6949494538472556</x:v>
      </x:c>
    </x:row>
    <x:row r="1047" ht="26" customHeight="1">
      <x:c r="A1047" s="2"/>
      <x:c r="B1047" s="2" t="n">
        <x:v>1042</x:v>
      </x:c>
      <x:c r="C1047" s="2" t="str">
        <x:v>Health Care / organic_volume_growth</x:v>
      </x:c>
      <x:c r="D1047" s="2" t="str">
        <x:v>Broad rolling 8</x:v>
      </x:c>
      <x:c r="E1047" s="7" t="n">
        <x:v>45838</x:v>
      </x:c>
      <x:c r="F1047" s="2" t="str">
        <x:v>Origin</x:v>
      </x:c>
      <x:c r="G1047" s="7" t="n">
        <x:v>45748</x:v>
      </x:c>
      <x:c r="H1047" s="2" t="n">
        <x:v>8</x:v>
      </x:c>
      <x:c r="I1047" s="8" t="n">
        <x:v>10.750247851811778</x:v>
      </x:c>
      <x:c r="J1047" s="8" t="n">
        <x:v>0</x:v>
      </x:c>
      <x:c r="K1047" s="8" t="n">
        <x:v>-8</x:v>
      </x:c>
      <x:c r="L1047" s="8" t="n">
        <x:v>21.53865770004154</x:v>
      </x:c>
      <x:c r="M1047" s="8" t="n">
        <x:v>0</x:v>
      </x:c>
      <x:c r="N1047" s="8" t="n">
        <x:v>0</x:v>
      </x:c>
      <x:c r="O1047" s="8" t="n">
        <x:v>-12.051568780691579</x:v>
      </x:c>
      <x:c r="P1047" s="8" t="n">
        <x:v>0</x:v>
      </x:c>
      <x:c r="Q1047" s="8" t="n">
        <x:v>2.4263020900480603</x:v>
      </x:c>
      <x:c r="R1047" s="8" t="n">
        <x:v>0</x:v>
      </x:c>
      <x:c r="S1047" s="8" t="n">
        <x:f>L1047-I1047^2/H1047</x:f>
        <x:v>7.092679090618571</x:v>
      </x:c>
      <x:c r="T1047" s="8" t="n">
        <x:f>M1047-J1047^2/H1047</x:f>
        <x:v>0</x:v>
      </x:c>
      <x:c r="U1047" s="8" t="n">
        <x:f>N1047-I1047*J1047/H1047</x:f>
        <x:v>0</x:v>
      </x:c>
      <x:c r="V1047" s="8" t="n">
        <x:f>O1047-I1047*K1047/H1047</x:f>
        <x:v>-1.3013209288798002</x:v>
      </x:c>
      <x:c r="W1047" s="8" t="n">
        <x:f>P1047-J1047*K1047/H1047</x:f>
        <x:v>0</x:v>
      </x:c>
      <x:c r="X1047" s="8" t="n">
        <x:f>V1047/S1047</x:f>
        <x:v>-0.1834738202946538</x:v>
      </x:c>
      <x:c r="Y1047" s="8" t="n">
        <x:f>0</x:f>
        <x:v>0</x:v>
      </x:c>
      <x:c r="Z1047" s="8" t="n">
        <x:f>K1047/H1047-X1047*I1047/H1047-Y1047*J1047/H1047</x:f>
        <x:v>-0.7534513696892122</x:v>
      </x:c>
      <x:c r="AA1047" s="8" t="n">
        <x:f>Z1047+X1047*Q1047+Y1047*R1047</x:f>
        <x:v>-1.198614283339233</x:v>
      </x:c>
    </x:row>
    <x:row r="1048" ht="26" customHeight="1">
      <x:c r="A1048" s="2"/>
      <x:c r="B1048" s="2" t="n">
        <x:v>1043</x:v>
      </x:c>
      <x:c r="C1048" s="2" t="str">
        <x:v>Health Care / organic_volume_growth</x:v>
      </x:c>
      <x:c r="D1048" s="2" t="str">
        <x:v>Own history</x:v>
      </x:c>
      <x:c r="E1048" s="7" t="n">
        <x:v>45838</x:v>
      </x:c>
      <x:c r="F1048" s="2" t="str">
        <x:v>Origin</x:v>
      </x:c>
      <x:c r="G1048" s="7" t="n">
        <x:v>45748</x:v>
      </x:c>
      <x:c r="H1048" s="2" t="n">
        <x:v>14</x:v>
      </x:c>
      <x:c r="I1048" s="8" t="n">
        <x:v>18</x:v>
      </x:c>
      <x:c r="J1048" s="8" t="n">
        <x:v>0</x:v>
      </x:c>
      <x:c r="K1048" s="8" t="n">
        <x:v>4</x:v>
      </x:c>
      <x:c r="L1048" s="8" t="n">
        <x:v>310</x:v>
      </x:c>
      <x:c r="M1048" s="8" t="n">
        <x:v>0</x:v>
      </x:c>
      <x:c r="N1048" s="8" t="n">
        <x:v>0</x:v>
      </x:c>
      <x:c r="O1048" s="8" t="n">
        <x:v>67</x:v>
      </x:c>
      <x:c r="P1048" s="8" t="n">
        <x:v>0</x:v>
      </x:c>
      <x:c r="Q1048" s="8" t="n">
        <x:v>0</x:v>
      </x:c>
      <x:c r="R1048" s="8" t="n">
        <x:v>0</x:v>
      </x:c>
      <x:c r="S1048" s="8" t="n">
        <x:f>L1048-I1048^2/H1048</x:f>
        <x:v>286.85714285714283</x:v>
      </x:c>
      <x:c r="T1048" s="8" t="n">
        <x:f>M1048-J1048^2/H1048</x:f>
        <x:v>0</x:v>
      </x:c>
      <x:c r="U1048" s="8" t="n">
        <x:f>N1048-I1048*J1048/H1048</x:f>
        <x:v>0</x:v>
      </x:c>
      <x:c r="V1048" s="8" t="n">
        <x:f>O1048-I1048*K1048/H1048</x:f>
        <x:v>61.857142857142854</x:v>
      </x:c>
      <x:c r="W1048" s="8" t="n">
        <x:f>P1048-J1048*K1048/H1048</x:f>
        <x:v>0</x:v>
      </x:c>
      <x:c r="X1048" s="8" t="n">
        <x:f>V1048/S1048</x:f>
        <x:v>0.2156374501992032</x:v>
      </x:c>
      <x:c r="Y1048" s="8" t="n">
        <x:f>0</x:f>
        <x:v>0</x:v>
      </x:c>
      <x:c r="Z1048" s="8" t="n">
        <x:f>K1048/H1048-X1048*I1048/H1048-Y1048*J1048/H1048</x:f>
        <x:v>0.008466135458167323</x:v>
      </x:c>
      <x:c r="AA1048" s="8" t="n">
        <x:f>Z1048+X1048*Q1048+Y1048*R1048</x:f>
        <x:v>0.008466135458167323</x:v>
      </x:c>
    </x:row>
    <x:row r="1049" ht="26" customHeight="1">
      <x:c r="A1049" s="2"/>
      <x:c r="B1049" s="2" t="n">
        <x:v>1044</x:v>
      </x:c>
      <x:c r="C1049" s="2" t="str">
        <x:v>Health Care / organic_volume_growth</x:v>
      </x:c>
      <x:c r="D1049" s="2" t="str">
        <x:v>Broad market</x:v>
      </x:c>
      <x:c r="E1049" s="7" t="n">
        <x:v>45838</x:v>
      </x:c>
      <x:c r="F1049" s="2" t="str">
        <x:v>Prior report</x:v>
      </x:c>
      <x:c r="G1049" s="7" t="n">
        <x:v>45771</x:v>
      </x:c>
      <x:c r="H1049" s="2" t="n">
        <x:v>16</x:v>
      </x:c>
      <x:c r="I1049" s="8" t="n">
        <x:v>45.94686773973914</x:v>
      </x:c>
      <x:c r="J1049" s="8" t="n">
        <x:v>0</x:v>
      </x:c>
      <x:c r="K1049" s="8" t="n">
        <x:v>17</x:v>
      </x:c>
      <x:c r="L1049" s="8" t="n">
        <x:v>376.29288380243304</x:v>
      </x:c>
      <x:c r="M1049" s="8" t="n">
        <x:v>0</x:v>
      </x:c>
      <x:c r="N1049" s="8" t="n">
        <x:v>0</x:v>
      </x:c>
      <x:c r="O1049" s="8" t="n">
        <x:v>250.46859165775768</x:v>
      </x:c>
      <x:c r="P1049" s="8" t="n">
        <x:v>0</x:v>
      </x:c>
      <x:c r="Q1049" s="8" t="n">
        <x:v>2.4263020900480603</x:v>
      </x:c>
      <x:c r="R1049" s="8" t="n">
        <x:v>0</x:v>
      </x:c>
      <x:c r="S1049" s="8" t="n">
        <x:f>L1049-I1049^2/H1049</x:f>
        <x:v>244.34821785911546</x:v>
      </x:c>
      <x:c r="T1049" s="8" t="n">
        <x:f>M1049-J1049^2/H1049</x:f>
        <x:v>0</x:v>
      </x:c>
      <x:c r="U1049" s="8" t="n">
        <x:f>N1049-I1049*J1049/H1049</x:f>
        <x:v>0</x:v>
      </x:c>
      <x:c r="V1049" s="8" t="n">
        <x:f>O1049-I1049*K1049/H1049</x:f>
        <x:v>201.65004468428486</x:v>
      </x:c>
      <x:c r="W1049" s="8" t="n">
        <x:f>P1049-J1049*K1049/H1049</x:f>
        <x:v>0</x:v>
      </x:c>
      <x:c r="X1049" s="8" t="n">
        <x:f>V1049/S1049</x:f>
        <x:v>0.8252568668233577</x:v>
      </x:c>
      <x:c r="Y1049" s="8" t="n">
        <x:f>0</x:f>
        <x:v>0</x:v>
      </x:c>
      <x:c r="Z1049" s="8" t="n">
        <x:f>K1049/H1049-X1049*I1049/H1049-Y1049*J1049/H1049</x:f>
        <x:v>-1.307373006952771</x:v>
      </x:c>
      <x:c r="AA1049" s="8" t="n">
        <x:f>Z1049+X1049*Q1049+Y1049*R1049</x:f>
        <x:v>0.6949494538472556</x:v>
      </x:c>
    </x:row>
    <x:row r="1050" ht="26" customHeight="1">
      <x:c r="A1050" s="2"/>
      <x:c r="B1050" s="2" t="n">
        <x:v>1045</x:v>
      </x:c>
      <x:c r="C1050" s="2" t="str">
        <x:v>Health Care / organic_volume_growth</x:v>
      </x:c>
      <x:c r="D1050" s="2" t="str">
        <x:v>Broad rolling 8</x:v>
      </x:c>
      <x:c r="E1050" s="7" t="n">
        <x:v>45838</x:v>
      </x:c>
      <x:c r="F1050" s="2" t="str">
        <x:v>Prior report</x:v>
      </x:c>
      <x:c r="G1050" s="7" t="n">
        <x:v>45771</x:v>
      </x:c>
      <x:c r="H1050" s="2" t="n">
        <x:v>8</x:v>
      </x:c>
      <x:c r="I1050" s="8" t="n">
        <x:v>10.750247851811778</x:v>
      </x:c>
      <x:c r="J1050" s="8" t="n">
        <x:v>0</x:v>
      </x:c>
      <x:c r="K1050" s="8" t="n">
        <x:v>-8</x:v>
      </x:c>
      <x:c r="L1050" s="8" t="n">
        <x:v>21.53865770004154</x:v>
      </x:c>
      <x:c r="M1050" s="8" t="n">
        <x:v>0</x:v>
      </x:c>
      <x:c r="N1050" s="8" t="n">
        <x:v>0</x:v>
      </x:c>
      <x:c r="O1050" s="8" t="n">
        <x:v>-12.051568780691579</x:v>
      </x:c>
      <x:c r="P1050" s="8" t="n">
        <x:v>0</x:v>
      </x:c>
      <x:c r="Q1050" s="8" t="n">
        <x:v>2.4263020900480603</x:v>
      </x:c>
      <x:c r="R1050" s="8" t="n">
        <x:v>0</x:v>
      </x:c>
      <x:c r="S1050" s="8" t="n">
        <x:f>L1050-I1050^2/H1050</x:f>
        <x:v>7.092679090618571</x:v>
      </x:c>
      <x:c r="T1050" s="8" t="n">
        <x:f>M1050-J1050^2/H1050</x:f>
        <x:v>0</x:v>
      </x:c>
      <x:c r="U1050" s="8" t="n">
        <x:f>N1050-I1050*J1050/H1050</x:f>
        <x:v>0</x:v>
      </x:c>
      <x:c r="V1050" s="8" t="n">
        <x:f>O1050-I1050*K1050/H1050</x:f>
        <x:v>-1.3013209288798002</x:v>
      </x:c>
      <x:c r="W1050" s="8" t="n">
        <x:f>P1050-J1050*K1050/H1050</x:f>
        <x:v>0</x:v>
      </x:c>
      <x:c r="X1050" s="8" t="n">
        <x:f>V1050/S1050</x:f>
        <x:v>-0.1834738202946538</x:v>
      </x:c>
      <x:c r="Y1050" s="8" t="n">
        <x:f>0</x:f>
        <x:v>0</x:v>
      </x:c>
      <x:c r="Z1050" s="8" t="n">
        <x:f>K1050/H1050-X1050*I1050/H1050-Y1050*J1050/H1050</x:f>
        <x:v>-0.7534513696892122</x:v>
      </x:c>
      <x:c r="AA1050" s="8" t="n">
        <x:f>Z1050+X1050*Q1050+Y1050*R1050</x:f>
        <x:v>-1.198614283339233</x:v>
      </x:c>
    </x:row>
    <x:row r="1051" ht="26" customHeight="1">
      <x:c r="A1051" s="2"/>
      <x:c r="B1051" s="2" t="n">
        <x:v>1046</x:v>
      </x:c>
      <x:c r="C1051" s="2" t="str">
        <x:v>Health Care / organic_volume_growth</x:v>
      </x:c>
      <x:c r="D1051" s="2" t="str">
        <x:v>Own history</x:v>
      </x:c>
      <x:c r="E1051" s="7" t="n">
        <x:v>45838</x:v>
      </x:c>
      <x:c r="F1051" s="2" t="str">
        <x:v>Prior report</x:v>
      </x:c>
      <x:c r="G1051" s="7" t="n">
        <x:v>45771</x:v>
      </x:c>
      <x:c r="H1051" s="2" t="n">
        <x:v>16</x:v>
      </x:c>
      <x:c r="I1051" s="8" t="n">
        <x:v>17</x:v>
      </x:c>
      <x:c r="J1051" s="8" t="n">
        <x:v>0</x:v>
      </x:c>
      <x:c r="K1051" s="8" t="n">
        <x:v>16</x:v>
      </x:c>
      <x:c r="L1051" s="8" t="n">
        <x:v>311</x:v>
      </x:c>
      <x:c r="M1051" s="8" t="n">
        <x:v>0</x:v>
      </x:c>
      <x:c r="N1051" s="8" t="n">
        <x:v>0</x:v>
      </x:c>
      <x:c r="O1051" s="8" t="n">
        <x:v>78</x:v>
      </x:c>
      <x:c r="P1051" s="8" t="n">
        <x:v>0</x:v>
      </x:c>
      <x:c r="Q1051" s="8" t="n">
        <x:v>-1</x:v>
      </x:c>
      <x:c r="R1051" s="8" t="n">
        <x:v>0</x:v>
      </x:c>
      <x:c r="S1051" s="8" t="n">
        <x:f>L1051-I1051^2/H1051</x:f>
        <x:v>292.9375</x:v>
      </x:c>
      <x:c r="T1051" s="8" t="n">
        <x:f>M1051-J1051^2/H1051</x:f>
        <x:v>0</x:v>
      </x:c>
      <x:c r="U1051" s="8" t="n">
        <x:f>N1051-I1051*J1051/H1051</x:f>
        <x:v>0</x:v>
      </x:c>
      <x:c r="V1051" s="8" t="n">
        <x:f>O1051-I1051*K1051/H1051</x:f>
        <x:v>61</x:v>
      </x:c>
      <x:c r="W1051" s="8" t="n">
        <x:f>P1051-J1051*K1051/H1051</x:f>
        <x:v>0</x:v>
      </x:c>
      <x:c r="X1051" s="8" t="n">
        <x:f>V1051/S1051</x:f>
        <x:v>0.20823554512481332</x:v>
      </x:c>
      <x:c r="Y1051" s="8" t="n">
        <x:f>0</x:f>
        <x:v>0</x:v>
      </x:c>
      <x:c r="Z1051" s="8" t="n">
        <x:f>K1051/H1051-X1051*I1051/H1051-Y1051*J1051/H1051</x:f>
        <x:v>0.7787497333048858</x:v>
      </x:c>
      <x:c r="AA1051" s="8" t="n">
        <x:f>Z1051+X1051*Q1051+Y1051*R1051</x:f>
        <x:v>0.5705141881800725</x:v>
      </x:c>
    </x:row>
    <x:row r="1052" ht="26" customHeight="1">
      <x:c r="A1052" s="2"/>
      <x:c r="B1052" s="2" t="n">
        <x:v>1047</x:v>
      </x:c>
      <x:c r="C1052" s="2" t="str">
        <x:v>Health Care / organic_volume_growth</x:v>
      </x:c>
      <x:c r="D1052" s="2" t="str">
        <x:v>Broad market</x:v>
      </x:c>
      <x:c r="E1052" s="7" t="n">
        <x:v>45838</x:v>
      </x:c>
      <x:c r="F1052" s="2" t="str">
        <x:v>Pre-earnings</x:v>
      </x:c>
      <x:c r="G1052" s="7" t="n">
        <x:v>45866</x:v>
      </x:c>
      <x:c r="H1052" s="2" t="n">
        <x:v>17</x:v>
      </x:c>
      <x:c r="I1052" s="8" t="n">
        <x:v>48.81640031708317</x:v>
      </x:c>
      <x:c r="J1052" s="8" t="n">
        <x:v>0</x:v>
      </x:c>
      <x:c r="K1052" s="8" t="n">
        <x:v>16</x:v>
      </x:c>
      <x:c r="L1052" s="8" t="n">
        <x:v>384.52710101487173</x:v>
      </x:c>
      <x:c r="M1052" s="8" t="n">
        <x:v>0</x:v>
      </x:c>
      <x:c r="N1052" s="8" t="n">
        <x:v>0</x:v>
      </x:c>
      <x:c r="O1052" s="8" t="n">
        <x:v>247.59905908041364</x:v>
      </x:c>
      <x:c r="P1052" s="8" t="n">
        <x:v>0</x:v>
      </x:c>
      <x:c r="Q1052" s="8" t="n">
        <x:v>2.8539910458909246</x:v>
      </x:c>
      <x:c r="R1052" s="8" t="n">
        <x:v>0</x:v>
      </x:c>
      <x:c r="S1052" s="8" t="n">
        <x:f>L1052-I1052^2/H1052</x:f>
        <x:v>244.34822219618243</x:v>
      </x:c>
      <x:c r="T1052" s="8" t="n">
        <x:f>M1052-J1052^2/H1052</x:f>
        <x:v>0</x:v>
      </x:c>
      <x:c r="U1052" s="8" t="n">
        <x:f>N1052-I1052*J1052/H1052</x:f>
        <x:v>0</x:v>
      </x:c>
      <x:c r="V1052" s="8" t="n">
        <x:f>O1052-I1052*K1052/H1052</x:f>
        <x:v>201.65421172315888</x:v>
      </x:c>
      <x:c r="W1052" s="8" t="n">
        <x:f>P1052-J1052*K1052/H1052</x:f>
        <x:v>0</x:v>
      </x:c>
      <x:c r="X1052" s="8" t="n">
        <x:f>V1052/S1052</x:f>
        <x:v>0.8252739058655996</x:v>
      </x:c>
      <x:c r="Y1052" s="8" t="n">
        <x:f>0</x:f>
        <x:v>0</x:v>
      </x:c>
      <x:c r="Z1052" s="8" t="n">
        <x:f>K1052/H1052-X1052*I1052/H1052-Y1052*J1052/H1052</x:f>
        <x:v>-1.4286412564692899</x:v>
      </x:c>
      <x:c r="AA1052" s="8" t="n">
        <x:f>Z1052+X1052*Q1052+Y1052*R1052</x:f>
        <x:v>0.9266830812785611</x:v>
      </x:c>
    </x:row>
    <x:row r="1053" ht="26" customHeight="1">
      <x:c r="A1053" s="2"/>
      <x:c r="B1053" s="2" t="n">
        <x:v>1048</x:v>
      </x:c>
      <x:c r="C1053" s="2" t="str">
        <x:v>Health Care / organic_volume_growth</x:v>
      </x:c>
      <x:c r="D1053" s="2" t="str">
        <x:v>Broad lag 1</x:v>
      </x:c>
      <x:c r="E1053" s="7" t="n">
        <x:v>45838</x:v>
      </x:c>
      <x:c r="F1053" s="2" t="str">
        <x:v>Pre-earnings</x:v>
      </x:c>
      <x:c r="G1053" s="7" t="n">
        <x:v>45866</x:v>
      </x:c>
      <x:c r="H1053" s="2" t="n">
        <x:v>16</x:v>
      </x:c>
      <x:c r="I1053" s="8" t="n">
        <x:v>45.94686773973914</x:v>
      </x:c>
      <x:c r="J1053" s="8" t="n">
        <x:v>0</x:v>
      </x:c>
      <x:c r="K1053" s="8" t="n">
        <x:v>16</x:v>
      </x:c>
      <x:c r="L1053" s="8" t="n">
        <x:v>376.29288380243304</x:v>
      </x:c>
      <x:c r="M1053" s="8" t="n">
        <x:v>0</x:v>
      </x:c>
      <x:c r="N1053" s="8" t="n">
        <x:v>0</x:v>
      </x:c>
      <x:c r="O1053" s="8" t="n">
        <x:v>196.8576007350826</x:v>
      </x:c>
      <x:c r="P1053" s="8" t="n">
        <x:v>0</x:v>
      </x:c>
      <x:c r="Q1053" s="8" t="n">
        <x:v>2.869532577344036</x:v>
      </x:c>
      <x:c r="R1053" s="8" t="n">
        <x:v>0</x:v>
      </x:c>
      <x:c r="S1053" s="8" t="n">
        <x:f>L1053-I1053^2/H1053</x:f>
        <x:v>244.34821785911546</x:v>
      </x:c>
      <x:c r="T1053" s="8" t="n">
        <x:f>M1053-J1053^2/H1053</x:f>
        <x:v>0</x:v>
      </x:c>
      <x:c r="U1053" s="8" t="n">
        <x:f>N1053-I1053*J1053/H1053</x:f>
        <x:v>0</x:v>
      </x:c>
      <x:c r="V1053" s="8" t="n">
        <x:f>O1053-I1053*K1053/H1053</x:f>
        <x:v>150.91073299534347</x:v>
      </x:c>
      <x:c r="W1053" s="8" t="n">
        <x:f>P1053-J1053*K1053/H1053</x:f>
        <x:v>0</x:v>
      </x:c>
      <x:c r="X1053" s="8" t="n">
        <x:f>V1053/S1053</x:f>
        <x:v>0.6176052124200656</x:v>
      </x:c>
      <x:c r="Y1053" s="8" t="n">
        <x:f>0</x:f>
        <x:v>0</x:v>
      </x:c>
      <x:c r="Z1053" s="8" t="n">
        <x:f>K1053/H1053-X1053*I1053/H1053-Y1053*J1053/H1053</x:f>
        <x:v>-0.7735640631523908</x:v>
      </x:c>
      <x:c r="AA1053" s="8" t="n">
        <x:f>Z1053+X1053*Q1053+Y1053*R1053</x:f>
        <x:v>0.9986742138244711</x:v>
      </x:c>
    </x:row>
    <x:row r="1054" ht="26" customHeight="1">
      <x:c r="A1054" s="2"/>
      <x:c r="B1054" s="2" t="n">
        <x:v>1049</x:v>
      </x:c>
      <x:c r="C1054" s="2" t="str">
        <x:v>Health Care / organic_volume_growth</x:v>
      </x:c>
      <x:c r="D1054" s="2" t="str">
        <x:v>Broad rolling 8</x:v>
      </x:c>
      <x:c r="E1054" s="7" t="n">
        <x:v>45838</x:v>
      </x:c>
      <x:c r="F1054" s="2" t="str">
        <x:v>Pre-earnings</x:v>
      </x:c>
      <x:c r="G1054" s="7" t="n">
        <x:v>45866</x:v>
      </x:c>
      <x:c r="H1054" s="2" t="n">
        <x:v>8</x:v>
      </x:c>
      <x:c r="I1054" s="8" t="n">
        <x:v>13.903323924128907</x:v>
      </x:c>
      <x:c r="J1054" s="8" t="n">
        <x:v>0</x:v>
      </x:c>
      <x:c r="K1054" s="8" t="n">
        <x:v>-10</x:v>
      </x:c>
      <x:c r="L1054" s="8" t="n">
        <x:v>29.69247799893869</x:v>
      </x:c>
      <x:c r="M1054" s="8" t="n">
        <x:v>0</x:v>
      </x:c>
      <x:c r="N1054" s="8" t="n">
        <x:v>0</x:v>
      </x:c>
      <x:c r="O1054" s="8" t="n">
        <x:v>-14.637557863062522</x:v>
      </x:c>
      <x:c r="P1054" s="8" t="n">
        <x:v>0</x:v>
      </x:c>
      <x:c r="Q1054" s="8" t="n">
        <x:v>2.8539910458909246</x:v>
      </x:c>
      <x:c r="R1054" s="8" t="n">
        <x:v>0</x:v>
      </x:c>
      <x:c r="S1054" s="8" t="n">
        <x:f>L1054-I1054^2/H1054</x:f>
        <x:v>5.529675981531785</x:v>
      </x:c>
      <x:c r="T1054" s="8" t="n">
        <x:f>M1054-J1054^2/H1054</x:f>
        <x:v>0</x:v>
      </x:c>
      <x:c r="U1054" s="8" t="n">
        <x:f>N1054-I1054*J1054/H1054</x:f>
        <x:v>0</x:v>
      </x:c>
      <x:c r="V1054" s="8" t="n">
        <x:f>O1054-I1054*K1054/H1054</x:f>
        <x:v>2.7415970420986113</x:v>
      </x:c>
      <x:c r="W1054" s="8" t="n">
        <x:f>P1054-J1054*K1054/H1054</x:f>
        <x:v>0</x:v>
      </x:c>
      <x:c r="X1054" s="8" t="n">
        <x:f>V1054/S1054</x:f>
        <x:v>0.4957970505424003</x:v>
      </x:c>
      <x:c r="Y1054" s="8" t="n">
        <x:f>0</x:f>
        <x:v>0</x:v>
      </x:c>
      <x:c r="Z1054" s="8" t="n">
        <x:f>K1054/H1054-X1054*I1054/H1054-Y1054*J1054/H1054</x:f>
        <x:v>-2.111653374289838</x:v>
      </x:c>
      <x:c r="AA1054" s="8" t="n">
        <x:f>Z1054+X1054*Q1054+Y1054*R1054</x:f>
        <x:v>-0.6966530314626971</x:v>
      </x:c>
    </x:row>
    <x:row r="1055" ht="26" customHeight="1">
      <x:c r="A1055" s="2"/>
      <x:c r="B1055" s="2" t="n">
        <x:v>1050</x:v>
      </x:c>
      <x:c r="C1055" s="2" t="str">
        <x:v>Health Care / organic_volume_growth</x:v>
      </x:c>
      <x:c r="D1055" s="2" t="str">
        <x:v>Own history</x:v>
      </x:c>
      <x:c r="E1055" s="7" t="n">
        <x:v>45838</x:v>
      </x:c>
      <x:c r="F1055" s="2" t="str">
        <x:v>Pre-earnings</x:v>
      </x:c>
      <x:c r="G1055" s="7" t="n">
        <x:v>45866</x:v>
      </x:c>
      <x:c r="H1055" s="2" t="n">
        <x:v>16</x:v>
      </x:c>
      <x:c r="I1055" s="8" t="n">
        <x:v>17</x:v>
      </x:c>
      <x:c r="J1055" s="8" t="n">
        <x:v>0</x:v>
      </x:c>
      <x:c r="K1055" s="8" t="n">
        <x:v>16</x:v>
      </x:c>
      <x:c r="L1055" s="8" t="n">
        <x:v>311</x:v>
      </x:c>
      <x:c r="M1055" s="8" t="n">
        <x:v>0</x:v>
      </x:c>
      <x:c r="N1055" s="8" t="n">
        <x:v>0</x:v>
      </x:c>
      <x:c r="O1055" s="8" t="n">
        <x:v>78</x:v>
      </x:c>
      <x:c r="P1055" s="8" t="n">
        <x:v>0</x:v>
      </x:c>
      <x:c r="Q1055" s="8" t="n">
        <x:v>-1</x:v>
      </x:c>
      <x:c r="R1055" s="8" t="n">
        <x:v>0</x:v>
      </x:c>
      <x:c r="S1055" s="8" t="n">
        <x:f>L1055-I1055^2/H1055</x:f>
        <x:v>292.9375</x:v>
      </x:c>
      <x:c r="T1055" s="8" t="n">
        <x:f>M1055-J1055^2/H1055</x:f>
        <x:v>0</x:v>
      </x:c>
      <x:c r="U1055" s="8" t="n">
        <x:f>N1055-I1055*J1055/H1055</x:f>
        <x:v>0</x:v>
      </x:c>
      <x:c r="V1055" s="8" t="n">
        <x:f>O1055-I1055*K1055/H1055</x:f>
        <x:v>61</x:v>
      </x:c>
      <x:c r="W1055" s="8" t="n">
        <x:f>P1055-J1055*K1055/H1055</x:f>
        <x:v>0</x:v>
      </x:c>
      <x:c r="X1055" s="8" t="n">
        <x:f>V1055/S1055</x:f>
        <x:v>0.20823554512481332</x:v>
      </x:c>
      <x:c r="Y1055" s="8" t="n">
        <x:f>0</x:f>
        <x:v>0</x:v>
      </x:c>
      <x:c r="Z1055" s="8" t="n">
        <x:f>K1055/H1055-X1055*I1055/H1055-Y1055*J1055/H1055</x:f>
        <x:v>0.7787497333048858</x:v>
      </x:c>
      <x:c r="AA1055" s="8" t="n">
        <x:f>Z1055+X1055*Q1055+Y1055*R1055</x:f>
        <x:v>0.5705141881800725</x:v>
      </x:c>
    </x:row>
    <x:row r="1056" ht="26" customHeight="1">
      <x:c r="A1056" s="2"/>
      <x:c r="B1056" s="2" t="n">
        <x:v>1051</x:v>
      </x:c>
      <x:c r="C1056" s="2" t="str">
        <x:v>Health Care / organic_volume_growth</x:v>
      </x:c>
      <x:c r="D1056" s="2" t="str">
        <x:v>Broad market</x:v>
      </x:c>
      <x:c r="E1056" s="7" t="n">
        <x:v>45930</x:v>
      </x:c>
      <x:c r="F1056" s="2" t="str">
        <x:v>Origin</x:v>
      </x:c>
      <x:c r="G1056" s="7" t="n">
        <x:v>45839</x:v>
      </x:c>
      <x:c r="H1056" s="2" t="n">
        <x:v>17</x:v>
      </x:c>
      <x:c r="I1056" s="8" t="n">
        <x:v>48.81640031708317</x:v>
      </x:c>
      <x:c r="J1056" s="8" t="n">
        <x:v>0</x:v>
      </x:c>
      <x:c r="K1056" s="8" t="n">
        <x:v>16</x:v>
      </x:c>
      <x:c r="L1056" s="8" t="n">
        <x:v>384.52710101487173</x:v>
      </x:c>
      <x:c r="M1056" s="8" t="n">
        <x:v>0</x:v>
      </x:c>
      <x:c r="N1056" s="8" t="n">
        <x:v>0</x:v>
      </x:c>
      <x:c r="O1056" s="8" t="n">
        <x:v>247.59905908041364</x:v>
      </x:c>
      <x:c r="P1056" s="8" t="n">
        <x:v>0</x:v>
      </x:c>
      <x:c r="Q1056" s="8" t="n">
        <x:v>2.8115539262481226</x:v>
      </x:c>
      <x:c r="R1056" s="8" t="n">
        <x:v>0</x:v>
      </x:c>
      <x:c r="S1056" s="8" t="n">
        <x:f>L1056-I1056^2/H1056</x:f>
        <x:v>244.34822219618243</x:v>
      </x:c>
      <x:c r="T1056" s="8" t="n">
        <x:f>M1056-J1056^2/H1056</x:f>
        <x:v>0</x:v>
      </x:c>
      <x:c r="U1056" s="8" t="n">
        <x:f>N1056-I1056*J1056/H1056</x:f>
        <x:v>0</x:v>
      </x:c>
      <x:c r="V1056" s="8" t="n">
        <x:f>O1056-I1056*K1056/H1056</x:f>
        <x:v>201.65421172315888</x:v>
      </x:c>
      <x:c r="W1056" s="8" t="n">
        <x:f>P1056-J1056*K1056/H1056</x:f>
        <x:v>0</x:v>
      </x:c>
      <x:c r="X1056" s="8" t="n">
        <x:f>V1056/S1056</x:f>
        <x:v>0.8252739058655996</x:v>
      </x:c>
      <x:c r="Y1056" s="8" t="n">
        <x:f>0</x:f>
        <x:v>0</x:v>
      </x:c>
      <x:c r="Z1056" s="8" t="n">
        <x:f>K1056/H1056-X1056*I1056/H1056-Y1056*J1056/H1056</x:f>
        <x:v>-1.4286412564692899</x:v>
      </x:c>
      <x:c r="AA1056" s="8" t="n">
        <x:f>Z1056+X1056*Q1056+Y1056*R1056</x:f>
        <x:v>0.8916608337972602</x:v>
      </x:c>
    </x:row>
    <x:row r="1057" ht="26" customHeight="1">
      <x:c r="A1057" s="2"/>
      <x:c r="B1057" s="2" t="n">
        <x:v>1052</x:v>
      </x:c>
      <x:c r="C1057" s="2" t="str">
        <x:v>Health Care / organic_volume_growth</x:v>
      </x:c>
      <x:c r="D1057" s="2" t="str">
        <x:v>Broad rolling 8</x:v>
      </x:c>
      <x:c r="E1057" s="7" t="n">
        <x:v>45930</x:v>
      </x:c>
      <x:c r="F1057" s="2" t="str">
        <x:v>Origin</x:v>
      </x:c>
      <x:c r="G1057" s="7" t="n">
        <x:v>45839</x:v>
      </x:c>
      <x:c r="H1057" s="2" t="n">
        <x:v>8</x:v>
      </x:c>
      <x:c r="I1057" s="8" t="n">
        <x:v>13.903323924128907</x:v>
      </x:c>
      <x:c r="J1057" s="8" t="n">
        <x:v>0</x:v>
      </x:c>
      <x:c r="K1057" s="8" t="n">
        <x:v>-10</x:v>
      </x:c>
      <x:c r="L1057" s="8" t="n">
        <x:v>29.69247799893869</x:v>
      </x:c>
      <x:c r="M1057" s="8" t="n">
        <x:v>0</x:v>
      </x:c>
      <x:c r="N1057" s="8" t="n">
        <x:v>0</x:v>
      </x:c>
      <x:c r="O1057" s="8" t="n">
        <x:v>-14.637557863062522</x:v>
      </x:c>
      <x:c r="P1057" s="8" t="n">
        <x:v>0</x:v>
      </x:c>
      <x:c r="Q1057" s="8" t="n">
        <x:v>2.8115539262481226</x:v>
      </x:c>
      <x:c r="R1057" s="8" t="n">
        <x:v>0</x:v>
      </x:c>
      <x:c r="S1057" s="8" t="n">
        <x:f>L1057-I1057^2/H1057</x:f>
        <x:v>5.529675981531785</x:v>
      </x:c>
      <x:c r="T1057" s="8" t="n">
        <x:f>M1057-J1057^2/H1057</x:f>
        <x:v>0</x:v>
      </x:c>
      <x:c r="U1057" s="8" t="n">
        <x:f>N1057-I1057*J1057/H1057</x:f>
        <x:v>0</x:v>
      </x:c>
      <x:c r="V1057" s="8" t="n">
        <x:f>O1057-I1057*K1057/H1057</x:f>
        <x:v>2.7415970420986113</x:v>
      </x:c>
      <x:c r="W1057" s="8" t="n">
        <x:f>P1057-J1057*K1057/H1057</x:f>
        <x:v>0</x:v>
      </x:c>
      <x:c r="X1057" s="8" t="n">
        <x:f>V1057/S1057</x:f>
        <x:v>0.4957970505424003</x:v>
      </x:c>
      <x:c r="Y1057" s="8" t="n">
        <x:f>0</x:f>
        <x:v>0</x:v>
      </x:c>
      <x:c r="Z1057" s="8" t="n">
        <x:f>K1057/H1057-X1057*I1057/H1057-Y1057*J1057/H1057</x:f>
        <x:v>-2.111653374289838</x:v>
      </x:c>
      <x:c r="AA1057" s="8" t="n">
        <x:f>Z1057+X1057*Q1057+Y1057*R1057</x:f>
        <x:v>-0.7176932302151133</x:v>
      </x:c>
    </x:row>
    <x:row r="1058" ht="26" customHeight="1">
      <x:c r="A1058" s="2"/>
      <x:c r="B1058" s="2" t="n">
        <x:v>1053</x:v>
      </x:c>
      <x:c r="C1058" s="2" t="str">
        <x:v>Health Care / organic_volume_growth</x:v>
      </x:c>
      <x:c r="D1058" s="2" t="str">
        <x:v>Own history</x:v>
      </x:c>
      <x:c r="E1058" s="7" t="n">
        <x:v>45930</x:v>
      </x:c>
      <x:c r="F1058" s="2" t="str">
        <x:v>Origin</x:v>
      </x:c>
      <x:c r="G1058" s="7" t="n">
        <x:v>45839</x:v>
      </x:c>
      <x:c r="H1058" s="2" t="n">
        <x:v>15</x:v>
      </x:c>
      <x:c r="I1058" s="8" t="n">
        <x:v>17</x:v>
      </x:c>
      <x:c r="J1058" s="8" t="n">
        <x:v>0</x:v>
      </x:c>
      <x:c r="K1058" s="8" t="n">
        <x:v>3</x:v>
      </x:c>
      <x:c r="L1058" s="8" t="n">
        <x:v>311</x:v>
      </x:c>
      <x:c r="M1058" s="8" t="n">
        <x:v>0</x:v>
      </x:c>
      <x:c r="N1058" s="8" t="n">
        <x:v>0</x:v>
      </x:c>
      <x:c r="O1058" s="8" t="n">
        <x:v>68</x:v>
      </x:c>
      <x:c r="P1058" s="8" t="n">
        <x:v>0</x:v>
      </x:c>
      <x:c r="Q1058" s="8" t="n">
        <x:v>-1</x:v>
      </x:c>
      <x:c r="R1058" s="8" t="n">
        <x:v>0</x:v>
      </x:c>
      <x:c r="S1058" s="8" t="n">
        <x:f>L1058-I1058^2/H1058</x:f>
        <x:v>291.73333333333335</x:v>
      </x:c>
      <x:c r="T1058" s="8" t="n">
        <x:f>M1058-J1058^2/H1058</x:f>
        <x:v>0</x:v>
      </x:c>
      <x:c r="U1058" s="8" t="n">
        <x:f>N1058-I1058*J1058/H1058</x:f>
        <x:v>0</x:v>
      </x:c>
      <x:c r="V1058" s="8" t="n">
        <x:f>O1058-I1058*K1058/H1058</x:f>
        <x:v>64.6</x:v>
      </x:c>
      <x:c r="W1058" s="8" t="n">
        <x:f>P1058-J1058*K1058/H1058</x:f>
        <x:v>0</x:v>
      </x:c>
      <x:c r="X1058" s="8" t="n">
        <x:f>V1058/S1058</x:f>
        <x:v>0.22143510054844603</x:v>
      </x:c>
      <x:c r="Y1058" s="8" t="n">
        <x:f>0</x:f>
        <x:v>0</x:v>
      </x:c>
      <x:c r="Z1058" s="8" t="n">
        <x:f>K1058/H1058-X1058*I1058/H1058-Y1058*J1058/H1058</x:f>
        <x:v>-0.05095978062157214</x:v>
      </x:c>
      <x:c r="AA1058" s="8" t="n">
        <x:f>Z1058+X1058*Q1058+Y1058*R1058</x:f>
        <x:v>-0.2723948811700182</x:v>
      </x:c>
    </x:row>
    <x:row r="1059" ht="26" customHeight="1">
      <x:c r="A1059" s="2"/>
      <x:c r="B1059" s="2" t="n">
        <x:v>1054</x:v>
      </x:c>
      <x:c r="C1059" s="2" t="str">
        <x:v>Health Care / organic_volume_growth</x:v>
      </x:c>
      <x:c r="D1059" s="2" t="str">
        <x:v>Broad market</x:v>
      </x:c>
      <x:c r="E1059" s="7" t="n">
        <x:v>45930</x:v>
      </x:c>
      <x:c r="F1059" s="2" t="str">
        <x:v>Prior report</x:v>
      </x:c>
      <x:c r="G1059" s="7" t="n">
        <x:v>45867</x:v>
      </x:c>
      <x:c r="H1059" s="2" t="n">
        <x:v>17</x:v>
      </x:c>
      <x:c r="I1059" s="8" t="n">
        <x:v>48.81640031708317</x:v>
      </x:c>
      <x:c r="J1059" s="8" t="n">
        <x:v>0</x:v>
      </x:c>
      <x:c r="K1059" s="8" t="n">
        <x:v>16</x:v>
      </x:c>
      <x:c r="L1059" s="8" t="n">
        <x:v>384.52710101487173</x:v>
      </x:c>
      <x:c r="M1059" s="8" t="n">
        <x:v>0</x:v>
      </x:c>
      <x:c r="N1059" s="8" t="n">
        <x:v>0</x:v>
      </x:c>
      <x:c r="O1059" s="8" t="n">
        <x:v>247.59905908041364</x:v>
      </x:c>
      <x:c r="P1059" s="8" t="n">
        <x:v>0</x:v>
      </x:c>
      <x:c r="Q1059" s="8" t="n">
        <x:v>2.8115539262481226</x:v>
      </x:c>
      <x:c r="R1059" s="8" t="n">
        <x:v>0</x:v>
      </x:c>
      <x:c r="S1059" s="8" t="n">
        <x:f>L1059-I1059^2/H1059</x:f>
        <x:v>244.34822219618243</x:v>
      </x:c>
      <x:c r="T1059" s="8" t="n">
        <x:f>M1059-J1059^2/H1059</x:f>
        <x:v>0</x:v>
      </x:c>
      <x:c r="U1059" s="8" t="n">
        <x:f>N1059-I1059*J1059/H1059</x:f>
        <x:v>0</x:v>
      </x:c>
      <x:c r="V1059" s="8" t="n">
        <x:f>O1059-I1059*K1059/H1059</x:f>
        <x:v>201.65421172315888</x:v>
      </x:c>
      <x:c r="W1059" s="8" t="n">
        <x:f>P1059-J1059*K1059/H1059</x:f>
        <x:v>0</x:v>
      </x:c>
      <x:c r="X1059" s="8" t="n">
        <x:f>V1059/S1059</x:f>
        <x:v>0.8252739058655996</x:v>
      </x:c>
      <x:c r="Y1059" s="8" t="n">
        <x:f>0</x:f>
        <x:v>0</x:v>
      </x:c>
      <x:c r="Z1059" s="8" t="n">
        <x:f>K1059/H1059-X1059*I1059/H1059-Y1059*J1059/H1059</x:f>
        <x:v>-1.4286412564692899</x:v>
      </x:c>
      <x:c r="AA1059" s="8" t="n">
        <x:f>Z1059+X1059*Q1059+Y1059*R1059</x:f>
        <x:v>0.8916608337972602</x:v>
      </x:c>
    </x:row>
    <x:row r="1060" ht="26" customHeight="1">
      <x:c r="A1060" s="2"/>
      <x:c r="B1060" s="2" t="n">
        <x:v>1055</x:v>
      </x:c>
      <x:c r="C1060" s="2" t="str">
        <x:v>Health Care / organic_volume_growth</x:v>
      </x:c>
      <x:c r="D1060" s="2" t="str">
        <x:v>Broad rolling 8</x:v>
      </x:c>
      <x:c r="E1060" s="7" t="n">
        <x:v>45930</x:v>
      </x:c>
      <x:c r="F1060" s="2" t="str">
        <x:v>Prior report</x:v>
      </x:c>
      <x:c r="G1060" s="7" t="n">
        <x:v>45867</x:v>
      </x:c>
      <x:c r="H1060" s="2" t="n">
        <x:v>8</x:v>
      </x:c>
      <x:c r="I1060" s="8" t="n">
        <x:v>13.903323924128907</x:v>
      </x:c>
      <x:c r="J1060" s="8" t="n">
        <x:v>0</x:v>
      </x:c>
      <x:c r="K1060" s="8" t="n">
        <x:v>-10</x:v>
      </x:c>
      <x:c r="L1060" s="8" t="n">
        <x:v>29.69247799893869</x:v>
      </x:c>
      <x:c r="M1060" s="8" t="n">
        <x:v>0</x:v>
      </x:c>
      <x:c r="N1060" s="8" t="n">
        <x:v>0</x:v>
      </x:c>
      <x:c r="O1060" s="8" t="n">
        <x:v>-14.637557863062522</x:v>
      </x:c>
      <x:c r="P1060" s="8" t="n">
        <x:v>0</x:v>
      </x:c>
      <x:c r="Q1060" s="8" t="n">
        <x:v>2.8115539262481226</x:v>
      </x:c>
      <x:c r="R1060" s="8" t="n">
        <x:v>0</x:v>
      </x:c>
      <x:c r="S1060" s="8" t="n">
        <x:f>L1060-I1060^2/H1060</x:f>
        <x:v>5.529675981531785</x:v>
      </x:c>
      <x:c r="T1060" s="8" t="n">
        <x:f>M1060-J1060^2/H1060</x:f>
        <x:v>0</x:v>
      </x:c>
      <x:c r="U1060" s="8" t="n">
        <x:f>N1060-I1060*J1060/H1060</x:f>
        <x:v>0</x:v>
      </x:c>
      <x:c r="V1060" s="8" t="n">
        <x:f>O1060-I1060*K1060/H1060</x:f>
        <x:v>2.7415970420986113</x:v>
      </x:c>
      <x:c r="W1060" s="8" t="n">
        <x:f>P1060-J1060*K1060/H1060</x:f>
        <x:v>0</x:v>
      </x:c>
      <x:c r="X1060" s="8" t="n">
        <x:f>V1060/S1060</x:f>
        <x:v>0.4957970505424003</x:v>
      </x:c>
      <x:c r="Y1060" s="8" t="n">
        <x:f>0</x:f>
        <x:v>0</x:v>
      </x:c>
      <x:c r="Z1060" s="8" t="n">
        <x:f>K1060/H1060-X1060*I1060/H1060-Y1060*J1060/H1060</x:f>
        <x:v>-2.111653374289838</x:v>
      </x:c>
      <x:c r="AA1060" s="8" t="n">
        <x:f>Z1060+X1060*Q1060+Y1060*R1060</x:f>
        <x:v>-0.7176932302151133</x:v>
      </x:c>
    </x:row>
    <x:row r="1061" ht="26" customHeight="1">
      <x:c r="A1061" s="2"/>
      <x:c r="B1061" s="2" t="n">
        <x:v>1056</x:v>
      </x:c>
      <x:c r="C1061" s="2" t="str">
        <x:v>Health Care / organic_volume_growth</x:v>
      </x:c>
      <x:c r="D1061" s="2" t="str">
        <x:v>Own history</x:v>
      </x:c>
      <x:c r="E1061" s="7" t="n">
        <x:v>45930</x:v>
      </x:c>
      <x:c r="F1061" s="2" t="str">
        <x:v>Prior report</x:v>
      </x:c>
      <x:c r="G1061" s="7" t="n">
        <x:v>45867</x:v>
      </x:c>
      <x:c r="H1061" s="2" t="n">
        <x:v>17</x:v>
      </x:c>
      <x:c r="I1061" s="8" t="n">
        <x:v>16</x:v>
      </x:c>
      <x:c r="J1061" s="8" t="n">
        <x:v>0</x:v>
      </x:c>
      <x:c r="K1061" s="8" t="n">
        <x:v>14</x:v>
      </x:c>
      <x:c r="L1061" s="8" t="n">
        <x:v>312</x:v>
      </x:c>
      <x:c r="M1061" s="8" t="n">
        <x:v>0</x:v>
      </x:c>
      <x:c r="N1061" s="8" t="n">
        <x:v>0</x:v>
      </x:c>
      <x:c r="O1061" s="8" t="n">
        <x:v>80</x:v>
      </x:c>
      <x:c r="P1061" s="8" t="n">
        <x:v>0</x:v>
      </x:c>
      <x:c r="Q1061" s="8" t="n">
        <x:v>-2</x:v>
      </x:c>
      <x:c r="R1061" s="8" t="n">
        <x:v>0</x:v>
      </x:c>
      <x:c r="S1061" s="8" t="n">
        <x:f>L1061-I1061^2/H1061</x:f>
        <x:v>296.94117647058823</x:v>
      </x:c>
      <x:c r="T1061" s="8" t="n">
        <x:f>M1061-J1061^2/H1061</x:f>
        <x:v>0</x:v>
      </x:c>
      <x:c r="U1061" s="8" t="n">
        <x:f>N1061-I1061*J1061/H1061</x:f>
        <x:v>0</x:v>
      </x:c>
      <x:c r="V1061" s="8" t="n">
        <x:f>O1061-I1061*K1061/H1061</x:f>
        <x:v>66.82352941176471</x:v>
      </x:c>
      <x:c r="W1061" s="8" t="n">
        <x:f>P1061-J1061*K1061/H1061</x:f>
        <x:v>0</x:v>
      </x:c>
      <x:c r="X1061" s="8" t="n">
        <x:f>V1061/S1061</x:f>
        <x:v>0.22503961965134708</x:v>
      </x:c>
      <x:c r="Y1061" s="8" t="n">
        <x:f>0</x:f>
        <x:v>0</x:v>
      </x:c>
      <x:c r="Z1061" s="8" t="n">
        <x:f>K1061/H1061-X1061*I1061/H1061-Y1061*J1061/H1061</x:f>
        <x:v>0.6117274167987321</x:v>
      </x:c>
      <x:c r="AA1061" s="8" t="n">
        <x:f>Z1061+X1061*Q1061+Y1061*R1061</x:f>
        <x:v>0.16164817749603794</x:v>
      </x:c>
    </x:row>
    <x:row r="1062" ht="26" customHeight="1">
      <x:c r="A1062" s="2"/>
      <x:c r="B1062" s="2" t="n">
        <x:v>1057</x:v>
      </x:c>
      <x:c r="C1062" s="2" t="str">
        <x:v>Health Care / organic_volume_growth</x:v>
      </x:c>
      <x:c r="D1062" s="2" t="str">
        <x:v>Broad market</x:v>
      </x:c>
      <x:c r="E1062" s="7" t="n">
        <x:v>45930</x:v>
      </x:c>
      <x:c r="F1062" s="2" t="str">
        <x:v>Pre-earnings</x:v>
      </x:c>
      <x:c r="G1062" s="7" t="n">
        <x:v>45953</x:v>
      </x:c>
      <x:c r="H1062" s="2" t="n">
        <x:v>18</x:v>
      </x:c>
      <x:c r="I1062" s="8" t="n">
        <x:v>54.16421583875868</x:v>
      </x:c>
      <x:c r="J1062" s="8" t="n">
        <x:v>0</x:v>
      </x:c>
      <x:c r="K1062" s="8" t="n">
        <x:v>14</x:v>
      </x:c>
      <x:c r="L1062" s="8" t="n">
        <x:v>409.1374966682539</x:v>
      </x:c>
      <x:c r="M1062" s="8" t="n">
        <x:v>0</x:v>
      </x:c>
      <x:c r="N1062" s="8" t="n">
        <x:v>0</x:v>
      </x:c>
      <x:c r="O1062" s="8" t="n">
        <x:v>242.10565782095793</x:v>
      </x:c>
      <x:c r="P1062" s="8" t="n">
        <x:v>0</x:v>
      </x:c>
      <x:c r="Q1062" s="8" t="n">
        <x:v>3.2886468481588604</x:v>
      </x:c>
      <x:c r="R1062" s="8" t="n">
        <x:v>0</x:v>
      </x:c>
      <x:c r="S1062" s="8" t="n">
        <x:f>L1062-I1062^2/H1062</x:f>
        <x:v>246.15070347782967</x:v>
      </x:c>
      <x:c r="T1062" s="8" t="n">
        <x:f>M1062-J1062^2/H1062</x:f>
        <x:v>0</x:v>
      </x:c>
      <x:c r="U1062" s="8" t="n">
        <x:f>N1062-I1062*J1062/H1062</x:f>
        <x:v>0</x:v>
      </x:c>
      <x:c r="V1062" s="8" t="n">
        <x:f>O1062-I1062*K1062/H1062</x:f>
        <x:v>199.9779343908123</x:v>
      </x:c>
      <x:c r="W1062" s="8" t="n">
        <x:f>P1062-J1062*K1062/H1062</x:f>
        <x:v>0</x:v>
      </x:c>
      <x:c r="X1062" s="8" t="n">
        <x:f>V1062/S1062</x:f>
        <x:v>0.8124207307367047</x:v>
      </x:c>
      <x:c r="Y1062" s="8" t="n">
        <x:f>0</x:f>
        <x:v>0</x:v>
      </x:c>
      <x:c r="Z1062" s="8" t="n">
        <x:f>K1062/H1062-X1062*I1062/H1062-Y1062*J1062/H1062</x:f>
        <x:v>-1.6668962117502732</x:v>
      </x:c>
      <x:c r="AA1062" s="8" t="n">
        <x:f>Z1062+X1062*Q1062+Y1062*R1062</x:f>
        <x:v>1.004868663765909</x:v>
      </x:c>
    </x:row>
    <x:row r="1063" ht="26" customHeight="1">
      <x:c r="A1063" s="2"/>
      <x:c r="B1063" s="2" t="n">
        <x:v>1058</x:v>
      </x:c>
      <x:c r="C1063" s="2" t="str">
        <x:v>Health Care / organic_volume_growth</x:v>
      </x:c>
      <x:c r="D1063" s="2" t="str">
        <x:v>Broad lag 1</x:v>
      </x:c>
      <x:c r="E1063" s="7" t="n">
        <x:v>45930</x:v>
      </x:c>
      <x:c r="F1063" s="2" t="str">
        <x:v>Pre-earnings</x:v>
      </x:c>
      <x:c r="G1063" s="7" t="n">
        <x:v>45953</x:v>
      </x:c>
      <x:c r="H1063" s="2" t="n">
        <x:v>17</x:v>
      </x:c>
      <x:c r="I1063" s="8" t="n">
        <x:v>50.93094136357719</x:v>
      </x:c>
      <x:c r="J1063" s="8" t="n">
        <x:v>0</x:v>
      </x:c>
      <x:c r="K1063" s="8" t="n">
        <x:v>14</x:v>
      </x:c>
      <x:c r="L1063" s="8" t="n">
        <x:v>398.68343283639376</x:v>
      </x:c>
      <x:c r="M1063" s="8" t="n">
        <x:v>0</x:v>
      </x:c>
      <x:c r="N1063" s="8" t="n">
        <x:v>0</x:v>
      </x:c>
      <x:c r="O1063" s="8" t="n">
        <x:v>187.5991258689814</x:v>
      </x:c>
      <x:c r="P1063" s="8" t="n">
        <x:v>0</x:v>
      </x:c>
      <x:c r="Q1063" s="8" t="n">
        <x:v>3.2332744751814912</x:v>
      </x:c>
      <x:c r="R1063" s="8" t="n">
        <x:v>0</x:v>
      </x:c>
      <x:c r="S1063" s="8" t="n">
        <x:f>L1063-I1063^2/H1063</x:f>
        <x:v>246.09750411991504</x:v>
      </x:c>
      <x:c r="T1063" s="8" t="n">
        <x:f>M1063-J1063^2/H1063</x:f>
        <x:v>0</x:v>
      </x:c>
      <x:c r="U1063" s="8" t="n">
        <x:f>N1063-I1063*J1063/H1063</x:f>
        <x:v>0</x:v>
      </x:c>
      <x:c r="V1063" s="8" t="n">
        <x:f>O1063-I1063*K1063/H1063</x:f>
        <x:v>145.65599768721194</x:v>
      </x:c>
      <x:c r="W1063" s="8" t="n">
        <x:f>P1063-J1063*K1063/H1063</x:f>
        <x:v>0</x:v>
      </x:c>
      <x:c r="X1063" s="8" t="n">
        <x:f>V1063/S1063</x:f>
        <x:v>0.5918629618293026</x:v>
      </x:c>
      <x:c r="Y1063" s="8" t="n">
        <x:f>0</x:f>
        <x:v>0</x:v>
      </x:c>
      <x:c r="Z1063" s="8" t="n">
        <x:f>K1063/H1063-X1063*I1063/H1063-Y1063*J1063/H1063</x:f>
        <x:v>-0.94965516495302</x:v>
      </x:c>
      <x:c r="AA1063" s="8" t="n">
        <x:f>Z1063+X1063*Q1063+Y1063*R1063</x:f>
        <x:v>0.9640002423349814</x:v>
      </x:c>
    </x:row>
    <x:row r="1064" ht="26" customHeight="1">
      <x:c r="A1064" s="2"/>
      <x:c r="B1064" s="2" t="n">
        <x:v>1059</x:v>
      </x:c>
      <x:c r="C1064" s="2" t="str">
        <x:v>Health Care / organic_volume_growth</x:v>
      </x:c>
      <x:c r="D1064" s="2" t="str">
        <x:v>Broad rolling 8</x:v>
      </x:c>
      <x:c r="E1064" s="7" t="n">
        <x:v>45930</x:v>
      </x:c>
      <x:c r="F1064" s="2" t="str">
        <x:v>Pre-earnings</x:v>
      </x:c>
      <x:c r="G1064" s="7" t="n">
        <x:v>45953</x:v>
      </x:c>
      <x:c r="H1064" s="2" t="n">
        <x:v>8</x:v>
      </x:c>
      <x:c r="I1064" s="8" t="n">
        <x:v>19.488596039783012</x:v>
      </x:c>
      <x:c r="J1064" s="8" t="n">
        <x:v>0</x:v>
      </x:c>
      <x:c r="K1064" s="8" t="n">
        <x:v>-9</x:v>
      </x:c>
      <x:c r="L1064" s="8" t="n">
        <x:v>52.76027068899587</x:v>
      </x:c>
      <x:c r="M1064" s="8" t="n">
        <x:v>0</x:v>
      </x:c>
      <x:c r="N1064" s="8" t="n">
        <x:v>0</x:v>
      </x:c>
      <x:c r="O1064" s="8" t="n">
        <x:v>-22.599943963220383</x:v>
      </x:c>
      <x:c r="P1064" s="8" t="n">
        <x:v>0</x:v>
      </x:c>
      <x:c r="Q1064" s="8" t="n">
        <x:v>3.2886468481588604</x:v>
      </x:c>
      <x:c r="R1064" s="8" t="n">
        <x:v>0</x:v>
      </x:c>
      <x:c r="S1064" s="8" t="n">
        <x:f>L1064-I1064^2/H1064</x:f>
        <x:v>5.284598738765105</x:v>
      </x:c>
      <x:c r="T1064" s="8" t="n">
        <x:f>M1064-J1064^2/H1064</x:f>
        <x:v>0</x:v>
      </x:c>
      <x:c r="U1064" s="8" t="n">
        <x:f>N1064-I1064*J1064/H1064</x:f>
        <x:v>0</x:v>
      </x:c>
      <x:c r="V1064" s="8" t="n">
        <x:f>O1064-I1064*K1064/H1064</x:f>
        <x:v>-0.6752734184644957</x:v>
      </x:c>
      <x:c r="W1064" s="8" t="n">
        <x:f>P1064-J1064*K1064/H1064</x:f>
        <x:v>0</x:v>
      </x:c>
      <x:c r="X1064" s="8" t="n">
        <x:f>V1064/S1064</x:f>
        <x:v>-0.12778139871075478</x:v>
      </x:c>
      <x:c r="Y1064" s="8" t="n">
        <x:f>0</x:f>
        <x:v>0</x:v>
      </x:c>
      <x:c r="Z1064" s="8" t="n">
        <x:f>K1064/H1064-X1064*I1064/H1064-Y1064*J1064/H1064</x:f>
        <x:v>-0.8137149923909563</x:v>
      </x:c>
      <x:c r="AA1064" s="8" t="n">
        <x:f>Z1064+X1064*Q1064+Y1064*R1064</x:f>
        <x:v>-1.2339428865144106</x:v>
      </x:c>
    </x:row>
    <x:row r="1065" ht="26" customHeight="1">
      <x:c r="A1065" s="2"/>
      <x:c r="B1065" s="2" t="n">
        <x:v>1060</x:v>
      </x:c>
      <x:c r="C1065" s="2" t="str">
        <x:v>Health Care / organic_volume_growth</x:v>
      </x:c>
      <x:c r="D1065" s="2" t="str">
        <x:v>Own history</x:v>
      </x:c>
      <x:c r="E1065" s="7" t="n">
        <x:v>45930</x:v>
      </x:c>
      <x:c r="F1065" s="2" t="str">
        <x:v>Pre-earnings</x:v>
      </x:c>
      <x:c r="G1065" s="7" t="n">
        <x:v>45953</x:v>
      </x:c>
      <x:c r="H1065" s="2" t="n">
        <x:v>17</x:v>
      </x:c>
      <x:c r="I1065" s="8" t="n">
        <x:v>16</x:v>
      </x:c>
      <x:c r="J1065" s="8" t="n">
        <x:v>0</x:v>
      </x:c>
      <x:c r="K1065" s="8" t="n">
        <x:v>14</x:v>
      </x:c>
      <x:c r="L1065" s="8" t="n">
        <x:v>312</x:v>
      </x:c>
      <x:c r="M1065" s="8" t="n">
        <x:v>0</x:v>
      </x:c>
      <x:c r="N1065" s="8" t="n">
        <x:v>0</x:v>
      </x:c>
      <x:c r="O1065" s="8" t="n">
        <x:v>80</x:v>
      </x:c>
      <x:c r="P1065" s="8" t="n">
        <x:v>0</x:v>
      </x:c>
      <x:c r="Q1065" s="8" t="n">
        <x:v>-2</x:v>
      </x:c>
      <x:c r="R1065" s="8" t="n">
        <x:v>0</x:v>
      </x:c>
      <x:c r="S1065" s="8" t="n">
        <x:f>L1065-I1065^2/H1065</x:f>
        <x:v>296.94117647058823</x:v>
      </x:c>
      <x:c r="T1065" s="8" t="n">
        <x:f>M1065-J1065^2/H1065</x:f>
        <x:v>0</x:v>
      </x:c>
      <x:c r="U1065" s="8" t="n">
        <x:f>N1065-I1065*J1065/H1065</x:f>
        <x:v>0</x:v>
      </x:c>
      <x:c r="V1065" s="8" t="n">
        <x:f>O1065-I1065*K1065/H1065</x:f>
        <x:v>66.82352941176471</x:v>
      </x:c>
      <x:c r="W1065" s="8" t="n">
        <x:f>P1065-J1065*K1065/H1065</x:f>
        <x:v>0</x:v>
      </x:c>
      <x:c r="X1065" s="8" t="n">
        <x:f>V1065/S1065</x:f>
        <x:v>0.22503961965134708</x:v>
      </x:c>
      <x:c r="Y1065" s="8" t="n">
        <x:f>0</x:f>
        <x:v>0</x:v>
      </x:c>
      <x:c r="Z1065" s="8" t="n">
        <x:f>K1065/H1065-X1065*I1065/H1065-Y1065*J1065/H1065</x:f>
        <x:v>0.6117274167987321</x:v>
      </x:c>
      <x:c r="AA1065" s="8" t="n">
        <x:f>Z1065+X1065*Q1065+Y1065*R1065</x:f>
        <x:v>0.16164817749603794</x:v>
      </x:c>
    </x:row>
    <x:row r="1066" ht="26" customHeight="1">
      <x:c r="A1066" s="2"/>
      <x:c r="B1066" s="2" t="n">
        <x:v>1061</x:v>
      </x:c>
      <x:c r="C1066" s="2" t="str">
        <x:v>Health Care / organic_volume_growth</x:v>
      </x:c>
      <x:c r="D1066" s="2" t="str">
        <x:v>Broad market</x:v>
      </x:c>
      <x:c r="E1066" s="7" t="n">
        <x:v>46022</x:v>
      </x:c>
      <x:c r="F1066" s="2" t="str">
        <x:v>Origin</x:v>
      </x:c>
      <x:c r="G1066" s="7" t="n">
        <x:v>45931</x:v>
      </x:c>
      <x:c r="H1066" s="2" t="n">
        <x:v>18</x:v>
      </x:c>
      <x:c r="I1066" s="8" t="n">
        <x:v>54.16421583875868</x:v>
      </x:c>
      <x:c r="J1066" s="8" t="n">
        <x:v>0</x:v>
      </x:c>
      <x:c r="K1066" s="8" t="n">
        <x:v>14</x:v>
      </x:c>
      <x:c r="L1066" s="8" t="n">
        <x:v>409.1374966682539</x:v>
      </x:c>
      <x:c r="M1066" s="8" t="n">
        <x:v>0</x:v>
      </x:c>
      <x:c r="N1066" s="8" t="n">
        <x:v>0</x:v>
      </x:c>
      <x:c r="O1066" s="8" t="n">
        <x:v>242.10565782095793</x:v>
      </x:c>
      <x:c r="P1066" s="8" t="n">
        <x:v>0</x:v>
      </x:c>
      <x:c r="Q1066" s="8" t="n">
        <x:v>3.299678659475047</x:v>
      </x:c>
      <x:c r="R1066" s="8" t="n">
        <x:v>0</x:v>
      </x:c>
      <x:c r="S1066" s="8" t="n">
        <x:f>L1066-I1066^2/H1066</x:f>
        <x:v>246.15070347782967</x:v>
      </x:c>
      <x:c r="T1066" s="8" t="n">
        <x:f>M1066-J1066^2/H1066</x:f>
        <x:v>0</x:v>
      </x:c>
      <x:c r="U1066" s="8" t="n">
        <x:f>N1066-I1066*J1066/H1066</x:f>
        <x:v>0</x:v>
      </x:c>
      <x:c r="V1066" s="8" t="n">
        <x:f>O1066-I1066*K1066/H1066</x:f>
        <x:v>199.9779343908123</x:v>
      </x:c>
      <x:c r="W1066" s="8" t="n">
        <x:f>P1066-J1066*K1066/H1066</x:f>
        <x:v>0</x:v>
      </x:c>
      <x:c r="X1066" s="8" t="n">
        <x:f>V1066/S1066</x:f>
        <x:v>0.8124207307367047</x:v>
      </x:c>
      <x:c r="Y1066" s="8" t="n">
        <x:f>0</x:f>
        <x:v>0</x:v>
      </x:c>
      <x:c r="Z1066" s="8" t="n">
        <x:f>K1066/H1066-X1066*I1066/H1066-Y1066*J1066/H1066</x:f>
        <x:v>-1.6668962117502732</x:v>
      </x:c>
      <x:c r="AA1066" s="8" t="n">
        <x:f>Z1066+X1066*Q1066+Y1066*R1066</x:f>
        <x:v>1.013831135976755</x:v>
      </x:c>
    </x:row>
    <x:row r="1067" ht="26" customHeight="1">
      <x:c r="A1067" s="2"/>
      <x:c r="B1067" s="2" t="n">
        <x:v>1062</x:v>
      </x:c>
      <x:c r="C1067" s="2" t="str">
        <x:v>Health Care / organic_volume_growth</x:v>
      </x:c>
      <x:c r="D1067" s="2" t="str">
        <x:v>Broad rolling 8</x:v>
      </x:c>
      <x:c r="E1067" s="7" t="n">
        <x:v>46022</x:v>
      </x:c>
      <x:c r="F1067" s="2" t="str">
        <x:v>Origin</x:v>
      </x:c>
      <x:c r="G1067" s="7" t="n">
        <x:v>45931</x:v>
      </x:c>
      <x:c r="H1067" s="2" t="n">
        <x:v>8</x:v>
      </x:c>
      <x:c r="I1067" s="8" t="n">
        <x:v>19.488596039783012</x:v>
      </x:c>
      <x:c r="J1067" s="8" t="n">
        <x:v>0</x:v>
      </x:c>
      <x:c r="K1067" s="8" t="n">
        <x:v>-9</x:v>
      </x:c>
      <x:c r="L1067" s="8" t="n">
        <x:v>52.76027068899587</x:v>
      </x:c>
      <x:c r="M1067" s="8" t="n">
        <x:v>0</x:v>
      </x:c>
      <x:c r="N1067" s="8" t="n">
        <x:v>0</x:v>
      </x:c>
      <x:c r="O1067" s="8" t="n">
        <x:v>-22.599943963220383</x:v>
      </x:c>
      <x:c r="P1067" s="8" t="n">
        <x:v>0</x:v>
      </x:c>
      <x:c r="Q1067" s="8" t="n">
        <x:v>3.299678659475047</x:v>
      </x:c>
      <x:c r="R1067" s="8" t="n">
        <x:v>0</x:v>
      </x:c>
      <x:c r="S1067" s="8" t="n">
        <x:f>L1067-I1067^2/H1067</x:f>
        <x:v>5.284598738765105</x:v>
      </x:c>
      <x:c r="T1067" s="8" t="n">
        <x:f>M1067-J1067^2/H1067</x:f>
        <x:v>0</x:v>
      </x:c>
      <x:c r="U1067" s="8" t="n">
        <x:f>N1067-I1067*J1067/H1067</x:f>
        <x:v>0</x:v>
      </x:c>
      <x:c r="V1067" s="8" t="n">
        <x:f>O1067-I1067*K1067/H1067</x:f>
        <x:v>-0.6752734184644957</x:v>
      </x:c>
      <x:c r="W1067" s="8" t="n">
        <x:f>P1067-J1067*K1067/H1067</x:f>
        <x:v>0</x:v>
      </x:c>
      <x:c r="X1067" s="8" t="n">
        <x:f>V1067/S1067</x:f>
        <x:v>-0.12778139871075478</x:v>
      </x:c>
      <x:c r="Y1067" s="8" t="n">
        <x:f>0</x:f>
        <x:v>0</x:v>
      </x:c>
      <x:c r="Z1067" s="8" t="n">
        <x:f>K1067/H1067-X1067*I1067/H1067-Y1067*J1067/H1067</x:f>
        <x:v>-0.8137149923909563</x:v>
      </x:c>
      <x:c r="AA1067" s="8" t="n">
        <x:f>Z1067+X1067*Q1067+Y1067*R1067</x:f>
        <x:v>-1.2353525467947062</x:v>
      </x:c>
    </x:row>
    <x:row r="1068" ht="26" customHeight="1">
      <x:c r="A1068" s="2"/>
      <x:c r="B1068" s="2" t="n">
        <x:v>1063</x:v>
      </x:c>
      <x:c r="C1068" s="2" t="str">
        <x:v>Health Care / organic_volume_growth</x:v>
      </x:c>
      <x:c r="D1068" s="2" t="str">
        <x:v>Own history</x:v>
      </x:c>
      <x:c r="E1068" s="7" t="n">
        <x:v>46022</x:v>
      </x:c>
      <x:c r="F1068" s="2" t="str">
        <x:v>Origin</x:v>
      </x:c>
      <x:c r="G1068" s="7" t="n">
        <x:v>45931</x:v>
      </x:c>
      <x:c r="H1068" s="2" t="n">
        <x:v>16</x:v>
      </x:c>
      <x:c r="I1068" s="8" t="n">
        <x:v>17</x:v>
      </x:c>
      <x:c r="J1068" s="8" t="n">
        <x:v>0</x:v>
      </x:c>
      <x:c r="K1068" s="8" t="n">
        <x:v>1</x:v>
      </x:c>
      <x:c r="L1068" s="8" t="n">
        <x:v>311</x:v>
      </x:c>
      <x:c r="M1068" s="8" t="n">
        <x:v>0</x:v>
      </x:c>
      <x:c r="N1068" s="8" t="n">
        <x:v>0</x:v>
      </x:c>
      <x:c r="O1068" s="8" t="n">
        <x:v>68</x:v>
      </x:c>
      <x:c r="P1068" s="8" t="n">
        <x:v>0</x:v>
      </x:c>
      <x:c r="Q1068" s="8" t="n">
        <x:v>-2</x:v>
      </x:c>
      <x:c r="R1068" s="8" t="n">
        <x:v>0</x:v>
      </x:c>
      <x:c r="S1068" s="8" t="n">
        <x:f>L1068-I1068^2/H1068</x:f>
        <x:v>292.9375</x:v>
      </x:c>
      <x:c r="T1068" s="8" t="n">
        <x:f>M1068-J1068^2/H1068</x:f>
        <x:v>0</x:v>
      </x:c>
      <x:c r="U1068" s="8" t="n">
        <x:f>N1068-I1068*J1068/H1068</x:f>
        <x:v>0</x:v>
      </x:c>
      <x:c r="V1068" s="8" t="n">
        <x:f>O1068-I1068*K1068/H1068</x:f>
        <x:v>66.9375</x:v>
      </x:c>
      <x:c r="W1068" s="8" t="n">
        <x:f>P1068-J1068*K1068/H1068</x:f>
        <x:v>0</x:v>
      </x:c>
      <x:c r="X1068" s="8" t="n">
        <x:f>V1068/S1068</x:f>
        <x:v>0.22850437379987198</x:v>
      </x:c>
      <x:c r="Y1068" s="8" t="n">
        <x:f>0</x:f>
        <x:v>0</x:v>
      </x:c>
      <x:c r="Z1068" s="8" t="n">
        <x:f>K1068/H1068-X1068*I1068/H1068-Y1068*J1068/H1068</x:f>
        <x:v>-0.18028589716236398</x:v>
      </x:c>
      <x:c r="AA1068" s="8" t="n">
        <x:f>Z1068+X1068*Q1068+Y1068*R1068</x:f>
        <x:v>-0.637294644762108</x:v>
      </x:c>
    </x:row>
    <x:row r="1069" ht="26" customHeight="1">
      <x:c r="A1069" s="2"/>
      <x:c r="B1069" s="2" t="n">
        <x:v>1064</x:v>
      </x:c>
      <x:c r="C1069" s="2" t="str">
        <x:v>Health Care / organic_volume_growth</x:v>
      </x:c>
      <x:c r="D1069" s="2" t="str">
        <x:v>Broad market</x:v>
      </x:c>
      <x:c r="E1069" s="7" t="n">
        <x:v>46022</x:v>
      </x:c>
      <x:c r="F1069" s="2" t="str">
        <x:v>Prior report</x:v>
      </x:c>
      <x:c r="G1069" s="7" t="n">
        <x:v>45954</x:v>
      </x:c>
      <x:c r="H1069" s="2" t="n">
        <x:v>18</x:v>
      </x:c>
      <x:c r="I1069" s="8" t="n">
        <x:v>54.16421583875868</x:v>
      </x:c>
      <x:c r="J1069" s="8" t="n">
        <x:v>0</x:v>
      </x:c>
      <x:c r="K1069" s="8" t="n">
        <x:v>14</x:v>
      </x:c>
      <x:c r="L1069" s="8" t="n">
        <x:v>409.1374966682539</x:v>
      </x:c>
      <x:c r="M1069" s="8" t="n">
        <x:v>0</x:v>
      </x:c>
      <x:c r="N1069" s="8" t="n">
        <x:v>0</x:v>
      </x:c>
      <x:c r="O1069" s="8" t="n">
        <x:v>242.10565782095793</x:v>
      </x:c>
      <x:c r="P1069" s="8" t="n">
        <x:v>0</x:v>
      </x:c>
      <x:c r="Q1069" s="8" t="n">
        <x:v>3.299678659475047</x:v>
      </x:c>
      <x:c r="R1069" s="8" t="n">
        <x:v>0</x:v>
      </x:c>
      <x:c r="S1069" s="8" t="n">
        <x:f>L1069-I1069^2/H1069</x:f>
        <x:v>246.15070347782967</x:v>
      </x:c>
      <x:c r="T1069" s="8" t="n">
        <x:f>M1069-J1069^2/H1069</x:f>
        <x:v>0</x:v>
      </x:c>
      <x:c r="U1069" s="8" t="n">
        <x:f>N1069-I1069*J1069/H1069</x:f>
        <x:v>0</x:v>
      </x:c>
      <x:c r="V1069" s="8" t="n">
        <x:f>O1069-I1069*K1069/H1069</x:f>
        <x:v>199.9779343908123</x:v>
      </x:c>
      <x:c r="W1069" s="8" t="n">
        <x:f>P1069-J1069*K1069/H1069</x:f>
        <x:v>0</x:v>
      </x:c>
      <x:c r="X1069" s="8" t="n">
        <x:f>V1069/S1069</x:f>
        <x:v>0.8124207307367047</x:v>
      </x:c>
      <x:c r="Y1069" s="8" t="n">
        <x:f>0</x:f>
        <x:v>0</x:v>
      </x:c>
      <x:c r="Z1069" s="8" t="n">
        <x:f>K1069/H1069-X1069*I1069/H1069-Y1069*J1069/H1069</x:f>
        <x:v>-1.6668962117502732</x:v>
      </x:c>
      <x:c r="AA1069" s="8" t="n">
        <x:f>Z1069+X1069*Q1069+Y1069*R1069</x:f>
        <x:v>1.013831135976755</x:v>
      </x:c>
    </x:row>
    <x:row r="1070" ht="26" customHeight="1">
      <x:c r="A1070" s="2"/>
      <x:c r="B1070" s="2" t="n">
        <x:v>1065</x:v>
      </x:c>
      <x:c r="C1070" s="2" t="str">
        <x:v>Health Care / organic_volume_growth</x:v>
      </x:c>
      <x:c r="D1070" s="2" t="str">
        <x:v>Broad rolling 8</x:v>
      </x:c>
      <x:c r="E1070" s="7" t="n">
        <x:v>46022</x:v>
      </x:c>
      <x:c r="F1070" s="2" t="str">
        <x:v>Prior report</x:v>
      </x:c>
      <x:c r="G1070" s="7" t="n">
        <x:v>45954</x:v>
      </x:c>
      <x:c r="H1070" s="2" t="n">
        <x:v>8</x:v>
      </x:c>
      <x:c r="I1070" s="8" t="n">
        <x:v>19.488596039783012</x:v>
      </x:c>
      <x:c r="J1070" s="8" t="n">
        <x:v>0</x:v>
      </x:c>
      <x:c r="K1070" s="8" t="n">
        <x:v>-9</x:v>
      </x:c>
      <x:c r="L1070" s="8" t="n">
        <x:v>52.76027068899587</x:v>
      </x:c>
      <x:c r="M1070" s="8" t="n">
        <x:v>0</x:v>
      </x:c>
      <x:c r="N1070" s="8" t="n">
        <x:v>0</x:v>
      </x:c>
      <x:c r="O1070" s="8" t="n">
        <x:v>-22.599943963220383</x:v>
      </x:c>
      <x:c r="P1070" s="8" t="n">
        <x:v>0</x:v>
      </x:c>
      <x:c r="Q1070" s="8" t="n">
        <x:v>3.299678659475047</x:v>
      </x:c>
      <x:c r="R1070" s="8" t="n">
        <x:v>0</x:v>
      </x:c>
      <x:c r="S1070" s="8" t="n">
        <x:f>L1070-I1070^2/H1070</x:f>
        <x:v>5.284598738765105</x:v>
      </x:c>
      <x:c r="T1070" s="8" t="n">
        <x:f>M1070-J1070^2/H1070</x:f>
        <x:v>0</x:v>
      </x:c>
      <x:c r="U1070" s="8" t="n">
        <x:f>N1070-I1070*J1070/H1070</x:f>
        <x:v>0</x:v>
      </x:c>
      <x:c r="V1070" s="8" t="n">
        <x:f>O1070-I1070*K1070/H1070</x:f>
        <x:v>-0.6752734184644957</x:v>
      </x:c>
      <x:c r="W1070" s="8" t="n">
        <x:f>P1070-J1070*K1070/H1070</x:f>
        <x:v>0</x:v>
      </x:c>
      <x:c r="X1070" s="8" t="n">
        <x:f>V1070/S1070</x:f>
        <x:v>-0.12778139871075478</x:v>
      </x:c>
      <x:c r="Y1070" s="8" t="n">
        <x:f>0</x:f>
        <x:v>0</x:v>
      </x:c>
      <x:c r="Z1070" s="8" t="n">
        <x:f>K1070/H1070-X1070*I1070/H1070-Y1070*J1070/H1070</x:f>
        <x:v>-0.8137149923909563</x:v>
      </x:c>
      <x:c r="AA1070" s="8" t="n">
        <x:f>Z1070+X1070*Q1070+Y1070*R1070</x:f>
        <x:v>-1.2353525467947062</x:v>
      </x:c>
    </x:row>
    <x:row r="1071" ht="26" customHeight="1">
      <x:c r="A1071" s="2"/>
      <x:c r="B1071" s="2" t="n">
        <x:v>1066</x:v>
      </x:c>
      <x:c r="C1071" s="2" t="str">
        <x:v>Health Care / organic_volume_growth</x:v>
      </x:c>
      <x:c r="D1071" s="2" t="str">
        <x:v>Own history</x:v>
      </x:c>
      <x:c r="E1071" s="7" t="n">
        <x:v>46022</x:v>
      </x:c>
      <x:c r="F1071" s="2" t="str">
        <x:v>Prior report</x:v>
      </x:c>
      <x:c r="G1071" s="7" t="n">
        <x:v>45954</x:v>
      </x:c>
      <x:c r="H1071" s="2" t="n">
        <x:v>18</x:v>
      </x:c>
      <x:c r="I1071" s="8" t="n">
        <x:v>14</x:v>
      </x:c>
      <x:c r="J1071" s="8" t="n">
        <x:v>0</x:v>
      </x:c>
      <x:c r="K1071" s="8" t="n">
        <x:v>12</x:v>
      </x:c>
      <x:c r="L1071" s="8" t="n">
        <x:v>316</x:v>
      </x:c>
      <x:c r="M1071" s="8" t="n">
        <x:v>0</x:v>
      </x:c>
      <x:c r="N1071" s="8" t="n">
        <x:v>0</x:v>
      </x:c>
      <x:c r="O1071" s="8" t="n">
        <x:v>84</x:v>
      </x:c>
      <x:c r="P1071" s="8" t="n">
        <x:v>0</x:v>
      </x:c>
      <x:c r="Q1071" s="8" t="n">
        <x:v>-2</x:v>
      </x:c>
      <x:c r="R1071" s="8" t="n">
        <x:v>0</x:v>
      </x:c>
      <x:c r="S1071" s="8" t="n">
        <x:f>L1071-I1071^2/H1071</x:f>
        <x:v>305.1111111111111</x:v>
      </x:c>
      <x:c r="T1071" s="8" t="n">
        <x:f>M1071-J1071^2/H1071</x:f>
        <x:v>0</x:v>
      </x:c>
      <x:c r="U1071" s="8" t="n">
        <x:f>N1071-I1071*J1071/H1071</x:f>
        <x:v>0</x:v>
      </x:c>
      <x:c r="V1071" s="8" t="n">
        <x:f>O1071-I1071*K1071/H1071</x:f>
        <x:v>74.66666666666667</x:v>
      </x:c>
      <x:c r="W1071" s="8" t="n">
        <x:f>P1071-J1071*K1071/H1071</x:f>
        <x:v>0</x:v>
      </x:c>
      <x:c r="X1071" s="8" t="n">
        <x:f>V1071/S1071</x:f>
        <x:v>0.24471959213401315</x:v>
      </x:c>
      <x:c r="Y1071" s="8" t="n">
        <x:f>0</x:f>
        <x:v>0</x:v>
      </x:c>
      <x:c r="Z1071" s="8" t="n">
        <x:f>K1071/H1071-X1071*I1071/H1071-Y1071*J1071/H1071</x:f>
        <x:v>0.47632920611798973</x:v>
      </x:c>
      <x:c r="AA1071" s="8" t="n">
        <x:f>Z1071+X1071*Q1071+Y1071*R1071</x:f>
        <x:v>-0.01310997815003656</x:v>
      </x:c>
    </x:row>
    <x:row r="1072" ht="26" customHeight="1">
      <x:c r="A1072" s="2"/>
      <x:c r="B1072" s="2" t="n">
        <x:v>1067</x:v>
      </x:c>
      <x:c r="C1072" s="2" t="str">
        <x:v>Health Care / organic_volume_growth</x:v>
      </x:c>
      <x:c r="D1072" s="2" t="str">
        <x:v>Broad market</x:v>
      </x:c>
      <x:c r="E1072" s="7" t="n">
        <x:v>46022</x:v>
      </x:c>
      <x:c r="F1072" s="2" t="str">
        <x:v>Pre-earnings</x:v>
      </x:c>
      <x:c r="G1072" s="7" t="n">
        <x:v>46044</x:v>
      </x:c>
      <x:c r="H1072" s="2" t="n">
        <x:v>19</x:v>
      </x:c>
      <x:c r="I1072" s="8" t="n">
        <x:v>57.16093893029881</x:v>
      </x:c>
      <x:c r="J1072" s="8" t="n">
        <x:v>0</x:v>
      </x:c>
      <x:c r="K1072" s="8" t="n">
        <x:v>12</x:v>
      </x:c>
      <x:c r="L1072" s="8" t="n">
        <x:v>418.11784595562375</x:v>
      </x:c>
      <x:c r="M1072" s="8" t="n">
        <x:v>0</x:v>
      </x:c>
      <x:c r="N1072" s="8" t="n">
        <x:v>0</x:v>
      </x:c>
      <x:c r="O1072" s="8" t="n">
        <x:v>236.11221163787766</x:v>
      </x:c>
      <x:c r="P1072" s="8" t="n">
        <x:v>0</x:v>
      </x:c>
      <x:c r="Q1072" s="8" t="n">
        <x:v>2.918795720892664</x:v>
      </x:c>
      <x:c r="R1072" s="8" t="n">
        <x:v>0</x:v>
      </x:c>
      <x:c r="S1072" s="8" t="n">
        <x:f>L1072-I1072^2/H1072</x:f>
        <x:v>246.1508491454474</x:v>
      </x:c>
      <x:c r="T1072" s="8" t="n">
        <x:f>M1072-J1072^2/H1072</x:f>
        <x:v>0</x:v>
      </x:c>
      <x:c r="U1072" s="8" t="n">
        <x:f>N1072-I1072*J1072/H1072</x:f>
        <x:v>0</x:v>
      </x:c>
      <x:c r="V1072" s="8" t="n">
        <x:f>O1072-I1072*K1072/H1072</x:f>
        <x:v>200.01056599768896</x:v>
      </x:c>
      <x:c r="W1072" s="8" t="n">
        <x:f>P1072-J1072*K1072/H1072</x:f>
        <x:v>0</x:v>
      </x:c>
      <x:c r="X1072" s="8" t="n">
        <x:f>V1072/S1072</x:f>
        <x:v>0.8125528174778112</x:v>
      </x:c>
      <x:c r="Y1072" s="8" t="n">
        <x:f>0</x:f>
        <x:v>0</x:v>
      </x:c>
      <x:c r="Z1072" s="8" t="n">
        <x:f>K1072/H1072-X1072*I1072/H1072-Y1072*J1072/H1072</x:f>
        <x:v>-1.8129622093416529</x:v>
      </x:c>
      <x:c r="AA1072" s="8" t="n">
        <x:f>Z1072+X1072*Q1072+Y1072*R1072</x:f>
        <x:v>0.55871347731186</x:v>
      </x:c>
    </x:row>
    <x:row r="1073" ht="26" customHeight="1">
      <x:c r="A1073" s="2"/>
      <x:c r="B1073" s="2" t="n">
        <x:v>1068</x:v>
      </x:c>
      <x:c r="C1073" s="2" t="str">
        <x:v>Health Care / organic_volume_growth</x:v>
      </x:c>
      <x:c r="D1073" s="2" t="str">
        <x:v>Broad lag 1</x:v>
      </x:c>
      <x:c r="E1073" s="7" t="n">
        <x:v>46022</x:v>
      </x:c>
      <x:c r="F1073" s="2" t="str">
        <x:v>Pre-earnings</x:v>
      </x:c>
      <x:c r="G1073" s="7" t="n">
        <x:v>46044</x:v>
      </x:c>
      <x:c r="H1073" s="2" t="n">
        <x:v>18</x:v>
      </x:c>
      <x:c r="I1073" s="8" t="n">
        <x:v>54.16421583875868</x:v>
      </x:c>
      <x:c r="J1073" s="8" t="n">
        <x:v>0</x:v>
      </x:c>
      <x:c r="K1073" s="8" t="n">
        <x:v>12</x:v>
      </x:c>
      <x:c r="L1073" s="8" t="n">
        <x:v>409.1374966682539</x:v>
      </x:c>
      <x:c r="M1073" s="8" t="n">
        <x:v>0</x:v>
      </x:c>
      <x:c r="N1073" s="8" t="n">
        <x:v>0</x:v>
      </x:c>
      <x:c r="O1073" s="8" t="n">
        <x:v>181.13257691861838</x:v>
      </x:c>
      <x:c r="P1073" s="8" t="n">
        <x:v>0</x:v>
      </x:c>
      <x:c r="Q1073" s="8" t="n">
        <x:v>2.996723091540132</x:v>
      </x:c>
      <x:c r="R1073" s="8" t="n">
        <x:v>0</x:v>
      </x:c>
      <x:c r="S1073" s="8" t="n">
        <x:f>L1073-I1073^2/H1073</x:f>
        <x:v>246.15070347782967</x:v>
      </x:c>
      <x:c r="T1073" s="8" t="n">
        <x:f>M1073-J1073^2/H1073</x:f>
        <x:v>0</x:v>
      </x:c>
      <x:c r="U1073" s="8" t="n">
        <x:f>N1073-I1073*J1073/H1073</x:f>
        <x:v>0</x:v>
      </x:c>
      <x:c r="V1073" s="8" t="n">
        <x:f>O1073-I1073*K1073/H1073</x:f>
        <x:v>145.02309969277925</x:v>
      </x:c>
      <x:c r="W1073" s="8" t="n">
        <x:f>P1073-J1073*K1073/H1073</x:f>
        <x:v>0</x:v>
      </x:c>
      <x:c r="X1073" s="8" t="n">
        <x:f>V1073/S1073</x:f>
        <x:v>0.5891638644284485</x:v>
      </x:c>
      <x:c r="Y1073" s="8" t="n">
        <x:f>0</x:f>
        <x:v>0</x:v>
      </x:c>
      <x:c r="Z1073" s="8" t="n">
        <x:f>K1073/H1073-X1073*I1073/H1073-Y1073*J1073/H1073</x:f>
        <x:v>-1.106199928738869</x:v>
      </x:c>
      <x:c r="AA1073" s="8" t="n">
        <x:f>Z1073+X1073*Q1073+Y1073*R1073</x:f>
        <x:v>0.6593610284948823</x:v>
      </x:c>
    </x:row>
    <x:row r="1074" ht="26" customHeight="1">
      <x:c r="A1074" s="2"/>
      <x:c r="B1074" s="2" t="n">
        <x:v>1069</x:v>
      </x:c>
      <x:c r="C1074" s="2" t="str">
        <x:v>Health Care / organic_volume_growth</x:v>
      </x:c>
      <x:c r="D1074" s="2" t="str">
        <x:v>Broad rolling 8</x:v>
      </x:c>
      <x:c r="E1074" s="7" t="n">
        <x:v>46022</x:v>
      </x:c>
      <x:c r="F1074" s="2" t="str">
        <x:v>Pre-earnings</x:v>
      </x:c>
      <x:c r="G1074" s="7" t="n">
        <x:v>46044</x:v>
      </x:c>
      <x:c r="H1074" s="2" t="n">
        <x:v>8</x:v>
      </x:c>
      <x:c r="I1074" s="8" t="n">
        <x:v>21.296017808086944</x:v>
      </x:c>
      <x:c r="J1074" s="8" t="n">
        <x:v>0</x:v>
      </x:c>
      <x:c r="K1074" s="8" t="n">
        <x:v>-13</x:v>
      </x:c>
      <x:c r="L1074" s="8" t="n">
        <x:v>60.32618233891433</x:v>
      </x:c>
      <x:c r="M1074" s="8" t="n">
        <x:v>0</x:v>
      </x:c>
      <x:c r="N1074" s="8" t="n">
        <x:v>0</x:v>
      </x:c>
      <x:c r="O1074" s="8" t="n">
        <x:v>-30.97199279277305</x:v>
      </x:c>
      <x:c r="P1074" s="8" t="n">
        <x:v>0</x:v>
      </x:c>
      <x:c r="Q1074" s="8" t="n">
        <x:v>2.918795720892664</x:v>
      </x:c>
      <x:c r="R1074" s="8" t="n">
        <x:v>0</x:v>
      </x:c>
      <x:c r="S1074" s="8" t="n">
        <x:f>L1074-I1074^2/H1074</x:f>
        <x:v>3.6361355286197963</x:v>
      </x:c>
      <x:c r="T1074" s="8" t="n">
        <x:f>M1074-J1074^2/H1074</x:f>
        <x:v>0</x:v>
      </x:c>
      <x:c r="U1074" s="8" t="n">
        <x:f>N1074-I1074*J1074/H1074</x:f>
        <x:v>0</x:v>
      </x:c>
      <x:c r="V1074" s="8" t="n">
        <x:f>O1074-I1074*K1074/H1074</x:f>
        <x:v>3.634036145368235</x:v>
      </x:c>
      <x:c r="W1074" s="8" t="n">
        <x:f>P1074-J1074*K1074/H1074</x:f>
        <x:v>0</x:v>
      </x:c>
      <x:c r="X1074" s="8" t="n">
        <x:f>V1074/S1074</x:f>
        <x:v>0.9994226333878269</x:v>
      </x:c>
      <x:c r="Y1074" s="8" t="n">
        <x:f>0</x:f>
        <x:v>0</x:v>
      </x:c>
      <x:c r="Z1074" s="8" t="n">
        <x:f>K1074/H1074-X1074*I1074/H1074-Y1074*J1074/H1074</x:f>
        <x:v>-4.285465274804039</x:v>
      </x:c>
      <x:c r="AA1074" s="8" t="n">
        <x:f>Z1074+X1074*Q1074+Y1074*R1074</x:f>
        <x:v>-1.3683547691083726</x:v>
      </x:c>
    </x:row>
    <x:row r="1075" ht="26" customHeight="1">
      <x:c r="A1075" s="2"/>
      <x:c r="B1075" s="2" t="n">
        <x:v>1070</x:v>
      </x:c>
      <x:c r="C1075" s="2" t="str">
        <x:v>Health Care / organic_volume_growth</x:v>
      </x:c>
      <x:c r="D1075" s="2" t="str">
        <x:v>Own history</x:v>
      </x:c>
      <x:c r="E1075" s="7" t="n">
        <x:v>46022</x:v>
      </x:c>
      <x:c r="F1075" s="2" t="str">
        <x:v>Pre-earnings</x:v>
      </x:c>
      <x:c r="G1075" s="7" t="n">
        <x:v>46044</x:v>
      </x:c>
      <x:c r="H1075" s="2" t="n">
        <x:v>18</x:v>
      </x:c>
      <x:c r="I1075" s="8" t="n">
        <x:v>14</x:v>
      </x:c>
      <x:c r="J1075" s="8" t="n">
        <x:v>0</x:v>
      </x:c>
      <x:c r="K1075" s="8" t="n">
        <x:v>12</x:v>
      </x:c>
      <x:c r="L1075" s="8" t="n">
        <x:v>316</x:v>
      </x:c>
      <x:c r="M1075" s="8" t="n">
        <x:v>0</x:v>
      </x:c>
      <x:c r="N1075" s="8" t="n">
        <x:v>0</x:v>
      </x:c>
      <x:c r="O1075" s="8" t="n">
        <x:v>84</x:v>
      </x:c>
      <x:c r="P1075" s="8" t="n">
        <x:v>0</x:v>
      </x:c>
      <x:c r="Q1075" s="8" t="n">
        <x:v>-2</x:v>
      </x:c>
      <x:c r="R1075" s="8" t="n">
        <x:v>0</x:v>
      </x:c>
      <x:c r="S1075" s="8" t="n">
        <x:f>L1075-I1075^2/H1075</x:f>
        <x:v>305.1111111111111</x:v>
      </x:c>
      <x:c r="T1075" s="8" t="n">
        <x:f>M1075-J1075^2/H1075</x:f>
        <x:v>0</x:v>
      </x:c>
      <x:c r="U1075" s="8" t="n">
        <x:f>N1075-I1075*J1075/H1075</x:f>
        <x:v>0</x:v>
      </x:c>
      <x:c r="V1075" s="8" t="n">
        <x:f>O1075-I1075*K1075/H1075</x:f>
        <x:v>74.66666666666667</x:v>
      </x:c>
      <x:c r="W1075" s="8" t="n">
        <x:f>P1075-J1075*K1075/H1075</x:f>
        <x:v>0</x:v>
      </x:c>
      <x:c r="X1075" s="8" t="n">
        <x:f>V1075/S1075</x:f>
        <x:v>0.24471959213401315</x:v>
      </x:c>
      <x:c r="Y1075" s="8" t="n">
        <x:f>0</x:f>
        <x:v>0</x:v>
      </x:c>
      <x:c r="Z1075" s="8" t="n">
        <x:f>K1075/H1075-X1075*I1075/H1075-Y1075*J1075/H1075</x:f>
        <x:v>0.47632920611798973</x:v>
      </x:c>
      <x:c r="AA1075" s="8" t="n">
        <x:f>Z1075+X1075*Q1075+Y1075*R1075</x:f>
        <x:v>-0.01310997815003656</x:v>
      </x:c>
    </x:row>
    <x:row r="1076" ht="26" customHeight="1">
      <x:c r="A1076" s="2"/>
      <x:c r="B1076" s="2" t="n">
        <x:v>1071</x:v>
      </x:c>
      <x:c r="C1076" s="2" t="str">
        <x:v>Health Care / organic_volume_growth</x:v>
      </x:c>
      <x:c r="D1076" s="2" t="str">
        <x:v>Broad market</x:v>
      </x:c>
      <x:c r="E1076" s="7" t="n">
        <x:v>46112</x:v>
      </x:c>
      <x:c r="F1076" s="2" t="str">
        <x:v>Origin</x:v>
      </x:c>
      <x:c r="G1076" s="7" t="n">
        <x:v>46023</x:v>
      </x:c>
      <x:c r="H1076" s="2" t="n">
        <x:v>19</x:v>
      </x:c>
      <x:c r="I1076" s="8" t="n">
        <x:v>57.17838992209685</x:v>
      </x:c>
      <x:c r="J1076" s="8" t="n">
        <x:v>0</x:v>
      </x:c>
      <x:c r="K1076" s="8" t="n">
        <x:v>12</x:v>
      </x:c>
      <x:c r="L1076" s="8" t="n">
        <x:v>418.22274207292145</x:v>
      </x:c>
      <x:c r="M1076" s="8" t="n">
        <x:v>0</x:v>
      </x:c>
      <x:c r="N1076" s="8" t="n">
        <x:v>0</x:v>
      </x:c>
      <x:c r="O1076" s="8" t="n">
        <x:v>236.0773096542816</x:v>
      </x:c>
      <x:c r="P1076" s="8" t="n">
        <x:v>0</x:v>
      </x:c>
      <x:c r="Q1076" s="8" t="n">
        <x:v>3.0175188319920387</x:v>
      </x:c>
      <x:c r="R1076" s="8" t="n">
        <x:v>0</x:v>
      </x:c>
      <x:c r="S1076" s="8" t="n">
        <x:f>L1076-I1076^2/H1076</x:f>
        <x:v>246.15072764748217</x:v>
      </x:c>
      <x:c r="T1076" s="8" t="n">
        <x:f>M1076-J1076^2/H1076</x:f>
        <x:v>0</x:v>
      </x:c>
      <x:c r="U1076" s="8" t="n">
        <x:f>N1076-I1076*J1076/H1076</x:f>
        <x:v>0</x:v>
      </x:c>
      <x:c r="V1076" s="8" t="n">
        <x:f>O1076-I1076*K1076/H1076</x:f>
        <x:v>199.96464233506254</x:v>
      </x:c>
      <x:c r="W1076" s="8" t="n">
        <x:f>P1076-J1076*K1076/H1076</x:f>
        <x:v>0</x:v>
      </x:c>
      <x:c r="X1076" s="8" t="n">
        <x:f>V1076/S1076</x:f>
        <x:v>0.8123666513041402</x:v>
      </x:c>
      <x:c r="Y1076" s="8" t="n">
        <x:f>0</x:f>
        <x:v>0</x:v>
      </x:c>
      <x:c r="Z1076" s="8" t="n">
        <x:f>K1076/H1076-X1076*I1076/H1076-Y1076*J1076/H1076</x:f>
        <x:v>-1.8131482709461164</x:v>
      </x:c>
      <x:c r="AA1076" s="8" t="n">
        <x:f>Z1076+X1076*Q1076+Y1076*R1076</x:f>
        <x:v>0.6381833978464366</x:v>
      </x:c>
    </x:row>
    <x:row r="1077" ht="26" customHeight="1">
      <x:c r="A1077" s="2"/>
      <x:c r="B1077" s="2" t="n">
        <x:v>1072</x:v>
      </x:c>
      <x:c r="C1077" s="2" t="str">
        <x:v>Health Care / organic_volume_growth</x:v>
      </x:c>
      <x:c r="D1077" s="2" t="str">
        <x:v>Broad rolling 8</x:v>
      </x:c>
      <x:c r="E1077" s="7" t="n">
        <x:v>46112</x:v>
      </x:c>
      <x:c r="F1077" s="2" t="str">
        <x:v>Origin</x:v>
      </x:c>
      <x:c r="G1077" s="7" t="n">
        <x:v>46023</x:v>
      </x:c>
      <x:c r="H1077" s="2" t="n">
        <x:v>8</x:v>
      </x:c>
      <x:c r="I1077" s="8" t="n">
        <x:v>21.313468799884983</x:v>
      </x:c>
      <x:c r="J1077" s="8" t="n">
        <x:v>0</x:v>
      </x:c>
      <x:c r="K1077" s="8" t="n">
        <x:v>-13</x:v>
      </x:c>
      <x:c r="L1077" s="8" t="n">
        <x:v>60.431078456212</x:v>
      </x:c>
      <x:c r="M1077" s="8" t="n">
        <x:v>0</x:v>
      </x:c>
      <x:c r="N1077" s="8" t="n">
        <x:v>0</x:v>
      </x:c>
      <x:c r="O1077" s="8" t="n">
        <x:v>-31.00689477636913</x:v>
      </x:c>
      <x:c r="P1077" s="8" t="n">
        <x:v>0</x:v>
      </x:c>
      <x:c r="Q1077" s="8" t="n">
        <x:v>3.0175188319920387</x:v>
      </x:c>
      <x:c r="R1077" s="8" t="n">
        <x:v>0</x:v>
      </x:c>
      <x:c r="S1077" s="8" t="n">
        <x:f>L1077-I1077^2/H1077</x:f>
        <x:v>3.6480844207531717</x:v>
      </x:c>
      <x:c r="T1077" s="8" t="n">
        <x:f>M1077-J1077^2/H1077</x:f>
        <x:v>0</x:v>
      </x:c>
      <x:c r="U1077" s="8" t="n">
        <x:f>N1077-I1077*J1077/H1077</x:f>
        <x:v>0</x:v>
      </x:c>
      <x:c r="V1077" s="8" t="n">
        <x:f>O1077-I1077*K1077/H1077</x:f>
        <x:v>3.6274920234439705</x:v>
      </x:c>
      <x:c r="W1077" s="8" t="n">
        <x:f>P1077-J1077*K1077/H1077</x:f>
        <x:v>0</x:v>
      </x:c>
      <x:c r="X1077" s="8" t="n">
        <x:f>V1077/S1077</x:f>
        <x:v>0.9943552848744246</x:v>
      </x:c>
      <x:c r="Y1077" s="8" t="n">
        <x:f>0</x:f>
        <x:v>0</x:v>
      </x:c>
      <x:c r="Z1077" s="8" t="n">
        <x:f>K1077/H1077-X1077*I1077/H1077-Y1077*J1077/H1077</x:f>
        <x:v>-4.274145042521474</x:v>
      </x:c>
      <x:c r="AA1077" s="8" t="n">
        <x:f>Z1077+X1077*Q1077+Y1077*R1077</x:f>
        <x:v>-1.2736592447220896</x:v>
      </x:c>
    </x:row>
    <x:row r="1078" ht="26" customHeight="1">
      <x:c r="A1078" s="2"/>
      <x:c r="B1078" s="2" t="n">
        <x:v>1073</x:v>
      </x:c>
      <x:c r="C1078" s="2" t="str">
        <x:v>Health Care / organic_volume_growth</x:v>
      </x:c>
      <x:c r="D1078" s="2" t="str">
        <x:v>Own history</x:v>
      </x:c>
      <x:c r="E1078" s="7" t="n">
        <x:v>46112</x:v>
      </x:c>
      <x:c r="F1078" s="2" t="str">
        <x:v>Origin</x:v>
      </x:c>
      <x:c r="G1078" s="7" t="n">
        <x:v>46023</x:v>
      </x:c>
      <x:c r="H1078" s="2" t="n">
        <x:v>17</x:v>
      </x:c>
      <x:c r="I1078" s="8" t="n">
        <x:v>16</x:v>
      </x:c>
      <x:c r="J1078" s="8" t="n">
        <x:v>0</x:v>
      </x:c>
      <x:c r="K1078" s="8" t="n">
        <x:v>-1</x:v>
      </x:c>
      <x:c r="L1078" s="8" t="n">
        <x:v>312</x:v>
      </x:c>
      <x:c r="M1078" s="8" t="n">
        <x:v>0</x:v>
      </x:c>
      <x:c r="N1078" s="8" t="n">
        <x:v>0</x:v>
      </x:c>
      <x:c r="O1078" s="8" t="n">
        <x:v>70</x:v>
      </x:c>
      <x:c r="P1078" s="8" t="n">
        <x:v>0</x:v>
      </x:c>
      <x:c r="Q1078" s="8" t="n">
        <x:v>-2</x:v>
      </x:c>
      <x:c r="R1078" s="8" t="n">
        <x:v>0</x:v>
      </x:c>
      <x:c r="S1078" s="8" t="n">
        <x:f>L1078-I1078^2/H1078</x:f>
        <x:v>296.94117647058823</x:v>
      </x:c>
      <x:c r="T1078" s="8" t="n">
        <x:f>M1078-J1078^2/H1078</x:f>
        <x:v>0</x:v>
      </x:c>
      <x:c r="U1078" s="8" t="n">
        <x:f>N1078-I1078*J1078/H1078</x:f>
        <x:v>0</x:v>
      </x:c>
      <x:c r="V1078" s="8" t="n">
        <x:f>O1078-I1078*K1078/H1078</x:f>
        <x:v>70.94117647058823</x:v>
      </x:c>
      <x:c r="W1078" s="8" t="n">
        <x:f>P1078-J1078*K1078/H1078</x:f>
        <x:v>0</x:v>
      </x:c>
      <x:c r="X1078" s="8" t="n">
        <x:f>V1078/S1078</x:f>
        <x:v>0.2389064976228209</x:v>
      </x:c>
      <x:c r="Y1078" s="8" t="n">
        <x:f>0</x:f>
        <x:v>0</x:v>
      </x:c>
      <x:c r="Z1078" s="8" t="n">
        <x:f>K1078/H1078-X1078*I1078/H1078-Y1078*J1078/H1078</x:f>
        <x:v>-0.2836767036450079</x:v>
      </x:c>
      <x:c r="AA1078" s="8" t="n">
        <x:f>Z1078+X1078*Q1078+Y1078*R1078</x:f>
        <x:v>-0.7614896988906497</x:v>
      </x:c>
    </x:row>
    <x:row r="1079" ht="26" customHeight="1">
      <x:c r="A1079" s="2"/>
      <x:c r="B1079" s="2" t="n">
        <x:v>1074</x:v>
      </x:c>
      <x:c r="C1079" s="2" t="str">
        <x:v>Health Care / organic_volume_growth</x:v>
      </x:c>
      <x:c r="D1079" s="2" t="str">
        <x:v>Broad market</x:v>
      </x:c>
      <x:c r="E1079" s="7" t="n">
        <x:v>46112</x:v>
      </x:c>
      <x:c r="F1079" s="2" t="str">
        <x:v>Prior report</x:v>
      </x:c>
      <x:c r="G1079" s="7" t="n">
        <x:v>46045</x:v>
      </x:c>
      <x:c r="H1079" s="2" t="n">
        <x:v>19</x:v>
      </x:c>
      <x:c r="I1079" s="8" t="n">
        <x:v>57.16093893029881</x:v>
      </x:c>
      <x:c r="J1079" s="8" t="n">
        <x:v>0</x:v>
      </x:c>
      <x:c r="K1079" s="8" t="n">
        <x:v>12</x:v>
      </x:c>
      <x:c r="L1079" s="8" t="n">
        <x:v>418.11784595562375</x:v>
      </x:c>
      <x:c r="M1079" s="8" t="n">
        <x:v>0</x:v>
      </x:c>
      <x:c r="N1079" s="8" t="n">
        <x:v>0</x:v>
      </x:c>
      <x:c r="O1079" s="8" t="n">
        <x:v>236.11221163787766</x:v>
      </x:c>
      <x:c r="P1079" s="8" t="n">
        <x:v>0</x:v>
      </x:c>
      <x:c r="Q1079" s="8" t="n">
        <x:v>2.7279121275772367</x:v>
      </x:c>
      <x:c r="R1079" s="8" t="n">
        <x:v>0</x:v>
      </x:c>
      <x:c r="S1079" s="8" t="n">
        <x:f>L1079-I1079^2/H1079</x:f>
        <x:v>246.1508491454474</x:v>
      </x:c>
      <x:c r="T1079" s="8" t="n">
        <x:f>M1079-J1079^2/H1079</x:f>
        <x:v>0</x:v>
      </x:c>
      <x:c r="U1079" s="8" t="n">
        <x:f>N1079-I1079*J1079/H1079</x:f>
        <x:v>0</x:v>
      </x:c>
      <x:c r="V1079" s="8" t="n">
        <x:f>O1079-I1079*K1079/H1079</x:f>
        <x:v>200.01056599768896</x:v>
      </x:c>
      <x:c r="W1079" s="8" t="n">
        <x:f>P1079-J1079*K1079/H1079</x:f>
        <x:v>0</x:v>
      </x:c>
      <x:c r="X1079" s="8" t="n">
        <x:f>V1079/S1079</x:f>
        <x:v>0.8125528174778112</x:v>
      </x:c>
      <x:c r="Y1079" s="8" t="n">
        <x:f>0</x:f>
        <x:v>0</x:v>
      </x:c>
      <x:c r="Z1079" s="8" t="n">
        <x:f>K1079/H1079-X1079*I1079/H1079-Y1079*J1079/H1079</x:f>
        <x:v>-1.8129622093416529</x:v>
      </x:c>
      <x:c r="AA1079" s="8" t="n">
        <x:f>Z1079+X1079*Q1079+Y1079*R1079</x:f>
        <x:v>0.40361047575312115</x:v>
      </x:c>
    </x:row>
    <x:row r="1080" ht="26" customHeight="1">
      <x:c r="A1080" s="2"/>
      <x:c r="B1080" s="2" t="n">
        <x:v>1075</x:v>
      </x:c>
      <x:c r="C1080" s="2" t="str">
        <x:v>Health Care / organic_volume_growth</x:v>
      </x:c>
      <x:c r="D1080" s="2" t="str">
        <x:v>Broad rolling 8</x:v>
      </x:c>
      <x:c r="E1080" s="7" t="n">
        <x:v>46112</x:v>
      </x:c>
      <x:c r="F1080" s="2" t="str">
        <x:v>Prior report</x:v>
      </x:c>
      <x:c r="G1080" s="7" t="n">
        <x:v>46045</x:v>
      </x:c>
      <x:c r="H1080" s="2" t="n">
        <x:v>8</x:v>
      </x:c>
      <x:c r="I1080" s="8" t="n">
        <x:v>21.296017808086944</x:v>
      </x:c>
      <x:c r="J1080" s="8" t="n">
        <x:v>0</x:v>
      </x:c>
      <x:c r="K1080" s="8" t="n">
        <x:v>-13</x:v>
      </x:c>
      <x:c r="L1080" s="8" t="n">
        <x:v>60.32618233891433</x:v>
      </x:c>
      <x:c r="M1080" s="8" t="n">
        <x:v>0</x:v>
      </x:c>
      <x:c r="N1080" s="8" t="n">
        <x:v>0</x:v>
      </x:c>
      <x:c r="O1080" s="8" t="n">
        <x:v>-30.97199279277305</x:v>
      </x:c>
      <x:c r="P1080" s="8" t="n">
        <x:v>0</x:v>
      </x:c>
      <x:c r="Q1080" s="8" t="n">
        <x:v>2.7279121275772367</x:v>
      </x:c>
      <x:c r="R1080" s="8" t="n">
        <x:v>0</x:v>
      </x:c>
      <x:c r="S1080" s="8" t="n">
        <x:f>L1080-I1080^2/H1080</x:f>
        <x:v>3.6361355286197963</x:v>
      </x:c>
      <x:c r="T1080" s="8" t="n">
        <x:f>M1080-J1080^2/H1080</x:f>
        <x:v>0</x:v>
      </x:c>
      <x:c r="U1080" s="8" t="n">
        <x:f>N1080-I1080*J1080/H1080</x:f>
        <x:v>0</x:v>
      </x:c>
      <x:c r="V1080" s="8" t="n">
        <x:f>O1080-I1080*K1080/H1080</x:f>
        <x:v>3.634036145368235</x:v>
      </x:c>
      <x:c r="W1080" s="8" t="n">
        <x:f>P1080-J1080*K1080/H1080</x:f>
        <x:v>0</x:v>
      </x:c>
      <x:c r="X1080" s="8" t="n">
        <x:f>V1080/S1080</x:f>
        <x:v>0.9994226333878269</x:v>
      </x:c>
      <x:c r="Y1080" s="8" t="n">
        <x:f>0</x:f>
        <x:v>0</x:v>
      </x:c>
      <x:c r="Z1080" s="8" t="n">
        <x:f>K1080/H1080-X1080*I1080/H1080-Y1080*J1080/H1080</x:f>
        <x:v>-4.285465274804039</x:v>
      </x:c>
      <x:c r="AA1080" s="8" t="n">
        <x:f>Z1080+X1080*Q1080+Y1080*R1080</x:f>
        <x:v>-1.5591281526102079</x:v>
      </x:c>
    </x:row>
    <x:row r="1081" ht="26" customHeight="1">
      <x:c r="A1081" s="2"/>
      <x:c r="B1081" s="2" t="n">
        <x:v>1076</x:v>
      </x:c>
      <x:c r="C1081" s="2" t="str">
        <x:v>Health Care / organic_volume_growth</x:v>
      </x:c>
      <x:c r="D1081" s="2" t="str">
        <x:v>Own history</x:v>
      </x:c>
      <x:c r="E1081" s="7" t="n">
        <x:v>46112</x:v>
      </x:c>
      <x:c r="F1081" s="2" t="str">
        <x:v>Prior report</x:v>
      </x:c>
      <x:c r="G1081" s="7" t="n">
        <x:v>46045</x:v>
      </x:c>
      <x:c r="H1081" s="2" t="n">
        <x:v>19</x:v>
      </x:c>
      <x:c r="I1081" s="8" t="n">
        <x:v>12</x:v>
      </x:c>
      <x:c r="J1081" s="8" t="n">
        <x:v>0</x:v>
      </x:c>
      <x:c r="K1081" s="8" t="n">
        <x:v>11</x:v>
      </x:c>
      <x:c r="L1081" s="8" t="n">
        <x:v>320</x:v>
      </x:c>
      <x:c r="M1081" s="8" t="n">
        <x:v>0</x:v>
      </x:c>
      <x:c r="N1081" s="8" t="n">
        <x:v>0</x:v>
      </x:c>
      <x:c r="O1081" s="8" t="n">
        <x:v>86</x:v>
      </x:c>
      <x:c r="P1081" s="8" t="n">
        <x:v>0</x:v>
      </x:c>
      <x:c r="Q1081" s="8" t="n">
        <x:v>-1</x:v>
      </x:c>
      <x:c r="R1081" s="8" t="n">
        <x:v>0</x:v>
      </x:c>
      <x:c r="S1081" s="8" t="n">
        <x:f>L1081-I1081^2/H1081</x:f>
        <x:v>312.42105263157896</x:v>
      </x:c>
      <x:c r="T1081" s="8" t="n">
        <x:f>M1081-J1081^2/H1081</x:f>
        <x:v>0</x:v>
      </x:c>
      <x:c r="U1081" s="8" t="n">
        <x:f>N1081-I1081*J1081/H1081</x:f>
        <x:v>0</x:v>
      </x:c>
      <x:c r="V1081" s="8" t="n">
        <x:f>O1081-I1081*K1081/H1081</x:f>
        <x:v>79.05263157894737</x:v>
      </x:c>
      <x:c r="W1081" s="8" t="n">
        <x:f>P1081-J1081*K1081/H1081</x:f>
        <x:v>0</x:v>
      </x:c>
      <x:c r="X1081" s="8" t="n">
        <x:f>V1081/S1081</x:f>
        <x:v>0.2530323450134771</x:v>
      </x:c>
      <x:c r="Y1081" s="8" t="n">
        <x:f>0</x:f>
        <x:v>0</x:v>
      </x:c>
      <x:c r="Z1081" s="8" t="n">
        <x:f>K1081/H1081-X1081*I1081/H1081-Y1081*J1081/H1081</x:f>
        <x:v>0.41913746630727766</x:v>
      </x:c>
      <x:c r="AA1081" s="8" t="n">
        <x:f>Z1081+X1081*Q1081+Y1081*R1081</x:f>
        <x:v>0.16610512129380056</x:v>
      </x:c>
    </x:row>
    <x:row r="1082" ht="26" customHeight="1">
      <x:c r="A1082" s="2"/>
      <x:c r="B1082" s="2" t="n">
        <x:v>1077</x:v>
      </x:c>
      <x:c r="C1082" s="2" t="str">
        <x:v>Health Care / organic_volume_growth</x:v>
      </x:c>
      <x:c r="D1082" s="2" t="str">
        <x:v>Broad market</x:v>
      </x:c>
      <x:c r="E1082" s="7" t="n">
        <x:v>46112</x:v>
      </x:c>
      <x:c r="F1082" s="2" t="str">
        <x:v>Pre-earnings</x:v>
      </x:c>
      <x:c r="G1082" s="7" t="n">
        <x:v>46135</x:v>
      </x:c>
      <x:c r="H1082" s="2" t="n">
        <x:v>20</x:v>
      </x:c>
      <x:c r="I1082" s="8" t="n">
        <x:v>59.308749815358276</x:v>
      </x:c>
      <x:c r="J1082" s="8" t="n">
        <x:v>0</x:v>
      </x:c>
      <x:c r="K1082" s="8" t="n">
        <x:v>11</x:v>
      </x:c>
      <x:c r="L1082" s="8" t="n">
        <x:v>422.73093755360367</x:v>
      </x:c>
      <x:c r="M1082" s="8" t="n">
        <x:v>0</x:v>
      </x:c>
      <x:c r="N1082" s="8" t="n">
        <x:v>0</x:v>
      </x:c>
      <x:c r="O1082" s="8" t="n">
        <x:v>233.96440075281822</x:v>
      </x:c>
      <x:c r="P1082" s="8" t="n">
        <x:v>0</x:v>
      </x:c>
      <x:c r="Q1082" s="8" t="n">
        <x:v>1.2714440995043708</x:v>
      </x:c>
      <x:c r="R1082" s="8" t="n">
        <x:v>0</x:v>
      </x:c>
      <x:c r="S1082" s="8" t="n">
        <x:f>L1082-I1082^2/H1082</x:f>
        <x:v>246.85454732056564</x:v>
      </x:c>
      <x:c r="T1082" s="8" t="n">
        <x:f>M1082-J1082^2/H1082</x:f>
        <x:v>0</x:v>
      </x:c>
      <x:c r="U1082" s="8" t="n">
        <x:f>N1082-I1082*J1082/H1082</x:f>
        <x:v>0</x:v>
      </x:c>
      <x:c r="V1082" s="8" t="n">
        <x:f>O1082-I1082*K1082/H1082</x:f>
        <x:v>201.34458835437118</x:v>
      </x:c>
      <x:c r="W1082" s="8" t="n">
        <x:f>P1082-J1082*K1082/H1082</x:f>
        <x:v>0</x:v>
      </x:c>
      <x:c r="X1082" s="8" t="n">
        <x:f>V1082/S1082</x:f>
        <x:v>0.8156405889209926</x:v>
      </x:c>
      <x:c r="Y1082" s="8" t="n">
        <x:f>0</x:f>
        <x:v>0</x:v>
      </x:c>
      <x:c r="Z1082" s="8" t="n">
        <x:f>K1082/H1082-X1082*I1082/H1082-Y1082*J1082/H1082</x:f>
        <x:v>-1.8687311813783316</x:v>
      </x:c>
      <x:c r="AA1082" s="8" t="n">
        <x:f>Z1082+X1082*Q1082+Y1082*R1082</x:f>
        <x:v>-0.8316897672784656</x:v>
      </x:c>
    </x:row>
    <x:row r="1083" ht="26" customHeight="1">
      <x:c r="A1083" s="2"/>
      <x:c r="B1083" s="2" t="n">
        <x:v>1078</x:v>
      </x:c>
      <x:c r="C1083" s="2" t="str">
        <x:v>Health Care / organic_volume_growth</x:v>
      </x:c>
      <x:c r="D1083" s="2" t="str">
        <x:v>Broad lag 1</x:v>
      </x:c>
      <x:c r="E1083" s="7" t="n">
        <x:v>46112</x:v>
      </x:c>
      <x:c r="F1083" s="2" t="str">
        <x:v>Pre-earnings</x:v>
      </x:c>
      <x:c r="G1083" s="7" t="n">
        <x:v>46135</x:v>
      </x:c>
      <x:c r="H1083" s="2" t="n">
        <x:v>19</x:v>
      </x:c>
      <x:c r="I1083" s="8" t="n">
        <x:v>57.16093893029881</x:v>
      </x:c>
      <x:c r="J1083" s="8" t="n">
        <x:v>0</x:v>
      </x:c>
      <x:c r="K1083" s="8" t="n">
        <x:v>11</x:v>
      </x:c>
      <x:c r="L1083" s="8" t="n">
        <x:v>418.11784595562375</x:v>
      </x:c>
      <x:c r="M1083" s="8" t="n">
        <x:v>0</x:v>
      </x:c>
      <x:c r="N1083" s="8" t="n">
        <x:v>0</x:v>
      </x:c>
      <x:c r="O1083" s="8" t="n">
        <x:v>178.13585382707825</x:v>
      </x:c>
      <x:c r="P1083" s="8" t="n">
        <x:v>0</x:v>
      </x:c>
      <x:c r="Q1083" s="8" t="n">
        <x:v>2.1478108850594646</x:v>
      </x:c>
      <x:c r="R1083" s="8" t="n">
        <x:v>0</x:v>
      </x:c>
      <x:c r="S1083" s="8" t="n">
        <x:f>L1083-I1083^2/H1083</x:f>
        <x:v>246.1508491454474</x:v>
      </x:c>
      <x:c r="T1083" s="8" t="n">
        <x:f>M1083-J1083^2/H1083</x:f>
        <x:v>0</x:v>
      </x:c>
      <x:c r="U1083" s="8" t="n">
        <x:f>N1083-I1083*J1083/H1083</x:f>
        <x:v>0</x:v>
      </x:c>
      <x:c r="V1083" s="8" t="n">
        <x:f>O1083-I1083*K1083/H1083</x:f>
        <x:v>145.04267865690525</x:v>
      </x:c>
      <x:c r="W1083" s="8" t="n">
        <x:f>P1083-J1083*K1083/H1083</x:f>
        <x:v>0</x:v>
      </x:c>
      <x:c r="X1083" s="8" t="n">
        <x:f>V1083/S1083</x:f>
        <x:v>0.5892430562821311</x:v>
      </x:c>
      <x:c r="Y1083" s="8" t="n">
        <x:f>0</x:f>
        <x:v>0</x:v>
      </x:c>
      <x:c r="Z1083" s="8" t="n">
        <x:f>K1083/H1083-X1083*I1083/H1083-Y1083*J1083/H1083</x:f>
        <x:v>-1.1937729660655538</x:v>
      </x:c>
      <x:c r="AA1083" s="8" t="n">
        <x:f>Z1083+X1083*Q1083+Y1083*R1083</x:f>
        <x:v>0.07180968416291411</x:v>
      </x:c>
    </x:row>
    <x:row r="1084" ht="26" customHeight="1">
      <x:c r="A1084" s="2"/>
      <x:c r="B1084" s="2" t="n">
        <x:v>1079</x:v>
      </x:c>
      <x:c r="C1084" s="2" t="str">
        <x:v>Health Care / organic_volume_growth</x:v>
      </x:c>
      <x:c r="D1084" s="2" t="str">
        <x:v>Broad rolling 8</x:v>
      </x:c>
      <x:c r="E1084" s="7" t="n">
        <x:v>46112</x:v>
      </x:c>
      <x:c r="F1084" s="2" t="str">
        <x:v>Pre-earnings</x:v>
      </x:c>
      <x:c r="G1084" s="7" t="n">
        <x:v>46135</x:v>
      </x:c>
      <x:c r="H1084" s="2" t="n">
        <x:v>8</x:v>
      </x:c>
      <x:c r="I1084" s="8" t="n">
        <x:v>21.218309405312574</x:v>
      </x:c>
      <x:c r="J1084" s="8" t="n">
        <x:v>0</x:v>
      </x:c>
      <x:c r="K1084" s="8" t="n">
        <x:v>-10</x:v>
      </x:c>
      <x:c r="L1084" s="8" t="n">
        <x:v>59.98633783637384</x:v>
      </x:c>
      <x:c r="M1084" s="8" t="n">
        <x:v>0</x:v>
      </x:c>
      <x:c r="N1084" s="8" t="n">
        <x:v>0</x:v>
      </x:c>
      <x:c r="O1084" s="8" t="n">
        <x:v>-24.217726526497184</x:v>
      </x:c>
      <x:c r="P1084" s="8" t="n">
        <x:v>0</x:v>
      </x:c>
      <x:c r="Q1084" s="8" t="n">
        <x:v>1.2714440995043708</x:v>
      </x:c>
      <x:c r="R1084" s="8" t="n">
        <x:v>0</x:v>
      </x:c>
      <x:c r="S1084" s="8" t="n">
        <x:f>L1084-I1084^2/H1084</x:f>
        <x:v>3.7092560839268387</x:v>
      </x:c>
      <x:c r="T1084" s="8" t="n">
        <x:f>M1084-J1084^2/H1084</x:f>
        <x:v>0</x:v>
      </x:c>
      <x:c r="U1084" s="8" t="n">
        <x:f>N1084-I1084*J1084/H1084</x:f>
        <x:v>0</x:v>
      </x:c>
      <x:c r="V1084" s="8" t="n">
        <x:f>O1084-I1084*K1084/H1084</x:f>
        <x:v>2.3051602301435317</x:v>
      </x:c>
      <x:c r="W1084" s="8" t="n">
        <x:f>P1084-J1084*K1084/H1084</x:f>
        <x:v>0</x:v>
      </x:c>
      <x:c r="X1084" s="8" t="n">
        <x:f>V1084/S1084</x:f>
        <x:v>0.6214616025386827</x:v>
      </x:c>
      <x:c r="Y1084" s="8" t="n">
        <x:f>0</x:f>
        <x:v>0</x:v>
      </x:c>
      <x:c r="Z1084" s="8" t="n">
        <x:f>K1084/H1084-X1084*I1084/H1084-Y1084*J1084/H1084</x:f>
        <x:v>-2.8982955707733944</x:v>
      </x:c>
      <x:c r="AA1084" s="8" t="n">
        <x:f>Z1084+X1084*Q1084+Y1084*R1084</x:f>
        <x:v>-2.1081418831570558</x:v>
      </x:c>
    </x:row>
    <x:row r="1085" ht="26" customHeight="1">
      <x:c r="A1085" s="2"/>
      <x:c r="B1085" s="2" t="n">
        <x:v>1080</x:v>
      </x:c>
      <x:c r="C1085" s="2" t="str">
        <x:v>Health Care / organic_volume_growth</x:v>
      </x:c>
      <x:c r="D1085" s="2" t="str">
        <x:v>Own history</x:v>
      </x:c>
      <x:c r="E1085" s="7" t="n">
        <x:v>46112</x:v>
      </x:c>
      <x:c r="F1085" s="2" t="str">
        <x:v>Pre-earnings</x:v>
      </x:c>
      <x:c r="G1085" s="7" t="n">
        <x:v>46135</x:v>
      </x:c>
      <x:c r="H1085" s="2" t="n">
        <x:v>19</x:v>
      </x:c>
      <x:c r="I1085" s="8" t="n">
        <x:v>12</x:v>
      </x:c>
      <x:c r="J1085" s="8" t="n">
        <x:v>0</x:v>
      </x:c>
      <x:c r="K1085" s="8" t="n">
        <x:v>11</x:v>
      </x:c>
      <x:c r="L1085" s="8" t="n">
        <x:v>320</x:v>
      </x:c>
      <x:c r="M1085" s="8" t="n">
        <x:v>0</x:v>
      </x:c>
      <x:c r="N1085" s="8" t="n">
        <x:v>0</x:v>
      </x:c>
      <x:c r="O1085" s="8" t="n">
        <x:v>86</x:v>
      </x:c>
      <x:c r="P1085" s="8" t="n">
        <x:v>0</x:v>
      </x:c>
      <x:c r="Q1085" s="8" t="n">
        <x:v>-1</x:v>
      </x:c>
      <x:c r="R1085" s="8" t="n">
        <x:v>0</x:v>
      </x:c>
      <x:c r="S1085" s="8" t="n">
        <x:f>L1085-I1085^2/H1085</x:f>
        <x:v>312.42105263157896</x:v>
      </x:c>
      <x:c r="T1085" s="8" t="n">
        <x:f>M1085-J1085^2/H1085</x:f>
        <x:v>0</x:v>
      </x:c>
      <x:c r="U1085" s="8" t="n">
        <x:f>N1085-I1085*J1085/H1085</x:f>
        <x:v>0</x:v>
      </x:c>
      <x:c r="V1085" s="8" t="n">
        <x:f>O1085-I1085*K1085/H1085</x:f>
        <x:v>79.05263157894737</x:v>
      </x:c>
      <x:c r="W1085" s="8" t="n">
        <x:f>P1085-J1085*K1085/H1085</x:f>
        <x:v>0</x:v>
      </x:c>
      <x:c r="X1085" s="8" t="n">
        <x:f>V1085/S1085</x:f>
        <x:v>0.2530323450134771</x:v>
      </x:c>
      <x:c r="Y1085" s="8" t="n">
        <x:f>0</x:f>
        <x:v>0</x:v>
      </x:c>
      <x:c r="Z1085" s="8" t="n">
        <x:f>K1085/H1085-X1085*I1085/H1085-Y1085*J1085/H1085</x:f>
        <x:v>0.41913746630727766</x:v>
      </x:c>
      <x:c r="AA1085" s="8" t="n">
        <x:f>Z1085+X1085*Q1085+Y1085*R1085</x:f>
        <x:v>0.16610512129380056</x:v>
      </x:c>
    </x:row>
    <x:row r="1086" ht="26" customHeight="1">
      <x:c r="A1086" s="2"/>
      <x:c r="B1086" s="2" t="n">
        <x:v>1081</x:v>
      </x:c>
      <x:c r="C1086" s="2" t="str">
        <x:v>Fabric &amp; Home Care / organic_volume_growth</x:v>
      </x:c>
      <x:c r="D1086" s="2" t="str">
        <x:v>Broad market</x:v>
      </x:c>
      <x:c r="E1086" s="7" t="n">
        <x:v>45107</x:v>
      </x:c>
      <x:c r="F1086" s="2" t="str">
        <x:v>Origin</x:v>
      </x:c>
      <x:c r="G1086" s="7" t="n">
        <x:v>45017</x:v>
      </x:c>
      <x:c r="H1086" s="2" t="n">
        <x:v>8</x:v>
      </x:c>
      <x:c r="I1086" s="8" t="n">
        <x:v>33.595293052267536</x:v>
      </x:c>
      <x:c r="J1086" s="8" t="n">
        <x:v>0</x:v>
      </x:c>
      <x:c r="K1086" s="8" t="n">
        <x:v>6</x:v>
      </x:c>
      <x:c r="L1086" s="8" t="n">
        <x:v>371.0200922353941</x:v>
      </x:c>
      <x:c r="M1086" s="8" t="n">
        <x:v>0</x:v>
      </x:c>
      <x:c r="N1086" s="8" t="n">
        <x:v>0</x:v>
      </x:c>
      <x:c r="O1086" s="8" t="n">
        <x:v>129.57687541619907</x:v>
      </x:c>
      <x:c r="P1086" s="8" t="n">
        <x:v>0</x:v>
      </x:c>
      <x:c r="Q1086" s="8" t="n">
        <x:v>-0.2875938616046847</x:v>
      </x:c>
      <x:c r="R1086" s="8" t="n">
        <x:v>0</x:v>
      </x:c>
      <x:c r="S1086" s="8" t="n">
        <x:f>L1086-I1086^2/H1086</x:f>
        <x:v>229.93962782692716</x:v>
      </x:c>
      <x:c r="T1086" s="8" t="n">
        <x:f>M1086-J1086^2/H1086</x:f>
        <x:v>0</x:v>
      </x:c>
      <x:c r="U1086" s="8" t="n">
        <x:f>N1086-I1086*J1086/H1086</x:f>
        <x:v>0</x:v>
      </x:c>
      <x:c r="V1086" s="8" t="n">
        <x:f>O1086-I1086*K1086/H1086</x:f>
        <x:v>104.38040562699842</x:v>
      </x:c>
      <x:c r="W1086" s="8" t="n">
        <x:f>P1086-J1086*K1086/H1086</x:f>
        <x:v>0</x:v>
      </x:c>
      <x:c r="X1086" s="8" t="n">
        <x:f>V1086/S1086</x:f>
        <x:v>0.4539470060618012</x:v>
      </x:c>
      <x:c r="Y1086" s="8" t="n">
        <x:f>0</x:f>
        <x:v>0</x:v>
      </x:c>
      <x:c r="Z1086" s="8" t="n">
        <x:f>K1086/H1086-X1086*I1086/H1086-Y1086*J1086/H1086</x:f>
        <x:v>-1.15631033735571</x:v>
      </x:c>
      <x:c r="AA1086" s="8" t="n">
        <x:f>Z1086+X1086*Q1086+Y1086*R1086</x:f>
        <x:v>-1.2868627097929086</x:v>
      </x:c>
    </x:row>
    <x:row r="1087" ht="26" customHeight="1">
      <x:c r="A1087" s="2"/>
      <x:c r="B1087" s="2" t="n">
        <x:v>1082</x:v>
      </x:c>
      <x:c r="C1087" s="2" t="str">
        <x:v>Fabric &amp; Home Care / organic_volume_growth</x:v>
      </x:c>
      <x:c r="D1087" s="2" t="str">
        <x:v>Broad rolling 8</x:v>
      </x:c>
      <x:c r="E1087" s="7" t="n">
        <x:v>45107</x:v>
      </x:c>
      <x:c r="F1087" s="2" t="str">
        <x:v>Origin</x:v>
      </x:c>
      <x:c r="G1087" s="7" t="n">
        <x:v>45017</x:v>
      </x:c>
      <x:c r="H1087" s="2" t="n">
        <x:v>8</x:v>
      </x:c>
      <x:c r="I1087" s="8" t="n">
        <x:v>33.595293052267536</x:v>
      </x:c>
      <x:c r="J1087" s="8" t="n">
        <x:v>0</x:v>
      </x:c>
      <x:c r="K1087" s="8" t="n">
        <x:v>6</x:v>
      </x:c>
      <x:c r="L1087" s="8" t="n">
        <x:v>371.0200922353941</x:v>
      </x:c>
      <x:c r="M1087" s="8" t="n">
        <x:v>0</x:v>
      </x:c>
      <x:c r="N1087" s="8" t="n">
        <x:v>0</x:v>
      </x:c>
      <x:c r="O1087" s="8" t="n">
        <x:v>129.57687541619907</x:v>
      </x:c>
      <x:c r="P1087" s="8" t="n">
        <x:v>0</x:v>
      </x:c>
      <x:c r="Q1087" s="8" t="n">
        <x:v>-0.2875938616046847</x:v>
      </x:c>
      <x:c r="R1087" s="8" t="n">
        <x:v>0</x:v>
      </x:c>
      <x:c r="S1087" s="8" t="n">
        <x:f>L1087-I1087^2/H1087</x:f>
        <x:v>229.93962782692716</x:v>
      </x:c>
      <x:c r="T1087" s="8" t="n">
        <x:f>M1087-J1087^2/H1087</x:f>
        <x:v>0</x:v>
      </x:c>
      <x:c r="U1087" s="8" t="n">
        <x:f>N1087-I1087*J1087/H1087</x:f>
        <x:v>0</x:v>
      </x:c>
      <x:c r="V1087" s="8" t="n">
        <x:f>O1087-I1087*K1087/H1087</x:f>
        <x:v>104.38040562699842</x:v>
      </x:c>
      <x:c r="W1087" s="8" t="n">
        <x:f>P1087-J1087*K1087/H1087</x:f>
        <x:v>0</x:v>
      </x:c>
      <x:c r="X1087" s="8" t="n">
        <x:f>V1087/S1087</x:f>
        <x:v>0.4539470060618012</x:v>
      </x:c>
      <x:c r="Y1087" s="8" t="n">
        <x:f>0</x:f>
        <x:v>0</x:v>
      </x:c>
      <x:c r="Z1087" s="8" t="n">
        <x:f>K1087/H1087-X1087*I1087/H1087-Y1087*J1087/H1087</x:f>
        <x:v>-1.15631033735571</x:v>
      </x:c>
      <x:c r="AA1087" s="8" t="n">
        <x:f>Z1087+X1087*Q1087+Y1087*R1087</x:f>
        <x:v>-1.2868627097929086</x:v>
      </x:c>
    </x:row>
    <x:row r="1088" ht="26" customHeight="1">
      <x:c r="A1088" s="2"/>
      <x:c r="B1088" s="2" t="n">
        <x:v>1083</x:v>
      </x:c>
      <x:c r="C1088" s="2" t="str">
        <x:v>Fabric &amp; Home Care / organic_volume_growth</x:v>
      </x:c>
      <x:c r="D1088" s="2" t="str">
        <x:v>Broad market</x:v>
      </x:c>
      <x:c r="E1088" s="7" t="n">
        <x:v>45107</x:v>
      </x:c>
      <x:c r="F1088" s="2" t="str">
        <x:v>Prior report</x:v>
      </x:c>
      <x:c r="G1088" s="7" t="n">
        <x:v>45037</x:v>
      </x:c>
      <x:c r="H1088" s="2" t="n">
        <x:v>8</x:v>
      </x:c>
      <x:c r="I1088" s="8" t="n">
        <x:v>33.595293052267536</x:v>
      </x:c>
      <x:c r="J1088" s="8" t="n">
        <x:v>0</x:v>
      </x:c>
      <x:c r="K1088" s="8" t="n">
        <x:v>6</x:v>
      </x:c>
      <x:c r="L1088" s="8" t="n">
        <x:v>371.0200922353941</x:v>
      </x:c>
      <x:c r="M1088" s="8" t="n">
        <x:v>0</x:v>
      </x:c>
      <x:c r="N1088" s="8" t="n">
        <x:v>0</x:v>
      </x:c>
      <x:c r="O1088" s="8" t="n">
        <x:v>129.57687541619907</x:v>
      </x:c>
      <x:c r="P1088" s="8" t="n">
        <x:v>0</x:v>
      </x:c>
      <x:c r="Q1088" s="8" t="n">
        <x:v>-0.2875938616046847</x:v>
      </x:c>
      <x:c r="R1088" s="8" t="n">
        <x:v>0</x:v>
      </x:c>
      <x:c r="S1088" s="8" t="n">
        <x:f>L1088-I1088^2/H1088</x:f>
        <x:v>229.93962782692716</x:v>
      </x:c>
      <x:c r="T1088" s="8" t="n">
        <x:f>M1088-J1088^2/H1088</x:f>
        <x:v>0</x:v>
      </x:c>
      <x:c r="U1088" s="8" t="n">
        <x:f>N1088-I1088*J1088/H1088</x:f>
        <x:v>0</x:v>
      </x:c>
      <x:c r="V1088" s="8" t="n">
        <x:f>O1088-I1088*K1088/H1088</x:f>
        <x:v>104.38040562699842</x:v>
      </x:c>
      <x:c r="W1088" s="8" t="n">
        <x:f>P1088-J1088*K1088/H1088</x:f>
        <x:v>0</x:v>
      </x:c>
      <x:c r="X1088" s="8" t="n">
        <x:f>V1088/S1088</x:f>
        <x:v>0.4539470060618012</x:v>
      </x:c>
      <x:c r="Y1088" s="8" t="n">
        <x:f>0</x:f>
        <x:v>0</x:v>
      </x:c>
      <x:c r="Z1088" s="8" t="n">
        <x:f>K1088/H1088-X1088*I1088/H1088-Y1088*J1088/H1088</x:f>
        <x:v>-1.15631033735571</x:v>
      </x:c>
      <x:c r="AA1088" s="8" t="n">
        <x:f>Z1088+X1088*Q1088+Y1088*R1088</x:f>
        <x:v>-1.2868627097929086</x:v>
      </x:c>
    </x:row>
    <x:row r="1089" ht="26" customHeight="1">
      <x:c r="A1089" s="2"/>
      <x:c r="B1089" s="2" t="n">
        <x:v>1084</x:v>
      </x:c>
      <x:c r="C1089" s="2" t="str">
        <x:v>Fabric &amp; Home Care / organic_volume_growth</x:v>
      </x:c>
      <x:c r="D1089" s="2" t="str">
        <x:v>Broad rolling 8</x:v>
      </x:c>
      <x:c r="E1089" s="7" t="n">
        <x:v>45107</x:v>
      </x:c>
      <x:c r="F1089" s="2" t="str">
        <x:v>Prior report</x:v>
      </x:c>
      <x:c r="G1089" s="7" t="n">
        <x:v>45037</x:v>
      </x:c>
      <x:c r="H1089" s="2" t="n">
        <x:v>8</x:v>
      </x:c>
      <x:c r="I1089" s="8" t="n">
        <x:v>33.595293052267536</x:v>
      </x:c>
      <x:c r="J1089" s="8" t="n">
        <x:v>0</x:v>
      </x:c>
      <x:c r="K1089" s="8" t="n">
        <x:v>6</x:v>
      </x:c>
      <x:c r="L1089" s="8" t="n">
        <x:v>371.0200922353941</x:v>
      </x:c>
      <x:c r="M1089" s="8" t="n">
        <x:v>0</x:v>
      </x:c>
      <x:c r="N1089" s="8" t="n">
        <x:v>0</x:v>
      </x:c>
      <x:c r="O1089" s="8" t="n">
        <x:v>129.57687541619907</x:v>
      </x:c>
      <x:c r="P1089" s="8" t="n">
        <x:v>0</x:v>
      </x:c>
      <x:c r="Q1089" s="8" t="n">
        <x:v>-0.2875938616046847</x:v>
      </x:c>
      <x:c r="R1089" s="8" t="n">
        <x:v>0</x:v>
      </x:c>
      <x:c r="S1089" s="8" t="n">
        <x:f>L1089-I1089^2/H1089</x:f>
        <x:v>229.93962782692716</x:v>
      </x:c>
      <x:c r="T1089" s="8" t="n">
        <x:f>M1089-J1089^2/H1089</x:f>
        <x:v>0</x:v>
      </x:c>
      <x:c r="U1089" s="8" t="n">
        <x:f>N1089-I1089*J1089/H1089</x:f>
        <x:v>0</x:v>
      </x:c>
      <x:c r="V1089" s="8" t="n">
        <x:f>O1089-I1089*K1089/H1089</x:f>
        <x:v>104.38040562699842</x:v>
      </x:c>
      <x:c r="W1089" s="8" t="n">
        <x:f>P1089-J1089*K1089/H1089</x:f>
        <x:v>0</x:v>
      </x:c>
      <x:c r="X1089" s="8" t="n">
        <x:f>V1089/S1089</x:f>
        <x:v>0.4539470060618012</x:v>
      </x:c>
      <x:c r="Y1089" s="8" t="n">
        <x:f>0</x:f>
        <x:v>0</x:v>
      </x:c>
      <x:c r="Z1089" s="8" t="n">
        <x:f>K1089/H1089-X1089*I1089/H1089-Y1089*J1089/H1089</x:f>
        <x:v>-1.15631033735571</x:v>
      </x:c>
      <x:c r="AA1089" s="8" t="n">
        <x:f>Z1089+X1089*Q1089+Y1089*R1089</x:f>
        <x:v>-1.2868627097929086</x:v>
      </x:c>
    </x:row>
    <x:row r="1090" ht="26" customHeight="1">
      <x:c r="A1090" s="2"/>
      <x:c r="B1090" s="2" t="n">
        <x:v>1085</x:v>
      </x:c>
      <x:c r="C1090" s="2" t="str">
        <x:v>Fabric &amp; Home Care / organic_volume_growth</x:v>
      </x:c>
      <x:c r="D1090" s="2" t="str">
        <x:v>Own history</x:v>
      </x:c>
      <x:c r="E1090" s="7" t="n">
        <x:v>45107</x:v>
      </x:c>
      <x:c r="F1090" s="2" t="str">
        <x:v>Prior report</x:v>
      </x:c>
      <x:c r="G1090" s="7" t="n">
        <x:v>45037</x:v>
      </x:c>
      <x:c r="H1090" s="2" t="n">
        <x:v>8</x:v>
      </x:c>
      <x:c r="I1090" s="8" t="n">
        <x:v>6</x:v>
      </x:c>
      <x:c r="J1090" s="8" t="n">
        <x:v>0</x:v>
      </x:c>
      <x:c r="K1090" s="8" t="n">
        <x:v>-2</x:v>
      </x:c>
      <x:c r="L1090" s="8" t="n">
        <x:v>154</x:v>
      </x:c>
      <x:c r="M1090" s="8" t="n">
        <x:v>0</x:v>
      </x:c>
      <x:c r="N1090" s="8" t="n">
        <x:v>0</x:v>
      </x:c>
      <x:c r="O1090" s="8" t="n">
        <x:v>116</x:v>
      </x:c>
      <x:c r="P1090" s="8" t="n">
        <x:v>0</x:v>
      </x:c>
      <x:c r="Q1090" s="8" t="n">
        <x:v>-5</x:v>
      </x:c>
      <x:c r="R1090" s="8" t="n">
        <x:v>0</x:v>
      </x:c>
      <x:c r="S1090" s="8" t="n">
        <x:f>L1090-I1090^2/H1090</x:f>
        <x:v>149.5</x:v>
      </x:c>
      <x:c r="T1090" s="8" t="n">
        <x:f>M1090-J1090^2/H1090</x:f>
        <x:v>0</x:v>
      </x:c>
      <x:c r="U1090" s="8" t="n">
        <x:f>N1090-I1090*J1090/H1090</x:f>
        <x:v>0</x:v>
      </x:c>
      <x:c r="V1090" s="8" t="n">
        <x:f>O1090-I1090*K1090/H1090</x:f>
        <x:v>117.5</x:v>
      </x:c>
      <x:c r="W1090" s="8" t="n">
        <x:f>P1090-J1090*K1090/H1090</x:f>
        <x:v>0</x:v>
      </x:c>
      <x:c r="X1090" s="8" t="n">
        <x:f>V1090/S1090</x:f>
        <x:v>0.7859531772575251</x:v>
      </x:c>
      <x:c r="Y1090" s="8" t="n">
        <x:f>0</x:f>
        <x:v>0</x:v>
      </x:c>
      <x:c r="Z1090" s="8" t="n">
        <x:f>K1090/H1090-X1090*I1090/H1090-Y1090*J1090/H1090</x:f>
        <x:v>-0.8394648829431438</x:v>
      </x:c>
      <x:c r="AA1090" s="8" t="n">
        <x:f>Z1090+X1090*Q1090+Y1090*R1090</x:f>
        <x:v>-4.769230769230769</x:v>
      </x:c>
    </x:row>
    <x:row r="1091" ht="26" customHeight="1">
      <x:c r="A1091" s="2"/>
      <x:c r="B1091" s="2" t="n">
        <x:v>1086</x:v>
      </x:c>
      <x:c r="C1091" s="2" t="str">
        <x:v>Fabric &amp; Home Care / organic_volume_growth</x:v>
      </x:c>
      <x:c r="D1091" s="2" t="str">
        <x:v>Broad market</x:v>
      </x:c>
      <x:c r="E1091" s="7" t="n">
        <x:v>45107</x:v>
      </x:c>
      <x:c r="F1091" s="2" t="str">
        <x:v>Pre-earnings</x:v>
      </x:c>
      <x:c r="G1091" s="7" t="n">
        <x:v>45134</x:v>
      </x:c>
      <x:c r="H1091" s="2" t="n">
        <x:v>9</x:v>
      </x:c>
      <x:c r="I1091" s="8" t="n">
        <x:v>33.22338231084547</x:v>
      </x:c>
      <x:c r="J1091" s="8" t="n">
        <x:v>0</x:v>
      </x:c>
      <x:c r="K1091" s="8" t="n">
        <x:v>1</x:v>
      </x:c>
      <x:c r="L1091" s="8" t="n">
        <x:v>371.1584098349792</x:v>
      </x:c>
      <x:c r="M1091" s="8" t="n">
        <x:v>0</x:v>
      </x:c>
      <x:c r="N1091" s="8" t="n">
        <x:v>0</x:v>
      </x:c>
      <x:c r="O1091" s="8" t="n">
        <x:v>131.4364291233094</x:v>
      </x:c>
      <x:c r="P1091" s="8" t="n">
        <x:v>0</x:v>
      </x:c>
      <x:c r="Q1091" s="8" t="n">
        <x:v>0.3338622398349367</x:v>
      </x:c>
      <x:c r="R1091" s="8" t="n">
        <x:v>0</x:v>
      </x:c>
      <x:c r="S1091" s="8" t="n">
        <x:f>L1091-I1091^2/H1091</x:f>
        <x:v>248.5147284824681</x:v>
      </x:c>
      <x:c r="T1091" s="8" t="n">
        <x:f>M1091-J1091^2/H1091</x:f>
        <x:v>0</x:v>
      </x:c>
      <x:c r="U1091" s="8" t="n">
        <x:f>N1091-I1091*J1091/H1091</x:f>
        <x:v>0</x:v>
      </x:c>
      <x:c r="V1091" s="8" t="n">
        <x:f>O1091-I1091*K1091/H1091</x:f>
        <x:v>127.74494219988213</x:v>
      </x:c>
      <x:c r="W1091" s="8" t="n">
        <x:f>P1091-J1091*K1091/H1091</x:f>
        <x:v>0</x:v>
      </x:c>
      <x:c r="X1091" s="8" t="n">
        <x:f>V1091/S1091</x:f>
        <x:v>0.5140336871779981</x:v>
      </x:c>
      <x:c r="Y1091" s="8" t="n">
        <x:f>0</x:f>
        <x:v>0</x:v>
      </x:c>
      <x:c r="Z1091" s="8" t="n">
        <x:f>K1091/H1091-X1091*I1091/H1091-Y1091*J1091/H1091</x:f>
        <x:v>-1.7864375233075753</x:v>
      </x:c>
      <x:c r="AA1091" s="8" t="n">
        <x:f>Z1091+X1091*Q1091+Y1091*R1091</x:f>
        <x:v>-1.6148210851557177</x:v>
      </x:c>
    </x:row>
    <x:row r="1092" ht="26" customHeight="1">
      <x:c r="A1092" s="2"/>
      <x:c r="B1092" s="2" t="n">
        <x:v>1087</x:v>
      </x:c>
      <x:c r="C1092" s="2" t="str">
        <x:v>Fabric &amp; Home Care / organic_volume_growth</x:v>
      </x:c>
      <x:c r="D1092" s="2" t="str">
        <x:v>Broad lag 1</x:v>
      </x:c>
      <x:c r="E1092" s="7" t="n">
        <x:v>45107</x:v>
      </x:c>
      <x:c r="F1092" s="2" t="str">
        <x:v>Pre-earnings</x:v>
      </x:c>
      <x:c r="G1092" s="7" t="n">
        <x:v>45134</x:v>
      </x:c>
      <x:c r="H1092" s="2" t="n">
        <x:v>8</x:v>
      </x:c>
      <x:c r="I1092" s="8" t="n">
        <x:v>33.595293052267536</x:v>
      </x:c>
      <x:c r="J1092" s="8" t="n">
        <x:v>0</x:v>
      </x:c>
      <x:c r="K1092" s="8" t="n">
        <x:v>-2</x:v>
      </x:c>
      <x:c r="L1092" s="8" t="n">
        <x:v>371.0200922353941</x:v>
      </x:c>
      <x:c r="M1092" s="8" t="n">
        <x:v>0</x:v>
      </x:c>
      <x:c r="N1092" s="8" t="n">
        <x:v>0</x:v>
      </x:c>
      <x:c r="O1092" s="8" t="n">
        <x:v>142.2442853847256</x:v>
      </x:c>
      <x:c r="P1092" s="8" t="n">
        <x:v>0</x:v>
      </x:c>
      <x:c r="Q1092" s="8" t="n">
        <x:v>-0.3719107414220657</x:v>
      </x:c>
      <x:c r="R1092" s="8" t="n">
        <x:v>0</x:v>
      </x:c>
      <x:c r="S1092" s="8" t="n">
        <x:f>L1092-I1092^2/H1092</x:f>
        <x:v>229.93962782692716</x:v>
      </x:c>
      <x:c r="T1092" s="8" t="n">
        <x:f>M1092-J1092^2/H1092</x:f>
        <x:v>0</x:v>
      </x:c>
      <x:c r="U1092" s="8" t="n">
        <x:f>N1092-I1092*J1092/H1092</x:f>
        <x:v>0</x:v>
      </x:c>
      <x:c r="V1092" s="8" t="n">
        <x:f>O1092-I1092*K1092/H1092</x:f>
        <x:v>150.64310864779247</x:v>
      </x:c>
      <x:c r="W1092" s="8" t="n">
        <x:f>P1092-J1092*K1092/H1092</x:f>
        <x:v>0</x:v>
      </x:c>
      <x:c r="X1092" s="8" t="n">
        <x:f>V1092/S1092</x:f>
        <x:v>0.6551420043228902</x:v>
      </x:c>
      <x:c r="Y1092" s="8" t="n">
        <x:f>0</x:f>
        <x:v>0</x:v>
      </x:c>
      <x:c r="Z1092" s="8" t="n">
        <x:f>K1092/H1092-X1092*I1092/H1092-Y1092*J1092/H1092</x:f>
        <x:v>-3.0012109532596773</x:v>
      </x:c>
      <x:c r="AA1092" s="8" t="n">
        <x:f>Z1092+X1092*Q1092+Y1092*R1092</x:f>
        <x:v>-3.2448653018241416</x:v>
      </x:c>
    </x:row>
    <x:row r="1093" ht="26" customHeight="1">
      <x:c r="A1093" s="2"/>
      <x:c r="B1093" s="2" t="n">
        <x:v>1088</x:v>
      </x:c>
      <x:c r="C1093" s="2" t="str">
        <x:v>Fabric &amp; Home Care / organic_volume_growth</x:v>
      </x:c>
      <x:c r="D1093" s="2" t="str">
        <x:v>Broad rolling 8</x:v>
      </x:c>
      <x:c r="E1093" s="7" t="n">
        <x:v>45107</x:v>
      </x:c>
      <x:c r="F1093" s="2" t="str">
        <x:v>Pre-earnings</x:v>
      </x:c>
      <x:c r="G1093" s="7" t="n">
        <x:v>45134</x:v>
      </x:c>
      <x:c r="H1093" s="2" t="n">
        <x:v>8</x:v>
      </x:c>
      <x:c r="I1093" s="8" t="n">
        <x:v>26.590628997743714</x:v>
      </x:c>
      <x:c r="J1093" s="8" t="n">
        <x:v>0</x:v>
      </x:c>
      <x:c r="K1093" s="8" t="n">
        <x:v>-2</x:v>
      </x:c>
      <x:c r="L1093" s="8" t="n">
        <x:v>327.16499332251686</x:v>
      </x:c>
      <x:c r="M1093" s="8" t="n">
        <x:v>0</x:v>
      </x:c>
      <x:c r="N1093" s="8" t="n">
        <x:v>0</x:v>
      </x:c>
      <x:c r="O1093" s="8" t="n">
        <x:v>111.53816918400413</x:v>
      </x:c>
      <x:c r="P1093" s="8" t="n">
        <x:v>0</x:v>
      </x:c>
      <x:c r="Q1093" s="8" t="n">
        <x:v>0.3338622398349367</x:v>
      </x:c>
      <x:c r="R1093" s="8" t="n">
        <x:v>0</x:v>
      </x:c>
      <x:c r="S1093" s="8" t="n">
        <x:f>L1093-I1093^2/H1093</x:f>
        <x:v>238.78229951056076</x:v>
      </x:c>
      <x:c r="T1093" s="8" t="n">
        <x:f>M1093-J1093^2/H1093</x:f>
        <x:v>0</x:v>
      </x:c>
      <x:c r="U1093" s="8" t="n">
        <x:f>N1093-I1093*J1093/H1093</x:f>
        <x:v>0</x:v>
      </x:c>
      <x:c r="V1093" s="8" t="n">
        <x:f>O1093-I1093*K1093/H1093</x:f>
        <x:v>118.18582643344006</x:v>
      </x:c>
      <x:c r="W1093" s="8" t="n">
        <x:f>P1093-J1093*K1093/H1093</x:f>
        <x:v>0</x:v>
      </x:c>
      <x:c r="X1093" s="8" t="n">
        <x:f>V1093/S1093</x:f>
        <x:v>0.4949522082486394</x:v>
      </x:c>
      <x:c r="Y1093" s="8" t="n">
        <x:f>0</x:f>
        <x:v>0</x:v>
      </x:c>
      <x:c r="Z1093" s="8" t="n">
        <x:f>K1093/H1093-X1093*I1093/H1093-Y1093*J1093/H1093</x:f>
        <x:v>-1.8951363176441944</x:v>
      </x:c>
      <x:c r="AA1093" s="8" t="n">
        <x:f>Z1093+X1093*Q1093+Y1093*R1093</x:f>
        <x:v>-1.7298904647870557</x:v>
      </x:c>
    </x:row>
    <x:row r="1094" ht="26" customHeight="1">
      <x:c r="A1094" s="2"/>
      <x:c r="B1094" s="2" t="n">
        <x:v>1089</x:v>
      </x:c>
      <x:c r="C1094" s="2" t="str">
        <x:v>Fabric &amp; Home Care / organic_volume_growth</x:v>
      </x:c>
      <x:c r="D1094" s="2" t="str">
        <x:v>Own history</x:v>
      </x:c>
      <x:c r="E1094" s="7" t="n">
        <x:v>45107</x:v>
      </x:c>
      <x:c r="F1094" s="2" t="str">
        <x:v>Pre-earnings</x:v>
      </x:c>
      <x:c r="G1094" s="7" t="n">
        <x:v>45134</x:v>
      </x:c>
      <x:c r="H1094" s="2" t="n">
        <x:v>8</x:v>
      </x:c>
      <x:c r="I1094" s="8" t="n">
        <x:v>6</x:v>
      </x:c>
      <x:c r="J1094" s="8" t="n">
        <x:v>0</x:v>
      </x:c>
      <x:c r="K1094" s="8" t="n">
        <x:v>-2</x:v>
      </x:c>
      <x:c r="L1094" s="8" t="n">
        <x:v>154</x:v>
      </x:c>
      <x:c r="M1094" s="8" t="n">
        <x:v>0</x:v>
      </x:c>
      <x:c r="N1094" s="8" t="n">
        <x:v>0</x:v>
      </x:c>
      <x:c r="O1094" s="8" t="n">
        <x:v>116</x:v>
      </x:c>
      <x:c r="P1094" s="8" t="n">
        <x:v>0</x:v>
      </x:c>
      <x:c r="Q1094" s="8" t="n">
        <x:v>-5</x:v>
      </x:c>
      <x:c r="R1094" s="8" t="n">
        <x:v>0</x:v>
      </x:c>
      <x:c r="S1094" s="8" t="n">
        <x:f>L1094-I1094^2/H1094</x:f>
        <x:v>149.5</x:v>
      </x:c>
      <x:c r="T1094" s="8" t="n">
        <x:f>M1094-J1094^2/H1094</x:f>
        <x:v>0</x:v>
      </x:c>
      <x:c r="U1094" s="8" t="n">
        <x:f>N1094-I1094*J1094/H1094</x:f>
        <x:v>0</x:v>
      </x:c>
      <x:c r="V1094" s="8" t="n">
        <x:f>O1094-I1094*K1094/H1094</x:f>
        <x:v>117.5</x:v>
      </x:c>
      <x:c r="W1094" s="8" t="n">
        <x:f>P1094-J1094*K1094/H1094</x:f>
        <x:v>0</x:v>
      </x:c>
      <x:c r="X1094" s="8" t="n">
        <x:f>V1094/S1094</x:f>
        <x:v>0.7859531772575251</x:v>
      </x:c>
      <x:c r="Y1094" s="8" t="n">
        <x:f>0</x:f>
        <x:v>0</x:v>
      </x:c>
      <x:c r="Z1094" s="8" t="n">
        <x:f>K1094/H1094-X1094*I1094/H1094-Y1094*J1094/H1094</x:f>
        <x:v>-0.8394648829431438</x:v>
      </x:c>
      <x:c r="AA1094" s="8" t="n">
        <x:f>Z1094+X1094*Q1094+Y1094*R1094</x:f>
        <x:v>-4.769230769230769</x:v>
      </x:c>
    </x:row>
    <x:row r="1095" ht="26" customHeight="1">
      <x:c r="A1095" s="2"/>
      <x:c r="B1095" s="2" t="n">
        <x:v>1090</x:v>
      </x:c>
      <x:c r="C1095" s="2" t="str">
        <x:v>Fabric &amp; Home Care / organic_volume_growth</x:v>
      </x:c>
      <x:c r="D1095" s="2" t="str">
        <x:v>Broad market</x:v>
      </x:c>
      <x:c r="E1095" s="7" t="n">
        <x:v>45199</x:v>
      </x:c>
      <x:c r="F1095" s="2" t="str">
        <x:v>Origin</x:v>
      </x:c>
      <x:c r="G1095" s="7" t="n">
        <x:v>45108</x:v>
      </x:c>
      <x:c r="H1095" s="2" t="n">
        <x:v>9</x:v>
      </x:c>
      <x:c r="I1095" s="8" t="n">
        <x:v>33.22338231084547</x:v>
      </x:c>
      <x:c r="J1095" s="8" t="n">
        <x:v>0</x:v>
      </x:c>
      <x:c r="K1095" s="8" t="n">
        <x:v>1</x:v>
      </x:c>
      <x:c r="L1095" s="8" t="n">
        <x:v>371.1584098349792</x:v>
      </x:c>
      <x:c r="M1095" s="8" t="n">
        <x:v>0</x:v>
      </x:c>
      <x:c r="N1095" s="8" t="n">
        <x:v>0</x:v>
      </x:c>
      <x:c r="O1095" s="8" t="n">
        <x:v>131.4364291233094</x:v>
      </x:c>
      <x:c r="P1095" s="8" t="n">
        <x:v>0</x:v>
      </x:c>
      <x:c r="Q1095" s="8" t="n">
        <x:v>0.16843755354232215</x:v>
      </x:c>
      <x:c r="R1095" s="8" t="n">
        <x:v>0</x:v>
      </x:c>
      <x:c r="S1095" s="8" t="n">
        <x:f>L1095-I1095^2/H1095</x:f>
        <x:v>248.5147284824681</x:v>
      </x:c>
      <x:c r="T1095" s="8" t="n">
        <x:f>M1095-J1095^2/H1095</x:f>
        <x:v>0</x:v>
      </x:c>
      <x:c r="U1095" s="8" t="n">
        <x:f>N1095-I1095*J1095/H1095</x:f>
        <x:v>0</x:v>
      </x:c>
      <x:c r="V1095" s="8" t="n">
        <x:f>O1095-I1095*K1095/H1095</x:f>
        <x:v>127.74494219988213</x:v>
      </x:c>
      <x:c r="W1095" s="8" t="n">
        <x:f>P1095-J1095*K1095/H1095</x:f>
        <x:v>0</x:v>
      </x:c>
      <x:c r="X1095" s="8" t="n">
        <x:f>V1095/S1095</x:f>
        <x:v>0.5140336871779981</x:v>
      </x:c>
      <x:c r="Y1095" s="8" t="n">
        <x:f>0</x:f>
        <x:v>0</x:v>
      </x:c>
      <x:c r="Z1095" s="8" t="n">
        <x:f>K1095/H1095-X1095*I1095/H1095-Y1095*J1095/H1095</x:f>
        <x:v>-1.7864375233075753</x:v>
      </x:c>
      <x:c r="AA1095" s="8" t="n">
        <x:f>Z1095+X1095*Q1095+Y1095*R1095</x:f>
        <x:v>-1.699854946600974</x:v>
      </x:c>
    </x:row>
    <x:row r="1096" ht="26" customHeight="1">
      <x:c r="A1096" s="2"/>
      <x:c r="B1096" s="2" t="n">
        <x:v>1091</x:v>
      </x:c>
      <x:c r="C1096" s="2" t="str">
        <x:v>Fabric &amp; Home Care / organic_volume_growth</x:v>
      </x:c>
      <x:c r="D1096" s="2" t="str">
        <x:v>Broad rolling 8</x:v>
      </x:c>
      <x:c r="E1096" s="7" t="n">
        <x:v>45199</x:v>
      </x:c>
      <x:c r="F1096" s="2" t="str">
        <x:v>Origin</x:v>
      </x:c>
      <x:c r="G1096" s="7" t="n">
        <x:v>45108</x:v>
      </x:c>
      <x:c r="H1096" s="2" t="n">
        <x:v>8</x:v>
      </x:c>
      <x:c r="I1096" s="8" t="n">
        <x:v>26.590628997743714</x:v>
      </x:c>
      <x:c r="J1096" s="8" t="n">
        <x:v>0</x:v>
      </x:c>
      <x:c r="K1096" s="8" t="n">
        <x:v>-2</x:v>
      </x:c>
      <x:c r="L1096" s="8" t="n">
        <x:v>327.16499332251686</x:v>
      </x:c>
      <x:c r="M1096" s="8" t="n">
        <x:v>0</x:v>
      </x:c>
      <x:c r="N1096" s="8" t="n">
        <x:v>0</x:v>
      </x:c>
      <x:c r="O1096" s="8" t="n">
        <x:v>111.53816918400413</x:v>
      </x:c>
      <x:c r="P1096" s="8" t="n">
        <x:v>0</x:v>
      </x:c>
      <x:c r="Q1096" s="8" t="n">
        <x:v>0.16843755354232215</x:v>
      </x:c>
      <x:c r="R1096" s="8" t="n">
        <x:v>0</x:v>
      </x:c>
      <x:c r="S1096" s="8" t="n">
        <x:f>L1096-I1096^2/H1096</x:f>
        <x:v>238.78229951056076</x:v>
      </x:c>
      <x:c r="T1096" s="8" t="n">
        <x:f>M1096-J1096^2/H1096</x:f>
        <x:v>0</x:v>
      </x:c>
      <x:c r="U1096" s="8" t="n">
        <x:f>N1096-I1096*J1096/H1096</x:f>
        <x:v>0</x:v>
      </x:c>
      <x:c r="V1096" s="8" t="n">
        <x:f>O1096-I1096*K1096/H1096</x:f>
        <x:v>118.18582643344006</x:v>
      </x:c>
      <x:c r="W1096" s="8" t="n">
        <x:f>P1096-J1096*K1096/H1096</x:f>
        <x:v>0</x:v>
      </x:c>
      <x:c r="X1096" s="8" t="n">
        <x:f>V1096/S1096</x:f>
        <x:v>0.4949522082486394</x:v>
      </x:c>
      <x:c r="Y1096" s="8" t="n">
        <x:f>0</x:f>
        <x:v>0</x:v>
      </x:c>
      <x:c r="Z1096" s="8" t="n">
        <x:f>K1096/H1096-X1096*I1096/H1096-Y1096*J1096/H1096</x:f>
        <x:v>-1.8951363176441944</x:v>
      </x:c>
      <x:c r="AA1096" s="8" t="n">
        <x:f>Z1096+X1096*Q1096+Y1096*R1096</x:f>
        <x:v>-1.8117677785664237</x:v>
      </x:c>
    </x:row>
    <x:row r="1097" ht="26" customHeight="1">
      <x:c r="A1097" s="2"/>
      <x:c r="B1097" s="2" t="n">
        <x:v>1092</x:v>
      </x:c>
      <x:c r="C1097" s="2" t="str">
        <x:v>Fabric &amp; Home Care / organic_volume_growth</x:v>
      </x:c>
      <x:c r="D1097" s="2" t="str">
        <x:v>Broad market</x:v>
      </x:c>
      <x:c r="E1097" s="7" t="n">
        <x:v>45199</x:v>
      </x:c>
      <x:c r="F1097" s="2" t="str">
        <x:v>Prior report</x:v>
      </x:c>
      <x:c r="G1097" s="7" t="n">
        <x:v>45135</x:v>
      </x:c>
      <x:c r="H1097" s="2" t="n">
        <x:v>10</x:v>
      </x:c>
      <x:c r="I1097" s="8" t="n">
        <x:v>33.702236280504636</x:v>
      </x:c>
      <x:c r="J1097" s="8" t="n">
        <x:v>0</x:v>
      </x:c>
      <x:c r="K1097" s="8" t="n">
        <x:v>-1</x:v>
      </x:c>
      <x:c r="L1097" s="8" t="n">
        <x:v>371.38771095923755</x:v>
      </x:c>
      <x:c r="M1097" s="8" t="n">
        <x:v>0</x:v>
      </x:c>
      <x:c r="N1097" s="8" t="n">
        <x:v>0</x:v>
      </x:c>
      <x:c r="O1097" s="8" t="n">
        <x:v>130.47872118399107</x:v>
      </x:c>
      <x:c r="P1097" s="8" t="n">
        <x:v>0</x:v>
      </x:c>
      <x:c r="Q1097" s="8" t="n">
        <x:v>0.4788112989289939</x:v>
      </x:c>
      <x:c r="R1097" s="8" t="n">
        <x:v>0</x:v>
      </x:c>
      <x:c r="S1097" s="8" t="n">
        <x:f>L1097-I1097^2/H1097</x:f>
        <x:v>257.80363792854126</x:v>
      </x:c>
      <x:c r="T1097" s="8" t="n">
        <x:f>M1097-J1097^2/H1097</x:f>
        <x:v>0</x:v>
      </x:c>
      <x:c r="U1097" s="8" t="n">
        <x:f>N1097-I1097*J1097/H1097</x:f>
        <x:v>0</x:v>
      </x:c>
      <x:c r="V1097" s="8" t="n">
        <x:f>O1097-I1097*K1097/H1097</x:f>
        <x:v>133.84894481204154</x:v>
      </x:c>
      <x:c r="W1097" s="8" t="n">
        <x:f>P1097-J1097*K1097/H1097</x:f>
        <x:v>0</x:v>
      </x:c>
      <x:c r="X1097" s="8" t="n">
        <x:f>V1097/S1097</x:f>
        <x:v>0.5191895113952665</x:v>
      </x:c>
      <x:c r="Y1097" s="8" t="n">
        <x:f>0</x:f>
        <x:v>0</x:v>
      </x:c>
      <x:c r="Z1097" s="8" t="n">
        <x:f>K1097/H1097-X1097*I1097/H1097-Y1097*J1097/H1097</x:f>
        <x:v>-1.8497847587403027</x:v>
      </x:c>
      <x:c r="AA1097" s="8" t="n">
        <x:f>Z1097+X1097*Q1097+Y1097*R1097</x:f>
        <x:v>-1.6011909543988254</x:v>
      </x:c>
    </x:row>
    <x:row r="1098" ht="26" customHeight="1">
      <x:c r="A1098" s="2"/>
      <x:c r="B1098" s="2" t="n">
        <x:v>1093</x:v>
      </x:c>
      <x:c r="C1098" s="2" t="str">
        <x:v>Fabric &amp; Home Care / organic_volume_growth</x:v>
      </x:c>
      <x:c r="D1098" s="2" t="str">
        <x:v>Broad lag 1</x:v>
      </x:c>
      <x:c r="E1098" s="7" t="n">
        <x:v>45199</x:v>
      </x:c>
      <x:c r="F1098" s="2" t="str">
        <x:v>Prior report</x:v>
      </x:c>
      <x:c r="G1098" s="7" t="n">
        <x:v>45135</x:v>
      </x:c>
      <x:c r="H1098" s="2" t="n">
        <x:v>9</x:v>
      </x:c>
      <x:c r="I1098" s="8" t="n">
        <x:v>33.22338231084547</x:v>
      </x:c>
      <x:c r="J1098" s="8" t="n">
        <x:v>0</x:v>
      </x:c>
      <x:c r="K1098" s="8" t="n">
        <x:v>-4</x:v>
      </x:c>
      <x:c r="L1098" s="8" t="n">
        <x:v>371.1584098349792</x:v>
      </x:c>
      <x:c r="M1098" s="8" t="n">
        <x:v>0</x:v>
      </x:c>
      <x:c r="N1098" s="8" t="n">
        <x:v>0</x:v>
      </x:c>
      <x:c r="O1098" s="8" t="n">
        <x:v>142.9881068675697</x:v>
      </x:c>
      <x:c r="P1098" s="8" t="n">
        <x:v>0</x:v>
      </x:c>
      <x:c r="Q1098" s="8" t="n">
        <x:v>0.4788539696591654</x:v>
      </x:c>
      <x:c r="R1098" s="8" t="n">
        <x:v>0</x:v>
      </x:c>
      <x:c r="S1098" s="8" t="n">
        <x:f>L1098-I1098^2/H1098</x:f>
        <x:v>248.5147284824681</x:v>
      </x:c>
      <x:c r="T1098" s="8" t="n">
        <x:f>M1098-J1098^2/H1098</x:f>
        <x:v>0</x:v>
      </x:c>
      <x:c r="U1098" s="8" t="n">
        <x:f>N1098-I1098*J1098/H1098</x:f>
        <x:v>0</x:v>
      </x:c>
      <x:c r="V1098" s="8" t="n">
        <x:f>O1098-I1098*K1098/H1098</x:f>
        <x:v>157.75405456127882</x:v>
      </x:c>
      <x:c r="W1098" s="8" t="n">
        <x:f>P1098-J1098*K1098/H1098</x:f>
        <x:v>0</x:v>
      </x:c>
      <x:c r="X1098" s="8" t="n">
        <x:f>V1098/S1098</x:f>
        <x:v>0.6347875456903065</x:v>
      </x:c>
      <x:c r="Y1098" s="8" t="n">
        <x:f>0</x:f>
        <x:v>0</x:v>
      </x:c>
      <x:c r="Z1098" s="8" t="n">
        <x:f>K1098/H1098-X1098*I1098/H1098-Y1098*J1098/H1098</x:f>
        <x:v>-2.7877543685147046</x:v>
      </x:c>
      <x:c r="AA1098" s="8" t="n">
        <x:f>Z1098+X1098*Q1098+Y1098*R1098</x:f>
        <x:v>-2.4837838323707024</x:v>
      </x:c>
    </x:row>
    <x:row r="1099" ht="26" customHeight="1">
      <x:c r="A1099" s="2"/>
      <x:c r="B1099" s="2" t="n">
        <x:v>1094</x:v>
      </x:c>
      <x:c r="C1099" s="2" t="str">
        <x:v>Fabric &amp; Home Care / organic_volume_growth</x:v>
      </x:c>
      <x:c r="D1099" s="2" t="str">
        <x:v>Broad rolling 8</x:v>
      </x:c>
      <x:c r="E1099" s="7" t="n">
        <x:v>45199</x:v>
      </x:c>
      <x:c r="F1099" s="2" t="str">
        <x:v>Prior report</x:v>
      </x:c>
      <x:c r="G1099" s="7" t="n">
        <x:v>45135</x:v>
      </x:c>
      <x:c r="H1099" s="2" t="n">
        <x:v>8</x:v>
      </x:c>
      <x:c r="I1099" s="8" t="n">
        <x:v>12.45774615649593</x:v>
      </x:c>
      <x:c r="J1099" s="8" t="n">
        <x:v>0</x:v>
      </x:c>
      <x:c r="K1099" s="8" t="n">
        <x:v>-5</x:v>
      </x:c>
      <x:c r="L1099" s="8" t="n">
        <x:v>113.89144181556195</x:v>
      </x:c>
      <x:c r="M1099" s="8" t="n">
        <x:v>0</x:v>
      </x:c>
      <x:c r="N1099" s="8" t="n">
        <x:v>0</x:v>
      </x:c>
      <x:c r="O1099" s="8" t="n">
        <x:v>95.96872443377885</x:v>
      </x:c>
      <x:c r="P1099" s="8" t="n">
        <x:v>0</x:v>
      </x:c>
      <x:c r="Q1099" s="8" t="n">
        <x:v>0.4788112989289939</x:v>
      </x:c>
      <x:c r="R1099" s="8" t="n">
        <x:v>0</x:v>
      </x:c>
      <x:c r="S1099" s="8" t="n">
        <x:f>L1099-I1099^2/H1099</x:f>
        <x:v>94.4920119031008</x:v>
      </x:c>
      <x:c r="T1099" s="8" t="n">
        <x:f>M1099-J1099^2/H1099</x:f>
        <x:v>0</x:v>
      </x:c>
      <x:c r="U1099" s="8" t="n">
        <x:f>N1099-I1099*J1099/H1099</x:f>
        <x:v>0</x:v>
      </x:c>
      <x:c r="V1099" s="8" t="n">
        <x:f>O1099-I1099*K1099/H1099</x:f>
        <x:v>103.7548157815888</x:v>
      </x:c>
      <x:c r="W1099" s="8" t="n">
        <x:f>P1099-J1099*K1099/H1099</x:f>
        <x:v>0</x:v>
      </x:c>
      <x:c r="X1099" s="8" t="n">
        <x:f>V1099/S1099</x:f>
        <x:v>1.0980273749275946</x:v>
      </x:c>
      <x:c r="Y1099" s="8" t="n">
        <x:f>0</x:f>
        <x:v>0</x:v>
      </x:c>
      <x:c r="Z1099" s="8" t="n">
        <x:f>K1099/H1099-X1099*I1099/H1099-Y1099*J1099/H1099</x:f>
        <x:v>-2.3348682887164447</x:v>
      </x:c>
      <x:c r="AA1099" s="8" t="n">
        <x:f>Z1099+X1099*Q1099+Y1099*R1099</x:f>
        <x:v>-1.8091203750677698</x:v>
      </x:c>
    </x:row>
    <x:row r="1100" ht="26" customHeight="1">
      <x:c r="A1100" s="2"/>
      <x:c r="B1100" s="2" t="n">
        <x:v>1095</x:v>
      </x:c>
      <x:c r="C1100" s="2" t="str">
        <x:v>Fabric &amp; Home Care / organic_volume_growth</x:v>
      </x:c>
      <x:c r="D1100" s="2" t="str">
        <x:v>Own history</x:v>
      </x:c>
      <x:c r="E1100" s="7" t="n">
        <x:v>45199</x:v>
      </x:c>
      <x:c r="F1100" s="2" t="str">
        <x:v>Prior report</x:v>
      </x:c>
      <x:c r="G1100" s="7" t="n">
        <x:v>45135</x:v>
      </x:c>
      <x:c r="H1100" s="2" t="n">
        <x:v>9</x:v>
      </x:c>
      <x:c r="I1100" s="8" t="n">
        <x:v>1</x:v>
      </x:c>
      <x:c r="J1100" s="8" t="n">
        <x:v>0</x:v>
      </x:c>
      <x:c r="K1100" s="8" t="n">
        <x:v>-4</x:v>
      </x:c>
      <x:c r="L1100" s="8" t="n">
        <x:v>179</x:v>
      </x:c>
      <x:c r="M1100" s="8" t="n">
        <x:v>0</x:v>
      </x:c>
      <x:c r="N1100" s="8" t="n">
        <x:v>0</x:v>
      </x:c>
      <x:c r="O1100" s="8" t="n">
        <x:v>126</x:v>
      </x:c>
      <x:c r="P1100" s="8" t="n">
        <x:v>0</x:v>
      </x:c>
      <x:c r="Q1100" s="8" t="n">
        <x:v>-2</x:v>
      </x:c>
      <x:c r="R1100" s="8" t="n">
        <x:v>0</x:v>
      </x:c>
      <x:c r="S1100" s="8" t="n">
        <x:f>L1100-I1100^2/H1100</x:f>
        <x:v>178.88888888888889</x:v>
      </x:c>
      <x:c r="T1100" s="8" t="n">
        <x:f>M1100-J1100^2/H1100</x:f>
        <x:v>0</x:v>
      </x:c>
      <x:c r="U1100" s="8" t="n">
        <x:f>N1100-I1100*J1100/H1100</x:f>
        <x:v>0</x:v>
      </x:c>
      <x:c r="V1100" s="8" t="n">
        <x:f>O1100-I1100*K1100/H1100</x:f>
        <x:v>126.44444444444444</x:v>
      </x:c>
      <x:c r="W1100" s="8" t="n">
        <x:f>P1100-J1100*K1100/H1100</x:f>
        <x:v>0</x:v>
      </x:c>
      <x:c r="X1100" s="8" t="n">
        <x:f>V1100/S1100</x:f>
        <x:v>0.7068322981366459</x:v>
      </x:c>
      <x:c r="Y1100" s="8" t="n">
        <x:f>0</x:f>
        <x:v>0</x:v>
      </x:c>
      <x:c r="Z1100" s="8" t="n">
        <x:f>K1100/H1100-X1100*I1100/H1100-Y1100*J1100/H1100</x:f>
        <x:v>-0.5229813664596273</x:v>
      </x:c>
      <x:c r="AA1100" s="8" t="n">
        <x:f>Z1100+X1100*Q1100+Y1100*R1100</x:f>
        <x:v>-1.9366459627329191</x:v>
      </x:c>
    </x:row>
    <x:row r="1101" ht="26" customHeight="1">
      <x:c r="A1101" s="2"/>
      <x:c r="B1101" s="2" t="n">
        <x:v>1096</x:v>
      </x:c>
      <x:c r="C1101" s="2" t="str">
        <x:v>Fabric &amp; Home Care / organic_volume_growth</x:v>
      </x:c>
      <x:c r="D1101" s="2" t="str">
        <x:v>Broad market</x:v>
      </x:c>
      <x:c r="E1101" s="7" t="n">
        <x:v>45199</x:v>
      </x:c>
      <x:c r="F1101" s="2" t="str">
        <x:v>Pre-earnings</x:v>
      </x:c>
      <x:c r="G1101" s="7" t="n">
        <x:v>45216</x:v>
      </x:c>
      <x:c r="H1101" s="2" t="n">
        <x:v>10</x:v>
      </x:c>
      <x:c r="I1101" s="8" t="n">
        <x:v>36.567292681299975</x:v>
      </x:c>
      <x:c r="J1101" s="8" t="n">
        <x:v>0</x:v>
      </x:c>
      <x:c r="K1101" s="8" t="n">
        <x:v>-1</x:v>
      </x:c>
      <x:c r="L1101" s="8" t="n">
        <x:v>345.1986530501643</x:v>
      </x:c>
      <x:c r="M1101" s="8" t="n">
        <x:v>0</x:v>
      </x:c>
      <x:c r="N1101" s="8" t="n">
        <x:v>0</x:v>
      </x:c>
      <x:c r="O1101" s="8" t="n">
        <x:v>123.67272469470674</x:v>
      </x:c>
      <x:c r="P1101" s="8" t="n">
        <x:v>0</x:v>
      </x:c>
      <x:c r="Q1101" s="8" t="n">
        <x:v>1.3122219305964355</x:v>
      </x:c>
      <x:c r="R1101" s="8" t="n">
        <x:v>0</x:v>
      </x:c>
      <x:c r="S1101" s="8" t="n">
        <x:f>L1101-I1101^2/H1101</x:f>
        <x:v>211.48196364617883</x:v>
      </x:c>
      <x:c r="T1101" s="8" t="n">
        <x:f>M1101-J1101^2/H1101</x:f>
        <x:v>0</x:v>
      </x:c>
      <x:c r="U1101" s="8" t="n">
        <x:f>N1101-I1101*J1101/H1101</x:f>
        <x:v>0</x:v>
      </x:c>
      <x:c r="V1101" s="8" t="n">
        <x:f>O1101-I1101*K1101/H1101</x:f>
        <x:v>127.32945396283674</x:v>
      </x:c>
      <x:c r="W1101" s="8" t="n">
        <x:f>P1101-J1101*K1101/H1101</x:f>
        <x:v>0</x:v>
      </x:c>
      <x:c r="X1101" s="8" t="n">
        <x:f>V1101/S1101</x:f>
        <x:v>0.6020818596893022</x:v>
      </x:c>
      <x:c r="Y1101" s="8" t="n">
        <x:f>0</x:f>
        <x:v>0</x:v>
      </x:c>
      <x:c r="Z1101" s="8" t="n">
        <x:f>K1101/H1101-X1101*I1101/H1101-Y1101*J1101/H1101</x:f>
        <x:v>-2.3016503581360097</x:v>
      </x:c>
      <x:c r="AA1101" s="8" t="n">
        <x:f>Z1101+X1101*Q1101+Y1101*R1101</x:f>
        <x:v>-1.5115853378374213</x:v>
      </x:c>
    </x:row>
    <x:row r="1102" ht="26" customHeight="1">
      <x:c r="A1102" s="2"/>
      <x:c r="B1102" s="2" t="n">
        <x:v>1097</x:v>
      </x:c>
      <x:c r="C1102" s="2" t="str">
        <x:v>Fabric &amp; Home Care / organic_volume_growth</x:v>
      </x:c>
      <x:c r="D1102" s="2" t="str">
        <x:v>Broad lag 1</x:v>
      </x:c>
      <x:c r="E1102" s="7" t="n">
        <x:v>45199</x:v>
      </x:c>
      <x:c r="F1102" s="2" t="str">
        <x:v>Pre-earnings</x:v>
      </x:c>
      <x:c r="G1102" s="7" t="n">
        <x:v>45216</x:v>
      </x:c>
      <x:c r="H1102" s="2" t="n">
        <x:v>9</x:v>
      </x:c>
      <x:c r="I1102" s="8" t="n">
        <x:v>36.50529330129378</x:v>
      </x:c>
      <x:c r="J1102" s="8" t="n">
        <x:v>0</x:v>
      </x:c>
      <x:c r="K1102" s="8" t="n">
        <x:v>-4</x:v>
      </x:c>
      <x:c r="L1102" s="8" t="n">
        <x:v>345.1948091270432</x:v>
      </x:c>
      <x:c r="M1102" s="8" t="n">
        <x:v>0</x:v>
      </x:c>
      <x:c r="N1102" s="8" t="n">
        <x:v>0</x:v>
      </x:c>
      <x:c r="O1102" s="8" t="n">
        <x:v>120.58948272295386</x:v>
      </x:c>
      <x:c r="P1102" s="8" t="n">
        <x:v>0</x:v>
      </x:c>
      <x:c r="Q1102" s="8" t="n">
        <x:v>0.06199938000619465</x:v>
      </x:c>
      <x:c r="R1102" s="8" t="n">
        <x:v>0</x:v>
      </x:c>
      <x:c r="S1102" s="8" t="n">
        <x:f>L1102-I1102^2/H1102</x:f>
        <x:v>197.12409368110045</x:v>
      </x:c>
      <x:c r="T1102" s="8" t="n">
        <x:f>M1102-J1102^2/H1102</x:f>
        <x:v>0</x:v>
      </x:c>
      <x:c r="U1102" s="8" t="n">
        <x:f>N1102-I1102*J1102/H1102</x:f>
        <x:v>0</x:v>
      </x:c>
      <x:c r="V1102" s="8" t="n">
        <x:f>O1102-I1102*K1102/H1102</x:f>
        <x:v>136.81405752352887</x:v>
      </x:c>
      <x:c r="W1102" s="8" t="n">
        <x:f>P1102-J1102*K1102/H1102</x:f>
        <x:v>0</x:v>
      </x:c>
      <x:c r="X1102" s="8" t="n">
        <x:f>V1102/S1102</x:f>
        <x:v>0.6940504073787207</x:v>
      </x:c>
      <x:c r="Y1102" s="8" t="n">
        <x:f>0</x:f>
        <x:v>0</x:v>
      </x:c>
      <x:c r="Z1102" s="8" t="n">
        <x:f>K1102/H1102-X1102*I1102/H1102-Y1102*J1102/H1102</x:f>
        <x:v>-3.2596126319158483</x:v>
      </x:c>
      <x:c r="AA1102" s="8" t="n">
        <x:f>Z1102+X1102*Q1102+Y1102*R1102</x:f>
        <x:v>-3.2165819369653206</x:v>
      </x:c>
    </x:row>
    <x:row r="1103" ht="26" customHeight="1">
      <x:c r="A1103" s="2"/>
      <x:c r="B1103" s="2" t="n">
        <x:v>1098</x:v>
      </x:c>
      <x:c r="C1103" s="2" t="str">
        <x:v>Fabric &amp; Home Care / organic_volume_growth</x:v>
      </x:c>
      <x:c r="D1103" s="2" t="str">
        <x:v>Broad rolling 8</x:v>
      </x:c>
      <x:c r="E1103" s="7" t="n">
        <x:v>45199</x:v>
      </x:c>
      <x:c r="F1103" s="2" t="str">
        <x:v>Pre-earnings</x:v>
      </x:c>
      <x:c r="G1103" s="7" t="n">
        <x:v>45216</x:v>
      </x:c>
      <x:c r="H1103" s="2" t="n">
        <x:v>8</x:v>
      </x:c>
      <x:c r="I1103" s="8" t="n">
        <x:v>16.237449689275486</x:v>
      </x:c>
      <x:c r="J1103" s="8" t="n">
        <x:v>0</x:v>
      </x:c>
      <x:c r="K1103" s="8" t="n">
        <x:v>-5</x:v>
      </x:c>
      <x:c r="L1103" s="8" t="n">
        <x:v>110.53830054061801</x:v>
      </x:c>
      <x:c r="M1103" s="8" t="n">
        <x:v>0</x:v>
      </x:c>
      <x:c r="N1103" s="8" t="n">
        <x:v>0</x:v>
      </x:c>
      <x:c r="O1103" s="8" t="n">
        <x:v>90.49756868512678</x:v>
      </x:c>
      <x:c r="P1103" s="8" t="n">
        <x:v>0</x:v>
      </x:c>
      <x:c r="Q1103" s="8" t="n">
        <x:v>1.3122219305964355</x:v>
      </x:c>
      <x:c r="R1103" s="8" t="n">
        <x:v>0</x:v>
      </x:c>
      <x:c r="S1103" s="8" t="n">
        <x:f>L1103-I1103^2/H1103</x:f>
        <x:v>77.58145398914894</x:v>
      </x:c>
      <x:c r="T1103" s="8" t="n">
        <x:f>M1103-J1103^2/H1103</x:f>
        <x:v>0</x:v>
      </x:c>
      <x:c r="U1103" s="8" t="n">
        <x:f>N1103-I1103*J1103/H1103</x:f>
        <x:v>0</x:v>
      </x:c>
      <x:c r="V1103" s="8" t="n">
        <x:f>O1103-I1103*K1103/H1103</x:f>
        <x:v>100.64597474092396</x:v>
      </x:c>
      <x:c r="W1103" s="8" t="n">
        <x:f>P1103-J1103*K1103/H1103</x:f>
        <x:v>0</x:v>
      </x:c>
      <x:c r="X1103" s="8" t="n">
        <x:f>V1103/S1103</x:f>
        <x:v>1.2972942574007569</x:v>
      </x:c>
      <x:c r="Y1103" s="8" t="n">
        <x:f>0</x:f>
        <x:v>0</x:v>
      </x:c>
      <x:c r="Z1103" s="8" t="n">
        <x:f>K1103/H1103-X1103*I1103/H1103-Y1103*J1103/H1103</x:f>
        <x:v>-3.258093779591349</x:v>
      </x:c>
      <x:c r="AA1103" s="8" t="n">
        <x:f>Z1103+X1103*Q1103+Y1103*R1103</x:f>
        <x:v>-1.5557558045932585</x:v>
      </x:c>
    </x:row>
    <x:row r="1104" ht="26" customHeight="1">
      <x:c r="A1104" s="2"/>
      <x:c r="B1104" s="2" t="n">
        <x:v>1099</x:v>
      </x:c>
      <x:c r="C1104" s="2" t="str">
        <x:v>Fabric &amp; Home Care / organic_volume_growth</x:v>
      </x:c>
      <x:c r="D1104" s="2" t="str">
        <x:v>Own history</x:v>
      </x:c>
      <x:c r="E1104" s="7" t="n">
        <x:v>45199</x:v>
      </x:c>
      <x:c r="F1104" s="2" t="str">
        <x:v>Pre-earnings</x:v>
      </x:c>
      <x:c r="G1104" s="7" t="n">
        <x:v>45216</x:v>
      </x:c>
      <x:c r="H1104" s="2" t="n">
        <x:v>9</x:v>
      </x:c>
      <x:c r="I1104" s="8" t="n">
        <x:v>1</x:v>
      </x:c>
      <x:c r="J1104" s="8" t="n">
        <x:v>0</x:v>
      </x:c>
      <x:c r="K1104" s="8" t="n">
        <x:v>-4</x:v>
      </x:c>
      <x:c r="L1104" s="8" t="n">
        <x:v>179</x:v>
      </x:c>
      <x:c r="M1104" s="8" t="n">
        <x:v>0</x:v>
      </x:c>
      <x:c r="N1104" s="8" t="n">
        <x:v>0</x:v>
      </x:c>
      <x:c r="O1104" s="8" t="n">
        <x:v>126</x:v>
      </x:c>
      <x:c r="P1104" s="8" t="n">
        <x:v>0</x:v>
      </x:c>
      <x:c r="Q1104" s="8" t="n">
        <x:v>-2</x:v>
      </x:c>
      <x:c r="R1104" s="8" t="n">
        <x:v>0</x:v>
      </x:c>
      <x:c r="S1104" s="8" t="n">
        <x:f>L1104-I1104^2/H1104</x:f>
        <x:v>178.88888888888889</x:v>
      </x:c>
      <x:c r="T1104" s="8" t="n">
        <x:f>M1104-J1104^2/H1104</x:f>
        <x:v>0</x:v>
      </x:c>
      <x:c r="U1104" s="8" t="n">
        <x:f>N1104-I1104*J1104/H1104</x:f>
        <x:v>0</x:v>
      </x:c>
      <x:c r="V1104" s="8" t="n">
        <x:f>O1104-I1104*K1104/H1104</x:f>
        <x:v>126.44444444444444</x:v>
      </x:c>
      <x:c r="W1104" s="8" t="n">
        <x:f>P1104-J1104*K1104/H1104</x:f>
        <x:v>0</x:v>
      </x:c>
      <x:c r="X1104" s="8" t="n">
        <x:f>V1104/S1104</x:f>
        <x:v>0.7068322981366459</x:v>
      </x:c>
      <x:c r="Y1104" s="8" t="n">
        <x:f>0</x:f>
        <x:v>0</x:v>
      </x:c>
      <x:c r="Z1104" s="8" t="n">
        <x:f>K1104/H1104-X1104*I1104/H1104-Y1104*J1104/H1104</x:f>
        <x:v>-0.5229813664596273</x:v>
      </x:c>
      <x:c r="AA1104" s="8" t="n">
        <x:f>Z1104+X1104*Q1104+Y1104*R1104</x:f>
        <x:v>-1.9366459627329191</x:v>
      </x:c>
    </x:row>
    <x:row r="1105" ht="26" customHeight="1">
      <x:c r="A1105" s="2"/>
      <x:c r="B1105" s="2" t="n">
        <x:v>1100</x:v>
      </x:c>
      <x:c r="C1105" s="2" t="str">
        <x:v>Fabric &amp; Home Care / organic_volume_growth</x:v>
      </x:c>
      <x:c r="D1105" s="2" t="str">
        <x:v>Broad market</x:v>
      </x:c>
      <x:c r="E1105" s="7" t="n">
        <x:v>45291</x:v>
      </x:c>
      <x:c r="F1105" s="2" t="str">
        <x:v>Origin</x:v>
      </x:c>
      <x:c r="G1105" s="7" t="n">
        <x:v>45200</x:v>
      </x:c>
      <x:c r="H1105" s="2" t="n">
        <x:v>10</x:v>
      </x:c>
      <x:c r="I1105" s="8" t="n">
        <x:v>36.567292681299975</x:v>
      </x:c>
      <x:c r="J1105" s="8" t="n">
        <x:v>0</x:v>
      </x:c>
      <x:c r="K1105" s="8" t="n">
        <x:v>-1</x:v>
      </x:c>
      <x:c r="L1105" s="8" t="n">
        <x:v>345.1986530501643</x:v>
      </x:c>
      <x:c r="M1105" s="8" t="n">
        <x:v>0</x:v>
      </x:c>
      <x:c r="N1105" s="8" t="n">
        <x:v>0</x:v>
      </x:c>
      <x:c r="O1105" s="8" t="n">
        <x:v>123.67272469470674</x:v>
      </x:c>
      <x:c r="P1105" s="8" t="n">
        <x:v>0</x:v>
      </x:c>
      <x:c r="Q1105" s="8" t="n">
        <x:v>1.0924781953477458</x:v>
      </x:c>
      <x:c r="R1105" s="8" t="n">
        <x:v>0</x:v>
      </x:c>
      <x:c r="S1105" s="8" t="n">
        <x:f>L1105-I1105^2/H1105</x:f>
        <x:v>211.48196364617883</x:v>
      </x:c>
      <x:c r="T1105" s="8" t="n">
        <x:f>M1105-J1105^2/H1105</x:f>
        <x:v>0</x:v>
      </x:c>
      <x:c r="U1105" s="8" t="n">
        <x:f>N1105-I1105*J1105/H1105</x:f>
        <x:v>0</x:v>
      </x:c>
      <x:c r="V1105" s="8" t="n">
        <x:f>O1105-I1105*K1105/H1105</x:f>
        <x:v>127.32945396283674</x:v>
      </x:c>
      <x:c r="W1105" s="8" t="n">
        <x:f>P1105-J1105*K1105/H1105</x:f>
        <x:v>0</x:v>
      </x:c>
      <x:c r="X1105" s="8" t="n">
        <x:f>V1105/S1105</x:f>
        <x:v>0.6020818596893022</x:v>
      </x:c>
      <x:c r="Y1105" s="8" t="n">
        <x:f>0</x:f>
        <x:v>0</x:v>
      </x:c>
      <x:c r="Z1105" s="8" t="n">
        <x:f>K1105/H1105-X1105*I1105/H1105-Y1105*J1105/H1105</x:f>
        <x:v>-2.3016503581360097</x:v>
      </x:c>
      <x:c r="AA1105" s="8" t="n">
        <x:f>Z1105+X1105*Q1105+Y1105*R1105</x:f>
        <x:v>-1.643889054611026</x:v>
      </x:c>
    </x:row>
    <x:row r="1106" ht="26" customHeight="1">
      <x:c r="A1106" s="2"/>
      <x:c r="B1106" s="2" t="n">
        <x:v>1101</x:v>
      </x:c>
      <x:c r="C1106" s="2" t="str">
        <x:v>Fabric &amp; Home Care / organic_volume_growth</x:v>
      </x:c>
      <x:c r="D1106" s="2" t="str">
        <x:v>Broad rolling 8</x:v>
      </x:c>
      <x:c r="E1106" s="7" t="n">
        <x:v>45291</x:v>
      </x:c>
      <x:c r="F1106" s="2" t="str">
        <x:v>Origin</x:v>
      </x:c>
      <x:c r="G1106" s="7" t="n">
        <x:v>45200</x:v>
      </x:c>
      <x:c r="H1106" s="2" t="n">
        <x:v>8</x:v>
      </x:c>
      <x:c r="I1106" s="8" t="n">
        <x:v>16.237449689275486</x:v>
      </x:c>
      <x:c r="J1106" s="8" t="n">
        <x:v>0</x:v>
      </x:c>
      <x:c r="K1106" s="8" t="n">
        <x:v>-5</x:v>
      </x:c>
      <x:c r="L1106" s="8" t="n">
        <x:v>110.53830054061801</x:v>
      </x:c>
      <x:c r="M1106" s="8" t="n">
        <x:v>0</x:v>
      </x:c>
      <x:c r="N1106" s="8" t="n">
        <x:v>0</x:v>
      </x:c>
      <x:c r="O1106" s="8" t="n">
        <x:v>90.49756868512678</x:v>
      </x:c>
      <x:c r="P1106" s="8" t="n">
        <x:v>0</x:v>
      </x:c>
      <x:c r="Q1106" s="8" t="n">
        <x:v>1.0924781953477458</x:v>
      </x:c>
      <x:c r="R1106" s="8" t="n">
        <x:v>0</x:v>
      </x:c>
      <x:c r="S1106" s="8" t="n">
        <x:f>L1106-I1106^2/H1106</x:f>
        <x:v>77.58145398914894</x:v>
      </x:c>
      <x:c r="T1106" s="8" t="n">
        <x:f>M1106-J1106^2/H1106</x:f>
        <x:v>0</x:v>
      </x:c>
      <x:c r="U1106" s="8" t="n">
        <x:f>N1106-I1106*J1106/H1106</x:f>
        <x:v>0</x:v>
      </x:c>
      <x:c r="V1106" s="8" t="n">
        <x:f>O1106-I1106*K1106/H1106</x:f>
        <x:v>100.64597474092396</x:v>
      </x:c>
      <x:c r="W1106" s="8" t="n">
        <x:f>P1106-J1106*K1106/H1106</x:f>
        <x:v>0</x:v>
      </x:c>
      <x:c r="X1106" s="8" t="n">
        <x:f>V1106/S1106</x:f>
        <x:v>1.2972942574007569</x:v>
      </x:c>
      <x:c r="Y1106" s="8" t="n">
        <x:f>0</x:f>
        <x:v>0</x:v>
      </x:c>
      <x:c r="Z1106" s="8" t="n">
        <x:f>K1106/H1106-X1106*I1106/H1106-Y1106*J1106/H1106</x:f>
        <x:v>-3.258093779591349</x:v>
      </x:c>
      <x:c r="AA1106" s="8" t="n">
        <x:f>Z1106+X1106*Q1106+Y1106*R1106</x:f>
        <x:v>-1.840828090431176</x:v>
      </x:c>
    </x:row>
    <x:row r="1107" ht="26" customHeight="1">
      <x:c r="A1107" s="2"/>
      <x:c r="B1107" s="2" t="n">
        <x:v>1102</x:v>
      </x:c>
      <x:c r="C1107" s="2" t="str">
        <x:v>Fabric &amp; Home Care / organic_volume_growth</x:v>
      </x:c>
      <x:c r="D1107" s="2" t="str">
        <x:v>Own history</x:v>
      </x:c>
      <x:c r="E1107" s="7" t="n">
        <x:v>45291</x:v>
      </x:c>
      <x:c r="F1107" s="2" t="str">
        <x:v>Origin</x:v>
      </x:c>
      <x:c r="G1107" s="7" t="n">
        <x:v>45200</x:v>
      </x:c>
      <x:c r="H1107" s="2" t="n">
        <x:v>8</x:v>
      </x:c>
      <x:c r="I1107" s="8" t="n">
        <x:v>6</x:v>
      </x:c>
      <x:c r="J1107" s="8" t="n">
        <x:v>0</x:v>
      </x:c>
      <x:c r="K1107" s="8" t="n">
        <x:v>-5</x:v>
      </x:c>
      <x:c r="L1107" s="8" t="n">
        <x:v>154</x:v>
      </x:c>
      <x:c r="M1107" s="8" t="n">
        <x:v>0</x:v>
      </x:c>
      <x:c r="N1107" s="8" t="n">
        <x:v>0</x:v>
      </x:c>
      <x:c r="O1107" s="8" t="n">
        <x:v>37</x:v>
      </x:c>
      <x:c r="P1107" s="8" t="n">
        <x:v>0</x:v>
      </x:c>
      <x:c r="Q1107" s="8" t="n">
        <x:v>-2</x:v>
      </x:c>
      <x:c r="R1107" s="8" t="n">
        <x:v>0</x:v>
      </x:c>
      <x:c r="S1107" s="8" t="n">
        <x:f>L1107-I1107^2/H1107</x:f>
        <x:v>149.5</x:v>
      </x:c>
      <x:c r="T1107" s="8" t="n">
        <x:f>M1107-J1107^2/H1107</x:f>
        <x:v>0</x:v>
      </x:c>
      <x:c r="U1107" s="8" t="n">
        <x:f>N1107-I1107*J1107/H1107</x:f>
        <x:v>0</x:v>
      </x:c>
      <x:c r="V1107" s="8" t="n">
        <x:f>O1107-I1107*K1107/H1107</x:f>
        <x:v>40.75</x:v>
      </x:c>
      <x:c r="W1107" s="8" t="n">
        <x:f>P1107-J1107*K1107/H1107</x:f>
        <x:v>0</x:v>
      </x:c>
      <x:c r="X1107" s="8" t="n">
        <x:f>V1107/S1107</x:f>
        <x:v>0.2725752508361204</x:v>
      </x:c>
      <x:c r="Y1107" s="8" t="n">
        <x:f>0</x:f>
        <x:v>0</x:v>
      </x:c>
      <x:c r="Z1107" s="8" t="n">
        <x:f>K1107/H1107-X1107*I1107/H1107-Y1107*J1107/H1107</x:f>
        <x:v>-0.8294314381270903</x:v>
      </x:c>
      <x:c r="AA1107" s="8" t="n">
        <x:f>Z1107+X1107*Q1107+Y1107*R1107</x:f>
        <x:v>-1.374581939799331</x:v>
      </x:c>
    </x:row>
    <x:row r="1108" ht="26" customHeight="1">
      <x:c r="A1108" s="2"/>
      <x:c r="B1108" s="2" t="n">
        <x:v>1103</x:v>
      </x:c>
      <x:c r="C1108" s="2" t="str">
        <x:v>Fabric &amp; Home Care / organic_volume_growth</x:v>
      </x:c>
      <x:c r="D1108" s="2" t="str">
        <x:v>Broad market</x:v>
      </x:c>
      <x:c r="E1108" s="7" t="n">
        <x:v>45291</x:v>
      </x:c>
      <x:c r="F1108" s="2" t="str">
        <x:v>Prior report</x:v>
      </x:c>
      <x:c r="G1108" s="7" t="n">
        <x:v>45217</x:v>
      </x:c>
      <x:c r="H1108" s="2" t="n">
        <x:v>10</x:v>
      </x:c>
      <x:c r="I1108" s="8" t="n">
        <x:v>36.567292681299975</x:v>
      </x:c>
      <x:c r="J1108" s="8" t="n">
        <x:v>0</x:v>
      </x:c>
      <x:c r="K1108" s="8" t="n">
        <x:v>-1</x:v>
      </x:c>
      <x:c r="L1108" s="8" t="n">
        <x:v>345.1986530501643</x:v>
      </x:c>
      <x:c r="M1108" s="8" t="n">
        <x:v>0</x:v>
      </x:c>
      <x:c r="N1108" s="8" t="n">
        <x:v>0</x:v>
      </x:c>
      <x:c r="O1108" s="8" t="n">
        <x:v>123.67272469470674</x:v>
      </x:c>
      <x:c r="P1108" s="8" t="n">
        <x:v>0</x:v>
      </x:c>
      <x:c r="Q1108" s="8" t="n">
        <x:v>1.0924781953477458</x:v>
      </x:c>
      <x:c r="R1108" s="8" t="n">
        <x:v>0</x:v>
      </x:c>
      <x:c r="S1108" s="8" t="n">
        <x:f>L1108-I1108^2/H1108</x:f>
        <x:v>211.48196364617883</x:v>
      </x:c>
      <x:c r="T1108" s="8" t="n">
        <x:f>M1108-J1108^2/H1108</x:f>
        <x:v>0</x:v>
      </x:c>
      <x:c r="U1108" s="8" t="n">
        <x:f>N1108-I1108*J1108/H1108</x:f>
        <x:v>0</x:v>
      </x:c>
      <x:c r="V1108" s="8" t="n">
        <x:f>O1108-I1108*K1108/H1108</x:f>
        <x:v>127.32945396283674</x:v>
      </x:c>
      <x:c r="W1108" s="8" t="n">
        <x:f>P1108-J1108*K1108/H1108</x:f>
        <x:v>0</x:v>
      </x:c>
      <x:c r="X1108" s="8" t="n">
        <x:f>V1108/S1108</x:f>
        <x:v>0.6020818596893022</x:v>
      </x:c>
      <x:c r="Y1108" s="8" t="n">
        <x:f>0</x:f>
        <x:v>0</x:v>
      </x:c>
      <x:c r="Z1108" s="8" t="n">
        <x:f>K1108/H1108-X1108*I1108/H1108-Y1108*J1108/H1108</x:f>
        <x:v>-2.3016503581360097</x:v>
      </x:c>
      <x:c r="AA1108" s="8" t="n">
        <x:f>Z1108+X1108*Q1108+Y1108*R1108</x:f>
        <x:v>-1.643889054611026</x:v>
      </x:c>
    </x:row>
    <x:row r="1109" ht="26" customHeight="1">
      <x:c r="A1109" s="2"/>
      <x:c r="B1109" s="2" t="n">
        <x:v>1104</x:v>
      </x:c>
      <x:c r="C1109" s="2" t="str">
        <x:v>Fabric &amp; Home Care / organic_volume_growth</x:v>
      </x:c>
      <x:c r="D1109" s="2" t="str">
        <x:v>Broad rolling 8</x:v>
      </x:c>
      <x:c r="E1109" s="7" t="n">
        <x:v>45291</x:v>
      </x:c>
      <x:c r="F1109" s="2" t="str">
        <x:v>Prior report</x:v>
      </x:c>
      <x:c r="G1109" s="7" t="n">
        <x:v>45217</x:v>
      </x:c>
      <x:c r="H1109" s="2" t="n">
        <x:v>8</x:v>
      </x:c>
      <x:c r="I1109" s="8" t="n">
        <x:v>16.237449689275486</x:v>
      </x:c>
      <x:c r="J1109" s="8" t="n">
        <x:v>0</x:v>
      </x:c>
      <x:c r="K1109" s="8" t="n">
        <x:v>-5</x:v>
      </x:c>
      <x:c r="L1109" s="8" t="n">
        <x:v>110.53830054061801</x:v>
      </x:c>
      <x:c r="M1109" s="8" t="n">
        <x:v>0</x:v>
      </x:c>
      <x:c r="N1109" s="8" t="n">
        <x:v>0</x:v>
      </x:c>
      <x:c r="O1109" s="8" t="n">
        <x:v>90.49756868512678</x:v>
      </x:c>
      <x:c r="P1109" s="8" t="n">
        <x:v>0</x:v>
      </x:c>
      <x:c r="Q1109" s="8" t="n">
        <x:v>1.0924781953477458</x:v>
      </x:c>
      <x:c r="R1109" s="8" t="n">
        <x:v>0</x:v>
      </x:c>
      <x:c r="S1109" s="8" t="n">
        <x:f>L1109-I1109^2/H1109</x:f>
        <x:v>77.58145398914894</x:v>
      </x:c>
      <x:c r="T1109" s="8" t="n">
        <x:f>M1109-J1109^2/H1109</x:f>
        <x:v>0</x:v>
      </x:c>
      <x:c r="U1109" s="8" t="n">
        <x:f>N1109-I1109*J1109/H1109</x:f>
        <x:v>0</x:v>
      </x:c>
      <x:c r="V1109" s="8" t="n">
        <x:f>O1109-I1109*K1109/H1109</x:f>
        <x:v>100.64597474092396</x:v>
      </x:c>
      <x:c r="W1109" s="8" t="n">
        <x:f>P1109-J1109*K1109/H1109</x:f>
        <x:v>0</x:v>
      </x:c>
      <x:c r="X1109" s="8" t="n">
        <x:f>V1109/S1109</x:f>
        <x:v>1.2972942574007569</x:v>
      </x:c>
      <x:c r="Y1109" s="8" t="n">
        <x:f>0</x:f>
        <x:v>0</x:v>
      </x:c>
      <x:c r="Z1109" s="8" t="n">
        <x:f>K1109/H1109-X1109*I1109/H1109-Y1109*J1109/H1109</x:f>
        <x:v>-3.258093779591349</x:v>
      </x:c>
      <x:c r="AA1109" s="8" t="n">
        <x:f>Z1109+X1109*Q1109+Y1109*R1109</x:f>
        <x:v>-1.840828090431176</x:v>
      </x:c>
    </x:row>
    <x:row r="1110" ht="26" customHeight="1">
      <x:c r="A1110" s="2"/>
      <x:c r="B1110" s="2" t="n">
        <x:v>1105</x:v>
      </x:c>
      <x:c r="C1110" s="2" t="str">
        <x:v>Fabric &amp; Home Care / organic_volume_growth</x:v>
      </x:c>
      <x:c r="D1110" s="2" t="str">
        <x:v>Own history</x:v>
      </x:c>
      <x:c r="E1110" s="7" t="n">
        <x:v>45291</x:v>
      </x:c>
      <x:c r="F1110" s="2" t="str">
        <x:v>Prior report</x:v>
      </x:c>
      <x:c r="G1110" s="7" t="n">
        <x:v>45217</x:v>
      </x:c>
      <x:c r="H1110" s="2" t="n">
        <x:v>10</x:v>
      </x:c>
      <x:c r="I1110" s="8" t="n">
        <x:v>-1</x:v>
      </x:c>
      <x:c r="J1110" s="8" t="n">
        <x:v>0</x:v>
      </x:c>
      <x:c r="K1110" s="8" t="n">
        <x:v>-4</x:v>
      </x:c>
      <x:c r="L1110" s="8" t="n">
        <x:v>183</x:v>
      </x:c>
      <x:c r="M1110" s="8" t="n">
        <x:v>0</x:v>
      </x:c>
      <x:c r="N1110" s="8" t="n">
        <x:v>0</x:v>
      </x:c>
      <x:c r="O1110" s="8" t="n">
        <x:v>126</x:v>
      </x:c>
      <x:c r="P1110" s="8" t="n">
        <x:v>0</x:v>
      </x:c>
      <x:c r="Q1110" s="8" t="n">
        <x:v>0</x:v>
      </x:c>
      <x:c r="R1110" s="8" t="n">
        <x:v>0</x:v>
      </x:c>
      <x:c r="S1110" s="8" t="n">
        <x:f>L1110-I1110^2/H1110</x:f>
        <x:v>182.9</x:v>
      </x:c>
      <x:c r="T1110" s="8" t="n">
        <x:f>M1110-J1110^2/H1110</x:f>
        <x:v>0</x:v>
      </x:c>
      <x:c r="U1110" s="8" t="n">
        <x:f>N1110-I1110*J1110/H1110</x:f>
        <x:v>0</x:v>
      </x:c>
      <x:c r="V1110" s="8" t="n">
        <x:f>O1110-I1110*K1110/H1110</x:f>
        <x:v>125.6</x:v>
      </x:c>
      <x:c r="W1110" s="8" t="n">
        <x:f>P1110-J1110*K1110/H1110</x:f>
        <x:v>0</x:v>
      </x:c>
      <x:c r="X1110" s="8" t="n">
        <x:f>V1110/S1110</x:f>
        <x:v>0.6867140513942044</x:v>
      </x:c>
      <x:c r="Y1110" s="8" t="n">
        <x:f>0</x:f>
        <x:v>0</x:v>
      </x:c>
      <x:c r="Z1110" s="8" t="n">
        <x:f>K1110/H1110-X1110*I1110/H1110-Y1110*J1110/H1110</x:f>
        <x:v>-0.3313285948605796</x:v>
      </x:c>
      <x:c r="AA1110" s="8" t="n">
        <x:f>Z1110+X1110*Q1110+Y1110*R1110</x:f>
        <x:v>-0.3313285948605796</x:v>
      </x:c>
    </x:row>
    <x:row r="1111" ht="26" customHeight="1">
      <x:c r="A1111" s="2"/>
      <x:c r="B1111" s="2" t="n">
        <x:v>1106</x:v>
      </x:c>
      <x:c r="C1111" s="2" t="str">
        <x:v>Fabric &amp; Home Care / organic_volume_growth</x:v>
      </x:c>
      <x:c r="D1111" s="2" t="str">
        <x:v>Broad market</x:v>
      </x:c>
      <x:c r="E1111" s="7" t="n">
        <x:v>45291</x:v>
      </x:c>
      <x:c r="F1111" s="2" t="str">
        <x:v>Pre-earnings</x:v>
      </x:c>
      <x:c r="G1111" s="7" t="n">
        <x:v>45313</x:v>
      </x:c>
      <x:c r="H1111" s="2" t="n">
        <x:v>11</x:v>
      </x:c>
      <x:c r="I1111" s="8" t="n">
        <x:v>38.00115718712883</x:v>
      </x:c>
      <x:c r="J1111" s="8" t="n">
        <x:v>0</x:v>
      </x:c>
      <x:c r="K1111" s="8" t="n">
        <x:v>-1</x:v>
      </x:c>
      <x:c r="L1111" s="8" t="n">
        <x:v>347.2546204712401</x:v>
      </x:c>
      <x:c r="M1111" s="8" t="n">
        <x:v>0</x:v>
      </x:c>
      <x:c r="N1111" s="8" t="n">
        <x:v>0</x:v>
      </x:c>
      <x:c r="O1111" s="8" t="n">
        <x:v>123.67272469470674</x:v>
      </x:c>
      <x:c r="P1111" s="8" t="n">
        <x:v>0</x:v>
      </x:c>
      <x:c r="Q1111" s="8" t="n">
        <x:v>1.491718651029772</x:v>
      </x:c>
      <x:c r="R1111" s="8" t="n">
        <x:v>0</x:v>
      </x:c>
      <x:c r="S1111" s="8" t="n">
        <x:f>L1111-I1111^2/H1111</x:f>
        <x:v>215.9738979657062</x:v>
      </x:c>
      <x:c r="T1111" s="8" t="n">
        <x:f>M1111-J1111^2/H1111</x:f>
        <x:v>0</x:v>
      </x:c>
      <x:c r="U1111" s="8" t="n">
        <x:f>N1111-I1111*J1111/H1111</x:f>
        <x:v>0</x:v>
      </x:c>
      <x:c r="V1111" s="8" t="n">
        <x:f>O1111-I1111*K1111/H1111</x:f>
        <x:v>127.1273753480821</x:v>
      </x:c>
      <x:c r="W1111" s="8" t="n">
        <x:f>P1111-J1111*K1111/H1111</x:f>
        <x:v>0</x:v>
      </x:c>
      <x:c r="X1111" s="8" t="n">
        <x:f>V1111/S1111</x:f>
        <x:v>0.5886237945673799</x:v>
      </x:c>
      <x:c r="Y1111" s="8" t="n">
        <x:f>0</x:f>
        <x:v>0</x:v>
      </x:c>
      <x:c r="Z1111" s="8" t="n">
        <x:f>K1111/H1111-X1111*I1111/H1111-Y1111*J1111/H1111</x:f>
        <x:v>-2.1243986674035664</x:v>
      </x:c>
      <x:c r="AA1111" s="8" t="n">
        <x:f>Z1111+X1111*Q1111+Y1111*R1111</x:f>
        <x:v>-1.2463375746074887</x:v>
      </x:c>
    </x:row>
    <x:row r="1112" ht="26" customHeight="1">
      <x:c r="A1112" s="2"/>
      <x:c r="B1112" s="2" t="n">
        <x:v>1107</x:v>
      </x:c>
      <x:c r="C1112" s="2" t="str">
        <x:v>Fabric &amp; Home Care / organic_volume_growth</x:v>
      </x:c>
      <x:c r="D1112" s="2" t="str">
        <x:v>Broad lag 1</x:v>
      </x:c>
      <x:c r="E1112" s="7" t="n">
        <x:v>45291</x:v>
      </x:c>
      <x:c r="F1112" s="2" t="str">
        <x:v>Pre-earnings</x:v>
      </x:c>
      <x:c r="G1112" s="7" t="n">
        <x:v>45313</x:v>
      </x:c>
      <x:c r="H1112" s="2" t="n">
        <x:v>10</x:v>
      </x:c>
      <x:c r="I1112" s="8" t="n">
        <x:v>36.567292681299975</x:v>
      </x:c>
      <x:c r="J1112" s="8" t="n">
        <x:v>0</x:v>
      </x:c>
      <x:c r="K1112" s="8" t="n">
        <x:v>-4</x:v>
      </x:c>
      <x:c r="L1112" s="8" t="n">
        <x:v>345.1986530501643</x:v>
      </x:c>
      <x:c r="M1112" s="8" t="n">
        <x:v>0</x:v>
      </x:c>
      <x:c r="N1112" s="8" t="n">
        <x:v>0</x:v>
      </x:c>
      <x:c r="O1112" s="8" t="n">
        <x:v>120.58948272295386</x:v>
      </x:c>
      <x:c r="P1112" s="8" t="n">
        <x:v>0</x:v>
      </x:c>
      <x:c r="Q1112" s="8" t="n">
        <x:v>1.4338645058288524</x:v>
      </x:c>
      <x:c r="R1112" s="8" t="n">
        <x:v>0</x:v>
      </x:c>
      <x:c r="S1112" s="8" t="n">
        <x:f>L1112-I1112^2/H1112</x:f>
        <x:v>211.48196364617883</x:v>
      </x:c>
      <x:c r="T1112" s="8" t="n">
        <x:f>M1112-J1112^2/H1112</x:f>
        <x:v>0</x:v>
      </x:c>
      <x:c r="U1112" s="8" t="n">
        <x:f>N1112-I1112*J1112/H1112</x:f>
        <x:v>0</x:v>
      </x:c>
      <x:c r="V1112" s="8" t="n">
        <x:f>O1112-I1112*K1112/H1112</x:f>
        <x:v>135.21639979547385</x:v>
      </x:c>
      <x:c r="W1112" s="8" t="n">
        <x:f>P1112-J1112*K1112/H1112</x:f>
        <x:v>0</x:v>
      </x:c>
      <x:c r="X1112" s="8" t="n">
        <x:f>V1112/S1112</x:f>
        <x:v>0.6393755640632242</x:v>
      </x:c>
      <x:c r="Y1112" s="8" t="n">
        <x:f>0</x:f>
        <x:v>0</x:v>
      </x:c>
      <x:c r="Z1112" s="8" t="n">
        <x:f>K1112/H1112-X1112*I1112/H1112-Y1112*J1112/H1112</x:f>
        <x:v>-2.738023338437118</x:v>
      </x:c>
      <x:c r="AA1112" s="8" t="n">
        <x:f>Z1112+X1112*Q1112+Y1112*R1112</x:f>
        <x:v>-1.8212454112325593</x:v>
      </x:c>
    </x:row>
    <x:row r="1113" ht="26" customHeight="1">
      <x:c r="A1113" s="2"/>
      <x:c r="B1113" s="2" t="n">
        <x:v>1108</x:v>
      </x:c>
      <x:c r="C1113" s="2" t="str">
        <x:v>Fabric &amp; Home Care / organic_volume_growth</x:v>
      </x:c>
      <x:c r="D1113" s="2" t="str">
        <x:v>Broad rolling 8</x:v>
      </x:c>
      <x:c r="E1113" s="7" t="n">
        <x:v>45291</x:v>
      </x:c>
      <x:c r="F1113" s="2" t="str">
        <x:v>Pre-earnings</x:v>
      </x:c>
      <x:c r="G1113" s="7" t="n">
        <x:v>45313</x:v>
      </x:c>
      <x:c r="H1113" s="2" t="n">
        <x:v>8</x:v>
      </x:c>
      <x:c r="I1113" s="8" t="n">
        <x:v>10.87506296757349</x:v>
      </x:c>
      <x:c r="J1113" s="8" t="n">
        <x:v>0</x:v>
      </x:c>
      <x:c r="K1113" s="8" t="n">
        <x:v>-7</x:v>
      </x:c>
      <x:c r="L1113" s="8" t="n">
        <x:v>66.40523721397928</x:v>
      </x:c>
      <x:c r="M1113" s="8" t="n">
        <x:v>0</x:v>
      </x:c>
      <x:c r="N1113" s="8" t="n">
        <x:v>0</x:v>
      </x:c>
      <x:c r="O1113" s="8" t="n">
        <x:v>76.90506623006509</x:v>
      </x:c>
      <x:c r="P1113" s="8" t="n">
        <x:v>0</x:v>
      </x:c>
      <x:c r="Q1113" s="8" t="n">
        <x:v>1.491718651029772</x:v>
      </x:c>
      <x:c r="R1113" s="8" t="n">
        <x:v>0</x:v>
      </x:c>
      <x:c r="S1113" s="8" t="n">
        <x:f>L1113-I1113^2/H1113</x:f>
        <x:v>51.621862895393235</x:v>
      </x:c>
      <x:c r="T1113" s="8" t="n">
        <x:f>M1113-J1113^2/H1113</x:f>
        <x:v>0</x:v>
      </x:c>
      <x:c r="U1113" s="8" t="n">
        <x:f>N1113-I1113*J1113/H1113</x:f>
        <x:v>0</x:v>
      </x:c>
      <x:c r="V1113" s="8" t="n">
        <x:f>O1113-I1113*K1113/H1113</x:f>
        <x:v>86.4207463266919</x:v>
      </x:c>
      <x:c r="W1113" s="8" t="n">
        <x:f>P1113-J1113*K1113/H1113</x:f>
        <x:v>0</x:v>
      </x:c>
      <x:c r="X1113" s="8" t="n">
        <x:f>V1113/S1113</x:f>
        <x:v>1.6741113450674043</x:v>
      </x:c>
      <x:c r="Y1113" s="8" t="n">
        <x:f>0</x:f>
        <x:v>0</x:v>
      </x:c>
      <x:c r="Z1113" s="8" t="n">
        <x:f>K1113/H1113-X1113*I1113/H1113-Y1113*J1113/H1113</x:f>
        <x:v>-3.1507582865421466</x:v>
      </x:c>
      <x:c r="AA1113" s="8" t="n">
        <x:f>Z1113+X1113*Q1113+Y1113*R1113</x:f>
        <x:v>-0.6534551692045611</x:v>
      </x:c>
    </x:row>
    <x:row r="1114" ht="26" customHeight="1">
      <x:c r="A1114" s="2"/>
      <x:c r="B1114" s="2" t="n">
        <x:v>1109</x:v>
      </x:c>
      <x:c r="C1114" s="2" t="str">
        <x:v>Fabric &amp; Home Care / organic_volume_growth</x:v>
      </x:c>
      <x:c r="D1114" s="2" t="str">
        <x:v>Own history</x:v>
      </x:c>
      <x:c r="E1114" s="7" t="n">
        <x:v>45291</x:v>
      </x:c>
      <x:c r="F1114" s="2" t="str">
        <x:v>Pre-earnings</x:v>
      </x:c>
      <x:c r="G1114" s="7" t="n">
        <x:v>45313</x:v>
      </x:c>
      <x:c r="H1114" s="2" t="n">
        <x:v>10</x:v>
      </x:c>
      <x:c r="I1114" s="8" t="n">
        <x:v>-1</x:v>
      </x:c>
      <x:c r="J1114" s="8" t="n">
        <x:v>0</x:v>
      </x:c>
      <x:c r="K1114" s="8" t="n">
        <x:v>-4</x:v>
      </x:c>
      <x:c r="L1114" s="8" t="n">
        <x:v>183</x:v>
      </x:c>
      <x:c r="M1114" s="8" t="n">
        <x:v>0</x:v>
      </x:c>
      <x:c r="N1114" s="8" t="n">
        <x:v>0</x:v>
      </x:c>
      <x:c r="O1114" s="8" t="n">
        <x:v>126</x:v>
      </x:c>
      <x:c r="P1114" s="8" t="n">
        <x:v>0</x:v>
      </x:c>
      <x:c r="Q1114" s="8" t="n">
        <x:v>0</x:v>
      </x:c>
      <x:c r="R1114" s="8" t="n">
        <x:v>0</x:v>
      </x:c>
      <x:c r="S1114" s="8" t="n">
        <x:f>L1114-I1114^2/H1114</x:f>
        <x:v>182.9</x:v>
      </x:c>
      <x:c r="T1114" s="8" t="n">
        <x:f>M1114-J1114^2/H1114</x:f>
        <x:v>0</x:v>
      </x:c>
      <x:c r="U1114" s="8" t="n">
        <x:f>N1114-I1114*J1114/H1114</x:f>
        <x:v>0</x:v>
      </x:c>
      <x:c r="V1114" s="8" t="n">
        <x:f>O1114-I1114*K1114/H1114</x:f>
        <x:v>125.6</x:v>
      </x:c>
      <x:c r="W1114" s="8" t="n">
        <x:f>P1114-J1114*K1114/H1114</x:f>
        <x:v>0</x:v>
      </x:c>
      <x:c r="X1114" s="8" t="n">
        <x:f>V1114/S1114</x:f>
        <x:v>0.6867140513942044</x:v>
      </x:c>
      <x:c r="Y1114" s="8" t="n">
        <x:f>0</x:f>
        <x:v>0</x:v>
      </x:c>
      <x:c r="Z1114" s="8" t="n">
        <x:f>K1114/H1114-X1114*I1114/H1114-Y1114*J1114/H1114</x:f>
        <x:v>-0.3313285948605796</x:v>
      </x:c>
      <x:c r="AA1114" s="8" t="n">
        <x:f>Z1114+X1114*Q1114+Y1114*R1114</x:f>
        <x:v>-0.3313285948605796</x:v>
      </x:c>
    </x:row>
    <x:row r="1115" ht="26" customHeight="1">
      <x:c r="A1115" s="2"/>
      <x:c r="B1115" s="2" t="n">
        <x:v>1110</x:v>
      </x:c>
      <x:c r="C1115" s="2" t="str">
        <x:v>Fabric &amp; Home Care / organic_volume_growth</x:v>
      </x:c>
      <x:c r="D1115" s="2" t="str">
        <x:v>Broad market</x:v>
      </x:c>
      <x:c r="E1115" s="7" t="n">
        <x:v>45382</x:v>
      </x:c>
      <x:c r="F1115" s="2" t="str">
        <x:v>Origin</x:v>
      </x:c>
      <x:c r="G1115" s="7" t="n">
        <x:v>45292</x:v>
      </x:c>
      <x:c r="H1115" s="2" t="n">
        <x:v>11</x:v>
      </x:c>
      <x:c r="I1115" s="8" t="n">
        <x:v>38.00115718712883</x:v>
      </x:c>
      <x:c r="J1115" s="8" t="n">
        <x:v>0</x:v>
      </x:c>
      <x:c r="K1115" s="8" t="n">
        <x:v>-1</x:v>
      </x:c>
      <x:c r="L1115" s="8" t="n">
        <x:v>347.2546204712401</x:v>
      </x:c>
      <x:c r="M1115" s="8" t="n">
        <x:v>0</x:v>
      </x:c>
      <x:c r="N1115" s="8" t="n">
        <x:v>0</x:v>
      </x:c>
      <x:c r="O1115" s="8" t="n">
        <x:v>123.67272469470674</x:v>
      </x:c>
      <x:c r="P1115" s="8" t="n">
        <x:v>0</x:v>
      </x:c>
      <x:c r="Q1115" s="8" t="n">
        <x:v>1.39166817713261</x:v>
      </x:c>
      <x:c r="R1115" s="8" t="n">
        <x:v>0</x:v>
      </x:c>
      <x:c r="S1115" s="8" t="n">
        <x:f>L1115-I1115^2/H1115</x:f>
        <x:v>215.9738979657062</x:v>
      </x:c>
      <x:c r="T1115" s="8" t="n">
        <x:f>M1115-J1115^2/H1115</x:f>
        <x:v>0</x:v>
      </x:c>
      <x:c r="U1115" s="8" t="n">
        <x:f>N1115-I1115*J1115/H1115</x:f>
        <x:v>0</x:v>
      </x:c>
      <x:c r="V1115" s="8" t="n">
        <x:f>O1115-I1115*K1115/H1115</x:f>
        <x:v>127.1273753480821</x:v>
      </x:c>
      <x:c r="W1115" s="8" t="n">
        <x:f>P1115-J1115*K1115/H1115</x:f>
        <x:v>0</x:v>
      </x:c>
      <x:c r="X1115" s="8" t="n">
        <x:f>V1115/S1115</x:f>
        <x:v>0.5886237945673799</x:v>
      </x:c>
      <x:c r="Y1115" s="8" t="n">
        <x:f>0</x:f>
        <x:v>0</x:v>
      </x:c>
      <x:c r="Z1115" s="8" t="n">
        <x:f>K1115/H1115-X1115*I1115/H1115-Y1115*J1115/H1115</x:f>
        <x:v>-2.1243986674035664</x:v>
      </x:c>
      <x:c r="AA1115" s="8" t="n">
        <x:f>Z1115+X1115*Q1115+Y1115*R1115</x:f>
        <x:v>-1.305229664201101</x:v>
      </x:c>
    </x:row>
    <x:row r="1116" ht="26" customHeight="1">
      <x:c r="A1116" s="2"/>
      <x:c r="B1116" s="2" t="n">
        <x:v>1111</x:v>
      </x:c>
      <x:c r="C1116" s="2" t="str">
        <x:v>Fabric &amp; Home Care / organic_volume_growth</x:v>
      </x:c>
      <x:c r="D1116" s="2" t="str">
        <x:v>Broad rolling 8</x:v>
      </x:c>
      <x:c r="E1116" s="7" t="n">
        <x:v>45382</x:v>
      </x:c>
      <x:c r="F1116" s="2" t="str">
        <x:v>Origin</x:v>
      </x:c>
      <x:c r="G1116" s="7" t="n">
        <x:v>45292</x:v>
      </x:c>
      <x:c r="H1116" s="2" t="n">
        <x:v>8</x:v>
      </x:c>
      <x:c r="I1116" s="8" t="n">
        <x:v>10.87506296757349</x:v>
      </x:c>
      <x:c r="J1116" s="8" t="n">
        <x:v>0</x:v>
      </x:c>
      <x:c r="K1116" s="8" t="n">
        <x:v>-7</x:v>
      </x:c>
      <x:c r="L1116" s="8" t="n">
        <x:v>66.40523721397928</x:v>
      </x:c>
      <x:c r="M1116" s="8" t="n">
        <x:v>0</x:v>
      </x:c>
      <x:c r="N1116" s="8" t="n">
        <x:v>0</x:v>
      </x:c>
      <x:c r="O1116" s="8" t="n">
        <x:v>76.90506623006509</x:v>
      </x:c>
      <x:c r="P1116" s="8" t="n">
        <x:v>0</x:v>
      </x:c>
      <x:c r="Q1116" s="8" t="n">
        <x:v>1.39166817713261</x:v>
      </x:c>
      <x:c r="R1116" s="8" t="n">
        <x:v>0</x:v>
      </x:c>
      <x:c r="S1116" s="8" t="n">
        <x:f>L1116-I1116^2/H1116</x:f>
        <x:v>51.621862895393235</x:v>
      </x:c>
      <x:c r="T1116" s="8" t="n">
        <x:f>M1116-J1116^2/H1116</x:f>
        <x:v>0</x:v>
      </x:c>
      <x:c r="U1116" s="8" t="n">
        <x:f>N1116-I1116*J1116/H1116</x:f>
        <x:v>0</x:v>
      </x:c>
      <x:c r="V1116" s="8" t="n">
        <x:f>O1116-I1116*K1116/H1116</x:f>
        <x:v>86.4207463266919</x:v>
      </x:c>
      <x:c r="W1116" s="8" t="n">
        <x:f>P1116-J1116*K1116/H1116</x:f>
        <x:v>0</x:v>
      </x:c>
      <x:c r="X1116" s="8" t="n">
        <x:f>V1116/S1116</x:f>
        <x:v>1.6741113450674043</x:v>
      </x:c>
      <x:c r="Y1116" s="8" t="n">
        <x:f>0</x:f>
        <x:v>0</x:v>
      </x:c>
      <x:c r="Z1116" s="8" t="n">
        <x:f>K1116/H1116-X1116*I1116/H1116-Y1116*J1116/H1116</x:f>
        <x:v>-3.1507582865421466</x:v>
      </x:c>
      <x:c r="AA1116" s="8" t="n">
        <x:f>Z1116+X1116*Q1116+Y1116*R1116</x:f>
        <x:v>-0.8209508026351702</x:v>
      </x:c>
    </x:row>
    <x:row r="1117" ht="26" customHeight="1">
      <x:c r="A1117" s="2"/>
      <x:c r="B1117" s="2" t="n">
        <x:v>1112</x:v>
      </x:c>
      <x:c r="C1117" s="2" t="str">
        <x:v>Fabric &amp; Home Care / organic_volume_growth</x:v>
      </x:c>
      <x:c r="D1117" s="2" t="str">
        <x:v>Own history</x:v>
      </x:c>
      <x:c r="E1117" s="7" t="n">
        <x:v>45382</x:v>
      </x:c>
      <x:c r="F1117" s="2" t="str">
        <x:v>Origin</x:v>
      </x:c>
      <x:c r="G1117" s="7" t="n">
        <x:v>45292</x:v>
      </x:c>
      <x:c r="H1117" s="2" t="n">
        <x:v>9</x:v>
      </x:c>
      <x:c r="I1117" s="8" t="n">
        <x:v>1</x:v>
      </x:c>
      <x:c r="J1117" s="8" t="n">
        <x:v>0</x:v>
      </x:c>
      <x:c r="K1117" s="8" t="n">
        <x:v>-5</x:v>
      </x:c>
      <x:c r="L1117" s="8" t="n">
        <x:v>179</x:v>
      </x:c>
      <x:c r="M1117" s="8" t="n">
        <x:v>0</x:v>
      </x:c>
      <x:c r="N1117" s="8" t="n">
        <x:v>0</x:v>
      </x:c>
      <x:c r="O1117" s="8" t="n">
        <x:v>37</x:v>
      </x:c>
      <x:c r="P1117" s="8" t="n">
        <x:v>0</x:v>
      </x:c>
      <x:c r="Q1117" s="8" t="n">
        <x:v>0</x:v>
      </x:c>
      <x:c r="R1117" s="8" t="n">
        <x:v>0</x:v>
      </x:c>
      <x:c r="S1117" s="8" t="n">
        <x:f>L1117-I1117^2/H1117</x:f>
        <x:v>178.88888888888889</x:v>
      </x:c>
      <x:c r="T1117" s="8" t="n">
        <x:f>M1117-J1117^2/H1117</x:f>
        <x:v>0</x:v>
      </x:c>
      <x:c r="U1117" s="8" t="n">
        <x:f>N1117-I1117*J1117/H1117</x:f>
        <x:v>0</x:v>
      </x:c>
      <x:c r="V1117" s="8" t="n">
        <x:f>O1117-I1117*K1117/H1117</x:f>
        <x:v>37.55555555555556</x:v>
      </x:c>
      <x:c r="W1117" s="8" t="n">
        <x:f>P1117-J1117*K1117/H1117</x:f>
        <x:v>0</x:v>
      </x:c>
      <x:c r="X1117" s="8" t="n">
        <x:f>V1117/S1117</x:f>
        <x:v>0.20993788819875778</x:v>
      </x:c>
      <x:c r="Y1117" s="8" t="n">
        <x:f>0</x:f>
        <x:v>0</x:v>
      </x:c>
      <x:c r="Z1117" s="8" t="n">
        <x:f>K1117/H1117-X1117*I1117/H1117-Y1117*J1117/H1117</x:f>
        <x:v>-0.5788819875776398</x:v>
      </x:c>
      <x:c r="AA1117" s="8" t="n">
        <x:f>Z1117+X1117*Q1117+Y1117*R1117</x:f>
        <x:v>-0.5788819875776398</x:v>
      </x:c>
    </x:row>
    <x:row r="1118" ht="26" customHeight="1">
      <x:c r="A1118" s="2"/>
      <x:c r="B1118" s="2" t="n">
        <x:v>1113</x:v>
      </x:c>
      <x:c r="C1118" s="2" t="str">
        <x:v>Fabric &amp; Home Care / organic_volume_growth</x:v>
      </x:c>
      <x:c r="D1118" s="2" t="str">
        <x:v>Broad market</x:v>
      </x:c>
      <x:c r="E1118" s="7" t="n">
        <x:v>45382</x:v>
      </x:c>
      <x:c r="F1118" s="2" t="str">
        <x:v>Prior report</x:v>
      </x:c>
      <x:c r="G1118" s="7" t="n">
        <x:v>45314</x:v>
      </x:c>
      <x:c r="H1118" s="2" t="n">
        <x:v>11</x:v>
      </x:c>
      <x:c r="I1118" s="8" t="n">
        <x:v>38.00115718712883</x:v>
      </x:c>
      <x:c r="J1118" s="8" t="n">
        <x:v>0</x:v>
      </x:c>
      <x:c r="K1118" s="8" t="n">
        <x:v>-1</x:v>
      </x:c>
      <x:c r="L1118" s="8" t="n">
        <x:v>347.2546204712401</x:v>
      </x:c>
      <x:c r="M1118" s="8" t="n">
        <x:v>0</x:v>
      </x:c>
      <x:c r="N1118" s="8" t="n">
        <x:v>0</x:v>
      </x:c>
      <x:c r="O1118" s="8" t="n">
        <x:v>123.67272469470674</x:v>
      </x:c>
      <x:c r="P1118" s="8" t="n">
        <x:v>0</x:v>
      </x:c>
      <x:c r="Q1118" s="8" t="n">
        <x:v>1.39166817713261</x:v>
      </x:c>
      <x:c r="R1118" s="8" t="n">
        <x:v>0</x:v>
      </x:c>
      <x:c r="S1118" s="8" t="n">
        <x:f>L1118-I1118^2/H1118</x:f>
        <x:v>215.9738979657062</x:v>
      </x:c>
      <x:c r="T1118" s="8" t="n">
        <x:f>M1118-J1118^2/H1118</x:f>
        <x:v>0</x:v>
      </x:c>
      <x:c r="U1118" s="8" t="n">
        <x:f>N1118-I1118*J1118/H1118</x:f>
        <x:v>0</x:v>
      </x:c>
      <x:c r="V1118" s="8" t="n">
        <x:f>O1118-I1118*K1118/H1118</x:f>
        <x:v>127.1273753480821</x:v>
      </x:c>
      <x:c r="W1118" s="8" t="n">
        <x:f>P1118-J1118*K1118/H1118</x:f>
        <x:v>0</x:v>
      </x:c>
      <x:c r="X1118" s="8" t="n">
        <x:f>V1118/S1118</x:f>
        <x:v>0.5886237945673799</x:v>
      </x:c>
      <x:c r="Y1118" s="8" t="n">
        <x:f>0</x:f>
        <x:v>0</x:v>
      </x:c>
      <x:c r="Z1118" s="8" t="n">
        <x:f>K1118/H1118-X1118*I1118/H1118-Y1118*J1118/H1118</x:f>
        <x:v>-2.1243986674035664</x:v>
      </x:c>
      <x:c r="AA1118" s="8" t="n">
        <x:f>Z1118+X1118*Q1118+Y1118*R1118</x:f>
        <x:v>-1.305229664201101</x:v>
      </x:c>
    </x:row>
    <x:row r="1119" ht="26" customHeight="1">
      <x:c r="A1119" s="2"/>
      <x:c r="B1119" s="2" t="n">
        <x:v>1114</x:v>
      </x:c>
      <x:c r="C1119" s="2" t="str">
        <x:v>Fabric &amp; Home Care / organic_volume_growth</x:v>
      </x:c>
      <x:c r="D1119" s="2" t="str">
        <x:v>Broad rolling 8</x:v>
      </x:c>
      <x:c r="E1119" s="7" t="n">
        <x:v>45382</x:v>
      </x:c>
      <x:c r="F1119" s="2" t="str">
        <x:v>Prior report</x:v>
      </x:c>
      <x:c r="G1119" s="7" t="n">
        <x:v>45314</x:v>
      </x:c>
      <x:c r="H1119" s="2" t="n">
        <x:v>8</x:v>
      </x:c>
      <x:c r="I1119" s="8" t="n">
        <x:v>10.87506296757349</x:v>
      </x:c>
      <x:c r="J1119" s="8" t="n">
        <x:v>0</x:v>
      </x:c>
      <x:c r="K1119" s="8" t="n">
        <x:v>-7</x:v>
      </x:c>
      <x:c r="L1119" s="8" t="n">
        <x:v>66.40523721397928</x:v>
      </x:c>
      <x:c r="M1119" s="8" t="n">
        <x:v>0</x:v>
      </x:c>
      <x:c r="N1119" s="8" t="n">
        <x:v>0</x:v>
      </x:c>
      <x:c r="O1119" s="8" t="n">
        <x:v>76.90506623006509</x:v>
      </x:c>
      <x:c r="P1119" s="8" t="n">
        <x:v>0</x:v>
      </x:c>
      <x:c r="Q1119" s="8" t="n">
        <x:v>1.39166817713261</x:v>
      </x:c>
      <x:c r="R1119" s="8" t="n">
        <x:v>0</x:v>
      </x:c>
      <x:c r="S1119" s="8" t="n">
        <x:f>L1119-I1119^2/H1119</x:f>
        <x:v>51.621862895393235</x:v>
      </x:c>
      <x:c r="T1119" s="8" t="n">
        <x:f>M1119-J1119^2/H1119</x:f>
        <x:v>0</x:v>
      </x:c>
      <x:c r="U1119" s="8" t="n">
        <x:f>N1119-I1119*J1119/H1119</x:f>
        <x:v>0</x:v>
      </x:c>
      <x:c r="V1119" s="8" t="n">
        <x:f>O1119-I1119*K1119/H1119</x:f>
        <x:v>86.4207463266919</x:v>
      </x:c>
      <x:c r="W1119" s="8" t="n">
        <x:f>P1119-J1119*K1119/H1119</x:f>
        <x:v>0</x:v>
      </x:c>
      <x:c r="X1119" s="8" t="n">
        <x:f>V1119/S1119</x:f>
        <x:v>1.6741113450674043</x:v>
      </x:c>
      <x:c r="Y1119" s="8" t="n">
        <x:f>0</x:f>
        <x:v>0</x:v>
      </x:c>
      <x:c r="Z1119" s="8" t="n">
        <x:f>K1119/H1119-X1119*I1119/H1119-Y1119*J1119/H1119</x:f>
        <x:v>-3.1507582865421466</x:v>
      </x:c>
      <x:c r="AA1119" s="8" t="n">
        <x:f>Z1119+X1119*Q1119+Y1119*R1119</x:f>
        <x:v>-0.8209508026351702</x:v>
      </x:c>
    </x:row>
    <x:row r="1120" ht="26" customHeight="1">
      <x:c r="A1120" s="2"/>
      <x:c r="B1120" s="2" t="n">
        <x:v>1115</x:v>
      </x:c>
      <x:c r="C1120" s="2" t="str">
        <x:v>Fabric &amp; Home Care / organic_volume_growth</x:v>
      </x:c>
      <x:c r="D1120" s="2" t="str">
        <x:v>Own history</x:v>
      </x:c>
      <x:c r="E1120" s="7" t="n">
        <x:v>45382</x:v>
      </x:c>
      <x:c r="F1120" s="2" t="str">
        <x:v>Prior report</x:v>
      </x:c>
      <x:c r="G1120" s="7" t="n">
        <x:v>45314</x:v>
      </x:c>
      <x:c r="H1120" s="2" t="n">
        <x:v>11</x:v>
      </x:c>
      <x:c r="I1120" s="8" t="n">
        <x:v>-1</x:v>
      </x:c>
      <x:c r="J1120" s="8" t="n">
        <x:v>0</x:v>
      </x:c>
      <x:c r="K1120" s="8" t="n">
        <x:v>-3</x:v>
      </x:c>
      <x:c r="L1120" s="8" t="n">
        <x:v>183</x:v>
      </x:c>
      <x:c r="M1120" s="8" t="n">
        <x:v>0</x:v>
      </x:c>
      <x:c r="N1120" s="8" t="n">
        <x:v>0</x:v>
      </x:c>
      <x:c r="O1120" s="8" t="n">
        <x:v>126</x:v>
      </x:c>
      <x:c r="P1120" s="8" t="n">
        <x:v>0</x:v>
      </x:c>
      <x:c r="Q1120" s="8" t="n">
        <x:v>1</x:v>
      </x:c>
      <x:c r="R1120" s="8" t="n">
        <x:v>0</x:v>
      </x:c>
      <x:c r="S1120" s="8" t="n">
        <x:f>L1120-I1120^2/H1120</x:f>
        <x:v>182.9090909090909</x:v>
      </x:c>
      <x:c r="T1120" s="8" t="n">
        <x:f>M1120-J1120^2/H1120</x:f>
        <x:v>0</x:v>
      </x:c>
      <x:c r="U1120" s="8" t="n">
        <x:f>N1120-I1120*J1120/H1120</x:f>
        <x:v>0</x:v>
      </x:c>
      <x:c r="V1120" s="8" t="n">
        <x:f>O1120-I1120*K1120/H1120</x:f>
        <x:v>125.72727272727273</x:v>
      </x:c>
      <x:c r="W1120" s="8" t="n">
        <x:f>P1120-J1120*K1120/H1120</x:f>
        <x:v>0</x:v>
      </x:c>
      <x:c r="X1120" s="8" t="n">
        <x:f>V1120/S1120</x:f>
        <x:v>0.687375745526839</x:v>
      </x:c>
      <x:c r="Y1120" s="8" t="n">
        <x:f>0</x:f>
        <x:v>0</x:v>
      </x:c>
      <x:c r="Z1120" s="8" t="n">
        <x:f>K1120/H1120-X1120*I1120/H1120-Y1120*J1120/H1120</x:f>
        <x:v>-0.21023856858846918</x:v>
      </x:c>
      <x:c r="AA1120" s="8" t="n">
        <x:f>Z1120+X1120*Q1120+Y1120*R1120</x:f>
        <x:v>0.4771371769383698</x:v>
      </x:c>
    </x:row>
    <x:row r="1121" ht="26" customHeight="1">
      <x:c r="A1121" s="2"/>
      <x:c r="B1121" s="2" t="n">
        <x:v>1116</x:v>
      </x:c>
      <x:c r="C1121" s="2" t="str">
        <x:v>Fabric &amp; Home Care / organic_volume_growth</x:v>
      </x:c>
      <x:c r="D1121" s="2" t="str">
        <x:v>Broad market</x:v>
      </x:c>
      <x:c r="E1121" s="7" t="n">
        <x:v>45382</x:v>
      </x:c>
      <x:c r="F1121" s="2" t="str">
        <x:v>Pre-earnings</x:v>
      </x:c>
      <x:c r="G1121" s="7" t="n">
        <x:v>45400</x:v>
      </x:c>
      <x:c r="H1121" s="2" t="n">
        <x:v>12</x:v>
      </x:c>
      <x:c r="I1121" s="8" t="n">
        <x:v>40.03102350077526</x:v>
      </x:c>
      <x:c r="J1121" s="8" t="n">
        <x:v>0</x:v>
      </x:c>
      <x:c r="K1121" s="8" t="n">
        <x:v>0</x:v>
      </x:c>
      <x:c r="L1121" s="8" t="n">
        <x:v>351.3749777225167</x:v>
      </x:c>
      <x:c r="M1121" s="8" t="n">
        <x:v>0</x:v>
      </x:c>
      <x:c r="N1121" s="8" t="n">
        <x:v>0</x:v>
      </x:c>
      <x:c r="O1121" s="8" t="n">
        <x:v>125.70259100835318</x:v>
      </x:c>
      <x:c r="P1121" s="8" t="n">
        <x:v>0</x:v>
      </x:c>
      <x:c r="Q1121" s="8" t="n">
        <x:v>1.367016339178151</x:v>
      </x:c>
      <x:c r="R1121" s="8" t="n">
        <x:v>0</x:v>
      </x:c>
      <x:c r="S1121" s="8" t="n">
        <x:f>L1121-I1121^2/H1121</x:f>
        <x:v>217.83474084588158</x:v>
      </x:c>
      <x:c r="T1121" s="8" t="n">
        <x:f>M1121-J1121^2/H1121</x:f>
        <x:v>0</x:v>
      </x:c>
      <x:c r="U1121" s="8" t="n">
        <x:f>N1121-I1121*J1121/H1121</x:f>
        <x:v>0</x:v>
      </x:c>
      <x:c r="V1121" s="8" t="n">
        <x:f>O1121-I1121*K1121/H1121</x:f>
        <x:v>125.70259100835318</x:v>
      </x:c>
      <x:c r="W1121" s="8" t="n">
        <x:f>P1121-J1121*K1121/H1121</x:f>
        <x:v>0</x:v>
      </x:c>
      <x:c r="X1121" s="8" t="n">
        <x:f>V1121/S1121</x:f>
        <x:v>0.5770548376270613</x:v>
      </x:c>
      <x:c r="Y1121" s="8" t="n">
        <x:f>0</x:f>
        <x:v>0</x:v>
      </x:c>
      <x:c r="Z1121" s="8" t="n">
        <x:f>K1121/H1121-X1121*I1121/H1121-Y1121*J1121/H1121</x:f>
        <x:v>-1.9250079805237454</x:v>
      </x:c>
      <x:c r="AA1121" s="8" t="n">
        <x:f>Z1121+X1121*Q1121+Y1121*R1121</x:f>
        <x:v>-1.1361645888857579</x:v>
      </x:c>
    </x:row>
    <x:row r="1122" ht="26" customHeight="1">
      <x:c r="A1122" s="2"/>
      <x:c r="B1122" s="2" t="n">
        <x:v>1117</x:v>
      </x:c>
      <x:c r="C1122" s="2" t="str">
        <x:v>Fabric &amp; Home Care / organic_volume_growth</x:v>
      </x:c>
      <x:c r="D1122" s="2" t="str">
        <x:v>Broad lag 1</x:v>
      </x:c>
      <x:c r="E1122" s="7" t="n">
        <x:v>45382</x:v>
      </x:c>
      <x:c r="F1122" s="2" t="str">
        <x:v>Pre-earnings</x:v>
      </x:c>
      <x:c r="G1122" s="7" t="n">
        <x:v>45400</x:v>
      </x:c>
      <x:c r="H1122" s="2" t="n">
        <x:v>11</x:v>
      </x:c>
      <x:c r="I1122" s="8" t="n">
        <x:v>38.00115718712883</x:v>
      </x:c>
      <x:c r="J1122" s="8" t="n">
        <x:v>0</x:v>
      </x:c>
      <x:c r="K1122" s="8" t="n">
        <x:v>-3</x:v>
      </x:c>
      <x:c r="L1122" s="8" t="n">
        <x:v>347.2546204712401</x:v>
      </x:c>
      <x:c r="M1122" s="8" t="n">
        <x:v>0</x:v>
      </x:c>
      <x:c r="N1122" s="8" t="n">
        <x:v>0</x:v>
      </x:c>
      <x:c r="O1122" s="8" t="n">
        <x:v>122.02334722878271</x:v>
      </x:c>
      <x:c r="P1122" s="8" t="n">
        <x:v>0</x:v>
      </x:c>
      <x:c r="Q1122" s="8" t="n">
        <x:v>2.0298663136464334</x:v>
      </x:c>
      <x:c r="R1122" s="8" t="n">
        <x:v>0</x:v>
      </x:c>
      <x:c r="S1122" s="8" t="n">
        <x:f>L1122-I1122^2/H1122</x:f>
        <x:v>215.9738979657062</x:v>
      </x:c>
      <x:c r="T1122" s="8" t="n">
        <x:f>M1122-J1122^2/H1122</x:f>
        <x:v>0</x:v>
      </x:c>
      <x:c r="U1122" s="8" t="n">
        <x:f>N1122-I1122*J1122/H1122</x:f>
        <x:v>0</x:v>
      </x:c>
      <x:c r="V1122" s="8" t="n">
        <x:f>O1122-I1122*K1122/H1122</x:f>
        <x:v>132.38729918890877</x:v>
      </x:c>
      <x:c r="W1122" s="8" t="n">
        <x:f>P1122-J1122*K1122/H1122</x:f>
        <x:v>0</x:v>
      </x:c>
      <x:c r="X1122" s="8" t="n">
        <x:f>V1122/S1122</x:f>
        <x:v>0.6129782368882842</x:v>
      </x:c>
      <x:c r="Y1122" s="8" t="n">
        <x:f>0</x:f>
        <x:v>0</x:v>
      </x:c>
      <x:c r="Z1122" s="8" t="n">
        <x:f>K1122/H1122-X1122*I1122/H1122-Y1122*J1122/H1122</x:f>
        <x:v>-2.3903529392982534</x:v>
      </x:c>
      <x:c r="AA1122" s="8" t="n">
        <x:f>Z1122+X1122*Q1122+Y1122*R1122</x:f>
        <x:v>-1.1460890652403417</x:v>
      </x:c>
    </x:row>
    <x:row r="1123" ht="26" customHeight="1">
      <x:c r="A1123" s="2"/>
      <x:c r="B1123" s="2" t="n">
        <x:v>1118</x:v>
      </x:c>
      <x:c r="C1123" s="2" t="str">
        <x:v>Fabric &amp; Home Care / organic_volume_growth</x:v>
      </x:c>
      <x:c r="D1123" s="2" t="str">
        <x:v>Broad rolling 8</x:v>
      </x:c>
      <x:c r="E1123" s="7" t="n">
        <x:v>45382</x:v>
      </x:c>
      <x:c r="F1123" s="2" t="str">
        <x:v>Pre-earnings</x:v>
      </x:c>
      <x:c r="G1123" s="7" t="n">
        <x:v>45400</x:v>
      </x:c>
      <x:c r="H1123" s="2" t="n">
        <x:v>8</x:v>
      </x:c>
      <x:c r="I1123" s="8" t="n">
        <x:v>5.901666759832869</x:v>
      </x:c>
      <x:c r="J1123" s="8" t="n">
        <x:v>0</x:v>
      </x:c>
      <x:c r="K1123" s="8" t="n">
        <x:v>-13</x:v>
      </x:c>
      <x:c r="L1123" s="8" t="n">
        <x:v>21.479908521791273</x:v>
      </x:c>
      <x:c r="M1123" s="8" t="n">
        <x:v>0</x:v>
      </x:c>
      <x:c r="N1123" s="8" t="n">
        <x:v>0</x:v>
      </x:c>
      <x:c r="O1123" s="8" t="n">
        <x:v>29.91209489400214</x:v>
      </x:c>
      <x:c r="P1123" s="8" t="n">
        <x:v>0</x:v>
      </x:c>
      <x:c r="Q1123" s="8" t="n">
        <x:v>1.367016339178151</x:v>
      </x:c>
      <x:c r="R1123" s="8" t="n">
        <x:v>0</x:v>
      </x:c>
      <x:c r="S1123" s="8" t="n">
        <x:f>L1123-I1123^2/H1123</x:f>
        <x:v>17.12619970377675</x:v>
      </x:c>
      <x:c r="T1123" s="8" t="n">
        <x:f>M1123-J1123^2/H1123</x:f>
        <x:v>0</x:v>
      </x:c>
      <x:c r="U1123" s="8" t="n">
        <x:f>N1123-I1123*J1123/H1123</x:f>
        <x:v>0</x:v>
      </x:c>
      <x:c r="V1123" s="8" t="n">
        <x:f>O1123-I1123*K1123/H1123</x:f>
        <x:v>39.50230337873055</x:v>
      </x:c>
      <x:c r="W1123" s="8" t="n">
        <x:f>P1123-J1123*K1123/H1123</x:f>
        <x:v>0</x:v>
      </x:c>
      <x:c r="X1123" s="8" t="n">
        <x:f>V1123/S1123</x:f>
        <x:v>2.306542260512081</x:v>
      </x:c>
      <x:c r="Y1123" s="8" t="n">
        <x:f>0</x:f>
        <x:v>0</x:v>
      </x:c>
      <x:c r="Z1123" s="8" t="n">
        <x:f>K1123/H1123-X1123*I1123/H1123-Y1123*J1123/H1123</x:f>
        <x:v>-3.3265554736267395</x:v>
      </x:c>
      <x:c r="AA1123" s="8" t="n">
        <x:f>Z1123+X1123*Q1123+Y1123*R1123</x:f>
        <x:v>-0.17347451650181744</x:v>
      </x:c>
    </x:row>
    <x:row r="1124" ht="26" customHeight="1">
      <x:c r="A1124" s="2"/>
      <x:c r="B1124" s="2" t="n">
        <x:v>1119</x:v>
      </x:c>
      <x:c r="C1124" s="2" t="str">
        <x:v>Fabric &amp; Home Care / organic_volume_growth</x:v>
      </x:c>
      <x:c r="D1124" s="2" t="str">
        <x:v>Own history</x:v>
      </x:c>
      <x:c r="E1124" s="7" t="n">
        <x:v>45382</x:v>
      </x:c>
      <x:c r="F1124" s="2" t="str">
        <x:v>Pre-earnings</x:v>
      </x:c>
      <x:c r="G1124" s="7" t="n">
        <x:v>45400</x:v>
      </x:c>
      <x:c r="H1124" s="2" t="n">
        <x:v>11</x:v>
      </x:c>
      <x:c r="I1124" s="8" t="n">
        <x:v>-1</x:v>
      </x:c>
      <x:c r="J1124" s="8" t="n">
        <x:v>0</x:v>
      </x:c>
      <x:c r="K1124" s="8" t="n">
        <x:v>-3</x:v>
      </x:c>
      <x:c r="L1124" s="8" t="n">
        <x:v>183</x:v>
      </x:c>
      <x:c r="M1124" s="8" t="n">
        <x:v>0</x:v>
      </x:c>
      <x:c r="N1124" s="8" t="n">
        <x:v>0</x:v>
      </x:c>
      <x:c r="O1124" s="8" t="n">
        <x:v>126</x:v>
      </x:c>
      <x:c r="P1124" s="8" t="n">
        <x:v>0</x:v>
      </x:c>
      <x:c r="Q1124" s="8" t="n">
        <x:v>1</x:v>
      </x:c>
      <x:c r="R1124" s="8" t="n">
        <x:v>0</x:v>
      </x:c>
      <x:c r="S1124" s="8" t="n">
        <x:f>L1124-I1124^2/H1124</x:f>
        <x:v>182.9090909090909</x:v>
      </x:c>
      <x:c r="T1124" s="8" t="n">
        <x:f>M1124-J1124^2/H1124</x:f>
        <x:v>0</x:v>
      </x:c>
      <x:c r="U1124" s="8" t="n">
        <x:f>N1124-I1124*J1124/H1124</x:f>
        <x:v>0</x:v>
      </x:c>
      <x:c r="V1124" s="8" t="n">
        <x:f>O1124-I1124*K1124/H1124</x:f>
        <x:v>125.72727272727273</x:v>
      </x:c>
      <x:c r="W1124" s="8" t="n">
        <x:f>P1124-J1124*K1124/H1124</x:f>
        <x:v>0</x:v>
      </x:c>
      <x:c r="X1124" s="8" t="n">
        <x:f>V1124/S1124</x:f>
        <x:v>0.687375745526839</x:v>
      </x:c>
      <x:c r="Y1124" s="8" t="n">
        <x:f>0</x:f>
        <x:v>0</x:v>
      </x:c>
      <x:c r="Z1124" s="8" t="n">
        <x:f>K1124/H1124-X1124*I1124/H1124-Y1124*J1124/H1124</x:f>
        <x:v>-0.21023856858846918</x:v>
      </x:c>
      <x:c r="AA1124" s="8" t="n">
        <x:f>Z1124+X1124*Q1124+Y1124*R1124</x:f>
        <x:v>0.4771371769383698</x:v>
      </x:c>
    </x:row>
    <x:row r="1125" ht="26" customHeight="1">
      <x:c r="A1125" s="2"/>
      <x:c r="B1125" s="2" t="n">
        <x:v>1120</x:v>
      </x:c>
      <x:c r="C1125" s="2" t="str">
        <x:v>Fabric &amp; Home Care / organic_volume_growth</x:v>
      </x:c>
      <x:c r="D1125" s="2" t="str">
        <x:v>Broad market</x:v>
      </x:c>
      <x:c r="E1125" s="7" t="n">
        <x:v>45473</x:v>
      </x:c>
      <x:c r="F1125" s="2" t="str">
        <x:v>Origin</x:v>
      </x:c>
      <x:c r="G1125" s="7" t="n">
        <x:v>45383</x:v>
      </x:c>
      <x:c r="H1125" s="2" t="n">
        <x:v>12</x:v>
      </x:c>
      <x:c r="I1125" s="8" t="n">
        <x:v>40.03102350077526</x:v>
      </x:c>
      <x:c r="J1125" s="8" t="n">
        <x:v>0</x:v>
      </x:c>
      <x:c r="K1125" s="8" t="n">
        <x:v>0</x:v>
      </x:c>
      <x:c r="L1125" s="8" t="n">
        <x:v>351.3749777225167</x:v>
      </x:c>
      <x:c r="M1125" s="8" t="n">
        <x:v>0</x:v>
      </x:c>
      <x:c r="N1125" s="8" t="n">
        <x:v>0</x:v>
      </x:c>
      <x:c r="O1125" s="8" t="n">
        <x:v>125.70259100835318</x:v>
      </x:c>
      <x:c r="P1125" s="8" t="n">
        <x:v>0</x:v>
      </x:c>
      <x:c r="Q1125" s="8" t="n">
        <x:v>1.669924885570362</x:v>
      </x:c>
      <x:c r="R1125" s="8" t="n">
        <x:v>0</x:v>
      </x:c>
      <x:c r="S1125" s="8" t="n">
        <x:f>L1125-I1125^2/H1125</x:f>
        <x:v>217.83474084588158</x:v>
      </x:c>
      <x:c r="T1125" s="8" t="n">
        <x:f>M1125-J1125^2/H1125</x:f>
        <x:v>0</x:v>
      </x:c>
      <x:c r="U1125" s="8" t="n">
        <x:f>N1125-I1125*J1125/H1125</x:f>
        <x:v>0</x:v>
      </x:c>
      <x:c r="V1125" s="8" t="n">
        <x:f>O1125-I1125*K1125/H1125</x:f>
        <x:v>125.70259100835318</x:v>
      </x:c>
      <x:c r="W1125" s="8" t="n">
        <x:f>P1125-J1125*K1125/H1125</x:f>
        <x:v>0</x:v>
      </x:c>
      <x:c r="X1125" s="8" t="n">
        <x:f>V1125/S1125</x:f>
        <x:v>0.5770548376270613</x:v>
      </x:c>
      <x:c r="Y1125" s="8" t="n">
        <x:f>0</x:f>
        <x:v>0</x:v>
      </x:c>
      <x:c r="Z1125" s="8" t="n">
        <x:f>K1125/H1125-X1125*I1125/H1125-Y1125*J1125/H1125</x:f>
        <x:v>-1.9250079805237454</x:v>
      </x:c>
      <x:c r="AA1125" s="8" t="n">
        <x:f>Z1125+X1125*Q1125+Y1125*R1125</x:f>
        <x:v>-0.9613697468315513</x:v>
      </x:c>
    </x:row>
    <x:row r="1126" ht="26" customHeight="1">
      <x:c r="A1126" s="2"/>
      <x:c r="B1126" s="2" t="n">
        <x:v>1121</x:v>
      </x:c>
      <x:c r="C1126" s="2" t="str">
        <x:v>Fabric &amp; Home Care / organic_volume_growth</x:v>
      </x:c>
      <x:c r="D1126" s="2" t="str">
        <x:v>Broad rolling 8</x:v>
      </x:c>
      <x:c r="E1126" s="7" t="n">
        <x:v>45473</x:v>
      </x:c>
      <x:c r="F1126" s="2" t="str">
        <x:v>Origin</x:v>
      </x:c>
      <x:c r="G1126" s="7" t="n">
        <x:v>45383</x:v>
      </x:c>
      <x:c r="H1126" s="2" t="n">
        <x:v>8</x:v>
      </x:c>
      <x:c r="I1126" s="8" t="n">
        <x:v>5.901666759832869</x:v>
      </x:c>
      <x:c r="J1126" s="8" t="n">
        <x:v>0</x:v>
      </x:c>
      <x:c r="K1126" s="8" t="n">
        <x:v>-13</x:v>
      </x:c>
      <x:c r="L1126" s="8" t="n">
        <x:v>21.479908521791273</x:v>
      </x:c>
      <x:c r="M1126" s="8" t="n">
        <x:v>0</x:v>
      </x:c>
      <x:c r="N1126" s="8" t="n">
        <x:v>0</x:v>
      </x:c>
      <x:c r="O1126" s="8" t="n">
        <x:v>29.91209489400214</x:v>
      </x:c>
      <x:c r="P1126" s="8" t="n">
        <x:v>0</x:v>
      </x:c>
      <x:c r="Q1126" s="8" t="n">
        <x:v>1.669924885570362</x:v>
      </x:c>
      <x:c r="R1126" s="8" t="n">
        <x:v>0</x:v>
      </x:c>
      <x:c r="S1126" s="8" t="n">
        <x:f>L1126-I1126^2/H1126</x:f>
        <x:v>17.12619970377675</x:v>
      </x:c>
      <x:c r="T1126" s="8" t="n">
        <x:f>M1126-J1126^2/H1126</x:f>
        <x:v>0</x:v>
      </x:c>
      <x:c r="U1126" s="8" t="n">
        <x:f>N1126-I1126*J1126/H1126</x:f>
        <x:v>0</x:v>
      </x:c>
      <x:c r="V1126" s="8" t="n">
        <x:f>O1126-I1126*K1126/H1126</x:f>
        <x:v>39.50230337873055</x:v>
      </x:c>
      <x:c r="W1126" s="8" t="n">
        <x:f>P1126-J1126*K1126/H1126</x:f>
        <x:v>0</x:v>
      </x:c>
      <x:c r="X1126" s="8" t="n">
        <x:f>V1126/S1126</x:f>
        <x:v>2.306542260512081</x:v>
      </x:c>
      <x:c r="Y1126" s="8" t="n">
        <x:f>0</x:f>
        <x:v>0</x:v>
      </x:c>
      <x:c r="Z1126" s="8" t="n">
        <x:f>K1126/H1126-X1126*I1126/H1126-Y1126*J1126/H1126</x:f>
        <x:v>-3.3265554736267395</x:v>
      </x:c>
      <x:c r="AA1126" s="8" t="n">
        <x:f>Z1126+X1126*Q1126+Y1126*R1126</x:f>
        <x:v>0.5251968468221015</x:v>
      </x:c>
    </x:row>
    <x:row r="1127" ht="26" customHeight="1">
      <x:c r="A1127" s="2"/>
      <x:c r="B1127" s="2" t="n">
        <x:v>1122</x:v>
      </x:c>
      <x:c r="C1127" s="2" t="str">
        <x:v>Fabric &amp; Home Care / organic_volume_growth</x:v>
      </x:c>
      <x:c r="D1127" s="2" t="str">
        <x:v>Own history</x:v>
      </x:c>
      <x:c r="E1127" s="7" t="n">
        <x:v>45473</x:v>
      </x:c>
      <x:c r="F1127" s="2" t="str">
        <x:v>Origin</x:v>
      </x:c>
      <x:c r="G1127" s="7" t="n">
        <x:v>45383</x:v>
      </x:c>
      <x:c r="H1127" s="2" t="n">
        <x:v>10</x:v>
      </x:c>
      <x:c r="I1127" s="8" t="n">
        <x:v>-1</x:v>
      </x:c>
      <x:c r="J1127" s="8" t="n">
        <x:v>0</x:v>
      </x:c>
      <x:c r="K1127" s="8" t="n">
        <x:v>-4</x:v>
      </x:c>
      <x:c r="L1127" s="8" t="n">
        <x:v>183</x:v>
      </x:c>
      <x:c r="M1127" s="8" t="n">
        <x:v>0</x:v>
      </x:c>
      <x:c r="N1127" s="8" t="n">
        <x:v>0</x:v>
      </x:c>
      <x:c r="O1127" s="8" t="n">
        <x:v>35</x:v>
      </x:c>
      <x:c r="P1127" s="8" t="n">
        <x:v>0</x:v>
      </x:c>
      <x:c r="Q1127" s="8" t="n">
        <x:v>1</x:v>
      </x:c>
      <x:c r="R1127" s="8" t="n">
        <x:v>0</x:v>
      </x:c>
      <x:c r="S1127" s="8" t="n">
        <x:f>L1127-I1127^2/H1127</x:f>
        <x:v>182.9</x:v>
      </x:c>
      <x:c r="T1127" s="8" t="n">
        <x:f>M1127-J1127^2/H1127</x:f>
        <x:v>0</x:v>
      </x:c>
      <x:c r="U1127" s="8" t="n">
        <x:f>N1127-I1127*J1127/H1127</x:f>
        <x:v>0</x:v>
      </x:c>
      <x:c r="V1127" s="8" t="n">
        <x:f>O1127-I1127*K1127/H1127</x:f>
        <x:v>34.6</x:v>
      </x:c>
      <x:c r="W1127" s="8" t="n">
        <x:f>P1127-J1127*K1127/H1127</x:f>
        <x:v>0</x:v>
      </x:c>
      <x:c r="X1127" s="8" t="n">
        <x:f>V1127/S1127</x:f>
        <x:v>0.18917441224712958</x:v>
      </x:c>
      <x:c r="Y1127" s="8" t="n">
        <x:f>0</x:f>
        <x:v>0</x:v>
      </x:c>
      <x:c r="Z1127" s="8" t="n">
        <x:f>K1127/H1127-X1127*I1127/H1127-Y1127*J1127/H1127</x:f>
        <x:v>-0.3810825587752871</x:v>
      </x:c>
      <x:c r="AA1127" s="8" t="n">
        <x:f>Z1127+X1127*Q1127+Y1127*R1127</x:f>
        <x:v>-0.1919081465281575</x:v>
      </x:c>
    </x:row>
    <x:row r="1128" ht="26" customHeight="1">
      <x:c r="A1128" s="2"/>
      <x:c r="B1128" s="2" t="n">
        <x:v>1123</x:v>
      </x:c>
      <x:c r="C1128" s="2" t="str">
        <x:v>Fabric &amp; Home Care / organic_volume_growth</x:v>
      </x:c>
      <x:c r="D1128" s="2" t="str">
        <x:v>Broad market</x:v>
      </x:c>
      <x:c r="E1128" s="7" t="n">
        <x:v>45473</x:v>
      </x:c>
      <x:c r="F1128" s="2" t="str">
        <x:v>Prior report</x:v>
      </x:c>
      <x:c r="G1128" s="7" t="n">
        <x:v>45401</x:v>
      </x:c>
      <x:c r="H1128" s="2" t="n">
        <x:v>12</x:v>
      </x:c>
      <x:c r="I1128" s="8" t="n">
        <x:v>40.03102350077526</x:v>
      </x:c>
      <x:c r="J1128" s="8" t="n">
        <x:v>0</x:v>
      </x:c>
      <x:c r="K1128" s="8" t="n">
        <x:v>0</x:v>
      </x:c>
      <x:c r="L1128" s="8" t="n">
        <x:v>351.3749777225167</x:v>
      </x:c>
      <x:c r="M1128" s="8" t="n">
        <x:v>0</x:v>
      </x:c>
      <x:c r="N1128" s="8" t="n">
        <x:v>0</x:v>
      </x:c>
      <x:c r="O1128" s="8" t="n">
        <x:v>125.70259100835318</x:v>
      </x:c>
      <x:c r="P1128" s="8" t="n">
        <x:v>0</x:v>
      </x:c>
      <x:c r="Q1128" s="8" t="n">
        <x:v>1.669924885570362</x:v>
      </x:c>
      <x:c r="R1128" s="8" t="n">
        <x:v>0</x:v>
      </x:c>
      <x:c r="S1128" s="8" t="n">
        <x:f>L1128-I1128^2/H1128</x:f>
        <x:v>217.83474084588158</x:v>
      </x:c>
      <x:c r="T1128" s="8" t="n">
        <x:f>M1128-J1128^2/H1128</x:f>
        <x:v>0</x:v>
      </x:c>
      <x:c r="U1128" s="8" t="n">
        <x:f>N1128-I1128*J1128/H1128</x:f>
        <x:v>0</x:v>
      </x:c>
      <x:c r="V1128" s="8" t="n">
        <x:f>O1128-I1128*K1128/H1128</x:f>
        <x:v>125.70259100835318</x:v>
      </x:c>
      <x:c r="W1128" s="8" t="n">
        <x:f>P1128-J1128*K1128/H1128</x:f>
        <x:v>0</x:v>
      </x:c>
      <x:c r="X1128" s="8" t="n">
        <x:f>V1128/S1128</x:f>
        <x:v>0.5770548376270613</x:v>
      </x:c>
      <x:c r="Y1128" s="8" t="n">
        <x:f>0</x:f>
        <x:v>0</x:v>
      </x:c>
      <x:c r="Z1128" s="8" t="n">
        <x:f>K1128/H1128-X1128*I1128/H1128-Y1128*J1128/H1128</x:f>
        <x:v>-1.9250079805237454</x:v>
      </x:c>
      <x:c r="AA1128" s="8" t="n">
        <x:f>Z1128+X1128*Q1128+Y1128*R1128</x:f>
        <x:v>-0.9613697468315513</x:v>
      </x:c>
    </x:row>
    <x:row r="1129" ht="26" customHeight="1">
      <x:c r="A1129" s="2"/>
      <x:c r="B1129" s="2" t="n">
        <x:v>1124</x:v>
      </x:c>
      <x:c r="C1129" s="2" t="str">
        <x:v>Fabric &amp; Home Care / organic_volume_growth</x:v>
      </x:c>
      <x:c r="D1129" s="2" t="str">
        <x:v>Broad rolling 8</x:v>
      </x:c>
      <x:c r="E1129" s="7" t="n">
        <x:v>45473</x:v>
      </x:c>
      <x:c r="F1129" s="2" t="str">
        <x:v>Prior report</x:v>
      </x:c>
      <x:c r="G1129" s="7" t="n">
        <x:v>45401</x:v>
      </x:c>
      <x:c r="H1129" s="2" t="n">
        <x:v>8</x:v>
      </x:c>
      <x:c r="I1129" s="8" t="n">
        <x:v>5.901666759832869</x:v>
      </x:c>
      <x:c r="J1129" s="8" t="n">
        <x:v>0</x:v>
      </x:c>
      <x:c r="K1129" s="8" t="n">
        <x:v>-13</x:v>
      </x:c>
      <x:c r="L1129" s="8" t="n">
        <x:v>21.479908521791273</x:v>
      </x:c>
      <x:c r="M1129" s="8" t="n">
        <x:v>0</x:v>
      </x:c>
      <x:c r="N1129" s="8" t="n">
        <x:v>0</x:v>
      </x:c>
      <x:c r="O1129" s="8" t="n">
        <x:v>29.91209489400214</x:v>
      </x:c>
      <x:c r="P1129" s="8" t="n">
        <x:v>0</x:v>
      </x:c>
      <x:c r="Q1129" s="8" t="n">
        <x:v>1.669924885570362</x:v>
      </x:c>
      <x:c r="R1129" s="8" t="n">
        <x:v>0</x:v>
      </x:c>
      <x:c r="S1129" s="8" t="n">
        <x:f>L1129-I1129^2/H1129</x:f>
        <x:v>17.12619970377675</x:v>
      </x:c>
      <x:c r="T1129" s="8" t="n">
        <x:f>M1129-J1129^2/H1129</x:f>
        <x:v>0</x:v>
      </x:c>
      <x:c r="U1129" s="8" t="n">
        <x:f>N1129-I1129*J1129/H1129</x:f>
        <x:v>0</x:v>
      </x:c>
      <x:c r="V1129" s="8" t="n">
        <x:f>O1129-I1129*K1129/H1129</x:f>
        <x:v>39.50230337873055</x:v>
      </x:c>
      <x:c r="W1129" s="8" t="n">
        <x:f>P1129-J1129*K1129/H1129</x:f>
        <x:v>0</x:v>
      </x:c>
      <x:c r="X1129" s="8" t="n">
        <x:f>V1129/S1129</x:f>
        <x:v>2.306542260512081</x:v>
      </x:c>
      <x:c r="Y1129" s="8" t="n">
        <x:f>0</x:f>
        <x:v>0</x:v>
      </x:c>
      <x:c r="Z1129" s="8" t="n">
        <x:f>K1129/H1129-X1129*I1129/H1129-Y1129*J1129/H1129</x:f>
        <x:v>-3.3265554736267395</x:v>
      </x:c>
      <x:c r="AA1129" s="8" t="n">
        <x:f>Z1129+X1129*Q1129+Y1129*R1129</x:f>
        <x:v>0.5251968468221015</x:v>
      </x:c>
    </x:row>
    <x:row r="1130" ht="26" customHeight="1">
      <x:c r="A1130" s="2"/>
      <x:c r="B1130" s="2" t="n">
        <x:v>1125</x:v>
      </x:c>
      <x:c r="C1130" s="2" t="str">
        <x:v>Fabric &amp; Home Care / organic_volume_growth</x:v>
      </x:c>
      <x:c r="D1130" s="2" t="str">
        <x:v>Own history</x:v>
      </x:c>
      <x:c r="E1130" s="7" t="n">
        <x:v>45473</x:v>
      </x:c>
      <x:c r="F1130" s="2" t="str">
        <x:v>Prior report</x:v>
      </x:c>
      <x:c r="G1130" s="7" t="n">
        <x:v>45401</x:v>
      </x:c>
      <x:c r="H1130" s="2" t="n">
        <x:v>12</x:v>
      </x:c>
      <x:c r="I1130" s="8" t="n">
        <x:v>0</x:v>
      </x:c>
      <x:c r="J1130" s="8" t="n">
        <x:v>0</x:v>
      </x:c>
      <x:c r="K1130" s="8" t="n">
        <x:v>-2</x:v>
      </x:c>
      <x:c r="L1130" s="8" t="n">
        <x:v>184</x:v>
      </x:c>
      <x:c r="M1130" s="8" t="n">
        <x:v>0</x:v>
      </x:c>
      <x:c r="N1130" s="8" t="n">
        <x:v>0</x:v>
      </x:c>
      <x:c r="O1130" s="8" t="n">
        <x:v>127</x:v>
      </x:c>
      <x:c r="P1130" s="8" t="n">
        <x:v>0</x:v>
      </x:c>
      <x:c r="Q1130" s="8" t="n">
        <x:v>1</x:v>
      </x:c>
      <x:c r="R1130" s="8" t="n">
        <x:v>0</x:v>
      </x:c>
      <x:c r="S1130" s="8" t="n">
        <x:f>L1130-I1130^2/H1130</x:f>
        <x:v>184</x:v>
      </x:c>
      <x:c r="T1130" s="8" t="n">
        <x:f>M1130-J1130^2/H1130</x:f>
        <x:v>0</x:v>
      </x:c>
      <x:c r="U1130" s="8" t="n">
        <x:f>N1130-I1130*J1130/H1130</x:f>
        <x:v>0</x:v>
      </x:c>
      <x:c r="V1130" s="8" t="n">
        <x:f>O1130-I1130*K1130/H1130</x:f>
        <x:v>127</x:v>
      </x:c>
      <x:c r="W1130" s="8" t="n">
        <x:f>P1130-J1130*K1130/H1130</x:f>
        <x:v>0</x:v>
      </x:c>
      <x:c r="X1130" s="8" t="n">
        <x:f>V1130/S1130</x:f>
        <x:v>0.6902173913043478</x:v>
      </x:c>
      <x:c r="Y1130" s="8" t="n">
        <x:f>0</x:f>
        <x:v>0</x:v>
      </x:c>
      <x:c r="Z1130" s="8" t="n">
        <x:f>K1130/H1130-X1130*I1130/H1130-Y1130*J1130/H1130</x:f>
        <x:v>-0.16666666666666666</x:v>
      </x:c>
      <x:c r="AA1130" s="8" t="n">
        <x:f>Z1130+X1130*Q1130+Y1130*R1130</x:f>
        <x:v>0.5235507246376812</x:v>
      </x:c>
    </x:row>
    <x:row r="1131" ht="26" customHeight="1">
      <x:c r="A1131" s="2"/>
      <x:c r="B1131" s="2" t="n">
        <x:v>1126</x:v>
      </x:c>
      <x:c r="C1131" s="2" t="str">
        <x:v>Fabric &amp; Home Care / organic_volume_growth</x:v>
      </x:c>
      <x:c r="D1131" s="2" t="str">
        <x:v>Broad market</x:v>
      </x:c>
      <x:c r="E1131" s="7" t="n">
        <x:v>45473</x:v>
      </x:c>
      <x:c r="F1131" s="2" t="str">
        <x:v>Pre-earnings</x:v>
      </x:c>
      <x:c r="G1131" s="7" t="n">
        <x:v>45502</x:v>
      </x:c>
      <x:c r="H1131" s="2" t="n">
        <x:v>13</x:v>
      </x:c>
      <x:c r="I1131" s="8" t="n">
        <x:v>41.66273213711157</x:v>
      </x:c>
      <x:c r="J1131" s="8" t="n">
        <x:v>0</x:v>
      </x:c>
      <x:c r="K1131" s="8" t="n">
        <x:v>1</x:v>
      </x:c>
      <x:c r="L1131" s="8" t="n">
        <x:v>354.0374507964112</x:v>
      </x:c>
      <x:c r="M1131" s="8" t="n">
        <x:v>0</x:v>
      </x:c>
      <x:c r="N1131" s="8" t="n">
        <x:v>0</x:v>
      </x:c>
      <x:c r="O1131" s="8" t="n">
        <x:v>127.33429964468948</x:v>
      </x:c>
      <x:c r="P1131" s="8" t="n">
        <x:v>0</x:v>
      </x:c>
      <x:c r="Q1131" s="8" t="n">
        <x:v>1.745900082947749</x:v>
      </x:c>
      <x:c r="R1131" s="8" t="n">
        <x:v>0</x:v>
      </x:c>
      <x:c r="S1131" s="8" t="n">
        <x:f>L1131-I1131^2/H1131</x:f>
        <x:v>220.5156624018951</x:v>
      </x:c>
      <x:c r="T1131" s="8" t="n">
        <x:f>M1131-J1131^2/H1131</x:f>
        <x:v>0</x:v>
      </x:c>
      <x:c r="U1131" s="8" t="n">
        <x:f>N1131-I1131*J1131/H1131</x:f>
        <x:v>0</x:v>
      </x:c>
      <x:c r="V1131" s="8" t="n">
        <x:f>O1131-I1131*K1131/H1131</x:f>
        <x:v>124.1294740956809</x:v>
      </x:c>
      <x:c r="W1131" s="8" t="n">
        <x:f>P1131-J1131*K1131/H1131</x:f>
        <x:v>0</x:v>
      </x:c>
      <x:c r="X1131" s="8" t="n">
        <x:f>V1131/S1131</x:f>
        <x:v>0.5629054768429643</x:v>
      </x:c>
      <x:c r="Y1131" s="8" t="n">
        <x:f>0</x:f>
        <x:v>0</x:v>
      </x:c>
      <x:c r="Z1131" s="8" t="n">
        <x:f>K1131/H1131-X1131*I1131/H1131-Y1131*J1131/H1131</x:f>
        <x:v>-1.727090776940114</x:v>
      </x:c>
      <x:c r="AA1131" s="8" t="n">
        <x:f>Z1131+X1131*Q1131+Y1131*R1131</x:f>
        <x:v>-0.7443140582282405</x:v>
      </x:c>
    </x:row>
    <x:row r="1132" ht="26" customHeight="1">
      <x:c r="A1132" s="2"/>
      <x:c r="B1132" s="2" t="n">
        <x:v>1127</x:v>
      </x:c>
      <x:c r="C1132" s="2" t="str">
        <x:v>Fabric &amp; Home Care / organic_volume_growth</x:v>
      </x:c>
      <x:c r="D1132" s="2" t="str">
        <x:v>Broad lag 1</x:v>
      </x:c>
      <x:c r="E1132" s="7" t="n">
        <x:v>45473</x:v>
      </x:c>
      <x:c r="F1132" s="2" t="str">
        <x:v>Pre-earnings</x:v>
      </x:c>
      <x:c r="G1132" s="7" t="n">
        <x:v>45502</x:v>
      </x:c>
      <x:c r="H1132" s="2" t="n">
        <x:v>12</x:v>
      </x:c>
      <x:c r="I1132" s="8" t="n">
        <x:v>40.03102350077526</x:v>
      </x:c>
      <x:c r="J1132" s="8" t="n">
        <x:v>0</x:v>
      </x:c>
      <x:c r="K1132" s="8" t="n">
        <x:v>-2</x:v>
      </x:c>
      <x:c r="L1132" s="8" t="n">
        <x:v>351.3749777225167</x:v>
      </x:c>
      <x:c r="M1132" s="8" t="n">
        <x:v>0</x:v>
      </x:c>
      <x:c r="N1132" s="8" t="n">
        <x:v>0</x:v>
      </x:c>
      <x:c r="O1132" s="8" t="n">
        <x:v>124.05321354242915</x:v>
      </x:c>
      <x:c r="P1132" s="8" t="n">
        <x:v>0</x:v>
      </x:c>
      <x:c r="Q1132" s="8" t="n">
        <x:v>1.6317086363363043</x:v>
      </x:c>
      <x:c r="R1132" s="8" t="n">
        <x:v>0</x:v>
      </x:c>
      <x:c r="S1132" s="8" t="n">
        <x:f>L1132-I1132^2/H1132</x:f>
        <x:v>217.83474084588158</x:v>
      </x:c>
      <x:c r="T1132" s="8" t="n">
        <x:f>M1132-J1132^2/H1132</x:f>
        <x:v>0</x:v>
      </x:c>
      <x:c r="U1132" s="8" t="n">
        <x:f>N1132-I1132*J1132/H1132</x:f>
        <x:v>0</x:v>
      </x:c>
      <x:c r="V1132" s="8" t="n">
        <x:f>O1132-I1132*K1132/H1132</x:f>
        <x:v>130.72505079255836</x:v>
      </x:c>
      <x:c r="W1132" s="8" t="n">
        <x:f>P1132-J1132*K1132/H1132</x:f>
        <x:v>0</x:v>
      </x:c>
      <x:c r="X1132" s="8" t="n">
        <x:f>V1132/S1132</x:f>
        <x:v>0.6001111222431069</x:v>
      </x:c>
      <x:c r="Y1132" s="8" t="n">
        <x:f>0</x:f>
        <x:v>0</x:v>
      </x:c>
      <x:c r="Z1132" s="8" t="n">
        <x:f>K1132/H1132-X1132*I1132/H1132-Y1132*J1132/H1132</x:f>
        <x:v>-2.168588536465869</x:v>
      </x:c>
      <x:c r="AA1132" s="8" t="n">
        <x:f>Z1132+X1132*Q1132+Y1132*R1132</x:f>
        <x:v>-1.1893820355403197</x:v>
      </x:c>
    </x:row>
    <x:row r="1133" ht="26" customHeight="1">
      <x:c r="A1133" s="2"/>
      <x:c r="B1133" s="2" t="n">
        <x:v>1128</x:v>
      </x:c>
      <x:c r="C1133" s="2" t="str">
        <x:v>Fabric &amp; Home Care / organic_volume_growth</x:v>
      </x:c>
      <x:c r="D1133" s="2" t="str">
        <x:v>Broad rolling 8</x:v>
      </x:c>
      <x:c r="E1133" s="7" t="n">
        <x:v>45473</x:v>
      </x:c>
      <x:c r="F1133" s="2" t="str">
        <x:v>Pre-earnings</x:v>
      </x:c>
      <x:c r="G1133" s="7" t="n">
        <x:v>45502</x:v>
      </x:c>
      <x:c r="H1133" s="2" t="n">
        <x:v>8</x:v>
      </x:c>
      <x:c r="I1133" s="8" t="n">
        <x:v>3.7828696225690073</x:v>
      </x:c>
      <x:c r="J1133" s="8" t="n">
        <x:v>0</x:v>
      </x:c>
      <x:c r="K1133" s="8" t="n">
        <x:v>-17</x:v>
      </x:c>
      <x:c r="L1133" s="8" t="n">
        <x:v>10.076088037877579</x:v>
      </x:c>
      <x:c r="M1133" s="8" t="n">
        <x:v>0</x:v>
      </x:c>
      <x:c r="N1133" s="8" t="n">
        <x:v>0</x:v>
      </x:c>
      <x:c r="O1133" s="8" t="n">
        <x:v>12.791274662337614</x:v>
      </x:c>
      <x:c r="P1133" s="8" t="n">
        <x:v>0</x:v>
      </x:c>
      <x:c r="Q1133" s="8" t="n">
        <x:v>1.745900082947749</x:v>
      </x:c>
      <x:c r="R1133" s="8" t="n">
        <x:v>0</x:v>
      </x:c>
      <x:c r="S1133" s="8" t="n">
        <x:f>L1133-I1133^2/H1133</x:f>
        <x:v>8.287325215208156</x:v>
      </x:c>
      <x:c r="T1133" s="8" t="n">
        <x:f>M1133-J1133^2/H1133</x:f>
        <x:v>0</x:v>
      </x:c>
      <x:c r="U1133" s="8" t="n">
        <x:f>N1133-I1133*J1133/H1133</x:f>
        <x:v>0</x:v>
      </x:c>
      <x:c r="V1133" s="8" t="n">
        <x:f>O1133-I1133*K1133/H1133</x:f>
        <x:v>20.829872610296754</x:v>
      </x:c>
      <x:c r="W1133" s="8" t="n">
        <x:f>P1133-J1133*K1133/H1133</x:f>
        <x:v>0</x:v>
      </x:c>
      <x:c r="X1133" s="8" t="n">
        <x:f>V1133/S1133</x:f>
        <x:v>2.5134614690964026</x:v>
      </x:c>
      <x:c r="Y1133" s="8" t="n">
        <x:f>0</x:f>
        <x:v>0</x:v>
      </x:c>
      <x:c r="Z1133" s="8" t="n">
        <x:f>K1133/H1133-X1133*I1133/H1133-Y1133*J1133/H1133</x:f>
        <x:v>-3.3135121298678065</x:v>
      </x:c>
      <x:c r="AA1133" s="8" t="n">
        <x:f>Z1133+X1133*Q1133+Y1133*R1133</x:f>
        <x:v>1.074740457513574</x:v>
      </x:c>
    </x:row>
    <x:row r="1134" ht="26" customHeight="1">
      <x:c r="A1134" s="2"/>
      <x:c r="B1134" s="2" t="n">
        <x:v>1129</x:v>
      </x:c>
      <x:c r="C1134" s="2" t="str">
        <x:v>Fabric &amp; Home Care / organic_volume_growth</x:v>
      </x:c>
      <x:c r="D1134" s="2" t="str">
        <x:v>Own history</x:v>
      </x:c>
      <x:c r="E1134" s="7" t="n">
        <x:v>45473</x:v>
      </x:c>
      <x:c r="F1134" s="2" t="str">
        <x:v>Pre-earnings</x:v>
      </x:c>
      <x:c r="G1134" s="7" t="n">
        <x:v>45502</x:v>
      </x:c>
      <x:c r="H1134" s="2" t="n">
        <x:v>12</x:v>
      </x:c>
      <x:c r="I1134" s="8" t="n">
        <x:v>0</x:v>
      </x:c>
      <x:c r="J1134" s="8" t="n">
        <x:v>0</x:v>
      </x:c>
      <x:c r="K1134" s="8" t="n">
        <x:v>-2</x:v>
      </x:c>
      <x:c r="L1134" s="8" t="n">
        <x:v>184</x:v>
      </x:c>
      <x:c r="M1134" s="8" t="n">
        <x:v>0</x:v>
      </x:c>
      <x:c r="N1134" s="8" t="n">
        <x:v>0</x:v>
      </x:c>
      <x:c r="O1134" s="8" t="n">
        <x:v>127</x:v>
      </x:c>
      <x:c r="P1134" s="8" t="n">
        <x:v>0</x:v>
      </x:c>
      <x:c r="Q1134" s="8" t="n">
        <x:v>1</x:v>
      </x:c>
      <x:c r="R1134" s="8" t="n">
        <x:v>0</x:v>
      </x:c>
      <x:c r="S1134" s="8" t="n">
        <x:f>L1134-I1134^2/H1134</x:f>
        <x:v>184</x:v>
      </x:c>
      <x:c r="T1134" s="8" t="n">
        <x:f>M1134-J1134^2/H1134</x:f>
        <x:v>0</x:v>
      </x:c>
      <x:c r="U1134" s="8" t="n">
        <x:f>N1134-I1134*J1134/H1134</x:f>
        <x:v>0</x:v>
      </x:c>
      <x:c r="V1134" s="8" t="n">
        <x:f>O1134-I1134*K1134/H1134</x:f>
        <x:v>127</x:v>
      </x:c>
      <x:c r="W1134" s="8" t="n">
        <x:f>P1134-J1134*K1134/H1134</x:f>
        <x:v>0</x:v>
      </x:c>
      <x:c r="X1134" s="8" t="n">
        <x:f>V1134/S1134</x:f>
        <x:v>0.6902173913043478</x:v>
      </x:c>
      <x:c r="Y1134" s="8" t="n">
        <x:f>0</x:f>
        <x:v>0</x:v>
      </x:c>
      <x:c r="Z1134" s="8" t="n">
        <x:f>K1134/H1134-X1134*I1134/H1134-Y1134*J1134/H1134</x:f>
        <x:v>-0.16666666666666666</x:v>
      </x:c>
      <x:c r="AA1134" s="8" t="n">
        <x:f>Z1134+X1134*Q1134+Y1134*R1134</x:f>
        <x:v>0.5235507246376812</x:v>
      </x:c>
    </x:row>
    <x:row r="1135" ht="26" customHeight="1">
      <x:c r="A1135" s="2"/>
      <x:c r="B1135" s="2" t="n">
        <x:v>1130</x:v>
      </x:c>
      <x:c r="C1135" s="2" t="str">
        <x:v>Fabric &amp; Home Care / organic_volume_growth</x:v>
      </x:c>
      <x:c r="D1135" s="2" t="str">
        <x:v>Broad market</x:v>
      </x:c>
      <x:c r="E1135" s="7" t="n">
        <x:v>45565</x:v>
      </x:c>
      <x:c r="F1135" s="2" t="str">
        <x:v>Origin</x:v>
      </x:c>
      <x:c r="G1135" s="7" t="n">
        <x:v>45474</x:v>
      </x:c>
      <x:c r="H1135" s="2" t="n">
        <x:v>13</x:v>
      </x:c>
      <x:c r="I1135" s="8" t="n">
        <x:v>41.66273213711157</x:v>
      </x:c>
      <x:c r="J1135" s="8" t="n">
        <x:v>0</x:v>
      </x:c>
      <x:c r="K1135" s="8" t="n">
        <x:v>1</x:v>
      </x:c>
      <x:c r="L1135" s="8" t="n">
        <x:v>354.0374507964112</x:v>
      </x:c>
      <x:c r="M1135" s="8" t="n">
        <x:v>0</x:v>
      </x:c>
      <x:c r="N1135" s="8" t="n">
        <x:v>0</x:v>
      </x:c>
      <x:c r="O1135" s="8" t="n">
        <x:v>127.33429964468948</x:v>
      </x:c>
      <x:c r="P1135" s="8" t="n">
        <x:v>0</x:v>
      </x:c>
      <x:c r="Q1135" s="8" t="n">
        <x:v>1.8076142102986026</x:v>
      </x:c>
      <x:c r="R1135" s="8" t="n">
        <x:v>0</x:v>
      </x:c>
      <x:c r="S1135" s="8" t="n">
        <x:f>L1135-I1135^2/H1135</x:f>
        <x:v>220.5156624018951</x:v>
      </x:c>
      <x:c r="T1135" s="8" t="n">
        <x:f>M1135-J1135^2/H1135</x:f>
        <x:v>0</x:v>
      </x:c>
      <x:c r="U1135" s="8" t="n">
        <x:f>N1135-I1135*J1135/H1135</x:f>
        <x:v>0</x:v>
      </x:c>
      <x:c r="V1135" s="8" t="n">
        <x:f>O1135-I1135*K1135/H1135</x:f>
        <x:v>124.1294740956809</x:v>
      </x:c>
      <x:c r="W1135" s="8" t="n">
        <x:f>P1135-J1135*K1135/H1135</x:f>
        <x:v>0</x:v>
      </x:c>
      <x:c r="X1135" s="8" t="n">
        <x:f>V1135/S1135</x:f>
        <x:v>0.5629054768429643</x:v>
      </x:c>
      <x:c r="Y1135" s="8" t="n">
        <x:f>0</x:f>
        <x:v>0</x:v>
      </x:c>
      <x:c r="Z1135" s="8" t="n">
        <x:f>K1135/H1135-X1135*I1135/H1135-Y1135*J1135/H1135</x:f>
        <x:v>-1.727090776940114</x:v>
      </x:c>
      <x:c r="AA1135" s="8" t="n">
        <x:f>Z1135+X1135*Q1135+Y1135*R1135</x:f>
        <x:v>-0.7095748379438607</x:v>
      </x:c>
    </x:row>
    <x:row r="1136" ht="26" customHeight="1">
      <x:c r="A1136" s="2"/>
      <x:c r="B1136" s="2" t="n">
        <x:v>1131</x:v>
      </x:c>
      <x:c r="C1136" s="2" t="str">
        <x:v>Fabric &amp; Home Care / organic_volume_growth</x:v>
      </x:c>
      <x:c r="D1136" s="2" t="str">
        <x:v>Broad rolling 8</x:v>
      </x:c>
      <x:c r="E1136" s="7" t="n">
        <x:v>45565</x:v>
      </x:c>
      <x:c r="F1136" s="2" t="str">
        <x:v>Origin</x:v>
      </x:c>
      <x:c r="G1136" s="7" t="n">
        <x:v>45474</x:v>
      </x:c>
      <x:c r="H1136" s="2" t="n">
        <x:v>8</x:v>
      </x:c>
      <x:c r="I1136" s="8" t="n">
        <x:v>3.7828696225690073</x:v>
      </x:c>
      <x:c r="J1136" s="8" t="n">
        <x:v>0</x:v>
      </x:c>
      <x:c r="K1136" s="8" t="n">
        <x:v>-17</x:v>
      </x:c>
      <x:c r="L1136" s="8" t="n">
        <x:v>10.076088037877579</x:v>
      </x:c>
      <x:c r="M1136" s="8" t="n">
        <x:v>0</x:v>
      </x:c>
      <x:c r="N1136" s="8" t="n">
        <x:v>0</x:v>
      </x:c>
      <x:c r="O1136" s="8" t="n">
        <x:v>12.791274662337614</x:v>
      </x:c>
      <x:c r="P1136" s="8" t="n">
        <x:v>0</x:v>
      </x:c>
      <x:c r="Q1136" s="8" t="n">
        <x:v>1.8076142102986026</x:v>
      </x:c>
      <x:c r="R1136" s="8" t="n">
        <x:v>0</x:v>
      </x:c>
      <x:c r="S1136" s="8" t="n">
        <x:f>L1136-I1136^2/H1136</x:f>
        <x:v>8.287325215208156</x:v>
      </x:c>
      <x:c r="T1136" s="8" t="n">
        <x:f>M1136-J1136^2/H1136</x:f>
        <x:v>0</x:v>
      </x:c>
      <x:c r="U1136" s="8" t="n">
        <x:f>N1136-I1136*J1136/H1136</x:f>
        <x:v>0</x:v>
      </x:c>
      <x:c r="V1136" s="8" t="n">
        <x:f>O1136-I1136*K1136/H1136</x:f>
        <x:v>20.829872610296754</x:v>
      </x:c>
      <x:c r="W1136" s="8" t="n">
        <x:f>P1136-J1136*K1136/H1136</x:f>
        <x:v>0</x:v>
      </x:c>
      <x:c r="X1136" s="8" t="n">
        <x:f>V1136/S1136</x:f>
        <x:v>2.5134614690964026</x:v>
      </x:c>
      <x:c r="Y1136" s="8" t="n">
        <x:f>0</x:f>
        <x:v>0</x:v>
      </x:c>
      <x:c r="Z1136" s="8" t="n">
        <x:f>K1136/H1136-X1136*I1136/H1136-Y1136*J1136/H1136</x:f>
        <x:v>-3.3135121298678065</x:v>
      </x:c>
      <x:c r="AA1136" s="8" t="n">
        <x:f>Z1136+X1136*Q1136+Y1136*R1136</x:f>
        <x:v>1.2298565387088525</x:v>
      </x:c>
    </x:row>
    <x:row r="1137" ht="26" customHeight="1">
      <x:c r="A1137" s="2"/>
      <x:c r="B1137" s="2" t="n">
        <x:v>1132</x:v>
      </x:c>
      <x:c r="C1137" s="2" t="str">
        <x:v>Fabric &amp; Home Care / organic_volume_growth</x:v>
      </x:c>
      <x:c r="D1137" s="2" t="str">
        <x:v>Own history</x:v>
      </x:c>
      <x:c r="E1137" s="7" t="n">
        <x:v>45565</x:v>
      </x:c>
      <x:c r="F1137" s="2" t="str">
        <x:v>Origin</x:v>
      </x:c>
      <x:c r="G1137" s="7" t="n">
        <x:v>45474</x:v>
      </x:c>
      <x:c r="H1137" s="2" t="n">
        <x:v>11</x:v>
      </x:c>
      <x:c r="I1137" s="8" t="n">
        <x:v>-1</x:v>
      </x:c>
      <x:c r="J1137" s="8" t="n">
        <x:v>0</x:v>
      </x:c>
      <x:c r="K1137" s="8" t="n">
        <x:v>-3</x:v>
      </x:c>
      <x:c r="L1137" s="8" t="n">
        <x:v>183</x:v>
      </x:c>
      <x:c r="M1137" s="8" t="n">
        <x:v>0</x:v>
      </x:c>
      <x:c r="N1137" s="8" t="n">
        <x:v>0</x:v>
      </x:c>
      <x:c r="O1137" s="8" t="n">
        <x:v>35</x:v>
      </x:c>
      <x:c r="P1137" s="8" t="n">
        <x:v>0</x:v>
      </x:c>
      <x:c r="Q1137" s="8" t="n">
        <x:v>1</x:v>
      </x:c>
      <x:c r="R1137" s="8" t="n">
        <x:v>0</x:v>
      </x:c>
      <x:c r="S1137" s="8" t="n">
        <x:f>L1137-I1137^2/H1137</x:f>
        <x:v>182.9090909090909</x:v>
      </x:c>
      <x:c r="T1137" s="8" t="n">
        <x:f>M1137-J1137^2/H1137</x:f>
        <x:v>0</x:v>
      </x:c>
      <x:c r="U1137" s="8" t="n">
        <x:f>N1137-I1137*J1137/H1137</x:f>
        <x:v>0</x:v>
      </x:c>
      <x:c r="V1137" s="8" t="n">
        <x:f>O1137-I1137*K1137/H1137</x:f>
        <x:v>34.72727272727273</x:v>
      </x:c>
      <x:c r="W1137" s="8" t="n">
        <x:f>P1137-J1137*K1137/H1137</x:f>
        <x:v>0</x:v>
      </x:c>
      <x:c r="X1137" s="8" t="n">
        <x:f>V1137/S1137</x:f>
        <x:v>0.18986083499005965</x:v>
      </x:c>
      <x:c r="Y1137" s="8" t="n">
        <x:f>0</x:f>
        <x:v>0</x:v>
      </x:c>
      <x:c r="Z1137" s="8" t="n">
        <x:f>K1137/H1137-X1137*I1137/H1137-Y1137*J1137/H1137</x:f>
        <x:v>-0.2554671968190855</x:v>
      </x:c>
      <x:c r="AA1137" s="8" t="n">
        <x:f>Z1137+X1137*Q1137+Y1137*R1137</x:f>
        <x:v>-0.06560636182902582</x:v>
      </x:c>
    </x:row>
    <x:row r="1138" ht="26" customHeight="1">
      <x:c r="A1138" s="2"/>
      <x:c r="B1138" s="2" t="n">
        <x:v>1133</x:v>
      </x:c>
      <x:c r="C1138" s="2" t="str">
        <x:v>Fabric &amp; Home Care / organic_volume_growth</x:v>
      </x:c>
      <x:c r="D1138" s="2" t="str">
        <x:v>Broad market</x:v>
      </x:c>
      <x:c r="E1138" s="7" t="n">
        <x:v>45565</x:v>
      </x:c>
      <x:c r="F1138" s="2" t="str">
        <x:v>Prior report</x:v>
      </x:c>
      <x:c r="G1138" s="7" t="n">
        <x:v>45503</x:v>
      </x:c>
      <x:c r="H1138" s="2" t="n">
        <x:v>14</x:v>
      </x:c>
      <x:c r="I1138" s="8" t="n">
        <x:v>43.40863222005932</x:v>
      </x:c>
      <x:c r="J1138" s="8" t="n">
        <x:v>0</x:v>
      </x:c>
      <x:c r="K1138" s="8" t="n">
        <x:v>4</x:v>
      </x:c>
      <x:c r="L1138" s="8" t="n">
        <x:v>357.0856178960481</x:v>
      </x:c>
      <x:c r="M1138" s="8" t="n">
        <x:v>0</x:v>
      </x:c>
      <x:c r="N1138" s="8" t="n">
        <x:v>0</x:v>
      </x:c>
      <x:c r="O1138" s="8" t="n">
        <x:v>132.57199989353273</x:v>
      </x:c>
      <x:c r="P1138" s="8" t="n">
        <x:v>0</x:v>
      </x:c>
      <x:c r="Q1138" s="8" t="n">
        <x:v>1.7457094853091215</x:v>
      </x:c>
      <x:c r="R1138" s="8" t="n">
        <x:v>0</x:v>
      </x:c>
      <x:c r="S1138" s="8" t="n">
        <x:f>L1138-I1138^2/H1138</x:f>
        <x:v>222.4920928091644</x:v>
      </x:c>
      <x:c r="T1138" s="8" t="n">
        <x:f>M1138-J1138^2/H1138</x:f>
        <x:v>0</x:v>
      </x:c>
      <x:c r="U1138" s="8" t="n">
        <x:f>N1138-I1138*J1138/H1138</x:f>
        <x:v>0</x:v>
      </x:c>
      <x:c r="V1138" s="8" t="n">
        <x:f>O1138-I1138*K1138/H1138</x:f>
        <x:v>120.16953354494436</x:v>
      </x:c>
      <x:c r="W1138" s="8" t="n">
        <x:f>P1138-J1138*K1138/H1138</x:f>
        <x:v>0</x:v>
      </x:c>
      <x:c r="X1138" s="8" t="n">
        <x:f>V1138/S1138</x:f>
        <x:v>0.5401069855009004</x:v>
      </x:c>
      <x:c r="Y1138" s="8" t="n">
        <x:f>0</x:f>
        <x:v>0</x:v>
      </x:c>
      <x:c r="Z1138" s="8" t="n">
        <x:f>K1138/H1138-X1138*I1138/H1138-Y1138*J1138/H1138</x:f>
        <x:v>-1.3889503923638213</x:v>
      </x:c>
      <x:c r="AA1138" s="8" t="n">
        <x:f>Z1138+X1138*Q1138+Y1138*R1138</x:f>
        <x:v>-0.4460805046931833</x:v>
      </x:c>
    </x:row>
    <x:row r="1139" ht="26" customHeight="1">
      <x:c r="A1139" s="2"/>
      <x:c r="B1139" s="2" t="n">
        <x:v>1134</x:v>
      </x:c>
      <x:c r="C1139" s="2" t="str">
        <x:v>Fabric &amp; Home Care / organic_volume_growth</x:v>
      </x:c>
      <x:c r="D1139" s="2" t="str">
        <x:v>Broad lag 1</x:v>
      </x:c>
      <x:c r="E1139" s="7" t="n">
        <x:v>45565</x:v>
      </x:c>
      <x:c r="F1139" s="2" t="str">
        <x:v>Prior report</x:v>
      </x:c>
      <x:c r="G1139" s="7" t="n">
        <x:v>45503</x:v>
      </x:c>
      <x:c r="H1139" s="2" t="n">
        <x:v>13</x:v>
      </x:c>
      <x:c r="I1139" s="8" t="n">
        <x:v>41.66273213711157</x:v>
      </x:c>
      <x:c r="J1139" s="8" t="n">
        <x:v>0</x:v>
      </x:c>
      <x:c r="K1139" s="8" t="n">
        <x:v>1</x:v>
      </x:c>
      <x:c r="L1139" s="8" t="n">
        <x:v>354.0374507964112</x:v>
      </x:c>
      <x:c r="M1139" s="8" t="n">
        <x:v>0</x:v>
      </x:c>
      <x:c r="N1139" s="8" t="n">
        <x:v>0</x:v>
      </x:c>
      <x:c r="O1139" s="8" t="n">
        <x:v>128.94833945143804</x:v>
      </x:c>
      <x:c r="P1139" s="8" t="n">
        <x:v>0</x:v>
      </x:c>
      <x:c r="Q1139" s="8" t="n">
        <x:v>1.745900082947749</x:v>
      </x:c>
      <x:c r="R1139" s="8" t="n">
        <x:v>0</x:v>
      </x:c>
      <x:c r="S1139" s="8" t="n">
        <x:f>L1139-I1139^2/H1139</x:f>
        <x:v>220.5156624018951</x:v>
      </x:c>
      <x:c r="T1139" s="8" t="n">
        <x:f>M1139-J1139^2/H1139</x:f>
        <x:v>0</x:v>
      </x:c>
      <x:c r="U1139" s="8" t="n">
        <x:f>N1139-I1139*J1139/H1139</x:f>
        <x:v>0</x:v>
      </x:c>
      <x:c r="V1139" s="8" t="n">
        <x:f>O1139-I1139*K1139/H1139</x:f>
        <x:v>125.74351390242947</x:v>
      </x:c>
      <x:c r="W1139" s="8" t="n">
        <x:f>P1139-J1139*K1139/H1139</x:f>
        <x:v>0</x:v>
      </x:c>
      <x:c r="X1139" s="8" t="n">
        <x:f>V1139/S1139</x:f>
        <x:v>0.5702248653579032</x:v>
      </x:c>
      <x:c r="Y1139" s="8" t="n">
        <x:f>0</x:f>
        <x:v>0</x:v>
      </x:c>
      <x:c r="Z1139" s="8" t="n">
        <x:f>K1139/H1139-X1139*I1139/H1139-Y1139*J1139/H1139</x:f>
        <x:v>-1.7505481402559102</x:v>
      </x:c>
      <x:c r="AA1139" s="8" t="n">
        <x:f>Z1139+X1139*Q1139+Y1139*R1139</x:f>
        <x:v>-0.7549925005286781</x:v>
      </x:c>
    </x:row>
    <x:row r="1140" ht="26" customHeight="1">
      <x:c r="A1140" s="2"/>
      <x:c r="B1140" s="2" t="n">
        <x:v>1135</x:v>
      </x:c>
      <x:c r="C1140" s="2" t="str">
        <x:v>Fabric &amp; Home Care / organic_volume_growth</x:v>
      </x:c>
      <x:c r="D1140" s="2" t="str">
        <x:v>Broad rolling 8</x:v>
      </x:c>
      <x:c r="E1140" s="7" t="n">
        <x:v>45565</x:v>
      </x:c>
      <x:c r="F1140" s="2" t="str">
        <x:v>Prior report</x:v>
      </x:c>
      <x:c r="G1140" s="7" t="n">
        <x:v>45503</x:v>
      </x:c>
      <x:c r="H1140" s="2" t="n">
        <x:v>8</x:v>
      </x:c>
      <x:c r="I1140" s="8" t="n">
        <x:v>5.304269069097545</x:v>
      </x:c>
      <x:c r="J1140" s="8" t="n">
        <x:v>0</x:v>
      </x:c>
      <x:c r="K1140" s="8" t="n">
        <x:v>-13</x:v>
      </x:c>
      <x:c r="L1140" s="8" t="n">
        <x:v>13.073854601761903</x:v>
      </x:c>
      <x:c r="M1140" s="8" t="n">
        <x:v>0</x:v>
      </x:c>
      <x:c r="N1140" s="8" t="n">
        <x:v>0</x:v>
      </x:c>
      <x:c r="O1140" s="8" t="n">
        <x:v>18.253475547600072</x:v>
      </x:c>
      <x:c r="P1140" s="8" t="n">
        <x:v>0</x:v>
      </x:c>
      <x:c r="Q1140" s="8" t="n">
        <x:v>1.7457094853091215</x:v>
      </x:c>
      <x:c r="R1140" s="8" t="n">
        <x:v>0</x:v>
      </x:c>
      <x:c r="S1140" s="8" t="n">
        <x:f>L1140-I1140^2/H1140</x:f>
        <x:v>9.556945807088786</x:v>
      </x:c>
      <x:c r="T1140" s="8" t="n">
        <x:f>M1140-J1140^2/H1140</x:f>
        <x:v>0</x:v>
      </x:c>
      <x:c r="U1140" s="8" t="n">
        <x:f>N1140-I1140*J1140/H1140</x:f>
        <x:v>0</x:v>
      </x:c>
      <x:c r="V1140" s="8" t="n">
        <x:f>O1140-I1140*K1140/H1140</x:f>
        <x:v>26.87291278488358</x:v>
      </x:c>
      <x:c r="W1140" s="8" t="n">
        <x:f>P1140-J1140*K1140/H1140</x:f>
        <x:v>0</x:v>
      </x:c>
      <x:c r="X1140" s="8" t="n">
        <x:f>V1140/S1140</x:f>
        <x:v>2.8118724671380706</x:v>
      </x:c>
      <x:c r="Y1140" s="8" t="n">
        <x:f>0</x:f>
        <x:v>0</x:v>
      </x:c>
      <x:c r="Z1140" s="8" t="n">
        <x:f>K1140/H1140-X1140*I1140/H1140-Y1140*J1140/H1140</x:f>
        <x:v>-3.4893660192109337</x:v>
      </x:c>
      <x:c r="AA1140" s="8" t="n">
        <x:f>Z1140+X1140*Q1140+Y1140*R1140</x:f>
        <x:v>1.419346418151557</x:v>
      </x:c>
    </x:row>
    <x:row r="1141" ht="26" customHeight="1">
      <x:c r="A1141" s="2"/>
      <x:c r="B1141" s="2" t="n">
        <x:v>1136</x:v>
      </x:c>
      <x:c r="C1141" s="2" t="str">
        <x:v>Fabric &amp; Home Care / organic_volume_growth</x:v>
      </x:c>
      <x:c r="D1141" s="2" t="str">
        <x:v>Own history</x:v>
      </x:c>
      <x:c r="E1141" s="7" t="n">
        <x:v>45565</x:v>
      </x:c>
      <x:c r="F1141" s="2" t="str">
        <x:v>Prior report</x:v>
      </x:c>
      <x:c r="G1141" s="7" t="n">
        <x:v>45503</x:v>
      </x:c>
      <x:c r="H1141" s="2" t="n">
        <x:v>13</x:v>
      </x:c>
      <x:c r="I1141" s="8" t="n">
        <x:v>1</x:v>
      </x:c>
      <x:c r="J1141" s="8" t="n">
        <x:v>0</x:v>
      </x:c>
      <x:c r="K1141" s="8" t="n">
        <x:v>1</x:v>
      </x:c>
      <x:c r="L1141" s="8" t="n">
        <x:v>185</x:v>
      </x:c>
      <x:c r="M1141" s="8" t="n">
        <x:v>0</x:v>
      </x:c>
      <x:c r="N1141" s="8" t="n">
        <x:v>0</x:v>
      </x:c>
      <x:c r="O1141" s="8" t="n">
        <x:v>130</x:v>
      </x:c>
      <x:c r="P1141" s="8" t="n">
        <x:v>0</x:v>
      </x:c>
      <x:c r="Q1141" s="8" t="n">
        <x:v>3</x:v>
      </x:c>
      <x:c r="R1141" s="8" t="n">
        <x:v>0</x:v>
      </x:c>
      <x:c r="S1141" s="8" t="n">
        <x:f>L1141-I1141^2/H1141</x:f>
        <x:v>184.92307692307693</x:v>
      </x:c>
      <x:c r="T1141" s="8" t="n">
        <x:f>M1141-J1141^2/H1141</x:f>
        <x:v>0</x:v>
      </x:c>
      <x:c r="U1141" s="8" t="n">
        <x:f>N1141-I1141*J1141/H1141</x:f>
        <x:v>0</x:v>
      </x:c>
      <x:c r="V1141" s="8" t="n">
        <x:f>O1141-I1141*K1141/H1141</x:f>
        <x:v>129.92307692307693</x:v>
      </x:c>
      <x:c r="W1141" s="8" t="n">
        <x:f>P1141-J1141*K1141/H1141</x:f>
        <x:v>0</x:v>
      </x:c>
      <x:c r="X1141" s="8" t="n">
        <x:f>V1141/S1141</x:f>
        <x:v>0.7025790349417638</x:v>
      </x:c>
      <x:c r="Y1141" s="8" t="n">
        <x:f>0</x:f>
        <x:v>0</x:v>
      </x:c>
      <x:c r="Z1141" s="8" t="n">
        <x:f>K1141/H1141-X1141*I1141/H1141-Y1141*J1141/H1141</x:f>
        <x:v>0.022878535773710483</x:v>
      </x:c>
      <x:c r="AA1141" s="8" t="n">
        <x:f>Z1141+X1141*Q1141+Y1141*R1141</x:f>
        <x:v>2.130615640599002</x:v>
      </x:c>
    </x:row>
    <x:row r="1142" ht="26" customHeight="1">
      <x:c r="A1142" s="2"/>
      <x:c r="B1142" s="2" t="n">
        <x:v>1137</x:v>
      </x:c>
      <x:c r="C1142" s="2" t="str">
        <x:v>Fabric &amp; Home Care / organic_volume_growth</x:v>
      </x:c>
      <x:c r="D1142" s="2" t="str">
        <x:v>Broad market</x:v>
      </x:c>
      <x:c r="E1142" s="7" t="n">
        <x:v>45565</x:v>
      </x:c>
      <x:c r="F1142" s="2" t="str">
        <x:v>Pre-earnings</x:v>
      </x:c>
      <x:c r="G1142" s="7" t="n">
        <x:v>45582</x:v>
      </x:c>
      <x:c r="H1142" s="2" t="n">
        <x:v>14</x:v>
      </x:c>
      <x:c r="I1142" s="8" t="n">
        <x:v>41.58880663164729</x:v>
      </x:c>
      <x:c r="J1142" s="8" t="n">
        <x:v>0</x:v>
      </x:c>
      <x:c r="K1142" s="8" t="n">
        <x:v>4</x:v>
      </x:c>
      <x:c r="L1142" s="8" t="n">
        <x:v>366.7871092575401</x:v>
      </x:c>
      <x:c r="M1142" s="8" t="n">
        <x:v>0</x:v>
      </x:c>
      <x:c r="N1142" s="8" t="n">
        <x:v>0</x:v>
      </x:c>
      <x:c r="O1142" s="8" t="n">
        <x:v>138.96537204916177</x:v>
      </x:c>
      <x:c r="P1142" s="8" t="n">
        <x:v>0</x:v>
      </x:c>
      <x:c r="Q1142" s="8" t="n">
        <x:v>2.202595864225132</x:v>
      </x:c>
      <x:c r="R1142" s="8" t="n">
        <x:v>0</x:v>
      </x:c>
      <x:c r="S1142" s="8" t="n">
        <x:f>L1142-I1142^2/H1142</x:f>
        <x:v>243.24219232578662</x:v>
      </x:c>
      <x:c r="T1142" s="8" t="n">
        <x:f>M1142-J1142^2/H1142</x:f>
        <x:v>0</x:v>
      </x:c>
      <x:c r="U1142" s="8" t="n">
        <x:f>N1142-I1142*J1142/H1142</x:f>
        <x:v>0</x:v>
      </x:c>
      <x:c r="V1142" s="8" t="n">
        <x:f>O1142-I1142*K1142/H1142</x:f>
        <x:v>127.08285586869111</x:v>
      </x:c>
      <x:c r="W1142" s="8" t="n">
        <x:f>P1142-J1142*K1142/H1142</x:f>
        <x:v>0</x:v>
      </x:c>
      <x:c r="X1142" s="8" t="n">
        <x:f>V1142/S1142</x:f>
        <x:v>0.5224539980238403</x:v>
      </x:c>
      <x:c r="Y1142" s="8" t="n">
        <x:f>0</x:f>
        <x:v>0</x:v>
      </x:c>
      <x:c r="Z1142" s="8" t="n">
        <x:f>K1142/H1142-X1142*I1142/H1142-Y1142*J1142/H1142</x:f>
        <x:v>-1.2663027355531806</x:v>
      </x:c>
      <x:c r="AA1142" s="8" t="n">
        <x:f>Z1142+X1142*Q1142+Y1142*R1142</x:f>
        <x:v>-0.11554772025798465</x:v>
      </x:c>
    </x:row>
    <x:row r="1143" ht="26" customHeight="1">
      <x:c r="A1143" s="2"/>
      <x:c r="B1143" s="2" t="n">
        <x:v>1138</x:v>
      </x:c>
      <x:c r="C1143" s="2" t="str">
        <x:v>Fabric &amp; Home Care / organic_volume_growth</x:v>
      </x:c>
      <x:c r="D1143" s="2" t="str">
        <x:v>Broad lag 1</x:v>
      </x:c>
      <x:c r="E1143" s="7" t="n">
        <x:v>45565</x:v>
      </x:c>
      <x:c r="F1143" s="2" t="str">
        <x:v>Pre-earnings</x:v>
      </x:c>
      <x:c r="G1143" s="7" t="n">
        <x:v>45582</x:v>
      </x:c>
      <x:c r="H1143" s="2" t="n">
        <x:v>13</x:v>
      </x:c>
      <x:c r="I1143" s="8" t="n">
        <x:v>39.71481502953479</x:v>
      </x:c>
      <x:c r="J1143" s="8" t="n">
        <x:v>0</x:v>
      </x:c>
      <x:c r="K1143" s="8" t="n">
        <x:v>1</x:v>
      </x:c>
      <x:c r="L1143" s="8" t="n">
        <x:v>363.2752647327519</x:v>
      </x:c>
      <x:c r="M1143" s="8" t="n">
        <x:v>0</x:v>
      </x:c>
      <x:c r="N1143" s="8" t="n">
        <x:v>0</x:v>
      </x:c>
      <x:c r="O1143" s="8" t="n">
        <x:v>137.37977547712103</x:v>
      </x:c>
      <x:c r="P1143" s="8" t="n">
        <x:v>0</x:v>
      </x:c>
      <x:c r="Q1143" s="8" t="n">
        <x:v>1.8739916021125014</x:v>
      </x:c>
      <x:c r="R1143" s="8" t="n">
        <x:v>0</x:v>
      </x:c>
      <x:c r="S1143" s="8" t="n">
        <x:f>L1143-I1143^2/H1143</x:f>
        <x:v>241.9470698996625</x:v>
      </x:c>
      <x:c r="T1143" s="8" t="n">
        <x:f>M1143-J1143^2/H1143</x:f>
        <x:v>0</x:v>
      </x:c>
      <x:c r="U1143" s="8" t="n">
        <x:f>N1143-I1143*J1143/H1143</x:f>
        <x:v>0</x:v>
      </x:c>
      <x:c r="V1143" s="8" t="n">
        <x:f>O1143-I1143*K1143/H1143</x:f>
        <x:v>134.32478970561834</x:v>
      </x:c>
      <x:c r="W1143" s="8" t="n">
        <x:f>P1143-J1143*K1143/H1143</x:f>
        <x:v>0</x:v>
      </x:c>
      <x:c r="X1143" s="8" t="n">
        <x:f>V1143/S1143</x:f>
        <x:v>0.5551825436915767</x:v>
      </x:c>
      <x:c r="Y1143" s="8" t="n">
        <x:f>0</x:f>
        <x:v>0</x:v>
      </x:c>
      <x:c r="Z1143" s="8" t="n">
        <x:f>K1143/H1143-X1143*I1143/H1143-Y1143*J1143/H1143</x:f>
        <x:v>-1.619151694641353</x:v>
      </x:c>
      <x:c r="AA1143" s="8" t="n">
        <x:f>Z1143+X1143*Q1143+Y1143*R1143</x:f>
        <x:v>-0.5787442701238812</x:v>
      </x:c>
    </x:row>
    <x:row r="1144" ht="26" customHeight="1">
      <x:c r="A1144" s="2"/>
      <x:c r="B1144" s="2" t="n">
        <x:v>1139</x:v>
      </x:c>
      <x:c r="C1144" s="2" t="str">
        <x:v>Fabric &amp; Home Care / organic_volume_growth</x:v>
      </x:c>
      <x:c r="D1144" s="2" t="str">
        <x:v>Broad rolling 8</x:v>
      </x:c>
      <x:c r="E1144" s="7" t="n">
        <x:v>45565</x:v>
      </x:c>
      <x:c r="F1144" s="2" t="str">
        <x:v>Pre-earnings</x:v>
      </x:c>
      <x:c r="G1144" s="7" t="n">
        <x:v>45582</x:v>
      </x:c>
      <x:c r="H1144" s="2" t="n">
        <x:v>8</x:v>
      </x:c>
      <x:c r="I1144" s="8" t="n">
        <x:v>3.8524597778205827</x:v>
      </x:c>
      <x:c r="J1144" s="8" t="n">
        <x:v>0</x:v>
      </x:c>
      <x:c r="K1144" s="8" t="n">
        <x:v>-13</x:v>
      </x:c>
      <x:c r="L1144" s="8" t="n">
        <x:v>15.42741688968306</x:v>
      </x:c>
      <x:c r="M1144" s="8" t="n">
        <x:v>0</x:v>
      </x:c>
      <x:c r="N1144" s="8" t="n">
        <x:v>0</x:v>
      </x:c>
      <x:c r="O1144" s="8" t="n">
        <x:v>25.599457649806123</x:v>
      </x:c>
      <x:c r="P1144" s="8" t="n">
        <x:v>0</x:v>
      </x:c>
      <x:c r="Q1144" s="8" t="n">
        <x:v>2.202595864225132</x:v>
      </x:c>
      <x:c r="R1144" s="8" t="n">
        <x:v>0</x:v>
      </x:c>
      <x:c r="S1144" s="8" t="n">
        <x:f>L1144-I1144^2/H1144</x:f>
        <x:v>13.572236097217385</x:v>
      </x:c>
      <x:c r="T1144" s="8" t="n">
        <x:f>M1144-J1144^2/H1144</x:f>
        <x:v>0</x:v>
      </x:c>
      <x:c r="U1144" s="8" t="n">
        <x:f>N1144-I1144*J1144/H1144</x:f>
        <x:v>0</x:v>
      </x:c>
      <x:c r="V1144" s="8" t="n">
        <x:f>O1144-I1144*K1144/H1144</x:f>
        <x:v>31.85970478876457</x:v>
      </x:c>
      <x:c r="W1144" s="8" t="n">
        <x:f>P1144-J1144*K1144/H1144</x:f>
        <x:v>0</x:v>
      </x:c>
      <x:c r="X1144" s="8" t="n">
        <x:f>V1144/S1144</x:f>
        <x:v>2.3474175191585807</x:v>
      </x:c>
      <x:c r="Y1144" s="8" t="n">
        <x:f>0</x:f>
        <x:v>0</x:v>
      </x:c>
      <x:c r="Z1144" s="8" t="n">
        <x:f>K1144/H1144-X1144*I1144/H1144-Y1144*J1144/H1144</x:f>
        <x:v>-2.7554164467887263</x:v>
      </x:c>
      <x:c r="AA1144" s="8" t="n">
        <x:f>Z1144+X1144*Q1144+Y1144*R1144</x:f>
        <x:v>2.4149956725195834</x:v>
      </x:c>
    </x:row>
    <x:row r="1145" ht="26" customHeight="1">
      <x:c r="A1145" s="2"/>
      <x:c r="B1145" s="2" t="n">
        <x:v>1140</x:v>
      </x:c>
      <x:c r="C1145" s="2" t="str">
        <x:v>Fabric &amp; Home Care / organic_volume_growth</x:v>
      </x:c>
      <x:c r="D1145" s="2" t="str">
        <x:v>Own history</x:v>
      </x:c>
      <x:c r="E1145" s="7" t="n">
        <x:v>45565</x:v>
      </x:c>
      <x:c r="F1145" s="2" t="str">
        <x:v>Pre-earnings</x:v>
      </x:c>
      <x:c r="G1145" s="7" t="n">
        <x:v>45582</x:v>
      </x:c>
      <x:c r="H1145" s="2" t="n">
        <x:v>13</x:v>
      </x:c>
      <x:c r="I1145" s="8" t="n">
        <x:v>1</x:v>
      </x:c>
      <x:c r="J1145" s="8" t="n">
        <x:v>0</x:v>
      </x:c>
      <x:c r="K1145" s="8" t="n">
        <x:v>1</x:v>
      </x:c>
      <x:c r="L1145" s="8" t="n">
        <x:v>185</x:v>
      </x:c>
      <x:c r="M1145" s="8" t="n">
        <x:v>0</x:v>
      </x:c>
      <x:c r="N1145" s="8" t="n">
        <x:v>0</x:v>
      </x:c>
      <x:c r="O1145" s="8" t="n">
        <x:v>130</x:v>
      </x:c>
      <x:c r="P1145" s="8" t="n">
        <x:v>0</x:v>
      </x:c>
      <x:c r="Q1145" s="8" t="n">
        <x:v>3</x:v>
      </x:c>
      <x:c r="R1145" s="8" t="n">
        <x:v>0</x:v>
      </x:c>
      <x:c r="S1145" s="8" t="n">
        <x:f>L1145-I1145^2/H1145</x:f>
        <x:v>184.92307692307693</x:v>
      </x:c>
      <x:c r="T1145" s="8" t="n">
        <x:f>M1145-J1145^2/H1145</x:f>
        <x:v>0</x:v>
      </x:c>
      <x:c r="U1145" s="8" t="n">
        <x:f>N1145-I1145*J1145/H1145</x:f>
        <x:v>0</x:v>
      </x:c>
      <x:c r="V1145" s="8" t="n">
        <x:f>O1145-I1145*K1145/H1145</x:f>
        <x:v>129.92307692307693</x:v>
      </x:c>
      <x:c r="W1145" s="8" t="n">
        <x:f>P1145-J1145*K1145/H1145</x:f>
        <x:v>0</x:v>
      </x:c>
      <x:c r="X1145" s="8" t="n">
        <x:f>V1145/S1145</x:f>
        <x:v>0.7025790349417638</x:v>
      </x:c>
      <x:c r="Y1145" s="8" t="n">
        <x:f>0</x:f>
        <x:v>0</x:v>
      </x:c>
      <x:c r="Z1145" s="8" t="n">
        <x:f>K1145/H1145-X1145*I1145/H1145-Y1145*J1145/H1145</x:f>
        <x:v>0.022878535773710483</x:v>
      </x:c>
      <x:c r="AA1145" s="8" t="n">
        <x:f>Z1145+X1145*Q1145+Y1145*R1145</x:f>
        <x:v>2.130615640599002</x:v>
      </x:c>
    </x:row>
    <x:row r="1146" ht="26" customHeight="1">
      <x:c r="A1146" s="2"/>
      <x:c r="B1146" s="2" t="n">
        <x:v>1141</x:v>
      </x:c>
      <x:c r="C1146" s="2" t="str">
        <x:v>Fabric &amp; Home Care / organic_volume_growth</x:v>
      </x:c>
      <x:c r="D1146" s="2" t="str">
        <x:v>Broad market</x:v>
      </x:c>
      <x:c r="E1146" s="7" t="n">
        <x:v>45657</x:v>
      </x:c>
      <x:c r="F1146" s="2" t="str">
        <x:v>Origin</x:v>
      </x:c>
      <x:c r="G1146" s="7" t="n">
        <x:v>45566</x:v>
      </x:c>
      <x:c r="H1146" s="2" t="n">
        <x:v>14</x:v>
      </x:c>
      <x:c r="I1146" s="8" t="n">
        <x:v>41.58880663164729</x:v>
      </x:c>
      <x:c r="J1146" s="8" t="n">
        <x:v>0</x:v>
      </x:c>
      <x:c r="K1146" s="8" t="n">
        <x:v>4</x:v>
      </x:c>
      <x:c r="L1146" s="8" t="n">
        <x:v>366.7871092575401</x:v>
      </x:c>
      <x:c r="M1146" s="8" t="n">
        <x:v>0</x:v>
      </x:c>
      <x:c r="N1146" s="8" t="n">
        <x:v>0</x:v>
      </x:c>
      <x:c r="O1146" s="8" t="n">
        <x:v>138.96537204916177</x:v>
      </x:c>
      <x:c r="P1146" s="8" t="n">
        <x:v>0</x:v>
      </x:c>
      <x:c r="Q1146" s="8" t="n">
        <x:v>2.1970378321914286</x:v>
      </x:c>
      <x:c r="R1146" s="8" t="n">
        <x:v>0</x:v>
      </x:c>
      <x:c r="S1146" s="8" t="n">
        <x:f>L1146-I1146^2/H1146</x:f>
        <x:v>243.24219232578662</x:v>
      </x:c>
      <x:c r="T1146" s="8" t="n">
        <x:f>M1146-J1146^2/H1146</x:f>
        <x:v>0</x:v>
      </x:c>
      <x:c r="U1146" s="8" t="n">
        <x:f>N1146-I1146*J1146/H1146</x:f>
        <x:v>0</x:v>
      </x:c>
      <x:c r="V1146" s="8" t="n">
        <x:f>O1146-I1146*K1146/H1146</x:f>
        <x:v>127.08285586869111</x:v>
      </x:c>
      <x:c r="W1146" s="8" t="n">
        <x:f>P1146-J1146*K1146/H1146</x:f>
        <x:v>0</x:v>
      </x:c>
      <x:c r="X1146" s="8" t="n">
        <x:f>V1146/S1146</x:f>
        <x:v>0.5224539980238403</x:v>
      </x:c>
      <x:c r="Y1146" s="8" t="n">
        <x:f>0</x:f>
        <x:v>0</x:v>
      </x:c>
      <x:c r="Z1146" s="8" t="n">
        <x:f>K1146/H1146-X1146*I1146/H1146-Y1146*J1146/H1146</x:f>
        <x:v>-1.2663027355531806</x:v>
      </x:c>
      <x:c r="AA1146" s="8" t="n">
        <x:f>Z1146+X1146*Q1146+Y1146*R1146</x:f>
        <x:v>-0.11845153631513772</x:v>
      </x:c>
    </x:row>
    <x:row r="1147" ht="26" customHeight="1">
      <x:c r="A1147" s="2"/>
      <x:c r="B1147" s="2" t="n">
        <x:v>1142</x:v>
      </x:c>
      <x:c r="C1147" s="2" t="str">
        <x:v>Fabric &amp; Home Care / organic_volume_growth</x:v>
      </x:c>
      <x:c r="D1147" s="2" t="str">
        <x:v>Broad rolling 8</x:v>
      </x:c>
      <x:c r="E1147" s="7" t="n">
        <x:v>45657</x:v>
      </x:c>
      <x:c r="F1147" s="2" t="str">
        <x:v>Origin</x:v>
      </x:c>
      <x:c r="G1147" s="7" t="n">
        <x:v>45566</x:v>
      </x:c>
      <x:c r="H1147" s="2" t="n">
        <x:v>8</x:v>
      </x:c>
      <x:c r="I1147" s="8" t="n">
        <x:v>3.8524597778205827</x:v>
      </x:c>
      <x:c r="J1147" s="8" t="n">
        <x:v>0</x:v>
      </x:c>
      <x:c r="K1147" s="8" t="n">
        <x:v>-13</x:v>
      </x:c>
      <x:c r="L1147" s="8" t="n">
        <x:v>15.42741688968306</x:v>
      </x:c>
      <x:c r="M1147" s="8" t="n">
        <x:v>0</x:v>
      </x:c>
      <x:c r="N1147" s="8" t="n">
        <x:v>0</x:v>
      </x:c>
      <x:c r="O1147" s="8" t="n">
        <x:v>25.599457649806123</x:v>
      </x:c>
      <x:c r="P1147" s="8" t="n">
        <x:v>0</x:v>
      </x:c>
      <x:c r="Q1147" s="8" t="n">
        <x:v>2.1970378321914286</x:v>
      </x:c>
      <x:c r="R1147" s="8" t="n">
        <x:v>0</x:v>
      </x:c>
      <x:c r="S1147" s="8" t="n">
        <x:f>L1147-I1147^2/H1147</x:f>
        <x:v>13.572236097217385</x:v>
      </x:c>
      <x:c r="T1147" s="8" t="n">
        <x:f>M1147-J1147^2/H1147</x:f>
        <x:v>0</x:v>
      </x:c>
      <x:c r="U1147" s="8" t="n">
        <x:f>N1147-I1147*J1147/H1147</x:f>
        <x:v>0</x:v>
      </x:c>
      <x:c r="V1147" s="8" t="n">
        <x:f>O1147-I1147*K1147/H1147</x:f>
        <x:v>31.85970478876457</x:v>
      </x:c>
      <x:c r="W1147" s="8" t="n">
        <x:f>P1147-J1147*K1147/H1147</x:f>
        <x:v>0</x:v>
      </x:c>
      <x:c r="X1147" s="8" t="n">
        <x:f>V1147/S1147</x:f>
        <x:v>2.3474175191585807</x:v>
      </x:c>
      <x:c r="Y1147" s="8" t="n">
        <x:f>0</x:f>
        <x:v>0</x:v>
      </x:c>
      <x:c r="Z1147" s="8" t="n">
        <x:f>K1147/H1147-X1147*I1147/H1147-Y1147*J1147/H1147</x:f>
        <x:v>-2.7554164467887263</x:v>
      </x:c>
      <x:c r="AA1147" s="8" t="n">
        <x:f>Z1147+X1147*Q1147+Y1147*R1147</x:f>
        <x:v>2.4019486507516232</x:v>
      </x:c>
    </x:row>
    <x:row r="1148" ht="26" customHeight="1">
      <x:c r="A1148" s="2"/>
      <x:c r="B1148" s="2" t="n">
        <x:v>1143</x:v>
      </x:c>
      <x:c r="C1148" s="2" t="str">
        <x:v>Fabric &amp; Home Care / organic_volume_growth</x:v>
      </x:c>
      <x:c r="D1148" s="2" t="str">
        <x:v>Own history</x:v>
      </x:c>
      <x:c r="E1148" s="7" t="n">
        <x:v>45657</x:v>
      </x:c>
      <x:c r="F1148" s="2" t="str">
        <x:v>Origin</x:v>
      </x:c>
      <x:c r="G1148" s="7" t="n">
        <x:v>45566</x:v>
      </x:c>
      <x:c r="H1148" s="2" t="n">
        <x:v>12</x:v>
      </x:c>
      <x:c r="I1148" s="8" t="n">
        <x:v>0</x:v>
      </x:c>
      <x:c r="J1148" s="8" t="n">
        <x:v>0</x:v>
      </x:c>
      <x:c r="K1148" s="8" t="n">
        <x:v>0</x:v>
      </x:c>
      <x:c r="L1148" s="8" t="n">
        <x:v>184</x:v>
      </x:c>
      <x:c r="M1148" s="8" t="n">
        <x:v>0</x:v>
      </x:c>
      <x:c r="N1148" s="8" t="n">
        <x:v>0</x:v>
      </x:c>
      <x:c r="O1148" s="8" t="n">
        <x:v>38</x:v>
      </x:c>
      <x:c r="P1148" s="8" t="n">
        <x:v>0</x:v>
      </x:c>
      <x:c r="Q1148" s="8" t="n">
        <x:v>3</x:v>
      </x:c>
      <x:c r="R1148" s="8" t="n">
        <x:v>0</x:v>
      </x:c>
      <x:c r="S1148" s="8" t="n">
        <x:f>L1148-I1148^2/H1148</x:f>
        <x:v>184</x:v>
      </x:c>
      <x:c r="T1148" s="8" t="n">
        <x:f>M1148-J1148^2/H1148</x:f>
        <x:v>0</x:v>
      </x:c>
      <x:c r="U1148" s="8" t="n">
        <x:f>N1148-I1148*J1148/H1148</x:f>
        <x:v>0</x:v>
      </x:c>
      <x:c r="V1148" s="8" t="n">
        <x:f>O1148-I1148*K1148/H1148</x:f>
        <x:v>38</x:v>
      </x:c>
      <x:c r="W1148" s="8" t="n">
        <x:f>P1148-J1148*K1148/H1148</x:f>
        <x:v>0</x:v>
      </x:c>
      <x:c r="X1148" s="8" t="n">
        <x:f>V1148/S1148</x:f>
        <x:v>0.20652173913043478</x:v>
      </x:c>
      <x:c r="Y1148" s="8" t="n">
        <x:f>0</x:f>
        <x:v>0</x:v>
      </x:c>
      <x:c r="Z1148" s="8" t="n">
        <x:f>K1148/H1148-X1148*I1148/H1148-Y1148*J1148/H1148</x:f>
        <x:v>0</x:v>
      </x:c>
      <x:c r="AA1148" s="8" t="n">
        <x:f>Z1148+X1148*Q1148+Y1148*R1148</x:f>
        <x:v>0.6195652173913043</x:v>
      </x:c>
    </x:row>
    <x:row r="1149" ht="26" customHeight="1">
      <x:c r="A1149" s="2"/>
      <x:c r="B1149" s="2" t="n">
        <x:v>1144</x:v>
      </x:c>
      <x:c r="C1149" s="2" t="str">
        <x:v>Fabric &amp; Home Care / organic_volume_growth</x:v>
      </x:c>
      <x:c r="D1149" s="2" t="str">
        <x:v>Broad market</x:v>
      </x:c>
      <x:c r="E1149" s="7" t="n">
        <x:v>45657</x:v>
      </x:c>
      <x:c r="F1149" s="2" t="str">
        <x:v>Prior report</x:v>
      </x:c>
      <x:c r="G1149" s="7" t="n">
        <x:v>45583</x:v>
      </x:c>
      <x:c r="H1149" s="2" t="n">
        <x:v>14</x:v>
      </x:c>
      <x:c r="I1149" s="8" t="n">
        <x:v>41.58880663164729</x:v>
      </x:c>
      <x:c r="J1149" s="8" t="n">
        <x:v>0</x:v>
      </x:c>
      <x:c r="K1149" s="8" t="n">
        <x:v>4</x:v>
      </x:c>
      <x:c r="L1149" s="8" t="n">
        <x:v>366.7871092575401</x:v>
      </x:c>
      <x:c r="M1149" s="8" t="n">
        <x:v>0</x:v>
      </x:c>
      <x:c r="N1149" s="8" t="n">
        <x:v>0</x:v>
      </x:c>
      <x:c r="O1149" s="8" t="n">
        <x:v>138.96537204916177</x:v>
      </x:c>
      <x:c r="P1149" s="8" t="n">
        <x:v>0</x:v>
      </x:c>
      <x:c r="Q1149" s="8" t="n">
        <x:v>2.1970378321914286</x:v>
      </x:c>
      <x:c r="R1149" s="8" t="n">
        <x:v>0</x:v>
      </x:c>
      <x:c r="S1149" s="8" t="n">
        <x:f>L1149-I1149^2/H1149</x:f>
        <x:v>243.24219232578662</x:v>
      </x:c>
      <x:c r="T1149" s="8" t="n">
        <x:f>M1149-J1149^2/H1149</x:f>
        <x:v>0</x:v>
      </x:c>
      <x:c r="U1149" s="8" t="n">
        <x:f>N1149-I1149*J1149/H1149</x:f>
        <x:v>0</x:v>
      </x:c>
      <x:c r="V1149" s="8" t="n">
        <x:f>O1149-I1149*K1149/H1149</x:f>
        <x:v>127.08285586869111</x:v>
      </x:c>
      <x:c r="W1149" s="8" t="n">
        <x:f>P1149-J1149*K1149/H1149</x:f>
        <x:v>0</x:v>
      </x:c>
      <x:c r="X1149" s="8" t="n">
        <x:f>V1149/S1149</x:f>
        <x:v>0.5224539980238403</x:v>
      </x:c>
      <x:c r="Y1149" s="8" t="n">
        <x:f>0</x:f>
        <x:v>0</x:v>
      </x:c>
      <x:c r="Z1149" s="8" t="n">
        <x:f>K1149/H1149-X1149*I1149/H1149-Y1149*J1149/H1149</x:f>
        <x:v>-1.2663027355531806</x:v>
      </x:c>
      <x:c r="AA1149" s="8" t="n">
        <x:f>Z1149+X1149*Q1149+Y1149*R1149</x:f>
        <x:v>-0.11845153631513772</x:v>
      </x:c>
    </x:row>
    <x:row r="1150" ht="26" customHeight="1">
      <x:c r="A1150" s="2"/>
      <x:c r="B1150" s="2" t="n">
        <x:v>1145</x:v>
      </x:c>
      <x:c r="C1150" s="2" t="str">
        <x:v>Fabric &amp; Home Care / organic_volume_growth</x:v>
      </x:c>
      <x:c r="D1150" s="2" t="str">
        <x:v>Broad rolling 8</x:v>
      </x:c>
      <x:c r="E1150" s="7" t="n">
        <x:v>45657</x:v>
      </x:c>
      <x:c r="F1150" s="2" t="str">
        <x:v>Prior report</x:v>
      </x:c>
      <x:c r="G1150" s="7" t="n">
        <x:v>45583</x:v>
      </x:c>
      <x:c r="H1150" s="2" t="n">
        <x:v>8</x:v>
      </x:c>
      <x:c r="I1150" s="8" t="n">
        <x:v>3.8524597778205827</x:v>
      </x:c>
      <x:c r="J1150" s="8" t="n">
        <x:v>0</x:v>
      </x:c>
      <x:c r="K1150" s="8" t="n">
        <x:v>-13</x:v>
      </x:c>
      <x:c r="L1150" s="8" t="n">
        <x:v>15.42741688968306</x:v>
      </x:c>
      <x:c r="M1150" s="8" t="n">
        <x:v>0</x:v>
      </x:c>
      <x:c r="N1150" s="8" t="n">
        <x:v>0</x:v>
      </x:c>
      <x:c r="O1150" s="8" t="n">
        <x:v>25.599457649806123</x:v>
      </x:c>
      <x:c r="P1150" s="8" t="n">
        <x:v>0</x:v>
      </x:c>
      <x:c r="Q1150" s="8" t="n">
        <x:v>2.1970378321914286</x:v>
      </x:c>
      <x:c r="R1150" s="8" t="n">
        <x:v>0</x:v>
      </x:c>
      <x:c r="S1150" s="8" t="n">
        <x:f>L1150-I1150^2/H1150</x:f>
        <x:v>13.572236097217385</x:v>
      </x:c>
      <x:c r="T1150" s="8" t="n">
        <x:f>M1150-J1150^2/H1150</x:f>
        <x:v>0</x:v>
      </x:c>
      <x:c r="U1150" s="8" t="n">
        <x:f>N1150-I1150*J1150/H1150</x:f>
        <x:v>0</x:v>
      </x:c>
      <x:c r="V1150" s="8" t="n">
        <x:f>O1150-I1150*K1150/H1150</x:f>
        <x:v>31.85970478876457</x:v>
      </x:c>
      <x:c r="W1150" s="8" t="n">
        <x:f>P1150-J1150*K1150/H1150</x:f>
        <x:v>0</x:v>
      </x:c>
      <x:c r="X1150" s="8" t="n">
        <x:f>V1150/S1150</x:f>
        <x:v>2.3474175191585807</x:v>
      </x:c>
      <x:c r="Y1150" s="8" t="n">
        <x:f>0</x:f>
        <x:v>0</x:v>
      </x:c>
      <x:c r="Z1150" s="8" t="n">
        <x:f>K1150/H1150-X1150*I1150/H1150-Y1150*J1150/H1150</x:f>
        <x:v>-2.7554164467887263</x:v>
      </x:c>
      <x:c r="AA1150" s="8" t="n">
        <x:f>Z1150+X1150*Q1150+Y1150*R1150</x:f>
        <x:v>2.4019486507516232</x:v>
      </x:c>
    </x:row>
    <x:row r="1151" ht="26" customHeight="1">
      <x:c r="A1151" s="2"/>
      <x:c r="B1151" s="2" t="n">
        <x:v>1146</x:v>
      </x:c>
      <x:c r="C1151" s="2" t="str">
        <x:v>Fabric &amp; Home Care / organic_volume_growth</x:v>
      </x:c>
      <x:c r="D1151" s="2" t="str">
        <x:v>Own history</x:v>
      </x:c>
      <x:c r="E1151" s="7" t="n">
        <x:v>45657</x:v>
      </x:c>
      <x:c r="F1151" s="2" t="str">
        <x:v>Prior report</x:v>
      </x:c>
      <x:c r="G1151" s="7" t="n">
        <x:v>45583</x:v>
      </x:c>
      <x:c r="H1151" s="2" t="n">
        <x:v>14</x:v>
      </x:c>
      <x:c r="I1151" s="8" t="n">
        <x:v>4</x:v>
      </x:c>
      <x:c r="J1151" s="8" t="n">
        <x:v>0</x:v>
      </x:c>
      <x:c r="K1151" s="8" t="n">
        <x:v>2</x:v>
      </x:c>
      <x:c r="L1151" s="8" t="n">
        <x:v>194</x:v>
      </x:c>
      <x:c r="M1151" s="8" t="n">
        <x:v>0</x:v>
      </x:c>
      <x:c r="N1151" s="8" t="n">
        <x:v>0</x:v>
      </x:c>
      <x:c r="O1151" s="8" t="n">
        <x:v>133</x:v>
      </x:c>
      <x:c r="P1151" s="8" t="n">
        <x:v>0</x:v>
      </x:c>
      <x:c r="Q1151" s="8" t="n">
        <x:v>1</x:v>
      </x:c>
      <x:c r="R1151" s="8" t="n">
        <x:v>0</x:v>
      </x:c>
      <x:c r="S1151" s="8" t="n">
        <x:f>L1151-I1151^2/H1151</x:f>
        <x:v>192.85714285714286</x:v>
      </x:c>
      <x:c r="T1151" s="8" t="n">
        <x:f>M1151-J1151^2/H1151</x:f>
        <x:v>0</x:v>
      </x:c>
      <x:c r="U1151" s="8" t="n">
        <x:f>N1151-I1151*J1151/H1151</x:f>
        <x:v>0</x:v>
      </x:c>
      <x:c r="V1151" s="8" t="n">
        <x:f>O1151-I1151*K1151/H1151</x:f>
        <x:v>132.42857142857142</x:v>
      </x:c>
      <x:c r="W1151" s="8" t="n">
        <x:f>P1151-J1151*K1151/H1151</x:f>
        <x:v>0</x:v>
      </x:c>
      <x:c r="X1151" s="8" t="n">
        <x:f>V1151/S1151</x:f>
        <x:v>0.6866666666666665</x:v>
      </x:c>
      <x:c r="Y1151" s="8" t="n">
        <x:f>0</x:f>
        <x:v>0</x:v>
      </x:c>
      <x:c r="Z1151" s="8" t="n">
        <x:f>K1151/H1151-X1151*I1151/H1151-Y1151*J1151/H1151</x:f>
        <x:v>-0.053333333333333316</x:v>
      </x:c>
      <x:c r="AA1151" s="8" t="n">
        <x:f>Z1151+X1151*Q1151+Y1151*R1151</x:f>
        <x:v>0.6333333333333332</x:v>
      </x:c>
    </x:row>
    <x:row r="1152" ht="26" customHeight="1">
      <x:c r="A1152" s="2"/>
      <x:c r="B1152" s="2" t="n">
        <x:v>1147</x:v>
      </x:c>
      <x:c r="C1152" s="2" t="str">
        <x:v>Fabric &amp; Home Care / organic_volume_growth</x:v>
      </x:c>
      <x:c r="D1152" s="2" t="str">
        <x:v>Broad market</x:v>
      </x:c>
      <x:c r="E1152" s="7" t="n">
        <x:v>45657</x:v>
      </x:c>
      <x:c r="F1152" s="2" t="str">
        <x:v>Pre-earnings</x:v>
      </x:c>
      <x:c r="G1152" s="7" t="n">
        <x:v>45678</x:v>
      </x:c>
      <x:c r="H1152" s="2" t="n">
        <x:v>15</x:v>
      </x:c>
      <x:c r="I1152" s="8" t="n">
        <x:v>43.836489330457816</x:v>
      </x:c>
      <x:c r="J1152" s="8" t="n">
        <x:v>0</x:v>
      </x:c>
      <x:c r="K1152" s="8" t="n">
        <x:v>5</x:v>
      </x:c>
      <x:c r="L1152" s="8" t="n">
        <x:v>371.83918677207225</x:v>
      </x:c>
      <x:c r="M1152" s="8" t="n">
        <x:v>0</x:v>
      </x:c>
      <x:c r="N1152" s="8" t="n">
        <x:v>0</x:v>
      </x:c>
      <x:c r="O1152" s="8" t="n">
        <x:v>141.2130547479723</x:v>
      </x:c>
      <x:c r="P1152" s="8" t="n">
        <x:v>0</x:v>
      </x:c>
      <x:c r="Q1152" s="8" t="n">
        <x:v>2.2104342232004415</x:v>
      </x:c>
      <x:c r="R1152" s="8" t="n">
        <x:v>0</x:v>
      </x:c>
      <x:c r="S1152" s="8" t="n">
        <x:f>L1152-I1152^2/H1152</x:f>
        <x:v>243.73000031744945</x:v>
      </x:c>
      <x:c r="T1152" s="8" t="n">
        <x:f>M1152-J1152^2/H1152</x:f>
        <x:v>0</x:v>
      </x:c>
      <x:c r="U1152" s="8" t="n">
        <x:f>N1152-I1152*J1152/H1152</x:f>
        <x:v>0</x:v>
      </x:c>
      <x:c r="V1152" s="8" t="n">
        <x:f>O1152-I1152*K1152/H1152</x:f>
        <x:v>126.6008916378197</x:v>
      </x:c>
      <x:c r="W1152" s="8" t="n">
        <x:f>P1152-J1152*K1152/H1152</x:f>
        <x:v>0</x:v>
      </x:c>
      <x:c r="X1152" s="8" t="n">
        <x:f>V1152/S1152</x:f>
        <x:v>0.5194308926801241</x:v>
      </x:c>
      <x:c r="Y1152" s="8" t="n">
        <x:f>0</x:f>
        <x:v>0</x:v>
      </x:c>
      <x:c r="Z1152" s="8" t="n">
        <x:f>K1152/H1152-X1152*I1152/H1152-Y1152*J1152/H1152</x:f>
        <x:v>-1.184668452325496</x:v>
      </x:c>
      <x:c r="AA1152" s="8" t="n">
        <x:f>Z1152+X1152*Q1152+Y1152*R1152</x:f>
        <x:v>-0.036500630557793956</x:v>
      </x:c>
    </x:row>
    <x:row r="1153" ht="26" customHeight="1">
      <x:c r="A1153" s="2"/>
      <x:c r="B1153" s="2" t="n">
        <x:v>1148</x:v>
      </x:c>
      <x:c r="C1153" s="2" t="str">
        <x:v>Fabric &amp; Home Care / organic_volume_growth</x:v>
      </x:c>
      <x:c r="D1153" s="2" t="str">
        <x:v>Broad lag 1</x:v>
      </x:c>
      <x:c r="E1153" s="7" t="n">
        <x:v>45657</x:v>
      </x:c>
      <x:c r="F1153" s="2" t="str">
        <x:v>Pre-earnings</x:v>
      </x:c>
      <x:c r="G1153" s="7" t="n">
        <x:v>45678</x:v>
      </x:c>
      <x:c r="H1153" s="2" t="n">
        <x:v>14</x:v>
      </x:c>
      <x:c r="I1153" s="8" t="n">
        <x:v>41.58880663164729</x:v>
      </x:c>
      <x:c r="J1153" s="8" t="n">
        <x:v>0</x:v>
      </x:c>
      <x:c r="K1153" s="8" t="n">
        <x:v>2</x:v>
      </x:c>
      <x:c r="L1153" s="8" t="n">
        <x:v>366.7871092575401</x:v>
      </x:c>
      <x:c r="M1153" s="8" t="n">
        <x:v>0</x:v>
      </x:c>
      <x:c r="N1153" s="8" t="n">
        <x:v>0</x:v>
      </x:c>
      <x:c r="O1153" s="8" t="n">
        <x:v>139.25376707923354</x:v>
      </x:c>
      <x:c r="P1153" s="8" t="n">
        <x:v>0</x:v>
      </x:c>
      <x:c r="Q1153" s="8" t="n">
        <x:v>2.247682698810527</x:v>
      </x:c>
      <x:c r="R1153" s="8" t="n">
        <x:v>0</x:v>
      </x:c>
      <x:c r="S1153" s="8" t="n">
        <x:f>L1153-I1153^2/H1153</x:f>
        <x:v>243.24219232578662</x:v>
      </x:c>
      <x:c r="T1153" s="8" t="n">
        <x:f>M1153-J1153^2/H1153</x:f>
        <x:v>0</x:v>
      </x:c>
      <x:c r="U1153" s="8" t="n">
        <x:f>N1153-I1153*J1153/H1153</x:f>
        <x:v>0</x:v>
      </x:c>
      <x:c r="V1153" s="8" t="n">
        <x:f>O1153-I1153*K1153/H1153</x:f>
        <x:v>133.31250898899822</x:v>
      </x:c>
      <x:c r="W1153" s="8" t="n">
        <x:f>P1153-J1153*K1153/H1153</x:f>
        <x:v>0</x:v>
      </x:c>
      <x:c r="X1153" s="8" t="n">
        <x:f>V1153/S1153</x:f>
        <x:v>0.548064904835449</x:v>
      </x:c>
      <x:c r="Y1153" s="8" t="n">
        <x:f>0</x:f>
        <x:v>0</x:v>
      </x:c>
      <x:c r="Z1153" s="8" t="n">
        <x:f>K1153/H1153-X1153*I1153/H1153-Y1153*J1153/H1153</x:f>
        <x:v>-1.4852403820566902</x:v>
      </x:c>
      <x:c r="AA1153" s="8" t="n">
        <x:f>Z1153+X1153*Q1153+Y1153*R1153</x:f>
        <x:v>-0.2533643776328136</x:v>
      </x:c>
    </x:row>
    <x:row r="1154" ht="26" customHeight="1">
      <x:c r="A1154" s="2"/>
      <x:c r="B1154" s="2" t="n">
        <x:v>1149</x:v>
      </x:c>
      <x:c r="C1154" s="2" t="str">
        <x:v>Fabric &amp; Home Care / organic_volume_growth</x:v>
      </x:c>
      <x:c r="D1154" s="2" t="str">
        <x:v>Broad rolling 8</x:v>
      </x:c>
      <x:c r="E1154" s="7" t="n">
        <x:v>45657</x:v>
      </x:c>
      <x:c r="F1154" s="2" t="str">
        <x:v>Pre-earnings</x:v>
      </x:c>
      <x:c r="G1154" s="7" t="n">
        <x:v>45678</x:v>
      </x:c>
      <x:c r="H1154" s="2" t="n">
        <x:v>8</x:v>
      </x:c>
      <x:c r="I1154" s="8" t="n">
        <x:v>7.078949947895485</x:v>
      </x:c>
      <x:c r="J1154" s="8" t="n">
        <x:v>0</x:v>
      </x:c>
      <x:c r="K1154" s="8" t="n">
        <x:v>-8</x:v>
      </x:c>
      <x:c r="L1154" s="8" t="n">
        <x:v>19.521430338412273</x:v>
      </x:c>
      <x:c r="M1154" s="8" t="n">
        <x:v>0</x:v>
      </x:c>
      <x:c r="N1154" s="8" t="n">
        <x:v>0</x:v>
      </x:c>
      <x:c r="O1154" s="8" t="n">
        <x:v>23.93191046355915</x:v>
      </x:c>
      <x:c r="P1154" s="8" t="n">
        <x:v>0</x:v>
      </x:c>
      <x:c r="Q1154" s="8" t="n">
        <x:v>2.2104342232004415</x:v>
      </x:c>
      <x:c r="R1154" s="8" t="n">
        <x:v>0</x:v>
      </x:c>
      <x:c r="S1154" s="8" t="n">
        <x:f>L1154-I1154^2/H1154</x:f>
        <x:v>13.257488792811085</x:v>
      </x:c>
      <x:c r="T1154" s="8" t="n">
        <x:f>M1154-J1154^2/H1154</x:f>
        <x:v>0</x:v>
      </x:c>
      <x:c r="U1154" s="8" t="n">
        <x:f>N1154-I1154*J1154/H1154</x:f>
        <x:v>0</x:v>
      </x:c>
      <x:c r="V1154" s="8" t="n">
        <x:f>O1154-I1154*K1154/H1154</x:f>
        <x:v>31.010860411454633</x:v>
      </x:c>
      <x:c r="W1154" s="8" t="n">
        <x:f>P1154-J1154*K1154/H1154</x:f>
        <x:v>0</x:v>
      </x:c>
      <x:c r="X1154" s="8" t="n">
        <x:f>V1154/S1154</x:f>
        <x:v>2.3391202433654232</x:v>
      </x:c>
      <x:c r="Y1154" s="8" t="n">
        <x:f>0</x:f>
        <x:v>0</x:v>
      </x:c>
      <x:c r="Z1154" s="8" t="n">
        <x:f>K1154/H1154-X1154*I1154/H1154-Y1154*J1154/H1154</x:f>
        <x:v>-3.0698143906116173</x:v>
      </x:c>
      <x:c r="AA1154" s="8" t="n">
        <x:f>Z1154+X1154*Q1154+Y1154*R1154</x:f>
        <x:v>2.1006570475042596</x:v>
      </x:c>
    </x:row>
    <x:row r="1155" ht="26" customHeight="1">
      <x:c r="A1155" s="2"/>
      <x:c r="B1155" s="2" t="n">
        <x:v>1150</x:v>
      </x:c>
      <x:c r="C1155" s="2" t="str">
        <x:v>Fabric &amp; Home Care / organic_volume_growth</x:v>
      </x:c>
      <x:c r="D1155" s="2" t="str">
        <x:v>Own history</x:v>
      </x:c>
      <x:c r="E1155" s="7" t="n">
        <x:v>45657</x:v>
      </x:c>
      <x:c r="F1155" s="2" t="str">
        <x:v>Pre-earnings</x:v>
      </x:c>
      <x:c r="G1155" s="7" t="n">
        <x:v>45678</x:v>
      </x:c>
      <x:c r="H1155" s="2" t="n">
        <x:v>14</x:v>
      </x:c>
      <x:c r="I1155" s="8" t="n">
        <x:v>4</x:v>
      </x:c>
      <x:c r="J1155" s="8" t="n">
        <x:v>0</x:v>
      </x:c>
      <x:c r="K1155" s="8" t="n">
        <x:v>2</x:v>
      </x:c>
      <x:c r="L1155" s="8" t="n">
        <x:v>194</x:v>
      </x:c>
      <x:c r="M1155" s="8" t="n">
        <x:v>0</x:v>
      </x:c>
      <x:c r="N1155" s="8" t="n">
        <x:v>0</x:v>
      </x:c>
      <x:c r="O1155" s="8" t="n">
        <x:v>133</x:v>
      </x:c>
      <x:c r="P1155" s="8" t="n">
        <x:v>0</x:v>
      </x:c>
      <x:c r="Q1155" s="8" t="n">
        <x:v>1</x:v>
      </x:c>
      <x:c r="R1155" s="8" t="n">
        <x:v>0</x:v>
      </x:c>
      <x:c r="S1155" s="8" t="n">
        <x:f>L1155-I1155^2/H1155</x:f>
        <x:v>192.85714285714286</x:v>
      </x:c>
      <x:c r="T1155" s="8" t="n">
        <x:f>M1155-J1155^2/H1155</x:f>
        <x:v>0</x:v>
      </x:c>
      <x:c r="U1155" s="8" t="n">
        <x:f>N1155-I1155*J1155/H1155</x:f>
        <x:v>0</x:v>
      </x:c>
      <x:c r="V1155" s="8" t="n">
        <x:f>O1155-I1155*K1155/H1155</x:f>
        <x:v>132.42857142857142</x:v>
      </x:c>
      <x:c r="W1155" s="8" t="n">
        <x:f>P1155-J1155*K1155/H1155</x:f>
        <x:v>0</x:v>
      </x:c>
      <x:c r="X1155" s="8" t="n">
        <x:f>V1155/S1155</x:f>
        <x:v>0.6866666666666665</x:v>
      </x:c>
      <x:c r="Y1155" s="8" t="n">
        <x:f>0</x:f>
        <x:v>0</x:v>
      </x:c>
      <x:c r="Z1155" s="8" t="n">
        <x:f>K1155/H1155-X1155*I1155/H1155-Y1155*J1155/H1155</x:f>
        <x:v>-0.053333333333333316</x:v>
      </x:c>
      <x:c r="AA1155" s="8" t="n">
        <x:f>Z1155+X1155*Q1155+Y1155*R1155</x:f>
        <x:v>0.6333333333333332</x:v>
      </x:c>
    </x:row>
    <x:row r="1156" ht="26" customHeight="1">
      <x:c r="A1156" s="2"/>
      <x:c r="B1156" s="2" t="n">
        <x:v>1151</x:v>
      </x:c>
      <x:c r="C1156" s="2" t="str">
        <x:v>Fabric &amp; Home Care / organic_volume_growth</x:v>
      </x:c>
      <x:c r="D1156" s="2" t="str">
        <x:v>Broad market</x:v>
      </x:c>
      <x:c r="E1156" s="7" t="n">
        <x:v>45747</x:v>
      </x:c>
      <x:c r="F1156" s="2" t="str">
        <x:v>Origin</x:v>
      </x:c>
      <x:c r="G1156" s="7" t="n">
        <x:v>45658</x:v>
      </x:c>
      <x:c r="H1156" s="2" t="n">
        <x:v>15</x:v>
      </x:c>
      <x:c r="I1156" s="8" t="n">
        <x:v>43.836489330457816</x:v>
      </x:c>
      <x:c r="J1156" s="8" t="n">
        <x:v>0</x:v>
      </x:c>
      <x:c r="K1156" s="8" t="n">
        <x:v>5</x:v>
      </x:c>
      <x:c r="L1156" s="8" t="n">
        <x:v>371.83918677207225</x:v>
      </x:c>
      <x:c r="M1156" s="8" t="n">
        <x:v>0</x:v>
      </x:c>
      <x:c r="N1156" s="8" t="n">
        <x:v>0</x:v>
      </x:c>
      <x:c r="O1156" s="8" t="n">
        <x:v>141.2130547479723</x:v>
      </x:c>
      <x:c r="P1156" s="8" t="n">
        <x:v>0</x:v>
      </x:c>
      <x:c r="Q1156" s="8" t="n">
        <x:v>2.3134618459836664</x:v>
      </x:c>
      <x:c r="R1156" s="8" t="n">
        <x:v>0</x:v>
      </x:c>
      <x:c r="S1156" s="8" t="n">
        <x:f>L1156-I1156^2/H1156</x:f>
        <x:v>243.73000031744945</x:v>
      </x:c>
      <x:c r="T1156" s="8" t="n">
        <x:f>M1156-J1156^2/H1156</x:f>
        <x:v>0</x:v>
      </x:c>
      <x:c r="U1156" s="8" t="n">
        <x:f>N1156-I1156*J1156/H1156</x:f>
        <x:v>0</x:v>
      </x:c>
      <x:c r="V1156" s="8" t="n">
        <x:f>O1156-I1156*K1156/H1156</x:f>
        <x:v>126.6008916378197</x:v>
      </x:c>
      <x:c r="W1156" s="8" t="n">
        <x:f>P1156-J1156*K1156/H1156</x:f>
        <x:v>0</x:v>
      </x:c>
      <x:c r="X1156" s="8" t="n">
        <x:f>V1156/S1156</x:f>
        <x:v>0.5194308926801241</x:v>
      </x:c>
      <x:c r="Y1156" s="8" t="n">
        <x:f>0</x:f>
        <x:v>0</x:v>
      </x:c>
      <x:c r="Z1156" s="8" t="n">
        <x:f>K1156/H1156-X1156*I1156/H1156-Y1156*J1156/H1156</x:f>
        <x:v>-1.184668452325496</x:v>
      </x:c>
      <x:c r="AA1156" s="8" t="n">
        <x:f>Z1156+X1156*Q1156+Y1156*R1156</x:f>
        <x:v>0.017015099515207632</x:v>
      </x:c>
    </x:row>
    <x:row r="1157" ht="26" customHeight="1">
      <x:c r="A1157" s="2"/>
      <x:c r="B1157" s="2" t="n">
        <x:v>1152</x:v>
      </x:c>
      <x:c r="C1157" s="2" t="str">
        <x:v>Fabric &amp; Home Care / organic_volume_growth</x:v>
      </x:c>
      <x:c r="D1157" s="2" t="str">
        <x:v>Broad rolling 8</x:v>
      </x:c>
      <x:c r="E1157" s="7" t="n">
        <x:v>45747</x:v>
      </x:c>
      <x:c r="F1157" s="2" t="str">
        <x:v>Origin</x:v>
      </x:c>
      <x:c r="G1157" s="7" t="n">
        <x:v>45658</x:v>
      </x:c>
      <x:c r="H1157" s="2" t="n">
        <x:v>8</x:v>
      </x:c>
      <x:c r="I1157" s="8" t="n">
        <x:v>7.078949947895485</x:v>
      </x:c>
      <x:c r="J1157" s="8" t="n">
        <x:v>0</x:v>
      </x:c>
      <x:c r="K1157" s="8" t="n">
        <x:v>-8</x:v>
      </x:c>
      <x:c r="L1157" s="8" t="n">
        <x:v>19.521430338412273</x:v>
      </x:c>
      <x:c r="M1157" s="8" t="n">
        <x:v>0</x:v>
      </x:c>
      <x:c r="N1157" s="8" t="n">
        <x:v>0</x:v>
      </x:c>
      <x:c r="O1157" s="8" t="n">
        <x:v>23.93191046355915</x:v>
      </x:c>
      <x:c r="P1157" s="8" t="n">
        <x:v>0</x:v>
      </x:c>
      <x:c r="Q1157" s="8" t="n">
        <x:v>2.3134618459836664</x:v>
      </x:c>
      <x:c r="R1157" s="8" t="n">
        <x:v>0</x:v>
      </x:c>
      <x:c r="S1157" s="8" t="n">
        <x:f>L1157-I1157^2/H1157</x:f>
        <x:v>13.257488792811085</x:v>
      </x:c>
      <x:c r="T1157" s="8" t="n">
        <x:f>M1157-J1157^2/H1157</x:f>
        <x:v>0</x:v>
      </x:c>
      <x:c r="U1157" s="8" t="n">
        <x:f>N1157-I1157*J1157/H1157</x:f>
        <x:v>0</x:v>
      </x:c>
      <x:c r="V1157" s="8" t="n">
        <x:f>O1157-I1157*K1157/H1157</x:f>
        <x:v>31.010860411454633</x:v>
      </x:c>
      <x:c r="W1157" s="8" t="n">
        <x:f>P1157-J1157*K1157/H1157</x:f>
        <x:v>0</x:v>
      </x:c>
      <x:c r="X1157" s="8" t="n">
        <x:f>V1157/S1157</x:f>
        <x:v>2.3391202433654232</x:v>
      </x:c>
      <x:c r="Y1157" s="8" t="n">
        <x:f>0</x:f>
        <x:v>0</x:v>
      </x:c>
      <x:c r="Z1157" s="8" t="n">
        <x:f>K1157/H1157-X1157*I1157/H1157-Y1157*J1157/H1157</x:f>
        <x:v>-3.0698143906116173</x:v>
      </x:c>
      <x:c r="AA1157" s="8" t="n">
        <x:f>Z1157+X1157*Q1157+Y1157*R1157</x:f>
        <x:v>2.3416510455823176</x:v>
      </x:c>
    </x:row>
    <x:row r="1158" ht="26" customHeight="1">
      <x:c r="A1158" s="2"/>
      <x:c r="B1158" s="2" t="n">
        <x:v>1153</x:v>
      </x:c>
      <x:c r="C1158" s="2" t="str">
        <x:v>Fabric &amp; Home Care / organic_volume_growth</x:v>
      </x:c>
      <x:c r="D1158" s="2" t="str">
        <x:v>Own history</x:v>
      </x:c>
      <x:c r="E1158" s="7" t="n">
        <x:v>45747</x:v>
      </x:c>
      <x:c r="F1158" s="2" t="str">
        <x:v>Origin</x:v>
      </x:c>
      <x:c r="G1158" s="7" t="n">
        <x:v>45658</x:v>
      </x:c>
      <x:c r="H1158" s="2" t="n">
        <x:v>13</x:v>
      </x:c>
      <x:c r="I1158" s="8" t="n">
        <x:v>1</x:v>
      </x:c>
      <x:c r="J1158" s="8" t="n">
        <x:v>0</x:v>
      </x:c>
      <x:c r="K1158" s="8" t="n">
        <x:v>1</x:v>
      </x:c>
      <x:c r="L1158" s="8" t="n">
        <x:v>185</x:v>
      </x:c>
      <x:c r="M1158" s="8" t="n">
        <x:v>0</x:v>
      </x:c>
      <x:c r="N1158" s="8" t="n">
        <x:v>0</x:v>
      </x:c>
      <x:c r="O1158" s="8" t="n">
        <x:v>39</x:v>
      </x:c>
      <x:c r="P1158" s="8" t="n">
        <x:v>0</x:v>
      </x:c>
      <x:c r="Q1158" s="8" t="n">
        <x:v>1</x:v>
      </x:c>
      <x:c r="R1158" s="8" t="n">
        <x:v>0</x:v>
      </x:c>
      <x:c r="S1158" s="8" t="n">
        <x:f>L1158-I1158^2/H1158</x:f>
        <x:v>184.92307692307693</x:v>
      </x:c>
      <x:c r="T1158" s="8" t="n">
        <x:f>M1158-J1158^2/H1158</x:f>
        <x:v>0</x:v>
      </x:c>
      <x:c r="U1158" s="8" t="n">
        <x:f>N1158-I1158*J1158/H1158</x:f>
        <x:v>0</x:v>
      </x:c>
      <x:c r="V1158" s="8" t="n">
        <x:f>O1158-I1158*K1158/H1158</x:f>
        <x:v>38.92307692307692</x:v>
      </x:c>
      <x:c r="W1158" s="8" t="n">
        <x:f>P1158-J1158*K1158/H1158</x:f>
        <x:v>0</x:v>
      </x:c>
      <x:c r="X1158" s="8" t="n">
        <x:f>V1158/S1158</x:f>
        <x:v>0.21048252911813642</x:v>
      </x:c>
      <x:c r="Y1158" s="8" t="n">
        <x:f>0</x:f>
        <x:v>0</x:v>
      </x:c>
      <x:c r="Z1158" s="8" t="n">
        <x:f>K1158/H1158-X1158*I1158/H1158-Y1158*J1158/H1158</x:f>
        <x:v>0.06073211314475874</x:v>
      </x:c>
      <x:c r="AA1158" s="8" t="n">
        <x:f>Z1158+X1158*Q1158+Y1158*R1158</x:f>
        <x:v>0.27121464226289516</x:v>
      </x:c>
    </x:row>
    <x:row r="1159" ht="26" customHeight="1">
      <x:c r="A1159" s="2"/>
      <x:c r="B1159" s="2" t="n">
        <x:v>1154</x:v>
      </x:c>
      <x:c r="C1159" s="2" t="str">
        <x:v>Fabric &amp; Home Care / organic_volume_growth</x:v>
      </x:c>
      <x:c r="D1159" s="2" t="str">
        <x:v>Broad market</x:v>
      </x:c>
      <x:c r="E1159" s="7" t="n">
        <x:v>45747</x:v>
      </x:c>
      <x:c r="F1159" s="2" t="str">
        <x:v>Prior report</x:v>
      </x:c>
      <x:c r="G1159" s="7" t="n">
        <x:v>45679</x:v>
      </x:c>
      <x:c r="H1159" s="2" t="n">
        <x:v>15</x:v>
      </x:c>
      <x:c r="I1159" s="8" t="n">
        <x:v>43.836489330457816</x:v>
      </x:c>
      <x:c r="J1159" s="8" t="n">
        <x:v>0</x:v>
      </x:c>
      <x:c r="K1159" s="8" t="n">
        <x:v>5</x:v>
      </x:c>
      <x:c r="L1159" s="8" t="n">
        <x:v>371.83918677207225</x:v>
      </x:c>
      <x:c r="M1159" s="8" t="n">
        <x:v>0</x:v>
      </x:c>
      <x:c r="N1159" s="8" t="n">
        <x:v>0</x:v>
      </x:c>
      <x:c r="O1159" s="8" t="n">
        <x:v>141.2130547479723</x:v>
      </x:c>
      <x:c r="P1159" s="8" t="n">
        <x:v>0</x:v>
      </x:c>
      <x:c r="Q1159" s="8" t="n">
        <x:v>2.3134618459836664</x:v>
      </x:c>
      <x:c r="R1159" s="8" t="n">
        <x:v>0</x:v>
      </x:c>
      <x:c r="S1159" s="8" t="n">
        <x:f>L1159-I1159^2/H1159</x:f>
        <x:v>243.73000031744945</x:v>
      </x:c>
      <x:c r="T1159" s="8" t="n">
        <x:f>M1159-J1159^2/H1159</x:f>
        <x:v>0</x:v>
      </x:c>
      <x:c r="U1159" s="8" t="n">
        <x:f>N1159-I1159*J1159/H1159</x:f>
        <x:v>0</x:v>
      </x:c>
      <x:c r="V1159" s="8" t="n">
        <x:f>O1159-I1159*K1159/H1159</x:f>
        <x:v>126.6008916378197</x:v>
      </x:c>
      <x:c r="W1159" s="8" t="n">
        <x:f>P1159-J1159*K1159/H1159</x:f>
        <x:v>0</x:v>
      </x:c>
      <x:c r="X1159" s="8" t="n">
        <x:f>V1159/S1159</x:f>
        <x:v>0.5194308926801241</x:v>
      </x:c>
      <x:c r="Y1159" s="8" t="n">
        <x:f>0</x:f>
        <x:v>0</x:v>
      </x:c>
      <x:c r="Z1159" s="8" t="n">
        <x:f>K1159/H1159-X1159*I1159/H1159-Y1159*J1159/H1159</x:f>
        <x:v>-1.184668452325496</x:v>
      </x:c>
      <x:c r="AA1159" s="8" t="n">
        <x:f>Z1159+X1159*Q1159+Y1159*R1159</x:f>
        <x:v>0.017015099515207632</x:v>
      </x:c>
    </x:row>
    <x:row r="1160" ht="26" customHeight="1">
      <x:c r="A1160" s="2"/>
      <x:c r="B1160" s="2" t="n">
        <x:v>1155</x:v>
      </x:c>
      <x:c r="C1160" s="2" t="str">
        <x:v>Fabric &amp; Home Care / organic_volume_growth</x:v>
      </x:c>
      <x:c r="D1160" s="2" t="str">
        <x:v>Broad rolling 8</x:v>
      </x:c>
      <x:c r="E1160" s="7" t="n">
        <x:v>45747</x:v>
      </x:c>
      <x:c r="F1160" s="2" t="str">
        <x:v>Prior report</x:v>
      </x:c>
      <x:c r="G1160" s="7" t="n">
        <x:v>45679</x:v>
      </x:c>
      <x:c r="H1160" s="2" t="n">
        <x:v>8</x:v>
      </x:c>
      <x:c r="I1160" s="8" t="n">
        <x:v>7.078949947895485</x:v>
      </x:c>
      <x:c r="J1160" s="8" t="n">
        <x:v>0</x:v>
      </x:c>
      <x:c r="K1160" s="8" t="n">
        <x:v>-8</x:v>
      </x:c>
      <x:c r="L1160" s="8" t="n">
        <x:v>19.521430338412273</x:v>
      </x:c>
      <x:c r="M1160" s="8" t="n">
        <x:v>0</x:v>
      </x:c>
      <x:c r="N1160" s="8" t="n">
        <x:v>0</x:v>
      </x:c>
      <x:c r="O1160" s="8" t="n">
        <x:v>23.93191046355915</x:v>
      </x:c>
      <x:c r="P1160" s="8" t="n">
        <x:v>0</x:v>
      </x:c>
      <x:c r="Q1160" s="8" t="n">
        <x:v>2.3134618459836664</x:v>
      </x:c>
      <x:c r="R1160" s="8" t="n">
        <x:v>0</x:v>
      </x:c>
      <x:c r="S1160" s="8" t="n">
        <x:f>L1160-I1160^2/H1160</x:f>
        <x:v>13.257488792811085</x:v>
      </x:c>
      <x:c r="T1160" s="8" t="n">
        <x:f>M1160-J1160^2/H1160</x:f>
        <x:v>0</x:v>
      </x:c>
      <x:c r="U1160" s="8" t="n">
        <x:f>N1160-I1160*J1160/H1160</x:f>
        <x:v>0</x:v>
      </x:c>
      <x:c r="V1160" s="8" t="n">
        <x:f>O1160-I1160*K1160/H1160</x:f>
        <x:v>31.010860411454633</x:v>
      </x:c>
      <x:c r="W1160" s="8" t="n">
        <x:f>P1160-J1160*K1160/H1160</x:f>
        <x:v>0</x:v>
      </x:c>
      <x:c r="X1160" s="8" t="n">
        <x:f>V1160/S1160</x:f>
        <x:v>2.3391202433654232</x:v>
      </x:c>
      <x:c r="Y1160" s="8" t="n">
        <x:f>0</x:f>
        <x:v>0</x:v>
      </x:c>
      <x:c r="Z1160" s="8" t="n">
        <x:f>K1160/H1160-X1160*I1160/H1160-Y1160*J1160/H1160</x:f>
        <x:v>-3.0698143906116173</x:v>
      </x:c>
      <x:c r="AA1160" s="8" t="n">
        <x:f>Z1160+X1160*Q1160+Y1160*R1160</x:f>
        <x:v>2.3416510455823176</x:v>
      </x:c>
    </x:row>
    <x:row r="1161" ht="26" customHeight="1">
      <x:c r="A1161" s="2"/>
      <x:c r="B1161" s="2" t="n">
        <x:v>1156</x:v>
      </x:c>
      <x:c r="C1161" s="2" t="str">
        <x:v>Fabric &amp; Home Care / organic_volume_growth</x:v>
      </x:c>
      <x:c r="D1161" s="2" t="str">
        <x:v>Own history</x:v>
      </x:c>
      <x:c r="E1161" s="7" t="n">
        <x:v>45747</x:v>
      </x:c>
      <x:c r="F1161" s="2" t="str">
        <x:v>Prior report</x:v>
      </x:c>
      <x:c r="G1161" s="7" t="n">
        <x:v>45679</x:v>
      </x:c>
      <x:c r="H1161" s="2" t="n">
        <x:v>15</x:v>
      </x:c>
      <x:c r="I1161" s="8" t="n">
        <x:v>5</x:v>
      </x:c>
      <x:c r="J1161" s="8" t="n">
        <x:v>0</x:v>
      </x:c>
      <x:c r="K1161" s="8" t="n">
        <x:v>4</x:v>
      </x:c>
      <x:c r="L1161" s="8" t="n">
        <x:v>195</x:v>
      </x:c>
      <x:c r="M1161" s="8" t="n">
        <x:v>0</x:v>
      </x:c>
      <x:c r="N1161" s="8" t="n">
        <x:v>0</x:v>
      </x:c>
      <x:c r="O1161" s="8" t="n">
        <x:v>135</x:v>
      </x:c>
      <x:c r="P1161" s="8" t="n">
        <x:v>0</x:v>
      </x:c>
      <x:c r="Q1161" s="8" t="n">
        <x:v>2</x:v>
      </x:c>
      <x:c r="R1161" s="8" t="n">
        <x:v>0</x:v>
      </x:c>
      <x:c r="S1161" s="8" t="n">
        <x:f>L1161-I1161^2/H1161</x:f>
        <x:v>193.33333333333334</x:v>
      </x:c>
      <x:c r="T1161" s="8" t="n">
        <x:f>M1161-J1161^2/H1161</x:f>
        <x:v>0</x:v>
      </x:c>
      <x:c r="U1161" s="8" t="n">
        <x:f>N1161-I1161*J1161/H1161</x:f>
        <x:v>0</x:v>
      </x:c>
      <x:c r="V1161" s="8" t="n">
        <x:f>O1161-I1161*K1161/H1161</x:f>
        <x:v>133.66666666666666</x:v>
      </x:c>
      <x:c r="W1161" s="8" t="n">
        <x:f>P1161-J1161*K1161/H1161</x:f>
        <x:v>0</x:v>
      </x:c>
      <x:c r="X1161" s="8" t="n">
        <x:f>V1161/S1161</x:f>
        <x:v>0.6913793103448275</x:v>
      </x:c>
      <x:c r="Y1161" s="8" t="n">
        <x:f>0</x:f>
        <x:v>0</x:v>
      </x:c>
      <x:c r="Z1161" s="8" t="n">
        <x:f>K1161/H1161-X1161*I1161/H1161-Y1161*J1161/H1161</x:f>
        <x:v>0.036206896551724155</x:v>
      </x:c>
      <x:c r="AA1161" s="8" t="n">
        <x:f>Z1161+X1161*Q1161+Y1161*R1161</x:f>
        <x:v>1.418965517241379</x:v>
      </x:c>
    </x:row>
    <x:row r="1162" ht="26" customHeight="1">
      <x:c r="A1162" s="2"/>
      <x:c r="B1162" s="2" t="n">
        <x:v>1157</x:v>
      </x:c>
      <x:c r="C1162" s="2" t="str">
        <x:v>Fabric &amp; Home Care / organic_volume_growth</x:v>
      </x:c>
      <x:c r="D1162" s="2" t="str">
        <x:v>Broad market</x:v>
      </x:c>
      <x:c r="E1162" s="7" t="n">
        <x:v>45747</x:v>
      </x:c>
      <x:c r="F1162" s="2" t="str">
        <x:v>Pre-earnings</x:v>
      </x:c>
      <x:c r="G1162" s="7" t="n">
        <x:v>45770</x:v>
      </x:c>
      <x:c r="H1162" s="2" t="n">
        <x:v>16</x:v>
      </x:c>
      <x:c r="I1162" s="8" t="n">
        <x:v>45.94686773973914</x:v>
      </x:c>
      <x:c r="J1162" s="8" t="n">
        <x:v>0</x:v>
      </x:c>
      <x:c r="K1162" s="8" t="n">
        <x:v>7</x:v>
      </x:c>
      <x:c r="L1162" s="8" t="n">
        <x:v>376.29288380243304</x:v>
      </x:c>
      <x:c r="M1162" s="8" t="n">
        <x:v>0</x:v>
      </x:c>
      <x:c r="N1162" s="8" t="n">
        <x:v>0</x:v>
      </x:c>
      <x:c r="O1162" s="8" t="n">
        <x:v>145.43381156653496</x:v>
      </x:c>
      <x:c r="P1162" s="8" t="n">
        <x:v>0</x:v>
      </x:c>
      <x:c r="Q1162" s="8" t="n">
        <x:v>2.5268187156605393</x:v>
      </x:c>
      <x:c r="R1162" s="8" t="n">
        <x:v>0</x:v>
      </x:c>
      <x:c r="S1162" s="8" t="n">
        <x:f>L1162-I1162^2/H1162</x:f>
        <x:v>244.34821785911546</x:v>
      </x:c>
      <x:c r="T1162" s="8" t="n">
        <x:f>M1162-J1162^2/H1162</x:f>
        <x:v>0</x:v>
      </x:c>
      <x:c r="U1162" s="8" t="n">
        <x:f>N1162-I1162*J1162/H1162</x:f>
        <x:v>0</x:v>
      </x:c>
      <x:c r="V1162" s="8" t="n">
        <x:f>O1162-I1162*K1162/H1162</x:f>
        <x:v>125.33205693039909</x:v>
      </x:c>
      <x:c r="W1162" s="8" t="n">
        <x:f>P1162-J1162*K1162/H1162</x:f>
        <x:v>0</x:v>
      </x:c>
      <x:c r="X1162" s="8" t="n">
        <x:f>V1162/S1162</x:f>
        <x:v>0.5129239657588259</x:v>
      </x:c>
      <x:c r="Y1162" s="8" t="n">
        <x:f>0</x:f>
        <x:v>0</x:v>
      </x:c>
      <x:c r="Z1162" s="8" t="n">
        <x:f>K1162/H1162-X1162*I1162/H1162-Y1162*J1162/H1162</x:f>
        <x:v>-1.0354531009539538</x:v>
      </x:c>
      <x:c r="AA1162" s="8" t="n">
        <x:f>Z1162+X1162*Q1162+Y1162*R1162</x:f>
        <x:v>0.26061277543627304</x:v>
      </x:c>
    </x:row>
    <x:row r="1163" ht="26" customHeight="1">
      <x:c r="A1163" s="2"/>
      <x:c r="B1163" s="2" t="n">
        <x:v>1158</x:v>
      </x:c>
      <x:c r="C1163" s="2" t="str">
        <x:v>Fabric &amp; Home Care / organic_volume_growth</x:v>
      </x:c>
      <x:c r="D1163" s="2" t="str">
        <x:v>Broad lag 1</x:v>
      </x:c>
      <x:c r="E1163" s="7" t="n">
        <x:v>45747</x:v>
      </x:c>
      <x:c r="F1163" s="2" t="str">
        <x:v>Pre-earnings</x:v>
      </x:c>
      <x:c r="G1163" s="7" t="n">
        <x:v>45770</x:v>
      </x:c>
      <x:c r="H1163" s="2" t="n">
        <x:v>15</x:v>
      </x:c>
      <x:c r="I1163" s="8" t="n">
        <x:v>43.836489330457816</x:v>
      </x:c>
      <x:c r="J1163" s="8" t="n">
        <x:v>0</x:v>
      </x:c>
      <x:c r="K1163" s="8" t="n">
        <x:v>4</x:v>
      </x:c>
      <x:c r="L1163" s="8" t="n">
        <x:v>371.83918677207225</x:v>
      </x:c>
      <x:c r="M1163" s="8" t="n">
        <x:v>0</x:v>
      </x:c>
      <x:c r="N1163" s="8" t="n">
        <x:v>0</x:v>
      </x:c>
      <x:c r="O1163" s="8" t="n">
        <x:v>143.74913247685458</x:v>
      </x:c>
      <x:c r="P1163" s="8" t="n">
        <x:v>0</x:v>
      </x:c>
      <x:c r="Q1163" s="8" t="n">
        <x:v>2.1103784092813216</x:v>
      </x:c>
      <x:c r="R1163" s="8" t="n">
        <x:v>0</x:v>
      </x:c>
      <x:c r="S1163" s="8" t="n">
        <x:f>L1163-I1163^2/H1163</x:f>
        <x:v>243.73000031744945</x:v>
      </x:c>
      <x:c r="T1163" s="8" t="n">
        <x:f>M1163-J1163^2/H1163</x:f>
        <x:v>0</x:v>
      </x:c>
      <x:c r="U1163" s="8" t="n">
        <x:f>N1163-I1163*J1163/H1163</x:f>
        <x:v>0</x:v>
      </x:c>
      <x:c r="V1163" s="8" t="n">
        <x:f>O1163-I1163*K1163/H1163</x:f>
        <x:v>132.0594019887325</x:v>
      </x:c>
      <x:c r="W1163" s="8" t="n">
        <x:f>P1163-J1163*K1163/H1163</x:f>
        <x:v>0</x:v>
      </x:c>
      <x:c r="X1163" s="8" t="n">
        <x:f>V1163/S1163</x:f>
        <x:v>0.5418266188681325</x:v>
      </x:c>
      <x:c r="Y1163" s="8" t="n">
        <x:f>0</x:f>
        <x:v>0</x:v>
      </x:c>
      <x:c r="Z1163" s="8" t="n">
        <x:f>K1163/H1163-X1163*I1163/H1163-Y1163*J1163/H1163</x:f>
        <x:v>-1.3167851197980618</x:v>
      </x:c>
      <x:c r="AA1163" s="8" t="n">
        <x:f>Z1163+X1163*Q1163+Y1163*R1163</x:f>
        <x:v>-0.17332592176485528</x:v>
      </x:c>
    </x:row>
    <x:row r="1164" ht="26" customHeight="1">
      <x:c r="A1164" s="2"/>
      <x:c r="B1164" s="2" t="n">
        <x:v>1159</x:v>
      </x:c>
      <x:c r="C1164" s="2" t="str">
        <x:v>Fabric &amp; Home Care / organic_volume_growth</x:v>
      </x:c>
      <x:c r="D1164" s="2" t="str">
        <x:v>Broad rolling 8</x:v>
      </x:c>
      <x:c r="E1164" s="7" t="n">
        <x:v>45747</x:v>
      </x:c>
      <x:c r="F1164" s="2" t="str">
        <x:v>Pre-earnings</x:v>
      </x:c>
      <x:c r="G1164" s="7" t="n">
        <x:v>45770</x:v>
      </x:c>
      <x:c r="H1164" s="2" t="n">
        <x:v>8</x:v>
      </x:c>
      <x:c r="I1164" s="8" t="n">
        <x:v>10.750247851811778</x:v>
      </x:c>
      <x:c r="J1164" s="8" t="n">
        <x:v>0</x:v>
      </x:c>
      <x:c r="K1164" s="8" t="n">
        <x:v>1</x:v>
      </x:c>
      <x:c r="L1164" s="8" t="n">
        <x:v>21.53865770004154</x:v>
      </x:c>
      <x:c r="M1164" s="8" t="n">
        <x:v>0</x:v>
      </x:c>
      <x:c r="N1164" s="8" t="n">
        <x:v>0</x:v>
      </x:c>
      <x:c r="O1164" s="8" t="n">
        <x:v>17.226230819676992</x:v>
      </x:c>
      <x:c r="P1164" s="8" t="n">
        <x:v>0</x:v>
      </x:c>
      <x:c r="Q1164" s="8" t="n">
        <x:v>2.5268187156605393</x:v>
      </x:c>
      <x:c r="R1164" s="8" t="n">
        <x:v>0</x:v>
      </x:c>
      <x:c r="S1164" s="8" t="n">
        <x:f>L1164-I1164^2/H1164</x:f>
        <x:v>7.092679090618571</x:v>
      </x:c>
      <x:c r="T1164" s="8" t="n">
        <x:f>M1164-J1164^2/H1164</x:f>
        <x:v>0</x:v>
      </x:c>
      <x:c r="U1164" s="8" t="n">
        <x:f>N1164-I1164*J1164/H1164</x:f>
        <x:v>0</x:v>
      </x:c>
      <x:c r="V1164" s="8" t="n">
        <x:f>O1164-I1164*K1164/H1164</x:f>
        <x:v>15.88244983820052</x:v>
      </x:c>
      <x:c r="W1164" s="8" t="n">
        <x:f>P1164-J1164*K1164/H1164</x:f>
        <x:v>0</x:v>
      </x:c>
      <x:c r="X1164" s="8" t="n">
        <x:f>V1164/S1164</x:f>
        <x:v>2.2392737124125786</x:v>
      </x:c>
      <x:c r="Y1164" s="8" t="n">
        <x:f>0</x:f>
        <x:v>0</x:v>
      </x:c>
      <x:c r="Z1164" s="8" t="n">
        <x:f>K1164/H1164-X1164*I1164/H1164-Y1164*J1164/H1164</x:f>
        <x:v>-2.8840934270602387</x:v>
      </x:c>
      <x:c r="AA1164" s="8" t="n">
        <x:f>Z1164+X1164*Q1164+Y1164*R1164</x:f>
        <x:v>2.774145298950521</x:v>
      </x:c>
    </x:row>
    <x:row r="1165" ht="26" customHeight="1">
      <x:c r="A1165" s="2"/>
      <x:c r="B1165" s="2" t="n">
        <x:v>1160</x:v>
      </x:c>
      <x:c r="C1165" s="2" t="str">
        <x:v>Fabric &amp; Home Care / organic_volume_growth</x:v>
      </x:c>
      <x:c r="D1165" s="2" t="str">
        <x:v>Own history</x:v>
      </x:c>
      <x:c r="E1165" s="7" t="n">
        <x:v>45747</x:v>
      </x:c>
      <x:c r="F1165" s="2" t="str">
        <x:v>Pre-earnings</x:v>
      </x:c>
      <x:c r="G1165" s="7" t="n">
        <x:v>45770</x:v>
      </x:c>
      <x:c r="H1165" s="2" t="n">
        <x:v>15</x:v>
      </x:c>
      <x:c r="I1165" s="8" t="n">
        <x:v>5</x:v>
      </x:c>
      <x:c r="J1165" s="8" t="n">
        <x:v>0</x:v>
      </x:c>
      <x:c r="K1165" s="8" t="n">
        <x:v>4</x:v>
      </x:c>
      <x:c r="L1165" s="8" t="n">
        <x:v>195</x:v>
      </x:c>
      <x:c r="M1165" s="8" t="n">
        <x:v>0</x:v>
      </x:c>
      <x:c r="N1165" s="8" t="n">
        <x:v>0</x:v>
      </x:c>
      <x:c r="O1165" s="8" t="n">
        <x:v>135</x:v>
      </x:c>
      <x:c r="P1165" s="8" t="n">
        <x:v>0</x:v>
      </x:c>
      <x:c r="Q1165" s="8" t="n">
        <x:v>2</x:v>
      </x:c>
      <x:c r="R1165" s="8" t="n">
        <x:v>0</x:v>
      </x:c>
      <x:c r="S1165" s="8" t="n">
        <x:f>L1165-I1165^2/H1165</x:f>
        <x:v>193.33333333333334</x:v>
      </x:c>
      <x:c r="T1165" s="8" t="n">
        <x:f>M1165-J1165^2/H1165</x:f>
        <x:v>0</x:v>
      </x:c>
      <x:c r="U1165" s="8" t="n">
        <x:f>N1165-I1165*J1165/H1165</x:f>
        <x:v>0</x:v>
      </x:c>
      <x:c r="V1165" s="8" t="n">
        <x:f>O1165-I1165*K1165/H1165</x:f>
        <x:v>133.66666666666666</x:v>
      </x:c>
      <x:c r="W1165" s="8" t="n">
        <x:f>P1165-J1165*K1165/H1165</x:f>
        <x:v>0</x:v>
      </x:c>
      <x:c r="X1165" s="8" t="n">
        <x:f>V1165/S1165</x:f>
        <x:v>0.6913793103448275</x:v>
      </x:c>
      <x:c r="Y1165" s="8" t="n">
        <x:f>0</x:f>
        <x:v>0</x:v>
      </x:c>
      <x:c r="Z1165" s="8" t="n">
        <x:f>K1165/H1165-X1165*I1165/H1165-Y1165*J1165/H1165</x:f>
        <x:v>0.036206896551724155</x:v>
      </x:c>
      <x:c r="AA1165" s="8" t="n">
        <x:f>Z1165+X1165*Q1165+Y1165*R1165</x:f>
        <x:v>1.418965517241379</x:v>
      </x:c>
    </x:row>
    <x:row r="1166" ht="26" customHeight="1">
      <x:c r="A1166" s="2"/>
      <x:c r="B1166" s="2" t="n">
        <x:v>1161</x:v>
      </x:c>
      <x:c r="C1166" s="2" t="str">
        <x:v>Fabric &amp; Home Care / organic_volume_growth</x:v>
      </x:c>
      <x:c r="D1166" s="2" t="str">
        <x:v>Broad market</x:v>
      </x:c>
      <x:c r="E1166" s="7" t="n">
        <x:v>45838</x:v>
      </x:c>
      <x:c r="F1166" s="2" t="str">
        <x:v>Origin</x:v>
      </x:c>
      <x:c r="G1166" s="7" t="n">
        <x:v>45748</x:v>
      </x:c>
      <x:c r="H1166" s="2" t="n">
        <x:v>16</x:v>
      </x:c>
      <x:c r="I1166" s="8" t="n">
        <x:v>45.94686773973914</x:v>
      </x:c>
      <x:c r="J1166" s="8" t="n">
        <x:v>0</x:v>
      </x:c>
      <x:c r="K1166" s="8" t="n">
        <x:v>7</x:v>
      </x:c>
      <x:c r="L1166" s="8" t="n">
        <x:v>376.29288380243304</x:v>
      </x:c>
      <x:c r="M1166" s="8" t="n">
        <x:v>0</x:v>
      </x:c>
      <x:c r="N1166" s="8" t="n">
        <x:v>0</x:v>
      </x:c>
      <x:c r="O1166" s="8" t="n">
        <x:v>145.43381156653496</x:v>
      </x:c>
      <x:c r="P1166" s="8" t="n">
        <x:v>0</x:v>
      </x:c>
      <x:c r="Q1166" s="8" t="n">
        <x:v>2.4263020900480603</x:v>
      </x:c>
      <x:c r="R1166" s="8" t="n">
        <x:v>0</x:v>
      </x:c>
      <x:c r="S1166" s="8" t="n">
        <x:f>L1166-I1166^2/H1166</x:f>
        <x:v>244.34821785911546</x:v>
      </x:c>
      <x:c r="T1166" s="8" t="n">
        <x:f>M1166-J1166^2/H1166</x:f>
        <x:v>0</x:v>
      </x:c>
      <x:c r="U1166" s="8" t="n">
        <x:f>N1166-I1166*J1166/H1166</x:f>
        <x:v>0</x:v>
      </x:c>
      <x:c r="V1166" s="8" t="n">
        <x:f>O1166-I1166*K1166/H1166</x:f>
        <x:v>125.33205693039909</x:v>
      </x:c>
      <x:c r="W1166" s="8" t="n">
        <x:f>P1166-J1166*K1166/H1166</x:f>
        <x:v>0</x:v>
      </x:c>
      <x:c r="X1166" s="8" t="n">
        <x:f>V1166/S1166</x:f>
        <x:v>0.5129239657588259</x:v>
      </x:c>
      <x:c r="Y1166" s="8" t="n">
        <x:f>0</x:f>
        <x:v>0</x:v>
      </x:c>
      <x:c r="Z1166" s="8" t="n">
        <x:f>K1166/H1166-X1166*I1166/H1166-Y1166*J1166/H1166</x:f>
        <x:v>-1.0354531009539538</x:v>
      </x:c>
      <x:c r="AA1166" s="8" t="n">
        <x:f>Z1166+X1166*Q1166+Y1166*R1166</x:f>
        <x:v>0.20905538920242517</x:v>
      </x:c>
    </x:row>
    <x:row r="1167" ht="26" customHeight="1">
      <x:c r="A1167" s="2"/>
      <x:c r="B1167" s="2" t="n">
        <x:v>1162</x:v>
      </x:c>
      <x:c r="C1167" s="2" t="str">
        <x:v>Fabric &amp; Home Care / organic_volume_growth</x:v>
      </x:c>
      <x:c r="D1167" s="2" t="str">
        <x:v>Broad rolling 8</x:v>
      </x:c>
      <x:c r="E1167" s="7" t="n">
        <x:v>45838</x:v>
      </x:c>
      <x:c r="F1167" s="2" t="str">
        <x:v>Origin</x:v>
      </x:c>
      <x:c r="G1167" s="7" t="n">
        <x:v>45748</x:v>
      </x:c>
      <x:c r="H1167" s="2" t="n">
        <x:v>8</x:v>
      </x:c>
      <x:c r="I1167" s="8" t="n">
        <x:v>10.750247851811778</x:v>
      </x:c>
      <x:c r="J1167" s="8" t="n">
        <x:v>0</x:v>
      </x:c>
      <x:c r="K1167" s="8" t="n">
        <x:v>1</x:v>
      </x:c>
      <x:c r="L1167" s="8" t="n">
        <x:v>21.53865770004154</x:v>
      </x:c>
      <x:c r="M1167" s="8" t="n">
        <x:v>0</x:v>
      </x:c>
      <x:c r="N1167" s="8" t="n">
        <x:v>0</x:v>
      </x:c>
      <x:c r="O1167" s="8" t="n">
        <x:v>17.226230819676992</x:v>
      </x:c>
      <x:c r="P1167" s="8" t="n">
        <x:v>0</x:v>
      </x:c>
      <x:c r="Q1167" s="8" t="n">
        <x:v>2.4263020900480603</x:v>
      </x:c>
      <x:c r="R1167" s="8" t="n">
        <x:v>0</x:v>
      </x:c>
      <x:c r="S1167" s="8" t="n">
        <x:f>L1167-I1167^2/H1167</x:f>
        <x:v>7.092679090618571</x:v>
      </x:c>
      <x:c r="T1167" s="8" t="n">
        <x:f>M1167-J1167^2/H1167</x:f>
        <x:v>0</x:v>
      </x:c>
      <x:c r="U1167" s="8" t="n">
        <x:f>N1167-I1167*J1167/H1167</x:f>
        <x:v>0</x:v>
      </x:c>
      <x:c r="V1167" s="8" t="n">
        <x:f>O1167-I1167*K1167/H1167</x:f>
        <x:v>15.88244983820052</x:v>
      </x:c>
      <x:c r="W1167" s="8" t="n">
        <x:f>P1167-J1167*K1167/H1167</x:f>
        <x:v>0</x:v>
      </x:c>
      <x:c r="X1167" s="8" t="n">
        <x:f>V1167/S1167</x:f>
        <x:v>2.2392737124125786</x:v>
      </x:c>
      <x:c r="Y1167" s="8" t="n">
        <x:f>0</x:f>
        <x:v>0</x:v>
      </x:c>
      <x:c r="Z1167" s="8" t="n">
        <x:f>K1167/H1167-X1167*I1167/H1167-Y1167*J1167/H1167</x:f>
        <x:v>-2.8840934270602387</x:v>
      </x:c>
      <x:c r="AA1167" s="8" t="n">
        <x:f>Z1167+X1167*Q1167+Y1167*R1167</x:f>
        <x:v>2.5490610615560794</x:v>
      </x:c>
    </x:row>
    <x:row r="1168" ht="26" customHeight="1">
      <x:c r="A1168" s="2"/>
      <x:c r="B1168" s="2" t="n">
        <x:v>1163</x:v>
      </x:c>
      <x:c r="C1168" s="2" t="str">
        <x:v>Fabric &amp; Home Care / organic_volume_growth</x:v>
      </x:c>
      <x:c r="D1168" s="2" t="str">
        <x:v>Own history</x:v>
      </x:c>
      <x:c r="E1168" s="7" t="n">
        <x:v>45838</x:v>
      </x:c>
      <x:c r="F1168" s="2" t="str">
        <x:v>Origin</x:v>
      </x:c>
      <x:c r="G1168" s="7" t="n">
        <x:v>45748</x:v>
      </x:c>
      <x:c r="H1168" s="2" t="n">
        <x:v>14</x:v>
      </x:c>
      <x:c r="I1168" s="8" t="n">
        <x:v>4</x:v>
      </x:c>
      <x:c r="J1168" s="8" t="n">
        <x:v>0</x:v>
      </x:c>
      <x:c r="K1168" s="8" t="n">
        <x:v>3</x:v>
      </x:c>
      <x:c r="L1168" s="8" t="n">
        <x:v>194</x:v>
      </x:c>
      <x:c r="M1168" s="8" t="n">
        <x:v>0</x:v>
      </x:c>
      <x:c r="N1168" s="8" t="n">
        <x:v>0</x:v>
      </x:c>
      <x:c r="O1168" s="8" t="n">
        <x:v>45</x:v>
      </x:c>
      <x:c r="P1168" s="8" t="n">
        <x:v>0</x:v>
      </x:c>
      <x:c r="Q1168" s="8" t="n">
        <x:v>2</x:v>
      </x:c>
      <x:c r="R1168" s="8" t="n">
        <x:v>0</x:v>
      </x:c>
      <x:c r="S1168" s="8" t="n">
        <x:f>L1168-I1168^2/H1168</x:f>
        <x:v>192.85714285714286</x:v>
      </x:c>
      <x:c r="T1168" s="8" t="n">
        <x:f>M1168-J1168^2/H1168</x:f>
        <x:v>0</x:v>
      </x:c>
      <x:c r="U1168" s="8" t="n">
        <x:f>N1168-I1168*J1168/H1168</x:f>
        <x:v>0</x:v>
      </x:c>
      <x:c r="V1168" s="8" t="n">
        <x:f>O1168-I1168*K1168/H1168</x:f>
        <x:v>44.142857142857146</x:v>
      </x:c>
      <x:c r="W1168" s="8" t="n">
        <x:f>P1168-J1168*K1168/H1168</x:f>
        <x:v>0</x:v>
      </x:c>
      <x:c r="X1168" s="8" t="n">
        <x:f>V1168/S1168</x:f>
        <x:v>0.2288888888888889</x:v>
      </x:c>
      <x:c r="Y1168" s="8" t="n">
        <x:f>0</x:f>
        <x:v>0</x:v>
      </x:c>
      <x:c r="Z1168" s="8" t="n">
        <x:f>K1168/H1168-X1168*I1168/H1168-Y1168*J1168/H1168</x:f>
        <x:v>0.14888888888888888</x:v>
      </x:c>
      <x:c r="AA1168" s="8" t="n">
        <x:f>Z1168+X1168*Q1168+Y1168*R1168</x:f>
        <x:v>0.6066666666666667</x:v>
      </x:c>
    </x:row>
    <x:row r="1169" ht="26" customHeight="1">
      <x:c r="A1169" s="2"/>
      <x:c r="B1169" s="2" t="n">
        <x:v>1164</x:v>
      </x:c>
      <x:c r="C1169" s="2" t="str">
        <x:v>Fabric &amp; Home Care / organic_volume_growth</x:v>
      </x:c>
      <x:c r="D1169" s="2" t="str">
        <x:v>Broad market</x:v>
      </x:c>
      <x:c r="E1169" s="7" t="n">
        <x:v>45838</x:v>
      </x:c>
      <x:c r="F1169" s="2" t="str">
        <x:v>Prior report</x:v>
      </x:c>
      <x:c r="G1169" s="7" t="n">
        <x:v>45771</x:v>
      </x:c>
      <x:c r="H1169" s="2" t="n">
        <x:v>16</x:v>
      </x:c>
      <x:c r="I1169" s="8" t="n">
        <x:v>45.94686773973914</x:v>
      </x:c>
      <x:c r="J1169" s="8" t="n">
        <x:v>0</x:v>
      </x:c>
      <x:c r="K1169" s="8" t="n">
        <x:v>7</x:v>
      </x:c>
      <x:c r="L1169" s="8" t="n">
        <x:v>376.29288380243304</x:v>
      </x:c>
      <x:c r="M1169" s="8" t="n">
        <x:v>0</x:v>
      </x:c>
      <x:c r="N1169" s="8" t="n">
        <x:v>0</x:v>
      </x:c>
      <x:c r="O1169" s="8" t="n">
        <x:v>145.43381156653496</x:v>
      </x:c>
      <x:c r="P1169" s="8" t="n">
        <x:v>0</x:v>
      </x:c>
      <x:c r="Q1169" s="8" t="n">
        <x:v>2.4263020900480603</x:v>
      </x:c>
      <x:c r="R1169" s="8" t="n">
        <x:v>0</x:v>
      </x:c>
      <x:c r="S1169" s="8" t="n">
        <x:f>L1169-I1169^2/H1169</x:f>
        <x:v>244.34821785911546</x:v>
      </x:c>
      <x:c r="T1169" s="8" t="n">
        <x:f>M1169-J1169^2/H1169</x:f>
        <x:v>0</x:v>
      </x:c>
      <x:c r="U1169" s="8" t="n">
        <x:f>N1169-I1169*J1169/H1169</x:f>
        <x:v>0</x:v>
      </x:c>
      <x:c r="V1169" s="8" t="n">
        <x:f>O1169-I1169*K1169/H1169</x:f>
        <x:v>125.33205693039909</x:v>
      </x:c>
      <x:c r="W1169" s="8" t="n">
        <x:f>P1169-J1169*K1169/H1169</x:f>
        <x:v>0</x:v>
      </x:c>
      <x:c r="X1169" s="8" t="n">
        <x:f>V1169/S1169</x:f>
        <x:v>0.5129239657588259</x:v>
      </x:c>
      <x:c r="Y1169" s="8" t="n">
        <x:f>0</x:f>
        <x:v>0</x:v>
      </x:c>
      <x:c r="Z1169" s="8" t="n">
        <x:f>K1169/H1169-X1169*I1169/H1169-Y1169*J1169/H1169</x:f>
        <x:v>-1.0354531009539538</x:v>
      </x:c>
      <x:c r="AA1169" s="8" t="n">
        <x:f>Z1169+X1169*Q1169+Y1169*R1169</x:f>
        <x:v>0.20905538920242517</x:v>
      </x:c>
    </x:row>
    <x:row r="1170" ht="26" customHeight="1">
      <x:c r="A1170" s="2"/>
      <x:c r="B1170" s="2" t="n">
        <x:v>1165</x:v>
      </x:c>
      <x:c r="C1170" s="2" t="str">
        <x:v>Fabric &amp; Home Care / organic_volume_growth</x:v>
      </x:c>
      <x:c r="D1170" s="2" t="str">
        <x:v>Broad rolling 8</x:v>
      </x:c>
      <x:c r="E1170" s="7" t="n">
        <x:v>45838</x:v>
      </x:c>
      <x:c r="F1170" s="2" t="str">
        <x:v>Prior report</x:v>
      </x:c>
      <x:c r="G1170" s="7" t="n">
        <x:v>45771</x:v>
      </x:c>
      <x:c r="H1170" s="2" t="n">
        <x:v>8</x:v>
      </x:c>
      <x:c r="I1170" s="8" t="n">
        <x:v>10.750247851811778</x:v>
      </x:c>
      <x:c r="J1170" s="8" t="n">
        <x:v>0</x:v>
      </x:c>
      <x:c r="K1170" s="8" t="n">
        <x:v>1</x:v>
      </x:c>
      <x:c r="L1170" s="8" t="n">
        <x:v>21.53865770004154</x:v>
      </x:c>
      <x:c r="M1170" s="8" t="n">
        <x:v>0</x:v>
      </x:c>
      <x:c r="N1170" s="8" t="n">
        <x:v>0</x:v>
      </x:c>
      <x:c r="O1170" s="8" t="n">
        <x:v>17.226230819676992</x:v>
      </x:c>
      <x:c r="P1170" s="8" t="n">
        <x:v>0</x:v>
      </x:c>
      <x:c r="Q1170" s="8" t="n">
        <x:v>2.4263020900480603</x:v>
      </x:c>
      <x:c r="R1170" s="8" t="n">
        <x:v>0</x:v>
      </x:c>
      <x:c r="S1170" s="8" t="n">
        <x:f>L1170-I1170^2/H1170</x:f>
        <x:v>7.092679090618571</x:v>
      </x:c>
      <x:c r="T1170" s="8" t="n">
        <x:f>M1170-J1170^2/H1170</x:f>
        <x:v>0</x:v>
      </x:c>
      <x:c r="U1170" s="8" t="n">
        <x:f>N1170-I1170*J1170/H1170</x:f>
        <x:v>0</x:v>
      </x:c>
      <x:c r="V1170" s="8" t="n">
        <x:f>O1170-I1170*K1170/H1170</x:f>
        <x:v>15.88244983820052</x:v>
      </x:c>
      <x:c r="W1170" s="8" t="n">
        <x:f>P1170-J1170*K1170/H1170</x:f>
        <x:v>0</x:v>
      </x:c>
      <x:c r="X1170" s="8" t="n">
        <x:f>V1170/S1170</x:f>
        <x:v>2.2392737124125786</x:v>
      </x:c>
      <x:c r="Y1170" s="8" t="n">
        <x:f>0</x:f>
        <x:v>0</x:v>
      </x:c>
      <x:c r="Z1170" s="8" t="n">
        <x:f>K1170/H1170-X1170*I1170/H1170-Y1170*J1170/H1170</x:f>
        <x:v>-2.8840934270602387</x:v>
      </x:c>
      <x:c r="AA1170" s="8" t="n">
        <x:f>Z1170+X1170*Q1170+Y1170*R1170</x:f>
        <x:v>2.5490610615560794</x:v>
      </x:c>
    </x:row>
    <x:row r="1171" ht="26" customHeight="1">
      <x:c r="A1171" s="2"/>
      <x:c r="B1171" s="2" t="n">
        <x:v>1166</x:v>
      </x:c>
      <x:c r="C1171" s="2" t="str">
        <x:v>Fabric &amp; Home Care / organic_volume_growth</x:v>
      </x:c>
      <x:c r="D1171" s="2" t="str">
        <x:v>Own history</x:v>
      </x:c>
      <x:c r="E1171" s="7" t="n">
        <x:v>45838</x:v>
      </x:c>
      <x:c r="F1171" s="2" t="str">
        <x:v>Prior report</x:v>
      </x:c>
      <x:c r="G1171" s="7" t="n">
        <x:v>45771</x:v>
      </x:c>
      <x:c r="H1171" s="2" t="n">
        <x:v>16</x:v>
      </x:c>
      <x:c r="I1171" s="8" t="n">
        <x:v>7</x:v>
      </x:c>
      <x:c r="J1171" s="8" t="n">
        <x:v>0</x:v>
      </x:c>
      <x:c r="K1171" s="8" t="n">
        <x:v>4</x:v>
      </x:c>
      <x:c r="L1171" s="8" t="n">
        <x:v>199</x:v>
      </x:c>
      <x:c r="M1171" s="8" t="n">
        <x:v>0</x:v>
      </x:c>
      <x:c r="N1171" s="8" t="n">
        <x:v>0</x:v>
      </x:c>
      <x:c r="O1171" s="8" t="n">
        <x:v>135</x:v>
      </x:c>
      <x:c r="P1171" s="8" t="n">
        <x:v>0</x:v>
      </x:c>
      <x:c r="Q1171" s="8" t="n">
        <x:v>0</x:v>
      </x:c>
      <x:c r="R1171" s="8" t="n">
        <x:v>0</x:v>
      </x:c>
      <x:c r="S1171" s="8" t="n">
        <x:f>L1171-I1171^2/H1171</x:f>
        <x:v>195.9375</x:v>
      </x:c>
      <x:c r="T1171" s="8" t="n">
        <x:f>M1171-J1171^2/H1171</x:f>
        <x:v>0</x:v>
      </x:c>
      <x:c r="U1171" s="8" t="n">
        <x:f>N1171-I1171*J1171/H1171</x:f>
        <x:v>0</x:v>
      </x:c>
      <x:c r="V1171" s="8" t="n">
        <x:f>O1171-I1171*K1171/H1171</x:f>
        <x:v>133.25</x:v>
      </x:c>
      <x:c r="W1171" s="8" t="n">
        <x:f>P1171-J1171*K1171/H1171</x:f>
        <x:v>0</x:v>
      </x:c>
      <x:c r="X1171" s="8" t="n">
        <x:f>V1171/S1171</x:f>
        <x:v>0.6800637958532696</x:v>
      </x:c>
      <x:c r="Y1171" s="8" t="n">
        <x:f>0</x:f>
        <x:v>0</x:v>
      </x:c>
      <x:c r="Z1171" s="8" t="n">
        <x:f>K1171/H1171-X1171*I1171/H1171-Y1171*J1171/H1171</x:f>
        <x:v>-0.04752791068580542</x:v>
      </x:c>
      <x:c r="AA1171" s="8" t="n">
        <x:f>Z1171+X1171*Q1171+Y1171*R1171</x:f>
        <x:v>-0.04752791068580542</x:v>
      </x:c>
    </x:row>
    <x:row r="1172" ht="26" customHeight="1">
      <x:c r="A1172" s="2"/>
      <x:c r="B1172" s="2" t="n">
        <x:v>1167</x:v>
      </x:c>
      <x:c r="C1172" s="2" t="str">
        <x:v>Fabric &amp; Home Care / organic_volume_growth</x:v>
      </x:c>
      <x:c r="D1172" s="2" t="str">
        <x:v>Broad market</x:v>
      </x:c>
      <x:c r="E1172" s="7" t="n">
        <x:v>45838</x:v>
      </x:c>
      <x:c r="F1172" s="2" t="str">
        <x:v>Pre-earnings</x:v>
      </x:c>
      <x:c r="G1172" s="7" t="n">
        <x:v>45866</x:v>
      </x:c>
      <x:c r="H1172" s="2" t="n">
        <x:v>17</x:v>
      </x:c>
      <x:c r="I1172" s="8" t="n">
        <x:v>48.81640031708317</x:v>
      </x:c>
      <x:c r="J1172" s="8" t="n">
        <x:v>0</x:v>
      </x:c>
      <x:c r="K1172" s="8" t="n">
        <x:v>7</x:v>
      </x:c>
      <x:c r="L1172" s="8" t="n">
        <x:v>384.52710101487173</x:v>
      </x:c>
      <x:c r="M1172" s="8" t="n">
        <x:v>0</x:v>
      </x:c>
      <x:c r="N1172" s="8" t="n">
        <x:v>0</x:v>
      </x:c>
      <x:c r="O1172" s="8" t="n">
        <x:v>145.43381156653496</x:v>
      </x:c>
      <x:c r="P1172" s="8" t="n">
        <x:v>0</x:v>
      </x:c>
      <x:c r="Q1172" s="8" t="n">
        <x:v>2.8539910458909246</x:v>
      </x:c>
      <x:c r="R1172" s="8" t="n">
        <x:v>0</x:v>
      </x:c>
      <x:c r="S1172" s="8" t="n">
        <x:f>L1172-I1172^2/H1172</x:f>
        <x:v>244.34822219618243</x:v>
      </x:c>
      <x:c r="T1172" s="8" t="n">
        <x:f>M1172-J1172^2/H1172</x:f>
        <x:v>0</x:v>
      </x:c>
      <x:c r="U1172" s="8" t="n">
        <x:f>N1172-I1172*J1172/H1172</x:f>
        <x:v>0</x:v>
      </x:c>
      <x:c r="V1172" s="8" t="n">
        <x:f>O1172-I1172*K1172/H1172</x:f>
        <x:v>125.332940847736</x:v>
      </x:c>
      <x:c r="W1172" s="8" t="n">
        <x:f>P1172-J1172*K1172/H1172</x:f>
        <x:v>0</x:v>
      </x:c>
      <x:c r="X1172" s="8" t="n">
        <x:f>V1172/S1172</x:f>
        <x:v>0.5129275741040941</x:v>
      </x:c>
      <x:c r="Y1172" s="8" t="n">
        <x:f>0</x:f>
        <x:v>0</x:v>
      </x:c>
      <x:c r="Z1172" s="8" t="n">
        <x:f>K1172/H1172-X1172*I1172/H1172-Y1172*J1172/H1172</x:f>
        <x:v>-1.0611339877138706</x:v>
      </x:c>
      <x:c r="AA1172" s="8" t="n">
        <x:f>Z1172+X1172*Q1172+Y1172*R1172</x:f>
        <x:v>0.4027567159697676</x:v>
      </x:c>
    </x:row>
    <x:row r="1173" ht="26" customHeight="1">
      <x:c r="A1173" s="2"/>
      <x:c r="B1173" s="2" t="n">
        <x:v>1168</x:v>
      </x:c>
      <x:c r="C1173" s="2" t="str">
        <x:v>Fabric &amp; Home Care / organic_volume_growth</x:v>
      </x:c>
      <x:c r="D1173" s="2" t="str">
        <x:v>Broad lag 1</x:v>
      </x:c>
      <x:c r="E1173" s="7" t="n">
        <x:v>45838</x:v>
      </x:c>
      <x:c r="F1173" s="2" t="str">
        <x:v>Pre-earnings</x:v>
      </x:c>
      <x:c r="G1173" s="7" t="n">
        <x:v>45866</x:v>
      </x:c>
      <x:c r="H1173" s="2" t="n">
        <x:v>16</x:v>
      </x:c>
      <x:c r="I1173" s="8" t="n">
        <x:v>45.94686773973914</x:v>
      </x:c>
      <x:c r="J1173" s="8" t="n">
        <x:v>0</x:v>
      </x:c>
      <x:c r="K1173" s="8" t="n">
        <x:v>4</x:v>
      </x:c>
      <x:c r="L1173" s="8" t="n">
        <x:v>376.29288380243304</x:v>
      </x:c>
      <x:c r="M1173" s="8" t="n">
        <x:v>0</x:v>
      </x:c>
      <x:c r="N1173" s="8" t="n">
        <x:v>0</x:v>
      </x:c>
      <x:c r="O1173" s="8" t="n">
        <x:v>143.74913247685458</x:v>
      </x:c>
      <x:c r="P1173" s="8" t="n">
        <x:v>0</x:v>
      </x:c>
      <x:c r="Q1173" s="8" t="n">
        <x:v>2.869532577344036</x:v>
      </x:c>
      <x:c r="R1173" s="8" t="n">
        <x:v>0</x:v>
      </x:c>
      <x:c r="S1173" s="8" t="n">
        <x:f>L1173-I1173^2/H1173</x:f>
        <x:v>244.34821785911546</x:v>
      </x:c>
      <x:c r="T1173" s="8" t="n">
        <x:f>M1173-J1173^2/H1173</x:f>
        <x:v>0</x:v>
      </x:c>
      <x:c r="U1173" s="8" t="n">
        <x:f>N1173-I1173*J1173/H1173</x:f>
        <x:v>0</x:v>
      </x:c>
      <x:c r="V1173" s="8" t="n">
        <x:f>O1173-I1173*K1173/H1173</x:f>
        <x:v>132.2624155419198</x:v>
      </x:c>
      <x:c r="W1173" s="8" t="n">
        <x:f>P1173-J1173*K1173/H1173</x:f>
        <x:v>0</x:v>
      </x:c>
      <x:c r="X1173" s="8" t="n">
        <x:f>V1173/S1173</x:f>
        <x:v>0.5412865978755724</x:v>
      </x:c>
      <x:c r="Y1173" s="8" t="n">
        <x:f>0</x:f>
        <x:v>0</x:v>
      </x:c>
      <x:c r="Z1173" s="8" t="n">
        <x:f>K1173/H1173-X1173*I1173/H1173-Y1173*J1173/H1173</x:f>
        <x:v>-1.3044014826176433</x:v>
      </x:c>
      <x:c r="AA1173" s="8" t="n">
        <x:f>Z1173+X1173*Q1173+Y1173*R1173</x:f>
        <x:v>0.2488380436660329</x:v>
      </x:c>
    </x:row>
    <x:row r="1174" ht="26" customHeight="1">
      <x:c r="A1174" s="2"/>
      <x:c r="B1174" s="2" t="n">
        <x:v>1169</x:v>
      </x:c>
      <x:c r="C1174" s="2" t="str">
        <x:v>Fabric &amp; Home Care / organic_volume_growth</x:v>
      </x:c>
      <x:c r="D1174" s="2" t="str">
        <x:v>Broad rolling 8</x:v>
      </x:c>
      <x:c r="E1174" s="7" t="n">
        <x:v>45838</x:v>
      </x:c>
      <x:c r="F1174" s="2" t="str">
        <x:v>Pre-earnings</x:v>
      </x:c>
      <x:c r="G1174" s="7" t="n">
        <x:v>45866</x:v>
      </x:c>
      <x:c r="H1174" s="2" t="n">
        <x:v>8</x:v>
      </x:c>
      <x:c r="I1174" s="8" t="n">
        <x:v>13.903323924128907</x:v>
      </x:c>
      <x:c r="J1174" s="8" t="n">
        <x:v>0</x:v>
      </x:c>
      <x:c r="K1174" s="8" t="n">
        <x:v>6</x:v>
      </x:c>
      <x:c r="L1174" s="8" t="n">
        <x:v>29.69247799893869</x:v>
      </x:c>
      <x:c r="M1174" s="8" t="n">
        <x:v>0</x:v>
      </x:c>
      <x:c r="N1174" s="8" t="n">
        <x:v>0</x:v>
      </x:c>
      <x:c r="O1174" s="8" t="n">
        <x:v>15.808513344811526</x:v>
      </x:c>
      <x:c r="P1174" s="8" t="n">
        <x:v>0</x:v>
      </x:c>
      <x:c r="Q1174" s="8" t="n">
        <x:v>2.8539910458909246</x:v>
      </x:c>
      <x:c r="R1174" s="8" t="n">
        <x:v>0</x:v>
      </x:c>
      <x:c r="S1174" s="8" t="n">
        <x:f>L1174-I1174^2/H1174</x:f>
        <x:v>5.529675981531785</x:v>
      </x:c>
      <x:c r="T1174" s="8" t="n">
        <x:f>M1174-J1174^2/H1174</x:f>
        <x:v>0</x:v>
      </x:c>
      <x:c r="U1174" s="8" t="n">
        <x:f>N1174-I1174*J1174/H1174</x:f>
        <x:v>0</x:v>
      </x:c>
      <x:c r="V1174" s="8" t="n">
        <x:f>O1174-I1174*K1174/H1174</x:f>
        <x:v>5.381020401714846</x:v>
      </x:c>
      <x:c r="W1174" s="8" t="n">
        <x:f>P1174-J1174*K1174/H1174</x:f>
        <x:v>0</x:v>
      </x:c>
      <x:c r="X1174" s="8" t="n">
        <x:f>V1174/S1174</x:f>
        <x:v>0.9731167648315336</x:v>
      </x:c>
      <x:c r="Y1174" s="8" t="n">
        <x:f>0</x:f>
        <x:v>0</x:v>
      </x:c>
      <x:c r="Z1174" s="8" t="n">
        <x:f>K1174/H1174-X1174*I1174/H1174-Y1174*J1174/H1174</x:f>
        <x:v>-0.941194699681648</x:v>
      </x:c>
      <x:c r="AA1174" s="8" t="n">
        <x:f>Z1174+X1174*Q1174+Y1174*R1174</x:f>
        <x:v>1.8360718337538935</x:v>
      </x:c>
    </x:row>
    <x:row r="1175" ht="26" customHeight="1">
      <x:c r="A1175" s="2"/>
      <x:c r="B1175" s="2" t="n">
        <x:v>1170</x:v>
      </x:c>
      <x:c r="C1175" s="2" t="str">
        <x:v>Fabric &amp; Home Care / organic_volume_growth</x:v>
      </x:c>
      <x:c r="D1175" s="2" t="str">
        <x:v>Own history</x:v>
      </x:c>
      <x:c r="E1175" s="7" t="n">
        <x:v>45838</x:v>
      </x:c>
      <x:c r="F1175" s="2" t="str">
        <x:v>Pre-earnings</x:v>
      </x:c>
      <x:c r="G1175" s="7" t="n">
        <x:v>45866</x:v>
      </x:c>
      <x:c r="H1175" s="2" t="n">
        <x:v>16</x:v>
      </x:c>
      <x:c r="I1175" s="8" t="n">
        <x:v>7</x:v>
      </x:c>
      <x:c r="J1175" s="8" t="n">
        <x:v>0</x:v>
      </x:c>
      <x:c r="K1175" s="8" t="n">
        <x:v>4</x:v>
      </x:c>
      <x:c r="L1175" s="8" t="n">
        <x:v>199</x:v>
      </x:c>
      <x:c r="M1175" s="8" t="n">
        <x:v>0</x:v>
      </x:c>
      <x:c r="N1175" s="8" t="n">
        <x:v>0</x:v>
      </x:c>
      <x:c r="O1175" s="8" t="n">
        <x:v>135</x:v>
      </x:c>
      <x:c r="P1175" s="8" t="n">
        <x:v>0</x:v>
      </x:c>
      <x:c r="Q1175" s="8" t="n">
        <x:v>0</x:v>
      </x:c>
      <x:c r="R1175" s="8" t="n">
        <x:v>0</x:v>
      </x:c>
      <x:c r="S1175" s="8" t="n">
        <x:f>L1175-I1175^2/H1175</x:f>
        <x:v>195.9375</x:v>
      </x:c>
      <x:c r="T1175" s="8" t="n">
        <x:f>M1175-J1175^2/H1175</x:f>
        <x:v>0</x:v>
      </x:c>
      <x:c r="U1175" s="8" t="n">
        <x:f>N1175-I1175*J1175/H1175</x:f>
        <x:v>0</x:v>
      </x:c>
      <x:c r="V1175" s="8" t="n">
        <x:f>O1175-I1175*K1175/H1175</x:f>
        <x:v>133.25</x:v>
      </x:c>
      <x:c r="W1175" s="8" t="n">
        <x:f>P1175-J1175*K1175/H1175</x:f>
        <x:v>0</x:v>
      </x:c>
      <x:c r="X1175" s="8" t="n">
        <x:f>V1175/S1175</x:f>
        <x:v>0.6800637958532696</x:v>
      </x:c>
      <x:c r="Y1175" s="8" t="n">
        <x:f>0</x:f>
        <x:v>0</x:v>
      </x:c>
      <x:c r="Z1175" s="8" t="n">
        <x:f>K1175/H1175-X1175*I1175/H1175-Y1175*J1175/H1175</x:f>
        <x:v>-0.04752791068580542</x:v>
      </x:c>
      <x:c r="AA1175" s="8" t="n">
        <x:f>Z1175+X1175*Q1175+Y1175*R1175</x:f>
        <x:v>-0.04752791068580542</x:v>
      </x:c>
    </x:row>
    <x:row r="1176" ht="26" customHeight="1">
      <x:c r="A1176" s="2"/>
      <x:c r="B1176" s="2" t="n">
        <x:v>1171</x:v>
      </x:c>
      <x:c r="C1176" s="2" t="str">
        <x:v>Fabric &amp; Home Care / organic_volume_growth</x:v>
      </x:c>
      <x:c r="D1176" s="2" t="str">
        <x:v>Broad market</x:v>
      </x:c>
      <x:c r="E1176" s="7" t="n">
        <x:v>45930</x:v>
      </x:c>
      <x:c r="F1176" s="2" t="str">
        <x:v>Origin</x:v>
      </x:c>
      <x:c r="G1176" s="7" t="n">
        <x:v>45839</x:v>
      </x:c>
      <x:c r="H1176" s="2" t="n">
        <x:v>17</x:v>
      </x:c>
      <x:c r="I1176" s="8" t="n">
        <x:v>48.81640031708317</x:v>
      </x:c>
      <x:c r="J1176" s="8" t="n">
        <x:v>0</x:v>
      </x:c>
      <x:c r="K1176" s="8" t="n">
        <x:v>7</x:v>
      </x:c>
      <x:c r="L1176" s="8" t="n">
        <x:v>384.52710101487173</x:v>
      </x:c>
      <x:c r="M1176" s="8" t="n">
        <x:v>0</x:v>
      </x:c>
      <x:c r="N1176" s="8" t="n">
        <x:v>0</x:v>
      </x:c>
      <x:c r="O1176" s="8" t="n">
        <x:v>145.43381156653496</x:v>
      </x:c>
      <x:c r="P1176" s="8" t="n">
        <x:v>0</x:v>
      </x:c>
      <x:c r="Q1176" s="8" t="n">
        <x:v>2.8115539262481226</x:v>
      </x:c>
      <x:c r="R1176" s="8" t="n">
        <x:v>0</x:v>
      </x:c>
      <x:c r="S1176" s="8" t="n">
        <x:f>L1176-I1176^2/H1176</x:f>
        <x:v>244.34822219618243</x:v>
      </x:c>
      <x:c r="T1176" s="8" t="n">
        <x:f>M1176-J1176^2/H1176</x:f>
        <x:v>0</x:v>
      </x:c>
      <x:c r="U1176" s="8" t="n">
        <x:f>N1176-I1176*J1176/H1176</x:f>
        <x:v>0</x:v>
      </x:c>
      <x:c r="V1176" s="8" t="n">
        <x:f>O1176-I1176*K1176/H1176</x:f>
        <x:v>125.332940847736</x:v>
      </x:c>
      <x:c r="W1176" s="8" t="n">
        <x:f>P1176-J1176*K1176/H1176</x:f>
        <x:v>0</x:v>
      </x:c>
      <x:c r="X1176" s="8" t="n">
        <x:f>V1176/S1176</x:f>
        <x:v>0.5129275741040941</x:v>
      </x:c>
      <x:c r="Y1176" s="8" t="n">
        <x:f>0</x:f>
        <x:v>0</x:v>
      </x:c>
      <x:c r="Z1176" s="8" t="n">
        <x:f>K1176/H1176-X1176*I1176/H1176-Y1176*J1176/H1176</x:f>
        <x:v>-1.0611339877138706</x:v>
      </x:c>
      <x:c r="AA1176" s="8" t="n">
        <x:f>Z1176+X1176*Q1176+Y1176*R1176</x:f>
        <x:v>0.38098954713942</x:v>
      </x:c>
    </x:row>
    <x:row r="1177" ht="26" customHeight="1">
      <x:c r="A1177" s="2"/>
      <x:c r="B1177" s="2" t="n">
        <x:v>1172</x:v>
      </x:c>
      <x:c r="C1177" s="2" t="str">
        <x:v>Fabric &amp; Home Care / organic_volume_growth</x:v>
      </x:c>
      <x:c r="D1177" s="2" t="str">
        <x:v>Broad rolling 8</x:v>
      </x:c>
      <x:c r="E1177" s="7" t="n">
        <x:v>45930</x:v>
      </x:c>
      <x:c r="F1177" s="2" t="str">
        <x:v>Origin</x:v>
      </x:c>
      <x:c r="G1177" s="7" t="n">
        <x:v>45839</x:v>
      </x:c>
      <x:c r="H1177" s="2" t="n">
        <x:v>8</x:v>
      </x:c>
      <x:c r="I1177" s="8" t="n">
        <x:v>13.903323924128907</x:v>
      </x:c>
      <x:c r="J1177" s="8" t="n">
        <x:v>0</x:v>
      </x:c>
      <x:c r="K1177" s="8" t="n">
        <x:v>6</x:v>
      </x:c>
      <x:c r="L1177" s="8" t="n">
        <x:v>29.69247799893869</x:v>
      </x:c>
      <x:c r="M1177" s="8" t="n">
        <x:v>0</x:v>
      </x:c>
      <x:c r="N1177" s="8" t="n">
        <x:v>0</x:v>
      </x:c>
      <x:c r="O1177" s="8" t="n">
        <x:v>15.808513344811526</x:v>
      </x:c>
      <x:c r="P1177" s="8" t="n">
        <x:v>0</x:v>
      </x:c>
      <x:c r="Q1177" s="8" t="n">
        <x:v>2.8115539262481226</x:v>
      </x:c>
      <x:c r="R1177" s="8" t="n">
        <x:v>0</x:v>
      </x:c>
      <x:c r="S1177" s="8" t="n">
        <x:f>L1177-I1177^2/H1177</x:f>
        <x:v>5.529675981531785</x:v>
      </x:c>
      <x:c r="T1177" s="8" t="n">
        <x:f>M1177-J1177^2/H1177</x:f>
        <x:v>0</x:v>
      </x:c>
      <x:c r="U1177" s="8" t="n">
        <x:f>N1177-I1177*J1177/H1177</x:f>
        <x:v>0</x:v>
      </x:c>
      <x:c r="V1177" s="8" t="n">
        <x:f>O1177-I1177*K1177/H1177</x:f>
        <x:v>5.381020401714846</x:v>
      </x:c>
      <x:c r="W1177" s="8" t="n">
        <x:f>P1177-J1177*K1177/H1177</x:f>
        <x:v>0</x:v>
      </x:c>
      <x:c r="X1177" s="8" t="n">
        <x:f>V1177/S1177</x:f>
        <x:v>0.9731167648315336</x:v>
      </x:c>
      <x:c r="Y1177" s="8" t="n">
        <x:f>0</x:f>
        <x:v>0</x:v>
      </x:c>
      <x:c r="Z1177" s="8" t="n">
        <x:f>K1177/H1177-X1177*I1177/H1177-Y1177*J1177/H1177</x:f>
        <x:v>-0.941194699681648</x:v>
      </x:c>
      <x:c r="AA1177" s="8" t="n">
        <x:f>Z1177+X1177*Q1177+Y1177*R1177</x:f>
        <x:v>1.7947755611783216</x:v>
      </x:c>
    </x:row>
    <x:row r="1178" ht="26" customHeight="1">
      <x:c r="A1178" s="2"/>
      <x:c r="B1178" s="2" t="n">
        <x:v>1173</x:v>
      </x:c>
      <x:c r="C1178" s="2" t="str">
        <x:v>Fabric &amp; Home Care / organic_volume_growth</x:v>
      </x:c>
      <x:c r="D1178" s="2" t="str">
        <x:v>Own history</x:v>
      </x:c>
      <x:c r="E1178" s="7" t="n">
        <x:v>45930</x:v>
      </x:c>
      <x:c r="F1178" s="2" t="str">
        <x:v>Origin</x:v>
      </x:c>
      <x:c r="G1178" s="7" t="n">
        <x:v>45839</x:v>
      </x:c>
      <x:c r="H1178" s="2" t="n">
        <x:v>15</x:v>
      </x:c>
      <x:c r="I1178" s="8" t="n">
        <x:v>5</x:v>
      </x:c>
      <x:c r="J1178" s="8" t="n">
        <x:v>0</x:v>
      </x:c>
      <x:c r="K1178" s="8" t="n">
        <x:v>3</x:v>
      </x:c>
      <x:c r="L1178" s="8" t="n">
        <x:v>195</x:v>
      </x:c>
      <x:c r="M1178" s="8" t="n">
        <x:v>0</x:v>
      </x:c>
      <x:c r="N1178" s="8" t="n">
        <x:v>0</x:v>
      </x:c>
      <x:c r="O1178" s="8" t="n">
        <x:v>45</x:v>
      </x:c>
      <x:c r="P1178" s="8" t="n">
        <x:v>0</x:v>
      </x:c>
      <x:c r="Q1178" s="8" t="n">
        <x:v>0</x:v>
      </x:c>
      <x:c r="R1178" s="8" t="n">
        <x:v>0</x:v>
      </x:c>
      <x:c r="S1178" s="8" t="n">
        <x:f>L1178-I1178^2/H1178</x:f>
        <x:v>193.33333333333334</x:v>
      </x:c>
      <x:c r="T1178" s="8" t="n">
        <x:f>M1178-J1178^2/H1178</x:f>
        <x:v>0</x:v>
      </x:c>
      <x:c r="U1178" s="8" t="n">
        <x:f>N1178-I1178*J1178/H1178</x:f>
        <x:v>0</x:v>
      </x:c>
      <x:c r="V1178" s="8" t="n">
        <x:f>O1178-I1178*K1178/H1178</x:f>
        <x:v>44</x:v>
      </x:c>
      <x:c r="W1178" s="8" t="n">
        <x:f>P1178-J1178*K1178/H1178</x:f>
        <x:v>0</x:v>
      </x:c>
      <x:c r="X1178" s="8" t="n">
        <x:f>V1178/S1178</x:f>
        <x:v>0.2275862068965517</x:v>
      </x:c>
      <x:c r="Y1178" s="8" t="n">
        <x:f>0</x:f>
        <x:v>0</x:v>
      </x:c>
      <x:c r="Z1178" s="8" t="n">
        <x:f>K1178/H1178-X1178*I1178/H1178-Y1178*J1178/H1178</x:f>
        <x:v>0.12413793103448278</x:v>
      </x:c>
      <x:c r="AA1178" s="8" t="n">
        <x:f>Z1178+X1178*Q1178+Y1178*R1178</x:f>
        <x:v>0.12413793103448278</x:v>
      </x:c>
    </x:row>
    <x:row r="1179" ht="26" customHeight="1">
      <x:c r="A1179" s="2"/>
      <x:c r="B1179" s="2" t="n">
        <x:v>1174</x:v>
      </x:c>
      <x:c r="C1179" s="2" t="str">
        <x:v>Fabric &amp; Home Care / organic_volume_growth</x:v>
      </x:c>
      <x:c r="D1179" s="2" t="str">
        <x:v>Broad market</x:v>
      </x:c>
      <x:c r="E1179" s="7" t="n">
        <x:v>45930</x:v>
      </x:c>
      <x:c r="F1179" s="2" t="str">
        <x:v>Prior report</x:v>
      </x:c>
      <x:c r="G1179" s="7" t="n">
        <x:v>45867</x:v>
      </x:c>
      <x:c r="H1179" s="2" t="n">
        <x:v>17</x:v>
      </x:c>
      <x:c r="I1179" s="8" t="n">
        <x:v>48.81640031708317</x:v>
      </x:c>
      <x:c r="J1179" s="8" t="n">
        <x:v>0</x:v>
      </x:c>
      <x:c r="K1179" s="8" t="n">
        <x:v>7</x:v>
      </x:c>
      <x:c r="L1179" s="8" t="n">
        <x:v>384.52710101487173</x:v>
      </x:c>
      <x:c r="M1179" s="8" t="n">
        <x:v>0</x:v>
      </x:c>
      <x:c r="N1179" s="8" t="n">
        <x:v>0</x:v>
      </x:c>
      <x:c r="O1179" s="8" t="n">
        <x:v>145.43381156653496</x:v>
      </x:c>
      <x:c r="P1179" s="8" t="n">
        <x:v>0</x:v>
      </x:c>
      <x:c r="Q1179" s="8" t="n">
        <x:v>2.8115539262481226</x:v>
      </x:c>
      <x:c r="R1179" s="8" t="n">
        <x:v>0</x:v>
      </x:c>
      <x:c r="S1179" s="8" t="n">
        <x:f>L1179-I1179^2/H1179</x:f>
        <x:v>244.34822219618243</x:v>
      </x:c>
      <x:c r="T1179" s="8" t="n">
        <x:f>M1179-J1179^2/H1179</x:f>
        <x:v>0</x:v>
      </x:c>
      <x:c r="U1179" s="8" t="n">
        <x:f>N1179-I1179*J1179/H1179</x:f>
        <x:v>0</x:v>
      </x:c>
      <x:c r="V1179" s="8" t="n">
        <x:f>O1179-I1179*K1179/H1179</x:f>
        <x:v>125.332940847736</x:v>
      </x:c>
      <x:c r="W1179" s="8" t="n">
        <x:f>P1179-J1179*K1179/H1179</x:f>
        <x:v>0</x:v>
      </x:c>
      <x:c r="X1179" s="8" t="n">
        <x:f>V1179/S1179</x:f>
        <x:v>0.5129275741040941</x:v>
      </x:c>
      <x:c r="Y1179" s="8" t="n">
        <x:f>0</x:f>
        <x:v>0</x:v>
      </x:c>
      <x:c r="Z1179" s="8" t="n">
        <x:f>K1179/H1179-X1179*I1179/H1179-Y1179*J1179/H1179</x:f>
        <x:v>-1.0611339877138706</x:v>
      </x:c>
      <x:c r="AA1179" s="8" t="n">
        <x:f>Z1179+X1179*Q1179+Y1179*R1179</x:f>
        <x:v>0.38098954713942</x:v>
      </x:c>
    </x:row>
    <x:row r="1180" ht="26" customHeight="1">
      <x:c r="A1180" s="2"/>
      <x:c r="B1180" s="2" t="n">
        <x:v>1175</x:v>
      </x:c>
      <x:c r="C1180" s="2" t="str">
        <x:v>Fabric &amp; Home Care / organic_volume_growth</x:v>
      </x:c>
      <x:c r="D1180" s="2" t="str">
        <x:v>Broad rolling 8</x:v>
      </x:c>
      <x:c r="E1180" s="7" t="n">
        <x:v>45930</x:v>
      </x:c>
      <x:c r="F1180" s="2" t="str">
        <x:v>Prior report</x:v>
      </x:c>
      <x:c r="G1180" s="7" t="n">
        <x:v>45867</x:v>
      </x:c>
      <x:c r="H1180" s="2" t="n">
        <x:v>8</x:v>
      </x:c>
      <x:c r="I1180" s="8" t="n">
        <x:v>13.903323924128907</x:v>
      </x:c>
      <x:c r="J1180" s="8" t="n">
        <x:v>0</x:v>
      </x:c>
      <x:c r="K1180" s="8" t="n">
        <x:v>6</x:v>
      </x:c>
      <x:c r="L1180" s="8" t="n">
        <x:v>29.69247799893869</x:v>
      </x:c>
      <x:c r="M1180" s="8" t="n">
        <x:v>0</x:v>
      </x:c>
      <x:c r="N1180" s="8" t="n">
        <x:v>0</x:v>
      </x:c>
      <x:c r="O1180" s="8" t="n">
        <x:v>15.808513344811526</x:v>
      </x:c>
      <x:c r="P1180" s="8" t="n">
        <x:v>0</x:v>
      </x:c>
      <x:c r="Q1180" s="8" t="n">
        <x:v>2.8115539262481226</x:v>
      </x:c>
      <x:c r="R1180" s="8" t="n">
        <x:v>0</x:v>
      </x:c>
      <x:c r="S1180" s="8" t="n">
        <x:f>L1180-I1180^2/H1180</x:f>
        <x:v>5.529675981531785</x:v>
      </x:c>
      <x:c r="T1180" s="8" t="n">
        <x:f>M1180-J1180^2/H1180</x:f>
        <x:v>0</x:v>
      </x:c>
      <x:c r="U1180" s="8" t="n">
        <x:f>N1180-I1180*J1180/H1180</x:f>
        <x:v>0</x:v>
      </x:c>
      <x:c r="V1180" s="8" t="n">
        <x:f>O1180-I1180*K1180/H1180</x:f>
        <x:v>5.381020401714846</x:v>
      </x:c>
      <x:c r="W1180" s="8" t="n">
        <x:f>P1180-J1180*K1180/H1180</x:f>
        <x:v>0</x:v>
      </x:c>
      <x:c r="X1180" s="8" t="n">
        <x:f>V1180/S1180</x:f>
        <x:v>0.9731167648315336</x:v>
      </x:c>
      <x:c r="Y1180" s="8" t="n">
        <x:f>0</x:f>
        <x:v>0</x:v>
      </x:c>
      <x:c r="Z1180" s="8" t="n">
        <x:f>K1180/H1180-X1180*I1180/H1180-Y1180*J1180/H1180</x:f>
        <x:v>-0.941194699681648</x:v>
      </x:c>
      <x:c r="AA1180" s="8" t="n">
        <x:f>Z1180+X1180*Q1180+Y1180*R1180</x:f>
        <x:v>1.7947755611783216</x:v>
      </x:c>
    </x:row>
    <x:row r="1181" ht="26" customHeight="1">
      <x:c r="A1181" s="2"/>
      <x:c r="B1181" s="2" t="n">
        <x:v>1176</x:v>
      </x:c>
      <x:c r="C1181" s="2" t="str">
        <x:v>Fabric &amp; Home Care / organic_volume_growth</x:v>
      </x:c>
      <x:c r="D1181" s="2" t="str">
        <x:v>Own history</x:v>
      </x:c>
      <x:c r="E1181" s="7" t="n">
        <x:v>45930</x:v>
      </x:c>
      <x:c r="F1181" s="2" t="str">
        <x:v>Prior report</x:v>
      </x:c>
      <x:c r="G1181" s="7" t="n">
        <x:v>45867</x:v>
      </x:c>
      <x:c r="H1181" s="2" t="n">
        <x:v>17</x:v>
      </x:c>
      <x:c r="I1181" s="8" t="n">
        <x:v>7</x:v>
      </x:c>
      <x:c r="J1181" s="8" t="n">
        <x:v>0</x:v>
      </x:c>
      <x:c r="K1181" s="8" t="n">
        <x:v>4</x:v>
      </x:c>
      <x:c r="L1181" s="8" t="n">
        <x:v>199</x:v>
      </x:c>
      <x:c r="M1181" s="8" t="n">
        <x:v>0</x:v>
      </x:c>
      <x:c r="N1181" s="8" t="n">
        <x:v>0</x:v>
      </x:c>
      <x:c r="O1181" s="8" t="n">
        <x:v>135</x:v>
      </x:c>
      <x:c r="P1181" s="8" t="n">
        <x:v>0</x:v>
      </x:c>
      <x:c r="Q1181" s="8" t="n">
        <x:v>0</x:v>
      </x:c>
      <x:c r="R1181" s="8" t="n">
        <x:v>0</x:v>
      </x:c>
      <x:c r="S1181" s="8" t="n">
        <x:f>L1181-I1181^2/H1181</x:f>
        <x:v>196.11764705882354</x:v>
      </x:c>
      <x:c r="T1181" s="8" t="n">
        <x:f>M1181-J1181^2/H1181</x:f>
        <x:v>0</x:v>
      </x:c>
      <x:c r="U1181" s="8" t="n">
        <x:f>N1181-I1181*J1181/H1181</x:f>
        <x:v>0</x:v>
      </x:c>
      <x:c r="V1181" s="8" t="n">
        <x:f>O1181-I1181*K1181/H1181</x:f>
        <x:v>133.35294117647058</x:v>
      </x:c>
      <x:c r="W1181" s="8" t="n">
        <x:f>P1181-J1181*K1181/H1181</x:f>
        <x:v>0</x:v>
      </x:c>
      <x:c r="X1181" s="8" t="n">
        <x:f>V1181/S1181</x:f>
        <x:v>0.6799640071985602</x:v>
      </x:c>
      <x:c r="Y1181" s="8" t="n">
        <x:f>0</x:f>
        <x:v>0</x:v>
      </x:c>
      <x:c r="Z1181" s="8" t="n">
        <x:f>K1181/H1181-X1181*I1181/H1181-Y1181*J1181/H1181</x:f>
        <x:v>-0.04469106178764243</x:v>
      </x:c>
      <x:c r="AA1181" s="8" t="n">
        <x:f>Z1181+X1181*Q1181+Y1181*R1181</x:f>
        <x:v>-0.04469106178764243</x:v>
      </x:c>
    </x:row>
    <x:row r="1182" ht="26" customHeight="1">
      <x:c r="A1182" s="2"/>
      <x:c r="B1182" s="2" t="n">
        <x:v>1177</x:v>
      </x:c>
      <x:c r="C1182" s="2" t="str">
        <x:v>Fabric &amp; Home Care / organic_volume_growth</x:v>
      </x:c>
      <x:c r="D1182" s="2" t="str">
        <x:v>Broad market</x:v>
      </x:c>
      <x:c r="E1182" s="7" t="n">
        <x:v>45930</x:v>
      </x:c>
      <x:c r="F1182" s="2" t="str">
        <x:v>Pre-earnings</x:v>
      </x:c>
      <x:c r="G1182" s="7" t="n">
        <x:v>45953</x:v>
      </x:c>
      <x:c r="H1182" s="2" t="n">
        <x:v>18</x:v>
      </x:c>
      <x:c r="I1182" s="8" t="n">
        <x:v>54.16421583875868</x:v>
      </x:c>
      <x:c r="J1182" s="8" t="n">
        <x:v>0</x:v>
      </x:c>
      <x:c r="K1182" s="8" t="n">
        <x:v>7</x:v>
      </x:c>
      <x:c r="L1182" s="8" t="n">
        <x:v>409.1374966682539</x:v>
      </x:c>
      <x:c r="M1182" s="8" t="n">
        <x:v>0</x:v>
      </x:c>
      <x:c r="N1182" s="8" t="n">
        <x:v>0</x:v>
      </x:c>
      <x:c r="O1182" s="8" t="n">
        <x:v>153.33620876415137</x:v>
      </x:c>
      <x:c r="P1182" s="8" t="n">
        <x:v>0</x:v>
      </x:c>
      <x:c r="Q1182" s="8" t="n">
        <x:v>3.2886468481588604</x:v>
      </x:c>
      <x:c r="R1182" s="8" t="n">
        <x:v>0</x:v>
      </x:c>
      <x:c r="S1182" s="8" t="n">
        <x:f>L1182-I1182^2/H1182</x:f>
        <x:v>246.15070347782967</x:v>
      </x:c>
      <x:c r="T1182" s="8" t="n">
        <x:f>M1182-J1182^2/H1182</x:f>
        <x:v>0</x:v>
      </x:c>
      <x:c r="U1182" s="8" t="n">
        <x:f>N1182-I1182*J1182/H1182</x:f>
        <x:v>0</x:v>
      </x:c>
      <x:c r="V1182" s="8" t="n">
        <x:f>O1182-I1182*K1182/H1182</x:f>
        <x:v>132.27234704907855</x:v>
      </x:c>
      <x:c r="W1182" s="8" t="n">
        <x:f>P1182-J1182*K1182/H1182</x:f>
        <x:v>0</x:v>
      </x:c>
      <x:c r="X1182" s="8" t="n">
        <x:f>V1182/S1182</x:f>
        <x:v>0.5373632704689469</x:v>
      </x:c>
      <x:c r="Y1182" s="8" t="n">
        <x:f>0</x:f>
        <x:v>0</x:v>
      </x:c>
      <x:c r="Z1182" s="8" t="n">
        <x:f>K1182/H1182-X1182*I1182/H1182-Y1182*J1182/H1182</x:f>
        <x:v>-1.22810334252785</x:v>
      </x:c>
      <x:c r="AA1182" s="8" t="n">
        <x:f>Z1182+X1182*Q1182+Y1182*R1182</x:f>
        <x:v>0.5390946832161896</x:v>
      </x:c>
    </x:row>
    <x:row r="1183" ht="26" customHeight="1">
      <x:c r="A1183" s="2"/>
      <x:c r="B1183" s="2" t="n">
        <x:v>1178</x:v>
      </x:c>
      <x:c r="C1183" s="2" t="str">
        <x:v>Fabric &amp; Home Care / organic_volume_growth</x:v>
      </x:c>
      <x:c r="D1183" s="2" t="str">
        <x:v>Broad lag 1</x:v>
      </x:c>
      <x:c r="E1183" s="7" t="n">
        <x:v>45930</x:v>
      </x:c>
      <x:c r="F1183" s="2" t="str">
        <x:v>Pre-earnings</x:v>
      </x:c>
      <x:c r="G1183" s="7" t="n">
        <x:v>45953</x:v>
      </x:c>
      <x:c r="H1183" s="2" t="n">
        <x:v>17</x:v>
      </x:c>
      <x:c r="I1183" s="8" t="n">
        <x:v>50.93094136357719</x:v>
      </x:c>
      <x:c r="J1183" s="8" t="n">
        <x:v>0</x:v>
      </x:c>
      <x:c r="K1183" s="8" t="n">
        <x:v>4</x:v>
      </x:c>
      <x:c r="L1183" s="8" t="n">
        <x:v>398.68343283639376</x:v>
      </x:c>
      <x:c r="M1183" s="8" t="n">
        <x:v>0</x:v>
      </x:c>
      <x:c r="N1183" s="8" t="n">
        <x:v>0</x:v>
      </x:c>
      <x:c r="O1183" s="8" t="n">
        <x:v>147.19060188938658</x:v>
      </x:c>
      <x:c r="P1183" s="8" t="n">
        <x:v>0</x:v>
      </x:c>
      <x:c r="Q1183" s="8" t="n">
        <x:v>3.2332744751814912</x:v>
      </x:c>
      <x:c r="R1183" s="8" t="n">
        <x:v>0</x:v>
      </x:c>
      <x:c r="S1183" s="8" t="n">
        <x:f>L1183-I1183^2/H1183</x:f>
        <x:v>246.09750411991504</x:v>
      </x:c>
      <x:c r="T1183" s="8" t="n">
        <x:f>M1183-J1183^2/H1183</x:f>
        <x:v>0</x:v>
      </x:c>
      <x:c r="U1183" s="8" t="n">
        <x:f>N1183-I1183*J1183/H1183</x:f>
        <x:v>0</x:v>
      </x:c>
      <x:c r="V1183" s="8" t="n">
        <x:f>O1183-I1183*K1183/H1183</x:f>
        <x:v>135.2068509803096</x:v>
      </x:c>
      <x:c r="W1183" s="8" t="n">
        <x:f>P1183-J1183*K1183/H1183</x:f>
        <x:v>0</x:v>
      </x:c>
      <x:c r="X1183" s="8" t="n">
        <x:f>V1183/S1183</x:f>
        <x:v>0.5494035848263941</x:v>
      </x:c>
      <x:c r="Y1183" s="8" t="n">
        <x:f>0</x:f>
        <x:v>0</x:v>
      </x:c>
      <x:c r="Z1183" s="8" t="n">
        <x:f>K1183/H1183-X1183*I1183/H1183-Y1183*J1183/H1183</x:f>
        <x:v>-1.410684809631305</x:v>
      </x:c>
      <x:c r="AA1183" s="8" t="n">
        <x:f>Z1183+X1183*Q1183+Y1183*R1183</x:f>
        <x:v>0.3656877777610843</x:v>
      </x:c>
    </x:row>
    <x:row r="1184" ht="26" customHeight="1">
      <x:c r="A1184" s="2"/>
      <x:c r="B1184" s="2" t="n">
        <x:v>1179</x:v>
      </x:c>
      <x:c r="C1184" s="2" t="str">
        <x:v>Fabric &amp; Home Care / organic_volume_growth</x:v>
      </x:c>
      <x:c r="D1184" s="2" t="str">
        <x:v>Broad rolling 8</x:v>
      </x:c>
      <x:c r="E1184" s="7" t="n">
        <x:v>45930</x:v>
      </x:c>
      <x:c r="F1184" s="2" t="str">
        <x:v>Pre-earnings</x:v>
      </x:c>
      <x:c r="G1184" s="7" t="n">
        <x:v>45953</x:v>
      </x:c>
      <x:c r="H1184" s="2" t="n">
        <x:v>8</x:v>
      </x:c>
      <x:c r="I1184" s="8" t="n">
        <x:v>19.488596039783012</x:v>
      </x:c>
      <x:c r="J1184" s="8" t="n">
        <x:v>0</x:v>
      </x:c>
      <x:c r="K1184" s="8" t="n">
        <x:v>8</x:v>
      </x:c>
      <x:c r="L1184" s="8" t="n">
        <x:v>52.76027068899587</x:v>
      </x:c>
      <x:c r="M1184" s="8" t="n">
        <x:v>0</x:v>
      </x:c>
      <x:c r="N1184" s="8" t="n">
        <x:v>0</x:v>
      </x:c>
      <x:c r="O1184" s="8" t="n">
        <x:v>18.66459740001394</x:v>
      </x:c>
      <x:c r="P1184" s="8" t="n">
        <x:v>0</x:v>
      </x:c>
      <x:c r="Q1184" s="8" t="n">
        <x:v>3.2886468481588604</x:v>
      </x:c>
      <x:c r="R1184" s="8" t="n">
        <x:v>0</x:v>
      </x:c>
      <x:c r="S1184" s="8" t="n">
        <x:f>L1184-I1184^2/H1184</x:f>
        <x:v>5.284598738765105</x:v>
      </x:c>
      <x:c r="T1184" s="8" t="n">
        <x:f>M1184-J1184^2/H1184</x:f>
        <x:v>0</x:v>
      </x:c>
      <x:c r="U1184" s="8" t="n">
        <x:f>N1184-I1184*J1184/H1184</x:f>
        <x:v>0</x:v>
      </x:c>
      <x:c r="V1184" s="8" t="n">
        <x:f>O1184-I1184*K1184/H1184</x:f>
        <x:v>-0.8239986397690728</x:v>
      </x:c>
      <x:c r="W1184" s="8" t="n">
        <x:f>P1184-J1184*K1184/H1184</x:f>
        <x:v>0</x:v>
      </x:c>
      <x:c r="X1184" s="8" t="n">
        <x:f>V1184/S1184</x:f>
        <x:v>-0.15592454233556874</x:v>
      </x:c>
      <x:c r="Y1184" s="8" t="n">
        <x:f>0</x:f>
        <x:v>0</x:v>
      </x:c>
      <x:c r="Z1184" s="8" t="n">
        <x:f>K1184/H1184-X1184*I1184/H1184-Y1184*J1184/H1184</x:f>
        <x:v>1.3798438022832429</x:v>
      </x:c>
      <x:c r="AA1184" s="8" t="n">
        <x:f>Z1184+X1184*Q1184+Y1184*R1184</x:f>
        <x:v>0.8670630475807619</x:v>
      </x:c>
    </x:row>
    <x:row r="1185" ht="26" customHeight="1">
      <x:c r="A1185" s="2"/>
      <x:c r="B1185" s="2" t="n">
        <x:v>1180</x:v>
      </x:c>
      <x:c r="C1185" s="2" t="str">
        <x:v>Fabric &amp; Home Care / organic_volume_growth</x:v>
      </x:c>
      <x:c r="D1185" s="2" t="str">
        <x:v>Own history</x:v>
      </x:c>
      <x:c r="E1185" s="7" t="n">
        <x:v>45930</x:v>
      </x:c>
      <x:c r="F1185" s="2" t="str">
        <x:v>Pre-earnings</x:v>
      </x:c>
      <x:c r="G1185" s="7" t="n">
        <x:v>45953</x:v>
      </x:c>
      <x:c r="H1185" s="2" t="n">
        <x:v>17</x:v>
      </x:c>
      <x:c r="I1185" s="8" t="n">
        <x:v>7</x:v>
      </x:c>
      <x:c r="J1185" s="8" t="n">
        <x:v>0</x:v>
      </x:c>
      <x:c r="K1185" s="8" t="n">
        <x:v>4</x:v>
      </x:c>
      <x:c r="L1185" s="8" t="n">
        <x:v>199</x:v>
      </x:c>
      <x:c r="M1185" s="8" t="n">
        <x:v>0</x:v>
      </x:c>
      <x:c r="N1185" s="8" t="n">
        <x:v>0</x:v>
      </x:c>
      <x:c r="O1185" s="8" t="n">
        <x:v>135</x:v>
      </x:c>
      <x:c r="P1185" s="8" t="n">
        <x:v>0</x:v>
      </x:c>
      <x:c r="Q1185" s="8" t="n">
        <x:v>0</x:v>
      </x:c>
      <x:c r="R1185" s="8" t="n">
        <x:v>0</x:v>
      </x:c>
      <x:c r="S1185" s="8" t="n">
        <x:f>L1185-I1185^2/H1185</x:f>
        <x:v>196.11764705882354</x:v>
      </x:c>
      <x:c r="T1185" s="8" t="n">
        <x:f>M1185-J1185^2/H1185</x:f>
        <x:v>0</x:v>
      </x:c>
      <x:c r="U1185" s="8" t="n">
        <x:f>N1185-I1185*J1185/H1185</x:f>
        <x:v>0</x:v>
      </x:c>
      <x:c r="V1185" s="8" t="n">
        <x:f>O1185-I1185*K1185/H1185</x:f>
        <x:v>133.35294117647058</x:v>
      </x:c>
      <x:c r="W1185" s="8" t="n">
        <x:f>P1185-J1185*K1185/H1185</x:f>
        <x:v>0</x:v>
      </x:c>
      <x:c r="X1185" s="8" t="n">
        <x:f>V1185/S1185</x:f>
        <x:v>0.6799640071985602</x:v>
      </x:c>
      <x:c r="Y1185" s="8" t="n">
        <x:f>0</x:f>
        <x:v>0</x:v>
      </x:c>
      <x:c r="Z1185" s="8" t="n">
        <x:f>K1185/H1185-X1185*I1185/H1185-Y1185*J1185/H1185</x:f>
        <x:v>-0.04469106178764243</x:v>
      </x:c>
      <x:c r="AA1185" s="8" t="n">
        <x:f>Z1185+X1185*Q1185+Y1185*R1185</x:f>
        <x:v>-0.04469106178764243</x:v>
      </x:c>
    </x:row>
    <x:row r="1186" ht="26" customHeight="1">
      <x:c r="A1186" s="2"/>
      <x:c r="B1186" s="2" t="n">
        <x:v>1181</x:v>
      </x:c>
      <x:c r="C1186" s="2" t="str">
        <x:v>Fabric &amp; Home Care / organic_volume_growth</x:v>
      </x:c>
      <x:c r="D1186" s="2" t="str">
        <x:v>Broad market</x:v>
      </x:c>
      <x:c r="E1186" s="7" t="n">
        <x:v>46022</x:v>
      </x:c>
      <x:c r="F1186" s="2" t="str">
        <x:v>Origin</x:v>
      </x:c>
      <x:c r="G1186" s="7" t="n">
        <x:v>45931</x:v>
      </x:c>
      <x:c r="H1186" s="2" t="n">
        <x:v>18</x:v>
      </x:c>
      <x:c r="I1186" s="8" t="n">
        <x:v>54.16421583875868</x:v>
      </x:c>
      <x:c r="J1186" s="8" t="n">
        <x:v>0</x:v>
      </x:c>
      <x:c r="K1186" s="8" t="n">
        <x:v>7</x:v>
      </x:c>
      <x:c r="L1186" s="8" t="n">
        <x:v>409.1374966682539</x:v>
      </x:c>
      <x:c r="M1186" s="8" t="n">
        <x:v>0</x:v>
      </x:c>
      <x:c r="N1186" s="8" t="n">
        <x:v>0</x:v>
      </x:c>
      <x:c r="O1186" s="8" t="n">
        <x:v>153.33620876415137</x:v>
      </x:c>
      <x:c r="P1186" s="8" t="n">
        <x:v>0</x:v>
      </x:c>
      <x:c r="Q1186" s="8" t="n">
        <x:v>3.299678659475047</x:v>
      </x:c>
      <x:c r="R1186" s="8" t="n">
        <x:v>0</x:v>
      </x:c>
      <x:c r="S1186" s="8" t="n">
        <x:f>L1186-I1186^2/H1186</x:f>
        <x:v>246.15070347782967</x:v>
      </x:c>
      <x:c r="T1186" s="8" t="n">
        <x:f>M1186-J1186^2/H1186</x:f>
        <x:v>0</x:v>
      </x:c>
      <x:c r="U1186" s="8" t="n">
        <x:f>N1186-I1186*J1186/H1186</x:f>
        <x:v>0</x:v>
      </x:c>
      <x:c r="V1186" s="8" t="n">
        <x:f>O1186-I1186*K1186/H1186</x:f>
        <x:v>132.27234704907855</x:v>
      </x:c>
      <x:c r="W1186" s="8" t="n">
        <x:f>P1186-J1186*K1186/H1186</x:f>
        <x:v>0</x:v>
      </x:c>
      <x:c r="X1186" s="8" t="n">
        <x:f>V1186/S1186</x:f>
        <x:v>0.5373632704689469</x:v>
      </x:c>
      <x:c r="Y1186" s="8" t="n">
        <x:f>0</x:f>
        <x:v>0</x:v>
      </x:c>
      <x:c r="Z1186" s="8" t="n">
        <x:f>K1186/H1186-X1186*I1186/H1186-Y1186*J1186/H1186</x:f>
        <x:v>-1.22810334252785</x:v>
      </x:c>
      <x:c r="AA1186" s="8" t="n">
        <x:f>Z1186+X1186*Q1186+Y1186*R1186</x:f>
        <x:v>0.5450227734242521</x:v>
      </x:c>
    </x:row>
    <x:row r="1187" ht="26" customHeight="1">
      <x:c r="A1187" s="2"/>
      <x:c r="B1187" s="2" t="n">
        <x:v>1182</x:v>
      </x:c>
      <x:c r="C1187" s="2" t="str">
        <x:v>Fabric &amp; Home Care / organic_volume_growth</x:v>
      </x:c>
      <x:c r="D1187" s="2" t="str">
        <x:v>Broad rolling 8</x:v>
      </x:c>
      <x:c r="E1187" s="7" t="n">
        <x:v>46022</x:v>
      </x:c>
      <x:c r="F1187" s="2" t="str">
        <x:v>Origin</x:v>
      </x:c>
      <x:c r="G1187" s="7" t="n">
        <x:v>45931</x:v>
      </x:c>
      <x:c r="H1187" s="2" t="n">
        <x:v>8</x:v>
      </x:c>
      <x:c r="I1187" s="8" t="n">
        <x:v>19.488596039783012</x:v>
      </x:c>
      <x:c r="J1187" s="8" t="n">
        <x:v>0</x:v>
      </x:c>
      <x:c r="K1187" s="8" t="n">
        <x:v>8</x:v>
      </x:c>
      <x:c r="L1187" s="8" t="n">
        <x:v>52.76027068899587</x:v>
      </x:c>
      <x:c r="M1187" s="8" t="n">
        <x:v>0</x:v>
      </x:c>
      <x:c r="N1187" s="8" t="n">
        <x:v>0</x:v>
      </x:c>
      <x:c r="O1187" s="8" t="n">
        <x:v>18.66459740001394</x:v>
      </x:c>
      <x:c r="P1187" s="8" t="n">
        <x:v>0</x:v>
      </x:c>
      <x:c r="Q1187" s="8" t="n">
        <x:v>3.299678659475047</x:v>
      </x:c>
      <x:c r="R1187" s="8" t="n">
        <x:v>0</x:v>
      </x:c>
      <x:c r="S1187" s="8" t="n">
        <x:f>L1187-I1187^2/H1187</x:f>
        <x:v>5.284598738765105</x:v>
      </x:c>
      <x:c r="T1187" s="8" t="n">
        <x:f>M1187-J1187^2/H1187</x:f>
        <x:v>0</x:v>
      </x:c>
      <x:c r="U1187" s="8" t="n">
        <x:f>N1187-I1187*J1187/H1187</x:f>
        <x:v>0</x:v>
      </x:c>
      <x:c r="V1187" s="8" t="n">
        <x:f>O1187-I1187*K1187/H1187</x:f>
        <x:v>-0.8239986397690728</x:v>
      </x:c>
      <x:c r="W1187" s="8" t="n">
        <x:f>P1187-J1187*K1187/H1187</x:f>
        <x:v>0</x:v>
      </x:c>
      <x:c r="X1187" s="8" t="n">
        <x:f>V1187/S1187</x:f>
        <x:v>-0.15592454233556874</x:v>
      </x:c>
      <x:c r="Y1187" s="8" t="n">
        <x:f>0</x:f>
        <x:v>0</x:v>
      </x:c>
      <x:c r="Z1187" s="8" t="n">
        <x:f>K1187/H1187-X1187*I1187/H1187-Y1187*J1187/H1187</x:f>
        <x:v>1.3798438022832429</x:v>
      </x:c>
      <x:c r="AA1187" s="8" t="n">
        <x:f>Z1187+X1187*Q1187+Y1187*R1187</x:f>
        <x:v>0.8653429174501532</x:v>
      </x:c>
    </x:row>
    <x:row r="1188" ht="26" customHeight="1">
      <x:c r="A1188" s="2"/>
      <x:c r="B1188" s="2" t="n">
        <x:v>1183</x:v>
      </x:c>
      <x:c r="C1188" s="2" t="str">
        <x:v>Fabric &amp; Home Care / organic_volume_growth</x:v>
      </x:c>
      <x:c r="D1188" s="2" t="str">
        <x:v>Own history</x:v>
      </x:c>
      <x:c r="E1188" s="7" t="n">
        <x:v>46022</x:v>
      </x:c>
      <x:c r="F1188" s="2" t="str">
        <x:v>Origin</x:v>
      </x:c>
      <x:c r="G1188" s="7" t="n">
        <x:v>45931</x:v>
      </x:c>
      <x:c r="H1188" s="2" t="n">
        <x:v>16</x:v>
      </x:c>
      <x:c r="I1188" s="8" t="n">
        <x:v>7</x:v>
      </x:c>
      <x:c r="J1188" s="8" t="n">
        <x:v>0</x:v>
      </x:c>
      <x:c r="K1188" s="8" t="n">
        <x:v>3</x:v>
      </x:c>
      <x:c r="L1188" s="8" t="n">
        <x:v>199</x:v>
      </x:c>
      <x:c r="M1188" s="8" t="n">
        <x:v>0</x:v>
      </x:c>
      <x:c r="N1188" s="8" t="n">
        <x:v>0</x:v>
      </x:c>
      <x:c r="O1188" s="8" t="n">
        <x:v>45</x:v>
      </x:c>
      <x:c r="P1188" s="8" t="n">
        <x:v>0</x:v>
      </x:c>
      <x:c r="Q1188" s="8" t="n">
        <x:v>0</x:v>
      </x:c>
      <x:c r="R1188" s="8" t="n">
        <x:v>0</x:v>
      </x:c>
      <x:c r="S1188" s="8" t="n">
        <x:f>L1188-I1188^2/H1188</x:f>
        <x:v>195.9375</x:v>
      </x:c>
      <x:c r="T1188" s="8" t="n">
        <x:f>M1188-J1188^2/H1188</x:f>
        <x:v>0</x:v>
      </x:c>
      <x:c r="U1188" s="8" t="n">
        <x:f>N1188-I1188*J1188/H1188</x:f>
        <x:v>0</x:v>
      </x:c>
      <x:c r="V1188" s="8" t="n">
        <x:f>O1188-I1188*K1188/H1188</x:f>
        <x:v>43.6875</x:v>
      </x:c>
      <x:c r="W1188" s="8" t="n">
        <x:f>P1188-J1188*K1188/H1188</x:f>
        <x:v>0</x:v>
      </x:c>
      <x:c r="X1188" s="8" t="n">
        <x:f>V1188/S1188</x:f>
        <x:v>0.22296650717703348</x:v>
      </x:c>
      <x:c r="Y1188" s="8" t="n">
        <x:f>0</x:f>
        <x:v>0</x:v>
      </x:c>
      <x:c r="Z1188" s="8" t="n">
        <x:f>K1188/H1188-X1188*I1188/H1188-Y1188*J1188/H1188</x:f>
        <x:v>0.08995215311004785</x:v>
      </x:c>
      <x:c r="AA1188" s="8" t="n">
        <x:f>Z1188+X1188*Q1188+Y1188*R1188</x:f>
        <x:v>0.08995215311004785</x:v>
      </x:c>
    </x:row>
    <x:row r="1189" ht="26" customHeight="1">
      <x:c r="A1189" s="2"/>
      <x:c r="B1189" s="2" t="n">
        <x:v>1184</x:v>
      </x:c>
      <x:c r="C1189" s="2" t="str">
        <x:v>Fabric &amp; Home Care / organic_volume_growth</x:v>
      </x:c>
      <x:c r="D1189" s="2" t="str">
        <x:v>Broad market</x:v>
      </x:c>
      <x:c r="E1189" s="7" t="n">
        <x:v>46022</x:v>
      </x:c>
      <x:c r="F1189" s="2" t="str">
        <x:v>Prior report</x:v>
      </x:c>
      <x:c r="G1189" s="7" t="n">
        <x:v>45954</x:v>
      </x:c>
      <x:c r="H1189" s="2" t="n">
        <x:v>18</x:v>
      </x:c>
      <x:c r="I1189" s="8" t="n">
        <x:v>54.16421583875868</x:v>
      </x:c>
      <x:c r="J1189" s="8" t="n">
        <x:v>0</x:v>
      </x:c>
      <x:c r="K1189" s="8" t="n">
        <x:v>7</x:v>
      </x:c>
      <x:c r="L1189" s="8" t="n">
        <x:v>409.1374966682539</x:v>
      </x:c>
      <x:c r="M1189" s="8" t="n">
        <x:v>0</x:v>
      </x:c>
      <x:c r="N1189" s="8" t="n">
        <x:v>0</x:v>
      </x:c>
      <x:c r="O1189" s="8" t="n">
        <x:v>153.33620876415137</x:v>
      </x:c>
      <x:c r="P1189" s="8" t="n">
        <x:v>0</x:v>
      </x:c>
      <x:c r="Q1189" s="8" t="n">
        <x:v>3.299678659475047</x:v>
      </x:c>
      <x:c r="R1189" s="8" t="n">
        <x:v>0</x:v>
      </x:c>
      <x:c r="S1189" s="8" t="n">
        <x:f>L1189-I1189^2/H1189</x:f>
        <x:v>246.15070347782967</x:v>
      </x:c>
      <x:c r="T1189" s="8" t="n">
        <x:f>M1189-J1189^2/H1189</x:f>
        <x:v>0</x:v>
      </x:c>
      <x:c r="U1189" s="8" t="n">
        <x:f>N1189-I1189*J1189/H1189</x:f>
        <x:v>0</x:v>
      </x:c>
      <x:c r="V1189" s="8" t="n">
        <x:f>O1189-I1189*K1189/H1189</x:f>
        <x:v>132.27234704907855</x:v>
      </x:c>
      <x:c r="W1189" s="8" t="n">
        <x:f>P1189-J1189*K1189/H1189</x:f>
        <x:v>0</x:v>
      </x:c>
      <x:c r="X1189" s="8" t="n">
        <x:f>V1189/S1189</x:f>
        <x:v>0.5373632704689469</x:v>
      </x:c>
      <x:c r="Y1189" s="8" t="n">
        <x:f>0</x:f>
        <x:v>0</x:v>
      </x:c>
      <x:c r="Z1189" s="8" t="n">
        <x:f>K1189/H1189-X1189*I1189/H1189-Y1189*J1189/H1189</x:f>
        <x:v>-1.22810334252785</x:v>
      </x:c>
      <x:c r="AA1189" s="8" t="n">
        <x:f>Z1189+X1189*Q1189+Y1189*R1189</x:f>
        <x:v>0.5450227734242521</x:v>
      </x:c>
    </x:row>
    <x:row r="1190" ht="26" customHeight="1">
      <x:c r="A1190" s="2"/>
      <x:c r="B1190" s="2" t="n">
        <x:v>1185</x:v>
      </x:c>
      <x:c r="C1190" s="2" t="str">
        <x:v>Fabric &amp; Home Care / organic_volume_growth</x:v>
      </x:c>
      <x:c r="D1190" s="2" t="str">
        <x:v>Broad rolling 8</x:v>
      </x:c>
      <x:c r="E1190" s="7" t="n">
        <x:v>46022</x:v>
      </x:c>
      <x:c r="F1190" s="2" t="str">
        <x:v>Prior report</x:v>
      </x:c>
      <x:c r="G1190" s="7" t="n">
        <x:v>45954</x:v>
      </x:c>
      <x:c r="H1190" s="2" t="n">
        <x:v>8</x:v>
      </x:c>
      <x:c r="I1190" s="8" t="n">
        <x:v>19.488596039783012</x:v>
      </x:c>
      <x:c r="J1190" s="8" t="n">
        <x:v>0</x:v>
      </x:c>
      <x:c r="K1190" s="8" t="n">
        <x:v>8</x:v>
      </x:c>
      <x:c r="L1190" s="8" t="n">
        <x:v>52.76027068899587</x:v>
      </x:c>
      <x:c r="M1190" s="8" t="n">
        <x:v>0</x:v>
      </x:c>
      <x:c r="N1190" s="8" t="n">
        <x:v>0</x:v>
      </x:c>
      <x:c r="O1190" s="8" t="n">
        <x:v>18.66459740001394</x:v>
      </x:c>
      <x:c r="P1190" s="8" t="n">
        <x:v>0</x:v>
      </x:c>
      <x:c r="Q1190" s="8" t="n">
        <x:v>3.299678659475047</x:v>
      </x:c>
      <x:c r="R1190" s="8" t="n">
        <x:v>0</x:v>
      </x:c>
      <x:c r="S1190" s="8" t="n">
        <x:f>L1190-I1190^2/H1190</x:f>
        <x:v>5.284598738765105</x:v>
      </x:c>
      <x:c r="T1190" s="8" t="n">
        <x:f>M1190-J1190^2/H1190</x:f>
        <x:v>0</x:v>
      </x:c>
      <x:c r="U1190" s="8" t="n">
        <x:f>N1190-I1190*J1190/H1190</x:f>
        <x:v>0</x:v>
      </x:c>
      <x:c r="V1190" s="8" t="n">
        <x:f>O1190-I1190*K1190/H1190</x:f>
        <x:v>-0.8239986397690728</x:v>
      </x:c>
      <x:c r="W1190" s="8" t="n">
        <x:f>P1190-J1190*K1190/H1190</x:f>
        <x:v>0</x:v>
      </x:c>
      <x:c r="X1190" s="8" t="n">
        <x:f>V1190/S1190</x:f>
        <x:v>-0.15592454233556874</x:v>
      </x:c>
      <x:c r="Y1190" s="8" t="n">
        <x:f>0</x:f>
        <x:v>0</x:v>
      </x:c>
      <x:c r="Z1190" s="8" t="n">
        <x:f>K1190/H1190-X1190*I1190/H1190-Y1190*J1190/H1190</x:f>
        <x:v>1.3798438022832429</x:v>
      </x:c>
      <x:c r="AA1190" s="8" t="n">
        <x:f>Z1190+X1190*Q1190+Y1190*R1190</x:f>
        <x:v>0.8653429174501532</x:v>
      </x:c>
    </x:row>
    <x:row r="1191" ht="26" customHeight="1">
      <x:c r="A1191" s="2"/>
      <x:c r="B1191" s="2" t="n">
        <x:v>1186</x:v>
      </x:c>
      <x:c r="C1191" s="2" t="str">
        <x:v>Fabric &amp; Home Care / organic_volume_growth</x:v>
      </x:c>
      <x:c r="D1191" s="2" t="str">
        <x:v>Own history</x:v>
      </x:c>
      <x:c r="E1191" s="7" t="n">
        <x:v>46022</x:v>
      </x:c>
      <x:c r="F1191" s="2" t="str">
        <x:v>Prior report</x:v>
      </x:c>
      <x:c r="G1191" s="7" t="n">
        <x:v>45954</x:v>
      </x:c>
      <x:c r="H1191" s="2" t="n">
        <x:v>18</x:v>
      </x:c>
      <x:c r="I1191" s="8" t="n">
        <x:v>7</x:v>
      </x:c>
      <x:c r="J1191" s="8" t="n">
        <x:v>0</x:v>
      </x:c>
      <x:c r="K1191" s="8" t="n">
        <x:v>2</x:v>
      </x:c>
      <x:c r="L1191" s="8" t="n">
        <x:v>199</x:v>
      </x:c>
      <x:c r="M1191" s="8" t="n">
        <x:v>0</x:v>
      </x:c>
      <x:c r="N1191" s="8" t="n">
        <x:v>0</x:v>
      </x:c>
      <x:c r="O1191" s="8" t="n">
        <x:v>135</x:v>
      </x:c>
      <x:c r="P1191" s="8" t="n">
        <x:v>0</x:v>
      </x:c>
      <x:c r="Q1191" s="8" t="n">
        <x:v>-2</x:v>
      </x:c>
      <x:c r="R1191" s="8" t="n">
        <x:v>0</x:v>
      </x:c>
      <x:c r="S1191" s="8" t="n">
        <x:f>L1191-I1191^2/H1191</x:f>
        <x:v>196.27777777777777</x:v>
      </x:c>
      <x:c r="T1191" s="8" t="n">
        <x:f>M1191-J1191^2/H1191</x:f>
        <x:v>0</x:v>
      </x:c>
      <x:c r="U1191" s="8" t="n">
        <x:f>N1191-I1191*J1191/H1191</x:f>
        <x:v>0</x:v>
      </x:c>
      <x:c r="V1191" s="8" t="n">
        <x:f>O1191-I1191*K1191/H1191</x:f>
        <x:v>134.22222222222223</x:v>
      </x:c>
      <x:c r="W1191" s="8" t="n">
        <x:f>P1191-J1191*K1191/H1191</x:f>
        <x:v>0</x:v>
      </x:c>
      <x:c r="X1191" s="8" t="n">
        <x:f>V1191/S1191</x:f>
        <x:v>0.6838380979337674</x:v>
      </x:c>
      <x:c r="Y1191" s="8" t="n">
        <x:f>0</x:f>
        <x:v>0</x:v>
      </x:c>
      <x:c r="Z1191" s="8" t="n">
        <x:f>K1191/H1191-X1191*I1191/H1191-Y1191*J1191/H1191</x:f>
        <x:v>-0.15482592697424286</x:v>
      </x:c>
      <x:c r="AA1191" s="8" t="n">
        <x:f>Z1191+X1191*Q1191+Y1191*R1191</x:f>
        <x:v>-1.5225021228417777</x:v>
      </x:c>
    </x:row>
    <x:row r="1192" ht="26" customHeight="1">
      <x:c r="A1192" s="2"/>
      <x:c r="B1192" s="2" t="n">
        <x:v>1187</x:v>
      </x:c>
      <x:c r="C1192" s="2" t="str">
        <x:v>Fabric &amp; Home Care / organic_volume_growth</x:v>
      </x:c>
      <x:c r="D1192" s="2" t="str">
        <x:v>Broad market</x:v>
      </x:c>
      <x:c r="E1192" s="7" t="n">
        <x:v>46022</x:v>
      </x:c>
      <x:c r="F1192" s="2" t="str">
        <x:v>Pre-earnings</x:v>
      </x:c>
      <x:c r="G1192" s="7" t="n">
        <x:v>46044</x:v>
      </x:c>
      <x:c r="H1192" s="2" t="n">
        <x:v>19</x:v>
      </x:c>
      <x:c r="I1192" s="8" t="n">
        <x:v>57.16093893029881</x:v>
      </x:c>
      <x:c r="J1192" s="8" t="n">
        <x:v>0</x:v>
      </x:c>
      <x:c r="K1192" s="8" t="n">
        <x:v>5</x:v>
      </x:c>
      <x:c r="L1192" s="8" t="n">
        <x:v>418.11784595562375</x:v>
      </x:c>
      <x:c r="M1192" s="8" t="n">
        <x:v>0</x:v>
      </x:c>
      <x:c r="N1192" s="8" t="n">
        <x:v>0</x:v>
      </x:c>
      <x:c r="O1192" s="8" t="n">
        <x:v>147.3427625810711</x:v>
      </x:c>
      <x:c r="P1192" s="8" t="n">
        <x:v>0</x:v>
      </x:c>
      <x:c r="Q1192" s="8" t="n">
        <x:v>2.918795720892664</x:v>
      </x:c>
      <x:c r="R1192" s="8" t="n">
        <x:v>0</x:v>
      </x:c>
      <x:c r="S1192" s="8" t="n">
        <x:f>L1192-I1192^2/H1192</x:f>
        <x:v>246.1508491454474</x:v>
      </x:c>
      <x:c r="T1192" s="8" t="n">
        <x:f>M1192-J1192^2/H1192</x:f>
        <x:v>0</x:v>
      </x:c>
      <x:c r="U1192" s="8" t="n">
        <x:f>N1192-I1192*J1192/H1192</x:f>
        <x:v>0</x:v>
      </x:c>
      <x:c r="V1192" s="8" t="n">
        <x:f>O1192-I1192*K1192/H1192</x:f>
        <x:v>132.30041023099247</x:v>
      </x:c>
      <x:c r="W1192" s="8" t="n">
        <x:f>P1192-J1192*K1192/H1192</x:f>
        <x:v>0</x:v>
      </x:c>
      <x:c r="X1192" s="8" t="n">
        <x:f>V1192/S1192</x:f>
        <x:v>0.5374769605317016</x:v>
      </x:c>
      <x:c r="Y1192" s="8" t="n">
        <x:f>0</x:f>
        <x:v>0</x:v>
      </x:c>
      <x:c r="Z1192" s="8" t="n">
        <x:f>K1192/H1192-X1192*I1192/H1192-Y1192*J1192/H1192</x:f>
        <x:v>-1.3538256693365904</x:v>
      </x:c>
      <x:c r="AA1192" s="8" t="n">
        <x:f>Z1192+X1192*Q1192+Y1192*R1192</x:f>
        <x:v>0.21495978314173536</x:v>
      </x:c>
    </x:row>
    <x:row r="1193" ht="26" customHeight="1">
      <x:c r="A1193" s="2"/>
      <x:c r="B1193" s="2" t="n">
        <x:v>1188</x:v>
      </x:c>
      <x:c r="C1193" s="2" t="str">
        <x:v>Fabric &amp; Home Care / organic_volume_growth</x:v>
      </x:c>
      <x:c r="D1193" s="2" t="str">
        <x:v>Broad lag 1</x:v>
      </x:c>
      <x:c r="E1193" s="7" t="n">
        <x:v>46022</x:v>
      </x:c>
      <x:c r="F1193" s="2" t="str">
        <x:v>Pre-earnings</x:v>
      </x:c>
      <x:c r="G1193" s="7" t="n">
        <x:v>46044</x:v>
      </x:c>
      <x:c r="H1193" s="2" t="n">
        <x:v>18</x:v>
      </x:c>
      <x:c r="I1193" s="8" t="n">
        <x:v>54.16421583875868</x:v>
      </x:c>
      <x:c r="J1193" s="8" t="n">
        <x:v>0</x:v>
      </x:c>
      <x:c r="K1193" s="8" t="n">
        <x:v>2</x:v>
      </x:c>
      <x:c r="L1193" s="8" t="n">
        <x:v>409.1374966682539</x:v>
      </x:c>
      <x:c r="M1193" s="8" t="n">
        <x:v>0</x:v>
      </x:c>
      <x:c r="N1193" s="8" t="n">
        <x:v>0</x:v>
      </x:c>
      <x:c r="O1193" s="8" t="n">
        <x:v>140.7240529390236</x:v>
      </x:c>
      <x:c r="P1193" s="8" t="n">
        <x:v>0</x:v>
      </x:c>
      <x:c r="Q1193" s="8" t="n">
        <x:v>2.996723091540132</x:v>
      </x:c>
      <x:c r="R1193" s="8" t="n">
        <x:v>0</x:v>
      </x:c>
      <x:c r="S1193" s="8" t="n">
        <x:f>L1193-I1193^2/H1193</x:f>
        <x:v>246.15070347782967</x:v>
      </x:c>
      <x:c r="T1193" s="8" t="n">
        <x:f>M1193-J1193^2/H1193</x:f>
        <x:v>0</x:v>
      </x:c>
      <x:c r="U1193" s="8" t="n">
        <x:f>N1193-I1193*J1193/H1193</x:f>
        <x:v>0</x:v>
      </x:c>
      <x:c r="V1193" s="8" t="n">
        <x:f>O1193-I1193*K1193/H1193</x:f>
        <x:v>134.7058067347171</x:v>
      </x:c>
      <x:c r="W1193" s="8" t="n">
        <x:f>P1193-J1193*K1193/H1193</x:f>
        <x:v>0</x:v>
      </x:c>
      <x:c r="X1193" s="8" t="n">
        <x:f>V1193/S1193</x:f>
        <x:v>0.5472493266583323</x:v>
      </x:c>
      <x:c r="Y1193" s="8" t="n">
        <x:f>0</x:f>
        <x:v>0</x:v>
      </x:c>
      <x:c r="Z1193" s="8" t="n">
        <x:f>K1193/H1193-X1193*I1193/H1193-Y1193*J1193/H1193</x:f>
        <x:v>-1.5356294803742923</x:v>
      </x:c>
      <x:c r="AA1193" s="8" t="n">
        <x:f>Z1193+X1193*Q1193+Y1193*R1193</x:f>
        <x:v>0.10432521365252079</x:v>
      </x:c>
    </x:row>
    <x:row r="1194" ht="26" customHeight="1">
      <x:c r="A1194" s="2"/>
      <x:c r="B1194" s="2" t="n">
        <x:v>1189</x:v>
      </x:c>
      <x:c r="C1194" s="2" t="str">
        <x:v>Fabric &amp; Home Care / organic_volume_growth</x:v>
      </x:c>
      <x:c r="D1194" s="2" t="str">
        <x:v>Broad rolling 8</x:v>
      </x:c>
      <x:c r="E1194" s="7" t="n">
        <x:v>46022</x:v>
      </x:c>
      <x:c r="F1194" s="2" t="str">
        <x:v>Pre-earnings</x:v>
      </x:c>
      <x:c r="G1194" s="7" t="n">
        <x:v>46044</x:v>
      </x:c>
      <x:c r="H1194" s="2" t="n">
        <x:v>8</x:v>
      </x:c>
      <x:c r="I1194" s="8" t="n">
        <x:v>21.296017808086944</x:v>
      </x:c>
      <x:c r="J1194" s="8" t="n">
        <x:v>0</x:v>
      </x:c>
      <x:c r="K1194" s="8" t="n">
        <x:v>6</x:v>
      </x:c>
      <x:c r="L1194" s="8" t="n">
        <x:v>60.32618233891433</x:v>
      </x:c>
      <x:c r="M1194" s="8" t="n">
        <x:v>0</x:v>
      </x:c>
      <x:c r="N1194" s="8" t="n">
        <x:v>0</x:v>
      </x:c>
      <x:c r="O1194" s="8" t="n">
        <x:v>12.671151216933673</x:v>
      </x:c>
      <x:c r="P1194" s="8" t="n">
        <x:v>0</x:v>
      </x:c>
      <x:c r="Q1194" s="8" t="n">
        <x:v>2.918795720892664</x:v>
      </x:c>
      <x:c r="R1194" s="8" t="n">
        <x:v>0</x:v>
      </x:c>
      <x:c r="S1194" s="8" t="n">
        <x:f>L1194-I1194^2/H1194</x:f>
        <x:v>3.6361355286197963</x:v>
      </x:c>
      <x:c r="T1194" s="8" t="n">
        <x:f>M1194-J1194^2/H1194</x:f>
        <x:v>0</x:v>
      </x:c>
      <x:c r="U1194" s="8" t="n">
        <x:f>N1194-I1194*J1194/H1194</x:f>
        <x:v>0</x:v>
      </x:c>
      <x:c r="V1194" s="8" t="n">
        <x:f>O1194-I1194*K1194/H1194</x:f>
        <x:v>-3.300862139131535</x:v>
      </x:c>
      <x:c r="W1194" s="8" t="n">
        <x:f>P1194-J1194*K1194/H1194</x:f>
        <x:v>0</x:v>
      </x:c>
      <x:c r="X1194" s="8" t="n">
        <x:f>V1194/S1194</x:f>
        <x:v>-0.9077940338446284</x:v>
      </x:c>
      <x:c r="Y1194" s="8" t="n">
        <x:f>0</x:f>
        <x:v>0</x:v>
      </x:c>
      <x:c r="Z1194" s="8" t="n">
        <x:f>K1194/H1194-X1194*I1194/H1194-Y1194*J1194/H1194</x:f>
        <x:v>3.166549738853786</x:v>
      </x:c>
      <x:c r="AA1194" s="8" t="n">
        <x:f>Z1194+X1194*Q1194+Y1194*R1194</x:f>
        <x:v>0.5168843974161943</x:v>
      </x:c>
    </x:row>
    <x:row r="1195" ht="26" customHeight="1">
      <x:c r="A1195" s="2"/>
      <x:c r="B1195" s="2" t="n">
        <x:v>1190</x:v>
      </x:c>
      <x:c r="C1195" s="2" t="str">
        <x:v>Fabric &amp; Home Care / organic_volume_growth</x:v>
      </x:c>
      <x:c r="D1195" s="2" t="str">
        <x:v>Own history</x:v>
      </x:c>
      <x:c r="E1195" s="7" t="n">
        <x:v>46022</x:v>
      </x:c>
      <x:c r="F1195" s="2" t="str">
        <x:v>Pre-earnings</x:v>
      </x:c>
      <x:c r="G1195" s="7" t="n">
        <x:v>46044</x:v>
      </x:c>
      <x:c r="H1195" s="2" t="n">
        <x:v>18</x:v>
      </x:c>
      <x:c r="I1195" s="8" t="n">
        <x:v>7</x:v>
      </x:c>
      <x:c r="J1195" s="8" t="n">
        <x:v>0</x:v>
      </x:c>
      <x:c r="K1195" s="8" t="n">
        <x:v>2</x:v>
      </x:c>
      <x:c r="L1195" s="8" t="n">
        <x:v>199</x:v>
      </x:c>
      <x:c r="M1195" s="8" t="n">
        <x:v>0</x:v>
      </x:c>
      <x:c r="N1195" s="8" t="n">
        <x:v>0</x:v>
      </x:c>
      <x:c r="O1195" s="8" t="n">
        <x:v>135</x:v>
      </x:c>
      <x:c r="P1195" s="8" t="n">
        <x:v>0</x:v>
      </x:c>
      <x:c r="Q1195" s="8" t="n">
        <x:v>-2</x:v>
      </x:c>
      <x:c r="R1195" s="8" t="n">
        <x:v>0</x:v>
      </x:c>
      <x:c r="S1195" s="8" t="n">
        <x:f>L1195-I1195^2/H1195</x:f>
        <x:v>196.27777777777777</x:v>
      </x:c>
      <x:c r="T1195" s="8" t="n">
        <x:f>M1195-J1195^2/H1195</x:f>
        <x:v>0</x:v>
      </x:c>
      <x:c r="U1195" s="8" t="n">
        <x:f>N1195-I1195*J1195/H1195</x:f>
        <x:v>0</x:v>
      </x:c>
      <x:c r="V1195" s="8" t="n">
        <x:f>O1195-I1195*K1195/H1195</x:f>
        <x:v>134.22222222222223</x:v>
      </x:c>
      <x:c r="W1195" s="8" t="n">
        <x:f>P1195-J1195*K1195/H1195</x:f>
        <x:v>0</x:v>
      </x:c>
      <x:c r="X1195" s="8" t="n">
        <x:f>V1195/S1195</x:f>
        <x:v>0.6838380979337674</x:v>
      </x:c>
      <x:c r="Y1195" s="8" t="n">
        <x:f>0</x:f>
        <x:v>0</x:v>
      </x:c>
      <x:c r="Z1195" s="8" t="n">
        <x:f>K1195/H1195-X1195*I1195/H1195-Y1195*J1195/H1195</x:f>
        <x:v>-0.15482592697424286</x:v>
      </x:c>
      <x:c r="AA1195" s="8" t="n">
        <x:f>Z1195+X1195*Q1195+Y1195*R1195</x:f>
        <x:v>-1.5225021228417777</x:v>
      </x:c>
    </x:row>
    <x:row r="1196" ht="26" customHeight="1">
      <x:c r="A1196" s="2"/>
      <x:c r="B1196" s="2" t="n">
        <x:v>1191</x:v>
      </x:c>
      <x:c r="C1196" s="2" t="str">
        <x:v>Fabric &amp; Home Care / organic_volume_growth</x:v>
      </x:c>
      <x:c r="D1196" s="2" t="str">
        <x:v>Broad market</x:v>
      </x:c>
      <x:c r="E1196" s="7" t="n">
        <x:v>46112</x:v>
      </x:c>
      <x:c r="F1196" s="2" t="str">
        <x:v>Origin</x:v>
      </x:c>
      <x:c r="G1196" s="7" t="n">
        <x:v>46023</x:v>
      </x:c>
      <x:c r="H1196" s="2" t="n">
        <x:v>19</x:v>
      </x:c>
      <x:c r="I1196" s="8" t="n">
        <x:v>57.17838992209685</x:v>
      </x:c>
      <x:c r="J1196" s="8" t="n">
        <x:v>0</x:v>
      </x:c>
      <x:c r="K1196" s="8" t="n">
        <x:v>5</x:v>
      </x:c>
      <x:c r="L1196" s="8" t="n">
        <x:v>418.22274207292145</x:v>
      </x:c>
      <x:c r="M1196" s="8" t="n">
        <x:v>0</x:v>
      </x:c>
      <x:c r="N1196" s="8" t="n">
        <x:v>0</x:v>
      </x:c>
      <x:c r="O1196" s="8" t="n">
        <x:v>147.307860597475</x:v>
      </x:c>
      <x:c r="P1196" s="8" t="n">
        <x:v>0</x:v>
      </x:c>
      <x:c r="Q1196" s="8" t="n">
        <x:v>3.0175188319920387</x:v>
      </x:c>
      <x:c r="R1196" s="8" t="n">
        <x:v>0</x:v>
      </x:c>
      <x:c r="S1196" s="8" t="n">
        <x:f>L1196-I1196^2/H1196</x:f>
        <x:v>246.15072764748217</x:v>
      </x:c>
      <x:c r="T1196" s="8" t="n">
        <x:f>M1196-J1196^2/H1196</x:f>
        <x:v>0</x:v>
      </x:c>
      <x:c r="U1196" s="8" t="n">
        <x:f>N1196-I1196*J1196/H1196</x:f>
        <x:v>0</x:v>
      </x:c>
      <x:c r="V1196" s="8" t="n">
        <x:f>O1196-I1196*K1196/H1196</x:f>
        <x:v>132.26091588113374</x:v>
      </x:c>
      <x:c r="W1196" s="8" t="n">
        <x:f>P1196-J1196*K1196/H1196</x:f>
        <x:v>0</x:v>
      </x:c>
      <x:c r="X1196" s="8" t="n">
        <x:f>V1196/S1196</x:f>
        <x:v>0.5373167779968845</x:v>
      </x:c>
      <x:c r="Y1196" s="8" t="n">
        <x:f>0</x:f>
        <x:v>0</x:v>
      </x:c>
      <x:c r="Z1196" s="8" t="n">
        <x:f>K1196/H1196-X1196*I1196/H1196-Y1196*J1196/H1196</x:f>
        <x:v>-1.3538372759995059</x:v>
      </x:c>
      <x:c r="AA1196" s="8" t="n">
        <x:f>Z1196+X1196*Q1196+Y1196*R1196</x:f>
        <x:v>0.26752622035137863</x:v>
      </x:c>
    </x:row>
    <x:row r="1197" ht="26" customHeight="1">
      <x:c r="A1197" s="2"/>
      <x:c r="B1197" s="2" t="n">
        <x:v>1192</x:v>
      </x:c>
      <x:c r="C1197" s="2" t="str">
        <x:v>Fabric &amp; Home Care / organic_volume_growth</x:v>
      </x:c>
      <x:c r="D1197" s="2" t="str">
        <x:v>Broad rolling 8</x:v>
      </x:c>
      <x:c r="E1197" s="7" t="n">
        <x:v>46112</x:v>
      </x:c>
      <x:c r="F1197" s="2" t="str">
        <x:v>Origin</x:v>
      </x:c>
      <x:c r="G1197" s="7" t="n">
        <x:v>46023</x:v>
      </x:c>
      <x:c r="H1197" s="2" t="n">
        <x:v>8</x:v>
      </x:c>
      <x:c r="I1197" s="8" t="n">
        <x:v>21.313468799884983</x:v>
      </x:c>
      <x:c r="J1197" s="8" t="n">
        <x:v>0</x:v>
      </x:c>
      <x:c r="K1197" s="8" t="n">
        <x:v>6</x:v>
      </x:c>
      <x:c r="L1197" s="8" t="n">
        <x:v>60.431078456212</x:v>
      </x:c>
      <x:c r="M1197" s="8" t="n">
        <x:v>0</x:v>
      </x:c>
      <x:c r="N1197" s="8" t="n">
        <x:v>0</x:v>
      </x:c>
      <x:c r="O1197" s="8" t="n">
        <x:v>12.636249233337594</x:v>
      </x:c>
      <x:c r="P1197" s="8" t="n">
        <x:v>0</x:v>
      </x:c>
      <x:c r="Q1197" s="8" t="n">
        <x:v>3.0175188319920387</x:v>
      </x:c>
      <x:c r="R1197" s="8" t="n">
        <x:v>0</x:v>
      </x:c>
      <x:c r="S1197" s="8" t="n">
        <x:f>L1197-I1197^2/H1197</x:f>
        <x:v>3.6480844207531717</x:v>
      </x:c>
      <x:c r="T1197" s="8" t="n">
        <x:f>M1197-J1197^2/H1197</x:f>
        <x:v>0</x:v>
      </x:c>
      <x:c r="U1197" s="8" t="n">
        <x:f>N1197-I1197*J1197/H1197</x:f>
        <x:v>0</x:v>
      </x:c>
      <x:c r="V1197" s="8" t="n">
        <x:f>O1197-I1197*K1197/H1197</x:f>
        <x:v>-3.3488523665761427</x:v>
      </x:c>
      <x:c r="W1197" s="8" t="n">
        <x:f>P1197-J1197*K1197/H1197</x:f>
        <x:v>0</x:v>
      </x:c>
      <x:c r="X1197" s="8" t="n">
        <x:f>V1197/S1197</x:f>
        <x:v>-0.9179755675403887</x:v>
      </x:c>
      <x:c r="Y1197" s="8" t="n">
        <x:f>0</x:f>
        <x:v>0</x:v>
      </x:c>
      <x:c r="Z1197" s="8" t="n">
        <x:f>K1197/H1197-X1197*I1197/H1197-Y1197*J1197/H1197</x:f>
        <x:v>3.195655452228598</x:v>
      </x:c>
      <x:c r="AA1197" s="8" t="n">
        <x:f>Z1197+X1197*Q1197+Y1197*R1197</x:f>
        <x:v>0.4256468898668957</x:v>
      </x:c>
    </x:row>
    <x:row r="1198" ht="26" customHeight="1">
      <x:c r="A1198" s="2"/>
      <x:c r="B1198" s="2" t="n">
        <x:v>1193</x:v>
      </x:c>
      <x:c r="C1198" s="2" t="str">
        <x:v>Fabric &amp; Home Care / organic_volume_growth</x:v>
      </x:c>
      <x:c r="D1198" s="2" t="str">
        <x:v>Own history</x:v>
      </x:c>
      <x:c r="E1198" s="7" t="n">
        <x:v>46112</x:v>
      </x:c>
      <x:c r="F1198" s="2" t="str">
        <x:v>Origin</x:v>
      </x:c>
      <x:c r="G1198" s="7" t="n">
        <x:v>46023</x:v>
      </x:c>
      <x:c r="H1198" s="2" t="n">
        <x:v>17</x:v>
      </x:c>
      <x:c r="I1198" s="8" t="n">
        <x:v>7</x:v>
      </x:c>
      <x:c r="J1198" s="8" t="n">
        <x:v>0</x:v>
      </x:c>
      <x:c r="K1198" s="8" t="n">
        <x:v>1</x:v>
      </x:c>
      <x:c r="L1198" s="8" t="n">
        <x:v>199</x:v>
      </x:c>
      <x:c r="M1198" s="8" t="n">
        <x:v>0</x:v>
      </x:c>
      <x:c r="N1198" s="8" t="n">
        <x:v>0</x:v>
      </x:c>
      <x:c r="O1198" s="8" t="n">
        <x:v>45</x:v>
      </x:c>
      <x:c r="P1198" s="8" t="n">
        <x:v>0</x:v>
      </x:c>
      <x:c r="Q1198" s="8" t="n">
        <x:v>-2</x:v>
      </x:c>
      <x:c r="R1198" s="8" t="n">
        <x:v>0</x:v>
      </x:c>
      <x:c r="S1198" s="8" t="n">
        <x:f>L1198-I1198^2/H1198</x:f>
        <x:v>196.11764705882354</x:v>
      </x:c>
      <x:c r="T1198" s="8" t="n">
        <x:f>M1198-J1198^2/H1198</x:f>
        <x:v>0</x:v>
      </x:c>
      <x:c r="U1198" s="8" t="n">
        <x:f>N1198-I1198*J1198/H1198</x:f>
        <x:v>0</x:v>
      </x:c>
      <x:c r="V1198" s="8" t="n">
        <x:f>O1198-I1198*K1198/H1198</x:f>
        <x:v>44.588235294117645</x:v>
      </x:c>
      <x:c r="W1198" s="8" t="n">
        <x:f>P1198-J1198*K1198/H1198</x:f>
        <x:v>0</x:v>
      </x:c>
      <x:c r="X1198" s="8" t="n">
        <x:f>V1198/S1198</x:f>
        <x:v>0.22735452909418113</x:v>
      </x:c>
      <x:c r="Y1198" s="8" t="n">
        <x:f>0</x:f>
        <x:v>0</x:v>
      </x:c>
      <x:c r="Z1198" s="8" t="n">
        <x:f>K1198/H1198-X1198*I1198/H1198-Y1198*J1198/H1198</x:f>
        <x:v>-0.03479304139172164</x:v>
      </x:c>
      <x:c r="AA1198" s="8" t="n">
        <x:f>Z1198+X1198*Q1198+Y1198*R1198</x:f>
        <x:v>-0.4895020995800839</x:v>
      </x:c>
    </x:row>
    <x:row r="1199" ht="26" customHeight="1">
      <x:c r="A1199" s="2"/>
      <x:c r="B1199" s="2" t="n">
        <x:v>1194</x:v>
      </x:c>
      <x:c r="C1199" s="2" t="str">
        <x:v>Fabric &amp; Home Care / organic_volume_growth</x:v>
      </x:c>
      <x:c r="D1199" s="2" t="str">
        <x:v>Broad market</x:v>
      </x:c>
      <x:c r="E1199" s="7" t="n">
        <x:v>46112</x:v>
      </x:c>
      <x:c r="F1199" s="2" t="str">
        <x:v>Prior report</x:v>
      </x:c>
      <x:c r="G1199" s="7" t="n">
        <x:v>46045</x:v>
      </x:c>
      <x:c r="H1199" s="2" t="n">
        <x:v>19</x:v>
      </x:c>
      <x:c r="I1199" s="8" t="n">
        <x:v>57.16093893029881</x:v>
      </x:c>
      <x:c r="J1199" s="8" t="n">
        <x:v>0</x:v>
      </x:c>
      <x:c r="K1199" s="8" t="n">
        <x:v>5</x:v>
      </x:c>
      <x:c r="L1199" s="8" t="n">
        <x:v>418.11784595562375</x:v>
      </x:c>
      <x:c r="M1199" s="8" t="n">
        <x:v>0</x:v>
      </x:c>
      <x:c r="N1199" s="8" t="n">
        <x:v>0</x:v>
      </x:c>
      <x:c r="O1199" s="8" t="n">
        <x:v>147.3427625810711</x:v>
      </x:c>
      <x:c r="P1199" s="8" t="n">
        <x:v>0</x:v>
      </x:c>
      <x:c r="Q1199" s="8" t="n">
        <x:v>2.7279121275772367</x:v>
      </x:c>
      <x:c r="R1199" s="8" t="n">
        <x:v>0</x:v>
      </x:c>
      <x:c r="S1199" s="8" t="n">
        <x:f>L1199-I1199^2/H1199</x:f>
        <x:v>246.1508491454474</x:v>
      </x:c>
      <x:c r="T1199" s="8" t="n">
        <x:f>M1199-J1199^2/H1199</x:f>
        <x:v>0</x:v>
      </x:c>
      <x:c r="U1199" s="8" t="n">
        <x:f>N1199-I1199*J1199/H1199</x:f>
        <x:v>0</x:v>
      </x:c>
      <x:c r="V1199" s="8" t="n">
        <x:f>O1199-I1199*K1199/H1199</x:f>
        <x:v>132.30041023099247</x:v>
      </x:c>
      <x:c r="W1199" s="8" t="n">
        <x:f>P1199-J1199*K1199/H1199</x:f>
        <x:v>0</x:v>
      </x:c>
      <x:c r="X1199" s="8" t="n">
        <x:f>V1199/S1199</x:f>
        <x:v>0.5374769605317016</x:v>
      </x:c>
      <x:c r="Y1199" s="8" t="n">
        <x:f>0</x:f>
        <x:v>0</x:v>
      </x:c>
      <x:c r="Z1199" s="8" t="n">
        <x:f>K1199/H1199-X1199*I1199/H1199-Y1199*J1199/H1199</x:f>
        <x:v>-1.3538256693365904</x:v>
      </x:c>
      <x:c r="AA1199" s="8" t="n">
        <x:f>Z1199+X1199*Q1199+Y1199*R1199</x:f>
        <x:v>0.11236424959119007</x:v>
      </x:c>
    </x:row>
    <x:row r="1200" ht="26" customHeight="1">
      <x:c r="A1200" s="2"/>
      <x:c r="B1200" s="2" t="n">
        <x:v>1195</x:v>
      </x:c>
      <x:c r="C1200" s="2" t="str">
        <x:v>Fabric &amp; Home Care / organic_volume_growth</x:v>
      </x:c>
      <x:c r="D1200" s="2" t="str">
        <x:v>Broad rolling 8</x:v>
      </x:c>
      <x:c r="E1200" s="7" t="n">
        <x:v>46112</x:v>
      </x:c>
      <x:c r="F1200" s="2" t="str">
        <x:v>Prior report</x:v>
      </x:c>
      <x:c r="G1200" s="7" t="n">
        <x:v>46045</x:v>
      </x:c>
      <x:c r="H1200" s="2" t="n">
        <x:v>8</x:v>
      </x:c>
      <x:c r="I1200" s="8" t="n">
        <x:v>21.296017808086944</x:v>
      </x:c>
      <x:c r="J1200" s="8" t="n">
        <x:v>0</x:v>
      </x:c>
      <x:c r="K1200" s="8" t="n">
        <x:v>6</x:v>
      </x:c>
      <x:c r="L1200" s="8" t="n">
        <x:v>60.32618233891433</x:v>
      </x:c>
      <x:c r="M1200" s="8" t="n">
        <x:v>0</x:v>
      </x:c>
      <x:c r="N1200" s="8" t="n">
        <x:v>0</x:v>
      </x:c>
      <x:c r="O1200" s="8" t="n">
        <x:v>12.671151216933673</x:v>
      </x:c>
      <x:c r="P1200" s="8" t="n">
        <x:v>0</x:v>
      </x:c>
      <x:c r="Q1200" s="8" t="n">
        <x:v>2.7279121275772367</x:v>
      </x:c>
      <x:c r="R1200" s="8" t="n">
        <x:v>0</x:v>
      </x:c>
      <x:c r="S1200" s="8" t="n">
        <x:f>L1200-I1200^2/H1200</x:f>
        <x:v>3.6361355286197963</x:v>
      </x:c>
      <x:c r="T1200" s="8" t="n">
        <x:f>M1200-J1200^2/H1200</x:f>
        <x:v>0</x:v>
      </x:c>
      <x:c r="U1200" s="8" t="n">
        <x:f>N1200-I1200*J1200/H1200</x:f>
        <x:v>0</x:v>
      </x:c>
      <x:c r="V1200" s="8" t="n">
        <x:f>O1200-I1200*K1200/H1200</x:f>
        <x:v>-3.300862139131535</x:v>
      </x:c>
      <x:c r="W1200" s="8" t="n">
        <x:f>P1200-J1200*K1200/H1200</x:f>
        <x:v>0</x:v>
      </x:c>
      <x:c r="X1200" s="8" t="n">
        <x:f>V1200/S1200</x:f>
        <x:v>-0.9077940338446284</x:v>
      </x:c>
      <x:c r="Y1200" s="8" t="n">
        <x:f>0</x:f>
        <x:v>0</x:v>
      </x:c>
      <x:c r="Z1200" s="8" t="n">
        <x:f>K1200/H1200-X1200*I1200/H1200-Y1200*J1200/H1200</x:f>
        <x:v>3.166549738853786</x:v>
      </x:c>
      <x:c r="AA1200" s="8" t="n">
        <x:f>Z1200+X1200*Q1200+Y1200*R1200</x:f>
        <x:v>0.6901673845867635</x:v>
      </x:c>
    </x:row>
    <x:row r="1201" ht="26" customHeight="1">
      <x:c r="A1201" s="2"/>
      <x:c r="B1201" s="2" t="n">
        <x:v>1196</x:v>
      </x:c>
      <x:c r="C1201" s="2" t="str">
        <x:v>Fabric &amp; Home Care / organic_volume_growth</x:v>
      </x:c>
      <x:c r="D1201" s="2" t="str">
        <x:v>Own history</x:v>
      </x:c>
      <x:c r="E1201" s="7" t="n">
        <x:v>46112</x:v>
      </x:c>
      <x:c r="F1201" s="2" t="str">
        <x:v>Prior report</x:v>
      </x:c>
      <x:c r="G1201" s="7" t="n">
        <x:v>46045</x:v>
      </x:c>
      <x:c r="H1201" s="2" t="n">
        <x:v>19</x:v>
      </x:c>
      <x:c r="I1201" s="8" t="n">
        <x:v>5</x:v>
      </x:c>
      <x:c r="J1201" s="8" t="n">
        <x:v>0</x:v>
      </x:c>
      <x:c r="K1201" s="8" t="n">
        <x:v>2</x:v>
      </x:c>
      <x:c r="L1201" s="8" t="n">
        <x:v>203</x:v>
      </x:c>
      <x:c r="M1201" s="8" t="n">
        <x:v>0</x:v>
      </x:c>
      <x:c r="N1201" s="8" t="n">
        <x:v>0</x:v>
      </x:c>
      <x:c r="O1201" s="8" t="n">
        <x:v>135</x:v>
      </x:c>
      <x:c r="P1201" s="8" t="n">
        <x:v>0</x:v>
      </x:c>
      <x:c r="Q1201" s="8" t="n">
        <x:v>0</x:v>
      </x:c>
      <x:c r="R1201" s="8" t="n">
        <x:v>0</x:v>
      </x:c>
      <x:c r="S1201" s="8" t="n">
        <x:f>L1201-I1201^2/H1201</x:f>
        <x:v>201.68421052631578</x:v>
      </x:c>
      <x:c r="T1201" s="8" t="n">
        <x:f>M1201-J1201^2/H1201</x:f>
        <x:v>0</x:v>
      </x:c>
      <x:c r="U1201" s="8" t="n">
        <x:f>N1201-I1201*J1201/H1201</x:f>
        <x:v>0</x:v>
      </x:c>
      <x:c r="V1201" s="8" t="n">
        <x:f>O1201-I1201*K1201/H1201</x:f>
        <x:v>134.47368421052633</x:v>
      </x:c>
      <x:c r="W1201" s="8" t="n">
        <x:f>P1201-J1201*K1201/H1201</x:f>
        <x:v>0</x:v>
      </x:c>
      <x:c r="X1201" s="8" t="n">
        <x:f>V1201/S1201</x:f>
        <x:v>0.6667536534446765</x:v>
      </x:c>
      <x:c r="Y1201" s="8" t="n">
        <x:f>0</x:f>
        <x:v>0</x:v>
      </x:c>
      <x:c r="Z1201" s="8" t="n">
        <x:f>K1201/H1201-X1201*I1201/H1201-Y1201*J1201/H1201</x:f>
        <x:v>-0.07019832985386223</x:v>
      </x:c>
      <x:c r="AA1201" s="8" t="n">
        <x:f>Z1201+X1201*Q1201+Y1201*R1201</x:f>
        <x:v>-0.07019832985386223</x:v>
      </x:c>
    </x:row>
    <x:row r="1202" ht="26" customHeight="1">
      <x:c r="A1202" s="2"/>
      <x:c r="B1202" s="2" t="n">
        <x:v>1197</x:v>
      </x:c>
      <x:c r="C1202" s="2" t="str">
        <x:v>Fabric &amp; Home Care / organic_volume_growth</x:v>
      </x:c>
      <x:c r="D1202" s="2" t="str">
        <x:v>Broad market</x:v>
      </x:c>
      <x:c r="E1202" s="7" t="n">
        <x:v>46112</x:v>
      </x:c>
      <x:c r="F1202" s="2" t="str">
        <x:v>Pre-earnings</x:v>
      </x:c>
      <x:c r="G1202" s="7" t="n">
        <x:v>46135</x:v>
      </x:c>
      <x:c r="H1202" s="2" t="n">
        <x:v>20</x:v>
      </x:c>
      <x:c r="I1202" s="8" t="n">
        <x:v>59.308749815358276</x:v>
      </x:c>
      <x:c r="J1202" s="8" t="n">
        <x:v>0</x:v>
      </x:c>
      <x:c r="K1202" s="8" t="n">
        <x:v>5</x:v>
      </x:c>
      <x:c r="L1202" s="8" t="n">
        <x:v>422.73093755360367</x:v>
      </x:c>
      <x:c r="M1202" s="8" t="n">
        <x:v>0</x:v>
      </x:c>
      <x:c r="N1202" s="8" t="n">
        <x:v>0</x:v>
      </x:c>
      <x:c r="O1202" s="8" t="n">
        <x:v>147.3427625810711</x:v>
      </x:c>
      <x:c r="P1202" s="8" t="n">
        <x:v>0</x:v>
      </x:c>
      <x:c r="Q1202" s="8" t="n">
        <x:v>1.2714440995043708</x:v>
      </x:c>
      <x:c r="R1202" s="8" t="n">
        <x:v>0</x:v>
      </x:c>
      <x:c r="S1202" s="8" t="n">
        <x:f>L1202-I1202^2/H1202</x:f>
        <x:v>246.85454732056564</x:v>
      </x:c>
      <x:c r="T1202" s="8" t="n">
        <x:f>M1202-J1202^2/H1202</x:f>
        <x:v>0</x:v>
      </x:c>
      <x:c r="U1202" s="8" t="n">
        <x:f>N1202-I1202*J1202/H1202</x:f>
        <x:v>0</x:v>
      </x:c>
      <x:c r="V1202" s="8" t="n">
        <x:f>O1202-I1202*K1202/H1202</x:f>
        <x:v>132.51557512723153</x:v>
      </x:c>
      <x:c r="W1202" s="8" t="n">
        <x:f>P1202-J1202*K1202/H1202</x:f>
        <x:v>0</x:v>
      </x:c>
      <x:c r="X1202" s="8" t="n">
        <x:f>V1202/S1202</x:f>
        <x:v>0.5368164231349833</x:v>
      </x:c>
      <x:c r="Y1202" s="8" t="n">
        <x:f>0</x:f>
        <x:v>0</x:v>
      </x:c>
      <x:c r="Z1202" s="8" t="n">
        <x:f>K1202/H1202-X1202*I1202/H1202-Y1202*J1202/H1202</x:f>
        <x:v>-1.3418955468244116</x:v>
      </x:c>
      <x:c r="AA1202" s="8" t="n">
        <x:f>Z1202+X1202*Q1202+Y1202*R1202</x:f>
        <x:v>-0.6593634731123954</x:v>
      </x:c>
    </x:row>
    <x:row r="1203" ht="26" customHeight="1">
      <x:c r="A1203" s="2"/>
      <x:c r="B1203" s="2" t="n">
        <x:v>1198</x:v>
      </x:c>
      <x:c r="C1203" s="2" t="str">
        <x:v>Fabric &amp; Home Care / organic_volume_growth</x:v>
      </x:c>
      <x:c r="D1203" s="2" t="str">
        <x:v>Broad lag 1</x:v>
      </x:c>
      <x:c r="E1203" s="7" t="n">
        <x:v>46112</x:v>
      </x:c>
      <x:c r="F1203" s="2" t="str">
        <x:v>Pre-earnings</x:v>
      </x:c>
      <x:c r="G1203" s="7" t="n">
        <x:v>46135</x:v>
      </x:c>
      <x:c r="H1203" s="2" t="n">
        <x:v>19</x:v>
      </x:c>
      <x:c r="I1203" s="8" t="n">
        <x:v>57.16093893029881</x:v>
      </x:c>
      <x:c r="J1203" s="8" t="n">
        <x:v>0</x:v>
      </x:c>
      <x:c r="K1203" s="8" t="n">
        <x:v>2</x:v>
      </x:c>
      <x:c r="L1203" s="8" t="n">
        <x:v>418.11784595562375</x:v>
      </x:c>
      <x:c r="M1203" s="8" t="n">
        <x:v>0</x:v>
      </x:c>
      <x:c r="N1203" s="8" t="n">
        <x:v>0</x:v>
      </x:c>
      <x:c r="O1203" s="8" t="n">
        <x:v>140.7240529390236</x:v>
      </x:c>
      <x:c r="P1203" s="8" t="n">
        <x:v>0</x:v>
      </x:c>
      <x:c r="Q1203" s="8" t="n">
        <x:v>2.1478108850594646</x:v>
      </x:c>
      <x:c r="R1203" s="8" t="n">
        <x:v>0</x:v>
      </x:c>
      <x:c r="S1203" s="8" t="n">
        <x:f>L1203-I1203^2/H1203</x:f>
        <x:v>246.1508491454474</x:v>
      </x:c>
      <x:c r="T1203" s="8" t="n">
        <x:f>M1203-J1203^2/H1203</x:f>
        <x:v>0</x:v>
      </x:c>
      <x:c r="U1203" s="8" t="n">
        <x:f>N1203-I1203*J1203/H1203</x:f>
        <x:v>0</x:v>
      </x:c>
      <x:c r="V1203" s="8" t="n">
        <x:f>O1203-I1203*K1203/H1203</x:f>
        <x:v>134.70711199899216</x:v>
      </x:c>
      <x:c r="W1203" s="8" t="n">
        <x:f>P1203-J1203*K1203/H1203</x:f>
        <x:v>0</x:v>
      </x:c>
      <x:c r="X1203" s="8" t="n">
        <x:f>V1203/S1203</x:f>
        <x:v>0.5472543055067645</x:v>
      </x:c>
      <x:c r="Y1203" s="8" t="n">
        <x:f>0</x:f>
        <x:v>0</x:v>
      </x:c>
      <x:c r="Z1203" s="8" t="n">
        <x:f>K1203/H1203-X1203*I1203/H1203-Y1203*J1203/H1203</x:f>
        <x:v>-1.541135259811329</x:v>
      </x:c>
      <x:c r="AA1203" s="8" t="n">
        <x:f>Z1203+X1203*Q1203+Y1203*R1203</x:f>
        <x:v>-0.36573650554824266</x:v>
      </x:c>
    </x:row>
    <x:row r="1204" ht="26" customHeight="1">
      <x:c r="A1204" s="2"/>
      <x:c r="B1204" s="2" t="n">
        <x:v>1199</x:v>
      </x:c>
      <x:c r="C1204" s="2" t="str">
        <x:v>Fabric &amp; Home Care / organic_volume_growth</x:v>
      </x:c>
      <x:c r="D1204" s="2" t="str">
        <x:v>Broad rolling 8</x:v>
      </x:c>
      <x:c r="E1204" s="7" t="n">
        <x:v>46112</x:v>
      </x:c>
      <x:c r="F1204" s="2" t="str">
        <x:v>Pre-earnings</x:v>
      </x:c>
      <x:c r="G1204" s="7" t="n">
        <x:v>46135</x:v>
      </x:c>
      <x:c r="H1204" s="2" t="n">
        <x:v>8</x:v>
      </x:c>
      <x:c r="I1204" s="8" t="n">
        <x:v>21.218309405312574</x:v>
      </x:c>
      <x:c r="J1204" s="8" t="n">
        <x:v>0</x:v>
      </x:c>
      <x:c r="K1204" s="8" t="n">
        <x:v>5</x:v>
      </x:c>
      <x:c r="L1204" s="8" t="n">
        <x:v>59.98633783637384</x:v>
      </x:c>
      <x:c r="M1204" s="8" t="n">
        <x:v>0</x:v>
      </x:c>
      <x:c r="N1204" s="8" t="n">
        <x:v>0</x:v>
      </x:c>
      <x:c r="O1204" s="8" t="n">
        <x:v>10.445631929099841</x:v>
      </x:c>
      <x:c r="P1204" s="8" t="n">
        <x:v>0</x:v>
      </x:c>
      <x:c r="Q1204" s="8" t="n">
        <x:v>1.2714440995043708</x:v>
      </x:c>
      <x:c r="R1204" s="8" t="n">
        <x:v>0</x:v>
      </x:c>
      <x:c r="S1204" s="8" t="n">
        <x:f>L1204-I1204^2/H1204</x:f>
        <x:v>3.7092560839268387</x:v>
      </x:c>
      <x:c r="T1204" s="8" t="n">
        <x:f>M1204-J1204^2/H1204</x:f>
        <x:v>0</x:v>
      </x:c>
      <x:c r="U1204" s="8" t="n">
        <x:f>N1204-I1204*J1204/H1204</x:f>
        <x:v>0</x:v>
      </x:c>
      <x:c r="V1204" s="8" t="n">
        <x:f>O1204-I1204*K1204/H1204</x:f>
        <x:v>-2.815811449220517</x:v>
      </x:c>
      <x:c r="W1204" s="8" t="n">
        <x:f>P1204-J1204*K1204/H1204</x:f>
        <x:v>0</x:v>
      </x:c>
      <x:c r="X1204" s="8" t="n">
        <x:f>V1204/S1204</x:f>
        <x:v>-0.7591310455544314</x:v>
      </x:c>
      <x:c r="Y1204" s="8" t="n">
        <x:f>0</x:f>
        <x:v>0</x:v>
      </x:c>
      <x:c r="Z1204" s="8" t="n">
        <x:f>K1204/H1204-X1204*I1204/H1204-Y1204*J1204/H1204</x:f>
        <x:v>2.6384346754690453</x:v>
      </x:c>
      <x:c r="AA1204" s="8" t="n">
        <x:f>Z1204+X1204*Q1204+Y1204*R1204</x:f>
        <x:v>1.6732419868482797</x:v>
      </x:c>
    </x:row>
    <x:row r="1205" ht="26" customHeight="1">
      <x:c r="A1205" s="2"/>
      <x:c r="B1205" s="2" t="n">
        <x:v>1200</x:v>
      </x:c>
      <x:c r="C1205" s="2" t="str">
        <x:v>Fabric &amp; Home Care / organic_volume_growth</x:v>
      </x:c>
      <x:c r="D1205" s="2" t="str">
        <x:v>Own history</x:v>
      </x:c>
      <x:c r="E1205" s="7" t="n">
        <x:v>46112</x:v>
      </x:c>
      <x:c r="F1205" s="2" t="str">
        <x:v>Pre-earnings</x:v>
      </x:c>
      <x:c r="G1205" s="7" t="n">
        <x:v>46135</x:v>
      </x:c>
      <x:c r="H1205" s="2" t="n">
        <x:v>19</x:v>
      </x:c>
      <x:c r="I1205" s="8" t="n">
        <x:v>5</x:v>
      </x:c>
      <x:c r="J1205" s="8" t="n">
        <x:v>0</x:v>
      </x:c>
      <x:c r="K1205" s="8" t="n">
        <x:v>2</x:v>
      </x:c>
      <x:c r="L1205" s="8" t="n">
        <x:v>203</x:v>
      </x:c>
      <x:c r="M1205" s="8" t="n">
        <x:v>0</x:v>
      </x:c>
      <x:c r="N1205" s="8" t="n">
        <x:v>0</x:v>
      </x:c>
      <x:c r="O1205" s="8" t="n">
        <x:v>135</x:v>
      </x:c>
      <x:c r="P1205" s="8" t="n">
        <x:v>0</x:v>
      </x:c>
      <x:c r="Q1205" s="8" t="n">
        <x:v>0</x:v>
      </x:c>
      <x:c r="R1205" s="8" t="n">
        <x:v>0</x:v>
      </x:c>
      <x:c r="S1205" s="8" t="n">
        <x:f>L1205-I1205^2/H1205</x:f>
        <x:v>201.68421052631578</x:v>
      </x:c>
      <x:c r="T1205" s="8" t="n">
        <x:f>M1205-J1205^2/H1205</x:f>
        <x:v>0</x:v>
      </x:c>
      <x:c r="U1205" s="8" t="n">
        <x:f>N1205-I1205*J1205/H1205</x:f>
        <x:v>0</x:v>
      </x:c>
      <x:c r="V1205" s="8" t="n">
        <x:f>O1205-I1205*K1205/H1205</x:f>
        <x:v>134.47368421052633</x:v>
      </x:c>
      <x:c r="W1205" s="8" t="n">
        <x:f>P1205-J1205*K1205/H1205</x:f>
        <x:v>0</x:v>
      </x:c>
      <x:c r="X1205" s="8" t="n">
        <x:f>V1205/S1205</x:f>
        <x:v>0.6667536534446765</x:v>
      </x:c>
      <x:c r="Y1205" s="8" t="n">
        <x:f>0</x:f>
        <x:v>0</x:v>
      </x:c>
      <x:c r="Z1205" s="8" t="n">
        <x:f>K1205/H1205-X1205*I1205/H1205-Y1205*J1205/H1205</x:f>
        <x:v>-0.07019832985386223</x:v>
      </x:c>
      <x:c r="AA1205" s="8" t="n">
        <x:f>Z1205+X1205*Q1205+Y1205*R1205</x:f>
        <x:v>-0.07019832985386223</x:v>
      </x:c>
    </x:row>
    <x:row r="1206" ht="26" customHeight="1">
      <x:c r="A1206" s="2"/>
      <x:c r="B1206" s="2" t="n">
        <x:v>1201</x:v>
      </x:c>
      <x:c r="C1206" s="2" t="str">
        <x:v>Baby, Feminine &amp; Family Care / organic_volume_growth</x:v>
      </x:c>
      <x:c r="D1206" s="2" t="str">
        <x:v>Broad market</x:v>
      </x:c>
      <x:c r="E1206" s="7" t="n">
        <x:v>45107</x:v>
      </x:c>
      <x:c r="F1206" s="2" t="str">
        <x:v>Origin</x:v>
      </x:c>
      <x:c r="G1206" s="7" t="n">
        <x:v>45017</x:v>
      </x:c>
      <x:c r="H1206" s="2" t="n">
        <x:v>8</x:v>
      </x:c>
      <x:c r="I1206" s="8" t="n">
        <x:v>33.595293052267536</x:v>
      </x:c>
      <x:c r="J1206" s="8" t="n">
        <x:v>0</x:v>
      </x:c>
      <x:c r="K1206" s="8" t="n">
        <x:v>-12</x:v>
      </x:c>
      <x:c r="L1206" s="8" t="n">
        <x:v>371.0200922353941</x:v>
      </x:c>
      <x:c r="M1206" s="8" t="n">
        <x:v>0</x:v>
      </x:c>
      <x:c r="N1206" s="8" t="n">
        <x:v>0</x:v>
      </x:c>
      <x:c r="O1206" s="8" t="n">
        <x:v>-37.05599008800964</x:v>
      </x:c>
      <x:c r="P1206" s="8" t="n">
        <x:v>0</x:v>
      </x:c>
      <x:c r="Q1206" s="8" t="n">
        <x:v>-0.2875938616046847</x:v>
      </x:c>
      <x:c r="R1206" s="8" t="n">
        <x:v>0</x:v>
      </x:c>
      <x:c r="S1206" s="8" t="n">
        <x:f>L1206-I1206^2/H1206</x:f>
        <x:v>229.93962782692716</x:v>
      </x:c>
      <x:c r="T1206" s="8" t="n">
        <x:f>M1206-J1206^2/H1206</x:f>
        <x:v>0</x:v>
      </x:c>
      <x:c r="U1206" s="8" t="n">
        <x:f>N1206-I1206*J1206/H1206</x:f>
        <x:v>0</x:v>
      </x:c>
      <x:c r="V1206" s="8" t="n">
        <x:f>O1206-I1206*K1206/H1206</x:f>
        <x:v>13.336949490391667</x:v>
      </x:c>
      <x:c r="W1206" s="8" t="n">
        <x:f>P1206-J1206*K1206/H1206</x:f>
        <x:v>0</x:v>
      </x:c>
      <x:c r="X1206" s="8" t="n">
        <x:f>V1206/S1206</x:f>
        <x:v>0.05800196171679564</x:v>
      </x:c>
      <x:c r="Y1206" s="8" t="n">
        <x:f>0</x:f>
        <x:v>0</x:v>
      </x:c>
      <x:c r="Z1206" s="8" t="n">
        <x:f>K1206/H1206-X1206*I1206/H1206-Y1206*J1206/H1206</x:f>
        <x:v>-1.743574112685269</x:v>
      </x:c>
      <x:c r="AA1206" s="8" t="n">
        <x:f>Z1206+X1206*Q1206+Y1206*R1206</x:f>
        <x:v>-1.7602551208360495</x:v>
      </x:c>
    </x:row>
    <x:row r="1207" ht="26" customHeight="1">
      <x:c r="A1207" s="2"/>
      <x:c r="B1207" s="2" t="n">
        <x:v>1202</x:v>
      </x:c>
      <x:c r="C1207" s="2" t="str">
        <x:v>Baby, Feminine &amp; Family Care / organic_volume_growth</x:v>
      </x:c>
      <x:c r="D1207" s="2" t="str">
        <x:v>Broad rolling 8</x:v>
      </x:c>
      <x:c r="E1207" s="7" t="n">
        <x:v>45107</x:v>
      </x:c>
      <x:c r="F1207" s="2" t="str">
        <x:v>Origin</x:v>
      </x:c>
      <x:c r="G1207" s="7" t="n">
        <x:v>45017</x:v>
      </x:c>
      <x:c r="H1207" s="2" t="n">
        <x:v>8</x:v>
      </x:c>
      <x:c r="I1207" s="8" t="n">
        <x:v>33.595293052267536</x:v>
      </x:c>
      <x:c r="J1207" s="8" t="n">
        <x:v>0</x:v>
      </x:c>
      <x:c r="K1207" s="8" t="n">
        <x:v>-12</x:v>
      </x:c>
      <x:c r="L1207" s="8" t="n">
        <x:v>371.0200922353941</x:v>
      </x:c>
      <x:c r="M1207" s="8" t="n">
        <x:v>0</x:v>
      </x:c>
      <x:c r="N1207" s="8" t="n">
        <x:v>0</x:v>
      </x:c>
      <x:c r="O1207" s="8" t="n">
        <x:v>-37.05599008800964</x:v>
      </x:c>
      <x:c r="P1207" s="8" t="n">
        <x:v>0</x:v>
      </x:c>
      <x:c r="Q1207" s="8" t="n">
        <x:v>-0.2875938616046847</x:v>
      </x:c>
      <x:c r="R1207" s="8" t="n">
        <x:v>0</x:v>
      </x:c>
      <x:c r="S1207" s="8" t="n">
        <x:f>L1207-I1207^2/H1207</x:f>
        <x:v>229.93962782692716</x:v>
      </x:c>
      <x:c r="T1207" s="8" t="n">
        <x:f>M1207-J1207^2/H1207</x:f>
        <x:v>0</x:v>
      </x:c>
      <x:c r="U1207" s="8" t="n">
        <x:f>N1207-I1207*J1207/H1207</x:f>
        <x:v>0</x:v>
      </x:c>
      <x:c r="V1207" s="8" t="n">
        <x:f>O1207-I1207*K1207/H1207</x:f>
        <x:v>13.336949490391667</x:v>
      </x:c>
      <x:c r="W1207" s="8" t="n">
        <x:f>P1207-J1207*K1207/H1207</x:f>
        <x:v>0</x:v>
      </x:c>
      <x:c r="X1207" s="8" t="n">
        <x:f>V1207/S1207</x:f>
        <x:v>0.05800196171679564</x:v>
      </x:c>
      <x:c r="Y1207" s="8" t="n">
        <x:f>0</x:f>
        <x:v>0</x:v>
      </x:c>
      <x:c r="Z1207" s="8" t="n">
        <x:f>K1207/H1207-X1207*I1207/H1207-Y1207*J1207/H1207</x:f>
        <x:v>-1.743574112685269</x:v>
      </x:c>
      <x:c r="AA1207" s="8" t="n">
        <x:f>Z1207+X1207*Q1207+Y1207*R1207</x:f>
        <x:v>-1.7602551208360495</x:v>
      </x:c>
    </x:row>
    <x:row r="1208" ht="26" customHeight="1">
      <x:c r="A1208" s="2"/>
      <x:c r="B1208" s="2" t="n">
        <x:v>1203</x:v>
      </x:c>
      <x:c r="C1208" s="2" t="str">
        <x:v>Baby, Feminine &amp; Family Care / organic_volume_growth</x:v>
      </x:c>
      <x:c r="D1208" s="2" t="str">
        <x:v>Broad market</x:v>
      </x:c>
      <x:c r="E1208" s="7" t="n">
        <x:v>45107</x:v>
      </x:c>
      <x:c r="F1208" s="2" t="str">
        <x:v>Prior report</x:v>
      </x:c>
      <x:c r="G1208" s="7" t="n">
        <x:v>45037</x:v>
      </x:c>
      <x:c r="H1208" s="2" t="n">
        <x:v>8</x:v>
      </x:c>
      <x:c r="I1208" s="8" t="n">
        <x:v>33.595293052267536</x:v>
      </x:c>
      <x:c r="J1208" s="8" t="n">
        <x:v>0</x:v>
      </x:c>
      <x:c r="K1208" s="8" t="n">
        <x:v>-12</x:v>
      </x:c>
      <x:c r="L1208" s="8" t="n">
        <x:v>371.0200922353941</x:v>
      </x:c>
      <x:c r="M1208" s="8" t="n">
        <x:v>0</x:v>
      </x:c>
      <x:c r="N1208" s="8" t="n">
        <x:v>0</x:v>
      </x:c>
      <x:c r="O1208" s="8" t="n">
        <x:v>-37.05599008800964</x:v>
      </x:c>
      <x:c r="P1208" s="8" t="n">
        <x:v>0</x:v>
      </x:c>
      <x:c r="Q1208" s="8" t="n">
        <x:v>-0.2875938616046847</x:v>
      </x:c>
      <x:c r="R1208" s="8" t="n">
        <x:v>0</x:v>
      </x:c>
      <x:c r="S1208" s="8" t="n">
        <x:f>L1208-I1208^2/H1208</x:f>
        <x:v>229.93962782692716</x:v>
      </x:c>
      <x:c r="T1208" s="8" t="n">
        <x:f>M1208-J1208^2/H1208</x:f>
        <x:v>0</x:v>
      </x:c>
      <x:c r="U1208" s="8" t="n">
        <x:f>N1208-I1208*J1208/H1208</x:f>
        <x:v>0</x:v>
      </x:c>
      <x:c r="V1208" s="8" t="n">
        <x:f>O1208-I1208*K1208/H1208</x:f>
        <x:v>13.336949490391667</x:v>
      </x:c>
      <x:c r="W1208" s="8" t="n">
        <x:f>P1208-J1208*K1208/H1208</x:f>
        <x:v>0</x:v>
      </x:c>
      <x:c r="X1208" s="8" t="n">
        <x:f>V1208/S1208</x:f>
        <x:v>0.05800196171679564</x:v>
      </x:c>
      <x:c r="Y1208" s="8" t="n">
        <x:f>0</x:f>
        <x:v>0</x:v>
      </x:c>
      <x:c r="Z1208" s="8" t="n">
        <x:f>K1208/H1208-X1208*I1208/H1208-Y1208*J1208/H1208</x:f>
        <x:v>-1.743574112685269</x:v>
      </x:c>
      <x:c r="AA1208" s="8" t="n">
        <x:f>Z1208+X1208*Q1208+Y1208*R1208</x:f>
        <x:v>-1.7602551208360495</x:v>
      </x:c>
    </x:row>
    <x:row r="1209" ht="26" customHeight="1">
      <x:c r="A1209" s="2"/>
      <x:c r="B1209" s="2" t="n">
        <x:v>1204</x:v>
      </x:c>
      <x:c r="C1209" s="2" t="str">
        <x:v>Baby, Feminine &amp; Family Care / organic_volume_growth</x:v>
      </x:c>
      <x:c r="D1209" s="2" t="str">
        <x:v>Broad rolling 8</x:v>
      </x:c>
      <x:c r="E1209" s="7" t="n">
        <x:v>45107</x:v>
      </x:c>
      <x:c r="F1209" s="2" t="str">
        <x:v>Prior report</x:v>
      </x:c>
      <x:c r="G1209" s="7" t="n">
        <x:v>45037</x:v>
      </x:c>
      <x:c r="H1209" s="2" t="n">
        <x:v>8</x:v>
      </x:c>
      <x:c r="I1209" s="8" t="n">
        <x:v>33.595293052267536</x:v>
      </x:c>
      <x:c r="J1209" s="8" t="n">
        <x:v>0</x:v>
      </x:c>
      <x:c r="K1209" s="8" t="n">
        <x:v>-12</x:v>
      </x:c>
      <x:c r="L1209" s="8" t="n">
        <x:v>371.0200922353941</x:v>
      </x:c>
      <x:c r="M1209" s="8" t="n">
        <x:v>0</x:v>
      </x:c>
      <x:c r="N1209" s="8" t="n">
        <x:v>0</x:v>
      </x:c>
      <x:c r="O1209" s="8" t="n">
        <x:v>-37.05599008800964</x:v>
      </x:c>
      <x:c r="P1209" s="8" t="n">
        <x:v>0</x:v>
      </x:c>
      <x:c r="Q1209" s="8" t="n">
        <x:v>-0.2875938616046847</x:v>
      </x:c>
      <x:c r="R1209" s="8" t="n">
        <x:v>0</x:v>
      </x:c>
      <x:c r="S1209" s="8" t="n">
        <x:f>L1209-I1209^2/H1209</x:f>
        <x:v>229.93962782692716</x:v>
      </x:c>
      <x:c r="T1209" s="8" t="n">
        <x:f>M1209-J1209^2/H1209</x:f>
        <x:v>0</x:v>
      </x:c>
      <x:c r="U1209" s="8" t="n">
        <x:f>N1209-I1209*J1209/H1209</x:f>
        <x:v>0</x:v>
      </x:c>
      <x:c r="V1209" s="8" t="n">
        <x:f>O1209-I1209*K1209/H1209</x:f>
        <x:v>13.336949490391667</x:v>
      </x:c>
      <x:c r="W1209" s="8" t="n">
        <x:f>P1209-J1209*K1209/H1209</x:f>
        <x:v>0</x:v>
      </x:c>
      <x:c r="X1209" s="8" t="n">
        <x:f>V1209/S1209</x:f>
        <x:v>0.05800196171679564</x:v>
      </x:c>
      <x:c r="Y1209" s="8" t="n">
        <x:f>0</x:f>
        <x:v>0</x:v>
      </x:c>
      <x:c r="Z1209" s="8" t="n">
        <x:f>K1209/H1209-X1209*I1209/H1209-Y1209*J1209/H1209</x:f>
        <x:v>-1.743574112685269</x:v>
      </x:c>
      <x:c r="AA1209" s="8" t="n">
        <x:f>Z1209+X1209*Q1209+Y1209*R1209</x:f>
        <x:v>-1.7602551208360495</x:v>
      </x:c>
    </x:row>
    <x:row r="1210" ht="26" customHeight="1">
      <x:c r="A1210" s="2"/>
      <x:c r="B1210" s="2" t="n">
        <x:v>1205</x:v>
      </x:c>
      <x:c r="C1210" s="2" t="str">
        <x:v>Baby, Feminine &amp; Family Care / organic_volume_growth</x:v>
      </x:c>
      <x:c r="D1210" s="2" t="str">
        <x:v>Own history</x:v>
      </x:c>
      <x:c r="E1210" s="7" t="n">
        <x:v>45107</x:v>
      </x:c>
      <x:c r="F1210" s="2" t="str">
        <x:v>Prior report</x:v>
      </x:c>
      <x:c r="G1210" s="7" t="n">
        <x:v>45037</x:v>
      </x:c>
      <x:c r="H1210" s="2" t="n">
        <x:v>8</x:v>
      </x:c>
      <x:c r="I1210" s="8" t="n">
        <x:v>-12</x:v>
      </x:c>
      <x:c r="J1210" s="8" t="n">
        <x:v>0</x:v>
      </x:c>
      <x:c r="K1210" s="8" t="n">
        <x:v>-12</x:v>
      </x:c>
      <x:c r="L1210" s="8" t="n">
        <x:v>76</x:v>
      </x:c>
      <x:c r="M1210" s="8" t="n">
        <x:v>0</x:v>
      </x:c>
      <x:c r="N1210" s="8" t="n">
        <x:v>0</x:v>
      </x:c>
      <x:c r="O1210" s="8" t="n">
        <x:v>54</x:v>
      </x:c>
      <x:c r="P1210" s="8" t="n">
        <x:v>0</x:v>
      </x:c>
      <x:c r="Q1210" s="8" t="n">
        <x:v>-4</x:v>
      </x:c>
      <x:c r="R1210" s="8" t="n">
        <x:v>0</x:v>
      </x:c>
      <x:c r="S1210" s="8" t="n">
        <x:f>L1210-I1210^2/H1210</x:f>
        <x:v>58</x:v>
      </x:c>
      <x:c r="T1210" s="8" t="n">
        <x:f>M1210-J1210^2/H1210</x:f>
        <x:v>0</x:v>
      </x:c>
      <x:c r="U1210" s="8" t="n">
        <x:f>N1210-I1210*J1210/H1210</x:f>
        <x:v>0</x:v>
      </x:c>
      <x:c r="V1210" s="8" t="n">
        <x:f>O1210-I1210*K1210/H1210</x:f>
        <x:v>36</x:v>
      </x:c>
      <x:c r="W1210" s="8" t="n">
        <x:f>P1210-J1210*K1210/H1210</x:f>
        <x:v>0</x:v>
      </x:c>
      <x:c r="X1210" s="8" t="n">
        <x:f>V1210/S1210</x:f>
        <x:v>0.6206896551724138</x:v>
      </x:c>
      <x:c r="Y1210" s="8" t="n">
        <x:f>0</x:f>
        <x:v>0</x:v>
      </x:c>
      <x:c r="Z1210" s="8" t="n">
        <x:f>K1210/H1210-X1210*I1210/H1210-Y1210*J1210/H1210</x:f>
        <x:v>-0.5689655172413792</x:v>
      </x:c>
      <x:c r="AA1210" s="8" t="n">
        <x:f>Z1210+X1210*Q1210+Y1210*R1210</x:f>
        <x:v>-3.0517241379310347</x:v>
      </x:c>
    </x:row>
    <x:row r="1211" ht="26" customHeight="1">
      <x:c r="A1211" s="2"/>
      <x:c r="B1211" s="2" t="n">
        <x:v>1206</x:v>
      </x:c>
      <x:c r="C1211" s="2" t="str">
        <x:v>Baby, Feminine &amp; Family Care / organic_volume_growth</x:v>
      </x:c>
      <x:c r="D1211" s="2" t="str">
        <x:v>Broad market</x:v>
      </x:c>
      <x:c r="E1211" s="7" t="n">
        <x:v>45107</x:v>
      </x:c>
      <x:c r="F1211" s="2" t="str">
        <x:v>Pre-earnings</x:v>
      </x:c>
      <x:c r="G1211" s="7" t="n">
        <x:v>45134</x:v>
      </x:c>
      <x:c r="H1211" s="2" t="n">
        <x:v>9</x:v>
      </x:c>
      <x:c r="I1211" s="8" t="n">
        <x:v>33.22338231084547</x:v>
      </x:c>
      <x:c r="J1211" s="8" t="n">
        <x:v>0</x:v>
      </x:c>
      <x:c r="K1211" s="8" t="n">
        <x:v>-16</x:v>
      </x:c>
      <x:c r="L1211" s="8" t="n">
        <x:v>371.1584098349792</x:v>
      </x:c>
      <x:c r="M1211" s="8" t="n">
        <x:v>0</x:v>
      </x:c>
      <x:c r="N1211" s="8" t="n">
        <x:v>0</x:v>
      </x:c>
      <x:c r="O1211" s="8" t="n">
        <x:v>-35.56834712232137</x:v>
      </x:c>
      <x:c r="P1211" s="8" t="n">
        <x:v>0</x:v>
      </x:c>
      <x:c r="Q1211" s="8" t="n">
        <x:v>0.3338622398349367</x:v>
      </x:c>
      <x:c r="R1211" s="8" t="n">
        <x:v>0</x:v>
      </x:c>
      <x:c r="S1211" s="8" t="n">
        <x:f>L1211-I1211^2/H1211</x:f>
        <x:v>248.5147284824681</x:v>
      </x:c>
      <x:c r="T1211" s="8" t="n">
        <x:f>M1211-J1211^2/H1211</x:f>
        <x:v>0</x:v>
      </x:c>
      <x:c r="U1211" s="8" t="n">
        <x:f>N1211-I1211*J1211/H1211</x:f>
        <x:v>0</x:v>
      </x:c>
      <x:c r="V1211" s="8" t="n">
        <x:f>O1211-I1211*K1211/H1211</x:f>
        <x:v>23.49544365251503</x:v>
      </x:c>
      <x:c r="W1211" s="8" t="n">
        <x:f>P1211-J1211*K1211/H1211</x:f>
        <x:v>0</x:v>
      </x:c>
      <x:c r="X1211" s="8" t="n">
        <x:f>V1211/S1211</x:f>
        <x:v>0.0945434654758201</x:v>
      </x:c>
      <x:c r="Y1211" s="8" t="n">
        <x:f>0</x:f>
        <x:v>0</x:v>
      </x:c>
      <x:c r="Z1211" s="8" t="n">
        <x:f>K1211/H1211-X1211*I1211/H1211-Y1211*J1211/H1211</x:f>
        <x:v>-2.1267837442772657</x:v>
      </x:c>
      <x:c r="AA1211" s="8" t="n">
        <x:f>Z1211+X1211*Q1211+Y1211*R1211</x:f>
        <x:v>-2.0952192511317516</x:v>
      </x:c>
    </x:row>
    <x:row r="1212" ht="26" customHeight="1">
      <x:c r="A1212" s="2"/>
      <x:c r="B1212" s="2" t="n">
        <x:v>1207</x:v>
      </x:c>
      <x:c r="C1212" s="2" t="str">
        <x:v>Baby, Feminine &amp; Family Care / organic_volume_growth</x:v>
      </x:c>
      <x:c r="D1212" s="2" t="str">
        <x:v>Broad lag 1</x:v>
      </x:c>
      <x:c r="E1212" s="7" t="n">
        <x:v>45107</x:v>
      </x:c>
      <x:c r="F1212" s="2" t="str">
        <x:v>Pre-earnings</x:v>
      </x:c>
      <x:c r="G1212" s="7" t="n">
        <x:v>45134</x:v>
      </x:c>
      <x:c r="H1212" s="2" t="n">
        <x:v>8</x:v>
      </x:c>
      <x:c r="I1212" s="8" t="n">
        <x:v>33.595293052267536</x:v>
      </x:c>
      <x:c r="J1212" s="8" t="n">
        <x:v>0</x:v>
      </x:c>
      <x:c r="K1212" s="8" t="n">
        <x:v>-12</x:v>
      </x:c>
      <x:c r="L1212" s="8" t="n">
        <x:v>371.0200922353941</x:v>
      </x:c>
      <x:c r="M1212" s="8" t="n">
        <x:v>0</x:v>
      </x:c>
      <x:c r="N1212" s="8" t="n">
        <x:v>0</x:v>
      </x:c>
      <x:c r="O1212" s="8" t="n">
        <x:v>35.340362380783766</x:v>
      </x:c>
      <x:c r="P1212" s="8" t="n">
        <x:v>0</x:v>
      </x:c>
      <x:c r="Q1212" s="8" t="n">
        <x:v>-0.3719107414220657</x:v>
      </x:c>
      <x:c r="R1212" s="8" t="n">
        <x:v>0</x:v>
      </x:c>
      <x:c r="S1212" s="8" t="n">
        <x:f>L1212-I1212^2/H1212</x:f>
        <x:v>229.93962782692716</x:v>
      </x:c>
      <x:c r="T1212" s="8" t="n">
        <x:f>M1212-J1212^2/H1212</x:f>
        <x:v>0</x:v>
      </x:c>
      <x:c r="U1212" s="8" t="n">
        <x:f>N1212-I1212*J1212/H1212</x:f>
        <x:v>0</x:v>
      </x:c>
      <x:c r="V1212" s="8" t="n">
        <x:f>O1212-I1212*K1212/H1212</x:f>
        <x:v>85.73330195918507</x:v>
      </x:c>
      <x:c r="W1212" s="8" t="n">
        <x:f>P1212-J1212*K1212/H1212</x:f>
        <x:v>0</x:v>
      </x:c>
      <x:c r="X1212" s="8" t="n">
        <x:f>V1212/S1212</x:f>
        <x:v>0.3728513556772194</x:v>
      </x:c>
      <x:c r="Y1212" s="8" t="n">
        <x:f>0</x:f>
        <x:v>0</x:v>
      </x:c>
      <x:c r="Z1212" s="8" t="n">
        <x:f>K1212/H1212-X1212*I1212/H1212-Y1212*J1212/H1212</x:f>
        <x:v>-3.0657563198639277</x:v>
      </x:c>
      <x:c r="AA1212" s="8" t="n">
        <x:f>Z1212+X1212*Q1212+Y1212*R1212</x:f>
        <x:v>-3.204423743994065</x:v>
      </x:c>
    </x:row>
    <x:row r="1213" ht="26" customHeight="1">
      <x:c r="A1213" s="2"/>
      <x:c r="B1213" s="2" t="n">
        <x:v>1208</x:v>
      </x:c>
      <x:c r="C1213" s="2" t="str">
        <x:v>Baby, Feminine &amp; Family Care / organic_volume_growth</x:v>
      </x:c>
      <x:c r="D1213" s="2" t="str">
        <x:v>Broad rolling 8</x:v>
      </x:c>
      <x:c r="E1213" s="7" t="n">
        <x:v>45107</x:v>
      </x:c>
      <x:c r="F1213" s="2" t="str">
        <x:v>Pre-earnings</x:v>
      </x:c>
      <x:c r="G1213" s="7" t="n">
        <x:v>45134</x:v>
      </x:c>
      <x:c r="H1213" s="2" t="n">
        <x:v>8</x:v>
      </x:c>
      <x:c r="I1213" s="8" t="n">
        <x:v>26.590628997743714</x:v>
      </x:c>
      <x:c r="J1213" s="8" t="n">
        <x:v>0</x:v>
      </x:c>
      <x:c r="K1213" s="8" t="n">
        <x:v>-12</x:v>
      </x:c>
      <x:c r="L1213" s="8" t="n">
        <x:v>327.16499332251686</x:v>
      </x:c>
      <x:c r="M1213" s="8" t="n">
        <x:v>0</x:v>
      </x:c>
      <x:c r="N1213" s="8" t="n">
        <x:v>0</x:v>
      </x:c>
      <x:c r="O1213" s="8" t="n">
        <x:v>-9.037333869914338</x:v>
      </x:c>
      <x:c r="P1213" s="8" t="n">
        <x:v>0</x:v>
      </x:c>
      <x:c r="Q1213" s="8" t="n">
        <x:v>0.3338622398349367</x:v>
      </x:c>
      <x:c r="R1213" s="8" t="n">
        <x:v>0</x:v>
      </x:c>
      <x:c r="S1213" s="8" t="n">
        <x:f>L1213-I1213^2/H1213</x:f>
        <x:v>238.78229951056076</x:v>
      </x:c>
      <x:c r="T1213" s="8" t="n">
        <x:f>M1213-J1213^2/H1213</x:f>
        <x:v>0</x:v>
      </x:c>
      <x:c r="U1213" s="8" t="n">
        <x:f>N1213-I1213*J1213/H1213</x:f>
        <x:v>0</x:v>
      </x:c>
      <x:c r="V1213" s="8" t="n">
        <x:f>O1213-I1213*K1213/H1213</x:f>
        <x:v>30.84860962670123</x:v>
      </x:c>
      <x:c r="W1213" s="8" t="n">
        <x:f>P1213-J1213*K1213/H1213</x:f>
        <x:v>0</x:v>
      </x:c>
      <x:c r="X1213" s="8" t="n">
        <x:f>V1213/S1213</x:f>
        <x:v>0.12919135836254425</x:v>
      </x:c>
      <x:c r="Y1213" s="8" t="n">
        <x:f>0</x:f>
        <x:v>0</x:v>
      </x:c>
      <x:c r="Z1213" s="8" t="n">
        <x:f>K1213/H1213-X1213*I1213/H1213-Y1213*J1213/H1213</x:f>
        <x:v>-1.9294099349916212</x:v>
      </x:c>
      <x:c r="AA1213" s="8" t="n">
        <x:f>Z1213+X1213*Q1213+Y1213*R1213</x:f>
        <x:v>-1.8862778187213842</x:v>
      </x:c>
    </x:row>
    <x:row r="1214" ht="26" customHeight="1">
      <x:c r="A1214" s="2"/>
      <x:c r="B1214" s="2" t="n">
        <x:v>1209</x:v>
      </x:c>
      <x:c r="C1214" s="2" t="str">
        <x:v>Baby, Feminine &amp; Family Care / organic_volume_growth</x:v>
      </x:c>
      <x:c r="D1214" s="2" t="str">
        <x:v>Own history</x:v>
      </x:c>
      <x:c r="E1214" s="7" t="n">
        <x:v>45107</x:v>
      </x:c>
      <x:c r="F1214" s="2" t="str">
        <x:v>Pre-earnings</x:v>
      </x:c>
      <x:c r="G1214" s="7" t="n">
        <x:v>45134</x:v>
      </x:c>
      <x:c r="H1214" s="2" t="n">
        <x:v>8</x:v>
      </x:c>
      <x:c r="I1214" s="8" t="n">
        <x:v>-12</x:v>
      </x:c>
      <x:c r="J1214" s="8" t="n">
        <x:v>0</x:v>
      </x:c>
      <x:c r="K1214" s="8" t="n">
        <x:v>-12</x:v>
      </x:c>
      <x:c r="L1214" s="8" t="n">
        <x:v>76</x:v>
      </x:c>
      <x:c r="M1214" s="8" t="n">
        <x:v>0</x:v>
      </x:c>
      <x:c r="N1214" s="8" t="n">
        <x:v>0</x:v>
      </x:c>
      <x:c r="O1214" s="8" t="n">
        <x:v>54</x:v>
      </x:c>
      <x:c r="P1214" s="8" t="n">
        <x:v>0</x:v>
      </x:c>
      <x:c r="Q1214" s="8" t="n">
        <x:v>-4</x:v>
      </x:c>
      <x:c r="R1214" s="8" t="n">
        <x:v>0</x:v>
      </x:c>
      <x:c r="S1214" s="8" t="n">
        <x:f>L1214-I1214^2/H1214</x:f>
        <x:v>58</x:v>
      </x:c>
      <x:c r="T1214" s="8" t="n">
        <x:f>M1214-J1214^2/H1214</x:f>
        <x:v>0</x:v>
      </x:c>
      <x:c r="U1214" s="8" t="n">
        <x:f>N1214-I1214*J1214/H1214</x:f>
        <x:v>0</x:v>
      </x:c>
      <x:c r="V1214" s="8" t="n">
        <x:f>O1214-I1214*K1214/H1214</x:f>
        <x:v>36</x:v>
      </x:c>
      <x:c r="W1214" s="8" t="n">
        <x:f>P1214-J1214*K1214/H1214</x:f>
        <x:v>0</x:v>
      </x:c>
      <x:c r="X1214" s="8" t="n">
        <x:f>V1214/S1214</x:f>
        <x:v>0.6206896551724138</x:v>
      </x:c>
      <x:c r="Y1214" s="8" t="n">
        <x:f>0</x:f>
        <x:v>0</x:v>
      </x:c>
      <x:c r="Z1214" s="8" t="n">
        <x:f>K1214/H1214-X1214*I1214/H1214-Y1214*J1214/H1214</x:f>
        <x:v>-0.5689655172413792</x:v>
      </x:c>
      <x:c r="AA1214" s="8" t="n">
        <x:f>Z1214+X1214*Q1214+Y1214*R1214</x:f>
        <x:v>-3.0517241379310347</x:v>
      </x:c>
    </x:row>
    <x:row r="1215" ht="26" customHeight="1">
      <x:c r="A1215" s="2"/>
      <x:c r="B1215" s="2" t="n">
        <x:v>1210</x:v>
      </x:c>
      <x:c r="C1215" s="2" t="str">
        <x:v>Baby, Feminine &amp; Family Care / organic_volume_growth</x:v>
      </x:c>
      <x:c r="D1215" s="2" t="str">
        <x:v>Broad market</x:v>
      </x:c>
      <x:c r="E1215" s="7" t="n">
        <x:v>45199</x:v>
      </x:c>
      <x:c r="F1215" s="2" t="str">
        <x:v>Origin</x:v>
      </x:c>
      <x:c r="G1215" s="7" t="n">
        <x:v>45108</x:v>
      </x:c>
      <x:c r="H1215" s="2" t="n">
        <x:v>9</x:v>
      </x:c>
      <x:c r="I1215" s="8" t="n">
        <x:v>33.22338231084547</x:v>
      </x:c>
      <x:c r="J1215" s="8" t="n">
        <x:v>0</x:v>
      </x:c>
      <x:c r="K1215" s="8" t="n">
        <x:v>-16</x:v>
      </x:c>
      <x:c r="L1215" s="8" t="n">
        <x:v>371.1584098349792</x:v>
      </x:c>
      <x:c r="M1215" s="8" t="n">
        <x:v>0</x:v>
      </x:c>
      <x:c r="N1215" s="8" t="n">
        <x:v>0</x:v>
      </x:c>
      <x:c r="O1215" s="8" t="n">
        <x:v>-35.56834712232137</x:v>
      </x:c>
      <x:c r="P1215" s="8" t="n">
        <x:v>0</x:v>
      </x:c>
      <x:c r="Q1215" s="8" t="n">
        <x:v>0.16843755354232215</x:v>
      </x:c>
      <x:c r="R1215" s="8" t="n">
        <x:v>0</x:v>
      </x:c>
      <x:c r="S1215" s="8" t="n">
        <x:f>L1215-I1215^2/H1215</x:f>
        <x:v>248.5147284824681</x:v>
      </x:c>
      <x:c r="T1215" s="8" t="n">
        <x:f>M1215-J1215^2/H1215</x:f>
        <x:v>0</x:v>
      </x:c>
      <x:c r="U1215" s="8" t="n">
        <x:f>N1215-I1215*J1215/H1215</x:f>
        <x:v>0</x:v>
      </x:c>
      <x:c r="V1215" s="8" t="n">
        <x:f>O1215-I1215*K1215/H1215</x:f>
        <x:v>23.49544365251503</x:v>
      </x:c>
      <x:c r="W1215" s="8" t="n">
        <x:f>P1215-J1215*K1215/H1215</x:f>
        <x:v>0</x:v>
      </x:c>
      <x:c r="X1215" s="8" t="n">
        <x:f>V1215/S1215</x:f>
        <x:v>0.0945434654758201</x:v>
      </x:c>
      <x:c r="Y1215" s="8" t="n">
        <x:f>0</x:f>
        <x:v>0</x:v>
      </x:c>
      <x:c r="Z1215" s="8" t="n">
        <x:f>K1215/H1215-X1215*I1215/H1215-Y1215*J1215/H1215</x:f>
        <x:v>-2.1267837442772657</x:v>
      </x:c>
      <x:c r="AA1215" s="8" t="n">
        <x:f>Z1215+X1215*Q1215+Y1215*R1215</x:f>
        <x:v>-2.1108590742491056</x:v>
      </x:c>
    </x:row>
    <x:row r="1216" ht="26" customHeight="1">
      <x:c r="A1216" s="2"/>
      <x:c r="B1216" s="2" t="n">
        <x:v>1211</x:v>
      </x:c>
      <x:c r="C1216" s="2" t="str">
        <x:v>Baby, Feminine &amp; Family Care / organic_volume_growth</x:v>
      </x:c>
      <x:c r="D1216" s="2" t="str">
        <x:v>Broad rolling 8</x:v>
      </x:c>
      <x:c r="E1216" s="7" t="n">
        <x:v>45199</x:v>
      </x:c>
      <x:c r="F1216" s="2" t="str">
        <x:v>Origin</x:v>
      </x:c>
      <x:c r="G1216" s="7" t="n">
        <x:v>45108</x:v>
      </x:c>
      <x:c r="H1216" s="2" t="n">
        <x:v>8</x:v>
      </x:c>
      <x:c r="I1216" s="8" t="n">
        <x:v>26.590628997743714</x:v>
      </x:c>
      <x:c r="J1216" s="8" t="n">
        <x:v>0</x:v>
      </x:c>
      <x:c r="K1216" s="8" t="n">
        <x:v>-12</x:v>
      </x:c>
      <x:c r="L1216" s="8" t="n">
        <x:v>327.16499332251686</x:v>
      </x:c>
      <x:c r="M1216" s="8" t="n">
        <x:v>0</x:v>
      </x:c>
      <x:c r="N1216" s="8" t="n">
        <x:v>0</x:v>
      </x:c>
      <x:c r="O1216" s="8" t="n">
        <x:v>-9.037333869914338</x:v>
      </x:c>
      <x:c r="P1216" s="8" t="n">
        <x:v>0</x:v>
      </x:c>
      <x:c r="Q1216" s="8" t="n">
        <x:v>0.16843755354232215</x:v>
      </x:c>
      <x:c r="R1216" s="8" t="n">
        <x:v>0</x:v>
      </x:c>
      <x:c r="S1216" s="8" t="n">
        <x:f>L1216-I1216^2/H1216</x:f>
        <x:v>238.78229951056076</x:v>
      </x:c>
      <x:c r="T1216" s="8" t="n">
        <x:f>M1216-J1216^2/H1216</x:f>
        <x:v>0</x:v>
      </x:c>
      <x:c r="U1216" s="8" t="n">
        <x:f>N1216-I1216*J1216/H1216</x:f>
        <x:v>0</x:v>
      </x:c>
      <x:c r="V1216" s="8" t="n">
        <x:f>O1216-I1216*K1216/H1216</x:f>
        <x:v>30.84860962670123</x:v>
      </x:c>
      <x:c r="W1216" s="8" t="n">
        <x:f>P1216-J1216*K1216/H1216</x:f>
        <x:v>0</x:v>
      </x:c>
      <x:c r="X1216" s="8" t="n">
        <x:f>V1216/S1216</x:f>
        <x:v>0.12919135836254425</x:v>
      </x:c>
      <x:c r="Y1216" s="8" t="n">
        <x:f>0</x:f>
        <x:v>0</x:v>
      </x:c>
      <x:c r="Z1216" s="8" t="n">
        <x:f>K1216/H1216-X1216*I1216/H1216-Y1216*J1216/H1216</x:f>
        <x:v>-1.9294099349916212</x:v>
      </x:c>
      <x:c r="AA1216" s="8" t="n">
        <x:f>Z1216+X1216*Q1216+Y1216*R1216</x:f>
        <x:v>-1.9076492586502247</x:v>
      </x:c>
    </x:row>
    <x:row r="1217" ht="26" customHeight="1">
      <x:c r="A1217" s="2"/>
      <x:c r="B1217" s="2" t="n">
        <x:v>1212</x:v>
      </x:c>
      <x:c r="C1217" s="2" t="str">
        <x:v>Baby, Feminine &amp; Family Care / organic_volume_growth</x:v>
      </x:c>
      <x:c r="D1217" s="2" t="str">
        <x:v>Broad market</x:v>
      </x:c>
      <x:c r="E1217" s="7" t="n">
        <x:v>45199</x:v>
      </x:c>
      <x:c r="F1217" s="2" t="str">
        <x:v>Prior report</x:v>
      </x:c>
      <x:c r="G1217" s="7" t="n">
        <x:v>45135</x:v>
      </x:c>
      <x:c r="H1217" s="2" t="n">
        <x:v>10</x:v>
      </x:c>
      <x:c r="I1217" s="8" t="n">
        <x:v>33.702236280504636</x:v>
      </x:c>
      <x:c r="J1217" s="8" t="n">
        <x:v>0</x:v>
      </x:c>
      <x:c r="K1217" s="8" t="n">
        <x:v>-16</x:v>
      </x:c>
      <x:c r="L1217" s="8" t="n">
        <x:v>371.38771095923755</x:v>
      </x:c>
      <x:c r="M1217" s="8" t="n">
        <x:v>0</x:v>
      </x:c>
      <x:c r="N1217" s="8" t="n">
        <x:v>0</x:v>
      </x:c>
      <x:c r="O1217" s="8" t="n">
        <x:v>-35.56834712232137</x:v>
      </x:c>
      <x:c r="P1217" s="8" t="n">
        <x:v>0</x:v>
      </x:c>
      <x:c r="Q1217" s="8" t="n">
        <x:v>0.4788112989289939</x:v>
      </x:c>
      <x:c r="R1217" s="8" t="n">
        <x:v>0</x:v>
      </x:c>
      <x:c r="S1217" s="8" t="n">
        <x:f>L1217-I1217^2/H1217</x:f>
        <x:v>257.80363792854126</x:v>
      </x:c>
      <x:c r="T1217" s="8" t="n">
        <x:f>M1217-J1217^2/H1217</x:f>
        <x:v>0</x:v>
      </x:c>
      <x:c r="U1217" s="8" t="n">
        <x:f>N1217-I1217*J1217/H1217</x:f>
        <x:v>0</x:v>
      </x:c>
      <x:c r="V1217" s="8" t="n">
        <x:f>O1217-I1217*K1217/H1217</x:f>
        <x:v>18.355230926486044</x:v>
      </x:c>
      <x:c r="W1217" s="8" t="n">
        <x:f>P1217-J1217*K1217/H1217</x:f>
        <x:v>0</x:v>
      </x:c>
      <x:c r="X1217" s="8" t="n">
        <x:f>V1217/S1217</x:f>
        <x:v>0.07119849461384947</x:v>
      </x:c>
      <x:c r="Y1217" s="8" t="n">
        <x:f>0</x:f>
        <x:v>0</x:v>
      </x:c>
      <x:c r="Z1217" s="8" t="n">
        <x:f>K1217/H1217-X1217*I1217/H1217-Y1217*J1217/H1217</x:f>
        <x:v>-1.8399548488292192</x:v>
      </x:c>
      <x:c r="AA1217" s="8" t="n">
        <x:f>Z1217+X1217*Q1217+Y1217*R1217</x:f>
        <x:v>-1.805864205141373</x:v>
      </x:c>
    </x:row>
    <x:row r="1218" ht="26" customHeight="1">
      <x:c r="A1218" s="2"/>
      <x:c r="B1218" s="2" t="n">
        <x:v>1213</x:v>
      </x:c>
      <x:c r="C1218" s="2" t="str">
        <x:v>Baby, Feminine &amp; Family Care / organic_volume_growth</x:v>
      </x:c>
      <x:c r="D1218" s="2" t="str">
        <x:v>Broad lag 1</x:v>
      </x:c>
      <x:c r="E1218" s="7" t="n">
        <x:v>45199</x:v>
      </x:c>
      <x:c r="F1218" s="2" t="str">
        <x:v>Prior report</x:v>
      </x:c>
      <x:c r="G1218" s="7" t="n">
        <x:v>45135</x:v>
      </x:c>
      <x:c r="H1218" s="2" t="n">
        <x:v>9</x:v>
      </x:c>
      <x:c r="I1218" s="8" t="n">
        <x:v>33.22338231084547</x:v>
      </x:c>
      <x:c r="J1218" s="8" t="n">
        <x:v>0</x:v>
      </x:c>
      <x:c r="K1218" s="8" t="n">
        <x:v>-12</x:v>
      </x:c>
      <x:c r="L1218" s="8" t="n">
        <x:v>371.1584098349792</x:v>
      </x:c>
      <x:c r="M1218" s="8" t="n">
        <x:v>0</x:v>
      </x:c>
      <x:c r="N1218" s="8" t="n">
        <x:v>0</x:v>
      </x:c>
      <x:c r="O1218" s="8" t="n">
        <x:v>35.340362380783766</x:v>
      </x:c>
      <x:c r="P1218" s="8" t="n">
        <x:v>0</x:v>
      </x:c>
      <x:c r="Q1218" s="8" t="n">
        <x:v>0.4788539696591654</x:v>
      </x:c>
      <x:c r="R1218" s="8" t="n">
        <x:v>0</x:v>
      </x:c>
      <x:c r="S1218" s="8" t="n">
        <x:f>L1218-I1218^2/H1218</x:f>
        <x:v>248.5147284824681</x:v>
      </x:c>
      <x:c r="T1218" s="8" t="n">
        <x:f>M1218-J1218^2/H1218</x:f>
        <x:v>0</x:v>
      </x:c>
      <x:c r="U1218" s="8" t="n">
        <x:f>N1218-I1218*J1218/H1218</x:f>
        <x:v>0</x:v>
      </x:c>
      <x:c r="V1218" s="8" t="n">
        <x:f>O1218-I1218*K1218/H1218</x:f>
        <x:v>79.63820546191107</x:v>
      </x:c>
      <x:c r="W1218" s="8" t="n">
        <x:f>P1218-J1218*K1218/H1218</x:f>
        <x:v>0</x:v>
      </x:c>
      <x:c r="X1218" s="8" t="n">
        <x:f>V1218/S1218</x:f>
        <x:v>0.3204566825806032</x:v>
      </x:c>
      <x:c r="Y1218" s="8" t="n">
        <x:f>0</x:f>
        <x:v>0</x:v>
      </x:c>
      <x:c r="Z1218" s="8" t="n">
        <x:f>K1218/H1218-X1218*I1218/H1218-Y1218*J1218/H1218</x:f>
        <x:v>-2.516294986604515</x:v>
      </x:c>
      <x:c r="AA1218" s="8" t="n">
        <x:f>Z1218+X1218*Q1218+Y1218*R1218</x:f>
        <x:v>-2.3628430320469858</x:v>
      </x:c>
    </x:row>
    <x:row r="1219" ht="26" customHeight="1">
      <x:c r="A1219" s="2"/>
      <x:c r="B1219" s="2" t="n">
        <x:v>1214</x:v>
      </x:c>
      <x:c r="C1219" s="2" t="str">
        <x:v>Baby, Feminine &amp; Family Care / organic_volume_growth</x:v>
      </x:c>
      <x:c r="D1219" s="2" t="str">
        <x:v>Broad rolling 8</x:v>
      </x:c>
      <x:c r="E1219" s="7" t="n">
        <x:v>45199</x:v>
      </x:c>
      <x:c r="F1219" s="2" t="str">
        <x:v>Prior report</x:v>
      </x:c>
      <x:c r="G1219" s="7" t="n">
        <x:v>45135</x:v>
      </x:c>
      <x:c r="H1219" s="2" t="n">
        <x:v>8</x:v>
      </x:c>
      <x:c r="I1219" s="8" t="n">
        <x:v>12.45774615649593</x:v>
      </x:c>
      <x:c r="J1219" s="8" t="n">
        <x:v>0</x:v>
      </x:c>
      <x:c r="K1219" s="8" t="n">
        <x:v>-9</x:v>
      </x:c>
      <x:c r="L1219" s="8" t="n">
        <x:v>113.89144181556195</x:v>
      </x:c>
      <x:c r="M1219" s="8" t="n">
        <x:v>0</x:v>
      </x:c>
      <x:c r="N1219" s="8" t="n">
        <x:v>0</x:v>
      </x:c>
      <x:c r="O1219" s="8" t="n">
        <x:v>34.797876562806515</x:v>
      </x:c>
      <x:c r="P1219" s="8" t="n">
        <x:v>0</x:v>
      </x:c>
      <x:c r="Q1219" s="8" t="n">
        <x:v>0.4788112989289939</x:v>
      </x:c>
      <x:c r="R1219" s="8" t="n">
        <x:v>0</x:v>
      </x:c>
      <x:c r="S1219" s="8" t="n">
        <x:f>L1219-I1219^2/H1219</x:f>
        <x:v>94.4920119031008</x:v>
      </x:c>
      <x:c r="T1219" s="8" t="n">
        <x:f>M1219-J1219^2/H1219</x:f>
        <x:v>0</x:v>
      </x:c>
      <x:c r="U1219" s="8" t="n">
        <x:f>N1219-I1219*J1219/H1219</x:f>
        <x:v>0</x:v>
      </x:c>
      <x:c r="V1219" s="8" t="n">
        <x:f>O1219-I1219*K1219/H1219</x:f>
        <x:v>48.81284098886444</x:v>
      </x:c>
      <x:c r="W1219" s="8" t="n">
        <x:f>P1219-J1219*K1219/H1219</x:f>
        <x:v>0</x:v>
      </x:c>
      <x:c r="X1219" s="8" t="n">
        <x:f>V1219/S1219</x:f>
        <x:v>0.5165816665954873</x:v>
      </x:c>
      <x:c r="Y1219" s="8" t="n">
        <x:f>0</x:f>
        <x:v>0</x:v>
      </x:c>
      <x:c r="Z1219" s="8" t="n">
        <x:f>K1219/H1219-X1219*I1219/H1219-Y1219*J1219/H1219</x:f>
        <x:v>-1.9294304089432743</x:v>
      </x:c>
      <x:c r="AA1219" s="8" t="n">
        <x:f>Z1219+X1219*Q1219+Y1219*R1219</x:f>
        <x:v>-1.6820852701577846</x:v>
      </x:c>
    </x:row>
    <x:row r="1220" ht="26" customHeight="1">
      <x:c r="A1220" s="2"/>
      <x:c r="B1220" s="2" t="n">
        <x:v>1215</x:v>
      </x:c>
      <x:c r="C1220" s="2" t="str">
        <x:v>Baby, Feminine &amp; Family Care / organic_volume_growth</x:v>
      </x:c>
      <x:c r="D1220" s="2" t="str">
        <x:v>Own history</x:v>
      </x:c>
      <x:c r="E1220" s="7" t="n">
        <x:v>45199</x:v>
      </x:c>
      <x:c r="F1220" s="2" t="str">
        <x:v>Prior report</x:v>
      </x:c>
      <x:c r="G1220" s="7" t="n">
        <x:v>45135</x:v>
      </x:c>
      <x:c r="H1220" s="2" t="n">
        <x:v>9</x:v>
      </x:c>
      <x:c r="I1220" s="8" t="n">
        <x:v>-16</x:v>
      </x:c>
      <x:c r="J1220" s="8" t="n">
        <x:v>0</x:v>
      </x:c>
      <x:c r="K1220" s="8" t="n">
        <x:v>-12</x:v>
      </x:c>
      <x:c r="L1220" s="8" t="n">
        <x:v>92</x:v>
      </x:c>
      <x:c r="M1220" s="8" t="n">
        <x:v>0</x:v>
      </x:c>
      <x:c r="N1220" s="8" t="n">
        <x:v>0</x:v>
      </x:c>
      <x:c r="O1220" s="8" t="n">
        <x:v>54</x:v>
      </x:c>
      <x:c r="P1220" s="8" t="n">
        <x:v>0</x:v>
      </x:c>
      <x:c r="Q1220" s="8" t="n">
        <x:v>0</x:v>
      </x:c>
      <x:c r="R1220" s="8" t="n">
        <x:v>0</x:v>
      </x:c>
      <x:c r="S1220" s="8" t="n">
        <x:f>L1220-I1220^2/H1220</x:f>
        <x:v>63.55555555555556</x:v>
      </x:c>
      <x:c r="T1220" s="8" t="n">
        <x:f>M1220-J1220^2/H1220</x:f>
        <x:v>0</x:v>
      </x:c>
      <x:c r="U1220" s="8" t="n">
        <x:f>N1220-I1220*J1220/H1220</x:f>
        <x:v>0</x:v>
      </x:c>
      <x:c r="V1220" s="8" t="n">
        <x:f>O1220-I1220*K1220/H1220</x:f>
        <x:v>32.66666666666667</x:v>
      </x:c>
      <x:c r="W1220" s="8" t="n">
        <x:f>P1220-J1220*K1220/H1220</x:f>
        <x:v>0</x:v>
      </x:c>
      <x:c r="X1220" s="8" t="n">
        <x:f>V1220/S1220</x:f>
        <x:v>0.5139860139860141</x:v>
      </x:c>
      <x:c r="Y1220" s="8" t="n">
        <x:f>0</x:f>
        <x:v>0</x:v>
      </x:c>
      <x:c r="Z1220" s="8" t="n">
        <x:f>K1220/H1220-X1220*I1220/H1220-Y1220*J1220/H1220</x:f>
        <x:v>-0.41958041958041936</x:v>
      </x:c>
      <x:c r="AA1220" s="8" t="n">
        <x:f>Z1220+X1220*Q1220+Y1220*R1220</x:f>
        <x:v>-0.41958041958041936</x:v>
      </x:c>
    </x:row>
    <x:row r="1221" ht="26" customHeight="1">
      <x:c r="A1221" s="2"/>
      <x:c r="B1221" s="2" t="n">
        <x:v>1216</x:v>
      </x:c>
      <x:c r="C1221" s="2" t="str">
        <x:v>Baby, Feminine &amp; Family Care / organic_volume_growth</x:v>
      </x:c>
      <x:c r="D1221" s="2" t="str">
        <x:v>Broad market</x:v>
      </x:c>
      <x:c r="E1221" s="7" t="n">
        <x:v>45199</x:v>
      </x:c>
      <x:c r="F1221" s="2" t="str">
        <x:v>Pre-earnings</x:v>
      </x:c>
      <x:c r="G1221" s="7" t="n">
        <x:v>45216</x:v>
      </x:c>
      <x:c r="H1221" s="2" t="n">
        <x:v>10</x:v>
      </x:c>
      <x:c r="I1221" s="8" t="n">
        <x:v>36.567292681299975</x:v>
      </x:c>
      <x:c r="J1221" s="8" t="n">
        <x:v>0</x:v>
      </x:c>
      <x:c r="K1221" s="8" t="n">
        <x:v>-16</x:v>
      </x:c>
      <x:c r="L1221" s="8" t="n">
        <x:v>345.1986530501643</x:v>
      </x:c>
      <x:c r="M1221" s="8" t="n">
        <x:v>0</x:v>
      </x:c>
      <x:c r="N1221" s="8" t="n">
        <x:v>0</x:v>
      </x:c>
      <x:c r="O1221" s="8" t="n">
        <x:v>-38.23253092961449</x:v>
      </x:c>
      <x:c r="P1221" s="8" t="n">
        <x:v>0</x:v>
      </x:c>
      <x:c r="Q1221" s="8" t="n">
        <x:v>1.3122219305964355</x:v>
      </x:c>
      <x:c r="R1221" s="8" t="n">
        <x:v>0</x:v>
      </x:c>
      <x:c r="S1221" s="8" t="n">
        <x:f>L1221-I1221^2/H1221</x:f>
        <x:v>211.48196364617883</x:v>
      </x:c>
      <x:c r="T1221" s="8" t="n">
        <x:f>M1221-J1221^2/H1221</x:f>
        <x:v>0</x:v>
      </x:c>
      <x:c r="U1221" s="8" t="n">
        <x:f>N1221-I1221*J1221/H1221</x:f>
        <x:v>0</x:v>
      </x:c>
      <x:c r="V1221" s="8" t="n">
        <x:f>O1221-I1221*K1221/H1221</x:f>
        <x:v>20.27513736046547</x:v>
      </x:c>
      <x:c r="W1221" s="8" t="n">
        <x:f>P1221-J1221*K1221/H1221</x:f>
        <x:v>0</x:v>
      </x:c>
      <x:c r="X1221" s="8" t="n">
        <x:f>V1221/S1221</x:f>
        <x:v>0.09587170939261237</x:v>
      </x:c>
      <x:c r="Y1221" s="8" t="n">
        <x:f>0</x:f>
        <x:v>0</x:v>
      </x:c>
      <x:c r="Z1221" s="8" t="n">
        <x:f>K1221/H1221-X1221*I1221/H1221-Y1221*J1221/H1221</x:f>
        <x:v>-1.9505768857216195</x:v>
      </x:c>
      <x:c r="AA1221" s="8" t="n">
        <x:f>Z1221+X1221*Q1221+Y1221*R1221</x:f>
        <x:v>-1.8247719261328652</x:v>
      </x:c>
    </x:row>
    <x:row r="1222" ht="26" customHeight="1">
      <x:c r="A1222" s="2"/>
      <x:c r="B1222" s="2" t="n">
        <x:v>1217</x:v>
      </x:c>
      <x:c r="C1222" s="2" t="str">
        <x:v>Baby, Feminine &amp; Family Care / organic_volume_growth</x:v>
      </x:c>
      <x:c r="D1222" s="2" t="str">
        <x:v>Broad lag 1</x:v>
      </x:c>
      <x:c r="E1222" s="7" t="n">
        <x:v>45199</x:v>
      </x:c>
      <x:c r="F1222" s="2" t="str">
        <x:v>Pre-earnings</x:v>
      </x:c>
      <x:c r="G1222" s="7" t="n">
        <x:v>45216</x:v>
      </x:c>
      <x:c r="H1222" s="2" t="n">
        <x:v>9</x:v>
      </x:c>
      <x:c r="I1222" s="8" t="n">
        <x:v>36.50529330129378</x:v>
      </x:c>
      <x:c r="J1222" s="8" t="n">
        <x:v>0</x:v>
      </x:c>
      <x:c r="K1222" s="8" t="n">
        <x:v>-12</x:v>
      </x:c>
      <x:c r="L1222" s="8" t="n">
        <x:v>345.1948091270432</x:v>
      </x:c>
      <x:c r="M1222" s="8" t="n">
        <x:v>0</x:v>
      </x:c>
      <x:c r="N1222" s="8" t="n">
        <x:v>0</x:v>
      </x:c>
      <x:c r="O1222" s="8" t="n">
        <x:v>21.412315195534102</x:v>
      </x:c>
      <x:c r="P1222" s="8" t="n">
        <x:v>0</x:v>
      </x:c>
      <x:c r="Q1222" s="8" t="n">
        <x:v>0.06199938000619465</x:v>
      </x:c>
      <x:c r="R1222" s="8" t="n">
        <x:v>0</x:v>
      </x:c>
      <x:c r="S1222" s="8" t="n">
        <x:f>L1222-I1222^2/H1222</x:f>
        <x:v>197.12409368110045</x:v>
      </x:c>
      <x:c r="T1222" s="8" t="n">
        <x:f>M1222-J1222^2/H1222</x:f>
        <x:v>0</x:v>
      </x:c>
      <x:c r="U1222" s="8" t="n">
        <x:f>N1222-I1222*J1222/H1222</x:f>
        <x:v>0</x:v>
      </x:c>
      <x:c r="V1222" s="8" t="n">
        <x:f>O1222-I1222*K1222/H1222</x:f>
        <x:v>70.08603959725914</x:v>
      </x:c>
      <x:c r="W1222" s="8" t="n">
        <x:f>P1222-J1222*K1222/H1222</x:f>
        <x:v>0</x:v>
      </x:c>
      <x:c r="X1222" s="8" t="n">
        <x:f>V1222/S1222</x:f>
        <x:v>0.3555427359916823</x:v>
      </x:c>
      <x:c r="Y1222" s="8" t="n">
        <x:f>0</x:f>
        <x:v>0</x:v>
      </x:c>
      <x:c r="Z1222" s="8" t="n">
        <x:f>K1222/H1222-X1222*I1222/H1222-Y1222*J1222/H1222</x:f>
        <x:v>-2.775465762057869</x:v>
      </x:c>
      <x:c r="AA1222" s="8" t="n">
        <x:f>Z1222+X1222*Q1222+Y1222*R1222</x:f>
        <x:v>-2.7534223328606786</x:v>
      </x:c>
    </x:row>
    <x:row r="1223" ht="26" customHeight="1">
      <x:c r="A1223" s="2"/>
      <x:c r="B1223" s="2" t="n">
        <x:v>1218</x:v>
      </x:c>
      <x:c r="C1223" s="2" t="str">
        <x:v>Baby, Feminine &amp; Family Care / organic_volume_growth</x:v>
      </x:c>
      <x:c r="D1223" s="2" t="str">
        <x:v>Broad rolling 8</x:v>
      </x:c>
      <x:c r="E1223" s="7" t="n">
        <x:v>45199</x:v>
      </x:c>
      <x:c r="F1223" s="2" t="str">
        <x:v>Pre-earnings</x:v>
      </x:c>
      <x:c r="G1223" s="7" t="n">
        <x:v>45216</x:v>
      </x:c>
      <x:c r="H1223" s="2" t="n">
        <x:v>8</x:v>
      </x:c>
      <x:c r="I1223" s="8" t="n">
        <x:v>16.237449689275486</x:v>
      </x:c>
      <x:c r="J1223" s="8" t="n">
        <x:v>0</x:v>
      </x:c>
      <x:c r="K1223" s="8" t="n">
        <x:v>-9</x:v>
      </x:c>
      <x:c r="L1223" s="8" t="n">
        <x:v>110.53830054061801</x:v>
      </x:c>
      <x:c r="M1223" s="8" t="n">
        <x:v>0</x:v>
      </x:c>
      <x:c r="N1223" s="8" t="n">
        <x:v>0</x:v>
      </x:c>
      <x:c r="O1223" s="8" t="n">
        <x:v>29.179654555236723</x:v>
      </x:c>
      <x:c r="P1223" s="8" t="n">
        <x:v>0</x:v>
      </x:c>
      <x:c r="Q1223" s="8" t="n">
        <x:v>1.3122219305964355</x:v>
      </x:c>
      <x:c r="R1223" s="8" t="n">
        <x:v>0</x:v>
      </x:c>
      <x:c r="S1223" s="8" t="n">
        <x:f>L1223-I1223^2/H1223</x:f>
        <x:v>77.58145398914894</x:v>
      </x:c>
      <x:c r="T1223" s="8" t="n">
        <x:f>M1223-J1223^2/H1223</x:f>
        <x:v>0</x:v>
      </x:c>
      <x:c r="U1223" s="8" t="n">
        <x:f>N1223-I1223*J1223/H1223</x:f>
        <x:v>0</x:v>
      </x:c>
      <x:c r="V1223" s="8" t="n">
        <x:f>O1223-I1223*K1223/H1223</x:f>
        <x:v>47.446785455671645</x:v>
      </x:c>
      <x:c r="W1223" s="8" t="n">
        <x:f>P1223-J1223*K1223/H1223</x:f>
        <x:v>0</x:v>
      </x:c>
      <x:c r="X1223" s="8" t="n">
        <x:f>V1223/S1223</x:f>
        <x:v>0.6115738106984675</x:v>
      </x:c>
      <x:c r="Y1223" s="8" t="n">
        <x:f>0</x:f>
        <x:v>0</x:v>
      </x:c>
      <x:c r="Z1223" s="8" t="n">
        <x:f>K1223/H1223-X1223*I1223/H1223-Y1223*J1223/H1223</x:f>
        <x:v>-2.366299872811857</x:v>
      </x:c>
      <x:c r="AA1223" s="8" t="n">
        <x:f>Z1223+X1223*Q1223+Y1223*R1223</x:f>
        <x:v>-1.563779306234895</x:v>
      </x:c>
    </x:row>
    <x:row r="1224" ht="26" customHeight="1">
      <x:c r="A1224" s="2"/>
      <x:c r="B1224" s="2" t="n">
        <x:v>1219</x:v>
      </x:c>
      <x:c r="C1224" s="2" t="str">
        <x:v>Baby, Feminine &amp; Family Care / organic_volume_growth</x:v>
      </x:c>
      <x:c r="D1224" s="2" t="str">
        <x:v>Own history</x:v>
      </x:c>
      <x:c r="E1224" s="7" t="n">
        <x:v>45199</x:v>
      </x:c>
      <x:c r="F1224" s="2" t="str">
        <x:v>Pre-earnings</x:v>
      </x:c>
      <x:c r="G1224" s="7" t="n">
        <x:v>45216</x:v>
      </x:c>
      <x:c r="H1224" s="2" t="n">
        <x:v>9</x:v>
      </x:c>
      <x:c r="I1224" s="8" t="n">
        <x:v>-16</x:v>
      </x:c>
      <x:c r="J1224" s="8" t="n">
        <x:v>0</x:v>
      </x:c>
      <x:c r="K1224" s="8" t="n">
        <x:v>-12</x:v>
      </x:c>
      <x:c r="L1224" s="8" t="n">
        <x:v>92</x:v>
      </x:c>
      <x:c r="M1224" s="8" t="n">
        <x:v>0</x:v>
      </x:c>
      <x:c r="N1224" s="8" t="n">
        <x:v>0</x:v>
      </x:c>
      <x:c r="O1224" s="8" t="n">
        <x:v>54</x:v>
      </x:c>
      <x:c r="P1224" s="8" t="n">
        <x:v>0</x:v>
      </x:c>
      <x:c r="Q1224" s="8" t="n">
        <x:v>0</x:v>
      </x:c>
      <x:c r="R1224" s="8" t="n">
        <x:v>0</x:v>
      </x:c>
      <x:c r="S1224" s="8" t="n">
        <x:f>L1224-I1224^2/H1224</x:f>
        <x:v>63.55555555555556</x:v>
      </x:c>
      <x:c r="T1224" s="8" t="n">
        <x:f>M1224-J1224^2/H1224</x:f>
        <x:v>0</x:v>
      </x:c>
      <x:c r="U1224" s="8" t="n">
        <x:f>N1224-I1224*J1224/H1224</x:f>
        <x:v>0</x:v>
      </x:c>
      <x:c r="V1224" s="8" t="n">
        <x:f>O1224-I1224*K1224/H1224</x:f>
        <x:v>32.66666666666667</x:v>
      </x:c>
      <x:c r="W1224" s="8" t="n">
        <x:f>P1224-J1224*K1224/H1224</x:f>
        <x:v>0</x:v>
      </x:c>
      <x:c r="X1224" s="8" t="n">
        <x:f>V1224/S1224</x:f>
        <x:v>0.5139860139860141</x:v>
      </x:c>
      <x:c r="Y1224" s="8" t="n">
        <x:f>0</x:f>
        <x:v>0</x:v>
      </x:c>
      <x:c r="Z1224" s="8" t="n">
        <x:f>K1224/H1224-X1224*I1224/H1224-Y1224*J1224/H1224</x:f>
        <x:v>-0.41958041958041936</x:v>
      </x:c>
      <x:c r="AA1224" s="8" t="n">
        <x:f>Z1224+X1224*Q1224+Y1224*R1224</x:f>
        <x:v>-0.41958041958041936</x:v>
      </x:c>
    </x:row>
    <x:row r="1225" ht="26" customHeight="1">
      <x:c r="A1225" s="2"/>
      <x:c r="B1225" s="2" t="n">
        <x:v>1220</x:v>
      </x:c>
      <x:c r="C1225" s="2" t="str">
        <x:v>Baby, Feminine &amp; Family Care / organic_volume_growth</x:v>
      </x:c>
      <x:c r="D1225" s="2" t="str">
        <x:v>Broad market</x:v>
      </x:c>
      <x:c r="E1225" s="7" t="n">
        <x:v>45291</x:v>
      </x:c>
      <x:c r="F1225" s="2" t="str">
        <x:v>Origin</x:v>
      </x:c>
      <x:c r="G1225" s="7" t="n">
        <x:v>45200</x:v>
      </x:c>
      <x:c r="H1225" s="2" t="n">
        <x:v>10</x:v>
      </x:c>
      <x:c r="I1225" s="8" t="n">
        <x:v>36.567292681299975</x:v>
      </x:c>
      <x:c r="J1225" s="8" t="n">
        <x:v>0</x:v>
      </x:c>
      <x:c r="K1225" s="8" t="n">
        <x:v>-16</x:v>
      </x:c>
      <x:c r="L1225" s="8" t="n">
        <x:v>345.1986530501643</x:v>
      </x:c>
      <x:c r="M1225" s="8" t="n">
        <x:v>0</x:v>
      </x:c>
      <x:c r="N1225" s="8" t="n">
        <x:v>0</x:v>
      </x:c>
      <x:c r="O1225" s="8" t="n">
        <x:v>-38.23253092961449</x:v>
      </x:c>
      <x:c r="P1225" s="8" t="n">
        <x:v>0</x:v>
      </x:c>
      <x:c r="Q1225" s="8" t="n">
        <x:v>1.0924781953477458</x:v>
      </x:c>
      <x:c r="R1225" s="8" t="n">
        <x:v>0</x:v>
      </x:c>
      <x:c r="S1225" s="8" t="n">
        <x:f>L1225-I1225^2/H1225</x:f>
        <x:v>211.48196364617883</x:v>
      </x:c>
      <x:c r="T1225" s="8" t="n">
        <x:f>M1225-J1225^2/H1225</x:f>
        <x:v>0</x:v>
      </x:c>
      <x:c r="U1225" s="8" t="n">
        <x:f>N1225-I1225*J1225/H1225</x:f>
        <x:v>0</x:v>
      </x:c>
      <x:c r="V1225" s="8" t="n">
        <x:f>O1225-I1225*K1225/H1225</x:f>
        <x:v>20.27513736046547</x:v>
      </x:c>
      <x:c r="W1225" s="8" t="n">
        <x:f>P1225-J1225*K1225/H1225</x:f>
        <x:v>0</x:v>
      </x:c>
      <x:c r="X1225" s="8" t="n">
        <x:f>V1225/S1225</x:f>
        <x:v>0.09587170939261237</x:v>
      </x:c>
      <x:c r="Y1225" s="8" t="n">
        <x:f>0</x:f>
        <x:v>0</x:v>
      </x:c>
      <x:c r="Z1225" s="8" t="n">
        <x:f>K1225/H1225-X1225*I1225/H1225-Y1225*J1225/H1225</x:f>
        <x:v>-1.9505768857216195</x:v>
      </x:c>
      <x:c r="AA1225" s="8" t="n">
        <x:f>Z1225+X1225*Q1225+Y1225*R1225</x:f>
        <x:v>-1.8458391336594748</x:v>
      </x:c>
    </x:row>
    <x:row r="1226" ht="26" customHeight="1">
      <x:c r="A1226" s="2"/>
      <x:c r="B1226" s="2" t="n">
        <x:v>1221</x:v>
      </x:c>
      <x:c r="C1226" s="2" t="str">
        <x:v>Baby, Feminine &amp; Family Care / organic_volume_growth</x:v>
      </x:c>
      <x:c r="D1226" s="2" t="str">
        <x:v>Broad rolling 8</x:v>
      </x:c>
      <x:c r="E1226" s="7" t="n">
        <x:v>45291</x:v>
      </x:c>
      <x:c r="F1226" s="2" t="str">
        <x:v>Origin</x:v>
      </x:c>
      <x:c r="G1226" s="7" t="n">
        <x:v>45200</x:v>
      </x:c>
      <x:c r="H1226" s="2" t="n">
        <x:v>8</x:v>
      </x:c>
      <x:c r="I1226" s="8" t="n">
        <x:v>16.237449689275486</x:v>
      </x:c>
      <x:c r="J1226" s="8" t="n">
        <x:v>0</x:v>
      </x:c>
      <x:c r="K1226" s="8" t="n">
        <x:v>-9</x:v>
      </x:c>
      <x:c r="L1226" s="8" t="n">
        <x:v>110.53830054061801</x:v>
      </x:c>
      <x:c r="M1226" s="8" t="n">
        <x:v>0</x:v>
      </x:c>
      <x:c r="N1226" s="8" t="n">
        <x:v>0</x:v>
      </x:c>
      <x:c r="O1226" s="8" t="n">
        <x:v>29.179654555236723</x:v>
      </x:c>
      <x:c r="P1226" s="8" t="n">
        <x:v>0</x:v>
      </x:c>
      <x:c r="Q1226" s="8" t="n">
        <x:v>1.0924781953477458</x:v>
      </x:c>
      <x:c r="R1226" s="8" t="n">
        <x:v>0</x:v>
      </x:c>
      <x:c r="S1226" s="8" t="n">
        <x:f>L1226-I1226^2/H1226</x:f>
        <x:v>77.58145398914894</x:v>
      </x:c>
      <x:c r="T1226" s="8" t="n">
        <x:f>M1226-J1226^2/H1226</x:f>
        <x:v>0</x:v>
      </x:c>
      <x:c r="U1226" s="8" t="n">
        <x:f>N1226-I1226*J1226/H1226</x:f>
        <x:v>0</x:v>
      </x:c>
      <x:c r="V1226" s="8" t="n">
        <x:f>O1226-I1226*K1226/H1226</x:f>
        <x:v>47.446785455671645</x:v>
      </x:c>
      <x:c r="W1226" s="8" t="n">
        <x:f>P1226-J1226*K1226/H1226</x:f>
        <x:v>0</x:v>
      </x:c>
      <x:c r="X1226" s="8" t="n">
        <x:f>V1226/S1226</x:f>
        <x:v>0.6115738106984675</x:v>
      </x:c>
      <x:c r="Y1226" s="8" t="n">
        <x:f>0</x:f>
        <x:v>0</x:v>
      </x:c>
      <x:c r="Z1226" s="8" t="n">
        <x:f>K1226/H1226-X1226*I1226/H1226-Y1226*J1226/H1226</x:f>
        <x:v>-2.366299872811857</x:v>
      </x:c>
      <x:c r="AA1226" s="8" t="n">
        <x:f>Z1226+X1226*Q1226+Y1226*R1226</x:f>
        <x:v>-1.6981688197780516</x:v>
      </x:c>
    </x:row>
    <x:row r="1227" ht="26" customHeight="1">
      <x:c r="A1227" s="2"/>
      <x:c r="B1227" s="2" t="n">
        <x:v>1222</x:v>
      </x:c>
      <x:c r="C1227" s="2" t="str">
        <x:v>Baby, Feminine &amp; Family Care / organic_volume_growth</x:v>
      </x:c>
      <x:c r="D1227" s="2" t="str">
        <x:v>Own history</x:v>
      </x:c>
      <x:c r="E1227" s="7" t="n">
        <x:v>45291</x:v>
      </x:c>
      <x:c r="F1227" s="2" t="str">
        <x:v>Origin</x:v>
      </x:c>
      <x:c r="G1227" s="7" t="n">
        <x:v>45200</x:v>
      </x:c>
      <x:c r="H1227" s="2" t="n">
        <x:v>8</x:v>
      </x:c>
      <x:c r="I1227" s="8" t="n">
        <x:v>-12</x:v>
      </x:c>
      <x:c r="J1227" s="8" t="n">
        <x:v>0</x:v>
      </x:c>
      <x:c r="K1227" s="8" t="n">
        <x:v>-9</x:v>
      </x:c>
      <x:c r="L1227" s="8" t="n">
        <x:v>76</x:v>
      </x:c>
      <x:c r="M1227" s="8" t="n">
        <x:v>0</x:v>
      </x:c>
      <x:c r="N1227" s="8" t="n">
        <x:v>0</x:v>
      </x:c>
      <x:c r="O1227" s="8" t="n">
        <x:v>1</x:v>
      </x:c>
      <x:c r="P1227" s="8" t="n">
        <x:v>0</x:v>
      </x:c>
      <x:c r="Q1227" s="8" t="n">
        <x:v>0</x:v>
      </x:c>
      <x:c r="R1227" s="8" t="n">
        <x:v>0</x:v>
      </x:c>
      <x:c r="S1227" s="8" t="n">
        <x:f>L1227-I1227^2/H1227</x:f>
        <x:v>58</x:v>
      </x:c>
      <x:c r="T1227" s="8" t="n">
        <x:f>M1227-J1227^2/H1227</x:f>
        <x:v>0</x:v>
      </x:c>
      <x:c r="U1227" s="8" t="n">
        <x:f>N1227-I1227*J1227/H1227</x:f>
        <x:v>0</x:v>
      </x:c>
      <x:c r="V1227" s="8" t="n">
        <x:f>O1227-I1227*K1227/H1227</x:f>
        <x:v>-12.5</x:v>
      </x:c>
      <x:c r="W1227" s="8" t="n">
        <x:f>P1227-J1227*K1227/H1227</x:f>
        <x:v>0</x:v>
      </x:c>
      <x:c r="X1227" s="8" t="n">
        <x:f>V1227/S1227</x:f>
        <x:v>-0.21551724137931033</x:v>
      </x:c>
      <x:c r="Y1227" s="8" t="n">
        <x:f>0</x:f>
        <x:v>0</x:v>
      </x:c>
      <x:c r="Z1227" s="8" t="n">
        <x:f>K1227/H1227-X1227*I1227/H1227-Y1227*J1227/H1227</x:f>
        <x:v>-1.4482758620689655</x:v>
      </x:c>
      <x:c r="AA1227" s="8" t="n">
        <x:f>Z1227+X1227*Q1227+Y1227*R1227</x:f>
        <x:v>-1.4482758620689655</x:v>
      </x:c>
    </x:row>
    <x:row r="1228" ht="26" customHeight="1">
      <x:c r="A1228" s="2"/>
      <x:c r="B1228" s="2" t="n">
        <x:v>1223</x:v>
      </x:c>
      <x:c r="C1228" s="2" t="str">
        <x:v>Baby, Feminine &amp; Family Care / organic_volume_growth</x:v>
      </x:c>
      <x:c r="D1228" s="2" t="str">
        <x:v>Broad market</x:v>
      </x:c>
      <x:c r="E1228" s="7" t="n">
        <x:v>45291</x:v>
      </x:c>
      <x:c r="F1228" s="2" t="str">
        <x:v>Prior report</x:v>
      </x:c>
      <x:c r="G1228" s="7" t="n">
        <x:v>45217</x:v>
      </x:c>
      <x:c r="H1228" s="2" t="n">
        <x:v>10</x:v>
      </x:c>
      <x:c r="I1228" s="8" t="n">
        <x:v>36.567292681299975</x:v>
      </x:c>
      <x:c r="J1228" s="8" t="n">
        <x:v>0</x:v>
      </x:c>
      <x:c r="K1228" s="8" t="n">
        <x:v>-16</x:v>
      </x:c>
      <x:c r="L1228" s="8" t="n">
        <x:v>345.1986530501643</x:v>
      </x:c>
      <x:c r="M1228" s="8" t="n">
        <x:v>0</x:v>
      </x:c>
      <x:c r="N1228" s="8" t="n">
        <x:v>0</x:v>
      </x:c>
      <x:c r="O1228" s="8" t="n">
        <x:v>-38.23253092961449</x:v>
      </x:c>
      <x:c r="P1228" s="8" t="n">
        <x:v>0</x:v>
      </x:c>
      <x:c r="Q1228" s="8" t="n">
        <x:v>1.0924781953477458</x:v>
      </x:c>
      <x:c r="R1228" s="8" t="n">
        <x:v>0</x:v>
      </x:c>
      <x:c r="S1228" s="8" t="n">
        <x:f>L1228-I1228^2/H1228</x:f>
        <x:v>211.48196364617883</x:v>
      </x:c>
      <x:c r="T1228" s="8" t="n">
        <x:f>M1228-J1228^2/H1228</x:f>
        <x:v>0</x:v>
      </x:c>
      <x:c r="U1228" s="8" t="n">
        <x:f>N1228-I1228*J1228/H1228</x:f>
        <x:v>0</x:v>
      </x:c>
      <x:c r="V1228" s="8" t="n">
        <x:f>O1228-I1228*K1228/H1228</x:f>
        <x:v>20.27513736046547</x:v>
      </x:c>
      <x:c r="W1228" s="8" t="n">
        <x:f>P1228-J1228*K1228/H1228</x:f>
        <x:v>0</x:v>
      </x:c>
      <x:c r="X1228" s="8" t="n">
        <x:f>V1228/S1228</x:f>
        <x:v>0.09587170939261237</x:v>
      </x:c>
      <x:c r="Y1228" s="8" t="n">
        <x:f>0</x:f>
        <x:v>0</x:v>
      </x:c>
      <x:c r="Z1228" s="8" t="n">
        <x:f>K1228/H1228-X1228*I1228/H1228-Y1228*J1228/H1228</x:f>
        <x:v>-1.9505768857216195</x:v>
      </x:c>
      <x:c r="AA1228" s="8" t="n">
        <x:f>Z1228+X1228*Q1228+Y1228*R1228</x:f>
        <x:v>-1.8458391336594748</x:v>
      </x:c>
    </x:row>
    <x:row r="1229" ht="26" customHeight="1">
      <x:c r="A1229" s="2"/>
      <x:c r="B1229" s="2" t="n">
        <x:v>1224</x:v>
      </x:c>
      <x:c r="C1229" s="2" t="str">
        <x:v>Baby, Feminine &amp; Family Care / organic_volume_growth</x:v>
      </x:c>
      <x:c r="D1229" s="2" t="str">
        <x:v>Broad rolling 8</x:v>
      </x:c>
      <x:c r="E1229" s="7" t="n">
        <x:v>45291</x:v>
      </x:c>
      <x:c r="F1229" s="2" t="str">
        <x:v>Prior report</x:v>
      </x:c>
      <x:c r="G1229" s="7" t="n">
        <x:v>45217</x:v>
      </x:c>
      <x:c r="H1229" s="2" t="n">
        <x:v>8</x:v>
      </x:c>
      <x:c r="I1229" s="8" t="n">
        <x:v>16.237449689275486</x:v>
      </x:c>
      <x:c r="J1229" s="8" t="n">
        <x:v>0</x:v>
      </x:c>
      <x:c r="K1229" s="8" t="n">
        <x:v>-9</x:v>
      </x:c>
      <x:c r="L1229" s="8" t="n">
        <x:v>110.53830054061801</x:v>
      </x:c>
      <x:c r="M1229" s="8" t="n">
        <x:v>0</x:v>
      </x:c>
      <x:c r="N1229" s="8" t="n">
        <x:v>0</x:v>
      </x:c>
      <x:c r="O1229" s="8" t="n">
        <x:v>29.179654555236723</x:v>
      </x:c>
      <x:c r="P1229" s="8" t="n">
        <x:v>0</x:v>
      </x:c>
      <x:c r="Q1229" s="8" t="n">
        <x:v>1.0924781953477458</x:v>
      </x:c>
      <x:c r="R1229" s="8" t="n">
        <x:v>0</x:v>
      </x:c>
      <x:c r="S1229" s="8" t="n">
        <x:f>L1229-I1229^2/H1229</x:f>
        <x:v>77.58145398914894</x:v>
      </x:c>
      <x:c r="T1229" s="8" t="n">
        <x:f>M1229-J1229^2/H1229</x:f>
        <x:v>0</x:v>
      </x:c>
      <x:c r="U1229" s="8" t="n">
        <x:f>N1229-I1229*J1229/H1229</x:f>
        <x:v>0</x:v>
      </x:c>
      <x:c r="V1229" s="8" t="n">
        <x:f>O1229-I1229*K1229/H1229</x:f>
        <x:v>47.446785455671645</x:v>
      </x:c>
      <x:c r="W1229" s="8" t="n">
        <x:f>P1229-J1229*K1229/H1229</x:f>
        <x:v>0</x:v>
      </x:c>
      <x:c r="X1229" s="8" t="n">
        <x:f>V1229/S1229</x:f>
        <x:v>0.6115738106984675</x:v>
      </x:c>
      <x:c r="Y1229" s="8" t="n">
        <x:f>0</x:f>
        <x:v>0</x:v>
      </x:c>
      <x:c r="Z1229" s="8" t="n">
        <x:f>K1229/H1229-X1229*I1229/H1229-Y1229*J1229/H1229</x:f>
        <x:v>-2.366299872811857</x:v>
      </x:c>
      <x:c r="AA1229" s="8" t="n">
        <x:f>Z1229+X1229*Q1229+Y1229*R1229</x:f>
        <x:v>-1.6981688197780516</x:v>
      </x:c>
    </x:row>
    <x:row r="1230" ht="26" customHeight="1">
      <x:c r="A1230" s="2"/>
      <x:c r="B1230" s="2" t="n">
        <x:v>1225</x:v>
      </x:c>
      <x:c r="C1230" s="2" t="str">
        <x:v>Baby, Feminine &amp; Family Care / organic_volume_growth</x:v>
      </x:c>
      <x:c r="D1230" s="2" t="str">
        <x:v>Own history</x:v>
      </x:c>
      <x:c r="E1230" s="7" t="n">
        <x:v>45291</x:v>
      </x:c>
      <x:c r="F1230" s="2" t="str">
        <x:v>Prior report</x:v>
      </x:c>
      <x:c r="G1230" s="7" t="n">
        <x:v>45217</x:v>
      </x:c>
      <x:c r="H1230" s="2" t="n">
        <x:v>10</x:v>
      </x:c>
      <x:c r="I1230" s="8" t="n">
        <x:v>-16</x:v>
      </x:c>
      <x:c r="J1230" s="8" t="n">
        <x:v>0</x:v>
      </x:c>
      <x:c r="K1230" s="8" t="n">
        <x:v>-15</x:v>
      </x:c>
      <x:c r="L1230" s="8" t="n">
        <x:v>92</x:v>
      </x:c>
      <x:c r="M1230" s="8" t="n">
        <x:v>0</x:v>
      </x:c>
      <x:c r="N1230" s="8" t="n">
        <x:v>0</x:v>
      </x:c>
      <x:c r="O1230" s="8" t="n">
        <x:v>54</x:v>
      </x:c>
      <x:c r="P1230" s="8" t="n">
        <x:v>0</x:v>
      </x:c>
      <x:c r="Q1230" s="8" t="n">
        <x:v>-3</x:v>
      </x:c>
      <x:c r="R1230" s="8" t="n">
        <x:v>0</x:v>
      </x:c>
      <x:c r="S1230" s="8" t="n">
        <x:f>L1230-I1230^2/H1230</x:f>
        <x:v>66.4</x:v>
      </x:c>
      <x:c r="T1230" s="8" t="n">
        <x:f>M1230-J1230^2/H1230</x:f>
        <x:v>0</x:v>
      </x:c>
      <x:c r="U1230" s="8" t="n">
        <x:f>N1230-I1230*J1230/H1230</x:f>
        <x:v>0</x:v>
      </x:c>
      <x:c r="V1230" s="8" t="n">
        <x:f>O1230-I1230*K1230/H1230</x:f>
        <x:v>30</x:v>
      </x:c>
      <x:c r="W1230" s="8" t="n">
        <x:f>P1230-J1230*K1230/H1230</x:f>
        <x:v>0</x:v>
      </x:c>
      <x:c r="X1230" s="8" t="n">
        <x:f>V1230/S1230</x:f>
        <x:v>0.4518072289156626</x:v>
      </x:c>
      <x:c r="Y1230" s="8" t="n">
        <x:f>0</x:f>
        <x:v>0</x:v>
      </x:c>
      <x:c r="Z1230" s="8" t="n">
        <x:f>K1230/H1230-X1230*I1230/H1230-Y1230*J1230/H1230</x:f>
        <x:v>-0.7771084337349399</x:v>
      </x:c>
      <x:c r="AA1230" s="8" t="n">
        <x:f>Z1230+X1230*Q1230+Y1230*R1230</x:f>
        <x:v>-2.1325301204819276</x:v>
      </x:c>
    </x:row>
    <x:row r="1231" ht="26" customHeight="1">
      <x:c r="A1231" s="2"/>
      <x:c r="B1231" s="2" t="n">
        <x:v>1226</x:v>
      </x:c>
      <x:c r="C1231" s="2" t="str">
        <x:v>Baby, Feminine &amp; Family Care / organic_volume_growth</x:v>
      </x:c>
      <x:c r="D1231" s="2" t="str">
        <x:v>Broad market</x:v>
      </x:c>
      <x:c r="E1231" s="7" t="n">
        <x:v>45291</x:v>
      </x:c>
      <x:c r="F1231" s="2" t="str">
        <x:v>Pre-earnings</x:v>
      </x:c>
      <x:c r="G1231" s="7" t="n">
        <x:v>45313</x:v>
      </x:c>
      <x:c r="H1231" s="2" t="n">
        <x:v>11</x:v>
      </x:c>
      <x:c r="I1231" s="8" t="n">
        <x:v>38.00115718712883</x:v>
      </x:c>
      <x:c r="J1231" s="8" t="n">
        <x:v>0</x:v>
      </x:c>
      <x:c r="K1231" s="8" t="n">
        <x:v>-19</x:v>
      </x:c>
      <x:c r="L1231" s="8" t="n">
        <x:v>347.2546204712401</x:v>
      </x:c>
      <x:c r="M1231" s="8" t="n">
        <x:v>0</x:v>
      </x:c>
      <x:c r="N1231" s="8" t="n">
        <x:v>0</x:v>
      </x:c>
      <x:c r="O1231" s="8" t="n">
        <x:v>-42.53412444710104</x:v>
      </x:c>
      <x:c r="P1231" s="8" t="n">
        <x:v>0</x:v>
      </x:c>
      <x:c r="Q1231" s="8" t="n">
        <x:v>1.491718651029772</x:v>
      </x:c>
      <x:c r="R1231" s="8" t="n">
        <x:v>0</x:v>
      </x:c>
      <x:c r="S1231" s="8" t="n">
        <x:f>L1231-I1231^2/H1231</x:f>
        <x:v>215.9738979657062</x:v>
      </x:c>
      <x:c r="T1231" s="8" t="n">
        <x:f>M1231-J1231^2/H1231</x:f>
        <x:v>0</x:v>
      </x:c>
      <x:c r="U1231" s="8" t="n">
        <x:f>N1231-I1231*J1231/H1231</x:f>
        <x:v>0</x:v>
      </x:c>
      <x:c r="V1231" s="8" t="n">
        <x:f>O1231-I1231*K1231/H1231</x:f>
        <x:v>23.104237967030578</x:v>
      </x:c>
      <x:c r="W1231" s="8" t="n">
        <x:f>P1231-J1231*K1231/H1231</x:f>
        <x:v>0</x:v>
      </x:c>
      <x:c r="X1231" s="8" t="n">
        <x:f>V1231/S1231</x:f>
        <x:v>0.10697699205623092</x:v>
      </x:c>
      <x:c r="Y1231" s="8" t="n">
        <x:f>0</x:f>
        <x:v>0</x:v>
      </x:c>
      <x:c r="Z1231" s="8" t="n">
        <x:f>K1231/H1231-X1231*I1231/H1231-Y1231*J1231/H1231</x:f>
        <x:v>-2.096840862775915</x:v>
      </x:c>
      <x:c r="AA1231" s="8" t="n">
        <x:f>Z1231+X1231*Q1231+Y1231*R1231</x:f>
        <x:v>-1.9372612884945715</x:v>
      </x:c>
    </x:row>
    <x:row r="1232" ht="26" customHeight="1">
      <x:c r="A1232" s="2"/>
      <x:c r="B1232" s="2" t="n">
        <x:v>1227</x:v>
      </x:c>
      <x:c r="C1232" s="2" t="str">
        <x:v>Baby, Feminine &amp; Family Care / organic_volume_growth</x:v>
      </x:c>
      <x:c r="D1232" s="2" t="str">
        <x:v>Broad lag 1</x:v>
      </x:c>
      <x:c r="E1232" s="7" t="n">
        <x:v>45291</x:v>
      </x:c>
      <x:c r="F1232" s="2" t="str">
        <x:v>Pre-earnings</x:v>
      </x:c>
      <x:c r="G1232" s="7" t="n">
        <x:v>45313</x:v>
      </x:c>
      <x:c r="H1232" s="2" t="n">
        <x:v>10</x:v>
      </x:c>
      <x:c r="I1232" s="8" t="n">
        <x:v>36.567292681299975</x:v>
      </x:c>
      <x:c r="J1232" s="8" t="n">
        <x:v>0</x:v>
      </x:c>
      <x:c r="K1232" s="8" t="n">
        <x:v>-15</x:v>
      </x:c>
      <x:c r="L1232" s="8" t="n">
        <x:v>345.1986530501643</x:v>
      </x:c>
      <x:c r="M1232" s="8" t="n">
        <x:v>0</x:v>
      </x:c>
      <x:c r="N1232" s="8" t="n">
        <x:v>0</x:v>
      </x:c>
      <x:c r="O1232" s="8" t="n">
        <x:v>21.22631705551552</x:v>
      </x:c>
      <x:c r="P1232" s="8" t="n">
        <x:v>0</x:v>
      </x:c>
      <x:c r="Q1232" s="8" t="n">
        <x:v>1.4338645058288524</x:v>
      </x:c>
      <x:c r="R1232" s="8" t="n">
        <x:v>0</x:v>
      </x:c>
      <x:c r="S1232" s="8" t="n">
        <x:f>L1232-I1232^2/H1232</x:f>
        <x:v>211.48196364617883</x:v>
      </x:c>
      <x:c r="T1232" s="8" t="n">
        <x:f>M1232-J1232^2/H1232</x:f>
        <x:v>0</x:v>
      </x:c>
      <x:c r="U1232" s="8" t="n">
        <x:f>N1232-I1232*J1232/H1232</x:f>
        <x:v>0</x:v>
      </x:c>
      <x:c r="V1232" s="8" t="n">
        <x:f>O1232-I1232*K1232/H1232</x:f>
        <x:v>76.07725607746549</x:v>
      </x:c>
      <x:c r="W1232" s="8" t="n">
        <x:f>P1232-J1232*K1232/H1232</x:f>
        <x:v>0</x:v>
      </x:c>
      <x:c r="X1232" s="8" t="n">
        <x:f>V1232/S1232</x:f>
        <x:v>0.35973401592178805</x:v>
      </x:c>
      <x:c r="Y1232" s="8" t="n">
        <x:f>0</x:f>
        <x:v>0</x:v>
      </x:c>
      <x:c r="Z1232" s="8" t="n">
        <x:f>K1232/H1232-X1232*I1232/H1232-Y1232*J1232/H1232</x:f>
        <x:v>-2.815449904763145</x:v>
      </x:c>
      <x:c r="AA1232" s="8" t="n">
        <x:f>Z1232+X1232*Q1232+Y1232*R1232</x:f>
        <x:v>-2.299640067793622</x:v>
      </x:c>
    </x:row>
    <x:row r="1233" ht="26" customHeight="1">
      <x:c r="A1233" s="2"/>
      <x:c r="B1233" s="2" t="n">
        <x:v>1228</x:v>
      </x:c>
      <x:c r="C1233" s="2" t="str">
        <x:v>Baby, Feminine &amp; Family Care / organic_volume_growth</x:v>
      </x:c>
      <x:c r="D1233" s="2" t="str">
        <x:v>Broad rolling 8</x:v>
      </x:c>
      <x:c r="E1233" s="7" t="n">
        <x:v>45291</x:v>
      </x:c>
      <x:c r="F1233" s="2" t="str">
        <x:v>Pre-earnings</x:v>
      </x:c>
      <x:c r="G1233" s="7" t="n">
        <x:v>45313</x:v>
      </x:c>
      <x:c r="H1233" s="2" t="n">
        <x:v>8</x:v>
      </x:c>
      <x:c r="I1233" s="8" t="n">
        <x:v>10.87506296757349</x:v>
      </x:c>
      <x:c r="J1233" s="8" t="n">
        <x:v>0</x:v>
      </x:c>
      <x:c r="K1233" s="8" t="n">
        <x:v>-13</x:v>
      </x:c>
      <x:c r="L1233" s="8" t="n">
        <x:v>66.40523721397928</x:v>
      </x:c>
      <x:c r="M1233" s="8" t="n">
        <x:v>0</x:v>
      </x:c>
      <x:c r="N1233" s="8" t="n">
        <x:v>0</x:v>
      </x:c>
      <x:c r="O1233" s="8" t="n">
        <x:v>18.08180981021932</x:v>
      </x:c>
      <x:c r="P1233" s="8" t="n">
        <x:v>0</x:v>
      </x:c>
      <x:c r="Q1233" s="8" t="n">
        <x:v>1.491718651029772</x:v>
      </x:c>
      <x:c r="R1233" s="8" t="n">
        <x:v>0</x:v>
      </x:c>
      <x:c r="S1233" s="8" t="n">
        <x:f>L1233-I1233^2/H1233</x:f>
        <x:v>51.621862895393235</x:v>
      </x:c>
      <x:c r="T1233" s="8" t="n">
        <x:f>M1233-J1233^2/H1233</x:f>
        <x:v>0</x:v>
      </x:c>
      <x:c r="U1233" s="8" t="n">
        <x:f>N1233-I1233*J1233/H1233</x:f>
        <x:v>0</x:v>
      </x:c>
      <x:c r="V1233" s="8" t="n">
        <x:f>O1233-I1233*K1233/H1233</x:f>
        <x:v>35.75378713252624</x:v>
      </x:c>
      <x:c r="W1233" s="8" t="n">
        <x:f>P1233-J1233*K1233/H1233</x:f>
        <x:v>0</x:v>
      </x:c>
      <x:c r="X1233" s="8" t="n">
        <x:f>V1233/S1233</x:f>
        <x:v>0.6926093931359639</x:v>
      </x:c>
      <x:c r="Y1233" s="8" t="n">
        <x:f>0</x:f>
        <x:v>0</x:v>
      </x:c>
      <x:c r="Z1233" s="8" t="n">
        <x:f>K1233/H1233-X1233*I1233/H1233-Y1233*J1233/H1233</x:f>
        <x:v>-2.5665213452858087</x:v>
      </x:c>
      <x:c r="AA1233" s="8" t="n">
        <x:f>Z1233+X1233*Q1233+Y1233*R1233</x:f>
        <x:v>-1.5333429956664795</x:v>
      </x:c>
    </x:row>
    <x:row r="1234" ht="26" customHeight="1">
      <x:c r="A1234" s="2"/>
      <x:c r="B1234" s="2" t="n">
        <x:v>1229</x:v>
      </x:c>
      <x:c r="C1234" s="2" t="str">
        <x:v>Baby, Feminine &amp; Family Care / organic_volume_growth</x:v>
      </x:c>
      <x:c r="D1234" s="2" t="str">
        <x:v>Own history</x:v>
      </x:c>
      <x:c r="E1234" s="7" t="n">
        <x:v>45291</x:v>
      </x:c>
      <x:c r="F1234" s="2" t="str">
        <x:v>Pre-earnings</x:v>
      </x:c>
      <x:c r="G1234" s="7" t="n">
        <x:v>45313</x:v>
      </x:c>
      <x:c r="H1234" s="2" t="n">
        <x:v>10</x:v>
      </x:c>
      <x:c r="I1234" s="8" t="n">
        <x:v>-16</x:v>
      </x:c>
      <x:c r="J1234" s="8" t="n">
        <x:v>0</x:v>
      </x:c>
      <x:c r="K1234" s="8" t="n">
        <x:v>-15</x:v>
      </x:c>
      <x:c r="L1234" s="8" t="n">
        <x:v>92</x:v>
      </x:c>
      <x:c r="M1234" s="8" t="n">
        <x:v>0</x:v>
      </x:c>
      <x:c r="N1234" s="8" t="n">
        <x:v>0</x:v>
      </x:c>
      <x:c r="O1234" s="8" t="n">
        <x:v>54</x:v>
      </x:c>
      <x:c r="P1234" s="8" t="n">
        <x:v>0</x:v>
      </x:c>
      <x:c r="Q1234" s="8" t="n">
        <x:v>-3</x:v>
      </x:c>
      <x:c r="R1234" s="8" t="n">
        <x:v>0</x:v>
      </x:c>
      <x:c r="S1234" s="8" t="n">
        <x:f>L1234-I1234^2/H1234</x:f>
        <x:v>66.4</x:v>
      </x:c>
      <x:c r="T1234" s="8" t="n">
        <x:f>M1234-J1234^2/H1234</x:f>
        <x:v>0</x:v>
      </x:c>
      <x:c r="U1234" s="8" t="n">
        <x:f>N1234-I1234*J1234/H1234</x:f>
        <x:v>0</x:v>
      </x:c>
      <x:c r="V1234" s="8" t="n">
        <x:f>O1234-I1234*K1234/H1234</x:f>
        <x:v>30</x:v>
      </x:c>
      <x:c r="W1234" s="8" t="n">
        <x:f>P1234-J1234*K1234/H1234</x:f>
        <x:v>0</x:v>
      </x:c>
      <x:c r="X1234" s="8" t="n">
        <x:f>V1234/S1234</x:f>
        <x:v>0.4518072289156626</x:v>
      </x:c>
      <x:c r="Y1234" s="8" t="n">
        <x:f>0</x:f>
        <x:v>0</x:v>
      </x:c>
      <x:c r="Z1234" s="8" t="n">
        <x:f>K1234/H1234-X1234*I1234/H1234-Y1234*J1234/H1234</x:f>
        <x:v>-0.7771084337349399</x:v>
      </x:c>
      <x:c r="AA1234" s="8" t="n">
        <x:f>Z1234+X1234*Q1234+Y1234*R1234</x:f>
        <x:v>-2.1325301204819276</x:v>
      </x:c>
    </x:row>
    <x:row r="1235" ht="26" customHeight="1">
      <x:c r="A1235" s="2"/>
      <x:c r="B1235" s="2" t="n">
        <x:v>1230</x:v>
      </x:c>
      <x:c r="C1235" s="2" t="str">
        <x:v>Baby, Feminine &amp; Family Care / organic_volume_growth</x:v>
      </x:c>
      <x:c r="D1235" s="2" t="str">
        <x:v>Broad market</x:v>
      </x:c>
      <x:c r="E1235" s="7" t="n">
        <x:v>45382</x:v>
      </x:c>
      <x:c r="F1235" s="2" t="str">
        <x:v>Origin</x:v>
      </x:c>
      <x:c r="G1235" s="7" t="n">
        <x:v>45292</x:v>
      </x:c>
      <x:c r="H1235" s="2" t="n">
        <x:v>11</x:v>
      </x:c>
      <x:c r="I1235" s="8" t="n">
        <x:v>38.00115718712883</x:v>
      </x:c>
      <x:c r="J1235" s="8" t="n">
        <x:v>0</x:v>
      </x:c>
      <x:c r="K1235" s="8" t="n">
        <x:v>-19</x:v>
      </x:c>
      <x:c r="L1235" s="8" t="n">
        <x:v>347.2546204712401</x:v>
      </x:c>
      <x:c r="M1235" s="8" t="n">
        <x:v>0</x:v>
      </x:c>
      <x:c r="N1235" s="8" t="n">
        <x:v>0</x:v>
      </x:c>
      <x:c r="O1235" s="8" t="n">
        <x:v>-42.53412444710104</x:v>
      </x:c>
      <x:c r="P1235" s="8" t="n">
        <x:v>0</x:v>
      </x:c>
      <x:c r="Q1235" s="8" t="n">
        <x:v>1.39166817713261</x:v>
      </x:c>
      <x:c r="R1235" s="8" t="n">
        <x:v>0</x:v>
      </x:c>
      <x:c r="S1235" s="8" t="n">
        <x:f>L1235-I1235^2/H1235</x:f>
        <x:v>215.9738979657062</x:v>
      </x:c>
      <x:c r="T1235" s="8" t="n">
        <x:f>M1235-J1235^2/H1235</x:f>
        <x:v>0</x:v>
      </x:c>
      <x:c r="U1235" s="8" t="n">
        <x:f>N1235-I1235*J1235/H1235</x:f>
        <x:v>0</x:v>
      </x:c>
      <x:c r="V1235" s="8" t="n">
        <x:f>O1235-I1235*K1235/H1235</x:f>
        <x:v>23.104237967030578</x:v>
      </x:c>
      <x:c r="W1235" s="8" t="n">
        <x:f>P1235-J1235*K1235/H1235</x:f>
        <x:v>0</x:v>
      </x:c>
      <x:c r="X1235" s="8" t="n">
        <x:f>V1235/S1235</x:f>
        <x:v>0.10697699205623092</x:v>
      </x:c>
      <x:c r="Y1235" s="8" t="n">
        <x:f>0</x:f>
        <x:v>0</x:v>
      </x:c>
      <x:c r="Z1235" s="8" t="n">
        <x:f>K1235/H1235-X1235*I1235/H1235-Y1235*J1235/H1235</x:f>
        <x:v>-2.096840862775915</x:v>
      </x:c>
      <x:c r="AA1235" s="8" t="n">
        <x:f>Z1235+X1235*Q1235+Y1235*R1235</x:f>
        <x:v>-1.9479643872458903</x:v>
      </x:c>
    </x:row>
    <x:row r="1236" ht="26" customHeight="1">
      <x:c r="A1236" s="2"/>
      <x:c r="B1236" s="2" t="n">
        <x:v>1231</x:v>
      </x:c>
      <x:c r="C1236" s="2" t="str">
        <x:v>Baby, Feminine &amp; Family Care / organic_volume_growth</x:v>
      </x:c>
      <x:c r="D1236" s="2" t="str">
        <x:v>Broad rolling 8</x:v>
      </x:c>
      <x:c r="E1236" s="7" t="n">
        <x:v>45382</x:v>
      </x:c>
      <x:c r="F1236" s="2" t="str">
        <x:v>Origin</x:v>
      </x:c>
      <x:c r="G1236" s="7" t="n">
        <x:v>45292</x:v>
      </x:c>
      <x:c r="H1236" s="2" t="n">
        <x:v>8</x:v>
      </x:c>
      <x:c r="I1236" s="8" t="n">
        <x:v>10.87506296757349</x:v>
      </x:c>
      <x:c r="J1236" s="8" t="n">
        <x:v>0</x:v>
      </x:c>
      <x:c r="K1236" s="8" t="n">
        <x:v>-13</x:v>
      </x:c>
      <x:c r="L1236" s="8" t="n">
        <x:v>66.40523721397928</x:v>
      </x:c>
      <x:c r="M1236" s="8" t="n">
        <x:v>0</x:v>
      </x:c>
      <x:c r="N1236" s="8" t="n">
        <x:v>0</x:v>
      </x:c>
      <x:c r="O1236" s="8" t="n">
        <x:v>18.08180981021932</x:v>
      </x:c>
      <x:c r="P1236" s="8" t="n">
        <x:v>0</x:v>
      </x:c>
      <x:c r="Q1236" s="8" t="n">
        <x:v>1.39166817713261</x:v>
      </x:c>
      <x:c r="R1236" s="8" t="n">
        <x:v>0</x:v>
      </x:c>
      <x:c r="S1236" s="8" t="n">
        <x:f>L1236-I1236^2/H1236</x:f>
        <x:v>51.621862895393235</x:v>
      </x:c>
      <x:c r="T1236" s="8" t="n">
        <x:f>M1236-J1236^2/H1236</x:f>
        <x:v>0</x:v>
      </x:c>
      <x:c r="U1236" s="8" t="n">
        <x:f>N1236-I1236*J1236/H1236</x:f>
        <x:v>0</x:v>
      </x:c>
      <x:c r="V1236" s="8" t="n">
        <x:f>O1236-I1236*K1236/H1236</x:f>
        <x:v>35.75378713252624</x:v>
      </x:c>
      <x:c r="W1236" s="8" t="n">
        <x:f>P1236-J1236*K1236/H1236</x:f>
        <x:v>0</x:v>
      </x:c>
      <x:c r="X1236" s="8" t="n">
        <x:f>V1236/S1236</x:f>
        <x:v>0.6926093931359639</x:v>
      </x:c>
      <x:c r="Y1236" s="8" t="n">
        <x:f>0</x:f>
        <x:v>0</x:v>
      </x:c>
      <x:c r="Z1236" s="8" t="n">
        <x:f>K1236/H1236-X1236*I1236/H1236-Y1236*J1236/H1236</x:f>
        <x:v>-2.5665213452858087</x:v>
      </x:c>
      <x:c r="AA1236" s="8" t="n">
        <x:f>Z1236+X1236*Q1236+Y1236*R1236</x:f>
        <x:v>-1.6026388936753584</x:v>
      </x:c>
    </x:row>
    <x:row r="1237" ht="26" customHeight="1">
      <x:c r="A1237" s="2"/>
      <x:c r="B1237" s="2" t="n">
        <x:v>1232</x:v>
      </x:c>
      <x:c r="C1237" s="2" t="str">
        <x:v>Baby, Feminine &amp; Family Care / organic_volume_growth</x:v>
      </x:c>
      <x:c r="D1237" s="2" t="str">
        <x:v>Own history</x:v>
      </x:c>
      <x:c r="E1237" s="7" t="n">
        <x:v>45382</x:v>
      </x:c>
      <x:c r="F1237" s="2" t="str">
        <x:v>Origin</x:v>
      </x:c>
      <x:c r="G1237" s="7" t="n">
        <x:v>45292</x:v>
      </x:c>
      <x:c r="H1237" s="2" t="n">
        <x:v>9</x:v>
      </x:c>
      <x:c r="I1237" s="8" t="n">
        <x:v>-16</x:v>
      </x:c>
      <x:c r="J1237" s="8" t="n">
        <x:v>0</x:v>
      </x:c>
      <x:c r="K1237" s="8" t="n">
        <x:v>-12</x:v>
      </x:c>
      <x:c r="L1237" s="8" t="n">
        <x:v>92</x:v>
      </x:c>
      <x:c r="M1237" s="8" t="n">
        <x:v>0</x:v>
      </x:c>
      <x:c r="N1237" s="8" t="n">
        <x:v>0</x:v>
      </x:c>
      <x:c r="O1237" s="8" t="n">
        <x:v>13</x:v>
      </x:c>
      <x:c r="P1237" s="8" t="n">
        <x:v>0</x:v>
      </x:c>
      <x:c r="Q1237" s="8" t="n">
        <x:v>-3</x:v>
      </x:c>
      <x:c r="R1237" s="8" t="n">
        <x:v>0</x:v>
      </x:c>
      <x:c r="S1237" s="8" t="n">
        <x:f>L1237-I1237^2/H1237</x:f>
        <x:v>63.55555555555556</x:v>
      </x:c>
      <x:c r="T1237" s="8" t="n">
        <x:f>M1237-J1237^2/H1237</x:f>
        <x:v>0</x:v>
      </x:c>
      <x:c r="U1237" s="8" t="n">
        <x:f>N1237-I1237*J1237/H1237</x:f>
        <x:v>0</x:v>
      </x:c>
      <x:c r="V1237" s="8" t="n">
        <x:f>O1237-I1237*K1237/H1237</x:f>
        <x:v>-8.333333333333332</x:v>
      </x:c>
      <x:c r="W1237" s="8" t="n">
        <x:f>P1237-J1237*K1237/H1237</x:f>
        <x:v>0</x:v>
      </x:c>
      <x:c r="X1237" s="8" t="n">
        <x:f>V1237/S1237</x:f>
        <x:v>-0.1311188811188811</x:v>
      </x:c>
      <x:c r="Y1237" s="8" t="n">
        <x:f>0</x:f>
        <x:v>0</x:v>
      </x:c>
      <x:c r="Z1237" s="8" t="n">
        <x:f>K1237/H1237-X1237*I1237/H1237-Y1237*J1237/H1237</x:f>
        <x:v>-1.5664335664335662</x:v>
      </x:c>
      <x:c r="AA1237" s="8" t="n">
        <x:f>Z1237+X1237*Q1237+Y1237*R1237</x:f>
        <x:v>-1.173076923076923</x:v>
      </x:c>
    </x:row>
    <x:row r="1238" ht="26" customHeight="1">
      <x:c r="A1238" s="2"/>
      <x:c r="B1238" s="2" t="n">
        <x:v>1233</x:v>
      </x:c>
      <x:c r="C1238" s="2" t="str">
        <x:v>Baby, Feminine &amp; Family Care / organic_volume_growth</x:v>
      </x:c>
      <x:c r="D1238" s="2" t="str">
        <x:v>Broad market</x:v>
      </x:c>
      <x:c r="E1238" s="7" t="n">
        <x:v>45382</x:v>
      </x:c>
      <x:c r="F1238" s="2" t="str">
        <x:v>Prior report</x:v>
      </x:c>
      <x:c r="G1238" s="7" t="n">
        <x:v>45314</x:v>
      </x:c>
      <x:c r="H1238" s="2" t="n">
        <x:v>11</x:v>
      </x:c>
      <x:c r="I1238" s="8" t="n">
        <x:v>38.00115718712883</x:v>
      </x:c>
      <x:c r="J1238" s="8" t="n">
        <x:v>0</x:v>
      </x:c>
      <x:c r="K1238" s="8" t="n">
        <x:v>-19</x:v>
      </x:c>
      <x:c r="L1238" s="8" t="n">
        <x:v>347.2546204712401</x:v>
      </x:c>
      <x:c r="M1238" s="8" t="n">
        <x:v>0</x:v>
      </x:c>
      <x:c r="N1238" s="8" t="n">
        <x:v>0</x:v>
      </x:c>
      <x:c r="O1238" s="8" t="n">
        <x:v>-42.53412444710104</x:v>
      </x:c>
      <x:c r="P1238" s="8" t="n">
        <x:v>0</x:v>
      </x:c>
      <x:c r="Q1238" s="8" t="n">
        <x:v>1.39166817713261</x:v>
      </x:c>
      <x:c r="R1238" s="8" t="n">
        <x:v>0</x:v>
      </x:c>
      <x:c r="S1238" s="8" t="n">
        <x:f>L1238-I1238^2/H1238</x:f>
        <x:v>215.9738979657062</x:v>
      </x:c>
      <x:c r="T1238" s="8" t="n">
        <x:f>M1238-J1238^2/H1238</x:f>
        <x:v>0</x:v>
      </x:c>
      <x:c r="U1238" s="8" t="n">
        <x:f>N1238-I1238*J1238/H1238</x:f>
        <x:v>0</x:v>
      </x:c>
      <x:c r="V1238" s="8" t="n">
        <x:f>O1238-I1238*K1238/H1238</x:f>
        <x:v>23.104237967030578</x:v>
      </x:c>
      <x:c r="W1238" s="8" t="n">
        <x:f>P1238-J1238*K1238/H1238</x:f>
        <x:v>0</x:v>
      </x:c>
      <x:c r="X1238" s="8" t="n">
        <x:f>V1238/S1238</x:f>
        <x:v>0.10697699205623092</x:v>
      </x:c>
      <x:c r="Y1238" s="8" t="n">
        <x:f>0</x:f>
        <x:v>0</x:v>
      </x:c>
      <x:c r="Z1238" s="8" t="n">
        <x:f>K1238/H1238-X1238*I1238/H1238-Y1238*J1238/H1238</x:f>
        <x:v>-2.096840862775915</x:v>
      </x:c>
      <x:c r="AA1238" s="8" t="n">
        <x:f>Z1238+X1238*Q1238+Y1238*R1238</x:f>
        <x:v>-1.9479643872458903</x:v>
      </x:c>
    </x:row>
    <x:row r="1239" ht="26" customHeight="1">
      <x:c r="A1239" s="2"/>
      <x:c r="B1239" s="2" t="n">
        <x:v>1234</x:v>
      </x:c>
      <x:c r="C1239" s="2" t="str">
        <x:v>Baby, Feminine &amp; Family Care / organic_volume_growth</x:v>
      </x:c>
      <x:c r="D1239" s="2" t="str">
        <x:v>Broad rolling 8</x:v>
      </x:c>
      <x:c r="E1239" s="7" t="n">
        <x:v>45382</x:v>
      </x:c>
      <x:c r="F1239" s="2" t="str">
        <x:v>Prior report</x:v>
      </x:c>
      <x:c r="G1239" s="7" t="n">
        <x:v>45314</x:v>
      </x:c>
      <x:c r="H1239" s="2" t="n">
        <x:v>8</x:v>
      </x:c>
      <x:c r="I1239" s="8" t="n">
        <x:v>10.87506296757349</x:v>
      </x:c>
      <x:c r="J1239" s="8" t="n">
        <x:v>0</x:v>
      </x:c>
      <x:c r="K1239" s="8" t="n">
        <x:v>-13</x:v>
      </x:c>
      <x:c r="L1239" s="8" t="n">
        <x:v>66.40523721397928</x:v>
      </x:c>
      <x:c r="M1239" s="8" t="n">
        <x:v>0</x:v>
      </x:c>
      <x:c r="N1239" s="8" t="n">
        <x:v>0</x:v>
      </x:c>
      <x:c r="O1239" s="8" t="n">
        <x:v>18.08180981021932</x:v>
      </x:c>
      <x:c r="P1239" s="8" t="n">
        <x:v>0</x:v>
      </x:c>
      <x:c r="Q1239" s="8" t="n">
        <x:v>1.39166817713261</x:v>
      </x:c>
      <x:c r="R1239" s="8" t="n">
        <x:v>0</x:v>
      </x:c>
      <x:c r="S1239" s="8" t="n">
        <x:f>L1239-I1239^2/H1239</x:f>
        <x:v>51.621862895393235</x:v>
      </x:c>
      <x:c r="T1239" s="8" t="n">
        <x:f>M1239-J1239^2/H1239</x:f>
        <x:v>0</x:v>
      </x:c>
      <x:c r="U1239" s="8" t="n">
        <x:f>N1239-I1239*J1239/H1239</x:f>
        <x:v>0</x:v>
      </x:c>
      <x:c r="V1239" s="8" t="n">
        <x:f>O1239-I1239*K1239/H1239</x:f>
        <x:v>35.75378713252624</x:v>
      </x:c>
      <x:c r="W1239" s="8" t="n">
        <x:f>P1239-J1239*K1239/H1239</x:f>
        <x:v>0</x:v>
      </x:c>
      <x:c r="X1239" s="8" t="n">
        <x:f>V1239/S1239</x:f>
        <x:v>0.6926093931359639</x:v>
      </x:c>
      <x:c r="Y1239" s="8" t="n">
        <x:f>0</x:f>
        <x:v>0</x:v>
      </x:c>
      <x:c r="Z1239" s="8" t="n">
        <x:f>K1239/H1239-X1239*I1239/H1239-Y1239*J1239/H1239</x:f>
        <x:v>-2.5665213452858087</x:v>
      </x:c>
      <x:c r="AA1239" s="8" t="n">
        <x:f>Z1239+X1239*Q1239+Y1239*R1239</x:f>
        <x:v>-1.6026388936753584</x:v>
      </x:c>
    </x:row>
    <x:row r="1240" ht="26" customHeight="1">
      <x:c r="A1240" s="2"/>
      <x:c r="B1240" s="2" t="n">
        <x:v>1235</x:v>
      </x:c>
      <x:c r="C1240" s="2" t="str">
        <x:v>Baby, Feminine &amp; Family Care / organic_volume_growth</x:v>
      </x:c>
      <x:c r="D1240" s="2" t="str">
        <x:v>Own history</x:v>
      </x:c>
      <x:c r="E1240" s="7" t="n">
        <x:v>45382</x:v>
      </x:c>
      <x:c r="F1240" s="2" t="str">
        <x:v>Prior report</x:v>
      </x:c>
      <x:c r="G1240" s="7" t="n">
        <x:v>45314</x:v>
      </x:c>
      <x:c r="H1240" s="2" t="n">
        <x:v>11</x:v>
      </x:c>
      <x:c r="I1240" s="8" t="n">
        <x:v>-19</x:v>
      </x:c>
      <x:c r="J1240" s="8" t="n">
        <x:v>0</x:v>
      </x:c>
      <x:c r="K1240" s="8" t="n">
        <x:v>-17</x:v>
      </x:c>
      <x:c r="L1240" s="8" t="n">
        <x:v>101</x:v>
      </x:c>
      <x:c r="M1240" s="8" t="n">
        <x:v>0</x:v>
      </x:c>
      <x:c r="N1240" s="8" t="n">
        <x:v>0</x:v>
      </x:c>
      <x:c r="O1240" s="8" t="n">
        <x:v>60</x:v>
      </x:c>
      <x:c r="P1240" s="8" t="n">
        <x:v>0</x:v>
      </x:c>
      <x:c r="Q1240" s="8" t="n">
        <x:v>-2</x:v>
      </x:c>
      <x:c r="R1240" s="8" t="n">
        <x:v>0</x:v>
      </x:c>
      <x:c r="S1240" s="8" t="n">
        <x:f>L1240-I1240^2/H1240</x:f>
        <x:v>68.18181818181819</x:v>
      </x:c>
      <x:c r="T1240" s="8" t="n">
        <x:f>M1240-J1240^2/H1240</x:f>
        <x:v>0</x:v>
      </x:c>
      <x:c r="U1240" s="8" t="n">
        <x:f>N1240-I1240*J1240/H1240</x:f>
        <x:v>0</x:v>
      </x:c>
      <x:c r="V1240" s="8" t="n">
        <x:f>O1240-I1240*K1240/H1240</x:f>
        <x:v>30.636363636363637</x:v>
      </x:c>
      <x:c r="W1240" s="8" t="n">
        <x:f>P1240-J1240*K1240/H1240</x:f>
        <x:v>0</x:v>
      </x:c>
      <x:c r="X1240" s="8" t="n">
        <x:f>V1240/S1240</x:f>
        <x:v>0.4493333333333333</x:v>
      </x:c>
      <x:c r="Y1240" s="8" t="n">
        <x:f>0</x:f>
        <x:v>0</x:v>
      </x:c>
      <x:c r="Z1240" s="8" t="n">
        <x:f>K1240/H1240-X1240*I1240/H1240-Y1240*J1240/H1240</x:f>
        <x:v>-0.7693333333333333</x:v>
      </x:c>
      <x:c r="AA1240" s="8" t="n">
        <x:f>Z1240+X1240*Q1240+Y1240*R1240</x:f>
        <x:v>-1.668</x:v>
      </x:c>
    </x:row>
    <x:row r="1241" ht="26" customHeight="1">
      <x:c r="A1241" s="2"/>
      <x:c r="B1241" s="2" t="n">
        <x:v>1236</x:v>
      </x:c>
      <x:c r="C1241" s="2" t="str">
        <x:v>Baby, Feminine &amp; Family Care / organic_volume_growth</x:v>
      </x:c>
      <x:c r="D1241" s="2" t="str">
        <x:v>Broad market</x:v>
      </x:c>
      <x:c r="E1241" s="7" t="n">
        <x:v>45382</x:v>
      </x:c>
      <x:c r="F1241" s="2" t="str">
        <x:v>Pre-earnings</x:v>
      </x:c>
      <x:c r="G1241" s="7" t="n">
        <x:v>45400</x:v>
      </x:c>
      <x:c r="H1241" s="2" t="n">
        <x:v>12</x:v>
      </x:c>
      <x:c r="I1241" s="8" t="n">
        <x:v>40.03102350077526</x:v>
      </x:c>
      <x:c r="J1241" s="8" t="n">
        <x:v>0</x:v>
      </x:c>
      <x:c r="K1241" s="8" t="n">
        <x:v>-21</x:v>
      </x:c>
      <x:c r="L1241" s="8" t="n">
        <x:v>351.3749777225167</x:v>
      </x:c>
      <x:c r="M1241" s="8" t="n">
        <x:v>0</x:v>
      </x:c>
      <x:c r="N1241" s="8" t="n">
        <x:v>0</x:v>
      </x:c>
      <x:c r="O1241" s="8" t="n">
        <x:v>-46.59385707439391</x:v>
      </x:c>
      <x:c r="P1241" s="8" t="n">
        <x:v>0</x:v>
      </x:c>
      <x:c r="Q1241" s="8" t="n">
        <x:v>1.367016339178151</x:v>
      </x:c>
      <x:c r="R1241" s="8" t="n">
        <x:v>0</x:v>
      </x:c>
      <x:c r="S1241" s="8" t="n">
        <x:f>L1241-I1241^2/H1241</x:f>
        <x:v>217.83474084588158</x:v>
      </x:c>
      <x:c r="T1241" s="8" t="n">
        <x:f>M1241-J1241^2/H1241</x:f>
        <x:v>0</x:v>
      </x:c>
      <x:c r="U1241" s="8" t="n">
        <x:f>N1241-I1241*J1241/H1241</x:f>
        <x:v>0</x:v>
      </x:c>
      <x:c r="V1241" s="8" t="n">
        <x:f>O1241-I1241*K1241/H1241</x:f>
        <x:v>23.460434051962807</x:v>
      </x:c>
      <x:c r="W1241" s="8" t="n">
        <x:f>P1241-J1241*K1241/H1241</x:f>
        <x:v>0</x:v>
      </x:c>
      <x:c r="X1241" s="8" t="n">
        <x:f>V1241/S1241</x:f>
        <x:v>0.10769831277078572</x:v>
      </x:c>
      <x:c r="Y1241" s="8" t="n">
        <x:f>0</x:f>
        <x:v>0</x:v>
      </x:c>
      <x:c r="Z1241" s="8" t="n">
        <x:f>K1241/H1241-X1241*I1241/H1241-Y1241*J1241/H1241</x:f>
        <x:v>-2.1092728074600973</x:v>
      </x:c>
      <x:c r="AA1241" s="8" t="n">
        <x:f>Z1241+X1241*Q1241+Y1241*R1241</x:f>
        <x:v>-1.9620474542005142</x:v>
      </x:c>
    </x:row>
    <x:row r="1242" ht="26" customHeight="1">
      <x:c r="A1242" s="2"/>
      <x:c r="B1242" s="2" t="n">
        <x:v>1237</x:v>
      </x:c>
      <x:c r="C1242" s="2" t="str">
        <x:v>Baby, Feminine &amp; Family Care / organic_volume_growth</x:v>
      </x:c>
      <x:c r="D1242" s="2" t="str">
        <x:v>Broad lag 1</x:v>
      </x:c>
      <x:c r="E1242" s="7" t="n">
        <x:v>45382</x:v>
      </x:c>
      <x:c r="F1242" s="2" t="str">
        <x:v>Pre-earnings</x:v>
      </x:c>
      <x:c r="G1242" s="7" t="n">
        <x:v>45400</x:v>
      </x:c>
      <x:c r="H1242" s="2" t="n">
        <x:v>11</x:v>
      </x:c>
      <x:c r="I1242" s="8" t="n">
        <x:v>38.00115718712883</x:v>
      </x:c>
      <x:c r="J1242" s="8" t="n">
        <x:v>0</x:v>
      </x:c>
      <x:c r="K1242" s="8" t="n">
        <x:v>-17</x:v>
      </x:c>
      <x:c r="L1242" s="8" t="n">
        <x:v>347.2546204712401</x:v>
      </x:c>
      <x:c r="M1242" s="8" t="n">
        <x:v>0</x:v>
      </x:c>
      <x:c r="N1242" s="8" t="n">
        <x:v>0</x:v>
      </x:c>
      <x:c r="O1242" s="8" t="n">
        <x:v>18.358588043857814</x:v>
      </x:c>
      <x:c r="P1242" s="8" t="n">
        <x:v>0</x:v>
      </x:c>
      <x:c r="Q1242" s="8" t="n">
        <x:v>2.0298663136464334</x:v>
      </x:c>
      <x:c r="R1242" s="8" t="n">
        <x:v>0</x:v>
      </x:c>
      <x:c r="S1242" s="8" t="n">
        <x:f>L1242-I1242^2/H1242</x:f>
        <x:v>215.9738979657062</x:v>
      </x:c>
      <x:c r="T1242" s="8" t="n">
        <x:f>M1242-J1242^2/H1242</x:f>
        <x:v>0</x:v>
      </x:c>
      <x:c r="U1242" s="8" t="n">
        <x:f>N1242-I1242*J1242/H1242</x:f>
        <x:v>0</x:v>
      </x:c>
      <x:c r="V1242" s="8" t="n">
        <x:f>O1242-I1242*K1242/H1242</x:f>
        <x:v>77.08764915123874</x:v>
      </x:c>
      <x:c r="W1242" s="8" t="n">
        <x:f>P1242-J1242*K1242/H1242</x:f>
        <x:v>0</x:v>
      </x:c>
      <x:c r="X1242" s="8" t="n">
        <x:f>V1242/S1242</x:f>
        <x:v>0.35693039704029067</x:v>
      </x:c>
      <x:c r="Y1242" s="8" t="n">
        <x:f>0</x:f>
        <x:v>0</x:v>
      </x:c>
      <x:c r="Z1242" s="8" t="n">
        <x:f>K1242/H1242-X1242*I1242/H1242-Y1242*J1242/H1242</x:f>
        <x:v>-2.778524374799308</x:v>
      </x:c>
      <x:c r="AA1242" s="8" t="n">
        <x:f>Z1242+X1242*Q1242+Y1242*R1242</x:f>
        <x:v>-2.054003385530775</x:v>
      </x:c>
    </x:row>
    <x:row r="1243" ht="26" customHeight="1">
      <x:c r="A1243" s="2"/>
      <x:c r="B1243" s="2" t="n">
        <x:v>1238</x:v>
      </x:c>
      <x:c r="C1243" s="2" t="str">
        <x:v>Baby, Feminine &amp; Family Care / organic_volume_growth</x:v>
      </x:c>
      <x:c r="D1243" s="2" t="str">
        <x:v>Broad rolling 8</x:v>
      </x:c>
      <x:c r="E1243" s="7" t="n">
        <x:v>45382</x:v>
      </x:c>
      <x:c r="F1243" s="2" t="str">
        <x:v>Pre-earnings</x:v>
      </x:c>
      <x:c r="G1243" s="7" t="n">
        <x:v>45400</x:v>
      </x:c>
      <x:c r="H1243" s="2" t="n">
        <x:v>8</x:v>
      </x:c>
      <x:c r="I1243" s="8" t="n">
        <x:v>5.901666759832869</x:v>
      </x:c>
      <x:c r="J1243" s="8" t="n">
        <x:v>0</x:v>
      </x:c>
      <x:c r="K1243" s="8" t="n">
        <x:v>-16</x:v>
      </x:c>
      <x:c r="L1243" s="8" t="n">
        <x:v>21.479908521791273</x:v>
      </x:c>
      <x:c r="M1243" s="8" t="n">
        <x:v>0</x:v>
      </x:c>
      <x:c r="N1243" s="8" t="n">
        <x:v>0</x:v>
      </x:c>
      <x:c r="O1243" s="8" t="n">
        <x:v>7.0188146615393965</x:v>
      </x:c>
      <x:c r="P1243" s="8" t="n">
        <x:v>0</x:v>
      </x:c>
      <x:c r="Q1243" s="8" t="n">
        <x:v>1.367016339178151</x:v>
      </x:c>
      <x:c r="R1243" s="8" t="n">
        <x:v>0</x:v>
      </x:c>
      <x:c r="S1243" s="8" t="n">
        <x:f>L1243-I1243^2/H1243</x:f>
        <x:v>17.12619970377675</x:v>
      </x:c>
      <x:c r="T1243" s="8" t="n">
        <x:f>M1243-J1243^2/H1243</x:f>
        <x:v>0</x:v>
      </x:c>
      <x:c r="U1243" s="8" t="n">
        <x:f>N1243-I1243*J1243/H1243</x:f>
        <x:v>0</x:v>
      </x:c>
      <x:c r="V1243" s="8" t="n">
        <x:f>O1243-I1243*K1243/H1243</x:f>
        <x:v>18.822148181205137</x:v>
      </x:c>
      <x:c r="W1243" s="8" t="n">
        <x:f>P1243-J1243*K1243/H1243</x:f>
        <x:v>0</x:v>
      </x:c>
      <x:c r="X1243" s="8" t="n">
        <x:f>V1243/S1243</x:f>
        <x:v>1.0990265503592365</x:v>
      </x:c>
      <x:c r="Y1243" s="8" t="n">
        <x:f>0</x:f>
        <x:v>0</x:v>
      </x:c>
      <x:c r="Z1243" s="8" t="n">
        <x:f>K1243/H1243-X1243*I1243/H1243-Y1243*J1243/H1243</x:f>
        <x:v>-2.8107610575536115</x:v>
      </x:c>
      <x:c r="AA1243" s="8" t="n">
        <x:f>Z1243+X1243*Q1243+Y1243*R1243</x:f>
        <x:v>-1.3083738060219363</x:v>
      </x:c>
    </x:row>
    <x:row r="1244" ht="26" customHeight="1">
      <x:c r="A1244" s="2"/>
      <x:c r="B1244" s="2" t="n">
        <x:v>1239</x:v>
      </x:c>
      <x:c r="C1244" s="2" t="str">
        <x:v>Baby, Feminine &amp; Family Care / organic_volume_growth</x:v>
      </x:c>
      <x:c r="D1244" s="2" t="str">
        <x:v>Own history</x:v>
      </x:c>
      <x:c r="E1244" s="7" t="n">
        <x:v>45382</x:v>
      </x:c>
      <x:c r="F1244" s="2" t="str">
        <x:v>Pre-earnings</x:v>
      </x:c>
      <x:c r="G1244" s="7" t="n">
        <x:v>45400</x:v>
      </x:c>
      <x:c r="H1244" s="2" t="n">
        <x:v>11</x:v>
      </x:c>
      <x:c r="I1244" s="8" t="n">
        <x:v>-19</x:v>
      </x:c>
      <x:c r="J1244" s="8" t="n">
        <x:v>0</x:v>
      </x:c>
      <x:c r="K1244" s="8" t="n">
        <x:v>-17</x:v>
      </x:c>
      <x:c r="L1244" s="8" t="n">
        <x:v>101</x:v>
      </x:c>
      <x:c r="M1244" s="8" t="n">
        <x:v>0</x:v>
      </x:c>
      <x:c r="N1244" s="8" t="n">
        <x:v>0</x:v>
      </x:c>
      <x:c r="O1244" s="8" t="n">
        <x:v>60</x:v>
      </x:c>
      <x:c r="P1244" s="8" t="n">
        <x:v>0</x:v>
      </x:c>
      <x:c r="Q1244" s="8" t="n">
        <x:v>-2</x:v>
      </x:c>
      <x:c r="R1244" s="8" t="n">
        <x:v>0</x:v>
      </x:c>
      <x:c r="S1244" s="8" t="n">
        <x:f>L1244-I1244^2/H1244</x:f>
        <x:v>68.18181818181819</x:v>
      </x:c>
      <x:c r="T1244" s="8" t="n">
        <x:f>M1244-J1244^2/H1244</x:f>
        <x:v>0</x:v>
      </x:c>
      <x:c r="U1244" s="8" t="n">
        <x:f>N1244-I1244*J1244/H1244</x:f>
        <x:v>0</x:v>
      </x:c>
      <x:c r="V1244" s="8" t="n">
        <x:f>O1244-I1244*K1244/H1244</x:f>
        <x:v>30.636363636363637</x:v>
      </x:c>
      <x:c r="W1244" s="8" t="n">
        <x:f>P1244-J1244*K1244/H1244</x:f>
        <x:v>0</x:v>
      </x:c>
      <x:c r="X1244" s="8" t="n">
        <x:f>V1244/S1244</x:f>
        <x:v>0.4493333333333333</x:v>
      </x:c>
      <x:c r="Y1244" s="8" t="n">
        <x:f>0</x:f>
        <x:v>0</x:v>
      </x:c>
      <x:c r="Z1244" s="8" t="n">
        <x:f>K1244/H1244-X1244*I1244/H1244-Y1244*J1244/H1244</x:f>
        <x:v>-0.7693333333333333</x:v>
      </x:c>
      <x:c r="AA1244" s="8" t="n">
        <x:f>Z1244+X1244*Q1244+Y1244*R1244</x:f>
        <x:v>-1.668</x:v>
      </x:c>
    </x:row>
    <x:row r="1245" ht="26" customHeight="1">
      <x:c r="A1245" s="2"/>
      <x:c r="B1245" s="2" t="n">
        <x:v>1240</x:v>
      </x:c>
      <x:c r="C1245" s="2" t="str">
        <x:v>Baby, Feminine &amp; Family Care / organic_volume_growth</x:v>
      </x:c>
      <x:c r="D1245" s="2" t="str">
        <x:v>Broad market</x:v>
      </x:c>
      <x:c r="E1245" s="7" t="n">
        <x:v>45473</x:v>
      </x:c>
      <x:c r="F1245" s="2" t="str">
        <x:v>Origin</x:v>
      </x:c>
      <x:c r="G1245" s="7" t="n">
        <x:v>45383</x:v>
      </x:c>
      <x:c r="H1245" s="2" t="n">
        <x:v>12</x:v>
      </x:c>
      <x:c r="I1245" s="8" t="n">
        <x:v>40.03102350077526</x:v>
      </x:c>
      <x:c r="J1245" s="8" t="n">
        <x:v>0</x:v>
      </x:c>
      <x:c r="K1245" s="8" t="n">
        <x:v>-21</x:v>
      </x:c>
      <x:c r="L1245" s="8" t="n">
        <x:v>351.3749777225167</x:v>
      </x:c>
      <x:c r="M1245" s="8" t="n">
        <x:v>0</x:v>
      </x:c>
      <x:c r="N1245" s="8" t="n">
        <x:v>0</x:v>
      </x:c>
      <x:c r="O1245" s="8" t="n">
        <x:v>-46.59385707439391</x:v>
      </x:c>
      <x:c r="P1245" s="8" t="n">
        <x:v>0</x:v>
      </x:c>
      <x:c r="Q1245" s="8" t="n">
        <x:v>1.669924885570362</x:v>
      </x:c>
      <x:c r="R1245" s="8" t="n">
        <x:v>0</x:v>
      </x:c>
      <x:c r="S1245" s="8" t="n">
        <x:f>L1245-I1245^2/H1245</x:f>
        <x:v>217.83474084588158</x:v>
      </x:c>
      <x:c r="T1245" s="8" t="n">
        <x:f>M1245-J1245^2/H1245</x:f>
        <x:v>0</x:v>
      </x:c>
      <x:c r="U1245" s="8" t="n">
        <x:f>N1245-I1245*J1245/H1245</x:f>
        <x:v>0</x:v>
      </x:c>
      <x:c r="V1245" s="8" t="n">
        <x:f>O1245-I1245*K1245/H1245</x:f>
        <x:v>23.460434051962807</x:v>
      </x:c>
      <x:c r="W1245" s="8" t="n">
        <x:f>P1245-J1245*K1245/H1245</x:f>
        <x:v>0</x:v>
      </x:c>
      <x:c r="X1245" s="8" t="n">
        <x:f>V1245/S1245</x:f>
        <x:v>0.10769831277078572</x:v>
      </x:c>
      <x:c r="Y1245" s="8" t="n">
        <x:f>0</x:f>
        <x:v>0</x:v>
      </x:c>
      <x:c r="Z1245" s="8" t="n">
        <x:f>K1245/H1245-X1245*I1245/H1245-Y1245*J1245/H1245</x:f>
        <x:v>-2.1092728074600973</x:v>
      </x:c>
      <x:c r="AA1245" s="8" t="n">
        <x:f>Z1245+X1245*Q1245+Y1245*R1245</x:f>
        <x:v>-1.929424714830222</x:v>
      </x:c>
    </x:row>
    <x:row r="1246" ht="26" customHeight="1">
      <x:c r="A1246" s="2"/>
      <x:c r="B1246" s="2" t="n">
        <x:v>1241</x:v>
      </x:c>
      <x:c r="C1246" s="2" t="str">
        <x:v>Baby, Feminine &amp; Family Care / organic_volume_growth</x:v>
      </x:c>
      <x:c r="D1246" s="2" t="str">
        <x:v>Broad rolling 8</x:v>
      </x:c>
      <x:c r="E1246" s="7" t="n">
        <x:v>45473</x:v>
      </x:c>
      <x:c r="F1246" s="2" t="str">
        <x:v>Origin</x:v>
      </x:c>
      <x:c r="G1246" s="7" t="n">
        <x:v>45383</x:v>
      </x:c>
      <x:c r="H1246" s="2" t="n">
        <x:v>8</x:v>
      </x:c>
      <x:c r="I1246" s="8" t="n">
        <x:v>5.901666759832869</x:v>
      </x:c>
      <x:c r="J1246" s="8" t="n">
        <x:v>0</x:v>
      </x:c>
      <x:c r="K1246" s="8" t="n">
        <x:v>-16</x:v>
      </x:c>
      <x:c r="L1246" s="8" t="n">
        <x:v>21.479908521791273</x:v>
      </x:c>
      <x:c r="M1246" s="8" t="n">
        <x:v>0</x:v>
      </x:c>
      <x:c r="N1246" s="8" t="n">
        <x:v>0</x:v>
      </x:c>
      <x:c r="O1246" s="8" t="n">
        <x:v>7.0188146615393965</x:v>
      </x:c>
      <x:c r="P1246" s="8" t="n">
        <x:v>0</x:v>
      </x:c>
      <x:c r="Q1246" s="8" t="n">
        <x:v>1.669924885570362</x:v>
      </x:c>
      <x:c r="R1246" s="8" t="n">
        <x:v>0</x:v>
      </x:c>
      <x:c r="S1246" s="8" t="n">
        <x:f>L1246-I1246^2/H1246</x:f>
        <x:v>17.12619970377675</x:v>
      </x:c>
      <x:c r="T1246" s="8" t="n">
        <x:f>M1246-J1246^2/H1246</x:f>
        <x:v>0</x:v>
      </x:c>
      <x:c r="U1246" s="8" t="n">
        <x:f>N1246-I1246*J1246/H1246</x:f>
        <x:v>0</x:v>
      </x:c>
      <x:c r="V1246" s="8" t="n">
        <x:f>O1246-I1246*K1246/H1246</x:f>
        <x:v>18.822148181205137</x:v>
      </x:c>
      <x:c r="W1246" s="8" t="n">
        <x:f>P1246-J1246*K1246/H1246</x:f>
        <x:v>0</x:v>
      </x:c>
      <x:c r="X1246" s="8" t="n">
        <x:f>V1246/S1246</x:f>
        <x:v>1.0990265503592365</x:v>
      </x:c>
      <x:c r="Y1246" s="8" t="n">
        <x:f>0</x:f>
        <x:v>0</x:v>
      </x:c>
      <x:c r="Z1246" s="8" t="n">
        <x:f>K1246/H1246-X1246*I1246/H1246-Y1246*J1246/H1246</x:f>
        <x:v>-2.8107610575536115</x:v>
      </x:c>
      <x:c r="AA1246" s="8" t="n">
        <x:f>Z1246+X1246*Q1246+Y1246*R1246</x:f>
        <x:v>-0.9754692712061739</x:v>
      </x:c>
    </x:row>
    <x:row r="1247" ht="26" customHeight="1">
      <x:c r="A1247" s="2"/>
      <x:c r="B1247" s="2" t="n">
        <x:v>1242</x:v>
      </x:c>
      <x:c r="C1247" s="2" t="str">
        <x:v>Baby, Feminine &amp; Family Care / organic_volume_growth</x:v>
      </x:c>
      <x:c r="D1247" s="2" t="str">
        <x:v>Own history</x:v>
      </x:c>
      <x:c r="E1247" s="7" t="n">
        <x:v>45473</x:v>
      </x:c>
      <x:c r="F1247" s="2" t="str">
        <x:v>Origin</x:v>
      </x:c>
      <x:c r="G1247" s="7" t="n">
        <x:v>45383</x:v>
      </x:c>
      <x:c r="H1247" s="2" t="n">
        <x:v>10</x:v>
      </x:c>
      <x:c r="I1247" s="8" t="n">
        <x:v>-16</x:v>
      </x:c>
      <x:c r="J1247" s="8" t="n">
        <x:v>0</x:v>
      </x:c>
      <x:c r="K1247" s="8" t="n">
        <x:v>-14</x:v>
      </x:c>
      <x:c r="L1247" s="8" t="n">
        <x:v>92</x:v>
      </x:c>
      <x:c r="M1247" s="8" t="n">
        <x:v>0</x:v>
      </x:c>
      <x:c r="N1247" s="8" t="n">
        <x:v>0</x:v>
      </x:c>
      <x:c r="O1247" s="8" t="n">
        <x:v>13</x:v>
      </x:c>
      <x:c r="P1247" s="8" t="n">
        <x:v>0</x:v>
      </x:c>
      <x:c r="Q1247" s="8" t="n">
        <x:v>-2</x:v>
      </x:c>
      <x:c r="R1247" s="8" t="n">
        <x:v>0</x:v>
      </x:c>
      <x:c r="S1247" s="8" t="n">
        <x:f>L1247-I1247^2/H1247</x:f>
        <x:v>66.4</x:v>
      </x:c>
      <x:c r="T1247" s="8" t="n">
        <x:f>M1247-J1247^2/H1247</x:f>
        <x:v>0</x:v>
      </x:c>
      <x:c r="U1247" s="8" t="n">
        <x:f>N1247-I1247*J1247/H1247</x:f>
        <x:v>0</x:v>
      </x:c>
      <x:c r="V1247" s="8" t="n">
        <x:f>O1247-I1247*K1247/H1247</x:f>
        <x:v>-9.399999999999999</x:v>
      </x:c>
      <x:c r="W1247" s="8" t="n">
        <x:f>P1247-J1247*K1247/H1247</x:f>
        <x:v>0</x:v>
      </x:c>
      <x:c r="X1247" s="8" t="n">
        <x:f>V1247/S1247</x:f>
        <x:v>-0.14156626506024092</x:v>
      </x:c>
      <x:c r="Y1247" s="8" t="n">
        <x:f>0</x:f>
        <x:v>0</x:v>
      </x:c>
      <x:c r="Z1247" s="8" t="n">
        <x:f>K1247/H1247-X1247*I1247/H1247-Y1247*J1247/H1247</x:f>
        <x:v>-1.6265060240963853</x:v>
      </x:c>
      <x:c r="AA1247" s="8" t="n">
        <x:f>Z1247+X1247*Q1247+Y1247*R1247</x:f>
        <x:v>-1.3433734939759034</x:v>
      </x:c>
    </x:row>
    <x:row r="1248" ht="26" customHeight="1">
      <x:c r="A1248" s="2"/>
      <x:c r="B1248" s="2" t="n">
        <x:v>1243</x:v>
      </x:c>
      <x:c r="C1248" s="2" t="str">
        <x:v>Baby, Feminine &amp; Family Care / organic_volume_growth</x:v>
      </x:c>
      <x:c r="D1248" s="2" t="str">
        <x:v>Broad market</x:v>
      </x:c>
      <x:c r="E1248" s="7" t="n">
        <x:v>45473</x:v>
      </x:c>
      <x:c r="F1248" s="2" t="str">
        <x:v>Prior report</x:v>
      </x:c>
      <x:c r="G1248" s="7" t="n">
        <x:v>45401</x:v>
      </x:c>
      <x:c r="H1248" s="2" t="n">
        <x:v>12</x:v>
      </x:c>
      <x:c r="I1248" s="8" t="n">
        <x:v>40.03102350077526</x:v>
      </x:c>
      <x:c r="J1248" s="8" t="n">
        <x:v>0</x:v>
      </x:c>
      <x:c r="K1248" s="8" t="n">
        <x:v>-21</x:v>
      </x:c>
      <x:c r="L1248" s="8" t="n">
        <x:v>351.3749777225167</x:v>
      </x:c>
      <x:c r="M1248" s="8" t="n">
        <x:v>0</x:v>
      </x:c>
      <x:c r="N1248" s="8" t="n">
        <x:v>0</x:v>
      </x:c>
      <x:c r="O1248" s="8" t="n">
        <x:v>-46.59385707439391</x:v>
      </x:c>
      <x:c r="P1248" s="8" t="n">
        <x:v>0</x:v>
      </x:c>
      <x:c r="Q1248" s="8" t="n">
        <x:v>1.669924885570362</x:v>
      </x:c>
      <x:c r="R1248" s="8" t="n">
        <x:v>0</x:v>
      </x:c>
      <x:c r="S1248" s="8" t="n">
        <x:f>L1248-I1248^2/H1248</x:f>
        <x:v>217.83474084588158</x:v>
      </x:c>
      <x:c r="T1248" s="8" t="n">
        <x:f>M1248-J1248^2/H1248</x:f>
        <x:v>0</x:v>
      </x:c>
      <x:c r="U1248" s="8" t="n">
        <x:f>N1248-I1248*J1248/H1248</x:f>
        <x:v>0</x:v>
      </x:c>
      <x:c r="V1248" s="8" t="n">
        <x:f>O1248-I1248*K1248/H1248</x:f>
        <x:v>23.460434051962807</x:v>
      </x:c>
      <x:c r="W1248" s="8" t="n">
        <x:f>P1248-J1248*K1248/H1248</x:f>
        <x:v>0</x:v>
      </x:c>
      <x:c r="X1248" s="8" t="n">
        <x:f>V1248/S1248</x:f>
        <x:v>0.10769831277078572</x:v>
      </x:c>
      <x:c r="Y1248" s="8" t="n">
        <x:f>0</x:f>
        <x:v>0</x:v>
      </x:c>
      <x:c r="Z1248" s="8" t="n">
        <x:f>K1248/H1248-X1248*I1248/H1248-Y1248*J1248/H1248</x:f>
        <x:v>-2.1092728074600973</x:v>
      </x:c>
      <x:c r="AA1248" s="8" t="n">
        <x:f>Z1248+X1248*Q1248+Y1248*R1248</x:f>
        <x:v>-1.929424714830222</x:v>
      </x:c>
    </x:row>
    <x:row r="1249" ht="26" customHeight="1">
      <x:c r="A1249" s="2"/>
      <x:c r="B1249" s="2" t="n">
        <x:v>1244</x:v>
      </x:c>
      <x:c r="C1249" s="2" t="str">
        <x:v>Baby, Feminine &amp; Family Care / organic_volume_growth</x:v>
      </x:c>
      <x:c r="D1249" s="2" t="str">
        <x:v>Broad rolling 8</x:v>
      </x:c>
      <x:c r="E1249" s="7" t="n">
        <x:v>45473</x:v>
      </x:c>
      <x:c r="F1249" s="2" t="str">
        <x:v>Prior report</x:v>
      </x:c>
      <x:c r="G1249" s="7" t="n">
        <x:v>45401</x:v>
      </x:c>
      <x:c r="H1249" s="2" t="n">
        <x:v>8</x:v>
      </x:c>
      <x:c r="I1249" s="8" t="n">
        <x:v>5.901666759832869</x:v>
      </x:c>
      <x:c r="J1249" s="8" t="n">
        <x:v>0</x:v>
      </x:c>
      <x:c r="K1249" s="8" t="n">
        <x:v>-16</x:v>
      </x:c>
      <x:c r="L1249" s="8" t="n">
        <x:v>21.479908521791273</x:v>
      </x:c>
      <x:c r="M1249" s="8" t="n">
        <x:v>0</x:v>
      </x:c>
      <x:c r="N1249" s="8" t="n">
        <x:v>0</x:v>
      </x:c>
      <x:c r="O1249" s="8" t="n">
        <x:v>7.0188146615393965</x:v>
      </x:c>
      <x:c r="P1249" s="8" t="n">
        <x:v>0</x:v>
      </x:c>
      <x:c r="Q1249" s="8" t="n">
        <x:v>1.669924885570362</x:v>
      </x:c>
      <x:c r="R1249" s="8" t="n">
        <x:v>0</x:v>
      </x:c>
      <x:c r="S1249" s="8" t="n">
        <x:f>L1249-I1249^2/H1249</x:f>
        <x:v>17.12619970377675</x:v>
      </x:c>
      <x:c r="T1249" s="8" t="n">
        <x:f>M1249-J1249^2/H1249</x:f>
        <x:v>0</x:v>
      </x:c>
      <x:c r="U1249" s="8" t="n">
        <x:f>N1249-I1249*J1249/H1249</x:f>
        <x:v>0</x:v>
      </x:c>
      <x:c r="V1249" s="8" t="n">
        <x:f>O1249-I1249*K1249/H1249</x:f>
        <x:v>18.822148181205137</x:v>
      </x:c>
      <x:c r="W1249" s="8" t="n">
        <x:f>P1249-J1249*K1249/H1249</x:f>
        <x:v>0</x:v>
      </x:c>
      <x:c r="X1249" s="8" t="n">
        <x:f>V1249/S1249</x:f>
        <x:v>1.0990265503592365</x:v>
      </x:c>
      <x:c r="Y1249" s="8" t="n">
        <x:f>0</x:f>
        <x:v>0</x:v>
      </x:c>
      <x:c r="Z1249" s="8" t="n">
        <x:f>K1249/H1249-X1249*I1249/H1249-Y1249*J1249/H1249</x:f>
        <x:v>-2.8107610575536115</x:v>
      </x:c>
      <x:c r="AA1249" s="8" t="n">
        <x:f>Z1249+X1249*Q1249+Y1249*R1249</x:f>
        <x:v>-0.9754692712061739</x:v>
      </x:c>
    </x:row>
    <x:row r="1250" ht="26" customHeight="1">
      <x:c r="A1250" s="2"/>
      <x:c r="B1250" s="2" t="n">
        <x:v>1245</x:v>
      </x:c>
      <x:c r="C1250" s="2" t="str">
        <x:v>Baby, Feminine &amp; Family Care / organic_volume_growth</x:v>
      </x:c>
      <x:c r="D1250" s="2" t="str">
        <x:v>Own history</x:v>
      </x:c>
      <x:c r="E1250" s="7" t="n">
        <x:v>45473</x:v>
      </x:c>
      <x:c r="F1250" s="2" t="str">
        <x:v>Prior report</x:v>
      </x:c>
      <x:c r="G1250" s="7" t="n">
        <x:v>45401</x:v>
      </x:c>
      <x:c r="H1250" s="2" t="n">
        <x:v>12</x:v>
      </x:c>
      <x:c r="I1250" s="8" t="n">
        <x:v>-21</x:v>
      </x:c>
      <x:c r="J1250" s="8" t="n">
        <x:v>0</x:v>
      </x:c>
      <x:c r="K1250" s="8" t="n">
        <x:v>-20</x:v>
      </x:c>
      <x:c r="L1250" s="8" t="n">
        <x:v>105</x:v>
      </x:c>
      <x:c r="M1250" s="8" t="n">
        <x:v>0</x:v>
      </x:c>
      <x:c r="N1250" s="8" t="n">
        <x:v>0</x:v>
      </x:c>
      <x:c r="O1250" s="8" t="n">
        <x:v>66</x:v>
      </x:c>
      <x:c r="P1250" s="8" t="n">
        <x:v>0</x:v>
      </x:c>
      <x:c r="Q1250" s="8" t="n">
        <x:v>-3</x:v>
      </x:c>
      <x:c r="R1250" s="8" t="n">
        <x:v>0</x:v>
      </x:c>
      <x:c r="S1250" s="8" t="n">
        <x:f>L1250-I1250^2/H1250</x:f>
        <x:v>68.25</x:v>
      </x:c>
      <x:c r="T1250" s="8" t="n">
        <x:f>M1250-J1250^2/H1250</x:f>
        <x:v>0</x:v>
      </x:c>
      <x:c r="U1250" s="8" t="n">
        <x:f>N1250-I1250*J1250/H1250</x:f>
        <x:v>0</x:v>
      </x:c>
      <x:c r="V1250" s="8" t="n">
        <x:f>O1250-I1250*K1250/H1250</x:f>
        <x:v>31</x:v>
      </x:c>
      <x:c r="W1250" s="8" t="n">
        <x:f>P1250-J1250*K1250/H1250</x:f>
        <x:v>0</x:v>
      </x:c>
      <x:c r="X1250" s="8" t="n">
        <x:f>V1250/S1250</x:f>
        <x:v>0.4542124542124542</x:v>
      </x:c>
      <x:c r="Y1250" s="8" t="n">
        <x:f>0</x:f>
        <x:v>0</x:v>
      </x:c>
      <x:c r="Z1250" s="8" t="n">
        <x:f>K1250/H1250-X1250*I1250/H1250-Y1250*J1250/H1250</x:f>
        <x:v>-0.8717948717948719</x:v>
      </x:c>
      <x:c r="AA1250" s="8" t="n">
        <x:f>Z1250+X1250*Q1250+Y1250*R1250</x:f>
        <x:v>-2.2344322344322345</x:v>
      </x:c>
    </x:row>
    <x:row r="1251" ht="26" customHeight="1">
      <x:c r="A1251" s="2"/>
      <x:c r="B1251" s="2" t="n">
        <x:v>1246</x:v>
      </x:c>
      <x:c r="C1251" s="2" t="str">
        <x:v>Baby, Feminine &amp; Family Care / organic_volume_growth</x:v>
      </x:c>
      <x:c r="D1251" s="2" t="str">
        <x:v>Broad market</x:v>
      </x:c>
      <x:c r="E1251" s="7" t="n">
        <x:v>45473</x:v>
      </x:c>
      <x:c r="F1251" s="2" t="str">
        <x:v>Pre-earnings</x:v>
      </x:c>
      <x:c r="G1251" s="7" t="n">
        <x:v>45502</x:v>
      </x:c>
      <x:c r="H1251" s="2" t="n">
        <x:v>13</x:v>
      </x:c>
      <x:c r="I1251" s="8" t="n">
        <x:v>41.66273213711157</x:v>
      </x:c>
      <x:c r="J1251" s="8" t="n">
        <x:v>0</x:v>
      </x:c>
      <x:c r="K1251" s="8" t="n">
        <x:v>-24</x:v>
      </x:c>
      <x:c r="L1251" s="8" t="n">
        <x:v>354.0374507964112</x:v>
      </x:c>
      <x:c r="M1251" s="8" t="n">
        <x:v>0</x:v>
      </x:c>
      <x:c r="N1251" s="8" t="n">
        <x:v>0</x:v>
      </x:c>
      <x:c r="O1251" s="8" t="n">
        <x:v>-51.48898298340283</x:v>
      </x:c>
      <x:c r="P1251" s="8" t="n">
        <x:v>0</x:v>
      </x:c>
      <x:c r="Q1251" s="8" t="n">
        <x:v>1.745900082947749</x:v>
      </x:c>
      <x:c r="R1251" s="8" t="n">
        <x:v>0</x:v>
      </x:c>
      <x:c r="S1251" s="8" t="n">
        <x:f>L1251-I1251^2/H1251</x:f>
        <x:v>220.5156624018951</x:v>
      </x:c>
      <x:c r="T1251" s="8" t="n">
        <x:f>M1251-J1251^2/H1251</x:f>
        <x:v>0</x:v>
      </x:c>
      <x:c r="U1251" s="8" t="n">
        <x:f>N1251-I1251*J1251/H1251</x:f>
        <x:v>0</x:v>
      </x:c>
      <x:c r="V1251" s="8" t="n">
        <x:f>O1251-I1251*K1251/H1251</x:f>
        <x:v>25.426830192803145</x:v>
      </x:c>
      <x:c r="W1251" s="8" t="n">
        <x:f>P1251-J1251*K1251/H1251</x:f>
        <x:v>0</x:v>
      </x:c>
      <x:c r="X1251" s="8" t="n">
        <x:f>V1251/S1251</x:f>
        <x:v>0.11530623229139224</x:v>
      </x:c>
      <x:c r="Y1251" s="8" t="n">
        <x:f>0</x:f>
        <x:v>0</x:v>
      </x:c>
      <x:c r="Z1251" s="8" t="n">
        <x:f>K1251/H1251-X1251*I1251/H1251-Y1251*J1251/H1251</x:f>
        <x:v>-2.2156902053612186</x:v>
      </x:c>
      <x:c r="AA1251" s="8" t="n">
        <x:f>Z1251+X1251*Q1251+Y1251*R1251</x:f>
        <x:v>-2.0143770448392844</x:v>
      </x:c>
    </x:row>
    <x:row r="1252" ht="26" customHeight="1">
      <x:c r="A1252" s="2"/>
      <x:c r="B1252" s="2" t="n">
        <x:v>1247</x:v>
      </x:c>
      <x:c r="C1252" s="2" t="str">
        <x:v>Baby, Feminine &amp; Family Care / organic_volume_growth</x:v>
      </x:c>
      <x:c r="D1252" s="2" t="str">
        <x:v>Broad lag 1</x:v>
      </x:c>
      <x:c r="E1252" s="7" t="n">
        <x:v>45473</x:v>
      </x:c>
      <x:c r="F1252" s="2" t="str">
        <x:v>Pre-earnings</x:v>
      </x:c>
      <x:c r="G1252" s="7" t="n">
        <x:v>45502</x:v>
      </x:c>
      <x:c r="H1252" s="2" t="n">
        <x:v>12</x:v>
      </x:c>
      <x:c r="I1252" s="8" t="n">
        <x:v>40.03102350077526</x:v>
      </x:c>
      <x:c r="J1252" s="8" t="n">
        <x:v>0</x:v>
      </x:c>
      <x:c r="K1252" s="8" t="n">
        <x:v>-20</x:v>
      </x:c>
      <x:c r="L1252" s="8" t="n">
        <x:v>351.3749777225167</x:v>
      </x:c>
      <x:c r="M1252" s="8" t="n">
        <x:v>0</x:v>
      </x:c>
      <x:c r="N1252" s="8" t="n">
        <x:v>0</x:v>
      </x:c>
      <x:c r="O1252" s="8" t="n">
        <x:v>12.268989102918514</x:v>
      </x:c>
      <x:c r="P1252" s="8" t="n">
        <x:v>0</x:v>
      </x:c>
      <x:c r="Q1252" s="8" t="n">
        <x:v>1.6317086363363043</x:v>
      </x:c>
      <x:c r="R1252" s="8" t="n">
        <x:v>0</x:v>
      </x:c>
      <x:c r="S1252" s="8" t="n">
        <x:f>L1252-I1252^2/H1252</x:f>
        <x:v>217.83474084588158</x:v>
      </x:c>
      <x:c r="T1252" s="8" t="n">
        <x:f>M1252-J1252^2/H1252</x:f>
        <x:v>0</x:v>
      </x:c>
      <x:c r="U1252" s="8" t="n">
        <x:f>N1252-I1252*J1252/H1252</x:f>
        <x:v>0</x:v>
      </x:c>
      <x:c r="V1252" s="8" t="n">
        <x:f>O1252-I1252*K1252/H1252</x:f>
        <x:v>78.98736160421062</x:v>
      </x:c>
      <x:c r="W1252" s="8" t="n">
        <x:f>P1252-J1252*K1252/H1252</x:f>
        <x:v>0</x:v>
      </x:c>
      <x:c r="X1252" s="8" t="n">
        <x:f>V1252/S1252</x:f>
        <x:v>0.3626022245005185</x:v>
      </x:c>
      <x:c r="Y1252" s="8" t="n">
        <x:f>0</x:f>
        <x:v>0</x:v>
      </x:c>
      <x:c r="Z1252" s="8" t="n">
        <x:f>K1252/H1252-X1252*I1252/H1252-Y1252*J1252/H1252</x:f>
        <x:v>-2.8762781808678035</x:v>
      </x:c>
      <x:c r="AA1252" s="8" t="n">
        <x:f>Z1252+X1252*Q1252+Y1252*R1252</x:f>
        <x:v>-2.284616999595552</x:v>
      </x:c>
    </x:row>
    <x:row r="1253" ht="26" customHeight="1">
      <x:c r="A1253" s="2"/>
      <x:c r="B1253" s="2" t="n">
        <x:v>1248</x:v>
      </x:c>
      <x:c r="C1253" s="2" t="str">
        <x:v>Baby, Feminine &amp; Family Care / organic_volume_growth</x:v>
      </x:c>
      <x:c r="D1253" s="2" t="str">
        <x:v>Broad rolling 8</x:v>
      </x:c>
      <x:c r="E1253" s="7" t="n">
        <x:v>45473</x:v>
      </x:c>
      <x:c r="F1253" s="2" t="str">
        <x:v>Pre-earnings</x:v>
      </x:c>
      <x:c r="G1253" s="7" t="n">
        <x:v>45502</x:v>
      </x:c>
      <x:c r="H1253" s="2" t="n">
        <x:v>8</x:v>
      </x:c>
      <x:c r="I1253" s="8" t="n">
        <x:v>3.7828696225690073</x:v>
      </x:c>
      <x:c r="J1253" s="8" t="n">
        <x:v>0</x:v>
      </x:c>
      <x:c r="K1253" s="8" t="n">
        <x:v>-21</x:v>
      </x:c>
      <x:c r="L1253" s="8" t="n">
        <x:v>10.076088037877579</x:v>
      </x:c>
      <x:c r="M1253" s="8" t="n">
        <x:v>0</x:v>
      </x:c>
      <x:c r="N1253" s="8" t="n">
        <x:v>0</x:v>
      </x:c>
      <x:c r="O1253" s="8" t="n">
        <x:v>-5.377322794669848</x:v>
      </x:c>
      <x:c r="P1253" s="8" t="n">
        <x:v>0</x:v>
      </x:c>
      <x:c r="Q1253" s="8" t="n">
        <x:v>1.745900082947749</x:v>
      </x:c>
      <x:c r="R1253" s="8" t="n">
        <x:v>0</x:v>
      </x:c>
      <x:c r="S1253" s="8" t="n">
        <x:f>L1253-I1253^2/H1253</x:f>
        <x:v>8.287325215208156</x:v>
      </x:c>
      <x:c r="T1253" s="8" t="n">
        <x:f>M1253-J1253^2/H1253</x:f>
        <x:v>0</x:v>
      </x:c>
      <x:c r="U1253" s="8" t="n">
        <x:f>N1253-I1253*J1253/H1253</x:f>
        <x:v>0</x:v>
      </x:c>
      <x:c r="V1253" s="8" t="n">
        <x:f>O1253-I1253*K1253/H1253</x:f>
        <x:v>4.552709964573797</x:v>
      </x:c>
      <x:c r="W1253" s="8" t="n">
        <x:f>P1253-J1253*K1253/H1253</x:f>
        <x:v>0</x:v>
      </x:c>
      <x:c r="X1253" s="8" t="n">
        <x:f>V1253/S1253</x:f>
        <x:v>0.5493581881182932</x:v>
      </x:c>
      <x:c r="Y1253" s="8" t="n">
        <x:f>0</x:f>
        <x:v>0</x:v>
      </x:c>
      <x:c r="Z1253" s="8" t="n">
        <x:f>K1253/H1253-X1253*I1253/H1253-Y1253*J1253/H1253</x:f>
        <x:v>-2.8847688002177803</x:v>
      </x:c>
      <x:c r="AA1253" s="8" t="n">
        <x:f>Z1253+X1253*Q1253+Y1253*R1253</x:f>
        <x:v>-1.925644294014027</x:v>
      </x:c>
    </x:row>
    <x:row r="1254" ht="26" customHeight="1">
      <x:c r="A1254" s="2"/>
      <x:c r="B1254" s="2" t="n">
        <x:v>1249</x:v>
      </x:c>
      <x:c r="C1254" s="2" t="str">
        <x:v>Baby, Feminine &amp; Family Care / organic_volume_growth</x:v>
      </x:c>
      <x:c r="D1254" s="2" t="str">
        <x:v>Own history</x:v>
      </x:c>
      <x:c r="E1254" s="7" t="n">
        <x:v>45473</x:v>
      </x:c>
      <x:c r="F1254" s="2" t="str">
        <x:v>Pre-earnings</x:v>
      </x:c>
      <x:c r="G1254" s="7" t="n">
        <x:v>45502</x:v>
      </x:c>
      <x:c r="H1254" s="2" t="n">
        <x:v>12</x:v>
      </x:c>
      <x:c r="I1254" s="8" t="n">
        <x:v>-21</x:v>
      </x:c>
      <x:c r="J1254" s="8" t="n">
        <x:v>0</x:v>
      </x:c>
      <x:c r="K1254" s="8" t="n">
        <x:v>-20</x:v>
      </x:c>
      <x:c r="L1254" s="8" t="n">
        <x:v>105</x:v>
      </x:c>
      <x:c r="M1254" s="8" t="n">
        <x:v>0</x:v>
      </x:c>
      <x:c r="N1254" s="8" t="n">
        <x:v>0</x:v>
      </x:c>
      <x:c r="O1254" s="8" t="n">
        <x:v>66</x:v>
      </x:c>
      <x:c r="P1254" s="8" t="n">
        <x:v>0</x:v>
      </x:c>
      <x:c r="Q1254" s="8" t="n">
        <x:v>-3</x:v>
      </x:c>
      <x:c r="R1254" s="8" t="n">
        <x:v>0</x:v>
      </x:c>
      <x:c r="S1254" s="8" t="n">
        <x:f>L1254-I1254^2/H1254</x:f>
        <x:v>68.25</x:v>
      </x:c>
      <x:c r="T1254" s="8" t="n">
        <x:f>M1254-J1254^2/H1254</x:f>
        <x:v>0</x:v>
      </x:c>
      <x:c r="U1254" s="8" t="n">
        <x:f>N1254-I1254*J1254/H1254</x:f>
        <x:v>0</x:v>
      </x:c>
      <x:c r="V1254" s="8" t="n">
        <x:f>O1254-I1254*K1254/H1254</x:f>
        <x:v>31</x:v>
      </x:c>
      <x:c r="W1254" s="8" t="n">
        <x:f>P1254-J1254*K1254/H1254</x:f>
        <x:v>0</x:v>
      </x:c>
      <x:c r="X1254" s="8" t="n">
        <x:f>V1254/S1254</x:f>
        <x:v>0.4542124542124542</x:v>
      </x:c>
      <x:c r="Y1254" s="8" t="n">
        <x:f>0</x:f>
        <x:v>0</x:v>
      </x:c>
      <x:c r="Z1254" s="8" t="n">
        <x:f>K1254/H1254-X1254*I1254/H1254-Y1254*J1254/H1254</x:f>
        <x:v>-0.8717948717948719</x:v>
      </x:c>
      <x:c r="AA1254" s="8" t="n">
        <x:f>Z1254+X1254*Q1254+Y1254*R1254</x:f>
        <x:v>-2.2344322344322345</x:v>
      </x:c>
    </x:row>
    <x:row r="1255" ht="26" customHeight="1">
      <x:c r="A1255" s="2"/>
      <x:c r="B1255" s="2" t="n">
        <x:v>1250</x:v>
      </x:c>
      <x:c r="C1255" s="2" t="str">
        <x:v>Baby, Feminine &amp; Family Care / organic_volume_growth</x:v>
      </x:c>
      <x:c r="D1255" s="2" t="str">
        <x:v>Broad market</x:v>
      </x:c>
      <x:c r="E1255" s="7" t="n">
        <x:v>45565</x:v>
      </x:c>
      <x:c r="F1255" s="2" t="str">
        <x:v>Origin</x:v>
      </x:c>
      <x:c r="G1255" s="7" t="n">
        <x:v>45474</x:v>
      </x:c>
      <x:c r="H1255" s="2" t="n">
        <x:v>13</x:v>
      </x:c>
      <x:c r="I1255" s="8" t="n">
        <x:v>41.66273213711157</x:v>
      </x:c>
      <x:c r="J1255" s="8" t="n">
        <x:v>0</x:v>
      </x:c>
      <x:c r="K1255" s="8" t="n">
        <x:v>-24</x:v>
      </x:c>
      <x:c r="L1255" s="8" t="n">
        <x:v>354.0374507964112</x:v>
      </x:c>
      <x:c r="M1255" s="8" t="n">
        <x:v>0</x:v>
      </x:c>
      <x:c r="N1255" s="8" t="n">
        <x:v>0</x:v>
      </x:c>
      <x:c r="O1255" s="8" t="n">
        <x:v>-51.48898298340283</x:v>
      </x:c>
      <x:c r="P1255" s="8" t="n">
        <x:v>0</x:v>
      </x:c>
      <x:c r="Q1255" s="8" t="n">
        <x:v>1.8076142102986026</x:v>
      </x:c>
      <x:c r="R1255" s="8" t="n">
        <x:v>0</x:v>
      </x:c>
      <x:c r="S1255" s="8" t="n">
        <x:f>L1255-I1255^2/H1255</x:f>
        <x:v>220.5156624018951</x:v>
      </x:c>
      <x:c r="T1255" s="8" t="n">
        <x:f>M1255-J1255^2/H1255</x:f>
        <x:v>0</x:v>
      </x:c>
      <x:c r="U1255" s="8" t="n">
        <x:f>N1255-I1255*J1255/H1255</x:f>
        <x:v>0</x:v>
      </x:c>
      <x:c r="V1255" s="8" t="n">
        <x:f>O1255-I1255*K1255/H1255</x:f>
        <x:v>25.426830192803145</x:v>
      </x:c>
      <x:c r="W1255" s="8" t="n">
        <x:f>P1255-J1255*K1255/H1255</x:f>
        <x:v>0</x:v>
      </x:c>
      <x:c r="X1255" s="8" t="n">
        <x:f>V1255/S1255</x:f>
        <x:v>0.11530623229139224</x:v>
      </x:c>
      <x:c r="Y1255" s="8" t="n">
        <x:f>0</x:f>
        <x:v>0</x:v>
      </x:c>
      <x:c r="Z1255" s="8" t="n">
        <x:f>K1255/H1255-X1255*I1255/H1255-Y1255*J1255/H1255</x:f>
        <x:v>-2.2156902053612186</x:v>
      </x:c>
      <x:c r="AA1255" s="8" t="n">
        <x:f>Z1255+X1255*Q1255+Y1255*R1255</x:f>
        <x:v>-2.0072610213353066</x:v>
      </x:c>
    </x:row>
    <x:row r="1256" ht="26" customHeight="1">
      <x:c r="A1256" s="2"/>
      <x:c r="B1256" s="2" t="n">
        <x:v>1251</x:v>
      </x:c>
      <x:c r="C1256" s="2" t="str">
        <x:v>Baby, Feminine &amp; Family Care / organic_volume_growth</x:v>
      </x:c>
      <x:c r="D1256" s="2" t="str">
        <x:v>Broad rolling 8</x:v>
      </x:c>
      <x:c r="E1256" s="7" t="n">
        <x:v>45565</x:v>
      </x:c>
      <x:c r="F1256" s="2" t="str">
        <x:v>Origin</x:v>
      </x:c>
      <x:c r="G1256" s="7" t="n">
        <x:v>45474</x:v>
      </x:c>
      <x:c r="H1256" s="2" t="n">
        <x:v>8</x:v>
      </x:c>
      <x:c r="I1256" s="8" t="n">
        <x:v>3.7828696225690073</x:v>
      </x:c>
      <x:c r="J1256" s="8" t="n">
        <x:v>0</x:v>
      </x:c>
      <x:c r="K1256" s="8" t="n">
        <x:v>-21</x:v>
      </x:c>
      <x:c r="L1256" s="8" t="n">
        <x:v>10.076088037877579</x:v>
      </x:c>
      <x:c r="M1256" s="8" t="n">
        <x:v>0</x:v>
      </x:c>
      <x:c r="N1256" s="8" t="n">
        <x:v>0</x:v>
      </x:c>
      <x:c r="O1256" s="8" t="n">
        <x:v>-5.377322794669848</x:v>
      </x:c>
      <x:c r="P1256" s="8" t="n">
        <x:v>0</x:v>
      </x:c>
      <x:c r="Q1256" s="8" t="n">
        <x:v>1.8076142102986026</x:v>
      </x:c>
      <x:c r="R1256" s="8" t="n">
        <x:v>0</x:v>
      </x:c>
      <x:c r="S1256" s="8" t="n">
        <x:f>L1256-I1256^2/H1256</x:f>
        <x:v>8.287325215208156</x:v>
      </x:c>
      <x:c r="T1256" s="8" t="n">
        <x:f>M1256-J1256^2/H1256</x:f>
        <x:v>0</x:v>
      </x:c>
      <x:c r="U1256" s="8" t="n">
        <x:f>N1256-I1256*J1256/H1256</x:f>
        <x:v>0</x:v>
      </x:c>
      <x:c r="V1256" s="8" t="n">
        <x:f>O1256-I1256*K1256/H1256</x:f>
        <x:v>4.552709964573797</x:v>
      </x:c>
      <x:c r="W1256" s="8" t="n">
        <x:f>P1256-J1256*K1256/H1256</x:f>
        <x:v>0</x:v>
      </x:c>
      <x:c r="X1256" s="8" t="n">
        <x:f>V1256/S1256</x:f>
        <x:v>0.5493581881182932</x:v>
      </x:c>
      <x:c r="Y1256" s="8" t="n">
        <x:f>0</x:f>
        <x:v>0</x:v>
      </x:c>
      <x:c r="Z1256" s="8" t="n">
        <x:f>K1256/H1256-X1256*I1256/H1256-Y1256*J1256/H1256</x:f>
        <x:v>-2.8847688002177803</x:v>
      </x:c>
      <x:c r="AA1256" s="8" t="n">
        <x:f>Z1256+X1256*Q1256+Y1256*R1256</x:f>
        <x:v>-1.8917411328312606</x:v>
      </x:c>
    </x:row>
    <x:row r="1257" ht="26" customHeight="1">
      <x:c r="A1257" s="2"/>
      <x:c r="B1257" s="2" t="n">
        <x:v>1252</x:v>
      </x:c>
      <x:c r="C1257" s="2" t="str">
        <x:v>Baby, Feminine &amp; Family Care / organic_volume_growth</x:v>
      </x:c>
      <x:c r="D1257" s="2" t="str">
        <x:v>Own history</x:v>
      </x:c>
      <x:c r="E1257" s="7" t="n">
        <x:v>45565</x:v>
      </x:c>
      <x:c r="F1257" s="2" t="str">
        <x:v>Origin</x:v>
      </x:c>
      <x:c r="G1257" s="7" t="n">
        <x:v>45474</x:v>
      </x:c>
      <x:c r="H1257" s="2" t="n">
        <x:v>11</x:v>
      </x:c>
      <x:c r="I1257" s="8" t="n">
        <x:v>-19</x:v>
      </x:c>
      <x:c r="J1257" s="8" t="n">
        <x:v>0</x:v>
      </x:c>
      <x:c r="K1257" s="8" t="n">
        <x:v>-17</x:v>
      </x:c>
      <x:c r="L1257" s="8" t="n">
        <x:v>101</x:v>
      </x:c>
      <x:c r="M1257" s="8" t="n">
        <x:v>0</x:v>
      </x:c>
      <x:c r="N1257" s="8" t="n">
        <x:v>0</x:v>
      </x:c>
      <x:c r="O1257" s="8" t="n">
        <x:v>22</x:v>
      </x:c>
      <x:c r="P1257" s="8" t="n">
        <x:v>0</x:v>
      </x:c>
      <x:c r="Q1257" s="8" t="n">
        <x:v>-3</x:v>
      </x:c>
      <x:c r="R1257" s="8" t="n">
        <x:v>0</x:v>
      </x:c>
      <x:c r="S1257" s="8" t="n">
        <x:f>L1257-I1257^2/H1257</x:f>
        <x:v>68.18181818181819</x:v>
      </x:c>
      <x:c r="T1257" s="8" t="n">
        <x:f>M1257-J1257^2/H1257</x:f>
        <x:v>0</x:v>
      </x:c>
      <x:c r="U1257" s="8" t="n">
        <x:f>N1257-I1257*J1257/H1257</x:f>
        <x:v>0</x:v>
      </x:c>
      <x:c r="V1257" s="8" t="n">
        <x:f>O1257-I1257*K1257/H1257</x:f>
        <x:v>-7.363636363636363</x:v>
      </x:c>
      <x:c r="W1257" s="8" t="n">
        <x:f>P1257-J1257*K1257/H1257</x:f>
        <x:v>0</x:v>
      </x:c>
      <x:c r="X1257" s="8" t="n">
        <x:f>V1257/S1257</x:f>
        <x:v>-0.10799999999999998</x:v>
      </x:c>
      <x:c r="Y1257" s="8" t="n">
        <x:f>0</x:f>
        <x:v>0</x:v>
      </x:c>
      <x:c r="Z1257" s="8" t="n">
        <x:f>K1257/H1257-X1257*I1257/H1257-Y1257*J1257/H1257</x:f>
        <x:v>-1.732</x:v>
      </x:c>
      <x:c r="AA1257" s="8" t="n">
        <x:f>Z1257+X1257*Q1257+Y1257*R1257</x:f>
        <x:v>-1.408</x:v>
      </x:c>
    </x:row>
    <x:row r="1258" ht="26" customHeight="1">
      <x:c r="A1258" s="2"/>
      <x:c r="B1258" s="2" t="n">
        <x:v>1253</x:v>
      </x:c>
      <x:c r="C1258" s="2" t="str">
        <x:v>Baby, Feminine &amp; Family Care / organic_volume_growth</x:v>
      </x:c>
      <x:c r="D1258" s="2" t="str">
        <x:v>Broad market</x:v>
      </x:c>
      <x:c r="E1258" s="7" t="n">
        <x:v>45565</x:v>
      </x:c>
      <x:c r="F1258" s="2" t="str">
        <x:v>Prior report</x:v>
      </x:c>
      <x:c r="G1258" s="7" t="n">
        <x:v>45503</x:v>
      </x:c>
      <x:c r="H1258" s="2" t="n">
        <x:v>14</x:v>
      </x:c>
      <x:c r="I1258" s="8" t="n">
        <x:v>43.40863222005932</x:v>
      </x:c>
      <x:c r="J1258" s="8" t="n">
        <x:v>0</x:v>
      </x:c>
      <x:c r="K1258" s="8" t="n">
        <x:v>-25</x:v>
      </x:c>
      <x:c r="L1258" s="8" t="n">
        <x:v>357.0856178960481</x:v>
      </x:c>
      <x:c r="M1258" s="8" t="n">
        <x:v>0</x:v>
      </x:c>
      <x:c r="N1258" s="8" t="n">
        <x:v>0</x:v>
      </x:c>
      <x:c r="O1258" s="8" t="n">
        <x:v>-53.23488306635058</x:v>
      </x:c>
      <x:c r="P1258" s="8" t="n">
        <x:v>0</x:v>
      </x:c>
      <x:c r="Q1258" s="8" t="n">
        <x:v>1.7457094853091215</x:v>
      </x:c>
      <x:c r="R1258" s="8" t="n">
        <x:v>0</x:v>
      </x:c>
      <x:c r="S1258" s="8" t="n">
        <x:f>L1258-I1258^2/H1258</x:f>
        <x:v>222.4920928091644</x:v>
      </x:c>
      <x:c r="T1258" s="8" t="n">
        <x:f>M1258-J1258^2/H1258</x:f>
        <x:v>0</x:v>
      </x:c>
      <x:c r="U1258" s="8" t="n">
        <x:f>N1258-I1258*J1258/H1258</x:f>
        <x:v>0</x:v>
      </x:c>
      <x:c r="V1258" s="8" t="n">
        <x:f>O1258-I1258*K1258/H1258</x:f>
        <x:v>24.28053161232677</x:v>
      </x:c>
      <x:c r="W1258" s="8" t="n">
        <x:f>P1258-J1258*K1258/H1258</x:f>
        <x:v>0</x:v>
      </x:c>
      <x:c r="X1258" s="8" t="n">
        <x:f>V1258/S1258</x:f>
        <x:v>0.10912986302462727</x:v>
      </x:c>
      <x:c r="Y1258" s="8" t="n">
        <x:f>0</x:f>
        <x:v>0</x:v>
      </x:c>
      <x:c r="Z1258" s="8" t="n">
        <x:f>K1258/H1258-X1258*I1258/H1258-Y1258*J1258/H1258</x:f>
        <x:v>-2.1240841491615354</x:v>
      </x:c>
      <x:c r="AA1258" s="8" t="n">
        <x:f>Z1258+X1258*Q1258+Y1258*R1258</x:f>
        <x:v>-1.9335751121489584</x:v>
      </x:c>
    </x:row>
    <x:row r="1259" ht="26" customHeight="1">
      <x:c r="A1259" s="2"/>
      <x:c r="B1259" s="2" t="n">
        <x:v>1254</x:v>
      </x:c>
      <x:c r="C1259" s="2" t="str">
        <x:v>Baby, Feminine &amp; Family Care / organic_volume_growth</x:v>
      </x:c>
      <x:c r="D1259" s="2" t="str">
        <x:v>Broad lag 1</x:v>
      </x:c>
      <x:c r="E1259" s="7" t="n">
        <x:v>45565</x:v>
      </x:c>
      <x:c r="F1259" s="2" t="str">
        <x:v>Prior report</x:v>
      </x:c>
      <x:c r="G1259" s="7" t="n">
        <x:v>45503</x:v>
      </x:c>
      <x:c r="H1259" s="2" t="n">
        <x:v>13</x:v>
      </x:c>
      <x:c r="I1259" s="8" t="n">
        <x:v>41.66273213711157</x:v>
      </x:c>
      <x:c r="J1259" s="8" t="n">
        <x:v>0</x:v>
      </x:c>
      <x:c r="K1259" s="8" t="n">
        <x:v>-21</x:v>
      </x:c>
      <x:c r="L1259" s="8" t="n">
        <x:v>354.0374507964112</x:v>
      </x:c>
      <x:c r="M1259" s="8" t="n">
        <x:v>0</x:v>
      </x:c>
      <x:c r="N1259" s="8" t="n">
        <x:v>0</x:v>
      </x:c>
      <x:c r="O1259" s="8" t="n">
        <x:v>10.637280466582208</x:v>
      </x:c>
      <x:c r="P1259" s="8" t="n">
        <x:v>0</x:v>
      </x:c>
      <x:c r="Q1259" s="8" t="n">
        <x:v>1.745900082947749</x:v>
      </x:c>
      <x:c r="R1259" s="8" t="n">
        <x:v>0</x:v>
      </x:c>
      <x:c r="S1259" s="8" t="n">
        <x:f>L1259-I1259^2/H1259</x:f>
        <x:v>220.5156624018951</x:v>
      </x:c>
      <x:c r="T1259" s="8" t="n">
        <x:f>M1259-J1259^2/H1259</x:f>
        <x:v>0</x:v>
      </x:c>
      <x:c r="U1259" s="8" t="n">
        <x:f>N1259-I1259*J1259/H1259</x:f>
        <x:v>0</x:v>
      </x:c>
      <x:c r="V1259" s="8" t="n">
        <x:f>O1259-I1259*K1259/H1259</x:f>
        <x:v>77.93861699576243</x:v>
      </x:c>
      <x:c r="W1259" s="8" t="n">
        <x:f>P1259-J1259*K1259/H1259</x:f>
        <x:v>0</x:v>
      </x:c>
      <x:c r="X1259" s="8" t="n">
        <x:f>V1259/S1259</x:f>
        <x:v>0.3534380104652949</x:v>
      </x:c>
      <x:c r="Y1259" s="8" t="n">
        <x:f>0</x:f>
        <x:v>0</x:v>
      </x:c>
      <x:c r="Z1259" s="8" t="n">
        <x:f>K1259/H1259-X1259*I1259/H1259-Y1259*J1259/H1259</x:f>
        <x:v>-2.748091781314555</x:v>
      </x:c>
      <x:c r="AA1259" s="8" t="n">
        <x:f>Z1259+X1259*Q1259+Y1259*R1259</x:f>
        <x:v>-2.1310243295263094</x:v>
      </x:c>
    </x:row>
    <x:row r="1260" ht="26" customHeight="1">
      <x:c r="A1260" s="2"/>
      <x:c r="B1260" s="2" t="n">
        <x:v>1255</x:v>
      </x:c>
      <x:c r="C1260" s="2" t="str">
        <x:v>Baby, Feminine &amp; Family Care / organic_volume_growth</x:v>
      </x:c>
      <x:c r="D1260" s="2" t="str">
        <x:v>Broad rolling 8</x:v>
      </x:c>
      <x:c r="E1260" s="7" t="n">
        <x:v>45565</x:v>
      </x:c>
      <x:c r="F1260" s="2" t="str">
        <x:v>Prior report</x:v>
      </x:c>
      <x:c r="G1260" s="7" t="n">
        <x:v>45503</x:v>
      </x:c>
      <x:c r="H1260" s="2" t="n">
        <x:v>8</x:v>
      </x:c>
      <x:c r="I1260" s="8" t="n">
        <x:v>5.304269069097545</x:v>
      </x:c>
      <x:c r="J1260" s="8" t="n">
        <x:v>0</x:v>
      </x:c>
      <x:c r="K1260" s="8" t="n">
        <x:v>-22</x:v>
      </x:c>
      <x:c r="L1260" s="8" t="n">
        <x:v>13.073854601761903</x:v>
      </x:c>
      <x:c r="M1260" s="8" t="n">
        <x:v>0</x:v>
      </x:c>
      <x:c r="N1260" s="8" t="n">
        <x:v>0</x:v>
      </x:c>
      <x:c r="O1260" s="8" t="n">
        <x:v>-7.1232228776175965</x:v>
      </x:c>
      <x:c r="P1260" s="8" t="n">
        <x:v>0</x:v>
      </x:c>
      <x:c r="Q1260" s="8" t="n">
        <x:v>1.7457094853091215</x:v>
      </x:c>
      <x:c r="R1260" s="8" t="n">
        <x:v>0</x:v>
      </x:c>
      <x:c r="S1260" s="8" t="n">
        <x:f>L1260-I1260^2/H1260</x:f>
        <x:v>9.556945807088786</x:v>
      </x:c>
      <x:c r="T1260" s="8" t="n">
        <x:f>M1260-J1260^2/H1260</x:f>
        <x:v>0</x:v>
      </x:c>
      <x:c r="U1260" s="8" t="n">
        <x:f>N1260-I1260*J1260/H1260</x:f>
        <x:v>0</x:v>
      </x:c>
      <x:c r="V1260" s="8" t="n">
        <x:f>O1260-I1260*K1260/H1260</x:f>
        <x:v>7.463517062400653</x:v>
      </x:c>
      <x:c r="W1260" s="8" t="n">
        <x:f>P1260-J1260*K1260/H1260</x:f>
        <x:v>0</x:v>
      </x:c>
      <x:c r="X1260" s="8" t="n">
        <x:f>V1260/S1260</x:f>
        <x:v>0.7809521172407037</x:v>
      </x:c>
      <x:c r="Y1260" s="8" t="n">
        <x:f>0</x:f>
        <x:v>0</x:v>
      </x:c>
      <x:c r="Z1260" s="8" t="n">
        <x:f>K1260/H1260-X1260*I1260/H1260-Y1260*J1260/H1260</x:f>
        <x:v>-3.267797519990763</x:v>
      </x:c>
      <x:c r="AA1260" s="8" t="n">
        <x:f>Z1260+X1260*Q1260+Y1260*R1260</x:f>
        <x:v>-1.9044820013514256</x:v>
      </x:c>
    </x:row>
    <x:row r="1261" ht="26" customHeight="1">
      <x:c r="A1261" s="2"/>
      <x:c r="B1261" s="2" t="n">
        <x:v>1256</x:v>
      </x:c>
      <x:c r="C1261" s="2" t="str">
        <x:v>Baby, Feminine &amp; Family Care / organic_volume_growth</x:v>
      </x:c>
      <x:c r="D1261" s="2" t="str">
        <x:v>Own history</x:v>
      </x:c>
      <x:c r="E1261" s="7" t="n">
        <x:v>45565</x:v>
      </x:c>
      <x:c r="F1261" s="2" t="str">
        <x:v>Prior report</x:v>
      </x:c>
      <x:c r="G1261" s="7" t="n">
        <x:v>45503</x:v>
      </x:c>
      <x:c r="H1261" s="2" t="n">
        <x:v>13</x:v>
      </x:c>
      <x:c r="I1261" s="8" t="n">
        <x:v>-24</x:v>
      </x:c>
      <x:c r="J1261" s="8" t="n">
        <x:v>0</x:v>
      </x:c>
      <x:c r="K1261" s="8" t="n">
        <x:v>-21</x:v>
      </x:c>
      <x:c r="L1261" s="8" t="n">
        <x:v>114</x:v>
      </x:c>
      <x:c r="M1261" s="8" t="n">
        <x:v>0</x:v>
      </x:c>
      <x:c r="N1261" s="8" t="n">
        <x:v>0</x:v>
      </x:c>
      <x:c r="O1261" s="8" t="n">
        <x:v>69</x:v>
      </x:c>
      <x:c r="P1261" s="8" t="n">
        <x:v>0</x:v>
      </x:c>
      <x:c r="Q1261" s="8" t="n">
        <x:v>-1</x:v>
      </x:c>
      <x:c r="R1261" s="8" t="n">
        <x:v>0</x:v>
      </x:c>
      <x:c r="S1261" s="8" t="n">
        <x:f>L1261-I1261^2/H1261</x:f>
        <x:v>69.6923076923077</x:v>
      </x:c>
      <x:c r="T1261" s="8" t="n">
        <x:f>M1261-J1261^2/H1261</x:f>
        <x:v>0</x:v>
      </x:c>
      <x:c r="U1261" s="8" t="n">
        <x:f>N1261-I1261*J1261/H1261</x:f>
        <x:v>0</x:v>
      </x:c>
      <x:c r="V1261" s="8" t="n">
        <x:f>O1261-I1261*K1261/H1261</x:f>
        <x:v>30.230769230769234</x:v>
      </x:c>
      <x:c r="W1261" s="8" t="n">
        <x:f>P1261-J1261*K1261/H1261</x:f>
        <x:v>0</x:v>
      </x:c>
      <x:c r="X1261" s="8" t="n">
        <x:f>V1261/S1261</x:f>
        <x:v>0.43377483443708614</x:v>
      </x:c>
      <x:c r="Y1261" s="8" t="n">
        <x:f>0</x:f>
        <x:v>0</x:v>
      </x:c>
      <x:c r="Z1261" s="8" t="n">
        <x:f>K1261/H1261-X1261*I1261/H1261-Y1261*J1261/H1261</x:f>
        <x:v>-0.814569536423841</x:v>
      </x:c>
      <x:c r="AA1261" s="8" t="n">
        <x:f>Z1261+X1261*Q1261+Y1261*R1261</x:f>
        <x:v>-1.2483443708609272</x:v>
      </x:c>
    </x:row>
    <x:row r="1262" ht="26" customHeight="1">
      <x:c r="A1262" s="2"/>
      <x:c r="B1262" s="2" t="n">
        <x:v>1257</x:v>
      </x:c>
      <x:c r="C1262" s="2" t="str">
        <x:v>Baby, Feminine &amp; Family Care / organic_volume_growth</x:v>
      </x:c>
      <x:c r="D1262" s="2" t="str">
        <x:v>Broad market</x:v>
      </x:c>
      <x:c r="E1262" s="7" t="n">
        <x:v>45565</x:v>
      </x:c>
      <x:c r="F1262" s="2" t="str">
        <x:v>Pre-earnings</x:v>
      </x:c>
      <x:c r="G1262" s="7" t="n">
        <x:v>45582</x:v>
      </x:c>
      <x:c r="H1262" s="2" t="n">
        <x:v>14</x:v>
      </x:c>
      <x:c r="I1262" s="8" t="n">
        <x:v>41.58880663164729</x:v>
      </x:c>
      <x:c r="J1262" s="8" t="n">
        <x:v>0</x:v>
      </x:c>
      <x:c r="K1262" s="8" t="n">
        <x:v>-25</x:v>
      </x:c>
      <x:c r="L1262" s="8" t="n">
        <x:v>366.7871092575401</x:v>
      </x:c>
      <x:c r="M1262" s="8" t="n">
        <x:v>0</x:v>
      </x:c>
      <x:c r="N1262" s="8" t="n">
        <x:v>0</x:v>
      </x:c>
      <x:c r="O1262" s="8" t="n">
        <x:v>-50.125136226470964</x:v>
      </x:c>
      <x:c r="P1262" s="8" t="n">
        <x:v>0</x:v>
      </x:c>
      <x:c r="Q1262" s="8" t="n">
        <x:v>2.202595864225132</x:v>
      </x:c>
      <x:c r="R1262" s="8" t="n">
        <x:v>0</x:v>
      </x:c>
      <x:c r="S1262" s="8" t="n">
        <x:f>L1262-I1262^2/H1262</x:f>
        <x:v>243.24219232578662</x:v>
      </x:c>
      <x:c r="T1262" s="8" t="n">
        <x:f>M1262-J1262^2/H1262</x:f>
        <x:v>0</x:v>
      </x:c>
      <x:c r="U1262" s="8" t="n">
        <x:f>N1262-I1262*J1262/H1262</x:f>
        <x:v>0</x:v>
      </x:c>
      <x:c r="V1262" s="8" t="n">
        <x:f>O1262-I1262*K1262/H1262</x:f>
        <x:v>24.140589901470612</x:v>
      </x:c>
      <x:c r="W1262" s="8" t="n">
        <x:f>P1262-J1262*K1262/H1262</x:f>
        <x:v>0</x:v>
      </x:c>
      <x:c r="X1262" s="8" t="n">
        <x:f>V1262/S1262</x:f>
        <x:v>0.0992450761549538</x:v>
      </x:c>
      <x:c r="Y1262" s="8" t="n">
        <x:f>0</x:f>
        <x:v>0</x:v>
      </x:c>
      <x:c r="Z1262" s="8" t="n">
        <x:f>K1262/H1262-X1262*I1262/H1262-Y1262*J1262/H1262</x:f>
        <x:v>-2.080534591525106</x:v>
      </x:c>
      <x:c r="AA1262" s="8" t="n">
        <x:f>Z1262+X1262*Q1262+Y1262*R1262</x:f>
        <x:v>-1.8619377972414963</x:v>
      </x:c>
    </x:row>
    <x:row r="1263" ht="26" customHeight="1">
      <x:c r="A1263" s="2"/>
      <x:c r="B1263" s="2" t="n">
        <x:v>1258</x:v>
      </x:c>
      <x:c r="C1263" s="2" t="str">
        <x:v>Baby, Feminine &amp; Family Care / organic_volume_growth</x:v>
      </x:c>
      <x:c r="D1263" s="2" t="str">
        <x:v>Broad lag 1</x:v>
      </x:c>
      <x:c r="E1263" s="7" t="n">
        <x:v>45565</x:v>
      </x:c>
      <x:c r="F1263" s="2" t="str">
        <x:v>Pre-earnings</x:v>
      </x:c>
      <x:c r="G1263" s="7" t="n">
        <x:v>45582</x:v>
      </x:c>
      <x:c r="H1263" s="2" t="n">
        <x:v>13</x:v>
      </x:c>
      <x:c r="I1263" s="8" t="n">
        <x:v>39.71481502953479</x:v>
      </x:c>
      <x:c r="J1263" s="8" t="n">
        <x:v>0</x:v>
      </x:c>
      <x:c r="K1263" s="8" t="n">
        <x:v>-21</x:v>
      </x:c>
      <x:c r="L1263" s="8" t="n">
        <x:v>363.2752647327519</x:v>
      </x:c>
      <x:c r="M1263" s="8" t="n">
        <x:v>0</x:v>
      </x:c>
      <x:c r="N1263" s="8" t="n">
        <x:v>0</x:v>
      </x:c>
      <x:c r="O1263" s="8" t="n">
        <x:v>16.761162092142445</x:v>
      </x:c>
      <x:c r="P1263" s="8" t="n">
        <x:v>0</x:v>
      </x:c>
      <x:c r="Q1263" s="8" t="n">
        <x:v>1.8739916021125014</x:v>
      </x:c>
      <x:c r="R1263" s="8" t="n">
        <x:v>0</x:v>
      </x:c>
      <x:c r="S1263" s="8" t="n">
        <x:f>L1263-I1263^2/H1263</x:f>
        <x:v>241.9470698996625</x:v>
      </x:c>
      <x:c r="T1263" s="8" t="n">
        <x:f>M1263-J1263^2/H1263</x:f>
        <x:v>0</x:v>
      </x:c>
      <x:c r="U1263" s="8" t="n">
        <x:f>N1263-I1263*J1263/H1263</x:f>
        <x:v>0</x:v>
      </x:c>
      <x:c r="V1263" s="8" t="n">
        <x:f>O1263-I1263*K1263/H1263</x:f>
        <x:v>80.91586329369865</x:v>
      </x:c>
      <x:c r="W1263" s="8" t="n">
        <x:f>P1263-J1263*K1263/H1263</x:f>
        <x:v>0</x:v>
      </x:c>
      <x:c r="X1263" s="8" t="n">
        <x:f>V1263/S1263</x:f>
        <x:v>0.33443621915840993</x:v>
      </x:c>
      <x:c r="Y1263" s="8" t="n">
        <x:f>0</x:f>
        <x:v>0</x:v>
      </x:c>
      <x:c r="Z1263" s="8" t="n">
        <x:f>K1263/H1263-X1263*I1263/H1263-Y1263*J1263/H1263</x:f>
        <x:v>-2.6370825063887082</x:v>
      </x:c>
      <x:c r="AA1263" s="8" t="n">
        <x:f>Z1263+X1263*Q1263+Y1263*R1263</x:f>
        <x:v>-2.010351840243592</x:v>
      </x:c>
    </x:row>
    <x:row r="1264" ht="26" customHeight="1">
      <x:c r="A1264" s="2"/>
      <x:c r="B1264" s="2" t="n">
        <x:v>1259</x:v>
      </x:c>
      <x:c r="C1264" s="2" t="str">
        <x:v>Baby, Feminine &amp; Family Care / organic_volume_growth</x:v>
      </x:c>
      <x:c r="D1264" s="2" t="str">
        <x:v>Broad rolling 8</x:v>
      </x:c>
      <x:c r="E1264" s="7" t="n">
        <x:v>45565</x:v>
      </x:c>
      <x:c r="F1264" s="2" t="str">
        <x:v>Pre-earnings</x:v>
      </x:c>
      <x:c r="G1264" s="7" t="n">
        <x:v>45582</x:v>
      </x:c>
      <x:c r="H1264" s="2" t="n">
        <x:v>8</x:v>
      </x:c>
      <x:c r="I1264" s="8" t="n">
        <x:v>3.8524597778205827</x:v>
      </x:c>
      <x:c r="J1264" s="8" t="n">
        <x:v>0</x:v>
      </x:c>
      <x:c r="K1264" s="8" t="n">
        <x:v>-22</x:v>
      </x:c>
      <x:c r="L1264" s="8" t="n">
        <x:v>15.42741688968306</x:v>
      </x:c>
      <x:c r="M1264" s="8" t="n">
        <x:v>0</x:v>
      </x:c>
      <x:c r="N1264" s="8" t="n">
        <x:v>0</x:v>
      </x:c>
      <x:c r="O1264" s="8" t="n">
        <x:v>-0.8711930708867888</x:v>
      </x:c>
      <x:c r="P1264" s="8" t="n">
        <x:v>0</x:v>
      </x:c>
      <x:c r="Q1264" s="8" t="n">
        <x:v>2.202595864225132</x:v>
      </x:c>
      <x:c r="R1264" s="8" t="n">
        <x:v>0</x:v>
      </x:c>
      <x:c r="S1264" s="8" t="n">
        <x:f>L1264-I1264^2/H1264</x:f>
        <x:v>13.572236097217385</x:v>
      </x:c>
      <x:c r="T1264" s="8" t="n">
        <x:f>M1264-J1264^2/H1264</x:f>
        <x:v>0</x:v>
      </x:c>
      <x:c r="U1264" s="8" t="n">
        <x:f>N1264-I1264*J1264/H1264</x:f>
        <x:v>0</x:v>
      </x:c>
      <x:c r="V1264" s="8" t="n">
        <x:f>O1264-I1264*K1264/H1264</x:f>
        <x:v>9.723071318119814</x:v>
      </x:c>
      <x:c r="W1264" s="8" t="n">
        <x:f>P1264-J1264*K1264/H1264</x:f>
        <x:v>0</x:v>
      </x:c>
      <x:c r="X1264" s="8" t="n">
        <x:f>V1264/S1264</x:f>
        <x:v>0.7163942071500852</x:v>
      </x:c>
      <x:c r="Y1264" s="8" t="n">
        <x:f>0</x:f>
        <x:v>0</x:v>
      </x:c>
      <x:c r="Z1264" s="8" t="n">
        <x:f>K1264/H1264-X1264*I1264/H1264-Y1264*J1264/H1264</x:f>
        <x:v>-3.094984983513671</x:v>
      </x:c>
      <x:c r="AA1264" s="8" t="n">
        <x:f>Z1264+X1264*Q1264+Y1264*R1264</x:f>
        <x:v>-1.517058065690051</x:v>
      </x:c>
    </x:row>
    <x:row r="1265" ht="26" customHeight="1">
      <x:c r="A1265" s="2"/>
      <x:c r="B1265" s="2" t="n">
        <x:v>1260</x:v>
      </x:c>
      <x:c r="C1265" s="2" t="str">
        <x:v>Baby, Feminine &amp; Family Care / organic_volume_growth</x:v>
      </x:c>
      <x:c r="D1265" s="2" t="str">
        <x:v>Own history</x:v>
      </x:c>
      <x:c r="E1265" s="7" t="n">
        <x:v>45565</x:v>
      </x:c>
      <x:c r="F1265" s="2" t="str">
        <x:v>Pre-earnings</x:v>
      </x:c>
      <x:c r="G1265" s="7" t="n">
        <x:v>45582</x:v>
      </x:c>
      <x:c r="H1265" s="2" t="n">
        <x:v>13</x:v>
      </x:c>
      <x:c r="I1265" s="8" t="n">
        <x:v>-24</x:v>
      </x:c>
      <x:c r="J1265" s="8" t="n">
        <x:v>0</x:v>
      </x:c>
      <x:c r="K1265" s="8" t="n">
        <x:v>-21</x:v>
      </x:c>
      <x:c r="L1265" s="8" t="n">
        <x:v>114</x:v>
      </x:c>
      <x:c r="M1265" s="8" t="n">
        <x:v>0</x:v>
      </x:c>
      <x:c r="N1265" s="8" t="n">
        <x:v>0</x:v>
      </x:c>
      <x:c r="O1265" s="8" t="n">
        <x:v>69</x:v>
      </x:c>
      <x:c r="P1265" s="8" t="n">
        <x:v>0</x:v>
      </x:c>
      <x:c r="Q1265" s="8" t="n">
        <x:v>-1</x:v>
      </x:c>
      <x:c r="R1265" s="8" t="n">
        <x:v>0</x:v>
      </x:c>
      <x:c r="S1265" s="8" t="n">
        <x:f>L1265-I1265^2/H1265</x:f>
        <x:v>69.6923076923077</x:v>
      </x:c>
      <x:c r="T1265" s="8" t="n">
        <x:f>M1265-J1265^2/H1265</x:f>
        <x:v>0</x:v>
      </x:c>
      <x:c r="U1265" s="8" t="n">
        <x:f>N1265-I1265*J1265/H1265</x:f>
        <x:v>0</x:v>
      </x:c>
      <x:c r="V1265" s="8" t="n">
        <x:f>O1265-I1265*K1265/H1265</x:f>
        <x:v>30.230769230769234</x:v>
      </x:c>
      <x:c r="W1265" s="8" t="n">
        <x:f>P1265-J1265*K1265/H1265</x:f>
        <x:v>0</x:v>
      </x:c>
      <x:c r="X1265" s="8" t="n">
        <x:f>V1265/S1265</x:f>
        <x:v>0.43377483443708614</x:v>
      </x:c>
      <x:c r="Y1265" s="8" t="n">
        <x:f>0</x:f>
        <x:v>0</x:v>
      </x:c>
      <x:c r="Z1265" s="8" t="n">
        <x:f>K1265/H1265-X1265*I1265/H1265-Y1265*J1265/H1265</x:f>
        <x:v>-0.814569536423841</x:v>
      </x:c>
      <x:c r="AA1265" s="8" t="n">
        <x:f>Z1265+X1265*Q1265+Y1265*R1265</x:f>
        <x:v>-1.2483443708609272</x:v>
      </x:c>
    </x:row>
    <x:row r="1266" ht="26" customHeight="1">
      <x:c r="A1266" s="2"/>
      <x:c r="B1266" s="2" t="n">
        <x:v>1261</x:v>
      </x:c>
      <x:c r="C1266" s="2" t="str">
        <x:v>Baby, Feminine &amp; Family Care / organic_volume_growth</x:v>
      </x:c>
      <x:c r="D1266" s="2" t="str">
        <x:v>Broad market</x:v>
      </x:c>
      <x:c r="E1266" s="7" t="n">
        <x:v>45657</x:v>
      </x:c>
      <x:c r="F1266" s="2" t="str">
        <x:v>Origin</x:v>
      </x:c>
      <x:c r="G1266" s="7" t="n">
        <x:v>45566</x:v>
      </x:c>
      <x:c r="H1266" s="2" t="n">
        <x:v>14</x:v>
      </x:c>
      <x:c r="I1266" s="8" t="n">
        <x:v>41.58880663164729</x:v>
      </x:c>
      <x:c r="J1266" s="8" t="n">
        <x:v>0</x:v>
      </x:c>
      <x:c r="K1266" s="8" t="n">
        <x:v>-25</x:v>
      </x:c>
      <x:c r="L1266" s="8" t="n">
        <x:v>366.7871092575401</x:v>
      </x:c>
      <x:c r="M1266" s="8" t="n">
        <x:v>0</x:v>
      </x:c>
      <x:c r="N1266" s="8" t="n">
        <x:v>0</x:v>
      </x:c>
      <x:c r="O1266" s="8" t="n">
        <x:v>-50.125136226470964</x:v>
      </x:c>
      <x:c r="P1266" s="8" t="n">
        <x:v>0</x:v>
      </x:c>
      <x:c r="Q1266" s="8" t="n">
        <x:v>2.1970378321914286</x:v>
      </x:c>
      <x:c r="R1266" s="8" t="n">
        <x:v>0</x:v>
      </x:c>
      <x:c r="S1266" s="8" t="n">
        <x:f>L1266-I1266^2/H1266</x:f>
        <x:v>243.24219232578662</x:v>
      </x:c>
      <x:c r="T1266" s="8" t="n">
        <x:f>M1266-J1266^2/H1266</x:f>
        <x:v>0</x:v>
      </x:c>
      <x:c r="U1266" s="8" t="n">
        <x:f>N1266-I1266*J1266/H1266</x:f>
        <x:v>0</x:v>
      </x:c>
      <x:c r="V1266" s="8" t="n">
        <x:f>O1266-I1266*K1266/H1266</x:f>
        <x:v>24.140589901470612</x:v>
      </x:c>
      <x:c r="W1266" s="8" t="n">
        <x:f>P1266-J1266*K1266/H1266</x:f>
        <x:v>0</x:v>
      </x:c>
      <x:c r="X1266" s="8" t="n">
        <x:f>V1266/S1266</x:f>
        <x:v>0.0992450761549538</x:v>
      </x:c>
      <x:c r="Y1266" s="8" t="n">
        <x:f>0</x:f>
        <x:v>0</x:v>
      </x:c>
      <x:c r="Z1266" s="8" t="n">
        <x:f>K1266/H1266-X1266*I1266/H1266-Y1266*J1266/H1266</x:f>
        <x:v>-2.080534591525106</x:v>
      </x:c>
      <x:c r="AA1266" s="8" t="n">
        <x:f>Z1266+X1266*Q1266+Y1266*R1266</x:f>
        <x:v>-1.862489404553953</x:v>
      </x:c>
    </x:row>
    <x:row r="1267" ht="26" customHeight="1">
      <x:c r="A1267" s="2"/>
      <x:c r="B1267" s="2" t="n">
        <x:v>1262</x:v>
      </x:c>
      <x:c r="C1267" s="2" t="str">
        <x:v>Baby, Feminine &amp; Family Care / organic_volume_growth</x:v>
      </x:c>
      <x:c r="D1267" s="2" t="str">
        <x:v>Broad rolling 8</x:v>
      </x:c>
      <x:c r="E1267" s="7" t="n">
        <x:v>45657</x:v>
      </x:c>
      <x:c r="F1267" s="2" t="str">
        <x:v>Origin</x:v>
      </x:c>
      <x:c r="G1267" s="7" t="n">
        <x:v>45566</x:v>
      </x:c>
      <x:c r="H1267" s="2" t="n">
        <x:v>8</x:v>
      </x:c>
      <x:c r="I1267" s="8" t="n">
        <x:v>3.8524597778205827</x:v>
      </x:c>
      <x:c r="J1267" s="8" t="n">
        <x:v>0</x:v>
      </x:c>
      <x:c r="K1267" s="8" t="n">
        <x:v>-22</x:v>
      </x:c>
      <x:c r="L1267" s="8" t="n">
        <x:v>15.42741688968306</x:v>
      </x:c>
      <x:c r="M1267" s="8" t="n">
        <x:v>0</x:v>
      </x:c>
      <x:c r="N1267" s="8" t="n">
        <x:v>0</x:v>
      </x:c>
      <x:c r="O1267" s="8" t="n">
        <x:v>-0.8711930708867888</x:v>
      </x:c>
      <x:c r="P1267" s="8" t="n">
        <x:v>0</x:v>
      </x:c>
      <x:c r="Q1267" s="8" t="n">
        <x:v>2.1970378321914286</x:v>
      </x:c>
      <x:c r="R1267" s="8" t="n">
        <x:v>0</x:v>
      </x:c>
      <x:c r="S1267" s="8" t="n">
        <x:f>L1267-I1267^2/H1267</x:f>
        <x:v>13.572236097217385</x:v>
      </x:c>
      <x:c r="T1267" s="8" t="n">
        <x:f>M1267-J1267^2/H1267</x:f>
        <x:v>0</x:v>
      </x:c>
      <x:c r="U1267" s="8" t="n">
        <x:f>N1267-I1267*J1267/H1267</x:f>
        <x:v>0</x:v>
      </x:c>
      <x:c r="V1267" s="8" t="n">
        <x:f>O1267-I1267*K1267/H1267</x:f>
        <x:v>9.723071318119814</x:v>
      </x:c>
      <x:c r="W1267" s="8" t="n">
        <x:f>P1267-J1267*K1267/H1267</x:f>
        <x:v>0</x:v>
      </x:c>
      <x:c r="X1267" s="8" t="n">
        <x:f>V1267/S1267</x:f>
        <x:v>0.7163942071500852</x:v>
      </x:c>
      <x:c r="Y1267" s="8" t="n">
        <x:f>0</x:f>
        <x:v>0</x:v>
      </x:c>
      <x:c r="Z1267" s="8" t="n">
        <x:f>K1267/H1267-X1267*I1267/H1267-Y1267*J1267/H1267</x:f>
        <x:v>-3.094984983513671</x:v>
      </x:c>
      <x:c r="AA1267" s="8" t="n">
        <x:f>Z1267+X1267*Q1267+Y1267*R1267</x:f>
        <x:v>-1.5210398076421507</x:v>
      </x:c>
    </x:row>
    <x:row r="1268" ht="26" customHeight="1">
      <x:c r="A1268" s="2"/>
      <x:c r="B1268" s="2" t="n">
        <x:v>1263</x:v>
      </x:c>
      <x:c r="C1268" s="2" t="str">
        <x:v>Baby, Feminine &amp; Family Care / organic_volume_growth</x:v>
      </x:c>
      <x:c r="D1268" s="2" t="str">
        <x:v>Own history</x:v>
      </x:c>
      <x:c r="E1268" s="7" t="n">
        <x:v>45657</x:v>
      </x:c>
      <x:c r="F1268" s="2" t="str">
        <x:v>Origin</x:v>
      </x:c>
      <x:c r="G1268" s="7" t="n">
        <x:v>45566</x:v>
      </x:c>
      <x:c r="H1268" s="2" t="n">
        <x:v>12</x:v>
      </x:c>
      <x:c r="I1268" s="8" t="n">
        <x:v>-21</x:v>
      </x:c>
      <x:c r="J1268" s="8" t="n">
        <x:v>0</x:v>
      </x:c>
      <x:c r="K1268" s="8" t="n">
        <x:v>-18</x:v>
      </x:c>
      <x:c r="L1268" s="8" t="n">
        <x:v>105</x:v>
      </x:c>
      <x:c r="M1268" s="8" t="n">
        <x:v>0</x:v>
      </x:c>
      <x:c r="N1268" s="8" t="n">
        <x:v>0</x:v>
      </x:c>
      <x:c r="O1268" s="8" t="n">
        <x:v>24</x:v>
      </x:c>
      <x:c r="P1268" s="8" t="n">
        <x:v>0</x:v>
      </x:c>
      <x:c r="Q1268" s="8" t="n">
        <x:v>-1</x:v>
      </x:c>
      <x:c r="R1268" s="8" t="n">
        <x:v>0</x:v>
      </x:c>
      <x:c r="S1268" s="8" t="n">
        <x:f>L1268-I1268^2/H1268</x:f>
        <x:v>68.25</x:v>
      </x:c>
      <x:c r="T1268" s="8" t="n">
        <x:f>M1268-J1268^2/H1268</x:f>
        <x:v>0</x:v>
      </x:c>
      <x:c r="U1268" s="8" t="n">
        <x:f>N1268-I1268*J1268/H1268</x:f>
        <x:v>0</x:v>
      </x:c>
      <x:c r="V1268" s="8" t="n">
        <x:f>O1268-I1268*K1268/H1268</x:f>
        <x:v>-7.5</x:v>
      </x:c>
      <x:c r="W1268" s="8" t="n">
        <x:f>P1268-J1268*K1268/H1268</x:f>
        <x:v>0</x:v>
      </x:c>
      <x:c r="X1268" s="8" t="n">
        <x:f>V1268/S1268</x:f>
        <x:v>-0.10989010989010989</x:v>
      </x:c>
      <x:c r="Y1268" s="8" t="n">
        <x:f>0</x:f>
        <x:v>0</x:v>
      </x:c>
      <x:c r="Z1268" s="8" t="n">
        <x:f>K1268/H1268-X1268*I1268/H1268-Y1268*J1268/H1268</x:f>
        <x:v>-1.6923076923076923</x:v>
      </x:c>
      <x:c r="AA1268" s="8" t="n">
        <x:f>Z1268+X1268*Q1268+Y1268*R1268</x:f>
        <x:v>-1.5824175824175823</x:v>
      </x:c>
    </x:row>
    <x:row r="1269" ht="26" customHeight="1">
      <x:c r="A1269" s="2"/>
      <x:c r="B1269" s="2" t="n">
        <x:v>1264</x:v>
      </x:c>
      <x:c r="C1269" s="2" t="str">
        <x:v>Baby, Feminine &amp; Family Care / organic_volume_growth</x:v>
      </x:c>
      <x:c r="D1269" s="2" t="str">
        <x:v>Broad market</x:v>
      </x:c>
      <x:c r="E1269" s="7" t="n">
        <x:v>45657</x:v>
      </x:c>
      <x:c r="F1269" s="2" t="str">
        <x:v>Prior report</x:v>
      </x:c>
      <x:c r="G1269" s="7" t="n">
        <x:v>45583</x:v>
      </x:c>
      <x:c r="H1269" s="2" t="n">
        <x:v>14</x:v>
      </x:c>
      <x:c r="I1269" s="8" t="n">
        <x:v>41.58880663164729</x:v>
      </x:c>
      <x:c r="J1269" s="8" t="n">
        <x:v>0</x:v>
      </x:c>
      <x:c r="K1269" s="8" t="n">
        <x:v>-25</x:v>
      </x:c>
      <x:c r="L1269" s="8" t="n">
        <x:v>366.7871092575401</x:v>
      </x:c>
      <x:c r="M1269" s="8" t="n">
        <x:v>0</x:v>
      </x:c>
      <x:c r="N1269" s="8" t="n">
        <x:v>0</x:v>
      </x:c>
      <x:c r="O1269" s="8" t="n">
        <x:v>-50.125136226470964</x:v>
      </x:c>
      <x:c r="P1269" s="8" t="n">
        <x:v>0</x:v>
      </x:c>
      <x:c r="Q1269" s="8" t="n">
        <x:v>2.1970378321914286</x:v>
      </x:c>
      <x:c r="R1269" s="8" t="n">
        <x:v>0</x:v>
      </x:c>
      <x:c r="S1269" s="8" t="n">
        <x:f>L1269-I1269^2/H1269</x:f>
        <x:v>243.24219232578662</x:v>
      </x:c>
      <x:c r="T1269" s="8" t="n">
        <x:f>M1269-J1269^2/H1269</x:f>
        <x:v>0</x:v>
      </x:c>
      <x:c r="U1269" s="8" t="n">
        <x:f>N1269-I1269*J1269/H1269</x:f>
        <x:v>0</x:v>
      </x:c>
      <x:c r="V1269" s="8" t="n">
        <x:f>O1269-I1269*K1269/H1269</x:f>
        <x:v>24.140589901470612</x:v>
      </x:c>
      <x:c r="W1269" s="8" t="n">
        <x:f>P1269-J1269*K1269/H1269</x:f>
        <x:v>0</x:v>
      </x:c>
      <x:c r="X1269" s="8" t="n">
        <x:f>V1269/S1269</x:f>
        <x:v>0.0992450761549538</x:v>
      </x:c>
      <x:c r="Y1269" s="8" t="n">
        <x:f>0</x:f>
        <x:v>0</x:v>
      </x:c>
      <x:c r="Z1269" s="8" t="n">
        <x:f>K1269/H1269-X1269*I1269/H1269-Y1269*J1269/H1269</x:f>
        <x:v>-2.080534591525106</x:v>
      </x:c>
      <x:c r="AA1269" s="8" t="n">
        <x:f>Z1269+X1269*Q1269+Y1269*R1269</x:f>
        <x:v>-1.862489404553953</x:v>
      </x:c>
    </x:row>
    <x:row r="1270" ht="26" customHeight="1">
      <x:c r="A1270" s="2"/>
      <x:c r="B1270" s="2" t="n">
        <x:v>1265</x:v>
      </x:c>
      <x:c r="C1270" s="2" t="str">
        <x:v>Baby, Feminine &amp; Family Care / organic_volume_growth</x:v>
      </x:c>
      <x:c r="D1270" s="2" t="str">
        <x:v>Broad rolling 8</x:v>
      </x:c>
      <x:c r="E1270" s="7" t="n">
        <x:v>45657</x:v>
      </x:c>
      <x:c r="F1270" s="2" t="str">
        <x:v>Prior report</x:v>
      </x:c>
      <x:c r="G1270" s="7" t="n">
        <x:v>45583</x:v>
      </x:c>
      <x:c r="H1270" s="2" t="n">
        <x:v>8</x:v>
      </x:c>
      <x:c r="I1270" s="8" t="n">
        <x:v>3.8524597778205827</x:v>
      </x:c>
      <x:c r="J1270" s="8" t="n">
        <x:v>0</x:v>
      </x:c>
      <x:c r="K1270" s="8" t="n">
        <x:v>-22</x:v>
      </x:c>
      <x:c r="L1270" s="8" t="n">
        <x:v>15.42741688968306</x:v>
      </x:c>
      <x:c r="M1270" s="8" t="n">
        <x:v>0</x:v>
      </x:c>
      <x:c r="N1270" s="8" t="n">
        <x:v>0</x:v>
      </x:c>
      <x:c r="O1270" s="8" t="n">
        <x:v>-0.8711930708867888</x:v>
      </x:c>
      <x:c r="P1270" s="8" t="n">
        <x:v>0</x:v>
      </x:c>
      <x:c r="Q1270" s="8" t="n">
        <x:v>2.1970378321914286</x:v>
      </x:c>
      <x:c r="R1270" s="8" t="n">
        <x:v>0</x:v>
      </x:c>
      <x:c r="S1270" s="8" t="n">
        <x:f>L1270-I1270^2/H1270</x:f>
        <x:v>13.572236097217385</x:v>
      </x:c>
      <x:c r="T1270" s="8" t="n">
        <x:f>M1270-J1270^2/H1270</x:f>
        <x:v>0</x:v>
      </x:c>
      <x:c r="U1270" s="8" t="n">
        <x:f>N1270-I1270*J1270/H1270</x:f>
        <x:v>0</x:v>
      </x:c>
      <x:c r="V1270" s="8" t="n">
        <x:f>O1270-I1270*K1270/H1270</x:f>
        <x:v>9.723071318119814</x:v>
      </x:c>
      <x:c r="W1270" s="8" t="n">
        <x:f>P1270-J1270*K1270/H1270</x:f>
        <x:v>0</x:v>
      </x:c>
      <x:c r="X1270" s="8" t="n">
        <x:f>V1270/S1270</x:f>
        <x:v>0.7163942071500852</x:v>
      </x:c>
      <x:c r="Y1270" s="8" t="n">
        <x:f>0</x:f>
        <x:v>0</x:v>
      </x:c>
      <x:c r="Z1270" s="8" t="n">
        <x:f>K1270/H1270-X1270*I1270/H1270-Y1270*J1270/H1270</x:f>
        <x:v>-3.094984983513671</x:v>
      </x:c>
      <x:c r="AA1270" s="8" t="n">
        <x:f>Z1270+X1270*Q1270+Y1270*R1270</x:f>
        <x:v>-1.5210398076421507</x:v>
      </x:c>
    </x:row>
    <x:row r="1271" ht="26" customHeight="1">
      <x:c r="A1271" s="2"/>
      <x:c r="B1271" s="2" t="n">
        <x:v>1266</x:v>
      </x:c>
      <x:c r="C1271" s="2" t="str">
        <x:v>Baby, Feminine &amp; Family Care / organic_volume_growth</x:v>
      </x:c>
      <x:c r="D1271" s="2" t="str">
        <x:v>Own history</x:v>
      </x:c>
      <x:c r="E1271" s="7" t="n">
        <x:v>45657</x:v>
      </x:c>
      <x:c r="F1271" s="2" t="str">
        <x:v>Prior report</x:v>
      </x:c>
      <x:c r="G1271" s="7" t="n">
        <x:v>45583</x:v>
      </x:c>
      <x:c r="H1271" s="2" t="n">
        <x:v>14</x:v>
      </x:c>
      <x:c r="I1271" s="8" t="n">
        <x:v>-25</x:v>
      </x:c>
      <x:c r="J1271" s="8" t="n">
        <x:v>0</x:v>
      </x:c>
      <x:c r="K1271" s="8" t="n">
        <x:v>-22</x:v>
      </x:c>
      <x:c r="L1271" s="8" t="n">
        <x:v>115</x:v>
      </x:c>
      <x:c r="M1271" s="8" t="n">
        <x:v>0</x:v>
      </x:c>
      <x:c r="N1271" s="8" t="n">
        <x:v>0</x:v>
      </x:c>
      <x:c r="O1271" s="8" t="n">
        <x:v>70</x:v>
      </x:c>
      <x:c r="P1271" s="8" t="n">
        <x:v>0</x:v>
      </x:c>
      <x:c r="Q1271" s="8" t="n">
        <x:v>-1</x:v>
      </x:c>
      <x:c r="R1271" s="8" t="n">
        <x:v>0</x:v>
      </x:c>
      <x:c r="S1271" s="8" t="n">
        <x:f>L1271-I1271^2/H1271</x:f>
        <x:v>70.35714285714286</x:v>
      </x:c>
      <x:c r="T1271" s="8" t="n">
        <x:f>M1271-J1271^2/H1271</x:f>
        <x:v>0</x:v>
      </x:c>
      <x:c r="U1271" s="8" t="n">
        <x:f>N1271-I1271*J1271/H1271</x:f>
        <x:v>0</x:v>
      </x:c>
      <x:c r="V1271" s="8" t="n">
        <x:f>O1271-I1271*K1271/H1271</x:f>
        <x:v>30.714285714285715</x:v>
      </x:c>
      <x:c r="W1271" s="8" t="n">
        <x:f>P1271-J1271*K1271/H1271</x:f>
        <x:v>0</x:v>
      </x:c>
      <x:c r="X1271" s="8" t="n">
        <x:f>V1271/S1271</x:f>
        <x:v>0.4365482233502538</x:v>
      </x:c>
      <x:c r="Y1271" s="8" t="n">
        <x:f>0</x:f>
        <x:v>0</x:v>
      </x:c>
      <x:c r="Z1271" s="8" t="n">
        <x:f>K1271/H1271-X1271*I1271/H1271-Y1271*J1271/H1271</x:f>
        <x:v>-0.7918781725888325</x:v>
      </x:c>
      <x:c r="AA1271" s="8" t="n">
        <x:f>Z1271+X1271*Q1271+Y1271*R1271</x:f>
        <x:v>-1.2284263959390862</x:v>
      </x:c>
    </x:row>
    <x:row r="1272" ht="26" customHeight="1">
      <x:c r="A1272" s="2"/>
      <x:c r="B1272" s="2" t="n">
        <x:v>1267</x:v>
      </x:c>
      <x:c r="C1272" s="2" t="str">
        <x:v>Baby, Feminine &amp; Family Care / organic_volume_growth</x:v>
      </x:c>
      <x:c r="D1272" s="2" t="str">
        <x:v>Broad market</x:v>
      </x:c>
      <x:c r="E1272" s="7" t="n">
        <x:v>45657</x:v>
      </x:c>
      <x:c r="F1272" s="2" t="str">
        <x:v>Pre-earnings</x:v>
      </x:c>
      <x:c r="G1272" s="7" t="n">
        <x:v>45678</x:v>
      </x:c>
      <x:c r="H1272" s="2" t="n">
        <x:v>15</x:v>
      </x:c>
      <x:c r="I1272" s="8" t="n">
        <x:v>43.836489330457816</x:v>
      </x:c>
      <x:c r="J1272" s="8" t="n">
        <x:v>0</x:v>
      </x:c>
      <x:c r="K1272" s="8" t="n">
        <x:v>-26</x:v>
      </x:c>
      <x:c r="L1272" s="8" t="n">
        <x:v>371.83918677207225</x:v>
      </x:c>
      <x:c r="M1272" s="8" t="n">
        <x:v>0</x:v>
      </x:c>
      <x:c r="N1272" s="8" t="n">
        <x:v>0</x:v>
      </x:c>
      <x:c r="O1272" s="8" t="n">
        <x:v>-52.37281892528149</x:v>
      </x:c>
      <x:c r="P1272" s="8" t="n">
        <x:v>0</x:v>
      </x:c>
      <x:c r="Q1272" s="8" t="n">
        <x:v>2.2104342232004415</x:v>
      </x:c>
      <x:c r="R1272" s="8" t="n">
        <x:v>0</x:v>
      </x:c>
      <x:c r="S1272" s="8" t="n">
        <x:f>L1272-I1272^2/H1272</x:f>
        <x:v>243.73000031744945</x:v>
      </x:c>
      <x:c r="T1272" s="8" t="n">
        <x:f>M1272-J1272^2/H1272</x:f>
        <x:v>0</x:v>
      </x:c>
      <x:c r="U1272" s="8" t="n">
        <x:f>N1272-I1272*J1272/H1272</x:f>
        <x:v>0</x:v>
      </x:c>
      <x:c r="V1272" s="8" t="n">
        <x:f>O1272-I1272*K1272/H1272</x:f>
        <x:v>23.61042924751206</x:v>
      </x:c>
      <x:c r="W1272" s="8" t="n">
        <x:f>P1272-J1272*K1272/H1272</x:f>
        <x:v>0</x:v>
      </x:c>
      <x:c r="X1272" s="8" t="n">
        <x:f>V1272/S1272</x:f>
        <x:v>0.09687124776088432</x:v>
      </x:c>
      <x:c r="Y1272" s="8" t="n">
        <x:f>0</x:f>
        <x:v>0</x:v>
      </x:c>
      <x:c r="Z1272" s="8" t="n">
        <x:f>K1272/H1272-X1272*I1272/H1272-Y1272*J1272/H1272</x:f>
        <x:v>-2.016433027926543</x:v>
      </x:c>
      <x:c r="AA1272" s="8" t="n">
        <x:f>Z1272+X1272*Q1272+Y1272*R1272</x:f>
        <x:v>-1.8023055066317553</x:v>
      </x:c>
    </x:row>
    <x:row r="1273" ht="26" customHeight="1">
      <x:c r="A1273" s="2"/>
      <x:c r="B1273" s="2" t="n">
        <x:v>1268</x:v>
      </x:c>
      <x:c r="C1273" s="2" t="str">
        <x:v>Baby, Feminine &amp; Family Care / organic_volume_growth</x:v>
      </x:c>
      <x:c r="D1273" s="2" t="str">
        <x:v>Broad lag 1</x:v>
      </x:c>
      <x:c r="E1273" s="7" t="n">
        <x:v>45657</x:v>
      </x:c>
      <x:c r="F1273" s="2" t="str">
        <x:v>Pre-earnings</x:v>
      </x:c>
      <x:c r="G1273" s="7" t="n">
        <x:v>45678</x:v>
      </x:c>
      <x:c r="H1273" s="2" t="n">
        <x:v>14</x:v>
      </x:c>
      <x:c r="I1273" s="8" t="n">
        <x:v>41.58880663164729</x:v>
      </x:c>
      <x:c r="J1273" s="8" t="n">
        <x:v>0</x:v>
      </x:c>
      <x:c r="K1273" s="8" t="n">
        <x:v>-22</x:v>
      </x:c>
      <x:c r="L1273" s="8" t="n">
        <x:v>366.7871092575401</x:v>
      </x:c>
      <x:c r="M1273" s="8" t="n">
        <x:v>0</x:v>
      </x:c>
      <x:c r="N1273" s="8" t="n">
        <x:v>0</x:v>
      </x:c>
      <x:c r="O1273" s="8" t="n">
        <x:v>14.887170490029945</x:v>
      </x:c>
      <x:c r="P1273" s="8" t="n">
        <x:v>0</x:v>
      </x:c>
      <x:c r="Q1273" s="8" t="n">
        <x:v>2.247682698810527</x:v>
      </x:c>
      <x:c r="R1273" s="8" t="n">
        <x:v>0</x:v>
      </x:c>
      <x:c r="S1273" s="8" t="n">
        <x:f>L1273-I1273^2/H1273</x:f>
        <x:v>243.24219232578662</x:v>
      </x:c>
      <x:c r="T1273" s="8" t="n">
        <x:f>M1273-J1273^2/H1273</x:f>
        <x:v>0</x:v>
      </x:c>
      <x:c r="U1273" s="8" t="n">
        <x:f>N1273-I1273*J1273/H1273</x:f>
        <x:v>0</x:v>
      </x:c>
      <x:c r="V1273" s="8" t="n">
        <x:f>O1273-I1273*K1273/H1273</x:f>
        <x:v>80.24100948261854</x:v>
      </x:c>
      <x:c r="W1273" s="8" t="n">
        <x:f>P1273-J1273*K1273/H1273</x:f>
        <x:v>0</x:v>
      </x:c>
      <x:c r="X1273" s="8" t="n">
        <x:f>V1273/S1273</x:f>
        <x:v>0.3298811308818812</x:v>
      </x:c>
      <x:c r="Y1273" s="8" t="n">
        <x:f>0</x:f>
        <x:v>0</x:v>
      </x:c>
      <x:c r="Z1273" s="8" t="n">
        <x:f>K1273/H1273-X1273*I1273/H1273-Y1273*J1273/H1273</x:f>
        <x:v>-2.5513830402625493</x:v>
      </x:c>
      <x:c r="AA1273" s="8" t="n">
        <x:f>Z1273+X1273*Q1273+Y1273*R1273</x:f>
        <x:v>-1.8099149297152939</x:v>
      </x:c>
    </x:row>
    <x:row r="1274" ht="26" customHeight="1">
      <x:c r="A1274" s="2"/>
      <x:c r="B1274" s="2" t="n">
        <x:v>1269</x:v>
      </x:c>
      <x:c r="C1274" s="2" t="str">
        <x:v>Baby, Feminine &amp; Family Care / organic_volume_growth</x:v>
      </x:c>
      <x:c r="D1274" s="2" t="str">
        <x:v>Broad rolling 8</x:v>
      </x:c>
      <x:c r="E1274" s="7" t="n">
        <x:v>45657</x:v>
      </x:c>
      <x:c r="F1274" s="2" t="str">
        <x:v>Pre-earnings</x:v>
      </x:c>
      <x:c r="G1274" s="7" t="n">
        <x:v>45678</x:v>
      </x:c>
      <x:c r="H1274" s="2" t="n">
        <x:v>8</x:v>
      </x:c>
      <x:c r="I1274" s="8" t="n">
        <x:v>7.078949947895485</x:v>
      </x:c>
      <x:c r="J1274" s="8" t="n">
        <x:v>0</x:v>
      </x:c>
      <x:c r="K1274" s="8" t="n">
        <x:v>-20</x:v>
      </x:c>
      <x:c r="L1274" s="8" t="n">
        <x:v>19.521430338412273</x:v>
      </x:c>
      <x:c r="M1274" s="8" t="n">
        <x:v>0</x:v>
      </x:c>
      <x:c r="N1274" s="8" t="n">
        <x:v>0</x:v>
      </x:c>
      <x:c r="O1274" s="8" t="n">
        <x:v>-6.055298183490443</x:v>
      </x:c>
      <x:c r="P1274" s="8" t="n">
        <x:v>0</x:v>
      </x:c>
      <x:c r="Q1274" s="8" t="n">
        <x:v>2.2104342232004415</x:v>
      </x:c>
      <x:c r="R1274" s="8" t="n">
        <x:v>0</x:v>
      </x:c>
      <x:c r="S1274" s="8" t="n">
        <x:f>L1274-I1274^2/H1274</x:f>
        <x:v>13.257488792811085</x:v>
      </x:c>
      <x:c r="T1274" s="8" t="n">
        <x:f>M1274-J1274^2/H1274</x:f>
        <x:v>0</x:v>
      </x:c>
      <x:c r="U1274" s="8" t="n">
        <x:f>N1274-I1274*J1274/H1274</x:f>
        <x:v>0</x:v>
      </x:c>
      <x:c r="V1274" s="8" t="n">
        <x:f>O1274-I1274*K1274/H1274</x:f>
        <x:v>11.64207668624827</x:v>
      </x:c>
      <x:c r="W1274" s="8" t="n">
        <x:f>P1274-J1274*K1274/H1274</x:f>
        <x:v>0</x:v>
      </x:c>
      <x:c r="X1274" s="8" t="n">
        <x:f>V1274/S1274</x:f>
        <x:v>0.8781509732492645</x:v>
      </x:c>
      <x:c r="Y1274" s="8" t="n">
        <x:f>0</x:f>
        <x:v>0</x:v>
      </x:c>
      <x:c r="Z1274" s="8" t="n">
        <x:f>K1274/H1274-X1274*I1274/H1274-Y1274*J1274/H1274</x:f>
        <x:v>-3.277048348290906</x:v>
      </x:c>
      <x:c r="AA1274" s="8" t="n">
        <x:f>Z1274+X1274*Q1274+Y1274*R1274</x:f>
        <x:v>-1.3359533838839563</x:v>
      </x:c>
    </x:row>
    <x:row r="1275" ht="26" customHeight="1">
      <x:c r="A1275" s="2"/>
      <x:c r="B1275" s="2" t="n">
        <x:v>1270</x:v>
      </x:c>
      <x:c r="C1275" s="2" t="str">
        <x:v>Baby, Feminine &amp; Family Care / organic_volume_growth</x:v>
      </x:c>
      <x:c r="D1275" s="2" t="str">
        <x:v>Own history</x:v>
      </x:c>
      <x:c r="E1275" s="7" t="n">
        <x:v>45657</x:v>
      </x:c>
      <x:c r="F1275" s="2" t="str">
        <x:v>Pre-earnings</x:v>
      </x:c>
      <x:c r="G1275" s="7" t="n">
        <x:v>45678</x:v>
      </x:c>
      <x:c r="H1275" s="2" t="n">
        <x:v>14</x:v>
      </x:c>
      <x:c r="I1275" s="8" t="n">
        <x:v>-25</x:v>
      </x:c>
      <x:c r="J1275" s="8" t="n">
        <x:v>0</x:v>
      </x:c>
      <x:c r="K1275" s="8" t="n">
        <x:v>-22</x:v>
      </x:c>
      <x:c r="L1275" s="8" t="n">
        <x:v>115</x:v>
      </x:c>
      <x:c r="M1275" s="8" t="n">
        <x:v>0</x:v>
      </x:c>
      <x:c r="N1275" s="8" t="n">
        <x:v>0</x:v>
      </x:c>
      <x:c r="O1275" s="8" t="n">
        <x:v>70</x:v>
      </x:c>
      <x:c r="P1275" s="8" t="n">
        <x:v>0</x:v>
      </x:c>
      <x:c r="Q1275" s="8" t="n">
        <x:v>-1</x:v>
      </x:c>
      <x:c r="R1275" s="8" t="n">
        <x:v>0</x:v>
      </x:c>
      <x:c r="S1275" s="8" t="n">
        <x:f>L1275-I1275^2/H1275</x:f>
        <x:v>70.35714285714286</x:v>
      </x:c>
      <x:c r="T1275" s="8" t="n">
        <x:f>M1275-J1275^2/H1275</x:f>
        <x:v>0</x:v>
      </x:c>
      <x:c r="U1275" s="8" t="n">
        <x:f>N1275-I1275*J1275/H1275</x:f>
        <x:v>0</x:v>
      </x:c>
      <x:c r="V1275" s="8" t="n">
        <x:f>O1275-I1275*K1275/H1275</x:f>
        <x:v>30.714285714285715</x:v>
      </x:c>
      <x:c r="W1275" s="8" t="n">
        <x:f>P1275-J1275*K1275/H1275</x:f>
        <x:v>0</x:v>
      </x:c>
      <x:c r="X1275" s="8" t="n">
        <x:f>V1275/S1275</x:f>
        <x:v>0.4365482233502538</x:v>
      </x:c>
      <x:c r="Y1275" s="8" t="n">
        <x:f>0</x:f>
        <x:v>0</x:v>
      </x:c>
      <x:c r="Z1275" s="8" t="n">
        <x:f>K1275/H1275-X1275*I1275/H1275-Y1275*J1275/H1275</x:f>
        <x:v>-0.7918781725888325</x:v>
      </x:c>
      <x:c r="AA1275" s="8" t="n">
        <x:f>Z1275+X1275*Q1275+Y1275*R1275</x:f>
        <x:v>-1.2284263959390862</x:v>
      </x:c>
    </x:row>
    <x:row r="1276" ht="26" customHeight="1">
      <x:c r="A1276" s="2"/>
      <x:c r="B1276" s="2" t="n">
        <x:v>1271</x:v>
      </x:c>
      <x:c r="C1276" s="2" t="str">
        <x:v>Baby, Feminine &amp; Family Care / organic_volume_growth</x:v>
      </x:c>
      <x:c r="D1276" s="2" t="str">
        <x:v>Broad market</x:v>
      </x:c>
      <x:c r="E1276" s="7" t="n">
        <x:v>45747</x:v>
      </x:c>
      <x:c r="F1276" s="2" t="str">
        <x:v>Origin</x:v>
      </x:c>
      <x:c r="G1276" s="7" t="n">
        <x:v>45658</x:v>
      </x:c>
      <x:c r="H1276" s="2" t="n">
        <x:v>15</x:v>
      </x:c>
      <x:c r="I1276" s="8" t="n">
        <x:v>43.836489330457816</x:v>
      </x:c>
      <x:c r="J1276" s="8" t="n">
        <x:v>0</x:v>
      </x:c>
      <x:c r="K1276" s="8" t="n">
        <x:v>-26</x:v>
      </x:c>
      <x:c r="L1276" s="8" t="n">
        <x:v>371.83918677207225</x:v>
      </x:c>
      <x:c r="M1276" s="8" t="n">
        <x:v>0</x:v>
      </x:c>
      <x:c r="N1276" s="8" t="n">
        <x:v>0</x:v>
      </x:c>
      <x:c r="O1276" s="8" t="n">
        <x:v>-52.37281892528149</x:v>
      </x:c>
      <x:c r="P1276" s="8" t="n">
        <x:v>0</x:v>
      </x:c>
      <x:c r="Q1276" s="8" t="n">
        <x:v>2.3134618459836664</x:v>
      </x:c>
      <x:c r="R1276" s="8" t="n">
        <x:v>0</x:v>
      </x:c>
      <x:c r="S1276" s="8" t="n">
        <x:f>L1276-I1276^2/H1276</x:f>
        <x:v>243.73000031744945</x:v>
      </x:c>
      <x:c r="T1276" s="8" t="n">
        <x:f>M1276-J1276^2/H1276</x:f>
        <x:v>0</x:v>
      </x:c>
      <x:c r="U1276" s="8" t="n">
        <x:f>N1276-I1276*J1276/H1276</x:f>
        <x:v>0</x:v>
      </x:c>
      <x:c r="V1276" s="8" t="n">
        <x:f>O1276-I1276*K1276/H1276</x:f>
        <x:v>23.61042924751206</x:v>
      </x:c>
      <x:c r="W1276" s="8" t="n">
        <x:f>P1276-J1276*K1276/H1276</x:f>
        <x:v>0</x:v>
      </x:c>
      <x:c r="X1276" s="8" t="n">
        <x:f>V1276/S1276</x:f>
        <x:v>0.09687124776088432</x:v>
      </x:c>
      <x:c r="Y1276" s="8" t="n">
        <x:f>0</x:f>
        <x:v>0</x:v>
      </x:c>
      <x:c r="Z1276" s="8" t="n">
        <x:f>K1276/H1276-X1276*I1276/H1276-Y1276*J1276/H1276</x:f>
        <x:v>-2.016433027926543</x:v>
      </x:c>
      <x:c r="AA1276" s="8" t="n">
        <x:f>Z1276+X1276*Q1276+Y1276*R1276</x:f>
        <x:v>-1.7923250922589065</x:v>
      </x:c>
    </x:row>
    <x:row r="1277" ht="26" customHeight="1">
      <x:c r="A1277" s="2"/>
      <x:c r="B1277" s="2" t="n">
        <x:v>1272</x:v>
      </x:c>
      <x:c r="C1277" s="2" t="str">
        <x:v>Baby, Feminine &amp; Family Care / organic_volume_growth</x:v>
      </x:c>
      <x:c r="D1277" s="2" t="str">
        <x:v>Broad rolling 8</x:v>
      </x:c>
      <x:c r="E1277" s="7" t="n">
        <x:v>45747</x:v>
      </x:c>
      <x:c r="F1277" s="2" t="str">
        <x:v>Origin</x:v>
      </x:c>
      <x:c r="G1277" s="7" t="n">
        <x:v>45658</x:v>
      </x:c>
      <x:c r="H1277" s="2" t="n">
        <x:v>8</x:v>
      </x:c>
      <x:c r="I1277" s="8" t="n">
        <x:v>7.078949947895485</x:v>
      </x:c>
      <x:c r="J1277" s="8" t="n">
        <x:v>0</x:v>
      </x:c>
      <x:c r="K1277" s="8" t="n">
        <x:v>-20</x:v>
      </x:c>
      <x:c r="L1277" s="8" t="n">
        <x:v>19.521430338412273</x:v>
      </x:c>
      <x:c r="M1277" s="8" t="n">
        <x:v>0</x:v>
      </x:c>
      <x:c r="N1277" s="8" t="n">
        <x:v>0</x:v>
      </x:c>
      <x:c r="O1277" s="8" t="n">
        <x:v>-6.055298183490443</x:v>
      </x:c>
      <x:c r="P1277" s="8" t="n">
        <x:v>0</x:v>
      </x:c>
      <x:c r="Q1277" s="8" t="n">
        <x:v>2.3134618459836664</x:v>
      </x:c>
      <x:c r="R1277" s="8" t="n">
        <x:v>0</x:v>
      </x:c>
      <x:c r="S1277" s="8" t="n">
        <x:f>L1277-I1277^2/H1277</x:f>
        <x:v>13.257488792811085</x:v>
      </x:c>
      <x:c r="T1277" s="8" t="n">
        <x:f>M1277-J1277^2/H1277</x:f>
        <x:v>0</x:v>
      </x:c>
      <x:c r="U1277" s="8" t="n">
        <x:f>N1277-I1277*J1277/H1277</x:f>
        <x:v>0</x:v>
      </x:c>
      <x:c r="V1277" s="8" t="n">
        <x:f>O1277-I1277*K1277/H1277</x:f>
        <x:v>11.64207668624827</x:v>
      </x:c>
      <x:c r="W1277" s="8" t="n">
        <x:f>P1277-J1277*K1277/H1277</x:f>
        <x:v>0</x:v>
      </x:c>
      <x:c r="X1277" s="8" t="n">
        <x:f>V1277/S1277</x:f>
        <x:v>0.8781509732492645</x:v>
      </x:c>
      <x:c r="Y1277" s="8" t="n">
        <x:f>0</x:f>
        <x:v>0</x:v>
      </x:c>
      <x:c r="Z1277" s="8" t="n">
        <x:f>K1277/H1277-X1277*I1277/H1277-Y1277*J1277/H1277</x:f>
        <x:v>-3.277048348290906</x:v>
      </x:c>
      <x:c r="AA1277" s="8" t="n">
        <x:f>Z1277+X1277*Q1277+Y1277*R1277</x:f>
        <x:v>-1.2454795766653093</x:v>
      </x:c>
    </x:row>
    <x:row r="1278" ht="26" customHeight="1">
      <x:c r="A1278" s="2"/>
      <x:c r="B1278" s="2" t="n">
        <x:v>1273</x:v>
      </x:c>
      <x:c r="C1278" s="2" t="str">
        <x:v>Baby, Feminine &amp; Family Care / organic_volume_growth</x:v>
      </x:c>
      <x:c r="D1278" s="2" t="str">
        <x:v>Own history</x:v>
      </x:c>
      <x:c r="E1278" s="7" t="n">
        <x:v>45747</x:v>
      </x:c>
      <x:c r="F1278" s="2" t="str">
        <x:v>Origin</x:v>
      </x:c>
      <x:c r="G1278" s="7" t="n">
        <x:v>45658</x:v>
      </x:c>
      <x:c r="H1278" s="2" t="n">
        <x:v>13</x:v>
      </x:c>
      <x:c r="I1278" s="8" t="n">
        <x:v>-24</x:v>
      </x:c>
      <x:c r="J1278" s="8" t="n">
        <x:v>0</x:v>
      </x:c>
      <x:c r="K1278" s="8" t="n">
        <x:v>-19</x:v>
      </x:c>
      <x:c r="L1278" s="8" t="n">
        <x:v>114</x:v>
      </x:c>
      <x:c r="M1278" s="8" t="n">
        <x:v>0</x:v>
      </x:c>
      <x:c r="N1278" s="8" t="n">
        <x:v>0</x:v>
      </x:c>
      <x:c r="O1278" s="8" t="n">
        <x:v>27</x:v>
      </x:c>
      <x:c r="P1278" s="8" t="n">
        <x:v>0</x:v>
      </x:c>
      <x:c r="Q1278" s="8" t="n">
        <x:v>-1</x:v>
      </x:c>
      <x:c r="R1278" s="8" t="n">
        <x:v>0</x:v>
      </x:c>
      <x:c r="S1278" s="8" t="n">
        <x:f>L1278-I1278^2/H1278</x:f>
        <x:v>69.6923076923077</x:v>
      </x:c>
      <x:c r="T1278" s="8" t="n">
        <x:f>M1278-J1278^2/H1278</x:f>
        <x:v>0</x:v>
      </x:c>
      <x:c r="U1278" s="8" t="n">
        <x:f>N1278-I1278*J1278/H1278</x:f>
        <x:v>0</x:v>
      </x:c>
      <x:c r="V1278" s="8" t="n">
        <x:f>O1278-I1278*K1278/H1278</x:f>
        <x:v>-8.07692307692308</x:v>
      </x:c>
      <x:c r="W1278" s="8" t="n">
        <x:f>P1278-J1278*K1278/H1278</x:f>
        <x:v>0</x:v>
      </x:c>
      <x:c r="X1278" s="8" t="n">
        <x:f>V1278/S1278</x:f>
        <x:v>-0.11589403973509939</x:v>
      </x:c>
      <x:c r="Y1278" s="8" t="n">
        <x:f>0</x:f>
        <x:v>0</x:v>
      </x:c>
      <x:c r="Z1278" s="8" t="n">
        <x:f>K1278/H1278-X1278*I1278/H1278-Y1278*J1278/H1278</x:f>
        <x:v>-1.6754966887417218</x:v>
      </x:c>
      <x:c r="AA1278" s="8" t="n">
        <x:f>Z1278+X1278*Q1278+Y1278*R1278</x:f>
        <x:v>-1.5596026490066224</x:v>
      </x:c>
    </x:row>
    <x:row r="1279" ht="26" customHeight="1">
      <x:c r="A1279" s="2"/>
      <x:c r="B1279" s="2" t="n">
        <x:v>1274</x:v>
      </x:c>
      <x:c r="C1279" s="2" t="str">
        <x:v>Baby, Feminine &amp; Family Care / organic_volume_growth</x:v>
      </x:c>
      <x:c r="D1279" s="2" t="str">
        <x:v>Broad market</x:v>
      </x:c>
      <x:c r="E1279" s="7" t="n">
        <x:v>45747</x:v>
      </x:c>
      <x:c r="F1279" s="2" t="str">
        <x:v>Prior report</x:v>
      </x:c>
      <x:c r="G1279" s="7" t="n">
        <x:v>45679</x:v>
      </x:c>
      <x:c r="H1279" s="2" t="n">
        <x:v>15</x:v>
      </x:c>
      <x:c r="I1279" s="8" t="n">
        <x:v>43.836489330457816</x:v>
      </x:c>
      <x:c r="J1279" s="8" t="n">
        <x:v>0</x:v>
      </x:c>
      <x:c r="K1279" s="8" t="n">
        <x:v>-26</x:v>
      </x:c>
      <x:c r="L1279" s="8" t="n">
        <x:v>371.83918677207225</x:v>
      </x:c>
      <x:c r="M1279" s="8" t="n">
        <x:v>0</x:v>
      </x:c>
      <x:c r="N1279" s="8" t="n">
        <x:v>0</x:v>
      </x:c>
      <x:c r="O1279" s="8" t="n">
        <x:v>-52.37281892528149</x:v>
      </x:c>
      <x:c r="P1279" s="8" t="n">
        <x:v>0</x:v>
      </x:c>
      <x:c r="Q1279" s="8" t="n">
        <x:v>2.3134618459836664</x:v>
      </x:c>
      <x:c r="R1279" s="8" t="n">
        <x:v>0</x:v>
      </x:c>
      <x:c r="S1279" s="8" t="n">
        <x:f>L1279-I1279^2/H1279</x:f>
        <x:v>243.73000031744945</x:v>
      </x:c>
      <x:c r="T1279" s="8" t="n">
        <x:f>M1279-J1279^2/H1279</x:f>
        <x:v>0</x:v>
      </x:c>
      <x:c r="U1279" s="8" t="n">
        <x:f>N1279-I1279*J1279/H1279</x:f>
        <x:v>0</x:v>
      </x:c>
      <x:c r="V1279" s="8" t="n">
        <x:f>O1279-I1279*K1279/H1279</x:f>
        <x:v>23.61042924751206</x:v>
      </x:c>
      <x:c r="W1279" s="8" t="n">
        <x:f>P1279-J1279*K1279/H1279</x:f>
        <x:v>0</x:v>
      </x:c>
      <x:c r="X1279" s="8" t="n">
        <x:f>V1279/S1279</x:f>
        <x:v>0.09687124776088432</x:v>
      </x:c>
      <x:c r="Y1279" s="8" t="n">
        <x:f>0</x:f>
        <x:v>0</x:v>
      </x:c>
      <x:c r="Z1279" s="8" t="n">
        <x:f>K1279/H1279-X1279*I1279/H1279-Y1279*J1279/H1279</x:f>
        <x:v>-2.016433027926543</x:v>
      </x:c>
      <x:c r="AA1279" s="8" t="n">
        <x:f>Z1279+X1279*Q1279+Y1279*R1279</x:f>
        <x:v>-1.7923250922589065</x:v>
      </x:c>
    </x:row>
    <x:row r="1280" ht="26" customHeight="1">
      <x:c r="A1280" s="2"/>
      <x:c r="B1280" s="2" t="n">
        <x:v>1275</x:v>
      </x:c>
      <x:c r="C1280" s="2" t="str">
        <x:v>Baby, Feminine &amp; Family Care / organic_volume_growth</x:v>
      </x:c>
      <x:c r="D1280" s="2" t="str">
        <x:v>Broad rolling 8</x:v>
      </x:c>
      <x:c r="E1280" s="7" t="n">
        <x:v>45747</x:v>
      </x:c>
      <x:c r="F1280" s="2" t="str">
        <x:v>Prior report</x:v>
      </x:c>
      <x:c r="G1280" s="7" t="n">
        <x:v>45679</x:v>
      </x:c>
      <x:c r="H1280" s="2" t="n">
        <x:v>8</x:v>
      </x:c>
      <x:c r="I1280" s="8" t="n">
        <x:v>7.078949947895485</x:v>
      </x:c>
      <x:c r="J1280" s="8" t="n">
        <x:v>0</x:v>
      </x:c>
      <x:c r="K1280" s="8" t="n">
        <x:v>-20</x:v>
      </x:c>
      <x:c r="L1280" s="8" t="n">
        <x:v>19.521430338412273</x:v>
      </x:c>
      <x:c r="M1280" s="8" t="n">
        <x:v>0</x:v>
      </x:c>
      <x:c r="N1280" s="8" t="n">
        <x:v>0</x:v>
      </x:c>
      <x:c r="O1280" s="8" t="n">
        <x:v>-6.055298183490443</x:v>
      </x:c>
      <x:c r="P1280" s="8" t="n">
        <x:v>0</x:v>
      </x:c>
      <x:c r="Q1280" s="8" t="n">
        <x:v>2.3134618459836664</x:v>
      </x:c>
      <x:c r="R1280" s="8" t="n">
        <x:v>0</x:v>
      </x:c>
      <x:c r="S1280" s="8" t="n">
        <x:f>L1280-I1280^2/H1280</x:f>
        <x:v>13.257488792811085</x:v>
      </x:c>
      <x:c r="T1280" s="8" t="n">
        <x:f>M1280-J1280^2/H1280</x:f>
        <x:v>0</x:v>
      </x:c>
      <x:c r="U1280" s="8" t="n">
        <x:f>N1280-I1280*J1280/H1280</x:f>
        <x:v>0</x:v>
      </x:c>
      <x:c r="V1280" s="8" t="n">
        <x:f>O1280-I1280*K1280/H1280</x:f>
        <x:v>11.64207668624827</x:v>
      </x:c>
      <x:c r="W1280" s="8" t="n">
        <x:f>P1280-J1280*K1280/H1280</x:f>
        <x:v>0</x:v>
      </x:c>
      <x:c r="X1280" s="8" t="n">
        <x:f>V1280/S1280</x:f>
        <x:v>0.8781509732492645</x:v>
      </x:c>
      <x:c r="Y1280" s="8" t="n">
        <x:f>0</x:f>
        <x:v>0</x:v>
      </x:c>
      <x:c r="Z1280" s="8" t="n">
        <x:f>K1280/H1280-X1280*I1280/H1280-Y1280*J1280/H1280</x:f>
        <x:v>-3.277048348290906</x:v>
      </x:c>
      <x:c r="AA1280" s="8" t="n">
        <x:f>Z1280+X1280*Q1280+Y1280*R1280</x:f>
        <x:v>-1.2454795766653093</x:v>
      </x:c>
    </x:row>
    <x:row r="1281" ht="26" customHeight="1">
      <x:c r="A1281" s="2"/>
      <x:c r="B1281" s="2" t="n">
        <x:v>1276</x:v>
      </x:c>
      <x:c r="C1281" s="2" t="str">
        <x:v>Baby, Feminine &amp; Family Care / organic_volume_growth</x:v>
      </x:c>
      <x:c r="D1281" s="2" t="str">
        <x:v>Own history</x:v>
      </x:c>
      <x:c r="E1281" s="7" t="n">
        <x:v>45747</x:v>
      </x:c>
      <x:c r="F1281" s="2" t="str">
        <x:v>Prior report</x:v>
      </x:c>
      <x:c r="G1281" s="7" t="n">
        <x:v>45679</x:v>
      </x:c>
      <x:c r="H1281" s="2" t="n">
        <x:v>15</x:v>
      </x:c>
      <x:c r="I1281" s="8" t="n">
        <x:v>-26</x:v>
      </x:c>
      <x:c r="J1281" s="8" t="n">
        <x:v>0</x:v>
      </x:c>
      <x:c r="K1281" s="8" t="n">
        <x:v>-18</x:v>
      </x:c>
      <x:c r="L1281" s="8" t="n">
        <x:v>116</x:v>
      </x:c>
      <x:c r="M1281" s="8" t="n">
        <x:v>0</x:v>
      </x:c>
      <x:c r="N1281" s="8" t="n">
        <x:v>0</x:v>
      </x:c>
      <x:c r="O1281" s="8" t="n">
        <x:v>66</x:v>
      </x:c>
      <x:c r="P1281" s="8" t="n">
        <x:v>0</x:v>
      </x:c>
      <x:c r="Q1281" s="8" t="n">
        <x:v>4</x:v>
      </x:c>
      <x:c r="R1281" s="8" t="n">
        <x:v>0</x:v>
      </x:c>
      <x:c r="S1281" s="8" t="n">
        <x:f>L1281-I1281^2/H1281</x:f>
        <x:v>70.93333333333334</x:v>
      </x:c>
      <x:c r="T1281" s="8" t="n">
        <x:f>M1281-J1281^2/H1281</x:f>
        <x:v>0</x:v>
      </x:c>
      <x:c r="U1281" s="8" t="n">
        <x:f>N1281-I1281*J1281/H1281</x:f>
        <x:v>0</x:v>
      </x:c>
      <x:c r="V1281" s="8" t="n">
        <x:f>O1281-I1281*K1281/H1281</x:f>
        <x:v>34.8</x:v>
      </x:c>
      <x:c r="W1281" s="8" t="n">
        <x:f>P1281-J1281*K1281/H1281</x:f>
        <x:v>0</x:v>
      </x:c>
      <x:c r="X1281" s="8" t="n">
        <x:f>V1281/S1281</x:f>
        <x:v>0.4906015037593984</x:v>
      </x:c>
      <x:c r="Y1281" s="8" t="n">
        <x:f>0</x:f>
        <x:v>0</x:v>
      </x:c>
      <x:c r="Z1281" s="8" t="n">
        <x:f>K1281/H1281-X1281*I1281/H1281-Y1281*J1281/H1281</x:f>
        <x:v>-0.34962406015037606</x:v>
      </x:c>
      <x:c r="AA1281" s="8" t="n">
        <x:f>Z1281+X1281*Q1281+Y1281*R1281</x:f>
        <x:v>1.6127819548872178</x:v>
      </x:c>
    </x:row>
    <x:row r="1282" ht="26" customHeight="1">
      <x:c r="A1282" s="2"/>
      <x:c r="B1282" s="2" t="n">
        <x:v>1277</x:v>
      </x:c>
      <x:c r="C1282" s="2" t="str">
        <x:v>Baby, Feminine &amp; Family Care / organic_volume_growth</x:v>
      </x:c>
      <x:c r="D1282" s="2" t="str">
        <x:v>Broad market</x:v>
      </x:c>
      <x:c r="E1282" s="7" t="n">
        <x:v>45747</x:v>
      </x:c>
      <x:c r="F1282" s="2" t="str">
        <x:v>Pre-earnings</x:v>
      </x:c>
      <x:c r="G1282" s="7" t="n">
        <x:v>45770</x:v>
      </x:c>
      <x:c r="H1282" s="2" t="n">
        <x:v>16</x:v>
      </x:c>
      <x:c r="I1282" s="8" t="n">
        <x:v>45.94686773973914</x:v>
      </x:c>
      <x:c r="J1282" s="8" t="n">
        <x:v>0</x:v>
      </x:c>
      <x:c r="K1282" s="8" t="n">
        <x:v>-22</x:v>
      </x:c>
      <x:c r="L1282" s="8" t="n">
        <x:v>376.29288380243304</x:v>
      </x:c>
      <x:c r="M1282" s="8" t="n">
        <x:v>0</x:v>
      </x:c>
      <x:c r="N1282" s="8" t="n">
        <x:v>0</x:v>
      </x:c>
      <x:c r="O1282" s="8" t="n">
        <x:v>-43.93130528815621</x:v>
      </x:c>
      <x:c r="P1282" s="8" t="n">
        <x:v>0</x:v>
      </x:c>
      <x:c r="Q1282" s="8" t="n">
        <x:v>2.5268187156605393</x:v>
      </x:c>
      <x:c r="R1282" s="8" t="n">
        <x:v>0</x:v>
      </x:c>
      <x:c r="S1282" s="8" t="n">
        <x:f>L1282-I1282^2/H1282</x:f>
        <x:v>244.34821785911546</x:v>
      </x:c>
      <x:c r="T1282" s="8" t="n">
        <x:f>M1282-J1282^2/H1282</x:f>
        <x:v>0</x:v>
      </x:c>
      <x:c r="U1282" s="8" t="n">
        <x:f>N1282-I1282*J1282/H1282</x:f>
        <x:v>0</x:v>
      </x:c>
      <x:c r="V1282" s="8" t="n">
        <x:f>O1282-I1282*K1282/H1282</x:f>
        <x:v>19.24563785398511</x:v>
      </x:c>
      <x:c r="W1282" s="8" t="n">
        <x:f>P1282-J1282*K1282/H1282</x:f>
        <x:v>0</x:v>
      </x:c>
      <x:c r="X1282" s="8" t="n">
        <x:f>V1282/S1282</x:f>
        <x:v>0.078763160307073</x:v>
      </x:c>
      <x:c r="Y1282" s="8" t="n">
        <x:f>0</x:f>
        <x:v>0</x:v>
      </x:c>
      <x:c r="Z1282" s="8" t="n">
        <x:f>K1282/H1282-X1282*I1282/H1282-Y1282*J1282/H1282</x:f>
        <x:v>-1.6011825318370596</x:v>
      </x:c>
      <x:c r="AA1282" s="8" t="n">
        <x:f>Z1282+X1282*Q1282+Y1282*R1282</x:f>
        <x:v>-1.4021623042685762</x:v>
      </x:c>
    </x:row>
    <x:row r="1283" ht="26" customHeight="1">
      <x:c r="A1283" s="2"/>
      <x:c r="B1283" s="2" t="n">
        <x:v>1278</x:v>
      </x:c>
      <x:c r="C1283" s="2" t="str">
        <x:v>Baby, Feminine &amp; Family Care / organic_volume_growth</x:v>
      </x:c>
      <x:c r="D1283" s="2" t="str">
        <x:v>Broad lag 1</x:v>
      </x:c>
      <x:c r="E1283" s="7" t="n">
        <x:v>45747</x:v>
      </x:c>
      <x:c r="F1283" s="2" t="str">
        <x:v>Pre-earnings</x:v>
      </x:c>
      <x:c r="G1283" s="7" t="n">
        <x:v>45770</x:v>
      </x:c>
      <x:c r="H1283" s="2" t="n">
        <x:v>15</x:v>
      </x:c>
      <x:c r="I1283" s="8" t="n">
        <x:v>43.836489330457816</x:v>
      </x:c>
      <x:c r="J1283" s="8" t="n">
        <x:v>0</x:v>
      </x:c>
      <x:c r="K1283" s="8" t="n">
        <x:v>-18</x:v>
      </x:c>
      <x:c r="L1283" s="8" t="n">
        <x:v>371.83918677207225</x:v>
      </x:c>
      <x:c r="M1283" s="8" t="n">
        <x:v>0</x:v>
      </x:c>
      <x:c r="N1283" s="8" t="n">
        <x:v>0</x:v>
      </x:c>
      <x:c r="O1283" s="8" t="n">
        <x:v>23.877901285272053</x:v>
      </x:c>
      <x:c r="P1283" s="8" t="n">
        <x:v>0</x:v>
      </x:c>
      <x:c r="Q1283" s="8" t="n">
        <x:v>2.1103784092813216</x:v>
      </x:c>
      <x:c r="R1283" s="8" t="n">
        <x:v>0</x:v>
      </x:c>
      <x:c r="S1283" s="8" t="n">
        <x:f>L1283-I1283^2/H1283</x:f>
        <x:v>243.73000031744945</x:v>
      </x:c>
      <x:c r="T1283" s="8" t="n">
        <x:f>M1283-J1283^2/H1283</x:f>
        <x:v>0</x:v>
      </x:c>
      <x:c r="U1283" s="8" t="n">
        <x:f>N1283-I1283*J1283/H1283</x:f>
        <x:v>0</x:v>
      </x:c>
      <x:c r="V1283" s="8" t="n">
        <x:f>O1283-I1283*K1283/H1283</x:f>
        <x:v>76.48168848182144</x:v>
      </x:c>
      <x:c r="W1283" s="8" t="n">
        <x:f>P1283-J1283*K1283/H1283</x:f>
        <x:v>0</x:v>
      </x:c>
      <x:c r="X1283" s="8" t="n">
        <x:f>V1283/S1283</x:f>
        <x:v>0.3137967766881665</x:v>
      </x:c>
      <x:c r="Y1283" s="8" t="n">
        <x:f>0</x:f>
        <x:v>0</x:v>
      </x:c>
      <x:c r="Z1283" s="8" t="n">
        <x:f>K1283/H1283-X1283*I1283/H1283-Y1283*J1283/H1283</x:f>
        <x:v>-2.117049936881524</x:v>
      </x:c>
      <x:c r="AA1283" s="8" t="n">
        <x:f>Z1283+X1283*Q1283+Y1283*R1283</x:f>
        <x:v>-1.454819994456745</x:v>
      </x:c>
    </x:row>
    <x:row r="1284" ht="26" customHeight="1">
      <x:c r="A1284" s="2"/>
      <x:c r="B1284" s="2" t="n">
        <x:v>1279</x:v>
      </x:c>
      <x:c r="C1284" s="2" t="str">
        <x:v>Baby, Feminine &amp; Family Care / organic_volume_growth</x:v>
      </x:c>
      <x:c r="D1284" s="2" t="str">
        <x:v>Broad rolling 8</x:v>
      </x:c>
      <x:c r="E1284" s="7" t="n">
        <x:v>45747</x:v>
      </x:c>
      <x:c r="F1284" s="2" t="str">
        <x:v>Pre-earnings</x:v>
      </x:c>
      <x:c r="G1284" s="7" t="n">
        <x:v>45770</x:v>
      </x:c>
      <x:c r="H1284" s="2" t="n">
        <x:v>8</x:v>
      </x:c>
      <x:c r="I1284" s="8" t="n">
        <x:v>10.750247851811778</x:v>
      </x:c>
      <x:c r="J1284" s="8" t="n">
        <x:v>0</x:v>
      </x:c>
      <x:c r="K1284" s="8" t="n">
        <x:v>-10</x:v>
      </x:c>
      <x:c r="L1284" s="8" t="n">
        <x:v>21.53865770004154</x:v>
      </x:c>
      <x:c r="M1284" s="8" t="n">
        <x:v>0</x:v>
      </x:c>
      <x:c r="N1284" s="8" t="n">
        <x:v>0</x:v>
      </x:c>
      <x:c r="O1284" s="8" t="n">
        <x:v>-6.979301514174985</x:v>
      </x:c>
      <x:c r="P1284" s="8" t="n">
        <x:v>0</x:v>
      </x:c>
      <x:c r="Q1284" s="8" t="n">
        <x:v>2.5268187156605393</x:v>
      </x:c>
      <x:c r="R1284" s="8" t="n">
        <x:v>0</x:v>
      </x:c>
      <x:c r="S1284" s="8" t="n">
        <x:f>L1284-I1284^2/H1284</x:f>
        <x:v>7.092679090618571</x:v>
      </x:c>
      <x:c r="T1284" s="8" t="n">
        <x:f>M1284-J1284^2/H1284</x:f>
        <x:v>0</x:v>
      </x:c>
      <x:c r="U1284" s="8" t="n">
        <x:f>N1284-I1284*J1284/H1284</x:f>
        <x:v>0</x:v>
      </x:c>
      <x:c r="V1284" s="8" t="n">
        <x:f>O1284-I1284*K1284/H1284</x:f>
        <x:v>6.458508300589738</x:v>
      </x:c>
      <x:c r="W1284" s="8" t="n">
        <x:f>P1284-J1284*K1284/H1284</x:f>
        <x:v>0</x:v>
      </x:c>
      <x:c r="X1284" s="8" t="n">
        <x:f>V1284/S1284</x:f>
        <x:v>0.9105879764294362</x:v>
      </x:c>
      <x:c r="Y1284" s="8" t="n">
        <x:f>0</x:f>
        <x:v>0</x:v>
      </x:c>
      <x:c r="Z1284" s="8" t="n">
        <x:f>K1284/H1284-X1284*I1284/H1284-Y1284*J1284/H1284</x:f>
        <x:v>-2.473630804687023</x:v>
      </x:c>
      <x:c r="AA1284" s="8" t="n">
        <x:f>Z1284+X1284*Q1284+Y1284*R1284</x:f>
        <x:v>-0.1727400635896652</x:v>
      </x:c>
    </x:row>
    <x:row r="1285" ht="26" customHeight="1">
      <x:c r="A1285" s="2"/>
      <x:c r="B1285" s="2" t="n">
        <x:v>1280</x:v>
      </x:c>
      <x:c r="C1285" s="2" t="str">
        <x:v>Baby, Feminine &amp; Family Care / organic_volume_growth</x:v>
      </x:c>
      <x:c r="D1285" s="2" t="str">
        <x:v>Own history</x:v>
      </x:c>
      <x:c r="E1285" s="7" t="n">
        <x:v>45747</x:v>
      </x:c>
      <x:c r="F1285" s="2" t="str">
        <x:v>Pre-earnings</x:v>
      </x:c>
      <x:c r="G1285" s="7" t="n">
        <x:v>45770</x:v>
      </x:c>
      <x:c r="H1285" s="2" t="n">
        <x:v>15</x:v>
      </x:c>
      <x:c r="I1285" s="8" t="n">
        <x:v>-26</x:v>
      </x:c>
      <x:c r="J1285" s="8" t="n">
        <x:v>0</x:v>
      </x:c>
      <x:c r="K1285" s="8" t="n">
        <x:v>-18</x:v>
      </x:c>
      <x:c r="L1285" s="8" t="n">
        <x:v>116</x:v>
      </x:c>
      <x:c r="M1285" s="8" t="n">
        <x:v>0</x:v>
      </x:c>
      <x:c r="N1285" s="8" t="n">
        <x:v>0</x:v>
      </x:c>
      <x:c r="O1285" s="8" t="n">
        <x:v>66</x:v>
      </x:c>
      <x:c r="P1285" s="8" t="n">
        <x:v>0</x:v>
      </x:c>
      <x:c r="Q1285" s="8" t="n">
        <x:v>4</x:v>
      </x:c>
      <x:c r="R1285" s="8" t="n">
        <x:v>0</x:v>
      </x:c>
      <x:c r="S1285" s="8" t="n">
        <x:f>L1285-I1285^2/H1285</x:f>
        <x:v>70.93333333333334</x:v>
      </x:c>
      <x:c r="T1285" s="8" t="n">
        <x:f>M1285-J1285^2/H1285</x:f>
        <x:v>0</x:v>
      </x:c>
      <x:c r="U1285" s="8" t="n">
        <x:f>N1285-I1285*J1285/H1285</x:f>
        <x:v>0</x:v>
      </x:c>
      <x:c r="V1285" s="8" t="n">
        <x:f>O1285-I1285*K1285/H1285</x:f>
        <x:v>34.8</x:v>
      </x:c>
      <x:c r="W1285" s="8" t="n">
        <x:f>P1285-J1285*K1285/H1285</x:f>
        <x:v>0</x:v>
      </x:c>
      <x:c r="X1285" s="8" t="n">
        <x:f>V1285/S1285</x:f>
        <x:v>0.4906015037593984</x:v>
      </x:c>
      <x:c r="Y1285" s="8" t="n">
        <x:f>0</x:f>
        <x:v>0</x:v>
      </x:c>
      <x:c r="Z1285" s="8" t="n">
        <x:f>K1285/H1285-X1285*I1285/H1285-Y1285*J1285/H1285</x:f>
        <x:v>-0.34962406015037606</x:v>
      </x:c>
      <x:c r="AA1285" s="8" t="n">
        <x:f>Z1285+X1285*Q1285+Y1285*R1285</x:f>
        <x:v>1.6127819548872178</x:v>
      </x:c>
    </x:row>
    <x:row r="1286" ht="26" customHeight="1">
      <x:c r="A1286" s="2"/>
      <x:c r="B1286" s="2" t="n">
        <x:v>1281</x:v>
      </x:c>
      <x:c r="C1286" s="2" t="str">
        <x:v>Baby, Feminine &amp; Family Care / organic_volume_growth</x:v>
      </x:c>
      <x:c r="D1286" s="2" t="str">
        <x:v>Broad market</x:v>
      </x:c>
      <x:c r="E1286" s="7" t="n">
        <x:v>45838</x:v>
      </x:c>
      <x:c r="F1286" s="2" t="str">
        <x:v>Origin</x:v>
      </x:c>
      <x:c r="G1286" s="7" t="n">
        <x:v>45748</x:v>
      </x:c>
      <x:c r="H1286" s="2" t="n">
        <x:v>16</x:v>
      </x:c>
      <x:c r="I1286" s="8" t="n">
        <x:v>45.94686773973914</x:v>
      </x:c>
      <x:c r="J1286" s="8" t="n">
        <x:v>0</x:v>
      </x:c>
      <x:c r="K1286" s="8" t="n">
        <x:v>-22</x:v>
      </x:c>
      <x:c r="L1286" s="8" t="n">
        <x:v>376.29288380243304</x:v>
      </x:c>
      <x:c r="M1286" s="8" t="n">
        <x:v>0</x:v>
      </x:c>
      <x:c r="N1286" s="8" t="n">
        <x:v>0</x:v>
      </x:c>
      <x:c r="O1286" s="8" t="n">
        <x:v>-43.93130528815621</x:v>
      </x:c>
      <x:c r="P1286" s="8" t="n">
        <x:v>0</x:v>
      </x:c>
      <x:c r="Q1286" s="8" t="n">
        <x:v>2.4263020900480603</x:v>
      </x:c>
      <x:c r="R1286" s="8" t="n">
        <x:v>0</x:v>
      </x:c>
      <x:c r="S1286" s="8" t="n">
        <x:f>L1286-I1286^2/H1286</x:f>
        <x:v>244.34821785911546</x:v>
      </x:c>
      <x:c r="T1286" s="8" t="n">
        <x:f>M1286-J1286^2/H1286</x:f>
        <x:v>0</x:v>
      </x:c>
      <x:c r="U1286" s="8" t="n">
        <x:f>N1286-I1286*J1286/H1286</x:f>
        <x:v>0</x:v>
      </x:c>
      <x:c r="V1286" s="8" t="n">
        <x:f>O1286-I1286*K1286/H1286</x:f>
        <x:v>19.24563785398511</x:v>
      </x:c>
      <x:c r="W1286" s="8" t="n">
        <x:f>P1286-J1286*K1286/H1286</x:f>
        <x:v>0</x:v>
      </x:c>
      <x:c r="X1286" s="8" t="n">
        <x:f>V1286/S1286</x:f>
        <x:v>0.078763160307073</x:v>
      </x:c>
      <x:c r="Y1286" s="8" t="n">
        <x:f>0</x:f>
        <x:v>0</x:v>
      </x:c>
      <x:c r="Z1286" s="8" t="n">
        <x:f>K1286/H1286-X1286*I1286/H1286-Y1286*J1286/H1286</x:f>
        <x:v>-1.6011825318370596</x:v>
      </x:c>
      <x:c r="AA1286" s="8" t="n">
        <x:f>Z1286+X1286*Q1286+Y1286*R1286</x:f>
        <x:v>-1.410079311365218</x:v>
      </x:c>
    </x:row>
    <x:row r="1287" ht="26" customHeight="1">
      <x:c r="A1287" s="2"/>
      <x:c r="B1287" s="2" t="n">
        <x:v>1282</x:v>
      </x:c>
      <x:c r="C1287" s="2" t="str">
        <x:v>Baby, Feminine &amp; Family Care / organic_volume_growth</x:v>
      </x:c>
      <x:c r="D1287" s="2" t="str">
        <x:v>Broad rolling 8</x:v>
      </x:c>
      <x:c r="E1287" s="7" t="n">
        <x:v>45838</x:v>
      </x:c>
      <x:c r="F1287" s="2" t="str">
        <x:v>Origin</x:v>
      </x:c>
      <x:c r="G1287" s="7" t="n">
        <x:v>45748</x:v>
      </x:c>
      <x:c r="H1287" s="2" t="n">
        <x:v>8</x:v>
      </x:c>
      <x:c r="I1287" s="8" t="n">
        <x:v>10.750247851811778</x:v>
      </x:c>
      <x:c r="J1287" s="8" t="n">
        <x:v>0</x:v>
      </x:c>
      <x:c r="K1287" s="8" t="n">
        <x:v>-10</x:v>
      </x:c>
      <x:c r="L1287" s="8" t="n">
        <x:v>21.53865770004154</x:v>
      </x:c>
      <x:c r="M1287" s="8" t="n">
        <x:v>0</x:v>
      </x:c>
      <x:c r="N1287" s="8" t="n">
        <x:v>0</x:v>
      </x:c>
      <x:c r="O1287" s="8" t="n">
        <x:v>-6.979301514174985</x:v>
      </x:c>
      <x:c r="P1287" s="8" t="n">
        <x:v>0</x:v>
      </x:c>
      <x:c r="Q1287" s="8" t="n">
        <x:v>2.4263020900480603</x:v>
      </x:c>
      <x:c r="R1287" s="8" t="n">
        <x:v>0</x:v>
      </x:c>
      <x:c r="S1287" s="8" t="n">
        <x:f>L1287-I1287^2/H1287</x:f>
        <x:v>7.092679090618571</x:v>
      </x:c>
      <x:c r="T1287" s="8" t="n">
        <x:f>M1287-J1287^2/H1287</x:f>
        <x:v>0</x:v>
      </x:c>
      <x:c r="U1287" s="8" t="n">
        <x:f>N1287-I1287*J1287/H1287</x:f>
        <x:v>0</x:v>
      </x:c>
      <x:c r="V1287" s="8" t="n">
        <x:f>O1287-I1287*K1287/H1287</x:f>
        <x:v>6.458508300589738</x:v>
      </x:c>
      <x:c r="W1287" s="8" t="n">
        <x:f>P1287-J1287*K1287/H1287</x:f>
        <x:v>0</x:v>
      </x:c>
      <x:c r="X1287" s="8" t="n">
        <x:f>V1287/S1287</x:f>
        <x:v>0.9105879764294362</x:v>
      </x:c>
      <x:c r="Y1287" s="8" t="n">
        <x:f>0</x:f>
        <x:v>0</x:v>
      </x:c>
      <x:c r="Z1287" s="8" t="n">
        <x:f>K1287/H1287-X1287*I1287/H1287-Y1287*J1287/H1287</x:f>
        <x:v>-2.473630804687023</x:v>
      </x:c>
      <x:c r="AA1287" s="8" t="n">
        <x:f>Z1287+X1287*Q1287+Y1287*R1287</x:f>
        <x:v>-0.26426929430364776</x:v>
      </x:c>
    </x:row>
    <x:row r="1288" ht="26" customHeight="1">
      <x:c r="A1288" s="2"/>
      <x:c r="B1288" s="2" t="n">
        <x:v>1283</x:v>
      </x:c>
      <x:c r="C1288" s="2" t="str">
        <x:v>Baby, Feminine &amp; Family Care / organic_volume_growth</x:v>
      </x:c>
      <x:c r="D1288" s="2" t="str">
        <x:v>Own history</x:v>
      </x:c>
      <x:c r="E1288" s="7" t="n">
        <x:v>45838</x:v>
      </x:c>
      <x:c r="F1288" s="2" t="str">
        <x:v>Origin</x:v>
      </x:c>
      <x:c r="G1288" s="7" t="n">
        <x:v>45748</x:v>
      </x:c>
      <x:c r="H1288" s="2" t="n">
        <x:v>14</x:v>
      </x:c>
      <x:c r="I1288" s="8" t="n">
        <x:v>-25</x:v>
      </x:c>
      <x:c r="J1288" s="8" t="n">
        <x:v>0</x:v>
      </x:c>
      <x:c r="K1288" s="8" t="n">
        <x:v>-15</x:v>
      </x:c>
      <x:c r="L1288" s="8" t="n">
        <x:v>115</x:v>
      </x:c>
      <x:c r="M1288" s="8" t="n">
        <x:v>0</x:v>
      </x:c>
      <x:c r="N1288" s="8" t="n">
        <x:v>0</x:v>
      </x:c>
      <x:c r="O1288" s="8" t="n">
        <x:v>23</x:v>
      </x:c>
      <x:c r="P1288" s="8" t="n">
        <x:v>0</x:v>
      </x:c>
      <x:c r="Q1288" s="8" t="n">
        <x:v>4</x:v>
      </x:c>
      <x:c r="R1288" s="8" t="n">
        <x:v>0</x:v>
      </x:c>
      <x:c r="S1288" s="8" t="n">
        <x:f>L1288-I1288^2/H1288</x:f>
        <x:v>70.35714285714286</x:v>
      </x:c>
      <x:c r="T1288" s="8" t="n">
        <x:f>M1288-J1288^2/H1288</x:f>
        <x:v>0</x:v>
      </x:c>
      <x:c r="U1288" s="8" t="n">
        <x:f>N1288-I1288*J1288/H1288</x:f>
        <x:v>0</x:v>
      </x:c>
      <x:c r="V1288" s="8" t="n">
        <x:f>O1288-I1288*K1288/H1288</x:f>
        <x:v>-3.7857142857142847</x:v>
      </x:c>
      <x:c r="W1288" s="8" t="n">
        <x:f>P1288-J1288*K1288/H1288</x:f>
        <x:v>0</x:v>
      </x:c>
      <x:c r="X1288" s="8" t="n">
        <x:f>V1288/S1288</x:f>
        <x:v>-0.05380710659898475</x:v>
      </x:c>
      <x:c r="Y1288" s="8" t="n">
        <x:f>0</x:f>
        <x:v>0</x:v>
      </x:c>
      <x:c r="Z1288" s="8" t="n">
        <x:f>K1288/H1288-X1288*I1288/H1288-Y1288*J1288/H1288</x:f>
        <x:v>-1.16751269035533</x:v>
      </x:c>
      <x:c r="AA1288" s="8" t="n">
        <x:f>Z1288+X1288*Q1288+Y1288*R1288</x:f>
        <x:v>-1.3827411167512689</x:v>
      </x:c>
    </x:row>
    <x:row r="1289" ht="26" customHeight="1">
      <x:c r="A1289" s="2"/>
      <x:c r="B1289" s="2" t="n">
        <x:v>1284</x:v>
      </x:c>
      <x:c r="C1289" s="2" t="str">
        <x:v>Baby, Feminine &amp; Family Care / organic_volume_growth</x:v>
      </x:c>
      <x:c r="D1289" s="2" t="str">
        <x:v>Broad market</x:v>
      </x:c>
      <x:c r="E1289" s="7" t="n">
        <x:v>45838</x:v>
      </x:c>
      <x:c r="F1289" s="2" t="str">
        <x:v>Prior report</x:v>
      </x:c>
      <x:c r="G1289" s="7" t="n">
        <x:v>45771</x:v>
      </x:c>
      <x:c r="H1289" s="2" t="n">
        <x:v>16</x:v>
      </x:c>
      <x:c r="I1289" s="8" t="n">
        <x:v>45.94686773973914</x:v>
      </x:c>
      <x:c r="J1289" s="8" t="n">
        <x:v>0</x:v>
      </x:c>
      <x:c r="K1289" s="8" t="n">
        <x:v>-22</x:v>
      </x:c>
      <x:c r="L1289" s="8" t="n">
        <x:v>376.29288380243304</x:v>
      </x:c>
      <x:c r="M1289" s="8" t="n">
        <x:v>0</x:v>
      </x:c>
      <x:c r="N1289" s="8" t="n">
        <x:v>0</x:v>
      </x:c>
      <x:c r="O1289" s="8" t="n">
        <x:v>-43.93130528815621</x:v>
      </x:c>
      <x:c r="P1289" s="8" t="n">
        <x:v>0</x:v>
      </x:c>
      <x:c r="Q1289" s="8" t="n">
        <x:v>2.4263020900480603</x:v>
      </x:c>
      <x:c r="R1289" s="8" t="n">
        <x:v>0</x:v>
      </x:c>
      <x:c r="S1289" s="8" t="n">
        <x:f>L1289-I1289^2/H1289</x:f>
        <x:v>244.34821785911546</x:v>
      </x:c>
      <x:c r="T1289" s="8" t="n">
        <x:f>M1289-J1289^2/H1289</x:f>
        <x:v>0</x:v>
      </x:c>
      <x:c r="U1289" s="8" t="n">
        <x:f>N1289-I1289*J1289/H1289</x:f>
        <x:v>0</x:v>
      </x:c>
      <x:c r="V1289" s="8" t="n">
        <x:f>O1289-I1289*K1289/H1289</x:f>
        <x:v>19.24563785398511</x:v>
      </x:c>
      <x:c r="W1289" s="8" t="n">
        <x:f>P1289-J1289*K1289/H1289</x:f>
        <x:v>0</x:v>
      </x:c>
      <x:c r="X1289" s="8" t="n">
        <x:f>V1289/S1289</x:f>
        <x:v>0.078763160307073</x:v>
      </x:c>
      <x:c r="Y1289" s="8" t="n">
        <x:f>0</x:f>
        <x:v>0</x:v>
      </x:c>
      <x:c r="Z1289" s="8" t="n">
        <x:f>K1289/H1289-X1289*I1289/H1289-Y1289*J1289/H1289</x:f>
        <x:v>-1.6011825318370596</x:v>
      </x:c>
      <x:c r="AA1289" s="8" t="n">
        <x:f>Z1289+X1289*Q1289+Y1289*R1289</x:f>
        <x:v>-1.410079311365218</x:v>
      </x:c>
    </x:row>
    <x:row r="1290" ht="26" customHeight="1">
      <x:c r="A1290" s="2"/>
      <x:c r="B1290" s="2" t="n">
        <x:v>1285</x:v>
      </x:c>
      <x:c r="C1290" s="2" t="str">
        <x:v>Baby, Feminine &amp; Family Care / organic_volume_growth</x:v>
      </x:c>
      <x:c r="D1290" s="2" t="str">
        <x:v>Broad rolling 8</x:v>
      </x:c>
      <x:c r="E1290" s="7" t="n">
        <x:v>45838</x:v>
      </x:c>
      <x:c r="F1290" s="2" t="str">
        <x:v>Prior report</x:v>
      </x:c>
      <x:c r="G1290" s="7" t="n">
        <x:v>45771</x:v>
      </x:c>
      <x:c r="H1290" s="2" t="n">
        <x:v>8</x:v>
      </x:c>
      <x:c r="I1290" s="8" t="n">
        <x:v>10.750247851811778</x:v>
      </x:c>
      <x:c r="J1290" s="8" t="n">
        <x:v>0</x:v>
      </x:c>
      <x:c r="K1290" s="8" t="n">
        <x:v>-10</x:v>
      </x:c>
      <x:c r="L1290" s="8" t="n">
        <x:v>21.53865770004154</x:v>
      </x:c>
      <x:c r="M1290" s="8" t="n">
        <x:v>0</x:v>
      </x:c>
      <x:c r="N1290" s="8" t="n">
        <x:v>0</x:v>
      </x:c>
      <x:c r="O1290" s="8" t="n">
        <x:v>-6.979301514174985</x:v>
      </x:c>
      <x:c r="P1290" s="8" t="n">
        <x:v>0</x:v>
      </x:c>
      <x:c r="Q1290" s="8" t="n">
        <x:v>2.4263020900480603</x:v>
      </x:c>
      <x:c r="R1290" s="8" t="n">
        <x:v>0</x:v>
      </x:c>
      <x:c r="S1290" s="8" t="n">
        <x:f>L1290-I1290^2/H1290</x:f>
        <x:v>7.092679090618571</x:v>
      </x:c>
      <x:c r="T1290" s="8" t="n">
        <x:f>M1290-J1290^2/H1290</x:f>
        <x:v>0</x:v>
      </x:c>
      <x:c r="U1290" s="8" t="n">
        <x:f>N1290-I1290*J1290/H1290</x:f>
        <x:v>0</x:v>
      </x:c>
      <x:c r="V1290" s="8" t="n">
        <x:f>O1290-I1290*K1290/H1290</x:f>
        <x:v>6.458508300589738</x:v>
      </x:c>
      <x:c r="W1290" s="8" t="n">
        <x:f>P1290-J1290*K1290/H1290</x:f>
        <x:v>0</x:v>
      </x:c>
      <x:c r="X1290" s="8" t="n">
        <x:f>V1290/S1290</x:f>
        <x:v>0.9105879764294362</x:v>
      </x:c>
      <x:c r="Y1290" s="8" t="n">
        <x:f>0</x:f>
        <x:v>0</x:v>
      </x:c>
      <x:c r="Z1290" s="8" t="n">
        <x:f>K1290/H1290-X1290*I1290/H1290-Y1290*J1290/H1290</x:f>
        <x:v>-2.473630804687023</x:v>
      </x:c>
      <x:c r="AA1290" s="8" t="n">
        <x:f>Z1290+X1290*Q1290+Y1290*R1290</x:f>
        <x:v>-0.26426929430364776</x:v>
      </x:c>
    </x:row>
    <x:row r="1291" ht="26" customHeight="1">
      <x:c r="A1291" s="2"/>
      <x:c r="B1291" s="2" t="n">
        <x:v>1286</x:v>
      </x:c>
      <x:c r="C1291" s="2" t="str">
        <x:v>Baby, Feminine &amp; Family Care / organic_volume_growth</x:v>
      </x:c>
      <x:c r="D1291" s="2" t="str">
        <x:v>Own history</x:v>
      </x:c>
      <x:c r="E1291" s="7" t="n">
        <x:v>45838</x:v>
      </x:c>
      <x:c r="F1291" s="2" t="str">
        <x:v>Prior report</x:v>
      </x:c>
      <x:c r="G1291" s="7" t="n">
        <x:v>45771</x:v>
      </x:c>
      <x:c r="H1291" s="2" t="n">
        <x:v>16</x:v>
      </x:c>
      <x:c r="I1291" s="8" t="n">
        <x:v>-22</x:v>
      </x:c>
      <x:c r="J1291" s="8" t="n">
        <x:v>0</x:v>
      </x:c>
      <x:c r="K1291" s="8" t="n">
        <x:v>-20</x:v>
      </x:c>
      <x:c r="L1291" s="8" t="n">
        <x:v>132</x:v>
      </x:c>
      <x:c r="M1291" s="8" t="n">
        <x:v>0</x:v>
      </x:c>
      <x:c r="N1291" s="8" t="n">
        <x:v>0</x:v>
      </x:c>
      <x:c r="O1291" s="8" t="n">
        <x:v>58</x:v>
      </x:c>
      <x:c r="P1291" s="8" t="n">
        <x:v>0</x:v>
      </x:c>
      <x:c r="Q1291" s="8" t="n">
        <x:v>-2</x:v>
      </x:c>
      <x:c r="R1291" s="8" t="n">
        <x:v>0</x:v>
      </x:c>
      <x:c r="S1291" s="8" t="n">
        <x:f>L1291-I1291^2/H1291</x:f>
        <x:v>101.75</x:v>
      </x:c>
      <x:c r="T1291" s="8" t="n">
        <x:f>M1291-J1291^2/H1291</x:f>
        <x:v>0</x:v>
      </x:c>
      <x:c r="U1291" s="8" t="n">
        <x:f>N1291-I1291*J1291/H1291</x:f>
        <x:v>0</x:v>
      </x:c>
      <x:c r="V1291" s="8" t="n">
        <x:f>O1291-I1291*K1291/H1291</x:f>
        <x:v>30.5</x:v>
      </x:c>
      <x:c r="W1291" s="8" t="n">
        <x:f>P1291-J1291*K1291/H1291</x:f>
        <x:v>0</x:v>
      </x:c>
      <x:c r="X1291" s="8" t="n">
        <x:f>V1291/S1291</x:f>
        <x:v>0.29975429975429974</x:v>
      </x:c>
      <x:c r="Y1291" s="8" t="n">
        <x:f>0</x:f>
        <x:v>0</x:v>
      </x:c>
      <x:c r="Z1291" s="8" t="n">
        <x:f>K1291/H1291-X1291*I1291/H1291-Y1291*J1291/H1291</x:f>
        <x:v>-0.8378378378378379</x:v>
      </x:c>
      <x:c r="AA1291" s="8" t="n">
        <x:f>Z1291+X1291*Q1291+Y1291*R1291</x:f>
        <x:v>-1.4373464373464375</x:v>
      </x:c>
    </x:row>
    <x:row r="1292" ht="26" customHeight="1">
      <x:c r="A1292" s="2"/>
      <x:c r="B1292" s="2" t="n">
        <x:v>1287</x:v>
      </x:c>
      <x:c r="C1292" s="2" t="str">
        <x:v>Baby, Feminine &amp; Family Care / organic_volume_growth</x:v>
      </x:c>
      <x:c r="D1292" s="2" t="str">
        <x:v>Broad market</x:v>
      </x:c>
      <x:c r="E1292" s="7" t="n">
        <x:v>45838</x:v>
      </x:c>
      <x:c r="F1292" s="2" t="str">
        <x:v>Pre-earnings</x:v>
      </x:c>
      <x:c r="G1292" s="7" t="n">
        <x:v>45866</x:v>
      </x:c>
      <x:c r="H1292" s="2" t="n">
        <x:v>17</x:v>
      </x:c>
      <x:c r="I1292" s="8" t="n">
        <x:v>48.81640031708317</x:v>
      </x:c>
      <x:c r="J1292" s="8" t="n">
        <x:v>0</x:v>
      </x:c>
      <x:c r="K1292" s="8" t="n">
        <x:v>-24</x:v>
      </x:c>
      <x:c r="L1292" s="8" t="n">
        <x:v>384.52710101487173</x:v>
      </x:c>
      <x:c r="M1292" s="8" t="n">
        <x:v>0</x:v>
      </x:c>
      <x:c r="N1292" s="8" t="n">
        <x:v>0</x:v>
      </x:c>
      <x:c r="O1292" s="8" t="n">
        <x:v>-49.67037044284428</x:v>
      </x:c>
      <x:c r="P1292" s="8" t="n">
        <x:v>0</x:v>
      </x:c>
      <x:c r="Q1292" s="8" t="n">
        <x:v>2.8539910458909246</x:v>
      </x:c>
      <x:c r="R1292" s="8" t="n">
        <x:v>0</x:v>
      </x:c>
      <x:c r="S1292" s="8" t="n">
        <x:f>L1292-I1292^2/H1292</x:f>
        <x:v>244.34822219618243</x:v>
      </x:c>
      <x:c r="T1292" s="8" t="n">
        <x:f>M1292-J1292^2/H1292</x:f>
        <x:v>0</x:v>
      </x:c>
      <x:c r="U1292" s="8" t="n">
        <x:f>N1292-I1292*J1292/H1292</x:f>
        <x:v>0</x:v>
      </x:c>
      <x:c r="V1292" s="8" t="n">
        <x:f>O1292-I1292*K1292/H1292</x:f>
        <x:v>19.246900593037843</x:v>
      </x:c>
      <x:c r="W1292" s="8" t="n">
        <x:f>P1292-J1292*K1292/H1292</x:f>
        <x:v>0</x:v>
      </x:c>
      <x:c r="X1292" s="8" t="n">
        <x:f>V1292/S1292</x:f>
        <x:v>0.07876832669396253</x:v>
      </x:c>
      <x:c r="Y1292" s="8" t="n">
        <x:f>0</x:f>
        <x:v>0</x:v>
      </x:c>
      <x:c r="Z1292" s="8" t="n">
        <x:f>K1292/H1292-X1292*I1292/H1292-Y1292*J1292/H1292</x:f>
        <x:v>-1.6379521275411333</x:v>
      </x:c>
      <x:c r="AA1292" s="8" t="n">
        <x:f>Z1292+X1292*Q1292+Y1292*R1292</x:f>
        <x:v>-1.413148028456753</x:v>
      </x:c>
    </x:row>
    <x:row r="1293" ht="26" customHeight="1">
      <x:c r="A1293" s="2"/>
      <x:c r="B1293" s="2" t="n">
        <x:v>1288</x:v>
      </x:c>
      <x:c r="C1293" s="2" t="str">
        <x:v>Baby, Feminine &amp; Family Care / organic_volume_growth</x:v>
      </x:c>
      <x:c r="D1293" s="2" t="str">
        <x:v>Broad lag 1</x:v>
      </x:c>
      <x:c r="E1293" s="7" t="n">
        <x:v>45838</x:v>
      </x:c>
      <x:c r="F1293" s="2" t="str">
        <x:v>Pre-earnings</x:v>
      </x:c>
      <x:c r="G1293" s="7" t="n">
        <x:v>45866</x:v>
      </x:c>
      <x:c r="H1293" s="2" t="n">
        <x:v>16</x:v>
      </x:c>
      <x:c r="I1293" s="8" t="n">
        <x:v>45.94686773973914</x:v>
      </x:c>
      <x:c r="J1293" s="8" t="n">
        <x:v>0</x:v>
      </x:c>
      <x:c r="K1293" s="8" t="n">
        <x:v>-20</x:v>
      </x:c>
      <x:c r="L1293" s="8" t="n">
        <x:v>376.29288380243304</x:v>
      </x:c>
      <x:c r="M1293" s="8" t="n">
        <x:v>0</x:v>
      </x:c>
      <x:c r="N1293" s="8" t="n">
        <x:v>0</x:v>
      </x:c>
      <x:c r="O1293" s="8" t="n">
        <x:v>19.65714446670941</x:v>
      </x:c>
      <x:c r="P1293" s="8" t="n">
        <x:v>0</x:v>
      </x:c>
      <x:c r="Q1293" s="8" t="n">
        <x:v>2.869532577344036</x:v>
      </x:c>
      <x:c r="R1293" s="8" t="n">
        <x:v>0</x:v>
      </x:c>
      <x:c r="S1293" s="8" t="n">
        <x:f>L1293-I1293^2/H1293</x:f>
        <x:v>244.34821785911546</x:v>
      </x:c>
      <x:c r="T1293" s="8" t="n">
        <x:f>M1293-J1293^2/H1293</x:f>
        <x:v>0</x:v>
      </x:c>
      <x:c r="U1293" s="8" t="n">
        <x:f>N1293-I1293*J1293/H1293</x:f>
        <x:v>0</x:v>
      </x:c>
      <x:c r="V1293" s="8" t="n">
        <x:f>O1293-I1293*K1293/H1293</x:f>
        <x:v>77.09072914138333</x:v>
      </x:c>
      <x:c r="W1293" s="8" t="n">
        <x:f>P1293-J1293*K1293/H1293</x:f>
        <x:v>0</x:v>
      </x:c>
      <x:c r="X1293" s="8" t="n">
        <x:f>V1293/S1293</x:f>
        <x:v>0.31549536074714385</x:v>
      </x:c>
      <x:c r="Y1293" s="8" t="n">
        <x:f>0</x:f>
        <x:v>0</x:v>
      </x:c>
      <x:c r="Z1293" s="8" t="n">
        <x:f>K1293/H1293-X1293*I1293/H1293-Y1293*J1293/H1293</x:f>
        <x:v>-2.156001475796894</x:v>
      </x:c>
      <x:c r="AA1293" s="8" t="n">
        <x:f>Z1293+X1293*Q1293+Y1293*R1293</x:f>
        <x:v>-1.250677260132056</x:v>
      </x:c>
    </x:row>
    <x:row r="1294" ht="26" customHeight="1">
      <x:c r="A1294" s="2"/>
      <x:c r="B1294" s="2" t="n">
        <x:v>1289</x:v>
      </x:c>
      <x:c r="C1294" s="2" t="str">
        <x:v>Baby, Feminine &amp; Family Care / organic_volume_growth</x:v>
      </x:c>
      <x:c r="D1294" s="2" t="str">
        <x:v>Broad rolling 8</x:v>
      </x:c>
      <x:c r="E1294" s="7" t="n">
        <x:v>45838</x:v>
      </x:c>
      <x:c r="F1294" s="2" t="str">
        <x:v>Pre-earnings</x:v>
      </x:c>
      <x:c r="G1294" s="7" t="n">
        <x:v>45866</x:v>
      </x:c>
      <x:c r="H1294" s="2" t="n">
        <x:v>8</x:v>
      </x:c>
      <x:c r="I1294" s="8" t="n">
        <x:v>13.903323924128907</x:v>
      </x:c>
      <x:c r="J1294" s="8" t="n">
        <x:v>0</x:v>
      </x:c>
      <x:c r="K1294" s="8" t="n">
        <x:v>-8</x:v>
      </x:c>
      <x:c r="L1294" s="8" t="n">
        <x:v>29.69247799893869</x:v>
      </x:c>
      <x:c r="M1294" s="8" t="n">
        <x:v>0</x:v>
      </x:c>
      <x:c r="N1294" s="8" t="n">
        <x:v>0</x:v>
      </x:c>
      <x:c r="O1294" s="8" t="n">
        <x:v>-13.85254064875543</x:v>
      </x:c>
      <x:c r="P1294" s="8" t="n">
        <x:v>0</x:v>
      </x:c>
      <x:c r="Q1294" s="8" t="n">
        <x:v>2.8539910458909246</x:v>
      </x:c>
      <x:c r="R1294" s="8" t="n">
        <x:v>0</x:v>
      </x:c>
      <x:c r="S1294" s="8" t="n">
        <x:f>L1294-I1294^2/H1294</x:f>
        <x:v>5.529675981531785</x:v>
      </x:c>
      <x:c r="T1294" s="8" t="n">
        <x:f>M1294-J1294^2/H1294</x:f>
        <x:v>0</x:v>
      </x:c>
      <x:c r="U1294" s="8" t="n">
        <x:f>N1294-I1294*J1294/H1294</x:f>
        <x:v>0</x:v>
      </x:c>
      <x:c r="V1294" s="8" t="n">
        <x:f>O1294-I1294*K1294/H1294</x:f>
        <x:v>0.05078327537347782</x:v>
      </x:c>
      <x:c r="W1294" s="8" t="n">
        <x:f>P1294-J1294*K1294/H1294</x:f>
        <x:v>0</x:v>
      </x:c>
      <x:c r="X1294" s="8" t="n">
        <x:f>V1294/S1294</x:f>
        <x:v>0.009183770539736085</x:v>
      </x:c>
      <x:c r="Y1294" s="8" t="n">
        <x:f>0</x:f>
        <x:v>0</x:v>
      </x:c>
      <x:c r="Z1294" s="8" t="n">
        <x:f>K1294/H1294-X1294*I1294/H1294-Y1294*J1294/H1294</x:f>
        <x:v>-1.015960617082353</x:v>
      </x:c>
      <x:c r="AA1294" s="8" t="n">
        <x:f>Z1294+X1294*Q1294+Y1294*R1294</x:f>
        <x:v>-0.9897502181944293</x:v>
      </x:c>
    </x:row>
    <x:row r="1295" ht="26" customHeight="1">
      <x:c r="A1295" s="2"/>
      <x:c r="B1295" s="2" t="n">
        <x:v>1290</x:v>
      </x:c>
      <x:c r="C1295" s="2" t="str">
        <x:v>Baby, Feminine &amp; Family Care / organic_volume_growth</x:v>
      </x:c>
      <x:c r="D1295" s="2" t="str">
        <x:v>Own history</x:v>
      </x:c>
      <x:c r="E1295" s="7" t="n">
        <x:v>45838</x:v>
      </x:c>
      <x:c r="F1295" s="2" t="str">
        <x:v>Pre-earnings</x:v>
      </x:c>
      <x:c r="G1295" s="7" t="n">
        <x:v>45866</x:v>
      </x:c>
      <x:c r="H1295" s="2" t="n">
        <x:v>16</x:v>
      </x:c>
      <x:c r="I1295" s="8" t="n">
        <x:v>-22</x:v>
      </x:c>
      <x:c r="J1295" s="8" t="n">
        <x:v>0</x:v>
      </x:c>
      <x:c r="K1295" s="8" t="n">
        <x:v>-20</x:v>
      </x:c>
      <x:c r="L1295" s="8" t="n">
        <x:v>132</x:v>
      </x:c>
      <x:c r="M1295" s="8" t="n">
        <x:v>0</x:v>
      </x:c>
      <x:c r="N1295" s="8" t="n">
        <x:v>0</x:v>
      </x:c>
      <x:c r="O1295" s="8" t="n">
        <x:v>58</x:v>
      </x:c>
      <x:c r="P1295" s="8" t="n">
        <x:v>0</x:v>
      </x:c>
      <x:c r="Q1295" s="8" t="n">
        <x:v>-2</x:v>
      </x:c>
      <x:c r="R1295" s="8" t="n">
        <x:v>0</x:v>
      </x:c>
      <x:c r="S1295" s="8" t="n">
        <x:f>L1295-I1295^2/H1295</x:f>
        <x:v>101.75</x:v>
      </x:c>
      <x:c r="T1295" s="8" t="n">
        <x:f>M1295-J1295^2/H1295</x:f>
        <x:v>0</x:v>
      </x:c>
      <x:c r="U1295" s="8" t="n">
        <x:f>N1295-I1295*J1295/H1295</x:f>
        <x:v>0</x:v>
      </x:c>
      <x:c r="V1295" s="8" t="n">
        <x:f>O1295-I1295*K1295/H1295</x:f>
        <x:v>30.5</x:v>
      </x:c>
      <x:c r="W1295" s="8" t="n">
        <x:f>P1295-J1295*K1295/H1295</x:f>
        <x:v>0</x:v>
      </x:c>
      <x:c r="X1295" s="8" t="n">
        <x:f>V1295/S1295</x:f>
        <x:v>0.29975429975429974</x:v>
      </x:c>
      <x:c r="Y1295" s="8" t="n">
        <x:f>0</x:f>
        <x:v>0</x:v>
      </x:c>
      <x:c r="Z1295" s="8" t="n">
        <x:f>K1295/H1295-X1295*I1295/H1295-Y1295*J1295/H1295</x:f>
        <x:v>-0.8378378378378379</x:v>
      </x:c>
      <x:c r="AA1295" s="8" t="n">
        <x:f>Z1295+X1295*Q1295+Y1295*R1295</x:f>
        <x:v>-1.4373464373464375</x:v>
      </x:c>
    </x:row>
    <x:row r="1296" ht="26" customHeight="1">
      <x:c r="A1296" s="2"/>
      <x:c r="B1296" s="2" t="n">
        <x:v>1291</x:v>
      </x:c>
      <x:c r="C1296" s="2" t="str">
        <x:v>Baby, Feminine &amp; Family Care / organic_volume_growth</x:v>
      </x:c>
      <x:c r="D1296" s="2" t="str">
        <x:v>Broad market</x:v>
      </x:c>
      <x:c r="E1296" s="7" t="n">
        <x:v>45930</x:v>
      </x:c>
      <x:c r="F1296" s="2" t="str">
        <x:v>Origin</x:v>
      </x:c>
      <x:c r="G1296" s="7" t="n">
        <x:v>45839</x:v>
      </x:c>
      <x:c r="H1296" s="2" t="n">
        <x:v>17</x:v>
      </x:c>
      <x:c r="I1296" s="8" t="n">
        <x:v>48.81640031708317</x:v>
      </x:c>
      <x:c r="J1296" s="8" t="n">
        <x:v>0</x:v>
      </x:c>
      <x:c r="K1296" s="8" t="n">
        <x:v>-24</x:v>
      </x:c>
      <x:c r="L1296" s="8" t="n">
        <x:v>384.52710101487173</x:v>
      </x:c>
      <x:c r="M1296" s="8" t="n">
        <x:v>0</x:v>
      </x:c>
      <x:c r="N1296" s="8" t="n">
        <x:v>0</x:v>
      </x:c>
      <x:c r="O1296" s="8" t="n">
        <x:v>-49.67037044284428</x:v>
      </x:c>
      <x:c r="P1296" s="8" t="n">
        <x:v>0</x:v>
      </x:c>
      <x:c r="Q1296" s="8" t="n">
        <x:v>2.8115539262481226</x:v>
      </x:c>
      <x:c r="R1296" s="8" t="n">
        <x:v>0</x:v>
      </x:c>
      <x:c r="S1296" s="8" t="n">
        <x:f>L1296-I1296^2/H1296</x:f>
        <x:v>244.34822219618243</x:v>
      </x:c>
      <x:c r="T1296" s="8" t="n">
        <x:f>M1296-J1296^2/H1296</x:f>
        <x:v>0</x:v>
      </x:c>
      <x:c r="U1296" s="8" t="n">
        <x:f>N1296-I1296*J1296/H1296</x:f>
        <x:v>0</x:v>
      </x:c>
      <x:c r="V1296" s="8" t="n">
        <x:f>O1296-I1296*K1296/H1296</x:f>
        <x:v>19.246900593037843</x:v>
      </x:c>
      <x:c r="W1296" s="8" t="n">
        <x:f>P1296-J1296*K1296/H1296</x:f>
        <x:v>0</x:v>
      </x:c>
      <x:c r="X1296" s="8" t="n">
        <x:f>V1296/S1296</x:f>
        <x:v>0.07876832669396253</x:v>
      </x:c>
      <x:c r="Y1296" s="8" t="n">
        <x:f>0</x:f>
        <x:v>0</x:v>
      </x:c>
      <x:c r="Z1296" s="8" t="n">
        <x:f>K1296/H1296-X1296*I1296/H1296-Y1296*J1296/H1296</x:f>
        <x:v>-1.6379521275411333</x:v>
      </x:c>
      <x:c r="AA1296" s="8" t="n">
        <x:f>Z1296+X1296*Q1296+Y1296*R1296</x:f>
        <x:v>-1.416490729360728</x:v>
      </x:c>
    </x:row>
    <x:row r="1297" ht="26" customHeight="1">
      <x:c r="A1297" s="2"/>
      <x:c r="B1297" s="2" t="n">
        <x:v>1292</x:v>
      </x:c>
      <x:c r="C1297" s="2" t="str">
        <x:v>Baby, Feminine &amp; Family Care / organic_volume_growth</x:v>
      </x:c>
      <x:c r="D1297" s="2" t="str">
        <x:v>Broad rolling 8</x:v>
      </x:c>
      <x:c r="E1297" s="7" t="n">
        <x:v>45930</x:v>
      </x:c>
      <x:c r="F1297" s="2" t="str">
        <x:v>Origin</x:v>
      </x:c>
      <x:c r="G1297" s="7" t="n">
        <x:v>45839</x:v>
      </x:c>
      <x:c r="H1297" s="2" t="n">
        <x:v>8</x:v>
      </x:c>
      <x:c r="I1297" s="8" t="n">
        <x:v>13.903323924128907</x:v>
      </x:c>
      <x:c r="J1297" s="8" t="n">
        <x:v>0</x:v>
      </x:c>
      <x:c r="K1297" s="8" t="n">
        <x:v>-8</x:v>
      </x:c>
      <x:c r="L1297" s="8" t="n">
        <x:v>29.69247799893869</x:v>
      </x:c>
      <x:c r="M1297" s="8" t="n">
        <x:v>0</x:v>
      </x:c>
      <x:c r="N1297" s="8" t="n">
        <x:v>0</x:v>
      </x:c>
      <x:c r="O1297" s="8" t="n">
        <x:v>-13.85254064875543</x:v>
      </x:c>
      <x:c r="P1297" s="8" t="n">
        <x:v>0</x:v>
      </x:c>
      <x:c r="Q1297" s="8" t="n">
        <x:v>2.8115539262481226</x:v>
      </x:c>
      <x:c r="R1297" s="8" t="n">
        <x:v>0</x:v>
      </x:c>
      <x:c r="S1297" s="8" t="n">
        <x:f>L1297-I1297^2/H1297</x:f>
        <x:v>5.529675981531785</x:v>
      </x:c>
      <x:c r="T1297" s="8" t="n">
        <x:f>M1297-J1297^2/H1297</x:f>
        <x:v>0</x:v>
      </x:c>
      <x:c r="U1297" s="8" t="n">
        <x:f>N1297-I1297*J1297/H1297</x:f>
        <x:v>0</x:v>
      </x:c>
      <x:c r="V1297" s="8" t="n">
        <x:f>O1297-I1297*K1297/H1297</x:f>
        <x:v>0.05078327537347782</x:v>
      </x:c>
      <x:c r="W1297" s="8" t="n">
        <x:f>P1297-J1297*K1297/H1297</x:f>
        <x:v>0</x:v>
      </x:c>
      <x:c r="X1297" s="8" t="n">
        <x:f>V1297/S1297</x:f>
        <x:v>0.009183770539736085</x:v>
      </x:c>
      <x:c r="Y1297" s="8" t="n">
        <x:f>0</x:f>
        <x:v>0</x:v>
      </x:c>
      <x:c r="Z1297" s="8" t="n">
        <x:f>K1297/H1297-X1297*I1297/H1297-Y1297*J1297/H1297</x:f>
        <x:v>-1.015960617082353</x:v>
      </x:c>
      <x:c r="AA1297" s="8" t="n">
        <x:f>Z1297+X1297*Q1297+Y1297*R1297</x:f>
        <x:v>-0.9901399509635962</x:v>
      </x:c>
    </x:row>
    <x:row r="1298" ht="26" customHeight="1">
      <x:c r="A1298" s="2"/>
      <x:c r="B1298" s="2" t="n">
        <x:v>1293</x:v>
      </x:c>
      <x:c r="C1298" s="2" t="str">
        <x:v>Baby, Feminine &amp; Family Care / organic_volume_growth</x:v>
      </x:c>
      <x:c r="D1298" s="2" t="str">
        <x:v>Own history</x:v>
      </x:c>
      <x:c r="E1298" s="7" t="n">
        <x:v>45930</x:v>
      </x:c>
      <x:c r="F1298" s="2" t="str">
        <x:v>Origin</x:v>
      </x:c>
      <x:c r="G1298" s="7" t="n">
        <x:v>45839</x:v>
      </x:c>
      <x:c r="H1298" s="2" t="n">
        <x:v>15</x:v>
      </x:c>
      <x:c r="I1298" s="8" t="n">
        <x:v>-26</x:v>
      </x:c>
      <x:c r="J1298" s="8" t="n">
        <x:v>0</x:v>
      </x:c>
      <x:c r="K1298" s="8" t="n">
        <x:v>-17</x:v>
      </x:c>
      <x:c r="L1298" s="8" t="n">
        <x:v>116</x:v>
      </x:c>
      <x:c r="M1298" s="8" t="n">
        <x:v>0</x:v>
      </x:c>
      <x:c r="N1298" s="8" t="n">
        <x:v>0</x:v>
      </x:c>
      <x:c r="O1298" s="8" t="n">
        <x:v>25</x:v>
      </x:c>
      <x:c r="P1298" s="8" t="n">
        <x:v>0</x:v>
      </x:c>
      <x:c r="Q1298" s="8" t="n">
        <x:v>-2</x:v>
      </x:c>
      <x:c r="R1298" s="8" t="n">
        <x:v>0</x:v>
      </x:c>
      <x:c r="S1298" s="8" t="n">
        <x:f>L1298-I1298^2/H1298</x:f>
        <x:v>70.93333333333334</x:v>
      </x:c>
      <x:c r="T1298" s="8" t="n">
        <x:f>M1298-J1298^2/H1298</x:f>
        <x:v>0</x:v>
      </x:c>
      <x:c r="U1298" s="8" t="n">
        <x:f>N1298-I1298*J1298/H1298</x:f>
        <x:v>0</x:v>
      </x:c>
      <x:c r="V1298" s="8" t="n">
        <x:f>O1298-I1298*K1298/H1298</x:f>
        <x:v>-4.466666666666665</x:v>
      </x:c>
      <x:c r="W1298" s="8" t="n">
        <x:f>P1298-J1298*K1298/H1298</x:f>
        <x:v>0</x:v>
      </x:c>
      <x:c r="X1298" s="8" t="n">
        <x:f>V1298/S1298</x:f>
        <x:v>-0.06296992481203005</x:v>
      </x:c>
      <x:c r="Y1298" s="8" t="n">
        <x:f>0</x:f>
        <x:v>0</x:v>
      </x:c>
      <x:c r="Z1298" s="8" t="n">
        <x:f>K1298/H1298-X1298*I1298/H1298-Y1298*J1298/H1298</x:f>
        <x:v>-1.2424812030075187</x:v>
      </x:c>
      <x:c r="AA1298" s="8" t="n">
        <x:f>Z1298+X1298*Q1298+Y1298*R1298</x:f>
        <x:v>-1.1165413533834587</x:v>
      </x:c>
    </x:row>
    <x:row r="1299" ht="26" customHeight="1">
      <x:c r="A1299" s="2"/>
      <x:c r="B1299" s="2" t="n">
        <x:v>1294</x:v>
      </x:c>
      <x:c r="C1299" s="2" t="str">
        <x:v>Baby, Feminine &amp; Family Care / organic_volume_growth</x:v>
      </x:c>
      <x:c r="D1299" s="2" t="str">
        <x:v>Broad market</x:v>
      </x:c>
      <x:c r="E1299" s="7" t="n">
        <x:v>45930</x:v>
      </x:c>
      <x:c r="F1299" s="2" t="str">
        <x:v>Prior report</x:v>
      </x:c>
      <x:c r="G1299" s="7" t="n">
        <x:v>45867</x:v>
      </x:c>
      <x:c r="H1299" s="2" t="n">
        <x:v>17</x:v>
      </x:c>
      <x:c r="I1299" s="8" t="n">
        <x:v>48.81640031708317</x:v>
      </x:c>
      <x:c r="J1299" s="8" t="n">
        <x:v>0</x:v>
      </x:c>
      <x:c r="K1299" s="8" t="n">
        <x:v>-24</x:v>
      </x:c>
      <x:c r="L1299" s="8" t="n">
        <x:v>384.52710101487173</x:v>
      </x:c>
      <x:c r="M1299" s="8" t="n">
        <x:v>0</x:v>
      </x:c>
      <x:c r="N1299" s="8" t="n">
        <x:v>0</x:v>
      </x:c>
      <x:c r="O1299" s="8" t="n">
        <x:v>-49.67037044284428</x:v>
      </x:c>
      <x:c r="P1299" s="8" t="n">
        <x:v>0</x:v>
      </x:c>
      <x:c r="Q1299" s="8" t="n">
        <x:v>2.8115539262481226</x:v>
      </x:c>
      <x:c r="R1299" s="8" t="n">
        <x:v>0</x:v>
      </x:c>
      <x:c r="S1299" s="8" t="n">
        <x:f>L1299-I1299^2/H1299</x:f>
        <x:v>244.34822219618243</x:v>
      </x:c>
      <x:c r="T1299" s="8" t="n">
        <x:f>M1299-J1299^2/H1299</x:f>
        <x:v>0</x:v>
      </x:c>
      <x:c r="U1299" s="8" t="n">
        <x:f>N1299-I1299*J1299/H1299</x:f>
        <x:v>0</x:v>
      </x:c>
      <x:c r="V1299" s="8" t="n">
        <x:f>O1299-I1299*K1299/H1299</x:f>
        <x:v>19.246900593037843</x:v>
      </x:c>
      <x:c r="W1299" s="8" t="n">
        <x:f>P1299-J1299*K1299/H1299</x:f>
        <x:v>0</x:v>
      </x:c>
      <x:c r="X1299" s="8" t="n">
        <x:f>V1299/S1299</x:f>
        <x:v>0.07876832669396253</x:v>
      </x:c>
      <x:c r="Y1299" s="8" t="n">
        <x:f>0</x:f>
        <x:v>0</x:v>
      </x:c>
      <x:c r="Z1299" s="8" t="n">
        <x:f>K1299/H1299-X1299*I1299/H1299-Y1299*J1299/H1299</x:f>
        <x:v>-1.6379521275411333</x:v>
      </x:c>
      <x:c r="AA1299" s="8" t="n">
        <x:f>Z1299+X1299*Q1299+Y1299*R1299</x:f>
        <x:v>-1.416490729360728</x:v>
      </x:c>
    </x:row>
    <x:row r="1300" ht="26" customHeight="1">
      <x:c r="A1300" s="2"/>
      <x:c r="B1300" s="2" t="n">
        <x:v>1295</x:v>
      </x:c>
      <x:c r="C1300" s="2" t="str">
        <x:v>Baby, Feminine &amp; Family Care / organic_volume_growth</x:v>
      </x:c>
      <x:c r="D1300" s="2" t="str">
        <x:v>Broad rolling 8</x:v>
      </x:c>
      <x:c r="E1300" s="7" t="n">
        <x:v>45930</x:v>
      </x:c>
      <x:c r="F1300" s="2" t="str">
        <x:v>Prior report</x:v>
      </x:c>
      <x:c r="G1300" s="7" t="n">
        <x:v>45867</x:v>
      </x:c>
      <x:c r="H1300" s="2" t="n">
        <x:v>8</x:v>
      </x:c>
      <x:c r="I1300" s="8" t="n">
        <x:v>13.903323924128907</x:v>
      </x:c>
      <x:c r="J1300" s="8" t="n">
        <x:v>0</x:v>
      </x:c>
      <x:c r="K1300" s="8" t="n">
        <x:v>-8</x:v>
      </x:c>
      <x:c r="L1300" s="8" t="n">
        <x:v>29.69247799893869</x:v>
      </x:c>
      <x:c r="M1300" s="8" t="n">
        <x:v>0</x:v>
      </x:c>
      <x:c r="N1300" s="8" t="n">
        <x:v>0</x:v>
      </x:c>
      <x:c r="O1300" s="8" t="n">
        <x:v>-13.85254064875543</x:v>
      </x:c>
      <x:c r="P1300" s="8" t="n">
        <x:v>0</x:v>
      </x:c>
      <x:c r="Q1300" s="8" t="n">
        <x:v>2.8115539262481226</x:v>
      </x:c>
      <x:c r="R1300" s="8" t="n">
        <x:v>0</x:v>
      </x:c>
      <x:c r="S1300" s="8" t="n">
        <x:f>L1300-I1300^2/H1300</x:f>
        <x:v>5.529675981531785</x:v>
      </x:c>
      <x:c r="T1300" s="8" t="n">
        <x:f>M1300-J1300^2/H1300</x:f>
        <x:v>0</x:v>
      </x:c>
      <x:c r="U1300" s="8" t="n">
        <x:f>N1300-I1300*J1300/H1300</x:f>
        <x:v>0</x:v>
      </x:c>
      <x:c r="V1300" s="8" t="n">
        <x:f>O1300-I1300*K1300/H1300</x:f>
        <x:v>0.05078327537347782</x:v>
      </x:c>
      <x:c r="W1300" s="8" t="n">
        <x:f>P1300-J1300*K1300/H1300</x:f>
        <x:v>0</x:v>
      </x:c>
      <x:c r="X1300" s="8" t="n">
        <x:f>V1300/S1300</x:f>
        <x:v>0.009183770539736085</x:v>
      </x:c>
      <x:c r="Y1300" s="8" t="n">
        <x:f>0</x:f>
        <x:v>0</x:v>
      </x:c>
      <x:c r="Z1300" s="8" t="n">
        <x:f>K1300/H1300-X1300*I1300/H1300-Y1300*J1300/H1300</x:f>
        <x:v>-1.015960617082353</x:v>
      </x:c>
      <x:c r="AA1300" s="8" t="n">
        <x:f>Z1300+X1300*Q1300+Y1300*R1300</x:f>
        <x:v>-0.9901399509635962</x:v>
      </x:c>
    </x:row>
    <x:row r="1301" ht="26" customHeight="1">
      <x:c r="A1301" s="2"/>
      <x:c r="B1301" s="2" t="n">
        <x:v>1296</x:v>
      </x:c>
      <x:c r="C1301" s="2" t="str">
        <x:v>Baby, Feminine &amp; Family Care / organic_volume_growth</x:v>
      </x:c>
      <x:c r="D1301" s="2" t="str">
        <x:v>Own history</x:v>
      </x:c>
      <x:c r="E1301" s="7" t="n">
        <x:v>45930</x:v>
      </x:c>
      <x:c r="F1301" s="2" t="str">
        <x:v>Prior report</x:v>
      </x:c>
      <x:c r="G1301" s="7" t="n">
        <x:v>45867</x:v>
      </x:c>
      <x:c r="H1301" s="2" t="n">
        <x:v>17</x:v>
      </x:c>
      <x:c r="I1301" s="8" t="n">
        <x:v>-24</x:v>
      </x:c>
      <x:c r="J1301" s="8" t="n">
        <x:v>0</x:v>
      </x:c>
      <x:c r="K1301" s="8" t="n">
        <x:v>-20</x:v>
      </x:c>
      <x:c r="L1301" s="8" t="n">
        <x:v>136</x:v>
      </x:c>
      <x:c r="M1301" s="8" t="n">
        <x:v>0</x:v>
      </x:c>
      <x:c r="N1301" s="8" t="n">
        <x:v>0</x:v>
      </x:c>
      <x:c r="O1301" s="8" t="n">
        <x:v>58</x:v>
      </x:c>
      <x:c r="P1301" s="8" t="n">
        <x:v>0</x:v>
      </x:c>
      <x:c r="Q1301" s="8" t="n">
        <x:v>0</x:v>
      </x:c>
      <x:c r="R1301" s="8" t="n">
        <x:v>0</x:v>
      </x:c>
      <x:c r="S1301" s="8" t="n">
        <x:f>L1301-I1301^2/H1301</x:f>
        <x:v>102.11764705882354</x:v>
      </x:c>
      <x:c r="T1301" s="8" t="n">
        <x:f>M1301-J1301^2/H1301</x:f>
        <x:v>0</x:v>
      </x:c>
      <x:c r="U1301" s="8" t="n">
        <x:f>N1301-I1301*J1301/H1301</x:f>
        <x:v>0</x:v>
      </x:c>
      <x:c r="V1301" s="8" t="n">
        <x:f>O1301-I1301*K1301/H1301</x:f>
        <x:v>29.764705882352942</x:v>
      </x:c>
      <x:c r="W1301" s="8" t="n">
        <x:f>P1301-J1301*K1301/H1301</x:f>
        <x:v>0</x:v>
      </x:c>
      <x:c r="X1301" s="8" t="n">
        <x:f>V1301/S1301</x:f>
        <x:v>0.29147465437788017</x:v>
      </x:c>
      <x:c r="Y1301" s="8" t="n">
        <x:f>0</x:f>
        <x:v>0</x:v>
      </x:c>
      <x:c r="Z1301" s="8" t="n">
        <x:f>K1301/H1301-X1301*I1301/H1301-Y1301*J1301/H1301</x:f>
        <x:v>-0.7649769585253456</x:v>
      </x:c>
      <x:c r="AA1301" s="8" t="n">
        <x:f>Z1301+X1301*Q1301+Y1301*R1301</x:f>
        <x:v>-0.7649769585253456</x:v>
      </x:c>
    </x:row>
    <x:row r="1302" ht="26" customHeight="1">
      <x:c r="A1302" s="2"/>
      <x:c r="B1302" s="2" t="n">
        <x:v>1297</x:v>
      </x:c>
      <x:c r="C1302" s="2" t="str">
        <x:v>Baby, Feminine &amp; Family Care / organic_volume_growth</x:v>
      </x:c>
      <x:c r="D1302" s="2" t="str">
        <x:v>Broad market</x:v>
      </x:c>
      <x:c r="E1302" s="7" t="n">
        <x:v>45930</x:v>
      </x:c>
      <x:c r="F1302" s="2" t="str">
        <x:v>Pre-earnings</x:v>
      </x:c>
      <x:c r="G1302" s="7" t="n">
        <x:v>45953</x:v>
      </x:c>
      <x:c r="H1302" s="2" t="n">
        <x:v>18</x:v>
      </x:c>
      <x:c r="I1302" s="8" t="n">
        <x:v>54.16421583875868</x:v>
      </x:c>
      <x:c r="J1302" s="8" t="n">
        <x:v>0</x:v>
      </x:c>
      <x:c r="K1302" s="8" t="n">
        <x:v>-24</x:v>
      </x:c>
      <x:c r="L1302" s="8" t="n">
        <x:v>409.1374966682539</x:v>
      </x:c>
      <x:c r="M1302" s="8" t="n">
        <x:v>0</x:v>
      </x:c>
      <x:c r="N1302" s="8" t="n">
        <x:v>0</x:v>
      </x:c>
      <x:c r="O1302" s="8" t="n">
        <x:v>-45.2369131068035</x:v>
      </x:c>
      <x:c r="P1302" s="8" t="n">
        <x:v>0</x:v>
      </x:c>
      <x:c r="Q1302" s="8" t="n">
        <x:v>3.2886468481588604</x:v>
      </x:c>
      <x:c r="R1302" s="8" t="n">
        <x:v>0</x:v>
      </x:c>
      <x:c r="S1302" s="8" t="n">
        <x:f>L1302-I1302^2/H1302</x:f>
        <x:v>246.15070347782967</x:v>
      </x:c>
      <x:c r="T1302" s="8" t="n">
        <x:f>M1302-J1302^2/H1302</x:f>
        <x:v>0</x:v>
      </x:c>
      <x:c r="U1302" s="8" t="n">
        <x:f>N1302-I1302*J1302/H1302</x:f>
        <x:v>0</x:v>
      </x:c>
      <x:c r="V1302" s="8" t="n">
        <x:f>O1302-I1302*K1302/H1302</x:f>
        <x:v>26.982041344874744</x:v>
      </x:c>
      <x:c r="W1302" s="8" t="n">
        <x:f>P1302-J1302*K1302/H1302</x:f>
        <x:v>0</x:v>
      </x:c>
      <x:c r="X1302" s="8" t="n">
        <x:f>V1302/S1302</x:f>
        <x:v>0.1096159424435891</x:v>
      </x:c>
      <x:c r="Y1302" s="8" t="n">
        <x:f>0</x:f>
        <x:v>0</x:v>
      </x:c>
      <x:c r="Z1302" s="8" t="n">
        <x:f>K1302/H1302-X1302*I1302/H1302-Y1302*J1302/H1302</x:f>
        <x:v>-1.6631811981046392</x:v>
      </x:c>
      <x:c r="AA1302" s="8" t="n">
        <x:f>Z1302+X1302*Q1302+Y1302*R1302</x:f>
        <x:v>-1.3026930744795668</x:v>
      </x:c>
    </x:row>
    <x:row r="1303" ht="26" customHeight="1">
      <x:c r="A1303" s="2"/>
      <x:c r="B1303" s="2" t="n">
        <x:v>1298</x:v>
      </x:c>
      <x:c r="C1303" s="2" t="str">
        <x:v>Baby, Feminine &amp; Family Care / organic_volume_growth</x:v>
      </x:c>
      <x:c r="D1303" s="2" t="str">
        <x:v>Broad lag 1</x:v>
      </x:c>
      <x:c r="E1303" s="7" t="n">
        <x:v>45930</x:v>
      </x:c>
      <x:c r="F1303" s="2" t="str">
        <x:v>Pre-earnings</x:v>
      </x:c>
      <x:c r="G1303" s="7" t="n">
        <x:v>45953</x:v>
      </x:c>
      <x:c r="H1303" s="2" t="n">
        <x:v>17</x:v>
      </x:c>
      <x:c r="I1303" s="8" t="n">
        <x:v>50.93094136357719</x:v>
      </x:c>
      <x:c r="J1303" s="8" t="n">
        <x:v>0</x:v>
      </x:c>
      <x:c r="K1303" s="8" t="n">
        <x:v>-20</x:v>
      </x:c>
      <x:c r="L1303" s="8" t="n">
        <x:v>398.68343283639376</x:v>
      </x:c>
      <x:c r="M1303" s="8" t="n">
        <x:v>0</x:v>
      </x:c>
      <x:c r="N1303" s="8" t="n">
        <x:v>0</x:v>
      </x:c>
      <x:c r="O1303" s="8" t="n">
        <x:v>21.75659115066808</x:v>
      </x:c>
      <x:c r="P1303" s="8" t="n">
        <x:v>0</x:v>
      </x:c>
      <x:c r="Q1303" s="8" t="n">
        <x:v>3.2332744751814912</x:v>
      </x:c>
      <x:c r="R1303" s="8" t="n">
        <x:v>0</x:v>
      </x:c>
      <x:c r="S1303" s="8" t="n">
        <x:f>L1303-I1303^2/H1303</x:f>
        <x:v>246.09750411991504</x:v>
      </x:c>
      <x:c r="T1303" s="8" t="n">
        <x:f>M1303-J1303^2/H1303</x:f>
        <x:v>0</x:v>
      </x:c>
      <x:c r="U1303" s="8" t="n">
        <x:f>N1303-I1303*J1303/H1303</x:f>
        <x:v>0</x:v>
      </x:c>
      <x:c r="V1303" s="8" t="n">
        <x:f>O1303-I1303*K1303/H1303</x:f>
        <x:v>81.675345696053</x:v>
      </x:c>
      <x:c r="W1303" s="8" t="n">
        <x:f>P1303-J1303*K1303/H1303</x:f>
        <x:v>0</x:v>
      </x:c>
      <x:c r="X1303" s="8" t="n">
        <x:f>V1303/S1303</x:f>
        <x:v>0.3318820562123838</x:v>
      </x:c>
      <x:c r="Y1303" s="8" t="n">
        <x:f>0</x:f>
        <x:v>0</x:v>
      </x:c>
      <x:c r="Z1303" s="8" t="n">
        <x:f>K1303/H1303-X1303*I1303/H1303-Y1303*J1303/H1303</x:f>
        <x:v>-2.1707685614456675</x:v>
      </x:c>
      <x:c r="AA1303" s="8" t="n">
        <x:f>Z1303+X1303*Q1303+Y1303*R1303</x:f>
        <x:v>-1.097702780323418</x:v>
      </x:c>
    </x:row>
    <x:row r="1304" ht="26" customHeight="1">
      <x:c r="A1304" s="2"/>
      <x:c r="B1304" s="2" t="n">
        <x:v>1299</x:v>
      </x:c>
      <x:c r="C1304" s="2" t="str">
        <x:v>Baby, Feminine &amp; Family Care / organic_volume_growth</x:v>
      </x:c>
      <x:c r="D1304" s="2" t="str">
        <x:v>Broad rolling 8</x:v>
      </x:c>
      <x:c r="E1304" s="7" t="n">
        <x:v>45930</x:v>
      </x:c>
      <x:c r="F1304" s="2" t="str">
        <x:v>Pre-earnings</x:v>
      </x:c>
      <x:c r="G1304" s="7" t="n">
        <x:v>45953</x:v>
      </x:c>
      <x:c r="H1304" s="2" t="n">
        <x:v>8</x:v>
      </x:c>
      <x:c r="I1304" s="8" t="n">
        <x:v>19.488596039783012</x:v>
      </x:c>
      <x:c r="J1304" s="8" t="n">
        <x:v>0</x:v>
      </x:c>
      <x:c r="K1304" s="8" t="n">
        <x:v>-8</x:v>
      </x:c>
      <x:c r="L1304" s="8" t="n">
        <x:v>52.76027068899587</x:v>
      </x:c>
      <x:c r="M1304" s="8" t="n">
        <x:v>0</x:v>
      </x:c>
      <x:c r="N1304" s="8" t="n">
        <x:v>0</x:v>
      </x:c>
      <x:c r="O1304" s="8" t="n">
        <x:v>-13.418328259299761</x:v>
      </x:c>
      <x:c r="P1304" s="8" t="n">
        <x:v>0</x:v>
      </x:c>
      <x:c r="Q1304" s="8" t="n">
        <x:v>3.2886468481588604</x:v>
      </x:c>
      <x:c r="R1304" s="8" t="n">
        <x:v>0</x:v>
      </x:c>
      <x:c r="S1304" s="8" t="n">
        <x:f>L1304-I1304^2/H1304</x:f>
        <x:v>5.284598738765105</x:v>
      </x:c>
      <x:c r="T1304" s="8" t="n">
        <x:f>M1304-J1304^2/H1304</x:f>
        <x:v>0</x:v>
      </x:c>
      <x:c r="U1304" s="8" t="n">
        <x:f>N1304-I1304*J1304/H1304</x:f>
        <x:v>0</x:v>
      </x:c>
      <x:c r="V1304" s="8" t="n">
        <x:f>O1304-I1304*K1304/H1304</x:f>
        <x:v>6.070267780483251</x:v>
      </x:c>
      <x:c r="W1304" s="8" t="n">
        <x:f>P1304-J1304*K1304/H1304</x:f>
        <x:v>0</x:v>
      </x:c>
      <x:c r="X1304" s="8" t="n">
        <x:f>V1304/S1304</x:f>
        <x:v>1.1486714660007922</x:v>
      </x:c>
      <x:c r="Y1304" s="8" t="n">
        <x:f>0</x:f>
        <x:v>0</x:v>
      </x:c>
      <x:c r="Z1304" s="8" t="n">
        <x:f>K1304/H1304-X1304*I1304/H1304-Y1304*J1304/H1304</x:f>
        <x:v>-3.798249272914348</x:v>
      </x:c>
      <x:c r="AA1304" s="8" t="n">
        <x:f>Z1304+X1304*Q1304+Y1304*R1304</x:f>
        <x:v>-0.02067447668082556</x:v>
      </x:c>
    </x:row>
    <x:row r="1305" ht="26" customHeight="1">
      <x:c r="A1305" s="2"/>
      <x:c r="B1305" s="2" t="n">
        <x:v>1300</x:v>
      </x:c>
      <x:c r="C1305" s="2" t="str">
        <x:v>Baby, Feminine &amp; Family Care / organic_volume_growth</x:v>
      </x:c>
      <x:c r="D1305" s="2" t="str">
        <x:v>Own history</x:v>
      </x:c>
      <x:c r="E1305" s="7" t="n">
        <x:v>45930</x:v>
      </x:c>
      <x:c r="F1305" s="2" t="str">
        <x:v>Pre-earnings</x:v>
      </x:c>
      <x:c r="G1305" s="7" t="n">
        <x:v>45953</x:v>
      </x:c>
      <x:c r="H1305" s="2" t="n">
        <x:v>17</x:v>
      </x:c>
      <x:c r="I1305" s="8" t="n">
        <x:v>-24</x:v>
      </x:c>
      <x:c r="J1305" s="8" t="n">
        <x:v>0</x:v>
      </x:c>
      <x:c r="K1305" s="8" t="n">
        <x:v>-20</x:v>
      </x:c>
      <x:c r="L1305" s="8" t="n">
        <x:v>136</x:v>
      </x:c>
      <x:c r="M1305" s="8" t="n">
        <x:v>0</x:v>
      </x:c>
      <x:c r="N1305" s="8" t="n">
        <x:v>0</x:v>
      </x:c>
      <x:c r="O1305" s="8" t="n">
        <x:v>58</x:v>
      </x:c>
      <x:c r="P1305" s="8" t="n">
        <x:v>0</x:v>
      </x:c>
      <x:c r="Q1305" s="8" t="n">
        <x:v>0</x:v>
      </x:c>
      <x:c r="R1305" s="8" t="n">
        <x:v>0</x:v>
      </x:c>
      <x:c r="S1305" s="8" t="n">
        <x:f>L1305-I1305^2/H1305</x:f>
        <x:v>102.11764705882354</x:v>
      </x:c>
      <x:c r="T1305" s="8" t="n">
        <x:f>M1305-J1305^2/H1305</x:f>
        <x:v>0</x:v>
      </x:c>
      <x:c r="U1305" s="8" t="n">
        <x:f>N1305-I1305*J1305/H1305</x:f>
        <x:v>0</x:v>
      </x:c>
      <x:c r="V1305" s="8" t="n">
        <x:f>O1305-I1305*K1305/H1305</x:f>
        <x:v>29.764705882352942</x:v>
      </x:c>
      <x:c r="W1305" s="8" t="n">
        <x:f>P1305-J1305*K1305/H1305</x:f>
        <x:v>0</x:v>
      </x:c>
      <x:c r="X1305" s="8" t="n">
        <x:f>V1305/S1305</x:f>
        <x:v>0.29147465437788017</x:v>
      </x:c>
      <x:c r="Y1305" s="8" t="n">
        <x:f>0</x:f>
        <x:v>0</x:v>
      </x:c>
      <x:c r="Z1305" s="8" t="n">
        <x:f>K1305/H1305-X1305*I1305/H1305-Y1305*J1305/H1305</x:f>
        <x:v>-0.7649769585253456</x:v>
      </x:c>
      <x:c r="AA1305" s="8" t="n">
        <x:f>Z1305+X1305*Q1305+Y1305*R1305</x:f>
        <x:v>-0.7649769585253456</x:v>
      </x:c>
    </x:row>
    <x:row r="1306" ht="26" customHeight="1">
      <x:c r="A1306" s="2"/>
      <x:c r="B1306" s="2" t="n">
        <x:v>1301</x:v>
      </x:c>
      <x:c r="C1306" s="2" t="str">
        <x:v>Baby, Feminine &amp; Family Care / organic_volume_growth</x:v>
      </x:c>
      <x:c r="D1306" s="2" t="str">
        <x:v>Broad market</x:v>
      </x:c>
      <x:c r="E1306" s="7" t="n">
        <x:v>46022</x:v>
      </x:c>
      <x:c r="F1306" s="2" t="str">
        <x:v>Origin</x:v>
      </x:c>
      <x:c r="G1306" s="7" t="n">
        <x:v>45931</x:v>
      </x:c>
      <x:c r="H1306" s="2" t="n">
        <x:v>18</x:v>
      </x:c>
      <x:c r="I1306" s="8" t="n">
        <x:v>54.16421583875868</x:v>
      </x:c>
      <x:c r="J1306" s="8" t="n">
        <x:v>0</x:v>
      </x:c>
      <x:c r="K1306" s="8" t="n">
        <x:v>-24</x:v>
      </x:c>
      <x:c r="L1306" s="8" t="n">
        <x:v>409.1374966682539</x:v>
      </x:c>
      <x:c r="M1306" s="8" t="n">
        <x:v>0</x:v>
      </x:c>
      <x:c r="N1306" s="8" t="n">
        <x:v>0</x:v>
      </x:c>
      <x:c r="O1306" s="8" t="n">
        <x:v>-45.2369131068035</x:v>
      </x:c>
      <x:c r="P1306" s="8" t="n">
        <x:v>0</x:v>
      </x:c>
      <x:c r="Q1306" s="8" t="n">
        <x:v>3.299678659475047</x:v>
      </x:c>
      <x:c r="R1306" s="8" t="n">
        <x:v>0</x:v>
      </x:c>
      <x:c r="S1306" s="8" t="n">
        <x:f>L1306-I1306^2/H1306</x:f>
        <x:v>246.15070347782967</x:v>
      </x:c>
      <x:c r="T1306" s="8" t="n">
        <x:f>M1306-J1306^2/H1306</x:f>
        <x:v>0</x:v>
      </x:c>
      <x:c r="U1306" s="8" t="n">
        <x:f>N1306-I1306*J1306/H1306</x:f>
        <x:v>0</x:v>
      </x:c>
      <x:c r="V1306" s="8" t="n">
        <x:f>O1306-I1306*K1306/H1306</x:f>
        <x:v>26.982041344874744</x:v>
      </x:c>
      <x:c r="W1306" s="8" t="n">
        <x:f>P1306-J1306*K1306/H1306</x:f>
        <x:v>0</x:v>
      </x:c>
      <x:c r="X1306" s="8" t="n">
        <x:f>V1306/S1306</x:f>
        <x:v>0.1096159424435891</x:v>
      </x:c>
      <x:c r="Y1306" s="8" t="n">
        <x:f>0</x:f>
        <x:v>0</x:v>
      </x:c>
      <x:c r="Z1306" s="8" t="n">
        <x:f>K1306/H1306-X1306*I1306/H1306-Y1306*J1306/H1306</x:f>
        <x:v>-1.6631811981046392</x:v>
      </x:c>
      <x:c r="AA1306" s="8" t="n">
        <x:f>Z1306+X1306*Q1306+Y1306*R1306</x:f>
        <x:v>-1.3014838120852832</x:v>
      </x:c>
    </x:row>
    <x:row r="1307" ht="26" customHeight="1">
      <x:c r="A1307" s="2"/>
      <x:c r="B1307" s="2" t="n">
        <x:v>1302</x:v>
      </x:c>
      <x:c r="C1307" s="2" t="str">
        <x:v>Baby, Feminine &amp; Family Care / organic_volume_growth</x:v>
      </x:c>
      <x:c r="D1307" s="2" t="str">
        <x:v>Broad rolling 8</x:v>
      </x:c>
      <x:c r="E1307" s="7" t="n">
        <x:v>46022</x:v>
      </x:c>
      <x:c r="F1307" s="2" t="str">
        <x:v>Origin</x:v>
      </x:c>
      <x:c r="G1307" s="7" t="n">
        <x:v>45931</x:v>
      </x:c>
      <x:c r="H1307" s="2" t="n">
        <x:v>8</x:v>
      </x:c>
      <x:c r="I1307" s="8" t="n">
        <x:v>19.488596039783012</x:v>
      </x:c>
      <x:c r="J1307" s="8" t="n">
        <x:v>0</x:v>
      </x:c>
      <x:c r="K1307" s="8" t="n">
        <x:v>-8</x:v>
      </x:c>
      <x:c r="L1307" s="8" t="n">
        <x:v>52.76027068899587</x:v>
      </x:c>
      <x:c r="M1307" s="8" t="n">
        <x:v>0</x:v>
      </x:c>
      <x:c r="N1307" s="8" t="n">
        <x:v>0</x:v>
      </x:c>
      <x:c r="O1307" s="8" t="n">
        <x:v>-13.418328259299761</x:v>
      </x:c>
      <x:c r="P1307" s="8" t="n">
        <x:v>0</x:v>
      </x:c>
      <x:c r="Q1307" s="8" t="n">
        <x:v>3.299678659475047</x:v>
      </x:c>
      <x:c r="R1307" s="8" t="n">
        <x:v>0</x:v>
      </x:c>
      <x:c r="S1307" s="8" t="n">
        <x:f>L1307-I1307^2/H1307</x:f>
        <x:v>5.284598738765105</x:v>
      </x:c>
      <x:c r="T1307" s="8" t="n">
        <x:f>M1307-J1307^2/H1307</x:f>
        <x:v>0</x:v>
      </x:c>
      <x:c r="U1307" s="8" t="n">
        <x:f>N1307-I1307*J1307/H1307</x:f>
        <x:v>0</x:v>
      </x:c>
      <x:c r="V1307" s="8" t="n">
        <x:f>O1307-I1307*K1307/H1307</x:f>
        <x:v>6.070267780483251</x:v>
      </x:c>
      <x:c r="W1307" s="8" t="n">
        <x:f>P1307-J1307*K1307/H1307</x:f>
        <x:v>0</x:v>
      </x:c>
      <x:c r="X1307" s="8" t="n">
        <x:f>V1307/S1307</x:f>
        <x:v>1.1486714660007922</x:v>
      </x:c>
      <x:c r="Y1307" s="8" t="n">
        <x:f>0</x:f>
        <x:v>0</x:v>
      </x:c>
      <x:c r="Z1307" s="8" t="n">
        <x:f>K1307/H1307-X1307*I1307/H1307-Y1307*J1307/H1307</x:f>
        <x:v>-3.798249272914348</x:v>
      </x:c>
      <x:c r="AA1307" s="8" t="n">
        <x:f>Z1307+X1307*Q1307+Y1307*R1307</x:f>
        <x:v>-0.008002549803617143</x:v>
      </x:c>
    </x:row>
    <x:row r="1308" ht="26" customHeight="1">
      <x:c r="A1308" s="2"/>
      <x:c r="B1308" s="2" t="n">
        <x:v>1303</x:v>
      </x:c>
      <x:c r="C1308" s="2" t="str">
        <x:v>Baby, Feminine &amp; Family Care / organic_volume_growth</x:v>
      </x:c>
      <x:c r="D1308" s="2" t="str">
        <x:v>Own history</x:v>
      </x:c>
      <x:c r="E1308" s="7" t="n">
        <x:v>46022</x:v>
      </x:c>
      <x:c r="F1308" s="2" t="str">
        <x:v>Origin</x:v>
      </x:c>
      <x:c r="G1308" s="7" t="n">
        <x:v>45931</x:v>
      </x:c>
      <x:c r="H1308" s="2" t="n">
        <x:v>16</x:v>
      </x:c>
      <x:c r="I1308" s="8" t="n">
        <x:v>-22</x:v>
      </x:c>
      <x:c r="J1308" s="8" t="n">
        <x:v>0</x:v>
      </x:c>
      <x:c r="K1308" s="8" t="n">
        <x:v>-17</x:v>
      </x:c>
      <x:c r="L1308" s="8" t="n">
        <x:v>132</x:v>
      </x:c>
      <x:c r="M1308" s="8" t="n">
        <x:v>0</x:v>
      </x:c>
      <x:c r="N1308" s="8" t="n">
        <x:v>0</x:v>
      </x:c>
      <x:c r="O1308" s="8" t="n">
        <x:v>25</x:v>
      </x:c>
      <x:c r="P1308" s="8" t="n">
        <x:v>0</x:v>
      </x:c>
      <x:c r="Q1308" s="8" t="n">
        <x:v>0</x:v>
      </x:c>
      <x:c r="R1308" s="8" t="n">
        <x:v>0</x:v>
      </x:c>
      <x:c r="S1308" s="8" t="n">
        <x:f>L1308-I1308^2/H1308</x:f>
        <x:v>101.75</x:v>
      </x:c>
      <x:c r="T1308" s="8" t="n">
        <x:f>M1308-J1308^2/H1308</x:f>
        <x:v>0</x:v>
      </x:c>
      <x:c r="U1308" s="8" t="n">
        <x:f>N1308-I1308*J1308/H1308</x:f>
        <x:v>0</x:v>
      </x:c>
      <x:c r="V1308" s="8" t="n">
        <x:f>O1308-I1308*K1308/H1308</x:f>
        <x:v>1.625</x:v>
      </x:c>
      <x:c r="W1308" s="8" t="n">
        <x:f>P1308-J1308*K1308/H1308</x:f>
        <x:v>0</x:v>
      </x:c>
      <x:c r="X1308" s="8" t="n">
        <x:f>V1308/S1308</x:f>
        <x:v>0.01597051597051597</x:v>
      </x:c>
      <x:c r="Y1308" s="8" t="n">
        <x:f>0</x:f>
        <x:v>0</x:v>
      </x:c>
      <x:c r="Z1308" s="8" t="n">
        <x:f>K1308/H1308-X1308*I1308/H1308-Y1308*J1308/H1308</x:f>
        <x:v>-1.0405405405405406</x:v>
      </x:c>
      <x:c r="AA1308" s="8" t="n">
        <x:f>Z1308+X1308*Q1308+Y1308*R1308</x:f>
        <x:v>-1.0405405405405406</x:v>
      </x:c>
    </x:row>
    <x:row r="1309" ht="26" customHeight="1">
      <x:c r="A1309" s="2"/>
      <x:c r="B1309" s="2" t="n">
        <x:v>1304</x:v>
      </x:c>
      <x:c r="C1309" s="2" t="str">
        <x:v>Baby, Feminine &amp; Family Care / organic_volume_growth</x:v>
      </x:c>
      <x:c r="D1309" s="2" t="str">
        <x:v>Broad market</x:v>
      </x:c>
      <x:c r="E1309" s="7" t="n">
        <x:v>46022</x:v>
      </x:c>
      <x:c r="F1309" s="2" t="str">
        <x:v>Prior report</x:v>
      </x:c>
      <x:c r="G1309" s="7" t="n">
        <x:v>45954</x:v>
      </x:c>
      <x:c r="H1309" s="2" t="n">
        <x:v>18</x:v>
      </x:c>
      <x:c r="I1309" s="8" t="n">
        <x:v>54.16421583875868</x:v>
      </x:c>
      <x:c r="J1309" s="8" t="n">
        <x:v>0</x:v>
      </x:c>
      <x:c r="K1309" s="8" t="n">
        <x:v>-24</x:v>
      </x:c>
      <x:c r="L1309" s="8" t="n">
        <x:v>409.1374966682539</x:v>
      </x:c>
      <x:c r="M1309" s="8" t="n">
        <x:v>0</x:v>
      </x:c>
      <x:c r="N1309" s="8" t="n">
        <x:v>0</x:v>
      </x:c>
      <x:c r="O1309" s="8" t="n">
        <x:v>-45.2369131068035</x:v>
      </x:c>
      <x:c r="P1309" s="8" t="n">
        <x:v>0</x:v>
      </x:c>
      <x:c r="Q1309" s="8" t="n">
        <x:v>3.299678659475047</x:v>
      </x:c>
      <x:c r="R1309" s="8" t="n">
        <x:v>0</x:v>
      </x:c>
      <x:c r="S1309" s="8" t="n">
        <x:f>L1309-I1309^2/H1309</x:f>
        <x:v>246.15070347782967</x:v>
      </x:c>
      <x:c r="T1309" s="8" t="n">
        <x:f>M1309-J1309^2/H1309</x:f>
        <x:v>0</x:v>
      </x:c>
      <x:c r="U1309" s="8" t="n">
        <x:f>N1309-I1309*J1309/H1309</x:f>
        <x:v>0</x:v>
      </x:c>
      <x:c r="V1309" s="8" t="n">
        <x:f>O1309-I1309*K1309/H1309</x:f>
        <x:v>26.982041344874744</x:v>
      </x:c>
      <x:c r="W1309" s="8" t="n">
        <x:f>P1309-J1309*K1309/H1309</x:f>
        <x:v>0</x:v>
      </x:c>
      <x:c r="X1309" s="8" t="n">
        <x:f>V1309/S1309</x:f>
        <x:v>0.1096159424435891</x:v>
      </x:c>
      <x:c r="Y1309" s="8" t="n">
        <x:f>0</x:f>
        <x:v>0</x:v>
      </x:c>
      <x:c r="Z1309" s="8" t="n">
        <x:f>K1309/H1309-X1309*I1309/H1309-Y1309*J1309/H1309</x:f>
        <x:v>-1.6631811981046392</x:v>
      </x:c>
      <x:c r="AA1309" s="8" t="n">
        <x:f>Z1309+X1309*Q1309+Y1309*R1309</x:f>
        <x:v>-1.3014838120852832</x:v>
      </x:c>
    </x:row>
    <x:row r="1310" ht="26" customHeight="1">
      <x:c r="A1310" s="2"/>
      <x:c r="B1310" s="2" t="n">
        <x:v>1305</x:v>
      </x:c>
      <x:c r="C1310" s="2" t="str">
        <x:v>Baby, Feminine &amp; Family Care / organic_volume_growth</x:v>
      </x:c>
      <x:c r="D1310" s="2" t="str">
        <x:v>Broad rolling 8</x:v>
      </x:c>
      <x:c r="E1310" s="7" t="n">
        <x:v>46022</x:v>
      </x:c>
      <x:c r="F1310" s="2" t="str">
        <x:v>Prior report</x:v>
      </x:c>
      <x:c r="G1310" s="7" t="n">
        <x:v>45954</x:v>
      </x:c>
      <x:c r="H1310" s="2" t="n">
        <x:v>8</x:v>
      </x:c>
      <x:c r="I1310" s="8" t="n">
        <x:v>19.488596039783012</x:v>
      </x:c>
      <x:c r="J1310" s="8" t="n">
        <x:v>0</x:v>
      </x:c>
      <x:c r="K1310" s="8" t="n">
        <x:v>-8</x:v>
      </x:c>
      <x:c r="L1310" s="8" t="n">
        <x:v>52.76027068899587</x:v>
      </x:c>
      <x:c r="M1310" s="8" t="n">
        <x:v>0</x:v>
      </x:c>
      <x:c r="N1310" s="8" t="n">
        <x:v>0</x:v>
      </x:c>
      <x:c r="O1310" s="8" t="n">
        <x:v>-13.418328259299761</x:v>
      </x:c>
      <x:c r="P1310" s="8" t="n">
        <x:v>0</x:v>
      </x:c>
      <x:c r="Q1310" s="8" t="n">
        <x:v>3.299678659475047</x:v>
      </x:c>
      <x:c r="R1310" s="8" t="n">
        <x:v>0</x:v>
      </x:c>
      <x:c r="S1310" s="8" t="n">
        <x:f>L1310-I1310^2/H1310</x:f>
        <x:v>5.284598738765105</x:v>
      </x:c>
      <x:c r="T1310" s="8" t="n">
        <x:f>M1310-J1310^2/H1310</x:f>
        <x:v>0</x:v>
      </x:c>
      <x:c r="U1310" s="8" t="n">
        <x:f>N1310-I1310*J1310/H1310</x:f>
        <x:v>0</x:v>
      </x:c>
      <x:c r="V1310" s="8" t="n">
        <x:f>O1310-I1310*K1310/H1310</x:f>
        <x:v>6.070267780483251</x:v>
      </x:c>
      <x:c r="W1310" s="8" t="n">
        <x:f>P1310-J1310*K1310/H1310</x:f>
        <x:v>0</x:v>
      </x:c>
      <x:c r="X1310" s="8" t="n">
        <x:f>V1310/S1310</x:f>
        <x:v>1.1486714660007922</x:v>
      </x:c>
      <x:c r="Y1310" s="8" t="n">
        <x:f>0</x:f>
        <x:v>0</x:v>
      </x:c>
      <x:c r="Z1310" s="8" t="n">
        <x:f>K1310/H1310-X1310*I1310/H1310-Y1310*J1310/H1310</x:f>
        <x:v>-3.798249272914348</x:v>
      </x:c>
      <x:c r="AA1310" s="8" t="n">
        <x:f>Z1310+X1310*Q1310+Y1310*R1310</x:f>
        <x:v>-0.008002549803617143</x:v>
      </x:c>
    </x:row>
    <x:row r="1311" ht="26" customHeight="1">
      <x:c r="A1311" s="2"/>
      <x:c r="B1311" s="2" t="n">
        <x:v>1306</x:v>
      </x:c>
      <x:c r="C1311" s="2" t="str">
        <x:v>Baby, Feminine &amp; Family Care / organic_volume_growth</x:v>
      </x:c>
      <x:c r="D1311" s="2" t="str">
        <x:v>Own history</x:v>
      </x:c>
      <x:c r="E1311" s="7" t="n">
        <x:v>46022</x:v>
      </x:c>
      <x:c r="F1311" s="2" t="str">
        <x:v>Prior report</x:v>
      </x:c>
      <x:c r="G1311" s="7" t="n">
        <x:v>45954</x:v>
      </x:c>
      <x:c r="H1311" s="2" t="n">
        <x:v>18</x:v>
      </x:c>
      <x:c r="I1311" s="8" t="n">
        <x:v>-24</x:v>
      </x:c>
      <x:c r="J1311" s="8" t="n">
        <x:v>0</x:v>
      </x:c>
      <x:c r="K1311" s="8" t="n">
        <x:v>-20</x:v>
      </x:c>
      <x:c r="L1311" s="8" t="n">
        <x:v>136</x:v>
      </x:c>
      <x:c r="M1311" s="8" t="n">
        <x:v>0</x:v>
      </x:c>
      <x:c r="N1311" s="8" t="n">
        <x:v>0</x:v>
      </x:c>
      <x:c r="O1311" s="8" t="n">
        <x:v>58</x:v>
      </x:c>
      <x:c r="P1311" s="8" t="n">
        <x:v>0</x:v>
      </x:c>
      <x:c r="Q1311" s="8" t="n">
        <x:v>0</x:v>
      </x:c>
      <x:c r="R1311" s="8" t="n">
        <x:v>0</x:v>
      </x:c>
      <x:c r="S1311" s="8" t="n">
        <x:f>L1311-I1311^2/H1311</x:f>
        <x:v>104</x:v>
      </x:c>
      <x:c r="T1311" s="8" t="n">
        <x:f>M1311-J1311^2/H1311</x:f>
        <x:v>0</x:v>
      </x:c>
      <x:c r="U1311" s="8" t="n">
        <x:f>N1311-I1311*J1311/H1311</x:f>
        <x:v>0</x:v>
      </x:c>
      <x:c r="V1311" s="8" t="n">
        <x:f>O1311-I1311*K1311/H1311</x:f>
        <x:v>31.333333333333332</x:v>
      </x:c>
      <x:c r="W1311" s="8" t="n">
        <x:f>P1311-J1311*K1311/H1311</x:f>
        <x:v>0</x:v>
      </x:c>
      <x:c r="X1311" s="8" t="n">
        <x:f>V1311/S1311</x:f>
        <x:v>0.30128205128205127</x:v>
      </x:c>
      <x:c r="Y1311" s="8" t="n">
        <x:f>0</x:f>
        <x:v>0</x:v>
      </x:c>
      <x:c r="Z1311" s="8" t="n">
        <x:f>K1311/H1311-X1311*I1311/H1311-Y1311*J1311/H1311</x:f>
        <x:v>-0.7094017094017095</x:v>
      </x:c>
      <x:c r="AA1311" s="8" t="n">
        <x:f>Z1311+X1311*Q1311+Y1311*R1311</x:f>
        <x:v>-0.7094017094017095</x:v>
      </x:c>
    </x:row>
    <x:row r="1312" ht="26" customHeight="1">
      <x:c r="A1312" s="2"/>
      <x:c r="B1312" s="2" t="n">
        <x:v>1307</x:v>
      </x:c>
      <x:c r="C1312" s="2" t="str">
        <x:v>Baby, Feminine &amp; Family Care / organic_volume_growth</x:v>
      </x:c>
      <x:c r="D1312" s="2" t="str">
        <x:v>Broad market</x:v>
      </x:c>
      <x:c r="E1312" s="7" t="n">
        <x:v>46022</x:v>
      </x:c>
      <x:c r="F1312" s="2" t="str">
        <x:v>Pre-earnings</x:v>
      </x:c>
      <x:c r="G1312" s="7" t="n">
        <x:v>46044</x:v>
      </x:c>
      <x:c r="H1312" s="2" t="n">
        <x:v>19</x:v>
      </x:c>
      <x:c r="I1312" s="8" t="n">
        <x:v>57.16093893029881</x:v>
      </x:c>
      <x:c r="J1312" s="8" t="n">
        <x:v>0</x:v>
      </x:c>
      <x:c r="K1312" s="8" t="n">
        <x:v>-24</x:v>
      </x:c>
      <x:c r="L1312" s="8" t="n">
        <x:v>418.11784595562375</x:v>
      </x:c>
      <x:c r="M1312" s="8" t="n">
        <x:v>0</x:v>
      </x:c>
      <x:c r="N1312" s="8" t="n">
        <x:v>0</x:v>
      </x:c>
      <x:c r="O1312" s="8" t="n">
        <x:v>-45.2369131068035</x:v>
      </x:c>
      <x:c r="P1312" s="8" t="n">
        <x:v>0</x:v>
      </x:c>
      <x:c r="Q1312" s="8" t="n">
        <x:v>2.918795720892664</x:v>
      </x:c>
      <x:c r="R1312" s="8" t="n">
        <x:v>0</x:v>
      </x:c>
      <x:c r="S1312" s="8" t="n">
        <x:f>L1312-I1312^2/H1312</x:f>
        <x:v>246.1508491454474</x:v>
      </x:c>
      <x:c r="T1312" s="8" t="n">
        <x:f>M1312-J1312^2/H1312</x:f>
        <x:v>0</x:v>
      </x:c>
      <x:c r="U1312" s="8" t="n">
        <x:f>N1312-I1312*J1312/H1312</x:f>
        <x:v>0</x:v>
      </x:c>
      <x:c r="V1312" s="8" t="n">
        <x:f>O1312-I1312*K1312/H1312</x:f>
        <x:v>26.966378173573943</x:v>
      </x:c>
      <x:c r="W1312" s="8" t="n">
        <x:f>P1312-J1312*K1312/H1312</x:f>
        <x:v>0</x:v>
      </x:c>
      <x:c r="X1312" s="8" t="n">
        <x:f>V1312/S1312</x:f>
        <x:v>0.10955224516670203</x:v>
      </x:c>
      <x:c r="Y1312" s="8" t="n">
        <x:f>0</x:f>
        <x:v>0</x:v>
      </x:c>
      <x:c r="Z1312" s="8" t="n">
        <x:f>K1312/H1312-X1312*I1312/H1312-Y1312*J1312/H1312</x:f>
        <x:v>-1.5927425892447882</x:v>
      </x:c>
      <x:c r="AA1312" s="8" t="n">
        <x:f>Z1312+X1312*Q1312+Y1312*R1312</x:f>
        <x:v>-1.2729819648380343</x:v>
      </x:c>
    </x:row>
    <x:row r="1313" ht="26" customHeight="1">
      <x:c r="A1313" s="2"/>
      <x:c r="B1313" s="2" t="n">
        <x:v>1308</x:v>
      </x:c>
      <x:c r="C1313" s="2" t="str">
        <x:v>Baby, Feminine &amp; Family Care / organic_volume_growth</x:v>
      </x:c>
      <x:c r="D1313" s="2" t="str">
        <x:v>Broad lag 1</x:v>
      </x:c>
      <x:c r="E1313" s="7" t="n">
        <x:v>46022</x:v>
      </x:c>
      <x:c r="F1313" s="2" t="str">
        <x:v>Pre-earnings</x:v>
      </x:c>
      <x:c r="G1313" s="7" t="n">
        <x:v>46044</x:v>
      </x:c>
      <x:c r="H1313" s="2" t="n">
        <x:v>18</x:v>
      </x:c>
      <x:c r="I1313" s="8" t="n">
        <x:v>54.16421583875868</x:v>
      </x:c>
      <x:c r="J1313" s="8" t="n">
        <x:v>0</x:v>
      </x:c>
      <x:c r="K1313" s="8" t="n">
        <x:v>-20</x:v>
      </x:c>
      <x:c r="L1313" s="8" t="n">
        <x:v>409.1374966682539</x:v>
      </x:c>
      <x:c r="M1313" s="8" t="n">
        <x:v>0</x:v>
      </x:c>
      <x:c r="N1313" s="8" t="n">
        <x:v>0</x:v>
      </x:c>
      <x:c r="O1313" s="8" t="n">
        <x:v>21.75659115066808</x:v>
      </x:c>
      <x:c r="P1313" s="8" t="n">
        <x:v>0</x:v>
      </x:c>
      <x:c r="Q1313" s="8" t="n">
        <x:v>2.996723091540132</x:v>
      </x:c>
      <x:c r="R1313" s="8" t="n">
        <x:v>0</x:v>
      </x:c>
      <x:c r="S1313" s="8" t="n">
        <x:f>L1313-I1313^2/H1313</x:f>
        <x:v>246.15070347782967</x:v>
      </x:c>
      <x:c r="T1313" s="8" t="n">
        <x:f>M1313-J1313^2/H1313</x:f>
        <x:v>0</x:v>
      </x:c>
      <x:c r="U1313" s="8" t="n">
        <x:f>N1313-I1313*J1313/H1313</x:f>
        <x:v>0</x:v>
      </x:c>
      <x:c r="V1313" s="8" t="n">
        <x:f>O1313-I1313*K1313/H1313</x:f>
        <x:v>81.93905319373327</x:v>
      </x:c>
      <x:c r="W1313" s="8" t="n">
        <x:f>P1313-J1313*K1313/H1313</x:f>
        <x:v>0</x:v>
      </x:c>
      <x:c r="X1313" s="8" t="n">
        <x:f>V1313/S1313</x:f>
        <x:v>0.3328816535399964</x:v>
      </x:c>
      <x:c r="Y1313" s="8" t="n">
        <x:f>0</x:f>
        <x:v>0</x:v>
      </x:c>
      <x:c r="Z1313" s="8" t="n">
        <x:f>K1313/H1313-X1313*I1313/H1313-Y1313*J1313/H1313</x:f>
        <x:v>-2.112792985061292</x:v>
      </x:c>
      <x:c r="AA1313" s="8" t="n">
        <x:f>Z1313+X1313*Q1313+Y1313*R1313</x:f>
        <x:v>-1.1152388471479227</x:v>
      </x:c>
    </x:row>
    <x:row r="1314" ht="26" customHeight="1">
      <x:c r="A1314" s="2"/>
      <x:c r="B1314" s="2" t="n">
        <x:v>1309</x:v>
      </x:c>
      <x:c r="C1314" s="2" t="str">
        <x:v>Baby, Feminine &amp; Family Care / organic_volume_growth</x:v>
      </x:c>
      <x:c r="D1314" s="2" t="str">
        <x:v>Broad rolling 8</x:v>
      </x:c>
      <x:c r="E1314" s="7" t="n">
        <x:v>46022</x:v>
      </x:c>
      <x:c r="F1314" s="2" t="str">
        <x:v>Pre-earnings</x:v>
      </x:c>
      <x:c r="G1314" s="7" t="n">
        <x:v>46044</x:v>
      </x:c>
      <x:c r="H1314" s="2" t="n">
        <x:v>8</x:v>
      </x:c>
      <x:c r="I1314" s="8" t="n">
        <x:v>21.296017808086944</x:v>
      </x:c>
      <x:c r="J1314" s="8" t="n">
        <x:v>0</x:v>
      </x:c>
      <x:c r="K1314" s="8" t="n">
        <x:v>-5</x:v>
      </x:c>
      <x:c r="L1314" s="8" t="n">
        <x:v>60.32618233891433</x:v>
      </x:c>
      <x:c r="M1314" s="8" t="n">
        <x:v>0</x:v>
      </x:c>
      <x:c r="N1314" s="8" t="n">
        <x:v>0</x:v>
      </x:c>
      <x:c r="O1314" s="8" t="n">
        <x:v>-9.850424289591153</x:v>
      </x:c>
      <x:c r="P1314" s="8" t="n">
        <x:v>0</x:v>
      </x:c>
      <x:c r="Q1314" s="8" t="n">
        <x:v>2.918795720892664</x:v>
      </x:c>
      <x:c r="R1314" s="8" t="n">
        <x:v>0</x:v>
      </x:c>
      <x:c r="S1314" s="8" t="n">
        <x:f>L1314-I1314^2/H1314</x:f>
        <x:v>3.6361355286197963</x:v>
      </x:c>
      <x:c r="T1314" s="8" t="n">
        <x:f>M1314-J1314^2/H1314</x:f>
        <x:v>0</x:v>
      </x:c>
      <x:c r="U1314" s="8" t="n">
        <x:f>N1314-I1314*J1314/H1314</x:f>
        <x:v>0</x:v>
      </x:c>
      <x:c r="V1314" s="8" t="n">
        <x:f>O1314-I1314*K1314/H1314</x:f>
        <x:v>3.459586840463187</x:v>
      </x:c>
      <x:c r="W1314" s="8" t="n">
        <x:f>P1314-J1314*K1314/H1314</x:f>
        <x:v>0</x:v>
      </x:c>
      <x:c r="X1314" s="8" t="n">
        <x:f>V1314/S1314</x:f>
        <x:v>0.9514460649865756</x:v>
      </x:c>
      <x:c r="Y1314" s="8" t="n">
        <x:f>0</x:f>
        <x:v>0</x:v>
      </x:c>
      <x:c r="Z1314" s="8" t="n">
        <x:f>K1314/H1314-X1314*I1314/H1314-Y1314*J1314/H1314</x:f>
        <x:v>-3.157751542923545</x:v>
      </x:c>
      <x:c r="AA1314" s="8" t="n">
        <x:f>Z1314+X1314*Q1314+Y1314*R1314</x:f>
        <x:v>-0.3806748397805646</x:v>
      </x:c>
    </x:row>
    <x:row r="1315" ht="26" customHeight="1">
      <x:c r="A1315" s="2"/>
      <x:c r="B1315" s="2" t="n">
        <x:v>1310</x:v>
      </x:c>
      <x:c r="C1315" s="2" t="str">
        <x:v>Baby, Feminine &amp; Family Care / organic_volume_growth</x:v>
      </x:c>
      <x:c r="D1315" s="2" t="str">
        <x:v>Own history</x:v>
      </x:c>
      <x:c r="E1315" s="7" t="n">
        <x:v>46022</x:v>
      </x:c>
      <x:c r="F1315" s="2" t="str">
        <x:v>Pre-earnings</x:v>
      </x:c>
      <x:c r="G1315" s="7" t="n">
        <x:v>46044</x:v>
      </x:c>
      <x:c r="H1315" s="2" t="n">
        <x:v>18</x:v>
      </x:c>
      <x:c r="I1315" s="8" t="n">
        <x:v>-24</x:v>
      </x:c>
      <x:c r="J1315" s="8" t="n">
        <x:v>0</x:v>
      </x:c>
      <x:c r="K1315" s="8" t="n">
        <x:v>-20</x:v>
      </x:c>
      <x:c r="L1315" s="8" t="n">
        <x:v>136</x:v>
      </x:c>
      <x:c r="M1315" s="8" t="n">
        <x:v>0</x:v>
      </x:c>
      <x:c r="N1315" s="8" t="n">
        <x:v>0</x:v>
      </x:c>
      <x:c r="O1315" s="8" t="n">
        <x:v>58</x:v>
      </x:c>
      <x:c r="P1315" s="8" t="n">
        <x:v>0</x:v>
      </x:c>
      <x:c r="Q1315" s="8" t="n">
        <x:v>0</x:v>
      </x:c>
      <x:c r="R1315" s="8" t="n">
        <x:v>0</x:v>
      </x:c>
      <x:c r="S1315" s="8" t="n">
        <x:f>L1315-I1315^2/H1315</x:f>
        <x:v>104</x:v>
      </x:c>
      <x:c r="T1315" s="8" t="n">
        <x:f>M1315-J1315^2/H1315</x:f>
        <x:v>0</x:v>
      </x:c>
      <x:c r="U1315" s="8" t="n">
        <x:f>N1315-I1315*J1315/H1315</x:f>
        <x:v>0</x:v>
      </x:c>
      <x:c r="V1315" s="8" t="n">
        <x:f>O1315-I1315*K1315/H1315</x:f>
        <x:v>31.333333333333332</x:v>
      </x:c>
      <x:c r="W1315" s="8" t="n">
        <x:f>P1315-J1315*K1315/H1315</x:f>
        <x:v>0</x:v>
      </x:c>
      <x:c r="X1315" s="8" t="n">
        <x:f>V1315/S1315</x:f>
        <x:v>0.30128205128205127</x:v>
      </x:c>
      <x:c r="Y1315" s="8" t="n">
        <x:f>0</x:f>
        <x:v>0</x:v>
      </x:c>
      <x:c r="Z1315" s="8" t="n">
        <x:f>K1315/H1315-X1315*I1315/H1315-Y1315*J1315/H1315</x:f>
        <x:v>-0.7094017094017095</x:v>
      </x:c>
      <x:c r="AA1315" s="8" t="n">
        <x:f>Z1315+X1315*Q1315+Y1315*R1315</x:f>
        <x:v>-0.7094017094017095</x:v>
      </x:c>
    </x:row>
    <x:row r="1316" ht="26" customHeight="1">
      <x:c r="A1316" s="2"/>
      <x:c r="B1316" s="2" t="n">
        <x:v>1311</x:v>
      </x:c>
      <x:c r="C1316" s="2" t="str">
        <x:v>Baby, Feminine &amp; Family Care / organic_volume_growth</x:v>
      </x:c>
      <x:c r="D1316" s="2" t="str">
        <x:v>Broad market</x:v>
      </x:c>
      <x:c r="E1316" s="7" t="n">
        <x:v>46112</x:v>
      </x:c>
      <x:c r="F1316" s="2" t="str">
        <x:v>Origin</x:v>
      </x:c>
      <x:c r="G1316" s="7" t="n">
        <x:v>46023</x:v>
      </x:c>
      <x:c r="H1316" s="2" t="n">
        <x:v>19</x:v>
      </x:c>
      <x:c r="I1316" s="8" t="n">
        <x:v>57.17838992209685</x:v>
      </x:c>
      <x:c r="J1316" s="8" t="n">
        <x:v>0</x:v>
      </x:c>
      <x:c r="K1316" s="8" t="n">
        <x:v>-24</x:v>
      </x:c>
      <x:c r="L1316" s="8" t="n">
        <x:v>418.22274207292145</x:v>
      </x:c>
      <x:c r="M1316" s="8" t="n">
        <x:v>0</x:v>
      </x:c>
      <x:c r="N1316" s="8" t="n">
        <x:v>0</x:v>
      </x:c>
      <x:c r="O1316" s="8" t="n">
        <x:v>-45.2369131068035</x:v>
      </x:c>
      <x:c r="P1316" s="8" t="n">
        <x:v>0</x:v>
      </x:c>
      <x:c r="Q1316" s="8" t="n">
        <x:v>3.0175188319920387</x:v>
      </x:c>
      <x:c r="R1316" s="8" t="n">
        <x:v>0</x:v>
      </x:c>
      <x:c r="S1316" s="8" t="n">
        <x:f>L1316-I1316^2/H1316</x:f>
        <x:v>246.15072764748217</x:v>
      </x:c>
      <x:c r="T1316" s="8" t="n">
        <x:f>M1316-J1316^2/H1316</x:f>
        <x:v>0</x:v>
      </x:c>
      <x:c r="U1316" s="8" t="n">
        <x:f>N1316-I1316*J1316/H1316</x:f>
        <x:v>0</x:v>
      </x:c>
      <x:c r="V1316" s="8" t="n">
        <x:f>O1316-I1316*K1316/H1316</x:f>
        <x:v>26.98842153163463</x:v>
      </x:c>
      <x:c r="W1316" s="8" t="n">
        <x:f>P1316-J1316*K1316/H1316</x:f>
        <x:v>0</x:v>
      </x:c>
      <x:c r="X1316" s="8" t="n">
        <x:f>V1316/S1316</x:f>
        <x:v>0.10964185151743827</x:v>
      </x:c>
      <x:c r="Y1316" s="8" t="n">
        <x:f>0</x:f>
        <x:v>0</x:v>
      </x:c>
      <x:c r="Z1316" s="8" t="n">
        <x:f>K1316/H1316-X1316*I1316/H1316-Y1316*J1316/H1316</x:f>
        <x:v>-1.5931128704128805</x:v>
      </x:c>
      <x:c r="AA1316" s="8" t="n">
        <x:f>Z1316+X1316*Q1316+Y1316*R1316</x:f>
        <x:v>-1.2622665186845357</x:v>
      </x:c>
    </x:row>
    <x:row r="1317" ht="26" customHeight="1">
      <x:c r="A1317" s="2"/>
      <x:c r="B1317" s="2" t="n">
        <x:v>1312</x:v>
      </x:c>
      <x:c r="C1317" s="2" t="str">
        <x:v>Baby, Feminine &amp; Family Care / organic_volume_growth</x:v>
      </x:c>
      <x:c r="D1317" s="2" t="str">
        <x:v>Broad rolling 8</x:v>
      </x:c>
      <x:c r="E1317" s="7" t="n">
        <x:v>46112</x:v>
      </x:c>
      <x:c r="F1317" s="2" t="str">
        <x:v>Origin</x:v>
      </x:c>
      <x:c r="G1317" s="7" t="n">
        <x:v>46023</x:v>
      </x:c>
      <x:c r="H1317" s="2" t="n">
        <x:v>8</x:v>
      </x:c>
      <x:c r="I1317" s="8" t="n">
        <x:v>21.313468799884983</x:v>
      </x:c>
      <x:c r="J1317" s="8" t="n">
        <x:v>0</x:v>
      </x:c>
      <x:c r="K1317" s="8" t="n">
        <x:v>-5</x:v>
      </x:c>
      <x:c r="L1317" s="8" t="n">
        <x:v>60.431078456212</x:v>
      </x:c>
      <x:c r="M1317" s="8" t="n">
        <x:v>0</x:v>
      </x:c>
      <x:c r="N1317" s="8" t="n">
        <x:v>0</x:v>
      </x:c>
      <x:c r="O1317" s="8" t="n">
        <x:v>-9.850424289591153</x:v>
      </x:c>
      <x:c r="P1317" s="8" t="n">
        <x:v>0</x:v>
      </x:c>
      <x:c r="Q1317" s="8" t="n">
        <x:v>3.0175188319920387</x:v>
      </x:c>
      <x:c r="R1317" s="8" t="n">
        <x:v>0</x:v>
      </x:c>
      <x:c r="S1317" s="8" t="n">
        <x:f>L1317-I1317^2/H1317</x:f>
        <x:v>3.6480844207531717</x:v>
      </x:c>
      <x:c r="T1317" s="8" t="n">
        <x:f>M1317-J1317^2/H1317</x:f>
        <x:v>0</x:v>
      </x:c>
      <x:c r="U1317" s="8" t="n">
        <x:f>N1317-I1317*J1317/H1317</x:f>
        <x:v>0</x:v>
      </x:c>
      <x:c r="V1317" s="8" t="n">
        <x:f>O1317-I1317*K1317/H1317</x:f>
        <x:v>3.470493710336962</x:v>
      </x:c>
      <x:c r="W1317" s="8" t="n">
        <x:f>P1317-J1317*K1317/H1317</x:f>
        <x:v>0</x:v>
      </x:c>
      <x:c r="X1317" s="8" t="n">
        <x:f>V1317/S1317</x:f>
        <x:v>0.9513194625086157</x:v>
      </x:c>
      <x:c r="Y1317" s="8" t="n">
        <x:f>0</x:f>
        <x:v>0</x:v>
      </x:c>
      <x:c r="Z1317" s="8" t="n">
        <x:f>K1317/H1317-X1317*I1317/H1317-Y1317*J1317/H1317</x:f>
        <x:v>-3.1594897103625916</x:v>
      </x:c>
      <x:c r="AA1317" s="8" t="n">
        <x:f>Z1317+X1317*Q1317+Y1317*R1317</x:f>
        <x:v>-0.28886531700229945</x:v>
      </x:c>
    </x:row>
    <x:row r="1318" ht="26" customHeight="1">
      <x:c r="A1318" s="2"/>
      <x:c r="B1318" s="2" t="n">
        <x:v>1313</x:v>
      </x:c>
      <x:c r="C1318" s="2" t="str">
        <x:v>Baby, Feminine &amp; Family Care / organic_volume_growth</x:v>
      </x:c>
      <x:c r="D1318" s="2" t="str">
        <x:v>Own history</x:v>
      </x:c>
      <x:c r="E1318" s="7" t="n">
        <x:v>46112</x:v>
      </x:c>
      <x:c r="F1318" s="2" t="str">
        <x:v>Origin</x:v>
      </x:c>
      <x:c r="G1318" s="7" t="n">
        <x:v>46023</x:v>
      </x:c>
      <x:c r="H1318" s="2" t="n">
        <x:v>17</x:v>
      </x:c>
      <x:c r="I1318" s="8" t="n">
        <x:v>-24</x:v>
      </x:c>
      <x:c r="J1318" s="8" t="n">
        <x:v>0</x:v>
      </x:c>
      <x:c r="K1318" s="8" t="n">
        <x:v>-17</x:v>
      </x:c>
      <x:c r="L1318" s="8" t="n">
        <x:v>136</x:v>
      </x:c>
      <x:c r="M1318" s="8" t="n">
        <x:v>0</x:v>
      </x:c>
      <x:c r="N1318" s="8" t="n">
        <x:v>0</x:v>
      </x:c>
      <x:c r="O1318" s="8" t="n">
        <x:v>25</x:v>
      </x:c>
      <x:c r="P1318" s="8" t="n">
        <x:v>0</x:v>
      </x:c>
      <x:c r="Q1318" s="8" t="n">
        <x:v>0</x:v>
      </x:c>
      <x:c r="R1318" s="8" t="n">
        <x:v>0</x:v>
      </x:c>
      <x:c r="S1318" s="8" t="n">
        <x:f>L1318-I1318^2/H1318</x:f>
        <x:v>102.11764705882354</x:v>
      </x:c>
      <x:c r="T1318" s="8" t="n">
        <x:f>M1318-J1318^2/H1318</x:f>
        <x:v>0</x:v>
      </x:c>
      <x:c r="U1318" s="8" t="n">
        <x:f>N1318-I1318*J1318/H1318</x:f>
        <x:v>0</x:v>
      </x:c>
      <x:c r="V1318" s="8" t="n">
        <x:f>O1318-I1318*K1318/H1318</x:f>
        <x:v>1</x:v>
      </x:c>
      <x:c r="W1318" s="8" t="n">
        <x:f>P1318-J1318*K1318/H1318</x:f>
        <x:v>0</x:v>
      </x:c>
      <x:c r="X1318" s="8" t="n">
        <x:f>V1318/S1318</x:f>
        <x:v>0.009792626728110598</x:v>
      </x:c>
      <x:c r="Y1318" s="8" t="n">
        <x:f>0</x:f>
        <x:v>0</x:v>
      </x:c>
      <x:c r="Z1318" s="8" t="n">
        <x:f>K1318/H1318-X1318*I1318/H1318-Y1318*J1318/H1318</x:f>
        <x:v>-0.9861751152073732</x:v>
      </x:c>
      <x:c r="AA1318" s="8" t="n">
        <x:f>Z1318+X1318*Q1318+Y1318*R1318</x:f>
        <x:v>-0.9861751152073732</x:v>
      </x:c>
    </x:row>
    <x:row r="1319" ht="26" customHeight="1">
      <x:c r="A1319" s="2"/>
      <x:c r="B1319" s="2" t="n">
        <x:v>1314</x:v>
      </x:c>
      <x:c r="C1319" s="2" t="str">
        <x:v>Baby, Feminine &amp; Family Care / organic_volume_growth</x:v>
      </x:c>
      <x:c r="D1319" s="2" t="str">
        <x:v>Broad market</x:v>
      </x:c>
      <x:c r="E1319" s="7" t="n">
        <x:v>46112</x:v>
      </x:c>
      <x:c r="F1319" s="2" t="str">
        <x:v>Prior report</x:v>
      </x:c>
      <x:c r="G1319" s="7" t="n">
        <x:v>46045</x:v>
      </x:c>
      <x:c r="H1319" s="2" t="n">
        <x:v>19</x:v>
      </x:c>
      <x:c r="I1319" s="8" t="n">
        <x:v>57.16093893029881</x:v>
      </x:c>
      <x:c r="J1319" s="8" t="n">
        <x:v>0</x:v>
      </x:c>
      <x:c r="K1319" s="8" t="n">
        <x:v>-24</x:v>
      </x:c>
      <x:c r="L1319" s="8" t="n">
        <x:v>418.11784595562375</x:v>
      </x:c>
      <x:c r="M1319" s="8" t="n">
        <x:v>0</x:v>
      </x:c>
      <x:c r="N1319" s="8" t="n">
        <x:v>0</x:v>
      </x:c>
      <x:c r="O1319" s="8" t="n">
        <x:v>-45.2369131068035</x:v>
      </x:c>
      <x:c r="P1319" s="8" t="n">
        <x:v>0</x:v>
      </x:c>
      <x:c r="Q1319" s="8" t="n">
        <x:v>2.7279121275772367</x:v>
      </x:c>
      <x:c r="R1319" s="8" t="n">
        <x:v>0</x:v>
      </x:c>
      <x:c r="S1319" s="8" t="n">
        <x:f>L1319-I1319^2/H1319</x:f>
        <x:v>246.1508491454474</x:v>
      </x:c>
      <x:c r="T1319" s="8" t="n">
        <x:f>M1319-J1319^2/H1319</x:f>
        <x:v>0</x:v>
      </x:c>
      <x:c r="U1319" s="8" t="n">
        <x:f>N1319-I1319*J1319/H1319</x:f>
        <x:v>0</x:v>
      </x:c>
      <x:c r="V1319" s="8" t="n">
        <x:f>O1319-I1319*K1319/H1319</x:f>
        <x:v>26.966378173573943</x:v>
      </x:c>
      <x:c r="W1319" s="8" t="n">
        <x:f>P1319-J1319*K1319/H1319</x:f>
        <x:v>0</x:v>
      </x:c>
      <x:c r="X1319" s="8" t="n">
        <x:f>V1319/S1319</x:f>
        <x:v>0.10955224516670203</x:v>
      </x:c>
      <x:c r="Y1319" s="8" t="n">
        <x:f>0</x:f>
        <x:v>0</x:v>
      </x:c>
      <x:c r="Z1319" s="8" t="n">
        <x:f>K1319/H1319-X1319*I1319/H1319-Y1319*J1319/H1319</x:f>
        <x:v>-1.5927425892447882</x:v>
      </x:c>
      <x:c r="AA1319" s="8" t="n">
        <x:f>Z1319+X1319*Q1319+Y1319*R1319</x:f>
        <x:v>-1.293893691051227</x:v>
      </x:c>
    </x:row>
    <x:row r="1320" ht="26" customHeight="1">
      <x:c r="A1320" s="2"/>
      <x:c r="B1320" s="2" t="n">
        <x:v>1315</x:v>
      </x:c>
      <x:c r="C1320" s="2" t="str">
        <x:v>Baby, Feminine &amp; Family Care / organic_volume_growth</x:v>
      </x:c>
      <x:c r="D1320" s="2" t="str">
        <x:v>Broad rolling 8</x:v>
      </x:c>
      <x:c r="E1320" s="7" t="n">
        <x:v>46112</x:v>
      </x:c>
      <x:c r="F1320" s="2" t="str">
        <x:v>Prior report</x:v>
      </x:c>
      <x:c r="G1320" s="7" t="n">
        <x:v>46045</x:v>
      </x:c>
      <x:c r="H1320" s="2" t="n">
        <x:v>8</x:v>
      </x:c>
      <x:c r="I1320" s="8" t="n">
        <x:v>21.296017808086944</x:v>
      </x:c>
      <x:c r="J1320" s="8" t="n">
        <x:v>0</x:v>
      </x:c>
      <x:c r="K1320" s="8" t="n">
        <x:v>-5</x:v>
      </x:c>
      <x:c r="L1320" s="8" t="n">
        <x:v>60.32618233891433</x:v>
      </x:c>
      <x:c r="M1320" s="8" t="n">
        <x:v>0</x:v>
      </x:c>
      <x:c r="N1320" s="8" t="n">
        <x:v>0</x:v>
      </x:c>
      <x:c r="O1320" s="8" t="n">
        <x:v>-9.850424289591153</x:v>
      </x:c>
      <x:c r="P1320" s="8" t="n">
        <x:v>0</x:v>
      </x:c>
      <x:c r="Q1320" s="8" t="n">
        <x:v>2.7279121275772367</x:v>
      </x:c>
      <x:c r="R1320" s="8" t="n">
        <x:v>0</x:v>
      </x:c>
      <x:c r="S1320" s="8" t="n">
        <x:f>L1320-I1320^2/H1320</x:f>
        <x:v>3.6361355286197963</x:v>
      </x:c>
      <x:c r="T1320" s="8" t="n">
        <x:f>M1320-J1320^2/H1320</x:f>
        <x:v>0</x:v>
      </x:c>
      <x:c r="U1320" s="8" t="n">
        <x:f>N1320-I1320*J1320/H1320</x:f>
        <x:v>0</x:v>
      </x:c>
      <x:c r="V1320" s="8" t="n">
        <x:f>O1320-I1320*K1320/H1320</x:f>
        <x:v>3.459586840463187</x:v>
      </x:c>
      <x:c r="W1320" s="8" t="n">
        <x:f>P1320-J1320*K1320/H1320</x:f>
        <x:v>0</x:v>
      </x:c>
      <x:c r="X1320" s="8" t="n">
        <x:f>V1320/S1320</x:f>
        <x:v>0.9514460649865756</x:v>
      </x:c>
      <x:c r="Y1320" s="8" t="n">
        <x:f>0</x:f>
        <x:v>0</x:v>
      </x:c>
      <x:c r="Z1320" s="8" t="n">
        <x:f>K1320/H1320-X1320*I1320/H1320-Y1320*J1320/H1320</x:f>
        <x:v>-3.157751542923545</x:v>
      </x:c>
      <x:c r="AA1320" s="8" t="n">
        <x:f>Z1320+X1320*Q1320+Y1320*R1320</x:f>
        <x:v>-0.5622902835110257</x:v>
      </x:c>
    </x:row>
    <x:row r="1321" ht="26" customHeight="1">
      <x:c r="A1321" s="2"/>
      <x:c r="B1321" s="2" t="n">
        <x:v>1316</x:v>
      </x:c>
      <x:c r="C1321" s="2" t="str">
        <x:v>Baby, Feminine &amp; Family Care / organic_volume_growth</x:v>
      </x:c>
      <x:c r="D1321" s="2" t="str">
        <x:v>Own history</x:v>
      </x:c>
      <x:c r="E1321" s="7" t="n">
        <x:v>46112</x:v>
      </x:c>
      <x:c r="F1321" s="2" t="str">
        <x:v>Prior report</x:v>
      </x:c>
      <x:c r="G1321" s="7" t="n">
        <x:v>46045</x:v>
      </x:c>
      <x:c r="H1321" s="2" t="n">
        <x:v>19</x:v>
      </x:c>
      <x:c r="I1321" s="8" t="n">
        <x:v>-24</x:v>
      </x:c>
      <x:c r="J1321" s="8" t="n">
        <x:v>0</x:v>
      </x:c>
      <x:c r="K1321" s="8" t="n">
        <x:v>-25</x:v>
      </x:c>
      <x:c r="L1321" s="8" t="n">
        <x:v>136</x:v>
      </x:c>
      <x:c r="M1321" s="8" t="n">
        <x:v>0</x:v>
      </x:c>
      <x:c r="N1321" s="8" t="n">
        <x:v>0</x:v>
      </x:c>
      <x:c r="O1321" s="8" t="n">
        <x:v>58</x:v>
      </x:c>
      <x:c r="P1321" s="8" t="n">
        <x:v>0</x:v>
      </x:c>
      <x:c r="Q1321" s="8" t="n">
        <x:v>-5</x:v>
      </x:c>
      <x:c r="R1321" s="8" t="n">
        <x:v>0</x:v>
      </x:c>
      <x:c r="S1321" s="8" t="n">
        <x:f>L1321-I1321^2/H1321</x:f>
        <x:v>105.6842105263158</x:v>
      </x:c>
      <x:c r="T1321" s="8" t="n">
        <x:f>M1321-J1321^2/H1321</x:f>
        <x:v>0</x:v>
      </x:c>
      <x:c r="U1321" s="8" t="n">
        <x:f>N1321-I1321*J1321/H1321</x:f>
        <x:v>0</x:v>
      </x:c>
      <x:c r="V1321" s="8" t="n">
        <x:f>O1321-I1321*K1321/H1321</x:f>
        <x:v>26.42105263157895</x:v>
      </x:c>
      <x:c r="W1321" s="8" t="n">
        <x:f>P1321-J1321*K1321/H1321</x:f>
        <x:v>0</x:v>
      </x:c>
      <x:c r="X1321" s="8" t="n">
        <x:f>V1321/S1321</x:f>
        <x:v>0.25</x:v>
      </x:c>
      <x:c r="Y1321" s="8" t="n">
        <x:f>0</x:f>
        <x:v>0</x:v>
      </x:c>
      <x:c r="Z1321" s="8" t="n">
        <x:f>K1321/H1321-X1321*I1321/H1321-Y1321*J1321/H1321</x:f>
        <x:v>-1</x:v>
      </x:c>
      <x:c r="AA1321" s="8" t="n">
        <x:f>Z1321+X1321*Q1321+Y1321*R1321</x:f>
        <x:v>-2.25</x:v>
      </x:c>
    </x:row>
    <x:row r="1322" ht="26" customHeight="1">
      <x:c r="A1322" s="2"/>
      <x:c r="B1322" s="2" t="n">
        <x:v>1317</x:v>
      </x:c>
      <x:c r="C1322" s="2" t="str">
        <x:v>Baby, Feminine &amp; Family Care / organic_volume_growth</x:v>
      </x:c>
      <x:c r="D1322" s="2" t="str">
        <x:v>Broad market</x:v>
      </x:c>
      <x:c r="E1322" s="7" t="n">
        <x:v>46112</x:v>
      </x:c>
      <x:c r="F1322" s="2" t="str">
        <x:v>Pre-earnings</x:v>
      </x:c>
      <x:c r="G1322" s="7" t="n">
        <x:v>46135</x:v>
      </x:c>
      <x:c r="H1322" s="2" t="n">
        <x:v>20</x:v>
      </x:c>
      <x:c r="I1322" s="8" t="n">
        <x:v>59.308749815358276</x:v>
      </x:c>
      <x:c r="J1322" s="8" t="n">
        <x:v>0</x:v>
      </x:c>
      <x:c r="K1322" s="8" t="n">
        <x:v>-29</x:v>
      </x:c>
      <x:c r="L1322" s="8" t="n">
        <x:v>422.73093755360367</x:v>
      </x:c>
      <x:c r="M1322" s="8" t="n">
        <x:v>0</x:v>
      </x:c>
      <x:c r="N1322" s="8" t="n">
        <x:v>0</x:v>
      </x:c>
      <x:c r="O1322" s="8" t="n">
        <x:v>-55.97596753210082</x:v>
      </x:c>
      <x:c r="P1322" s="8" t="n">
        <x:v>0</x:v>
      </x:c>
      <x:c r="Q1322" s="8" t="n">
        <x:v>1.2714440995043708</x:v>
      </x:c>
      <x:c r="R1322" s="8" t="n">
        <x:v>0</x:v>
      </x:c>
      <x:c r="S1322" s="8" t="n">
        <x:f>L1322-I1322^2/H1322</x:f>
        <x:v>246.85454732056564</x:v>
      </x:c>
      <x:c r="T1322" s="8" t="n">
        <x:f>M1322-J1322^2/H1322</x:f>
        <x:v>0</x:v>
      </x:c>
      <x:c r="U1322" s="8" t="n">
        <x:f>N1322-I1322*J1322/H1322</x:f>
        <x:v>0</x:v>
      </x:c>
      <x:c r="V1322" s="8" t="n">
        <x:f>O1322-I1322*K1322/H1322</x:f>
        <x:v>30.02171970016868</x:v>
      </x:c>
      <x:c r="W1322" s="8" t="n">
        <x:f>P1322-J1322*K1322/H1322</x:f>
        <x:v>0</x:v>
      </x:c>
      <x:c r="X1322" s="8" t="n">
        <x:f>V1322/S1322</x:f>
        <x:v>0.12161704139556496</x:v>
      </x:c>
      <x:c r="Y1322" s="8" t="n">
        <x:f>0</x:f>
        <x:v>0</x:v>
      </x:c>
      <x:c r="Z1322" s="8" t="n">
        <x:f>K1322/H1322-X1322*I1322/H1322-Y1322*J1322/H1322</x:f>
        <x:v>-1.8106477340706815</x:v>
      </x:c>
      <x:c r="AA1322" s="8" t="n">
        <x:f>Z1322+X1322*Q1322+Y1322*R1322</x:f>
        <x:v>-1.6560184643891116</x:v>
      </x:c>
    </x:row>
    <x:row r="1323" ht="26" customHeight="1">
      <x:c r="A1323" s="2"/>
      <x:c r="B1323" s="2" t="n">
        <x:v>1318</x:v>
      </x:c>
      <x:c r="C1323" s="2" t="str">
        <x:v>Baby, Feminine &amp; Family Care / organic_volume_growth</x:v>
      </x:c>
      <x:c r="D1323" s="2" t="str">
        <x:v>Broad lag 1</x:v>
      </x:c>
      <x:c r="E1323" s="7" t="n">
        <x:v>46112</x:v>
      </x:c>
      <x:c r="F1323" s="2" t="str">
        <x:v>Pre-earnings</x:v>
      </x:c>
      <x:c r="G1323" s="7" t="n">
        <x:v>46135</x:v>
      </x:c>
      <x:c r="H1323" s="2" t="n">
        <x:v>19</x:v>
      </x:c>
      <x:c r="I1323" s="8" t="n">
        <x:v>57.16093893029881</x:v>
      </x:c>
      <x:c r="J1323" s="8" t="n">
        <x:v>0</x:v>
      </x:c>
      <x:c r="K1323" s="8" t="n">
        <x:v>-25</x:v>
      </x:c>
      <x:c r="L1323" s="8" t="n">
        <x:v>418.11784595562375</x:v>
      </x:c>
      <x:c r="M1323" s="8" t="n">
        <x:v>0</x:v>
      </x:c>
      <x:c r="N1323" s="8" t="n">
        <x:v>0</x:v>
      </x:c>
      <x:c r="O1323" s="8" t="n">
        <x:v>6.772975692967419</x:v>
      </x:c>
      <x:c r="P1323" s="8" t="n">
        <x:v>0</x:v>
      </x:c>
      <x:c r="Q1323" s="8" t="n">
        <x:v>2.1478108850594646</x:v>
      </x:c>
      <x:c r="R1323" s="8" t="n">
        <x:v>0</x:v>
      </x:c>
      <x:c r="S1323" s="8" t="n">
        <x:f>L1323-I1323^2/H1323</x:f>
        <x:v>246.1508491454474</x:v>
      </x:c>
      <x:c r="T1323" s="8" t="n">
        <x:f>M1323-J1323^2/H1323</x:f>
        <x:v>0</x:v>
      </x:c>
      <x:c r="U1323" s="8" t="n">
        <x:f>N1323-I1323*J1323/H1323</x:f>
        <x:v>0</x:v>
      </x:c>
      <x:c r="V1323" s="8" t="n">
        <x:f>O1323-I1323*K1323/H1323</x:f>
        <x:v>81.9847374433606</x:v>
      </x:c>
      <x:c r="W1323" s="8" t="n">
        <x:f>P1323-J1323*K1323/H1323</x:f>
        <x:v>0</x:v>
      </x:c>
      <x:c r="X1323" s="8" t="n">
        <x:f>V1323/S1323</x:f>
        <x:v>0.3330670510704469</x:v>
      </x:c>
      <x:c r="Y1323" s="8" t="n">
        <x:f>0</x:f>
        <x:v>0</x:v>
      </x:c>
      <x:c r="Z1323" s="8" t="n">
        <x:f>K1323/H1323-X1323*I1323/H1323-Y1323*J1323/H1323</x:f>
        <x:v>-2.31781186136487</x:v>
      </x:c>
      <x:c r="AA1323" s="8" t="n">
        <x:f>Z1323+X1323*Q1323+Y1323*R1323</x:f>
        <x:v>-1.6024468236211076</x:v>
      </x:c>
    </x:row>
    <x:row r="1324" ht="26" customHeight="1">
      <x:c r="A1324" s="2"/>
      <x:c r="B1324" s="2" t="n">
        <x:v>1319</x:v>
      </x:c>
      <x:c r="C1324" s="2" t="str">
        <x:v>Baby, Feminine &amp; Family Care / organic_volume_growth</x:v>
      </x:c>
      <x:c r="D1324" s="2" t="str">
        <x:v>Broad rolling 8</x:v>
      </x:c>
      <x:c r="E1324" s="7" t="n">
        <x:v>46112</x:v>
      </x:c>
      <x:c r="F1324" s="2" t="str">
        <x:v>Pre-earnings</x:v>
      </x:c>
      <x:c r="G1324" s="7" t="n">
        <x:v>46135</x:v>
      </x:c>
      <x:c r="H1324" s="2" t="n">
        <x:v>8</x:v>
      </x:c>
      <x:c r="I1324" s="8" t="n">
        <x:v>21.218309405312574</x:v>
      </x:c>
      <x:c r="J1324" s="8" t="n">
        <x:v>0</x:v>
      </x:c>
      <x:c r="K1324" s="8" t="n">
        <x:v>-8</x:v>
      </x:c>
      <x:c r="L1324" s="8" t="n">
        <x:v>59.98633783637384</x:v>
      </x:c>
      <x:c r="M1324" s="8" t="n">
        <x:v>0</x:v>
      </x:c>
      <x:c r="N1324" s="8" t="n">
        <x:v>0</x:v>
      </x:c>
      <x:c r="O1324" s="8" t="n">
        <x:v>-16.138440139220812</x:v>
      </x:c>
      <x:c r="P1324" s="8" t="n">
        <x:v>0</x:v>
      </x:c>
      <x:c r="Q1324" s="8" t="n">
        <x:v>1.2714440995043708</x:v>
      </x:c>
      <x:c r="R1324" s="8" t="n">
        <x:v>0</x:v>
      </x:c>
      <x:c r="S1324" s="8" t="n">
        <x:f>L1324-I1324^2/H1324</x:f>
        <x:v>3.7092560839268387</x:v>
      </x:c>
      <x:c r="T1324" s="8" t="n">
        <x:f>M1324-J1324^2/H1324</x:f>
        <x:v>0</x:v>
      </x:c>
      <x:c r="U1324" s="8" t="n">
        <x:f>N1324-I1324*J1324/H1324</x:f>
        <x:v>0</x:v>
      </x:c>
      <x:c r="V1324" s="8" t="n">
        <x:f>O1324-I1324*K1324/H1324</x:f>
        <x:v>5.079869266091762</x:v>
      </x:c>
      <x:c r="W1324" s="8" t="n">
        <x:f>P1324-J1324*K1324/H1324</x:f>
        <x:v>0</x:v>
      </x:c>
      <x:c r="X1324" s="8" t="n">
        <x:f>V1324/S1324</x:f>
        <x:v>1.3695116085686678</x:v>
      </x:c>
      <x:c r="Y1324" s="8" t="n">
        <x:f>0</x:f>
        <x:v>0</x:v>
      </x:c>
      <x:c r="Z1324" s="8" t="n">
        <x:f>K1324/H1324-X1324*I1324/H1324-Y1324*J1324/H1324</x:f>
        <x:v>-4.632340130597164</x:v>
      </x:c>
      <x:c r="AA1324" s="8" t="n">
        <x:f>Z1324+X1324*Q1324+Y1324*R1324</x:f>
        <x:v>-2.891082676679792</x:v>
      </x:c>
    </x:row>
    <x:row r="1325" ht="26" customHeight="1">
      <x:c r="A1325" s="2"/>
      <x:c r="B1325" s="2" t="n">
        <x:v>1320</x:v>
      </x:c>
      <x:c r="C1325" s="2" t="str">
        <x:v>Baby, Feminine &amp; Family Care / organic_volume_growth</x:v>
      </x:c>
      <x:c r="D1325" s="2" t="str">
        <x:v>Own history</x:v>
      </x:c>
      <x:c r="E1325" s="7" t="n">
        <x:v>46112</x:v>
      </x:c>
      <x:c r="F1325" s="2" t="str">
        <x:v>Pre-earnings</x:v>
      </x:c>
      <x:c r="G1325" s="7" t="n">
        <x:v>46135</x:v>
      </x:c>
      <x:c r="H1325" s="2" t="n">
        <x:v>19</x:v>
      </x:c>
      <x:c r="I1325" s="8" t="n">
        <x:v>-24</x:v>
      </x:c>
      <x:c r="J1325" s="8" t="n">
        <x:v>0</x:v>
      </x:c>
      <x:c r="K1325" s="8" t="n">
        <x:v>-25</x:v>
      </x:c>
      <x:c r="L1325" s="8" t="n">
        <x:v>136</x:v>
      </x:c>
      <x:c r="M1325" s="8" t="n">
        <x:v>0</x:v>
      </x:c>
      <x:c r="N1325" s="8" t="n">
        <x:v>0</x:v>
      </x:c>
      <x:c r="O1325" s="8" t="n">
        <x:v>58</x:v>
      </x:c>
      <x:c r="P1325" s="8" t="n">
        <x:v>0</x:v>
      </x:c>
      <x:c r="Q1325" s="8" t="n">
        <x:v>-5</x:v>
      </x:c>
      <x:c r="R1325" s="8" t="n">
        <x:v>0</x:v>
      </x:c>
      <x:c r="S1325" s="8" t="n">
        <x:f>L1325-I1325^2/H1325</x:f>
        <x:v>105.6842105263158</x:v>
      </x:c>
      <x:c r="T1325" s="8" t="n">
        <x:f>M1325-J1325^2/H1325</x:f>
        <x:v>0</x:v>
      </x:c>
      <x:c r="U1325" s="8" t="n">
        <x:f>N1325-I1325*J1325/H1325</x:f>
        <x:v>0</x:v>
      </x:c>
      <x:c r="V1325" s="8" t="n">
        <x:f>O1325-I1325*K1325/H1325</x:f>
        <x:v>26.42105263157895</x:v>
      </x:c>
      <x:c r="W1325" s="8" t="n">
        <x:f>P1325-J1325*K1325/H1325</x:f>
        <x:v>0</x:v>
      </x:c>
      <x:c r="X1325" s="8" t="n">
        <x:f>V1325/S1325</x:f>
        <x:v>0.25</x:v>
      </x:c>
      <x:c r="Y1325" s="8" t="n">
        <x:f>0</x:f>
        <x:v>0</x:v>
      </x:c>
      <x:c r="Z1325" s="8" t="n">
        <x:f>K1325/H1325-X1325*I1325/H1325-Y1325*J1325/H1325</x:f>
        <x:v>-1</x:v>
      </x:c>
      <x:c r="AA1325" s="8" t="n">
        <x:f>Z1325+X1325*Q1325+Y1325*R1325</x:f>
        <x:v>-2.25</x:v>
      </x:c>
    </x:row>
    <x:row r="1326" ht="26" customHeight="1">
      <x:c r="A1326" s="2"/>
      <x:c r="B1326" s="2" t="n">
        <x:v>1321</x:v>
      </x:c>
      <x:c r="C1326" s="2" t="str">
        <x:v>Beauty / organic_sales_growth</x:v>
      </x:c>
      <x:c r="D1326" s="2" t="str">
        <x:v>Broad market</x:v>
      </x:c>
      <x:c r="E1326" s="7" t="n">
        <x:v>45107</x:v>
      </x:c>
      <x:c r="F1326" s="2" t="str">
        <x:v>Origin</x:v>
      </x:c>
      <x:c r="G1326" s="7" t="n">
        <x:v>45017</x:v>
      </x:c>
      <x:c r="H1326" s="2" t="n">
        <x:v>8</x:v>
      </x:c>
      <x:c r="I1326" s="8" t="n">
        <x:v>56.01105418190566</x:v>
      </x:c>
      <x:c r="J1326" s="8" t="n">
        <x:v>0</x:v>
      </x:c>
      <x:c r="K1326" s="8" t="n">
        <x:v>27</x:v>
      </x:c>
      <x:c r="L1326" s="8" t="n">
        <x:v>599.8349574992135</x:v>
      </x:c>
      <x:c r="M1326" s="8" t="n">
        <x:v>0</x:v>
      </x:c>
      <x:c r="N1326" s="8" t="n">
        <x:v>0</x:v>
      </x:c>
      <x:c r="O1326" s="8" t="n">
        <x:v>216.25308592354088</x:v>
      </x:c>
      <x:c r="P1326" s="8" t="n">
        <x:v>0</x:v>
      </x:c>
      <x:c r="Q1326" s="8" t="n">
        <x:v>4.962464528426702</x:v>
      </x:c>
      <x:c r="R1326" s="8" t="n">
        <x:v>0</x:v>
      </x:c>
      <x:c r="S1326" s="8" t="n">
        <x:f>L1326-I1326^2/H1326</x:f>
        <x:v>207.680183678167</x:v>
      </x:c>
      <x:c r="T1326" s="8" t="n">
        <x:f>M1326-J1326^2/H1326</x:f>
        <x:v>0</x:v>
      </x:c>
      <x:c r="U1326" s="8" t="n">
        <x:f>N1326-I1326*J1326/H1326</x:f>
        <x:v>0</x:v>
      </x:c>
      <x:c r="V1326" s="8" t="n">
        <x:f>O1326-I1326*K1326/H1326</x:f>
        <x:v>27.215778059609278</x:v>
      </x:c>
      <x:c r="W1326" s="8" t="n">
        <x:f>P1326-J1326*K1326/H1326</x:f>
        <x:v>0</x:v>
      </x:c>
      <x:c r="X1326" s="8" t="n">
        <x:f>V1326/S1326</x:f>
        <x:v>0.13104658122695226</x:v>
      </x:c>
      <x:c r="Y1326" s="8" t="n">
        <x:f>0</x:f>
        <x:v>0</x:v>
      </x:c>
      <x:c r="Z1326" s="8" t="n">
        <x:f>K1326/H1326-X1326*I1326/H1326-Y1326*J1326/H1326</x:f>
        <x:v>2.4574928548179593</x:v>
      </x:c>
      <x:c r="AA1326" s="8" t="n">
        <x:f>Z1326+X1326*Q1326+Y1326*R1326</x:f>
        <x:v>3.1078068657282985</x:v>
      </x:c>
    </x:row>
    <x:row r="1327" ht="26" customHeight="1">
      <x:c r="A1327" s="2"/>
      <x:c r="B1327" s="2" t="n">
        <x:v>1322</x:v>
      </x:c>
      <x:c r="C1327" s="2" t="str">
        <x:v>Beauty / organic_sales_growth</x:v>
      </x:c>
      <x:c r="D1327" s="2" t="str">
        <x:v>Broad rolling 8</x:v>
      </x:c>
      <x:c r="E1327" s="7" t="n">
        <x:v>45107</x:v>
      </x:c>
      <x:c r="F1327" s="2" t="str">
        <x:v>Origin</x:v>
      </x:c>
      <x:c r="G1327" s="7" t="n">
        <x:v>45017</x:v>
      </x:c>
      <x:c r="H1327" s="2" t="n">
        <x:v>8</x:v>
      </x:c>
      <x:c r="I1327" s="8" t="n">
        <x:v>56.01105418190566</x:v>
      </x:c>
      <x:c r="J1327" s="8" t="n">
        <x:v>0</x:v>
      </x:c>
      <x:c r="K1327" s="8" t="n">
        <x:v>27</x:v>
      </x:c>
      <x:c r="L1327" s="8" t="n">
        <x:v>599.8349574992135</x:v>
      </x:c>
      <x:c r="M1327" s="8" t="n">
        <x:v>0</x:v>
      </x:c>
      <x:c r="N1327" s="8" t="n">
        <x:v>0</x:v>
      </x:c>
      <x:c r="O1327" s="8" t="n">
        <x:v>216.25308592354088</x:v>
      </x:c>
      <x:c r="P1327" s="8" t="n">
        <x:v>0</x:v>
      </x:c>
      <x:c r="Q1327" s="8" t="n">
        <x:v>4.962464528426702</x:v>
      </x:c>
      <x:c r="R1327" s="8" t="n">
        <x:v>0</x:v>
      </x:c>
      <x:c r="S1327" s="8" t="n">
        <x:f>L1327-I1327^2/H1327</x:f>
        <x:v>207.680183678167</x:v>
      </x:c>
      <x:c r="T1327" s="8" t="n">
        <x:f>M1327-J1327^2/H1327</x:f>
        <x:v>0</x:v>
      </x:c>
      <x:c r="U1327" s="8" t="n">
        <x:f>N1327-I1327*J1327/H1327</x:f>
        <x:v>0</x:v>
      </x:c>
      <x:c r="V1327" s="8" t="n">
        <x:f>O1327-I1327*K1327/H1327</x:f>
        <x:v>27.215778059609278</x:v>
      </x:c>
      <x:c r="W1327" s="8" t="n">
        <x:f>P1327-J1327*K1327/H1327</x:f>
        <x:v>0</x:v>
      </x:c>
      <x:c r="X1327" s="8" t="n">
        <x:f>V1327/S1327</x:f>
        <x:v>0.13104658122695226</x:v>
      </x:c>
      <x:c r="Y1327" s="8" t="n">
        <x:f>0</x:f>
        <x:v>0</x:v>
      </x:c>
      <x:c r="Z1327" s="8" t="n">
        <x:f>K1327/H1327-X1327*I1327/H1327-Y1327*J1327/H1327</x:f>
        <x:v>2.4574928548179593</x:v>
      </x:c>
      <x:c r="AA1327" s="8" t="n">
        <x:f>Z1327+X1327*Q1327+Y1327*R1327</x:f>
        <x:v>3.1078068657282985</x:v>
      </x:c>
    </x:row>
    <x:row r="1328" ht="26" customHeight="1">
      <x:c r="A1328" s="2"/>
      <x:c r="B1328" s="2" t="n">
        <x:v>1323</x:v>
      </x:c>
      <x:c r="C1328" s="2" t="str">
        <x:v>Beauty / organic_sales_growth</x:v>
      </x:c>
      <x:c r="D1328" s="2" t="str">
        <x:v>Broad market</x:v>
      </x:c>
      <x:c r="E1328" s="7" t="n">
        <x:v>45107</x:v>
      </x:c>
      <x:c r="F1328" s="2" t="str">
        <x:v>Prior report</x:v>
      </x:c>
      <x:c r="G1328" s="7" t="n">
        <x:v>45037</x:v>
      </x:c>
      <x:c r="H1328" s="2" t="n">
        <x:v>9</x:v>
      </x:c>
      <x:c r="I1328" s="8" t="n">
        <x:v>62.80781230928043</x:v>
      </x:c>
      <x:c r="J1328" s="8" t="n">
        <x:v>0</x:v>
      </x:c>
      <x:c r="K1328" s="8" t="n">
        <x:v>34</x:v>
      </x:c>
      <x:c r="L1328" s="8" t="n">
        <x:v>646.0701824957238</x:v>
      </x:c>
      <x:c r="M1328" s="8" t="n">
        <x:v>0</x:v>
      </x:c>
      <x:c r="N1328" s="8" t="n">
        <x:v>0</x:v>
      </x:c>
      <x:c r="O1328" s="8" t="n">
        <x:v>263.95634286945307</x:v>
      </x:c>
      <x:c r="P1328" s="8" t="n">
        <x:v>0</x:v>
      </x:c>
      <x:c r="Q1328" s="8" t="n">
        <x:v>6.836095891141936</x:v>
      </x:c>
      <x:c r="R1328" s="8" t="n">
        <x:v>0</x:v>
      </x:c>
      <x:c r="S1328" s="8" t="n">
        <x:f>L1328-I1328^2/H1328</x:f>
        <x:v>207.75670615374617</x:v>
      </x:c>
      <x:c r="T1328" s="8" t="n">
        <x:f>M1328-J1328^2/H1328</x:f>
        <x:v>0</x:v>
      </x:c>
      <x:c r="U1328" s="8" t="n">
        <x:f>N1328-I1328*J1328/H1328</x:f>
        <x:v>0</x:v>
      </x:c>
      <x:c r="V1328" s="8" t="n">
        <x:f>O1328-I1328*K1328/H1328</x:f>
        <x:v>26.682385256615902</x:v>
      </x:c>
      <x:c r="W1328" s="8" t="n">
        <x:f>P1328-J1328*K1328/H1328</x:f>
        <x:v>0</x:v>
      </x:c>
      <x:c r="X1328" s="8" t="n">
        <x:f>V1328/S1328</x:f>
        <x:v>0.12843092168043008</x:v>
      </x:c>
      <x:c r="Y1328" s="8" t="n">
        <x:f>0</x:f>
        <x:v>0</x:v>
      </x:c>
      <x:c r="Z1328" s="8" t="n">
        <x:f>K1328/H1328-X1328*I1328/H1328-Y1328*J1328/H1328</x:f>
        <x:v>2.8815038640430726</x:v>
      </x:c>
      <x:c r="AA1328" s="8" t="n">
        <x:f>Z1328+X1328*Q1328+Y1328*R1328</x:f>
        <x:v>3.759469960038232</x:v>
      </x:c>
    </x:row>
    <x:row r="1329" ht="26" customHeight="1">
      <x:c r="A1329" s="2"/>
      <x:c r="B1329" s="2" t="n">
        <x:v>1324</x:v>
      </x:c>
      <x:c r="C1329" s="2" t="str">
        <x:v>Beauty / organic_sales_growth</x:v>
      </x:c>
      <x:c r="D1329" s="2" t="str">
        <x:v>Broad lag 1</x:v>
      </x:c>
      <x:c r="E1329" s="7" t="n">
        <x:v>45107</x:v>
      </x:c>
      <x:c r="F1329" s="2" t="str">
        <x:v>Prior report</x:v>
      </x:c>
      <x:c r="G1329" s="7" t="n">
        <x:v>45037</x:v>
      </x:c>
      <x:c r="H1329" s="2" t="n">
        <x:v>8</x:v>
      </x:c>
      <x:c r="I1329" s="8" t="n">
        <x:v>55.97956666833346</x:v>
      </x:c>
      <x:c r="J1329" s="8" t="n">
        <x:v>0</x:v>
      </x:c>
      <x:c r="K1329" s="8" t="n">
        <x:v>27</x:v>
      </x:c>
      <x:c r="L1329" s="8" t="n">
        <x:v>599.4452439626125</x:v>
      </x:c>
      <x:c r="M1329" s="8" t="n">
        <x:v>0</x:v>
      </x:c>
      <x:c r="N1329" s="8" t="n">
        <x:v>0</x:v>
      </x:c>
      <x:c r="O1329" s="8" t="n">
        <x:v>148.96556111942675</x:v>
      </x:c>
      <x:c r="P1329" s="8" t="n">
        <x:v>0</x:v>
      </x:c>
      <x:c r="Q1329" s="8" t="n">
        <x:v>6.828245640946973</x:v>
      </x:c>
      <x:c r="R1329" s="8" t="n">
        <x:v>0</x:v>
      </x:c>
      <x:c r="S1329" s="8" t="n">
        <x:f>L1329-I1329^2/H1329</x:f>
        <x:v>207.73125841581367</x:v>
      </x:c>
      <x:c r="T1329" s="8" t="n">
        <x:f>M1329-J1329^2/H1329</x:f>
        <x:v>0</x:v>
      </x:c>
      <x:c r="U1329" s="8" t="n">
        <x:f>N1329-I1329*J1329/H1329</x:f>
        <x:v>0</x:v>
      </x:c>
      <x:c r="V1329" s="8" t="n">
        <x:f>O1329-I1329*K1329/H1329</x:f>
        <x:v>-39.965476386198674</x:v>
      </x:c>
      <x:c r="W1329" s="8" t="n">
        <x:f>P1329-J1329*K1329/H1329</x:f>
        <x:v>0</x:v>
      </x:c>
      <x:c r="X1329" s="8" t="n">
        <x:f>V1329/S1329</x:f>
        <x:v>-0.19239028681085715</x:v>
      </x:c>
      <x:c r="Y1329" s="8" t="n">
        <x:f>0</x:f>
        <x:v>0</x:v>
      </x:c>
      <x:c r="Z1329" s="8" t="n">
        <x:f>K1329/H1329-X1329*I1329/H1329-Y1329*J1329/H1329</x:f>
        <x:v>4.721240610858522</x:v>
      </x:c>
      <x:c r="AA1329" s="8" t="n">
        <x:f>Z1329+X1329*Q1329+Y1329*R1329</x:f>
        <x:v>3.407552473581749</x:v>
      </x:c>
    </x:row>
    <x:row r="1330" ht="26" customHeight="1">
      <x:c r="A1330" s="2"/>
      <x:c r="B1330" s="2" t="n">
        <x:v>1325</x:v>
      </x:c>
      <x:c r="C1330" s="2" t="str">
        <x:v>Beauty / organic_sales_growth</x:v>
      </x:c>
      <x:c r="D1330" s="2" t="str">
        <x:v>Broad rolling 8</x:v>
      </x:c>
      <x:c r="E1330" s="7" t="n">
        <x:v>45107</x:v>
      </x:c>
      <x:c r="F1330" s="2" t="str">
        <x:v>Prior report</x:v>
      </x:c>
      <x:c r="G1330" s="7" t="n">
        <x:v>45037</x:v>
      </x:c>
      <x:c r="H1330" s="2" t="n">
        <x:v>8</x:v>
      </x:c>
      <x:c r="I1330" s="8" t="n">
        <x:v>59.331642163447576</x:v>
      </x:c>
      <x:c r="J1330" s="8" t="n">
        <x:v>0</x:v>
      </x:c>
      <x:c r="K1330" s="8" t="n">
        <x:v>27</x:v>
      </x:c>
      <x:c r="L1330" s="8" t="n">
        <x:v>633.9864236129441</x:v>
      </x:c>
      <x:c r="M1330" s="8" t="n">
        <x:v>0</x:v>
      </x:c>
      <x:c r="N1330" s="8" t="n">
        <x:v>0</x:v>
      </x:c>
      <x:c r="O1330" s="8" t="n">
        <x:v>239.62315184862308</x:v>
      </x:c>
      <x:c r="P1330" s="8" t="n">
        <x:v>0</x:v>
      </x:c>
      <x:c r="Q1330" s="8" t="n">
        <x:v>6.836095891141936</x:v>
      </x:c>
      <x:c r="R1330" s="8" t="n">
        <x:v>0</x:v>
      </x:c>
      <x:c r="S1330" s="8" t="n">
        <x:f>L1330-I1330^2/H1330</x:f>
        <x:v>193.95595338652038</x:v>
      </x:c>
      <x:c r="T1330" s="8" t="n">
        <x:f>M1330-J1330^2/H1330</x:f>
        <x:v>0</x:v>
      </x:c>
      <x:c r="U1330" s="8" t="n">
        <x:f>N1330-I1330*J1330/H1330</x:f>
        <x:v>0</x:v>
      </x:c>
      <x:c r="V1330" s="8" t="n">
        <x:f>O1330-I1330*K1330/H1330</x:f>
        <x:v>39.37885954698751</x:v>
      </x:c>
      <x:c r="W1330" s="8" t="n">
        <x:f>P1330-J1330*K1330/H1330</x:f>
        <x:v>0</x:v>
      </x:c>
      <x:c r="X1330" s="8" t="n">
        <x:f>V1330/S1330</x:f>
        <x:v>0.20302990890159642</x:v>
      </x:c>
      <x:c r="Y1330" s="8" t="n">
        <x:f>0</x:f>
        <x:v>0</x:v>
      </x:c>
      <x:c r="Z1330" s="8" t="n">
        <x:f>K1330/H1330-X1330*I1330/H1330-Y1330*J1330/H1330</x:f>
        <x:v>1.8692377620716403</x:v>
      </x:c>
      <x:c r="AA1330" s="8" t="n">
        <x:f>Z1330+X1330*Q1330+Y1330*R1330</x:f>
        <x:v>3.257169688092765</x:v>
      </x:c>
    </x:row>
    <x:row r="1331" ht="26" customHeight="1">
      <x:c r="A1331" s="2"/>
      <x:c r="B1331" s="2" t="n">
        <x:v>1326</x:v>
      </x:c>
      <x:c r="C1331" s="2" t="str">
        <x:v>Beauty / organic_sales_growth</x:v>
      </x:c>
      <x:c r="D1331" s="2" t="str">
        <x:v>Own history</x:v>
      </x:c>
      <x:c r="E1331" s="7" t="n">
        <x:v>45107</x:v>
      </x:c>
      <x:c r="F1331" s="2" t="str">
        <x:v>Prior report</x:v>
      </x:c>
      <x:c r="G1331" s="7" t="n">
        <x:v>45037</x:v>
      </x:c>
      <x:c r="H1331" s="2" t="n">
        <x:v>8</x:v>
      </x:c>
      <x:c r="I1331" s="8" t="n">
        <x:v>27</x:v>
      </x:c>
      <x:c r="J1331" s="8" t="n">
        <x:v>0</x:v>
      </x:c>
      <x:c r="K1331" s="8" t="n">
        <x:v>27</x:v>
      </x:c>
      <x:c r="L1331" s="8" t="n">
        <x:v>127</x:v>
      </x:c>
      <x:c r="M1331" s="8" t="n">
        <x:v>0</x:v>
      </x:c>
      <x:c r="N1331" s="8" t="n">
        <x:v>0</x:v>
      </x:c>
      <x:c r="O1331" s="8" t="n">
        <x:v>97</x:v>
      </x:c>
      <x:c r="P1331" s="8" t="n">
        <x:v>0</x:v>
      </x:c>
      <x:c r="Q1331" s="8" t="n">
        <x:v>7</x:v>
      </x:c>
      <x:c r="R1331" s="8" t="n">
        <x:v>0</x:v>
      </x:c>
      <x:c r="S1331" s="8" t="n">
        <x:f>L1331-I1331^2/H1331</x:f>
        <x:v>35.875</x:v>
      </x:c>
      <x:c r="T1331" s="8" t="n">
        <x:f>M1331-J1331^2/H1331</x:f>
        <x:v>0</x:v>
      </x:c>
      <x:c r="U1331" s="8" t="n">
        <x:f>N1331-I1331*J1331/H1331</x:f>
        <x:v>0</x:v>
      </x:c>
      <x:c r="V1331" s="8" t="n">
        <x:f>O1331-I1331*K1331/H1331</x:f>
        <x:v>5.875</x:v>
      </x:c>
      <x:c r="W1331" s="8" t="n">
        <x:f>P1331-J1331*K1331/H1331</x:f>
        <x:v>0</x:v>
      </x:c>
      <x:c r="X1331" s="8" t="n">
        <x:f>V1331/S1331</x:f>
        <x:v>0.16376306620209058</x:v>
      </x:c>
      <x:c r="Y1331" s="8" t="n">
        <x:f>0</x:f>
        <x:v>0</x:v>
      </x:c>
      <x:c r="Z1331" s="8" t="n">
        <x:f>K1331/H1331-X1331*I1331/H1331-Y1331*J1331/H1331</x:f>
        <x:v>2.822299651567944</x:v>
      </x:c>
      <x:c r="AA1331" s="8" t="n">
        <x:f>Z1331+X1331*Q1331+Y1331*R1331</x:f>
        <x:v>3.968641114982578</x:v>
      </x:c>
    </x:row>
    <x:row r="1332" ht="26" customHeight="1">
      <x:c r="A1332" s="2"/>
      <x:c r="B1332" s="2" t="n">
        <x:v>1327</x:v>
      </x:c>
      <x:c r="C1332" s="2" t="str">
        <x:v>Beauty / organic_sales_growth</x:v>
      </x:c>
      <x:c r="D1332" s="2" t="str">
        <x:v>Broad market</x:v>
      </x:c>
      <x:c r="E1332" s="7" t="n">
        <x:v>45107</x:v>
      </x:c>
      <x:c r="F1332" s="2" t="str">
        <x:v>Pre-earnings</x:v>
      </x:c>
      <x:c r="G1332" s="7" t="n">
        <x:v>45134</x:v>
      </x:c>
      <x:c r="H1332" s="2" t="n">
        <x:v>9</x:v>
      </x:c>
      <x:c r="I1332" s="8" t="n">
        <x:v>56.993173412013356</x:v>
      </x:c>
      <x:c r="J1332" s="8" t="n">
        <x:v>0</x:v>
      </x:c>
      <x:c r="K1332" s="8" t="n">
        <x:v>34</x:v>
      </x:c>
      <x:c r="L1332" s="8" t="n">
        <x:v>547.1024069824869</x:v>
      </x:c>
      <x:c r="M1332" s="8" t="n">
        <x:v>0</x:v>
      </x:c>
      <x:c r="N1332" s="8" t="n">
        <x:v>0</x:v>
      </x:c>
      <x:c r="O1332" s="8" t="n">
        <x:v>248.59266327384353</x:v>
      </x:c>
      <x:c r="P1332" s="8" t="n">
        <x:v>0</x:v>
      </x:c>
      <x:c r="Q1332" s="8" t="n">
        <x:v>7.4433917622303</x:v>
      </x:c>
      <x:c r="R1332" s="8" t="n">
        <x:v>0</x:v>
      </x:c>
      <x:c r="S1332" s="8" t="n">
        <x:f>L1332-I1332^2/H1332</x:f>
        <x:v>186.1888719189506</x:v>
      </x:c>
      <x:c r="T1332" s="8" t="n">
        <x:f>M1332-J1332^2/H1332</x:f>
        <x:v>0</x:v>
      </x:c>
      <x:c r="U1332" s="8" t="n">
        <x:f>N1332-I1332*J1332/H1332</x:f>
        <x:v>0</x:v>
      </x:c>
      <x:c r="V1332" s="8" t="n">
        <x:f>O1332-I1332*K1332/H1332</x:f>
        <x:v>33.28511927290418</x:v>
      </x:c>
      <x:c r="W1332" s="8" t="n">
        <x:f>P1332-J1332*K1332/H1332</x:f>
        <x:v>0</x:v>
      </x:c>
      <x:c r="X1332" s="8" t="n">
        <x:f>V1332/S1332</x:f>
        <x:v>0.17877072313641515</x:v>
      </x:c>
      <x:c r="Y1332" s="8" t="n">
        <x:f>0</x:f>
        <x:v>0</x:v>
      </x:c>
      <x:c r="Z1332" s="8" t="n">
        <x:f>K1332/H1332-X1332*I1332/H1332-Y1332*J1332/H1332</x:f>
        <x:v>2.6456987972550294</x:v>
      </x:c>
      <x:c r="AA1332" s="8" t="n">
        <x:f>Z1332+X1332*Q1332+Y1332*R1332</x:f>
        <x:v>3.976359325176576</x:v>
      </x:c>
    </x:row>
    <x:row r="1333" ht="26" customHeight="1">
      <x:c r="A1333" s="2"/>
      <x:c r="B1333" s="2" t="n">
        <x:v>1328</x:v>
      </x:c>
      <x:c r="C1333" s="2" t="str">
        <x:v>Beauty / organic_sales_growth</x:v>
      </x:c>
      <x:c r="D1333" s="2" t="str">
        <x:v>Broad lag 1</x:v>
      </x:c>
      <x:c r="E1333" s="7" t="n">
        <x:v>45107</x:v>
      </x:c>
      <x:c r="F1333" s="2" t="str">
        <x:v>Pre-earnings</x:v>
      </x:c>
      <x:c r="G1333" s="7" t="n">
        <x:v>45134</x:v>
      </x:c>
      <x:c r="H1333" s="2" t="n">
        <x:v>8</x:v>
      </x:c>
      <x:c r="I1333" s="8" t="n">
        <x:v>49.69609714949035</x:v>
      </x:c>
      <x:c r="J1333" s="8" t="n">
        <x:v>0</x:v>
      </x:c>
      <x:c r="K1333" s="8" t="n">
        <x:v>27</x:v>
      </x:c>
      <x:c r="L1333" s="8" t="n">
        <x:v>493.8550850014101</x:v>
      </x:c>
      <x:c r="M1333" s="8" t="n">
        <x:v>0</x:v>
      </x:c>
      <x:c r="N1333" s="8" t="n">
        <x:v>0</x:v>
      </x:c>
      <x:c r="O1333" s="8" t="n">
        <x:v>132.63484314988466</x:v>
      </x:c>
      <x:c r="P1333" s="8" t="n">
        <x:v>0</x:v>
      </x:c>
      <x:c r="Q1333" s="8" t="n">
        <x:v>7.297076262523006</x:v>
      </x:c>
      <x:c r="R1333" s="8" t="n">
        <x:v>0</x:v>
      </x:c>
      <x:c r="S1333" s="8" t="n">
        <x:f>L1333-I1333^2/H1333</x:f>
        <x:v>185.14232601496224</x:v>
      </x:c>
      <x:c r="T1333" s="8" t="n">
        <x:f>M1333-J1333^2/H1333</x:f>
        <x:v>0</x:v>
      </x:c>
      <x:c r="U1333" s="8" t="n">
        <x:f>N1333-I1333*J1333/H1333</x:f>
        <x:v>0</x:v>
      </x:c>
      <x:c r="V1333" s="8" t="n">
        <x:f>O1333-I1333*K1333/H1333</x:f>
        <x:v>-35.08948472964528</x:v>
      </x:c>
      <x:c r="W1333" s="8" t="n">
        <x:f>P1333-J1333*K1333/H1333</x:f>
        <x:v>0</x:v>
      </x:c>
      <x:c r="X1333" s="8" t="n">
        <x:f>V1333/S1333</x:f>
        <x:v>-0.18952708159672538</x:v>
      </x:c>
      <x:c r="Y1333" s="8" t="n">
        <x:f>0</x:f>
        <x:v>0</x:v>
      </x:c>
      <x:c r="Z1333" s="8" t="n">
        <x:f>K1333/H1333-X1333*I1333/H1333-Y1333*J1333/H1333</x:f>
        <x:v>4.5523445324362815</x:v>
      </x:c>
      <x:c r="AA1333" s="8" t="n">
        <x:f>Z1333+X1333*Q1333+Y1333*R1333</x:f>
        <x:v>3.1693509642115556</x:v>
      </x:c>
    </x:row>
    <x:row r="1334" ht="26" customHeight="1">
      <x:c r="A1334" s="2"/>
      <x:c r="B1334" s="2" t="n">
        <x:v>1329</x:v>
      </x:c>
      <x:c r="C1334" s="2" t="str">
        <x:v>Beauty / organic_sales_growth</x:v>
      </x:c>
      <x:c r="D1334" s="2" t="str">
        <x:v>Broad rolling 8</x:v>
      </x:c>
      <x:c r="E1334" s="7" t="n">
        <x:v>45107</x:v>
      </x:c>
      <x:c r="F1334" s="2" t="str">
        <x:v>Pre-earnings</x:v>
      </x:c>
      <x:c r="G1334" s="7" t="n">
        <x:v>45134</x:v>
      </x:c>
      <x:c r="H1334" s="2" t="n">
        <x:v>8</x:v>
      </x:c>
      <x:c r="I1334" s="8" t="n">
        <x:v>53.6204621169901</x:v>
      </x:c>
      <x:c r="J1334" s="8" t="n">
        <x:v>0</x:v>
      </x:c>
      <x:c r="K1334" s="8" t="n">
        <x:v>27</x:v>
      </x:c>
      <x:c r="L1334" s="8" t="n">
        <x:v>535.7272255029094</x:v>
      </x:c>
      <x:c r="M1334" s="8" t="n">
        <x:v>0</x:v>
      </x:c>
      <x:c r="N1334" s="8" t="n">
        <x:v>0</x:v>
      </x:c>
      <x:c r="O1334" s="8" t="n">
        <x:v>224.98368420868073</x:v>
      </x:c>
      <x:c r="P1334" s="8" t="n">
        <x:v>0</x:v>
      </x:c>
      <x:c r="Q1334" s="8" t="n">
        <x:v>7.4433917622303</x:v>
      </x:c>
      <x:c r="R1334" s="8" t="n">
        <x:v>0</x:v>
      </x:c>
      <x:c r="S1334" s="8" t="n">
        <x:f>L1334-I1334^2/H1334</x:f>
        <x:v>176.3329807979631</x:v>
      </x:c>
      <x:c r="T1334" s="8" t="n">
        <x:f>M1334-J1334^2/H1334</x:f>
        <x:v>0</x:v>
      </x:c>
      <x:c r="U1334" s="8" t="n">
        <x:f>N1334-I1334*J1334/H1334</x:f>
        <x:v>0</x:v>
      </x:c>
      <x:c r="V1334" s="8" t="n">
        <x:f>O1334-I1334*K1334/H1334</x:f>
        <x:v>44.014624563839135</x:v>
      </x:c>
      <x:c r="W1334" s="8" t="n">
        <x:f>P1334-J1334*K1334/H1334</x:f>
        <x:v>0</x:v>
      </x:c>
      <x:c r="X1334" s="8" t="n">
        <x:f>V1334/S1334</x:f>
        <x:v>0.2496108462787783</x:v>
      </x:c>
      <x:c r="Y1334" s="8" t="n">
        <x:f>0</x:f>
        <x:v>0</x:v>
      </x:c>
      <x:c r="Z1334" s="8" t="n">
        <x:f>K1334/H1334-X1334*I1334/H1334-Y1334*J1334/H1334</x:f>
        <x:v>1.7019688841398661</x:v>
      </x:c>
      <x:c r="AA1334" s="8" t="n">
        <x:f>Z1334+X1334*Q1334+Y1334*R1334</x:f>
        <x:v>3.5599202010946582</x:v>
      </x:c>
    </x:row>
    <x:row r="1335" ht="26" customHeight="1">
      <x:c r="A1335" s="2"/>
      <x:c r="B1335" s="2" t="n">
        <x:v>1330</x:v>
      </x:c>
      <x:c r="C1335" s="2" t="str">
        <x:v>Beauty / organic_sales_growth</x:v>
      </x:c>
      <x:c r="D1335" s="2" t="str">
        <x:v>Own history</x:v>
      </x:c>
      <x:c r="E1335" s="7" t="n">
        <x:v>45107</x:v>
      </x:c>
      <x:c r="F1335" s="2" t="str">
        <x:v>Pre-earnings</x:v>
      </x:c>
      <x:c r="G1335" s="7" t="n">
        <x:v>45134</x:v>
      </x:c>
      <x:c r="H1335" s="2" t="n">
        <x:v>8</x:v>
      </x:c>
      <x:c r="I1335" s="8" t="n">
        <x:v>27</x:v>
      </x:c>
      <x:c r="J1335" s="8" t="n">
        <x:v>0</x:v>
      </x:c>
      <x:c r="K1335" s="8" t="n">
        <x:v>27</x:v>
      </x:c>
      <x:c r="L1335" s="8" t="n">
        <x:v>127</x:v>
      </x:c>
      <x:c r="M1335" s="8" t="n">
        <x:v>0</x:v>
      </x:c>
      <x:c r="N1335" s="8" t="n">
        <x:v>0</x:v>
      </x:c>
      <x:c r="O1335" s="8" t="n">
        <x:v>97</x:v>
      </x:c>
      <x:c r="P1335" s="8" t="n">
        <x:v>0</x:v>
      </x:c>
      <x:c r="Q1335" s="8" t="n">
        <x:v>7</x:v>
      </x:c>
      <x:c r="R1335" s="8" t="n">
        <x:v>0</x:v>
      </x:c>
      <x:c r="S1335" s="8" t="n">
        <x:f>L1335-I1335^2/H1335</x:f>
        <x:v>35.875</x:v>
      </x:c>
      <x:c r="T1335" s="8" t="n">
        <x:f>M1335-J1335^2/H1335</x:f>
        <x:v>0</x:v>
      </x:c>
      <x:c r="U1335" s="8" t="n">
        <x:f>N1335-I1335*J1335/H1335</x:f>
        <x:v>0</x:v>
      </x:c>
      <x:c r="V1335" s="8" t="n">
        <x:f>O1335-I1335*K1335/H1335</x:f>
        <x:v>5.875</x:v>
      </x:c>
      <x:c r="W1335" s="8" t="n">
        <x:f>P1335-J1335*K1335/H1335</x:f>
        <x:v>0</x:v>
      </x:c>
      <x:c r="X1335" s="8" t="n">
        <x:f>V1335/S1335</x:f>
        <x:v>0.16376306620209058</x:v>
      </x:c>
      <x:c r="Y1335" s="8" t="n">
        <x:f>0</x:f>
        <x:v>0</x:v>
      </x:c>
      <x:c r="Z1335" s="8" t="n">
        <x:f>K1335/H1335-X1335*I1335/H1335-Y1335*J1335/H1335</x:f>
        <x:v>2.822299651567944</x:v>
      </x:c>
      <x:c r="AA1335" s="8" t="n">
        <x:f>Z1335+X1335*Q1335+Y1335*R1335</x:f>
        <x:v>3.968641114982578</x:v>
      </x:c>
    </x:row>
    <x:row r="1336" ht="26" customHeight="1">
      <x:c r="A1336" s="2"/>
      <x:c r="B1336" s="2" t="n">
        <x:v>1331</x:v>
      </x:c>
      <x:c r="C1336" s="2" t="str">
        <x:v>Beauty / organic_sales_growth</x:v>
      </x:c>
      <x:c r="D1336" s="2" t="str">
        <x:v>Broad market</x:v>
      </x:c>
      <x:c r="E1336" s="7" t="n">
        <x:v>45199</x:v>
      </x:c>
      <x:c r="F1336" s="2" t="str">
        <x:v>Origin</x:v>
      </x:c>
      <x:c r="G1336" s="7" t="n">
        <x:v>45108</x:v>
      </x:c>
      <x:c r="H1336" s="2" t="n">
        <x:v>9</x:v>
      </x:c>
      <x:c r="I1336" s="8" t="n">
        <x:v>57.06105997973021</x:v>
      </x:c>
      <x:c r="J1336" s="8" t="n">
        <x:v>0</x:v>
      </x:c>
      <x:c r="K1336" s="8" t="n">
        <x:v>34</x:v>
      </x:c>
      <x:c r="L1336" s="8" t="n">
        <x:v>547.4005685362159</x:v>
      </x:c>
      <x:c r="M1336" s="8" t="n">
        <x:v>0</x:v>
      </x:c>
      <x:c r="N1336" s="8" t="n">
        <x:v>0</x:v>
      </x:c>
      <x:c r="O1336" s="8" t="n">
        <x:v>248.59266327384353</x:v>
      </x:c>
      <x:c r="P1336" s="8" t="n">
        <x:v>0</x:v>
      </x:c>
      <x:c r="Q1336" s="8" t="n">
        <x:v>7.7431419880581664</x:v>
      </x:c>
      <x:c r="R1336" s="8" t="n">
        <x:v>0</x:v>
      </x:c>
      <x:c r="S1336" s="8" t="n">
        <x:f>L1336-I1336^2/H1336</x:f>
        <x:v>185.62672786839715</x:v>
      </x:c>
      <x:c r="T1336" s="8" t="n">
        <x:f>M1336-J1336^2/H1336</x:f>
        <x:v>0</x:v>
      </x:c>
      <x:c r="U1336" s="8" t="n">
        <x:f>N1336-I1336*J1336/H1336</x:f>
        <x:v>0</x:v>
      </x:c>
      <x:c r="V1336" s="8" t="n">
        <x:f>O1336-I1336*K1336/H1336</x:f>
        <x:v>33.028658905973856</x:v>
      </x:c>
      <x:c r="W1336" s="8" t="n">
        <x:f>P1336-J1336*K1336/H1336</x:f>
        <x:v>0</x:v>
      </x:c>
      <x:c r="X1336" s="8" t="n">
        <x:f>V1336/S1336</x:f>
        <x:v>0.17793051294525872</x:v>
      </x:c>
      <x:c r="Y1336" s="8" t="n">
        <x:f>0</x:f>
        <x:v>0</x:v>
      </x:c>
      <x:c r="Z1336" s="8" t="n">
        <x:f>K1336/H1336-X1336*I1336/H1336-Y1336*J1336/H1336</x:f>
        <x:v>2.6496773698451586</x:v>
      </x:c>
      <x:c r="AA1336" s="8" t="n">
        <x:f>Z1336+X1336*Q1336+Y1336*R1336</x:f>
        <x:v>4.027418595588318</x:v>
      </x:c>
    </x:row>
    <x:row r="1337" ht="26" customHeight="1">
      <x:c r="A1337" s="2"/>
      <x:c r="B1337" s="2" t="n">
        <x:v>1332</x:v>
      </x:c>
      <x:c r="C1337" s="2" t="str">
        <x:v>Beauty / organic_sales_growth</x:v>
      </x:c>
      <x:c r="D1337" s="2" t="str">
        <x:v>Broad rolling 8</x:v>
      </x:c>
      <x:c r="E1337" s="7" t="n">
        <x:v>45199</x:v>
      </x:c>
      <x:c r="F1337" s="2" t="str">
        <x:v>Origin</x:v>
      </x:c>
      <x:c r="G1337" s="7" t="n">
        <x:v>45108</x:v>
      </x:c>
      <x:c r="H1337" s="2" t="n">
        <x:v>8</x:v>
      </x:c>
      <x:c r="I1337" s="8" t="n">
        <x:v>53.68834868470695</x:v>
      </x:c>
      <x:c r="J1337" s="8" t="n">
        <x:v>0</x:v>
      </x:c>
      <x:c r="K1337" s="8" t="n">
        <x:v>27</x:v>
      </x:c>
      <x:c r="L1337" s="8" t="n">
        <x:v>536.0253870566385</x:v>
      </x:c>
      <x:c r="M1337" s="8" t="n">
        <x:v>0</x:v>
      </x:c>
      <x:c r="N1337" s="8" t="n">
        <x:v>0</x:v>
      </x:c>
      <x:c r="O1337" s="8" t="n">
        <x:v>224.98368420868073</x:v>
      </x:c>
      <x:c r="P1337" s="8" t="n">
        <x:v>0</x:v>
      </x:c>
      <x:c r="Q1337" s="8" t="n">
        <x:v>7.7431419880581664</x:v>
      </x:c>
      <x:c r="R1337" s="8" t="n">
        <x:v>0</x:v>
      </x:c>
      <x:c r="S1337" s="8" t="n">
        <x:f>L1337-I1337^2/H1337</x:f>
        <x:v>175.72053899530414</x:v>
      </x:c>
      <x:c r="T1337" s="8" t="n">
        <x:f>M1337-J1337^2/H1337</x:f>
        <x:v>0</x:v>
      </x:c>
      <x:c r="U1337" s="8" t="n">
        <x:f>N1337-I1337*J1337/H1337</x:f>
        <x:v>0</x:v>
      </x:c>
      <x:c r="V1337" s="8" t="n">
        <x:f>O1337-I1337*K1337/H1337</x:f>
        <x:v>43.78550739779476</x:v>
      </x:c>
      <x:c r="W1337" s="8" t="n">
        <x:f>P1337-J1337*K1337/H1337</x:f>
        <x:v>0</x:v>
      </x:c>
      <x:c r="X1337" s="8" t="n">
        <x:f>V1337/S1337</x:f>
        <x:v>0.24917694680509067</x:v>
      </x:c>
      <x:c r="Y1337" s="8" t="n">
        <x:f>0</x:f>
        <x:v>0</x:v>
      </x:c>
      <x:c r="Z1337" s="8" t="n">
        <x:f>K1337/H1337-X1337*I1337/H1337-Y1337*J1337/H1337</x:f>
        <x:v>1.702762649467202</x:v>
      </x:c>
      <x:c r="AA1337" s="8" t="n">
        <x:f>Z1337+X1337*Q1337+Y1337*R1337</x:f>
        <x:v>3.632175128729836</x:v>
      </x:c>
    </x:row>
    <x:row r="1338" ht="26" customHeight="1">
      <x:c r="A1338" s="2"/>
      <x:c r="B1338" s="2" t="n">
        <x:v>1333</x:v>
      </x:c>
      <x:c r="C1338" s="2" t="str">
        <x:v>Beauty / organic_sales_growth</x:v>
      </x:c>
      <x:c r="D1338" s="2" t="str">
        <x:v>Broad market</x:v>
      </x:c>
      <x:c r="E1338" s="7" t="n">
        <x:v>45199</x:v>
      </x:c>
      <x:c r="F1338" s="2" t="str">
        <x:v>Prior report</x:v>
      </x:c>
      <x:c r="G1338" s="7" t="n">
        <x:v>45135</x:v>
      </x:c>
      <x:c r="H1338" s="2" t="n">
        <x:v>10</x:v>
      </x:c>
      <x:c r="I1338" s="8" t="n">
        <x:v>64.43656517424365</x:v>
      </x:c>
      <x:c r="J1338" s="8" t="n">
        <x:v>0</x:v>
      </x:c>
      <x:c r="K1338" s="8" t="n">
        <x:v>45</x:v>
      </x:c>
      <x:c r="L1338" s="8" t="n">
        <x:v>602.5064879085247</x:v>
      </x:c>
      <x:c r="M1338" s="8" t="n">
        <x:v>0</x:v>
      </x:c>
      <x:c r="N1338" s="8" t="n">
        <x:v>0</x:v>
      </x:c>
      <x:c r="O1338" s="8" t="n">
        <x:v>330.46997265837683</x:v>
      </x:c>
      <x:c r="P1338" s="8" t="n">
        <x:v>0</x:v>
      </x:c>
      <x:c r="Q1338" s="8" t="n">
        <x:v>7.449799072987062</x:v>
      </x:c>
      <x:c r="R1338" s="8" t="n">
        <x:v>0</x:v>
      </x:c>
      <x:c r="S1338" s="8" t="n">
        <x:f>L1338-I1338^2/H1338</x:f>
        <x:v>187.2993947630697</x:v>
      </x:c>
      <x:c r="T1338" s="8" t="n">
        <x:f>M1338-J1338^2/H1338</x:f>
        <x:v>0</x:v>
      </x:c>
      <x:c r="U1338" s="8" t="n">
        <x:f>N1338-I1338*J1338/H1338</x:f>
        <x:v>0</x:v>
      </x:c>
      <x:c r="V1338" s="8" t="n">
        <x:f>O1338-I1338*K1338/H1338</x:f>
        <x:v>40.50542937428037</x:v>
      </x:c>
      <x:c r="W1338" s="8" t="n">
        <x:f>P1338-J1338*K1338/H1338</x:f>
        <x:v>0</x:v>
      </x:c>
      <x:c r="X1338" s="8" t="n">
        <x:f>V1338/S1338</x:f>
        <x:v>0.2162603324240262</x:v>
      </x:c>
      <x:c r="Y1338" s="8" t="n">
        <x:f>0</x:f>
        <x:v>0</x:v>
      </x:c>
      <x:c r="Z1338" s="8" t="n">
        <x:f>K1338/H1338-X1338*I1338/H1338-Y1338*J1338/H1338</x:f>
        <x:v>3.106492699515564</x:v>
      </x:c>
      <x:c r="AA1338" s="8" t="n">
        <x:f>Z1338+X1338*Q1338+Y1338*R1338</x:f>
        <x:v>4.717588723531948</x:v>
      </x:c>
    </x:row>
    <x:row r="1339" ht="26" customHeight="1">
      <x:c r="A1339" s="2"/>
      <x:c r="B1339" s="2" t="n">
        <x:v>1334</x:v>
      </x:c>
      <x:c r="C1339" s="2" t="str">
        <x:v>Beauty / organic_sales_growth</x:v>
      </x:c>
      <x:c r="D1339" s="2" t="str">
        <x:v>Broad lag 1</x:v>
      </x:c>
      <x:c r="E1339" s="7" t="n">
        <x:v>45199</x:v>
      </x:c>
      <x:c r="F1339" s="2" t="str">
        <x:v>Prior report</x:v>
      </x:c>
      <x:c r="G1339" s="7" t="n">
        <x:v>45135</x:v>
      </x:c>
      <x:c r="H1339" s="2" t="n">
        <x:v>9</x:v>
      </x:c>
      <x:c r="I1339" s="8" t="n">
        <x:v>56.993173412013356</x:v>
      </x:c>
      <x:c r="J1339" s="8" t="n">
        <x:v>0</x:v>
      </x:c>
      <x:c r="K1339" s="8" t="n">
        <x:v>38</x:v>
      </x:c>
      <x:c r="L1339" s="8" t="n">
        <x:v>547.1024069824869</x:v>
      </x:c>
      <x:c r="M1339" s="8" t="n">
        <x:v>0</x:v>
      </x:c>
      <x:c r="N1339" s="8" t="n">
        <x:v>0</x:v>
      </x:c>
      <x:c r="O1339" s="8" t="n">
        <x:v>212.9026820376377</x:v>
      </x:c>
      <x:c r="P1339" s="8" t="n">
        <x:v>0</x:v>
      </x:c>
      <x:c r="Q1339" s="8" t="n">
        <x:v>7.4433917622303</x:v>
      </x:c>
      <x:c r="R1339" s="8" t="n">
        <x:v>0</x:v>
      </x:c>
      <x:c r="S1339" s="8" t="n">
        <x:f>L1339-I1339^2/H1339</x:f>
        <x:v>186.1888719189506</x:v>
      </x:c>
      <x:c r="T1339" s="8" t="n">
        <x:f>M1339-J1339^2/H1339</x:f>
        <x:v>0</x:v>
      </x:c>
      <x:c r="U1339" s="8" t="n">
        <x:f>N1339-I1339*J1339/H1339</x:f>
        <x:v>0</x:v>
      </x:c>
      <x:c r="V1339" s="8" t="n">
        <x:f>O1339-I1339*K1339/H1339</x:f>
        <x:v>-27.735161257529796</x:v>
      </x:c>
      <x:c r="W1339" s="8" t="n">
        <x:f>P1339-J1339*K1339/H1339</x:f>
        <x:v>0</x:v>
      </x:c>
      <x:c r="X1339" s="8" t="n">
        <x:f>V1339/S1339</x:f>
        <x:v>-0.14896250764977575</x:v>
      </x:c>
      <x:c r="Y1339" s="8" t="n">
        <x:f>0</x:f>
        <x:v>0</x:v>
      </x:c>
      <x:c r="Z1339" s="8" t="n">
        <x:f>K1339/H1339-X1339*I1339/H1339-Y1339*J1339/H1339</x:f>
        <x:v>5.165538447819115</x:v>
      </x:c>
      <x:c r="AA1339" s="8" t="n">
        <x:f>Z1339+X1339*Q1339+Y1339*R1339</x:f>
        <x:v>4.056752145497606</x:v>
      </x:c>
    </x:row>
    <x:row r="1340" ht="26" customHeight="1">
      <x:c r="A1340" s="2"/>
      <x:c r="B1340" s="2" t="n">
        <x:v>1335</x:v>
      </x:c>
      <x:c r="C1340" s="2" t="str">
        <x:v>Beauty / organic_sales_growth</x:v>
      </x:c>
      <x:c r="D1340" s="2" t="str">
        <x:v>Broad rolling 8</x:v>
      </x:c>
      <x:c r="E1340" s="7" t="n">
        <x:v>45199</x:v>
      </x:c>
      <x:c r="F1340" s="2" t="str">
        <x:v>Prior report</x:v>
      </x:c>
      <x:c r="G1340" s="7" t="n">
        <x:v>45135</x:v>
      </x:c>
      <x:c r="H1340" s="2" t="n">
        <x:v>8</x:v>
      </x:c>
      <x:c r="I1340" s="8" t="n">
        <x:v>43.211646445952525</x:v>
      </x:c>
      <x:c r="J1340" s="8" t="n">
        <x:v>0</x:v>
      </x:c>
      <x:c r="K1340" s="8" t="n">
        <x:v>32</x:v>
      </x:c>
      <x:c r="L1340" s="8" t="n">
        <x:v>272.42999618852247</x:v>
      </x:c>
      <x:c r="M1340" s="8" t="n">
        <x:v>0</x:v>
      </x:c>
      <x:c r="N1340" s="8" t="n">
        <x:v>0</x:v>
      </x:c>
      <x:c r="O1340" s="8" t="n">
        <x:v>199.7477489936068</x:v>
      </x:c>
      <x:c r="P1340" s="8" t="n">
        <x:v>0</x:v>
      </x:c>
      <x:c r="Q1340" s="8" t="n">
        <x:v>7.449799072987062</x:v>
      </x:c>
      <x:c r="R1340" s="8" t="n">
        <x:v>0</x:v>
      </x:c>
      <x:c r="S1340" s="8" t="n">
        <x:f>L1340-I1340^2/H1340</x:f>
        <x:v>39.02419761727228</x:v>
      </x:c>
      <x:c r="T1340" s="8" t="n">
        <x:f>M1340-J1340^2/H1340</x:f>
        <x:v>0</x:v>
      </x:c>
      <x:c r="U1340" s="8" t="n">
        <x:f>N1340-I1340*J1340/H1340</x:f>
        <x:v>0</x:v>
      </x:c>
      <x:c r="V1340" s="8" t="n">
        <x:f>O1340-I1340*K1340/H1340</x:f>
        <x:v>26.901163209796692</x:v>
      </x:c>
      <x:c r="W1340" s="8" t="n">
        <x:f>P1340-J1340*K1340/H1340</x:f>
        <x:v>0</x:v>
      </x:c>
      <x:c r="X1340" s="8" t="n">
        <x:f>V1340/S1340</x:f>
        <x:v>0.6893457099010313</x:v>
      </x:c>
      <x:c r="Y1340" s="8" t="n">
        <x:f>0</x:f>
        <x:v>0</x:v>
      </x:c>
      <x:c r="Z1340" s="8" t="n">
        <x:f>K1340/H1340-X1340*I1340/H1340-Y1340*J1340/H1340</x:f>
        <x:v>0.2765296130903101</x:v>
      </x:c>
      <x:c r="AA1340" s="8" t="n">
        <x:f>Z1340+X1340*Q1340+Y1340*R1340</x:f>
        <x:v>5.412016643678621</x:v>
      </x:c>
    </x:row>
    <x:row r="1341" ht="26" customHeight="1">
      <x:c r="A1341" s="2"/>
      <x:c r="B1341" s="2" t="n">
        <x:v>1336</x:v>
      </x:c>
      <x:c r="C1341" s="2" t="str">
        <x:v>Beauty / organic_sales_growth</x:v>
      </x:c>
      <x:c r="D1341" s="2" t="str">
        <x:v>Own history</x:v>
      </x:c>
      <x:c r="E1341" s="7" t="n">
        <x:v>45199</x:v>
      </x:c>
      <x:c r="F1341" s="2" t="str">
        <x:v>Prior report</x:v>
      </x:c>
      <x:c r="G1341" s="7" t="n">
        <x:v>45135</x:v>
      </x:c>
      <x:c r="H1341" s="2" t="n">
        <x:v>9</x:v>
      </x:c>
      <x:c r="I1341" s="8" t="n">
        <x:v>34</x:v>
      </x:c>
      <x:c r="J1341" s="8" t="n">
        <x:v>0</x:v>
      </x:c>
      <x:c r="K1341" s="8" t="n">
        <x:v>38</x:v>
      </x:c>
      <x:c r="L1341" s="8" t="n">
        <x:v>176</x:v>
      </x:c>
      <x:c r="M1341" s="8" t="n">
        <x:v>0</x:v>
      </x:c>
      <x:c r="N1341" s="8" t="n">
        <x:v>0</x:v>
      </x:c>
      <x:c r="O1341" s="8" t="n">
        <x:v>174</x:v>
      </x:c>
      <x:c r="P1341" s="8" t="n">
        <x:v>0</x:v>
      </x:c>
      <x:c r="Q1341" s="8" t="n">
        <x:v>11</x:v>
      </x:c>
      <x:c r="R1341" s="8" t="n">
        <x:v>0</x:v>
      </x:c>
      <x:c r="S1341" s="8" t="n">
        <x:f>L1341-I1341^2/H1341</x:f>
        <x:v>47.55555555555554</x:v>
      </x:c>
      <x:c r="T1341" s="8" t="n">
        <x:f>M1341-J1341^2/H1341</x:f>
        <x:v>0</x:v>
      </x:c>
      <x:c r="U1341" s="8" t="n">
        <x:f>N1341-I1341*J1341/H1341</x:f>
        <x:v>0</x:v>
      </x:c>
      <x:c r="V1341" s="8" t="n">
        <x:f>O1341-I1341*K1341/H1341</x:f>
        <x:v>30.444444444444457</x:v>
      </x:c>
      <x:c r="W1341" s="8" t="n">
        <x:f>P1341-J1341*K1341/H1341</x:f>
        <x:v>0</x:v>
      </x:c>
      <x:c r="X1341" s="8" t="n">
        <x:f>V1341/S1341</x:f>
        <x:v>0.6401869158878509</x:v>
      </x:c>
      <x:c r="Y1341" s="8" t="n">
        <x:f>0</x:f>
        <x:v>0</x:v>
      </x:c>
      <x:c r="Z1341" s="8" t="n">
        <x:f>K1341/H1341-X1341*I1341/H1341-Y1341*J1341/H1341</x:f>
        <x:v>1.8037383177570079</x:v>
      </x:c>
      <x:c r="AA1341" s="8" t="n">
        <x:f>Z1341+X1341*Q1341+Y1341*R1341</x:f>
        <x:v>8.845794392523368</x:v>
      </x:c>
    </x:row>
    <x:row r="1342" ht="26" customHeight="1">
      <x:c r="A1342" s="2"/>
      <x:c r="B1342" s="2" t="n">
        <x:v>1337</x:v>
      </x:c>
      <x:c r="C1342" s="2" t="str">
        <x:v>Beauty / organic_sales_growth</x:v>
      </x:c>
      <x:c r="D1342" s="2" t="str">
        <x:v>Broad market</x:v>
      </x:c>
      <x:c r="E1342" s="7" t="n">
        <x:v>45199</x:v>
      </x:c>
      <x:c r="F1342" s="2" t="str">
        <x:v>Pre-earnings</x:v>
      </x:c>
      <x:c r="G1342" s="7" t="n">
        <x:v>45216</x:v>
      </x:c>
      <x:c r="H1342" s="2" t="n">
        <x:v>10</x:v>
      </x:c>
      <x:c r="I1342" s="8" t="n">
        <x:v>65.11420219967268</x:v>
      </x:c>
      <x:c r="J1342" s="8" t="n">
        <x:v>0</x:v>
      </x:c>
      <x:c r="K1342" s="8" t="n">
        <x:v>45</x:v>
      </x:c>
      <x:c r="L1342" s="8" t="n">
        <x:v>614.579521373624</x:v>
      </x:c>
      <x:c r="M1342" s="8" t="n">
        <x:v>0</x:v>
      </x:c>
      <x:c r="N1342" s="8" t="n">
        <x:v>0</x:v>
      </x:c>
      <x:c r="O1342" s="8" t="n">
        <x:v>339.03475249304734</x:v>
      </x:c>
      <x:c r="P1342" s="8" t="n">
        <x:v>0</x:v>
      </x:c>
      <x:c r="Q1342" s="8" t="n">
        <x:v>8.006131935515782</x:v>
      </x:c>
      <x:c r="R1342" s="8" t="n">
        <x:v>0</x:v>
      </x:c>
      <x:c r="S1342" s="8" t="n">
        <x:f>L1342-I1342^2/H1342</x:f>
        <x:v>190.5935885636382</x:v>
      </x:c>
      <x:c r="T1342" s="8" t="n">
        <x:f>M1342-J1342^2/H1342</x:f>
        <x:v>0</x:v>
      </x:c>
      <x:c r="U1342" s="8" t="n">
        <x:f>N1342-I1342*J1342/H1342</x:f>
        <x:v>0</x:v>
      </x:c>
      <x:c r="V1342" s="8" t="n">
        <x:f>O1342-I1342*K1342/H1342</x:f>
        <x:v>46.02084259452033</x:v>
      </x:c>
      <x:c r="W1342" s="8" t="n">
        <x:f>P1342-J1342*K1342/H1342</x:f>
        <x:v>0</x:v>
      </x:c>
      <x:c r="X1342" s="8" t="n">
        <x:f>V1342/S1342</x:f>
        <x:v>0.24146060180379159</x:v>
      </x:c>
      <x:c r="Y1342" s="8" t="n">
        <x:f>0</x:f>
        <x:v>0</x:v>
      </x:c>
      <x:c r="Z1342" s="8" t="n">
        <x:f>K1342/H1342-X1342*I1342/H1342-Y1342*J1342/H1342</x:f>
        <x:v>2.9277485550893267</x:v>
      </x:c>
      <x:c r="AA1342" s="8" t="n">
        <x:f>Z1342+X1342*Q1342+Y1342*R1342</x:f>
        <x:v>4.860913990359522</x:v>
      </x:c>
    </x:row>
    <x:row r="1343" ht="26" customHeight="1">
      <x:c r="A1343" s="2"/>
      <x:c r="B1343" s="2" t="n">
        <x:v>1338</x:v>
      </x:c>
      <x:c r="C1343" s="2" t="str">
        <x:v>Beauty / organic_sales_growth</x:v>
      </x:c>
      <x:c r="D1343" s="2" t="str">
        <x:v>Broad lag 1</x:v>
      </x:c>
      <x:c r="E1343" s="7" t="n">
        <x:v>45199</x:v>
      </x:c>
      <x:c r="F1343" s="2" t="str">
        <x:v>Pre-earnings</x:v>
      </x:c>
      <x:c r="G1343" s="7" t="n">
        <x:v>45216</x:v>
      </x:c>
      <x:c r="H1343" s="2" t="n">
        <x:v>9</x:v>
      </x:c>
      <x:c r="I1343" s="8" t="n">
        <x:v>56.85447554314476</x:v>
      </x:c>
      <x:c r="J1343" s="8" t="n">
        <x:v>0</x:v>
      </x:c>
      <x:c r="K1343" s="8" t="n">
        <x:v>38</x:v>
      </x:c>
      <x:c r="L1343" s="8" t="n">
        <x:v>546.3564369330661</x:v>
      </x:c>
      <x:c r="M1343" s="8" t="n">
        <x:v>0</x:v>
      </x:c>
      <x:c r="N1343" s="8" t="n">
        <x:v>0</x:v>
      </x:c>
      <x:c r="O1343" s="8" t="n">
        <x:v>212.45161656281414</x:v>
      </x:c>
      <x:c r="P1343" s="8" t="n">
        <x:v>0</x:v>
      </x:c>
      <x:c r="Q1343" s="8" t="n">
        <x:v>8.25972665652792</x:v>
      </x:c>
      <x:c r="R1343" s="8" t="n">
        <x:v>0</x:v>
      </x:c>
      <x:c r="S1343" s="8" t="n">
        <x:f>L1343-I1343^2/H1343</x:f>
        <x:v>187.19739367906107</x:v>
      </x:c>
      <x:c r="T1343" s="8" t="n">
        <x:f>M1343-J1343^2/H1343</x:f>
        <x:v>0</x:v>
      </x:c>
      <x:c r="U1343" s="8" t="n">
        <x:f>N1343-I1343*J1343/H1343</x:f>
        <x:v>0</x:v>
      </x:c>
      <x:c r="V1343" s="8" t="n">
        <x:f>O1343-I1343*K1343/H1343</x:f>
        <x:v>-27.60061350824148</x:v>
      </x:c>
      <x:c r="W1343" s="8" t="n">
        <x:f>P1343-J1343*K1343/H1343</x:f>
        <x:v>0</x:v>
      </x:c>
      <x:c r="X1343" s="8" t="n">
        <x:f>V1343/S1343</x:f>
        <x:v>-0.1474412274967947</x:v>
      </x:c>
      <x:c r="Y1343" s="8" t="n">
        <x:f>0</x:f>
        <x:v>0</x:v>
      </x:c>
      <x:c r="Z1343" s="8" t="n">
        <x:f>K1343/H1343-X1343*I1343/H1343-Y1343*J1343/H1343</x:f>
        <x:v>5.153632629196418</x:v>
      </x:c>
      <x:c r="AA1343" s="8" t="n">
        <x:f>Z1343+X1343*Q1343+Y1343*R1343</x:f>
        <x:v>3.935808392169945</x:v>
      </x:c>
    </x:row>
    <x:row r="1344" ht="26" customHeight="1">
      <x:c r="A1344" s="2"/>
      <x:c r="B1344" s="2" t="n">
        <x:v>1339</x:v>
      </x:c>
      <x:c r="C1344" s="2" t="str">
        <x:v>Beauty / organic_sales_growth</x:v>
      </x:c>
      <x:c r="D1344" s="2" t="str">
        <x:v>Broad rolling 8</x:v>
      </x:c>
      <x:c r="E1344" s="7" t="n">
        <x:v>45199</x:v>
      </x:c>
      <x:c r="F1344" s="2" t="str">
        <x:v>Pre-earnings</x:v>
      </x:c>
      <x:c r="G1344" s="7" t="n">
        <x:v>45216</x:v>
      </x:c>
      <x:c r="H1344" s="2" t="n">
        <x:v>8</x:v>
      </x:c>
      <x:c r="I1344" s="8" t="n">
        <x:v>43.889283471381546</x:v>
      </x:c>
      <x:c r="J1344" s="8" t="n">
        <x:v>0</x:v>
      </x:c>
      <x:c r="K1344" s="8" t="n">
        <x:v>32</x:v>
      </x:c>
      <x:c r="L1344" s="8" t="n">
        <x:v>284.5030296536217</x:v>
      </x:c>
      <x:c r="M1344" s="8" t="n">
        <x:v>0</x:v>
      </x:c>
      <x:c r="N1344" s="8" t="n">
        <x:v>0</x:v>
      </x:c>
      <x:c r="O1344" s="8" t="n">
        <x:v>208.3125288282773</x:v>
      </x:c>
      <x:c r="P1344" s="8" t="n">
        <x:v>0</x:v>
      </x:c>
      <x:c r="Q1344" s="8" t="n">
        <x:v>8.006131935515782</x:v>
      </x:c>
      <x:c r="R1344" s="8" t="n">
        <x:v>0</x:v>
      </x:c>
      <x:c r="S1344" s="8" t="n">
        <x:f>L1344-I1344^2/H1344</x:f>
        <x:v>43.71937919971103</x:v>
      </x:c>
      <x:c r="T1344" s="8" t="n">
        <x:f>M1344-J1344^2/H1344</x:f>
        <x:v>0</x:v>
      </x:c>
      <x:c r="U1344" s="8" t="n">
        <x:f>N1344-I1344*J1344/H1344</x:f>
        <x:v>0</x:v>
      </x:c>
      <x:c r="V1344" s="8" t="n">
        <x:f>O1344-I1344*K1344/H1344</x:f>
        <x:v>32.75539494275111</x:v>
      </x:c>
      <x:c r="W1344" s="8" t="n">
        <x:f>P1344-J1344*K1344/H1344</x:f>
        <x:v>0</x:v>
      </x:c>
      <x:c r="X1344" s="8" t="n">
        <x:f>V1344/S1344</x:f>
        <x:v>0.7492191230146199</x:v>
      </x:c>
      <x:c r="Y1344" s="8" t="n">
        <x:f>0</x:f>
        <x:v>0</x:v>
      </x:c>
      <x:c r="Z1344" s="8" t="n">
        <x:f>K1344/H1344-X1344*I1344/H1344-Y1344*J1344/H1344</x:f>
        <x:v>-0.11033630902106673</x:v>
      </x:c>
      <x:c r="AA1344" s="8" t="n">
        <x:f>Z1344+X1344*Q1344+Y1344*R1344</x:f>
        <x:v>5.888010838445409</x:v>
      </x:c>
    </x:row>
    <x:row r="1345" ht="26" customHeight="1">
      <x:c r="A1345" s="2"/>
      <x:c r="B1345" s="2" t="n">
        <x:v>1340</x:v>
      </x:c>
      <x:c r="C1345" s="2" t="str">
        <x:v>Beauty / organic_sales_growth</x:v>
      </x:c>
      <x:c r="D1345" s="2" t="str">
        <x:v>Own history</x:v>
      </x:c>
      <x:c r="E1345" s="7" t="n">
        <x:v>45199</x:v>
      </x:c>
      <x:c r="F1345" s="2" t="str">
        <x:v>Pre-earnings</x:v>
      </x:c>
      <x:c r="G1345" s="7" t="n">
        <x:v>45216</x:v>
      </x:c>
      <x:c r="H1345" s="2" t="n">
        <x:v>9</x:v>
      </x:c>
      <x:c r="I1345" s="8" t="n">
        <x:v>34</x:v>
      </x:c>
      <x:c r="J1345" s="8" t="n">
        <x:v>0</x:v>
      </x:c>
      <x:c r="K1345" s="8" t="n">
        <x:v>38</x:v>
      </x:c>
      <x:c r="L1345" s="8" t="n">
        <x:v>176</x:v>
      </x:c>
      <x:c r="M1345" s="8" t="n">
        <x:v>0</x:v>
      </x:c>
      <x:c r="N1345" s="8" t="n">
        <x:v>0</x:v>
      </x:c>
      <x:c r="O1345" s="8" t="n">
        <x:v>174</x:v>
      </x:c>
      <x:c r="P1345" s="8" t="n">
        <x:v>0</x:v>
      </x:c>
      <x:c r="Q1345" s="8" t="n">
        <x:v>11</x:v>
      </x:c>
      <x:c r="R1345" s="8" t="n">
        <x:v>0</x:v>
      </x:c>
      <x:c r="S1345" s="8" t="n">
        <x:f>L1345-I1345^2/H1345</x:f>
        <x:v>47.55555555555554</x:v>
      </x:c>
      <x:c r="T1345" s="8" t="n">
        <x:f>M1345-J1345^2/H1345</x:f>
        <x:v>0</x:v>
      </x:c>
      <x:c r="U1345" s="8" t="n">
        <x:f>N1345-I1345*J1345/H1345</x:f>
        <x:v>0</x:v>
      </x:c>
      <x:c r="V1345" s="8" t="n">
        <x:f>O1345-I1345*K1345/H1345</x:f>
        <x:v>30.444444444444457</x:v>
      </x:c>
      <x:c r="W1345" s="8" t="n">
        <x:f>P1345-J1345*K1345/H1345</x:f>
        <x:v>0</x:v>
      </x:c>
      <x:c r="X1345" s="8" t="n">
        <x:f>V1345/S1345</x:f>
        <x:v>0.6401869158878509</x:v>
      </x:c>
      <x:c r="Y1345" s="8" t="n">
        <x:f>0</x:f>
        <x:v>0</x:v>
      </x:c>
      <x:c r="Z1345" s="8" t="n">
        <x:f>K1345/H1345-X1345*I1345/H1345-Y1345*J1345/H1345</x:f>
        <x:v>1.8037383177570079</x:v>
      </x:c>
      <x:c r="AA1345" s="8" t="n">
        <x:f>Z1345+X1345*Q1345+Y1345*R1345</x:f>
        <x:v>8.845794392523368</x:v>
      </x:c>
    </x:row>
    <x:row r="1346" ht="26" customHeight="1">
      <x:c r="A1346" s="2"/>
      <x:c r="B1346" s="2" t="n">
        <x:v>1341</x:v>
      </x:c>
      <x:c r="C1346" s="2" t="str">
        <x:v>Beauty / organic_sales_growth</x:v>
      </x:c>
      <x:c r="D1346" s="2" t="str">
        <x:v>Broad market</x:v>
      </x:c>
      <x:c r="E1346" s="7" t="n">
        <x:v>45291</x:v>
      </x:c>
      <x:c r="F1346" s="2" t="str">
        <x:v>Origin</x:v>
      </x:c>
      <x:c r="G1346" s="7" t="n">
        <x:v>45200</x:v>
      </x:c>
      <x:c r="H1346" s="2" t="n">
        <x:v>10</x:v>
      </x:c>
      <x:c r="I1346" s="8" t="n">
        <x:v>65.18436978834822</x:v>
      </x:c>
      <x:c r="J1346" s="8" t="n">
        <x:v>0</x:v>
      </x:c>
      <x:c r="K1346" s="8" t="n">
        <x:v>45</x:v>
      </x:c>
      <x:c r="L1346" s="8" t="n">
        <x:v>614.980322042342</x:v>
      </x:c>
      <x:c r="M1346" s="8" t="n">
        <x:v>0</x:v>
      </x:c>
      <x:c r="N1346" s="8" t="n">
        <x:v>0</x:v>
      </x:c>
      <x:c r="O1346" s="8" t="n">
        <x:v>339.3154228477495</x:v>
      </x:c>
      <x:c r="P1346" s="8" t="n">
        <x:v>0</x:v>
      </x:c>
      <x:c r="Q1346" s="8" t="n">
        <x:v>7.630237201900525</x:v>
      </x:c>
      <x:c r="R1346" s="8" t="n">
        <x:v>0</x:v>
      </x:c>
      <x:c r="S1346" s="8" t="n">
        <x:f>L1346-I1346^2/H1346</x:f>
        <x:v>190.08011557192953</x:v>
      </x:c>
      <x:c r="T1346" s="8" t="n">
        <x:f>M1346-J1346^2/H1346</x:f>
        <x:v>0</x:v>
      </x:c>
      <x:c r="U1346" s="8" t="n">
        <x:f>N1346-I1346*J1346/H1346</x:f>
        <x:v>0</x:v>
      </x:c>
      <x:c r="V1346" s="8" t="n">
        <x:f>O1346-I1346*K1346/H1346</x:f>
        <x:v>45.98575880018251</x:v>
      </x:c>
      <x:c r="W1346" s="8" t="n">
        <x:f>P1346-J1346*K1346/H1346</x:f>
        <x:v>0</x:v>
      </x:c>
      <x:c r="X1346" s="8" t="n">
        <x:f>V1346/S1346</x:f>
        <x:v>0.2419282977696882</x:v>
      </x:c>
      <x:c r="Y1346" s="8" t="n">
        <x:f>0</x:f>
        <x:v>0</x:v>
      </x:c>
      <x:c r="Z1346" s="8" t="n">
        <x:f>K1346/H1346-X1346*I1346/H1346-Y1346*J1346/H1346</x:f>
        <x:v>2.9230056375915026</x:v>
      </x:c>
      <x:c r="AA1346" s="8" t="n">
        <x:f>Z1346+X1346*Q1346+Y1346*R1346</x:f>
        <x:v>4.768975935426245</x:v>
      </x:c>
    </x:row>
    <x:row r="1347" ht="26" customHeight="1">
      <x:c r="A1347" s="2"/>
      <x:c r="B1347" s="2" t="n">
        <x:v>1342</x:v>
      </x:c>
      <x:c r="C1347" s="2" t="str">
        <x:v>Beauty / organic_sales_growth</x:v>
      </x:c>
      <x:c r="D1347" s="2" t="str">
        <x:v>Broad rolling 8</x:v>
      </x:c>
      <x:c r="E1347" s="7" t="n">
        <x:v>45291</x:v>
      </x:c>
      <x:c r="F1347" s="2" t="str">
        <x:v>Origin</x:v>
      </x:c>
      <x:c r="G1347" s="7" t="n">
        <x:v>45200</x:v>
      </x:c>
      <x:c r="H1347" s="2" t="n">
        <x:v>8</x:v>
      </x:c>
      <x:c r="I1347" s="8" t="n">
        <x:v>43.9594510600571</x:v>
      </x:c>
      <x:c r="J1347" s="8" t="n">
        <x:v>0</x:v>
      </x:c>
      <x:c r="K1347" s="8" t="n">
        <x:v>32</x:v>
      </x:c>
      <x:c r="L1347" s="8" t="n">
        <x:v>284.90383032233973</x:v>
      </x:c>
      <x:c r="M1347" s="8" t="n">
        <x:v>0</x:v>
      </x:c>
      <x:c r="N1347" s="8" t="n">
        <x:v>0</x:v>
      </x:c>
      <x:c r="O1347" s="8" t="n">
        <x:v>208.5931991829795</x:v>
      </x:c>
      <x:c r="P1347" s="8" t="n">
        <x:v>0</x:v>
      </x:c>
      <x:c r="Q1347" s="8" t="n">
        <x:v>7.630237201900525</x:v>
      </x:c>
      <x:c r="R1347" s="8" t="n">
        <x:v>0</x:v>
      </x:c>
      <x:c r="S1347" s="8" t="n">
        <x:f>L1347-I1347^2/H1347</x:f>
        <x:v>43.34966313464534</x:v>
      </x:c>
      <x:c r="T1347" s="8" t="n">
        <x:f>M1347-J1347^2/H1347</x:f>
        <x:v>0</x:v>
      </x:c>
      <x:c r="U1347" s="8" t="n">
        <x:f>N1347-I1347*J1347/H1347</x:f>
        <x:v>0</x:v>
      </x:c>
      <x:c r="V1347" s="8" t="n">
        <x:f>O1347-I1347*K1347/H1347</x:f>
        <x:v>32.75539494275111</x:v>
      </x:c>
      <x:c r="W1347" s="8" t="n">
        <x:f>P1347-J1347*K1347/H1347</x:f>
        <x:v>0</x:v>
      </x:c>
      <x:c r="X1347" s="8" t="n">
        <x:f>V1347/S1347</x:f>
        <x:v>0.7556089845730031</x:v>
      </x:c>
      <x:c r="Y1347" s="8" t="n">
        <x:f>0</x:f>
        <x:v>0</x:v>
      </x:c>
      <x:c r="Z1347" s="8" t="n">
        <x:f>K1347/H1347-X1347*I1347/H1347-Y1347*J1347/H1347</x:f>
        <x:v>-0.1520195222345464</x:v>
      </x:c>
      <x:c r="AA1347" s="8" t="n">
        <x:f>Z1347+X1347*Q1347+Y1347*R1347</x:f>
        <x:v>5.613456261944662</x:v>
      </x:c>
    </x:row>
    <x:row r="1348" ht="26" customHeight="1">
      <x:c r="A1348" s="2"/>
      <x:c r="B1348" s="2" t="n">
        <x:v>1343</x:v>
      </x:c>
      <x:c r="C1348" s="2" t="str">
        <x:v>Beauty / organic_sales_growth</x:v>
      </x:c>
      <x:c r="D1348" s="2" t="str">
        <x:v>Own history</x:v>
      </x:c>
      <x:c r="E1348" s="7" t="n">
        <x:v>45291</x:v>
      </x:c>
      <x:c r="F1348" s="2" t="str">
        <x:v>Origin</x:v>
      </x:c>
      <x:c r="G1348" s="7" t="n">
        <x:v>45200</x:v>
      </x:c>
      <x:c r="H1348" s="2" t="n">
        <x:v>8</x:v>
      </x:c>
      <x:c r="I1348" s="8" t="n">
        <x:v>27</x:v>
      </x:c>
      <x:c r="J1348" s="8" t="n">
        <x:v>0</x:v>
      </x:c>
      <x:c r="K1348" s="8" t="n">
        <x:v>32</x:v>
      </x:c>
      <x:c r="L1348" s="8" t="n">
        <x:v>127</x:v>
      </x:c>
      <x:c r="M1348" s="8" t="n">
        <x:v>0</x:v>
      </x:c>
      <x:c r="N1348" s="8" t="n">
        <x:v>0</x:v>
      </x:c>
      <x:c r="O1348" s="8" t="n">
        <x:v>105</x:v>
      </x:c>
      <x:c r="P1348" s="8" t="n">
        <x:v>0</x:v>
      </x:c>
      <x:c r="Q1348" s="8" t="n">
        <x:v>11</x:v>
      </x:c>
      <x:c r="R1348" s="8" t="n">
        <x:v>0</x:v>
      </x:c>
      <x:c r="S1348" s="8" t="n">
        <x:f>L1348-I1348^2/H1348</x:f>
        <x:v>35.875</x:v>
      </x:c>
      <x:c r="T1348" s="8" t="n">
        <x:f>M1348-J1348^2/H1348</x:f>
        <x:v>0</x:v>
      </x:c>
      <x:c r="U1348" s="8" t="n">
        <x:f>N1348-I1348*J1348/H1348</x:f>
        <x:v>0</x:v>
      </x:c>
      <x:c r="V1348" s="8" t="n">
        <x:f>O1348-I1348*K1348/H1348</x:f>
        <x:v>-3</x:v>
      </x:c>
      <x:c r="W1348" s="8" t="n">
        <x:f>P1348-J1348*K1348/H1348</x:f>
        <x:v>0</x:v>
      </x:c>
      <x:c r="X1348" s="8" t="n">
        <x:f>V1348/S1348</x:f>
        <x:v>-0.08362369337979095</x:v>
      </x:c>
      <x:c r="Y1348" s="8" t="n">
        <x:f>0</x:f>
        <x:v>0</x:v>
      </x:c>
      <x:c r="Z1348" s="8" t="n">
        <x:f>K1348/H1348-X1348*I1348/H1348-Y1348*J1348/H1348</x:f>
        <x:v>4.2822299651567945</x:v>
      </x:c>
      <x:c r="AA1348" s="8" t="n">
        <x:f>Z1348+X1348*Q1348+Y1348*R1348</x:f>
        <x:v>3.362369337979094</x:v>
      </x:c>
    </x:row>
    <x:row r="1349" ht="26" customHeight="1">
      <x:c r="A1349" s="2"/>
      <x:c r="B1349" s="2" t="n">
        <x:v>1344</x:v>
      </x:c>
      <x:c r="C1349" s="2" t="str">
        <x:v>Beauty / organic_sales_growth</x:v>
      </x:c>
      <x:c r="D1349" s="2" t="str">
        <x:v>Broad market</x:v>
      </x:c>
      <x:c r="E1349" s="7" t="n">
        <x:v>45291</x:v>
      </x:c>
      <x:c r="F1349" s="2" t="str">
        <x:v>Prior report</x:v>
      </x:c>
      <x:c r="G1349" s="7" t="n">
        <x:v>45217</x:v>
      </x:c>
      <x:c r="H1349" s="2" t="n">
        <x:v>11</x:v>
      </x:c>
      <x:c r="I1349" s="8" t="n">
        <x:v>73.12033413518846</x:v>
      </x:c>
      <x:c r="J1349" s="8" t="n">
        <x:v>0</x:v>
      </x:c>
      <x:c r="K1349" s="8" t="n">
        <x:v>50</x:v>
      </x:c>
      <x:c r="L1349" s="8" t="n">
        <x:v>678.6776699425096</x:v>
      </x:c>
      <x:c r="M1349" s="8" t="n">
        <x:v>0</x:v>
      </x:c>
      <x:c r="N1349" s="8" t="n">
        <x:v>0</x:v>
      </x:c>
      <x:c r="O1349" s="8" t="n">
        <x:v>379.06541217062625</x:v>
      </x:c>
      <x:c r="P1349" s="8" t="n">
        <x:v>0</x:v>
      </x:c>
      <x:c r="Q1349" s="8" t="n">
        <x:v>8.004941225849315</x:v>
      </x:c>
      <x:c r="R1349" s="8" t="n">
        <x:v>0</x:v>
      </x:c>
      <x:c r="S1349" s="8" t="n">
        <x:f>L1349-I1349^2/H1349</x:f>
        <x:v>192.6246459387272</x:v>
      </x:c>
      <x:c r="T1349" s="8" t="n">
        <x:f>M1349-J1349^2/H1349</x:f>
        <x:v>0</x:v>
      </x:c>
      <x:c r="U1349" s="8" t="n">
        <x:f>N1349-I1349*J1349/H1349</x:f>
        <x:v>0</x:v>
      </x:c>
      <x:c r="V1349" s="8" t="n">
        <x:f>O1349-I1349*K1349/H1349</x:f>
        <x:v>46.70025701067868</x:v>
      </x:c>
      <x:c r="W1349" s="8" t="n">
        <x:f>P1349-J1349*K1349/H1349</x:f>
        <x:v>0</x:v>
      </x:c>
      <x:c r="X1349" s="8" t="n">
        <x:f>V1349/S1349</x:f>
        <x:v>0.242441753925579</x:v>
      </x:c>
      <x:c r="Y1349" s="8" t="n">
        <x:f>0</x:f>
        <x:v>0</x:v>
      </x:c>
      <x:c r="Z1349" s="8" t="n">
        <x:f>K1349/H1349-X1349*I1349/H1349-Y1349*J1349/H1349</x:f>
        <x:v>2.933870722240048</x:v>
      </x:c>
      <x:c r="AA1349" s="8" t="n">
        <x:f>Z1349+X1349*Q1349+Y1349*R1349</x:f>
        <x:v>4.87460271310613</x:v>
      </x:c>
    </x:row>
    <x:row r="1350" ht="26" customHeight="1">
      <x:c r="A1350" s="2"/>
      <x:c r="B1350" s="2" t="n">
        <x:v>1345</x:v>
      </x:c>
      <x:c r="C1350" s="2" t="str">
        <x:v>Beauty / organic_sales_growth</x:v>
      </x:c>
      <x:c r="D1350" s="2" t="str">
        <x:v>Broad lag 1</x:v>
      </x:c>
      <x:c r="E1350" s="7" t="n">
        <x:v>45291</x:v>
      </x:c>
      <x:c r="F1350" s="2" t="str">
        <x:v>Prior report</x:v>
      </x:c>
      <x:c r="G1350" s="7" t="n">
        <x:v>45217</x:v>
      </x:c>
      <x:c r="H1350" s="2" t="n">
        <x:v>10</x:v>
      </x:c>
      <x:c r="I1350" s="8" t="n">
        <x:v>65.11420219967268</x:v>
      </x:c>
      <x:c r="J1350" s="8" t="n">
        <x:v>0</x:v>
      </x:c>
      <x:c r="K1350" s="8" t="n">
        <x:v>43</x:v>
      </x:c>
      <x:c r="L1350" s="8" t="n">
        <x:v>614.579521373624</x:v>
      </x:c>
      <x:c r="M1350" s="8" t="n">
        <x:v>0</x:v>
      </x:c>
      <x:c r="N1350" s="8" t="n">
        <x:v>0</x:v>
      </x:c>
      <x:c r="O1350" s="8" t="n">
        <x:v>253.75024984545374</x:v>
      </x:c>
      <x:c r="P1350" s="8" t="n">
        <x:v>0</x:v>
      </x:c>
      <x:c r="Q1350" s="8" t="n">
        <x:v>8.006131935515782</x:v>
      </x:c>
      <x:c r="R1350" s="8" t="n">
        <x:v>0</x:v>
      </x:c>
      <x:c r="S1350" s="8" t="n">
        <x:f>L1350-I1350^2/H1350</x:f>
        <x:v>190.5935885636382</x:v>
      </x:c>
      <x:c r="T1350" s="8" t="n">
        <x:f>M1350-J1350^2/H1350</x:f>
        <x:v>0</x:v>
      </x:c>
      <x:c r="U1350" s="8" t="n">
        <x:f>N1350-I1350*J1350/H1350</x:f>
        <x:v>0</x:v>
      </x:c>
      <x:c r="V1350" s="8" t="n">
        <x:f>O1350-I1350*K1350/H1350</x:f>
        <x:v>-26.24081961313877</x:v>
      </x:c>
      <x:c r="W1350" s="8" t="n">
        <x:f>P1350-J1350*K1350/H1350</x:f>
        <x:v>0</x:v>
      </x:c>
      <x:c r="X1350" s="8" t="n">
        <x:f>V1350/S1350</x:f>
        <x:v>-0.13767944562509296</x:v>
      </x:c>
      <x:c r="Y1350" s="8" t="n">
        <x:f>0</x:f>
        <x:v>0</x:v>
      </x:c>
      <x:c r="Z1350" s="8" t="n">
        <x:f>K1350/H1350-X1350*I1350/H1350-Y1350*J1350/H1350</x:f>
        <x:v>5.196488726117114</x:v>
      </x:c>
      <x:c r="AA1350" s="8" t="n">
        <x:f>Z1350+X1350*Q1350+Y1350*R1350</x:f>
        <x:v>4.0942089196339495</x:v>
      </x:c>
    </x:row>
    <x:row r="1351" ht="26" customHeight="1">
      <x:c r="A1351" s="2"/>
      <x:c r="B1351" s="2" t="n">
        <x:v>1346</x:v>
      </x:c>
      <x:c r="C1351" s="2" t="str">
        <x:v>Beauty / organic_sales_growth</x:v>
      </x:c>
      <x:c r="D1351" s="2" t="str">
        <x:v>Broad rolling 8</x:v>
      </x:c>
      <x:c r="E1351" s="7" t="n">
        <x:v>45291</x:v>
      </x:c>
      <x:c r="F1351" s="2" t="str">
        <x:v>Prior report</x:v>
      </x:c>
      <x:c r="G1351" s="7" t="n">
        <x:v>45217</x:v>
      </x:c>
      <x:c r="H1351" s="2" t="n">
        <x:v>8</x:v>
      </x:c>
      <x:c r="I1351" s="8" t="n">
        <x:v>44.554593889830606</x:v>
      </x:c>
      <x:c r="J1351" s="8" t="n">
        <x:v>0</x:v>
      </x:c>
      <x:c r="K1351" s="8" t="n">
        <x:v>35</x:v>
      </x:c>
      <x:c r="L1351" s="8" t="n">
        <x:v>294.7135176770776</x:v>
      </x:c>
      <x:c r="M1351" s="8" t="n">
        <x:v>0</x:v>
      </x:c>
      <x:c r="N1351" s="8" t="n">
        <x:v>0</x:v>
      </x:c>
      <x:c r="O1351" s="8" t="n">
        <x:v>233.66154547172277</x:v>
      </x:c>
      <x:c r="P1351" s="8" t="n">
        <x:v>0</x:v>
      </x:c>
      <x:c r="Q1351" s="8" t="n">
        <x:v>8.004941225849315</x:v>
      </x:c>
      <x:c r="R1351" s="8" t="n">
        <x:v>0</x:v>
      </x:c>
      <x:c r="S1351" s="8" t="n">
        <x:f>L1351-I1351^2/H1351</x:f>
        <x:v>46.574538091111265</x:v>
      </x:c>
      <x:c r="T1351" s="8" t="n">
        <x:f>M1351-J1351^2/H1351</x:f>
        <x:v>0</x:v>
      </x:c>
      <x:c r="U1351" s="8" t="n">
        <x:f>N1351-I1351*J1351/H1351</x:f>
        <x:v>0</x:v>
      </x:c>
      <x:c r="V1351" s="8" t="n">
        <x:f>O1351-I1351*K1351/H1351</x:f>
        <x:v>38.73519720371388</x:v>
      </x:c>
      <x:c r="W1351" s="8" t="n">
        <x:f>P1351-J1351*K1351/H1351</x:f>
        <x:v>0</x:v>
      </x:c>
      <x:c r="X1351" s="8" t="n">
        <x:f>V1351/S1351</x:f>
        <x:v>0.8316818328490623</x:v>
      </x:c>
      <x:c r="Y1351" s="8" t="n">
        <x:f>0</x:f>
        <x:v>0</x:v>
      </x:c>
      <x:c r="Z1351" s="8" t="n">
        <x:f>K1351/H1351-X1351*I1351/H1351-Y1351*J1351/H1351</x:f>
        <x:v>-0.2569057885174937</x:v>
      </x:c>
      <x:c r="AA1351" s="8" t="n">
        <x:f>Z1351+X1351*Q1351+Y1351*R1351</x:f>
        <x:v>6.400658402045884</x:v>
      </x:c>
    </x:row>
    <x:row r="1352" ht="26" customHeight="1">
      <x:c r="A1352" s="2"/>
      <x:c r="B1352" s="2" t="n">
        <x:v>1347</x:v>
      </x:c>
      <x:c r="C1352" s="2" t="str">
        <x:v>Beauty / organic_sales_growth</x:v>
      </x:c>
      <x:c r="D1352" s="2" t="str">
        <x:v>Own history</x:v>
      </x:c>
      <x:c r="E1352" s="7" t="n">
        <x:v>45291</x:v>
      </x:c>
      <x:c r="F1352" s="2" t="str">
        <x:v>Prior report</x:v>
      </x:c>
      <x:c r="G1352" s="7" t="n">
        <x:v>45217</x:v>
      </x:c>
      <x:c r="H1352" s="2" t="n">
        <x:v>10</x:v>
      </x:c>
      <x:c r="I1352" s="8" t="n">
        <x:v>45</x:v>
      </x:c>
      <x:c r="J1352" s="8" t="n">
        <x:v>0</x:v>
      </x:c>
      <x:c r="K1352" s="8" t="n">
        <x:v>43</x:v>
      </x:c>
      <x:c r="L1352" s="8" t="n">
        <x:v>297</x:v>
      </x:c>
      <x:c r="M1352" s="8" t="n">
        <x:v>0</x:v>
      </x:c>
      <x:c r="N1352" s="8" t="n">
        <x:v>0</x:v>
      </x:c>
      <x:c r="O1352" s="8" t="n">
        <x:v>229</x:v>
      </x:c>
      <x:c r="P1352" s="8" t="n">
        <x:v>0</x:v>
      </x:c>
      <x:c r="Q1352" s="8" t="n">
        <x:v>5</x:v>
      </x:c>
      <x:c r="R1352" s="8" t="n">
        <x:v>0</x:v>
      </x:c>
      <x:c r="S1352" s="8" t="n">
        <x:f>L1352-I1352^2/H1352</x:f>
        <x:v>94.5</x:v>
      </x:c>
      <x:c r="T1352" s="8" t="n">
        <x:f>M1352-J1352^2/H1352</x:f>
        <x:v>0</x:v>
      </x:c>
      <x:c r="U1352" s="8" t="n">
        <x:f>N1352-I1352*J1352/H1352</x:f>
        <x:v>0</x:v>
      </x:c>
      <x:c r="V1352" s="8" t="n">
        <x:f>O1352-I1352*K1352/H1352</x:f>
        <x:v>35.5</x:v>
      </x:c>
      <x:c r="W1352" s="8" t="n">
        <x:f>P1352-J1352*K1352/H1352</x:f>
        <x:v>0</x:v>
      </x:c>
      <x:c r="X1352" s="8" t="n">
        <x:f>V1352/S1352</x:f>
        <x:v>0.37566137566137564</x:v>
      </x:c>
      <x:c r="Y1352" s="8" t="n">
        <x:f>0</x:f>
        <x:v>0</x:v>
      </x:c>
      <x:c r="Z1352" s="8" t="n">
        <x:f>K1352/H1352-X1352*I1352/H1352-Y1352*J1352/H1352</x:f>
        <x:v>2.609523809523809</x:v>
      </x:c>
      <x:c r="AA1352" s="8" t="n">
        <x:f>Z1352+X1352*Q1352+Y1352*R1352</x:f>
        <x:v>4.487830687830687</x:v>
      </x:c>
    </x:row>
    <x:row r="1353" ht="26" customHeight="1">
      <x:c r="A1353" s="2"/>
      <x:c r="B1353" s="2" t="n">
        <x:v>1348</x:v>
      </x:c>
      <x:c r="C1353" s="2" t="str">
        <x:v>Beauty / organic_sales_growth</x:v>
      </x:c>
      <x:c r="D1353" s="2" t="str">
        <x:v>Broad market</x:v>
      </x:c>
      <x:c r="E1353" s="7" t="n">
        <x:v>45291</x:v>
      </x:c>
      <x:c r="F1353" s="2" t="str">
        <x:v>Pre-earnings</x:v>
      </x:c>
      <x:c r="G1353" s="7" t="n">
        <x:v>45313</x:v>
      </x:c>
      <x:c r="H1353" s="2" t="n">
        <x:v>11</x:v>
      </x:c>
      <x:c r="I1353" s="8" t="n">
        <x:v>73.37889393679964</x:v>
      </x:c>
      <x:c r="J1353" s="8" t="n">
        <x:v>0</x:v>
      </x:c>
      <x:c r="K1353" s="8" t="n">
        <x:v>50</x:v>
      </x:c>
      <x:c r="L1353" s="8" t="n">
        <x:v>682.4352951915308</x:v>
      </x:c>
      <x:c r="M1353" s="8" t="n">
        <x:v>0</x:v>
      </x:c>
      <x:c r="N1353" s="8" t="n">
        <x:v>0</x:v>
      </x:c>
      <x:c r="O1353" s="8" t="n">
        <x:v>380.3470724632676</x:v>
      </x:c>
      <x:c r="P1353" s="8" t="n">
        <x:v>0</x:v>
      </x:c>
      <x:c r="Q1353" s="8" t="n">
        <x:v>10.13967363388517</x:v>
      </x:c>
      <x:c r="R1353" s="8" t="n">
        <x:v>0</x:v>
      </x:c>
      <x:c r="S1353" s="8" t="n">
        <x:f>L1353-I1353^2/H1353</x:f>
        <x:v>192.9387428835226</x:v>
      </x:c>
      <x:c r="T1353" s="8" t="n">
        <x:f>M1353-J1353^2/H1353</x:f>
        <x:v>0</x:v>
      </x:c>
      <x:c r="U1353" s="8" t="n">
        <x:f>N1353-I1353*J1353/H1353</x:f>
        <x:v>0</x:v>
      </x:c>
      <x:c r="V1353" s="8" t="n">
        <x:f>O1353-I1353*K1353/H1353</x:f>
        <x:v>46.80664547781464</x:v>
      </x:c>
      <x:c r="W1353" s="8" t="n">
        <x:f>P1353-J1353*K1353/H1353</x:f>
        <x:v>0</x:v>
      </x:c>
      <x:c r="X1353" s="8" t="n">
        <x:f>V1353/S1353</x:f>
        <x:v>0.2425984785547809</x:v>
      </x:c>
      <x:c r="Y1353" s="8" t="n">
        <x:f>0</x:f>
        <x:v>0</x:v>
      </x:c>
      <x:c r="Z1353" s="8" t="n">
        <x:f>K1353/H1353-X1353*I1353/H1353-Y1353*J1353/H1353</x:f>
        <x:v>2.9271265429908886</x:v>
      </x:c>
      <x:c r="AA1353" s="8" t="n">
        <x:f>Z1353+X1353*Q1353+Y1353*R1353</x:f>
        <x:v>5.386995939613458</x:v>
      </x:c>
    </x:row>
    <x:row r="1354" ht="26" customHeight="1">
      <x:c r="A1354" s="2"/>
      <x:c r="B1354" s="2" t="n">
        <x:v>1349</x:v>
      </x:c>
      <x:c r="C1354" s="2" t="str">
        <x:v>Beauty / organic_sales_growth</x:v>
      </x:c>
      <x:c r="D1354" s="2" t="str">
        <x:v>Broad lag 1</x:v>
      </x:c>
      <x:c r="E1354" s="7" t="n">
        <x:v>45291</x:v>
      </x:c>
      <x:c r="F1354" s="2" t="str">
        <x:v>Pre-earnings</x:v>
      </x:c>
      <x:c r="G1354" s="7" t="n">
        <x:v>45313</x:v>
      </x:c>
      <x:c r="H1354" s="2" t="n">
        <x:v>10</x:v>
      </x:c>
      <x:c r="I1354" s="8" t="n">
        <x:v>65.15485535171774</x:v>
      </x:c>
      <x:c r="J1354" s="8" t="n">
        <x:v>0</x:v>
      </x:c>
      <x:c r="K1354" s="8" t="n">
        <x:v>43</x:v>
      </x:c>
      <x:c r="L1354" s="8" t="n">
        <x:v>614.8004845426151</x:v>
      </x:c>
      <x:c r="M1354" s="8" t="n">
        <x:v>0</x:v>
      </x:c>
      <x:c r="N1354" s="8" t="n">
        <x:v>0</x:v>
      </x:c>
      <x:c r="O1354" s="8" t="n">
        <x:v>253.754151555067</x:v>
      </x:c>
      <x:c r="P1354" s="8" t="n">
        <x:v>0</x:v>
      </x:c>
      <x:c r="Q1354" s="8" t="n">
        <x:v>8.224038585081894</x:v>
      </x:c>
      <x:c r="R1354" s="8" t="n">
        <x:v>0</x:v>
      </x:c>
      <x:c r="S1354" s="8" t="n">
        <x:f>L1354-I1354^2/H1354</x:f>
        <x:v>190.28496695228893</x:v>
      </x:c>
      <x:c r="T1354" s="8" t="n">
        <x:f>M1354-J1354^2/H1354</x:f>
        <x:v>0</x:v>
      </x:c>
      <x:c r="U1354" s="8" t="n">
        <x:f>N1354-I1354*J1354/H1354</x:f>
        <x:v>0</x:v>
      </x:c>
      <x:c r="V1354" s="8" t="n">
        <x:f>O1354-I1354*K1354/H1354</x:f>
        <x:v>-26.411726457319304</x:v>
      </x:c>
      <x:c r="W1354" s="8" t="n">
        <x:f>P1354-J1354*K1354/H1354</x:f>
        <x:v>0</x:v>
      </x:c>
      <x:c r="X1354" s="8" t="n">
        <x:f>V1354/S1354</x:f>
        <x:v>-0.13880090939575718</x:v>
      </x:c>
      <x:c r="Y1354" s="8" t="n">
        <x:f>0</x:f>
        <x:v>0</x:v>
      </x:c>
      <x:c r="Z1354" s="8" t="n">
        <x:f>K1354/H1354-X1354*I1354/H1354-Y1354*J1354/H1354</x:f>
        <x:v>5.204355317436744</x:v>
      </x:c>
      <x:c r="AA1354" s="8" t="n">
        <x:f>Z1354+X1354*Q1354+Y1354*R1354</x:f>
        <x:v>4.0628512829215815</x:v>
      </x:c>
    </x:row>
    <x:row r="1355" ht="26" customHeight="1">
      <x:c r="A1355" s="2"/>
      <x:c r="B1355" s="2" t="n">
        <x:v>1350</x:v>
      </x:c>
      <x:c r="C1355" s="2" t="str">
        <x:v>Beauty / organic_sales_growth</x:v>
      </x:c>
      <x:c r="D1355" s="2" t="str">
        <x:v>Broad rolling 8</x:v>
      </x:c>
      <x:c r="E1355" s="7" t="n">
        <x:v>45291</x:v>
      </x:c>
      <x:c r="F1355" s="2" t="str">
        <x:v>Pre-earnings</x:v>
      </x:c>
      <x:c r="G1355" s="7" t="n">
        <x:v>45313</x:v>
      </x:c>
      <x:c r="H1355" s="2" t="n">
        <x:v>8</x:v>
      </x:c>
      <x:c r="I1355" s="8" t="n">
        <x:v>44.813153691441784</x:v>
      </x:c>
      <x:c r="J1355" s="8" t="n">
        <x:v>0</x:v>
      </x:c>
      <x:c r="K1355" s="8" t="n">
        <x:v>35</x:v>
      </x:c>
      <x:c r="L1355" s="8" t="n">
        <x:v>298.4711429260989</x:v>
      </x:c>
      <x:c r="M1355" s="8" t="n">
        <x:v>0</x:v>
      </x:c>
      <x:c r="N1355" s="8" t="n">
        <x:v>0</x:v>
      </x:c>
      <x:c r="O1355" s="8" t="n">
        <x:v>234.94320576436408</x:v>
      </x:c>
      <x:c r="P1355" s="8" t="n">
        <x:v>0</x:v>
      </x:c>
      <x:c r="Q1355" s="8" t="n">
        <x:v>10.13967363388517</x:v>
      </x:c>
      <x:c r="R1355" s="8" t="n">
        <x:v>0</x:v>
      </x:c>
      <x:c r="S1355" s="8" t="n">
        <x:f>L1355-I1355^2/H1355</x:f>
        <x:v>47.44379995450109</x:v>
      </x:c>
      <x:c r="T1355" s="8" t="n">
        <x:f>M1355-J1355^2/H1355</x:f>
        <x:v>0</x:v>
      </x:c>
      <x:c r="U1355" s="8" t="n">
        <x:f>N1355-I1355*J1355/H1355</x:f>
        <x:v>0</x:v>
      </x:c>
      <x:c r="V1355" s="8" t="n">
        <x:f>O1355-I1355*K1355/H1355</x:f>
        <x:v>38.885658364306266</x:v>
      </x:c>
      <x:c r="W1355" s="8" t="n">
        <x:f>P1355-J1355*K1355/H1355</x:f>
        <x:v>0</x:v>
      </x:c>
      <x:c r="X1355" s="8" t="n">
        <x:f>V1355/S1355</x:f>
        <x:v>0.8196151741976373</x:v>
      </x:c>
      <x:c r="Y1355" s="8" t="n">
        <x:f>0</x:f>
        <x:v>0</x:v>
      </x:c>
      <x:c r="Z1355" s="8" t="n">
        <x:f>K1355/H1355-X1355*I1355/H1355-Y1355*J1355/H1355</x:f>
        <x:v>-0.21619259614456876</x:v>
      </x:c>
      <x:c r="AA1355" s="8" t="n">
        <x:f>Z1355+X1355*Q1355+Y1355*R1355</x:f>
        <x:v>8.094437775599417</x:v>
      </x:c>
    </x:row>
    <x:row r="1356" ht="26" customHeight="1">
      <x:c r="A1356" s="2"/>
      <x:c r="B1356" s="2" t="n">
        <x:v>1351</x:v>
      </x:c>
      <x:c r="C1356" s="2" t="str">
        <x:v>Beauty / organic_sales_growth</x:v>
      </x:c>
      <x:c r="D1356" s="2" t="str">
        <x:v>Own history</x:v>
      </x:c>
      <x:c r="E1356" s="7" t="n">
        <x:v>45291</x:v>
      </x:c>
      <x:c r="F1356" s="2" t="str">
        <x:v>Pre-earnings</x:v>
      </x:c>
      <x:c r="G1356" s="7" t="n">
        <x:v>45313</x:v>
      </x:c>
      <x:c r="H1356" s="2" t="n">
        <x:v>10</x:v>
      </x:c>
      <x:c r="I1356" s="8" t="n">
        <x:v>45</x:v>
      </x:c>
      <x:c r="J1356" s="8" t="n">
        <x:v>0</x:v>
      </x:c>
      <x:c r="K1356" s="8" t="n">
        <x:v>43</x:v>
      </x:c>
      <x:c r="L1356" s="8" t="n">
        <x:v>297</x:v>
      </x:c>
      <x:c r="M1356" s="8" t="n">
        <x:v>0</x:v>
      </x:c>
      <x:c r="N1356" s="8" t="n">
        <x:v>0</x:v>
      </x:c>
      <x:c r="O1356" s="8" t="n">
        <x:v>229</x:v>
      </x:c>
      <x:c r="P1356" s="8" t="n">
        <x:v>0</x:v>
      </x:c>
      <x:c r="Q1356" s="8" t="n">
        <x:v>5</x:v>
      </x:c>
      <x:c r="R1356" s="8" t="n">
        <x:v>0</x:v>
      </x:c>
      <x:c r="S1356" s="8" t="n">
        <x:f>L1356-I1356^2/H1356</x:f>
        <x:v>94.5</x:v>
      </x:c>
      <x:c r="T1356" s="8" t="n">
        <x:f>M1356-J1356^2/H1356</x:f>
        <x:v>0</x:v>
      </x:c>
      <x:c r="U1356" s="8" t="n">
        <x:f>N1356-I1356*J1356/H1356</x:f>
        <x:v>0</x:v>
      </x:c>
      <x:c r="V1356" s="8" t="n">
        <x:f>O1356-I1356*K1356/H1356</x:f>
        <x:v>35.5</x:v>
      </x:c>
      <x:c r="W1356" s="8" t="n">
        <x:f>P1356-J1356*K1356/H1356</x:f>
        <x:v>0</x:v>
      </x:c>
      <x:c r="X1356" s="8" t="n">
        <x:f>V1356/S1356</x:f>
        <x:v>0.37566137566137564</x:v>
      </x:c>
      <x:c r="Y1356" s="8" t="n">
        <x:f>0</x:f>
        <x:v>0</x:v>
      </x:c>
      <x:c r="Z1356" s="8" t="n">
        <x:f>K1356/H1356-X1356*I1356/H1356-Y1356*J1356/H1356</x:f>
        <x:v>2.609523809523809</x:v>
      </x:c>
      <x:c r="AA1356" s="8" t="n">
        <x:f>Z1356+X1356*Q1356+Y1356*R1356</x:f>
        <x:v>4.487830687830687</x:v>
      </x:c>
    </x:row>
    <x:row r="1357" ht="26" customHeight="1">
      <x:c r="A1357" s="2"/>
      <x:c r="B1357" s="2" t="n">
        <x:v>1352</x:v>
      </x:c>
      <x:c r="C1357" s="2" t="str">
        <x:v>Beauty / organic_sales_growth</x:v>
      </x:c>
      <x:c r="D1357" s="2" t="str">
        <x:v>Broad market</x:v>
      </x:c>
      <x:c r="E1357" s="7" t="n">
        <x:v>45382</x:v>
      </x:c>
      <x:c r="F1357" s="2" t="str">
        <x:v>Origin</x:v>
      </x:c>
      <x:c r="G1357" s="7" t="n">
        <x:v>45292</x:v>
      </x:c>
      <x:c r="H1357" s="2" t="n">
        <x:v>11</x:v>
      </x:c>
      <x:c r="I1357" s="8" t="n">
        <x:v>73.19875409943437</x:v>
      </x:c>
      <x:c r="J1357" s="8" t="n">
        <x:v>0</x:v>
      </x:c>
      <x:c r="K1357" s="8" t="n">
        <x:v>50</x:v>
      </x:c>
      <x:c r="L1357" s="8" t="n">
        <x:v>681.3754334007082</x:v>
      </x:c>
      <x:c r="M1357" s="8" t="n">
        <x:v>0</x:v>
      </x:c>
      <x:c r="N1357" s="8" t="n">
        <x:v>0</x:v>
      </x:c>
      <x:c r="O1357" s="8" t="n">
        <x:v>379.80665295117177</x:v>
      </x:c>
      <x:c r="P1357" s="8" t="n">
        <x:v>0</x:v>
      </x:c>
      <x:c r="Q1357" s="8" t="n">
        <x:v>10.039734863039062</x:v>
      </x:c>
      <x:c r="R1357" s="8" t="n">
        <x:v>0</x:v>
      </x:c>
      <x:c r="S1357" s="8" t="n">
        <x:f>L1357-I1357^2/H1357</x:f>
        <x:v>194.27928779075728</x:v>
      </x:c>
      <x:c r="T1357" s="8" t="n">
        <x:f>M1357-J1357^2/H1357</x:f>
        <x:v>0</x:v>
      </x:c>
      <x:c r="U1357" s="8" t="n">
        <x:f>N1357-I1357*J1357/H1357</x:f>
        <x:v>0</x:v>
      </x:c>
      <x:c r="V1357" s="8" t="n">
        <x:f>O1357-I1357*K1357/H1357</x:f>
        <x:v>47.0850434082883</x:v>
      </x:c>
      <x:c r="W1357" s="8" t="n">
        <x:f>P1357-J1357*K1357/H1357</x:f>
        <x:v>0</x:v>
      </x:c>
      <x:c r="X1357" s="8" t="n">
        <x:f>V1357/S1357</x:f>
        <x:v>0.24235750472278775</x:v>
      </x:c>
      <x:c r="Y1357" s="8" t="n">
        <x:f>0</x:f>
        <x:v>0</x:v>
      </x:c>
      <x:c r="Z1357" s="8" t="n">
        <x:f>K1357/H1357-X1357*I1357/H1357-Y1357*J1357/H1357</x:f>
        <x:v>2.9327029643312876</x:v>
      </x:c>
      <x:c r="AA1357" s="8" t="n">
        <x:f>Z1357+X1357*Q1357+Y1357*R1357</x:f>
        <x:v>5.365908053815813</x:v>
      </x:c>
    </x:row>
    <x:row r="1358" ht="26" customHeight="1">
      <x:c r="A1358" s="2"/>
      <x:c r="B1358" s="2" t="n">
        <x:v>1353</x:v>
      </x:c>
      <x:c r="C1358" s="2" t="str">
        <x:v>Beauty / organic_sales_growth</x:v>
      </x:c>
      <x:c r="D1358" s="2" t="str">
        <x:v>Broad rolling 8</x:v>
      </x:c>
      <x:c r="E1358" s="7" t="n">
        <x:v>45382</x:v>
      </x:c>
      <x:c r="F1358" s="2" t="str">
        <x:v>Origin</x:v>
      </x:c>
      <x:c r="G1358" s="7" t="n">
        <x:v>45292</x:v>
      </x:c>
      <x:c r="H1358" s="2" t="n">
        <x:v>8</x:v>
      </x:c>
      <x:c r="I1358" s="8" t="n">
        <x:v>44.633013854076516</x:v>
      </x:c>
      <x:c r="J1358" s="8" t="n">
        <x:v>0</x:v>
      </x:c>
      <x:c r="K1358" s="8" t="n">
        <x:v>35</x:v>
      </x:c>
      <x:c r="L1358" s="8" t="n">
        <x:v>297.4112811352762</x:v>
      </x:c>
      <x:c r="M1358" s="8" t="n">
        <x:v>0</x:v>
      </x:c>
      <x:c r="N1358" s="8" t="n">
        <x:v>0</x:v>
      </x:c>
      <x:c r="O1358" s="8" t="n">
        <x:v>234.40278625226827</x:v>
      </x:c>
      <x:c r="P1358" s="8" t="n">
        <x:v>0</x:v>
      </x:c>
      <x:c r="Q1358" s="8" t="n">
        <x:v>10.039734863039062</x:v>
      </x:c>
      <x:c r="R1358" s="8" t="n">
        <x:v>0</x:v>
      </x:c>
      <x:c r="S1358" s="8" t="n">
        <x:f>L1358-I1358^2/H1358</x:f>
        <x:v>48.39804042300295</x:v>
      </x:c>
      <x:c r="T1358" s="8" t="n">
        <x:f>M1358-J1358^2/H1358</x:f>
        <x:v>0</x:v>
      </x:c>
      <x:c r="U1358" s="8" t="n">
        <x:f>N1358-I1358*J1358/H1358</x:f>
        <x:v>0</x:v>
      </x:c>
      <x:c r="V1358" s="8" t="n">
        <x:f>O1358-I1358*K1358/H1358</x:f>
        <x:v>39.13335064068352</x:v>
      </x:c>
      <x:c r="W1358" s="8" t="n">
        <x:f>P1358-J1358*K1358/H1358</x:f>
        <x:v>0</x:v>
      </x:c>
      <x:c r="X1358" s="8" t="n">
        <x:f>V1358/S1358</x:f>
        <x:v>0.8085730392936312</x:v>
      </x:c>
      <x:c r="Y1358" s="8" t="n">
        <x:f>0</x:f>
        <x:v>0</x:v>
      </x:c>
      <x:c r="Z1358" s="8" t="n">
        <x:f>K1358/H1358-X1358*I1358/H1358-Y1358*J1358/H1358</x:f>
        <x:v>-0.13613145810317473</x:v>
      </x:c>
      <x:c r="AA1358" s="8" t="n">
        <x:f>Z1358+X1358*Q1358+Y1358*R1358</x:f>
        <x:v>7.981727473806548</x:v>
      </x:c>
    </x:row>
    <x:row r="1359" ht="26" customHeight="1">
      <x:c r="A1359" s="2"/>
      <x:c r="B1359" s="2" t="n">
        <x:v>1354</x:v>
      </x:c>
      <x:c r="C1359" s="2" t="str">
        <x:v>Beauty / organic_sales_growth</x:v>
      </x:c>
      <x:c r="D1359" s="2" t="str">
        <x:v>Own history</x:v>
      </x:c>
      <x:c r="E1359" s="7" t="n">
        <x:v>45382</x:v>
      </x:c>
      <x:c r="F1359" s="2" t="str">
        <x:v>Origin</x:v>
      </x:c>
      <x:c r="G1359" s="7" t="n">
        <x:v>45292</x:v>
      </x:c>
      <x:c r="H1359" s="2" t="n">
        <x:v>9</x:v>
      </x:c>
      <x:c r="I1359" s="8" t="n">
        <x:v>34</x:v>
      </x:c>
      <x:c r="J1359" s="8" t="n">
        <x:v>0</x:v>
      </x:c>
      <x:c r="K1359" s="8" t="n">
        <x:v>37</x:v>
      </x:c>
      <x:c r="L1359" s="8" t="n">
        <x:v>176</x:v>
      </x:c>
      <x:c r="M1359" s="8" t="n">
        <x:v>0</x:v>
      </x:c>
      <x:c r="N1359" s="8" t="n">
        <x:v>0</x:v>
      </x:c>
      <x:c r="O1359" s="8" t="n">
        <x:v>140</x:v>
      </x:c>
      <x:c r="P1359" s="8" t="n">
        <x:v>0</x:v>
      </x:c>
      <x:c r="Q1359" s="8" t="n">
        <x:v>5</x:v>
      </x:c>
      <x:c r="R1359" s="8" t="n">
        <x:v>0</x:v>
      </x:c>
      <x:c r="S1359" s="8" t="n">
        <x:f>L1359-I1359^2/H1359</x:f>
        <x:v>47.55555555555554</x:v>
      </x:c>
      <x:c r="T1359" s="8" t="n">
        <x:f>M1359-J1359^2/H1359</x:f>
        <x:v>0</x:v>
      </x:c>
      <x:c r="U1359" s="8" t="n">
        <x:f>N1359-I1359*J1359/H1359</x:f>
        <x:v>0</x:v>
      </x:c>
      <x:c r="V1359" s="8" t="n">
        <x:f>O1359-I1359*K1359/H1359</x:f>
        <x:v>0.22222222222222854</x:v>
      </x:c>
      <x:c r="W1359" s="8" t="n">
        <x:f>P1359-J1359*K1359/H1359</x:f>
        <x:v>0</x:v>
      </x:c>
      <x:c r="X1359" s="8" t="n">
        <x:f>V1359/S1359</x:f>
        <x:v>0.004672897196261816</x:v>
      </x:c>
      <x:c r="Y1359" s="8" t="n">
        <x:f>0</x:f>
        <x:v>0</x:v>
      </x:c>
      <x:c r="Z1359" s="8" t="n">
        <x:f>K1359/H1359-X1359*I1359/H1359-Y1359*J1359/H1359</x:f>
        <x:v>4.093457943925233</x:v>
      </x:c>
      <x:c r="AA1359" s="8" t="n">
        <x:f>Z1359+X1359*Q1359+Y1359*R1359</x:f>
        <x:v>4.116822429906542</x:v>
      </x:c>
    </x:row>
    <x:row r="1360" ht="26" customHeight="1">
      <x:c r="A1360" s="2"/>
      <x:c r="B1360" s="2" t="n">
        <x:v>1355</x:v>
      </x:c>
      <x:c r="C1360" s="2" t="str">
        <x:v>Beauty / organic_sales_growth</x:v>
      </x:c>
      <x:c r="D1360" s="2" t="str">
        <x:v>Broad market</x:v>
      </x:c>
      <x:c r="E1360" s="7" t="n">
        <x:v>45382</x:v>
      </x:c>
      <x:c r="F1360" s="2" t="str">
        <x:v>Prior report</x:v>
      </x:c>
      <x:c r="G1360" s="7" t="n">
        <x:v>45314</x:v>
      </x:c>
      <x:c r="H1360" s="2" t="n">
        <x:v>12</x:v>
      </x:c>
      <x:c r="I1360" s="8" t="n">
        <x:v>83.51856757068481</x:v>
      </x:c>
      <x:c r="J1360" s="8" t="n">
        <x:v>0</x:v>
      </x:c>
      <x:c r="K1360" s="8" t="n">
        <x:v>51</x:v>
      </x:c>
      <x:c r="L1360" s="8" t="n">
        <x:v>785.2482765932369</x:v>
      </x:c>
      <x:c r="M1360" s="8" t="n">
        <x:v>0</x:v>
      </x:c>
      <x:c r="N1360" s="8" t="n">
        <x:v>0</x:v>
      </x:c>
      <x:c r="O1360" s="8" t="n">
        <x:v>390.4867460971527</x:v>
      </x:c>
      <x:c r="P1360" s="8" t="n">
        <x:v>0</x:v>
      </x:c>
      <x:c r="Q1360" s="8" t="n">
        <x:v>10.144433671137332</x:v>
      </x:c>
      <x:c r="R1360" s="8" t="n">
        <x:v>0</x:v>
      </x:c>
      <x:c r="S1360" s="8" t="n">
        <x:f>L1360-I1360^2/H1360</x:f>
        <x:v>203.96901583831664</x:v>
      </x:c>
      <x:c r="T1360" s="8" t="n">
        <x:f>M1360-J1360^2/H1360</x:f>
        <x:v>0</x:v>
      </x:c>
      <x:c r="U1360" s="8" t="n">
        <x:f>N1360-I1360*J1360/H1360</x:f>
        <x:v>0</x:v>
      </x:c>
      <x:c r="V1360" s="8" t="n">
        <x:f>O1360-I1360*K1360/H1360</x:f>
        <x:v>35.53283392174234</x:v>
      </x:c>
      <x:c r="W1360" s="8" t="n">
        <x:f>P1360-J1360*K1360/H1360</x:f>
        <x:v>0</x:v>
      </x:c>
      <x:c r="X1360" s="8" t="n">
        <x:f>V1360/S1360</x:f>
        <x:v>0.17420701754970822</x:v>
      </x:c>
      <x:c r="Y1360" s="8" t="n">
        <x:f>0</x:f>
        <x:v>0</x:v>
      </x:c>
      <x:c r="Z1360" s="8" t="n">
        <x:f>K1360/H1360-X1360*I1360/H1360-Y1360*J1360/H1360</x:f>
        <x:v>3.0375399527906017</x:v>
      </x:c>
      <x:c r="AA1360" s="8" t="n">
        <x:f>Z1360+X1360*Q1360+Y1360*R1360</x:f>
        <x:v>4.804771487370274</x:v>
      </x:c>
    </x:row>
    <x:row r="1361" ht="26" customHeight="1">
      <x:c r="A1361" s="2"/>
      <x:c r="B1361" s="2" t="n">
        <x:v>1356</x:v>
      </x:c>
      <x:c r="C1361" s="2" t="str">
        <x:v>Beauty / organic_sales_growth</x:v>
      </x:c>
      <x:c r="D1361" s="2" t="str">
        <x:v>Broad lag 1</x:v>
      </x:c>
      <x:c r="E1361" s="7" t="n">
        <x:v>45382</x:v>
      </x:c>
      <x:c r="F1361" s="2" t="str">
        <x:v>Prior report</x:v>
      </x:c>
      <x:c r="G1361" s="7" t="n">
        <x:v>45314</x:v>
      </x:c>
      <x:c r="H1361" s="2" t="n">
        <x:v>11</x:v>
      </x:c>
      <x:c r="I1361" s="8" t="n">
        <x:v>73.37889393679964</x:v>
      </x:c>
      <x:c r="J1361" s="8" t="n">
        <x:v>0</x:v>
      </x:c>
      <x:c r="K1361" s="8" t="n">
        <x:v>44</x:v>
      </x:c>
      <x:c r="L1361" s="8" t="n">
        <x:v>682.4352951915308</x:v>
      </x:c>
      <x:c r="M1361" s="8" t="n">
        <x:v>0</x:v>
      </x:c>
      <x:c r="N1361" s="8" t="n">
        <x:v>0</x:v>
      </x:c>
      <x:c r="O1361" s="8" t="n">
        <x:v>261.9781901401489</x:v>
      </x:c>
      <x:c r="P1361" s="8" t="n">
        <x:v>0</x:v>
      </x:c>
      <x:c r="Q1361" s="8" t="n">
        <x:v>10.13967363388517</x:v>
      </x:c>
      <x:c r="R1361" s="8" t="n">
        <x:v>0</x:v>
      </x:c>
      <x:c r="S1361" s="8" t="n">
        <x:f>L1361-I1361^2/H1361</x:f>
        <x:v>192.9387428835226</x:v>
      </x:c>
      <x:c r="T1361" s="8" t="n">
        <x:f>M1361-J1361^2/H1361</x:f>
        <x:v>0</x:v>
      </x:c>
      <x:c r="U1361" s="8" t="n">
        <x:f>N1361-I1361*J1361/H1361</x:f>
        <x:v>0</x:v>
      </x:c>
      <x:c r="V1361" s="8" t="n">
        <x:f>O1361-I1361*K1361/H1361</x:f>
        <x:v>-31.537385607049657</x:v>
      </x:c>
      <x:c r="W1361" s="8" t="n">
        <x:f>P1361-J1361*K1361/H1361</x:f>
        <x:v>0</x:v>
      </x:c>
      <x:c r="X1361" s="8" t="n">
        <x:f>V1361/S1361</x:f>
        <x:v>-0.1634580237007599</x:v>
      </x:c>
      <x:c r="Y1361" s="8" t="n">
        <x:f>0</x:f>
        <x:v>0</x:v>
      </x:c>
      <x:c r="Z1361" s="8" t="n">
        <x:f>K1361/H1361-X1361*I1361/H1361-Y1361*J1361/H1361</x:f>
        <x:v>5.0903971803869945</x:v>
      </x:c>
      <x:c r="AA1361" s="8" t="n">
        <x:f>Z1361+X1361*Q1361+Y1361*R1361</x:f>
        <x:v>3.432986167221422</x:v>
      </x:c>
    </x:row>
    <x:row r="1362" ht="26" customHeight="1">
      <x:c r="A1362" s="2"/>
      <x:c r="B1362" s="2" t="n">
        <x:v>1357</x:v>
      </x:c>
      <x:c r="C1362" s="2" t="str">
        <x:v>Beauty / organic_sales_growth</x:v>
      </x:c>
      <x:c r="D1362" s="2" t="str">
        <x:v>Broad rolling 8</x:v>
      </x:c>
      <x:c r="E1362" s="7" t="n">
        <x:v>45382</x:v>
      </x:c>
      <x:c r="F1362" s="2" t="str">
        <x:v>Prior report</x:v>
      </x:c>
      <x:c r="G1362" s="7" t="n">
        <x:v>45314</x:v>
      </x:c>
      <x:c r="H1362" s="2" t="n">
        <x:v>8</x:v>
      </x:c>
      <x:c r="I1362" s="8" t="n">
        <x:v>47.23260587052238</x:v>
      </x:c>
      <x:c r="J1362" s="8" t="n">
        <x:v>0</x:v>
      </x:c>
      <x:c r="K1362" s="8" t="n">
        <x:v>34</x:v>
      </x:c>
      <x:c r="L1362" s="8" t="n">
        <x:v>341.6823050165801</x:v>
      </x:c>
      <x:c r="M1362" s="8" t="n">
        <x:v>0</x:v>
      </x:c>
      <x:c r="N1362" s="8" t="n">
        <x:v>0</x:v>
      </x:c>
      <x:c r="O1362" s="8" t="n">
        <x:v>229.6424364886401</x:v>
      </x:c>
      <x:c r="P1362" s="8" t="n">
        <x:v>0</x:v>
      </x:c>
      <x:c r="Q1362" s="8" t="n">
        <x:v>10.144433671137332</x:v>
      </x:c>
      <x:c r="R1362" s="8" t="n">
        <x:v>0</x:v>
      </x:c>
      <x:c r="S1362" s="8" t="n">
        <x:f>L1362-I1362^2/H1362</x:f>
        <x:v>62.81742285156696</x:v>
      </x:c>
      <x:c r="T1362" s="8" t="n">
        <x:f>M1362-J1362^2/H1362</x:f>
        <x:v>0</x:v>
      </x:c>
      <x:c r="U1362" s="8" t="n">
        <x:f>N1362-I1362*J1362/H1362</x:f>
        <x:v>0</x:v>
      </x:c>
      <x:c r="V1362" s="8" t="n">
        <x:f>O1362-I1362*K1362/H1362</x:f>
        <x:v>28.90386153892001</x:v>
      </x:c>
      <x:c r="W1362" s="8" t="n">
        <x:f>P1362-J1362*K1362/H1362</x:f>
        <x:v>0</x:v>
      </x:c>
      <x:c r="X1362" s="8" t="n">
        <x:f>V1362/S1362</x:f>
        <x:v>0.460124918005913</x:v>
      </x:c>
      <x:c r="Y1362" s="8" t="n">
        <x:f>0</x:f>
        <x:v>0</x:v>
      </x:c>
      <x:c r="Z1362" s="8" t="n">
        <x:f>K1362/H1362-X1362*I1362/H1362-Y1362*J1362/H1362</x:f>
        <x:v>1.533387637077536</x:v>
      </x:c>
      <x:c r="AA1362" s="8" t="n">
        <x:f>Z1362+X1362*Q1362+Y1362*R1362</x:f>
        <x:v>6.2010943482260235</x:v>
      </x:c>
    </x:row>
    <x:row r="1363" ht="26" customHeight="1">
      <x:c r="A1363" s="2"/>
      <x:c r="B1363" s="2" t="n">
        <x:v>1358</x:v>
      </x:c>
      <x:c r="C1363" s="2" t="str">
        <x:v>Beauty / organic_sales_growth</x:v>
      </x:c>
      <x:c r="D1363" s="2" t="str">
        <x:v>Own history</x:v>
      </x:c>
      <x:c r="E1363" s="7" t="n">
        <x:v>45382</x:v>
      </x:c>
      <x:c r="F1363" s="2" t="str">
        <x:v>Prior report</x:v>
      </x:c>
      <x:c r="G1363" s="7" t="n">
        <x:v>45314</x:v>
      </x:c>
      <x:c r="H1363" s="2" t="n">
        <x:v>11</x:v>
      </x:c>
      <x:c r="I1363" s="8" t="n">
        <x:v>50</x:v>
      </x:c>
      <x:c r="J1363" s="8" t="n">
        <x:v>0</x:v>
      </x:c>
      <x:c r="K1363" s="8" t="n">
        <x:v>44</x:v>
      </x:c>
      <x:c r="L1363" s="8" t="n">
        <x:v>322</x:v>
      </x:c>
      <x:c r="M1363" s="8" t="n">
        <x:v>0</x:v>
      </x:c>
      <x:c r="N1363" s="8" t="n">
        <x:v>0</x:v>
      </x:c>
      <x:c r="O1363" s="8" t="n">
        <x:v>234</x:v>
      </x:c>
      <x:c r="P1363" s="8" t="n">
        <x:v>0</x:v>
      </x:c>
      <x:c r="Q1363" s="8" t="n">
        <x:v>1</x:v>
      </x:c>
      <x:c r="R1363" s="8" t="n">
        <x:v>0</x:v>
      </x:c>
      <x:c r="S1363" s="8" t="n">
        <x:f>L1363-I1363^2/H1363</x:f>
        <x:v>94.72727272727272</x:v>
      </x:c>
      <x:c r="T1363" s="8" t="n">
        <x:f>M1363-J1363^2/H1363</x:f>
        <x:v>0</x:v>
      </x:c>
      <x:c r="U1363" s="8" t="n">
        <x:f>N1363-I1363*J1363/H1363</x:f>
        <x:v>0</x:v>
      </x:c>
      <x:c r="V1363" s="8" t="n">
        <x:f>O1363-I1363*K1363/H1363</x:f>
        <x:v>34</x:v>
      </x:c>
      <x:c r="W1363" s="8" t="n">
        <x:f>P1363-J1363*K1363/H1363</x:f>
        <x:v>0</x:v>
      </x:c>
      <x:c r="X1363" s="8" t="n">
        <x:f>V1363/S1363</x:f>
        <x:v>0.35892514395393477</x:v>
      </x:c>
      <x:c r="Y1363" s="8" t="n">
        <x:f>0</x:f>
        <x:v>0</x:v>
      </x:c>
      <x:c r="Z1363" s="8" t="n">
        <x:f>K1363/H1363-X1363*I1363/H1363-Y1363*J1363/H1363</x:f>
        <x:v>2.36852207293666</x:v>
      </x:c>
      <x:c r="AA1363" s="8" t="n">
        <x:f>Z1363+X1363*Q1363+Y1363*R1363</x:f>
        <x:v>2.7274472168905946</x:v>
      </x:c>
    </x:row>
    <x:row r="1364" ht="26" customHeight="1">
      <x:c r="A1364" s="2"/>
      <x:c r="B1364" s="2" t="n">
        <x:v>1359</x:v>
      </x:c>
      <x:c r="C1364" s="2" t="str">
        <x:v>Beauty / organic_sales_growth</x:v>
      </x:c>
      <x:c r="D1364" s="2" t="str">
        <x:v>Broad market</x:v>
      </x:c>
      <x:c r="E1364" s="7" t="n">
        <x:v>45382</x:v>
      </x:c>
      <x:c r="F1364" s="2" t="str">
        <x:v>Pre-earnings</x:v>
      </x:c>
      <x:c r="G1364" s="7" t="n">
        <x:v>45400</x:v>
      </x:c>
      <x:c r="H1364" s="2" t="n">
        <x:v>12</x:v>
      </x:c>
      <x:c r="I1364" s="8" t="n">
        <x:v>84.14177227710393</x:v>
      </x:c>
      <x:c r="J1364" s="8" t="n">
        <x:v>0</x:v>
      </x:c>
      <x:c r="K1364" s="8" t="n">
        <x:v>51</x:v>
      </x:c>
      <x:c r="L1364" s="8" t="n">
        <x:v>795.9815976480803</x:v>
      </x:c>
      <x:c r="M1364" s="8" t="n">
        <x:v>0</x:v>
      </x:c>
      <x:c r="N1364" s="8" t="n">
        <x:v>0</x:v>
      </x:c>
      <x:c r="O1364" s="8" t="n">
        <x:v>394.72146456718764</x:v>
      </x:c>
      <x:c r="P1364" s="8" t="n">
        <x:v>0</x:v>
      </x:c>
      <x:c r="Q1364" s="8" t="n">
        <x:v>2.69474122906721</x:v>
      </x:c>
      <x:c r="R1364" s="8" t="n">
        <x:v>0</x:v>
      </x:c>
      <x:c r="S1364" s="8" t="n">
        <x:f>L1364-I1364^2/H1364</x:f>
        <x:v>205.9951108204125</x:v>
      </x:c>
      <x:c r="T1364" s="8" t="n">
        <x:f>M1364-J1364^2/H1364</x:f>
        <x:v>0</x:v>
      </x:c>
      <x:c r="U1364" s="8" t="n">
        <x:f>N1364-I1364*J1364/H1364</x:f>
        <x:v>0</x:v>
      </x:c>
      <x:c r="V1364" s="8" t="n">
        <x:f>O1364-I1364*K1364/H1364</x:f>
        <x:v>37.11893238949597</x:v>
      </x:c>
      <x:c r="W1364" s="8" t="n">
        <x:f>P1364-J1364*K1364/H1364</x:f>
        <x:v>0</x:v>
      </x:c>
      <x:c r="X1364" s="8" t="n">
        <x:f>V1364/S1364</x:f>
        <x:v>0.18019326886770837</x:v>
      </x:c>
      <x:c r="Y1364" s="8" t="n">
        <x:f>0</x:f>
        <x:v>0</x:v>
      </x:c>
      <x:c r="Z1364" s="8" t="n">
        <x:f>K1364/H1364-X1364*I1364/H1364-Y1364*J1364/H1364</x:f>
        <x:v>2.9865182504221934</x:v>
      </x:c>
      <x:c r="AA1364" s="8" t="n">
        <x:f>Z1364+X1364*Q1364+Y1364*R1364</x:f>
        <x:v>3.4720924812404004</x:v>
      </x:c>
    </x:row>
    <x:row r="1365" ht="26" customHeight="1">
      <x:c r="A1365" s="2"/>
      <x:c r="B1365" s="2" t="n">
        <x:v>1360</x:v>
      </x:c>
      <x:c r="C1365" s="2" t="str">
        <x:v>Beauty / organic_sales_growth</x:v>
      </x:c>
      <x:c r="D1365" s="2" t="str">
        <x:v>Broad lag 1</x:v>
      </x:c>
      <x:c r="E1365" s="7" t="n">
        <x:v>45382</x:v>
      </x:c>
      <x:c r="F1365" s="2" t="str">
        <x:v>Pre-earnings</x:v>
      </x:c>
      <x:c r="G1365" s="7" t="n">
        <x:v>45400</x:v>
      </x:c>
      <x:c r="H1365" s="2" t="n">
        <x:v>11</x:v>
      </x:c>
      <x:c r="I1365" s="8" t="n">
        <x:v>73.92110553134523</x:v>
      </x:c>
      <x:c r="J1365" s="8" t="n">
        <x:v>0</x:v>
      </x:c>
      <x:c r="K1365" s="8" t="n">
        <x:v>44</x:v>
      </x:c>
      <x:c r="L1365" s="8" t="n">
        <x:v>691.5195689202226</x:v>
      </x:c>
      <x:c r="M1365" s="8" t="n">
        <x:v>0</x:v>
      </x:c>
      <x:c r="N1365" s="8" t="n">
        <x:v>0</x:v>
      </x:c>
      <x:c r="O1365" s="8" t="n">
        <x:v>268.30076187649263</x:v>
      </x:c>
      <x:c r="P1365" s="8" t="n">
        <x:v>0</x:v>
      </x:c>
      <x:c r="Q1365" s="8" t="n">
        <x:v>10.220666745758699</x:v>
      </x:c>
      <x:c r="R1365" s="8" t="n">
        <x:v>0</x:v>
      </x:c>
      <x:c r="S1365" s="8" t="n">
        <x:f>L1365-I1365^2/H1365</x:f>
        <x:v>194.76231046783357</x:v>
      </x:c>
      <x:c r="T1365" s="8" t="n">
        <x:f>M1365-J1365^2/H1365</x:f>
        <x:v>0</x:v>
      </x:c>
      <x:c r="U1365" s="8" t="n">
        <x:f>N1365-I1365*J1365/H1365</x:f>
        <x:v>0</x:v>
      </x:c>
      <x:c r="V1365" s="8" t="n">
        <x:f>O1365-I1365*K1365/H1365</x:f>
        <x:v>-27.383660248888305</x:v>
      </x:c>
      <x:c r="W1365" s="8" t="n">
        <x:f>P1365-J1365*K1365/H1365</x:f>
        <x:v>0</x:v>
      </x:c>
      <x:c r="X1365" s="8" t="n">
        <x:f>V1365/S1365</x:f>
        <x:v>-0.14060040766157844</x:v>
      </x:c>
      <x:c r="Y1365" s="8" t="n">
        <x:f>0</x:f>
        <x:v>0</x:v>
      </x:c>
      <x:c r="Z1365" s="8" t="n">
        <x:f>K1365/H1365-X1365*I1365/H1365-Y1365*J1365/H1365</x:f>
        <x:v>4.944848870227427</x:v>
      </x:c>
      <x:c r="AA1365" s="8" t="n">
        <x:f>Z1365+X1365*Q1365+Y1365*R1365</x:f>
        <x:v>3.507818959200616</x:v>
      </x:c>
    </x:row>
    <x:row r="1366" ht="26" customHeight="1">
      <x:c r="A1366" s="2"/>
      <x:c r="B1366" s="2" t="n">
        <x:v>1361</x:v>
      </x:c>
      <x:c r="C1366" s="2" t="str">
        <x:v>Beauty / organic_sales_growth</x:v>
      </x:c>
      <x:c r="D1366" s="2" t="str">
        <x:v>Broad rolling 8</x:v>
      </x:c>
      <x:c r="E1366" s="7" t="n">
        <x:v>45382</x:v>
      </x:c>
      <x:c r="F1366" s="2" t="str">
        <x:v>Pre-earnings</x:v>
      </x:c>
      <x:c r="G1366" s="7" t="n">
        <x:v>45400</x:v>
      </x:c>
      <x:c r="H1366" s="2" t="n">
        <x:v>8</x:v>
      </x:c>
      <x:c r="I1366" s="8" t="n">
        <x:v>47.8558105769415</x:v>
      </x:c>
      <x:c r="J1366" s="8" t="n">
        <x:v>0</x:v>
      </x:c>
      <x:c r="K1366" s="8" t="n">
        <x:v>34</x:v>
      </x:c>
      <x:c r="L1366" s="8" t="n">
        <x:v>352.4156260714234</x:v>
      </x:c>
      <x:c r="M1366" s="8" t="n">
        <x:v>0</x:v>
      </x:c>
      <x:c r="N1366" s="8" t="n">
        <x:v>0</x:v>
      </x:c>
      <x:c r="O1366" s="8" t="n">
        <x:v>233.877154958675</x:v>
      </x:c>
      <x:c r="P1366" s="8" t="n">
        <x:v>0</x:v>
      </x:c>
      <x:c r="Q1366" s="8" t="n">
        <x:v>2.69474122906721</x:v>
      </x:c>
      <x:c r="R1366" s="8" t="n">
        <x:v>0</x:v>
      </x:c>
      <x:c r="S1366" s="8" t="n">
        <x:f>L1366-I1366^2/H1366</x:f>
        <x:v>66.14330032441012</x:v>
      </x:c>
      <x:c r="T1366" s="8" t="n">
        <x:f>M1366-J1366^2/H1366</x:f>
        <x:v>0</x:v>
      </x:c>
      <x:c r="U1366" s="8" t="n">
        <x:f>N1366-I1366*J1366/H1366</x:f>
        <x:v>0</x:v>
      </x:c>
      <x:c r="V1366" s="8" t="n">
        <x:f>O1366-I1366*K1366/H1366</x:f>
        <x:v>30.489960006673613</x:v>
      </x:c>
      <x:c r="W1366" s="8" t="n">
        <x:f>P1366-J1366*K1366/H1366</x:f>
        <x:v>0</x:v>
      </x:c>
      <x:c r="X1366" s="8" t="n">
        <x:f>V1366/S1366</x:f>
        <x:v>0.46096822893824246</x:v>
      </x:c>
      <x:c r="Y1366" s="8" t="n">
        <x:f>0</x:f>
        <x:v>0</x:v>
      </x:c>
      <x:c r="Z1366" s="8" t="n">
        <x:f>K1366/H1366-X1366*I1366/H1366-Y1366*J1366/H1366</x:f>
        <x:v>1.492498969242908</x:v>
      </x:c>
      <x:c r="AA1366" s="8" t="n">
        <x:f>Z1366+X1366*Q1366+Y1366*R1366</x:f>
        <x:v>2.7346890610528827</x:v>
      </x:c>
    </x:row>
    <x:row r="1367" ht="26" customHeight="1">
      <x:c r="A1367" s="2"/>
      <x:c r="B1367" s="2" t="n">
        <x:v>1362</x:v>
      </x:c>
      <x:c r="C1367" s="2" t="str">
        <x:v>Beauty / organic_sales_growth</x:v>
      </x:c>
      <x:c r="D1367" s="2" t="str">
        <x:v>Own history</x:v>
      </x:c>
      <x:c r="E1367" s="7" t="n">
        <x:v>45382</x:v>
      </x:c>
      <x:c r="F1367" s="2" t="str">
        <x:v>Pre-earnings</x:v>
      </x:c>
      <x:c r="G1367" s="7" t="n">
        <x:v>45400</x:v>
      </x:c>
      <x:c r="H1367" s="2" t="n">
        <x:v>11</x:v>
      </x:c>
      <x:c r="I1367" s="8" t="n">
        <x:v>50</x:v>
      </x:c>
      <x:c r="J1367" s="8" t="n">
        <x:v>0</x:v>
      </x:c>
      <x:c r="K1367" s="8" t="n">
        <x:v>44</x:v>
      </x:c>
      <x:c r="L1367" s="8" t="n">
        <x:v>322</x:v>
      </x:c>
      <x:c r="M1367" s="8" t="n">
        <x:v>0</x:v>
      </x:c>
      <x:c r="N1367" s="8" t="n">
        <x:v>0</x:v>
      </x:c>
      <x:c r="O1367" s="8" t="n">
        <x:v>234</x:v>
      </x:c>
      <x:c r="P1367" s="8" t="n">
        <x:v>0</x:v>
      </x:c>
      <x:c r="Q1367" s="8" t="n">
        <x:v>1</x:v>
      </x:c>
      <x:c r="R1367" s="8" t="n">
        <x:v>0</x:v>
      </x:c>
      <x:c r="S1367" s="8" t="n">
        <x:f>L1367-I1367^2/H1367</x:f>
        <x:v>94.72727272727272</x:v>
      </x:c>
      <x:c r="T1367" s="8" t="n">
        <x:f>M1367-J1367^2/H1367</x:f>
        <x:v>0</x:v>
      </x:c>
      <x:c r="U1367" s="8" t="n">
        <x:f>N1367-I1367*J1367/H1367</x:f>
        <x:v>0</x:v>
      </x:c>
      <x:c r="V1367" s="8" t="n">
        <x:f>O1367-I1367*K1367/H1367</x:f>
        <x:v>34</x:v>
      </x:c>
      <x:c r="W1367" s="8" t="n">
        <x:f>P1367-J1367*K1367/H1367</x:f>
        <x:v>0</x:v>
      </x:c>
      <x:c r="X1367" s="8" t="n">
        <x:f>V1367/S1367</x:f>
        <x:v>0.35892514395393477</x:v>
      </x:c>
      <x:c r="Y1367" s="8" t="n">
        <x:f>0</x:f>
        <x:v>0</x:v>
      </x:c>
      <x:c r="Z1367" s="8" t="n">
        <x:f>K1367/H1367-X1367*I1367/H1367-Y1367*J1367/H1367</x:f>
        <x:v>2.36852207293666</x:v>
      </x:c>
      <x:c r="AA1367" s="8" t="n">
        <x:f>Z1367+X1367*Q1367+Y1367*R1367</x:f>
        <x:v>2.7274472168905946</x:v>
      </x:c>
    </x:row>
    <x:row r="1368" ht="26" customHeight="1">
      <x:c r="A1368" s="2"/>
      <x:c r="B1368" s="2" t="n">
        <x:v>1363</x:v>
      </x:c>
      <x:c r="C1368" s="2" t="str">
        <x:v>Beauty / organic_sales_growth</x:v>
      </x:c>
      <x:c r="D1368" s="2" t="str">
        <x:v>Broad market</x:v>
      </x:c>
      <x:c r="E1368" s="7" t="n">
        <x:v>45473</x:v>
      </x:c>
      <x:c r="F1368" s="2" t="str">
        <x:v>Origin</x:v>
      </x:c>
      <x:c r="G1368" s="7" t="n">
        <x:v>45383</x:v>
      </x:c>
      <x:c r="H1368" s="2" t="n">
        <x:v>12</x:v>
      </x:c>
      <x:c r="I1368" s="8" t="n">
        <x:v>83.92709225256908</x:v>
      </x:c>
      <x:c r="J1368" s="8" t="n">
        <x:v>0</x:v>
      </x:c>
      <x:c r="K1368" s="8" t="n">
        <x:v>51</x:v>
      </x:c>
      <x:c r="L1368" s="8" t="n">
        <x:v>792.6233542056021</x:v>
      </x:c>
      <x:c r="M1368" s="8" t="n">
        <x:v>0</x:v>
      </x:c>
      <x:c r="N1368" s="8" t="n">
        <x:v>0</x:v>
      </x:c>
      <x:c r="O1368" s="8" t="n">
        <x:v>393.21870439544375</x:v>
      </x:c>
      <x:c r="P1368" s="8" t="n">
        <x:v>0</x:v>
      </x:c>
      <x:c r="Q1368" s="8" t="n">
        <x:v>5.40483674380714</x:v>
      </x:c>
      <x:c r="R1368" s="8" t="n">
        <x:v>0</x:v>
      </x:c>
      <x:c r="S1368" s="8" t="n">
        <x:f>L1368-I1368^2/H1368</x:f>
        <x:v>205.6436197079987</x:v>
      </x:c>
      <x:c r="T1368" s="8" t="n">
        <x:f>M1368-J1368^2/H1368</x:f>
        <x:v>0</x:v>
      </x:c>
      <x:c r="U1368" s="8" t="n">
        <x:f>N1368-I1368*J1368/H1368</x:f>
        <x:v>0</x:v>
      </x:c>
      <x:c r="V1368" s="8" t="n">
        <x:f>O1368-I1368*K1368/H1368</x:f>
        <x:v>36.52856232202515</x:v>
      </x:c>
      <x:c r="W1368" s="8" t="n">
        <x:f>P1368-J1368*K1368/H1368</x:f>
        <x:v>0</x:v>
      </x:c>
      <x:c r="X1368" s="8" t="n">
        <x:f>V1368/S1368</x:f>
        <x:v>0.17763041894464543</x:v>
      </x:c>
      <x:c r="Y1368" s="8" t="n">
        <x:f>0</x:f>
        <x:v>0</x:v>
      </x:c>
      <x:c r="Z1368" s="8" t="n">
        <x:f>K1368/H1368-X1368*I1368/H1368-Y1368*J1368/H1368</x:f>
        <x:v>3.007666286864187</x:v>
      </x:c>
      <x:c r="AA1368" s="8" t="n">
        <x:f>Z1368+X1368*Q1368+Y1368*R1368</x:f>
        <x:v>3.9677297019940623</x:v>
      </x:c>
    </x:row>
    <x:row r="1369" ht="26" customHeight="1">
      <x:c r="A1369" s="2"/>
      <x:c r="B1369" s="2" t="n">
        <x:v>1364</x:v>
      </x:c>
      <x:c r="C1369" s="2" t="str">
        <x:v>Beauty / organic_sales_growth</x:v>
      </x:c>
      <x:c r="D1369" s="2" t="str">
        <x:v>Broad rolling 8</x:v>
      </x:c>
      <x:c r="E1369" s="7" t="n">
        <x:v>45473</x:v>
      </x:c>
      <x:c r="F1369" s="2" t="str">
        <x:v>Origin</x:v>
      </x:c>
      <x:c r="G1369" s="7" t="n">
        <x:v>45383</x:v>
      </x:c>
      <x:c r="H1369" s="2" t="n">
        <x:v>8</x:v>
      </x:c>
      <x:c r="I1369" s="8" t="n">
        <x:v>47.641130552406665</x:v>
      </x:c>
      <x:c r="J1369" s="8" t="n">
        <x:v>0</x:v>
      </x:c>
      <x:c r="K1369" s="8" t="n">
        <x:v>34</x:v>
      </x:c>
      <x:c r="L1369" s="8" t="n">
        <x:v>349.0573826289452</x:v>
      </x:c>
      <x:c r="M1369" s="8" t="n">
        <x:v>0</x:v>
      </x:c>
      <x:c r="N1369" s="8" t="n">
        <x:v>0</x:v>
      </x:c>
      <x:c r="O1369" s="8" t="n">
        <x:v>232.3743947869311</x:v>
      </x:c>
      <x:c r="P1369" s="8" t="n">
        <x:v>0</x:v>
      </x:c>
      <x:c r="Q1369" s="8" t="n">
        <x:v>5.40483674380714</x:v>
      </x:c>
      <x:c r="R1369" s="8" t="n">
        <x:v>0</x:v>
      </x:c>
      <x:c r="S1369" s="8" t="n">
        <x:f>L1369-I1369^2/H1369</x:f>
        <x:v>65.34771759001325</x:v>
      </x:c>
      <x:c r="T1369" s="8" t="n">
        <x:f>M1369-J1369^2/H1369</x:f>
        <x:v>0</x:v>
      </x:c>
      <x:c r="U1369" s="8" t="n">
        <x:f>N1369-I1369*J1369/H1369</x:f>
        <x:v>0</x:v>
      </x:c>
      <x:c r="V1369" s="8" t="n">
        <x:f>O1369-I1369*K1369/H1369</x:f>
        <x:v>29.89958993920277</x:v>
      </x:c>
      <x:c r="W1369" s="8" t="n">
        <x:f>P1369-J1369*K1369/H1369</x:f>
        <x:v>0</x:v>
      </x:c>
      <x:c r="X1369" s="8" t="n">
        <x:f>V1369/S1369</x:f>
        <x:v>0.45754604815413125</x:v>
      </x:c>
      <x:c r="Y1369" s="8" t="n">
        <x:f>0</x:f>
        <x:v>0</x:v>
      </x:c>
      <x:c r="Z1369" s="8" t="n">
        <x:f>K1369/H1369-X1369*I1369/H1369-Y1369*J1369/H1369</x:f>
        <x:v>1.5252486232689106</x:v>
      </x:c>
      <x:c r="AA1369" s="8" t="n">
        <x:f>Z1369+X1369*Q1369+Y1369*R1369</x:f>
        <x:v>3.99821031631611</x:v>
      </x:c>
    </x:row>
    <x:row r="1370" ht="26" customHeight="1">
      <x:c r="A1370" s="2"/>
      <x:c r="B1370" s="2" t="n">
        <x:v>1365</x:v>
      </x:c>
      <x:c r="C1370" s="2" t="str">
        <x:v>Beauty / organic_sales_growth</x:v>
      </x:c>
      <x:c r="D1370" s="2" t="str">
        <x:v>Own history</x:v>
      </x:c>
      <x:c r="E1370" s="7" t="n">
        <x:v>45473</x:v>
      </x:c>
      <x:c r="F1370" s="2" t="str">
        <x:v>Origin</x:v>
      </x:c>
      <x:c r="G1370" s="7" t="n">
        <x:v>45383</x:v>
      </x:c>
      <x:c r="H1370" s="2" t="n">
        <x:v>10</x:v>
      </x:c>
      <x:c r="I1370" s="8" t="n">
        <x:v>45</x:v>
      </x:c>
      <x:c r="J1370" s="8" t="n">
        <x:v>0</x:v>
      </x:c>
      <x:c r="K1370" s="8" t="n">
        <x:v>38</x:v>
      </x:c>
      <x:c r="L1370" s="8" t="n">
        <x:v>297</x:v>
      </x:c>
      <x:c r="M1370" s="8" t="n">
        <x:v>0</x:v>
      </x:c>
      <x:c r="N1370" s="8" t="n">
        <x:v>0</x:v>
      </x:c>
      <x:c r="O1370" s="8" t="n">
        <x:v>151</x:v>
      </x:c>
      <x:c r="P1370" s="8" t="n">
        <x:v>0</x:v>
      </x:c>
      <x:c r="Q1370" s="8" t="n">
        <x:v>1</x:v>
      </x:c>
      <x:c r="R1370" s="8" t="n">
        <x:v>0</x:v>
      </x:c>
      <x:c r="S1370" s="8" t="n">
        <x:f>L1370-I1370^2/H1370</x:f>
        <x:v>94.5</x:v>
      </x:c>
      <x:c r="T1370" s="8" t="n">
        <x:f>M1370-J1370^2/H1370</x:f>
        <x:v>0</x:v>
      </x:c>
      <x:c r="U1370" s="8" t="n">
        <x:f>N1370-I1370*J1370/H1370</x:f>
        <x:v>0</x:v>
      </x:c>
      <x:c r="V1370" s="8" t="n">
        <x:f>O1370-I1370*K1370/H1370</x:f>
        <x:v>-20</x:v>
      </x:c>
      <x:c r="W1370" s="8" t="n">
        <x:f>P1370-J1370*K1370/H1370</x:f>
        <x:v>0</x:v>
      </x:c>
      <x:c r="X1370" s="8" t="n">
        <x:f>V1370/S1370</x:f>
        <x:v>-0.21164021164021163</x:v>
      </x:c>
      <x:c r="Y1370" s="8" t="n">
        <x:f>0</x:f>
        <x:v>0</x:v>
      </x:c>
      <x:c r="Z1370" s="8" t="n">
        <x:f>K1370/H1370-X1370*I1370/H1370-Y1370*J1370/H1370</x:f>
        <x:v>4.752380952380952</x:v>
      </x:c>
      <x:c r="AA1370" s="8" t="n">
        <x:f>Z1370+X1370*Q1370+Y1370*R1370</x:f>
        <x:v>4.540740740740741</x:v>
      </x:c>
    </x:row>
    <x:row r="1371" ht="26" customHeight="1">
      <x:c r="A1371" s="2"/>
      <x:c r="B1371" s="2" t="n">
        <x:v>1366</x:v>
      </x:c>
      <x:c r="C1371" s="2" t="str">
        <x:v>Beauty / organic_sales_growth</x:v>
      </x:c>
      <x:c r="D1371" s="2" t="str">
        <x:v>Broad market</x:v>
      </x:c>
      <x:c r="E1371" s="7" t="n">
        <x:v>45473</x:v>
      </x:c>
      <x:c r="F1371" s="2" t="str">
        <x:v>Prior report</x:v>
      </x:c>
      <x:c r="G1371" s="7" t="n">
        <x:v>45401</x:v>
      </x:c>
      <x:c r="H1371" s="2" t="n">
        <x:v>13</x:v>
      </x:c>
      <x:c r="I1371" s="8" t="n">
        <x:v>86.83651350617114</x:v>
      </x:c>
      <x:c r="J1371" s="8" t="n">
        <x:v>0</x:v>
      </x:c>
      <x:c r="K1371" s="8" t="n">
        <x:v>54</x:v>
      </x:c>
      <x:c r="L1371" s="8" t="n">
        <x:v>803.243227939715</x:v>
      </x:c>
      <x:c r="M1371" s="8" t="n">
        <x:v>0</x:v>
      </x:c>
      <x:c r="N1371" s="8" t="n">
        <x:v>0</x:v>
      </x:c>
      <x:c r="O1371" s="8" t="n">
        <x:v>402.8056882543892</x:v>
      </x:c>
      <x:c r="P1371" s="8" t="n">
        <x:v>0</x:v>
      </x:c>
      <x:c r="Q1371" s="8" t="n">
        <x:v>2.703181170429314</x:v>
      </x:c>
      <x:c r="R1371" s="8" t="n">
        <x:v>0</x:v>
      </x:c>
      <x:c r="S1371" s="8" t="n">
        <x:f>L1371-I1371^2/H1371</x:f>
        <x:v>223.1986065622193</x:v>
      </x:c>
      <x:c r="T1371" s="8" t="n">
        <x:f>M1371-J1371^2/H1371</x:f>
        <x:v>0</x:v>
      </x:c>
      <x:c r="U1371" s="8" t="n">
        <x:f>N1371-I1371*J1371/H1371</x:f>
        <x:v>0</x:v>
      </x:c>
      <x:c r="V1371" s="8" t="n">
        <x:f>O1371-I1371*K1371/H1371</x:f>
        <x:v>42.10017061337061</x:v>
      </x:c>
      <x:c r="W1371" s="8" t="n">
        <x:f>P1371-J1371*K1371/H1371</x:f>
        <x:v>0</x:v>
      </x:c>
      <x:c r="X1371" s="8" t="n">
        <x:f>V1371/S1371</x:f>
        <x:v>0.18862201364879344</x:v>
      </x:c>
      <x:c r="Y1371" s="8" t="n">
        <x:f>0</x:f>
        <x:v>0</x:v>
      </x:c>
      <x:c r="Z1371" s="8" t="n">
        <x:f>K1371/H1371-X1371*I1371/H1371-Y1371*J1371/H1371</x:f>
        <x:v>2.8939016895557965</x:v>
      </x:c>
      <x:c r="AA1371" s="8" t="n">
        <x:f>Z1371+X1371*Q1371+Y1371*R1371</x:f>
        <x:v>3.403781165179676</x:v>
      </x:c>
    </x:row>
    <x:row r="1372" ht="26" customHeight="1">
      <x:c r="A1372" s="2"/>
      <x:c r="B1372" s="2" t="n">
        <x:v>1367</x:v>
      </x:c>
      <x:c r="C1372" s="2" t="str">
        <x:v>Beauty / organic_sales_growth</x:v>
      </x:c>
      <x:c r="D1372" s="2" t="str">
        <x:v>Broad lag 1</x:v>
      </x:c>
      <x:c r="E1372" s="7" t="n">
        <x:v>45473</x:v>
      </x:c>
      <x:c r="F1372" s="2" t="str">
        <x:v>Prior report</x:v>
      </x:c>
      <x:c r="G1372" s="7" t="n">
        <x:v>45401</x:v>
      </x:c>
      <x:c r="H1372" s="2" t="n">
        <x:v>12</x:v>
      </x:c>
      <x:c r="I1372" s="8" t="n">
        <x:v>84.14177227710393</x:v>
      </x:c>
      <x:c r="J1372" s="8" t="n">
        <x:v>0</x:v>
      </x:c>
      <x:c r="K1372" s="8" t="n">
        <x:v>47</x:v>
      </x:c>
      <x:c r="L1372" s="8" t="n">
        <x:v>795.9815976480803</x:v>
      </x:c>
      <x:c r="M1372" s="8" t="n">
        <x:v>0</x:v>
      </x:c>
      <x:c r="N1372" s="8" t="n">
        <x:v>0</x:v>
      </x:c>
      <x:c r="O1372" s="8" t="n">
        <x:v>298.96276211376875</x:v>
      </x:c>
      <x:c r="P1372" s="8" t="n">
        <x:v>0</x:v>
      </x:c>
      <x:c r="Q1372" s="8" t="n">
        <x:v>2.69474122906721</x:v>
      </x:c>
      <x:c r="R1372" s="8" t="n">
        <x:v>0</x:v>
      </x:c>
      <x:c r="S1372" s="8" t="n">
        <x:f>L1372-I1372^2/H1372</x:f>
        <x:v>205.9951108204125</x:v>
      </x:c>
      <x:c r="T1372" s="8" t="n">
        <x:f>M1372-J1372^2/H1372</x:f>
        <x:v>0</x:v>
      </x:c>
      <x:c r="U1372" s="8" t="n">
        <x:f>N1372-I1372*J1372/H1372</x:f>
        <x:v>0</x:v>
      </x:c>
      <x:c r="V1372" s="8" t="n">
        <x:f>O1372-I1372*K1372/H1372</x:f>
        <x:v>-30.592512638221592</x:v>
      </x:c>
      <x:c r="W1372" s="8" t="n">
        <x:f>P1372-J1372*K1372/H1372</x:f>
        <x:v>0</x:v>
      </x:c>
      <x:c r="X1372" s="8" t="n">
        <x:f>V1372/S1372</x:f>
        <x:v>-0.14851086764332133</x:v>
      </x:c>
      <x:c r="Y1372" s="8" t="n">
        <x:f>0</x:f>
        <x:v>0</x:v>
      </x:c>
      <x:c r="Z1372" s="8" t="n">
        <x:f>K1372/H1372-X1372*I1372/H1372-Y1372*J1372/H1372</x:f>
        <x:v>4.957997300493289</x:v>
      </x:c>
      <x:c r="AA1372" s="8" t="n">
        <x:f>Z1372+X1372*Q1372+Y1372*R1372</x:f>
        <x:v>4.557798942490287</x:v>
      </x:c>
    </x:row>
    <x:row r="1373" ht="26" customHeight="1">
      <x:c r="A1373" s="2"/>
      <x:c r="B1373" s="2" t="n">
        <x:v>1368</x:v>
      </x:c>
      <x:c r="C1373" s="2" t="str">
        <x:v>Beauty / organic_sales_growth</x:v>
      </x:c>
      <x:c r="D1373" s="2" t="str">
        <x:v>Broad rolling 8</x:v>
      </x:c>
      <x:c r="E1373" s="7" t="n">
        <x:v>45473</x:v>
      </x:c>
      <x:c r="F1373" s="2" t="str">
        <x:v>Prior report</x:v>
      </x:c>
      <x:c r="G1373" s="7" t="n">
        <x:v>45401</x:v>
      </x:c>
      <x:c r="H1373" s="2" t="n">
        <x:v>8</x:v>
      </x:c>
      <x:c r="I1373" s="8" t="n">
        <x:v>45.28852662576552</x:v>
      </x:c>
      <x:c r="J1373" s="8" t="n">
        <x:v>0</x:v>
      </x:c>
      <x:c r="K1373" s="8" t="n">
        <x:v>34</x:v>
      </x:c>
      <x:c r="L1373" s="8" t="n">
        <x:v>331.98834736554466</x:v>
      </x:c>
      <x:c r="M1373" s="8" t="n">
        <x:v>0</x:v>
      </x:c>
      <x:c r="N1373" s="8" t="n">
        <x:v>0</x:v>
      </x:c>
      <x:c r="O1373" s="8" t="n">
        <x:v>226.17530310514707</x:v>
      </x:c>
      <x:c r="P1373" s="8" t="n">
        <x:v>0</x:v>
      </x:c>
      <x:c r="Q1373" s="8" t="n">
        <x:v>2.703181170429314</x:v>
      </x:c>
      <x:c r="R1373" s="8" t="n">
        <x:v>0</x:v>
      </x:c>
      <x:c r="S1373" s="8" t="n">
        <x:f>L1373-I1373^2/H1373</x:f>
        <x:v>75.60701687396062</x:v>
      </x:c>
      <x:c r="T1373" s="8" t="n">
        <x:f>M1373-J1373^2/H1373</x:f>
        <x:v>0</x:v>
      </x:c>
      <x:c r="U1373" s="8" t="n">
        <x:f>N1373-I1373*J1373/H1373</x:f>
        <x:v>0</x:v>
      </x:c>
      <x:c r="V1373" s="8" t="n">
        <x:f>O1373-I1373*K1373/H1373</x:f>
        <x:v>33.69906494564361</x:v>
      </x:c>
      <x:c r="W1373" s="8" t="n">
        <x:f>P1373-J1373*K1373/H1373</x:f>
        <x:v>0</x:v>
      </x:c>
      <x:c r="X1373" s="8" t="n">
        <x:f>V1373/S1373</x:f>
        <x:v>0.4457134580752083</x:v>
      </x:c>
      <x:c r="Y1373" s="8" t="n">
        <x:f>0</x:f>
        <x:v>0</x:v>
      </x:c>
      <x:c r="Z1373" s="8" t="n">
        <x:f>K1373/H1373-X1373*I1373/H1373-Y1373*J1373/H1373</x:f>
        <x:v>1.7267867733123632</x:v>
      </x:c>
      <x:c r="AA1373" s="8" t="n">
        <x:f>Z1373+X1373*Q1373+Y1373*R1373</x:f>
        <x:v>2.931631000588202</x:v>
      </x:c>
    </x:row>
    <x:row r="1374" ht="26" customHeight="1">
      <x:c r="A1374" s="2"/>
      <x:c r="B1374" s="2" t="n">
        <x:v>1369</x:v>
      </x:c>
      <x:c r="C1374" s="2" t="str">
        <x:v>Beauty / organic_sales_growth</x:v>
      </x:c>
      <x:c r="D1374" s="2" t="str">
        <x:v>Own history</x:v>
      </x:c>
      <x:c r="E1374" s="7" t="n">
        <x:v>45473</x:v>
      </x:c>
      <x:c r="F1374" s="2" t="str">
        <x:v>Prior report</x:v>
      </x:c>
      <x:c r="G1374" s="7" t="n">
        <x:v>45401</x:v>
      </x:c>
      <x:c r="H1374" s="2" t="n">
        <x:v>12</x:v>
      </x:c>
      <x:c r="I1374" s="8" t="n">
        <x:v>51</x:v>
      </x:c>
      <x:c r="J1374" s="8" t="n">
        <x:v>0</x:v>
      </x:c>
      <x:c r="K1374" s="8" t="n">
        <x:v>47</x:v>
      </x:c>
      <x:c r="L1374" s="8" t="n">
        <x:v>323</x:v>
      </x:c>
      <x:c r="M1374" s="8" t="n">
        <x:v>0</x:v>
      </x:c>
      <x:c r="N1374" s="8" t="n">
        <x:v>0</x:v>
      </x:c>
      <x:c r="O1374" s="8" t="n">
        <x:v>237</x:v>
      </x:c>
      <x:c r="P1374" s="8" t="n">
        <x:v>0</x:v>
      </x:c>
      <x:c r="Q1374" s="8" t="n">
        <x:v>3</x:v>
      </x:c>
      <x:c r="R1374" s="8" t="n">
        <x:v>0</x:v>
      </x:c>
      <x:c r="S1374" s="8" t="n">
        <x:f>L1374-I1374^2/H1374</x:f>
        <x:v>106.25</x:v>
      </x:c>
      <x:c r="T1374" s="8" t="n">
        <x:f>M1374-J1374^2/H1374</x:f>
        <x:v>0</x:v>
      </x:c>
      <x:c r="U1374" s="8" t="n">
        <x:f>N1374-I1374*J1374/H1374</x:f>
        <x:v>0</x:v>
      </x:c>
      <x:c r="V1374" s="8" t="n">
        <x:f>O1374-I1374*K1374/H1374</x:f>
        <x:v>37.25</x:v>
      </x:c>
      <x:c r="W1374" s="8" t="n">
        <x:f>P1374-J1374*K1374/H1374</x:f>
        <x:v>0</x:v>
      </x:c>
      <x:c r="X1374" s="8" t="n">
        <x:f>V1374/S1374</x:f>
        <x:v>0.35058823529411764</x:v>
      </x:c>
      <x:c r="Y1374" s="8" t="n">
        <x:f>0</x:f>
        <x:v>0</x:v>
      </x:c>
      <x:c r="Z1374" s="8" t="n">
        <x:f>K1374/H1374-X1374*I1374/H1374-Y1374*J1374/H1374</x:f>
        <x:v>2.4266666666666667</x:v>
      </x:c>
      <x:c r="AA1374" s="8" t="n">
        <x:f>Z1374+X1374*Q1374+Y1374*R1374</x:f>
        <x:v>3.4784313725490197</x:v>
      </x:c>
    </x:row>
    <x:row r="1375" ht="26" customHeight="1">
      <x:c r="A1375" s="2"/>
      <x:c r="B1375" s="2" t="n">
        <x:v>1370</x:v>
      </x:c>
      <x:c r="C1375" s="2" t="str">
        <x:v>Beauty / organic_sales_growth</x:v>
      </x:c>
      <x:c r="D1375" s="2" t="str">
        <x:v>Broad market</x:v>
      </x:c>
      <x:c r="E1375" s="7" t="n">
        <x:v>45473</x:v>
      </x:c>
      <x:c r="F1375" s="2" t="str">
        <x:v>Pre-earnings</x:v>
      </x:c>
      <x:c r="G1375" s="7" t="n">
        <x:v>45502</x:v>
      </x:c>
      <x:c r="H1375" s="2" t="n">
        <x:v>13</x:v>
      </x:c>
      <x:c r="I1375" s="8" t="n">
        <x:v>90.5010667786043</x:v>
      </x:c>
      <x:c r="J1375" s="8" t="n">
        <x:v>0</x:v>
      </x:c>
      <x:c r="K1375" s="8" t="n">
        <x:v>54</x:v>
      </x:c>
      <x:c r="L1375" s="8" t="n">
        <x:v>842.2631662443981</x:v>
      </x:c>
      <x:c r="M1375" s="8" t="n">
        <x:v>0</x:v>
      </x:c>
      <x:c r="N1375" s="8" t="n">
        <x:v>0</x:v>
      </x:c>
      <x:c r="O1375" s="8" t="n">
        <x:v>408.513139852483</x:v>
      </x:c>
      <x:c r="P1375" s="8" t="n">
        <x:v>0</x:v>
      </x:c>
      <x:c r="Q1375" s="8" t="n">
        <x:v>0.08916260685725153</x:v>
      </x:c>
      <x:c r="R1375" s="8" t="n">
        <x:v>0</x:v>
      </x:c>
      <x:c r="S1375" s="8" t="n">
        <x:f>L1375-I1375^2/H1375</x:f>
        <x:v>212.2290825470601</x:v>
      </x:c>
      <x:c r="T1375" s="8" t="n">
        <x:f>M1375-J1375^2/H1375</x:f>
        <x:v>0</x:v>
      </x:c>
      <x:c r="U1375" s="8" t="n">
        <x:f>N1375-I1375*J1375/H1375</x:f>
        <x:v>0</x:v>
      </x:c>
      <x:c r="V1375" s="8" t="n">
        <x:f>O1375-I1375*K1375/H1375</x:f>
        <x:v>32.58563169520363</x:v>
      </x:c>
      <x:c r="W1375" s="8" t="n">
        <x:f>P1375-J1375*K1375/H1375</x:f>
        <x:v>0</x:v>
      </x:c>
      <x:c r="X1375" s="8" t="n">
        <x:f>V1375/S1375</x:f>
        <x:v>0.1535398980390825</x:v>
      </x:c>
      <x:c r="Y1375" s="8" t="n">
        <x:f>0</x:f>
        <x:v>0</x:v>
      </x:c>
      <x:c r="Z1375" s="8" t="n">
        <x:f>K1375/H1375-X1375*I1375/H1375-Y1375*J1375/H1375</x:f>
        <x:v>3.084959648798839</x:v>
      </x:c>
      <x:c r="AA1375" s="8" t="n">
        <x:f>Z1375+X1375*Q1375+Y1375*R1375</x:f>
        <x:v>3.0986496663646004</x:v>
      </x:c>
    </x:row>
    <x:row r="1376" ht="26" customHeight="1">
      <x:c r="A1376" s="2"/>
      <x:c r="B1376" s="2" t="n">
        <x:v>1371</x:v>
      </x:c>
      <x:c r="C1376" s="2" t="str">
        <x:v>Beauty / organic_sales_growth</x:v>
      </x:c>
      <x:c r="D1376" s="2" t="str">
        <x:v>Broad lag 1</x:v>
      </x:c>
      <x:c r="E1376" s="7" t="n">
        <x:v>45473</x:v>
      </x:c>
      <x:c r="F1376" s="2" t="str">
        <x:v>Pre-earnings</x:v>
      </x:c>
      <x:c r="G1376" s="7" t="n">
        <x:v>45502</x:v>
      </x:c>
      <x:c r="H1376" s="2" t="n">
        <x:v>12</x:v>
      </x:c>
      <x:c r="I1376" s="8" t="n">
        <x:v>88.34515613926527</x:v>
      </x:c>
      <x:c r="J1376" s="8" t="n">
        <x:v>0</x:v>
      </x:c>
      <x:c r="K1376" s="8" t="n">
        <x:v>47</x:v>
      </x:c>
      <x:c r="L1376" s="8" t="n">
        <x:v>837.615215559583</x:v>
      </x:c>
      <x:c r="M1376" s="8" t="n">
        <x:v>0</x:v>
      </x:c>
      <x:c r="N1376" s="8" t="n">
        <x:v>0</x:v>
      </x:c>
      <x:c r="O1376" s="8" t="n">
        <x:v>308.2515683939695</x:v>
      </x:c>
      <x:c r="P1376" s="8" t="n">
        <x:v>0</x:v>
      </x:c>
      <x:c r="Q1376" s="8" t="n">
        <x:v>2.1559106393390204</x:v>
      </x:c>
      <x:c r="R1376" s="8" t="n">
        <x:v>0</x:v>
      </x:c>
      <x:c r="S1376" s="8" t="n">
        <x:f>L1376-I1376^2/H1376</x:f>
        <x:v>187.20966445365298</x:v>
      </x:c>
      <x:c r="T1376" s="8" t="n">
        <x:f>M1376-J1376^2/H1376</x:f>
        <x:v>0</x:v>
      </x:c>
      <x:c r="U1376" s="8" t="n">
        <x:f>N1376-I1376*J1376/H1376</x:f>
        <x:v>0</x:v>
      </x:c>
      <x:c r="V1376" s="8" t="n">
        <x:f>O1376-I1376*K1376/H1376</x:f>
        <x:v>-37.766959818152884</x:v>
      </x:c>
      <x:c r="W1376" s="8" t="n">
        <x:f>P1376-J1376*K1376/H1376</x:f>
        <x:v>0</x:v>
      </x:c>
      <x:c r="X1376" s="8" t="n">
        <x:f>V1376/S1376</x:f>
        <x:v>-0.20173616532229166</x:v>
      </x:c>
      <x:c r="Y1376" s="8" t="n">
        <x:f>0</x:f>
        <x:v>0</x:v>
      </x:c>
      <x:c r="Z1376" s="8" t="n">
        <x:f>K1376/H1376-X1376*I1376/H1376-Y1376*J1376/H1376</x:f>
        <x:v>5.401867752027874</x:v>
      </x:c>
      <x:c r="AA1376" s="8" t="n">
        <x:f>Z1376+X1376*Q1376+Y1376*R1376</x:f>
        <x:v>4.96694260687009</x:v>
      </x:c>
    </x:row>
    <x:row r="1377" ht="26" customHeight="1">
      <x:c r="A1377" s="2"/>
      <x:c r="B1377" s="2" t="n">
        <x:v>1372</x:v>
      </x:c>
      <x:c r="C1377" s="2" t="str">
        <x:v>Beauty / organic_sales_growth</x:v>
      </x:c>
      <x:c r="D1377" s="2" t="str">
        <x:v>Broad rolling 8</x:v>
      </x:c>
      <x:c r="E1377" s="7" t="n">
        <x:v>45473</x:v>
      </x:c>
      <x:c r="F1377" s="2" t="str">
        <x:v>Pre-earnings</x:v>
      </x:c>
      <x:c r="G1377" s="7" t="n">
        <x:v>45502</x:v>
      </x:c>
      <x:c r="H1377" s="2" t="n">
        <x:v>8</x:v>
      </x:c>
      <x:c r="I1377" s="8" t="n">
        <x:v>45.90469889261455</x:v>
      </x:c>
      <x:c r="J1377" s="8" t="n">
        <x:v>0</x:v>
      </x:c>
      <x:c r="K1377" s="8" t="n">
        <x:v>34</x:v>
      </x:c>
      <x:c r="L1377" s="8" t="n">
        <x:v>317.85324410873136</x:v>
      </x:c>
      <x:c r="M1377" s="8" t="n">
        <x:v>0</x:v>
      </x:c>
      <x:c r="N1377" s="8" t="n">
        <x:v>0</x:v>
      </x:c>
      <x:c r="O1377" s="8" t="n">
        <x:v>224.839984949956</x:v>
      </x:c>
      <x:c r="P1377" s="8" t="n">
        <x:v>0</x:v>
      </x:c>
      <x:c r="Q1377" s="8" t="n">
        <x:v>0.08916260685725153</x:v>
      </x:c>
      <x:c r="R1377" s="8" t="n">
        <x:v>0</x:v>
      </x:c>
      <x:c r="S1377" s="8" t="n">
        <x:f>L1377-I1377^2/H1377</x:f>
        <x:v>54.44807155603047</x:v>
      </x:c>
      <x:c r="T1377" s="8" t="n">
        <x:f>M1377-J1377^2/H1377</x:f>
        <x:v>0</x:v>
      </x:c>
      <x:c r="U1377" s="8" t="n">
        <x:f>N1377-I1377*J1377/H1377</x:f>
        <x:v>0</x:v>
      </x:c>
      <x:c r="V1377" s="8" t="n">
        <x:f>O1377-I1377*K1377/H1377</x:f>
        <x:v>29.745014656344182</x:v>
      </x:c>
      <x:c r="W1377" s="8" t="n">
        <x:f>P1377-J1377*K1377/H1377</x:f>
        <x:v>0</x:v>
      </x:c>
      <x:c r="X1377" s="8" t="n">
        <x:f>V1377/S1377</x:f>
        <x:v>0.5463006091177114</x:v>
      </x:c>
      <x:c r="Y1377" s="8" t="n">
        <x:f>0</x:f>
        <x:v>0</x:v>
      </x:c>
      <x:c r="Z1377" s="8" t="n">
        <x:f>K1377/H1377-X1377*I1377/H1377-Y1377*J1377/H1377</x:f>
        <x:v>1.1152793791999427</x:v>
      </x:c>
      <x:c r="AA1377" s="8" t="n">
        <x:f>Z1377+X1377*Q1377+Y1377*R1377</x:f>
        <x:v>1.1639889656365823</x:v>
      </x:c>
    </x:row>
    <x:row r="1378" ht="26" customHeight="1">
      <x:c r="A1378" s="2"/>
      <x:c r="B1378" s="2" t="n">
        <x:v>1373</x:v>
      </x:c>
      <x:c r="C1378" s="2" t="str">
        <x:v>Beauty / organic_sales_growth</x:v>
      </x:c>
      <x:c r="D1378" s="2" t="str">
        <x:v>Own history</x:v>
      </x:c>
      <x:c r="E1378" s="7" t="n">
        <x:v>45473</x:v>
      </x:c>
      <x:c r="F1378" s="2" t="str">
        <x:v>Pre-earnings</x:v>
      </x:c>
      <x:c r="G1378" s="7" t="n">
        <x:v>45502</x:v>
      </x:c>
      <x:c r="H1378" s="2" t="n">
        <x:v>12</x:v>
      </x:c>
      <x:c r="I1378" s="8" t="n">
        <x:v>51</x:v>
      </x:c>
      <x:c r="J1378" s="8" t="n">
        <x:v>0</x:v>
      </x:c>
      <x:c r="K1378" s="8" t="n">
        <x:v>47</x:v>
      </x:c>
      <x:c r="L1378" s="8" t="n">
        <x:v>323</x:v>
      </x:c>
      <x:c r="M1378" s="8" t="n">
        <x:v>0</x:v>
      </x:c>
      <x:c r="N1378" s="8" t="n">
        <x:v>0</x:v>
      </x:c>
      <x:c r="O1378" s="8" t="n">
        <x:v>237</x:v>
      </x:c>
      <x:c r="P1378" s="8" t="n">
        <x:v>0</x:v>
      </x:c>
      <x:c r="Q1378" s="8" t="n">
        <x:v>3</x:v>
      </x:c>
      <x:c r="R1378" s="8" t="n">
        <x:v>0</x:v>
      </x:c>
      <x:c r="S1378" s="8" t="n">
        <x:f>L1378-I1378^2/H1378</x:f>
        <x:v>106.25</x:v>
      </x:c>
      <x:c r="T1378" s="8" t="n">
        <x:f>M1378-J1378^2/H1378</x:f>
        <x:v>0</x:v>
      </x:c>
      <x:c r="U1378" s="8" t="n">
        <x:f>N1378-I1378*J1378/H1378</x:f>
        <x:v>0</x:v>
      </x:c>
      <x:c r="V1378" s="8" t="n">
        <x:f>O1378-I1378*K1378/H1378</x:f>
        <x:v>37.25</x:v>
      </x:c>
      <x:c r="W1378" s="8" t="n">
        <x:f>P1378-J1378*K1378/H1378</x:f>
        <x:v>0</x:v>
      </x:c>
      <x:c r="X1378" s="8" t="n">
        <x:f>V1378/S1378</x:f>
        <x:v>0.35058823529411764</x:v>
      </x:c>
      <x:c r="Y1378" s="8" t="n">
        <x:f>0</x:f>
        <x:v>0</x:v>
      </x:c>
      <x:c r="Z1378" s="8" t="n">
        <x:f>K1378/H1378-X1378*I1378/H1378-Y1378*J1378/H1378</x:f>
        <x:v>2.4266666666666667</x:v>
      </x:c>
      <x:c r="AA1378" s="8" t="n">
        <x:f>Z1378+X1378*Q1378+Y1378*R1378</x:f>
        <x:v>3.4784313725490197</x:v>
      </x:c>
    </x:row>
    <x:row r="1379" ht="26" customHeight="1">
      <x:c r="A1379" s="2"/>
      <x:c r="B1379" s="2" t="n">
        <x:v>1374</x:v>
      </x:c>
      <x:c r="C1379" s="2" t="str">
        <x:v>Beauty / organic_sales_growth</x:v>
      </x:c>
      <x:c r="D1379" s="2" t="str">
        <x:v>Broad market</x:v>
      </x:c>
      <x:c r="E1379" s="7" t="n">
        <x:v>45565</x:v>
      </x:c>
      <x:c r="F1379" s="2" t="str">
        <x:v>Origin</x:v>
      </x:c>
      <x:c r="G1379" s="7" t="n">
        <x:v>45474</x:v>
      </x:c>
      <x:c r="H1379" s="2" t="n">
        <x:v>13</x:v>
      </x:c>
      <x:c r="I1379" s="8" t="n">
        <x:v>90.46514472945097</x:v>
      </x:c>
      <x:c r="J1379" s="8" t="n">
        <x:v>0</x:v>
      </x:c>
      <x:c r="K1379" s="8" t="n">
        <x:v>54</x:v>
      </x:c>
      <x:c r="L1379" s="8" t="n">
        <x:v>841.6498708344244</x:v>
      </x:c>
      <x:c r="M1379" s="8" t="n">
        <x:v>0</x:v>
      </x:c>
      <x:c r="N1379" s="8" t="n">
        <x:v>0</x:v>
      </x:c>
      <x:c r="O1379" s="8" t="n">
        <x:v>408.1179973117964</x:v>
      </x:c>
      <x:c r="P1379" s="8" t="n">
        <x:v>0</x:v>
      </x:c>
      <x:c r="Q1379" s="8" t="n">
        <x:v>0.2843167026613802</x:v>
      </x:c>
      <x:c r="R1379" s="8" t="n">
        <x:v>0</x:v>
      </x:c>
      <x:c r="S1379" s="8" t="n">
        <x:f>L1379-I1379^2/H1379</x:f>
        <x:v>212.11583922515445</x:v>
      </x:c>
      <x:c r="T1379" s="8" t="n">
        <x:f>M1379-J1379^2/H1379</x:f>
        <x:v>0</x:v>
      </x:c>
      <x:c r="U1379" s="8" t="n">
        <x:f>N1379-I1379*J1379/H1379</x:f>
        <x:v>0</x:v>
      </x:c>
      <x:c r="V1379" s="8" t="n">
        <x:f>O1379-I1379*K1379/H1379</x:f>
        <x:v>32.33970382023085</x:v>
      </x:c>
      <x:c r="W1379" s="8" t="n">
        <x:f>P1379-J1379*K1379/H1379</x:f>
        <x:v>0</x:v>
      </x:c>
      <x:c r="X1379" s="8" t="n">
        <x:f>V1379/S1379</x:f>
        <x:v>0.15246246550170753</x:v>
      </x:c>
      <x:c r="Y1379" s="8" t="n">
        <x:f>0</x:f>
        <x:v>0</x:v>
      </x:c>
      <x:c r="Z1379" s="8" t="n">
        <x:f>K1379/H1379-X1379*I1379/H1379-Y1379*J1379/H1379</x:f>
        <x:v>3.0928816148137774</x:v>
      </x:c>
      <x:c r="AA1379" s="8" t="n">
        <x:f>Z1379+X1379*Q1379+Y1379*R1379</x:f>
        <x:v>3.1362292402848473</x:v>
      </x:c>
    </x:row>
    <x:row r="1380" ht="26" customHeight="1">
      <x:c r="A1380" s="2"/>
      <x:c r="B1380" s="2" t="n">
        <x:v>1375</x:v>
      </x:c>
      <x:c r="C1380" s="2" t="str">
        <x:v>Beauty / organic_sales_growth</x:v>
      </x:c>
      <x:c r="D1380" s="2" t="str">
        <x:v>Broad rolling 8</x:v>
      </x:c>
      <x:c r="E1380" s="7" t="n">
        <x:v>45565</x:v>
      </x:c>
      <x:c r="F1380" s="2" t="str">
        <x:v>Origin</x:v>
      </x:c>
      <x:c r="G1380" s="7" t="n">
        <x:v>45474</x:v>
      </x:c>
      <x:c r="H1380" s="2" t="n">
        <x:v>8</x:v>
      </x:c>
      <x:c r="I1380" s="8" t="n">
        <x:v>45.86877684346122</x:v>
      </x:c>
      <x:c r="J1380" s="8" t="n">
        <x:v>0</x:v>
      </x:c>
      <x:c r="K1380" s="8" t="n">
        <x:v>34</x:v>
      </x:c>
      <x:c r="L1380" s="8" t="n">
        <x:v>317.2399486987576</x:v>
      </x:c>
      <x:c r="M1380" s="8" t="n">
        <x:v>0</x:v>
      </x:c>
      <x:c r="N1380" s="8" t="n">
        <x:v>0</x:v>
      </x:c>
      <x:c r="O1380" s="8" t="n">
        <x:v>224.44484240926943</x:v>
      </x:c>
      <x:c r="P1380" s="8" t="n">
        <x:v>0</x:v>
      </x:c>
      <x:c r="Q1380" s="8" t="n">
        <x:v>0.2843167026613802</x:v>
      </x:c>
      <x:c r="R1380" s="8" t="n">
        <x:v>0</x:v>
      </x:c>
      <x:c r="S1380" s="8" t="n">
        <x:f>L1380-I1380^2/H1380</x:f>
        <x:v>54.24686255935205</x:v>
      </x:c>
      <x:c r="T1380" s="8" t="n">
        <x:f>M1380-J1380^2/H1380</x:f>
        <x:v>0</x:v>
      </x:c>
      <x:c r="U1380" s="8" t="n">
        <x:f>N1380-I1380*J1380/H1380</x:f>
        <x:v>0</x:v>
      </x:c>
      <x:c r="V1380" s="8" t="n">
        <x:f>O1380-I1380*K1380/H1380</x:f>
        <x:v>29.502540824559247</x:v>
      </x:c>
      <x:c r="W1380" s="8" t="n">
        <x:f>P1380-J1380*K1380/H1380</x:f>
        <x:v>0</x:v>
      </x:c>
      <x:c r="X1380" s="8" t="n">
        <x:f>V1380/S1380</x:f>
        <x:v>0.543857090210152</x:v>
      </x:c>
      <x:c r="Y1380" s="8" t="n">
        <x:f>0</x:f>
        <x:v>0</x:v>
      </x:c>
      <x:c r="Z1380" s="8" t="n">
        <x:f>K1380/H1380-X1380*I1380/H1380-Y1380*J1380/H1380</x:f>
        <x:v>1.1317425618020471</x:v>
      </x:c>
      <x:c r="AA1380" s="8" t="n">
        <x:f>Z1380+X1380*Q1380+Y1380*R1380</x:f>
        <x:v>1.2863702164096105</x:v>
      </x:c>
    </x:row>
    <x:row r="1381" ht="26" customHeight="1">
      <x:c r="A1381" s="2"/>
      <x:c r="B1381" s="2" t="n">
        <x:v>1376</x:v>
      </x:c>
      <x:c r="C1381" s="2" t="str">
        <x:v>Beauty / organic_sales_growth</x:v>
      </x:c>
      <x:c r="D1381" s="2" t="str">
        <x:v>Own history</x:v>
      </x:c>
      <x:c r="E1381" s="7" t="n">
        <x:v>45565</x:v>
      </x:c>
      <x:c r="F1381" s="2" t="str">
        <x:v>Origin</x:v>
      </x:c>
      <x:c r="G1381" s="7" t="n">
        <x:v>45474</x:v>
      </x:c>
      <x:c r="H1381" s="2" t="n">
        <x:v>11</x:v>
      </x:c>
      <x:c r="I1381" s="8" t="n">
        <x:v>50</x:v>
      </x:c>
      <x:c r="J1381" s="8" t="n">
        <x:v>0</x:v>
      </x:c>
      <x:c r="K1381" s="8" t="n">
        <x:v>41</x:v>
      </x:c>
      <x:c r="L1381" s="8" t="n">
        <x:v>322</x:v>
      </x:c>
      <x:c r="M1381" s="8" t="n">
        <x:v>0</x:v>
      </x:c>
      <x:c r="N1381" s="8" t="n">
        <x:v>0</x:v>
      </x:c>
      <x:c r="O1381" s="8" t="n">
        <x:v>166</x:v>
      </x:c>
      <x:c r="P1381" s="8" t="n">
        <x:v>0</x:v>
      </x:c>
      <x:c r="Q1381" s="8" t="n">
        <x:v>3</x:v>
      </x:c>
      <x:c r="R1381" s="8" t="n">
        <x:v>0</x:v>
      </x:c>
      <x:c r="S1381" s="8" t="n">
        <x:f>L1381-I1381^2/H1381</x:f>
        <x:v>94.72727272727272</x:v>
      </x:c>
      <x:c r="T1381" s="8" t="n">
        <x:f>M1381-J1381^2/H1381</x:f>
        <x:v>0</x:v>
      </x:c>
      <x:c r="U1381" s="8" t="n">
        <x:f>N1381-I1381*J1381/H1381</x:f>
        <x:v>0</x:v>
      </x:c>
      <x:c r="V1381" s="8" t="n">
        <x:f>O1381-I1381*K1381/H1381</x:f>
        <x:v>-20.363636363636374</x:v>
      </x:c>
      <x:c r="W1381" s="8" t="n">
        <x:f>P1381-J1381*K1381/H1381</x:f>
        <x:v>0</x:v>
      </x:c>
      <x:c r="X1381" s="8" t="n">
        <x:f>V1381/S1381</x:f>
        <x:v>-0.21497120921305196</x:v>
      </x:c>
      <x:c r="Y1381" s="8" t="n">
        <x:f>0</x:f>
        <x:v>0</x:v>
      </x:c>
      <x:c r="Z1381" s="8" t="n">
        <x:f>K1381/H1381-X1381*I1381/H1381-Y1381*J1381/H1381</x:f>
        <x:v>4.704414587332054</x:v>
      </x:c>
      <x:c r="AA1381" s="8" t="n">
        <x:f>Z1381+X1381*Q1381+Y1381*R1381</x:f>
        <x:v>4.059500959692898</x:v>
      </x:c>
    </x:row>
    <x:row r="1382" ht="26" customHeight="1">
      <x:c r="A1382" s="2"/>
      <x:c r="B1382" s="2" t="n">
        <x:v>1377</x:v>
      </x:c>
      <x:c r="C1382" s="2" t="str">
        <x:v>Beauty / organic_sales_growth</x:v>
      </x:c>
      <x:c r="D1382" s="2" t="str">
        <x:v>Broad market</x:v>
      </x:c>
      <x:c r="E1382" s="7" t="n">
        <x:v>45565</x:v>
      </x:c>
      <x:c r="F1382" s="2" t="str">
        <x:v>Prior report</x:v>
      </x:c>
      <x:c r="G1382" s="7" t="n">
        <x:v>45503</x:v>
      </x:c>
      <x:c r="H1382" s="2" t="n">
        <x:v>14</x:v>
      </x:c>
      <x:c r="I1382" s="8" t="n">
        <x:v>90.59022938546156</x:v>
      </x:c>
      <x:c r="J1382" s="8" t="n">
        <x:v>0</x:v>
      </x:c>
      <x:c r="K1382" s="8" t="n">
        <x:v>57</x:v>
      </x:c>
      <x:c r="L1382" s="8" t="n">
        <x:v>842.2711162148597</x:v>
      </x:c>
      <x:c r="M1382" s="8" t="n">
        <x:v>0</x:v>
      </x:c>
      <x:c r="N1382" s="8" t="n">
        <x:v>0</x:v>
      </x:c>
      <x:c r="O1382" s="8" t="n">
        <x:v>408.7806276730547</x:v>
      </x:c>
      <x:c r="P1382" s="8" t="n">
        <x:v>0</x:v>
      </x:c>
      <x:c r="Q1382" s="8" t="n">
        <x:v>0.0898481386004013</x:v>
      </x:c>
      <x:c r="R1382" s="8" t="n">
        <x:v>0</x:v>
      </x:c>
      <x:c r="S1382" s="8" t="n">
        <x:f>L1382-I1382^2/H1382</x:f>
        <x:v>256.08614049267817</x:v>
      </x:c>
      <x:c r="T1382" s="8" t="n">
        <x:f>M1382-J1382^2/H1382</x:f>
        <x:v>0</x:v>
      </x:c>
      <x:c r="U1382" s="8" t="n">
        <x:f>N1382-I1382*J1382/H1382</x:f>
        <x:v>0</x:v>
      </x:c>
      <x:c r="V1382" s="8" t="n">
        <x:f>O1382-I1382*K1382/H1382</x:f>
        <x:v>39.94897946081835</x:v>
      </x:c>
      <x:c r="W1382" s="8" t="n">
        <x:f>P1382-J1382*K1382/H1382</x:f>
        <x:v>0</x:v>
      </x:c>
      <x:c r="X1382" s="8" t="n">
        <x:f>V1382/S1382</x:f>
        <x:v>0.15599820975848766</x:v>
      </x:c>
      <x:c r="Y1382" s="8" t="n">
        <x:f>0</x:f>
        <x:v>0</x:v>
      </x:c>
      <x:c r="Z1382" s="8" t="n">
        <x:f>K1382/H1382-X1382*I1382/H1382-Y1382*J1382/H1382</x:f>
        <x:v>3.0620061710183752</x:v>
      </x:c>
      <x:c r="AA1382" s="8" t="n">
        <x:f>Z1382+X1382*Q1382+Y1382*R1382</x:f>
        <x:v>3.0760223197901704</x:v>
      </x:c>
    </x:row>
    <x:row r="1383" ht="26" customHeight="1">
      <x:c r="A1383" s="2"/>
      <x:c r="B1383" s="2" t="n">
        <x:v>1378</x:v>
      </x:c>
      <x:c r="C1383" s="2" t="str">
        <x:v>Beauty / organic_sales_growth</x:v>
      </x:c>
      <x:c r="D1383" s="2" t="str">
        <x:v>Broad lag 1</x:v>
      </x:c>
      <x:c r="E1383" s="7" t="n">
        <x:v>45565</x:v>
      </x:c>
      <x:c r="F1383" s="2" t="str">
        <x:v>Prior report</x:v>
      </x:c>
      <x:c r="G1383" s="7" t="n">
        <x:v>45503</x:v>
      </x:c>
      <x:c r="H1383" s="2" t="n">
        <x:v>13</x:v>
      </x:c>
      <x:c r="I1383" s="8" t="n">
        <x:v>90.5010667786043</x:v>
      </x:c>
      <x:c r="J1383" s="8" t="n">
        <x:v>0</x:v>
      </x:c>
      <x:c r="K1383" s="8" t="n">
        <x:v>50</x:v>
      </x:c>
      <x:c r="L1383" s="8" t="n">
        <x:v>842.2631662443981</x:v>
      </x:c>
      <x:c r="M1383" s="8" t="n">
        <x:v>0</x:v>
      </x:c>
      <x:c r="N1383" s="8" t="n">
        <x:v>0</x:v>
      </x:c>
      <x:c r="O1383" s="8" t="n">
        <x:v>314.71930031198656</x:v>
      </x:c>
      <x:c r="P1383" s="8" t="n">
        <x:v>0</x:v>
      </x:c>
      <x:c r="Q1383" s="8" t="n">
        <x:v>0.08916260685725153</x:v>
      </x:c>
      <x:c r="R1383" s="8" t="n">
        <x:v>0</x:v>
      </x:c>
      <x:c r="S1383" s="8" t="n">
        <x:f>L1383-I1383^2/H1383</x:f>
        <x:v>212.2290825470601</x:v>
      </x:c>
      <x:c r="T1383" s="8" t="n">
        <x:f>M1383-J1383^2/H1383</x:f>
        <x:v>0</x:v>
      </x:c>
      <x:c r="U1383" s="8" t="n">
        <x:f>N1383-I1383*J1383/H1383</x:f>
        <x:v>0</x:v>
      </x:c>
      <x:c r="V1383" s="8" t="n">
        <x:f>O1383-I1383*K1383/H1383</x:f>
        <x:v>-33.3617257595684</x:v>
      </x:c>
      <x:c r="W1383" s="8" t="n">
        <x:f>P1383-J1383*K1383/H1383</x:f>
        <x:v>0</x:v>
      </x:c>
      <x:c r="X1383" s="8" t="n">
        <x:f>V1383/S1383</x:f>
        <x:v>-0.1571967675644581</x:v>
      </x:c>
      <x:c r="Y1383" s="8" t="n">
        <x:f>0</x:f>
        <x:v>0</x:v>
      </x:c>
      <x:c r="Z1383" s="8" t="n">
        <x:f>K1383/H1383-X1383*I1383/H1383-Y1383*J1383/H1383</x:f>
        <x:v>4.940498089133213</x:v>
      </x:c>
      <x:c r="AA1383" s="8" t="n">
        <x:f>Z1383+X1383*Q1383+Y1383*R1383</x:f>
        <x:v>4.9264820155476325</x:v>
      </x:c>
    </x:row>
    <x:row r="1384" ht="26" customHeight="1">
      <x:c r="A1384" s="2"/>
      <x:c r="B1384" s="2" t="n">
        <x:v>1379</x:v>
      </x:c>
      <x:c r="C1384" s="2" t="str">
        <x:v>Beauty / organic_sales_growth</x:v>
      </x:c>
      <x:c r="D1384" s="2" t="str">
        <x:v>Broad rolling 8</x:v>
      </x:c>
      <x:c r="E1384" s="7" t="n">
        <x:v>45565</x:v>
      </x:c>
      <x:c r="F1384" s="2" t="str">
        <x:v>Prior report</x:v>
      </x:c>
      <x:c r="G1384" s="7" t="n">
        <x:v>45503</x:v>
      </x:c>
      <x:c r="H1384" s="2" t="n">
        <x:v>8</x:v>
      </x:c>
      <x:c r="I1384" s="8" t="n">
        <x:v>42.693340961410684</x:v>
      </x:c>
      <x:c r="J1384" s="8" t="n">
        <x:v>0</x:v>
      </x:c>
      <x:c r="K1384" s="8" t="n">
        <x:v>37</x:v>
      </x:c>
      <x:c r="L1384" s="8" t="n">
        <x:v>306.96775825702974</x:v>
      </x:c>
      <x:c r="M1384" s="8" t="n">
        <x:v>0</x:v>
      </x:c>
      <x:c r="N1384" s="8" t="n">
        <x:v>0</x:v>
      </x:c>
      <x:c r="O1384" s="8" t="n">
        <x:v>225.10747277052775</x:v>
      </x:c>
      <x:c r="P1384" s="8" t="n">
        <x:v>0</x:v>
      </x:c>
      <x:c r="Q1384" s="8" t="n">
        <x:v>0.0898481386004013</x:v>
      </x:c>
      <x:c r="R1384" s="8" t="n">
        <x:v>0</x:v>
      </x:c>
      <x:c r="S1384" s="8" t="n">
        <x:f>L1384-I1384^2/H1384</x:f>
        <x:v>79.12758795112134</x:v>
      </x:c>
      <x:c r="T1384" s="8" t="n">
        <x:f>M1384-J1384^2/H1384</x:f>
        <x:v>0</x:v>
      </x:c>
      <x:c r="U1384" s="8" t="n">
        <x:f>N1384-I1384*J1384/H1384</x:f>
        <x:v>0</x:v>
      </x:c>
      <x:c r="V1384" s="8" t="n">
        <x:f>O1384-I1384*K1384/H1384</x:f>
        <x:v>27.65077082400333</x:v>
      </x:c>
      <x:c r="W1384" s="8" t="n">
        <x:f>P1384-J1384*K1384/H1384</x:f>
        <x:v>0</x:v>
      </x:c>
      <x:c r="X1384" s="8" t="n">
        <x:f>V1384/S1384</x:f>
        <x:v>0.34944538990729446</x:v>
      </x:c>
      <x:c r="Y1384" s="8" t="n">
        <x:f>0</x:f>
        <x:v>0</x:v>
      </x:c>
      <x:c r="Z1384" s="8" t="n">
        <x:f>K1384/H1384-X1384*I1384/H1384-Y1384*J1384/H1384</x:f>
        <x:v>2.7601261026618475</x:v>
      </x:c>
      <x:c r="AA1384" s="8" t="n">
        <x:f>Z1384+X1384*Q1384+Y1384*R1384</x:f>
        <x:v>2.7915231204875095</x:v>
      </x:c>
    </x:row>
    <x:row r="1385" ht="26" customHeight="1">
      <x:c r="A1385" s="2"/>
      <x:c r="B1385" s="2" t="n">
        <x:v>1380</x:v>
      </x:c>
      <x:c r="C1385" s="2" t="str">
        <x:v>Beauty / organic_sales_growth</x:v>
      </x:c>
      <x:c r="D1385" s="2" t="str">
        <x:v>Own history</x:v>
      </x:c>
      <x:c r="E1385" s="7" t="n">
        <x:v>45565</x:v>
      </x:c>
      <x:c r="F1385" s="2" t="str">
        <x:v>Prior report</x:v>
      </x:c>
      <x:c r="G1385" s="7" t="n">
        <x:v>45503</x:v>
      </x:c>
      <x:c r="H1385" s="2" t="n">
        <x:v>13</x:v>
      </x:c>
      <x:c r="I1385" s="8" t="n">
        <x:v>54</x:v>
      </x:c>
      <x:c r="J1385" s="8" t="n">
        <x:v>0</x:v>
      </x:c>
      <x:c r="K1385" s="8" t="n">
        <x:v>50</x:v>
      </x:c>
      <x:c r="L1385" s="8" t="n">
        <x:v>332</x:v>
      </x:c>
      <x:c r="M1385" s="8" t="n">
        <x:v>0</x:v>
      </x:c>
      <x:c r="N1385" s="8" t="n">
        <x:v>0</x:v>
      </x:c>
      <x:c r="O1385" s="8" t="n">
        <x:v>246</x:v>
      </x:c>
      <x:c r="P1385" s="8" t="n">
        <x:v>0</x:v>
      </x:c>
      <x:c r="Q1385" s="8" t="n">
        <x:v>3</x:v>
      </x:c>
      <x:c r="R1385" s="8" t="n">
        <x:v>0</x:v>
      </x:c>
      <x:c r="S1385" s="8" t="n">
        <x:f>L1385-I1385^2/H1385</x:f>
        <x:v>107.69230769230768</x:v>
      </x:c>
      <x:c r="T1385" s="8" t="n">
        <x:f>M1385-J1385^2/H1385</x:f>
        <x:v>0</x:v>
      </x:c>
      <x:c r="U1385" s="8" t="n">
        <x:f>N1385-I1385*J1385/H1385</x:f>
        <x:v>0</x:v>
      </x:c>
      <x:c r="V1385" s="8" t="n">
        <x:f>O1385-I1385*K1385/H1385</x:f>
        <x:v>38.30769230769232</x:v>
      </x:c>
      <x:c r="W1385" s="8" t="n">
        <x:f>P1385-J1385*K1385/H1385</x:f>
        <x:v>0</x:v>
      </x:c>
      <x:c r="X1385" s="8" t="n">
        <x:f>V1385/S1385</x:f>
        <x:v>0.35571428571428587</x:v>
      </x:c>
      <x:c r="Y1385" s="8" t="n">
        <x:f>0</x:f>
        <x:v>0</x:v>
      </x:c>
      <x:c r="Z1385" s="8" t="n">
        <x:f>K1385/H1385-X1385*I1385/H1385-Y1385*J1385/H1385</x:f>
        <x:v>2.368571428571428</x:v>
      </x:c>
      <x:c r="AA1385" s="8" t="n">
        <x:f>Z1385+X1385*Q1385+Y1385*R1385</x:f>
        <x:v>3.4357142857142855</x:v>
      </x:c>
    </x:row>
    <x:row r="1386" ht="26" customHeight="1">
      <x:c r="A1386" s="2"/>
      <x:c r="B1386" s="2" t="n">
        <x:v>1381</x:v>
      </x:c>
      <x:c r="C1386" s="2" t="str">
        <x:v>Beauty / organic_sales_growth</x:v>
      </x:c>
      <x:c r="D1386" s="2" t="str">
        <x:v>Broad market</x:v>
      </x:c>
      <x:c r="E1386" s="7" t="n">
        <x:v>45565</x:v>
      </x:c>
      <x:c r="F1386" s="2" t="str">
        <x:v>Pre-earnings</x:v>
      </x:c>
      <x:c r="G1386" s="7" t="n">
        <x:v>45582</x:v>
      </x:c>
      <x:c r="H1386" s="2" t="n">
        <x:v>14</x:v>
      </x:c>
      <x:c r="I1386" s="8" t="n">
        <x:v>90.93654241893852</x:v>
      </x:c>
      <x:c r="J1386" s="8" t="n">
        <x:v>0</x:v>
      </x:c>
      <x:c r="K1386" s="8" t="n">
        <x:v>57</x:v>
      </x:c>
      <x:c r="L1386" s="8" t="n">
        <x:v>837.8902330922053</x:v>
      </x:c>
      <x:c r="M1386" s="8" t="n">
        <x:v>0</x:v>
      </x:c>
      <x:c r="N1386" s="8" t="n">
        <x:v>0</x:v>
      </x:c>
      <x:c r="O1386" s="8" t="n">
        <x:v>409.31316942927043</x:v>
      </x:c>
      <x:c r="P1386" s="8" t="n">
        <x:v>0</x:v>
      </x:c>
      <x:c r="Q1386" s="8" t="n">
        <x:v>4.273198477134077</x:v>
      </x:c>
      <x:c r="R1386" s="8" t="n">
        <x:v>0</x:v>
      </x:c>
      <x:c r="S1386" s="8" t="n">
        <x:f>L1386-I1386^2/H1386</x:f>
        <x:v>247.2148940128194</x:v>
      </x:c>
      <x:c r="T1386" s="8" t="n">
        <x:f>M1386-J1386^2/H1386</x:f>
        <x:v>0</x:v>
      </x:c>
      <x:c r="U1386" s="8" t="n">
        <x:f>N1386-I1386*J1386/H1386</x:f>
        <x:v>0</x:v>
      </x:c>
      <x:c r="V1386" s="8" t="n">
        <x:f>O1386-I1386*K1386/H1386</x:f>
        <x:v>39.07153243787792</x:v>
      </x:c>
      <x:c r="W1386" s="8" t="n">
        <x:f>P1386-J1386*K1386/H1386</x:f>
        <x:v>0</x:v>
      </x:c>
      <x:c r="X1386" s="8" t="n">
        <x:f>V1386/S1386</x:f>
        <x:v>0.1580468385365643</x:v>
      </x:c>
      <x:c r="Y1386" s="8" t="n">
        <x:f>0</x:f>
        <x:v>0</x:v>
      </x:c>
      <x:c r="Z1386" s="8" t="n">
        <x:f>K1386/H1386-X1386*I1386/H1386-Y1386*J1386/H1386</x:f>
        <x:v>3.044840497374328</x:v>
      </x:c>
      <x:c r="AA1386" s="8" t="n">
        <x:f>Z1386+X1386*Q1386+Y1386*R1386</x:f>
        <x:v>3.72020600712463</x:v>
      </x:c>
    </x:row>
    <x:row r="1387" ht="26" customHeight="1">
      <x:c r="A1387" s="2"/>
      <x:c r="B1387" s="2" t="n">
        <x:v>1382</x:v>
      </x:c>
      <x:c r="C1387" s="2" t="str">
        <x:v>Beauty / organic_sales_growth</x:v>
      </x:c>
      <x:c r="D1387" s="2" t="str">
        <x:v>Broad lag 1</x:v>
      </x:c>
      <x:c r="E1387" s="7" t="n">
        <x:v>45565</x:v>
      </x:c>
      <x:c r="F1387" s="2" t="str">
        <x:v>Pre-earnings</x:v>
      </x:c>
      <x:c r="G1387" s="7" t="n">
        <x:v>45582</x:v>
      </x:c>
      <x:c r="H1387" s="2" t="n">
        <x:v>13</x:v>
      </x:c>
      <x:c r="I1387" s="8" t="n">
        <x:v>90.1371084549406</x:v>
      </x:c>
      <x:c r="J1387" s="8" t="n">
        <x:v>0</x:v>
      </x:c>
      <x:c r="K1387" s="8" t="n">
        <x:v>50</x:v>
      </x:c>
      <x:c r="L1387" s="8" t="n">
        <x:v>837.2511384294119</x:v>
      </x:c>
      <x:c r="M1387" s="8" t="n">
        <x:v>0</x:v>
      </x:c>
      <x:c r="N1387" s="8" t="n">
        <x:v>0</x:v>
      </x:c>
      <x:c r="O1387" s="8" t="n">
        <x:v>314.50302152373104</x:v>
      </x:c>
      <x:c r="P1387" s="8" t="n">
        <x:v>0</x:v>
      </x:c>
      <x:c r="Q1387" s="8" t="n">
        <x:v>0.7994339639979087</x:v>
      </x:c>
      <x:c r="R1387" s="8" t="n">
        <x:v>0</x:v>
      </x:c>
      <x:c r="S1387" s="8" t="n">
        <x:f>L1387-I1387^2/H1387</x:f>
        <x:v>212.27434453574074</x:v>
      </x:c>
      <x:c r="T1387" s="8" t="n">
        <x:f>M1387-J1387^2/H1387</x:f>
        <x:v>0</x:v>
      </x:c>
      <x:c r="U1387" s="8" t="n">
        <x:f>N1387-I1387*J1387/H1387</x:f>
        <x:v>0</x:v>
      </x:c>
      <x:c r="V1387" s="8" t="n">
        <x:f>O1387-I1387*K1387/H1387</x:f>
        <x:v>-32.17816484142514</x:v>
      </x:c>
      <x:c r="W1387" s="8" t="n">
        <x:f>P1387-J1387*K1387/H1387</x:f>
        <x:v>0</x:v>
      </x:c>
      <x:c r="X1387" s="8" t="n">
        <x:f>V1387/S1387</x:f>
        <x:v>-0.15158763020468208</x:v>
      </x:c>
      <x:c r="Y1387" s="8" t="n">
        <x:f>0</x:f>
        <x:v>0</x:v>
      </x:c>
      <x:c r="Z1387" s="8" t="n">
        <x:f>K1387/H1387-X1387*I1387/H1387-Y1387*J1387/H1387</x:f>
        <x:v>4.897205435706681</x:v>
      </x:c>
      <x:c r="AA1387" s="8" t="n">
        <x:f>Z1387+X1387*Q1387+Y1387*R1387</x:f>
        <x:v>4.776021135599103</x:v>
      </x:c>
    </x:row>
    <x:row r="1388" ht="26" customHeight="1">
      <x:c r="A1388" s="2"/>
      <x:c r="B1388" s="2" t="n">
        <x:v>1383</x:v>
      </x:c>
      <x:c r="C1388" s="2" t="str">
        <x:v>Beauty / organic_sales_growth</x:v>
      </x:c>
      <x:c r="D1388" s="2" t="str">
        <x:v>Broad rolling 8</x:v>
      </x:c>
      <x:c r="E1388" s="7" t="n">
        <x:v>45565</x:v>
      </x:c>
      <x:c r="F1388" s="2" t="str">
        <x:v>Pre-earnings</x:v>
      </x:c>
      <x:c r="G1388" s="7" t="n">
        <x:v>45582</x:v>
      </x:c>
      <x:c r="H1388" s="2" t="n">
        <x:v>8</x:v>
      </x:c>
      <x:c r="I1388" s="8" t="n">
        <x:v>43.03965399488765</x:v>
      </x:c>
      <x:c r="J1388" s="8" t="n">
        <x:v>0</x:v>
      </x:c>
      <x:c r="K1388" s="8" t="n">
        <x:v>37</x:v>
      </x:c>
      <x:c r="L1388" s="8" t="n">
        <x:v>302.5868751343753</x:v>
      </x:c>
      <x:c r="M1388" s="8" t="n">
        <x:v>0</x:v>
      </x:c>
      <x:c r="N1388" s="8" t="n">
        <x:v>0</x:v>
      </x:c>
      <x:c r="O1388" s="8" t="n">
        <x:v>225.64001452674347</x:v>
      </x:c>
      <x:c r="P1388" s="8" t="n">
        <x:v>0</x:v>
      </x:c>
      <x:c r="Q1388" s="8" t="n">
        <x:v>4.273198477134077</x:v>
      </x:c>
      <x:c r="R1388" s="8" t="n">
        <x:v>0</x:v>
      </x:c>
      <x:c r="S1388" s="8" t="n">
        <x:f>L1388-I1388^2/H1388</x:f>
        <x:v>71.03539813441924</x:v>
      </x:c>
      <x:c r="T1388" s="8" t="n">
        <x:f>M1388-J1388^2/H1388</x:f>
        <x:v>0</x:v>
      </x:c>
      <x:c r="U1388" s="8" t="n">
        <x:f>N1388-I1388*J1388/H1388</x:f>
        <x:v>0</x:v>
      </x:c>
      <x:c r="V1388" s="8" t="n">
        <x:f>O1388-I1388*K1388/H1388</x:f>
        <x:v>26.58161480038808</x:v>
      </x:c>
      <x:c r="W1388" s="8" t="n">
        <x:f>P1388-J1388*K1388/H1388</x:f>
        <x:v>0</x:v>
      </x:c>
      <x:c r="X1388" s="8" t="n">
        <x:f>V1388/S1388</x:f>
        <x:v>0.3742023765403283</x:v>
      </x:c>
      <x:c r="Y1388" s="8" t="n">
        <x:f>0</x:f>
        <x:v>0</x:v>
      </x:c>
      <x:c r="Z1388" s="8" t="n">
        <x:f>K1388/H1388-X1388*I1388/H1388-Y1388*J1388/H1388</x:f>
        <x:v>2.611807398704951</x:v>
      </x:c>
      <x:c r="AA1388" s="8" t="n">
        <x:f>Z1388+X1388*Q1388+Y1388*R1388</x:f>
        <x:v>4.210848424277034</x:v>
      </x:c>
    </x:row>
    <x:row r="1389" ht="26" customHeight="1">
      <x:c r="A1389" s="2"/>
      <x:c r="B1389" s="2" t="n">
        <x:v>1384</x:v>
      </x:c>
      <x:c r="C1389" s="2" t="str">
        <x:v>Beauty / organic_sales_growth</x:v>
      </x:c>
      <x:c r="D1389" s="2" t="str">
        <x:v>Own history</x:v>
      </x:c>
      <x:c r="E1389" s="7" t="n">
        <x:v>45565</x:v>
      </x:c>
      <x:c r="F1389" s="2" t="str">
        <x:v>Pre-earnings</x:v>
      </x:c>
      <x:c r="G1389" s="7" t="n">
        <x:v>45582</x:v>
      </x:c>
      <x:c r="H1389" s="2" t="n">
        <x:v>13</x:v>
      </x:c>
      <x:c r="I1389" s="8" t="n">
        <x:v>54</x:v>
      </x:c>
      <x:c r="J1389" s="8" t="n">
        <x:v>0</x:v>
      </x:c>
      <x:c r="K1389" s="8" t="n">
        <x:v>50</x:v>
      </x:c>
      <x:c r="L1389" s="8" t="n">
        <x:v>332</x:v>
      </x:c>
      <x:c r="M1389" s="8" t="n">
        <x:v>0</x:v>
      </x:c>
      <x:c r="N1389" s="8" t="n">
        <x:v>0</x:v>
      </x:c>
      <x:c r="O1389" s="8" t="n">
        <x:v>246</x:v>
      </x:c>
      <x:c r="P1389" s="8" t="n">
        <x:v>0</x:v>
      </x:c>
      <x:c r="Q1389" s="8" t="n">
        <x:v>3</x:v>
      </x:c>
      <x:c r="R1389" s="8" t="n">
        <x:v>0</x:v>
      </x:c>
      <x:c r="S1389" s="8" t="n">
        <x:f>L1389-I1389^2/H1389</x:f>
        <x:v>107.69230769230768</x:v>
      </x:c>
      <x:c r="T1389" s="8" t="n">
        <x:f>M1389-J1389^2/H1389</x:f>
        <x:v>0</x:v>
      </x:c>
      <x:c r="U1389" s="8" t="n">
        <x:f>N1389-I1389*J1389/H1389</x:f>
        <x:v>0</x:v>
      </x:c>
      <x:c r="V1389" s="8" t="n">
        <x:f>O1389-I1389*K1389/H1389</x:f>
        <x:v>38.30769230769232</x:v>
      </x:c>
      <x:c r="W1389" s="8" t="n">
        <x:f>P1389-J1389*K1389/H1389</x:f>
        <x:v>0</x:v>
      </x:c>
      <x:c r="X1389" s="8" t="n">
        <x:f>V1389/S1389</x:f>
        <x:v>0.35571428571428587</x:v>
      </x:c>
      <x:c r="Y1389" s="8" t="n">
        <x:f>0</x:f>
        <x:v>0</x:v>
      </x:c>
      <x:c r="Z1389" s="8" t="n">
        <x:f>K1389/H1389-X1389*I1389/H1389-Y1389*J1389/H1389</x:f>
        <x:v>2.368571428571428</x:v>
      </x:c>
      <x:c r="AA1389" s="8" t="n">
        <x:f>Z1389+X1389*Q1389+Y1389*R1389</x:f>
        <x:v>3.4357142857142855</x:v>
      </x:c>
    </x:row>
    <x:row r="1390" ht="26" customHeight="1">
      <x:c r="A1390" s="2"/>
      <x:c r="B1390" s="2" t="n">
        <x:v>1385</x:v>
      </x:c>
      <x:c r="C1390" s="2" t="str">
        <x:v>Beauty / organic_sales_growth</x:v>
      </x:c>
      <x:c r="D1390" s="2" t="str">
        <x:v>Broad market</x:v>
      </x:c>
      <x:c r="E1390" s="7" t="n">
        <x:v>45657</x:v>
      </x:c>
      <x:c r="F1390" s="2" t="str">
        <x:v>Origin</x:v>
      </x:c>
      <x:c r="G1390" s="7" t="n">
        <x:v>45566</x:v>
      </x:c>
      <x:c r="H1390" s="2" t="n">
        <x:v>14</x:v>
      </x:c>
      <x:c r="I1390" s="8" t="n">
        <x:v>91.04925878535492</x:v>
      </x:c>
      <x:c r="J1390" s="8" t="n">
        <x:v>0</x:v>
      </x:c>
      <x:c r="K1390" s="8" t="n">
        <x:v>57</x:v>
      </x:c>
      <x:c r="L1390" s="8" t="n">
        <x:v>839.4449911191574</x:v>
      </x:c>
      <x:c r="M1390" s="8" t="n">
        <x:v>0</x:v>
      </x:c>
      <x:c r="N1390" s="8" t="n">
        <x:v>0</x:v>
      </x:c>
      <x:c r="O1390" s="8" t="n">
        <x:v>409.8767512613525</x:v>
      </x:c>
      <x:c r="P1390" s="8" t="n">
        <x:v>0</x:v>
      </x:c>
      <x:c r="Q1390" s="8" t="n">
        <x:v>3.269310346680143</x:v>
      </x:c>
      <x:c r="R1390" s="8" t="n">
        <x:v>0</x:v>
      </x:c>
      <x:c r="S1390" s="8" t="n">
        <x:f>L1390-I1390^2/H1390</x:f>
        <x:v>247.30445359326245</x:v>
      </x:c>
      <x:c r="T1390" s="8" t="n">
        <x:f>M1390-J1390^2/H1390</x:f>
        <x:v>0</x:v>
      </x:c>
      <x:c r="U1390" s="8" t="n">
        <x:f>N1390-I1390*J1390/H1390</x:f>
        <x:v>0</x:v>
      </x:c>
      <x:c r="V1390" s="8" t="n">
        <x:f>O1390-I1390*K1390/H1390</x:f>
        <x:v>39.1761976352646</x:v>
      </x:c>
      <x:c r="W1390" s="8" t="n">
        <x:f>P1390-J1390*K1390/H1390</x:f>
        <x:v>0</x:v>
      </x:c>
      <x:c r="X1390" s="8" t="n">
        <x:f>V1390/S1390</x:f>
        <x:v>0.15841282704797968</x:v>
      </x:c>
      <x:c r="Y1390" s="8" t="n">
        <x:f>0</x:f>
        <x:v>0</x:v>
      </x:c>
      <x:c r="Z1390" s="8" t="n">
        <x:f>K1390/H1390-X1390*I1390/H1390-Y1390*J1390/H1390</x:f>
        <x:v>3.0411878225134874</x:v>
      </x:c>
      <x:c r="AA1390" s="8" t="n">
        <x:f>Z1390+X1390*Q1390+Y1390*R1390</x:f>
        <x:v>3.5590885170282993</x:v>
      </x:c>
    </x:row>
    <x:row r="1391" ht="26" customHeight="1">
      <x:c r="A1391" s="2"/>
      <x:c r="B1391" s="2" t="n">
        <x:v>1386</x:v>
      </x:c>
      <x:c r="C1391" s="2" t="str">
        <x:v>Beauty / organic_sales_growth</x:v>
      </x:c>
      <x:c r="D1391" s="2" t="str">
        <x:v>Broad rolling 8</x:v>
      </x:c>
      <x:c r="E1391" s="7" t="n">
        <x:v>45657</x:v>
      </x:c>
      <x:c r="F1391" s="2" t="str">
        <x:v>Origin</x:v>
      </x:c>
      <x:c r="G1391" s="7" t="n">
        <x:v>45566</x:v>
      </x:c>
      <x:c r="H1391" s="2" t="n">
        <x:v>8</x:v>
      </x:c>
      <x:c r="I1391" s="8" t="n">
        <x:v>43.15237036130406</x:v>
      </x:c>
      <x:c r="J1391" s="8" t="n">
        <x:v>0</x:v>
      </x:c>
      <x:c r="K1391" s="8" t="n">
        <x:v>37</x:v>
      </x:c>
      <x:c r="L1391" s="8" t="n">
        <x:v>304.1416331613274</x:v>
      </x:c>
      <x:c r="M1391" s="8" t="n">
        <x:v>0</x:v>
      </x:c>
      <x:c r="N1391" s="8" t="n">
        <x:v>0</x:v>
      </x:c>
      <x:c r="O1391" s="8" t="n">
        <x:v>226.20359635882554</x:v>
      </x:c>
      <x:c r="P1391" s="8" t="n">
        <x:v>0</x:v>
      </x:c>
      <x:c r="Q1391" s="8" t="n">
        <x:v>3.269310346680143</x:v>
      </x:c>
      <x:c r="R1391" s="8" t="n">
        <x:v>0</x:v>
      </x:c>
      <x:c r="S1391" s="8" t="n">
        <x:f>L1391-I1391^2/H1391</x:f>
        <x:v>71.37574968643327</x:v>
      </x:c>
      <x:c r="T1391" s="8" t="n">
        <x:f>M1391-J1391^2/H1391</x:f>
        <x:v>0</x:v>
      </x:c>
      <x:c r="U1391" s="8" t="n">
        <x:f>N1391-I1391*J1391/H1391</x:f>
        <x:v>0</x:v>
      </x:c>
      <x:c r="V1391" s="8" t="n">
        <x:f>O1391-I1391*K1391/H1391</x:f>
        <x:v>26.623883437794262</x:v>
      </x:c>
      <x:c r="W1391" s="8" t="n">
        <x:f>P1391-J1391*K1391/H1391</x:f>
        <x:v>0</x:v>
      </x:c>
      <x:c r="X1391" s="8" t="n">
        <x:f>V1391/S1391</x:f>
        <x:v>0.3730102108175095</x:v>
      </x:c>
      <x:c r="Y1391" s="8" t="n">
        <x:f>0</x:f>
        <x:v>0</x:v>
      </x:c>
      <x:c r="Z1391" s="8" t="n">
        <x:f>K1391/H1391-X1391*I1391/H1391-Y1391*J1391/H1391</x:f>
        <x:v>2.6129656542818407</x:v>
      </x:c>
      <x:c r="AA1391" s="8" t="n">
        <x:f>Z1391+X1391*Q1391+Y1391*R1391</x:f>
        <x:v>3.8324517959248663</x:v>
      </x:c>
    </x:row>
    <x:row r="1392" ht="26" customHeight="1">
      <x:c r="A1392" s="2"/>
      <x:c r="B1392" s="2" t="n">
        <x:v>1387</x:v>
      </x:c>
      <x:c r="C1392" s="2" t="str">
        <x:v>Beauty / organic_sales_growth</x:v>
      </x:c>
      <x:c r="D1392" s="2" t="str">
        <x:v>Own history</x:v>
      </x:c>
      <x:c r="E1392" s="7" t="n">
        <x:v>45657</x:v>
      </x:c>
      <x:c r="F1392" s="2" t="str">
        <x:v>Origin</x:v>
      </x:c>
      <x:c r="G1392" s="7" t="n">
        <x:v>45566</x:v>
      </x:c>
      <x:c r="H1392" s="2" t="n">
        <x:v>12</x:v>
      </x:c>
      <x:c r="I1392" s="8" t="n">
        <x:v>51</x:v>
      </x:c>
      <x:c r="J1392" s="8" t="n">
        <x:v>0</x:v>
      </x:c>
      <x:c r="K1392" s="8" t="n">
        <x:v>44</x:v>
      </x:c>
      <x:c r="L1392" s="8" t="n">
        <x:v>323</x:v>
      </x:c>
      <x:c r="M1392" s="8" t="n">
        <x:v>0</x:v>
      </x:c>
      <x:c r="N1392" s="8" t="n">
        <x:v>0</x:v>
      </x:c>
      <x:c r="O1392" s="8" t="n">
        <x:v>169</x:v>
      </x:c>
      <x:c r="P1392" s="8" t="n">
        <x:v>0</x:v>
      </x:c>
      <x:c r="Q1392" s="8" t="n">
        <x:v>3</x:v>
      </x:c>
      <x:c r="R1392" s="8" t="n">
        <x:v>0</x:v>
      </x:c>
      <x:c r="S1392" s="8" t="n">
        <x:f>L1392-I1392^2/H1392</x:f>
        <x:v>106.25</x:v>
      </x:c>
      <x:c r="T1392" s="8" t="n">
        <x:f>M1392-J1392^2/H1392</x:f>
        <x:v>0</x:v>
      </x:c>
      <x:c r="U1392" s="8" t="n">
        <x:f>N1392-I1392*J1392/H1392</x:f>
        <x:v>0</x:v>
      </x:c>
      <x:c r="V1392" s="8" t="n">
        <x:f>O1392-I1392*K1392/H1392</x:f>
        <x:v>-18</x:v>
      </x:c>
      <x:c r="W1392" s="8" t="n">
        <x:f>P1392-J1392*K1392/H1392</x:f>
        <x:v>0</x:v>
      </x:c>
      <x:c r="X1392" s="8" t="n">
        <x:f>V1392/S1392</x:f>
        <x:v>-0.16941176470588235</x:v>
      </x:c>
      <x:c r="Y1392" s="8" t="n">
        <x:f>0</x:f>
        <x:v>0</x:v>
      </x:c>
      <x:c r="Z1392" s="8" t="n">
        <x:f>K1392/H1392-X1392*I1392/H1392-Y1392*J1392/H1392</x:f>
        <x:v>4.386666666666667</x:v>
      </x:c>
      <x:c r="AA1392" s="8" t="n">
        <x:f>Z1392+X1392*Q1392+Y1392*R1392</x:f>
        <x:v>3.8784313725490196</x:v>
      </x:c>
    </x:row>
    <x:row r="1393" ht="26" customHeight="1">
      <x:c r="A1393" s="2"/>
      <x:c r="B1393" s="2" t="n">
        <x:v>1388</x:v>
      </x:c>
      <x:c r="C1393" s="2" t="str">
        <x:v>Beauty / organic_sales_growth</x:v>
      </x:c>
      <x:c r="D1393" s="2" t="str">
        <x:v>Broad market</x:v>
      </x:c>
      <x:c r="E1393" s="7" t="n">
        <x:v>45657</x:v>
      </x:c>
      <x:c r="F1393" s="2" t="str">
        <x:v>Prior report</x:v>
      </x:c>
      <x:c r="G1393" s="7" t="n">
        <x:v>45583</x:v>
      </x:c>
      <x:c r="H1393" s="2" t="n">
        <x:v>15</x:v>
      </x:c>
      <x:c r="I1393" s="8" t="n">
        <x:v>95.20974089607259</x:v>
      </x:c>
      <x:c r="J1393" s="8" t="n">
        <x:v>0</x:v>
      </x:c>
      <x:c r="K1393" s="8" t="n">
        <x:v>55</x:v>
      </x:c>
      <x:c r="L1393" s="8" t="n">
        <x:v>856.1504583171863</x:v>
      </x:c>
      <x:c r="M1393" s="8" t="n">
        <x:v>0</x:v>
      </x:c>
      <x:c r="N1393" s="8" t="n">
        <x:v>0</x:v>
      </x:c>
      <x:c r="O1393" s="8" t="n">
        <x:v>400.7667724750023</x:v>
      </x:c>
      <x:c r="P1393" s="8" t="n">
        <x:v>0</x:v>
      </x:c>
      <x:c r="Q1393" s="8" t="n">
        <x:v>4.277630284581657</x:v>
      </x:c>
      <x:c r="R1393" s="8" t="n">
        <x:v>0</x:v>
      </x:c>
      <x:c r="S1393" s="8" t="n">
        <x:f>L1393-I1393^2/H1393</x:f>
        <x:v>251.8241408840346</x:v>
      </x:c>
      <x:c r="T1393" s="8" t="n">
        <x:f>M1393-J1393^2/H1393</x:f>
        <x:v>0</x:v>
      </x:c>
      <x:c r="U1393" s="8" t="n">
        <x:f>N1393-I1393*J1393/H1393</x:f>
        <x:v>0</x:v>
      </x:c>
      <x:c r="V1393" s="8" t="n">
        <x:f>O1393-I1393*K1393/H1393</x:f>
        <x:v>51.66438918940281</x:v>
      </x:c>
      <x:c r="W1393" s="8" t="n">
        <x:f>P1393-J1393*K1393/H1393</x:f>
        <x:v>0</x:v>
      </x:c>
      <x:c r="X1393" s="8" t="n">
        <x:f>V1393/S1393</x:f>
        <x:v>0.205160589481349</x:v>
      </x:c>
      <x:c r="Y1393" s="8" t="n">
        <x:f>0</x:f>
        <x:v>0</x:v>
      </x:c>
      <x:c r="Z1393" s="8" t="n">
        <x:f>K1393/H1393-X1393*I1393/H1393-Y1393*J1393/H1393</x:f>
        <x:v>2.364447562226349</x:v>
      </x:c>
      <x:c r="AA1393" s="8" t="n">
        <x:f>Z1393+X1393*Q1393+Y1393*R1393</x:f>
        <x:v>3.242048712994393</x:v>
      </x:c>
    </x:row>
    <x:row r="1394" ht="26" customHeight="1">
      <x:c r="A1394" s="2"/>
      <x:c r="B1394" s="2" t="n">
        <x:v>1389</x:v>
      </x:c>
      <x:c r="C1394" s="2" t="str">
        <x:v>Beauty / organic_sales_growth</x:v>
      </x:c>
      <x:c r="D1394" s="2" t="str">
        <x:v>Broad lag 1</x:v>
      </x:c>
      <x:c r="E1394" s="7" t="n">
        <x:v>45657</x:v>
      </x:c>
      <x:c r="F1394" s="2" t="str">
        <x:v>Prior report</x:v>
      </x:c>
      <x:c r="G1394" s="7" t="n">
        <x:v>45583</x:v>
      </x:c>
      <x:c r="H1394" s="2" t="n">
        <x:v>14</x:v>
      </x:c>
      <x:c r="I1394" s="8" t="n">
        <x:v>90.93654241893852</x:v>
      </x:c>
      <x:c r="J1394" s="8" t="n">
        <x:v>0</x:v>
      </x:c>
      <x:c r="K1394" s="8" t="n">
        <x:v>48</x:v>
      </x:c>
      <x:c r="L1394" s="8" t="n">
        <x:v>837.8902330922053</x:v>
      </x:c>
      <x:c r="M1394" s="8" t="n">
        <x:v>0</x:v>
      </x:c>
      <x:c r="N1394" s="8" t="n">
        <x:v>0</x:v>
      </x:c>
      <x:c r="O1394" s="8" t="n">
        <x:v>312.9041535957352</x:v>
      </x:c>
      <x:c r="P1394" s="8" t="n">
        <x:v>0</x:v>
      </x:c>
      <x:c r="Q1394" s="8" t="n">
        <x:v>4.273198477134077</x:v>
      </x:c>
      <x:c r="R1394" s="8" t="n">
        <x:v>0</x:v>
      </x:c>
      <x:c r="S1394" s="8" t="n">
        <x:f>L1394-I1394^2/H1394</x:f>
        <x:v>247.2148940128194</x:v>
      </x:c>
      <x:c r="T1394" s="8" t="n">
        <x:f>M1394-J1394^2/H1394</x:f>
        <x:v>0</x:v>
      </x:c>
      <x:c r="U1394" s="8" t="n">
        <x:f>N1394-I1394*J1394/H1394</x:f>
        <x:v>0</x:v>
      </x:c>
      <x:c r="V1394" s="8" t="n">
        <x:f>O1394-I1394*K1394/H1394</x:f>
        <x:v>1.1217224450888352</x:v>
      </x:c>
      <x:c r="W1394" s="8" t="n">
        <x:f>P1394-J1394*K1394/H1394</x:f>
        <x:v>0</x:v>
      </x:c>
      <x:c r="X1394" s="8" t="n">
        <x:f>V1394/S1394</x:f>
        <x:v>0.004537438771915854</x:v>
      </x:c>
      <x:c r="Y1394" s="8" t="n">
        <x:f>0</x:f>
        <x:v>0</x:v>
      </x:c>
      <x:c r="Z1394" s="8" t="n">
        <x:f>K1394/H1394-X1394*I1394/H1394-Y1394*J1394/H1394</x:f>
        <x:v>3.399098643331738</x:v>
      </x:c>
      <x:c r="AA1394" s="8" t="n">
        <x:f>Z1394+X1394*Q1394+Y1394*R1394</x:f>
        <x:v>3.418488019781978</x:v>
      </x:c>
    </x:row>
    <x:row r="1395" ht="26" customHeight="1">
      <x:c r="A1395" s="2"/>
      <x:c r="B1395" s="2" t="n">
        <x:v>1390</x:v>
      </x:c>
      <x:c r="C1395" s="2" t="str">
        <x:v>Beauty / organic_sales_growth</x:v>
      </x:c>
      <x:c r="D1395" s="2" t="str">
        <x:v>Broad rolling 8</x:v>
      </x:c>
      <x:c r="E1395" s="7" t="n">
        <x:v>45657</x:v>
      </x:c>
      <x:c r="F1395" s="2" t="str">
        <x:v>Prior report</x:v>
      </x:c>
      <x:c r="G1395" s="7" t="n">
        <x:v>45583</x:v>
      </x:c>
      <x:c r="H1395" s="2" t="n">
        <x:v>8</x:v>
      </x:c>
      <x:c r="I1395" s="8" t="n">
        <x:v>43.55935676855906</x:v>
      </x:c>
      <x:c r="J1395" s="8" t="n">
        <x:v>0</x:v>
      </x:c>
      <x:c r="K1395" s="8" t="n">
        <x:v>31</x:v>
      </x:c>
      <x:c r="L1395" s="8" t="n">
        <x:v>306.75837036344365</x:v>
      </x:c>
      <x:c r="M1395" s="8" t="n">
        <x:v>0</x:v>
      </x:c>
      <x:c r="N1395" s="8" t="n">
        <x:v>0</x:v>
      </x:c>
      <x:c r="O1395" s="8" t="n">
        <x:v>202.07963475862468</x:v>
      </x:c>
      <x:c r="P1395" s="8" t="n">
        <x:v>0</x:v>
      </x:c>
      <x:c r="Q1395" s="8" t="n">
        <x:v>4.277630284581657</x:v>
      </x:c>
      <x:c r="R1395" s="8" t="n">
        <x:v>0</x:v>
      </x:c>
      <x:c r="S1395" s="8" t="n">
        <x:f>L1395-I1395^2/H1395</x:f>
        <x:v>69.58117510211713</x:v>
      </x:c>
      <x:c r="T1395" s="8" t="n">
        <x:f>M1395-J1395^2/H1395</x:f>
        <x:v>0</x:v>
      </x:c>
      <x:c r="U1395" s="8" t="n">
        <x:f>N1395-I1395*J1395/H1395</x:f>
        <x:v>0</x:v>
      </x:c>
      <x:c r="V1395" s="8" t="n">
        <x:f>O1395-I1395*K1395/H1395</x:f>
        <x:v>33.28712728045832</x:v>
      </x:c>
      <x:c r="W1395" s="8" t="n">
        <x:f>P1395-J1395*K1395/H1395</x:f>
        <x:v>0</x:v>
      </x:c>
      <x:c r="X1395" s="8" t="n">
        <x:f>V1395/S1395</x:f>
        <x:v>0.47839271515041576</x:v>
      </x:c>
      <x:c r="Y1395" s="8" t="n">
        <x:f>0</x:f>
        <x:v>0</x:v>
      </x:c>
      <x:c r="Z1395" s="8" t="n">
        <x:f>K1395/H1395-X1395*I1395/H1395-Y1395*J1395/H1395</x:f>
        <x:v>1.2701901306604237</x:v>
      </x:c>
      <x:c r="AA1395" s="8" t="n">
        <x:f>Z1395+X1395*Q1395+Y1395*R1395</x:f>
        <x:v>3.3165772969110883</x:v>
      </x:c>
    </x:row>
    <x:row r="1396" ht="26" customHeight="1">
      <x:c r="A1396" s="2"/>
      <x:c r="B1396" s="2" t="n">
        <x:v>1391</x:v>
      </x:c>
      <x:c r="C1396" s="2" t="str">
        <x:v>Beauty / organic_sales_growth</x:v>
      </x:c>
      <x:c r="D1396" s="2" t="str">
        <x:v>Own history</x:v>
      </x:c>
      <x:c r="E1396" s="7" t="n">
        <x:v>45657</x:v>
      </x:c>
      <x:c r="F1396" s="2" t="str">
        <x:v>Prior report</x:v>
      </x:c>
      <x:c r="G1396" s="7" t="n">
        <x:v>45583</x:v>
      </x:c>
      <x:c r="H1396" s="2" t="n">
        <x:v>14</x:v>
      </x:c>
      <x:c r="I1396" s="8" t="n">
        <x:v>57</x:v>
      </x:c>
      <x:c r="J1396" s="8" t="n">
        <x:v>0</x:v>
      </x:c>
      <x:c r="K1396" s="8" t="n">
        <x:v>48</x:v>
      </x:c>
      <x:c r="L1396" s="8" t="n">
        <x:v>341</x:v>
      </x:c>
      <x:c r="M1396" s="8" t="n">
        <x:v>0</x:v>
      </x:c>
      <x:c r="N1396" s="8" t="n">
        <x:v>0</x:v>
      </x:c>
      <x:c r="O1396" s="8" t="n">
        <x:v>240</x:v>
      </x:c>
      <x:c r="P1396" s="8" t="n">
        <x:v>0</x:v>
      </x:c>
      <x:c r="Q1396" s="8" t="n">
        <x:v>-2</x:v>
      </x:c>
      <x:c r="R1396" s="8" t="n">
        <x:v>0</x:v>
      </x:c>
      <x:c r="S1396" s="8" t="n">
        <x:f>L1396-I1396^2/H1396</x:f>
        <x:v>108.92857142857142</x:v>
      </x:c>
      <x:c r="T1396" s="8" t="n">
        <x:f>M1396-J1396^2/H1396</x:f>
        <x:v>0</x:v>
      </x:c>
      <x:c r="U1396" s="8" t="n">
        <x:f>N1396-I1396*J1396/H1396</x:f>
        <x:v>0</x:v>
      </x:c>
      <x:c r="V1396" s="8" t="n">
        <x:f>O1396-I1396*K1396/H1396</x:f>
        <x:v>44.571428571428584</x:v>
      </x:c>
      <x:c r="W1396" s="8" t="n">
        <x:f>P1396-J1396*K1396/H1396</x:f>
        <x:v>0</x:v>
      </x:c>
      <x:c r="X1396" s="8" t="n">
        <x:f>V1396/S1396</x:f>
        <x:v>0.4091803278688526</x:v>
      </x:c>
      <x:c r="Y1396" s="8" t="n">
        <x:f>0</x:f>
        <x:v>0</x:v>
      </x:c>
      <x:c r="Z1396" s="8" t="n">
        <x:f>K1396/H1396-X1396*I1396/H1396-Y1396*J1396/H1396</x:f>
        <x:v>1.7626229508196714</x:v>
      </x:c>
      <x:c r="AA1396" s="8" t="n">
        <x:f>Z1396+X1396*Q1396+Y1396*R1396</x:f>
        <x:v>0.9442622950819661</x:v>
      </x:c>
    </x:row>
    <x:row r="1397" ht="26" customHeight="1">
      <x:c r="A1397" s="2"/>
      <x:c r="B1397" s="2" t="n">
        <x:v>1392</x:v>
      </x:c>
      <x:c r="C1397" s="2" t="str">
        <x:v>Beauty / organic_sales_growth</x:v>
      </x:c>
      <x:c r="D1397" s="2" t="str">
        <x:v>Broad market</x:v>
      </x:c>
      <x:c r="E1397" s="7" t="n">
        <x:v>45657</x:v>
      </x:c>
      <x:c r="F1397" s="2" t="str">
        <x:v>Pre-earnings</x:v>
      </x:c>
      <x:c r="G1397" s="7" t="n">
        <x:v>45678</x:v>
      </x:c>
      <x:c r="H1397" s="2" t="n">
        <x:v>15</x:v>
      </x:c>
      <x:c r="I1397" s="8" t="n">
        <x:v>95.23287042560825</x:v>
      </x:c>
      <x:c r="J1397" s="8" t="n">
        <x:v>0</x:v>
      </x:c>
      <x:c r="K1397" s="8" t="n">
        <x:v>55</x:v>
      </x:c>
      <x:c r="L1397" s="8" t="n">
        <x:v>854.4579419910189</x:v>
      </x:c>
      <x:c r="M1397" s="8" t="n">
        <x:v>0</x:v>
      </x:c>
      <x:c r="N1397" s="8" t="n">
        <x:v>0</x:v>
      </x:c>
      <x:c r="O1397" s="8" t="n">
        <x:v>400.17066435488886</x:v>
      </x:c>
      <x:c r="P1397" s="8" t="n">
        <x:v>0</x:v>
      </x:c>
      <x:c r="Q1397" s="8" t="n">
        <x:v>2.3264143847269825</x:v>
      </x:c>
      <x:c r="R1397" s="8" t="n">
        <x:v>0</x:v>
      </x:c>
      <x:c r="S1397" s="8" t="n">
        <x:f>L1397-I1397^2/H1397</x:f>
        <x:v>249.83796802430606</x:v>
      </x:c>
      <x:c r="T1397" s="8" t="n">
        <x:f>M1397-J1397^2/H1397</x:f>
        <x:v>0</x:v>
      </x:c>
      <x:c r="U1397" s="8" t="n">
        <x:f>N1397-I1397*J1397/H1397</x:f>
        <x:v>0</x:v>
      </x:c>
      <x:c r="V1397" s="8" t="n">
        <x:f>O1397-I1397*K1397/H1397</x:f>
        <x:v>50.98347279432528</x:v>
      </x:c>
      <x:c r="W1397" s="8" t="n">
        <x:f>P1397-J1397*K1397/H1397</x:f>
        <x:v>0</x:v>
      </x:c>
      <x:c r="X1397" s="8" t="n">
        <x:f>V1397/S1397</x:f>
        <x:v>0.20406615214451806</x:v>
      </x:c>
      <x:c r="Y1397" s="8" t="n">
        <x:f>0</x:f>
        <x:v>0</x:v>
      </x:c>
      <x:c r="Z1397" s="8" t="n">
        <x:f>K1397/H1397-X1397*I1397/H1397-Y1397*J1397/H1397</x:f>
        <x:v>2.3710796383045767</x:v>
      </x:c>
      <x:c r="AA1397" s="8" t="n">
        <x:f>Z1397+X1397*Q1397+Y1397*R1397</x:f>
        <x:v>2.8458220700894685</x:v>
      </x:c>
    </x:row>
    <x:row r="1398" ht="26" customHeight="1">
      <x:c r="A1398" s="2"/>
      <x:c r="B1398" s="2" t="n">
        <x:v>1393</x:v>
      </x:c>
      <x:c r="C1398" s="2" t="str">
        <x:v>Beauty / organic_sales_growth</x:v>
      </x:c>
      <x:c r="D1398" s="2" t="str">
        <x:v>Broad lag 1</x:v>
      </x:c>
      <x:c r="E1398" s="7" t="n">
        <x:v>45657</x:v>
      </x:c>
      <x:c r="F1398" s="2" t="str">
        <x:v>Pre-earnings</x:v>
      </x:c>
      <x:c r="G1398" s="7" t="n">
        <x:v>45678</x:v>
      </x:c>
      <x:c r="H1398" s="2" t="n">
        <x:v>14</x:v>
      </x:c>
      <x:c r="I1398" s="8" t="n">
        <x:v>90.75325939859115</x:v>
      </x:c>
      <x:c r="J1398" s="8" t="n">
        <x:v>0</x:v>
      </x:c>
      <x:c r="K1398" s="8" t="n">
        <x:v>48</x:v>
      </x:c>
      <x:c r="L1398" s="8" t="n">
        <x:v>834.3910270376456</x:v>
      </x:c>
      <x:c r="M1398" s="8" t="n">
        <x:v>0</x:v>
      </x:c>
      <x:c r="N1398" s="8" t="n">
        <x:v>0</x:v>
      </x:c>
      <x:c r="O1398" s="8" t="n">
        <x:v>312.35430453469314</x:v>
      </x:c>
      <x:c r="P1398" s="8" t="n">
        <x:v>0</x:v>
      </x:c>
      <x:c r="Q1398" s="8" t="n">
        <x:v>4.479611027017105</x:v>
      </x:c>
      <x:c r="R1398" s="8" t="n">
        <x:v>0</x:v>
      </x:c>
      <x:c r="S1398" s="8" t="n">
        <x:f>L1398-I1398^2/H1398</x:f>
        <x:v>246.09430621850458</x:v>
      </x:c>
      <x:c r="T1398" s="8" t="n">
        <x:f>M1398-J1398^2/H1398</x:f>
        <x:v>0</x:v>
      </x:c>
      <x:c r="U1398" s="8" t="n">
        <x:f>N1398-I1398*J1398/H1398</x:f>
        <x:v>0</x:v>
      </x:c>
      <x:c r="V1398" s="8" t="n">
        <x:f>O1398-I1398*K1398/H1398</x:f>
        <x:v>1.2002723109520161</x:v>
      </x:c>
      <x:c r="W1398" s="8" t="n">
        <x:f>P1398-J1398*K1398/H1398</x:f>
        <x:v>0</x:v>
      </x:c>
      <x:c r="X1398" s="8" t="n">
        <x:f>V1398/S1398</x:f>
        <x:v>0.0048772859859923245</x:v>
      </x:c>
      <x:c r="Y1398" s="8" t="n">
        <x:f>0</x:f>
        <x:v>0</x:v>
      </x:c>
      <x:c r="Z1398" s="8" t="n">
        <x:f>K1398/H1398-X1398*I1398/H1398-Y1398*J1398/H1398</x:f>
        <x:v>3.396955028553723</x:v>
      </x:c>
      <x:c r="AA1398" s="8" t="n">
        <x:f>Z1398+X1398*Q1398+Y1398*R1398</x:f>
        <x:v>3.4188033726384903</x:v>
      </x:c>
    </x:row>
    <x:row r="1399" ht="26" customHeight="1">
      <x:c r="A1399" s="2"/>
      <x:c r="B1399" s="2" t="n">
        <x:v>1394</x:v>
      </x:c>
      <x:c r="C1399" s="2" t="str">
        <x:v>Beauty / organic_sales_growth</x:v>
      </x:c>
      <x:c r="D1399" s="2" t="str">
        <x:v>Broad rolling 8</x:v>
      </x:c>
      <x:c r="E1399" s="7" t="n">
        <x:v>45657</x:v>
      </x:c>
      <x:c r="F1399" s="2" t="str">
        <x:v>Pre-earnings</x:v>
      </x:c>
      <x:c r="G1399" s="7" t="n">
        <x:v>45678</x:v>
      </x:c>
      <x:c r="H1399" s="2" t="n">
        <x:v>8</x:v>
      </x:c>
      <x:c r="I1399" s="8" t="n">
        <x:v>43.582486298094736</x:v>
      </x:c>
      <x:c r="J1399" s="8" t="n">
        <x:v>0</x:v>
      </x:c>
      <x:c r="K1399" s="8" t="n">
        <x:v>31</x:v>
      </x:c>
      <x:c r="L1399" s="8" t="n">
        <x:v>305.06585403727615</x:v>
      </x:c>
      <x:c r="M1399" s="8" t="n">
        <x:v>0</x:v>
      </x:c>
      <x:c r="N1399" s="8" t="n">
        <x:v>0</x:v>
      </x:c>
      <x:c r="O1399" s="8" t="n">
        <x:v>201.48352663851128</x:v>
      </x:c>
      <x:c r="P1399" s="8" t="n">
        <x:v>0</x:v>
      </x:c>
      <x:c r="Q1399" s="8" t="n">
        <x:v>2.3264143847269825</x:v>
      </x:c>
      <x:c r="R1399" s="8" t="n">
        <x:v>0</x:v>
      </x:c>
      <x:c r="S1399" s="8" t="n">
        <x:f>L1399-I1399^2/H1399</x:f>
        <x:v>67.63671504682424</x:v>
      </x:c>
      <x:c r="T1399" s="8" t="n">
        <x:f>M1399-J1399^2/H1399</x:f>
        <x:v>0</x:v>
      </x:c>
      <x:c r="U1399" s="8" t="n">
        <x:f>N1399-I1399*J1399/H1399</x:f>
        <x:v>0</x:v>
      </x:c>
      <x:c r="V1399" s="8" t="n">
        <x:f>O1399-I1399*K1399/H1399</x:f>
        <x:v>32.601392233394165</x:v>
      </x:c>
      <x:c r="W1399" s="8" t="n">
        <x:f>P1399-J1399*K1399/H1399</x:f>
        <x:v>0</x:v>
      </x:c>
      <x:c r="X1399" s="8" t="n">
        <x:f>V1399/S1399</x:f>
        <x:v>0.4820073270977832</x:v>
      </x:c>
      <x:c r="Y1399" s="8" t="n">
        <x:f>0</x:f>
        <x:v>0</x:v>
      </x:c>
      <x:c r="Z1399" s="8" t="n">
        <x:f>K1399/H1399-X1399*I1399/H1399-Y1399*J1399/H1399</x:f>
        <x:v>1.2491152838974493</x:v>
      </x:c>
      <x:c r="AA1399" s="8" t="n">
        <x:f>Z1399+X1399*Q1399+Y1399*R1399</x:f>
        <x:v>2.3704640632015357</x:v>
      </x:c>
    </x:row>
    <x:row r="1400" ht="26" customHeight="1">
      <x:c r="A1400" s="2"/>
      <x:c r="B1400" s="2" t="n">
        <x:v>1395</x:v>
      </x:c>
      <x:c r="C1400" s="2" t="str">
        <x:v>Beauty / organic_sales_growth</x:v>
      </x:c>
      <x:c r="D1400" s="2" t="str">
        <x:v>Own history</x:v>
      </x:c>
      <x:c r="E1400" s="7" t="n">
        <x:v>45657</x:v>
      </x:c>
      <x:c r="F1400" s="2" t="str">
        <x:v>Pre-earnings</x:v>
      </x:c>
      <x:c r="G1400" s="7" t="n">
        <x:v>45678</x:v>
      </x:c>
      <x:c r="H1400" s="2" t="n">
        <x:v>14</x:v>
      </x:c>
      <x:c r="I1400" s="8" t="n">
        <x:v>57</x:v>
      </x:c>
      <x:c r="J1400" s="8" t="n">
        <x:v>0</x:v>
      </x:c>
      <x:c r="K1400" s="8" t="n">
        <x:v>48</x:v>
      </x:c>
      <x:c r="L1400" s="8" t="n">
        <x:v>341</x:v>
      </x:c>
      <x:c r="M1400" s="8" t="n">
        <x:v>0</x:v>
      </x:c>
      <x:c r="N1400" s="8" t="n">
        <x:v>0</x:v>
      </x:c>
      <x:c r="O1400" s="8" t="n">
        <x:v>240</x:v>
      </x:c>
      <x:c r="P1400" s="8" t="n">
        <x:v>0</x:v>
      </x:c>
      <x:c r="Q1400" s="8" t="n">
        <x:v>-2</x:v>
      </x:c>
      <x:c r="R1400" s="8" t="n">
        <x:v>0</x:v>
      </x:c>
      <x:c r="S1400" s="8" t="n">
        <x:f>L1400-I1400^2/H1400</x:f>
        <x:v>108.92857142857142</x:v>
      </x:c>
      <x:c r="T1400" s="8" t="n">
        <x:f>M1400-J1400^2/H1400</x:f>
        <x:v>0</x:v>
      </x:c>
      <x:c r="U1400" s="8" t="n">
        <x:f>N1400-I1400*J1400/H1400</x:f>
        <x:v>0</x:v>
      </x:c>
      <x:c r="V1400" s="8" t="n">
        <x:f>O1400-I1400*K1400/H1400</x:f>
        <x:v>44.571428571428584</x:v>
      </x:c>
      <x:c r="W1400" s="8" t="n">
        <x:f>P1400-J1400*K1400/H1400</x:f>
        <x:v>0</x:v>
      </x:c>
      <x:c r="X1400" s="8" t="n">
        <x:f>V1400/S1400</x:f>
        <x:v>0.4091803278688526</x:v>
      </x:c>
      <x:c r="Y1400" s="8" t="n">
        <x:f>0</x:f>
        <x:v>0</x:v>
      </x:c>
      <x:c r="Z1400" s="8" t="n">
        <x:f>K1400/H1400-X1400*I1400/H1400-Y1400*J1400/H1400</x:f>
        <x:v>1.7626229508196714</x:v>
      </x:c>
      <x:c r="AA1400" s="8" t="n">
        <x:f>Z1400+X1400*Q1400+Y1400*R1400</x:f>
        <x:v>0.9442622950819661</x:v>
      </x:c>
    </x:row>
    <x:row r="1401" ht="26" customHeight="1">
      <x:c r="A1401" s="2"/>
      <x:c r="B1401" s="2" t="n">
        <x:v>1396</x:v>
      </x:c>
      <x:c r="C1401" s="2" t="str">
        <x:v>Beauty / organic_sales_growth</x:v>
      </x:c>
      <x:c r="D1401" s="2" t="str">
        <x:v>Broad market</x:v>
      </x:c>
      <x:c r="E1401" s="7" t="n">
        <x:v>45747</x:v>
      </x:c>
      <x:c r="F1401" s="2" t="str">
        <x:v>Origin</x:v>
      </x:c>
      <x:c r="G1401" s="7" t="n">
        <x:v>45658</x:v>
      </x:c>
      <x:c r="H1401" s="2" t="n">
        <x:v>15</x:v>
      </x:c>
      <x:c r="I1401" s="8" t="n">
        <x:v>95.3063796583679</x:v>
      </x:c>
      <x:c r="J1401" s="8" t="n">
        <x:v>0</x:v>
      </x:c>
      <x:c r="K1401" s="8" t="n">
        <x:v>55</x:v>
      </x:c>
      <x:c r="L1401" s="8" t="n">
        <x:v>855.8532974923086</x:v>
      </x:c>
      <x:c r="M1401" s="8" t="n">
        <x:v>0</x:v>
      </x:c>
      <x:c r="N1401" s="8" t="n">
        <x:v>0</x:v>
      </x:c>
      <x:c r="O1401" s="8" t="n">
        <x:v>400.2441735876485</x:v>
      </x:c>
      <x:c r="P1401" s="8" t="n">
        <x:v>0</x:v>
      </x:c>
      <x:c r="Q1401" s="8" t="n">
        <x:v>2.894457861264632</x:v>
      </x:c>
      <x:c r="R1401" s="8" t="n">
        <x:v>0</x:v>
      </x:c>
      <x:c r="S1401" s="8" t="n">
        <x:f>L1401-I1401^2/H1401</x:f>
        <x:v>250.2995639199777</x:v>
      </x:c>
      <x:c r="T1401" s="8" t="n">
        <x:f>M1401-J1401^2/H1401</x:f>
        <x:v>0</x:v>
      </x:c>
      <x:c r="U1401" s="8" t="n">
        <x:f>N1401-I1401*J1401/H1401</x:f>
        <x:v>0</x:v>
      </x:c>
      <x:c r="V1401" s="8" t="n">
        <x:f>O1401-I1401*K1401/H1401</x:f>
        <x:v>50.78744817363287</x:v>
      </x:c>
      <x:c r="W1401" s="8" t="n">
        <x:f>P1401-J1401*K1401/H1401</x:f>
        <x:v>0</x:v>
      </x:c>
      <x:c r="X1401" s="8" t="n">
        <x:f>V1401/S1401</x:f>
        <x:v>0.20290665863832638</x:v>
      </x:c>
      <x:c r="Y1401" s="8" t="n">
        <x:f>0</x:f>
        <x:v>0</x:v>
      </x:c>
      <x:c r="Z1401" s="8" t="n">
        <x:f>K1401/H1401-X1401*I1401/H1401-Y1401*J1401/H1401</x:f>
        <x:v>2.3774467304403206</x:v>
      </x:c>
      <x:c r="AA1401" s="8" t="n">
        <x:f>Z1401+X1401*Q1401+Y1401*R1401</x:f>
        <x:v>2.9647515036389636</x:v>
      </x:c>
    </x:row>
    <x:row r="1402" ht="26" customHeight="1">
      <x:c r="A1402" s="2"/>
      <x:c r="B1402" s="2" t="n">
        <x:v>1397</x:v>
      </x:c>
      <x:c r="C1402" s="2" t="str">
        <x:v>Beauty / organic_sales_growth</x:v>
      </x:c>
      <x:c r="D1402" s="2" t="str">
        <x:v>Broad rolling 8</x:v>
      </x:c>
      <x:c r="E1402" s="7" t="n">
        <x:v>45747</x:v>
      </x:c>
      <x:c r="F1402" s="2" t="str">
        <x:v>Origin</x:v>
      </x:c>
      <x:c r="G1402" s="7" t="n">
        <x:v>45658</x:v>
      </x:c>
      <x:c r="H1402" s="2" t="n">
        <x:v>8</x:v>
      </x:c>
      <x:c r="I1402" s="8" t="n">
        <x:v>43.655995530854376</x:v>
      </x:c>
      <x:c r="J1402" s="8" t="n">
        <x:v>0</x:v>
      </x:c>
      <x:c r="K1402" s="8" t="n">
        <x:v>31</x:v>
      </x:c>
      <x:c r="L1402" s="8" t="n">
        <x:v>306.4612095385659</x:v>
      </x:c>
      <x:c r="M1402" s="8" t="n">
        <x:v>0</x:v>
      </x:c>
      <x:c r="N1402" s="8" t="n">
        <x:v>0</x:v>
      </x:c>
      <x:c r="O1402" s="8" t="n">
        <x:v>201.5570358712709</x:v>
      </x:c>
      <x:c r="P1402" s="8" t="n">
        <x:v>0</x:v>
      </x:c>
      <x:c r="Q1402" s="8" t="n">
        <x:v>2.894457861264632</x:v>
      </x:c>
      <x:c r="R1402" s="8" t="n">
        <x:v>0</x:v>
      </x:c>
      <x:c r="S1402" s="8" t="n">
        <x:f>L1402-I1402^2/H1402</x:f>
        <x:v>68.23046631481876</x:v>
      </x:c>
      <x:c r="T1402" s="8" t="n">
        <x:f>M1402-J1402^2/H1402</x:f>
        <x:v>0</x:v>
      </x:c>
      <x:c r="U1402" s="8" t="n">
        <x:f>N1402-I1402*J1402/H1402</x:f>
        <x:v>0</x:v>
      </x:c>
      <x:c r="V1402" s="8" t="n">
        <x:f>O1402-I1402*K1402/H1402</x:f>
        <x:v>32.39005318921019</x:v>
      </x:c>
      <x:c r="W1402" s="8" t="n">
        <x:f>P1402-J1402*K1402/H1402</x:f>
        <x:v>0</x:v>
      </x:c>
      <x:c r="X1402" s="8" t="n">
        <x:f>V1402/S1402</x:f>
        <x:v>0.47471540117813177</x:v>
      </x:c>
      <x:c r="Y1402" s="8" t="n">
        <x:f>0</x:f>
        <x:v>0</x:v>
      </x:c>
      <x:c r="Z1402" s="8" t="n">
        <x:f>K1402/H1402-X1402*I1402/H1402-Y1402*J1402/H1402</x:f>
        <x:v>1.2844783209674673</x:v>
      </x:c>
      <x:c r="AA1402" s="8" t="n">
        <x:f>Z1402+X1402*Q1402+Y1402*R1402</x:f>
        <x:v>2.6585220457709045</x:v>
      </x:c>
    </x:row>
    <x:row r="1403" ht="26" customHeight="1">
      <x:c r="A1403" s="2"/>
      <x:c r="B1403" s="2" t="n">
        <x:v>1398</x:v>
      </x:c>
      <x:c r="C1403" s="2" t="str">
        <x:v>Beauty / organic_sales_growth</x:v>
      </x:c>
      <x:c r="D1403" s="2" t="str">
        <x:v>Own history</x:v>
      </x:c>
      <x:c r="E1403" s="7" t="n">
        <x:v>45747</x:v>
      </x:c>
      <x:c r="F1403" s="2" t="str">
        <x:v>Origin</x:v>
      </x:c>
      <x:c r="G1403" s="7" t="n">
        <x:v>45658</x:v>
      </x:c>
      <x:c r="H1403" s="2" t="n">
        <x:v>13</x:v>
      </x:c>
      <x:c r="I1403" s="8" t="n">
        <x:v>54</x:v>
      </x:c>
      <x:c r="J1403" s="8" t="n">
        <x:v>0</x:v>
      </x:c>
      <x:c r="K1403" s="8" t="n">
        <x:v>42</x:v>
      </x:c>
      <x:c r="L1403" s="8" t="n">
        <x:v>332</x:v>
      </x:c>
      <x:c r="M1403" s="8" t="n">
        <x:v>0</x:v>
      </x:c>
      <x:c r="N1403" s="8" t="n">
        <x:v>0</x:v>
      </x:c>
      <x:c r="O1403" s="8" t="n">
        <x:v>163</x:v>
      </x:c>
      <x:c r="P1403" s="8" t="n">
        <x:v>0</x:v>
      </x:c>
      <x:c r="Q1403" s="8" t="n">
        <x:v>-2</x:v>
      </x:c>
      <x:c r="R1403" s="8" t="n">
        <x:v>0</x:v>
      </x:c>
      <x:c r="S1403" s="8" t="n">
        <x:f>L1403-I1403^2/H1403</x:f>
        <x:v>107.69230769230768</x:v>
      </x:c>
      <x:c r="T1403" s="8" t="n">
        <x:f>M1403-J1403^2/H1403</x:f>
        <x:v>0</x:v>
      </x:c>
      <x:c r="U1403" s="8" t="n">
        <x:f>N1403-I1403*J1403/H1403</x:f>
        <x:v>0</x:v>
      </x:c>
      <x:c r="V1403" s="8" t="n">
        <x:f>O1403-I1403*K1403/H1403</x:f>
        <x:v>-11.461538461538453</x:v>
      </x:c>
      <x:c r="W1403" s="8" t="n">
        <x:f>P1403-J1403*K1403/H1403</x:f>
        <x:v>0</x:v>
      </x:c>
      <x:c r="X1403" s="8" t="n">
        <x:f>V1403/S1403</x:f>
        <x:v>-0.10642857142857136</x:v>
      </x:c>
      <x:c r="Y1403" s="8" t="n">
        <x:f>0</x:f>
        <x:v>0</x:v>
      </x:c>
      <x:c r="Z1403" s="8" t="n">
        <x:f>K1403/H1403-X1403*I1403/H1403-Y1403*J1403/H1403</x:f>
        <x:v>3.6728571428571426</x:v>
      </x:c>
      <x:c r="AA1403" s="8" t="n">
        <x:f>Z1403+X1403*Q1403+Y1403*R1403</x:f>
        <x:v>3.8857142857142852</x:v>
      </x:c>
    </x:row>
    <x:row r="1404" ht="26" customHeight="1">
      <x:c r="A1404" s="2"/>
      <x:c r="B1404" s="2" t="n">
        <x:v>1399</x:v>
      </x:c>
      <x:c r="C1404" s="2" t="str">
        <x:v>Beauty / organic_sales_growth</x:v>
      </x:c>
      <x:c r="D1404" s="2" t="str">
        <x:v>Broad market</x:v>
      </x:c>
      <x:c r="E1404" s="7" t="n">
        <x:v>45747</x:v>
      </x:c>
      <x:c r="F1404" s="2" t="str">
        <x:v>Prior report</x:v>
      </x:c>
      <x:c r="G1404" s="7" t="n">
        <x:v>45679</x:v>
      </x:c>
      <x:c r="H1404" s="2" t="n">
        <x:v>16</x:v>
      </x:c>
      <x:c r="I1404" s="8" t="n">
        <x:v>97.55928481033524</x:v>
      </x:c>
      <x:c r="J1404" s="8" t="n">
        <x:v>0</x:v>
      </x:c>
      <x:c r="K1404" s="8" t="n">
        <x:v>57</x:v>
      </x:c>
      <x:c r="L1404" s="8" t="n">
        <x:v>859.8701458804835</x:v>
      </x:c>
      <x:c r="M1404" s="8" t="n">
        <x:v>0</x:v>
      </x:c>
      <x:c r="N1404" s="8" t="n">
        <x:v>0</x:v>
      </x:c>
      <x:c r="O1404" s="8" t="n">
        <x:v>404.82349312434286</x:v>
      </x:c>
      <x:c r="P1404" s="8" t="n">
        <x:v>0</x:v>
      </x:c>
      <x:c r="Q1404" s="8" t="n">
        <x:v>2.3333601668064308</x:v>
      </x:c>
      <x:c r="R1404" s="8" t="n">
        <x:v>0</x:v>
      </x:c>
      <x:c r="S1404" s="8" t="n">
        <x:f>L1404-I1404^2/H1404</x:f>
        <x:v>265.0067675864767</x:v>
      </x:c>
      <x:c r="T1404" s="8" t="n">
        <x:f>M1404-J1404^2/H1404</x:f>
        <x:v>0</x:v>
      </x:c>
      <x:c r="U1404" s="8" t="n">
        <x:f>N1404-I1404*J1404/H1404</x:f>
        <x:v>0</x:v>
      </x:c>
      <x:c r="V1404" s="8" t="n">
        <x:f>O1404-I1404*K1404/H1404</x:f>
        <x:v>57.26854098752358</x:v>
      </x:c>
      <x:c r="W1404" s="8" t="n">
        <x:f>P1404-J1404*K1404/H1404</x:f>
        <x:v>0</x:v>
      </x:c>
      <x:c r="X1404" s="8" t="n">
        <x:f>V1404/S1404</x:f>
        <x:v>0.21610218300872552</x:v>
      </x:c>
      <x:c r="Y1404" s="8" t="n">
        <x:f>0</x:f>
        <x:v>0</x:v>
      </x:c>
      <x:c r="Z1404" s="8" t="n">
        <x:f>K1404/H1404-X1404*I1404/H1404-Y1404*J1404/H1404</x:f>
        <x:v>2.244826598732285</x:v>
      </x:c>
      <x:c r="AA1404" s="8" t="n">
        <x:f>Z1404+X1404*Q1404+Y1404*R1404</x:f>
        <x:v>2.7490708245247584</x:v>
      </x:c>
    </x:row>
    <x:row r="1405" ht="26" customHeight="1">
      <x:c r="A1405" s="2"/>
      <x:c r="B1405" s="2" t="n">
        <x:v>1400</x:v>
      </x:c>
      <x:c r="C1405" s="2" t="str">
        <x:v>Beauty / organic_sales_growth</x:v>
      </x:c>
      <x:c r="D1405" s="2" t="str">
        <x:v>Broad lag 1</x:v>
      </x:c>
      <x:c r="E1405" s="7" t="n">
        <x:v>45747</x:v>
      </x:c>
      <x:c r="F1405" s="2" t="str">
        <x:v>Prior report</x:v>
      </x:c>
      <x:c r="G1405" s="7" t="n">
        <x:v>45679</x:v>
      </x:c>
      <x:c r="H1405" s="2" t="n">
        <x:v>15</x:v>
      </x:c>
      <x:c r="I1405" s="8" t="n">
        <x:v>95.23287042560825</x:v>
      </x:c>
      <x:c r="J1405" s="8" t="n">
        <x:v>0</x:v>
      </x:c>
      <x:c r="K1405" s="8" t="n">
        <x:v>50</x:v>
      </x:c>
      <x:c r="L1405" s="8" t="n">
        <x:v>854.4579419910189</x:v>
      </x:c>
      <x:c r="M1405" s="8" t="n">
        <x:v>0</x:v>
      </x:c>
      <x:c r="N1405" s="8" t="n">
        <x:v>0</x:v>
      </x:c>
      <x:c r="O1405" s="8" t="n">
        <x:v>321.3135265887273</x:v>
      </x:c>
      <x:c r="P1405" s="8" t="n">
        <x:v>0</x:v>
      </x:c>
      <x:c r="Q1405" s="8" t="n">
        <x:v>2.3264143847269825</x:v>
      </x:c>
      <x:c r="R1405" s="8" t="n">
        <x:v>0</x:v>
      </x:c>
      <x:c r="S1405" s="8" t="n">
        <x:f>L1405-I1405^2/H1405</x:f>
        <x:v>249.83796802430606</x:v>
      </x:c>
      <x:c r="T1405" s="8" t="n">
        <x:f>M1405-J1405^2/H1405</x:f>
        <x:v>0</x:v>
      </x:c>
      <x:c r="U1405" s="8" t="n">
        <x:f>N1405-I1405*J1405/H1405</x:f>
        <x:v>0</x:v>
      </x:c>
      <x:c r="V1405" s="8" t="n">
        <x:f>O1405-I1405*K1405/H1405</x:f>
        <x:v>3.8706251700331222</x:v>
      </x:c>
      <x:c r="W1405" s="8" t="n">
        <x:f>P1405-J1405*K1405/H1405</x:f>
        <x:v>0</x:v>
      </x:c>
      <x:c r="X1405" s="8" t="n">
        <x:f>V1405/S1405</x:f>
        <x:v>0.01549254182877664</x:v>
      </x:c>
      <x:c r="Y1405" s="8" t="n">
        <x:f>0</x:f>
        <x:v>0</x:v>
      </x:c>
      <x:c r="Z1405" s="8" t="n">
        <x:f>K1405/H1405-X1405*I1405/H1405-Y1405*J1405/H1405</x:f>
        <x:v>3.2349733847637867</x:v>
      </x:c>
      <x:c r="AA1405" s="8" t="n">
        <x:f>Z1405+X1405*Q1405+Y1405*R1405</x:f>
        <x:v>3.271015456930237</x:v>
      </x:c>
    </x:row>
    <x:row r="1406" ht="26" customHeight="1">
      <x:c r="A1406" s="2"/>
      <x:c r="B1406" s="2" t="n">
        <x:v>1401</x:v>
      </x:c>
      <x:c r="C1406" s="2" t="str">
        <x:v>Beauty / organic_sales_growth</x:v>
      </x:c>
      <x:c r="D1406" s="2" t="str">
        <x:v>Broad rolling 8</x:v>
      </x:c>
      <x:c r="E1406" s="7" t="n">
        <x:v>45747</x:v>
      </x:c>
      <x:c r="F1406" s="2" t="str">
        <x:v>Prior report</x:v>
      </x:c>
      <x:c r="G1406" s="7" t="n">
        <x:v>45679</x:v>
      </x:c>
      <x:c r="H1406" s="2" t="n">
        <x:v>8</x:v>
      </x:c>
      <x:c r="I1406" s="8" t="n">
        <x:v>42.05515177705841</x:v>
      </x:c>
      <x:c r="J1406" s="8" t="n">
        <x:v>0</x:v>
      </x:c>
      <x:c r="K1406" s="8" t="n">
        <x:v>30</x:v>
      </x:c>
      <x:c r="L1406" s="8" t="n">
        <x:v>295.6266772980689</x:v>
      </x:c>
      <x:c r="M1406" s="8" t="n">
        <x:v>0</x:v>
      </x:c>
      <x:c r="N1406" s="8" t="n">
        <x:v>0</x:v>
      </x:c>
      <x:c r="O1406" s="8" t="n">
        <x:v>194.5751086906753</x:v>
      </x:c>
      <x:c r="P1406" s="8" t="n">
        <x:v>0</x:v>
      </x:c>
      <x:c r="Q1406" s="8" t="n">
        <x:v>2.3333601668064308</x:v>
      </x:c>
      <x:c r="R1406" s="8" t="n">
        <x:v>0</x:v>
      </x:c>
      <x:c r="S1406" s="8" t="n">
        <x:f>L1406-I1406^2/H1406</x:f>
        <x:v>74.54720342414149</x:v>
      </x:c>
      <x:c r="T1406" s="8" t="n">
        <x:f>M1406-J1406^2/H1406</x:f>
        <x:v>0</x:v>
      </x:c>
      <x:c r="U1406" s="8" t="n">
        <x:f>N1406-I1406*J1406/H1406</x:f>
        <x:v>0</x:v>
      </x:c>
      <x:c r="V1406" s="8" t="n">
        <x:f>O1406-I1406*K1406/H1406</x:f>
        <x:v>36.86828952670626</x:v>
      </x:c>
      <x:c r="W1406" s="8" t="n">
        <x:f>P1406-J1406*K1406/H1406</x:f>
        <x:v>0</x:v>
      </x:c>
      <x:c r="X1406" s="8" t="n">
        <x:f>V1406/S1406</x:f>
        <x:v>0.49456301287308624</x:v>
      </x:c>
      <x:c r="Y1406" s="8" t="n">
        <x:f>0</x:f>
        <x:v>0</x:v>
      </x:c>
      <x:c r="Z1406" s="8" t="n">
        <x:f>K1406/H1406-X1406*I1406/H1406-Y1406*J1406/H1406</x:f>
        <x:v>1.1501346787878832</x:v>
      </x:c>
      <x:c r="AA1406" s="8" t="n">
        <x:f>Z1406+X1406*Q1406+Y1406*R1406</x:f>
        <x:v>2.3041283130017187</x:v>
      </x:c>
    </x:row>
    <x:row r="1407" ht="26" customHeight="1">
      <x:c r="A1407" s="2"/>
      <x:c r="B1407" s="2" t="n">
        <x:v>1402</x:v>
      </x:c>
      <x:c r="C1407" s="2" t="str">
        <x:v>Beauty / organic_sales_growth</x:v>
      </x:c>
      <x:c r="D1407" s="2" t="str">
        <x:v>Own history</x:v>
      </x:c>
      <x:c r="E1407" s="7" t="n">
        <x:v>45747</x:v>
      </x:c>
      <x:c r="F1407" s="2" t="str">
        <x:v>Prior report</x:v>
      </x:c>
      <x:c r="G1407" s="7" t="n">
        <x:v>45679</x:v>
      </x:c>
      <x:c r="H1407" s="2" t="n">
        <x:v>15</x:v>
      </x:c>
      <x:c r="I1407" s="8" t="n">
        <x:v>55</x:v>
      </x:c>
      <x:c r="J1407" s="8" t="n">
        <x:v>0</x:v>
      </x:c>
      <x:c r="K1407" s="8" t="n">
        <x:v>50</x:v>
      </x:c>
      <x:c r="L1407" s="8" t="n">
        <x:v>345</x:v>
      </x:c>
      <x:c r="M1407" s="8" t="n">
        <x:v>0</x:v>
      </x:c>
      <x:c r="N1407" s="8" t="n">
        <x:v>0</x:v>
      </x:c>
      <x:c r="O1407" s="8" t="n">
        <x:v>236</x:v>
      </x:c>
      <x:c r="P1407" s="8" t="n">
        <x:v>0</x:v>
      </x:c>
      <x:c r="Q1407" s="8" t="n">
        <x:v>2</x:v>
      </x:c>
      <x:c r="R1407" s="8" t="n">
        <x:v>0</x:v>
      </x:c>
      <x:c r="S1407" s="8" t="n">
        <x:f>L1407-I1407^2/H1407</x:f>
        <x:v>143.33333333333334</x:v>
      </x:c>
      <x:c r="T1407" s="8" t="n">
        <x:f>M1407-J1407^2/H1407</x:f>
        <x:v>0</x:v>
      </x:c>
      <x:c r="U1407" s="8" t="n">
        <x:f>N1407-I1407*J1407/H1407</x:f>
        <x:v>0</x:v>
      </x:c>
      <x:c r="V1407" s="8" t="n">
        <x:f>O1407-I1407*K1407/H1407</x:f>
        <x:v>52.66666666666666</x:v>
      </x:c>
      <x:c r="W1407" s="8" t="n">
        <x:f>P1407-J1407*K1407/H1407</x:f>
        <x:v>0</x:v>
      </x:c>
      <x:c r="X1407" s="8" t="n">
        <x:f>V1407/S1407</x:f>
        <x:v>0.3674418604651162</x:v>
      </x:c>
      <x:c r="Y1407" s="8" t="n">
        <x:f>0</x:f>
        <x:v>0</x:v>
      </x:c>
      <x:c r="Z1407" s="8" t="n">
        <x:f>K1407/H1407-X1407*I1407/H1407-Y1407*J1407/H1407</x:f>
        <x:v>1.9860465116279074</x:v>
      </x:c>
      <x:c r="AA1407" s="8" t="n">
        <x:f>Z1407+X1407*Q1407+Y1407*R1407</x:f>
        <x:v>2.72093023255814</x:v>
      </x:c>
    </x:row>
    <x:row r="1408" ht="26" customHeight="1">
      <x:c r="A1408" s="2"/>
      <x:c r="B1408" s="2" t="n">
        <x:v>1403</x:v>
      </x:c>
      <x:c r="C1408" s="2" t="str">
        <x:v>Beauty / organic_sales_growth</x:v>
      </x:c>
      <x:c r="D1408" s="2" t="str">
        <x:v>Broad market</x:v>
      </x:c>
      <x:c r="E1408" s="7" t="n">
        <x:v>45747</x:v>
      </x:c>
      <x:c r="F1408" s="2" t="str">
        <x:v>Pre-earnings</x:v>
      </x:c>
      <x:c r="G1408" s="7" t="n">
        <x:v>45770</x:v>
      </x:c>
      <x:c r="H1408" s="2" t="n">
        <x:v>16</x:v>
      </x:c>
      <x:c r="I1408" s="8" t="n">
        <x:v>98.21820009367276</x:v>
      </x:c>
      <x:c r="J1408" s="8" t="n">
        <x:v>0</x:v>
      </x:c>
      <x:c r="K1408" s="8" t="n">
        <x:v>57</x:v>
      </x:c>
      <x:c r="L1408" s="8" t="n">
        <x:v>861.2926927681278</x:v>
      </x:c>
      <x:c r="M1408" s="8" t="n">
        <x:v>0</x:v>
      </x:c>
      <x:c r="N1408" s="8" t="n">
        <x:v>0</x:v>
      </x:c>
      <x:c r="O1408" s="8" t="n">
        <x:v>406.6179808561296</x:v>
      </x:c>
      <x:c r="P1408" s="8" t="n">
        <x:v>0</x:v>
      </x:c>
      <x:c r="Q1408" s="8" t="n">
        <x:v>6.01973835207712</x:v>
      </x:c>
      <x:c r="R1408" s="8" t="n">
        <x:v>0</x:v>
      </x:c>
      <x:c r="S1408" s="8" t="n">
        <x:f>L1408-I1408^2/H1408</x:f>
        <x:v>258.3667659155816</x:v>
      </x:c>
      <x:c r="T1408" s="8" t="n">
        <x:f>M1408-J1408^2/H1408</x:f>
        <x:v>0</x:v>
      </x:c>
      <x:c r="U1408" s="8" t="n">
        <x:f>N1408-I1408*J1408/H1408</x:f>
        <x:v>0</x:v>
      </x:c>
      <x:c r="V1408" s="8" t="n">
        <x:f>O1408-I1408*K1408/H1408</x:f>
        <x:v>56.71564302242035</x:v>
      </x:c>
      <x:c r="W1408" s="8" t="n">
        <x:f>P1408-J1408*K1408/H1408</x:f>
        <x:v>0</x:v>
      </x:c>
      <x:c r="X1408" s="8" t="n">
        <x:f>V1408/S1408</x:f>
        <x:v>0.21951601562002576</x:v>
      </x:c>
      <x:c r="Y1408" s="8" t="n">
        <x:f>0</x:f>
        <x:v>0</x:v>
      </x:c>
      <x:c r="Z1408" s="8" t="n">
        <x:f>K1408/H1408-X1408*I1408/H1408-Y1408*J1408/H1408</x:f>
        <x:v>2.2149707533791574</x:v>
      </x:c>
      <x:c r="AA1408" s="8" t="n">
        <x:f>Z1408+X1408*Q1408+Y1408*R1408</x:f>
        <x:v>3.5363997315021862</x:v>
      </x:c>
    </x:row>
    <x:row r="1409" ht="26" customHeight="1">
      <x:c r="A1409" s="2"/>
      <x:c r="B1409" s="2" t="n">
        <x:v>1404</x:v>
      </x:c>
      <x:c r="C1409" s="2" t="str">
        <x:v>Beauty / organic_sales_growth</x:v>
      </x:c>
      <x:c r="D1409" s="2" t="str">
        <x:v>Broad lag 1</x:v>
      </x:c>
      <x:c r="E1409" s="7" t="n">
        <x:v>45747</x:v>
      </x:c>
      <x:c r="F1409" s="2" t="str">
        <x:v>Pre-earnings</x:v>
      </x:c>
      <x:c r="G1409" s="7" t="n">
        <x:v>45770</x:v>
      </x:c>
      <x:c r="H1409" s="2" t="n">
        <x:v>15</x:v>
      </x:c>
      <x:c r="I1409" s="8" t="n">
        <x:v>95.44881484519911</x:v>
      </x:c>
      <x:c r="J1409" s="8" t="n">
        <x:v>0</x:v>
      </x:c>
      <x:c r="K1409" s="8" t="n">
        <x:v>50</x:v>
      </x:c>
      <x:c r="L1409" s="8" t="n">
        <x:v>853.6231981136643</x:v>
      </x:c>
      <x:c r="M1409" s="8" t="n">
        <x:v>0</x:v>
      </x:c>
      <x:c r="N1409" s="8" t="n">
        <x:v>0</x:v>
      </x:c>
      <x:c r="O1409" s="8" t="n">
        <x:v>321.9613598474999</x:v>
      </x:c>
      <x:c r="P1409" s="8" t="n">
        <x:v>0</x:v>
      </x:c>
      <x:c r="Q1409" s="8" t="n">
        <x:v>2.7693852484736547</x:v>
      </x:c>
      <x:c r="R1409" s="8" t="n">
        <x:v>0</x:v>
      </x:c>
      <x:c r="S1409" s="8" t="n">
        <x:f>L1409-I1409^2/H1409</x:f>
        <x:v>246.25811442345753</x:v>
      </x:c>
      <x:c r="T1409" s="8" t="n">
        <x:f>M1409-J1409^2/H1409</x:f>
        <x:v>0</x:v>
      </x:c>
      <x:c r="U1409" s="8" t="n">
        <x:f>N1409-I1409*J1409/H1409</x:f>
        <x:v>0</x:v>
      </x:c>
      <x:c r="V1409" s="8" t="n">
        <x:f>O1409-I1409*K1409/H1409</x:f>
        <x:v>3.7986436968362227</x:v>
      </x:c>
      <x:c r="W1409" s="8" t="n">
        <x:f>P1409-J1409*K1409/H1409</x:f>
        <x:v>0</x:v>
      </x:c>
      <x:c r="X1409" s="8" t="n">
        <x:f>V1409/S1409</x:f>
        <x:v>0.015425455951896868</x:v>
      </x:c>
      <x:c r="Y1409" s="8" t="n">
        <x:f>0</x:f>
        <x:v>0</x:v>
      </x:c>
      <x:c r="Z1409" s="8" t="n">
        <x:f>K1409/H1409-X1409*I1409/H1409-Y1409*J1409/H1409</x:f>
        <x:v>3.235177234062975</x:v>
      </x:c>
      <x:c r="AA1409" s="8" t="n">
        <x:f>Z1409+X1409*Q1409+Y1409*R1409</x:f>
        <x:v>3.277896264227138</x:v>
      </x:c>
    </x:row>
    <x:row r="1410" ht="26" customHeight="1">
      <x:c r="A1410" s="2"/>
      <x:c r="B1410" s="2" t="n">
        <x:v>1405</x:v>
      </x:c>
      <x:c r="C1410" s="2" t="str">
        <x:v>Beauty / organic_sales_growth</x:v>
      </x:c>
      <x:c r="D1410" s="2" t="str">
        <x:v>Broad rolling 8</x:v>
      </x:c>
      <x:c r="E1410" s="7" t="n">
        <x:v>45747</x:v>
      </x:c>
      <x:c r="F1410" s="2" t="str">
        <x:v>Pre-earnings</x:v>
      </x:c>
      <x:c r="G1410" s="7" t="n">
        <x:v>45770</x:v>
      </x:c>
      <x:c r="H1410" s="2" t="n">
        <x:v>8</x:v>
      </x:c>
      <x:c r="I1410" s="8" t="n">
        <x:v>42.714067060395934</x:v>
      </x:c>
      <x:c r="J1410" s="8" t="n">
        <x:v>0</x:v>
      </x:c>
      <x:c r="K1410" s="8" t="n">
        <x:v>30</x:v>
      </x:c>
      <x:c r="L1410" s="8" t="n">
        <x:v>297.0492241857133</x:v>
      </x:c>
      <x:c r="M1410" s="8" t="n">
        <x:v>0</x:v>
      </x:c>
      <x:c r="N1410" s="8" t="n">
        <x:v>0</x:v>
      </x:c>
      <x:c r="O1410" s="8" t="n">
        <x:v>196.36959642246205</x:v>
      </x:c>
      <x:c r="P1410" s="8" t="n">
        <x:v>0</x:v>
      </x:c>
      <x:c r="Q1410" s="8" t="n">
        <x:v>6.01973835207712</x:v>
      </x:c>
      <x:c r="R1410" s="8" t="n">
        <x:v>0</x:v>
      </x:c>
      <x:c r="S1410" s="8" t="n">
        <x:f>L1410-I1410^2/H1410</x:f>
        <x:v>68.98778358071317</x:v>
      </x:c>
      <x:c r="T1410" s="8" t="n">
        <x:f>M1410-J1410^2/H1410</x:f>
        <x:v>0</x:v>
      </x:c>
      <x:c r="U1410" s="8" t="n">
        <x:f>N1410-I1410*J1410/H1410</x:f>
        <x:v>0</x:v>
      </x:c>
      <x:c r="V1410" s="8" t="n">
        <x:f>O1410-I1410*K1410/H1410</x:f>
        <x:v>36.191844945977294</x:v>
      </x:c>
      <x:c r="W1410" s="8" t="n">
        <x:f>P1410-J1410*K1410/H1410</x:f>
        <x:v>0</x:v>
      </x:c>
      <x:c r="X1410" s="8" t="n">
        <x:f>V1410/S1410</x:f>
        <x:v>0.5246123743580509</x:v>
      </x:c>
      <x:c r="Y1410" s="8" t="n">
        <x:f>0</x:f>
        <x:v>0</x:v>
      </x:c>
      <x:c r="Z1410" s="8" t="n">
        <x:f>K1410/H1410-X1410*I1410/H1410-Y1410*J1410/H1410</x:f>
        <x:v>0.948958982619585</x:v>
      </x:c>
      <x:c r="AA1410" s="8" t="n">
        <x:f>Z1410+X1410*Q1410+Y1410*R1410</x:f>
        <x:v>4.106988212516983</x:v>
      </x:c>
    </x:row>
    <x:row r="1411" ht="26" customHeight="1">
      <x:c r="A1411" s="2"/>
      <x:c r="B1411" s="2" t="n">
        <x:v>1406</x:v>
      </x:c>
      <x:c r="C1411" s="2" t="str">
        <x:v>Beauty / organic_sales_growth</x:v>
      </x:c>
      <x:c r="D1411" s="2" t="str">
        <x:v>Own history</x:v>
      </x:c>
      <x:c r="E1411" s="7" t="n">
        <x:v>45747</x:v>
      </x:c>
      <x:c r="F1411" s="2" t="str">
        <x:v>Pre-earnings</x:v>
      </x:c>
      <x:c r="G1411" s="7" t="n">
        <x:v>45770</x:v>
      </x:c>
      <x:c r="H1411" s="2" t="n">
        <x:v>15</x:v>
      </x:c>
      <x:c r="I1411" s="8" t="n">
        <x:v>55</x:v>
      </x:c>
      <x:c r="J1411" s="8" t="n">
        <x:v>0</x:v>
      </x:c>
      <x:c r="K1411" s="8" t="n">
        <x:v>50</x:v>
      </x:c>
      <x:c r="L1411" s="8" t="n">
        <x:v>345</x:v>
      </x:c>
      <x:c r="M1411" s="8" t="n">
        <x:v>0</x:v>
      </x:c>
      <x:c r="N1411" s="8" t="n">
        <x:v>0</x:v>
      </x:c>
      <x:c r="O1411" s="8" t="n">
        <x:v>236</x:v>
      </x:c>
      <x:c r="P1411" s="8" t="n">
        <x:v>0</x:v>
      </x:c>
      <x:c r="Q1411" s="8" t="n">
        <x:v>2</x:v>
      </x:c>
      <x:c r="R1411" s="8" t="n">
        <x:v>0</x:v>
      </x:c>
      <x:c r="S1411" s="8" t="n">
        <x:f>L1411-I1411^2/H1411</x:f>
        <x:v>143.33333333333334</x:v>
      </x:c>
      <x:c r="T1411" s="8" t="n">
        <x:f>M1411-J1411^2/H1411</x:f>
        <x:v>0</x:v>
      </x:c>
      <x:c r="U1411" s="8" t="n">
        <x:f>N1411-I1411*J1411/H1411</x:f>
        <x:v>0</x:v>
      </x:c>
      <x:c r="V1411" s="8" t="n">
        <x:f>O1411-I1411*K1411/H1411</x:f>
        <x:v>52.66666666666666</x:v>
      </x:c>
      <x:c r="W1411" s="8" t="n">
        <x:f>P1411-J1411*K1411/H1411</x:f>
        <x:v>0</x:v>
      </x:c>
      <x:c r="X1411" s="8" t="n">
        <x:f>V1411/S1411</x:f>
        <x:v>0.3674418604651162</x:v>
      </x:c>
      <x:c r="Y1411" s="8" t="n">
        <x:f>0</x:f>
        <x:v>0</x:v>
      </x:c>
      <x:c r="Z1411" s="8" t="n">
        <x:f>K1411/H1411-X1411*I1411/H1411-Y1411*J1411/H1411</x:f>
        <x:v>1.9860465116279074</x:v>
      </x:c>
      <x:c r="AA1411" s="8" t="n">
        <x:f>Z1411+X1411*Q1411+Y1411*R1411</x:f>
        <x:v>2.72093023255814</x:v>
      </x:c>
    </x:row>
    <x:row r="1412" ht="26" customHeight="1">
      <x:c r="A1412" s="2"/>
      <x:c r="B1412" s="2" t="n">
        <x:v>1407</x:v>
      </x:c>
      <x:c r="C1412" s="2" t="str">
        <x:v>Beauty / organic_sales_growth</x:v>
      </x:c>
      <x:c r="D1412" s="2" t="str">
        <x:v>Broad market</x:v>
      </x:c>
      <x:c r="E1412" s="7" t="n">
        <x:v>45838</x:v>
      </x:c>
      <x:c r="F1412" s="2" t="str">
        <x:v>Origin</x:v>
      </x:c>
      <x:c r="G1412" s="7" t="n">
        <x:v>45748</x:v>
      </x:c>
      <x:c r="H1412" s="2" t="n">
        <x:v>16</x:v>
      </x:c>
      <x:c r="I1412" s="8" t="n">
        <x:v>98.07986798368462</x:v>
      </x:c>
      <x:c r="J1412" s="8" t="n">
        <x:v>0</x:v>
      </x:c>
      <x:c r="K1412" s="8" t="n">
        <x:v>57</x:v>
      </x:c>
      <x:c r="L1412" s="8" t="n">
        <x:v>860.6195561668172</x:v>
      </x:c>
      <x:c r="M1412" s="8" t="n">
        <x:v>0</x:v>
      </x:c>
      <x:c r="N1412" s="8" t="n">
        <x:v>0</x:v>
      </x:c>
      <x:c r="O1412" s="8" t="n">
        <x:v>406.20298452616515</x:v>
      </x:c>
      <x:c r="P1412" s="8" t="n">
        <x:v>0</x:v>
      </x:c>
      <x:c r="Q1412" s="8" t="n">
        <x:v>5.267727303523273</x:v>
      </x:c>
      <x:c r="R1412" s="8" t="n">
        <x:v>0</x:v>
      </x:c>
      <x:c r="S1412" s="8" t="n">
        <x:f>L1412-I1412^2/H1412</x:f>
        <x:v>259.39077468575454</x:v>
      </x:c>
      <x:c r="T1412" s="8" t="n">
        <x:f>M1412-J1412^2/H1412</x:f>
        <x:v>0</x:v>
      </x:c>
      <x:c r="U1412" s="8" t="n">
        <x:f>N1412-I1412*J1412/H1412</x:f>
        <x:v>0</x:v>
      </x:c>
      <x:c r="V1412" s="8" t="n">
        <x:f>O1412-I1412*K1412/H1412</x:f>
        <x:v>56.793454834288696</x:v>
      </x:c>
      <x:c r="W1412" s="8" t="n">
        <x:f>P1412-J1412*K1412/H1412</x:f>
        <x:v>0</x:v>
      </x:c>
      <x:c r="X1412" s="8" t="n">
        <x:f>V1412/S1412</x:f>
        <x:v>0.2189494013543564</x:v>
      </x:c>
      <x:c r="Y1412" s="8" t="n">
        <x:f>0</x:f>
        <x:v>0</x:v>
      </x:c>
      <x:c r="Z1412" s="8" t="n">
        <x:f>K1412/H1412-X1412*I1412/H1412-Y1412*J1412/H1412</x:f>
        <x:v>2.2203419762536214</x:v>
      </x:c>
      <x:c r="AA1412" s="8" t="n">
        <x:f>Z1412+X1412*Q1412+Y1412*R1412</x:f>
        <x:v>3.37370771585804</x:v>
      </x:c>
    </x:row>
    <x:row r="1413" ht="26" customHeight="1">
      <x:c r="A1413" s="2"/>
      <x:c r="B1413" s="2" t="n">
        <x:v>1408</x:v>
      </x:c>
      <x:c r="C1413" s="2" t="str">
        <x:v>Beauty / organic_sales_growth</x:v>
      </x:c>
      <x:c r="D1413" s="2" t="str">
        <x:v>Broad rolling 8</x:v>
      </x:c>
      <x:c r="E1413" s="7" t="n">
        <x:v>45838</x:v>
      </x:c>
      <x:c r="F1413" s="2" t="str">
        <x:v>Origin</x:v>
      </x:c>
      <x:c r="G1413" s="7" t="n">
        <x:v>45748</x:v>
      </x:c>
      <x:c r="H1413" s="2" t="n">
        <x:v>8</x:v>
      </x:c>
      <x:c r="I1413" s="8" t="n">
        <x:v>42.575734950407785</x:v>
      </x:c>
      <x:c r="J1413" s="8" t="n">
        <x:v>0</x:v>
      </x:c>
      <x:c r="K1413" s="8" t="n">
        <x:v>30</x:v>
      </x:c>
      <x:c r="L1413" s="8" t="n">
        <x:v>296.3760875844027</x:v>
      </x:c>
      <x:c r="M1413" s="8" t="n">
        <x:v>0</x:v>
      </x:c>
      <x:c r="N1413" s="8" t="n">
        <x:v>0</x:v>
      </x:c>
      <x:c r="O1413" s="8" t="n">
        <x:v>195.9546000924976</x:v>
      </x:c>
      <x:c r="P1413" s="8" t="n">
        <x:v>0</x:v>
      </x:c>
      <x:c r="Q1413" s="8" t="n">
        <x:v>5.267727303523273</x:v>
      </x:c>
      <x:c r="R1413" s="8" t="n">
        <x:v>0</x:v>
      </x:c>
      <x:c r="S1413" s="8" t="n">
        <x:f>L1413-I1413^2/H1413</x:f>
        <x:v>69.78943676348081</x:v>
      </x:c>
      <x:c r="T1413" s="8" t="n">
        <x:f>M1413-J1413^2/H1413</x:f>
        <x:v>0</x:v>
      </x:c>
      <x:c r="U1413" s="8" t="n">
        <x:f>N1413-I1413*J1413/H1413</x:f>
        <x:v>0</x:v>
      </x:c>
      <x:c r="V1413" s="8" t="n">
        <x:f>O1413-I1413*K1413/H1413</x:f>
        <x:v>36.2955940284684</x:v>
      </x:c>
      <x:c r="W1413" s="8" t="n">
        <x:f>P1413-J1413*K1413/H1413</x:f>
        <x:v>0</x:v>
      </x:c>
      <x:c r="X1413" s="8" t="n">
        <x:f>V1413/S1413</x:f>
        <x:v>0.5200728894184319</x:v>
      </x:c>
      <x:c r="Y1413" s="8" t="n">
        <x:f>0</x:f>
        <x:v>0</x:v>
      </x:c>
      <x:c r="Z1413" s="8" t="n">
        <x:f>K1413/H1413-X1413*I1413/H1413-Y1413*J1413/H1413</x:f>
        <x:v>0.9821893131535133</x:v>
      </x:c>
      <x:c r="AA1413" s="8" t="n">
        <x:f>Z1413+X1413*Q1413+Y1413*R1413</x:f>
        <x:v>3.721791472565227</x:v>
      </x:c>
    </x:row>
    <x:row r="1414" ht="26" customHeight="1">
      <x:c r="A1414" s="2"/>
      <x:c r="B1414" s="2" t="n">
        <x:v>1409</x:v>
      </x:c>
      <x:c r="C1414" s="2" t="str">
        <x:v>Beauty / organic_sales_growth</x:v>
      </x:c>
      <x:c r="D1414" s="2" t="str">
        <x:v>Own history</x:v>
      </x:c>
      <x:c r="E1414" s="7" t="n">
        <x:v>45838</x:v>
      </x:c>
      <x:c r="F1414" s="2" t="str">
        <x:v>Origin</x:v>
      </x:c>
      <x:c r="G1414" s="7" t="n">
        <x:v>45748</x:v>
      </x:c>
      <x:c r="H1414" s="2" t="n">
        <x:v>14</x:v>
      </x:c>
      <x:c r="I1414" s="8" t="n">
        <x:v>57</x:v>
      </x:c>
      <x:c r="J1414" s="8" t="n">
        <x:v>0</x:v>
      </x:c>
      <x:c r="K1414" s="8" t="n">
        <x:v>44</x:v>
      </x:c>
      <x:c r="L1414" s="8" t="n">
        <x:v>341</x:v>
      </x:c>
      <x:c r="M1414" s="8" t="n">
        <x:v>0</x:v>
      </x:c>
      <x:c r="N1414" s="8" t="n">
        <x:v>0</x:v>
      </x:c>
      <x:c r="O1414" s="8" t="n">
        <x:v>169</x:v>
      </x:c>
      <x:c r="P1414" s="8" t="n">
        <x:v>0</x:v>
      </x:c>
      <x:c r="Q1414" s="8" t="n">
        <x:v>2</x:v>
      </x:c>
      <x:c r="R1414" s="8" t="n">
        <x:v>0</x:v>
      </x:c>
      <x:c r="S1414" s="8" t="n">
        <x:f>L1414-I1414^2/H1414</x:f>
        <x:v>108.92857142857142</x:v>
      </x:c>
      <x:c r="T1414" s="8" t="n">
        <x:f>M1414-J1414^2/H1414</x:f>
        <x:v>0</x:v>
      </x:c>
      <x:c r="U1414" s="8" t="n">
        <x:f>N1414-I1414*J1414/H1414</x:f>
        <x:v>0</x:v>
      </x:c>
      <x:c r="V1414" s="8" t="n">
        <x:f>O1414-I1414*K1414/H1414</x:f>
        <x:v>-10.142857142857139</x:v>
      </x:c>
      <x:c r="W1414" s="8" t="n">
        <x:f>P1414-J1414*K1414/H1414</x:f>
        <x:v>0</x:v>
      </x:c>
      <x:c r="X1414" s="8" t="n">
        <x:f>V1414/S1414</x:f>
        <x:v>-0.09311475409836063</x:v>
      </x:c>
      <x:c r="Y1414" s="8" t="n">
        <x:f>0</x:f>
        <x:v>0</x:v>
      </x:c>
      <x:c r="Z1414" s="8" t="n">
        <x:f>K1414/H1414-X1414*I1414/H1414-Y1414*J1414/H1414</x:f>
        <x:v>3.521967213114754</x:v>
      </x:c>
      <x:c r="AA1414" s="8" t="n">
        <x:f>Z1414+X1414*Q1414+Y1414*R1414</x:f>
        <x:v>3.335737704918033</x:v>
      </x:c>
    </x:row>
    <x:row r="1415" ht="26" customHeight="1">
      <x:c r="A1415" s="2"/>
      <x:c r="B1415" s="2" t="n">
        <x:v>1410</x:v>
      </x:c>
      <x:c r="C1415" s="2" t="str">
        <x:v>Beauty / organic_sales_growth</x:v>
      </x:c>
      <x:c r="D1415" s="2" t="str">
        <x:v>Broad market</x:v>
      </x:c>
      <x:c r="E1415" s="7" t="n">
        <x:v>45838</x:v>
      </x:c>
      <x:c r="F1415" s="2" t="str">
        <x:v>Prior report</x:v>
      </x:c>
      <x:c r="G1415" s="7" t="n">
        <x:v>45771</x:v>
      </x:c>
      <x:c r="H1415" s="2" t="n">
        <x:v>17</x:v>
      </x:c>
      <x:c r="I1415" s="8" t="n">
        <x:v>104.23793844574989</x:v>
      </x:c>
      <x:c r="J1415" s="8" t="n">
        <x:v>0</x:v>
      </x:c>
      <x:c r="K1415" s="8" t="n">
        <x:v>59</x:v>
      </x:c>
      <x:c r="L1415" s="8" t="n">
        <x:v>897.529942595596</x:v>
      </x:c>
      <x:c r="M1415" s="8" t="n">
        <x:v>0</x:v>
      </x:c>
      <x:c r="N1415" s="8" t="n">
        <x:v>0</x:v>
      </x:c>
      <x:c r="O1415" s="8" t="n">
        <x:v>418.65745756028383</x:v>
      </x:c>
      <x:c r="P1415" s="8" t="n">
        <x:v>0</x:v>
      </x:c>
      <x:c r="Q1415" s="8" t="n">
        <x:v>6.0208310391030695</x:v>
      </x:c>
      <x:c r="R1415" s="8" t="n">
        <x:v>0</x:v>
      </x:c>
      <x:c r="S1415" s="8" t="n">
        <x:f>L1415-I1415^2/H1415</x:f>
        <x:v>258.3800713355994</x:v>
      </x:c>
      <x:c r="T1415" s="8" t="n">
        <x:f>M1415-J1415^2/H1415</x:f>
        <x:v>0</x:v>
      </x:c>
      <x:c r="U1415" s="8" t="n">
        <x:f>N1415-I1415*J1415/H1415</x:f>
        <x:v>0</x:v>
      </x:c>
      <x:c r="V1415" s="8" t="n">
        <x:f>O1415-I1415*K1415/H1415</x:f>
        <x:v>56.89049471915189</x:v>
      </x:c>
      <x:c r="W1415" s="8" t="n">
        <x:f>P1415-J1415*K1415/H1415</x:f>
        <x:v>0</x:v>
      </x:c>
      <x:c r="X1415" s="8" t="n">
        <x:f>V1415/S1415</x:f>
        <x:v>0.22018143436944537</x:v>
      </x:c>
      <x:c r="Y1415" s="8" t="n">
        <x:f>0</x:f>
        <x:v>0</x:v>
      </x:c>
      <x:c r="Z1415" s="8" t="n">
        <x:f>K1415/H1415-X1415*I1415/H1415-Y1415*J1415/H1415</x:f>
        <x:v>2.1205141880765197</x:v>
      </x:c>
      <x:c r="AA1415" s="8" t="n">
        <x:f>Z1415+X1415*Q1415+Y1415*R1415</x:f>
        <x:v>3.446189402362312</x:v>
      </x:c>
    </x:row>
    <x:row r="1416" ht="26" customHeight="1">
      <x:c r="A1416" s="2"/>
      <x:c r="B1416" s="2" t="n">
        <x:v>1411</x:v>
      </x:c>
      <x:c r="C1416" s="2" t="str">
        <x:v>Beauty / organic_sales_growth</x:v>
      </x:c>
      <x:c r="D1416" s="2" t="str">
        <x:v>Broad lag 1</x:v>
      </x:c>
      <x:c r="E1416" s="7" t="n">
        <x:v>45838</x:v>
      </x:c>
      <x:c r="F1416" s="2" t="str">
        <x:v>Prior report</x:v>
      </x:c>
      <x:c r="G1416" s="7" t="n">
        <x:v>45771</x:v>
      </x:c>
      <x:c r="H1416" s="2" t="n">
        <x:v>16</x:v>
      </x:c>
      <x:c r="I1416" s="8" t="n">
        <x:v>98.21820009367276</x:v>
      </x:c>
      <x:c r="J1416" s="8" t="n">
        <x:v>0</x:v>
      </x:c>
      <x:c r="K1416" s="8" t="n">
        <x:v>52</x:v>
      </x:c>
      <x:c r="L1416" s="8" t="n">
        <x:v>861.2926927681278</x:v>
      </x:c>
      <x:c r="M1416" s="8" t="n">
        <x:v>0</x:v>
      </x:c>
      <x:c r="N1416" s="8" t="n">
        <x:v>0</x:v>
      </x:c>
      <x:c r="O1416" s="8" t="n">
        <x:v>327.5001303444472</x:v>
      </x:c>
      <x:c r="P1416" s="8" t="n">
        <x:v>0</x:v>
      </x:c>
      <x:c r="Q1416" s="8" t="n">
        <x:v>6.01973835207712</x:v>
      </x:c>
      <x:c r="R1416" s="8" t="n">
        <x:v>0</x:v>
      </x:c>
      <x:c r="S1416" s="8" t="n">
        <x:f>L1416-I1416^2/H1416</x:f>
        <x:v>258.3667659155816</x:v>
      </x:c>
      <x:c r="T1416" s="8" t="n">
        <x:f>M1416-J1416^2/H1416</x:f>
        <x:v>0</x:v>
      </x:c>
      <x:c r="U1416" s="8" t="n">
        <x:f>N1416-I1416*J1416/H1416</x:f>
        <x:v>0</x:v>
      </x:c>
      <x:c r="V1416" s="8" t="n">
        <x:f>O1416-I1416*K1416/H1416</x:f>
        <x:v>8.290980040010709</x:v>
      </x:c>
      <x:c r="W1416" s="8" t="n">
        <x:f>P1416-J1416*K1416/H1416</x:f>
        <x:v>0</x:v>
      </x:c>
      <x:c r="X1416" s="8" t="n">
        <x:f>V1416/S1416</x:f>
        <x:v>0.03208996331486261</x:v>
      </x:c>
      <x:c r="Y1416" s="8" t="n">
        <x:f>0</x:f>
        <x:v>0</x:v>
      </x:c>
      <x:c r="Z1416" s="8" t="n">
        <x:f>K1416/H1416-X1416*I1416/H1416-Y1416*J1416/H1416</x:f>
        <x:v>3.053011347633888</x:v>
      </x:c>
      <x:c r="AA1416" s="8" t="n">
        <x:f>Z1416+X1416*Q1416+Y1416*R1416</x:f>
        <x:v>3.246184530517114</x:v>
      </x:c>
    </x:row>
    <x:row r="1417" ht="26" customHeight="1">
      <x:c r="A1417" s="2"/>
      <x:c r="B1417" s="2" t="n">
        <x:v>1412</x:v>
      </x:c>
      <x:c r="C1417" s="2" t="str">
        <x:v>Beauty / organic_sales_growth</x:v>
      </x:c>
      <x:c r="D1417" s="2" t="str">
        <x:v>Broad rolling 8</x:v>
      </x:c>
      <x:c r="E1417" s="7" t="n">
        <x:v>45838</x:v>
      </x:c>
      <x:c r="F1417" s="2" t="str">
        <x:v>Prior report</x:v>
      </x:c>
      <x:c r="G1417" s="7" t="n">
        <x:v>45771</x:v>
      </x:c>
      <x:c r="H1417" s="2" t="n">
        <x:v>8</x:v>
      </x:c>
      <x:c r="I1417" s="8" t="n">
        <x:v>41.32606109032866</x:v>
      </x:c>
      <x:c r="J1417" s="8" t="n">
        <x:v>0</x:v>
      </x:c>
      <x:c r="K1417" s="8" t="n">
        <x:v>25</x:v>
      </x:c>
      <x:c r="L1417" s="8" t="n">
        <x:v>278.4117980709189</x:v>
      </x:c>
      <x:c r="M1417" s="8" t="n">
        <x:v>0</x:v>
      </x:c>
      <x:c r="N1417" s="8" t="n">
        <x:v>0</x:v>
      </x:c>
      <x:c r="O1417" s="8" t="n">
        <x:v>156.55486287160554</x:v>
      </x:c>
      <x:c r="P1417" s="8" t="n">
        <x:v>0</x:v>
      </x:c>
      <x:c r="Q1417" s="8" t="n">
        <x:v>6.0208310391030695</x:v>
      </x:c>
      <x:c r="R1417" s="8" t="n">
        <x:v>0</x:v>
      </x:c>
      <x:c r="S1417" s="8" t="n">
        <x:f>L1417-I1417^2/H1417</x:f>
        <x:v>64.93138241572188</x:v>
      </x:c>
      <x:c r="T1417" s="8" t="n">
        <x:f>M1417-J1417^2/H1417</x:f>
        <x:v>0</x:v>
      </x:c>
      <x:c r="U1417" s="8" t="n">
        <x:f>N1417-I1417*J1417/H1417</x:f>
        <x:v>0</x:v>
      </x:c>
      <x:c r="V1417" s="8" t="n">
        <x:f>O1417-I1417*K1417/H1417</x:f>
        <x:v>27.41092196432848</x:v>
      </x:c>
      <x:c r="W1417" s="8" t="n">
        <x:f>P1417-J1417*K1417/H1417</x:f>
        <x:v>0</x:v>
      </x:c>
      <x:c r="X1417" s="8" t="n">
        <x:f>V1417/S1417</x:f>
        <x:v>0.42215213883527997</x:v>
      </x:c>
      <x:c r="Y1417" s="8" t="n">
        <x:f>0</x:f>
        <x:v>0</x:v>
      </x:c>
      <x:c r="Z1417" s="8" t="n">
        <x:f>K1417/H1417-X1417*I1417/H1417-Y1417*J1417/H1417</x:f>
        <x:v>0.9442643651350395</x:v>
      </x:c>
      <x:c r="AA1417" s="8" t="n">
        <x:f>Z1417+X1417*Q1417+Y1417*R1417</x:f>
        <x:v>3.4859710658582417</x:v>
      </x:c>
    </x:row>
    <x:row r="1418" ht="26" customHeight="1">
      <x:c r="A1418" s="2"/>
      <x:c r="B1418" s="2" t="n">
        <x:v>1413</x:v>
      </x:c>
      <x:c r="C1418" s="2" t="str">
        <x:v>Beauty / organic_sales_growth</x:v>
      </x:c>
      <x:c r="D1418" s="2" t="str">
        <x:v>Own history</x:v>
      </x:c>
      <x:c r="E1418" s="7" t="n">
        <x:v>45838</x:v>
      </x:c>
      <x:c r="F1418" s="2" t="str">
        <x:v>Prior report</x:v>
      </x:c>
      <x:c r="G1418" s="7" t="n">
        <x:v>45771</x:v>
      </x:c>
      <x:c r="H1418" s="2" t="n">
        <x:v>16</x:v>
      </x:c>
      <x:c r="I1418" s="8" t="n">
        <x:v>57</x:v>
      </x:c>
      <x:c r="J1418" s="8" t="n">
        <x:v>0</x:v>
      </x:c>
      <x:c r="K1418" s="8" t="n">
        <x:v>52</x:v>
      </x:c>
      <x:c r="L1418" s="8" t="n">
        <x:v>349</x:v>
      </x:c>
      <x:c r="M1418" s="8" t="n">
        <x:v>0</x:v>
      </x:c>
      <x:c r="N1418" s="8" t="n">
        <x:v>0</x:v>
      </x:c>
      <x:c r="O1418" s="8" t="n">
        <x:v>240</x:v>
      </x:c>
      <x:c r="P1418" s="8" t="n">
        <x:v>0</x:v>
      </x:c>
      <x:c r="Q1418" s="8" t="n">
        <x:v>2</x:v>
      </x:c>
      <x:c r="R1418" s="8" t="n">
        <x:v>0</x:v>
      </x:c>
      <x:c r="S1418" s="8" t="n">
        <x:f>L1418-I1418^2/H1418</x:f>
        <x:v>145.9375</x:v>
      </x:c>
      <x:c r="T1418" s="8" t="n">
        <x:f>M1418-J1418^2/H1418</x:f>
        <x:v>0</x:v>
      </x:c>
      <x:c r="U1418" s="8" t="n">
        <x:f>N1418-I1418*J1418/H1418</x:f>
        <x:v>0</x:v>
      </x:c>
      <x:c r="V1418" s="8" t="n">
        <x:f>O1418-I1418*K1418/H1418</x:f>
        <x:v>54.75</x:v>
      </x:c>
      <x:c r="W1418" s="8" t="n">
        <x:f>P1418-J1418*K1418/H1418</x:f>
        <x:v>0</x:v>
      </x:c>
      <x:c r="X1418" s="8" t="n">
        <x:f>V1418/S1418</x:f>
        <x:v>0.3751605995717345</x:v>
      </x:c>
      <x:c r="Y1418" s="8" t="n">
        <x:f>0</x:f>
        <x:v>0</x:v>
      </x:c>
      <x:c r="Z1418" s="8" t="n">
        <x:f>K1418/H1418-X1418*I1418/H1418-Y1418*J1418/H1418</x:f>
        <x:v>1.913490364025696</x:v>
      </x:c>
      <x:c r="AA1418" s="8" t="n">
        <x:f>Z1418+X1418*Q1418+Y1418*R1418</x:f>
        <x:v>2.663811563169165</x:v>
      </x:c>
    </x:row>
    <x:row r="1419" ht="26" customHeight="1">
      <x:c r="A1419" s="2"/>
      <x:c r="B1419" s="2" t="n">
        <x:v>1414</x:v>
      </x:c>
      <x:c r="C1419" s="2" t="str">
        <x:v>Beauty / organic_sales_growth</x:v>
      </x:c>
      <x:c r="D1419" s="2" t="str">
        <x:v>Broad market</x:v>
      </x:c>
      <x:c r="E1419" s="7" t="n">
        <x:v>45838</x:v>
      </x:c>
      <x:c r="F1419" s="2" t="str">
        <x:v>Pre-earnings</x:v>
      </x:c>
      <x:c r="G1419" s="7" t="n">
        <x:v>45866</x:v>
      </x:c>
      <x:c r="H1419" s="2" t="n">
        <x:v>17</x:v>
      </x:c>
      <x:c r="I1419" s="8" t="n">
        <x:v>107.13491359590033</x:v>
      </x:c>
      <x:c r="J1419" s="8" t="n">
        <x:v>0</x:v>
      </x:c>
      <x:c r="K1419" s="8" t="n">
        <x:v>59</x:v>
      </x:c>
      <x:c r="L1419" s="8" t="n">
        <x:v>924.8021093136439</x:v>
      </x:c>
      <x:c r="M1419" s="8" t="n">
        <x:v>0</x:v>
      </x:c>
      <x:c r="N1419" s="8" t="n">
        <x:v>0</x:v>
      </x:c>
      <x:c r="O1419" s="8" t="n">
        <x:v>414.8994392366706</x:v>
      </x:c>
      <x:c r="P1419" s="8" t="n">
        <x:v>0</x:v>
      </x:c>
      <x:c r="Q1419" s="8" t="n">
        <x:v>8.247422680412363</x:v>
      </x:c>
      <x:c r="R1419" s="8" t="n">
        <x:v>0</x:v>
      </x:c>
      <x:c r="S1419" s="8" t="n">
        <x:f>L1419-I1419^2/H1419</x:f>
        <x:v>249.63212630181863</x:v>
      </x:c>
      <x:c r="T1419" s="8" t="n">
        <x:f>M1419-J1419^2/H1419</x:f>
        <x:v>0</x:v>
      </x:c>
      <x:c r="U1419" s="8" t="n">
        <x:f>N1419-I1419*J1419/H1419</x:f>
        <x:v>0</x:v>
      </x:c>
      <x:c r="V1419" s="8" t="n">
        <x:f>O1419-I1419*K1419/H1419</x:f>
        <x:v>43.078268521487075</x:v>
      </x:c>
      <x:c r="W1419" s="8" t="n">
        <x:f>P1419-J1419*K1419/H1419</x:f>
        <x:v>0</x:v>
      </x:c>
      <x:c r="X1419" s="8" t="n">
        <x:f>V1419/S1419</x:f>
        <x:v>0.17256700553599075</x:v>
      </x:c>
      <x:c r="Y1419" s="8" t="n">
        <x:f>0</x:f>
        <x:v>0</x:v>
      </x:c>
      <x:c r="Z1419" s="8" t="n">
        <x:f>K1419/H1419-X1419*I1419/H1419-Y1419*J1419/H1419</x:f>
        <x:v>2.383061692494022</x:v>
      </x:c>
      <x:c r="AA1419" s="8" t="n">
        <x:f>Z1419+X1419*Q1419+Y1419*R1419</x:f>
        <x:v>3.806294727842398</x:v>
      </x:c>
    </x:row>
    <x:row r="1420" ht="26" customHeight="1">
      <x:c r="A1420" s="2"/>
      <x:c r="B1420" s="2" t="n">
        <x:v>1415</x:v>
      </x:c>
      <x:c r="C1420" s="2" t="str">
        <x:v>Beauty / organic_sales_growth</x:v>
      </x:c>
      <x:c r="D1420" s="2" t="str">
        <x:v>Broad lag 1</x:v>
      </x:c>
      <x:c r="E1420" s="7" t="n">
        <x:v>45838</x:v>
      </x:c>
      <x:c r="F1420" s="2" t="str">
        <x:v>Pre-earnings</x:v>
      </x:c>
      <x:c r="G1420" s="7" t="n">
        <x:v>45866</x:v>
      </x:c>
      <x:c r="H1420" s="2" t="n">
        <x:v>16</x:v>
      </x:c>
      <x:c r="I1420" s="8" t="n">
        <x:v>99.85428383914761</x:v>
      </x:c>
      <x:c r="J1420" s="8" t="n">
        <x:v>0</x:v>
      </x:c>
      <x:c r="K1420" s="8" t="n">
        <x:v>52</x:v>
      </x:c>
      <x:c r="L1420" s="8" t="n">
        <x:v>871.7945396587306</x:v>
      </x:c>
      <x:c r="M1420" s="8" t="n">
        <x:v>0</x:v>
      </x:c>
      <x:c r="N1420" s="8" t="n">
        <x:v>0</x:v>
      </x:c>
      <x:c r="O1420" s="8" t="n">
        <x:v>329.55271978657896</x:v>
      </x:c>
      <x:c r="P1420" s="8" t="n">
        <x:v>0</x:v>
      </x:c>
      <x:c r="Q1420" s="8" t="n">
        <x:v>7.280629756752721</x:v>
      </x:c>
      <x:c r="R1420" s="8" t="n">
        <x:v>0</x:v>
      </x:c>
      <x:c r="S1420" s="8" t="n">
        <x:f>L1420-I1420^2/H1420</x:f>
        <x:v>248.61466459441465</x:v>
      </x:c>
      <x:c r="T1420" s="8" t="n">
        <x:f>M1420-J1420^2/H1420</x:f>
        <x:v>0</x:v>
      </x:c>
      <x:c r="U1420" s="8" t="n">
        <x:f>N1420-I1420*J1420/H1420</x:f>
        <x:v>0</x:v>
      </x:c>
      <x:c r="V1420" s="8" t="n">
        <x:f>O1420-I1420*K1420/H1420</x:f>
        <x:v>5.026297309349218</x:v>
      </x:c>
      <x:c r="W1420" s="8" t="n">
        <x:f>P1420-J1420*K1420/H1420</x:f>
        <x:v>0</x:v>
      </x:c>
      <x:c r="X1420" s="8" t="n">
        <x:f>V1420/S1420</x:f>
        <x:v>0.020217219758733966</x:v>
      </x:c>
      <x:c r="Y1420" s="8" t="n">
        <x:f>0</x:f>
        <x:v>0</x:v>
      </x:c>
      <x:c r="Z1420" s="8" t="n">
        <x:f>K1420/H1420-X1420*I1420/H1420-Y1420*J1420/H1420</x:f>
        <x:v>3.12382649998581</x:v>
      </x:c>
      <x:c r="AA1420" s="8" t="n">
        <x:f>Z1420+X1420*Q1420+Y1420*R1420</x:f>
        <x:v>3.2710205917600574</x:v>
      </x:c>
    </x:row>
    <x:row r="1421" ht="26" customHeight="1">
      <x:c r="A1421" s="2"/>
      <x:c r="B1421" s="2" t="n">
        <x:v>1416</x:v>
      </x:c>
      <x:c r="C1421" s="2" t="str">
        <x:v>Beauty / organic_sales_growth</x:v>
      </x:c>
      <x:c r="D1421" s="2" t="str">
        <x:v>Broad rolling 8</x:v>
      </x:c>
      <x:c r="E1421" s="7" t="n">
        <x:v>45838</x:v>
      </x:c>
      <x:c r="F1421" s="2" t="str">
        <x:v>Pre-earnings</x:v>
      </x:c>
      <x:c r="G1421" s="7" t="n">
        <x:v>45866</x:v>
      </x:c>
      <x:c r="H1421" s="2" t="n">
        <x:v>8</x:v>
      </x:c>
      <x:c r="I1421" s="8" t="n">
        <x:v>45.066434913623546</x:v>
      </x:c>
      <x:c r="J1421" s="8" t="n">
        <x:v>0</x:v>
      </x:c>
      <x:c r="K1421" s="8" t="n">
        <x:v>25</x:v>
      </x:c>
      <x:c r="L1421" s="8" t="n">
        <x:v>325.7582869930688</x:v>
      </x:c>
      <x:c r="M1421" s="8" t="n">
        <x:v>0</x:v>
      </x:c>
      <x:c r="N1421" s="8" t="n">
        <x:v>0</x:v>
      </x:c>
      <x:c r="O1421" s="8" t="n">
        <x:v>156.65151689512234</x:v>
      </x:c>
      <x:c r="P1421" s="8" t="n">
        <x:v>0</x:v>
      </x:c>
      <x:c r="Q1421" s="8" t="n">
        <x:v>8.247422680412363</x:v>
      </x:c>
      <x:c r="R1421" s="8" t="n">
        <x:v>0</x:v>
      </x:c>
      <x:c r="S1421" s="8" t="n">
        <x:f>L1421-I1421^2/H1421</x:f>
        <x:v>71.88534251508537</x:v>
      </x:c>
      <x:c r="T1421" s="8" t="n">
        <x:f>M1421-J1421^2/H1421</x:f>
        <x:v>0</x:v>
      </x:c>
      <x:c r="U1421" s="8" t="n">
        <x:f>N1421-I1421*J1421/H1421</x:f>
        <x:v>0</x:v>
      </x:c>
      <x:c r="V1421" s="8" t="n">
        <x:f>O1421-I1421*K1421/H1421</x:f>
        <x:v>15.818907790048769</x:v>
      </x:c>
      <x:c r="W1421" s="8" t="n">
        <x:f>P1421-J1421*K1421/H1421</x:f>
        <x:v>0</x:v>
      </x:c>
      <x:c r="X1421" s="8" t="n">
        <x:f>V1421/S1421</x:f>
        <x:v>0.22005748649982604</x:v>
      </x:c>
      <x:c r="Y1421" s="8" t="n">
        <x:f>0</x:f>
        <x:v>0</x:v>
      </x:c>
      <x:c r="Z1421" s="8" t="n">
        <x:f>K1421/H1421-X1421*I1421/H1421-Y1421*J1421/H1421</x:f>
        <x:v>1.8853492009249997</x:v>
      </x:c>
      <x:c r="AA1421" s="8" t="n">
        <x:f>Z1421+X1421*Q1421+Y1421*R1421</x:f>
        <x:v>3.7002563060782023</x:v>
      </x:c>
    </x:row>
    <x:row r="1422" ht="26" customHeight="1">
      <x:c r="A1422" s="2"/>
      <x:c r="B1422" s="2" t="n">
        <x:v>1417</x:v>
      </x:c>
      <x:c r="C1422" s="2" t="str">
        <x:v>Beauty / organic_sales_growth</x:v>
      </x:c>
      <x:c r="D1422" s="2" t="str">
        <x:v>Own history</x:v>
      </x:c>
      <x:c r="E1422" s="7" t="n">
        <x:v>45838</x:v>
      </x:c>
      <x:c r="F1422" s="2" t="str">
        <x:v>Pre-earnings</x:v>
      </x:c>
      <x:c r="G1422" s="7" t="n">
        <x:v>45866</x:v>
      </x:c>
      <x:c r="H1422" s="2" t="n">
        <x:v>16</x:v>
      </x:c>
      <x:c r="I1422" s="8" t="n">
        <x:v>57</x:v>
      </x:c>
      <x:c r="J1422" s="8" t="n">
        <x:v>0</x:v>
      </x:c>
      <x:c r="K1422" s="8" t="n">
        <x:v>52</x:v>
      </x:c>
      <x:c r="L1422" s="8" t="n">
        <x:v>349</x:v>
      </x:c>
      <x:c r="M1422" s="8" t="n">
        <x:v>0</x:v>
      </x:c>
      <x:c r="N1422" s="8" t="n">
        <x:v>0</x:v>
      </x:c>
      <x:c r="O1422" s="8" t="n">
        <x:v>240</x:v>
      </x:c>
      <x:c r="P1422" s="8" t="n">
        <x:v>0</x:v>
      </x:c>
      <x:c r="Q1422" s="8" t="n">
        <x:v>2</x:v>
      </x:c>
      <x:c r="R1422" s="8" t="n">
        <x:v>0</x:v>
      </x:c>
      <x:c r="S1422" s="8" t="n">
        <x:f>L1422-I1422^2/H1422</x:f>
        <x:v>145.9375</x:v>
      </x:c>
      <x:c r="T1422" s="8" t="n">
        <x:f>M1422-J1422^2/H1422</x:f>
        <x:v>0</x:v>
      </x:c>
      <x:c r="U1422" s="8" t="n">
        <x:f>N1422-I1422*J1422/H1422</x:f>
        <x:v>0</x:v>
      </x:c>
      <x:c r="V1422" s="8" t="n">
        <x:f>O1422-I1422*K1422/H1422</x:f>
        <x:v>54.75</x:v>
      </x:c>
      <x:c r="W1422" s="8" t="n">
        <x:f>P1422-J1422*K1422/H1422</x:f>
        <x:v>0</x:v>
      </x:c>
      <x:c r="X1422" s="8" t="n">
        <x:f>V1422/S1422</x:f>
        <x:v>0.3751605995717345</x:v>
      </x:c>
      <x:c r="Y1422" s="8" t="n">
        <x:f>0</x:f>
        <x:v>0</x:v>
      </x:c>
      <x:c r="Z1422" s="8" t="n">
        <x:f>K1422/H1422-X1422*I1422/H1422-Y1422*J1422/H1422</x:f>
        <x:v>1.913490364025696</x:v>
      </x:c>
      <x:c r="AA1422" s="8" t="n">
        <x:f>Z1422+X1422*Q1422+Y1422*R1422</x:f>
        <x:v>2.663811563169165</x:v>
      </x:c>
    </x:row>
    <x:row r="1423" ht="26" customHeight="1">
      <x:c r="A1423" s="2"/>
      <x:c r="B1423" s="2" t="n">
        <x:v>1418</x:v>
      </x:c>
      <x:c r="C1423" s="2" t="str">
        <x:v>Beauty / organic_sales_growth</x:v>
      </x:c>
      <x:c r="D1423" s="2" t="str">
        <x:v>Broad market</x:v>
      </x:c>
      <x:c r="E1423" s="7" t="n">
        <x:v>45930</x:v>
      </x:c>
      <x:c r="F1423" s="2" t="str">
        <x:v>Origin</x:v>
      </x:c>
      <x:c r="G1423" s="7" t="n">
        <x:v>45839</x:v>
      </x:c>
      <x:c r="H1423" s="2" t="n">
        <x:v>17</x:v>
      </x:c>
      <x:c r="I1423" s="8" t="n">
        <x:v>107.16950208634644</x:v>
      </x:c>
      <x:c r="J1423" s="8" t="n">
        <x:v>0</x:v>
      </x:c>
      <x:c r="K1423" s="8" t="n">
        <x:v>59</x:v>
      </x:c>
      <x:c r="L1423" s="8" t="n">
        <x:v>924.8609898067657</x:v>
      </x:c>
      <x:c r="M1423" s="8" t="n">
        <x:v>0</x:v>
      </x:c>
      <x:c r="N1423" s="8" t="n">
        <x:v>0</x:v>
      </x:c>
      <x:c r="O1423" s="8" t="n">
        <x:v>415.0032047080089</x:v>
      </x:c>
      <x:c r="P1423" s="8" t="n">
        <x:v>0</x:v>
      </x:c>
      <x:c r="Q1423" s="8" t="n">
        <x:v>8.582796428221396</x:v>
      </x:c>
      <x:c r="R1423" s="8" t="n">
        <x:v>0</x:v>
      </x:c>
      <x:c r="S1423" s="8" t="n">
        <x:f>L1423-I1423^2/H1423</x:f>
        <x:v>249.25497936938837</x:v>
      </x:c>
      <x:c r="T1423" s="8" t="n">
        <x:f>M1423-J1423^2/H1423</x:f>
        <x:v>0</x:v>
      </x:c>
      <x:c r="U1423" s="8" t="n">
        <x:f>N1423-I1423*J1423/H1423</x:f>
        <x:v>0</x:v>
      </x:c>
      <x:c r="V1423" s="8" t="n">
        <x:f>O1423-I1423*K1423/H1423</x:f>
        <x:v>43.06199158480655</x:v>
      </x:c>
      <x:c r="W1423" s="8" t="n">
        <x:f>P1423-J1423*K1423/H1423</x:f>
        <x:v>0</x:v>
      </x:c>
      <x:c r="X1423" s="8" t="n">
        <x:f>V1423/S1423</x:f>
        <x:v>0.17276281378110395</x:v>
      </x:c>
      <x:c r="Y1423" s="8" t="n">
        <x:f>0</x:f>
        <x:v>0</x:v>
      </x:c>
      <x:c r="Z1423" s="8" t="n">
        <x:f>K1423/H1423-X1423*I1423/H1423-Y1423*J1423/H1423</x:f>
        <x:v>2.381476192237818</x:v>
      </x:c>
      <x:c r="AA1423" s="8" t="n">
        <x:f>Z1423+X1423*Q1423+Y1423*R1423</x:f>
        <x:v>3.8642642532877547</x:v>
      </x:c>
    </x:row>
    <x:row r="1424" ht="26" customHeight="1">
      <x:c r="A1424" s="2"/>
      <x:c r="B1424" s="2" t="n">
        <x:v>1419</x:v>
      </x:c>
      <x:c r="C1424" s="2" t="str">
        <x:v>Beauty / organic_sales_growth</x:v>
      </x:c>
      <x:c r="D1424" s="2" t="str">
        <x:v>Broad rolling 8</x:v>
      </x:c>
      <x:c r="E1424" s="7" t="n">
        <x:v>45930</x:v>
      </x:c>
      <x:c r="F1424" s="2" t="str">
        <x:v>Origin</x:v>
      </x:c>
      <x:c r="G1424" s="7" t="n">
        <x:v>45839</x:v>
      </x:c>
      <x:c r="H1424" s="2" t="n">
        <x:v>8</x:v>
      </x:c>
      <x:c r="I1424" s="8" t="n">
        <x:v>45.10102340406965</x:v>
      </x:c>
      <x:c r="J1424" s="8" t="n">
        <x:v>0</x:v>
      </x:c>
      <x:c r="K1424" s="8" t="n">
        <x:v>25</x:v>
      </x:c>
      <x:c r="L1424" s="8" t="n">
        <x:v>325.81716748619067</x:v>
      </x:c>
      <x:c r="M1424" s="8" t="n">
        <x:v>0</x:v>
      </x:c>
      <x:c r="N1424" s="8" t="n">
        <x:v>0</x:v>
      </x:c>
      <x:c r="O1424" s="8" t="n">
        <x:v>156.75528236646065</x:v>
      </x:c>
      <x:c r="P1424" s="8" t="n">
        <x:v>0</x:v>
      </x:c>
      <x:c r="Q1424" s="8" t="n">
        <x:v>8.582796428221396</x:v>
      </x:c>
      <x:c r="R1424" s="8" t="n">
        <x:v>0</x:v>
      </x:c>
      <x:c r="S1424" s="8" t="n">
        <x:f>L1424-I1424^2/H1424</x:f>
        <x:v>71.55437847438589</x:v>
      </x:c>
      <x:c r="T1424" s="8" t="n">
        <x:f>M1424-J1424^2/H1424</x:f>
        <x:v>0</x:v>
      </x:c>
      <x:c r="U1424" s="8" t="n">
        <x:f>N1424-I1424*J1424/H1424</x:f>
        <x:v>0</x:v>
      </x:c>
      <x:c r="V1424" s="8" t="n">
        <x:f>O1424-I1424*K1424/H1424</x:f>
        <x:v>15.814584228743001</x:v>
      </x:c>
      <x:c r="W1424" s="8" t="n">
        <x:f>P1424-J1424*K1424/H1424</x:f>
        <x:v>0</x:v>
      </x:c>
      <x:c r="X1424" s="8" t="n">
        <x:f>V1424/S1424</x:f>
        <x:v>0.22101490594882467</x:v>
      </x:c>
      <x:c r="Y1424" s="8" t="n">
        <x:f>0</x:f>
        <x:v>0</x:v>
      </x:c>
      <x:c r="Z1424" s="8" t="n">
        <x:f>K1424/H1424-X1424*I1424/H1424-Y1424*J1424/H1424</x:f>
        <x:v>1.8790001942692258</x:v>
      </x:c>
      <x:c r="AA1424" s="8" t="n">
        <x:f>Z1424+X1424*Q1424+Y1424*R1424</x:f>
        <x:v>3.775926139630486</x:v>
      </x:c>
    </x:row>
    <x:row r="1425" ht="26" customHeight="1">
      <x:c r="A1425" s="2"/>
      <x:c r="B1425" s="2" t="n">
        <x:v>1420</x:v>
      </x:c>
      <x:c r="C1425" s="2" t="str">
        <x:v>Beauty / organic_sales_growth</x:v>
      </x:c>
      <x:c r="D1425" s="2" t="str">
        <x:v>Own history</x:v>
      </x:c>
      <x:c r="E1425" s="7" t="n">
        <x:v>45930</x:v>
      </x:c>
      <x:c r="F1425" s="2" t="str">
        <x:v>Origin</x:v>
      </x:c>
      <x:c r="G1425" s="7" t="n">
        <x:v>45839</x:v>
      </x:c>
      <x:c r="H1425" s="2" t="n">
        <x:v>15</x:v>
      </x:c>
      <x:c r="I1425" s="8" t="n">
        <x:v>55</x:v>
      </x:c>
      <x:c r="J1425" s="8" t="n">
        <x:v>0</x:v>
      </x:c>
      <x:c r="K1425" s="8" t="n">
        <x:v>46</x:v>
      </x:c>
      <x:c r="L1425" s="8" t="n">
        <x:v>345</x:v>
      </x:c>
      <x:c r="M1425" s="8" t="n">
        <x:v>0</x:v>
      </x:c>
      <x:c r="N1425" s="8" t="n">
        <x:v>0</x:v>
      </x:c>
      <x:c r="O1425" s="8" t="n">
        <x:v>165</x:v>
      </x:c>
      <x:c r="P1425" s="8" t="n">
        <x:v>0</x:v>
      </x:c>
      <x:c r="Q1425" s="8" t="n">
        <x:v>2</x:v>
      </x:c>
      <x:c r="R1425" s="8" t="n">
        <x:v>0</x:v>
      </x:c>
      <x:c r="S1425" s="8" t="n">
        <x:f>L1425-I1425^2/H1425</x:f>
        <x:v>143.33333333333334</x:v>
      </x:c>
      <x:c r="T1425" s="8" t="n">
        <x:f>M1425-J1425^2/H1425</x:f>
        <x:v>0</x:v>
      </x:c>
      <x:c r="U1425" s="8" t="n">
        <x:f>N1425-I1425*J1425/H1425</x:f>
        <x:v>0</x:v>
      </x:c>
      <x:c r="V1425" s="8" t="n">
        <x:f>O1425-I1425*K1425/H1425</x:f>
        <x:v>-3.666666666666657</x:v>
      </x:c>
      <x:c r="W1425" s="8" t="n">
        <x:f>P1425-J1425*K1425/H1425</x:f>
        <x:v>0</x:v>
      </x:c>
      <x:c r="X1425" s="8" t="n">
        <x:f>V1425/S1425</x:f>
        <x:v>-0.025581395348837143</x:v>
      </x:c>
      <x:c r="Y1425" s="8" t="n">
        <x:f>0</x:f>
        <x:v>0</x:v>
      </x:c>
      <x:c r="Z1425" s="8" t="n">
        <x:f>K1425/H1425-X1425*I1425/H1425-Y1425*J1425/H1425</x:f>
        <x:v>3.16046511627907</x:v>
      </x:c>
      <x:c r="AA1425" s="8" t="n">
        <x:f>Z1425+X1425*Q1425+Y1425*R1425</x:f>
        <x:v>3.1093023255813956</x:v>
      </x:c>
    </x:row>
    <x:row r="1426" ht="26" customHeight="1">
      <x:c r="A1426" s="2"/>
      <x:c r="B1426" s="2" t="n">
        <x:v>1421</x:v>
      </x:c>
      <x:c r="C1426" s="2" t="str">
        <x:v>Beauty / organic_sales_growth</x:v>
      </x:c>
      <x:c r="D1426" s="2" t="str">
        <x:v>Broad market</x:v>
      </x:c>
      <x:c r="E1426" s="7" t="n">
        <x:v>45930</x:v>
      </x:c>
      <x:c r="F1426" s="2" t="str">
        <x:v>Prior report</x:v>
      </x:c>
      <x:c r="G1426" s="7" t="n">
        <x:v>45867</x:v>
      </x:c>
      <x:c r="H1426" s="2" t="n">
        <x:v>18</x:v>
      </x:c>
      <x:c r="I1426" s="8" t="n">
        <x:v>115.38233627631269</x:v>
      </x:c>
      <x:c r="J1426" s="8" t="n">
        <x:v>0</x:v>
      </x:c>
      <x:c r="K1426" s="8" t="n">
        <x:v>60</x:v>
      </x:c>
      <x:c r="L1426" s="8" t="n">
        <x:v>992.8220901830241</x:v>
      </x:c>
      <x:c r="M1426" s="8" t="n">
        <x:v>0</x:v>
      </x:c>
      <x:c r="N1426" s="8" t="n">
        <x:v>0</x:v>
      </x:c>
      <x:c r="O1426" s="8" t="n">
        <x:v>423.14686191708296</x:v>
      </x:c>
      <x:c r="P1426" s="8" t="n">
        <x:v>0</x:v>
      </x:c>
      <x:c r="Q1426" s="8" t="n">
        <x:v>8.248404459382597</x:v>
      </x:c>
      <x:c r="R1426" s="8" t="n">
        <x:v>0</x:v>
      </x:c>
      <x:c r="S1426" s="8" t="n">
        <x:f>L1426-I1426^2/H1426</x:f>
        <x:v>253.2063388174629</x:v>
      </x:c>
      <x:c r="T1426" s="8" t="n">
        <x:f>M1426-J1426^2/H1426</x:f>
        <x:v>0</x:v>
      </x:c>
      <x:c r="U1426" s="8" t="n">
        <x:f>N1426-I1426*J1426/H1426</x:f>
        <x:v>0</x:v>
      </x:c>
      <x:c r="V1426" s="8" t="n">
        <x:f>O1426-I1426*K1426/H1426</x:f>
        <x:v>38.539074329374046</x:v>
      </x:c>
      <x:c r="W1426" s="8" t="n">
        <x:f>P1426-J1426*K1426/H1426</x:f>
        <x:v>0</x:v>
      </x:c>
      <x:c r="X1426" s="8" t="n">
        <x:f>V1426/S1426</x:f>
        <x:v>0.15220422407022347</x:v>
      </x:c>
      <x:c r="Y1426" s="8" t="n">
        <x:f>0</x:f>
        <x:v>0</x:v>
      </x:c>
      <x:c r="Z1426" s="8" t="n">
        <x:f>K1426/H1426-X1426*I1426/H1426-Y1426*J1426/H1426</x:f>
        <x:v>2.3576845019807906</x:v>
      </x:c>
      <x:c r="AA1426" s="8" t="n">
        <x:f>Z1426+X1426*Q1426+Y1426*R1426</x:f>
        <x:v>3.6131265025384898</x:v>
      </x:c>
    </x:row>
    <x:row r="1427" ht="26" customHeight="1">
      <x:c r="A1427" s="2"/>
      <x:c r="B1427" s="2" t="n">
        <x:v>1422</x:v>
      </x:c>
      <x:c r="C1427" s="2" t="str">
        <x:v>Beauty / organic_sales_growth</x:v>
      </x:c>
      <x:c r="D1427" s="2" t="str">
        <x:v>Broad lag 1</x:v>
      </x:c>
      <x:c r="E1427" s="7" t="n">
        <x:v>45930</x:v>
      </x:c>
      <x:c r="F1427" s="2" t="str">
        <x:v>Prior report</x:v>
      </x:c>
      <x:c r="G1427" s="7" t="n">
        <x:v>45867</x:v>
      </x:c>
      <x:c r="H1427" s="2" t="n">
        <x:v>17</x:v>
      </x:c>
      <x:c r="I1427" s="8" t="n">
        <x:v>107.13491359590033</x:v>
      </x:c>
      <x:c r="J1427" s="8" t="n">
        <x:v>0</x:v>
      </x:c>
      <x:c r="K1427" s="8" t="n">
        <x:v>53</x:v>
      </x:c>
      <x:c r="L1427" s="8" t="n">
        <x:v>924.8021093136439</x:v>
      </x:c>
      <x:c r="M1427" s="8" t="n">
        <x:v>0</x:v>
      </x:c>
      <x:c r="N1427" s="8" t="n">
        <x:v>0</x:v>
      </x:c>
      <x:c r="O1427" s="8" t="n">
        <x:v>336.8333495433317</x:v>
      </x:c>
      <x:c r="P1427" s="8" t="n">
        <x:v>0</x:v>
      </x:c>
      <x:c r="Q1427" s="8" t="n">
        <x:v>8.247422680412363</x:v>
      </x:c>
      <x:c r="R1427" s="8" t="n">
        <x:v>0</x:v>
      </x:c>
      <x:c r="S1427" s="8" t="n">
        <x:f>L1427-I1427^2/H1427</x:f>
        <x:v>249.63212630181863</x:v>
      </x:c>
      <x:c r="T1427" s="8" t="n">
        <x:f>M1427-J1427^2/H1427</x:f>
        <x:v>0</x:v>
      </x:c>
      <x:c r="U1427" s="8" t="n">
        <x:f>N1427-I1427*J1427/H1427</x:f>
        <x:v>0</x:v>
      </x:c>
      <x:c r="V1427" s="8" t="n">
        <x:f>O1427-I1427*K1427/H1427</x:f>
        <x:v>2.824501273760063</x:v>
      </x:c>
      <x:c r="W1427" s="8" t="n">
        <x:f>P1427-J1427*K1427/H1427</x:f>
        <x:v>0</x:v>
      </x:c>
      <x:c r="X1427" s="8" t="n">
        <x:f>V1427/S1427</x:f>
        <x:v>0.011314654550292496</x:v>
      </x:c>
      <x:c r="Y1427" s="8" t="n">
        <x:f>0</x:f>
        <x:v>0</x:v>
      </x:c>
      <x:c r="Z1427" s="8" t="n">
        <x:f>K1427/H1427-X1427*I1427/H1427-Y1427*J1427/H1427</x:f>
        <x:v>3.0463414977874677</x:v>
      </x:c>
      <x:c r="AA1427" s="8" t="n">
        <x:f>Z1427+X1427*Q1427+Y1427*R1427</x:f>
        <x:v>3.139658236346581</x:v>
      </x:c>
    </x:row>
    <x:row r="1428" ht="26" customHeight="1">
      <x:c r="A1428" s="2"/>
      <x:c r="B1428" s="2" t="n">
        <x:v>1423</x:v>
      </x:c>
      <x:c r="C1428" s="2" t="str">
        <x:v>Beauty / organic_sales_growth</x:v>
      </x:c>
      <x:c r="D1428" s="2" t="str">
        <x:v>Broad rolling 8</x:v>
      </x:c>
      <x:c r="E1428" s="7" t="n">
        <x:v>45930</x:v>
      </x:c>
      <x:c r="F1428" s="2" t="str">
        <x:v>Prior report</x:v>
      </x:c>
      <x:c r="G1428" s="7" t="n">
        <x:v>45867</x:v>
      </x:c>
      <x:c r="H1428" s="2" t="n">
        <x:v>8</x:v>
      </x:c>
      <x:c r="I1428" s="8" t="n">
        <x:v>44.9394933203342</x:v>
      </x:c>
      <x:c r="J1428" s="8" t="n">
        <x:v>0</x:v>
      </x:c>
      <x:c r="K1428" s="8" t="n">
        <x:v>15</x:v>
      </x:c>
      <x:c r="L1428" s="8" t="n">
        <x:v>323.6482908737975</x:v>
      </x:c>
      <x:c r="M1428" s="8" t="n">
        <x:v>0</x:v>
      </x:c>
      <x:c r="N1428" s="8" t="n">
        <x:v>0</x:v>
      </x:c>
      <x:c r="O1428" s="8" t="n">
        <x:v>72.78093256481593</x:v>
      </x:c>
      <x:c r="P1428" s="8" t="n">
        <x:v>0</x:v>
      </x:c>
      <x:c r="Q1428" s="8" t="n">
        <x:v>8.248404459382597</x:v>
      </x:c>
      <x:c r="R1428" s="8" t="n">
        <x:v>0</x:v>
      </x:c>
      <x:c r="S1428" s="8" t="n">
        <x:f>L1428-I1428^2/H1428</x:f>
        <x:v>71.20353338775223</x:v>
      </x:c>
      <x:c r="T1428" s="8" t="n">
        <x:f>M1428-J1428^2/H1428</x:f>
        <x:v>0</x:v>
      </x:c>
      <x:c r="U1428" s="8" t="n">
        <x:f>N1428-I1428*J1428/H1428</x:f>
        <x:v>0</x:v>
      </x:c>
      <x:c r="V1428" s="8" t="n">
        <x:f>O1428-I1428*K1428/H1428</x:f>
        <x:v>-11.480617410810694</x:v>
      </x:c>
      <x:c r="W1428" s="8" t="n">
        <x:f>P1428-J1428*K1428/H1428</x:f>
        <x:v>0</x:v>
      </x:c>
      <x:c r="X1428" s="8" t="n">
        <x:f>V1428/S1428</x:f>
        <x:v>-0.16123662499009472</x:v>
      </x:c>
      <x:c r="Y1428" s="8" t="n">
        <x:f>0</x:f>
        <x:v>0</x:v>
      </x:c>
      <x:c r="Z1428" s="8" t="n">
        <x:f>K1428/H1428-X1428*I1428/H1428-Y1428*J1428/H1428</x:f>
        <x:v>2.780736528966949</x:v>
      </x:c>
      <x:c r="AA1428" s="8" t="n">
        <x:f>Z1428+X1428*Q1428+Y1428*R1428</x:f>
        <x:v>1.4507916323828522</x:v>
      </x:c>
    </x:row>
    <x:row r="1429" ht="26" customHeight="1">
      <x:c r="A1429" s="2"/>
      <x:c r="B1429" s="2" t="n">
        <x:v>1424</x:v>
      </x:c>
      <x:c r="C1429" s="2" t="str">
        <x:v>Beauty / organic_sales_growth</x:v>
      </x:c>
      <x:c r="D1429" s="2" t="str">
        <x:v>Own history</x:v>
      </x:c>
      <x:c r="E1429" s="7" t="n">
        <x:v>45930</x:v>
      </x:c>
      <x:c r="F1429" s="2" t="str">
        <x:v>Prior report</x:v>
      </x:c>
      <x:c r="G1429" s="7" t="n">
        <x:v>45867</x:v>
      </x:c>
      <x:c r="H1429" s="2" t="n">
        <x:v>17</x:v>
      </x:c>
      <x:c r="I1429" s="8" t="n">
        <x:v>59</x:v>
      </x:c>
      <x:c r="J1429" s="8" t="n">
        <x:v>0</x:v>
      </x:c>
      <x:c r="K1429" s="8" t="n">
        <x:v>53</x:v>
      </x:c>
      <x:c r="L1429" s="8" t="n">
        <x:v>353</x:v>
      </x:c>
      <x:c r="M1429" s="8" t="n">
        <x:v>0</x:v>
      </x:c>
      <x:c r="N1429" s="8" t="n">
        <x:v>0</x:v>
      </x:c>
      <x:c r="O1429" s="8" t="n">
        <x:v>242</x:v>
      </x:c>
      <x:c r="P1429" s="8" t="n">
        <x:v>0</x:v>
      </x:c>
      <x:c r="Q1429" s="8" t="n">
        <x:v>1</x:v>
      </x:c>
      <x:c r="R1429" s="8" t="n">
        <x:v>0</x:v>
      </x:c>
      <x:c r="S1429" s="8" t="n">
        <x:f>L1429-I1429^2/H1429</x:f>
        <x:v>148.23529411764707</x:v>
      </x:c>
      <x:c r="T1429" s="8" t="n">
        <x:f>M1429-J1429^2/H1429</x:f>
        <x:v>0</x:v>
      </x:c>
      <x:c r="U1429" s="8" t="n">
        <x:f>N1429-I1429*J1429/H1429</x:f>
        <x:v>0</x:v>
      </x:c>
      <x:c r="V1429" s="8" t="n">
        <x:f>O1429-I1429*K1429/H1429</x:f>
        <x:v>58.05882352941177</x:v>
      </x:c>
      <x:c r="W1429" s="8" t="n">
        <x:f>P1429-J1429*K1429/H1429</x:f>
        <x:v>0</x:v>
      </x:c>
      <x:c r="X1429" s="8" t="n">
        <x:f>V1429/S1429</x:f>
        <x:v>0.39166666666666666</x:v>
      </x:c>
      <x:c r="Y1429" s="8" t="n">
        <x:f>0</x:f>
        <x:v>0</x:v>
      </x:c>
      <x:c r="Z1429" s="8" t="n">
        <x:f>K1429/H1429-X1429*I1429/H1429-Y1429*J1429/H1429</x:f>
        <x:v>1.7583333333333333</x:v>
      </x:c>
      <x:c r="AA1429" s="8" t="n">
        <x:f>Z1429+X1429*Q1429+Y1429*R1429</x:f>
        <x:v>2.15</x:v>
      </x:c>
    </x:row>
    <x:row r="1430" ht="26" customHeight="1">
      <x:c r="A1430" s="2"/>
      <x:c r="B1430" s="2" t="n">
        <x:v>1425</x:v>
      </x:c>
      <x:c r="C1430" s="2" t="str">
        <x:v>Beauty / organic_sales_growth</x:v>
      </x:c>
      <x:c r="D1430" s="2" t="str">
        <x:v>Broad market</x:v>
      </x:c>
      <x:c r="E1430" s="7" t="n">
        <x:v>45930</x:v>
      </x:c>
      <x:c r="F1430" s="2" t="str">
        <x:v>Pre-earnings</x:v>
      </x:c>
      <x:c r="G1430" s="7" t="n">
        <x:v>45953</x:v>
      </x:c>
      <x:c r="H1430" s="2" t="n">
        <x:v>18</x:v>
      </x:c>
      <x:c r="I1430" s="8" t="n">
        <x:v>115.93171885183737</x:v>
      </x:c>
      <x:c r="J1430" s="8" t="n">
        <x:v>0</x:v>
      </x:c>
      <x:c r="K1430" s="8" t="n">
        <x:v>60</x:v>
      </x:c>
      <x:c r="L1430" s="8" t="n">
        <x:v>1003.5947429851243</x:v>
      </x:c>
      <x:c r="M1430" s="8" t="n">
        <x:v>0</x:v>
      </x:c>
      <x:c r="N1430" s="8" t="n">
        <x:v>0</x:v>
      </x:c>
      <x:c r="O1430" s="8" t="n">
        <x:v>424.0510051110758</x:v>
      </x:c>
      <x:c r="P1430" s="8" t="n">
        <x:v>0</x:v>
      </x:c>
      <x:c r="Q1430" s="8" t="n">
        <x:v>5.902288666144195</x:v>
      </x:c>
      <x:c r="R1430" s="8" t="n">
        <x:v>0</x:v>
      </x:c>
      <x:c r="S1430" s="8" t="n">
        <x:f>L1430-I1430^2/H1430</x:f>
        <x:v>256.9189965439317</x:v>
      </x:c>
      <x:c r="T1430" s="8" t="n">
        <x:f>M1430-J1430^2/H1430</x:f>
        <x:v>0</x:v>
      </x:c>
      <x:c r="U1430" s="8" t="n">
        <x:f>N1430-I1430*J1430/H1430</x:f>
        <x:v>0</x:v>
      </x:c>
      <x:c r="V1430" s="8" t="n">
        <x:f>O1430-I1430*K1430/H1430</x:f>
        <x:v>37.61194227161792</x:v>
      </x:c>
      <x:c r="W1430" s="8" t="n">
        <x:f>P1430-J1430*K1430/H1430</x:f>
        <x:v>0</x:v>
      </x:c>
      <x:c r="X1430" s="8" t="n">
        <x:f>V1430/S1430</x:f>
        <x:v>0.1463961123061077</x:v>
      </x:c>
      <x:c r="Y1430" s="8" t="n">
        <x:f>0</x:f>
        <x:v>0</x:v>
      </x:c>
      <x:c r="Z1430" s="8" t="n">
        <x:f>K1430/H1430-X1430*I1430/H1430-Y1430*J1430/H1430</x:f>
        <x:v>2.3904470592847953</x:v>
      </x:c>
      <x:c r="AA1430" s="8" t="n">
        <x:f>Z1430+X1430*Q1430+Y1430*R1430</x:f>
        <x:v>3.2545191737167074</x:v>
      </x:c>
    </x:row>
    <x:row r="1431" ht="26" customHeight="1">
      <x:c r="A1431" s="2"/>
      <x:c r="B1431" s="2" t="n">
        <x:v>1426</x:v>
      </x:c>
      <x:c r="C1431" s="2" t="str">
        <x:v>Beauty / organic_sales_growth</x:v>
      </x:c>
      <x:c r="D1431" s="2" t="str">
        <x:v>Broad lag 1</x:v>
      </x:c>
      <x:c r="E1431" s="7" t="n">
        <x:v>45930</x:v>
      </x:c>
      <x:c r="F1431" s="2" t="str">
        <x:v>Pre-earnings</x:v>
      </x:c>
      <x:c r="G1431" s="7" t="n">
        <x:v>45953</x:v>
      </x:c>
      <x:c r="H1431" s="2" t="n">
        <x:v>17</x:v>
      </x:c>
      <x:c r="I1431" s="8" t="n">
        <x:v>106.95901257233409</x:v>
      </x:c>
      <x:c r="J1431" s="8" t="n">
        <x:v>0</x:v>
      </x:c>
      <x:c r="K1431" s="8" t="n">
        <x:v>53</x:v>
      </x:c>
      <x:c r="L1431" s="8" t="n">
        <x:v>923.0852850068866</x:v>
      </x:c>
      <x:c r="M1431" s="8" t="n">
        <x:v>0</x:v>
      </x:c>
      <x:c r="N1431" s="8" t="n">
        <x:v>0</x:v>
      </x:c>
      <x:c r="O1431" s="8" t="n">
        <x:v>336.61990145798364</x:v>
      </x:c>
      <x:c r="P1431" s="8" t="n">
        <x:v>0</x:v>
      </x:c>
      <x:c r="Q1431" s="8" t="n">
        <x:v>8.972706279503285</x:v>
      </x:c>
      <x:c r="R1431" s="8" t="n">
        <x:v>0</x:v>
      </x:c>
      <x:c r="S1431" s="8" t="n">
        <x:f>L1431-I1431^2/H1431</x:f>
        <x:v>250.1305573334323</x:v>
      </x:c>
      <x:c r="T1431" s="8" t="n">
        <x:f>M1431-J1431^2/H1431</x:f>
        <x:v>0</x:v>
      </x:c>
      <x:c r="U1431" s="8" t="n">
        <x:f>N1431-I1431*J1431/H1431</x:f>
        <x:v>0</x:v>
      </x:c>
      <x:c r="V1431" s="8" t="n">
        <x:f>O1431-I1431*K1431/H1431</x:f>
        <x:v>3.1594504971773745</x:v>
      </x:c>
      <x:c r="W1431" s="8" t="n">
        <x:f>P1431-J1431*K1431/H1431</x:f>
        <x:v>0</x:v>
      </x:c>
      <x:c r="X1431" s="8" t="n">
        <x:f>V1431/S1431</x:f>
        <x:v>0.012631205602623444</x:v>
      </x:c>
      <x:c r="Y1431" s="8" t="n">
        <x:f>0</x:f>
        <x:v>0</x:v>
      </x:c>
      <x:c r="Z1431" s="8" t="n">
        <x:f>K1431/H1431-X1431*I1431/H1431-Y1431*J1431/H1431</x:f>
        <x:v>3.0381752188908977</x:v>
      </x:c>
      <x:c r="AA1431" s="8" t="n">
        <x:f>Z1431+X1431*Q1431+Y1431*R1431</x:f>
        <x:v>3.151511316719254</x:v>
      </x:c>
    </x:row>
    <x:row r="1432" ht="26" customHeight="1">
      <x:c r="A1432" s="2"/>
      <x:c r="B1432" s="2" t="n">
        <x:v>1427</x:v>
      </x:c>
      <x:c r="C1432" s="2" t="str">
        <x:v>Beauty / organic_sales_growth</x:v>
      </x:c>
      <x:c r="D1432" s="2" t="str">
        <x:v>Broad rolling 8</x:v>
      </x:c>
      <x:c r="E1432" s="7" t="n">
        <x:v>45930</x:v>
      </x:c>
      <x:c r="F1432" s="2" t="str">
        <x:v>Pre-earnings</x:v>
      </x:c>
      <x:c r="G1432" s="7" t="n">
        <x:v>45953</x:v>
      </x:c>
      <x:c r="H1432" s="2" t="n">
        <x:v>8</x:v>
      </x:c>
      <x:c r="I1432" s="8" t="n">
        <x:v>45.48887589585888</x:v>
      </x:c>
      <x:c r="J1432" s="8" t="n">
        <x:v>0</x:v>
      </x:c>
      <x:c r="K1432" s="8" t="n">
        <x:v>15</x:v>
      </x:c>
      <x:c r="L1432" s="8" t="n">
        <x:v>334.42094367589766</x:v>
      </x:c>
      <x:c r="M1432" s="8" t="n">
        <x:v>0</x:v>
      </x:c>
      <x:c r="N1432" s="8" t="n">
        <x:v>0</x:v>
      </x:c>
      <x:c r="O1432" s="8" t="n">
        <x:v>73.68507575880878</x:v>
      </x:c>
      <x:c r="P1432" s="8" t="n">
        <x:v>0</x:v>
      </x:c>
      <x:c r="Q1432" s="8" t="n">
        <x:v>5.902288666144195</x:v>
      </x:c>
      <x:c r="R1432" s="8" t="n">
        <x:v>0</x:v>
      </x:c>
      <x:c r="S1432" s="8" t="n">
        <x:f>L1432-I1432^2/H1432</x:f>
        <x:v>75.76621489229126</x:v>
      </x:c>
      <x:c r="T1432" s="8" t="n">
        <x:f>M1432-J1432^2/H1432</x:f>
        <x:v>0</x:v>
      </x:c>
      <x:c r="U1432" s="8" t="n">
        <x:f>N1432-I1432*J1432/H1432</x:f>
        <x:v>0</x:v>
      </x:c>
      <x:c r="V1432" s="8" t="n">
        <x:f>O1432-I1432*K1432/H1432</x:f>
        <x:v>-11.606566545926626</x:v>
      </x:c>
      <x:c r="W1432" s="8" t="n">
        <x:f>P1432-J1432*K1432/H1432</x:f>
        <x:v>0</x:v>
      </x:c>
      <x:c r="X1432" s="8" t="n">
        <x:f>V1432/S1432</x:f>
        <x:v>-0.15318920923298654</x:v>
      </x:c>
      <x:c r="Y1432" s="8" t="n">
        <x:f>0</x:f>
        <x:v>0</x:v>
      </x:c>
      <x:c r="Z1432" s="8" t="n">
        <x:f>K1432/H1432-X1432*I1432/H1432-Y1432*J1432/H1432</x:f>
        <x:v>2.7460506159230107</x:v>
      </x:c>
      <x:c r="AA1432" s="8" t="n">
        <x:f>Z1432+X1432*Q1432+Y1432*R1432</x:f>
        <x:v>1.8418836824915625</x:v>
      </x:c>
    </x:row>
    <x:row r="1433" ht="26" customHeight="1">
      <x:c r="A1433" s="2"/>
      <x:c r="B1433" s="2" t="n">
        <x:v>1428</x:v>
      </x:c>
      <x:c r="C1433" s="2" t="str">
        <x:v>Beauty / organic_sales_growth</x:v>
      </x:c>
      <x:c r="D1433" s="2" t="str">
        <x:v>Own history</x:v>
      </x:c>
      <x:c r="E1433" s="7" t="n">
        <x:v>45930</x:v>
      </x:c>
      <x:c r="F1433" s="2" t="str">
        <x:v>Pre-earnings</x:v>
      </x:c>
      <x:c r="G1433" s="7" t="n">
        <x:v>45953</x:v>
      </x:c>
      <x:c r="H1433" s="2" t="n">
        <x:v>17</x:v>
      </x:c>
      <x:c r="I1433" s="8" t="n">
        <x:v>59</x:v>
      </x:c>
      <x:c r="J1433" s="8" t="n">
        <x:v>0</x:v>
      </x:c>
      <x:c r="K1433" s="8" t="n">
        <x:v>53</x:v>
      </x:c>
      <x:c r="L1433" s="8" t="n">
        <x:v>353</x:v>
      </x:c>
      <x:c r="M1433" s="8" t="n">
        <x:v>0</x:v>
      </x:c>
      <x:c r="N1433" s="8" t="n">
        <x:v>0</x:v>
      </x:c>
      <x:c r="O1433" s="8" t="n">
        <x:v>242</x:v>
      </x:c>
      <x:c r="P1433" s="8" t="n">
        <x:v>0</x:v>
      </x:c>
      <x:c r="Q1433" s="8" t="n">
        <x:v>1</x:v>
      </x:c>
      <x:c r="R1433" s="8" t="n">
        <x:v>0</x:v>
      </x:c>
      <x:c r="S1433" s="8" t="n">
        <x:f>L1433-I1433^2/H1433</x:f>
        <x:v>148.23529411764707</x:v>
      </x:c>
      <x:c r="T1433" s="8" t="n">
        <x:f>M1433-J1433^2/H1433</x:f>
        <x:v>0</x:v>
      </x:c>
      <x:c r="U1433" s="8" t="n">
        <x:f>N1433-I1433*J1433/H1433</x:f>
        <x:v>0</x:v>
      </x:c>
      <x:c r="V1433" s="8" t="n">
        <x:f>O1433-I1433*K1433/H1433</x:f>
        <x:v>58.05882352941177</x:v>
      </x:c>
      <x:c r="W1433" s="8" t="n">
        <x:f>P1433-J1433*K1433/H1433</x:f>
        <x:v>0</x:v>
      </x:c>
      <x:c r="X1433" s="8" t="n">
        <x:f>V1433/S1433</x:f>
        <x:v>0.39166666666666666</x:v>
      </x:c>
      <x:c r="Y1433" s="8" t="n">
        <x:f>0</x:f>
        <x:v>0</x:v>
      </x:c>
      <x:c r="Z1433" s="8" t="n">
        <x:f>K1433/H1433-X1433*I1433/H1433-Y1433*J1433/H1433</x:f>
        <x:v>1.7583333333333333</x:v>
      </x:c>
      <x:c r="AA1433" s="8" t="n">
        <x:f>Z1433+X1433*Q1433+Y1433*R1433</x:f>
        <x:v>2.15</x:v>
      </x:c>
    </x:row>
    <x:row r="1434" ht="26" customHeight="1">
      <x:c r="A1434" s="2"/>
      <x:c r="B1434" s="2" t="n">
        <x:v>1429</x:v>
      </x:c>
      <x:c r="C1434" s="2" t="str">
        <x:v>Beauty / organic_sales_growth</x:v>
      </x:c>
      <x:c r="D1434" s="2" t="str">
        <x:v>Broad market</x:v>
      </x:c>
      <x:c r="E1434" s="7" t="n">
        <x:v>46022</x:v>
      </x:c>
      <x:c r="F1434" s="2" t="str">
        <x:v>Origin</x:v>
      </x:c>
      <x:c r="G1434" s="7" t="n">
        <x:v>45931</x:v>
      </x:c>
      <x:c r="H1434" s="2" t="n">
        <x:v>18</x:v>
      </x:c>
      <x:c r="I1434" s="8" t="n">
        <x:v>115.93171885183737</x:v>
      </x:c>
      <x:c r="J1434" s="8" t="n">
        <x:v>0</x:v>
      </x:c>
      <x:c r="K1434" s="8" t="n">
        <x:v>60</x:v>
      </x:c>
      <x:c r="L1434" s="8" t="n">
        <x:v>1003.5947429851243</x:v>
      </x:c>
      <x:c r="M1434" s="8" t="n">
        <x:v>0</x:v>
      </x:c>
      <x:c r="N1434" s="8" t="n">
        <x:v>0</x:v>
      </x:c>
      <x:c r="O1434" s="8" t="n">
        <x:v>424.0510051110758</x:v>
      </x:c>
      <x:c r="P1434" s="8" t="n">
        <x:v>0</x:v>
      </x:c>
      <x:c r="Q1434" s="8" t="n">
        <x:v>6.847594769665077</x:v>
      </x:c>
      <x:c r="R1434" s="8" t="n">
        <x:v>0</x:v>
      </x:c>
      <x:c r="S1434" s="8" t="n">
        <x:f>L1434-I1434^2/H1434</x:f>
        <x:v>256.9189965439317</x:v>
      </x:c>
      <x:c r="T1434" s="8" t="n">
        <x:f>M1434-J1434^2/H1434</x:f>
        <x:v>0</x:v>
      </x:c>
      <x:c r="U1434" s="8" t="n">
        <x:f>N1434-I1434*J1434/H1434</x:f>
        <x:v>0</x:v>
      </x:c>
      <x:c r="V1434" s="8" t="n">
        <x:f>O1434-I1434*K1434/H1434</x:f>
        <x:v>37.61194227161792</x:v>
      </x:c>
      <x:c r="W1434" s="8" t="n">
        <x:f>P1434-J1434*K1434/H1434</x:f>
        <x:v>0</x:v>
      </x:c>
      <x:c r="X1434" s="8" t="n">
        <x:f>V1434/S1434</x:f>
        <x:v>0.1463961123061077</x:v>
      </x:c>
      <x:c r="Y1434" s="8" t="n">
        <x:f>0</x:f>
        <x:v>0</x:v>
      </x:c>
      <x:c r="Z1434" s="8" t="n">
        <x:f>K1434/H1434-X1434*I1434/H1434-Y1434*J1434/H1434</x:f>
        <x:v>2.3904470592847953</x:v>
      </x:c>
      <x:c r="AA1434" s="8" t="n">
        <x:f>Z1434+X1434*Q1434+Y1434*R1434</x:f>
        <x:v>3.3929083122113997</x:v>
      </x:c>
    </x:row>
    <x:row r="1435" ht="26" customHeight="1">
      <x:c r="A1435" s="2"/>
      <x:c r="B1435" s="2" t="n">
        <x:v>1430</x:v>
      </x:c>
      <x:c r="C1435" s="2" t="str">
        <x:v>Beauty / organic_sales_growth</x:v>
      </x:c>
      <x:c r="D1435" s="2" t="str">
        <x:v>Broad rolling 8</x:v>
      </x:c>
      <x:c r="E1435" s="7" t="n">
        <x:v>46022</x:v>
      </x:c>
      <x:c r="F1435" s="2" t="str">
        <x:v>Origin</x:v>
      </x:c>
      <x:c r="G1435" s="7" t="n">
        <x:v>45931</x:v>
      </x:c>
      <x:c r="H1435" s="2" t="n">
        <x:v>8</x:v>
      </x:c>
      <x:c r="I1435" s="8" t="n">
        <x:v>45.48887589585888</x:v>
      </x:c>
      <x:c r="J1435" s="8" t="n">
        <x:v>0</x:v>
      </x:c>
      <x:c r="K1435" s="8" t="n">
        <x:v>15</x:v>
      </x:c>
      <x:c r="L1435" s="8" t="n">
        <x:v>334.42094367589766</x:v>
      </x:c>
      <x:c r="M1435" s="8" t="n">
        <x:v>0</x:v>
      </x:c>
      <x:c r="N1435" s="8" t="n">
        <x:v>0</x:v>
      </x:c>
      <x:c r="O1435" s="8" t="n">
        <x:v>73.68507575880878</x:v>
      </x:c>
      <x:c r="P1435" s="8" t="n">
        <x:v>0</x:v>
      </x:c>
      <x:c r="Q1435" s="8" t="n">
        <x:v>6.847594769665077</x:v>
      </x:c>
      <x:c r="R1435" s="8" t="n">
        <x:v>0</x:v>
      </x:c>
      <x:c r="S1435" s="8" t="n">
        <x:f>L1435-I1435^2/H1435</x:f>
        <x:v>75.76621489229126</x:v>
      </x:c>
      <x:c r="T1435" s="8" t="n">
        <x:f>M1435-J1435^2/H1435</x:f>
        <x:v>0</x:v>
      </x:c>
      <x:c r="U1435" s="8" t="n">
        <x:f>N1435-I1435*J1435/H1435</x:f>
        <x:v>0</x:v>
      </x:c>
      <x:c r="V1435" s="8" t="n">
        <x:f>O1435-I1435*K1435/H1435</x:f>
        <x:v>-11.606566545926626</x:v>
      </x:c>
      <x:c r="W1435" s="8" t="n">
        <x:f>P1435-J1435*K1435/H1435</x:f>
        <x:v>0</x:v>
      </x:c>
      <x:c r="X1435" s="8" t="n">
        <x:f>V1435/S1435</x:f>
        <x:v>-0.15318920923298654</x:v>
      </x:c>
      <x:c r="Y1435" s="8" t="n">
        <x:f>0</x:f>
        <x:v>0</x:v>
      </x:c>
      <x:c r="Z1435" s="8" t="n">
        <x:f>K1435/H1435-X1435*I1435/H1435-Y1435*J1435/H1435</x:f>
        <x:v>2.7460506159230107</x:v>
      </x:c>
      <x:c r="AA1435" s="8" t="n">
        <x:f>Z1435+X1435*Q1435+Y1435*R1435</x:f>
        <x:v>1.6970729880100828</x:v>
      </x:c>
    </x:row>
    <x:row r="1436" ht="26" customHeight="1">
      <x:c r="A1436" s="2"/>
      <x:c r="B1436" s="2" t="n">
        <x:v>1431</x:v>
      </x:c>
      <x:c r="C1436" s="2" t="str">
        <x:v>Beauty / organic_sales_growth</x:v>
      </x:c>
      <x:c r="D1436" s="2" t="str">
        <x:v>Own history</x:v>
      </x:c>
      <x:c r="E1436" s="7" t="n">
        <x:v>46022</x:v>
      </x:c>
      <x:c r="F1436" s="2" t="str">
        <x:v>Origin</x:v>
      </x:c>
      <x:c r="G1436" s="7" t="n">
        <x:v>45931</x:v>
      </x:c>
      <x:c r="H1436" s="2" t="n">
        <x:v>16</x:v>
      </x:c>
      <x:c r="I1436" s="8" t="n">
        <x:v>57</x:v>
      </x:c>
      <x:c r="J1436" s="8" t="n">
        <x:v>0</x:v>
      </x:c>
      <x:c r="K1436" s="8" t="n">
        <x:v>47</x:v>
      </x:c>
      <x:c r="L1436" s="8" t="n">
        <x:v>349</x:v>
      </x:c>
      <x:c r="M1436" s="8" t="n">
        <x:v>0</x:v>
      </x:c>
      <x:c r="N1436" s="8" t="n">
        <x:v>0</x:v>
      </x:c>
      <x:c r="O1436" s="8" t="n">
        <x:v>167</x:v>
      </x:c>
      <x:c r="P1436" s="8" t="n">
        <x:v>0</x:v>
      </x:c>
      <x:c r="Q1436" s="8" t="n">
        <x:v>1</x:v>
      </x:c>
      <x:c r="R1436" s="8" t="n">
        <x:v>0</x:v>
      </x:c>
      <x:c r="S1436" s="8" t="n">
        <x:f>L1436-I1436^2/H1436</x:f>
        <x:v>145.9375</x:v>
      </x:c>
      <x:c r="T1436" s="8" t="n">
        <x:f>M1436-J1436^2/H1436</x:f>
        <x:v>0</x:v>
      </x:c>
      <x:c r="U1436" s="8" t="n">
        <x:f>N1436-I1436*J1436/H1436</x:f>
        <x:v>0</x:v>
      </x:c>
      <x:c r="V1436" s="8" t="n">
        <x:f>O1436-I1436*K1436/H1436</x:f>
        <x:v>-0.4375</x:v>
      </x:c>
      <x:c r="W1436" s="8" t="n">
        <x:f>P1436-J1436*K1436/H1436</x:f>
        <x:v>0</x:v>
      </x:c>
      <x:c r="X1436" s="8" t="n">
        <x:f>V1436/S1436</x:f>
        <x:v>-0.0029978586723768737</x:v>
      </x:c>
      <x:c r="Y1436" s="8" t="n">
        <x:f>0</x:f>
        <x:v>0</x:v>
      </x:c>
      <x:c r="Z1436" s="8" t="n">
        <x:f>K1436/H1436-X1436*I1436/H1436-Y1436*J1436/H1436</x:f>
        <x:v>2.9481798715203427</x:v>
      </x:c>
      <x:c r="AA1436" s="8" t="n">
        <x:f>Z1436+X1436*Q1436+Y1436*R1436</x:f>
        <x:v>2.9451820128479658</x:v>
      </x:c>
    </x:row>
    <x:row r="1437" ht="26" customHeight="1">
      <x:c r="A1437" s="2"/>
      <x:c r="B1437" s="2" t="n">
        <x:v>1432</x:v>
      </x:c>
      <x:c r="C1437" s="2" t="str">
        <x:v>Beauty / organic_sales_growth</x:v>
      </x:c>
      <x:c r="D1437" s="2" t="str">
        <x:v>Broad market</x:v>
      </x:c>
      <x:c r="E1437" s="7" t="n">
        <x:v>46022</x:v>
      </x:c>
      <x:c r="F1437" s="2" t="str">
        <x:v>Prior report</x:v>
      </x:c>
      <x:c r="G1437" s="7" t="n">
        <x:v>45954</x:v>
      </x:c>
      <x:c r="H1437" s="2" t="n">
        <x:v>18</x:v>
      </x:c>
      <x:c r="I1437" s="8" t="n">
        <x:v>115.93171885183737</x:v>
      </x:c>
      <x:c r="J1437" s="8" t="n">
        <x:v>0</x:v>
      </x:c>
      <x:c r="K1437" s="8" t="n">
        <x:v>60</x:v>
      </x:c>
      <x:c r="L1437" s="8" t="n">
        <x:v>1003.5947429851243</x:v>
      </x:c>
      <x:c r="M1437" s="8" t="n">
        <x:v>0</x:v>
      </x:c>
      <x:c r="N1437" s="8" t="n">
        <x:v>0</x:v>
      </x:c>
      <x:c r="O1437" s="8" t="n">
        <x:v>424.0510051110758</x:v>
      </x:c>
      <x:c r="P1437" s="8" t="n">
        <x:v>0</x:v>
      </x:c>
      <x:c r="Q1437" s="8" t="n">
        <x:v>6.847594769665077</x:v>
      </x:c>
      <x:c r="R1437" s="8" t="n">
        <x:v>0</x:v>
      </x:c>
      <x:c r="S1437" s="8" t="n">
        <x:f>L1437-I1437^2/H1437</x:f>
        <x:v>256.9189965439317</x:v>
      </x:c>
      <x:c r="T1437" s="8" t="n">
        <x:f>M1437-J1437^2/H1437</x:f>
        <x:v>0</x:v>
      </x:c>
      <x:c r="U1437" s="8" t="n">
        <x:f>N1437-I1437*J1437/H1437</x:f>
        <x:v>0</x:v>
      </x:c>
      <x:c r="V1437" s="8" t="n">
        <x:f>O1437-I1437*K1437/H1437</x:f>
        <x:v>37.61194227161792</x:v>
      </x:c>
      <x:c r="W1437" s="8" t="n">
        <x:f>P1437-J1437*K1437/H1437</x:f>
        <x:v>0</x:v>
      </x:c>
      <x:c r="X1437" s="8" t="n">
        <x:f>V1437/S1437</x:f>
        <x:v>0.1463961123061077</x:v>
      </x:c>
      <x:c r="Y1437" s="8" t="n">
        <x:f>0</x:f>
        <x:v>0</x:v>
      </x:c>
      <x:c r="Z1437" s="8" t="n">
        <x:f>K1437/H1437-X1437*I1437/H1437-Y1437*J1437/H1437</x:f>
        <x:v>2.3904470592847953</x:v>
      </x:c>
      <x:c r="AA1437" s="8" t="n">
        <x:f>Z1437+X1437*Q1437+Y1437*R1437</x:f>
        <x:v>3.3929083122113997</x:v>
      </x:c>
    </x:row>
    <x:row r="1438" ht="26" customHeight="1">
      <x:c r="A1438" s="2"/>
      <x:c r="B1438" s="2" t="n">
        <x:v>1433</x:v>
      </x:c>
      <x:c r="C1438" s="2" t="str">
        <x:v>Beauty / organic_sales_growth</x:v>
      </x:c>
      <x:c r="D1438" s="2" t="str">
        <x:v>Broad rolling 8</x:v>
      </x:c>
      <x:c r="E1438" s="7" t="n">
        <x:v>46022</x:v>
      </x:c>
      <x:c r="F1438" s="2" t="str">
        <x:v>Prior report</x:v>
      </x:c>
      <x:c r="G1438" s="7" t="n">
        <x:v>45954</x:v>
      </x:c>
      <x:c r="H1438" s="2" t="n">
        <x:v>8</x:v>
      </x:c>
      <x:c r="I1438" s="8" t="n">
        <x:v>45.48887589585888</x:v>
      </x:c>
      <x:c r="J1438" s="8" t="n">
        <x:v>0</x:v>
      </x:c>
      <x:c r="K1438" s="8" t="n">
        <x:v>15</x:v>
      </x:c>
      <x:c r="L1438" s="8" t="n">
        <x:v>334.42094367589766</x:v>
      </x:c>
      <x:c r="M1438" s="8" t="n">
        <x:v>0</x:v>
      </x:c>
      <x:c r="N1438" s="8" t="n">
        <x:v>0</x:v>
      </x:c>
      <x:c r="O1438" s="8" t="n">
        <x:v>73.68507575880878</x:v>
      </x:c>
      <x:c r="P1438" s="8" t="n">
        <x:v>0</x:v>
      </x:c>
      <x:c r="Q1438" s="8" t="n">
        <x:v>6.847594769665077</x:v>
      </x:c>
      <x:c r="R1438" s="8" t="n">
        <x:v>0</x:v>
      </x:c>
      <x:c r="S1438" s="8" t="n">
        <x:f>L1438-I1438^2/H1438</x:f>
        <x:v>75.76621489229126</x:v>
      </x:c>
      <x:c r="T1438" s="8" t="n">
        <x:f>M1438-J1438^2/H1438</x:f>
        <x:v>0</x:v>
      </x:c>
      <x:c r="U1438" s="8" t="n">
        <x:f>N1438-I1438*J1438/H1438</x:f>
        <x:v>0</x:v>
      </x:c>
      <x:c r="V1438" s="8" t="n">
        <x:f>O1438-I1438*K1438/H1438</x:f>
        <x:v>-11.606566545926626</x:v>
      </x:c>
      <x:c r="W1438" s="8" t="n">
        <x:f>P1438-J1438*K1438/H1438</x:f>
        <x:v>0</x:v>
      </x:c>
      <x:c r="X1438" s="8" t="n">
        <x:f>V1438/S1438</x:f>
        <x:v>-0.15318920923298654</x:v>
      </x:c>
      <x:c r="Y1438" s="8" t="n">
        <x:f>0</x:f>
        <x:v>0</x:v>
      </x:c>
      <x:c r="Z1438" s="8" t="n">
        <x:f>K1438/H1438-X1438*I1438/H1438-Y1438*J1438/H1438</x:f>
        <x:v>2.7460506159230107</x:v>
      </x:c>
      <x:c r="AA1438" s="8" t="n">
        <x:f>Z1438+X1438*Q1438+Y1438*R1438</x:f>
        <x:v>1.6970729880100828</x:v>
      </x:c>
    </x:row>
    <x:row r="1439" ht="26" customHeight="1">
      <x:c r="A1439" s="2"/>
      <x:c r="B1439" s="2" t="n">
        <x:v>1434</x:v>
      </x:c>
      <x:c r="C1439" s="2" t="str">
        <x:v>Beauty / organic_sales_growth</x:v>
      </x:c>
      <x:c r="D1439" s="2" t="str">
        <x:v>Own history</x:v>
      </x:c>
      <x:c r="E1439" s="7" t="n">
        <x:v>46022</x:v>
      </x:c>
      <x:c r="F1439" s="2" t="str">
        <x:v>Prior report</x:v>
      </x:c>
      <x:c r="G1439" s="7" t="n">
        <x:v>45954</x:v>
      </x:c>
      <x:c r="H1439" s="2" t="n">
        <x:v>18</x:v>
      </x:c>
      <x:c r="I1439" s="8" t="n">
        <x:v>60</x:v>
      </x:c>
      <x:c r="J1439" s="8" t="n">
        <x:v>0</x:v>
      </x:c>
      <x:c r="K1439" s="8" t="n">
        <x:v>59</x:v>
      </x:c>
      <x:c r="L1439" s="8" t="n">
        <x:v>354</x:v>
      </x:c>
      <x:c r="M1439" s="8" t="n">
        <x:v>0</x:v>
      </x:c>
      <x:c r="N1439" s="8" t="n">
        <x:v>0</x:v>
      </x:c>
      <x:c r="O1439" s="8" t="n">
        <x:v>248</x:v>
      </x:c>
      <x:c r="P1439" s="8" t="n">
        <x:v>0</x:v>
      </x:c>
      <x:c r="Q1439" s="8" t="n">
        <x:v>6</x:v>
      </x:c>
      <x:c r="R1439" s="8" t="n">
        <x:v>0</x:v>
      </x:c>
      <x:c r="S1439" s="8" t="n">
        <x:f>L1439-I1439^2/H1439</x:f>
        <x:v>154</x:v>
      </x:c>
      <x:c r="T1439" s="8" t="n">
        <x:f>M1439-J1439^2/H1439</x:f>
        <x:v>0</x:v>
      </x:c>
      <x:c r="U1439" s="8" t="n">
        <x:f>N1439-I1439*J1439/H1439</x:f>
        <x:v>0</x:v>
      </x:c>
      <x:c r="V1439" s="8" t="n">
        <x:f>O1439-I1439*K1439/H1439</x:f>
        <x:v>51.33333333333334</x:v>
      </x:c>
      <x:c r="W1439" s="8" t="n">
        <x:f>P1439-J1439*K1439/H1439</x:f>
        <x:v>0</x:v>
      </x:c>
      <x:c r="X1439" s="8" t="n">
        <x:f>V1439/S1439</x:f>
        <x:v>0.33333333333333337</x:v>
      </x:c>
      <x:c r="Y1439" s="8" t="n">
        <x:f>0</x:f>
        <x:v>0</x:v>
      </x:c>
      <x:c r="Z1439" s="8" t="n">
        <x:f>K1439/H1439-X1439*I1439/H1439-Y1439*J1439/H1439</x:f>
        <x:v>2.166666666666666</x:v>
      </x:c>
      <x:c r="AA1439" s="8" t="n">
        <x:f>Z1439+X1439*Q1439+Y1439*R1439</x:f>
        <x:v>4.166666666666666</x:v>
      </x:c>
    </x:row>
    <x:row r="1440" ht="26" customHeight="1">
      <x:c r="A1440" s="2"/>
      <x:c r="B1440" s="2" t="n">
        <x:v>1435</x:v>
      </x:c>
      <x:c r="C1440" s="2" t="str">
        <x:v>Beauty / organic_sales_growth</x:v>
      </x:c>
      <x:c r="D1440" s="2" t="str">
        <x:v>Broad market</x:v>
      </x:c>
      <x:c r="E1440" s="7" t="n">
        <x:v>46022</x:v>
      </x:c>
      <x:c r="F1440" s="2" t="str">
        <x:v>Pre-earnings</x:v>
      </x:c>
      <x:c r="G1440" s="7" t="n">
        <x:v>46044</x:v>
      </x:c>
      <x:c r="H1440" s="2" t="n">
        <x:v>19</x:v>
      </x:c>
      <x:c r="I1440" s="8" t="n">
        <x:v>122.20174811165548</x:v>
      </x:c>
      <x:c r="J1440" s="8" t="n">
        <x:v>0</x:v>
      </x:c>
      <x:c r="K1440" s="8" t="n">
        <x:v>66</x:v>
      </x:c>
      <x:c r="L1440" s="8" t="n">
        <x:v>1043.1860155496984</x:v>
      </x:c>
      <x:c r="M1440" s="8" t="n">
        <x:v>0</x:v>
      </x:c>
      <x:c r="N1440" s="8" t="n">
        <x:v>0</x:v>
      </x:c>
      <x:c r="O1440" s="8" t="n">
        <x:v>463.39327435340147</x:v>
      </x:c>
      <x:c r="P1440" s="8" t="n">
        <x:v>0</x:v>
      </x:c>
      <x:c r="Q1440" s="8" t="n">
        <x:v>6.383120720520252</x:v>
      </x:c>
      <x:c r="R1440" s="8" t="n">
        <x:v>0</x:v>
      </x:c>
      <x:c r="S1440" s="8" t="n">
        <x:f>L1440-I1440^2/H1440</x:f>
        <x:v>257.2245817841988</x:v>
      </x:c>
      <x:c r="T1440" s="8" t="n">
        <x:f>M1440-J1440^2/H1440</x:f>
        <x:v>0</x:v>
      </x:c>
      <x:c r="U1440" s="8" t="n">
        <x:f>N1440-I1440*J1440/H1440</x:f>
        <x:v>0</x:v>
      </x:c>
      <x:c r="V1440" s="8" t="n">
        <x:f>O1440-I1440*K1440/H1440</x:f>
        <x:v>38.90299143922982</x:v>
      </x:c>
      <x:c r="W1440" s="8" t="n">
        <x:f>P1440-J1440*K1440/H1440</x:f>
        <x:v>0</x:v>
      </x:c>
      <x:c r="X1440" s="8" t="n">
        <x:f>V1440/S1440</x:f>
        <x:v>0.15124134392360636</x:v>
      </x:c>
      <x:c r="Y1440" s="8" t="n">
        <x:f>0</x:f>
        <x:v>0</x:v>
      </x:c>
      <x:c r="Z1440" s="8" t="n">
        <x:f>K1440/H1440-X1440*I1440/H1440-Y1440*J1440/H1440</x:f>
        <x:v>2.500949651883116</x:v>
      </x:c>
      <x:c r="AA1440" s="8" t="n">
        <x:f>Z1440+X1440*Q1440+Y1440*R1440</x:f>
        <x:v>3.466341408081217</x:v>
      </x:c>
    </x:row>
    <x:row r="1441" ht="26" customHeight="1">
      <x:c r="A1441" s="2"/>
      <x:c r="B1441" s="2" t="n">
        <x:v>1436</x:v>
      </x:c>
      <x:c r="C1441" s="2" t="str">
        <x:v>Beauty / organic_sales_growth</x:v>
      </x:c>
      <x:c r="D1441" s="2" t="str">
        <x:v>Broad lag 1</x:v>
      </x:c>
      <x:c r="E1441" s="7" t="n">
        <x:v>46022</x:v>
      </x:c>
      <x:c r="F1441" s="2" t="str">
        <x:v>Pre-earnings</x:v>
      </x:c>
      <x:c r="G1441" s="7" t="n">
        <x:v>46044</x:v>
      </x:c>
      <x:c r="H1441" s="2" t="n">
        <x:v>18</x:v>
      </x:c>
      <x:c r="I1441" s="8" t="n">
        <x:v>115.71781266925278</x:v>
      </x:c>
      <x:c r="J1441" s="8" t="n">
        <x:v>0</x:v>
      </x:c>
      <x:c r="K1441" s="8" t="n">
        <x:v>59</x:v>
      </x:c>
      <x:c r="L1441" s="8" t="n">
        <x:v>1001.1445967284526</x:v>
      </x:c>
      <x:c r="M1441" s="8" t="n">
        <x:v>0</x:v>
      </x:c>
      <x:c r="N1441" s="8" t="n">
        <x:v>0</x:v>
      </x:c>
      <x:c r="O1441" s="8" t="n">
        <x:v>390.02832676983417</x:v>
      </x:c>
      <x:c r="P1441" s="8" t="n">
        <x:v>0</x:v>
      </x:c>
      <x:c r="Q1441" s="8" t="n">
        <x:v>6.4839354424026885</x:v>
      </x:c>
      <x:c r="R1441" s="8" t="n">
        <x:v>0</x:v>
      </x:c>
      <x:c r="S1441" s="8" t="n">
        <x:f>L1441-I1441^2/H1441</x:f>
        <x:v>257.2216984531037</x:v>
      </x:c>
      <x:c r="T1441" s="8" t="n">
        <x:f>M1441-J1441^2/H1441</x:f>
        <x:v>0</x:v>
      </x:c>
      <x:c r="U1441" s="8" t="n">
        <x:f>N1441-I1441*J1441/H1441</x:f>
        <x:v>0</x:v>
      </x:c>
      <x:c r="V1441" s="8" t="n">
        <x:f>O1441-I1441*K1441/H1441</x:f>
        <x:v>10.731051909505595</x:v>
      </x:c>
      <x:c r="W1441" s="8" t="n">
        <x:f>P1441-J1441*K1441/H1441</x:f>
        <x:v>0</x:v>
      </x:c>
      <x:c r="X1441" s="8" t="n">
        <x:f>V1441/S1441</x:f>
        <x:v>0.0417190772553042</x:v>
      </x:c>
      <x:c r="Y1441" s="8" t="n">
        <x:f>0</x:f>
        <x:v>0</x:v>
      </x:c>
      <x:c r="Z1441" s="8" t="n">
        <x:f>K1441/H1441-X1441*I1441/H1441-Y1441*J1441/H1441</x:f>
        <x:v>3.0095755351909235</x:v>
      </x:c>
      <x:c r="AA1441" s="8" t="n">
        <x:f>Z1441+X1441*Q1441+Y1441*R1441</x:f>
        <x:v>3.280079338830926</x:v>
      </x:c>
    </x:row>
    <x:row r="1442" ht="26" customHeight="1">
      <x:c r="A1442" s="2"/>
      <x:c r="B1442" s="2" t="n">
        <x:v>1437</x:v>
      </x:c>
      <x:c r="C1442" s="2" t="str">
        <x:v>Beauty / organic_sales_growth</x:v>
      </x:c>
      <x:c r="D1442" s="2" t="str">
        <x:v>Broad rolling 8</x:v>
      </x:c>
      <x:c r="E1442" s="7" t="n">
        <x:v>46022</x:v>
      </x:c>
      <x:c r="F1442" s="2" t="str">
        <x:v>Pre-earnings</x:v>
      </x:c>
      <x:c r="G1442" s="7" t="n">
        <x:v>46044</x:v>
      </x:c>
      <x:c r="H1442" s="2" t="n">
        <x:v>8</x:v>
      </x:c>
      <x:c r="I1442" s="8" t="n">
        <x:v>44.49410131036695</x:v>
      </x:c>
      <x:c r="J1442" s="8" t="n">
        <x:v>0</x:v>
      </x:c>
      <x:c r="K1442" s="8" t="n">
        <x:v>16</x:v>
      </x:c>
      <x:c r="L1442" s="8" t="n">
        <x:v>321.2348413296404</x:v>
      </x:c>
      <x:c r="M1442" s="8" t="n">
        <x:v>0</x:v>
      </x:c>
      <x:c r="N1442" s="8" t="n">
        <x:v>0</x:v>
      </x:c>
      <x:c r="O1442" s="8" t="n">
        <x:v>76.70332577458426</x:v>
      </x:c>
      <x:c r="P1442" s="8" t="n">
        <x:v>0</x:v>
      </x:c>
      <x:c r="Q1442" s="8" t="n">
        <x:v>6.383120720520252</x:v>
      </x:c>
      <x:c r="R1442" s="8" t="n">
        <x:v>0</x:v>
      </x:c>
      <x:c r="S1442" s="8" t="n">
        <x:f>L1442-I1442^2/H1442</x:f>
        <x:v>73.76920990249064</x:v>
      </x:c>
      <x:c r="T1442" s="8" t="n">
        <x:f>M1442-J1442^2/H1442</x:f>
        <x:v>0</x:v>
      </x:c>
      <x:c r="U1442" s="8" t="n">
        <x:f>N1442-I1442*J1442/H1442</x:f>
        <x:v>0</x:v>
      </x:c>
      <x:c r="V1442" s="8" t="n">
        <x:f>O1442-I1442*K1442/H1442</x:f>
        <x:v>-12.284876846149643</x:v>
      </x:c>
      <x:c r="W1442" s="8" t="n">
        <x:f>P1442-J1442*K1442/H1442</x:f>
        <x:v>0</x:v>
      </x:c>
      <x:c r="X1442" s="8" t="n">
        <x:f>V1442/S1442</x:f>
        <x:v>-0.16653122437380033</x:v>
      </x:c>
      <x:c r="Y1442" s="8" t="n">
        <x:f>0</x:f>
        <x:v>0</x:v>
      </x:c>
      <x:c r="Z1442" s="8" t="n">
        <x:f>K1442/H1442-X1442*I1442/H1442-Y1442*J1442/H1442</x:f>
        <x:v>2.9262071460784154</x:v>
      </x:c>
      <x:c r="AA1442" s="8" t="n">
        <x:f>Z1442+X1442*Q1442+Y1442*R1442</x:f>
        <x:v>1.8632182371644033</x:v>
      </x:c>
    </x:row>
    <x:row r="1443" ht="26" customHeight="1">
      <x:c r="A1443" s="2"/>
      <x:c r="B1443" s="2" t="n">
        <x:v>1438</x:v>
      </x:c>
      <x:c r="C1443" s="2" t="str">
        <x:v>Beauty / organic_sales_growth</x:v>
      </x:c>
      <x:c r="D1443" s="2" t="str">
        <x:v>Own history</x:v>
      </x:c>
      <x:c r="E1443" s="7" t="n">
        <x:v>46022</x:v>
      </x:c>
      <x:c r="F1443" s="2" t="str">
        <x:v>Pre-earnings</x:v>
      </x:c>
      <x:c r="G1443" s="7" t="n">
        <x:v>46044</x:v>
      </x:c>
      <x:c r="H1443" s="2" t="n">
        <x:v>18</x:v>
      </x:c>
      <x:c r="I1443" s="8" t="n">
        <x:v>60</x:v>
      </x:c>
      <x:c r="J1443" s="8" t="n">
        <x:v>0</x:v>
      </x:c>
      <x:c r="K1443" s="8" t="n">
        <x:v>59</x:v>
      </x:c>
      <x:c r="L1443" s="8" t="n">
        <x:v>354</x:v>
      </x:c>
      <x:c r="M1443" s="8" t="n">
        <x:v>0</x:v>
      </x:c>
      <x:c r="N1443" s="8" t="n">
        <x:v>0</x:v>
      </x:c>
      <x:c r="O1443" s="8" t="n">
        <x:v>248</x:v>
      </x:c>
      <x:c r="P1443" s="8" t="n">
        <x:v>0</x:v>
      </x:c>
      <x:c r="Q1443" s="8" t="n">
        <x:v>6</x:v>
      </x:c>
      <x:c r="R1443" s="8" t="n">
        <x:v>0</x:v>
      </x:c>
      <x:c r="S1443" s="8" t="n">
        <x:f>L1443-I1443^2/H1443</x:f>
        <x:v>154</x:v>
      </x:c>
      <x:c r="T1443" s="8" t="n">
        <x:f>M1443-J1443^2/H1443</x:f>
        <x:v>0</x:v>
      </x:c>
      <x:c r="U1443" s="8" t="n">
        <x:f>N1443-I1443*J1443/H1443</x:f>
        <x:v>0</x:v>
      </x:c>
      <x:c r="V1443" s="8" t="n">
        <x:f>O1443-I1443*K1443/H1443</x:f>
        <x:v>51.33333333333334</x:v>
      </x:c>
      <x:c r="W1443" s="8" t="n">
        <x:f>P1443-J1443*K1443/H1443</x:f>
        <x:v>0</x:v>
      </x:c>
      <x:c r="X1443" s="8" t="n">
        <x:f>V1443/S1443</x:f>
        <x:v>0.33333333333333337</x:v>
      </x:c>
      <x:c r="Y1443" s="8" t="n">
        <x:f>0</x:f>
        <x:v>0</x:v>
      </x:c>
      <x:c r="Z1443" s="8" t="n">
        <x:f>K1443/H1443-X1443*I1443/H1443-Y1443*J1443/H1443</x:f>
        <x:v>2.166666666666666</x:v>
      </x:c>
      <x:c r="AA1443" s="8" t="n">
        <x:f>Z1443+X1443*Q1443+Y1443*R1443</x:f>
        <x:v>4.166666666666666</x:v>
      </x:c>
    </x:row>
    <x:row r="1444" ht="26" customHeight="1">
      <x:c r="A1444" s="2"/>
      <x:c r="B1444" s="2" t="n">
        <x:v>1439</x:v>
      </x:c>
      <x:c r="C1444" s="2" t="str">
        <x:v>Beauty / organic_sales_growth</x:v>
      </x:c>
      <x:c r="D1444" s="2" t="str">
        <x:v>Broad market</x:v>
      </x:c>
      <x:c r="E1444" s="7" t="n">
        <x:v>46112</x:v>
      </x:c>
      <x:c r="F1444" s="2" t="str">
        <x:v>Origin</x:v>
      </x:c>
      <x:c r="G1444" s="7" t="n">
        <x:v>46023</x:v>
      </x:c>
      <x:c r="H1444" s="2" t="n">
        <x:v>19</x:v>
      </x:c>
      <x:c r="I1444" s="8" t="n">
        <x:v>122.19111263731455</x:v>
      </x:c>
      <x:c r="J1444" s="8" t="n">
        <x:v>0</x:v>
      </x:c>
      <x:c r="K1444" s="8" t="n">
        <x:v>66</x:v>
      </x:c>
      <x:c r="L1444" s="8" t="n">
        <x:v>1043.065874378336</x:v>
      </x:c>
      <x:c r="M1444" s="8" t="n">
        <x:v>0</x:v>
      </x:c>
      <x:c r="N1444" s="8" t="n">
        <x:v>0</x:v>
      </x:c>
      <x:c r="O1444" s="8" t="n">
        <x:v>463.3403057300962</x:v>
      </x:c>
      <x:c r="P1444" s="8" t="n">
        <x:v>0</x:v>
      </x:c>
      <x:c r="Q1444" s="8" t="n">
        <x:v>6.018787713325424</x:v>
      </x:c>
      <x:c r="R1444" s="8" t="n">
        <x:v>0</x:v>
      </x:c>
      <x:c r="S1444" s="8" t="n">
        <x:f>L1444-I1444^2/H1444</x:f>
        <x:v>257.2412424022891</x:v>
      </x:c>
      <x:c r="T1444" s="8" t="n">
        <x:f>M1444-J1444^2/H1444</x:f>
        <x:v>0</x:v>
      </x:c>
      <x:c r="U1444" s="8" t="n">
        <x:f>N1444-I1444*J1444/H1444</x:f>
        <x:v>0</x:v>
      </x:c>
      <x:c r="V1444" s="8" t="n">
        <x:f>O1444-I1444*K1444/H1444</x:f>
        <x:v>38.88696709521406</x:v>
      </x:c>
      <x:c r="W1444" s="8" t="n">
        <x:f>P1444-J1444*K1444/H1444</x:f>
        <x:v>0</x:v>
      </x:c>
      <x:c r="X1444" s="8" t="n">
        <x:f>V1444/S1444</x:f>
        <x:v>0.15116925548975663</x:v>
      </x:c>
      <x:c r="Y1444" s="8" t="n">
        <x:f>0</x:f>
        <x:v>0</x:v>
      </x:c>
      <x:c r="Z1444" s="8" t="n">
        <x:f>K1444/H1444-X1444*I1444/H1444-Y1444*J1444/H1444</x:f>
        <x:v>2.501497919744851</x:v>
      </x:c>
      <x:c r="AA1444" s="8" t="n">
        <x:f>Z1444+X1444*Q1444+Y1444*R1444</x:f>
        <x:v>3.41135357731915</x:v>
      </x:c>
    </x:row>
    <x:row r="1445" ht="26" customHeight="1">
      <x:c r="A1445" s="2"/>
      <x:c r="B1445" s="2" t="n">
        <x:v>1440</x:v>
      </x:c>
      <x:c r="C1445" s="2" t="str">
        <x:v>Beauty / organic_sales_growth</x:v>
      </x:c>
      <x:c r="D1445" s="2" t="str">
        <x:v>Broad rolling 8</x:v>
      </x:c>
      <x:c r="E1445" s="7" t="n">
        <x:v>46112</x:v>
      </x:c>
      <x:c r="F1445" s="2" t="str">
        <x:v>Origin</x:v>
      </x:c>
      <x:c r="G1445" s="7" t="n">
        <x:v>46023</x:v>
      </x:c>
      <x:c r="H1445" s="2" t="n">
        <x:v>8</x:v>
      </x:c>
      <x:c r="I1445" s="8" t="n">
        <x:v>44.48346583602603</x:v>
      </x:c>
      <x:c r="J1445" s="8" t="n">
        <x:v>0</x:v>
      </x:c>
      <x:c r="K1445" s="8" t="n">
        <x:v>16</x:v>
      </x:c>
      <x:c r="L1445" s="8" t="n">
        <x:v>321.1147001582781</x:v>
      </x:c>
      <x:c r="M1445" s="8" t="n">
        <x:v>0</x:v>
      </x:c>
      <x:c r="N1445" s="8" t="n">
        <x:v>0</x:v>
      </x:c>
      <x:c r="O1445" s="8" t="n">
        <x:v>76.65035715127901</x:v>
      </x:c>
      <x:c r="P1445" s="8" t="n">
        <x:v>0</x:v>
      </x:c>
      <x:c r="Q1445" s="8" t="n">
        <x:v>6.018787713325424</x:v>
      </x:c>
      <x:c r="R1445" s="8" t="n">
        <x:v>0</x:v>
      </x:c>
      <x:c r="S1445" s="8" t="n">
        <x:f>L1445-I1445^2/H1445</x:f>
        <x:v>73.76735856016623</x:v>
      </x:c>
      <x:c r="T1445" s="8" t="n">
        <x:f>M1445-J1445^2/H1445</x:f>
        <x:v>0</x:v>
      </x:c>
      <x:c r="U1445" s="8" t="n">
        <x:f>N1445-I1445*J1445/H1445</x:f>
        <x:v>0</x:v>
      </x:c>
      <x:c r="V1445" s="8" t="n">
        <x:f>O1445-I1445*K1445/H1445</x:f>
        <x:v>-12.316574520773045</x:v>
      </x:c>
      <x:c r="W1445" s="8" t="n">
        <x:f>P1445-J1445*K1445/H1445</x:f>
        <x:v>0</x:v>
      </x:c>
      <x:c r="X1445" s="8" t="n">
        <x:f>V1445/S1445</x:f>
        <x:v>-0.16696510165437717</x:v>
      </x:c>
      <x:c r="Y1445" s="8" t="n">
        <x:f>0</x:f>
        <x:v>0</x:v>
      </x:c>
      <x:c r="Z1445" s="8" t="n">
        <x:f>K1445/H1445-X1445*I1445/H1445-Y1445*J1445/H1445</x:f>
        <x:v>2.9283982994063873</x:v>
      </x:c>
      <x:c r="AA1445" s="8" t="n">
        <x:f>Z1445+X1445*Q1445+Y1445*R1445</x:f>
        <x:v>1.9234707970148917</x:v>
      </x:c>
    </x:row>
    <x:row r="1446" ht="26" customHeight="1">
      <x:c r="A1446" s="2"/>
      <x:c r="B1446" s="2" t="n">
        <x:v>1441</x:v>
      </x:c>
      <x:c r="C1446" s="2" t="str">
        <x:v>Beauty / organic_sales_growth</x:v>
      </x:c>
      <x:c r="D1446" s="2" t="str">
        <x:v>Own history</x:v>
      </x:c>
      <x:c r="E1446" s="7" t="n">
        <x:v>46112</x:v>
      </x:c>
      <x:c r="F1446" s="2" t="str">
        <x:v>Origin</x:v>
      </x:c>
      <x:c r="G1446" s="7" t="n">
        <x:v>46023</x:v>
      </x:c>
      <x:c r="H1446" s="2" t="n">
        <x:v>17</x:v>
      </x:c>
      <x:c r="I1446" s="8" t="n">
        <x:v>59</x:v>
      </x:c>
      <x:c r="J1446" s="8" t="n">
        <x:v>0</x:v>
      </x:c>
      <x:c r="K1446" s="8" t="n">
        <x:v>53</x:v>
      </x:c>
      <x:c r="L1446" s="8" t="n">
        <x:v>353</x:v>
      </x:c>
      <x:c r="M1446" s="8" t="n">
        <x:v>0</x:v>
      </x:c>
      <x:c r="N1446" s="8" t="n">
        <x:v>0</x:v>
      </x:c>
      <x:c r="O1446" s="8" t="n">
        <x:v>179</x:v>
      </x:c>
      <x:c r="P1446" s="8" t="n">
        <x:v>0</x:v>
      </x:c>
      <x:c r="Q1446" s="8" t="n">
        <x:v>6</x:v>
      </x:c>
      <x:c r="R1446" s="8" t="n">
        <x:v>0</x:v>
      </x:c>
      <x:c r="S1446" s="8" t="n">
        <x:f>L1446-I1446^2/H1446</x:f>
        <x:v>148.23529411764707</x:v>
      </x:c>
      <x:c r="T1446" s="8" t="n">
        <x:f>M1446-J1446^2/H1446</x:f>
        <x:v>0</x:v>
      </x:c>
      <x:c r="U1446" s="8" t="n">
        <x:f>N1446-I1446*J1446/H1446</x:f>
        <x:v>0</x:v>
      </x:c>
      <x:c r="V1446" s="8" t="n">
        <x:f>O1446-I1446*K1446/H1446</x:f>
        <x:v>-4.941176470588232</x:v>
      </x:c>
      <x:c r="W1446" s="8" t="n">
        <x:f>P1446-J1446*K1446/H1446</x:f>
        <x:v>0</x:v>
      </x:c>
      <x:c r="X1446" s="8" t="n">
        <x:f>V1446/S1446</x:f>
        <x:v>-0.033333333333333305</x:v>
      </x:c>
      <x:c r="Y1446" s="8" t="n">
        <x:f>0</x:f>
        <x:v>0</x:v>
      </x:c>
      <x:c r="Z1446" s="8" t="n">
        <x:f>K1446/H1446-X1446*I1446/H1446-Y1446*J1446/H1446</x:f>
        <x:v>3.2333333333333334</x:v>
      </x:c>
      <x:c r="AA1446" s="8" t="n">
        <x:f>Z1446+X1446*Q1446+Y1446*R1446</x:f>
        <x:v>3.0333333333333337</x:v>
      </x:c>
    </x:row>
    <x:row r="1447" ht="26" customHeight="1">
      <x:c r="A1447" s="2"/>
      <x:c r="B1447" s="2" t="n">
        <x:v>1442</x:v>
      </x:c>
      <x:c r="C1447" s="2" t="str">
        <x:v>Beauty / organic_sales_growth</x:v>
      </x:c>
      <x:c r="D1447" s="2" t="str">
        <x:v>Broad market</x:v>
      </x:c>
      <x:c r="E1447" s="7" t="n">
        <x:v>46112</x:v>
      </x:c>
      <x:c r="F1447" s="2" t="str">
        <x:v>Prior report</x:v>
      </x:c>
      <x:c r="G1447" s="7" t="n">
        <x:v>46045</x:v>
      </x:c>
      <x:c r="H1447" s="2" t="n">
        <x:v>19</x:v>
      </x:c>
      <x:c r="I1447" s="8" t="n">
        <x:v>122.20174811165548</x:v>
      </x:c>
      <x:c r="J1447" s="8" t="n">
        <x:v>0</x:v>
      </x:c>
      <x:c r="K1447" s="8" t="n">
        <x:v>66</x:v>
      </x:c>
      <x:c r="L1447" s="8" t="n">
        <x:v>1043.1860155496984</x:v>
      </x:c>
      <x:c r="M1447" s="8" t="n">
        <x:v>0</x:v>
      </x:c>
      <x:c r="N1447" s="8" t="n">
        <x:v>0</x:v>
      </x:c>
      <x:c r="O1447" s="8" t="n">
        <x:v>463.39327435340147</x:v>
      </x:c>
      <x:c r="P1447" s="8" t="n">
        <x:v>0</x:v>
      </x:c>
      <x:c r="Q1447" s="8" t="n">
        <x:v>6.27123843840478</x:v>
      </x:c>
      <x:c r="R1447" s="8" t="n">
        <x:v>0</x:v>
      </x:c>
      <x:c r="S1447" s="8" t="n">
        <x:f>L1447-I1447^2/H1447</x:f>
        <x:v>257.2245817841988</x:v>
      </x:c>
      <x:c r="T1447" s="8" t="n">
        <x:f>M1447-J1447^2/H1447</x:f>
        <x:v>0</x:v>
      </x:c>
      <x:c r="U1447" s="8" t="n">
        <x:f>N1447-I1447*J1447/H1447</x:f>
        <x:v>0</x:v>
      </x:c>
      <x:c r="V1447" s="8" t="n">
        <x:f>O1447-I1447*K1447/H1447</x:f>
        <x:v>38.90299143922982</x:v>
      </x:c>
      <x:c r="W1447" s="8" t="n">
        <x:f>P1447-J1447*K1447/H1447</x:f>
        <x:v>0</x:v>
      </x:c>
      <x:c r="X1447" s="8" t="n">
        <x:f>V1447/S1447</x:f>
        <x:v>0.15124134392360636</x:v>
      </x:c>
      <x:c r="Y1447" s="8" t="n">
        <x:f>0</x:f>
        <x:v>0</x:v>
      </x:c>
      <x:c r="Z1447" s="8" t="n">
        <x:f>K1447/H1447-X1447*I1447/H1447-Y1447*J1447/H1447</x:f>
        <x:v>2.500949651883116</x:v>
      </x:c>
      <x:c r="AA1447" s="8" t="n">
        <x:f>Z1447+X1447*Q1447+Y1447*R1447</x:f>
        <x:v>3.449420181372833</x:v>
      </x:c>
    </x:row>
    <x:row r="1448" ht="26" customHeight="1">
      <x:c r="A1448" s="2"/>
      <x:c r="B1448" s="2" t="n">
        <x:v>1443</x:v>
      </x:c>
      <x:c r="C1448" s="2" t="str">
        <x:v>Beauty / organic_sales_growth</x:v>
      </x:c>
      <x:c r="D1448" s="2" t="str">
        <x:v>Broad rolling 8</x:v>
      </x:c>
      <x:c r="E1448" s="7" t="n">
        <x:v>46112</x:v>
      </x:c>
      <x:c r="F1448" s="2" t="str">
        <x:v>Prior report</x:v>
      </x:c>
      <x:c r="G1448" s="7" t="n">
        <x:v>46045</x:v>
      </x:c>
      <x:c r="H1448" s="2" t="n">
        <x:v>8</x:v>
      </x:c>
      <x:c r="I1448" s="8" t="n">
        <x:v>44.49410131036695</x:v>
      </x:c>
      <x:c r="J1448" s="8" t="n">
        <x:v>0</x:v>
      </x:c>
      <x:c r="K1448" s="8" t="n">
        <x:v>16</x:v>
      </x:c>
      <x:c r="L1448" s="8" t="n">
        <x:v>321.2348413296404</x:v>
      </x:c>
      <x:c r="M1448" s="8" t="n">
        <x:v>0</x:v>
      </x:c>
      <x:c r="N1448" s="8" t="n">
        <x:v>0</x:v>
      </x:c>
      <x:c r="O1448" s="8" t="n">
        <x:v>76.70332577458426</x:v>
      </x:c>
      <x:c r="P1448" s="8" t="n">
        <x:v>0</x:v>
      </x:c>
      <x:c r="Q1448" s="8" t="n">
        <x:v>6.27123843840478</x:v>
      </x:c>
      <x:c r="R1448" s="8" t="n">
        <x:v>0</x:v>
      </x:c>
      <x:c r="S1448" s="8" t="n">
        <x:f>L1448-I1448^2/H1448</x:f>
        <x:v>73.76920990249064</x:v>
      </x:c>
      <x:c r="T1448" s="8" t="n">
        <x:f>M1448-J1448^2/H1448</x:f>
        <x:v>0</x:v>
      </x:c>
      <x:c r="U1448" s="8" t="n">
        <x:f>N1448-I1448*J1448/H1448</x:f>
        <x:v>0</x:v>
      </x:c>
      <x:c r="V1448" s="8" t="n">
        <x:f>O1448-I1448*K1448/H1448</x:f>
        <x:v>-12.284876846149643</x:v>
      </x:c>
      <x:c r="W1448" s="8" t="n">
        <x:f>P1448-J1448*K1448/H1448</x:f>
        <x:v>0</x:v>
      </x:c>
      <x:c r="X1448" s="8" t="n">
        <x:f>V1448/S1448</x:f>
        <x:v>-0.16653122437380033</x:v>
      </x:c>
      <x:c r="Y1448" s="8" t="n">
        <x:f>0</x:f>
        <x:v>0</x:v>
      </x:c>
      <x:c r="Z1448" s="8" t="n">
        <x:f>K1448/H1448-X1448*I1448/H1448-Y1448*J1448/H1448</x:f>
        <x:v>2.9262071460784154</x:v>
      </x:c>
      <x:c r="AA1448" s="8" t="n">
        <x:f>Z1448+X1448*Q1448+Y1448*R1448</x:f>
        <x:v>1.8818501305908277</x:v>
      </x:c>
    </x:row>
    <x:row r="1449" ht="26" customHeight="1">
      <x:c r="A1449" s="2"/>
      <x:c r="B1449" s="2" t="n">
        <x:v>1444</x:v>
      </x:c>
      <x:c r="C1449" s="2" t="str">
        <x:v>Beauty / organic_sales_growth</x:v>
      </x:c>
      <x:c r="D1449" s="2" t="str">
        <x:v>Own history</x:v>
      </x:c>
      <x:c r="E1449" s="7" t="n">
        <x:v>46112</x:v>
      </x:c>
      <x:c r="F1449" s="2" t="str">
        <x:v>Prior report</x:v>
      </x:c>
      <x:c r="G1449" s="7" t="n">
        <x:v>46045</x:v>
      </x:c>
      <x:c r="H1449" s="2" t="n">
        <x:v>19</x:v>
      </x:c>
      <x:c r="I1449" s="8" t="n">
        <x:v>66</x:v>
      </x:c>
      <x:c r="J1449" s="8" t="n">
        <x:v>0</x:v>
      </x:c>
      <x:c r="K1449" s="8" t="n">
        <x:v>63</x:v>
      </x:c>
      <x:c r="L1449" s="8" t="n">
        <x:v>390</x:v>
      </x:c>
      <x:c r="M1449" s="8" t="n">
        <x:v>0</x:v>
      </x:c>
      <x:c r="N1449" s="8" t="n">
        <x:v>0</x:v>
      </x:c>
      <x:c r="O1449" s="8" t="n">
        <x:v>272</x:v>
      </x:c>
      <x:c r="P1449" s="8" t="n">
        <x:v>0</x:v>
      </x:c>
      <x:c r="Q1449" s="8" t="n">
        <x:v>4</x:v>
      </x:c>
      <x:c r="R1449" s="8" t="n">
        <x:v>0</x:v>
      </x:c>
      <x:c r="S1449" s="8" t="n">
        <x:f>L1449-I1449^2/H1449</x:f>
        <x:v>160.73684210526315</x:v>
      </x:c>
      <x:c r="T1449" s="8" t="n">
        <x:f>M1449-J1449^2/H1449</x:f>
        <x:v>0</x:v>
      </x:c>
      <x:c r="U1449" s="8" t="n">
        <x:f>N1449-I1449*J1449/H1449</x:f>
        <x:v>0</x:v>
      </x:c>
      <x:c r="V1449" s="8" t="n">
        <x:f>O1449-I1449*K1449/H1449</x:f>
        <x:v>53.15789473684211</x:v>
      </x:c>
      <x:c r="W1449" s="8" t="n">
        <x:f>P1449-J1449*K1449/H1449</x:f>
        <x:v>0</x:v>
      </x:c>
      <x:c r="X1449" s="8" t="n">
        <x:f>V1449/S1449</x:f>
        <x:v>0.3307138179436805</x:v>
      </x:c>
      <x:c r="Y1449" s="8" t="n">
        <x:f>0</x:f>
        <x:v>0</x:v>
      </x:c>
      <x:c r="Z1449" s="8" t="n">
        <x:f>K1449/H1449-X1449*I1449/H1449-Y1449*J1449/H1449</x:f>
        <x:v>2.1669941060903732</x:v>
      </x:c>
      <x:c r="AA1449" s="8" t="n">
        <x:f>Z1449+X1449*Q1449+Y1449*R1449</x:f>
        <x:v>3.489849377865095</x:v>
      </x:c>
    </x:row>
    <x:row r="1450" ht="26" customHeight="1">
      <x:c r="A1450" s="2"/>
      <x:c r="B1450" s="2" t="n">
        <x:v>1445</x:v>
      </x:c>
      <x:c r="C1450" s="2" t="str">
        <x:v>Beauty / organic_sales_growth</x:v>
      </x:c>
      <x:c r="D1450" s="2" t="str">
        <x:v>Broad market</x:v>
      </x:c>
      <x:c r="E1450" s="7" t="n">
        <x:v>46112</x:v>
      </x:c>
      <x:c r="F1450" s="2" t="str">
        <x:v>Pre-earnings</x:v>
      </x:c>
      <x:c r="G1450" s="7" t="n">
        <x:v>46135</x:v>
      </x:c>
      <x:c r="H1450" s="2" t="n">
        <x:v>20</x:v>
      </x:c>
      <x:c r="I1450" s="8" t="n">
        <x:v>128.77757751985527</x:v>
      </x:c>
      <x:c r="J1450" s="8" t="n">
        <x:v>0</x:v>
      </x:c>
      <x:c r="K1450" s="8" t="n">
        <x:v>70</x:v>
      </x:c>
      <x:c r="L1450" s="8" t="n">
        <x:v>1089.4118897225314</x:v>
      </x:c>
      <x:c r="M1450" s="8" t="n">
        <x:v>0</x:v>
      </x:c>
      <x:c r="N1450" s="8" t="n">
        <x:v>0</x:v>
      </x:c>
      <x:c r="O1450" s="8" t="n">
        <x:v>488.26149233973933</x:v>
      </x:c>
      <x:c r="P1450" s="8" t="n">
        <x:v>0</x:v>
      </x:c>
      <x:c r="Q1450" s="8" t="n">
        <x:v>2.2175244833685603</x:v>
      </x:c>
      <x:c r="R1450" s="8" t="n">
        <x:v>0</x:v>
      </x:c>
      <x:c r="S1450" s="8" t="n">
        <x:f>L1450-I1450^2/H1450</x:f>
        <x:v>260.2286661284147</x:v>
      </x:c>
      <x:c r="T1450" s="8" t="n">
        <x:f>M1450-J1450^2/H1450</x:f>
        <x:v>0</x:v>
      </x:c>
      <x:c r="U1450" s="8" t="n">
        <x:f>N1450-I1450*J1450/H1450</x:f>
        <x:v>0</x:v>
      </x:c>
      <x:c r="V1450" s="8" t="n">
        <x:f>O1450-I1450*K1450/H1450</x:f>
        <x:v>37.5399710202459</x:v>
      </x:c>
      <x:c r="W1450" s="8" t="n">
        <x:f>P1450-J1450*K1450/H1450</x:f>
        <x:v>0</x:v>
      </x:c>
      <x:c r="X1450" s="8" t="n">
        <x:f>V1450/S1450</x:f>
        <x:v>0.14425763148523038</x:v>
      </x:c>
      <x:c r="Y1450" s="8" t="n">
        <x:f>0</x:f>
        <x:v>0</x:v>
      </x:c>
      <x:c r="Z1450" s="8" t="n">
        <x:f>K1450/H1450-X1450*I1450/H1450-Y1450*J1450/H1450</x:f>
        <x:v>2.5711425839290016</x:v>
      </x:c>
      <x:c r="AA1450" s="8" t="n">
        <x:f>Z1450+X1450*Q1450+Y1450*R1450</x:f>
        <x:v>2.8910374136602592</x:v>
      </x:c>
    </x:row>
    <x:row r="1451" ht="26" customHeight="1">
      <x:c r="A1451" s="2"/>
      <x:c r="B1451" s="2" t="n">
        <x:v>1446</x:v>
      </x:c>
      <x:c r="C1451" s="2" t="str">
        <x:v>Beauty / organic_sales_growth</x:v>
      </x:c>
      <x:c r="D1451" s="2" t="str">
        <x:v>Broad lag 1</x:v>
      </x:c>
      <x:c r="E1451" s="7" t="n">
        <x:v>46112</x:v>
      </x:c>
      <x:c r="F1451" s="2" t="str">
        <x:v>Pre-earnings</x:v>
      </x:c>
      <x:c r="G1451" s="7" t="n">
        <x:v>46135</x:v>
      </x:c>
      <x:c r="H1451" s="2" t="n">
        <x:v>19</x:v>
      </x:c>
      <x:c r="I1451" s="8" t="n">
        <x:v>122.9192979348861</x:v>
      </x:c>
      <x:c r="J1451" s="8" t="n">
        <x:v>0</x:v>
      </x:c>
      <x:c r="K1451" s="8" t="n">
        <x:v>63</x:v>
      </x:c>
      <x:c r="L1451" s="8" t="n">
        <x:v>1055.092450026865</x:v>
      </x:c>
      <x:c r="M1451" s="8" t="n">
        <x:v>0</x:v>
      </x:c>
      <x:c r="N1451" s="8" t="n">
        <x:v>0</x:v>
      </x:c>
      <x:c r="O1451" s="8" t="n">
        <x:v>416.5849240432409</x:v>
      </x:c>
      <x:c r="P1451" s="8" t="n">
        <x:v>0</x:v>
      </x:c>
      <x:c r="Q1451" s="8" t="n">
        <x:v>5.858279584969162</x:v>
      </x:c>
      <x:c r="R1451" s="8" t="n">
        <x:v>0</x:v>
      </x:c>
      <x:c r="S1451" s="8" t="n">
        <x:f>L1451-I1451^2/H1451</x:f>
        <x:v>259.8738287213231</x:v>
      </x:c>
      <x:c r="T1451" s="8" t="n">
        <x:f>M1451-J1451^2/H1451</x:f>
        <x:v>0</x:v>
      </x:c>
      <x:c r="U1451" s="8" t="n">
        <x:f>N1451-I1451*J1451/H1451</x:f>
        <x:v>0</x:v>
      </x:c>
      <x:c r="V1451" s="8" t="n">
        <x:f>O1451-I1451*K1451/H1451</x:f>
        <x:v>9.010409838092244</x:v>
      </x:c>
      <x:c r="W1451" s="8" t="n">
        <x:f>P1451-J1451*K1451/H1451</x:f>
        <x:v>0</x:v>
      </x:c>
      <x:c r="X1451" s="8" t="n">
        <x:f>V1451/S1451</x:f>
        <x:v>0.03467224799983456</x:v>
      </x:c>
      <x:c r="Y1451" s="8" t="n">
        <x:f>0</x:f>
        <x:v>0</x:v>
      </x:c>
      <x:c r="Z1451" s="8" t="n">
        <x:f>K1451/H1451-X1451*I1451/H1451-Y1451*J1451/H1451</x:f>
        <x:v>3.091479558844004</x:v>
      </x:c>
      <x:c r="AA1451" s="8" t="n">
        <x:f>Z1451+X1451*Q1451+Y1451*R1451</x:f>
        <x:v>3.294599281466423</x:v>
      </x:c>
    </x:row>
    <x:row r="1452" ht="26" customHeight="1">
      <x:c r="A1452" s="2"/>
      <x:c r="B1452" s="2" t="n">
        <x:v>1447</x:v>
      </x:c>
      <x:c r="C1452" s="2" t="str">
        <x:v>Beauty / organic_sales_growth</x:v>
      </x:c>
      <x:c r="D1452" s="2" t="str">
        <x:v>Broad rolling 8</x:v>
      </x:c>
      <x:c r="E1452" s="7" t="n">
        <x:v>46112</x:v>
      </x:c>
      <x:c r="F1452" s="2" t="str">
        <x:v>Pre-earnings</x:v>
      </x:c>
      <x:c r="G1452" s="7" t="n">
        <x:v>46135</x:v>
      </x:c>
      <x:c r="H1452" s="2" t="n">
        <x:v>8</x:v>
      </x:c>
      <x:c r="I1452" s="8" t="n">
        <x:v>41.14512914506201</x:v>
      </x:c>
      <x:c r="J1452" s="8" t="n">
        <x:v>0</x:v>
      </x:c>
      <x:c r="K1452" s="8" t="n">
        <x:v>19</x:v>
      </x:c>
      <x:c r="L1452" s="8" t="n">
        <x:v>268.9590292290315</x:v>
      </x:c>
      <x:c r="M1452" s="8" t="n">
        <x:v>0</x:v>
      </x:c>
      <x:c r="N1452" s="8" t="n">
        <x:v>0</x:v>
      </x:c>
      <x:c r="O1452" s="8" t="n">
        <x:v>91.64674218741742</x:v>
      </x:c>
      <x:c r="P1452" s="8" t="n">
        <x:v>0</x:v>
      </x:c>
      <x:c r="Q1452" s="8" t="n">
        <x:v>2.2175244833685603</x:v>
      </x:c>
      <x:c r="R1452" s="8" t="n">
        <x:v>0</x:v>
      </x:c>
      <x:c r="S1452" s="8" t="n">
        <x:f>L1452-I1452^2/H1452</x:f>
        <x:v>57.34382268355262</x:v>
      </x:c>
      <x:c r="T1452" s="8" t="n">
        <x:f>M1452-J1452^2/H1452</x:f>
        <x:v>0</x:v>
      </x:c>
      <x:c r="U1452" s="8" t="n">
        <x:f>N1452-I1452*J1452/H1452</x:f>
        <x:v>0</x:v>
      </x:c>
      <x:c r="V1452" s="8" t="n">
        <x:f>O1452-I1452*K1452/H1452</x:f>
        <x:v>-6.072939532104854</x:v>
      </x:c>
      <x:c r="W1452" s="8" t="n">
        <x:f>P1452-J1452*K1452/H1452</x:f>
        <x:v>0</x:v>
      </x:c>
      <x:c r="X1452" s="8" t="n">
        <x:f>V1452/S1452</x:f>
        <x:v>-0.10590398839676061</x:v>
      </x:c>
      <x:c r="Y1452" s="8" t="n">
        <x:f>0</x:f>
        <x:v>0</x:v>
      </x:c>
      <x:c r="Z1452" s="8" t="n">
        <x:f>K1452/H1452-X1452*I1452/H1452-Y1452*J1452/H1452</x:f>
        <x:v>2.919679159945233</x:v>
      </x:c>
      <x:c r="AA1452" s="8" t="n">
        <x:f>Z1452+X1452*Q1452+Y1452*R1452</x:f>
        <x:v>2.6848344727890363</x:v>
      </x:c>
    </x:row>
    <x:row r="1453" ht="26" customHeight="1">
      <x:c r="A1453" s="2"/>
      <x:c r="B1453" s="2" t="n">
        <x:v>1448</x:v>
      </x:c>
      <x:c r="C1453" s="2" t="str">
        <x:v>Beauty / organic_sales_growth</x:v>
      </x:c>
      <x:c r="D1453" s="2" t="str">
        <x:v>Own history</x:v>
      </x:c>
      <x:c r="E1453" s="7" t="n">
        <x:v>46112</x:v>
      </x:c>
      <x:c r="F1453" s="2" t="str">
        <x:v>Pre-earnings</x:v>
      </x:c>
      <x:c r="G1453" s="7" t="n">
        <x:v>46135</x:v>
      </x:c>
      <x:c r="H1453" s="2" t="n">
        <x:v>19</x:v>
      </x:c>
      <x:c r="I1453" s="8" t="n">
        <x:v>66</x:v>
      </x:c>
      <x:c r="J1453" s="8" t="n">
        <x:v>0</x:v>
      </x:c>
      <x:c r="K1453" s="8" t="n">
        <x:v>63</x:v>
      </x:c>
      <x:c r="L1453" s="8" t="n">
        <x:v>390</x:v>
      </x:c>
      <x:c r="M1453" s="8" t="n">
        <x:v>0</x:v>
      </x:c>
      <x:c r="N1453" s="8" t="n">
        <x:v>0</x:v>
      </x:c>
      <x:c r="O1453" s="8" t="n">
        <x:v>272</x:v>
      </x:c>
      <x:c r="P1453" s="8" t="n">
        <x:v>0</x:v>
      </x:c>
      <x:c r="Q1453" s="8" t="n">
        <x:v>4</x:v>
      </x:c>
      <x:c r="R1453" s="8" t="n">
        <x:v>0</x:v>
      </x:c>
      <x:c r="S1453" s="8" t="n">
        <x:f>L1453-I1453^2/H1453</x:f>
        <x:v>160.73684210526315</x:v>
      </x:c>
      <x:c r="T1453" s="8" t="n">
        <x:f>M1453-J1453^2/H1453</x:f>
        <x:v>0</x:v>
      </x:c>
      <x:c r="U1453" s="8" t="n">
        <x:f>N1453-I1453*J1453/H1453</x:f>
        <x:v>0</x:v>
      </x:c>
      <x:c r="V1453" s="8" t="n">
        <x:f>O1453-I1453*K1453/H1453</x:f>
        <x:v>53.15789473684211</x:v>
      </x:c>
      <x:c r="W1453" s="8" t="n">
        <x:f>P1453-J1453*K1453/H1453</x:f>
        <x:v>0</x:v>
      </x:c>
      <x:c r="X1453" s="8" t="n">
        <x:f>V1453/S1453</x:f>
        <x:v>0.3307138179436805</x:v>
      </x:c>
      <x:c r="Y1453" s="8" t="n">
        <x:f>0</x:f>
        <x:v>0</x:v>
      </x:c>
      <x:c r="Z1453" s="8" t="n">
        <x:f>K1453/H1453-X1453*I1453/H1453-Y1453*J1453/H1453</x:f>
        <x:v>2.1669941060903732</x:v>
      </x:c>
      <x:c r="AA1453" s="8" t="n">
        <x:f>Z1453+X1453*Q1453+Y1453*R1453</x:f>
        <x:v>3.489849377865095</x:v>
      </x:c>
    </x:row>
    <x:row r="1454" ht="26" customHeight="1">
      <x:c r="A1454" s="2"/>
      <x:c r="B1454" s="2" t="n">
        <x:v>1449</x:v>
      </x:c>
      <x:c r="C1454" s="2" t="str">
        <x:v>Health Care / organic_sales_growth</x:v>
      </x:c>
      <x:c r="D1454" s="2" t="str">
        <x:v>Broad market</x:v>
      </x:c>
      <x:c r="E1454" s="7" t="n">
        <x:v>45107</x:v>
      </x:c>
      <x:c r="F1454" s="2" t="str">
        <x:v>Origin</x:v>
      </x:c>
      <x:c r="G1454" s="7" t="n">
        <x:v>45017</x:v>
      </x:c>
      <x:c r="H1454" s="2" t="n">
        <x:v>8</x:v>
      </x:c>
      <x:c r="I1454" s="8" t="n">
        <x:v>56.01105418190566</x:v>
      </x:c>
      <x:c r="J1454" s="8" t="n">
        <x:v>0</x:v>
      </x:c>
      <x:c r="K1454" s="8" t="n">
        <x:v>73</x:v>
      </x:c>
      <x:c r="L1454" s="8" t="n">
        <x:v>599.8349574992135</x:v>
      </x:c>
      <x:c r="M1454" s="8" t="n">
        <x:v>0</x:v>
      </x:c>
      <x:c r="N1454" s="8" t="n">
        <x:v>0</x:v>
      </x:c>
      <x:c r="O1454" s="8" t="n">
        <x:v>589.1794622569407</x:v>
      </x:c>
      <x:c r="P1454" s="8" t="n">
        <x:v>0</x:v>
      </x:c>
      <x:c r="Q1454" s="8" t="n">
        <x:v>4.962464528426702</x:v>
      </x:c>
      <x:c r="R1454" s="8" t="n">
        <x:v>0</x:v>
      </x:c>
      <x:c r="S1454" s="8" t="n">
        <x:f>L1454-I1454^2/H1454</x:f>
        <x:v>207.680183678167</x:v>
      </x:c>
      <x:c r="T1454" s="8" t="n">
        <x:f>M1454-J1454^2/H1454</x:f>
        <x:v>0</x:v>
      </x:c>
      <x:c r="U1454" s="8" t="n">
        <x:f>N1454-I1454*J1454/H1454</x:f>
        <x:v>0</x:v>
      </x:c>
      <x:c r="V1454" s="8" t="n">
        <x:f>O1454-I1454*K1454/H1454</x:f>
        <x:v>78.07859284705154</x:v>
      </x:c>
      <x:c r="W1454" s="8" t="n">
        <x:f>P1454-J1454*K1454/H1454</x:f>
        <x:v>0</x:v>
      </x:c>
      <x:c r="X1454" s="8" t="n">
        <x:f>V1454/S1454</x:f>
        <x:v>0.37595591194221284</x:v>
      </x:c>
      <x:c r="Y1454" s="8" t="n">
        <x:f>0</x:f>
        <x:v>0</x:v>
      </x:c>
      <x:c r="Z1454" s="8" t="n">
        <x:f>K1454/H1454-X1454*I1454/H1454-Y1454*J1454/H1454</x:f>
        <x:v>6.49278913077462</x:v>
      </x:c>
      <x:c r="AA1454" s="8" t="n">
        <x:f>Z1454+X1454*Q1454+Y1454*R1454</x:f>
        <x:v>8.358457008040164</x:v>
      </x:c>
    </x:row>
    <x:row r="1455" ht="26" customHeight="1">
      <x:c r="A1455" s="2"/>
      <x:c r="B1455" s="2" t="n">
        <x:v>1450</x:v>
      </x:c>
      <x:c r="C1455" s="2" t="str">
        <x:v>Health Care / organic_sales_growth</x:v>
      </x:c>
      <x:c r="D1455" s="2" t="str">
        <x:v>Broad rolling 8</x:v>
      </x:c>
      <x:c r="E1455" s="7" t="n">
        <x:v>45107</x:v>
      </x:c>
      <x:c r="F1455" s="2" t="str">
        <x:v>Origin</x:v>
      </x:c>
      <x:c r="G1455" s="7" t="n">
        <x:v>45017</x:v>
      </x:c>
      <x:c r="H1455" s="2" t="n">
        <x:v>8</x:v>
      </x:c>
      <x:c r="I1455" s="8" t="n">
        <x:v>56.01105418190566</x:v>
      </x:c>
      <x:c r="J1455" s="8" t="n">
        <x:v>0</x:v>
      </x:c>
      <x:c r="K1455" s="8" t="n">
        <x:v>73</x:v>
      </x:c>
      <x:c r="L1455" s="8" t="n">
        <x:v>599.8349574992135</x:v>
      </x:c>
      <x:c r="M1455" s="8" t="n">
        <x:v>0</x:v>
      </x:c>
      <x:c r="N1455" s="8" t="n">
        <x:v>0</x:v>
      </x:c>
      <x:c r="O1455" s="8" t="n">
        <x:v>589.1794622569407</x:v>
      </x:c>
      <x:c r="P1455" s="8" t="n">
        <x:v>0</x:v>
      </x:c>
      <x:c r="Q1455" s="8" t="n">
        <x:v>4.962464528426702</x:v>
      </x:c>
      <x:c r="R1455" s="8" t="n">
        <x:v>0</x:v>
      </x:c>
      <x:c r="S1455" s="8" t="n">
        <x:f>L1455-I1455^2/H1455</x:f>
        <x:v>207.680183678167</x:v>
      </x:c>
      <x:c r="T1455" s="8" t="n">
        <x:f>M1455-J1455^2/H1455</x:f>
        <x:v>0</x:v>
      </x:c>
      <x:c r="U1455" s="8" t="n">
        <x:f>N1455-I1455*J1455/H1455</x:f>
        <x:v>0</x:v>
      </x:c>
      <x:c r="V1455" s="8" t="n">
        <x:f>O1455-I1455*K1455/H1455</x:f>
        <x:v>78.07859284705154</x:v>
      </x:c>
      <x:c r="W1455" s="8" t="n">
        <x:f>P1455-J1455*K1455/H1455</x:f>
        <x:v>0</x:v>
      </x:c>
      <x:c r="X1455" s="8" t="n">
        <x:f>V1455/S1455</x:f>
        <x:v>0.37595591194221284</x:v>
      </x:c>
      <x:c r="Y1455" s="8" t="n">
        <x:f>0</x:f>
        <x:v>0</x:v>
      </x:c>
      <x:c r="Z1455" s="8" t="n">
        <x:f>K1455/H1455-X1455*I1455/H1455-Y1455*J1455/H1455</x:f>
        <x:v>6.49278913077462</x:v>
      </x:c>
      <x:c r="AA1455" s="8" t="n">
        <x:f>Z1455+X1455*Q1455+Y1455*R1455</x:f>
        <x:v>8.358457008040164</x:v>
      </x:c>
    </x:row>
    <x:row r="1456" ht="26" customHeight="1">
      <x:c r="A1456" s="2"/>
      <x:c r="B1456" s="2" t="n">
        <x:v>1451</x:v>
      </x:c>
      <x:c r="C1456" s="2" t="str">
        <x:v>Health Care / organic_sales_growth</x:v>
      </x:c>
      <x:c r="D1456" s="2" t="str">
        <x:v>Broad market</x:v>
      </x:c>
      <x:c r="E1456" s="7" t="n">
        <x:v>45107</x:v>
      </x:c>
      <x:c r="F1456" s="2" t="str">
        <x:v>Prior report</x:v>
      </x:c>
      <x:c r="G1456" s="7" t="n">
        <x:v>45037</x:v>
      </x:c>
      <x:c r="H1456" s="2" t="n">
        <x:v>9</x:v>
      </x:c>
      <x:c r="I1456" s="8" t="n">
        <x:v>62.80781230928043</x:v>
      </x:c>
      <x:c r="J1456" s="8" t="n">
        <x:v>0</x:v>
      </x:c>
      <x:c r="K1456" s="8" t="n">
        <x:v>82</x:v>
      </x:c>
      <x:c r="L1456" s="8" t="n">
        <x:v>646.0701824957238</x:v>
      </x:c>
      <x:c r="M1456" s="8" t="n">
        <x:v>0</x:v>
      </x:c>
      <x:c r="N1456" s="8" t="n">
        <x:v>0</x:v>
      </x:c>
      <x:c r="O1456" s="8" t="n">
        <x:v>650.1298728083083</x:v>
      </x:c>
      <x:c r="P1456" s="8" t="n">
        <x:v>0</x:v>
      </x:c>
      <x:c r="Q1456" s="8" t="n">
        <x:v>6.836095891141936</x:v>
      </x:c>
      <x:c r="R1456" s="8" t="n">
        <x:v>0</x:v>
      </x:c>
      <x:c r="S1456" s="8" t="n">
        <x:f>L1456-I1456^2/H1456</x:f>
        <x:v>207.75670615374617</x:v>
      </x:c>
      <x:c r="T1456" s="8" t="n">
        <x:f>M1456-J1456^2/H1456</x:f>
        <x:v>0</x:v>
      </x:c>
      <x:c r="U1456" s="8" t="n">
        <x:f>N1456-I1456*J1456/H1456</x:f>
        <x:v>0</x:v>
      </x:c>
      <x:c r="V1456" s="8" t="n">
        <x:f>O1456-I1456*K1456/H1456</x:f>
        <x:v>77.88091621264209</x:v>
      </x:c>
      <x:c r="W1456" s="8" t="n">
        <x:f>P1456-J1456*K1456/H1456</x:f>
        <x:v>0</x:v>
      </x:c>
      <x:c r="X1456" s="8" t="n">
        <x:f>V1456/S1456</x:f>
        <x:v>0.3748659557348194</x:v>
      </x:c>
      <x:c r="Y1456" s="8" t="n">
        <x:f>0</x:f>
        <x:v>0</x:v>
      </x:c>
      <x:c r="Z1456" s="8" t="n">
        <x:f>K1456/H1456-X1456*I1456/H1456-Y1456*J1456/H1456</x:f>
        <x:v>6.495054379007604</x:v>
      </x:c>
      <x:c r="AA1456" s="8" t="n">
        <x:f>Z1456+X1456*Q1456+Y1456*R1456</x:f>
        <x:v>9.057673998735398</x:v>
      </x:c>
    </x:row>
    <x:row r="1457" ht="26" customHeight="1">
      <x:c r="A1457" s="2"/>
      <x:c r="B1457" s="2" t="n">
        <x:v>1452</x:v>
      </x:c>
      <x:c r="C1457" s="2" t="str">
        <x:v>Health Care / organic_sales_growth</x:v>
      </x:c>
      <x:c r="D1457" s="2" t="str">
        <x:v>Broad lag 1</x:v>
      </x:c>
      <x:c r="E1457" s="7" t="n">
        <x:v>45107</x:v>
      </x:c>
      <x:c r="F1457" s="2" t="str">
        <x:v>Prior report</x:v>
      </x:c>
      <x:c r="G1457" s="7" t="n">
        <x:v>45037</x:v>
      </x:c>
      <x:c r="H1457" s="2" t="n">
        <x:v>8</x:v>
      </x:c>
      <x:c r="I1457" s="8" t="n">
        <x:v>55.97956666833346</x:v>
      </x:c>
      <x:c r="J1457" s="8" t="n">
        <x:v>0</x:v>
      </x:c>
      <x:c r="K1457" s="8" t="n">
        <x:v>79</x:v>
      </x:c>
      <x:c r="L1457" s="8" t="n">
        <x:v>599.4452439626125</x:v>
      </x:c>
      <x:c r="M1457" s="8" t="n">
        <x:v>0</x:v>
      </x:c>
      <x:c r="N1457" s="8" t="n">
        <x:v>0</x:v>
      </x:c>
      <x:c r="O1457" s="8" t="n">
        <x:v>531.4846153690153</x:v>
      </x:c>
      <x:c r="P1457" s="8" t="n">
        <x:v>0</x:v>
      </x:c>
      <x:c r="Q1457" s="8" t="n">
        <x:v>6.828245640946973</x:v>
      </x:c>
      <x:c r="R1457" s="8" t="n">
        <x:v>0</x:v>
      </x:c>
      <x:c r="S1457" s="8" t="n">
        <x:f>L1457-I1457^2/H1457</x:f>
        <x:v>207.73125841581367</x:v>
      </x:c>
      <x:c r="T1457" s="8" t="n">
        <x:f>M1457-J1457^2/H1457</x:f>
        <x:v>0</x:v>
      </x:c>
      <x:c r="U1457" s="8" t="n">
        <x:f>N1457-I1457*J1457/H1457</x:f>
        <x:v>0</x:v>
      </x:c>
      <x:c r="V1457" s="8" t="n">
        <x:f>O1457-I1457*K1457/H1457</x:f>
        <x:v>-21.31360548077771</x:v>
      </x:c>
      <x:c r="W1457" s="8" t="n">
        <x:f>P1457-J1457*K1457/H1457</x:f>
        <x:v>0</x:v>
      </x:c>
      <x:c r="X1457" s="8" t="n">
        <x:f>V1457/S1457</x:f>
        <x:v>-0.10260182142696343</x:v>
      </x:c>
      <x:c r="Y1457" s="8" t="n">
        <x:f>0</x:f>
        <x:v>0</x:v>
      </x:c>
      <x:c r="Z1457" s="8" t="n">
        <x:f>K1457/H1457-X1457*I1457/H1457-Y1457*J1457/H1457</x:f>
        <x:v>10.592950687857893</x:v>
      </x:c>
      <x:c r="AA1457" s="8" t="n">
        <x:f>Z1457+X1457*Q1457+Y1457*R1457</x:f>
        <x:v>9.89236024794601</x:v>
      </x:c>
    </x:row>
    <x:row r="1458" ht="26" customHeight="1">
      <x:c r="A1458" s="2"/>
      <x:c r="B1458" s="2" t="n">
        <x:v>1453</x:v>
      </x:c>
      <x:c r="C1458" s="2" t="str">
        <x:v>Health Care / organic_sales_growth</x:v>
      </x:c>
      <x:c r="D1458" s="2" t="str">
        <x:v>Broad rolling 8</x:v>
      </x:c>
      <x:c r="E1458" s="7" t="n">
        <x:v>45107</x:v>
      </x:c>
      <x:c r="F1458" s="2" t="str">
        <x:v>Prior report</x:v>
      </x:c>
      <x:c r="G1458" s="7" t="n">
        <x:v>45037</x:v>
      </x:c>
      <x:c r="H1458" s="2" t="n">
        <x:v>8</x:v>
      </x:c>
      <x:c r="I1458" s="8" t="n">
        <x:v>59.331642163447576</x:v>
      </x:c>
      <x:c r="J1458" s="8" t="n">
        <x:v>0</x:v>
      </x:c>
      <x:c r="K1458" s="8" t="n">
        <x:v>79</x:v>
      </x:c>
      <x:c r="L1458" s="8" t="n">
        <x:v>633.9864236129441</x:v>
      </x:c>
      <x:c r="M1458" s="8" t="n">
        <x:v>0</x:v>
      </x:c>
      <x:c r="N1458" s="8" t="n">
        <x:v>0</x:v>
      </x:c>
      <x:c r="O1458" s="8" t="n">
        <x:v>639.7013623708096</x:v>
      </x:c>
      <x:c r="P1458" s="8" t="n">
        <x:v>0</x:v>
      </x:c>
      <x:c r="Q1458" s="8" t="n">
        <x:v>6.836095891141936</x:v>
      </x:c>
      <x:c r="R1458" s="8" t="n">
        <x:v>0</x:v>
      </x:c>
      <x:c r="S1458" s="8" t="n">
        <x:f>L1458-I1458^2/H1458</x:f>
        <x:v>193.95595338652038</x:v>
      </x:c>
      <x:c r="T1458" s="8" t="n">
        <x:f>M1458-J1458^2/H1458</x:f>
        <x:v>0</x:v>
      </x:c>
      <x:c r="U1458" s="8" t="n">
        <x:f>N1458-I1458*J1458/H1458</x:f>
        <x:v>0</x:v>
      </x:c>
      <x:c r="V1458" s="8" t="n">
        <x:f>O1458-I1458*K1458/H1458</x:f>
        <x:v>53.80139600676489</x:v>
      </x:c>
      <x:c r="W1458" s="8" t="n">
        <x:f>P1458-J1458*K1458/H1458</x:f>
        <x:v>0</x:v>
      </x:c>
      <x:c r="X1458" s="8" t="n">
        <x:f>V1458/S1458</x:f>
        <x:v>0.277389763332235</x:v>
      </x:c>
      <x:c r="Y1458" s="8" t="n">
        <x:f>0</x:f>
        <x:v>0</x:v>
      </x:c>
      <x:c r="Z1458" s="8" t="n">
        <x:f>K1458/H1458-X1458*I1458/H1458-Y1458*J1458/H1458</x:f>
        <x:v>7.817751227771053</x:v>
      </x:c>
      <x:c r="AA1458" s="8" t="n">
        <x:f>Z1458+X1458*Q1458+Y1458*R1458</x:f>
        <x:v>9.71401424913138</x:v>
      </x:c>
    </x:row>
    <x:row r="1459" ht="26" customHeight="1">
      <x:c r="A1459" s="2"/>
      <x:c r="B1459" s="2" t="n">
        <x:v>1454</x:v>
      </x:c>
      <x:c r="C1459" s="2" t="str">
        <x:v>Health Care / organic_sales_growth</x:v>
      </x:c>
      <x:c r="D1459" s="2" t="str">
        <x:v>Own history</x:v>
      </x:c>
      <x:c r="E1459" s="7" t="n">
        <x:v>45107</x:v>
      </x:c>
      <x:c r="F1459" s="2" t="str">
        <x:v>Prior report</x:v>
      </x:c>
      <x:c r="G1459" s="7" t="n">
        <x:v>45037</x:v>
      </x:c>
      <x:c r="H1459" s="2" t="n">
        <x:v>8</x:v>
      </x:c>
      <x:c r="I1459" s="8" t="n">
        <x:v>73</x:v>
      </x:c>
      <x:c r="J1459" s="8" t="n">
        <x:v>0</x:v>
      </x:c>
      <x:c r="K1459" s="8" t="n">
        <x:v>79</x:v>
      </x:c>
      <x:c r="L1459" s="8" t="n">
        <x:v>783</x:v>
      </x:c>
      <x:c r="M1459" s="8" t="n">
        <x:v>0</x:v>
      </x:c>
      <x:c r="N1459" s="8" t="n">
        <x:v>0</x:v>
      </x:c>
      <x:c r="O1459" s="8" t="n">
        <x:v>676</x:v>
      </x:c>
      <x:c r="P1459" s="8" t="n">
        <x:v>0</x:v>
      </x:c>
      <x:c r="Q1459" s="8" t="n">
        <x:v>9</x:v>
      </x:c>
      <x:c r="R1459" s="8" t="n">
        <x:v>0</x:v>
      </x:c>
      <x:c r="S1459" s="8" t="n">
        <x:f>L1459-I1459^2/H1459</x:f>
        <x:v>116.875</x:v>
      </x:c>
      <x:c r="T1459" s="8" t="n">
        <x:f>M1459-J1459^2/H1459</x:f>
        <x:v>0</x:v>
      </x:c>
      <x:c r="U1459" s="8" t="n">
        <x:f>N1459-I1459*J1459/H1459</x:f>
        <x:v>0</x:v>
      </x:c>
      <x:c r="V1459" s="8" t="n">
        <x:f>O1459-I1459*K1459/H1459</x:f>
        <x:v>-44.875</x:v>
      </x:c>
      <x:c r="W1459" s="8" t="n">
        <x:f>P1459-J1459*K1459/H1459</x:f>
        <x:v>0</x:v>
      </x:c>
      <x:c r="X1459" s="8" t="n">
        <x:f>V1459/S1459</x:f>
        <x:v>-0.3839572192513369</x:v>
      </x:c>
      <x:c r="Y1459" s="8" t="n">
        <x:f>0</x:f>
        <x:v>0</x:v>
      </x:c>
      <x:c r="Z1459" s="8" t="n">
        <x:f>K1459/H1459-X1459*I1459/H1459-Y1459*J1459/H1459</x:f>
        <x:v>13.37860962566845</x:v>
      </x:c>
      <x:c r="AA1459" s="8" t="n">
        <x:f>Z1459+X1459*Q1459+Y1459*R1459</x:f>
        <x:v>9.922994652406418</x:v>
      </x:c>
    </x:row>
    <x:row r="1460" ht="26" customHeight="1">
      <x:c r="A1460" s="2"/>
      <x:c r="B1460" s="2" t="n">
        <x:v>1455</x:v>
      </x:c>
      <x:c r="C1460" s="2" t="str">
        <x:v>Health Care / organic_sales_growth</x:v>
      </x:c>
      <x:c r="D1460" s="2" t="str">
        <x:v>Broad market</x:v>
      </x:c>
      <x:c r="E1460" s="7" t="n">
        <x:v>45107</x:v>
      </x:c>
      <x:c r="F1460" s="2" t="str">
        <x:v>Pre-earnings</x:v>
      </x:c>
      <x:c r="G1460" s="7" t="n">
        <x:v>45134</x:v>
      </x:c>
      <x:c r="H1460" s="2" t="n">
        <x:v>9</x:v>
      </x:c>
      <x:c r="I1460" s="8" t="n">
        <x:v>56.993173412013356</x:v>
      </x:c>
      <x:c r="J1460" s="8" t="n">
        <x:v>0</x:v>
      </x:c>
      <x:c r="K1460" s="8" t="n">
        <x:v>82</x:v>
      </x:c>
      <x:c r="L1460" s="8" t="n">
        <x:v>547.1024069824869</x:v>
      </x:c>
      <x:c r="M1460" s="8" t="n">
        <x:v>0</x:v>
      </x:c>
      <x:c r="N1460" s="8" t="n">
        <x:v>0</x:v>
      </x:c>
      <x:c r="O1460" s="8" t="n">
        <x:v>590.4096159313453</x:v>
      </x:c>
      <x:c r="P1460" s="8" t="n">
        <x:v>0</x:v>
      </x:c>
      <x:c r="Q1460" s="8" t="n">
        <x:v>7.4433917622303</x:v>
      </x:c>
      <x:c r="R1460" s="8" t="n">
        <x:v>0</x:v>
      </x:c>
      <x:c r="S1460" s="8" t="n">
        <x:f>L1460-I1460^2/H1460</x:f>
        <x:v>186.1888719189506</x:v>
      </x:c>
      <x:c r="T1460" s="8" t="n">
        <x:f>M1460-J1460^2/H1460</x:f>
        <x:v>0</x:v>
      </x:c>
      <x:c r="U1460" s="8" t="n">
        <x:f>N1460-I1460*J1460/H1460</x:f>
        <x:v>0</x:v>
      </x:c>
      <x:c r="V1460" s="8" t="n">
        <x:f>O1460-I1460*K1460/H1460</x:f>
        <x:v>71.13848039966808</x:v>
      </x:c>
      <x:c r="W1460" s="8" t="n">
        <x:f>P1460-J1460*K1460/H1460</x:f>
        <x:v>0</x:v>
      </x:c>
      <x:c r="X1460" s="8" t="n">
        <x:f>V1460/S1460</x:f>
        <x:v>0.38207697198270363</x:v>
      </x:c>
      <x:c r="Y1460" s="8" t="n">
        <x:f>0</x:f>
        <x:v>0</x:v>
      </x:c>
      <x:c r="Z1460" s="8" t="n">
        <x:f>K1460/H1460-X1460*I1460/H1460-Y1460*J1460/H1460</x:f>
        <x:v>6.691580097672533</x:v>
      </x:c>
      <x:c r="AA1460" s="8" t="n">
        <x:f>Z1460+X1460*Q1460+Y1460*R1460</x:f>
        <x:v>9.535528683466486</x:v>
      </x:c>
    </x:row>
    <x:row r="1461" ht="26" customHeight="1">
      <x:c r="A1461" s="2"/>
      <x:c r="B1461" s="2" t="n">
        <x:v>1456</x:v>
      </x:c>
      <x:c r="C1461" s="2" t="str">
        <x:v>Health Care / organic_sales_growth</x:v>
      </x:c>
      <x:c r="D1461" s="2" t="str">
        <x:v>Broad lag 1</x:v>
      </x:c>
      <x:c r="E1461" s="7" t="n">
        <x:v>45107</x:v>
      </x:c>
      <x:c r="F1461" s="2" t="str">
        <x:v>Pre-earnings</x:v>
      </x:c>
      <x:c r="G1461" s="7" t="n">
        <x:v>45134</x:v>
      </x:c>
      <x:c r="H1461" s="2" t="n">
        <x:v>8</x:v>
      </x:c>
      <x:c r="I1461" s="8" t="n">
        <x:v>49.69609714949035</x:v>
      </x:c>
      <x:c r="J1461" s="8" t="n">
        <x:v>0</x:v>
      </x:c>
      <x:c r="K1461" s="8" t="n">
        <x:v>79</x:v>
      </x:c>
      <x:c r="L1461" s="8" t="n">
        <x:v>493.8550850014101</x:v>
      </x:c>
      <x:c r="M1461" s="8" t="n">
        <x:v>0</x:v>
      </x:c>
      <x:c r="N1461" s="8" t="n">
        <x:v>0</x:v>
      </x:c>
      <x:c r="O1461" s="8" t="n">
        <x:v>470.0379938474898</x:v>
      </x:c>
      <x:c r="P1461" s="8" t="n">
        <x:v>0</x:v>
      </x:c>
      <x:c r="Q1461" s="8" t="n">
        <x:v>7.297076262523006</x:v>
      </x:c>
      <x:c r="R1461" s="8" t="n">
        <x:v>0</x:v>
      </x:c>
      <x:c r="S1461" s="8" t="n">
        <x:f>L1461-I1461^2/H1461</x:f>
        <x:v>185.14232601496224</x:v>
      </x:c>
      <x:c r="T1461" s="8" t="n">
        <x:f>M1461-J1461^2/H1461</x:f>
        <x:v>0</x:v>
      </x:c>
      <x:c r="U1461" s="8" t="n">
        <x:f>N1461-I1461*J1461/H1461</x:f>
        <x:v>0</x:v>
      </x:c>
      <x:c r="V1461" s="8" t="n">
        <x:f>O1461-I1461*K1461/H1461</x:f>
        <x:v>-20.71096550372738</x:v>
      </x:c>
      <x:c r="W1461" s="8" t="n">
        <x:f>P1461-J1461*K1461/H1461</x:f>
        <x:v>0</x:v>
      </x:c>
      <x:c r="X1461" s="8" t="n">
        <x:f>V1461/S1461</x:f>
        <x:v>-0.11186510372594988</x:v>
      </x:c>
      <x:c r="Y1461" s="8" t="n">
        <x:f>0</x:f>
        <x:v>0</x:v>
      </x:c>
      <x:c r="Z1461" s="8" t="n">
        <x:f>K1461/H1461-X1461*I1461/H1461-Y1461*J1461/H1461</x:f>
        <x:v>10.569907382800327</x:v>
      </x:c>
      <x:c r="AA1461" s="8" t="n">
        <x:f>Z1461+X1461*Q1461+Y1461*R1461</x:f>
        <x:v>9.753619189797025</x:v>
      </x:c>
    </x:row>
    <x:row r="1462" ht="26" customHeight="1">
      <x:c r="A1462" s="2"/>
      <x:c r="B1462" s="2" t="n">
        <x:v>1457</x:v>
      </x:c>
      <x:c r="C1462" s="2" t="str">
        <x:v>Health Care / organic_sales_growth</x:v>
      </x:c>
      <x:c r="D1462" s="2" t="str">
        <x:v>Broad rolling 8</x:v>
      </x:c>
      <x:c r="E1462" s="7" t="n">
        <x:v>45107</x:v>
      </x:c>
      <x:c r="F1462" s="2" t="str">
        <x:v>Pre-earnings</x:v>
      </x:c>
      <x:c r="G1462" s="7" t="n">
        <x:v>45134</x:v>
      </x:c>
      <x:c r="H1462" s="2" t="n">
        <x:v>8</x:v>
      </x:c>
      <x:c r="I1462" s="8" t="n">
        <x:v>53.6204621169901</x:v>
      </x:c>
      <x:c r="J1462" s="8" t="n">
        <x:v>0</x:v>
      </x:c>
      <x:c r="K1462" s="8" t="n">
        <x:v>79</x:v>
      </x:c>
      <x:c r="L1462" s="8" t="n">
        <x:v>535.7272255029094</x:v>
      </x:c>
      <x:c r="M1462" s="8" t="n">
        <x:v>0</x:v>
      </x:c>
      <x:c r="N1462" s="8" t="n">
        <x:v>0</x:v>
      </x:c>
      <x:c r="O1462" s="8" t="n">
        <x:v>580.2914820462756</x:v>
      </x:c>
      <x:c r="P1462" s="8" t="n">
        <x:v>0</x:v>
      </x:c>
      <x:c r="Q1462" s="8" t="n">
        <x:v>7.4433917622303</x:v>
      </x:c>
      <x:c r="R1462" s="8" t="n">
        <x:v>0</x:v>
      </x:c>
      <x:c r="S1462" s="8" t="n">
        <x:f>L1462-I1462^2/H1462</x:f>
        <x:v>176.3329807979631</x:v>
      </x:c>
      <x:c r="T1462" s="8" t="n">
        <x:f>M1462-J1462^2/H1462</x:f>
        <x:v>0</x:v>
      </x:c>
      <x:c r="U1462" s="8" t="n">
        <x:f>N1462-I1462*J1462/H1462</x:f>
        <x:v>0</x:v>
      </x:c>
      <x:c r="V1462" s="8" t="n">
        <x:f>O1462-I1462*K1462/H1462</x:f>
        <x:v>50.789418640998406</x:v>
      </x:c>
      <x:c r="W1462" s="8" t="n">
        <x:f>P1462-J1462*K1462/H1462</x:f>
        <x:v>0</x:v>
      </x:c>
      <x:c r="X1462" s="8" t="n">
        <x:f>V1462/S1462</x:f>
        <x:v>0.28803130538121713</x:v>
      </x:c>
      <x:c r="Y1462" s="8" t="n">
        <x:f>0</x:f>
        <x:v>0</x:v>
      </x:c>
      <x:c r="Z1462" s="8" t="n">
        <x:f>K1462/H1462-X1462*I1462/H1462-Y1462*J1462/H1462</x:f>
        <x:v>7.944453537662405</x:v>
      </x:c>
      <x:c r="AA1462" s="8" t="n">
        <x:f>Z1462+X1462*Q1462+Y1462*R1462</x:f>
        <x:v>10.088383383401396</x:v>
      </x:c>
    </x:row>
    <x:row r="1463" ht="26" customHeight="1">
      <x:c r="A1463" s="2"/>
      <x:c r="B1463" s="2" t="n">
        <x:v>1458</x:v>
      </x:c>
      <x:c r="C1463" s="2" t="str">
        <x:v>Health Care / organic_sales_growth</x:v>
      </x:c>
      <x:c r="D1463" s="2" t="str">
        <x:v>Own history</x:v>
      </x:c>
      <x:c r="E1463" s="7" t="n">
        <x:v>45107</x:v>
      </x:c>
      <x:c r="F1463" s="2" t="str">
        <x:v>Pre-earnings</x:v>
      </x:c>
      <x:c r="G1463" s="7" t="n">
        <x:v>45134</x:v>
      </x:c>
      <x:c r="H1463" s="2" t="n">
        <x:v>8</x:v>
      </x:c>
      <x:c r="I1463" s="8" t="n">
        <x:v>73</x:v>
      </x:c>
      <x:c r="J1463" s="8" t="n">
        <x:v>0</x:v>
      </x:c>
      <x:c r="K1463" s="8" t="n">
        <x:v>79</x:v>
      </x:c>
      <x:c r="L1463" s="8" t="n">
        <x:v>783</x:v>
      </x:c>
      <x:c r="M1463" s="8" t="n">
        <x:v>0</x:v>
      </x:c>
      <x:c r="N1463" s="8" t="n">
        <x:v>0</x:v>
      </x:c>
      <x:c r="O1463" s="8" t="n">
        <x:v>676</x:v>
      </x:c>
      <x:c r="P1463" s="8" t="n">
        <x:v>0</x:v>
      </x:c>
      <x:c r="Q1463" s="8" t="n">
        <x:v>9</x:v>
      </x:c>
      <x:c r="R1463" s="8" t="n">
        <x:v>0</x:v>
      </x:c>
      <x:c r="S1463" s="8" t="n">
        <x:f>L1463-I1463^2/H1463</x:f>
        <x:v>116.875</x:v>
      </x:c>
      <x:c r="T1463" s="8" t="n">
        <x:f>M1463-J1463^2/H1463</x:f>
        <x:v>0</x:v>
      </x:c>
      <x:c r="U1463" s="8" t="n">
        <x:f>N1463-I1463*J1463/H1463</x:f>
        <x:v>0</x:v>
      </x:c>
      <x:c r="V1463" s="8" t="n">
        <x:f>O1463-I1463*K1463/H1463</x:f>
        <x:v>-44.875</x:v>
      </x:c>
      <x:c r="W1463" s="8" t="n">
        <x:f>P1463-J1463*K1463/H1463</x:f>
        <x:v>0</x:v>
      </x:c>
      <x:c r="X1463" s="8" t="n">
        <x:f>V1463/S1463</x:f>
        <x:v>-0.3839572192513369</x:v>
      </x:c>
      <x:c r="Y1463" s="8" t="n">
        <x:f>0</x:f>
        <x:v>0</x:v>
      </x:c>
      <x:c r="Z1463" s="8" t="n">
        <x:f>K1463/H1463-X1463*I1463/H1463-Y1463*J1463/H1463</x:f>
        <x:v>13.37860962566845</x:v>
      </x:c>
      <x:c r="AA1463" s="8" t="n">
        <x:f>Z1463+X1463*Q1463+Y1463*R1463</x:f>
        <x:v>9.922994652406418</x:v>
      </x:c>
    </x:row>
    <x:row r="1464" ht="26" customHeight="1">
      <x:c r="A1464" s="2"/>
      <x:c r="B1464" s="2" t="n">
        <x:v>1459</x:v>
      </x:c>
      <x:c r="C1464" s="2" t="str">
        <x:v>Health Care / organic_sales_growth</x:v>
      </x:c>
      <x:c r="D1464" s="2" t="str">
        <x:v>Broad market</x:v>
      </x:c>
      <x:c r="E1464" s="7" t="n">
        <x:v>45199</x:v>
      </x:c>
      <x:c r="F1464" s="2" t="str">
        <x:v>Origin</x:v>
      </x:c>
      <x:c r="G1464" s="7" t="n">
        <x:v>45108</x:v>
      </x:c>
      <x:c r="H1464" s="2" t="n">
        <x:v>9</x:v>
      </x:c>
      <x:c r="I1464" s="8" t="n">
        <x:v>57.06105997973021</x:v>
      </x:c>
      <x:c r="J1464" s="8" t="n">
        <x:v>0</x:v>
      </x:c>
      <x:c r="K1464" s="8" t="n">
        <x:v>82</x:v>
      </x:c>
      <x:c r="L1464" s="8" t="n">
        <x:v>547.4005685362159</x:v>
      </x:c>
      <x:c r="M1464" s="8" t="n">
        <x:v>0</x:v>
      </x:c>
      <x:c r="N1464" s="8" t="n">
        <x:v>0</x:v>
      </x:c>
      <x:c r="O1464" s="8" t="n">
        <x:v>591.020595040797</x:v>
      </x:c>
      <x:c r="P1464" s="8" t="n">
        <x:v>0</x:v>
      </x:c>
      <x:c r="Q1464" s="8" t="n">
        <x:v>7.7431419880581664</x:v>
      </x:c>
      <x:c r="R1464" s="8" t="n">
        <x:v>0</x:v>
      </x:c>
      <x:c r="S1464" s="8" t="n">
        <x:f>L1464-I1464^2/H1464</x:f>
        <x:v>185.62672786839715</x:v>
      </x:c>
      <x:c r="T1464" s="8" t="n">
        <x:f>M1464-J1464^2/H1464</x:f>
        <x:v>0</x:v>
      </x:c>
      <x:c r="U1464" s="8" t="n">
        <x:f>N1464-I1464*J1464/H1464</x:f>
        <x:v>0</x:v>
      </x:c>
      <x:c r="V1464" s="8" t="n">
        <x:f>O1464-I1464*K1464/H1464</x:f>
        <x:v>71.13093744769958</x:v>
      </x:c>
      <x:c r="W1464" s="8" t="n">
        <x:f>P1464-J1464*K1464/H1464</x:f>
        <x:v>0</x:v>
      </x:c>
      <x:c r="X1464" s="8" t="n">
        <x:f>V1464/S1464</x:f>
        <x:v>0.38319340250467016</x:v>
      </x:c>
      <x:c r="Y1464" s="8" t="n">
        <x:f>0</x:f>
        <x:v>0</x:v>
      </x:c>
      <x:c r="Z1464" s="8" t="n">
        <x:f>K1464/H1464-X1464*I1464/H1464-Y1464*J1464/H1464</x:f>
        <x:v>6.681619808427124</x:v>
      </x:c>
      <x:c r="AA1464" s="8" t="n">
        <x:f>Z1464+X1464*Q1464+Y1464*R1464</x:f>
        <x:v>9.648740732907909</x:v>
      </x:c>
    </x:row>
    <x:row r="1465" ht="26" customHeight="1">
      <x:c r="A1465" s="2"/>
      <x:c r="B1465" s="2" t="n">
        <x:v>1460</x:v>
      </x:c>
      <x:c r="C1465" s="2" t="str">
        <x:v>Health Care / organic_sales_growth</x:v>
      </x:c>
      <x:c r="D1465" s="2" t="str">
        <x:v>Broad rolling 8</x:v>
      </x:c>
      <x:c r="E1465" s="7" t="n">
        <x:v>45199</x:v>
      </x:c>
      <x:c r="F1465" s="2" t="str">
        <x:v>Origin</x:v>
      </x:c>
      <x:c r="G1465" s="7" t="n">
        <x:v>45108</x:v>
      </x:c>
      <x:c r="H1465" s="2" t="n">
        <x:v>8</x:v>
      </x:c>
      <x:c r="I1465" s="8" t="n">
        <x:v>53.68834868470695</x:v>
      </x:c>
      <x:c r="J1465" s="8" t="n">
        <x:v>0</x:v>
      </x:c>
      <x:c r="K1465" s="8" t="n">
        <x:v>79</x:v>
      </x:c>
      <x:c r="L1465" s="8" t="n">
        <x:v>536.0253870566385</x:v>
      </x:c>
      <x:c r="M1465" s="8" t="n">
        <x:v>0</x:v>
      </x:c>
      <x:c r="N1465" s="8" t="n">
        <x:v>0</x:v>
      </x:c>
      <x:c r="O1465" s="8" t="n">
        <x:v>580.9024611557273</x:v>
      </x:c>
      <x:c r="P1465" s="8" t="n">
        <x:v>0</x:v>
      </x:c>
      <x:c r="Q1465" s="8" t="n">
        <x:v>7.7431419880581664</x:v>
      </x:c>
      <x:c r="R1465" s="8" t="n">
        <x:v>0</x:v>
      </x:c>
      <x:c r="S1465" s="8" t="n">
        <x:f>L1465-I1465^2/H1465</x:f>
        <x:v>175.72053899530414</x:v>
      </x:c>
      <x:c r="T1465" s="8" t="n">
        <x:f>M1465-J1465^2/H1465</x:f>
        <x:v>0</x:v>
      </x:c>
      <x:c r="U1465" s="8" t="n">
        <x:f>N1465-I1465*J1465/H1465</x:f>
        <x:v>0</x:v>
      </x:c>
      <x:c r="V1465" s="8" t="n">
        <x:f>O1465-I1465*K1465/H1465</x:f>
        <x:v>50.7300178942462</x:v>
      </x:c>
      <x:c r="W1465" s="8" t="n">
        <x:f>P1465-J1465*K1465/H1465</x:f>
        <x:v>0</x:v>
      </x:c>
      <x:c r="X1465" s="8" t="n">
        <x:f>V1465/S1465</x:f>
        <x:v>0.28869714482040076</x:v>
      </x:c>
      <x:c r="Y1465" s="8" t="n">
        <x:f>0</x:f>
        <x:v>0</x:v>
      </x:c>
      <x:c r="Z1465" s="8" t="n">
        <x:f>K1465/H1465-X1465*I1465/H1465-Y1465*J1465/H1465</x:f>
        <x:v>7.937540878075373</x:v>
      </x:c>
      <x:c r="AA1465" s="8" t="n">
        <x:f>Z1465+X1465*Q1465+Y1465*R1465</x:f>
        <x:v>10.172963861966727</x:v>
      </x:c>
    </x:row>
    <x:row r="1466" ht="26" customHeight="1">
      <x:c r="A1466" s="2"/>
      <x:c r="B1466" s="2" t="n">
        <x:v>1461</x:v>
      </x:c>
      <x:c r="C1466" s="2" t="str">
        <x:v>Health Care / organic_sales_growth</x:v>
      </x:c>
      <x:c r="D1466" s="2" t="str">
        <x:v>Broad market</x:v>
      </x:c>
      <x:c r="E1466" s="7" t="n">
        <x:v>45199</x:v>
      </x:c>
      <x:c r="F1466" s="2" t="str">
        <x:v>Prior report</x:v>
      </x:c>
      <x:c r="G1466" s="7" t="n">
        <x:v>45135</x:v>
      </x:c>
      <x:c r="H1466" s="2" t="n">
        <x:v>10</x:v>
      </x:c>
      <x:c r="I1466" s="8" t="n">
        <x:v>64.43656517424365</x:v>
      </x:c>
      <x:c r="J1466" s="8" t="n">
        <x:v>0</x:v>
      </x:c>
      <x:c r="K1466" s="8" t="n">
        <x:v>87</x:v>
      </x:c>
      <x:c r="L1466" s="8" t="n">
        <x:v>602.5064879085247</x:v>
      </x:c>
      <x:c r="M1466" s="8" t="n">
        <x:v>0</x:v>
      </x:c>
      <x:c r="N1466" s="8" t="n">
        <x:v>0</x:v>
      </x:c>
      <x:c r="O1466" s="8" t="n">
        <x:v>627.6265747424968</x:v>
      </x:c>
      <x:c r="P1466" s="8" t="n">
        <x:v>0</x:v>
      </x:c>
      <x:c r="Q1466" s="8" t="n">
        <x:v>7.449799072987062</x:v>
      </x:c>
      <x:c r="R1466" s="8" t="n">
        <x:v>0</x:v>
      </x:c>
      <x:c r="S1466" s="8" t="n">
        <x:f>L1466-I1466^2/H1466</x:f>
        <x:v>187.2993947630697</x:v>
      </x:c>
      <x:c r="T1466" s="8" t="n">
        <x:f>M1466-J1466^2/H1466</x:f>
        <x:v>0</x:v>
      </x:c>
      <x:c r="U1466" s="8" t="n">
        <x:f>N1466-I1466*J1466/H1466</x:f>
        <x:v>0</x:v>
      </x:c>
      <x:c r="V1466" s="8" t="n">
        <x:f>O1466-I1466*K1466/H1466</x:f>
        <x:v>67.02845772657702</x:v>
      </x:c>
      <x:c r="W1466" s="8" t="n">
        <x:f>P1466-J1466*K1466/H1466</x:f>
        <x:v>0</x:v>
      </x:c>
      <x:c r="X1466" s="8" t="n">
        <x:f>V1466/S1466</x:f>
        <x:v>0.35786798890283006</x:v>
      </x:c>
      <x:c r="Y1466" s="8" t="n">
        <x:f>0</x:f>
        <x:v>0</x:v>
      </x:c>
      <x:c r="Z1466" s="8" t="n">
        <x:f>K1466/H1466-X1466*I1466/H1466-Y1466*J1466/H1466</x:f>
        <x:v>6.394021600928728</x:v>
      </x:c>
      <x:c r="AA1466" s="8" t="n">
        <x:f>Z1466+X1466*Q1466+Y1466*R1466</x:f>
        <x:v>9.060066212908776</x:v>
      </x:c>
    </x:row>
    <x:row r="1467" ht="26" customHeight="1">
      <x:c r="A1467" s="2"/>
      <x:c r="B1467" s="2" t="n">
        <x:v>1462</x:v>
      </x:c>
      <x:c r="C1467" s="2" t="str">
        <x:v>Health Care / organic_sales_growth</x:v>
      </x:c>
      <x:c r="D1467" s="2" t="str">
        <x:v>Broad lag 1</x:v>
      </x:c>
      <x:c r="E1467" s="7" t="n">
        <x:v>45199</x:v>
      </x:c>
      <x:c r="F1467" s="2" t="str">
        <x:v>Prior report</x:v>
      </x:c>
      <x:c r="G1467" s="7" t="n">
        <x:v>45135</x:v>
      </x:c>
      <x:c r="H1467" s="2" t="n">
        <x:v>9</x:v>
      </x:c>
      <x:c r="I1467" s="8" t="n">
        <x:v>56.993173412013356</x:v>
      </x:c>
      <x:c r="J1467" s="8" t="n">
        <x:v>0</x:v>
      </x:c>
      <x:c r="K1467" s="8" t="n">
        <x:v>84</x:v>
      </x:c>
      <x:c r="L1467" s="8" t="n">
        <x:v>547.1024069824869</x:v>
      </x:c>
      <x:c r="M1467" s="8" t="n">
        <x:v>0</x:v>
      </x:c>
      <x:c r="N1467" s="8" t="n">
        <x:v>0</x:v>
      </x:c>
      <x:c r="O1467" s="8" t="n">
        <x:v>506.5233751601048</x:v>
      </x:c>
      <x:c r="P1467" s="8" t="n">
        <x:v>0</x:v>
      </x:c>
      <x:c r="Q1467" s="8" t="n">
        <x:v>7.4433917622303</x:v>
      </x:c>
      <x:c r="R1467" s="8" t="n">
        <x:v>0</x:v>
      </x:c>
      <x:c r="S1467" s="8" t="n">
        <x:f>L1467-I1467^2/H1467</x:f>
        <x:v>186.1888719189506</x:v>
      </x:c>
      <x:c r="T1467" s="8" t="n">
        <x:f>M1467-J1467^2/H1467</x:f>
        <x:v>0</x:v>
      </x:c>
      <x:c r="U1467" s="8" t="n">
        <x:f>N1467-I1467*J1467/H1467</x:f>
        <x:v>0</x:v>
      </x:c>
      <x:c r="V1467" s="8" t="n">
        <x:f>O1467-I1467*K1467/H1467</x:f>
        <x:v>-25.41291001868649</x:v>
      </x:c>
      <x:c r="W1467" s="8" t="n">
        <x:f>P1467-J1467*K1467/H1467</x:f>
        <x:v>0</x:v>
      </x:c>
      <x:c r="X1467" s="8" t="n">
        <x:f>V1467/S1467</x:f>
        <x:v>-0.13648995107370818</x:v>
      </x:c>
      <x:c r="Y1467" s="8" t="n">
        <x:f>0</x:f>
        <x:v>0</x:v>
      </x:c>
      <x:c r="Z1467" s="8" t="n">
        <x:f>K1467/H1467-X1467*I1467/H1467-Y1467*J1467/H1467</x:f>
        <x:v>10.197666161171231</x:v>
      </x:c>
      <x:c r="AA1467" s="8" t="n">
        <x:f>Z1467+X1467*Q1467+Y1467*R1467</x:f>
        <x:v>9.181717983721974</x:v>
      </x:c>
    </x:row>
    <x:row r="1468" ht="26" customHeight="1">
      <x:c r="A1468" s="2"/>
      <x:c r="B1468" s="2" t="n">
        <x:v>1463</x:v>
      </x:c>
      <x:c r="C1468" s="2" t="str">
        <x:v>Health Care / organic_sales_growth</x:v>
      </x:c>
      <x:c r="D1468" s="2" t="str">
        <x:v>Broad rolling 8</x:v>
      </x:c>
      <x:c r="E1468" s="7" t="n">
        <x:v>45199</x:v>
      </x:c>
      <x:c r="F1468" s="2" t="str">
        <x:v>Prior report</x:v>
      </x:c>
      <x:c r="G1468" s="7" t="n">
        <x:v>45135</x:v>
      </x:c>
      <x:c r="H1468" s="2" t="n">
        <x:v>8</x:v>
      </x:c>
      <x:c r="I1468" s="8" t="n">
        <x:v>43.211646445952525</x:v>
      </x:c>
      <x:c r="J1468" s="8" t="n">
        <x:v>0</x:v>
      </x:c>
      <x:c r="K1468" s="8" t="n">
        <x:v>70</x:v>
      </x:c>
      <x:c r="L1468" s="8" t="n">
        <x:v>272.42999618852247</x:v>
      </x:c>
      <x:c r="M1468" s="8" t="n">
        <x:v>0</x:v>
      </x:c>
      <x:c r="N1468" s="8" t="n">
        <x:v>0</x:v>
      </x:c>
      <x:c r="O1468" s="8" t="n">
        <x:v>367.57753679167683</x:v>
      </x:c>
      <x:c r="P1468" s="8" t="n">
        <x:v>0</x:v>
      </x:c>
      <x:c r="Q1468" s="8" t="n">
        <x:v>7.449799072987062</x:v>
      </x:c>
      <x:c r="R1468" s="8" t="n">
        <x:v>0</x:v>
      </x:c>
      <x:c r="S1468" s="8" t="n">
        <x:f>L1468-I1468^2/H1468</x:f>
        <x:v>39.02419761727228</x:v>
      </x:c>
      <x:c r="T1468" s="8" t="n">
        <x:f>M1468-J1468^2/H1468</x:f>
        <x:v>0</x:v>
      </x:c>
      <x:c r="U1468" s="8" t="n">
        <x:f>N1468-I1468*J1468/H1468</x:f>
        <x:v>0</x:v>
      </x:c>
      <x:c r="V1468" s="8" t="n">
        <x:f>O1468-I1468*K1468/H1468</x:f>
        <x:v>-10.524369610407746</x:v>
      </x:c>
      <x:c r="W1468" s="8" t="n">
        <x:f>P1468-J1468*K1468/H1468</x:f>
        <x:v>0</x:v>
      </x:c>
      <x:c r="X1468" s="8" t="n">
        <x:f>V1468/S1468</x:f>
        <x:v>-0.26968830246363895</x:v>
      </x:c>
      <x:c r="Y1468" s="8" t="n">
        <x:f>0</x:f>
        <x:v>0</x:v>
      </x:c>
      <x:c r="Z1468" s="8" t="n">
        <x:f>K1468/H1468-X1468*I1468/H1468-Y1468*J1468/H1468</x:f>
        <x:v>10.206709447083485</x:v>
      </x:c>
      <x:c r="AA1468" s="8" t="n">
        <x:f>Z1468+X1468*Q1468+Y1468*R1468</x:f>
        <x:v>8.197585781394412</x:v>
      </x:c>
    </x:row>
    <x:row r="1469" ht="26" customHeight="1">
      <x:c r="A1469" s="2"/>
      <x:c r="B1469" s="2" t="n">
        <x:v>1464</x:v>
      </x:c>
      <x:c r="C1469" s="2" t="str">
        <x:v>Health Care / organic_sales_growth</x:v>
      </x:c>
      <x:c r="D1469" s="2" t="str">
        <x:v>Own history</x:v>
      </x:c>
      <x:c r="E1469" s="7" t="n">
        <x:v>45199</x:v>
      </x:c>
      <x:c r="F1469" s="2" t="str">
        <x:v>Prior report</x:v>
      </x:c>
      <x:c r="G1469" s="7" t="n">
        <x:v>45135</x:v>
      </x:c>
      <x:c r="H1469" s="2" t="n">
        <x:v>9</x:v>
      </x:c>
      <x:c r="I1469" s="8" t="n">
        <x:v>82</x:v>
      </x:c>
      <x:c r="J1469" s="8" t="n">
        <x:v>0</x:v>
      </x:c>
      <x:c r="K1469" s="8" t="n">
        <x:v>84</x:v>
      </x:c>
      <x:c r="L1469" s="8" t="n">
        <x:v>864</x:v>
      </x:c>
      <x:c r="M1469" s="8" t="n">
        <x:v>0</x:v>
      </x:c>
      <x:c r="N1469" s="8" t="n">
        <x:v>0</x:v>
      </x:c>
      <x:c r="O1469" s="8" t="n">
        <x:v>721</x:v>
      </x:c>
      <x:c r="P1469" s="8" t="n">
        <x:v>0</x:v>
      </x:c>
      <x:c r="Q1469" s="8" t="n">
        <x:v>5</x:v>
      </x:c>
      <x:c r="R1469" s="8" t="n">
        <x:v>0</x:v>
      </x:c>
      <x:c r="S1469" s="8" t="n">
        <x:f>L1469-I1469^2/H1469</x:f>
        <x:v>116.88888888888891</x:v>
      </x:c>
      <x:c r="T1469" s="8" t="n">
        <x:f>M1469-J1469^2/H1469</x:f>
        <x:v>0</x:v>
      </x:c>
      <x:c r="U1469" s="8" t="n">
        <x:f>N1469-I1469*J1469/H1469</x:f>
        <x:v>0</x:v>
      </x:c>
      <x:c r="V1469" s="8" t="n">
        <x:f>O1469-I1469*K1469/H1469</x:f>
        <x:v>-44.33333333333337</x:v>
      </x:c>
      <x:c r="W1469" s="8" t="n">
        <x:f>P1469-J1469*K1469/H1469</x:f>
        <x:v>0</x:v>
      </x:c>
      <x:c r="X1469" s="8" t="n">
        <x:f>V1469/S1469</x:f>
        <x:v>-0.37927756653992417</x:v>
      </x:c>
      <x:c r="Y1469" s="8" t="n">
        <x:f>0</x:f>
        <x:v>0</x:v>
      </x:c>
      <x:c r="Z1469" s="8" t="n">
        <x:f>K1469/H1469-X1469*I1469/H1469-Y1469*J1469/H1469</x:f>
        <x:v>12.78897338403042</x:v>
      </x:c>
      <x:c r="AA1469" s="8" t="n">
        <x:f>Z1469+X1469*Q1469+Y1469*R1469</x:f>
        <x:v>10.8925855513308</x:v>
      </x:c>
    </x:row>
    <x:row r="1470" ht="26" customHeight="1">
      <x:c r="A1470" s="2"/>
      <x:c r="B1470" s="2" t="n">
        <x:v>1465</x:v>
      </x:c>
      <x:c r="C1470" s="2" t="str">
        <x:v>Health Care / organic_sales_growth</x:v>
      </x:c>
      <x:c r="D1470" s="2" t="str">
        <x:v>Broad market</x:v>
      </x:c>
      <x:c r="E1470" s="7" t="n">
        <x:v>45199</x:v>
      </x:c>
      <x:c r="F1470" s="2" t="str">
        <x:v>Pre-earnings</x:v>
      </x:c>
      <x:c r="G1470" s="7" t="n">
        <x:v>45216</x:v>
      </x:c>
      <x:c r="H1470" s="2" t="n">
        <x:v>10</x:v>
      </x:c>
      <x:c r="I1470" s="8" t="n">
        <x:v>65.11420219967268</x:v>
      </x:c>
      <x:c r="J1470" s="8" t="n">
        <x:v>0</x:v>
      </x:c>
      <x:c r="K1470" s="8" t="n">
        <x:v>87</x:v>
      </x:c>
      <x:c r="L1470" s="8" t="n">
        <x:v>614.579521373624</x:v>
      </x:c>
      <x:c r="M1470" s="8" t="n">
        <x:v>0</x:v>
      </x:c>
      <x:c r="N1470" s="8" t="n">
        <x:v>0</x:v>
      </x:c>
      <x:c r="O1470" s="8" t="n">
        <x:v>630.5636943948184</x:v>
      </x:c>
      <x:c r="P1470" s="8" t="n">
        <x:v>0</x:v>
      </x:c>
      <x:c r="Q1470" s="8" t="n">
        <x:v>8.006131935515782</x:v>
      </x:c>
      <x:c r="R1470" s="8" t="n">
        <x:v>0</x:v>
      </x:c>
      <x:c r="S1470" s="8" t="n">
        <x:f>L1470-I1470^2/H1470</x:f>
        <x:v>190.5935885636382</x:v>
      </x:c>
      <x:c r="T1470" s="8" t="n">
        <x:f>M1470-J1470^2/H1470</x:f>
        <x:v>0</x:v>
      </x:c>
      <x:c r="U1470" s="8" t="n">
        <x:f>N1470-I1470*J1470/H1470</x:f>
        <x:v>0</x:v>
      </x:c>
      <x:c r="V1470" s="8" t="n">
        <x:f>O1470-I1470*K1470/H1470</x:f>
        <x:v>64.07013525766615</x:v>
      </x:c>
      <x:c r="W1470" s="8" t="n">
        <x:f>P1470-J1470*K1470/H1470</x:f>
        <x:v>0</x:v>
      </x:c>
      <x:c r="X1470" s="8" t="n">
        <x:f>V1470/S1470</x:f>
        <x:v>0.3361610206330391</x:v>
      </x:c>
      <x:c r="Y1470" s="8" t="n">
        <x:f>0</x:f>
        <x:v>0</x:v>
      </x:c>
      <x:c r="Z1470" s="8" t="n">
        <x:f>K1470/H1470-X1470*I1470/H1470-Y1470*J1470/H1470</x:f>
        <x:v>6.511114333085194</x:v>
      </x:c>
      <x:c r="AA1470" s="8" t="n">
        <x:f>Z1470+X1470*Q1470+Y1470*R1470</x:f>
        <x:v>9.202463815850948</x:v>
      </x:c>
    </x:row>
    <x:row r="1471" ht="26" customHeight="1">
      <x:c r="A1471" s="2"/>
      <x:c r="B1471" s="2" t="n">
        <x:v>1466</x:v>
      </x:c>
      <x:c r="C1471" s="2" t="str">
        <x:v>Health Care / organic_sales_growth</x:v>
      </x:c>
      <x:c r="D1471" s="2" t="str">
        <x:v>Broad lag 1</x:v>
      </x:c>
      <x:c r="E1471" s="7" t="n">
        <x:v>45199</x:v>
      </x:c>
      <x:c r="F1471" s="2" t="str">
        <x:v>Pre-earnings</x:v>
      </x:c>
      <x:c r="G1471" s="7" t="n">
        <x:v>45216</x:v>
      </x:c>
      <x:c r="H1471" s="2" t="n">
        <x:v>9</x:v>
      </x:c>
      <x:c r="I1471" s="8" t="n">
        <x:v>56.85447554314476</x:v>
      </x:c>
      <x:c r="J1471" s="8" t="n">
        <x:v>0</x:v>
      </x:c>
      <x:c r="K1471" s="8" t="n">
        <x:v>84</x:v>
      </x:c>
      <x:c r="L1471" s="8" t="n">
        <x:v>546.3564369330661</x:v>
      </x:c>
      <x:c r="M1471" s="8" t="n">
        <x:v>0</x:v>
      </x:c>
      <x:c r="N1471" s="8" t="n">
        <x:v>0</x:v>
      </x:c>
      <x:c r="O1471" s="8" t="n">
        <x:v>505.41379220915604</x:v>
      </x:c>
      <x:c r="P1471" s="8" t="n">
        <x:v>0</x:v>
      </x:c>
      <x:c r="Q1471" s="8" t="n">
        <x:v>8.25972665652792</x:v>
      </x:c>
      <x:c r="R1471" s="8" t="n">
        <x:v>0</x:v>
      </x:c>
      <x:c r="S1471" s="8" t="n">
        <x:f>L1471-I1471^2/H1471</x:f>
        <x:v>187.19739367906107</x:v>
      </x:c>
      <x:c r="T1471" s="8" t="n">
        <x:f>M1471-J1471^2/H1471</x:f>
        <x:v>0</x:v>
      </x:c>
      <x:c r="U1471" s="8" t="n">
        <x:f>N1471-I1471*J1471/H1471</x:f>
        <x:v>0</x:v>
      </x:c>
      <x:c r="V1471" s="8" t="n">
        <x:f>O1471-I1471*K1471/H1471</x:f>
        <x:v>-25.227979526861702</x:v>
      </x:c>
      <x:c r="W1471" s="8" t="n">
        <x:f>P1471-J1471*K1471/H1471</x:f>
        <x:v>0</x:v>
      </x:c>
      <x:c r="X1471" s="8" t="n">
        <x:f>V1471/S1471</x:f>
        <x:v>-0.13476672421045344</x:v>
      </x:c>
      <x:c r="Y1471" s="8" t="n">
        <x:f>0</x:f>
        <x:v>0</x:v>
      </x:c>
      <x:c r="Z1471" s="8" t="n">
        <x:f>K1471/H1471-X1471*I1471/H1471-Y1471*J1471/H1471</x:f>
        <x:v>10.184676825072552</x:v>
      </x:c>
      <x:c r="AA1471" s="8" t="n">
        <x:f>Z1471+X1471*Q1471+Y1471*R1471</x:f>
        <x:v>9.071540520698523</x:v>
      </x:c>
    </x:row>
    <x:row r="1472" ht="26" customHeight="1">
      <x:c r="A1472" s="2"/>
      <x:c r="B1472" s="2" t="n">
        <x:v>1467</x:v>
      </x:c>
      <x:c r="C1472" s="2" t="str">
        <x:v>Health Care / organic_sales_growth</x:v>
      </x:c>
      <x:c r="D1472" s="2" t="str">
        <x:v>Broad rolling 8</x:v>
      </x:c>
      <x:c r="E1472" s="7" t="n">
        <x:v>45199</x:v>
      </x:c>
      <x:c r="F1472" s="2" t="str">
        <x:v>Pre-earnings</x:v>
      </x:c>
      <x:c r="G1472" s="7" t="n">
        <x:v>45216</x:v>
      </x:c>
      <x:c r="H1472" s="2" t="n">
        <x:v>8</x:v>
      </x:c>
      <x:c r="I1472" s="8" t="n">
        <x:v>43.889283471381546</x:v>
      </x:c>
      <x:c r="J1472" s="8" t="n">
        <x:v>0</x:v>
      </x:c>
      <x:c r="K1472" s="8" t="n">
        <x:v>70</x:v>
      </x:c>
      <x:c r="L1472" s="8" t="n">
        <x:v>284.5030296536217</x:v>
      </x:c>
      <x:c r="M1472" s="8" t="n">
        <x:v>0</x:v>
      </x:c>
      <x:c r="N1472" s="8" t="n">
        <x:v>0</x:v>
      </x:c>
      <x:c r="O1472" s="8" t="n">
        <x:v>370.5146564439984</x:v>
      </x:c>
      <x:c r="P1472" s="8" t="n">
        <x:v>0</x:v>
      </x:c>
      <x:c r="Q1472" s="8" t="n">
        <x:v>8.006131935515782</x:v>
      </x:c>
      <x:c r="R1472" s="8" t="n">
        <x:v>0</x:v>
      </x:c>
      <x:c r="S1472" s="8" t="n">
        <x:f>L1472-I1472^2/H1472</x:f>
        <x:v>43.71937919971103</x:v>
      </x:c>
      <x:c r="T1472" s="8" t="n">
        <x:f>M1472-J1472^2/H1472</x:f>
        <x:v>0</x:v>
      </x:c>
      <x:c r="U1472" s="8" t="n">
        <x:f>N1472-I1472*J1472/H1472</x:f>
        <x:v>0</x:v>
      </x:c>
      <x:c r="V1472" s="8" t="n">
        <x:f>O1472-I1472*K1472/H1472</x:f>
        <x:v>-13.516573930590141</x:v>
      </x:c>
      <x:c r="W1472" s="8" t="n">
        <x:f>P1472-J1472*K1472/H1472</x:f>
        <x:v>0</x:v>
      </x:c>
      <x:c r="X1472" s="8" t="n">
        <x:f>V1472/S1472</x:f>
        <x:v>-0.30916664824644813</x:v>
      </x:c>
      <x:c r="Y1472" s="8" t="n">
        <x:f>0</x:f>
        <x:v>0</x:v>
      </x:c>
      <x:c r="Z1472" s="8" t="n">
        <x:f>K1472/H1472-X1472*I1472/H1472-Y1472*J1472/H1472</x:f>
        <x:v>10.446137833098158</x:v>
      </x:c>
      <x:c r="AA1472" s="8" t="n">
        <x:f>Z1472+X1472*Q1472+Y1472*R1472</x:f>
        <x:v>7.970908857175895</x:v>
      </x:c>
    </x:row>
    <x:row r="1473" ht="26" customHeight="1">
      <x:c r="A1473" s="2"/>
      <x:c r="B1473" s="2" t="n">
        <x:v>1468</x:v>
      </x:c>
      <x:c r="C1473" s="2" t="str">
        <x:v>Health Care / organic_sales_growth</x:v>
      </x:c>
      <x:c r="D1473" s="2" t="str">
        <x:v>Own history</x:v>
      </x:c>
      <x:c r="E1473" s="7" t="n">
        <x:v>45199</x:v>
      </x:c>
      <x:c r="F1473" s="2" t="str">
        <x:v>Pre-earnings</x:v>
      </x:c>
      <x:c r="G1473" s="7" t="n">
        <x:v>45216</x:v>
      </x:c>
      <x:c r="H1473" s="2" t="n">
        <x:v>9</x:v>
      </x:c>
      <x:c r="I1473" s="8" t="n">
        <x:v>82</x:v>
      </x:c>
      <x:c r="J1473" s="8" t="n">
        <x:v>0</x:v>
      </x:c>
      <x:c r="K1473" s="8" t="n">
        <x:v>84</x:v>
      </x:c>
      <x:c r="L1473" s="8" t="n">
        <x:v>864</x:v>
      </x:c>
      <x:c r="M1473" s="8" t="n">
        <x:v>0</x:v>
      </x:c>
      <x:c r="N1473" s="8" t="n">
        <x:v>0</x:v>
      </x:c>
      <x:c r="O1473" s="8" t="n">
        <x:v>721</x:v>
      </x:c>
      <x:c r="P1473" s="8" t="n">
        <x:v>0</x:v>
      </x:c>
      <x:c r="Q1473" s="8" t="n">
        <x:v>5</x:v>
      </x:c>
      <x:c r="R1473" s="8" t="n">
        <x:v>0</x:v>
      </x:c>
      <x:c r="S1473" s="8" t="n">
        <x:f>L1473-I1473^2/H1473</x:f>
        <x:v>116.88888888888891</x:v>
      </x:c>
      <x:c r="T1473" s="8" t="n">
        <x:f>M1473-J1473^2/H1473</x:f>
        <x:v>0</x:v>
      </x:c>
      <x:c r="U1473" s="8" t="n">
        <x:f>N1473-I1473*J1473/H1473</x:f>
        <x:v>0</x:v>
      </x:c>
      <x:c r="V1473" s="8" t="n">
        <x:f>O1473-I1473*K1473/H1473</x:f>
        <x:v>-44.33333333333337</x:v>
      </x:c>
      <x:c r="W1473" s="8" t="n">
        <x:f>P1473-J1473*K1473/H1473</x:f>
        <x:v>0</x:v>
      </x:c>
      <x:c r="X1473" s="8" t="n">
        <x:f>V1473/S1473</x:f>
        <x:v>-0.37927756653992417</x:v>
      </x:c>
      <x:c r="Y1473" s="8" t="n">
        <x:f>0</x:f>
        <x:v>0</x:v>
      </x:c>
      <x:c r="Z1473" s="8" t="n">
        <x:f>K1473/H1473-X1473*I1473/H1473-Y1473*J1473/H1473</x:f>
        <x:v>12.78897338403042</x:v>
      </x:c>
      <x:c r="AA1473" s="8" t="n">
        <x:f>Z1473+X1473*Q1473+Y1473*R1473</x:f>
        <x:v>10.8925855513308</x:v>
      </x:c>
    </x:row>
    <x:row r="1474" ht="26" customHeight="1">
      <x:c r="A1474" s="2"/>
      <x:c r="B1474" s="2" t="n">
        <x:v>1469</x:v>
      </x:c>
      <x:c r="C1474" s="2" t="str">
        <x:v>Health Care / organic_sales_growth</x:v>
      </x:c>
      <x:c r="D1474" s="2" t="str">
        <x:v>Broad market</x:v>
      </x:c>
      <x:c r="E1474" s="7" t="n">
        <x:v>45291</x:v>
      </x:c>
      <x:c r="F1474" s="2" t="str">
        <x:v>Origin</x:v>
      </x:c>
      <x:c r="G1474" s="7" t="n">
        <x:v>45200</x:v>
      </x:c>
      <x:c r="H1474" s="2" t="n">
        <x:v>10</x:v>
      </x:c>
      <x:c r="I1474" s="8" t="n">
        <x:v>65.18436978834822</x:v>
      </x:c>
      <x:c r="J1474" s="8" t="n">
        <x:v>0</x:v>
      </x:c>
      <x:c r="K1474" s="8" t="n">
        <x:v>87</x:v>
      </x:c>
      <x:c r="L1474" s="8" t="n">
        <x:v>614.980322042342</x:v>
      </x:c>
      <x:c r="M1474" s="8" t="n">
        <x:v>0</x:v>
      </x:c>
      <x:c r="N1474" s="8" t="n">
        <x:v>0</x:v>
      </x:c>
      <x:c r="O1474" s="8" t="n">
        <x:v>631.1250351042228</x:v>
      </x:c>
      <x:c r="P1474" s="8" t="n">
        <x:v>0</x:v>
      </x:c>
      <x:c r="Q1474" s="8" t="n">
        <x:v>7.630237201900525</x:v>
      </x:c>
      <x:c r="R1474" s="8" t="n">
        <x:v>0</x:v>
      </x:c>
      <x:c r="S1474" s="8" t="n">
        <x:f>L1474-I1474^2/H1474</x:f>
        <x:v>190.08011557192953</x:v>
      </x:c>
      <x:c r="T1474" s="8" t="n">
        <x:f>M1474-J1474^2/H1474</x:f>
        <x:v>0</x:v>
      </x:c>
      <x:c r="U1474" s="8" t="n">
        <x:f>N1474-I1474*J1474/H1474</x:f>
        <x:v>0</x:v>
      </x:c>
      <x:c r="V1474" s="8" t="n">
        <x:f>O1474-I1474*K1474/H1474</x:f>
        <x:v>64.02101794559326</x:v>
      </x:c>
      <x:c r="W1474" s="8" t="n">
        <x:f>P1474-J1474*K1474/H1474</x:f>
        <x:v>0</x:v>
      </x:c>
      <x:c r="X1474" s="8" t="n">
        <x:f>V1474/S1474</x:f>
        <x:v>0.3368107061223173</x:v>
      </x:c>
      <x:c r="Y1474" s="8" t="n">
        <x:f>0</x:f>
        <x:v>0</x:v>
      </x:c>
      <x:c r="Z1474" s="8" t="n">
        <x:f>K1474/H1474-X1474*I1474/H1474-Y1474*J1474/H1474</x:f>
        <x:v>6.504520638344818</x:v>
      </x:c>
      <x:c r="AA1474" s="8" t="n">
        <x:f>Z1474+X1474*Q1474+Y1474*R1474</x:f>
        <x:v>9.074466218197708</x:v>
      </x:c>
    </x:row>
    <x:row r="1475" ht="26" customHeight="1">
      <x:c r="A1475" s="2"/>
      <x:c r="B1475" s="2" t="n">
        <x:v>1470</x:v>
      </x:c>
      <x:c r="C1475" s="2" t="str">
        <x:v>Health Care / organic_sales_growth</x:v>
      </x:c>
      <x:c r="D1475" s="2" t="str">
        <x:v>Broad rolling 8</x:v>
      </x:c>
      <x:c r="E1475" s="7" t="n">
        <x:v>45291</x:v>
      </x:c>
      <x:c r="F1475" s="2" t="str">
        <x:v>Origin</x:v>
      </x:c>
      <x:c r="G1475" s="7" t="n">
        <x:v>45200</x:v>
      </x:c>
      <x:c r="H1475" s="2" t="n">
        <x:v>8</x:v>
      </x:c>
      <x:c r="I1475" s="8" t="n">
        <x:v>43.9594510600571</x:v>
      </x:c>
      <x:c r="J1475" s="8" t="n">
        <x:v>0</x:v>
      </x:c>
      <x:c r="K1475" s="8" t="n">
        <x:v>70</x:v>
      </x:c>
      <x:c r="L1475" s="8" t="n">
        <x:v>284.90383032233973</x:v>
      </x:c>
      <x:c r="M1475" s="8" t="n">
        <x:v>0</x:v>
      </x:c>
      <x:c r="N1475" s="8" t="n">
        <x:v>0</x:v>
      </x:c>
      <x:c r="O1475" s="8" t="n">
        <x:v>371.0759971534028</x:v>
      </x:c>
      <x:c r="P1475" s="8" t="n">
        <x:v>0</x:v>
      </x:c>
      <x:c r="Q1475" s="8" t="n">
        <x:v>7.630237201900525</x:v>
      </x:c>
      <x:c r="R1475" s="8" t="n">
        <x:v>0</x:v>
      </x:c>
      <x:c r="S1475" s="8" t="n">
        <x:f>L1475-I1475^2/H1475</x:f>
        <x:v>43.34966313464534</x:v>
      </x:c>
      <x:c r="T1475" s="8" t="n">
        <x:f>M1475-J1475^2/H1475</x:f>
        <x:v>0</x:v>
      </x:c>
      <x:c r="U1475" s="8" t="n">
        <x:f>N1475-I1475*J1475/H1475</x:f>
        <x:v>0</x:v>
      </x:c>
      <x:c r="V1475" s="8" t="n">
        <x:f>O1475-I1475*K1475/H1475</x:f>
        <x:v>-13.56919962209679</x:v>
      </x:c>
      <x:c r="W1475" s="8" t="n">
        <x:f>P1475-J1475*K1475/H1475</x:f>
        <x:v>0</x:v>
      </x:c>
      <x:c r="X1475" s="8" t="n">
        <x:f>V1475/S1475</x:f>
        <x:v>-0.3130174179197299</x:v>
      </x:c>
      <x:c r="Y1475" s="8" t="n">
        <x:f>0</x:f>
        <x:v>0</x:v>
      </x:c>
      <x:c r="Z1475" s="8" t="n">
        <x:f>K1475/H1475-X1475*I1475/H1475-Y1475*J1475/H1475</x:f>
        <x:v>10.470009232998477</x:v>
      </x:c>
      <x:c r="AA1475" s="8" t="n">
        <x:f>Z1475+X1475*Q1475+Y1475*R1475</x:f>
        <x:v>8.08161208594451</x:v>
      </x:c>
    </x:row>
    <x:row r="1476" ht="26" customHeight="1">
      <x:c r="A1476" s="2"/>
      <x:c r="B1476" s="2" t="n">
        <x:v>1471</x:v>
      </x:c>
      <x:c r="C1476" s="2" t="str">
        <x:v>Health Care / organic_sales_growth</x:v>
      </x:c>
      <x:c r="D1476" s="2" t="str">
        <x:v>Own history</x:v>
      </x:c>
      <x:c r="E1476" s="7" t="n">
        <x:v>45291</x:v>
      </x:c>
      <x:c r="F1476" s="2" t="str">
        <x:v>Origin</x:v>
      </x:c>
      <x:c r="G1476" s="7" t="n">
        <x:v>45200</x:v>
      </x:c>
      <x:c r="H1476" s="2" t="n">
        <x:v>8</x:v>
      </x:c>
      <x:c r="I1476" s="8" t="n">
        <x:v>73</x:v>
      </x:c>
      <x:c r="J1476" s="8" t="n">
        <x:v>0</x:v>
      </x:c>
      <x:c r="K1476" s="8" t="n">
        <x:v>70</x:v>
      </x:c>
      <x:c r="L1476" s="8" t="n">
        <x:v>783</x:v>
      </x:c>
      <x:c r="M1476" s="8" t="n">
        <x:v>0</x:v>
      </x:c>
      <x:c r="N1476" s="8" t="n">
        <x:v>0</x:v>
      </x:c>
      <x:c r="O1476" s="8" t="n">
        <x:v>629</x:v>
      </x:c>
      <x:c r="P1476" s="8" t="n">
        <x:v>0</x:v>
      </x:c>
      <x:c r="Q1476" s="8" t="n">
        <x:v>5</x:v>
      </x:c>
      <x:c r="R1476" s="8" t="n">
        <x:v>0</x:v>
      </x:c>
      <x:c r="S1476" s="8" t="n">
        <x:f>L1476-I1476^2/H1476</x:f>
        <x:v>116.875</x:v>
      </x:c>
      <x:c r="T1476" s="8" t="n">
        <x:f>M1476-J1476^2/H1476</x:f>
        <x:v>0</x:v>
      </x:c>
      <x:c r="U1476" s="8" t="n">
        <x:f>N1476-I1476*J1476/H1476</x:f>
        <x:v>0</x:v>
      </x:c>
      <x:c r="V1476" s="8" t="n">
        <x:f>O1476-I1476*K1476/H1476</x:f>
        <x:v>-9.75</x:v>
      </x:c>
      <x:c r="W1476" s="8" t="n">
        <x:f>P1476-J1476*K1476/H1476</x:f>
        <x:v>0</x:v>
      </x:c>
      <x:c r="X1476" s="8" t="n">
        <x:f>V1476/S1476</x:f>
        <x:v>-0.08342245989304813</x:v>
      </x:c>
      <x:c r="Y1476" s="8" t="n">
        <x:f>0</x:f>
        <x:v>0</x:v>
      </x:c>
      <x:c r="Z1476" s="8" t="n">
        <x:f>K1476/H1476-X1476*I1476/H1476-Y1476*J1476/H1476</x:f>
        <x:v>9.511229946524065</x:v>
      </x:c>
      <x:c r="AA1476" s="8" t="n">
        <x:f>Z1476+X1476*Q1476+Y1476*R1476</x:f>
        <x:v>9.094117647058823</x:v>
      </x:c>
    </x:row>
    <x:row r="1477" ht="26" customHeight="1">
      <x:c r="A1477" s="2"/>
      <x:c r="B1477" s="2" t="n">
        <x:v>1472</x:v>
      </x:c>
      <x:c r="C1477" s="2" t="str">
        <x:v>Health Care / organic_sales_growth</x:v>
      </x:c>
      <x:c r="D1477" s="2" t="str">
        <x:v>Broad market</x:v>
      </x:c>
      <x:c r="E1477" s="7" t="n">
        <x:v>45291</x:v>
      </x:c>
      <x:c r="F1477" s="2" t="str">
        <x:v>Prior report</x:v>
      </x:c>
      <x:c r="G1477" s="7" t="n">
        <x:v>45217</x:v>
      </x:c>
      <x:c r="H1477" s="2" t="n">
        <x:v>11</x:v>
      </x:c>
      <x:c r="I1477" s="8" t="n">
        <x:v>73.12033413518846</x:v>
      </x:c>
      <x:c r="J1477" s="8" t="n">
        <x:v>0</x:v>
      </x:c>
      <x:c r="K1477" s="8" t="n">
        <x:v>97</x:v>
      </x:c>
      <x:c r="L1477" s="8" t="n">
        <x:v>678.6776699425096</x:v>
      </x:c>
      <x:c r="M1477" s="8" t="n">
        <x:v>0</x:v>
      </x:c>
      <x:c r="N1477" s="8" t="n">
        <x:v>0</x:v>
      </x:c>
      <x:c r="O1477" s="8" t="n">
        <x:v>710.6250137499762</x:v>
      </x:c>
      <x:c r="P1477" s="8" t="n">
        <x:v>0</x:v>
      </x:c>
      <x:c r="Q1477" s="8" t="n">
        <x:v>8.004941225849315</x:v>
      </x:c>
      <x:c r="R1477" s="8" t="n">
        <x:v>0</x:v>
      </x:c>
      <x:c r="S1477" s="8" t="n">
        <x:f>L1477-I1477^2/H1477</x:f>
        <x:v>192.6246459387272</x:v>
      </x:c>
      <x:c r="T1477" s="8" t="n">
        <x:f>M1477-J1477^2/H1477</x:f>
        <x:v>0</x:v>
      </x:c>
      <x:c r="U1477" s="8" t="n">
        <x:f>N1477-I1477*J1477/H1477</x:f>
        <x:v>0</x:v>
      </x:c>
      <x:c r="V1477" s="8" t="n">
        <x:f>O1477-I1477*K1477/H1477</x:f>
        <x:v>65.836612739678</x:v>
      </x:c>
      <x:c r="W1477" s="8" t="n">
        <x:f>P1477-J1477*K1477/H1477</x:f>
        <x:v>0</x:v>
      </x:c>
      <x:c r="X1477" s="8" t="n">
        <x:f>V1477/S1477</x:f>
        <x:v>0.34178706685654464</x:v>
      </x:c>
      <x:c r="Y1477" s="8" t="n">
        <x:f>0</x:f>
        <x:v>0</x:v>
      </x:c>
      <x:c r="Z1477" s="8" t="n">
        <x:f>K1477/H1477-X1477*I1477/H1477-Y1477*J1477/H1477</x:f>
        <x:v>6.546219588033042</x:v>
      </x:c>
      <x:c r="AA1477" s="8" t="n">
        <x:f>Z1477+X1477*Q1477+Y1477*R1477</x:f>
        <x:v>9.282204969975112</x:v>
      </x:c>
    </x:row>
    <x:row r="1478" ht="26" customHeight="1">
      <x:c r="A1478" s="2"/>
      <x:c r="B1478" s="2" t="n">
        <x:v>1473</x:v>
      </x:c>
      <x:c r="C1478" s="2" t="str">
        <x:v>Health Care / organic_sales_growth</x:v>
      </x:c>
      <x:c r="D1478" s="2" t="str">
        <x:v>Broad lag 1</x:v>
      </x:c>
      <x:c r="E1478" s="7" t="n">
        <x:v>45291</x:v>
      </x:c>
      <x:c r="F1478" s="2" t="str">
        <x:v>Prior report</x:v>
      </x:c>
      <x:c r="G1478" s="7" t="n">
        <x:v>45217</x:v>
      </x:c>
      <x:c r="H1478" s="2" t="n">
        <x:v>10</x:v>
      </x:c>
      <x:c r="I1478" s="8" t="n">
        <x:v>65.11420219967268</x:v>
      </x:c>
      <x:c r="J1478" s="8" t="n">
        <x:v>0</x:v>
      </x:c>
      <x:c r="K1478" s="8" t="n">
        <x:v>94</x:v>
      </x:c>
      <x:c r="L1478" s="8" t="n">
        <x:v>614.579521373624</x:v>
      </x:c>
      <x:c r="M1478" s="8" t="n">
        <x:v>0</x:v>
      </x:c>
      <x:c r="N1478" s="8" t="n">
        <x:v>0</x:v>
      </x:c>
      <x:c r="O1478" s="8" t="n">
        <x:v>588.0110587744352</x:v>
      </x:c>
      <x:c r="P1478" s="8" t="n">
        <x:v>0</x:v>
      </x:c>
      <x:c r="Q1478" s="8" t="n">
        <x:v>8.006131935515782</x:v>
      </x:c>
      <x:c r="R1478" s="8" t="n">
        <x:v>0</x:v>
      </x:c>
      <x:c r="S1478" s="8" t="n">
        <x:f>L1478-I1478^2/H1478</x:f>
        <x:v>190.5935885636382</x:v>
      </x:c>
      <x:c r="T1478" s="8" t="n">
        <x:f>M1478-J1478^2/H1478</x:f>
        <x:v>0</x:v>
      </x:c>
      <x:c r="U1478" s="8" t="n">
        <x:f>N1478-I1478*J1478/H1478</x:f>
        <x:v>0</x:v>
      </x:c>
      <x:c r="V1478" s="8" t="n">
        <x:f>O1478-I1478*K1478/H1478</x:f>
        <x:v>-24.062441902487876</x:v>
      </x:c>
      <x:c r="W1478" s="8" t="n">
        <x:f>P1478-J1478*K1478/H1478</x:f>
        <x:v>0</x:v>
      </x:c>
      <x:c r="X1478" s="8" t="n">
        <x:f>V1478/S1478</x:f>
        <x:v>-0.12625000706387116</x:v>
      </x:c>
      <x:c r="Y1478" s="8" t="n">
        <x:f>0</x:f>
        <x:v>0</x:v>
      </x:c>
      <x:c r="Z1478" s="8" t="n">
        <x:f>K1478/H1478-X1478*I1478/H1478-Y1478*J1478/H1478</x:f>
        <x:v>10.222066848766701</x:v>
      </x:c>
      <x:c r="AA1478" s="8" t="n">
        <x:f>Z1478+X1478*Q1478+Y1478*R1478</x:f>
        <x:v>9.21129263535355</x:v>
      </x:c>
    </x:row>
    <x:row r="1479" ht="26" customHeight="1">
      <x:c r="A1479" s="2"/>
      <x:c r="B1479" s="2" t="n">
        <x:v>1474</x:v>
      </x:c>
      <x:c r="C1479" s="2" t="str">
        <x:v>Health Care / organic_sales_growth</x:v>
      </x:c>
      <x:c r="D1479" s="2" t="str">
        <x:v>Broad rolling 8</x:v>
      </x:c>
      <x:c r="E1479" s="7" t="n">
        <x:v>45291</x:v>
      </x:c>
      <x:c r="F1479" s="2" t="str">
        <x:v>Prior report</x:v>
      </x:c>
      <x:c r="G1479" s="7" t="n">
        <x:v>45217</x:v>
      </x:c>
      <x:c r="H1479" s="2" t="n">
        <x:v>8</x:v>
      </x:c>
      <x:c r="I1479" s="8" t="n">
        <x:v>44.554593889830606</x:v>
      </x:c>
      <x:c r="J1479" s="8" t="n">
        <x:v>0</x:v>
      </x:c>
      <x:c r="K1479" s="8" t="n">
        <x:v>73</x:v>
      </x:c>
      <x:c r="L1479" s="8" t="n">
        <x:v>294.7135176770776</x:v>
      </x:c>
      <x:c r="M1479" s="8" t="n">
        <x:v>0</x:v>
      </x:c>
      <x:c r="N1479" s="8" t="n">
        <x:v>0</x:v>
      </x:c>
      <x:c r="O1479" s="8" t="n">
        <x:v>399.19022517968915</x:v>
      </x:c>
      <x:c r="P1479" s="8" t="n">
        <x:v>0</x:v>
      </x:c>
      <x:c r="Q1479" s="8" t="n">
        <x:v>8.004941225849315</x:v>
      </x:c>
      <x:c r="R1479" s="8" t="n">
        <x:v>0</x:v>
      </x:c>
      <x:c r="S1479" s="8" t="n">
        <x:f>L1479-I1479^2/H1479</x:f>
        <x:v>46.574538091111265</x:v>
      </x:c>
      <x:c r="T1479" s="8" t="n">
        <x:f>M1479-J1479^2/H1479</x:f>
        <x:v>0</x:v>
      </x:c>
      <x:c r="U1479" s="8" t="n">
        <x:f>N1479-I1479*J1479/H1479</x:f>
        <x:v>0</x:v>
      </x:c>
      <x:c r="V1479" s="8" t="n">
        <x:f>O1479-I1479*K1479/H1479</x:f>
        <x:v>-7.3704440650151355</x:v>
      </x:c>
      <x:c r="W1479" s="8" t="n">
        <x:f>P1479-J1479*K1479/H1479</x:f>
        <x:v>0</x:v>
      </x:c>
      <x:c r="X1479" s="8" t="n">
        <x:f>V1479/S1479</x:f>
        <x:v>-0.15825050268017113</x:v>
      </x:c>
      <x:c r="Y1479" s="8" t="n">
        <x:f>0</x:f>
        <x:v>0</x:v>
      </x:c>
      <x:c r="Z1479" s="8" t="n">
        <x:f>K1479/H1479-X1479*I1479/H1479-Y1479*J1479/H1479</x:f>
        <x:v>10.006348359972073</x:v>
      </x:c>
      <x:c r="AA1479" s="8" t="n">
        <x:f>Z1479+X1479*Q1479+Y1479*R1479</x:f>
        <x:v>8.739562387056193</x:v>
      </x:c>
    </x:row>
    <x:row r="1480" ht="26" customHeight="1">
      <x:c r="A1480" s="2"/>
      <x:c r="B1480" s="2" t="n">
        <x:v>1475</x:v>
      </x:c>
      <x:c r="C1480" s="2" t="str">
        <x:v>Health Care / organic_sales_growth</x:v>
      </x:c>
      <x:c r="D1480" s="2" t="str">
        <x:v>Own history</x:v>
      </x:c>
      <x:c r="E1480" s="7" t="n">
        <x:v>45291</x:v>
      </x:c>
      <x:c r="F1480" s="2" t="str">
        <x:v>Prior report</x:v>
      </x:c>
      <x:c r="G1480" s="7" t="n">
        <x:v>45217</x:v>
      </x:c>
      <x:c r="H1480" s="2" t="n">
        <x:v>10</x:v>
      </x:c>
      <x:c r="I1480" s="8" t="n">
        <x:v>87</x:v>
      </x:c>
      <x:c r="J1480" s="8" t="n">
        <x:v>0</x:v>
      </x:c>
      <x:c r="K1480" s="8" t="n">
        <x:v>94</x:v>
      </x:c>
      <x:c r="L1480" s="8" t="n">
        <x:v>889</x:v>
      </x:c>
      <x:c r="M1480" s="8" t="n">
        <x:v>0</x:v>
      </x:c>
      <x:c r="N1480" s="8" t="n">
        <x:v>0</x:v>
      </x:c>
      <x:c r="O1480" s="8" t="n">
        <x:v>771</x:v>
      </x:c>
      <x:c r="P1480" s="8" t="n">
        <x:v>0</x:v>
      </x:c>
      <x:c r="Q1480" s="8" t="n">
        <x:v>10</x:v>
      </x:c>
      <x:c r="R1480" s="8" t="n">
        <x:v>0</x:v>
      </x:c>
      <x:c r="S1480" s="8" t="n">
        <x:f>L1480-I1480^2/H1480</x:f>
        <x:v>132.10000000000002</x:v>
      </x:c>
      <x:c r="T1480" s="8" t="n">
        <x:f>M1480-J1480^2/H1480</x:f>
        <x:v>0</x:v>
      </x:c>
      <x:c r="U1480" s="8" t="n">
        <x:f>N1480-I1480*J1480/H1480</x:f>
        <x:v>0</x:v>
      </x:c>
      <x:c r="V1480" s="8" t="n">
        <x:f>O1480-I1480*K1480/H1480</x:f>
        <x:v>-46.799999999999955</x:v>
      </x:c>
      <x:c r="W1480" s="8" t="n">
        <x:f>P1480-J1480*K1480/H1480</x:f>
        <x:v>0</x:v>
      </x:c>
      <x:c r="X1480" s="8" t="n">
        <x:f>V1480/S1480</x:f>
        <x:v>-0.3542770628311881</x:v>
      </x:c>
      <x:c r="Y1480" s="8" t="n">
        <x:f>0</x:f>
        <x:v>0</x:v>
      </x:c>
      <x:c r="Z1480" s="8" t="n">
        <x:f>K1480/H1480-X1480*I1480/H1480-Y1480*J1480/H1480</x:f>
        <x:v>12.482210446631337</x:v>
      </x:c>
      <x:c r="AA1480" s="8" t="n">
        <x:f>Z1480+X1480*Q1480+Y1480*R1480</x:f>
        <x:v>8.939439818319457</x:v>
      </x:c>
    </x:row>
    <x:row r="1481" ht="26" customHeight="1">
      <x:c r="A1481" s="2"/>
      <x:c r="B1481" s="2" t="n">
        <x:v>1476</x:v>
      </x:c>
      <x:c r="C1481" s="2" t="str">
        <x:v>Health Care / organic_sales_growth</x:v>
      </x:c>
      <x:c r="D1481" s="2" t="str">
        <x:v>Broad market</x:v>
      </x:c>
      <x:c r="E1481" s="7" t="n">
        <x:v>45291</x:v>
      </x:c>
      <x:c r="F1481" s="2" t="str">
        <x:v>Pre-earnings</x:v>
      </x:c>
      <x:c r="G1481" s="7" t="n">
        <x:v>45313</x:v>
      </x:c>
      <x:c r="H1481" s="2" t="n">
        <x:v>11</x:v>
      </x:c>
      <x:c r="I1481" s="8" t="n">
        <x:v>73.37889393679964</x:v>
      </x:c>
      <x:c r="J1481" s="8" t="n">
        <x:v>0</x:v>
      </x:c>
      <x:c r="K1481" s="8" t="n">
        <x:v>97</x:v>
      </x:c>
      <x:c r="L1481" s="8" t="n">
        <x:v>682.4352951915308</x:v>
      </x:c>
      <x:c r="M1481" s="8" t="n">
        <x:v>0</x:v>
      </x:c>
      <x:c r="N1481" s="8" t="n">
        <x:v>0</x:v>
      </x:c>
      <x:c r="O1481" s="8" t="n">
        <x:v>713.1293054619979</x:v>
      </x:c>
      <x:c r="P1481" s="8" t="n">
        <x:v>0</x:v>
      </x:c>
      <x:c r="Q1481" s="8" t="n">
        <x:v>10.13967363388517</x:v>
      </x:c>
      <x:c r="R1481" s="8" t="n">
        <x:v>0</x:v>
      </x:c>
      <x:c r="S1481" s="8" t="n">
        <x:f>L1481-I1481^2/H1481</x:f>
        <x:v>192.9387428835226</x:v>
      </x:c>
      <x:c r="T1481" s="8" t="n">
        <x:f>M1481-J1481^2/H1481</x:f>
        <x:v>0</x:v>
      </x:c>
      <x:c r="U1481" s="8" t="n">
        <x:f>N1481-I1481*J1481/H1481</x:f>
        <x:v>0</x:v>
      </x:c>
      <x:c r="V1481" s="8" t="n">
        <x:f>O1481-I1481*K1481/H1481</x:f>
        <x:v>66.06087711021928</x:v>
      </x:c>
      <x:c r="W1481" s="8" t="n">
        <x:f>P1481-J1481*K1481/H1481</x:f>
        <x:v>0</x:v>
      </x:c>
      <x:c r="X1481" s="8" t="n">
        <x:f>V1481/S1481</x:f>
        <x:v>0.34239301097810265</x:v>
      </x:c>
      <x:c r="Y1481" s="8" t="n">
        <x:f>0</x:f>
        <x:v>0</x:v>
      </x:c>
      <x:c r="Z1481" s="8" t="n">
        <x:f>K1481/H1481-X1481*I1481/H1481-Y1481*J1481/H1481</x:f>
        <x:v>6.5341435966123935</x:v>
      </x:c>
      <x:c r="AA1481" s="8" t="n">
        <x:f>Z1481+X1481*Q1481+Y1481*R1481</x:f>
        <x:v>10.005896982453617</x:v>
      </x:c>
    </x:row>
    <x:row r="1482" ht="26" customHeight="1">
      <x:c r="A1482" s="2"/>
      <x:c r="B1482" s="2" t="n">
        <x:v>1477</x:v>
      </x:c>
      <x:c r="C1482" s="2" t="str">
        <x:v>Health Care / organic_sales_growth</x:v>
      </x:c>
      <x:c r="D1482" s="2" t="str">
        <x:v>Broad lag 1</x:v>
      </x:c>
      <x:c r="E1482" s="7" t="n">
        <x:v>45291</x:v>
      </x:c>
      <x:c r="F1482" s="2" t="str">
        <x:v>Pre-earnings</x:v>
      </x:c>
      <x:c r="G1482" s="7" t="n">
        <x:v>45313</x:v>
      </x:c>
      <x:c r="H1482" s="2" t="n">
        <x:v>10</x:v>
      </x:c>
      <x:c r="I1482" s="8" t="n">
        <x:v>65.15485535171774</x:v>
      </x:c>
      <x:c r="J1482" s="8" t="n">
        <x:v>0</x:v>
      </x:c>
      <x:c r="K1482" s="8" t="n">
        <x:v>94</x:v>
      </x:c>
      <x:c r="L1482" s="8" t="n">
        <x:v>614.8004845426151</x:v>
      </x:c>
      <x:c r="M1482" s="8" t="n">
        <x:v>0</x:v>
      </x:c>
      <x:c r="N1482" s="8" t="n">
        <x:v>0</x:v>
      </x:c>
      <x:c r="O1482" s="8" t="n">
        <x:v>588.3067695541653</x:v>
      </x:c>
      <x:c r="P1482" s="8" t="n">
        <x:v>0</x:v>
      </x:c>
      <x:c r="Q1482" s="8" t="n">
        <x:v>8.224038585081894</x:v>
      </x:c>
      <x:c r="R1482" s="8" t="n">
        <x:v>0</x:v>
      </x:c>
      <x:c r="S1482" s="8" t="n">
        <x:f>L1482-I1482^2/H1482</x:f>
        <x:v>190.28496695228893</x:v>
      </x:c>
      <x:c r="T1482" s="8" t="n">
        <x:f>M1482-J1482^2/H1482</x:f>
        <x:v>0</x:v>
      </x:c>
      <x:c r="U1482" s="8" t="n">
        <x:f>N1482-I1482*J1482/H1482</x:f>
        <x:v>0</x:v>
      </x:c>
      <x:c r="V1482" s="8" t="n">
        <x:f>O1482-I1482*K1482/H1482</x:f>
        <x:v>-24.148870751981462</x:v>
      </x:c>
      <x:c r="W1482" s="8" t="n">
        <x:f>P1482-J1482*K1482/H1482</x:f>
        <x:v>0</x:v>
      </x:c>
      <x:c r="X1482" s="8" t="n">
        <x:f>V1482/S1482</x:f>
        <x:v>-0.12690897835369425</x:v>
      </x:c>
      <x:c r="Y1482" s="8" t="n">
        <x:f>0</x:f>
        <x:v>0</x:v>
      </x:c>
      <x:c r="Z1482" s="8" t="n">
        <x:f>K1482/H1482-X1482*I1482/H1482-Y1482*J1482/H1482</x:f>
        <x:v>10.226873612746923</x:v>
      </x:c>
      <x:c r="AA1482" s="8" t="n">
        <x:f>Z1482+X1482*Q1482+Y1482*R1482</x:f>
        <x:v>9.18316927797282</x:v>
      </x:c>
    </x:row>
    <x:row r="1483" ht="26" customHeight="1">
      <x:c r="A1483" s="2"/>
      <x:c r="B1483" s="2" t="n">
        <x:v>1478</x:v>
      </x:c>
      <x:c r="C1483" s="2" t="str">
        <x:v>Health Care / organic_sales_growth</x:v>
      </x:c>
      <x:c r="D1483" s="2" t="str">
        <x:v>Broad rolling 8</x:v>
      </x:c>
      <x:c r="E1483" s="7" t="n">
        <x:v>45291</x:v>
      </x:c>
      <x:c r="F1483" s="2" t="str">
        <x:v>Pre-earnings</x:v>
      </x:c>
      <x:c r="G1483" s="7" t="n">
        <x:v>45313</x:v>
      </x:c>
      <x:c r="H1483" s="2" t="n">
        <x:v>8</x:v>
      </x:c>
      <x:c r="I1483" s="8" t="n">
        <x:v>44.813153691441784</x:v>
      </x:c>
      <x:c r="J1483" s="8" t="n">
        <x:v>0</x:v>
      </x:c>
      <x:c r="K1483" s="8" t="n">
        <x:v>73</x:v>
      </x:c>
      <x:c r="L1483" s="8" t="n">
        <x:v>298.4711429260989</x:v>
      </x:c>
      <x:c r="M1483" s="8" t="n">
        <x:v>0</x:v>
      </x:c>
      <x:c r="N1483" s="8" t="n">
        <x:v>0</x:v>
      </x:c>
      <x:c r="O1483" s="8" t="n">
        <x:v>401.6945168917108</x:v>
      </x:c>
      <x:c r="P1483" s="8" t="n">
        <x:v>0</x:v>
      </x:c>
      <x:c r="Q1483" s="8" t="n">
        <x:v>10.13967363388517</x:v>
      </x:c>
      <x:c r="R1483" s="8" t="n">
        <x:v>0</x:v>
      </x:c>
      <x:c r="S1483" s="8" t="n">
        <x:f>L1483-I1483^2/H1483</x:f>
        <x:v>47.44379995450109</x:v>
      </x:c>
      <x:c r="T1483" s="8" t="n">
        <x:f>M1483-J1483^2/H1483</x:f>
        <x:v>0</x:v>
      </x:c>
      <x:c r="U1483" s="8" t="n">
        <x:f>N1483-I1483*J1483/H1483</x:f>
        <x:v>0</x:v>
      </x:c>
      <x:c r="V1483" s="8" t="n">
        <x:f>O1483-I1483*K1483/H1483</x:f>
        <x:v>-7.225510542695474</x:v>
      </x:c>
      <x:c r="W1483" s="8" t="n">
        <x:f>P1483-J1483*K1483/H1483</x:f>
        <x:v>0</x:v>
      </x:c>
      <x:c r="X1483" s="8" t="n">
        <x:f>V1483/S1483</x:f>
        <x:v>-0.1522962020248122</x:v>
      </x:c>
      <x:c r="Y1483" s="8" t="n">
        <x:f>0</x:f>
        <x:v>0</x:v>
      </x:c>
      <x:c r="Z1483" s="8" t="n">
        <x:f>K1483/H1483-X1483*I1483/H1483-Y1483*J1483/H1483</x:f>
        <x:v>9.978109138495096</x:v>
      </x:c>
      <x:c r="AA1483" s="8" t="n">
        <x:f>Z1483+X1483*Q1483+Y1483*R1483</x:f>
        <x:v>8.43387535428326</x:v>
      </x:c>
    </x:row>
    <x:row r="1484" ht="26" customHeight="1">
      <x:c r="A1484" s="2"/>
      <x:c r="B1484" s="2" t="n">
        <x:v>1479</x:v>
      </x:c>
      <x:c r="C1484" s="2" t="str">
        <x:v>Health Care / organic_sales_growth</x:v>
      </x:c>
      <x:c r="D1484" s="2" t="str">
        <x:v>Own history</x:v>
      </x:c>
      <x:c r="E1484" s="7" t="n">
        <x:v>45291</x:v>
      </x:c>
      <x:c r="F1484" s="2" t="str">
        <x:v>Pre-earnings</x:v>
      </x:c>
      <x:c r="G1484" s="7" t="n">
        <x:v>45313</x:v>
      </x:c>
      <x:c r="H1484" s="2" t="n">
        <x:v>10</x:v>
      </x:c>
      <x:c r="I1484" s="8" t="n">
        <x:v>87</x:v>
      </x:c>
      <x:c r="J1484" s="8" t="n">
        <x:v>0</x:v>
      </x:c>
      <x:c r="K1484" s="8" t="n">
        <x:v>94</x:v>
      </x:c>
      <x:c r="L1484" s="8" t="n">
        <x:v>889</x:v>
      </x:c>
      <x:c r="M1484" s="8" t="n">
        <x:v>0</x:v>
      </x:c>
      <x:c r="N1484" s="8" t="n">
        <x:v>0</x:v>
      </x:c>
      <x:c r="O1484" s="8" t="n">
        <x:v>771</x:v>
      </x:c>
      <x:c r="P1484" s="8" t="n">
        <x:v>0</x:v>
      </x:c>
      <x:c r="Q1484" s="8" t="n">
        <x:v>10</x:v>
      </x:c>
      <x:c r="R1484" s="8" t="n">
        <x:v>0</x:v>
      </x:c>
      <x:c r="S1484" s="8" t="n">
        <x:f>L1484-I1484^2/H1484</x:f>
        <x:v>132.10000000000002</x:v>
      </x:c>
      <x:c r="T1484" s="8" t="n">
        <x:f>M1484-J1484^2/H1484</x:f>
        <x:v>0</x:v>
      </x:c>
      <x:c r="U1484" s="8" t="n">
        <x:f>N1484-I1484*J1484/H1484</x:f>
        <x:v>0</x:v>
      </x:c>
      <x:c r="V1484" s="8" t="n">
        <x:f>O1484-I1484*K1484/H1484</x:f>
        <x:v>-46.799999999999955</x:v>
      </x:c>
      <x:c r="W1484" s="8" t="n">
        <x:f>P1484-J1484*K1484/H1484</x:f>
        <x:v>0</x:v>
      </x:c>
      <x:c r="X1484" s="8" t="n">
        <x:f>V1484/S1484</x:f>
        <x:v>-0.3542770628311881</x:v>
      </x:c>
      <x:c r="Y1484" s="8" t="n">
        <x:f>0</x:f>
        <x:v>0</x:v>
      </x:c>
      <x:c r="Z1484" s="8" t="n">
        <x:f>K1484/H1484-X1484*I1484/H1484-Y1484*J1484/H1484</x:f>
        <x:v>12.482210446631337</x:v>
      </x:c>
      <x:c r="AA1484" s="8" t="n">
        <x:f>Z1484+X1484*Q1484+Y1484*R1484</x:f>
        <x:v>8.939439818319457</x:v>
      </x:c>
    </x:row>
    <x:row r="1485" ht="26" customHeight="1">
      <x:c r="A1485" s="2"/>
      <x:c r="B1485" s="2" t="n">
        <x:v>1480</x:v>
      </x:c>
      <x:c r="C1485" s="2" t="str">
        <x:v>Health Care / organic_sales_growth</x:v>
      </x:c>
      <x:c r="D1485" s="2" t="str">
        <x:v>Broad market</x:v>
      </x:c>
      <x:c r="E1485" s="7" t="n">
        <x:v>45382</x:v>
      </x:c>
      <x:c r="F1485" s="2" t="str">
        <x:v>Origin</x:v>
      </x:c>
      <x:c r="G1485" s="7" t="n">
        <x:v>45292</x:v>
      </x:c>
      <x:c r="H1485" s="2" t="n">
        <x:v>11</x:v>
      </x:c>
      <x:c r="I1485" s="8" t="n">
        <x:v>73.19875409943437</x:v>
      </x:c>
      <x:c r="J1485" s="8" t="n">
        <x:v>0</x:v>
      </x:c>
      <x:c r="K1485" s="8" t="n">
        <x:v>97</x:v>
      </x:c>
      <x:c r="L1485" s="8" t="n">
        <x:v>681.3754334007082</x:v>
      </x:c>
      <x:c r="M1485" s="8" t="n">
        <x:v>0</x:v>
      </x:c>
      <x:c r="N1485" s="8" t="n">
        <x:v>0</x:v>
      </x:c>
      <x:c r="O1485" s="8" t="n">
        <x:v>711.6881867630757</x:v>
      </x:c>
      <x:c r="P1485" s="8" t="n">
        <x:v>0</x:v>
      </x:c>
      <x:c r="Q1485" s="8" t="n">
        <x:v>10.039734863039062</x:v>
      </x:c>
      <x:c r="R1485" s="8" t="n">
        <x:v>0</x:v>
      </x:c>
      <x:c r="S1485" s="8" t="n">
        <x:f>L1485-I1485^2/H1485</x:f>
        <x:v>194.27928779075728</x:v>
      </x:c>
      <x:c r="T1485" s="8" t="n">
        <x:f>M1485-J1485^2/H1485</x:f>
        <x:v>0</x:v>
      </x:c>
      <x:c r="U1485" s="8" t="n">
        <x:f>N1485-I1485*J1485/H1485</x:f>
        <x:v>0</x:v>
      </x:c>
      <x:c r="V1485" s="8" t="n">
        <x:f>O1485-I1485*K1485/H1485</x:f>
        <x:v>66.20826424988172</x:v>
      </x:c>
      <x:c r="W1485" s="8" t="n">
        <x:f>P1485-J1485*K1485/H1485</x:f>
        <x:v>0</x:v>
      </x:c>
      <x:c r="X1485" s="8" t="n">
        <x:f>V1485/S1485</x:f>
        <x:v>0.3407891031656929</x:v>
      </x:c>
      <x:c r="Y1485" s="8" t="n">
        <x:f>0</x:f>
        <x:v>0</x:v>
      </x:c>
      <x:c r="Z1485" s="8" t="n">
        <x:f>K1485/H1485-X1485*I1485/H1485-Y1485*J1485/H1485</x:f>
        <x:v>6.550423839782516</x:v>
      </x:c>
      <x:c r="AA1485" s="8" t="n">
        <x:f>Z1485+X1485*Q1485+Y1485*R1485</x:f>
        <x:v>9.971856079778938</x:v>
      </x:c>
    </x:row>
    <x:row r="1486" ht="26" customHeight="1">
      <x:c r="A1486" s="2"/>
      <x:c r="B1486" s="2" t="n">
        <x:v>1481</x:v>
      </x:c>
      <x:c r="C1486" s="2" t="str">
        <x:v>Health Care / organic_sales_growth</x:v>
      </x:c>
      <x:c r="D1486" s="2" t="str">
        <x:v>Broad rolling 8</x:v>
      </x:c>
      <x:c r="E1486" s="7" t="n">
        <x:v>45382</x:v>
      </x:c>
      <x:c r="F1486" s="2" t="str">
        <x:v>Origin</x:v>
      </x:c>
      <x:c r="G1486" s="7" t="n">
        <x:v>45292</x:v>
      </x:c>
      <x:c r="H1486" s="2" t="n">
        <x:v>8</x:v>
      </x:c>
      <x:c r="I1486" s="8" t="n">
        <x:v>44.633013854076516</x:v>
      </x:c>
      <x:c r="J1486" s="8" t="n">
        <x:v>0</x:v>
      </x:c>
      <x:c r="K1486" s="8" t="n">
        <x:v>73</x:v>
      </x:c>
      <x:c r="L1486" s="8" t="n">
        <x:v>297.4112811352762</x:v>
      </x:c>
      <x:c r="M1486" s="8" t="n">
        <x:v>0</x:v>
      </x:c>
      <x:c r="N1486" s="8" t="n">
        <x:v>0</x:v>
      </x:c>
      <x:c r="O1486" s="8" t="n">
        <x:v>400.2533981927887</x:v>
      </x:c>
      <x:c r="P1486" s="8" t="n">
        <x:v>0</x:v>
      </x:c>
      <x:c r="Q1486" s="8" t="n">
        <x:v>10.039734863039062</x:v>
      </x:c>
      <x:c r="R1486" s="8" t="n">
        <x:v>0</x:v>
      </x:c>
      <x:c r="S1486" s="8" t="n">
        <x:f>L1486-I1486^2/H1486</x:f>
        <x:v>48.39804042300295</x:v>
      </x:c>
      <x:c r="T1486" s="8" t="n">
        <x:f>M1486-J1486^2/H1486</x:f>
        <x:v>0</x:v>
      </x:c>
      <x:c r="U1486" s="8" t="n">
        <x:f>N1486-I1486*J1486/H1486</x:f>
        <x:v>0</x:v>
      </x:c>
      <x:c r="V1486" s="8" t="n">
        <x:f>O1486-I1486*K1486/H1486</x:f>
        <x:v>-7.022853225659503</x:v>
      </x:c>
      <x:c r="W1486" s="8" t="n">
        <x:f>P1486-J1486*K1486/H1486</x:f>
        <x:v>0</x:v>
      </x:c>
      <x:c r="X1486" s="8" t="n">
        <x:f>V1486/S1486</x:f>
        <x:v>-0.14510614818862858</x:v>
      </x:c>
      <x:c r="Y1486" s="8" t="n">
        <x:f>0</x:f>
        <x:v>0</x:v>
      </x:c>
      <x:c r="Z1486" s="8" t="n">
        <x:f>K1486/H1486-X1486*I1486/H1486-Y1486*J1486/H1486</x:f>
        <x:v>9.934565590301842</x:v>
      </x:c>
      <x:c r="AA1486" s="8" t="n">
        <x:f>Z1486+X1486*Q1486+Y1486*R1486</x:f>
        <x:v>8.477738335491155</x:v>
      </x:c>
    </x:row>
    <x:row r="1487" ht="26" customHeight="1">
      <x:c r="A1487" s="2"/>
      <x:c r="B1487" s="2" t="n">
        <x:v>1482</x:v>
      </x:c>
      <x:c r="C1487" s="2" t="str">
        <x:v>Health Care / organic_sales_growth</x:v>
      </x:c>
      <x:c r="D1487" s="2" t="str">
        <x:v>Own history</x:v>
      </x:c>
      <x:c r="E1487" s="7" t="n">
        <x:v>45382</x:v>
      </x:c>
      <x:c r="F1487" s="2" t="str">
        <x:v>Origin</x:v>
      </x:c>
      <x:c r="G1487" s="7" t="n">
        <x:v>45292</x:v>
      </x:c>
      <x:c r="H1487" s="2" t="n">
        <x:v>9</x:v>
      </x:c>
      <x:c r="I1487" s="8" t="n">
        <x:v>82</x:v>
      </x:c>
      <x:c r="J1487" s="8" t="n">
        <x:v>0</x:v>
      </x:c>
      <x:c r="K1487" s="8" t="n">
        <x:v>80</x:v>
      </x:c>
      <x:c r="L1487" s="8" t="n">
        <x:v>864</x:v>
      </x:c>
      <x:c r="M1487" s="8" t="n">
        <x:v>0</x:v>
      </x:c>
      <x:c r="N1487" s="8" t="n">
        <x:v>0</x:v>
      </x:c>
      <x:c r="O1487" s="8" t="n">
        <x:v>719</x:v>
      </x:c>
      <x:c r="P1487" s="8" t="n">
        <x:v>0</x:v>
      </x:c>
      <x:c r="Q1487" s="8" t="n">
        <x:v>10</x:v>
      </x:c>
      <x:c r="R1487" s="8" t="n">
        <x:v>0</x:v>
      </x:c>
      <x:c r="S1487" s="8" t="n">
        <x:f>L1487-I1487^2/H1487</x:f>
        <x:v>116.88888888888891</x:v>
      </x:c>
      <x:c r="T1487" s="8" t="n">
        <x:f>M1487-J1487^2/H1487</x:f>
        <x:v>0</x:v>
      </x:c>
      <x:c r="U1487" s="8" t="n">
        <x:f>N1487-I1487*J1487/H1487</x:f>
        <x:v>0</x:v>
      </x:c>
      <x:c r="V1487" s="8" t="n">
        <x:f>O1487-I1487*K1487/H1487</x:f>
        <x:v>-9.888888888888914</x:v>
      </x:c>
      <x:c r="W1487" s="8" t="n">
        <x:f>P1487-J1487*K1487/H1487</x:f>
        <x:v>0</x:v>
      </x:c>
      <x:c r="X1487" s="8" t="n">
        <x:f>V1487/S1487</x:f>
        <x:v>-0.08460076045627396</x:v>
      </x:c>
      <x:c r="Y1487" s="8" t="n">
        <x:f>0</x:f>
        <x:v>0</x:v>
      </x:c>
      <x:c r="Z1487" s="8" t="n">
        <x:f>K1487/H1487-X1487*I1487/H1487-Y1487*J1487/H1487</x:f>
        <x:v>9.659695817490496</x:v>
      </x:c>
      <x:c r="AA1487" s="8" t="n">
        <x:f>Z1487+X1487*Q1487+Y1487*R1487</x:f>
        <x:v>8.813688212927756</x:v>
      </x:c>
    </x:row>
    <x:row r="1488" ht="26" customHeight="1">
      <x:c r="A1488" s="2"/>
      <x:c r="B1488" s="2" t="n">
        <x:v>1483</x:v>
      </x:c>
      <x:c r="C1488" s="2" t="str">
        <x:v>Health Care / organic_sales_growth</x:v>
      </x:c>
      <x:c r="D1488" s="2" t="str">
        <x:v>Broad market</x:v>
      </x:c>
      <x:c r="E1488" s="7" t="n">
        <x:v>45382</x:v>
      </x:c>
      <x:c r="F1488" s="2" t="str">
        <x:v>Prior report</x:v>
      </x:c>
      <x:c r="G1488" s="7" t="n">
        <x:v>45314</x:v>
      </x:c>
      <x:c r="H1488" s="2" t="n">
        <x:v>12</x:v>
      </x:c>
      <x:c r="I1488" s="8" t="n">
        <x:v>83.51856757068481</x:v>
      </x:c>
      <x:c r="J1488" s="8" t="n">
        <x:v>0</x:v>
      </x:c>
      <x:c r="K1488" s="8" t="n">
        <x:v>99</x:v>
      </x:c>
      <x:c r="L1488" s="8" t="n">
        <x:v>785.2482765932369</x:v>
      </x:c>
      <x:c r="M1488" s="8" t="n">
        <x:v>0</x:v>
      </x:c>
      <x:c r="N1488" s="8" t="n">
        <x:v>0</x:v>
      </x:c>
      <x:c r="O1488" s="8" t="n">
        <x:v>733.4086527297683</x:v>
      </x:c>
      <x:c r="P1488" s="8" t="n">
        <x:v>0</x:v>
      </x:c>
      <x:c r="Q1488" s="8" t="n">
        <x:v>10.144433671137332</x:v>
      </x:c>
      <x:c r="R1488" s="8" t="n">
        <x:v>0</x:v>
      </x:c>
      <x:c r="S1488" s="8" t="n">
        <x:f>L1488-I1488^2/H1488</x:f>
        <x:v>203.96901583831664</x:v>
      </x:c>
      <x:c r="T1488" s="8" t="n">
        <x:f>M1488-J1488^2/H1488</x:f>
        <x:v>0</x:v>
      </x:c>
      <x:c r="U1488" s="8" t="n">
        <x:f>N1488-I1488*J1488/H1488</x:f>
        <x:v>0</x:v>
      </x:c>
      <x:c r="V1488" s="8" t="n">
        <x:f>O1488-I1488*K1488/H1488</x:f>
        <x:v>44.380470271618606</x:v>
      </x:c>
      <x:c r="W1488" s="8" t="n">
        <x:f>P1488-J1488*K1488/H1488</x:f>
        <x:v>0</x:v>
      </x:c>
      <x:c r="X1488" s="8" t="n">
        <x:f>V1488/S1488</x:f>
        <x:v>0.21758437225974742</x:v>
      </x:c>
      <x:c r="Y1488" s="8" t="n">
        <x:f>0</x:f>
        <x:v>0</x:v>
      </x:c>
      <x:c r="Z1488" s="8" t="n">
        <x:f>K1488/H1488-X1488*I1488/H1488-Y1488*J1488/H1488</x:f>
        <x:v>6.735638741924937</x:v>
      </x:c>
      <x:c r="AA1488" s="8" t="n">
        <x:f>Z1488+X1488*Q1488+Y1488*R1488</x:f>
        <x:v>8.942908974189999</x:v>
      </x:c>
    </x:row>
    <x:row r="1489" ht="26" customHeight="1">
      <x:c r="A1489" s="2"/>
      <x:c r="B1489" s="2" t="n">
        <x:v>1484</x:v>
      </x:c>
      <x:c r="C1489" s="2" t="str">
        <x:v>Health Care / organic_sales_growth</x:v>
      </x:c>
      <x:c r="D1489" s="2" t="str">
        <x:v>Broad lag 1</x:v>
      </x:c>
      <x:c r="E1489" s="7" t="n">
        <x:v>45382</x:v>
      </x:c>
      <x:c r="F1489" s="2" t="str">
        <x:v>Prior report</x:v>
      </x:c>
      <x:c r="G1489" s="7" t="n">
        <x:v>45314</x:v>
      </x:c>
      <x:c r="H1489" s="2" t="n">
        <x:v>11</x:v>
      </x:c>
      <x:c r="I1489" s="8" t="n">
        <x:v>73.37889393679964</x:v>
      </x:c>
      <x:c r="J1489" s="8" t="n">
        <x:v>0</x:v>
      </x:c>
      <x:c r="K1489" s="8" t="n">
        <x:v>96</x:v>
      </x:c>
      <x:c r="L1489" s="8" t="n">
        <x:v>682.4352951915308</x:v>
      </x:c>
      <x:c r="M1489" s="8" t="n">
        <x:v>0</x:v>
      </x:c>
      <x:c r="N1489" s="8" t="n">
        <x:v>0</x:v>
      </x:c>
      <x:c r="O1489" s="8" t="n">
        <x:v>604.7548467243291</x:v>
      </x:c>
      <x:c r="P1489" s="8" t="n">
        <x:v>0</x:v>
      </x:c>
      <x:c r="Q1489" s="8" t="n">
        <x:v>10.13967363388517</x:v>
      </x:c>
      <x:c r="R1489" s="8" t="n">
        <x:v>0</x:v>
      </x:c>
      <x:c r="S1489" s="8" t="n">
        <x:f>L1489-I1489^2/H1489</x:f>
        <x:v>192.9387428835226</x:v>
      </x:c>
      <x:c r="T1489" s="8" t="n">
        <x:f>M1489-J1489^2/H1489</x:f>
        <x:v>0</x:v>
      </x:c>
      <x:c r="U1489" s="8" t="n">
        <x:f>N1489-I1489*J1489/H1489</x:f>
        <x:v>0</x:v>
      </x:c>
      <x:c r="V1489" s="8" t="n">
        <x:f>O1489-I1489*K1489/H1489</x:f>
        <x:v>-35.642773087740466</x:v>
      </x:c>
      <x:c r="W1489" s="8" t="n">
        <x:f>P1489-J1489*K1489/H1489</x:f>
        <x:v>0</x:v>
      </x:c>
      <x:c r="X1489" s="8" t="n">
        <x:f>V1489/S1489</x:f>
        <x:v>-0.18473621500300777</x:v>
      </x:c>
      <x:c r="Y1489" s="8" t="n">
        <x:f>0</x:f>
        <x:v>0</x:v>
      </x:c>
      <x:c r="Z1489" s="8" t="n">
        <x:f>K1489/H1489-X1489*I1489/H1489-Y1489*J1489/H1489</x:f>
        <x:v>9.959612647908319</x:v>
      </x:c>
      <x:c r="AA1489" s="8" t="n">
        <x:f>Z1489+X1489*Q1489+Y1489*R1489</x:f>
        <x:v>8.08644771941858</x:v>
      </x:c>
    </x:row>
    <x:row r="1490" ht="26" customHeight="1">
      <x:c r="A1490" s="2"/>
      <x:c r="B1490" s="2" t="n">
        <x:v>1485</x:v>
      </x:c>
      <x:c r="C1490" s="2" t="str">
        <x:v>Health Care / organic_sales_growth</x:v>
      </x:c>
      <x:c r="D1490" s="2" t="str">
        <x:v>Broad rolling 8</x:v>
      </x:c>
      <x:c r="E1490" s="7" t="n">
        <x:v>45382</x:v>
      </x:c>
      <x:c r="F1490" s="2" t="str">
        <x:v>Prior report</x:v>
      </x:c>
      <x:c r="G1490" s="7" t="n">
        <x:v>45314</x:v>
      </x:c>
      <x:c r="H1490" s="2" t="n">
        <x:v>8</x:v>
      </x:c>
      <x:c r="I1490" s="8" t="n">
        <x:v>47.23260587052238</x:v>
      </x:c>
      <x:c r="J1490" s="8" t="n">
        <x:v>0</x:v>
      </x:c>
      <x:c r="K1490" s="8" t="n">
        <x:v>67</x:v>
      </x:c>
      <x:c r="L1490" s="8" t="n">
        <x:v>341.6823050165801</x:v>
      </x:c>
      <x:c r="M1490" s="8" t="n">
        <x:v>0</x:v>
      </x:c>
      <x:c r="N1490" s="8" t="n">
        <x:v>0</x:v>
      </x:c>
      <x:c r="O1490" s="8" t="n">
        <x:v>360.21209252104455</x:v>
      </x:c>
      <x:c r="P1490" s="8" t="n">
        <x:v>0</x:v>
      </x:c>
      <x:c r="Q1490" s="8" t="n">
        <x:v>10.144433671137332</x:v>
      </x:c>
      <x:c r="R1490" s="8" t="n">
        <x:v>0</x:v>
      </x:c>
      <x:c r="S1490" s="8" t="n">
        <x:f>L1490-I1490^2/H1490</x:f>
        <x:v>62.81742285156696</x:v>
      </x:c>
      <x:c r="T1490" s="8" t="n">
        <x:f>M1490-J1490^2/H1490</x:f>
        <x:v>0</x:v>
      </x:c>
      <x:c r="U1490" s="8" t="n">
        <x:f>N1490-I1490*J1490/H1490</x:f>
        <x:v>0</x:v>
      </x:c>
      <x:c r="V1490" s="8" t="n">
        <x:f>O1490-I1490*K1490/H1490</x:f>
        <x:v>-35.36098164458036</x:v>
      </x:c>
      <x:c r="W1490" s="8" t="n">
        <x:f>P1490-J1490*K1490/H1490</x:f>
        <x:v>0</x:v>
      </x:c>
      <x:c r="X1490" s="8" t="n">
        <x:f>V1490/S1490</x:f>
        <x:v>-0.5629167839014315</x:v>
      </x:c>
      <x:c r="Y1490" s="8" t="n">
        <x:f>0</x:f>
        <x:v>0</x:v>
      </x:c>
      <x:c r="Z1490" s="8" t="n">
        <x:f>K1490/H1490-X1490*I1490/H1490-Y1490*J1490/H1490</x:f>
        <x:v>11.698503323989792</x:v>
      </x:c>
      <x:c r="AA1490" s="8" t="n">
        <x:f>Z1490+X1490*Q1490+Y1490*R1490</x:f>
        <x:v>5.9880313473317734</x:v>
      </x:c>
    </x:row>
    <x:row r="1491" ht="26" customHeight="1">
      <x:c r="A1491" s="2"/>
      <x:c r="B1491" s="2" t="n">
        <x:v>1486</x:v>
      </x:c>
      <x:c r="C1491" s="2" t="str">
        <x:v>Health Care / organic_sales_growth</x:v>
      </x:c>
      <x:c r="D1491" s="2" t="str">
        <x:v>Own history</x:v>
      </x:c>
      <x:c r="E1491" s="7" t="n">
        <x:v>45382</x:v>
      </x:c>
      <x:c r="F1491" s="2" t="str">
        <x:v>Prior report</x:v>
      </x:c>
      <x:c r="G1491" s="7" t="n">
        <x:v>45314</x:v>
      </x:c>
      <x:c r="H1491" s="2" t="n">
        <x:v>11</x:v>
      </x:c>
      <x:c r="I1491" s="8" t="n">
        <x:v>97</x:v>
      </x:c>
      <x:c r="J1491" s="8" t="n">
        <x:v>0</x:v>
      </x:c>
      <x:c r="K1491" s="8" t="n">
        <x:v>96</x:v>
      </x:c>
      <x:c r="L1491" s="8" t="n">
        <x:v>989</x:v>
      </x:c>
      <x:c r="M1491" s="8" t="n">
        <x:v>0</x:v>
      </x:c>
      <x:c r="N1491" s="8" t="n">
        <x:v>0</x:v>
      </x:c>
      <x:c r="O1491" s="8" t="n">
        <x:v>791</x:v>
      </x:c>
      <x:c r="P1491" s="8" t="n">
        <x:v>0</x:v>
      </x:c>
      <x:c r="Q1491" s="8" t="n">
        <x:v>2</x:v>
      </x:c>
      <x:c r="R1491" s="8" t="n">
        <x:v>0</x:v>
      </x:c>
      <x:c r="S1491" s="8" t="n">
        <x:f>L1491-I1491^2/H1491</x:f>
        <x:v>133.63636363636363</x:v>
      </x:c>
      <x:c r="T1491" s="8" t="n">
        <x:f>M1491-J1491^2/H1491</x:f>
        <x:v>0</x:v>
      </x:c>
      <x:c r="U1491" s="8" t="n">
        <x:f>N1491-I1491*J1491/H1491</x:f>
        <x:v>0</x:v>
      </x:c>
      <x:c r="V1491" s="8" t="n">
        <x:f>O1491-I1491*K1491/H1491</x:f>
        <x:v>-55.545454545454504</x:v>
      </x:c>
      <x:c r="W1491" s="8" t="n">
        <x:f>P1491-J1491*K1491/H1491</x:f>
        <x:v>0</x:v>
      </x:c>
      <x:c r="X1491" s="8" t="n">
        <x:f>V1491/S1491</x:f>
        <x:v>-0.4156462585034011</x:v>
      </x:c>
      <x:c r="Y1491" s="8" t="n">
        <x:f>0</x:f>
        <x:v>0</x:v>
      </x:c>
      <x:c r="Z1491" s="8" t="n">
        <x:f>K1491/H1491-X1491*I1491/H1491-Y1491*J1491/H1491</x:f>
        <x:v>12.392517006802718</x:v>
      </x:c>
      <x:c r="AA1491" s="8" t="n">
        <x:f>Z1491+X1491*Q1491+Y1491*R1491</x:f>
        <x:v>11.561224489795915</x:v>
      </x:c>
    </x:row>
    <x:row r="1492" ht="26" customHeight="1">
      <x:c r="A1492" s="2"/>
      <x:c r="B1492" s="2" t="n">
        <x:v>1487</x:v>
      </x:c>
      <x:c r="C1492" s="2" t="str">
        <x:v>Health Care / organic_sales_growth</x:v>
      </x:c>
      <x:c r="D1492" s="2" t="str">
        <x:v>Broad market</x:v>
      </x:c>
      <x:c r="E1492" s="7" t="n">
        <x:v>45382</x:v>
      </x:c>
      <x:c r="F1492" s="2" t="str">
        <x:v>Pre-earnings</x:v>
      </x:c>
      <x:c r="G1492" s="7" t="n">
        <x:v>45400</x:v>
      </x:c>
      <x:c r="H1492" s="2" t="n">
        <x:v>12</x:v>
      </x:c>
      <x:c r="I1492" s="8" t="n">
        <x:v>84.14177227710393</x:v>
      </x:c>
      <x:c r="J1492" s="8" t="n">
        <x:v>0</x:v>
      </x:c>
      <x:c r="K1492" s="8" t="n">
        <x:v>99</x:v>
      </x:c>
      <x:c r="L1492" s="8" t="n">
        <x:v>795.9815976480803</x:v>
      </x:c>
      <x:c r="M1492" s="8" t="n">
        <x:v>0</x:v>
      </x:c>
      <x:c r="N1492" s="8" t="n">
        <x:v>0</x:v>
      </x:c>
      <x:c r="O1492" s="8" t="n">
        <x:v>738.5401043535112</x:v>
      </x:c>
      <x:c r="P1492" s="8" t="n">
        <x:v>0</x:v>
      </x:c>
      <x:c r="Q1492" s="8" t="n">
        <x:v>2.69474122906721</x:v>
      </x:c>
      <x:c r="R1492" s="8" t="n">
        <x:v>0</x:v>
      </x:c>
      <x:c r="S1492" s="8" t="n">
        <x:f>L1492-I1492^2/H1492</x:f>
        <x:v>205.9951108204125</x:v>
      </x:c>
      <x:c r="T1492" s="8" t="n">
        <x:f>M1492-J1492^2/H1492</x:f>
        <x:v>0</x:v>
      </x:c>
      <x:c r="U1492" s="8" t="n">
        <x:f>N1492-I1492*J1492/H1492</x:f>
        <x:v>0</x:v>
      </x:c>
      <x:c r="V1492" s="8" t="n">
        <x:f>O1492-I1492*K1492/H1492</x:f>
        <x:v>44.370483067403825</x:v>
      </x:c>
      <x:c r="W1492" s="8" t="n">
        <x:f>P1492-J1492*K1492/H1492</x:f>
        <x:v>0</x:v>
      </x:c>
      <x:c r="X1492" s="8" t="n">
        <x:f>V1492/S1492</x:f>
        <x:v>0.21539580668051012</x:v>
      </x:c>
      <x:c r="Y1492" s="8" t="n">
        <x:f>0</x:f>
        <x:v>0</x:v>
      </x:c>
      <x:c r="Z1492" s="8" t="n">
        <x:f>K1492/H1492-X1492*I1492/H1492-Y1492*J1492/H1492</x:f>
        <x:v>6.739684590403785</x:v>
      </x:c>
      <x:c r="AA1492" s="8" t="n">
        <x:f>Z1492+X1492*Q1492+Y1492*R1492</x:f>
        <x:v>7.320120551233946</x:v>
      </x:c>
    </x:row>
    <x:row r="1493" ht="26" customHeight="1">
      <x:c r="A1493" s="2"/>
      <x:c r="B1493" s="2" t="n">
        <x:v>1488</x:v>
      </x:c>
      <x:c r="C1493" s="2" t="str">
        <x:v>Health Care / organic_sales_growth</x:v>
      </x:c>
      <x:c r="D1493" s="2" t="str">
        <x:v>Broad lag 1</x:v>
      </x:c>
      <x:c r="E1493" s="7" t="n">
        <x:v>45382</x:v>
      </x:c>
      <x:c r="F1493" s="2" t="str">
        <x:v>Pre-earnings</x:v>
      </x:c>
      <x:c r="G1493" s="7" t="n">
        <x:v>45400</x:v>
      </x:c>
      <x:c r="H1493" s="2" t="n">
        <x:v>11</x:v>
      </x:c>
      <x:c r="I1493" s="8" t="n">
        <x:v>73.92110553134523</x:v>
      </x:c>
      <x:c r="J1493" s="8" t="n">
        <x:v>0</x:v>
      </x:c>
      <x:c r="K1493" s="8" t="n">
        <x:v>96</x:v>
      </x:c>
      <x:c r="L1493" s="8" t="n">
        <x:v>691.5195689202226</x:v>
      </x:c>
      <x:c r="M1493" s="8" t="n">
        <x:v>0</x:v>
      </x:c>
      <x:c r="N1493" s="8" t="n">
        <x:v>0</x:v>
      </x:c>
      <x:c r="O1493" s="8" t="n">
        <x:v>607.1076605007148</x:v>
      </x:c>
      <x:c r="P1493" s="8" t="n">
        <x:v>0</x:v>
      </x:c>
      <x:c r="Q1493" s="8" t="n">
        <x:v>10.220666745758699</x:v>
      </x:c>
      <x:c r="R1493" s="8" t="n">
        <x:v>0</x:v>
      </x:c>
      <x:c r="S1493" s="8" t="n">
        <x:f>L1493-I1493^2/H1493</x:f>
        <x:v>194.76231046783357</x:v>
      </x:c>
      <x:c r="T1493" s="8" t="n">
        <x:f>M1493-J1493^2/H1493</x:f>
        <x:v>0</x:v>
      </x:c>
      <x:c r="U1493" s="8" t="n">
        <x:f>N1493-I1493*J1493/H1493</x:f>
        <x:v>0</x:v>
      </x:c>
      <x:c r="V1493" s="8" t="n">
        <x:f>O1493-I1493*K1493/H1493</x:f>
        <x:v>-38.021987772843545</x:v>
      </x:c>
      <x:c r="W1493" s="8" t="n">
        <x:f>P1493-J1493*K1493/H1493</x:f>
        <x:v>0</x:v>
      </x:c>
      <x:c r="X1493" s="8" t="n">
        <x:f>V1493/S1493</x:f>
        <x:v>-0.19522251343964805</x:v>
      </x:c>
      <x:c r="Y1493" s="8" t="n">
        <x:f>0</x:f>
        <x:v>0</x:v>
      </x:c>
      <x:c r="Z1493" s="8" t="n">
        <x:f>K1493/H1493-X1493*I1493/H1493-Y1493*J1493/H1493</x:f>
        <x:v>10.039187638006062</x:v>
      </x:c>
      <x:c r="AA1493" s="8" t="n">
        <x:f>Z1493+X1493*Q1493+Y1493*R1493</x:f>
        <x:v>8.043883386870021</x:v>
      </x:c>
    </x:row>
    <x:row r="1494" ht="26" customHeight="1">
      <x:c r="A1494" s="2"/>
      <x:c r="B1494" s="2" t="n">
        <x:v>1489</x:v>
      </x:c>
      <x:c r="C1494" s="2" t="str">
        <x:v>Health Care / organic_sales_growth</x:v>
      </x:c>
      <x:c r="D1494" s="2" t="str">
        <x:v>Broad rolling 8</x:v>
      </x:c>
      <x:c r="E1494" s="7" t="n">
        <x:v>45382</x:v>
      </x:c>
      <x:c r="F1494" s="2" t="str">
        <x:v>Pre-earnings</x:v>
      </x:c>
      <x:c r="G1494" s="7" t="n">
        <x:v>45400</x:v>
      </x:c>
      <x:c r="H1494" s="2" t="n">
        <x:v>8</x:v>
      </x:c>
      <x:c r="I1494" s="8" t="n">
        <x:v>47.8558105769415</x:v>
      </x:c>
      <x:c r="J1494" s="8" t="n">
        <x:v>0</x:v>
      </x:c>
      <x:c r="K1494" s="8" t="n">
        <x:v>67</x:v>
      </x:c>
      <x:c r="L1494" s="8" t="n">
        <x:v>352.4156260714234</x:v>
      </x:c>
      <x:c r="M1494" s="8" t="n">
        <x:v>0</x:v>
      </x:c>
      <x:c r="N1494" s="8" t="n">
        <x:v>0</x:v>
      </x:c>
      <x:c r="O1494" s="8" t="n">
        <x:v>365.34354414478753</x:v>
      </x:c>
      <x:c r="P1494" s="8" t="n">
        <x:v>0</x:v>
      </x:c>
      <x:c r="Q1494" s="8" t="n">
        <x:v>2.69474122906721</x:v>
      </x:c>
      <x:c r="R1494" s="8" t="n">
        <x:v>0</x:v>
      </x:c>
      <x:c r="S1494" s="8" t="n">
        <x:f>L1494-I1494^2/H1494</x:f>
        <x:v>66.14330032441012</x:v>
      </x:c>
      <x:c r="T1494" s="8" t="n">
        <x:f>M1494-J1494^2/H1494</x:f>
        <x:v>0</x:v>
      </x:c>
      <x:c r="U1494" s="8" t="n">
        <x:f>N1494-I1494*J1494/H1494</x:f>
        <x:v>0</x:v>
      </x:c>
      <x:c r="V1494" s="8" t="n">
        <x:f>O1494-I1494*K1494/H1494</x:f>
        <x:v>-35.44886943709753</x:v>
      </x:c>
      <x:c r="W1494" s="8" t="n">
        <x:f>P1494-J1494*K1494/H1494</x:f>
        <x:v>0</x:v>
      </x:c>
      <x:c r="X1494" s="8" t="n">
        <x:f>V1494/S1494</x:f>
        <x:v>-0.5359404393677519</x:v>
      </x:c>
      <x:c r="Y1494" s="8" t="n">
        <x:f>0</x:f>
        <x:v>0</x:v>
      </x:c>
      <x:c r="Z1494" s="8" t="n">
        <x:f>K1494/H1494-X1494*I1494/H1494-Y1494*J1494/H1494</x:f>
        <x:v>11.580983018363241</x:v>
      </x:c>
      <x:c r="AA1494" s="8" t="n">
        <x:f>Z1494+X1494*Q1494+Y1494*R1494</x:f>
        <x:v>10.136762220074566</x:v>
      </x:c>
    </x:row>
    <x:row r="1495" ht="26" customHeight="1">
      <x:c r="A1495" s="2"/>
      <x:c r="B1495" s="2" t="n">
        <x:v>1490</x:v>
      </x:c>
      <x:c r="C1495" s="2" t="str">
        <x:v>Health Care / organic_sales_growth</x:v>
      </x:c>
      <x:c r="D1495" s="2" t="str">
        <x:v>Own history</x:v>
      </x:c>
      <x:c r="E1495" s="7" t="n">
        <x:v>45382</x:v>
      </x:c>
      <x:c r="F1495" s="2" t="str">
        <x:v>Pre-earnings</x:v>
      </x:c>
      <x:c r="G1495" s="7" t="n">
        <x:v>45400</x:v>
      </x:c>
      <x:c r="H1495" s="2" t="n">
        <x:v>11</x:v>
      </x:c>
      <x:c r="I1495" s="8" t="n">
        <x:v>97</x:v>
      </x:c>
      <x:c r="J1495" s="8" t="n">
        <x:v>0</x:v>
      </x:c>
      <x:c r="K1495" s="8" t="n">
        <x:v>96</x:v>
      </x:c>
      <x:c r="L1495" s="8" t="n">
        <x:v>989</x:v>
      </x:c>
      <x:c r="M1495" s="8" t="n">
        <x:v>0</x:v>
      </x:c>
      <x:c r="N1495" s="8" t="n">
        <x:v>0</x:v>
      </x:c>
      <x:c r="O1495" s="8" t="n">
        <x:v>791</x:v>
      </x:c>
      <x:c r="P1495" s="8" t="n">
        <x:v>0</x:v>
      </x:c>
      <x:c r="Q1495" s="8" t="n">
        <x:v>2</x:v>
      </x:c>
      <x:c r="R1495" s="8" t="n">
        <x:v>0</x:v>
      </x:c>
      <x:c r="S1495" s="8" t="n">
        <x:f>L1495-I1495^2/H1495</x:f>
        <x:v>133.63636363636363</x:v>
      </x:c>
      <x:c r="T1495" s="8" t="n">
        <x:f>M1495-J1495^2/H1495</x:f>
        <x:v>0</x:v>
      </x:c>
      <x:c r="U1495" s="8" t="n">
        <x:f>N1495-I1495*J1495/H1495</x:f>
        <x:v>0</x:v>
      </x:c>
      <x:c r="V1495" s="8" t="n">
        <x:f>O1495-I1495*K1495/H1495</x:f>
        <x:v>-55.545454545454504</x:v>
      </x:c>
      <x:c r="W1495" s="8" t="n">
        <x:f>P1495-J1495*K1495/H1495</x:f>
        <x:v>0</x:v>
      </x:c>
      <x:c r="X1495" s="8" t="n">
        <x:f>V1495/S1495</x:f>
        <x:v>-0.4156462585034011</x:v>
      </x:c>
      <x:c r="Y1495" s="8" t="n">
        <x:f>0</x:f>
        <x:v>0</x:v>
      </x:c>
      <x:c r="Z1495" s="8" t="n">
        <x:f>K1495/H1495-X1495*I1495/H1495-Y1495*J1495/H1495</x:f>
        <x:v>12.392517006802718</x:v>
      </x:c>
      <x:c r="AA1495" s="8" t="n">
        <x:f>Z1495+X1495*Q1495+Y1495*R1495</x:f>
        <x:v>11.561224489795915</x:v>
      </x:c>
    </x:row>
    <x:row r="1496" ht="26" customHeight="1">
      <x:c r="A1496" s="2"/>
      <x:c r="B1496" s="2" t="n">
        <x:v>1491</x:v>
      </x:c>
      <x:c r="C1496" s="2" t="str">
        <x:v>Health Care / organic_sales_growth</x:v>
      </x:c>
      <x:c r="D1496" s="2" t="str">
        <x:v>Broad market</x:v>
      </x:c>
      <x:c r="E1496" s="7" t="n">
        <x:v>45473</x:v>
      </x:c>
      <x:c r="F1496" s="2" t="str">
        <x:v>Origin</x:v>
      </x:c>
      <x:c r="G1496" s="7" t="n">
        <x:v>45383</x:v>
      </x:c>
      <x:c r="H1496" s="2" t="n">
        <x:v>12</x:v>
      </x:c>
      <x:c r="I1496" s="8" t="n">
        <x:v>83.92709225256908</x:v>
      </x:c>
      <x:c r="J1496" s="8" t="n">
        <x:v>0</x:v>
      </x:c>
      <x:c r="K1496" s="8" t="n">
        <x:v>99</x:v>
      </x:c>
      <x:c r="L1496" s="8" t="n">
        <x:v>792.6233542056021</x:v>
      </x:c>
      <x:c r="M1496" s="8" t="n">
        <x:v>0</x:v>
      </x:c>
      <x:c r="N1496" s="8" t="n">
        <x:v>0</x:v>
      </x:c>
      <x:c r="O1496" s="8" t="n">
        <x:v>736.6079841326977</x:v>
      </x:c>
      <x:c r="P1496" s="8" t="n">
        <x:v>0</x:v>
      </x:c>
      <x:c r="Q1496" s="8" t="n">
        <x:v>5.40483674380714</x:v>
      </x:c>
      <x:c r="R1496" s="8" t="n">
        <x:v>0</x:v>
      </x:c>
      <x:c r="S1496" s="8" t="n">
        <x:f>L1496-I1496^2/H1496</x:f>
        <x:v>205.6436197079987</x:v>
      </x:c>
      <x:c r="T1496" s="8" t="n">
        <x:f>M1496-J1496^2/H1496</x:f>
        <x:v>0</x:v>
      </x:c>
      <x:c r="U1496" s="8" t="n">
        <x:f>N1496-I1496*J1496/H1496</x:f>
        <x:v>0</x:v>
      </x:c>
      <x:c r="V1496" s="8" t="n">
        <x:f>O1496-I1496*K1496/H1496</x:f>
        <x:v>44.20947304900278</x:v>
      </x:c>
      <x:c r="W1496" s="8" t="n">
        <x:f>P1496-J1496*K1496/H1496</x:f>
        <x:v>0</x:v>
      </x:c>
      <x:c r="X1496" s="8" t="n">
        <x:f>V1496/S1496</x:f>
        <x:v>0.2149810099227854</x:v>
      </x:c>
      <x:c r="Y1496" s="8" t="n">
        <x:f>0</x:f>
        <x:v>0</x:v>
      </x:c>
      <x:c r="Z1496" s="8" t="n">
        <x:f>K1496/H1496-X1496*I1496/H1496-Y1496*J1496/H1496</x:f>
        <x:v>6.74643907897166</x:v>
      </x:c>
      <x:c r="AA1496" s="8" t="n">
        <x:f>Z1496+X1496*Q1496+Y1496*R1496</x:f>
        <x:v>7.908376340623098</x:v>
      </x:c>
    </x:row>
    <x:row r="1497" ht="26" customHeight="1">
      <x:c r="A1497" s="2"/>
      <x:c r="B1497" s="2" t="n">
        <x:v>1492</x:v>
      </x:c>
      <x:c r="C1497" s="2" t="str">
        <x:v>Health Care / organic_sales_growth</x:v>
      </x:c>
      <x:c r="D1497" s="2" t="str">
        <x:v>Broad rolling 8</x:v>
      </x:c>
      <x:c r="E1497" s="7" t="n">
        <x:v>45473</x:v>
      </x:c>
      <x:c r="F1497" s="2" t="str">
        <x:v>Origin</x:v>
      </x:c>
      <x:c r="G1497" s="7" t="n">
        <x:v>45383</x:v>
      </x:c>
      <x:c r="H1497" s="2" t="n">
        <x:v>8</x:v>
      </x:c>
      <x:c r="I1497" s="8" t="n">
        <x:v>47.641130552406665</x:v>
      </x:c>
      <x:c r="J1497" s="8" t="n">
        <x:v>0</x:v>
      </x:c>
      <x:c r="K1497" s="8" t="n">
        <x:v>67</x:v>
      </x:c>
      <x:c r="L1497" s="8" t="n">
        <x:v>349.0573826289452</x:v>
      </x:c>
      <x:c r="M1497" s="8" t="n">
        <x:v>0</x:v>
      </x:c>
      <x:c r="N1497" s="8" t="n">
        <x:v>0</x:v>
      </x:c>
      <x:c r="O1497" s="8" t="n">
        <x:v>363.411423923974</x:v>
      </x:c>
      <x:c r="P1497" s="8" t="n">
        <x:v>0</x:v>
      </x:c>
      <x:c r="Q1497" s="8" t="n">
        <x:v>5.40483674380714</x:v>
      </x:c>
      <x:c r="R1497" s="8" t="n">
        <x:v>0</x:v>
      </x:c>
      <x:c r="S1497" s="8" t="n">
        <x:f>L1497-I1497^2/H1497</x:f>
        <x:v>65.34771759001325</x:v>
      </x:c>
      <x:c r="T1497" s="8" t="n">
        <x:f>M1497-J1497^2/H1497</x:f>
        <x:v>0</x:v>
      </x:c>
      <x:c r="U1497" s="8" t="n">
        <x:f>N1497-I1497*J1497/H1497</x:f>
        <x:v>0</x:v>
      </x:c>
      <x:c r="V1497" s="8" t="n">
        <x:f>O1497-I1497*K1497/H1497</x:f>
        <x:v>-35.58304445243181</x:v>
      </x:c>
      <x:c r="W1497" s="8" t="n">
        <x:f>P1497-J1497*K1497/H1497</x:f>
        <x:v>0</x:v>
      </x:c>
      <x:c r="X1497" s="8" t="n">
        <x:f>V1497/S1497</x:f>
        <x:v>-0.5445185503750445</x:v>
      </x:c>
      <x:c r="Y1497" s="8" t="n">
        <x:f>0</x:f>
        <x:v>0</x:v>
      </x:c>
      <x:c r="Z1497" s="8" t="n">
        <x:f>K1497/H1497-X1497*I1497/H1497-Y1497*J1497/H1497</x:f>
        <x:v>11.61768491832809</x:v>
      </x:c>
      <x:c r="AA1497" s="8" t="n">
        <x:f>Z1497+X1497*Q1497+Y1497*R1497</x:f>
        <x:v>8.67465104957645</x:v>
      </x:c>
    </x:row>
    <x:row r="1498" ht="26" customHeight="1">
      <x:c r="A1498" s="2"/>
      <x:c r="B1498" s="2" t="n">
        <x:v>1493</x:v>
      </x:c>
      <x:c r="C1498" s="2" t="str">
        <x:v>Health Care / organic_sales_growth</x:v>
      </x:c>
      <x:c r="D1498" s="2" t="str">
        <x:v>Own history</x:v>
      </x:c>
      <x:c r="E1498" s="7" t="n">
        <x:v>45473</x:v>
      </x:c>
      <x:c r="F1498" s="2" t="str">
        <x:v>Origin</x:v>
      </x:c>
      <x:c r="G1498" s="7" t="n">
        <x:v>45383</x:v>
      </x:c>
      <x:c r="H1498" s="2" t="n">
        <x:v>10</x:v>
      </x:c>
      <x:c r="I1498" s="8" t="n">
        <x:v>87</x:v>
      </x:c>
      <x:c r="J1498" s="8" t="n">
        <x:v>0</x:v>
      </x:c>
      <x:c r="K1498" s="8" t="n">
        <x:v>82</x:v>
      </x:c>
      <x:c r="L1498" s="8" t="n">
        <x:v>889</x:v>
      </x:c>
      <x:c r="M1498" s="8" t="n">
        <x:v>0</x:v>
      </x:c>
      <x:c r="N1498" s="8" t="n">
        <x:v>0</x:v>
      </x:c>
      <x:c r="O1498" s="8" t="n">
        <x:v>729</x:v>
      </x:c>
      <x:c r="P1498" s="8" t="n">
        <x:v>0</x:v>
      </x:c>
      <x:c r="Q1498" s="8" t="n">
        <x:v>2</x:v>
      </x:c>
      <x:c r="R1498" s="8" t="n">
        <x:v>0</x:v>
      </x:c>
      <x:c r="S1498" s="8" t="n">
        <x:f>L1498-I1498^2/H1498</x:f>
        <x:v>132.10000000000002</x:v>
      </x:c>
      <x:c r="T1498" s="8" t="n">
        <x:f>M1498-J1498^2/H1498</x:f>
        <x:v>0</x:v>
      </x:c>
      <x:c r="U1498" s="8" t="n">
        <x:f>N1498-I1498*J1498/H1498</x:f>
        <x:v>0</x:v>
      </x:c>
      <x:c r="V1498" s="8" t="n">
        <x:f>O1498-I1498*K1498/H1498</x:f>
        <x:v>15.600000000000023</x:v>
      </x:c>
      <x:c r="W1498" s="8" t="n">
        <x:f>P1498-J1498*K1498/H1498</x:f>
        <x:v>0</x:v>
      </x:c>
      <x:c r="X1498" s="8" t="n">
        <x:f>V1498/S1498</x:f>
        <x:v>0.11809235427706298</x:v>
      </x:c>
      <x:c r="Y1498" s="8" t="n">
        <x:f>0</x:f>
        <x:v>0</x:v>
      </x:c>
      <x:c r="Z1498" s="8" t="n">
        <x:f>K1498/H1498-X1498*I1498/H1498-Y1498*J1498/H1498</x:f>
        <x:v>7.172596517789551</x:v>
      </x:c>
      <x:c r="AA1498" s="8" t="n">
        <x:f>Z1498+X1498*Q1498+Y1498*R1498</x:f>
        <x:v>7.408781226343677</x:v>
      </x:c>
    </x:row>
    <x:row r="1499" ht="26" customHeight="1">
      <x:c r="A1499" s="2"/>
      <x:c r="B1499" s="2" t="n">
        <x:v>1494</x:v>
      </x:c>
      <x:c r="C1499" s="2" t="str">
        <x:v>Health Care / organic_sales_growth</x:v>
      </x:c>
      <x:c r="D1499" s="2" t="str">
        <x:v>Broad market</x:v>
      </x:c>
      <x:c r="E1499" s="7" t="n">
        <x:v>45473</x:v>
      </x:c>
      <x:c r="F1499" s="2" t="str">
        <x:v>Prior report</x:v>
      </x:c>
      <x:c r="G1499" s="7" t="n">
        <x:v>45401</x:v>
      </x:c>
      <x:c r="H1499" s="2" t="n">
        <x:v>13</x:v>
      </x:c>
      <x:c r="I1499" s="8" t="n">
        <x:v>86.83651350617114</x:v>
      </x:c>
      <x:c r="J1499" s="8" t="n">
        <x:v>0</x:v>
      </x:c>
      <x:c r="K1499" s="8" t="n">
        <x:v>101</x:v>
      </x:c>
      <x:c r="L1499" s="8" t="n">
        <x:v>803.243227939715</x:v>
      </x:c>
      <x:c r="M1499" s="8" t="n">
        <x:v>0</x:v>
      </x:c>
      <x:c r="N1499" s="8" t="n">
        <x:v>0</x:v>
      </x:c>
      <x:c r="O1499" s="8" t="n">
        <x:v>743.9295868116455</x:v>
      </x:c>
      <x:c r="P1499" s="8" t="n">
        <x:v>0</x:v>
      </x:c>
      <x:c r="Q1499" s="8" t="n">
        <x:v>2.703181170429314</x:v>
      </x:c>
      <x:c r="R1499" s="8" t="n">
        <x:v>0</x:v>
      </x:c>
      <x:c r="S1499" s="8" t="n">
        <x:f>L1499-I1499^2/H1499</x:f>
        <x:v>223.1986065622193</x:v>
      </x:c>
      <x:c r="T1499" s="8" t="n">
        <x:f>M1499-J1499^2/H1499</x:f>
        <x:v>0</x:v>
      </x:c>
      <x:c r="U1499" s="8" t="n">
        <x:f>N1499-I1499*J1499/H1499</x:f>
        <x:v>0</x:v>
      </x:c>
      <x:c r="V1499" s="8" t="n">
        <x:f>O1499-I1499*K1499/H1499</x:f>
        <x:v>69.27667418677743</x:v>
      </x:c>
      <x:c r="W1499" s="8" t="n">
        <x:f>P1499-J1499*K1499/H1499</x:f>
        <x:v>0</x:v>
      </x:c>
      <x:c r="X1499" s="8" t="n">
        <x:f>V1499/S1499</x:f>
        <x:v>0.3103813023468214</x:v>
      </x:c>
      <x:c r="Y1499" s="8" t="n">
        <x:f>0</x:f>
        <x:v>0</x:v>
      </x:c>
      <x:c r="Z1499" s="8" t="n">
        <x:f>K1499/H1499-X1499*I1499/H1499-Y1499*J1499/H1499</x:f>
        <x:v>5.695966911284405</x:v>
      </x:c>
      <x:c r="AA1499" s="8" t="n">
        <x:f>Z1499+X1499*Q1499+Y1499*R1499</x:f>
        <x:v>6.53498380344166</x:v>
      </x:c>
    </x:row>
    <x:row r="1500" ht="26" customHeight="1">
      <x:c r="A1500" s="2"/>
      <x:c r="B1500" s="2" t="n">
        <x:v>1495</x:v>
      </x:c>
      <x:c r="C1500" s="2" t="str">
        <x:v>Health Care / organic_sales_growth</x:v>
      </x:c>
      <x:c r="D1500" s="2" t="str">
        <x:v>Broad lag 1</x:v>
      </x:c>
      <x:c r="E1500" s="7" t="n">
        <x:v>45473</x:v>
      </x:c>
      <x:c r="F1500" s="2" t="str">
        <x:v>Prior report</x:v>
      </x:c>
      <x:c r="G1500" s="7" t="n">
        <x:v>45401</x:v>
      </x:c>
      <x:c r="H1500" s="2" t="n">
        <x:v>12</x:v>
      </x:c>
      <x:c r="I1500" s="8" t="n">
        <x:v>84.14177227710393</x:v>
      </x:c>
      <x:c r="J1500" s="8" t="n">
        <x:v>0</x:v>
      </x:c>
      <x:c r="K1500" s="8" t="n">
        <x:v>98</x:v>
      </x:c>
      <x:c r="L1500" s="8" t="n">
        <x:v>795.9815976480803</x:v>
      </x:c>
      <x:c r="M1500" s="8" t="n">
        <x:v>0</x:v>
      </x:c>
      <x:c r="N1500" s="8" t="n">
        <x:v>0</x:v>
      </x:c>
      <x:c r="O1500" s="8" t="n">
        <x:v>627.5489939922322</x:v>
      </x:c>
      <x:c r="P1500" s="8" t="n">
        <x:v>0</x:v>
      </x:c>
      <x:c r="Q1500" s="8" t="n">
        <x:v>2.69474122906721</x:v>
      </x:c>
      <x:c r="R1500" s="8" t="n">
        <x:v>0</x:v>
      </x:c>
      <x:c r="S1500" s="8" t="n">
        <x:f>L1500-I1500^2/H1500</x:f>
        <x:v>205.9951108204125</x:v>
      </x:c>
      <x:c r="T1500" s="8" t="n">
        <x:f>M1500-J1500^2/H1500</x:f>
        <x:v>0</x:v>
      </x:c>
      <x:c r="U1500" s="8" t="n">
        <x:f>N1500-I1500*J1500/H1500</x:f>
        <x:v>0</x:v>
      </x:c>
      <x:c r="V1500" s="8" t="n">
        <x:f>O1500-I1500*K1500/H1500</x:f>
        <x:v>-59.608812937449784</x:v>
      </x:c>
      <x:c r="W1500" s="8" t="n">
        <x:f>P1500-J1500*K1500/H1500</x:f>
        <x:v>0</x:v>
      </x:c>
      <x:c r="X1500" s="8" t="n">
        <x:f>V1500/S1500</x:f>
        <x:v>-0.28937003747344775</x:v>
      </x:c>
      <x:c r="Y1500" s="8" t="n">
        <x:f>0</x:f>
        <x:v>0</x:v>
      </x:c>
      <x:c r="Z1500" s="8" t="n">
        <x:f>K1500/H1500-X1500*I1500/H1500-Y1500*J1500/H1500</x:f>
        <x:v>10.195675649742322</x:v>
      </x:c>
      <x:c r="AA1500" s="8" t="n">
        <x:f>Z1500+X1500*Q1500+Y1500*R1500</x:f>
        <x:v>9.415898279305898</x:v>
      </x:c>
    </x:row>
    <x:row r="1501" ht="26" customHeight="1">
      <x:c r="A1501" s="2"/>
      <x:c r="B1501" s="2" t="n">
        <x:v>1496</x:v>
      </x:c>
      <x:c r="C1501" s="2" t="str">
        <x:v>Health Care / organic_sales_growth</x:v>
      </x:c>
      <x:c r="D1501" s="2" t="str">
        <x:v>Broad rolling 8</x:v>
      </x:c>
      <x:c r="E1501" s="7" t="n">
        <x:v>45473</x:v>
      </x:c>
      <x:c r="F1501" s="2" t="str">
        <x:v>Prior report</x:v>
      </x:c>
      <x:c r="G1501" s="7" t="n">
        <x:v>45401</x:v>
      </x:c>
      <x:c r="H1501" s="2" t="n">
        <x:v>8</x:v>
      </x:c>
      <x:c r="I1501" s="8" t="n">
        <x:v>45.28852662576552</x:v>
      </x:c>
      <x:c r="J1501" s="8" t="n">
        <x:v>0</x:v>
      </x:c>
      <x:c r="K1501" s="8" t="n">
        <x:v>53</x:v>
      </x:c>
      <x:c r="L1501" s="8" t="n">
        <x:v>331.98834736554466</x:v>
      </x:c>
      <x:c r="M1501" s="8" t="n">
        <x:v>0</x:v>
      </x:c>
      <x:c r="N1501" s="8" t="n">
        <x:v>0</x:v>
      </x:c>
      <x:c r="O1501" s="8" t="n">
        <x:v>286.54062371903086</x:v>
      </x:c>
      <x:c r="P1501" s="8" t="n">
        <x:v>0</x:v>
      </x:c>
      <x:c r="Q1501" s="8" t="n">
        <x:v>2.703181170429314</x:v>
      </x:c>
      <x:c r="R1501" s="8" t="n">
        <x:v>0</x:v>
      </x:c>
      <x:c r="S1501" s="8" t="n">
        <x:f>L1501-I1501^2/H1501</x:f>
        <x:v>75.60701687396062</x:v>
      </x:c>
      <x:c r="T1501" s="8" t="n">
        <x:f>M1501-J1501^2/H1501</x:f>
        <x:v>0</x:v>
      </x:c>
      <x:c r="U1501" s="8" t="n">
        <x:f>N1501-I1501*J1501/H1501</x:f>
        <x:v>0</x:v>
      </x:c>
      <x:c r="V1501" s="8" t="n">
        <x:f>O1501-I1501*K1501/H1501</x:f>
        <x:v>-13.495865176665689</x:v>
      </x:c>
      <x:c r="W1501" s="8" t="n">
        <x:f>P1501-J1501*K1501/H1501</x:f>
        <x:v>0</x:v>
      </x:c>
      <x:c r="X1501" s="8" t="n">
        <x:f>V1501/S1501</x:f>
        <x:v>-0.1785001675064596</x:v>
      </x:c>
      <x:c r="Y1501" s="8" t="n">
        <x:f>0</x:f>
        <x:v>0</x:v>
      </x:c>
      <x:c r="Z1501" s="8" t="n">
        <x:f>K1501/H1501-X1501*I1501/H1501-Y1501*J1501/H1501</x:f>
        <x:v>7.635501198602488</x:v>
      </x:c>
      <x:c r="AA1501" s="8" t="n">
        <x:f>Z1501+X1501*Q1501+Y1501*R1501</x:f>
        <x:v>7.152982906880548</x:v>
      </x:c>
    </x:row>
    <x:row r="1502" ht="26" customHeight="1">
      <x:c r="A1502" s="2"/>
      <x:c r="B1502" s="2" t="n">
        <x:v>1497</x:v>
      </x:c>
      <x:c r="C1502" s="2" t="str">
        <x:v>Health Care / organic_sales_growth</x:v>
      </x:c>
      <x:c r="D1502" s="2" t="str">
        <x:v>Own history</x:v>
      </x:c>
      <x:c r="E1502" s="7" t="n">
        <x:v>45473</x:v>
      </x:c>
      <x:c r="F1502" s="2" t="str">
        <x:v>Prior report</x:v>
      </x:c>
      <x:c r="G1502" s="7" t="n">
        <x:v>45401</x:v>
      </x:c>
      <x:c r="H1502" s="2" t="n">
        <x:v>12</x:v>
      </x:c>
      <x:c r="I1502" s="8" t="n">
        <x:v>99</x:v>
      </x:c>
      <x:c r="J1502" s="8" t="n">
        <x:v>0</x:v>
      </x:c>
      <x:c r="K1502" s="8" t="n">
        <x:v>98</x:v>
      </x:c>
      <x:c r="L1502" s="8" t="n">
        <x:v>993</x:v>
      </x:c>
      <x:c r="M1502" s="8" t="n">
        <x:v>0</x:v>
      </x:c>
      <x:c r="N1502" s="8" t="n">
        <x:v>0</x:v>
      </x:c>
      <x:c r="O1502" s="8" t="n">
        <x:v>795</x:v>
      </x:c>
      <x:c r="P1502" s="8" t="n">
        <x:v>0</x:v>
      </x:c>
      <x:c r="Q1502" s="8" t="n">
        <x:v>2</x:v>
      </x:c>
      <x:c r="R1502" s="8" t="n">
        <x:v>0</x:v>
      </x:c>
      <x:c r="S1502" s="8" t="n">
        <x:f>L1502-I1502^2/H1502</x:f>
        <x:v>176.25</x:v>
      </x:c>
      <x:c r="T1502" s="8" t="n">
        <x:f>M1502-J1502^2/H1502</x:f>
        <x:v>0</x:v>
      </x:c>
      <x:c r="U1502" s="8" t="n">
        <x:f>N1502-I1502*J1502/H1502</x:f>
        <x:v>0</x:v>
      </x:c>
      <x:c r="V1502" s="8" t="n">
        <x:f>O1502-I1502*K1502/H1502</x:f>
        <x:v>-13.5</x:v>
      </x:c>
      <x:c r="W1502" s="8" t="n">
        <x:f>P1502-J1502*K1502/H1502</x:f>
        <x:v>0</x:v>
      </x:c>
      <x:c r="X1502" s="8" t="n">
        <x:f>V1502/S1502</x:f>
        <x:v>-0.07659574468085106</x:v>
      </x:c>
      <x:c r="Y1502" s="8" t="n">
        <x:f>0</x:f>
        <x:v>0</x:v>
      </x:c>
      <x:c r="Z1502" s="8" t="n">
        <x:f>K1502/H1502-X1502*I1502/H1502-Y1502*J1502/H1502</x:f>
        <x:v>8.798581560283687</x:v>
      </x:c>
      <x:c r="AA1502" s="8" t="n">
        <x:f>Z1502+X1502*Q1502+Y1502*R1502</x:f>
        <x:v>8.645390070921984</x:v>
      </x:c>
    </x:row>
    <x:row r="1503" ht="26" customHeight="1">
      <x:c r="A1503" s="2"/>
      <x:c r="B1503" s="2" t="n">
        <x:v>1498</x:v>
      </x:c>
      <x:c r="C1503" s="2" t="str">
        <x:v>Health Care / organic_sales_growth</x:v>
      </x:c>
      <x:c r="D1503" s="2" t="str">
        <x:v>Broad market</x:v>
      </x:c>
      <x:c r="E1503" s="7" t="n">
        <x:v>45473</x:v>
      </x:c>
      <x:c r="F1503" s="2" t="str">
        <x:v>Pre-earnings</x:v>
      </x:c>
      <x:c r="G1503" s="7" t="n">
        <x:v>45502</x:v>
      </x:c>
      <x:c r="H1503" s="2" t="n">
        <x:v>13</x:v>
      </x:c>
      <x:c r="I1503" s="8" t="n">
        <x:v>90.5010667786043</x:v>
      </x:c>
      <x:c r="J1503" s="8" t="n">
        <x:v>0</x:v>
      </x:c>
      <x:c r="K1503" s="8" t="n">
        <x:v>101</x:v>
      </x:c>
      <x:c r="L1503" s="8" t="n">
        <x:v>842.2631662443981</x:v>
      </x:c>
      <x:c r="M1503" s="8" t="n">
        <x:v>0</x:v>
      </x:c>
      <x:c r="N1503" s="8" t="n">
        <x:v>0</x:v>
      </x:c>
      <x:c r="O1503" s="8" t="n">
        <x:v>792.2356847781167</x:v>
      </x:c>
      <x:c r="P1503" s="8" t="n">
        <x:v>0</x:v>
      </x:c>
      <x:c r="Q1503" s="8" t="n">
        <x:v>0.08916260685725153</x:v>
      </x:c>
      <x:c r="R1503" s="8" t="n">
        <x:v>0</x:v>
      </x:c>
      <x:c r="S1503" s="8" t="n">
        <x:f>L1503-I1503^2/H1503</x:f>
        <x:v>212.2290825470601</x:v>
      </x:c>
      <x:c r="T1503" s="8" t="n">
        <x:f>M1503-J1503^2/H1503</x:f>
        <x:v>0</x:v>
      </x:c>
      <x:c r="U1503" s="8" t="n">
        <x:f>N1503-I1503*J1503/H1503</x:f>
        <x:v>0</x:v>
      </x:c>
      <x:c r="V1503" s="8" t="n">
        <x:f>O1503-I1503*K1503/H1503</x:f>
        <x:v>89.1120121135757</x:v>
      </x:c>
      <x:c r="W1503" s="8" t="n">
        <x:f>P1503-J1503*K1503/H1503</x:f>
        <x:v>0</x:v>
      </x:c>
      <x:c r="X1503" s="8" t="n">
        <x:f>V1503/S1503</x:f>
        <x:v>0.41988596022798064</x:v>
      </x:c>
      <x:c r="Y1503" s="8" t="n">
        <x:f>0</x:f>
        <x:v>0</x:v>
      </x:c>
      <x:c r="Z1503" s="8" t="n">
        <x:f>K1503/H1503-X1503*I1503/H1503-Y1503*J1503/H1503</x:f>
        <x:v>4.846144051846856</x:v>
      </x:c>
      <x:c r="AA1503" s="8" t="n">
        <x:f>Z1503+X1503*Q1503+Y1503*R1503</x:f>
        <x:v>4.883582178643543</x:v>
      </x:c>
    </x:row>
    <x:row r="1504" ht="26" customHeight="1">
      <x:c r="A1504" s="2"/>
      <x:c r="B1504" s="2" t="n">
        <x:v>1499</x:v>
      </x:c>
      <x:c r="C1504" s="2" t="str">
        <x:v>Health Care / organic_sales_growth</x:v>
      </x:c>
      <x:c r="D1504" s="2" t="str">
        <x:v>Broad lag 1</x:v>
      </x:c>
      <x:c r="E1504" s="7" t="n">
        <x:v>45473</x:v>
      </x:c>
      <x:c r="F1504" s="2" t="str">
        <x:v>Pre-earnings</x:v>
      </x:c>
      <x:c r="G1504" s="7" t="n">
        <x:v>45502</x:v>
      </x:c>
      <x:c r="H1504" s="2" t="n">
        <x:v>12</x:v>
      </x:c>
      <x:c r="I1504" s="8" t="n">
        <x:v>88.34515613926527</x:v>
      </x:c>
      <x:c r="J1504" s="8" t="n">
        <x:v>0</x:v>
      </x:c>
      <x:c r="K1504" s="8" t="n">
        <x:v>98</x:v>
      </x:c>
      <x:c r="L1504" s="8" t="n">
        <x:v>837.615215559583</x:v>
      </x:c>
      <x:c r="M1504" s="8" t="n">
        <x:v>0</x:v>
      </x:c>
      <x:c r="N1504" s="8" t="n">
        <x:v>0</x:v>
      </x:c>
      <x:c r="O1504" s="8" t="n">
        <x:v>679.2329114285423</x:v>
      </x:c>
      <x:c r="P1504" s="8" t="n">
        <x:v>0</x:v>
      </x:c>
      <x:c r="Q1504" s="8" t="n">
        <x:v>2.1559106393390204</x:v>
      </x:c>
      <x:c r="R1504" s="8" t="n">
        <x:v>0</x:v>
      </x:c>
      <x:c r="S1504" s="8" t="n">
        <x:f>L1504-I1504^2/H1504</x:f>
        <x:v>187.20966445365298</x:v>
      </x:c>
      <x:c r="T1504" s="8" t="n">
        <x:f>M1504-J1504^2/H1504</x:f>
        <x:v>0</x:v>
      </x:c>
      <x:c r="U1504" s="8" t="n">
        <x:f>N1504-I1504*J1504/H1504</x:f>
        <x:v>0</x:v>
      </x:c>
      <x:c r="V1504" s="8" t="n">
        <x:f>O1504-I1504*K1504/H1504</x:f>
        <x:v>-42.252530375457354</x:v>
      </x:c>
      <x:c r="W1504" s="8" t="n">
        <x:f>P1504-J1504*K1504/H1504</x:f>
        <x:v>0</x:v>
      </x:c>
      <x:c r="X1504" s="8" t="n">
        <x:f>V1504/S1504</x:f>
        <x:v>-0.22569630952956335</x:v>
      </x:c>
      <x:c r="Y1504" s="8" t="n">
        <x:f>0</x:f>
        <x:v>0</x:v>
      </x:c>
      <x:c r="Z1504" s="8" t="n">
        <x:f>K1504/H1504-X1504*I1504/H1504-Y1504*J1504/H1504</x:f>
        <x:v>9.828264642120434</x:v>
      </x:c>
      <x:c r="AA1504" s="8" t="n">
        <x:f>Z1504+X1504*Q1504+Y1504*R1504</x:f>
        <x:v>9.341683567146095</x:v>
      </x:c>
    </x:row>
    <x:row r="1505" ht="26" customHeight="1">
      <x:c r="A1505" s="2"/>
      <x:c r="B1505" s="2" t="n">
        <x:v>1500</x:v>
      </x:c>
      <x:c r="C1505" s="2" t="str">
        <x:v>Health Care / organic_sales_growth</x:v>
      </x:c>
      <x:c r="D1505" s="2" t="str">
        <x:v>Broad rolling 8</x:v>
      </x:c>
      <x:c r="E1505" s="7" t="n">
        <x:v>45473</x:v>
      </x:c>
      <x:c r="F1505" s="2" t="str">
        <x:v>Pre-earnings</x:v>
      </x:c>
      <x:c r="G1505" s="7" t="n">
        <x:v>45502</x:v>
      </x:c>
      <x:c r="H1505" s="2" t="n">
        <x:v>8</x:v>
      </x:c>
      <x:c r="I1505" s="8" t="n">
        <x:v>45.90469889261455</x:v>
      </x:c>
      <x:c r="J1505" s="8" t="n">
        <x:v>0</x:v>
      </x:c>
      <x:c r="K1505" s="8" t="n">
        <x:v>53</x:v>
      </x:c>
      <x:c r="L1505" s="8" t="n">
        <x:v>317.85324410873136</x:v>
      </x:c>
      <x:c r="M1505" s="8" t="n">
        <x:v>0</x:v>
      </x:c>
      <x:c r="N1505" s="8" t="n">
        <x:v>0</x:v>
      </x:c>
      <x:c r="O1505" s="8" t="n">
        <x:v>296.00436156211833</x:v>
      </x:c>
      <x:c r="P1505" s="8" t="n">
        <x:v>0</x:v>
      </x:c>
      <x:c r="Q1505" s="8" t="n">
        <x:v>0.08916260685725153</x:v>
      </x:c>
      <x:c r="R1505" s="8" t="n">
        <x:v>0</x:v>
      </x:c>
      <x:c r="S1505" s="8" t="n">
        <x:f>L1505-I1505^2/H1505</x:f>
        <x:v>54.44807155603047</x:v>
      </x:c>
      <x:c r="T1505" s="8" t="n">
        <x:f>M1505-J1505^2/H1505</x:f>
        <x:v>0</x:v>
      </x:c>
      <x:c r="U1505" s="8" t="n">
        <x:f>N1505-I1505*J1505/H1505</x:f>
        <x:v>0</x:v>
      </x:c>
      <x:c r="V1505" s="8" t="n">
        <x:f>O1505-I1505*K1505/H1505</x:f>
        <x:v>-8.114268601453034</x:v>
      </x:c>
      <x:c r="W1505" s="8" t="n">
        <x:f>P1505-J1505*K1505/H1505</x:f>
        <x:v>0</x:v>
      </x:c>
      <x:c r="X1505" s="8" t="n">
        <x:f>V1505/S1505</x:f>
        <x:v>-0.14902765827257894</x:v>
      </x:c>
      <x:c r="Y1505" s="8" t="n">
        <x:f>0</x:f>
        <x:v>0</x:v>
      </x:c>
      <x:c r="Z1505" s="8" t="n">
        <x:f>K1505/H1505-X1505*I1505/H1505-Y1505*J1505/H1505</x:f>
        <x:v>7.480133722459274</x:v>
      </x:c>
      <x:c r="AA1505" s="8" t="n">
        <x:f>Z1505+X1505*Q1505+Y1505*R1505</x:f>
        <x:v>7.466846027953859</x:v>
      </x:c>
    </x:row>
    <x:row r="1506" ht="26" customHeight="1">
      <x:c r="A1506" s="2"/>
      <x:c r="B1506" s="2" t="n">
        <x:v>1501</x:v>
      </x:c>
      <x:c r="C1506" s="2" t="str">
        <x:v>Health Care / organic_sales_growth</x:v>
      </x:c>
      <x:c r="D1506" s="2" t="str">
        <x:v>Own history</x:v>
      </x:c>
      <x:c r="E1506" s="7" t="n">
        <x:v>45473</x:v>
      </x:c>
      <x:c r="F1506" s="2" t="str">
        <x:v>Pre-earnings</x:v>
      </x:c>
      <x:c r="G1506" s="7" t="n">
        <x:v>45502</x:v>
      </x:c>
      <x:c r="H1506" s="2" t="n">
        <x:v>12</x:v>
      </x:c>
      <x:c r="I1506" s="8" t="n">
        <x:v>99</x:v>
      </x:c>
      <x:c r="J1506" s="8" t="n">
        <x:v>0</x:v>
      </x:c>
      <x:c r="K1506" s="8" t="n">
        <x:v>98</x:v>
      </x:c>
      <x:c r="L1506" s="8" t="n">
        <x:v>993</x:v>
      </x:c>
      <x:c r="M1506" s="8" t="n">
        <x:v>0</x:v>
      </x:c>
      <x:c r="N1506" s="8" t="n">
        <x:v>0</x:v>
      </x:c>
      <x:c r="O1506" s="8" t="n">
        <x:v>795</x:v>
      </x:c>
      <x:c r="P1506" s="8" t="n">
        <x:v>0</x:v>
      </x:c>
      <x:c r="Q1506" s="8" t="n">
        <x:v>2</x:v>
      </x:c>
      <x:c r="R1506" s="8" t="n">
        <x:v>0</x:v>
      </x:c>
      <x:c r="S1506" s="8" t="n">
        <x:f>L1506-I1506^2/H1506</x:f>
        <x:v>176.25</x:v>
      </x:c>
      <x:c r="T1506" s="8" t="n">
        <x:f>M1506-J1506^2/H1506</x:f>
        <x:v>0</x:v>
      </x:c>
      <x:c r="U1506" s="8" t="n">
        <x:f>N1506-I1506*J1506/H1506</x:f>
        <x:v>0</x:v>
      </x:c>
      <x:c r="V1506" s="8" t="n">
        <x:f>O1506-I1506*K1506/H1506</x:f>
        <x:v>-13.5</x:v>
      </x:c>
      <x:c r="W1506" s="8" t="n">
        <x:f>P1506-J1506*K1506/H1506</x:f>
        <x:v>0</x:v>
      </x:c>
      <x:c r="X1506" s="8" t="n">
        <x:f>V1506/S1506</x:f>
        <x:v>-0.07659574468085106</x:v>
      </x:c>
      <x:c r="Y1506" s="8" t="n">
        <x:f>0</x:f>
        <x:v>0</x:v>
      </x:c>
      <x:c r="Z1506" s="8" t="n">
        <x:f>K1506/H1506-X1506*I1506/H1506-Y1506*J1506/H1506</x:f>
        <x:v>8.798581560283687</x:v>
      </x:c>
      <x:c r="AA1506" s="8" t="n">
        <x:f>Z1506+X1506*Q1506+Y1506*R1506</x:f>
        <x:v>8.645390070921984</x:v>
      </x:c>
    </x:row>
    <x:row r="1507" ht="26" customHeight="1">
      <x:c r="A1507" s="2"/>
      <x:c r="B1507" s="2" t="n">
        <x:v>1502</x:v>
      </x:c>
      <x:c r="C1507" s="2" t="str">
        <x:v>Health Care / organic_sales_growth</x:v>
      </x:c>
      <x:c r="D1507" s="2" t="str">
        <x:v>Broad market</x:v>
      </x:c>
      <x:c r="E1507" s="7" t="n">
        <x:v>45565</x:v>
      </x:c>
      <x:c r="F1507" s="2" t="str">
        <x:v>Origin</x:v>
      </x:c>
      <x:c r="G1507" s="7" t="n">
        <x:v>45474</x:v>
      </x:c>
      <x:c r="H1507" s="2" t="n">
        <x:v>13</x:v>
      </x:c>
      <x:c r="I1507" s="8" t="n">
        <x:v>90.46514472945097</x:v>
      </x:c>
      <x:c r="J1507" s="8" t="n">
        <x:v>0</x:v>
      </x:c>
      <x:c r="K1507" s="8" t="n">
        <x:v>101</x:v>
      </x:c>
      <x:c r="L1507" s="8" t="n">
        <x:v>841.6498708344244</x:v>
      </x:c>
      <x:c r="M1507" s="8" t="n">
        <x:v>0</x:v>
      </x:c>
      <x:c r="N1507" s="8" t="n">
        <x:v>0</x:v>
      </x:c>
      <x:c r="O1507" s="8" t="n">
        <x:v>792.0560745323501</x:v>
      </x:c>
      <x:c r="P1507" s="8" t="n">
        <x:v>0</x:v>
      </x:c>
      <x:c r="Q1507" s="8" t="n">
        <x:v>0.2843167026613802</x:v>
      </x:c>
      <x:c r="R1507" s="8" t="n">
        <x:v>0</x:v>
      </x:c>
      <x:c r="S1507" s="8" t="n">
        <x:f>L1507-I1507^2/H1507</x:f>
        <x:v>212.11583922515445</x:v>
      </x:c>
      <x:c r="T1507" s="8" t="n">
        <x:f>M1507-J1507^2/H1507</x:f>
        <x:v>0</x:v>
      </x:c>
      <x:c r="U1507" s="8" t="n">
        <x:f>N1507-I1507*J1507/H1507</x:f>
        <x:v>0</x:v>
      </x:c>
      <x:c r="V1507" s="8" t="n">
        <x:f>O1507-I1507*K1507/H1507</x:f>
        <x:v>89.21148855738488</x:v>
      </x:c>
      <x:c r="W1507" s="8" t="n">
        <x:f>P1507-J1507*K1507/H1507</x:f>
        <x:v>0</x:v>
      </x:c>
      <x:c r="X1507" s="8" t="n">
        <x:f>V1507/S1507</x:f>
        <x:v>0.4205790990586499</x:v>
      </x:c>
      <x:c r="Y1507" s="8" t="n">
        <x:f>0</x:f>
        <x:v>0</x:v>
      </x:c>
      <x:c r="Z1507" s="8" t="n">
        <x:f>K1507/H1507-X1507*I1507/H1507-Y1507*J1507/H1507</x:f>
        <x:v>4.8424808410367035</x:v>
      </x:c>
      <x:c r="AA1507" s="8" t="n">
        <x:f>Z1507+X1507*Q1507+Y1507*R1507</x:f>
        <x:v>4.962058503689353</x:v>
      </x:c>
    </x:row>
    <x:row r="1508" ht="26" customHeight="1">
      <x:c r="A1508" s="2"/>
      <x:c r="B1508" s="2" t="n">
        <x:v>1503</x:v>
      </x:c>
      <x:c r="C1508" s="2" t="str">
        <x:v>Health Care / organic_sales_growth</x:v>
      </x:c>
      <x:c r="D1508" s="2" t="str">
        <x:v>Broad rolling 8</x:v>
      </x:c>
      <x:c r="E1508" s="7" t="n">
        <x:v>45565</x:v>
      </x:c>
      <x:c r="F1508" s="2" t="str">
        <x:v>Origin</x:v>
      </x:c>
      <x:c r="G1508" s="7" t="n">
        <x:v>45474</x:v>
      </x:c>
      <x:c r="H1508" s="2" t="n">
        <x:v>8</x:v>
      </x:c>
      <x:c r="I1508" s="8" t="n">
        <x:v>45.86877684346122</x:v>
      </x:c>
      <x:c r="J1508" s="8" t="n">
        <x:v>0</x:v>
      </x:c>
      <x:c r="K1508" s="8" t="n">
        <x:v>53</x:v>
      </x:c>
      <x:c r="L1508" s="8" t="n">
        <x:v>317.2399486987576</x:v>
      </x:c>
      <x:c r="M1508" s="8" t="n">
        <x:v>0</x:v>
      </x:c>
      <x:c r="N1508" s="8" t="n">
        <x:v>0</x:v>
      </x:c>
      <x:c r="O1508" s="8" t="n">
        <x:v>295.8247513163517</x:v>
      </x:c>
      <x:c r="P1508" s="8" t="n">
        <x:v>0</x:v>
      </x:c>
      <x:c r="Q1508" s="8" t="n">
        <x:v>0.2843167026613802</x:v>
      </x:c>
      <x:c r="R1508" s="8" t="n">
        <x:v>0</x:v>
      </x:c>
      <x:c r="S1508" s="8" t="n">
        <x:f>L1508-I1508^2/H1508</x:f>
        <x:v>54.24686255935205</x:v>
      </x:c>
      <x:c r="T1508" s="8" t="n">
        <x:f>M1508-J1508^2/H1508</x:f>
        <x:v>0</x:v>
      </x:c>
      <x:c r="U1508" s="8" t="n">
        <x:f>N1508-I1508*J1508/H1508</x:f>
        <x:v>0</x:v>
      </x:c>
      <x:c r="V1508" s="8" t="n">
        <x:f>O1508-I1508*K1508/H1508</x:f>
        <x:v>-8.05589527157889</x:v>
      </x:c>
      <x:c r="W1508" s="8" t="n">
        <x:f>P1508-J1508*K1508/H1508</x:f>
        <x:v>0</x:v>
      </x:c>
      <x:c r="X1508" s="8" t="n">
        <x:f>V1508/S1508</x:f>
        <x:v>-0.14850435382811036</x:v>
      </x:c>
      <x:c r="Y1508" s="8" t="n">
        <x:f>0</x:f>
        <x:v>0</x:v>
      </x:c>
      <x:c r="Z1508" s="8" t="n">
        <x:f>K1508/H1508-X1508*I1508/H1508-Y1508*J1508/H1508</x:f>
        <x:v>7.476464133253</x:v>
      </x:c>
      <x:c r="AA1508" s="8" t="n">
        <x:f>Z1508+X1508*Q1508+Y1508*R1508</x:f>
        <x:v>7.434241865041733</x:v>
      </x:c>
    </x:row>
    <x:row r="1509" ht="26" customHeight="1">
      <x:c r="A1509" s="2"/>
      <x:c r="B1509" s="2" t="n">
        <x:v>1504</x:v>
      </x:c>
      <x:c r="C1509" s="2" t="str">
        <x:v>Health Care / organic_sales_growth</x:v>
      </x:c>
      <x:c r="D1509" s="2" t="str">
        <x:v>Own history</x:v>
      </x:c>
      <x:c r="E1509" s="7" t="n">
        <x:v>45565</x:v>
      </x:c>
      <x:c r="F1509" s="2" t="str">
        <x:v>Origin</x:v>
      </x:c>
      <x:c r="G1509" s="7" t="n">
        <x:v>45474</x:v>
      </x:c>
      <x:c r="H1509" s="2" t="n">
        <x:v>11</x:v>
      </x:c>
      <x:c r="I1509" s="8" t="n">
        <x:v>97</x:v>
      </x:c>
      <x:c r="J1509" s="8" t="n">
        <x:v>0</x:v>
      </x:c>
      <x:c r="K1509" s="8" t="n">
        <x:v>84</x:v>
      </x:c>
      <x:c r="L1509" s="8" t="n">
        <x:v>989</x:v>
      </x:c>
      <x:c r="M1509" s="8" t="n">
        <x:v>0</x:v>
      </x:c>
      <x:c r="N1509" s="8" t="n">
        <x:v>0</x:v>
      </x:c>
      <x:c r="O1509" s="8" t="n">
        <x:v>749</x:v>
      </x:c>
      <x:c r="P1509" s="8" t="n">
        <x:v>0</x:v>
      </x:c>
      <x:c r="Q1509" s="8" t="n">
        <x:v>2</x:v>
      </x:c>
      <x:c r="R1509" s="8" t="n">
        <x:v>0</x:v>
      </x:c>
      <x:c r="S1509" s="8" t="n">
        <x:f>L1509-I1509^2/H1509</x:f>
        <x:v>133.63636363636363</x:v>
      </x:c>
      <x:c r="T1509" s="8" t="n">
        <x:f>M1509-J1509^2/H1509</x:f>
        <x:v>0</x:v>
      </x:c>
      <x:c r="U1509" s="8" t="n">
        <x:f>N1509-I1509*J1509/H1509</x:f>
        <x:v>0</x:v>
      </x:c>
      <x:c r="V1509" s="8" t="n">
        <x:f>O1509-I1509*K1509/H1509</x:f>
        <x:v>8.272727272727252</x:v>
      </x:c>
      <x:c r="W1509" s="8" t="n">
        <x:f>P1509-J1509*K1509/H1509</x:f>
        <x:v>0</x:v>
      </x:c>
      <x:c r="X1509" s="8" t="n">
        <x:f>V1509/S1509</x:f>
        <x:v>0.061904761904761754</x:v>
      </x:c>
      <x:c r="Y1509" s="8" t="n">
        <x:f>0</x:f>
        <x:v>0</x:v>
      </x:c>
      <x:c r="Z1509" s="8" t="n">
        <x:f>K1509/H1509-X1509*I1509/H1509-Y1509*J1509/H1509</x:f>
        <x:v>7.090476190476192</x:v>
      </x:c>
      <x:c r="AA1509" s="8" t="n">
        <x:f>Z1509+X1509*Q1509+Y1509*R1509</x:f>
        <x:v>7.214285714285715</x:v>
      </x:c>
    </x:row>
    <x:row r="1510" ht="26" customHeight="1">
      <x:c r="A1510" s="2"/>
      <x:c r="B1510" s="2" t="n">
        <x:v>1505</x:v>
      </x:c>
      <x:c r="C1510" s="2" t="str">
        <x:v>Health Care / organic_sales_growth</x:v>
      </x:c>
      <x:c r="D1510" s="2" t="str">
        <x:v>Broad market</x:v>
      </x:c>
      <x:c r="E1510" s="7" t="n">
        <x:v>45565</x:v>
      </x:c>
      <x:c r="F1510" s="2" t="str">
        <x:v>Prior report</x:v>
      </x:c>
      <x:c r="G1510" s="7" t="n">
        <x:v>45503</x:v>
      </x:c>
      <x:c r="H1510" s="2" t="n">
        <x:v>14</x:v>
      </x:c>
      <x:c r="I1510" s="8" t="n">
        <x:v>90.59022938546156</x:v>
      </x:c>
      <x:c r="J1510" s="8" t="n">
        <x:v>0</x:v>
      </x:c>
      <x:c r="K1510" s="8" t="n">
        <x:v>105</x:v>
      </x:c>
      <x:c r="L1510" s="8" t="n">
        <x:v>842.2711162148597</x:v>
      </x:c>
      <x:c r="M1510" s="8" t="n">
        <x:v>0</x:v>
      </x:c>
      <x:c r="N1510" s="8" t="n">
        <x:v>0</x:v>
      </x:c>
      <x:c r="O1510" s="8" t="n">
        <x:v>792.5923352055456</x:v>
      </x:c>
      <x:c r="P1510" s="8" t="n">
        <x:v>0</x:v>
      </x:c>
      <x:c r="Q1510" s="8" t="n">
        <x:v>0.0898481386004013</x:v>
      </x:c>
      <x:c r="R1510" s="8" t="n">
        <x:v>0</x:v>
      </x:c>
      <x:c r="S1510" s="8" t="n">
        <x:f>L1510-I1510^2/H1510</x:f>
        <x:v>256.08614049267817</x:v>
      </x:c>
      <x:c r="T1510" s="8" t="n">
        <x:f>M1510-J1510^2/H1510</x:f>
        <x:v>0</x:v>
      </x:c>
      <x:c r="U1510" s="8" t="n">
        <x:f>N1510-I1510*J1510/H1510</x:f>
        <x:v>0</x:v>
      </x:c>
      <x:c r="V1510" s="8" t="n">
        <x:f>O1510-I1510*K1510/H1510</x:f>
        <x:v>113.16561481458405</x:v>
      </x:c>
      <x:c r="W1510" s="8" t="n">
        <x:f>P1510-J1510*K1510/H1510</x:f>
        <x:v>0</x:v>
      </x:c>
      <x:c r="X1510" s="8" t="n">
        <x:f>V1510/S1510</x:f>
        <x:v>0.4419044880635373</x:v>
      </x:c>
      <x:c r="Y1510" s="8" t="n">
        <x:f>0</x:f>
        <x:v>0</x:v>
      </x:c>
      <x:c r="Z1510" s="8" t="n">
        <x:f>K1510/H1510-X1510*I1510/H1510-Y1510*J1510/H1510</x:f>
        <x:v>4.640555075704228</x:v>
      </x:c>
      <x:c r="AA1510" s="8" t="n">
        <x:f>Z1510+X1510*Q1510+Y1510*R1510</x:f>
        <x:v>4.6802593713959</x:v>
      </x:c>
    </x:row>
    <x:row r="1511" ht="26" customHeight="1">
      <x:c r="A1511" s="2"/>
      <x:c r="B1511" s="2" t="n">
        <x:v>1506</x:v>
      </x:c>
      <x:c r="C1511" s="2" t="str">
        <x:v>Health Care / organic_sales_growth</x:v>
      </x:c>
      <x:c r="D1511" s="2" t="str">
        <x:v>Broad lag 1</x:v>
      </x:c>
      <x:c r="E1511" s="7" t="n">
        <x:v>45565</x:v>
      </x:c>
      <x:c r="F1511" s="2" t="str">
        <x:v>Prior report</x:v>
      </x:c>
      <x:c r="G1511" s="7" t="n">
        <x:v>45503</x:v>
      </x:c>
      <x:c r="H1511" s="2" t="n">
        <x:v>13</x:v>
      </x:c>
      <x:c r="I1511" s="8" t="n">
        <x:v>90.5010667786043</x:v>
      </x:c>
      <x:c r="J1511" s="8" t="n">
        <x:v>0</x:v>
      </x:c>
      <x:c r="K1511" s="8" t="n">
        <x:v>102</x:v>
      </x:c>
      <x:c r="L1511" s="8" t="n">
        <x:v>842.2631662443981</x:v>
      </x:c>
      <x:c r="M1511" s="8" t="n">
        <x:v>0</x:v>
      </x:c>
      <x:c r="N1511" s="8" t="n">
        <x:v>0</x:v>
      </x:c>
      <x:c r="O1511" s="8" t="n">
        <x:v>687.8565539858984</x:v>
      </x:c>
      <x:c r="P1511" s="8" t="n">
        <x:v>0</x:v>
      </x:c>
      <x:c r="Q1511" s="8" t="n">
        <x:v>0.08916260685725153</x:v>
      </x:c>
      <x:c r="R1511" s="8" t="n">
        <x:v>0</x:v>
      </x:c>
      <x:c r="S1511" s="8" t="n">
        <x:f>L1511-I1511^2/H1511</x:f>
        <x:v>212.2290825470601</x:v>
      </x:c>
      <x:c r="T1511" s="8" t="n">
        <x:f>M1511-J1511^2/H1511</x:f>
        <x:v>0</x:v>
      </x:c>
      <x:c r="U1511" s="8" t="n">
        <x:f>N1511-I1511*J1511/H1511</x:f>
        <x:v>0</x:v>
      </x:c>
      <x:c r="V1511" s="8" t="n">
        <x:f>O1511-I1511*K1511/H1511</x:f>
        <x:v>-22.228739200073846</x:v>
      </x:c>
      <x:c r="W1511" s="8" t="n">
        <x:f>P1511-J1511*K1511/H1511</x:f>
        <x:v>0</x:v>
      </x:c>
      <x:c r="X1511" s="8" t="n">
        <x:f>V1511/S1511</x:f>
        <x:v>-0.10473936433827254</x:v>
      </x:c>
      <x:c r="Y1511" s="8" t="n">
        <x:f>0</x:f>
        <x:v>0</x:v>
      </x:c>
      <x:c r="Z1511" s="8" t="n">
        <x:f>K1511/H1511-X1511*I1511/H1511-Y1511*J1511/H1511</x:f>
        <x:v>8.575309554332813</x:v>
      </x:c>
      <x:c r="AA1511" s="8" t="n">
        <x:f>Z1511+X1511*Q1511+Y1511*R1511</x:f>
        <x:v>8.565970719567842</x:v>
      </x:c>
    </x:row>
    <x:row r="1512" ht="26" customHeight="1">
      <x:c r="A1512" s="2"/>
      <x:c r="B1512" s="2" t="n">
        <x:v>1507</x:v>
      </x:c>
      <x:c r="C1512" s="2" t="str">
        <x:v>Health Care / organic_sales_growth</x:v>
      </x:c>
      <x:c r="D1512" s="2" t="str">
        <x:v>Broad rolling 8</x:v>
      </x:c>
      <x:c r="E1512" s="7" t="n">
        <x:v>45565</x:v>
      </x:c>
      <x:c r="F1512" s="2" t="str">
        <x:v>Prior report</x:v>
      </x:c>
      <x:c r="G1512" s="7" t="n">
        <x:v>45503</x:v>
      </x:c>
      <x:c r="H1512" s="2" t="n">
        <x:v>8</x:v>
      </x:c>
      <x:c r="I1512" s="8" t="n">
        <x:v>42.693340961410684</x:v>
      </x:c>
      <x:c r="J1512" s="8" t="n">
        <x:v>0</x:v>
      </x:c>
      <x:c r="K1512" s="8" t="n">
        <x:v>48</x:v>
      </x:c>
      <x:c r="L1512" s="8" t="n">
        <x:v>306.96775825702974</x:v>
      </x:c>
      <x:c r="M1512" s="8" t="n">
        <x:v>0</x:v>
      </x:c>
      <x:c r="N1512" s="8" t="n">
        <x:v>0</x:v>
      </x:c>
      <x:c r="O1512" s="8" t="n">
        <x:v>266.65632714699734</x:v>
      </x:c>
      <x:c r="P1512" s="8" t="n">
        <x:v>0</x:v>
      </x:c>
      <x:c r="Q1512" s="8" t="n">
        <x:v>0.0898481386004013</x:v>
      </x:c>
      <x:c r="R1512" s="8" t="n">
        <x:v>0</x:v>
      </x:c>
      <x:c r="S1512" s="8" t="n">
        <x:f>L1512-I1512^2/H1512</x:f>
        <x:v>79.12758795112134</x:v>
      </x:c>
      <x:c r="T1512" s="8" t="n">
        <x:f>M1512-J1512^2/H1512</x:f>
        <x:v>0</x:v>
      </x:c>
      <x:c r="U1512" s="8" t="n">
        <x:f>N1512-I1512*J1512/H1512</x:f>
        <x:v>0</x:v>
      </x:c>
      <x:c r="V1512" s="8" t="n">
        <x:f>O1512-I1512*K1512/H1512</x:f>
        <x:v>10.49628137853324</x:v>
      </x:c>
      <x:c r="W1512" s="8" t="n">
        <x:f>P1512-J1512*K1512/H1512</x:f>
        <x:v>0</x:v>
      </x:c>
      <x:c r="X1512" s="8" t="n">
        <x:f>V1512/S1512</x:f>
        <x:v>0.13265008640244408</x:v>
      </x:c>
      <x:c r="Y1512" s="8" t="n">
        <x:f>0</x:f>
        <x:v>0</x:v>
      </x:c>
      <x:c r="Z1512" s="8" t="n">
        <x:f>K1512/H1512-X1512*I1512/H1512-Y1512*J1512/H1512</x:f>
        <x:v>5.292090579082483</x:v>
      </x:c>
      <x:c r="AA1512" s="8" t="n">
        <x:f>Z1512+X1512*Q1512+Y1512*R1512</x:f>
        <x:v>5.304008942430925</x:v>
      </x:c>
    </x:row>
    <x:row r="1513" ht="26" customHeight="1">
      <x:c r="A1513" s="2"/>
      <x:c r="B1513" s="2" t="n">
        <x:v>1508</x:v>
      </x:c>
      <x:c r="C1513" s="2" t="str">
        <x:v>Health Care / organic_sales_growth</x:v>
      </x:c>
      <x:c r="D1513" s="2" t="str">
        <x:v>Own history</x:v>
      </x:c>
      <x:c r="E1513" s="7" t="n">
        <x:v>45565</x:v>
      </x:c>
      <x:c r="F1513" s="2" t="str">
        <x:v>Prior report</x:v>
      </x:c>
      <x:c r="G1513" s="7" t="n">
        <x:v>45503</x:v>
      </x:c>
      <x:c r="H1513" s="2" t="n">
        <x:v>13</x:v>
      </x:c>
      <x:c r="I1513" s="8" t="n">
        <x:v>101</x:v>
      </x:c>
      <x:c r="J1513" s="8" t="n">
        <x:v>0</x:v>
      </x:c>
      <x:c r="K1513" s="8" t="n">
        <x:v>102</x:v>
      </x:c>
      <x:c r="L1513" s="8" t="n">
        <x:v>997</x:v>
      </x:c>
      <x:c r="M1513" s="8" t="n">
        <x:v>0</x:v>
      </x:c>
      <x:c r="N1513" s="8" t="n">
        <x:v>0</x:v>
      </x:c>
      <x:c r="O1513" s="8" t="n">
        <x:v>803</x:v>
      </x:c>
      <x:c r="P1513" s="8" t="n">
        <x:v>0</x:v>
      </x:c>
      <x:c r="Q1513" s="8" t="n">
        <x:v>4</x:v>
      </x:c>
      <x:c r="R1513" s="8" t="n">
        <x:v>0</x:v>
      </x:c>
      <x:c r="S1513" s="8" t="n">
        <x:f>L1513-I1513^2/H1513</x:f>
        <x:v>212.30769230769226</x:v>
      </x:c>
      <x:c r="T1513" s="8" t="n">
        <x:f>M1513-J1513^2/H1513</x:f>
        <x:v>0</x:v>
      </x:c>
      <x:c r="U1513" s="8" t="n">
        <x:f>N1513-I1513*J1513/H1513</x:f>
        <x:v>0</x:v>
      </x:c>
      <x:c r="V1513" s="8" t="n">
        <x:f>O1513-I1513*K1513/H1513</x:f>
        <x:v>10.538461538461547</x:v>
      </x:c>
      <x:c r="W1513" s="8" t="n">
        <x:f>P1513-J1513*K1513/H1513</x:f>
        <x:v>0</x:v>
      </x:c>
      <x:c r="X1513" s="8" t="n">
        <x:f>V1513/S1513</x:f>
        <x:v>0.04963768115942034</x:v>
      </x:c>
      <x:c r="Y1513" s="8" t="n">
        <x:f>0</x:f>
        <x:v>0</x:v>
      </x:c>
      <x:c r="Z1513" s="8" t="n">
        <x:f>K1513/H1513-X1513*I1513/H1513-Y1513*J1513/H1513</x:f>
        <x:v>7.460507246376811</x:v>
      </x:c>
      <x:c r="AA1513" s="8" t="n">
        <x:f>Z1513+X1513*Q1513+Y1513*R1513</x:f>
        <x:v>7.659057971014493</x:v>
      </x:c>
    </x:row>
    <x:row r="1514" ht="26" customHeight="1">
      <x:c r="A1514" s="2"/>
      <x:c r="B1514" s="2" t="n">
        <x:v>1509</x:v>
      </x:c>
      <x:c r="C1514" s="2" t="str">
        <x:v>Health Care / organic_sales_growth</x:v>
      </x:c>
      <x:c r="D1514" s="2" t="str">
        <x:v>Broad market</x:v>
      </x:c>
      <x:c r="E1514" s="7" t="n">
        <x:v>45565</x:v>
      </x:c>
      <x:c r="F1514" s="2" t="str">
        <x:v>Pre-earnings</x:v>
      </x:c>
      <x:c r="G1514" s="7" t="n">
        <x:v>45582</x:v>
      </x:c>
      <x:c r="H1514" s="2" t="n">
        <x:v>14</x:v>
      </x:c>
      <x:c r="I1514" s="8" t="n">
        <x:v>90.93654241893852</x:v>
      </x:c>
      <x:c r="J1514" s="8" t="n">
        <x:v>0</x:v>
      </x:c>
      <x:c r="K1514" s="8" t="n">
        <x:v>105</x:v>
      </x:c>
      <x:c r="L1514" s="8" t="n">
        <x:v>837.8902330922053</x:v>
      </x:c>
      <x:c r="M1514" s="8" t="n">
        <x:v>0</x:v>
      </x:c>
      <x:c r="N1514" s="8" t="n">
        <x:v>0</x:v>
      </x:c>
      <x:c r="O1514" s="8" t="n">
        <x:v>791.6092379782111</x:v>
      </x:c>
      <x:c r="P1514" s="8" t="n">
        <x:v>0</x:v>
      </x:c>
      <x:c r="Q1514" s="8" t="n">
        <x:v>4.273198477134077</x:v>
      </x:c>
      <x:c r="R1514" s="8" t="n">
        <x:v>0</x:v>
      </x:c>
      <x:c r="S1514" s="8" t="n">
        <x:f>L1514-I1514^2/H1514</x:f>
        <x:v>247.2148940128194</x:v>
      </x:c>
      <x:c r="T1514" s="8" t="n">
        <x:f>M1514-J1514^2/H1514</x:f>
        <x:v>0</x:v>
      </x:c>
      <x:c r="U1514" s="8" t="n">
        <x:f>N1514-I1514*J1514/H1514</x:f>
        <x:v>0</x:v>
      </x:c>
      <x:c r="V1514" s="8" t="n">
        <x:f>O1514-I1514*K1514/H1514</x:f>
        <x:v>109.58516983617221</x:v>
      </x:c>
      <x:c r="W1514" s="8" t="n">
        <x:f>P1514-J1514*K1514/H1514</x:f>
        <x:v>0</x:v>
      </x:c>
      <x:c r="X1514" s="8" t="n">
        <x:f>V1514/S1514</x:f>
        <x:v>0.4432789952796681</x:v>
      </x:c>
      <x:c r="Y1514" s="8" t="n">
        <x:f>0</x:f>
        <x:v>0</x:v>
      </x:c>
      <x:c r="Z1514" s="8" t="n">
        <x:f>K1514/H1514-X1514*I1514/H1514-Y1514*J1514/H1514</x:f>
        <x:v>4.620695774451859</x:v>
      </x:c>
      <x:c r="AA1514" s="8" t="n">
        <x:f>Z1514+X1514*Q1514+Y1514*R1514</x:f>
        <x:v>6.51491490202646</x:v>
      </x:c>
    </x:row>
    <x:row r="1515" ht="26" customHeight="1">
      <x:c r="A1515" s="2"/>
      <x:c r="B1515" s="2" t="n">
        <x:v>1510</x:v>
      </x:c>
      <x:c r="C1515" s="2" t="str">
        <x:v>Health Care / organic_sales_growth</x:v>
      </x:c>
      <x:c r="D1515" s="2" t="str">
        <x:v>Broad lag 1</x:v>
      </x:c>
      <x:c r="E1515" s="7" t="n">
        <x:v>45565</x:v>
      </x:c>
      <x:c r="F1515" s="2" t="str">
        <x:v>Pre-earnings</x:v>
      </x:c>
      <x:c r="G1515" s="7" t="n">
        <x:v>45582</x:v>
      </x:c>
      <x:c r="H1515" s="2" t="n">
        <x:v>13</x:v>
      </x:c>
      <x:c r="I1515" s="8" t="n">
        <x:v>90.1371084549406</x:v>
      </x:c>
      <x:c r="J1515" s="8" t="n">
        <x:v>0</x:v>
      </x:c>
      <x:c r="K1515" s="8" t="n">
        <x:v>102</x:v>
      </x:c>
      <x:c r="L1515" s="8" t="n">
        <x:v>837.2511384294119</x:v>
      </x:c>
      <x:c r="M1515" s="8" t="n">
        <x:v>0</x:v>
      </x:c>
      <x:c r="N1515" s="8" t="n">
        <x:v>0</x:v>
      </x:c>
      <x:c r="O1515" s="8" t="n">
        <x:v>687.4239964093872</x:v>
      </x:c>
      <x:c r="P1515" s="8" t="n">
        <x:v>0</x:v>
      </x:c>
      <x:c r="Q1515" s="8" t="n">
        <x:v>0.7994339639979087</x:v>
      </x:c>
      <x:c r="R1515" s="8" t="n">
        <x:v>0</x:v>
      </x:c>
      <x:c r="S1515" s="8" t="n">
        <x:f>L1515-I1515^2/H1515</x:f>
        <x:v>212.27434453574074</x:v>
      </x:c>
      <x:c r="T1515" s="8" t="n">
        <x:f>M1515-J1515^2/H1515</x:f>
        <x:v>0</x:v>
      </x:c>
      <x:c r="U1515" s="8" t="n">
        <x:f>N1515-I1515*J1515/H1515</x:f>
        <x:v>0</x:v>
      </x:c>
      <x:c r="V1515" s="8" t="n">
        <x:f>O1515-I1515*K1515/H1515</x:f>
        <x:v>-19.80562377553133</x:v>
      </x:c>
      <x:c r="W1515" s="8" t="n">
        <x:f>P1515-J1515*K1515/H1515</x:f>
        <x:v>0</x:v>
      </x:c>
      <x:c r="X1515" s="8" t="n">
        <x:f>V1515/S1515</x:f>
        <x:v>-0.09330201357515744</x:v>
      </x:c>
      <x:c r="Y1515" s="8" t="n">
        <x:f>0</x:f>
        <x:v>0</x:v>
      </x:c>
      <x:c r="Z1515" s="8" t="n">
        <x:f>K1515/H1515-X1515*I1515/H1515-Y1515*J1515/H1515</x:f>
        <x:v>8.493074901283716</x:v>
      </x:c>
      <x:c r="AA1515" s="8" t="n">
        <x:f>Z1515+X1515*Q1515+Y1515*R1515</x:f>
        <x:v>8.41848610272234</x:v>
      </x:c>
    </x:row>
    <x:row r="1516" ht="26" customHeight="1">
      <x:c r="A1516" s="2"/>
      <x:c r="B1516" s="2" t="n">
        <x:v>1511</x:v>
      </x:c>
      <x:c r="C1516" s="2" t="str">
        <x:v>Health Care / organic_sales_growth</x:v>
      </x:c>
      <x:c r="D1516" s="2" t="str">
        <x:v>Broad rolling 8</x:v>
      </x:c>
      <x:c r="E1516" s="7" t="n">
        <x:v>45565</x:v>
      </x:c>
      <x:c r="F1516" s="2" t="str">
        <x:v>Pre-earnings</x:v>
      </x:c>
      <x:c r="G1516" s="7" t="n">
        <x:v>45582</x:v>
      </x:c>
      <x:c r="H1516" s="2" t="n">
        <x:v>8</x:v>
      </x:c>
      <x:c r="I1516" s="8" t="n">
        <x:v>43.03965399488765</x:v>
      </x:c>
      <x:c r="J1516" s="8" t="n">
        <x:v>0</x:v>
      </x:c>
      <x:c r="K1516" s="8" t="n">
        <x:v>48</x:v>
      </x:c>
      <x:c r="L1516" s="8" t="n">
        <x:v>302.5868751343753</x:v>
      </x:c>
      <x:c r="M1516" s="8" t="n">
        <x:v>0</x:v>
      </x:c>
      <x:c r="N1516" s="8" t="n">
        <x:v>0</x:v>
      </x:c>
      <x:c r="O1516" s="8" t="n">
        <x:v>265.67322991966284</x:v>
      </x:c>
      <x:c r="P1516" s="8" t="n">
        <x:v>0</x:v>
      </x:c>
      <x:c r="Q1516" s="8" t="n">
        <x:v>4.273198477134077</x:v>
      </x:c>
      <x:c r="R1516" s="8" t="n">
        <x:v>0</x:v>
      </x:c>
      <x:c r="S1516" s="8" t="n">
        <x:f>L1516-I1516^2/H1516</x:f>
        <x:v>71.03539813441924</x:v>
      </x:c>
      <x:c r="T1516" s="8" t="n">
        <x:f>M1516-J1516^2/H1516</x:f>
        <x:v>0</x:v>
      </x:c>
      <x:c r="U1516" s="8" t="n">
        <x:f>N1516-I1516*J1516/H1516</x:f>
        <x:v>0</x:v>
      </x:c>
      <x:c r="V1516" s="8" t="n">
        <x:f>O1516-I1516*K1516/H1516</x:f>
        <x:v>7.435305950336954</x:v>
      </x:c>
      <x:c r="W1516" s="8" t="n">
        <x:f>P1516-J1516*K1516/H1516</x:f>
        <x:v>0</x:v>
      </x:c>
      <x:c r="X1516" s="8" t="n">
        <x:f>V1516/S1516</x:f>
        <x:v>0.104670433975287</x:v>
      </x:c>
      <x:c r="Y1516" s="8" t="n">
        <x:f>0</x:f>
        <x:v>0</x:v>
      </x:c>
      <x:c r="Z1516" s="8" t="n">
        <x:f>K1516/H1516-X1516*I1516/H1516-Y1516*J1516/H1516</x:f>
        <x:v>5.436877592276114</x:v>
      </x:c>
      <x:c r="AA1516" s="8" t="n">
        <x:f>Z1516+X1516*Q1516+Y1516*R1516</x:f>
        <x:v>5.884155131340274</x:v>
      </x:c>
    </x:row>
    <x:row r="1517" ht="26" customHeight="1">
      <x:c r="A1517" s="2"/>
      <x:c r="B1517" s="2" t="n">
        <x:v>1512</x:v>
      </x:c>
      <x:c r="C1517" s="2" t="str">
        <x:v>Health Care / organic_sales_growth</x:v>
      </x:c>
      <x:c r="D1517" s="2" t="str">
        <x:v>Own history</x:v>
      </x:c>
      <x:c r="E1517" s="7" t="n">
        <x:v>45565</x:v>
      </x:c>
      <x:c r="F1517" s="2" t="str">
        <x:v>Pre-earnings</x:v>
      </x:c>
      <x:c r="G1517" s="7" t="n">
        <x:v>45582</x:v>
      </x:c>
      <x:c r="H1517" s="2" t="n">
        <x:v>13</x:v>
      </x:c>
      <x:c r="I1517" s="8" t="n">
        <x:v>101</x:v>
      </x:c>
      <x:c r="J1517" s="8" t="n">
        <x:v>0</x:v>
      </x:c>
      <x:c r="K1517" s="8" t="n">
        <x:v>102</x:v>
      </x:c>
      <x:c r="L1517" s="8" t="n">
        <x:v>997</x:v>
      </x:c>
      <x:c r="M1517" s="8" t="n">
        <x:v>0</x:v>
      </x:c>
      <x:c r="N1517" s="8" t="n">
        <x:v>0</x:v>
      </x:c>
      <x:c r="O1517" s="8" t="n">
        <x:v>803</x:v>
      </x:c>
      <x:c r="P1517" s="8" t="n">
        <x:v>0</x:v>
      </x:c>
      <x:c r="Q1517" s="8" t="n">
        <x:v>4</x:v>
      </x:c>
      <x:c r="R1517" s="8" t="n">
        <x:v>0</x:v>
      </x:c>
      <x:c r="S1517" s="8" t="n">
        <x:f>L1517-I1517^2/H1517</x:f>
        <x:v>212.30769230769226</x:v>
      </x:c>
      <x:c r="T1517" s="8" t="n">
        <x:f>M1517-J1517^2/H1517</x:f>
        <x:v>0</x:v>
      </x:c>
      <x:c r="U1517" s="8" t="n">
        <x:f>N1517-I1517*J1517/H1517</x:f>
        <x:v>0</x:v>
      </x:c>
      <x:c r="V1517" s="8" t="n">
        <x:f>O1517-I1517*K1517/H1517</x:f>
        <x:v>10.538461538461547</x:v>
      </x:c>
      <x:c r="W1517" s="8" t="n">
        <x:f>P1517-J1517*K1517/H1517</x:f>
        <x:v>0</x:v>
      </x:c>
      <x:c r="X1517" s="8" t="n">
        <x:f>V1517/S1517</x:f>
        <x:v>0.04963768115942034</x:v>
      </x:c>
      <x:c r="Y1517" s="8" t="n">
        <x:f>0</x:f>
        <x:v>0</x:v>
      </x:c>
      <x:c r="Z1517" s="8" t="n">
        <x:f>K1517/H1517-X1517*I1517/H1517-Y1517*J1517/H1517</x:f>
        <x:v>7.460507246376811</x:v>
      </x:c>
      <x:c r="AA1517" s="8" t="n">
        <x:f>Z1517+X1517*Q1517+Y1517*R1517</x:f>
        <x:v>7.659057971014493</x:v>
      </x:c>
    </x:row>
    <x:row r="1518" ht="26" customHeight="1">
      <x:c r="A1518" s="2"/>
      <x:c r="B1518" s="2" t="n">
        <x:v>1513</x:v>
      </x:c>
      <x:c r="C1518" s="2" t="str">
        <x:v>Health Care / organic_sales_growth</x:v>
      </x:c>
      <x:c r="D1518" s="2" t="str">
        <x:v>Broad market</x:v>
      </x:c>
      <x:c r="E1518" s="7" t="n">
        <x:v>45657</x:v>
      </x:c>
      <x:c r="F1518" s="2" t="str">
        <x:v>Origin</x:v>
      </x:c>
      <x:c r="G1518" s="7" t="n">
        <x:v>45566</x:v>
      </x:c>
      <x:c r="H1518" s="2" t="n">
        <x:v>14</x:v>
      </x:c>
      <x:c r="I1518" s="8" t="n">
        <x:v>91.04925878535492</x:v>
      </x:c>
      <x:c r="J1518" s="8" t="n">
        <x:v>0</x:v>
      </x:c>
      <x:c r="K1518" s="8" t="n">
        <x:v>105</x:v>
      </x:c>
      <x:c r="L1518" s="8" t="n">
        <x:v>839.4449911191574</x:v>
      </x:c>
      <x:c r="M1518" s="8" t="n">
        <x:v>0</x:v>
      </x:c>
      <x:c r="N1518" s="8" t="n">
        <x:v>0</x:v>
      </x:c>
      <x:c r="O1518" s="8" t="n">
        <x:v>792.7364016423753</x:v>
      </x:c>
      <x:c r="P1518" s="8" t="n">
        <x:v>0</x:v>
      </x:c>
      <x:c r="Q1518" s="8" t="n">
        <x:v>3.269310346680143</x:v>
      </x:c>
      <x:c r="R1518" s="8" t="n">
        <x:v>0</x:v>
      </x:c>
      <x:c r="S1518" s="8" t="n">
        <x:f>L1518-I1518^2/H1518</x:f>
        <x:v>247.30445359326245</x:v>
      </x:c>
      <x:c r="T1518" s="8" t="n">
        <x:f>M1518-J1518^2/H1518</x:f>
        <x:v>0</x:v>
      </x:c>
      <x:c r="U1518" s="8" t="n">
        <x:f>N1518-I1518*J1518/H1518</x:f>
        <x:v>0</x:v>
      </x:c>
      <x:c r="V1518" s="8" t="n">
        <x:f>O1518-I1518*K1518/H1518</x:f>
        <x:v>109.86696075221334</x:v>
      </x:c>
      <x:c r="W1518" s="8" t="n">
        <x:f>P1518-J1518*K1518/H1518</x:f>
        <x:v>0</x:v>
      </x:c>
      <x:c r="X1518" s="8" t="n">
        <x:f>V1518/S1518</x:f>
        <x:v>0.44425791430715483</x:v>
      </x:c>
      <x:c r="Y1518" s="8" t="n">
        <x:f>0</x:f>
        <x:v>0</x:v>
      </x:c>
      <x:c r="Z1518" s="8" t="n">
        <x:f>K1518/H1518-X1518*I1518/H1518-Y1518*J1518/H1518</x:f>
        <x:v>4.610760442343274</x:v>
      </x:c>
      <x:c r="AA1518" s="8" t="n">
        <x:f>Z1518+X1518*Q1518+Y1518*R1518</x:f>
        <x:v>6.063177438182196</x:v>
      </x:c>
    </x:row>
    <x:row r="1519" ht="26" customHeight="1">
      <x:c r="A1519" s="2"/>
      <x:c r="B1519" s="2" t="n">
        <x:v>1514</x:v>
      </x:c>
      <x:c r="C1519" s="2" t="str">
        <x:v>Health Care / organic_sales_growth</x:v>
      </x:c>
      <x:c r="D1519" s="2" t="str">
        <x:v>Broad rolling 8</x:v>
      </x:c>
      <x:c r="E1519" s="7" t="n">
        <x:v>45657</x:v>
      </x:c>
      <x:c r="F1519" s="2" t="str">
        <x:v>Origin</x:v>
      </x:c>
      <x:c r="G1519" s="7" t="n">
        <x:v>45566</x:v>
      </x:c>
      <x:c r="H1519" s="2" t="n">
        <x:v>8</x:v>
      </x:c>
      <x:c r="I1519" s="8" t="n">
        <x:v>43.15237036130406</x:v>
      </x:c>
      <x:c r="J1519" s="8" t="n">
        <x:v>0</x:v>
      </x:c>
      <x:c r="K1519" s="8" t="n">
        <x:v>48</x:v>
      </x:c>
      <x:c r="L1519" s="8" t="n">
        <x:v>304.1416331613274</x:v>
      </x:c>
      <x:c r="M1519" s="8" t="n">
        <x:v>0</x:v>
      </x:c>
      <x:c r="N1519" s="8" t="n">
        <x:v>0</x:v>
      </x:c>
      <x:c r="O1519" s="8" t="n">
        <x:v>266.8003935838269</x:v>
      </x:c>
      <x:c r="P1519" s="8" t="n">
        <x:v>0</x:v>
      </x:c>
      <x:c r="Q1519" s="8" t="n">
        <x:v>3.269310346680143</x:v>
      </x:c>
      <x:c r="R1519" s="8" t="n">
        <x:v>0</x:v>
      </x:c>
      <x:c r="S1519" s="8" t="n">
        <x:f>L1519-I1519^2/H1519</x:f>
        <x:v>71.37574968643327</x:v>
      </x:c>
      <x:c r="T1519" s="8" t="n">
        <x:f>M1519-J1519^2/H1519</x:f>
        <x:v>0</x:v>
      </x:c>
      <x:c r="U1519" s="8" t="n">
        <x:f>N1519-I1519*J1519/H1519</x:f>
        <x:v>0</x:v>
      </x:c>
      <x:c r="V1519" s="8" t="n">
        <x:f>O1519-I1519*K1519/H1519</x:f>
        <x:v>7.886171416002583</x:v>
      </x:c>
      <x:c r="W1519" s="8" t="n">
        <x:f>P1519-J1519*K1519/H1519</x:f>
        <x:v>0</x:v>
      </x:c>
      <x:c r="X1519" s="8" t="n">
        <x:f>V1519/S1519</x:f>
        <x:v>0.11048810626365366</x:v>
      </x:c>
      <x:c r="Y1519" s="8" t="n">
        <x:f>0</x:f>
        <x:v>0</x:v>
      </x:c>
      <x:c r="Z1519" s="8" t="n">
        <x:f>K1519/H1519-X1519*I1519/H1519-Y1519*J1519/H1519</x:f>
        <x:v>5.404022039748963</x:v>
      </x:c>
      <x:c r="AA1519" s="8" t="n">
        <x:f>Z1519+X1519*Q1519+Y1519*R1519</x:f>
        <x:v>5.765241948741821</x:v>
      </x:c>
    </x:row>
    <x:row r="1520" ht="26" customHeight="1">
      <x:c r="A1520" s="2"/>
      <x:c r="B1520" s="2" t="n">
        <x:v>1515</x:v>
      </x:c>
      <x:c r="C1520" s="2" t="str">
        <x:v>Health Care / organic_sales_growth</x:v>
      </x:c>
      <x:c r="D1520" s="2" t="str">
        <x:v>Own history</x:v>
      </x:c>
      <x:c r="E1520" s="7" t="n">
        <x:v>45657</x:v>
      </x:c>
      <x:c r="F1520" s="2" t="str">
        <x:v>Origin</x:v>
      </x:c>
      <x:c r="G1520" s="7" t="n">
        <x:v>45566</x:v>
      </x:c>
      <x:c r="H1520" s="2" t="n">
        <x:v>12</x:v>
      </x:c>
      <x:c r="I1520" s="8" t="n">
        <x:v>99</x:v>
      </x:c>
      <x:c r="J1520" s="8" t="n">
        <x:v>0</x:v>
      </x:c>
      <x:c r="K1520" s="8" t="n">
        <x:v>88</x:v>
      </x:c>
      <x:c r="L1520" s="8" t="n">
        <x:v>993</x:v>
      </x:c>
      <x:c r="M1520" s="8" t="n">
        <x:v>0</x:v>
      </x:c>
      <x:c r="N1520" s="8" t="n">
        <x:v>0</x:v>
      </x:c>
      <x:c r="O1520" s="8" t="n">
        <x:v>757</x:v>
      </x:c>
      <x:c r="P1520" s="8" t="n">
        <x:v>0</x:v>
      </x:c>
      <x:c r="Q1520" s="8" t="n">
        <x:v>4</x:v>
      </x:c>
      <x:c r="R1520" s="8" t="n">
        <x:v>0</x:v>
      </x:c>
      <x:c r="S1520" s="8" t="n">
        <x:f>L1520-I1520^2/H1520</x:f>
        <x:v>176.25</x:v>
      </x:c>
      <x:c r="T1520" s="8" t="n">
        <x:f>M1520-J1520^2/H1520</x:f>
        <x:v>0</x:v>
      </x:c>
      <x:c r="U1520" s="8" t="n">
        <x:f>N1520-I1520*J1520/H1520</x:f>
        <x:v>0</x:v>
      </x:c>
      <x:c r="V1520" s="8" t="n">
        <x:f>O1520-I1520*K1520/H1520</x:f>
        <x:v>31</x:v>
      </x:c>
      <x:c r="W1520" s="8" t="n">
        <x:f>P1520-J1520*K1520/H1520</x:f>
        <x:v>0</x:v>
      </x:c>
      <x:c r="X1520" s="8" t="n">
        <x:f>V1520/S1520</x:f>
        <x:v>0.17588652482269504</x:v>
      </x:c>
      <x:c r="Y1520" s="8" t="n">
        <x:f>0</x:f>
        <x:v>0</x:v>
      </x:c>
      <x:c r="Z1520" s="8" t="n">
        <x:f>K1520/H1520-X1520*I1520/H1520-Y1520*J1520/H1520</x:f>
        <x:v>5.882269503546099</x:v>
      </x:c>
      <x:c r="AA1520" s="8" t="n">
        <x:f>Z1520+X1520*Q1520+Y1520*R1520</x:f>
        <x:v>6.585815602836879</x:v>
      </x:c>
    </x:row>
    <x:row r="1521" ht="26" customHeight="1">
      <x:c r="A1521" s="2"/>
      <x:c r="B1521" s="2" t="n">
        <x:v>1516</x:v>
      </x:c>
      <x:c r="C1521" s="2" t="str">
        <x:v>Health Care / organic_sales_growth</x:v>
      </x:c>
      <x:c r="D1521" s="2" t="str">
        <x:v>Broad market</x:v>
      </x:c>
      <x:c r="E1521" s="7" t="n">
        <x:v>45657</x:v>
      </x:c>
      <x:c r="F1521" s="2" t="str">
        <x:v>Prior report</x:v>
      </x:c>
      <x:c r="G1521" s="7" t="n">
        <x:v>45583</x:v>
      </x:c>
      <x:c r="H1521" s="2" t="n">
        <x:v>15</x:v>
      </x:c>
      <x:c r="I1521" s="8" t="n">
        <x:v>95.20974089607259</x:v>
      </x:c>
      <x:c r="J1521" s="8" t="n">
        <x:v>0</x:v>
      </x:c>
      <x:c r="K1521" s="8" t="n">
        <x:v>109</x:v>
      </x:c>
      <x:c r="L1521" s="8" t="n">
        <x:v>856.1504583171863</x:v>
      </x:c>
      <x:c r="M1521" s="8" t="n">
        <x:v>0</x:v>
      </x:c>
      <x:c r="N1521" s="8" t="n">
        <x:v>0</x:v>
      </x:c>
      <x:c r="O1521" s="8" t="n">
        <x:v>808.7020318867475</x:v>
      </x:c>
      <x:c r="P1521" s="8" t="n">
        <x:v>0</x:v>
      </x:c>
      <x:c r="Q1521" s="8" t="n">
        <x:v>4.277630284581657</x:v>
      </x:c>
      <x:c r="R1521" s="8" t="n">
        <x:v>0</x:v>
      </x:c>
      <x:c r="S1521" s="8" t="n">
        <x:f>L1521-I1521^2/H1521</x:f>
        <x:v>251.8241408840346</x:v>
      </x:c>
      <x:c r="T1521" s="8" t="n">
        <x:f>M1521-J1521^2/H1521</x:f>
        <x:v>0</x:v>
      </x:c>
      <x:c r="U1521" s="8" t="n">
        <x:f>N1521-I1521*J1521/H1521</x:f>
        <x:v>0</x:v>
      </x:c>
      <x:c r="V1521" s="8" t="n">
        <x:f>O1521-I1521*K1521/H1521</x:f>
        <x:v>116.84458137528668</x:v>
      </x:c>
      <x:c r="W1521" s="8" t="n">
        <x:f>P1521-J1521*K1521/H1521</x:f>
        <x:v>0</x:v>
      </x:c>
      <x:c r="X1521" s="8" t="n">
        <x:f>V1521/S1521</x:f>
        <x:v>0.46399277275443496</x:v>
      </x:c>
      <x:c r="Y1521" s="8" t="n">
        <x:f>0</x:f>
        <x:v>0</x:v>
      </x:c>
      <x:c r="Z1521" s="8" t="n">
        <x:f>K1521/H1521-X1521*I1521/H1521-Y1521*J1521/H1521</x:f>
        <x:v>4.3215578885599975</x:v>
      </x:c>
      <x:c r="AA1521" s="8" t="n">
        <x:f>Z1521+X1521*Q1521+Y1521*R1521</x:f>
        <x:v>6.306347425121383</x:v>
      </x:c>
    </x:row>
    <x:row r="1522" ht="26" customHeight="1">
      <x:c r="A1522" s="2"/>
      <x:c r="B1522" s="2" t="n">
        <x:v>1517</x:v>
      </x:c>
      <x:c r="C1522" s="2" t="str">
        <x:v>Health Care / organic_sales_growth</x:v>
      </x:c>
      <x:c r="D1522" s="2" t="str">
        <x:v>Broad lag 1</x:v>
      </x:c>
      <x:c r="E1522" s="7" t="n">
        <x:v>45657</x:v>
      </x:c>
      <x:c r="F1522" s="2" t="str">
        <x:v>Prior report</x:v>
      </x:c>
      <x:c r="G1522" s="7" t="n">
        <x:v>45583</x:v>
      </x:c>
      <x:c r="H1522" s="2" t="n">
        <x:v>14</x:v>
      </x:c>
      <x:c r="I1522" s="8" t="n">
        <x:v>90.93654241893852</x:v>
      </x:c>
      <x:c r="J1522" s="8" t="n">
        <x:v>0</x:v>
      </x:c>
      <x:c r="K1522" s="8" t="n">
        <x:v>106</x:v>
      </x:c>
      <x:c r="L1522" s="8" t="n">
        <x:v>837.8902330922053</x:v>
      </x:c>
      <x:c r="M1522" s="8" t="n">
        <x:v>0</x:v>
      </x:c>
      <x:c r="N1522" s="8" t="n">
        <x:v>0</x:v>
      </x:c>
      <x:c r="O1522" s="8" t="n">
        <x:v>690.6217322653789</x:v>
      </x:c>
      <x:c r="P1522" s="8" t="n">
        <x:v>0</x:v>
      </x:c>
      <x:c r="Q1522" s="8" t="n">
        <x:v>4.273198477134077</x:v>
      </x:c>
      <x:c r="R1522" s="8" t="n">
        <x:v>0</x:v>
      </x:c>
      <x:c r="S1522" s="8" t="n">
        <x:f>L1522-I1522^2/H1522</x:f>
        <x:v>247.2148940128194</x:v>
      </x:c>
      <x:c r="T1522" s="8" t="n">
        <x:f>M1522-J1522^2/H1522</x:f>
        <x:v>0</x:v>
      </x:c>
      <x:c r="U1522" s="8" t="n">
        <x:f>N1522-I1522*J1522/H1522</x:f>
        <x:v>0</x:v>
      </x:c>
      <x:c r="V1522" s="8" t="n">
        <x:f>O1522-I1522*K1522/H1522</x:f>
        <x:v>2.1021968077016027</x:v>
      </x:c>
      <x:c r="W1522" s="8" t="n">
        <x:f>P1522-J1522*K1522/H1522</x:f>
        <x:v>0</x:v>
      </x:c>
      <x:c r="X1522" s="8" t="n">
        <x:f>V1522/S1522</x:f>
        <x:v>0.008503520049211084</x:v>
      </x:c>
      <x:c r="Y1522" s="8" t="n">
        <x:f>0</x:f>
        <x:v>0</x:v>
      </x:c>
      <x:c r="Z1522" s="8" t="n">
        <x:f>K1522/H1522-X1522*I1522/H1522-Y1522*J1522/H1522</x:f>
        <x:v>7.516194234881044</x:v>
      </x:c>
      <x:c r="AA1522" s="8" t="n">
        <x:f>Z1522+X1522*Q1522+Y1522*R1522</x:f>
        <x:v>7.552531463805612</x:v>
      </x:c>
    </x:row>
    <x:row r="1523" ht="26" customHeight="1">
      <x:c r="A1523" s="2"/>
      <x:c r="B1523" s="2" t="n">
        <x:v>1518</x:v>
      </x:c>
      <x:c r="C1523" s="2" t="str">
        <x:v>Health Care / organic_sales_growth</x:v>
      </x:c>
      <x:c r="D1523" s="2" t="str">
        <x:v>Broad rolling 8</x:v>
      </x:c>
      <x:c r="E1523" s="7" t="n">
        <x:v>45657</x:v>
      </x:c>
      <x:c r="F1523" s="2" t="str">
        <x:v>Prior report</x:v>
      </x:c>
      <x:c r="G1523" s="7" t="n">
        <x:v>45583</x:v>
      </x:c>
      <x:c r="H1523" s="2" t="n">
        <x:v>8</x:v>
      </x:c>
      <x:c r="I1523" s="8" t="n">
        <x:v>43.55935676855906</x:v>
      </x:c>
      <x:c r="J1523" s="8" t="n">
        <x:v>0</x:v>
      </x:c>
      <x:c r="K1523" s="8" t="n">
        <x:v>44</x:v>
      </x:c>
      <x:c r="L1523" s="8" t="n">
        <x:v>306.75837036344365</x:v>
      </x:c>
      <x:c r="M1523" s="8" t="n">
        <x:v>0</x:v>
      </x:c>
      <x:c r="N1523" s="8" t="n">
        <x:v>0</x:v>
      </x:c>
      <x:c r="O1523" s="8" t="n">
        <x:v>252.73805820049785</x:v>
      </x:c>
      <x:c r="P1523" s="8" t="n">
        <x:v>0</x:v>
      </x:c>
      <x:c r="Q1523" s="8" t="n">
        <x:v>4.277630284581657</x:v>
      </x:c>
      <x:c r="R1523" s="8" t="n">
        <x:v>0</x:v>
      </x:c>
      <x:c r="S1523" s="8" t="n">
        <x:f>L1523-I1523^2/H1523</x:f>
        <x:v>69.58117510211713</x:v>
      </x:c>
      <x:c r="T1523" s="8" t="n">
        <x:f>M1523-J1523^2/H1523</x:f>
        <x:v>0</x:v>
      </x:c>
      <x:c r="U1523" s="8" t="n">
        <x:f>N1523-I1523*J1523/H1523</x:f>
        <x:v>0</x:v>
      </x:c>
      <x:c r="V1523" s="8" t="n">
        <x:f>O1523-I1523*K1523/H1523</x:f>
        <x:v>13.161595973423005</x:v>
      </x:c>
      <x:c r="W1523" s="8" t="n">
        <x:f>P1523-J1523*K1523/H1523</x:f>
        <x:v>0</x:v>
      </x:c>
      <x:c r="X1523" s="8" t="n">
        <x:f>V1523/S1523</x:f>
        <x:v>0.18915455155948552</x:v>
      </x:c>
      <x:c r="Y1523" s="8" t="n">
        <x:f>0</x:f>
        <x:v>0</x:v>
      </x:c>
      <x:c r="Z1523" s="8" t="n">
        <x:f>K1523/H1523-X1523*I1523/H1523-Y1523*J1523/H1523</x:f>
        <x:v>4.470068675527946</x:v>
      </x:c>
      <x:c r="AA1523" s="8" t="n">
        <x:f>Z1523+X1523*Q1523+Y1523*R1523</x:f>
        <x:v>5.279201913745264</x:v>
      </x:c>
    </x:row>
    <x:row r="1524" ht="26" customHeight="1">
      <x:c r="A1524" s="2"/>
      <x:c r="B1524" s="2" t="n">
        <x:v>1519</x:v>
      </x:c>
      <x:c r="C1524" s="2" t="str">
        <x:v>Health Care / organic_sales_growth</x:v>
      </x:c>
      <x:c r="D1524" s="2" t="str">
        <x:v>Own history</x:v>
      </x:c>
      <x:c r="E1524" s="7" t="n">
        <x:v>45657</x:v>
      </x:c>
      <x:c r="F1524" s="2" t="str">
        <x:v>Prior report</x:v>
      </x:c>
      <x:c r="G1524" s="7" t="n">
        <x:v>45583</x:v>
      </x:c>
      <x:c r="H1524" s="2" t="n">
        <x:v>14</x:v>
      </x:c>
      <x:c r="I1524" s="8" t="n">
        <x:v>105</x:v>
      </x:c>
      <x:c r="J1524" s="8" t="n">
        <x:v>0</x:v>
      </x:c>
      <x:c r="K1524" s="8" t="n">
        <x:v>106</x:v>
      </x:c>
      <x:c r="L1524" s="8" t="n">
        <x:v>1013</x:v>
      </x:c>
      <x:c r="M1524" s="8" t="n">
        <x:v>0</x:v>
      </x:c>
      <x:c r="N1524" s="8" t="n">
        <x:v>0</x:v>
      </x:c>
      <x:c r="O1524" s="8" t="n">
        <x:v>819</x:v>
      </x:c>
      <x:c r="P1524" s="8" t="n">
        <x:v>0</x:v>
      </x:c>
      <x:c r="Q1524" s="8" t="n">
        <x:v>4</x:v>
      </x:c>
      <x:c r="R1524" s="8" t="n">
        <x:v>0</x:v>
      </x:c>
      <x:c r="S1524" s="8" t="n">
        <x:f>L1524-I1524^2/H1524</x:f>
        <x:v>225.5</x:v>
      </x:c>
      <x:c r="T1524" s="8" t="n">
        <x:f>M1524-J1524^2/H1524</x:f>
        <x:v>0</x:v>
      </x:c>
      <x:c r="U1524" s="8" t="n">
        <x:f>N1524-I1524*J1524/H1524</x:f>
        <x:v>0</x:v>
      </x:c>
      <x:c r="V1524" s="8" t="n">
        <x:f>O1524-I1524*K1524/H1524</x:f>
        <x:v>24</x:v>
      </x:c>
      <x:c r="W1524" s="8" t="n">
        <x:f>P1524-J1524*K1524/H1524</x:f>
        <x:v>0</x:v>
      </x:c>
      <x:c r="X1524" s="8" t="n">
        <x:f>V1524/S1524</x:f>
        <x:v>0.10643015521064302</x:v>
      </x:c>
      <x:c r="Y1524" s="8" t="n">
        <x:f>0</x:f>
        <x:v>0</x:v>
      </x:c>
      <x:c r="Z1524" s="8" t="n">
        <x:f>K1524/H1524-X1524*I1524/H1524-Y1524*J1524/H1524</x:f>
        <x:v>6.773202407348749</x:v>
      </x:c>
      <x:c r="AA1524" s="8" t="n">
        <x:f>Z1524+X1524*Q1524+Y1524*R1524</x:f>
        <x:v>7.198923028191321</x:v>
      </x:c>
    </x:row>
    <x:row r="1525" ht="26" customHeight="1">
      <x:c r="A1525" s="2"/>
      <x:c r="B1525" s="2" t="n">
        <x:v>1520</x:v>
      </x:c>
      <x:c r="C1525" s="2" t="str">
        <x:v>Health Care / organic_sales_growth</x:v>
      </x:c>
      <x:c r="D1525" s="2" t="str">
        <x:v>Broad market</x:v>
      </x:c>
      <x:c r="E1525" s="7" t="n">
        <x:v>45657</x:v>
      </x:c>
      <x:c r="F1525" s="2" t="str">
        <x:v>Pre-earnings</x:v>
      </x:c>
      <x:c r="G1525" s="7" t="n">
        <x:v>45678</x:v>
      </x:c>
      <x:c r="H1525" s="2" t="n">
        <x:v>15</x:v>
      </x:c>
      <x:c r="I1525" s="8" t="n">
        <x:v>95.23287042560825</x:v>
      </x:c>
      <x:c r="J1525" s="8" t="n">
        <x:v>0</x:v>
      </x:c>
      <x:c r="K1525" s="8" t="n">
        <x:v>109</x:v>
      </x:c>
      <x:c r="L1525" s="8" t="n">
        <x:v>854.4579419910189</x:v>
      </x:c>
      <x:c r="M1525" s="8" t="n">
        <x:v>0</x:v>
      </x:c>
      <x:c r="N1525" s="8" t="n">
        <x:v>0</x:v>
      </x:c>
      <x:c r="O1525" s="8" t="n">
        <x:v>809.1611160455849</x:v>
      </x:c>
      <x:c r="P1525" s="8" t="n">
        <x:v>0</x:v>
      </x:c>
      <x:c r="Q1525" s="8" t="n">
        <x:v>2.3264143847269825</x:v>
      </x:c>
      <x:c r="R1525" s="8" t="n">
        <x:v>0</x:v>
      </x:c>
      <x:c r="S1525" s="8" t="n">
        <x:f>L1525-I1525^2/H1525</x:f>
        <x:v>249.83796802430606</x:v>
      </x:c>
      <x:c r="T1525" s="8" t="n">
        <x:f>M1525-J1525^2/H1525</x:f>
        <x:v>0</x:v>
      </x:c>
      <x:c r="U1525" s="8" t="n">
        <x:f>N1525-I1525*J1525/H1525</x:f>
        <x:v>0</x:v>
      </x:c>
      <x:c r="V1525" s="8" t="n">
        <x:f>O1525-I1525*K1525/H1525</x:f>
        <x:v>117.13559095283165</x:v>
      </x:c>
      <x:c r="W1525" s="8" t="n">
        <x:f>P1525-J1525*K1525/H1525</x:f>
        <x:v>0</x:v>
      </x:c>
      <x:c r="X1525" s="8" t="n">
        <x:f>V1525/S1525</x:f>
        <x:v>0.4688462361390797</x:v>
      </x:c>
      <x:c r="Y1525" s="8" t="n">
        <x:f>0</x:f>
        <x:v>0</x:v>
      </x:c>
      <x:c r="Z1525" s="8" t="n">
        <x:f>K1525/H1525-X1525*I1525/H1525-Y1525*J1525/H1525</x:f>
        <x:v>4.290028476282192</x:v>
      </x:c>
      <x:c r="AA1525" s="8" t="n">
        <x:f>Z1525+X1525*Q1525+Y1525*R1525</x:f>
        <x:v>5.380759104261251</x:v>
      </x:c>
    </x:row>
    <x:row r="1526" ht="26" customHeight="1">
      <x:c r="A1526" s="2"/>
      <x:c r="B1526" s="2" t="n">
        <x:v>1521</x:v>
      </x:c>
      <x:c r="C1526" s="2" t="str">
        <x:v>Health Care / organic_sales_growth</x:v>
      </x:c>
      <x:c r="D1526" s="2" t="str">
        <x:v>Broad lag 1</x:v>
      </x:c>
      <x:c r="E1526" s="7" t="n">
        <x:v>45657</x:v>
      </x:c>
      <x:c r="F1526" s="2" t="str">
        <x:v>Pre-earnings</x:v>
      </x:c>
      <x:c r="G1526" s="7" t="n">
        <x:v>45678</x:v>
      </x:c>
      <x:c r="H1526" s="2" t="n">
        <x:v>14</x:v>
      </x:c>
      <x:c r="I1526" s="8" t="n">
        <x:v>90.75325939859115</x:v>
      </x:c>
      <x:c r="J1526" s="8" t="n">
        <x:v>0</x:v>
      </x:c>
      <x:c r="K1526" s="8" t="n">
        <x:v>106</x:v>
      </x:c>
      <x:c r="L1526" s="8" t="n">
        <x:v>834.3910270376456</x:v>
      </x:c>
      <x:c r="M1526" s="8" t="n">
        <x:v>0</x:v>
      </x:c>
      <x:c r="N1526" s="8" t="n">
        <x:v>0</x:v>
      </x:c>
      <x:c r="O1526" s="8" t="n">
        <x:v>690.2551662246841</x:v>
      </x:c>
      <x:c r="P1526" s="8" t="n">
        <x:v>0</x:v>
      </x:c>
      <x:c r="Q1526" s="8" t="n">
        <x:v>4.479611027017105</x:v>
      </x:c>
      <x:c r="R1526" s="8" t="n">
        <x:v>0</x:v>
      </x:c>
      <x:c r="S1526" s="8" t="n">
        <x:f>L1526-I1526^2/H1526</x:f>
        <x:v>246.09430621850458</x:v>
      </x:c>
      <x:c r="T1526" s="8" t="n">
        <x:f>M1526-J1526^2/H1526</x:f>
        <x:v>0</x:v>
      </x:c>
      <x:c r="U1526" s="8" t="n">
        <x:f>N1526-I1526*J1526/H1526</x:f>
        <x:v>0</x:v>
      </x:c>
      <x:c r="V1526" s="8" t="n">
        <x:f>O1526-I1526*K1526/H1526</x:f>
        <x:v>3.1233450639225566</x:v>
      </x:c>
      <x:c r="W1526" s="8" t="n">
        <x:f>P1526-J1526*K1526/H1526</x:f>
        <x:v>0</x:v>
      </x:c>
      <x:c r="X1526" s="8" t="n">
        <x:f>V1526/S1526</x:f>
        <x:v>0.012691659193241842</x:v>
      </x:c>
      <x:c r="Y1526" s="8" t="n">
        <x:f>0</x:f>
        <x:v>0</x:v>
      </x:c>
      <x:c r="Z1526" s="8" t="n">
        <x:f>K1526/H1526-X1526*I1526/H1526-Y1526*J1526/H1526</x:f>
        <x:v>7.489156468645515</x:v>
      </x:c>
      <x:c r="AA1526" s="8" t="n">
        <x:f>Z1526+X1526*Q1526+Y1526*R1526</x:f>
        <x:v>7.546010165118704</x:v>
      </x:c>
    </x:row>
    <x:row r="1527" ht="26" customHeight="1">
      <x:c r="A1527" s="2"/>
      <x:c r="B1527" s="2" t="n">
        <x:v>1522</x:v>
      </x:c>
      <x:c r="C1527" s="2" t="str">
        <x:v>Health Care / organic_sales_growth</x:v>
      </x:c>
      <x:c r="D1527" s="2" t="str">
        <x:v>Broad rolling 8</x:v>
      </x:c>
      <x:c r="E1527" s="7" t="n">
        <x:v>45657</x:v>
      </x:c>
      <x:c r="F1527" s="2" t="str">
        <x:v>Pre-earnings</x:v>
      </x:c>
      <x:c r="G1527" s="7" t="n">
        <x:v>45678</x:v>
      </x:c>
      <x:c r="H1527" s="2" t="n">
        <x:v>8</x:v>
      </x:c>
      <x:c r="I1527" s="8" t="n">
        <x:v>43.582486298094736</x:v>
      </x:c>
      <x:c r="J1527" s="8" t="n">
        <x:v>0</x:v>
      </x:c>
      <x:c r="K1527" s="8" t="n">
        <x:v>44</x:v>
      </x:c>
      <x:c r="L1527" s="8" t="n">
        <x:v>305.06585403727615</x:v>
      </x:c>
      <x:c r="M1527" s="8" t="n">
        <x:v>0</x:v>
      </x:c>
      <x:c r="N1527" s="8" t="n">
        <x:v>0</x:v>
      </x:c>
      <x:c r="O1527" s="8" t="n">
        <x:v>253.19714235933523</x:v>
      </x:c>
      <x:c r="P1527" s="8" t="n">
        <x:v>0</x:v>
      </x:c>
      <x:c r="Q1527" s="8" t="n">
        <x:v>2.3264143847269825</x:v>
      </x:c>
      <x:c r="R1527" s="8" t="n">
        <x:v>0</x:v>
      </x:c>
      <x:c r="S1527" s="8" t="n">
        <x:f>L1527-I1527^2/H1527</x:f>
        <x:v>67.63671504682424</x:v>
      </x:c>
      <x:c r="T1527" s="8" t="n">
        <x:f>M1527-J1527^2/H1527</x:f>
        <x:v>0</x:v>
      </x:c>
      <x:c r="U1527" s="8" t="n">
        <x:f>N1527-I1527*J1527/H1527</x:f>
        <x:v>0</x:v>
      </x:c>
      <x:c r="V1527" s="8" t="n">
        <x:f>O1527-I1527*K1527/H1527</x:f>
        <x:v>13.493467719814191</x:v>
      </x:c>
      <x:c r="W1527" s="8" t="n">
        <x:f>P1527-J1527*K1527/H1527</x:f>
        <x:v>0</x:v>
      </x:c>
      <x:c r="X1527" s="8" t="n">
        <x:f>V1527/S1527</x:f>
        <x:v>0.19949915826741135</x:v>
      </x:c>
      <x:c r="Y1527" s="8" t="n">
        <x:f>0</x:f>
        <x:v>0</x:v>
      </x:c>
      <x:c r="Z1527" s="8" t="n">
        <x:f>K1527/H1527-X1527*I1527/H1527-Y1527*J1527/H1527</x:f>
        <x:v>4.413166333541139</x:v>
      </x:c>
      <x:c r="AA1527" s="8" t="n">
        <x:f>Z1527+X1527*Q1527+Y1527*R1527</x:f>
        <x:v>4.87728404507537</x:v>
      </x:c>
    </x:row>
    <x:row r="1528" ht="26" customHeight="1">
      <x:c r="A1528" s="2"/>
      <x:c r="B1528" s="2" t="n">
        <x:v>1523</x:v>
      </x:c>
      <x:c r="C1528" s="2" t="str">
        <x:v>Health Care / organic_sales_growth</x:v>
      </x:c>
      <x:c r="D1528" s="2" t="str">
        <x:v>Own history</x:v>
      </x:c>
      <x:c r="E1528" s="7" t="n">
        <x:v>45657</x:v>
      </x:c>
      <x:c r="F1528" s="2" t="str">
        <x:v>Pre-earnings</x:v>
      </x:c>
      <x:c r="G1528" s="7" t="n">
        <x:v>45678</x:v>
      </x:c>
      <x:c r="H1528" s="2" t="n">
        <x:v>14</x:v>
      </x:c>
      <x:c r="I1528" s="8" t="n">
        <x:v>105</x:v>
      </x:c>
      <x:c r="J1528" s="8" t="n">
        <x:v>0</x:v>
      </x:c>
      <x:c r="K1528" s="8" t="n">
        <x:v>106</x:v>
      </x:c>
      <x:c r="L1528" s="8" t="n">
        <x:v>1013</x:v>
      </x:c>
      <x:c r="M1528" s="8" t="n">
        <x:v>0</x:v>
      </x:c>
      <x:c r="N1528" s="8" t="n">
        <x:v>0</x:v>
      </x:c>
      <x:c r="O1528" s="8" t="n">
        <x:v>819</x:v>
      </x:c>
      <x:c r="P1528" s="8" t="n">
        <x:v>0</x:v>
      </x:c>
      <x:c r="Q1528" s="8" t="n">
        <x:v>4</x:v>
      </x:c>
      <x:c r="R1528" s="8" t="n">
        <x:v>0</x:v>
      </x:c>
      <x:c r="S1528" s="8" t="n">
        <x:f>L1528-I1528^2/H1528</x:f>
        <x:v>225.5</x:v>
      </x:c>
      <x:c r="T1528" s="8" t="n">
        <x:f>M1528-J1528^2/H1528</x:f>
        <x:v>0</x:v>
      </x:c>
      <x:c r="U1528" s="8" t="n">
        <x:f>N1528-I1528*J1528/H1528</x:f>
        <x:v>0</x:v>
      </x:c>
      <x:c r="V1528" s="8" t="n">
        <x:f>O1528-I1528*K1528/H1528</x:f>
        <x:v>24</x:v>
      </x:c>
      <x:c r="W1528" s="8" t="n">
        <x:f>P1528-J1528*K1528/H1528</x:f>
        <x:v>0</x:v>
      </x:c>
      <x:c r="X1528" s="8" t="n">
        <x:f>V1528/S1528</x:f>
        <x:v>0.10643015521064302</x:v>
      </x:c>
      <x:c r="Y1528" s="8" t="n">
        <x:f>0</x:f>
        <x:v>0</x:v>
      </x:c>
      <x:c r="Z1528" s="8" t="n">
        <x:f>K1528/H1528-X1528*I1528/H1528-Y1528*J1528/H1528</x:f>
        <x:v>6.773202407348749</x:v>
      </x:c>
      <x:c r="AA1528" s="8" t="n">
        <x:f>Z1528+X1528*Q1528+Y1528*R1528</x:f>
        <x:v>7.198923028191321</x:v>
      </x:c>
    </x:row>
    <x:row r="1529" ht="26" customHeight="1">
      <x:c r="A1529" s="2"/>
      <x:c r="B1529" s="2" t="n">
        <x:v>1524</x:v>
      </x:c>
      <x:c r="C1529" s="2" t="str">
        <x:v>Health Care / organic_sales_growth</x:v>
      </x:c>
      <x:c r="D1529" s="2" t="str">
        <x:v>Broad market</x:v>
      </x:c>
      <x:c r="E1529" s="7" t="n">
        <x:v>45747</x:v>
      </x:c>
      <x:c r="F1529" s="2" t="str">
        <x:v>Origin</x:v>
      </x:c>
      <x:c r="G1529" s="7" t="n">
        <x:v>45658</x:v>
      </x:c>
      <x:c r="H1529" s="2" t="n">
        <x:v>15</x:v>
      </x:c>
      <x:c r="I1529" s="8" t="n">
        <x:v>95.3063796583679</x:v>
      </x:c>
      <x:c r="J1529" s="8" t="n">
        <x:v>0</x:v>
      </x:c>
      <x:c r="K1529" s="8" t="n">
        <x:v>109</x:v>
      </x:c>
      <x:c r="L1529" s="8" t="n">
        <x:v>855.8532974923086</x:v>
      </x:c>
      <x:c r="M1529" s="8" t="n">
        <x:v>0</x:v>
      </x:c>
      <x:c r="N1529" s="8" t="n">
        <x:v>0</x:v>
      </x:c>
      <x:c r="O1529" s="8" t="n">
        <x:v>809.3081345111042</x:v>
      </x:c>
      <x:c r="P1529" s="8" t="n">
        <x:v>0</x:v>
      </x:c>
      <x:c r="Q1529" s="8" t="n">
        <x:v>2.894457861264632</x:v>
      </x:c>
      <x:c r="R1529" s="8" t="n">
        <x:v>0</x:v>
      </x:c>
      <x:c r="S1529" s="8" t="n">
        <x:f>L1529-I1529^2/H1529</x:f>
        <x:v>250.2995639199777</x:v>
      </x:c>
      <x:c r="T1529" s="8" t="n">
        <x:f>M1529-J1529^2/H1529</x:f>
        <x:v>0</x:v>
      </x:c>
      <x:c r="U1529" s="8" t="n">
        <x:f>N1529-I1529*J1529/H1529</x:f>
        <x:v>0</x:v>
      </x:c>
      <x:c r="V1529" s="8" t="n">
        <x:f>O1529-I1529*K1529/H1529</x:f>
        <x:v>116.7484423269641</x:v>
      </x:c>
      <x:c r="W1529" s="8" t="n">
        <x:f>P1529-J1529*K1529/H1529</x:f>
        <x:v>0</x:v>
      </x:c>
      <x:c r="X1529" s="8" t="n">
        <x:f>V1529/S1529</x:f>
        <x:v>0.46643486108625143</x:v>
      </x:c>
      <x:c r="Y1529" s="8" t="n">
        <x:f>0</x:f>
        <x:v>0</x:v>
      </x:c>
      <x:c r="Z1529" s="8" t="n">
        <x:f>K1529/H1529-X1529*I1529/H1529-Y1529*J1529/H1529</x:f>
        <x:v>4.303052136227708</x:v>
      </x:c>
      <x:c r="AA1529" s="8" t="n">
        <x:f>Z1529+X1529*Q1529+Y1529*R1529</x:f>
        <x:v>5.653128186666685</x:v>
      </x:c>
    </x:row>
    <x:row r="1530" ht="26" customHeight="1">
      <x:c r="A1530" s="2"/>
      <x:c r="B1530" s="2" t="n">
        <x:v>1525</x:v>
      </x:c>
      <x:c r="C1530" s="2" t="str">
        <x:v>Health Care / organic_sales_growth</x:v>
      </x:c>
      <x:c r="D1530" s="2" t="str">
        <x:v>Broad rolling 8</x:v>
      </x:c>
      <x:c r="E1530" s="7" t="n">
        <x:v>45747</x:v>
      </x:c>
      <x:c r="F1530" s="2" t="str">
        <x:v>Origin</x:v>
      </x:c>
      <x:c r="G1530" s="7" t="n">
        <x:v>45658</x:v>
      </x:c>
      <x:c r="H1530" s="2" t="n">
        <x:v>8</x:v>
      </x:c>
      <x:c r="I1530" s="8" t="n">
        <x:v>43.655995530854376</x:v>
      </x:c>
      <x:c r="J1530" s="8" t="n">
        <x:v>0</x:v>
      </x:c>
      <x:c r="K1530" s="8" t="n">
        <x:v>44</x:v>
      </x:c>
      <x:c r="L1530" s="8" t="n">
        <x:v>306.4612095385659</x:v>
      </x:c>
      <x:c r="M1530" s="8" t="n">
        <x:v>0</x:v>
      </x:c>
      <x:c r="N1530" s="8" t="n">
        <x:v>0</x:v>
      </x:c>
      <x:c r="O1530" s="8" t="n">
        <x:v>253.3441608248545</x:v>
      </x:c>
      <x:c r="P1530" s="8" t="n">
        <x:v>0</x:v>
      </x:c>
      <x:c r="Q1530" s="8" t="n">
        <x:v>2.894457861264632</x:v>
      </x:c>
      <x:c r="R1530" s="8" t="n">
        <x:v>0</x:v>
      </x:c>
      <x:c r="S1530" s="8" t="n">
        <x:f>L1530-I1530^2/H1530</x:f>
        <x:v>68.23046631481876</x:v>
      </x:c>
      <x:c r="T1530" s="8" t="n">
        <x:f>M1530-J1530^2/H1530</x:f>
        <x:v>0</x:v>
      </x:c>
      <x:c r="U1530" s="8" t="n">
        <x:f>N1530-I1530*J1530/H1530</x:f>
        <x:v>0</x:v>
      </x:c>
      <x:c r="V1530" s="8" t="n">
        <x:f>O1530-I1530*K1530/H1530</x:f>
        <x:v>13.236185405155425</x:v>
      </x:c>
      <x:c r="W1530" s="8" t="n">
        <x:f>P1530-J1530*K1530/H1530</x:f>
        <x:v>0</x:v>
      </x:c>
      <x:c r="X1530" s="8" t="n">
        <x:f>V1530/S1530</x:f>
        <x:v>0.19399230461188713</x:v>
      </x:c>
      <x:c r="Y1530" s="8" t="n">
        <x:f>0</x:f>
        <x:v>0</x:v>
      </x:c>
      <x:c r="Z1530" s="8" t="n">
        <x:f>K1530/H1530-X1530*I1530/H1530-Y1530*J1530/H1530</x:f>
        <x:v>4.441384102105414</x:v>
      </x:c>
      <x:c r="AA1530" s="8" t="n">
        <x:f>Z1530+X1530*Q1530+Y1530*R1530</x:f>
        <x:v>5.002886653214134</x:v>
      </x:c>
    </x:row>
    <x:row r="1531" ht="26" customHeight="1">
      <x:c r="A1531" s="2"/>
      <x:c r="B1531" s="2" t="n">
        <x:v>1526</x:v>
      </x:c>
      <x:c r="C1531" s="2" t="str">
        <x:v>Health Care / organic_sales_growth</x:v>
      </x:c>
      <x:c r="D1531" s="2" t="str">
        <x:v>Own history</x:v>
      </x:c>
      <x:c r="E1531" s="7" t="n">
        <x:v>45747</x:v>
      </x:c>
      <x:c r="F1531" s="2" t="str">
        <x:v>Origin</x:v>
      </x:c>
      <x:c r="G1531" s="7" t="n">
        <x:v>45658</x:v>
      </x:c>
      <x:c r="H1531" s="2" t="n">
        <x:v>13</x:v>
      </x:c>
      <x:c r="I1531" s="8" t="n">
        <x:v>101</x:v>
      </x:c>
      <x:c r="J1531" s="8" t="n">
        <x:v>0</x:v>
      </x:c>
      <x:c r="K1531" s="8" t="n">
        <x:v>92</x:v>
      </x:c>
      <x:c r="L1531" s="8" t="n">
        <x:v>997</x:v>
      </x:c>
      <x:c r="M1531" s="8" t="n">
        <x:v>0</x:v>
      </x:c>
      <x:c r="N1531" s="8" t="n">
        <x:v>0</x:v>
      </x:c>
      <x:c r="O1531" s="8" t="n">
        <x:v>765</x:v>
      </x:c>
      <x:c r="P1531" s="8" t="n">
        <x:v>0</x:v>
      </x:c>
      <x:c r="Q1531" s="8" t="n">
        <x:v>4</x:v>
      </x:c>
      <x:c r="R1531" s="8" t="n">
        <x:v>0</x:v>
      </x:c>
      <x:c r="S1531" s="8" t="n">
        <x:f>L1531-I1531^2/H1531</x:f>
        <x:v>212.30769230769226</x:v>
      </x:c>
      <x:c r="T1531" s="8" t="n">
        <x:f>M1531-J1531^2/H1531</x:f>
        <x:v>0</x:v>
      </x:c>
      <x:c r="U1531" s="8" t="n">
        <x:f>N1531-I1531*J1531/H1531</x:f>
        <x:v>0</x:v>
      </x:c>
      <x:c r="V1531" s="8" t="n">
        <x:f>O1531-I1531*K1531/H1531</x:f>
        <x:v>50.23076923076928</x:v>
      </x:c>
      <x:c r="W1531" s="8" t="n">
        <x:f>P1531-J1531*K1531/H1531</x:f>
        <x:v>0</x:v>
      </x:c>
      <x:c r="X1531" s="8" t="n">
        <x:f>V1531/S1531</x:f>
        <x:v>0.23659420289855101</x:v>
      </x:c>
      <x:c r="Y1531" s="8" t="n">
        <x:f>0</x:f>
        <x:v>0</x:v>
      </x:c>
      <x:c r="Z1531" s="8" t="n">
        <x:f>K1531/H1531-X1531*I1531/H1531-Y1531*J1531/H1531</x:f>
        <x:v>5.238768115942026</x:v>
      </x:c>
      <x:c r="AA1531" s="8" t="n">
        <x:f>Z1531+X1531*Q1531+Y1531*R1531</x:f>
        <x:v>6.18514492753623</x:v>
      </x:c>
    </x:row>
    <x:row r="1532" ht="26" customHeight="1">
      <x:c r="A1532" s="2"/>
      <x:c r="B1532" s="2" t="n">
        <x:v>1527</x:v>
      </x:c>
      <x:c r="C1532" s="2" t="str">
        <x:v>Health Care / organic_sales_growth</x:v>
      </x:c>
      <x:c r="D1532" s="2" t="str">
        <x:v>Broad market</x:v>
      </x:c>
      <x:c r="E1532" s="7" t="n">
        <x:v>45747</x:v>
      </x:c>
      <x:c r="F1532" s="2" t="str">
        <x:v>Prior report</x:v>
      </x:c>
      <x:c r="G1532" s="7" t="n">
        <x:v>45679</x:v>
      </x:c>
      <x:c r="H1532" s="2" t="n">
        <x:v>16</x:v>
      </x:c>
      <x:c r="I1532" s="8" t="n">
        <x:v>97.55928481033524</x:v>
      </x:c>
      <x:c r="J1532" s="8" t="n">
        <x:v>0</x:v>
      </x:c>
      <x:c r="K1532" s="8" t="n">
        <x:v>112</x:v>
      </x:c>
      <x:c r="L1532" s="8" t="n">
        <x:v>859.8701458804835</x:v>
      </x:c>
      <x:c r="M1532" s="8" t="n">
        <x:v>0</x:v>
      </x:c>
      <x:c r="N1532" s="8" t="n">
        <x:v>0</x:v>
      </x:c>
      <x:c r="O1532" s="8" t="n">
        <x:v>816.1403591997658</x:v>
      </x:c>
      <x:c r="P1532" s="8" t="n">
        <x:v>0</x:v>
      </x:c>
      <x:c r="Q1532" s="8" t="n">
        <x:v>2.3333601668064308</x:v>
      </x:c>
      <x:c r="R1532" s="8" t="n">
        <x:v>0</x:v>
      </x:c>
      <x:c r="S1532" s="8" t="n">
        <x:f>L1532-I1532^2/H1532</x:f>
        <x:v>265.0067675864767</x:v>
      </x:c>
      <x:c r="T1532" s="8" t="n">
        <x:f>M1532-J1532^2/H1532</x:f>
        <x:v>0</x:v>
      </x:c>
      <x:c r="U1532" s="8" t="n">
        <x:f>N1532-I1532*J1532/H1532</x:f>
        <x:v>0</x:v>
      </x:c>
      <x:c r="V1532" s="8" t="n">
        <x:f>O1532-I1532*K1532/H1532</x:f>
        <x:v>133.22536552741917</x:v>
      </x:c>
      <x:c r="W1532" s="8" t="n">
        <x:f>P1532-J1532*K1532/H1532</x:f>
        <x:v>0</x:v>
      </x:c>
      <x:c r="X1532" s="8" t="n">
        <x:f>V1532/S1532</x:f>
        <x:v>0.5027243897986312</x:v>
      </x:c>
      <x:c r="Y1532" s="8" t="n">
        <x:f>0</x:f>
        <x:v>0</x:v>
      </x:c>
      <x:c r="Z1532" s="8" t="n">
        <x:f>K1532/H1532-X1532*I1532/H1532-Y1532*J1532/H1532</x:f>
        <x:v>3.934660504658334</x:v>
      </x:c>
      <x:c r="AA1532" s="8" t="n">
        <x:f>Z1532+X1532*Q1532+Y1532*R1532</x:f>
        <x:v>5.107697570696529</x:v>
      </x:c>
    </x:row>
    <x:row r="1533" ht="26" customHeight="1">
      <x:c r="A1533" s="2"/>
      <x:c r="B1533" s="2" t="n">
        <x:v>1528</x:v>
      </x:c>
      <x:c r="C1533" s="2" t="str">
        <x:v>Health Care / organic_sales_growth</x:v>
      </x:c>
      <x:c r="D1533" s="2" t="str">
        <x:v>Broad lag 1</x:v>
      </x:c>
      <x:c r="E1533" s="7" t="n">
        <x:v>45747</x:v>
      </x:c>
      <x:c r="F1533" s="2" t="str">
        <x:v>Prior report</x:v>
      </x:c>
      <x:c r="G1533" s="7" t="n">
        <x:v>45679</x:v>
      </x:c>
      <x:c r="H1533" s="2" t="n">
        <x:v>15</x:v>
      </x:c>
      <x:c r="I1533" s="8" t="n">
        <x:v>95.23287042560825</x:v>
      </x:c>
      <x:c r="J1533" s="8" t="n">
        <x:v>0</x:v>
      </x:c>
      <x:c r="K1533" s="8" t="n">
        <x:v>109</x:v>
      </x:c>
      <x:c r="L1533" s="8" t="n">
        <x:v>854.4579419910189</x:v>
      </x:c>
      <x:c r="M1533" s="8" t="n">
        <x:v>0</x:v>
      </x:c>
      <x:c r="N1533" s="8" t="n">
        <x:v>0</x:v>
      </x:c>
      <x:c r="O1533" s="8" t="n">
        <x:v>703.6939993057355</x:v>
      </x:c>
      <x:c r="P1533" s="8" t="n">
        <x:v>0</x:v>
      </x:c>
      <x:c r="Q1533" s="8" t="n">
        <x:v>2.3264143847269825</x:v>
      </x:c>
      <x:c r="R1533" s="8" t="n">
        <x:v>0</x:v>
      </x:c>
      <x:c r="S1533" s="8" t="n">
        <x:f>L1533-I1533^2/H1533</x:f>
        <x:v>249.83796802430606</x:v>
      </x:c>
      <x:c r="T1533" s="8" t="n">
        <x:f>M1533-J1533^2/H1533</x:f>
        <x:v>0</x:v>
      </x:c>
      <x:c r="U1533" s="8" t="n">
        <x:f>N1533-I1533*J1533/H1533</x:f>
        <x:v>0</x:v>
      </x:c>
      <x:c r="V1533" s="8" t="n">
        <x:f>O1533-I1533*K1533/H1533</x:f>
        <x:v>11.668474212982233</x:v>
      </x:c>
      <x:c r="W1533" s="8" t="n">
        <x:f>P1533-J1533*K1533/H1533</x:f>
        <x:v>0</x:v>
      </x:c>
      <x:c r="X1533" s="8" t="n">
        <x:f>V1533/S1533</x:f>
        <x:v>0.046704167125819075</x:v>
      </x:c>
      <x:c r="Y1533" s="8" t="n">
        <x:f>0</x:f>
        <x:v>0</x:v>
      </x:c>
      <x:c r="Z1533" s="8" t="n">
        <x:f>K1533/H1533-X1533*I1533/H1533-Y1533*J1533/H1533</x:f>
        <x:v>6.970148540251395</x:v>
      </x:c>
      <x:c r="AA1533" s="8" t="n">
        <x:f>Z1533+X1533*Q1533+Y1533*R1533</x:f>
        <x:v>7.078801786479593</x:v>
      </x:c>
    </x:row>
    <x:row r="1534" ht="26" customHeight="1">
      <x:c r="A1534" s="2"/>
      <x:c r="B1534" s="2" t="n">
        <x:v>1529</x:v>
      </x:c>
      <x:c r="C1534" s="2" t="str">
        <x:v>Health Care / organic_sales_growth</x:v>
      </x:c>
      <x:c r="D1534" s="2" t="str">
        <x:v>Broad rolling 8</x:v>
      </x:c>
      <x:c r="E1534" s="7" t="n">
        <x:v>45747</x:v>
      </x:c>
      <x:c r="F1534" s="2" t="str">
        <x:v>Prior report</x:v>
      </x:c>
      <x:c r="G1534" s="7" t="n">
        <x:v>45679</x:v>
      </x:c>
      <x:c r="H1534" s="2" t="n">
        <x:v>8</x:v>
      </x:c>
      <x:c r="I1534" s="8" t="n">
        <x:v>42.05515177705841</x:v>
      </x:c>
      <x:c r="J1534" s="8" t="n">
        <x:v>0</x:v>
      </x:c>
      <x:c r="K1534" s="8" t="n">
        <x:v>39</x:v>
      </x:c>
      <x:c r="L1534" s="8" t="n">
        <x:v>295.6266772980689</x:v>
      </x:c>
      <x:c r="M1534" s="8" t="n">
        <x:v>0</x:v>
      </x:c>
      <x:c r="N1534" s="8" t="n">
        <x:v>0</x:v>
      </x:c>
      <x:c r="O1534" s="8" t="n">
        <x:v>229.3463942674097</x:v>
      </x:c>
      <x:c r="P1534" s="8" t="n">
        <x:v>0</x:v>
      </x:c>
      <x:c r="Q1534" s="8" t="n">
        <x:v>2.3333601668064308</x:v>
      </x:c>
      <x:c r="R1534" s="8" t="n">
        <x:v>0</x:v>
      </x:c>
      <x:c r="S1534" s="8" t="n">
        <x:f>L1534-I1534^2/H1534</x:f>
        <x:v>74.54720342414149</x:v>
      </x:c>
      <x:c r="T1534" s="8" t="n">
        <x:f>M1534-J1534^2/H1534</x:f>
        <x:v>0</x:v>
      </x:c>
      <x:c r="U1534" s="8" t="n">
        <x:f>N1534-I1534*J1534/H1534</x:f>
        <x:v>0</x:v>
      </x:c>
      <x:c r="V1534" s="8" t="n">
        <x:f>O1534-I1534*K1534/H1534</x:f>
        <x:v>24.32752935424992</x:v>
      </x:c>
      <x:c r="W1534" s="8" t="n">
        <x:f>P1534-J1534*K1534/H1534</x:f>
        <x:v>0</x:v>
      </x:c>
      <x:c r="X1534" s="8" t="n">
        <x:f>V1534/S1534</x:f>
        <x:v>0.32633724991448376</x:v>
      </x:c>
      <x:c r="Y1534" s="8" t="n">
        <x:f>0</x:f>
        <x:v>0</x:v>
      </x:c>
      <x:c r="Z1534" s="8" t="n">
        <x:f>K1534/H1534-X1534*I1534/H1534-Y1534*J1534/H1534</x:f>
        <x:v>3.1594796780423176</x:v>
      </x:c>
      <x:c r="AA1534" s="8" t="n">
        <x:f>Z1534+X1534*Q1534+Y1534*R1534</x:f>
        <x:v>3.9209420179379295</x:v>
      </x:c>
    </x:row>
    <x:row r="1535" ht="26" customHeight="1">
      <x:c r="A1535" s="2"/>
      <x:c r="B1535" s="2" t="n">
        <x:v>1530</x:v>
      </x:c>
      <x:c r="C1535" s="2" t="str">
        <x:v>Health Care / organic_sales_growth</x:v>
      </x:c>
      <x:c r="D1535" s="2" t="str">
        <x:v>Own history</x:v>
      </x:c>
      <x:c r="E1535" s="7" t="n">
        <x:v>45747</x:v>
      </x:c>
      <x:c r="F1535" s="2" t="str">
        <x:v>Prior report</x:v>
      </x:c>
      <x:c r="G1535" s="7" t="n">
        <x:v>45679</x:v>
      </x:c>
      <x:c r="H1535" s="2" t="n">
        <x:v>15</x:v>
      </x:c>
      <x:c r="I1535" s="8" t="n">
        <x:v>109</x:v>
      </x:c>
      <x:c r="J1535" s="8" t="n">
        <x:v>0</x:v>
      </x:c>
      <x:c r="K1535" s="8" t="n">
        <x:v>109</x:v>
      </x:c>
      <x:c r="L1535" s="8" t="n">
        <x:v>1029</x:v>
      </x:c>
      <x:c r="M1535" s="8" t="n">
        <x:v>0</x:v>
      </x:c>
      <x:c r="N1535" s="8" t="n">
        <x:v>0</x:v>
      </x:c>
      <x:c r="O1535" s="8" t="n">
        <x:v>831</x:v>
      </x:c>
      <x:c r="P1535" s="8" t="n">
        <x:v>0</x:v>
      </x:c>
      <x:c r="Q1535" s="8" t="n">
        <x:v>3</x:v>
      </x:c>
      <x:c r="R1535" s="8" t="n">
        <x:v>0</x:v>
      </x:c>
      <x:c r="S1535" s="8" t="n">
        <x:f>L1535-I1535^2/H1535</x:f>
        <x:v>236.93333333333328</x:v>
      </x:c>
      <x:c r="T1535" s="8" t="n">
        <x:f>M1535-J1535^2/H1535</x:f>
        <x:v>0</x:v>
      </x:c>
      <x:c r="U1535" s="8" t="n">
        <x:f>N1535-I1535*J1535/H1535</x:f>
        <x:v>0</x:v>
      </x:c>
      <x:c r="V1535" s="8" t="n">
        <x:f>O1535-I1535*K1535/H1535</x:f>
        <x:v>38.93333333333328</x:v>
      </x:c>
      <x:c r="W1535" s="8" t="n">
        <x:f>P1535-J1535*K1535/H1535</x:f>
        <x:v>0</x:v>
      </x:c>
      <x:c r="X1535" s="8" t="n">
        <x:f>V1535/S1535</x:f>
        <x:v>0.16432189082723672</x:v>
      </x:c>
      <x:c r="Y1535" s="8" t="n">
        <x:f>0</x:f>
        <x:v>0</x:v>
      </x:c>
      <x:c r="Z1535" s="8" t="n">
        <x:f>K1535/H1535-X1535*I1535/H1535-Y1535*J1535/H1535</x:f>
        <x:v>6.072594259988747</x:v>
      </x:c>
      <x:c r="AA1535" s="8" t="n">
        <x:f>Z1535+X1535*Q1535+Y1535*R1535</x:f>
        <x:v>6.565559932470457</x:v>
      </x:c>
    </x:row>
    <x:row r="1536" ht="26" customHeight="1">
      <x:c r="A1536" s="2"/>
      <x:c r="B1536" s="2" t="n">
        <x:v>1531</x:v>
      </x:c>
      <x:c r="C1536" s="2" t="str">
        <x:v>Health Care / organic_sales_growth</x:v>
      </x:c>
      <x:c r="D1536" s="2" t="str">
        <x:v>Broad market</x:v>
      </x:c>
      <x:c r="E1536" s="7" t="n">
        <x:v>45747</x:v>
      </x:c>
      <x:c r="F1536" s="2" t="str">
        <x:v>Pre-earnings</x:v>
      </x:c>
      <x:c r="G1536" s="7" t="n">
        <x:v>45770</x:v>
      </x:c>
      <x:c r="H1536" s="2" t="n">
        <x:v>16</x:v>
      </x:c>
      <x:c r="I1536" s="8" t="n">
        <x:v>98.21820009367276</x:v>
      </x:c>
      <x:c r="J1536" s="8" t="n">
        <x:v>0</x:v>
      </x:c>
      <x:c r="K1536" s="8" t="n">
        <x:v>112</x:v>
      </x:c>
      <x:c r="L1536" s="8" t="n">
        <x:v>861.2926927681278</x:v>
      </x:c>
      <x:c r="M1536" s="8" t="n">
        <x:v>0</x:v>
      </x:c>
      <x:c r="N1536" s="8" t="n">
        <x:v>0</x:v>
      </x:c>
      <x:c r="O1536" s="8" t="n">
        <x:v>817.9011606301875</x:v>
      </x:c>
      <x:c r="P1536" s="8" t="n">
        <x:v>0</x:v>
      </x:c>
      <x:c r="Q1536" s="8" t="n">
        <x:v>6.01973835207712</x:v>
      </x:c>
      <x:c r="R1536" s="8" t="n">
        <x:v>0</x:v>
      </x:c>
      <x:c r="S1536" s="8" t="n">
        <x:f>L1536-I1536^2/H1536</x:f>
        <x:v>258.3667659155816</x:v>
      </x:c>
      <x:c r="T1536" s="8" t="n">
        <x:f>M1536-J1536^2/H1536</x:f>
        <x:v>0</x:v>
      </x:c>
      <x:c r="U1536" s="8" t="n">
        <x:f>N1536-I1536*J1536/H1536</x:f>
        <x:v>0</x:v>
      </x:c>
      <x:c r="V1536" s="8" t="n">
        <x:f>O1536-I1536*K1536/H1536</x:f>
        <x:v>130.37375997447816</x:v>
      </x:c>
      <x:c r="W1536" s="8" t="n">
        <x:f>P1536-J1536*K1536/H1536</x:f>
        <x:v>0</x:v>
      </x:c>
      <x:c r="X1536" s="8" t="n">
        <x:f>V1536/S1536</x:f>
        <x:v>0.5046073147700285</x:v>
      </x:c>
      <x:c r="Y1536" s="8" t="n">
        <x:f>0</x:f>
        <x:v>0</x:v>
      </x:c>
      <x:c r="Z1536" s="8" t="n">
        <x:f>K1536/H1536-X1536*I1536/H1536-Y1536*J1536/H1536</x:f>
        <x:v>3.9023986118241516</x:v>
      </x:c>
      <x:c r="AA1536" s="8" t="n">
        <x:f>Z1536+X1536*Q1536+Y1536*R1536</x:f>
        <x:v>6.940002617283943</x:v>
      </x:c>
    </x:row>
    <x:row r="1537" ht="26" customHeight="1">
      <x:c r="A1537" s="2"/>
      <x:c r="B1537" s="2" t="n">
        <x:v>1532</x:v>
      </x:c>
      <x:c r="C1537" s="2" t="str">
        <x:v>Health Care / organic_sales_growth</x:v>
      </x:c>
      <x:c r="D1537" s="2" t="str">
        <x:v>Broad lag 1</x:v>
      </x:c>
      <x:c r="E1537" s="7" t="n">
        <x:v>45747</x:v>
      </x:c>
      <x:c r="F1537" s="2" t="str">
        <x:v>Pre-earnings</x:v>
      </x:c>
      <x:c r="G1537" s="7" t="n">
        <x:v>45770</x:v>
      </x:c>
      <x:c r="H1537" s="2" t="n">
        <x:v>15</x:v>
      </x:c>
      <x:c r="I1537" s="8" t="n">
        <x:v>95.44881484519911</x:v>
      </x:c>
      <x:c r="J1537" s="8" t="n">
        <x:v>0</x:v>
      </x:c>
      <x:c r="K1537" s="8" t="n">
        <x:v>109</x:v>
      </x:c>
      <x:c r="L1537" s="8" t="n">
        <x:v>853.6231981136643</x:v>
      </x:c>
      <x:c r="M1537" s="8" t="n">
        <x:v>0</x:v>
      </x:c>
      <x:c r="N1537" s="8" t="n">
        <x:v>0</x:v>
      </x:c>
      <x:c r="O1537" s="8" t="n">
        <x:v>704.8184897296197</x:v>
      </x:c>
      <x:c r="P1537" s="8" t="n">
        <x:v>0</x:v>
      </x:c>
      <x:c r="Q1537" s="8" t="n">
        <x:v>2.7693852484736547</x:v>
      </x:c>
      <x:c r="R1537" s="8" t="n">
        <x:v>0</x:v>
      </x:c>
      <x:c r="S1537" s="8" t="n">
        <x:f>L1537-I1537^2/H1537</x:f>
        <x:v>246.25811442345753</x:v>
      </x:c>
      <x:c r="T1537" s="8" t="n">
        <x:f>M1537-J1537^2/H1537</x:f>
        <x:v>0</x:v>
      </x:c>
      <x:c r="U1537" s="8" t="n">
        <x:f>N1537-I1537*J1537/H1537</x:f>
        <x:v>0</x:v>
      </x:c>
      <x:c r="V1537" s="8" t="n">
        <x:f>O1537-I1537*K1537/H1537</x:f>
        <x:v>11.223768521172929</x:v>
      </x:c>
      <x:c r="W1537" s="8" t="n">
        <x:f>P1537-J1537*K1537/H1537</x:f>
        <x:v>0</x:v>
      </x:c>
      <x:c r="X1537" s="8" t="n">
        <x:f>V1537/S1537</x:f>
        <x:v>0.04557725355548243</x:v>
      </x:c>
      <x:c r="Y1537" s="8" t="n">
        <x:f>0</x:f>
        <x:v>0</x:v>
      </x:c>
      <x:c r="Z1537" s="8" t="n">
        <x:f>K1537/H1537-X1537*I1537/H1537-Y1537*J1537/H1537</x:f>
        <x:v>6.976647010948671</x:v>
      </x:c>
      <x:c r="AA1537" s="8" t="n">
        <x:f>Z1537+X1537*Q1537+Y1537*R1537</x:f>
        <x:v>7.1028679846111675</x:v>
      </x:c>
    </x:row>
    <x:row r="1538" ht="26" customHeight="1">
      <x:c r="A1538" s="2"/>
      <x:c r="B1538" s="2" t="n">
        <x:v>1533</x:v>
      </x:c>
      <x:c r="C1538" s="2" t="str">
        <x:v>Health Care / organic_sales_growth</x:v>
      </x:c>
      <x:c r="D1538" s="2" t="str">
        <x:v>Broad rolling 8</x:v>
      </x:c>
      <x:c r="E1538" s="7" t="n">
        <x:v>45747</x:v>
      </x:c>
      <x:c r="F1538" s="2" t="str">
        <x:v>Pre-earnings</x:v>
      </x:c>
      <x:c r="G1538" s="7" t="n">
        <x:v>45770</x:v>
      </x:c>
      <x:c r="H1538" s="2" t="n">
        <x:v>8</x:v>
      </x:c>
      <x:c r="I1538" s="8" t="n">
        <x:v>42.714067060395934</x:v>
      </x:c>
      <x:c r="J1538" s="8" t="n">
        <x:v>0</x:v>
      </x:c>
      <x:c r="K1538" s="8" t="n">
        <x:v>39</x:v>
      </x:c>
      <x:c r="L1538" s="8" t="n">
        <x:v>297.0492241857133</x:v>
      </x:c>
      <x:c r="M1538" s="8" t="n">
        <x:v>0</x:v>
      </x:c>
      <x:c r="N1538" s="8" t="n">
        <x:v>0</x:v>
      </x:c>
      <x:c r="O1538" s="8" t="n">
        <x:v>231.10719569783143</x:v>
      </x:c>
      <x:c r="P1538" s="8" t="n">
        <x:v>0</x:v>
      </x:c>
      <x:c r="Q1538" s="8" t="n">
        <x:v>6.01973835207712</x:v>
      </x:c>
      <x:c r="R1538" s="8" t="n">
        <x:v>0</x:v>
      </x:c>
      <x:c r="S1538" s="8" t="n">
        <x:f>L1538-I1538^2/H1538</x:f>
        <x:v>68.98778358071317</x:v>
      </x:c>
      <x:c r="T1538" s="8" t="n">
        <x:f>M1538-J1538^2/H1538</x:f>
        <x:v>0</x:v>
      </x:c>
      <x:c r="U1538" s="8" t="n">
        <x:f>N1538-I1538*J1538/H1538</x:f>
        <x:v>0</x:v>
      </x:c>
      <x:c r="V1538" s="8" t="n">
        <x:f>O1538-I1538*K1538/H1538</x:f>
        <x:v>22.876118778401263</x:v>
      </x:c>
      <x:c r="W1538" s="8" t="n">
        <x:f>P1538-J1538*K1538/H1538</x:f>
        <x:v>0</x:v>
      </x:c>
      <x:c r="X1538" s="8" t="n">
        <x:f>V1538/S1538</x:f>
        <x:v>0.3315966623516328</x:v>
      </x:c>
      <x:c r="Y1538" s="8" t="n">
        <x:f>0</x:f>
        <x:v>0</x:v>
      </x:c>
      <x:c r="Z1538" s="8" t="n">
        <x:f>K1538/H1538-X1538*I1538/H1538-Y1538*J1538/H1538</x:f>
        <x:v>3.104519740913611</x:v>
      </x:c>
      <x:c r="AA1538" s="8" t="n">
        <x:f>Z1538+X1538*Q1538+Y1538*R1538</x:f>
        <x:v>5.1006448866925025</x:v>
      </x:c>
    </x:row>
    <x:row r="1539" ht="26" customHeight="1">
      <x:c r="A1539" s="2"/>
      <x:c r="B1539" s="2" t="n">
        <x:v>1534</x:v>
      </x:c>
      <x:c r="C1539" s="2" t="str">
        <x:v>Health Care / organic_sales_growth</x:v>
      </x:c>
      <x:c r="D1539" s="2" t="str">
        <x:v>Own history</x:v>
      </x:c>
      <x:c r="E1539" s="7" t="n">
        <x:v>45747</x:v>
      </x:c>
      <x:c r="F1539" s="2" t="str">
        <x:v>Pre-earnings</x:v>
      </x:c>
      <x:c r="G1539" s="7" t="n">
        <x:v>45770</x:v>
      </x:c>
      <x:c r="H1539" s="2" t="n">
        <x:v>15</x:v>
      </x:c>
      <x:c r="I1539" s="8" t="n">
        <x:v>109</x:v>
      </x:c>
      <x:c r="J1539" s="8" t="n">
        <x:v>0</x:v>
      </x:c>
      <x:c r="K1539" s="8" t="n">
        <x:v>109</x:v>
      </x:c>
      <x:c r="L1539" s="8" t="n">
        <x:v>1029</x:v>
      </x:c>
      <x:c r="M1539" s="8" t="n">
        <x:v>0</x:v>
      </x:c>
      <x:c r="N1539" s="8" t="n">
        <x:v>0</x:v>
      </x:c>
      <x:c r="O1539" s="8" t="n">
        <x:v>831</x:v>
      </x:c>
      <x:c r="P1539" s="8" t="n">
        <x:v>0</x:v>
      </x:c>
      <x:c r="Q1539" s="8" t="n">
        <x:v>3</x:v>
      </x:c>
      <x:c r="R1539" s="8" t="n">
        <x:v>0</x:v>
      </x:c>
      <x:c r="S1539" s="8" t="n">
        <x:f>L1539-I1539^2/H1539</x:f>
        <x:v>236.93333333333328</x:v>
      </x:c>
      <x:c r="T1539" s="8" t="n">
        <x:f>M1539-J1539^2/H1539</x:f>
        <x:v>0</x:v>
      </x:c>
      <x:c r="U1539" s="8" t="n">
        <x:f>N1539-I1539*J1539/H1539</x:f>
        <x:v>0</x:v>
      </x:c>
      <x:c r="V1539" s="8" t="n">
        <x:f>O1539-I1539*K1539/H1539</x:f>
        <x:v>38.93333333333328</x:v>
      </x:c>
      <x:c r="W1539" s="8" t="n">
        <x:f>P1539-J1539*K1539/H1539</x:f>
        <x:v>0</x:v>
      </x:c>
      <x:c r="X1539" s="8" t="n">
        <x:f>V1539/S1539</x:f>
        <x:v>0.16432189082723672</x:v>
      </x:c>
      <x:c r="Y1539" s="8" t="n">
        <x:f>0</x:f>
        <x:v>0</x:v>
      </x:c>
      <x:c r="Z1539" s="8" t="n">
        <x:f>K1539/H1539-X1539*I1539/H1539-Y1539*J1539/H1539</x:f>
        <x:v>6.072594259988747</x:v>
      </x:c>
      <x:c r="AA1539" s="8" t="n">
        <x:f>Z1539+X1539*Q1539+Y1539*R1539</x:f>
        <x:v>6.565559932470457</x:v>
      </x:c>
    </x:row>
    <x:row r="1540" ht="26" customHeight="1">
      <x:c r="A1540" s="2"/>
      <x:c r="B1540" s="2" t="n">
        <x:v>1535</x:v>
      </x:c>
      <x:c r="C1540" s="2" t="str">
        <x:v>Health Care / organic_sales_growth</x:v>
      </x:c>
      <x:c r="D1540" s="2" t="str">
        <x:v>Broad market</x:v>
      </x:c>
      <x:c r="E1540" s="7" t="n">
        <x:v>45838</x:v>
      </x:c>
      <x:c r="F1540" s="2" t="str">
        <x:v>Origin</x:v>
      </x:c>
      <x:c r="G1540" s="7" t="n">
        <x:v>45748</x:v>
      </x:c>
      <x:c r="H1540" s="2" t="n">
        <x:v>16</x:v>
      </x:c>
      <x:c r="I1540" s="8" t="n">
        <x:v>98.07986798368462</x:v>
      </x:c>
      <x:c r="J1540" s="8" t="n">
        <x:v>0</x:v>
      </x:c>
      <x:c r="K1540" s="8" t="n">
        <x:v>112</x:v>
      </x:c>
      <x:c r="L1540" s="8" t="n">
        <x:v>860.6195561668172</x:v>
      </x:c>
      <x:c r="M1540" s="8" t="n">
        <x:v>0</x:v>
      </x:c>
      <x:c r="N1540" s="8" t="n">
        <x:v>0</x:v>
      </x:c>
      <x:c r="O1540" s="8" t="n">
        <x:v>817.6244964102112</x:v>
      </x:c>
      <x:c r="P1540" s="8" t="n">
        <x:v>0</x:v>
      </x:c>
      <x:c r="Q1540" s="8" t="n">
        <x:v>5.267727303523273</x:v>
      </x:c>
      <x:c r="R1540" s="8" t="n">
        <x:v>0</x:v>
      </x:c>
      <x:c r="S1540" s="8" t="n">
        <x:f>L1540-I1540^2/H1540</x:f>
        <x:v>259.39077468575454</x:v>
      </x:c>
      <x:c r="T1540" s="8" t="n">
        <x:f>M1540-J1540^2/H1540</x:f>
        <x:v>0</x:v>
      </x:c>
      <x:c r="U1540" s="8" t="n">
        <x:f>N1540-I1540*J1540/H1540</x:f>
        <x:v>0</x:v>
      </x:c>
      <x:c r="V1540" s="8" t="n">
        <x:f>O1540-I1540*K1540/H1540</x:f>
        <x:v>131.06542052441887</x:v>
      </x:c>
      <x:c r="W1540" s="8" t="n">
        <x:f>P1540-J1540*K1540/H1540</x:f>
        <x:v>0</x:v>
      </x:c>
      <x:c r="X1540" s="8" t="n">
        <x:f>V1540/S1540</x:f>
        <x:v>0.5052817344148085</x:v>
      </x:c>
      <x:c r="Y1540" s="8" t="n">
        <x:f>0</x:f>
        <x:v>0</x:v>
      </x:c>
      <x:c r="Z1540" s="8" t="n">
        <x:f>K1540/H1540-X1540*I1540/H1540-Y1540*J1540/H1540</x:f>
        <x:v>3.9026271371267742</x:v>
      </x:c>
      <x:c r="AA1540" s="8" t="n">
        <x:f>Z1540+X1540*Q1540+Y1540*R1540</x:f>
        <x:v>6.5643135254752565</x:v>
      </x:c>
    </x:row>
    <x:row r="1541" ht="26" customHeight="1">
      <x:c r="A1541" s="2"/>
      <x:c r="B1541" s="2" t="n">
        <x:v>1536</x:v>
      </x:c>
      <x:c r="C1541" s="2" t="str">
        <x:v>Health Care / organic_sales_growth</x:v>
      </x:c>
      <x:c r="D1541" s="2" t="str">
        <x:v>Broad rolling 8</x:v>
      </x:c>
      <x:c r="E1541" s="7" t="n">
        <x:v>45838</x:v>
      </x:c>
      <x:c r="F1541" s="2" t="str">
        <x:v>Origin</x:v>
      </x:c>
      <x:c r="G1541" s="7" t="n">
        <x:v>45748</x:v>
      </x:c>
      <x:c r="H1541" s="2" t="n">
        <x:v>8</x:v>
      </x:c>
      <x:c r="I1541" s="8" t="n">
        <x:v>42.575734950407785</x:v>
      </x:c>
      <x:c r="J1541" s="8" t="n">
        <x:v>0</x:v>
      </x:c>
      <x:c r="K1541" s="8" t="n">
        <x:v>39</x:v>
      </x:c>
      <x:c r="L1541" s="8" t="n">
        <x:v>296.3760875844027</x:v>
      </x:c>
      <x:c r="M1541" s="8" t="n">
        <x:v>0</x:v>
      </x:c>
      <x:c r="N1541" s="8" t="n">
        <x:v>0</x:v>
      </x:c>
      <x:c r="O1541" s="8" t="n">
        <x:v>230.83053147785512</x:v>
      </x:c>
      <x:c r="P1541" s="8" t="n">
        <x:v>0</x:v>
      </x:c>
      <x:c r="Q1541" s="8" t="n">
        <x:v>5.267727303523273</x:v>
      </x:c>
      <x:c r="R1541" s="8" t="n">
        <x:v>0</x:v>
      </x:c>
      <x:c r="S1541" s="8" t="n">
        <x:f>L1541-I1541^2/H1541</x:f>
        <x:v>69.78943676348081</x:v>
      </x:c>
      <x:c r="T1541" s="8" t="n">
        <x:f>M1541-J1541^2/H1541</x:f>
        <x:v>0</x:v>
      </x:c>
      <x:c r="U1541" s="8" t="n">
        <x:f>N1541-I1541*J1541/H1541</x:f>
        <x:v>0</x:v>
      </x:c>
      <x:c r="V1541" s="8" t="n">
        <x:f>O1541-I1541*K1541/H1541</x:f>
        <x:v>23.27382359461717</x:v>
      </x:c>
      <x:c r="W1541" s="8" t="n">
        <x:f>P1541-J1541*K1541/H1541</x:f>
        <x:v>0</x:v>
      </x:c>
      <x:c r="X1541" s="8" t="n">
        <x:f>V1541/S1541</x:f>
        <x:v>0.33348633652816384</x:v>
      </x:c>
      <x:c r="Y1541" s="8" t="n">
        <x:f>0</x:f>
        <x:v>0</x:v>
      </x:c>
      <x:c r="Z1541" s="8" t="n">
        <x:f>K1541/H1541-X1541*I1541/H1541-Y1541*J1541/H1541</x:f>
        <x:v>3.1001967657993004</x:v>
      </x:c>
      <x:c r="AA1541" s="8" t="n">
        <x:f>Z1541+X1541*Q1541+Y1541*R1541</x:f>
        <x:v>4.85691184608066</x:v>
      </x:c>
    </x:row>
    <x:row r="1542" ht="26" customHeight="1">
      <x:c r="A1542" s="2"/>
      <x:c r="B1542" s="2" t="n">
        <x:v>1537</x:v>
      </x:c>
      <x:c r="C1542" s="2" t="str">
        <x:v>Health Care / organic_sales_growth</x:v>
      </x:c>
      <x:c r="D1542" s="2" t="str">
        <x:v>Own history</x:v>
      </x:c>
      <x:c r="E1542" s="7" t="n">
        <x:v>45838</x:v>
      </x:c>
      <x:c r="F1542" s="2" t="str">
        <x:v>Origin</x:v>
      </x:c>
      <x:c r="G1542" s="7" t="n">
        <x:v>45748</x:v>
      </x:c>
      <x:c r="H1542" s="2" t="n">
        <x:v>14</x:v>
      </x:c>
      <x:c r="I1542" s="8" t="n">
        <x:v>105</x:v>
      </x:c>
      <x:c r="J1542" s="8" t="n">
        <x:v>0</x:v>
      </x:c>
      <x:c r="K1542" s="8" t="n">
        <x:v>95</x:v>
      </x:c>
      <x:c r="L1542" s="8" t="n">
        <x:v>1013</x:v>
      </x:c>
      <x:c r="M1542" s="8" t="n">
        <x:v>0</x:v>
      </x:c>
      <x:c r="N1542" s="8" t="n">
        <x:v>0</x:v>
      </x:c>
      <x:c r="O1542" s="8" t="n">
        <x:v>777</x:v>
      </x:c>
      <x:c r="P1542" s="8" t="n">
        <x:v>0</x:v>
      </x:c>
      <x:c r="Q1542" s="8" t="n">
        <x:v>3</x:v>
      </x:c>
      <x:c r="R1542" s="8" t="n">
        <x:v>0</x:v>
      </x:c>
      <x:c r="S1542" s="8" t="n">
        <x:f>L1542-I1542^2/H1542</x:f>
        <x:v>225.5</x:v>
      </x:c>
      <x:c r="T1542" s="8" t="n">
        <x:f>M1542-J1542^2/H1542</x:f>
        <x:v>0</x:v>
      </x:c>
      <x:c r="U1542" s="8" t="n">
        <x:f>N1542-I1542*J1542/H1542</x:f>
        <x:v>0</x:v>
      </x:c>
      <x:c r="V1542" s="8" t="n">
        <x:f>O1542-I1542*K1542/H1542</x:f>
        <x:v>64.5</x:v>
      </x:c>
      <x:c r="W1542" s="8" t="n">
        <x:f>P1542-J1542*K1542/H1542</x:f>
        <x:v>0</x:v>
      </x:c>
      <x:c r="X1542" s="8" t="n">
        <x:f>V1542/S1542</x:f>
        <x:v>0.2860310421286031</x:v>
      </x:c>
      <x:c r="Y1542" s="8" t="n">
        <x:f>0</x:f>
        <x:v>0</x:v>
      </x:c>
      <x:c r="Z1542" s="8" t="n">
        <x:f>K1542/H1542-X1542*I1542/H1542-Y1542*J1542/H1542</x:f>
        <x:v>4.640481469749762</x:v>
      </x:c>
      <x:c r="AA1542" s="8" t="n">
        <x:f>Z1542+X1542*Q1542+Y1542*R1542</x:f>
        <x:v>5.498574596135572</x:v>
      </x:c>
    </x:row>
    <x:row r="1543" ht="26" customHeight="1">
      <x:c r="A1543" s="2"/>
      <x:c r="B1543" s="2" t="n">
        <x:v>1538</x:v>
      </x:c>
      <x:c r="C1543" s="2" t="str">
        <x:v>Health Care / organic_sales_growth</x:v>
      </x:c>
      <x:c r="D1543" s="2" t="str">
        <x:v>Broad market</x:v>
      </x:c>
      <x:c r="E1543" s="7" t="n">
        <x:v>45838</x:v>
      </x:c>
      <x:c r="F1543" s="2" t="str">
        <x:v>Prior report</x:v>
      </x:c>
      <x:c r="G1543" s="7" t="n">
        <x:v>45771</x:v>
      </x:c>
      <x:c r="H1543" s="2" t="n">
        <x:v>17</x:v>
      </x:c>
      <x:c r="I1543" s="8" t="n">
        <x:v>104.23793844574989</x:v>
      </x:c>
      <x:c r="J1543" s="8" t="n">
        <x:v>0</x:v>
      </x:c>
      <x:c r="K1543" s="8" t="n">
        <x:v>116</x:v>
      </x:c>
      <x:c r="L1543" s="8" t="n">
        <x:v>897.529942595596</x:v>
      </x:c>
      <x:c r="M1543" s="8" t="n">
        <x:v>0</x:v>
      </x:c>
      <x:c r="N1543" s="8" t="n">
        <x:v>0</x:v>
      </x:c>
      <x:c r="O1543" s="8" t="n">
        <x:v>841.980114038496</x:v>
      </x:c>
      <x:c r="P1543" s="8" t="n">
        <x:v>0</x:v>
      </x:c>
      <x:c r="Q1543" s="8" t="n">
        <x:v>6.0208310391030695</x:v>
      </x:c>
      <x:c r="R1543" s="8" t="n">
        <x:v>0</x:v>
      </x:c>
      <x:c r="S1543" s="8" t="n">
        <x:f>L1543-I1543^2/H1543</x:f>
        <x:v>258.3800713355994</x:v>
      </x:c>
      <x:c r="T1543" s="8" t="n">
        <x:f>M1543-J1543^2/H1543</x:f>
        <x:v>0</x:v>
      </x:c>
      <x:c r="U1543" s="8" t="n">
        <x:f>N1543-I1543*J1543/H1543</x:f>
        <x:v>0</x:v>
      </x:c>
      <x:c r="V1543" s="8" t="n">
        <x:f>O1543-I1543*K1543/H1543</x:f>
        <x:v>130.70947523220264</x:v>
      </x:c>
      <x:c r="W1543" s="8" t="n">
        <x:f>P1543-J1543*K1543/H1543</x:f>
        <x:v>0</x:v>
      </x:c>
      <x:c r="X1543" s="8" t="n">
        <x:f>V1543/S1543</x:f>
        <x:v>0.505880637607029</x:v>
      </x:c>
      <x:c r="Y1543" s="8" t="n">
        <x:f>0</x:f>
        <x:v>0</x:v>
      </x:c>
      <x:c r="Z1543" s="8" t="n">
        <x:f>K1543/H1543-X1543*I1543/H1543-Y1543*J1543/H1543</x:f>
        <x:v>3.721649719777753</x:v>
      </x:c>
      <x:c r="AA1543" s="8" t="n">
        <x:f>Z1543+X1543*Q1543+Y1543*R1543</x:f>
        <x:v>6.7674715647634045</x:v>
      </x:c>
    </x:row>
    <x:row r="1544" ht="26" customHeight="1">
      <x:c r="A1544" s="2"/>
      <x:c r="B1544" s="2" t="n">
        <x:v>1539</x:v>
      </x:c>
      <x:c r="C1544" s="2" t="str">
        <x:v>Health Care / organic_sales_growth</x:v>
      </x:c>
      <x:c r="D1544" s="2" t="str">
        <x:v>Broad lag 1</x:v>
      </x:c>
      <x:c r="E1544" s="7" t="n">
        <x:v>45838</x:v>
      </x:c>
      <x:c r="F1544" s="2" t="str">
        <x:v>Prior report</x:v>
      </x:c>
      <x:c r="G1544" s="7" t="n">
        <x:v>45771</x:v>
      </x:c>
      <x:c r="H1544" s="2" t="n">
        <x:v>16</x:v>
      </x:c>
      <x:c r="I1544" s="8" t="n">
        <x:v>98.21820009367276</x:v>
      </x:c>
      <x:c r="J1544" s="8" t="n">
        <x:v>0</x:v>
      </x:c>
      <x:c r="K1544" s="8" t="n">
        <x:v>113</x:v>
      </x:c>
      <x:c r="L1544" s="8" t="n">
        <x:v>861.2926927681278</x:v>
      </x:c>
      <x:c r="M1544" s="8" t="n">
        <x:v>0</x:v>
      </x:c>
      <x:c r="N1544" s="8" t="n">
        <x:v>0</x:v>
      </x:c>
      <x:c r="O1544" s="8" t="n">
        <x:v>715.8960307235143</x:v>
      </x:c>
      <x:c r="P1544" s="8" t="n">
        <x:v>0</x:v>
      </x:c>
      <x:c r="Q1544" s="8" t="n">
        <x:v>6.01973835207712</x:v>
      </x:c>
      <x:c r="R1544" s="8" t="n">
        <x:v>0</x:v>
      </x:c>
      <x:c r="S1544" s="8" t="n">
        <x:f>L1544-I1544^2/H1544</x:f>
        <x:v>258.3667659155816</x:v>
      </x:c>
      <x:c r="T1544" s="8" t="n">
        <x:f>M1544-J1544^2/H1544</x:f>
        <x:v>0</x:v>
      </x:c>
      <x:c r="U1544" s="8" t="n">
        <x:f>N1544-I1544*J1544/H1544</x:f>
        <x:v>0</x:v>
      </x:c>
      <x:c r="V1544" s="8" t="n">
        <x:f>O1544-I1544*K1544/H1544</x:f>
        <x:v>22.22999256195044</x:v>
      </x:c>
      <x:c r="W1544" s="8" t="n">
        <x:f>P1544-J1544*K1544/H1544</x:f>
        <x:v>0</x:v>
      </x:c>
      <x:c r="X1544" s="8" t="n">
        <x:f>V1544/S1544</x:f>
        <x:v>0.08604044906152457</x:v>
      </x:c>
      <x:c r="Y1544" s="8" t="n">
        <x:f>0</x:f>
        <x:v>0</x:v>
      </x:c>
      <x:c r="Z1544" s="8" t="n">
        <x:f>K1544/H1544-X1544*I1544/H1544-Y1544*J1544/H1544</x:f>
        <x:v>6.534328872370358</x:v>
      </x:c>
      <x:c r="AA1544" s="8" t="n">
        <x:f>Z1544+X1544*Q1544+Y1544*R1544</x:f>
        <x:v>7.052269863415955</x:v>
      </x:c>
    </x:row>
    <x:row r="1545" ht="26" customHeight="1">
      <x:c r="A1545" s="2"/>
      <x:c r="B1545" s="2" t="n">
        <x:v>1540</x:v>
      </x:c>
      <x:c r="C1545" s="2" t="str">
        <x:v>Health Care / organic_sales_growth</x:v>
      </x:c>
      <x:c r="D1545" s="2" t="str">
        <x:v>Broad rolling 8</x:v>
      </x:c>
      <x:c r="E1545" s="7" t="n">
        <x:v>45838</x:v>
      </x:c>
      <x:c r="F1545" s="2" t="str">
        <x:v>Prior report</x:v>
      </x:c>
      <x:c r="G1545" s="7" t="n">
        <x:v>45771</x:v>
      </x:c>
      <x:c r="H1545" s="2" t="n">
        <x:v>8</x:v>
      </x:c>
      <x:c r="I1545" s="8" t="n">
        <x:v>41.32606109032866</x:v>
      </x:c>
      <x:c r="J1545" s="8" t="n">
        <x:v>0</x:v>
      </x:c>
      <x:c r="K1545" s="8" t="n">
        <x:v>34</x:v>
      </x:c>
      <x:c r="L1545" s="8" t="n">
        <x:v>278.4117980709189</x:v>
      </x:c>
      <x:c r="M1545" s="8" t="n">
        <x:v>0</x:v>
      </x:c>
      <x:c r="N1545" s="8" t="n">
        <x:v>0</x:v>
      </x:c>
      <x:c r="O1545" s="8" t="n">
        <x:v>188.51645020684035</x:v>
      </x:c>
      <x:c r="P1545" s="8" t="n">
        <x:v>0</x:v>
      </x:c>
      <x:c r="Q1545" s="8" t="n">
        <x:v>6.0208310391030695</x:v>
      </x:c>
      <x:c r="R1545" s="8" t="n">
        <x:v>0</x:v>
      </x:c>
      <x:c r="S1545" s="8" t="n">
        <x:f>L1545-I1545^2/H1545</x:f>
        <x:v>64.93138241572188</x:v>
      </x:c>
      <x:c r="T1545" s="8" t="n">
        <x:f>M1545-J1545^2/H1545</x:f>
        <x:v>0</x:v>
      </x:c>
      <x:c r="U1545" s="8" t="n">
        <x:f>N1545-I1545*J1545/H1545</x:f>
        <x:v>0</x:v>
      </x:c>
      <x:c r="V1545" s="8" t="n">
        <x:f>O1545-I1545*K1545/H1545</x:f>
        <x:v>12.880690572943564</x:v>
      </x:c>
      <x:c r="W1545" s="8" t="n">
        <x:f>P1545-J1545*K1545/H1545</x:f>
        <x:v>0</x:v>
      </x:c>
      <x:c r="X1545" s="8" t="n">
        <x:f>V1545/S1545</x:f>
        <x:v>0.19837388476461504</x:v>
      </x:c>
      <x:c r="Y1545" s="8" t="n">
        <x:f>0</x:f>
        <x:v>0</x:v>
      </x:c>
      <x:c r="Z1545" s="8" t="n">
        <x:f>K1545/H1545-X1545*I1545/H1545-Y1545*J1545/H1545</x:f>
        <x:v>3.225248589936463</x:v>
      </x:c>
      <x:c r="AA1545" s="8" t="n">
        <x:f>Z1545+X1545*Q1545+Y1545*R1545</x:f>
        <x:v>4.419624232674712</x:v>
      </x:c>
    </x:row>
    <x:row r="1546" ht="26" customHeight="1">
      <x:c r="A1546" s="2"/>
      <x:c r="B1546" s="2" t="n">
        <x:v>1541</x:v>
      </x:c>
      <x:c r="C1546" s="2" t="str">
        <x:v>Health Care / organic_sales_growth</x:v>
      </x:c>
      <x:c r="D1546" s="2" t="str">
        <x:v>Own history</x:v>
      </x:c>
      <x:c r="E1546" s="7" t="n">
        <x:v>45838</x:v>
      </x:c>
      <x:c r="F1546" s="2" t="str">
        <x:v>Prior report</x:v>
      </x:c>
      <x:c r="G1546" s="7" t="n">
        <x:v>45771</x:v>
      </x:c>
      <x:c r="H1546" s="2" t="n">
        <x:v>16</x:v>
      </x:c>
      <x:c r="I1546" s="8" t="n">
        <x:v>112</x:v>
      </x:c>
      <x:c r="J1546" s="8" t="n">
        <x:v>0</x:v>
      </x:c>
      <x:c r="K1546" s="8" t="n">
        <x:v>113</x:v>
      </x:c>
      <x:c r="L1546" s="8" t="n">
        <x:v>1038</x:v>
      </x:c>
      <x:c r="M1546" s="8" t="n">
        <x:v>0</x:v>
      </x:c>
      <x:c r="N1546" s="8" t="n">
        <x:v>0</x:v>
      </x:c>
      <x:c r="O1546" s="8" t="n">
        <x:v>843</x:v>
      </x:c>
      <x:c r="P1546" s="8" t="n">
        <x:v>0</x:v>
      </x:c>
      <x:c r="Q1546" s="8" t="n">
        <x:v>4</x:v>
      </x:c>
      <x:c r="R1546" s="8" t="n">
        <x:v>0</x:v>
      </x:c>
      <x:c r="S1546" s="8" t="n">
        <x:f>L1546-I1546^2/H1546</x:f>
        <x:v>254</x:v>
      </x:c>
      <x:c r="T1546" s="8" t="n">
        <x:f>M1546-J1546^2/H1546</x:f>
        <x:v>0</x:v>
      </x:c>
      <x:c r="U1546" s="8" t="n">
        <x:f>N1546-I1546*J1546/H1546</x:f>
        <x:v>0</x:v>
      </x:c>
      <x:c r="V1546" s="8" t="n">
        <x:f>O1546-I1546*K1546/H1546</x:f>
        <x:v>52</x:v>
      </x:c>
      <x:c r="W1546" s="8" t="n">
        <x:f>P1546-J1546*K1546/H1546</x:f>
        <x:v>0</x:v>
      </x:c>
      <x:c r="X1546" s="8" t="n">
        <x:f>V1546/S1546</x:f>
        <x:v>0.2047244094488189</x:v>
      </x:c>
      <x:c r="Y1546" s="8" t="n">
        <x:f>0</x:f>
        <x:v>0</x:v>
      </x:c>
      <x:c r="Z1546" s="8" t="n">
        <x:f>K1546/H1546-X1546*I1546/H1546-Y1546*J1546/H1546</x:f>
        <x:v>5.629429133858268</x:v>
      </x:c>
      <x:c r="AA1546" s="8" t="n">
        <x:f>Z1546+X1546*Q1546+Y1546*R1546</x:f>
        <x:v>6.4483267716535435</x:v>
      </x:c>
    </x:row>
    <x:row r="1547" ht="26" customHeight="1">
      <x:c r="A1547" s="2"/>
      <x:c r="B1547" s="2" t="n">
        <x:v>1542</x:v>
      </x:c>
      <x:c r="C1547" s="2" t="str">
        <x:v>Health Care / organic_sales_growth</x:v>
      </x:c>
      <x:c r="D1547" s="2" t="str">
        <x:v>Broad market</x:v>
      </x:c>
      <x:c r="E1547" s="7" t="n">
        <x:v>45838</x:v>
      </x:c>
      <x:c r="F1547" s="2" t="str">
        <x:v>Pre-earnings</x:v>
      </x:c>
      <x:c r="G1547" s="7" t="n">
        <x:v>45866</x:v>
      </x:c>
      <x:c r="H1547" s="2" t="n">
        <x:v>17</x:v>
      </x:c>
      <x:c r="I1547" s="8" t="n">
        <x:v>107.13491359590033</x:v>
      </x:c>
      <x:c r="J1547" s="8" t="n">
        <x:v>0</x:v>
      </x:c>
      <x:c r="K1547" s="8" t="n">
        <x:v>116</x:v>
      </x:c>
      <x:c r="L1547" s="8" t="n">
        <x:v>924.8021093136439</x:v>
      </x:c>
      <x:c r="M1547" s="8" t="n">
        <x:v>0</x:v>
      </x:c>
      <x:c r="N1547" s="8" t="n">
        <x:v>0</x:v>
      </x:c>
      <x:c r="O1547" s="8" t="n">
        <x:v>848.3942826867276</x:v>
      </x:c>
      <x:c r="P1547" s="8" t="n">
        <x:v>0</x:v>
      </x:c>
      <x:c r="Q1547" s="8" t="n">
        <x:v>8.247422680412363</x:v>
      </x:c>
      <x:c r="R1547" s="8" t="n">
        <x:v>0</x:v>
      </x:c>
      <x:c r="S1547" s="8" t="n">
        <x:f>L1547-I1547^2/H1547</x:f>
        <x:v>249.63212630181863</x:v>
      </x:c>
      <x:c r="T1547" s="8" t="n">
        <x:f>M1547-J1547^2/H1547</x:f>
        <x:v>0</x:v>
      </x:c>
      <x:c r="U1547" s="8" t="n">
        <x:f>N1547-I1547*J1547/H1547</x:f>
        <x:v>0</x:v>
      </x:c>
      <x:c r="V1547" s="8" t="n">
        <x:f>O1547-I1547*K1547/H1547</x:f>
        <x:v>117.35604873823127</x:v>
      </x:c>
      <x:c r="W1547" s="8" t="n">
        <x:f>P1547-J1547*K1547/H1547</x:f>
        <x:v>0</x:v>
      </x:c>
      <x:c r="X1547" s="8" t="n">
        <x:f>V1547/S1547</x:f>
        <x:v>0.4701159681520379</x:v>
      </x:c>
      <x:c r="Y1547" s="8" t="n">
        <x:f>0</x:f>
        <x:v>0</x:v>
      </x:c>
      <x:c r="Z1547" s="8" t="n">
        <x:f>K1547/H1547-X1547*I1547/H1547-Y1547*J1547/H1547</x:f>
        <x:v>3.8608333159987285</x:v>
      </x:c>
      <x:c r="AA1547" s="8" t="n">
        <x:f>Z1547+X1547*Q1547+Y1547*R1547</x:f>
        <x:v>7.738078414159862</x:v>
      </x:c>
    </x:row>
    <x:row r="1548" ht="26" customHeight="1">
      <x:c r="A1548" s="2"/>
      <x:c r="B1548" s="2" t="n">
        <x:v>1543</x:v>
      </x:c>
      <x:c r="C1548" s="2" t="str">
        <x:v>Health Care / organic_sales_growth</x:v>
      </x:c>
      <x:c r="D1548" s="2" t="str">
        <x:v>Broad lag 1</x:v>
      </x:c>
      <x:c r="E1548" s="7" t="n">
        <x:v>45838</x:v>
      </x:c>
      <x:c r="F1548" s="2" t="str">
        <x:v>Pre-earnings</x:v>
      </x:c>
      <x:c r="G1548" s="7" t="n">
        <x:v>45866</x:v>
      </x:c>
      <x:c r="H1548" s="2" t="n">
        <x:v>16</x:v>
      </x:c>
      <x:c r="I1548" s="8" t="n">
        <x:v>99.85428383914761</x:v>
      </x:c>
      <x:c r="J1548" s="8" t="n">
        <x:v>0</x:v>
      </x:c>
      <x:c r="K1548" s="8" t="n">
        <x:v>113</x:v>
      </x:c>
      <x:c r="L1548" s="8" t="n">
        <x:v>871.7945396587306</x:v>
      </x:c>
      <x:c r="M1548" s="8" t="n">
        <x:v>0</x:v>
      </x:c>
      <x:c r="N1548" s="8" t="n">
        <x:v>0</x:v>
      </x:c>
      <x:c r="O1548" s="8" t="n">
        <x:v>715.0490067320396</x:v>
      </x:c>
      <x:c r="P1548" s="8" t="n">
        <x:v>0</x:v>
      </x:c>
      <x:c r="Q1548" s="8" t="n">
        <x:v>7.280629756752721</x:v>
      </x:c>
      <x:c r="R1548" s="8" t="n">
        <x:v>0</x:v>
      </x:c>
      <x:c r="S1548" s="8" t="n">
        <x:f>L1548-I1548^2/H1548</x:f>
        <x:v>248.61466459441465</x:v>
      </x:c>
      <x:c r="T1548" s="8" t="n">
        <x:f>M1548-J1548^2/H1548</x:f>
        <x:v>0</x:v>
      </x:c>
      <x:c r="U1548" s="8" t="n">
        <x:f>N1548-I1548*J1548/H1548</x:f>
        <x:v>0</x:v>
      </x:c>
      <x:c r="V1548" s="8" t="n">
        <x:f>O1548-I1548*K1548/H1548</x:f>
        <x:v>9.82812711805957</x:v>
      </x:c>
      <x:c r="W1548" s="8" t="n">
        <x:f>P1548-J1548*K1548/H1548</x:f>
        <x:v>0</x:v>
      </x:c>
      <x:c r="X1548" s="8" t="n">
        <x:f>V1548/S1548</x:f>
        <x:v>0.039531566386451875</x:v>
      </x:c>
      <x:c r="Y1548" s="8" t="n">
        <x:f>0</x:f>
        <x:v>0</x:v>
      </x:c>
      <x:c r="Z1548" s="8" t="n">
        <x:f>K1548/H1548-X1548*I1548/H1548-Y1548*J1548/H1548</x:f>
        <x:v>6.815787734340071</x:v>
      </x:c>
      <x:c r="AA1548" s="8" t="n">
        <x:f>Z1548+X1548*Q1548+Y1548*R1548</x:f>
        <x:v>7.103602432904318</x:v>
      </x:c>
    </x:row>
    <x:row r="1549" ht="26" customHeight="1">
      <x:c r="A1549" s="2"/>
      <x:c r="B1549" s="2" t="n">
        <x:v>1544</x:v>
      </x:c>
      <x:c r="C1549" s="2" t="str">
        <x:v>Health Care / organic_sales_growth</x:v>
      </x:c>
      <x:c r="D1549" s="2" t="str">
        <x:v>Broad rolling 8</x:v>
      </x:c>
      <x:c r="E1549" s="7" t="n">
        <x:v>45838</x:v>
      </x:c>
      <x:c r="F1549" s="2" t="str">
        <x:v>Pre-earnings</x:v>
      </x:c>
      <x:c r="G1549" s="7" t="n">
        <x:v>45866</x:v>
      </x:c>
      <x:c r="H1549" s="2" t="n">
        <x:v>8</x:v>
      </x:c>
      <x:c r="I1549" s="8" t="n">
        <x:v>45.066434913623546</x:v>
      </x:c>
      <x:c r="J1549" s="8" t="n">
        <x:v>0</x:v>
      </x:c>
      <x:c r="K1549" s="8" t="n">
        <x:v>34</x:v>
      </x:c>
      <x:c r="L1549" s="8" t="n">
        <x:v>325.7582869930688</x:v>
      </x:c>
      <x:c r="M1549" s="8" t="n">
        <x:v>0</x:v>
      </x:c>
      <x:c r="N1549" s="8" t="n">
        <x:v>0</x:v>
      </x:c>
      <x:c r="O1549" s="8" t="n">
        <x:v>204.70939701267304</x:v>
      </x:c>
      <x:c r="P1549" s="8" t="n">
        <x:v>0</x:v>
      </x:c>
      <x:c r="Q1549" s="8" t="n">
        <x:v>8.247422680412363</x:v>
      </x:c>
      <x:c r="R1549" s="8" t="n">
        <x:v>0</x:v>
      </x:c>
      <x:c r="S1549" s="8" t="n">
        <x:f>L1549-I1549^2/H1549</x:f>
        <x:v>71.88534251508537</x:v>
      </x:c>
      <x:c r="T1549" s="8" t="n">
        <x:f>M1549-J1549^2/H1549</x:f>
        <x:v>0</x:v>
      </x:c>
      <x:c r="U1549" s="8" t="n">
        <x:f>N1549-I1549*J1549/H1549</x:f>
        <x:v>0</x:v>
      </x:c>
      <x:c r="V1549" s="8" t="n">
        <x:f>O1549-I1549*K1549/H1549</x:f>
        <x:v>13.177048629772969</x:v>
      </x:c>
      <x:c r="W1549" s="8" t="n">
        <x:f>P1549-J1549*K1549/H1549</x:f>
        <x:v>0</x:v>
      </x:c>
      <x:c r="X1549" s="8" t="n">
        <x:f>V1549/S1549</x:f>
        <x:v>0.1833064734581702</x:v>
      </x:c>
      <x:c r="Y1549" s="8" t="n">
        <x:f>0</x:f>
        <x:v>0</x:v>
      </x:c>
      <x:c r="Z1549" s="8" t="n">
        <x:f>K1549/H1549-X1549*I1549/H1549-Y1549*J1549/H1549</x:f>
        <x:v>3.217378843081439</x:v>
      </x:c>
      <x:c r="AA1549" s="8" t="n">
        <x:f>Z1549+X1549*Q1549+Y1549*R1549</x:f>
        <x:v>4.729184809746759</x:v>
      </x:c>
    </x:row>
    <x:row r="1550" ht="26" customHeight="1">
      <x:c r="A1550" s="2"/>
      <x:c r="B1550" s="2" t="n">
        <x:v>1545</x:v>
      </x:c>
      <x:c r="C1550" s="2" t="str">
        <x:v>Health Care / organic_sales_growth</x:v>
      </x:c>
      <x:c r="D1550" s="2" t="str">
        <x:v>Own history</x:v>
      </x:c>
      <x:c r="E1550" s="7" t="n">
        <x:v>45838</x:v>
      </x:c>
      <x:c r="F1550" s="2" t="str">
        <x:v>Pre-earnings</x:v>
      </x:c>
      <x:c r="G1550" s="7" t="n">
        <x:v>45866</x:v>
      </x:c>
      <x:c r="H1550" s="2" t="n">
        <x:v>16</x:v>
      </x:c>
      <x:c r="I1550" s="8" t="n">
        <x:v>112</x:v>
      </x:c>
      <x:c r="J1550" s="8" t="n">
        <x:v>0</x:v>
      </x:c>
      <x:c r="K1550" s="8" t="n">
        <x:v>113</x:v>
      </x:c>
      <x:c r="L1550" s="8" t="n">
        <x:v>1038</x:v>
      </x:c>
      <x:c r="M1550" s="8" t="n">
        <x:v>0</x:v>
      </x:c>
      <x:c r="N1550" s="8" t="n">
        <x:v>0</x:v>
      </x:c>
      <x:c r="O1550" s="8" t="n">
        <x:v>843</x:v>
      </x:c>
      <x:c r="P1550" s="8" t="n">
        <x:v>0</x:v>
      </x:c>
      <x:c r="Q1550" s="8" t="n">
        <x:v>4</x:v>
      </x:c>
      <x:c r="R1550" s="8" t="n">
        <x:v>0</x:v>
      </x:c>
      <x:c r="S1550" s="8" t="n">
        <x:f>L1550-I1550^2/H1550</x:f>
        <x:v>254</x:v>
      </x:c>
      <x:c r="T1550" s="8" t="n">
        <x:f>M1550-J1550^2/H1550</x:f>
        <x:v>0</x:v>
      </x:c>
      <x:c r="U1550" s="8" t="n">
        <x:f>N1550-I1550*J1550/H1550</x:f>
        <x:v>0</x:v>
      </x:c>
      <x:c r="V1550" s="8" t="n">
        <x:f>O1550-I1550*K1550/H1550</x:f>
        <x:v>52</x:v>
      </x:c>
      <x:c r="W1550" s="8" t="n">
        <x:f>P1550-J1550*K1550/H1550</x:f>
        <x:v>0</x:v>
      </x:c>
      <x:c r="X1550" s="8" t="n">
        <x:f>V1550/S1550</x:f>
        <x:v>0.2047244094488189</x:v>
      </x:c>
      <x:c r="Y1550" s="8" t="n">
        <x:f>0</x:f>
        <x:v>0</x:v>
      </x:c>
      <x:c r="Z1550" s="8" t="n">
        <x:f>K1550/H1550-X1550*I1550/H1550-Y1550*J1550/H1550</x:f>
        <x:v>5.629429133858268</x:v>
      </x:c>
      <x:c r="AA1550" s="8" t="n">
        <x:f>Z1550+X1550*Q1550+Y1550*R1550</x:f>
        <x:v>6.4483267716535435</x:v>
      </x:c>
    </x:row>
    <x:row r="1551" ht="26" customHeight="1">
      <x:c r="A1551" s="2"/>
      <x:c r="B1551" s="2" t="n">
        <x:v>1546</x:v>
      </x:c>
      <x:c r="C1551" s="2" t="str">
        <x:v>Health Care / organic_sales_growth</x:v>
      </x:c>
      <x:c r="D1551" s="2" t="str">
        <x:v>Broad market</x:v>
      </x:c>
      <x:c r="E1551" s="7" t="n">
        <x:v>45930</x:v>
      </x:c>
      <x:c r="F1551" s="2" t="str">
        <x:v>Origin</x:v>
      </x:c>
      <x:c r="G1551" s="7" t="n">
        <x:v>45839</x:v>
      </x:c>
      <x:c r="H1551" s="2" t="n">
        <x:v>17</x:v>
      </x:c>
      <x:c r="I1551" s="8" t="n">
        <x:v>107.16950208634644</x:v>
      </x:c>
      <x:c r="J1551" s="8" t="n">
        <x:v>0</x:v>
      </x:c>
      <x:c r="K1551" s="8" t="n">
        <x:v>116</x:v>
      </x:c>
      <x:c r="L1551" s="8" t="n">
        <x:v>924.8609898067657</x:v>
      </x:c>
      <x:c r="M1551" s="8" t="n">
        <x:v>0</x:v>
      </x:c>
      <x:c r="N1551" s="8" t="n">
        <x:v>0</x:v>
      </x:c>
      <x:c r="O1551" s="8" t="n">
        <x:v>848.532636648512</x:v>
      </x:c>
      <x:c r="P1551" s="8" t="n">
        <x:v>0</x:v>
      </x:c>
      <x:c r="Q1551" s="8" t="n">
        <x:v>8.582796428221396</x:v>
      </x:c>
      <x:c r="R1551" s="8" t="n">
        <x:v>0</x:v>
      </x:c>
      <x:c r="S1551" s="8" t="n">
        <x:f>L1551-I1551^2/H1551</x:f>
        <x:v>249.25497936938837</x:v>
      </x:c>
      <x:c r="T1551" s="8" t="n">
        <x:f>M1551-J1551^2/H1551</x:f>
        <x:v>0</x:v>
      </x:c>
      <x:c r="U1551" s="8" t="n">
        <x:f>N1551-I1551*J1551/H1551</x:f>
        <x:v>0</x:v>
      </x:c>
      <x:c r="V1551" s="8" t="n">
        <x:f>O1551-I1551*K1551/H1551</x:f>
        <x:v>117.25838711814811</x:v>
      </x:c>
      <x:c r="W1551" s="8" t="n">
        <x:f>P1551-J1551*K1551/H1551</x:f>
        <x:v>0</x:v>
      </x:c>
      <x:c r="X1551" s="8" t="n">
        <x:f>V1551/S1551</x:f>
        <x:v>0.4704354850394973</x:v>
      </x:c>
      <x:c r="Y1551" s="8" t="n">
        <x:f>0</x:f>
        <x:v>0</x:v>
      </x:c>
      <x:c r="Z1551" s="8" t="n">
        <x:f>K1551/H1551-X1551*I1551/H1551-Y1551*J1551/H1551</x:f>
        <x:v>3.857862547327541</x:v>
      </x:c>
      <x:c r="AA1551" s="8" t="n">
        <x:f>Z1551+X1551*Q1551+Y1551*R1551</x:f>
        <x:v>7.8955145480331375</x:v>
      </x:c>
    </x:row>
    <x:row r="1552" ht="26" customHeight="1">
      <x:c r="A1552" s="2"/>
      <x:c r="B1552" s="2" t="n">
        <x:v>1547</x:v>
      </x:c>
      <x:c r="C1552" s="2" t="str">
        <x:v>Health Care / organic_sales_growth</x:v>
      </x:c>
      <x:c r="D1552" s="2" t="str">
        <x:v>Broad rolling 8</x:v>
      </x:c>
      <x:c r="E1552" s="7" t="n">
        <x:v>45930</x:v>
      </x:c>
      <x:c r="F1552" s="2" t="str">
        <x:v>Origin</x:v>
      </x:c>
      <x:c r="G1552" s="7" t="n">
        <x:v>45839</x:v>
      </x:c>
      <x:c r="H1552" s="2" t="n">
        <x:v>8</x:v>
      </x:c>
      <x:c r="I1552" s="8" t="n">
        <x:v>45.10102340406965</x:v>
      </x:c>
      <x:c r="J1552" s="8" t="n">
        <x:v>0</x:v>
      </x:c>
      <x:c r="K1552" s="8" t="n">
        <x:v>34</x:v>
      </x:c>
      <x:c r="L1552" s="8" t="n">
        <x:v>325.81716748619067</x:v>
      </x:c>
      <x:c r="M1552" s="8" t="n">
        <x:v>0</x:v>
      </x:c>
      <x:c r="N1552" s="8" t="n">
        <x:v>0</x:v>
      </x:c>
      <x:c r="O1552" s="8" t="n">
        <x:v>204.84775097445745</x:v>
      </x:c>
      <x:c r="P1552" s="8" t="n">
        <x:v>0</x:v>
      </x:c>
      <x:c r="Q1552" s="8" t="n">
        <x:v>8.582796428221396</x:v>
      </x:c>
      <x:c r="R1552" s="8" t="n">
        <x:v>0</x:v>
      </x:c>
      <x:c r="S1552" s="8" t="n">
        <x:f>L1552-I1552^2/H1552</x:f>
        <x:v>71.55437847438589</x:v>
      </x:c>
      <x:c r="T1552" s="8" t="n">
        <x:f>M1552-J1552^2/H1552</x:f>
        <x:v>0</x:v>
      </x:c>
      <x:c r="U1552" s="8" t="n">
        <x:f>N1552-I1552*J1552/H1552</x:f>
        <x:v>0</x:v>
      </x:c>
      <x:c r="V1552" s="8" t="n">
        <x:f>O1552-I1552*K1552/H1552</x:f>
        <x:v>13.168401507161434</x:v>
      </x:c>
      <x:c r="W1552" s="8" t="n">
        <x:f>P1552-J1552*K1552/H1552</x:f>
        <x:v>0</x:v>
      </x:c>
      <x:c r="X1552" s="8" t="n">
        <x:f>V1552/S1552</x:f>
        <x:v>0.184033483176369</x:v>
      </x:c>
      <x:c r="Y1552" s="8" t="n">
        <x:f>0</x:f>
        <x:v>0</x:v>
      </x:c>
      <x:c r="Z1552" s="8" t="n">
        <x:f>K1552/H1552-X1552*I1552/H1552-Y1552*J1552/H1552</x:f>
        <x:v>3.2124876960162654</x:v>
      </x:c>
      <x:c r="AA1552" s="8" t="n">
        <x:f>Z1552+X1552*Q1552+Y1552*R1552</x:f>
        <x:v>4.792009618095547</x:v>
      </x:c>
    </x:row>
    <x:row r="1553" ht="26" customHeight="1">
      <x:c r="A1553" s="2"/>
      <x:c r="B1553" s="2" t="n">
        <x:v>1548</x:v>
      </x:c>
      <x:c r="C1553" s="2" t="str">
        <x:v>Health Care / organic_sales_growth</x:v>
      </x:c>
      <x:c r="D1553" s="2" t="str">
        <x:v>Own history</x:v>
      </x:c>
      <x:c r="E1553" s="7" t="n">
        <x:v>45930</x:v>
      </x:c>
      <x:c r="F1553" s="2" t="str">
        <x:v>Origin</x:v>
      </x:c>
      <x:c r="G1553" s="7" t="n">
        <x:v>45839</x:v>
      </x:c>
      <x:c r="H1553" s="2" t="n">
        <x:v>15</x:v>
      </x:c>
      <x:c r="I1553" s="8" t="n">
        <x:v>109</x:v>
      </x:c>
      <x:c r="J1553" s="8" t="n">
        <x:v>0</x:v>
      </x:c>
      <x:c r="K1553" s="8" t="n">
        <x:v>99</x:v>
      </x:c>
      <x:c r="L1553" s="8" t="n">
        <x:v>1029</x:v>
      </x:c>
      <x:c r="M1553" s="8" t="n">
        <x:v>0</x:v>
      </x:c>
      <x:c r="N1553" s="8" t="n">
        <x:v>0</x:v>
      </x:c>
      <x:c r="O1553" s="8" t="n">
        <x:v>793</x:v>
      </x:c>
      <x:c r="P1553" s="8" t="n">
        <x:v>0</x:v>
      </x:c>
      <x:c r="Q1553" s="8" t="n">
        <x:v>4</x:v>
      </x:c>
      <x:c r="R1553" s="8" t="n">
        <x:v>0</x:v>
      </x:c>
      <x:c r="S1553" s="8" t="n">
        <x:f>L1553-I1553^2/H1553</x:f>
        <x:v>236.93333333333328</x:v>
      </x:c>
      <x:c r="T1553" s="8" t="n">
        <x:f>M1553-J1553^2/H1553</x:f>
        <x:v>0</x:v>
      </x:c>
      <x:c r="U1553" s="8" t="n">
        <x:f>N1553-I1553*J1553/H1553</x:f>
        <x:v>0</x:v>
      </x:c>
      <x:c r="V1553" s="8" t="n">
        <x:f>O1553-I1553*K1553/H1553</x:f>
        <x:v>73.60000000000002</x:v>
      </x:c>
      <x:c r="W1553" s="8" t="n">
        <x:f>P1553-J1553*K1553/H1553</x:f>
        <x:v>0</x:v>
      </x:c>
      <x:c r="X1553" s="8" t="n">
        <x:f>V1553/S1553</x:f>
        <x:v>0.3106359032076535</x:v>
      </x:c>
      <x:c r="Y1553" s="8" t="n">
        <x:f>0</x:f>
        <x:v>0</x:v>
      </x:c>
      <x:c r="Z1553" s="8" t="n">
        <x:f>K1553/H1553-X1553*I1553/H1553-Y1553*J1553/H1553</x:f>
        <x:v>4.342712436691051</x:v>
      </x:c>
      <x:c r="AA1553" s="8" t="n">
        <x:f>Z1553+X1553*Q1553+Y1553*R1553</x:f>
        <x:v>5.585256049521665</x:v>
      </x:c>
    </x:row>
    <x:row r="1554" ht="26" customHeight="1">
      <x:c r="A1554" s="2"/>
      <x:c r="B1554" s="2" t="n">
        <x:v>1549</x:v>
      </x:c>
      <x:c r="C1554" s="2" t="str">
        <x:v>Health Care / organic_sales_growth</x:v>
      </x:c>
      <x:c r="D1554" s="2" t="str">
        <x:v>Broad market</x:v>
      </x:c>
      <x:c r="E1554" s="7" t="n">
        <x:v>45930</x:v>
      </x:c>
      <x:c r="F1554" s="2" t="str">
        <x:v>Prior report</x:v>
      </x:c>
      <x:c r="G1554" s="7" t="n">
        <x:v>45867</x:v>
      </x:c>
      <x:c r="H1554" s="2" t="n">
        <x:v>18</x:v>
      </x:c>
      <x:c r="I1554" s="8" t="n">
        <x:v>115.38233627631269</x:v>
      </x:c>
      <x:c r="J1554" s="8" t="n">
        <x:v>0</x:v>
      </x:c>
      <x:c r="K1554" s="8" t="n">
        <x:v>118</x:v>
      </x:c>
      <x:c r="L1554" s="8" t="n">
        <x:v>992.8220901830241</x:v>
      </x:c>
      <x:c r="M1554" s="8" t="n">
        <x:v>0</x:v>
      </x:c>
      <x:c r="N1554" s="8" t="n">
        <x:v>0</x:v>
      </x:c>
      <x:c r="O1554" s="8" t="n">
        <x:v>864.8891280475523</x:v>
      </x:c>
      <x:c r="P1554" s="8" t="n">
        <x:v>0</x:v>
      </x:c>
      <x:c r="Q1554" s="8" t="n">
        <x:v>8.248404459382597</x:v>
      </x:c>
      <x:c r="R1554" s="8" t="n">
        <x:v>0</x:v>
      </x:c>
      <x:c r="S1554" s="8" t="n">
        <x:f>L1554-I1554^2/H1554</x:f>
        <x:v>253.2063388174629</x:v>
      </x:c>
      <x:c r="T1554" s="8" t="n">
        <x:f>M1554-J1554^2/H1554</x:f>
        <x:v>0</x:v>
      </x:c>
      <x:c r="U1554" s="8" t="n">
        <x:f>N1554-I1554*J1554/H1554</x:f>
        <x:v>0</x:v>
      </x:c>
      <x:c r="V1554" s="8" t="n">
        <x:f>O1554-I1554*K1554/H1554</x:f>
        <x:v>108.4938124583914</x:v>
      </x:c>
      <x:c r="W1554" s="8" t="n">
        <x:f>P1554-J1554*K1554/H1554</x:f>
        <x:v>0</x:v>
      </x:c>
      <x:c r="X1554" s="8" t="n">
        <x:f>V1554/S1554</x:f>
        <x:v>0.4284798436132552</x:v>
      </x:c>
      <x:c r="Y1554" s="8" t="n">
        <x:f>0</x:f>
        <x:v>0</x:v>
      </x:c>
      <x:c r="Z1554" s="8" t="n">
        <x:f>K1554/H1554-X1554*I1554/H1554-Y1554*J1554/H1554</x:f>
        <x:v>3.8089441442551952</x:v>
      </x:c>
      <x:c r="AA1554" s="8" t="n">
        <x:f>Z1554+X1554*Q1554+Y1554*R1554</x:f>
        <x:v>7.3432191970703276</x:v>
      </x:c>
    </x:row>
    <x:row r="1555" ht="26" customHeight="1">
      <x:c r="A1555" s="2"/>
      <x:c r="B1555" s="2" t="n">
        <x:v>1550</x:v>
      </x:c>
      <x:c r="C1555" s="2" t="str">
        <x:v>Health Care / organic_sales_growth</x:v>
      </x:c>
      <x:c r="D1555" s="2" t="str">
        <x:v>Broad lag 1</x:v>
      </x:c>
      <x:c r="E1555" s="7" t="n">
        <x:v>45930</x:v>
      </x:c>
      <x:c r="F1555" s="2" t="str">
        <x:v>Prior report</x:v>
      </x:c>
      <x:c r="G1555" s="7" t="n">
        <x:v>45867</x:v>
      </x:c>
      <x:c r="H1555" s="2" t="n">
        <x:v>17</x:v>
      </x:c>
      <x:c r="I1555" s="8" t="n">
        <x:v>107.13491359590033</x:v>
      </x:c>
      <x:c r="J1555" s="8" t="n">
        <x:v>0</x:v>
      </x:c>
      <x:c r="K1555" s="8" t="n">
        <x:v>115</x:v>
      </x:c>
      <x:c r="L1555" s="8" t="n">
        <x:v>924.8021093136439</x:v>
      </x:c>
      <x:c r="M1555" s="8" t="n">
        <x:v>0</x:v>
      </x:c>
      <x:c r="N1555" s="8" t="n">
        <x:v>0</x:v>
      </x:c>
      <x:c r="O1555" s="8" t="n">
        <x:v>729.6102662455451</x:v>
      </x:c>
      <x:c r="P1555" s="8" t="n">
        <x:v>0</x:v>
      </x:c>
      <x:c r="Q1555" s="8" t="n">
        <x:v>8.247422680412363</x:v>
      </x:c>
      <x:c r="R1555" s="8" t="n">
        <x:v>0</x:v>
      </x:c>
      <x:c r="S1555" s="8" t="n">
        <x:f>L1555-I1555^2/H1555</x:f>
        <x:v>249.63212630181863</x:v>
      </x:c>
      <x:c r="T1555" s="8" t="n">
        <x:f>M1555-J1555^2/H1555</x:f>
        <x:v>0</x:v>
      </x:c>
      <x:c r="U1555" s="8" t="n">
        <x:f>N1555-I1555*J1555/H1555</x:f>
        <x:v>0</x:v>
      </x:c>
      <x:c r="V1555" s="8" t="n">
        <x:f>O1555-I1555*K1555/H1555</x:f>
        <x:v>4.874086037984057</x:v>
      </x:c>
      <x:c r="W1555" s="8" t="n">
        <x:f>P1555-J1555*K1555/H1555</x:f>
        <x:v>0</x:v>
      </x:c>
      <x:c r="X1555" s="8" t="n">
        <x:f>V1555/S1555</x:f>
        <x:v>0.019525075198418274</x:v>
      </x:c>
      <x:c r="Y1555" s="8" t="n">
        <x:f>0</x:f>
        <x:v>0</x:v>
      </x:c>
      <x:c r="Z1555" s="8" t="n">
        <x:f>K1555/H1555-X1555*I1555/H1555-Y1555*J1555/H1555</x:f>
        <x:v>6.641657809156706</x:v>
      </x:c>
      <x:c r="AA1555" s="8" t="n">
        <x:f>Z1555+X1555*Q1555+Y1555*R1555</x:f>
        <x:v>6.802689357184898</x:v>
      </x:c>
    </x:row>
    <x:row r="1556" ht="26" customHeight="1">
      <x:c r="A1556" s="2"/>
      <x:c r="B1556" s="2" t="n">
        <x:v>1551</x:v>
      </x:c>
      <x:c r="C1556" s="2" t="str">
        <x:v>Health Care / organic_sales_growth</x:v>
      </x:c>
      <x:c r="D1556" s="2" t="str">
        <x:v>Broad rolling 8</x:v>
      </x:c>
      <x:c r="E1556" s="7" t="n">
        <x:v>45930</x:v>
      </x:c>
      <x:c r="F1556" s="2" t="str">
        <x:v>Prior report</x:v>
      </x:c>
      <x:c r="G1556" s="7" t="n">
        <x:v>45867</x:v>
      </x:c>
      <x:c r="H1556" s="2" t="n">
        <x:v>8</x:v>
      </x:c>
      <x:c r="I1556" s="8" t="n">
        <x:v>44.9394933203342</x:v>
      </x:c>
      <x:c r="J1556" s="8" t="n">
        <x:v>0</x:v>
      </x:c>
      <x:c r="K1556" s="8" t="n">
        <x:v>31</x:v>
      </x:c>
      <x:c r="L1556" s="8" t="n">
        <x:v>323.6482908737975</x:v>
      </x:c>
      <x:c r="M1556" s="8" t="n">
        <x:v>0</x:v>
      </x:c>
      <x:c r="N1556" s="8" t="n">
        <x:v>0</x:v>
      </x:c>
      <x:c r="O1556" s="8" t="n">
        <x:v>179.33242100498921</x:v>
      </x:c>
      <x:c r="P1556" s="8" t="n">
        <x:v>0</x:v>
      </x:c>
      <x:c r="Q1556" s="8" t="n">
        <x:v>8.248404459382597</x:v>
      </x:c>
      <x:c r="R1556" s="8" t="n">
        <x:v>0</x:v>
      </x:c>
      <x:c r="S1556" s="8" t="n">
        <x:f>L1556-I1556^2/H1556</x:f>
        <x:v>71.20353338775223</x:v>
      </x:c>
      <x:c r="T1556" s="8" t="n">
        <x:f>M1556-J1556^2/H1556</x:f>
        <x:v>0</x:v>
      </x:c>
      <x:c r="U1556" s="8" t="n">
        <x:f>N1556-I1556*J1556/H1556</x:f>
        <x:v>0</x:v>
      </x:c>
      <x:c r="V1556" s="8" t="n">
        <x:f>O1556-I1556*K1556/H1556</x:f>
        <x:v>5.191884388694177</x:v>
      </x:c>
      <x:c r="W1556" s="8" t="n">
        <x:f>P1556-J1556*K1556/H1556</x:f>
        <x:v>0</x:v>
      </x:c>
      <x:c r="X1556" s="8" t="n">
        <x:f>V1556/S1556</x:f>
        <x:v>0.0729161060086835</x:v>
      </x:c>
      <x:c r="Y1556" s="8" t="n">
        <x:f>0</x:f>
        <x:v>0</x:v>
      </x:c>
      <x:c r="Z1556" s="8" t="n">
        <x:f>K1556/H1556-X1556*I1556/H1556-Y1556*J1556/H1556</x:f>
        <x:v>3.4653983926347482</x:v>
      </x:c>
      <x:c r="AA1556" s="8" t="n">
        <x:f>Z1556+X1556*Q1556+Y1556*R1556</x:f>
        <x:v>4.066839926597588</x:v>
      </x:c>
    </x:row>
    <x:row r="1557" ht="26" customHeight="1">
      <x:c r="A1557" s="2"/>
      <x:c r="B1557" s="2" t="n">
        <x:v>1552</x:v>
      </x:c>
      <x:c r="C1557" s="2" t="str">
        <x:v>Health Care / organic_sales_growth</x:v>
      </x:c>
      <x:c r="D1557" s="2" t="str">
        <x:v>Own history</x:v>
      </x:c>
      <x:c r="E1557" s="7" t="n">
        <x:v>45930</x:v>
      </x:c>
      <x:c r="F1557" s="2" t="str">
        <x:v>Prior report</x:v>
      </x:c>
      <x:c r="G1557" s="7" t="n">
        <x:v>45867</x:v>
      </x:c>
      <x:c r="H1557" s="2" t="n">
        <x:v>17</x:v>
      </x:c>
      <x:c r="I1557" s="8" t="n">
        <x:v>116</x:v>
      </x:c>
      <x:c r="J1557" s="8" t="n">
        <x:v>0</x:v>
      </x:c>
      <x:c r="K1557" s="8" t="n">
        <x:v>115</x:v>
      </x:c>
      <x:c r="L1557" s="8" t="n">
        <x:v>1054</x:v>
      </x:c>
      <x:c r="M1557" s="8" t="n">
        <x:v>0</x:v>
      </x:c>
      <x:c r="N1557" s="8" t="n">
        <x:v>0</x:v>
      </x:c>
      <x:c r="O1557" s="8" t="n">
        <x:v>851</x:v>
      </x:c>
      <x:c r="P1557" s="8" t="n">
        <x:v>0</x:v>
      </x:c>
      <x:c r="Q1557" s="8" t="n">
        <x:v>2</x:v>
      </x:c>
      <x:c r="R1557" s="8" t="n">
        <x:v>0</x:v>
      </x:c>
      <x:c r="S1557" s="8" t="n">
        <x:f>L1557-I1557^2/H1557</x:f>
        <x:v>262.47058823529414</x:v>
      </x:c>
      <x:c r="T1557" s="8" t="n">
        <x:f>M1557-J1557^2/H1557</x:f>
        <x:v>0</x:v>
      </x:c>
      <x:c r="U1557" s="8" t="n">
        <x:f>N1557-I1557*J1557/H1557</x:f>
        <x:v>0</x:v>
      </x:c>
      <x:c r="V1557" s="8" t="n">
        <x:f>O1557-I1557*K1557/H1557</x:f>
        <x:v>66.29411764705878</x:v>
      </x:c>
      <x:c r="W1557" s="8" t="n">
        <x:f>P1557-J1557*K1557/H1557</x:f>
        <x:v>0</x:v>
      </x:c>
      <x:c r="X1557" s="8" t="n">
        <x:f>V1557/S1557</x:f>
        <x:v>0.2525773195876287</x:v>
      </x:c>
      <x:c r="Y1557" s="8" t="n">
        <x:f>0</x:f>
        <x:v>0</x:v>
      </x:c>
      <x:c r="Z1557" s="8" t="n">
        <x:f>K1557/H1557-X1557*I1557/H1557-Y1557*J1557/H1557</x:f>
        <x:v>5.041237113402063</x:v>
      </x:c>
      <x:c r="AA1557" s="8" t="n">
        <x:f>Z1557+X1557*Q1557+Y1557*R1557</x:f>
        <x:v>5.54639175257732</x:v>
      </x:c>
    </x:row>
    <x:row r="1558" ht="26" customHeight="1">
      <x:c r="A1558" s="2"/>
      <x:c r="B1558" s="2" t="n">
        <x:v>1553</x:v>
      </x:c>
      <x:c r="C1558" s="2" t="str">
        <x:v>Health Care / organic_sales_growth</x:v>
      </x:c>
      <x:c r="D1558" s="2" t="str">
        <x:v>Broad market</x:v>
      </x:c>
      <x:c r="E1558" s="7" t="n">
        <x:v>45930</x:v>
      </x:c>
      <x:c r="F1558" s="2" t="str">
        <x:v>Pre-earnings</x:v>
      </x:c>
      <x:c r="G1558" s="7" t="n">
        <x:v>45953</x:v>
      </x:c>
      <x:c r="H1558" s="2" t="n">
        <x:v>18</x:v>
      </x:c>
      <x:c r="I1558" s="8" t="n">
        <x:v>115.93171885183737</x:v>
      </x:c>
      <x:c r="J1558" s="8" t="n">
        <x:v>0</x:v>
      </x:c>
      <x:c r="K1558" s="8" t="n">
        <x:v>118</x:v>
      </x:c>
      <x:c r="L1558" s="8" t="n">
        <x:v>1003.5947429851243</x:v>
      </x:c>
      <x:c r="M1558" s="8" t="n">
        <x:v>0</x:v>
      </x:c>
      <x:c r="N1558" s="8" t="n">
        <x:v>0</x:v>
      </x:c>
      <x:c r="O1558" s="8" t="n">
        <x:v>865.6360911514691</x:v>
      </x:c>
      <x:c r="P1558" s="8" t="n">
        <x:v>0</x:v>
      </x:c>
      <x:c r="Q1558" s="8" t="n">
        <x:v>5.902288666144195</x:v>
      </x:c>
      <x:c r="R1558" s="8" t="n">
        <x:v>0</x:v>
      </x:c>
      <x:c r="S1558" s="8" t="n">
        <x:f>L1558-I1558^2/H1558</x:f>
        <x:v>256.9189965439317</x:v>
      </x:c>
      <x:c r="T1558" s="8" t="n">
        <x:f>M1558-J1558^2/H1558</x:f>
        <x:v>0</x:v>
      </x:c>
      <x:c r="U1558" s="8" t="n">
        <x:f>N1558-I1558*J1558/H1558</x:f>
        <x:v>0</x:v>
      </x:c>
      <x:c r="V1558" s="8" t="n">
        <x:f>O1558-I1558*K1558/H1558</x:f>
        <x:v>105.63926756720184</x:v>
      </x:c>
      <x:c r="W1558" s="8" t="n">
        <x:f>P1558-J1558*K1558/H1558</x:f>
        <x:v>0</x:v>
      </x:c>
      <x:c r="X1558" s="8" t="n">
        <x:f>V1558/S1558</x:f>
        <x:v>0.41117733210957064</x:v>
      </x:c>
      <x:c r="Y1558" s="8" t="n">
        <x:f>0</x:f>
        <x:v>0</x:v>
      </x:c>
      <x:c r="Z1558" s="8" t="n">
        <x:f>K1558/H1558-X1558*I1558/H1558-Y1558*J1558/H1558</x:f>
        <x:v>3.9073058408680383</x:v>
      </x:c>
      <x:c r="AA1558" s="8" t="n">
        <x:f>Z1558+X1558*Q1558+Y1558*R1558</x:f>
        <x:v>6.334193147953765</x:v>
      </x:c>
    </x:row>
    <x:row r="1559" ht="26" customHeight="1">
      <x:c r="A1559" s="2"/>
      <x:c r="B1559" s="2" t="n">
        <x:v>1554</x:v>
      </x:c>
      <x:c r="C1559" s="2" t="str">
        <x:v>Health Care / organic_sales_growth</x:v>
      </x:c>
      <x:c r="D1559" s="2" t="str">
        <x:v>Broad lag 1</x:v>
      </x:c>
      <x:c r="E1559" s="7" t="n">
        <x:v>45930</x:v>
      </x:c>
      <x:c r="F1559" s="2" t="str">
        <x:v>Pre-earnings</x:v>
      </x:c>
      <x:c r="G1559" s="7" t="n">
        <x:v>45953</x:v>
      </x:c>
      <x:c r="H1559" s="2" t="n">
        <x:v>17</x:v>
      </x:c>
      <x:c r="I1559" s="8" t="n">
        <x:v>106.95901257233409</x:v>
      </x:c>
      <x:c r="J1559" s="8" t="n">
        <x:v>0</x:v>
      </x:c>
      <x:c r="K1559" s="8" t="n">
        <x:v>115</x:v>
      </x:c>
      <x:c r="L1559" s="8" t="n">
        <x:v>923.0852850068866</x:v>
      </x:c>
      <x:c r="M1559" s="8" t="n">
        <x:v>0</x:v>
      </x:c>
      <x:c r="N1559" s="8" t="n">
        <x:v>0</x:v>
      </x:c>
      <x:c r="O1559" s="8" t="n">
        <x:v>729.0479746844003</x:v>
      </x:c>
      <x:c r="P1559" s="8" t="n">
        <x:v>0</x:v>
      </x:c>
      <x:c r="Q1559" s="8" t="n">
        <x:v>8.972706279503285</x:v>
      </x:c>
      <x:c r="R1559" s="8" t="n">
        <x:v>0</x:v>
      </x:c>
      <x:c r="S1559" s="8" t="n">
        <x:f>L1559-I1559^2/H1559</x:f>
        <x:v>250.1305573334323</x:v>
      </x:c>
      <x:c r="T1559" s="8" t="n">
        <x:f>M1559-J1559^2/H1559</x:f>
        <x:v>0</x:v>
      </x:c>
      <x:c r="U1559" s="8" t="n">
        <x:f>N1559-I1559*J1559/H1559</x:f>
        <x:v>0</x:v>
      </x:c>
      <x:c r="V1559" s="8" t="n">
        <x:f>O1559-I1559*K1559/H1559</x:f>
        <x:v>5.501713165669685</x:v>
      </x:c>
      <x:c r="W1559" s="8" t="n">
        <x:f>P1559-J1559*K1559/H1559</x:f>
        <x:v>0</x:v>
      </x:c>
      <x:c r="X1559" s="8" t="n">
        <x:f>V1559/S1559</x:f>
        <x:v>0.021995366037327935</x:v>
      </x:c>
      <x:c r="Y1559" s="8" t="n">
        <x:f>0</x:f>
        <x:v>0</x:v>
      </x:c>
      <x:c r="Z1559" s="8" t="n">
        <x:f>K1559/H1559-X1559*I1559/H1559-Y1559*J1559/H1559</x:f>
        <x:v>6.626317492204726</x:v>
      </x:c>
      <x:c r="AA1559" s="8" t="n">
        <x:f>Z1559+X1559*Q1559+Y1559*R1559</x:f>
        <x:v>6.823675451167832</x:v>
      </x:c>
    </x:row>
    <x:row r="1560" ht="26" customHeight="1">
      <x:c r="A1560" s="2"/>
      <x:c r="B1560" s="2" t="n">
        <x:v>1555</x:v>
      </x:c>
      <x:c r="C1560" s="2" t="str">
        <x:v>Health Care / organic_sales_growth</x:v>
      </x:c>
      <x:c r="D1560" s="2" t="str">
        <x:v>Broad rolling 8</x:v>
      </x:c>
      <x:c r="E1560" s="7" t="n">
        <x:v>45930</x:v>
      </x:c>
      <x:c r="F1560" s="2" t="str">
        <x:v>Pre-earnings</x:v>
      </x:c>
      <x:c r="G1560" s="7" t="n">
        <x:v>45953</x:v>
      </x:c>
      <x:c r="H1560" s="2" t="n">
        <x:v>8</x:v>
      </x:c>
      <x:c r="I1560" s="8" t="n">
        <x:v>45.48887589585888</x:v>
      </x:c>
      <x:c r="J1560" s="8" t="n">
        <x:v>0</x:v>
      </x:c>
      <x:c r="K1560" s="8" t="n">
        <x:v>31</x:v>
      </x:c>
      <x:c r="L1560" s="8" t="n">
        <x:v>334.42094367589766</x:v>
      </x:c>
      <x:c r="M1560" s="8" t="n">
        <x:v>0</x:v>
      </x:c>
      <x:c r="N1560" s="8" t="n">
        <x:v>0</x:v>
      </x:c>
      <x:c r="O1560" s="8" t="n">
        <x:v>180.0793841089061</x:v>
      </x:c>
      <x:c r="P1560" s="8" t="n">
        <x:v>0</x:v>
      </x:c>
      <x:c r="Q1560" s="8" t="n">
        <x:v>5.902288666144195</x:v>
      </x:c>
      <x:c r="R1560" s="8" t="n">
        <x:v>0</x:v>
      </x:c>
      <x:c r="S1560" s="8" t="n">
        <x:f>L1560-I1560^2/H1560</x:f>
        <x:v>75.76621489229126</x:v>
      </x:c>
      <x:c r="T1560" s="8" t="n">
        <x:f>M1560-J1560^2/H1560</x:f>
        <x:v>0</x:v>
      </x:c>
      <x:c r="U1560" s="8" t="n">
        <x:f>N1560-I1560*J1560/H1560</x:f>
        <x:v>0</x:v>
      </x:c>
      <x:c r="V1560" s="8" t="n">
        <x:f>O1560-I1560*K1560/H1560</x:f>
        <x:v>3.8099900124529427</x:v>
      </x:c>
      <x:c r="W1560" s="8" t="n">
        <x:f>P1560-J1560*K1560/H1560</x:f>
        <x:v>0</x:v>
      </x:c>
      <x:c r="X1560" s="8" t="n">
        <x:f>V1560/S1560</x:f>
        <x:v>0.050286133705757886</x:v>
      </x:c>
      <x:c r="Y1560" s="8" t="n">
        <x:f>0</x:f>
        <x:v>0</x:v>
      </x:c>
      <x:c r="Z1560" s="8" t="n">
        <x:f>K1560/H1560-X1560*I1560/H1560-Y1560*J1560/H1560</x:f>
        <x:v>3.5890675380720265</x:v>
      </x:c>
      <x:c r="AA1560" s="8" t="n">
        <x:f>Z1560+X1560*Q1560+Y1560*R1560</x:f>
        <x:v>3.885870815107733</x:v>
      </x:c>
    </x:row>
    <x:row r="1561" ht="26" customHeight="1">
      <x:c r="A1561" s="2"/>
      <x:c r="B1561" s="2" t="n">
        <x:v>1556</x:v>
      </x:c>
      <x:c r="C1561" s="2" t="str">
        <x:v>Health Care / organic_sales_growth</x:v>
      </x:c>
      <x:c r="D1561" s="2" t="str">
        <x:v>Own history</x:v>
      </x:c>
      <x:c r="E1561" s="7" t="n">
        <x:v>45930</x:v>
      </x:c>
      <x:c r="F1561" s="2" t="str">
        <x:v>Pre-earnings</x:v>
      </x:c>
      <x:c r="G1561" s="7" t="n">
        <x:v>45953</x:v>
      </x:c>
      <x:c r="H1561" s="2" t="n">
        <x:v>17</x:v>
      </x:c>
      <x:c r="I1561" s="8" t="n">
        <x:v>116</x:v>
      </x:c>
      <x:c r="J1561" s="8" t="n">
        <x:v>0</x:v>
      </x:c>
      <x:c r="K1561" s="8" t="n">
        <x:v>115</x:v>
      </x:c>
      <x:c r="L1561" s="8" t="n">
        <x:v>1054</x:v>
      </x:c>
      <x:c r="M1561" s="8" t="n">
        <x:v>0</x:v>
      </x:c>
      <x:c r="N1561" s="8" t="n">
        <x:v>0</x:v>
      </x:c>
      <x:c r="O1561" s="8" t="n">
        <x:v>851</x:v>
      </x:c>
      <x:c r="P1561" s="8" t="n">
        <x:v>0</x:v>
      </x:c>
      <x:c r="Q1561" s="8" t="n">
        <x:v>2</x:v>
      </x:c>
      <x:c r="R1561" s="8" t="n">
        <x:v>0</x:v>
      </x:c>
      <x:c r="S1561" s="8" t="n">
        <x:f>L1561-I1561^2/H1561</x:f>
        <x:v>262.47058823529414</x:v>
      </x:c>
      <x:c r="T1561" s="8" t="n">
        <x:f>M1561-J1561^2/H1561</x:f>
        <x:v>0</x:v>
      </x:c>
      <x:c r="U1561" s="8" t="n">
        <x:f>N1561-I1561*J1561/H1561</x:f>
        <x:v>0</x:v>
      </x:c>
      <x:c r="V1561" s="8" t="n">
        <x:f>O1561-I1561*K1561/H1561</x:f>
        <x:v>66.29411764705878</x:v>
      </x:c>
      <x:c r="W1561" s="8" t="n">
        <x:f>P1561-J1561*K1561/H1561</x:f>
        <x:v>0</x:v>
      </x:c>
      <x:c r="X1561" s="8" t="n">
        <x:f>V1561/S1561</x:f>
        <x:v>0.2525773195876287</x:v>
      </x:c>
      <x:c r="Y1561" s="8" t="n">
        <x:f>0</x:f>
        <x:v>0</x:v>
      </x:c>
      <x:c r="Z1561" s="8" t="n">
        <x:f>K1561/H1561-X1561*I1561/H1561-Y1561*J1561/H1561</x:f>
        <x:v>5.041237113402063</x:v>
      </x:c>
      <x:c r="AA1561" s="8" t="n">
        <x:f>Z1561+X1561*Q1561+Y1561*R1561</x:f>
        <x:v>5.54639175257732</x:v>
      </x:c>
    </x:row>
    <x:row r="1562" ht="26" customHeight="1">
      <x:c r="A1562" s="2"/>
      <x:c r="B1562" s="2" t="n">
        <x:v>1557</x:v>
      </x:c>
      <x:c r="C1562" s="2" t="str">
        <x:v>Health Care / organic_sales_growth</x:v>
      </x:c>
      <x:c r="D1562" s="2" t="str">
        <x:v>Broad market</x:v>
      </x:c>
      <x:c r="E1562" s="7" t="n">
        <x:v>46022</x:v>
      </x:c>
      <x:c r="F1562" s="2" t="str">
        <x:v>Origin</x:v>
      </x:c>
      <x:c r="G1562" s="7" t="n">
        <x:v>45931</x:v>
      </x:c>
      <x:c r="H1562" s="2" t="n">
        <x:v>18</x:v>
      </x:c>
      <x:c r="I1562" s="8" t="n">
        <x:v>115.93171885183737</x:v>
      </x:c>
      <x:c r="J1562" s="8" t="n">
        <x:v>0</x:v>
      </x:c>
      <x:c r="K1562" s="8" t="n">
        <x:v>118</x:v>
      </x:c>
      <x:c r="L1562" s="8" t="n">
        <x:v>1003.5947429851243</x:v>
      </x:c>
      <x:c r="M1562" s="8" t="n">
        <x:v>0</x:v>
      </x:c>
      <x:c r="N1562" s="8" t="n">
        <x:v>0</x:v>
      </x:c>
      <x:c r="O1562" s="8" t="n">
        <x:v>865.6360911514691</x:v>
      </x:c>
      <x:c r="P1562" s="8" t="n">
        <x:v>0</x:v>
      </x:c>
      <x:c r="Q1562" s="8" t="n">
        <x:v>6.847594769665077</x:v>
      </x:c>
      <x:c r="R1562" s="8" t="n">
        <x:v>0</x:v>
      </x:c>
      <x:c r="S1562" s="8" t="n">
        <x:f>L1562-I1562^2/H1562</x:f>
        <x:v>256.9189965439317</x:v>
      </x:c>
      <x:c r="T1562" s="8" t="n">
        <x:f>M1562-J1562^2/H1562</x:f>
        <x:v>0</x:v>
      </x:c>
      <x:c r="U1562" s="8" t="n">
        <x:f>N1562-I1562*J1562/H1562</x:f>
        <x:v>0</x:v>
      </x:c>
      <x:c r="V1562" s="8" t="n">
        <x:f>O1562-I1562*K1562/H1562</x:f>
        <x:v>105.63926756720184</x:v>
      </x:c>
      <x:c r="W1562" s="8" t="n">
        <x:f>P1562-J1562*K1562/H1562</x:f>
        <x:v>0</x:v>
      </x:c>
      <x:c r="X1562" s="8" t="n">
        <x:f>V1562/S1562</x:f>
        <x:v>0.41117733210957064</x:v>
      </x:c>
      <x:c r="Y1562" s="8" t="n">
        <x:f>0</x:f>
        <x:v>0</x:v>
      </x:c>
      <x:c r="Z1562" s="8" t="n">
        <x:f>K1562/H1562-X1562*I1562/H1562-Y1562*J1562/H1562</x:f>
        <x:v>3.9073058408680383</x:v>
      </x:c>
      <x:c r="AA1562" s="8" t="n">
        <x:f>Z1562+X1562*Q1562+Y1562*R1562</x:f>
        <x:v>6.7228815896263745</x:v>
      </x:c>
    </x:row>
    <x:row r="1563" ht="26" customHeight="1">
      <x:c r="A1563" s="2"/>
      <x:c r="B1563" s="2" t="n">
        <x:v>1558</x:v>
      </x:c>
      <x:c r="C1563" s="2" t="str">
        <x:v>Health Care / organic_sales_growth</x:v>
      </x:c>
      <x:c r="D1563" s="2" t="str">
        <x:v>Broad rolling 8</x:v>
      </x:c>
      <x:c r="E1563" s="7" t="n">
        <x:v>46022</x:v>
      </x:c>
      <x:c r="F1563" s="2" t="str">
        <x:v>Origin</x:v>
      </x:c>
      <x:c r="G1563" s="7" t="n">
        <x:v>45931</x:v>
      </x:c>
      <x:c r="H1563" s="2" t="n">
        <x:v>8</x:v>
      </x:c>
      <x:c r="I1563" s="8" t="n">
        <x:v>45.48887589585888</x:v>
      </x:c>
      <x:c r="J1563" s="8" t="n">
        <x:v>0</x:v>
      </x:c>
      <x:c r="K1563" s="8" t="n">
        <x:v>31</x:v>
      </x:c>
      <x:c r="L1563" s="8" t="n">
        <x:v>334.42094367589766</x:v>
      </x:c>
      <x:c r="M1563" s="8" t="n">
        <x:v>0</x:v>
      </x:c>
      <x:c r="N1563" s="8" t="n">
        <x:v>0</x:v>
      </x:c>
      <x:c r="O1563" s="8" t="n">
        <x:v>180.0793841089061</x:v>
      </x:c>
      <x:c r="P1563" s="8" t="n">
        <x:v>0</x:v>
      </x:c>
      <x:c r="Q1563" s="8" t="n">
        <x:v>6.847594769665077</x:v>
      </x:c>
      <x:c r="R1563" s="8" t="n">
        <x:v>0</x:v>
      </x:c>
      <x:c r="S1563" s="8" t="n">
        <x:f>L1563-I1563^2/H1563</x:f>
        <x:v>75.76621489229126</x:v>
      </x:c>
      <x:c r="T1563" s="8" t="n">
        <x:f>M1563-J1563^2/H1563</x:f>
        <x:v>0</x:v>
      </x:c>
      <x:c r="U1563" s="8" t="n">
        <x:f>N1563-I1563*J1563/H1563</x:f>
        <x:v>0</x:v>
      </x:c>
      <x:c r="V1563" s="8" t="n">
        <x:f>O1563-I1563*K1563/H1563</x:f>
        <x:v>3.8099900124529427</x:v>
      </x:c>
      <x:c r="W1563" s="8" t="n">
        <x:f>P1563-J1563*K1563/H1563</x:f>
        <x:v>0</x:v>
      </x:c>
      <x:c r="X1563" s="8" t="n">
        <x:f>V1563/S1563</x:f>
        <x:v>0.050286133705757886</x:v>
      </x:c>
      <x:c r="Y1563" s="8" t="n">
        <x:f>0</x:f>
        <x:v>0</x:v>
      </x:c>
      <x:c r="Z1563" s="8" t="n">
        <x:f>K1563/H1563-X1563*I1563/H1563-Y1563*J1563/H1563</x:f>
        <x:v>3.5890675380720265</x:v>
      </x:c>
      <x:c r="AA1563" s="8" t="n">
        <x:f>Z1563+X1563*Q1563+Y1563*R1563</x:f>
        <x:v>3.933406604222253</x:v>
      </x:c>
    </x:row>
    <x:row r="1564" ht="26" customHeight="1">
      <x:c r="A1564" s="2"/>
      <x:c r="B1564" s="2" t="n">
        <x:v>1559</x:v>
      </x:c>
      <x:c r="C1564" s="2" t="str">
        <x:v>Health Care / organic_sales_growth</x:v>
      </x:c>
      <x:c r="D1564" s="2" t="str">
        <x:v>Own history</x:v>
      </x:c>
      <x:c r="E1564" s="7" t="n">
        <x:v>46022</x:v>
      </x:c>
      <x:c r="F1564" s="2" t="str">
        <x:v>Origin</x:v>
      </x:c>
      <x:c r="G1564" s="7" t="n">
        <x:v>45931</x:v>
      </x:c>
      <x:c r="H1564" s="2" t="n">
        <x:v>16</x:v>
      </x:c>
      <x:c r="I1564" s="8" t="n">
        <x:v>112</x:v>
      </x:c>
      <x:c r="J1564" s="8" t="n">
        <x:v>0</x:v>
      </x:c>
      <x:c r="K1564" s="8" t="n">
        <x:v>101</x:v>
      </x:c>
      <x:c r="L1564" s="8" t="n">
        <x:v>1038</x:v>
      </x:c>
      <x:c r="M1564" s="8" t="n">
        <x:v>0</x:v>
      </x:c>
      <x:c r="N1564" s="8" t="n">
        <x:v>0</x:v>
      </x:c>
      <x:c r="O1564" s="8" t="n">
        <x:v>799</x:v>
      </x:c>
      <x:c r="P1564" s="8" t="n">
        <x:v>0</x:v>
      </x:c>
      <x:c r="Q1564" s="8" t="n">
        <x:v>2</x:v>
      </x:c>
      <x:c r="R1564" s="8" t="n">
        <x:v>0</x:v>
      </x:c>
      <x:c r="S1564" s="8" t="n">
        <x:f>L1564-I1564^2/H1564</x:f>
        <x:v>254</x:v>
      </x:c>
      <x:c r="T1564" s="8" t="n">
        <x:f>M1564-J1564^2/H1564</x:f>
        <x:v>0</x:v>
      </x:c>
      <x:c r="U1564" s="8" t="n">
        <x:f>N1564-I1564*J1564/H1564</x:f>
        <x:v>0</x:v>
      </x:c>
      <x:c r="V1564" s="8" t="n">
        <x:f>O1564-I1564*K1564/H1564</x:f>
        <x:v>92</x:v>
      </x:c>
      <x:c r="W1564" s="8" t="n">
        <x:f>P1564-J1564*K1564/H1564</x:f>
        <x:v>0</x:v>
      </x:c>
      <x:c r="X1564" s="8" t="n">
        <x:f>V1564/S1564</x:f>
        <x:v>0.36220472440944884</x:v>
      </x:c>
      <x:c r="Y1564" s="8" t="n">
        <x:f>0</x:f>
        <x:v>0</x:v>
      </x:c>
      <x:c r="Z1564" s="8" t="n">
        <x:f>K1564/H1564-X1564*I1564/H1564-Y1564*J1564/H1564</x:f>
        <x:v>3.7770669291338583</x:v>
      </x:c>
      <x:c r="AA1564" s="8" t="n">
        <x:f>Z1564+X1564*Q1564+Y1564*R1564</x:f>
        <x:v>4.501476377952756</x:v>
      </x:c>
    </x:row>
    <x:row r="1565" ht="26" customHeight="1">
      <x:c r="A1565" s="2"/>
      <x:c r="B1565" s="2" t="n">
        <x:v>1560</x:v>
      </x:c>
      <x:c r="C1565" s="2" t="str">
        <x:v>Health Care / organic_sales_growth</x:v>
      </x:c>
      <x:c r="D1565" s="2" t="str">
        <x:v>Broad market</x:v>
      </x:c>
      <x:c r="E1565" s="7" t="n">
        <x:v>46022</x:v>
      </x:c>
      <x:c r="F1565" s="2" t="str">
        <x:v>Prior report</x:v>
      </x:c>
      <x:c r="G1565" s="7" t="n">
        <x:v>45954</x:v>
      </x:c>
      <x:c r="H1565" s="2" t="n">
        <x:v>18</x:v>
      </x:c>
      <x:c r="I1565" s="8" t="n">
        <x:v>115.93171885183737</x:v>
      </x:c>
      <x:c r="J1565" s="8" t="n">
        <x:v>0</x:v>
      </x:c>
      <x:c r="K1565" s="8" t="n">
        <x:v>118</x:v>
      </x:c>
      <x:c r="L1565" s="8" t="n">
        <x:v>1003.5947429851243</x:v>
      </x:c>
      <x:c r="M1565" s="8" t="n">
        <x:v>0</x:v>
      </x:c>
      <x:c r="N1565" s="8" t="n">
        <x:v>0</x:v>
      </x:c>
      <x:c r="O1565" s="8" t="n">
        <x:v>865.6360911514691</x:v>
      </x:c>
      <x:c r="P1565" s="8" t="n">
        <x:v>0</x:v>
      </x:c>
      <x:c r="Q1565" s="8" t="n">
        <x:v>6.847594769665077</x:v>
      </x:c>
      <x:c r="R1565" s="8" t="n">
        <x:v>0</x:v>
      </x:c>
      <x:c r="S1565" s="8" t="n">
        <x:f>L1565-I1565^2/H1565</x:f>
        <x:v>256.9189965439317</x:v>
      </x:c>
      <x:c r="T1565" s="8" t="n">
        <x:f>M1565-J1565^2/H1565</x:f>
        <x:v>0</x:v>
      </x:c>
      <x:c r="U1565" s="8" t="n">
        <x:f>N1565-I1565*J1565/H1565</x:f>
        <x:v>0</x:v>
      </x:c>
      <x:c r="V1565" s="8" t="n">
        <x:f>O1565-I1565*K1565/H1565</x:f>
        <x:v>105.63926756720184</x:v>
      </x:c>
      <x:c r="W1565" s="8" t="n">
        <x:f>P1565-J1565*K1565/H1565</x:f>
        <x:v>0</x:v>
      </x:c>
      <x:c r="X1565" s="8" t="n">
        <x:f>V1565/S1565</x:f>
        <x:v>0.41117733210957064</x:v>
      </x:c>
      <x:c r="Y1565" s="8" t="n">
        <x:f>0</x:f>
        <x:v>0</x:v>
      </x:c>
      <x:c r="Z1565" s="8" t="n">
        <x:f>K1565/H1565-X1565*I1565/H1565-Y1565*J1565/H1565</x:f>
        <x:v>3.9073058408680383</x:v>
      </x:c>
      <x:c r="AA1565" s="8" t="n">
        <x:f>Z1565+X1565*Q1565+Y1565*R1565</x:f>
        <x:v>6.7228815896263745</x:v>
      </x:c>
    </x:row>
    <x:row r="1566" ht="26" customHeight="1">
      <x:c r="A1566" s="2"/>
      <x:c r="B1566" s="2" t="n">
        <x:v>1561</x:v>
      </x:c>
      <x:c r="C1566" s="2" t="str">
        <x:v>Health Care / organic_sales_growth</x:v>
      </x:c>
      <x:c r="D1566" s="2" t="str">
        <x:v>Broad rolling 8</x:v>
      </x:c>
      <x:c r="E1566" s="7" t="n">
        <x:v>46022</x:v>
      </x:c>
      <x:c r="F1566" s="2" t="str">
        <x:v>Prior report</x:v>
      </x:c>
      <x:c r="G1566" s="7" t="n">
        <x:v>45954</x:v>
      </x:c>
      <x:c r="H1566" s="2" t="n">
        <x:v>8</x:v>
      </x:c>
      <x:c r="I1566" s="8" t="n">
        <x:v>45.48887589585888</x:v>
      </x:c>
      <x:c r="J1566" s="8" t="n">
        <x:v>0</x:v>
      </x:c>
      <x:c r="K1566" s="8" t="n">
        <x:v>31</x:v>
      </x:c>
      <x:c r="L1566" s="8" t="n">
        <x:v>334.42094367589766</x:v>
      </x:c>
      <x:c r="M1566" s="8" t="n">
        <x:v>0</x:v>
      </x:c>
      <x:c r="N1566" s="8" t="n">
        <x:v>0</x:v>
      </x:c>
      <x:c r="O1566" s="8" t="n">
        <x:v>180.0793841089061</x:v>
      </x:c>
      <x:c r="P1566" s="8" t="n">
        <x:v>0</x:v>
      </x:c>
      <x:c r="Q1566" s="8" t="n">
        <x:v>6.847594769665077</x:v>
      </x:c>
      <x:c r="R1566" s="8" t="n">
        <x:v>0</x:v>
      </x:c>
      <x:c r="S1566" s="8" t="n">
        <x:f>L1566-I1566^2/H1566</x:f>
        <x:v>75.76621489229126</x:v>
      </x:c>
      <x:c r="T1566" s="8" t="n">
        <x:f>M1566-J1566^2/H1566</x:f>
        <x:v>0</x:v>
      </x:c>
      <x:c r="U1566" s="8" t="n">
        <x:f>N1566-I1566*J1566/H1566</x:f>
        <x:v>0</x:v>
      </x:c>
      <x:c r="V1566" s="8" t="n">
        <x:f>O1566-I1566*K1566/H1566</x:f>
        <x:v>3.8099900124529427</x:v>
      </x:c>
      <x:c r="W1566" s="8" t="n">
        <x:f>P1566-J1566*K1566/H1566</x:f>
        <x:v>0</x:v>
      </x:c>
      <x:c r="X1566" s="8" t="n">
        <x:f>V1566/S1566</x:f>
        <x:v>0.050286133705757886</x:v>
      </x:c>
      <x:c r="Y1566" s="8" t="n">
        <x:f>0</x:f>
        <x:v>0</x:v>
      </x:c>
      <x:c r="Z1566" s="8" t="n">
        <x:f>K1566/H1566-X1566*I1566/H1566-Y1566*J1566/H1566</x:f>
        <x:v>3.5890675380720265</x:v>
      </x:c>
      <x:c r="AA1566" s="8" t="n">
        <x:f>Z1566+X1566*Q1566+Y1566*R1566</x:f>
        <x:v>3.933406604222253</x:v>
      </x:c>
    </x:row>
    <x:row r="1567" ht="26" customHeight="1">
      <x:c r="A1567" s="2"/>
      <x:c r="B1567" s="2" t="n">
        <x:v>1562</x:v>
      </x:c>
      <x:c r="C1567" s="2" t="str">
        <x:v>Health Care / organic_sales_growth</x:v>
      </x:c>
      <x:c r="D1567" s="2" t="str">
        <x:v>Own history</x:v>
      </x:c>
      <x:c r="E1567" s="7" t="n">
        <x:v>46022</x:v>
      </x:c>
      <x:c r="F1567" s="2" t="str">
        <x:v>Prior report</x:v>
      </x:c>
      <x:c r="G1567" s="7" t="n">
        <x:v>45954</x:v>
      </x:c>
      <x:c r="H1567" s="2" t="n">
        <x:v>18</x:v>
      </x:c>
      <x:c r="I1567" s="8" t="n">
        <x:v>118</x:v>
      </x:c>
      <x:c r="J1567" s="8" t="n">
        <x:v>0</x:v>
      </x:c>
      <x:c r="K1567" s="8" t="n">
        <x:v>116</x:v>
      </x:c>
      <x:c r="L1567" s="8" t="n">
        <x:v>1058</x:v>
      </x:c>
      <x:c r="M1567" s="8" t="n">
        <x:v>0</x:v>
      </x:c>
      <x:c r="N1567" s="8" t="n">
        <x:v>0</x:v>
      </x:c>
      <x:c r="O1567" s="8" t="n">
        <x:v>853</x:v>
      </x:c>
      <x:c r="P1567" s="8" t="n">
        <x:v>0</x:v>
      </x:c>
      <x:c r="Q1567" s="8" t="n">
        <x:v>1</x:v>
      </x:c>
      <x:c r="R1567" s="8" t="n">
        <x:v>0</x:v>
      </x:c>
      <x:c r="S1567" s="8" t="n">
        <x:f>L1567-I1567^2/H1567</x:f>
        <x:v>284.44444444444446</x:v>
      </x:c>
      <x:c r="T1567" s="8" t="n">
        <x:f>M1567-J1567^2/H1567</x:f>
        <x:v>0</x:v>
      </x:c>
      <x:c r="U1567" s="8" t="n">
        <x:f>N1567-I1567*J1567/H1567</x:f>
        <x:v>0</x:v>
      </x:c>
      <x:c r="V1567" s="8" t="n">
        <x:f>O1567-I1567*K1567/H1567</x:f>
        <x:v>92.55555555555554</x:v>
      </x:c>
      <x:c r="W1567" s="8" t="n">
        <x:f>P1567-J1567*K1567/H1567</x:f>
        <x:v>0</x:v>
      </x:c>
      <x:c r="X1567" s="8" t="n">
        <x:f>V1567/S1567</x:f>
        <x:v>0.32539062499999993</x:v>
      </x:c>
      <x:c r="Y1567" s="8" t="n">
        <x:f>0</x:f>
        <x:v>0</x:v>
      </x:c>
      <x:c r="Z1567" s="8" t="n">
        <x:f>K1567/H1567-X1567*I1567/H1567-Y1567*J1567/H1567</x:f>
        <x:v>4.311328125000001</x:v>
      </x:c>
      <x:c r="AA1567" s="8" t="n">
        <x:f>Z1567+X1567*Q1567+Y1567*R1567</x:f>
        <x:v>4.636718750000001</x:v>
      </x:c>
    </x:row>
    <x:row r="1568" ht="26" customHeight="1">
      <x:c r="A1568" s="2"/>
      <x:c r="B1568" s="2" t="n">
        <x:v>1563</x:v>
      </x:c>
      <x:c r="C1568" s="2" t="str">
        <x:v>Health Care / organic_sales_growth</x:v>
      </x:c>
      <x:c r="D1568" s="2" t="str">
        <x:v>Broad market</x:v>
      </x:c>
      <x:c r="E1568" s="7" t="n">
        <x:v>46022</x:v>
      </x:c>
      <x:c r="F1568" s="2" t="str">
        <x:v>Pre-earnings</x:v>
      </x:c>
      <x:c r="G1568" s="7" t="n">
        <x:v>46044</x:v>
      </x:c>
      <x:c r="H1568" s="2" t="n">
        <x:v>19</x:v>
      </x:c>
      <x:c r="I1568" s="8" t="n">
        <x:v>122.20174811165548</x:v>
      </x:c>
      <x:c r="J1568" s="8" t="n">
        <x:v>0</x:v>
      </x:c>
      <x:c r="K1568" s="8" t="n">
        <x:v>119</x:v>
      </x:c>
      <x:c r="L1568" s="8" t="n">
        <x:v>1043.1860155496984</x:v>
      </x:c>
      <x:c r="M1568" s="8" t="n">
        <x:v>0</x:v>
      </x:c>
      <x:c r="N1568" s="8" t="n">
        <x:v>0</x:v>
      </x:c>
      <x:c r="O1568" s="8" t="n">
        <x:v>871.2616908078485</x:v>
      </x:c>
      <x:c r="P1568" s="8" t="n">
        <x:v>0</x:v>
      </x:c>
      <x:c r="Q1568" s="8" t="n">
        <x:v>6.383120720520252</x:v>
      </x:c>
      <x:c r="R1568" s="8" t="n">
        <x:v>0</x:v>
      </x:c>
      <x:c r="S1568" s="8" t="n">
        <x:f>L1568-I1568^2/H1568</x:f>
        <x:v>257.2245817841988</x:v>
      </x:c>
      <x:c r="T1568" s="8" t="n">
        <x:f>M1568-J1568^2/H1568</x:f>
        <x:v>0</x:v>
      </x:c>
      <x:c r="U1568" s="8" t="n">
        <x:f>N1568-I1568*J1568/H1568</x:f>
        <x:v>0</x:v>
      </x:c>
      <x:c r="V1568" s="8" t="n">
        <x:f>O1568-I1568*K1568/H1568</x:f>
        <x:v>105.89284737169055</x:v>
      </x:c>
      <x:c r="W1568" s="8" t="n">
        <x:f>P1568-J1568*K1568/H1568</x:f>
        <x:v>0</x:v>
      </x:c>
      <x:c r="X1568" s="8" t="n">
        <x:f>V1568/S1568</x:f>
        <x:v>0.4116746799127093</x:v>
      </x:c>
      <x:c r="Y1568" s="8" t="n">
        <x:f>0</x:f>
        <x:v>0</x:v>
      </x:c>
      <x:c r="Z1568" s="8" t="n">
        <x:f>K1568/H1568-X1568*I1568/H1568-Y1568*J1568/H1568</x:f>
        <x:v>3.615401813755827</x:v>
      </x:c>
      <x:c r="AA1568" s="8" t="n">
        <x:f>Z1568+X1568*Q1568+Y1568*R1568</x:f>
        <x:v>6.243170993220184</x:v>
      </x:c>
    </x:row>
    <x:row r="1569" ht="26" customHeight="1">
      <x:c r="A1569" s="2"/>
      <x:c r="B1569" s="2" t="n">
        <x:v>1564</x:v>
      </x:c>
      <x:c r="C1569" s="2" t="str">
        <x:v>Health Care / organic_sales_growth</x:v>
      </x:c>
      <x:c r="D1569" s="2" t="str">
        <x:v>Broad lag 1</x:v>
      </x:c>
      <x:c r="E1569" s="7" t="n">
        <x:v>46022</x:v>
      </x:c>
      <x:c r="F1569" s="2" t="str">
        <x:v>Pre-earnings</x:v>
      </x:c>
      <x:c r="G1569" s="7" t="n">
        <x:v>46044</x:v>
      </x:c>
      <x:c r="H1569" s="2" t="n">
        <x:v>18</x:v>
      </x:c>
      <x:c r="I1569" s="8" t="n">
        <x:v>115.71781266925278</x:v>
      </x:c>
      <x:c r="J1569" s="8" t="n">
        <x:v>0</x:v>
      </x:c>
      <x:c r="K1569" s="8" t="n">
        <x:v>116</x:v>
      </x:c>
      <x:c r="L1569" s="8" t="n">
        <x:v>1001.1445967284526</x:v>
      </x:c>
      <x:c r="M1569" s="8" t="n">
        <x:v>0</x:v>
      </x:c>
      <x:c r="N1569" s="8" t="n">
        <x:v>0</x:v>
      </x:c>
      <x:c r="O1569" s="8" t="n">
        <x:v>737.3816734718348</x:v>
      </x:c>
      <x:c r="P1569" s="8" t="n">
        <x:v>0</x:v>
      </x:c>
      <x:c r="Q1569" s="8" t="n">
        <x:v>6.4839354424026885</x:v>
      </x:c>
      <x:c r="R1569" s="8" t="n">
        <x:v>0</x:v>
      </x:c>
      <x:c r="S1569" s="8" t="n">
        <x:f>L1569-I1569^2/H1569</x:f>
        <x:v>257.2216984531037</x:v>
      </x:c>
      <x:c r="T1569" s="8" t="n">
        <x:f>M1569-J1569^2/H1569</x:f>
        <x:v>0</x:v>
      </x:c>
      <x:c r="U1569" s="8" t="n">
        <x:f>N1569-I1569*J1569/H1569</x:f>
        <x:v>0</x:v>
      </x:c>
      <x:c r="V1569" s="8" t="n">
        <x:f>O1569-I1569*K1569/H1569</x:f>
        <x:v>-8.355341507794265</x:v>
      </x:c>
      <x:c r="W1569" s="8" t="n">
        <x:f>P1569-J1569*K1569/H1569</x:f>
        <x:v>0</x:v>
      </x:c>
      <x:c r="X1569" s="8" t="n">
        <x:f>V1569/S1569</x:f>
        <x:v>-0.03248303528839966</x:v>
      </x:c>
      <x:c r="Y1569" s="8" t="n">
        <x:f>0</x:f>
        <x:v>0</x:v>
      </x:c>
      <x:c r="Z1569" s="8" t="n">
        <x:f>K1569/H1569-X1569*I1569/H1569-Y1569*J1569/H1569</x:f>
        <x:v>6.653270321801765</x:v>
      </x:c>
      <x:c r="AA1569" s="8" t="n">
        <x:f>Z1569+X1569*Q1569+Y1569*R1569</x:f>
        <x:v>6.442652418018493</x:v>
      </x:c>
    </x:row>
    <x:row r="1570" ht="26" customHeight="1">
      <x:c r="A1570" s="2"/>
      <x:c r="B1570" s="2" t="n">
        <x:v>1565</x:v>
      </x:c>
      <x:c r="C1570" s="2" t="str">
        <x:v>Health Care / organic_sales_growth</x:v>
      </x:c>
      <x:c r="D1570" s="2" t="str">
        <x:v>Broad rolling 8</x:v>
      </x:c>
      <x:c r="E1570" s="7" t="n">
        <x:v>46022</x:v>
      </x:c>
      <x:c r="F1570" s="2" t="str">
        <x:v>Pre-earnings</x:v>
      </x:c>
      <x:c r="G1570" s="7" t="n">
        <x:v>46044</x:v>
      </x:c>
      <x:c r="H1570" s="2" t="n">
        <x:v>8</x:v>
      </x:c>
      <x:c r="I1570" s="8" t="n">
        <x:v>44.49410131036695</x:v>
      </x:c>
      <x:c r="J1570" s="8" t="n">
        <x:v>0</x:v>
      </x:c>
      <x:c r="K1570" s="8" t="n">
        <x:v>22</x:v>
      </x:c>
      <x:c r="L1570" s="8" t="n">
        <x:v>321.2348413296404</x:v>
      </x:c>
      <x:c r="M1570" s="8" t="n">
        <x:v>0</x:v>
      </x:c>
      <x:c r="N1570" s="8" t="n">
        <x:v>0</x:v>
      </x:c>
      <x:c r="O1570" s="8" t="n">
        <x:v>113.05694531218506</x:v>
      </x:c>
      <x:c r="P1570" s="8" t="n">
        <x:v>0</x:v>
      </x:c>
      <x:c r="Q1570" s="8" t="n">
        <x:v>6.383120720520252</x:v>
      </x:c>
      <x:c r="R1570" s="8" t="n">
        <x:v>0</x:v>
      </x:c>
      <x:c r="S1570" s="8" t="n">
        <x:f>L1570-I1570^2/H1570</x:f>
        <x:v>73.76920990249064</x:v>
      </x:c>
      <x:c r="T1570" s="8" t="n">
        <x:f>M1570-J1570^2/H1570</x:f>
        <x:v>0</x:v>
      </x:c>
      <x:c r="U1570" s="8" t="n">
        <x:f>N1570-I1570*J1570/H1570</x:f>
        <x:v>0</x:v>
      </x:c>
      <x:c r="V1570" s="8" t="n">
        <x:f>O1570-I1570*K1570/H1570</x:f>
        <x:v>-9.301833291324044</x:v>
      </x:c>
      <x:c r="W1570" s="8" t="n">
        <x:f>P1570-J1570*K1570/H1570</x:f>
        <x:v>0</x:v>
      </x:c>
      <x:c r="X1570" s="8" t="n">
        <x:f>V1570/S1570</x:f>
        <x:v>-0.12609370906397616</x:v>
      </x:c>
      <x:c r="Y1570" s="8" t="n">
        <x:f>0</x:f>
        <x:v>0</x:v>
      </x:c>
      <x:c r="Z1570" s="8" t="n">
        <x:f>K1570/H1570-X1570*I1570/H1570-Y1570*J1570/H1570</x:f>
        <x:v>3.451303283211561</x:v>
      </x:c>
      <x:c r="AA1570" s="8" t="n">
        <x:f>Z1570+X1570*Q1570+Y1570*R1570</x:f>
        <x:v>2.6464319161580425</x:v>
      </x:c>
    </x:row>
    <x:row r="1571" ht="26" customHeight="1">
      <x:c r="A1571" s="2"/>
      <x:c r="B1571" s="2" t="n">
        <x:v>1566</x:v>
      </x:c>
      <x:c r="C1571" s="2" t="str">
        <x:v>Health Care / organic_sales_growth</x:v>
      </x:c>
      <x:c r="D1571" s="2" t="str">
        <x:v>Own history</x:v>
      </x:c>
      <x:c r="E1571" s="7" t="n">
        <x:v>46022</x:v>
      </x:c>
      <x:c r="F1571" s="2" t="str">
        <x:v>Pre-earnings</x:v>
      </x:c>
      <x:c r="G1571" s="7" t="n">
        <x:v>46044</x:v>
      </x:c>
      <x:c r="H1571" s="2" t="n">
        <x:v>18</x:v>
      </x:c>
      <x:c r="I1571" s="8" t="n">
        <x:v>118</x:v>
      </x:c>
      <x:c r="J1571" s="8" t="n">
        <x:v>0</x:v>
      </x:c>
      <x:c r="K1571" s="8" t="n">
        <x:v>116</x:v>
      </x:c>
      <x:c r="L1571" s="8" t="n">
        <x:v>1058</x:v>
      </x:c>
      <x:c r="M1571" s="8" t="n">
        <x:v>0</x:v>
      </x:c>
      <x:c r="N1571" s="8" t="n">
        <x:v>0</x:v>
      </x:c>
      <x:c r="O1571" s="8" t="n">
        <x:v>853</x:v>
      </x:c>
      <x:c r="P1571" s="8" t="n">
        <x:v>0</x:v>
      </x:c>
      <x:c r="Q1571" s="8" t="n">
        <x:v>1</x:v>
      </x:c>
      <x:c r="R1571" s="8" t="n">
        <x:v>0</x:v>
      </x:c>
      <x:c r="S1571" s="8" t="n">
        <x:f>L1571-I1571^2/H1571</x:f>
        <x:v>284.44444444444446</x:v>
      </x:c>
      <x:c r="T1571" s="8" t="n">
        <x:f>M1571-J1571^2/H1571</x:f>
        <x:v>0</x:v>
      </x:c>
      <x:c r="U1571" s="8" t="n">
        <x:f>N1571-I1571*J1571/H1571</x:f>
        <x:v>0</x:v>
      </x:c>
      <x:c r="V1571" s="8" t="n">
        <x:f>O1571-I1571*K1571/H1571</x:f>
        <x:v>92.55555555555554</x:v>
      </x:c>
      <x:c r="W1571" s="8" t="n">
        <x:f>P1571-J1571*K1571/H1571</x:f>
        <x:v>0</x:v>
      </x:c>
      <x:c r="X1571" s="8" t="n">
        <x:f>V1571/S1571</x:f>
        <x:v>0.32539062499999993</x:v>
      </x:c>
      <x:c r="Y1571" s="8" t="n">
        <x:f>0</x:f>
        <x:v>0</x:v>
      </x:c>
      <x:c r="Z1571" s="8" t="n">
        <x:f>K1571/H1571-X1571*I1571/H1571-Y1571*J1571/H1571</x:f>
        <x:v>4.311328125000001</x:v>
      </x:c>
      <x:c r="AA1571" s="8" t="n">
        <x:f>Z1571+X1571*Q1571+Y1571*R1571</x:f>
        <x:v>4.636718750000001</x:v>
      </x:c>
    </x:row>
    <x:row r="1572" ht="26" customHeight="1">
      <x:c r="A1572" s="2"/>
      <x:c r="B1572" s="2" t="n">
        <x:v>1567</x:v>
      </x:c>
      <x:c r="C1572" s="2" t="str">
        <x:v>Health Care / organic_sales_growth</x:v>
      </x:c>
      <x:c r="D1572" s="2" t="str">
        <x:v>Broad market</x:v>
      </x:c>
      <x:c r="E1572" s="7" t="n">
        <x:v>46112</x:v>
      </x:c>
      <x:c r="F1572" s="2" t="str">
        <x:v>Origin</x:v>
      </x:c>
      <x:c r="G1572" s="7" t="n">
        <x:v>46023</x:v>
      </x:c>
      <x:c r="H1572" s="2" t="n">
        <x:v>19</x:v>
      </x:c>
      <x:c r="I1572" s="8" t="n">
        <x:v>122.19111263731455</x:v>
      </x:c>
      <x:c r="J1572" s="8" t="n">
        <x:v>0</x:v>
      </x:c>
      <x:c r="K1572" s="8" t="n">
        <x:v>119</x:v>
      </x:c>
      <x:c r="L1572" s="8" t="n">
        <x:v>1043.065874378336</x:v>
      </x:c>
      <x:c r="M1572" s="8" t="n">
        <x:v>0</x:v>
      </x:c>
      <x:c r="N1572" s="8" t="n">
        <x:v>0</x:v>
      </x:c>
      <x:c r="O1572" s="8" t="n">
        <x:v>871.2456332221374</x:v>
      </x:c>
      <x:c r="P1572" s="8" t="n">
        <x:v>0</x:v>
      </x:c>
      <x:c r="Q1572" s="8" t="n">
        <x:v>6.018787713325424</x:v>
      </x:c>
      <x:c r="R1572" s="8" t="n">
        <x:v>0</x:v>
      </x:c>
      <x:c r="S1572" s="8" t="n">
        <x:f>L1572-I1572^2/H1572</x:f>
        <x:v>257.2412424022891</x:v>
      </x:c>
      <x:c r="T1572" s="8" t="n">
        <x:f>M1572-J1572^2/H1572</x:f>
        <x:v>0</x:v>
      </x:c>
      <x:c r="U1572" s="8" t="n">
        <x:f>N1572-I1572*J1572/H1572</x:f>
        <x:v>0</x:v>
      </x:c>
      <x:c r="V1572" s="8" t="n">
        <x:f>O1572-I1572*K1572/H1572</x:f>
        <x:v>105.94340144106206</x:v>
      </x:c>
      <x:c r="W1572" s="8" t="n">
        <x:f>P1572-J1572*K1572/H1572</x:f>
        <x:v>0</x:v>
      </x:c>
      <x:c r="X1572" s="8" t="n">
        <x:f>V1572/S1572</x:f>
        <x:v>0.41184454114625013</x:v>
      </x:c>
      <x:c r="Y1572" s="8" t="n">
        <x:f>0</x:f>
        <x:v>0</x:v>
      </x:c>
      <x:c r="Z1572" s="8" t="n">
        <x:f>K1572/H1572-X1572*I1572/H1572-Y1572*J1572/H1572</x:f>
        <x:v>3.614539857038707</x:v>
      </x:c>
      <x:c r="AA1572" s="8" t="n">
        <x:f>Z1572+X1572*Q1572+Y1572*R1572</x:f>
        <x:v>6.093344721089904</x:v>
      </x:c>
    </x:row>
    <x:row r="1573" ht="26" customHeight="1">
      <x:c r="A1573" s="2"/>
      <x:c r="B1573" s="2" t="n">
        <x:v>1568</x:v>
      </x:c>
      <x:c r="C1573" s="2" t="str">
        <x:v>Health Care / organic_sales_growth</x:v>
      </x:c>
      <x:c r="D1573" s="2" t="str">
        <x:v>Broad rolling 8</x:v>
      </x:c>
      <x:c r="E1573" s="7" t="n">
        <x:v>46112</x:v>
      </x:c>
      <x:c r="F1573" s="2" t="str">
        <x:v>Origin</x:v>
      </x:c>
      <x:c r="G1573" s="7" t="n">
        <x:v>46023</x:v>
      </x:c>
      <x:c r="H1573" s="2" t="n">
        <x:v>8</x:v>
      </x:c>
      <x:c r="I1573" s="8" t="n">
        <x:v>44.48346583602603</x:v>
      </x:c>
      <x:c r="J1573" s="8" t="n">
        <x:v>0</x:v>
      </x:c>
      <x:c r="K1573" s="8" t="n">
        <x:v>22</x:v>
      </x:c>
      <x:c r="L1573" s="8" t="n">
        <x:v>321.1147001582781</x:v>
      </x:c>
      <x:c r="M1573" s="8" t="n">
        <x:v>0</x:v>
      </x:c>
      <x:c r="N1573" s="8" t="n">
        <x:v>0</x:v>
      </x:c>
      <x:c r="O1573" s="8" t="n">
        <x:v>113.04088772647398</x:v>
      </x:c>
      <x:c r="P1573" s="8" t="n">
        <x:v>0</x:v>
      </x:c>
      <x:c r="Q1573" s="8" t="n">
        <x:v>6.018787713325424</x:v>
      </x:c>
      <x:c r="R1573" s="8" t="n">
        <x:v>0</x:v>
      </x:c>
      <x:c r="S1573" s="8" t="n">
        <x:f>L1573-I1573^2/H1573</x:f>
        <x:v>73.76735856016623</x:v>
      </x:c>
      <x:c r="T1573" s="8" t="n">
        <x:f>M1573-J1573^2/H1573</x:f>
        <x:v>0</x:v>
      </x:c>
      <x:c r="U1573" s="8" t="n">
        <x:f>N1573-I1573*J1573/H1573</x:f>
        <x:v>0</x:v>
      </x:c>
      <x:c r="V1573" s="8" t="n">
        <x:f>O1573-I1573*K1573/H1573</x:f>
        <x:v>-9.288643322597594</x:v>
      </x:c>
      <x:c r="W1573" s="8" t="n">
        <x:f>P1573-J1573*K1573/H1573</x:f>
        <x:v>0</x:v>
      </x:c>
      <x:c r="X1573" s="8" t="n">
        <x:f>V1573/S1573</x:f>
        <x:v>-0.12591806869459177</x:v>
      </x:c>
      <x:c r="Y1573" s="8" t="n">
        <x:f>0</x:f>
        <x:v>0</x:v>
      </x:c>
      <x:c r="Z1573" s="8" t="n">
        <x:f>K1573/H1573-X1573*I1573/H1573-Y1573*J1573/H1573</x:f>
        <x:v>3.4501590133642814</x:v>
      </x:c>
      <x:c r="AA1573" s="8" t="n">
        <x:f>Z1573+X1573*Q1573+Y1573*R1573</x:f>
        <x:v>2.692284888619606</x:v>
      </x:c>
    </x:row>
    <x:row r="1574" ht="26" customHeight="1">
      <x:c r="A1574" s="2"/>
      <x:c r="B1574" s="2" t="n">
        <x:v>1569</x:v>
      </x:c>
      <x:c r="C1574" s="2" t="str">
        <x:v>Health Care / organic_sales_growth</x:v>
      </x:c>
      <x:c r="D1574" s="2" t="str">
        <x:v>Own history</x:v>
      </x:c>
      <x:c r="E1574" s="7" t="n">
        <x:v>46112</x:v>
      </x:c>
      <x:c r="F1574" s="2" t="str">
        <x:v>Origin</x:v>
      </x:c>
      <x:c r="G1574" s="7" t="n">
        <x:v>46023</x:v>
      </x:c>
      <x:c r="H1574" s="2" t="n">
        <x:v>17</x:v>
      </x:c>
      <x:c r="I1574" s="8" t="n">
        <x:v>116</x:v>
      </x:c>
      <x:c r="J1574" s="8" t="n">
        <x:v>0</x:v>
      </x:c>
      <x:c r="K1574" s="8" t="n">
        <x:v>102</x:v>
      </x:c>
      <x:c r="L1574" s="8" t="n">
        <x:v>1054</x:v>
      </x:c>
      <x:c r="M1574" s="8" t="n">
        <x:v>0</x:v>
      </x:c>
      <x:c r="N1574" s="8" t="n">
        <x:v>0</x:v>
      </x:c>
      <x:c r="O1574" s="8" t="n">
        <x:v>803</x:v>
      </x:c>
      <x:c r="P1574" s="8" t="n">
        <x:v>0</x:v>
      </x:c>
      <x:c r="Q1574" s="8" t="n">
        <x:v>1</x:v>
      </x:c>
      <x:c r="R1574" s="8" t="n">
        <x:v>0</x:v>
      </x:c>
      <x:c r="S1574" s="8" t="n">
        <x:f>L1574-I1574^2/H1574</x:f>
        <x:v>262.47058823529414</x:v>
      </x:c>
      <x:c r="T1574" s="8" t="n">
        <x:f>M1574-J1574^2/H1574</x:f>
        <x:v>0</x:v>
      </x:c>
      <x:c r="U1574" s="8" t="n">
        <x:f>N1574-I1574*J1574/H1574</x:f>
        <x:v>0</x:v>
      </x:c>
      <x:c r="V1574" s="8" t="n">
        <x:f>O1574-I1574*K1574/H1574</x:f>
        <x:v>107</x:v>
      </x:c>
      <x:c r="W1574" s="8" t="n">
        <x:f>P1574-J1574*K1574/H1574</x:f>
        <x:v>0</x:v>
      </x:c>
      <x:c r="X1574" s="8" t="n">
        <x:f>V1574/S1574</x:f>
        <x:v>0.4076647243388615</x:v>
      </x:c>
      <x:c r="Y1574" s="8" t="n">
        <x:f>0</x:f>
        <x:v>0</x:v>
      </x:c>
      <x:c r="Z1574" s="8" t="n">
        <x:f>K1574/H1574-X1574*I1574/H1574-Y1574*J1574/H1574</x:f>
        <x:v>3.2182877633348275</x:v>
      </x:c>
      <x:c r="AA1574" s="8" t="n">
        <x:f>Z1574+X1574*Q1574+Y1574*R1574</x:f>
        <x:v>3.625952487673689</x:v>
      </x:c>
    </x:row>
    <x:row r="1575" ht="26" customHeight="1">
      <x:c r="A1575" s="2"/>
      <x:c r="B1575" s="2" t="n">
        <x:v>1570</x:v>
      </x:c>
      <x:c r="C1575" s="2" t="str">
        <x:v>Health Care / organic_sales_growth</x:v>
      </x:c>
      <x:c r="D1575" s="2" t="str">
        <x:v>Broad market</x:v>
      </x:c>
      <x:c r="E1575" s="7" t="n">
        <x:v>46112</x:v>
      </x:c>
      <x:c r="F1575" s="2" t="str">
        <x:v>Prior report</x:v>
      </x:c>
      <x:c r="G1575" s="7" t="n">
        <x:v>46045</x:v>
      </x:c>
      <x:c r="H1575" s="2" t="n">
        <x:v>19</x:v>
      </x:c>
      <x:c r="I1575" s="8" t="n">
        <x:v>122.20174811165548</x:v>
      </x:c>
      <x:c r="J1575" s="8" t="n">
        <x:v>0</x:v>
      </x:c>
      <x:c r="K1575" s="8" t="n">
        <x:v>119</x:v>
      </x:c>
      <x:c r="L1575" s="8" t="n">
        <x:v>1043.1860155496984</x:v>
      </x:c>
      <x:c r="M1575" s="8" t="n">
        <x:v>0</x:v>
      </x:c>
      <x:c r="N1575" s="8" t="n">
        <x:v>0</x:v>
      </x:c>
      <x:c r="O1575" s="8" t="n">
        <x:v>871.2616908078485</x:v>
      </x:c>
      <x:c r="P1575" s="8" t="n">
        <x:v>0</x:v>
      </x:c>
      <x:c r="Q1575" s="8" t="n">
        <x:v>6.27123843840478</x:v>
      </x:c>
      <x:c r="R1575" s="8" t="n">
        <x:v>0</x:v>
      </x:c>
      <x:c r="S1575" s="8" t="n">
        <x:f>L1575-I1575^2/H1575</x:f>
        <x:v>257.2245817841988</x:v>
      </x:c>
      <x:c r="T1575" s="8" t="n">
        <x:f>M1575-J1575^2/H1575</x:f>
        <x:v>0</x:v>
      </x:c>
      <x:c r="U1575" s="8" t="n">
        <x:f>N1575-I1575*J1575/H1575</x:f>
        <x:v>0</x:v>
      </x:c>
      <x:c r="V1575" s="8" t="n">
        <x:f>O1575-I1575*K1575/H1575</x:f>
        <x:v>105.89284737169055</x:v>
      </x:c>
      <x:c r="W1575" s="8" t="n">
        <x:f>P1575-J1575*K1575/H1575</x:f>
        <x:v>0</x:v>
      </x:c>
      <x:c r="X1575" s="8" t="n">
        <x:f>V1575/S1575</x:f>
        <x:v>0.4116746799127093</x:v>
      </x:c>
      <x:c r="Y1575" s="8" t="n">
        <x:f>0</x:f>
        <x:v>0</x:v>
      </x:c>
      <x:c r="Z1575" s="8" t="n">
        <x:f>K1575/H1575-X1575*I1575/H1575-Y1575*J1575/H1575</x:f>
        <x:v>3.615401813755827</x:v>
      </x:c>
      <x:c r="AA1575" s="8" t="n">
        <x:f>Z1575+X1575*Q1575+Y1575*R1575</x:f>
        <x:v>6.197111890542393</x:v>
      </x:c>
    </x:row>
    <x:row r="1576" ht="26" customHeight="1">
      <x:c r="A1576" s="2"/>
      <x:c r="B1576" s="2" t="n">
        <x:v>1571</x:v>
      </x:c>
      <x:c r="C1576" s="2" t="str">
        <x:v>Health Care / organic_sales_growth</x:v>
      </x:c>
      <x:c r="D1576" s="2" t="str">
        <x:v>Broad rolling 8</x:v>
      </x:c>
      <x:c r="E1576" s="7" t="n">
        <x:v>46112</x:v>
      </x:c>
      <x:c r="F1576" s="2" t="str">
        <x:v>Prior report</x:v>
      </x:c>
      <x:c r="G1576" s="7" t="n">
        <x:v>46045</x:v>
      </x:c>
      <x:c r="H1576" s="2" t="n">
        <x:v>8</x:v>
      </x:c>
      <x:c r="I1576" s="8" t="n">
        <x:v>44.49410131036695</x:v>
      </x:c>
      <x:c r="J1576" s="8" t="n">
        <x:v>0</x:v>
      </x:c>
      <x:c r="K1576" s="8" t="n">
        <x:v>22</x:v>
      </x:c>
      <x:c r="L1576" s="8" t="n">
        <x:v>321.2348413296404</x:v>
      </x:c>
      <x:c r="M1576" s="8" t="n">
        <x:v>0</x:v>
      </x:c>
      <x:c r="N1576" s="8" t="n">
        <x:v>0</x:v>
      </x:c>
      <x:c r="O1576" s="8" t="n">
        <x:v>113.05694531218506</x:v>
      </x:c>
      <x:c r="P1576" s="8" t="n">
        <x:v>0</x:v>
      </x:c>
      <x:c r="Q1576" s="8" t="n">
        <x:v>6.27123843840478</x:v>
      </x:c>
      <x:c r="R1576" s="8" t="n">
        <x:v>0</x:v>
      </x:c>
      <x:c r="S1576" s="8" t="n">
        <x:f>L1576-I1576^2/H1576</x:f>
        <x:v>73.76920990249064</x:v>
      </x:c>
      <x:c r="T1576" s="8" t="n">
        <x:f>M1576-J1576^2/H1576</x:f>
        <x:v>0</x:v>
      </x:c>
      <x:c r="U1576" s="8" t="n">
        <x:f>N1576-I1576*J1576/H1576</x:f>
        <x:v>0</x:v>
      </x:c>
      <x:c r="V1576" s="8" t="n">
        <x:f>O1576-I1576*K1576/H1576</x:f>
        <x:v>-9.301833291324044</x:v>
      </x:c>
      <x:c r="W1576" s="8" t="n">
        <x:f>P1576-J1576*K1576/H1576</x:f>
        <x:v>0</x:v>
      </x:c>
      <x:c r="X1576" s="8" t="n">
        <x:f>V1576/S1576</x:f>
        <x:v>-0.12609370906397616</x:v>
      </x:c>
      <x:c r="Y1576" s="8" t="n">
        <x:f>0</x:f>
        <x:v>0</x:v>
      </x:c>
      <x:c r="Z1576" s="8" t="n">
        <x:f>K1576/H1576-X1576*I1576/H1576-Y1576*J1576/H1576</x:f>
        <x:v>3.451303283211561</x:v>
      </x:c>
      <x:c r="AA1576" s="8" t="n">
        <x:f>Z1576+X1576*Q1576+Y1576*R1576</x:f>
        <x:v>2.6605395680885247</x:v>
      </x:c>
    </x:row>
    <x:row r="1577" ht="26" customHeight="1">
      <x:c r="A1577" s="2"/>
      <x:c r="B1577" s="2" t="n">
        <x:v>1572</x:v>
      </x:c>
      <x:c r="C1577" s="2" t="str">
        <x:v>Health Care / organic_sales_growth</x:v>
      </x:c>
      <x:c r="D1577" s="2" t="str">
        <x:v>Own history</x:v>
      </x:c>
      <x:c r="E1577" s="7" t="n">
        <x:v>46112</x:v>
      </x:c>
      <x:c r="F1577" s="2" t="str">
        <x:v>Prior report</x:v>
      </x:c>
      <x:c r="G1577" s="7" t="n">
        <x:v>46045</x:v>
      </x:c>
      <x:c r="H1577" s="2" t="n">
        <x:v>19</x:v>
      </x:c>
      <x:c r="I1577" s="8" t="n">
        <x:v>119</x:v>
      </x:c>
      <x:c r="J1577" s="8" t="n">
        <x:v>0</x:v>
      </x:c>
      <x:c r="K1577" s="8" t="n">
        <x:v>119</x:v>
      </x:c>
      <x:c r="L1577" s="8" t="n">
        <x:v>1059</x:v>
      </x:c>
      <x:c r="M1577" s="8" t="n">
        <x:v>0</x:v>
      </x:c>
      <x:c r="N1577" s="8" t="n">
        <x:v>0</x:v>
      </x:c>
      <x:c r="O1577" s="8" t="n">
        <x:v>856</x:v>
      </x:c>
      <x:c r="P1577" s="8" t="n">
        <x:v>0</x:v>
      </x:c>
      <x:c r="Q1577" s="8" t="n">
        <x:v>3</x:v>
      </x:c>
      <x:c r="R1577" s="8" t="n">
        <x:v>0</x:v>
      </x:c>
      <x:c r="S1577" s="8" t="n">
        <x:f>L1577-I1577^2/H1577</x:f>
        <x:v>313.68421052631584</x:v>
      </x:c>
      <x:c r="T1577" s="8" t="n">
        <x:f>M1577-J1577^2/H1577</x:f>
        <x:v>0</x:v>
      </x:c>
      <x:c r="U1577" s="8" t="n">
        <x:f>N1577-I1577*J1577/H1577</x:f>
        <x:v>0</x:v>
      </x:c>
      <x:c r="V1577" s="8" t="n">
        <x:f>O1577-I1577*K1577/H1577</x:f>
        <x:v>110.68421052631584</x:v>
      </x:c>
      <x:c r="W1577" s="8" t="n">
        <x:f>P1577-J1577*K1577/H1577</x:f>
        <x:v>0</x:v>
      </x:c>
      <x:c r="X1577" s="8" t="n">
        <x:f>V1577/S1577</x:f>
        <x:v>0.3528523489932887</x:v>
      </x:c>
      <x:c r="Y1577" s="8" t="n">
        <x:f>0</x:f>
        <x:v>0</x:v>
      </x:c>
      <x:c r="Z1577" s="8" t="n">
        <x:f>K1577/H1577-X1577*I1577/H1577-Y1577*J1577/H1577</x:f>
        <x:v>4.053187919463086</x:v>
      </x:c>
      <x:c r="AA1577" s="8" t="n">
        <x:f>Z1577+X1577*Q1577+Y1577*R1577</x:f>
        <x:v>5.111744966442952</x:v>
      </x:c>
    </x:row>
    <x:row r="1578" ht="26" customHeight="1">
      <x:c r="A1578" s="2"/>
      <x:c r="B1578" s="2" t="n">
        <x:v>1573</x:v>
      </x:c>
      <x:c r="C1578" s="2" t="str">
        <x:v>Health Care / organic_sales_growth</x:v>
      </x:c>
      <x:c r="D1578" s="2" t="str">
        <x:v>Broad market</x:v>
      </x:c>
      <x:c r="E1578" s="7" t="n">
        <x:v>46112</x:v>
      </x:c>
      <x:c r="F1578" s="2" t="str">
        <x:v>Pre-earnings</x:v>
      </x:c>
      <x:c r="G1578" s="7" t="n">
        <x:v>46135</x:v>
      </x:c>
      <x:c r="H1578" s="2" t="n">
        <x:v>20</x:v>
      </x:c>
      <x:c r="I1578" s="8" t="n">
        <x:v>128.77757751985527</x:v>
      </x:c>
      <x:c r="J1578" s="8" t="n">
        <x:v>0</x:v>
      </x:c>
      <x:c r="K1578" s="8" t="n">
        <x:v>122</x:v>
      </x:c>
      <x:c r="L1578" s="8" t="n">
        <x:v>1089.4118897225314</x:v>
      </x:c>
      <x:c r="M1578" s="8" t="n">
        <x:v>0</x:v>
      </x:c>
      <x:c r="N1578" s="8" t="n">
        <x:v>0</x:v>
      </x:c>
      <x:c r="O1578" s="8" t="n">
        <x:v>891.803423175113</x:v>
      </x:c>
      <x:c r="P1578" s="8" t="n">
        <x:v>0</x:v>
      </x:c>
      <x:c r="Q1578" s="8" t="n">
        <x:v>2.2175244833685603</x:v>
      </x:c>
      <x:c r="R1578" s="8" t="n">
        <x:v>0</x:v>
      </x:c>
      <x:c r="S1578" s="8" t="n">
        <x:f>L1578-I1578^2/H1578</x:f>
        <x:v>260.2286661284147</x:v>
      </x:c>
      <x:c r="T1578" s="8" t="n">
        <x:f>M1578-J1578^2/H1578</x:f>
        <x:v>0</x:v>
      </x:c>
      <x:c r="U1578" s="8" t="n">
        <x:f>N1578-I1578*J1578/H1578</x:f>
        <x:v>0</x:v>
      </x:c>
      <x:c r="V1578" s="8" t="n">
        <x:f>O1578-I1578*K1578/H1578</x:f>
        <x:v>106.26020030399582</x:v>
      </x:c>
      <x:c r="W1578" s="8" t="n">
        <x:f>P1578-J1578*K1578/H1578</x:f>
        <x:v>0</x:v>
      </x:c>
      <x:c r="X1578" s="8" t="n">
        <x:f>V1578/S1578</x:f>
        <x:v>0.40833395445972787</x:v>
      </x:c>
      <x:c r="Y1578" s="8" t="n">
        <x:f>0</x:f>
        <x:v>0</x:v>
      </x:c>
      <x:c r="Z1578" s="8" t="n">
        <x:f>K1578/H1578-X1578*I1578/H1578-Y1578*J1578/H1578</x:f>
        <x:v>3.4707871262786667</x:v>
      </x:c>
      <x:c r="AA1578" s="8" t="n">
        <x:f>Z1578+X1578*Q1578+Y1578*R1578</x:f>
        <x:v>4.376277667683816</x:v>
      </x:c>
    </x:row>
    <x:row r="1579" ht="26" customHeight="1">
      <x:c r="A1579" s="2"/>
      <x:c r="B1579" s="2" t="n">
        <x:v>1574</x:v>
      </x:c>
      <x:c r="C1579" s="2" t="str">
        <x:v>Health Care / organic_sales_growth</x:v>
      </x:c>
      <x:c r="D1579" s="2" t="str">
        <x:v>Broad lag 1</x:v>
      </x:c>
      <x:c r="E1579" s="7" t="n">
        <x:v>46112</x:v>
      </x:c>
      <x:c r="F1579" s="2" t="str">
        <x:v>Pre-earnings</x:v>
      </x:c>
      <x:c r="G1579" s="7" t="n">
        <x:v>46135</x:v>
      </x:c>
      <x:c r="H1579" s="2" t="n">
        <x:v>19</x:v>
      </x:c>
      <x:c r="I1579" s="8" t="n">
        <x:v>122.9192979348861</x:v>
      </x:c>
      <x:c r="J1579" s="8" t="n">
        <x:v>0</x:v>
      </x:c>
      <x:c r="K1579" s="8" t="n">
        <x:v>119</x:v>
      </x:c>
      <x:c r="L1579" s="8" t="n">
        <x:v>1055.092450026865</x:v>
      </x:c>
      <x:c r="M1579" s="8" t="n">
        <x:v>0</x:v>
      </x:c>
      <x:c r="N1579" s="8" t="n">
        <x:v>0</x:v>
      </x:c>
      <x:c r="O1579" s="8" t="n">
        <x:v>758.0751908066349</x:v>
      </x:c>
      <x:c r="P1579" s="8" t="n">
        <x:v>0</x:v>
      </x:c>
      <x:c r="Q1579" s="8" t="n">
        <x:v>5.858279584969162</x:v>
      </x:c>
      <x:c r="R1579" s="8" t="n">
        <x:v>0</x:v>
      </x:c>
      <x:c r="S1579" s="8" t="n">
        <x:f>L1579-I1579^2/H1579</x:f>
        <x:v>259.8738287213231</x:v>
      </x:c>
      <x:c r="T1579" s="8" t="n">
        <x:f>M1579-J1579^2/H1579</x:f>
        <x:v>0</x:v>
      </x:c>
      <x:c r="U1579" s="8" t="n">
        <x:f>N1579-I1579*J1579/H1579</x:f>
        <x:v>0</x:v>
      </x:c>
      <x:c r="V1579" s="8" t="n">
        <x:f>O1579-I1579*K1579/H1579</x:f>
        <x:v>-11.787780469757081</x:v>
      </x:c>
      <x:c r="W1579" s="8" t="n">
        <x:f>P1579-J1579*K1579/H1579</x:f>
        <x:v>0</x:v>
      </x:c>
      <x:c r="X1579" s="8" t="n">
        <x:f>V1579/S1579</x:f>
        <x:v>-0.045359629046746994</x:v>
      </x:c>
      <x:c r="Y1579" s="8" t="n">
        <x:f>0</x:f>
        <x:v>0</x:v>
      </x:c>
      <x:c r="Z1579" s="8" t="n">
        <x:f>K1579/H1579-X1579*I1579/H1579-Y1579*J1579/H1579</x:f>
        <x:v>6.5566091451059485</x:v>
      </x:c>
      <x:c r="AA1579" s="8" t="n">
        <x:f>Z1579+X1579*Q1579+Y1579*R1579</x:f>
        <x:v>6.290879756279616</x:v>
      </x:c>
    </x:row>
    <x:row r="1580" ht="26" customHeight="1">
      <x:c r="A1580" s="2"/>
      <x:c r="B1580" s="2" t="n">
        <x:v>1575</x:v>
      </x:c>
      <x:c r="C1580" s="2" t="str">
        <x:v>Health Care / organic_sales_growth</x:v>
      </x:c>
      <x:c r="D1580" s="2" t="str">
        <x:v>Broad rolling 8</x:v>
      </x:c>
      <x:c r="E1580" s="7" t="n">
        <x:v>46112</x:v>
      </x:c>
      <x:c r="F1580" s="2" t="str">
        <x:v>Pre-earnings</x:v>
      </x:c>
      <x:c r="G1580" s="7" t="n">
        <x:v>46135</x:v>
      </x:c>
      <x:c r="H1580" s="2" t="n">
        <x:v>8</x:v>
      </x:c>
      <x:c r="I1580" s="8" t="n">
        <x:v>41.14512914506201</x:v>
      </x:c>
      <x:c r="J1580" s="8" t="n">
        <x:v>0</x:v>
      </x:c>
      <x:c r="K1580" s="8" t="n">
        <x:v>23</x:v>
      </x:c>
      <x:c r="L1580" s="8" t="n">
        <x:v>268.9590292290315</x:v>
      </x:c>
      <x:c r="M1580" s="8" t="n">
        <x:v>0</x:v>
      </x:c>
      <x:c r="N1580" s="8" t="n">
        <x:v>0</x:v>
      </x:c>
      <x:c r="O1580" s="8" t="n">
        <x:v>113.74907453244023</x:v>
      </x:c>
      <x:c r="P1580" s="8" t="n">
        <x:v>0</x:v>
      </x:c>
      <x:c r="Q1580" s="8" t="n">
        <x:v>2.2175244833685603</x:v>
      </x:c>
      <x:c r="R1580" s="8" t="n">
        <x:v>0</x:v>
      </x:c>
      <x:c r="S1580" s="8" t="n">
        <x:f>L1580-I1580^2/H1580</x:f>
        <x:v>57.34382268355262</x:v>
      </x:c>
      <x:c r="T1580" s="8" t="n">
        <x:f>M1580-J1580^2/H1580</x:f>
        <x:v>0</x:v>
      </x:c>
      <x:c r="U1580" s="8" t="n">
        <x:f>N1580-I1580*J1580/H1580</x:f>
        <x:v>0</x:v>
      </x:c>
      <x:c r="V1580" s="8" t="n">
        <x:f>O1580-I1580*K1580/H1580</x:f>
        <x:v>-4.543171759613045</x:v>
      </x:c>
      <x:c r="W1580" s="8" t="n">
        <x:f>P1580-J1580*K1580/H1580</x:f>
        <x:v>0</x:v>
      </x:c>
      <x:c r="X1580" s="8" t="n">
        <x:f>V1580/S1580</x:f>
        <x:v>-0.07922687304409722</x:v>
      </x:c>
      <x:c r="Y1580" s="8" t="n">
        <x:f>0</x:f>
        <x:v>0</x:v>
      </x:c>
      <x:c r="Z1580" s="8" t="n">
        <x:f>K1580/H1580-X1580*I1580/H1580-Y1580*J1580/H1580</x:f>
        <x:v>3.2824749903948516</x:v>
      </x:c>
      <x:c r="AA1580" s="8" t="n">
        <x:f>Z1580+X1580*Q1580+Y1580*R1580</x:f>
        <x:v>3.1067874596788334</x:v>
      </x:c>
    </x:row>
    <x:row r="1581" ht="26" customHeight="1">
      <x:c r="A1581" s="2"/>
      <x:c r="B1581" s="2" t="n">
        <x:v>1576</x:v>
      </x:c>
      <x:c r="C1581" s="2" t="str">
        <x:v>Health Care / organic_sales_growth</x:v>
      </x:c>
      <x:c r="D1581" s="2" t="str">
        <x:v>Own history</x:v>
      </x:c>
      <x:c r="E1581" s="7" t="n">
        <x:v>46112</x:v>
      </x:c>
      <x:c r="F1581" s="2" t="str">
        <x:v>Pre-earnings</x:v>
      </x:c>
      <x:c r="G1581" s="7" t="n">
        <x:v>46135</x:v>
      </x:c>
      <x:c r="H1581" s="2" t="n">
        <x:v>19</x:v>
      </x:c>
      <x:c r="I1581" s="8" t="n">
        <x:v>119</x:v>
      </x:c>
      <x:c r="J1581" s="8" t="n">
        <x:v>0</x:v>
      </x:c>
      <x:c r="K1581" s="8" t="n">
        <x:v>119</x:v>
      </x:c>
      <x:c r="L1581" s="8" t="n">
        <x:v>1059</x:v>
      </x:c>
      <x:c r="M1581" s="8" t="n">
        <x:v>0</x:v>
      </x:c>
      <x:c r="N1581" s="8" t="n">
        <x:v>0</x:v>
      </x:c>
      <x:c r="O1581" s="8" t="n">
        <x:v>856</x:v>
      </x:c>
      <x:c r="P1581" s="8" t="n">
        <x:v>0</x:v>
      </x:c>
      <x:c r="Q1581" s="8" t="n">
        <x:v>3</x:v>
      </x:c>
      <x:c r="R1581" s="8" t="n">
        <x:v>0</x:v>
      </x:c>
      <x:c r="S1581" s="8" t="n">
        <x:f>L1581-I1581^2/H1581</x:f>
        <x:v>313.68421052631584</x:v>
      </x:c>
      <x:c r="T1581" s="8" t="n">
        <x:f>M1581-J1581^2/H1581</x:f>
        <x:v>0</x:v>
      </x:c>
      <x:c r="U1581" s="8" t="n">
        <x:f>N1581-I1581*J1581/H1581</x:f>
        <x:v>0</x:v>
      </x:c>
      <x:c r="V1581" s="8" t="n">
        <x:f>O1581-I1581*K1581/H1581</x:f>
        <x:v>110.68421052631584</x:v>
      </x:c>
      <x:c r="W1581" s="8" t="n">
        <x:f>P1581-J1581*K1581/H1581</x:f>
        <x:v>0</x:v>
      </x:c>
      <x:c r="X1581" s="8" t="n">
        <x:f>V1581/S1581</x:f>
        <x:v>0.3528523489932887</x:v>
      </x:c>
      <x:c r="Y1581" s="8" t="n">
        <x:f>0</x:f>
        <x:v>0</x:v>
      </x:c>
      <x:c r="Z1581" s="8" t="n">
        <x:f>K1581/H1581-X1581*I1581/H1581-Y1581*J1581/H1581</x:f>
        <x:v>4.053187919463086</x:v>
      </x:c>
      <x:c r="AA1581" s="8" t="n">
        <x:f>Z1581+X1581*Q1581+Y1581*R1581</x:f>
        <x:v>5.111744966442952</x:v>
      </x:c>
    </x:row>
    <x:row r="1582" ht="26" customHeight="1">
      <x:c r="A1582" s="2"/>
      <x:c r="B1582" s="2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8" hidden="0" customWidth="1"/>
    <x:col min="3" max="3" width="37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70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2"/>
      <x:c r="B2" s="3" t="str">
        <x:v>Published P&amp;G segment history</x:v>
      </x:c>
      <x:c r="C2" s="2"/>
      <x:c r="D2" s="2"/>
      <x:c r="E2" s="2"/>
      <x:c r="F2" s="2"/>
      <x:c r="G2" s="2"/>
      <x:c r="H2" s="2"/>
    </x:row>
    <x:row r="3" ht="26" customHeight="1">
      <x:c r="A3" s="2"/>
      <x:c r="B3" s="2"/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48" customHeight="1">
      <x:c r="A5" s="2"/>
      <x:c r="B5" s="6" t="str">
        <x:v>Quarter ended</x:v>
      </x:c>
      <x:c r="C5" s="6" t="str">
        <x:v>Segment</x:v>
      </x:c>
      <x:c r="D5" s="6" t="str">
        <x:v>Pricing contribution pp</x:v>
      </x:c>
      <x:c r="E5" s="6" t="str">
        <x:v>Organic volume growth %</x:v>
      </x:c>
      <x:c r="F5" s="6" t="str">
        <x:v>Organic sales growth %</x:v>
      </x:c>
      <x:c r="G5" s="6" t="str">
        <x:v>Published</x:v>
      </x:c>
      <x:c r="H5" s="6" t="str">
        <x:v>Original source</x:v>
      </x:c>
    </x:row>
    <x:row r="6" ht="26" customHeight="1">
      <x:c r="A6" s="2"/>
      <x:c r="B6" s="7" t="n">
        <x:v>44286</x:v>
      </x:c>
      <x:c r="C6" s="2" t="str">
        <x:v>Beauty</x:v>
      </x:c>
      <x:c r="D6" s="8" t="n">
        <x:v>2</x:v>
      </x:c>
      <x:c r="E6" s="8" t="n">
        <x:v>2</x:v>
      </x:c>
      <x:c r="F6" s="8" t="n">
        <x:v>7</x:v>
      </x:c>
      <x:c r="G6" s="7" t="n">
        <x:v>44306</x:v>
      </x:c>
      <x:c r="H6" s="2" t="str">
        <x:v>https://www.sec.gov/Archives/edgar/data/80424/000008042421000056/fy2021q3jfm8-kexhibit991.htm</x:v>
      </x:c>
    </x:row>
    <x:row r="7" ht="26" customHeight="1">
      <x:c r="A7" s="2"/>
      <x:c r="B7" s="7" t="n">
        <x:v>44286</x:v>
      </x:c>
      <x:c r="C7" s="2" t="str">
        <x:v>Grooming</x:v>
      </x:c>
      <x:c r="D7" s="8" t="n">
        <x:v>2</x:v>
      </x:c>
      <x:c r="E7" s="8" t="n">
        <x:v>0</x:v>
      </x:c>
      <x:c r="F7" s="8" t="n">
        <x:v>4</x:v>
      </x:c>
      <x:c r="G7" s="7" t="n">
        <x:v>44306</x:v>
      </x:c>
      <x:c r="H7" s="2" t="str">
        <x:v>https://www.sec.gov/Archives/edgar/data/80424/000008042421000056/fy2021q3jfm8-kexhibit991.htm</x:v>
      </x:c>
    </x:row>
    <x:row r="8" ht="26" customHeight="1">
      <x:c r="A8" s="2"/>
      <x:c r="B8" s="7" t="n">
        <x:v>44286</x:v>
      </x:c>
      <x:c r="C8" s="2" t="str">
        <x:v>Health Care</x:v>
      </x:c>
      <x:c r="D8" s="8" t="n">
        <x:v>0</x:v>
      </x:c>
      <x:c r="E8" s="8" t="n">
        <x:v>0</x:v>
      </x:c>
      <x:c r="F8" s="8" t="n">
        <x:v>3</x:v>
      </x:c>
      <x:c r="G8" s="7" t="n">
        <x:v>44306</x:v>
      </x:c>
      <x:c r="H8" s="2" t="str">
        <x:v>https://www.sec.gov/Archives/edgar/data/80424/000008042421000056/fy2021q3jfm8-kexhibit991.htm</x:v>
      </x:c>
    </x:row>
    <x:row r="9" ht="26" customHeight="1">
      <x:c r="A9" s="2"/>
      <x:c r="B9" s="7" t="n">
        <x:v>44286</x:v>
      </x:c>
      <x:c r="C9" s="2" t="str">
        <x:v>Fabric &amp; Home Care</x:v>
      </x:c>
      <x:c r="D9" s="8" t="n">
        <x:v>2</x:v>
      </x:c>
      <x:c r="E9" s="8" t="n">
        <x:v>3</x:v>
      </x:c>
      <x:c r="F9" s="8" t="n">
        <x:v>7</x:v>
      </x:c>
      <x:c r="G9" s="7" t="n">
        <x:v>44306</x:v>
      </x:c>
      <x:c r="H9" s="2" t="str">
        <x:v>https://www.sec.gov/Archives/edgar/data/80424/000008042421000056/fy2021q3jfm8-kexhibit991.htm</x:v>
      </x:c>
    </x:row>
    <x:row r="10" ht="26" customHeight="1">
      <x:c r="A10" s="2"/>
      <x:c r="B10" s="7" t="n">
        <x:v>44286</x:v>
      </x:c>
      <x:c r="C10" s="2" t="str">
        <x:v>Baby, Feminine &amp; Family Care</x:v>
      </x:c>
      <x:c r="D10" s="8" t="n">
        <x:v>2</x:v>
      </x:c>
      <x:c r="E10" s="8" t="n">
        <x:v>-4</x:v>
      </x:c>
      <x:c r="F10" s="8" t="n">
        <x:v>-1</x:v>
      </x:c>
      <x:c r="G10" s="7" t="n">
        <x:v>44306</x:v>
      </x:c>
      <x:c r="H10" s="2" t="str">
        <x:v>https://www.sec.gov/Archives/edgar/data/80424/000008042421000056/fy2021q3jfm8-kexhibit991.htm</x:v>
      </x:c>
    </x:row>
    <x:row r="11" ht="26" customHeight="1">
      <x:c r="A11" s="2"/>
      <x:c r="B11" s="7" t="n">
        <x:v>44286</x:v>
      </x:c>
      <x:c r="C11" s="2" t="str">
        <x:v>Corporate</x:v>
      </x:c>
      <x:c r="D11" s="8"/>
      <x:c r="E11" s="8"/>
      <x:c r="F11" s="8"/>
      <x:c r="G11" s="7" t="n">
        <x:v>44306</x:v>
      </x:c>
      <x:c r="H11" s="2" t="str">
        <x:v>https://www.sec.gov/Archives/edgar/data/80424/000008042421000056/fy2021q3jfm8-kexhibit991.htm</x:v>
      </x:c>
    </x:row>
    <x:row r="12" ht="26" customHeight="1">
      <x:c r="A12" s="2"/>
      <x:c r="B12" s="7" t="n">
        <x:v>44286</x:v>
      </x:c>
      <x:c r="C12" s="2" t="str">
        <x:v>Total Company</x:v>
      </x:c>
      <x:c r="D12" s="8" t="n">
        <x:v>2</x:v>
      </x:c>
      <x:c r="E12" s="8" t="n">
        <x:v>0</x:v>
      </x:c>
      <x:c r="F12" s="8" t="n">
        <x:v>4</x:v>
      </x:c>
      <x:c r="G12" s="7" t="n">
        <x:v>44306</x:v>
      </x:c>
      <x:c r="H12" s="2" t="str">
        <x:v>https://www.sec.gov/Archives/edgar/data/80424/000008042421000056/fy2021q3jfm8-kexhibit991.htm</x:v>
      </x:c>
    </x:row>
    <x:row r="13" ht="26" customHeight="1">
      <x:c r="A13" s="2"/>
      <x:c r="B13" s="7" t="n">
        <x:v>44377</x:v>
      </x:c>
      <x:c r="C13" s="2" t="str">
        <x:v>Beauty</x:v>
      </x:c>
      <x:c r="D13" s="8" t="n">
        <x:v>4</x:v>
      </x:c>
      <x:c r="E13" s="8" t="n">
        <x:v>1</x:v>
      </x:c>
      <x:c r="F13" s="8" t="n">
        <x:v>6</x:v>
      </x:c>
      <x:c r="G13" s="7" t="n">
        <x:v>44407</x:v>
      </x:c>
      <x:c r="H13" s="2" t="str">
        <x:v>https://www.sec.gov/Archives/edgar/data/80424/000008042421000083/fy2021q4amj8-kexhibit991.htm</x:v>
      </x:c>
    </x:row>
    <x:row r="14" ht="26" customHeight="1">
      <x:c r="A14" s="2"/>
      <x:c r="B14" s="7" t="n">
        <x:v>44377</x:v>
      </x:c>
      <x:c r="C14" s="2" t="str">
        <x:v>Grooming</x:v>
      </x:c>
      <x:c r="D14" s="8" t="n">
        <x:v>2</x:v>
      </x:c>
      <x:c r="E14" s="8" t="n">
        <x:v>4</x:v>
      </x:c>
      <x:c r="F14" s="8" t="n">
        <x:v>6</x:v>
      </x:c>
      <x:c r="G14" s="7" t="n">
        <x:v>44407</x:v>
      </x:c>
      <x:c r="H14" s="2" t="str">
        <x:v>https://www.sec.gov/Archives/edgar/data/80424/000008042421000083/fy2021q4amj8-kexhibit991.htm</x:v>
      </x:c>
    </x:row>
    <x:row r="15" ht="26" customHeight="1">
      <x:c r="A15" s="2"/>
      <x:c r="B15" s="7" t="n">
        <x:v>44377</x:v>
      </x:c>
      <x:c r="C15" s="2" t="str">
        <x:v>Health Care</x:v>
      </x:c>
      <x:c r="D15" s="8" t="n">
        <x:v>1</x:v>
      </x:c>
      <x:c r="E15" s="8" t="n">
        <x:v>13</x:v>
      </x:c>
      <x:c r="F15" s="8" t="n">
        <x:v>14</x:v>
      </x:c>
      <x:c r="G15" s="7" t="n">
        <x:v>44407</x:v>
      </x:c>
      <x:c r="H15" s="2" t="str">
        <x:v>https://www.sec.gov/Archives/edgar/data/80424/000008042421000083/fy2021q4amj8-kexhibit991.htm</x:v>
      </x:c>
    </x:row>
    <x:row r="16" ht="26" customHeight="1">
      <x:c r="A16" s="2"/>
      <x:c r="B16" s="7" t="n">
        <x:v>44377</x:v>
      </x:c>
      <x:c r="C16" s="2" t="str">
        <x:v>Fabric &amp; Home Care</x:v>
      </x:c>
      <x:c r="D16" s="8" t="n">
        <x:v>0</x:v>
      </x:c>
      <x:c r="E16" s="8" t="n">
        <x:v>1</x:v>
      </x:c>
      <x:c r="F16" s="8" t="n">
        <x:v>2</x:v>
      </x:c>
      <x:c r="G16" s="7" t="n">
        <x:v>44407</x:v>
      </x:c>
      <x:c r="H16" s="2" t="str">
        <x:v>https://www.sec.gov/Archives/edgar/data/80424/000008042421000083/fy2021q4amj8-kexhibit991.htm</x:v>
      </x:c>
    </x:row>
    <x:row r="17" ht="26" customHeight="1">
      <x:c r="A17" s="2"/>
      <x:c r="B17" s="7" t="n">
        <x:v>44377</x:v>
      </x:c>
      <x:c r="C17" s="2" t="str">
        <x:v>Baby, Feminine &amp; Family Care</x:v>
      </x:c>
      <x:c r="D17" s="8" t="n">
        <x:v>1</x:v>
      </x:c>
      <x:c r="E17" s="8" t="n">
        <x:v>-3</x:v>
      </x:c>
      <x:c r="F17" s="8" t="n">
        <x:v>-1</x:v>
      </x:c>
      <x:c r="G17" s="7" t="n">
        <x:v>44407</x:v>
      </x:c>
      <x:c r="H17" s="2" t="str">
        <x:v>https://www.sec.gov/Archives/edgar/data/80424/000008042421000083/fy2021q4amj8-kexhibit991.htm</x:v>
      </x:c>
    </x:row>
    <x:row r="18" ht="26" customHeight="1">
      <x:c r="A18" s="2"/>
      <x:c r="B18" s="7" t="n">
        <x:v>44377</x:v>
      </x:c>
      <x:c r="C18" s="2" t="str">
        <x:v>Corporate</x:v>
      </x:c>
      <x:c r="D18" s="8"/>
      <x:c r="E18" s="8"/>
      <x:c r="F18" s="8"/>
      <x:c r="G18" s="7" t="n">
        <x:v>44407</x:v>
      </x:c>
      <x:c r="H18" s="2" t="str">
        <x:v>https://www.sec.gov/Archives/edgar/data/80424/000008042421000083/fy2021q4amj8-kexhibit991.htm</x:v>
      </x:c>
    </x:row>
    <x:row r="19" ht="26" customHeight="1">
      <x:c r="A19" s="2"/>
      <x:c r="B19" s="7" t="n">
        <x:v>44377</x:v>
      </x:c>
      <x:c r="C19" s="2" t="str">
        <x:v>Total Company</x:v>
      </x:c>
      <x:c r="D19" s="8" t="n">
        <x:v>1</x:v>
      </x:c>
      <x:c r="E19" s="8" t="n">
        <x:v>1</x:v>
      </x:c>
      <x:c r="F19" s="8" t="n">
        <x:v>4</x:v>
      </x:c>
      <x:c r="G19" s="7" t="n">
        <x:v>44407</x:v>
      </x:c>
      <x:c r="H19" s="2" t="str">
        <x:v>https://www.sec.gov/Archives/edgar/data/80424/000008042421000083/fy2021q4amj8-kexhibit991.htm</x:v>
      </x:c>
    </x:row>
    <x:row r="20" ht="26" customHeight="1">
      <x:c r="A20" s="2"/>
      <x:c r="B20" s="7" t="n">
        <x:v>44469</x:v>
      </x:c>
      <x:c r="C20" s="2" t="str">
        <x:v>Beauty</x:v>
      </x:c>
      <x:c r="D20" s="8" t="n">
        <x:v>2</x:v>
      </x:c>
      <x:c r="E20" s="8" t="n">
        <x:v>0</x:v>
      </x:c>
      <x:c r="F20" s="8" t="n">
        <x:v>2</x:v>
      </x:c>
      <x:c r="G20" s="7" t="n">
        <x:v>44488</x:v>
      </x:c>
      <x:c r="H20" s="2" t="str">
        <x:v>https://www.sec.gov/Archives/edgar/data/80424/000008042421000129/pg-20210930.htm</x:v>
      </x:c>
    </x:row>
    <x:row r="21" ht="26" customHeight="1">
      <x:c r="A21" s="2"/>
      <x:c r="B21" s="7" t="n">
        <x:v>44469</x:v>
      </x:c>
      <x:c r="C21" s="2" t="str">
        <x:v>Grooming</x:v>
      </x:c>
      <x:c r="D21" s="8" t="n">
        <x:v>2</x:v>
      </x:c>
      <x:c r="E21" s="8" t="n">
        <x:v>1</x:v>
      </x:c>
      <x:c r="F21" s="8" t="n">
        <x:v>4</x:v>
      </x:c>
      <x:c r="G21" s="7" t="n">
        <x:v>44488</x:v>
      </x:c>
      <x:c r="H21" s="2" t="str">
        <x:v>https://www.sec.gov/Archives/edgar/data/80424/000008042421000129/pg-20210930.htm</x:v>
      </x:c>
    </x:row>
    <x:row r="22" ht="26" customHeight="1">
      <x:c r="A22" s="2"/>
      <x:c r="B22" s="7" t="n">
        <x:v>44469</x:v>
      </x:c>
      <x:c r="C22" s="2" t="str">
        <x:v>Health Care</x:v>
      </x:c>
      <x:c r="D22" s="8" t="n">
        <x:v>1</x:v>
      </x:c>
      <x:c r="E22" s="8" t="n">
        <x:v>3</x:v>
      </x:c>
      <x:c r="F22" s="8" t="n">
        <x:v>7</x:v>
      </x:c>
      <x:c r="G22" s="7" t="n">
        <x:v>44488</x:v>
      </x:c>
      <x:c r="H22" s="2" t="str">
        <x:v>https://www.sec.gov/Archives/edgar/data/80424/000008042421000129/pg-20210930.htm</x:v>
      </x:c>
    </x:row>
    <x:row r="23" ht="26" customHeight="1">
      <x:c r="A23" s="2"/>
      <x:c r="B23" s="7" t="n">
        <x:v>44469</x:v>
      </x:c>
      <x:c r="C23" s="2" t="str">
        <x:v>Fabric &amp; Home Care</x:v>
      </x:c>
      <x:c r="D23" s="8" t="n">
        <x:v>2</x:v>
      </x:c>
      <x:c r="E23" s="8" t="n">
        <x:v>2</x:v>
      </x:c>
      <x:c r="F23" s="8" t="n">
        <x:v>5</x:v>
      </x:c>
      <x:c r="G23" s="7" t="n">
        <x:v>44488</x:v>
      </x:c>
      <x:c r="H23" s="2" t="str">
        <x:v>https://www.sec.gov/Archives/edgar/data/80424/000008042421000129/pg-20210930.htm</x:v>
      </x:c>
    </x:row>
    <x:row r="24" ht="26" customHeight="1">
      <x:c r="A24" s="2"/>
      <x:c r="B24" s="7" t="n">
        <x:v>44469</x:v>
      </x:c>
      <x:c r="C24" s="2" t="str">
        <x:v>Baby, Feminine &amp; Family Care</x:v>
      </x:c>
      <x:c r="D24" s="8" t="n">
        <x:v>-1</x:v>
      </x:c>
      <x:c r="E24" s="8" t="n">
        <x:v>1</x:v>
      </x:c>
      <x:c r="F24" s="8" t="n">
        <x:v>2</x:v>
      </x:c>
      <x:c r="G24" s="7" t="n">
        <x:v>44488</x:v>
      </x:c>
      <x:c r="H24" s="2" t="str">
        <x:v>https://www.sec.gov/Archives/edgar/data/80424/000008042421000129/pg-20210930.htm</x:v>
      </x:c>
    </x:row>
    <x:row r="25" ht="26" customHeight="1">
      <x:c r="A25" s="2"/>
      <x:c r="B25" s="7" t="n">
        <x:v>44469</x:v>
      </x:c>
      <x:c r="C25" s="2" t="str">
        <x:v>Corporate</x:v>
      </x:c>
      <x:c r="D25" s="8"/>
      <x:c r="E25" s="8"/>
      <x:c r="F25" s="8"/>
      <x:c r="G25" s="7" t="n">
        <x:v>44488</x:v>
      </x:c>
      <x:c r="H25" s="2" t="str">
        <x:v>https://www.sec.gov/Archives/edgar/data/80424/000008042421000129/pg-20210930.htm</x:v>
      </x:c>
    </x:row>
    <x:row r="26" ht="26" customHeight="1">
      <x:c r="A26" s="2"/>
      <x:c r="B26" s="7" t="n">
        <x:v>44469</x:v>
      </x:c>
      <x:c r="C26" s="2" t="str">
        <x:v>Total Company</x:v>
      </x:c>
      <x:c r="D26" s="8" t="n">
        <x:v>1</x:v>
      </x:c>
      <x:c r="E26" s="8" t="n">
        <x:v>2</x:v>
      </x:c>
      <x:c r="F26" s="8" t="n">
        <x:v>4</x:v>
      </x:c>
      <x:c r="G26" s="7" t="n">
        <x:v>44488</x:v>
      </x:c>
      <x:c r="H26" s="2" t="str">
        <x:v>https://www.sec.gov/Archives/edgar/data/80424/000008042421000129/pg-20210930.htm</x:v>
      </x:c>
    </x:row>
    <x:row r="27" ht="26" customHeight="1">
      <x:c r="A27" s="2"/>
      <x:c r="B27" s="7" t="n">
        <x:v>44561</x:v>
      </x:c>
      <x:c r="C27" s="2" t="str">
        <x:v>Beauty</x:v>
      </x:c>
      <x:c r="D27" s="8" t="n">
        <x:v>2</x:v>
      </x:c>
      <x:c r="E27" s="8" t="n">
        <x:v>1</x:v>
      </x:c>
      <x:c r="F27" s="8" t="n">
        <x:v>2</x:v>
      </x:c>
      <x:c r="G27" s="7" t="n">
        <x:v>44580</x:v>
      </x:c>
      <x:c r="H27" s="2" t="str">
        <x:v>https://www.sec.gov/Archives/edgar/data/80424/000008042422000016/pg-20211231.htm</x:v>
      </x:c>
    </x:row>
    <x:row r="28" ht="26" customHeight="1">
      <x:c r="A28" s="2"/>
      <x:c r="B28" s="7" t="n">
        <x:v>44561</x:v>
      </x:c>
      <x:c r="C28" s="2" t="str">
        <x:v>Grooming</x:v>
      </x:c>
      <x:c r="D28" s="8" t="n">
        <x:v>4</x:v>
      </x:c>
      <x:c r="E28" s="8" t="n">
        <x:v>1</x:v>
      </x:c>
      <x:c r="F28" s="8" t="n">
        <x:v>5</x:v>
      </x:c>
      <x:c r="G28" s="7" t="n">
        <x:v>44580</x:v>
      </x:c>
      <x:c r="H28" s="2" t="str">
        <x:v>https://www.sec.gov/Archives/edgar/data/80424/000008042422000016/pg-20211231.htm</x:v>
      </x:c>
    </x:row>
    <x:row r="29" ht="26" customHeight="1">
      <x:c r="A29" s="2"/>
      <x:c r="B29" s="7" t="n">
        <x:v>44561</x:v>
      </x:c>
      <x:c r="C29" s="2" t="str">
        <x:v>Health Care</x:v>
      </x:c>
      <x:c r="D29" s="8" t="n">
        <x:v>1</x:v>
      </x:c>
      <x:c r="E29" s="8" t="n">
        <x:v>4</x:v>
      </x:c>
      <x:c r="F29" s="8" t="n">
        <x:v>8</x:v>
      </x:c>
      <x:c r="G29" s="7" t="n">
        <x:v>44580</x:v>
      </x:c>
      <x:c r="H29" s="2" t="str">
        <x:v>https://www.sec.gov/Archives/edgar/data/80424/000008042422000016/pg-20211231.htm</x:v>
      </x:c>
    </x:row>
    <x:row r="30" ht="26" customHeight="1">
      <x:c r="A30" s="2"/>
      <x:c r="B30" s="7" t="n">
        <x:v>44561</x:v>
      </x:c>
      <x:c r="C30" s="2" t="str">
        <x:v>Fabric &amp; Home Care</x:v>
      </x:c>
      <x:c r="D30" s="8" t="n">
        <x:v>2</x:v>
      </x:c>
      <x:c r="E30" s="8" t="n">
        <x:v>7</x:v>
      </x:c>
      <x:c r="F30" s="8" t="n">
        <x:v>8</x:v>
      </x:c>
      <x:c r="G30" s="7" t="n">
        <x:v>44580</x:v>
      </x:c>
      <x:c r="H30" s="2" t="str">
        <x:v>https://www.sec.gov/Archives/edgar/data/80424/000008042422000016/pg-20211231.htm</x:v>
      </x:c>
    </x:row>
    <x:row r="31" ht="26" customHeight="1">
      <x:c r="A31" s="2"/>
      <x:c r="B31" s="7" t="n">
        <x:v>44561</x:v>
      </x:c>
      <x:c r="C31" s="2" t="str">
        <x:v>Baby, Feminine &amp; Family Care</x:v>
      </x:c>
      <x:c r="D31" s="8" t="n">
        <x:v>3</x:v>
      </x:c>
      <x:c r="E31" s="8" t="n">
        <x:v>1</x:v>
      </x:c>
      <x:c r="F31" s="8" t="n">
        <x:v>5</x:v>
      </x:c>
      <x:c r="G31" s="7" t="n">
        <x:v>44580</x:v>
      </x:c>
      <x:c r="H31" s="2" t="str">
        <x:v>https://www.sec.gov/Archives/edgar/data/80424/000008042422000016/pg-20211231.htm</x:v>
      </x:c>
    </x:row>
    <x:row r="32" ht="26" customHeight="1">
      <x:c r="A32" s="2"/>
      <x:c r="B32" s="7" t="n">
        <x:v>44561</x:v>
      </x:c>
      <x:c r="C32" s="2" t="str">
        <x:v>Corporate</x:v>
      </x:c>
      <x:c r="D32" s="8"/>
      <x:c r="E32" s="8"/>
      <x:c r="F32" s="8"/>
      <x:c r="G32" s="7" t="n">
        <x:v>44580</x:v>
      </x:c>
      <x:c r="H32" s="2" t="str">
        <x:v>https://www.sec.gov/Archives/edgar/data/80424/000008042422000016/pg-20211231.htm</x:v>
      </x:c>
    </x:row>
    <x:row r="33" ht="26" customHeight="1">
      <x:c r="A33" s="2"/>
      <x:c r="B33" s="7" t="n">
        <x:v>44561</x:v>
      </x:c>
      <x:c r="C33" s="2" t="str">
        <x:v>Total Company</x:v>
      </x:c>
      <x:c r="D33" s="8" t="n">
        <x:v>3</x:v>
      </x:c>
      <x:c r="E33" s="8" t="n">
        <x:v>3</x:v>
      </x:c>
      <x:c r="F33" s="8" t="n">
        <x:v>6</x:v>
      </x:c>
      <x:c r="G33" s="7" t="n">
        <x:v>44580</x:v>
      </x:c>
      <x:c r="H33" s="2" t="str">
        <x:v>https://www.sec.gov/Archives/edgar/data/80424/000008042422000016/pg-20211231.htm</x:v>
      </x:c>
    </x:row>
    <x:row r="34" ht="26" customHeight="1">
      <x:c r="A34" s="2"/>
      <x:c r="B34" s="7" t="n">
        <x:v>44651</x:v>
      </x:c>
      <x:c r="C34" s="2" t="str">
        <x:v>Beauty</x:v>
      </x:c>
      <x:c r="D34" s="8" t="n">
        <x:v>4</x:v>
      </x:c>
      <x:c r="E34" s="8" t="n">
        <x:v>-1</x:v>
      </x:c>
      <x:c r="F34" s="8" t="n">
        <x:v>3</x:v>
      </x:c>
      <x:c r="G34" s="7" t="n">
        <x:v>44671</x:v>
      </x:c>
      <x:c r="H34" s="2" t="str">
        <x:v>https://www.sec.gov/Archives/edgar/data/80424/000008042422000035/pg-20220331.htm</x:v>
      </x:c>
    </x:row>
    <x:row r="35" ht="26" customHeight="1">
      <x:c r="A35" s="2"/>
      <x:c r="B35" s="7" t="n">
        <x:v>44651</x:v>
      </x:c>
      <x:c r="C35" s="2" t="str">
        <x:v>Grooming</x:v>
      </x:c>
      <x:c r="D35" s="8" t="n">
        <x:v>6</x:v>
      </x:c>
      <x:c r="E35" s="8" t="n">
        <x:v>1</x:v>
      </x:c>
      <x:c r="F35" s="8" t="n">
        <x:v>8</x:v>
      </x:c>
      <x:c r="G35" s="7" t="n">
        <x:v>44671</x:v>
      </x:c>
      <x:c r="H35" s="2" t="str">
        <x:v>https://www.sec.gov/Archives/edgar/data/80424/000008042422000035/pg-20220331.htm</x:v>
      </x:c>
    </x:row>
    <x:row r="36" ht="26" customHeight="1">
      <x:c r="A36" s="2"/>
      <x:c r="B36" s="7" t="n">
        <x:v>44651</x:v>
      </x:c>
      <x:c r="C36" s="2" t="str">
        <x:v>Health Care</x:v>
      </x:c>
      <x:c r="D36" s="8" t="n">
        <x:v>3</x:v>
      </x:c>
      <x:c r="E36" s="8" t="n">
        <x:v>8</x:v>
      </x:c>
      <x:c r="F36" s="8" t="n">
        <x:v>16</x:v>
      </x:c>
      <x:c r="G36" s="7" t="n">
        <x:v>44671</x:v>
      </x:c>
      <x:c r="H36" s="2" t="str">
        <x:v>https://www.sec.gov/Archives/edgar/data/80424/000008042422000035/pg-20220331.htm</x:v>
      </x:c>
    </x:row>
    <x:row r="37" ht="26" customHeight="1">
      <x:c r="A37" s="2"/>
      <x:c r="B37" s="7" t="n">
        <x:v>44651</x:v>
      </x:c>
      <x:c r="C37" s="2" t="str">
        <x:v>Fabric &amp; Home Care</x:v>
      </x:c>
      <x:c r="D37" s="8" t="n">
        <x:v>5</x:v>
      </x:c>
      <x:c r="E37" s="8" t="n">
        <x:v>5</x:v>
      </x:c>
      <x:c r="F37" s="8" t="n">
        <x:v>10</x:v>
      </x:c>
      <x:c r="G37" s="7" t="n">
        <x:v>44671</x:v>
      </x:c>
      <x:c r="H37" s="2" t="str">
        <x:v>https://www.sec.gov/Archives/edgar/data/80424/000008042422000035/pg-20220331.htm</x:v>
      </x:c>
    </x:row>
    <x:row r="38" ht="26" customHeight="1">
      <x:c r="A38" s="2"/>
      <x:c r="B38" s="7" t="n">
        <x:v>44651</x:v>
      </x:c>
      <x:c r="C38" s="2" t="str">
        <x:v>Baby, Feminine &amp; Family Care</x:v>
      </x:c>
      <x:c r="D38" s="8" t="n">
        <x:v>5</x:v>
      </x:c>
      <x:c r="E38" s="8" t="n">
        <x:v>2</x:v>
      </x:c>
      <x:c r="F38" s="8" t="n">
        <x:v>10</x:v>
      </x:c>
      <x:c r="G38" s="7" t="n">
        <x:v>44671</x:v>
      </x:c>
      <x:c r="H38" s="2" t="str">
        <x:v>https://www.sec.gov/Archives/edgar/data/80424/000008042422000035/pg-20220331.htm</x:v>
      </x:c>
    </x:row>
    <x:row r="39" ht="26" customHeight="1">
      <x:c r="A39" s="2"/>
      <x:c r="B39" s="7" t="n">
        <x:v>44651</x:v>
      </x:c>
      <x:c r="C39" s="2" t="str">
        <x:v>Corporate</x:v>
      </x:c>
      <x:c r="D39" s="8"/>
      <x:c r="E39" s="8"/>
      <x:c r="F39" s="8"/>
      <x:c r="G39" s="7" t="n">
        <x:v>44671</x:v>
      </x:c>
      <x:c r="H39" s="2" t="str">
        <x:v>https://www.sec.gov/Archives/edgar/data/80424/000008042422000035/pg-20220331.htm</x:v>
      </x:c>
    </x:row>
    <x:row r="40" ht="26" customHeight="1">
      <x:c r="A40" s="2"/>
      <x:c r="B40" s="7" t="n">
        <x:v>44651</x:v>
      </x:c>
      <x:c r="C40" s="2" t="str">
        <x:v>Total Company</x:v>
      </x:c>
      <x:c r="D40" s="8" t="n">
        <x:v>5</x:v>
      </x:c>
      <x:c r="E40" s="8" t="n">
        <x:v>3</x:v>
      </x:c>
      <x:c r="F40" s="8" t="n">
        <x:v>10</x:v>
      </x:c>
      <x:c r="G40" s="7" t="n">
        <x:v>44671</x:v>
      </x:c>
      <x:c r="H40" s="2" t="str">
        <x:v>https://www.sec.gov/Archives/edgar/data/80424/000008042422000035/pg-20220331.htm</x:v>
      </x:c>
    </x:row>
    <x:row r="41" ht="26" customHeight="1">
      <x:c r="A41" s="2"/>
      <x:c r="B41" s="7" t="n">
        <x:v>44742</x:v>
      </x:c>
      <x:c r="C41" s="2" t="str">
        <x:v>Beauty</x:v>
      </x:c>
      <x:c r="D41" s="8" t="n">
        <x:v>6</x:v>
      </x:c>
      <x:c r="E41" s="8" t="n">
        <x:v>-2</x:v>
      </x:c>
      <x:c r="F41" s="8" t="n">
        <x:v>0</x:v>
      </x:c>
      <x:c r="G41" s="7" t="n">
        <x:v>44771</x:v>
      </x:c>
      <x:c r="H41" s="2" t="str">
        <x:v>https://www.sec.gov/Archives/edgar/data/80424/000008042422000051/fy2122q4amj8-kexhibit991.htm</x:v>
      </x:c>
    </x:row>
    <x:row r="42" ht="26" customHeight="1">
      <x:c r="A42" s="2"/>
      <x:c r="B42" s="7" t="n">
        <x:v>44742</x:v>
      </x:c>
      <x:c r="C42" s="2" t="str">
        <x:v>Grooming</x:v>
      </x:c>
      <x:c r="D42" s="8" t="n">
        <x:v>6</x:v>
      </x:c>
      <x:c r="E42" s="8" t="n">
        <x:v>-2</x:v>
      </x:c>
      <x:c r="F42" s="8" t="n">
        <x:v>3</x:v>
      </x:c>
      <x:c r="G42" s="7" t="n">
        <x:v>44771</x:v>
      </x:c>
      <x:c r="H42" s="2" t="str">
        <x:v>https://www.sec.gov/Archives/edgar/data/80424/000008042422000051/fy2122q4amj8-kexhibit991.htm</x:v>
      </x:c>
    </x:row>
    <x:row r="43" ht="26" customHeight="1">
      <x:c r="A43" s="2"/>
      <x:c r="B43" s="7" t="n">
        <x:v>44742</x:v>
      </x:c>
      <x:c r="C43" s="2" t="str">
        <x:v>Health Care</x:v>
      </x:c>
      <x:c r="D43" s="8" t="n">
        <x:v>5</x:v>
      </x:c>
      <x:c r="E43" s="8" t="n">
        <x:v>0</x:v>
      </x:c>
      <x:c r="F43" s="8" t="n">
        <x:v>9</x:v>
      </x:c>
      <x:c r="G43" s="7" t="n">
        <x:v>44771</x:v>
      </x:c>
      <x:c r="H43" s="2" t="str">
        <x:v>https://www.sec.gov/Archives/edgar/data/80424/000008042422000051/fy2122q4amj8-kexhibit991.htm</x:v>
      </x:c>
    </x:row>
    <x:row r="44" ht="26" customHeight="1">
      <x:c r="A44" s="2"/>
      <x:c r="B44" s="7" t="n">
        <x:v>44742</x:v>
      </x:c>
      <x:c r="C44" s="2" t="str">
        <x:v>Fabric &amp; Home Care</x:v>
      </x:c>
      <x:c r="D44" s="8" t="n">
        <x:v>10</x:v>
      </x:c>
      <x:c r="E44" s="8" t="n">
        <x:v>-1</x:v>
      </x:c>
      <x:c r="F44" s="8" t="n">
        <x:v>9</x:v>
      </x:c>
      <x:c r="G44" s="7" t="n">
        <x:v>44771</x:v>
      </x:c>
      <x:c r="H44" s="2" t="str">
        <x:v>https://www.sec.gov/Archives/edgar/data/80424/000008042422000051/fy2122q4amj8-kexhibit991.htm</x:v>
      </x:c>
    </x:row>
    <x:row r="45" ht="26" customHeight="1">
      <x:c r="A45" s="2"/>
      <x:c r="B45" s="7" t="n">
        <x:v>44742</x:v>
      </x:c>
      <x:c r="C45" s="2" t="str">
        <x:v>Baby, Feminine &amp; Family Care</x:v>
      </x:c>
      <x:c r="D45" s="8" t="n">
        <x:v>6</x:v>
      </x:c>
      <x:c r="E45" s="8" t="n">
        <x:v>0</x:v>
      </x:c>
      <x:c r="F45" s="8" t="n">
        <x:v>7</x:v>
      </x:c>
      <x:c r="G45" s="7" t="n">
        <x:v>44771</x:v>
      </x:c>
      <x:c r="H45" s="2" t="str">
        <x:v>https://www.sec.gov/Archives/edgar/data/80424/000008042422000051/fy2122q4amj8-kexhibit991.htm</x:v>
      </x:c>
    </x:row>
    <x:row r="46" ht="26" customHeight="1">
      <x:c r="A46" s="2"/>
      <x:c r="B46" s="7" t="n">
        <x:v>44742</x:v>
      </x:c>
      <x:c r="C46" s="2" t="str">
        <x:v>Corporate</x:v>
      </x:c>
      <x:c r="D46" s="8"/>
      <x:c r="E46" s="8"/>
      <x:c r="F46" s="8"/>
      <x:c r="G46" s="7" t="n">
        <x:v>44771</x:v>
      </x:c>
      <x:c r="H46" s="2" t="str">
        <x:v>https://www.sec.gov/Archives/edgar/data/80424/000008042422000051/fy2122q4amj8-kexhibit991.htm</x:v>
      </x:c>
    </x:row>
    <x:row r="47" ht="26" customHeight="1">
      <x:c r="A47" s="2"/>
      <x:c r="B47" s="7" t="n">
        <x:v>44742</x:v>
      </x:c>
      <x:c r="C47" s="2" t="str">
        <x:v>Total Company</x:v>
      </x:c>
      <x:c r="D47" s="8" t="n">
        <x:v>8</x:v>
      </x:c>
      <x:c r="E47" s="8" t="n">
        <x:v>-1</x:v>
      </x:c>
      <x:c r="F47" s="8" t="n">
        <x:v>7</x:v>
      </x:c>
      <x:c r="G47" s="7" t="n">
        <x:v>44771</x:v>
      </x:c>
      <x:c r="H47" s="2" t="str">
        <x:v>https://www.sec.gov/Archives/edgar/data/80424/000008042422000051/fy2122q4amj8-kexhibit991.htm</x:v>
      </x:c>
    </x:row>
    <x:row r="48" ht="26" customHeight="1">
      <x:c r="A48" s="2"/>
      <x:c r="B48" s="7" t="n">
        <x:v>44834</x:v>
      </x:c>
      <x:c r="C48" s="2" t="str">
        <x:v>Beauty</x:v>
      </x:c>
      <x:c r="D48" s="8" t="n">
        <x:v>7</x:v>
      </x:c>
      <x:c r="E48" s="8" t="n">
        <x:v>-1</x:v>
      </x:c>
      <x:c r="F48" s="8" t="n">
        <x:v>4</x:v>
      </x:c>
      <x:c r="G48" s="7" t="n">
        <x:v>44853</x:v>
      </x:c>
      <x:c r="H48" s="2" t="str">
        <x:v>https://www.sec.gov/Archives/edgar/data/80424/000008042422000102/pg-20220930.htm</x:v>
      </x:c>
    </x:row>
    <x:row r="49" ht="26" customHeight="1">
      <x:c r="A49" s="2"/>
      <x:c r="B49" s="7" t="n">
        <x:v>44834</x:v>
      </x:c>
      <x:c r="C49" s="2" t="str">
        <x:v>Grooming</x:v>
      </x:c>
      <x:c r="D49" s="8" t="n">
        <x:v>8</x:v>
      </x:c>
      <x:c r="E49" s="8" t="n">
        <x:v>1</x:v>
      </x:c>
      <x:c r="F49" s="8" t="n">
        <x:v>5</x:v>
      </x:c>
      <x:c r="G49" s="7" t="n">
        <x:v>44853</x:v>
      </x:c>
      <x:c r="H49" s="2" t="str">
        <x:v>https://www.sec.gov/Archives/edgar/data/80424/000008042422000102/pg-20220930.htm</x:v>
      </x:c>
    </x:row>
    <x:row r="50" ht="26" customHeight="1">
      <x:c r="A50" s="2"/>
      <x:c r="B50" s="7" t="n">
        <x:v>44834</x:v>
      </x:c>
      <x:c r="C50" s="2" t="str">
        <x:v>Health Care</x:v>
      </x:c>
      <x:c r="D50" s="8" t="n">
        <x:v>6</x:v>
      </x:c>
      <x:c r="E50" s="8" t="n">
        <x:v>-2</x:v>
      </x:c>
      <x:c r="F50" s="8" t="n">
        <x:v>8</x:v>
      </x:c>
      <x:c r="G50" s="7" t="n">
        <x:v>44853</x:v>
      </x:c>
      <x:c r="H50" s="2" t="str">
        <x:v>https://www.sec.gov/Archives/edgar/data/80424/000008042422000102/pg-20220930.htm</x:v>
      </x:c>
    </x:row>
    <x:row r="51" ht="26" customHeight="1">
      <x:c r="A51" s="2"/>
      <x:c r="B51" s="7" t="n">
        <x:v>44834</x:v>
      </x:c>
      <x:c r="C51" s="2" t="str">
        <x:v>Fabric &amp; Home Care</x:v>
      </x:c>
      <x:c r="D51" s="8" t="n">
        <x:v>11</x:v>
      </x:c>
      <x:c r="E51" s="8" t="n">
        <x:v>-4</x:v>
      </x:c>
      <x:c r="F51" s="8" t="n">
        <x:v>8</x:v>
      </x:c>
      <x:c r="G51" s="7" t="n">
        <x:v>44853</x:v>
      </x:c>
      <x:c r="H51" s="2" t="str">
        <x:v>https://www.sec.gov/Archives/edgar/data/80424/000008042422000102/pg-20220930.htm</x:v>
      </x:c>
    </x:row>
    <x:row r="52" ht="26" customHeight="1">
      <x:c r="A52" s="2"/>
      <x:c r="B52" s="7" t="n">
        <x:v>44834</x:v>
      </x:c>
      <x:c r="C52" s="2" t="str">
        <x:v>Baby, Feminine &amp; Family Care</x:v>
      </x:c>
      <x:c r="D52" s="8" t="n">
        <x:v>8</x:v>
      </x:c>
      <x:c r="E52" s="8" t="n">
        <x:v>-3</x:v>
      </x:c>
      <x:c r="F52" s="8" t="n">
        <x:v>6</x:v>
      </x:c>
      <x:c r="G52" s="7" t="n">
        <x:v>44853</x:v>
      </x:c>
      <x:c r="H52" s="2" t="str">
        <x:v>https://www.sec.gov/Archives/edgar/data/80424/000008042422000102/pg-20220930.htm</x:v>
      </x:c>
    </x:row>
    <x:row r="53" ht="26" customHeight="1">
      <x:c r="A53" s="2"/>
      <x:c r="B53" s="7" t="n">
        <x:v>44834</x:v>
      </x:c>
      <x:c r="C53" s="2" t="str">
        <x:v>Corporate</x:v>
      </x:c>
      <x:c r="D53" s="8"/>
      <x:c r="E53" s="8"/>
      <x:c r="F53" s="8"/>
      <x:c r="G53" s="7" t="n">
        <x:v>44853</x:v>
      </x:c>
      <x:c r="H53" s="2" t="str">
        <x:v>https://www.sec.gov/Archives/edgar/data/80424/000008042422000102/pg-20220930.htm</x:v>
      </x:c>
    </x:row>
    <x:row r="54" ht="26" customHeight="1">
      <x:c r="A54" s="2"/>
      <x:c r="B54" s="7" t="n">
        <x:v>44834</x:v>
      </x:c>
      <x:c r="C54" s="2" t="str">
        <x:v>Total Company</x:v>
      </x:c>
      <x:c r="D54" s="8" t="n">
        <x:v>9</x:v>
      </x:c>
      <x:c r="E54" s="8" t="n">
        <x:v>-3</x:v>
      </x:c>
      <x:c r="F54" s="8" t="n">
        <x:v>7</x:v>
      </x:c>
      <x:c r="G54" s="7" t="n">
        <x:v>44853</x:v>
      </x:c>
      <x:c r="H54" s="2" t="str">
        <x:v>https://www.sec.gov/Archives/edgar/data/80424/000008042422000102/pg-20220930.htm</x:v>
      </x:c>
    </x:row>
    <x:row r="55" ht="26" customHeight="1">
      <x:c r="A55" s="2"/>
      <x:c r="B55" s="7" t="n">
        <x:v>44926</x:v>
      </x:c>
      <x:c r="C55" s="2" t="str">
        <x:v>Beauty</x:v>
      </x:c>
      <x:c r="D55" s="8" t="n">
        <x:v>9</x:v>
      </x:c>
      <x:c r="E55" s="8" t="n">
        <x:v>-4</x:v>
      </x:c>
      <x:c r="F55" s="8" t="n">
        <x:v>3</x:v>
      </x:c>
      <x:c r="G55" s="7" t="n">
        <x:v>44945</x:v>
      </x:c>
      <x:c r="H55" s="2" t="str">
        <x:v>https://www.sec.gov/Archives/edgar/data/80424/000008042423000014/pg-20221231.htm</x:v>
      </x:c>
    </x:row>
    <x:row r="56" ht="26" customHeight="1">
      <x:c r="A56" s="2"/>
      <x:c r="B56" s="7" t="n">
        <x:v>44926</x:v>
      </x:c>
      <x:c r="C56" s="2" t="str">
        <x:v>Grooming</x:v>
      </x:c>
      <x:c r="D56" s="8" t="n">
        <x:v>11</x:v>
      </x:c>
      <x:c r="E56" s="8" t="n">
        <x:v>-8</x:v>
      </x:c>
      <x:c r="F56" s="8" t="n">
        <x:v>0</x:v>
      </x:c>
      <x:c r="G56" s="7" t="n">
        <x:v>44945</x:v>
      </x:c>
      <x:c r="H56" s="2" t="str">
        <x:v>https://www.sec.gov/Archives/edgar/data/80424/000008042423000014/pg-20221231.htm</x:v>
      </x:c>
    </x:row>
    <x:row r="57" ht="26" customHeight="1">
      <x:c r="A57" s="2"/>
      <x:c r="B57" s="7" t="n">
        <x:v>44926</x:v>
      </x:c>
      <x:c r="C57" s="2" t="str">
        <x:v>Health Care</x:v>
      </x:c>
      <x:c r="D57" s="8" t="n">
        <x:v>5</x:v>
      </x:c>
      <x:c r="E57" s="8" t="n">
        <x:v>-1</x:v>
      </x:c>
      <x:c r="F57" s="8" t="n">
        <x:v>8</x:v>
      </x:c>
      <x:c r="G57" s="7" t="n">
        <x:v>44945</x:v>
      </x:c>
      <x:c r="H57" s="2" t="str">
        <x:v>https://www.sec.gov/Archives/edgar/data/80424/000008042423000014/pg-20221231.htm</x:v>
      </x:c>
    </x:row>
    <x:row r="58" ht="26" customHeight="1">
      <x:c r="A58" s="2"/>
      <x:c r="B58" s="7" t="n">
        <x:v>44926</x:v>
      </x:c>
      <x:c r="C58" s="2" t="str">
        <x:v>Fabric &amp; Home Care</x:v>
      </x:c>
      <x:c r="D58" s="8" t="n">
        <x:v>13</x:v>
      </x:c>
      <x:c r="E58" s="8" t="n">
        <x:v>-7</x:v>
      </x:c>
      <x:c r="F58" s="8" t="n">
        <x:v>8</x:v>
      </x:c>
      <x:c r="G58" s="7" t="n">
        <x:v>44945</x:v>
      </x:c>
      <x:c r="H58" s="2" t="str">
        <x:v>https://www.sec.gov/Archives/edgar/data/80424/000008042423000014/pg-20221231.htm</x:v>
      </x:c>
    </x:row>
    <x:row r="59" ht="26" customHeight="1">
      <x:c r="A59" s="2"/>
      <x:c r="B59" s="7" t="n">
        <x:v>44926</x:v>
      </x:c>
      <x:c r="C59" s="2" t="str">
        <x:v>Baby, Feminine &amp; Family Care</x:v>
      </x:c>
      <x:c r="D59" s="8" t="n">
        <x:v>8</x:v>
      </x:c>
      <x:c r="E59" s="8" t="n">
        <x:v>-6</x:v>
      </x:c>
      <x:c r="F59" s="8" t="n">
        <x:v>4</x:v>
      </x:c>
      <x:c r="G59" s="7" t="n">
        <x:v>44945</x:v>
      </x:c>
      <x:c r="H59" s="2" t="str">
        <x:v>https://www.sec.gov/Archives/edgar/data/80424/000008042423000014/pg-20221231.htm</x:v>
      </x:c>
    </x:row>
    <x:row r="60" ht="26" customHeight="1">
      <x:c r="A60" s="2"/>
      <x:c r="B60" s="7" t="n">
        <x:v>44926</x:v>
      </x:c>
      <x:c r="C60" s="2" t="str">
        <x:v>Corporate</x:v>
      </x:c>
      <x:c r="D60" s="8"/>
      <x:c r="E60" s="8"/>
      <x:c r="F60" s="8"/>
      <x:c r="G60" s="7" t="n">
        <x:v>44945</x:v>
      </x:c>
      <x:c r="H60" s="2" t="str">
        <x:v>https://www.sec.gov/Archives/edgar/data/80424/000008042423000014/pg-20221231.htm</x:v>
      </x:c>
    </x:row>
    <x:row r="61" ht="26" customHeight="1">
      <x:c r="A61" s="2"/>
      <x:c r="B61" s="7" t="n">
        <x:v>44926</x:v>
      </x:c>
      <x:c r="C61" s="2" t="str">
        <x:v>Total Company</x:v>
      </x:c>
      <x:c r="D61" s="8" t="n">
        <x:v>10</x:v>
      </x:c>
      <x:c r="E61" s="8" t="n">
        <x:v>-6</x:v>
      </x:c>
      <x:c r="F61" s="8" t="n">
        <x:v>5</x:v>
      </x:c>
      <x:c r="G61" s="7" t="n">
        <x:v>44945</x:v>
      </x:c>
      <x:c r="H61" s="2" t="str">
        <x:v>https://www.sec.gov/Archives/edgar/data/80424/000008042423000014/pg-20221231.htm</x:v>
      </x:c>
    </x:row>
    <x:row r="62" ht="26" customHeight="1">
      <x:c r="A62" s="2"/>
      <x:c r="B62" s="7" t="n">
        <x:v>45016</x:v>
      </x:c>
      <x:c r="C62" s="2" t="str">
        <x:v>Beauty</x:v>
      </x:c>
      <x:c r="D62" s="8" t="n">
        <x:v>8</x:v>
      </x:c>
      <x:c r="E62" s="8" t="n">
        <x:v>0</x:v>
      </x:c>
      <x:c r="F62" s="8" t="n">
        <x:v>7</x:v>
      </x:c>
      <x:c r="G62" s="7" t="n">
        <x:v>45037</x:v>
      </x:c>
      <x:c r="H62" s="2" t="str">
        <x:v>https://www.sec.gov/Archives/edgar/data/80424/000008042423000046/pg-20230331.htm</x:v>
      </x:c>
    </x:row>
    <x:row r="63" ht="26" customHeight="1">
      <x:c r="A63" s="2"/>
      <x:c r="B63" s="7" t="n">
        <x:v>45016</x:v>
      </x:c>
      <x:c r="C63" s="2" t="str">
        <x:v>Grooming</x:v>
      </x:c>
      <x:c r="D63" s="8" t="n">
        <x:v>10</x:v>
      </x:c>
      <x:c r="E63" s="8" t="n">
        <x:v>-1</x:v>
      </x:c>
      <x:c r="F63" s="8" t="n">
        <x:v>7</x:v>
      </x:c>
      <x:c r="G63" s="7" t="n">
        <x:v>45037</x:v>
      </x:c>
      <x:c r="H63" s="2" t="str">
        <x:v>https://www.sec.gov/Archives/edgar/data/80424/000008042423000046/pg-20230331.htm</x:v>
      </x:c>
    </x:row>
    <x:row r="64" ht="26" customHeight="1">
      <x:c r="A64" s="2"/>
      <x:c r="B64" s="7" t="n">
        <x:v>45016</x:v>
      </x:c>
      <x:c r="C64" s="2" t="str">
        <x:v>Health Care</x:v>
      </x:c>
      <x:c r="D64" s="8" t="n">
        <x:v>6</x:v>
      </x:c>
      <x:c r="E64" s="8" t="n">
        <x:v>1</x:v>
      </x:c>
      <x:c r="F64" s="8" t="n">
        <x:v>9</x:v>
      </x:c>
      <x:c r="G64" s="7" t="n">
        <x:v>45037</x:v>
      </x:c>
      <x:c r="H64" s="2" t="str">
        <x:v>https://www.sec.gov/Archives/edgar/data/80424/000008042423000046/pg-20230331.htm</x:v>
      </x:c>
    </x:row>
    <x:row r="65" ht="26" customHeight="1">
      <x:c r="A65" s="2"/>
      <x:c r="B65" s="7" t="n">
        <x:v>45016</x:v>
      </x:c>
      <x:c r="C65" s="2" t="str">
        <x:v>Fabric &amp; Home Care</x:v>
      </x:c>
      <x:c r="D65" s="8" t="n">
        <x:v>13</x:v>
      </x:c>
      <x:c r="E65" s="8" t="n">
        <x:v>-5</x:v>
      </x:c>
      <x:c r="F65" s="8" t="n">
        <x:v>9</x:v>
      </x:c>
      <x:c r="G65" s="7" t="n">
        <x:v>45037</x:v>
      </x:c>
      <x:c r="H65" s="2" t="str">
        <x:v>https://www.sec.gov/Archives/edgar/data/80424/000008042423000046/pg-20230331.htm</x:v>
      </x:c>
    </x:row>
    <x:row r="66" ht="26" customHeight="1">
      <x:c r="A66" s="2"/>
      <x:c r="B66" s="7" t="n">
        <x:v>45016</x:v>
      </x:c>
      <x:c r="C66" s="2" t="str">
        <x:v>Baby, Feminine &amp; Family Care</x:v>
      </x:c>
      <x:c r="D66" s="8" t="n">
        <x:v>8</x:v>
      </x:c>
      <x:c r="E66" s="8" t="n">
        <x:v>-4</x:v>
      </x:c>
      <x:c r="F66" s="8" t="n">
        <x:v>6</x:v>
      </x:c>
      <x:c r="G66" s="7" t="n">
        <x:v>45037</x:v>
      </x:c>
      <x:c r="H66" s="2" t="str">
        <x:v>https://www.sec.gov/Archives/edgar/data/80424/000008042423000046/pg-20230331.htm</x:v>
      </x:c>
    </x:row>
    <x:row r="67" ht="26" customHeight="1">
      <x:c r="A67" s="2"/>
      <x:c r="B67" s="7" t="n">
        <x:v>45016</x:v>
      </x:c>
      <x:c r="C67" s="2" t="str">
        <x:v>Corporate</x:v>
      </x:c>
      <x:c r="D67" s="8"/>
      <x:c r="E67" s="8"/>
      <x:c r="F67" s="8"/>
      <x:c r="G67" s="7" t="n">
        <x:v>45037</x:v>
      </x:c>
      <x:c r="H67" s="2" t="str">
        <x:v>https://www.sec.gov/Archives/edgar/data/80424/000008042423000046/pg-20230331.htm</x:v>
      </x:c>
    </x:row>
    <x:row r="68" ht="26" customHeight="1">
      <x:c r="A68" s="2"/>
      <x:c r="B68" s="7" t="n">
        <x:v>45016</x:v>
      </x:c>
      <x:c r="C68" s="2" t="str">
        <x:v>Total Company</x:v>
      </x:c>
      <x:c r="D68" s="8" t="n">
        <x:v>10</x:v>
      </x:c>
      <x:c r="E68" s="8" t="n">
        <x:v>-3</x:v>
      </x:c>
      <x:c r="F68" s="8" t="n">
        <x:v>7</x:v>
      </x:c>
      <x:c r="G68" s="7" t="n">
        <x:v>45037</x:v>
      </x:c>
      <x:c r="H68" s="2" t="str">
        <x:v>https://www.sec.gov/Archives/edgar/data/80424/000008042423000046/pg-20230331.htm</x:v>
      </x:c>
    </x:row>
    <x:row r="69" ht="26" customHeight="1">
      <x:c r="A69" s="2"/>
      <x:c r="B69" s="7" t="n">
        <x:v>45107</x:v>
      </x:c>
      <x:c r="C69" s="2" t="str">
        <x:v>Beauty</x:v>
      </x:c>
      <x:c r="D69" s="8" t="n">
        <x:v>8</x:v>
      </x:c>
      <x:c r="E69" s="8" t="n">
        <x:v>-1</x:v>
      </x:c>
      <x:c r="F69" s="8" t="n">
        <x:v>11</x:v>
      </x:c>
      <x:c r="G69" s="7" t="n">
        <x:v>45135</x:v>
      </x:c>
      <x:c r="H69" s="2" t="str">
        <x:v>https://www.sec.gov/Archives/edgar/data/80424/000008042423000059/fy2223q4amj8-kexhibit991.htm</x:v>
      </x:c>
    </x:row>
    <x:row r="70" ht="26" customHeight="1">
      <x:c r="A70" s="2"/>
      <x:c r="B70" s="7" t="n">
        <x:v>45107</x:v>
      </x:c>
      <x:c r="C70" s="2" t="str">
        <x:v>Grooming</x:v>
      </x:c>
      <x:c r="D70" s="8" t="n">
        <x:v>9</x:v>
      </x:c>
      <x:c r="E70" s="8" t="n">
        <x:v>-1</x:v>
      </x:c>
      <x:c r="F70" s="8" t="n">
        <x:v>8</x:v>
      </x:c>
      <x:c r="G70" s="7" t="n">
        <x:v>45135</x:v>
      </x:c>
      <x:c r="H70" s="2" t="str">
        <x:v>https://www.sec.gov/Archives/edgar/data/80424/000008042423000059/fy2223q4amj8-kexhibit991.htm</x:v>
      </x:c>
    </x:row>
    <x:row r="71" ht="26" customHeight="1">
      <x:c r="A71" s="2"/>
      <x:c r="B71" s="7" t="n">
        <x:v>45107</x:v>
      </x:c>
      <x:c r="C71" s="2" t="str">
        <x:v>Health Care</x:v>
      </x:c>
      <x:c r="D71" s="8" t="n">
        <x:v>6</x:v>
      </x:c>
      <x:c r="E71" s="8" t="n">
        <x:v>-3</x:v>
      </x:c>
      <x:c r="F71" s="8" t="n">
        <x:v>5</x:v>
      </x:c>
      <x:c r="G71" s="7" t="n">
        <x:v>45135</x:v>
      </x:c>
      <x:c r="H71" s="2" t="str">
        <x:v>https://www.sec.gov/Archives/edgar/data/80424/000008042423000059/fy2223q4amj8-kexhibit991.htm</x:v>
      </x:c>
    </x:row>
    <x:row r="72" ht="26" customHeight="1">
      <x:c r="A72" s="2"/>
      <x:c r="B72" s="7" t="n">
        <x:v>45107</x:v>
      </x:c>
      <x:c r="C72" s="2" t="str">
        <x:v>Fabric &amp; Home Care</x:v>
      </x:c>
      <x:c r="D72" s="8" t="n">
        <x:v>6</x:v>
      </x:c>
      <x:c r="E72" s="8" t="n">
        <x:v>-2</x:v>
      </x:c>
      <x:c r="F72" s="8" t="n">
        <x:v>8</x:v>
      </x:c>
      <x:c r="G72" s="7" t="n">
        <x:v>45135</x:v>
      </x:c>
      <x:c r="H72" s="2" t="str">
        <x:v>https://www.sec.gov/Archives/edgar/data/80424/000008042423000059/fy2223q4amj8-kexhibit991.htm</x:v>
      </x:c>
    </x:row>
    <x:row r="73" ht="26" customHeight="1">
      <x:c r="A73" s="2"/>
      <x:c r="B73" s="7" t="n">
        <x:v>45107</x:v>
      </x:c>
      <x:c r="C73" s="2" t="str">
        <x:v>Baby, Feminine &amp; Family Care</x:v>
      </x:c>
      <x:c r="D73" s="8" t="n">
        <x:v>8</x:v>
      </x:c>
      <x:c r="E73" s="8" t="n">
        <x:v>0</x:v>
      </x:c>
      <x:c r="F73" s="8" t="n">
        <x:v>9</x:v>
      </x:c>
      <x:c r="G73" s="7" t="n">
        <x:v>45135</x:v>
      </x:c>
      <x:c r="H73" s="2" t="str">
        <x:v>https://www.sec.gov/Archives/edgar/data/80424/000008042423000059/fy2223q4amj8-kexhibit991.htm</x:v>
      </x:c>
    </x:row>
    <x:row r="74" ht="26" customHeight="1">
      <x:c r="A74" s="2"/>
      <x:c r="B74" s="7" t="n">
        <x:v>45107</x:v>
      </x:c>
      <x:c r="C74" s="2" t="str">
        <x:v>Corporate</x:v>
      </x:c>
      <x:c r="D74" s="8"/>
      <x:c r="E74" s="8"/>
      <x:c r="F74" s="8"/>
      <x:c r="G74" s="7" t="n">
        <x:v>45135</x:v>
      </x:c>
      <x:c r="H74" s="2" t="str">
        <x:v>https://www.sec.gov/Archives/edgar/data/80424/000008042423000059/fy2223q4amj8-kexhibit991.htm</x:v>
      </x:c>
    </x:row>
    <x:row r="75" ht="26" customHeight="1">
      <x:c r="A75" s="2"/>
      <x:c r="B75" s="7" t="n">
        <x:v>45107</x:v>
      </x:c>
      <x:c r="C75" s="2" t="str">
        <x:v>Total Company</x:v>
      </x:c>
      <x:c r="D75" s="8" t="n">
        <x:v>7</x:v>
      </x:c>
      <x:c r="E75" s="8" t="n">
        <x:v>-1</x:v>
      </x:c>
      <x:c r="F75" s="8" t="n">
        <x:v>8</x:v>
      </x:c>
      <x:c r="G75" s="7" t="n">
        <x:v>45135</x:v>
      </x:c>
      <x:c r="H75" s="2" t="str">
        <x:v>https://www.sec.gov/Archives/edgar/data/80424/000008042423000059/fy2223q4amj8-kexhibit991.htm</x:v>
      </x:c>
    </x:row>
    <x:row r="76" ht="26" customHeight="1">
      <x:c r="A76" s="2"/>
      <x:c r="B76" s="7" t="n">
        <x:v>45199</x:v>
      </x:c>
      <x:c r="C76" s="2" t="str">
        <x:v>Beauty</x:v>
      </x:c>
      <x:c r="D76" s="8" t="n">
        <x:v>7</x:v>
      </x:c>
      <x:c r="E76" s="8" t="n">
        <x:v>0</x:v>
      </x:c>
      <x:c r="F76" s="8" t="n">
        <x:v>5</x:v>
      </x:c>
      <x:c r="G76" s="7" t="n">
        <x:v>45217</x:v>
      </x:c>
      <x:c r="H76" s="2" t="str">
        <x:v>https://www.sec.gov/Archives/edgar/data/80424/000008042423000103/pg-20230930.htm</x:v>
      </x:c>
    </x:row>
    <x:row r="77" ht="26" customHeight="1">
      <x:c r="A77" s="2"/>
      <x:c r="B77" s="7" t="n">
        <x:v>45199</x:v>
      </x:c>
      <x:c r="C77" s="2" t="str">
        <x:v>Grooming</x:v>
      </x:c>
      <x:c r="D77" s="8" t="n">
        <x:v>9</x:v>
      </x:c>
      <x:c r="E77" s="8" t="n">
        <x:v>-2</x:v>
      </x:c>
      <x:c r="F77" s="8" t="n">
        <x:v>9</x:v>
      </x:c>
      <x:c r="G77" s="7" t="n">
        <x:v>45217</x:v>
      </x:c>
      <x:c r="H77" s="2" t="str">
        <x:v>https://www.sec.gov/Archives/edgar/data/80424/000008042423000103/pg-20230930.htm</x:v>
      </x:c>
    </x:row>
    <x:row r="78" ht="26" customHeight="1">
      <x:c r="A78" s="2"/>
      <x:c r="B78" s="7" t="n">
        <x:v>45199</x:v>
      </x:c>
      <x:c r="C78" s="2" t="str">
        <x:v>Health Care</x:v>
      </x:c>
      <x:c r="D78" s="8" t="n">
        <x:v>6</x:v>
      </x:c>
      <x:c r="E78" s="8" t="n">
        <x:v>2</x:v>
      </x:c>
      <x:c r="F78" s="8" t="n">
        <x:v>10</x:v>
      </x:c>
      <x:c r="G78" s="7" t="n">
        <x:v>45217</x:v>
      </x:c>
      <x:c r="H78" s="2" t="str">
        <x:v>https://www.sec.gov/Archives/edgar/data/80424/000008042423000103/pg-20230930.htm</x:v>
      </x:c>
    </x:row>
    <x:row r="79" ht="26" customHeight="1">
      <x:c r="A79" s="2"/>
      <x:c r="B79" s="7" t="n">
        <x:v>45199</x:v>
      </x:c>
      <x:c r="C79" s="2" t="str">
        <x:v>Fabric &amp; Home Care</x:v>
      </x:c>
      <x:c r="D79" s="8" t="n">
        <x:v>8</x:v>
      </x:c>
      <x:c r="E79" s="8" t="n">
        <x:v>0</x:v>
      </x:c>
      <x:c r="F79" s="8" t="n">
        <x:v>9</x:v>
      </x:c>
      <x:c r="G79" s="7" t="n">
        <x:v>45217</x:v>
      </x:c>
      <x:c r="H79" s="2" t="str">
        <x:v>https://www.sec.gov/Archives/edgar/data/80424/000008042423000103/pg-20230930.htm</x:v>
      </x:c>
    </x:row>
    <x:row r="80" ht="26" customHeight="1">
      <x:c r="A80" s="2"/>
      <x:c r="B80" s="7" t="n">
        <x:v>45199</x:v>
      </x:c>
      <x:c r="C80" s="2" t="str">
        <x:v>Baby, Feminine &amp; Family Care</x:v>
      </x:c>
      <x:c r="D80" s="8" t="n">
        <x:v>8</x:v>
      </x:c>
      <x:c r="E80" s="8" t="n">
        <x:v>-3</x:v>
      </x:c>
      <x:c r="F80" s="8" t="n">
        <x:v>7</x:v>
      </x:c>
      <x:c r="G80" s="7" t="n">
        <x:v>45217</x:v>
      </x:c>
      <x:c r="H80" s="2" t="str">
        <x:v>https://www.sec.gov/Archives/edgar/data/80424/000008042423000103/pg-20230930.htm</x:v>
      </x:c>
    </x:row>
    <x:row r="81" ht="26" customHeight="1">
      <x:c r="A81" s="2"/>
      <x:c r="B81" s="7" t="n">
        <x:v>45199</x:v>
      </x:c>
      <x:c r="C81" s="2" t="str">
        <x:v>Corporate</x:v>
      </x:c>
      <x:c r="D81" s="8"/>
      <x:c r="E81" s="8"/>
      <x:c r="F81" s="8"/>
      <x:c r="G81" s="7" t="n">
        <x:v>45217</x:v>
      </x:c>
      <x:c r="H81" s="2" t="str">
        <x:v>https://www.sec.gov/Archives/edgar/data/80424/000008042423000103/pg-20230930.htm</x:v>
      </x:c>
    </x:row>
    <x:row r="82" ht="26" customHeight="1">
      <x:c r="A82" s="2"/>
      <x:c r="B82" s="7" t="n">
        <x:v>45199</x:v>
      </x:c>
      <x:c r="C82" s="2" t="str">
        <x:v>Total Company</x:v>
      </x:c>
      <x:c r="D82" s="8" t="n">
        <x:v>7</x:v>
      </x:c>
      <x:c r="E82" s="8" t="n">
        <x:v>-1</x:v>
      </x:c>
      <x:c r="F82" s="8" t="n">
        <x:v>7</x:v>
      </x:c>
      <x:c r="G82" s="7" t="n">
        <x:v>45217</x:v>
      </x:c>
      <x:c r="H82" s="2" t="str">
        <x:v>https://www.sec.gov/Archives/edgar/data/80424/000008042423000103/pg-20230930.htm</x:v>
      </x:c>
    </x:row>
    <x:row r="83" ht="26" customHeight="1">
      <x:c r="A83" s="2"/>
      <x:c r="B83" s="7" t="n">
        <x:v>45291</x:v>
      </x:c>
      <x:c r="C83" s="2" t="str">
        <x:v>Beauty</x:v>
      </x:c>
      <x:c r="D83" s="8" t="n">
        <x:v>4</x:v>
      </x:c>
      <x:c r="E83" s="8" t="n">
        <x:v>-1</x:v>
      </x:c>
      <x:c r="F83" s="8" t="n">
        <x:v>1</x:v>
      </x:c>
      <x:c r="G83" s="7" t="n">
        <x:v>45314</x:v>
      </x:c>
      <x:c r="H83" s="2" t="str">
        <x:v>https://www.sec.gov/Archives/edgar/data/80424/000008042424000018/pg-20231231.htm</x:v>
      </x:c>
    </x:row>
    <x:row r="84" ht="26" customHeight="1">
      <x:c r="A84" s="2"/>
      <x:c r="B84" s="7" t="n">
        <x:v>45291</x:v>
      </x:c>
      <x:c r="C84" s="2" t="str">
        <x:v>Grooming</x:v>
      </x:c>
      <x:c r="D84" s="8" t="n">
        <x:v>7</x:v>
      </x:c>
      <x:c r="E84" s="8" t="n">
        <x:v>1</x:v>
      </x:c>
      <x:c r="F84" s="8" t="n">
        <x:v>9</x:v>
      </x:c>
      <x:c r="G84" s="7" t="n">
        <x:v>45314</x:v>
      </x:c>
      <x:c r="H84" s="2" t="str">
        <x:v>https://www.sec.gov/Archives/edgar/data/80424/000008042424000018/pg-20231231.htm</x:v>
      </x:c>
    </x:row>
    <x:row r="85" ht="26" customHeight="1">
      <x:c r="A85" s="2"/>
      <x:c r="B85" s="7" t="n">
        <x:v>45291</x:v>
      </x:c>
      <x:c r="C85" s="2" t="str">
        <x:v>Health Care</x:v>
      </x:c>
      <x:c r="D85" s="8" t="n">
        <x:v>5</x:v>
      </x:c>
      <x:c r="E85" s="8" t="n">
        <x:v>-4</x:v>
      </x:c>
      <x:c r="F85" s="8" t="n">
        <x:v>2</x:v>
      </x:c>
      <x:c r="G85" s="7" t="n">
        <x:v>45314</x:v>
      </x:c>
      <x:c r="H85" s="2" t="str">
        <x:v>https://www.sec.gov/Archives/edgar/data/80424/000008042424000018/pg-20231231.htm</x:v>
      </x:c>
    </x:row>
    <x:row r="86" ht="26" customHeight="1">
      <x:c r="A86" s="2"/>
      <x:c r="B86" s="7" t="n">
        <x:v>45291</x:v>
      </x:c>
      <x:c r="C86" s="2" t="str">
        <x:v>Fabric &amp; Home Care</x:v>
      </x:c>
      <x:c r="D86" s="8" t="n">
        <x:v>4</x:v>
      </x:c>
      <x:c r="E86" s="8" t="n">
        <x:v>1</x:v>
      </x:c>
      <x:c r="F86" s="8" t="n">
        <x:v>6</x:v>
      </x:c>
      <x:c r="G86" s="7" t="n">
        <x:v>45314</x:v>
      </x:c>
      <x:c r="H86" s="2" t="str">
        <x:v>https://www.sec.gov/Archives/edgar/data/80424/000008042424000018/pg-20231231.htm</x:v>
      </x:c>
    </x:row>
    <x:row r="87" ht="26" customHeight="1">
      <x:c r="A87" s="2"/>
      <x:c r="B87" s="7" t="n">
        <x:v>45291</x:v>
      </x:c>
      <x:c r="C87" s="2" t="str">
        <x:v>Baby, Feminine &amp; Family Care</x:v>
      </x:c>
      <x:c r="D87" s="8" t="n">
        <x:v>4</x:v>
      </x:c>
      <x:c r="E87" s="8" t="n">
        <x:v>-2</x:v>
      </x:c>
      <x:c r="F87" s="8" t="n">
        <x:v>3</x:v>
      </x:c>
      <x:c r="G87" s="7" t="n">
        <x:v>45314</x:v>
      </x:c>
      <x:c r="H87" s="2" t="str">
        <x:v>https://www.sec.gov/Archives/edgar/data/80424/000008042424000018/pg-20231231.htm</x:v>
      </x:c>
    </x:row>
    <x:row r="88" ht="26" customHeight="1">
      <x:c r="A88" s="2"/>
      <x:c r="B88" s="7" t="n">
        <x:v>45291</x:v>
      </x:c>
      <x:c r="C88" s="2" t="str">
        <x:v>Corporate</x:v>
      </x:c>
      <x:c r="D88" s="8"/>
      <x:c r="E88" s="8"/>
      <x:c r="F88" s="8"/>
      <x:c r="G88" s="7" t="n">
        <x:v>45314</x:v>
      </x:c>
      <x:c r="H88" s="2" t="str">
        <x:v>https://www.sec.gov/Archives/edgar/data/80424/000008042424000018/pg-20231231.htm</x:v>
      </x:c>
    </x:row>
    <x:row r="89" ht="26" customHeight="1">
      <x:c r="A89" s="2"/>
      <x:c r="B89" s="7" t="n">
        <x:v>45291</x:v>
      </x:c>
      <x:c r="C89" s="2" t="str">
        <x:v>Total Company</x:v>
      </x:c>
      <x:c r="D89" s="8" t="n">
        <x:v>4</x:v>
      </x:c>
      <x:c r="E89" s="8" t="n">
        <x:v>-1</x:v>
      </x:c>
      <x:c r="F89" s="8" t="n">
        <x:v>4</x:v>
      </x:c>
      <x:c r="G89" s="7" t="n">
        <x:v>45314</x:v>
      </x:c>
      <x:c r="H89" s="2" t="str">
        <x:v>https://www.sec.gov/Archives/edgar/data/80424/000008042424000018/pg-20231231.htm</x:v>
      </x:c>
    </x:row>
    <x:row r="90" ht="26" customHeight="1">
      <x:c r="A90" s="2"/>
      <x:c r="B90" s="7" t="n">
        <x:v>45382</x:v>
      </x:c>
      <x:c r="C90" s="2" t="str">
        <x:v>Beauty</x:v>
      </x:c>
      <x:c r="D90" s="8" t="n">
        <x:v>4</x:v>
      </x:c>
      <x:c r="E90" s="8" t="n">
        <x:v>1</x:v>
      </x:c>
      <x:c r="F90" s="8" t="n">
        <x:v>3</x:v>
      </x:c>
      <x:c r="G90" s="7" t="n">
        <x:v>45401</x:v>
      </x:c>
      <x:c r="H90" s="2" t="str">
        <x:v>https://www.sec.gov/Archives/edgar/data/80424/000008042424000051/pg-20240331.htm</x:v>
      </x:c>
    </x:row>
    <x:row r="91" ht="26" customHeight="1">
      <x:c r="A91" s="2"/>
      <x:c r="B91" s="7" t="n">
        <x:v>45382</x:v>
      </x:c>
      <x:c r="C91" s="2" t="str">
        <x:v>Grooming</x:v>
      </x:c>
      <x:c r="D91" s="8" t="n">
        <x:v>10</x:v>
      </x:c>
      <x:c r="E91" s="8" t="n">
        <x:v>2</x:v>
      </x:c>
      <x:c r="F91" s="8" t="n">
        <x:v>10</x:v>
      </x:c>
      <x:c r="G91" s="7" t="n">
        <x:v>45401</x:v>
      </x:c>
      <x:c r="H91" s="2" t="str">
        <x:v>https://www.sec.gov/Archives/edgar/data/80424/000008042424000051/pg-20240331.htm</x:v>
      </x:c>
    </x:row>
    <x:row r="92" ht="26" customHeight="1">
      <x:c r="A92" s="2"/>
      <x:c r="B92" s="7" t="n">
        <x:v>45382</x:v>
      </x:c>
      <x:c r="C92" s="2" t="str">
        <x:v>Health Care</x:v>
      </x:c>
      <x:c r="D92" s="8" t="n">
        <x:v>4</x:v>
      </x:c>
      <x:c r="E92" s="8" t="n">
        <x:v>-4</x:v>
      </x:c>
      <x:c r="F92" s="8" t="n">
        <x:v>2</x:v>
      </x:c>
      <x:c r="G92" s="7" t="n">
        <x:v>45401</x:v>
      </x:c>
      <x:c r="H92" s="2" t="str">
        <x:v>https://www.sec.gov/Archives/edgar/data/80424/000008042424000051/pg-20240331.htm</x:v>
      </x:c>
    </x:row>
    <x:row r="93" ht="26" customHeight="1">
      <x:c r="A93" s="2"/>
      <x:c r="B93" s="7" t="n">
        <x:v>45382</x:v>
      </x:c>
      <x:c r="C93" s="2" t="str">
        <x:v>Fabric &amp; Home Care</x:v>
      </x:c>
      <x:c r="D93" s="8" t="n">
        <x:v>2</x:v>
      </x:c>
      <x:c r="E93" s="8" t="n">
        <x:v>1</x:v>
      </x:c>
      <x:c r="F93" s="8" t="n">
        <x:v>3</x:v>
      </x:c>
      <x:c r="G93" s="7" t="n">
        <x:v>45401</x:v>
      </x:c>
      <x:c r="H93" s="2" t="str">
        <x:v>https://www.sec.gov/Archives/edgar/data/80424/000008042424000051/pg-20240331.htm</x:v>
      </x:c>
    </x:row>
    <x:row r="94" ht="26" customHeight="1">
      <x:c r="A94" s="2"/>
      <x:c r="B94" s="7" t="n">
        <x:v>45382</x:v>
      </x:c>
      <x:c r="C94" s="2" t="str">
        <x:v>Baby, Feminine &amp; Family Care</x:v>
      </x:c>
      <x:c r="D94" s="8" t="n">
        <x:v>2</x:v>
      </x:c>
      <x:c r="E94" s="8" t="n">
        <x:v>-3</x:v>
      </x:c>
      <x:c r="F94" s="8" t="n">
        <x:v>0</x:v>
      </x:c>
      <x:c r="G94" s="7" t="n">
        <x:v>45401</x:v>
      </x:c>
      <x:c r="H94" s="2" t="str">
        <x:v>https://www.sec.gov/Archives/edgar/data/80424/000008042424000051/pg-20240331.htm</x:v>
      </x:c>
    </x:row>
    <x:row r="95" ht="26" customHeight="1">
      <x:c r="A95" s="2"/>
      <x:c r="B95" s="7" t="n">
        <x:v>45382</x:v>
      </x:c>
      <x:c r="C95" s="2" t="str">
        <x:v>Corporate</x:v>
      </x:c>
      <x:c r="D95" s="8"/>
      <x:c r="E95" s="8"/>
      <x:c r="F95" s="8"/>
      <x:c r="G95" s="7" t="n">
        <x:v>45401</x:v>
      </x:c>
      <x:c r="H95" s="2" t="str">
        <x:v>https://www.sec.gov/Archives/edgar/data/80424/000008042424000051/pg-20240331.htm</x:v>
      </x:c>
    </x:row>
    <x:row r="96" ht="26" customHeight="1">
      <x:c r="A96" s="2"/>
      <x:c r="B96" s="7" t="n">
        <x:v>45382</x:v>
      </x:c>
      <x:c r="C96" s="2" t="str">
        <x:v>Total Company</x:v>
      </x:c>
      <x:c r="D96" s="8" t="n">
        <x:v>3</x:v>
      </x:c>
      <x:c r="E96" s="8" t="n">
        <x:v>0</x:v>
      </x:c>
      <x:c r="F96" s="8" t="n">
        <x:v>3</x:v>
      </x:c>
      <x:c r="G96" s="7" t="n">
        <x:v>45401</x:v>
      </x:c>
      <x:c r="H96" s="2" t="str">
        <x:v>https://www.sec.gov/Archives/edgar/data/80424/000008042424000051/pg-20240331.htm</x:v>
      </x:c>
    </x:row>
    <x:row r="97" ht="26" customHeight="1">
      <x:c r="A97" s="2"/>
      <x:c r="B97" s="7" t="n">
        <x:v>45473</x:v>
      </x:c>
      <x:c r="C97" s="2" t="str">
        <x:v>Beauty</x:v>
      </x:c>
      <x:c r="D97" s="8" t="n">
        <x:v>3</x:v>
      </x:c>
      <x:c r="E97" s="8" t="n">
        <x:v>1</x:v>
      </x:c>
      <x:c r="F97" s="8" t="n">
        <x:v>3</x:v>
      </x:c>
      <x:c r="G97" s="7" t="n">
        <x:v>45503</x:v>
      </x:c>
      <x:c r="H97" s="2" t="str">
        <x:v>https://www.sec.gov/Archives/edgar/data/80424/000008042424000071/fy2324q4amj8-kexhibit991.htm</x:v>
      </x:c>
    </x:row>
    <x:row r="98" ht="26" customHeight="1">
      <x:c r="A98" s="2"/>
      <x:c r="B98" s="7" t="n">
        <x:v>45473</x:v>
      </x:c>
      <x:c r="C98" s="2" t="str">
        <x:v>Grooming</x:v>
      </x:c>
      <x:c r="D98" s="8" t="n">
        <x:v>5</x:v>
      </x:c>
      <x:c r="E98" s="8" t="n">
        <x:v>2</x:v>
      </x:c>
      <x:c r="F98" s="8" t="n">
        <x:v>7</x:v>
      </x:c>
      <x:c r="G98" s="7" t="n">
        <x:v>45503</x:v>
      </x:c>
      <x:c r="H98" s="2" t="str">
        <x:v>https://www.sec.gov/Archives/edgar/data/80424/000008042424000071/fy2324q4amj8-kexhibit991.htm</x:v>
      </x:c>
    </x:row>
    <x:row r="99" ht="26" customHeight="1">
      <x:c r="A99" s="2"/>
      <x:c r="B99" s="7" t="n">
        <x:v>45473</x:v>
      </x:c>
      <x:c r="C99" s="2" t="str">
        <x:v>Health Care</x:v>
      </x:c>
      <x:c r="D99" s="8" t="n">
        <x:v>2</x:v>
      </x:c>
      <x:c r="E99" s="8" t="n">
        <x:v>1</x:v>
      </x:c>
      <x:c r="F99" s="8" t="n">
        <x:v>4</x:v>
      </x:c>
      <x:c r="G99" s="7" t="n">
        <x:v>45503</x:v>
      </x:c>
      <x:c r="H99" s="2" t="str">
        <x:v>https://www.sec.gov/Archives/edgar/data/80424/000008042424000071/fy2324q4amj8-kexhibit991.htm</x:v>
      </x:c>
    </x:row>
    <x:row r="100" ht="26" customHeight="1">
      <x:c r="A100" s="2"/>
      <x:c r="B100" s="7" t="n">
        <x:v>45473</x:v>
      </x:c>
      <x:c r="C100" s="2" t="str">
        <x:v>Fabric &amp; Home Care</x:v>
      </x:c>
      <x:c r="D100" s="8" t="n">
        <x:v>-1</x:v>
      </x:c>
      <x:c r="E100" s="8" t="n">
        <x:v>3</x:v>
      </x:c>
      <x:c r="F100" s="8" t="n">
        <x:v>2</x:v>
      </x:c>
      <x:c r="G100" s="7" t="n">
        <x:v>45503</x:v>
      </x:c>
      <x:c r="H100" s="2" t="str">
        <x:v>https://www.sec.gov/Archives/edgar/data/80424/000008042424000071/fy2324q4amj8-kexhibit991.htm</x:v>
      </x:c>
    </x:row>
    <x:row r="101" ht="26" customHeight="1">
      <x:c r="A101" s="2"/>
      <x:c r="B101" s="7" t="n">
        <x:v>45473</x:v>
      </x:c>
      <x:c r="C101" s="2" t="str">
        <x:v>Baby, Feminine &amp; Family Care</x:v>
      </x:c>
      <x:c r="D101" s="8" t="n">
        <x:v>0</x:v>
      </x:c>
      <x:c r="E101" s="8" t="n">
        <x:v>-1</x:v>
      </x:c>
      <x:c r="F101" s="8" t="n">
        <x:v>-1</x:v>
      </x:c>
      <x:c r="G101" s="7" t="n">
        <x:v>45503</x:v>
      </x:c>
      <x:c r="H101" s="2" t="str">
        <x:v>https://www.sec.gov/Archives/edgar/data/80424/000008042424000071/fy2324q4amj8-kexhibit991.htm</x:v>
      </x:c>
    </x:row>
    <x:row r="102" ht="26" customHeight="1">
      <x:c r="A102" s="2"/>
      <x:c r="B102" s="7" t="n">
        <x:v>45473</x:v>
      </x:c>
      <x:c r="C102" s="2" t="str">
        <x:v>Corporate</x:v>
      </x:c>
      <x:c r="D102" s="8"/>
      <x:c r="E102" s="8"/>
      <x:c r="F102" s="8"/>
      <x:c r="G102" s="7" t="n">
        <x:v>45503</x:v>
      </x:c>
      <x:c r="H102" s="2" t="str">
        <x:v>https://www.sec.gov/Archives/edgar/data/80424/000008042424000071/fy2324q4amj8-kexhibit991.htm</x:v>
      </x:c>
    </x:row>
    <x:row r="103" ht="26" customHeight="1">
      <x:c r="A103" s="2"/>
      <x:c r="B103" s="7" t="n">
        <x:v>45473</x:v>
      </x:c>
      <x:c r="C103" s="2" t="str">
        <x:v>Total Company</x:v>
      </x:c>
      <x:c r="D103" s="8" t="n">
        <x:v>1</x:v>
      </x:c>
      <x:c r="E103" s="8" t="n">
        <x:v>2</x:v>
      </x:c>
      <x:c r="F103" s="8" t="n">
        <x:v>2</x:v>
      </x:c>
      <x:c r="G103" s="7" t="n">
        <x:v>45503</x:v>
      </x:c>
      <x:c r="H103" s="2" t="str">
        <x:v>https://www.sec.gov/Archives/edgar/data/80424/000008042424000071/fy2324q4amj8-kexhibit991.htm</x:v>
      </x:c>
    </x:row>
    <x:row r="104" ht="26" customHeight="1">
      <x:c r="A104" s="2"/>
      <x:c r="B104" s="7" t="n">
        <x:v>45565</x:v>
      </x:c>
      <x:c r="C104" s="2" t="str">
        <x:v>Beauty</x:v>
      </x:c>
      <x:c r="D104" s="8" t="n">
        <x:v>1</x:v>
      </x:c>
      <x:c r="E104" s="8" t="n">
        <x:v>0</x:v>
      </x:c>
      <x:c r="F104" s="8" t="n">
        <x:v>-2</x:v>
      </x:c>
      <x:c r="G104" s="7" t="n">
        <x:v>45583</x:v>
      </x:c>
      <x:c r="H104" s="2" t="str">
        <x:v>https://www.sec.gov/Archives/edgar/data/80424/000008042424000113/pg-20240930.htm</x:v>
      </x:c>
    </x:row>
    <x:row r="105" ht="26" customHeight="1">
      <x:c r="A105" s="2"/>
      <x:c r="B105" s="7" t="n">
        <x:v>45565</x:v>
      </x:c>
      <x:c r="C105" s="2" t="str">
        <x:v>Grooming</x:v>
      </x:c>
      <x:c r="D105" s="8" t="n">
        <x:v>1</x:v>
      </x:c>
      <x:c r="E105" s="8" t="n">
        <x:v>5</x:v>
      </x:c>
      <x:c r="F105" s="8" t="n">
        <x:v>3</x:v>
      </x:c>
      <x:c r="G105" s="7" t="n">
        <x:v>45583</x:v>
      </x:c>
      <x:c r="H105" s="2" t="str">
        <x:v>https://www.sec.gov/Archives/edgar/data/80424/000008042424000113/pg-20240930.htm</x:v>
      </x:c>
    </x:row>
    <x:row r="106" ht="26" customHeight="1">
      <x:c r="A106" s="2"/>
      <x:c r="B106" s="7" t="n">
        <x:v>45565</x:v>
      </x:c>
      <x:c r="C106" s="2" t="str">
        <x:v>Health Care</x:v>
      </x:c>
      <x:c r="D106" s="8" t="n">
        <x:v>1</x:v>
      </x:c>
      <x:c r="E106" s="8" t="n">
        <x:v>-1</x:v>
      </x:c>
      <x:c r="F106" s="8" t="n">
        <x:v>4</x:v>
      </x:c>
      <x:c r="G106" s="7" t="n">
        <x:v>45583</x:v>
      </x:c>
      <x:c r="H106" s="2" t="str">
        <x:v>https://www.sec.gov/Archives/edgar/data/80424/000008042424000113/pg-20240930.htm</x:v>
      </x:c>
    </x:row>
    <x:row r="107" ht="26" customHeight="1">
      <x:c r="A107" s="2"/>
      <x:c r="B107" s="7" t="n">
        <x:v>45565</x:v>
      </x:c>
      <x:c r="C107" s="2" t="str">
        <x:v>Fabric &amp; Home Care</x:v>
      </x:c>
      <x:c r="D107" s="8" t="n">
        <x:v>0</x:v>
      </x:c>
      <x:c r="E107" s="8" t="n">
        <x:v>1</x:v>
      </x:c>
      <x:c r="F107" s="8" t="n">
        <x:v>3</x:v>
      </x:c>
      <x:c r="G107" s="7" t="n">
        <x:v>45583</x:v>
      </x:c>
      <x:c r="H107" s="2" t="str">
        <x:v>https://www.sec.gov/Archives/edgar/data/80424/000008042424000113/pg-20240930.htm</x:v>
      </x:c>
    </x:row>
    <x:row r="108" ht="26" customHeight="1">
      <x:c r="A108" s="2"/>
      <x:c r="B108" s="7" t="n">
        <x:v>45565</x:v>
      </x:c>
      <x:c r="C108" s="2" t="str">
        <x:v>Baby, Feminine &amp; Family Care</x:v>
      </x:c>
      <x:c r="D108" s="8" t="n">
        <x:v>0</x:v>
      </x:c>
      <x:c r="E108" s="8" t="n">
        <x:v>-1</x:v>
      </x:c>
      <x:c r="F108" s="8" t="n">
        <x:v>0</x:v>
      </x:c>
      <x:c r="G108" s="7" t="n">
        <x:v>45583</x:v>
      </x:c>
      <x:c r="H108" s="2" t="str">
        <x:v>https://www.sec.gov/Archives/edgar/data/80424/000008042424000113/pg-20240930.htm</x:v>
      </x:c>
    </x:row>
    <x:row r="109" ht="26" customHeight="1">
      <x:c r="A109" s="2"/>
      <x:c r="B109" s="7" t="n">
        <x:v>45565</x:v>
      </x:c>
      <x:c r="C109" s="2" t="str">
        <x:v>Corporate</x:v>
      </x:c>
      <x:c r="D109" s="8"/>
      <x:c r="E109" s="8"/>
      <x:c r="F109" s="8"/>
      <x:c r="G109" s="7" t="n">
        <x:v>45583</x:v>
      </x:c>
      <x:c r="H109" s="2" t="str">
        <x:v>https://www.sec.gov/Archives/edgar/data/80424/000008042424000113/pg-20240930.htm</x:v>
      </x:c>
    </x:row>
    <x:row r="110" ht="26" customHeight="1">
      <x:c r="A110" s="2"/>
      <x:c r="B110" s="7" t="n">
        <x:v>45565</x:v>
      </x:c>
      <x:c r="C110" s="2" t="str">
        <x:v>Total Company</x:v>
      </x:c>
      <x:c r="D110" s="8" t="n">
        <x:v>1</x:v>
      </x:c>
      <x:c r="E110" s="8" t="n">
        <x:v>1</x:v>
      </x:c>
      <x:c r="F110" s="8" t="n">
        <x:v>2</x:v>
      </x:c>
      <x:c r="G110" s="7" t="n">
        <x:v>45583</x:v>
      </x:c>
      <x:c r="H110" s="2" t="str">
        <x:v>https://www.sec.gov/Archives/edgar/data/80424/000008042424000113/pg-20240930.htm</x:v>
      </x:c>
    </x:row>
    <x:row r="111" ht="26" customHeight="1">
      <x:c r="A111" s="2"/>
      <x:c r="B111" s="7" t="n">
        <x:v>45657</x:v>
      </x:c>
      <x:c r="C111" s="2" t="str">
        <x:v>Beauty</x:v>
      </x:c>
      <x:c r="D111" s="8" t="n">
        <x:v>2</x:v>
      </x:c>
      <x:c r="E111" s="8" t="n">
        <x:v>0</x:v>
      </x:c>
      <x:c r="F111" s="8" t="n">
        <x:v>2</x:v>
      </x:c>
      <x:c r="G111" s="7" t="n">
        <x:v>45679</x:v>
      </x:c>
      <x:c r="H111" s="2" t="str">
        <x:v>https://www.sec.gov/Archives/edgar/data/80424/000008042425000013/pg-20241231.htm</x:v>
      </x:c>
    </x:row>
    <x:row r="112" ht="26" customHeight="1">
      <x:c r="A112" s="2"/>
      <x:c r="B112" s="7" t="n">
        <x:v>45657</x:v>
      </x:c>
      <x:c r="C112" s="2" t="str">
        <x:v>Grooming</x:v>
      </x:c>
      <x:c r="D112" s="8" t="n">
        <x:v>1</x:v>
      </x:c>
      <x:c r="E112" s="8" t="n">
        <x:v>2</x:v>
      </x:c>
      <x:c r="F112" s="8" t="n">
        <x:v>2</x:v>
      </x:c>
      <x:c r="G112" s="7" t="n">
        <x:v>45679</x:v>
      </x:c>
      <x:c r="H112" s="2" t="str">
        <x:v>https://www.sec.gov/Archives/edgar/data/80424/000008042425000013/pg-20241231.htm</x:v>
      </x:c>
    </x:row>
    <x:row r="113" ht="26" customHeight="1">
      <x:c r="A113" s="2"/>
      <x:c r="B113" s="7" t="n">
        <x:v>45657</x:v>
      </x:c>
      <x:c r="C113" s="2" t="str">
        <x:v>Health Care</x:v>
      </x:c>
      <x:c r="D113" s="8" t="n">
        <x:v>1</x:v>
      </x:c>
      <x:c r="E113" s="8" t="n">
        <x:v>0</x:v>
      </x:c>
      <x:c r="F113" s="8" t="n">
        <x:v>3</x:v>
      </x:c>
      <x:c r="G113" s="7" t="n">
        <x:v>45679</x:v>
      </x:c>
      <x:c r="H113" s="2" t="str">
        <x:v>https://www.sec.gov/Archives/edgar/data/80424/000008042425000013/pg-20241231.htm</x:v>
      </x:c>
    </x:row>
    <x:row r="114" ht="26" customHeight="1">
      <x:c r="A114" s="2"/>
      <x:c r="B114" s="7" t="n">
        <x:v>45657</x:v>
      </x:c>
      <x:c r="C114" s="2" t="str">
        <x:v>Fabric &amp; Home Care</x:v>
      </x:c>
      <x:c r="D114" s="8" t="n">
        <x:v>0</x:v>
      </x:c>
      <x:c r="E114" s="8" t="n">
        <x:v>2</x:v>
      </x:c>
      <x:c r="F114" s="8" t="n">
        <x:v>3</x:v>
      </x:c>
      <x:c r="G114" s="7" t="n">
        <x:v>45679</x:v>
      </x:c>
      <x:c r="H114" s="2" t="str">
        <x:v>https://www.sec.gov/Archives/edgar/data/80424/000008042425000013/pg-20241231.htm</x:v>
      </x:c>
    </x:row>
    <x:row r="115" ht="26" customHeight="1">
      <x:c r="A115" s="2"/>
      <x:c r="B115" s="7" t="n">
        <x:v>45657</x:v>
      </x:c>
      <x:c r="C115" s="2" t="str">
        <x:v>Baby, Feminine &amp; Family Care</x:v>
      </x:c>
      <x:c r="D115" s="8" t="n">
        <x:v>-1</x:v>
      </x:c>
      <x:c r="E115" s="8" t="n">
        <x:v>4</x:v>
      </x:c>
      <x:c r="F115" s="8" t="n">
        <x:v>4</x:v>
      </x:c>
      <x:c r="G115" s="7" t="n">
        <x:v>45679</x:v>
      </x:c>
      <x:c r="H115" s="2" t="str">
        <x:v>https://www.sec.gov/Archives/edgar/data/80424/000008042425000013/pg-20241231.htm</x:v>
      </x:c>
    </x:row>
    <x:row r="116" ht="26" customHeight="1">
      <x:c r="A116" s="2"/>
      <x:c r="B116" s="7" t="n">
        <x:v>45657</x:v>
      </x:c>
      <x:c r="C116" s="2" t="str">
        <x:v>Corporate</x:v>
      </x:c>
      <x:c r="D116" s="8"/>
      <x:c r="E116" s="8"/>
      <x:c r="F116" s="8"/>
      <x:c r="G116" s="7" t="n">
        <x:v>45679</x:v>
      </x:c>
      <x:c r="H116" s="2" t="str">
        <x:v>https://www.sec.gov/Archives/edgar/data/80424/000008042425000013/pg-20241231.htm</x:v>
      </x:c>
    </x:row>
    <x:row r="117" ht="26" customHeight="1">
      <x:c r="A117" s="2"/>
      <x:c r="B117" s="7" t="n">
        <x:v>45657</x:v>
      </x:c>
      <x:c r="C117" s="2" t="str">
        <x:v>Total Company</x:v>
      </x:c>
      <x:c r="D117" s="8" t="n">
        <x:v>0</x:v>
      </x:c>
      <x:c r="E117" s="8" t="n">
        <x:v>2</x:v>
      </x:c>
      <x:c r="F117" s="8" t="n">
        <x:v>3</x:v>
      </x:c>
      <x:c r="G117" s="7" t="n">
        <x:v>45679</x:v>
      </x:c>
      <x:c r="H117" s="2" t="str">
        <x:v>https://www.sec.gov/Archives/edgar/data/80424/000008042425000013/pg-20241231.htm</x:v>
      </x:c>
    </x:row>
    <x:row r="118" ht="26" customHeight="1">
      <x:c r="A118" s="2"/>
      <x:c r="B118" s="7" t="n">
        <x:v>45747</x:v>
      </x:c>
      <x:c r="C118" s="2" t="str">
        <x:v>Beauty</x:v>
      </x:c>
      <x:c r="D118" s="8" t="n">
        <x:v>3</x:v>
      </x:c>
      <x:c r="E118" s="8" t="n">
        <x:v>1</x:v>
      </x:c>
      <x:c r="F118" s="8" t="n">
        <x:v>2</x:v>
      </x:c>
      <x:c r="G118" s="7" t="n">
        <x:v>45771</x:v>
      </x:c>
      <x:c r="H118" s="2" t="str">
        <x:v>https://www.sec.gov/Archives/edgar/data/80424/000008042425000037/pg-20250331.htm</x:v>
      </x:c>
    </x:row>
    <x:row r="119" ht="26" customHeight="1">
      <x:c r="A119" s="2"/>
      <x:c r="B119" s="7" t="n">
        <x:v>45747</x:v>
      </x:c>
      <x:c r="C119" s="2" t="str">
        <x:v>Grooming</x:v>
      </x:c>
      <x:c r="D119" s="8" t="n">
        <x:v>2</x:v>
      </x:c>
      <x:c r="E119" s="8" t="n">
        <x:v>1</x:v>
      </x:c>
      <x:c r="F119" s="8" t="n">
        <x:v>3</x:v>
      </x:c>
      <x:c r="G119" s="7" t="n">
        <x:v>45771</x:v>
      </x:c>
      <x:c r="H119" s="2" t="str">
        <x:v>https://www.sec.gov/Archives/edgar/data/80424/000008042425000037/pg-20250331.htm</x:v>
      </x:c>
    </x:row>
    <x:row r="120" ht="26" customHeight="1">
      <x:c r="A120" s="2"/>
      <x:c r="B120" s="7" t="n">
        <x:v>45747</x:v>
      </x:c>
      <x:c r="C120" s="2" t="str">
        <x:v>Health Care</x:v>
      </x:c>
      <x:c r="D120" s="8" t="n">
        <x:v>1</x:v>
      </x:c>
      <x:c r="E120" s="8" t="n">
        <x:v>-1</x:v>
      </x:c>
      <x:c r="F120" s="8" t="n">
        <x:v>4</x:v>
      </x:c>
      <x:c r="G120" s="7" t="n">
        <x:v>45771</x:v>
      </x:c>
      <x:c r="H120" s="2" t="str">
        <x:v>https://www.sec.gov/Archives/edgar/data/80424/000008042425000037/pg-20250331.htm</x:v>
      </x:c>
    </x:row>
    <x:row r="121" ht="26" customHeight="1">
      <x:c r="A121" s="2"/>
      <x:c r="B121" s="7" t="n">
        <x:v>45747</x:v>
      </x:c>
      <x:c r="C121" s="2" t="str">
        <x:v>Fabric &amp; Home Care</x:v>
      </x:c>
      <x:c r="D121" s="8" t="n">
        <x:v>0</x:v>
      </x:c>
      <x:c r="E121" s="8" t="n">
        <x:v>0</x:v>
      </x:c>
      <x:c r="F121" s="8" t="n">
        <x:v>0</x:v>
      </x:c>
      <x:c r="G121" s="7" t="n">
        <x:v>45771</x:v>
      </x:c>
      <x:c r="H121" s="2" t="str">
        <x:v>https://www.sec.gov/Archives/edgar/data/80424/000008042425000037/pg-20250331.htm</x:v>
      </x:c>
    </x:row>
    <x:row r="122" ht="26" customHeight="1">
      <x:c r="A122" s="2"/>
      <x:c r="B122" s="7" t="n">
        <x:v>45747</x:v>
      </x:c>
      <x:c r="C122" s="2" t="str">
        <x:v>Baby, Feminine &amp; Family Care</x:v>
      </x:c>
      <x:c r="D122" s="8" t="n">
        <x:v>0</x:v>
      </x:c>
      <x:c r="E122" s="8" t="n">
        <x:v>-2</x:v>
      </x:c>
      <x:c r="F122" s="8" t="n">
        <x:v>-1</x:v>
      </x:c>
      <x:c r="G122" s="7" t="n">
        <x:v>45771</x:v>
      </x:c>
      <x:c r="H122" s="2" t="str">
        <x:v>https://www.sec.gov/Archives/edgar/data/80424/000008042425000037/pg-20250331.htm</x:v>
      </x:c>
    </x:row>
    <x:row r="123" ht="26" customHeight="1">
      <x:c r="A123" s="2"/>
      <x:c r="B123" s="7" t="n">
        <x:v>45747</x:v>
      </x:c>
      <x:c r="C123" s="2" t="str">
        <x:v>Corporate</x:v>
      </x:c>
      <x:c r="D123" s="8"/>
      <x:c r="E123" s="8"/>
      <x:c r="F123" s="8"/>
      <x:c r="G123" s="7" t="n">
        <x:v>45771</x:v>
      </x:c>
      <x:c r="H123" s="2" t="str">
        <x:v>https://www.sec.gov/Archives/edgar/data/80424/000008042425000037/pg-20250331.htm</x:v>
      </x:c>
    </x:row>
    <x:row r="124" ht="26" customHeight="1">
      <x:c r="A124" s="2"/>
      <x:c r="B124" s="7" t="n">
        <x:v>45747</x:v>
      </x:c>
      <x:c r="C124" s="2" t="str">
        <x:v>Total Company</x:v>
      </x:c>
      <x:c r="D124" s="8" t="n">
        <x:v>1</x:v>
      </x:c>
      <x:c r="E124" s="8" t="n">
        <x:v>0</x:v>
      </x:c>
      <x:c r="F124" s="8" t="n">
        <x:v>1</x:v>
      </x:c>
      <x:c r="G124" s="7" t="n">
        <x:v>45771</x:v>
      </x:c>
      <x:c r="H124" s="2" t="str">
        <x:v>https://www.sec.gov/Archives/edgar/data/80424/000008042425000037/pg-20250331.htm</x:v>
      </x:c>
    </x:row>
    <x:row r="125" ht="26" customHeight="1">
      <x:c r="A125" s="2"/>
      <x:c r="B125" s="7" t="n">
        <x:v>45838</x:v>
      </x:c>
      <x:c r="C125" s="2" t="str">
        <x:v>Beauty</x:v>
      </x:c>
      <x:c r="D125" s="8" t="n">
        <x:v>1</x:v>
      </x:c>
      <x:c r="E125" s="8" t="n">
        <x:v>1</x:v>
      </x:c>
      <x:c r="F125" s="8" t="n">
        <x:v>1</x:v>
      </x:c>
      <x:c r="G125" s="7" t="n">
        <x:v>45867</x:v>
      </x:c>
      <x:c r="H125" s="2" t="str">
        <x:v>https://www.pginvestor.com/news/news-details/2025/PG-Announces-Fourth-Quarter-and-Fiscal-Year-2025-Results/default.aspx</x:v>
      </x:c>
    </x:row>
    <x:row r="126" ht="26" customHeight="1">
      <x:c r="A126" s="2"/>
      <x:c r="B126" s="7" t="n">
        <x:v>45838</x:v>
      </x:c>
      <x:c r="C126" s="2" t="str">
        <x:v>Grooming</x:v>
      </x:c>
      <x:c r="D126" s="8" t="n">
        <x:v>4</x:v>
      </x:c>
      <x:c r="E126" s="8" t="n">
        <x:v>-1</x:v>
      </x:c>
      <x:c r="F126" s="8" t="n">
        <x:v>1</x:v>
      </x:c>
      <x:c r="G126" s="7" t="n">
        <x:v>45867</x:v>
      </x:c>
      <x:c r="H126" s="2" t="str">
        <x:v>https://www.pginvestor.com/news/news-details/2025/PG-Announces-Fourth-Quarter-and-Fiscal-Year-2025-Results/default.aspx</x:v>
      </x:c>
    </x:row>
    <x:row r="127" ht="26" customHeight="1">
      <x:c r="A127" s="2"/>
      <x:c r="B127" s="7" t="n">
        <x:v>45838</x:v>
      </x:c>
      <x:c r="C127" s="2" t="str">
        <x:v>Health Care</x:v>
      </x:c>
      <x:c r="D127" s="8" t="n">
        <x:v>1</x:v>
      </x:c>
      <x:c r="E127" s="8" t="n">
        <x:v>-2</x:v>
      </x:c>
      <x:c r="F127" s="8" t="n">
        <x:v>2</x:v>
      </x:c>
      <x:c r="G127" s="7" t="n">
        <x:v>45867</x:v>
      </x:c>
      <x:c r="H127" s="2" t="str">
        <x:v>https://www.pginvestor.com/news/news-details/2025/PG-Announces-Fourth-Quarter-and-Fiscal-Year-2025-Results/default.aspx</x:v>
      </x:c>
    </x:row>
    <x:row r="128" ht="26" customHeight="1">
      <x:c r="A128" s="2"/>
      <x:c r="B128" s="7" t="n">
        <x:v>45838</x:v>
      </x:c>
      <x:c r="C128" s="2" t="str">
        <x:v>Fabric &amp; Home Care</x:v>
      </x:c>
      <x:c r="D128" s="8" t="n">
        <x:v>1</x:v>
      </x:c>
      <x:c r="E128" s="8" t="n">
        <x:v>0</x:v>
      </x:c>
      <x:c r="F128" s="8" t="n">
        <x:v>1</x:v>
      </x:c>
      <x:c r="G128" s="7" t="n">
        <x:v>45867</x:v>
      </x:c>
      <x:c r="H128" s="2" t="str">
        <x:v>https://www.pginvestor.com/news/news-details/2025/PG-Announces-Fourth-Quarter-and-Fiscal-Year-2025-Results/default.aspx</x:v>
      </x:c>
    </x:row>
    <x:row r="129" ht="26" customHeight="1">
      <x:c r="A129" s="2"/>
      <x:c r="B129" s="7" t="n">
        <x:v>45838</x:v>
      </x:c>
      <x:c r="C129" s="2" t="str">
        <x:v>Baby, Feminine &amp; Family Care</x:v>
      </x:c>
      <x:c r="D129" s="8" t="n">
        <x:v>1</x:v>
      </x:c>
      <x:c r="E129" s="8" t="n">
        <x:v>0</x:v>
      </x:c>
      <x:c r="F129" s="8" t="n">
        <x:v>1</x:v>
      </x:c>
      <x:c r="G129" s="7" t="n">
        <x:v>45867</x:v>
      </x:c>
      <x:c r="H129" s="2" t="str">
        <x:v>https://www.pginvestor.com/news/news-details/2025/PG-Announces-Fourth-Quarter-and-Fiscal-Year-2025-Results/default.aspx</x:v>
      </x:c>
    </x:row>
    <x:row r="130" ht="26" customHeight="1">
      <x:c r="A130" s="2"/>
      <x:c r="B130" s="7" t="n">
        <x:v>45838</x:v>
      </x:c>
      <x:c r="C130" s="2" t="str">
        <x:v>Corporate</x:v>
      </x:c>
      <x:c r="D130" s="8"/>
      <x:c r="E130" s="8"/>
      <x:c r="F130" s="8"/>
      <x:c r="G130" s="7" t="n">
        <x:v>45867</x:v>
      </x:c>
      <x:c r="H130" s="2" t="str">
        <x:v>https://www.pginvestor.com/news/news-details/2025/PG-Announces-Fourth-Quarter-and-Fiscal-Year-2025-Results/default.aspx</x:v>
      </x:c>
    </x:row>
    <x:row r="131" ht="26" customHeight="1">
      <x:c r="A131" s="2"/>
      <x:c r="B131" s="7" t="n">
        <x:v>45838</x:v>
      </x:c>
      <x:c r="C131" s="2" t="str">
        <x:v>Total Company</x:v>
      </x:c>
      <x:c r="D131" s="8" t="n">
        <x:v>1</x:v>
      </x:c>
      <x:c r="E131" s="8" t="n">
        <x:v>0</x:v>
      </x:c>
      <x:c r="F131" s="8" t="n">
        <x:v>2</x:v>
      </x:c>
      <x:c r="G131" s="7" t="n">
        <x:v>45867</x:v>
      </x:c>
      <x:c r="H131" s="2" t="str">
        <x:v>https://www.pginvestor.com/news/news-details/2025/PG-Announces-Fourth-Quarter-and-Fiscal-Year-2025-Results/default.aspx</x:v>
      </x:c>
    </x:row>
    <x:row r="132" ht="26" customHeight="1">
      <x:c r="A132" s="2"/>
      <x:c r="B132" s="7" t="n">
        <x:v>45930</x:v>
      </x:c>
      <x:c r="C132" s="2" t="str">
        <x:v>Beauty</x:v>
      </x:c>
      <x:c r="D132" s="8" t="n">
        <x:v>2</x:v>
      </x:c>
      <x:c r="E132" s="8" t="n">
        <x:v>4</x:v>
      </x:c>
      <x:c r="F132" s="8" t="n">
        <x:v>6</x:v>
      </x:c>
      <x:c r="G132" s="7" t="n">
        <x:v>45954</x:v>
      </x:c>
      <x:c r="H132" s="2" t="str">
        <x:v>https://www.sec.gov/Archives/edgar/data/80424/000008042425000245/pg-20250930.htm</x:v>
      </x:c>
    </x:row>
    <x:row r="133" ht="26" customHeight="1">
      <x:c r="A133" s="2"/>
      <x:c r="B133" s="7" t="n">
        <x:v>45930</x:v>
      </x:c>
      <x:c r="C133" s="2" t="str">
        <x:v>Grooming</x:v>
      </x:c>
      <x:c r="D133" s="8" t="n">
        <x:v>4</x:v>
      </x:c>
      <x:c r="E133" s="8" t="n">
        <x:v>1</x:v>
      </x:c>
      <x:c r="F133" s="8" t="n">
        <x:v>3</x:v>
      </x:c>
      <x:c r="G133" s="7" t="n">
        <x:v>45954</x:v>
      </x:c>
      <x:c r="H133" s="2" t="str">
        <x:v>https://www.sec.gov/Archives/edgar/data/80424/000008042425000245/pg-20250930.htm</x:v>
      </x:c>
    </x:row>
    <x:row r="134" ht="26" customHeight="1">
      <x:c r="A134" s="2"/>
      <x:c r="B134" s="7" t="n">
        <x:v>45930</x:v>
      </x:c>
      <x:c r="C134" s="2" t="str">
        <x:v>Health Care</x:v>
      </x:c>
      <x:c r="D134" s="8" t="n">
        <x:v>1</x:v>
      </x:c>
      <x:c r="E134" s="8" t="n">
        <x:v>-2</x:v>
      </x:c>
      <x:c r="F134" s="8" t="n">
        <x:v>1</x:v>
      </x:c>
      <x:c r="G134" s="7" t="n">
        <x:v>45954</x:v>
      </x:c>
      <x:c r="H134" s="2" t="str">
        <x:v>https://www.sec.gov/Archives/edgar/data/80424/000008042425000245/pg-20250930.htm</x:v>
      </x:c>
    </x:row>
    <x:row r="135" ht="26" customHeight="1">
      <x:c r="A135" s="2"/>
      <x:c r="B135" s="7" t="n">
        <x:v>45930</x:v>
      </x:c>
      <x:c r="C135" s="2" t="str">
        <x:v>Fabric &amp; Home Care</x:v>
      </x:c>
      <x:c r="D135" s="8" t="n">
        <x:v>1</x:v>
      </x:c>
      <x:c r="E135" s="8" t="n">
        <x:v>-2</x:v>
      </x:c>
      <x:c r="F135" s="8" t="n">
        <x:v>0</x:v>
      </x:c>
      <x:c r="G135" s="7" t="n">
        <x:v>45954</x:v>
      </x:c>
      <x:c r="H135" s="2" t="str">
        <x:v>https://www.sec.gov/Archives/edgar/data/80424/000008042425000245/pg-20250930.htm</x:v>
      </x:c>
    </x:row>
    <x:row r="136" ht="26" customHeight="1">
      <x:c r="A136" s="2"/>
      <x:c r="B136" s="7" t="n">
        <x:v>45930</x:v>
      </x:c>
      <x:c r="C136" s="2" t="str">
        <x:v>Baby, Feminine &amp; Family Care</x:v>
      </x:c>
      <x:c r="D136" s="8" t="n">
        <x:v>0</x:v>
      </x:c>
      <x:c r="E136" s="8" t="n">
        <x:v>0</x:v>
      </x:c>
      <x:c r="F136" s="8" t="n">
        <x:v>0</x:v>
      </x:c>
      <x:c r="G136" s="7" t="n">
        <x:v>45954</x:v>
      </x:c>
      <x:c r="H136" s="2" t="str">
        <x:v>https://www.sec.gov/Archives/edgar/data/80424/000008042425000245/pg-20250930.htm</x:v>
      </x:c>
    </x:row>
    <x:row r="137" ht="26" customHeight="1">
      <x:c r="A137" s="2"/>
      <x:c r="B137" s="7" t="n">
        <x:v>45930</x:v>
      </x:c>
      <x:c r="C137" s="2" t="str">
        <x:v>Corporate</x:v>
      </x:c>
      <x:c r="D137" s="8"/>
      <x:c r="E137" s="8"/>
      <x:c r="F137" s="8"/>
      <x:c r="G137" s="7" t="n">
        <x:v>45954</x:v>
      </x:c>
      <x:c r="H137" s="2" t="str">
        <x:v>https://www.sec.gov/Archives/edgar/data/80424/000008042425000245/pg-20250930.htm</x:v>
      </x:c>
    </x:row>
    <x:row r="138" ht="26" customHeight="1">
      <x:c r="A138" s="2"/>
      <x:c r="B138" s="7" t="n">
        <x:v>45930</x:v>
      </x:c>
      <x:c r="C138" s="2" t="str">
        <x:v>Total Company</x:v>
      </x:c>
      <x:c r="D138" s="8" t="n">
        <x:v>1</x:v>
      </x:c>
      <x:c r="E138" s="8" t="n">
        <x:v>0</x:v>
      </x:c>
      <x:c r="F138" s="8" t="n">
        <x:v>2</x:v>
      </x:c>
      <x:c r="G138" s="7" t="n">
        <x:v>45954</x:v>
      </x:c>
      <x:c r="H138" s="2" t="str">
        <x:v>https://www.sec.gov/Archives/edgar/data/80424/000008042425000245/pg-20250930.htm</x:v>
      </x:c>
    </x:row>
    <x:row r="139" ht="26" customHeight="1">
      <x:c r="A139" s="2"/>
      <x:c r="B139" s="7" t="n">
        <x:v>46022</x:v>
      </x:c>
      <x:c r="C139" s="2" t="str">
        <x:v>Beauty</x:v>
      </x:c>
      <x:c r="D139" s="8" t="n">
        <x:v>2</x:v>
      </x:c>
      <x:c r="E139" s="8" t="n">
        <x:v>3</x:v>
      </x:c>
      <x:c r="F139" s="8" t="n">
        <x:v>4</x:v>
      </x:c>
      <x:c r="G139" s="7" t="n">
        <x:v>46045</x:v>
      </x:c>
      <x:c r="H139" s="2" t="str">
        <x:v>https://www.sec.gov/Archives/edgar/data/80424/000008042426000011/pg-20251231.htm</x:v>
      </x:c>
    </x:row>
    <x:row r="140" ht="26" customHeight="1">
      <x:c r="A140" s="2"/>
      <x:c r="B140" s="7" t="n">
        <x:v>46022</x:v>
      </x:c>
      <x:c r="C140" s="2" t="str">
        <x:v>Grooming</x:v>
      </x:c>
      <x:c r="D140" s="8" t="n">
        <x:v>2</x:v>
      </x:c>
      <x:c r="E140" s="8" t="n">
        <x:v>-2</x:v>
      </x:c>
      <x:c r="F140" s="8" t="n">
        <x:v>0</x:v>
      </x:c>
      <x:c r="G140" s="7" t="n">
        <x:v>46045</x:v>
      </x:c>
      <x:c r="H140" s="2" t="str">
        <x:v>https://www.sec.gov/Archives/edgar/data/80424/000008042426000011/pg-20251231.htm</x:v>
      </x:c>
    </x:row>
    <x:row r="141" ht="26" customHeight="1">
      <x:c r="A141" s="2"/>
      <x:c r="B141" s="7" t="n">
        <x:v>46022</x:v>
      </x:c>
      <x:c r="C141" s="2" t="str">
        <x:v>Health Care</x:v>
      </x:c>
      <x:c r="D141" s="8" t="n">
        <x:v>1</x:v>
      </x:c>
      <x:c r="E141" s="8" t="n">
        <x:v>-1</x:v>
      </x:c>
      <x:c r="F141" s="8" t="n">
        <x:v>3</x:v>
      </x:c>
      <x:c r="G141" s="7" t="n">
        <x:v>46045</x:v>
      </x:c>
      <x:c r="H141" s="2" t="str">
        <x:v>https://www.sec.gov/Archives/edgar/data/80424/000008042426000011/pg-20251231.htm</x:v>
      </x:c>
    </x:row>
    <x:row r="142" ht="26" customHeight="1">
      <x:c r="A142" s="2"/>
      <x:c r="B142" s="7" t="n">
        <x:v>46022</x:v>
      </x:c>
      <x:c r="C142" s="2" t="str">
        <x:v>Fabric &amp; Home Care</x:v>
      </x:c>
      <x:c r="D142" s="8" t="n">
        <x:v>1</x:v>
      </x:c>
      <x:c r="E142" s="8" t="n">
        <x:v>0</x:v>
      </x:c>
      <x:c r="F142" s="8" t="n">
        <x:v>0</x:v>
      </x:c>
      <x:c r="G142" s="7" t="n">
        <x:v>46045</x:v>
      </x:c>
      <x:c r="H142" s="2" t="str">
        <x:v>https://www.sec.gov/Archives/edgar/data/80424/000008042426000011/pg-20251231.htm</x:v>
      </x:c>
    </x:row>
    <x:row r="143" ht="26" customHeight="1">
      <x:c r="A143" s="2"/>
      <x:c r="B143" s="7" t="n">
        <x:v>46022</x:v>
      </x:c>
      <x:c r="C143" s="2" t="str">
        <x:v>Baby, Feminine &amp; Family Care</x:v>
      </x:c>
      <x:c r="D143" s="8" t="n">
        <x:v>0</x:v>
      </x:c>
      <x:c r="E143" s="8" t="n">
        <x:v>-5</x:v>
      </x:c>
      <x:c r="F143" s="8" t="n">
        <x:v>-4</x:v>
      </x:c>
      <x:c r="G143" s="7" t="n">
        <x:v>46045</x:v>
      </x:c>
      <x:c r="H143" s="2" t="str">
        <x:v>https://www.sec.gov/Archives/edgar/data/80424/000008042426000011/pg-20251231.htm</x:v>
      </x:c>
    </x:row>
    <x:row r="144" ht="26" customHeight="1">
      <x:c r="A144" s="2"/>
      <x:c r="B144" s="7" t="n">
        <x:v>46022</x:v>
      </x:c>
      <x:c r="C144" s="2" t="str">
        <x:v>Corporate</x:v>
      </x:c>
      <x:c r="D144" s="8"/>
      <x:c r="E144" s="8"/>
      <x:c r="F144" s="8"/>
      <x:c r="G144" s="7" t="n">
        <x:v>46045</x:v>
      </x:c>
      <x:c r="H144" s="2" t="str">
        <x:v>https://www.sec.gov/Archives/edgar/data/80424/000008042426000011/pg-20251231.htm</x:v>
      </x:c>
    </x:row>
    <x:row r="145" ht="26" customHeight="1">
      <x:c r="A145" s="2"/>
      <x:c r="B145" s="7" t="n">
        <x:v>46022</x:v>
      </x:c>
      <x:c r="C145" s="2" t="str">
        <x:v>Total Company</x:v>
      </x:c>
      <x:c r="D145" s="8" t="n">
        <x:v>1</x:v>
      </x:c>
      <x:c r="E145" s="8" t="n">
        <x:v>-1</x:v>
      </x:c>
      <x:c r="F145" s="8" t="n">
        <x:v>0</x:v>
      </x:c>
      <x:c r="G145" s="7" t="n">
        <x:v>46045</x:v>
      </x:c>
      <x:c r="H145" s="2" t="str">
        <x:v>https://www.sec.gov/Archives/edgar/data/80424/000008042426000011/pg-20251231.htm</x:v>
      </x:c>
    </x:row>
    <x:row r="146" ht="26" customHeight="1">
      <x:c r="A146" s="2"/>
      <x:c r="B146" s="7" t="n">
        <x:v>46112</x:v>
      </x:c>
      <x:c r="C146" s="2" t="str">
        <x:v>Beauty</x:v>
      </x:c>
      <x:c r="D146" s="8" t="n">
        <x:v>1</x:v>
      </x:c>
      <x:c r="E146" s="8" t="n">
        <x:v>5</x:v>
      </x:c>
      <x:c r="F146" s="8" t="n">
        <x:v>7</x:v>
      </x:c>
      <x:c r="G146" s="7" t="n">
        <x:v>46136</x:v>
      </x:c>
      <x:c r="H146" s="2" t="str">
        <x:v>https://www.sec.gov/Archives/edgar/data/80424/000008042426000060/pg-20260331.htm</x:v>
      </x:c>
    </x:row>
    <x:row r="147" ht="26" customHeight="1">
      <x:c r="A147" s="2"/>
      <x:c r="B147" s="7" t="n">
        <x:v>46112</x:v>
      </x:c>
      <x:c r="C147" s="2" t="str">
        <x:v>Grooming</x:v>
      </x:c>
      <x:c r="D147" s="8" t="n">
        <x:v>3</x:v>
      </x:c>
      <x:c r="E147" s="8" t="n">
        <x:v>-2</x:v>
      </x:c>
      <x:c r="F147" s="8" t="n">
        <x:v>1</x:v>
      </x:c>
      <x:c r="G147" s="7" t="n">
        <x:v>46136</x:v>
      </x:c>
      <x:c r="H147" s="2" t="str">
        <x:v>https://www.sec.gov/Archives/edgar/data/80424/000008042426000060/pg-20260331.htm</x:v>
      </x:c>
    </x:row>
    <x:row r="148" ht="26" customHeight="1">
      <x:c r="A148" s="2"/>
      <x:c r="B148" s="7" t="n">
        <x:v>46112</x:v>
      </x:c>
      <x:c r="C148" s="2" t="str">
        <x:v>Health Care</x:v>
      </x:c>
      <x:c r="D148" s="8" t="n">
        <x:v>2</x:v>
      </x:c>
      <x:c r="E148" s="8" t="n">
        <x:v>-2</x:v>
      </x:c>
      <x:c r="F148" s="8" t="n">
        <x:v>2</x:v>
      </x:c>
      <x:c r="G148" s="7" t="n">
        <x:v>46136</x:v>
      </x:c>
      <x:c r="H148" s="2" t="str">
        <x:v>https://www.sec.gov/Archives/edgar/data/80424/000008042426000060/pg-20260331.htm</x:v>
      </x:c>
    </x:row>
    <x:row r="149" ht="26" customHeight="1">
      <x:c r="A149" s="2"/>
      <x:c r="B149" s="7" t="n">
        <x:v>46112</x:v>
      </x:c>
      <x:c r="C149" s="2" t="str">
        <x:v>Fabric &amp; Home Care</x:v>
      </x:c>
      <x:c r="D149" s="8" t="n">
        <x:v>1</x:v>
      </x:c>
      <x:c r="E149" s="8" t="n">
        <x:v>2</x:v>
      </x:c>
      <x:c r="F149" s="8" t="n">
        <x:v>3</x:v>
      </x:c>
      <x:c r="G149" s="7" t="n">
        <x:v>46136</x:v>
      </x:c>
      <x:c r="H149" s="2" t="str">
        <x:v>https://www.sec.gov/Archives/edgar/data/80424/000008042426000060/pg-20260331.htm</x:v>
      </x:c>
    </x:row>
    <x:row r="150" ht="26" customHeight="1">
      <x:c r="A150" s="2"/>
      <x:c r="B150" s="7" t="n">
        <x:v>46112</x:v>
      </x:c>
      <x:c r="C150" s="2" t="str">
        <x:v>Baby, Feminine &amp; Family Care</x:v>
      </x:c>
      <x:c r="D150" s="8" t="n">
        <x:v>0</x:v>
      </x:c>
      <x:c r="E150" s="8" t="n">
        <x:v>3</x:v>
      </x:c>
      <x:c r="F150" s="8" t="n">
        <x:v>3</x:v>
      </x:c>
      <x:c r="G150" s="7" t="n">
        <x:v>46136</x:v>
      </x:c>
      <x:c r="H150" s="2" t="str">
        <x:v>https://www.sec.gov/Archives/edgar/data/80424/000008042426000060/pg-20260331.htm</x:v>
      </x:c>
    </x:row>
    <x:row r="151" ht="26" customHeight="1">
      <x:c r="A151" s="2"/>
      <x:c r="B151" s="7" t="n">
        <x:v>46112</x:v>
      </x:c>
      <x:c r="C151" s="2" t="str">
        <x:v>Corporate</x:v>
      </x:c>
      <x:c r="D151" s="8"/>
      <x:c r="E151" s="8"/>
      <x:c r="F151" s="8"/>
      <x:c r="G151" s="7" t="n">
        <x:v>46136</x:v>
      </x:c>
      <x:c r="H151" s="2" t="str">
        <x:v>https://www.sec.gov/Archives/edgar/data/80424/000008042426000060/pg-20260331.htm</x:v>
      </x:c>
    </x:row>
    <x:row r="152" ht="26" customHeight="1">
      <x:c r="A152" s="2"/>
      <x:c r="B152" s="7" t="n">
        <x:v>46112</x:v>
      </x:c>
      <x:c r="C152" s="2" t="str">
        <x:v>Total Company</x:v>
      </x:c>
      <x:c r="D152" s="8" t="n">
        <x:v>1</x:v>
      </x:c>
      <x:c r="E152" s="8" t="n">
        <x:v>2</x:v>
      </x:c>
      <x:c r="F152" s="8" t="n">
        <x:v>3</x:v>
      </x:c>
      <x:c r="G152" s="7" t="n">
        <x:v>46136</x:v>
      </x:c>
      <x:c r="H152" s="2" t="str">
        <x:v>https://www.sec.gov/Archives/edgar/data/80424/000008042426000060/pg-20260331.htm</x:v>
      </x:c>
    </x:row>
    <x:row r="153" ht="26" customHeight="1">
      <x:c r="A153" s="2"/>
      <x:c r="B153" s="2"/>
      <x:c r="C153" s="2"/>
      <x:c r="D153" s="2"/>
      <x:c r="E153" s="2"/>
      <x:c r="F153" s="2"/>
      <x:c r="G153" s="2"/>
      <x:c r="H153" s="2"/>
    </x:row>
  </x:sheetData>
  <x:pageMargins left="0.7" right="0.7" top="0.75" bottom="0.75" header="0.3" footer="0.3"/>
</x:worksheet>
</file>