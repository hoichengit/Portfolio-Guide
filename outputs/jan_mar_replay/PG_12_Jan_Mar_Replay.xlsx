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e9f3ed4e4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review" sheetId="1" r:id="Radf34543f7b14745"/>
    <x:sheet xmlns:r="http://schemas.openxmlformats.org/officeDocument/2006/relationships" name="Dated inputs" sheetId="2" r:id="Rb1f33c9be8d3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;[Red](0.00);&quot;—&quot;"/>
    <x:numFmt numFmtId="201" formatCode="dd-mmm-yy"/>
    <x:numFmt numFmtId="202" formatCode="0.0%"/>
  </x:numFmts>
  <x:fonts count="7">
    <x:font>
      <x:sz val="11"/>
      <x:name val="Carlito"/>
    </x:font>
    <x:font>
      <x:sz val="12"/>
      <x:color rgb="FF183A55"/>
      <x:name val="Arial"/>
    </x:font>
    <x:font>
      <x:b/>
      <x:sz val="18"/>
      <x:color rgb="FF183A55"/>
      <x:name val="Arial"/>
    </x:font>
    <x:font>
      <x:b/>
      <x:sz val="12"/>
      <x:color rgb="FFFFFFFF"/>
      <x:name val="Arial"/>
    </x:font>
    <x:font>
      <x:sz val="12"/>
      <x:color rgb="FF0000FF"/>
      <x:name val="Arial"/>
    </x:font>
    <x:font>
      <x:b/>
      <x:sz val="12"/>
      <x:color rgb="FF183A55"/>
      <x:name val="Arial"/>
    </x:font>
    <x:font>
      <x:sz val="12"/>
      <x:color rgb="FFB52B2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86d0856c74086" /><Relationship Type="http://schemas.openxmlformats.org/officeDocument/2006/relationships/theme" Target="/xl/theme/theme1.xml" Id="Rcbc998103b634d60" /><Relationship Type="http://schemas.openxmlformats.org/officeDocument/2006/relationships/sharedStrings" Target="/xl/sharedStrings.xml" Id="R1993043d4ba14710" /><Relationship Type="http://schemas.openxmlformats.org/officeDocument/2006/relationships/worksheet" Target="/xl/worksheets/sheet1.xml" Id="Radf34543f7b14745" /><Relationship Type="http://schemas.openxmlformats.org/officeDocument/2006/relationships/worksheet" Target="/xl/worksheets/sheet2.xml" Id="Rb1f33c9be8d3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2"/>
      <x:c r="B2" s="3" t="str">
        <x:v>P&amp;G Jan–Mar 2026: forecast review</x:v>
      </x:c>
      <x:c r="C2" s="2"/>
      <x:c r="D2" s="2"/>
      <x:c r="E2" s="2"/>
      <x:c r="F2" s="2"/>
      <x:c r="G2" s="2"/>
      <x:c r="H2" s="2"/>
      <x:c r="I2" s="2"/>
    </x:row>
    <x:row r="3" ht="28" customHeight="1">
      <x:c r="A3" s="2"/>
      <x:c r="B3" s="2" t="str">
        <x:v>Initial: 22 Jan. Update: 23 Apr. Actuals released: 24 Apr 2026.</x:v>
      </x:c>
      <x:c r="C3" s="2"/>
      <x:c r="D3" s="2"/>
      <x:c r="E3" s="2"/>
      <x:c r="F3" s="2"/>
      <x:c r="G3" s="2"/>
      <x:c r="H3" s="2"/>
      <x:c r="I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8" customHeight="1">
      <x:c r="A5" s="2"/>
      <x:c r="B5" s="7" t="str">
        <x:v>Measure</x:v>
      </x:c>
      <x:c r="C5" s="7" t="str">
        <x:v>22 Jan</x:v>
      </x:c>
      <x:c r="D5" s="7" t="str">
        <x:v>23 Apr</x:v>
      </x:c>
      <x:c r="E5" s="7" t="str">
        <x:v>Actual</x:v>
      </x:c>
      <x:c r="F5" s="7" t="str">
        <x:v>Jan error</x:v>
      </x:c>
      <x:c r="G5" s="7" t="str">
        <x:v>Apr error</x:v>
      </x:c>
      <x:c r="H5" s="2"/>
      <x:c r="I5" s="2"/>
    </x:row>
    <x:row r="6" ht="48" customHeight="1">
      <x:c r="A6" s="2"/>
      <x:c r="B6" s="10" t="str">
        <x:v>Baby / Feminine / Family volume</x:v>
      </x:c>
      <x:c r="C6" s="14" t="n">
        <x:f>'Dated inputs'!C6</x:f>
        <x:v>-1.75</x:v>
      </x:c>
      <x:c r="D6" s="14" t="n">
        <x:f>'Dated inputs'!D6</x:f>
        <x:v>-1.75</x:v>
      </x:c>
      <x:c r="E6" s="14" t="n">
        <x:f>'Dated inputs'!E6</x:f>
        <x:v>3</x:v>
      </x:c>
      <x:c r="F6" s="14" t="n">
        <x:f>ABS(C6-E6)</x:f>
        <x:v>4.75</x:v>
      </x:c>
      <x:c r="G6" s="14" t="n">
        <x:f>ABS(D6-E6)</x:f>
        <x:v>4.75</x:v>
      </x:c>
      <x:c r="H6" s="2"/>
      <x:c r="I6" s="2"/>
    </x:row>
    <x:row r="7" ht="48" customHeight="1">
      <x:c r="A7" s="2"/>
      <x:c r="B7" s="10" t="str">
        <x:v>Beauty organic sales</x:v>
      </x:c>
      <x:c r="C7" s="14" t="n">
        <x:f>'Dated inputs'!C7</x:f>
        <x:v>3.7247100906864166</x:v>
      </x:c>
      <x:c r="D7" s="14" t="n">
        <x:f>'Dated inputs'!D7</x:f>
        <x:v>2.760033746353253</x:v>
      </x:c>
      <x:c r="E7" s="14" t="n">
        <x:f>'Dated inputs'!E7</x:f>
        <x:v>7</x:v>
      </x:c>
      <x:c r="F7" s="14" t="n">
        <x:f>ABS(C7-E7)</x:f>
        <x:v>3.2752899093135834</x:v>
      </x:c>
      <x:c r="G7" s="14" t="n">
        <x:f>ABS(D7-E7)</x:f>
        <x:v>4.239966253646747</x:v>
      </x:c>
      <x:c r="H7" s="2"/>
      <x:c r="I7" s="2"/>
    </x:row>
    <x:row r="8" ht="48" customHeight="1">
      <x:c r="A8" s="2"/>
      <x:c r="B8" s="10" t="str">
        <x:v>Beauty volume</x:v>
      </x:c>
      <x:c r="C8" s="8" t="n">
        <x:f>'Dated inputs'!C8</x:f>
        <x:v>3</x:v>
      </x:c>
      <x:c r="D8" s="8" t="n">
        <x:f>'Dated inputs'!D8</x:f>
        <x:v>3</x:v>
      </x:c>
      <x:c r="E8" s="8" t="n">
        <x:f>'Dated inputs'!E8</x:f>
        <x:v>5</x:v>
      </x:c>
      <x:c r="F8" s="8" t="n">
        <x:f>ABS(C8-E8)</x:f>
        <x:v>2</x:v>
      </x:c>
      <x:c r="G8" s="8" t="n">
        <x:f>ABS(D8-E8)</x:f>
        <x:v>2</x:v>
      </x:c>
      <x:c r="H8" s="2"/>
      <x:c r="I8" s="2"/>
    </x:row>
    <x:row r="9" ht="48" customHeight="1">
      <x:c r="A9" s="2"/>
      <x:c r="B9" s="10" t="str">
        <x:v>Beauty pricing</x:v>
      </x:c>
      <x:c r="C9" s="8" t="n">
        <x:f>'Dated inputs'!C9</x:f>
        <x:v>2</x:v>
      </x:c>
      <x:c r="D9" s="8" t="n">
        <x:f>'Dated inputs'!D9</x:f>
        <x:v>4.062744200341792</x:v>
      </x:c>
      <x:c r="E9" s="8" t="n">
        <x:f>'Dated inputs'!E9</x:f>
        <x:v>1</x:v>
      </x:c>
      <x:c r="F9" s="8" t="n">
        <x:f>ABS(C9-E9)</x:f>
        <x:v>1</x:v>
      </x:c>
      <x:c r="G9" s="8" t="n">
        <x:f>ABS(D9-E9)</x:f>
        <x:v>3.0627442003417924</x:v>
      </x:c>
      <x:c r="H9" s="2"/>
      <x:c r="I9" s="2"/>
    </x:row>
    <x:row r="10" ht="48" customHeight="1">
      <x:c r="A10" s="2"/>
      <x:c r="B10" s="10" t="str">
        <x:v>Fabric &amp; Home volume</x:v>
      </x:c>
      <x:c r="C10" s="8" t="n">
        <x:f>'Dated inputs'!C10</x:f>
        <x:v>-1</x:v>
      </x:c>
      <x:c r="D10" s="8" t="n">
        <x:f>'Dated inputs'!D10</x:f>
        <x:v>-1</x:v>
      </x:c>
      <x:c r="E10" s="8" t="n">
        <x:f>'Dated inputs'!E10</x:f>
        <x:v>2</x:v>
      </x:c>
      <x:c r="F10" s="8" t="n">
        <x:f>ABS(C10-E10)</x:f>
        <x:v>3</x:v>
      </x:c>
      <x:c r="G10" s="8" t="n">
        <x:f>ABS(D10-E10)</x:f>
        <x:v>3</x:v>
      </x:c>
      <x:c r="H10" s="2"/>
      <x:c r="I10" s="2"/>
    </x:row>
    <x:row r="11" ht="48" customHeight="1">
      <x:c r="A11" s="2"/>
      <x:c r="B11" s="10" t="str">
        <x:v>Health Care pricing</x:v>
      </x:c>
      <x:c r="C11" s="8" t="n">
        <x:f>'Dated inputs'!C11</x:f>
        <x:v>1</x:v>
      </x:c>
      <x:c r="D11" s="8" t="n">
        <x:f>'Dated inputs'!D11</x:f>
        <x:v>1.9441170598736566</x:v>
      </x:c>
      <x:c r="E11" s="8" t="n">
        <x:f>'Dated inputs'!E11</x:f>
        <x:v>2</x:v>
      </x:c>
      <x:c r="F11" s="8" t="n">
        <x:f>ABS(C11-E11)</x:f>
        <x:v>1</x:v>
      </x:c>
      <x:c r="G11" s="8" t="n">
        <x:f>ABS(D11-E11)</x:f>
        <x:v>0.05588294012634343</x:v>
      </x:c>
      <x:c r="H11" s="2"/>
      <x:c r="I11" s="2"/>
    </x:row>
    <x:row r="12" ht="28" customHeight="1">
      <x:c r="A12" s="2"/>
      <x:c r="B12" s="2"/>
      <x:c r="C12" s="8"/>
      <x:c r="D12" s="8"/>
      <x:c r="E12" s="8"/>
      <x:c r="F12" s="8"/>
      <x:c r="G12" s="8"/>
      <x:c r="H12" s="2"/>
      <x:c r="I12" s="2"/>
    </x:row>
    <x:row r="13" ht="28" customHeight="1">
      <x:c r="A13" s="2"/>
      <x:c r="B13" s="12" t="str">
        <x:v>Mean absolute error (pp)</x:v>
      </x:c>
      <x:c r="C13" s="13"/>
      <x:c r="D13" s="13"/>
      <x:c r="E13" s="13"/>
      <x:c r="F13" s="13" t="n">
        <x:f>AVERAGE(F6:F11)</x:f>
        <x:v>2.5042149848855972</x:v>
      </x:c>
      <x:c r="G13" s="13" t="n">
        <x:f>AVERAGE(G6:G11)</x:f>
        <x:v>2.8514322323524808</x:v>
      </x:c>
      <x:c r="H13" s="2"/>
      <x:c r="I13" s="2"/>
    </x:row>
    <x:row r="14" ht="28" customHeight="1">
      <x:c r="A14" s="2"/>
      <x:c r="B14" s="2"/>
      <x:c r="C14" s="8"/>
      <x:c r="D14" s="8"/>
      <x:c r="E14" s="8"/>
      <x:c r="F14" s="8"/>
      <x:c r="G14" s="8"/>
      <x:c r="H14" s="2"/>
      <x:c r="I14" s="2"/>
    </x:row>
    <x:row r="15" ht="28" customHeight="1">
      <x:c r="A15" s="2"/>
      <x:c r="B15" s="2" t="str">
        <x:v>Growth is %, pricing contribution is pp. Errors are percentage points.</x:v>
      </x:c>
      <x:c r="C15" s="2"/>
      <x:c r="D15" s="2"/>
      <x:c r="E15" s="2"/>
      <x:c r="F15" s="2"/>
      <x:c r="G15" s="2"/>
      <x:c r="H15" s="2"/>
      <x:c r="I15" s="2"/>
    </x:row>
    <x:row r="16" ht="28" customHeight="1">
      <x:c r="A16" s="2"/>
      <x:c r="B16" s="2" t="str">
        <x:v>The update is less accurate. Four-quarter mean benchmark error: 2.63pp.</x:v>
      </x:c>
      <x:c r="C16" s="2"/>
      <x:c r="D16" s="2"/>
      <x:c r="E16" s="2"/>
      <x:c r="F16" s="2"/>
      <x:c r="G16" s="2"/>
      <x:c r="H16" s="2"/>
      <x:c r="I16" s="2"/>
    </x:row>
    <x:row r="17" ht="28" customHeight="1">
      <x:c r="A17" s="2"/>
      <x:c r="B17" s="2" t="str">
        <x:v>Retrospective model design: this is not an untouched forecast test.</x:v>
      </x:c>
      <x:c r="C17" s="2"/>
      <x:c r="D17" s="2"/>
      <x:c r="E17" s="2"/>
      <x:c r="F17" s="2"/>
      <x:c r="G17" s="2"/>
      <x:c r="H17" s="2"/>
      <x:c r="I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48" customHeight="1">
      <x:c r="A20" s="2"/>
      <x:c r="B20" s="7" t="str">
        <x:v>23 Apr risk interval</x:v>
      </x:c>
      <x:c r="C20" s="7" t="str">
        <x:v>Forecast</x:v>
      </x:c>
      <x:c r="D20" s="7" t="str">
        <x:v>P10</x:v>
      </x:c>
      <x:c r="E20" s="7" t="str">
        <x:v>P90</x:v>
      </x:c>
      <x:c r="F20" s="7" t="str">
        <x:v>Within ±1pp</x:v>
      </x:c>
      <x:c r="G20" s="7" t="str">
        <x:v>Actual</x:v>
      </x:c>
      <x:c r="H20" s="2"/>
      <x:c r="I20" s="2"/>
    </x:row>
    <x:row r="21" ht="48" customHeight="1">
      <x:c r="A21" s="2"/>
      <x:c r="B21" s="10" t="str">
        <x:v>Baby / Feminine / Family volume</x:v>
      </x:c>
      <x:c r="C21" s="8" t="n">
        <x:v>-1.75</x:v>
      </x:c>
      <x:c r="D21" s="8" t="n">
        <x:v>-4.627696497643685</x:v>
      </x:c>
      <x:c r="E21" s="8" t="n">
        <x:v>1.1129398115910971</x:v>
      </x:c>
      <x:c r="F21" s="15" t="n">
        <x:v>0.37093</x:v>
      </x:c>
      <x:c r="G21" s="8" t="n">
        <x:v>3</x:v>
      </x:c>
      <x:c r="H21" s="2"/>
      <x:c r="I21" s="2"/>
    </x:row>
    <x:row r="22" ht="48" customHeight="1">
      <x:c r="A22" s="2"/>
      <x:c r="B22" s="10" t="str">
        <x:v>Beauty organic sales</x:v>
      </x:c>
      <x:c r="C22" s="8" t="n">
        <x:v>2.760033746353253</x:v>
      </x:c>
      <x:c r="D22" s="8" t="n">
        <x:v>-0.5832043241250672</x:v>
      </x:c>
      <x:c r="E22" s="8" t="n">
        <x:v>6.1070955324315985</x:v>
      </x:c>
      <x:c r="F22" s="15" t="n">
        <x:v>0.32317</x:v>
      </x:c>
      <x:c r="G22" s="8" t="n">
        <x:v>7</x:v>
      </x:c>
      <x:c r="H22" s="2"/>
      <x:c r="I22" s="2"/>
    </x:row>
    <x:row r="23" ht="48" customHeight="1">
      <x:c r="A23" s="2"/>
      <x:c r="B23" s="10" t="str">
        <x:v>Beauty volume</x:v>
      </x:c>
      <x:c r="C23" s="8" t="n">
        <x:v>3</x:v>
      </x:c>
      <x:c r="D23" s="8" t="n">
        <x:v>1.271083152820829</x:v>
      </x:c>
      <x:c r="E23" s="8" t="n">
        <x:v>4.725094665798987</x:v>
      </x:c>
      <x:c r="F23" s="15" t="n">
        <x:v>0.56997</x:v>
      </x:c>
      <x:c r="G23" s="8" t="n">
        <x:v>5</x:v>
      </x:c>
      <x:c r="H23" s="2"/>
      <x:c r="I23" s="2"/>
    </x:row>
    <x:row r="24" ht="48" customHeight="1">
      <x:c r="A24" s="2"/>
      <x:c r="B24" s="10" t="str">
        <x:v>Beauty pricing</x:v>
      </x:c>
      <x:c r="C24" s="8" t="n">
        <x:v>4.062744200341792</x:v>
      </x:c>
      <x:c r="D24" s="8" t="n">
        <x:v>2.759053705261446</x:v>
      </x:c>
      <x:c r="E24" s="8" t="n">
        <x:v>5.364609975154158</x:v>
      </x:c>
      <x:c r="F24" s="15" t="n">
        <x:v>0.69225</x:v>
      </x:c>
      <x:c r="G24" s="8" t="n">
        <x:v>1</x:v>
      </x:c>
      <x:c r="H24" s="2"/>
      <x:c r="I24" s="2"/>
    </x:row>
    <x:row r="25" ht="48" customHeight="1">
      <x:c r="A25" s="2"/>
      <x:c r="B25" s="10" t="str">
        <x:v>Fabric &amp; Home volume</x:v>
      </x:c>
      <x:c r="C25" s="8" t="n">
        <x:v>-1</x:v>
      </x:c>
      <x:c r="D25" s="8" t="n">
        <x:v>-3.204883772194012</x:v>
      </x:c>
      <x:c r="E25" s="8" t="n">
        <x:v>1.1872606211273142</x:v>
      </x:c>
      <x:c r="F25" s="15" t="n">
        <x:v>0.46957</x:v>
      </x:c>
      <x:c r="G25" s="8" t="n">
        <x:v>2</x:v>
      </x:c>
      <x:c r="H25" s="2"/>
      <x:c r="I25" s="2"/>
    </x:row>
    <x:row r="26" ht="48" customHeight="1">
      <x:c r="A26" s="2"/>
      <x:c r="B26" s="10" t="str">
        <x:v>Health Care pricing</x:v>
      </x:c>
      <x:c r="C26" s="8" t="n">
        <x:v>1.9441170598736566</x:v>
      </x:c>
      <x:c r="D26" s="8" t="n">
        <x:v>0.8083521969275698</x:v>
      </x:c>
      <x:c r="E26" s="8" t="n">
        <x:v>3.090241579744236</x:v>
      </x:c>
      <x:c r="F26" s="15" t="n">
        <x:v>0.74637</x:v>
      </x:c>
      <x:c r="G26" s="8" t="n">
        <x:v>2</x:v>
      </x:c>
      <x:c r="H26" s="2"/>
      <x:c r="I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8" customHeight="1">
      <x:c r="A28" s="2"/>
      <x:c r="B28" s="2" t="str">
        <x:v>Only 1 of 6 actual outcomes falls inside the updated 80% model intervals.</x:v>
      </x:c>
      <x:c r="C28" s="2"/>
      <x:c r="D28" s="2"/>
      <x:c r="E28" s="2"/>
      <x:c r="F28" s="2"/>
      <x:c r="G28" s="2"/>
      <x:c r="H28" s="2"/>
      <x:c r="I28" s="2"/>
    </x:row>
    <x:row r="29" ht="28" customHeight="1">
      <x:c r="A29" s="2"/>
      <x:c r="B29" s="2" t="str">
        <x:v>These probabilities are conditional estimates; they are not reliable frequencies.</x:v>
      </x:c>
      <x:c r="C29" s="2"/>
      <x:c r="D29" s="2"/>
      <x:c r="E29" s="2"/>
      <x:c r="F29" s="2"/>
      <x:c r="G29" s="2"/>
      <x:c r="H29" s="2"/>
      <x:c r="I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48" customHeight="1">
      <x:c r="A32" s="2"/>
      <x:c r="B32" s="7" t="str">
        <x:v>Historical review</x:v>
      </x:c>
      <x:c r="C32" s="7" t="str">
        <x:v>Initial</x:v>
      </x:c>
      <x:c r="D32" s="7" t="str">
        <x:v>Pre-release</x:v>
      </x:c>
      <x:c r="E32" s="2"/>
      <x:c r="F32" s="2"/>
      <x:c r="G32" s="2"/>
      <x:c r="H32" s="2"/>
      <x:c r="I32" s="2"/>
    </x:row>
    <x:row r="33" ht="28" customHeight="1">
      <x:c r="A33" s="2"/>
      <x:c r="B33" s="2" t="str">
        <x:v>Mean absolute error (pp)</x:v>
      </x:c>
      <x:c r="C33" s="8" t="n">
        <x:v>1.4333758834938282</x:v>
      </x:c>
      <x:c r="D33" s="8" t="n">
        <x:v>1.5005779970036703</x:v>
      </x:c>
      <x:c r="E33" s="2"/>
      <x:c r="F33" s="2"/>
      <x:c r="G33" s="2"/>
      <x:c r="H33" s="2"/>
      <x:c r="I33" s="2"/>
    </x:row>
    <x:row r="34" ht="28" customHeight="1">
      <x:c r="A34" s="2"/>
      <x:c r="B34" s="2" t="str">
        <x:v>Interval outcomes tested</x:v>
      </x:c>
      <x:c r="C34" s="2" t="n">
        <x:v>18</x:v>
      </x:c>
      <x:c r="D34" s="2" t="n">
        <x:v>16</x:v>
      </x:c>
      <x:c r="E34" s="2"/>
      <x:c r="F34" s="2"/>
      <x:c r="G34" s="2"/>
      <x:c r="H34" s="2"/>
      <x:c r="I34" s="2"/>
    </x:row>
    <x:row r="35" ht="28" customHeight="1">
      <x:c r="A35" s="2"/>
      <x:c r="B35" s="2" t="str">
        <x:v>Observed interval coverage</x:v>
      </x:c>
      <x:c r="C35" s="15" t="n">
        <x:v>0.7777777777777778</x:v>
      </x:c>
      <x:c r="D35" s="15" t="n">
        <x:v>0.75</x:v>
      </x:c>
      <x:c r="E35" s="2"/>
      <x:c r="F35" s="2"/>
      <x:c r="G35" s="2"/>
      <x:c r="H35" s="2"/>
      <x:c r="I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8" customHeight="1">
      <x:c r="A37" s="2"/>
      <x:c r="B37" s="2" t="str">
        <x:v>Some historical input gaps cause unequal samples; see the report.</x:v>
      </x:c>
      <x:c r="C37" s="2"/>
      <x:c r="D37" s="2"/>
      <x:c r="E37" s="2"/>
      <x:c r="F37" s="2"/>
      <x:c r="G37" s="2"/>
      <x:c r="H37" s="2"/>
      <x:c r="I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2"/>
      <x:c r="B2" s="2" t="str">
        <x:v>Saved forecasts and dated market inputs</x:v>
      </x:c>
      <x:c r="C2" s="2"/>
      <x:c r="D2" s="2"/>
      <x:c r="E2" s="2"/>
      <x:c r="F2" s="2"/>
      <x:c r="G2" s="2"/>
      <x:c r="H2" s="2"/>
      <x:c r="I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8" customHeight="1">
      <x:c r="A5" s="2"/>
      <x:c r="B5" s="7" t="str">
        <x:v>Measure</x:v>
      </x:c>
      <x:c r="C5" s="7" t="str">
        <x:v>22 Jan</x:v>
      </x:c>
      <x:c r="D5" s="7" t="str">
        <x:v>23 Apr</x:v>
      </x:c>
      <x:c r="E5" s="7" t="str">
        <x:v>Actual</x:v>
      </x:c>
      <x:c r="F5" s="7" t="str">
        <x:v>Last actual</x:v>
      </x:c>
      <x:c r="G5" s="7" t="str">
        <x:v>Four-quarter mean</x:v>
      </x:c>
      <x:c r="H5" s="2"/>
      <x:c r="I5" s="2"/>
    </x:row>
    <x:row r="6" ht="48" customHeight="1">
      <x:c r="A6" s="2"/>
      <x:c r="B6" s="10" t="str">
        <x:v>Baby / Feminine / Family volume</x:v>
      </x:c>
      <x:c r="C6" s="9" t="n">
        <x:v>-1.75</x:v>
      </x:c>
      <x:c r="D6" s="9" t="n">
        <x:v>-1.75</x:v>
      </x:c>
      <x:c r="E6" s="9" t="n">
        <x:v>3</x:v>
      </x:c>
      <x:c r="F6" s="9" t="n">
        <x:v>-5</x:v>
      </x:c>
      <x:c r="G6" s="9" t="n">
        <x:v>-1.75</x:v>
      </x:c>
      <x:c r="H6" s="2"/>
      <x:c r="I6" s="2"/>
    </x:row>
    <x:row r="7" ht="48" customHeight="1">
      <x:c r="A7" s="2"/>
      <x:c r="B7" s="10" t="str">
        <x:v>Beauty organic sales</x:v>
      </x:c>
      <x:c r="C7" s="9" t="n">
        <x:v>3.7247100906864166</x:v>
      </x:c>
      <x:c r="D7" s="9" t="n">
        <x:v>2.760033746353253</x:v>
      </x:c>
      <x:c r="E7" s="9" t="n">
        <x:v>7</x:v>
      </x:c>
      <x:c r="F7" s="9" t="n">
        <x:v>4</x:v>
      </x:c>
      <x:c r="G7" s="9" t="n">
        <x:v>3.25</x:v>
      </x:c>
      <x:c r="H7" s="2"/>
      <x:c r="I7" s="2"/>
    </x:row>
    <x:row r="8" ht="48" customHeight="1">
      <x:c r="A8" s="2"/>
      <x:c r="B8" s="10" t="str">
        <x:v>Beauty volume</x:v>
      </x:c>
      <x:c r="C8" s="9" t="n">
        <x:v>3</x:v>
      </x:c>
      <x:c r="D8" s="9" t="n">
        <x:v>3</x:v>
      </x:c>
      <x:c r="E8" s="9" t="n">
        <x:v>5</x:v>
      </x:c>
      <x:c r="F8" s="9" t="n">
        <x:v>3</x:v>
      </x:c>
      <x:c r="G8" s="9" t="n">
        <x:v>2.25</x:v>
      </x:c>
      <x:c r="H8" s="2"/>
      <x:c r="I8" s="2"/>
    </x:row>
    <x:row r="9" ht="48" customHeight="1">
      <x:c r="A9" s="2"/>
      <x:c r="B9" s="10" t="str">
        <x:v>Beauty pricing</x:v>
      </x:c>
      <x:c r="C9" s="9" t="n">
        <x:v>2</x:v>
      </x:c>
      <x:c r="D9" s="9" t="n">
        <x:v>4.062744200341792</x:v>
      </x:c>
      <x:c r="E9" s="9" t="n">
        <x:v>1</x:v>
      </x:c>
      <x:c r="F9" s="9" t="n">
        <x:v>2</x:v>
      </x:c>
      <x:c r="G9" s="9" t="n">
        <x:v>2</x:v>
      </x:c>
      <x:c r="H9" s="2"/>
      <x:c r="I9" s="2"/>
    </x:row>
    <x:row r="10" ht="48" customHeight="1">
      <x:c r="A10" s="2"/>
      <x:c r="B10" s="10" t="str">
        <x:v>Fabric &amp; Home volume</x:v>
      </x:c>
      <x:c r="C10" s="9" t="n">
        <x:v>-1</x:v>
      </x:c>
      <x:c r="D10" s="9" t="n">
        <x:v>-1</x:v>
      </x:c>
      <x:c r="E10" s="9" t="n">
        <x:v>2</x:v>
      </x:c>
      <x:c r="F10" s="9" t="n">
        <x:v>0</x:v>
      </x:c>
      <x:c r="G10" s="9" t="n">
        <x:v>-0.5</x:v>
      </x:c>
      <x:c r="H10" s="2"/>
      <x:c r="I10" s="2"/>
    </x:row>
    <x:row r="11" ht="48" customHeight="1">
      <x:c r="A11" s="2"/>
      <x:c r="B11" s="10" t="str">
        <x:v>Health Care pricing</x:v>
      </x:c>
      <x:c r="C11" s="9" t="n">
        <x:v>1</x:v>
      </x:c>
      <x:c r="D11" s="9" t="n">
        <x:v>1.9441170598736566</x:v>
      </x:c>
      <x:c r="E11" s="9" t="n">
        <x:v>2</x:v>
      </x:c>
      <x:c r="F11" s="9" t="n">
        <x:v>1</x:v>
      </x:c>
      <x:c r="G11" s="9" t="n">
        <x:v>1</x:v>
      </x:c>
      <x:c r="H11" s="2"/>
      <x:c r="I11" s="2"/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8" customHeight="1">
      <x:c r="A13" s="2"/>
      <x:c r="B13" s="2" t="str">
        <x:v>Model and simulation run in Python. Excel recalculates comparison errors.</x:v>
      </x:c>
      <x:c r="C13" s="2"/>
      <x:c r="D13" s="2"/>
      <x:c r="E13" s="2"/>
      <x:c r="F13" s="2"/>
      <x:c r="G13" s="2"/>
      <x:c r="H13" s="2"/>
      <x:c r="I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48" customHeight="1">
      <x:c r="A16" s="2"/>
      <x:c r="B16" s="7" t="str">
        <x:v>Measure / stage</x:v>
      </x:c>
      <x:c r="C16" s="7" t="str">
        <x:v>Cutoff</x:v>
      </x:c>
      <x:c r="D16" s="7" t="str">
        <x:v>Vintage</x:v>
      </x:c>
      <x:c r="E16" s="7" t="str">
        <x:v>Latest month</x:v>
      </x:c>
      <x:c r="F16" s="7" t="str">
        <x:v>Observed months</x:v>
      </x:c>
      <x:c r="G16" s="2"/>
      <x:c r="H16" s="2"/>
      <x:c r="I16" s="2"/>
    </x:row>
    <x:row r="17" ht="48" customHeight="1">
      <x:c r="A17" s="2"/>
      <x:c r="B17" s="10" t="str">
        <x:v>Baby / Feminine / Family volume / Initial</x:v>
      </x:c>
      <x:c r="C17" s="11" t="n">
        <x:v>46044</x:v>
      </x:c>
      <x:c r="D17" s="11" t="n">
        <x:v>46044</x:v>
      </x:c>
      <x:c r="E17" s="11" t="n">
        <x:v>45962</x:v>
      </x:c>
      <x:c r="F17" s="2" t="n">
        <x:v>0</x:v>
      </x:c>
      <x:c r="G17" s="2"/>
      <x:c r="H17" s="2"/>
      <x:c r="I17" s="2"/>
    </x:row>
    <x:row r="18" ht="48" customHeight="1">
      <x:c r="A18" s="2"/>
      <x:c r="B18" s="10" t="str">
        <x:v>Beauty organic sales / Initial</x:v>
      </x:c>
      <x:c r="C18" s="11" t="n">
        <x:v>46044</x:v>
      </x:c>
      <x:c r="D18" s="11" t="n">
        <x:v>46044</x:v>
      </x:c>
      <x:c r="E18" s="11" t="n">
        <x:v>45962</x:v>
      </x:c>
      <x:c r="F18" s="2" t="n">
        <x:v>0</x:v>
      </x:c>
      <x:c r="G18" s="2"/>
      <x:c r="H18" s="2"/>
      <x:c r="I18" s="2"/>
    </x:row>
    <x:row r="19" ht="48" customHeight="1">
      <x:c r="A19" s="2"/>
      <x:c r="B19" s="10" t="str">
        <x:v>Beauty volume / Initial</x:v>
      </x:c>
      <x:c r="C19" s="11" t="n">
        <x:v>46044</x:v>
      </x:c>
      <x:c r="D19" s="11" t="n">
        <x:v>46044</x:v>
      </x:c>
      <x:c r="E19" s="11" t="n">
        <x:v>45962</x:v>
      </x:c>
      <x:c r="F19" s="2" t="n">
        <x:v>0</x:v>
      </x:c>
      <x:c r="G19" s="2"/>
      <x:c r="H19" s="2"/>
      <x:c r="I19" s="2"/>
    </x:row>
    <x:row r="20" ht="48" customHeight="1">
      <x:c r="A20" s="2"/>
      <x:c r="B20" s="10" t="str">
        <x:v>Beauty pricing / Initial</x:v>
      </x:c>
      <x:c r="C20" s="11" t="n">
        <x:v>46044</x:v>
      </x:c>
      <x:c r="D20" s="11" t="n">
        <x:v>46044</x:v>
      </x:c>
      <x:c r="E20" s="11" t="n">
        <x:v>45992</x:v>
      </x:c>
      <x:c r="F20" s="2" t="n">
        <x:v>0</x:v>
      </x:c>
      <x:c r="G20" s="2"/>
      <x:c r="H20" s="2"/>
      <x:c r="I20" s="2"/>
    </x:row>
    <x:row r="21" ht="48" customHeight="1">
      <x:c r="A21" s="2"/>
      <x:c r="B21" s="10" t="str">
        <x:v>Fabric &amp; Home volume / Initial</x:v>
      </x:c>
      <x:c r="C21" s="11" t="n">
        <x:v>46044</x:v>
      </x:c>
      <x:c r="D21" s="11" t="n">
        <x:v>46044</x:v>
      </x:c>
      <x:c r="E21" s="11" t="n">
        <x:v>45962</x:v>
      </x:c>
      <x:c r="F21" s="2" t="n">
        <x:v>0</x:v>
      </x:c>
      <x:c r="G21" s="2"/>
      <x:c r="H21" s="2"/>
      <x:c r="I21" s="2"/>
    </x:row>
    <x:row r="22" ht="48" customHeight="1">
      <x:c r="A22" s="2"/>
      <x:c r="B22" s="10" t="str">
        <x:v>Health Care pricing / Initial</x:v>
      </x:c>
      <x:c r="C22" s="11" t="n">
        <x:v>46044</x:v>
      </x:c>
      <x:c r="D22" s="11" t="n">
        <x:v>46044</x:v>
      </x:c>
      <x:c r="E22" s="11" t="n">
        <x:v>45992</x:v>
      </x:c>
      <x:c r="F22" s="2" t="n">
        <x:v>0</x:v>
      </x:c>
      <x:c r="G22" s="2"/>
      <x:c r="H22" s="2"/>
      <x:c r="I22" s="2"/>
    </x:row>
    <x:row r="23" ht="48" customHeight="1">
      <x:c r="A23" s="2"/>
      <x:c r="B23" s="10" t="str">
        <x:v>Baby / Feminine / Family volume / Pre-release</x:v>
      </x:c>
      <x:c r="C23" s="11" t="n">
        <x:v>46135</x:v>
      </x:c>
      <x:c r="D23" s="11" t="n">
        <x:v>46135</x:v>
      </x:c>
      <x:c r="E23" s="11" t="n">
        <x:v>46054</x:v>
      </x:c>
      <x:c r="F23" s="2" t="n">
        <x:v>2</x:v>
      </x:c>
      <x:c r="G23" s="2"/>
      <x:c r="H23" s="2"/>
      <x:c r="I23" s="2"/>
    </x:row>
    <x:row r="24" ht="48" customHeight="1">
      <x:c r="A24" s="2"/>
      <x:c r="B24" s="10" t="str">
        <x:v>Beauty organic sales / Pre-release</x:v>
      </x:c>
      <x:c r="C24" s="11" t="n">
        <x:v>46135</x:v>
      </x:c>
      <x:c r="D24" s="11" t="n">
        <x:v>46135</x:v>
      </x:c>
      <x:c r="E24" s="11" t="n">
        <x:v>46082</x:v>
      </x:c>
      <x:c r="F24" s="2" t="n">
        <x:v>3</x:v>
      </x:c>
      <x:c r="G24" s="2"/>
      <x:c r="H24" s="2"/>
      <x:c r="I24" s="2"/>
    </x:row>
    <x:row r="25" ht="48" customHeight="1">
      <x:c r="A25" s="2"/>
      <x:c r="B25" s="10" t="str">
        <x:v>Beauty volume / Pre-release</x:v>
      </x:c>
      <x:c r="C25" s="11" t="n">
        <x:v>46135</x:v>
      </x:c>
      <x:c r="D25" s="11" t="n">
        <x:v>46135</x:v>
      </x:c>
      <x:c r="E25" s="11" t="n">
        <x:v>46054</x:v>
      </x:c>
      <x:c r="F25" s="2" t="n">
        <x:v>2</x:v>
      </x:c>
      <x:c r="G25" s="2"/>
      <x:c r="H25" s="2"/>
      <x:c r="I25" s="2"/>
    </x:row>
    <x:row r="26" ht="48" customHeight="1">
      <x:c r="A26" s="2"/>
      <x:c r="B26" s="10" t="str">
        <x:v>Beauty pricing / Pre-release</x:v>
      </x:c>
      <x:c r="C26" s="11" t="n">
        <x:v>46135</x:v>
      </x:c>
      <x:c r="D26" s="11" t="n">
        <x:v>46135</x:v>
      </x:c>
      <x:c r="E26" s="11" t="n">
        <x:v>46082</x:v>
      </x:c>
      <x:c r="F26" s="2" t="n">
        <x:v>3</x:v>
      </x:c>
      <x:c r="G26" s="2"/>
      <x:c r="H26" s="2"/>
      <x:c r="I26" s="2"/>
    </x:row>
    <x:row r="27" ht="48" customHeight="1">
      <x:c r="A27" s="2"/>
      <x:c r="B27" s="10" t="str">
        <x:v>Fabric &amp; Home volume / Pre-release</x:v>
      </x:c>
      <x:c r="C27" s="11" t="n">
        <x:v>46135</x:v>
      </x:c>
      <x:c r="D27" s="11" t="n">
        <x:v>46135</x:v>
      </x:c>
      <x:c r="E27" s="11" t="n">
        <x:v>46054</x:v>
      </x:c>
      <x:c r="F27" s="2" t="n">
        <x:v>2</x:v>
      </x:c>
      <x:c r="G27" s="2"/>
      <x:c r="H27" s="2"/>
      <x:c r="I27" s="2"/>
    </x:row>
    <x:row r="28" ht="48" customHeight="1">
      <x:c r="A28" s="2"/>
      <x:c r="B28" s="10" t="str">
        <x:v>Health Care pricing / Pre-release</x:v>
      </x:c>
      <x:c r="C28" s="11" t="n">
        <x:v>46135</x:v>
      </x:c>
      <x:c r="D28" s="11" t="n">
        <x:v>46135</x:v>
      </x:c>
      <x:c r="E28" s="11" t="n">
        <x:v>46082</x:v>
      </x:c>
      <x:c r="F28" s="2" t="n">
        <x:v>3</x:v>
      </x:c>
      <x:c r="G28" s="2"/>
      <x:c r="H28" s="2"/>
      <x:c r="I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8" customHeight="1">
      <x:c r="A31" s="2"/>
      <x:c r="B31" s="2" t="str">
        <x:v>Sources</x:v>
      </x:c>
      <x:c r="C31" s="2"/>
      <x:c r="D31" s="2"/>
      <x:c r="E31" s="2"/>
      <x:c r="F31" s="2"/>
      <x:c r="G31" s="2"/>
      <x:c r="H31" s="2"/>
      <x:c r="I31" s="2"/>
    </x:row>
    <x:row r="32" ht="28" customHeight="1">
      <x:c r="A32" s="2"/>
      <x:c r="B32" s="2" t="str">
        <x:v>Company actuals: Jan–Mar 2026 net sales drivers</x:v>
      </x:c>
      <x:c r="C32" s="2"/>
      <x:c r="D32" s="2"/>
      <x:c r="E32" s="2"/>
      <x:c r="F32" s="2"/>
      <x:c r="G32" s="2"/>
      <x:c r="H32" s="2"/>
      <x:c r="I32" s="2"/>
    </x:row>
    <x:row r="33" ht="28" customHeight="1">
      <x:c r="A33" s="2"/>
      <x:c r="B33" s="2"/>
      <x:c r="C33" s="2" t="str">
        <x:v>https://www.pginvestor.com/news/news-details/2026/PG-Announces-Fiscal-Year-2026-Third-Quarter-Results/default.aspx</x:v>
      </x:c>
      <x:c r="D33" s="2"/>
      <x:c r="E33" s="2"/>
      <x:c r="F33" s="2"/>
      <x:c r="G33" s="2"/>
      <x:c r="H33" s="2"/>
      <x:c r="I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8" customHeight="1">
      <x:c r="A35" s="2"/>
      <x:c r="B35" s="2" t="str">
        <x:v>Pre-cutoff input audit and dated CSV links</x:v>
      </x:c>
      <x:c r="C35" s="2"/>
      <x:c r="D35" s="2"/>
      <x:c r="E35" s="2"/>
      <x:c r="F35" s="2"/>
      <x:c r="G35" s="2"/>
      <x:c r="H35" s="2"/>
      <x:c r="I35" s="2"/>
    </x:row>
    <x:row r="36" ht="28" customHeight="1">
      <x:c r="A36" s="2"/>
      <x:c r="B36" s="2"/>
      <x:c r="C36" s="2" t="str">
        <x:v>https://github.com/hoichengit/Portfolio-Guide/blob/codex/pg-external-analysis/data/jan_mar_replay/release_inputs.csv</x:v>
      </x:c>
      <x:c r="D36" s="2"/>
      <x:c r="E36" s="2"/>
      <x:c r="F36" s="2"/>
      <x:c r="G36" s="2"/>
      <x:c r="H36" s="2"/>
      <x:c r="I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8" customHeight="1">
      <x:c r="A38" s="2"/>
      <x:c r="B38" s="2" t="str">
        <x:v>Simulation: 100,000 draws, Student t(5), 1pp scale floor.</x:v>
      </x:c>
      <x:c r="C38" s="2"/>
      <x:c r="D38" s="2"/>
      <x:c r="E38" s="2"/>
      <x:c r="F38" s="2"/>
      <x:c r="G38" s="2"/>
      <x:c r="H38" s="2"/>
      <x:c r="I38" s="2"/>
    </x:row>
    <x:row r="39" ht="28" customHeight="1">
      <x:c r="A39" s="2"/>
      <x:c r="B39" s="2" t="str">
        <x:v>Correlation shrunk 50% to zero. Only completed prior errors calibrate risk.</x:v>
      </x:c>
      <x:c r="C39" s="2"/>
      <x:c r="D39" s="2"/>
      <x:c r="E39" s="2"/>
      <x:c r="F39" s="2"/>
      <x:c r="G39" s="2"/>
      <x:c r="H39" s="2"/>
      <x:c r="I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</x:row>
  </x:sheetData>
  <x:pageMargins left="0.7" right="0.7" top="0.75" bottom="0.75" header="0.3" footer="0.3"/>
</x:worksheet>
</file>