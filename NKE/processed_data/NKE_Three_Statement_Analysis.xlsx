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zhiyimylove/Documents/申请工作/work/pnl_analysis_20261009/publish/NKE/processed_data/"/>
    </mc:Choice>
  </mc:AlternateContent>
  <xr:revisionPtr revIDLastSave="0" documentId="13_ncr:1_{FF72BDC3-B616-0649-8997-5B733BF79023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Summary" sheetId="1" r:id="rId1"/>
    <sheet name="NKE_1_Analysis" sheetId="2" r:id="rId2"/>
    <sheet name="NKE_2_Analysis" sheetId="3" r:id="rId3"/>
    <sheet name="NKE_3_Analysis" sheetId="4" r:id="rId4"/>
    <sheet name="NKE_4_Analysis" sheetId="5" r:id="rId5"/>
    <sheet name="NKE_5_Analysis" sheetId="6" r:id="rId6"/>
    <sheet name="NKE_6_Analysis" sheetId="7" r:id="rId7"/>
    <sheet name="NKE_7_Analysis" sheetId="8" r:id="rId8"/>
    <sheet name="NKE_8_Analysis" sheetId="9" r:id="rId9"/>
    <sheet name="NKE_9_Analysis" sheetId="10" r:id="rId10"/>
    <sheet name="Reported inpu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0" l="1"/>
  <c r="D12" i="10" s="1"/>
  <c r="B12" i="10"/>
  <c r="B10" i="10"/>
  <c r="C9" i="10"/>
  <c r="D9" i="10" s="1"/>
  <c r="B9" i="10"/>
  <c r="C8" i="10"/>
  <c r="D8" i="10" s="1"/>
  <c r="B8" i="10"/>
  <c r="C7" i="10"/>
  <c r="D7" i="10" s="1"/>
  <c r="B7" i="10"/>
  <c r="C6" i="10"/>
  <c r="D6" i="10" s="1"/>
  <c r="B6" i="10"/>
  <c r="C5" i="10"/>
  <c r="B5" i="10"/>
  <c r="B11" i="10" s="1"/>
  <c r="B13" i="10" s="1"/>
  <c r="D11" i="9"/>
  <c r="C11" i="9"/>
  <c r="B11" i="9"/>
  <c r="B14" i="9" s="1"/>
  <c r="C10" i="9"/>
  <c r="D10" i="9" s="1"/>
  <c r="B10" i="9"/>
  <c r="C9" i="9"/>
  <c r="D9" i="9" s="1"/>
  <c r="B9" i="9"/>
  <c r="B8" i="9"/>
  <c r="B7" i="9"/>
  <c r="B9" i="1" s="1"/>
  <c r="C6" i="9"/>
  <c r="C15" i="9" s="1"/>
  <c r="B6" i="9"/>
  <c r="B15" i="9" s="1"/>
  <c r="C5" i="9"/>
  <c r="D5" i="9" s="1"/>
  <c r="B5" i="9"/>
  <c r="B18" i="8"/>
  <c r="C16" i="8"/>
  <c r="C8" i="1" s="1"/>
  <c r="D8" i="1" s="1"/>
  <c r="B16" i="8"/>
  <c r="C14" i="8"/>
  <c r="D14" i="8" s="1"/>
  <c r="B14" i="8"/>
  <c r="C13" i="8"/>
  <c r="D13" i="8" s="1"/>
  <c r="B13" i="8"/>
  <c r="C12" i="8"/>
  <c r="D12" i="8" s="1"/>
  <c r="B12" i="8"/>
  <c r="D11" i="8"/>
  <c r="C11" i="8"/>
  <c r="B11" i="8"/>
  <c r="C10" i="8"/>
  <c r="D10" i="8" s="1"/>
  <c r="B10" i="8"/>
  <c r="C9" i="8"/>
  <c r="D9" i="8" s="1"/>
  <c r="B9" i="8"/>
  <c r="C8" i="8"/>
  <c r="B8" i="8"/>
  <c r="D8" i="8" s="1"/>
  <c r="C7" i="8"/>
  <c r="B7" i="8"/>
  <c r="D7" i="8" s="1"/>
  <c r="C6" i="8"/>
  <c r="D6" i="8" s="1"/>
  <c r="B6" i="8"/>
  <c r="C5" i="8"/>
  <c r="C15" i="8" s="1"/>
  <c r="B5" i="8"/>
  <c r="B15" i="8" s="1"/>
  <c r="B17" i="8" s="1"/>
  <c r="D15" i="7"/>
  <c r="C15" i="7"/>
  <c r="C16" i="7" s="1"/>
  <c r="D16" i="7" s="1"/>
  <c r="B15" i="7"/>
  <c r="B16" i="7" s="1"/>
  <c r="C12" i="7"/>
  <c r="D12" i="7" s="1"/>
  <c r="B12" i="7"/>
  <c r="C10" i="7"/>
  <c r="D10" i="7" s="1"/>
  <c r="B10" i="7"/>
  <c r="D9" i="7"/>
  <c r="C9" i="7"/>
  <c r="B9" i="7"/>
  <c r="B11" i="7" s="1"/>
  <c r="B13" i="7" s="1"/>
  <c r="B11" i="1" s="1"/>
  <c r="C7" i="7"/>
  <c r="D7" i="7" s="1"/>
  <c r="B7" i="7"/>
  <c r="C6" i="7"/>
  <c r="D6" i="7" s="1"/>
  <c r="B6" i="7"/>
  <c r="C5" i="7"/>
  <c r="C8" i="7" s="1"/>
  <c r="B5" i="7"/>
  <c r="B8" i="7" s="1"/>
  <c r="C16" i="6"/>
  <c r="D16" i="6" s="1"/>
  <c r="B16" i="6"/>
  <c r="C14" i="6"/>
  <c r="D14" i="6" s="1"/>
  <c r="C11" i="6"/>
  <c r="D11" i="6" s="1"/>
  <c r="B11" i="6"/>
  <c r="B14" i="6" s="1"/>
  <c r="C10" i="6"/>
  <c r="C13" i="6" s="1"/>
  <c r="C9" i="6"/>
  <c r="C12" i="6" s="1"/>
  <c r="C7" i="6"/>
  <c r="D7" i="6" s="1"/>
  <c r="B7" i="6"/>
  <c r="C6" i="6"/>
  <c r="D6" i="6" s="1"/>
  <c r="B6" i="6"/>
  <c r="B10" i="6" s="1"/>
  <c r="B13" i="6" s="1"/>
  <c r="C5" i="6"/>
  <c r="C8" i="6" s="1"/>
  <c r="D8" i="6" s="1"/>
  <c r="B5" i="6"/>
  <c r="B8" i="6" s="1"/>
  <c r="D12" i="5"/>
  <c r="C12" i="5"/>
  <c r="B12" i="5"/>
  <c r="C10" i="5"/>
  <c r="D10" i="5" s="1"/>
  <c r="B10" i="5"/>
  <c r="C9" i="5"/>
  <c r="D9" i="5" s="1"/>
  <c r="B9" i="5"/>
  <c r="B11" i="5" s="1"/>
  <c r="C6" i="5"/>
  <c r="D6" i="5" s="1"/>
  <c r="B6" i="5"/>
  <c r="C5" i="5"/>
  <c r="C7" i="5" s="1"/>
  <c r="D7" i="5" s="1"/>
  <c r="B5" i="5"/>
  <c r="B7" i="5" s="1"/>
  <c r="C18" i="4"/>
  <c r="C19" i="4" s="1"/>
  <c r="B18" i="4"/>
  <c r="C15" i="4"/>
  <c r="D15" i="4" s="1"/>
  <c r="B15" i="4"/>
  <c r="D13" i="4"/>
  <c r="C13" i="4"/>
  <c r="B13" i="4"/>
  <c r="C10" i="4"/>
  <c r="B10" i="4"/>
  <c r="B11" i="4" s="1"/>
  <c r="B9" i="4"/>
  <c r="B12" i="4" s="1"/>
  <c r="C8" i="4"/>
  <c r="D8" i="4" s="1"/>
  <c r="B8" i="4"/>
  <c r="C7" i="4"/>
  <c r="D7" i="4" s="1"/>
  <c r="B7" i="4"/>
  <c r="C6" i="4"/>
  <c r="D6" i="4" s="1"/>
  <c r="B6" i="4"/>
  <c r="C5" i="4"/>
  <c r="C17" i="4" s="1"/>
  <c r="B5" i="4"/>
  <c r="B17" i="4" s="1"/>
  <c r="C17" i="3"/>
  <c r="C16" i="3"/>
  <c r="C15" i="3"/>
  <c r="C18" i="3" s="1"/>
  <c r="C13" i="3"/>
  <c r="C14" i="3" s="1"/>
  <c r="D14" i="3" s="1"/>
  <c r="B13" i="3"/>
  <c r="C12" i="3"/>
  <c r="D12" i="3" s="1"/>
  <c r="B12" i="3"/>
  <c r="D9" i="3"/>
  <c r="C9" i="3"/>
  <c r="B9" i="3"/>
  <c r="B14" i="3" s="1"/>
  <c r="B7" i="3"/>
  <c r="B10" i="3" s="1"/>
  <c r="B11" i="3" s="1"/>
  <c r="B6" i="1" s="1"/>
  <c r="C6" i="3"/>
  <c r="C7" i="3" s="1"/>
  <c r="B6" i="3"/>
  <c r="D5" i="3"/>
  <c r="C5" i="3"/>
  <c r="B5" i="3"/>
  <c r="C13" i="2"/>
  <c r="B10" i="2"/>
  <c r="B5" i="1" s="1"/>
  <c r="C9" i="2"/>
  <c r="D9" i="2" s="1"/>
  <c r="B9" i="2"/>
  <c r="D8" i="2"/>
  <c r="C8" i="2"/>
  <c r="B8" i="2"/>
  <c r="C7" i="2"/>
  <c r="D7" i="2" s="1"/>
  <c r="B7" i="2"/>
  <c r="C6" i="2"/>
  <c r="D6" i="2" s="1"/>
  <c r="B6" i="2"/>
  <c r="C5" i="2"/>
  <c r="C10" i="2" s="1"/>
  <c r="B5" i="2"/>
  <c r="B8" i="1"/>
  <c r="C5" i="1" l="1"/>
  <c r="D5" i="1" s="1"/>
  <c r="D10" i="2"/>
  <c r="C12" i="2"/>
  <c r="C11" i="2"/>
  <c r="D17" i="4"/>
  <c r="D8" i="7"/>
  <c r="D15" i="9"/>
  <c r="C17" i="8"/>
  <c r="D17" i="8" s="1"/>
  <c r="D15" i="8"/>
  <c r="D7" i="3"/>
  <c r="C8" i="3"/>
  <c r="D8" i="3" s="1"/>
  <c r="C10" i="3"/>
  <c r="C11" i="10"/>
  <c r="C15" i="6"/>
  <c r="D13" i="6"/>
  <c r="B16" i="4"/>
  <c r="B7" i="1"/>
  <c r="B14" i="4"/>
  <c r="C14" i="9"/>
  <c r="D14" i="9" s="1"/>
  <c r="B8" i="5"/>
  <c r="B9" i="6"/>
  <c r="C8" i="5"/>
  <c r="D8" i="5" s="1"/>
  <c r="B14" i="7"/>
  <c r="D6" i="9"/>
  <c r="D6" i="3"/>
  <c r="C9" i="4"/>
  <c r="D18" i="4"/>
  <c r="D16" i="8"/>
  <c r="C7" i="9"/>
  <c r="B12" i="9"/>
  <c r="D5" i="10"/>
  <c r="C10" i="10"/>
  <c r="D10" i="10" s="1"/>
  <c r="B13" i="9"/>
  <c r="B10" i="1" s="1"/>
  <c r="D5" i="6"/>
  <c r="D5" i="7"/>
  <c r="B11" i="2"/>
  <c r="B8" i="3"/>
  <c r="D10" i="4"/>
  <c r="D5" i="5"/>
  <c r="C11" i="7"/>
  <c r="C18" i="8"/>
  <c r="D18" i="8" s="1"/>
  <c r="D5" i="4"/>
  <c r="D13" i="3"/>
  <c r="C11" i="5"/>
  <c r="B17" i="6"/>
  <c r="B18" i="6" s="1"/>
  <c r="C17" i="6"/>
  <c r="D5" i="8"/>
  <c r="D5" i="2"/>
  <c r="D10" i="6"/>
  <c r="C13" i="7" l="1"/>
  <c r="D11" i="7"/>
  <c r="C14" i="7"/>
  <c r="D14" i="7" s="1"/>
  <c r="C12" i="4"/>
  <c r="D9" i="4"/>
  <c r="C11" i="3"/>
  <c r="D10" i="3"/>
  <c r="C13" i="10"/>
  <c r="D13" i="10" s="1"/>
  <c r="D11" i="10"/>
  <c r="B12" i="6"/>
  <c r="D9" i="6"/>
  <c r="D17" i="6"/>
  <c r="C18" i="6"/>
  <c r="D18" i="6" s="1"/>
  <c r="C11" i="4"/>
  <c r="D11" i="4" s="1"/>
  <c r="D11" i="5"/>
  <c r="C13" i="5"/>
  <c r="D11" i="2"/>
  <c r="C9" i="1"/>
  <c r="D9" i="1" s="1"/>
  <c r="C13" i="9"/>
  <c r="D7" i="9"/>
  <c r="C8" i="9"/>
  <c r="D8" i="9" s="1"/>
  <c r="C12" i="9"/>
  <c r="D12" i="9" s="1"/>
  <c r="D11" i="3" l="1"/>
  <c r="C6" i="1"/>
  <c r="D6" i="1" s="1"/>
  <c r="C10" i="1"/>
  <c r="D10" i="1" s="1"/>
  <c r="D13" i="9"/>
  <c r="D12" i="4"/>
  <c r="C16" i="4"/>
  <c r="D16" i="4" s="1"/>
  <c r="C14" i="4"/>
  <c r="D14" i="4" s="1"/>
  <c r="C7" i="1"/>
  <c r="D7" i="1" s="1"/>
  <c r="B15" i="6"/>
  <c r="D15" i="6" s="1"/>
  <c r="D12" i="6"/>
  <c r="C11" i="1"/>
  <c r="D11" i="1" s="1"/>
  <c r="D13" i="7"/>
</calcChain>
</file>

<file path=xl/sharedStrings.xml><?xml version="1.0" encoding="utf-8"?>
<sst xmlns="http://schemas.openxmlformats.org/spreadsheetml/2006/main" count="312" uniqueCount="183">
  <si>
    <t>NIKE: three-statement review</t>
  </si>
  <si>
    <t>FY2026 vs FY2025 actuals. Financial review, not a forecast.</t>
  </si>
  <si>
    <t>Metric</t>
  </si>
  <si>
    <t>FY2025</t>
  </si>
  <si>
    <t>FY2026</t>
  </si>
  <si>
    <t>Change</t>
  </si>
  <si>
    <t>Revenue</t>
  </si>
  <si>
    <t>Operating margin</t>
  </si>
  <si>
    <t>Consolidated net income</t>
  </si>
  <si>
    <t>Operating cash flow</t>
  </si>
  <si>
    <t>Free cash flow</t>
  </si>
  <si>
    <t>FCF after shareholder returns</t>
  </si>
  <si>
    <t>Net debt / (net cash)</t>
  </si>
  <si>
    <t>Revenue stabilised; cash conversion remained weak.</t>
  </si>
  <si>
    <t>Priorities: Direct sales, tariff-adjusted receivables and cash cover.</t>
  </si>
  <si>
    <t>Separate the tariff recovery from recurring trading performance.</t>
  </si>
  <si>
    <t>1. Revenue sources</t>
  </si>
  <si>
    <t>USD millions unless stated. Fiscal year ends 31 May.</t>
  </si>
  <si>
    <t>NIKE Brand wholesale</t>
  </si>
  <si>
    <t>NIKE Direct</t>
  </si>
  <si>
    <t>Global Brand Divisions</t>
  </si>
  <si>
    <t>Converse</t>
  </si>
  <si>
    <t>Corporate</t>
  </si>
  <si>
    <t>Total revenue</t>
  </si>
  <si>
    <t>Revenue reconciliation</t>
  </si>
  <si>
    <t>Revenue growth</t>
  </si>
  <si>
    <t>Currency-neutral growth</t>
  </si>
  <si>
    <t>NIKE Brand channels reconcile with Converse and Corporate to group revenue. Currency-neutral growth is company-reported.</t>
  </si>
  <si>
    <t>2. Operating profitability</t>
  </si>
  <si>
    <t>Cost of sales</t>
  </si>
  <si>
    <t>Gross profit</t>
  </si>
  <si>
    <t>Gross margin</t>
  </si>
  <si>
    <t>Selling and administrative expense</t>
  </si>
  <si>
    <t>Operating profit before other income</t>
  </si>
  <si>
    <t>SG&amp;A / revenue</t>
  </si>
  <si>
    <t>Demand creation expense</t>
  </si>
  <si>
    <t>Other SG&amp;A (derived)</t>
  </si>
  <si>
    <t>Profit change: sales contribution</t>
  </si>
  <si>
    <t>Profit change: cost-of-sales effect</t>
  </si>
  <si>
    <t>Profit change: SG&amp;A effect</t>
  </si>
  <si>
    <t>Operating profit change</t>
  </si>
  <si>
    <t>Operating profit = revenue - COGS - SG&amp;A. NIKE-defined EBIT also includes other income. Tariff recovery is in reported COGS.</t>
  </si>
  <si>
    <t>3. Earnings quality</t>
  </si>
  <si>
    <t>Other non-operating income</t>
  </si>
  <si>
    <t>Interest income</t>
  </si>
  <si>
    <t>Interest expense / (interest income)</t>
  </si>
  <si>
    <t>Profit before tax</t>
  </si>
  <si>
    <t>Income tax expense</t>
  </si>
  <si>
    <t>Effective tax rate</t>
  </si>
  <si>
    <t>Noncontrolling interests</t>
  </si>
  <si>
    <t>Parent net income</t>
  </si>
  <si>
    <t>Diluted EPS</t>
  </si>
  <si>
    <t>Net-income reconciliation</t>
  </si>
  <si>
    <t>NIKE-defined EBIT</t>
  </si>
  <si>
    <t>Tariff recovery benefit</t>
  </si>
  <si>
    <t>Operating profit excluding recovery only</t>
  </si>
  <si>
    <t>Excluding only the $986m recovery is a sensitivity, not normalised profit: the related tariff costs remain in reported COGS.</t>
  </si>
  <si>
    <t>4. Short-term liquidity</t>
  </si>
  <si>
    <t>Current assets</t>
  </si>
  <si>
    <t>Current liabilities</t>
  </si>
  <si>
    <t>Net current assets / (liabilities)</t>
  </si>
  <si>
    <t>Current ratio</t>
  </si>
  <si>
    <t>Cash and equivalents</t>
  </si>
  <si>
    <t>Short-term investments</t>
  </si>
  <si>
    <t>Cash and investments</t>
  </si>
  <si>
    <t>Debt due within one year</t>
  </si>
  <si>
    <t>Cash plus investments / current debt</t>
  </si>
  <si>
    <t>FY2025 current debt was zero, so its cash/debt ratio is not applicable. FY2026 includes $2bn of debt now due within one year.</t>
  </si>
  <si>
    <t>5. Working capital</t>
  </si>
  <si>
    <t>Closing accounts receivable</t>
  </si>
  <si>
    <t>Closing inventory</t>
  </si>
  <si>
    <t>Closing accounts payable</t>
  </si>
  <si>
    <t>Operating working capital</t>
  </si>
  <si>
    <t>Average receivables</t>
  </si>
  <si>
    <t>Average inventory</t>
  </si>
  <si>
    <t>Average payables</t>
  </si>
  <si>
    <t>Receivable days (proxy)</t>
  </si>
  <si>
    <t>Inventory days</t>
  </si>
  <si>
    <t>Payable days (COGS proxy)</t>
  </si>
  <si>
    <t>Cash conversion cycle (proxy)</t>
  </si>
  <si>
    <t>Tariff receivable included in closing AR</t>
  </si>
  <si>
    <t>Closing AR excluding tariff receivable</t>
  </si>
  <si>
    <t>AR days excluding closing tariff effect</t>
  </si>
  <si>
    <t>Days use average opening and closing balances; DSO uses total sales and DPO uses COGS. These are proxies, not ageing or contractual terms.</t>
  </si>
  <si>
    <t>6. Funding and asset quality</t>
  </si>
  <si>
    <t>Total assets</t>
  </si>
  <si>
    <t>Total liabilities</t>
  </si>
  <si>
    <t>Total equity including NCI</t>
  </si>
  <si>
    <t>Assets less liabilities and equity</t>
  </si>
  <si>
    <t>Current debt</t>
  </si>
  <si>
    <t>Long-term debt</t>
  </si>
  <si>
    <t>Total interest-bearing debt</t>
  </si>
  <si>
    <t>Cash and short-term investments</t>
  </si>
  <si>
    <t>Current debt / total debt</t>
  </si>
  <si>
    <t>Goodwill and intangible assets</t>
  </si>
  <si>
    <t>Goodwill and intangibles / assets</t>
  </si>
  <si>
    <t>Net debt includes separately reported short-term investments and excludes leases. Net cash does not eliminate lease or marketing commitments.</t>
  </si>
  <si>
    <t>7. Profit to operating cash</t>
  </si>
  <si>
    <t>Depreciation and amortisation</t>
  </si>
  <si>
    <t>Share-based compensation</t>
  </si>
  <si>
    <t>Deferred tax adjustment</t>
  </si>
  <si>
    <t>Impairment and other</t>
  </si>
  <si>
    <t>Noncash FX adjustment</t>
  </si>
  <si>
    <t>Receivables cash effect</t>
  </si>
  <si>
    <t>Inventory cash effect</t>
  </si>
  <si>
    <t>Other assets cash effect</t>
  </si>
  <si>
    <t>Payables and other liabilities cash effect</t>
  </si>
  <si>
    <t>Sum of disclosed components</t>
  </si>
  <si>
    <t>Reported operating cash flow</t>
  </si>
  <si>
    <t>Reported less component sum</t>
  </si>
  <si>
    <t>CFO / consolidated net income</t>
  </si>
  <si>
    <t>Cash-flow working-capital changes include non-trade balances. They need not equal balance-sheet changes because of FX and other effects.</t>
  </si>
  <si>
    <t>8. Cash available after investment</t>
  </si>
  <si>
    <t>Capital expenditure paid</t>
  </si>
  <si>
    <t>Free cash flow (CFO less capex)</t>
  </si>
  <si>
    <t>Free cash flow / revenue</t>
  </si>
  <si>
    <t>Cash dividends paid</t>
  </si>
  <si>
    <t>Cash used for share repurchases</t>
  </si>
  <si>
    <t>Total shareholder cash returns</t>
  </si>
  <si>
    <t>FCF after dividends</t>
  </si>
  <si>
    <t>FCF after dividends and buybacks</t>
  </si>
  <si>
    <t>Shareholder returns / FCF</t>
  </si>
  <si>
    <t>Capex / depreciation</t>
  </si>
  <si>
    <t>Cash repurchases use the cash-flow statement, not the narrower repurchase-program total. Funding needs also include other investing and financing.</t>
  </si>
  <si>
    <t>9. Cash reconciliation</t>
  </si>
  <si>
    <t>Opening cash</t>
  </si>
  <si>
    <t>Investing cash flow</t>
  </si>
  <si>
    <t>Financing cash flow</t>
  </si>
  <si>
    <t>FX effect on cash</t>
  </si>
  <si>
    <t>Calculated cash change</t>
  </si>
  <si>
    <t>Calculated closing cash</t>
  </si>
  <si>
    <t>Reported closing cash</t>
  </si>
  <si>
    <t>Closing cash reconciliation</t>
  </si>
  <si>
    <t>Cash increased despite lower CFO because financing outflows fell. This is a historical reconciliation, not a forecast.</t>
  </si>
  <si>
    <t>Reported inputs</t>
  </si>
  <si>
    <t>Source / definition</t>
  </si>
  <si>
    <t>FY2026 annual report, PDF p. 58</t>
  </si>
  <si>
    <t>Operating profit: sales less COGS and SG&amp;A</t>
  </si>
  <si>
    <t>Calculated: revenue - cost of sales - SG&amp;A; not NIKE-defined EBIT (PDF pp. 34, 58)</t>
  </si>
  <si>
    <t>Net income attributable to parent</t>
  </si>
  <si>
    <t>Diluted EPS ($ per share)</t>
  </si>
  <si>
    <t>Interest expense / (net interest income)</t>
  </si>
  <si>
    <t>Earnings attributable to noncontrolling interests</t>
  </si>
  <si>
    <t>Advertising (PG) / demand creation (NIKE)</t>
  </si>
  <si>
    <t>FY2026 annual report, PDF p. 60</t>
  </si>
  <si>
    <t>Short-term investments (separately reported)</t>
  </si>
  <si>
    <t>Accounts receivable</t>
  </si>
  <si>
    <t>Inventory</t>
  </si>
  <si>
    <t>Accounts payable</t>
  </si>
  <si>
    <t>Calculated: total assets - shareholders equity (PDF p. 60)</t>
  </si>
  <si>
    <t>Total equity including noncontrolling interests</t>
  </si>
  <si>
    <t>Goodwill</t>
  </si>
  <si>
    <t>Identifiable intangible assets</t>
  </si>
  <si>
    <t>FY2026 annual report, PDF p. 61</t>
  </si>
  <si>
    <t>Asset gain/loss (PG) / impairment and other (NIKE)</t>
  </si>
  <si>
    <t>Noncash foreign currency adjustment</t>
  </si>
  <si>
    <t>Cash-flow effect: receivables</t>
  </si>
  <si>
    <t>Cash-flow effect: inventory</t>
  </si>
  <si>
    <t>Cash-flow effect: other assets</t>
  </si>
  <si>
    <t>Cash-flow effect: payables and other liabilities</t>
  </si>
  <si>
    <t>Net investing cash flow</t>
  </si>
  <si>
    <t>Net financing cash flow</t>
  </si>
  <si>
    <t>Reported cash change</t>
  </si>
  <si>
    <t>NIKE Brand wholesale revenue</t>
  </si>
  <si>
    <t>FY2026 annual report, PDF p. 35</t>
  </si>
  <si>
    <t>NIKE Direct revenue</t>
  </si>
  <si>
    <t>Global Brand Divisions revenue</t>
  </si>
  <si>
    <t>Converse revenue</t>
  </si>
  <si>
    <t>Corporate revenue</t>
  </si>
  <si>
    <t>Operating overhead expense</t>
  </si>
  <si>
    <t>IEEPA recovery recognised in cost of sales</t>
  </si>
  <si>
    <t>FY2026 annual report, PDF p. 33</t>
  </si>
  <si>
    <t>Outstanding IEEPA tariff receivable</t>
  </si>
  <si>
    <t>Company-defined EBIT</t>
  </si>
  <si>
    <t>FY2026 annual report, PDF p. 34</t>
  </si>
  <si>
    <t>Company-reported currency-neutral revenue growth</t>
  </si>
  <si>
    <t>FY2026 annual report, PDF p. 35; FY2025 slot not used; FY2026 is the disclosed year-on-year driver</t>
  </si>
  <si>
    <t>Opening ar</t>
  </si>
  <si>
    <t>FY2024 and FY2025 closing balances; SEC provenance and FY2026 comparative balance sheet</t>
  </si>
  <si>
    <t>Opening inventory</t>
  </si>
  <si>
    <t>Opening ap</t>
  </si>
  <si>
    <t>Days</t>
  </si>
  <si>
    <t>Analyst convention: 365 days for annual turnover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</si>
</sst>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;[Red]\(\$#,##0\);&quot;—&quot;"/>
    <numFmt numFmtId="177" formatCode="\$0.00"/>
    <numFmt numFmtId="178" formatCode="0.0%;[Red]\(0.0%\);&quot;—&quot;"/>
    <numFmt numFmtId="179" formatCode="0.0&quot; pp&quot;;[Red]\(0.0\)&quot; pp&quot;;&quot;—&quot;"/>
    <numFmt numFmtId="180" formatCode="\$0.00;[Red]\(\$0.00\);&quot;—&quot;"/>
    <numFmt numFmtId="181" formatCode="0.00&quot;x&quot;"/>
    <numFmt numFmtId="182" formatCode="#,##0.0;[Red]\(#,##0.0\);&quot;—&quot;"/>
    <numFmt numFmtId="183" formatCode="0.00;[Red]\(0.00\);0.00"/>
    <numFmt numFmtId="184" formatCode="0.0&quot; pp&quot;;[Red]\(0.0\)&quot; pp&quot;"/>
  </numFmts>
  <fonts count="17">
    <font>
      <sz val="11"/>
      <name val="Carlito"/>
    </font>
    <font>
      <sz val="11"/>
      <name val="Arial"/>
      <family val="2"/>
    </font>
    <font>
      <sz val="13"/>
      <name val="Arial"/>
      <family val="2"/>
    </font>
    <font>
      <b/>
      <sz val="19"/>
      <name val="Arial"/>
      <family val="2"/>
    </font>
    <font>
      <b/>
      <sz val="13"/>
      <color rgb="FFFFFFFF"/>
      <name val="Arial"/>
      <family val="2"/>
    </font>
    <font>
      <sz val="13"/>
      <color rgb="FF0000FF"/>
      <name val="Arial"/>
      <family val="2"/>
    </font>
    <font>
      <sz val="13"/>
      <color rgb="FF00804A"/>
      <name val="Arial"/>
      <family val="2"/>
    </font>
    <font>
      <b/>
      <sz val="13"/>
      <name val="Arial"/>
      <family val="2"/>
    </font>
    <font>
      <b/>
      <sz val="13"/>
      <color rgb="FFC62828"/>
      <name val="Arial"/>
      <family val="2"/>
    </font>
    <font>
      <sz val="13"/>
      <color rgb="FF202020"/>
      <name val="Arial"/>
      <family val="2"/>
    </font>
    <font>
      <i/>
      <sz val="13"/>
      <name val="Arial"/>
      <family val="2"/>
    </font>
    <font>
      <i/>
      <sz val="13"/>
      <color rgb="FF202020"/>
      <name val="Arial"/>
      <family val="2"/>
    </font>
    <font>
      <i/>
      <sz val="13"/>
      <color rgb="FF00804A"/>
      <name val="Arial"/>
      <family val="2"/>
    </font>
    <font>
      <b/>
      <i/>
      <sz val="13"/>
      <name val="Arial"/>
      <family val="2"/>
    </font>
    <font>
      <b/>
      <i/>
      <sz val="13"/>
      <color rgb="FFC62828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202020"/>
      </patternFill>
    </fill>
    <fill>
      <patternFill patternType="solid">
        <fgColor rgb="FFF2F5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202020"/>
      </bottom>
      <diagonal/>
    </border>
  </borders>
  <cellStyleXfs count="2">
    <xf numFmtId="0" fontId="0" fillId="0" borderId="0"/>
    <xf numFmtId="0" fontId="15" fillId="0" borderId="0"/>
  </cellStyleXfs>
  <cellXfs count="46">
    <xf numFmtId="0" fontId="0" fillId="0" borderId="0" xfId="0"/>
    <xf numFmtId="0" fontId="2" fillId="0" borderId="0" xfId="1" applyFont="1"/>
    <xf numFmtId="0" fontId="4" fillId="2" borderId="0" xfId="1" applyFont="1" applyFill="1"/>
    <xf numFmtId="0" fontId="4" fillId="2" borderId="0" xfId="1" applyFont="1" applyFill="1" applyAlignment="1">
      <alignment horizontal="center"/>
    </xf>
    <xf numFmtId="176" fontId="2" fillId="0" borderId="0" xfId="1" applyNumberFormat="1" applyFont="1" applyAlignment="1">
      <alignment horizontal="right"/>
    </xf>
    <xf numFmtId="176" fontId="5" fillId="0" borderId="0" xfId="1" applyNumberFormat="1" applyFont="1" applyAlignment="1">
      <alignment horizontal="right"/>
    </xf>
    <xf numFmtId="177" fontId="5" fillId="0" borderId="0" xfId="1" applyNumberFormat="1" applyFont="1" applyAlignment="1">
      <alignment horizontal="right"/>
    </xf>
    <xf numFmtId="178" fontId="5" fillId="0" borderId="0" xfId="1" applyNumberFormat="1" applyFont="1" applyAlignment="1">
      <alignment horizontal="right"/>
    </xf>
    <xf numFmtId="1" fontId="5" fillId="0" borderId="0" xfId="1" applyNumberFormat="1" applyFont="1" applyAlignment="1">
      <alignment horizontal="right"/>
    </xf>
    <xf numFmtId="176" fontId="6" fillId="0" borderId="0" xfId="1" applyNumberFormat="1" applyFont="1" applyAlignment="1">
      <alignment horizontal="right"/>
    </xf>
    <xf numFmtId="0" fontId="7" fillId="3" borderId="0" xfId="1" applyFont="1" applyFill="1"/>
    <xf numFmtId="176" fontId="8" fillId="3" borderId="0" xfId="1" applyNumberFormat="1" applyFont="1" applyFill="1" applyAlignment="1">
      <alignment horizontal="right"/>
    </xf>
    <xf numFmtId="176" fontId="7" fillId="3" borderId="0" xfId="1" applyNumberFormat="1" applyFont="1" applyFill="1" applyAlignment="1">
      <alignment horizontal="right"/>
    </xf>
    <xf numFmtId="176" fontId="9" fillId="0" borderId="0" xfId="1" applyNumberFormat="1" applyFont="1" applyAlignment="1">
      <alignment horizontal="right"/>
    </xf>
    <xf numFmtId="178" fontId="2" fillId="0" borderId="0" xfId="1" applyNumberFormat="1" applyFont="1" applyAlignment="1">
      <alignment horizontal="right"/>
    </xf>
    <xf numFmtId="0" fontId="10" fillId="0" borderId="0" xfId="1" applyFont="1"/>
    <xf numFmtId="178" fontId="10" fillId="0" borderId="0" xfId="1" applyNumberFormat="1" applyFont="1" applyAlignment="1">
      <alignment horizontal="right"/>
    </xf>
    <xf numFmtId="178" fontId="11" fillId="0" borderId="0" xfId="1" applyNumberFormat="1" applyFont="1" applyAlignment="1">
      <alignment horizontal="right"/>
    </xf>
    <xf numFmtId="179" fontId="10" fillId="0" borderId="0" xfId="1" applyNumberFormat="1" applyFont="1" applyAlignment="1">
      <alignment horizontal="right"/>
    </xf>
    <xf numFmtId="178" fontId="12" fillId="0" borderId="0" xfId="1" applyNumberFormat="1" applyFont="1" applyAlignment="1">
      <alignment horizontal="right"/>
    </xf>
    <xf numFmtId="0" fontId="13" fillId="3" borderId="0" xfId="1" applyFont="1" applyFill="1"/>
    <xf numFmtId="178" fontId="14" fillId="3" borderId="0" xfId="1" applyNumberFormat="1" applyFont="1" applyFill="1" applyAlignment="1">
      <alignment horizontal="right"/>
    </xf>
    <xf numFmtId="179" fontId="13" fillId="3" borderId="0" xfId="1" applyNumberFormat="1" applyFont="1" applyFill="1" applyAlignment="1">
      <alignment horizontal="right"/>
    </xf>
    <xf numFmtId="180" fontId="6" fillId="0" borderId="0" xfId="1" applyNumberFormat="1" applyFont="1" applyAlignment="1">
      <alignment horizontal="right"/>
    </xf>
    <xf numFmtId="180" fontId="2" fillId="0" borderId="0" xfId="1" applyNumberFormat="1" applyFont="1" applyAlignment="1">
      <alignment horizontal="right"/>
    </xf>
    <xf numFmtId="181" fontId="9" fillId="0" borderId="0" xfId="1" applyNumberFormat="1" applyFont="1" applyAlignment="1">
      <alignment horizontal="right"/>
    </xf>
    <xf numFmtId="181" fontId="2" fillId="0" borderId="0" xfId="1" applyNumberFormat="1" applyFont="1" applyAlignment="1">
      <alignment horizontal="right"/>
    </xf>
    <xf numFmtId="181" fontId="8" fillId="3" borderId="0" xfId="1" applyNumberFormat="1" applyFont="1" applyFill="1" applyAlignment="1">
      <alignment horizontal="right"/>
    </xf>
    <xf numFmtId="181" fontId="7" fillId="3" borderId="0" xfId="1" applyNumberFormat="1" applyFont="1" applyFill="1" applyAlignment="1">
      <alignment horizontal="right"/>
    </xf>
    <xf numFmtId="182" fontId="6" fillId="0" borderId="0" xfId="1" applyNumberFormat="1" applyFont="1" applyAlignment="1">
      <alignment horizontal="right"/>
    </xf>
    <xf numFmtId="182" fontId="2" fillId="0" borderId="0" xfId="1" applyNumberFormat="1" applyFont="1" applyAlignment="1">
      <alignment horizontal="right"/>
    </xf>
    <xf numFmtId="182" fontId="8" fillId="3" borderId="0" xfId="1" applyNumberFormat="1" applyFont="1" applyFill="1" applyAlignment="1">
      <alignment horizontal="right"/>
    </xf>
    <xf numFmtId="182" fontId="7" fillId="3" borderId="0" xfId="1" applyNumberFormat="1" applyFont="1" applyFill="1" applyAlignment="1">
      <alignment horizontal="right"/>
    </xf>
    <xf numFmtId="183" fontId="9" fillId="0" borderId="0" xfId="1" applyNumberFormat="1" applyFont="1" applyAlignment="1">
      <alignment horizontal="right"/>
    </xf>
    <xf numFmtId="183" fontId="2" fillId="0" borderId="0" xfId="1" applyNumberFormat="1" applyFont="1" applyAlignment="1">
      <alignment horizontal="right"/>
    </xf>
    <xf numFmtId="183" fontId="8" fillId="3" borderId="0" xfId="1" applyNumberFormat="1" applyFont="1" applyFill="1" applyAlignment="1">
      <alignment horizontal="right"/>
    </xf>
    <xf numFmtId="183" fontId="7" fillId="3" borderId="0" xfId="1" applyNumberFormat="1" applyFont="1" applyFill="1" applyAlignment="1">
      <alignment horizontal="right"/>
    </xf>
    <xf numFmtId="181" fontId="6" fillId="0" borderId="0" xfId="1" applyNumberFormat="1" applyFont="1" applyAlignment="1">
      <alignment horizontal="right"/>
    </xf>
    <xf numFmtId="184" fontId="2" fillId="0" borderId="0" xfId="1" applyNumberFormat="1" applyFont="1" applyAlignment="1">
      <alignment horizontal="right"/>
    </xf>
    <xf numFmtId="0" fontId="3" fillId="0" borderId="1" xfId="1" applyFont="1" applyBorder="1"/>
    <xf numFmtId="0" fontId="2" fillId="0" borderId="1" xfId="1" applyFont="1" applyBorder="1"/>
    <xf numFmtId="0" fontId="1" fillId="0" borderId="0" xfId="1" applyFont="1"/>
    <xf numFmtId="0" fontId="2" fillId="0" borderId="0" xfId="1" applyFont="1"/>
    <xf numFmtId="0" fontId="2" fillId="0" borderId="0" xfId="1" applyFont="1" applyAlignment="1">
      <alignment wrapText="1"/>
    </xf>
    <xf numFmtId="176" fontId="2" fillId="0" borderId="0" xfId="1" applyNumberFormat="1" applyFont="1" applyAlignment="1">
      <alignment horizontal="right"/>
    </xf>
    <xf numFmtId="0" fontId="1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2020"/>
  </sheetPr>
  <dimension ref="A1:D23"/>
  <sheetViews>
    <sheetView showGridLines="0" tabSelected="1" zoomScale="150" zoomScaleNormal="150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9" t="s">
        <v>0</v>
      </c>
      <c r="B2" s="40"/>
      <c r="C2" s="40"/>
      <c r="D2" s="40"/>
    </row>
    <row r="3" spans="1:4" ht="25" customHeight="1">
      <c r="A3" s="41" t="s">
        <v>1</v>
      </c>
      <c r="B3" s="42"/>
      <c r="C3" s="42"/>
      <c r="D3" s="42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" t="s">
        <v>6</v>
      </c>
      <c r="B5" s="4">
        <f>NKE_1_Analysis!B10</f>
        <v>46309</v>
      </c>
      <c r="C5" s="4">
        <f>NKE_1_Analysis!C10</f>
        <v>46398</v>
      </c>
      <c r="D5" s="4">
        <f>(C5-B5)</f>
        <v>89</v>
      </c>
    </row>
    <row r="6" spans="1:4" ht="25" customHeight="1">
      <c r="A6" s="1" t="s">
        <v>7</v>
      </c>
      <c r="B6" s="14">
        <f>NKE_2_Analysis!B11</f>
        <v>7.9941264117126265E-2</v>
      </c>
      <c r="C6" s="14">
        <f>NKE_2_Analysis!C11</f>
        <v>8.1835423940687102E-2</v>
      </c>
      <c r="D6" s="38">
        <f>(C6-B6)*100</f>
        <v>0.1894159823560837</v>
      </c>
    </row>
    <row r="7" spans="1:4" ht="25" customHeight="1">
      <c r="A7" s="1" t="s">
        <v>8</v>
      </c>
      <c r="B7" s="4">
        <f>NKE_3_Analysis!B12</f>
        <v>3219</v>
      </c>
      <c r="C7" s="4">
        <f>NKE_3_Analysis!C12</f>
        <v>3108</v>
      </c>
      <c r="D7" s="4">
        <f>(C7-B7)</f>
        <v>-111</v>
      </c>
    </row>
    <row r="8" spans="1:4" ht="25" customHeight="1">
      <c r="A8" s="1" t="s">
        <v>9</v>
      </c>
      <c r="B8" s="4">
        <f>NKE_7_Analysis!B16</f>
        <v>3698</v>
      </c>
      <c r="C8" s="4">
        <f>NKE_7_Analysis!C16</f>
        <v>2868</v>
      </c>
      <c r="D8" s="4">
        <f>(C8-B8)</f>
        <v>-830</v>
      </c>
    </row>
    <row r="9" spans="1:4" ht="25" customHeight="1">
      <c r="A9" s="1" t="s">
        <v>10</v>
      </c>
      <c r="B9" s="4">
        <f>NKE_8_Analysis!B7</f>
        <v>3268</v>
      </c>
      <c r="C9" s="4">
        <f>NKE_8_Analysis!C7</f>
        <v>2184</v>
      </c>
      <c r="D9" s="4">
        <f>(C9-B9)</f>
        <v>-1084</v>
      </c>
    </row>
    <row r="10" spans="1:4" ht="25" customHeight="1">
      <c r="A10" s="1" t="s">
        <v>11</v>
      </c>
      <c r="B10" s="4">
        <f>NKE_8_Analysis!B13</f>
        <v>-2017</v>
      </c>
      <c r="C10" s="4">
        <f>NKE_8_Analysis!C13</f>
        <v>-369</v>
      </c>
      <c r="D10" s="4">
        <f>(C10-B10)</f>
        <v>1648</v>
      </c>
    </row>
    <row r="11" spans="1:4" ht="25" customHeight="1">
      <c r="A11" s="1" t="s">
        <v>12</v>
      </c>
      <c r="B11" s="4">
        <f>NKE_6_Analysis!B13</f>
        <v>-1190</v>
      </c>
      <c r="C11" s="4">
        <f>NKE_6_Analysis!C13</f>
        <v>-1085</v>
      </c>
      <c r="D11" s="4">
        <f>(C11-B11)</f>
        <v>105</v>
      </c>
    </row>
    <row r="12" spans="1:4" ht="25" customHeight="1">
      <c r="A12" s="1"/>
      <c r="B12" s="4"/>
      <c r="C12" s="4"/>
      <c r="D12" s="4"/>
    </row>
    <row r="13" spans="1:4" ht="25" customHeight="1">
      <c r="A13" s="1"/>
      <c r="B13" s="4"/>
      <c r="C13" s="4"/>
      <c r="D13" s="4"/>
    </row>
    <row r="14" spans="1:4" ht="25" customHeight="1">
      <c r="A14" s="43" t="s">
        <v>13</v>
      </c>
      <c r="B14" s="44"/>
      <c r="C14" s="44"/>
      <c r="D14" s="44"/>
    </row>
    <row r="15" spans="1:4" ht="25" customHeight="1">
      <c r="A15" s="42"/>
      <c r="B15" s="44"/>
      <c r="C15" s="44"/>
      <c r="D15" s="44"/>
    </row>
    <row r="16" spans="1:4" ht="25" customHeight="1">
      <c r="A16" s="43" t="s">
        <v>14</v>
      </c>
      <c r="B16" s="44"/>
      <c r="C16" s="44"/>
      <c r="D16" s="44"/>
    </row>
    <row r="17" spans="1:4" ht="25" customHeight="1">
      <c r="A17" s="42"/>
      <c r="B17" s="44"/>
      <c r="C17" s="44"/>
      <c r="D17" s="44"/>
    </row>
    <row r="18" spans="1:4" ht="25" customHeight="1">
      <c r="A18" s="43" t="s">
        <v>15</v>
      </c>
      <c r="B18" s="44"/>
      <c r="C18" s="44"/>
      <c r="D18" s="44"/>
    </row>
    <row r="19" spans="1:4" ht="25" customHeight="1">
      <c r="A19" s="42"/>
      <c r="B19" s="44"/>
      <c r="C19" s="44"/>
      <c r="D19" s="44"/>
    </row>
    <row r="20" spans="1:4" ht="25" customHeight="1">
      <c r="A20" s="1"/>
      <c r="B20" s="4"/>
      <c r="C20" s="4"/>
      <c r="D20" s="4"/>
    </row>
    <row r="21" spans="1:4" ht="25" customHeight="1">
      <c r="A21" s="1"/>
      <c r="B21" s="4"/>
      <c r="C21" s="4"/>
      <c r="D21" s="4"/>
    </row>
    <row r="22" spans="1:4" ht="25" customHeight="1">
      <c r="A22" s="1"/>
      <c r="B22" s="4"/>
      <c r="C22" s="4"/>
      <c r="D22" s="4"/>
    </row>
    <row r="23" spans="1:4" ht="25" customHeight="1">
      <c r="A23" s="1"/>
      <c r="B23" s="4"/>
      <c r="C23" s="4"/>
      <c r="D23" s="4"/>
    </row>
  </sheetData>
  <mergeCells count="5">
    <mergeCell ref="A2:D2"/>
    <mergeCell ref="A3:D3"/>
    <mergeCell ref="A14:D15"/>
    <mergeCell ref="A16:D17"/>
    <mergeCell ref="A18:D19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02020"/>
  </sheetPr>
  <dimension ref="A1:D17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9" t="s">
        <v>16</v>
      </c>
      <c r="B2" s="40"/>
      <c r="C2" s="40"/>
      <c r="D2" s="40"/>
    </row>
    <row r="3" spans="1:4" ht="25" customHeight="1">
      <c r="A3" s="41" t="s">
        <v>17</v>
      </c>
      <c r="B3" s="42"/>
      <c r="C3" s="42"/>
      <c r="D3" s="42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0" t="s">
        <v>18</v>
      </c>
      <c r="B5" s="11">
        <f>'Reported inputs'!B51</f>
        <v>25883</v>
      </c>
      <c r="C5" s="11">
        <f>'Reported inputs'!C51</f>
        <v>27453</v>
      </c>
      <c r="D5" s="12">
        <f t="shared" ref="D5:D11" si="0">C5-B5</f>
        <v>1570</v>
      </c>
    </row>
    <row r="6" spans="1:4" ht="25" customHeight="1">
      <c r="A6" s="10" t="s">
        <v>19</v>
      </c>
      <c r="B6" s="11">
        <f>'Reported inputs'!B52</f>
        <v>18783</v>
      </c>
      <c r="C6" s="11">
        <f>'Reported inputs'!C52</f>
        <v>17720</v>
      </c>
      <c r="D6" s="12">
        <f t="shared" si="0"/>
        <v>-1063</v>
      </c>
    </row>
    <row r="7" spans="1:4" ht="25" customHeight="1">
      <c r="A7" s="1" t="s">
        <v>20</v>
      </c>
      <c r="B7" s="9">
        <f>'Reported inputs'!B53</f>
        <v>48</v>
      </c>
      <c r="C7" s="9">
        <f>'Reported inputs'!C53</f>
        <v>49</v>
      </c>
      <c r="D7" s="4">
        <f t="shared" si="0"/>
        <v>1</v>
      </c>
    </row>
    <row r="8" spans="1:4" ht="25" customHeight="1">
      <c r="A8" s="10" t="s">
        <v>21</v>
      </c>
      <c r="B8" s="11">
        <f>'Reported inputs'!B54</f>
        <v>1692</v>
      </c>
      <c r="C8" s="11">
        <f>'Reported inputs'!C54</f>
        <v>1174</v>
      </c>
      <c r="D8" s="12">
        <f t="shared" si="0"/>
        <v>-518</v>
      </c>
    </row>
    <row r="9" spans="1:4" ht="25" customHeight="1">
      <c r="A9" s="1" t="s">
        <v>22</v>
      </c>
      <c r="B9" s="9">
        <f>'Reported inputs'!B55</f>
        <v>-97</v>
      </c>
      <c r="C9" s="9">
        <f>'Reported inputs'!C55</f>
        <v>2</v>
      </c>
      <c r="D9" s="4">
        <f t="shared" si="0"/>
        <v>99</v>
      </c>
    </row>
    <row r="10" spans="1:4" ht="25" customHeight="1">
      <c r="A10" s="10" t="s">
        <v>23</v>
      </c>
      <c r="B10" s="11">
        <f>SUM(B5:B9)</f>
        <v>46309</v>
      </c>
      <c r="C10" s="11">
        <f>SUM(C5:C9)</f>
        <v>46398</v>
      </c>
      <c r="D10" s="12">
        <f t="shared" si="0"/>
        <v>89</v>
      </c>
    </row>
    <row r="11" spans="1:4" ht="25" customHeight="1">
      <c r="A11" s="1" t="s">
        <v>24</v>
      </c>
      <c r="B11" s="9">
        <f>B10-'Reported inputs'!B5</f>
        <v>0</v>
      </c>
      <c r="C11" s="9">
        <f>C10-'Reported inputs'!C5</f>
        <v>0</v>
      </c>
      <c r="D11" s="4">
        <f t="shared" si="0"/>
        <v>0</v>
      </c>
    </row>
    <row r="12" spans="1:4" ht="25" customHeight="1">
      <c r="A12" s="15" t="s">
        <v>25</v>
      </c>
      <c r="B12" s="16"/>
      <c r="C12" s="17">
        <f>C10/B10-1</f>
        <v>1.9218726381480256E-3</v>
      </c>
      <c r="D12" s="18"/>
    </row>
    <row r="13" spans="1:4" ht="25" customHeight="1">
      <c r="A13" s="15" t="s">
        <v>26</v>
      </c>
      <c r="B13" s="16"/>
      <c r="C13" s="19">
        <f>'Reported inputs'!C60</f>
        <v>-0.02</v>
      </c>
      <c r="D13" s="18"/>
    </row>
    <row r="14" spans="1:4" ht="25" customHeight="1">
      <c r="A14" s="1"/>
      <c r="B14" s="4"/>
      <c r="C14" s="4"/>
      <c r="D14" s="4"/>
    </row>
    <row r="15" spans="1:4" ht="26" customHeight="1">
      <c r="A15" s="45" t="s">
        <v>27</v>
      </c>
      <c r="B15" s="44"/>
      <c r="C15" s="44"/>
      <c r="D15" s="44"/>
    </row>
    <row r="16" spans="1:4" ht="26" customHeight="1">
      <c r="A16" s="42"/>
      <c r="B16" s="44"/>
      <c r="C16" s="44"/>
      <c r="D16" s="44"/>
    </row>
    <row r="17" spans="1:4" ht="25" customHeight="1">
      <c r="A17" s="1"/>
      <c r="B17" s="4"/>
      <c r="C17" s="4"/>
      <c r="D17" s="4"/>
    </row>
  </sheetData>
  <mergeCells count="3">
    <mergeCell ref="A2:D2"/>
    <mergeCell ref="A3:D3"/>
    <mergeCell ref="A15:D16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02020"/>
  </sheetPr>
  <dimension ref="A1:D22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9" t="s">
        <v>28</v>
      </c>
      <c r="B2" s="40"/>
      <c r="C2" s="40"/>
      <c r="D2" s="40"/>
    </row>
    <row r="3" spans="1:4" ht="25" customHeight="1">
      <c r="A3" s="41" t="s">
        <v>17</v>
      </c>
      <c r="B3" s="42"/>
      <c r="C3" s="42"/>
      <c r="D3" s="42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" t="s">
        <v>6</v>
      </c>
      <c r="B5" s="9">
        <f>'Reported inputs'!B5</f>
        <v>46309</v>
      </c>
      <c r="C5" s="9">
        <f>'Reported inputs'!C5</f>
        <v>46398</v>
      </c>
      <c r="D5" s="4">
        <f>C5-B5</f>
        <v>89</v>
      </c>
    </row>
    <row r="6" spans="1:4" ht="25" customHeight="1">
      <c r="A6" s="1" t="s">
        <v>29</v>
      </c>
      <c r="B6" s="9">
        <f>'Reported inputs'!B6</f>
        <v>26519</v>
      </c>
      <c r="C6" s="9">
        <f>'Reported inputs'!C6</f>
        <v>26487</v>
      </c>
      <c r="D6" s="4">
        <f>C6-B6</f>
        <v>-32</v>
      </c>
    </row>
    <row r="7" spans="1:4" ht="25" customHeight="1">
      <c r="A7" s="10" t="s">
        <v>30</v>
      </c>
      <c r="B7" s="11">
        <f>B5-B6</f>
        <v>19790</v>
      </c>
      <c r="C7" s="11">
        <f>C5-C6</f>
        <v>19911</v>
      </c>
      <c r="D7" s="12">
        <f>C7-B7</f>
        <v>121</v>
      </c>
    </row>
    <row r="8" spans="1:4" ht="25" customHeight="1">
      <c r="A8" s="20" t="s">
        <v>31</v>
      </c>
      <c r="B8" s="21">
        <f>B7/B5</f>
        <v>0.42734673605562634</v>
      </c>
      <c r="C8" s="21">
        <f>C7/C5</f>
        <v>0.42913487650329757</v>
      </c>
      <c r="D8" s="22">
        <f>(C8-B8)*100</f>
        <v>0.1788140447671227</v>
      </c>
    </row>
    <row r="9" spans="1:4" ht="25" customHeight="1">
      <c r="A9" s="1" t="s">
        <v>32</v>
      </c>
      <c r="B9" s="9">
        <f>'Reported inputs'!B7</f>
        <v>16088</v>
      </c>
      <c r="C9" s="9">
        <f>'Reported inputs'!C7</f>
        <v>16114</v>
      </c>
      <c r="D9" s="4">
        <f>C9-B9</f>
        <v>26</v>
      </c>
    </row>
    <row r="10" spans="1:4" ht="25" customHeight="1">
      <c r="A10" s="10" t="s">
        <v>33</v>
      </c>
      <c r="B10" s="11">
        <f>B7-B9</f>
        <v>3702</v>
      </c>
      <c r="C10" s="11">
        <f>C7-C9</f>
        <v>3797</v>
      </c>
      <c r="D10" s="12">
        <f>C10-B10</f>
        <v>95</v>
      </c>
    </row>
    <row r="11" spans="1:4" ht="25" customHeight="1">
      <c r="A11" s="20" t="s">
        <v>7</v>
      </c>
      <c r="B11" s="21">
        <f>B10/B5</f>
        <v>7.9941264117126265E-2</v>
      </c>
      <c r="C11" s="21">
        <f>C10/C5</f>
        <v>8.1835423940687102E-2</v>
      </c>
      <c r="D11" s="22">
        <f>(C11-B11)*100</f>
        <v>0.1894159823560837</v>
      </c>
    </row>
    <row r="12" spans="1:4" ht="25" customHeight="1">
      <c r="A12" s="15" t="s">
        <v>34</v>
      </c>
      <c r="B12" s="17">
        <f>B9/B5</f>
        <v>0.34740547193850008</v>
      </c>
      <c r="C12" s="17">
        <f>C9/C5</f>
        <v>0.34729945256261047</v>
      </c>
      <c r="D12" s="18">
        <f>(C12-B12)*100</f>
        <v>-1.0601937588960997E-2</v>
      </c>
    </row>
    <row r="13" spans="1:4" ht="25" customHeight="1">
      <c r="A13" s="1" t="s">
        <v>35</v>
      </c>
      <c r="B13" s="9">
        <f>'Reported inputs'!B18</f>
        <v>4689</v>
      </c>
      <c r="C13" s="9">
        <f>'Reported inputs'!C18</f>
        <v>4754</v>
      </c>
      <c r="D13" s="4">
        <f>C13-B13</f>
        <v>65</v>
      </c>
    </row>
    <row r="14" spans="1:4" ht="25" customHeight="1">
      <c r="A14" s="1" t="s">
        <v>36</v>
      </c>
      <c r="B14" s="13">
        <f>B9-B13</f>
        <v>11399</v>
      </c>
      <c r="C14" s="13">
        <f>C9-C13</f>
        <v>11360</v>
      </c>
      <c r="D14" s="4">
        <f>C14-B14</f>
        <v>-39</v>
      </c>
    </row>
    <row r="15" spans="1:4" ht="25" customHeight="1">
      <c r="A15" s="1" t="s">
        <v>37</v>
      </c>
      <c r="B15" s="4"/>
      <c r="C15" s="9">
        <f>'Reported inputs'!C5-'Reported inputs'!B5</f>
        <v>89</v>
      </c>
      <c r="D15" s="4"/>
    </row>
    <row r="16" spans="1:4" ht="25" customHeight="1">
      <c r="A16" s="1" t="s">
        <v>38</v>
      </c>
      <c r="B16" s="4"/>
      <c r="C16" s="9">
        <f>-('Reported inputs'!C6-'Reported inputs'!B6)</f>
        <v>32</v>
      </c>
      <c r="D16" s="4"/>
    </row>
    <row r="17" spans="1:4" ht="25" customHeight="1">
      <c r="A17" s="1" t="s">
        <v>39</v>
      </c>
      <c r="B17" s="4"/>
      <c r="C17" s="9">
        <f>-('Reported inputs'!C7-'Reported inputs'!B7)</f>
        <v>-26</v>
      </c>
      <c r="D17" s="4"/>
    </row>
    <row r="18" spans="1:4" ht="25" customHeight="1">
      <c r="A18" s="10" t="s">
        <v>40</v>
      </c>
      <c r="B18" s="11"/>
      <c r="C18" s="11">
        <f>SUM(C15:C17)</f>
        <v>95</v>
      </c>
      <c r="D18" s="12"/>
    </row>
    <row r="19" spans="1:4" ht="25" customHeight="1">
      <c r="A19" s="1"/>
      <c r="B19" s="4"/>
      <c r="C19" s="4"/>
      <c r="D19" s="4"/>
    </row>
    <row r="20" spans="1:4" ht="26" customHeight="1">
      <c r="A20" s="45" t="s">
        <v>41</v>
      </c>
      <c r="B20" s="44"/>
      <c r="C20" s="44"/>
      <c r="D20" s="44"/>
    </row>
    <row r="21" spans="1:4" ht="26" customHeight="1">
      <c r="A21" s="42"/>
      <c r="B21" s="44"/>
      <c r="C21" s="44"/>
      <c r="D21" s="44"/>
    </row>
    <row r="22" spans="1:4" ht="25" customHeight="1">
      <c r="A22" s="1"/>
      <c r="B22" s="4"/>
      <c r="C22" s="4"/>
      <c r="D22" s="4"/>
    </row>
  </sheetData>
  <mergeCells count="3">
    <mergeCell ref="A2:D2"/>
    <mergeCell ref="A3:D3"/>
    <mergeCell ref="A20:D21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02020"/>
  </sheetPr>
  <dimension ref="A1:D23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9" t="s">
        <v>42</v>
      </c>
      <c r="B2" s="40"/>
      <c r="C2" s="40"/>
      <c r="D2" s="40"/>
    </row>
    <row r="3" spans="1:4" ht="25" customHeight="1">
      <c r="A3" s="41" t="s">
        <v>17</v>
      </c>
      <c r="B3" s="42"/>
      <c r="C3" s="42"/>
      <c r="D3" s="42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" t="s">
        <v>33</v>
      </c>
      <c r="B5" s="9">
        <f>'Reported inputs'!B8</f>
        <v>3702</v>
      </c>
      <c r="C5" s="9">
        <f>'Reported inputs'!C8</f>
        <v>3797</v>
      </c>
      <c r="D5" s="4">
        <f t="shared" ref="D5:D10" si="0">C5-B5</f>
        <v>95</v>
      </c>
    </row>
    <row r="6" spans="1:4" ht="25" customHeight="1">
      <c r="A6" s="1" t="s">
        <v>43</v>
      </c>
      <c r="B6" s="9">
        <f>'Reported inputs'!B16</f>
        <v>76</v>
      </c>
      <c r="C6" s="9">
        <f>'Reported inputs'!C16</f>
        <v>53</v>
      </c>
      <c r="D6" s="4">
        <f t="shared" si="0"/>
        <v>-23</v>
      </c>
    </row>
    <row r="7" spans="1:4" ht="25" customHeight="1">
      <c r="A7" s="1" t="s">
        <v>44</v>
      </c>
      <c r="B7" s="9">
        <f>'Reported inputs'!B15</f>
        <v>0</v>
      </c>
      <c r="C7" s="9">
        <f>'Reported inputs'!C15</f>
        <v>0</v>
      </c>
      <c r="D7" s="4">
        <f t="shared" si="0"/>
        <v>0</v>
      </c>
    </row>
    <row r="8" spans="1:4" ht="25" customHeight="1">
      <c r="A8" s="1" t="s">
        <v>45</v>
      </c>
      <c r="B8" s="9">
        <f>'Reported inputs'!B14</f>
        <v>-107</v>
      </c>
      <c r="C8" s="9">
        <f>'Reported inputs'!C14</f>
        <v>-50</v>
      </c>
      <c r="D8" s="4">
        <f t="shared" si="0"/>
        <v>57</v>
      </c>
    </row>
    <row r="9" spans="1:4" ht="25" customHeight="1">
      <c r="A9" s="10" t="s">
        <v>46</v>
      </c>
      <c r="B9" s="11">
        <f>B5+B6+B7-B8</f>
        <v>3885</v>
      </c>
      <c r="C9" s="11">
        <f>C5+C6+C7-C8</f>
        <v>3900</v>
      </c>
      <c r="D9" s="12">
        <f t="shared" si="0"/>
        <v>15</v>
      </c>
    </row>
    <row r="10" spans="1:4" ht="25" customHeight="1">
      <c r="A10" s="10" t="s">
        <v>47</v>
      </c>
      <c r="B10" s="11">
        <f>'Reported inputs'!B10</f>
        <v>666</v>
      </c>
      <c r="C10" s="11">
        <f>'Reported inputs'!C10</f>
        <v>792</v>
      </c>
      <c r="D10" s="12">
        <f t="shared" si="0"/>
        <v>126</v>
      </c>
    </row>
    <row r="11" spans="1:4" ht="25" customHeight="1">
      <c r="A11" s="20" t="s">
        <v>48</v>
      </c>
      <c r="B11" s="21">
        <f>B10/B9</f>
        <v>0.17142857142857143</v>
      </c>
      <c r="C11" s="21">
        <f>C10/C9</f>
        <v>0.20307692307692307</v>
      </c>
      <c r="D11" s="22">
        <f>(C11-B11)*100</f>
        <v>3.1648351648351642</v>
      </c>
    </row>
    <row r="12" spans="1:4" ht="25" customHeight="1">
      <c r="A12" s="10" t="s">
        <v>8</v>
      </c>
      <c r="B12" s="11">
        <f>B9-B10</f>
        <v>3219</v>
      </c>
      <c r="C12" s="11">
        <f>C9-C10</f>
        <v>3108</v>
      </c>
      <c r="D12" s="12">
        <f t="shared" ref="D12:D18" si="1">C12-B12</f>
        <v>-111</v>
      </c>
    </row>
    <row r="13" spans="1:4" ht="25" customHeight="1">
      <c r="A13" s="1" t="s">
        <v>49</v>
      </c>
      <c r="B13" s="9">
        <f>'Reported inputs'!B17</f>
        <v>0</v>
      </c>
      <c r="C13" s="9">
        <f>'Reported inputs'!C17</f>
        <v>0</v>
      </c>
      <c r="D13" s="4">
        <f t="shared" si="1"/>
        <v>0</v>
      </c>
    </row>
    <row r="14" spans="1:4" ht="25" customHeight="1">
      <c r="A14" s="1" t="s">
        <v>50</v>
      </c>
      <c r="B14" s="13">
        <f>B12-B13</f>
        <v>3219</v>
      </c>
      <c r="C14" s="13">
        <f>C12-C13</f>
        <v>3108</v>
      </c>
      <c r="D14" s="4">
        <f t="shared" si="1"/>
        <v>-111</v>
      </c>
    </row>
    <row r="15" spans="1:4" ht="25" customHeight="1">
      <c r="A15" s="1" t="s">
        <v>51</v>
      </c>
      <c r="B15" s="23">
        <f>'Reported inputs'!B13</f>
        <v>2.16</v>
      </c>
      <c r="C15" s="23">
        <f>'Reported inputs'!C13</f>
        <v>2.1</v>
      </c>
      <c r="D15" s="24">
        <f t="shared" si="1"/>
        <v>-6.0000000000000053E-2</v>
      </c>
    </row>
    <row r="16" spans="1:4" ht="25" customHeight="1">
      <c r="A16" s="1" t="s">
        <v>52</v>
      </c>
      <c r="B16" s="9">
        <f>B12-'Reported inputs'!B11</f>
        <v>0</v>
      </c>
      <c r="C16" s="9">
        <f>C12-'Reported inputs'!C11</f>
        <v>0</v>
      </c>
      <c r="D16" s="4">
        <f t="shared" si="1"/>
        <v>0</v>
      </c>
    </row>
    <row r="17" spans="1:4" ht="25" customHeight="1">
      <c r="A17" s="10" t="s">
        <v>53</v>
      </c>
      <c r="B17" s="11">
        <f>B5+B6</f>
        <v>3778</v>
      </c>
      <c r="C17" s="11">
        <f>C5+C6</f>
        <v>3850</v>
      </c>
      <c r="D17" s="12">
        <f t="shared" si="1"/>
        <v>72</v>
      </c>
    </row>
    <row r="18" spans="1:4" ht="25" customHeight="1">
      <c r="A18" s="10" t="s">
        <v>54</v>
      </c>
      <c r="B18" s="11">
        <f>'Reported inputs'!B57</f>
        <v>0</v>
      </c>
      <c r="C18" s="11">
        <f>'Reported inputs'!C57</f>
        <v>986</v>
      </c>
      <c r="D18" s="12">
        <f t="shared" si="1"/>
        <v>986</v>
      </c>
    </row>
    <row r="19" spans="1:4" ht="25" customHeight="1">
      <c r="A19" s="10" t="s">
        <v>55</v>
      </c>
      <c r="B19" s="11"/>
      <c r="C19" s="11">
        <f>C5-C18</f>
        <v>2811</v>
      </c>
      <c r="D19" s="12"/>
    </row>
    <row r="20" spans="1:4" ht="25" customHeight="1">
      <c r="A20" s="1"/>
      <c r="B20" s="4"/>
      <c r="C20" s="4"/>
      <c r="D20" s="4"/>
    </row>
    <row r="21" spans="1:4" ht="26" customHeight="1">
      <c r="A21" s="45" t="s">
        <v>56</v>
      </c>
      <c r="B21" s="44"/>
      <c r="C21" s="44"/>
      <c r="D21" s="44"/>
    </row>
    <row r="22" spans="1:4" ht="26" customHeight="1">
      <c r="A22" s="42"/>
      <c r="B22" s="44"/>
      <c r="C22" s="44"/>
      <c r="D22" s="44"/>
    </row>
    <row r="23" spans="1:4" ht="25" customHeight="1">
      <c r="A23" s="1"/>
      <c r="B23" s="4"/>
      <c r="C23" s="4"/>
      <c r="D23" s="4"/>
    </row>
  </sheetData>
  <mergeCells count="3">
    <mergeCell ref="A2:D2"/>
    <mergeCell ref="A3:D3"/>
    <mergeCell ref="A21:D22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02020"/>
  </sheetPr>
  <dimension ref="A1:D17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9" t="s">
        <v>57</v>
      </c>
      <c r="B2" s="40"/>
      <c r="C2" s="40"/>
      <c r="D2" s="40"/>
    </row>
    <row r="3" spans="1:4" ht="25" customHeight="1">
      <c r="A3" s="41" t="s">
        <v>17</v>
      </c>
      <c r="B3" s="42"/>
      <c r="C3" s="42"/>
      <c r="D3" s="42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" t="s">
        <v>58</v>
      </c>
      <c r="B5" s="9">
        <f>'Reported inputs'!B24</f>
        <v>23362</v>
      </c>
      <c r="C5" s="9">
        <f>'Reported inputs'!C24</f>
        <v>24603</v>
      </c>
      <c r="D5" s="4">
        <f t="shared" ref="D5:D12" si="0">C5-B5</f>
        <v>1241</v>
      </c>
    </row>
    <row r="6" spans="1:4" ht="25" customHeight="1">
      <c r="A6" s="1" t="s">
        <v>59</v>
      </c>
      <c r="B6" s="9">
        <f>'Reported inputs'!B25</f>
        <v>10566</v>
      </c>
      <c r="C6" s="9">
        <f>'Reported inputs'!C25</f>
        <v>12547</v>
      </c>
      <c r="D6" s="4">
        <f t="shared" si="0"/>
        <v>1981</v>
      </c>
    </row>
    <row r="7" spans="1:4" ht="25" customHeight="1">
      <c r="A7" s="10" t="s">
        <v>60</v>
      </c>
      <c r="B7" s="11">
        <f>B5-B6</f>
        <v>12796</v>
      </c>
      <c r="C7" s="11">
        <f>C5-C6</f>
        <v>12056</v>
      </c>
      <c r="D7" s="12">
        <f t="shared" si="0"/>
        <v>-740</v>
      </c>
    </row>
    <row r="8" spans="1:4" ht="25" customHeight="1">
      <c r="A8" s="10" t="s">
        <v>61</v>
      </c>
      <c r="B8" s="27">
        <f>B5/B6</f>
        <v>2.2110543251940187</v>
      </c>
      <c r="C8" s="27">
        <f>C5/C6</f>
        <v>1.9608671395552721</v>
      </c>
      <c r="D8" s="28">
        <f t="shared" si="0"/>
        <v>-0.25018718563874653</v>
      </c>
    </row>
    <row r="9" spans="1:4" ht="25" customHeight="1">
      <c r="A9" s="1" t="s">
        <v>62</v>
      </c>
      <c r="B9" s="9">
        <f>'Reported inputs'!B19</f>
        <v>7464</v>
      </c>
      <c r="C9" s="9">
        <f>'Reported inputs'!C19</f>
        <v>7563</v>
      </c>
      <c r="D9" s="4">
        <f t="shared" si="0"/>
        <v>99</v>
      </c>
    </row>
    <row r="10" spans="1:4" ht="25" customHeight="1">
      <c r="A10" s="1" t="s">
        <v>63</v>
      </c>
      <c r="B10" s="9">
        <f>'Reported inputs'!B20</f>
        <v>1687</v>
      </c>
      <c r="C10" s="9">
        <f>'Reported inputs'!C20</f>
        <v>1464</v>
      </c>
      <c r="D10" s="4">
        <f t="shared" si="0"/>
        <v>-223</v>
      </c>
    </row>
    <row r="11" spans="1:4" ht="25" customHeight="1">
      <c r="A11" s="10" t="s">
        <v>64</v>
      </c>
      <c r="B11" s="11">
        <f>B9+B10</f>
        <v>9151</v>
      </c>
      <c r="C11" s="11">
        <f>C9+C10</f>
        <v>9027</v>
      </c>
      <c r="D11" s="12">
        <f t="shared" si="0"/>
        <v>-124</v>
      </c>
    </row>
    <row r="12" spans="1:4" ht="25" customHeight="1">
      <c r="A12" s="10" t="s">
        <v>65</v>
      </c>
      <c r="B12" s="11">
        <f>'Reported inputs'!B29</f>
        <v>0</v>
      </c>
      <c r="C12" s="11">
        <f>'Reported inputs'!C29</f>
        <v>2000</v>
      </c>
      <c r="D12" s="12">
        <f t="shared" si="0"/>
        <v>2000</v>
      </c>
    </row>
    <row r="13" spans="1:4" ht="25" customHeight="1">
      <c r="A13" s="1" t="s">
        <v>66</v>
      </c>
      <c r="B13" s="26"/>
      <c r="C13" s="25">
        <f>C11/C12</f>
        <v>4.5134999999999996</v>
      </c>
      <c r="D13" s="26"/>
    </row>
    <row r="14" spans="1:4" ht="25" customHeight="1">
      <c r="A14" s="1"/>
      <c r="B14" s="4"/>
      <c r="C14" s="4"/>
      <c r="D14" s="4"/>
    </row>
    <row r="15" spans="1:4" ht="26" customHeight="1">
      <c r="A15" s="45" t="s">
        <v>67</v>
      </c>
      <c r="B15" s="44"/>
      <c r="C15" s="44"/>
      <c r="D15" s="44"/>
    </row>
    <row r="16" spans="1:4" ht="26" customHeight="1">
      <c r="A16" s="42"/>
      <c r="B16" s="44"/>
      <c r="C16" s="44"/>
      <c r="D16" s="44"/>
    </row>
    <row r="17" spans="1:4" ht="25" customHeight="1">
      <c r="A17" s="1"/>
      <c r="B17" s="4"/>
      <c r="C17" s="4"/>
      <c r="D17" s="4"/>
    </row>
  </sheetData>
  <mergeCells count="3">
    <mergeCell ref="A2:D2"/>
    <mergeCell ref="A3:D3"/>
    <mergeCell ref="A15:D16"/>
  </mergeCells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02020"/>
  </sheetPr>
  <dimension ref="A1:D22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9" t="s">
        <v>68</v>
      </c>
      <c r="B2" s="40"/>
      <c r="C2" s="40"/>
      <c r="D2" s="40"/>
    </row>
    <row r="3" spans="1:4" ht="25" customHeight="1">
      <c r="A3" s="41" t="s">
        <v>17</v>
      </c>
      <c r="B3" s="42"/>
      <c r="C3" s="42"/>
      <c r="D3" s="42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0" t="s">
        <v>69</v>
      </c>
      <c r="B5" s="11">
        <f>'Reported inputs'!B21</f>
        <v>4717</v>
      </c>
      <c r="C5" s="11">
        <f>'Reported inputs'!C21</f>
        <v>5931</v>
      </c>
      <c r="D5" s="12">
        <f t="shared" ref="D5:D18" si="0">C5-B5</f>
        <v>1214</v>
      </c>
    </row>
    <row r="6" spans="1:4" ht="25" customHeight="1">
      <c r="A6" s="1" t="s">
        <v>70</v>
      </c>
      <c r="B6" s="9">
        <f>'Reported inputs'!B22</f>
        <v>7489</v>
      </c>
      <c r="C6" s="9">
        <f>'Reported inputs'!C22</f>
        <v>7501</v>
      </c>
      <c r="D6" s="4">
        <f t="shared" si="0"/>
        <v>12</v>
      </c>
    </row>
    <row r="7" spans="1:4" ht="25" customHeight="1">
      <c r="A7" s="1" t="s">
        <v>71</v>
      </c>
      <c r="B7" s="9">
        <f>'Reported inputs'!B23</f>
        <v>3479</v>
      </c>
      <c r="C7" s="9">
        <f>'Reported inputs'!C23</f>
        <v>3600</v>
      </c>
      <c r="D7" s="4">
        <f t="shared" si="0"/>
        <v>121</v>
      </c>
    </row>
    <row r="8" spans="1:4" ht="25" customHeight="1">
      <c r="A8" s="10" t="s">
        <v>72</v>
      </c>
      <c r="B8" s="11">
        <f>B5+B6-B7</f>
        <v>8727</v>
      </c>
      <c r="C8" s="11">
        <f>C5+C6-C7</f>
        <v>9832</v>
      </c>
      <c r="D8" s="12">
        <f t="shared" si="0"/>
        <v>1105</v>
      </c>
    </row>
    <row r="9" spans="1:4" ht="25" customHeight="1">
      <c r="A9" s="1" t="s">
        <v>73</v>
      </c>
      <c r="B9" s="9">
        <f>('Reported inputs'!B61+B5)/2</f>
        <v>4572</v>
      </c>
      <c r="C9" s="9">
        <f>('Reported inputs'!C61+C5)/2</f>
        <v>5324</v>
      </c>
      <c r="D9" s="4">
        <f t="shared" si="0"/>
        <v>752</v>
      </c>
    </row>
    <row r="10" spans="1:4" ht="25" customHeight="1">
      <c r="A10" s="1" t="s">
        <v>74</v>
      </c>
      <c r="B10" s="9">
        <f>('Reported inputs'!B62+B6)/2</f>
        <v>7504</v>
      </c>
      <c r="C10" s="9">
        <f>('Reported inputs'!C62+C6)/2</f>
        <v>7495</v>
      </c>
      <c r="D10" s="4">
        <f t="shared" si="0"/>
        <v>-9</v>
      </c>
    </row>
    <row r="11" spans="1:4" ht="25" customHeight="1">
      <c r="A11" s="1" t="s">
        <v>75</v>
      </c>
      <c r="B11" s="9">
        <f>('Reported inputs'!B63+B7)/2</f>
        <v>3165</v>
      </c>
      <c r="C11" s="9">
        <f>('Reported inputs'!C63+C7)/2</f>
        <v>3539.5</v>
      </c>
      <c r="D11" s="4">
        <f t="shared" si="0"/>
        <v>374.5</v>
      </c>
    </row>
    <row r="12" spans="1:4" ht="25" customHeight="1">
      <c r="A12" s="10" t="s">
        <v>76</v>
      </c>
      <c r="B12" s="31">
        <f>B9/'Reported inputs'!B5*'Reported inputs'!B64</f>
        <v>36.035759787514309</v>
      </c>
      <c r="C12" s="31">
        <f>C9/'Reported inputs'!C5*'Reported inputs'!C64</f>
        <v>41.882408724513986</v>
      </c>
      <c r="D12" s="32">
        <f t="shared" si="0"/>
        <v>5.8466489369996779</v>
      </c>
    </row>
    <row r="13" spans="1:4" ht="25" customHeight="1">
      <c r="A13" s="1" t="s">
        <v>77</v>
      </c>
      <c r="B13" s="29">
        <f>B10/'Reported inputs'!B6*'Reported inputs'!B64</f>
        <v>103.28292922055886</v>
      </c>
      <c r="C13" s="29">
        <f>C10/'Reported inputs'!C6*'Reported inputs'!C64</f>
        <v>103.28368633669348</v>
      </c>
      <c r="D13" s="30">
        <f t="shared" si="0"/>
        <v>7.5711613462203786E-4</v>
      </c>
    </row>
    <row r="14" spans="1:4" ht="25" customHeight="1">
      <c r="A14" s="1" t="s">
        <v>78</v>
      </c>
      <c r="B14" s="29">
        <f>B11/'Reported inputs'!B6*'Reported inputs'!B64</f>
        <v>43.562162977487844</v>
      </c>
      <c r="C14" s="29">
        <f>C11/'Reported inputs'!C6*'Reported inputs'!C64</f>
        <v>48.775531392758708</v>
      </c>
      <c r="D14" s="30">
        <f t="shared" si="0"/>
        <v>5.2133684152708639</v>
      </c>
    </row>
    <row r="15" spans="1:4" ht="25" customHeight="1">
      <c r="A15" s="10" t="s">
        <v>79</v>
      </c>
      <c r="B15" s="31">
        <f>B12+B13-B14</f>
        <v>95.75652603058532</v>
      </c>
      <c r="C15" s="31">
        <f>C12+C13-C14</f>
        <v>96.390563668448763</v>
      </c>
      <c r="D15" s="32">
        <f t="shared" si="0"/>
        <v>0.63403763786344314</v>
      </c>
    </row>
    <row r="16" spans="1:4" ht="25" customHeight="1">
      <c r="A16" s="10" t="s">
        <v>80</v>
      </c>
      <c r="B16" s="11">
        <f>'Reported inputs'!B58</f>
        <v>0</v>
      </c>
      <c r="C16" s="11">
        <f>'Reported inputs'!C58</f>
        <v>684</v>
      </c>
      <c r="D16" s="12">
        <f t="shared" si="0"/>
        <v>684</v>
      </c>
    </row>
    <row r="17" spans="1:4" ht="25" customHeight="1">
      <c r="A17" s="10" t="s">
        <v>81</v>
      </c>
      <c r="B17" s="11">
        <f>B5-B16</f>
        <v>4717</v>
      </c>
      <c r="C17" s="11">
        <f>C5-C16</f>
        <v>5247</v>
      </c>
      <c r="D17" s="12">
        <f t="shared" si="0"/>
        <v>530</v>
      </c>
    </row>
    <row r="18" spans="1:4" ht="25" customHeight="1">
      <c r="A18" s="10" t="s">
        <v>82</v>
      </c>
      <c r="B18" s="31">
        <f>(('Reported inputs'!B61+B17)/2)/'Reported inputs'!B5*365</f>
        <v>36.035759787514309</v>
      </c>
      <c r="C18" s="31">
        <f>(('Reported inputs'!C61+C17)/2)/'Reported inputs'!C5*365</f>
        <v>39.191991034096297</v>
      </c>
      <c r="D18" s="32">
        <f t="shared" si="0"/>
        <v>3.1562312465819886</v>
      </c>
    </row>
    <row r="19" spans="1:4" ht="25" customHeight="1">
      <c r="A19" s="1"/>
      <c r="B19" s="4"/>
      <c r="C19" s="4"/>
      <c r="D19" s="4"/>
    </row>
    <row r="20" spans="1:4" ht="26" customHeight="1">
      <c r="A20" s="45" t="s">
        <v>83</v>
      </c>
      <c r="B20" s="44"/>
      <c r="C20" s="44"/>
      <c r="D20" s="44"/>
    </row>
    <row r="21" spans="1:4" ht="26" customHeight="1">
      <c r="A21" s="42"/>
      <c r="B21" s="44"/>
      <c r="C21" s="44"/>
      <c r="D21" s="44"/>
    </row>
    <row r="22" spans="1:4" ht="25" customHeight="1">
      <c r="A22" s="1"/>
      <c r="B22" s="4"/>
      <c r="C22" s="4"/>
      <c r="D22" s="4"/>
    </row>
  </sheetData>
  <mergeCells count="3">
    <mergeCell ref="A2:D2"/>
    <mergeCell ref="A3:D3"/>
    <mergeCell ref="A20:D21"/>
  </mergeCells>
  <phoneticPr fontId="1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02020"/>
  </sheetPr>
  <dimension ref="A1:D20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9" t="s">
        <v>84</v>
      </c>
      <c r="B2" s="40"/>
      <c r="C2" s="40"/>
      <c r="D2" s="40"/>
    </row>
    <row r="3" spans="1:4" ht="25" customHeight="1">
      <c r="A3" s="41" t="s">
        <v>17</v>
      </c>
      <c r="B3" s="42"/>
      <c r="C3" s="42"/>
      <c r="D3" s="42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" t="s">
        <v>85</v>
      </c>
      <c r="B5" s="9">
        <f>'Reported inputs'!B26</f>
        <v>36579</v>
      </c>
      <c r="C5" s="9">
        <f>'Reported inputs'!C26</f>
        <v>38410</v>
      </c>
      <c r="D5" s="4">
        <f t="shared" ref="D5:D13" si="0">C5-B5</f>
        <v>1831</v>
      </c>
    </row>
    <row r="6" spans="1:4" ht="25" customHeight="1">
      <c r="A6" s="1" t="s">
        <v>86</v>
      </c>
      <c r="B6" s="9">
        <f>'Reported inputs'!B27</f>
        <v>23366</v>
      </c>
      <c r="C6" s="9">
        <f>'Reported inputs'!C27</f>
        <v>23545</v>
      </c>
      <c r="D6" s="4">
        <f t="shared" si="0"/>
        <v>179</v>
      </c>
    </row>
    <row r="7" spans="1:4" ht="25" customHeight="1">
      <c r="A7" s="1" t="s">
        <v>87</v>
      </c>
      <c r="B7" s="9">
        <f>'Reported inputs'!B28</f>
        <v>13213</v>
      </c>
      <c r="C7" s="9">
        <f>'Reported inputs'!C28</f>
        <v>14865</v>
      </c>
      <c r="D7" s="4">
        <f t="shared" si="0"/>
        <v>1652</v>
      </c>
    </row>
    <row r="8" spans="1:4" ht="25" customHeight="1">
      <c r="A8" s="10" t="s">
        <v>88</v>
      </c>
      <c r="B8" s="35">
        <f>B5-B6-B7</f>
        <v>0</v>
      </c>
      <c r="C8" s="35">
        <f>C5-C6-C7</f>
        <v>0</v>
      </c>
      <c r="D8" s="36">
        <f t="shared" si="0"/>
        <v>0</v>
      </c>
    </row>
    <row r="9" spans="1:4" ht="25" customHeight="1">
      <c r="A9" s="1" t="s">
        <v>89</v>
      </c>
      <c r="B9" s="9">
        <f>'Reported inputs'!B29</f>
        <v>0</v>
      </c>
      <c r="C9" s="9">
        <f>'Reported inputs'!C29</f>
        <v>2000</v>
      </c>
      <c r="D9" s="4">
        <f t="shared" si="0"/>
        <v>2000</v>
      </c>
    </row>
    <row r="10" spans="1:4" ht="25" customHeight="1">
      <c r="A10" s="1" t="s">
        <v>90</v>
      </c>
      <c r="B10" s="9">
        <f>'Reported inputs'!B30</f>
        <v>7961</v>
      </c>
      <c r="C10" s="9">
        <f>'Reported inputs'!C30</f>
        <v>5942</v>
      </c>
      <c r="D10" s="4">
        <f t="shared" si="0"/>
        <v>-2019</v>
      </c>
    </row>
    <row r="11" spans="1:4" ht="25" customHeight="1">
      <c r="A11" s="10" t="s">
        <v>91</v>
      </c>
      <c r="B11" s="11">
        <f>B9+B10</f>
        <v>7961</v>
      </c>
      <c r="C11" s="11">
        <f>C9+C10</f>
        <v>7942</v>
      </c>
      <c r="D11" s="12">
        <f t="shared" si="0"/>
        <v>-19</v>
      </c>
    </row>
    <row r="12" spans="1:4" ht="25" customHeight="1">
      <c r="A12" s="1" t="s">
        <v>92</v>
      </c>
      <c r="B12" s="9">
        <f>'Reported inputs'!B19+'Reported inputs'!B20</f>
        <v>9151</v>
      </c>
      <c r="C12" s="9">
        <f>'Reported inputs'!C19+'Reported inputs'!C20</f>
        <v>9027</v>
      </c>
      <c r="D12" s="4">
        <f t="shared" si="0"/>
        <v>-124</v>
      </c>
    </row>
    <row r="13" spans="1:4" ht="25" customHeight="1">
      <c r="A13" s="10" t="s">
        <v>12</v>
      </c>
      <c r="B13" s="11">
        <f>B11-B12</f>
        <v>-1190</v>
      </c>
      <c r="C13" s="11">
        <f>C11-C12</f>
        <v>-1085</v>
      </c>
      <c r="D13" s="12">
        <f t="shared" si="0"/>
        <v>105</v>
      </c>
    </row>
    <row r="14" spans="1:4" ht="25" customHeight="1">
      <c r="A14" s="20" t="s">
        <v>93</v>
      </c>
      <c r="B14" s="21">
        <f>B9/B11</f>
        <v>0</v>
      </c>
      <c r="C14" s="21">
        <f>C9/C11</f>
        <v>0.25182573659027951</v>
      </c>
      <c r="D14" s="22">
        <f>(C14-B14)*100</f>
        <v>25.182573659027952</v>
      </c>
    </row>
    <row r="15" spans="1:4" ht="25" customHeight="1">
      <c r="A15" s="1" t="s">
        <v>94</v>
      </c>
      <c r="B15" s="9">
        <f>'Reported inputs'!B31+'Reported inputs'!B32</f>
        <v>499</v>
      </c>
      <c r="C15" s="9">
        <f>'Reported inputs'!C31+'Reported inputs'!C32</f>
        <v>499</v>
      </c>
      <c r="D15" s="4">
        <f>C15-B15</f>
        <v>0</v>
      </c>
    </row>
    <row r="16" spans="1:4" ht="25" customHeight="1">
      <c r="A16" s="20" t="s">
        <v>95</v>
      </c>
      <c r="B16" s="21">
        <f>B15/B5</f>
        <v>1.3641706990349655E-2</v>
      </c>
      <c r="C16" s="21">
        <f>C15/C5</f>
        <v>1.2991408487373081E-2</v>
      </c>
      <c r="D16" s="22">
        <f>(C16-B16)*100</f>
        <v>-6.5029850297657413E-2</v>
      </c>
    </row>
    <row r="17" spans="1:4" ht="25" customHeight="1">
      <c r="A17" s="1"/>
      <c r="B17" s="4"/>
      <c r="C17" s="4"/>
      <c r="D17" s="4"/>
    </row>
    <row r="18" spans="1:4" ht="26" customHeight="1">
      <c r="A18" s="45" t="s">
        <v>96</v>
      </c>
      <c r="B18" s="44"/>
      <c r="C18" s="44"/>
      <c r="D18" s="44"/>
    </row>
    <row r="19" spans="1:4" ht="26" customHeight="1">
      <c r="A19" s="42"/>
      <c r="B19" s="44"/>
      <c r="C19" s="44"/>
      <c r="D19" s="44"/>
    </row>
    <row r="20" spans="1:4" ht="25" customHeight="1">
      <c r="A20" s="1"/>
      <c r="B20" s="4"/>
      <c r="C20" s="4"/>
      <c r="D20" s="4"/>
    </row>
  </sheetData>
  <mergeCells count="3">
    <mergeCell ref="A2:D2"/>
    <mergeCell ref="A3:D3"/>
    <mergeCell ref="A18:D19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02020"/>
  </sheetPr>
  <dimension ref="A1:D22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9" t="s">
        <v>97</v>
      </c>
      <c r="B2" s="40"/>
      <c r="C2" s="40"/>
      <c r="D2" s="40"/>
    </row>
    <row r="3" spans="1:4" ht="25" customHeight="1">
      <c r="A3" s="41" t="s">
        <v>17</v>
      </c>
      <c r="B3" s="42"/>
      <c r="C3" s="42"/>
      <c r="D3" s="42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0" t="s">
        <v>8</v>
      </c>
      <c r="B5" s="11">
        <f>'Reported inputs'!B11</f>
        <v>3219</v>
      </c>
      <c r="C5" s="11">
        <f>'Reported inputs'!C11</f>
        <v>3108</v>
      </c>
      <c r="D5" s="12">
        <f t="shared" ref="D5:D17" si="0">C5-B5</f>
        <v>-111</v>
      </c>
    </row>
    <row r="6" spans="1:4" ht="25" customHeight="1">
      <c r="A6" s="1" t="s">
        <v>98</v>
      </c>
      <c r="B6" s="9">
        <f>'Reported inputs'!B34</f>
        <v>775</v>
      </c>
      <c r="C6" s="9">
        <f>'Reported inputs'!C34</f>
        <v>747</v>
      </c>
      <c r="D6" s="4">
        <f t="shared" si="0"/>
        <v>-28</v>
      </c>
    </row>
    <row r="7" spans="1:4" ht="25" customHeight="1">
      <c r="A7" s="1" t="s">
        <v>99</v>
      </c>
      <c r="B7" s="9">
        <f>'Reported inputs'!B35</f>
        <v>709</v>
      </c>
      <c r="C7" s="9">
        <f>'Reported inputs'!C35</f>
        <v>715</v>
      </c>
      <c r="D7" s="4">
        <f t="shared" si="0"/>
        <v>6</v>
      </c>
    </row>
    <row r="8" spans="1:4" ht="25" customHeight="1">
      <c r="A8" s="1" t="s">
        <v>100</v>
      </c>
      <c r="B8" s="9">
        <f>'Reported inputs'!B36</f>
        <v>-288</v>
      </c>
      <c r="C8" s="9">
        <f>'Reported inputs'!C36</f>
        <v>-96</v>
      </c>
      <c r="D8" s="4">
        <f t="shared" si="0"/>
        <v>192</v>
      </c>
    </row>
    <row r="9" spans="1:4" ht="25" customHeight="1">
      <c r="A9" s="1" t="s">
        <v>101</v>
      </c>
      <c r="B9" s="9">
        <f>'Reported inputs'!B37</f>
        <v>33</v>
      </c>
      <c r="C9" s="9">
        <f>'Reported inputs'!C37</f>
        <v>50</v>
      </c>
      <c r="D9" s="4">
        <f t="shared" si="0"/>
        <v>17</v>
      </c>
    </row>
    <row r="10" spans="1:4" ht="25" customHeight="1">
      <c r="A10" s="1" t="s">
        <v>102</v>
      </c>
      <c r="B10" s="9">
        <f>'Reported inputs'!B38</f>
        <v>37</v>
      </c>
      <c r="C10" s="9">
        <f>'Reported inputs'!C38</f>
        <v>22</v>
      </c>
      <c r="D10" s="4">
        <f t="shared" si="0"/>
        <v>-15</v>
      </c>
    </row>
    <row r="11" spans="1:4" ht="25" customHeight="1">
      <c r="A11" s="10" t="s">
        <v>103</v>
      </c>
      <c r="B11" s="11">
        <f>'Reported inputs'!B39</f>
        <v>-257</v>
      </c>
      <c r="C11" s="11">
        <f>'Reported inputs'!C39</f>
        <v>-1207</v>
      </c>
      <c r="D11" s="12">
        <f t="shared" si="0"/>
        <v>-950</v>
      </c>
    </row>
    <row r="12" spans="1:4" ht="25" customHeight="1">
      <c r="A12" s="10" t="s">
        <v>104</v>
      </c>
      <c r="B12" s="11">
        <f>'Reported inputs'!B40</f>
        <v>120</v>
      </c>
      <c r="C12" s="11">
        <f>'Reported inputs'!C40</f>
        <v>-31</v>
      </c>
      <c r="D12" s="12">
        <f t="shared" si="0"/>
        <v>-151</v>
      </c>
    </row>
    <row r="13" spans="1:4" ht="25" customHeight="1">
      <c r="A13" s="10" t="s">
        <v>105</v>
      </c>
      <c r="B13" s="11">
        <f>'Reported inputs'!B41</f>
        <v>-224</v>
      </c>
      <c r="C13" s="11">
        <f>'Reported inputs'!C41</f>
        <v>519</v>
      </c>
      <c r="D13" s="12">
        <f t="shared" si="0"/>
        <v>743</v>
      </c>
    </row>
    <row r="14" spans="1:4" ht="25" customHeight="1">
      <c r="A14" s="10" t="s">
        <v>106</v>
      </c>
      <c r="B14" s="11">
        <f>'Reported inputs'!B42</f>
        <v>-426</v>
      </c>
      <c r="C14" s="11">
        <f>'Reported inputs'!C42</f>
        <v>-959</v>
      </c>
      <c r="D14" s="12">
        <f t="shared" si="0"/>
        <v>-533</v>
      </c>
    </row>
    <row r="15" spans="1:4" ht="25" customHeight="1">
      <c r="A15" s="1" t="s">
        <v>107</v>
      </c>
      <c r="B15" s="13">
        <f>SUM(B5:B14)</f>
        <v>3698</v>
      </c>
      <c r="C15" s="13">
        <f>SUM(C5:C14)</f>
        <v>2868</v>
      </c>
      <c r="D15" s="4">
        <f t="shared" si="0"/>
        <v>-830</v>
      </c>
    </row>
    <row r="16" spans="1:4" ht="25" customHeight="1">
      <c r="A16" s="10" t="s">
        <v>108</v>
      </c>
      <c r="B16" s="11">
        <f>'Reported inputs'!B33</f>
        <v>3698</v>
      </c>
      <c r="C16" s="11">
        <f>'Reported inputs'!C33</f>
        <v>2868</v>
      </c>
      <c r="D16" s="12">
        <f t="shared" si="0"/>
        <v>-830</v>
      </c>
    </row>
    <row r="17" spans="1:4" ht="25" customHeight="1">
      <c r="A17" s="1" t="s">
        <v>109</v>
      </c>
      <c r="B17" s="33">
        <f>B16-B15</f>
        <v>0</v>
      </c>
      <c r="C17" s="33">
        <f>C16-C15</f>
        <v>0</v>
      </c>
      <c r="D17" s="34">
        <f t="shared" si="0"/>
        <v>0</v>
      </c>
    </row>
    <row r="18" spans="1:4" ht="25" customHeight="1">
      <c r="A18" s="20" t="s">
        <v>110</v>
      </c>
      <c r="B18" s="21">
        <f>B16/B5</f>
        <v>1.1488039763901834</v>
      </c>
      <c r="C18" s="21">
        <f>C16/C5</f>
        <v>0.92277992277992282</v>
      </c>
      <c r="D18" s="22">
        <f>(C18-B18)*100</f>
        <v>-22.602405361026058</v>
      </c>
    </row>
    <row r="19" spans="1:4" ht="25" customHeight="1">
      <c r="A19" s="1"/>
      <c r="B19" s="4"/>
      <c r="C19" s="4"/>
      <c r="D19" s="4"/>
    </row>
    <row r="20" spans="1:4" ht="26" customHeight="1">
      <c r="A20" s="45" t="s">
        <v>111</v>
      </c>
      <c r="B20" s="44"/>
      <c r="C20" s="44"/>
      <c r="D20" s="44"/>
    </row>
    <row r="21" spans="1:4" ht="26" customHeight="1">
      <c r="A21" s="42"/>
      <c r="B21" s="44"/>
      <c r="C21" s="44"/>
      <c r="D21" s="44"/>
    </row>
    <row r="22" spans="1:4" ht="25" customHeight="1">
      <c r="A22" s="1"/>
      <c r="B22" s="4"/>
      <c r="C22" s="4"/>
      <c r="D22" s="4"/>
    </row>
  </sheetData>
  <mergeCells count="3">
    <mergeCell ref="A2:D2"/>
    <mergeCell ref="A3:D3"/>
    <mergeCell ref="A20:D21"/>
  </mergeCells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02020"/>
  </sheetPr>
  <dimension ref="A1:D19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9" t="s">
        <v>112</v>
      </c>
      <c r="B2" s="40"/>
      <c r="C2" s="40"/>
      <c r="D2" s="40"/>
    </row>
    <row r="3" spans="1:4" ht="25" customHeight="1">
      <c r="A3" s="41" t="s">
        <v>17</v>
      </c>
      <c r="B3" s="42"/>
      <c r="C3" s="42"/>
      <c r="D3" s="42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" t="s">
        <v>9</v>
      </c>
      <c r="B5" s="9">
        <f>'Reported inputs'!B33</f>
        <v>3698</v>
      </c>
      <c r="C5" s="9">
        <f>'Reported inputs'!C33</f>
        <v>2868</v>
      </c>
      <c r="D5" s="4">
        <f>C5-B5</f>
        <v>-830</v>
      </c>
    </row>
    <row r="6" spans="1:4" ht="25" customHeight="1">
      <c r="A6" s="1" t="s">
        <v>113</v>
      </c>
      <c r="B6" s="9">
        <f>'Reported inputs'!B43</f>
        <v>430</v>
      </c>
      <c r="C6" s="9">
        <f>'Reported inputs'!C43</f>
        <v>684</v>
      </c>
      <c r="D6" s="4">
        <f>C6-B6</f>
        <v>254</v>
      </c>
    </row>
    <row r="7" spans="1:4" ht="25" customHeight="1">
      <c r="A7" s="10" t="s">
        <v>114</v>
      </c>
      <c r="B7" s="11">
        <f>B5-B6</f>
        <v>3268</v>
      </c>
      <c r="C7" s="11">
        <f>C5-C6</f>
        <v>2184</v>
      </c>
      <c r="D7" s="12">
        <f>C7-B7</f>
        <v>-1084</v>
      </c>
    </row>
    <row r="8" spans="1:4" ht="25" customHeight="1">
      <c r="A8" s="15" t="s">
        <v>115</v>
      </c>
      <c r="B8" s="19">
        <f>B7/'Reported inputs'!B5</f>
        <v>7.0569435746831069E-2</v>
      </c>
      <c r="C8" s="19">
        <f>C7/'Reported inputs'!C5</f>
        <v>4.7070994439415495E-2</v>
      </c>
      <c r="D8" s="18">
        <f>(C8-B8)*100</f>
        <v>-2.3498441307415572</v>
      </c>
    </row>
    <row r="9" spans="1:4" ht="25" customHeight="1">
      <c r="A9" s="1" t="s">
        <v>116</v>
      </c>
      <c r="B9" s="9">
        <f>'Reported inputs'!B44</f>
        <v>2300</v>
      </c>
      <c r="C9" s="9">
        <f>'Reported inputs'!C44</f>
        <v>2407</v>
      </c>
      <c r="D9" s="4">
        <f>C9-B9</f>
        <v>107</v>
      </c>
    </row>
    <row r="10" spans="1:4" ht="25" customHeight="1">
      <c r="A10" s="1" t="s">
        <v>117</v>
      </c>
      <c r="B10" s="9">
        <f>'Reported inputs'!B45</f>
        <v>2985</v>
      </c>
      <c r="C10" s="9">
        <f>'Reported inputs'!C45</f>
        <v>146</v>
      </c>
      <c r="D10" s="4">
        <f>C10-B10</f>
        <v>-2839</v>
      </c>
    </row>
    <row r="11" spans="1:4" ht="25" customHeight="1">
      <c r="A11" s="10" t="s">
        <v>118</v>
      </c>
      <c r="B11" s="11">
        <f>B9+B10</f>
        <v>5285</v>
      </c>
      <c r="C11" s="11">
        <f>C9+C10</f>
        <v>2553</v>
      </c>
      <c r="D11" s="12">
        <f>C11-B11</f>
        <v>-2732</v>
      </c>
    </row>
    <row r="12" spans="1:4" ht="25" customHeight="1">
      <c r="A12" s="10" t="s">
        <v>119</v>
      </c>
      <c r="B12" s="11">
        <f>B7-B9</f>
        <v>968</v>
      </c>
      <c r="C12" s="11">
        <f>C7-C9</f>
        <v>-223</v>
      </c>
      <c r="D12" s="12">
        <f>C12-B12</f>
        <v>-1191</v>
      </c>
    </row>
    <row r="13" spans="1:4" ht="25" customHeight="1">
      <c r="A13" s="10" t="s">
        <v>120</v>
      </c>
      <c r="B13" s="11">
        <f>B7-B11</f>
        <v>-2017</v>
      </c>
      <c r="C13" s="11">
        <f>C7-C11</f>
        <v>-369</v>
      </c>
      <c r="D13" s="12">
        <f>C13-B13</f>
        <v>1648</v>
      </c>
    </row>
    <row r="14" spans="1:4" ht="25" customHeight="1">
      <c r="A14" s="20" t="s">
        <v>121</v>
      </c>
      <c r="B14" s="21">
        <f>B11/B7</f>
        <v>1.6171970624235006</v>
      </c>
      <c r="C14" s="21">
        <f>C11/C7</f>
        <v>1.168956043956044</v>
      </c>
      <c r="D14" s="22">
        <f>(C14-B14)*100</f>
        <v>-44.824101846745656</v>
      </c>
    </row>
    <row r="15" spans="1:4" ht="25" customHeight="1">
      <c r="A15" s="1" t="s">
        <v>122</v>
      </c>
      <c r="B15" s="37">
        <f>B6/'Reported inputs'!B34</f>
        <v>0.55483870967741933</v>
      </c>
      <c r="C15" s="37">
        <f>C6/'Reported inputs'!C34</f>
        <v>0.91566265060240959</v>
      </c>
      <c r="D15" s="26">
        <f>C15-B15</f>
        <v>0.36082394092499026</v>
      </c>
    </row>
    <row r="16" spans="1:4" ht="25" customHeight="1">
      <c r="A16" s="1"/>
      <c r="B16" s="4"/>
      <c r="C16" s="4"/>
      <c r="D16" s="4"/>
    </row>
    <row r="17" spans="1:4" ht="26" customHeight="1">
      <c r="A17" s="45" t="s">
        <v>123</v>
      </c>
      <c r="B17" s="44"/>
      <c r="C17" s="44"/>
      <c r="D17" s="44"/>
    </row>
    <row r="18" spans="1:4" ht="26" customHeight="1">
      <c r="A18" s="42"/>
      <c r="B18" s="44"/>
      <c r="C18" s="44"/>
      <c r="D18" s="44"/>
    </row>
    <row r="19" spans="1:4" ht="25" customHeight="1">
      <c r="A19" s="1"/>
      <c r="B19" s="4"/>
      <c r="C19" s="4"/>
      <c r="D19" s="4"/>
    </row>
  </sheetData>
  <mergeCells count="3">
    <mergeCell ref="A2:D2"/>
    <mergeCell ref="A3:D3"/>
    <mergeCell ref="A17:D18"/>
  </mergeCells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02020"/>
  </sheetPr>
  <dimension ref="A1:D17"/>
  <sheetViews>
    <sheetView showGridLines="0" showRowColHeaders="0" zoomScale="175" zoomScaleNormal="175" workbookViewId="0">
      <selection activeCell="F1" sqref="F1"/>
    </sheetView>
  </sheetViews>
  <sheetFormatPr baseColWidth="10" defaultColWidth="8.83203125" defaultRowHeight="14"/>
  <cols>
    <col min="1" max="1" width="48" customWidth="1"/>
    <col min="2" max="4" width="18" customWidth="1"/>
  </cols>
  <sheetData>
    <row r="1" spans="1:4" ht="25" customHeight="1">
      <c r="A1" s="1"/>
      <c r="B1" s="1"/>
      <c r="C1" s="1"/>
      <c r="D1" s="1"/>
    </row>
    <row r="2" spans="1:4" ht="36" customHeight="1">
      <c r="A2" s="39" t="s">
        <v>124</v>
      </c>
      <c r="B2" s="40"/>
      <c r="C2" s="40"/>
      <c r="D2" s="40"/>
    </row>
    <row r="3" spans="1:4" ht="25" customHeight="1">
      <c r="A3" s="41" t="s">
        <v>17</v>
      </c>
      <c r="B3" s="42"/>
      <c r="C3" s="42"/>
      <c r="D3" s="42"/>
    </row>
    <row r="4" spans="1:4" ht="25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4" ht="25" customHeight="1">
      <c r="A5" s="1" t="s">
        <v>125</v>
      </c>
      <c r="B5" s="9">
        <f>'Reported inputs'!B49</f>
        <v>9860</v>
      </c>
      <c r="C5" s="9">
        <f>'Reported inputs'!C49</f>
        <v>7464</v>
      </c>
      <c r="D5" s="4">
        <f t="shared" ref="D5:D13" si="0">C5-B5</f>
        <v>-2396</v>
      </c>
    </row>
    <row r="6" spans="1:4" ht="25" customHeight="1">
      <c r="A6" s="10" t="s">
        <v>9</v>
      </c>
      <c r="B6" s="11">
        <f>'Reported inputs'!B33</f>
        <v>3698</v>
      </c>
      <c r="C6" s="11">
        <f>'Reported inputs'!C33</f>
        <v>2868</v>
      </c>
      <c r="D6" s="12">
        <f t="shared" si="0"/>
        <v>-830</v>
      </c>
    </row>
    <row r="7" spans="1:4" ht="25" customHeight="1">
      <c r="A7" s="10" t="s">
        <v>126</v>
      </c>
      <c r="B7" s="11">
        <f>'Reported inputs'!B46</f>
        <v>-275</v>
      </c>
      <c r="C7" s="11">
        <f>'Reported inputs'!C46</f>
        <v>-488</v>
      </c>
      <c r="D7" s="12">
        <f t="shared" si="0"/>
        <v>-213</v>
      </c>
    </row>
    <row r="8" spans="1:4" ht="25" customHeight="1">
      <c r="A8" s="10" t="s">
        <v>127</v>
      </c>
      <c r="B8" s="11">
        <f>'Reported inputs'!B47</f>
        <v>-5820</v>
      </c>
      <c r="C8" s="11">
        <f>'Reported inputs'!C47</f>
        <v>-2292</v>
      </c>
      <c r="D8" s="12">
        <f t="shared" si="0"/>
        <v>3528</v>
      </c>
    </row>
    <row r="9" spans="1:4" ht="25" customHeight="1">
      <c r="A9" s="1" t="s">
        <v>128</v>
      </c>
      <c r="B9" s="9">
        <f>'Reported inputs'!B48</f>
        <v>1</v>
      </c>
      <c r="C9" s="9">
        <f>'Reported inputs'!C48</f>
        <v>11</v>
      </c>
      <c r="D9" s="4">
        <f t="shared" si="0"/>
        <v>10</v>
      </c>
    </row>
    <row r="10" spans="1:4" ht="25" customHeight="1">
      <c r="A10" s="10" t="s">
        <v>129</v>
      </c>
      <c r="B10" s="11">
        <f>SUM(B6:B9)</f>
        <v>-2396</v>
      </c>
      <c r="C10" s="11">
        <f>SUM(C6:C9)</f>
        <v>99</v>
      </c>
      <c r="D10" s="12">
        <f t="shared" si="0"/>
        <v>2495</v>
      </c>
    </row>
    <row r="11" spans="1:4" ht="25" customHeight="1">
      <c r="A11" s="1" t="s">
        <v>130</v>
      </c>
      <c r="B11" s="13">
        <f>B5+B10</f>
        <v>7464</v>
      </c>
      <c r="C11" s="13">
        <f>C5+C10</f>
        <v>7563</v>
      </c>
      <c r="D11" s="4">
        <f t="shared" si="0"/>
        <v>99</v>
      </c>
    </row>
    <row r="12" spans="1:4" ht="25" customHeight="1">
      <c r="A12" s="10" t="s">
        <v>131</v>
      </c>
      <c r="B12" s="11">
        <f>'Reported inputs'!B19</f>
        <v>7464</v>
      </c>
      <c r="C12" s="11">
        <f>'Reported inputs'!C19</f>
        <v>7563</v>
      </c>
      <c r="D12" s="12">
        <f t="shared" si="0"/>
        <v>99</v>
      </c>
    </row>
    <row r="13" spans="1:4" ht="25" customHeight="1">
      <c r="A13" s="10" t="s">
        <v>132</v>
      </c>
      <c r="B13" s="35">
        <f>B11-B12</f>
        <v>0</v>
      </c>
      <c r="C13" s="35">
        <f>C11-C12</f>
        <v>0</v>
      </c>
      <c r="D13" s="36">
        <f t="shared" si="0"/>
        <v>0</v>
      </c>
    </row>
    <row r="14" spans="1:4" ht="25" customHeight="1">
      <c r="A14" s="1"/>
      <c r="B14" s="4"/>
      <c r="C14" s="4"/>
      <c r="D14" s="4"/>
    </row>
    <row r="15" spans="1:4" ht="26" customHeight="1">
      <c r="A15" s="45" t="s">
        <v>133</v>
      </c>
      <c r="B15" s="44"/>
      <c r="C15" s="44"/>
      <c r="D15" s="44"/>
    </row>
    <row r="16" spans="1:4" ht="26" customHeight="1">
      <c r="A16" s="42"/>
      <c r="B16" s="44"/>
      <c r="C16" s="44"/>
      <c r="D16" s="44"/>
    </row>
    <row r="17" spans="1:4" ht="25" customHeight="1">
      <c r="A17" s="1"/>
      <c r="B17" s="4"/>
      <c r="C17" s="4"/>
      <c r="D17" s="4"/>
    </row>
  </sheetData>
  <mergeCells count="3">
    <mergeCell ref="A2:D2"/>
    <mergeCell ref="A3:D3"/>
    <mergeCell ref="A15:D16"/>
  </mergeCells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9C7AE"/>
  </sheetPr>
  <dimension ref="A1:D65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48" customWidth="1"/>
    <col min="2" max="3" width="18" customWidth="1"/>
    <col min="4" max="4" width="105" customWidth="1"/>
  </cols>
  <sheetData>
    <row r="1" spans="1:4" ht="25" customHeight="1">
      <c r="A1" s="1"/>
      <c r="B1" s="1"/>
      <c r="C1" s="1"/>
      <c r="D1" s="1"/>
    </row>
    <row r="2" spans="1:4" ht="36" customHeight="1">
      <c r="A2" s="39" t="s">
        <v>134</v>
      </c>
      <c r="B2" s="40"/>
      <c r="C2" s="40"/>
      <c r="D2" s="40"/>
    </row>
    <row r="3" spans="1:4" ht="25" customHeight="1">
      <c r="A3" s="41" t="s">
        <v>17</v>
      </c>
      <c r="B3" s="42"/>
      <c r="C3" s="42"/>
      <c r="D3" s="42"/>
    </row>
    <row r="4" spans="1:4" ht="25" customHeight="1">
      <c r="A4" s="2" t="s">
        <v>2</v>
      </c>
      <c r="B4" s="3" t="s">
        <v>3</v>
      </c>
      <c r="C4" s="3" t="s">
        <v>4</v>
      </c>
      <c r="D4" s="3" t="s">
        <v>135</v>
      </c>
    </row>
    <row r="5" spans="1:4" ht="25" customHeight="1">
      <c r="A5" s="1" t="s">
        <v>6</v>
      </c>
      <c r="B5" s="5">
        <v>46309</v>
      </c>
      <c r="C5" s="5">
        <v>46398</v>
      </c>
      <c r="D5" s="4" t="s">
        <v>136</v>
      </c>
    </row>
    <row r="6" spans="1:4" ht="25" customHeight="1">
      <c r="A6" s="1" t="s">
        <v>29</v>
      </c>
      <c r="B6" s="5">
        <v>26519</v>
      </c>
      <c r="C6" s="5">
        <v>26487</v>
      </c>
      <c r="D6" s="4" t="s">
        <v>136</v>
      </c>
    </row>
    <row r="7" spans="1:4" ht="25" customHeight="1">
      <c r="A7" s="1" t="s">
        <v>32</v>
      </c>
      <c r="B7" s="5">
        <v>16088</v>
      </c>
      <c r="C7" s="5">
        <v>16114</v>
      </c>
      <c r="D7" s="4" t="s">
        <v>136</v>
      </c>
    </row>
    <row r="8" spans="1:4" ht="25" customHeight="1">
      <c r="A8" s="1" t="s">
        <v>137</v>
      </c>
      <c r="B8" s="5">
        <v>3702</v>
      </c>
      <c r="C8" s="5">
        <v>3797</v>
      </c>
      <c r="D8" s="4" t="s">
        <v>138</v>
      </c>
    </row>
    <row r="9" spans="1:4" ht="25" customHeight="1">
      <c r="A9" s="1" t="s">
        <v>46</v>
      </c>
      <c r="B9" s="5">
        <v>3885</v>
      </c>
      <c r="C9" s="5">
        <v>3900</v>
      </c>
      <c r="D9" s="4" t="s">
        <v>136</v>
      </c>
    </row>
    <row r="10" spans="1:4" ht="25" customHeight="1">
      <c r="A10" s="1" t="s">
        <v>47</v>
      </c>
      <c r="B10" s="5">
        <v>666</v>
      </c>
      <c r="C10" s="5">
        <v>792</v>
      </c>
      <c r="D10" s="4" t="s">
        <v>136</v>
      </c>
    </row>
    <row r="11" spans="1:4" ht="25" customHeight="1">
      <c r="A11" s="1" t="s">
        <v>8</v>
      </c>
      <c r="B11" s="5">
        <v>3219</v>
      </c>
      <c r="C11" s="5">
        <v>3108</v>
      </c>
      <c r="D11" s="4" t="s">
        <v>136</v>
      </c>
    </row>
    <row r="12" spans="1:4" ht="25" customHeight="1">
      <c r="A12" s="1" t="s">
        <v>139</v>
      </c>
      <c r="B12" s="5">
        <v>3219</v>
      </c>
      <c r="C12" s="5">
        <v>3108</v>
      </c>
      <c r="D12" s="4" t="s">
        <v>136</v>
      </c>
    </row>
    <row r="13" spans="1:4" ht="25" customHeight="1">
      <c r="A13" s="1" t="s">
        <v>140</v>
      </c>
      <c r="B13" s="6">
        <v>2.16</v>
      </c>
      <c r="C13" s="6">
        <v>2.1</v>
      </c>
      <c r="D13" s="4" t="s">
        <v>136</v>
      </c>
    </row>
    <row r="14" spans="1:4" ht="25" customHeight="1">
      <c r="A14" s="1" t="s">
        <v>141</v>
      </c>
      <c r="B14" s="5">
        <v>-107</v>
      </c>
      <c r="C14" s="5">
        <v>-50</v>
      </c>
      <c r="D14" s="4" t="s">
        <v>136</v>
      </c>
    </row>
    <row r="15" spans="1:4" ht="25" customHeight="1">
      <c r="A15" s="1" t="s">
        <v>44</v>
      </c>
      <c r="B15" s="5">
        <v>0</v>
      </c>
      <c r="C15" s="5">
        <v>0</v>
      </c>
      <c r="D15" s="4" t="s">
        <v>136</v>
      </c>
    </row>
    <row r="16" spans="1:4" ht="25" customHeight="1">
      <c r="A16" s="1" t="s">
        <v>43</v>
      </c>
      <c r="B16" s="5">
        <v>76</v>
      </c>
      <c r="C16" s="5">
        <v>53</v>
      </c>
      <c r="D16" s="4" t="s">
        <v>136</v>
      </c>
    </row>
    <row r="17" spans="1:4" ht="25" customHeight="1">
      <c r="A17" s="1" t="s">
        <v>142</v>
      </c>
      <c r="B17" s="5">
        <v>0</v>
      </c>
      <c r="C17" s="5">
        <v>0</v>
      </c>
      <c r="D17" s="4" t="s">
        <v>136</v>
      </c>
    </row>
    <row r="18" spans="1:4" ht="25" customHeight="1">
      <c r="A18" s="1" t="s">
        <v>143</v>
      </c>
      <c r="B18" s="5">
        <v>4689</v>
      </c>
      <c r="C18" s="5">
        <v>4754</v>
      </c>
      <c r="D18" s="4" t="s">
        <v>136</v>
      </c>
    </row>
    <row r="19" spans="1:4" ht="25" customHeight="1">
      <c r="A19" s="1" t="s">
        <v>62</v>
      </c>
      <c r="B19" s="5">
        <v>7464</v>
      </c>
      <c r="C19" s="5">
        <v>7563</v>
      </c>
      <c r="D19" s="4" t="s">
        <v>144</v>
      </c>
    </row>
    <row r="20" spans="1:4" ht="25" customHeight="1">
      <c r="A20" s="1" t="s">
        <v>145</v>
      </c>
      <c r="B20" s="5">
        <v>1687</v>
      </c>
      <c r="C20" s="5">
        <v>1464</v>
      </c>
      <c r="D20" s="4" t="s">
        <v>144</v>
      </c>
    </row>
    <row r="21" spans="1:4" ht="25" customHeight="1">
      <c r="A21" s="1" t="s">
        <v>146</v>
      </c>
      <c r="B21" s="5">
        <v>4717</v>
      </c>
      <c r="C21" s="5">
        <v>5931</v>
      </c>
      <c r="D21" s="4" t="s">
        <v>144</v>
      </c>
    </row>
    <row r="22" spans="1:4" ht="25" customHeight="1">
      <c r="A22" s="1" t="s">
        <v>147</v>
      </c>
      <c r="B22" s="5">
        <v>7489</v>
      </c>
      <c r="C22" s="5">
        <v>7501</v>
      </c>
      <c r="D22" s="4" t="s">
        <v>144</v>
      </c>
    </row>
    <row r="23" spans="1:4" ht="25" customHeight="1">
      <c r="A23" s="1" t="s">
        <v>148</v>
      </c>
      <c r="B23" s="5">
        <v>3479</v>
      </c>
      <c r="C23" s="5">
        <v>3600</v>
      </c>
      <c r="D23" s="4" t="s">
        <v>144</v>
      </c>
    </row>
    <row r="24" spans="1:4" ht="25" customHeight="1">
      <c r="A24" s="1" t="s">
        <v>58</v>
      </c>
      <c r="B24" s="5">
        <v>23362</v>
      </c>
      <c r="C24" s="5">
        <v>24603</v>
      </c>
      <c r="D24" s="4" t="s">
        <v>144</v>
      </c>
    </row>
    <row r="25" spans="1:4" ht="25" customHeight="1">
      <c r="A25" s="1" t="s">
        <v>59</v>
      </c>
      <c r="B25" s="5">
        <v>10566</v>
      </c>
      <c r="C25" s="5">
        <v>12547</v>
      </c>
      <c r="D25" s="4" t="s">
        <v>144</v>
      </c>
    </row>
    <row r="26" spans="1:4" ht="25" customHeight="1">
      <c r="A26" s="1" t="s">
        <v>85</v>
      </c>
      <c r="B26" s="5">
        <v>36579</v>
      </c>
      <c r="C26" s="5">
        <v>38410</v>
      </c>
      <c r="D26" s="4" t="s">
        <v>144</v>
      </c>
    </row>
    <row r="27" spans="1:4" ht="25" customHeight="1">
      <c r="A27" s="1" t="s">
        <v>86</v>
      </c>
      <c r="B27" s="5">
        <v>23366</v>
      </c>
      <c r="C27" s="5">
        <v>23545</v>
      </c>
      <c r="D27" s="4" t="s">
        <v>149</v>
      </c>
    </row>
    <row r="28" spans="1:4" ht="25" customHeight="1">
      <c r="A28" s="1" t="s">
        <v>150</v>
      </c>
      <c r="B28" s="5">
        <v>13213</v>
      </c>
      <c r="C28" s="5">
        <v>14865</v>
      </c>
      <c r="D28" s="4" t="s">
        <v>144</v>
      </c>
    </row>
    <row r="29" spans="1:4" ht="25" customHeight="1">
      <c r="A29" s="1" t="s">
        <v>65</v>
      </c>
      <c r="B29" s="5">
        <v>0</v>
      </c>
      <c r="C29" s="5">
        <v>2000</v>
      </c>
      <c r="D29" s="4" t="s">
        <v>144</v>
      </c>
    </row>
    <row r="30" spans="1:4" ht="25" customHeight="1">
      <c r="A30" s="1" t="s">
        <v>90</v>
      </c>
      <c r="B30" s="5">
        <v>7961</v>
      </c>
      <c r="C30" s="5">
        <v>5942</v>
      </c>
      <c r="D30" s="4" t="s">
        <v>144</v>
      </c>
    </row>
    <row r="31" spans="1:4" ht="25" customHeight="1">
      <c r="A31" s="1" t="s">
        <v>151</v>
      </c>
      <c r="B31" s="5">
        <v>240</v>
      </c>
      <c r="C31" s="5">
        <v>240</v>
      </c>
      <c r="D31" s="4" t="s">
        <v>144</v>
      </c>
    </row>
    <row r="32" spans="1:4" ht="25" customHeight="1">
      <c r="A32" s="1" t="s">
        <v>152</v>
      </c>
      <c r="B32" s="5">
        <v>259</v>
      </c>
      <c r="C32" s="5">
        <v>259</v>
      </c>
      <c r="D32" s="4" t="s">
        <v>144</v>
      </c>
    </row>
    <row r="33" spans="1:4" ht="25" customHeight="1">
      <c r="A33" s="1" t="s">
        <v>108</v>
      </c>
      <c r="B33" s="5">
        <v>3698</v>
      </c>
      <c r="C33" s="5">
        <v>2868</v>
      </c>
      <c r="D33" s="4" t="s">
        <v>153</v>
      </c>
    </row>
    <row r="34" spans="1:4" ht="25" customHeight="1">
      <c r="A34" s="1" t="s">
        <v>98</v>
      </c>
      <c r="B34" s="5">
        <v>775</v>
      </c>
      <c r="C34" s="5">
        <v>747</v>
      </c>
      <c r="D34" s="4" t="s">
        <v>153</v>
      </c>
    </row>
    <row r="35" spans="1:4" ht="25" customHeight="1">
      <c r="A35" s="1" t="s">
        <v>99</v>
      </c>
      <c r="B35" s="5">
        <v>709</v>
      </c>
      <c r="C35" s="5">
        <v>715</v>
      </c>
      <c r="D35" s="4" t="s">
        <v>153</v>
      </c>
    </row>
    <row r="36" spans="1:4" ht="25" customHeight="1">
      <c r="A36" s="1" t="s">
        <v>100</v>
      </c>
      <c r="B36" s="5">
        <v>-288</v>
      </c>
      <c r="C36" s="5">
        <v>-96</v>
      </c>
      <c r="D36" s="4" t="s">
        <v>153</v>
      </c>
    </row>
    <row r="37" spans="1:4" ht="25" customHeight="1">
      <c r="A37" s="1" t="s">
        <v>154</v>
      </c>
      <c r="B37" s="5">
        <v>33</v>
      </c>
      <c r="C37" s="5">
        <v>50</v>
      </c>
      <c r="D37" s="4" t="s">
        <v>153</v>
      </c>
    </row>
    <row r="38" spans="1:4" ht="25" customHeight="1">
      <c r="A38" s="1" t="s">
        <v>155</v>
      </c>
      <c r="B38" s="5">
        <v>37</v>
      </c>
      <c r="C38" s="5">
        <v>22</v>
      </c>
      <c r="D38" s="4" t="s">
        <v>153</v>
      </c>
    </row>
    <row r="39" spans="1:4" ht="25" customHeight="1">
      <c r="A39" s="1" t="s">
        <v>156</v>
      </c>
      <c r="B39" s="5">
        <v>-257</v>
      </c>
      <c r="C39" s="5">
        <v>-1207</v>
      </c>
      <c r="D39" s="4" t="s">
        <v>153</v>
      </c>
    </row>
    <row r="40" spans="1:4" ht="25" customHeight="1">
      <c r="A40" s="1" t="s">
        <v>157</v>
      </c>
      <c r="B40" s="5">
        <v>120</v>
      </c>
      <c r="C40" s="5">
        <v>-31</v>
      </c>
      <c r="D40" s="4" t="s">
        <v>153</v>
      </c>
    </row>
    <row r="41" spans="1:4" ht="25" customHeight="1">
      <c r="A41" s="1" t="s">
        <v>158</v>
      </c>
      <c r="B41" s="5">
        <v>-224</v>
      </c>
      <c r="C41" s="5">
        <v>519</v>
      </c>
      <c r="D41" s="4" t="s">
        <v>153</v>
      </c>
    </row>
    <row r="42" spans="1:4" ht="25" customHeight="1">
      <c r="A42" s="1" t="s">
        <v>159</v>
      </c>
      <c r="B42" s="5">
        <v>-426</v>
      </c>
      <c r="C42" s="5">
        <v>-959</v>
      </c>
      <c r="D42" s="4" t="s">
        <v>153</v>
      </c>
    </row>
    <row r="43" spans="1:4" ht="25" customHeight="1">
      <c r="A43" s="1" t="s">
        <v>113</v>
      </c>
      <c r="B43" s="5">
        <v>430</v>
      </c>
      <c r="C43" s="5">
        <v>684</v>
      </c>
      <c r="D43" s="4" t="s">
        <v>153</v>
      </c>
    </row>
    <row r="44" spans="1:4" ht="25" customHeight="1">
      <c r="A44" s="1" t="s">
        <v>116</v>
      </c>
      <c r="B44" s="5">
        <v>2300</v>
      </c>
      <c r="C44" s="5">
        <v>2407</v>
      </c>
      <c r="D44" s="4" t="s">
        <v>153</v>
      </c>
    </row>
    <row r="45" spans="1:4" ht="25" customHeight="1">
      <c r="A45" s="1" t="s">
        <v>117</v>
      </c>
      <c r="B45" s="5">
        <v>2985</v>
      </c>
      <c r="C45" s="5">
        <v>146</v>
      </c>
      <c r="D45" s="4" t="s">
        <v>153</v>
      </c>
    </row>
    <row r="46" spans="1:4" ht="25" customHeight="1">
      <c r="A46" s="1" t="s">
        <v>160</v>
      </c>
      <c r="B46" s="5">
        <v>-275</v>
      </c>
      <c r="C46" s="5">
        <v>-488</v>
      </c>
      <c r="D46" s="4" t="s">
        <v>153</v>
      </c>
    </row>
    <row r="47" spans="1:4" ht="25" customHeight="1">
      <c r="A47" s="1" t="s">
        <v>161</v>
      </c>
      <c r="B47" s="5">
        <v>-5820</v>
      </c>
      <c r="C47" s="5">
        <v>-2292</v>
      </c>
      <c r="D47" s="4" t="s">
        <v>153</v>
      </c>
    </row>
    <row r="48" spans="1:4" ht="25" customHeight="1">
      <c r="A48" s="1" t="s">
        <v>128</v>
      </c>
      <c r="B48" s="5">
        <v>1</v>
      </c>
      <c r="C48" s="5">
        <v>11</v>
      </c>
      <c r="D48" s="4" t="s">
        <v>153</v>
      </c>
    </row>
    <row r="49" spans="1:4" ht="25" customHeight="1">
      <c r="A49" s="1" t="s">
        <v>125</v>
      </c>
      <c r="B49" s="5">
        <v>9860</v>
      </c>
      <c r="C49" s="5">
        <v>7464</v>
      </c>
      <c r="D49" s="4" t="s">
        <v>153</v>
      </c>
    </row>
    <row r="50" spans="1:4" ht="25" customHeight="1">
      <c r="A50" s="1" t="s">
        <v>162</v>
      </c>
      <c r="B50" s="5">
        <v>-2396</v>
      </c>
      <c r="C50" s="5">
        <v>99</v>
      </c>
      <c r="D50" s="4" t="s">
        <v>153</v>
      </c>
    </row>
    <row r="51" spans="1:4" ht="25" customHeight="1">
      <c r="A51" s="1" t="s">
        <v>163</v>
      </c>
      <c r="B51" s="5">
        <v>25883</v>
      </c>
      <c r="C51" s="5">
        <v>27453</v>
      </c>
      <c r="D51" s="4" t="s">
        <v>164</v>
      </c>
    </row>
    <row r="52" spans="1:4" ht="25" customHeight="1">
      <c r="A52" s="1" t="s">
        <v>165</v>
      </c>
      <c r="B52" s="5">
        <v>18783</v>
      </c>
      <c r="C52" s="5">
        <v>17720</v>
      </c>
      <c r="D52" s="4" t="s">
        <v>164</v>
      </c>
    </row>
    <row r="53" spans="1:4" ht="25" customHeight="1">
      <c r="A53" s="1" t="s">
        <v>166</v>
      </c>
      <c r="B53" s="5">
        <v>48</v>
      </c>
      <c r="C53" s="5">
        <v>49</v>
      </c>
      <c r="D53" s="4" t="s">
        <v>164</v>
      </c>
    </row>
    <row r="54" spans="1:4" ht="25" customHeight="1">
      <c r="A54" s="1" t="s">
        <v>167</v>
      </c>
      <c r="B54" s="5">
        <v>1692</v>
      </c>
      <c r="C54" s="5">
        <v>1174</v>
      </c>
      <c r="D54" s="4" t="s">
        <v>164</v>
      </c>
    </row>
    <row r="55" spans="1:4" ht="25" customHeight="1">
      <c r="A55" s="1" t="s">
        <v>168</v>
      </c>
      <c r="B55" s="5">
        <v>-97</v>
      </c>
      <c r="C55" s="5">
        <v>2</v>
      </c>
      <c r="D55" s="4" t="s">
        <v>164</v>
      </c>
    </row>
    <row r="56" spans="1:4" ht="25" customHeight="1">
      <c r="A56" s="1" t="s">
        <v>169</v>
      </c>
      <c r="B56" s="5">
        <v>11399</v>
      </c>
      <c r="C56" s="5">
        <v>11360</v>
      </c>
      <c r="D56" s="4" t="s">
        <v>136</v>
      </c>
    </row>
    <row r="57" spans="1:4" ht="25" customHeight="1">
      <c r="A57" s="1" t="s">
        <v>170</v>
      </c>
      <c r="B57" s="5">
        <v>0</v>
      </c>
      <c r="C57" s="5">
        <v>986</v>
      </c>
      <c r="D57" s="4" t="s">
        <v>171</v>
      </c>
    </row>
    <row r="58" spans="1:4" ht="25" customHeight="1">
      <c r="A58" s="1" t="s">
        <v>172</v>
      </c>
      <c r="B58" s="5">
        <v>0</v>
      </c>
      <c r="C58" s="5">
        <v>684</v>
      </c>
      <c r="D58" s="4" t="s">
        <v>171</v>
      </c>
    </row>
    <row r="59" spans="1:4" ht="25" customHeight="1">
      <c r="A59" s="1" t="s">
        <v>173</v>
      </c>
      <c r="B59" s="5">
        <v>3778</v>
      </c>
      <c r="C59" s="5">
        <v>3850</v>
      </c>
      <c r="D59" s="4" t="s">
        <v>174</v>
      </c>
    </row>
    <row r="60" spans="1:4" ht="25" customHeight="1">
      <c r="A60" s="1" t="s">
        <v>175</v>
      </c>
      <c r="B60" s="7">
        <v>0</v>
      </c>
      <c r="C60" s="7">
        <v>-0.02</v>
      </c>
      <c r="D60" s="4" t="s">
        <v>176</v>
      </c>
    </row>
    <row r="61" spans="1:4" ht="25" customHeight="1">
      <c r="A61" s="1" t="s">
        <v>177</v>
      </c>
      <c r="B61" s="5">
        <v>4427</v>
      </c>
      <c r="C61" s="5">
        <v>4717</v>
      </c>
      <c r="D61" s="4" t="s">
        <v>178</v>
      </c>
    </row>
    <row r="62" spans="1:4" ht="25" customHeight="1">
      <c r="A62" s="1" t="s">
        <v>179</v>
      </c>
      <c r="B62" s="5">
        <v>7519</v>
      </c>
      <c r="C62" s="5">
        <v>7489</v>
      </c>
      <c r="D62" s="4" t="s">
        <v>178</v>
      </c>
    </row>
    <row r="63" spans="1:4" ht="25" customHeight="1">
      <c r="A63" s="1" t="s">
        <v>180</v>
      </c>
      <c r="B63" s="5">
        <v>2851</v>
      </c>
      <c r="C63" s="5">
        <v>3479</v>
      </c>
      <c r="D63" s="4" t="s">
        <v>178</v>
      </c>
    </row>
    <row r="64" spans="1:4" ht="25" customHeight="1">
      <c r="A64" s="1" t="s">
        <v>181</v>
      </c>
      <c r="B64" s="8">
        <v>365</v>
      </c>
      <c r="C64" s="8">
        <v>365</v>
      </c>
      <c r="D64" s="4" t="s">
        <v>182</v>
      </c>
    </row>
    <row r="65" spans="1:4" ht="25" customHeight="1">
      <c r="A65" s="1"/>
      <c r="B65" s="4"/>
      <c r="C65" s="4"/>
      <c r="D65" s="4"/>
    </row>
  </sheetData>
  <mergeCells count="2">
    <mergeCell ref="A2:D2"/>
    <mergeCell ref="A3:D3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Summary</vt:lpstr>
      <vt:lpstr>NKE_1_Analysis</vt:lpstr>
      <vt:lpstr>NKE_2_Analysis</vt:lpstr>
      <vt:lpstr>NKE_3_Analysis</vt:lpstr>
      <vt:lpstr>NKE_4_Analysis</vt:lpstr>
      <vt:lpstr>NKE_5_Analysis</vt:lpstr>
      <vt:lpstr>NKE_6_Analysis</vt:lpstr>
      <vt:lpstr>NKE_7_Analysis</vt:lpstr>
      <vt:lpstr>NKE_8_Analysis</vt:lpstr>
      <vt:lpstr>NKE_9_Analysis</vt:lpstr>
      <vt:lpstr>Reported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PG-Chen, Hoi Chun</cp:lastModifiedBy>
  <dcterms:modified xsi:type="dcterms:W3CDTF">2026-10-09T13:02:33Z</dcterms:modified>
</cp:coreProperties>
</file>